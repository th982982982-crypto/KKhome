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 Hướng dẫn" sheetId="1" state="visible" r:id="rId1"/>
    <sheet xmlns:r="http://schemas.openxmlformats.org/officeDocument/2006/relationships" name="1. Danh mục &amp; Tham số" sheetId="2" state="visible" r:id="rId2"/>
    <sheet xmlns:r="http://schemas.openxmlformats.org/officeDocument/2006/relationships" name="2. Nhập chi phí" sheetId="3" state="visible" r:id="rId3"/>
    <sheet xmlns:r="http://schemas.openxmlformats.org/officeDocument/2006/relationships" name="3. Dở dang" sheetId="4" state="visible" r:id="rId4"/>
    <sheet xmlns:r="http://schemas.openxmlformats.org/officeDocument/2006/relationships" name="4. Thẻ tính giá thành" sheetId="5" state="visible" r:id="rId5"/>
    <sheet xmlns:r="http://schemas.openxmlformats.org/officeDocument/2006/relationships" name="5. Báo cáo giá thành" sheetId="6" state="visible" r:id="rId6"/>
    <sheet xmlns:r="http://schemas.openxmlformats.org/officeDocument/2006/relationships" name="6. Kiểm soát" sheetId="7" state="visible" r:id="rId7"/>
    <sheet xmlns:r="http://schemas.openxmlformats.org/officeDocument/2006/relationships" name="7. Dashboard" sheetId="8" state="visible" r:id="rId8"/>
    <sheet xmlns:r="http://schemas.openxmlformats.org/officeDocument/2006/relationships" name="8. Đối chiếu 154" sheetId="9" state="visible" r:id="rId9"/>
    <sheet xmlns:r="http://schemas.openxmlformats.org/officeDocument/2006/relationships" name="9. Ví dụ minh họa" sheetId="10" state="visible" r:id="rId10"/>
  </sheets>
  <definedNames>
    <definedName name="chkDDam_sum" hidden="0" function="0" vbProcedure="0">'4. Thẻ tính giá thành'!$AI$94</definedName>
    <definedName name="chkSL_sum" hidden="0" function="0" vbProcedure="0">'4. Thẻ tính giá thành'!$AH$94</definedName>
    <definedName name="chkZam_sum" hidden="0" function="0" vbProcedure="0">'4. Thẻ tính giá thành'!$AJ$94</definedName>
    <definedName name="DM_chkPct" hidden="0" function="0" vbProcedure="0">'3. Dở dang'!$M$5:$M$84</definedName>
    <definedName name="DM_chkRong" hidden="0" function="0" vbProcedure="0">'1. Danh mục &amp; Tham số'!$N$22:$N$101</definedName>
    <definedName name="DM_chkTrung" hidden="0" function="0" vbProcedure="0">'1. Danh mục &amp; Tham số'!$M$22:$M$101</definedName>
    <definedName name="DM_DDK621" hidden="0" function="0" vbProcedure="0">'3. Dở dang'!$D$5:$D$84</definedName>
    <definedName name="DM_DDK622" hidden="0" function="0" vbProcedure="0">'3. Dở dang'!$E$5:$E$84</definedName>
    <definedName name="DM_DDK623" hidden="0" function="0" vbProcedure="0">'3. Dở dang'!$F$5:$F$84</definedName>
    <definedName name="DM_DDK627" hidden="0" function="0" vbProcedure="0">'3. Dở dang'!$G$5:$G$84</definedName>
    <definedName name="DM_DGDinhMuc" hidden="0" function="0" vbProcedure="0">'3. Dở dang'!$J$5:$J$84</definedName>
    <definedName name="DM_DGDinhMucKH" hidden="0" function="0" vbProcedure="0">'1. Danh mục &amp; Tham số'!$K$22:$K$101</definedName>
    <definedName name="DM_DThu" hidden="0" function="0" vbProcedure="0">'1. Danh mục &amp; Tham số'!$H$22:$H$101</definedName>
    <definedName name="DM_DVT" hidden="0" function="0" vbProcedure="0">'1. Danh mục &amp; Tham số'!$D$22:$D$101</definedName>
    <definedName name="DM_GioCong" hidden="0" function="0" vbProcedure="0">'1. Danh mục &amp; Tham số'!$G$22:$G$101</definedName>
    <definedName name="DM_GioMay" hidden="0" function="0" vbProcedure="0">'1. Danh mục &amp; Tham số'!$F$22:$F$101</definedName>
    <definedName name="DM_HeSo" hidden="0" function="0" vbProcedure="0">'1. Danh mục &amp; Tham số'!$J$22:$J$101</definedName>
    <definedName name="DM_Loai" hidden="0" function="0" vbProcedure="0">'1. Danh mục &amp; Tham số'!$C$22:$C$101</definedName>
    <definedName name="DM_Ma" hidden="0" function="0" vbProcedure="0">'1. Danh mục &amp; Tham số'!$A$22:$A$101</definedName>
    <definedName name="DM_Pct" hidden="0" function="0" vbProcedure="0">'3. Dở dang'!$I$5:$I$84</definedName>
    <definedName name="DM_Pct_v" hidden="0" function="0" vbProcedure="0">'3. Dở dang'!$I$5:$I$84</definedName>
    <definedName name="DM_SLDD" hidden="0" function="0" vbProcedure="0">'3. Dở dang'!$H$5:$H$84</definedName>
    <definedName name="DM_SLHT" hidden="0" function="0" vbProcedure="0">'1. Danh mục &amp; Tham số'!$E$22:$E$101</definedName>
    <definedName name="DM_Ten" hidden="0" function="0" vbProcedure="0">'1. Danh mục &amp; Tham số'!$B$22:$B$101</definedName>
    <definedName name="DM_TieuKhac" hidden="0" function="0" vbProcedure="0">'1. Danh mục &amp; Tham số'!$I$22:$I$101</definedName>
    <definedName name="DM_TrangThai" hidden="0" function="0" vbProcedure="0">'1. Danh mục &amp; Tham số'!$L$22:$L$101</definedName>
    <definedName name="hpTong" hidden="0" function="0" vbProcedure="0">'5. Báo cáo giá thành'!$E$90</definedName>
    <definedName name="LC_627" hidden="0" function="0" vbProcedure="0">'2. Nhập chi phí'!$P$5:$P$804</definedName>
    <definedName name="LC_Ky" hidden="0" function="0" vbProcedure="0">'2. Nhập chi phí'!$N$5:$N$804</definedName>
    <definedName name="LC_Ma" hidden="0" function="0" vbProcedure="0">'2. Nhập chi phí'!$M$5:$M$804</definedName>
    <definedName name="LC_Tien" hidden="0" function="0" vbProcedure="0">'2. Nhập chi phí'!$O$5:$O$804</definedName>
    <definedName name="LST_DoDang" hidden="0" function="0" vbProcedure="0">'1. Danh mục &amp; Tham số'!$S$3:$S$5</definedName>
    <definedName name="LST_KhoanMuc" hidden="0" function="0" vbProcedure="0">'1. Danh mục &amp; Tham số'!$U$3:$U$8</definedName>
    <definedName name="LST_LoaiHinh" hidden="0" function="0" vbProcedure="0">'1. Danh mục &amp; Tham số'!$P$3:$P$6</definedName>
    <definedName name="LST_MaList" hidden="0" function="0" vbProcedure="0">'1. Danh mục &amp; Tham số'!$AB$3:$AB$83</definedName>
    <definedName name="LST_PhuongPhap" hidden="0" function="0" vbProcedure="0">'1. Danh mục &amp; Tham số'!$R$3:$R$6</definedName>
    <definedName name="LST_TieuThuc" hidden="0" function="0" vbProcedure="0">'1. Danh mục &amp; Tham số'!$T$3:$T$9</definedName>
    <definedName name="LST_TinhChat" hidden="0" function="0" vbProcedure="0">'1. Danh mục &amp; Tham số'!$V$3:$V$5</definedName>
    <definedName name="LST_TrangThai" hidden="0" function="0" vbProcedure="0">'1. Danh mục &amp; Tham số'!$X$3:$X$4</definedName>
    <definedName name="LST_TrucChung" hidden="0" function="0" vbProcedure="0">'1. Danh mục &amp; Tham số'!$W$3:$W$4</definedName>
    <definedName name="L_KM" hidden="0" function="0" vbProcedure="0">'2. Nhập chi phí'!$D$5:$D$804</definedName>
    <definedName name="L_Ma" hidden="0" function="0" vbProcedure="0">'2. Nhập chi phí'!$C$5:$C$804</definedName>
    <definedName name="L_Ngay" hidden="0" function="0" vbProcedure="0">'2. Nhập chi phí'!$A$5:$A$804</definedName>
    <definedName name="L_ST" hidden="0" function="0" vbProcedure="0">'2. Nhập chi phí'!$J$5:$J$804</definedName>
    <definedName name="L_Tinh" hidden="0" function="0" vbProcedure="0">'2. Nhập chi phí'!$G$5:$G$804</definedName>
    <definedName name="L_TT" hidden="0" function="0" vbProcedure="0">'2. Nhập chi phí'!$F$5:$F$804</definedName>
    <definedName name="MAP_KM" hidden="0" function="0" vbProcedure="0">'1. Danh mục &amp; Tham số'!$Y$3:$Y$8</definedName>
    <definedName name="MAP_TenDT" hidden="0" function="0" vbProcedure="0">'1. Danh mục &amp; Tham số'!$Q$3:$Q$6</definedName>
    <definedName name="MAP_TK" hidden="0" function="0" vbProcedure="0">'1. Danh mục &amp; Tham số'!$Z$3:$Z$8</definedName>
    <definedName name="pCongSuat" hidden="0" function="0" vbProcedure="0">'1. Danh mục &amp; Tham số'!$B$16</definedName>
    <definedName name="pDen" hidden="0" function="0" vbProcedure="0">'1. Danh mục &amp; Tham số'!$B$6</definedName>
    <definedName name="pDoDang" hidden="0" function="0" vbProcedure="0">'1. Danh mục &amp; Tham số'!$B$14</definedName>
    <definedName name="pHoatDong" hidden="0" function="0" vbProcedure="0">'1. Danh mục &amp; Tham số'!$B$17</definedName>
    <definedName name="pLoaiHinh" hidden="0" function="0" vbProcedure="0">'1. Danh mục &amp; Tham số'!$B$12</definedName>
    <definedName name="pool621" hidden="0" function="0" vbProcedure="0">'4. Thẻ tính giá thành'!$E$3</definedName>
    <definedName name="pool622" hidden="0" function="0" vbProcedure="0">'4. Thẻ tính giá thành'!$E$4</definedName>
    <definedName name="pool623" hidden="0" function="0" vbProcedure="0">'4. Thẻ tính giá thành'!$E$5</definedName>
    <definedName name="pool627BD" hidden="0" function="0" vbProcedure="0">'4. Thẻ tính giá thành'!$E$6</definedName>
    <definedName name="pool627CD" hidden="0" function="0" vbProcedure="0">'4. Thẻ tính giá thành'!$E$7</definedName>
    <definedName name="pPhuongPhap" hidden="0" function="0" vbProcedure="0">'1. Danh mục &amp; Tham số'!$B$13</definedName>
    <definedName name="pTenDoiTuong" hidden="0" function="0" vbProcedure="0">'1. Danh mục &amp; Tham số'!$B$18</definedName>
    <definedName name="pTieuThuc" hidden="0" function="0" vbProcedure="0">'1. Danh mục &amp; Tham số'!$B$15</definedName>
    <definedName name="pTu" hidden="0" function="0" vbProcedure="0">'1. Danh mục &amp; Tham số'!$B$5</definedName>
    <definedName name="t627CDabs" hidden="0" function="0" vbProcedure="0">'4. Thẻ tính giá thành'!$E$9</definedName>
    <definedName name="t632" hidden="0" function="0" vbProcedure="0">'4. Thẻ tính giá thành'!$E$10</definedName>
    <definedName name="tBase" hidden="0" function="0" vbProcedure="0">'4. Thẻ tính giá thành'!$J$94</definedName>
    <definedName name="tRatio" hidden="0" function="0" vbProcedure="0">'4. Thẻ tính giá thành'!$E$8</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d/mm/yyyy"/>
    <numFmt numFmtId="165" formatCode="#,##0;[RED]\(#,##0\);\-"/>
    <numFmt numFmtId="166"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1F3864"/>
      <sz val="11"/>
    </font>
    <font>
      <name val="Arial"/>
      <charset val="1"/>
      <family val="0"/>
      <sz val="10"/>
    </font>
    <font>
      <name val="Arial"/>
      <charset val="1"/>
      <family val="0"/>
      <i val="1"/>
      <color rgb="FF595959"/>
      <sz val="9"/>
    </font>
    <font>
      <name val="Arial"/>
      <charset val="1"/>
      <family val="0"/>
      <b val="1"/>
      <sz val="10"/>
    </font>
    <font>
      <name val="Arial"/>
      <charset val="1"/>
      <family val="0"/>
      <b val="1"/>
      <color rgb="FFFFFFFF"/>
      <sz val="10"/>
    </font>
    <font>
      <name val="Arial"/>
      <charset val="1"/>
      <family val="0"/>
      <color rgb="FFC00000"/>
      <sz val="8"/>
    </font>
    <font>
      <name val="Arial"/>
      <charset val="1"/>
      <family val="0"/>
      <i val="1"/>
      <color rgb="FF1F3864"/>
      <sz val="9"/>
    </font>
    <font>
      <name val="Arial"/>
      <charset val="1"/>
      <family val="0"/>
      <b val="1"/>
      <color rgb="FFC00000"/>
      <sz val="10"/>
    </font>
    <font>
      <name val="Arial"/>
      <charset val="1"/>
      <family val="0"/>
      <b val="1"/>
      <sz val="12"/>
    </font>
    <font>
      <name val="Arial"/>
      <charset val="1"/>
      <family val="0"/>
      <b val="1"/>
      <color rgb="FF1F3864"/>
      <sz val="12"/>
    </font>
    <font>
      <name val="Calibri"/>
      <family val="2"/>
      <b val="1"/>
      <color rgb="FF000000"/>
      <sz val="18"/>
    </font>
    <font>
      <name val="Calibri"/>
      <family val="2"/>
      <color rgb="FF000000"/>
      <sz val="10"/>
    </font>
  </fonts>
  <fills count="10">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EAF1FB"/>
      </patternFill>
    </fill>
    <fill>
      <patternFill patternType="solid">
        <fgColor rgb="FFE2EFDA"/>
        <bgColor rgb="FFDDEBF7"/>
      </patternFill>
    </fill>
    <fill>
      <patternFill patternType="solid">
        <fgColor rgb="FFFBE4E4"/>
        <bgColor rgb="FFFCE4D6"/>
      </patternFill>
    </fill>
    <fill>
      <patternFill patternType="solid">
        <fgColor rgb="FFFCE4D6"/>
        <bgColor rgb="FFFBE4E4"/>
      </patternFill>
    </fill>
    <fill>
      <patternFill patternType="solid">
        <fgColor rgb="FFDDEBF7"/>
        <bgColor rgb="FFEAF1FB"/>
      </patternFill>
    </fill>
    <fill>
      <patternFill patternType="solid">
        <fgColor rgb="FFEAF1FB"/>
        <b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6">
    <xf numFmtId="0" fontId="0" fillId="0" borderId="0" applyAlignment="1" pivotButton="0" quotePrefix="0" xfId="0">
      <alignment horizontal="general" vertical="bottom"/>
    </xf>
    <xf numFmtId="0" fontId="4" fillId="2"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6" fillId="5" borderId="0" applyAlignment="1" pivotButton="0" quotePrefix="0" xfId="0">
      <alignment horizontal="left" vertical="center" wrapText="1"/>
    </xf>
    <xf numFmtId="0" fontId="6" fillId="6" borderId="0" applyAlignment="1" pivotButton="0" quotePrefix="0" xfId="0">
      <alignment horizontal="left" vertical="center" wrapText="1"/>
    </xf>
    <xf numFmtId="0" fontId="6" fillId="7" borderId="0" applyAlignment="1" pivotButton="0" quotePrefix="0" xfId="0">
      <alignment horizontal="left" vertical="center" wrapText="1"/>
    </xf>
    <xf numFmtId="0" fontId="5" fillId="0" borderId="0" applyAlignment="1" pivotButton="0" quotePrefix="0" xfId="0">
      <alignment horizontal="general" vertical="bottom"/>
    </xf>
    <xf numFmtId="0" fontId="7"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0" borderId="0" applyAlignment="1" pivotButton="0" quotePrefix="0" xfId="0">
      <alignment horizontal="left" vertical="center" wrapText="1"/>
    </xf>
    <xf numFmtId="0" fontId="6" fillId="3" borderId="1" applyAlignment="1" applyProtection="1" pivotButton="0" quotePrefix="0" xfId="0">
      <alignment horizontal="left" vertical="center" wrapText="1"/>
      <protection locked="0" hidden="0"/>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164" fontId="6" fillId="3" borderId="1" applyAlignment="1" applyProtection="1" pivotButton="0" quotePrefix="0" xfId="0">
      <alignment horizontal="left" vertical="center" wrapText="1"/>
      <protection locked="0" hidden="0"/>
    </xf>
    <xf numFmtId="165" fontId="6" fillId="3" borderId="1" applyAlignment="1" applyProtection="1" pivotButton="0" quotePrefix="0" xfId="0">
      <alignment horizontal="left" vertical="center" wrapText="1"/>
      <protection locked="0" hidden="0"/>
    </xf>
    <xf numFmtId="0" fontId="8" fillId="4" borderId="1" applyAlignment="1" pivotButton="0" quotePrefix="0" xfId="0">
      <alignment horizontal="left" vertical="center" wrapText="1"/>
    </xf>
    <xf numFmtId="0" fontId="9" fillId="2" borderId="1" applyAlignment="1" pivotButton="0" quotePrefix="0" xfId="0">
      <alignment horizontal="center" vertical="center" wrapText="1"/>
    </xf>
    <xf numFmtId="165" fontId="6" fillId="3" borderId="1" applyAlignment="1" applyProtection="1" pivotButton="0" quotePrefix="0" xfId="0">
      <alignment horizontal="right" vertical="center"/>
      <protection locked="0" hidden="0"/>
    </xf>
    <xf numFmtId="2" fontId="6" fillId="3" borderId="1" applyAlignment="1" applyProtection="1" pivotButton="0" quotePrefix="0" xfId="0">
      <alignment horizontal="right" vertical="center"/>
      <protection locked="0" hidden="0"/>
    </xf>
    <xf numFmtId="0" fontId="10" fillId="0" borderId="1" applyAlignment="1" pivotButton="0" quotePrefix="0" xfId="0">
      <alignment horizontal="center" vertical="center" wrapText="1"/>
    </xf>
    <xf numFmtId="0" fontId="11" fillId="0" borderId="0" applyAlignment="1" pivotButton="0" quotePrefix="0" xfId="0">
      <alignment horizontal="left" vertical="center" wrapText="1"/>
    </xf>
    <xf numFmtId="0" fontId="7" fillId="0" borderId="0" applyAlignment="1" pivotButton="0" quotePrefix="0" xfId="0">
      <alignment horizontal="general" vertical="bottom"/>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166" fontId="6" fillId="3" borderId="1" applyAlignment="1" applyProtection="1" pivotButton="0" quotePrefix="0" xfId="0">
      <alignment horizontal="center" vertical="center" wrapText="1"/>
      <protection locked="0" hidden="0"/>
    </xf>
    <xf numFmtId="165" fontId="6" fillId="4" borderId="1" applyAlignment="1" pivotButton="0" quotePrefix="0" xfId="0">
      <alignment horizontal="right" vertical="center"/>
    </xf>
    <xf numFmtId="0" fontId="10" fillId="0" borderId="0" applyAlignment="1" pivotButton="0" quotePrefix="0" xfId="0">
      <alignment horizontal="center" vertical="center" wrapText="1"/>
    </xf>
    <xf numFmtId="0" fontId="8" fillId="0" borderId="0" applyAlignment="1" pivotButton="0" quotePrefix="0" xfId="0">
      <alignment horizontal="left" vertical="center" wrapText="1"/>
    </xf>
    <xf numFmtId="165" fontId="8" fillId="8" borderId="1" applyAlignment="1" pivotButton="0" quotePrefix="0" xfId="0">
      <alignment horizontal="right" vertical="center"/>
    </xf>
    <xf numFmtId="0" fontId="12" fillId="0" borderId="0" applyAlignment="1" pivotButton="0" quotePrefix="0" xfId="0">
      <alignment horizontal="left" vertical="center" wrapText="1"/>
    </xf>
    <xf numFmtId="166" fontId="8" fillId="8" borderId="1" applyAlignment="1" pivotButton="0" quotePrefix="0" xfId="0">
      <alignment horizontal="right" vertical="center"/>
    </xf>
    <xf numFmtId="165" fontId="12" fillId="8" borderId="1" applyAlignment="1" pivotButton="0" quotePrefix="0" xfId="0">
      <alignment horizontal="right" vertical="center"/>
    </xf>
    <xf numFmtId="165" fontId="0" fillId="0" borderId="0" applyAlignment="1" pivotButton="0" quotePrefix="0" xfId="0">
      <alignment horizontal="general" vertical="bottom"/>
    </xf>
    <xf numFmtId="0" fontId="8" fillId="0" borderId="0" applyAlignment="1" pivotButton="0" quotePrefix="0" xfId="0">
      <alignment horizontal="general" vertical="bottom"/>
    </xf>
    <xf numFmtId="165" fontId="8" fillId="0" borderId="0" applyAlignment="1" pivotButton="0" quotePrefix="0" xfId="0">
      <alignment horizontal="general" vertical="bottom"/>
    </xf>
    <xf numFmtId="0" fontId="8" fillId="0" borderId="0" applyAlignment="1" pivotButton="0" quotePrefix="0" xfId="0">
      <alignment horizontal="general" vertical="bottom"/>
    </xf>
    <xf numFmtId="165" fontId="8" fillId="8" borderId="1" applyAlignment="1" pivotButton="0" quotePrefix="0" xfId="0">
      <alignment horizontal="general" vertical="bottom"/>
    </xf>
    <xf numFmtId="0" fontId="0"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8" fillId="9" borderId="1" applyAlignment="1" pivotButton="0" quotePrefix="0" xfId="0">
      <alignment horizontal="left" vertical="center" wrapText="1"/>
    </xf>
    <xf numFmtId="3" fontId="14" fillId="9" borderId="1" applyAlignment="1" pivotButton="0" quotePrefix="0" xfId="0">
      <alignment horizontal="right" vertical="center"/>
    </xf>
    <xf numFmtId="1" fontId="14" fillId="9" borderId="1" applyAlignment="1" pivotButton="0" quotePrefix="0" xfId="0">
      <alignment horizontal="right" vertical="center"/>
    </xf>
    <xf numFmtId="3" fontId="0" fillId="0" borderId="0" applyAlignment="1" pivotButton="0" quotePrefix="0" xfId="0">
      <alignment horizontal="general" vertical="bottom"/>
    </xf>
    <xf numFmtId="0" fontId="6" fillId="0" borderId="0" applyAlignment="1" pivotButton="0" quotePrefix="0" xfId="0">
      <alignment horizontal="left" vertical="center" wrapText="1"/>
    </xf>
    <xf numFmtId="165" fontId="0" fillId="8" borderId="1" applyAlignment="1" pivotButton="0" quotePrefix="0" xfId="0">
      <alignment horizontal="right" vertical="center"/>
    </xf>
    <xf numFmtId="165" fontId="0" fillId="0" borderId="1" applyAlignment="1" pivotButton="0" quotePrefix="0" xfId="0">
      <alignment horizontal="right" vertical="center"/>
    </xf>
    <xf numFmtId="0" fontId="13" fillId="0"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6" fillId="5" borderId="0" applyAlignment="1" pivotButton="0" quotePrefix="0" xfId="0">
      <alignment horizontal="left" vertical="center" wrapText="1"/>
    </xf>
    <xf numFmtId="0" fontId="6" fillId="6" borderId="0" applyAlignment="1" pivotButton="0" quotePrefix="0" xfId="0">
      <alignment horizontal="left" vertical="center" wrapText="1"/>
    </xf>
    <xf numFmtId="0" fontId="6" fillId="7" borderId="0" applyAlignment="1" pivotButton="0" quotePrefix="0" xfId="0">
      <alignment horizontal="left" vertical="center" wrapText="1"/>
    </xf>
    <xf numFmtId="0" fontId="5" fillId="0" borderId="0" applyAlignment="1" pivotButton="0" quotePrefix="0" xfId="0">
      <alignment horizontal="general" vertical="bottom"/>
    </xf>
    <xf numFmtId="0" fontId="7"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0" borderId="0" applyAlignment="1" pivotButton="0" quotePrefix="0" xfId="0">
      <alignment horizontal="left" vertical="center" wrapText="1"/>
    </xf>
    <xf numFmtId="0" fontId="6" fillId="3" borderId="1" applyAlignment="1" applyProtection="1" pivotButton="0" quotePrefix="0" xfId="0">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6" fillId="0" borderId="0" applyAlignment="1" pivotButton="0" quotePrefix="0" xfId="0">
      <alignment horizontal="general" vertical="bottom"/>
    </xf>
    <xf numFmtId="164" fontId="6" fillId="3" borderId="1" applyAlignment="1" applyProtection="1" pivotButton="0" quotePrefix="0" xfId="0">
      <alignment horizontal="left" vertical="center" wrapText="1"/>
      <protection locked="0" hidden="0"/>
    </xf>
    <xf numFmtId="165" fontId="6" fillId="3" borderId="1" applyAlignment="1" applyProtection="1" pivotButton="0" quotePrefix="0" xfId="0">
      <alignment horizontal="left" vertical="center" wrapText="1"/>
      <protection locked="0" hidden="0"/>
    </xf>
    <xf numFmtId="0" fontId="8" fillId="4" borderId="1" applyAlignment="1" pivotButton="0" quotePrefix="0" xfId="0">
      <alignment horizontal="left" vertical="center" wrapText="1"/>
    </xf>
    <xf numFmtId="0" fontId="9" fillId="2" borderId="1" applyAlignment="1" pivotButton="0" quotePrefix="0" xfId="0">
      <alignment horizontal="center" vertical="center" wrapText="1"/>
    </xf>
    <xf numFmtId="165" fontId="6" fillId="3" borderId="1" applyAlignment="1" applyProtection="1" pivotButton="0" quotePrefix="0" xfId="0">
      <alignment horizontal="right" vertical="center"/>
      <protection locked="0" hidden="0"/>
    </xf>
    <xf numFmtId="2" fontId="6" fillId="3" borderId="1" applyAlignment="1" applyProtection="1" pivotButton="0" quotePrefix="0" xfId="0">
      <alignment horizontal="right" vertical="center"/>
      <protection locked="0" hidden="0"/>
    </xf>
    <xf numFmtId="0" fontId="10" fillId="0" borderId="1" applyAlignment="1" pivotButton="0" quotePrefix="0" xfId="0">
      <alignment horizontal="center" vertical="center" wrapText="1"/>
    </xf>
    <xf numFmtId="0" fontId="11" fillId="0" borderId="0" applyAlignment="1" pivotButton="0" quotePrefix="0" xfId="0">
      <alignment horizontal="left"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166" fontId="6" fillId="3" borderId="1" applyAlignment="1" applyProtection="1" pivotButton="0" quotePrefix="0" xfId="0">
      <alignment horizontal="center" vertical="center" wrapText="1"/>
      <protection locked="0" hidden="0"/>
    </xf>
    <xf numFmtId="165" fontId="6" fillId="4" borderId="1" applyAlignment="1" pivotButton="0" quotePrefix="0" xfId="0">
      <alignment horizontal="right" vertical="center"/>
    </xf>
    <xf numFmtId="0" fontId="10" fillId="0" borderId="0" applyAlignment="1" pivotButton="0" quotePrefix="0" xfId="0">
      <alignment horizontal="center" vertical="center" wrapText="1"/>
    </xf>
    <xf numFmtId="165" fontId="8" fillId="8" borderId="1" applyAlignment="1" pivotButton="0" quotePrefix="0" xfId="0">
      <alignment horizontal="right" vertical="center"/>
    </xf>
    <xf numFmtId="0" fontId="12" fillId="0" borderId="0" applyAlignment="1" pivotButton="0" quotePrefix="0" xfId="0">
      <alignment horizontal="left" vertical="center" wrapText="1"/>
    </xf>
    <xf numFmtId="166" fontId="8" fillId="8" borderId="1" applyAlignment="1" pivotButton="0" quotePrefix="0" xfId="0">
      <alignment horizontal="right" vertical="center"/>
    </xf>
    <xf numFmtId="165" fontId="12" fillId="8" borderId="1" applyAlignment="1" pivotButton="0" quotePrefix="0" xfId="0">
      <alignment horizontal="right" vertical="center"/>
    </xf>
    <xf numFmtId="165" fontId="0" fillId="0" borderId="0" applyAlignment="1" pivotButton="0" quotePrefix="0" xfId="0">
      <alignment horizontal="general" vertical="bottom"/>
    </xf>
    <xf numFmtId="0" fontId="8" fillId="0" borderId="0" applyAlignment="1" pivotButton="0" quotePrefix="0" xfId="0">
      <alignment horizontal="general" vertical="bottom"/>
    </xf>
    <xf numFmtId="165" fontId="8" fillId="0" borderId="0" applyAlignment="1" pivotButton="0" quotePrefix="0" xfId="0">
      <alignment horizontal="general" vertical="bottom"/>
    </xf>
    <xf numFmtId="165" fontId="8" fillId="8" borderId="1" applyAlignment="1" pivotButton="0" quotePrefix="0" xfId="0">
      <alignment horizontal="general" vertical="bottom"/>
    </xf>
    <xf numFmtId="0" fontId="0"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0" borderId="5" pivotButton="0" quotePrefix="0" xfId="0"/>
    <xf numFmtId="0" fontId="0" fillId="0" borderId="6" pivotButton="0" quotePrefix="0" xfId="0"/>
    <xf numFmtId="3" fontId="14" fillId="9" borderId="1" applyAlignment="1" pivotButton="0" quotePrefix="0" xfId="0">
      <alignment horizontal="right" vertical="center"/>
    </xf>
    <xf numFmtId="1" fontId="14" fillId="9" borderId="1" applyAlignment="1" pivotButton="0" quotePrefix="0" xfId="0">
      <alignment horizontal="right" vertical="center"/>
    </xf>
    <xf numFmtId="3" fontId="0" fillId="0" borderId="0" applyAlignment="1" pivotButton="0" quotePrefix="0" xfId="0">
      <alignment horizontal="general" vertical="bottom"/>
    </xf>
    <xf numFmtId="165" fontId="0" fillId="8" borderId="1" applyAlignment="1" pivotButton="0" quotePrefix="0" xfId="0">
      <alignment horizontal="right" vertical="center"/>
    </xf>
    <xf numFmtId="165" fontId="0" fillId="0" borderId="1" applyAlignment="1" pivotButton="0" quotePrefix="0" xfId="0">
      <alignment horizontal="right" vertical="center"/>
    </xf>
    <xf numFmtId="0" fontId="13" fillId="0"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C00000"/>
        <sz val="10"/>
      </font>
      <fill>
        <patternFill>
          <bgColor rgb="FFFBE4E4"/>
        </patternFill>
      </fill>
    </dxf>
    <dxf>
      <fill>
        <patternFill>
          <bgColor rgb="FFFCE4D6"/>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E2EFDA"/>
      <rgbColor rgb="FFF2F2F2"/>
      <rgbColor rgb="FFFBE4E4"/>
      <rgbColor rgb="FFFF99CC"/>
      <rgbColor rgb="FFCC99FF"/>
      <rgbColor rgb="FFFCE4D6"/>
      <rgbColor rgb="FF4F81BD"/>
      <rgbColor rgb="FF33CCCC"/>
      <rgbColor rgb="FF9BBB59"/>
      <rgbColor rgb="FFFFCC00"/>
      <rgbColor rgb="FFFF9900"/>
      <rgbColor rgb="FFFF6600"/>
      <rgbColor rgb="FF8064A2"/>
      <rgbColor rgb="FF969696"/>
      <rgbColor rgb="FF1F3864"/>
      <rgbColor rgb="FF339966"/>
      <rgbColor rgb="FF003300"/>
      <rgbColor rgb="FF333300"/>
      <rgbColor rgb="FF993300"/>
      <rgbColor rgb="FF993366"/>
      <rgbColor rgb="FF333399"/>
      <rgbColor rgb="FF59595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Cơ cấu chi phí sản xuất</a:t>
            </a:r>
          </a:p>
        </rich>
      </tx>
      <overlay val="0"/>
      <spPr>
        <a:noFill xmlns:a="http://schemas.openxmlformats.org/drawingml/2006/main"/>
        <a:ln xmlns:a="http://schemas.openxmlformats.org/drawingml/2006/main" w="0">
          <a:noFill/>
          <a:prstDash val="solid"/>
        </a:ln>
      </spPr>
    </title>
    <plotArea>
      <pieChart>
        <varyColors val="1"/>
        <ser>
          <idx val="0"/>
          <order val="0"/>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4f81bd"/>
              </a:solidFill>
              <a:ln xmlns:a="http://schemas.openxmlformats.org/drawingml/2006/main" w="0">
                <a:noFill/>
                <a:prstDash val="solid"/>
              </a:ln>
            </spPr>
          </dPt>
          <dPt>
            <idx val="1"/>
            <spPr>
              <a:solidFill xmlns:a="http://schemas.openxmlformats.org/drawingml/2006/main">
                <a:srgbClr val="c0504d"/>
              </a:solidFill>
              <a:ln xmlns:a="http://schemas.openxmlformats.org/drawingml/2006/main" w="0">
                <a:noFill/>
                <a:prstDash val="solid"/>
              </a:ln>
            </spPr>
          </dPt>
          <dPt>
            <idx val="2"/>
            <spPr>
              <a:solidFill xmlns:a="http://schemas.openxmlformats.org/drawingml/2006/main">
                <a:srgbClr val="9bbb59"/>
              </a:solidFill>
              <a:ln xmlns:a="http://schemas.openxmlformats.org/drawingml/2006/main" w="0">
                <a:noFill/>
                <a:prstDash val="solid"/>
              </a:ln>
            </spPr>
          </dPt>
          <dPt>
            <idx val="3"/>
            <spPr>
              <a:solidFill xmlns:a="http://schemas.openxmlformats.org/drawingml/2006/main">
                <a:srgbClr val="8064a2"/>
              </a:solidFill>
              <a:ln xmlns:a="http://schemas.openxmlformats.org/drawingml/2006/main" w="0">
                <a:noFill/>
                <a:prstDash val="solid"/>
              </a:ln>
            </spPr>
          </dPt>
          <dLbls>
            <dLbl>
              <idx val="0"/>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dLbl>
            <dLbl>
              <idx val="1"/>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dLbl>
            <dLbl>
              <idx val="2"/>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dLbl>
            <dLbl>
              <idx val="3"/>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dLbl>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'7. Dashboard'!$A$12:$A$15</f>
              <strCache>
                <ptCount val="4"/>
                <pt idx="0">
                  <v>NVL trực tiếp (621)</v>
                </pt>
                <pt idx="1">
                  <v>Nhân công (622)</v>
                </pt>
                <pt idx="2">
                  <v>Máy thi công (623)</v>
                </pt>
                <pt idx="3">
                  <v>SXC (627)</v>
                </pt>
              </strCache>
            </strRef>
          </cat>
          <val>
            <numRef>
              <f>'7. Dashboard'!$B$12:$B$15</f>
              <numCache>
                <formatCode>#,##0</formatCode>
                <ptCount val="4"/>
                <pt idx="0">
                  <v>0</v>
                </pt>
                <pt idx="1">
                  <v>0</v>
                </pt>
                <pt idx="2">
                  <v>0</v>
                </pt>
                <pt idx="3">
                  <v>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Tổng giá thành theo đối tượng</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'7. Dashboard'!B19</f>
              <strCache>
                <ptCount val="1"/>
                <pt idx="0">
                  <v>Tổng giá thành</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'7. Dashboard'!$A$20:$A$34</f>
              <strCache>
                <ptCount val="15"/>
                <pt idx="0">
                  <v>None</v>
                </pt>
                <pt idx="1">
                  <v>None</v>
                </pt>
                <pt idx="2">
                  <v>None</v>
                </pt>
                <pt idx="3">
                  <v>None</v>
                </pt>
                <pt idx="4">
                  <v>None</v>
                </pt>
                <pt idx="5">
                  <v>None</v>
                </pt>
                <pt idx="6">
                  <v>None</v>
                </pt>
                <pt idx="7">
                  <v>None</v>
                </pt>
                <pt idx="8">
                  <v>None</v>
                </pt>
                <pt idx="9">
                  <v>None</v>
                </pt>
                <pt idx="10">
                  <v>None</v>
                </pt>
                <pt idx="11">
                  <v>None</v>
                </pt>
                <pt idx="12">
                  <v>None</v>
                </pt>
                <pt idx="13">
                  <v>None</v>
                </pt>
                <pt idx="14">
                  <v>None</v>
                </pt>
              </strCache>
            </strRef>
          </cat>
          <val>
            <numRef>
              <f>'7. Dashboard'!$B$20:$B$34</f>
              <numCache>
                <formatCode>#,##0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gapWidth val="150"/>
        <overlap val="0"/>
        <axId val="55815039"/>
        <axId val="98148122"/>
      </barChart>
      <catAx>
        <axId val="55815039"/>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8148122"/>
        <crosses val="autoZero"/>
        <auto val="1"/>
        <lblAlgn val="ctr"/>
        <lblOffset val="100"/>
        <noMultiLvlLbl val="0"/>
      </catAx>
      <valAx>
        <axId val="98148122"/>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581503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Giá thành đơn vị theo đối tượng</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'7. Dashboard'!C19</f>
              <strCache>
                <ptCount val="1"/>
                <pt idx="0">
                  <v>Giá thành đơn vị</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'7. Dashboard'!$A$20:$A$34</f>
              <strCache>
                <ptCount val="15"/>
                <pt idx="0">
                  <v>None</v>
                </pt>
                <pt idx="1">
                  <v>None</v>
                </pt>
                <pt idx="2">
                  <v>None</v>
                </pt>
                <pt idx="3">
                  <v>None</v>
                </pt>
                <pt idx="4">
                  <v>None</v>
                </pt>
                <pt idx="5">
                  <v>None</v>
                </pt>
                <pt idx="6">
                  <v>None</v>
                </pt>
                <pt idx="7">
                  <v>None</v>
                </pt>
                <pt idx="8">
                  <v>None</v>
                </pt>
                <pt idx="9">
                  <v>None</v>
                </pt>
                <pt idx="10">
                  <v>None</v>
                </pt>
                <pt idx="11">
                  <v>None</v>
                </pt>
                <pt idx="12">
                  <v>None</v>
                </pt>
                <pt idx="13">
                  <v>None</v>
                </pt>
                <pt idx="14">
                  <v>None</v>
                </pt>
              </strCache>
            </strRef>
          </cat>
          <val>
            <numRef>
              <f>'7. Dashboard'!$C$20:$C$34</f>
              <numCache>
                <formatCode>#,##0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gapWidth val="150"/>
        <overlap val="0"/>
        <axId val="78340363"/>
        <axId val="90560434"/>
      </barChart>
      <catAx>
        <axId val="78340363"/>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0560434"/>
        <crosses val="autoZero"/>
        <auto val="1"/>
        <lblAlgn val="ctr"/>
        <lblOffset val="100"/>
        <noMultiLvlLbl val="0"/>
      </catAx>
      <valAx>
        <axId val="90560434"/>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834036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3</col>
      <colOff>0</colOff>
      <row>10</row>
      <rowOff>0</rowOff>
    </from>
    <to>
      <col>9</col>
      <colOff>290520</colOff>
      <row>23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4</col>
      <colOff>0</colOff>
      <row>17</row>
      <rowOff>0</rowOff>
    </from>
    <to>
      <col>12</col>
      <colOff>147600</colOff>
      <row>30</row>
      <rowOff>42840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4</col>
      <colOff>0</colOff>
      <row>32</row>
      <rowOff>0</rowOff>
    </from>
    <to>
      <col>12</col>
      <colOff>147600</colOff>
      <row>45</row>
      <rowOff>43200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D4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3" min="1" max="1"/>
    <col width="112" customWidth="1" style="53" min="2" max="2"/>
  </cols>
  <sheetData>
    <row r="1" ht="24" customHeight="1" s="54">
      <c r="A1" s="55" t="inlineStr">
        <is>
          <t>CÔNG CỤ TÍNH GIÁ THÀNH THEO KỲ</t>
        </is>
      </c>
    </row>
    <row r="2"/>
    <row r="3" ht="15" customHeight="1" s="54">
      <c r="B3" s="56" t="inlineStr">
        <is>
          <t>6 BƯỚC SỬ DỤNG</t>
        </is>
      </c>
    </row>
    <row r="4" ht="23.85" customHeight="1" s="54">
      <c r="B4" s="57" t="inlineStr">
        <is>
          <t>BƯỚC 1 – Chọn kỳ và phương pháp: mở [1. Danh mục &amp; Tham số], nhập Tên DN, Kỳ, Từ ngày, Đến ngày; chọn Loại hình, Phương pháp, cách đánh giá dở dang, tiêu thức phân bổ; nhập Công suất bình thường và Mức hoạt động thực tế.</t>
        </is>
      </c>
    </row>
    <row r="5" ht="23.85" customHeight="1" s="54">
      <c r="B5" s="57" t="inlineStr">
        <is>
          <t>BƯỚC 2 – Khai báo đối tượng: điền Danh mục đối tượng (Mã, Tên, Loại hình, ĐVT, Sản lượng, Giờ máy/Giờ công, Doanh thu, Hệ số, Giá thành ĐM, Trạng thái).</t>
        </is>
      </c>
    </row>
    <row r="6" ht="23.85" customHeight="1" s="54">
      <c r="B6" s="57" t="inlineStr">
        <is>
          <t>BƯỚC 3 – Nhập chi phí: mở [2. Nhập chi phí]; chi phí trực tiếp chọn Mã đối tượng + Trực tiếp; chi phí chung chọn Mã = CHUNG + Chung; 627 chọn Cố định/Biến đổi. Chỉ chứng từ trong kỳ được tính.</t>
        </is>
      </c>
    </row>
    <row r="7" ht="15" customHeight="1" s="54">
      <c r="B7" s="57" t="inlineStr">
        <is>
          <t>BƯỚC 4 – Nhập dở dang: mở [3. Dở dang], nhập số dư đầu kỳ và sản lượng/% dở dang.</t>
        </is>
      </c>
    </row>
    <row r="8" ht="15" customHeight="1" s="54">
      <c r="B8" s="57" t="inlineStr">
        <is>
          <t>BƯỚC 5 – Kiểm tra cảnh báo: mở [6. Kiểm soát]; xử lý hết 🔴 và rà 🟡 trước khi tin kết quả.</t>
        </is>
      </c>
    </row>
    <row r="9" ht="15" customHeight="1" s="54">
      <c r="B9" s="57" t="inlineStr">
        <is>
          <t>BƯỚC 6 – Xem giá thành và báo cáo: [4. Thẻ tính giá thành], [5. Báo cáo giá thành], [7. Dashboard], [8. Đối chiếu 154].</t>
        </is>
      </c>
    </row>
    <row r="10"/>
    <row r="11" ht="15" customHeight="1" s="54">
      <c r="B11" s="56" t="inlineStr">
        <is>
          <t>CÁC Ô NÀO NGƯỜI DÙNG ĐƯỢC NHẬP?</t>
        </is>
      </c>
    </row>
    <row r="12" ht="23.85" customHeight="1" s="54">
      <c r="B12" s="58" t="inlineStr">
        <is>
          <t>Chỉ các Ô VÀNG: khối Tham số &amp; thông tin kỳ, Danh mục đối tượng, bảng Nhập chi phí, các ô dở dang. Tất cả ô XÁM là công thức đã khóa.</t>
        </is>
      </c>
    </row>
    <row r="13" ht="15" customHeight="1" s="54">
      <c r="B13" s="59" t="inlineStr">
        <is>
          <t>Ô công thức (xám) đã khóa để tránh sửa nhầm; sheet bảo vệ KHÔNG mật khẩu, muốn sửa: Review ▸ Unprotect Sheet.</t>
        </is>
      </c>
    </row>
    <row r="14"/>
    <row r="15" ht="15" customHeight="1" s="54">
      <c r="B15" s="56" t="inlineStr">
        <is>
          <t>NẾU XUẤT HIỆN CẢNH BÁO THÌ XỬ LÝ THẾ NÀO?</t>
        </is>
      </c>
    </row>
    <row r="16" ht="23.85" customHeight="1" s="54">
      <c r="B16" s="57" t="inlineStr">
        <is>
          <t>🔴 “TỔNG TIÊU THỨC = 0”: bạn có chi phí chung nhưng chưa nhập tiêu thức phân bổ cho đối tượng (giờ máy, nhân công…). Nhập tiêu thức tương ứng.</t>
        </is>
      </c>
    </row>
    <row r="17" ht="23.85" customHeight="1" s="54">
      <c r="B17" s="57" t="inlineStr">
        <is>
          <t>🔴 “CHƯA NHẬP CÔNG SUẤT BÌNH THƯỜNG”: nhập Công suất bình thường &gt; 0 ở Tham số để xác định phần 627 cố định được phân bổ.</t>
        </is>
      </c>
    </row>
    <row r="18" ht="15" customHeight="1" s="54">
      <c r="B18" s="57" t="inlineStr">
        <is>
          <t>🔴 “MÃ LẠ”: chứng từ ghi mã đối tượng chưa có trong Danh mục — thêm vào Danh mục hoặc sửa mã.</t>
        </is>
      </c>
    </row>
    <row r="19" ht="15" customHeight="1" s="54">
      <c r="B19" s="57" t="inlineStr">
        <is>
          <t>🔴 “% SAI”: % hoàn thành phải trong khoảng 0%–100%.</t>
        </is>
      </c>
    </row>
    <row r="20" ht="15" customHeight="1" s="54">
      <c r="B20" s="57" t="inlineStr">
        <is>
          <t>🟡 “NGOÀI KỲ”: chứng từ nằm ngoài Từ ngày–Đến ngày nên bị loại; kiểm tra lại ngày hoặc kỳ.</t>
        </is>
      </c>
    </row>
    <row r="21" ht="15" customHeight="1" s="54">
      <c r="B21" s="57" t="inlineStr">
        <is>
          <t>⚠ “CHƯA CÓ SL”: đối tượng có chi phí nhưng chưa có sản lượng hoàn thành để tính giá thành đơn vị.</t>
        </is>
      </c>
    </row>
    <row r="22"/>
    <row r="23" ht="15" customHeight="1" s="54">
      <c r="B23" s="56" t="inlineStr">
        <is>
          <t>QUY ƯỚC MÀU</t>
        </is>
      </c>
    </row>
    <row r="24" ht="15" customHeight="1" s="54">
      <c r="B24" s="58" t="inlineStr">
        <is>
          <t xml:space="preserve">   Vàng nhạt = ô nhập</t>
        </is>
      </c>
    </row>
    <row r="25" ht="15" customHeight="1" s="54">
      <c r="B25" s="59" t="inlineStr">
        <is>
          <t xml:space="preserve">   Xám nhạt = ô công thức (khóa)</t>
        </is>
      </c>
    </row>
    <row r="26" ht="15" customHeight="1" s="54">
      <c r="B26" s="60" t="inlineStr">
        <is>
          <t xml:space="preserve">   Xanh lá = hợp lệ</t>
        </is>
      </c>
    </row>
    <row r="27" ht="15" customHeight="1" s="54">
      <c r="B27" s="61" t="inlineStr">
        <is>
          <t xml:space="preserve">   Đỏ nhạt = lỗi</t>
        </is>
      </c>
    </row>
    <row r="28" ht="15" customHeight="1" s="54">
      <c r="B28" s="62" t="inlineStr">
        <is>
          <t xml:space="preserve">   Cam nhạt = cảnh báo</t>
        </is>
      </c>
    </row>
    <row r="29"/>
    <row r="30" ht="15" customHeight="1" s="54">
      <c r="B30" s="56" t="inlineStr">
        <is>
          <t>CĂN CỨ KẾ TOÁN (ngắn gọn)</t>
        </is>
      </c>
    </row>
    <row r="31" ht="23.85" customHeight="1" s="54">
      <c r="B31" s="57" t="inlineStr">
        <is>
          <t>• Khoản mục 621/622/623/627 → 154 theo Thông tư 99/2025/TT-BTC (chế độ kế toán DN, hiệu lực 01/01/2026, thay TT 200/2014). Doanh nghiệp áp dụng Thông tư 133/2016/TT-BTC (DN nhỏ &amp; vừa) tập hợp chi phí thẳng vào 154 chi tiết — bản chất tính giá thành không đổi.</t>
        </is>
      </c>
    </row>
    <row r="32" ht="23.85" customHeight="1" s="54">
      <c r="B32" s="57" t="inlineStr">
        <is>
          <t>• Chi phí SXC cố định không phân bổ hết do hoạt động dưới công suất bình thường được ghi vào giá vốn 632 (nguyên tắc hàng tồn kho theo VAS 02 – nhất quán với IAS 2).</t>
        </is>
      </c>
    </row>
    <row r="33" ht="23.85" customHeight="1" s="54">
      <c r="B33" s="57" t="inlineStr">
        <is>
          <t>• Chế độ kế toán áp dụng khác nhau theo nhóm doanh nghiệp; doanh nghiệp tự xác định chế độ và chính sách kế toán của mình. File hỗ trợ tính toán, không thay thế phán đoán nghiệp vụ.</t>
        </is>
      </c>
    </row>
    <row r="34"/>
    <row r="35" ht="15" customHeight="1" s="54">
      <c r="B35" s="56" t="inlineStr">
        <is>
          <t>GIỚI HẠN &amp; LƯU Ý KỸ THUẬT</t>
        </is>
      </c>
    </row>
    <row r="36" ht="23.85" customHeight="1" s="54">
      <c r="B36" s="57" t="inlineStr">
        <is>
          <t>• Vùng dữ liệu đã chừa sẵn ~80 đối tượng và ~800 dòng chi phí — đủ rộng cho hầu hết DN nhỏ; cần thêm nữa thì chèn dòng trong vùng và kéo công thức (không phải sửa Named Range cho phạm vi đã chừa).</t>
        </is>
      </c>
    </row>
    <row r="37" ht="23.85" customHeight="1" s="54">
      <c r="B37" s="57" t="inlineStr">
        <is>
          <t>• Không dùng macro/VBA; chỉ dùng SUMIFS, INDEX/MATCH, CHOOSE, IFERROR, ROUND, IF, SUM, MIN, COUNTIF, SUMPRODUCT, TEXT — chạy trên Excel 2016 và Google Sheets.</t>
        </is>
      </c>
    </row>
    <row r="38" ht="23.85" customHeight="1" s="54">
      <c r="B38" s="57" t="inlineStr">
        <is>
          <t>• Trên Google Sheets: khóa ô của Excel chuyển thành ‘phạm vi được bảo vệ’, hành xử hơi khác — hãy dựa vào màu. Muốn hiển thị dấu phân cách nghìn 1.234: File ▸ Cài đặt ▸ khu vực Việt Nam.</t>
        </is>
      </c>
    </row>
    <row r="39" ht="15" customHeight="1" s="54">
      <c r="B39" s="57" t="inlineStr">
        <is>
          <t>• Phương pháp Hệ số/Tỷ lệ lấy Hệ số và Giá thành ĐM từ Danh mục đối tượng; kết quả nằm ở cuối [5. Báo cáo giá thành].</t>
        </is>
      </c>
    </row>
    <row r="40"/>
    <row r="41"/>
    <row r="42" ht="15" customHeight="1" s="54">
      <c r="B42" s="63" t="inlineStr">
        <is>
          <t xml:space="preserve">KK HOME  •  </t>
        </is>
      </c>
    </row>
    <row r="43" ht="15" customHeight="1" s="54">
      <c r="B43" s="64" t="inlineStr">
        <is>
          <t>Kênh chia sẻ kiến thức Tài chính – Kế toán – Kiểm toán.</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B103"/>
  <sheetViews>
    <sheetView showFormulas="0" showGridLines="0" showRowColHeaders="1" showZeros="1" rightToLeft="0" tabSelected="0" showOutlineSymbols="1" defaultGridColor="1"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3" min="1" max="1"/>
    <col width="26" customWidth="1" style="53" min="2" max="2"/>
    <col width="22" customWidth="1" style="53" min="3" max="3"/>
    <col width="10" customWidth="1" style="53" min="4" max="4"/>
    <col width="13" customWidth="1" style="53" min="5" max="5"/>
    <col width="11" customWidth="1" style="53" min="6" max="7"/>
    <col width="14" customWidth="1" style="53" min="8" max="8"/>
    <col width="13" customWidth="1" style="53" min="9" max="9"/>
    <col width="12" customWidth="1" style="53" min="10" max="10"/>
    <col width="15" customWidth="1" style="53" min="11" max="11"/>
    <col width="16" customWidth="1" style="53" min="12" max="12"/>
    <col width="10" customWidth="1" style="53" min="13" max="14"/>
    <col width="6" customWidth="1" style="53" min="16" max="16"/>
    <col width="20" customWidth="1" style="53" min="17" max="17"/>
    <col width="14" customWidth="1" style="53" min="18" max="18"/>
    <col width="16" customWidth="1" style="53" min="19" max="19"/>
    <col width="18" customWidth="1" style="53" min="20" max="20"/>
    <col width="20" customWidth="1" style="53" min="21" max="21"/>
    <col width="6" customWidth="1" style="53" min="22" max="26"/>
    <col width="14" customWidth="1" style="53" min="28" max="28"/>
  </cols>
  <sheetData>
    <row r="1" ht="24" customHeight="1" s="54">
      <c r="A1" s="55" t="inlineStr">
        <is>
          <t>DANH MỤC &amp; THAM SỐ</t>
        </is>
      </c>
    </row>
    <row r="2" ht="15" customHeight="1" s="54">
      <c r="P2" s="65" t="inlineStr">
        <is>
          <t>VÙNG DANH MỤC KỸ THUẬT (không sửa)</t>
        </is>
      </c>
      <c r="AB2" s="65" t="inlineStr">
        <is>
          <t>Danh sách mã (tự động)</t>
        </is>
      </c>
    </row>
    <row r="3" ht="15" customHeight="1" s="54">
      <c r="A3" s="66" t="inlineStr">
        <is>
          <t>Tên doanh nghiệp</t>
        </is>
      </c>
      <c r="B3" s="67" t="inlineStr">
        <is>
          <t>Công ty TNHH ABC</t>
        </is>
      </c>
      <c r="C3" s="68" t="n"/>
      <c r="D3" s="68" t="n"/>
      <c r="E3" s="69" t="n"/>
      <c r="P3" s="70" t="inlineStr">
        <is>
          <t>Sản xuất giản đơn</t>
        </is>
      </c>
      <c r="Q3" s="70" t="inlineStr">
        <is>
          <t>Sản phẩm</t>
        </is>
      </c>
      <c r="R3" s="70" t="inlineStr">
        <is>
          <t>Giản đơn</t>
        </is>
      </c>
      <c r="S3" s="70" t="inlineStr">
        <is>
          <t>Theo NVL trực tiếp</t>
        </is>
      </c>
      <c r="T3" s="70" t="inlineStr">
        <is>
          <t>NVL trực tiếp (621)</t>
        </is>
      </c>
      <c r="U3" s="70" t="inlineStr">
        <is>
          <t>NVL trực tiếp (621)</t>
        </is>
      </c>
      <c r="V3" s="70" t="inlineStr">
        <is>
          <t>Cố định</t>
        </is>
      </c>
      <c r="W3" s="70" t="inlineStr">
        <is>
          <t>Trực tiếp</t>
        </is>
      </c>
      <c r="X3" s="70" t="inlineStr">
        <is>
          <t>Đang thực hiện</t>
        </is>
      </c>
      <c r="Y3" s="53" t="inlineStr">
        <is>
          <t>NVL trực tiếp (621)</t>
        </is>
      </c>
      <c r="Z3" s="53" t="inlineStr">
        <is>
          <t>621</t>
        </is>
      </c>
      <c r="AB3" s="53" t="inlineStr">
        <is>
          <t>CHUNG</t>
        </is>
      </c>
    </row>
    <row r="4" ht="15" customHeight="1" s="54">
      <c r="A4" s="66" t="inlineStr">
        <is>
          <t>Kỳ tính giá thành</t>
        </is>
      </c>
      <c r="B4" s="67" t="inlineStr">
        <is>
          <t>Tháng 08/2026</t>
        </is>
      </c>
      <c r="C4" s="68" t="n"/>
      <c r="D4" s="68" t="n"/>
      <c r="E4" s="69" t="n"/>
      <c r="P4" s="70" t="inlineStr">
        <is>
          <t>Sản xuất theo đơn đặt hàng</t>
        </is>
      </c>
      <c r="Q4" s="70" t="inlineStr">
        <is>
          <t>Đơn hàng</t>
        </is>
      </c>
      <c r="R4" s="70" t="inlineStr">
        <is>
          <t>Hệ số</t>
        </is>
      </c>
      <c r="S4" s="70" t="inlineStr">
        <is>
          <t>Theo sản lượng hoàn thành tương đương</t>
        </is>
      </c>
      <c r="T4" s="70" t="inlineStr">
        <is>
          <t>Nhân công trực tiếp (622)</t>
        </is>
      </c>
      <c r="U4" s="70" t="inlineStr">
        <is>
          <t>Nhân công trực tiếp (622)</t>
        </is>
      </c>
      <c r="V4" s="70" t="inlineStr">
        <is>
          <t>Biến đổi</t>
        </is>
      </c>
      <c r="W4" s="70" t="inlineStr">
        <is>
          <t>Chung</t>
        </is>
      </c>
      <c r="X4" s="70" t="inlineStr">
        <is>
          <t>Hoàn thành</t>
        </is>
      </c>
      <c r="Y4" s="53" t="inlineStr">
        <is>
          <t>Nhân công trực tiếp (622)</t>
        </is>
      </c>
      <c r="Z4" s="53" t="inlineStr">
        <is>
          <t>622</t>
        </is>
      </c>
      <c r="AB4" s="53">
        <f>IF(INDEX(DM_Ma,1)="","",INDEX(DM_Ma,1))</f>
        <v/>
      </c>
    </row>
    <row r="5" ht="15" customHeight="1" s="54">
      <c r="A5" s="66" t="inlineStr">
        <is>
          <t>Từ ngày</t>
        </is>
      </c>
      <c r="B5" s="71" t="n">
        <v>46235</v>
      </c>
      <c r="P5" s="70" t="inlineStr">
        <is>
          <t>Xây lắp</t>
        </is>
      </c>
      <c r="Q5" s="70" t="inlineStr">
        <is>
          <t>Công trình / Hạng mục</t>
        </is>
      </c>
      <c r="R5" s="70" t="inlineStr">
        <is>
          <t>Tỷ lệ</t>
        </is>
      </c>
      <c r="S5" s="70" t="inlineStr">
        <is>
          <t>Theo định mức</t>
        </is>
      </c>
      <c r="T5" s="70" t="inlineStr">
        <is>
          <t>Giờ máy</t>
        </is>
      </c>
      <c r="U5" s="70" t="inlineStr">
        <is>
          <t>Máy thi công (623)</t>
        </is>
      </c>
      <c r="V5" s="70" t="inlineStr">
        <is>
          <t>—</t>
        </is>
      </c>
      <c r="Y5" s="53" t="inlineStr">
        <is>
          <t>Máy thi công (623)</t>
        </is>
      </c>
      <c r="Z5" s="53" t="inlineStr">
        <is>
          <t>623</t>
        </is>
      </c>
      <c r="AB5" s="53">
        <f>IF(INDEX(DM_Ma,2)="","",INDEX(DM_Ma,2))</f>
        <v/>
      </c>
    </row>
    <row r="6" ht="15" customHeight="1" s="54">
      <c r="A6" s="66" t="inlineStr">
        <is>
          <t>Đến ngày</t>
        </is>
      </c>
      <c r="B6" s="71" t="n">
        <v>46265</v>
      </c>
      <c r="P6" s="70" t="inlineStr">
        <is>
          <t>Dịch vụ – gia công</t>
        </is>
      </c>
      <c r="Q6" s="70" t="inlineStr">
        <is>
          <t>Dịch vụ</t>
        </is>
      </c>
      <c r="R6" s="70" t="inlineStr">
        <is>
          <t>Đơn đặt hàng</t>
        </is>
      </c>
      <c r="T6" s="70" t="inlineStr">
        <is>
          <t>Giờ công</t>
        </is>
      </c>
      <c r="U6" s="70" t="inlineStr">
        <is>
          <t>SXC (627)</t>
        </is>
      </c>
      <c r="Y6" s="53" t="inlineStr">
        <is>
          <t>SXC (627)</t>
        </is>
      </c>
      <c r="Z6" s="53" t="inlineStr">
        <is>
          <t>627</t>
        </is>
      </c>
      <c r="AB6" s="53">
        <f>IF(INDEX(DM_Ma,3)="","",INDEX(DM_Ma,3))</f>
        <v/>
      </c>
    </row>
    <row r="7" ht="15" customHeight="1" s="54">
      <c r="A7" s="66" t="inlineStr">
        <is>
          <t>Đơn vị tiền tệ</t>
        </is>
      </c>
      <c r="B7" s="67" t="inlineStr">
        <is>
          <t>VND</t>
        </is>
      </c>
      <c r="T7" s="70" t="inlineStr">
        <is>
          <t>Sản lượng</t>
        </is>
      </c>
      <c r="U7" s="70" t="inlineStr">
        <is>
          <t>Phế liệu thu hồi</t>
        </is>
      </c>
      <c r="Y7" s="53" t="inlineStr">
        <is>
          <t>Phế liệu thu hồi</t>
        </is>
      </c>
      <c r="Z7" s="53" t="inlineStr">
        <is>
          <t>154*</t>
        </is>
      </c>
      <c r="AB7" s="53">
        <f>IF(INDEX(DM_Ma,4)="","",INDEX(DM_Ma,4))</f>
        <v/>
      </c>
    </row>
    <row r="8" ht="15" customHeight="1" s="54">
      <c r="A8" s="66" t="inlineStr">
        <is>
          <t>Người lập</t>
        </is>
      </c>
      <c r="B8" s="67" t="n"/>
      <c r="C8" s="68" t="n"/>
      <c r="D8" s="68" t="n"/>
      <c r="E8" s="69" t="n"/>
      <c r="T8" s="70" t="inlineStr">
        <is>
          <t>Doanh thu</t>
        </is>
      </c>
      <c r="U8" s="70" t="inlineStr">
        <is>
          <t>SP hỏng ngoài định mức</t>
        </is>
      </c>
      <c r="Y8" s="53" t="inlineStr">
        <is>
          <t>SP hỏng ngoài định mức</t>
        </is>
      </c>
      <c r="Z8" s="53" t="inlineStr">
        <is>
          <t>154*</t>
        </is>
      </c>
      <c r="AB8" s="53">
        <f>IF(INDEX(DM_Ma,5)="","",INDEX(DM_Ma,5))</f>
        <v/>
      </c>
    </row>
    <row r="9" ht="15" customHeight="1" s="54">
      <c r="A9" s="66" t="inlineStr">
        <is>
          <t>Ngày lập</t>
        </is>
      </c>
      <c r="B9" s="71" t="n">
        <v>46265</v>
      </c>
      <c r="T9" s="70" t="inlineStr">
        <is>
          <t>Tiêu thức khác</t>
        </is>
      </c>
      <c r="AB9" s="53">
        <f>IF(INDEX(DM_Ma,6)="","",INDEX(DM_Ma,6))</f>
        <v/>
      </c>
    </row>
    <row r="10" ht="15" customHeight="1" s="54">
      <c r="A10" s="66" t="inlineStr">
        <is>
          <t>Phiên bản file</t>
        </is>
      </c>
      <c r="B10" s="67" t="inlineStr">
        <is>
          <t>2.0</t>
        </is>
      </c>
      <c r="AB10" s="53">
        <f>IF(INDEX(DM_Ma,7)="","",INDEX(DM_Ma,7))</f>
        <v/>
      </c>
    </row>
    <row r="11" ht="15" customHeight="1" s="54">
      <c r="AB11" s="53">
        <f>IF(INDEX(DM_Ma,8)="","",INDEX(DM_Ma,8))</f>
        <v/>
      </c>
    </row>
    <row r="12" ht="15" customHeight="1" s="54">
      <c r="A12" s="66" t="inlineStr">
        <is>
          <t>Loại hình SXKD</t>
        </is>
      </c>
      <c r="B12" s="67" t="inlineStr">
        <is>
          <t>Sản xuất giản đơn</t>
        </is>
      </c>
      <c r="C12" s="68" t="n"/>
      <c r="D12" s="68" t="n"/>
      <c r="E12" s="69" t="n"/>
      <c r="AB12" s="53">
        <f>IF(INDEX(DM_Ma,9)="","",INDEX(DM_Ma,9))</f>
        <v/>
      </c>
    </row>
    <row r="13" ht="23.85" customHeight="1" s="54">
      <c r="A13" s="66" t="inlineStr">
        <is>
          <t>Phương pháp tính giá thành</t>
        </is>
      </c>
      <c r="B13" s="67" t="inlineStr">
        <is>
          <t>Giản đơn</t>
        </is>
      </c>
      <c r="C13" s="68" t="n"/>
      <c r="D13" s="68" t="n"/>
      <c r="E13" s="69" t="n"/>
      <c r="AB13" s="53">
        <f>IF(INDEX(DM_Ma,10)="","",INDEX(DM_Ma,10))</f>
        <v/>
      </c>
    </row>
    <row r="14" ht="23.85" customHeight="1" s="54">
      <c r="A14" s="66" t="inlineStr">
        <is>
          <t>Đánh giá dở dang cuối kỳ</t>
        </is>
      </c>
      <c r="B14" s="67" t="inlineStr">
        <is>
          <t>Theo sản lượng hoàn thành tương đương</t>
        </is>
      </c>
      <c r="C14" s="68" t="n"/>
      <c r="D14" s="68" t="n"/>
      <c r="E14" s="69" t="n"/>
      <c r="AB14" s="53">
        <f>IF(INDEX(DM_Ma,11)="","",INDEX(DM_Ma,11))</f>
        <v/>
      </c>
    </row>
    <row r="15" ht="23.85" customHeight="1" s="54">
      <c r="A15" s="66" t="inlineStr">
        <is>
          <t>Tiêu thức phân bổ chi phí chung</t>
        </is>
      </c>
      <c r="B15" s="67" t="inlineStr">
        <is>
          <t>Nhân công trực tiếp (622)</t>
        </is>
      </c>
      <c r="C15" s="68" t="n"/>
      <c r="D15" s="68" t="n"/>
      <c r="E15" s="69" t="n"/>
      <c r="AB15" s="53">
        <f>IF(INDEX(DM_Ma,12)="","",INDEX(DM_Ma,12))</f>
        <v/>
      </c>
    </row>
    <row r="16" ht="35.05" customHeight="1" s="54">
      <c r="A16" s="66" t="inlineStr">
        <is>
          <t>Công suất bình thường (giờ máy/kỳ)</t>
        </is>
      </c>
      <c r="B16" s="72" t="n">
        <v>1000</v>
      </c>
      <c r="AB16" s="53">
        <f>IF(INDEX(DM_Ma,13)="","",INDEX(DM_Ma,13))</f>
        <v/>
      </c>
    </row>
    <row r="17" ht="35.05" customHeight="1" s="54">
      <c r="A17" s="66" t="inlineStr">
        <is>
          <t>Mức hoạt động thực tế (giờ máy/kỳ)</t>
        </is>
      </c>
      <c r="B17" s="72" t="n">
        <v>900</v>
      </c>
      <c r="AB17" s="53">
        <f>IF(INDEX(DM_Ma,14)="","",INDEX(DM_Ma,14))</f>
        <v/>
      </c>
    </row>
    <row r="18" ht="23.85" customHeight="1" s="54">
      <c r="A18" s="66" t="inlineStr">
        <is>
          <t>→ Tên đối tượng tính giá thành</t>
        </is>
      </c>
      <c r="B18" s="73">
        <f>INDEX(MAP_TenDT,MATCH(pLoaiHinh,LST_LoaiHinh,0))</f>
        <v/>
      </c>
      <c r="AB18" s="53">
        <f>IF(INDEX(DM_Ma,15)="","",INDEX(DM_Ma,15))</f>
        <v/>
      </c>
    </row>
    <row r="19" ht="15" customHeight="1" s="54">
      <c r="AB19" s="53">
        <f>IF(INDEX(DM_Ma,16)="","",INDEX(DM_Ma,16))</f>
        <v/>
      </c>
    </row>
    <row r="20" ht="15" customHeight="1" s="54">
      <c r="A20" s="63" t="inlineStr">
        <is>
          <t>DANH MỤC ĐỐI TƯỢNG TÍNH GIÁ THÀNH — thêm đối tượng tự do (đã chừa sẵn 80 dòng)</t>
        </is>
      </c>
      <c r="AB20" s="53">
        <f>IF(INDEX(DM_Ma,17)="","",INDEX(DM_Ma,17))</f>
        <v/>
      </c>
    </row>
    <row r="21" ht="23.85" customHeight="1" s="54">
      <c r="A21" s="74" t="inlineStr">
        <is>
          <t>Mã đối tượng</t>
        </is>
      </c>
      <c r="B21" s="74" t="inlineStr">
        <is>
          <t>Tên đối tượng</t>
        </is>
      </c>
      <c r="C21" s="74" t="inlineStr">
        <is>
          <t>Loại hình</t>
        </is>
      </c>
      <c r="D21" s="74" t="inlineStr">
        <is>
          <t>ĐVT</t>
        </is>
      </c>
      <c r="E21" s="74" t="inlineStr">
        <is>
          <t>SL hoàn thành</t>
        </is>
      </c>
      <c r="F21" s="74" t="inlineStr">
        <is>
          <t>Giờ máy</t>
        </is>
      </c>
      <c r="G21" s="74" t="inlineStr">
        <is>
          <t>Giờ công</t>
        </is>
      </c>
      <c r="H21" s="74" t="inlineStr">
        <is>
          <t>Doanh thu</t>
        </is>
      </c>
      <c r="I21" s="74" t="inlineStr">
        <is>
          <t>Tiêu thức khác</t>
        </is>
      </c>
      <c r="J21" s="74" t="inlineStr">
        <is>
          <t>Hệ số quy đổi</t>
        </is>
      </c>
      <c r="K21" s="74" t="inlineStr">
        <is>
          <t>Giá thành ĐM đơn vị</t>
        </is>
      </c>
      <c r="L21" s="74" t="inlineStr">
        <is>
          <t>Trạng thái</t>
        </is>
      </c>
      <c r="M21" s="74" t="inlineStr">
        <is>
          <t>(K.tra trùng)</t>
        </is>
      </c>
      <c r="N21" s="74" t="inlineStr">
        <is>
          <t>(K.tra mã)</t>
        </is>
      </c>
      <c r="AB21" s="53">
        <f>IF(INDEX(DM_Ma,18)="","",INDEX(DM_Ma,18))</f>
        <v/>
      </c>
    </row>
    <row r="22" ht="15" customHeight="1" s="54">
      <c r="A22" s="67" t="n"/>
      <c r="B22" s="67" t="n"/>
      <c r="C22" s="67" t="n"/>
      <c r="D22" s="67" t="n"/>
      <c r="E22" s="75" t="n"/>
      <c r="F22" s="75" t="n"/>
      <c r="G22" s="75" t="n"/>
      <c r="H22" s="75" t="n"/>
      <c r="I22" s="75" t="n"/>
      <c r="J22" s="76" t="n"/>
      <c r="K22" s="75" t="n"/>
      <c r="L22" s="67" t="n"/>
      <c r="M22" s="77">
        <f>IF($A22="","",IF(COUNTIF(DM_Ma,$A22)&gt;1,"TRÙNG",""))</f>
        <v/>
      </c>
      <c r="N22" s="77">
        <f>IF(AND($A22="",$B22&lt;&gt;""),"THIẾU MÃ","")</f>
        <v/>
      </c>
      <c r="AB22" s="53">
        <f>IF(INDEX(DM_Ma,19)="","",INDEX(DM_Ma,19))</f>
        <v/>
      </c>
    </row>
    <row r="23" ht="15" customHeight="1" s="54">
      <c r="A23" s="67" t="n"/>
      <c r="B23" s="67" t="n"/>
      <c r="C23" s="67" t="n"/>
      <c r="D23" s="67" t="n"/>
      <c r="E23" s="75" t="n"/>
      <c r="F23" s="75" t="n"/>
      <c r="G23" s="75" t="n"/>
      <c r="H23" s="75" t="n"/>
      <c r="I23" s="75" t="n"/>
      <c r="J23" s="76" t="n"/>
      <c r="K23" s="75" t="n"/>
      <c r="L23" s="67" t="n"/>
      <c r="M23" s="77">
        <f>IF($A23="","",IF(COUNTIF(DM_Ma,$A23)&gt;1,"TRÙNG",""))</f>
        <v/>
      </c>
      <c r="N23" s="77">
        <f>IF(AND($A23="",$B23&lt;&gt;""),"THIẾU MÃ","")</f>
        <v/>
      </c>
      <c r="AB23" s="53">
        <f>IF(INDEX(DM_Ma,20)="","",INDEX(DM_Ma,20))</f>
        <v/>
      </c>
    </row>
    <row r="24" ht="15" customHeight="1" s="54">
      <c r="A24" s="67" t="n"/>
      <c r="B24" s="67" t="n"/>
      <c r="C24" s="67" t="n"/>
      <c r="D24" s="67" t="n"/>
      <c r="E24" s="75" t="n"/>
      <c r="F24" s="75" t="n"/>
      <c r="G24" s="75" t="n"/>
      <c r="H24" s="75" t="n"/>
      <c r="I24" s="75" t="n"/>
      <c r="J24" s="76" t="n"/>
      <c r="K24" s="75" t="n"/>
      <c r="L24" s="67" t="n"/>
      <c r="M24" s="77">
        <f>IF($A24="","",IF(COUNTIF(DM_Ma,$A24)&gt;1,"TRÙNG",""))</f>
        <v/>
      </c>
      <c r="N24" s="77">
        <f>IF(AND($A24="",$B24&lt;&gt;""),"THIẾU MÃ","")</f>
        <v/>
      </c>
      <c r="AB24" s="53">
        <f>IF(INDEX(DM_Ma,21)="","",INDEX(DM_Ma,21))</f>
        <v/>
      </c>
    </row>
    <row r="25" ht="15" customHeight="1" s="54">
      <c r="A25" s="67" t="n"/>
      <c r="B25" s="67" t="n"/>
      <c r="C25" s="67" t="n"/>
      <c r="D25" s="67" t="n"/>
      <c r="E25" s="75" t="n"/>
      <c r="F25" s="75" t="n"/>
      <c r="G25" s="75" t="n"/>
      <c r="H25" s="75" t="n"/>
      <c r="I25" s="75" t="n"/>
      <c r="J25" s="76" t="n"/>
      <c r="K25" s="75" t="n"/>
      <c r="L25" s="67" t="n"/>
      <c r="M25" s="77">
        <f>IF($A25="","",IF(COUNTIF(DM_Ma,$A25)&gt;1,"TRÙNG",""))</f>
        <v/>
      </c>
      <c r="N25" s="77">
        <f>IF(AND($A25="",$B25&lt;&gt;""),"THIẾU MÃ","")</f>
        <v/>
      </c>
      <c r="AB25" s="53">
        <f>IF(INDEX(DM_Ma,22)="","",INDEX(DM_Ma,22))</f>
        <v/>
      </c>
    </row>
    <row r="26" ht="15" customHeight="1" s="54">
      <c r="A26" s="67" t="n"/>
      <c r="B26" s="67" t="n"/>
      <c r="C26" s="67" t="n"/>
      <c r="D26" s="67" t="n"/>
      <c r="E26" s="75" t="n"/>
      <c r="F26" s="75" t="n"/>
      <c r="G26" s="75" t="n"/>
      <c r="H26" s="75" t="n"/>
      <c r="I26" s="75" t="n"/>
      <c r="J26" s="76" t="n"/>
      <c r="K26" s="75" t="n"/>
      <c r="L26" s="67" t="n"/>
      <c r="M26" s="77">
        <f>IF($A26="","",IF(COUNTIF(DM_Ma,$A26)&gt;1,"TRÙNG",""))</f>
        <v/>
      </c>
      <c r="N26" s="77">
        <f>IF(AND($A26="",$B26&lt;&gt;""),"THIẾU MÃ","")</f>
        <v/>
      </c>
      <c r="AB26" s="53">
        <f>IF(INDEX(DM_Ma,23)="","",INDEX(DM_Ma,23))</f>
        <v/>
      </c>
    </row>
    <row r="27" ht="15" customHeight="1" s="54">
      <c r="A27" s="67" t="n"/>
      <c r="B27" s="67" t="n"/>
      <c r="C27" s="67" t="n"/>
      <c r="D27" s="67" t="n"/>
      <c r="E27" s="75" t="n"/>
      <c r="F27" s="75" t="n"/>
      <c r="G27" s="75" t="n"/>
      <c r="H27" s="75" t="n"/>
      <c r="I27" s="75" t="n"/>
      <c r="J27" s="76" t="n"/>
      <c r="K27" s="75" t="n"/>
      <c r="L27" s="67" t="n"/>
      <c r="M27" s="77">
        <f>IF($A27="","",IF(COUNTIF(DM_Ma,$A27)&gt;1,"TRÙNG",""))</f>
        <v/>
      </c>
      <c r="N27" s="77">
        <f>IF(AND($A27="",$B27&lt;&gt;""),"THIẾU MÃ","")</f>
        <v/>
      </c>
      <c r="AB27" s="53">
        <f>IF(INDEX(DM_Ma,24)="","",INDEX(DM_Ma,24))</f>
        <v/>
      </c>
    </row>
    <row r="28" ht="15" customHeight="1" s="54">
      <c r="A28" s="67" t="n"/>
      <c r="B28" s="67" t="n"/>
      <c r="C28" s="67" t="n"/>
      <c r="D28" s="67" t="n"/>
      <c r="E28" s="75" t="n"/>
      <c r="F28" s="75" t="n"/>
      <c r="G28" s="75" t="n"/>
      <c r="H28" s="75" t="n"/>
      <c r="I28" s="75" t="n"/>
      <c r="J28" s="76" t="n"/>
      <c r="K28" s="75" t="n"/>
      <c r="L28" s="67" t="n"/>
      <c r="M28" s="77">
        <f>IF($A28="","",IF(COUNTIF(DM_Ma,$A28)&gt;1,"TRÙNG",""))</f>
        <v/>
      </c>
      <c r="N28" s="77">
        <f>IF(AND($A28="",$B28&lt;&gt;""),"THIẾU MÃ","")</f>
        <v/>
      </c>
      <c r="AB28" s="53">
        <f>IF(INDEX(DM_Ma,25)="","",INDEX(DM_Ma,25))</f>
        <v/>
      </c>
    </row>
    <row r="29" ht="15" customHeight="1" s="54">
      <c r="A29" s="67" t="n"/>
      <c r="B29" s="67" t="n"/>
      <c r="C29" s="67" t="n"/>
      <c r="D29" s="67" t="n"/>
      <c r="E29" s="75" t="n"/>
      <c r="F29" s="75" t="n"/>
      <c r="G29" s="75" t="n"/>
      <c r="H29" s="75" t="n"/>
      <c r="I29" s="75" t="n"/>
      <c r="J29" s="76" t="n"/>
      <c r="K29" s="75" t="n"/>
      <c r="L29" s="67" t="n"/>
      <c r="M29" s="77">
        <f>IF($A29="","",IF(COUNTIF(DM_Ma,$A29)&gt;1,"TRÙNG",""))</f>
        <v/>
      </c>
      <c r="N29" s="77">
        <f>IF(AND($A29="",$B29&lt;&gt;""),"THIẾU MÃ","")</f>
        <v/>
      </c>
      <c r="AB29" s="53">
        <f>IF(INDEX(DM_Ma,26)="","",INDEX(DM_Ma,26))</f>
        <v/>
      </c>
    </row>
    <row r="30" ht="15" customHeight="1" s="54">
      <c r="A30" s="67" t="n"/>
      <c r="B30" s="67" t="n"/>
      <c r="C30" s="67" t="n"/>
      <c r="D30" s="67" t="n"/>
      <c r="E30" s="75" t="n"/>
      <c r="F30" s="75" t="n"/>
      <c r="G30" s="75" t="n"/>
      <c r="H30" s="75" t="n"/>
      <c r="I30" s="75" t="n"/>
      <c r="J30" s="76" t="n"/>
      <c r="K30" s="75" t="n"/>
      <c r="L30" s="67" t="n"/>
      <c r="M30" s="77">
        <f>IF($A30="","",IF(COUNTIF(DM_Ma,$A30)&gt;1,"TRÙNG",""))</f>
        <v/>
      </c>
      <c r="N30" s="77">
        <f>IF(AND($A30="",$B30&lt;&gt;""),"THIẾU MÃ","")</f>
        <v/>
      </c>
      <c r="AB30" s="53">
        <f>IF(INDEX(DM_Ma,27)="","",INDEX(DM_Ma,27))</f>
        <v/>
      </c>
    </row>
    <row r="31" ht="15" customHeight="1" s="54">
      <c r="A31" s="67" t="n"/>
      <c r="B31" s="67" t="n"/>
      <c r="C31" s="67" t="n"/>
      <c r="D31" s="67" t="n"/>
      <c r="E31" s="75" t="n"/>
      <c r="F31" s="75" t="n"/>
      <c r="G31" s="75" t="n"/>
      <c r="H31" s="75" t="n"/>
      <c r="I31" s="75" t="n"/>
      <c r="J31" s="76" t="n"/>
      <c r="K31" s="75" t="n"/>
      <c r="L31" s="67" t="n"/>
      <c r="M31" s="77">
        <f>IF($A31="","",IF(COUNTIF(DM_Ma,$A31)&gt;1,"TRÙNG",""))</f>
        <v/>
      </c>
      <c r="N31" s="77">
        <f>IF(AND($A31="",$B31&lt;&gt;""),"THIẾU MÃ","")</f>
        <v/>
      </c>
      <c r="AB31" s="53">
        <f>IF(INDEX(DM_Ma,28)="","",INDEX(DM_Ma,28))</f>
        <v/>
      </c>
    </row>
    <row r="32" ht="15" customHeight="1" s="54">
      <c r="A32" s="67" t="n"/>
      <c r="B32" s="67" t="n"/>
      <c r="C32" s="67" t="n"/>
      <c r="D32" s="67" t="n"/>
      <c r="E32" s="75" t="n"/>
      <c r="F32" s="75" t="n"/>
      <c r="G32" s="75" t="n"/>
      <c r="H32" s="75" t="n"/>
      <c r="I32" s="75" t="n"/>
      <c r="J32" s="76" t="n"/>
      <c r="K32" s="75" t="n"/>
      <c r="L32" s="67" t="n"/>
      <c r="M32" s="77">
        <f>IF($A32="","",IF(COUNTIF(DM_Ma,$A32)&gt;1,"TRÙNG",""))</f>
        <v/>
      </c>
      <c r="N32" s="77">
        <f>IF(AND($A32="",$B32&lt;&gt;""),"THIẾU MÃ","")</f>
        <v/>
      </c>
      <c r="AB32" s="53">
        <f>IF(INDEX(DM_Ma,29)="","",INDEX(DM_Ma,29))</f>
        <v/>
      </c>
    </row>
    <row r="33" ht="15" customHeight="1" s="54">
      <c r="A33" s="67" t="n"/>
      <c r="B33" s="67" t="n"/>
      <c r="C33" s="67" t="n"/>
      <c r="D33" s="67" t="n"/>
      <c r="E33" s="75" t="n"/>
      <c r="F33" s="75" t="n"/>
      <c r="G33" s="75" t="n"/>
      <c r="H33" s="75" t="n"/>
      <c r="I33" s="75" t="n"/>
      <c r="J33" s="76" t="n"/>
      <c r="K33" s="75" t="n"/>
      <c r="L33" s="67" t="n"/>
      <c r="M33" s="77">
        <f>IF($A33="","",IF(COUNTIF(DM_Ma,$A33)&gt;1,"TRÙNG",""))</f>
        <v/>
      </c>
      <c r="N33" s="77">
        <f>IF(AND($A33="",$B33&lt;&gt;""),"THIẾU MÃ","")</f>
        <v/>
      </c>
      <c r="AB33" s="53">
        <f>IF(INDEX(DM_Ma,30)="","",INDEX(DM_Ma,30))</f>
        <v/>
      </c>
    </row>
    <row r="34" ht="15" customHeight="1" s="54">
      <c r="A34" s="67" t="n"/>
      <c r="B34" s="67" t="n"/>
      <c r="C34" s="67" t="n"/>
      <c r="D34" s="67" t="n"/>
      <c r="E34" s="75" t="n"/>
      <c r="F34" s="75" t="n"/>
      <c r="G34" s="75" t="n"/>
      <c r="H34" s="75" t="n"/>
      <c r="I34" s="75" t="n"/>
      <c r="J34" s="76" t="n"/>
      <c r="K34" s="75" t="n"/>
      <c r="L34" s="67" t="n"/>
      <c r="M34" s="77">
        <f>IF($A34="","",IF(COUNTIF(DM_Ma,$A34)&gt;1,"TRÙNG",""))</f>
        <v/>
      </c>
      <c r="N34" s="77">
        <f>IF(AND($A34="",$B34&lt;&gt;""),"THIẾU MÃ","")</f>
        <v/>
      </c>
      <c r="AB34" s="53">
        <f>IF(INDEX(DM_Ma,31)="","",INDEX(DM_Ma,31))</f>
        <v/>
      </c>
    </row>
    <row r="35" ht="15" customHeight="1" s="54">
      <c r="A35" s="67" t="n"/>
      <c r="B35" s="67" t="n"/>
      <c r="C35" s="67" t="n"/>
      <c r="D35" s="67" t="n"/>
      <c r="E35" s="75" t="n"/>
      <c r="F35" s="75" t="n"/>
      <c r="G35" s="75" t="n"/>
      <c r="H35" s="75" t="n"/>
      <c r="I35" s="75" t="n"/>
      <c r="J35" s="76" t="n"/>
      <c r="K35" s="75" t="n"/>
      <c r="L35" s="67" t="n"/>
      <c r="M35" s="77">
        <f>IF($A35="","",IF(COUNTIF(DM_Ma,$A35)&gt;1,"TRÙNG",""))</f>
        <v/>
      </c>
      <c r="N35" s="77">
        <f>IF(AND($A35="",$B35&lt;&gt;""),"THIẾU MÃ","")</f>
        <v/>
      </c>
      <c r="AB35" s="53">
        <f>IF(INDEX(DM_Ma,32)="","",INDEX(DM_Ma,32))</f>
        <v/>
      </c>
    </row>
    <row r="36" ht="15" customHeight="1" s="54">
      <c r="A36" s="67" t="n"/>
      <c r="B36" s="67" t="n"/>
      <c r="C36" s="67" t="n"/>
      <c r="D36" s="67" t="n"/>
      <c r="E36" s="75" t="n"/>
      <c r="F36" s="75" t="n"/>
      <c r="G36" s="75" t="n"/>
      <c r="H36" s="75" t="n"/>
      <c r="I36" s="75" t="n"/>
      <c r="J36" s="76" t="n"/>
      <c r="K36" s="75" t="n"/>
      <c r="L36" s="67" t="n"/>
      <c r="M36" s="77">
        <f>IF($A36="","",IF(COUNTIF(DM_Ma,$A36)&gt;1,"TRÙNG",""))</f>
        <v/>
      </c>
      <c r="N36" s="77">
        <f>IF(AND($A36="",$B36&lt;&gt;""),"THIẾU MÃ","")</f>
        <v/>
      </c>
      <c r="AB36" s="53">
        <f>IF(INDEX(DM_Ma,33)="","",INDEX(DM_Ma,33))</f>
        <v/>
      </c>
    </row>
    <row r="37" ht="15" customHeight="1" s="54">
      <c r="A37" s="67" t="n"/>
      <c r="B37" s="67" t="n"/>
      <c r="C37" s="67" t="n"/>
      <c r="D37" s="67" t="n"/>
      <c r="E37" s="75" t="n"/>
      <c r="F37" s="75" t="n"/>
      <c r="G37" s="75" t="n"/>
      <c r="H37" s="75" t="n"/>
      <c r="I37" s="75" t="n"/>
      <c r="J37" s="76" t="n"/>
      <c r="K37" s="75" t="n"/>
      <c r="L37" s="67" t="n"/>
      <c r="M37" s="77">
        <f>IF($A37="","",IF(COUNTIF(DM_Ma,$A37)&gt;1,"TRÙNG",""))</f>
        <v/>
      </c>
      <c r="N37" s="77">
        <f>IF(AND($A37="",$B37&lt;&gt;""),"THIẾU MÃ","")</f>
        <v/>
      </c>
      <c r="AB37" s="53">
        <f>IF(INDEX(DM_Ma,34)="","",INDEX(DM_Ma,34))</f>
        <v/>
      </c>
    </row>
    <row r="38" ht="15" customHeight="1" s="54">
      <c r="A38" s="67" t="n"/>
      <c r="B38" s="67" t="n"/>
      <c r="C38" s="67" t="n"/>
      <c r="D38" s="67" t="n"/>
      <c r="E38" s="75" t="n"/>
      <c r="F38" s="75" t="n"/>
      <c r="G38" s="75" t="n"/>
      <c r="H38" s="75" t="n"/>
      <c r="I38" s="75" t="n"/>
      <c r="J38" s="76" t="n"/>
      <c r="K38" s="75" t="n"/>
      <c r="L38" s="67" t="n"/>
      <c r="M38" s="77">
        <f>IF($A38="","",IF(COUNTIF(DM_Ma,$A38)&gt;1,"TRÙNG",""))</f>
        <v/>
      </c>
      <c r="N38" s="77">
        <f>IF(AND($A38="",$B38&lt;&gt;""),"THIẾU MÃ","")</f>
        <v/>
      </c>
      <c r="AB38" s="53">
        <f>IF(INDEX(DM_Ma,35)="","",INDEX(DM_Ma,35))</f>
        <v/>
      </c>
    </row>
    <row r="39" ht="15" customHeight="1" s="54">
      <c r="A39" s="67" t="n"/>
      <c r="B39" s="67" t="n"/>
      <c r="C39" s="67" t="n"/>
      <c r="D39" s="67" t="n"/>
      <c r="E39" s="75" t="n"/>
      <c r="F39" s="75" t="n"/>
      <c r="G39" s="75" t="n"/>
      <c r="H39" s="75" t="n"/>
      <c r="I39" s="75" t="n"/>
      <c r="J39" s="76" t="n"/>
      <c r="K39" s="75" t="n"/>
      <c r="L39" s="67" t="n"/>
      <c r="M39" s="77">
        <f>IF($A39="","",IF(COUNTIF(DM_Ma,$A39)&gt;1,"TRÙNG",""))</f>
        <v/>
      </c>
      <c r="N39" s="77">
        <f>IF(AND($A39="",$B39&lt;&gt;""),"THIẾU MÃ","")</f>
        <v/>
      </c>
      <c r="AB39" s="53">
        <f>IF(INDEX(DM_Ma,36)="","",INDEX(DM_Ma,36))</f>
        <v/>
      </c>
    </row>
    <row r="40" ht="15" customHeight="1" s="54">
      <c r="A40" s="67" t="n"/>
      <c r="B40" s="67" t="n"/>
      <c r="C40" s="67" t="n"/>
      <c r="D40" s="67" t="n"/>
      <c r="E40" s="75" t="n"/>
      <c r="F40" s="75" t="n"/>
      <c r="G40" s="75" t="n"/>
      <c r="H40" s="75" t="n"/>
      <c r="I40" s="75" t="n"/>
      <c r="J40" s="76" t="n"/>
      <c r="K40" s="75" t="n"/>
      <c r="L40" s="67" t="n"/>
      <c r="M40" s="77">
        <f>IF($A40="","",IF(COUNTIF(DM_Ma,$A40)&gt;1,"TRÙNG",""))</f>
        <v/>
      </c>
      <c r="N40" s="77">
        <f>IF(AND($A40="",$B40&lt;&gt;""),"THIẾU MÃ","")</f>
        <v/>
      </c>
      <c r="AB40" s="53">
        <f>IF(INDEX(DM_Ma,37)="","",INDEX(DM_Ma,37))</f>
        <v/>
      </c>
    </row>
    <row r="41" ht="15" customHeight="1" s="54">
      <c r="A41" s="67" t="n"/>
      <c r="B41" s="67" t="n"/>
      <c r="C41" s="67" t="n"/>
      <c r="D41" s="67" t="n"/>
      <c r="E41" s="75" t="n"/>
      <c r="F41" s="75" t="n"/>
      <c r="G41" s="75" t="n"/>
      <c r="H41" s="75" t="n"/>
      <c r="I41" s="75" t="n"/>
      <c r="J41" s="76" t="n"/>
      <c r="K41" s="75" t="n"/>
      <c r="L41" s="67" t="n"/>
      <c r="M41" s="77">
        <f>IF($A41="","",IF(COUNTIF(DM_Ma,$A41)&gt;1,"TRÙNG",""))</f>
        <v/>
      </c>
      <c r="N41" s="77">
        <f>IF(AND($A41="",$B41&lt;&gt;""),"THIẾU MÃ","")</f>
        <v/>
      </c>
      <c r="AB41" s="53">
        <f>IF(INDEX(DM_Ma,38)="","",INDEX(DM_Ma,38))</f>
        <v/>
      </c>
    </row>
    <row r="42" ht="15" customHeight="1" s="54">
      <c r="A42" s="67" t="n"/>
      <c r="B42" s="67" t="n"/>
      <c r="C42" s="67" t="n"/>
      <c r="D42" s="67" t="n"/>
      <c r="E42" s="75" t="n"/>
      <c r="F42" s="75" t="n"/>
      <c r="G42" s="75" t="n"/>
      <c r="H42" s="75" t="n"/>
      <c r="I42" s="75" t="n"/>
      <c r="J42" s="76" t="n"/>
      <c r="K42" s="75" t="n"/>
      <c r="L42" s="67" t="n"/>
      <c r="M42" s="77">
        <f>IF($A42="","",IF(COUNTIF(DM_Ma,$A42)&gt;1,"TRÙNG",""))</f>
        <v/>
      </c>
      <c r="N42" s="77">
        <f>IF(AND($A42="",$B42&lt;&gt;""),"THIẾU MÃ","")</f>
        <v/>
      </c>
      <c r="AB42" s="53">
        <f>IF(INDEX(DM_Ma,39)="","",INDEX(DM_Ma,39))</f>
        <v/>
      </c>
    </row>
    <row r="43" ht="15" customHeight="1" s="54">
      <c r="A43" s="67" t="n"/>
      <c r="B43" s="67" t="n"/>
      <c r="C43" s="67" t="n"/>
      <c r="D43" s="67" t="n"/>
      <c r="E43" s="75" t="n"/>
      <c r="F43" s="75" t="n"/>
      <c r="G43" s="75" t="n"/>
      <c r="H43" s="75" t="n"/>
      <c r="I43" s="75" t="n"/>
      <c r="J43" s="76" t="n"/>
      <c r="K43" s="75" t="n"/>
      <c r="L43" s="67" t="n"/>
      <c r="M43" s="77">
        <f>IF($A43="","",IF(COUNTIF(DM_Ma,$A43)&gt;1,"TRÙNG",""))</f>
        <v/>
      </c>
      <c r="N43" s="77">
        <f>IF(AND($A43="",$B43&lt;&gt;""),"THIẾU MÃ","")</f>
        <v/>
      </c>
      <c r="AB43" s="53">
        <f>IF(INDEX(DM_Ma,40)="","",INDEX(DM_Ma,40))</f>
        <v/>
      </c>
    </row>
    <row r="44" ht="15" customHeight="1" s="54">
      <c r="A44" s="67" t="n"/>
      <c r="B44" s="67" t="n"/>
      <c r="C44" s="67" t="n"/>
      <c r="D44" s="67" t="n"/>
      <c r="E44" s="75" t="n"/>
      <c r="F44" s="75" t="n"/>
      <c r="G44" s="75" t="n"/>
      <c r="H44" s="75" t="n"/>
      <c r="I44" s="75" t="n"/>
      <c r="J44" s="76" t="n"/>
      <c r="K44" s="75" t="n"/>
      <c r="L44" s="67" t="n"/>
      <c r="M44" s="77">
        <f>IF($A44="","",IF(COUNTIF(DM_Ma,$A44)&gt;1,"TRÙNG",""))</f>
        <v/>
      </c>
      <c r="N44" s="77">
        <f>IF(AND($A44="",$B44&lt;&gt;""),"THIẾU MÃ","")</f>
        <v/>
      </c>
      <c r="AB44" s="53">
        <f>IF(INDEX(DM_Ma,41)="","",INDEX(DM_Ma,41))</f>
        <v/>
      </c>
    </row>
    <row r="45" ht="15" customHeight="1" s="54">
      <c r="A45" s="67" t="n"/>
      <c r="B45" s="67" t="n"/>
      <c r="C45" s="67" t="n"/>
      <c r="D45" s="67" t="n"/>
      <c r="E45" s="75" t="n"/>
      <c r="F45" s="75" t="n"/>
      <c r="G45" s="75" t="n"/>
      <c r="H45" s="75" t="n"/>
      <c r="I45" s="75" t="n"/>
      <c r="J45" s="76" t="n"/>
      <c r="K45" s="75" t="n"/>
      <c r="L45" s="67" t="n"/>
      <c r="M45" s="77">
        <f>IF($A45="","",IF(COUNTIF(DM_Ma,$A45)&gt;1,"TRÙNG",""))</f>
        <v/>
      </c>
      <c r="N45" s="77">
        <f>IF(AND($A45="",$B45&lt;&gt;""),"THIẾU MÃ","")</f>
        <v/>
      </c>
      <c r="AB45" s="53">
        <f>IF(INDEX(DM_Ma,42)="","",INDEX(DM_Ma,42))</f>
        <v/>
      </c>
    </row>
    <row r="46" ht="15" customHeight="1" s="54">
      <c r="A46" s="67" t="n"/>
      <c r="B46" s="67" t="n"/>
      <c r="C46" s="67" t="n"/>
      <c r="D46" s="67" t="n"/>
      <c r="E46" s="75" t="n"/>
      <c r="F46" s="75" t="n"/>
      <c r="G46" s="75" t="n"/>
      <c r="H46" s="75" t="n"/>
      <c r="I46" s="75" t="n"/>
      <c r="J46" s="76" t="n"/>
      <c r="K46" s="75" t="n"/>
      <c r="L46" s="67" t="n"/>
      <c r="M46" s="77">
        <f>IF($A46="","",IF(COUNTIF(DM_Ma,$A46)&gt;1,"TRÙNG",""))</f>
        <v/>
      </c>
      <c r="N46" s="77">
        <f>IF(AND($A46="",$B46&lt;&gt;""),"THIẾU MÃ","")</f>
        <v/>
      </c>
      <c r="AB46" s="53">
        <f>IF(INDEX(DM_Ma,43)="","",INDEX(DM_Ma,43))</f>
        <v/>
      </c>
    </row>
    <row r="47" ht="15" customHeight="1" s="54">
      <c r="A47" s="67" t="n"/>
      <c r="B47" s="67" t="n"/>
      <c r="C47" s="67" t="n"/>
      <c r="D47" s="67" t="n"/>
      <c r="E47" s="75" t="n"/>
      <c r="F47" s="75" t="n"/>
      <c r="G47" s="75" t="n"/>
      <c r="H47" s="75" t="n"/>
      <c r="I47" s="75" t="n"/>
      <c r="J47" s="76" t="n"/>
      <c r="K47" s="75" t="n"/>
      <c r="L47" s="67" t="n"/>
      <c r="M47" s="77">
        <f>IF($A47="","",IF(COUNTIF(DM_Ma,$A47)&gt;1,"TRÙNG",""))</f>
        <v/>
      </c>
      <c r="N47" s="77">
        <f>IF(AND($A47="",$B47&lt;&gt;""),"THIẾU MÃ","")</f>
        <v/>
      </c>
      <c r="AB47" s="53">
        <f>IF(INDEX(DM_Ma,44)="","",INDEX(DM_Ma,44))</f>
        <v/>
      </c>
    </row>
    <row r="48" ht="15" customHeight="1" s="54">
      <c r="A48" s="67" t="n"/>
      <c r="B48" s="67" t="n"/>
      <c r="C48" s="67" t="n"/>
      <c r="D48" s="67" t="n"/>
      <c r="E48" s="75" t="n"/>
      <c r="F48" s="75" t="n"/>
      <c r="G48" s="75" t="n"/>
      <c r="H48" s="75" t="n"/>
      <c r="I48" s="75" t="n"/>
      <c r="J48" s="76" t="n"/>
      <c r="K48" s="75" t="n"/>
      <c r="L48" s="67" t="n"/>
      <c r="M48" s="77">
        <f>IF($A48="","",IF(COUNTIF(DM_Ma,$A48)&gt;1,"TRÙNG",""))</f>
        <v/>
      </c>
      <c r="N48" s="77">
        <f>IF(AND($A48="",$B48&lt;&gt;""),"THIẾU MÃ","")</f>
        <v/>
      </c>
      <c r="AB48" s="53">
        <f>IF(INDEX(DM_Ma,45)="","",INDEX(DM_Ma,45))</f>
        <v/>
      </c>
    </row>
    <row r="49" ht="15" customHeight="1" s="54">
      <c r="A49" s="67" t="n"/>
      <c r="B49" s="67" t="n"/>
      <c r="C49" s="67" t="n"/>
      <c r="D49" s="67" t="n"/>
      <c r="E49" s="75" t="n"/>
      <c r="F49" s="75" t="n"/>
      <c r="G49" s="75" t="n"/>
      <c r="H49" s="75" t="n"/>
      <c r="I49" s="75" t="n"/>
      <c r="J49" s="76" t="n"/>
      <c r="K49" s="75" t="n"/>
      <c r="L49" s="67" t="n"/>
      <c r="M49" s="77">
        <f>IF($A49="","",IF(COUNTIF(DM_Ma,$A49)&gt;1,"TRÙNG",""))</f>
        <v/>
      </c>
      <c r="N49" s="77">
        <f>IF(AND($A49="",$B49&lt;&gt;""),"THIẾU MÃ","")</f>
        <v/>
      </c>
      <c r="AB49" s="53">
        <f>IF(INDEX(DM_Ma,46)="","",INDEX(DM_Ma,46))</f>
        <v/>
      </c>
    </row>
    <row r="50" ht="15" customHeight="1" s="54">
      <c r="A50" s="67" t="n"/>
      <c r="B50" s="67" t="n"/>
      <c r="C50" s="67" t="n"/>
      <c r="D50" s="67" t="n"/>
      <c r="E50" s="75" t="n"/>
      <c r="F50" s="75" t="n"/>
      <c r="G50" s="75" t="n"/>
      <c r="H50" s="75" t="n"/>
      <c r="I50" s="75" t="n"/>
      <c r="J50" s="76" t="n"/>
      <c r="K50" s="75" t="n"/>
      <c r="L50" s="67" t="n"/>
      <c r="M50" s="77">
        <f>IF($A50="","",IF(COUNTIF(DM_Ma,$A50)&gt;1,"TRÙNG",""))</f>
        <v/>
      </c>
      <c r="N50" s="77">
        <f>IF(AND($A50="",$B50&lt;&gt;""),"THIẾU MÃ","")</f>
        <v/>
      </c>
      <c r="AB50" s="53">
        <f>IF(INDEX(DM_Ma,47)="","",INDEX(DM_Ma,47))</f>
        <v/>
      </c>
    </row>
    <row r="51" ht="15" customHeight="1" s="54">
      <c r="A51" s="67" t="n"/>
      <c r="B51" s="67" t="n"/>
      <c r="C51" s="67" t="n"/>
      <c r="D51" s="67" t="n"/>
      <c r="E51" s="75" t="n"/>
      <c r="F51" s="75" t="n"/>
      <c r="G51" s="75" t="n"/>
      <c r="H51" s="75" t="n"/>
      <c r="I51" s="75" t="n"/>
      <c r="J51" s="76" t="n"/>
      <c r="K51" s="75" t="n"/>
      <c r="L51" s="67" t="n"/>
      <c r="M51" s="77">
        <f>IF($A51="","",IF(COUNTIF(DM_Ma,$A51)&gt;1,"TRÙNG",""))</f>
        <v/>
      </c>
      <c r="N51" s="77">
        <f>IF(AND($A51="",$B51&lt;&gt;""),"THIẾU MÃ","")</f>
        <v/>
      </c>
      <c r="AB51" s="53">
        <f>IF(INDEX(DM_Ma,48)="","",INDEX(DM_Ma,48))</f>
        <v/>
      </c>
    </row>
    <row r="52" ht="15" customHeight="1" s="54">
      <c r="A52" s="67" t="n"/>
      <c r="B52" s="67" t="n"/>
      <c r="C52" s="67" t="n"/>
      <c r="D52" s="67" t="n"/>
      <c r="E52" s="75" t="n"/>
      <c r="F52" s="75" t="n"/>
      <c r="G52" s="75" t="n"/>
      <c r="H52" s="75" t="n"/>
      <c r="I52" s="75" t="n"/>
      <c r="J52" s="76" t="n"/>
      <c r="K52" s="75" t="n"/>
      <c r="L52" s="67" t="n"/>
      <c r="M52" s="77">
        <f>IF($A52="","",IF(COUNTIF(DM_Ma,$A52)&gt;1,"TRÙNG",""))</f>
        <v/>
      </c>
      <c r="N52" s="77">
        <f>IF(AND($A52="",$B52&lt;&gt;""),"THIẾU MÃ","")</f>
        <v/>
      </c>
      <c r="AB52" s="53">
        <f>IF(INDEX(DM_Ma,49)="","",INDEX(DM_Ma,49))</f>
        <v/>
      </c>
    </row>
    <row r="53" ht="15" customHeight="1" s="54">
      <c r="A53" s="67" t="n"/>
      <c r="B53" s="67" t="n"/>
      <c r="C53" s="67" t="n"/>
      <c r="D53" s="67" t="n"/>
      <c r="E53" s="75" t="n"/>
      <c r="F53" s="75" t="n"/>
      <c r="G53" s="75" t="n"/>
      <c r="H53" s="75" t="n"/>
      <c r="I53" s="75" t="n"/>
      <c r="J53" s="76" t="n"/>
      <c r="K53" s="75" t="n"/>
      <c r="L53" s="67" t="n"/>
      <c r="M53" s="77">
        <f>IF($A53="","",IF(COUNTIF(DM_Ma,$A53)&gt;1,"TRÙNG",""))</f>
        <v/>
      </c>
      <c r="N53" s="77">
        <f>IF(AND($A53="",$B53&lt;&gt;""),"THIẾU MÃ","")</f>
        <v/>
      </c>
      <c r="AB53" s="53">
        <f>IF(INDEX(DM_Ma,50)="","",INDEX(DM_Ma,50))</f>
        <v/>
      </c>
    </row>
    <row r="54" ht="15" customHeight="1" s="54">
      <c r="A54" s="67" t="n"/>
      <c r="B54" s="67" t="n"/>
      <c r="C54" s="67" t="n"/>
      <c r="D54" s="67" t="n"/>
      <c r="E54" s="75" t="n"/>
      <c r="F54" s="75" t="n"/>
      <c r="G54" s="75" t="n"/>
      <c r="H54" s="75" t="n"/>
      <c r="I54" s="75" t="n"/>
      <c r="J54" s="76" t="n"/>
      <c r="K54" s="75" t="n"/>
      <c r="L54" s="67" t="n"/>
      <c r="M54" s="77">
        <f>IF($A54="","",IF(COUNTIF(DM_Ma,$A54)&gt;1,"TRÙNG",""))</f>
        <v/>
      </c>
      <c r="N54" s="77">
        <f>IF(AND($A54="",$B54&lt;&gt;""),"THIẾU MÃ","")</f>
        <v/>
      </c>
      <c r="AB54" s="53">
        <f>IF(INDEX(DM_Ma,51)="","",INDEX(DM_Ma,51))</f>
        <v/>
      </c>
    </row>
    <row r="55" ht="15" customHeight="1" s="54">
      <c r="A55" s="67" t="n"/>
      <c r="B55" s="67" t="n"/>
      <c r="C55" s="67" t="n"/>
      <c r="D55" s="67" t="n"/>
      <c r="E55" s="75" t="n"/>
      <c r="F55" s="75" t="n"/>
      <c r="G55" s="75" t="n"/>
      <c r="H55" s="75" t="n"/>
      <c r="I55" s="75" t="n"/>
      <c r="J55" s="76" t="n"/>
      <c r="K55" s="75" t="n"/>
      <c r="L55" s="67" t="n"/>
      <c r="M55" s="77">
        <f>IF($A55="","",IF(COUNTIF(DM_Ma,$A55)&gt;1,"TRÙNG",""))</f>
        <v/>
      </c>
      <c r="N55" s="77">
        <f>IF(AND($A55="",$B55&lt;&gt;""),"THIẾU MÃ","")</f>
        <v/>
      </c>
      <c r="AB55" s="53">
        <f>IF(INDEX(DM_Ma,52)="","",INDEX(DM_Ma,52))</f>
        <v/>
      </c>
    </row>
    <row r="56" ht="15" customHeight="1" s="54">
      <c r="A56" s="67" t="n"/>
      <c r="B56" s="67" t="n"/>
      <c r="C56" s="67" t="n"/>
      <c r="D56" s="67" t="n"/>
      <c r="E56" s="75" t="n"/>
      <c r="F56" s="75" t="n"/>
      <c r="G56" s="75" t="n"/>
      <c r="H56" s="75" t="n"/>
      <c r="I56" s="75" t="n"/>
      <c r="J56" s="76" t="n"/>
      <c r="K56" s="75" t="n"/>
      <c r="L56" s="67" t="n"/>
      <c r="M56" s="77">
        <f>IF($A56="","",IF(COUNTIF(DM_Ma,$A56)&gt;1,"TRÙNG",""))</f>
        <v/>
      </c>
      <c r="N56" s="77">
        <f>IF(AND($A56="",$B56&lt;&gt;""),"THIẾU MÃ","")</f>
        <v/>
      </c>
      <c r="AB56" s="53">
        <f>IF(INDEX(DM_Ma,53)="","",INDEX(DM_Ma,53))</f>
        <v/>
      </c>
    </row>
    <row r="57" ht="15" customHeight="1" s="54">
      <c r="A57" s="67" t="n"/>
      <c r="B57" s="67" t="n"/>
      <c r="C57" s="67" t="n"/>
      <c r="D57" s="67" t="n"/>
      <c r="E57" s="75" t="n"/>
      <c r="F57" s="75" t="n"/>
      <c r="G57" s="75" t="n"/>
      <c r="H57" s="75" t="n"/>
      <c r="I57" s="75" t="n"/>
      <c r="J57" s="76" t="n"/>
      <c r="K57" s="75" t="n"/>
      <c r="L57" s="67" t="n"/>
      <c r="M57" s="77">
        <f>IF($A57="","",IF(COUNTIF(DM_Ma,$A57)&gt;1,"TRÙNG",""))</f>
        <v/>
      </c>
      <c r="N57" s="77">
        <f>IF(AND($A57="",$B57&lt;&gt;""),"THIẾU MÃ","")</f>
        <v/>
      </c>
      <c r="AB57" s="53">
        <f>IF(INDEX(DM_Ma,54)="","",INDEX(DM_Ma,54))</f>
        <v/>
      </c>
    </row>
    <row r="58" ht="15" customHeight="1" s="54">
      <c r="A58" s="67" t="n"/>
      <c r="B58" s="67" t="n"/>
      <c r="C58" s="67" t="n"/>
      <c r="D58" s="67" t="n"/>
      <c r="E58" s="75" t="n"/>
      <c r="F58" s="75" t="n"/>
      <c r="G58" s="75" t="n"/>
      <c r="H58" s="75" t="n"/>
      <c r="I58" s="75" t="n"/>
      <c r="J58" s="76" t="n"/>
      <c r="K58" s="75" t="n"/>
      <c r="L58" s="67" t="n"/>
      <c r="M58" s="77">
        <f>IF($A58="","",IF(COUNTIF(DM_Ma,$A58)&gt;1,"TRÙNG",""))</f>
        <v/>
      </c>
      <c r="N58" s="77">
        <f>IF(AND($A58="",$B58&lt;&gt;""),"THIẾU MÃ","")</f>
        <v/>
      </c>
      <c r="AB58" s="53">
        <f>IF(INDEX(DM_Ma,55)="","",INDEX(DM_Ma,55))</f>
        <v/>
      </c>
    </row>
    <row r="59" ht="15" customHeight="1" s="54">
      <c r="A59" s="67" t="n"/>
      <c r="B59" s="67" t="n"/>
      <c r="C59" s="67" t="n"/>
      <c r="D59" s="67" t="n"/>
      <c r="E59" s="75" t="n"/>
      <c r="F59" s="75" t="n"/>
      <c r="G59" s="75" t="n"/>
      <c r="H59" s="75" t="n"/>
      <c r="I59" s="75" t="n"/>
      <c r="J59" s="76" t="n"/>
      <c r="K59" s="75" t="n"/>
      <c r="L59" s="67" t="n"/>
      <c r="M59" s="77">
        <f>IF($A59="","",IF(COUNTIF(DM_Ma,$A59)&gt;1,"TRÙNG",""))</f>
        <v/>
      </c>
      <c r="N59" s="77">
        <f>IF(AND($A59="",$B59&lt;&gt;""),"THIẾU MÃ","")</f>
        <v/>
      </c>
      <c r="AB59" s="53">
        <f>IF(INDEX(DM_Ma,56)="","",INDEX(DM_Ma,56))</f>
        <v/>
      </c>
    </row>
    <row r="60" ht="15" customHeight="1" s="54">
      <c r="A60" s="67" t="n"/>
      <c r="B60" s="67" t="n"/>
      <c r="C60" s="67" t="n"/>
      <c r="D60" s="67" t="n"/>
      <c r="E60" s="75" t="n"/>
      <c r="F60" s="75" t="n"/>
      <c r="G60" s="75" t="n"/>
      <c r="H60" s="75" t="n"/>
      <c r="I60" s="75" t="n"/>
      <c r="J60" s="76" t="n"/>
      <c r="K60" s="75" t="n"/>
      <c r="L60" s="67" t="n"/>
      <c r="M60" s="77">
        <f>IF($A60="","",IF(COUNTIF(DM_Ma,$A60)&gt;1,"TRÙNG",""))</f>
        <v/>
      </c>
      <c r="N60" s="77">
        <f>IF(AND($A60="",$B60&lt;&gt;""),"THIẾU MÃ","")</f>
        <v/>
      </c>
      <c r="AB60" s="53">
        <f>IF(INDEX(DM_Ma,57)="","",INDEX(DM_Ma,57))</f>
        <v/>
      </c>
    </row>
    <row r="61" ht="15" customHeight="1" s="54">
      <c r="A61" s="67" t="n"/>
      <c r="B61" s="67" t="n"/>
      <c r="C61" s="67" t="n"/>
      <c r="D61" s="67" t="n"/>
      <c r="E61" s="75" t="n"/>
      <c r="F61" s="75" t="n"/>
      <c r="G61" s="75" t="n"/>
      <c r="H61" s="75" t="n"/>
      <c r="I61" s="75" t="n"/>
      <c r="J61" s="76" t="n"/>
      <c r="K61" s="75" t="n"/>
      <c r="L61" s="67" t="n"/>
      <c r="M61" s="77">
        <f>IF($A61="","",IF(COUNTIF(DM_Ma,$A61)&gt;1,"TRÙNG",""))</f>
        <v/>
      </c>
      <c r="N61" s="77">
        <f>IF(AND($A61="",$B61&lt;&gt;""),"THIẾU MÃ","")</f>
        <v/>
      </c>
      <c r="AB61" s="53">
        <f>IF(INDEX(DM_Ma,58)="","",INDEX(DM_Ma,58))</f>
        <v/>
      </c>
    </row>
    <row r="62" ht="15" customHeight="1" s="54">
      <c r="A62" s="67" t="n"/>
      <c r="B62" s="67" t="n"/>
      <c r="C62" s="67" t="n"/>
      <c r="D62" s="67" t="n"/>
      <c r="E62" s="75" t="n"/>
      <c r="F62" s="75" t="n"/>
      <c r="G62" s="75" t="n"/>
      <c r="H62" s="75" t="n"/>
      <c r="I62" s="75" t="n"/>
      <c r="J62" s="76" t="n"/>
      <c r="K62" s="75" t="n"/>
      <c r="L62" s="67" t="n"/>
      <c r="M62" s="77">
        <f>IF($A62="","",IF(COUNTIF(DM_Ma,$A62)&gt;1,"TRÙNG",""))</f>
        <v/>
      </c>
      <c r="N62" s="77">
        <f>IF(AND($A62="",$B62&lt;&gt;""),"THIẾU MÃ","")</f>
        <v/>
      </c>
      <c r="AB62" s="53">
        <f>IF(INDEX(DM_Ma,59)="","",INDEX(DM_Ma,59))</f>
        <v/>
      </c>
    </row>
    <row r="63" ht="15" customHeight="1" s="54">
      <c r="A63" s="67" t="n"/>
      <c r="B63" s="67" t="n"/>
      <c r="C63" s="67" t="n"/>
      <c r="D63" s="67" t="n"/>
      <c r="E63" s="75" t="n"/>
      <c r="F63" s="75" t="n"/>
      <c r="G63" s="75" t="n"/>
      <c r="H63" s="75" t="n"/>
      <c r="I63" s="75" t="n"/>
      <c r="J63" s="76" t="n"/>
      <c r="K63" s="75" t="n"/>
      <c r="L63" s="67" t="n"/>
      <c r="M63" s="77">
        <f>IF($A63="","",IF(COUNTIF(DM_Ma,$A63)&gt;1,"TRÙNG",""))</f>
        <v/>
      </c>
      <c r="N63" s="77">
        <f>IF(AND($A63="",$B63&lt;&gt;""),"THIẾU MÃ","")</f>
        <v/>
      </c>
      <c r="AB63" s="53">
        <f>IF(INDEX(DM_Ma,60)="","",INDEX(DM_Ma,60))</f>
        <v/>
      </c>
    </row>
    <row r="64" ht="15" customHeight="1" s="54">
      <c r="A64" s="67" t="n"/>
      <c r="B64" s="67" t="n"/>
      <c r="C64" s="67" t="n"/>
      <c r="D64" s="67" t="n"/>
      <c r="E64" s="75" t="n"/>
      <c r="F64" s="75" t="n"/>
      <c r="G64" s="75" t="n"/>
      <c r="H64" s="75" t="n"/>
      <c r="I64" s="75" t="n"/>
      <c r="J64" s="76" t="n"/>
      <c r="K64" s="75" t="n"/>
      <c r="L64" s="67" t="n"/>
      <c r="M64" s="77">
        <f>IF($A64="","",IF(COUNTIF(DM_Ma,$A64)&gt;1,"TRÙNG",""))</f>
        <v/>
      </c>
      <c r="N64" s="77">
        <f>IF(AND($A64="",$B64&lt;&gt;""),"THIẾU MÃ","")</f>
        <v/>
      </c>
      <c r="AB64" s="53">
        <f>IF(INDEX(DM_Ma,61)="","",INDEX(DM_Ma,61))</f>
        <v/>
      </c>
    </row>
    <row r="65" ht="15" customHeight="1" s="54">
      <c r="A65" s="67" t="n"/>
      <c r="B65" s="67" t="n"/>
      <c r="C65" s="67" t="n"/>
      <c r="D65" s="67" t="n"/>
      <c r="E65" s="75" t="n"/>
      <c r="F65" s="75" t="n"/>
      <c r="G65" s="75" t="n"/>
      <c r="H65" s="75" t="n"/>
      <c r="I65" s="75" t="n"/>
      <c r="J65" s="76" t="n"/>
      <c r="K65" s="75" t="n"/>
      <c r="L65" s="67" t="n"/>
      <c r="M65" s="77">
        <f>IF($A65="","",IF(COUNTIF(DM_Ma,$A65)&gt;1,"TRÙNG",""))</f>
        <v/>
      </c>
      <c r="N65" s="77">
        <f>IF(AND($A65="",$B65&lt;&gt;""),"THIẾU MÃ","")</f>
        <v/>
      </c>
      <c r="AB65" s="53">
        <f>IF(INDEX(DM_Ma,62)="","",INDEX(DM_Ma,62))</f>
        <v/>
      </c>
    </row>
    <row r="66" ht="15" customHeight="1" s="54">
      <c r="A66" s="67" t="n"/>
      <c r="B66" s="67" t="n"/>
      <c r="C66" s="67" t="n"/>
      <c r="D66" s="67" t="n"/>
      <c r="E66" s="75" t="n"/>
      <c r="F66" s="75" t="n"/>
      <c r="G66" s="75" t="n"/>
      <c r="H66" s="75" t="n"/>
      <c r="I66" s="75" t="n"/>
      <c r="J66" s="76" t="n"/>
      <c r="K66" s="75" t="n"/>
      <c r="L66" s="67" t="n"/>
      <c r="M66" s="77">
        <f>IF($A66="","",IF(COUNTIF(DM_Ma,$A66)&gt;1,"TRÙNG",""))</f>
        <v/>
      </c>
      <c r="N66" s="77">
        <f>IF(AND($A66="",$B66&lt;&gt;""),"THIẾU MÃ","")</f>
        <v/>
      </c>
      <c r="AB66" s="53">
        <f>IF(INDEX(DM_Ma,63)="","",INDEX(DM_Ma,63))</f>
        <v/>
      </c>
    </row>
    <row r="67" ht="15" customHeight="1" s="54">
      <c r="A67" s="67" t="n"/>
      <c r="B67" s="67" t="n"/>
      <c r="C67" s="67" t="n"/>
      <c r="D67" s="67" t="n"/>
      <c r="E67" s="75" t="n"/>
      <c r="F67" s="75" t="n"/>
      <c r="G67" s="75" t="n"/>
      <c r="H67" s="75" t="n"/>
      <c r="I67" s="75" t="n"/>
      <c r="J67" s="76" t="n"/>
      <c r="K67" s="75" t="n"/>
      <c r="L67" s="67" t="n"/>
      <c r="M67" s="77">
        <f>IF($A67="","",IF(COUNTIF(DM_Ma,$A67)&gt;1,"TRÙNG",""))</f>
        <v/>
      </c>
      <c r="N67" s="77">
        <f>IF(AND($A67="",$B67&lt;&gt;""),"THIẾU MÃ","")</f>
        <v/>
      </c>
      <c r="AB67" s="53">
        <f>IF(INDEX(DM_Ma,64)="","",INDEX(DM_Ma,64))</f>
        <v/>
      </c>
    </row>
    <row r="68" ht="15" customHeight="1" s="54">
      <c r="A68" s="67" t="n"/>
      <c r="B68" s="67" t="n"/>
      <c r="C68" s="67" t="n"/>
      <c r="D68" s="67" t="n"/>
      <c r="E68" s="75" t="n"/>
      <c r="F68" s="75" t="n"/>
      <c r="G68" s="75" t="n"/>
      <c r="H68" s="75" t="n"/>
      <c r="I68" s="75" t="n"/>
      <c r="J68" s="76" t="n"/>
      <c r="K68" s="75" t="n"/>
      <c r="L68" s="67" t="n"/>
      <c r="M68" s="77">
        <f>IF($A68="","",IF(COUNTIF(DM_Ma,$A68)&gt;1,"TRÙNG",""))</f>
        <v/>
      </c>
      <c r="N68" s="77">
        <f>IF(AND($A68="",$B68&lt;&gt;""),"THIẾU MÃ","")</f>
        <v/>
      </c>
      <c r="AB68" s="53">
        <f>IF(INDEX(DM_Ma,65)="","",INDEX(DM_Ma,65))</f>
        <v/>
      </c>
    </row>
    <row r="69" ht="15" customHeight="1" s="54">
      <c r="A69" s="67" t="n"/>
      <c r="B69" s="67" t="n"/>
      <c r="C69" s="67" t="n"/>
      <c r="D69" s="67" t="n"/>
      <c r="E69" s="75" t="n"/>
      <c r="F69" s="75" t="n"/>
      <c r="G69" s="75" t="n"/>
      <c r="H69" s="75" t="n"/>
      <c r="I69" s="75" t="n"/>
      <c r="J69" s="76" t="n"/>
      <c r="K69" s="75" t="n"/>
      <c r="L69" s="67" t="n"/>
      <c r="M69" s="77">
        <f>IF($A69="","",IF(COUNTIF(DM_Ma,$A69)&gt;1,"TRÙNG",""))</f>
        <v/>
      </c>
      <c r="N69" s="77">
        <f>IF(AND($A69="",$B69&lt;&gt;""),"THIẾU MÃ","")</f>
        <v/>
      </c>
      <c r="AB69" s="53">
        <f>IF(INDEX(DM_Ma,66)="","",INDEX(DM_Ma,66))</f>
        <v/>
      </c>
    </row>
    <row r="70" ht="15" customHeight="1" s="54">
      <c r="A70" s="67" t="n"/>
      <c r="B70" s="67" t="n"/>
      <c r="C70" s="67" t="n"/>
      <c r="D70" s="67" t="n"/>
      <c r="E70" s="75" t="n"/>
      <c r="F70" s="75" t="n"/>
      <c r="G70" s="75" t="n"/>
      <c r="H70" s="75" t="n"/>
      <c r="I70" s="75" t="n"/>
      <c r="J70" s="76" t="n"/>
      <c r="K70" s="75" t="n"/>
      <c r="L70" s="67" t="n"/>
      <c r="M70" s="77">
        <f>IF($A70="","",IF(COUNTIF(DM_Ma,$A70)&gt;1,"TRÙNG",""))</f>
        <v/>
      </c>
      <c r="N70" s="77">
        <f>IF(AND($A70="",$B70&lt;&gt;""),"THIẾU MÃ","")</f>
        <v/>
      </c>
      <c r="AB70" s="53">
        <f>IF(INDEX(DM_Ma,67)="","",INDEX(DM_Ma,67))</f>
        <v/>
      </c>
    </row>
    <row r="71" ht="15" customHeight="1" s="54">
      <c r="A71" s="67" t="n"/>
      <c r="B71" s="67" t="n"/>
      <c r="C71" s="67" t="n"/>
      <c r="D71" s="67" t="n"/>
      <c r="E71" s="75" t="n"/>
      <c r="F71" s="75" t="n"/>
      <c r="G71" s="75" t="n"/>
      <c r="H71" s="75" t="n"/>
      <c r="I71" s="75" t="n"/>
      <c r="J71" s="76" t="n"/>
      <c r="K71" s="75" t="n"/>
      <c r="L71" s="67" t="n"/>
      <c r="M71" s="77">
        <f>IF($A71="","",IF(COUNTIF(DM_Ma,$A71)&gt;1,"TRÙNG",""))</f>
        <v/>
      </c>
      <c r="N71" s="77">
        <f>IF(AND($A71="",$B71&lt;&gt;""),"THIẾU MÃ","")</f>
        <v/>
      </c>
      <c r="AB71" s="53">
        <f>IF(INDEX(DM_Ma,68)="","",INDEX(DM_Ma,68))</f>
        <v/>
      </c>
    </row>
    <row r="72" ht="15" customHeight="1" s="54">
      <c r="A72" s="67" t="n"/>
      <c r="B72" s="67" t="n"/>
      <c r="C72" s="67" t="n"/>
      <c r="D72" s="67" t="n"/>
      <c r="E72" s="75" t="n"/>
      <c r="F72" s="75" t="n"/>
      <c r="G72" s="75" t="n"/>
      <c r="H72" s="75" t="n"/>
      <c r="I72" s="75" t="n"/>
      <c r="J72" s="76" t="n"/>
      <c r="K72" s="75" t="n"/>
      <c r="L72" s="67" t="n"/>
      <c r="M72" s="77">
        <f>IF($A72="","",IF(COUNTIF(DM_Ma,$A72)&gt;1,"TRÙNG",""))</f>
        <v/>
      </c>
      <c r="N72" s="77">
        <f>IF(AND($A72="",$B72&lt;&gt;""),"THIẾU MÃ","")</f>
        <v/>
      </c>
      <c r="AB72" s="53">
        <f>IF(INDEX(DM_Ma,69)="","",INDEX(DM_Ma,69))</f>
        <v/>
      </c>
    </row>
    <row r="73" ht="15" customHeight="1" s="54">
      <c r="A73" s="67" t="n"/>
      <c r="B73" s="67" t="n"/>
      <c r="C73" s="67" t="n"/>
      <c r="D73" s="67" t="n"/>
      <c r="E73" s="75" t="n"/>
      <c r="F73" s="75" t="n"/>
      <c r="G73" s="75" t="n"/>
      <c r="H73" s="75" t="n"/>
      <c r="I73" s="75" t="n"/>
      <c r="J73" s="76" t="n"/>
      <c r="K73" s="75" t="n"/>
      <c r="L73" s="67" t="n"/>
      <c r="M73" s="77">
        <f>IF($A73="","",IF(COUNTIF(DM_Ma,$A73)&gt;1,"TRÙNG",""))</f>
        <v/>
      </c>
      <c r="N73" s="77">
        <f>IF(AND($A73="",$B73&lt;&gt;""),"THIẾU MÃ","")</f>
        <v/>
      </c>
      <c r="AB73" s="53">
        <f>IF(INDEX(DM_Ma,70)="","",INDEX(DM_Ma,70))</f>
        <v/>
      </c>
    </row>
    <row r="74" ht="15" customHeight="1" s="54">
      <c r="A74" s="67" t="n"/>
      <c r="B74" s="67" t="n"/>
      <c r="C74" s="67" t="n"/>
      <c r="D74" s="67" t="n"/>
      <c r="E74" s="75" t="n"/>
      <c r="F74" s="75" t="n"/>
      <c r="G74" s="75" t="n"/>
      <c r="H74" s="75" t="n"/>
      <c r="I74" s="75" t="n"/>
      <c r="J74" s="76" t="n"/>
      <c r="K74" s="75" t="n"/>
      <c r="L74" s="67" t="n"/>
      <c r="M74" s="77">
        <f>IF($A74="","",IF(COUNTIF(DM_Ma,$A74)&gt;1,"TRÙNG",""))</f>
        <v/>
      </c>
      <c r="N74" s="77">
        <f>IF(AND($A74="",$B74&lt;&gt;""),"THIẾU MÃ","")</f>
        <v/>
      </c>
      <c r="AB74" s="53">
        <f>IF(INDEX(DM_Ma,71)="","",INDEX(DM_Ma,71))</f>
        <v/>
      </c>
    </row>
    <row r="75" ht="15" customHeight="1" s="54">
      <c r="A75" s="67" t="n"/>
      <c r="B75" s="67" t="n"/>
      <c r="C75" s="67" t="n"/>
      <c r="D75" s="67" t="n"/>
      <c r="E75" s="75" t="n"/>
      <c r="F75" s="75" t="n"/>
      <c r="G75" s="75" t="n"/>
      <c r="H75" s="75" t="n"/>
      <c r="I75" s="75" t="n"/>
      <c r="J75" s="76" t="n"/>
      <c r="K75" s="75" t="n"/>
      <c r="L75" s="67" t="n"/>
      <c r="M75" s="77">
        <f>IF($A75="","",IF(COUNTIF(DM_Ma,$A75)&gt;1,"TRÙNG",""))</f>
        <v/>
      </c>
      <c r="N75" s="77">
        <f>IF(AND($A75="",$B75&lt;&gt;""),"THIẾU MÃ","")</f>
        <v/>
      </c>
      <c r="AB75" s="53">
        <f>IF(INDEX(DM_Ma,72)="","",INDEX(DM_Ma,72))</f>
        <v/>
      </c>
    </row>
    <row r="76" ht="15" customHeight="1" s="54">
      <c r="A76" s="67" t="n"/>
      <c r="B76" s="67" t="n"/>
      <c r="C76" s="67" t="n"/>
      <c r="D76" s="67" t="n"/>
      <c r="E76" s="75" t="n"/>
      <c r="F76" s="75" t="n"/>
      <c r="G76" s="75" t="n"/>
      <c r="H76" s="75" t="n"/>
      <c r="I76" s="75" t="n"/>
      <c r="J76" s="76" t="n"/>
      <c r="K76" s="75" t="n"/>
      <c r="L76" s="67" t="n"/>
      <c r="M76" s="77">
        <f>IF($A76="","",IF(COUNTIF(DM_Ma,$A76)&gt;1,"TRÙNG",""))</f>
        <v/>
      </c>
      <c r="N76" s="77">
        <f>IF(AND($A76="",$B76&lt;&gt;""),"THIẾU MÃ","")</f>
        <v/>
      </c>
      <c r="AB76" s="53">
        <f>IF(INDEX(DM_Ma,73)="","",INDEX(DM_Ma,73))</f>
        <v/>
      </c>
    </row>
    <row r="77" ht="15" customHeight="1" s="54">
      <c r="A77" s="67" t="n"/>
      <c r="B77" s="67" t="n"/>
      <c r="C77" s="67" t="n"/>
      <c r="D77" s="67" t="n"/>
      <c r="E77" s="75" t="n"/>
      <c r="F77" s="75" t="n"/>
      <c r="G77" s="75" t="n"/>
      <c r="H77" s="75" t="n"/>
      <c r="I77" s="75" t="n"/>
      <c r="J77" s="76" t="n"/>
      <c r="K77" s="75" t="n"/>
      <c r="L77" s="67" t="n"/>
      <c r="M77" s="77">
        <f>IF($A77="","",IF(COUNTIF(DM_Ma,$A77)&gt;1,"TRÙNG",""))</f>
        <v/>
      </c>
      <c r="N77" s="77">
        <f>IF(AND($A77="",$B77&lt;&gt;""),"THIẾU MÃ","")</f>
        <v/>
      </c>
      <c r="AB77" s="53">
        <f>IF(INDEX(DM_Ma,74)="","",INDEX(DM_Ma,74))</f>
        <v/>
      </c>
    </row>
    <row r="78" ht="15" customHeight="1" s="54">
      <c r="A78" s="67" t="n"/>
      <c r="B78" s="67" t="n"/>
      <c r="C78" s="67" t="n"/>
      <c r="D78" s="67" t="n"/>
      <c r="E78" s="75" t="n"/>
      <c r="F78" s="75" t="n"/>
      <c r="G78" s="75" t="n"/>
      <c r="H78" s="75" t="n"/>
      <c r="I78" s="75" t="n"/>
      <c r="J78" s="76" t="n"/>
      <c r="K78" s="75" t="n"/>
      <c r="L78" s="67" t="n"/>
      <c r="M78" s="77">
        <f>IF($A78="","",IF(COUNTIF(DM_Ma,$A78)&gt;1,"TRÙNG",""))</f>
        <v/>
      </c>
      <c r="N78" s="77">
        <f>IF(AND($A78="",$B78&lt;&gt;""),"THIẾU MÃ","")</f>
        <v/>
      </c>
      <c r="AB78" s="53">
        <f>IF(INDEX(DM_Ma,75)="","",INDEX(DM_Ma,75))</f>
        <v/>
      </c>
    </row>
    <row r="79" ht="15" customHeight="1" s="54">
      <c r="A79" s="67" t="n"/>
      <c r="B79" s="67" t="n"/>
      <c r="C79" s="67" t="n"/>
      <c r="D79" s="67" t="n"/>
      <c r="E79" s="75" t="n"/>
      <c r="F79" s="75" t="n"/>
      <c r="G79" s="75" t="n"/>
      <c r="H79" s="75" t="n"/>
      <c r="I79" s="75" t="n"/>
      <c r="J79" s="76" t="n"/>
      <c r="K79" s="75" t="n"/>
      <c r="L79" s="67" t="n"/>
      <c r="M79" s="77">
        <f>IF($A79="","",IF(COUNTIF(DM_Ma,$A79)&gt;1,"TRÙNG",""))</f>
        <v/>
      </c>
      <c r="N79" s="77">
        <f>IF(AND($A79="",$B79&lt;&gt;""),"THIẾU MÃ","")</f>
        <v/>
      </c>
      <c r="AB79" s="53">
        <f>IF(INDEX(DM_Ma,76)="","",INDEX(DM_Ma,76))</f>
        <v/>
      </c>
    </row>
    <row r="80" ht="15" customHeight="1" s="54">
      <c r="A80" s="67" t="n"/>
      <c r="B80" s="67" t="n"/>
      <c r="C80" s="67" t="n"/>
      <c r="D80" s="67" t="n"/>
      <c r="E80" s="75" t="n"/>
      <c r="F80" s="75" t="n"/>
      <c r="G80" s="75" t="n"/>
      <c r="H80" s="75" t="n"/>
      <c r="I80" s="75" t="n"/>
      <c r="J80" s="76" t="n"/>
      <c r="K80" s="75" t="n"/>
      <c r="L80" s="67" t="n"/>
      <c r="M80" s="77">
        <f>IF($A80="","",IF(COUNTIF(DM_Ma,$A80)&gt;1,"TRÙNG",""))</f>
        <v/>
      </c>
      <c r="N80" s="77">
        <f>IF(AND($A80="",$B80&lt;&gt;""),"THIẾU MÃ","")</f>
        <v/>
      </c>
      <c r="AB80" s="53">
        <f>IF(INDEX(DM_Ma,77)="","",INDEX(DM_Ma,77))</f>
        <v/>
      </c>
    </row>
    <row r="81" ht="15" customHeight="1" s="54">
      <c r="A81" s="67" t="n"/>
      <c r="B81" s="67" t="n"/>
      <c r="C81" s="67" t="n"/>
      <c r="D81" s="67" t="n"/>
      <c r="E81" s="75" t="n"/>
      <c r="F81" s="75" t="n"/>
      <c r="G81" s="75" t="n"/>
      <c r="H81" s="75" t="n"/>
      <c r="I81" s="75" t="n"/>
      <c r="J81" s="76" t="n"/>
      <c r="K81" s="75" t="n"/>
      <c r="L81" s="67" t="n"/>
      <c r="M81" s="77">
        <f>IF($A81="","",IF(COUNTIF(DM_Ma,$A81)&gt;1,"TRÙNG",""))</f>
        <v/>
      </c>
      <c r="N81" s="77">
        <f>IF(AND($A81="",$B81&lt;&gt;""),"THIẾU MÃ","")</f>
        <v/>
      </c>
      <c r="AB81" s="53">
        <f>IF(INDEX(DM_Ma,78)="","",INDEX(DM_Ma,78))</f>
        <v/>
      </c>
    </row>
    <row r="82" ht="15" customHeight="1" s="54">
      <c r="A82" s="67" t="n"/>
      <c r="B82" s="67" t="n"/>
      <c r="C82" s="67" t="n"/>
      <c r="D82" s="67" t="n"/>
      <c r="E82" s="75" t="n"/>
      <c r="F82" s="75" t="n"/>
      <c r="G82" s="75" t="n"/>
      <c r="H82" s="75" t="n"/>
      <c r="I82" s="75" t="n"/>
      <c r="J82" s="76" t="n"/>
      <c r="K82" s="75" t="n"/>
      <c r="L82" s="67" t="n"/>
      <c r="M82" s="77">
        <f>IF($A82="","",IF(COUNTIF(DM_Ma,$A82)&gt;1,"TRÙNG",""))</f>
        <v/>
      </c>
      <c r="N82" s="77">
        <f>IF(AND($A82="",$B82&lt;&gt;""),"THIẾU MÃ","")</f>
        <v/>
      </c>
      <c r="AB82" s="53">
        <f>IF(INDEX(DM_Ma,79)="","",INDEX(DM_Ma,79))</f>
        <v/>
      </c>
    </row>
    <row r="83" ht="15" customHeight="1" s="54">
      <c r="A83" s="67" t="n"/>
      <c r="B83" s="67" t="n"/>
      <c r="C83" s="67" t="n"/>
      <c r="D83" s="67" t="n"/>
      <c r="E83" s="75" t="n"/>
      <c r="F83" s="75" t="n"/>
      <c r="G83" s="75" t="n"/>
      <c r="H83" s="75" t="n"/>
      <c r="I83" s="75" t="n"/>
      <c r="J83" s="76" t="n"/>
      <c r="K83" s="75" t="n"/>
      <c r="L83" s="67" t="n"/>
      <c r="M83" s="77">
        <f>IF($A83="","",IF(COUNTIF(DM_Ma,$A83)&gt;1,"TRÙNG",""))</f>
        <v/>
      </c>
      <c r="N83" s="77">
        <f>IF(AND($A83="",$B83&lt;&gt;""),"THIẾU MÃ","")</f>
        <v/>
      </c>
      <c r="AB83" s="53">
        <f>IF(INDEX(DM_Ma,80)="","",INDEX(DM_Ma,80))</f>
        <v/>
      </c>
    </row>
    <row r="84" ht="15" customHeight="1" s="54">
      <c r="A84" s="67" t="n"/>
      <c r="B84" s="67" t="n"/>
      <c r="C84" s="67" t="n"/>
      <c r="D84" s="67" t="n"/>
      <c r="E84" s="75" t="n"/>
      <c r="F84" s="75" t="n"/>
      <c r="G84" s="75" t="n"/>
      <c r="H84" s="75" t="n"/>
      <c r="I84" s="75" t="n"/>
      <c r="J84" s="76" t="n"/>
      <c r="K84" s="75" t="n"/>
      <c r="L84" s="67" t="n"/>
      <c r="M84" s="77">
        <f>IF($A84="","",IF(COUNTIF(DM_Ma,$A84)&gt;1,"TRÙNG",""))</f>
        <v/>
      </c>
      <c r="N84" s="77">
        <f>IF(AND($A84="",$B84&lt;&gt;""),"THIẾU MÃ","")</f>
        <v/>
      </c>
    </row>
    <row r="85" ht="15" customHeight="1" s="54">
      <c r="A85" s="67" t="n"/>
      <c r="B85" s="67" t="n"/>
      <c r="C85" s="67" t="n"/>
      <c r="D85" s="67" t="n"/>
      <c r="E85" s="75" t="n"/>
      <c r="F85" s="75" t="n"/>
      <c r="G85" s="75" t="n"/>
      <c r="H85" s="75" t="n"/>
      <c r="I85" s="75" t="n"/>
      <c r="J85" s="76" t="n"/>
      <c r="K85" s="75" t="n"/>
      <c r="L85" s="67" t="n"/>
      <c r="M85" s="77">
        <f>IF($A85="","",IF(COUNTIF(DM_Ma,$A85)&gt;1,"TRÙNG",""))</f>
        <v/>
      </c>
      <c r="N85" s="77">
        <f>IF(AND($A85="",$B85&lt;&gt;""),"THIẾU MÃ","")</f>
        <v/>
      </c>
    </row>
    <row r="86" ht="15" customHeight="1" s="54">
      <c r="A86" s="67" t="n"/>
      <c r="B86" s="67" t="n"/>
      <c r="C86" s="67" t="n"/>
      <c r="D86" s="67" t="n"/>
      <c r="E86" s="75" t="n"/>
      <c r="F86" s="75" t="n"/>
      <c r="G86" s="75" t="n"/>
      <c r="H86" s="75" t="n"/>
      <c r="I86" s="75" t="n"/>
      <c r="J86" s="76" t="n"/>
      <c r="K86" s="75" t="n"/>
      <c r="L86" s="67" t="n"/>
      <c r="M86" s="77">
        <f>IF($A86="","",IF(COUNTIF(DM_Ma,$A86)&gt;1,"TRÙNG",""))</f>
        <v/>
      </c>
      <c r="N86" s="77">
        <f>IF(AND($A86="",$B86&lt;&gt;""),"THIẾU MÃ","")</f>
        <v/>
      </c>
    </row>
    <row r="87" ht="15" customHeight="1" s="54">
      <c r="A87" s="67" t="n"/>
      <c r="B87" s="67" t="n"/>
      <c r="C87" s="67" t="n"/>
      <c r="D87" s="67" t="n"/>
      <c r="E87" s="75" t="n"/>
      <c r="F87" s="75" t="n"/>
      <c r="G87" s="75" t="n"/>
      <c r="H87" s="75" t="n"/>
      <c r="I87" s="75" t="n"/>
      <c r="J87" s="76" t="n"/>
      <c r="K87" s="75" t="n"/>
      <c r="L87" s="67" t="n"/>
      <c r="M87" s="77">
        <f>IF($A87="","",IF(COUNTIF(DM_Ma,$A87)&gt;1,"TRÙNG",""))</f>
        <v/>
      </c>
      <c r="N87" s="77">
        <f>IF(AND($A87="",$B87&lt;&gt;""),"THIẾU MÃ","")</f>
        <v/>
      </c>
    </row>
    <row r="88" ht="15" customHeight="1" s="54">
      <c r="A88" s="67" t="n"/>
      <c r="B88" s="67" t="n"/>
      <c r="C88" s="67" t="n"/>
      <c r="D88" s="67" t="n"/>
      <c r="E88" s="75" t="n"/>
      <c r="F88" s="75" t="n"/>
      <c r="G88" s="75" t="n"/>
      <c r="H88" s="75" t="n"/>
      <c r="I88" s="75" t="n"/>
      <c r="J88" s="76" t="n"/>
      <c r="K88" s="75" t="n"/>
      <c r="L88" s="67" t="n"/>
      <c r="M88" s="77">
        <f>IF($A88="","",IF(COUNTIF(DM_Ma,$A88)&gt;1,"TRÙNG",""))</f>
        <v/>
      </c>
      <c r="N88" s="77">
        <f>IF(AND($A88="",$B88&lt;&gt;""),"THIẾU MÃ","")</f>
        <v/>
      </c>
    </row>
    <row r="89" ht="15" customHeight="1" s="54">
      <c r="A89" s="67" t="n"/>
      <c r="B89" s="67" t="n"/>
      <c r="C89" s="67" t="n"/>
      <c r="D89" s="67" t="n"/>
      <c r="E89" s="75" t="n"/>
      <c r="F89" s="75" t="n"/>
      <c r="G89" s="75" t="n"/>
      <c r="H89" s="75" t="n"/>
      <c r="I89" s="75" t="n"/>
      <c r="J89" s="76" t="n"/>
      <c r="K89" s="75" t="n"/>
      <c r="L89" s="67" t="n"/>
      <c r="M89" s="77">
        <f>IF($A89="","",IF(COUNTIF(DM_Ma,$A89)&gt;1,"TRÙNG",""))</f>
        <v/>
      </c>
      <c r="N89" s="77">
        <f>IF(AND($A89="",$B89&lt;&gt;""),"THIẾU MÃ","")</f>
        <v/>
      </c>
    </row>
    <row r="90" ht="15" customHeight="1" s="54">
      <c r="A90" s="67" t="n"/>
      <c r="B90" s="67" t="n"/>
      <c r="C90" s="67" t="n"/>
      <c r="D90" s="67" t="n"/>
      <c r="E90" s="75" t="n"/>
      <c r="F90" s="75" t="n"/>
      <c r="G90" s="75" t="n"/>
      <c r="H90" s="75" t="n"/>
      <c r="I90" s="75" t="n"/>
      <c r="J90" s="76" t="n"/>
      <c r="K90" s="75" t="n"/>
      <c r="L90" s="67" t="n"/>
      <c r="M90" s="77">
        <f>IF($A90="","",IF(COUNTIF(DM_Ma,$A90)&gt;1,"TRÙNG",""))</f>
        <v/>
      </c>
      <c r="N90" s="77">
        <f>IF(AND($A90="",$B90&lt;&gt;""),"THIẾU MÃ","")</f>
        <v/>
      </c>
    </row>
    <row r="91" ht="15" customHeight="1" s="54">
      <c r="A91" s="67" t="n"/>
      <c r="B91" s="67" t="n"/>
      <c r="C91" s="67" t="n"/>
      <c r="D91" s="67" t="n"/>
      <c r="E91" s="75" t="n"/>
      <c r="F91" s="75" t="n"/>
      <c r="G91" s="75" t="n"/>
      <c r="H91" s="75" t="n"/>
      <c r="I91" s="75" t="n"/>
      <c r="J91" s="76" t="n"/>
      <c r="K91" s="75" t="n"/>
      <c r="L91" s="67" t="n"/>
      <c r="M91" s="77">
        <f>IF($A91="","",IF(COUNTIF(DM_Ma,$A91)&gt;1,"TRÙNG",""))</f>
        <v/>
      </c>
      <c r="N91" s="77">
        <f>IF(AND($A91="",$B91&lt;&gt;""),"THIẾU MÃ","")</f>
        <v/>
      </c>
    </row>
    <row r="92" ht="15" customHeight="1" s="54">
      <c r="A92" s="67" t="n"/>
      <c r="B92" s="67" t="n"/>
      <c r="C92" s="67" t="n"/>
      <c r="D92" s="67" t="n"/>
      <c r="E92" s="75" t="n"/>
      <c r="F92" s="75" t="n"/>
      <c r="G92" s="75" t="n"/>
      <c r="H92" s="75" t="n"/>
      <c r="I92" s="75" t="n"/>
      <c r="J92" s="76" t="n"/>
      <c r="K92" s="75" t="n"/>
      <c r="L92" s="67" t="n"/>
      <c r="M92" s="77">
        <f>IF($A92="","",IF(COUNTIF(DM_Ma,$A92)&gt;1,"TRÙNG",""))</f>
        <v/>
      </c>
      <c r="N92" s="77">
        <f>IF(AND($A92="",$B92&lt;&gt;""),"THIẾU MÃ","")</f>
        <v/>
      </c>
    </row>
    <row r="93" ht="15" customHeight="1" s="54">
      <c r="A93" s="67" t="n"/>
      <c r="B93" s="67" t="n"/>
      <c r="C93" s="67" t="n"/>
      <c r="D93" s="67" t="n"/>
      <c r="E93" s="75" t="n"/>
      <c r="F93" s="75" t="n"/>
      <c r="G93" s="75" t="n"/>
      <c r="H93" s="75" t="n"/>
      <c r="I93" s="75" t="n"/>
      <c r="J93" s="76" t="n"/>
      <c r="K93" s="75" t="n"/>
      <c r="L93" s="67" t="n"/>
      <c r="M93" s="77">
        <f>IF($A93="","",IF(COUNTIF(DM_Ma,$A93)&gt;1,"TRÙNG",""))</f>
        <v/>
      </c>
      <c r="N93" s="77">
        <f>IF(AND($A93="",$B93&lt;&gt;""),"THIẾU MÃ","")</f>
        <v/>
      </c>
    </row>
    <row r="94" ht="15" customHeight="1" s="54">
      <c r="A94" s="67" t="n"/>
      <c r="B94" s="67" t="n"/>
      <c r="C94" s="67" t="n"/>
      <c r="D94" s="67" t="n"/>
      <c r="E94" s="75" t="n"/>
      <c r="F94" s="75" t="n"/>
      <c r="G94" s="75" t="n"/>
      <c r="H94" s="75" t="n"/>
      <c r="I94" s="75" t="n"/>
      <c r="J94" s="76" t="n"/>
      <c r="K94" s="75" t="n"/>
      <c r="L94" s="67" t="n"/>
      <c r="M94" s="77">
        <f>IF($A94="","",IF(COUNTIF(DM_Ma,$A94)&gt;1,"TRÙNG",""))</f>
        <v/>
      </c>
      <c r="N94" s="77">
        <f>IF(AND($A94="",$B94&lt;&gt;""),"THIẾU MÃ","")</f>
        <v/>
      </c>
    </row>
    <row r="95" ht="15" customHeight="1" s="54">
      <c r="A95" s="67" t="n"/>
      <c r="B95" s="67" t="n"/>
      <c r="C95" s="67" t="n"/>
      <c r="D95" s="67" t="n"/>
      <c r="E95" s="75" t="n"/>
      <c r="F95" s="75" t="n"/>
      <c r="G95" s="75" t="n"/>
      <c r="H95" s="75" t="n"/>
      <c r="I95" s="75" t="n"/>
      <c r="J95" s="76" t="n"/>
      <c r="K95" s="75" t="n"/>
      <c r="L95" s="67" t="n"/>
      <c r="M95" s="77">
        <f>IF($A95="","",IF(COUNTIF(DM_Ma,$A95)&gt;1,"TRÙNG",""))</f>
        <v/>
      </c>
      <c r="N95" s="77">
        <f>IF(AND($A95="",$B95&lt;&gt;""),"THIẾU MÃ","")</f>
        <v/>
      </c>
    </row>
    <row r="96" ht="15" customHeight="1" s="54">
      <c r="A96" s="67" t="n"/>
      <c r="B96" s="67" t="n"/>
      <c r="C96" s="67" t="n"/>
      <c r="D96" s="67" t="n"/>
      <c r="E96" s="75" t="n"/>
      <c r="F96" s="75" t="n"/>
      <c r="G96" s="75" t="n"/>
      <c r="H96" s="75" t="n"/>
      <c r="I96" s="75" t="n"/>
      <c r="J96" s="76" t="n"/>
      <c r="K96" s="75" t="n"/>
      <c r="L96" s="67" t="n"/>
      <c r="M96" s="77">
        <f>IF($A96="","",IF(COUNTIF(DM_Ma,$A96)&gt;1,"TRÙNG",""))</f>
        <v/>
      </c>
      <c r="N96" s="77">
        <f>IF(AND($A96="",$B96&lt;&gt;""),"THIẾU MÃ","")</f>
        <v/>
      </c>
    </row>
    <row r="97" ht="15" customHeight="1" s="54">
      <c r="A97" s="67" t="n"/>
      <c r="B97" s="67" t="n"/>
      <c r="C97" s="67" t="n"/>
      <c r="D97" s="67" t="n"/>
      <c r="E97" s="75" t="n"/>
      <c r="F97" s="75" t="n"/>
      <c r="G97" s="75" t="n"/>
      <c r="H97" s="75" t="n"/>
      <c r="I97" s="75" t="n"/>
      <c r="J97" s="76" t="n"/>
      <c r="K97" s="75" t="n"/>
      <c r="L97" s="67" t="n"/>
      <c r="M97" s="77">
        <f>IF($A97="","",IF(COUNTIF(DM_Ma,$A97)&gt;1,"TRÙNG",""))</f>
        <v/>
      </c>
      <c r="N97" s="77">
        <f>IF(AND($A97="",$B97&lt;&gt;""),"THIẾU MÃ","")</f>
        <v/>
      </c>
    </row>
    <row r="98" ht="15" customHeight="1" s="54">
      <c r="A98" s="67" t="n"/>
      <c r="B98" s="67" t="n"/>
      <c r="C98" s="67" t="n"/>
      <c r="D98" s="67" t="n"/>
      <c r="E98" s="75" t="n"/>
      <c r="F98" s="75" t="n"/>
      <c r="G98" s="75" t="n"/>
      <c r="H98" s="75" t="n"/>
      <c r="I98" s="75" t="n"/>
      <c r="J98" s="76" t="n"/>
      <c r="K98" s="75" t="n"/>
      <c r="L98" s="67" t="n"/>
      <c r="M98" s="77">
        <f>IF($A98="","",IF(COUNTIF(DM_Ma,$A98)&gt;1,"TRÙNG",""))</f>
        <v/>
      </c>
      <c r="N98" s="77">
        <f>IF(AND($A98="",$B98&lt;&gt;""),"THIẾU MÃ","")</f>
        <v/>
      </c>
    </row>
    <row r="99" ht="15" customHeight="1" s="54">
      <c r="A99" s="67" t="n"/>
      <c r="B99" s="67" t="n"/>
      <c r="C99" s="67" t="n"/>
      <c r="D99" s="67" t="n"/>
      <c r="E99" s="75" t="n"/>
      <c r="F99" s="75" t="n"/>
      <c r="G99" s="75" t="n"/>
      <c r="H99" s="75" t="n"/>
      <c r="I99" s="75" t="n"/>
      <c r="J99" s="76" t="n"/>
      <c r="K99" s="75" t="n"/>
      <c r="L99" s="67" t="n"/>
      <c r="M99" s="77">
        <f>IF($A99="","",IF(COUNTIF(DM_Ma,$A99)&gt;1,"TRÙNG",""))</f>
        <v/>
      </c>
      <c r="N99" s="77">
        <f>IF(AND($A99="",$B99&lt;&gt;""),"THIẾU MÃ","")</f>
        <v/>
      </c>
    </row>
    <row r="100" ht="15" customHeight="1" s="54">
      <c r="A100" s="67" t="n"/>
      <c r="B100" s="67" t="n"/>
      <c r="C100" s="67" t="n"/>
      <c r="D100" s="67" t="n"/>
      <c r="E100" s="75" t="n"/>
      <c r="F100" s="75" t="n"/>
      <c r="G100" s="75" t="n"/>
      <c r="H100" s="75" t="n"/>
      <c r="I100" s="75" t="n"/>
      <c r="J100" s="76" t="n"/>
      <c r="K100" s="75" t="n"/>
      <c r="L100" s="67" t="n"/>
      <c r="M100" s="77">
        <f>IF($A100="","",IF(COUNTIF(DM_Ma,$A100)&gt;1,"TRÙNG",""))</f>
        <v/>
      </c>
      <c r="N100" s="77">
        <f>IF(AND($A100="",$B100&lt;&gt;""),"THIẾU MÃ","")</f>
        <v/>
      </c>
    </row>
    <row r="101" ht="15" customHeight="1" s="54">
      <c r="A101" s="67" t="n"/>
      <c r="B101" s="67" t="n"/>
      <c r="C101" s="67" t="n"/>
      <c r="D101" s="67" t="n"/>
      <c r="E101" s="75" t="n"/>
      <c r="F101" s="75" t="n"/>
      <c r="G101" s="75" t="n"/>
      <c r="H101" s="75" t="n"/>
      <c r="I101" s="75" t="n"/>
      <c r="J101" s="76" t="n"/>
      <c r="K101" s="75" t="n"/>
      <c r="L101" s="67" t="n"/>
      <c r="M101" s="77">
        <f>IF($A101="","",IF(COUNTIF(DM_Ma,$A101)&gt;1,"TRÙNG",""))</f>
        <v/>
      </c>
      <c r="N101" s="77">
        <f>IF(AND($A101="",$B101&lt;&gt;""),"THIẾU MÃ","")</f>
        <v/>
      </c>
    </row>
    <row r="102"/>
    <row r="103" ht="15" customHeight="1" s="54">
      <c r="A103" s="78" t="inlineStr">
        <is>
          <t xml:space="preserve">Công cụ tính giá thành  |  KK HOME  •  </t>
        </is>
      </c>
    </row>
  </sheetData>
  <sheetProtection selectLockedCells="0" selectUnlockedCells="0" sheet="1" objects="0" insertRows="1" insertHyperlinks="1" autoFilter="1" scenarios="0" formatColumns="1" deleteColumns="1" insertColumns="1" pivotTables="1" deleteRows="1" formatCells="0" formatRows="1" sort="1"/>
  <mergeCells count="9">
    <mergeCell ref="B8:E8"/>
    <mergeCell ref="B4:E4"/>
    <mergeCell ref="A1:P1"/>
    <mergeCell ref="B12:E12"/>
    <mergeCell ref="B13:E13"/>
    <mergeCell ref="A103:L103"/>
    <mergeCell ref="B15:E15"/>
    <mergeCell ref="B3:E3"/>
    <mergeCell ref="B14:E14"/>
  </mergeCells>
  <dataValidations count="6">
    <dataValidation sqref="B12" showDropDown="0" showInputMessage="0" showErrorMessage="0" allowBlank="1" type="list" errorStyle="stop" operator="between">
      <formula1>LST_LoaiHinh</formula1>
      <formula2>0</formula2>
    </dataValidation>
    <dataValidation sqref="B13" showDropDown="0" showInputMessage="0" showErrorMessage="0" allowBlank="1" type="list" errorStyle="stop" operator="between">
      <formula1>LST_PhuongPhap</formula1>
      <formula2>0</formula2>
    </dataValidation>
    <dataValidation sqref="B14" showDropDown="0" showInputMessage="0" showErrorMessage="0" allowBlank="1" type="list" errorStyle="stop" operator="between">
      <formula1>LST_DoDang</formula1>
      <formula2>0</formula2>
    </dataValidation>
    <dataValidation sqref="B15" showDropDown="0" showInputMessage="0" showErrorMessage="0" allowBlank="1" type="list" errorStyle="stop" operator="between">
      <formula1>LST_TieuThuc</formula1>
      <formula2>0</formula2>
    </dataValidation>
    <dataValidation sqref="C22:C101" showDropDown="0" showInputMessage="0" showErrorMessage="0" allowBlank="1" type="list" errorStyle="stop" operator="between">
      <formula1>LST_LoaiHinh</formula1>
      <formula2>0</formula2>
    </dataValidation>
    <dataValidation sqref="L22:L101" showDropDown="0" showInputMessage="0" showErrorMessage="0" allowBlank="1" type="list" errorStyle="stop" operator="between">
      <formula1>LST_TrangThai</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80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3" min="1" max="1"/>
    <col width="9" customWidth="1" style="53" min="2" max="2"/>
    <col width="15" customWidth="1" style="53" min="3" max="3"/>
    <col width="21" customWidth="1" style="53" min="4" max="4"/>
    <col width="7" customWidth="1" style="53" min="5" max="5"/>
    <col width="13" customWidth="1" style="53" min="6" max="6"/>
    <col width="12" customWidth="1" style="53" min="7" max="7"/>
    <col width="16" customWidth="1" style="53" min="8" max="8"/>
    <col width="26" customWidth="1" style="53" min="9" max="9"/>
    <col width="15" customWidth="1" style="53" min="10" max="10"/>
    <col width="12" customWidth="1" style="53" min="11" max="11"/>
    <col hidden="1" width="13" customWidth="1" style="53" min="13" max="16"/>
  </cols>
  <sheetData>
    <row r="1" ht="24" customHeight="1" s="54">
      <c r="A1" s="55">
        <f>"NHẬP CHI PHÍ — "&amp;pTenDoiTuong&amp;"  ("&amp;TEXT(pTu,"dd/mm/yyyy")&amp;" ÷ "&amp;TEXT(pDen,"dd/mm/yyyy")&amp;")"</f>
        <v/>
      </c>
    </row>
    <row r="2" ht="15" customHeight="1" s="54">
      <c r="A2" s="65" t="inlineStr">
        <is>
          <t>Nhập liên tục. Chi phí trực tiếp: chọn Mã đối tượng + Trực tiếp. Chi phí chung: Mã=CHUNG + Chung (sẽ phân bổ). Chỉ chi phí có Ngày trong kỳ mới được tính.</t>
        </is>
      </c>
    </row>
    <row r="3"/>
    <row r="4" ht="23.85" customHeight="1" s="54">
      <c r="A4" s="74" t="inlineStr">
        <is>
          <t>Ngày</t>
        </is>
      </c>
      <c r="B4" s="74" t="inlineStr">
        <is>
          <t>Số CT</t>
        </is>
      </c>
      <c r="C4" s="74" t="inlineStr">
        <is>
          <t>Mã đối tượng</t>
        </is>
      </c>
      <c r="D4" s="74" t="inlineStr">
        <is>
          <t>Khoản mục chi phí</t>
        </is>
      </c>
      <c r="E4" s="74" t="inlineStr">
        <is>
          <t>TK</t>
        </is>
      </c>
      <c r="F4" s="74" t="inlineStr">
        <is>
          <t>Trực tiếp/Chung</t>
        </is>
      </c>
      <c r="G4" s="74" t="inlineStr">
        <is>
          <t>Tính chất SXC</t>
        </is>
      </c>
      <c r="H4" s="74" t="inlineStr">
        <is>
          <t>Tiêu thức PB (ghi chú)</t>
        </is>
      </c>
      <c r="I4" s="74" t="inlineStr">
        <is>
          <t>Diễn giải</t>
        </is>
      </c>
      <c r="J4" s="74" t="inlineStr">
        <is>
          <t>Số tiền</t>
        </is>
      </c>
      <c r="K4" s="74" t="inlineStr">
        <is>
          <t>Ghi chú</t>
        </is>
      </c>
    </row>
    <row r="5" ht="15" customHeight="1" s="54">
      <c r="A5" s="71" t="n"/>
      <c r="B5" s="67" t="n"/>
      <c r="C5" s="67" t="n"/>
      <c r="D5" s="67" t="n"/>
      <c r="E5" s="79">
        <f>IFERROR(INDEX(MAP_TK,MATCH($D5,MAP_KM,0)),"")</f>
        <v/>
      </c>
      <c r="F5" s="67" t="n"/>
      <c r="G5" s="67" t="n"/>
      <c r="H5" s="67" t="n"/>
      <c r="I5" s="67" t="n"/>
      <c r="J5" s="75" t="n"/>
      <c r="K5" s="67" t="n"/>
      <c r="M5" s="53">
        <f>IF($C5="","",IF(OR($C5="CHUNG",COUNTIF(DM_Ma,$C5)&gt;0),"","MÃ LẠ"))</f>
        <v/>
      </c>
      <c r="N5" s="53">
        <f>IF($A5="","",IF(AND($A5&gt;=pTu,$A5&lt;=pDen),"","NGOÀI KỲ"))</f>
        <v/>
      </c>
      <c r="O5" s="53">
        <f>IF($J5="","",IF($J5&lt;=0,"≤0",""))</f>
        <v/>
      </c>
      <c r="P5" s="53">
        <f>IF(AND($D5="SXC (627)",$F5="Chung"),IF(OR($G5="Cố định",$G5="Biến đổi"),"","THIẾU TÍNH CHẤT"),"")</f>
        <v/>
      </c>
    </row>
    <row r="6" ht="15" customHeight="1" s="54">
      <c r="A6" s="71" t="n"/>
      <c r="B6" s="67" t="n"/>
      <c r="C6" s="67" t="n"/>
      <c r="D6" s="67" t="n"/>
      <c r="E6" s="79">
        <f>IFERROR(INDEX(MAP_TK,MATCH($D6,MAP_KM,0)),"")</f>
        <v/>
      </c>
      <c r="F6" s="67" t="n"/>
      <c r="G6" s="67" t="n"/>
      <c r="H6" s="67" t="n"/>
      <c r="I6" s="67" t="n"/>
      <c r="J6" s="75" t="n"/>
      <c r="K6" s="67" t="n"/>
      <c r="M6" s="53">
        <f>IF($C6="","",IF(OR($C6="CHUNG",COUNTIF(DM_Ma,$C6)&gt;0),"","MÃ LẠ"))</f>
        <v/>
      </c>
      <c r="N6" s="53">
        <f>IF($A6="","",IF(AND($A6&gt;=pTu,$A6&lt;=pDen),"","NGOÀI KỲ"))</f>
        <v/>
      </c>
      <c r="O6" s="53">
        <f>IF($J6="","",IF($J6&lt;=0,"≤0",""))</f>
        <v/>
      </c>
      <c r="P6" s="53">
        <f>IF(AND($D6="SXC (627)",$F6="Chung"),IF(OR($G6="Cố định",$G6="Biến đổi"),"","THIẾU TÍNH CHẤT"),"")</f>
        <v/>
      </c>
    </row>
    <row r="7" ht="15" customHeight="1" s="54">
      <c r="A7" s="71" t="n"/>
      <c r="B7" s="67" t="n"/>
      <c r="C7" s="67" t="n"/>
      <c r="D7" s="67" t="n"/>
      <c r="E7" s="79">
        <f>IFERROR(INDEX(MAP_TK,MATCH($D7,MAP_KM,0)),"")</f>
        <v/>
      </c>
      <c r="F7" s="67" t="n"/>
      <c r="G7" s="67" t="n"/>
      <c r="H7" s="67" t="n"/>
      <c r="I7" s="67" t="n"/>
      <c r="J7" s="75" t="n"/>
      <c r="K7" s="67" t="n"/>
      <c r="M7" s="53">
        <f>IF($C7="","",IF(OR($C7="CHUNG",COUNTIF(DM_Ma,$C7)&gt;0),"","MÃ LẠ"))</f>
        <v/>
      </c>
      <c r="N7" s="53">
        <f>IF($A7="","",IF(AND($A7&gt;=pTu,$A7&lt;=pDen),"","NGOÀI KỲ"))</f>
        <v/>
      </c>
      <c r="O7" s="53">
        <f>IF($J7="","",IF($J7&lt;=0,"≤0",""))</f>
        <v/>
      </c>
      <c r="P7" s="53">
        <f>IF(AND($D7="SXC (627)",$F7="Chung"),IF(OR($G7="Cố định",$G7="Biến đổi"),"","THIẾU TÍNH CHẤT"),"")</f>
        <v/>
      </c>
    </row>
    <row r="8" ht="15" customHeight="1" s="54">
      <c r="A8" s="71" t="n"/>
      <c r="B8" s="67" t="n"/>
      <c r="C8" s="67" t="n"/>
      <c r="D8" s="67" t="n"/>
      <c r="E8" s="79">
        <f>IFERROR(INDEX(MAP_TK,MATCH($D8,MAP_KM,0)),"")</f>
        <v/>
      </c>
      <c r="F8" s="67" t="n"/>
      <c r="G8" s="67" t="n"/>
      <c r="H8" s="67" t="n"/>
      <c r="I8" s="67" t="n"/>
      <c r="J8" s="75" t="n"/>
      <c r="K8" s="67" t="n"/>
      <c r="M8" s="53">
        <f>IF($C8="","",IF(OR($C8="CHUNG",COUNTIF(DM_Ma,$C8)&gt;0),"","MÃ LẠ"))</f>
        <v/>
      </c>
      <c r="N8" s="53">
        <f>IF($A8="","",IF(AND($A8&gt;=pTu,$A8&lt;=pDen),"","NGOÀI KỲ"))</f>
        <v/>
      </c>
      <c r="O8" s="53">
        <f>IF($J8="","",IF($J8&lt;=0,"≤0",""))</f>
        <v/>
      </c>
      <c r="P8" s="53">
        <f>IF(AND($D8="SXC (627)",$F8="Chung"),IF(OR($G8="Cố định",$G8="Biến đổi"),"","THIẾU TÍNH CHẤT"),"")</f>
        <v/>
      </c>
    </row>
    <row r="9" ht="15" customHeight="1" s="54">
      <c r="A9" s="71" t="n"/>
      <c r="B9" s="67" t="n"/>
      <c r="C9" s="67" t="n"/>
      <c r="D9" s="67" t="n"/>
      <c r="E9" s="79">
        <f>IFERROR(INDEX(MAP_TK,MATCH($D9,MAP_KM,0)),"")</f>
        <v/>
      </c>
      <c r="F9" s="67" t="n"/>
      <c r="G9" s="67" t="n"/>
      <c r="H9" s="67" t="n"/>
      <c r="I9" s="67" t="n"/>
      <c r="J9" s="75" t="n"/>
      <c r="K9" s="67" t="n"/>
      <c r="M9" s="53">
        <f>IF($C9="","",IF(OR($C9="CHUNG",COUNTIF(DM_Ma,$C9)&gt;0),"","MÃ LẠ"))</f>
        <v/>
      </c>
      <c r="N9" s="53">
        <f>IF($A9="","",IF(AND($A9&gt;=pTu,$A9&lt;=pDen),"","NGOÀI KỲ"))</f>
        <v/>
      </c>
      <c r="O9" s="53">
        <f>IF($J9="","",IF($J9&lt;=0,"≤0",""))</f>
        <v/>
      </c>
      <c r="P9" s="53">
        <f>IF(AND($D9="SXC (627)",$F9="Chung"),IF(OR($G9="Cố định",$G9="Biến đổi"),"","THIẾU TÍNH CHẤT"),"")</f>
        <v/>
      </c>
    </row>
    <row r="10" ht="15" customHeight="1" s="54">
      <c r="A10" s="71" t="n"/>
      <c r="B10" s="67" t="n"/>
      <c r="C10" s="67" t="n"/>
      <c r="D10" s="67" t="n"/>
      <c r="E10" s="79">
        <f>IFERROR(INDEX(MAP_TK,MATCH($D10,MAP_KM,0)),"")</f>
        <v/>
      </c>
      <c r="F10" s="67" t="n"/>
      <c r="G10" s="67" t="n"/>
      <c r="H10" s="67" t="n"/>
      <c r="I10" s="67" t="n"/>
      <c r="J10" s="75" t="n"/>
      <c r="K10" s="67" t="n"/>
      <c r="M10" s="53">
        <f>IF($C10="","",IF(OR($C10="CHUNG",COUNTIF(DM_Ma,$C10)&gt;0),"","MÃ LẠ"))</f>
        <v/>
      </c>
      <c r="N10" s="53">
        <f>IF($A10="","",IF(AND($A10&gt;=pTu,$A10&lt;=pDen),"","NGOÀI KỲ"))</f>
        <v/>
      </c>
      <c r="O10" s="53">
        <f>IF($J10="","",IF($J10&lt;=0,"≤0",""))</f>
        <v/>
      </c>
      <c r="P10" s="53">
        <f>IF(AND($D10="SXC (627)",$F10="Chung"),IF(OR($G10="Cố định",$G10="Biến đổi"),"","THIẾU TÍNH CHẤT"),"")</f>
        <v/>
      </c>
    </row>
    <row r="11" ht="15" customHeight="1" s="54">
      <c r="A11" s="71" t="n"/>
      <c r="B11" s="67" t="n"/>
      <c r="C11" s="67" t="n"/>
      <c r="D11" s="67" t="n"/>
      <c r="E11" s="79">
        <f>IFERROR(INDEX(MAP_TK,MATCH($D11,MAP_KM,0)),"")</f>
        <v/>
      </c>
      <c r="F11" s="67" t="n"/>
      <c r="G11" s="67" t="n"/>
      <c r="H11" s="67" t="n"/>
      <c r="I11" s="67" t="n"/>
      <c r="J11" s="75" t="n"/>
      <c r="K11" s="67" t="n"/>
      <c r="M11" s="53">
        <f>IF($C11="","",IF(OR($C11="CHUNG",COUNTIF(DM_Ma,$C11)&gt;0),"","MÃ LẠ"))</f>
        <v/>
      </c>
      <c r="N11" s="53">
        <f>IF($A11="","",IF(AND($A11&gt;=pTu,$A11&lt;=pDen),"","NGOÀI KỲ"))</f>
        <v/>
      </c>
      <c r="O11" s="53">
        <f>IF($J11="","",IF($J11&lt;=0,"≤0",""))</f>
        <v/>
      </c>
      <c r="P11" s="53">
        <f>IF(AND($D11="SXC (627)",$F11="Chung"),IF(OR($G11="Cố định",$G11="Biến đổi"),"","THIẾU TÍNH CHẤT"),"")</f>
        <v/>
      </c>
    </row>
    <row r="12" ht="15" customHeight="1" s="54">
      <c r="A12" s="71" t="n"/>
      <c r="B12" s="67" t="n"/>
      <c r="C12" s="67" t="n"/>
      <c r="D12" s="67" t="n"/>
      <c r="E12" s="79">
        <f>IFERROR(INDEX(MAP_TK,MATCH($D12,MAP_KM,0)),"")</f>
        <v/>
      </c>
      <c r="F12" s="67" t="n"/>
      <c r="G12" s="67" t="n"/>
      <c r="H12" s="67" t="n"/>
      <c r="I12" s="67" t="n"/>
      <c r="J12" s="75" t="n"/>
      <c r="K12" s="67" t="n"/>
      <c r="M12" s="53">
        <f>IF($C12="","",IF(OR($C12="CHUNG",COUNTIF(DM_Ma,$C12)&gt;0),"","MÃ LẠ"))</f>
        <v/>
      </c>
      <c r="N12" s="53">
        <f>IF($A12="","",IF(AND($A12&gt;=pTu,$A12&lt;=pDen),"","NGOÀI KỲ"))</f>
        <v/>
      </c>
      <c r="O12" s="53">
        <f>IF($J12="","",IF($J12&lt;=0,"≤0",""))</f>
        <v/>
      </c>
      <c r="P12" s="53">
        <f>IF(AND($D12="SXC (627)",$F12="Chung"),IF(OR($G12="Cố định",$G12="Biến đổi"),"","THIẾU TÍNH CHẤT"),"")</f>
        <v/>
      </c>
    </row>
    <row r="13" ht="15" customHeight="1" s="54">
      <c r="A13" s="71" t="n"/>
      <c r="B13" s="67" t="n"/>
      <c r="C13" s="67" t="n"/>
      <c r="D13" s="67" t="n"/>
      <c r="E13" s="79">
        <f>IFERROR(INDEX(MAP_TK,MATCH($D13,MAP_KM,0)),"")</f>
        <v/>
      </c>
      <c r="F13" s="67" t="n"/>
      <c r="G13" s="67" t="n"/>
      <c r="H13" s="67" t="n"/>
      <c r="I13" s="67" t="n"/>
      <c r="J13" s="75" t="n"/>
      <c r="K13" s="67" t="n"/>
      <c r="M13" s="53">
        <f>IF($C13="","",IF(OR($C13="CHUNG",COUNTIF(DM_Ma,$C13)&gt;0),"","MÃ LẠ"))</f>
        <v/>
      </c>
      <c r="N13" s="53">
        <f>IF($A13="","",IF(AND($A13&gt;=pTu,$A13&lt;=pDen),"","NGOÀI KỲ"))</f>
        <v/>
      </c>
      <c r="O13" s="53">
        <f>IF($J13="","",IF($J13&lt;=0,"≤0",""))</f>
        <v/>
      </c>
      <c r="P13" s="53">
        <f>IF(AND($D13="SXC (627)",$F13="Chung"),IF(OR($G13="Cố định",$G13="Biến đổi"),"","THIẾU TÍNH CHẤT"),"")</f>
        <v/>
      </c>
    </row>
    <row r="14" ht="15" customHeight="1" s="54">
      <c r="A14" s="71" t="n"/>
      <c r="B14" s="67" t="n"/>
      <c r="C14" s="67" t="n"/>
      <c r="D14" s="67" t="n"/>
      <c r="E14" s="79">
        <f>IFERROR(INDEX(MAP_TK,MATCH($D14,MAP_KM,0)),"")</f>
        <v/>
      </c>
      <c r="F14" s="67" t="n"/>
      <c r="G14" s="67" t="n"/>
      <c r="H14" s="67" t="n"/>
      <c r="I14" s="67" t="n"/>
      <c r="J14" s="75" t="n"/>
      <c r="K14" s="67" t="n"/>
      <c r="M14" s="53">
        <f>IF($C14="","",IF(OR($C14="CHUNG",COUNTIF(DM_Ma,$C14)&gt;0),"","MÃ LẠ"))</f>
        <v/>
      </c>
      <c r="N14" s="53">
        <f>IF($A14="","",IF(AND($A14&gt;=pTu,$A14&lt;=pDen),"","NGOÀI KỲ"))</f>
        <v/>
      </c>
      <c r="O14" s="53">
        <f>IF($J14="","",IF($J14&lt;=0,"≤0",""))</f>
        <v/>
      </c>
      <c r="P14" s="53">
        <f>IF(AND($D14="SXC (627)",$F14="Chung"),IF(OR($G14="Cố định",$G14="Biến đổi"),"","THIẾU TÍNH CHẤT"),"")</f>
        <v/>
      </c>
    </row>
    <row r="15" ht="15" customHeight="1" s="54">
      <c r="A15" s="71" t="n"/>
      <c r="B15" s="67" t="n"/>
      <c r="C15" s="67" t="n"/>
      <c r="D15" s="67" t="n"/>
      <c r="E15" s="79">
        <f>IFERROR(INDEX(MAP_TK,MATCH($D15,MAP_KM,0)),"")</f>
        <v/>
      </c>
      <c r="F15" s="67" t="n"/>
      <c r="G15" s="67" t="n"/>
      <c r="H15" s="67" t="n"/>
      <c r="I15" s="67" t="n"/>
      <c r="J15" s="75" t="n"/>
      <c r="K15" s="67" t="n"/>
      <c r="M15" s="53">
        <f>IF($C15="","",IF(OR($C15="CHUNG",COUNTIF(DM_Ma,$C15)&gt;0),"","MÃ LẠ"))</f>
        <v/>
      </c>
      <c r="N15" s="53">
        <f>IF($A15="","",IF(AND($A15&gt;=pTu,$A15&lt;=pDen),"","NGOÀI KỲ"))</f>
        <v/>
      </c>
      <c r="O15" s="53">
        <f>IF($J15="","",IF($J15&lt;=0,"≤0",""))</f>
        <v/>
      </c>
      <c r="P15" s="53">
        <f>IF(AND($D15="SXC (627)",$F15="Chung"),IF(OR($G15="Cố định",$G15="Biến đổi"),"","THIẾU TÍNH CHẤT"),"")</f>
        <v/>
      </c>
    </row>
    <row r="16" ht="15" customHeight="1" s="54">
      <c r="A16" s="71" t="n"/>
      <c r="B16" s="67" t="n"/>
      <c r="C16" s="67" t="n"/>
      <c r="D16" s="67" t="n"/>
      <c r="E16" s="79">
        <f>IFERROR(INDEX(MAP_TK,MATCH($D16,MAP_KM,0)),"")</f>
        <v/>
      </c>
      <c r="F16" s="67" t="n"/>
      <c r="G16" s="67" t="n"/>
      <c r="H16" s="67" t="n"/>
      <c r="I16" s="67" t="n"/>
      <c r="J16" s="75" t="n"/>
      <c r="K16" s="67" t="n"/>
      <c r="M16" s="53">
        <f>IF($C16="","",IF(OR($C16="CHUNG",COUNTIF(DM_Ma,$C16)&gt;0),"","MÃ LẠ"))</f>
        <v/>
      </c>
      <c r="N16" s="53">
        <f>IF($A16="","",IF(AND($A16&gt;=pTu,$A16&lt;=pDen),"","NGOÀI KỲ"))</f>
        <v/>
      </c>
      <c r="O16" s="53">
        <f>IF($J16="","",IF($J16&lt;=0,"≤0",""))</f>
        <v/>
      </c>
      <c r="P16" s="53">
        <f>IF(AND($D16="SXC (627)",$F16="Chung"),IF(OR($G16="Cố định",$G16="Biến đổi"),"","THIẾU TÍNH CHẤT"),"")</f>
        <v/>
      </c>
    </row>
    <row r="17" ht="15" customHeight="1" s="54">
      <c r="A17" s="71" t="n"/>
      <c r="B17" s="67" t="n"/>
      <c r="C17" s="67" t="n"/>
      <c r="D17" s="67" t="n"/>
      <c r="E17" s="79">
        <f>IFERROR(INDEX(MAP_TK,MATCH($D17,MAP_KM,0)),"")</f>
        <v/>
      </c>
      <c r="F17" s="67" t="n"/>
      <c r="G17" s="67" t="n"/>
      <c r="H17" s="67" t="n"/>
      <c r="I17" s="67" t="n"/>
      <c r="J17" s="75" t="n"/>
      <c r="K17" s="67" t="n"/>
      <c r="M17" s="53">
        <f>IF($C17="","",IF(OR($C17="CHUNG",COUNTIF(DM_Ma,$C17)&gt;0),"","MÃ LẠ"))</f>
        <v/>
      </c>
      <c r="N17" s="53">
        <f>IF($A17="","",IF(AND($A17&gt;=pTu,$A17&lt;=pDen),"","NGOÀI KỲ"))</f>
        <v/>
      </c>
      <c r="O17" s="53">
        <f>IF($J17="","",IF($J17&lt;=0,"≤0",""))</f>
        <v/>
      </c>
      <c r="P17" s="53">
        <f>IF(AND($D17="SXC (627)",$F17="Chung"),IF(OR($G17="Cố định",$G17="Biến đổi"),"","THIẾU TÍNH CHẤT"),"")</f>
        <v/>
      </c>
    </row>
    <row r="18" ht="15" customHeight="1" s="54">
      <c r="A18" s="71" t="n"/>
      <c r="B18" s="67" t="n"/>
      <c r="C18" s="67" t="n"/>
      <c r="D18" s="67" t="n"/>
      <c r="E18" s="79">
        <f>IFERROR(INDEX(MAP_TK,MATCH($D18,MAP_KM,0)),"")</f>
        <v/>
      </c>
      <c r="F18" s="67" t="n"/>
      <c r="G18" s="67" t="n"/>
      <c r="H18" s="67" t="n"/>
      <c r="I18" s="67" t="n"/>
      <c r="J18" s="75" t="n"/>
      <c r="K18" s="67" t="n"/>
      <c r="M18" s="53">
        <f>IF($C18="","",IF(OR($C18="CHUNG",COUNTIF(DM_Ma,$C18)&gt;0),"","MÃ LẠ"))</f>
        <v/>
      </c>
      <c r="N18" s="53">
        <f>IF($A18="","",IF(AND($A18&gt;=pTu,$A18&lt;=pDen),"","NGOÀI KỲ"))</f>
        <v/>
      </c>
      <c r="O18" s="53">
        <f>IF($J18="","",IF($J18&lt;=0,"≤0",""))</f>
        <v/>
      </c>
      <c r="P18" s="53">
        <f>IF(AND($D18="SXC (627)",$F18="Chung"),IF(OR($G18="Cố định",$G18="Biến đổi"),"","THIẾU TÍNH CHẤT"),"")</f>
        <v/>
      </c>
    </row>
    <row r="19" ht="15" customHeight="1" s="54">
      <c r="A19" s="71" t="n"/>
      <c r="B19" s="67" t="n"/>
      <c r="C19" s="67" t="n"/>
      <c r="D19" s="67" t="n"/>
      <c r="E19" s="79">
        <f>IFERROR(INDEX(MAP_TK,MATCH($D19,MAP_KM,0)),"")</f>
        <v/>
      </c>
      <c r="F19" s="67" t="n"/>
      <c r="G19" s="67" t="n"/>
      <c r="H19" s="67" t="n"/>
      <c r="I19" s="67" t="n"/>
      <c r="J19" s="75" t="n"/>
      <c r="K19" s="67" t="n"/>
      <c r="M19" s="53">
        <f>IF($C19="","",IF(OR($C19="CHUNG",COUNTIF(DM_Ma,$C19)&gt;0),"","MÃ LẠ"))</f>
        <v/>
      </c>
      <c r="N19" s="53">
        <f>IF($A19="","",IF(AND($A19&gt;=pTu,$A19&lt;=pDen),"","NGOÀI KỲ"))</f>
        <v/>
      </c>
      <c r="O19" s="53">
        <f>IF($J19="","",IF($J19&lt;=0,"≤0",""))</f>
        <v/>
      </c>
      <c r="P19" s="53">
        <f>IF(AND($D19="SXC (627)",$F19="Chung"),IF(OR($G19="Cố định",$G19="Biến đổi"),"","THIẾU TÍNH CHẤT"),"")</f>
        <v/>
      </c>
    </row>
    <row r="20" ht="15" customHeight="1" s="54">
      <c r="A20" s="71" t="n"/>
      <c r="B20" s="67" t="n"/>
      <c r="C20" s="67" t="n"/>
      <c r="D20" s="67" t="n"/>
      <c r="E20" s="79">
        <f>IFERROR(INDEX(MAP_TK,MATCH($D20,MAP_KM,0)),"")</f>
        <v/>
      </c>
      <c r="F20" s="67" t="n"/>
      <c r="G20" s="67" t="n"/>
      <c r="H20" s="67" t="n"/>
      <c r="I20" s="67" t="n"/>
      <c r="J20" s="75" t="n"/>
      <c r="K20" s="67" t="n"/>
      <c r="M20" s="53">
        <f>IF($C20="","",IF(OR($C20="CHUNG",COUNTIF(DM_Ma,$C20)&gt;0),"","MÃ LẠ"))</f>
        <v/>
      </c>
      <c r="N20" s="53">
        <f>IF($A20="","",IF(AND($A20&gt;=pTu,$A20&lt;=pDen),"","NGOÀI KỲ"))</f>
        <v/>
      </c>
      <c r="O20" s="53">
        <f>IF($J20="","",IF($J20&lt;=0,"≤0",""))</f>
        <v/>
      </c>
      <c r="P20" s="53">
        <f>IF(AND($D20="SXC (627)",$F20="Chung"),IF(OR($G20="Cố định",$G20="Biến đổi"),"","THIẾU TÍNH CHẤT"),"")</f>
        <v/>
      </c>
    </row>
    <row r="21" ht="15" customHeight="1" s="54">
      <c r="A21" s="71" t="n"/>
      <c r="B21" s="67" t="n"/>
      <c r="C21" s="67" t="n"/>
      <c r="D21" s="67" t="n"/>
      <c r="E21" s="79">
        <f>IFERROR(INDEX(MAP_TK,MATCH($D21,MAP_KM,0)),"")</f>
        <v/>
      </c>
      <c r="F21" s="67" t="n"/>
      <c r="G21" s="67" t="n"/>
      <c r="H21" s="67" t="n"/>
      <c r="I21" s="67" t="n"/>
      <c r="J21" s="75" t="n"/>
      <c r="K21" s="67" t="n"/>
      <c r="M21" s="53">
        <f>IF($C21="","",IF(OR($C21="CHUNG",COUNTIF(DM_Ma,$C21)&gt;0),"","MÃ LẠ"))</f>
        <v/>
      </c>
      <c r="N21" s="53">
        <f>IF($A21="","",IF(AND($A21&gt;=pTu,$A21&lt;=pDen),"","NGOÀI KỲ"))</f>
        <v/>
      </c>
      <c r="O21" s="53">
        <f>IF($J21="","",IF($J21&lt;=0,"≤0",""))</f>
        <v/>
      </c>
      <c r="P21" s="53">
        <f>IF(AND($D21="SXC (627)",$F21="Chung"),IF(OR($G21="Cố định",$G21="Biến đổi"),"","THIẾU TÍNH CHẤT"),"")</f>
        <v/>
      </c>
    </row>
    <row r="22" ht="15" customHeight="1" s="54">
      <c r="A22" s="71" t="n"/>
      <c r="B22" s="67" t="n"/>
      <c r="C22" s="67" t="n"/>
      <c r="D22" s="67" t="n"/>
      <c r="E22" s="79">
        <f>IFERROR(INDEX(MAP_TK,MATCH($D22,MAP_KM,0)),"")</f>
        <v/>
      </c>
      <c r="F22" s="67" t="n"/>
      <c r="G22" s="67" t="n"/>
      <c r="H22" s="67" t="n"/>
      <c r="I22" s="67" t="n"/>
      <c r="J22" s="75" t="n"/>
      <c r="K22" s="67" t="n"/>
      <c r="M22" s="53">
        <f>IF($C22="","",IF(OR($C22="CHUNG",COUNTIF(DM_Ma,$C22)&gt;0),"","MÃ LẠ"))</f>
        <v/>
      </c>
      <c r="N22" s="53">
        <f>IF($A22="","",IF(AND($A22&gt;=pTu,$A22&lt;=pDen),"","NGOÀI KỲ"))</f>
        <v/>
      </c>
      <c r="O22" s="53">
        <f>IF($J22="","",IF($J22&lt;=0,"≤0",""))</f>
        <v/>
      </c>
      <c r="P22" s="53">
        <f>IF(AND($D22="SXC (627)",$F22="Chung"),IF(OR($G22="Cố định",$G22="Biến đổi"),"","THIẾU TÍNH CHẤT"),"")</f>
        <v/>
      </c>
    </row>
    <row r="23" ht="15" customHeight="1" s="54">
      <c r="A23" s="71" t="n"/>
      <c r="B23" s="67" t="n"/>
      <c r="C23" s="67" t="n"/>
      <c r="D23" s="67" t="n"/>
      <c r="E23" s="79">
        <f>IFERROR(INDEX(MAP_TK,MATCH($D23,MAP_KM,0)),"")</f>
        <v/>
      </c>
      <c r="F23" s="67" t="n"/>
      <c r="G23" s="67" t="n"/>
      <c r="H23" s="67" t="n"/>
      <c r="I23" s="67" t="n"/>
      <c r="J23" s="75" t="n"/>
      <c r="K23" s="67" t="n"/>
      <c r="M23" s="53">
        <f>IF($C23="","",IF(OR($C23="CHUNG",COUNTIF(DM_Ma,$C23)&gt;0),"","MÃ LẠ"))</f>
        <v/>
      </c>
      <c r="N23" s="53">
        <f>IF($A23="","",IF(AND($A23&gt;=pTu,$A23&lt;=pDen),"","NGOÀI KỲ"))</f>
        <v/>
      </c>
      <c r="O23" s="53">
        <f>IF($J23="","",IF($J23&lt;=0,"≤0",""))</f>
        <v/>
      </c>
      <c r="P23" s="53">
        <f>IF(AND($D23="SXC (627)",$F23="Chung"),IF(OR($G23="Cố định",$G23="Biến đổi"),"","THIẾU TÍNH CHẤT"),"")</f>
        <v/>
      </c>
    </row>
    <row r="24" ht="15" customHeight="1" s="54">
      <c r="A24" s="71" t="n"/>
      <c r="B24" s="67" t="n"/>
      <c r="C24" s="67" t="n"/>
      <c r="D24" s="67" t="n"/>
      <c r="E24" s="79">
        <f>IFERROR(INDEX(MAP_TK,MATCH($D24,MAP_KM,0)),"")</f>
        <v/>
      </c>
      <c r="F24" s="67" t="n"/>
      <c r="G24" s="67" t="n"/>
      <c r="H24" s="67" t="n"/>
      <c r="I24" s="67" t="n"/>
      <c r="J24" s="75" t="n"/>
      <c r="K24" s="67" t="n"/>
      <c r="M24" s="53">
        <f>IF($C24="","",IF(OR($C24="CHUNG",COUNTIF(DM_Ma,$C24)&gt;0),"","MÃ LẠ"))</f>
        <v/>
      </c>
      <c r="N24" s="53">
        <f>IF($A24="","",IF(AND($A24&gt;=pTu,$A24&lt;=pDen),"","NGOÀI KỲ"))</f>
        <v/>
      </c>
      <c r="O24" s="53">
        <f>IF($J24="","",IF($J24&lt;=0,"≤0",""))</f>
        <v/>
      </c>
      <c r="P24" s="53">
        <f>IF(AND($D24="SXC (627)",$F24="Chung"),IF(OR($G24="Cố định",$G24="Biến đổi"),"","THIẾU TÍNH CHẤT"),"")</f>
        <v/>
      </c>
    </row>
    <row r="25" ht="15" customHeight="1" s="54">
      <c r="A25" s="71" t="n"/>
      <c r="B25" s="67" t="n"/>
      <c r="C25" s="67" t="n"/>
      <c r="D25" s="67" t="n"/>
      <c r="E25" s="79">
        <f>IFERROR(INDEX(MAP_TK,MATCH($D25,MAP_KM,0)),"")</f>
        <v/>
      </c>
      <c r="F25" s="67" t="n"/>
      <c r="G25" s="67" t="n"/>
      <c r="H25" s="67" t="n"/>
      <c r="I25" s="67" t="n"/>
      <c r="J25" s="75" t="n"/>
      <c r="K25" s="67" t="n"/>
      <c r="M25" s="53">
        <f>IF($C25="","",IF(OR($C25="CHUNG",COUNTIF(DM_Ma,$C25)&gt;0),"","MÃ LẠ"))</f>
        <v/>
      </c>
      <c r="N25" s="53">
        <f>IF($A25="","",IF(AND($A25&gt;=pTu,$A25&lt;=pDen),"","NGOÀI KỲ"))</f>
        <v/>
      </c>
      <c r="O25" s="53">
        <f>IF($J25="","",IF($J25&lt;=0,"≤0",""))</f>
        <v/>
      </c>
      <c r="P25" s="53">
        <f>IF(AND($D25="SXC (627)",$F25="Chung"),IF(OR($G25="Cố định",$G25="Biến đổi"),"","THIẾU TÍNH CHẤT"),"")</f>
        <v/>
      </c>
    </row>
    <row r="26" ht="15" customHeight="1" s="54">
      <c r="A26" s="71" t="n"/>
      <c r="B26" s="67" t="n"/>
      <c r="C26" s="67" t="n"/>
      <c r="D26" s="67" t="n"/>
      <c r="E26" s="79">
        <f>IFERROR(INDEX(MAP_TK,MATCH($D26,MAP_KM,0)),"")</f>
        <v/>
      </c>
      <c r="F26" s="67" t="n"/>
      <c r="G26" s="67" t="n"/>
      <c r="H26" s="67" t="n"/>
      <c r="I26" s="67" t="n"/>
      <c r="J26" s="75" t="n"/>
      <c r="K26" s="67" t="n"/>
      <c r="M26" s="53">
        <f>IF($C26="","",IF(OR($C26="CHUNG",COUNTIF(DM_Ma,$C26)&gt;0),"","MÃ LẠ"))</f>
        <v/>
      </c>
      <c r="N26" s="53">
        <f>IF($A26="","",IF(AND($A26&gt;=pTu,$A26&lt;=pDen),"","NGOÀI KỲ"))</f>
        <v/>
      </c>
      <c r="O26" s="53">
        <f>IF($J26="","",IF($J26&lt;=0,"≤0",""))</f>
        <v/>
      </c>
      <c r="P26" s="53">
        <f>IF(AND($D26="SXC (627)",$F26="Chung"),IF(OR($G26="Cố định",$G26="Biến đổi"),"","THIẾU TÍNH CHẤT"),"")</f>
        <v/>
      </c>
    </row>
    <row r="27" ht="15" customHeight="1" s="54">
      <c r="A27" s="71" t="n"/>
      <c r="B27" s="67" t="n"/>
      <c r="C27" s="67" t="n"/>
      <c r="D27" s="67" t="n"/>
      <c r="E27" s="79">
        <f>IFERROR(INDEX(MAP_TK,MATCH($D27,MAP_KM,0)),"")</f>
        <v/>
      </c>
      <c r="F27" s="67" t="n"/>
      <c r="G27" s="67" t="n"/>
      <c r="H27" s="67" t="n"/>
      <c r="I27" s="67" t="n"/>
      <c r="J27" s="75" t="n"/>
      <c r="K27" s="67" t="n"/>
      <c r="M27" s="53">
        <f>IF($C27="","",IF(OR($C27="CHUNG",COUNTIF(DM_Ma,$C27)&gt;0),"","MÃ LẠ"))</f>
        <v/>
      </c>
      <c r="N27" s="53">
        <f>IF($A27="","",IF(AND($A27&gt;=pTu,$A27&lt;=pDen),"","NGOÀI KỲ"))</f>
        <v/>
      </c>
      <c r="O27" s="53">
        <f>IF($J27="","",IF($J27&lt;=0,"≤0",""))</f>
        <v/>
      </c>
      <c r="P27" s="53">
        <f>IF(AND($D27="SXC (627)",$F27="Chung"),IF(OR($G27="Cố định",$G27="Biến đổi"),"","THIẾU TÍNH CHẤT"),"")</f>
        <v/>
      </c>
    </row>
    <row r="28" ht="15" customHeight="1" s="54">
      <c r="A28" s="71" t="n"/>
      <c r="B28" s="67" t="n"/>
      <c r="C28" s="67" t="n"/>
      <c r="D28" s="67" t="n"/>
      <c r="E28" s="79">
        <f>IFERROR(INDEX(MAP_TK,MATCH($D28,MAP_KM,0)),"")</f>
        <v/>
      </c>
      <c r="F28" s="67" t="n"/>
      <c r="G28" s="67" t="n"/>
      <c r="H28" s="67" t="n"/>
      <c r="I28" s="67" t="n"/>
      <c r="J28" s="75" t="n"/>
      <c r="K28" s="67" t="n"/>
      <c r="M28" s="53">
        <f>IF($C28="","",IF(OR($C28="CHUNG",COUNTIF(DM_Ma,$C28)&gt;0),"","MÃ LẠ"))</f>
        <v/>
      </c>
      <c r="N28" s="53">
        <f>IF($A28="","",IF(AND($A28&gt;=pTu,$A28&lt;=pDen),"","NGOÀI KỲ"))</f>
        <v/>
      </c>
      <c r="O28" s="53">
        <f>IF($J28="","",IF($J28&lt;=0,"≤0",""))</f>
        <v/>
      </c>
      <c r="P28" s="53">
        <f>IF(AND($D28="SXC (627)",$F28="Chung"),IF(OR($G28="Cố định",$G28="Biến đổi"),"","THIẾU TÍNH CHẤT"),"")</f>
        <v/>
      </c>
    </row>
    <row r="29" ht="15" customHeight="1" s="54">
      <c r="A29" s="71" t="n"/>
      <c r="B29" s="67" t="n"/>
      <c r="C29" s="67" t="n"/>
      <c r="D29" s="67" t="n"/>
      <c r="E29" s="79">
        <f>IFERROR(INDEX(MAP_TK,MATCH($D29,MAP_KM,0)),"")</f>
        <v/>
      </c>
      <c r="F29" s="67" t="n"/>
      <c r="G29" s="67" t="n"/>
      <c r="H29" s="67" t="n"/>
      <c r="I29" s="67" t="n"/>
      <c r="J29" s="75" t="n"/>
      <c r="K29" s="67" t="n"/>
      <c r="M29" s="53">
        <f>IF($C29="","",IF(OR($C29="CHUNG",COUNTIF(DM_Ma,$C29)&gt;0),"","MÃ LẠ"))</f>
        <v/>
      </c>
      <c r="N29" s="53">
        <f>IF($A29="","",IF(AND($A29&gt;=pTu,$A29&lt;=pDen),"","NGOÀI KỲ"))</f>
        <v/>
      </c>
      <c r="O29" s="53">
        <f>IF($J29="","",IF($J29&lt;=0,"≤0",""))</f>
        <v/>
      </c>
      <c r="P29" s="53">
        <f>IF(AND($D29="SXC (627)",$F29="Chung"),IF(OR($G29="Cố định",$G29="Biến đổi"),"","THIẾU TÍNH CHẤT"),"")</f>
        <v/>
      </c>
    </row>
    <row r="30" ht="15" customHeight="1" s="54">
      <c r="A30" s="71" t="n"/>
      <c r="B30" s="67" t="n"/>
      <c r="C30" s="67" t="n"/>
      <c r="D30" s="67" t="n"/>
      <c r="E30" s="79">
        <f>IFERROR(INDEX(MAP_TK,MATCH($D30,MAP_KM,0)),"")</f>
        <v/>
      </c>
      <c r="F30" s="67" t="n"/>
      <c r="G30" s="67" t="n"/>
      <c r="H30" s="67" t="n"/>
      <c r="I30" s="67" t="n"/>
      <c r="J30" s="75" t="n"/>
      <c r="K30" s="67" t="n"/>
      <c r="M30" s="53">
        <f>IF($C30="","",IF(OR($C30="CHUNG",COUNTIF(DM_Ma,$C30)&gt;0),"","MÃ LẠ"))</f>
        <v/>
      </c>
      <c r="N30" s="53">
        <f>IF($A30="","",IF(AND($A30&gt;=pTu,$A30&lt;=pDen),"","NGOÀI KỲ"))</f>
        <v/>
      </c>
      <c r="O30" s="53">
        <f>IF($J30="","",IF($J30&lt;=0,"≤0",""))</f>
        <v/>
      </c>
      <c r="P30" s="53">
        <f>IF(AND($D30="SXC (627)",$F30="Chung"),IF(OR($G30="Cố định",$G30="Biến đổi"),"","THIẾU TÍNH CHẤT"),"")</f>
        <v/>
      </c>
    </row>
    <row r="31" ht="15" customHeight="1" s="54">
      <c r="A31" s="71" t="n"/>
      <c r="B31" s="67" t="n"/>
      <c r="C31" s="67" t="n"/>
      <c r="D31" s="67" t="n"/>
      <c r="E31" s="79">
        <f>IFERROR(INDEX(MAP_TK,MATCH($D31,MAP_KM,0)),"")</f>
        <v/>
      </c>
      <c r="F31" s="67" t="n"/>
      <c r="G31" s="67" t="n"/>
      <c r="H31" s="67" t="n"/>
      <c r="I31" s="67" t="n"/>
      <c r="J31" s="75" t="n"/>
      <c r="K31" s="67" t="n"/>
      <c r="M31" s="53">
        <f>IF($C31="","",IF(OR($C31="CHUNG",COUNTIF(DM_Ma,$C31)&gt;0),"","MÃ LẠ"))</f>
        <v/>
      </c>
      <c r="N31" s="53">
        <f>IF($A31="","",IF(AND($A31&gt;=pTu,$A31&lt;=pDen),"","NGOÀI KỲ"))</f>
        <v/>
      </c>
      <c r="O31" s="53">
        <f>IF($J31="","",IF($J31&lt;=0,"≤0",""))</f>
        <v/>
      </c>
      <c r="P31" s="53">
        <f>IF(AND($D31="SXC (627)",$F31="Chung"),IF(OR($G31="Cố định",$G31="Biến đổi"),"","THIẾU TÍNH CHẤT"),"")</f>
        <v/>
      </c>
    </row>
    <row r="32" ht="15" customHeight="1" s="54">
      <c r="A32" s="71" t="n"/>
      <c r="B32" s="67" t="n"/>
      <c r="C32" s="67" t="n"/>
      <c r="D32" s="67" t="n"/>
      <c r="E32" s="79">
        <f>IFERROR(INDEX(MAP_TK,MATCH($D32,MAP_KM,0)),"")</f>
        <v/>
      </c>
      <c r="F32" s="67" t="n"/>
      <c r="G32" s="67" t="n"/>
      <c r="H32" s="67" t="n"/>
      <c r="I32" s="67" t="n"/>
      <c r="J32" s="75" t="n"/>
      <c r="K32" s="67" t="n"/>
      <c r="M32" s="53">
        <f>IF($C32="","",IF(OR($C32="CHUNG",COUNTIF(DM_Ma,$C32)&gt;0),"","MÃ LẠ"))</f>
        <v/>
      </c>
      <c r="N32" s="53">
        <f>IF($A32="","",IF(AND($A32&gt;=pTu,$A32&lt;=pDen),"","NGOÀI KỲ"))</f>
        <v/>
      </c>
      <c r="O32" s="53">
        <f>IF($J32="","",IF($J32&lt;=0,"≤0",""))</f>
        <v/>
      </c>
      <c r="P32" s="53">
        <f>IF(AND($D32="SXC (627)",$F32="Chung"),IF(OR($G32="Cố định",$G32="Biến đổi"),"","THIẾU TÍNH CHẤT"),"")</f>
        <v/>
      </c>
    </row>
    <row r="33" ht="15" customHeight="1" s="54">
      <c r="A33" s="71" t="n"/>
      <c r="B33" s="67" t="n"/>
      <c r="C33" s="67" t="n"/>
      <c r="D33" s="67" t="n"/>
      <c r="E33" s="79">
        <f>IFERROR(INDEX(MAP_TK,MATCH($D33,MAP_KM,0)),"")</f>
        <v/>
      </c>
      <c r="F33" s="67" t="n"/>
      <c r="G33" s="67" t="n"/>
      <c r="H33" s="67" t="n"/>
      <c r="I33" s="67" t="n"/>
      <c r="J33" s="75" t="n"/>
      <c r="K33" s="67" t="n"/>
      <c r="M33" s="53">
        <f>IF($C33="","",IF(OR($C33="CHUNG",COUNTIF(DM_Ma,$C33)&gt;0),"","MÃ LẠ"))</f>
        <v/>
      </c>
      <c r="N33" s="53">
        <f>IF($A33="","",IF(AND($A33&gt;=pTu,$A33&lt;=pDen),"","NGOÀI KỲ"))</f>
        <v/>
      </c>
      <c r="O33" s="53">
        <f>IF($J33="","",IF($J33&lt;=0,"≤0",""))</f>
        <v/>
      </c>
      <c r="P33" s="53">
        <f>IF(AND($D33="SXC (627)",$F33="Chung"),IF(OR($G33="Cố định",$G33="Biến đổi"),"","THIẾU TÍNH CHẤT"),"")</f>
        <v/>
      </c>
    </row>
    <row r="34" ht="15" customHeight="1" s="54">
      <c r="A34" s="71" t="n"/>
      <c r="B34" s="67" t="n"/>
      <c r="C34" s="67" t="n"/>
      <c r="D34" s="67" t="n"/>
      <c r="E34" s="79">
        <f>IFERROR(INDEX(MAP_TK,MATCH($D34,MAP_KM,0)),"")</f>
        <v/>
      </c>
      <c r="F34" s="67" t="n"/>
      <c r="G34" s="67" t="n"/>
      <c r="H34" s="67" t="n"/>
      <c r="I34" s="67" t="n"/>
      <c r="J34" s="75" t="n"/>
      <c r="K34" s="67" t="n"/>
      <c r="M34" s="53">
        <f>IF($C34="","",IF(OR($C34="CHUNG",COUNTIF(DM_Ma,$C34)&gt;0),"","MÃ LẠ"))</f>
        <v/>
      </c>
      <c r="N34" s="53">
        <f>IF($A34="","",IF(AND($A34&gt;=pTu,$A34&lt;=pDen),"","NGOÀI KỲ"))</f>
        <v/>
      </c>
      <c r="O34" s="53">
        <f>IF($J34="","",IF($J34&lt;=0,"≤0",""))</f>
        <v/>
      </c>
      <c r="P34" s="53">
        <f>IF(AND($D34="SXC (627)",$F34="Chung"),IF(OR($G34="Cố định",$G34="Biến đổi"),"","THIẾU TÍNH CHẤT"),"")</f>
        <v/>
      </c>
    </row>
    <row r="35" ht="15" customHeight="1" s="54">
      <c r="A35" s="71" t="n"/>
      <c r="B35" s="67" t="n"/>
      <c r="C35" s="67" t="n"/>
      <c r="D35" s="67" t="n"/>
      <c r="E35" s="79">
        <f>IFERROR(INDEX(MAP_TK,MATCH($D35,MAP_KM,0)),"")</f>
        <v/>
      </c>
      <c r="F35" s="67" t="n"/>
      <c r="G35" s="67" t="n"/>
      <c r="H35" s="67" t="n"/>
      <c r="I35" s="67" t="n"/>
      <c r="J35" s="75" t="n"/>
      <c r="K35" s="67" t="n"/>
      <c r="M35" s="53">
        <f>IF($C35="","",IF(OR($C35="CHUNG",COUNTIF(DM_Ma,$C35)&gt;0),"","MÃ LẠ"))</f>
        <v/>
      </c>
      <c r="N35" s="53">
        <f>IF($A35="","",IF(AND($A35&gt;=pTu,$A35&lt;=pDen),"","NGOÀI KỲ"))</f>
        <v/>
      </c>
      <c r="O35" s="53">
        <f>IF($J35="","",IF($J35&lt;=0,"≤0",""))</f>
        <v/>
      </c>
      <c r="P35" s="53">
        <f>IF(AND($D35="SXC (627)",$F35="Chung"),IF(OR($G35="Cố định",$G35="Biến đổi"),"","THIẾU TÍNH CHẤT"),"")</f>
        <v/>
      </c>
    </row>
    <row r="36" ht="15" customHeight="1" s="54">
      <c r="A36" s="71" t="n"/>
      <c r="B36" s="67" t="n"/>
      <c r="C36" s="67" t="n"/>
      <c r="D36" s="67" t="n"/>
      <c r="E36" s="79">
        <f>IFERROR(INDEX(MAP_TK,MATCH($D36,MAP_KM,0)),"")</f>
        <v/>
      </c>
      <c r="F36" s="67" t="n"/>
      <c r="G36" s="67" t="n"/>
      <c r="H36" s="67" t="n"/>
      <c r="I36" s="67" t="n"/>
      <c r="J36" s="75" t="n"/>
      <c r="K36" s="67" t="n"/>
      <c r="M36" s="53">
        <f>IF($C36="","",IF(OR($C36="CHUNG",COUNTIF(DM_Ma,$C36)&gt;0),"","MÃ LẠ"))</f>
        <v/>
      </c>
      <c r="N36" s="53">
        <f>IF($A36="","",IF(AND($A36&gt;=pTu,$A36&lt;=pDen),"","NGOÀI KỲ"))</f>
        <v/>
      </c>
      <c r="O36" s="53">
        <f>IF($J36="","",IF($J36&lt;=0,"≤0",""))</f>
        <v/>
      </c>
      <c r="P36" s="53">
        <f>IF(AND($D36="SXC (627)",$F36="Chung"),IF(OR($G36="Cố định",$G36="Biến đổi"),"","THIẾU TÍNH CHẤT"),"")</f>
        <v/>
      </c>
    </row>
    <row r="37" ht="15" customHeight="1" s="54">
      <c r="A37" s="71" t="n"/>
      <c r="B37" s="67" t="n"/>
      <c r="C37" s="67" t="n"/>
      <c r="D37" s="67" t="n"/>
      <c r="E37" s="79">
        <f>IFERROR(INDEX(MAP_TK,MATCH($D37,MAP_KM,0)),"")</f>
        <v/>
      </c>
      <c r="F37" s="67" t="n"/>
      <c r="G37" s="67" t="n"/>
      <c r="H37" s="67" t="n"/>
      <c r="I37" s="67" t="n"/>
      <c r="J37" s="75" t="n"/>
      <c r="K37" s="67" t="n"/>
      <c r="M37" s="53">
        <f>IF($C37="","",IF(OR($C37="CHUNG",COUNTIF(DM_Ma,$C37)&gt;0),"","MÃ LẠ"))</f>
        <v/>
      </c>
      <c r="N37" s="53">
        <f>IF($A37="","",IF(AND($A37&gt;=pTu,$A37&lt;=pDen),"","NGOÀI KỲ"))</f>
        <v/>
      </c>
      <c r="O37" s="53">
        <f>IF($J37="","",IF($J37&lt;=0,"≤0",""))</f>
        <v/>
      </c>
      <c r="P37" s="53">
        <f>IF(AND($D37="SXC (627)",$F37="Chung"),IF(OR($G37="Cố định",$G37="Biến đổi"),"","THIẾU TÍNH CHẤT"),"")</f>
        <v/>
      </c>
    </row>
    <row r="38" ht="15" customHeight="1" s="54">
      <c r="A38" s="71" t="n"/>
      <c r="B38" s="67" t="n"/>
      <c r="C38" s="67" t="n"/>
      <c r="D38" s="67" t="n"/>
      <c r="E38" s="79">
        <f>IFERROR(INDEX(MAP_TK,MATCH($D38,MAP_KM,0)),"")</f>
        <v/>
      </c>
      <c r="F38" s="67" t="n"/>
      <c r="G38" s="67" t="n"/>
      <c r="H38" s="67" t="n"/>
      <c r="I38" s="67" t="n"/>
      <c r="J38" s="75" t="n"/>
      <c r="K38" s="67" t="n"/>
      <c r="M38" s="53">
        <f>IF($C38="","",IF(OR($C38="CHUNG",COUNTIF(DM_Ma,$C38)&gt;0),"","MÃ LẠ"))</f>
        <v/>
      </c>
      <c r="N38" s="53">
        <f>IF($A38="","",IF(AND($A38&gt;=pTu,$A38&lt;=pDen),"","NGOÀI KỲ"))</f>
        <v/>
      </c>
      <c r="O38" s="53">
        <f>IF($J38="","",IF($J38&lt;=0,"≤0",""))</f>
        <v/>
      </c>
      <c r="P38" s="53">
        <f>IF(AND($D38="SXC (627)",$F38="Chung"),IF(OR($G38="Cố định",$G38="Biến đổi"),"","THIẾU TÍNH CHẤT"),"")</f>
        <v/>
      </c>
    </row>
    <row r="39" ht="15" customHeight="1" s="54">
      <c r="A39" s="71" t="n"/>
      <c r="B39" s="67" t="n"/>
      <c r="C39" s="67" t="n"/>
      <c r="D39" s="67" t="n"/>
      <c r="E39" s="79">
        <f>IFERROR(INDEX(MAP_TK,MATCH($D39,MAP_KM,0)),"")</f>
        <v/>
      </c>
      <c r="F39" s="67" t="n"/>
      <c r="G39" s="67" t="n"/>
      <c r="H39" s="67" t="n"/>
      <c r="I39" s="67" t="n"/>
      <c r="J39" s="75" t="n"/>
      <c r="K39" s="67" t="n"/>
      <c r="M39" s="53">
        <f>IF($C39="","",IF(OR($C39="CHUNG",COUNTIF(DM_Ma,$C39)&gt;0),"","MÃ LẠ"))</f>
        <v/>
      </c>
      <c r="N39" s="53">
        <f>IF($A39="","",IF(AND($A39&gt;=pTu,$A39&lt;=pDen),"","NGOÀI KỲ"))</f>
        <v/>
      </c>
      <c r="O39" s="53">
        <f>IF($J39="","",IF($J39&lt;=0,"≤0",""))</f>
        <v/>
      </c>
      <c r="P39" s="53">
        <f>IF(AND($D39="SXC (627)",$F39="Chung"),IF(OR($G39="Cố định",$G39="Biến đổi"),"","THIẾU TÍNH CHẤT"),"")</f>
        <v/>
      </c>
    </row>
    <row r="40" ht="15" customHeight="1" s="54">
      <c r="A40" s="71" t="n"/>
      <c r="B40" s="67" t="n"/>
      <c r="C40" s="67" t="n"/>
      <c r="D40" s="67" t="n"/>
      <c r="E40" s="79">
        <f>IFERROR(INDEX(MAP_TK,MATCH($D40,MAP_KM,0)),"")</f>
        <v/>
      </c>
      <c r="F40" s="67" t="n"/>
      <c r="G40" s="67" t="n"/>
      <c r="H40" s="67" t="n"/>
      <c r="I40" s="67" t="n"/>
      <c r="J40" s="75" t="n"/>
      <c r="K40" s="67" t="n"/>
      <c r="M40" s="53">
        <f>IF($C40="","",IF(OR($C40="CHUNG",COUNTIF(DM_Ma,$C40)&gt;0),"","MÃ LẠ"))</f>
        <v/>
      </c>
      <c r="N40" s="53">
        <f>IF($A40="","",IF(AND($A40&gt;=pTu,$A40&lt;=pDen),"","NGOÀI KỲ"))</f>
        <v/>
      </c>
      <c r="O40" s="53">
        <f>IF($J40="","",IF($J40&lt;=0,"≤0",""))</f>
        <v/>
      </c>
      <c r="P40" s="53">
        <f>IF(AND($D40="SXC (627)",$F40="Chung"),IF(OR($G40="Cố định",$G40="Biến đổi"),"","THIẾU TÍNH CHẤT"),"")</f>
        <v/>
      </c>
    </row>
    <row r="41" ht="15" customHeight="1" s="54">
      <c r="A41" s="71" t="n"/>
      <c r="B41" s="67" t="n"/>
      <c r="C41" s="67" t="n"/>
      <c r="D41" s="67" t="n"/>
      <c r="E41" s="79">
        <f>IFERROR(INDEX(MAP_TK,MATCH($D41,MAP_KM,0)),"")</f>
        <v/>
      </c>
      <c r="F41" s="67" t="n"/>
      <c r="G41" s="67" t="n"/>
      <c r="H41" s="67" t="n"/>
      <c r="I41" s="67" t="n"/>
      <c r="J41" s="75" t="n"/>
      <c r="K41" s="67" t="n"/>
      <c r="M41" s="53">
        <f>IF($C41="","",IF(OR($C41="CHUNG",COUNTIF(DM_Ma,$C41)&gt;0),"","MÃ LẠ"))</f>
        <v/>
      </c>
      <c r="N41" s="53">
        <f>IF($A41="","",IF(AND($A41&gt;=pTu,$A41&lt;=pDen),"","NGOÀI KỲ"))</f>
        <v/>
      </c>
      <c r="O41" s="53">
        <f>IF($J41="","",IF($J41&lt;=0,"≤0",""))</f>
        <v/>
      </c>
      <c r="P41" s="53">
        <f>IF(AND($D41="SXC (627)",$F41="Chung"),IF(OR($G41="Cố định",$G41="Biến đổi"),"","THIẾU TÍNH CHẤT"),"")</f>
        <v/>
      </c>
    </row>
    <row r="42" ht="15" customHeight="1" s="54">
      <c r="A42" s="71" t="n"/>
      <c r="B42" s="67" t="n"/>
      <c r="C42" s="67" t="n"/>
      <c r="D42" s="67" t="n"/>
      <c r="E42" s="79">
        <f>IFERROR(INDEX(MAP_TK,MATCH($D42,MAP_KM,0)),"")</f>
        <v/>
      </c>
      <c r="F42" s="67" t="n"/>
      <c r="G42" s="67" t="n"/>
      <c r="H42" s="67" t="n"/>
      <c r="I42" s="67" t="n"/>
      <c r="J42" s="75" t="n"/>
      <c r="K42" s="67" t="n"/>
      <c r="M42" s="53">
        <f>IF($C42="","",IF(OR($C42="CHUNG",COUNTIF(DM_Ma,$C42)&gt;0),"","MÃ LẠ"))</f>
        <v/>
      </c>
      <c r="N42" s="53">
        <f>IF($A42="","",IF(AND($A42&gt;=pTu,$A42&lt;=pDen),"","NGOÀI KỲ"))</f>
        <v/>
      </c>
      <c r="O42" s="53">
        <f>IF($J42="","",IF($J42&lt;=0,"≤0",""))</f>
        <v/>
      </c>
      <c r="P42" s="53">
        <f>IF(AND($D42="SXC (627)",$F42="Chung"),IF(OR($G42="Cố định",$G42="Biến đổi"),"","THIẾU TÍNH CHẤT"),"")</f>
        <v/>
      </c>
    </row>
    <row r="43" ht="15" customHeight="1" s="54">
      <c r="A43" s="71" t="n"/>
      <c r="B43" s="67" t="n"/>
      <c r="C43" s="67" t="n"/>
      <c r="D43" s="67" t="n"/>
      <c r="E43" s="79">
        <f>IFERROR(INDEX(MAP_TK,MATCH($D43,MAP_KM,0)),"")</f>
        <v/>
      </c>
      <c r="F43" s="67" t="n"/>
      <c r="G43" s="67" t="n"/>
      <c r="H43" s="67" t="n"/>
      <c r="I43" s="67" t="n"/>
      <c r="J43" s="75" t="n"/>
      <c r="K43" s="67" t="n"/>
      <c r="M43" s="53">
        <f>IF($C43="","",IF(OR($C43="CHUNG",COUNTIF(DM_Ma,$C43)&gt;0),"","MÃ LẠ"))</f>
        <v/>
      </c>
      <c r="N43" s="53">
        <f>IF($A43="","",IF(AND($A43&gt;=pTu,$A43&lt;=pDen),"","NGOÀI KỲ"))</f>
        <v/>
      </c>
      <c r="O43" s="53">
        <f>IF($J43="","",IF($J43&lt;=0,"≤0",""))</f>
        <v/>
      </c>
      <c r="P43" s="53">
        <f>IF(AND($D43="SXC (627)",$F43="Chung"),IF(OR($G43="Cố định",$G43="Biến đổi"),"","THIẾU TÍNH CHẤT"),"")</f>
        <v/>
      </c>
    </row>
    <row r="44" ht="15" customHeight="1" s="54">
      <c r="A44" s="71" t="n"/>
      <c r="B44" s="67" t="n"/>
      <c r="C44" s="67" t="n"/>
      <c r="D44" s="67" t="n"/>
      <c r="E44" s="79">
        <f>IFERROR(INDEX(MAP_TK,MATCH($D44,MAP_KM,0)),"")</f>
        <v/>
      </c>
      <c r="F44" s="67" t="n"/>
      <c r="G44" s="67" t="n"/>
      <c r="H44" s="67" t="n"/>
      <c r="I44" s="67" t="n"/>
      <c r="J44" s="75" t="n"/>
      <c r="K44" s="67" t="n"/>
      <c r="M44" s="53">
        <f>IF($C44="","",IF(OR($C44="CHUNG",COUNTIF(DM_Ma,$C44)&gt;0),"","MÃ LẠ"))</f>
        <v/>
      </c>
      <c r="N44" s="53">
        <f>IF($A44="","",IF(AND($A44&gt;=pTu,$A44&lt;=pDen),"","NGOÀI KỲ"))</f>
        <v/>
      </c>
      <c r="O44" s="53">
        <f>IF($J44="","",IF($J44&lt;=0,"≤0",""))</f>
        <v/>
      </c>
      <c r="P44" s="53">
        <f>IF(AND($D44="SXC (627)",$F44="Chung"),IF(OR($G44="Cố định",$G44="Biến đổi"),"","THIẾU TÍNH CHẤT"),"")</f>
        <v/>
      </c>
    </row>
    <row r="45" ht="15" customHeight="1" s="54">
      <c r="A45" s="71" t="n"/>
      <c r="B45" s="67" t="n"/>
      <c r="C45" s="67" t="n"/>
      <c r="D45" s="67" t="n"/>
      <c r="E45" s="79">
        <f>IFERROR(INDEX(MAP_TK,MATCH($D45,MAP_KM,0)),"")</f>
        <v/>
      </c>
      <c r="F45" s="67" t="n"/>
      <c r="G45" s="67" t="n"/>
      <c r="H45" s="67" t="n"/>
      <c r="I45" s="67" t="n"/>
      <c r="J45" s="75" t="n"/>
      <c r="K45" s="67" t="n"/>
      <c r="M45" s="53">
        <f>IF($C45="","",IF(OR($C45="CHUNG",COUNTIF(DM_Ma,$C45)&gt;0),"","MÃ LẠ"))</f>
        <v/>
      </c>
      <c r="N45" s="53">
        <f>IF($A45="","",IF(AND($A45&gt;=pTu,$A45&lt;=pDen),"","NGOÀI KỲ"))</f>
        <v/>
      </c>
      <c r="O45" s="53">
        <f>IF($J45="","",IF($J45&lt;=0,"≤0",""))</f>
        <v/>
      </c>
      <c r="P45" s="53">
        <f>IF(AND($D45="SXC (627)",$F45="Chung"),IF(OR($G45="Cố định",$G45="Biến đổi"),"","THIẾU TÍNH CHẤT"),"")</f>
        <v/>
      </c>
    </row>
    <row r="46" ht="15" customHeight="1" s="54">
      <c r="A46" s="71" t="n"/>
      <c r="B46" s="67" t="n"/>
      <c r="C46" s="67" t="n"/>
      <c r="D46" s="67" t="n"/>
      <c r="E46" s="79">
        <f>IFERROR(INDEX(MAP_TK,MATCH($D46,MAP_KM,0)),"")</f>
        <v/>
      </c>
      <c r="F46" s="67" t="n"/>
      <c r="G46" s="67" t="n"/>
      <c r="H46" s="67" t="n"/>
      <c r="I46" s="67" t="n"/>
      <c r="J46" s="75" t="n"/>
      <c r="K46" s="67" t="n"/>
      <c r="M46" s="53">
        <f>IF($C46="","",IF(OR($C46="CHUNG",COUNTIF(DM_Ma,$C46)&gt;0),"","MÃ LẠ"))</f>
        <v/>
      </c>
      <c r="N46" s="53">
        <f>IF($A46="","",IF(AND($A46&gt;=pTu,$A46&lt;=pDen),"","NGOÀI KỲ"))</f>
        <v/>
      </c>
      <c r="O46" s="53">
        <f>IF($J46="","",IF($J46&lt;=0,"≤0",""))</f>
        <v/>
      </c>
      <c r="P46" s="53">
        <f>IF(AND($D46="SXC (627)",$F46="Chung"),IF(OR($G46="Cố định",$G46="Biến đổi"),"","THIẾU TÍNH CHẤT"),"")</f>
        <v/>
      </c>
    </row>
    <row r="47" ht="15" customHeight="1" s="54">
      <c r="A47" s="71" t="n"/>
      <c r="B47" s="67" t="n"/>
      <c r="C47" s="67" t="n"/>
      <c r="D47" s="67" t="n"/>
      <c r="E47" s="79">
        <f>IFERROR(INDEX(MAP_TK,MATCH($D47,MAP_KM,0)),"")</f>
        <v/>
      </c>
      <c r="F47" s="67" t="n"/>
      <c r="G47" s="67" t="n"/>
      <c r="H47" s="67" t="n"/>
      <c r="I47" s="67" t="n"/>
      <c r="J47" s="75" t="n"/>
      <c r="K47" s="67" t="n"/>
      <c r="M47" s="53">
        <f>IF($C47="","",IF(OR($C47="CHUNG",COUNTIF(DM_Ma,$C47)&gt;0),"","MÃ LẠ"))</f>
        <v/>
      </c>
      <c r="N47" s="53">
        <f>IF($A47="","",IF(AND($A47&gt;=pTu,$A47&lt;=pDen),"","NGOÀI KỲ"))</f>
        <v/>
      </c>
      <c r="O47" s="53">
        <f>IF($J47="","",IF($J47&lt;=0,"≤0",""))</f>
        <v/>
      </c>
      <c r="P47" s="53">
        <f>IF(AND($D47="SXC (627)",$F47="Chung"),IF(OR($G47="Cố định",$G47="Biến đổi"),"","THIẾU TÍNH CHẤT"),"")</f>
        <v/>
      </c>
    </row>
    <row r="48" ht="15" customHeight="1" s="54">
      <c r="A48" s="71" t="n"/>
      <c r="B48" s="67" t="n"/>
      <c r="C48" s="67" t="n"/>
      <c r="D48" s="67" t="n"/>
      <c r="E48" s="79">
        <f>IFERROR(INDEX(MAP_TK,MATCH($D48,MAP_KM,0)),"")</f>
        <v/>
      </c>
      <c r="F48" s="67" t="n"/>
      <c r="G48" s="67" t="n"/>
      <c r="H48" s="67" t="n"/>
      <c r="I48" s="67" t="n"/>
      <c r="J48" s="75" t="n"/>
      <c r="K48" s="67" t="n"/>
      <c r="M48" s="53">
        <f>IF($C48="","",IF(OR($C48="CHUNG",COUNTIF(DM_Ma,$C48)&gt;0),"","MÃ LẠ"))</f>
        <v/>
      </c>
      <c r="N48" s="53">
        <f>IF($A48="","",IF(AND($A48&gt;=pTu,$A48&lt;=pDen),"","NGOÀI KỲ"))</f>
        <v/>
      </c>
      <c r="O48" s="53">
        <f>IF($J48="","",IF($J48&lt;=0,"≤0",""))</f>
        <v/>
      </c>
      <c r="P48" s="53">
        <f>IF(AND($D48="SXC (627)",$F48="Chung"),IF(OR($G48="Cố định",$G48="Biến đổi"),"","THIẾU TÍNH CHẤT"),"")</f>
        <v/>
      </c>
    </row>
    <row r="49" ht="15" customHeight="1" s="54">
      <c r="A49" s="71" t="n"/>
      <c r="B49" s="67" t="n"/>
      <c r="C49" s="67" t="n"/>
      <c r="D49" s="67" t="n"/>
      <c r="E49" s="79">
        <f>IFERROR(INDEX(MAP_TK,MATCH($D49,MAP_KM,0)),"")</f>
        <v/>
      </c>
      <c r="F49" s="67" t="n"/>
      <c r="G49" s="67" t="n"/>
      <c r="H49" s="67" t="n"/>
      <c r="I49" s="67" t="n"/>
      <c r="J49" s="75" t="n"/>
      <c r="K49" s="67" t="n"/>
      <c r="M49" s="53">
        <f>IF($C49="","",IF(OR($C49="CHUNG",COUNTIF(DM_Ma,$C49)&gt;0),"","MÃ LẠ"))</f>
        <v/>
      </c>
      <c r="N49" s="53">
        <f>IF($A49="","",IF(AND($A49&gt;=pTu,$A49&lt;=pDen),"","NGOÀI KỲ"))</f>
        <v/>
      </c>
      <c r="O49" s="53">
        <f>IF($J49="","",IF($J49&lt;=0,"≤0",""))</f>
        <v/>
      </c>
      <c r="P49" s="53">
        <f>IF(AND($D49="SXC (627)",$F49="Chung"),IF(OR($G49="Cố định",$G49="Biến đổi"),"","THIẾU TÍNH CHẤT"),"")</f>
        <v/>
      </c>
    </row>
    <row r="50" ht="15" customHeight="1" s="54">
      <c r="A50" s="71" t="n"/>
      <c r="B50" s="67" t="n"/>
      <c r="C50" s="67" t="n"/>
      <c r="D50" s="67" t="n"/>
      <c r="E50" s="79">
        <f>IFERROR(INDEX(MAP_TK,MATCH($D50,MAP_KM,0)),"")</f>
        <v/>
      </c>
      <c r="F50" s="67" t="n"/>
      <c r="G50" s="67" t="n"/>
      <c r="H50" s="67" t="n"/>
      <c r="I50" s="67" t="n"/>
      <c r="J50" s="75" t="n"/>
      <c r="K50" s="67" t="n"/>
      <c r="M50" s="53">
        <f>IF($C50="","",IF(OR($C50="CHUNG",COUNTIF(DM_Ma,$C50)&gt;0),"","MÃ LẠ"))</f>
        <v/>
      </c>
      <c r="N50" s="53">
        <f>IF($A50="","",IF(AND($A50&gt;=pTu,$A50&lt;=pDen),"","NGOÀI KỲ"))</f>
        <v/>
      </c>
      <c r="O50" s="53">
        <f>IF($J50="","",IF($J50&lt;=0,"≤0",""))</f>
        <v/>
      </c>
      <c r="P50" s="53">
        <f>IF(AND($D50="SXC (627)",$F50="Chung"),IF(OR($G50="Cố định",$G50="Biến đổi"),"","THIẾU TÍNH CHẤT"),"")</f>
        <v/>
      </c>
    </row>
    <row r="51" ht="15" customHeight="1" s="54">
      <c r="A51" s="71" t="n"/>
      <c r="B51" s="67" t="n"/>
      <c r="C51" s="67" t="n"/>
      <c r="D51" s="67" t="n"/>
      <c r="E51" s="79">
        <f>IFERROR(INDEX(MAP_TK,MATCH($D51,MAP_KM,0)),"")</f>
        <v/>
      </c>
      <c r="F51" s="67" t="n"/>
      <c r="G51" s="67" t="n"/>
      <c r="H51" s="67" t="n"/>
      <c r="I51" s="67" t="n"/>
      <c r="J51" s="75" t="n"/>
      <c r="K51" s="67" t="n"/>
      <c r="M51" s="53">
        <f>IF($C51="","",IF(OR($C51="CHUNG",COUNTIF(DM_Ma,$C51)&gt;0),"","MÃ LẠ"))</f>
        <v/>
      </c>
      <c r="N51" s="53">
        <f>IF($A51="","",IF(AND($A51&gt;=pTu,$A51&lt;=pDen),"","NGOÀI KỲ"))</f>
        <v/>
      </c>
      <c r="O51" s="53">
        <f>IF($J51="","",IF($J51&lt;=0,"≤0",""))</f>
        <v/>
      </c>
      <c r="P51" s="53">
        <f>IF(AND($D51="SXC (627)",$F51="Chung"),IF(OR($G51="Cố định",$G51="Biến đổi"),"","THIẾU TÍNH CHẤT"),"")</f>
        <v/>
      </c>
    </row>
    <row r="52" ht="15" customHeight="1" s="54">
      <c r="A52" s="71" t="n"/>
      <c r="B52" s="67" t="n"/>
      <c r="C52" s="67" t="n"/>
      <c r="D52" s="67" t="n"/>
      <c r="E52" s="79">
        <f>IFERROR(INDEX(MAP_TK,MATCH($D52,MAP_KM,0)),"")</f>
        <v/>
      </c>
      <c r="F52" s="67" t="n"/>
      <c r="G52" s="67" t="n"/>
      <c r="H52" s="67" t="n"/>
      <c r="I52" s="67" t="n"/>
      <c r="J52" s="75" t="n"/>
      <c r="K52" s="67" t="n"/>
      <c r="M52" s="53">
        <f>IF($C52="","",IF(OR($C52="CHUNG",COUNTIF(DM_Ma,$C52)&gt;0),"","MÃ LẠ"))</f>
        <v/>
      </c>
      <c r="N52" s="53">
        <f>IF($A52="","",IF(AND($A52&gt;=pTu,$A52&lt;=pDen),"","NGOÀI KỲ"))</f>
        <v/>
      </c>
      <c r="O52" s="53">
        <f>IF($J52="","",IF($J52&lt;=0,"≤0",""))</f>
        <v/>
      </c>
      <c r="P52" s="53">
        <f>IF(AND($D52="SXC (627)",$F52="Chung"),IF(OR($G52="Cố định",$G52="Biến đổi"),"","THIẾU TÍNH CHẤT"),"")</f>
        <v/>
      </c>
    </row>
    <row r="53" ht="15" customHeight="1" s="54">
      <c r="A53" s="71" t="n"/>
      <c r="B53" s="67" t="n"/>
      <c r="C53" s="67" t="n"/>
      <c r="D53" s="67" t="n"/>
      <c r="E53" s="79">
        <f>IFERROR(INDEX(MAP_TK,MATCH($D53,MAP_KM,0)),"")</f>
        <v/>
      </c>
      <c r="F53" s="67" t="n"/>
      <c r="G53" s="67" t="n"/>
      <c r="H53" s="67" t="n"/>
      <c r="I53" s="67" t="n"/>
      <c r="J53" s="75" t="n"/>
      <c r="K53" s="67" t="n"/>
      <c r="M53" s="53">
        <f>IF($C53="","",IF(OR($C53="CHUNG",COUNTIF(DM_Ma,$C53)&gt;0),"","MÃ LẠ"))</f>
        <v/>
      </c>
      <c r="N53" s="53">
        <f>IF($A53="","",IF(AND($A53&gt;=pTu,$A53&lt;=pDen),"","NGOÀI KỲ"))</f>
        <v/>
      </c>
      <c r="O53" s="53">
        <f>IF($J53="","",IF($J53&lt;=0,"≤0",""))</f>
        <v/>
      </c>
      <c r="P53" s="53">
        <f>IF(AND($D53="SXC (627)",$F53="Chung"),IF(OR($G53="Cố định",$G53="Biến đổi"),"","THIẾU TÍNH CHẤT"),"")</f>
        <v/>
      </c>
    </row>
    <row r="54" ht="15" customHeight="1" s="54">
      <c r="A54" s="71" t="n"/>
      <c r="B54" s="67" t="n"/>
      <c r="C54" s="67" t="n"/>
      <c r="D54" s="67" t="n"/>
      <c r="E54" s="79">
        <f>IFERROR(INDEX(MAP_TK,MATCH($D54,MAP_KM,0)),"")</f>
        <v/>
      </c>
      <c r="F54" s="67" t="n"/>
      <c r="G54" s="67" t="n"/>
      <c r="H54" s="67" t="n"/>
      <c r="I54" s="67" t="n"/>
      <c r="J54" s="75" t="n"/>
      <c r="K54" s="67" t="n"/>
      <c r="M54" s="53">
        <f>IF($C54="","",IF(OR($C54="CHUNG",COUNTIF(DM_Ma,$C54)&gt;0),"","MÃ LẠ"))</f>
        <v/>
      </c>
      <c r="N54" s="53">
        <f>IF($A54="","",IF(AND($A54&gt;=pTu,$A54&lt;=pDen),"","NGOÀI KỲ"))</f>
        <v/>
      </c>
      <c r="O54" s="53">
        <f>IF($J54="","",IF($J54&lt;=0,"≤0",""))</f>
        <v/>
      </c>
      <c r="P54" s="53">
        <f>IF(AND($D54="SXC (627)",$F54="Chung"),IF(OR($G54="Cố định",$G54="Biến đổi"),"","THIẾU TÍNH CHẤT"),"")</f>
        <v/>
      </c>
    </row>
    <row r="55" ht="15" customHeight="1" s="54">
      <c r="A55" s="71" t="n"/>
      <c r="B55" s="67" t="n"/>
      <c r="C55" s="67" t="n"/>
      <c r="D55" s="67" t="n"/>
      <c r="E55" s="79">
        <f>IFERROR(INDEX(MAP_TK,MATCH($D55,MAP_KM,0)),"")</f>
        <v/>
      </c>
      <c r="F55" s="67" t="n"/>
      <c r="G55" s="67" t="n"/>
      <c r="H55" s="67" t="n"/>
      <c r="I55" s="67" t="n"/>
      <c r="J55" s="75" t="n"/>
      <c r="K55" s="67" t="n"/>
      <c r="M55" s="53">
        <f>IF($C55="","",IF(OR($C55="CHUNG",COUNTIF(DM_Ma,$C55)&gt;0),"","MÃ LẠ"))</f>
        <v/>
      </c>
      <c r="N55" s="53">
        <f>IF($A55="","",IF(AND($A55&gt;=pTu,$A55&lt;=pDen),"","NGOÀI KỲ"))</f>
        <v/>
      </c>
      <c r="O55" s="53">
        <f>IF($J55="","",IF($J55&lt;=0,"≤0",""))</f>
        <v/>
      </c>
      <c r="P55" s="53">
        <f>IF(AND($D55="SXC (627)",$F55="Chung"),IF(OR($G55="Cố định",$G55="Biến đổi"),"","THIẾU TÍNH CHẤT"),"")</f>
        <v/>
      </c>
    </row>
    <row r="56" ht="15" customHeight="1" s="54">
      <c r="A56" s="71" t="n"/>
      <c r="B56" s="67" t="n"/>
      <c r="C56" s="67" t="n"/>
      <c r="D56" s="67" t="n"/>
      <c r="E56" s="79">
        <f>IFERROR(INDEX(MAP_TK,MATCH($D56,MAP_KM,0)),"")</f>
        <v/>
      </c>
      <c r="F56" s="67" t="n"/>
      <c r="G56" s="67" t="n"/>
      <c r="H56" s="67" t="n"/>
      <c r="I56" s="67" t="n"/>
      <c r="J56" s="75" t="n"/>
      <c r="K56" s="67" t="n"/>
      <c r="M56" s="53">
        <f>IF($C56="","",IF(OR($C56="CHUNG",COUNTIF(DM_Ma,$C56)&gt;0),"","MÃ LẠ"))</f>
        <v/>
      </c>
      <c r="N56" s="53">
        <f>IF($A56="","",IF(AND($A56&gt;=pTu,$A56&lt;=pDen),"","NGOÀI KỲ"))</f>
        <v/>
      </c>
      <c r="O56" s="53">
        <f>IF($J56="","",IF($J56&lt;=0,"≤0",""))</f>
        <v/>
      </c>
      <c r="P56" s="53">
        <f>IF(AND($D56="SXC (627)",$F56="Chung"),IF(OR($G56="Cố định",$G56="Biến đổi"),"","THIẾU TÍNH CHẤT"),"")</f>
        <v/>
      </c>
    </row>
    <row r="57" ht="15" customHeight="1" s="54">
      <c r="A57" s="71" t="n"/>
      <c r="B57" s="67" t="n"/>
      <c r="C57" s="67" t="n"/>
      <c r="D57" s="67" t="n"/>
      <c r="E57" s="79">
        <f>IFERROR(INDEX(MAP_TK,MATCH($D57,MAP_KM,0)),"")</f>
        <v/>
      </c>
      <c r="F57" s="67" t="n"/>
      <c r="G57" s="67" t="n"/>
      <c r="H57" s="67" t="n"/>
      <c r="I57" s="67" t="n"/>
      <c r="J57" s="75" t="n"/>
      <c r="K57" s="67" t="n"/>
      <c r="M57" s="53">
        <f>IF($C57="","",IF(OR($C57="CHUNG",COUNTIF(DM_Ma,$C57)&gt;0),"","MÃ LẠ"))</f>
        <v/>
      </c>
      <c r="N57" s="53">
        <f>IF($A57="","",IF(AND($A57&gt;=pTu,$A57&lt;=pDen),"","NGOÀI KỲ"))</f>
        <v/>
      </c>
      <c r="O57" s="53">
        <f>IF($J57="","",IF($J57&lt;=0,"≤0",""))</f>
        <v/>
      </c>
      <c r="P57" s="53">
        <f>IF(AND($D57="SXC (627)",$F57="Chung"),IF(OR($G57="Cố định",$G57="Biến đổi"),"","THIẾU TÍNH CHẤT"),"")</f>
        <v/>
      </c>
    </row>
    <row r="58" ht="15" customHeight="1" s="54">
      <c r="A58" s="71" t="n"/>
      <c r="B58" s="67" t="n"/>
      <c r="C58" s="67" t="n"/>
      <c r="D58" s="67" t="n"/>
      <c r="E58" s="79">
        <f>IFERROR(INDEX(MAP_TK,MATCH($D58,MAP_KM,0)),"")</f>
        <v/>
      </c>
      <c r="F58" s="67" t="n"/>
      <c r="G58" s="67" t="n"/>
      <c r="H58" s="67" t="n"/>
      <c r="I58" s="67" t="n"/>
      <c r="J58" s="75" t="n"/>
      <c r="K58" s="67" t="n"/>
      <c r="M58" s="53">
        <f>IF($C58="","",IF(OR($C58="CHUNG",COUNTIF(DM_Ma,$C58)&gt;0),"","MÃ LẠ"))</f>
        <v/>
      </c>
      <c r="N58" s="53">
        <f>IF($A58="","",IF(AND($A58&gt;=pTu,$A58&lt;=pDen),"","NGOÀI KỲ"))</f>
        <v/>
      </c>
      <c r="O58" s="53">
        <f>IF($J58="","",IF($J58&lt;=0,"≤0",""))</f>
        <v/>
      </c>
      <c r="P58" s="53">
        <f>IF(AND($D58="SXC (627)",$F58="Chung"),IF(OR($G58="Cố định",$G58="Biến đổi"),"","THIẾU TÍNH CHẤT"),"")</f>
        <v/>
      </c>
    </row>
    <row r="59" ht="15" customHeight="1" s="54">
      <c r="A59" s="71" t="n"/>
      <c r="B59" s="67" t="n"/>
      <c r="C59" s="67" t="n"/>
      <c r="D59" s="67" t="n"/>
      <c r="E59" s="79">
        <f>IFERROR(INDEX(MAP_TK,MATCH($D59,MAP_KM,0)),"")</f>
        <v/>
      </c>
      <c r="F59" s="67" t="n"/>
      <c r="G59" s="67" t="n"/>
      <c r="H59" s="67" t="n"/>
      <c r="I59" s="67" t="n"/>
      <c r="J59" s="75" t="n"/>
      <c r="K59" s="67" t="n"/>
      <c r="M59" s="53">
        <f>IF($C59="","",IF(OR($C59="CHUNG",COUNTIF(DM_Ma,$C59)&gt;0),"","MÃ LẠ"))</f>
        <v/>
      </c>
      <c r="N59" s="53">
        <f>IF($A59="","",IF(AND($A59&gt;=pTu,$A59&lt;=pDen),"","NGOÀI KỲ"))</f>
        <v/>
      </c>
      <c r="O59" s="53">
        <f>IF($J59="","",IF($J59&lt;=0,"≤0",""))</f>
        <v/>
      </c>
      <c r="P59" s="53">
        <f>IF(AND($D59="SXC (627)",$F59="Chung"),IF(OR($G59="Cố định",$G59="Biến đổi"),"","THIẾU TÍNH CHẤT"),"")</f>
        <v/>
      </c>
    </row>
    <row r="60" ht="15" customHeight="1" s="54">
      <c r="A60" s="71" t="n"/>
      <c r="B60" s="67" t="n"/>
      <c r="C60" s="67" t="n"/>
      <c r="D60" s="67" t="n"/>
      <c r="E60" s="79">
        <f>IFERROR(INDEX(MAP_TK,MATCH($D60,MAP_KM,0)),"")</f>
        <v/>
      </c>
      <c r="F60" s="67" t="n"/>
      <c r="G60" s="67" t="n"/>
      <c r="H60" s="67" t="n"/>
      <c r="I60" s="67" t="n"/>
      <c r="J60" s="75" t="n"/>
      <c r="K60" s="67" t="n"/>
      <c r="M60" s="53">
        <f>IF($C60="","",IF(OR($C60="CHUNG",COUNTIF(DM_Ma,$C60)&gt;0),"","MÃ LẠ"))</f>
        <v/>
      </c>
      <c r="N60" s="53">
        <f>IF($A60="","",IF(AND($A60&gt;=pTu,$A60&lt;=pDen),"","NGOÀI KỲ"))</f>
        <v/>
      </c>
      <c r="O60" s="53">
        <f>IF($J60="","",IF($J60&lt;=0,"≤0",""))</f>
        <v/>
      </c>
      <c r="P60" s="53">
        <f>IF(AND($D60="SXC (627)",$F60="Chung"),IF(OR($G60="Cố định",$G60="Biến đổi"),"","THIẾU TÍNH CHẤT"),"")</f>
        <v/>
      </c>
    </row>
    <row r="61" ht="15" customHeight="1" s="54">
      <c r="A61" s="71" t="n"/>
      <c r="B61" s="67" t="n"/>
      <c r="C61" s="67" t="n"/>
      <c r="D61" s="67" t="n"/>
      <c r="E61" s="79">
        <f>IFERROR(INDEX(MAP_TK,MATCH($D61,MAP_KM,0)),"")</f>
        <v/>
      </c>
      <c r="F61" s="67" t="n"/>
      <c r="G61" s="67" t="n"/>
      <c r="H61" s="67" t="n"/>
      <c r="I61" s="67" t="n"/>
      <c r="J61" s="75" t="n"/>
      <c r="K61" s="67" t="n"/>
      <c r="M61" s="53">
        <f>IF($C61="","",IF(OR($C61="CHUNG",COUNTIF(DM_Ma,$C61)&gt;0),"","MÃ LẠ"))</f>
        <v/>
      </c>
      <c r="N61" s="53">
        <f>IF($A61="","",IF(AND($A61&gt;=pTu,$A61&lt;=pDen),"","NGOÀI KỲ"))</f>
        <v/>
      </c>
      <c r="O61" s="53">
        <f>IF($J61="","",IF($J61&lt;=0,"≤0",""))</f>
        <v/>
      </c>
      <c r="P61" s="53">
        <f>IF(AND($D61="SXC (627)",$F61="Chung"),IF(OR($G61="Cố định",$G61="Biến đổi"),"","THIẾU TÍNH CHẤT"),"")</f>
        <v/>
      </c>
    </row>
    <row r="62" ht="15" customHeight="1" s="54">
      <c r="A62" s="71" t="n"/>
      <c r="B62" s="67" t="n"/>
      <c r="C62" s="67" t="n"/>
      <c r="D62" s="67" t="n"/>
      <c r="E62" s="79">
        <f>IFERROR(INDEX(MAP_TK,MATCH($D62,MAP_KM,0)),"")</f>
        <v/>
      </c>
      <c r="F62" s="67" t="n"/>
      <c r="G62" s="67" t="n"/>
      <c r="H62" s="67" t="n"/>
      <c r="I62" s="67" t="n"/>
      <c r="J62" s="75" t="n"/>
      <c r="K62" s="67" t="n"/>
      <c r="M62" s="53">
        <f>IF($C62="","",IF(OR($C62="CHUNG",COUNTIF(DM_Ma,$C62)&gt;0),"","MÃ LẠ"))</f>
        <v/>
      </c>
      <c r="N62" s="53">
        <f>IF($A62="","",IF(AND($A62&gt;=pTu,$A62&lt;=pDen),"","NGOÀI KỲ"))</f>
        <v/>
      </c>
      <c r="O62" s="53">
        <f>IF($J62="","",IF($J62&lt;=0,"≤0",""))</f>
        <v/>
      </c>
      <c r="P62" s="53">
        <f>IF(AND($D62="SXC (627)",$F62="Chung"),IF(OR($G62="Cố định",$G62="Biến đổi"),"","THIẾU TÍNH CHẤT"),"")</f>
        <v/>
      </c>
    </row>
    <row r="63" ht="15" customHeight="1" s="54">
      <c r="A63" s="71" t="n"/>
      <c r="B63" s="67" t="n"/>
      <c r="C63" s="67" t="n"/>
      <c r="D63" s="67" t="n"/>
      <c r="E63" s="79">
        <f>IFERROR(INDEX(MAP_TK,MATCH($D63,MAP_KM,0)),"")</f>
        <v/>
      </c>
      <c r="F63" s="67" t="n"/>
      <c r="G63" s="67" t="n"/>
      <c r="H63" s="67" t="n"/>
      <c r="I63" s="67" t="n"/>
      <c r="J63" s="75" t="n"/>
      <c r="K63" s="67" t="n"/>
      <c r="M63" s="53">
        <f>IF($C63="","",IF(OR($C63="CHUNG",COUNTIF(DM_Ma,$C63)&gt;0),"","MÃ LẠ"))</f>
        <v/>
      </c>
      <c r="N63" s="53">
        <f>IF($A63="","",IF(AND($A63&gt;=pTu,$A63&lt;=pDen),"","NGOÀI KỲ"))</f>
        <v/>
      </c>
      <c r="O63" s="53">
        <f>IF($J63="","",IF($J63&lt;=0,"≤0",""))</f>
        <v/>
      </c>
      <c r="P63" s="53">
        <f>IF(AND($D63="SXC (627)",$F63="Chung"),IF(OR($G63="Cố định",$G63="Biến đổi"),"","THIẾU TÍNH CHẤT"),"")</f>
        <v/>
      </c>
    </row>
    <row r="64" ht="15" customHeight="1" s="54">
      <c r="A64" s="71" t="n"/>
      <c r="B64" s="67" t="n"/>
      <c r="C64" s="67" t="n"/>
      <c r="D64" s="67" t="n"/>
      <c r="E64" s="79">
        <f>IFERROR(INDEX(MAP_TK,MATCH($D64,MAP_KM,0)),"")</f>
        <v/>
      </c>
      <c r="F64" s="67" t="n"/>
      <c r="G64" s="67" t="n"/>
      <c r="H64" s="67" t="n"/>
      <c r="I64" s="67" t="n"/>
      <c r="J64" s="75" t="n"/>
      <c r="K64" s="67" t="n"/>
      <c r="M64" s="53">
        <f>IF($C64="","",IF(OR($C64="CHUNG",COUNTIF(DM_Ma,$C64)&gt;0),"","MÃ LẠ"))</f>
        <v/>
      </c>
      <c r="N64" s="53">
        <f>IF($A64="","",IF(AND($A64&gt;=pTu,$A64&lt;=pDen),"","NGOÀI KỲ"))</f>
        <v/>
      </c>
      <c r="O64" s="53">
        <f>IF($J64="","",IF($J64&lt;=0,"≤0",""))</f>
        <v/>
      </c>
      <c r="P64" s="53">
        <f>IF(AND($D64="SXC (627)",$F64="Chung"),IF(OR($G64="Cố định",$G64="Biến đổi"),"","THIẾU TÍNH CHẤT"),"")</f>
        <v/>
      </c>
    </row>
    <row r="65" ht="15" customHeight="1" s="54">
      <c r="A65" s="71" t="n"/>
      <c r="B65" s="67" t="n"/>
      <c r="C65" s="67" t="n"/>
      <c r="D65" s="67" t="n"/>
      <c r="E65" s="79">
        <f>IFERROR(INDEX(MAP_TK,MATCH($D65,MAP_KM,0)),"")</f>
        <v/>
      </c>
      <c r="F65" s="67" t="n"/>
      <c r="G65" s="67" t="n"/>
      <c r="H65" s="67" t="n"/>
      <c r="I65" s="67" t="n"/>
      <c r="J65" s="75" t="n"/>
      <c r="K65" s="67" t="n"/>
      <c r="M65" s="53">
        <f>IF($C65="","",IF(OR($C65="CHUNG",COUNTIF(DM_Ma,$C65)&gt;0),"","MÃ LẠ"))</f>
        <v/>
      </c>
      <c r="N65" s="53">
        <f>IF($A65="","",IF(AND($A65&gt;=pTu,$A65&lt;=pDen),"","NGOÀI KỲ"))</f>
        <v/>
      </c>
      <c r="O65" s="53">
        <f>IF($J65="","",IF($J65&lt;=0,"≤0",""))</f>
        <v/>
      </c>
      <c r="P65" s="53">
        <f>IF(AND($D65="SXC (627)",$F65="Chung"),IF(OR($G65="Cố định",$G65="Biến đổi"),"","THIẾU TÍNH CHẤT"),"")</f>
        <v/>
      </c>
    </row>
    <row r="66" ht="15" customHeight="1" s="54">
      <c r="A66" s="71" t="n"/>
      <c r="B66" s="67" t="n"/>
      <c r="C66" s="67" t="n"/>
      <c r="D66" s="67" t="n"/>
      <c r="E66" s="79">
        <f>IFERROR(INDEX(MAP_TK,MATCH($D66,MAP_KM,0)),"")</f>
        <v/>
      </c>
      <c r="F66" s="67" t="n"/>
      <c r="G66" s="67" t="n"/>
      <c r="H66" s="67" t="n"/>
      <c r="I66" s="67" t="n"/>
      <c r="J66" s="75" t="n"/>
      <c r="K66" s="67" t="n"/>
      <c r="M66" s="53">
        <f>IF($C66="","",IF(OR($C66="CHUNG",COUNTIF(DM_Ma,$C66)&gt;0),"","MÃ LẠ"))</f>
        <v/>
      </c>
      <c r="N66" s="53">
        <f>IF($A66="","",IF(AND($A66&gt;=pTu,$A66&lt;=pDen),"","NGOÀI KỲ"))</f>
        <v/>
      </c>
      <c r="O66" s="53">
        <f>IF($J66="","",IF($J66&lt;=0,"≤0",""))</f>
        <v/>
      </c>
      <c r="P66" s="53">
        <f>IF(AND($D66="SXC (627)",$F66="Chung"),IF(OR($G66="Cố định",$G66="Biến đổi"),"","THIẾU TÍNH CHẤT"),"")</f>
        <v/>
      </c>
    </row>
    <row r="67" ht="15" customHeight="1" s="54">
      <c r="A67" s="71" t="n"/>
      <c r="B67" s="67" t="n"/>
      <c r="C67" s="67" t="n"/>
      <c r="D67" s="67" t="n"/>
      <c r="E67" s="79">
        <f>IFERROR(INDEX(MAP_TK,MATCH($D67,MAP_KM,0)),"")</f>
        <v/>
      </c>
      <c r="F67" s="67" t="n"/>
      <c r="G67" s="67" t="n"/>
      <c r="H67" s="67" t="n"/>
      <c r="I67" s="67" t="n"/>
      <c r="J67" s="75" t="n"/>
      <c r="K67" s="67" t="n"/>
      <c r="M67" s="53">
        <f>IF($C67="","",IF(OR($C67="CHUNG",COUNTIF(DM_Ma,$C67)&gt;0),"","MÃ LẠ"))</f>
        <v/>
      </c>
      <c r="N67" s="53">
        <f>IF($A67="","",IF(AND($A67&gt;=pTu,$A67&lt;=pDen),"","NGOÀI KỲ"))</f>
        <v/>
      </c>
      <c r="O67" s="53">
        <f>IF($J67="","",IF($J67&lt;=0,"≤0",""))</f>
        <v/>
      </c>
      <c r="P67" s="53">
        <f>IF(AND($D67="SXC (627)",$F67="Chung"),IF(OR($G67="Cố định",$G67="Biến đổi"),"","THIẾU TÍNH CHẤT"),"")</f>
        <v/>
      </c>
    </row>
    <row r="68" ht="15" customHeight="1" s="54">
      <c r="A68" s="71" t="n"/>
      <c r="B68" s="67" t="n"/>
      <c r="C68" s="67" t="n"/>
      <c r="D68" s="67" t="n"/>
      <c r="E68" s="79">
        <f>IFERROR(INDEX(MAP_TK,MATCH($D68,MAP_KM,0)),"")</f>
        <v/>
      </c>
      <c r="F68" s="67" t="n"/>
      <c r="G68" s="67" t="n"/>
      <c r="H68" s="67" t="n"/>
      <c r="I68" s="67" t="n"/>
      <c r="J68" s="75" t="n"/>
      <c r="K68" s="67" t="n"/>
      <c r="M68" s="53">
        <f>IF($C68="","",IF(OR($C68="CHUNG",COUNTIF(DM_Ma,$C68)&gt;0),"","MÃ LẠ"))</f>
        <v/>
      </c>
      <c r="N68" s="53">
        <f>IF($A68="","",IF(AND($A68&gt;=pTu,$A68&lt;=pDen),"","NGOÀI KỲ"))</f>
        <v/>
      </c>
      <c r="O68" s="53">
        <f>IF($J68="","",IF($J68&lt;=0,"≤0",""))</f>
        <v/>
      </c>
      <c r="P68" s="53">
        <f>IF(AND($D68="SXC (627)",$F68="Chung"),IF(OR($G68="Cố định",$G68="Biến đổi"),"","THIẾU TÍNH CHẤT"),"")</f>
        <v/>
      </c>
    </row>
    <row r="69" ht="15" customHeight="1" s="54">
      <c r="A69" s="71" t="n"/>
      <c r="B69" s="67" t="n"/>
      <c r="C69" s="67" t="n"/>
      <c r="D69" s="67" t="n"/>
      <c r="E69" s="79">
        <f>IFERROR(INDEX(MAP_TK,MATCH($D69,MAP_KM,0)),"")</f>
        <v/>
      </c>
      <c r="F69" s="67" t="n"/>
      <c r="G69" s="67" t="n"/>
      <c r="H69" s="67" t="n"/>
      <c r="I69" s="67" t="n"/>
      <c r="J69" s="75" t="n"/>
      <c r="K69" s="67" t="n"/>
      <c r="M69" s="53">
        <f>IF($C69="","",IF(OR($C69="CHUNG",COUNTIF(DM_Ma,$C69)&gt;0),"","MÃ LẠ"))</f>
        <v/>
      </c>
      <c r="N69" s="53">
        <f>IF($A69="","",IF(AND($A69&gt;=pTu,$A69&lt;=pDen),"","NGOÀI KỲ"))</f>
        <v/>
      </c>
      <c r="O69" s="53">
        <f>IF($J69="","",IF($J69&lt;=0,"≤0",""))</f>
        <v/>
      </c>
      <c r="P69" s="53">
        <f>IF(AND($D69="SXC (627)",$F69="Chung"),IF(OR($G69="Cố định",$G69="Biến đổi"),"","THIẾU TÍNH CHẤT"),"")</f>
        <v/>
      </c>
    </row>
    <row r="70" ht="15" customHeight="1" s="54">
      <c r="A70" s="71" t="n"/>
      <c r="B70" s="67" t="n"/>
      <c r="C70" s="67" t="n"/>
      <c r="D70" s="67" t="n"/>
      <c r="E70" s="79">
        <f>IFERROR(INDEX(MAP_TK,MATCH($D70,MAP_KM,0)),"")</f>
        <v/>
      </c>
      <c r="F70" s="67" t="n"/>
      <c r="G70" s="67" t="n"/>
      <c r="H70" s="67" t="n"/>
      <c r="I70" s="67" t="n"/>
      <c r="J70" s="75" t="n"/>
      <c r="K70" s="67" t="n"/>
      <c r="M70" s="53">
        <f>IF($C70="","",IF(OR($C70="CHUNG",COUNTIF(DM_Ma,$C70)&gt;0),"","MÃ LẠ"))</f>
        <v/>
      </c>
      <c r="N70" s="53">
        <f>IF($A70="","",IF(AND($A70&gt;=pTu,$A70&lt;=pDen),"","NGOÀI KỲ"))</f>
        <v/>
      </c>
      <c r="O70" s="53">
        <f>IF($J70="","",IF($J70&lt;=0,"≤0",""))</f>
        <v/>
      </c>
      <c r="P70" s="53">
        <f>IF(AND($D70="SXC (627)",$F70="Chung"),IF(OR($G70="Cố định",$G70="Biến đổi"),"","THIẾU TÍNH CHẤT"),"")</f>
        <v/>
      </c>
    </row>
    <row r="71" ht="15" customHeight="1" s="54">
      <c r="A71" s="71" t="n"/>
      <c r="B71" s="67" t="n"/>
      <c r="C71" s="67" t="n"/>
      <c r="D71" s="67" t="n"/>
      <c r="E71" s="79">
        <f>IFERROR(INDEX(MAP_TK,MATCH($D71,MAP_KM,0)),"")</f>
        <v/>
      </c>
      <c r="F71" s="67" t="n"/>
      <c r="G71" s="67" t="n"/>
      <c r="H71" s="67" t="n"/>
      <c r="I71" s="67" t="n"/>
      <c r="J71" s="75" t="n"/>
      <c r="K71" s="67" t="n"/>
      <c r="M71" s="53">
        <f>IF($C71="","",IF(OR($C71="CHUNG",COUNTIF(DM_Ma,$C71)&gt;0),"","MÃ LẠ"))</f>
        <v/>
      </c>
      <c r="N71" s="53">
        <f>IF($A71="","",IF(AND($A71&gt;=pTu,$A71&lt;=pDen),"","NGOÀI KỲ"))</f>
        <v/>
      </c>
      <c r="O71" s="53">
        <f>IF($J71="","",IF($J71&lt;=0,"≤0",""))</f>
        <v/>
      </c>
      <c r="P71" s="53">
        <f>IF(AND($D71="SXC (627)",$F71="Chung"),IF(OR($G71="Cố định",$G71="Biến đổi"),"","THIẾU TÍNH CHẤT"),"")</f>
        <v/>
      </c>
    </row>
    <row r="72" ht="15" customHeight="1" s="54">
      <c r="A72" s="71" t="n"/>
      <c r="B72" s="67" t="n"/>
      <c r="C72" s="67" t="n"/>
      <c r="D72" s="67" t="n"/>
      <c r="E72" s="79">
        <f>IFERROR(INDEX(MAP_TK,MATCH($D72,MAP_KM,0)),"")</f>
        <v/>
      </c>
      <c r="F72" s="67" t="n"/>
      <c r="G72" s="67" t="n"/>
      <c r="H72" s="67" t="n"/>
      <c r="I72" s="67" t="n"/>
      <c r="J72" s="75" t="n"/>
      <c r="K72" s="67" t="n"/>
      <c r="M72" s="53">
        <f>IF($C72="","",IF(OR($C72="CHUNG",COUNTIF(DM_Ma,$C72)&gt;0),"","MÃ LẠ"))</f>
        <v/>
      </c>
      <c r="N72" s="53">
        <f>IF($A72="","",IF(AND($A72&gt;=pTu,$A72&lt;=pDen),"","NGOÀI KỲ"))</f>
        <v/>
      </c>
      <c r="O72" s="53">
        <f>IF($J72="","",IF($J72&lt;=0,"≤0",""))</f>
        <v/>
      </c>
      <c r="P72" s="53">
        <f>IF(AND($D72="SXC (627)",$F72="Chung"),IF(OR($G72="Cố định",$G72="Biến đổi"),"","THIẾU TÍNH CHẤT"),"")</f>
        <v/>
      </c>
    </row>
    <row r="73" ht="15" customHeight="1" s="54">
      <c r="A73" s="71" t="n"/>
      <c r="B73" s="67" t="n"/>
      <c r="C73" s="67" t="n"/>
      <c r="D73" s="67" t="n"/>
      <c r="E73" s="79">
        <f>IFERROR(INDEX(MAP_TK,MATCH($D73,MAP_KM,0)),"")</f>
        <v/>
      </c>
      <c r="F73" s="67" t="n"/>
      <c r="G73" s="67" t="n"/>
      <c r="H73" s="67" t="n"/>
      <c r="I73" s="67" t="n"/>
      <c r="J73" s="75" t="n"/>
      <c r="K73" s="67" t="n"/>
      <c r="M73" s="53">
        <f>IF($C73="","",IF(OR($C73="CHUNG",COUNTIF(DM_Ma,$C73)&gt;0),"","MÃ LẠ"))</f>
        <v/>
      </c>
      <c r="N73" s="53">
        <f>IF($A73="","",IF(AND($A73&gt;=pTu,$A73&lt;=pDen),"","NGOÀI KỲ"))</f>
        <v/>
      </c>
      <c r="O73" s="53">
        <f>IF($J73="","",IF($J73&lt;=0,"≤0",""))</f>
        <v/>
      </c>
      <c r="P73" s="53">
        <f>IF(AND($D73="SXC (627)",$F73="Chung"),IF(OR($G73="Cố định",$G73="Biến đổi"),"","THIẾU TÍNH CHẤT"),"")</f>
        <v/>
      </c>
    </row>
    <row r="74" ht="15" customHeight="1" s="54">
      <c r="A74" s="71" t="n"/>
      <c r="B74" s="67" t="n"/>
      <c r="C74" s="67" t="n"/>
      <c r="D74" s="67" t="n"/>
      <c r="E74" s="79">
        <f>IFERROR(INDEX(MAP_TK,MATCH($D74,MAP_KM,0)),"")</f>
        <v/>
      </c>
      <c r="F74" s="67" t="n"/>
      <c r="G74" s="67" t="n"/>
      <c r="H74" s="67" t="n"/>
      <c r="I74" s="67" t="n"/>
      <c r="J74" s="75" t="n"/>
      <c r="K74" s="67" t="n"/>
      <c r="M74" s="53">
        <f>IF($C74="","",IF(OR($C74="CHUNG",COUNTIF(DM_Ma,$C74)&gt;0),"","MÃ LẠ"))</f>
        <v/>
      </c>
      <c r="N74" s="53">
        <f>IF($A74="","",IF(AND($A74&gt;=pTu,$A74&lt;=pDen),"","NGOÀI KỲ"))</f>
        <v/>
      </c>
      <c r="O74" s="53">
        <f>IF($J74="","",IF($J74&lt;=0,"≤0",""))</f>
        <v/>
      </c>
      <c r="P74" s="53">
        <f>IF(AND($D74="SXC (627)",$F74="Chung"),IF(OR($G74="Cố định",$G74="Biến đổi"),"","THIẾU TÍNH CHẤT"),"")</f>
        <v/>
      </c>
    </row>
    <row r="75" ht="15" customHeight="1" s="54">
      <c r="A75" s="71" t="n"/>
      <c r="B75" s="67" t="n"/>
      <c r="C75" s="67" t="n"/>
      <c r="D75" s="67" t="n"/>
      <c r="E75" s="79">
        <f>IFERROR(INDEX(MAP_TK,MATCH($D75,MAP_KM,0)),"")</f>
        <v/>
      </c>
      <c r="F75" s="67" t="n"/>
      <c r="G75" s="67" t="n"/>
      <c r="H75" s="67" t="n"/>
      <c r="I75" s="67" t="n"/>
      <c r="J75" s="75" t="n"/>
      <c r="K75" s="67" t="n"/>
      <c r="M75" s="53">
        <f>IF($C75="","",IF(OR($C75="CHUNG",COUNTIF(DM_Ma,$C75)&gt;0),"","MÃ LẠ"))</f>
        <v/>
      </c>
      <c r="N75" s="53">
        <f>IF($A75="","",IF(AND($A75&gt;=pTu,$A75&lt;=pDen),"","NGOÀI KỲ"))</f>
        <v/>
      </c>
      <c r="O75" s="53">
        <f>IF($J75="","",IF($J75&lt;=0,"≤0",""))</f>
        <v/>
      </c>
      <c r="P75" s="53">
        <f>IF(AND($D75="SXC (627)",$F75="Chung"),IF(OR($G75="Cố định",$G75="Biến đổi"),"","THIẾU TÍNH CHẤT"),"")</f>
        <v/>
      </c>
    </row>
    <row r="76" ht="15" customHeight="1" s="54">
      <c r="A76" s="71" t="n"/>
      <c r="B76" s="67" t="n"/>
      <c r="C76" s="67" t="n"/>
      <c r="D76" s="67" t="n"/>
      <c r="E76" s="79">
        <f>IFERROR(INDEX(MAP_TK,MATCH($D76,MAP_KM,0)),"")</f>
        <v/>
      </c>
      <c r="F76" s="67" t="n"/>
      <c r="G76" s="67" t="n"/>
      <c r="H76" s="67" t="n"/>
      <c r="I76" s="67" t="n"/>
      <c r="J76" s="75" t="n"/>
      <c r="K76" s="67" t="n"/>
      <c r="M76" s="53">
        <f>IF($C76="","",IF(OR($C76="CHUNG",COUNTIF(DM_Ma,$C76)&gt;0),"","MÃ LẠ"))</f>
        <v/>
      </c>
      <c r="N76" s="53">
        <f>IF($A76="","",IF(AND($A76&gt;=pTu,$A76&lt;=pDen),"","NGOÀI KỲ"))</f>
        <v/>
      </c>
      <c r="O76" s="53">
        <f>IF($J76="","",IF($J76&lt;=0,"≤0",""))</f>
        <v/>
      </c>
      <c r="P76" s="53">
        <f>IF(AND($D76="SXC (627)",$F76="Chung"),IF(OR($G76="Cố định",$G76="Biến đổi"),"","THIẾU TÍNH CHẤT"),"")</f>
        <v/>
      </c>
    </row>
    <row r="77" ht="15" customHeight="1" s="54">
      <c r="A77" s="71" t="n"/>
      <c r="B77" s="67" t="n"/>
      <c r="C77" s="67" t="n"/>
      <c r="D77" s="67" t="n"/>
      <c r="E77" s="79">
        <f>IFERROR(INDEX(MAP_TK,MATCH($D77,MAP_KM,0)),"")</f>
        <v/>
      </c>
      <c r="F77" s="67" t="n"/>
      <c r="G77" s="67" t="n"/>
      <c r="H77" s="67" t="n"/>
      <c r="I77" s="67" t="n"/>
      <c r="J77" s="75" t="n"/>
      <c r="K77" s="67" t="n"/>
      <c r="M77" s="53">
        <f>IF($C77="","",IF(OR($C77="CHUNG",COUNTIF(DM_Ma,$C77)&gt;0),"","MÃ LẠ"))</f>
        <v/>
      </c>
      <c r="N77" s="53">
        <f>IF($A77="","",IF(AND($A77&gt;=pTu,$A77&lt;=pDen),"","NGOÀI KỲ"))</f>
        <v/>
      </c>
      <c r="O77" s="53">
        <f>IF($J77="","",IF($J77&lt;=0,"≤0",""))</f>
        <v/>
      </c>
      <c r="P77" s="53">
        <f>IF(AND($D77="SXC (627)",$F77="Chung"),IF(OR($G77="Cố định",$G77="Biến đổi"),"","THIẾU TÍNH CHẤT"),"")</f>
        <v/>
      </c>
    </row>
    <row r="78" ht="15" customHeight="1" s="54">
      <c r="A78" s="71" t="n"/>
      <c r="B78" s="67" t="n"/>
      <c r="C78" s="67" t="n"/>
      <c r="D78" s="67" t="n"/>
      <c r="E78" s="79">
        <f>IFERROR(INDEX(MAP_TK,MATCH($D78,MAP_KM,0)),"")</f>
        <v/>
      </c>
      <c r="F78" s="67" t="n"/>
      <c r="G78" s="67" t="n"/>
      <c r="H78" s="67" t="n"/>
      <c r="I78" s="67" t="n"/>
      <c r="J78" s="75" t="n"/>
      <c r="K78" s="67" t="n"/>
      <c r="M78" s="53">
        <f>IF($C78="","",IF(OR($C78="CHUNG",COUNTIF(DM_Ma,$C78)&gt;0),"","MÃ LẠ"))</f>
        <v/>
      </c>
      <c r="N78" s="53">
        <f>IF($A78="","",IF(AND($A78&gt;=pTu,$A78&lt;=pDen),"","NGOÀI KỲ"))</f>
        <v/>
      </c>
      <c r="O78" s="53">
        <f>IF($J78="","",IF($J78&lt;=0,"≤0",""))</f>
        <v/>
      </c>
      <c r="P78" s="53">
        <f>IF(AND($D78="SXC (627)",$F78="Chung"),IF(OR($G78="Cố định",$G78="Biến đổi"),"","THIẾU TÍNH CHẤT"),"")</f>
        <v/>
      </c>
    </row>
    <row r="79" ht="15" customHeight="1" s="54">
      <c r="A79" s="71" t="n"/>
      <c r="B79" s="67" t="n"/>
      <c r="C79" s="67" t="n"/>
      <c r="D79" s="67" t="n"/>
      <c r="E79" s="79">
        <f>IFERROR(INDEX(MAP_TK,MATCH($D79,MAP_KM,0)),"")</f>
        <v/>
      </c>
      <c r="F79" s="67" t="n"/>
      <c r="G79" s="67" t="n"/>
      <c r="H79" s="67" t="n"/>
      <c r="I79" s="67" t="n"/>
      <c r="J79" s="75" t="n"/>
      <c r="K79" s="67" t="n"/>
      <c r="M79" s="53">
        <f>IF($C79="","",IF(OR($C79="CHUNG",COUNTIF(DM_Ma,$C79)&gt;0),"","MÃ LẠ"))</f>
        <v/>
      </c>
      <c r="N79" s="53">
        <f>IF($A79="","",IF(AND($A79&gt;=pTu,$A79&lt;=pDen),"","NGOÀI KỲ"))</f>
        <v/>
      </c>
      <c r="O79" s="53">
        <f>IF($J79="","",IF($J79&lt;=0,"≤0",""))</f>
        <v/>
      </c>
      <c r="P79" s="53">
        <f>IF(AND($D79="SXC (627)",$F79="Chung"),IF(OR($G79="Cố định",$G79="Biến đổi"),"","THIẾU TÍNH CHẤT"),"")</f>
        <v/>
      </c>
    </row>
    <row r="80" ht="15" customHeight="1" s="54">
      <c r="A80" s="71" t="n"/>
      <c r="B80" s="67" t="n"/>
      <c r="C80" s="67" t="n"/>
      <c r="D80" s="67" t="n"/>
      <c r="E80" s="79">
        <f>IFERROR(INDEX(MAP_TK,MATCH($D80,MAP_KM,0)),"")</f>
        <v/>
      </c>
      <c r="F80" s="67" t="n"/>
      <c r="G80" s="67" t="n"/>
      <c r="H80" s="67" t="n"/>
      <c r="I80" s="67" t="n"/>
      <c r="J80" s="75" t="n"/>
      <c r="K80" s="67" t="n"/>
      <c r="M80" s="53">
        <f>IF($C80="","",IF(OR($C80="CHUNG",COUNTIF(DM_Ma,$C80)&gt;0),"","MÃ LẠ"))</f>
        <v/>
      </c>
      <c r="N80" s="53">
        <f>IF($A80="","",IF(AND($A80&gt;=pTu,$A80&lt;=pDen),"","NGOÀI KỲ"))</f>
        <v/>
      </c>
      <c r="O80" s="53">
        <f>IF($J80="","",IF($J80&lt;=0,"≤0",""))</f>
        <v/>
      </c>
      <c r="P80" s="53">
        <f>IF(AND($D80="SXC (627)",$F80="Chung"),IF(OR($G80="Cố định",$G80="Biến đổi"),"","THIẾU TÍNH CHẤT"),"")</f>
        <v/>
      </c>
    </row>
    <row r="81" ht="15" customHeight="1" s="54">
      <c r="A81" s="71" t="n"/>
      <c r="B81" s="67" t="n"/>
      <c r="C81" s="67" t="n"/>
      <c r="D81" s="67" t="n"/>
      <c r="E81" s="79">
        <f>IFERROR(INDEX(MAP_TK,MATCH($D81,MAP_KM,0)),"")</f>
        <v/>
      </c>
      <c r="F81" s="67" t="n"/>
      <c r="G81" s="67" t="n"/>
      <c r="H81" s="67" t="n"/>
      <c r="I81" s="67" t="n"/>
      <c r="J81" s="75" t="n"/>
      <c r="K81" s="67" t="n"/>
      <c r="M81" s="53">
        <f>IF($C81="","",IF(OR($C81="CHUNG",COUNTIF(DM_Ma,$C81)&gt;0),"","MÃ LẠ"))</f>
        <v/>
      </c>
      <c r="N81" s="53">
        <f>IF($A81="","",IF(AND($A81&gt;=pTu,$A81&lt;=pDen),"","NGOÀI KỲ"))</f>
        <v/>
      </c>
      <c r="O81" s="53">
        <f>IF($J81="","",IF($J81&lt;=0,"≤0",""))</f>
        <v/>
      </c>
      <c r="P81" s="53">
        <f>IF(AND($D81="SXC (627)",$F81="Chung"),IF(OR($G81="Cố định",$G81="Biến đổi"),"","THIẾU TÍNH CHẤT"),"")</f>
        <v/>
      </c>
    </row>
    <row r="82" ht="15" customHeight="1" s="54">
      <c r="A82" s="71" t="n"/>
      <c r="B82" s="67" t="n"/>
      <c r="C82" s="67" t="n"/>
      <c r="D82" s="67" t="n"/>
      <c r="E82" s="79">
        <f>IFERROR(INDEX(MAP_TK,MATCH($D82,MAP_KM,0)),"")</f>
        <v/>
      </c>
      <c r="F82" s="67" t="n"/>
      <c r="G82" s="67" t="n"/>
      <c r="H82" s="67" t="n"/>
      <c r="I82" s="67" t="n"/>
      <c r="J82" s="75" t="n"/>
      <c r="K82" s="67" t="n"/>
      <c r="M82" s="53">
        <f>IF($C82="","",IF(OR($C82="CHUNG",COUNTIF(DM_Ma,$C82)&gt;0),"","MÃ LẠ"))</f>
        <v/>
      </c>
      <c r="N82" s="53">
        <f>IF($A82="","",IF(AND($A82&gt;=pTu,$A82&lt;=pDen),"","NGOÀI KỲ"))</f>
        <v/>
      </c>
      <c r="O82" s="53">
        <f>IF($J82="","",IF($J82&lt;=0,"≤0",""))</f>
        <v/>
      </c>
      <c r="P82" s="53">
        <f>IF(AND($D82="SXC (627)",$F82="Chung"),IF(OR($G82="Cố định",$G82="Biến đổi"),"","THIẾU TÍNH CHẤT"),"")</f>
        <v/>
      </c>
    </row>
    <row r="83" ht="15" customHeight="1" s="54">
      <c r="A83" s="71" t="n"/>
      <c r="B83" s="67" t="n"/>
      <c r="C83" s="67" t="n"/>
      <c r="D83" s="67" t="n"/>
      <c r="E83" s="79">
        <f>IFERROR(INDEX(MAP_TK,MATCH($D83,MAP_KM,0)),"")</f>
        <v/>
      </c>
      <c r="F83" s="67" t="n"/>
      <c r="G83" s="67" t="n"/>
      <c r="H83" s="67" t="n"/>
      <c r="I83" s="67" t="n"/>
      <c r="J83" s="75" t="n"/>
      <c r="K83" s="67" t="n"/>
      <c r="M83" s="53">
        <f>IF($C83="","",IF(OR($C83="CHUNG",COUNTIF(DM_Ma,$C83)&gt;0),"","MÃ LẠ"))</f>
        <v/>
      </c>
      <c r="N83" s="53">
        <f>IF($A83="","",IF(AND($A83&gt;=pTu,$A83&lt;=pDen),"","NGOÀI KỲ"))</f>
        <v/>
      </c>
      <c r="O83" s="53">
        <f>IF($J83="","",IF($J83&lt;=0,"≤0",""))</f>
        <v/>
      </c>
      <c r="P83" s="53">
        <f>IF(AND($D83="SXC (627)",$F83="Chung"),IF(OR($G83="Cố định",$G83="Biến đổi"),"","THIẾU TÍNH CHẤT"),"")</f>
        <v/>
      </c>
    </row>
    <row r="84" ht="15" customHeight="1" s="54">
      <c r="A84" s="71" t="n"/>
      <c r="B84" s="67" t="n"/>
      <c r="C84" s="67" t="n"/>
      <c r="D84" s="67" t="n"/>
      <c r="E84" s="79">
        <f>IFERROR(INDEX(MAP_TK,MATCH($D84,MAP_KM,0)),"")</f>
        <v/>
      </c>
      <c r="F84" s="67" t="n"/>
      <c r="G84" s="67" t="n"/>
      <c r="H84" s="67" t="n"/>
      <c r="I84" s="67" t="n"/>
      <c r="J84" s="75" t="n"/>
      <c r="K84" s="67" t="n"/>
      <c r="M84" s="53">
        <f>IF($C84="","",IF(OR($C84="CHUNG",COUNTIF(DM_Ma,$C84)&gt;0),"","MÃ LẠ"))</f>
        <v/>
      </c>
      <c r="N84" s="53">
        <f>IF($A84="","",IF(AND($A84&gt;=pTu,$A84&lt;=pDen),"","NGOÀI KỲ"))</f>
        <v/>
      </c>
      <c r="O84" s="53">
        <f>IF($J84="","",IF($J84&lt;=0,"≤0",""))</f>
        <v/>
      </c>
      <c r="P84" s="53">
        <f>IF(AND($D84="SXC (627)",$F84="Chung"),IF(OR($G84="Cố định",$G84="Biến đổi"),"","THIẾU TÍNH CHẤT"),"")</f>
        <v/>
      </c>
    </row>
    <row r="85" ht="15" customHeight="1" s="54">
      <c r="A85" s="71" t="n"/>
      <c r="B85" s="67" t="n"/>
      <c r="C85" s="67" t="n"/>
      <c r="D85" s="67" t="n"/>
      <c r="E85" s="79">
        <f>IFERROR(INDEX(MAP_TK,MATCH($D85,MAP_KM,0)),"")</f>
        <v/>
      </c>
      <c r="F85" s="67" t="n"/>
      <c r="G85" s="67" t="n"/>
      <c r="H85" s="67" t="n"/>
      <c r="I85" s="67" t="n"/>
      <c r="J85" s="75" t="n"/>
      <c r="K85" s="67" t="n"/>
      <c r="M85" s="53">
        <f>IF($C85="","",IF(OR($C85="CHUNG",COUNTIF(DM_Ma,$C85)&gt;0),"","MÃ LẠ"))</f>
        <v/>
      </c>
      <c r="N85" s="53">
        <f>IF($A85="","",IF(AND($A85&gt;=pTu,$A85&lt;=pDen),"","NGOÀI KỲ"))</f>
        <v/>
      </c>
      <c r="O85" s="53">
        <f>IF($J85="","",IF($J85&lt;=0,"≤0",""))</f>
        <v/>
      </c>
      <c r="P85" s="53">
        <f>IF(AND($D85="SXC (627)",$F85="Chung"),IF(OR($G85="Cố định",$G85="Biến đổi"),"","THIẾU TÍNH CHẤT"),"")</f>
        <v/>
      </c>
    </row>
    <row r="86" ht="15" customHeight="1" s="54">
      <c r="A86" s="71" t="n"/>
      <c r="B86" s="67" t="n"/>
      <c r="C86" s="67" t="n"/>
      <c r="D86" s="67" t="n"/>
      <c r="E86" s="79">
        <f>IFERROR(INDEX(MAP_TK,MATCH($D86,MAP_KM,0)),"")</f>
        <v/>
      </c>
      <c r="F86" s="67" t="n"/>
      <c r="G86" s="67" t="n"/>
      <c r="H86" s="67" t="n"/>
      <c r="I86" s="67" t="n"/>
      <c r="J86" s="75" t="n"/>
      <c r="K86" s="67" t="n"/>
      <c r="M86" s="53">
        <f>IF($C86="","",IF(OR($C86="CHUNG",COUNTIF(DM_Ma,$C86)&gt;0),"","MÃ LẠ"))</f>
        <v/>
      </c>
      <c r="N86" s="53">
        <f>IF($A86="","",IF(AND($A86&gt;=pTu,$A86&lt;=pDen),"","NGOÀI KỲ"))</f>
        <v/>
      </c>
      <c r="O86" s="53">
        <f>IF($J86="","",IF($J86&lt;=0,"≤0",""))</f>
        <v/>
      </c>
      <c r="P86" s="53">
        <f>IF(AND($D86="SXC (627)",$F86="Chung"),IF(OR($G86="Cố định",$G86="Biến đổi"),"","THIẾU TÍNH CHẤT"),"")</f>
        <v/>
      </c>
    </row>
    <row r="87" ht="15" customHeight="1" s="54">
      <c r="A87" s="71" t="n"/>
      <c r="B87" s="67" t="n"/>
      <c r="C87" s="67" t="n"/>
      <c r="D87" s="67" t="n"/>
      <c r="E87" s="79">
        <f>IFERROR(INDEX(MAP_TK,MATCH($D87,MAP_KM,0)),"")</f>
        <v/>
      </c>
      <c r="F87" s="67" t="n"/>
      <c r="G87" s="67" t="n"/>
      <c r="H87" s="67" t="n"/>
      <c r="I87" s="67" t="n"/>
      <c r="J87" s="75" t="n"/>
      <c r="K87" s="67" t="n"/>
      <c r="M87" s="53">
        <f>IF($C87="","",IF(OR($C87="CHUNG",COUNTIF(DM_Ma,$C87)&gt;0),"","MÃ LẠ"))</f>
        <v/>
      </c>
      <c r="N87" s="53">
        <f>IF($A87="","",IF(AND($A87&gt;=pTu,$A87&lt;=pDen),"","NGOÀI KỲ"))</f>
        <v/>
      </c>
      <c r="O87" s="53">
        <f>IF($J87="","",IF($J87&lt;=0,"≤0",""))</f>
        <v/>
      </c>
      <c r="P87" s="53">
        <f>IF(AND($D87="SXC (627)",$F87="Chung"),IF(OR($G87="Cố định",$G87="Biến đổi"),"","THIẾU TÍNH CHẤT"),"")</f>
        <v/>
      </c>
    </row>
    <row r="88" ht="15" customHeight="1" s="54">
      <c r="A88" s="71" t="n"/>
      <c r="B88" s="67" t="n"/>
      <c r="C88" s="67" t="n"/>
      <c r="D88" s="67" t="n"/>
      <c r="E88" s="79">
        <f>IFERROR(INDEX(MAP_TK,MATCH($D88,MAP_KM,0)),"")</f>
        <v/>
      </c>
      <c r="F88" s="67" t="n"/>
      <c r="G88" s="67" t="n"/>
      <c r="H88" s="67" t="n"/>
      <c r="I88" s="67" t="n"/>
      <c r="J88" s="75" t="n"/>
      <c r="K88" s="67" t="n"/>
      <c r="M88" s="53">
        <f>IF($C88="","",IF(OR($C88="CHUNG",COUNTIF(DM_Ma,$C88)&gt;0),"","MÃ LẠ"))</f>
        <v/>
      </c>
      <c r="N88" s="53">
        <f>IF($A88="","",IF(AND($A88&gt;=pTu,$A88&lt;=pDen),"","NGOÀI KỲ"))</f>
        <v/>
      </c>
      <c r="O88" s="53">
        <f>IF($J88="","",IF($J88&lt;=0,"≤0",""))</f>
        <v/>
      </c>
      <c r="P88" s="53">
        <f>IF(AND($D88="SXC (627)",$F88="Chung"),IF(OR($G88="Cố định",$G88="Biến đổi"),"","THIẾU TÍNH CHẤT"),"")</f>
        <v/>
      </c>
    </row>
    <row r="89" ht="15" customHeight="1" s="54">
      <c r="A89" s="71" t="n"/>
      <c r="B89" s="67" t="n"/>
      <c r="C89" s="67" t="n"/>
      <c r="D89" s="67" t="n"/>
      <c r="E89" s="79">
        <f>IFERROR(INDEX(MAP_TK,MATCH($D89,MAP_KM,0)),"")</f>
        <v/>
      </c>
      <c r="F89" s="67" t="n"/>
      <c r="G89" s="67" t="n"/>
      <c r="H89" s="67" t="n"/>
      <c r="I89" s="67" t="n"/>
      <c r="J89" s="75" t="n"/>
      <c r="K89" s="67" t="n"/>
      <c r="M89" s="53">
        <f>IF($C89="","",IF(OR($C89="CHUNG",COUNTIF(DM_Ma,$C89)&gt;0),"","MÃ LẠ"))</f>
        <v/>
      </c>
      <c r="N89" s="53">
        <f>IF($A89="","",IF(AND($A89&gt;=pTu,$A89&lt;=pDen),"","NGOÀI KỲ"))</f>
        <v/>
      </c>
      <c r="O89" s="53">
        <f>IF($J89="","",IF($J89&lt;=0,"≤0",""))</f>
        <v/>
      </c>
      <c r="P89" s="53">
        <f>IF(AND($D89="SXC (627)",$F89="Chung"),IF(OR($G89="Cố định",$G89="Biến đổi"),"","THIẾU TÍNH CHẤT"),"")</f>
        <v/>
      </c>
    </row>
    <row r="90" ht="15" customHeight="1" s="54">
      <c r="A90" s="71" t="n"/>
      <c r="B90" s="67" t="n"/>
      <c r="C90" s="67" t="n"/>
      <c r="D90" s="67" t="n"/>
      <c r="E90" s="79">
        <f>IFERROR(INDEX(MAP_TK,MATCH($D90,MAP_KM,0)),"")</f>
        <v/>
      </c>
      <c r="F90" s="67" t="n"/>
      <c r="G90" s="67" t="n"/>
      <c r="H90" s="67" t="n"/>
      <c r="I90" s="67" t="n"/>
      <c r="J90" s="75" t="n"/>
      <c r="K90" s="67" t="n"/>
      <c r="M90" s="53">
        <f>IF($C90="","",IF(OR($C90="CHUNG",COUNTIF(DM_Ma,$C90)&gt;0),"","MÃ LẠ"))</f>
        <v/>
      </c>
      <c r="N90" s="53">
        <f>IF($A90="","",IF(AND($A90&gt;=pTu,$A90&lt;=pDen),"","NGOÀI KỲ"))</f>
        <v/>
      </c>
      <c r="O90" s="53">
        <f>IF($J90="","",IF($J90&lt;=0,"≤0",""))</f>
        <v/>
      </c>
      <c r="P90" s="53">
        <f>IF(AND($D90="SXC (627)",$F90="Chung"),IF(OR($G90="Cố định",$G90="Biến đổi"),"","THIẾU TÍNH CHẤT"),"")</f>
        <v/>
      </c>
    </row>
    <row r="91" ht="15" customHeight="1" s="54">
      <c r="A91" s="71" t="n"/>
      <c r="B91" s="67" t="n"/>
      <c r="C91" s="67" t="n"/>
      <c r="D91" s="67" t="n"/>
      <c r="E91" s="79">
        <f>IFERROR(INDEX(MAP_TK,MATCH($D91,MAP_KM,0)),"")</f>
        <v/>
      </c>
      <c r="F91" s="67" t="n"/>
      <c r="G91" s="67" t="n"/>
      <c r="H91" s="67" t="n"/>
      <c r="I91" s="67" t="n"/>
      <c r="J91" s="75" t="n"/>
      <c r="K91" s="67" t="n"/>
      <c r="M91" s="53">
        <f>IF($C91="","",IF(OR($C91="CHUNG",COUNTIF(DM_Ma,$C91)&gt;0),"","MÃ LẠ"))</f>
        <v/>
      </c>
      <c r="N91" s="53">
        <f>IF($A91="","",IF(AND($A91&gt;=pTu,$A91&lt;=pDen),"","NGOÀI KỲ"))</f>
        <v/>
      </c>
      <c r="O91" s="53">
        <f>IF($J91="","",IF($J91&lt;=0,"≤0",""))</f>
        <v/>
      </c>
      <c r="P91" s="53">
        <f>IF(AND($D91="SXC (627)",$F91="Chung"),IF(OR($G91="Cố định",$G91="Biến đổi"),"","THIẾU TÍNH CHẤT"),"")</f>
        <v/>
      </c>
    </row>
    <row r="92" ht="15" customHeight="1" s="54">
      <c r="A92" s="71" t="n"/>
      <c r="B92" s="67" t="n"/>
      <c r="C92" s="67" t="n"/>
      <c r="D92" s="67" t="n"/>
      <c r="E92" s="79">
        <f>IFERROR(INDEX(MAP_TK,MATCH($D92,MAP_KM,0)),"")</f>
        <v/>
      </c>
      <c r="F92" s="67" t="n"/>
      <c r="G92" s="67" t="n"/>
      <c r="H92" s="67" t="n"/>
      <c r="I92" s="67" t="n"/>
      <c r="J92" s="75" t="n"/>
      <c r="K92" s="67" t="n"/>
      <c r="M92" s="53">
        <f>IF($C92="","",IF(OR($C92="CHUNG",COUNTIF(DM_Ma,$C92)&gt;0),"","MÃ LẠ"))</f>
        <v/>
      </c>
      <c r="N92" s="53">
        <f>IF($A92="","",IF(AND($A92&gt;=pTu,$A92&lt;=pDen),"","NGOÀI KỲ"))</f>
        <v/>
      </c>
      <c r="O92" s="53">
        <f>IF($J92="","",IF($J92&lt;=0,"≤0",""))</f>
        <v/>
      </c>
      <c r="P92" s="53">
        <f>IF(AND($D92="SXC (627)",$F92="Chung"),IF(OR($G92="Cố định",$G92="Biến đổi"),"","THIẾU TÍNH CHẤT"),"")</f>
        <v/>
      </c>
    </row>
    <row r="93" ht="15" customHeight="1" s="54">
      <c r="A93" s="71" t="n"/>
      <c r="B93" s="67" t="n"/>
      <c r="C93" s="67" t="n"/>
      <c r="D93" s="67" t="n"/>
      <c r="E93" s="79">
        <f>IFERROR(INDEX(MAP_TK,MATCH($D93,MAP_KM,0)),"")</f>
        <v/>
      </c>
      <c r="F93" s="67" t="n"/>
      <c r="G93" s="67" t="n"/>
      <c r="H93" s="67" t="n"/>
      <c r="I93" s="67" t="n"/>
      <c r="J93" s="75" t="n"/>
      <c r="K93" s="67" t="n"/>
      <c r="M93" s="53">
        <f>IF($C93="","",IF(OR($C93="CHUNG",COUNTIF(DM_Ma,$C93)&gt;0),"","MÃ LẠ"))</f>
        <v/>
      </c>
      <c r="N93" s="53">
        <f>IF($A93="","",IF(AND($A93&gt;=pTu,$A93&lt;=pDen),"","NGOÀI KỲ"))</f>
        <v/>
      </c>
      <c r="O93" s="53">
        <f>IF($J93="","",IF($J93&lt;=0,"≤0",""))</f>
        <v/>
      </c>
      <c r="P93" s="53">
        <f>IF(AND($D93="SXC (627)",$F93="Chung"),IF(OR($G93="Cố định",$G93="Biến đổi"),"","THIẾU TÍNH CHẤT"),"")</f>
        <v/>
      </c>
    </row>
    <row r="94" ht="15" customHeight="1" s="54">
      <c r="A94" s="71" t="n"/>
      <c r="B94" s="67" t="n"/>
      <c r="C94" s="67" t="n"/>
      <c r="D94" s="67" t="n"/>
      <c r="E94" s="79">
        <f>IFERROR(INDEX(MAP_TK,MATCH($D94,MAP_KM,0)),"")</f>
        <v/>
      </c>
      <c r="F94" s="67" t="n"/>
      <c r="G94" s="67" t="n"/>
      <c r="H94" s="67" t="n"/>
      <c r="I94" s="67" t="n"/>
      <c r="J94" s="75" t="n"/>
      <c r="K94" s="67" t="n"/>
      <c r="M94" s="53">
        <f>IF($C94="","",IF(OR($C94="CHUNG",COUNTIF(DM_Ma,$C94)&gt;0),"","MÃ LẠ"))</f>
        <v/>
      </c>
      <c r="N94" s="53">
        <f>IF($A94="","",IF(AND($A94&gt;=pTu,$A94&lt;=pDen),"","NGOÀI KỲ"))</f>
        <v/>
      </c>
      <c r="O94" s="53">
        <f>IF($J94="","",IF($J94&lt;=0,"≤0",""))</f>
        <v/>
      </c>
      <c r="P94" s="53">
        <f>IF(AND($D94="SXC (627)",$F94="Chung"),IF(OR($G94="Cố định",$G94="Biến đổi"),"","THIẾU TÍNH CHẤT"),"")</f>
        <v/>
      </c>
    </row>
    <row r="95" ht="15" customHeight="1" s="54">
      <c r="A95" s="71" t="n"/>
      <c r="B95" s="67" t="n"/>
      <c r="C95" s="67" t="n"/>
      <c r="D95" s="67" t="n"/>
      <c r="E95" s="79">
        <f>IFERROR(INDEX(MAP_TK,MATCH($D95,MAP_KM,0)),"")</f>
        <v/>
      </c>
      <c r="F95" s="67" t="n"/>
      <c r="G95" s="67" t="n"/>
      <c r="H95" s="67" t="n"/>
      <c r="I95" s="67" t="n"/>
      <c r="J95" s="75" t="n"/>
      <c r="K95" s="67" t="n"/>
      <c r="M95" s="53">
        <f>IF($C95="","",IF(OR($C95="CHUNG",COUNTIF(DM_Ma,$C95)&gt;0),"","MÃ LẠ"))</f>
        <v/>
      </c>
      <c r="N95" s="53">
        <f>IF($A95="","",IF(AND($A95&gt;=pTu,$A95&lt;=pDen),"","NGOÀI KỲ"))</f>
        <v/>
      </c>
      <c r="O95" s="53">
        <f>IF($J95="","",IF($J95&lt;=0,"≤0",""))</f>
        <v/>
      </c>
      <c r="P95" s="53">
        <f>IF(AND($D95="SXC (627)",$F95="Chung"),IF(OR($G95="Cố định",$G95="Biến đổi"),"","THIẾU TÍNH CHẤT"),"")</f>
        <v/>
      </c>
    </row>
    <row r="96" ht="15" customHeight="1" s="54">
      <c r="A96" s="71" t="n"/>
      <c r="B96" s="67" t="n"/>
      <c r="C96" s="67" t="n"/>
      <c r="D96" s="67" t="n"/>
      <c r="E96" s="79">
        <f>IFERROR(INDEX(MAP_TK,MATCH($D96,MAP_KM,0)),"")</f>
        <v/>
      </c>
      <c r="F96" s="67" t="n"/>
      <c r="G96" s="67" t="n"/>
      <c r="H96" s="67" t="n"/>
      <c r="I96" s="67" t="n"/>
      <c r="J96" s="75" t="n"/>
      <c r="K96" s="67" t="n"/>
      <c r="M96" s="53">
        <f>IF($C96="","",IF(OR($C96="CHUNG",COUNTIF(DM_Ma,$C96)&gt;0),"","MÃ LẠ"))</f>
        <v/>
      </c>
      <c r="N96" s="53">
        <f>IF($A96="","",IF(AND($A96&gt;=pTu,$A96&lt;=pDen),"","NGOÀI KỲ"))</f>
        <v/>
      </c>
      <c r="O96" s="53">
        <f>IF($J96="","",IF($J96&lt;=0,"≤0",""))</f>
        <v/>
      </c>
      <c r="P96" s="53">
        <f>IF(AND($D96="SXC (627)",$F96="Chung"),IF(OR($G96="Cố định",$G96="Biến đổi"),"","THIẾU TÍNH CHẤT"),"")</f>
        <v/>
      </c>
    </row>
    <row r="97" ht="15" customHeight="1" s="54">
      <c r="A97" s="71" t="n"/>
      <c r="B97" s="67" t="n"/>
      <c r="C97" s="67" t="n"/>
      <c r="D97" s="67" t="n"/>
      <c r="E97" s="79">
        <f>IFERROR(INDEX(MAP_TK,MATCH($D97,MAP_KM,0)),"")</f>
        <v/>
      </c>
      <c r="F97" s="67" t="n"/>
      <c r="G97" s="67" t="n"/>
      <c r="H97" s="67" t="n"/>
      <c r="I97" s="67" t="n"/>
      <c r="J97" s="75" t="n"/>
      <c r="K97" s="67" t="n"/>
      <c r="M97" s="53">
        <f>IF($C97="","",IF(OR($C97="CHUNG",COUNTIF(DM_Ma,$C97)&gt;0),"","MÃ LẠ"))</f>
        <v/>
      </c>
      <c r="N97" s="53">
        <f>IF($A97="","",IF(AND($A97&gt;=pTu,$A97&lt;=pDen),"","NGOÀI KỲ"))</f>
        <v/>
      </c>
      <c r="O97" s="53">
        <f>IF($J97="","",IF($J97&lt;=0,"≤0",""))</f>
        <v/>
      </c>
      <c r="P97" s="53">
        <f>IF(AND($D97="SXC (627)",$F97="Chung"),IF(OR($G97="Cố định",$G97="Biến đổi"),"","THIẾU TÍNH CHẤT"),"")</f>
        <v/>
      </c>
    </row>
    <row r="98" ht="15" customHeight="1" s="54">
      <c r="A98" s="71" t="n"/>
      <c r="B98" s="67" t="n"/>
      <c r="C98" s="67" t="n"/>
      <c r="D98" s="67" t="n"/>
      <c r="E98" s="79">
        <f>IFERROR(INDEX(MAP_TK,MATCH($D98,MAP_KM,0)),"")</f>
        <v/>
      </c>
      <c r="F98" s="67" t="n"/>
      <c r="G98" s="67" t="n"/>
      <c r="H98" s="67" t="n"/>
      <c r="I98" s="67" t="n"/>
      <c r="J98" s="75" t="n"/>
      <c r="K98" s="67" t="n"/>
      <c r="M98" s="53">
        <f>IF($C98="","",IF(OR($C98="CHUNG",COUNTIF(DM_Ma,$C98)&gt;0),"","MÃ LẠ"))</f>
        <v/>
      </c>
      <c r="N98" s="53">
        <f>IF($A98="","",IF(AND($A98&gt;=pTu,$A98&lt;=pDen),"","NGOÀI KỲ"))</f>
        <v/>
      </c>
      <c r="O98" s="53">
        <f>IF($J98="","",IF($J98&lt;=0,"≤0",""))</f>
        <v/>
      </c>
      <c r="P98" s="53">
        <f>IF(AND($D98="SXC (627)",$F98="Chung"),IF(OR($G98="Cố định",$G98="Biến đổi"),"","THIẾU TÍNH CHẤT"),"")</f>
        <v/>
      </c>
    </row>
    <row r="99" ht="15" customHeight="1" s="54">
      <c r="A99" s="71" t="n"/>
      <c r="B99" s="67" t="n"/>
      <c r="C99" s="67" t="n"/>
      <c r="D99" s="67" t="n"/>
      <c r="E99" s="79">
        <f>IFERROR(INDEX(MAP_TK,MATCH($D99,MAP_KM,0)),"")</f>
        <v/>
      </c>
      <c r="F99" s="67" t="n"/>
      <c r="G99" s="67" t="n"/>
      <c r="H99" s="67" t="n"/>
      <c r="I99" s="67" t="n"/>
      <c r="J99" s="75" t="n"/>
      <c r="K99" s="67" t="n"/>
      <c r="M99" s="53">
        <f>IF($C99="","",IF(OR($C99="CHUNG",COUNTIF(DM_Ma,$C99)&gt;0),"","MÃ LẠ"))</f>
        <v/>
      </c>
      <c r="N99" s="53">
        <f>IF($A99="","",IF(AND($A99&gt;=pTu,$A99&lt;=pDen),"","NGOÀI KỲ"))</f>
        <v/>
      </c>
      <c r="O99" s="53">
        <f>IF($J99="","",IF($J99&lt;=0,"≤0",""))</f>
        <v/>
      </c>
      <c r="P99" s="53">
        <f>IF(AND($D99="SXC (627)",$F99="Chung"),IF(OR($G99="Cố định",$G99="Biến đổi"),"","THIẾU TÍNH CHẤT"),"")</f>
        <v/>
      </c>
    </row>
    <row r="100" ht="15" customHeight="1" s="54">
      <c r="A100" s="71" t="n"/>
      <c r="B100" s="67" t="n"/>
      <c r="C100" s="67" t="n"/>
      <c r="D100" s="67" t="n"/>
      <c r="E100" s="79">
        <f>IFERROR(INDEX(MAP_TK,MATCH($D100,MAP_KM,0)),"")</f>
        <v/>
      </c>
      <c r="F100" s="67" t="n"/>
      <c r="G100" s="67" t="n"/>
      <c r="H100" s="67" t="n"/>
      <c r="I100" s="67" t="n"/>
      <c r="J100" s="75" t="n"/>
      <c r="K100" s="67" t="n"/>
      <c r="M100" s="53">
        <f>IF($C100="","",IF(OR($C100="CHUNG",COUNTIF(DM_Ma,$C100)&gt;0),"","MÃ LẠ"))</f>
        <v/>
      </c>
      <c r="N100" s="53">
        <f>IF($A100="","",IF(AND($A100&gt;=pTu,$A100&lt;=pDen),"","NGOÀI KỲ"))</f>
        <v/>
      </c>
      <c r="O100" s="53">
        <f>IF($J100="","",IF($J100&lt;=0,"≤0",""))</f>
        <v/>
      </c>
      <c r="P100" s="53">
        <f>IF(AND($D100="SXC (627)",$F100="Chung"),IF(OR($G100="Cố định",$G100="Biến đổi"),"","THIẾU TÍNH CHẤT"),"")</f>
        <v/>
      </c>
    </row>
    <row r="101" ht="15" customHeight="1" s="54">
      <c r="A101" s="71" t="n"/>
      <c r="B101" s="67" t="n"/>
      <c r="C101" s="67" t="n"/>
      <c r="D101" s="67" t="n"/>
      <c r="E101" s="79">
        <f>IFERROR(INDEX(MAP_TK,MATCH($D101,MAP_KM,0)),"")</f>
        <v/>
      </c>
      <c r="F101" s="67" t="n"/>
      <c r="G101" s="67" t="n"/>
      <c r="H101" s="67" t="n"/>
      <c r="I101" s="67" t="n"/>
      <c r="J101" s="75" t="n"/>
      <c r="K101" s="67" t="n"/>
      <c r="M101" s="53">
        <f>IF($C101="","",IF(OR($C101="CHUNG",COUNTIF(DM_Ma,$C101)&gt;0),"","MÃ LẠ"))</f>
        <v/>
      </c>
      <c r="N101" s="53">
        <f>IF($A101="","",IF(AND($A101&gt;=pTu,$A101&lt;=pDen),"","NGOÀI KỲ"))</f>
        <v/>
      </c>
      <c r="O101" s="53">
        <f>IF($J101="","",IF($J101&lt;=0,"≤0",""))</f>
        <v/>
      </c>
      <c r="P101" s="53">
        <f>IF(AND($D101="SXC (627)",$F101="Chung"),IF(OR($G101="Cố định",$G101="Biến đổi"),"","THIẾU TÍNH CHẤT"),"")</f>
        <v/>
      </c>
    </row>
    <row r="102" ht="15" customHeight="1" s="54">
      <c r="A102" s="71" t="n"/>
      <c r="B102" s="67" t="n"/>
      <c r="C102" s="67" t="n"/>
      <c r="D102" s="67" t="n"/>
      <c r="E102" s="79">
        <f>IFERROR(INDEX(MAP_TK,MATCH($D102,MAP_KM,0)),"")</f>
        <v/>
      </c>
      <c r="F102" s="67" t="n"/>
      <c r="G102" s="67" t="n"/>
      <c r="H102" s="67" t="n"/>
      <c r="I102" s="67" t="n"/>
      <c r="J102" s="75" t="n"/>
      <c r="K102" s="67" t="n"/>
      <c r="M102" s="53">
        <f>IF($C102="","",IF(OR($C102="CHUNG",COUNTIF(DM_Ma,$C102)&gt;0),"","MÃ LẠ"))</f>
        <v/>
      </c>
      <c r="N102" s="53">
        <f>IF($A102="","",IF(AND($A102&gt;=pTu,$A102&lt;=pDen),"","NGOÀI KỲ"))</f>
        <v/>
      </c>
      <c r="O102" s="53">
        <f>IF($J102="","",IF($J102&lt;=0,"≤0",""))</f>
        <v/>
      </c>
      <c r="P102" s="53">
        <f>IF(AND($D102="SXC (627)",$F102="Chung"),IF(OR($G102="Cố định",$G102="Biến đổi"),"","THIẾU TÍNH CHẤT"),"")</f>
        <v/>
      </c>
    </row>
    <row r="103" ht="15" customHeight="1" s="54">
      <c r="A103" s="71" t="n"/>
      <c r="B103" s="67" t="n"/>
      <c r="C103" s="67" t="n"/>
      <c r="D103" s="67" t="n"/>
      <c r="E103" s="79">
        <f>IFERROR(INDEX(MAP_TK,MATCH($D103,MAP_KM,0)),"")</f>
        <v/>
      </c>
      <c r="F103" s="67" t="n"/>
      <c r="G103" s="67" t="n"/>
      <c r="H103" s="67" t="n"/>
      <c r="I103" s="67" t="n"/>
      <c r="J103" s="75" t="n"/>
      <c r="K103" s="67" t="n"/>
      <c r="M103" s="53">
        <f>IF($C103="","",IF(OR($C103="CHUNG",COUNTIF(DM_Ma,$C103)&gt;0),"","MÃ LẠ"))</f>
        <v/>
      </c>
      <c r="N103" s="53">
        <f>IF($A103="","",IF(AND($A103&gt;=pTu,$A103&lt;=pDen),"","NGOÀI KỲ"))</f>
        <v/>
      </c>
      <c r="O103" s="53">
        <f>IF($J103="","",IF($J103&lt;=0,"≤0",""))</f>
        <v/>
      </c>
      <c r="P103" s="53">
        <f>IF(AND($D103="SXC (627)",$F103="Chung"),IF(OR($G103="Cố định",$G103="Biến đổi"),"","THIẾU TÍNH CHẤT"),"")</f>
        <v/>
      </c>
    </row>
    <row r="104" ht="15" customHeight="1" s="54">
      <c r="A104" s="71" t="n"/>
      <c r="B104" s="67" t="n"/>
      <c r="C104" s="67" t="n"/>
      <c r="D104" s="67" t="n"/>
      <c r="E104" s="79">
        <f>IFERROR(INDEX(MAP_TK,MATCH($D104,MAP_KM,0)),"")</f>
        <v/>
      </c>
      <c r="F104" s="67" t="n"/>
      <c r="G104" s="67" t="n"/>
      <c r="H104" s="67" t="n"/>
      <c r="I104" s="67" t="n"/>
      <c r="J104" s="75" t="n"/>
      <c r="K104" s="67" t="n"/>
      <c r="M104" s="53">
        <f>IF($C104="","",IF(OR($C104="CHUNG",COUNTIF(DM_Ma,$C104)&gt;0),"","MÃ LẠ"))</f>
        <v/>
      </c>
      <c r="N104" s="53">
        <f>IF($A104="","",IF(AND($A104&gt;=pTu,$A104&lt;=pDen),"","NGOÀI KỲ"))</f>
        <v/>
      </c>
      <c r="O104" s="53">
        <f>IF($J104="","",IF($J104&lt;=0,"≤0",""))</f>
        <v/>
      </c>
      <c r="P104" s="53">
        <f>IF(AND($D104="SXC (627)",$F104="Chung"),IF(OR($G104="Cố định",$G104="Biến đổi"),"","THIẾU TÍNH CHẤT"),"")</f>
        <v/>
      </c>
    </row>
    <row r="105" ht="15" customHeight="1" s="54">
      <c r="A105" s="71" t="n"/>
      <c r="B105" s="67" t="n"/>
      <c r="C105" s="67" t="n"/>
      <c r="D105" s="67" t="n"/>
      <c r="E105" s="79">
        <f>IFERROR(INDEX(MAP_TK,MATCH($D105,MAP_KM,0)),"")</f>
        <v/>
      </c>
      <c r="F105" s="67" t="n"/>
      <c r="G105" s="67" t="n"/>
      <c r="H105" s="67" t="n"/>
      <c r="I105" s="67" t="n"/>
      <c r="J105" s="75" t="n"/>
      <c r="K105" s="67" t="n"/>
      <c r="M105" s="53">
        <f>IF($C105="","",IF(OR($C105="CHUNG",COUNTIF(DM_Ma,$C105)&gt;0),"","MÃ LẠ"))</f>
        <v/>
      </c>
      <c r="N105" s="53">
        <f>IF($A105="","",IF(AND($A105&gt;=pTu,$A105&lt;=pDen),"","NGOÀI KỲ"))</f>
        <v/>
      </c>
      <c r="O105" s="53">
        <f>IF($J105="","",IF($J105&lt;=0,"≤0",""))</f>
        <v/>
      </c>
      <c r="P105" s="53">
        <f>IF(AND($D105="SXC (627)",$F105="Chung"),IF(OR($G105="Cố định",$G105="Biến đổi"),"","THIẾU TÍNH CHẤT"),"")</f>
        <v/>
      </c>
    </row>
    <row r="106" ht="15" customHeight="1" s="54">
      <c r="A106" s="71" t="n"/>
      <c r="B106" s="67" t="n"/>
      <c r="C106" s="67" t="n"/>
      <c r="D106" s="67" t="n"/>
      <c r="E106" s="79">
        <f>IFERROR(INDEX(MAP_TK,MATCH($D106,MAP_KM,0)),"")</f>
        <v/>
      </c>
      <c r="F106" s="67" t="n"/>
      <c r="G106" s="67" t="n"/>
      <c r="H106" s="67" t="n"/>
      <c r="I106" s="67" t="n"/>
      <c r="J106" s="75" t="n"/>
      <c r="K106" s="67" t="n"/>
      <c r="M106" s="53">
        <f>IF($C106="","",IF(OR($C106="CHUNG",COUNTIF(DM_Ma,$C106)&gt;0),"","MÃ LẠ"))</f>
        <v/>
      </c>
      <c r="N106" s="53">
        <f>IF($A106="","",IF(AND($A106&gt;=pTu,$A106&lt;=pDen),"","NGOÀI KỲ"))</f>
        <v/>
      </c>
      <c r="O106" s="53">
        <f>IF($J106="","",IF($J106&lt;=0,"≤0",""))</f>
        <v/>
      </c>
      <c r="P106" s="53">
        <f>IF(AND($D106="SXC (627)",$F106="Chung"),IF(OR($G106="Cố định",$G106="Biến đổi"),"","THIẾU TÍNH CHẤT"),"")</f>
        <v/>
      </c>
    </row>
    <row r="107" ht="15" customHeight="1" s="54">
      <c r="A107" s="71" t="n"/>
      <c r="B107" s="67" t="n"/>
      <c r="C107" s="67" t="n"/>
      <c r="D107" s="67" t="n"/>
      <c r="E107" s="79">
        <f>IFERROR(INDEX(MAP_TK,MATCH($D107,MAP_KM,0)),"")</f>
        <v/>
      </c>
      <c r="F107" s="67" t="n"/>
      <c r="G107" s="67" t="n"/>
      <c r="H107" s="67" t="n"/>
      <c r="I107" s="67" t="n"/>
      <c r="J107" s="75" t="n"/>
      <c r="K107" s="67" t="n"/>
      <c r="M107" s="53">
        <f>IF($C107="","",IF(OR($C107="CHUNG",COUNTIF(DM_Ma,$C107)&gt;0),"","MÃ LẠ"))</f>
        <v/>
      </c>
      <c r="N107" s="53">
        <f>IF($A107="","",IF(AND($A107&gt;=pTu,$A107&lt;=pDen),"","NGOÀI KỲ"))</f>
        <v/>
      </c>
      <c r="O107" s="53">
        <f>IF($J107="","",IF($J107&lt;=0,"≤0",""))</f>
        <v/>
      </c>
      <c r="P107" s="53">
        <f>IF(AND($D107="SXC (627)",$F107="Chung"),IF(OR($G107="Cố định",$G107="Biến đổi"),"","THIẾU TÍNH CHẤT"),"")</f>
        <v/>
      </c>
    </row>
    <row r="108" ht="15" customHeight="1" s="54">
      <c r="A108" s="71" t="n"/>
      <c r="B108" s="67" t="n"/>
      <c r="C108" s="67" t="n"/>
      <c r="D108" s="67" t="n"/>
      <c r="E108" s="79">
        <f>IFERROR(INDEX(MAP_TK,MATCH($D108,MAP_KM,0)),"")</f>
        <v/>
      </c>
      <c r="F108" s="67" t="n"/>
      <c r="G108" s="67" t="n"/>
      <c r="H108" s="67" t="n"/>
      <c r="I108" s="67" t="n"/>
      <c r="J108" s="75" t="n"/>
      <c r="K108" s="67" t="n"/>
      <c r="M108" s="53">
        <f>IF($C108="","",IF(OR($C108="CHUNG",COUNTIF(DM_Ma,$C108)&gt;0),"","MÃ LẠ"))</f>
        <v/>
      </c>
      <c r="N108" s="53">
        <f>IF($A108="","",IF(AND($A108&gt;=pTu,$A108&lt;=pDen),"","NGOÀI KỲ"))</f>
        <v/>
      </c>
      <c r="O108" s="53">
        <f>IF($J108="","",IF($J108&lt;=0,"≤0",""))</f>
        <v/>
      </c>
      <c r="P108" s="53">
        <f>IF(AND($D108="SXC (627)",$F108="Chung"),IF(OR($G108="Cố định",$G108="Biến đổi"),"","THIẾU TÍNH CHẤT"),"")</f>
        <v/>
      </c>
    </row>
    <row r="109" ht="15" customHeight="1" s="54">
      <c r="A109" s="71" t="n"/>
      <c r="B109" s="67" t="n"/>
      <c r="C109" s="67" t="n"/>
      <c r="D109" s="67" t="n"/>
      <c r="E109" s="79">
        <f>IFERROR(INDEX(MAP_TK,MATCH($D109,MAP_KM,0)),"")</f>
        <v/>
      </c>
      <c r="F109" s="67" t="n"/>
      <c r="G109" s="67" t="n"/>
      <c r="H109" s="67" t="n"/>
      <c r="I109" s="67" t="n"/>
      <c r="J109" s="75" t="n"/>
      <c r="K109" s="67" t="n"/>
      <c r="M109" s="53">
        <f>IF($C109="","",IF(OR($C109="CHUNG",COUNTIF(DM_Ma,$C109)&gt;0),"","MÃ LẠ"))</f>
        <v/>
      </c>
      <c r="N109" s="53">
        <f>IF($A109="","",IF(AND($A109&gt;=pTu,$A109&lt;=pDen),"","NGOÀI KỲ"))</f>
        <v/>
      </c>
      <c r="O109" s="53">
        <f>IF($J109="","",IF($J109&lt;=0,"≤0",""))</f>
        <v/>
      </c>
      <c r="P109" s="53">
        <f>IF(AND($D109="SXC (627)",$F109="Chung"),IF(OR($G109="Cố định",$G109="Biến đổi"),"","THIẾU TÍNH CHẤT"),"")</f>
        <v/>
      </c>
    </row>
    <row r="110" ht="15" customHeight="1" s="54">
      <c r="A110" s="71" t="n"/>
      <c r="B110" s="67" t="n"/>
      <c r="C110" s="67" t="n"/>
      <c r="D110" s="67" t="n"/>
      <c r="E110" s="79">
        <f>IFERROR(INDEX(MAP_TK,MATCH($D110,MAP_KM,0)),"")</f>
        <v/>
      </c>
      <c r="F110" s="67" t="n"/>
      <c r="G110" s="67" t="n"/>
      <c r="H110" s="67" t="n"/>
      <c r="I110" s="67" t="n"/>
      <c r="J110" s="75" t="n"/>
      <c r="K110" s="67" t="n"/>
      <c r="M110" s="53">
        <f>IF($C110="","",IF(OR($C110="CHUNG",COUNTIF(DM_Ma,$C110)&gt;0),"","MÃ LẠ"))</f>
        <v/>
      </c>
      <c r="N110" s="53">
        <f>IF($A110="","",IF(AND($A110&gt;=pTu,$A110&lt;=pDen),"","NGOÀI KỲ"))</f>
        <v/>
      </c>
      <c r="O110" s="53">
        <f>IF($J110="","",IF($J110&lt;=0,"≤0",""))</f>
        <v/>
      </c>
      <c r="P110" s="53">
        <f>IF(AND($D110="SXC (627)",$F110="Chung"),IF(OR($G110="Cố định",$G110="Biến đổi"),"","THIẾU TÍNH CHẤT"),"")</f>
        <v/>
      </c>
    </row>
    <row r="111" ht="15" customHeight="1" s="54">
      <c r="A111" s="71" t="n"/>
      <c r="B111" s="67" t="n"/>
      <c r="C111" s="67" t="n"/>
      <c r="D111" s="67" t="n"/>
      <c r="E111" s="79">
        <f>IFERROR(INDEX(MAP_TK,MATCH($D111,MAP_KM,0)),"")</f>
        <v/>
      </c>
      <c r="F111" s="67" t="n"/>
      <c r="G111" s="67" t="n"/>
      <c r="H111" s="67" t="n"/>
      <c r="I111" s="67" t="n"/>
      <c r="J111" s="75" t="n"/>
      <c r="K111" s="67" t="n"/>
      <c r="M111" s="53">
        <f>IF($C111="","",IF(OR($C111="CHUNG",COUNTIF(DM_Ma,$C111)&gt;0),"","MÃ LẠ"))</f>
        <v/>
      </c>
      <c r="N111" s="53">
        <f>IF($A111="","",IF(AND($A111&gt;=pTu,$A111&lt;=pDen),"","NGOÀI KỲ"))</f>
        <v/>
      </c>
      <c r="O111" s="53">
        <f>IF($J111="","",IF($J111&lt;=0,"≤0",""))</f>
        <v/>
      </c>
      <c r="P111" s="53">
        <f>IF(AND($D111="SXC (627)",$F111="Chung"),IF(OR($G111="Cố định",$G111="Biến đổi"),"","THIẾU TÍNH CHẤT"),"")</f>
        <v/>
      </c>
    </row>
    <row r="112" ht="15" customHeight="1" s="54">
      <c r="A112" s="71" t="n"/>
      <c r="B112" s="67" t="n"/>
      <c r="C112" s="67" t="n"/>
      <c r="D112" s="67" t="n"/>
      <c r="E112" s="79">
        <f>IFERROR(INDEX(MAP_TK,MATCH($D112,MAP_KM,0)),"")</f>
        <v/>
      </c>
      <c r="F112" s="67" t="n"/>
      <c r="G112" s="67" t="n"/>
      <c r="H112" s="67" t="n"/>
      <c r="I112" s="67" t="n"/>
      <c r="J112" s="75" t="n"/>
      <c r="K112" s="67" t="n"/>
      <c r="M112" s="53">
        <f>IF($C112="","",IF(OR($C112="CHUNG",COUNTIF(DM_Ma,$C112)&gt;0),"","MÃ LẠ"))</f>
        <v/>
      </c>
      <c r="N112" s="53">
        <f>IF($A112="","",IF(AND($A112&gt;=pTu,$A112&lt;=pDen),"","NGOÀI KỲ"))</f>
        <v/>
      </c>
      <c r="O112" s="53">
        <f>IF($J112="","",IF($J112&lt;=0,"≤0",""))</f>
        <v/>
      </c>
      <c r="P112" s="53">
        <f>IF(AND($D112="SXC (627)",$F112="Chung"),IF(OR($G112="Cố định",$G112="Biến đổi"),"","THIẾU TÍNH CHẤT"),"")</f>
        <v/>
      </c>
    </row>
    <row r="113" ht="15" customHeight="1" s="54">
      <c r="A113" s="71" t="n"/>
      <c r="B113" s="67" t="n"/>
      <c r="C113" s="67" t="n"/>
      <c r="D113" s="67" t="n"/>
      <c r="E113" s="79">
        <f>IFERROR(INDEX(MAP_TK,MATCH($D113,MAP_KM,0)),"")</f>
        <v/>
      </c>
      <c r="F113" s="67" t="n"/>
      <c r="G113" s="67" t="n"/>
      <c r="H113" s="67" t="n"/>
      <c r="I113" s="67" t="n"/>
      <c r="J113" s="75" t="n"/>
      <c r="K113" s="67" t="n"/>
      <c r="M113" s="53">
        <f>IF($C113="","",IF(OR($C113="CHUNG",COUNTIF(DM_Ma,$C113)&gt;0),"","MÃ LẠ"))</f>
        <v/>
      </c>
      <c r="N113" s="53">
        <f>IF($A113="","",IF(AND($A113&gt;=pTu,$A113&lt;=pDen),"","NGOÀI KỲ"))</f>
        <v/>
      </c>
      <c r="O113" s="53">
        <f>IF($J113="","",IF($J113&lt;=0,"≤0",""))</f>
        <v/>
      </c>
      <c r="P113" s="53">
        <f>IF(AND($D113="SXC (627)",$F113="Chung"),IF(OR($G113="Cố định",$G113="Biến đổi"),"","THIẾU TÍNH CHẤT"),"")</f>
        <v/>
      </c>
    </row>
    <row r="114" ht="15" customHeight="1" s="54">
      <c r="A114" s="71" t="n"/>
      <c r="B114" s="67" t="n"/>
      <c r="C114" s="67" t="n"/>
      <c r="D114" s="67" t="n"/>
      <c r="E114" s="79">
        <f>IFERROR(INDEX(MAP_TK,MATCH($D114,MAP_KM,0)),"")</f>
        <v/>
      </c>
      <c r="F114" s="67" t="n"/>
      <c r="G114" s="67" t="n"/>
      <c r="H114" s="67" t="n"/>
      <c r="I114" s="67" t="n"/>
      <c r="J114" s="75" t="n"/>
      <c r="K114" s="67" t="n"/>
      <c r="M114" s="53">
        <f>IF($C114="","",IF(OR($C114="CHUNG",COUNTIF(DM_Ma,$C114)&gt;0),"","MÃ LẠ"))</f>
        <v/>
      </c>
      <c r="N114" s="53">
        <f>IF($A114="","",IF(AND($A114&gt;=pTu,$A114&lt;=pDen),"","NGOÀI KỲ"))</f>
        <v/>
      </c>
      <c r="O114" s="53">
        <f>IF($J114="","",IF($J114&lt;=0,"≤0",""))</f>
        <v/>
      </c>
      <c r="P114" s="53">
        <f>IF(AND($D114="SXC (627)",$F114="Chung"),IF(OR($G114="Cố định",$G114="Biến đổi"),"","THIẾU TÍNH CHẤT"),"")</f>
        <v/>
      </c>
    </row>
    <row r="115" ht="15" customHeight="1" s="54">
      <c r="A115" s="71" t="n"/>
      <c r="B115" s="67" t="n"/>
      <c r="C115" s="67" t="n"/>
      <c r="D115" s="67" t="n"/>
      <c r="E115" s="79">
        <f>IFERROR(INDEX(MAP_TK,MATCH($D115,MAP_KM,0)),"")</f>
        <v/>
      </c>
      <c r="F115" s="67" t="n"/>
      <c r="G115" s="67" t="n"/>
      <c r="H115" s="67" t="n"/>
      <c r="I115" s="67" t="n"/>
      <c r="J115" s="75" t="n"/>
      <c r="K115" s="67" t="n"/>
      <c r="M115" s="53">
        <f>IF($C115="","",IF(OR($C115="CHUNG",COUNTIF(DM_Ma,$C115)&gt;0),"","MÃ LẠ"))</f>
        <v/>
      </c>
      <c r="N115" s="53">
        <f>IF($A115="","",IF(AND($A115&gt;=pTu,$A115&lt;=pDen),"","NGOÀI KỲ"))</f>
        <v/>
      </c>
      <c r="O115" s="53">
        <f>IF($J115="","",IF($J115&lt;=0,"≤0",""))</f>
        <v/>
      </c>
      <c r="P115" s="53">
        <f>IF(AND($D115="SXC (627)",$F115="Chung"),IF(OR($G115="Cố định",$G115="Biến đổi"),"","THIẾU TÍNH CHẤT"),"")</f>
        <v/>
      </c>
    </row>
    <row r="116" ht="15" customHeight="1" s="54">
      <c r="A116" s="71" t="n"/>
      <c r="B116" s="67" t="n"/>
      <c r="C116" s="67" t="n"/>
      <c r="D116" s="67" t="n"/>
      <c r="E116" s="79">
        <f>IFERROR(INDEX(MAP_TK,MATCH($D116,MAP_KM,0)),"")</f>
        <v/>
      </c>
      <c r="F116" s="67" t="n"/>
      <c r="G116" s="67" t="n"/>
      <c r="H116" s="67" t="n"/>
      <c r="I116" s="67" t="n"/>
      <c r="J116" s="75" t="n"/>
      <c r="K116" s="67" t="n"/>
      <c r="M116" s="53">
        <f>IF($C116="","",IF(OR($C116="CHUNG",COUNTIF(DM_Ma,$C116)&gt;0),"","MÃ LẠ"))</f>
        <v/>
      </c>
      <c r="N116" s="53">
        <f>IF($A116="","",IF(AND($A116&gt;=pTu,$A116&lt;=pDen),"","NGOÀI KỲ"))</f>
        <v/>
      </c>
      <c r="O116" s="53">
        <f>IF($J116="","",IF($J116&lt;=0,"≤0",""))</f>
        <v/>
      </c>
      <c r="P116" s="53">
        <f>IF(AND($D116="SXC (627)",$F116="Chung"),IF(OR($G116="Cố định",$G116="Biến đổi"),"","THIẾU TÍNH CHẤT"),"")</f>
        <v/>
      </c>
    </row>
    <row r="117" ht="15" customHeight="1" s="54">
      <c r="A117" s="71" t="n"/>
      <c r="B117" s="67" t="n"/>
      <c r="C117" s="67" t="n"/>
      <c r="D117" s="67" t="n"/>
      <c r="E117" s="79">
        <f>IFERROR(INDEX(MAP_TK,MATCH($D117,MAP_KM,0)),"")</f>
        <v/>
      </c>
      <c r="F117" s="67" t="n"/>
      <c r="G117" s="67" t="n"/>
      <c r="H117" s="67" t="n"/>
      <c r="I117" s="67" t="n"/>
      <c r="J117" s="75" t="n"/>
      <c r="K117" s="67" t="n"/>
      <c r="M117" s="53">
        <f>IF($C117="","",IF(OR($C117="CHUNG",COUNTIF(DM_Ma,$C117)&gt;0),"","MÃ LẠ"))</f>
        <v/>
      </c>
      <c r="N117" s="53">
        <f>IF($A117="","",IF(AND($A117&gt;=pTu,$A117&lt;=pDen),"","NGOÀI KỲ"))</f>
        <v/>
      </c>
      <c r="O117" s="53">
        <f>IF($J117="","",IF($J117&lt;=0,"≤0",""))</f>
        <v/>
      </c>
      <c r="P117" s="53">
        <f>IF(AND($D117="SXC (627)",$F117="Chung"),IF(OR($G117="Cố định",$G117="Biến đổi"),"","THIẾU TÍNH CHẤT"),"")</f>
        <v/>
      </c>
    </row>
    <row r="118" ht="15" customHeight="1" s="54">
      <c r="A118" s="71" t="n"/>
      <c r="B118" s="67" t="n"/>
      <c r="C118" s="67" t="n"/>
      <c r="D118" s="67" t="n"/>
      <c r="E118" s="79">
        <f>IFERROR(INDEX(MAP_TK,MATCH($D118,MAP_KM,0)),"")</f>
        <v/>
      </c>
      <c r="F118" s="67" t="n"/>
      <c r="G118" s="67" t="n"/>
      <c r="H118" s="67" t="n"/>
      <c r="I118" s="67" t="n"/>
      <c r="J118" s="75" t="n"/>
      <c r="K118" s="67" t="n"/>
      <c r="M118" s="53">
        <f>IF($C118="","",IF(OR($C118="CHUNG",COUNTIF(DM_Ma,$C118)&gt;0),"","MÃ LẠ"))</f>
        <v/>
      </c>
      <c r="N118" s="53">
        <f>IF($A118="","",IF(AND($A118&gt;=pTu,$A118&lt;=pDen),"","NGOÀI KỲ"))</f>
        <v/>
      </c>
      <c r="O118" s="53">
        <f>IF($J118="","",IF($J118&lt;=0,"≤0",""))</f>
        <v/>
      </c>
      <c r="P118" s="53">
        <f>IF(AND($D118="SXC (627)",$F118="Chung"),IF(OR($G118="Cố định",$G118="Biến đổi"),"","THIẾU TÍNH CHẤT"),"")</f>
        <v/>
      </c>
    </row>
    <row r="119" ht="15" customHeight="1" s="54">
      <c r="A119" s="71" t="n"/>
      <c r="B119" s="67" t="n"/>
      <c r="C119" s="67" t="n"/>
      <c r="D119" s="67" t="n"/>
      <c r="E119" s="79">
        <f>IFERROR(INDEX(MAP_TK,MATCH($D119,MAP_KM,0)),"")</f>
        <v/>
      </c>
      <c r="F119" s="67" t="n"/>
      <c r="G119" s="67" t="n"/>
      <c r="H119" s="67" t="n"/>
      <c r="I119" s="67" t="n"/>
      <c r="J119" s="75" t="n"/>
      <c r="K119" s="67" t="n"/>
      <c r="M119" s="53">
        <f>IF($C119="","",IF(OR($C119="CHUNG",COUNTIF(DM_Ma,$C119)&gt;0),"","MÃ LẠ"))</f>
        <v/>
      </c>
      <c r="N119" s="53">
        <f>IF($A119="","",IF(AND($A119&gt;=pTu,$A119&lt;=pDen),"","NGOÀI KỲ"))</f>
        <v/>
      </c>
      <c r="O119" s="53">
        <f>IF($J119="","",IF($J119&lt;=0,"≤0",""))</f>
        <v/>
      </c>
      <c r="P119" s="53">
        <f>IF(AND($D119="SXC (627)",$F119="Chung"),IF(OR($G119="Cố định",$G119="Biến đổi"),"","THIẾU TÍNH CHẤT"),"")</f>
        <v/>
      </c>
    </row>
    <row r="120" ht="15" customHeight="1" s="54">
      <c r="A120" s="71" t="n"/>
      <c r="B120" s="67" t="n"/>
      <c r="C120" s="67" t="n"/>
      <c r="D120" s="67" t="n"/>
      <c r="E120" s="79">
        <f>IFERROR(INDEX(MAP_TK,MATCH($D120,MAP_KM,0)),"")</f>
        <v/>
      </c>
      <c r="F120" s="67" t="n"/>
      <c r="G120" s="67" t="n"/>
      <c r="H120" s="67" t="n"/>
      <c r="I120" s="67" t="n"/>
      <c r="J120" s="75" t="n"/>
      <c r="K120" s="67" t="n"/>
      <c r="M120" s="53">
        <f>IF($C120="","",IF(OR($C120="CHUNG",COUNTIF(DM_Ma,$C120)&gt;0),"","MÃ LẠ"))</f>
        <v/>
      </c>
      <c r="N120" s="53">
        <f>IF($A120="","",IF(AND($A120&gt;=pTu,$A120&lt;=pDen),"","NGOÀI KỲ"))</f>
        <v/>
      </c>
      <c r="O120" s="53">
        <f>IF($J120="","",IF($J120&lt;=0,"≤0",""))</f>
        <v/>
      </c>
      <c r="P120" s="53">
        <f>IF(AND($D120="SXC (627)",$F120="Chung"),IF(OR($G120="Cố định",$G120="Biến đổi"),"","THIẾU TÍNH CHẤT"),"")</f>
        <v/>
      </c>
    </row>
    <row r="121" ht="15" customHeight="1" s="54">
      <c r="A121" s="71" t="n"/>
      <c r="B121" s="67" t="n"/>
      <c r="C121" s="67" t="n"/>
      <c r="D121" s="67" t="n"/>
      <c r="E121" s="79">
        <f>IFERROR(INDEX(MAP_TK,MATCH($D121,MAP_KM,0)),"")</f>
        <v/>
      </c>
      <c r="F121" s="67" t="n"/>
      <c r="G121" s="67" t="n"/>
      <c r="H121" s="67" t="n"/>
      <c r="I121" s="67" t="n"/>
      <c r="J121" s="75" t="n"/>
      <c r="K121" s="67" t="n"/>
      <c r="M121" s="53">
        <f>IF($C121="","",IF(OR($C121="CHUNG",COUNTIF(DM_Ma,$C121)&gt;0),"","MÃ LẠ"))</f>
        <v/>
      </c>
      <c r="N121" s="53">
        <f>IF($A121="","",IF(AND($A121&gt;=pTu,$A121&lt;=pDen),"","NGOÀI KỲ"))</f>
        <v/>
      </c>
      <c r="O121" s="53">
        <f>IF($J121="","",IF($J121&lt;=0,"≤0",""))</f>
        <v/>
      </c>
      <c r="P121" s="53">
        <f>IF(AND($D121="SXC (627)",$F121="Chung"),IF(OR($G121="Cố định",$G121="Biến đổi"),"","THIẾU TÍNH CHẤT"),"")</f>
        <v/>
      </c>
    </row>
    <row r="122" ht="15" customHeight="1" s="54">
      <c r="A122" s="71" t="n"/>
      <c r="B122" s="67" t="n"/>
      <c r="C122" s="67" t="n"/>
      <c r="D122" s="67" t="n"/>
      <c r="E122" s="79">
        <f>IFERROR(INDEX(MAP_TK,MATCH($D122,MAP_KM,0)),"")</f>
        <v/>
      </c>
      <c r="F122" s="67" t="n"/>
      <c r="G122" s="67" t="n"/>
      <c r="H122" s="67" t="n"/>
      <c r="I122" s="67" t="n"/>
      <c r="J122" s="75" t="n"/>
      <c r="K122" s="67" t="n"/>
      <c r="M122" s="53">
        <f>IF($C122="","",IF(OR($C122="CHUNG",COUNTIF(DM_Ma,$C122)&gt;0),"","MÃ LẠ"))</f>
        <v/>
      </c>
      <c r="N122" s="53">
        <f>IF($A122="","",IF(AND($A122&gt;=pTu,$A122&lt;=pDen),"","NGOÀI KỲ"))</f>
        <v/>
      </c>
      <c r="O122" s="53">
        <f>IF($J122="","",IF($J122&lt;=0,"≤0",""))</f>
        <v/>
      </c>
      <c r="P122" s="53">
        <f>IF(AND($D122="SXC (627)",$F122="Chung"),IF(OR($G122="Cố định",$G122="Biến đổi"),"","THIẾU TÍNH CHẤT"),"")</f>
        <v/>
      </c>
    </row>
    <row r="123" ht="15" customHeight="1" s="54">
      <c r="A123" s="71" t="n"/>
      <c r="B123" s="67" t="n"/>
      <c r="C123" s="67" t="n"/>
      <c r="D123" s="67" t="n"/>
      <c r="E123" s="79">
        <f>IFERROR(INDEX(MAP_TK,MATCH($D123,MAP_KM,0)),"")</f>
        <v/>
      </c>
      <c r="F123" s="67" t="n"/>
      <c r="G123" s="67" t="n"/>
      <c r="H123" s="67" t="n"/>
      <c r="I123" s="67" t="n"/>
      <c r="J123" s="75" t="n"/>
      <c r="K123" s="67" t="n"/>
      <c r="M123" s="53">
        <f>IF($C123="","",IF(OR($C123="CHUNG",COUNTIF(DM_Ma,$C123)&gt;0),"","MÃ LẠ"))</f>
        <v/>
      </c>
      <c r="N123" s="53">
        <f>IF($A123="","",IF(AND($A123&gt;=pTu,$A123&lt;=pDen),"","NGOÀI KỲ"))</f>
        <v/>
      </c>
      <c r="O123" s="53">
        <f>IF($J123="","",IF($J123&lt;=0,"≤0",""))</f>
        <v/>
      </c>
      <c r="P123" s="53">
        <f>IF(AND($D123="SXC (627)",$F123="Chung"),IF(OR($G123="Cố định",$G123="Biến đổi"),"","THIẾU TÍNH CHẤT"),"")</f>
        <v/>
      </c>
    </row>
    <row r="124" ht="15" customHeight="1" s="54">
      <c r="A124" s="71" t="n"/>
      <c r="B124" s="67" t="n"/>
      <c r="C124" s="67" t="n"/>
      <c r="D124" s="67" t="n"/>
      <c r="E124" s="79">
        <f>IFERROR(INDEX(MAP_TK,MATCH($D124,MAP_KM,0)),"")</f>
        <v/>
      </c>
      <c r="F124" s="67" t="n"/>
      <c r="G124" s="67" t="n"/>
      <c r="H124" s="67" t="n"/>
      <c r="I124" s="67" t="n"/>
      <c r="J124" s="75" t="n"/>
      <c r="K124" s="67" t="n"/>
      <c r="M124" s="53">
        <f>IF($C124="","",IF(OR($C124="CHUNG",COUNTIF(DM_Ma,$C124)&gt;0),"","MÃ LẠ"))</f>
        <v/>
      </c>
      <c r="N124" s="53">
        <f>IF($A124="","",IF(AND($A124&gt;=pTu,$A124&lt;=pDen),"","NGOÀI KỲ"))</f>
        <v/>
      </c>
      <c r="O124" s="53">
        <f>IF($J124="","",IF($J124&lt;=0,"≤0",""))</f>
        <v/>
      </c>
      <c r="P124" s="53">
        <f>IF(AND($D124="SXC (627)",$F124="Chung"),IF(OR($G124="Cố định",$G124="Biến đổi"),"","THIẾU TÍNH CHẤT"),"")</f>
        <v/>
      </c>
    </row>
    <row r="125" ht="15" customHeight="1" s="54">
      <c r="A125" s="71" t="n"/>
      <c r="B125" s="67" t="n"/>
      <c r="C125" s="67" t="n"/>
      <c r="D125" s="67" t="n"/>
      <c r="E125" s="79">
        <f>IFERROR(INDEX(MAP_TK,MATCH($D125,MAP_KM,0)),"")</f>
        <v/>
      </c>
      <c r="F125" s="67" t="n"/>
      <c r="G125" s="67" t="n"/>
      <c r="H125" s="67" t="n"/>
      <c r="I125" s="67" t="n"/>
      <c r="J125" s="75" t="n"/>
      <c r="K125" s="67" t="n"/>
      <c r="M125" s="53">
        <f>IF($C125="","",IF(OR($C125="CHUNG",COUNTIF(DM_Ma,$C125)&gt;0),"","MÃ LẠ"))</f>
        <v/>
      </c>
      <c r="N125" s="53">
        <f>IF($A125="","",IF(AND($A125&gt;=pTu,$A125&lt;=pDen),"","NGOÀI KỲ"))</f>
        <v/>
      </c>
      <c r="O125" s="53">
        <f>IF($J125="","",IF($J125&lt;=0,"≤0",""))</f>
        <v/>
      </c>
      <c r="P125" s="53">
        <f>IF(AND($D125="SXC (627)",$F125="Chung"),IF(OR($G125="Cố định",$G125="Biến đổi"),"","THIẾU TÍNH CHẤT"),"")</f>
        <v/>
      </c>
    </row>
    <row r="126" ht="15" customHeight="1" s="54">
      <c r="A126" s="71" t="n"/>
      <c r="B126" s="67" t="n"/>
      <c r="C126" s="67" t="n"/>
      <c r="D126" s="67" t="n"/>
      <c r="E126" s="79">
        <f>IFERROR(INDEX(MAP_TK,MATCH($D126,MAP_KM,0)),"")</f>
        <v/>
      </c>
      <c r="F126" s="67" t="n"/>
      <c r="G126" s="67" t="n"/>
      <c r="H126" s="67" t="n"/>
      <c r="I126" s="67" t="n"/>
      <c r="J126" s="75" t="n"/>
      <c r="K126" s="67" t="n"/>
      <c r="M126" s="53">
        <f>IF($C126="","",IF(OR($C126="CHUNG",COUNTIF(DM_Ma,$C126)&gt;0),"","MÃ LẠ"))</f>
        <v/>
      </c>
      <c r="N126" s="53">
        <f>IF($A126="","",IF(AND($A126&gt;=pTu,$A126&lt;=pDen),"","NGOÀI KỲ"))</f>
        <v/>
      </c>
      <c r="O126" s="53">
        <f>IF($J126="","",IF($J126&lt;=0,"≤0",""))</f>
        <v/>
      </c>
      <c r="P126" s="53">
        <f>IF(AND($D126="SXC (627)",$F126="Chung"),IF(OR($G126="Cố định",$G126="Biến đổi"),"","THIẾU TÍNH CHẤT"),"")</f>
        <v/>
      </c>
    </row>
    <row r="127" ht="15" customHeight="1" s="54">
      <c r="A127" s="71" t="n"/>
      <c r="B127" s="67" t="n"/>
      <c r="C127" s="67" t="n"/>
      <c r="D127" s="67" t="n"/>
      <c r="E127" s="79">
        <f>IFERROR(INDEX(MAP_TK,MATCH($D127,MAP_KM,0)),"")</f>
        <v/>
      </c>
      <c r="F127" s="67" t="n"/>
      <c r="G127" s="67" t="n"/>
      <c r="H127" s="67" t="n"/>
      <c r="I127" s="67" t="n"/>
      <c r="J127" s="75" t="n"/>
      <c r="K127" s="67" t="n"/>
      <c r="M127" s="53">
        <f>IF($C127="","",IF(OR($C127="CHUNG",COUNTIF(DM_Ma,$C127)&gt;0),"","MÃ LẠ"))</f>
        <v/>
      </c>
      <c r="N127" s="53">
        <f>IF($A127="","",IF(AND($A127&gt;=pTu,$A127&lt;=pDen),"","NGOÀI KỲ"))</f>
        <v/>
      </c>
      <c r="O127" s="53">
        <f>IF($J127="","",IF($J127&lt;=0,"≤0",""))</f>
        <v/>
      </c>
      <c r="P127" s="53">
        <f>IF(AND($D127="SXC (627)",$F127="Chung"),IF(OR($G127="Cố định",$G127="Biến đổi"),"","THIẾU TÍNH CHẤT"),"")</f>
        <v/>
      </c>
    </row>
    <row r="128" ht="15" customHeight="1" s="54">
      <c r="A128" s="71" t="n"/>
      <c r="B128" s="67" t="n"/>
      <c r="C128" s="67" t="n"/>
      <c r="D128" s="67" t="n"/>
      <c r="E128" s="79">
        <f>IFERROR(INDEX(MAP_TK,MATCH($D128,MAP_KM,0)),"")</f>
        <v/>
      </c>
      <c r="F128" s="67" t="n"/>
      <c r="G128" s="67" t="n"/>
      <c r="H128" s="67" t="n"/>
      <c r="I128" s="67" t="n"/>
      <c r="J128" s="75" t="n"/>
      <c r="K128" s="67" t="n"/>
      <c r="M128" s="53">
        <f>IF($C128="","",IF(OR($C128="CHUNG",COUNTIF(DM_Ma,$C128)&gt;0),"","MÃ LẠ"))</f>
        <v/>
      </c>
      <c r="N128" s="53">
        <f>IF($A128="","",IF(AND($A128&gt;=pTu,$A128&lt;=pDen),"","NGOÀI KỲ"))</f>
        <v/>
      </c>
      <c r="O128" s="53">
        <f>IF($J128="","",IF($J128&lt;=0,"≤0",""))</f>
        <v/>
      </c>
      <c r="P128" s="53">
        <f>IF(AND($D128="SXC (627)",$F128="Chung"),IF(OR($G128="Cố định",$G128="Biến đổi"),"","THIẾU TÍNH CHẤT"),"")</f>
        <v/>
      </c>
    </row>
    <row r="129" ht="15" customHeight="1" s="54">
      <c r="A129" s="71" t="n"/>
      <c r="B129" s="67" t="n"/>
      <c r="C129" s="67" t="n"/>
      <c r="D129" s="67" t="n"/>
      <c r="E129" s="79">
        <f>IFERROR(INDEX(MAP_TK,MATCH($D129,MAP_KM,0)),"")</f>
        <v/>
      </c>
      <c r="F129" s="67" t="n"/>
      <c r="G129" s="67" t="n"/>
      <c r="H129" s="67" t="n"/>
      <c r="I129" s="67" t="n"/>
      <c r="J129" s="75" t="n"/>
      <c r="K129" s="67" t="n"/>
      <c r="M129" s="53">
        <f>IF($C129="","",IF(OR($C129="CHUNG",COUNTIF(DM_Ma,$C129)&gt;0),"","MÃ LẠ"))</f>
        <v/>
      </c>
      <c r="N129" s="53">
        <f>IF($A129="","",IF(AND($A129&gt;=pTu,$A129&lt;=pDen),"","NGOÀI KỲ"))</f>
        <v/>
      </c>
      <c r="O129" s="53">
        <f>IF($J129="","",IF($J129&lt;=0,"≤0",""))</f>
        <v/>
      </c>
      <c r="P129" s="53">
        <f>IF(AND($D129="SXC (627)",$F129="Chung"),IF(OR($G129="Cố định",$G129="Biến đổi"),"","THIẾU TÍNH CHẤT"),"")</f>
        <v/>
      </c>
    </row>
    <row r="130" ht="15" customHeight="1" s="54">
      <c r="A130" s="71" t="n"/>
      <c r="B130" s="67" t="n"/>
      <c r="C130" s="67" t="n"/>
      <c r="D130" s="67" t="n"/>
      <c r="E130" s="79">
        <f>IFERROR(INDEX(MAP_TK,MATCH($D130,MAP_KM,0)),"")</f>
        <v/>
      </c>
      <c r="F130" s="67" t="n"/>
      <c r="G130" s="67" t="n"/>
      <c r="H130" s="67" t="n"/>
      <c r="I130" s="67" t="n"/>
      <c r="J130" s="75" t="n"/>
      <c r="K130" s="67" t="n"/>
      <c r="M130" s="53">
        <f>IF($C130="","",IF(OR($C130="CHUNG",COUNTIF(DM_Ma,$C130)&gt;0),"","MÃ LẠ"))</f>
        <v/>
      </c>
      <c r="N130" s="53">
        <f>IF($A130="","",IF(AND($A130&gt;=pTu,$A130&lt;=pDen),"","NGOÀI KỲ"))</f>
        <v/>
      </c>
      <c r="O130" s="53">
        <f>IF($J130="","",IF($J130&lt;=0,"≤0",""))</f>
        <v/>
      </c>
      <c r="P130" s="53">
        <f>IF(AND($D130="SXC (627)",$F130="Chung"),IF(OR($G130="Cố định",$G130="Biến đổi"),"","THIẾU TÍNH CHẤT"),"")</f>
        <v/>
      </c>
    </row>
    <row r="131" ht="15" customHeight="1" s="54">
      <c r="A131" s="71" t="n"/>
      <c r="B131" s="67" t="n"/>
      <c r="C131" s="67" t="n"/>
      <c r="D131" s="67" t="n"/>
      <c r="E131" s="79">
        <f>IFERROR(INDEX(MAP_TK,MATCH($D131,MAP_KM,0)),"")</f>
        <v/>
      </c>
      <c r="F131" s="67" t="n"/>
      <c r="G131" s="67" t="n"/>
      <c r="H131" s="67" t="n"/>
      <c r="I131" s="67" t="n"/>
      <c r="J131" s="75" t="n"/>
      <c r="K131" s="67" t="n"/>
      <c r="M131" s="53">
        <f>IF($C131="","",IF(OR($C131="CHUNG",COUNTIF(DM_Ma,$C131)&gt;0),"","MÃ LẠ"))</f>
        <v/>
      </c>
      <c r="N131" s="53">
        <f>IF($A131="","",IF(AND($A131&gt;=pTu,$A131&lt;=pDen),"","NGOÀI KỲ"))</f>
        <v/>
      </c>
      <c r="O131" s="53">
        <f>IF($J131="","",IF($J131&lt;=0,"≤0",""))</f>
        <v/>
      </c>
      <c r="P131" s="53">
        <f>IF(AND($D131="SXC (627)",$F131="Chung"),IF(OR($G131="Cố định",$G131="Biến đổi"),"","THIẾU TÍNH CHẤT"),"")</f>
        <v/>
      </c>
    </row>
    <row r="132" ht="15" customHeight="1" s="54">
      <c r="A132" s="71" t="n"/>
      <c r="B132" s="67" t="n"/>
      <c r="C132" s="67" t="n"/>
      <c r="D132" s="67" t="n"/>
      <c r="E132" s="79">
        <f>IFERROR(INDEX(MAP_TK,MATCH($D132,MAP_KM,0)),"")</f>
        <v/>
      </c>
      <c r="F132" s="67" t="n"/>
      <c r="G132" s="67" t="n"/>
      <c r="H132" s="67" t="n"/>
      <c r="I132" s="67" t="n"/>
      <c r="J132" s="75" t="n"/>
      <c r="K132" s="67" t="n"/>
      <c r="M132" s="53">
        <f>IF($C132="","",IF(OR($C132="CHUNG",COUNTIF(DM_Ma,$C132)&gt;0),"","MÃ LẠ"))</f>
        <v/>
      </c>
      <c r="N132" s="53">
        <f>IF($A132="","",IF(AND($A132&gt;=pTu,$A132&lt;=pDen),"","NGOÀI KỲ"))</f>
        <v/>
      </c>
      <c r="O132" s="53">
        <f>IF($J132="","",IF($J132&lt;=0,"≤0",""))</f>
        <v/>
      </c>
      <c r="P132" s="53">
        <f>IF(AND($D132="SXC (627)",$F132="Chung"),IF(OR($G132="Cố định",$G132="Biến đổi"),"","THIẾU TÍNH CHẤT"),"")</f>
        <v/>
      </c>
    </row>
    <row r="133" ht="15" customHeight="1" s="54">
      <c r="A133" s="71" t="n"/>
      <c r="B133" s="67" t="n"/>
      <c r="C133" s="67" t="n"/>
      <c r="D133" s="67" t="n"/>
      <c r="E133" s="79">
        <f>IFERROR(INDEX(MAP_TK,MATCH($D133,MAP_KM,0)),"")</f>
        <v/>
      </c>
      <c r="F133" s="67" t="n"/>
      <c r="G133" s="67" t="n"/>
      <c r="H133" s="67" t="n"/>
      <c r="I133" s="67" t="n"/>
      <c r="J133" s="75" t="n"/>
      <c r="K133" s="67" t="n"/>
      <c r="M133" s="53">
        <f>IF($C133="","",IF(OR($C133="CHUNG",COUNTIF(DM_Ma,$C133)&gt;0),"","MÃ LẠ"))</f>
        <v/>
      </c>
      <c r="N133" s="53">
        <f>IF($A133="","",IF(AND($A133&gt;=pTu,$A133&lt;=pDen),"","NGOÀI KỲ"))</f>
        <v/>
      </c>
      <c r="O133" s="53">
        <f>IF($J133="","",IF($J133&lt;=0,"≤0",""))</f>
        <v/>
      </c>
      <c r="P133" s="53">
        <f>IF(AND($D133="SXC (627)",$F133="Chung"),IF(OR($G133="Cố định",$G133="Biến đổi"),"","THIẾU TÍNH CHẤT"),"")</f>
        <v/>
      </c>
    </row>
    <row r="134" ht="15" customHeight="1" s="54">
      <c r="A134" s="71" t="n"/>
      <c r="B134" s="67" t="n"/>
      <c r="C134" s="67" t="n"/>
      <c r="D134" s="67" t="n"/>
      <c r="E134" s="79">
        <f>IFERROR(INDEX(MAP_TK,MATCH($D134,MAP_KM,0)),"")</f>
        <v/>
      </c>
      <c r="F134" s="67" t="n"/>
      <c r="G134" s="67" t="n"/>
      <c r="H134" s="67" t="n"/>
      <c r="I134" s="67" t="n"/>
      <c r="J134" s="75" t="n"/>
      <c r="K134" s="67" t="n"/>
      <c r="M134" s="53">
        <f>IF($C134="","",IF(OR($C134="CHUNG",COUNTIF(DM_Ma,$C134)&gt;0),"","MÃ LẠ"))</f>
        <v/>
      </c>
      <c r="N134" s="53">
        <f>IF($A134="","",IF(AND($A134&gt;=pTu,$A134&lt;=pDen),"","NGOÀI KỲ"))</f>
        <v/>
      </c>
      <c r="O134" s="53">
        <f>IF($J134="","",IF($J134&lt;=0,"≤0",""))</f>
        <v/>
      </c>
      <c r="P134" s="53">
        <f>IF(AND($D134="SXC (627)",$F134="Chung"),IF(OR($G134="Cố định",$G134="Biến đổi"),"","THIẾU TÍNH CHẤT"),"")</f>
        <v/>
      </c>
    </row>
    <row r="135" ht="15" customHeight="1" s="54">
      <c r="A135" s="71" t="n"/>
      <c r="B135" s="67" t="n"/>
      <c r="C135" s="67" t="n"/>
      <c r="D135" s="67" t="n"/>
      <c r="E135" s="79">
        <f>IFERROR(INDEX(MAP_TK,MATCH($D135,MAP_KM,0)),"")</f>
        <v/>
      </c>
      <c r="F135" s="67" t="n"/>
      <c r="G135" s="67" t="n"/>
      <c r="H135" s="67" t="n"/>
      <c r="I135" s="67" t="n"/>
      <c r="J135" s="75" t="n"/>
      <c r="K135" s="67" t="n"/>
      <c r="M135" s="53">
        <f>IF($C135="","",IF(OR($C135="CHUNG",COUNTIF(DM_Ma,$C135)&gt;0),"","MÃ LẠ"))</f>
        <v/>
      </c>
      <c r="N135" s="53">
        <f>IF($A135="","",IF(AND($A135&gt;=pTu,$A135&lt;=pDen),"","NGOÀI KỲ"))</f>
        <v/>
      </c>
      <c r="O135" s="53">
        <f>IF($J135="","",IF($J135&lt;=0,"≤0",""))</f>
        <v/>
      </c>
      <c r="P135" s="53">
        <f>IF(AND($D135="SXC (627)",$F135="Chung"),IF(OR($G135="Cố định",$G135="Biến đổi"),"","THIẾU TÍNH CHẤT"),"")</f>
        <v/>
      </c>
    </row>
    <row r="136" ht="15" customHeight="1" s="54">
      <c r="A136" s="71" t="n"/>
      <c r="B136" s="67" t="n"/>
      <c r="C136" s="67" t="n"/>
      <c r="D136" s="67" t="n"/>
      <c r="E136" s="79">
        <f>IFERROR(INDEX(MAP_TK,MATCH($D136,MAP_KM,0)),"")</f>
        <v/>
      </c>
      <c r="F136" s="67" t="n"/>
      <c r="G136" s="67" t="n"/>
      <c r="H136" s="67" t="n"/>
      <c r="I136" s="67" t="n"/>
      <c r="J136" s="75" t="n"/>
      <c r="K136" s="67" t="n"/>
      <c r="M136" s="53">
        <f>IF($C136="","",IF(OR($C136="CHUNG",COUNTIF(DM_Ma,$C136)&gt;0),"","MÃ LẠ"))</f>
        <v/>
      </c>
      <c r="N136" s="53">
        <f>IF($A136="","",IF(AND($A136&gt;=pTu,$A136&lt;=pDen),"","NGOÀI KỲ"))</f>
        <v/>
      </c>
      <c r="O136" s="53">
        <f>IF($J136="","",IF($J136&lt;=0,"≤0",""))</f>
        <v/>
      </c>
      <c r="P136" s="53">
        <f>IF(AND($D136="SXC (627)",$F136="Chung"),IF(OR($G136="Cố định",$G136="Biến đổi"),"","THIẾU TÍNH CHẤT"),"")</f>
        <v/>
      </c>
    </row>
    <row r="137" ht="15" customHeight="1" s="54">
      <c r="A137" s="71" t="n"/>
      <c r="B137" s="67" t="n"/>
      <c r="C137" s="67" t="n"/>
      <c r="D137" s="67" t="n"/>
      <c r="E137" s="79">
        <f>IFERROR(INDEX(MAP_TK,MATCH($D137,MAP_KM,0)),"")</f>
        <v/>
      </c>
      <c r="F137" s="67" t="n"/>
      <c r="G137" s="67" t="n"/>
      <c r="H137" s="67" t="n"/>
      <c r="I137" s="67" t="n"/>
      <c r="J137" s="75" t="n"/>
      <c r="K137" s="67" t="n"/>
      <c r="M137" s="53">
        <f>IF($C137="","",IF(OR($C137="CHUNG",COUNTIF(DM_Ma,$C137)&gt;0),"","MÃ LẠ"))</f>
        <v/>
      </c>
      <c r="N137" s="53">
        <f>IF($A137="","",IF(AND($A137&gt;=pTu,$A137&lt;=pDen),"","NGOÀI KỲ"))</f>
        <v/>
      </c>
      <c r="O137" s="53">
        <f>IF($J137="","",IF($J137&lt;=0,"≤0",""))</f>
        <v/>
      </c>
      <c r="P137" s="53">
        <f>IF(AND($D137="SXC (627)",$F137="Chung"),IF(OR($G137="Cố định",$G137="Biến đổi"),"","THIẾU TÍNH CHẤT"),"")</f>
        <v/>
      </c>
    </row>
    <row r="138" ht="15" customHeight="1" s="54">
      <c r="A138" s="71" t="n"/>
      <c r="B138" s="67" t="n"/>
      <c r="C138" s="67" t="n"/>
      <c r="D138" s="67" t="n"/>
      <c r="E138" s="79">
        <f>IFERROR(INDEX(MAP_TK,MATCH($D138,MAP_KM,0)),"")</f>
        <v/>
      </c>
      <c r="F138" s="67" t="n"/>
      <c r="G138" s="67" t="n"/>
      <c r="H138" s="67" t="n"/>
      <c r="I138" s="67" t="n"/>
      <c r="J138" s="75" t="n"/>
      <c r="K138" s="67" t="n"/>
      <c r="M138" s="53">
        <f>IF($C138="","",IF(OR($C138="CHUNG",COUNTIF(DM_Ma,$C138)&gt;0),"","MÃ LẠ"))</f>
        <v/>
      </c>
      <c r="N138" s="53">
        <f>IF($A138="","",IF(AND($A138&gt;=pTu,$A138&lt;=pDen),"","NGOÀI KỲ"))</f>
        <v/>
      </c>
      <c r="O138" s="53">
        <f>IF($J138="","",IF($J138&lt;=0,"≤0",""))</f>
        <v/>
      </c>
      <c r="P138" s="53">
        <f>IF(AND($D138="SXC (627)",$F138="Chung"),IF(OR($G138="Cố định",$G138="Biến đổi"),"","THIẾU TÍNH CHẤT"),"")</f>
        <v/>
      </c>
    </row>
    <row r="139" ht="15" customHeight="1" s="54">
      <c r="A139" s="71" t="n"/>
      <c r="B139" s="67" t="n"/>
      <c r="C139" s="67" t="n"/>
      <c r="D139" s="67" t="n"/>
      <c r="E139" s="79">
        <f>IFERROR(INDEX(MAP_TK,MATCH($D139,MAP_KM,0)),"")</f>
        <v/>
      </c>
      <c r="F139" s="67" t="n"/>
      <c r="G139" s="67" t="n"/>
      <c r="H139" s="67" t="n"/>
      <c r="I139" s="67" t="n"/>
      <c r="J139" s="75" t="n"/>
      <c r="K139" s="67" t="n"/>
      <c r="M139" s="53">
        <f>IF($C139="","",IF(OR($C139="CHUNG",COUNTIF(DM_Ma,$C139)&gt;0),"","MÃ LẠ"))</f>
        <v/>
      </c>
      <c r="N139" s="53">
        <f>IF($A139="","",IF(AND($A139&gt;=pTu,$A139&lt;=pDen),"","NGOÀI KỲ"))</f>
        <v/>
      </c>
      <c r="O139" s="53">
        <f>IF($J139="","",IF($J139&lt;=0,"≤0",""))</f>
        <v/>
      </c>
      <c r="P139" s="53">
        <f>IF(AND($D139="SXC (627)",$F139="Chung"),IF(OR($G139="Cố định",$G139="Biến đổi"),"","THIẾU TÍNH CHẤT"),"")</f>
        <v/>
      </c>
    </row>
    <row r="140" ht="15" customHeight="1" s="54">
      <c r="A140" s="71" t="n"/>
      <c r="B140" s="67" t="n"/>
      <c r="C140" s="67" t="n"/>
      <c r="D140" s="67" t="n"/>
      <c r="E140" s="79">
        <f>IFERROR(INDEX(MAP_TK,MATCH($D140,MAP_KM,0)),"")</f>
        <v/>
      </c>
      <c r="F140" s="67" t="n"/>
      <c r="G140" s="67" t="n"/>
      <c r="H140" s="67" t="n"/>
      <c r="I140" s="67" t="n"/>
      <c r="J140" s="75" t="n"/>
      <c r="K140" s="67" t="n"/>
      <c r="M140" s="53">
        <f>IF($C140="","",IF(OR($C140="CHUNG",COUNTIF(DM_Ma,$C140)&gt;0),"","MÃ LẠ"))</f>
        <v/>
      </c>
      <c r="N140" s="53">
        <f>IF($A140="","",IF(AND($A140&gt;=pTu,$A140&lt;=pDen),"","NGOÀI KỲ"))</f>
        <v/>
      </c>
      <c r="O140" s="53">
        <f>IF($J140="","",IF($J140&lt;=0,"≤0",""))</f>
        <v/>
      </c>
      <c r="P140" s="53">
        <f>IF(AND($D140="SXC (627)",$F140="Chung"),IF(OR($G140="Cố định",$G140="Biến đổi"),"","THIẾU TÍNH CHẤT"),"")</f>
        <v/>
      </c>
    </row>
    <row r="141" ht="15" customHeight="1" s="54">
      <c r="A141" s="71" t="n"/>
      <c r="B141" s="67" t="n"/>
      <c r="C141" s="67" t="n"/>
      <c r="D141" s="67" t="n"/>
      <c r="E141" s="79">
        <f>IFERROR(INDEX(MAP_TK,MATCH($D141,MAP_KM,0)),"")</f>
        <v/>
      </c>
      <c r="F141" s="67" t="n"/>
      <c r="G141" s="67" t="n"/>
      <c r="H141" s="67" t="n"/>
      <c r="I141" s="67" t="n"/>
      <c r="J141" s="75" t="n"/>
      <c r="K141" s="67" t="n"/>
      <c r="M141" s="53">
        <f>IF($C141="","",IF(OR($C141="CHUNG",COUNTIF(DM_Ma,$C141)&gt;0),"","MÃ LẠ"))</f>
        <v/>
      </c>
      <c r="N141" s="53">
        <f>IF($A141="","",IF(AND($A141&gt;=pTu,$A141&lt;=pDen),"","NGOÀI KỲ"))</f>
        <v/>
      </c>
      <c r="O141" s="53">
        <f>IF($J141="","",IF($J141&lt;=0,"≤0",""))</f>
        <v/>
      </c>
      <c r="P141" s="53">
        <f>IF(AND($D141="SXC (627)",$F141="Chung"),IF(OR($G141="Cố định",$G141="Biến đổi"),"","THIẾU TÍNH CHẤT"),"")</f>
        <v/>
      </c>
    </row>
    <row r="142" ht="15" customHeight="1" s="54">
      <c r="A142" s="71" t="n"/>
      <c r="B142" s="67" t="n"/>
      <c r="C142" s="67" t="n"/>
      <c r="D142" s="67" t="n"/>
      <c r="E142" s="79">
        <f>IFERROR(INDEX(MAP_TK,MATCH($D142,MAP_KM,0)),"")</f>
        <v/>
      </c>
      <c r="F142" s="67" t="n"/>
      <c r="G142" s="67" t="n"/>
      <c r="H142" s="67" t="n"/>
      <c r="I142" s="67" t="n"/>
      <c r="J142" s="75" t="n"/>
      <c r="K142" s="67" t="n"/>
      <c r="M142" s="53">
        <f>IF($C142="","",IF(OR($C142="CHUNG",COUNTIF(DM_Ma,$C142)&gt;0),"","MÃ LẠ"))</f>
        <v/>
      </c>
      <c r="N142" s="53">
        <f>IF($A142="","",IF(AND($A142&gt;=pTu,$A142&lt;=pDen),"","NGOÀI KỲ"))</f>
        <v/>
      </c>
      <c r="O142" s="53">
        <f>IF($J142="","",IF($J142&lt;=0,"≤0",""))</f>
        <v/>
      </c>
      <c r="P142" s="53">
        <f>IF(AND($D142="SXC (627)",$F142="Chung"),IF(OR($G142="Cố định",$G142="Biến đổi"),"","THIẾU TÍNH CHẤT"),"")</f>
        <v/>
      </c>
    </row>
    <row r="143" ht="15" customHeight="1" s="54">
      <c r="A143" s="71" t="n"/>
      <c r="B143" s="67" t="n"/>
      <c r="C143" s="67" t="n"/>
      <c r="D143" s="67" t="n"/>
      <c r="E143" s="79">
        <f>IFERROR(INDEX(MAP_TK,MATCH($D143,MAP_KM,0)),"")</f>
        <v/>
      </c>
      <c r="F143" s="67" t="n"/>
      <c r="G143" s="67" t="n"/>
      <c r="H143" s="67" t="n"/>
      <c r="I143" s="67" t="n"/>
      <c r="J143" s="75" t="n"/>
      <c r="K143" s="67" t="n"/>
      <c r="M143" s="53">
        <f>IF($C143="","",IF(OR($C143="CHUNG",COUNTIF(DM_Ma,$C143)&gt;0),"","MÃ LẠ"))</f>
        <v/>
      </c>
      <c r="N143" s="53">
        <f>IF($A143="","",IF(AND($A143&gt;=pTu,$A143&lt;=pDen),"","NGOÀI KỲ"))</f>
        <v/>
      </c>
      <c r="O143" s="53">
        <f>IF($J143="","",IF($J143&lt;=0,"≤0",""))</f>
        <v/>
      </c>
      <c r="P143" s="53">
        <f>IF(AND($D143="SXC (627)",$F143="Chung"),IF(OR($G143="Cố định",$G143="Biến đổi"),"","THIẾU TÍNH CHẤT"),"")</f>
        <v/>
      </c>
    </row>
    <row r="144" ht="15" customHeight="1" s="54">
      <c r="A144" s="71" t="n"/>
      <c r="B144" s="67" t="n"/>
      <c r="C144" s="67" t="n"/>
      <c r="D144" s="67" t="n"/>
      <c r="E144" s="79">
        <f>IFERROR(INDEX(MAP_TK,MATCH($D144,MAP_KM,0)),"")</f>
        <v/>
      </c>
      <c r="F144" s="67" t="n"/>
      <c r="G144" s="67" t="n"/>
      <c r="H144" s="67" t="n"/>
      <c r="I144" s="67" t="n"/>
      <c r="J144" s="75" t="n"/>
      <c r="K144" s="67" t="n"/>
      <c r="M144" s="53">
        <f>IF($C144="","",IF(OR($C144="CHUNG",COUNTIF(DM_Ma,$C144)&gt;0),"","MÃ LẠ"))</f>
        <v/>
      </c>
      <c r="N144" s="53">
        <f>IF($A144="","",IF(AND($A144&gt;=pTu,$A144&lt;=pDen),"","NGOÀI KỲ"))</f>
        <v/>
      </c>
      <c r="O144" s="53">
        <f>IF($J144="","",IF($J144&lt;=0,"≤0",""))</f>
        <v/>
      </c>
      <c r="P144" s="53">
        <f>IF(AND($D144="SXC (627)",$F144="Chung"),IF(OR($G144="Cố định",$G144="Biến đổi"),"","THIẾU TÍNH CHẤT"),"")</f>
        <v/>
      </c>
    </row>
    <row r="145" ht="15" customHeight="1" s="54">
      <c r="A145" s="71" t="n"/>
      <c r="B145" s="67" t="n"/>
      <c r="C145" s="67" t="n"/>
      <c r="D145" s="67" t="n"/>
      <c r="E145" s="79">
        <f>IFERROR(INDEX(MAP_TK,MATCH($D145,MAP_KM,0)),"")</f>
        <v/>
      </c>
      <c r="F145" s="67" t="n"/>
      <c r="G145" s="67" t="n"/>
      <c r="H145" s="67" t="n"/>
      <c r="I145" s="67" t="n"/>
      <c r="J145" s="75" t="n"/>
      <c r="K145" s="67" t="n"/>
      <c r="M145" s="53">
        <f>IF($C145="","",IF(OR($C145="CHUNG",COUNTIF(DM_Ma,$C145)&gt;0),"","MÃ LẠ"))</f>
        <v/>
      </c>
      <c r="N145" s="53">
        <f>IF($A145="","",IF(AND($A145&gt;=pTu,$A145&lt;=pDen),"","NGOÀI KỲ"))</f>
        <v/>
      </c>
      <c r="O145" s="53">
        <f>IF($J145="","",IF($J145&lt;=0,"≤0",""))</f>
        <v/>
      </c>
      <c r="P145" s="53">
        <f>IF(AND($D145="SXC (627)",$F145="Chung"),IF(OR($G145="Cố định",$G145="Biến đổi"),"","THIẾU TÍNH CHẤT"),"")</f>
        <v/>
      </c>
    </row>
    <row r="146" ht="15" customHeight="1" s="54">
      <c r="A146" s="71" t="n"/>
      <c r="B146" s="67" t="n"/>
      <c r="C146" s="67" t="n"/>
      <c r="D146" s="67" t="n"/>
      <c r="E146" s="79">
        <f>IFERROR(INDEX(MAP_TK,MATCH($D146,MAP_KM,0)),"")</f>
        <v/>
      </c>
      <c r="F146" s="67" t="n"/>
      <c r="G146" s="67" t="n"/>
      <c r="H146" s="67" t="n"/>
      <c r="I146" s="67" t="n"/>
      <c r="J146" s="75" t="n"/>
      <c r="K146" s="67" t="n"/>
      <c r="M146" s="53">
        <f>IF($C146="","",IF(OR($C146="CHUNG",COUNTIF(DM_Ma,$C146)&gt;0),"","MÃ LẠ"))</f>
        <v/>
      </c>
      <c r="N146" s="53">
        <f>IF($A146="","",IF(AND($A146&gt;=pTu,$A146&lt;=pDen),"","NGOÀI KỲ"))</f>
        <v/>
      </c>
      <c r="O146" s="53">
        <f>IF($J146="","",IF($J146&lt;=0,"≤0",""))</f>
        <v/>
      </c>
      <c r="P146" s="53">
        <f>IF(AND($D146="SXC (627)",$F146="Chung"),IF(OR($G146="Cố định",$G146="Biến đổi"),"","THIẾU TÍNH CHẤT"),"")</f>
        <v/>
      </c>
    </row>
    <row r="147" ht="15" customHeight="1" s="54">
      <c r="A147" s="71" t="n"/>
      <c r="B147" s="67" t="n"/>
      <c r="C147" s="67" t="n"/>
      <c r="D147" s="67" t="n"/>
      <c r="E147" s="79">
        <f>IFERROR(INDEX(MAP_TK,MATCH($D147,MAP_KM,0)),"")</f>
        <v/>
      </c>
      <c r="F147" s="67" t="n"/>
      <c r="G147" s="67" t="n"/>
      <c r="H147" s="67" t="n"/>
      <c r="I147" s="67" t="n"/>
      <c r="J147" s="75" t="n"/>
      <c r="K147" s="67" t="n"/>
      <c r="M147" s="53">
        <f>IF($C147="","",IF(OR($C147="CHUNG",COUNTIF(DM_Ma,$C147)&gt;0),"","MÃ LẠ"))</f>
        <v/>
      </c>
      <c r="N147" s="53">
        <f>IF($A147="","",IF(AND($A147&gt;=pTu,$A147&lt;=pDen),"","NGOÀI KỲ"))</f>
        <v/>
      </c>
      <c r="O147" s="53">
        <f>IF($J147="","",IF($J147&lt;=0,"≤0",""))</f>
        <v/>
      </c>
      <c r="P147" s="53">
        <f>IF(AND($D147="SXC (627)",$F147="Chung"),IF(OR($G147="Cố định",$G147="Biến đổi"),"","THIẾU TÍNH CHẤT"),"")</f>
        <v/>
      </c>
    </row>
    <row r="148" ht="15" customHeight="1" s="54">
      <c r="A148" s="71" t="n"/>
      <c r="B148" s="67" t="n"/>
      <c r="C148" s="67" t="n"/>
      <c r="D148" s="67" t="n"/>
      <c r="E148" s="79">
        <f>IFERROR(INDEX(MAP_TK,MATCH($D148,MAP_KM,0)),"")</f>
        <v/>
      </c>
      <c r="F148" s="67" t="n"/>
      <c r="G148" s="67" t="n"/>
      <c r="H148" s="67" t="n"/>
      <c r="I148" s="67" t="n"/>
      <c r="J148" s="75" t="n"/>
      <c r="K148" s="67" t="n"/>
      <c r="M148" s="53">
        <f>IF($C148="","",IF(OR($C148="CHUNG",COUNTIF(DM_Ma,$C148)&gt;0),"","MÃ LẠ"))</f>
        <v/>
      </c>
      <c r="N148" s="53">
        <f>IF($A148="","",IF(AND($A148&gt;=pTu,$A148&lt;=pDen),"","NGOÀI KỲ"))</f>
        <v/>
      </c>
      <c r="O148" s="53">
        <f>IF($J148="","",IF($J148&lt;=0,"≤0",""))</f>
        <v/>
      </c>
      <c r="P148" s="53">
        <f>IF(AND($D148="SXC (627)",$F148="Chung"),IF(OR($G148="Cố định",$G148="Biến đổi"),"","THIẾU TÍNH CHẤT"),"")</f>
        <v/>
      </c>
    </row>
    <row r="149" ht="15" customHeight="1" s="54">
      <c r="A149" s="71" t="n"/>
      <c r="B149" s="67" t="n"/>
      <c r="C149" s="67" t="n"/>
      <c r="D149" s="67" t="n"/>
      <c r="E149" s="79">
        <f>IFERROR(INDEX(MAP_TK,MATCH($D149,MAP_KM,0)),"")</f>
        <v/>
      </c>
      <c r="F149" s="67" t="n"/>
      <c r="G149" s="67" t="n"/>
      <c r="H149" s="67" t="n"/>
      <c r="I149" s="67" t="n"/>
      <c r="J149" s="75" t="n"/>
      <c r="K149" s="67" t="n"/>
      <c r="M149" s="53">
        <f>IF($C149="","",IF(OR($C149="CHUNG",COUNTIF(DM_Ma,$C149)&gt;0),"","MÃ LẠ"))</f>
        <v/>
      </c>
      <c r="N149" s="53">
        <f>IF($A149="","",IF(AND($A149&gt;=pTu,$A149&lt;=pDen),"","NGOÀI KỲ"))</f>
        <v/>
      </c>
      <c r="O149" s="53">
        <f>IF($J149="","",IF($J149&lt;=0,"≤0",""))</f>
        <v/>
      </c>
      <c r="P149" s="53">
        <f>IF(AND($D149="SXC (627)",$F149="Chung"),IF(OR($G149="Cố định",$G149="Biến đổi"),"","THIẾU TÍNH CHẤT"),"")</f>
        <v/>
      </c>
    </row>
    <row r="150" ht="15" customHeight="1" s="54">
      <c r="A150" s="71" t="n"/>
      <c r="B150" s="67" t="n"/>
      <c r="C150" s="67" t="n"/>
      <c r="D150" s="67" t="n"/>
      <c r="E150" s="79">
        <f>IFERROR(INDEX(MAP_TK,MATCH($D150,MAP_KM,0)),"")</f>
        <v/>
      </c>
      <c r="F150" s="67" t="n"/>
      <c r="G150" s="67" t="n"/>
      <c r="H150" s="67" t="n"/>
      <c r="I150" s="67" t="n"/>
      <c r="J150" s="75" t="n"/>
      <c r="K150" s="67" t="n"/>
      <c r="M150" s="53">
        <f>IF($C150="","",IF(OR($C150="CHUNG",COUNTIF(DM_Ma,$C150)&gt;0),"","MÃ LẠ"))</f>
        <v/>
      </c>
      <c r="N150" s="53">
        <f>IF($A150="","",IF(AND($A150&gt;=pTu,$A150&lt;=pDen),"","NGOÀI KỲ"))</f>
        <v/>
      </c>
      <c r="O150" s="53">
        <f>IF($J150="","",IF($J150&lt;=0,"≤0",""))</f>
        <v/>
      </c>
      <c r="P150" s="53">
        <f>IF(AND($D150="SXC (627)",$F150="Chung"),IF(OR($G150="Cố định",$G150="Biến đổi"),"","THIẾU TÍNH CHẤT"),"")</f>
        <v/>
      </c>
    </row>
    <row r="151" ht="15" customHeight="1" s="54">
      <c r="A151" s="71" t="n"/>
      <c r="B151" s="67" t="n"/>
      <c r="C151" s="67" t="n"/>
      <c r="D151" s="67" t="n"/>
      <c r="E151" s="79">
        <f>IFERROR(INDEX(MAP_TK,MATCH($D151,MAP_KM,0)),"")</f>
        <v/>
      </c>
      <c r="F151" s="67" t="n"/>
      <c r="G151" s="67" t="n"/>
      <c r="H151" s="67" t="n"/>
      <c r="I151" s="67" t="n"/>
      <c r="J151" s="75" t="n"/>
      <c r="K151" s="67" t="n"/>
      <c r="M151" s="53">
        <f>IF($C151="","",IF(OR($C151="CHUNG",COUNTIF(DM_Ma,$C151)&gt;0),"","MÃ LẠ"))</f>
        <v/>
      </c>
      <c r="N151" s="53">
        <f>IF($A151="","",IF(AND($A151&gt;=pTu,$A151&lt;=pDen),"","NGOÀI KỲ"))</f>
        <v/>
      </c>
      <c r="O151" s="53">
        <f>IF($J151="","",IF($J151&lt;=0,"≤0",""))</f>
        <v/>
      </c>
      <c r="P151" s="53">
        <f>IF(AND($D151="SXC (627)",$F151="Chung"),IF(OR($G151="Cố định",$G151="Biến đổi"),"","THIẾU TÍNH CHẤT"),"")</f>
        <v/>
      </c>
    </row>
    <row r="152" ht="15" customHeight="1" s="54">
      <c r="A152" s="71" t="n"/>
      <c r="B152" s="67" t="n"/>
      <c r="C152" s="67" t="n"/>
      <c r="D152" s="67" t="n"/>
      <c r="E152" s="79">
        <f>IFERROR(INDEX(MAP_TK,MATCH($D152,MAP_KM,0)),"")</f>
        <v/>
      </c>
      <c r="F152" s="67" t="n"/>
      <c r="G152" s="67" t="n"/>
      <c r="H152" s="67" t="n"/>
      <c r="I152" s="67" t="n"/>
      <c r="J152" s="75" t="n"/>
      <c r="K152" s="67" t="n"/>
      <c r="M152" s="53">
        <f>IF($C152="","",IF(OR($C152="CHUNG",COUNTIF(DM_Ma,$C152)&gt;0),"","MÃ LẠ"))</f>
        <v/>
      </c>
      <c r="N152" s="53">
        <f>IF($A152="","",IF(AND($A152&gt;=pTu,$A152&lt;=pDen),"","NGOÀI KỲ"))</f>
        <v/>
      </c>
      <c r="O152" s="53">
        <f>IF($J152="","",IF($J152&lt;=0,"≤0",""))</f>
        <v/>
      </c>
      <c r="P152" s="53">
        <f>IF(AND($D152="SXC (627)",$F152="Chung"),IF(OR($G152="Cố định",$G152="Biến đổi"),"","THIẾU TÍNH CHẤT"),"")</f>
        <v/>
      </c>
    </row>
    <row r="153" ht="15" customHeight="1" s="54">
      <c r="A153" s="71" t="n"/>
      <c r="B153" s="67" t="n"/>
      <c r="C153" s="67" t="n"/>
      <c r="D153" s="67" t="n"/>
      <c r="E153" s="79">
        <f>IFERROR(INDEX(MAP_TK,MATCH($D153,MAP_KM,0)),"")</f>
        <v/>
      </c>
      <c r="F153" s="67" t="n"/>
      <c r="G153" s="67" t="n"/>
      <c r="H153" s="67" t="n"/>
      <c r="I153" s="67" t="n"/>
      <c r="J153" s="75" t="n"/>
      <c r="K153" s="67" t="n"/>
      <c r="M153" s="53">
        <f>IF($C153="","",IF(OR($C153="CHUNG",COUNTIF(DM_Ma,$C153)&gt;0),"","MÃ LẠ"))</f>
        <v/>
      </c>
      <c r="N153" s="53">
        <f>IF($A153="","",IF(AND($A153&gt;=pTu,$A153&lt;=pDen),"","NGOÀI KỲ"))</f>
        <v/>
      </c>
      <c r="O153" s="53">
        <f>IF($J153="","",IF($J153&lt;=0,"≤0",""))</f>
        <v/>
      </c>
      <c r="P153" s="53">
        <f>IF(AND($D153="SXC (627)",$F153="Chung"),IF(OR($G153="Cố định",$G153="Biến đổi"),"","THIẾU TÍNH CHẤT"),"")</f>
        <v/>
      </c>
    </row>
    <row r="154" ht="15" customHeight="1" s="54">
      <c r="A154" s="71" t="n"/>
      <c r="B154" s="67" t="n"/>
      <c r="C154" s="67" t="n"/>
      <c r="D154" s="67" t="n"/>
      <c r="E154" s="79">
        <f>IFERROR(INDEX(MAP_TK,MATCH($D154,MAP_KM,0)),"")</f>
        <v/>
      </c>
      <c r="F154" s="67" t="n"/>
      <c r="G154" s="67" t="n"/>
      <c r="H154" s="67" t="n"/>
      <c r="I154" s="67" t="n"/>
      <c r="J154" s="75" t="n"/>
      <c r="K154" s="67" t="n"/>
      <c r="M154" s="53">
        <f>IF($C154="","",IF(OR($C154="CHUNG",COUNTIF(DM_Ma,$C154)&gt;0),"","MÃ LẠ"))</f>
        <v/>
      </c>
      <c r="N154" s="53">
        <f>IF($A154="","",IF(AND($A154&gt;=pTu,$A154&lt;=pDen),"","NGOÀI KỲ"))</f>
        <v/>
      </c>
      <c r="O154" s="53">
        <f>IF($J154="","",IF($J154&lt;=0,"≤0",""))</f>
        <v/>
      </c>
      <c r="P154" s="53">
        <f>IF(AND($D154="SXC (627)",$F154="Chung"),IF(OR($G154="Cố định",$G154="Biến đổi"),"","THIẾU TÍNH CHẤT"),"")</f>
        <v/>
      </c>
    </row>
    <row r="155" ht="15" customHeight="1" s="54">
      <c r="A155" s="71" t="n"/>
      <c r="B155" s="67" t="n"/>
      <c r="C155" s="67" t="n"/>
      <c r="D155" s="67" t="n"/>
      <c r="E155" s="79">
        <f>IFERROR(INDEX(MAP_TK,MATCH($D155,MAP_KM,0)),"")</f>
        <v/>
      </c>
      <c r="F155" s="67" t="n"/>
      <c r="G155" s="67" t="n"/>
      <c r="H155" s="67" t="n"/>
      <c r="I155" s="67" t="n"/>
      <c r="J155" s="75" t="n"/>
      <c r="K155" s="67" t="n"/>
      <c r="M155" s="53">
        <f>IF($C155="","",IF(OR($C155="CHUNG",COUNTIF(DM_Ma,$C155)&gt;0),"","MÃ LẠ"))</f>
        <v/>
      </c>
      <c r="N155" s="53">
        <f>IF($A155="","",IF(AND($A155&gt;=pTu,$A155&lt;=pDen),"","NGOÀI KỲ"))</f>
        <v/>
      </c>
      <c r="O155" s="53">
        <f>IF($J155="","",IF($J155&lt;=0,"≤0",""))</f>
        <v/>
      </c>
      <c r="P155" s="53">
        <f>IF(AND($D155="SXC (627)",$F155="Chung"),IF(OR($G155="Cố định",$G155="Biến đổi"),"","THIẾU TÍNH CHẤT"),"")</f>
        <v/>
      </c>
    </row>
    <row r="156" ht="15" customHeight="1" s="54">
      <c r="A156" s="71" t="n"/>
      <c r="B156" s="67" t="n"/>
      <c r="C156" s="67" t="n"/>
      <c r="D156" s="67" t="n"/>
      <c r="E156" s="79">
        <f>IFERROR(INDEX(MAP_TK,MATCH($D156,MAP_KM,0)),"")</f>
        <v/>
      </c>
      <c r="F156" s="67" t="n"/>
      <c r="G156" s="67" t="n"/>
      <c r="H156" s="67" t="n"/>
      <c r="I156" s="67" t="n"/>
      <c r="J156" s="75" t="n"/>
      <c r="K156" s="67" t="n"/>
      <c r="M156" s="53">
        <f>IF($C156="","",IF(OR($C156="CHUNG",COUNTIF(DM_Ma,$C156)&gt;0),"","MÃ LẠ"))</f>
        <v/>
      </c>
      <c r="N156" s="53">
        <f>IF($A156="","",IF(AND($A156&gt;=pTu,$A156&lt;=pDen),"","NGOÀI KỲ"))</f>
        <v/>
      </c>
      <c r="O156" s="53">
        <f>IF($J156="","",IF($J156&lt;=0,"≤0",""))</f>
        <v/>
      </c>
      <c r="P156" s="53">
        <f>IF(AND($D156="SXC (627)",$F156="Chung"),IF(OR($G156="Cố định",$G156="Biến đổi"),"","THIẾU TÍNH CHẤT"),"")</f>
        <v/>
      </c>
    </row>
    <row r="157" ht="15" customHeight="1" s="54">
      <c r="A157" s="71" t="n"/>
      <c r="B157" s="67" t="n"/>
      <c r="C157" s="67" t="n"/>
      <c r="D157" s="67" t="n"/>
      <c r="E157" s="79">
        <f>IFERROR(INDEX(MAP_TK,MATCH($D157,MAP_KM,0)),"")</f>
        <v/>
      </c>
      <c r="F157" s="67" t="n"/>
      <c r="G157" s="67" t="n"/>
      <c r="H157" s="67" t="n"/>
      <c r="I157" s="67" t="n"/>
      <c r="J157" s="75" t="n"/>
      <c r="K157" s="67" t="n"/>
      <c r="M157" s="53">
        <f>IF($C157="","",IF(OR($C157="CHUNG",COUNTIF(DM_Ma,$C157)&gt;0),"","MÃ LẠ"))</f>
        <v/>
      </c>
      <c r="N157" s="53">
        <f>IF($A157="","",IF(AND($A157&gt;=pTu,$A157&lt;=pDen),"","NGOÀI KỲ"))</f>
        <v/>
      </c>
      <c r="O157" s="53">
        <f>IF($J157="","",IF($J157&lt;=0,"≤0",""))</f>
        <v/>
      </c>
      <c r="P157" s="53">
        <f>IF(AND($D157="SXC (627)",$F157="Chung"),IF(OR($G157="Cố định",$G157="Biến đổi"),"","THIẾU TÍNH CHẤT"),"")</f>
        <v/>
      </c>
    </row>
    <row r="158" ht="15" customHeight="1" s="54">
      <c r="A158" s="71" t="n"/>
      <c r="B158" s="67" t="n"/>
      <c r="C158" s="67" t="n"/>
      <c r="D158" s="67" t="n"/>
      <c r="E158" s="79">
        <f>IFERROR(INDEX(MAP_TK,MATCH($D158,MAP_KM,0)),"")</f>
        <v/>
      </c>
      <c r="F158" s="67" t="n"/>
      <c r="G158" s="67" t="n"/>
      <c r="H158" s="67" t="n"/>
      <c r="I158" s="67" t="n"/>
      <c r="J158" s="75" t="n"/>
      <c r="K158" s="67" t="n"/>
      <c r="M158" s="53">
        <f>IF($C158="","",IF(OR($C158="CHUNG",COUNTIF(DM_Ma,$C158)&gt;0),"","MÃ LẠ"))</f>
        <v/>
      </c>
      <c r="N158" s="53">
        <f>IF($A158="","",IF(AND($A158&gt;=pTu,$A158&lt;=pDen),"","NGOÀI KỲ"))</f>
        <v/>
      </c>
      <c r="O158" s="53">
        <f>IF($J158="","",IF($J158&lt;=0,"≤0",""))</f>
        <v/>
      </c>
      <c r="P158" s="53">
        <f>IF(AND($D158="SXC (627)",$F158="Chung"),IF(OR($G158="Cố định",$G158="Biến đổi"),"","THIẾU TÍNH CHẤT"),"")</f>
        <v/>
      </c>
    </row>
    <row r="159" ht="15" customHeight="1" s="54">
      <c r="A159" s="71" t="n"/>
      <c r="B159" s="67" t="n"/>
      <c r="C159" s="67" t="n"/>
      <c r="D159" s="67" t="n"/>
      <c r="E159" s="79">
        <f>IFERROR(INDEX(MAP_TK,MATCH($D159,MAP_KM,0)),"")</f>
        <v/>
      </c>
      <c r="F159" s="67" t="n"/>
      <c r="G159" s="67" t="n"/>
      <c r="H159" s="67" t="n"/>
      <c r="I159" s="67" t="n"/>
      <c r="J159" s="75" t="n"/>
      <c r="K159" s="67" t="n"/>
      <c r="M159" s="53">
        <f>IF($C159="","",IF(OR($C159="CHUNG",COUNTIF(DM_Ma,$C159)&gt;0),"","MÃ LẠ"))</f>
        <v/>
      </c>
      <c r="N159" s="53">
        <f>IF($A159="","",IF(AND($A159&gt;=pTu,$A159&lt;=pDen),"","NGOÀI KỲ"))</f>
        <v/>
      </c>
      <c r="O159" s="53">
        <f>IF($J159="","",IF($J159&lt;=0,"≤0",""))</f>
        <v/>
      </c>
      <c r="P159" s="53">
        <f>IF(AND($D159="SXC (627)",$F159="Chung"),IF(OR($G159="Cố định",$G159="Biến đổi"),"","THIẾU TÍNH CHẤT"),"")</f>
        <v/>
      </c>
    </row>
    <row r="160" ht="15" customHeight="1" s="54">
      <c r="A160" s="71" t="n"/>
      <c r="B160" s="67" t="n"/>
      <c r="C160" s="67" t="n"/>
      <c r="D160" s="67" t="n"/>
      <c r="E160" s="79">
        <f>IFERROR(INDEX(MAP_TK,MATCH($D160,MAP_KM,0)),"")</f>
        <v/>
      </c>
      <c r="F160" s="67" t="n"/>
      <c r="G160" s="67" t="n"/>
      <c r="H160" s="67" t="n"/>
      <c r="I160" s="67" t="n"/>
      <c r="J160" s="75" t="n"/>
      <c r="K160" s="67" t="n"/>
      <c r="M160" s="53">
        <f>IF($C160="","",IF(OR($C160="CHUNG",COUNTIF(DM_Ma,$C160)&gt;0),"","MÃ LẠ"))</f>
        <v/>
      </c>
      <c r="N160" s="53">
        <f>IF($A160="","",IF(AND($A160&gt;=pTu,$A160&lt;=pDen),"","NGOÀI KỲ"))</f>
        <v/>
      </c>
      <c r="O160" s="53">
        <f>IF($J160="","",IF($J160&lt;=0,"≤0",""))</f>
        <v/>
      </c>
      <c r="P160" s="53">
        <f>IF(AND($D160="SXC (627)",$F160="Chung"),IF(OR($G160="Cố định",$G160="Biến đổi"),"","THIẾU TÍNH CHẤT"),"")</f>
        <v/>
      </c>
    </row>
    <row r="161" ht="15" customHeight="1" s="54">
      <c r="A161" s="71" t="n"/>
      <c r="B161" s="67" t="n"/>
      <c r="C161" s="67" t="n"/>
      <c r="D161" s="67" t="n"/>
      <c r="E161" s="79">
        <f>IFERROR(INDEX(MAP_TK,MATCH($D161,MAP_KM,0)),"")</f>
        <v/>
      </c>
      <c r="F161" s="67" t="n"/>
      <c r="G161" s="67" t="n"/>
      <c r="H161" s="67" t="n"/>
      <c r="I161" s="67" t="n"/>
      <c r="J161" s="75" t="n"/>
      <c r="K161" s="67" t="n"/>
      <c r="M161" s="53">
        <f>IF($C161="","",IF(OR($C161="CHUNG",COUNTIF(DM_Ma,$C161)&gt;0),"","MÃ LẠ"))</f>
        <v/>
      </c>
      <c r="N161" s="53">
        <f>IF($A161="","",IF(AND($A161&gt;=pTu,$A161&lt;=pDen),"","NGOÀI KỲ"))</f>
        <v/>
      </c>
      <c r="O161" s="53">
        <f>IF($J161="","",IF($J161&lt;=0,"≤0",""))</f>
        <v/>
      </c>
      <c r="P161" s="53">
        <f>IF(AND($D161="SXC (627)",$F161="Chung"),IF(OR($G161="Cố định",$G161="Biến đổi"),"","THIẾU TÍNH CHẤT"),"")</f>
        <v/>
      </c>
    </row>
    <row r="162" ht="15" customHeight="1" s="54">
      <c r="A162" s="71" t="n"/>
      <c r="B162" s="67" t="n"/>
      <c r="C162" s="67" t="n"/>
      <c r="D162" s="67" t="n"/>
      <c r="E162" s="79">
        <f>IFERROR(INDEX(MAP_TK,MATCH($D162,MAP_KM,0)),"")</f>
        <v/>
      </c>
      <c r="F162" s="67" t="n"/>
      <c r="G162" s="67" t="n"/>
      <c r="H162" s="67" t="n"/>
      <c r="I162" s="67" t="n"/>
      <c r="J162" s="75" t="n"/>
      <c r="K162" s="67" t="n"/>
      <c r="M162" s="53">
        <f>IF($C162="","",IF(OR($C162="CHUNG",COUNTIF(DM_Ma,$C162)&gt;0),"","MÃ LẠ"))</f>
        <v/>
      </c>
      <c r="N162" s="53">
        <f>IF($A162="","",IF(AND($A162&gt;=pTu,$A162&lt;=pDen),"","NGOÀI KỲ"))</f>
        <v/>
      </c>
      <c r="O162" s="53">
        <f>IF($J162="","",IF($J162&lt;=0,"≤0",""))</f>
        <v/>
      </c>
      <c r="P162" s="53">
        <f>IF(AND($D162="SXC (627)",$F162="Chung"),IF(OR($G162="Cố định",$G162="Biến đổi"),"","THIẾU TÍNH CHẤT"),"")</f>
        <v/>
      </c>
    </row>
    <row r="163" ht="15" customHeight="1" s="54">
      <c r="A163" s="71" t="n"/>
      <c r="B163" s="67" t="n"/>
      <c r="C163" s="67" t="n"/>
      <c r="D163" s="67" t="n"/>
      <c r="E163" s="79">
        <f>IFERROR(INDEX(MAP_TK,MATCH($D163,MAP_KM,0)),"")</f>
        <v/>
      </c>
      <c r="F163" s="67" t="n"/>
      <c r="G163" s="67" t="n"/>
      <c r="H163" s="67" t="n"/>
      <c r="I163" s="67" t="n"/>
      <c r="J163" s="75" t="n"/>
      <c r="K163" s="67" t="n"/>
      <c r="M163" s="53">
        <f>IF($C163="","",IF(OR($C163="CHUNG",COUNTIF(DM_Ma,$C163)&gt;0),"","MÃ LẠ"))</f>
        <v/>
      </c>
      <c r="N163" s="53">
        <f>IF($A163="","",IF(AND($A163&gt;=pTu,$A163&lt;=pDen),"","NGOÀI KỲ"))</f>
        <v/>
      </c>
      <c r="O163" s="53">
        <f>IF($J163="","",IF($J163&lt;=0,"≤0",""))</f>
        <v/>
      </c>
      <c r="P163" s="53">
        <f>IF(AND($D163="SXC (627)",$F163="Chung"),IF(OR($G163="Cố định",$G163="Biến đổi"),"","THIẾU TÍNH CHẤT"),"")</f>
        <v/>
      </c>
    </row>
    <row r="164" ht="15" customHeight="1" s="54">
      <c r="A164" s="71" t="n"/>
      <c r="B164" s="67" t="n"/>
      <c r="C164" s="67" t="n"/>
      <c r="D164" s="67" t="n"/>
      <c r="E164" s="79">
        <f>IFERROR(INDEX(MAP_TK,MATCH($D164,MAP_KM,0)),"")</f>
        <v/>
      </c>
      <c r="F164" s="67" t="n"/>
      <c r="G164" s="67" t="n"/>
      <c r="H164" s="67" t="n"/>
      <c r="I164" s="67" t="n"/>
      <c r="J164" s="75" t="n"/>
      <c r="K164" s="67" t="n"/>
      <c r="M164" s="53">
        <f>IF($C164="","",IF(OR($C164="CHUNG",COUNTIF(DM_Ma,$C164)&gt;0),"","MÃ LẠ"))</f>
        <v/>
      </c>
      <c r="N164" s="53">
        <f>IF($A164="","",IF(AND($A164&gt;=pTu,$A164&lt;=pDen),"","NGOÀI KỲ"))</f>
        <v/>
      </c>
      <c r="O164" s="53">
        <f>IF($J164="","",IF($J164&lt;=0,"≤0",""))</f>
        <v/>
      </c>
      <c r="P164" s="53">
        <f>IF(AND($D164="SXC (627)",$F164="Chung"),IF(OR($G164="Cố định",$G164="Biến đổi"),"","THIẾU TÍNH CHẤT"),"")</f>
        <v/>
      </c>
    </row>
    <row r="165" ht="15" customHeight="1" s="54">
      <c r="A165" s="71" t="n"/>
      <c r="B165" s="67" t="n"/>
      <c r="C165" s="67" t="n"/>
      <c r="D165" s="67" t="n"/>
      <c r="E165" s="79">
        <f>IFERROR(INDEX(MAP_TK,MATCH($D165,MAP_KM,0)),"")</f>
        <v/>
      </c>
      <c r="F165" s="67" t="n"/>
      <c r="G165" s="67" t="n"/>
      <c r="H165" s="67" t="n"/>
      <c r="I165" s="67" t="n"/>
      <c r="J165" s="75" t="n"/>
      <c r="K165" s="67" t="n"/>
      <c r="M165" s="53">
        <f>IF($C165="","",IF(OR($C165="CHUNG",COUNTIF(DM_Ma,$C165)&gt;0),"","MÃ LẠ"))</f>
        <v/>
      </c>
      <c r="N165" s="53">
        <f>IF($A165="","",IF(AND($A165&gt;=pTu,$A165&lt;=pDen),"","NGOÀI KỲ"))</f>
        <v/>
      </c>
      <c r="O165" s="53">
        <f>IF($J165="","",IF($J165&lt;=0,"≤0",""))</f>
        <v/>
      </c>
      <c r="P165" s="53">
        <f>IF(AND($D165="SXC (627)",$F165="Chung"),IF(OR($G165="Cố định",$G165="Biến đổi"),"","THIẾU TÍNH CHẤT"),"")</f>
        <v/>
      </c>
    </row>
    <row r="166" ht="15" customHeight="1" s="54">
      <c r="A166" s="71" t="n"/>
      <c r="B166" s="67" t="n"/>
      <c r="C166" s="67" t="n"/>
      <c r="D166" s="67" t="n"/>
      <c r="E166" s="79">
        <f>IFERROR(INDEX(MAP_TK,MATCH($D166,MAP_KM,0)),"")</f>
        <v/>
      </c>
      <c r="F166" s="67" t="n"/>
      <c r="G166" s="67" t="n"/>
      <c r="H166" s="67" t="n"/>
      <c r="I166" s="67" t="n"/>
      <c r="J166" s="75" t="n"/>
      <c r="K166" s="67" t="n"/>
      <c r="M166" s="53">
        <f>IF($C166="","",IF(OR($C166="CHUNG",COUNTIF(DM_Ma,$C166)&gt;0),"","MÃ LẠ"))</f>
        <v/>
      </c>
      <c r="N166" s="53">
        <f>IF($A166="","",IF(AND($A166&gt;=pTu,$A166&lt;=pDen),"","NGOÀI KỲ"))</f>
        <v/>
      </c>
      <c r="O166" s="53">
        <f>IF($J166="","",IF($J166&lt;=0,"≤0",""))</f>
        <v/>
      </c>
      <c r="P166" s="53">
        <f>IF(AND($D166="SXC (627)",$F166="Chung"),IF(OR($G166="Cố định",$G166="Biến đổi"),"","THIẾU TÍNH CHẤT"),"")</f>
        <v/>
      </c>
    </row>
    <row r="167" ht="15" customHeight="1" s="54">
      <c r="A167" s="71" t="n"/>
      <c r="B167" s="67" t="n"/>
      <c r="C167" s="67" t="n"/>
      <c r="D167" s="67" t="n"/>
      <c r="E167" s="79">
        <f>IFERROR(INDEX(MAP_TK,MATCH($D167,MAP_KM,0)),"")</f>
        <v/>
      </c>
      <c r="F167" s="67" t="n"/>
      <c r="G167" s="67" t="n"/>
      <c r="H167" s="67" t="n"/>
      <c r="I167" s="67" t="n"/>
      <c r="J167" s="75" t="n"/>
      <c r="K167" s="67" t="n"/>
      <c r="M167" s="53">
        <f>IF($C167="","",IF(OR($C167="CHUNG",COUNTIF(DM_Ma,$C167)&gt;0),"","MÃ LẠ"))</f>
        <v/>
      </c>
      <c r="N167" s="53">
        <f>IF($A167="","",IF(AND($A167&gt;=pTu,$A167&lt;=pDen),"","NGOÀI KỲ"))</f>
        <v/>
      </c>
      <c r="O167" s="53">
        <f>IF($J167="","",IF($J167&lt;=0,"≤0",""))</f>
        <v/>
      </c>
      <c r="P167" s="53">
        <f>IF(AND($D167="SXC (627)",$F167="Chung"),IF(OR($G167="Cố định",$G167="Biến đổi"),"","THIẾU TÍNH CHẤT"),"")</f>
        <v/>
      </c>
    </row>
    <row r="168" ht="15" customHeight="1" s="54">
      <c r="A168" s="71" t="n"/>
      <c r="B168" s="67" t="n"/>
      <c r="C168" s="67" t="n"/>
      <c r="D168" s="67" t="n"/>
      <c r="E168" s="79">
        <f>IFERROR(INDEX(MAP_TK,MATCH($D168,MAP_KM,0)),"")</f>
        <v/>
      </c>
      <c r="F168" s="67" t="n"/>
      <c r="G168" s="67" t="n"/>
      <c r="H168" s="67" t="n"/>
      <c r="I168" s="67" t="n"/>
      <c r="J168" s="75" t="n"/>
      <c r="K168" s="67" t="n"/>
      <c r="M168" s="53">
        <f>IF($C168="","",IF(OR($C168="CHUNG",COUNTIF(DM_Ma,$C168)&gt;0),"","MÃ LẠ"))</f>
        <v/>
      </c>
      <c r="N168" s="53">
        <f>IF($A168="","",IF(AND($A168&gt;=pTu,$A168&lt;=pDen),"","NGOÀI KỲ"))</f>
        <v/>
      </c>
      <c r="O168" s="53">
        <f>IF($J168="","",IF($J168&lt;=0,"≤0",""))</f>
        <v/>
      </c>
      <c r="P168" s="53">
        <f>IF(AND($D168="SXC (627)",$F168="Chung"),IF(OR($G168="Cố định",$G168="Biến đổi"),"","THIẾU TÍNH CHẤT"),"")</f>
        <v/>
      </c>
    </row>
    <row r="169" ht="15" customHeight="1" s="54">
      <c r="A169" s="71" t="n"/>
      <c r="B169" s="67" t="n"/>
      <c r="C169" s="67" t="n"/>
      <c r="D169" s="67" t="n"/>
      <c r="E169" s="79">
        <f>IFERROR(INDEX(MAP_TK,MATCH($D169,MAP_KM,0)),"")</f>
        <v/>
      </c>
      <c r="F169" s="67" t="n"/>
      <c r="G169" s="67" t="n"/>
      <c r="H169" s="67" t="n"/>
      <c r="I169" s="67" t="n"/>
      <c r="J169" s="75" t="n"/>
      <c r="K169" s="67" t="n"/>
      <c r="M169" s="53">
        <f>IF($C169="","",IF(OR($C169="CHUNG",COUNTIF(DM_Ma,$C169)&gt;0),"","MÃ LẠ"))</f>
        <v/>
      </c>
      <c r="N169" s="53">
        <f>IF($A169="","",IF(AND($A169&gt;=pTu,$A169&lt;=pDen),"","NGOÀI KỲ"))</f>
        <v/>
      </c>
      <c r="O169" s="53">
        <f>IF($J169="","",IF($J169&lt;=0,"≤0",""))</f>
        <v/>
      </c>
      <c r="P169" s="53">
        <f>IF(AND($D169="SXC (627)",$F169="Chung"),IF(OR($G169="Cố định",$G169="Biến đổi"),"","THIẾU TÍNH CHẤT"),"")</f>
        <v/>
      </c>
    </row>
    <row r="170" ht="15" customHeight="1" s="54">
      <c r="A170" s="71" t="n"/>
      <c r="B170" s="67" t="n"/>
      <c r="C170" s="67" t="n"/>
      <c r="D170" s="67" t="n"/>
      <c r="E170" s="79">
        <f>IFERROR(INDEX(MAP_TK,MATCH($D170,MAP_KM,0)),"")</f>
        <v/>
      </c>
      <c r="F170" s="67" t="n"/>
      <c r="G170" s="67" t="n"/>
      <c r="H170" s="67" t="n"/>
      <c r="I170" s="67" t="n"/>
      <c r="J170" s="75" t="n"/>
      <c r="K170" s="67" t="n"/>
      <c r="M170" s="53">
        <f>IF($C170="","",IF(OR($C170="CHUNG",COUNTIF(DM_Ma,$C170)&gt;0),"","MÃ LẠ"))</f>
        <v/>
      </c>
      <c r="N170" s="53">
        <f>IF($A170="","",IF(AND($A170&gt;=pTu,$A170&lt;=pDen),"","NGOÀI KỲ"))</f>
        <v/>
      </c>
      <c r="O170" s="53">
        <f>IF($J170="","",IF($J170&lt;=0,"≤0",""))</f>
        <v/>
      </c>
      <c r="P170" s="53">
        <f>IF(AND($D170="SXC (627)",$F170="Chung"),IF(OR($G170="Cố định",$G170="Biến đổi"),"","THIẾU TÍNH CHẤT"),"")</f>
        <v/>
      </c>
    </row>
    <row r="171" ht="15" customHeight="1" s="54">
      <c r="A171" s="71" t="n"/>
      <c r="B171" s="67" t="n"/>
      <c r="C171" s="67" t="n"/>
      <c r="D171" s="67" t="n"/>
      <c r="E171" s="79">
        <f>IFERROR(INDEX(MAP_TK,MATCH($D171,MAP_KM,0)),"")</f>
        <v/>
      </c>
      <c r="F171" s="67" t="n"/>
      <c r="G171" s="67" t="n"/>
      <c r="H171" s="67" t="n"/>
      <c r="I171" s="67" t="n"/>
      <c r="J171" s="75" t="n"/>
      <c r="K171" s="67" t="n"/>
      <c r="M171" s="53">
        <f>IF($C171="","",IF(OR($C171="CHUNG",COUNTIF(DM_Ma,$C171)&gt;0),"","MÃ LẠ"))</f>
        <v/>
      </c>
      <c r="N171" s="53">
        <f>IF($A171="","",IF(AND($A171&gt;=pTu,$A171&lt;=pDen),"","NGOÀI KỲ"))</f>
        <v/>
      </c>
      <c r="O171" s="53">
        <f>IF($J171="","",IF($J171&lt;=0,"≤0",""))</f>
        <v/>
      </c>
      <c r="P171" s="53">
        <f>IF(AND($D171="SXC (627)",$F171="Chung"),IF(OR($G171="Cố định",$G171="Biến đổi"),"","THIẾU TÍNH CHẤT"),"")</f>
        <v/>
      </c>
    </row>
    <row r="172" ht="15" customHeight="1" s="54">
      <c r="A172" s="71" t="n"/>
      <c r="B172" s="67" t="n"/>
      <c r="C172" s="67" t="n"/>
      <c r="D172" s="67" t="n"/>
      <c r="E172" s="79">
        <f>IFERROR(INDEX(MAP_TK,MATCH($D172,MAP_KM,0)),"")</f>
        <v/>
      </c>
      <c r="F172" s="67" t="n"/>
      <c r="G172" s="67" t="n"/>
      <c r="H172" s="67" t="n"/>
      <c r="I172" s="67" t="n"/>
      <c r="J172" s="75" t="n"/>
      <c r="K172" s="67" t="n"/>
      <c r="M172" s="53">
        <f>IF($C172="","",IF(OR($C172="CHUNG",COUNTIF(DM_Ma,$C172)&gt;0),"","MÃ LẠ"))</f>
        <v/>
      </c>
      <c r="N172" s="53">
        <f>IF($A172="","",IF(AND($A172&gt;=pTu,$A172&lt;=pDen),"","NGOÀI KỲ"))</f>
        <v/>
      </c>
      <c r="O172" s="53">
        <f>IF($J172="","",IF($J172&lt;=0,"≤0",""))</f>
        <v/>
      </c>
      <c r="P172" s="53">
        <f>IF(AND($D172="SXC (627)",$F172="Chung"),IF(OR($G172="Cố định",$G172="Biến đổi"),"","THIẾU TÍNH CHẤT"),"")</f>
        <v/>
      </c>
    </row>
    <row r="173" ht="15" customHeight="1" s="54">
      <c r="A173" s="71" t="n"/>
      <c r="B173" s="67" t="n"/>
      <c r="C173" s="67" t="n"/>
      <c r="D173" s="67" t="n"/>
      <c r="E173" s="79">
        <f>IFERROR(INDEX(MAP_TK,MATCH($D173,MAP_KM,0)),"")</f>
        <v/>
      </c>
      <c r="F173" s="67" t="n"/>
      <c r="G173" s="67" t="n"/>
      <c r="H173" s="67" t="n"/>
      <c r="I173" s="67" t="n"/>
      <c r="J173" s="75" t="n"/>
      <c r="K173" s="67" t="n"/>
      <c r="M173" s="53">
        <f>IF($C173="","",IF(OR($C173="CHUNG",COUNTIF(DM_Ma,$C173)&gt;0),"","MÃ LẠ"))</f>
        <v/>
      </c>
      <c r="N173" s="53">
        <f>IF($A173="","",IF(AND($A173&gt;=pTu,$A173&lt;=pDen),"","NGOÀI KỲ"))</f>
        <v/>
      </c>
      <c r="O173" s="53">
        <f>IF($J173="","",IF($J173&lt;=0,"≤0",""))</f>
        <v/>
      </c>
      <c r="P173" s="53">
        <f>IF(AND($D173="SXC (627)",$F173="Chung"),IF(OR($G173="Cố định",$G173="Biến đổi"),"","THIẾU TÍNH CHẤT"),"")</f>
        <v/>
      </c>
    </row>
    <row r="174" ht="15" customHeight="1" s="54">
      <c r="A174" s="71" t="n"/>
      <c r="B174" s="67" t="n"/>
      <c r="C174" s="67" t="n"/>
      <c r="D174" s="67" t="n"/>
      <c r="E174" s="79">
        <f>IFERROR(INDEX(MAP_TK,MATCH($D174,MAP_KM,0)),"")</f>
        <v/>
      </c>
      <c r="F174" s="67" t="n"/>
      <c r="G174" s="67" t="n"/>
      <c r="H174" s="67" t="n"/>
      <c r="I174" s="67" t="n"/>
      <c r="J174" s="75" t="n"/>
      <c r="K174" s="67" t="n"/>
      <c r="M174" s="53">
        <f>IF($C174="","",IF(OR($C174="CHUNG",COUNTIF(DM_Ma,$C174)&gt;0),"","MÃ LẠ"))</f>
        <v/>
      </c>
      <c r="N174" s="53">
        <f>IF($A174="","",IF(AND($A174&gt;=pTu,$A174&lt;=pDen),"","NGOÀI KỲ"))</f>
        <v/>
      </c>
      <c r="O174" s="53">
        <f>IF($J174="","",IF($J174&lt;=0,"≤0",""))</f>
        <v/>
      </c>
      <c r="P174" s="53">
        <f>IF(AND($D174="SXC (627)",$F174="Chung"),IF(OR($G174="Cố định",$G174="Biến đổi"),"","THIẾU TÍNH CHẤT"),"")</f>
        <v/>
      </c>
    </row>
    <row r="175" ht="15" customHeight="1" s="54">
      <c r="A175" s="71" t="n"/>
      <c r="B175" s="67" t="n"/>
      <c r="C175" s="67" t="n"/>
      <c r="D175" s="67" t="n"/>
      <c r="E175" s="79">
        <f>IFERROR(INDEX(MAP_TK,MATCH($D175,MAP_KM,0)),"")</f>
        <v/>
      </c>
      <c r="F175" s="67" t="n"/>
      <c r="G175" s="67" t="n"/>
      <c r="H175" s="67" t="n"/>
      <c r="I175" s="67" t="n"/>
      <c r="J175" s="75" t="n"/>
      <c r="K175" s="67" t="n"/>
      <c r="M175" s="53">
        <f>IF($C175="","",IF(OR($C175="CHUNG",COUNTIF(DM_Ma,$C175)&gt;0),"","MÃ LẠ"))</f>
        <v/>
      </c>
      <c r="N175" s="53">
        <f>IF($A175="","",IF(AND($A175&gt;=pTu,$A175&lt;=pDen),"","NGOÀI KỲ"))</f>
        <v/>
      </c>
      <c r="O175" s="53">
        <f>IF($J175="","",IF($J175&lt;=0,"≤0",""))</f>
        <v/>
      </c>
      <c r="P175" s="53">
        <f>IF(AND($D175="SXC (627)",$F175="Chung"),IF(OR($G175="Cố định",$G175="Biến đổi"),"","THIẾU TÍNH CHẤT"),"")</f>
        <v/>
      </c>
    </row>
    <row r="176" ht="15" customHeight="1" s="54">
      <c r="A176" s="71" t="n"/>
      <c r="B176" s="67" t="n"/>
      <c r="C176" s="67" t="n"/>
      <c r="D176" s="67" t="n"/>
      <c r="E176" s="79">
        <f>IFERROR(INDEX(MAP_TK,MATCH($D176,MAP_KM,0)),"")</f>
        <v/>
      </c>
      <c r="F176" s="67" t="n"/>
      <c r="G176" s="67" t="n"/>
      <c r="H176" s="67" t="n"/>
      <c r="I176" s="67" t="n"/>
      <c r="J176" s="75" t="n"/>
      <c r="K176" s="67" t="n"/>
      <c r="M176" s="53">
        <f>IF($C176="","",IF(OR($C176="CHUNG",COUNTIF(DM_Ma,$C176)&gt;0),"","MÃ LẠ"))</f>
        <v/>
      </c>
      <c r="N176" s="53">
        <f>IF($A176="","",IF(AND($A176&gt;=pTu,$A176&lt;=pDen),"","NGOÀI KỲ"))</f>
        <v/>
      </c>
      <c r="O176" s="53">
        <f>IF($J176="","",IF($J176&lt;=0,"≤0",""))</f>
        <v/>
      </c>
      <c r="P176" s="53">
        <f>IF(AND($D176="SXC (627)",$F176="Chung"),IF(OR($G176="Cố định",$G176="Biến đổi"),"","THIẾU TÍNH CHẤT"),"")</f>
        <v/>
      </c>
    </row>
    <row r="177" ht="15" customHeight="1" s="54">
      <c r="A177" s="71" t="n"/>
      <c r="B177" s="67" t="n"/>
      <c r="C177" s="67" t="n"/>
      <c r="D177" s="67" t="n"/>
      <c r="E177" s="79">
        <f>IFERROR(INDEX(MAP_TK,MATCH($D177,MAP_KM,0)),"")</f>
        <v/>
      </c>
      <c r="F177" s="67" t="n"/>
      <c r="G177" s="67" t="n"/>
      <c r="H177" s="67" t="n"/>
      <c r="I177" s="67" t="n"/>
      <c r="J177" s="75" t="n"/>
      <c r="K177" s="67" t="n"/>
      <c r="M177" s="53">
        <f>IF($C177="","",IF(OR($C177="CHUNG",COUNTIF(DM_Ma,$C177)&gt;0),"","MÃ LẠ"))</f>
        <v/>
      </c>
      <c r="N177" s="53">
        <f>IF($A177="","",IF(AND($A177&gt;=pTu,$A177&lt;=pDen),"","NGOÀI KỲ"))</f>
        <v/>
      </c>
      <c r="O177" s="53">
        <f>IF($J177="","",IF($J177&lt;=0,"≤0",""))</f>
        <v/>
      </c>
      <c r="P177" s="53">
        <f>IF(AND($D177="SXC (627)",$F177="Chung"),IF(OR($G177="Cố định",$G177="Biến đổi"),"","THIẾU TÍNH CHẤT"),"")</f>
        <v/>
      </c>
    </row>
    <row r="178" ht="15" customHeight="1" s="54">
      <c r="A178" s="71" t="n"/>
      <c r="B178" s="67" t="n"/>
      <c r="C178" s="67" t="n"/>
      <c r="D178" s="67" t="n"/>
      <c r="E178" s="79">
        <f>IFERROR(INDEX(MAP_TK,MATCH($D178,MAP_KM,0)),"")</f>
        <v/>
      </c>
      <c r="F178" s="67" t="n"/>
      <c r="G178" s="67" t="n"/>
      <c r="H178" s="67" t="n"/>
      <c r="I178" s="67" t="n"/>
      <c r="J178" s="75" t="n"/>
      <c r="K178" s="67" t="n"/>
      <c r="M178" s="53">
        <f>IF($C178="","",IF(OR($C178="CHUNG",COUNTIF(DM_Ma,$C178)&gt;0),"","MÃ LẠ"))</f>
        <v/>
      </c>
      <c r="N178" s="53">
        <f>IF($A178="","",IF(AND($A178&gt;=pTu,$A178&lt;=pDen),"","NGOÀI KỲ"))</f>
        <v/>
      </c>
      <c r="O178" s="53">
        <f>IF($J178="","",IF($J178&lt;=0,"≤0",""))</f>
        <v/>
      </c>
      <c r="P178" s="53">
        <f>IF(AND($D178="SXC (627)",$F178="Chung"),IF(OR($G178="Cố định",$G178="Biến đổi"),"","THIẾU TÍNH CHẤT"),"")</f>
        <v/>
      </c>
    </row>
    <row r="179" ht="15" customHeight="1" s="54">
      <c r="A179" s="71" t="n"/>
      <c r="B179" s="67" t="n"/>
      <c r="C179" s="67" t="n"/>
      <c r="D179" s="67" t="n"/>
      <c r="E179" s="79">
        <f>IFERROR(INDEX(MAP_TK,MATCH($D179,MAP_KM,0)),"")</f>
        <v/>
      </c>
      <c r="F179" s="67" t="n"/>
      <c r="G179" s="67" t="n"/>
      <c r="H179" s="67" t="n"/>
      <c r="I179" s="67" t="n"/>
      <c r="J179" s="75" t="n"/>
      <c r="K179" s="67" t="n"/>
      <c r="M179" s="53">
        <f>IF($C179="","",IF(OR($C179="CHUNG",COUNTIF(DM_Ma,$C179)&gt;0),"","MÃ LẠ"))</f>
        <v/>
      </c>
      <c r="N179" s="53">
        <f>IF($A179="","",IF(AND($A179&gt;=pTu,$A179&lt;=pDen),"","NGOÀI KỲ"))</f>
        <v/>
      </c>
      <c r="O179" s="53">
        <f>IF($J179="","",IF($J179&lt;=0,"≤0",""))</f>
        <v/>
      </c>
      <c r="P179" s="53">
        <f>IF(AND($D179="SXC (627)",$F179="Chung"),IF(OR($G179="Cố định",$G179="Biến đổi"),"","THIẾU TÍNH CHẤT"),"")</f>
        <v/>
      </c>
    </row>
    <row r="180" ht="15" customHeight="1" s="54">
      <c r="A180" s="71" t="n"/>
      <c r="B180" s="67" t="n"/>
      <c r="C180" s="67" t="n"/>
      <c r="D180" s="67" t="n"/>
      <c r="E180" s="79">
        <f>IFERROR(INDEX(MAP_TK,MATCH($D180,MAP_KM,0)),"")</f>
        <v/>
      </c>
      <c r="F180" s="67" t="n"/>
      <c r="G180" s="67" t="n"/>
      <c r="H180" s="67" t="n"/>
      <c r="I180" s="67" t="n"/>
      <c r="J180" s="75" t="n"/>
      <c r="K180" s="67" t="n"/>
      <c r="M180" s="53">
        <f>IF($C180="","",IF(OR($C180="CHUNG",COUNTIF(DM_Ma,$C180)&gt;0),"","MÃ LẠ"))</f>
        <v/>
      </c>
      <c r="N180" s="53">
        <f>IF($A180="","",IF(AND($A180&gt;=pTu,$A180&lt;=pDen),"","NGOÀI KỲ"))</f>
        <v/>
      </c>
      <c r="O180" s="53">
        <f>IF($J180="","",IF($J180&lt;=0,"≤0",""))</f>
        <v/>
      </c>
      <c r="P180" s="53">
        <f>IF(AND($D180="SXC (627)",$F180="Chung"),IF(OR($G180="Cố định",$G180="Biến đổi"),"","THIẾU TÍNH CHẤT"),"")</f>
        <v/>
      </c>
    </row>
    <row r="181" ht="15" customHeight="1" s="54">
      <c r="A181" s="71" t="n"/>
      <c r="B181" s="67" t="n"/>
      <c r="C181" s="67" t="n"/>
      <c r="D181" s="67" t="n"/>
      <c r="E181" s="79">
        <f>IFERROR(INDEX(MAP_TK,MATCH($D181,MAP_KM,0)),"")</f>
        <v/>
      </c>
      <c r="F181" s="67" t="n"/>
      <c r="G181" s="67" t="n"/>
      <c r="H181" s="67" t="n"/>
      <c r="I181" s="67" t="n"/>
      <c r="J181" s="75" t="n"/>
      <c r="K181" s="67" t="n"/>
      <c r="M181" s="53">
        <f>IF($C181="","",IF(OR($C181="CHUNG",COUNTIF(DM_Ma,$C181)&gt;0),"","MÃ LẠ"))</f>
        <v/>
      </c>
      <c r="N181" s="53">
        <f>IF($A181="","",IF(AND($A181&gt;=pTu,$A181&lt;=pDen),"","NGOÀI KỲ"))</f>
        <v/>
      </c>
      <c r="O181" s="53">
        <f>IF($J181="","",IF($J181&lt;=0,"≤0",""))</f>
        <v/>
      </c>
      <c r="P181" s="53">
        <f>IF(AND($D181="SXC (627)",$F181="Chung"),IF(OR($G181="Cố định",$G181="Biến đổi"),"","THIẾU TÍNH CHẤT"),"")</f>
        <v/>
      </c>
    </row>
    <row r="182" ht="15" customHeight="1" s="54">
      <c r="A182" s="71" t="n"/>
      <c r="B182" s="67" t="n"/>
      <c r="C182" s="67" t="n"/>
      <c r="D182" s="67" t="n"/>
      <c r="E182" s="79">
        <f>IFERROR(INDEX(MAP_TK,MATCH($D182,MAP_KM,0)),"")</f>
        <v/>
      </c>
      <c r="F182" s="67" t="n"/>
      <c r="G182" s="67" t="n"/>
      <c r="H182" s="67" t="n"/>
      <c r="I182" s="67" t="n"/>
      <c r="J182" s="75" t="n"/>
      <c r="K182" s="67" t="n"/>
      <c r="M182" s="53">
        <f>IF($C182="","",IF(OR($C182="CHUNG",COUNTIF(DM_Ma,$C182)&gt;0),"","MÃ LẠ"))</f>
        <v/>
      </c>
      <c r="N182" s="53">
        <f>IF($A182="","",IF(AND($A182&gt;=pTu,$A182&lt;=pDen),"","NGOÀI KỲ"))</f>
        <v/>
      </c>
      <c r="O182" s="53">
        <f>IF($J182="","",IF($J182&lt;=0,"≤0",""))</f>
        <v/>
      </c>
      <c r="P182" s="53">
        <f>IF(AND($D182="SXC (627)",$F182="Chung"),IF(OR($G182="Cố định",$G182="Biến đổi"),"","THIẾU TÍNH CHẤT"),"")</f>
        <v/>
      </c>
    </row>
    <row r="183" ht="15" customHeight="1" s="54">
      <c r="A183" s="71" t="n"/>
      <c r="B183" s="67" t="n"/>
      <c r="C183" s="67" t="n"/>
      <c r="D183" s="67" t="n"/>
      <c r="E183" s="79">
        <f>IFERROR(INDEX(MAP_TK,MATCH($D183,MAP_KM,0)),"")</f>
        <v/>
      </c>
      <c r="F183" s="67" t="n"/>
      <c r="G183" s="67" t="n"/>
      <c r="H183" s="67" t="n"/>
      <c r="I183" s="67" t="n"/>
      <c r="J183" s="75" t="n"/>
      <c r="K183" s="67" t="n"/>
      <c r="M183" s="53">
        <f>IF($C183="","",IF(OR($C183="CHUNG",COUNTIF(DM_Ma,$C183)&gt;0),"","MÃ LẠ"))</f>
        <v/>
      </c>
      <c r="N183" s="53">
        <f>IF($A183="","",IF(AND($A183&gt;=pTu,$A183&lt;=pDen),"","NGOÀI KỲ"))</f>
        <v/>
      </c>
      <c r="O183" s="53">
        <f>IF($J183="","",IF($J183&lt;=0,"≤0",""))</f>
        <v/>
      </c>
      <c r="P183" s="53">
        <f>IF(AND($D183="SXC (627)",$F183="Chung"),IF(OR($G183="Cố định",$G183="Biến đổi"),"","THIẾU TÍNH CHẤT"),"")</f>
        <v/>
      </c>
    </row>
    <row r="184" ht="15" customHeight="1" s="54">
      <c r="A184" s="71" t="n"/>
      <c r="B184" s="67" t="n"/>
      <c r="C184" s="67" t="n"/>
      <c r="D184" s="67" t="n"/>
      <c r="E184" s="79">
        <f>IFERROR(INDEX(MAP_TK,MATCH($D184,MAP_KM,0)),"")</f>
        <v/>
      </c>
      <c r="F184" s="67" t="n"/>
      <c r="G184" s="67" t="n"/>
      <c r="H184" s="67" t="n"/>
      <c r="I184" s="67" t="n"/>
      <c r="J184" s="75" t="n"/>
      <c r="K184" s="67" t="n"/>
      <c r="M184" s="53">
        <f>IF($C184="","",IF(OR($C184="CHUNG",COUNTIF(DM_Ma,$C184)&gt;0),"","MÃ LẠ"))</f>
        <v/>
      </c>
      <c r="N184" s="53">
        <f>IF($A184="","",IF(AND($A184&gt;=pTu,$A184&lt;=pDen),"","NGOÀI KỲ"))</f>
        <v/>
      </c>
      <c r="O184" s="53">
        <f>IF($J184="","",IF($J184&lt;=0,"≤0",""))</f>
        <v/>
      </c>
      <c r="P184" s="53">
        <f>IF(AND($D184="SXC (627)",$F184="Chung"),IF(OR($G184="Cố định",$G184="Biến đổi"),"","THIẾU TÍNH CHẤT"),"")</f>
        <v/>
      </c>
    </row>
    <row r="185" ht="15" customHeight="1" s="54">
      <c r="A185" s="71" t="n"/>
      <c r="B185" s="67" t="n"/>
      <c r="C185" s="67" t="n"/>
      <c r="D185" s="67" t="n"/>
      <c r="E185" s="79">
        <f>IFERROR(INDEX(MAP_TK,MATCH($D185,MAP_KM,0)),"")</f>
        <v/>
      </c>
      <c r="F185" s="67" t="n"/>
      <c r="G185" s="67" t="n"/>
      <c r="H185" s="67" t="n"/>
      <c r="I185" s="67" t="n"/>
      <c r="J185" s="75" t="n"/>
      <c r="K185" s="67" t="n"/>
      <c r="M185" s="53">
        <f>IF($C185="","",IF(OR($C185="CHUNG",COUNTIF(DM_Ma,$C185)&gt;0),"","MÃ LẠ"))</f>
        <v/>
      </c>
      <c r="N185" s="53">
        <f>IF($A185="","",IF(AND($A185&gt;=pTu,$A185&lt;=pDen),"","NGOÀI KỲ"))</f>
        <v/>
      </c>
      <c r="O185" s="53">
        <f>IF($J185="","",IF($J185&lt;=0,"≤0",""))</f>
        <v/>
      </c>
      <c r="P185" s="53">
        <f>IF(AND($D185="SXC (627)",$F185="Chung"),IF(OR($G185="Cố định",$G185="Biến đổi"),"","THIẾU TÍNH CHẤT"),"")</f>
        <v/>
      </c>
    </row>
    <row r="186" ht="15" customHeight="1" s="54">
      <c r="A186" s="71" t="n"/>
      <c r="B186" s="67" t="n"/>
      <c r="C186" s="67" t="n"/>
      <c r="D186" s="67" t="n"/>
      <c r="E186" s="79">
        <f>IFERROR(INDEX(MAP_TK,MATCH($D186,MAP_KM,0)),"")</f>
        <v/>
      </c>
      <c r="F186" s="67" t="n"/>
      <c r="G186" s="67" t="n"/>
      <c r="H186" s="67" t="n"/>
      <c r="I186" s="67" t="n"/>
      <c r="J186" s="75" t="n"/>
      <c r="K186" s="67" t="n"/>
      <c r="M186" s="53">
        <f>IF($C186="","",IF(OR($C186="CHUNG",COUNTIF(DM_Ma,$C186)&gt;0),"","MÃ LẠ"))</f>
        <v/>
      </c>
      <c r="N186" s="53">
        <f>IF($A186="","",IF(AND($A186&gt;=pTu,$A186&lt;=pDen),"","NGOÀI KỲ"))</f>
        <v/>
      </c>
      <c r="O186" s="53">
        <f>IF($J186="","",IF($J186&lt;=0,"≤0",""))</f>
        <v/>
      </c>
      <c r="P186" s="53">
        <f>IF(AND($D186="SXC (627)",$F186="Chung"),IF(OR($G186="Cố định",$G186="Biến đổi"),"","THIẾU TÍNH CHẤT"),"")</f>
        <v/>
      </c>
    </row>
    <row r="187" ht="15" customHeight="1" s="54">
      <c r="A187" s="71" t="n"/>
      <c r="B187" s="67" t="n"/>
      <c r="C187" s="67" t="n"/>
      <c r="D187" s="67" t="n"/>
      <c r="E187" s="79">
        <f>IFERROR(INDEX(MAP_TK,MATCH($D187,MAP_KM,0)),"")</f>
        <v/>
      </c>
      <c r="F187" s="67" t="n"/>
      <c r="G187" s="67" t="n"/>
      <c r="H187" s="67" t="n"/>
      <c r="I187" s="67" t="n"/>
      <c r="J187" s="75" t="n"/>
      <c r="K187" s="67" t="n"/>
      <c r="M187" s="53">
        <f>IF($C187="","",IF(OR($C187="CHUNG",COUNTIF(DM_Ma,$C187)&gt;0),"","MÃ LẠ"))</f>
        <v/>
      </c>
      <c r="N187" s="53">
        <f>IF($A187="","",IF(AND($A187&gt;=pTu,$A187&lt;=pDen),"","NGOÀI KỲ"))</f>
        <v/>
      </c>
      <c r="O187" s="53">
        <f>IF($J187="","",IF($J187&lt;=0,"≤0",""))</f>
        <v/>
      </c>
      <c r="P187" s="53">
        <f>IF(AND($D187="SXC (627)",$F187="Chung"),IF(OR($G187="Cố định",$G187="Biến đổi"),"","THIẾU TÍNH CHẤT"),"")</f>
        <v/>
      </c>
    </row>
    <row r="188" ht="15" customHeight="1" s="54">
      <c r="A188" s="71" t="n"/>
      <c r="B188" s="67" t="n"/>
      <c r="C188" s="67" t="n"/>
      <c r="D188" s="67" t="n"/>
      <c r="E188" s="79">
        <f>IFERROR(INDEX(MAP_TK,MATCH($D188,MAP_KM,0)),"")</f>
        <v/>
      </c>
      <c r="F188" s="67" t="n"/>
      <c r="G188" s="67" t="n"/>
      <c r="H188" s="67" t="n"/>
      <c r="I188" s="67" t="n"/>
      <c r="J188" s="75" t="n"/>
      <c r="K188" s="67" t="n"/>
      <c r="M188" s="53">
        <f>IF($C188="","",IF(OR($C188="CHUNG",COUNTIF(DM_Ma,$C188)&gt;0),"","MÃ LẠ"))</f>
        <v/>
      </c>
      <c r="N188" s="53">
        <f>IF($A188="","",IF(AND($A188&gt;=pTu,$A188&lt;=pDen),"","NGOÀI KỲ"))</f>
        <v/>
      </c>
      <c r="O188" s="53">
        <f>IF($J188="","",IF($J188&lt;=0,"≤0",""))</f>
        <v/>
      </c>
      <c r="P188" s="53">
        <f>IF(AND($D188="SXC (627)",$F188="Chung"),IF(OR($G188="Cố định",$G188="Biến đổi"),"","THIẾU TÍNH CHẤT"),"")</f>
        <v/>
      </c>
    </row>
    <row r="189" ht="15" customHeight="1" s="54">
      <c r="A189" s="71" t="n"/>
      <c r="B189" s="67" t="n"/>
      <c r="C189" s="67" t="n"/>
      <c r="D189" s="67" t="n"/>
      <c r="E189" s="79">
        <f>IFERROR(INDEX(MAP_TK,MATCH($D189,MAP_KM,0)),"")</f>
        <v/>
      </c>
      <c r="F189" s="67" t="n"/>
      <c r="G189" s="67" t="n"/>
      <c r="H189" s="67" t="n"/>
      <c r="I189" s="67" t="n"/>
      <c r="J189" s="75" t="n"/>
      <c r="K189" s="67" t="n"/>
      <c r="M189" s="53">
        <f>IF($C189="","",IF(OR($C189="CHUNG",COUNTIF(DM_Ma,$C189)&gt;0),"","MÃ LẠ"))</f>
        <v/>
      </c>
      <c r="N189" s="53">
        <f>IF($A189="","",IF(AND($A189&gt;=pTu,$A189&lt;=pDen),"","NGOÀI KỲ"))</f>
        <v/>
      </c>
      <c r="O189" s="53">
        <f>IF($J189="","",IF($J189&lt;=0,"≤0",""))</f>
        <v/>
      </c>
      <c r="P189" s="53">
        <f>IF(AND($D189="SXC (627)",$F189="Chung"),IF(OR($G189="Cố định",$G189="Biến đổi"),"","THIẾU TÍNH CHẤT"),"")</f>
        <v/>
      </c>
    </row>
    <row r="190" ht="15" customHeight="1" s="54">
      <c r="A190" s="71" t="n"/>
      <c r="B190" s="67" t="n"/>
      <c r="C190" s="67" t="n"/>
      <c r="D190" s="67" t="n"/>
      <c r="E190" s="79">
        <f>IFERROR(INDEX(MAP_TK,MATCH($D190,MAP_KM,0)),"")</f>
        <v/>
      </c>
      <c r="F190" s="67" t="n"/>
      <c r="G190" s="67" t="n"/>
      <c r="H190" s="67" t="n"/>
      <c r="I190" s="67" t="n"/>
      <c r="J190" s="75" t="n"/>
      <c r="K190" s="67" t="n"/>
      <c r="M190" s="53">
        <f>IF($C190="","",IF(OR($C190="CHUNG",COUNTIF(DM_Ma,$C190)&gt;0),"","MÃ LẠ"))</f>
        <v/>
      </c>
      <c r="N190" s="53">
        <f>IF($A190="","",IF(AND($A190&gt;=pTu,$A190&lt;=pDen),"","NGOÀI KỲ"))</f>
        <v/>
      </c>
      <c r="O190" s="53">
        <f>IF($J190="","",IF($J190&lt;=0,"≤0",""))</f>
        <v/>
      </c>
      <c r="P190" s="53">
        <f>IF(AND($D190="SXC (627)",$F190="Chung"),IF(OR($G190="Cố định",$G190="Biến đổi"),"","THIẾU TÍNH CHẤT"),"")</f>
        <v/>
      </c>
    </row>
    <row r="191" ht="15" customHeight="1" s="54">
      <c r="A191" s="71" t="n"/>
      <c r="B191" s="67" t="n"/>
      <c r="C191" s="67" t="n"/>
      <c r="D191" s="67" t="n"/>
      <c r="E191" s="79">
        <f>IFERROR(INDEX(MAP_TK,MATCH($D191,MAP_KM,0)),"")</f>
        <v/>
      </c>
      <c r="F191" s="67" t="n"/>
      <c r="G191" s="67" t="n"/>
      <c r="H191" s="67" t="n"/>
      <c r="I191" s="67" t="n"/>
      <c r="J191" s="75" t="n"/>
      <c r="K191" s="67" t="n"/>
      <c r="M191" s="53">
        <f>IF($C191="","",IF(OR($C191="CHUNG",COUNTIF(DM_Ma,$C191)&gt;0),"","MÃ LẠ"))</f>
        <v/>
      </c>
      <c r="N191" s="53">
        <f>IF($A191="","",IF(AND($A191&gt;=pTu,$A191&lt;=pDen),"","NGOÀI KỲ"))</f>
        <v/>
      </c>
      <c r="O191" s="53">
        <f>IF($J191="","",IF($J191&lt;=0,"≤0",""))</f>
        <v/>
      </c>
      <c r="P191" s="53">
        <f>IF(AND($D191="SXC (627)",$F191="Chung"),IF(OR($G191="Cố định",$G191="Biến đổi"),"","THIẾU TÍNH CHẤT"),"")</f>
        <v/>
      </c>
    </row>
    <row r="192" ht="15" customHeight="1" s="54">
      <c r="A192" s="71" t="n"/>
      <c r="B192" s="67" t="n"/>
      <c r="C192" s="67" t="n"/>
      <c r="D192" s="67" t="n"/>
      <c r="E192" s="79">
        <f>IFERROR(INDEX(MAP_TK,MATCH($D192,MAP_KM,0)),"")</f>
        <v/>
      </c>
      <c r="F192" s="67" t="n"/>
      <c r="G192" s="67" t="n"/>
      <c r="H192" s="67" t="n"/>
      <c r="I192" s="67" t="n"/>
      <c r="J192" s="75" t="n"/>
      <c r="K192" s="67" t="n"/>
      <c r="M192" s="53">
        <f>IF($C192="","",IF(OR($C192="CHUNG",COUNTIF(DM_Ma,$C192)&gt;0),"","MÃ LẠ"))</f>
        <v/>
      </c>
      <c r="N192" s="53">
        <f>IF($A192="","",IF(AND($A192&gt;=pTu,$A192&lt;=pDen),"","NGOÀI KỲ"))</f>
        <v/>
      </c>
      <c r="O192" s="53">
        <f>IF($J192="","",IF($J192&lt;=0,"≤0",""))</f>
        <v/>
      </c>
      <c r="P192" s="53">
        <f>IF(AND($D192="SXC (627)",$F192="Chung"),IF(OR($G192="Cố định",$G192="Biến đổi"),"","THIẾU TÍNH CHẤT"),"")</f>
        <v/>
      </c>
    </row>
    <row r="193" ht="15" customHeight="1" s="54">
      <c r="A193" s="71" t="n"/>
      <c r="B193" s="67" t="n"/>
      <c r="C193" s="67" t="n"/>
      <c r="D193" s="67" t="n"/>
      <c r="E193" s="79">
        <f>IFERROR(INDEX(MAP_TK,MATCH($D193,MAP_KM,0)),"")</f>
        <v/>
      </c>
      <c r="F193" s="67" t="n"/>
      <c r="G193" s="67" t="n"/>
      <c r="H193" s="67" t="n"/>
      <c r="I193" s="67" t="n"/>
      <c r="J193" s="75" t="n"/>
      <c r="K193" s="67" t="n"/>
      <c r="M193" s="53">
        <f>IF($C193="","",IF(OR($C193="CHUNG",COUNTIF(DM_Ma,$C193)&gt;0),"","MÃ LẠ"))</f>
        <v/>
      </c>
      <c r="N193" s="53">
        <f>IF($A193="","",IF(AND($A193&gt;=pTu,$A193&lt;=pDen),"","NGOÀI KỲ"))</f>
        <v/>
      </c>
      <c r="O193" s="53">
        <f>IF($J193="","",IF($J193&lt;=0,"≤0",""))</f>
        <v/>
      </c>
      <c r="P193" s="53">
        <f>IF(AND($D193="SXC (627)",$F193="Chung"),IF(OR($G193="Cố định",$G193="Biến đổi"),"","THIẾU TÍNH CHẤT"),"")</f>
        <v/>
      </c>
    </row>
    <row r="194" ht="15" customHeight="1" s="54">
      <c r="A194" s="71" t="n"/>
      <c r="B194" s="67" t="n"/>
      <c r="C194" s="67" t="n"/>
      <c r="D194" s="67" t="n"/>
      <c r="E194" s="79">
        <f>IFERROR(INDEX(MAP_TK,MATCH($D194,MAP_KM,0)),"")</f>
        <v/>
      </c>
      <c r="F194" s="67" t="n"/>
      <c r="G194" s="67" t="n"/>
      <c r="H194" s="67" t="n"/>
      <c r="I194" s="67" t="n"/>
      <c r="J194" s="75" t="n"/>
      <c r="K194" s="67" t="n"/>
      <c r="M194" s="53">
        <f>IF($C194="","",IF(OR($C194="CHUNG",COUNTIF(DM_Ma,$C194)&gt;0),"","MÃ LẠ"))</f>
        <v/>
      </c>
      <c r="N194" s="53">
        <f>IF($A194="","",IF(AND($A194&gt;=pTu,$A194&lt;=pDen),"","NGOÀI KỲ"))</f>
        <v/>
      </c>
      <c r="O194" s="53">
        <f>IF($J194="","",IF($J194&lt;=0,"≤0",""))</f>
        <v/>
      </c>
      <c r="P194" s="53">
        <f>IF(AND($D194="SXC (627)",$F194="Chung"),IF(OR($G194="Cố định",$G194="Biến đổi"),"","THIẾU TÍNH CHẤT"),"")</f>
        <v/>
      </c>
    </row>
    <row r="195" ht="15" customHeight="1" s="54">
      <c r="A195" s="71" t="n"/>
      <c r="B195" s="67" t="n"/>
      <c r="C195" s="67" t="n"/>
      <c r="D195" s="67" t="n"/>
      <c r="E195" s="79">
        <f>IFERROR(INDEX(MAP_TK,MATCH($D195,MAP_KM,0)),"")</f>
        <v/>
      </c>
      <c r="F195" s="67" t="n"/>
      <c r="G195" s="67" t="n"/>
      <c r="H195" s="67" t="n"/>
      <c r="I195" s="67" t="n"/>
      <c r="J195" s="75" t="n"/>
      <c r="K195" s="67" t="n"/>
      <c r="M195" s="53">
        <f>IF($C195="","",IF(OR($C195="CHUNG",COUNTIF(DM_Ma,$C195)&gt;0),"","MÃ LẠ"))</f>
        <v/>
      </c>
      <c r="N195" s="53">
        <f>IF($A195="","",IF(AND($A195&gt;=pTu,$A195&lt;=pDen),"","NGOÀI KỲ"))</f>
        <v/>
      </c>
      <c r="O195" s="53">
        <f>IF($J195="","",IF($J195&lt;=0,"≤0",""))</f>
        <v/>
      </c>
      <c r="P195" s="53">
        <f>IF(AND($D195="SXC (627)",$F195="Chung"),IF(OR($G195="Cố định",$G195="Biến đổi"),"","THIẾU TÍNH CHẤT"),"")</f>
        <v/>
      </c>
    </row>
    <row r="196" ht="15" customHeight="1" s="54">
      <c r="A196" s="71" t="n"/>
      <c r="B196" s="67" t="n"/>
      <c r="C196" s="67" t="n"/>
      <c r="D196" s="67" t="n"/>
      <c r="E196" s="79">
        <f>IFERROR(INDEX(MAP_TK,MATCH($D196,MAP_KM,0)),"")</f>
        <v/>
      </c>
      <c r="F196" s="67" t="n"/>
      <c r="G196" s="67" t="n"/>
      <c r="H196" s="67" t="n"/>
      <c r="I196" s="67" t="n"/>
      <c r="J196" s="75" t="n"/>
      <c r="K196" s="67" t="n"/>
      <c r="M196" s="53">
        <f>IF($C196="","",IF(OR($C196="CHUNG",COUNTIF(DM_Ma,$C196)&gt;0),"","MÃ LẠ"))</f>
        <v/>
      </c>
      <c r="N196" s="53">
        <f>IF($A196="","",IF(AND($A196&gt;=pTu,$A196&lt;=pDen),"","NGOÀI KỲ"))</f>
        <v/>
      </c>
      <c r="O196" s="53">
        <f>IF($J196="","",IF($J196&lt;=0,"≤0",""))</f>
        <v/>
      </c>
      <c r="P196" s="53">
        <f>IF(AND($D196="SXC (627)",$F196="Chung"),IF(OR($G196="Cố định",$G196="Biến đổi"),"","THIẾU TÍNH CHẤT"),"")</f>
        <v/>
      </c>
    </row>
    <row r="197" ht="15" customHeight="1" s="54">
      <c r="A197" s="71" t="n"/>
      <c r="B197" s="67" t="n"/>
      <c r="C197" s="67" t="n"/>
      <c r="D197" s="67" t="n"/>
      <c r="E197" s="79">
        <f>IFERROR(INDEX(MAP_TK,MATCH($D197,MAP_KM,0)),"")</f>
        <v/>
      </c>
      <c r="F197" s="67" t="n"/>
      <c r="G197" s="67" t="n"/>
      <c r="H197" s="67" t="n"/>
      <c r="I197" s="67" t="n"/>
      <c r="J197" s="75" t="n"/>
      <c r="K197" s="67" t="n"/>
      <c r="M197" s="53">
        <f>IF($C197="","",IF(OR($C197="CHUNG",COUNTIF(DM_Ma,$C197)&gt;0),"","MÃ LẠ"))</f>
        <v/>
      </c>
      <c r="N197" s="53">
        <f>IF($A197="","",IF(AND($A197&gt;=pTu,$A197&lt;=pDen),"","NGOÀI KỲ"))</f>
        <v/>
      </c>
      <c r="O197" s="53">
        <f>IF($J197="","",IF($J197&lt;=0,"≤0",""))</f>
        <v/>
      </c>
      <c r="P197" s="53">
        <f>IF(AND($D197="SXC (627)",$F197="Chung"),IF(OR($G197="Cố định",$G197="Biến đổi"),"","THIẾU TÍNH CHẤT"),"")</f>
        <v/>
      </c>
    </row>
    <row r="198" ht="15" customHeight="1" s="54">
      <c r="A198" s="71" t="n"/>
      <c r="B198" s="67" t="n"/>
      <c r="C198" s="67" t="n"/>
      <c r="D198" s="67" t="n"/>
      <c r="E198" s="79">
        <f>IFERROR(INDEX(MAP_TK,MATCH($D198,MAP_KM,0)),"")</f>
        <v/>
      </c>
      <c r="F198" s="67" t="n"/>
      <c r="G198" s="67" t="n"/>
      <c r="H198" s="67" t="n"/>
      <c r="I198" s="67" t="n"/>
      <c r="J198" s="75" t="n"/>
      <c r="K198" s="67" t="n"/>
      <c r="M198" s="53">
        <f>IF($C198="","",IF(OR($C198="CHUNG",COUNTIF(DM_Ma,$C198)&gt;0),"","MÃ LẠ"))</f>
        <v/>
      </c>
      <c r="N198" s="53">
        <f>IF($A198="","",IF(AND($A198&gt;=pTu,$A198&lt;=pDen),"","NGOÀI KỲ"))</f>
        <v/>
      </c>
      <c r="O198" s="53">
        <f>IF($J198="","",IF($J198&lt;=0,"≤0",""))</f>
        <v/>
      </c>
      <c r="P198" s="53">
        <f>IF(AND($D198="SXC (627)",$F198="Chung"),IF(OR($G198="Cố định",$G198="Biến đổi"),"","THIẾU TÍNH CHẤT"),"")</f>
        <v/>
      </c>
    </row>
    <row r="199" ht="15" customHeight="1" s="54">
      <c r="A199" s="71" t="n"/>
      <c r="B199" s="67" t="n"/>
      <c r="C199" s="67" t="n"/>
      <c r="D199" s="67" t="n"/>
      <c r="E199" s="79">
        <f>IFERROR(INDEX(MAP_TK,MATCH($D199,MAP_KM,0)),"")</f>
        <v/>
      </c>
      <c r="F199" s="67" t="n"/>
      <c r="G199" s="67" t="n"/>
      <c r="H199" s="67" t="n"/>
      <c r="I199" s="67" t="n"/>
      <c r="J199" s="75" t="n"/>
      <c r="K199" s="67" t="n"/>
      <c r="M199" s="53">
        <f>IF($C199="","",IF(OR($C199="CHUNG",COUNTIF(DM_Ma,$C199)&gt;0),"","MÃ LẠ"))</f>
        <v/>
      </c>
      <c r="N199" s="53">
        <f>IF($A199="","",IF(AND($A199&gt;=pTu,$A199&lt;=pDen),"","NGOÀI KỲ"))</f>
        <v/>
      </c>
      <c r="O199" s="53">
        <f>IF($J199="","",IF($J199&lt;=0,"≤0",""))</f>
        <v/>
      </c>
      <c r="P199" s="53">
        <f>IF(AND($D199="SXC (627)",$F199="Chung"),IF(OR($G199="Cố định",$G199="Biến đổi"),"","THIẾU TÍNH CHẤT"),"")</f>
        <v/>
      </c>
    </row>
    <row r="200" ht="15" customHeight="1" s="54">
      <c r="A200" s="71" t="n"/>
      <c r="B200" s="67" t="n"/>
      <c r="C200" s="67" t="n"/>
      <c r="D200" s="67" t="n"/>
      <c r="E200" s="79">
        <f>IFERROR(INDEX(MAP_TK,MATCH($D200,MAP_KM,0)),"")</f>
        <v/>
      </c>
      <c r="F200" s="67" t="n"/>
      <c r="G200" s="67" t="n"/>
      <c r="H200" s="67" t="n"/>
      <c r="I200" s="67" t="n"/>
      <c r="J200" s="75" t="n"/>
      <c r="K200" s="67" t="n"/>
      <c r="M200" s="53">
        <f>IF($C200="","",IF(OR($C200="CHUNG",COUNTIF(DM_Ma,$C200)&gt;0),"","MÃ LẠ"))</f>
        <v/>
      </c>
      <c r="N200" s="53">
        <f>IF($A200="","",IF(AND($A200&gt;=pTu,$A200&lt;=pDen),"","NGOÀI KỲ"))</f>
        <v/>
      </c>
      <c r="O200" s="53">
        <f>IF($J200="","",IF($J200&lt;=0,"≤0",""))</f>
        <v/>
      </c>
      <c r="P200" s="53">
        <f>IF(AND($D200="SXC (627)",$F200="Chung"),IF(OR($G200="Cố định",$G200="Biến đổi"),"","THIẾU TÍNH CHẤT"),"")</f>
        <v/>
      </c>
    </row>
    <row r="201" ht="15" customHeight="1" s="54">
      <c r="A201" s="71" t="n"/>
      <c r="B201" s="67" t="n"/>
      <c r="C201" s="67" t="n"/>
      <c r="D201" s="67" t="n"/>
      <c r="E201" s="79">
        <f>IFERROR(INDEX(MAP_TK,MATCH($D201,MAP_KM,0)),"")</f>
        <v/>
      </c>
      <c r="F201" s="67" t="n"/>
      <c r="G201" s="67" t="n"/>
      <c r="H201" s="67" t="n"/>
      <c r="I201" s="67" t="n"/>
      <c r="J201" s="75" t="n"/>
      <c r="K201" s="67" t="n"/>
      <c r="M201" s="53">
        <f>IF($C201="","",IF(OR($C201="CHUNG",COUNTIF(DM_Ma,$C201)&gt;0),"","MÃ LẠ"))</f>
        <v/>
      </c>
      <c r="N201" s="53">
        <f>IF($A201="","",IF(AND($A201&gt;=pTu,$A201&lt;=pDen),"","NGOÀI KỲ"))</f>
        <v/>
      </c>
      <c r="O201" s="53">
        <f>IF($J201="","",IF($J201&lt;=0,"≤0",""))</f>
        <v/>
      </c>
      <c r="P201" s="53">
        <f>IF(AND($D201="SXC (627)",$F201="Chung"),IF(OR($G201="Cố định",$G201="Biến đổi"),"","THIẾU TÍNH CHẤT"),"")</f>
        <v/>
      </c>
    </row>
    <row r="202" ht="15" customHeight="1" s="54">
      <c r="A202" s="71" t="n"/>
      <c r="B202" s="67" t="n"/>
      <c r="C202" s="67" t="n"/>
      <c r="D202" s="67" t="n"/>
      <c r="E202" s="79">
        <f>IFERROR(INDEX(MAP_TK,MATCH($D202,MAP_KM,0)),"")</f>
        <v/>
      </c>
      <c r="F202" s="67" t="n"/>
      <c r="G202" s="67" t="n"/>
      <c r="H202" s="67" t="n"/>
      <c r="I202" s="67" t="n"/>
      <c r="J202" s="75" t="n"/>
      <c r="K202" s="67" t="n"/>
      <c r="M202" s="53">
        <f>IF($C202="","",IF(OR($C202="CHUNG",COUNTIF(DM_Ma,$C202)&gt;0),"","MÃ LẠ"))</f>
        <v/>
      </c>
      <c r="N202" s="53">
        <f>IF($A202="","",IF(AND($A202&gt;=pTu,$A202&lt;=pDen),"","NGOÀI KỲ"))</f>
        <v/>
      </c>
      <c r="O202" s="53">
        <f>IF($J202="","",IF($J202&lt;=0,"≤0",""))</f>
        <v/>
      </c>
      <c r="P202" s="53">
        <f>IF(AND($D202="SXC (627)",$F202="Chung"),IF(OR($G202="Cố định",$G202="Biến đổi"),"","THIẾU TÍNH CHẤT"),"")</f>
        <v/>
      </c>
    </row>
    <row r="203" ht="15" customHeight="1" s="54">
      <c r="A203" s="71" t="n"/>
      <c r="B203" s="67" t="n"/>
      <c r="C203" s="67" t="n"/>
      <c r="D203" s="67" t="n"/>
      <c r="E203" s="79">
        <f>IFERROR(INDEX(MAP_TK,MATCH($D203,MAP_KM,0)),"")</f>
        <v/>
      </c>
      <c r="F203" s="67" t="n"/>
      <c r="G203" s="67" t="n"/>
      <c r="H203" s="67" t="n"/>
      <c r="I203" s="67" t="n"/>
      <c r="J203" s="75" t="n"/>
      <c r="K203" s="67" t="n"/>
      <c r="M203" s="53">
        <f>IF($C203="","",IF(OR($C203="CHUNG",COUNTIF(DM_Ma,$C203)&gt;0),"","MÃ LẠ"))</f>
        <v/>
      </c>
      <c r="N203" s="53">
        <f>IF($A203="","",IF(AND($A203&gt;=pTu,$A203&lt;=pDen),"","NGOÀI KỲ"))</f>
        <v/>
      </c>
      <c r="O203" s="53">
        <f>IF($J203="","",IF($J203&lt;=0,"≤0",""))</f>
        <v/>
      </c>
      <c r="P203" s="53">
        <f>IF(AND($D203="SXC (627)",$F203="Chung"),IF(OR($G203="Cố định",$G203="Biến đổi"),"","THIẾU TÍNH CHẤT"),"")</f>
        <v/>
      </c>
    </row>
    <row r="204" ht="15" customHeight="1" s="54">
      <c r="A204" s="71" t="n"/>
      <c r="B204" s="67" t="n"/>
      <c r="C204" s="67" t="n"/>
      <c r="D204" s="67" t="n"/>
      <c r="E204" s="79">
        <f>IFERROR(INDEX(MAP_TK,MATCH($D204,MAP_KM,0)),"")</f>
        <v/>
      </c>
      <c r="F204" s="67" t="n"/>
      <c r="G204" s="67" t="n"/>
      <c r="H204" s="67" t="n"/>
      <c r="I204" s="67" t="n"/>
      <c r="J204" s="75" t="n"/>
      <c r="K204" s="67" t="n"/>
      <c r="M204" s="53">
        <f>IF($C204="","",IF(OR($C204="CHUNG",COUNTIF(DM_Ma,$C204)&gt;0),"","MÃ LẠ"))</f>
        <v/>
      </c>
      <c r="N204" s="53">
        <f>IF($A204="","",IF(AND($A204&gt;=pTu,$A204&lt;=pDen),"","NGOÀI KỲ"))</f>
        <v/>
      </c>
      <c r="O204" s="53">
        <f>IF($J204="","",IF($J204&lt;=0,"≤0",""))</f>
        <v/>
      </c>
      <c r="P204" s="53">
        <f>IF(AND($D204="SXC (627)",$F204="Chung"),IF(OR($G204="Cố định",$G204="Biến đổi"),"","THIẾU TÍNH CHẤT"),"")</f>
        <v/>
      </c>
    </row>
    <row r="205" ht="15" customHeight="1" s="54">
      <c r="A205" s="71" t="n"/>
      <c r="B205" s="67" t="n"/>
      <c r="C205" s="67" t="n"/>
      <c r="D205" s="67" t="n"/>
      <c r="E205" s="79">
        <f>IFERROR(INDEX(MAP_TK,MATCH($D205,MAP_KM,0)),"")</f>
        <v/>
      </c>
      <c r="F205" s="67" t="n"/>
      <c r="G205" s="67" t="n"/>
      <c r="H205" s="67" t="n"/>
      <c r="I205" s="67" t="n"/>
      <c r="J205" s="75" t="n"/>
      <c r="K205" s="67" t="n"/>
      <c r="M205" s="53">
        <f>IF($C205="","",IF(OR($C205="CHUNG",COUNTIF(DM_Ma,$C205)&gt;0),"","MÃ LẠ"))</f>
        <v/>
      </c>
      <c r="N205" s="53">
        <f>IF($A205="","",IF(AND($A205&gt;=pTu,$A205&lt;=pDen),"","NGOÀI KỲ"))</f>
        <v/>
      </c>
      <c r="O205" s="53">
        <f>IF($J205="","",IF($J205&lt;=0,"≤0",""))</f>
        <v/>
      </c>
      <c r="P205" s="53">
        <f>IF(AND($D205="SXC (627)",$F205="Chung"),IF(OR($G205="Cố định",$G205="Biến đổi"),"","THIẾU TÍNH CHẤT"),"")</f>
        <v/>
      </c>
    </row>
    <row r="206" ht="15" customHeight="1" s="54">
      <c r="A206" s="71" t="n"/>
      <c r="B206" s="67" t="n"/>
      <c r="C206" s="67" t="n"/>
      <c r="D206" s="67" t="n"/>
      <c r="E206" s="79">
        <f>IFERROR(INDEX(MAP_TK,MATCH($D206,MAP_KM,0)),"")</f>
        <v/>
      </c>
      <c r="F206" s="67" t="n"/>
      <c r="G206" s="67" t="n"/>
      <c r="H206" s="67" t="n"/>
      <c r="I206" s="67" t="n"/>
      <c r="J206" s="75" t="n"/>
      <c r="K206" s="67" t="n"/>
      <c r="M206" s="53">
        <f>IF($C206="","",IF(OR($C206="CHUNG",COUNTIF(DM_Ma,$C206)&gt;0),"","MÃ LẠ"))</f>
        <v/>
      </c>
      <c r="N206" s="53">
        <f>IF($A206="","",IF(AND($A206&gt;=pTu,$A206&lt;=pDen),"","NGOÀI KỲ"))</f>
        <v/>
      </c>
      <c r="O206" s="53">
        <f>IF($J206="","",IF($J206&lt;=0,"≤0",""))</f>
        <v/>
      </c>
      <c r="P206" s="53">
        <f>IF(AND($D206="SXC (627)",$F206="Chung"),IF(OR($G206="Cố định",$G206="Biến đổi"),"","THIẾU TÍNH CHẤT"),"")</f>
        <v/>
      </c>
    </row>
    <row r="207" ht="15" customHeight="1" s="54">
      <c r="A207" s="71" t="n"/>
      <c r="B207" s="67" t="n"/>
      <c r="C207" s="67" t="n"/>
      <c r="D207" s="67" t="n"/>
      <c r="E207" s="79">
        <f>IFERROR(INDEX(MAP_TK,MATCH($D207,MAP_KM,0)),"")</f>
        <v/>
      </c>
      <c r="F207" s="67" t="n"/>
      <c r="G207" s="67" t="n"/>
      <c r="H207" s="67" t="n"/>
      <c r="I207" s="67" t="n"/>
      <c r="J207" s="75" t="n"/>
      <c r="K207" s="67" t="n"/>
      <c r="M207" s="53">
        <f>IF($C207="","",IF(OR($C207="CHUNG",COUNTIF(DM_Ma,$C207)&gt;0),"","MÃ LẠ"))</f>
        <v/>
      </c>
      <c r="N207" s="53">
        <f>IF($A207="","",IF(AND($A207&gt;=pTu,$A207&lt;=pDen),"","NGOÀI KỲ"))</f>
        <v/>
      </c>
      <c r="O207" s="53">
        <f>IF($J207="","",IF($J207&lt;=0,"≤0",""))</f>
        <v/>
      </c>
      <c r="P207" s="53">
        <f>IF(AND($D207="SXC (627)",$F207="Chung"),IF(OR($G207="Cố định",$G207="Biến đổi"),"","THIẾU TÍNH CHẤT"),"")</f>
        <v/>
      </c>
    </row>
    <row r="208" ht="15" customHeight="1" s="54">
      <c r="A208" s="71" t="n"/>
      <c r="B208" s="67" t="n"/>
      <c r="C208" s="67" t="n"/>
      <c r="D208" s="67" t="n"/>
      <c r="E208" s="79">
        <f>IFERROR(INDEX(MAP_TK,MATCH($D208,MAP_KM,0)),"")</f>
        <v/>
      </c>
      <c r="F208" s="67" t="n"/>
      <c r="G208" s="67" t="n"/>
      <c r="H208" s="67" t="n"/>
      <c r="I208" s="67" t="n"/>
      <c r="J208" s="75" t="n"/>
      <c r="K208" s="67" t="n"/>
      <c r="M208" s="53">
        <f>IF($C208="","",IF(OR($C208="CHUNG",COUNTIF(DM_Ma,$C208)&gt;0),"","MÃ LẠ"))</f>
        <v/>
      </c>
      <c r="N208" s="53">
        <f>IF($A208="","",IF(AND($A208&gt;=pTu,$A208&lt;=pDen),"","NGOÀI KỲ"))</f>
        <v/>
      </c>
      <c r="O208" s="53">
        <f>IF($J208="","",IF($J208&lt;=0,"≤0",""))</f>
        <v/>
      </c>
      <c r="P208" s="53">
        <f>IF(AND($D208="SXC (627)",$F208="Chung"),IF(OR($G208="Cố định",$G208="Biến đổi"),"","THIẾU TÍNH CHẤT"),"")</f>
        <v/>
      </c>
    </row>
    <row r="209" ht="15" customHeight="1" s="54">
      <c r="A209" s="71" t="n"/>
      <c r="B209" s="67" t="n"/>
      <c r="C209" s="67" t="n"/>
      <c r="D209" s="67" t="n"/>
      <c r="E209" s="79">
        <f>IFERROR(INDEX(MAP_TK,MATCH($D209,MAP_KM,0)),"")</f>
        <v/>
      </c>
      <c r="F209" s="67" t="n"/>
      <c r="G209" s="67" t="n"/>
      <c r="H209" s="67" t="n"/>
      <c r="I209" s="67" t="n"/>
      <c r="J209" s="75" t="n"/>
      <c r="K209" s="67" t="n"/>
      <c r="M209" s="53">
        <f>IF($C209="","",IF(OR($C209="CHUNG",COUNTIF(DM_Ma,$C209)&gt;0),"","MÃ LẠ"))</f>
        <v/>
      </c>
      <c r="N209" s="53">
        <f>IF($A209="","",IF(AND($A209&gt;=pTu,$A209&lt;=pDen),"","NGOÀI KỲ"))</f>
        <v/>
      </c>
      <c r="O209" s="53">
        <f>IF($J209="","",IF($J209&lt;=0,"≤0",""))</f>
        <v/>
      </c>
      <c r="P209" s="53">
        <f>IF(AND($D209="SXC (627)",$F209="Chung"),IF(OR($G209="Cố định",$G209="Biến đổi"),"","THIẾU TÍNH CHẤT"),"")</f>
        <v/>
      </c>
    </row>
    <row r="210" ht="15" customHeight="1" s="54">
      <c r="A210" s="71" t="n"/>
      <c r="B210" s="67" t="n"/>
      <c r="C210" s="67" t="n"/>
      <c r="D210" s="67" t="n"/>
      <c r="E210" s="79">
        <f>IFERROR(INDEX(MAP_TK,MATCH($D210,MAP_KM,0)),"")</f>
        <v/>
      </c>
      <c r="F210" s="67" t="n"/>
      <c r="G210" s="67" t="n"/>
      <c r="H210" s="67" t="n"/>
      <c r="I210" s="67" t="n"/>
      <c r="J210" s="75" t="n"/>
      <c r="K210" s="67" t="n"/>
      <c r="M210" s="53">
        <f>IF($C210="","",IF(OR($C210="CHUNG",COUNTIF(DM_Ma,$C210)&gt;0),"","MÃ LẠ"))</f>
        <v/>
      </c>
      <c r="N210" s="53">
        <f>IF($A210="","",IF(AND($A210&gt;=pTu,$A210&lt;=pDen),"","NGOÀI KỲ"))</f>
        <v/>
      </c>
      <c r="O210" s="53">
        <f>IF($J210="","",IF($J210&lt;=0,"≤0",""))</f>
        <v/>
      </c>
      <c r="P210" s="53">
        <f>IF(AND($D210="SXC (627)",$F210="Chung"),IF(OR($G210="Cố định",$G210="Biến đổi"),"","THIẾU TÍNH CHẤT"),"")</f>
        <v/>
      </c>
    </row>
    <row r="211" ht="15" customHeight="1" s="54">
      <c r="A211" s="71" t="n"/>
      <c r="B211" s="67" t="n"/>
      <c r="C211" s="67" t="n"/>
      <c r="D211" s="67" t="n"/>
      <c r="E211" s="79">
        <f>IFERROR(INDEX(MAP_TK,MATCH($D211,MAP_KM,0)),"")</f>
        <v/>
      </c>
      <c r="F211" s="67" t="n"/>
      <c r="G211" s="67" t="n"/>
      <c r="H211" s="67" t="n"/>
      <c r="I211" s="67" t="n"/>
      <c r="J211" s="75" t="n"/>
      <c r="K211" s="67" t="n"/>
      <c r="M211" s="53">
        <f>IF($C211="","",IF(OR($C211="CHUNG",COUNTIF(DM_Ma,$C211)&gt;0),"","MÃ LẠ"))</f>
        <v/>
      </c>
      <c r="N211" s="53">
        <f>IF($A211="","",IF(AND($A211&gt;=pTu,$A211&lt;=pDen),"","NGOÀI KỲ"))</f>
        <v/>
      </c>
      <c r="O211" s="53">
        <f>IF($J211="","",IF($J211&lt;=0,"≤0",""))</f>
        <v/>
      </c>
      <c r="P211" s="53">
        <f>IF(AND($D211="SXC (627)",$F211="Chung"),IF(OR($G211="Cố định",$G211="Biến đổi"),"","THIẾU TÍNH CHẤT"),"")</f>
        <v/>
      </c>
    </row>
    <row r="212" ht="15" customHeight="1" s="54">
      <c r="A212" s="71" t="n"/>
      <c r="B212" s="67" t="n"/>
      <c r="C212" s="67" t="n"/>
      <c r="D212" s="67" t="n"/>
      <c r="E212" s="79">
        <f>IFERROR(INDEX(MAP_TK,MATCH($D212,MAP_KM,0)),"")</f>
        <v/>
      </c>
      <c r="F212" s="67" t="n"/>
      <c r="G212" s="67" t="n"/>
      <c r="H212" s="67" t="n"/>
      <c r="I212" s="67" t="n"/>
      <c r="J212" s="75" t="n"/>
      <c r="K212" s="67" t="n"/>
      <c r="M212" s="53">
        <f>IF($C212="","",IF(OR($C212="CHUNG",COUNTIF(DM_Ma,$C212)&gt;0),"","MÃ LẠ"))</f>
        <v/>
      </c>
      <c r="N212" s="53">
        <f>IF($A212="","",IF(AND($A212&gt;=pTu,$A212&lt;=pDen),"","NGOÀI KỲ"))</f>
        <v/>
      </c>
      <c r="O212" s="53">
        <f>IF($J212="","",IF($J212&lt;=0,"≤0",""))</f>
        <v/>
      </c>
      <c r="P212" s="53">
        <f>IF(AND($D212="SXC (627)",$F212="Chung"),IF(OR($G212="Cố định",$G212="Biến đổi"),"","THIẾU TÍNH CHẤT"),"")</f>
        <v/>
      </c>
    </row>
    <row r="213" ht="15" customHeight="1" s="54">
      <c r="A213" s="71" t="n"/>
      <c r="B213" s="67" t="n"/>
      <c r="C213" s="67" t="n"/>
      <c r="D213" s="67" t="n"/>
      <c r="E213" s="79">
        <f>IFERROR(INDEX(MAP_TK,MATCH($D213,MAP_KM,0)),"")</f>
        <v/>
      </c>
      <c r="F213" s="67" t="n"/>
      <c r="G213" s="67" t="n"/>
      <c r="H213" s="67" t="n"/>
      <c r="I213" s="67" t="n"/>
      <c r="J213" s="75" t="n"/>
      <c r="K213" s="67" t="n"/>
      <c r="M213" s="53">
        <f>IF($C213="","",IF(OR($C213="CHUNG",COUNTIF(DM_Ma,$C213)&gt;0),"","MÃ LẠ"))</f>
        <v/>
      </c>
      <c r="N213" s="53">
        <f>IF($A213="","",IF(AND($A213&gt;=pTu,$A213&lt;=pDen),"","NGOÀI KỲ"))</f>
        <v/>
      </c>
      <c r="O213" s="53">
        <f>IF($J213="","",IF($J213&lt;=0,"≤0",""))</f>
        <v/>
      </c>
      <c r="P213" s="53">
        <f>IF(AND($D213="SXC (627)",$F213="Chung"),IF(OR($G213="Cố định",$G213="Biến đổi"),"","THIẾU TÍNH CHẤT"),"")</f>
        <v/>
      </c>
    </row>
    <row r="214" ht="15" customHeight="1" s="54">
      <c r="A214" s="71" t="n"/>
      <c r="B214" s="67" t="n"/>
      <c r="C214" s="67" t="n"/>
      <c r="D214" s="67" t="n"/>
      <c r="E214" s="79">
        <f>IFERROR(INDEX(MAP_TK,MATCH($D214,MAP_KM,0)),"")</f>
        <v/>
      </c>
      <c r="F214" s="67" t="n"/>
      <c r="G214" s="67" t="n"/>
      <c r="H214" s="67" t="n"/>
      <c r="I214" s="67" t="n"/>
      <c r="J214" s="75" t="n"/>
      <c r="K214" s="67" t="n"/>
      <c r="M214" s="53">
        <f>IF($C214="","",IF(OR($C214="CHUNG",COUNTIF(DM_Ma,$C214)&gt;0),"","MÃ LẠ"))</f>
        <v/>
      </c>
      <c r="N214" s="53">
        <f>IF($A214="","",IF(AND($A214&gt;=pTu,$A214&lt;=pDen),"","NGOÀI KỲ"))</f>
        <v/>
      </c>
      <c r="O214" s="53">
        <f>IF($J214="","",IF($J214&lt;=0,"≤0",""))</f>
        <v/>
      </c>
      <c r="P214" s="53">
        <f>IF(AND($D214="SXC (627)",$F214="Chung"),IF(OR($G214="Cố định",$G214="Biến đổi"),"","THIẾU TÍNH CHẤT"),"")</f>
        <v/>
      </c>
    </row>
    <row r="215" ht="15" customHeight="1" s="54">
      <c r="A215" s="71" t="n"/>
      <c r="B215" s="67" t="n"/>
      <c r="C215" s="67" t="n"/>
      <c r="D215" s="67" t="n"/>
      <c r="E215" s="79">
        <f>IFERROR(INDEX(MAP_TK,MATCH($D215,MAP_KM,0)),"")</f>
        <v/>
      </c>
      <c r="F215" s="67" t="n"/>
      <c r="G215" s="67" t="n"/>
      <c r="H215" s="67" t="n"/>
      <c r="I215" s="67" t="n"/>
      <c r="J215" s="75" t="n"/>
      <c r="K215" s="67" t="n"/>
      <c r="M215" s="53">
        <f>IF($C215="","",IF(OR($C215="CHUNG",COUNTIF(DM_Ma,$C215)&gt;0),"","MÃ LẠ"))</f>
        <v/>
      </c>
      <c r="N215" s="53">
        <f>IF($A215="","",IF(AND($A215&gt;=pTu,$A215&lt;=pDen),"","NGOÀI KỲ"))</f>
        <v/>
      </c>
      <c r="O215" s="53">
        <f>IF($J215="","",IF($J215&lt;=0,"≤0",""))</f>
        <v/>
      </c>
      <c r="P215" s="53">
        <f>IF(AND($D215="SXC (627)",$F215="Chung"),IF(OR($G215="Cố định",$G215="Biến đổi"),"","THIẾU TÍNH CHẤT"),"")</f>
        <v/>
      </c>
    </row>
    <row r="216" ht="15" customHeight="1" s="54">
      <c r="A216" s="71" t="n"/>
      <c r="B216" s="67" t="n"/>
      <c r="C216" s="67" t="n"/>
      <c r="D216" s="67" t="n"/>
      <c r="E216" s="79">
        <f>IFERROR(INDEX(MAP_TK,MATCH($D216,MAP_KM,0)),"")</f>
        <v/>
      </c>
      <c r="F216" s="67" t="n"/>
      <c r="G216" s="67" t="n"/>
      <c r="H216" s="67" t="n"/>
      <c r="I216" s="67" t="n"/>
      <c r="J216" s="75" t="n"/>
      <c r="K216" s="67" t="n"/>
      <c r="M216" s="53">
        <f>IF($C216="","",IF(OR($C216="CHUNG",COUNTIF(DM_Ma,$C216)&gt;0),"","MÃ LẠ"))</f>
        <v/>
      </c>
      <c r="N216" s="53">
        <f>IF($A216="","",IF(AND($A216&gt;=pTu,$A216&lt;=pDen),"","NGOÀI KỲ"))</f>
        <v/>
      </c>
      <c r="O216" s="53">
        <f>IF($J216="","",IF($J216&lt;=0,"≤0",""))</f>
        <v/>
      </c>
      <c r="P216" s="53">
        <f>IF(AND($D216="SXC (627)",$F216="Chung"),IF(OR($G216="Cố định",$G216="Biến đổi"),"","THIẾU TÍNH CHẤT"),"")</f>
        <v/>
      </c>
    </row>
    <row r="217" ht="15" customHeight="1" s="54">
      <c r="A217" s="71" t="n"/>
      <c r="B217" s="67" t="n"/>
      <c r="C217" s="67" t="n"/>
      <c r="D217" s="67" t="n"/>
      <c r="E217" s="79">
        <f>IFERROR(INDEX(MAP_TK,MATCH($D217,MAP_KM,0)),"")</f>
        <v/>
      </c>
      <c r="F217" s="67" t="n"/>
      <c r="G217" s="67" t="n"/>
      <c r="H217" s="67" t="n"/>
      <c r="I217" s="67" t="n"/>
      <c r="J217" s="75" t="n"/>
      <c r="K217" s="67" t="n"/>
      <c r="M217" s="53">
        <f>IF($C217="","",IF(OR($C217="CHUNG",COUNTIF(DM_Ma,$C217)&gt;0),"","MÃ LẠ"))</f>
        <v/>
      </c>
      <c r="N217" s="53">
        <f>IF($A217="","",IF(AND($A217&gt;=pTu,$A217&lt;=pDen),"","NGOÀI KỲ"))</f>
        <v/>
      </c>
      <c r="O217" s="53">
        <f>IF($J217="","",IF($J217&lt;=0,"≤0",""))</f>
        <v/>
      </c>
      <c r="P217" s="53">
        <f>IF(AND($D217="SXC (627)",$F217="Chung"),IF(OR($G217="Cố định",$G217="Biến đổi"),"","THIẾU TÍNH CHẤT"),"")</f>
        <v/>
      </c>
    </row>
    <row r="218" ht="15" customHeight="1" s="54">
      <c r="A218" s="71" t="n"/>
      <c r="B218" s="67" t="n"/>
      <c r="C218" s="67" t="n"/>
      <c r="D218" s="67" t="n"/>
      <c r="E218" s="79">
        <f>IFERROR(INDEX(MAP_TK,MATCH($D218,MAP_KM,0)),"")</f>
        <v/>
      </c>
      <c r="F218" s="67" t="n"/>
      <c r="G218" s="67" t="n"/>
      <c r="H218" s="67" t="n"/>
      <c r="I218" s="67" t="n"/>
      <c r="J218" s="75" t="n"/>
      <c r="K218" s="67" t="n"/>
      <c r="M218" s="53">
        <f>IF($C218="","",IF(OR($C218="CHUNG",COUNTIF(DM_Ma,$C218)&gt;0),"","MÃ LẠ"))</f>
        <v/>
      </c>
      <c r="N218" s="53">
        <f>IF($A218="","",IF(AND($A218&gt;=pTu,$A218&lt;=pDen),"","NGOÀI KỲ"))</f>
        <v/>
      </c>
      <c r="O218" s="53">
        <f>IF($J218="","",IF($J218&lt;=0,"≤0",""))</f>
        <v/>
      </c>
      <c r="P218" s="53">
        <f>IF(AND($D218="SXC (627)",$F218="Chung"),IF(OR($G218="Cố định",$G218="Biến đổi"),"","THIẾU TÍNH CHẤT"),"")</f>
        <v/>
      </c>
    </row>
    <row r="219" ht="15" customHeight="1" s="54">
      <c r="A219" s="71" t="n"/>
      <c r="B219" s="67" t="n"/>
      <c r="C219" s="67" t="n"/>
      <c r="D219" s="67" t="n"/>
      <c r="E219" s="79">
        <f>IFERROR(INDEX(MAP_TK,MATCH($D219,MAP_KM,0)),"")</f>
        <v/>
      </c>
      <c r="F219" s="67" t="n"/>
      <c r="G219" s="67" t="n"/>
      <c r="H219" s="67" t="n"/>
      <c r="I219" s="67" t="n"/>
      <c r="J219" s="75" t="n"/>
      <c r="K219" s="67" t="n"/>
      <c r="M219" s="53">
        <f>IF($C219="","",IF(OR($C219="CHUNG",COUNTIF(DM_Ma,$C219)&gt;0),"","MÃ LẠ"))</f>
        <v/>
      </c>
      <c r="N219" s="53">
        <f>IF($A219="","",IF(AND($A219&gt;=pTu,$A219&lt;=pDen),"","NGOÀI KỲ"))</f>
        <v/>
      </c>
      <c r="O219" s="53">
        <f>IF($J219="","",IF($J219&lt;=0,"≤0",""))</f>
        <v/>
      </c>
      <c r="P219" s="53">
        <f>IF(AND($D219="SXC (627)",$F219="Chung"),IF(OR($G219="Cố định",$G219="Biến đổi"),"","THIẾU TÍNH CHẤT"),"")</f>
        <v/>
      </c>
    </row>
    <row r="220" ht="15" customHeight="1" s="54">
      <c r="A220" s="71" t="n"/>
      <c r="B220" s="67" t="n"/>
      <c r="C220" s="67" t="n"/>
      <c r="D220" s="67" t="n"/>
      <c r="E220" s="79">
        <f>IFERROR(INDEX(MAP_TK,MATCH($D220,MAP_KM,0)),"")</f>
        <v/>
      </c>
      <c r="F220" s="67" t="n"/>
      <c r="G220" s="67" t="n"/>
      <c r="H220" s="67" t="n"/>
      <c r="I220" s="67" t="n"/>
      <c r="J220" s="75" t="n"/>
      <c r="K220" s="67" t="n"/>
      <c r="M220" s="53">
        <f>IF($C220="","",IF(OR($C220="CHUNG",COUNTIF(DM_Ma,$C220)&gt;0),"","MÃ LẠ"))</f>
        <v/>
      </c>
      <c r="N220" s="53">
        <f>IF($A220="","",IF(AND($A220&gt;=pTu,$A220&lt;=pDen),"","NGOÀI KỲ"))</f>
        <v/>
      </c>
      <c r="O220" s="53">
        <f>IF($J220="","",IF($J220&lt;=0,"≤0",""))</f>
        <v/>
      </c>
      <c r="P220" s="53">
        <f>IF(AND($D220="SXC (627)",$F220="Chung"),IF(OR($G220="Cố định",$G220="Biến đổi"),"","THIẾU TÍNH CHẤT"),"")</f>
        <v/>
      </c>
    </row>
    <row r="221" ht="15" customHeight="1" s="54">
      <c r="A221" s="71" t="n"/>
      <c r="B221" s="67" t="n"/>
      <c r="C221" s="67" t="n"/>
      <c r="D221" s="67" t="n"/>
      <c r="E221" s="79">
        <f>IFERROR(INDEX(MAP_TK,MATCH($D221,MAP_KM,0)),"")</f>
        <v/>
      </c>
      <c r="F221" s="67" t="n"/>
      <c r="G221" s="67" t="n"/>
      <c r="H221" s="67" t="n"/>
      <c r="I221" s="67" t="n"/>
      <c r="J221" s="75" t="n"/>
      <c r="K221" s="67" t="n"/>
      <c r="M221" s="53">
        <f>IF($C221="","",IF(OR($C221="CHUNG",COUNTIF(DM_Ma,$C221)&gt;0),"","MÃ LẠ"))</f>
        <v/>
      </c>
      <c r="N221" s="53">
        <f>IF($A221="","",IF(AND($A221&gt;=pTu,$A221&lt;=pDen),"","NGOÀI KỲ"))</f>
        <v/>
      </c>
      <c r="O221" s="53">
        <f>IF($J221="","",IF($J221&lt;=0,"≤0",""))</f>
        <v/>
      </c>
      <c r="P221" s="53">
        <f>IF(AND($D221="SXC (627)",$F221="Chung"),IF(OR($G221="Cố định",$G221="Biến đổi"),"","THIẾU TÍNH CHẤT"),"")</f>
        <v/>
      </c>
    </row>
    <row r="222" ht="15" customHeight="1" s="54">
      <c r="A222" s="71" t="n"/>
      <c r="B222" s="67" t="n"/>
      <c r="C222" s="67" t="n"/>
      <c r="D222" s="67" t="n"/>
      <c r="E222" s="79">
        <f>IFERROR(INDEX(MAP_TK,MATCH($D222,MAP_KM,0)),"")</f>
        <v/>
      </c>
      <c r="F222" s="67" t="n"/>
      <c r="G222" s="67" t="n"/>
      <c r="H222" s="67" t="n"/>
      <c r="I222" s="67" t="n"/>
      <c r="J222" s="75" t="n"/>
      <c r="K222" s="67" t="n"/>
      <c r="M222" s="53">
        <f>IF($C222="","",IF(OR($C222="CHUNG",COUNTIF(DM_Ma,$C222)&gt;0),"","MÃ LẠ"))</f>
        <v/>
      </c>
      <c r="N222" s="53">
        <f>IF($A222="","",IF(AND($A222&gt;=pTu,$A222&lt;=pDen),"","NGOÀI KỲ"))</f>
        <v/>
      </c>
      <c r="O222" s="53">
        <f>IF($J222="","",IF($J222&lt;=0,"≤0",""))</f>
        <v/>
      </c>
      <c r="P222" s="53">
        <f>IF(AND($D222="SXC (627)",$F222="Chung"),IF(OR($G222="Cố định",$G222="Biến đổi"),"","THIẾU TÍNH CHẤT"),"")</f>
        <v/>
      </c>
    </row>
    <row r="223" ht="15" customHeight="1" s="54">
      <c r="A223" s="71" t="n"/>
      <c r="B223" s="67" t="n"/>
      <c r="C223" s="67" t="n"/>
      <c r="D223" s="67" t="n"/>
      <c r="E223" s="79">
        <f>IFERROR(INDEX(MAP_TK,MATCH($D223,MAP_KM,0)),"")</f>
        <v/>
      </c>
      <c r="F223" s="67" t="n"/>
      <c r="G223" s="67" t="n"/>
      <c r="H223" s="67" t="n"/>
      <c r="I223" s="67" t="n"/>
      <c r="J223" s="75" t="n"/>
      <c r="K223" s="67" t="n"/>
      <c r="M223" s="53">
        <f>IF($C223="","",IF(OR($C223="CHUNG",COUNTIF(DM_Ma,$C223)&gt;0),"","MÃ LẠ"))</f>
        <v/>
      </c>
      <c r="N223" s="53">
        <f>IF($A223="","",IF(AND($A223&gt;=pTu,$A223&lt;=pDen),"","NGOÀI KỲ"))</f>
        <v/>
      </c>
      <c r="O223" s="53">
        <f>IF($J223="","",IF($J223&lt;=0,"≤0",""))</f>
        <v/>
      </c>
      <c r="P223" s="53">
        <f>IF(AND($D223="SXC (627)",$F223="Chung"),IF(OR($G223="Cố định",$G223="Biến đổi"),"","THIẾU TÍNH CHẤT"),"")</f>
        <v/>
      </c>
    </row>
    <row r="224" ht="15" customHeight="1" s="54">
      <c r="A224" s="71" t="n"/>
      <c r="B224" s="67" t="n"/>
      <c r="C224" s="67" t="n"/>
      <c r="D224" s="67" t="n"/>
      <c r="E224" s="79">
        <f>IFERROR(INDEX(MAP_TK,MATCH($D224,MAP_KM,0)),"")</f>
        <v/>
      </c>
      <c r="F224" s="67" t="n"/>
      <c r="G224" s="67" t="n"/>
      <c r="H224" s="67" t="n"/>
      <c r="I224" s="67" t="n"/>
      <c r="J224" s="75" t="n"/>
      <c r="K224" s="67" t="n"/>
      <c r="M224" s="53">
        <f>IF($C224="","",IF(OR($C224="CHUNG",COUNTIF(DM_Ma,$C224)&gt;0),"","MÃ LẠ"))</f>
        <v/>
      </c>
      <c r="N224" s="53">
        <f>IF($A224="","",IF(AND($A224&gt;=pTu,$A224&lt;=pDen),"","NGOÀI KỲ"))</f>
        <v/>
      </c>
      <c r="O224" s="53">
        <f>IF($J224="","",IF($J224&lt;=0,"≤0",""))</f>
        <v/>
      </c>
      <c r="P224" s="53">
        <f>IF(AND($D224="SXC (627)",$F224="Chung"),IF(OR($G224="Cố định",$G224="Biến đổi"),"","THIẾU TÍNH CHẤT"),"")</f>
        <v/>
      </c>
    </row>
    <row r="225" ht="15" customHeight="1" s="54">
      <c r="A225" s="71" t="n"/>
      <c r="B225" s="67" t="n"/>
      <c r="C225" s="67" t="n"/>
      <c r="D225" s="67" t="n"/>
      <c r="E225" s="79">
        <f>IFERROR(INDEX(MAP_TK,MATCH($D225,MAP_KM,0)),"")</f>
        <v/>
      </c>
      <c r="F225" s="67" t="n"/>
      <c r="G225" s="67" t="n"/>
      <c r="H225" s="67" t="n"/>
      <c r="I225" s="67" t="n"/>
      <c r="J225" s="75" t="n"/>
      <c r="K225" s="67" t="n"/>
      <c r="M225" s="53">
        <f>IF($C225="","",IF(OR($C225="CHUNG",COUNTIF(DM_Ma,$C225)&gt;0),"","MÃ LẠ"))</f>
        <v/>
      </c>
      <c r="N225" s="53">
        <f>IF($A225="","",IF(AND($A225&gt;=pTu,$A225&lt;=pDen),"","NGOÀI KỲ"))</f>
        <v/>
      </c>
      <c r="O225" s="53">
        <f>IF($J225="","",IF($J225&lt;=0,"≤0",""))</f>
        <v/>
      </c>
      <c r="P225" s="53">
        <f>IF(AND($D225="SXC (627)",$F225="Chung"),IF(OR($G225="Cố định",$G225="Biến đổi"),"","THIẾU TÍNH CHẤT"),"")</f>
        <v/>
      </c>
    </row>
    <row r="226" ht="15" customHeight="1" s="54">
      <c r="A226" s="71" t="n"/>
      <c r="B226" s="67" t="n"/>
      <c r="C226" s="67" t="n"/>
      <c r="D226" s="67" t="n"/>
      <c r="E226" s="79">
        <f>IFERROR(INDEX(MAP_TK,MATCH($D226,MAP_KM,0)),"")</f>
        <v/>
      </c>
      <c r="F226" s="67" t="n"/>
      <c r="G226" s="67" t="n"/>
      <c r="H226" s="67" t="n"/>
      <c r="I226" s="67" t="n"/>
      <c r="J226" s="75" t="n"/>
      <c r="K226" s="67" t="n"/>
      <c r="M226" s="53">
        <f>IF($C226="","",IF(OR($C226="CHUNG",COUNTIF(DM_Ma,$C226)&gt;0),"","MÃ LẠ"))</f>
        <v/>
      </c>
      <c r="N226" s="53">
        <f>IF($A226="","",IF(AND($A226&gt;=pTu,$A226&lt;=pDen),"","NGOÀI KỲ"))</f>
        <v/>
      </c>
      <c r="O226" s="53">
        <f>IF($J226="","",IF($J226&lt;=0,"≤0",""))</f>
        <v/>
      </c>
      <c r="P226" s="53">
        <f>IF(AND($D226="SXC (627)",$F226="Chung"),IF(OR($G226="Cố định",$G226="Biến đổi"),"","THIẾU TÍNH CHẤT"),"")</f>
        <v/>
      </c>
    </row>
    <row r="227" ht="15" customHeight="1" s="54">
      <c r="A227" s="71" t="n"/>
      <c r="B227" s="67" t="n"/>
      <c r="C227" s="67" t="n"/>
      <c r="D227" s="67" t="n"/>
      <c r="E227" s="79">
        <f>IFERROR(INDEX(MAP_TK,MATCH($D227,MAP_KM,0)),"")</f>
        <v/>
      </c>
      <c r="F227" s="67" t="n"/>
      <c r="G227" s="67" t="n"/>
      <c r="H227" s="67" t="n"/>
      <c r="I227" s="67" t="n"/>
      <c r="J227" s="75" t="n"/>
      <c r="K227" s="67" t="n"/>
      <c r="M227" s="53">
        <f>IF($C227="","",IF(OR($C227="CHUNG",COUNTIF(DM_Ma,$C227)&gt;0),"","MÃ LẠ"))</f>
        <v/>
      </c>
      <c r="N227" s="53">
        <f>IF($A227="","",IF(AND($A227&gt;=pTu,$A227&lt;=pDen),"","NGOÀI KỲ"))</f>
        <v/>
      </c>
      <c r="O227" s="53">
        <f>IF($J227="","",IF($J227&lt;=0,"≤0",""))</f>
        <v/>
      </c>
      <c r="P227" s="53">
        <f>IF(AND($D227="SXC (627)",$F227="Chung"),IF(OR($G227="Cố định",$G227="Biến đổi"),"","THIẾU TÍNH CHẤT"),"")</f>
        <v/>
      </c>
    </row>
    <row r="228" ht="15" customHeight="1" s="54">
      <c r="A228" s="71" t="n"/>
      <c r="B228" s="67" t="n"/>
      <c r="C228" s="67" t="n"/>
      <c r="D228" s="67" t="n"/>
      <c r="E228" s="79">
        <f>IFERROR(INDEX(MAP_TK,MATCH($D228,MAP_KM,0)),"")</f>
        <v/>
      </c>
      <c r="F228" s="67" t="n"/>
      <c r="G228" s="67" t="n"/>
      <c r="H228" s="67" t="n"/>
      <c r="I228" s="67" t="n"/>
      <c r="J228" s="75" t="n"/>
      <c r="K228" s="67" t="n"/>
      <c r="M228" s="53">
        <f>IF($C228="","",IF(OR($C228="CHUNG",COUNTIF(DM_Ma,$C228)&gt;0),"","MÃ LẠ"))</f>
        <v/>
      </c>
      <c r="N228" s="53">
        <f>IF($A228="","",IF(AND($A228&gt;=pTu,$A228&lt;=pDen),"","NGOÀI KỲ"))</f>
        <v/>
      </c>
      <c r="O228" s="53">
        <f>IF($J228="","",IF($J228&lt;=0,"≤0",""))</f>
        <v/>
      </c>
      <c r="P228" s="53">
        <f>IF(AND($D228="SXC (627)",$F228="Chung"),IF(OR($G228="Cố định",$G228="Biến đổi"),"","THIẾU TÍNH CHẤT"),"")</f>
        <v/>
      </c>
    </row>
    <row r="229" ht="15" customHeight="1" s="54">
      <c r="A229" s="71" t="n"/>
      <c r="B229" s="67" t="n"/>
      <c r="C229" s="67" t="n"/>
      <c r="D229" s="67" t="n"/>
      <c r="E229" s="79">
        <f>IFERROR(INDEX(MAP_TK,MATCH($D229,MAP_KM,0)),"")</f>
        <v/>
      </c>
      <c r="F229" s="67" t="n"/>
      <c r="G229" s="67" t="n"/>
      <c r="H229" s="67" t="n"/>
      <c r="I229" s="67" t="n"/>
      <c r="J229" s="75" t="n"/>
      <c r="K229" s="67" t="n"/>
      <c r="M229" s="53">
        <f>IF($C229="","",IF(OR($C229="CHUNG",COUNTIF(DM_Ma,$C229)&gt;0),"","MÃ LẠ"))</f>
        <v/>
      </c>
      <c r="N229" s="53">
        <f>IF($A229="","",IF(AND($A229&gt;=pTu,$A229&lt;=pDen),"","NGOÀI KỲ"))</f>
        <v/>
      </c>
      <c r="O229" s="53">
        <f>IF($J229="","",IF($J229&lt;=0,"≤0",""))</f>
        <v/>
      </c>
      <c r="P229" s="53">
        <f>IF(AND($D229="SXC (627)",$F229="Chung"),IF(OR($G229="Cố định",$G229="Biến đổi"),"","THIẾU TÍNH CHẤT"),"")</f>
        <v/>
      </c>
    </row>
    <row r="230" ht="15" customHeight="1" s="54">
      <c r="A230" s="71" t="n"/>
      <c r="B230" s="67" t="n"/>
      <c r="C230" s="67" t="n"/>
      <c r="D230" s="67" t="n"/>
      <c r="E230" s="79">
        <f>IFERROR(INDEX(MAP_TK,MATCH($D230,MAP_KM,0)),"")</f>
        <v/>
      </c>
      <c r="F230" s="67" t="n"/>
      <c r="G230" s="67" t="n"/>
      <c r="H230" s="67" t="n"/>
      <c r="I230" s="67" t="n"/>
      <c r="J230" s="75" t="n"/>
      <c r="K230" s="67" t="n"/>
      <c r="M230" s="53">
        <f>IF($C230="","",IF(OR($C230="CHUNG",COUNTIF(DM_Ma,$C230)&gt;0),"","MÃ LẠ"))</f>
        <v/>
      </c>
      <c r="N230" s="53">
        <f>IF($A230="","",IF(AND($A230&gt;=pTu,$A230&lt;=pDen),"","NGOÀI KỲ"))</f>
        <v/>
      </c>
      <c r="O230" s="53">
        <f>IF($J230="","",IF($J230&lt;=0,"≤0",""))</f>
        <v/>
      </c>
      <c r="P230" s="53">
        <f>IF(AND($D230="SXC (627)",$F230="Chung"),IF(OR($G230="Cố định",$G230="Biến đổi"),"","THIẾU TÍNH CHẤT"),"")</f>
        <v/>
      </c>
    </row>
    <row r="231" ht="15" customHeight="1" s="54">
      <c r="A231" s="71" t="n"/>
      <c r="B231" s="67" t="n"/>
      <c r="C231" s="67" t="n"/>
      <c r="D231" s="67" t="n"/>
      <c r="E231" s="79">
        <f>IFERROR(INDEX(MAP_TK,MATCH($D231,MAP_KM,0)),"")</f>
        <v/>
      </c>
      <c r="F231" s="67" t="n"/>
      <c r="G231" s="67" t="n"/>
      <c r="H231" s="67" t="n"/>
      <c r="I231" s="67" t="n"/>
      <c r="J231" s="75" t="n"/>
      <c r="K231" s="67" t="n"/>
      <c r="M231" s="53">
        <f>IF($C231="","",IF(OR($C231="CHUNG",COUNTIF(DM_Ma,$C231)&gt;0),"","MÃ LẠ"))</f>
        <v/>
      </c>
      <c r="N231" s="53">
        <f>IF($A231="","",IF(AND($A231&gt;=pTu,$A231&lt;=pDen),"","NGOÀI KỲ"))</f>
        <v/>
      </c>
      <c r="O231" s="53">
        <f>IF($J231="","",IF($J231&lt;=0,"≤0",""))</f>
        <v/>
      </c>
      <c r="P231" s="53">
        <f>IF(AND($D231="SXC (627)",$F231="Chung"),IF(OR($G231="Cố định",$G231="Biến đổi"),"","THIẾU TÍNH CHẤT"),"")</f>
        <v/>
      </c>
    </row>
    <row r="232" ht="15" customHeight="1" s="54">
      <c r="A232" s="71" t="n"/>
      <c r="B232" s="67" t="n"/>
      <c r="C232" s="67" t="n"/>
      <c r="D232" s="67" t="n"/>
      <c r="E232" s="79">
        <f>IFERROR(INDEX(MAP_TK,MATCH($D232,MAP_KM,0)),"")</f>
        <v/>
      </c>
      <c r="F232" s="67" t="n"/>
      <c r="G232" s="67" t="n"/>
      <c r="H232" s="67" t="n"/>
      <c r="I232" s="67" t="n"/>
      <c r="J232" s="75" t="n"/>
      <c r="K232" s="67" t="n"/>
      <c r="M232" s="53">
        <f>IF($C232="","",IF(OR($C232="CHUNG",COUNTIF(DM_Ma,$C232)&gt;0),"","MÃ LẠ"))</f>
        <v/>
      </c>
      <c r="N232" s="53">
        <f>IF($A232="","",IF(AND($A232&gt;=pTu,$A232&lt;=pDen),"","NGOÀI KỲ"))</f>
        <v/>
      </c>
      <c r="O232" s="53">
        <f>IF($J232="","",IF($J232&lt;=0,"≤0",""))</f>
        <v/>
      </c>
      <c r="P232" s="53">
        <f>IF(AND($D232="SXC (627)",$F232="Chung"),IF(OR($G232="Cố định",$G232="Biến đổi"),"","THIẾU TÍNH CHẤT"),"")</f>
        <v/>
      </c>
    </row>
    <row r="233" ht="15" customHeight="1" s="54">
      <c r="A233" s="71" t="n"/>
      <c r="B233" s="67" t="n"/>
      <c r="C233" s="67" t="n"/>
      <c r="D233" s="67" t="n"/>
      <c r="E233" s="79">
        <f>IFERROR(INDEX(MAP_TK,MATCH($D233,MAP_KM,0)),"")</f>
        <v/>
      </c>
      <c r="F233" s="67" t="n"/>
      <c r="G233" s="67" t="n"/>
      <c r="H233" s="67" t="n"/>
      <c r="I233" s="67" t="n"/>
      <c r="J233" s="75" t="n"/>
      <c r="K233" s="67" t="n"/>
      <c r="M233" s="53">
        <f>IF($C233="","",IF(OR($C233="CHUNG",COUNTIF(DM_Ma,$C233)&gt;0),"","MÃ LẠ"))</f>
        <v/>
      </c>
      <c r="N233" s="53">
        <f>IF($A233="","",IF(AND($A233&gt;=pTu,$A233&lt;=pDen),"","NGOÀI KỲ"))</f>
        <v/>
      </c>
      <c r="O233" s="53">
        <f>IF($J233="","",IF($J233&lt;=0,"≤0",""))</f>
        <v/>
      </c>
      <c r="P233" s="53">
        <f>IF(AND($D233="SXC (627)",$F233="Chung"),IF(OR($G233="Cố định",$G233="Biến đổi"),"","THIẾU TÍNH CHẤT"),"")</f>
        <v/>
      </c>
    </row>
    <row r="234" ht="15" customHeight="1" s="54">
      <c r="A234" s="71" t="n"/>
      <c r="B234" s="67" t="n"/>
      <c r="C234" s="67" t="n"/>
      <c r="D234" s="67" t="n"/>
      <c r="E234" s="79">
        <f>IFERROR(INDEX(MAP_TK,MATCH($D234,MAP_KM,0)),"")</f>
        <v/>
      </c>
      <c r="F234" s="67" t="n"/>
      <c r="G234" s="67" t="n"/>
      <c r="H234" s="67" t="n"/>
      <c r="I234" s="67" t="n"/>
      <c r="J234" s="75" t="n"/>
      <c r="K234" s="67" t="n"/>
      <c r="M234" s="53">
        <f>IF($C234="","",IF(OR($C234="CHUNG",COUNTIF(DM_Ma,$C234)&gt;0),"","MÃ LẠ"))</f>
        <v/>
      </c>
      <c r="N234" s="53">
        <f>IF($A234="","",IF(AND($A234&gt;=pTu,$A234&lt;=pDen),"","NGOÀI KỲ"))</f>
        <v/>
      </c>
      <c r="O234" s="53">
        <f>IF($J234="","",IF($J234&lt;=0,"≤0",""))</f>
        <v/>
      </c>
      <c r="P234" s="53">
        <f>IF(AND($D234="SXC (627)",$F234="Chung"),IF(OR($G234="Cố định",$G234="Biến đổi"),"","THIẾU TÍNH CHẤT"),"")</f>
        <v/>
      </c>
    </row>
    <row r="235" ht="15" customHeight="1" s="54">
      <c r="A235" s="71" t="n"/>
      <c r="B235" s="67" t="n"/>
      <c r="C235" s="67" t="n"/>
      <c r="D235" s="67" t="n"/>
      <c r="E235" s="79">
        <f>IFERROR(INDEX(MAP_TK,MATCH($D235,MAP_KM,0)),"")</f>
        <v/>
      </c>
      <c r="F235" s="67" t="n"/>
      <c r="G235" s="67" t="n"/>
      <c r="H235" s="67" t="n"/>
      <c r="I235" s="67" t="n"/>
      <c r="J235" s="75" t="n"/>
      <c r="K235" s="67" t="n"/>
      <c r="M235" s="53">
        <f>IF($C235="","",IF(OR($C235="CHUNG",COUNTIF(DM_Ma,$C235)&gt;0),"","MÃ LẠ"))</f>
        <v/>
      </c>
      <c r="N235" s="53">
        <f>IF($A235="","",IF(AND($A235&gt;=pTu,$A235&lt;=pDen),"","NGOÀI KỲ"))</f>
        <v/>
      </c>
      <c r="O235" s="53">
        <f>IF($J235="","",IF($J235&lt;=0,"≤0",""))</f>
        <v/>
      </c>
      <c r="P235" s="53">
        <f>IF(AND($D235="SXC (627)",$F235="Chung"),IF(OR($G235="Cố định",$G235="Biến đổi"),"","THIẾU TÍNH CHẤT"),"")</f>
        <v/>
      </c>
    </row>
    <row r="236" ht="15" customHeight="1" s="54">
      <c r="A236" s="71" t="n"/>
      <c r="B236" s="67" t="n"/>
      <c r="C236" s="67" t="n"/>
      <c r="D236" s="67" t="n"/>
      <c r="E236" s="79">
        <f>IFERROR(INDEX(MAP_TK,MATCH($D236,MAP_KM,0)),"")</f>
        <v/>
      </c>
      <c r="F236" s="67" t="n"/>
      <c r="G236" s="67" t="n"/>
      <c r="H236" s="67" t="n"/>
      <c r="I236" s="67" t="n"/>
      <c r="J236" s="75" t="n"/>
      <c r="K236" s="67" t="n"/>
      <c r="M236" s="53">
        <f>IF($C236="","",IF(OR($C236="CHUNG",COUNTIF(DM_Ma,$C236)&gt;0),"","MÃ LẠ"))</f>
        <v/>
      </c>
      <c r="N236" s="53">
        <f>IF($A236="","",IF(AND($A236&gt;=pTu,$A236&lt;=pDen),"","NGOÀI KỲ"))</f>
        <v/>
      </c>
      <c r="O236" s="53">
        <f>IF($J236="","",IF($J236&lt;=0,"≤0",""))</f>
        <v/>
      </c>
      <c r="P236" s="53">
        <f>IF(AND($D236="SXC (627)",$F236="Chung"),IF(OR($G236="Cố định",$G236="Biến đổi"),"","THIẾU TÍNH CHẤT"),"")</f>
        <v/>
      </c>
    </row>
    <row r="237" ht="15" customHeight="1" s="54">
      <c r="A237" s="71" t="n"/>
      <c r="B237" s="67" t="n"/>
      <c r="C237" s="67" t="n"/>
      <c r="D237" s="67" t="n"/>
      <c r="E237" s="79">
        <f>IFERROR(INDEX(MAP_TK,MATCH($D237,MAP_KM,0)),"")</f>
        <v/>
      </c>
      <c r="F237" s="67" t="n"/>
      <c r="G237" s="67" t="n"/>
      <c r="H237" s="67" t="n"/>
      <c r="I237" s="67" t="n"/>
      <c r="J237" s="75" t="n"/>
      <c r="K237" s="67" t="n"/>
      <c r="M237" s="53">
        <f>IF($C237="","",IF(OR($C237="CHUNG",COUNTIF(DM_Ma,$C237)&gt;0),"","MÃ LẠ"))</f>
        <v/>
      </c>
      <c r="N237" s="53">
        <f>IF($A237="","",IF(AND($A237&gt;=pTu,$A237&lt;=pDen),"","NGOÀI KỲ"))</f>
        <v/>
      </c>
      <c r="O237" s="53">
        <f>IF($J237="","",IF($J237&lt;=0,"≤0",""))</f>
        <v/>
      </c>
      <c r="P237" s="53">
        <f>IF(AND($D237="SXC (627)",$F237="Chung"),IF(OR($G237="Cố định",$G237="Biến đổi"),"","THIẾU TÍNH CHẤT"),"")</f>
        <v/>
      </c>
    </row>
    <row r="238" ht="15" customHeight="1" s="54">
      <c r="A238" s="71" t="n"/>
      <c r="B238" s="67" t="n"/>
      <c r="C238" s="67" t="n"/>
      <c r="D238" s="67" t="n"/>
      <c r="E238" s="79">
        <f>IFERROR(INDEX(MAP_TK,MATCH($D238,MAP_KM,0)),"")</f>
        <v/>
      </c>
      <c r="F238" s="67" t="n"/>
      <c r="G238" s="67" t="n"/>
      <c r="H238" s="67" t="n"/>
      <c r="I238" s="67" t="n"/>
      <c r="J238" s="75" t="n"/>
      <c r="K238" s="67" t="n"/>
      <c r="M238" s="53">
        <f>IF($C238="","",IF(OR($C238="CHUNG",COUNTIF(DM_Ma,$C238)&gt;0),"","MÃ LẠ"))</f>
        <v/>
      </c>
      <c r="N238" s="53">
        <f>IF($A238="","",IF(AND($A238&gt;=pTu,$A238&lt;=pDen),"","NGOÀI KỲ"))</f>
        <v/>
      </c>
      <c r="O238" s="53">
        <f>IF($J238="","",IF($J238&lt;=0,"≤0",""))</f>
        <v/>
      </c>
      <c r="P238" s="53">
        <f>IF(AND($D238="SXC (627)",$F238="Chung"),IF(OR($G238="Cố định",$G238="Biến đổi"),"","THIẾU TÍNH CHẤT"),"")</f>
        <v/>
      </c>
    </row>
    <row r="239" ht="15" customHeight="1" s="54">
      <c r="A239" s="71" t="n"/>
      <c r="B239" s="67" t="n"/>
      <c r="C239" s="67" t="n"/>
      <c r="D239" s="67" t="n"/>
      <c r="E239" s="79">
        <f>IFERROR(INDEX(MAP_TK,MATCH($D239,MAP_KM,0)),"")</f>
        <v/>
      </c>
      <c r="F239" s="67" t="n"/>
      <c r="G239" s="67" t="n"/>
      <c r="H239" s="67" t="n"/>
      <c r="I239" s="67" t="n"/>
      <c r="J239" s="75" t="n"/>
      <c r="K239" s="67" t="n"/>
      <c r="M239" s="53">
        <f>IF($C239="","",IF(OR($C239="CHUNG",COUNTIF(DM_Ma,$C239)&gt;0),"","MÃ LẠ"))</f>
        <v/>
      </c>
      <c r="N239" s="53">
        <f>IF($A239="","",IF(AND($A239&gt;=pTu,$A239&lt;=pDen),"","NGOÀI KỲ"))</f>
        <v/>
      </c>
      <c r="O239" s="53">
        <f>IF($J239="","",IF($J239&lt;=0,"≤0",""))</f>
        <v/>
      </c>
      <c r="P239" s="53">
        <f>IF(AND($D239="SXC (627)",$F239="Chung"),IF(OR($G239="Cố định",$G239="Biến đổi"),"","THIẾU TÍNH CHẤT"),"")</f>
        <v/>
      </c>
    </row>
    <row r="240" ht="15" customHeight="1" s="54">
      <c r="A240" s="71" t="n"/>
      <c r="B240" s="67" t="n"/>
      <c r="C240" s="67" t="n"/>
      <c r="D240" s="67" t="n"/>
      <c r="E240" s="79">
        <f>IFERROR(INDEX(MAP_TK,MATCH($D240,MAP_KM,0)),"")</f>
        <v/>
      </c>
      <c r="F240" s="67" t="n"/>
      <c r="G240" s="67" t="n"/>
      <c r="H240" s="67" t="n"/>
      <c r="I240" s="67" t="n"/>
      <c r="J240" s="75" t="n"/>
      <c r="K240" s="67" t="n"/>
      <c r="M240" s="53">
        <f>IF($C240="","",IF(OR($C240="CHUNG",COUNTIF(DM_Ma,$C240)&gt;0),"","MÃ LẠ"))</f>
        <v/>
      </c>
      <c r="N240" s="53">
        <f>IF($A240="","",IF(AND($A240&gt;=pTu,$A240&lt;=pDen),"","NGOÀI KỲ"))</f>
        <v/>
      </c>
      <c r="O240" s="53">
        <f>IF($J240="","",IF($J240&lt;=0,"≤0",""))</f>
        <v/>
      </c>
      <c r="P240" s="53">
        <f>IF(AND($D240="SXC (627)",$F240="Chung"),IF(OR($G240="Cố định",$G240="Biến đổi"),"","THIẾU TÍNH CHẤT"),"")</f>
        <v/>
      </c>
    </row>
    <row r="241" ht="15" customHeight="1" s="54">
      <c r="A241" s="71" t="n"/>
      <c r="B241" s="67" t="n"/>
      <c r="C241" s="67" t="n"/>
      <c r="D241" s="67" t="n"/>
      <c r="E241" s="79">
        <f>IFERROR(INDEX(MAP_TK,MATCH($D241,MAP_KM,0)),"")</f>
        <v/>
      </c>
      <c r="F241" s="67" t="n"/>
      <c r="G241" s="67" t="n"/>
      <c r="H241" s="67" t="n"/>
      <c r="I241" s="67" t="n"/>
      <c r="J241" s="75" t="n"/>
      <c r="K241" s="67" t="n"/>
      <c r="M241" s="53">
        <f>IF($C241="","",IF(OR($C241="CHUNG",COUNTIF(DM_Ma,$C241)&gt;0),"","MÃ LẠ"))</f>
        <v/>
      </c>
      <c r="N241" s="53">
        <f>IF($A241="","",IF(AND($A241&gt;=pTu,$A241&lt;=pDen),"","NGOÀI KỲ"))</f>
        <v/>
      </c>
      <c r="O241" s="53">
        <f>IF($J241="","",IF($J241&lt;=0,"≤0",""))</f>
        <v/>
      </c>
      <c r="P241" s="53">
        <f>IF(AND($D241="SXC (627)",$F241="Chung"),IF(OR($G241="Cố định",$G241="Biến đổi"),"","THIẾU TÍNH CHẤT"),"")</f>
        <v/>
      </c>
    </row>
    <row r="242" ht="15" customHeight="1" s="54">
      <c r="A242" s="71" t="n"/>
      <c r="B242" s="67" t="n"/>
      <c r="C242" s="67" t="n"/>
      <c r="D242" s="67" t="n"/>
      <c r="E242" s="79">
        <f>IFERROR(INDEX(MAP_TK,MATCH($D242,MAP_KM,0)),"")</f>
        <v/>
      </c>
      <c r="F242" s="67" t="n"/>
      <c r="G242" s="67" t="n"/>
      <c r="H242" s="67" t="n"/>
      <c r="I242" s="67" t="n"/>
      <c r="J242" s="75" t="n"/>
      <c r="K242" s="67" t="n"/>
      <c r="M242" s="53">
        <f>IF($C242="","",IF(OR($C242="CHUNG",COUNTIF(DM_Ma,$C242)&gt;0),"","MÃ LẠ"))</f>
        <v/>
      </c>
      <c r="N242" s="53">
        <f>IF($A242="","",IF(AND($A242&gt;=pTu,$A242&lt;=pDen),"","NGOÀI KỲ"))</f>
        <v/>
      </c>
      <c r="O242" s="53">
        <f>IF($J242="","",IF($J242&lt;=0,"≤0",""))</f>
        <v/>
      </c>
      <c r="P242" s="53">
        <f>IF(AND($D242="SXC (627)",$F242="Chung"),IF(OR($G242="Cố định",$G242="Biến đổi"),"","THIẾU TÍNH CHẤT"),"")</f>
        <v/>
      </c>
    </row>
    <row r="243" ht="15" customHeight="1" s="54">
      <c r="A243" s="71" t="n"/>
      <c r="B243" s="67" t="n"/>
      <c r="C243" s="67" t="n"/>
      <c r="D243" s="67" t="n"/>
      <c r="E243" s="79">
        <f>IFERROR(INDEX(MAP_TK,MATCH($D243,MAP_KM,0)),"")</f>
        <v/>
      </c>
      <c r="F243" s="67" t="n"/>
      <c r="G243" s="67" t="n"/>
      <c r="H243" s="67" t="n"/>
      <c r="I243" s="67" t="n"/>
      <c r="J243" s="75" t="n"/>
      <c r="K243" s="67" t="n"/>
      <c r="M243" s="53">
        <f>IF($C243="","",IF(OR($C243="CHUNG",COUNTIF(DM_Ma,$C243)&gt;0),"","MÃ LẠ"))</f>
        <v/>
      </c>
      <c r="N243" s="53">
        <f>IF($A243="","",IF(AND($A243&gt;=pTu,$A243&lt;=pDen),"","NGOÀI KỲ"))</f>
        <v/>
      </c>
      <c r="O243" s="53">
        <f>IF($J243="","",IF($J243&lt;=0,"≤0",""))</f>
        <v/>
      </c>
      <c r="P243" s="53">
        <f>IF(AND($D243="SXC (627)",$F243="Chung"),IF(OR($G243="Cố định",$G243="Biến đổi"),"","THIẾU TÍNH CHẤT"),"")</f>
        <v/>
      </c>
    </row>
    <row r="244" ht="15" customHeight="1" s="54">
      <c r="A244" s="71" t="n"/>
      <c r="B244" s="67" t="n"/>
      <c r="C244" s="67" t="n"/>
      <c r="D244" s="67" t="n"/>
      <c r="E244" s="79">
        <f>IFERROR(INDEX(MAP_TK,MATCH($D244,MAP_KM,0)),"")</f>
        <v/>
      </c>
      <c r="F244" s="67" t="n"/>
      <c r="G244" s="67" t="n"/>
      <c r="H244" s="67" t="n"/>
      <c r="I244" s="67" t="n"/>
      <c r="J244" s="75" t="n"/>
      <c r="K244" s="67" t="n"/>
      <c r="M244" s="53">
        <f>IF($C244="","",IF(OR($C244="CHUNG",COUNTIF(DM_Ma,$C244)&gt;0),"","MÃ LẠ"))</f>
        <v/>
      </c>
      <c r="N244" s="53">
        <f>IF($A244="","",IF(AND($A244&gt;=pTu,$A244&lt;=pDen),"","NGOÀI KỲ"))</f>
        <v/>
      </c>
      <c r="O244" s="53">
        <f>IF($J244="","",IF($J244&lt;=0,"≤0",""))</f>
        <v/>
      </c>
      <c r="P244" s="53">
        <f>IF(AND($D244="SXC (627)",$F244="Chung"),IF(OR($G244="Cố định",$G244="Biến đổi"),"","THIẾU TÍNH CHẤT"),"")</f>
        <v/>
      </c>
    </row>
    <row r="245" ht="15" customHeight="1" s="54">
      <c r="A245" s="71" t="n"/>
      <c r="B245" s="67" t="n"/>
      <c r="C245" s="67" t="n"/>
      <c r="D245" s="67" t="n"/>
      <c r="E245" s="79">
        <f>IFERROR(INDEX(MAP_TK,MATCH($D245,MAP_KM,0)),"")</f>
        <v/>
      </c>
      <c r="F245" s="67" t="n"/>
      <c r="G245" s="67" t="n"/>
      <c r="H245" s="67" t="n"/>
      <c r="I245" s="67" t="n"/>
      <c r="J245" s="75" t="n"/>
      <c r="K245" s="67" t="n"/>
      <c r="M245" s="53">
        <f>IF($C245="","",IF(OR($C245="CHUNG",COUNTIF(DM_Ma,$C245)&gt;0),"","MÃ LẠ"))</f>
        <v/>
      </c>
      <c r="N245" s="53">
        <f>IF($A245="","",IF(AND($A245&gt;=pTu,$A245&lt;=pDen),"","NGOÀI KỲ"))</f>
        <v/>
      </c>
      <c r="O245" s="53">
        <f>IF($J245="","",IF($J245&lt;=0,"≤0",""))</f>
        <v/>
      </c>
      <c r="P245" s="53">
        <f>IF(AND($D245="SXC (627)",$F245="Chung"),IF(OR($G245="Cố định",$G245="Biến đổi"),"","THIẾU TÍNH CHẤT"),"")</f>
        <v/>
      </c>
    </row>
    <row r="246" ht="15" customHeight="1" s="54">
      <c r="A246" s="71" t="n"/>
      <c r="B246" s="67" t="n"/>
      <c r="C246" s="67" t="n"/>
      <c r="D246" s="67" t="n"/>
      <c r="E246" s="79">
        <f>IFERROR(INDEX(MAP_TK,MATCH($D246,MAP_KM,0)),"")</f>
        <v/>
      </c>
      <c r="F246" s="67" t="n"/>
      <c r="G246" s="67" t="n"/>
      <c r="H246" s="67" t="n"/>
      <c r="I246" s="67" t="n"/>
      <c r="J246" s="75" t="n"/>
      <c r="K246" s="67" t="n"/>
      <c r="M246" s="53">
        <f>IF($C246="","",IF(OR($C246="CHUNG",COUNTIF(DM_Ma,$C246)&gt;0),"","MÃ LẠ"))</f>
        <v/>
      </c>
      <c r="N246" s="53">
        <f>IF($A246="","",IF(AND($A246&gt;=pTu,$A246&lt;=pDen),"","NGOÀI KỲ"))</f>
        <v/>
      </c>
      <c r="O246" s="53">
        <f>IF($J246="","",IF($J246&lt;=0,"≤0",""))</f>
        <v/>
      </c>
      <c r="P246" s="53">
        <f>IF(AND($D246="SXC (627)",$F246="Chung"),IF(OR($G246="Cố định",$G246="Biến đổi"),"","THIẾU TÍNH CHẤT"),"")</f>
        <v/>
      </c>
    </row>
    <row r="247" ht="15" customHeight="1" s="54">
      <c r="A247" s="71" t="n"/>
      <c r="B247" s="67" t="n"/>
      <c r="C247" s="67" t="n"/>
      <c r="D247" s="67" t="n"/>
      <c r="E247" s="79">
        <f>IFERROR(INDEX(MAP_TK,MATCH($D247,MAP_KM,0)),"")</f>
        <v/>
      </c>
      <c r="F247" s="67" t="n"/>
      <c r="G247" s="67" t="n"/>
      <c r="H247" s="67" t="n"/>
      <c r="I247" s="67" t="n"/>
      <c r="J247" s="75" t="n"/>
      <c r="K247" s="67" t="n"/>
      <c r="M247" s="53">
        <f>IF($C247="","",IF(OR($C247="CHUNG",COUNTIF(DM_Ma,$C247)&gt;0),"","MÃ LẠ"))</f>
        <v/>
      </c>
      <c r="N247" s="53">
        <f>IF($A247="","",IF(AND($A247&gt;=pTu,$A247&lt;=pDen),"","NGOÀI KỲ"))</f>
        <v/>
      </c>
      <c r="O247" s="53">
        <f>IF($J247="","",IF($J247&lt;=0,"≤0",""))</f>
        <v/>
      </c>
      <c r="P247" s="53">
        <f>IF(AND($D247="SXC (627)",$F247="Chung"),IF(OR($G247="Cố định",$G247="Biến đổi"),"","THIẾU TÍNH CHẤT"),"")</f>
        <v/>
      </c>
    </row>
    <row r="248" ht="15" customHeight="1" s="54">
      <c r="A248" s="71" t="n"/>
      <c r="B248" s="67" t="n"/>
      <c r="C248" s="67" t="n"/>
      <c r="D248" s="67" t="n"/>
      <c r="E248" s="79">
        <f>IFERROR(INDEX(MAP_TK,MATCH($D248,MAP_KM,0)),"")</f>
        <v/>
      </c>
      <c r="F248" s="67" t="n"/>
      <c r="G248" s="67" t="n"/>
      <c r="H248" s="67" t="n"/>
      <c r="I248" s="67" t="n"/>
      <c r="J248" s="75" t="n"/>
      <c r="K248" s="67" t="n"/>
      <c r="M248" s="53">
        <f>IF($C248="","",IF(OR($C248="CHUNG",COUNTIF(DM_Ma,$C248)&gt;0),"","MÃ LẠ"))</f>
        <v/>
      </c>
      <c r="N248" s="53">
        <f>IF($A248="","",IF(AND($A248&gt;=pTu,$A248&lt;=pDen),"","NGOÀI KỲ"))</f>
        <v/>
      </c>
      <c r="O248" s="53">
        <f>IF($J248="","",IF($J248&lt;=0,"≤0",""))</f>
        <v/>
      </c>
      <c r="P248" s="53">
        <f>IF(AND($D248="SXC (627)",$F248="Chung"),IF(OR($G248="Cố định",$G248="Biến đổi"),"","THIẾU TÍNH CHẤT"),"")</f>
        <v/>
      </c>
    </row>
    <row r="249" ht="15" customHeight="1" s="54">
      <c r="A249" s="71" t="n"/>
      <c r="B249" s="67" t="n"/>
      <c r="C249" s="67" t="n"/>
      <c r="D249" s="67" t="n"/>
      <c r="E249" s="79">
        <f>IFERROR(INDEX(MAP_TK,MATCH($D249,MAP_KM,0)),"")</f>
        <v/>
      </c>
      <c r="F249" s="67" t="n"/>
      <c r="G249" s="67" t="n"/>
      <c r="H249" s="67" t="n"/>
      <c r="I249" s="67" t="n"/>
      <c r="J249" s="75" t="n"/>
      <c r="K249" s="67" t="n"/>
      <c r="M249" s="53">
        <f>IF($C249="","",IF(OR($C249="CHUNG",COUNTIF(DM_Ma,$C249)&gt;0),"","MÃ LẠ"))</f>
        <v/>
      </c>
      <c r="N249" s="53">
        <f>IF($A249="","",IF(AND($A249&gt;=pTu,$A249&lt;=pDen),"","NGOÀI KỲ"))</f>
        <v/>
      </c>
      <c r="O249" s="53">
        <f>IF($J249="","",IF($J249&lt;=0,"≤0",""))</f>
        <v/>
      </c>
      <c r="P249" s="53">
        <f>IF(AND($D249="SXC (627)",$F249="Chung"),IF(OR($G249="Cố định",$G249="Biến đổi"),"","THIẾU TÍNH CHẤT"),"")</f>
        <v/>
      </c>
    </row>
    <row r="250" ht="15" customHeight="1" s="54">
      <c r="A250" s="71" t="n"/>
      <c r="B250" s="67" t="n"/>
      <c r="C250" s="67" t="n"/>
      <c r="D250" s="67" t="n"/>
      <c r="E250" s="79">
        <f>IFERROR(INDEX(MAP_TK,MATCH($D250,MAP_KM,0)),"")</f>
        <v/>
      </c>
      <c r="F250" s="67" t="n"/>
      <c r="G250" s="67" t="n"/>
      <c r="H250" s="67" t="n"/>
      <c r="I250" s="67" t="n"/>
      <c r="J250" s="75" t="n"/>
      <c r="K250" s="67" t="n"/>
      <c r="M250" s="53">
        <f>IF($C250="","",IF(OR($C250="CHUNG",COUNTIF(DM_Ma,$C250)&gt;0),"","MÃ LẠ"))</f>
        <v/>
      </c>
      <c r="N250" s="53">
        <f>IF($A250="","",IF(AND($A250&gt;=pTu,$A250&lt;=pDen),"","NGOÀI KỲ"))</f>
        <v/>
      </c>
      <c r="O250" s="53">
        <f>IF($J250="","",IF($J250&lt;=0,"≤0",""))</f>
        <v/>
      </c>
      <c r="P250" s="53">
        <f>IF(AND($D250="SXC (627)",$F250="Chung"),IF(OR($G250="Cố định",$G250="Biến đổi"),"","THIẾU TÍNH CHẤT"),"")</f>
        <v/>
      </c>
    </row>
    <row r="251" ht="15" customHeight="1" s="54">
      <c r="A251" s="71" t="n"/>
      <c r="B251" s="67" t="n"/>
      <c r="C251" s="67" t="n"/>
      <c r="D251" s="67" t="n"/>
      <c r="E251" s="79">
        <f>IFERROR(INDEX(MAP_TK,MATCH($D251,MAP_KM,0)),"")</f>
        <v/>
      </c>
      <c r="F251" s="67" t="n"/>
      <c r="G251" s="67" t="n"/>
      <c r="H251" s="67" t="n"/>
      <c r="I251" s="67" t="n"/>
      <c r="J251" s="75" t="n"/>
      <c r="K251" s="67" t="n"/>
      <c r="M251" s="53">
        <f>IF($C251="","",IF(OR($C251="CHUNG",COUNTIF(DM_Ma,$C251)&gt;0),"","MÃ LẠ"))</f>
        <v/>
      </c>
      <c r="N251" s="53">
        <f>IF($A251="","",IF(AND($A251&gt;=pTu,$A251&lt;=pDen),"","NGOÀI KỲ"))</f>
        <v/>
      </c>
      <c r="O251" s="53">
        <f>IF($J251="","",IF($J251&lt;=0,"≤0",""))</f>
        <v/>
      </c>
      <c r="P251" s="53">
        <f>IF(AND($D251="SXC (627)",$F251="Chung"),IF(OR($G251="Cố định",$G251="Biến đổi"),"","THIẾU TÍNH CHẤT"),"")</f>
        <v/>
      </c>
    </row>
    <row r="252" ht="15" customHeight="1" s="54">
      <c r="A252" s="71" t="n"/>
      <c r="B252" s="67" t="n"/>
      <c r="C252" s="67" t="n"/>
      <c r="D252" s="67" t="n"/>
      <c r="E252" s="79">
        <f>IFERROR(INDEX(MAP_TK,MATCH($D252,MAP_KM,0)),"")</f>
        <v/>
      </c>
      <c r="F252" s="67" t="n"/>
      <c r="G252" s="67" t="n"/>
      <c r="H252" s="67" t="n"/>
      <c r="I252" s="67" t="n"/>
      <c r="J252" s="75" t="n"/>
      <c r="K252" s="67" t="n"/>
      <c r="M252" s="53">
        <f>IF($C252="","",IF(OR($C252="CHUNG",COUNTIF(DM_Ma,$C252)&gt;0),"","MÃ LẠ"))</f>
        <v/>
      </c>
      <c r="N252" s="53">
        <f>IF($A252="","",IF(AND($A252&gt;=pTu,$A252&lt;=pDen),"","NGOÀI KỲ"))</f>
        <v/>
      </c>
      <c r="O252" s="53">
        <f>IF($J252="","",IF($J252&lt;=0,"≤0",""))</f>
        <v/>
      </c>
      <c r="P252" s="53">
        <f>IF(AND($D252="SXC (627)",$F252="Chung"),IF(OR($G252="Cố định",$G252="Biến đổi"),"","THIẾU TÍNH CHẤT"),"")</f>
        <v/>
      </c>
    </row>
    <row r="253" ht="15" customHeight="1" s="54">
      <c r="A253" s="71" t="n"/>
      <c r="B253" s="67" t="n"/>
      <c r="C253" s="67" t="n"/>
      <c r="D253" s="67" t="n"/>
      <c r="E253" s="79">
        <f>IFERROR(INDEX(MAP_TK,MATCH($D253,MAP_KM,0)),"")</f>
        <v/>
      </c>
      <c r="F253" s="67" t="n"/>
      <c r="G253" s="67" t="n"/>
      <c r="H253" s="67" t="n"/>
      <c r="I253" s="67" t="n"/>
      <c r="J253" s="75" t="n"/>
      <c r="K253" s="67" t="n"/>
      <c r="M253" s="53">
        <f>IF($C253="","",IF(OR($C253="CHUNG",COUNTIF(DM_Ma,$C253)&gt;0),"","MÃ LẠ"))</f>
        <v/>
      </c>
      <c r="N253" s="53">
        <f>IF($A253="","",IF(AND($A253&gt;=pTu,$A253&lt;=pDen),"","NGOÀI KỲ"))</f>
        <v/>
      </c>
      <c r="O253" s="53">
        <f>IF($J253="","",IF($J253&lt;=0,"≤0",""))</f>
        <v/>
      </c>
      <c r="P253" s="53">
        <f>IF(AND($D253="SXC (627)",$F253="Chung"),IF(OR($G253="Cố định",$G253="Biến đổi"),"","THIẾU TÍNH CHẤT"),"")</f>
        <v/>
      </c>
    </row>
    <row r="254" ht="15" customHeight="1" s="54">
      <c r="A254" s="71" t="n"/>
      <c r="B254" s="67" t="n"/>
      <c r="C254" s="67" t="n"/>
      <c r="D254" s="67" t="n"/>
      <c r="E254" s="79">
        <f>IFERROR(INDEX(MAP_TK,MATCH($D254,MAP_KM,0)),"")</f>
        <v/>
      </c>
      <c r="F254" s="67" t="n"/>
      <c r="G254" s="67" t="n"/>
      <c r="H254" s="67" t="n"/>
      <c r="I254" s="67" t="n"/>
      <c r="J254" s="75" t="n"/>
      <c r="K254" s="67" t="n"/>
      <c r="M254" s="53">
        <f>IF($C254="","",IF(OR($C254="CHUNG",COUNTIF(DM_Ma,$C254)&gt;0),"","MÃ LẠ"))</f>
        <v/>
      </c>
      <c r="N254" s="53">
        <f>IF($A254="","",IF(AND($A254&gt;=pTu,$A254&lt;=pDen),"","NGOÀI KỲ"))</f>
        <v/>
      </c>
      <c r="O254" s="53">
        <f>IF($J254="","",IF($J254&lt;=0,"≤0",""))</f>
        <v/>
      </c>
      <c r="P254" s="53">
        <f>IF(AND($D254="SXC (627)",$F254="Chung"),IF(OR($G254="Cố định",$G254="Biến đổi"),"","THIẾU TÍNH CHẤT"),"")</f>
        <v/>
      </c>
    </row>
    <row r="255" ht="15" customHeight="1" s="54">
      <c r="A255" s="71" t="n"/>
      <c r="B255" s="67" t="n"/>
      <c r="C255" s="67" t="n"/>
      <c r="D255" s="67" t="n"/>
      <c r="E255" s="79">
        <f>IFERROR(INDEX(MAP_TK,MATCH($D255,MAP_KM,0)),"")</f>
        <v/>
      </c>
      <c r="F255" s="67" t="n"/>
      <c r="G255" s="67" t="n"/>
      <c r="H255" s="67" t="n"/>
      <c r="I255" s="67" t="n"/>
      <c r="J255" s="75" t="n"/>
      <c r="K255" s="67" t="n"/>
      <c r="M255" s="53">
        <f>IF($C255="","",IF(OR($C255="CHUNG",COUNTIF(DM_Ma,$C255)&gt;0),"","MÃ LẠ"))</f>
        <v/>
      </c>
      <c r="N255" s="53">
        <f>IF($A255="","",IF(AND($A255&gt;=pTu,$A255&lt;=pDen),"","NGOÀI KỲ"))</f>
        <v/>
      </c>
      <c r="O255" s="53">
        <f>IF($J255="","",IF($J255&lt;=0,"≤0",""))</f>
        <v/>
      </c>
      <c r="P255" s="53">
        <f>IF(AND($D255="SXC (627)",$F255="Chung"),IF(OR($G255="Cố định",$G255="Biến đổi"),"","THIẾU TÍNH CHẤT"),"")</f>
        <v/>
      </c>
    </row>
    <row r="256" ht="15" customHeight="1" s="54">
      <c r="A256" s="71" t="n"/>
      <c r="B256" s="67" t="n"/>
      <c r="C256" s="67" t="n"/>
      <c r="D256" s="67" t="n"/>
      <c r="E256" s="79">
        <f>IFERROR(INDEX(MAP_TK,MATCH($D256,MAP_KM,0)),"")</f>
        <v/>
      </c>
      <c r="F256" s="67" t="n"/>
      <c r="G256" s="67" t="n"/>
      <c r="H256" s="67" t="n"/>
      <c r="I256" s="67" t="n"/>
      <c r="J256" s="75" t="n"/>
      <c r="K256" s="67" t="n"/>
      <c r="M256" s="53">
        <f>IF($C256="","",IF(OR($C256="CHUNG",COUNTIF(DM_Ma,$C256)&gt;0),"","MÃ LẠ"))</f>
        <v/>
      </c>
      <c r="N256" s="53">
        <f>IF($A256="","",IF(AND($A256&gt;=pTu,$A256&lt;=pDen),"","NGOÀI KỲ"))</f>
        <v/>
      </c>
      <c r="O256" s="53">
        <f>IF($J256="","",IF($J256&lt;=0,"≤0",""))</f>
        <v/>
      </c>
      <c r="P256" s="53">
        <f>IF(AND($D256="SXC (627)",$F256="Chung"),IF(OR($G256="Cố định",$G256="Biến đổi"),"","THIẾU TÍNH CHẤT"),"")</f>
        <v/>
      </c>
    </row>
    <row r="257" ht="15" customHeight="1" s="54">
      <c r="A257" s="71" t="n"/>
      <c r="B257" s="67" t="n"/>
      <c r="C257" s="67" t="n"/>
      <c r="D257" s="67" t="n"/>
      <c r="E257" s="79">
        <f>IFERROR(INDEX(MAP_TK,MATCH($D257,MAP_KM,0)),"")</f>
        <v/>
      </c>
      <c r="F257" s="67" t="n"/>
      <c r="G257" s="67" t="n"/>
      <c r="H257" s="67" t="n"/>
      <c r="I257" s="67" t="n"/>
      <c r="J257" s="75" t="n"/>
      <c r="K257" s="67" t="n"/>
      <c r="M257" s="53">
        <f>IF($C257="","",IF(OR($C257="CHUNG",COUNTIF(DM_Ma,$C257)&gt;0),"","MÃ LẠ"))</f>
        <v/>
      </c>
      <c r="N257" s="53">
        <f>IF($A257="","",IF(AND($A257&gt;=pTu,$A257&lt;=pDen),"","NGOÀI KỲ"))</f>
        <v/>
      </c>
      <c r="O257" s="53">
        <f>IF($J257="","",IF($J257&lt;=0,"≤0",""))</f>
        <v/>
      </c>
      <c r="P257" s="53">
        <f>IF(AND($D257="SXC (627)",$F257="Chung"),IF(OR($G257="Cố định",$G257="Biến đổi"),"","THIẾU TÍNH CHẤT"),"")</f>
        <v/>
      </c>
    </row>
    <row r="258" ht="15" customHeight="1" s="54">
      <c r="A258" s="71" t="n"/>
      <c r="B258" s="67" t="n"/>
      <c r="C258" s="67" t="n"/>
      <c r="D258" s="67" t="n"/>
      <c r="E258" s="79">
        <f>IFERROR(INDEX(MAP_TK,MATCH($D258,MAP_KM,0)),"")</f>
        <v/>
      </c>
      <c r="F258" s="67" t="n"/>
      <c r="G258" s="67" t="n"/>
      <c r="H258" s="67" t="n"/>
      <c r="I258" s="67" t="n"/>
      <c r="J258" s="75" t="n"/>
      <c r="K258" s="67" t="n"/>
      <c r="M258" s="53">
        <f>IF($C258="","",IF(OR($C258="CHUNG",COUNTIF(DM_Ma,$C258)&gt;0),"","MÃ LẠ"))</f>
        <v/>
      </c>
      <c r="N258" s="53">
        <f>IF($A258="","",IF(AND($A258&gt;=pTu,$A258&lt;=pDen),"","NGOÀI KỲ"))</f>
        <v/>
      </c>
      <c r="O258" s="53">
        <f>IF($J258="","",IF($J258&lt;=0,"≤0",""))</f>
        <v/>
      </c>
      <c r="P258" s="53">
        <f>IF(AND($D258="SXC (627)",$F258="Chung"),IF(OR($G258="Cố định",$G258="Biến đổi"),"","THIẾU TÍNH CHẤT"),"")</f>
        <v/>
      </c>
    </row>
    <row r="259" ht="15" customHeight="1" s="54">
      <c r="A259" s="71" t="n"/>
      <c r="B259" s="67" t="n"/>
      <c r="C259" s="67" t="n"/>
      <c r="D259" s="67" t="n"/>
      <c r="E259" s="79">
        <f>IFERROR(INDEX(MAP_TK,MATCH($D259,MAP_KM,0)),"")</f>
        <v/>
      </c>
      <c r="F259" s="67" t="n"/>
      <c r="G259" s="67" t="n"/>
      <c r="H259" s="67" t="n"/>
      <c r="I259" s="67" t="n"/>
      <c r="J259" s="75" t="n"/>
      <c r="K259" s="67" t="n"/>
      <c r="M259" s="53">
        <f>IF($C259="","",IF(OR($C259="CHUNG",COUNTIF(DM_Ma,$C259)&gt;0),"","MÃ LẠ"))</f>
        <v/>
      </c>
      <c r="N259" s="53">
        <f>IF($A259="","",IF(AND($A259&gt;=pTu,$A259&lt;=pDen),"","NGOÀI KỲ"))</f>
        <v/>
      </c>
      <c r="O259" s="53">
        <f>IF($J259="","",IF($J259&lt;=0,"≤0",""))</f>
        <v/>
      </c>
      <c r="P259" s="53">
        <f>IF(AND($D259="SXC (627)",$F259="Chung"),IF(OR($G259="Cố định",$G259="Biến đổi"),"","THIẾU TÍNH CHẤT"),"")</f>
        <v/>
      </c>
    </row>
    <row r="260" ht="15" customHeight="1" s="54">
      <c r="A260" s="71" t="n"/>
      <c r="B260" s="67" t="n"/>
      <c r="C260" s="67" t="n"/>
      <c r="D260" s="67" t="n"/>
      <c r="E260" s="79">
        <f>IFERROR(INDEX(MAP_TK,MATCH($D260,MAP_KM,0)),"")</f>
        <v/>
      </c>
      <c r="F260" s="67" t="n"/>
      <c r="G260" s="67" t="n"/>
      <c r="H260" s="67" t="n"/>
      <c r="I260" s="67" t="n"/>
      <c r="J260" s="75" t="n"/>
      <c r="K260" s="67" t="n"/>
      <c r="M260" s="53">
        <f>IF($C260="","",IF(OR($C260="CHUNG",COUNTIF(DM_Ma,$C260)&gt;0),"","MÃ LẠ"))</f>
        <v/>
      </c>
      <c r="N260" s="53">
        <f>IF($A260="","",IF(AND($A260&gt;=pTu,$A260&lt;=pDen),"","NGOÀI KỲ"))</f>
        <v/>
      </c>
      <c r="O260" s="53">
        <f>IF($J260="","",IF($J260&lt;=0,"≤0",""))</f>
        <v/>
      </c>
      <c r="P260" s="53">
        <f>IF(AND($D260="SXC (627)",$F260="Chung"),IF(OR($G260="Cố định",$G260="Biến đổi"),"","THIẾU TÍNH CHẤT"),"")</f>
        <v/>
      </c>
    </row>
    <row r="261" ht="15" customHeight="1" s="54">
      <c r="A261" s="71" t="n"/>
      <c r="B261" s="67" t="n"/>
      <c r="C261" s="67" t="n"/>
      <c r="D261" s="67" t="n"/>
      <c r="E261" s="79">
        <f>IFERROR(INDEX(MAP_TK,MATCH($D261,MAP_KM,0)),"")</f>
        <v/>
      </c>
      <c r="F261" s="67" t="n"/>
      <c r="G261" s="67" t="n"/>
      <c r="H261" s="67" t="n"/>
      <c r="I261" s="67" t="n"/>
      <c r="J261" s="75" t="n"/>
      <c r="K261" s="67" t="n"/>
      <c r="M261" s="53">
        <f>IF($C261="","",IF(OR($C261="CHUNG",COUNTIF(DM_Ma,$C261)&gt;0),"","MÃ LẠ"))</f>
        <v/>
      </c>
      <c r="N261" s="53">
        <f>IF($A261="","",IF(AND($A261&gt;=pTu,$A261&lt;=pDen),"","NGOÀI KỲ"))</f>
        <v/>
      </c>
      <c r="O261" s="53">
        <f>IF($J261="","",IF($J261&lt;=0,"≤0",""))</f>
        <v/>
      </c>
      <c r="P261" s="53">
        <f>IF(AND($D261="SXC (627)",$F261="Chung"),IF(OR($G261="Cố định",$G261="Biến đổi"),"","THIẾU TÍNH CHẤT"),"")</f>
        <v/>
      </c>
    </row>
    <row r="262" ht="15" customHeight="1" s="54">
      <c r="A262" s="71" t="n"/>
      <c r="B262" s="67" t="n"/>
      <c r="C262" s="67" t="n"/>
      <c r="D262" s="67" t="n"/>
      <c r="E262" s="79">
        <f>IFERROR(INDEX(MAP_TK,MATCH($D262,MAP_KM,0)),"")</f>
        <v/>
      </c>
      <c r="F262" s="67" t="n"/>
      <c r="G262" s="67" t="n"/>
      <c r="H262" s="67" t="n"/>
      <c r="I262" s="67" t="n"/>
      <c r="J262" s="75" t="n"/>
      <c r="K262" s="67" t="n"/>
      <c r="M262" s="53">
        <f>IF($C262="","",IF(OR($C262="CHUNG",COUNTIF(DM_Ma,$C262)&gt;0),"","MÃ LẠ"))</f>
        <v/>
      </c>
      <c r="N262" s="53">
        <f>IF($A262="","",IF(AND($A262&gt;=pTu,$A262&lt;=pDen),"","NGOÀI KỲ"))</f>
        <v/>
      </c>
      <c r="O262" s="53">
        <f>IF($J262="","",IF($J262&lt;=0,"≤0",""))</f>
        <v/>
      </c>
      <c r="P262" s="53">
        <f>IF(AND($D262="SXC (627)",$F262="Chung"),IF(OR($G262="Cố định",$G262="Biến đổi"),"","THIẾU TÍNH CHẤT"),"")</f>
        <v/>
      </c>
    </row>
    <row r="263" ht="15" customHeight="1" s="54">
      <c r="A263" s="71" t="n"/>
      <c r="B263" s="67" t="n"/>
      <c r="C263" s="67" t="n"/>
      <c r="D263" s="67" t="n"/>
      <c r="E263" s="79">
        <f>IFERROR(INDEX(MAP_TK,MATCH($D263,MAP_KM,0)),"")</f>
        <v/>
      </c>
      <c r="F263" s="67" t="n"/>
      <c r="G263" s="67" t="n"/>
      <c r="H263" s="67" t="n"/>
      <c r="I263" s="67" t="n"/>
      <c r="J263" s="75" t="n"/>
      <c r="K263" s="67" t="n"/>
      <c r="M263" s="53">
        <f>IF($C263="","",IF(OR($C263="CHUNG",COUNTIF(DM_Ma,$C263)&gt;0),"","MÃ LẠ"))</f>
        <v/>
      </c>
      <c r="N263" s="53">
        <f>IF($A263="","",IF(AND($A263&gt;=pTu,$A263&lt;=pDen),"","NGOÀI KỲ"))</f>
        <v/>
      </c>
      <c r="O263" s="53">
        <f>IF($J263="","",IF($J263&lt;=0,"≤0",""))</f>
        <v/>
      </c>
      <c r="P263" s="53">
        <f>IF(AND($D263="SXC (627)",$F263="Chung"),IF(OR($G263="Cố định",$G263="Biến đổi"),"","THIẾU TÍNH CHẤT"),"")</f>
        <v/>
      </c>
    </row>
    <row r="264" ht="15" customHeight="1" s="54">
      <c r="A264" s="71" t="n"/>
      <c r="B264" s="67" t="n"/>
      <c r="C264" s="67" t="n"/>
      <c r="D264" s="67" t="n"/>
      <c r="E264" s="79">
        <f>IFERROR(INDEX(MAP_TK,MATCH($D264,MAP_KM,0)),"")</f>
        <v/>
      </c>
      <c r="F264" s="67" t="n"/>
      <c r="G264" s="67" t="n"/>
      <c r="H264" s="67" t="n"/>
      <c r="I264" s="67" t="n"/>
      <c r="J264" s="75" t="n"/>
      <c r="K264" s="67" t="n"/>
      <c r="M264" s="53">
        <f>IF($C264="","",IF(OR($C264="CHUNG",COUNTIF(DM_Ma,$C264)&gt;0),"","MÃ LẠ"))</f>
        <v/>
      </c>
      <c r="N264" s="53">
        <f>IF($A264="","",IF(AND($A264&gt;=pTu,$A264&lt;=pDen),"","NGOÀI KỲ"))</f>
        <v/>
      </c>
      <c r="O264" s="53">
        <f>IF($J264="","",IF($J264&lt;=0,"≤0",""))</f>
        <v/>
      </c>
      <c r="P264" s="53">
        <f>IF(AND($D264="SXC (627)",$F264="Chung"),IF(OR($G264="Cố định",$G264="Biến đổi"),"","THIẾU TÍNH CHẤT"),"")</f>
        <v/>
      </c>
    </row>
    <row r="265" ht="15" customHeight="1" s="54">
      <c r="A265" s="71" t="n"/>
      <c r="B265" s="67" t="n"/>
      <c r="C265" s="67" t="n"/>
      <c r="D265" s="67" t="n"/>
      <c r="E265" s="79">
        <f>IFERROR(INDEX(MAP_TK,MATCH($D265,MAP_KM,0)),"")</f>
        <v/>
      </c>
      <c r="F265" s="67" t="n"/>
      <c r="G265" s="67" t="n"/>
      <c r="H265" s="67" t="n"/>
      <c r="I265" s="67" t="n"/>
      <c r="J265" s="75" t="n"/>
      <c r="K265" s="67" t="n"/>
      <c r="M265" s="53">
        <f>IF($C265="","",IF(OR($C265="CHUNG",COUNTIF(DM_Ma,$C265)&gt;0),"","MÃ LẠ"))</f>
        <v/>
      </c>
      <c r="N265" s="53">
        <f>IF($A265="","",IF(AND($A265&gt;=pTu,$A265&lt;=pDen),"","NGOÀI KỲ"))</f>
        <v/>
      </c>
      <c r="O265" s="53">
        <f>IF($J265="","",IF($J265&lt;=0,"≤0",""))</f>
        <v/>
      </c>
      <c r="P265" s="53">
        <f>IF(AND($D265="SXC (627)",$F265="Chung"),IF(OR($G265="Cố định",$G265="Biến đổi"),"","THIẾU TÍNH CHẤT"),"")</f>
        <v/>
      </c>
    </row>
    <row r="266" ht="15" customHeight="1" s="54">
      <c r="A266" s="71" t="n"/>
      <c r="B266" s="67" t="n"/>
      <c r="C266" s="67" t="n"/>
      <c r="D266" s="67" t="n"/>
      <c r="E266" s="79">
        <f>IFERROR(INDEX(MAP_TK,MATCH($D266,MAP_KM,0)),"")</f>
        <v/>
      </c>
      <c r="F266" s="67" t="n"/>
      <c r="G266" s="67" t="n"/>
      <c r="H266" s="67" t="n"/>
      <c r="I266" s="67" t="n"/>
      <c r="J266" s="75" t="n"/>
      <c r="K266" s="67" t="n"/>
      <c r="M266" s="53">
        <f>IF($C266="","",IF(OR($C266="CHUNG",COUNTIF(DM_Ma,$C266)&gt;0),"","MÃ LẠ"))</f>
        <v/>
      </c>
      <c r="N266" s="53">
        <f>IF($A266="","",IF(AND($A266&gt;=pTu,$A266&lt;=pDen),"","NGOÀI KỲ"))</f>
        <v/>
      </c>
      <c r="O266" s="53">
        <f>IF($J266="","",IF($J266&lt;=0,"≤0",""))</f>
        <v/>
      </c>
      <c r="P266" s="53">
        <f>IF(AND($D266="SXC (627)",$F266="Chung"),IF(OR($G266="Cố định",$G266="Biến đổi"),"","THIẾU TÍNH CHẤT"),"")</f>
        <v/>
      </c>
    </row>
    <row r="267" ht="15" customHeight="1" s="54">
      <c r="A267" s="71" t="n"/>
      <c r="B267" s="67" t="n"/>
      <c r="C267" s="67" t="n"/>
      <c r="D267" s="67" t="n"/>
      <c r="E267" s="79">
        <f>IFERROR(INDEX(MAP_TK,MATCH($D267,MAP_KM,0)),"")</f>
        <v/>
      </c>
      <c r="F267" s="67" t="n"/>
      <c r="G267" s="67" t="n"/>
      <c r="H267" s="67" t="n"/>
      <c r="I267" s="67" t="n"/>
      <c r="J267" s="75" t="n"/>
      <c r="K267" s="67" t="n"/>
      <c r="M267" s="53">
        <f>IF($C267="","",IF(OR($C267="CHUNG",COUNTIF(DM_Ma,$C267)&gt;0),"","MÃ LẠ"))</f>
        <v/>
      </c>
      <c r="N267" s="53">
        <f>IF($A267="","",IF(AND($A267&gt;=pTu,$A267&lt;=pDen),"","NGOÀI KỲ"))</f>
        <v/>
      </c>
      <c r="O267" s="53">
        <f>IF($J267="","",IF($J267&lt;=0,"≤0",""))</f>
        <v/>
      </c>
      <c r="P267" s="53">
        <f>IF(AND($D267="SXC (627)",$F267="Chung"),IF(OR($G267="Cố định",$G267="Biến đổi"),"","THIẾU TÍNH CHẤT"),"")</f>
        <v/>
      </c>
    </row>
    <row r="268" ht="15" customHeight="1" s="54">
      <c r="A268" s="71" t="n"/>
      <c r="B268" s="67" t="n"/>
      <c r="C268" s="67" t="n"/>
      <c r="D268" s="67" t="n"/>
      <c r="E268" s="79">
        <f>IFERROR(INDEX(MAP_TK,MATCH($D268,MAP_KM,0)),"")</f>
        <v/>
      </c>
      <c r="F268" s="67" t="n"/>
      <c r="G268" s="67" t="n"/>
      <c r="H268" s="67" t="n"/>
      <c r="I268" s="67" t="n"/>
      <c r="J268" s="75" t="n"/>
      <c r="K268" s="67" t="n"/>
      <c r="M268" s="53">
        <f>IF($C268="","",IF(OR($C268="CHUNG",COUNTIF(DM_Ma,$C268)&gt;0),"","MÃ LẠ"))</f>
        <v/>
      </c>
      <c r="N268" s="53">
        <f>IF($A268="","",IF(AND($A268&gt;=pTu,$A268&lt;=pDen),"","NGOÀI KỲ"))</f>
        <v/>
      </c>
      <c r="O268" s="53">
        <f>IF($J268="","",IF($J268&lt;=0,"≤0",""))</f>
        <v/>
      </c>
      <c r="P268" s="53">
        <f>IF(AND($D268="SXC (627)",$F268="Chung"),IF(OR($G268="Cố định",$G268="Biến đổi"),"","THIẾU TÍNH CHẤT"),"")</f>
        <v/>
      </c>
    </row>
    <row r="269" ht="15" customHeight="1" s="54">
      <c r="A269" s="71" t="n"/>
      <c r="B269" s="67" t="n"/>
      <c r="C269" s="67" t="n"/>
      <c r="D269" s="67" t="n"/>
      <c r="E269" s="79">
        <f>IFERROR(INDEX(MAP_TK,MATCH($D269,MAP_KM,0)),"")</f>
        <v/>
      </c>
      <c r="F269" s="67" t="n"/>
      <c r="G269" s="67" t="n"/>
      <c r="H269" s="67" t="n"/>
      <c r="I269" s="67" t="n"/>
      <c r="J269" s="75" t="n"/>
      <c r="K269" s="67" t="n"/>
      <c r="M269" s="53">
        <f>IF($C269="","",IF(OR($C269="CHUNG",COUNTIF(DM_Ma,$C269)&gt;0),"","MÃ LẠ"))</f>
        <v/>
      </c>
      <c r="N269" s="53">
        <f>IF($A269="","",IF(AND($A269&gt;=pTu,$A269&lt;=pDen),"","NGOÀI KỲ"))</f>
        <v/>
      </c>
      <c r="O269" s="53">
        <f>IF($J269="","",IF($J269&lt;=0,"≤0",""))</f>
        <v/>
      </c>
      <c r="P269" s="53">
        <f>IF(AND($D269="SXC (627)",$F269="Chung"),IF(OR($G269="Cố định",$G269="Biến đổi"),"","THIẾU TÍNH CHẤT"),"")</f>
        <v/>
      </c>
    </row>
    <row r="270" ht="15" customHeight="1" s="54">
      <c r="A270" s="71" t="n"/>
      <c r="B270" s="67" t="n"/>
      <c r="C270" s="67" t="n"/>
      <c r="D270" s="67" t="n"/>
      <c r="E270" s="79">
        <f>IFERROR(INDEX(MAP_TK,MATCH($D270,MAP_KM,0)),"")</f>
        <v/>
      </c>
      <c r="F270" s="67" t="n"/>
      <c r="G270" s="67" t="n"/>
      <c r="H270" s="67" t="n"/>
      <c r="I270" s="67" t="n"/>
      <c r="J270" s="75" t="n"/>
      <c r="K270" s="67" t="n"/>
      <c r="M270" s="53">
        <f>IF($C270="","",IF(OR($C270="CHUNG",COUNTIF(DM_Ma,$C270)&gt;0),"","MÃ LẠ"))</f>
        <v/>
      </c>
      <c r="N270" s="53">
        <f>IF($A270="","",IF(AND($A270&gt;=pTu,$A270&lt;=pDen),"","NGOÀI KỲ"))</f>
        <v/>
      </c>
      <c r="O270" s="53">
        <f>IF($J270="","",IF($J270&lt;=0,"≤0",""))</f>
        <v/>
      </c>
      <c r="P270" s="53">
        <f>IF(AND($D270="SXC (627)",$F270="Chung"),IF(OR($G270="Cố định",$G270="Biến đổi"),"","THIẾU TÍNH CHẤT"),"")</f>
        <v/>
      </c>
    </row>
    <row r="271" ht="15" customHeight="1" s="54">
      <c r="A271" s="71" t="n"/>
      <c r="B271" s="67" t="n"/>
      <c r="C271" s="67" t="n"/>
      <c r="D271" s="67" t="n"/>
      <c r="E271" s="79">
        <f>IFERROR(INDEX(MAP_TK,MATCH($D271,MAP_KM,0)),"")</f>
        <v/>
      </c>
      <c r="F271" s="67" t="n"/>
      <c r="G271" s="67" t="n"/>
      <c r="H271" s="67" t="n"/>
      <c r="I271" s="67" t="n"/>
      <c r="J271" s="75" t="n"/>
      <c r="K271" s="67" t="n"/>
      <c r="M271" s="53">
        <f>IF($C271="","",IF(OR($C271="CHUNG",COUNTIF(DM_Ma,$C271)&gt;0),"","MÃ LẠ"))</f>
        <v/>
      </c>
      <c r="N271" s="53">
        <f>IF($A271="","",IF(AND($A271&gt;=pTu,$A271&lt;=pDen),"","NGOÀI KỲ"))</f>
        <v/>
      </c>
      <c r="O271" s="53">
        <f>IF($J271="","",IF($J271&lt;=0,"≤0",""))</f>
        <v/>
      </c>
      <c r="P271" s="53">
        <f>IF(AND($D271="SXC (627)",$F271="Chung"),IF(OR($G271="Cố định",$G271="Biến đổi"),"","THIẾU TÍNH CHẤT"),"")</f>
        <v/>
      </c>
    </row>
    <row r="272" ht="15" customHeight="1" s="54">
      <c r="A272" s="71" t="n"/>
      <c r="B272" s="67" t="n"/>
      <c r="C272" s="67" t="n"/>
      <c r="D272" s="67" t="n"/>
      <c r="E272" s="79">
        <f>IFERROR(INDEX(MAP_TK,MATCH($D272,MAP_KM,0)),"")</f>
        <v/>
      </c>
      <c r="F272" s="67" t="n"/>
      <c r="G272" s="67" t="n"/>
      <c r="H272" s="67" t="n"/>
      <c r="I272" s="67" t="n"/>
      <c r="J272" s="75" t="n"/>
      <c r="K272" s="67" t="n"/>
      <c r="M272" s="53">
        <f>IF($C272="","",IF(OR($C272="CHUNG",COUNTIF(DM_Ma,$C272)&gt;0),"","MÃ LẠ"))</f>
        <v/>
      </c>
      <c r="N272" s="53">
        <f>IF($A272="","",IF(AND($A272&gt;=pTu,$A272&lt;=pDen),"","NGOÀI KỲ"))</f>
        <v/>
      </c>
      <c r="O272" s="53">
        <f>IF($J272="","",IF($J272&lt;=0,"≤0",""))</f>
        <v/>
      </c>
      <c r="P272" s="53">
        <f>IF(AND($D272="SXC (627)",$F272="Chung"),IF(OR($G272="Cố định",$G272="Biến đổi"),"","THIẾU TÍNH CHẤT"),"")</f>
        <v/>
      </c>
    </row>
    <row r="273" ht="15" customHeight="1" s="54">
      <c r="A273" s="71" t="n"/>
      <c r="B273" s="67" t="n"/>
      <c r="C273" s="67" t="n"/>
      <c r="D273" s="67" t="n"/>
      <c r="E273" s="79">
        <f>IFERROR(INDEX(MAP_TK,MATCH($D273,MAP_KM,0)),"")</f>
        <v/>
      </c>
      <c r="F273" s="67" t="n"/>
      <c r="G273" s="67" t="n"/>
      <c r="H273" s="67" t="n"/>
      <c r="I273" s="67" t="n"/>
      <c r="J273" s="75" t="n"/>
      <c r="K273" s="67" t="n"/>
      <c r="M273" s="53">
        <f>IF($C273="","",IF(OR($C273="CHUNG",COUNTIF(DM_Ma,$C273)&gt;0),"","MÃ LẠ"))</f>
        <v/>
      </c>
      <c r="N273" s="53">
        <f>IF($A273="","",IF(AND($A273&gt;=pTu,$A273&lt;=pDen),"","NGOÀI KỲ"))</f>
        <v/>
      </c>
      <c r="O273" s="53">
        <f>IF($J273="","",IF($J273&lt;=0,"≤0",""))</f>
        <v/>
      </c>
      <c r="P273" s="53">
        <f>IF(AND($D273="SXC (627)",$F273="Chung"),IF(OR($G273="Cố định",$G273="Biến đổi"),"","THIẾU TÍNH CHẤT"),"")</f>
        <v/>
      </c>
    </row>
    <row r="274" ht="15" customHeight="1" s="54">
      <c r="A274" s="71" t="n"/>
      <c r="B274" s="67" t="n"/>
      <c r="C274" s="67" t="n"/>
      <c r="D274" s="67" t="n"/>
      <c r="E274" s="79">
        <f>IFERROR(INDEX(MAP_TK,MATCH($D274,MAP_KM,0)),"")</f>
        <v/>
      </c>
      <c r="F274" s="67" t="n"/>
      <c r="G274" s="67" t="n"/>
      <c r="H274" s="67" t="n"/>
      <c r="I274" s="67" t="n"/>
      <c r="J274" s="75" t="n"/>
      <c r="K274" s="67" t="n"/>
      <c r="M274" s="53">
        <f>IF($C274="","",IF(OR($C274="CHUNG",COUNTIF(DM_Ma,$C274)&gt;0),"","MÃ LẠ"))</f>
        <v/>
      </c>
      <c r="N274" s="53">
        <f>IF($A274="","",IF(AND($A274&gt;=pTu,$A274&lt;=pDen),"","NGOÀI KỲ"))</f>
        <v/>
      </c>
      <c r="O274" s="53">
        <f>IF($J274="","",IF($J274&lt;=0,"≤0",""))</f>
        <v/>
      </c>
      <c r="P274" s="53">
        <f>IF(AND($D274="SXC (627)",$F274="Chung"),IF(OR($G274="Cố định",$G274="Biến đổi"),"","THIẾU TÍNH CHẤT"),"")</f>
        <v/>
      </c>
    </row>
    <row r="275" ht="15" customHeight="1" s="54">
      <c r="A275" s="71" t="n"/>
      <c r="B275" s="67" t="n"/>
      <c r="C275" s="67" t="n"/>
      <c r="D275" s="67" t="n"/>
      <c r="E275" s="79">
        <f>IFERROR(INDEX(MAP_TK,MATCH($D275,MAP_KM,0)),"")</f>
        <v/>
      </c>
      <c r="F275" s="67" t="n"/>
      <c r="G275" s="67" t="n"/>
      <c r="H275" s="67" t="n"/>
      <c r="I275" s="67" t="n"/>
      <c r="J275" s="75" t="n"/>
      <c r="K275" s="67" t="n"/>
      <c r="M275" s="53">
        <f>IF($C275="","",IF(OR($C275="CHUNG",COUNTIF(DM_Ma,$C275)&gt;0),"","MÃ LẠ"))</f>
        <v/>
      </c>
      <c r="N275" s="53">
        <f>IF($A275="","",IF(AND($A275&gt;=pTu,$A275&lt;=pDen),"","NGOÀI KỲ"))</f>
        <v/>
      </c>
      <c r="O275" s="53">
        <f>IF($J275="","",IF($J275&lt;=0,"≤0",""))</f>
        <v/>
      </c>
      <c r="P275" s="53">
        <f>IF(AND($D275="SXC (627)",$F275="Chung"),IF(OR($G275="Cố định",$G275="Biến đổi"),"","THIẾU TÍNH CHẤT"),"")</f>
        <v/>
      </c>
    </row>
    <row r="276" ht="15" customHeight="1" s="54">
      <c r="A276" s="71" t="n"/>
      <c r="B276" s="67" t="n"/>
      <c r="C276" s="67" t="n"/>
      <c r="D276" s="67" t="n"/>
      <c r="E276" s="79">
        <f>IFERROR(INDEX(MAP_TK,MATCH($D276,MAP_KM,0)),"")</f>
        <v/>
      </c>
      <c r="F276" s="67" t="n"/>
      <c r="G276" s="67" t="n"/>
      <c r="H276" s="67" t="n"/>
      <c r="I276" s="67" t="n"/>
      <c r="J276" s="75" t="n"/>
      <c r="K276" s="67" t="n"/>
      <c r="M276" s="53">
        <f>IF($C276="","",IF(OR($C276="CHUNG",COUNTIF(DM_Ma,$C276)&gt;0),"","MÃ LẠ"))</f>
        <v/>
      </c>
      <c r="N276" s="53">
        <f>IF($A276="","",IF(AND($A276&gt;=pTu,$A276&lt;=pDen),"","NGOÀI KỲ"))</f>
        <v/>
      </c>
      <c r="O276" s="53">
        <f>IF($J276="","",IF($J276&lt;=0,"≤0",""))</f>
        <v/>
      </c>
      <c r="P276" s="53">
        <f>IF(AND($D276="SXC (627)",$F276="Chung"),IF(OR($G276="Cố định",$G276="Biến đổi"),"","THIẾU TÍNH CHẤT"),"")</f>
        <v/>
      </c>
    </row>
    <row r="277" ht="15" customHeight="1" s="54">
      <c r="A277" s="71" t="n"/>
      <c r="B277" s="67" t="n"/>
      <c r="C277" s="67" t="n"/>
      <c r="D277" s="67" t="n"/>
      <c r="E277" s="79">
        <f>IFERROR(INDEX(MAP_TK,MATCH($D277,MAP_KM,0)),"")</f>
        <v/>
      </c>
      <c r="F277" s="67" t="n"/>
      <c r="G277" s="67" t="n"/>
      <c r="H277" s="67" t="n"/>
      <c r="I277" s="67" t="n"/>
      <c r="J277" s="75" t="n"/>
      <c r="K277" s="67" t="n"/>
      <c r="M277" s="53">
        <f>IF($C277="","",IF(OR($C277="CHUNG",COUNTIF(DM_Ma,$C277)&gt;0),"","MÃ LẠ"))</f>
        <v/>
      </c>
      <c r="N277" s="53">
        <f>IF($A277="","",IF(AND($A277&gt;=pTu,$A277&lt;=pDen),"","NGOÀI KỲ"))</f>
        <v/>
      </c>
      <c r="O277" s="53">
        <f>IF($J277="","",IF($J277&lt;=0,"≤0",""))</f>
        <v/>
      </c>
      <c r="P277" s="53">
        <f>IF(AND($D277="SXC (627)",$F277="Chung"),IF(OR($G277="Cố định",$G277="Biến đổi"),"","THIẾU TÍNH CHẤT"),"")</f>
        <v/>
      </c>
    </row>
    <row r="278" ht="15" customHeight="1" s="54">
      <c r="A278" s="71" t="n"/>
      <c r="B278" s="67" t="n"/>
      <c r="C278" s="67" t="n"/>
      <c r="D278" s="67" t="n"/>
      <c r="E278" s="79">
        <f>IFERROR(INDEX(MAP_TK,MATCH($D278,MAP_KM,0)),"")</f>
        <v/>
      </c>
      <c r="F278" s="67" t="n"/>
      <c r="G278" s="67" t="n"/>
      <c r="H278" s="67" t="n"/>
      <c r="I278" s="67" t="n"/>
      <c r="J278" s="75" t="n"/>
      <c r="K278" s="67" t="n"/>
      <c r="M278" s="53">
        <f>IF($C278="","",IF(OR($C278="CHUNG",COUNTIF(DM_Ma,$C278)&gt;0),"","MÃ LẠ"))</f>
        <v/>
      </c>
      <c r="N278" s="53">
        <f>IF($A278="","",IF(AND($A278&gt;=pTu,$A278&lt;=pDen),"","NGOÀI KỲ"))</f>
        <v/>
      </c>
      <c r="O278" s="53">
        <f>IF($J278="","",IF($J278&lt;=0,"≤0",""))</f>
        <v/>
      </c>
      <c r="P278" s="53">
        <f>IF(AND($D278="SXC (627)",$F278="Chung"),IF(OR($G278="Cố định",$G278="Biến đổi"),"","THIẾU TÍNH CHẤT"),"")</f>
        <v/>
      </c>
    </row>
    <row r="279" ht="15" customHeight="1" s="54">
      <c r="A279" s="71" t="n"/>
      <c r="B279" s="67" t="n"/>
      <c r="C279" s="67" t="n"/>
      <c r="D279" s="67" t="n"/>
      <c r="E279" s="79">
        <f>IFERROR(INDEX(MAP_TK,MATCH($D279,MAP_KM,0)),"")</f>
        <v/>
      </c>
      <c r="F279" s="67" t="n"/>
      <c r="G279" s="67" t="n"/>
      <c r="H279" s="67" t="n"/>
      <c r="I279" s="67" t="n"/>
      <c r="J279" s="75" t="n"/>
      <c r="K279" s="67" t="n"/>
      <c r="M279" s="53">
        <f>IF($C279="","",IF(OR($C279="CHUNG",COUNTIF(DM_Ma,$C279)&gt;0),"","MÃ LẠ"))</f>
        <v/>
      </c>
      <c r="N279" s="53">
        <f>IF($A279="","",IF(AND($A279&gt;=pTu,$A279&lt;=pDen),"","NGOÀI KỲ"))</f>
        <v/>
      </c>
      <c r="O279" s="53">
        <f>IF($J279="","",IF($J279&lt;=0,"≤0",""))</f>
        <v/>
      </c>
      <c r="P279" s="53">
        <f>IF(AND($D279="SXC (627)",$F279="Chung"),IF(OR($G279="Cố định",$G279="Biến đổi"),"","THIẾU TÍNH CHẤT"),"")</f>
        <v/>
      </c>
    </row>
    <row r="280" ht="15" customHeight="1" s="54">
      <c r="A280" s="71" t="n"/>
      <c r="B280" s="67" t="n"/>
      <c r="C280" s="67" t="n"/>
      <c r="D280" s="67" t="n"/>
      <c r="E280" s="79">
        <f>IFERROR(INDEX(MAP_TK,MATCH($D280,MAP_KM,0)),"")</f>
        <v/>
      </c>
      <c r="F280" s="67" t="n"/>
      <c r="G280" s="67" t="n"/>
      <c r="H280" s="67" t="n"/>
      <c r="I280" s="67" t="n"/>
      <c r="J280" s="75" t="n"/>
      <c r="K280" s="67" t="n"/>
      <c r="M280" s="53">
        <f>IF($C280="","",IF(OR($C280="CHUNG",COUNTIF(DM_Ma,$C280)&gt;0),"","MÃ LẠ"))</f>
        <v/>
      </c>
      <c r="N280" s="53">
        <f>IF($A280="","",IF(AND($A280&gt;=pTu,$A280&lt;=pDen),"","NGOÀI KỲ"))</f>
        <v/>
      </c>
      <c r="O280" s="53">
        <f>IF($J280="","",IF($J280&lt;=0,"≤0",""))</f>
        <v/>
      </c>
      <c r="P280" s="53">
        <f>IF(AND($D280="SXC (627)",$F280="Chung"),IF(OR($G280="Cố định",$G280="Biến đổi"),"","THIẾU TÍNH CHẤT"),"")</f>
        <v/>
      </c>
    </row>
    <row r="281" ht="15" customHeight="1" s="54">
      <c r="A281" s="71" t="n"/>
      <c r="B281" s="67" t="n"/>
      <c r="C281" s="67" t="n"/>
      <c r="D281" s="67" t="n"/>
      <c r="E281" s="79">
        <f>IFERROR(INDEX(MAP_TK,MATCH($D281,MAP_KM,0)),"")</f>
        <v/>
      </c>
      <c r="F281" s="67" t="n"/>
      <c r="G281" s="67" t="n"/>
      <c r="H281" s="67" t="n"/>
      <c r="I281" s="67" t="n"/>
      <c r="J281" s="75" t="n"/>
      <c r="K281" s="67" t="n"/>
      <c r="M281" s="53">
        <f>IF($C281="","",IF(OR($C281="CHUNG",COUNTIF(DM_Ma,$C281)&gt;0),"","MÃ LẠ"))</f>
        <v/>
      </c>
      <c r="N281" s="53">
        <f>IF($A281="","",IF(AND($A281&gt;=pTu,$A281&lt;=pDen),"","NGOÀI KỲ"))</f>
        <v/>
      </c>
      <c r="O281" s="53">
        <f>IF($J281="","",IF($J281&lt;=0,"≤0",""))</f>
        <v/>
      </c>
      <c r="P281" s="53">
        <f>IF(AND($D281="SXC (627)",$F281="Chung"),IF(OR($G281="Cố định",$G281="Biến đổi"),"","THIẾU TÍNH CHẤT"),"")</f>
        <v/>
      </c>
    </row>
    <row r="282" ht="15" customHeight="1" s="54">
      <c r="A282" s="71" t="n"/>
      <c r="B282" s="67" t="n"/>
      <c r="C282" s="67" t="n"/>
      <c r="D282" s="67" t="n"/>
      <c r="E282" s="79">
        <f>IFERROR(INDEX(MAP_TK,MATCH($D282,MAP_KM,0)),"")</f>
        <v/>
      </c>
      <c r="F282" s="67" t="n"/>
      <c r="G282" s="67" t="n"/>
      <c r="H282" s="67" t="n"/>
      <c r="I282" s="67" t="n"/>
      <c r="J282" s="75" t="n"/>
      <c r="K282" s="67" t="n"/>
      <c r="M282" s="53">
        <f>IF($C282="","",IF(OR($C282="CHUNG",COUNTIF(DM_Ma,$C282)&gt;0),"","MÃ LẠ"))</f>
        <v/>
      </c>
      <c r="N282" s="53">
        <f>IF($A282="","",IF(AND($A282&gt;=pTu,$A282&lt;=pDen),"","NGOÀI KỲ"))</f>
        <v/>
      </c>
      <c r="O282" s="53">
        <f>IF($J282="","",IF($J282&lt;=0,"≤0",""))</f>
        <v/>
      </c>
      <c r="P282" s="53">
        <f>IF(AND($D282="SXC (627)",$F282="Chung"),IF(OR($G282="Cố định",$G282="Biến đổi"),"","THIẾU TÍNH CHẤT"),"")</f>
        <v/>
      </c>
    </row>
    <row r="283" ht="15" customHeight="1" s="54">
      <c r="A283" s="71" t="n"/>
      <c r="B283" s="67" t="n"/>
      <c r="C283" s="67" t="n"/>
      <c r="D283" s="67" t="n"/>
      <c r="E283" s="79">
        <f>IFERROR(INDEX(MAP_TK,MATCH($D283,MAP_KM,0)),"")</f>
        <v/>
      </c>
      <c r="F283" s="67" t="n"/>
      <c r="G283" s="67" t="n"/>
      <c r="H283" s="67" t="n"/>
      <c r="I283" s="67" t="n"/>
      <c r="J283" s="75" t="n"/>
      <c r="K283" s="67" t="n"/>
      <c r="M283" s="53">
        <f>IF($C283="","",IF(OR($C283="CHUNG",COUNTIF(DM_Ma,$C283)&gt;0),"","MÃ LẠ"))</f>
        <v/>
      </c>
      <c r="N283" s="53">
        <f>IF($A283="","",IF(AND($A283&gt;=pTu,$A283&lt;=pDen),"","NGOÀI KỲ"))</f>
        <v/>
      </c>
      <c r="O283" s="53">
        <f>IF($J283="","",IF($J283&lt;=0,"≤0",""))</f>
        <v/>
      </c>
      <c r="P283" s="53">
        <f>IF(AND($D283="SXC (627)",$F283="Chung"),IF(OR($G283="Cố định",$G283="Biến đổi"),"","THIẾU TÍNH CHẤT"),"")</f>
        <v/>
      </c>
    </row>
    <row r="284" ht="15" customHeight="1" s="54">
      <c r="A284" s="71" t="n"/>
      <c r="B284" s="67" t="n"/>
      <c r="C284" s="67" t="n"/>
      <c r="D284" s="67" t="n"/>
      <c r="E284" s="79">
        <f>IFERROR(INDEX(MAP_TK,MATCH($D284,MAP_KM,0)),"")</f>
        <v/>
      </c>
      <c r="F284" s="67" t="n"/>
      <c r="G284" s="67" t="n"/>
      <c r="H284" s="67" t="n"/>
      <c r="I284" s="67" t="n"/>
      <c r="J284" s="75" t="n"/>
      <c r="K284" s="67" t="n"/>
      <c r="M284" s="53">
        <f>IF($C284="","",IF(OR($C284="CHUNG",COUNTIF(DM_Ma,$C284)&gt;0),"","MÃ LẠ"))</f>
        <v/>
      </c>
      <c r="N284" s="53">
        <f>IF($A284="","",IF(AND($A284&gt;=pTu,$A284&lt;=pDen),"","NGOÀI KỲ"))</f>
        <v/>
      </c>
      <c r="O284" s="53">
        <f>IF($J284="","",IF($J284&lt;=0,"≤0",""))</f>
        <v/>
      </c>
      <c r="P284" s="53">
        <f>IF(AND($D284="SXC (627)",$F284="Chung"),IF(OR($G284="Cố định",$G284="Biến đổi"),"","THIẾU TÍNH CHẤT"),"")</f>
        <v/>
      </c>
    </row>
    <row r="285" ht="15" customHeight="1" s="54">
      <c r="A285" s="71" t="n"/>
      <c r="B285" s="67" t="n"/>
      <c r="C285" s="67" t="n"/>
      <c r="D285" s="67" t="n"/>
      <c r="E285" s="79">
        <f>IFERROR(INDEX(MAP_TK,MATCH($D285,MAP_KM,0)),"")</f>
        <v/>
      </c>
      <c r="F285" s="67" t="n"/>
      <c r="G285" s="67" t="n"/>
      <c r="H285" s="67" t="n"/>
      <c r="I285" s="67" t="n"/>
      <c r="J285" s="75" t="n"/>
      <c r="K285" s="67" t="n"/>
      <c r="M285" s="53">
        <f>IF($C285="","",IF(OR($C285="CHUNG",COUNTIF(DM_Ma,$C285)&gt;0),"","MÃ LẠ"))</f>
        <v/>
      </c>
      <c r="N285" s="53">
        <f>IF($A285="","",IF(AND($A285&gt;=pTu,$A285&lt;=pDen),"","NGOÀI KỲ"))</f>
        <v/>
      </c>
      <c r="O285" s="53">
        <f>IF($J285="","",IF($J285&lt;=0,"≤0",""))</f>
        <v/>
      </c>
      <c r="P285" s="53">
        <f>IF(AND($D285="SXC (627)",$F285="Chung"),IF(OR($G285="Cố định",$G285="Biến đổi"),"","THIẾU TÍNH CHẤT"),"")</f>
        <v/>
      </c>
    </row>
    <row r="286" ht="15" customHeight="1" s="54">
      <c r="A286" s="71" t="n"/>
      <c r="B286" s="67" t="n"/>
      <c r="C286" s="67" t="n"/>
      <c r="D286" s="67" t="n"/>
      <c r="E286" s="79">
        <f>IFERROR(INDEX(MAP_TK,MATCH($D286,MAP_KM,0)),"")</f>
        <v/>
      </c>
      <c r="F286" s="67" t="n"/>
      <c r="G286" s="67" t="n"/>
      <c r="H286" s="67" t="n"/>
      <c r="I286" s="67" t="n"/>
      <c r="J286" s="75" t="n"/>
      <c r="K286" s="67" t="n"/>
      <c r="M286" s="53">
        <f>IF($C286="","",IF(OR($C286="CHUNG",COUNTIF(DM_Ma,$C286)&gt;0),"","MÃ LẠ"))</f>
        <v/>
      </c>
      <c r="N286" s="53">
        <f>IF($A286="","",IF(AND($A286&gt;=pTu,$A286&lt;=pDen),"","NGOÀI KỲ"))</f>
        <v/>
      </c>
      <c r="O286" s="53">
        <f>IF($J286="","",IF($J286&lt;=0,"≤0",""))</f>
        <v/>
      </c>
      <c r="P286" s="53">
        <f>IF(AND($D286="SXC (627)",$F286="Chung"),IF(OR($G286="Cố định",$G286="Biến đổi"),"","THIẾU TÍNH CHẤT"),"")</f>
        <v/>
      </c>
    </row>
    <row r="287" ht="15" customHeight="1" s="54">
      <c r="A287" s="71" t="n"/>
      <c r="B287" s="67" t="n"/>
      <c r="C287" s="67" t="n"/>
      <c r="D287" s="67" t="n"/>
      <c r="E287" s="79">
        <f>IFERROR(INDEX(MAP_TK,MATCH($D287,MAP_KM,0)),"")</f>
        <v/>
      </c>
      <c r="F287" s="67" t="n"/>
      <c r="G287" s="67" t="n"/>
      <c r="H287" s="67" t="n"/>
      <c r="I287" s="67" t="n"/>
      <c r="J287" s="75" t="n"/>
      <c r="K287" s="67" t="n"/>
      <c r="M287" s="53">
        <f>IF($C287="","",IF(OR($C287="CHUNG",COUNTIF(DM_Ma,$C287)&gt;0),"","MÃ LẠ"))</f>
        <v/>
      </c>
      <c r="N287" s="53">
        <f>IF($A287="","",IF(AND($A287&gt;=pTu,$A287&lt;=pDen),"","NGOÀI KỲ"))</f>
        <v/>
      </c>
      <c r="O287" s="53">
        <f>IF($J287="","",IF($J287&lt;=0,"≤0",""))</f>
        <v/>
      </c>
      <c r="P287" s="53">
        <f>IF(AND($D287="SXC (627)",$F287="Chung"),IF(OR($G287="Cố định",$G287="Biến đổi"),"","THIẾU TÍNH CHẤT"),"")</f>
        <v/>
      </c>
    </row>
    <row r="288" ht="15" customHeight="1" s="54">
      <c r="A288" s="71" t="n"/>
      <c r="B288" s="67" t="n"/>
      <c r="C288" s="67" t="n"/>
      <c r="D288" s="67" t="n"/>
      <c r="E288" s="79">
        <f>IFERROR(INDEX(MAP_TK,MATCH($D288,MAP_KM,0)),"")</f>
        <v/>
      </c>
      <c r="F288" s="67" t="n"/>
      <c r="G288" s="67" t="n"/>
      <c r="H288" s="67" t="n"/>
      <c r="I288" s="67" t="n"/>
      <c r="J288" s="75" t="n"/>
      <c r="K288" s="67" t="n"/>
      <c r="M288" s="53">
        <f>IF($C288="","",IF(OR($C288="CHUNG",COUNTIF(DM_Ma,$C288)&gt;0),"","MÃ LẠ"))</f>
        <v/>
      </c>
      <c r="N288" s="53">
        <f>IF($A288="","",IF(AND($A288&gt;=pTu,$A288&lt;=pDen),"","NGOÀI KỲ"))</f>
        <v/>
      </c>
      <c r="O288" s="53">
        <f>IF($J288="","",IF($J288&lt;=0,"≤0",""))</f>
        <v/>
      </c>
      <c r="P288" s="53">
        <f>IF(AND($D288="SXC (627)",$F288="Chung"),IF(OR($G288="Cố định",$G288="Biến đổi"),"","THIẾU TÍNH CHẤT"),"")</f>
        <v/>
      </c>
    </row>
    <row r="289" ht="15" customHeight="1" s="54">
      <c r="A289" s="71" t="n"/>
      <c r="B289" s="67" t="n"/>
      <c r="C289" s="67" t="n"/>
      <c r="D289" s="67" t="n"/>
      <c r="E289" s="79">
        <f>IFERROR(INDEX(MAP_TK,MATCH($D289,MAP_KM,0)),"")</f>
        <v/>
      </c>
      <c r="F289" s="67" t="n"/>
      <c r="G289" s="67" t="n"/>
      <c r="H289" s="67" t="n"/>
      <c r="I289" s="67" t="n"/>
      <c r="J289" s="75" t="n"/>
      <c r="K289" s="67" t="n"/>
      <c r="M289" s="53">
        <f>IF($C289="","",IF(OR($C289="CHUNG",COUNTIF(DM_Ma,$C289)&gt;0),"","MÃ LẠ"))</f>
        <v/>
      </c>
      <c r="N289" s="53">
        <f>IF($A289="","",IF(AND($A289&gt;=pTu,$A289&lt;=pDen),"","NGOÀI KỲ"))</f>
        <v/>
      </c>
      <c r="O289" s="53">
        <f>IF($J289="","",IF($J289&lt;=0,"≤0",""))</f>
        <v/>
      </c>
      <c r="P289" s="53">
        <f>IF(AND($D289="SXC (627)",$F289="Chung"),IF(OR($G289="Cố định",$G289="Biến đổi"),"","THIẾU TÍNH CHẤT"),"")</f>
        <v/>
      </c>
    </row>
    <row r="290" ht="15" customHeight="1" s="54">
      <c r="A290" s="71" t="n"/>
      <c r="B290" s="67" t="n"/>
      <c r="C290" s="67" t="n"/>
      <c r="D290" s="67" t="n"/>
      <c r="E290" s="79">
        <f>IFERROR(INDEX(MAP_TK,MATCH($D290,MAP_KM,0)),"")</f>
        <v/>
      </c>
      <c r="F290" s="67" t="n"/>
      <c r="G290" s="67" t="n"/>
      <c r="H290" s="67" t="n"/>
      <c r="I290" s="67" t="n"/>
      <c r="J290" s="75" t="n"/>
      <c r="K290" s="67" t="n"/>
      <c r="M290" s="53">
        <f>IF($C290="","",IF(OR($C290="CHUNG",COUNTIF(DM_Ma,$C290)&gt;0),"","MÃ LẠ"))</f>
        <v/>
      </c>
      <c r="N290" s="53">
        <f>IF($A290="","",IF(AND($A290&gt;=pTu,$A290&lt;=pDen),"","NGOÀI KỲ"))</f>
        <v/>
      </c>
      <c r="O290" s="53">
        <f>IF($J290="","",IF($J290&lt;=0,"≤0",""))</f>
        <v/>
      </c>
      <c r="P290" s="53">
        <f>IF(AND($D290="SXC (627)",$F290="Chung"),IF(OR($G290="Cố định",$G290="Biến đổi"),"","THIẾU TÍNH CHẤT"),"")</f>
        <v/>
      </c>
    </row>
    <row r="291" ht="15" customHeight="1" s="54">
      <c r="A291" s="71" t="n"/>
      <c r="B291" s="67" t="n"/>
      <c r="C291" s="67" t="n"/>
      <c r="D291" s="67" t="n"/>
      <c r="E291" s="79">
        <f>IFERROR(INDEX(MAP_TK,MATCH($D291,MAP_KM,0)),"")</f>
        <v/>
      </c>
      <c r="F291" s="67" t="n"/>
      <c r="G291" s="67" t="n"/>
      <c r="H291" s="67" t="n"/>
      <c r="I291" s="67" t="n"/>
      <c r="J291" s="75" t="n"/>
      <c r="K291" s="67" t="n"/>
      <c r="M291" s="53">
        <f>IF($C291="","",IF(OR($C291="CHUNG",COUNTIF(DM_Ma,$C291)&gt;0),"","MÃ LẠ"))</f>
        <v/>
      </c>
      <c r="N291" s="53">
        <f>IF($A291="","",IF(AND($A291&gt;=pTu,$A291&lt;=pDen),"","NGOÀI KỲ"))</f>
        <v/>
      </c>
      <c r="O291" s="53">
        <f>IF($J291="","",IF($J291&lt;=0,"≤0",""))</f>
        <v/>
      </c>
      <c r="P291" s="53">
        <f>IF(AND($D291="SXC (627)",$F291="Chung"),IF(OR($G291="Cố định",$G291="Biến đổi"),"","THIẾU TÍNH CHẤT"),"")</f>
        <v/>
      </c>
    </row>
    <row r="292" ht="15" customHeight="1" s="54">
      <c r="A292" s="71" t="n"/>
      <c r="B292" s="67" t="n"/>
      <c r="C292" s="67" t="n"/>
      <c r="D292" s="67" t="n"/>
      <c r="E292" s="79">
        <f>IFERROR(INDEX(MAP_TK,MATCH($D292,MAP_KM,0)),"")</f>
        <v/>
      </c>
      <c r="F292" s="67" t="n"/>
      <c r="G292" s="67" t="n"/>
      <c r="H292" s="67" t="n"/>
      <c r="I292" s="67" t="n"/>
      <c r="J292" s="75" t="n"/>
      <c r="K292" s="67" t="n"/>
      <c r="M292" s="53">
        <f>IF($C292="","",IF(OR($C292="CHUNG",COUNTIF(DM_Ma,$C292)&gt;0),"","MÃ LẠ"))</f>
        <v/>
      </c>
      <c r="N292" s="53">
        <f>IF($A292="","",IF(AND($A292&gt;=pTu,$A292&lt;=pDen),"","NGOÀI KỲ"))</f>
        <v/>
      </c>
      <c r="O292" s="53">
        <f>IF($J292="","",IF($J292&lt;=0,"≤0",""))</f>
        <v/>
      </c>
      <c r="P292" s="53">
        <f>IF(AND($D292="SXC (627)",$F292="Chung"),IF(OR($G292="Cố định",$G292="Biến đổi"),"","THIẾU TÍNH CHẤT"),"")</f>
        <v/>
      </c>
    </row>
    <row r="293" ht="15" customHeight="1" s="54">
      <c r="A293" s="71" t="n"/>
      <c r="B293" s="67" t="n"/>
      <c r="C293" s="67" t="n"/>
      <c r="D293" s="67" t="n"/>
      <c r="E293" s="79">
        <f>IFERROR(INDEX(MAP_TK,MATCH($D293,MAP_KM,0)),"")</f>
        <v/>
      </c>
      <c r="F293" s="67" t="n"/>
      <c r="G293" s="67" t="n"/>
      <c r="H293" s="67" t="n"/>
      <c r="I293" s="67" t="n"/>
      <c r="J293" s="75" t="n"/>
      <c r="K293" s="67" t="n"/>
      <c r="M293" s="53">
        <f>IF($C293="","",IF(OR($C293="CHUNG",COUNTIF(DM_Ma,$C293)&gt;0),"","MÃ LẠ"))</f>
        <v/>
      </c>
      <c r="N293" s="53">
        <f>IF($A293="","",IF(AND($A293&gt;=pTu,$A293&lt;=pDen),"","NGOÀI KỲ"))</f>
        <v/>
      </c>
      <c r="O293" s="53">
        <f>IF($J293="","",IF($J293&lt;=0,"≤0",""))</f>
        <v/>
      </c>
      <c r="P293" s="53">
        <f>IF(AND($D293="SXC (627)",$F293="Chung"),IF(OR($G293="Cố định",$G293="Biến đổi"),"","THIẾU TÍNH CHẤT"),"")</f>
        <v/>
      </c>
    </row>
    <row r="294" ht="15" customHeight="1" s="54">
      <c r="A294" s="71" t="n"/>
      <c r="B294" s="67" t="n"/>
      <c r="C294" s="67" t="n"/>
      <c r="D294" s="67" t="n"/>
      <c r="E294" s="79">
        <f>IFERROR(INDEX(MAP_TK,MATCH($D294,MAP_KM,0)),"")</f>
        <v/>
      </c>
      <c r="F294" s="67" t="n"/>
      <c r="G294" s="67" t="n"/>
      <c r="H294" s="67" t="n"/>
      <c r="I294" s="67" t="n"/>
      <c r="J294" s="75" t="n"/>
      <c r="K294" s="67" t="n"/>
      <c r="M294" s="53">
        <f>IF($C294="","",IF(OR($C294="CHUNG",COUNTIF(DM_Ma,$C294)&gt;0),"","MÃ LẠ"))</f>
        <v/>
      </c>
      <c r="N294" s="53">
        <f>IF($A294="","",IF(AND($A294&gt;=pTu,$A294&lt;=pDen),"","NGOÀI KỲ"))</f>
        <v/>
      </c>
      <c r="O294" s="53">
        <f>IF($J294="","",IF($J294&lt;=0,"≤0",""))</f>
        <v/>
      </c>
      <c r="P294" s="53">
        <f>IF(AND($D294="SXC (627)",$F294="Chung"),IF(OR($G294="Cố định",$G294="Biến đổi"),"","THIẾU TÍNH CHẤT"),"")</f>
        <v/>
      </c>
    </row>
    <row r="295" ht="15" customHeight="1" s="54">
      <c r="A295" s="71" t="n"/>
      <c r="B295" s="67" t="n"/>
      <c r="C295" s="67" t="n"/>
      <c r="D295" s="67" t="n"/>
      <c r="E295" s="79">
        <f>IFERROR(INDEX(MAP_TK,MATCH($D295,MAP_KM,0)),"")</f>
        <v/>
      </c>
      <c r="F295" s="67" t="n"/>
      <c r="G295" s="67" t="n"/>
      <c r="H295" s="67" t="n"/>
      <c r="I295" s="67" t="n"/>
      <c r="J295" s="75" t="n"/>
      <c r="K295" s="67" t="n"/>
      <c r="M295" s="53">
        <f>IF($C295="","",IF(OR($C295="CHUNG",COUNTIF(DM_Ma,$C295)&gt;0),"","MÃ LẠ"))</f>
        <v/>
      </c>
      <c r="N295" s="53">
        <f>IF($A295="","",IF(AND($A295&gt;=pTu,$A295&lt;=pDen),"","NGOÀI KỲ"))</f>
        <v/>
      </c>
      <c r="O295" s="53">
        <f>IF($J295="","",IF($J295&lt;=0,"≤0",""))</f>
        <v/>
      </c>
      <c r="P295" s="53">
        <f>IF(AND($D295="SXC (627)",$F295="Chung"),IF(OR($G295="Cố định",$G295="Biến đổi"),"","THIẾU TÍNH CHẤT"),"")</f>
        <v/>
      </c>
    </row>
    <row r="296" ht="15" customHeight="1" s="54">
      <c r="A296" s="71" t="n"/>
      <c r="B296" s="67" t="n"/>
      <c r="C296" s="67" t="n"/>
      <c r="D296" s="67" t="n"/>
      <c r="E296" s="79">
        <f>IFERROR(INDEX(MAP_TK,MATCH($D296,MAP_KM,0)),"")</f>
        <v/>
      </c>
      <c r="F296" s="67" t="n"/>
      <c r="G296" s="67" t="n"/>
      <c r="H296" s="67" t="n"/>
      <c r="I296" s="67" t="n"/>
      <c r="J296" s="75" t="n"/>
      <c r="K296" s="67" t="n"/>
      <c r="M296" s="53">
        <f>IF($C296="","",IF(OR($C296="CHUNG",COUNTIF(DM_Ma,$C296)&gt;0),"","MÃ LẠ"))</f>
        <v/>
      </c>
      <c r="N296" s="53">
        <f>IF($A296="","",IF(AND($A296&gt;=pTu,$A296&lt;=pDen),"","NGOÀI KỲ"))</f>
        <v/>
      </c>
      <c r="O296" s="53">
        <f>IF($J296="","",IF($J296&lt;=0,"≤0",""))</f>
        <v/>
      </c>
      <c r="P296" s="53">
        <f>IF(AND($D296="SXC (627)",$F296="Chung"),IF(OR($G296="Cố định",$G296="Biến đổi"),"","THIẾU TÍNH CHẤT"),"")</f>
        <v/>
      </c>
    </row>
    <row r="297" ht="15" customHeight="1" s="54">
      <c r="A297" s="71" t="n"/>
      <c r="B297" s="67" t="n"/>
      <c r="C297" s="67" t="n"/>
      <c r="D297" s="67" t="n"/>
      <c r="E297" s="79">
        <f>IFERROR(INDEX(MAP_TK,MATCH($D297,MAP_KM,0)),"")</f>
        <v/>
      </c>
      <c r="F297" s="67" t="n"/>
      <c r="G297" s="67" t="n"/>
      <c r="H297" s="67" t="n"/>
      <c r="I297" s="67" t="n"/>
      <c r="J297" s="75" t="n"/>
      <c r="K297" s="67" t="n"/>
      <c r="M297" s="53">
        <f>IF($C297="","",IF(OR($C297="CHUNG",COUNTIF(DM_Ma,$C297)&gt;0),"","MÃ LẠ"))</f>
        <v/>
      </c>
      <c r="N297" s="53">
        <f>IF($A297="","",IF(AND($A297&gt;=pTu,$A297&lt;=pDen),"","NGOÀI KỲ"))</f>
        <v/>
      </c>
      <c r="O297" s="53">
        <f>IF($J297="","",IF($J297&lt;=0,"≤0",""))</f>
        <v/>
      </c>
      <c r="P297" s="53">
        <f>IF(AND($D297="SXC (627)",$F297="Chung"),IF(OR($G297="Cố định",$G297="Biến đổi"),"","THIẾU TÍNH CHẤT"),"")</f>
        <v/>
      </c>
    </row>
    <row r="298" ht="15" customHeight="1" s="54">
      <c r="A298" s="71" t="n"/>
      <c r="B298" s="67" t="n"/>
      <c r="C298" s="67" t="n"/>
      <c r="D298" s="67" t="n"/>
      <c r="E298" s="79">
        <f>IFERROR(INDEX(MAP_TK,MATCH($D298,MAP_KM,0)),"")</f>
        <v/>
      </c>
      <c r="F298" s="67" t="n"/>
      <c r="G298" s="67" t="n"/>
      <c r="H298" s="67" t="n"/>
      <c r="I298" s="67" t="n"/>
      <c r="J298" s="75" t="n"/>
      <c r="K298" s="67" t="n"/>
      <c r="M298" s="53">
        <f>IF($C298="","",IF(OR($C298="CHUNG",COUNTIF(DM_Ma,$C298)&gt;0),"","MÃ LẠ"))</f>
        <v/>
      </c>
      <c r="N298" s="53">
        <f>IF($A298="","",IF(AND($A298&gt;=pTu,$A298&lt;=pDen),"","NGOÀI KỲ"))</f>
        <v/>
      </c>
      <c r="O298" s="53">
        <f>IF($J298="","",IF($J298&lt;=0,"≤0",""))</f>
        <v/>
      </c>
      <c r="P298" s="53">
        <f>IF(AND($D298="SXC (627)",$F298="Chung"),IF(OR($G298="Cố định",$G298="Biến đổi"),"","THIẾU TÍNH CHẤT"),"")</f>
        <v/>
      </c>
    </row>
    <row r="299" ht="15" customHeight="1" s="54">
      <c r="A299" s="71" t="n"/>
      <c r="B299" s="67" t="n"/>
      <c r="C299" s="67" t="n"/>
      <c r="D299" s="67" t="n"/>
      <c r="E299" s="79">
        <f>IFERROR(INDEX(MAP_TK,MATCH($D299,MAP_KM,0)),"")</f>
        <v/>
      </c>
      <c r="F299" s="67" t="n"/>
      <c r="G299" s="67" t="n"/>
      <c r="H299" s="67" t="n"/>
      <c r="I299" s="67" t="n"/>
      <c r="J299" s="75" t="n"/>
      <c r="K299" s="67" t="n"/>
      <c r="M299" s="53">
        <f>IF($C299="","",IF(OR($C299="CHUNG",COUNTIF(DM_Ma,$C299)&gt;0),"","MÃ LẠ"))</f>
        <v/>
      </c>
      <c r="N299" s="53">
        <f>IF($A299="","",IF(AND($A299&gt;=pTu,$A299&lt;=pDen),"","NGOÀI KỲ"))</f>
        <v/>
      </c>
      <c r="O299" s="53">
        <f>IF($J299="","",IF($J299&lt;=0,"≤0",""))</f>
        <v/>
      </c>
      <c r="P299" s="53">
        <f>IF(AND($D299="SXC (627)",$F299="Chung"),IF(OR($G299="Cố định",$G299="Biến đổi"),"","THIẾU TÍNH CHẤT"),"")</f>
        <v/>
      </c>
    </row>
    <row r="300" ht="15" customHeight="1" s="54">
      <c r="A300" s="71" t="n"/>
      <c r="B300" s="67" t="n"/>
      <c r="C300" s="67" t="n"/>
      <c r="D300" s="67" t="n"/>
      <c r="E300" s="79">
        <f>IFERROR(INDEX(MAP_TK,MATCH($D300,MAP_KM,0)),"")</f>
        <v/>
      </c>
      <c r="F300" s="67" t="n"/>
      <c r="G300" s="67" t="n"/>
      <c r="H300" s="67" t="n"/>
      <c r="I300" s="67" t="n"/>
      <c r="J300" s="75" t="n"/>
      <c r="K300" s="67" t="n"/>
      <c r="M300" s="53">
        <f>IF($C300="","",IF(OR($C300="CHUNG",COUNTIF(DM_Ma,$C300)&gt;0),"","MÃ LẠ"))</f>
        <v/>
      </c>
      <c r="N300" s="53">
        <f>IF($A300="","",IF(AND($A300&gt;=pTu,$A300&lt;=pDen),"","NGOÀI KỲ"))</f>
        <v/>
      </c>
      <c r="O300" s="53">
        <f>IF($J300="","",IF($J300&lt;=0,"≤0",""))</f>
        <v/>
      </c>
      <c r="P300" s="53">
        <f>IF(AND($D300="SXC (627)",$F300="Chung"),IF(OR($G300="Cố định",$G300="Biến đổi"),"","THIẾU TÍNH CHẤT"),"")</f>
        <v/>
      </c>
    </row>
    <row r="301" ht="15" customHeight="1" s="54">
      <c r="A301" s="71" t="n"/>
      <c r="B301" s="67" t="n"/>
      <c r="C301" s="67" t="n"/>
      <c r="D301" s="67" t="n"/>
      <c r="E301" s="79">
        <f>IFERROR(INDEX(MAP_TK,MATCH($D301,MAP_KM,0)),"")</f>
        <v/>
      </c>
      <c r="F301" s="67" t="n"/>
      <c r="G301" s="67" t="n"/>
      <c r="H301" s="67" t="n"/>
      <c r="I301" s="67" t="n"/>
      <c r="J301" s="75" t="n"/>
      <c r="K301" s="67" t="n"/>
      <c r="M301" s="53">
        <f>IF($C301="","",IF(OR($C301="CHUNG",COUNTIF(DM_Ma,$C301)&gt;0),"","MÃ LẠ"))</f>
        <v/>
      </c>
      <c r="N301" s="53">
        <f>IF($A301="","",IF(AND($A301&gt;=pTu,$A301&lt;=pDen),"","NGOÀI KỲ"))</f>
        <v/>
      </c>
      <c r="O301" s="53">
        <f>IF($J301="","",IF($J301&lt;=0,"≤0",""))</f>
        <v/>
      </c>
      <c r="P301" s="53">
        <f>IF(AND($D301="SXC (627)",$F301="Chung"),IF(OR($G301="Cố định",$G301="Biến đổi"),"","THIẾU TÍNH CHẤT"),"")</f>
        <v/>
      </c>
    </row>
    <row r="302" ht="15" customHeight="1" s="54">
      <c r="A302" s="71" t="n"/>
      <c r="B302" s="67" t="n"/>
      <c r="C302" s="67" t="n"/>
      <c r="D302" s="67" t="n"/>
      <c r="E302" s="79">
        <f>IFERROR(INDEX(MAP_TK,MATCH($D302,MAP_KM,0)),"")</f>
        <v/>
      </c>
      <c r="F302" s="67" t="n"/>
      <c r="G302" s="67" t="n"/>
      <c r="H302" s="67" t="n"/>
      <c r="I302" s="67" t="n"/>
      <c r="J302" s="75" t="n"/>
      <c r="K302" s="67" t="n"/>
      <c r="M302" s="53">
        <f>IF($C302="","",IF(OR($C302="CHUNG",COUNTIF(DM_Ma,$C302)&gt;0),"","MÃ LẠ"))</f>
        <v/>
      </c>
      <c r="N302" s="53">
        <f>IF($A302="","",IF(AND($A302&gt;=pTu,$A302&lt;=pDen),"","NGOÀI KỲ"))</f>
        <v/>
      </c>
      <c r="O302" s="53">
        <f>IF($J302="","",IF($J302&lt;=0,"≤0",""))</f>
        <v/>
      </c>
      <c r="P302" s="53">
        <f>IF(AND($D302="SXC (627)",$F302="Chung"),IF(OR($G302="Cố định",$G302="Biến đổi"),"","THIẾU TÍNH CHẤT"),"")</f>
        <v/>
      </c>
    </row>
    <row r="303" ht="15" customHeight="1" s="54">
      <c r="A303" s="71" t="n"/>
      <c r="B303" s="67" t="n"/>
      <c r="C303" s="67" t="n"/>
      <c r="D303" s="67" t="n"/>
      <c r="E303" s="79">
        <f>IFERROR(INDEX(MAP_TK,MATCH($D303,MAP_KM,0)),"")</f>
        <v/>
      </c>
      <c r="F303" s="67" t="n"/>
      <c r="G303" s="67" t="n"/>
      <c r="H303" s="67" t="n"/>
      <c r="I303" s="67" t="n"/>
      <c r="J303" s="75" t="n"/>
      <c r="K303" s="67" t="n"/>
      <c r="M303" s="53">
        <f>IF($C303="","",IF(OR($C303="CHUNG",COUNTIF(DM_Ma,$C303)&gt;0),"","MÃ LẠ"))</f>
        <v/>
      </c>
      <c r="N303" s="53">
        <f>IF($A303="","",IF(AND($A303&gt;=pTu,$A303&lt;=pDen),"","NGOÀI KỲ"))</f>
        <v/>
      </c>
      <c r="O303" s="53">
        <f>IF($J303="","",IF($J303&lt;=0,"≤0",""))</f>
        <v/>
      </c>
      <c r="P303" s="53">
        <f>IF(AND($D303="SXC (627)",$F303="Chung"),IF(OR($G303="Cố định",$G303="Biến đổi"),"","THIẾU TÍNH CHẤT"),"")</f>
        <v/>
      </c>
    </row>
    <row r="304" ht="15" customHeight="1" s="54">
      <c r="A304" s="71" t="n"/>
      <c r="B304" s="67" t="n"/>
      <c r="C304" s="67" t="n"/>
      <c r="D304" s="67" t="n"/>
      <c r="E304" s="79">
        <f>IFERROR(INDEX(MAP_TK,MATCH($D304,MAP_KM,0)),"")</f>
        <v/>
      </c>
      <c r="F304" s="67" t="n"/>
      <c r="G304" s="67" t="n"/>
      <c r="H304" s="67" t="n"/>
      <c r="I304" s="67" t="n"/>
      <c r="J304" s="75" t="n"/>
      <c r="K304" s="67" t="n"/>
      <c r="M304" s="53">
        <f>IF($C304="","",IF(OR($C304="CHUNG",COUNTIF(DM_Ma,$C304)&gt;0),"","MÃ LẠ"))</f>
        <v/>
      </c>
      <c r="N304" s="53">
        <f>IF($A304="","",IF(AND($A304&gt;=pTu,$A304&lt;=pDen),"","NGOÀI KỲ"))</f>
        <v/>
      </c>
      <c r="O304" s="53">
        <f>IF($J304="","",IF($J304&lt;=0,"≤0",""))</f>
        <v/>
      </c>
      <c r="P304" s="53">
        <f>IF(AND($D304="SXC (627)",$F304="Chung"),IF(OR($G304="Cố định",$G304="Biến đổi"),"","THIẾU TÍNH CHẤT"),"")</f>
        <v/>
      </c>
    </row>
    <row r="305" ht="15" customHeight="1" s="54">
      <c r="A305" s="71" t="n"/>
      <c r="B305" s="67" t="n"/>
      <c r="C305" s="67" t="n"/>
      <c r="D305" s="67" t="n"/>
      <c r="E305" s="79">
        <f>IFERROR(INDEX(MAP_TK,MATCH($D305,MAP_KM,0)),"")</f>
        <v/>
      </c>
      <c r="F305" s="67" t="n"/>
      <c r="G305" s="67" t="n"/>
      <c r="H305" s="67" t="n"/>
      <c r="I305" s="67" t="n"/>
      <c r="J305" s="75" t="n"/>
      <c r="K305" s="67" t="n"/>
      <c r="M305" s="53">
        <f>IF($C305="","",IF(OR($C305="CHUNG",COUNTIF(DM_Ma,$C305)&gt;0),"","MÃ LẠ"))</f>
        <v/>
      </c>
      <c r="N305" s="53">
        <f>IF($A305="","",IF(AND($A305&gt;=pTu,$A305&lt;=pDen),"","NGOÀI KỲ"))</f>
        <v/>
      </c>
      <c r="O305" s="53">
        <f>IF($J305="","",IF($J305&lt;=0,"≤0",""))</f>
        <v/>
      </c>
      <c r="P305" s="53">
        <f>IF(AND($D305="SXC (627)",$F305="Chung"),IF(OR($G305="Cố định",$G305="Biến đổi"),"","THIẾU TÍNH CHẤT"),"")</f>
        <v/>
      </c>
    </row>
    <row r="306" ht="15" customHeight="1" s="54">
      <c r="A306" s="71" t="n"/>
      <c r="B306" s="67" t="n"/>
      <c r="C306" s="67" t="n"/>
      <c r="D306" s="67" t="n"/>
      <c r="E306" s="79">
        <f>IFERROR(INDEX(MAP_TK,MATCH($D306,MAP_KM,0)),"")</f>
        <v/>
      </c>
      <c r="F306" s="67" t="n"/>
      <c r="G306" s="67" t="n"/>
      <c r="H306" s="67" t="n"/>
      <c r="I306" s="67" t="n"/>
      <c r="J306" s="75" t="n"/>
      <c r="K306" s="67" t="n"/>
      <c r="M306" s="53">
        <f>IF($C306="","",IF(OR($C306="CHUNG",COUNTIF(DM_Ma,$C306)&gt;0),"","MÃ LẠ"))</f>
        <v/>
      </c>
      <c r="N306" s="53">
        <f>IF($A306="","",IF(AND($A306&gt;=pTu,$A306&lt;=pDen),"","NGOÀI KỲ"))</f>
        <v/>
      </c>
      <c r="O306" s="53">
        <f>IF($J306="","",IF($J306&lt;=0,"≤0",""))</f>
        <v/>
      </c>
      <c r="P306" s="53">
        <f>IF(AND($D306="SXC (627)",$F306="Chung"),IF(OR($G306="Cố định",$G306="Biến đổi"),"","THIẾU TÍNH CHẤT"),"")</f>
        <v/>
      </c>
    </row>
    <row r="307" ht="15" customHeight="1" s="54">
      <c r="A307" s="71" t="n"/>
      <c r="B307" s="67" t="n"/>
      <c r="C307" s="67" t="n"/>
      <c r="D307" s="67" t="n"/>
      <c r="E307" s="79">
        <f>IFERROR(INDEX(MAP_TK,MATCH($D307,MAP_KM,0)),"")</f>
        <v/>
      </c>
      <c r="F307" s="67" t="n"/>
      <c r="G307" s="67" t="n"/>
      <c r="H307" s="67" t="n"/>
      <c r="I307" s="67" t="n"/>
      <c r="J307" s="75" t="n"/>
      <c r="K307" s="67" t="n"/>
      <c r="M307" s="53">
        <f>IF($C307="","",IF(OR($C307="CHUNG",COUNTIF(DM_Ma,$C307)&gt;0),"","MÃ LẠ"))</f>
        <v/>
      </c>
      <c r="N307" s="53">
        <f>IF($A307="","",IF(AND($A307&gt;=pTu,$A307&lt;=pDen),"","NGOÀI KỲ"))</f>
        <v/>
      </c>
      <c r="O307" s="53">
        <f>IF($J307="","",IF($J307&lt;=0,"≤0",""))</f>
        <v/>
      </c>
      <c r="P307" s="53">
        <f>IF(AND($D307="SXC (627)",$F307="Chung"),IF(OR($G307="Cố định",$G307="Biến đổi"),"","THIẾU TÍNH CHẤT"),"")</f>
        <v/>
      </c>
    </row>
    <row r="308" ht="15" customHeight="1" s="54">
      <c r="A308" s="71" t="n"/>
      <c r="B308" s="67" t="n"/>
      <c r="C308" s="67" t="n"/>
      <c r="D308" s="67" t="n"/>
      <c r="E308" s="79">
        <f>IFERROR(INDEX(MAP_TK,MATCH($D308,MAP_KM,0)),"")</f>
        <v/>
      </c>
      <c r="F308" s="67" t="n"/>
      <c r="G308" s="67" t="n"/>
      <c r="H308" s="67" t="n"/>
      <c r="I308" s="67" t="n"/>
      <c r="J308" s="75" t="n"/>
      <c r="K308" s="67" t="n"/>
      <c r="M308" s="53">
        <f>IF($C308="","",IF(OR($C308="CHUNG",COUNTIF(DM_Ma,$C308)&gt;0),"","MÃ LẠ"))</f>
        <v/>
      </c>
      <c r="N308" s="53">
        <f>IF($A308="","",IF(AND($A308&gt;=pTu,$A308&lt;=pDen),"","NGOÀI KỲ"))</f>
        <v/>
      </c>
      <c r="O308" s="53">
        <f>IF($J308="","",IF($J308&lt;=0,"≤0",""))</f>
        <v/>
      </c>
      <c r="P308" s="53">
        <f>IF(AND($D308="SXC (627)",$F308="Chung"),IF(OR($G308="Cố định",$G308="Biến đổi"),"","THIẾU TÍNH CHẤT"),"")</f>
        <v/>
      </c>
    </row>
    <row r="309" ht="15" customHeight="1" s="54">
      <c r="A309" s="71" t="n"/>
      <c r="B309" s="67" t="n"/>
      <c r="C309" s="67" t="n"/>
      <c r="D309" s="67" t="n"/>
      <c r="E309" s="79">
        <f>IFERROR(INDEX(MAP_TK,MATCH($D309,MAP_KM,0)),"")</f>
        <v/>
      </c>
      <c r="F309" s="67" t="n"/>
      <c r="G309" s="67" t="n"/>
      <c r="H309" s="67" t="n"/>
      <c r="I309" s="67" t="n"/>
      <c r="J309" s="75" t="n"/>
      <c r="K309" s="67" t="n"/>
      <c r="M309" s="53">
        <f>IF($C309="","",IF(OR($C309="CHUNG",COUNTIF(DM_Ma,$C309)&gt;0),"","MÃ LẠ"))</f>
        <v/>
      </c>
      <c r="N309" s="53">
        <f>IF($A309="","",IF(AND($A309&gt;=pTu,$A309&lt;=pDen),"","NGOÀI KỲ"))</f>
        <v/>
      </c>
      <c r="O309" s="53">
        <f>IF($J309="","",IF($J309&lt;=0,"≤0",""))</f>
        <v/>
      </c>
      <c r="P309" s="53">
        <f>IF(AND($D309="SXC (627)",$F309="Chung"),IF(OR($G309="Cố định",$G309="Biến đổi"),"","THIẾU TÍNH CHẤT"),"")</f>
        <v/>
      </c>
    </row>
    <row r="310" ht="15" customHeight="1" s="54">
      <c r="A310" s="71" t="n"/>
      <c r="B310" s="67" t="n"/>
      <c r="C310" s="67" t="n"/>
      <c r="D310" s="67" t="n"/>
      <c r="E310" s="79">
        <f>IFERROR(INDEX(MAP_TK,MATCH($D310,MAP_KM,0)),"")</f>
        <v/>
      </c>
      <c r="F310" s="67" t="n"/>
      <c r="G310" s="67" t="n"/>
      <c r="H310" s="67" t="n"/>
      <c r="I310" s="67" t="n"/>
      <c r="J310" s="75" t="n"/>
      <c r="K310" s="67" t="n"/>
      <c r="M310" s="53">
        <f>IF($C310="","",IF(OR($C310="CHUNG",COUNTIF(DM_Ma,$C310)&gt;0),"","MÃ LẠ"))</f>
        <v/>
      </c>
      <c r="N310" s="53">
        <f>IF($A310="","",IF(AND($A310&gt;=pTu,$A310&lt;=pDen),"","NGOÀI KỲ"))</f>
        <v/>
      </c>
      <c r="O310" s="53">
        <f>IF($J310="","",IF($J310&lt;=0,"≤0",""))</f>
        <v/>
      </c>
      <c r="P310" s="53">
        <f>IF(AND($D310="SXC (627)",$F310="Chung"),IF(OR($G310="Cố định",$G310="Biến đổi"),"","THIẾU TÍNH CHẤT"),"")</f>
        <v/>
      </c>
    </row>
    <row r="311" ht="15" customHeight="1" s="54">
      <c r="A311" s="71" t="n"/>
      <c r="B311" s="67" t="n"/>
      <c r="C311" s="67" t="n"/>
      <c r="D311" s="67" t="n"/>
      <c r="E311" s="79">
        <f>IFERROR(INDEX(MAP_TK,MATCH($D311,MAP_KM,0)),"")</f>
        <v/>
      </c>
      <c r="F311" s="67" t="n"/>
      <c r="G311" s="67" t="n"/>
      <c r="H311" s="67" t="n"/>
      <c r="I311" s="67" t="n"/>
      <c r="J311" s="75" t="n"/>
      <c r="K311" s="67" t="n"/>
      <c r="M311" s="53">
        <f>IF($C311="","",IF(OR($C311="CHUNG",COUNTIF(DM_Ma,$C311)&gt;0),"","MÃ LẠ"))</f>
        <v/>
      </c>
      <c r="N311" s="53">
        <f>IF($A311="","",IF(AND($A311&gt;=pTu,$A311&lt;=pDen),"","NGOÀI KỲ"))</f>
        <v/>
      </c>
      <c r="O311" s="53">
        <f>IF($J311="","",IF($J311&lt;=0,"≤0",""))</f>
        <v/>
      </c>
      <c r="P311" s="53">
        <f>IF(AND($D311="SXC (627)",$F311="Chung"),IF(OR($G311="Cố định",$G311="Biến đổi"),"","THIẾU TÍNH CHẤT"),"")</f>
        <v/>
      </c>
    </row>
    <row r="312" ht="15" customHeight="1" s="54">
      <c r="A312" s="71" t="n"/>
      <c r="B312" s="67" t="n"/>
      <c r="C312" s="67" t="n"/>
      <c r="D312" s="67" t="n"/>
      <c r="E312" s="79">
        <f>IFERROR(INDEX(MAP_TK,MATCH($D312,MAP_KM,0)),"")</f>
        <v/>
      </c>
      <c r="F312" s="67" t="n"/>
      <c r="G312" s="67" t="n"/>
      <c r="H312" s="67" t="n"/>
      <c r="I312" s="67" t="n"/>
      <c r="J312" s="75" t="n"/>
      <c r="K312" s="67" t="n"/>
      <c r="M312" s="53">
        <f>IF($C312="","",IF(OR($C312="CHUNG",COUNTIF(DM_Ma,$C312)&gt;0),"","MÃ LẠ"))</f>
        <v/>
      </c>
      <c r="N312" s="53">
        <f>IF($A312="","",IF(AND($A312&gt;=pTu,$A312&lt;=pDen),"","NGOÀI KỲ"))</f>
        <v/>
      </c>
      <c r="O312" s="53">
        <f>IF($J312="","",IF($J312&lt;=0,"≤0",""))</f>
        <v/>
      </c>
      <c r="P312" s="53">
        <f>IF(AND($D312="SXC (627)",$F312="Chung"),IF(OR($G312="Cố định",$G312="Biến đổi"),"","THIẾU TÍNH CHẤT"),"")</f>
        <v/>
      </c>
    </row>
    <row r="313" ht="15" customHeight="1" s="54">
      <c r="A313" s="71" t="n"/>
      <c r="B313" s="67" t="n"/>
      <c r="C313" s="67" t="n"/>
      <c r="D313" s="67" t="n"/>
      <c r="E313" s="79">
        <f>IFERROR(INDEX(MAP_TK,MATCH($D313,MAP_KM,0)),"")</f>
        <v/>
      </c>
      <c r="F313" s="67" t="n"/>
      <c r="G313" s="67" t="n"/>
      <c r="H313" s="67" t="n"/>
      <c r="I313" s="67" t="n"/>
      <c r="J313" s="75" t="n"/>
      <c r="K313" s="67" t="n"/>
      <c r="M313" s="53">
        <f>IF($C313="","",IF(OR($C313="CHUNG",COUNTIF(DM_Ma,$C313)&gt;0),"","MÃ LẠ"))</f>
        <v/>
      </c>
      <c r="N313" s="53">
        <f>IF($A313="","",IF(AND($A313&gt;=pTu,$A313&lt;=pDen),"","NGOÀI KỲ"))</f>
        <v/>
      </c>
      <c r="O313" s="53">
        <f>IF($J313="","",IF($J313&lt;=0,"≤0",""))</f>
        <v/>
      </c>
      <c r="P313" s="53">
        <f>IF(AND($D313="SXC (627)",$F313="Chung"),IF(OR($G313="Cố định",$G313="Biến đổi"),"","THIẾU TÍNH CHẤT"),"")</f>
        <v/>
      </c>
    </row>
    <row r="314" ht="15" customHeight="1" s="54">
      <c r="A314" s="71" t="n"/>
      <c r="B314" s="67" t="n"/>
      <c r="C314" s="67" t="n"/>
      <c r="D314" s="67" t="n"/>
      <c r="E314" s="79">
        <f>IFERROR(INDEX(MAP_TK,MATCH($D314,MAP_KM,0)),"")</f>
        <v/>
      </c>
      <c r="F314" s="67" t="n"/>
      <c r="G314" s="67" t="n"/>
      <c r="H314" s="67" t="n"/>
      <c r="I314" s="67" t="n"/>
      <c r="J314" s="75" t="n"/>
      <c r="K314" s="67" t="n"/>
      <c r="M314" s="53">
        <f>IF($C314="","",IF(OR($C314="CHUNG",COUNTIF(DM_Ma,$C314)&gt;0),"","MÃ LẠ"))</f>
        <v/>
      </c>
      <c r="N314" s="53">
        <f>IF($A314="","",IF(AND($A314&gt;=pTu,$A314&lt;=pDen),"","NGOÀI KỲ"))</f>
        <v/>
      </c>
      <c r="O314" s="53">
        <f>IF($J314="","",IF($J314&lt;=0,"≤0",""))</f>
        <v/>
      </c>
      <c r="P314" s="53">
        <f>IF(AND($D314="SXC (627)",$F314="Chung"),IF(OR($G314="Cố định",$G314="Biến đổi"),"","THIẾU TÍNH CHẤT"),"")</f>
        <v/>
      </c>
    </row>
    <row r="315" ht="15" customHeight="1" s="54">
      <c r="A315" s="71" t="n"/>
      <c r="B315" s="67" t="n"/>
      <c r="C315" s="67" t="n"/>
      <c r="D315" s="67" t="n"/>
      <c r="E315" s="79">
        <f>IFERROR(INDEX(MAP_TK,MATCH($D315,MAP_KM,0)),"")</f>
        <v/>
      </c>
      <c r="F315" s="67" t="n"/>
      <c r="G315" s="67" t="n"/>
      <c r="H315" s="67" t="n"/>
      <c r="I315" s="67" t="n"/>
      <c r="J315" s="75" t="n"/>
      <c r="K315" s="67" t="n"/>
      <c r="M315" s="53">
        <f>IF($C315="","",IF(OR($C315="CHUNG",COUNTIF(DM_Ma,$C315)&gt;0),"","MÃ LẠ"))</f>
        <v/>
      </c>
      <c r="N315" s="53">
        <f>IF($A315="","",IF(AND($A315&gt;=pTu,$A315&lt;=pDen),"","NGOÀI KỲ"))</f>
        <v/>
      </c>
      <c r="O315" s="53">
        <f>IF($J315="","",IF($J315&lt;=0,"≤0",""))</f>
        <v/>
      </c>
      <c r="P315" s="53">
        <f>IF(AND($D315="SXC (627)",$F315="Chung"),IF(OR($G315="Cố định",$G315="Biến đổi"),"","THIẾU TÍNH CHẤT"),"")</f>
        <v/>
      </c>
    </row>
    <row r="316" ht="15" customHeight="1" s="54">
      <c r="A316" s="71" t="n"/>
      <c r="B316" s="67" t="n"/>
      <c r="C316" s="67" t="n"/>
      <c r="D316" s="67" t="n"/>
      <c r="E316" s="79">
        <f>IFERROR(INDEX(MAP_TK,MATCH($D316,MAP_KM,0)),"")</f>
        <v/>
      </c>
      <c r="F316" s="67" t="n"/>
      <c r="G316" s="67" t="n"/>
      <c r="H316" s="67" t="n"/>
      <c r="I316" s="67" t="n"/>
      <c r="J316" s="75" t="n"/>
      <c r="K316" s="67" t="n"/>
      <c r="M316" s="53">
        <f>IF($C316="","",IF(OR($C316="CHUNG",COUNTIF(DM_Ma,$C316)&gt;0),"","MÃ LẠ"))</f>
        <v/>
      </c>
      <c r="N316" s="53">
        <f>IF($A316="","",IF(AND($A316&gt;=pTu,$A316&lt;=pDen),"","NGOÀI KỲ"))</f>
        <v/>
      </c>
      <c r="O316" s="53">
        <f>IF($J316="","",IF($J316&lt;=0,"≤0",""))</f>
        <v/>
      </c>
      <c r="P316" s="53">
        <f>IF(AND($D316="SXC (627)",$F316="Chung"),IF(OR($G316="Cố định",$G316="Biến đổi"),"","THIẾU TÍNH CHẤT"),"")</f>
        <v/>
      </c>
    </row>
    <row r="317" ht="15" customHeight="1" s="54">
      <c r="A317" s="71" t="n"/>
      <c r="B317" s="67" t="n"/>
      <c r="C317" s="67" t="n"/>
      <c r="D317" s="67" t="n"/>
      <c r="E317" s="79">
        <f>IFERROR(INDEX(MAP_TK,MATCH($D317,MAP_KM,0)),"")</f>
        <v/>
      </c>
      <c r="F317" s="67" t="n"/>
      <c r="G317" s="67" t="n"/>
      <c r="H317" s="67" t="n"/>
      <c r="I317" s="67" t="n"/>
      <c r="J317" s="75" t="n"/>
      <c r="K317" s="67" t="n"/>
      <c r="M317" s="53">
        <f>IF($C317="","",IF(OR($C317="CHUNG",COUNTIF(DM_Ma,$C317)&gt;0),"","MÃ LẠ"))</f>
        <v/>
      </c>
      <c r="N317" s="53">
        <f>IF($A317="","",IF(AND($A317&gt;=pTu,$A317&lt;=pDen),"","NGOÀI KỲ"))</f>
        <v/>
      </c>
      <c r="O317" s="53">
        <f>IF($J317="","",IF($J317&lt;=0,"≤0",""))</f>
        <v/>
      </c>
      <c r="P317" s="53">
        <f>IF(AND($D317="SXC (627)",$F317="Chung"),IF(OR($G317="Cố định",$G317="Biến đổi"),"","THIẾU TÍNH CHẤT"),"")</f>
        <v/>
      </c>
    </row>
    <row r="318" ht="15" customHeight="1" s="54">
      <c r="A318" s="71" t="n"/>
      <c r="B318" s="67" t="n"/>
      <c r="C318" s="67" t="n"/>
      <c r="D318" s="67" t="n"/>
      <c r="E318" s="79">
        <f>IFERROR(INDEX(MAP_TK,MATCH($D318,MAP_KM,0)),"")</f>
        <v/>
      </c>
      <c r="F318" s="67" t="n"/>
      <c r="G318" s="67" t="n"/>
      <c r="H318" s="67" t="n"/>
      <c r="I318" s="67" t="n"/>
      <c r="J318" s="75" t="n"/>
      <c r="K318" s="67" t="n"/>
      <c r="M318" s="53">
        <f>IF($C318="","",IF(OR($C318="CHUNG",COUNTIF(DM_Ma,$C318)&gt;0),"","MÃ LẠ"))</f>
        <v/>
      </c>
      <c r="N318" s="53">
        <f>IF($A318="","",IF(AND($A318&gt;=pTu,$A318&lt;=pDen),"","NGOÀI KỲ"))</f>
        <v/>
      </c>
      <c r="O318" s="53">
        <f>IF($J318="","",IF($J318&lt;=0,"≤0",""))</f>
        <v/>
      </c>
      <c r="P318" s="53">
        <f>IF(AND($D318="SXC (627)",$F318="Chung"),IF(OR($G318="Cố định",$G318="Biến đổi"),"","THIẾU TÍNH CHẤT"),"")</f>
        <v/>
      </c>
    </row>
    <row r="319" ht="15" customHeight="1" s="54">
      <c r="A319" s="71" t="n"/>
      <c r="B319" s="67" t="n"/>
      <c r="C319" s="67" t="n"/>
      <c r="D319" s="67" t="n"/>
      <c r="E319" s="79">
        <f>IFERROR(INDEX(MAP_TK,MATCH($D319,MAP_KM,0)),"")</f>
        <v/>
      </c>
      <c r="F319" s="67" t="n"/>
      <c r="G319" s="67" t="n"/>
      <c r="H319" s="67" t="n"/>
      <c r="I319" s="67" t="n"/>
      <c r="J319" s="75" t="n"/>
      <c r="K319" s="67" t="n"/>
      <c r="M319" s="53">
        <f>IF($C319="","",IF(OR($C319="CHUNG",COUNTIF(DM_Ma,$C319)&gt;0),"","MÃ LẠ"))</f>
        <v/>
      </c>
      <c r="N319" s="53">
        <f>IF($A319="","",IF(AND($A319&gt;=pTu,$A319&lt;=pDen),"","NGOÀI KỲ"))</f>
        <v/>
      </c>
      <c r="O319" s="53">
        <f>IF($J319="","",IF($J319&lt;=0,"≤0",""))</f>
        <v/>
      </c>
      <c r="P319" s="53">
        <f>IF(AND($D319="SXC (627)",$F319="Chung"),IF(OR($G319="Cố định",$G319="Biến đổi"),"","THIẾU TÍNH CHẤT"),"")</f>
        <v/>
      </c>
    </row>
    <row r="320" ht="15" customHeight="1" s="54">
      <c r="A320" s="71" t="n"/>
      <c r="B320" s="67" t="n"/>
      <c r="C320" s="67" t="n"/>
      <c r="D320" s="67" t="n"/>
      <c r="E320" s="79">
        <f>IFERROR(INDEX(MAP_TK,MATCH($D320,MAP_KM,0)),"")</f>
        <v/>
      </c>
      <c r="F320" s="67" t="n"/>
      <c r="G320" s="67" t="n"/>
      <c r="H320" s="67" t="n"/>
      <c r="I320" s="67" t="n"/>
      <c r="J320" s="75" t="n"/>
      <c r="K320" s="67" t="n"/>
      <c r="M320" s="53">
        <f>IF($C320="","",IF(OR($C320="CHUNG",COUNTIF(DM_Ma,$C320)&gt;0),"","MÃ LẠ"))</f>
        <v/>
      </c>
      <c r="N320" s="53">
        <f>IF($A320="","",IF(AND($A320&gt;=pTu,$A320&lt;=pDen),"","NGOÀI KỲ"))</f>
        <v/>
      </c>
      <c r="O320" s="53">
        <f>IF($J320="","",IF($J320&lt;=0,"≤0",""))</f>
        <v/>
      </c>
      <c r="P320" s="53">
        <f>IF(AND($D320="SXC (627)",$F320="Chung"),IF(OR($G320="Cố định",$G320="Biến đổi"),"","THIẾU TÍNH CHẤT"),"")</f>
        <v/>
      </c>
    </row>
    <row r="321" ht="15" customHeight="1" s="54">
      <c r="A321" s="71" t="n"/>
      <c r="B321" s="67" t="n"/>
      <c r="C321" s="67" t="n"/>
      <c r="D321" s="67" t="n"/>
      <c r="E321" s="79">
        <f>IFERROR(INDEX(MAP_TK,MATCH($D321,MAP_KM,0)),"")</f>
        <v/>
      </c>
      <c r="F321" s="67" t="n"/>
      <c r="G321" s="67" t="n"/>
      <c r="H321" s="67" t="n"/>
      <c r="I321" s="67" t="n"/>
      <c r="J321" s="75" t="n"/>
      <c r="K321" s="67" t="n"/>
      <c r="M321" s="53">
        <f>IF($C321="","",IF(OR($C321="CHUNG",COUNTIF(DM_Ma,$C321)&gt;0),"","MÃ LẠ"))</f>
        <v/>
      </c>
      <c r="N321" s="53">
        <f>IF($A321="","",IF(AND($A321&gt;=pTu,$A321&lt;=pDen),"","NGOÀI KỲ"))</f>
        <v/>
      </c>
      <c r="O321" s="53">
        <f>IF($J321="","",IF($J321&lt;=0,"≤0",""))</f>
        <v/>
      </c>
      <c r="P321" s="53">
        <f>IF(AND($D321="SXC (627)",$F321="Chung"),IF(OR($G321="Cố định",$G321="Biến đổi"),"","THIẾU TÍNH CHẤT"),"")</f>
        <v/>
      </c>
    </row>
    <row r="322" ht="15" customHeight="1" s="54">
      <c r="A322" s="71" t="n"/>
      <c r="B322" s="67" t="n"/>
      <c r="C322" s="67" t="n"/>
      <c r="D322" s="67" t="n"/>
      <c r="E322" s="79">
        <f>IFERROR(INDEX(MAP_TK,MATCH($D322,MAP_KM,0)),"")</f>
        <v/>
      </c>
      <c r="F322" s="67" t="n"/>
      <c r="G322" s="67" t="n"/>
      <c r="H322" s="67" t="n"/>
      <c r="I322" s="67" t="n"/>
      <c r="J322" s="75" t="n"/>
      <c r="K322" s="67" t="n"/>
      <c r="M322" s="53">
        <f>IF($C322="","",IF(OR($C322="CHUNG",COUNTIF(DM_Ma,$C322)&gt;0),"","MÃ LẠ"))</f>
        <v/>
      </c>
      <c r="N322" s="53">
        <f>IF($A322="","",IF(AND($A322&gt;=pTu,$A322&lt;=pDen),"","NGOÀI KỲ"))</f>
        <v/>
      </c>
      <c r="O322" s="53">
        <f>IF($J322="","",IF($J322&lt;=0,"≤0",""))</f>
        <v/>
      </c>
      <c r="P322" s="53">
        <f>IF(AND($D322="SXC (627)",$F322="Chung"),IF(OR($G322="Cố định",$G322="Biến đổi"),"","THIẾU TÍNH CHẤT"),"")</f>
        <v/>
      </c>
    </row>
    <row r="323" ht="15" customHeight="1" s="54">
      <c r="A323" s="71" t="n"/>
      <c r="B323" s="67" t="n"/>
      <c r="C323" s="67" t="n"/>
      <c r="D323" s="67" t="n"/>
      <c r="E323" s="79">
        <f>IFERROR(INDEX(MAP_TK,MATCH($D323,MAP_KM,0)),"")</f>
        <v/>
      </c>
      <c r="F323" s="67" t="n"/>
      <c r="G323" s="67" t="n"/>
      <c r="H323" s="67" t="n"/>
      <c r="I323" s="67" t="n"/>
      <c r="J323" s="75" t="n"/>
      <c r="K323" s="67" t="n"/>
      <c r="M323" s="53">
        <f>IF($C323="","",IF(OR($C323="CHUNG",COUNTIF(DM_Ma,$C323)&gt;0),"","MÃ LẠ"))</f>
        <v/>
      </c>
      <c r="N323" s="53">
        <f>IF($A323="","",IF(AND($A323&gt;=pTu,$A323&lt;=pDen),"","NGOÀI KỲ"))</f>
        <v/>
      </c>
      <c r="O323" s="53">
        <f>IF($J323="","",IF($J323&lt;=0,"≤0",""))</f>
        <v/>
      </c>
      <c r="P323" s="53">
        <f>IF(AND($D323="SXC (627)",$F323="Chung"),IF(OR($G323="Cố định",$G323="Biến đổi"),"","THIẾU TÍNH CHẤT"),"")</f>
        <v/>
      </c>
    </row>
    <row r="324" ht="15" customHeight="1" s="54">
      <c r="A324" s="71" t="n"/>
      <c r="B324" s="67" t="n"/>
      <c r="C324" s="67" t="n"/>
      <c r="D324" s="67" t="n"/>
      <c r="E324" s="79">
        <f>IFERROR(INDEX(MAP_TK,MATCH($D324,MAP_KM,0)),"")</f>
        <v/>
      </c>
      <c r="F324" s="67" t="n"/>
      <c r="G324" s="67" t="n"/>
      <c r="H324" s="67" t="n"/>
      <c r="I324" s="67" t="n"/>
      <c r="J324" s="75" t="n"/>
      <c r="K324" s="67" t="n"/>
      <c r="M324" s="53">
        <f>IF($C324="","",IF(OR($C324="CHUNG",COUNTIF(DM_Ma,$C324)&gt;0),"","MÃ LẠ"))</f>
        <v/>
      </c>
      <c r="N324" s="53">
        <f>IF($A324="","",IF(AND($A324&gt;=pTu,$A324&lt;=pDen),"","NGOÀI KỲ"))</f>
        <v/>
      </c>
      <c r="O324" s="53">
        <f>IF($J324="","",IF($J324&lt;=0,"≤0",""))</f>
        <v/>
      </c>
      <c r="P324" s="53">
        <f>IF(AND($D324="SXC (627)",$F324="Chung"),IF(OR($G324="Cố định",$G324="Biến đổi"),"","THIẾU TÍNH CHẤT"),"")</f>
        <v/>
      </c>
    </row>
    <row r="325" ht="15" customHeight="1" s="54">
      <c r="A325" s="71" t="n"/>
      <c r="B325" s="67" t="n"/>
      <c r="C325" s="67" t="n"/>
      <c r="D325" s="67" t="n"/>
      <c r="E325" s="79">
        <f>IFERROR(INDEX(MAP_TK,MATCH($D325,MAP_KM,0)),"")</f>
        <v/>
      </c>
      <c r="F325" s="67" t="n"/>
      <c r="G325" s="67" t="n"/>
      <c r="H325" s="67" t="n"/>
      <c r="I325" s="67" t="n"/>
      <c r="J325" s="75" t="n"/>
      <c r="K325" s="67" t="n"/>
      <c r="M325" s="53">
        <f>IF($C325="","",IF(OR($C325="CHUNG",COUNTIF(DM_Ma,$C325)&gt;0),"","MÃ LẠ"))</f>
        <v/>
      </c>
      <c r="N325" s="53">
        <f>IF($A325="","",IF(AND($A325&gt;=pTu,$A325&lt;=pDen),"","NGOÀI KỲ"))</f>
        <v/>
      </c>
      <c r="O325" s="53">
        <f>IF($J325="","",IF($J325&lt;=0,"≤0",""))</f>
        <v/>
      </c>
      <c r="P325" s="53">
        <f>IF(AND($D325="SXC (627)",$F325="Chung"),IF(OR($G325="Cố định",$G325="Biến đổi"),"","THIẾU TÍNH CHẤT"),"")</f>
        <v/>
      </c>
    </row>
    <row r="326" ht="15" customHeight="1" s="54">
      <c r="A326" s="71" t="n"/>
      <c r="B326" s="67" t="n"/>
      <c r="C326" s="67" t="n"/>
      <c r="D326" s="67" t="n"/>
      <c r="E326" s="79">
        <f>IFERROR(INDEX(MAP_TK,MATCH($D326,MAP_KM,0)),"")</f>
        <v/>
      </c>
      <c r="F326" s="67" t="n"/>
      <c r="G326" s="67" t="n"/>
      <c r="H326" s="67" t="n"/>
      <c r="I326" s="67" t="n"/>
      <c r="J326" s="75" t="n"/>
      <c r="K326" s="67" t="n"/>
      <c r="M326" s="53">
        <f>IF($C326="","",IF(OR($C326="CHUNG",COUNTIF(DM_Ma,$C326)&gt;0),"","MÃ LẠ"))</f>
        <v/>
      </c>
      <c r="N326" s="53">
        <f>IF($A326="","",IF(AND($A326&gt;=pTu,$A326&lt;=pDen),"","NGOÀI KỲ"))</f>
        <v/>
      </c>
      <c r="O326" s="53">
        <f>IF($J326="","",IF($J326&lt;=0,"≤0",""))</f>
        <v/>
      </c>
      <c r="P326" s="53">
        <f>IF(AND($D326="SXC (627)",$F326="Chung"),IF(OR($G326="Cố định",$G326="Biến đổi"),"","THIẾU TÍNH CHẤT"),"")</f>
        <v/>
      </c>
    </row>
    <row r="327" ht="15" customHeight="1" s="54">
      <c r="A327" s="71" t="n"/>
      <c r="B327" s="67" t="n"/>
      <c r="C327" s="67" t="n"/>
      <c r="D327" s="67" t="n"/>
      <c r="E327" s="79">
        <f>IFERROR(INDEX(MAP_TK,MATCH($D327,MAP_KM,0)),"")</f>
        <v/>
      </c>
      <c r="F327" s="67" t="n"/>
      <c r="G327" s="67" t="n"/>
      <c r="H327" s="67" t="n"/>
      <c r="I327" s="67" t="n"/>
      <c r="J327" s="75" t="n"/>
      <c r="K327" s="67" t="n"/>
      <c r="M327" s="53">
        <f>IF($C327="","",IF(OR($C327="CHUNG",COUNTIF(DM_Ma,$C327)&gt;0),"","MÃ LẠ"))</f>
        <v/>
      </c>
      <c r="N327" s="53">
        <f>IF($A327="","",IF(AND($A327&gt;=pTu,$A327&lt;=pDen),"","NGOÀI KỲ"))</f>
        <v/>
      </c>
      <c r="O327" s="53">
        <f>IF($J327="","",IF($J327&lt;=0,"≤0",""))</f>
        <v/>
      </c>
      <c r="P327" s="53">
        <f>IF(AND($D327="SXC (627)",$F327="Chung"),IF(OR($G327="Cố định",$G327="Biến đổi"),"","THIẾU TÍNH CHẤT"),"")</f>
        <v/>
      </c>
    </row>
    <row r="328" ht="15" customHeight="1" s="54">
      <c r="A328" s="71" t="n"/>
      <c r="B328" s="67" t="n"/>
      <c r="C328" s="67" t="n"/>
      <c r="D328" s="67" t="n"/>
      <c r="E328" s="79">
        <f>IFERROR(INDEX(MAP_TK,MATCH($D328,MAP_KM,0)),"")</f>
        <v/>
      </c>
      <c r="F328" s="67" t="n"/>
      <c r="G328" s="67" t="n"/>
      <c r="H328" s="67" t="n"/>
      <c r="I328" s="67" t="n"/>
      <c r="J328" s="75" t="n"/>
      <c r="K328" s="67" t="n"/>
      <c r="M328" s="53">
        <f>IF($C328="","",IF(OR($C328="CHUNG",COUNTIF(DM_Ma,$C328)&gt;0),"","MÃ LẠ"))</f>
        <v/>
      </c>
      <c r="N328" s="53">
        <f>IF($A328="","",IF(AND($A328&gt;=pTu,$A328&lt;=pDen),"","NGOÀI KỲ"))</f>
        <v/>
      </c>
      <c r="O328" s="53">
        <f>IF($J328="","",IF($J328&lt;=0,"≤0",""))</f>
        <v/>
      </c>
      <c r="P328" s="53">
        <f>IF(AND($D328="SXC (627)",$F328="Chung"),IF(OR($G328="Cố định",$G328="Biến đổi"),"","THIẾU TÍNH CHẤT"),"")</f>
        <v/>
      </c>
    </row>
    <row r="329" ht="15" customHeight="1" s="54">
      <c r="A329" s="71" t="n"/>
      <c r="B329" s="67" t="n"/>
      <c r="C329" s="67" t="n"/>
      <c r="D329" s="67" t="n"/>
      <c r="E329" s="79">
        <f>IFERROR(INDEX(MAP_TK,MATCH($D329,MAP_KM,0)),"")</f>
        <v/>
      </c>
      <c r="F329" s="67" t="n"/>
      <c r="G329" s="67" t="n"/>
      <c r="H329" s="67" t="n"/>
      <c r="I329" s="67" t="n"/>
      <c r="J329" s="75" t="n"/>
      <c r="K329" s="67" t="n"/>
      <c r="M329" s="53">
        <f>IF($C329="","",IF(OR($C329="CHUNG",COUNTIF(DM_Ma,$C329)&gt;0),"","MÃ LẠ"))</f>
        <v/>
      </c>
      <c r="N329" s="53">
        <f>IF($A329="","",IF(AND($A329&gt;=pTu,$A329&lt;=pDen),"","NGOÀI KỲ"))</f>
        <v/>
      </c>
      <c r="O329" s="53">
        <f>IF($J329="","",IF($J329&lt;=0,"≤0",""))</f>
        <v/>
      </c>
      <c r="P329" s="53">
        <f>IF(AND($D329="SXC (627)",$F329="Chung"),IF(OR($G329="Cố định",$G329="Biến đổi"),"","THIẾU TÍNH CHẤT"),"")</f>
        <v/>
      </c>
    </row>
    <row r="330" ht="15" customHeight="1" s="54">
      <c r="A330" s="71" t="n"/>
      <c r="B330" s="67" t="n"/>
      <c r="C330" s="67" t="n"/>
      <c r="D330" s="67" t="n"/>
      <c r="E330" s="79">
        <f>IFERROR(INDEX(MAP_TK,MATCH($D330,MAP_KM,0)),"")</f>
        <v/>
      </c>
      <c r="F330" s="67" t="n"/>
      <c r="G330" s="67" t="n"/>
      <c r="H330" s="67" t="n"/>
      <c r="I330" s="67" t="n"/>
      <c r="J330" s="75" t="n"/>
      <c r="K330" s="67" t="n"/>
      <c r="M330" s="53">
        <f>IF($C330="","",IF(OR($C330="CHUNG",COUNTIF(DM_Ma,$C330)&gt;0),"","MÃ LẠ"))</f>
        <v/>
      </c>
      <c r="N330" s="53">
        <f>IF($A330="","",IF(AND($A330&gt;=pTu,$A330&lt;=pDen),"","NGOÀI KỲ"))</f>
        <v/>
      </c>
      <c r="O330" s="53">
        <f>IF($J330="","",IF($J330&lt;=0,"≤0",""))</f>
        <v/>
      </c>
      <c r="P330" s="53">
        <f>IF(AND($D330="SXC (627)",$F330="Chung"),IF(OR($G330="Cố định",$G330="Biến đổi"),"","THIẾU TÍNH CHẤT"),"")</f>
        <v/>
      </c>
    </row>
    <row r="331" ht="15" customHeight="1" s="54">
      <c r="A331" s="71" t="n"/>
      <c r="B331" s="67" t="n"/>
      <c r="C331" s="67" t="n"/>
      <c r="D331" s="67" t="n"/>
      <c r="E331" s="79">
        <f>IFERROR(INDEX(MAP_TK,MATCH($D331,MAP_KM,0)),"")</f>
        <v/>
      </c>
      <c r="F331" s="67" t="n"/>
      <c r="G331" s="67" t="n"/>
      <c r="H331" s="67" t="n"/>
      <c r="I331" s="67" t="n"/>
      <c r="J331" s="75" t="n"/>
      <c r="K331" s="67" t="n"/>
      <c r="M331" s="53">
        <f>IF($C331="","",IF(OR($C331="CHUNG",COUNTIF(DM_Ma,$C331)&gt;0),"","MÃ LẠ"))</f>
        <v/>
      </c>
      <c r="N331" s="53">
        <f>IF($A331="","",IF(AND($A331&gt;=pTu,$A331&lt;=pDen),"","NGOÀI KỲ"))</f>
        <v/>
      </c>
      <c r="O331" s="53">
        <f>IF($J331="","",IF($J331&lt;=0,"≤0",""))</f>
        <v/>
      </c>
      <c r="P331" s="53">
        <f>IF(AND($D331="SXC (627)",$F331="Chung"),IF(OR($G331="Cố định",$G331="Biến đổi"),"","THIẾU TÍNH CHẤT"),"")</f>
        <v/>
      </c>
    </row>
    <row r="332" ht="15" customHeight="1" s="54">
      <c r="A332" s="71" t="n"/>
      <c r="B332" s="67" t="n"/>
      <c r="C332" s="67" t="n"/>
      <c r="D332" s="67" t="n"/>
      <c r="E332" s="79">
        <f>IFERROR(INDEX(MAP_TK,MATCH($D332,MAP_KM,0)),"")</f>
        <v/>
      </c>
      <c r="F332" s="67" t="n"/>
      <c r="G332" s="67" t="n"/>
      <c r="H332" s="67" t="n"/>
      <c r="I332" s="67" t="n"/>
      <c r="J332" s="75" t="n"/>
      <c r="K332" s="67" t="n"/>
      <c r="M332" s="53">
        <f>IF($C332="","",IF(OR($C332="CHUNG",COUNTIF(DM_Ma,$C332)&gt;0),"","MÃ LẠ"))</f>
        <v/>
      </c>
      <c r="N332" s="53">
        <f>IF($A332="","",IF(AND($A332&gt;=pTu,$A332&lt;=pDen),"","NGOÀI KỲ"))</f>
        <v/>
      </c>
      <c r="O332" s="53">
        <f>IF($J332="","",IF($J332&lt;=0,"≤0",""))</f>
        <v/>
      </c>
      <c r="P332" s="53">
        <f>IF(AND($D332="SXC (627)",$F332="Chung"),IF(OR($G332="Cố định",$G332="Biến đổi"),"","THIẾU TÍNH CHẤT"),"")</f>
        <v/>
      </c>
    </row>
    <row r="333" ht="15" customHeight="1" s="54">
      <c r="A333" s="71" t="n"/>
      <c r="B333" s="67" t="n"/>
      <c r="C333" s="67" t="n"/>
      <c r="D333" s="67" t="n"/>
      <c r="E333" s="79">
        <f>IFERROR(INDEX(MAP_TK,MATCH($D333,MAP_KM,0)),"")</f>
        <v/>
      </c>
      <c r="F333" s="67" t="n"/>
      <c r="G333" s="67" t="n"/>
      <c r="H333" s="67" t="n"/>
      <c r="I333" s="67" t="n"/>
      <c r="J333" s="75" t="n"/>
      <c r="K333" s="67" t="n"/>
      <c r="M333" s="53">
        <f>IF($C333="","",IF(OR($C333="CHUNG",COUNTIF(DM_Ma,$C333)&gt;0),"","MÃ LẠ"))</f>
        <v/>
      </c>
      <c r="N333" s="53">
        <f>IF($A333="","",IF(AND($A333&gt;=pTu,$A333&lt;=pDen),"","NGOÀI KỲ"))</f>
        <v/>
      </c>
      <c r="O333" s="53">
        <f>IF($J333="","",IF($J333&lt;=0,"≤0",""))</f>
        <v/>
      </c>
      <c r="P333" s="53">
        <f>IF(AND($D333="SXC (627)",$F333="Chung"),IF(OR($G333="Cố định",$G333="Biến đổi"),"","THIẾU TÍNH CHẤT"),"")</f>
        <v/>
      </c>
    </row>
    <row r="334" ht="15" customHeight="1" s="54">
      <c r="A334" s="71" t="n"/>
      <c r="B334" s="67" t="n"/>
      <c r="C334" s="67" t="n"/>
      <c r="D334" s="67" t="n"/>
      <c r="E334" s="79">
        <f>IFERROR(INDEX(MAP_TK,MATCH($D334,MAP_KM,0)),"")</f>
        <v/>
      </c>
      <c r="F334" s="67" t="n"/>
      <c r="G334" s="67" t="n"/>
      <c r="H334" s="67" t="n"/>
      <c r="I334" s="67" t="n"/>
      <c r="J334" s="75" t="n"/>
      <c r="K334" s="67" t="n"/>
      <c r="M334" s="53">
        <f>IF($C334="","",IF(OR($C334="CHUNG",COUNTIF(DM_Ma,$C334)&gt;0),"","MÃ LẠ"))</f>
        <v/>
      </c>
      <c r="N334" s="53">
        <f>IF($A334="","",IF(AND($A334&gt;=pTu,$A334&lt;=pDen),"","NGOÀI KỲ"))</f>
        <v/>
      </c>
      <c r="O334" s="53">
        <f>IF($J334="","",IF($J334&lt;=0,"≤0",""))</f>
        <v/>
      </c>
      <c r="P334" s="53">
        <f>IF(AND($D334="SXC (627)",$F334="Chung"),IF(OR($G334="Cố định",$G334="Biến đổi"),"","THIẾU TÍNH CHẤT"),"")</f>
        <v/>
      </c>
    </row>
    <row r="335" ht="15" customHeight="1" s="54">
      <c r="A335" s="71" t="n"/>
      <c r="B335" s="67" t="n"/>
      <c r="C335" s="67" t="n"/>
      <c r="D335" s="67" t="n"/>
      <c r="E335" s="79">
        <f>IFERROR(INDEX(MAP_TK,MATCH($D335,MAP_KM,0)),"")</f>
        <v/>
      </c>
      <c r="F335" s="67" t="n"/>
      <c r="G335" s="67" t="n"/>
      <c r="H335" s="67" t="n"/>
      <c r="I335" s="67" t="n"/>
      <c r="J335" s="75" t="n"/>
      <c r="K335" s="67" t="n"/>
      <c r="M335" s="53">
        <f>IF($C335="","",IF(OR($C335="CHUNG",COUNTIF(DM_Ma,$C335)&gt;0),"","MÃ LẠ"))</f>
        <v/>
      </c>
      <c r="N335" s="53">
        <f>IF($A335="","",IF(AND($A335&gt;=pTu,$A335&lt;=pDen),"","NGOÀI KỲ"))</f>
        <v/>
      </c>
      <c r="O335" s="53">
        <f>IF($J335="","",IF($J335&lt;=0,"≤0",""))</f>
        <v/>
      </c>
      <c r="P335" s="53">
        <f>IF(AND($D335="SXC (627)",$F335="Chung"),IF(OR($G335="Cố định",$G335="Biến đổi"),"","THIẾU TÍNH CHẤT"),"")</f>
        <v/>
      </c>
    </row>
    <row r="336" ht="15" customHeight="1" s="54">
      <c r="A336" s="71" t="n"/>
      <c r="B336" s="67" t="n"/>
      <c r="C336" s="67" t="n"/>
      <c r="D336" s="67" t="n"/>
      <c r="E336" s="79">
        <f>IFERROR(INDEX(MAP_TK,MATCH($D336,MAP_KM,0)),"")</f>
        <v/>
      </c>
      <c r="F336" s="67" t="n"/>
      <c r="G336" s="67" t="n"/>
      <c r="H336" s="67" t="n"/>
      <c r="I336" s="67" t="n"/>
      <c r="J336" s="75" t="n"/>
      <c r="K336" s="67" t="n"/>
      <c r="M336" s="53">
        <f>IF($C336="","",IF(OR($C336="CHUNG",COUNTIF(DM_Ma,$C336)&gt;0),"","MÃ LẠ"))</f>
        <v/>
      </c>
      <c r="N336" s="53">
        <f>IF($A336="","",IF(AND($A336&gt;=pTu,$A336&lt;=pDen),"","NGOÀI KỲ"))</f>
        <v/>
      </c>
      <c r="O336" s="53">
        <f>IF($J336="","",IF($J336&lt;=0,"≤0",""))</f>
        <v/>
      </c>
      <c r="P336" s="53">
        <f>IF(AND($D336="SXC (627)",$F336="Chung"),IF(OR($G336="Cố định",$G336="Biến đổi"),"","THIẾU TÍNH CHẤT"),"")</f>
        <v/>
      </c>
    </row>
    <row r="337" ht="15" customHeight="1" s="54">
      <c r="A337" s="71" t="n"/>
      <c r="B337" s="67" t="n"/>
      <c r="C337" s="67" t="n"/>
      <c r="D337" s="67" t="n"/>
      <c r="E337" s="79">
        <f>IFERROR(INDEX(MAP_TK,MATCH($D337,MAP_KM,0)),"")</f>
        <v/>
      </c>
      <c r="F337" s="67" t="n"/>
      <c r="G337" s="67" t="n"/>
      <c r="H337" s="67" t="n"/>
      <c r="I337" s="67" t="n"/>
      <c r="J337" s="75" t="n"/>
      <c r="K337" s="67" t="n"/>
      <c r="M337" s="53">
        <f>IF($C337="","",IF(OR($C337="CHUNG",COUNTIF(DM_Ma,$C337)&gt;0),"","MÃ LẠ"))</f>
        <v/>
      </c>
      <c r="N337" s="53">
        <f>IF($A337="","",IF(AND($A337&gt;=pTu,$A337&lt;=pDen),"","NGOÀI KỲ"))</f>
        <v/>
      </c>
      <c r="O337" s="53">
        <f>IF($J337="","",IF($J337&lt;=0,"≤0",""))</f>
        <v/>
      </c>
      <c r="P337" s="53">
        <f>IF(AND($D337="SXC (627)",$F337="Chung"),IF(OR($G337="Cố định",$G337="Biến đổi"),"","THIẾU TÍNH CHẤT"),"")</f>
        <v/>
      </c>
    </row>
    <row r="338" ht="15" customHeight="1" s="54">
      <c r="A338" s="71" t="n"/>
      <c r="B338" s="67" t="n"/>
      <c r="C338" s="67" t="n"/>
      <c r="D338" s="67" t="n"/>
      <c r="E338" s="79">
        <f>IFERROR(INDEX(MAP_TK,MATCH($D338,MAP_KM,0)),"")</f>
        <v/>
      </c>
      <c r="F338" s="67" t="n"/>
      <c r="G338" s="67" t="n"/>
      <c r="H338" s="67" t="n"/>
      <c r="I338" s="67" t="n"/>
      <c r="J338" s="75" t="n"/>
      <c r="K338" s="67" t="n"/>
      <c r="M338" s="53">
        <f>IF($C338="","",IF(OR($C338="CHUNG",COUNTIF(DM_Ma,$C338)&gt;0),"","MÃ LẠ"))</f>
        <v/>
      </c>
      <c r="N338" s="53">
        <f>IF($A338="","",IF(AND($A338&gt;=pTu,$A338&lt;=pDen),"","NGOÀI KỲ"))</f>
        <v/>
      </c>
      <c r="O338" s="53">
        <f>IF($J338="","",IF($J338&lt;=0,"≤0",""))</f>
        <v/>
      </c>
      <c r="P338" s="53">
        <f>IF(AND($D338="SXC (627)",$F338="Chung"),IF(OR($G338="Cố định",$G338="Biến đổi"),"","THIẾU TÍNH CHẤT"),"")</f>
        <v/>
      </c>
    </row>
    <row r="339" ht="15" customHeight="1" s="54">
      <c r="A339" s="71" t="n"/>
      <c r="B339" s="67" t="n"/>
      <c r="C339" s="67" t="n"/>
      <c r="D339" s="67" t="n"/>
      <c r="E339" s="79">
        <f>IFERROR(INDEX(MAP_TK,MATCH($D339,MAP_KM,0)),"")</f>
        <v/>
      </c>
      <c r="F339" s="67" t="n"/>
      <c r="G339" s="67" t="n"/>
      <c r="H339" s="67" t="n"/>
      <c r="I339" s="67" t="n"/>
      <c r="J339" s="75" t="n"/>
      <c r="K339" s="67" t="n"/>
      <c r="M339" s="53">
        <f>IF($C339="","",IF(OR($C339="CHUNG",COUNTIF(DM_Ma,$C339)&gt;0),"","MÃ LẠ"))</f>
        <v/>
      </c>
      <c r="N339" s="53">
        <f>IF($A339="","",IF(AND($A339&gt;=pTu,$A339&lt;=pDen),"","NGOÀI KỲ"))</f>
        <v/>
      </c>
      <c r="O339" s="53">
        <f>IF($J339="","",IF($J339&lt;=0,"≤0",""))</f>
        <v/>
      </c>
      <c r="P339" s="53">
        <f>IF(AND($D339="SXC (627)",$F339="Chung"),IF(OR($G339="Cố định",$G339="Biến đổi"),"","THIẾU TÍNH CHẤT"),"")</f>
        <v/>
      </c>
    </row>
    <row r="340" ht="15" customHeight="1" s="54">
      <c r="A340" s="71" t="n"/>
      <c r="B340" s="67" t="n"/>
      <c r="C340" s="67" t="n"/>
      <c r="D340" s="67" t="n"/>
      <c r="E340" s="79">
        <f>IFERROR(INDEX(MAP_TK,MATCH($D340,MAP_KM,0)),"")</f>
        <v/>
      </c>
      <c r="F340" s="67" t="n"/>
      <c r="G340" s="67" t="n"/>
      <c r="H340" s="67" t="n"/>
      <c r="I340" s="67" t="n"/>
      <c r="J340" s="75" t="n"/>
      <c r="K340" s="67" t="n"/>
      <c r="M340" s="53">
        <f>IF($C340="","",IF(OR($C340="CHUNG",COUNTIF(DM_Ma,$C340)&gt;0),"","MÃ LẠ"))</f>
        <v/>
      </c>
      <c r="N340" s="53">
        <f>IF($A340="","",IF(AND($A340&gt;=pTu,$A340&lt;=pDen),"","NGOÀI KỲ"))</f>
        <v/>
      </c>
      <c r="O340" s="53">
        <f>IF($J340="","",IF($J340&lt;=0,"≤0",""))</f>
        <v/>
      </c>
      <c r="P340" s="53">
        <f>IF(AND($D340="SXC (627)",$F340="Chung"),IF(OR($G340="Cố định",$G340="Biến đổi"),"","THIẾU TÍNH CHẤT"),"")</f>
        <v/>
      </c>
    </row>
    <row r="341" ht="15" customHeight="1" s="54">
      <c r="A341" s="71" t="n"/>
      <c r="B341" s="67" t="n"/>
      <c r="C341" s="67" t="n"/>
      <c r="D341" s="67" t="n"/>
      <c r="E341" s="79">
        <f>IFERROR(INDEX(MAP_TK,MATCH($D341,MAP_KM,0)),"")</f>
        <v/>
      </c>
      <c r="F341" s="67" t="n"/>
      <c r="G341" s="67" t="n"/>
      <c r="H341" s="67" t="n"/>
      <c r="I341" s="67" t="n"/>
      <c r="J341" s="75" t="n"/>
      <c r="K341" s="67" t="n"/>
      <c r="M341" s="53">
        <f>IF($C341="","",IF(OR($C341="CHUNG",COUNTIF(DM_Ma,$C341)&gt;0),"","MÃ LẠ"))</f>
        <v/>
      </c>
      <c r="N341" s="53">
        <f>IF($A341="","",IF(AND($A341&gt;=pTu,$A341&lt;=pDen),"","NGOÀI KỲ"))</f>
        <v/>
      </c>
      <c r="O341" s="53">
        <f>IF($J341="","",IF($J341&lt;=0,"≤0",""))</f>
        <v/>
      </c>
      <c r="P341" s="53">
        <f>IF(AND($D341="SXC (627)",$F341="Chung"),IF(OR($G341="Cố định",$G341="Biến đổi"),"","THIẾU TÍNH CHẤT"),"")</f>
        <v/>
      </c>
    </row>
    <row r="342" ht="15" customHeight="1" s="54">
      <c r="A342" s="71" t="n"/>
      <c r="B342" s="67" t="n"/>
      <c r="C342" s="67" t="n"/>
      <c r="D342" s="67" t="n"/>
      <c r="E342" s="79">
        <f>IFERROR(INDEX(MAP_TK,MATCH($D342,MAP_KM,0)),"")</f>
        <v/>
      </c>
      <c r="F342" s="67" t="n"/>
      <c r="G342" s="67" t="n"/>
      <c r="H342" s="67" t="n"/>
      <c r="I342" s="67" t="n"/>
      <c r="J342" s="75" t="n"/>
      <c r="K342" s="67" t="n"/>
      <c r="M342" s="53">
        <f>IF($C342="","",IF(OR($C342="CHUNG",COUNTIF(DM_Ma,$C342)&gt;0),"","MÃ LẠ"))</f>
        <v/>
      </c>
      <c r="N342" s="53">
        <f>IF($A342="","",IF(AND($A342&gt;=pTu,$A342&lt;=pDen),"","NGOÀI KỲ"))</f>
        <v/>
      </c>
      <c r="O342" s="53">
        <f>IF($J342="","",IF($J342&lt;=0,"≤0",""))</f>
        <v/>
      </c>
      <c r="P342" s="53">
        <f>IF(AND($D342="SXC (627)",$F342="Chung"),IF(OR($G342="Cố định",$G342="Biến đổi"),"","THIẾU TÍNH CHẤT"),"")</f>
        <v/>
      </c>
    </row>
    <row r="343" ht="15" customHeight="1" s="54">
      <c r="A343" s="71" t="n"/>
      <c r="B343" s="67" t="n"/>
      <c r="C343" s="67" t="n"/>
      <c r="D343" s="67" t="n"/>
      <c r="E343" s="79">
        <f>IFERROR(INDEX(MAP_TK,MATCH($D343,MAP_KM,0)),"")</f>
        <v/>
      </c>
      <c r="F343" s="67" t="n"/>
      <c r="G343" s="67" t="n"/>
      <c r="H343" s="67" t="n"/>
      <c r="I343" s="67" t="n"/>
      <c r="J343" s="75" t="n"/>
      <c r="K343" s="67" t="n"/>
      <c r="M343" s="53">
        <f>IF($C343="","",IF(OR($C343="CHUNG",COUNTIF(DM_Ma,$C343)&gt;0),"","MÃ LẠ"))</f>
        <v/>
      </c>
      <c r="N343" s="53">
        <f>IF($A343="","",IF(AND($A343&gt;=pTu,$A343&lt;=pDen),"","NGOÀI KỲ"))</f>
        <v/>
      </c>
      <c r="O343" s="53">
        <f>IF($J343="","",IF($J343&lt;=0,"≤0",""))</f>
        <v/>
      </c>
      <c r="P343" s="53">
        <f>IF(AND($D343="SXC (627)",$F343="Chung"),IF(OR($G343="Cố định",$G343="Biến đổi"),"","THIẾU TÍNH CHẤT"),"")</f>
        <v/>
      </c>
    </row>
    <row r="344" ht="15" customHeight="1" s="54">
      <c r="A344" s="71" t="n"/>
      <c r="B344" s="67" t="n"/>
      <c r="C344" s="67" t="n"/>
      <c r="D344" s="67" t="n"/>
      <c r="E344" s="79">
        <f>IFERROR(INDEX(MAP_TK,MATCH($D344,MAP_KM,0)),"")</f>
        <v/>
      </c>
      <c r="F344" s="67" t="n"/>
      <c r="G344" s="67" t="n"/>
      <c r="H344" s="67" t="n"/>
      <c r="I344" s="67" t="n"/>
      <c r="J344" s="75" t="n"/>
      <c r="K344" s="67" t="n"/>
      <c r="M344" s="53">
        <f>IF($C344="","",IF(OR($C344="CHUNG",COUNTIF(DM_Ma,$C344)&gt;0),"","MÃ LẠ"))</f>
        <v/>
      </c>
      <c r="N344" s="53">
        <f>IF($A344="","",IF(AND($A344&gt;=pTu,$A344&lt;=pDen),"","NGOÀI KỲ"))</f>
        <v/>
      </c>
      <c r="O344" s="53">
        <f>IF($J344="","",IF($J344&lt;=0,"≤0",""))</f>
        <v/>
      </c>
      <c r="P344" s="53">
        <f>IF(AND($D344="SXC (627)",$F344="Chung"),IF(OR($G344="Cố định",$G344="Biến đổi"),"","THIẾU TÍNH CHẤT"),"")</f>
        <v/>
      </c>
    </row>
    <row r="345" ht="15" customHeight="1" s="54">
      <c r="A345" s="71" t="n"/>
      <c r="B345" s="67" t="n"/>
      <c r="C345" s="67" t="n"/>
      <c r="D345" s="67" t="n"/>
      <c r="E345" s="79">
        <f>IFERROR(INDEX(MAP_TK,MATCH($D345,MAP_KM,0)),"")</f>
        <v/>
      </c>
      <c r="F345" s="67" t="n"/>
      <c r="G345" s="67" t="n"/>
      <c r="H345" s="67" t="n"/>
      <c r="I345" s="67" t="n"/>
      <c r="J345" s="75" t="n"/>
      <c r="K345" s="67" t="n"/>
      <c r="M345" s="53">
        <f>IF($C345="","",IF(OR($C345="CHUNG",COUNTIF(DM_Ma,$C345)&gt;0),"","MÃ LẠ"))</f>
        <v/>
      </c>
      <c r="N345" s="53">
        <f>IF($A345="","",IF(AND($A345&gt;=pTu,$A345&lt;=pDen),"","NGOÀI KỲ"))</f>
        <v/>
      </c>
      <c r="O345" s="53">
        <f>IF($J345="","",IF($J345&lt;=0,"≤0",""))</f>
        <v/>
      </c>
      <c r="P345" s="53">
        <f>IF(AND($D345="SXC (627)",$F345="Chung"),IF(OR($G345="Cố định",$G345="Biến đổi"),"","THIẾU TÍNH CHẤT"),"")</f>
        <v/>
      </c>
    </row>
    <row r="346" ht="15" customHeight="1" s="54">
      <c r="A346" s="71" t="n"/>
      <c r="B346" s="67" t="n"/>
      <c r="C346" s="67" t="n"/>
      <c r="D346" s="67" t="n"/>
      <c r="E346" s="79">
        <f>IFERROR(INDEX(MAP_TK,MATCH($D346,MAP_KM,0)),"")</f>
        <v/>
      </c>
      <c r="F346" s="67" t="n"/>
      <c r="G346" s="67" t="n"/>
      <c r="H346" s="67" t="n"/>
      <c r="I346" s="67" t="n"/>
      <c r="J346" s="75" t="n"/>
      <c r="K346" s="67" t="n"/>
      <c r="M346" s="53">
        <f>IF($C346="","",IF(OR($C346="CHUNG",COUNTIF(DM_Ma,$C346)&gt;0),"","MÃ LẠ"))</f>
        <v/>
      </c>
      <c r="N346" s="53">
        <f>IF($A346="","",IF(AND($A346&gt;=pTu,$A346&lt;=pDen),"","NGOÀI KỲ"))</f>
        <v/>
      </c>
      <c r="O346" s="53">
        <f>IF($J346="","",IF($J346&lt;=0,"≤0",""))</f>
        <v/>
      </c>
      <c r="P346" s="53">
        <f>IF(AND($D346="SXC (627)",$F346="Chung"),IF(OR($G346="Cố định",$G346="Biến đổi"),"","THIẾU TÍNH CHẤT"),"")</f>
        <v/>
      </c>
    </row>
    <row r="347" ht="15" customHeight="1" s="54">
      <c r="A347" s="71" t="n"/>
      <c r="B347" s="67" t="n"/>
      <c r="C347" s="67" t="n"/>
      <c r="D347" s="67" t="n"/>
      <c r="E347" s="79">
        <f>IFERROR(INDEX(MAP_TK,MATCH($D347,MAP_KM,0)),"")</f>
        <v/>
      </c>
      <c r="F347" s="67" t="n"/>
      <c r="G347" s="67" t="n"/>
      <c r="H347" s="67" t="n"/>
      <c r="I347" s="67" t="n"/>
      <c r="J347" s="75" t="n"/>
      <c r="K347" s="67" t="n"/>
      <c r="M347" s="53">
        <f>IF($C347="","",IF(OR($C347="CHUNG",COUNTIF(DM_Ma,$C347)&gt;0),"","MÃ LẠ"))</f>
        <v/>
      </c>
      <c r="N347" s="53">
        <f>IF($A347="","",IF(AND($A347&gt;=pTu,$A347&lt;=pDen),"","NGOÀI KỲ"))</f>
        <v/>
      </c>
      <c r="O347" s="53">
        <f>IF($J347="","",IF($J347&lt;=0,"≤0",""))</f>
        <v/>
      </c>
      <c r="P347" s="53">
        <f>IF(AND($D347="SXC (627)",$F347="Chung"),IF(OR($G347="Cố định",$G347="Biến đổi"),"","THIẾU TÍNH CHẤT"),"")</f>
        <v/>
      </c>
    </row>
    <row r="348" ht="15" customHeight="1" s="54">
      <c r="A348" s="71" t="n"/>
      <c r="B348" s="67" t="n"/>
      <c r="C348" s="67" t="n"/>
      <c r="D348" s="67" t="n"/>
      <c r="E348" s="79">
        <f>IFERROR(INDEX(MAP_TK,MATCH($D348,MAP_KM,0)),"")</f>
        <v/>
      </c>
      <c r="F348" s="67" t="n"/>
      <c r="G348" s="67" t="n"/>
      <c r="H348" s="67" t="n"/>
      <c r="I348" s="67" t="n"/>
      <c r="J348" s="75" t="n"/>
      <c r="K348" s="67" t="n"/>
      <c r="M348" s="53">
        <f>IF($C348="","",IF(OR($C348="CHUNG",COUNTIF(DM_Ma,$C348)&gt;0),"","MÃ LẠ"))</f>
        <v/>
      </c>
      <c r="N348" s="53">
        <f>IF($A348="","",IF(AND($A348&gt;=pTu,$A348&lt;=pDen),"","NGOÀI KỲ"))</f>
        <v/>
      </c>
      <c r="O348" s="53">
        <f>IF($J348="","",IF($J348&lt;=0,"≤0",""))</f>
        <v/>
      </c>
      <c r="P348" s="53">
        <f>IF(AND($D348="SXC (627)",$F348="Chung"),IF(OR($G348="Cố định",$G348="Biến đổi"),"","THIẾU TÍNH CHẤT"),"")</f>
        <v/>
      </c>
    </row>
    <row r="349" ht="15" customHeight="1" s="54">
      <c r="A349" s="71" t="n"/>
      <c r="B349" s="67" t="n"/>
      <c r="C349" s="67" t="n"/>
      <c r="D349" s="67" t="n"/>
      <c r="E349" s="79">
        <f>IFERROR(INDEX(MAP_TK,MATCH($D349,MAP_KM,0)),"")</f>
        <v/>
      </c>
      <c r="F349" s="67" t="n"/>
      <c r="G349" s="67" t="n"/>
      <c r="H349" s="67" t="n"/>
      <c r="I349" s="67" t="n"/>
      <c r="J349" s="75" t="n"/>
      <c r="K349" s="67" t="n"/>
      <c r="M349" s="53">
        <f>IF($C349="","",IF(OR($C349="CHUNG",COUNTIF(DM_Ma,$C349)&gt;0),"","MÃ LẠ"))</f>
        <v/>
      </c>
      <c r="N349" s="53">
        <f>IF($A349="","",IF(AND($A349&gt;=pTu,$A349&lt;=pDen),"","NGOÀI KỲ"))</f>
        <v/>
      </c>
      <c r="O349" s="53">
        <f>IF($J349="","",IF($J349&lt;=0,"≤0",""))</f>
        <v/>
      </c>
      <c r="P349" s="53">
        <f>IF(AND($D349="SXC (627)",$F349="Chung"),IF(OR($G349="Cố định",$G349="Biến đổi"),"","THIẾU TÍNH CHẤT"),"")</f>
        <v/>
      </c>
    </row>
    <row r="350" ht="15" customHeight="1" s="54">
      <c r="A350" s="71" t="n"/>
      <c r="B350" s="67" t="n"/>
      <c r="C350" s="67" t="n"/>
      <c r="D350" s="67" t="n"/>
      <c r="E350" s="79">
        <f>IFERROR(INDEX(MAP_TK,MATCH($D350,MAP_KM,0)),"")</f>
        <v/>
      </c>
      <c r="F350" s="67" t="n"/>
      <c r="G350" s="67" t="n"/>
      <c r="H350" s="67" t="n"/>
      <c r="I350" s="67" t="n"/>
      <c r="J350" s="75" t="n"/>
      <c r="K350" s="67" t="n"/>
      <c r="M350" s="53">
        <f>IF($C350="","",IF(OR($C350="CHUNG",COUNTIF(DM_Ma,$C350)&gt;0),"","MÃ LẠ"))</f>
        <v/>
      </c>
      <c r="N350" s="53">
        <f>IF($A350="","",IF(AND($A350&gt;=pTu,$A350&lt;=pDen),"","NGOÀI KỲ"))</f>
        <v/>
      </c>
      <c r="O350" s="53">
        <f>IF($J350="","",IF($J350&lt;=0,"≤0",""))</f>
        <v/>
      </c>
      <c r="P350" s="53">
        <f>IF(AND($D350="SXC (627)",$F350="Chung"),IF(OR($G350="Cố định",$G350="Biến đổi"),"","THIẾU TÍNH CHẤT"),"")</f>
        <v/>
      </c>
    </row>
    <row r="351" ht="15" customHeight="1" s="54">
      <c r="A351" s="71" t="n"/>
      <c r="B351" s="67" t="n"/>
      <c r="C351" s="67" t="n"/>
      <c r="D351" s="67" t="n"/>
      <c r="E351" s="79">
        <f>IFERROR(INDEX(MAP_TK,MATCH($D351,MAP_KM,0)),"")</f>
        <v/>
      </c>
      <c r="F351" s="67" t="n"/>
      <c r="G351" s="67" t="n"/>
      <c r="H351" s="67" t="n"/>
      <c r="I351" s="67" t="n"/>
      <c r="J351" s="75" t="n"/>
      <c r="K351" s="67" t="n"/>
      <c r="M351" s="53">
        <f>IF($C351="","",IF(OR($C351="CHUNG",COUNTIF(DM_Ma,$C351)&gt;0),"","MÃ LẠ"))</f>
        <v/>
      </c>
      <c r="N351" s="53">
        <f>IF($A351="","",IF(AND($A351&gt;=pTu,$A351&lt;=pDen),"","NGOÀI KỲ"))</f>
        <v/>
      </c>
      <c r="O351" s="53">
        <f>IF($J351="","",IF($J351&lt;=0,"≤0",""))</f>
        <v/>
      </c>
      <c r="P351" s="53">
        <f>IF(AND($D351="SXC (627)",$F351="Chung"),IF(OR($G351="Cố định",$G351="Biến đổi"),"","THIẾU TÍNH CHẤT"),"")</f>
        <v/>
      </c>
    </row>
    <row r="352" ht="15" customHeight="1" s="54">
      <c r="A352" s="71" t="n"/>
      <c r="B352" s="67" t="n"/>
      <c r="C352" s="67" t="n"/>
      <c r="D352" s="67" t="n"/>
      <c r="E352" s="79">
        <f>IFERROR(INDEX(MAP_TK,MATCH($D352,MAP_KM,0)),"")</f>
        <v/>
      </c>
      <c r="F352" s="67" t="n"/>
      <c r="G352" s="67" t="n"/>
      <c r="H352" s="67" t="n"/>
      <c r="I352" s="67" t="n"/>
      <c r="J352" s="75" t="n"/>
      <c r="K352" s="67" t="n"/>
      <c r="M352" s="53">
        <f>IF($C352="","",IF(OR($C352="CHUNG",COUNTIF(DM_Ma,$C352)&gt;0),"","MÃ LẠ"))</f>
        <v/>
      </c>
      <c r="N352" s="53">
        <f>IF($A352="","",IF(AND($A352&gt;=pTu,$A352&lt;=pDen),"","NGOÀI KỲ"))</f>
        <v/>
      </c>
      <c r="O352" s="53">
        <f>IF($J352="","",IF($J352&lt;=0,"≤0",""))</f>
        <v/>
      </c>
      <c r="P352" s="53">
        <f>IF(AND($D352="SXC (627)",$F352="Chung"),IF(OR($G352="Cố định",$G352="Biến đổi"),"","THIẾU TÍNH CHẤT"),"")</f>
        <v/>
      </c>
    </row>
    <row r="353" ht="15" customHeight="1" s="54">
      <c r="A353" s="71" t="n"/>
      <c r="B353" s="67" t="n"/>
      <c r="C353" s="67" t="n"/>
      <c r="D353" s="67" t="n"/>
      <c r="E353" s="79">
        <f>IFERROR(INDEX(MAP_TK,MATCH($D353,MAP_KM,0)),"")</f>
        <v/>
      </c>
      <c r="F353" s="67" t="n"/>
      <c r="G353" s="67" t="n"/>
      <c r="H353" s="67" t="n"/>
      <c r="I353" s="67" t="n"/>
      <c r="J353" s="75" t="n"/>
      <c r="K353" s="67" t="n"/>
      <c r="M353" s="53">
        <f>IF($C353="","",IF(OR($C353="CHUNG",COUNTIF(DM_Ma,$C353)&gt;0),"","MÃ LẠ"))</f>
        <v/>
      </c>
      <c r="N353" s="53">
        <f>IF($A353="","",IF(AND($A353&gt;=pTu,$A353&lt;=pDen),"","NGOÀI KỲ"))</f>
        <v/>
      </c>
      <c r="O353" s="53">
        <f>IF($J353="","",IF($J353&lt;=0,"≤0",""))</f>
        <v/>
      </c>
      <c r="P353" s="53">
        <f>IF(AND($D353="SXC (627)",$F353="Chung"),IF(OR($G353="Cố định",$G353="Biến đổi"),"","THIẾU TÍNH CHẤT"),"")</f>
        <v/>
      </c>
    </row>
    <row r="354" ht="15" customHeight="1" s="54">
      <c r="A354" s="71" t="n"/>
      <c r="B354" s="67" t="n"/>
      <c r="C354" s="67" t="n"/>
      <c r="D354" s="67" t="n"/>
      <c r="E354" s="79">
        <f>IFERROR(INDEX(MAP_TK,MATCH($D354,MAP_KM,0)),"")</f>
        <v/>
      </c>
      <c r="F354" s="67" t="n"/>
      <c r="G354" s="67" t="n"/>
      <c r="H354" s="67" t="n"/>
      <c r="I354" s="67" t="n"/>
      <c r="J354" s="75" t="n"/>
      <c r="K354" s="67" t="n"/>
      <c r="M354" s="53">
        <f>IF($C354="","",IF(OR($C354="CHUNG",COUNTIF(DM_Ma,$C354)&gt;0),"","MÃ LẠ"))</f>
        <v/>
      </c>
      <c r="N354" s="53">
        <f>IF($A354="","",IF(AND($A354&gt;=pTu,$A354&lt;=pDen),"","NGOÀI KỲ"))</f>
        <v/>
      </c>
      <c r="O354" s="53">
        <f>IF($J354="","",IF($J354&lt;=0,"≤0",""))</f>
        <v/>
      </c>
      <c r="P354" s="53">
        <f>IF(AND($D354="SXC (627)",$F354="Chung"),IF(OR($G354="Cố định",$G354="Biến đổi"),"","THIẾU TÍNH CHẤT"),"")</f>
        <v/>
      </c>
    </row>
    <row r="355" ht="15" customHeight="1" s="54">
      <c r="A355" s="71" t="n"/>
      <c r="B355" s="67" t="n"/>
      <c r="C355" s="67" t="n"/>
      <c r="D355" s="67" t="n"/>
      <c r="E355" s="79">
        <f>IFERROR(INDEX(MAP_TK,MATCH($D355,MAP_KM,0)),"")</f>
        <v/>
      </c>
      <c r="F355" s="67" t="n"/>
      <c r="G355" s="67" t="n"/>
      <c r="H355" s="67" t="n"/>
      <c r="I355" s="67" t="n"/>
      <c r="J355" s="75" t="n"/>
      <c r="K355" s="67" t="n"/>
      <c r="M355" s="53">
        <f>IF($C355="","",IF(OR($C355="CHUNG",COUNTIF(DM_Ma,$C355)&gt;0),"","MÃ LẠ"))</f>
        <v/>
      </c>
      <c r="N355" s="53">
        <f>IF($A355="","",IF(AND($A355&gt;=pTu,$A355&lt;=pDen),"","NGOÀI KỲ"))</f>
        <v/>
      </c>
      <c r="O355" s="53">
        <f>IF($J355="","",IF($J355&lt;=0,"≤0",""))</f>
        <v/>
      </c>
      <c r="P355" s="53">
        <f>IF(AND($D355="SXC (627)",$F355="Chung"),IF(OR($G355="Cố định",$G355="Biến đổi"),"","THIẾU TÍNH CHẤT"),"")</f>
        <v/>
      </c>
    </row>
    <row r="356" ht="15" customHeight="1" s="54">
      <c r="A356" s="71" t="n"/>
      <c r="B356" s="67" t="n"/>
      <c r="C356" s="67" t="n"/>
      <c r="D356" s="67" t="n"/>
      <c r="E356" s="79">
        <f>IFERROR(INDEX(MAP_TK,MATCH($D356,MAP_KM,0)),"")</f>
        <v/>
      </c>
      <c r="F356" s="67" t="n"/>
      <c r="G356" s="67" t="n"/>
      <c r="H356" s="67" t="n"/>
      <c r="I356" s="67" t="n"/>
      <c r="J356" s="75" t="n"/>
      <c r="K356" s="67" t="n"/>
      <c r="M356" s="53">
        <f>IF($C356="","",IF(OR($C356="CHUNG",COUNTIF(DM_Ma,$C356)&gt;0),"","MÃ LẠ"))</f>
        <v/>
      </c>
      <c r="N356" s="53">
        <f>IF($A356="","",IF(AND($A356&gt;=pTu,$A356&lt;=pDen),"","NGOÀI KỲ"))</f>
        <v/>
      </c>
      <c r="O356" s="53">
        <f>IF($J356="","",IF($J356&lt;=0,"≤0",""))</f>
        <v/>
      </c>
      <c r="P356" s="53">
        <f>IF(AND($D356="SXC (627)",$F356="Chung"),IF(OR($G356="Cố định",$G356="Biến đổi"),"","THIẾU TÍNH CHẤT"),"")</f>
        <v/>
      </c>
    </row>
    <row r="357" ht="15" customHeight="1" s="54">
      <c r="A357" s="71" t="n"/>
      <c r="B357" s="67" t="n"/>
      <c r="C357" s="67" t="n"/>
      <c r="D357" s="67" t="n"/>
      <c r="E357" s="79">
        <f>IFERROR(INDEX(MAP_TK,MATCH($D357,MAP_KM,0)),"")</f>
        <v/>
      </c>
      <c r="F357" s="67" t="n"/>
      <c r="G357" s="67" t="n"/>
      <c r="H357" s="67" t="n"/>
      <c r="I357" s="67" t="n"/>
      <c r="J357" s="75" t="n"/>
      <c r="K357" s="67" t="n"/>
      <c r="M357" s="53">
        <f>IF($C357="","",IF(OR($C357="CHUNG",COUNTIF(DM_Ma,$C357)&gt;0),"","MÃ LẠ"))</f>
        <v/>
      </c>
      <c r="N357" s="53">
        <f>IF($A357="","",IF(AND($A357&gt;=pTu,$A357&lt;=pDen),"","NGOÀI KỲ"))</f>
        <v/>
      </c>
      <c r="O357" s="53">
        <f>IF($J357="","",IF($J357&lt;=0,"≤0",""))</f>
        <v/>
      </c>
      <c r="P357" s="53">
        <f>IF(AND($D357="SXC (627)",$F357="Chung"),IF(OR($G357="Cố định",$G357="Biến đổi"),"","THIẾU TÍNH CHẤT"),"")</f>
        <v/>
      </c>
    </row>
    <row r="358" ht="15" customHeight="1" s="54">
      <c r="A358" s="71" t="n"/>
      <c r="B358" s="67" t="n"/>
      <c r="C358" s="67" t="n"/>
      <c r="D358" s="67" t="n"/>
      <c r="E358" s="79">
        <f>IFERROR(INDEX(MAP_TK,MATCH($D358,MAP_KM,0)),"")</f>
        <v/>
      </c>
      <c r="F358" s="67" t="n"/>
      <c r="G358" s="67" t="n"/>
      <c r="H358" s="67" t="n"/>
      <c r="I358" s="67" t="n"/>
      <c r="J358" s="75" t="n"/>
      <c r="K358" s="67" t="n"/>
      <c r="M358" s="53">
        <f>IF($C358="","",IF(OR($C358="CHUNG",COUNTIF(DM_Ma,$C358)&gt;0),"","MÃ LẠ"))</f>
        <v/>
      </c>
      <c r="N358" s="53">
        <f>IF($A358="","",IF(AND($A358&gt;=pTu,$A358&lt;=pDen),"","NGOÀI KỲ"))</f>
        <v/>
      </c>
      <c r="O358" s="53">
        <f>IF($J358="","",IF($J358&lt;=0,"≤0",""))</f>
        <v/>
      </c>
      <c r="P358" s="53">
        <f>IF(AND($D358="SXC (627)",$F358="Chung"),IF(OR($G358="Cố định",$G358="Biến đổi"),"","THIẾU TÍNH CHẤT"),"")</f>
        <v/>
      </c>
    </row>
    <row r="359" ht="15" customHeight="1" s="54">
      <c r="A359" s="71" t="n"/>
      <c r="B359" s="67" t="n"/>
      <c r="C359" s="67" t="n"/>
      <c r="D359" s="67" t="n"/>
      <c r="E359" s="79">
        <f>IFERROR(INDEX(MAP_TK,MATCH($D359,MAP_KM,0)),"")</f>
        <v/>
      </c>
      <c r="F359" s="67" t="n"/>
      <c r="G359" s="67" t="n"/>
      <c r="H359" s="67" t="n"/>
      <c r="I359" s="67" t="n"/>
      <c r="J359" s="75" t="n"/>
      <c r="K359" s="67" t="n"/>
      <c r="M359" s="53">
        <f>IF($C359="","",IF(OR($C359="CHUNG",COUNTIF(DM_Ma,$C359)&gt;0),"","MÃ LẠ"))</f>
        <v/>
      </c>
      <c r="N359" s="53">
        <f>IF($A359="","",IF(AND($A359&gt;=pTu,$A359&lt;=pDen),"","NGOÀI KỲ"))</f>
        <v/>
      </c>
      <c r="O359" s="53">
        <f>IF($J359="","",IF($J359&lt;=0,"≤0",""))</f>
        <v/>
      </c>
      <c r="P359" s="53">
        <f>IF(AND($D359="SXC (627)",$F359="Chung"),IF(OR($G359="Cố định",$G359="Biến đổi"),"","THIẾU TÍNH CHẤT"),"")</f>
        <v/>
      </c>
    </row>
    <row r="360" ht="15" customHeight="1" s="54">
      <c r="A360" s="71" t="n"/>
      <c r="B360" s="67" t="n"/>
      <c r="C360" s="67" t="n"/>
      <c r="D360" s="67" t="n"/>
      <c r="E360" s="79">
        <f>IFERROR(INDEX(MAP_TK,MATCH($D360,MAP_KM,0)),"")</f>
        <v/>
      </c>
      <c r="F360" s="67" t="n"/>
      <c r="G360" s="67" t="n"/>
      <c r="H360" s="67" t="n"/>
      <c r="I360" s="67" t="n"/>
      <c r="J360" s="75" t="n"/>
      <c r="K360" s="67" t="n"/>
      <c r="M360" s="53">
        <f>IF($C360="","",IF(OR($C360="CHUNG",COUNTIF(DM_Ma,$C360)&gt;0),"","MÃ LẠ"))</f>
        <v/>
      </c>
      <c r="N360" s="53">
        <f>IF($A360="","",IF(AND($A360&gt;=pTu,$A360&lt;=pDen),"","NGOÀI KỲ"))</f>
        <v/>
      </c>
      <c r="O360" s="53">
        <f>IF($J360="","",IF($J360&lt;=0,"≤0",""))</f>
        <v/>
      </c>
      <c r="P360" s="53">
        <f>IF(AND($D360="SXC (627)",$F360="Chung"),IF(OR($G360="Cố định",$G360="Biến đổi"),"","THIẾU TÍNH CHẤT"),"")</f>
        <v/>
      </c>
    </row>
    <row r="361" ht="15" customHeight="1" s="54">
      <c r="A361" s="71" t="n"/>
      <c r="B361" s="67" t="n"/>
      <c r="C361" s="67" t="n"/>
      <c r="D361" s="67" t="n"/>
      <c r="E361" s="79">
        <f>IFERROR(INDEX(MAP_TK,MATCH($D361,MAP_KM,0)),"")</f>
        <v/>
      </c>
      <c r="F361" s="67" t="n"/>
      <c r="G361" s="67" t="n"/>
      <c r="H361" s="67" t="n"/>
      <c r="I361" s="67" t="n"/>
      <c r="J361" s="75" t="n"/>
      <c r="K361" s="67" t="n"/>
      <c r="M361" s="53">
        <f>IF($C361="","",IF(OR($C361="CHUNG",COUNTIF(DM_Ma,$C361)&gt;0),"","MÃ LẠ"))</f>
        <v/>
      </c>
      <c r="N361" s="53">
        <f>IF($A361="","",IF(AND($A361&gt;=pTu,$A361&lt;=pDen),"","NGOÀI KỲ"))</f>
        <v/>
      </c>
      <c r="O361" s="53">
        <f>IF($J361="","",IF($J361&lt;=0,"≤0",""))</f>
        <v/>
      </c>
      <c r="P361" s="53">
        <f>IF(AND($D361="SXC (627)",$F361="Chung"),IF(OR($G361="Cố định",$G361="Biến đổi"),"","THIẾU TÍNH CHẤT"),"")</f>
        <v/>
      </c>
    </row>
    <row r="362" ht="15" customHeight="1" s="54">
      <c r="A362" s="71" t="n"/>
      <c r="B362" s="67" t="n"/>
      <c r="C362" s="67" t="n"/>
      <c r="D362" s="67" t="n"/>
      <c r="E362" s="79">
        <f>IFERROR(INDEX(MAP_TK,MATCH($D362,MAP_KM,0)),"")</f>
        <v/>
      </c>
      <c r="F362" s="67" t="n"/>
      <c r="G362" s="67" t="n"/>
      <c r="H362" s="67" t="n"/>
      <c r="I362" s="67" t="n"/>
      <c r="J362" s="75" t="n"/>
      <c r="K362" s="67" t="n"/>
      <c r="M362" s="53">
        <f>IF($C362="","",IF(OR($C362="CHUNG",COUNTIF(DM_Ma,$C362)&gt;0),"","MÃ LẠ"))</f>
        <v/>
      </c>
      <c r="N362" s="53">
        <f>IF($A362="","",IF(AND($A362&gt;=pTu,$A362&lt;=pDen),"","NGOÀI KỲ"))</f>
        <v/>
      </c>
      <c r="O362" s="53">
        <f>IF($J362="","",IF($J362&lt;=0,"≤0",""))</f>
        <v/>
      </c>
      <c r="P362" s="53">
        <f>IF(AND($D362="SXC (627)",$F362="Chung"),IF(OR($G362="Cố định",$G362="Biến đổi"),"","THIẾU TÍNH CHẤT"),"")</f>
        <v/>
      </c>
    </row>
    <row r="363" ht="15" customHeight="1" s="54">
      <c r="A363" s="71" t="n"/>
      <c r="B363" s="67" t="n"/>
      <c r="C363" s="67" t="n"/>
      <c r="D363" s="67" t="n"/>
      <c r="E363" s="79">
        <f>IFERROR(INDEX(MAP_TK,MATCH($D363,MAP_KM,0)),"")</f>
        <v/>
      </c>
      <c r="F363" s="67" t="n"/>
      <c r="G363" s="67" t="n"/>
      <c r="H363" s="67" t="n"/>
      <c r="I363" s="67" t="n"/>
      <c r="J363" s="75" t="n"/>
      <c r="K363" s="67" t="n"/>
      <c r="M363" s="53">
        <f>IF($C363="","",IF(OR($C363="CHUNG",COUNTIF(DM_Ma,$C363)&gt;0),"","MÃ LẠ"))</f>
        <v/>
      </c>
      <c r="N363" s="53">
        <f>IF($A363="","",IF(AND($A363&gt;=pTu,$A363&lt;=pDen),"","NGOÀI KỲ"))</f>
        <v/>
      </c>
      <c r="O363" s="53">
        <f>IF($J363="","",IF($J363&lt;=0,"≤0",""))</f>
        <v/>
      </c>
      <c r="P363" s="53">
        <f>IF(AND($D363="SXC (627)",$F363="Chung"),IF(OR($G363="Cố định",$G363="Biến đổi"),"","THIẾU TÍNH CHẤT"),"")</f>
        <v/>
      </c>
    </row>
    <row r="364" ht="15" customHeight="1" s="54">
      <c r="A364" s="71" t="n"/>
      <c r="B364" s="67" t="n"/>
      <c r="C364" s="67" t="n"/>
      <c r="D364" s="67" t="n"/>
      <c r="E364" s="79">
        <f>IFERROR(INDEX(MAP_TK,MATCH($D364,MAP_KM,0)),"")</f>
        <v/>
      </c>
      <c r="F364" s="67" t="n"/>
      <c r="G364" s="67" t="n"/>
      <c r="H364" s="67" t="n"/>
      <c r="I364" s="67" t="n"/>
      <c r="J364" s="75" t="n"/>
      <c r="K364" s="67" t="n"/>
      <c r="M364" s="53">
        <f>IF($C364="","",IF(OR($C364="CHUNG",COUNTIF(DM_Ma,$C364)&gt;0),"","MÃ LẠ"))</f>
        <v/>
      </c>
      <c r="N364" s="53">
        <f>IF($A364="","",IF(AND($A364&gt;=pTu,$A364&lt;=pDen),"","NGOÀI KỲ"))</f>
        <v/>
      </c>
      <c r="O364" s="53">
        <f>IF($J364="","",IF($J364&lt;=0,"≤0",""))</f>
        <v/>
      </c>
      <c r="P364" s="53">
        <f>IF(AND($D364="SXC (627)",$F364="Chung"),IF(OR($G364="Cố định",$G364="Biến đổi"),"","THIẾU TÍNH CHẤT"),"")</f>
        <v/>
      </c>
    </row>
    <row r="365" ht="15" customHeight="1" s="54">
      <c r="A365" s="71" t="n"/>
      <c r="B365" s="67" t="n"/>
      <c r="C365" s="67" t="n"/>
      <c r="D365" s="67" t="n"/>
      <c r="E365" s="79">
        <f>IFERROR(INDEX(MAP_TK,MATCH($D365,MAP_KM,0)),"")</f>
        <v/>
      </c>
      <c r="F365" s="67" t="n"/>
      <c r="G365" s="67" t="n"/>
      <c r="H365" s="67" t="n"/>
      <c r="I365" s="67" t="n"/>
      <c r="J365" s="75" t="n"/>
      <c r="K365" s="67" t="n"/>
      <c r="M365" s="53">
        <f>IF($C365="","",IF(OR($C365="CHUNG",COUNTIF(DM_Ma,$C365)&gt;0),"","MÃ LẠ"))</f>
        <v/>
      </c>
      <c r="N365" s="53">
        <f>IF($A365="","",IF(AND($A365&gt;=pTu,$A365&lt;=pDen),"","NGOÀI KỲ"))</f>
        <v/>
      </c>
      <c r="O365" s="53">
        <f>IF($J365="","",IF($J365&lt;=0,"≤0",""))</f>
        <v/>
      </c>
      <c r="P365" s="53">
        <f>IF(AND($D365="SXC (627)",$F365="Chung"),IF(OR($G365="Cố định",$G365="Biến đổi"),"","THIẾU TÍNH CHẤT"),"")</f>
        <v/>
      </c>
    </row>
    <row r="366" ht="15" customHeight="1" s="54">
      <c r="A366" s="71" t="n"/>
      <c r="B366" s="67" t="n"/>
      <c r="C366" s="67" t="n"/>
      <c r="D366" s="67" t="n"/>
      <c r="E366" s="79">
        <f>IFERROR(INDEX(MAP_TK,MATCH($D366,MAP_KM,0)),"")</f>
        <v/>
      </c>
      <c r="F366" s="67" t="n"/>
      <c r="G366" s="67" t="n"/>
      <c r="H366" s="67" t="n"/>
      <c r="I366" s="67" t="n"/>
      <c r="J366" s="75" t="n"/>
      <c r="K366" s="67" t="n"/>
      <c r="M366" s="53">
        <f>IF($C366="","",IF(OR($C366="CHUNG",COUNTIF(DM_Ma,$C366)&gt;0),"","MÃ LẠ"))</f>
        <v/>
      </c>
      <c r="N366" s="53">
        <f>IF($A366="","",IF(AND($A366&gt;=pTu,$A366&lt;=pDen),"","NGOÀI KỲ"))</f>
        <v/>
      </c>
      <c r="O366" s="53">
        <f>IF($J366="","",IF($J366&lt;=0,"≤0",""))</f>
        <v/>
      </c>
      <c r="P366" s="53">
        <f>IF(AND($D366="SXC (627)",$F366="Chung"),IF(OR($G366="Cố định",$G366="Biến đổi"),"","THIẾU TÍNH CHẤT"),"")</f>
        <v/>
      </c>
    </row>
    <row r="367" ht="15" customHeight="1" s="54">
      <c r="A367" s="71" t="n"/>
      <c r="B367" s="67" t="n"/>
      <c r="C367" s="67" t="n"/>
      <c r="D367" s="67" t="n"/>
      <c r="E367" s="79">
        <f>IFERROR(INDEX(MAP_TK,MATCH($D367,MAP_KM,0)),"")</f>
        <v/>
      </c>
      <c r="F367" s="67" t="n"/>
      <c r="G367" s="67" t="n"/>
      <c r="H367" s="67" t="n"/>
      <c r="I367" s="67" t="n"/>
      <c r="J367" s="75" t="n"/>
      <c r="K367" s="67" t="n"/>
      <c r="M367" s="53">
        <f>IF($C367="","",IF(OR($C367="CHUNG",COUNTIF(DM_Ma,$C367)&gt;0),"","MÃ LẠ"))</f>
        <v/>
      </c>
      <c r="N367" s="53">
        <f>IF($A367="","",IF(AND($A367&gt;=pTu,$A367&lt;=pDen),"","NGOÀI KỲ"))</f>
        <v/>
      </c>
      <c r="O367" s="53">
        <f>IF($J367="","",IF($J367&lt;=0,"≤0",""))</f>
        <v/>
      </c>
      <c r="P367" s="53">
        <f>IF(AND($D367="SXC (627)",$F367="Chung"),IF(OR($G367="Cố định",$G367="Biến đổi"),"","THIẾU TÍNH CHẤT"),"")</f>
        <v/>
      </c>
    </row>
    <row r="368" ht="15" customHeight="1" s="54">
      <c r="A368" s="71" t="n"/>
      <c r="B368" s="67" t="n"/>
      <c r="C368" s="67" t="n"/>
      <c r="D368" s="67" t="n"/>
      <c r="E368" s="79">
        <f>IFERROR(INDEX(MAP_TK,MATCH($D368,MAP_KM,0)),"")</f>
        <v/>
      </c>
      <c r="F368" s="67" t="n"/>
      <c r="G368" s="67" t="n"/>
      <c r="H368" s="67" t="n"/>
      <c r="I368" s="67" t="n"/>
      <c r="J368" s="75" t="n"/>
      <c r="K368" s="67" t="n"/>
      <c r="M368" s="53">
        <f>IF($C368="","",IF(OR($C368="CHUNG",COUNTIF(DM_Ma,$C368)&gt;0),"","MÃ LẠ"))</f>
        <v/>
      </c>
      <c r="N368" s="53">
        <f>IF($A368="","",IF(AND($A368&gt;=pTu,$A368&lt;=pDen),"","NGOÀI KỲ"))</f>
        <v/>
      </c>
      <c r="O368" s="53">
        <f>IF($J368="","",IF($J368&lt;=0,"≤0",""))</f>
        <v/>
      </c>
      <c r="P368" s="53">
        <f>IF(AND($D368="SXC (627)",$F368="Chung"),IF(OR($G368="Cố định",$G368="Biến đổi"),"","THIẾU TÍNH CHẤT"),"")</f>
        <v/>
      </c>
    </row>
    <row r="369" ht="15" customHeight="1" s="54">
      <c r="A369" s="71" t="n"/>
      <c r="B369" s="67" t="n"/>
      <c r="C369" s="67" t="n"/>
      <c r="D369" s="67" t="n"/>
      <c r="E369" s="79">
        <f>IFERROR(INDEX(MAP_TK,MATCH($D369,MAP_KM,0)),"")</f>
        <v/>
      </c>
      <c r="F369" s="67" t="n"/>
      <c r="G369" s="67" t="n"/>
      <c r="H369" s="67" t="n"/>
      <c r="I369" s="67" t="n"/>
      <c r="J369" s="75" t="n"/>
      <c r="K369" s="67" t="n"/>
      <c r="M369" s="53">
        <f>IF($C369="","",IF(OR($C369="CHUNG",COUNTIF(DM_Ma,$C369)&gt;0),"","MÃ LẠ"))</f>
        <v/>
      </c>
      <c r="N369" s="53">
        <f>IF($A369="","",IF(AND($A369&gt;=pTu,$A369&lt;=pDen),"","NGOÀI KỲ"))</f>
        <v/>
      </c>
      <c r="O369" s="53">
        <f>IF($J369="","",IF($J369&lt;=0,"≤0",""))</f>
        <v/>
      </c>
      <c r="P369" s="53">
        <f>IF(AND($D369="SXC (627)",$F369="Chung"),IF(OR($G369="Cố định",$G369="Biến đổi"),"","THIẾU TÍNH CHẤT"),"")</f>
        <v/>
      </c>
    </row>
    <row r="370" ht="15" customHeight="1" s="54">
      <c r="A370" s="71" t="n"/>
      <c r="B370" s="67" t="n"/>
      <c r="C370" s="67" t="n"/>
      <c r="D370" s="67" t="n"/>
      <c r="E370" s="79">
        <f>IFERROR(INDEX(MAP_TK,MATCH($D370,MAP_KM,0)),"")</f>
        <v/>
      </c>
      <c r="F370" s="67" t="n"/>
      <c r="G370" s="67" t="n"/>
      <c r="H370" s="67" t="n"/>
      <c r="I370" s="67" t="n"/>
      <c r="J370" s="75" t="n"/>
      <c r="K370" s="67" t="n"/>
      <c r="M370" s="53">
        <f>IF($C370="","",IF(OR($C370="CHUNG",COUNTIF(DM_Ma,$C370)&gt;0),"","MÃ LẠ"))</f>
        <v/>
      </c>
      <c r="N370" s="53">
        <f>IF($A370="","",IF(AND($A370&gt;=pTu,$A370&lt;=pDen),"","NGOÀI KỲ"))</f>
        <v/>
      </c>
      <c r="O370" s="53">
        <f>IF($J370="","",IF($J370&lt;=0,"≤0",""))</f>
        <v/>
      </c>
      <c r="P370" s="53">
        <f>IF(AND($D370="SXC (627)",$F370="Chung"),IF(OR($G370="Cố định",$G370="Biến đổi"),"","THIẾU TÍNH CHẤT"),"")</f>
        <v/>
      </c>
    </row>
    <row r="371" ht="15" customHeight="1" s="54">
      <c r="A371" s="71" t="n"/>
      <c r="B371" s="67" t="n"/>
      <c r="C371" s="67" t="n"/>
      <c r="D371" s="67" t="n"/>
      <c r="E371" s="79">
        <f>IFERROR(INDEX(MAP_TK,MATCH($D371,MAP_KM,0)),"")</f>
        <v/>
      </c>
      <c r="F371" s="67" t="n"/>
      <c r="G371" s="67" t="n"/>
      <c r="H371" s="67" t="n"/>
      <c r="I371" s="67" t="n"/>
      <c r="J371" s="75" t="n"/>
      <c r="K371" s="67" t="n"/>
      <c r="M371" s="53">
        <f>IF($C371="","",IF(OR($C371="CHUNG",COUNTIF(DM_Ma,$C371)&gt;0),"","MÃ LẠ"))</f>
        <v/>
      </c>
      <c r="N371" s="53">
        <f>IF($A371="","",IF(AND($A371&gt;=pTu,$A371&lt;=pDen),"","NGOÀI KỲ"))</f>
        <v/>
      </c>
      <c r="O371" s="53">
        <f>IF($J371="","",IF($J371&lt;=0,"≤0",""))</f>
        <v/>
      </c>
      <c r="P371" s="53">
        <f>IF(AND($D371="SXC (627)",$F371="Chung"),IF(OR($G371="Cố định",$G371="Biến đổi"),"","THIẾU TÍNH CHẤT"),"")</f>
        <v/>
      </c>
    </row>
    <row r="372" ht="15" customHeight="1" s="54">
      <c r="A372" s="71" t="n"/>
      <c r="B372" s="67" t="n"/>
      <c r="C372" s="67" t="n"/>
      <c r="D372" s="67" t="n"/>
      <c r="E372" s="79">
        <f>IFERROR(INDEX(MAP_TK,MATCH($D372,MAP_KM,0)),"")</f>
        <v/>
      </c>
      <c r="F372" s="67" t="n"/>
      <c r="G372" s="67" t="n"/>
      <c r="H372" s="67" t="n"/>
      <c r="I372" s="67" t="n"/>
      <c r="J372" s="75" t="n"/>
      <c r="K372" s="67" t="n"/>
      <c r="M372" s="53">
        <f>IF($C372="","",IF(OR($C372="CHUNG",COUNTIF(DM_Ma,$C372)&gt;0),"","MÃ LẠ"))</f>
        <v/>
      </c>
      <c r="N372" s="53">
        <f>IF($A372="","",IF(AND($A372&gt;=pTu,$A372&lt;=pDen),"","NGOÀI KỲ"))</f>
        <v/>
      </c>
      <c r="O372" s="53">
        <f>IF($J372="","",IF($J372&lt;=0,"≤0",""))</f>
        <v/>
      </c>
      <c r="P372" s="53">
        <f>IF(AND($D372="SXC (627)",$F372="Chung"),IF(OR($G372="Cố định",$G372="Biến đổi"),"","THIẾU TÍNH CHẤT"),"")</f>
        <v/>
      </c>
    </row>
    <row r="373" ht="15" customHeight="1" s="54">
      <c r="A373" s="71" t="n"/>
      <c r="B373" s="67" t="n"/>
      <c r="C373" s="67" t="n"/>
      <c r="D373" s="67" t="n"/>
      <c r="E373" s="79">
        <f>IFERROR(INDEX(MAP_TK,MATCH($D373,MAP_KM,0)),"")</f>
        <v/>
      </c>
      <c r="F373" s="67" t="n"/>
      <c r="G373" s="67" t="n"/>
      <c r="H373" s="67" t="n"/>
      <c r="I373" s="67" t="n"/>
      <c r="J373" s="75" t="n"/>
      <c r="K373" s="67" t="n"/>
      <c r="M373" s="53">
        <f>IF($C373="","",IF(OR($C373="CHUNG",COUNTIF(DM_Ma,$C373)&gt;0),"","MÃ LẠ"))</f>
        <v/>
      </c>
      <c r="N373" s="53">
        <f>IF($A373="","",IF(AND($A373&gt;=pTu,$A373&lt;=pDen),"","NGOÀI KỲ"))</f>
        <v/>
      </c>
      <c r="O373" s="53">
        <f>IF($J373="","",IF($J373&lt;=0,"≤0",""))</f>
        <v/>
      </c>
      <c r="P373" s="53">
        <f>IF(AND($D373="SXC (627)",$F373="Chung"),IF(OR($G373="Cố định",$G373="Biến đổi"),"","THIẾU TÍNH CHẤT"),"")</f>
        <v/>
      </c>
    </row>
    <row r="374" ht="15" customHeight="1" s="54">
      <c r="A374" s="71" t="n"/>
      <c r="B374" s="67" t="n"/>
      <c r="C374" s="67" t="n"/>
      <c r="D374" s="67" t="n"/>
      <c r="E374" s="79">
        <f>IFERROR(INDEX(MAP_TK,MATCH($D374,MAP_KM,0)),"")</f>
        <v/>
      </c>
      <c r="F374" s="67" t="n"/>
      <c r="G374" s="67" t="n"/>
      <c r="H374" s="67" t="n"/>
      <c r="I374" s="67" t="n"/>
      <c r="J374" s="75" t="n"/>
      <c r="K374" s="67" t="n"/>
      <c r="M374" s="53">
        <f>IF($C374="","",IF(OR($C374="CHUNG",COUNTIF(DM_Ma,$C374)&gt;0),"","MÃ LẠ"))</f>
        <v/>
      </c>
      <c r="N374" s="53">
        <f>IF($A374="","",IF(AND($A374&gt;=pTu,$A374&lt;=pDen),"","NGOÀI KỲ"))</f>
        <v/>
      </c>
      <c r="O374" s="53">
        <f>IF($J374="","",IF($J374&lt;=0,"≤0",""))</f>
        <v/>
      </c>
      <c r="P374" s="53">
        <f>IF(AND($D374="SXC (627)",$F374="Chung"),IF(OR($G374="Cố định",$G374="Biến đổi"),"","THIẾU TÍNH CHẤT"),"")</f>
        <v/>
      </c>
    </row>
    <row r="375" ht="15" customHeight="1" s="54">
      <c r="A375" s="71" t="n"/>
      <c r="B375" s="67" t="n"/>
      <c r="C375" s="67" t="n"/>
      <c r="D375" s="67" t="n"/>
      <c r="E375" s="79">
        <f>IFERROR(INDEX(MAP_TK,MATCH($D375,MAP_KM,0)),"")</f>
        <v/>
      </c>
      <c r="F375" s="67" t="n"/>
      <c r="G375" s="67" t="n"/>
      <c r="H375" s="67" t="n"/>
      <c r="I375" s="67" t="n"/>
      <c r="J375" s="75" t="n"/>
      <c r="K375" s="67" t="n"/>
      <c r="M375" s="53">
        <f>IF($C375="","",IF(OR($C375="CHUNG",COUNTIF(DM_Ma,$C375)&gt;0),"","MÃ LẠ"))</f>
        <v/>
      </c>
      <c r="N375" s="53">
        <f>IF($A375="","",IF(AND($A375&gt;=pTu,$A375&lt;=pDen),"","NGOÀI KỲ"))</f>
        <v/>
      </c>
      <c r="O375" s="53">
        <f>IF($J375="","",IF($J375&lt;=0,"≤0",""))</f>
        <v/>
      </c>
      <c r="P375" s="53">
        <f>IF(AND($D375="SXC (627)",$F375="Chung"),IF(OR($G375="Cố định",$G375="Biến đổi"),"","THIẾU TÍNH CHẤT"),"")</f>
        <v/>
      </c>
    </row>
    <row r="376" ht="15" customHeight="1" s="54">
      <c r="A376" s="71" t="n"/>
      <c r="B376" s="67" t="n"/>
      <c r="C376" s="67" t="n"/>
      <c r="D376" s="67" t="n"/>
      <c r="E376" s="79">
        <f>IFERROR(INDEX(MAP_TK,MATCH($D376,MAP_KM,0)),"")</f>
        <v/>
      </c>
      <c r="F376" s="67" t="n"/>
      <c r="G376" s="67" t="n"/>
      <c r="H376" s="67" t="n"/>
      <c r="I376" s="67" t="n"/>
      <c r="J376" s="75" t="n"/>
      <c r="K376" s="67" t="n"/>
      <c r="M376" s="53">
        <f>IF($C376="","",IF(OR($C376="CHUNG",COUNTIF(DM_Ma,$C376)&gt;0),"","MÃ LẠ"))</f>
        <v/>
      </c>
      <c r="N376" s="53">
        <f>IF($A376="","",IF(AND($A376&gt;=pTu,$A376&lt;=pDen),"","NGOÀI KỲ"))</f>
        <v/>
      </c>
      <c r="O376" s="53">
        <f>IF($J376="","",IF($J376&lt;=0,"≤0",""))</f>
        <v/>
      </c>
      <c r="P376" s="53">
        <f>IF(AND($D376="SXC (627)",$F376="Chung"),IF(OR($G376="Cố định",$G376="Biến đổi"),"","THIẾU TÍNH CHẤT"),"")</f>
        <v/>
      </c>
    </row>
    <row r="377" ht="15" customHeight="1" s="54">
      <c r="A377" s="71" t="n"/>
      <c r="B377" s="67" t="n"/>
      <c r="C377" s="67" t="n"/>
      <c r="D377" s="67" t="n"/>
      <c r="E377" s="79">
        <f>IFERROR(INDEX(MAP_TK,MATCH($D377,MAP_KM,0)),"")</f>
        <v/>
      </c>
      <c r="F377" s="67" t="n"/>
      <c r="G377" s="67" t="n"/>
      <c r="H377" s="67" t="n"/>
      <c r="I377" s="67" t="n"/>
      <c r="J377" s="75" t="n"/>
      <c r="K377" s="67" t="n"/>
      <c r="M377" s="53">
        <f>IF($C377="","",IF(OR($C377="CHUNG",COUNTIF(DM_Ma,$C377)&gt;0),"","MÃ LẠ"))</f>
        <v/>
      </c>
      <c r="N377" s="53">
        <f>IF($A377="","",IF(AND($A377&gt;=pTu,$A377&lt;=pDen),"","NGOÀI KỲ"))</f>
        <v/>
      </c>
      <c r="O377" s="53">
        <f>IF($J377="","",IF($J377&lt;=0,"≤0",""))</f>
        <v/>
      </c>
      <c r="P377" s="53">
        <f>IF(AND($D377="SXC (627)",$F377="Chung"),IF(OR($G377="Cố định",$G377="Biến đổi"),"","THIẾU TÍNH CHẤT"),"")</f>
        <v/>
      </c>
    </row>
    <row r="378" ht="15" customHeight="1" s="54">
      <c r="A378" s="71" t="n"/>
      <c r="B378" s="67" t="n"/>
      <c r="C378" s="67" t="n"/>
      <c r="D378" s="67" t="n"/>
      <c r="E378" s="79">
        <f>IFERROR(INDEX(MAP_TK,MATCH($D378,MAP_KM,0)),"")</f>
        <v/>
      </c>
      <c r="F378" s="67" t="n"/>
      <c r="G378" s="67" t="n"/>
      <c r="H378" s="67" t="n"/>
      <c r="I378" s="67" t="n"/>
      <c r="J378" s="75" t="n"/>
      <c r="K378" s="67" t="n"/>
      <c r="M378" s="53">
        <f>IF($C378="","",IF(OR($C378="CHUNG",COUNTIF(DM_Ma,$C378)&gt;0),"","MÃ LẠ"))</f>
        <v/>
      </c>
      <c r="N378" s="53">
        <f>IF($A378="","",IF(AND($A378&gt;=pTu,$A378&lt;=pDen),"","NGOÀI KỲ"))</f>
        <v/>
      </c>
      <c r="O378" s="53">
        <f>IF($J378="","",IF($J378&lt;=0,"≤0",""))</f>
        <v/>
      </c>
      <c r="P378" s="53">
        <f>IF(AND($D378="SXC (627)",$F378="Chung"),IF(OR($G378="Cố định",$G378="Biến đổi"),"","THIẾU TÍNH CHẤT"),"")</f>
        <v/>
      </c>
    </row>
    <row r="379" ht="15" customHeight="1" s="54">
      <c r="A379" s="71" t="n"/>
      <c r="B379" s="67" t="n"/>
      <c r="C379" s="67" t="n"/>
      <c r="D379" s="67" t="n"/>
      <c r="E379" s="79">
        <f>IFERROR(INDEX(MAP_TK,MATCH($D379,MAP_KM,0)),"")</f>
        <v/>
      </c>
      <c r="F379" s="67" t="n"/>
      <c r="G379" s="67" t="n"/>
      <c r="H379" s="67" t="n"/>
      <c r="I379" s="67" t="n"/>
      <c r="J379" s="75" t="n"/>
      <c r="K379" s="67" t="n"/>
      <c r="M379" s="53">
        <f>IF($C379="","",IF(OR($C379="CHUNG",COUNTIF(DM_Ma,$C379)&gt;0),"","MÃ LẠ"))</f>
        <v/>
      </c>
      <c r="N379" s="53">
        <f>IF($A379="","",IF(AND($A379&gt;=pTu,$A379&lt;=pDen),"","NGOÀI KỲ"))</f>
        <v/>
      </c>
      <c r="O379" s="53">
        <f>IF($J379="","",IF($J379&lt;=0,"≤0",""))</f>
        <v/>
      </c>
      <c r="P379" s="53">
        <f>IF(AND($D379="SXC (627)",$F379="Chung"),IF(OR($G379="Cố định",$G379="Biến đổi"),"","THIẾU TÍNH CHẤT"),"")</f>
        <v/>
      </c>
    </row>
    <row r="380" ht="15" customHeight="1" s="54">
      <c r="A380" s="71" t="n"/>
      <c r="B380" s="67" t="n"/>
      <c r="C380" s="67" t="n"/>
      <c r="D380" s="67" t="n"/>
      <c r="E380" s="79">
        <f>IFERROR(INDEX(MAP_TK,MATCH($D380,MAP_KM,0)),"")</f>
        <v/>
      </c>
      <c r="F380" s="67" t="n"/>
      <c r="G380" s="67" t="n"/>
      <c r="H380" s="67" t="n"/>
      <c r="I380" s="67" t="n"/>
      <c r="J380" s="75" t="n"/>
      <c r="K380" s="67" t="n"/>
      <c r="M380" s="53">
        <f>IF($C380="","",IF(OR($C380="CHUNG",COUNTIF(DM_Ma,$C380)&gt;0),"","MÃ LẠ"))</f>
        <v/>
      </c>
      <c r="N380" s="53">
        <f>IF($A380="","",IF(AND($A380&gt;=pTu,$A380&lt;=pDen),"","NGOÀI KỲ"))</f>
        <v/>
      </c>
      <c r="O380" s="53">
        <f>IF($J380="","",IF($J380&lt;=0,"≤0",""))</f>
        <v/>
      </c>
      <c r="P380" s="53">
        <f>IF(AND($D380="SXC (627)",$F380="Chung"),IF(OR($G380="Cố định",$G380="Biến đổi"),"","THIẾU TÍNH CHẤT"),"")</f>
        <v/>
      </c>
    </row>
    <row r="381" ht="15" customHeight="1" s="54">
      <c r="A381" s="71" t="n"/>
      <c r="B381" s="67" t="n"/>
      <c r="C381" s="67" t="n"/>
      <c r="D381" s="67" t="n"/>
      <c r="E381" s="79">
        <f>IFERROR(INDEX(MAP_TK,MATCH($D381,MAP_KM,0)),"")</f>
        <v/>
      </c>
      <c r="F381" s="67" t="n"/>
      <c r="G381" s="67" t="n"/>
      <c r="H381" s="67" t="n"/>
      <c r="I381" s="67" t="n"/>
      <c r="J381" s="75" t="n"/>
      <c r="K381" s="67" t="n"/>
      <c r="M381" s="53">
        <f>IF($C381="","",IF(OR($C381="CHUNG",COUNTIF(DM_Ma,$C381)&gt;0),"","MÃ LẠ"))</f>
        <v/>
      </c>
      <c r="N381" s="53">
        <f>IF($A381="","",IF(AND($A381&gt;=pTu,$A381&lt;=pDen),"","NGOÀI KỲ"))</f>
        <v/>
      </c>
      <c r="O381" s="53">
        <f>IF($J381="","",IF($J381&lt;=0,"≤0",""))</f>
        <v/>
      </c>
      <c r="P381" s="53">
        <f>IF(AND($D381="SXC (627)",$F381="Chung"),IF(OR($G381="Cố định",$G381="Biến đổi"),"","THIẾU TÍNH CHẤT"),"")</f>
        <v/>
      </c>
    </row>
    <row r="382" ht="15" customHeight="1" s="54">
      <c r="A382" s="71" t="n"/>
      <c r="B382" s="67" t="n"/>
      <c r="C382" s="67" t="n"/>
      <c r="D382" s="67" t="n"/>
      <c r="E382" s="79">
        <f>IFERROR(INDEX(MAP_TK,MATCH($D382,MAP_KM,0)),"")</f>
        <v/>
      </c>
      <c r="F382" s="67" t="n"/>
      <c r="G382" s="67" t="n"/>
      <c r="H382" s="67" t="n"/>
      <c r="I382" s="67" t="n"/>
      <c r="J382" s="75" t="n"/>
      <c r="K382" s="67" t="n"/>
      <c r="M382" s="53">
        <f>IF($C382="","",IF(OR($C382="CHUNG",COUNTIF(DM_Ma,$C382)&gt;0),"","MÃ LẠ"))</f>
        <v/>
      </c>
      <c r="N382" s="53">
        <f>IF($A382="","",IF(AND($A382&gt;=pTu,$A382&lt;=pDen),"","NGOÀI KỲ"))</f>
        <v/>
      </c>
      <c r="O382" s="53">
        <f>IF($J382="","",IF($J382&lt;=0,"≤0",""))</f>
        <v/>
      </c>
      <c r="P382" s="53">
        <f>IF(AND($D382="SXC (627)",$F382="Chung"),IF(OR($G382="Cố định",$G382="Biến đổi"),"","THIẾU TÍNH CHẤT"),"")</f>
        <v/>
      </c>
    </row>
    <row r="383" ht="15" customHeight="1" s="54">
      <c r="A383" s="71" t="n"/>
      <c r="B383" s="67" t="n"/>
      <c r="C383" s="67" t="n"/>
      <c r="D383" s="67" t="n"/>
      <c r="E383" s="79">
        <f>IFERROR(INDEX(MAP_TK,MATCH($D383,MAP_KM,0)),"")</f>
        <v/>
      </c>
      <c r="F383" s="67" t="n"/>
      <c r="G383" s="67" t="n"/>
      <c r="H383" s="67" t="n"/>
      <c r="I383" s="67" t="n"/>
      <c r="J383" s="75" t="n"/>
      <c r="K383" s="67" t="n"/>
      <c r="M383" s="53">
        <f>IF($C383="","",IF(OR($C383="CHUNG",COUNTIF(DM_Ma,$C383)&gt;0),"","MÃ LẠ"))</f>
        <v/>
      </c>
      <c r="N383" s="53">
        <f>IF($A383="","",IF(AND($A383&gt;=pTu,$A383&lt;=pDen),"","NGOÀI KỲ"))</f>
        <v/>
      </c>
      <c r="O383" s="53">
        <f>IF($J383="","",IF($J383&lt;=0,"≤0",""))</f>
        <v/>
      </c>
      <c r="P383" s="53">
        <f>IF(AND($D383="SXC (627)",$F383="Chung"),IF(OR($G383="Cố định",$G383="Biến đổi"),"","THIẾU TÍNH CHẤT"),"")</f>
        <v/>
      </c>
    </row>
    <row r="384" ht="15" customHeight="1" s="54">
      <c r="A384" s="71" t="n"/>
      <c r="B384" s="67" t="n"/>
      <c r="C384" s="67" t="n"/>
      <c r="D384" s="67" t="n"/>
      <c r="E384" s="79">
        <f>IFERROR(INDEX(MAP_TK,MATCH($D384,MAP_KM,0)),"")</f>
        <v/>
      </c>
      <c r="F384" s="67" t="n"/>
      <c r="G384" s="67" t="n"/>
      <c r="H384" s="67" t="n"/>
      <c r="I384" s="67" t="n"/>
      <c r="J384" s="75" t="n"/>
      <c r="K384" s="67" t="n"/>
      <c r="M384" s="53">
        <f>IF($C384="","",IF(OR($C384="CHUNG",COUNTIF(DM_Ma,$C384)&gt;0),"","MÃ LẠ"))</f>
        <v/>
      </c>
      <c r="N384" s="53">
        <f>IF($A384="","",IF(AND($A384&gt;=pTu,$A384&lt;=pDen),"","NGOÀI KỲ"))</f>
        <v/>
      </c>
      <c r="O384" s="53">
        <f>IF($J384="","",IF($J384&lt;=0,"≤0",""))</f>
        <v/>
      </c>
      <c r="P384" s="53">
        <f>IF(AND($D384="SXC (627)",$F384="Chung"),IF(OR($G384="Cố định",$G384="Biến đổi"),"","THIẾU TÍNH CHẤT"),"")</f>
        <v/>
      </c>
    </row>
    <row r="385" ht="15" customHeight="1" s="54">
      <c r="A385" s="71" t="n"/>
      <c r="B385" s="67" t="n"/>
      <c r="C385" s="67" t="n"/>
      <c r="D385" s="67" t="n"/>
      <c r="E385" s="79">
        <f>IFERROR(INDEX(MAP_TK,MATCH($D385,MAP_KM,0)),"")</f>
        <v/>
      </c>
      <c r="F385" s="67" t="n"/>
      <c r="G385" s="67" t="n"/>
      <c r="H385" s="67" t="n"/>
      <c r="I385" s="67" t="n"/>
      <c r="J385" s="75" t="n"/>
      <c r="K385" s="67" t="n"/>
      <c r="M385" s="53">
        <f>IF($C385="","",IF(OR($C385="CHUNG",COUNTIF(DM_Ma,$C385)&gt;0),"","MÃ LẠ"))</f>
        <v/>
      </c>
      <c r="N385" s="53">
        <f>IF($A385="","",IF(AND($A385&gt;=pTu,$A385&lt;=pDen),"","NGOÀI KỲ"))</f>
        <v/>
      </c>
      <c r="O385" s="53">
        <f>IF($J385="","",IF($J385&lt;=0,"≤0",""))</f>
        <v/>
      </c>
      <c r="P385" s="53">
        <f>IF(AND($D385="SXC (627)",$F385="Chung"),IF(OR($G385="Cố định",$G385="Biến đổi"),"","THIẾU TÍNH CHẤT"),"")</f>
        <v/>
      </c>
    </row>
    <row r="386" ht="15" customHeight="1" s="54">
      <c r="A386" s="71" t="n"/>
      <c r="B386" s="67" t="n"/>
      <c r="C386" s="67" t="n"/>
      <c r="D386" s="67" t="n"/>
      <c r="E386" s="79">
        <f>IFERROR(INDEX(MAP_TK,MATCH($D386,MAP_KM,0)),"")</f>
        <v/>
      </c>
      <c r="F386" s="67" t="n"/>
      <c r="G386" s="67" t="n"/>
      <c r="H386" s="67" t="n"/>
      <c r="I386" s="67" t="n"/>
      <c r="J386" s="75" t="n"/>
      <c r="K386" s="67" t="n"/>
      <c r="M386" s="53">
        <f>IF($C386="","",IF(OR($C386="CHUNG",COUNTIF(DM_Ma,$C386)&gt;0),"","MÃ LẠ"))</f>
        <v/>
      </c>
      <c r="N386" s="53">
        <f>IF($A386="","",IF(AND($A386&gt;=pTu,$A386&lt;=pDen),"","NGOÀI KỲ"))</f>
        <v/>
      </c>
      <c r="O386" s="53">
        <f>IF($J386="","",IF($J386&lt;=0,"≤0",""))</f>
        <v/>
      </c>
      <c r="P386" s="53">
        <f>IF(AND($D386="SXC (627)",$F386="Chung"),IF(OR($G386="Cố định",$G386="Biến đổi"),"","THIẾU TÍNH CHẤT"),"")</f>
        <v/>
      </c>
    </row>
    <row r="387" ht="15" customHeight="1" s="54">
      <c r="A387" s="71" t="n"/>
      <c r="B387" s="67" t="n"/>
      <c r="C387" s="67" t="n"/>
      <c r="D387" s="67" t="n"/>
      <c r="E387" s="79">
        <f>IFERROR(INDEX(MAP_TK,MATCH($D387,MAP_KM,0)),"")</f>
        <v/>
      </c>
      <c r="F387" s="67" t="n"/>
      <c r="G387" s="67" t="n"/>
      <c r="H387" s="67" t="n"/>
      <c r="I387" s="67" t="n"/>
      <c r="J387" s="75" t="n"/>
      <c r="K387" s="67" t="n"/>
      <c r="M387" s="53">
        <f>IF($C387="","",IF(OR($C387="CHUNG",COUNTIF(DM_Ma,$C387)&gt;0),"","MÃ LẠ"))</f>
        <v/>
      </c>
      <c r="N387" s="53">
        <f>IF($A387="","",IF(AND($A387&gt;=pTu,$A387&lt;=pDen),"","NGOÀI KỲ"))</f>
        <v/>
      </c>
      <c r="O387" s="53">
        <f>IF($J387="","",IF($J387&lt;=0,"≤0",""))</f>
        <v/>
      </c>
      <c r="P387" s="53">
        <f>IF(AND($D387="SXC (627)",$F387="Chung"),IF(OR($G387="Cố định",$G387="Biến đổi"),"","THIẾU TÍNH CHẤT"),"")</f>
        <v/>
      </c>
    </row>
    <row r="388" ht="15" customHeight="1" s="54">
      <c r="A388" s="71" t="n"/>
      <c r="B388" s="67" t="n"/>
      <c r="C388" s="67" t="n"/>
      <c r="D388" s="67" t="n"/>
      <c r="E388" s="79">
        <f>IFERROR(INDEX(MAP_TK,MATCH($D388,MAP_KM,0)),"")</f>
        <v/>
      </c>
      <c r="F388" s="67" t="n"/>
      <c r="G388" s="67" t="n"/>
      <c r="H388" s="67" t="n"/>
      <c r="I388" s="67" t="n"/>
      <c r="J388" s="75" t="n"/>
      <c r="K388" s="67" t="n"/>
      <c r="M388" s="53">
        <f>IF($C388="","",IF(OR($C388="CHUNG",COUNTIF(DM_Ma,$C388)&gt;0),"","MÃ LẠ"))</f>
        <v/>
      </c>
      <c r="N388" s="53">
        <f>IF($A388="","",IF(AND($A388&gt;=pTu,$A388&lt;=pDen),"","NGOÀI KỲ"))</f>
        <v/>
      </c>
      <c r="O388" s="53">
        <f>IF($J388="","",IF($J388&lt;=0,"≤0",""))</f>
        <v/>
      </c>
      <c r="P388" s="53">
        <f>IF(AND($D388="SXC (627)",$F388="Chung"),IF(OR($G388="Cố định",$G388="Biến đổi"),"","THIẾU TÍNH CHẤT"),"")</f>
        <v/>
      </c>
    </row>
    <row r="389" ht="15" customHeight="1" s="54">
      <c r="A389" s="71" t="n"/>
      <c r="B389" s="67" t="n"/>
      <c r="C389" s="67" t="n"/>
      <c r="D389" s="67" t="n"/>
      <c r="E389" s="79">
        <f>IFERROR(INDEX(MAP_TK,MATCH($D389,MAP_KM,0)),"")</f>
        <v/>
      </c>
      <c r="F389" s="67" t="n"/>
      <c r="G389" s="67" t="n"/>
      <c r="H389" s="67" t="n"/>
      <c r="I389" s="67" t="n"/>
      <c r="J389" s="75" t="n"/>
      <c r="K389" s="67" t="n"/>
      <c r="M389" s="53">
        <f>IF($C389="","",IF(OR($C389="CHUNG",COUNTIF(DM_Ma,$C389)&gt;0),"","MÃ LẠ"))</f>
        <v/>
      </c>
      <c r="N389" s="53">
        <f>IF($A389="","",IF(AND($A389&gt;=pTu,$A389&lt;=pDen),"","NGOÀI KỲ"))</f>
        <v/>
      </c>
      <c r="O389" s="53">
        <f>IF($J389="","",IF($J389&lt;=0,"≤0",""))</f>
        <v/>
      </c>
      <c r="P389" s="53">
        <f>IF(AND($D389="SXC (627)",$F389="Chung"),IF(OR($G389="Cố định",$G389="Biến đổi"),"","THIẾU TÍNH CHẤT"),"")</f>
        <v/>
      </c>
    </row>
    <row r="390" ht="15" customHeight="1" s="54">
      <c r="A390" s="71" t="n"/>
      <c r="B390" s="67" t="n"/>
      <c r="C390" s="67" t="n"/>
      <c r="D390" s="67" t="n"/>
      <c r="E390" s="79">
        <f>IFERROR(INDEX(MAP_TK,MATCH($D390,MAP_KM,0)),"")</f>
        <v/>
      </c>
      <c r="F390" s="67" t="n"/>
      <c r="G390" s="67" t="n"/>
      <c r="H390" s="67" t="n"/>
      <c r="I390" s="67" t="n"/>
      <c r="J390" s="75" t="n"/>
      <c r="K390" s="67" t="n"/>
      <c r="M390" s="53">
        <f>IF($C390="","",IF(OR($C390="CHUNG",COUNTIF(DM_Ma,$C390)&gt;0),"","MÃ LẠ"))</f>
        <v/>
      </c>
      <c r="N390" s="53">
        <f>IF($A390="","",IF(AND($A390&gt;=pTu,$A390&lt;=pDen),"","NGOÀI KỲ"))</f>
        <v/>
      </c>
      <c r="O390" s="53">
        <f>IF($J390="","",IF($J390&lt;=0,"≤0",""))</f>
        <v/>
      </c>
      <c r="P390" s="53">
        <f>IF(AND($D390="SXC (627)",$F390="Chung"),IF(OR($G390="Cố định",$G390="Biến đổi"),"","THIẾU TÍNH CHẤT"),"")</f>
        <v/>
      </c>
    </row>
    <row r="391" ht="15" customHeight="1" s="54">
      <c r="A391" s="71" t="n"/>
      <c r="B391" s="67" t="n"/>
      <c r="C391" s="67" t="n"/>
      <c r="D391" s="67" t="n"/>
      <c r="E391" s="79">
        <f>IFERROR(INDEX(MAP_TK,MATCH($D391,MAP_KM,0)),"")</f>
        <v/>
      </c>
      <c r="F391" s="67" t="n"/>
      <c r="G391" s="67" t="n"/>
      <c r="H391" s="67" t="n"/>
      <c r="I391" s="67" t="n"/>
      <c r="J391" s="75" t="n"/>
      <c r="K391" s="67" t="n"/>
      <c r="M391" s="53">
        <f>IF($C391="","",IF(OR($C391="CHUNG",COUNTIF(DM_Ma,$C391)&gt;0),"","MÃ LẠ"))</f>
        <v/>
      </c>
      <c r="N391" s="53">
        <f>IF($A391="","",IF(AND($A391&gt;=pTu,$A391&lt;=pDen),"","NGOÀI KỲ"))</f>
        <v/>
      </c>
      <c r="O391" s="53">
        <f>IF($J391="","",IF($J391&lt;=0,"≤0",""))</f>
        <v/>
      </c>
      <c r="P391" s="53">
        <f>IF(AND($D391="SXC (627)",$F391="Chung"),IF(OR($G391="Cố định",$G391="Biến đổi"),"","THIẾU TÍNH CHẤT"),"")</f>
        <v/>
      </c>
    </row>
    <row r="392" ht="15" customHeight="1" s="54">
      <c r="A392" s="71" t="n"/>
      <c r="B392" s="67" t="n"/>
      <c r="C392" s="67" t="n"/>
      <c r="D392" s="67" t="n"/>
      <c r="E392" s="79">
        <f>IFERROR(INDEX(MAP_TK,MATCH($D392,MAP_KM,0)),"")</f>
        <v/>
      </c>
      <c r="F392" s="67" t="n"/>
      <c r="G392" s="67" t="n"/>
      <c r="H392" s="67" t="n"/>
      <c r="I392" s="67" t="n"/>
      <c r="J392" s="75" t="n"/>
      <c r="K392" s="67" t="n"/>
      <c r="M392" s="53">
        <f>IF($C392="","",IF(OR($C392="CHUNG",COUNTIF(DM_Ma,$C392)&gt;0),"","MÃ LẠ"))</f>
        <v/>
      </c>
      <c r="N392" s="53">
        <f>IF($A392="","",IF(AND($A392&gt;=pTu,$A392&lt;=pDen),"","NGOÀI KỲ"))</f>
        <v/>
      </c>
      <c r="O392" s="53">
        <f>IF($J392="","",IF($J392&lt;=0,"≤0",""))</f>
        <v/>
      </c>
      <c r="P392" s="53">
        <f>IF(AND($D392="SXC (627)",$F392="Chung"),IF(OR($G392="Cố định",$G392="Biến đổi"),"","THIẾU TÍNH CHẤT"),"")</f>
        <v/>
      </c>
    </row>
    <row r="393" ht="15" customHeight="1" s="54">
      <c r="A393" s="71" t="n"/>
      <c r="B393" s="67" t="n"/>
      <c r="C393" s="67" t="n"/>
      <c r="D393" s="67" t="n"/>
      <c r="E393" s="79">
        <f>IFERROR(INDEX(MAP_TK,MATCH($D393,MAP_KM,0)),"")</f>
        <v/>
      </c>
      <c r="F393" s="67" t="n"/>
      <c r="G393" s="67" t="n"/>
      <c r="H393" s="67" t="n"/>
      <c r="I393" s="67" t="n"/>
      <c r="J393" s="75" t="n"/>
      <c r="K393" s="67" t="n"/>
      <c r="M393" s="53">
        <f>IF($C393="","",IF(OR($C393="CHUNG",COUNTIF(DM_Ma,$C393)&gt;0),"","MÃ LẠ"))</f>
        <v/>
      </c>
      <c r="N393" s="53">
        <f>IF($A393="","",IF(AND($A393&gt;=pTu,$A393&lt;=pDen),"","NGOÀI KỲ"))</f>
        <v/>
      </c>
      <c r="O393" s="53">
        <f>IF($J393="","",IF($J393&lt;=0,"≤0",""))</f>
        <v/>
      </c>
      <c r="P393" s="53">
        <f>IF(AND($D393="SXC (627)",$F393="Chung"),IF(OR($G393="Cố định",$G393="Biến đổi"),"","THIẾU TÍNH CHẤT"),"")</f>
        <v/>
      </c>
    </row>
    <row r="394" ht="15" customHeight="1" s="54">
      <c r="A394" s="71" t="n"/>
      <c r="B394" s="67" t="n"/>
      <c r="C394" s="67" t="n"/>
      <c r="D394" s="67" t="n"/>
      <c r="E394" s="79">
        <f>IFERROR(INDEX(MAP_TK,MATCH($D394,MAP_KM,0)),"")</f>
        <v/>
      </c>
      <c r="F394" s="67" t="n"/>
      <c r="G394" s="67" t="n"/>
      <c r="H394" s="67" t="n"/>
      <c r="I394" s="67" t="n"/>
      <c r="J394" s="75" t="n"/>
      <c r="K394" s="67" t="n"/>
      <c r="M394" s="53">
        <f>IF($C394="","",IF(OR($C394="CHUNG",COUNTIF(DM_Ma,$C394)&gt;0),"","MÃ LẠ"))</f>
        <v/>
      </c>
      <c r="N394" s="53">
        <f>IF($A394="","",IF(AND($A394&gt;=pTu,$A394&lt;=pDen),"","NGOÀI KỲ"))</f>
        <v/>
      </c>
      <c r="O394" s="53">
        <f>IF($J394="","",IF($J394&lt;=0,"≤0",""))</f>
        <v/>
      </c>
      <c r="P394" s="53">
        <f>IF(AND($D394="SXC (627)",$F394="Chung"),IF(OR($G394="Cố định",$G394="Biến đổi"),"","THIẾU TÍNH CHẤT"),"")</f>
        <v/>
      </c>
    </row>
    <row r="395" ht="15" customHeight="1" s="54">
      <c r="A395" s="71" t="n"/>
      <c r="B395" s="67" t="n"/>
      <c r="C395" s="67" t="n"/>
      <c r="D395" s="67" t="n"/>
      <c r="E395" s="79">
        <f>IFERROR(INDEX(MAP_TK,MATCH($D395,MAP_KM,0)),"")</f>
        <v/>
      </c>
      <c r="F395" s="67" t="n"/>
      <c r="G395" s="67" t="n"/>
      <c r="H395" s="67" t="n"/>
      <c r="I395" s="67" t="n"/>
      <c r="J395" s="75" t="n"/>
      <c r="K395" s="67" t="n"/>
      <c r="M395" s="53">
        <f>IF($C395="","",IF(OR($C395="CHUNG",COUNTIF(DM_Ma,$C395)&gt;0),"","MÃ LẠ"))</f>
        <v/>
      </c>
      <c r="N395" s="53">
        <f>IF($A395="","",IF(AND($A395&gt;=pTu,$A395&lt;=pDen),"","NGOÀI KỲ"))</f>
        <v/>
      </c>
      <c r="O395" s="53">
        <f>IF($J395="","",IF($J395&lt;=0,"≤0",""))</f>
        <v/>
      </c>
      <c r="P395" s="53">
        <f>IF(AND($D395="SXC (627)",$F395="Chung"),IF(OR($G395="Cố định",$G395="Biến đổi"),"","THIẾU TÍNH CHẤT"),"")</f>
        <v/>
      </c>
    </row>
    <row r="396" ht="15" customHeight="1" s="54">
      <c r="A396" s="71" t="n"/>
      <c r="B396" s="67" t="n"/>
      <c r="C396" s="67" t="n"/>
      <c r="D396" s="67" t="n"/>
      <c r="E396" s="79">
        <f>IFERROR(INDEX(MAP_TK,MATCH($D396,MAP_KM,0)),"")</f>
        <v/>
      </c>
      <c r="F396" s="67" t="n"/>
      <c r="G396" s="67" t="n"/>
      <c r="H396" s="67" t="n"/>
      <c r="I396" s="67" t="n"/>
      <c r="J396" s="75" t="n"/>
      <c r="K396" s="67" t="n"/>
      <c r="M396" s="53">
        <f>IF($C396="","",IF(OR($C396="CHUNG",COUNTIF(DM_Ma,$C396)&gt;0),"","MÃ LẠ"))</f>
        <v/>
      </c>
      <c r="N396" s="53">
        <f>IF($A396="","",IF(AND($A396&gt;=pTu,$A396&lt;=pDen),"","NGOÀI KỲ"))</f>
        <v/>
      </c>
      <c r="O396" s="53">
        <f>IF($J396="","",IF($J396&lt;=0,"≤0",""))</f>
        <v/>
      </c>
      <c r="P396" s="53">
        <f>IF(AND($D396="SXC (627)",$F396="Chung"),IF(OR($G396="Cố định",$G396="Biến đổi"),"","THIẾU TÍNH CHẤT"),"")</f>
        <v/>
      </c>
    </row>
    <row r="397" ht="15" customHeight="1" s="54">
      <c r="A397" s="71" t="n"/>
      <c r="B397" s="67" t="n"/>
      <c r="C397" s="67" t="n"/>
      <c r="D397" s="67" t="n"/>
      <c r="E397" s="79">
        <f>IFERROR(INDEX(MAP_TK,MATCH($D397,MAP_KM,0)),"")</f>
        <v/>
      </c>
      <c r="F397" s="67" t="n"/>
      <c r="G397" s="67" t="n"/>
      <c r="H397" s="67" t="n"/>
      <c r="I397" s="67" t="n"/>
      <c r="J397" s="75" t="n"/>
      <c r="K397" s="67" t="n"/>
      <c r="M397" s="53">
        <f>IF($C397="","",IF(OR($C397="CHUNG",COUNTIF(DM_Ma,$C397)&gt;0),"","MÃ LẠ"))</f>
        <v/>
      </c>
      <c r="N397" s="53">
        <f>IF($A397="","",IF(AND($A397&gt;=pTu,$A397&lt;=pDen),"","NGOÀI KỲ"))</f>
        <v/>
      </c>
      <c r="O397" s="53">
        <f>IF($J397="","",IF($J397&lt;=0,"≤0",""))</f>
        <v/>
      </c>
      <c r="P397" s="53">
        <f>IF(AND($D397="SXC (627)",$F397="Chung"),IF(OR($G397="Cố định",$G397="Biến đổi"),"","THIẾU TÍNH CHẤT"),"")</f>
        <v/>
      </c>
    </row>
    <row r="398" ht="15" customHeight="1" s="54">
      <c r="A398" s="71" t="n"/>
      <c r="B398" s="67" t="n"/>
      <c r="C398" s="67" t="n"/>
      <c r="D398" s="67" t="n"/>
      <c r="E398" s="79">
        <f>IFERROR(INDEX(MAP_TK,MATCH($D398,MAP_KM,0)),"")</f>
        <v/>
      </c>
      <c r="F398" s="67" t="n"/>
      <c r="G398" s="67" t="n"/>
      <c r="H398" s="67" t="n"/>
      <c r="I398" s="67" t="n"/>
      <c r="J398" s="75" t="n"/>
      <c r="K398" s="67" t="n"/>
      <c r="M398" s="53">
        <f>IF($C398="","",IF(OR($C398="CHUNG",COUNTIF(DM_Ma,$C398)&gt;0),"","MÃ LẠ"))</f>
        <v/>
      </c>
      <c r="N398" s="53">
        <f>IF($A398="","",IF(AND($A398&gt;=pTu,$A398&lt;=pDen),"","NGOÀI KỲ"))</f>
        <v/>
      </c>
      <c r="O398" s="53">
        <f>IF($J398="","",IF($J398&lt;=0,"≤0",""))</f>
        <v/>
      </c>
      <c r="P398" s="53">
        <f>IF(AND($D398="SXC (627)",$F398="Chung"),IF(OR($G398="Cố định",$G398="Biến đổi"),"","THIẾU TÍNH CHẤT"),"")</f>
        <v/>
      </c>
    </row>
    <row r="399" ht="15" customHeight="1" s="54">
      <c r="A399" s="71" t="n"/>
      <c r="B399" s="67" t="n"/>
      <c r="C399" s="67" t="n"/>
      <c r="D399" s="67" t="n"/>
      <c r="E399" s="79">
        <f>IFERROR(INDEX(MAP_TK,MATCH($D399,MAP_KM,0)),"")</f>
        <v/>
      </c>
      <c r="F399" s="67" t="n"/>
      <c r="G399" s="67" t="n"/>
      <c r="H399" s="67" t="n"/>
      <c r="I399" s="67" t="n"/>
      <c r="J399" s="75" t="n"/>
      <c r="K399" s="67" t="n"/>
      <c r="M399" s="53">
        <f>IF($C399="","",IF(OR($C399="CHUNG",COUNTIF(DM_Ma,$C399)&gt;0),"","MÃ LẠ"))</f>
        <v/>
      </c>
      <c r="N399" s="53">
        <f>IF($A399="","",IF(AND($A399&gt;=pTu,$A399&lt;=pDen),"","NGOÀI KỲ"))</f>
        <v/>
      </c>
      <c r="O399" s="53">
        <f>IF($J399="","",IF($J399&lt;=0,"≤0",""))</f>
        <v/>
      </c>
      <c r="P399" s="53">
        <f>IF(AND($D399="SXC (627)",$F399="Chung"),IF(OR($G399="Cố định",$G399="Biến đổi"),"","THIẾU TÍNH CHẤT"),"")</f>
        <v/>
      </c>
    </row>
    <row r="400" ht="15" customHeight="1" s="54">
      <c r="A400" s="71" t="n"/>
      <c r="B400" s="67" t="n"/>
      <c r="C400" s="67" t="n"/>
      <c r="D400" s="67" t="n"/>
      <c r="E400" s="79">
        <f>IFERROR(INDEX(MAP_TK,MATCH($D400,MAP_KM,0)),"")</f>
        <v/>
      </c>
      <c r="F400" s="67" t="n"/>
      <c r="G400" s="67" t="n"/>
      <c r="H400" s="67" t="n"/>
      <c r="I400" s="67" t="n"/>
      <c r="J400" s="75" t="n"/>
      <c r="K400" s="67" t="n"/>
      <c r="M400" s="53">
        <f>IF($C400="","",IF(OR($C400="CHUNG",COUNTIF(DM_Ma,$C400)&gt;0),"","MÃ LẠ"))</f>
        <v/>
      </c>
      <c r="N400" s="53">
        <f>IF($A400="","",IF(AND($A400&gt;=pTu,$A400&lt;=pDen),"","NGOÀI KỲ"))</f>
        <v/>
      </c>
      <c r="O400" s="53">
        <f>IF($J400="","",IF($J400&lt;=0,"≤0",""))</f>
        <v/>
      </c>
      <c r="P400" s="53">
        <f>IF(AND($D400="SXC (627)",$F400="Chung"),IF(OR($G400="Cố định",$G400="Biến đổi"),"","THIẾU TÍNH CHẤT"),"")</f>
        <v/>
      </c>
    </row>
    <row r="401" ht="15" customHeight="1" s="54">
      <c r="A401" s="71" t="n"/>
      <c r="B401" s="67" t="n"/>
      <c r="C401" s="67" t="n"/>
      <c r="D401" s="67" t="n"/>
      <c r="E401" s="79">
        <f>IFERROR(INDEX(MAP_TK,MATCH($D401,MAP_KM,0)),"")</f>
        <v/>
      </c>
      <c r="F401" s="67" t="n"/>
      <c r="G401" s="67" t="n"/>
      <c r="H401" s="67" t="n"/>
      <c r="I401" s="67" t="n"/>
      <c r="J401" s="75" t="n"/>
      <c r="K401" s="67" t="n"/>
      <c r="M401" s="53">
        <f>IF($C401="","",IF(OR($C401="CHUNG",COUNTIF(DM_Ma,$C401)&gt;0),"","MÃ LẠ"))</f>
        <v/>
      </c>
      <c r="N401" s="53">
        <f>IF($A401="","",IF(AND($A401&gt;=pTu,$A401&lt;=pDen),"","NGOÀI KỲ"))</f>
        <v/>
      </c>
      <c r="O401" s="53">
        <f>IF($J401="","",IF($J401&lt;=0,"≤0",""))</f>
        <v/>
      </c>
      <c r="P401" s="53">
        <f>IF(AND($D401="SXC (627)",$F401="Chung"),IF(OR($G401="Cố định",$G401="Biến đổi"),"","THIẾU TÍNH CHẤT"),"")</f>
        <v/>
      </c>
    </row>
    <row r="402" ht="15" customHeight="1" s="54">
      <c r="A402" s="71" t="n"/>
      <c r="B402" s="67" t="n"/>
      <c r="C402" s="67" t="n"/>
      <c r="D402" s="67" t="n"/>
      <c r="E402" s="79">
        <f>IFERROR(INDEX(MAP_TK,MATCH($D402,MAP_KM,0)),"")</f>
        <v/>
      </c>
      <c r="F402" s="67" t="n"/>
      <c r="G402" s="67" t="n"/>
      <c r="H402" s="67" t="n"/>
      <c r="I402" s="67" t="n"/>
      <c r="J402" s="75" t="n"/>
      <c r="K402" s="67" t="n"/>
      <c r="M402" s="53">
        <f>IF($C402="","",IF(OR($C402="CHUNG",COUNTIF(DM_Ma,$C402)&gt;0),"","MÃ LẠ"))</f>
        <v/>
      </c>
      <c r="N402" s="53">
        <f>IF($A402="","",IF(AND($A402&gt;=pTu,$A402&lt;=pDen),"","NGOÀI KỲ"))</f>
        <v/>
      </c>
      <c r="O402" s="53">
        <f>IF($J402="","",IF($J402&lt;=0,"≤0",""))</f>
        <v/>
      </c>
      <c r="P402" s="53">
        <f>IF(AND($D402="SXC (627)",$F402="Chung"),IF(OR($G402="Cố định",$G402="Biến đổi"),"","THIẾU TÍNH CHẤT"),"")</f>
        <v/>
      </c>
    </row>
    <row r="403" ht="15" customHeight="1" s="54">
      <c r="A403" s="71" t="n"/>
      <c r="B403" s="67" t="n"/>
      <c r="C403" s="67" t="n"/>
      <c r="D403" s="67" t="n"/>
      <c r="E403" s="79">
        <f>IFERROR(INDEX(MAP_TK,MATCH($D403,MAP_KM,0)),"")</f>
        <v/>
      </c>
      <c r="F403" s="67" t="n"/>
      <c r="G403" s="67" t="n"/>
      <c r="H403" s="67" t="n"/>
      <c r="I403" s="67" t="n"/>
      <c r="J403" s="75" t="n"/>
      <c r="K403" s="67" t="n"/>
      <c r="M403" s="53">
        <f>IF($C403="","",IF(OR($C403="CHUNG",COUNTIF(DM_Ma,$C403)&gt;0),"","MÃ LẠ"))</f>
        <v/>
      </c>
      <c r="N403" s="53">
        <f>IF($A403="","",IF(AND($A403&gt;=pTu,$A403&lt;=pDen),"","NGOÀI KỲ"))</f>
        <v/>
      </c>
      <c r="O403" s="53">
        <f>IF($J403="","",IF($J403&lt;=0,"≤0",""))</f>
        <v/>
      </c>
      <c r="P403" s="53">
        <f>IF(AND($D403="SXC (627)",$F403="Chung"),IF(OR($G403="Cố định",$G403="Biến đổi"),"","THIẾU TÍNH CHẤT"),"")</f>
        <v/>
      </c>
    </row>
    <row r="404" ht="15" customHeight="1" s="54">
      <c r="A404" s="71" t="n"/>
      <c r="B404" s="67" t="n"/>
      <c r="C404" s="67" t="n"/>
      <c r="D404" s="67" t="n"/>
      <c r="E404" s="79">
        <f>IFERROR(INDEX(MAP_TK,MATCH($D404,MAP_KM,0)),"")</f>
        <v/>
      </c>
      <c r="F404" s="67" t="n"/>
      <c r="G404" s="67" t="n"/>
      <c r="H404" s="67" t="n"/>
      <c r="I404" s="67" t="n"/>
      <c r="J404" s="75" t="n"/>
      <c r="K404" s="67" t="n"/>
      <c r="M404" s="53">
        <f>IF($C404="","",IF(OR($C404="CHUNG",COUNTIF(DM_Ma,$C404)&gt;0),"","MÃ LẠ"))</f>
        <v/>
      </c>
      <c r="N404" s="53">
        <f>IF($A404="","",IF(AND($A404&gt;=pTu,$A404&lt;=pDen),"","NGOÀI KỲ"))</f>
        <v/>
      </c>
      <c r="O404" s="53">
        <f>IF($J404="","",IF($J404&lt;=0,"≤0",""))</f>
        <v/>
      </c>
      <c r="P404" s="53">
        <f>IF(AND($D404="SXC (627)",$F404="Chung"),IF(OR($G404="Cố định",$G404="Biến đổi"),"","THIẾU TÍNH CHẤT"),"")</f>
        <v/>
      </c>
    </row>
    <row r="405" ht="15" customHeight="1" s="54">
      <c r="A405" s="71" t="n"/>
      <c r="B405" s="67" t="n"/>
      <c r="C405" s="67" t="n"/>
      <c r="D405" s="67" t="n"/>
      <c r="E405" s="79">
        <f>IFERROR(INDEX(MAP_TK,MATCH($D405,MAP_KM,0)),"")</f>
        <v/>
      </c>
      <c r="F405" s="67" t="n"/>
      <c r="G405" s="67" t="n"/>
      <c r="H405" s="67" t="n"/>
      <c r="I405" s="67" t="n"/>
      <c r="J405" s="75" t="n"/>
      <c r="K405" s="67" t="n"/>
      <c r="M405" s="53">
        <f>IF($C405="","",IF(OR($C405="CHUNG",COUNTIF(DM_Ma,$C405)&gt;0),"","MÃ LẠ"))</f>
        <v/>
      </c>
      <c r="N405" s="53">
        <f>IF($A405="","",IF(AND($A405&gt;=pTu,$A405&lt;=pDen),"","NGOÀI KỲ"))</f>
        <v/>
      </c>
      <c r="O405" s="53">
        <f>IF($J405="","",IF($J405&lt;=0,"≤0",""))</f>
        <v/>
      </c>
      <c r="P405" s="53">
        <f>IF(AND($D405="SXC (627)",$F405="Chung"),IF(OR($G405="Cố định",$G405="Biến đổi"),"","THIẾU TÍNH CHẤT"),"")</f>
        <v/>
      </c>
    </row>
    <row r="406" ht="15" customHeight="1" s="54">
      <c r="A406" s="71" t="n"/>
      <c r="B406" s="67" t="n"/>
      <c r="C406" s="67" t="n"/>
      <c r="D406" s="67" t="n"/>
      <c r="E406" s="79">
        <f>IFERROR(INDEX(MAP_TK,MATCH($D406,MAP_KM,0)),"")</f>
        <v/>
      </c>
      <c r="F406" s="67" t="n"/>
      <c r="G406" s="67" t="n"/>
      <c r="H406" s="67" t="n"/>
      <c r="I406" s="67" t="n"/>
      <c r="J406" s="75" t="n"/>
      <c r="K406" s="67" t="n"/>
      <c r="M406" s="53">
        <f>IF($C406="","",IF(OR($C406="CHUNG",COUNTIF(DM_Ma,$C406)&gt;0),"","MÃ LẠ"))</f>
        <v/>
      </c>
      <c r="N406" s="53">
        <f>IF($A406="","",IF(AND($A406&gt;=pTu,$A406&lt;=pDen),"","NGOÀI KỲ"))</f>
        <v/>
      </c>
      <c r="O406" s="53">
        <f>IF($J406="","",IF($J406&lt;=0,"≤0",""))</f>
        <v/>
      </c>
      <c r="P406" s="53">
        <f>IF(AND($D406="SXC (627)",$F406="Chung"),IF(OR($G406="Cố định",$G406="Biến đổi"),"","THIẾU TÍNH CHẤT"),"")</f>
        <v/>
      </c>
    </row>
    <row r="407" ht="15" customHeight="1" s="54">
      <c r="A407" s="71" t="n"/>
      <c r="B407" s="67" t="n"/>
      <c r="C407" s="67" t="n"/>
      <c r="D407" s="67" t="n"/>
      <c r="E407" s="79">
        <f>IFERROR(INDEX(MAP_TK,MATCH($D407,MAP_KM,0)),"")</f>
        <v/>
      </c>
      <c r="F407" s="67" t="n"/>
      <c r="G407" s="67" t="n"/>
      <c r="H407" s="67" t="n"/>
      <c r="I407" s="67" t="n"/>
      <c r="J407" s="75" t="n"/>
      <c r="K407" s="67" t="n"/>
      <c r="M407" s="53">
        <f>IF($C407="","",IF(OR($C407="CHUNG",COUNTIF(DM_Ma,$C407)&gt;0),"","MÃ LẠ"))</f>
        <v/>
      </c>
      <c r="N407" s="53">
        <f>IF($A407="","",IF(AND($A407&gt;=pTu,$A407&lt;=pDen),"","NGOÀI KỲ"))</f>
        <v/>
      </c>
      <c r="O407" s="53">
        <f>IF($J407="","",IF($J407&lt;=0,"≤0",""))</f>
        <v/>
      </c>
      <c r="P407" s="53">
        <f>IF(AND($D407="SXC (627)",$F407="Chung"),IF(OR($G407="Cố định",$G407="Biến đổi"),"","THIẾU TÍNH CHẤT"),"")</f>
        <v/>
      </c>
    </row>
    <row r="408" ht="15" customHeight="1" s="54">
      <c r="A408" s="71" t="n"/>
      <c r="B408" s="67" t="n"/>
      <c r="C408" s="67" t="n"/>
      <c r="D408" s="67" t="n"/>
      <c r="E408" s="79">
        <f>IFERROR(INDEX(MAP_TK,MATCH($D408,MAP_KM,0)),"")</f>
        <v/>
      </c>
      <c r="F408" s="67" t="n"/>
      <c r="G408" s="67" t="n"/>
      <c r="H408" s="67" t="n"/>
      <c r="I408" s="67" t="n"/>
      <c r="J408" s="75" t="n"/>
      <c r="K408" s="67" t="n"/>
      <c r="M408" s="53">
        <f>IF($C408="","",IF(OR($C408="CHUNG",COUNTIF(DM_Ma,$C408)&gt;0),"","MÃ LẠ"))</f>
        <v/>
      </c>
      <c r="N408" s="53">
        <f>IF($A408="","",IF(AND($A408&gt;=pTu,$A408&lt;=pDen),"","NGOÀI KỲ"))</f>
        <v/>
      </c>
      <c r="O408" s="53">
        <f>IF($J408="","",IF($J408&lt;=0,"≤0",""))</f>
        <v/>
      </c>
      <c r="P408" s="53">
        <f>IF(AND($D408="SXC (627)",$F408="Chung"),IF(OR($G408="Cố định",$G408="Biến đổi"),"","THIẾU TÍNH CHẤT"),"")</f>
        <v/>
      </c>
    </row>
    <row r="409" ht="15" customHeight="1" s="54">
      <c r="A409" s="71" t="n"/>
      <c r="B409" s="67" t="n"/>
      <c r="C409" s="67" t="n"/>
      <c r="D409" s="67" t="n"/>
      <c r="E409" s="79">
        <f>IFERROR(INDEX(MAP_TK,MATCH($D409,MAP_KM,0)),"")</f>
        <v/>
      </c>
      <c r="F409" s="67" t="n"/>
      <c r="G409" s="67" t="n"/>
      <c r="H409" s="67" t="n"/>
      <c r="I409" s="67" t="n"/>
      <c r="J409" s="75" t="n"/>
      <c r="K409" s="67" t="n"/>
      <c r="M409" s="53">
        <f>IF($C409="","",IF(OR($C409="CHUNG",COUNTIF(DM_Ma,$C409)&gt;0),"","MÃ LẠ"))</f>
        <v/>
      </c>
      <c r="N409" s="53">
        <f>IF($A409="","",IF(AND($A409&gt;=pTu,$A409&lt;=pDen),"","NGOÀI KỲ"))</f>
        <v/>
      </c>
      <c r="O409" s="53">
        <f>IF($J409="","",IF($J409&lt;=0,"≤0",""))</f>
        <v/>
      </c>
      <c r="P409" s="53">
        <f>IF(AND($D409="SXC (627)",$F409="Chung"),IF(OR($G409="Cố định",$G409="Biến đổi"),"","THIẾU TÍNH CHẤT"),"")</f>
        <v/>
      </c>
    </row>
    <row r="410" ht="15" customHeight="1" s="54">
      <c r="A410" s="71" t="n"/>
      <c r="B410" s="67" t="n"/>
      <c r="C410" s="67" t="n"/>
      <c r="D410" s="67" t="n"/>
      <c r="E410" s="79">
        <f>IFERROR(INDEX(MAP_TK,MATCH($D410,MAP_KM,0)),"")</f>
        <v/>
      </c>
      <c r="F410" s="67" t="n"/>
      <c r="G410" s="67" t="n"/>
      <c r="H410" s="67" t="n"/>
      <c r="I410" s="67" t="n"/>
      <c r="J410" s="75" t="n"/>
      <c r="K410" s="67" t="n"/>
      <c r="M410" s="53">
        <f>IF($C410="","",IF(OR($C410="CHUNG",COUNTIF(DM_Ma,$C410)&gt;0),"","MÃ LẠ"))</f>
        <v/>
      </c>
      <c r="N410" s="53">
        <f>IF($A410="","",IF(AND($A410&gt;=pTu,$A410&lt;=pDen),"","NGOÀI KỲ"))</f>
        <v/>
      </c>
      <c r="O410" s="53">
        <f>IF($J410="","",IF($J410&lt;=0,"≤0",""))</f>
        <v/>
      </c>
      <c r="P410" s="53">
        <f>IF(AND($D410="SXC (627)",$F410="Chung"),IF(OR($G410="Cố định",$G410="Biến đổi"),"","THIẾU TÍNH CHẤT"),"")</f>
        <v/>
      </c>
    </row>
    <row r="411" ht="15" customHeight="1" s="54">
      <c r="A411" s="71" t="n"/>
      <c r="B411" s="67" t="n"/>
      <c r="C411" s="67" t="n"/>
      <c r="D411" s="67" t="n"/>
      <c r="E411" s="79">
        <f>IFERROR(INDEX(MAP_TK,MATCH($D411,MAP_KM,0)),"")</f>
        <v/>
      </c>
      <c r="F411" s="67" t="n"/>
      <c r="G411" s="67" t="n"/>
      <c r="H411" s="67" t="n"/>
      <c r="I411" s="67" t="n"/>
      <c r="J411" s="75" t="n"/>
      <c r="K411" s="67" t="n"/>
      <c r="M411" s="53">
        <f>IF($C411="","",IF(OR($C411="CHUNG",COUNTIF(DM_Ma,$C411)&gt;0),"","MÃ LẠ"))</f>
        <v/>
      </c>
      <c r="N411" s="53">
        <f>IF($A411="","",IF(AND($A411&gt;=pTu,$A411&lt;=pDen),"","NGOÀI KỲ"))</f>
        <v/>
      </c>
      <c r="O411" s="53">
        <f>IF($J411="","",IF($J411&lt;=0,"≤0",""))</f>
        <v/>
      </c>
      <c r="P411" s="53">
        <f>IF(AND($D411="SXC (627)",$F411="Chung"),IF(OR($G411="Cố định",$G411="Biến đổi"),"","THIẾU TÍNH CHẤT"),"")</f>
        <v/>
      </c>
    </row>
    <row r="412" ht="15" customHeight="1" s="54">
      <c r="A412" s="71" t="n"/>
      <c r="B412" s="67" t="n"/>
      <c r="C412" s="67" t="n"/>
      <c r="D412" s="67" t="n"/>
      <c r="E412" s="79">
        <f>IFERROR(INDEX(MAP_TK,MATCH($D412,MAP_KM,0)),"")</f>
        <v/>
      </c>
      <c r="F412" s="67" t="n"/>
      <c r="G412" s="67" t="n"/>
      <c r="H412" s="67" t="n"/>
      <c r="I412" s="67" t="n"/>
      <c r="J412" s="75" t="n"/>
      <c r="K412" s="67" t="n"/>
      <c r="M412" s="53">
        <f>IF($C412="","",IF(OR($C412="CHUNG",COUNTIF(DM_Ma,$C412)&gt;0),"","MÃ LẠ"))</f>
        <v/>
      </c>
      <c r="N412" s="53">
        <f>IF($A412="","",IF(AND($A412&gt;=pTu,$A412&lt;=pDen),"","NGOÀI KỲ"))</f>
        <v/>
      </c>
      <c r="O412" s="53">
        <f>IF($J412="","",IF($J412&lt;=0,"≤0",""))</f>
        <v/>
      </c>
      <c r="P412" s="53">
        <f>IF(AND($D412="SXC (627)",$F412="Chung"),IF(OR($G412="Cố định",$G412="Biến đổi"),"","THIẾU TÍNH CHẤT"),"")</f>
        <v/>
      </c>
    </row>
    <row r="413" ht="15" customHeight="1" s="54">
      <c r="A413" s="71" t="n"/>
      <c r="B413" s="67" t="n"/>
      <c r="C413" s="67" t="n"/>
      <c r="D413" s="67" t="n"/>
      <c r="E413" s="79">
        <f>IFERROR(INDEX(MAP_TK,MATCH($D413,MAP_KM,0)),"")</f>
        <v/>
      </c>
      <c r="F413" s="67" t="n"/>
      <c r="G413" s="67" t="n"/>
      <c r="H413" s="67" t="n"/>
      <c r="I413" s="67" t="n"/>
      <c r="J413" s="75" t="n"/>
      <c r="K413" s="67" t="n"/>
      <c r="M413" s="53">
        <f>IF($C413="","",IF(OR($C413="CHUNG",COUNTIF(DM_Ma,$C413)&gt;0),"","MÃ LẠ"))</f>
        <v/>
      </c>
      <c r="N413" s="53">
        <f>IF($A413="","",IF(AND($A413&gt;=pTu,$A413&lt;=pDen),"","NGOÀI KỲ"))</f>
        <v/>
      </c>
      <c r="O413" s="53">
        <f>IF($J413="","",IF($J413&lt;=0,"≤0",""))</f>
        <v/>
      </c>
      <c r="P413" s="53">
        <f>IF(AND($D413="SXC (627)",$F413="Chung"),IF(OR($G413="Cố định",$G413="Biến đổi"),"","THIẾU TÍNH CHẤT"),"")</f>
        <v/>
      </c>
    </row>
    <row r="414" ht="15" customHeight="1" s="54">
      <c r="A414" s="71" t="n"/>
      <c r="B414" s="67" t="n"/>
      <c r="C414" s="67" t="n"/>
      <c r="D414" s="67" t="n"/>
      <c r="E414" s="79">
        <f>IFERROR(INDEX(MAP_TK,MATCH($D414,MAP_KM,0)),"")</f>
        <v/>
      </c>
      <c r="F414" s="67" t="n"/>
      <c r="G414" s="67" t="n"/>
      <c r="H414" s="67" t="n"/>
      <c r="I414" s="67" t="n"/>
      <c r="J414" s="75" t="n"/>
      <c r="K414" s="67" t="n"/>
      <c r="M414" s="53">
        <f>IF($C414="","",IF(OR($C414="CHUNG",COUNTIF(DM_Ma,$C414)&gt;0),"","MÃ LẠ"))</f>
        <v/>
      </c>
      <c r="N414" s="53">
        <f>IF($A414="","",IF(AND($A414&gt;=pTu,$A414&lt;=pDen),"","NGOÀI KỲ"))</f>
        <v/>
      </c>
      <c r="O414" s="53">
        <f>IF($J414="","",IF($J414&lt;=0,"≤0",""))</f>
        <v/>
      </c>
      <c r="P414" s="53">
        <f>IF(AND($D414="SXC (627)",$F414="Chung"),IF(OR($G414="Cố định",$G414="Biến đổi"),"","THIẾU TÍNH CHẤT"),"")</f>
        <v/>
      </c>
    </row>
    <row r="415" ht="15" customHeight="1" s="54">
      <c r="A415" s="71" t="n"/>
      <c r="B415" s="67" t="n"/>
      <c r="C415" s="67" t="n"/>
      <c r="D415" s="67" t="n"/>
      <c r="E415" s="79">
        <f>IFERROR(INDEX(MAP_TK,MATCH($D415,MAP_KM,0)),"")</f>
        <v/>
      </c>
      <c r="F415" s="67" t="n"/>
      <c r="G415" s="67" t="n"/>
      <c r="H415" s="67" t="n"/>
      <c r="I415" s="67" t="n"/>
      <c r="J415" s="75" t="n"/>
      <c r="K415" s="67" t="n"/>
      <c r="M415" s="53">
        <f>IF($C415="","",IF(OR($C415="CHUNG",COUNTIF(DM_Ma,$C415)&gt;0),"","MÃ LẠ"))</f>
        <v/>
      </c>
      <c r="N415" s="53">
        <f>IF($A415="","",IF(AND($A415&gt;=pTu,$A415&lt;=pDen),"","NGOÀI KỲ"))</f>
        <v/>
      </c>
      <c r="O415" s="53">
        <f>IF($J415="","",IF($J415&lt;=0,"≤0",""))</f>
        <v/>
      </c>
      <c r="P415" s="53">
        <f>IF(AND($D415="SXC (627)",$F415="Chung"),IF(OR($G415="Cố định",$G415="Biến đổi"),"","THIẾU TÍNH CHẤT"),"")</f>
        <v/>
      </c>
    </row>
    <row r="416" ht="15" customHeight="1" s="54">
      <c r="A416" s="71" t="n"/>
      <c r="B416" s="67" t="n"/>
      <c r="C416" s="67" t="n"/>
      <c r="D416" s="67" t="n"/>
      <c r="E416" s="79">
        <f>IFERROR(INDEX(MAP_TK,MATCH($D416,MAP_KM,0)),"")</f>
        <v/>
      </c>
      <c r="F416" s="67" t="n"/>
      <c r="G416" s="67" t="n"/>
      <c r="H416" s="67" t="n"/>
      <c r="I416" s="67" t="n"/>
      <c r="J416" s="75" t="n"/>
      <c r="K416" s="67" t="n"/>
      <c r="M416" s="53">
        <f>IF($C416="","",IF(OR($C416="CHUNG",COUNTIF(DM_Ma,$C416)&gt;0),"","MÃ LẠ"))</f>
        <v/>
      </c>
      <c r="N416" s="53">
        <f>IF($A416="","",IF(AND($A416&gt;=pTu,$A416&lt;=pDen),"","NGOÀI KỲ"))</f>
        <v/>
      </c>
      <c r="O416" s="53">
        <f>IF($J416="","",IF($J416&lt;=0,"≤0",""))</f>
        <v/>
      </c>
      <c r="P416" s="53">
        <f>IF(AND($D416="SXC (627)",$F416="Chung"),IF(OR($G416="Cố định",$G416="Biến đổi"),"","THIẾU TÍNH CHẤT"),"")</f>
        <v/>
      </c>
    </row>
    <row r="417" ht="15" customHeight="1" s="54">
      <c r="A417" s="71" t="n"/>
      <c r="B417" s="67" t="n"/>
      <c r="C417" s="67" t="n"/>
      <c r="D417" s="67" t="n"/>
      <c r="E417" s="79">
        <f>IFERROR(INDEX(MAP_TK,MATCH($D417,MAP_KM,0)),"")</f>
        <v/>
      </c>
      <c r="F417" s="67" t="n"/>
      <c r="G417" s="67" t="n"/>
      <c r="H417" s="67" t="n"/>
      <c r="I417" s="67" t="n"/>
      <c r="J417" s="75" t="n"/>
      <c r="K417" s="67" t="n"/>
      <c r="M417" s="53">
        <f>IF($C417="","",IF(OR($C417="CHUNG",COUNTIF(DM_Ma,$C417)&gt;0),"","MÃ LẠ"))</f>
        <v/>
      </c>
      <c r="N417" s="53">
        <f>IF($A417="","",IF(AND($A417&gt;=pTu,$A417&lt;=pDen),"","NGOÀI KỲ"))</f>
        <v/>
      </c>
      <c r="O417" s="53">
        <f>IF($J417="","",IF($J417&lt;=0,"≤0",""))</f>
        <v/>
      </c>
      <c r="P417" s="53">
        <f>IF(AND($D417="SXC (627)",$F417="Chung"),IF(OR($G417="Cố định",$G417="Biến đổi"),"","THIẾU TÍNH CHẤT"),"")</f>
        <v/>
      </c>
    </row>
    <row r="418" ht="15" customHeight="1" s="54">
      <c r="A418" s="71" t="n"/>
      <c r="B418" s="67" t="n"/>
      <c r="C418" s="67" t="n"/>
      <c r="D418" s="67" t="n"/>
      <c r="E418" s="79">
        <f>IFERROR(INDEX(MAP_TK,MATCH($D418,MAP_KM,0)),"")</f>
        <v/>
      </c>
      <c r="F418" s="67" t="n"/>
      <c r="G418" s="67" t="n"/>
      <c r="H418" s="67" t="n"/>
      <c r="I418" s="67" t="n"/>
      <c r="J418" s="75" t="n"/>
      <c r="K418" s="67" t="n"/>
      <c r="M418" s="53">
        <f>IF($C418="","",IF(OR($C418="CHUNG",COUNTIF(DM_Ma,$C418)&gt;0),"","MÃ LẠ"))</f>
        <v/>
      </c>
      <c r="N418" s="53">
        <f>IF($A418="","",IF(AND($A418&gt;=pTu,$A418&lt;=pDen),"","NGOÀI KỲ"))</f>
        <v/>
      </c>
      <c r="O418" s="53">
        <f>IF($J418="","",IF($J418&lt;=0,"≤0",""))</f>
        <v/>
      </c>
      <c r="P418" s="53">
        <f>IF(AND($D418="SXC (627)",$F418="Chung"),IF(OR($G418="Cố định",$G418="Biến đổi"),"","THIẾU TÍNH CHẤT"),"")</f>
        <v/>
      </c>
    </row>
    <row r="419" ht="15" customHeight="1" s="54">
      <c r="A419" s="71" t="n"/>
      <c r="B419" s="67" t="n"/>
      <c r="C419" s="67" t="n"/>
      <c r="D419" s="67" t="n"/>
      <c r="E419" s="79">
        <f>IFERROR(INDEX(MAP_TK,MATCH($D419,MAP_KM,0)),"")</f>
        <v/>
      </c>
      <c r="F419" s="67" t="n"/>
      <c r="G419" s="67" t="n"/>
      <c r="H419" s="67" t="n"/>
      <c r="I419" s="67" t="n"/>
      <c r="J419" s="75" t="n"/>
      <c r="K419" s="67" t="n"/>
      <c r="M419" s="53">
        <f>IF($C419="","",IF(OR($C419="CHUNG",COUNTIF(DM_Ma,$C419)&gt;0),"","MÃ LẠ"))</f>
        <v/>
      </c>
      <c r="N419" s="53">
        <f>IF($A419="","",IF(AND($A419&gt;=pTu,$A419&lt;=pDen),"","NGOÀI KỲ"))</f>
        <v/>
      </c>
      <c r="O419" s="53">
        <f>IF($J419="","",IF($J419&lt;=0,"≤0",""))</f>
        <v/>
      </c>
      <c r="P419" s="53">
        <f>IF(AND($D419="SXC (627)",$F419="Chung"),IF(OR($G419="Cố định",$G419="Biến đổi"),"","THIẾU TÍNH CHẤT"),"")</f>
        <v/>
      </c>
    </row>
    <row r="420" ht="15" customHeight="1" s="54">
      <c r="A420" s="71" t="n"/>
      <c r="B420" s="67" t="n"/>
      <c r="C420" s="67" t="n"/>
      <c r="D420" s="67" t="n"/>
      <c r="E420" s="79">
        <f>IFERROR(INDEX(MAP_TK,MATCH($D420,MAP_KM,0)),"")</f>
        <v/>
      </c>
      <c r="F420" s="67" t="n"/>
      <c r="G420" s="67" t="n"/>
      <c r="H420" s="67" t="n"/>
      <c r="I420" s="67" t="n"/>
      <c r="J420" s="75" t="n"/>
      <c r="K420" s="67" t="n"/>
      <c r="M420" s="53">
        <f>IF($C420="","",IF(OR($C420="CHUNG",COUNTIF(DM_Ma,$C420)&gt;0),"","MÃ LẠ"))</f>
        <v/>
      </c>
      <c r="N420" s="53">
        <f>IF($A420="","",IF(AND($A420&gt;=pTu,$A420&lt;=pDen),"","NGOÀI KỲ"))</f>
        <v/>
      </c>
      <c r="O420" s="53">
        <f>IF($J420="","",IF($J420&lt;=0,"≤0",""))</f>
        <v/>
      </c>
      <c r="P420" s="53">
        <f>IF(AND($D420="SXC (627)",$F420="Chung"),IF(OR($G420="Cố định",$G420="Biến đổi"),"","THIẾU TÍNH CHẤT"),"")</f>
        <v/>
      </c>
    </row>
    <row r="421" ht="15" customHeight="1" s="54">
      <c r="A421" s="71" t="n"/>
      <c r="B421" s="67" t="n"/>
      <c r="C421" s="67" t="n"/>
      <c r="D421" s="67" t="n"/>
      <c r="E421" s="79">
        <f>IFERROR(INDEX(MAP_TK,MATCH($D421,MAP_KM,0)),"")</f>
        <v/>
      </c>
      <c r="F421" s="67" t="n"/>
      <c r="G421" s="67" t="n"/>
      <c r="H421" s="67" t="n"/>
      <c r="I421" s="67" t="n"/>
      <c r="J421" s="75" t="n"/>
      <c r="K421" s="67" t="n"/>
      <c r="M421" s="53">
        <f>IF($C421="","",IF(OR($C421="CHUNG",COUNTIF(DM_Ma,$C421)&gt;0),"","MÃ LẠ"))</f>
        <v/>
      </c>
      <c r="N421" s="53">
        <f>IF($A421="","",IF(AND($A421&gt;=pTu,$A421&lt;=pDen),"","NGOÀI KỲ"))</f>
        <v/>
      </c>
      <c r="O421" s="53">
        <f>IF($J421="","",IF($J421&lt;=0,"≤0",""))</f>
        <v/>
      </c>
      <c r="P421" s="53">
        <f>IF(AND($D421="SXC (627)",$F421="Chung"),IF(OR($G421="Cố định",$G421="Biến đổi"),"","THIẾU TÍNH CHẤT"),"")</f>
        <v/>
      </c>
    </row>
    <row r="422" ht="15" customHeight="1" s="54">
      <c r="A422" s="71" t="n"/>
      <c r="B422" s="67" t="n"/>
      <c r="C422" s="67" t="n"/>
      <c r="D422" s="67" t="n"/>
      <c r="E422" s="79">
        <f>IFERROR(INDEX(MAP_TK,MATCH($D422,MAP_KM,0)),"")</f>
        <v/>
      </c>
      <c r="F422" s="67" t="n"/>
      <c r="G422" s="67" t="n"/>
      <c r="H422" s="67" t="n"/>
      <c r="I422" s="67" t="n"/>
      <c r="J422" s="75" t="n"/>
      <c r="K422" s="67" t="n"/>
      <c r="M422" s="53">
        <f>IF($C422="","",IF(OR($C422="CHUNG",COUNTIF(DM_Ma,$C422)&gt;0),"","MÃ LẠ"))</f>
        <v/>
      </c>
      <c r="N422" s="53">
        <f>IF($A422="","",IF(AND($A422&gt;=pTu,$A422&lt;=pDen),"","NGOÀI KỲ"))</f>
        <v/>
      </c>
      <c r="O422" s="53">
        <f>IF($J422="","",IF($J422&lt;=0,"≤0",""))</f>
        <v/>
      </c>
      <c r="P422" s="53">
        <f>IF(AND($D422="SXC (627)",$F422="Chung"),IF(OR($G422="Cố định",$G422="Biến đổi"),"","THIẾU TÍNH CHẤT"),"")</f>
        <v/>
      </c>
    </row>
    <row r="423" ht="15" customHeight="1" s="54">
      <c r="A423" s="71" t="n"/>
      <c r="B423" s="67" t="n"/>
      <c r="C423" s="67" t="n"/>
      <c r="D423" s="67" t="n"/>
      <c r="E423" s="79">
        <f>IFERROR(INDEX(MAP_TK,MATCH($D423,MAP_KM,0)),"")</f>
        <v/>
      </c>
      <c r="F423" s="67" t="n"/>
      <c r="G423" s="67" t="n"/>
      <c r="H423" s="67" t="n"/>
      <c r="I423" s="67" t="n"/>
      <c r="J423" s="75" t="n"/>
      <c r="K423" s="67" t="n"/>
      <c r="M423" s="53">
        <f>IF($C423="","",IF(OR($C423="CHUNG",COUNTIF(DM_Ma,$C423)&gt;0),"","MÃ LẠ"))</f>
        <v/>
      </c>
      <c r="N423" s="53">
        <f>IF($A423="","",IF(AND($A423&gt;=pTu,$A423&lt;=pDen),"","NGOÀI KỲ"))</f>
        <v/>
      </c>
      <c r="O423" s="53">
        <f>IF($J423="","",IF($J423&lt;=0,"≤0",""))</f>
        <v/>
      </c>
      <c r="P423" s="53">
        <f>IF(AND($D423="SXC (627)",$F423="Chung"),IF(OR($G423="Cố định",$G423="Biến đổi"),"","THIẾU TÍNH CHẤT"),"")</f>
        <v/>
      </c>
    </row>
    <row r="424" ht="15" customHeight="1" s="54">
      <c r="A424" s="71" t="n"/>
      <c r="B424" s="67" t="n"/>
      <c r="C424" s="67" t="n"/>
      <c r="D424" s="67" t="n"/>
      <c r="E424" s="79">
        <f>IFERROR(INDEX(MAP_TK,MATCH($D424,MAP_KM,0)),"")</f>
        <v/>
      </c>
      <c r="F424" s="67" t="n"/>
      <c r="G424" s="67" t="n"/>
      <c r="H424" s="67" t="n"/>
      <c r="I424" s="67" t="n"/>
      <c r="J424" s="75" t="n"/>
      <c r="K424" s="67" t="n"/>
      <c r="M424" s="53">
        <f>IF($C424="","",IF(OR($C424="CHUNG",COUNTIF(DM_Ma,$C424)&gt;0),"","MÃ LẠ"))</f>
        <v/>
      </c>
      <c r="N424" s="53">
        <f>IF($A424="","",IF(AND($A424&gt;=pTu,$A424&lt;=pDen),"","NGOÀI KỲ"))</f>
        <v/>
      </c>
      <c r="O424" s="53">
        <f>IF($J424="","",IF($J424&lt;=0,"≤0",""))</f>
        <v/>
      </c>
      <c r="P424" s="53">
        <f>IF(AND($D424="SXC (627)",$F424="Chung"),IF(OR($G424="Cố định",$G424="Biến đổi"),"","THIẾU TÍNH CHẤT"),"")</f>
        <v/>
      </c>
    </row>
    <row r="425" ht="15" customHeight="1" s="54">
      <c r="A425" s="71" t="n"/>
      <c r="B425" s="67" t="n"/>
      <c r="C425" s="67" t="n"/>
      <c r="D425" s="67" t="n"/>
      <c r="E425" s="79">
        <f>IFERROR(INDEX(MAP_TK,MATCH($D425,MAP_KM,0)),"")</f>
        <v/>
      </c>
      <c r="F425" s="67" t="n"/>
      <c r="G425" s="67" t="n"/>
      <c r="H425" s="67" t="n"/>
      <c r="I425" s="67" t="n"/>
      <c r="J425" s="75" t="n"/>
      <c r="K425" s="67" t="n"/>
      <c r="M425" s="53">
        <f>IF($C425="","",IF(OR($C425="CHUNG",COUNTIF(DM_Ma,$C425)&gt;0),"","MÃ LẠ"))</f>
        <v/>
      </c>
      <c r="N425" s="53">
        <f>IF($A425="","",IF(AND($A425&gt;=pTu,$A425&lt;=pDen),"","NGOÀI KỲ"))</f>
        <v/>
      </c>
      <c r="O425" s="53">
        <f>IF($J425="","",IF($J425&lt;=0,"≤0",""))</f>
        <v/>
      </c>
      <c r="P425" s="53">
        <f>IF(AND($D425="SXC (627)",$F425="Chung"),IF(OR($G425="Cố định",$G425="Biến đổi"),"","THIẾU TÍNH CHẤT"),"")</f>
        <v/>
      </c>
    </row>
    <row r="426" ht="15" customHeight="1" s="54">
      <c r="A426" s="71" t="n"/>
      <c r="B426" s="67" t="n"/>
      <c r="C426" s="67" t="n"/>
      <c r="D426" s="67" t="n"/>
      <c r="E426" s="79">
        <f>IFERROR(INDEX(MAP_TK,MATCH($D426,MAP_KM,0)),"")</f>
        <v/>
      </c>
      <c r="F426" s="67" t="n"/>
      <c r="G426" s="67" t="n"/>
      <c r="H426" s="67" t="n"/>
      <c r="I426" s="67" t="n"/>
      <c r="J426" s="75" t="n"/>
      <c r="K426" s="67" t="n"/>
      <c r="M426" s="53">
        <f>IF($C426="","",IF(OR($C426="CHUNG",COUNTIF(DM_Ma,$C426)&gt;0),"","MÃ LẠ"))</f>
        <v/>
      </c>
      <c r="N426" s="53">
        <f>IF($A426="","",IF(AND($A426&gt;=pTu,$A426&lt;=pDen),"","NGOÀI KỲ"))</f>
        <v/>
      </c>
      <c r="O426" s="53">
        <f>IF($J426="","",IF($J426&lt;=0,"≤0",""))</f>
        <v/>
      </c>
      <c r="P426" s="53">
        <f>IF(AND($D426="SXC (627)",$F426="Chung"),IF(OR($G426="Cố định",$G426="Biến đổi"),"","THIẾU TÍNH CHẤT"),"")</f>
        <v/>
      </c>
    </row>
    <row r="427" ht="15" customHeight="1" s="54">
      <c r="A427" s="71" t="n"/>
      <c r="B427" s="67" t="n"/>
      <c r="C427" s="67" t="n"/>
      <c r="D427" s="67" t="n"/>
      <c r="E427" s="79">
        <f>IFERROR(INDEX(MAP_TK,MATCH($D427,MAP_KM,0)),"")</f>
        <v/>
      </c>
      <c r="F427" s="67" t="n"/>
      <c r="G427" s="67" t="n"/>
      <c r="H427" s="67" t="n"/>
      <c r="I427" s="67" t="n"/>
      <c r="J427" s="75" t="n"/>
      <c r="K427" s="67" t="n"/>
      <c r="M427" s="53">
        <f>IF($C427="","",IF(OR($C427="CHUNG",COUNTIF(DM_Ma,$C427)&gt;0),"","MÃ LẠ"))</f>
        <v/>
      </c>
      <c r="N427" s="53">
        <f>IF($A427="","",IF(AND($A427&gt;=pTu,$A427&lt;=pDen),"","NGOÀI KỲ"))</f>
        <v/>
      </c>
      <c r="O427" s="53">
        <f>IF($J427="","",IF($J427&lt;=0,"≤0",""))</f>
        <v/>
      </c>
      <c r="P427" s="53">
        <f>IF(AND($D427="SXC (627)",$F427="Chung"),IF(OR($G427="Cố định",$G427="Biến đổi"),"","THIẾU TÍNH CHẤT"),"")</f>
        <v/>
      </c>
    </row>
    <row r="428" ht="15" customHeight="1" s="54">
      <c r="A428" s="71" t="n"/>
      <c r="B428" s="67" t="n"/>
      <c r="C428" s="67" t="n"/>
      <c r="D428" s="67" t="n"/>
      <c r="E428" s="79">
        <f>IFERROR(INDEX(MAP_TK,MATCH($D428,MAP_KM,0)),"")</f>
        <v/>
      </c>
      <c r="F428" s="67" t="n"/>
      <c r="G428" s="67" t="n"/>
      <c r="H428" s="67" t="n"/>
      <c r="I428" s="67" t="n"/>
      <c r="J428" s="75" t="n"/>
      <c r="K428" s="67" t="n"/>
      <c r="M428" s="53">
        <f>IF($C428="","",IF(OR($C428="CHUNG",COUNTIF(DM_Ma,$C428)&gt;0),"","MÃ LẠ"))</f>
        <v/>
      </c>
      <c r="N428" s="53">
        <f>IF($A428="","",IF(AND($A428&gt;=pTu,$A428&lt;=pDen),"","NGOÀI KỲ"))</f>
        <v/>
      </c>
      <c r="O428" s="53">
        <f>IF($J428="","",IF($J428&lt;=0,"≤0",""))</f>
        <v/>
      </c>
      <c r="P428" s="53">
        <f>IF(AND($D428="SXC (627)",$F428="Chung"),IF(OR($G428="Cố định",$G428="Biến đổi"),"","THIẾU TÍNH CHẤT"),"")</f>
        <v/>
      </c>
    </row>
    <row r="429" ht="15" customHeight="1" s="54">
      <c r="A429" s="71" t="n"/>
      <c r="B429" s="67" t="n"/>
      <c r="C429" s="67" t="n"/>
      <c r="D429" s="67" t="n"/>
      <c r="E429" s="79">
        <f>IFERROR(INDEX(MAP_TK,MATCH($D429,MAP_KM,0)),"")</f>
        <v/>
      </c>
      <c r="F429" s="67" t="n"/>
      <c r="G429" s="67" t="n"/>
      <c r="H429" s="67" t="n"/>
      <c r="I429" s="67" t="n"/>
      <c r="J429" s="75" t="n"/>
      <c r="K429" s="67" t="n"/>
      <c r="M429" s="53">
        <f>IF($C429="","",IF(OR($C429="CHUNG",COUNTIF(DM_Ma,$C429)&gt;0),"","MÃ LẠ"))</f>
        <v/>
      </c>
      <c r="N429" s="53">
        <f>IF($A429="","",IF(AND($A429&gt;=pTu,$A429&lt;=pDen),"","NGOÀI KỲ"))</f>
        <v/>
      </c>
      <c r="O429" s="53">
        <f>IF($J429="","",IF($J429&lt;=0,"≤0",""))</f>
        <v/>
      </c>
      <c r="P429" s="53">
        <f>IF(AND($D429="SXC (627)",$F429="Chung"),IF(OR($G429="Cố định",$G429="Biến đổi"),"","THIẾU TÍNH CHẤT"),"")</f>
        <v/>
      </c>
    </row>
    <row r="430" ht="15" customHeight="1" s="54">
      <c r="A430" s="71" t="n"/>
      <c r="B430" s="67" t="n"/>
      <c r="C430" s="67" t="n"/>
      <c r="D430" s="67" t="n"/>
      <c r="E430" s="79">
        <f>IFERROR(INDEX(MAP_TK,MATCH($D430,MAP_KM,0)),"")</f>
        <v/>
      </c>
      <c r="F430" s="67" t="n"/>
      <c r="G430" s="67" t="n"/>
      <c r="H430" s="67" t="n"/>
      <c r="I430" s="67" t="n"/>
      <c r="J430" s="75" t="n"/>
      <c r="K430" s="67" t="n"/>
      <c r="M430" s="53">
        <f>IF($C430="","",IF(OR($C430="CHUNG",COUNTIF(DM_Ma,$C430)&gt;0),"","MÃ LẠ"))</f>
        <v/>
      </c>
      <c r="N430" s="53">
        <f>IF($A430="","",IF(AND($A430&gt;=pTu,$A430&lt;=pDen),"","NGOÀI KỲ"))</f>
        <v/>
      </c>
      <c r="O430" s="53">
        <f>IF($J430="","",IF($J430&lt;=0,"≤0",""))</f>
        <v/>
      </c>
      <c r="P430" s="53">
        <f>IF(AND($D430="SXC (627)",$F430="Chung"),IF(OR($G430="Cố định",$G430="Biến đổi"),"","THIẾU TÍNH CHẤT"),"")</f>
        <v/>
      </c>
    </row>
    <row r="431" ht="15" customHeight="1" s="54">
      <c r="A431" s="71" t="n"/>
      <c r="B431" s="67" t="n"/>
      <c r="C431" s="67" t="n"/>
      <c r="D431" s="67" t="n"/>
      <c r="E431" s="79">
        <f>IFERROR(INDEX(MAP_TK,MATCH($D431,MAP_KM,0)),"")</f>
        <v/>
      </c>
      <c r="F431" s="67" t="n"/>
      <c r="G431" s="67" t="n"/>
      <c r="H431" s="67" t="n"/>
      <c r="I431" s="67" t="n"/>
      <c r="J431" s="75" t="n"/>
      <c r="K431" s="67" t="n"/>
      <c r="M431" s="53">
        <f>IF($C431="","",IF(OR($C431="CHUNG",COUNTIF(DM_Ma,$C431)&gt;0),"","MÃ LẠ"))</f>
        <v/>
      </c>
      <c r="N431" s="53">
        <f>IF($A431="","",IF(AND($A431&gt;=pTu,$A431&lt;=pDen),"","NGOÀI KỲ"))</f>
        <v/>
      </c>
      <c r="O431" s="53">
        <f>IF($J431="","",IF($J431&lt;=0,"≤0",""))</f>
        <v/>
      </c>
      <c r="P431" s="53">
        <f>IF(AND($D431="SXC (627)",$F431="Chung"),IF(OR($G431="Cố định",$G431="Biến đổi"),"","THIẾU TÍNH CHẤT"),"")</f>
        <v/>
      </c>
    </row>
    <row r="432" ht="15" customHeight="1" s="54">
      <c r="A432" s="71" t="n"/>
      <c r="B432" s="67" t="n"/>
      <c r="C432" s="67" t="n"/>
      <c r="D432" s="67" t="n"/>
      <c r="E432" s="79">
        <f>IFERROR(INDEX(MAP_TK,MATCH($D432,MAP_KM,0)),"")</f>
        <v/>
      </c>
      <c r="F432" s="67" t="n"/>
      <c r="G432" s="67" t="n"/>
      <c r="H432" s="67" t="n"/>
      <c r="I432" s="67" t="n"/>
      <c r="J432" s="75" t="n"/>
      <c r="K432" s="67" t="n"/>
      <c r="M432" s="53">
        <f>IF($C432="","",IF(OR($C432="CHUNG",COUNTIF(DM_Ma,$C432)&gt;0),"","MÃ LẠ"))</f>
        <v/>
      </c>
      <c r="N432" s="53">
        <f>IF($A432="","",IF(AND($A432&gt;=pTu,$A432&lt;=pDen),"","NGOÀI KỲ"))</f>
        <v/>
      </c>
      <c r="O432" s="53">
        <f>IF($J432="","",IF($J432&lt;=0,"≤0",""))</f>
        <v/>
      </c>
      <c r="P432" s="53">
        <f>IF(AND($D432="SXC (627)",$F432="Chung"),IF(OR($G432="Cố định",$G432="Biến đổi"),"","THIẾU TÍNH CHẤT"),"")</f>
        <v/>
      </c>
    </row>
    <row r="433" ht="15" customHeight="1" s="54">
      <c r="A433" s="71" t="n"/>
      <c r="B433" s="67" t="n"/>
      <c r="C433" s="67" t="n"/>
      <c r="D433" s="67" t="n"/>
      <c r="E433" s="79">
        <f>IFERROR(INDEX(MAP_TK,MATCH($D433,MAP_KM,0)),"")</f>
        <v/>
      </c>
      <c r="F433" s="67" t="n"/>
      <c r="G433" s="67" t="n"/>
      <c r="H433" s="67" t="n"/>
      <c r="I433" s="67" t="n"/>
      <c r="J433" s="75" t="n"/>
      <c r="K433" s="67" t="n"/>
      <c r="M433" s="53">
        <f>IF($C433="","",IF(OR($C433="CHUNG",COUNTIF(DM_Ma,$C433)&gt;0),"","MÃ LẠ"))</f>
        <v/>
      </c>
      <c r="N433" s="53">
        <f>IF($A433="","",IF(AND($A433&gt;=pTu,$A433&lt;=pDen),"","NGOÀI KỲ"))</f>
        <v/>
      </c>
      <c r="O433" s="53">
        <f>IF($J433="","",IF($J433&lt;=0,"≤0",""))</f>
        <v/>
      </c>
      <c r="P433" s="53">
        <f>IF(AND($D433="SXC (627)",$F433="Chung"),IF(OR($G433="Cố định",$G433="Biến đổi"),"","THIẾU TÍNH CHẤT"),"")</f>
        <v/>
      </c>
    </row>
    <row r="434" ht="15" customHeight="1" s="54">
      <c r="A434" s="71" t="n"/>
      <c r="B434" s="67" t="n"/>
      <c r="C434" s="67" t="n"/>
      <c r="D434" s="67" t="n"/>
      <c r="E434" s="79">
        <f>IFERROR(INDEX(MAP_TK,MATCH($D434,MAP_KM,0)),"")</f>
        <v/>
      </c>
      <c r="F434" s="67" t="n"/>
      <c r="G434" s="67" t="n"/>
      <c r="H434" s="67" t="n"/>
      <c r="I434" s="67" t="n"/>
      <c r="J434" s="75" t="n"/>
      <c r="K434" s="67" t="n"/>
      <c r="M434" s="53">
        <f>IF($C434="","",IF(OR($C434="CHUNG",COUNTIF(DM_Ma,$C434)&gt;0),"","MÃ LẠ"))</f>
        <v/>
      </c>
      <c r="N434" s="53">
        <f>IF($A434="","",IF(AND($A434&gt;=pTu,$A434&lt;=pDen),"","NGOÀI KỲ"))</f>
        <v/>
      </c>
      <c r="O434" s="53">
        <f>IF($J434="","",IF($J434&lt;=0,"≤0",""))</f>
        <v/>
      </c>
      <c r="P434" s="53">
        <f>IF(AND($D434="SXC (627)",$F434="Chung"),IF(OR($G434="Cố định",$G434="Biến đổi"),"","THIẾU TÍNH CHẤT"),"")</f>
        <v/>
      </c>
    </row>
    <row r="435" ht="15" customHeight="1" s="54">
      <c r="A435" s="71" t="n"/>
      <c r="B435" s="67" t="n"/>
      <c r="C435" s="67" t="n"/>
      <c r="D435" s="67" t="n"/>
      <c r="E435" s="79">
        <f>IFERROR(INDEX(MAP_TK,MATCH($D435,MAP_KM,0)),"")</f>
        <v/>
      </c>
      <c r="F435" s="67" t="n"/>
      <c r="G435" s="67" t="n"/>
      <c r="H435" s="67" t="n"/>
      <c r="I435" s="67" t="n"/>
      <c r="J435" s="75" t="n"/>
      <c r="K435" s="67" t="n"/>
      <c r="M435" s="53">
        <f>IF($C435="","",IF(OR($C435="CHUNG",COUNTIF(DM_Ma,$C435)&gt;0),"","MÃ LẠ"))</f>
        <v/>
      </c>
      <c r="N435" s="53">
        <f>IF($A435="","",IF(AND($A435&gt;=pTu,$A435&lt;=pDen),"","NGOÀI KỲ"))</f>
        <v/>
      </c>
      <c r="O435" s="53">
        <f>IF($J435="","",IF($J435&lt;=0,"≤0",""))</f>
        <v/>
      </c>
      <c r="P435" s="53">
        <f>IF(AND($D435="SXC (627)",$F435="Chung"),IF(OR($G435="Cố định",$G435="Biến đổi"),"","THIẾU TÍNH CHẤT"),"")</f>
        <v/>
      </c>
    </row>
    <row r="436" ht="15" customHeight="1" s="54">
      <c r="A436" s="71" t="n"/>
      <c r="B436" s="67" t="n"/>
      <c r="C436" s="67" t="n"/>
      <c r="D436" s="67" t="n"/>
      <c r="E436" s="79">
        <f>IFERROR(INDEX(MAP_TK,MATCH($D436,MAP_KM,0)),"")</f>
        <v/>
      </c>
      <c r="F436" s="67" t="n"/>
      <c r="G436" s="67" t="n"/>
      <c r="H436" s="67" t="n"/>
      <c r="I436" s="67" t="n"/>
      <c r="J436" s="75" t="n"/>
      <c r="K436" s="67" t="n"/>
      <c r="M436" s="53">
        <f>IF($C436="","",IF(OR($C436="CHUNG",COUNTIF(DM_Ma,$C436)&gt;0),"","MÃ LẠ"))</f>
        <v/>
      </c>
      <c r="N436" s="53">
        <f>IF($A436="","",IF(AND($A436&gt;=pTu,$A436&lt;=pDen),"","NGOÀI KỲ"))</f>
        <v/>
      </c>
      <c r="O436" s="53">
        <f>IF($J436="","",IF($J436&lt;=0,"≤0",""))</f>
        <v/>
      </c>
      <c r="P436" s="53">
        <f>IF(AND($D436="SXC (627)",$F436="Chung"),IF(OR($G436="Cố định",$G436="Biến đổi"),"","THIẾU TÍNH CHẤT"),"")</f>
        <v/>
      </c>
    </row>
    <row r="437" ht="15" customHeight="1" s="54">
      <c r="A437" s="71" t="n"/>
      <c r="B437" s="67" t="n"/>
      <c r="C437" s="67" t="n"/>
      <c r="D437" s="67" t="n"/>
      <c r="E437" s="79">
        <f>IFERROR(INDEX(MAP_TK,MATCH($D437,MAP_KM,0)),"")</f>
        <v/>
      </c>
      <c r="F437" s="67" t="n"/>
      <c r="G437" s="67" t="n"/>
      <c r="H437" s="67" t="n"/>
      <c r="I437" s="67" t="n"/>
      <c r="J437" s="75" t="n"/>
      <c r="K437" s="67" t="n"/>
      <c r="M437" s="53">
        <f>IF($C437="","",IF(OR($C437="CHUNG",COUNTIF(DM_Ma,$C437)&gt;0),"","MÃ LẠ"))</f>
        <v/>
      </c>
      <c r="N437" s="53">
        <f>IF($A437="","",IF(AND($A437&gt;=pTu,$A437&lt;=pDen),"","NGOÀI KỲ"))</f>
        <v/>
      </c>
      <c r="O437" s="53">
        <f>IF($J437="","",IF($J437&lt;=0,"≤0",""))</f>
        <v/>
      </c>
      <c r="P437" s="53">
        <f>IF(AND($D437="SXC (627)",$F437="Chung"),IF(OR($G437="Cố định",$G437="Biến đổi"),"","THIẾU TÍNH CHẤT"),"")</f>
        <v/>
      </c>
    </row>
    <row r="438" ht="15" customHeight="1" s="54">
      <c r="A438" s="71" t="n"/>
      <c r="B438" s="67" t="n"/>
      <c r="C438" s="67" t="n"/>
      <c r="D438" s="67" t="n"/>
      <c r="E438" s="79">
        <f>IFERROR(INDEX(MAP_TK,MATCH($D438,MAP_KM,0)),"")</f>
        <v/>
      </c>
      <c r="F438" s="67" t="n"/>
      <c r="G438" s="67" t="n"/>
      <c r="H438" s="67" t="n"/>
      <c r="I438" s="67" t="n"/>
      <c r="J438" s="75" t="n"/>
      <c r="K438" s="67" t="n"/>
      <c r="M438" s="53">
        <f>IF($C438="","",IF(OR($C438="CHUNG",COUNTIF(DM_Ma,$C438)&gt;0),"","MÃ LẠ"))</f>
        <v/>
      </c>
      <c r="N438" s="53">
        <f>IF($A438="","",IF(AND($A438&gt;=pTu,$A438&lt;=pDen),"","NGOÀI KỲ"))</f>
        <v/>
      </c>
      <c r="O438" s="53">
        <f>IF($J438="","",IF($J438&lt;=0,"≤0",""))</f>
        <v/>
      </c>
      <c r="P438" s="53">
        <f>IF(AND($D438="SXC (627)",$F438="Chung"),IF(OR($G438="Cố định",$G438="Biến đổi"),"","THIẾU TÍNH CHẤT"),"")</f>
        <v/>
      </c>
    </row>
    <row r="439" ht="15" customHeight="1" s="54">
      <c r="A439" s="71" t="n"/>
      <c r="B439" s="67" t="n"/>
      <c r="C439" s="67" t="n"/>
      <c r="D439" s="67" t="n"/>
      <c r="E439" s="79">
        <f>IFERROR(INDEX(MAP_TK,MATCH($D439,MAP_KM,0)),"")</f>
        <v/>
      </c>
      <c r="F439" s="67" t="n"/>
      <c r="G439" s="67" t="n"/>
      <c r="H439" s="67" t="n"/>
      <c r="I439" s="67" t="n"/>
      <c r="J439" s="75" t="n"/>
      <c r="K439" s="67" t="n"/>
      <c r="M439" s="53">
        <f>IF($C439="","",IF(OR($C439="CHUNG",COUNTIF(DM_Ma,$C439)&gt;0),"","MÃ LẠ"))</f>
        <v/>
      </c>
      <c r="N439" s="53">
        <f>IF($A439="","",IF(AND($A439&gt;=pTu,$A439&lt;=pDen),"","NGOÀI KỲ"))</f>
        <v/>
      </c>
      <c r="O439" s="53">
        <f>IF($J439="","",IF($J439&lt;=0,"≤0",""))</f>
        <v/>
      </c>
      <c r="P439" s="53">
        <f>IF(AND($D439="SXC (627)",$F439="Chung"),IF(OR($G439="Cố định",$G439="Biến đổi"),"","THIẾU TÍNH CHẤT"),"")</f>
        <v/>
      </c>
    </row>
    <row r="440" ht="15" customHeight="1" s="54">
      <c r="A440" s="71" t="n"/>
      <c r="B440" s="67" t="n"/>
      <c r="C440" s="67" t="n"/>
      <c r="D440" s="67" t="n"/>
      <c r="E440" s="79">
        <f>IFERROR(INDEX(MAP_TK,MATCH($D440,MAP_KM,0)),"")</f>
        <v/>
      </c>
      <c r="F440" s="67" t="n"/>
      <c r="G440" s="67" t="n"/>
      <c r="H440" s="67" t="n"/>
      <c r="I440" s="67" t="n"/>
      <c r="J440" s="75" t="n"/>
      <c r="K440" s="67" t="n"/>
      <c r="M440" s="53">
        <f>IF($C440="","",IF(OR($C440="CHUNG",COUNTIF(DM_Ma,$C440)&gt;0),"","MÃ LẠ"))</f>
        <v/>
      </c>
      <c r="N440" s="53">
        <f>IF($A440="","",IF(AND($A440&gt;=pTu,$A440&lt;=pDen),"","NGOÀI KỲ"))</f>
        <v/>
      </c>
      <c r="O440" s="53">
        <f>IF($J440="","",IF($J440&lt;=0,"≤0",""))</f>
        <v/>
      </c>
      <c r="P440" s="53">
        <f>IF(AND($D440="SXC (627)",$F440="Chung"),IF(OR($G440="Cố định",$G440="Biến đổi"),"","THIẾU TÍNH CHẤT"),"")</f>
        <v/>
      </c>
    </row>
    <row r="441" ht="15" customHeight="1" s="54">
      <c r="A441" s="71" t="n"/>
      <c r="B441" s="67" t="n"/>
      <c r="C441" s="67" t="n"/>
      <c r="D441" s="67" t="n"/>
      <c r="E441" s="79">
        <f>IFERROR(INDEX(MAP_TK,MATCH($D441,MAP_KM,0)),"")</f>
        <v/>
      </c>
      <c r="F441" s="67" t="n"/>
      <c r="G441" s="67" t="n"/>
      <c r="H441" s="67" t="n"/>
      <c r="I441" s="67" t="n"/>
      <c r="J441" s="75" t="n"/>
      <c r="K441" s="67" t="n"/>
      <c r="M441" s="53">
        <f>IF($C441="","",IF(OR($C441="CHUNG",COUNTIF(DM_Ma,$C441)&gt;0),"","MÃ LẠ"))</f>
        <v/>
      </c>
      <c r="N441" s="53">
        <f>IF($A441="","",IF(AND($A441&gt;=pTu,$A441&lt;=pDen),"","NGOÀI KỲ"))</f>
        <v/>
      </c>
      <c r="O441" s="53">
        <f>IF($J441="","",IF($J441&lt;=0,"≤0",""))</f>
        <v/>
      </c>
      <c r="P441" s="53">
        <f>IF(AND($D441="SXC (627)",$F441="Chung"),IF(OR($G441="Cố định",$G441="Biến đổi"),"","THIẾU TÍNH CHẤT"),"")</f>
        <v/>
      </c>
    </row>
    <row r="442" ht="15" customHeight="1" s="54">
      <c r="A442" s="71" t="n"/>
      <c r="B442" s="67" t="n"/>
      <c r="C442" s="67" t="n"/>
      <c r="D442" s="67" t="n"/>
      <c r="E442" s="79">
        <f>IFERROR(INDEX(MAP_TK,MATCH($D442,MAP_KM,0)),"")</f>
        <v/>
      </c>
      <c r="F442" s="67" t="n"/>
      <c r="G442" s="67" t="n"/>
      <c r="H442" s="67" t="n"/>
      <c r="I442" s="67" t="n"/>
      <c r="J442" s="75" t="n"/>
      <c r="K442" s="67" t="n"/>
      <c r="M442" s="53">
        <f>IF($C442="","",IF(OR($C442="CHUNG",COUNTIF(DM_Ma,$C442)&gt;0),"","MÃ LẠ"))</f>
        <v/>
      </c>
      <c r="N442" s="53">
        <f>IF($A442="","",IF(AND($A442&gt;=pTu,$A442&lt;=pDen),"","NGOÀI KỲ"))</f>
        <v/>
      </c>
      <c r="O442" s="53">
        <f>IF($J442="","",IF($J442&lt;=0,"≤0",""))</f>
        <v/>
      </c>
      <c r="P442" s="53">
        <f>IF(AND($D442="SXC (627)",$F442="Chung"),IF(OR($G442="Cố định",$G442="Biến đổi"),"","THIẾU TÍNH CHẤT"),"")</f>
        <v/>
      </c>
    </row>
    <row r="443" ht="15" customHeight="1" s="54">
      <c r="A443" s="71" t="n"/>
      <c r="B443" s="67" t="n"/>
      <c r="C443" s="67" t="n"/>
      <c r="D443" s="67" t="n"/>
      <c r="E443" s="79">
        <f>IFERROR(INDEX(MAP_TK,MATCH($D443,MAP_KM,0)),"")</f>
        <v/>
      </c>
      <c r="F443" s="67" t="n"/>
      <c r="G443" s="67" t="n"/>
      <c r="H443" s="67" t="n"/>
      <c r="I443" s="67" t="n"/>
      <c r="J443" s="75" t="n"/>
      <c r="K443" s="67" t="n"/>
      <c r="M443" s="53">
        <f>IF($C443="","",IF(OR($C443="CHUNG",COUNTIF(DM_Ma,$C443)&gt;0),"","MÃ LẠ"))</f>
        <v/>
      </c>
      <c r="N443" s="53">
        <f>IF($A443="","",IF(AND($A443&gt;=pTu,$A443&lt;=pDen),"","NGOÀI KỲ"))</f>
        <v/>
      </c>
      <c r="O443" s="53">
        <f>IF($J443="","",IF($J443&lt;=0,"≤0",""))</f>
        <v/>
      </c>
      <c r="P443" s="53">
        <f>IF(AND($D443="SXC (627)",$F443="Chung"),IF(OR($G443="Cố định",$G443="Biến đổi"),"","THIẾU TÍNH CHẤT"),"")</f>
        <v/>
      </c>
    </row>
    <row r="444" ht="15" customHeight="1" s="54">
      <c r="A444" s="71" t="n"/>
      <c r="B444" s="67" t="n"/>
      <c r="C444" s="67" t="n"/>
      <c r="D444" s="67" t="n"/>
      <c r="E444" s="79">
        <f>IFERROR(INDEX(MAP_TK,MATCH($D444,MAP_KM,0)),"")</f>
        <v/>
      </c>
      <c r="F444" s="67" t="n"/>
      <c r="G444" s="67" t="n"/>
      <c r="H444" s="67" t="n"/>
      <c r="I444" s="67" t="n"/>
      <c r="J444" s="75" t="n"/>
      <c r="K444" s="67" t="n"/>
      <c r="M444" s="53">
        <f>IF($C444="","",IF(OR($C444="CHUNG",COUNTIF(DM_Ma,$C444)&gt;0),"","MÃ LẠ"))</f>
        <v/>
      </c>
      <c r="N444" s="53">
        <f>IF($A444="","",IF(AND($A444&gt;=pTu,$A444&lt;=pDen),"","NGOÀI KỲ"))</f>
        <v/>
      </c>
      <c r="O444" s="53">
        <f>IF($J444="","",IF($J444&lt;=0,"≤0",""))</f>
        <v/>
      </c>
      <c r="P444" s="53">
        <f>IF(AND($D444="SXC (627)",$F444="Chung"),IF(OR($G444="Cố định",$G444="Biến đổi"),"","THIẾU TÍNH CHẤT"),"")</f>
        <v/>
      </c>
    </row>
    <row r="445" ht="15" customHeight="1" s="54">
      <c r="A445" s="71" t="n"/>
      <c r="B445" s="67" t="n"/>
      <c r="C445" s="67" t="n"/>
      <c r="D445" s="67" t="n"/>
      <c r="E445" s="79">
        <f>IFERROR(INDEX(MAP_TK,MATCH($D445,MAP_KM,0)),"")</f>
        <v/>
      </c>
      <c r="F445" s="67" t="n"/>
      <c r="G445" s="67" t="n"/>
      <c r="H445" s="67" t="n"/>
      <c r="I445" s="67" t="n"/>
      <c r="J445" s="75" t="n"/>
      <c r="K445" s="67" t="n"/>
      <c r="M445" s="53">
        <f>IF($C445="","",IF(OR($C445="CHUNG",COUNTIF(DM_Ma,$C445)&gt;0),"","MÃ LẠ"))</f>
        <v/>
      </c>
      <c r="N445" s="53">
        <f>IF($A445="","",IF(AND($A445&gt;=pTu,$A445&lt;=pDen),"","NGOÀI KỲ"))</f>
        <v/>
      </c>
      <c r="O445" s="53">
        <f>IF($J445="","",IF($J445&lt;=0,"≤0",""))</f>
        <v/>
      </c>
      <c r="P445" s="53">
        <f>IF(AND($D445="SXC (627)",$F445="Chung"),IF(OR($G445="Cố định",$G445="Biến đổi"),"","THIẾU TÍNH CHẤT"),"")</f>
        <v/>
      </c>
    </row>
    <row r="446" ht="15" customHeight="1" s="54">
      <c r="A446" s="71" t="n"/>
      <c r="B446" s="67" t="n"/>
      <c r="C446" s="67" t="n"/>
      <c r="D446" s="67" t="n"/>
      <c r="E446" s="79">
        <f>IFERROR(INDEX(MAP_TK,MATCH($D446,MAP_KM,0)),"")</f>
        <v/>
      </c>
      <c r="F446" s="67" t="n"/>
      <c r="G446" s="67" t="n"/>
      <c r="H446" s="67" t="n"/>
      <c r="I446" s="67" t="n"/>
      <c r="J446" s="75" t="n"/>
      <c r="K446" s="67" t="n"/>
      <c r="M446" s="53">
        <f>IF($C446="","",IF(OR($C446="CHUNG",COUNTIF(DM_Ma,$C446)&gt;0),"","MÃ LẠ"))</f>
        <v/>
      </c>
      <c r="N446" s="53">
        <f>IF($A446="","",IF(AND($A446&gt;=pTu,$A446&lt;=pDen),"","NGOÀI KỲ"))</f>
        <v/>
      </c>
      <c r="O446" s="53">
        <f>IF($J446="","",IF($J446&lt;=0,"≤0",""))</f>
        <v/>
      </c>
      <c r="P446" s="53">
        <f>IF(AND($D446="SXC (627)",$F446="Chung"),IF(OR($G446="Cố định",$G446="Biến đổi"),"","THIẾU TÍNH CHẤT"),"")</f>
        <v/>
      </c>
    </row>
    <row r="447" ht="15" customHeight="1" s="54">
      <c r="A447" s="71" t="n"/>
      <c r="B447" s="67" t="n"/>
      <c r="C447" s="67" t="n"/>
      <c r="D447" s="67" t="n"/>
      <c r="E447" s="79">
        <f>IFERROR(INDEX(MAP_TK,MATCH($D447,MAP_KM,0)),"")</f>
        <v/>
      </c>
      <c r="F447" s="67" t="n"/>
      <c r="G447" s="67" t="n"/>
      <c r="H447" s="67" t="n"/>
      <c r="I447" s="67" t="n"/>
      <c r="J447" s="75" t="n"/>
      <c r="K447" s="67" t="n"/>
      <c r="M447" s="53">
        <f>IF($C447="","",IF(OR($C447="CHUNG",COUNTIF(DM_Ma,$C447)&gt;0),"","MÃ LẠ"))</f>
        <v/>
      </c>
      <c r="N447" s="53">
        <f>IF($A447="","",IF(AND($A447&gt;=pTu,$A447&lt;=pDen),"","NGOÀI KỲ"))</f>
        <v/>
      </c>
      <c r="O447" s="53">
        <f>IF($J447="","",IF($J447&lt;=0,"≤0",""))</f>
        <v/>
      </c>
      <c r="P447" s="53">
        <f>IF(AND($D447="SXC (627)",$F447="Chung"),IF(OR($G447="Cố định",$G447="Biến đổi"),"","THIẾU TÍNH CHẤT"),"")</f>
        <v/>
      </c>
    </row>
    <row r="448" ht="15" customHeight="1" s="54">
      <c r="A448" s="71" t="n"/>
      <c r="B448" s="67" t="n"/>
      <c r="C448" s="67" t="n"/>
      <c r="D448" s="67" t="n"/>
      <c r="E448" s="79">
        <f>IFERROR(INDEX(MAP_TK,MATCH($D448,MAP_KM,0)),"")</f>
        <v/>
      </c>
      <c r="F448" s="67" t="n"/>
      <c r="G448" s="67" t="n"/>
      <c r="H448" s="67" t="n"/>
      <c r="I448" s="67" t="n"/>
      <c r="J448" s="75" t="n"/>
      <c r="K448" s="67" t="n"/>
      <c r="M448" s="53">
        <f>IF($C448="","",IF(OR($C448="CHUNG",COUNTIF(DM_Ma,$C448)&gt;0),"","MÃ LẠ"))</f>
        <v/>
      </c>
      <c r="N448" s="53">
        <f>IF($A448="","",IF(AND($A448&gt;=pTu,$A448&lt;=pDen),"","NGOÀI KỲ"))</f>
        <v/>
      </c>
      <c r="O448" s="53">
        <f>IF($J448="","",IF($J448&lt;=0,"≤0",""))</f>
        <v/>
      </c>
      <c r="P448" s="53">
        <f>IF(AND($D448="SXC (627)",$F448="Chung"),IF(OR($G448="Cố định",$G448="Biến đổi"),"","THIẾU TÍNH CHẤT"),"")</f>
        <v/>
      </c>
    </row>
    <row r="449" ht="15" customHeight="1" s="54">
      <c r="A449" s="71" t="n"/>
      <c r="B449" s="67" t="n"/>
      <c r="C449" s="67" t="n"/>
      <c r="D449" s="67" t="n"/>
      <c r="E449" s="79">
        <f>IFERROR(INDEX(MAP_TK,MATCH($D449,MAP_KM,0)),"")</f>
        <v/>
      </c>
      <c r="F449" s="67" t="n"/>
      <c r="G449" s="67" t="n"/>
      <c r="H449" s="67" t="n"/>
      <c r="I449" s="67" t="n"/>
      <c r="J449" s="75" t="n"/>
      <c r="K449" s="67" t="n"/>
      <c r="M449" s="53">
        <f>IF($C449="","",IF(OR($C449="CHUNG",COUNTIF(DM_Ma,$C449)&gt;0),"","MÃ LẠ"))</f>
        <v/>
      </c>
      <c r="N449" s="53">
        <f>IF($A449="","",IF(AND($A449&gt;=pTu,$A449&lt;=pDen),"","NGOÀI KỲ"))</f>
        <v/>
      </c>
      <c r="O449" s="53">
        <f>IF($J449="","",IF($J449&lt;=0,"≤0",""))</f>
        <v/>
      </c>
      <c r="P449" s="53">
        <f>IF(AND($D449="SXC (627)",$F449="Chung"),IF(OR($G449="Cố định",$G449="Biến đổi"),"","THIẾU TÍNH CHẤT"),"")</f>
        <v/>
      </c>
    </row>
    <row r="450" ht="15" customHeight="1" s="54">
      <c r="A450" s="71" t="n"/>
      <c r="B450" s="67" t="n"/>
      <c r="C450" s="67" t="n"/>
      <c r="D450" s="67" t="n"/>
      <c r="E450" s="79">
        <f>IFERROR(INDEX(MAP_TK,MATCH($D450,MAP_KM,0)),"")</f>
        <v/>
      </c>
      <c r="F450" s="67" t="n"/>
      <c r="G450" s="67" t="n"/>
      <c r="H450" s="67" t="n"/>
      <c r="I450" s="67" t="n"/>
      <c r="J450" s="75" t="n"/>
      <c r="K450" s="67" t="n"/>
      <c r="M450" s="53">
        <f>IF($C450="","",IF(OR($C450="CHUNG",COUNTIF(DM_Ma,$C450)&gt;0),"","MÃ LẠ"))</f>
        <v/>
      </c>
      <c r="N450" s="53">
        <f>IF($A450="","",IF(AND($A450&gt;=pTu,$A450&lt;=pDen),"","NGOÀI KỲ"))</f>
        <v/>
      </c>
      <c r="O450" s="53">
        <f>IF($J450="","",IF($J450&lt;=0,"≤0",""))</f>
        <v/>
      </c>
      <c r="P450" s="53">
        <f>IF(AND($D450="SXC (627)",$F450="Chung"),IF(OR($G450="Cố định",$G450="Biến đổi"),"","THIẾU TÍNH CHẤT"),"")</f>
        <v/>
      </c>
    </row>
    <row r="451" ht="15" customHeight="1" s="54">
      <c r="A451" s="71" t="n"/>
      <c r="B451" s="67" t="n"/>
      <c r="C451" s="67" t="n"/>
      <c r="D451" s="67" t="n"/>
      <c r="E451" s="79">
        <f>IFERROR(INDEX(MAP_TK,MATCH($D451,MAP_KM,0)),"")</f>
        <v/>
      </c>
      <c r="F451" s="67" t="n"/>
      <c r="G451" s="67" t="n"/>
      <c r="H451" s="67" t="n"/>
      <c r="I451" s="67" t="n"/>
      <c r="J451" s="75" t="n"/>
      <c r="K451" s="67" t="n"/>
      <c r="M451" s="53">
        <f>IF($C451="","",IF(OR($C451="CHUNG",COUNTIF(DM_Ma,$C451)&gt;0),"","MÃ LẠ"))</f>
        <v/>
      </c>
      <c r="N451" s="53">
        <f>IF($A451="","",IF(AND($A451&gt;=pTu,$A451&lt;=pDen),"","NGOÀI KỲ"))</f>
        <v/>
      </c>
      <c r="O451" s="53">
        <f>IF($J451="","",IF($J451&lt;=0,"≤0",""))</f>
        <v/>
      </c>
      <c r="P451" s="53">
        <f>IF(AND($D451="SXC (627)",$F451="Chung"),IF(OR($G451="Cố định",$G451="Biến đổi"),"","THIẾU TÍNH CHẤT"),"")</f>
        <v/>
      </c>
    </row>
    <row r="452" ht="15" customHeight="1" s="54">
      <c r="A452" s="71" t="n"/>
      <c r="B452" s="67" t="n"/>
      <c r="C452" s="67" t="n"/>
      <c r="D452" s="67" t="n"/>
      <c r="E452" s="79">
        <f>IFERROR(INDEX(MAP_TK,MATCH($D452,MAP_KM,0)),"")</f>
        <v/>
      </c>
      <c r="F452" s="67" t="n"/>
      <c r="G452" s="67" t="n"/>
      <c r="H452" s="67" t="n"/>
      <c r="I452" s="67" t="n"/>
      <c r="J452" s="75" t="n"/>
      <c r="K452" s="67" t="n"/>
      <c r="M452" s="53">
        <f>IF($C452="","",IF(OR($C452="CHUNG",COUNTIF(DM_Ma,$C452)&gt;0),"","MÃ LẠ"))</f>
        <v/>
      </c>
      <c r="N452" s="53">
        <f>IF($A452="","",IF(AND($A452&gt;=pTu,$A452&lt;=pDen),"","NGOÀI KỲ"))</f>
        <v/>
      </c>
      <c r="O452" s="53">
        <f>IF($J452="","",IF($J452&lt;=0,"≤0",""))</f>
        <v/>
      </c>
      <c r="P452" s="53">
        <f>IF(AND($D452="SXC (627)",$F452="Chung"),IF(OR($G452="Cố định",$G452="Biến đổi"),"","THIẾU TÍNH CHẤT"),"")</f>
        <v/>
      </c>
    </row>
    <row r="453" ht="15" customHeight="1" s="54">
      <c r="A453" s="71" t="n"/>
      <c r="B453" s="67" t="n"/>
      <c r="C453" s="67" t="n"/>
      <c r="D453" s="67" t="n"/>
      <c r="E453" s="79">
        <f>IFERROR(INDEX(MAP_TK,MATCH($D453,MAP_KM,0)),"")</f>
        <v/>
      </c>
      <c r="F453" s="67" t="n"/>
      <c r="G453" s="67" t="n"/>
      <c r="H453" s="67" t="n"/>
      <c r="I453" s="67" t="n"/>
      <c r="J453" s="75" t="n"/>
      <c r="K453" s="67" t="n"/>
      <c r="M453" s="53">
        <f>IF($C453="","",IF(OR($C453="CHUNG",COUNTIF(DM_Ma,$C453)&gt;0),"","MÃ LẠ"))</f>
        <v/>
      </c>
      <c r="N453" s="53">
        <f>IF($A453="","",IF(AND($A453&gt;=pTu,$A453&lt;=pDen),"","NGOÀI KỲ"))</f>
        <v/>
      </c>
      <c r="O453" s="53">
        <f>IF($J453="","",IF($J453&lt;=0,"≤0",""))</f>
        <v/>
      </c>
      <c r="P453" s="53">
        <f>IF(AND($D453="SXC (627)",$F453="Chung"),IF(OR($G453="Cố định",$G453="Biến đổi"),"","THIẾU TÍNH CHẤT"),"")</f>
        <v/>
      </c>
    </row>
    <row r="454" ht="15" customHeight="1" s="54">
      <c r="A454" s="71" t="n"/>
      <c r="B454" s="67" t="n"/>
      <c r="C454" s="67" t="n"/>
      <c r="D454" s="67" t="n"/>
      <c r="E454" s="79">
        <f>IFERROR(INDEX(MAP_TK,MATCH($D454,MAP_KM,0)),"")</f>
        <v/>
      </c>
      <c r="F454" s="67" t="n"/>
      <c r="G454" s="67" t="n"/>
      <c r="H454" s="67" t="n"/>
      <c r="I454" s="67" t="n"/>
      <c r="J454" s="75" t="n"/>
      <c r="K454" s="67" t="n"/>
      <c r="M454" s="53">
        <f>IF($C454="","",IF(OR($C454="CHUNG",COUNTIF(DM_Ma,$C454)&gt;0),"","MÃ LẠ"))</f>
        <v/>
      </c>
      <c r="N454" s="53">
        <f>IF($A454="","",IF(AND($A454&gt;=pTu,$A454&lt;=pDen),"","NGOÀI KỲ"))</f>
        <v/>
      </c>
      <c r="O454" s="53">
        <f>IF($J454="","",IF($J454&lt;=0,"≤0",""))</f>
        <v/>
      </c>
      <c r="P454" s="53">
        <f>IF(AND($D454="SXC (627)",$F454="Chung"),IF(OR($G454="Cố định",$G454="Biến đổi"),"","THIẾU TÍNH CHẤT"),"")</f>
        <v/>
      </c>
    </row>
    <row r="455" ht="15" customHeight="1" s="54">
      <c r="A455" s="71" t="n"/>
      <c r="B455" s="67" t="n"/>
      <c r="C455" s="67" t="n"/>
      <c r="D455" s="67" t="n"/>
      <c r="E455" s="79">
        <f>IFERROR(INDEX(MAP_TK,MATCH($D455,MAP_KM,0)),"")</f>
        <v/>
      </c>
      <c r="F455" s="67" t="n"/>
      <c r="G455" s="67" t="n"/>
      <c r="H455" s="67" t="n"/>
      <c r="I455" s="67" t="n"/>
      <c r="J455" s="75" t="n"/>
      <c r="K455" s="67" t="n"/>
      <c r="M455" s="53">
        <f>IF($C455="","",IF(OR($C455="CHUNG",COUNTIF(DM_Ma,$C455)&gt;0),"","MÃ LẠ"))</f>
        <v/>
      </c>
      <c r="N455" s="53">
        <f>IF($A455="","",IF(AND($A455&gt;=pTu,$A455&lt;=pDen),"","NGOÀI KỲ"))</f>
        <v/>
      </c>
      <c r="O455" s="53">
        <f>IF($J455="","",IF($J455&lt;=0,"≤0",""))</f>
        <v/>
      </c>
      <c r="P455" s="53">
        <f>IF(AND($D455="SXC (627)",$F455="Chung"),IF(OR($G455="Cố định",$G455="Biến đổi"),"","THIẾU TÍNH CHẤT"),"")</f>
        <v/>
      </c>
    </row>
    <row r="456" ht="15" customHeight="1" s="54">
      <c r="A456" s="71" t="n"/>
      <c r="B456" s="67" t="n"/>
      <c r="C456" s="67" t="n"/>
      <c r="D456" s="67" t="n"/>
      <c r="E456" s="79">
        <f>IFERROR(INDEX(MAP_TK,MATCH($D456,MAP_KM,0)),"")</f>
        <v/>
      </c>
      <c r="F456" s="67" t="n"/>
      <c r="G456" s="67" t="n"/>
      <c r="H456" s="67" t="n"/>
      <c r="I456" s="67" t="n"/>
      <c r="J456" s="75" t="n"/>
      <c r="K456" s="67" t="n"/>
      <c r="M456" s="53">
        <f>IF($C456="","",IF(OR($C456="CHUNG",COUNTIF(DM_Ma,$C456)&gt;0),"","MÃ LẠ"))</f>
        <v/>
      </c>
      <c r="N456" s="53">
        <f>IF($A456="","",IF(AND($A456&gt;=pTu,$A456&lt;=pDen),"","NGOÀI KỲ"))</f>
        <v/>
      </c>
      <c r="O456" s="53">
        <f>IF($J456="","",IF($J456&lt;=0,"≤0",""))</f>
        <v/>
      </c>
      <c r="P456" s="53">
        <f>IF(AND($D456="SXC (627)",$F456="Chung"),IF(OR($G456="Cố định",$G456="Biến đổi"),"","THIẾU TÍNH CHẤT"),"")</f>
        <v/>
      </c>
    </row>
    <row r="457" ht="15" customHeight="1" s="54">
      <c r="A457" s="71" t="n"/>
      <c r="B457" s="67" t="n"/>
      <c r="C457" s="67" t="n"/>
      <c r="D457" s="67" t="n"/>
      <c r="E457" s="79">
        <f>IFERROR(INDEX(MAP_TK,MATCH($D457,MAP_KM,0)),"")</f>
        <v/>
      </c>
      <c r="F457" s="67" t="n"/>
      <c r="G457" s="67" t="n"/>
      <c r="H457" s="67" t="n"/>
      <c r="I457" s="67" t="n"/>
      <c r="J457" s="75" t="n"/>
      <c r="K457" s="67" t="n"/>
      <c r="M457" s="53">
        <f>IF($C457="","",IF(OR($C457="CHUNG",COUNTIF(DM_Ma,$C457)&gt;0),"","MÃ LẠ"))</f>
        <v/>
      </c>
      <c r="N457" s="53">
        <f>IF($A457="","",IF(AND($A457&gt;=pTu,$A457&lt;=pDen),"","NGOÀI KỲ"))</f>
        <v/>
      </c>
      <c r="O457" s="53">
        <f>IF($J457="","",IF($J457&lt;=0,"≤0",""))</f>
        <v/>
      </c>
      <c r="P457" s="53">
        <f>IF(AND($D457="SXC (627)",$F457="Chung"),IF(OR($G457="Cố định",$G457="Biến đổi"),"","THIẾU TÍNH CHẤT"),"")</f>
        <v/>
      </c>
    </row>
    <row r="458" ht="15" customHeight="1" s="54">
      <c r="A458" s="71" t="n"/>
      <c r="B458" s="67" t="n"/>
      <c r="C458" s="67" t="n"/>
      <c r="D458" s="67" t="n"/>
      <c r="E458" s="79">
        <f>IFERROR(INDEX(MAP_TK,MATCH($D458,MAP_KM,0)),"")</f>
        <v/>
      </c>
      <c r="F458" s="67" t="n"/>
      <c r="G458" s="67" t="n"/>
      <c r="H458" s="67" t="n"/>
      <c r="I458" s="67" t="n"/>
      <c r="J458" s="75" t="n"/>
      <c r="K458" s="67" t="n"/>
      <c r="M458" s="53">
        <f>IF($C458="","",IF(OR($C458="CHUNG",COUNTIF(DM_Ma,$C458)&gt;0),"","MÃ LẠ"))</f>
        <v/>
      </c>
      <c r="N458" s="53">
        <f>IF($A458="","",IF(AND($A458&gt;=pTu,$A458&lt;=pDen),"","NGOÀI KỲ"))</f>
        <v/>
      </c>
      <c r="O458" s="53">
        <f>IF($J458="","",IF($J458&lt;=0,"≤0",""))</f>
        <v/>
      </c>
      <c r="P458" s="53">
        <f>IF(AND($D458="SXC (627)",$F458="Chung"),IF(OR($G458="Cố định",$G458="Biến đổi"),"","THIẾU TÍNH CHẤT"),"")</f>
        <v/>
      </c>
    </row>
    <row r="459" ht="15" customHeight="1" s="54">
      <c r="A459" s="71" t="n"/>
      <c r="B459" s="67" t="n"/>
      <c r="C459" s="67" t="n"/>
      <c r="D459" s="67" t="n"/>
      <c r="E459" s="79">
        <f>IFERROR(INDEX(MAP_TK,MATCH($D459,MAP_KM,0)),"")</f>
        <v/>
      </c>
      <c r="F459" s="67" t="n"/>
      <c r="G459" s="67" t="n"/>
      <c r="H459" s="67" t="n"/>
      <c r="I459" s="67" t="n"/>
      <c r="J459" s="75" t="n"/>
      <c r="K459" s="67" t="n"/>
      <c r="M459" s="53">
        <f>IF($C459="","",IF(OR($C459="CHUNG",COUNTIF(DM_Ma,$C459)&gt;0),"","MÃ LẠ"))</f>
        <v/>
      </c>
      <c r="N459" s="53">
        <f>IF($A459="","",IF(AND($A459&gt;=pTu,$A459&lt;=pDen),"","NGOÀI KỲ"))</f>
        <v/>
      </c>
      <c r="O459" s="53">
        <f>IF($J459="","",IF($J459&lt;=0,"≤0",""))</f>
        <v/>
      </c>
      <c r="P459" s="53">
        <f>IF(AND($D459="SXC (627)",$F459="Chung"),IF(OR($G459="Cố định",$G459="Biến đổi"),"","THIẾU TÍNH CHẤT"),"")</f>
        <v/>
      </c>
    </row>
    <row r="460" ht="15" customHeight="1" s="54">
      <c r="A460" s="71" t="n"/>
      <c r="B460" s="67" t="n"/>
      <c r="C460" s="67" t="n"/>
      <c r="D460" s="67" t="n"/>
      <c r="E460" s="79">
        <f>IFERROR(INDEX(MAP_TK,MATCH($D460,MAP_KM,0)),"")</f>
        <v/>
      </c>
      <c r="F460" s="67" t="n"/>
      <c r="G460" s="67" t="n"/>
      <c r="H460" s="67" t="n"/>
      <c r="I460" s="67" t="n"/>
      <c r="J460" s="75" t="n"/>
      <c r="K460" s="67" t="n"/>
      <c r="M460" s="53">
        <f>IF($C460="","",IF(OR($C460="CHUNG",COUNTIF(DM_Ma,$C460)&gt;0),"","MÃ LẠ"))</f>
        <v/>
      </c>
      <c r="N460" s="53">
        <f>IF($A460="","",IF(AND($A460&gt;=pTu,$A460&lt;=pDen),"","NGOÀI KỲ"))</f>
        <v/>
      </c>
      <c r="O460" s="53">
        <f>IF($J460="","",IF($J460&lt;=0,"≤0",""))</f>
        <v/>
      </c>
      <c r="P460" s="53">
        <f>IF(AND($D460="SXC (627)",$F460="Chung"),IF(OR($G460="Cố định",$G460="Biến đổi"),"","THIẾU TÍNH CHẤT"),"")</f>
        <v/>
      </c>
    </row>
    <row r="461" ht="15" customHeight="1" s="54">
      <c r="A461" s="71" t="n"/>
      <c r="B461" s="67" t="n"/>
      <c r="C461" s="67" t="n"/>
      <c r="D461" s="67" t="n"/>
      <c r="E461" s="79">
        <f>IFERROR(INDEX(MAP_TK,MATCH($D461,MAP_KM,0)),"")</f>
        <v/>
      </c>
      <c r="F461" s="67" t="n"/>
      <c r="G461" s="67" t="n"/>
      <c r="H461" s="67" t="n"/>
      <c r="I461" s="67" t="n"/>
      <c r="J461" s="75" t="n"/>
      <c r="K461" s="67" t="n"/>
      <c r="M461" s="53">
        <f>IF($C461="","",IF(OR($C461="CHUNG",COUNTIF(DM_Ma,$C461)&gt;0),"","MÃ LẠ"))</f>
        <v/>
      </c>
      <c r="N461" s="53">
        <f>IF($A461="","",IF(AND($A461&gt;=pTu,$A461&lt;=pDen),"","NGOÀI KỲ"))</f>
        <v/>
      </c>
      <c r="O461" s="53">
        <f>IF($J461="","",IF($J461&lt;=0,"≤0",""))</f>
        <v/>
      </c>
      <c r="P461" s="53">
        <f>IF(AND($D461="SXC (627)",$F461="Chung"),IF(OR($G461="Cố định",$G461="Biến đổi"),"","THIẾU TÍNH CHẤT"),"")</f>
        <v/>
      </c>
    </row>
    <row r="462" ht="15" customHeight="1" s="54">
      <c r="A462" s="71" t="n"/>
      <c r="B462" s="67" t="n"/>
      <c r="C462" s="67" t="n"/>
      <c r="D462" s="67" t="n"/>
      <c r="E462" s="79">
        <f>IFERROR(INDEX(MAP_TK,MATCH($D462,MAP_KM,0)),"")</f>
        <v/>
      </c>
      <c r="F462" s="67" t="n"/>
      <c r="G462" s="67" t="n"/>
      <c r="H462" s="67" t="n"/>
      <c r="I462" s="67" t="n"/>
      <c r="J462" s="75" t="n"/>
      <c r="K462" s="67" t="n"/>
      <c r="M462" s="53">
        <f>IF($C462="","",IF(OR($C462="CHUNG",COUNTIF(DM_Ma,$C462)&gt;0),"","MÃ LẠ"))</f>
        <v/>
      </c>
      <c r="N462" s="53">
        <f>IF($A462="","",IF(AND($A462&gt;=pTu,$A462&lt;=pDen),"","NGOÀI KỲ"))</f>
        <v/>
      </c>
      <c r="O462" s="53">
        <f>IF($J462="","",IF($J462&lt;=0,"≤0",""))</f>
        <v/>
      </c>
      <c r="P462" s="53">
        <f>IF(AND($D462="SXC (627)",$F462="Chung"),IF(OR($G462="Cố định",$G462="Biến đổi"),"","THIẾU TÍNH CHẤT"),"")</f>
        <v/>
      </c>
    </row>
    <row r="463" ht="15" customHeight="1" s="54">
      <c r="A463" s="71" t="n"/>
      <c r="B463" s="67" t="n"/>
      <c r="C463" s="67" t="n"/>
      <c r="D463" s="67" t="n"/>
      <c r="E463" s="79">
        <f>IFERROR(INDEX(MAP_TK,MATCH($D463,MAP_KM,0)),"")</f>
        <v/>
      </c>
      <c r="F463" s="67" t="n"/>
      <c r="G463" s="67" t="n"/>
      <c r="H463" s="67" t="n"/>
      <c r="I463" s="67" t="n"/>
      <c r="J463" s="75" t="n"/>
      <c r="K463" s="67" t="n"/>
      <c r="M463" s="53">
        <f>IF($C463="","",IF(OR($C463="CHUNG",COUNTIF(DM_Ma,$C463)&gt;0),"","MÃ LẠ"))</f>
        <v/>
      </c>
      <c r="N463" s="53">
        <f>IF($A463="","",IF(AND($A463&gt;=pTu,$A463&lt;=pDen),"","NGOÀI KỲ"))</f>
        <v/>
      </c>
      <c r="O463" s="53">
        <f>IF($J463="","",IF($J463&lt;=0,"≤0",""))</f>
        <v/>
      </c>
      <c r="P463" s="53">
        <f>IF(AND($D463="SXC (627)",$F463="Chung"),IF(OR($G463="Cố định",$G463="Biến đổi"),"","THIẾU TÍNH CHẤT"),"")</f>
        <v/>
      </c>
    </row>
    <row r="464" ht="15" customHeight="1" s="54">
      <c r="A464" s="71" t="n"/>
      <c r="B464" s="67" t="n"/>
      <c r="C464" s="67" t="n"/>
      <c r="D464" s="67" t="n"/>
      <c r="E464" s="79">
        <f>IFERROR(INDEX(MAP_TK,MATCH($D464,MAP_KM,0)),"")</f>
        <v/>
      </c>
      <c r="F464" s="67" t="n"/>
      <c r="G464" s="67" t="n"/>
      <c r="H464" s="67" t="n"/>
      <c r="I464" s="67" t="n"/>
      <c r="J464" s="75" t="n"/>
      <c r="K464" s="67" t="n"/>
      <c r="M464" s="53">
        <f>IF($C464="","",IF(OR($C464="CHUNG",COUNTIF(DM_Ma,$C464)&gt;0),"","MÃ LẠ"))</f>
        <v/>
      </c>
      <c r="N464" s="53">
        <f>IF($A464="","",IF(AND($A464&gt;=pTu,$A464&lt;=pDen),"","NGOÀI KỲ"))</f>
        <v/>
      </c>
      <c r="O464" s="53">
        <f>IF($J464="","",IF($J464&lt;=0,"≤0",""))</f>
        <v/>
      </c>
      <c r="P464" s="53">
        <f>IF(AND($D464="SXC (627)",$F464="Chung"),IF(OR($G464="Cố định",$G464="Biến đổi"),"","THIẾU TÍNH CHẤT"),"")</f>
        <v/>
      </c>
    </row>
    <row r="465" ht="15" customHeight="1" s="54">
      <c r="A465" s="71" t="n"/>
      <c r="B465" s="67" t="n"/>
      <c r="C465" s="67" t="n"/>
      <c r="D465" s="67" t="n"/>
      <c r="E465" s="79">
        <f>IFERROR(INDEX(MAP_TK,MATCH($D465,MAP_KM,0)),"")</f>
        <v/>
      </c>
      <c r="F465" s="67" t="n"/>
      <c r="G465" s="67" t="n"/>
      <c r="H465" s="67" t="n"/>
      <c r="I465" s="67" t="n"/>
      <c r="J465" s="75" t="n"/>
      <c r="K465" s="67" t="n"/>
      <c r="M465" s="53">
        <f>IF($C465="","",IF(OR($C465="CHUNG",COUNTIF(DM_Ma,$C465)&gt;0),"","MÃ LẠ"))</f>
        <v/>
      </c>
      <c r="N465" s="53">
        <f>IF($A465="","",IF(AND($A465&gt;=pTu,$A465&lt;=pDen),"","NGOÀI KỲ"))</f>
        <v/>
      </c>
      <c r="O465" s="53">
        <f>IF($J465="","",IF($J465&lt;=0,"≤0",""))</f>
        <v/>
      </c>
      <c r="P465" s="53">
        <f>IF(AND($D465="SXC (627)",$F465="Chung"),IF(OR($G465="Cố định",$G465="Biến đổi"),"","THIẾU TÍNH CHẤT"),"")</f>
        <v/>
      </c>
    </row>
    <row r="466" ht="15" customHeight="1" s="54">
      <c r="A466" s="71" t="n"/>
      <c r="B466" s="67" t="n"/>
      <c r="C466" s="67" t="n"/>
      <c r="D466" s="67" t="n"/>
      <c r="E466" s="79">
        <f>IFERROR(INDEX(MAP_TK,MATCH($D466,MAP_KM,0)),"")</f>
        <v/>
      </c>
      <c r="F466" s="67" t="n"/>
      <c r="G466" s="67" t="n"/>
      <c r="H466" s="67" t="n"/>
      <c r="I466" s="67" t="n"/>
      <c r="J466" s="75" t="n"/>
      <c r="K466" s="67" t="n"/>
      <c r="M466" s="53">
        <f>IF($C466="","",IF(OR($C466="CHUNG",COUNTIF(DM_Ma,$C466)&gt;0),"","MÃ LẠ"))</f>
        <v/>
      </c>
      <c r="N466" s="53">
        <f>IF($A466="","",IF(AND($A466&gt;=pTu,$A466&lt;=pDen),"","NGOÀI KỲ"))</f>
        <v/>
      </c>
      <c r="O466" s="53">
        <f>IF($J466="","",IF($J466&lt;=0,"≤0",""))</f>
        <v/>
      </c>
      <c r="P466" s="53">
        <f>IF(AND($D466="SXC (627)",$F466="Chung"),IF(OR($G466="Cố định",$G466="Biến đổi"),"","THIẾU TÍNH CHẤT"),"")</f>
        <v/>
      </c>
    </row>
    <row r="467" ht="15" customHeight="1" s="54">
      <c r="A467" s="71" t="n"/>
      <c r="B467" s="67" t="n"/>
      <c r="C467" s="67" t="n"/>
      <c r="D467" s="67" t="n"/>
      <c r="E467" s="79">
        <f>IFERROR(INDEX(MAP_TK,MATCH($D467,MAP_KM,0)),"")</f>
        <v/>
      </c>
      <c r="F467" s="67" t="n"/>
      <c r="G467" s="67" t="n"/>
      <c r="H467" s="67" t="n"/>
      <c r="I467" s="67" t="n"/>
      <c r="J467" s="75" t="n"/>
      <c r="K467" s="67" t="n"/>
      <c r="M467" s="53">
        <f>IF($C467="","",IF(OR($C467="CHUNG",COUNTIF(DM_Ma,$C467)&gt;0),"","MÃ LẠ"))</f>
        <v/>
      </c>
      <c r="N467" s="53">
        <f>IF($A467="","",IF(AND($A467&gt;=pTu,$A467&lt;=pDen),"","NGOÀI KỲ"))</f>
        <v/>
      </c>
      <c r="O467" s="53">
        <f>IF($J467="","",IF($J467&lt;=0,"≤0",""))</f>
        <v/>
      </c>
      <c r="P467" s="53">
        <f>IF(AND($D467="SXC (627)",$F467="Chung"),IF(OR($G467="Cố định",$G467="Biến đổi"),"","THIẾU TÍNH CHẤT"),"")</f>
        <v/>
      </c>
    </row>
    <row r="468" ht="15" customHeight="1" s="54">
      <c r="A468" s="71" t="n"/>
      <c r="B468" s="67" t="n"/>
      <c r="C468" s="67" t="n"/>
      <c r="D468" s="67" t="n"/>
      <c r="E468" s="79">
        <f>IFERROR(INDEX(MAP_TK,MATCH($D468,MAP_KM,0)),"")</f>
        <v/>
      </c>
      <c r="F468" s="67" t="n"/>
      <c r="G468" s="67" t="n"/>
      <c r="H468" s="67" t="n"/>
      <c r="I468" s="67" t="n"/>
      <c r="J468" s="75" t="n"/>
      <c r="K468" s="67" t="n"/>
      <c r="M468" s="53">
        <f>IF($C468="","",IF(OR($C468="CHUNG",COUNTIF(DM_Ma,$C468)&gt;0),"","MÃ LẠ"))</f>
        <v/>
      </c>
      <c r="N468" s="53">
        <f>IF($A468="","",IF(AND($A468&gt;=pTu,$A468&lt;=pDen),"","NGOÀI KỲ"))</f>
        <v/>
      </c>
      <c r="O468" s="53">
        <f>IF($J468="","",IF($J468&lt;=0,"≤0",""))</f>
        <v/>
      </c>
      <c r="P468" s="53">
        <f>IF(AND($D468="SXC (627)",$F468="Chung"),IF(OR($G468="Cố định",$G468="Biến đổi"),"","THIẾU TÍNH CHẤT"),"")</f>
        <v/>
      </c>
    </row>
    <row r="469" ht="15" customHeight="1" s="54">
      <c r="A469" s="71" t="n"/>
      <c r="B469" s="67" t="n"/>
      <c r="C469" s="67" t="n"/>
      <c r="D469" s="67" t="n"/>
      <c r="E469" s="79">
        <f>IFERROR(INDEX(MAP_TK,MATCH($D469,MAP_KM,0)),"")</f>
        <v/>
      </c>
      <c r="F469" s="67" t="n"/>
      <c r="G469" s="67" t="n"/>
      <c r="H469" s="67" t="n"/>
      <c r="I469" s="67" t="n"/>
      <c r="J469" s="75" t="n"/>
      <c r="K469" s="67" t="n"/>
      <c r="M469" s="53">
        <f>IF($C469="","",IF(OR($C469="CHUNG",COUNTIF(DM_Ma,$C469)&gt;0),"","MÃ LẠ"))</f>
        <v/>
      </c>
      <c r="N469" s="53">
        <f>IF($A469="","",IF(AND($A469&gt;=pTu,$A469&lt;=pDen),"","NGOÀI KỲ"))</f>
        <v/>
      </c>
      <c r="O469" s="53">
        <f>IF($J469="","",IF($J469&lt;=0,"≤0",""))</f>
        <v/>
      </c>
      <c r="P469" s="53">
        <f>IF(AND($D469="SXC (627)",$F469="Chung"),IF(OR($G469="Cố định",$G469="Biến đổi"),"","THIẾU TÍNH CHẤT"),"")</f>
        <v/>
      </c>
    </row>
    <row r="470" ht="15" customHeight="1" s="54">
      <c r="A470" s="71" t="n"/>
      <c r="B470" s="67" t="n"/>
      <c r="C470" s="67" t="n"/>
      <c r="D470" s="67" t="n"/>
      <c r="E470" s="79">
        <f>IFERROR(INDEX(MAP_TK,MATCH($D470,MAP_KM,0)),"")</f>
        <v/>
      </c>
      <c r="F470" s="67" t="n"/>
      <c r="G470" s="67" t="n"/>
      <c r="H470" s="67" t="n"/>
      <c r="I470" s="67" t="n"/>
      <c r="J470" s="75" t="n"/>
      <c r="K470" s="67" t="n"/>
      <c r="M470" s="53">
        <f>IF($C470="","",IF(OR($C470="CHUNG",COUNTIF(DM_Ma,$C470)&gt;0),"","MÃ LẠ"))</f>
        <v/>
      </c>
      <c r="N470" s="53">
        <f>IF($A470="","",IF(AND($A470&gt;=pTu,$A470&lt;=pDen),"","NGOÀI KỲ"))</f>
        <v/>
      </c>
      <c r="O470" s="53">
        <f>IF($J470="","",IF($J470&lt;=0,"≤0",""))</f>
        <v/>
      </c>
      <c r="P470" s="53">
        <f>IF(AND($D470="SXC (627)",$F470="Chung"),IF(OR($G470="Cố định",$G470="Biến đổi"),"","THIẾU TÍNH CHẤT"),"")</f>
        <v/>
      </c>
    </row>
    <row r="471" ht="15" customHeight="1" s="54">
      <c r="A471" s="71" t="n"/>
      <c r="B471" s="67" t="n"/>
      <c r="C471" s="67" t="n"/>
      <c r="D471" s="67" t="n"/>
      <c r="E471" s="79">
        <f>IFERROR(INDEX(MAP_TK,MATCH($D471,MAP_KM,0)),"")</f>
        <v/>
      </c>
      <c r="F471" s="67" t="n"/>
      <c r="G471" s="67" t="n"/>
      <c r="H471" s="67" t="n"/>
      <c r="I471" s="67" t="n"/>
      <c r="J471" s="75" t="n"/>
      <c r="K471" s="67" t="n"/>
      <c r="M471" s="53">
        <f>IF($C471="","",IF(OR($C471="CHUNG",COUNTIF(DM_Ma,$C471)&gt;0),"","MÃ LẠ"))</f>
        <v/>
      </c>
      <c r="N471" s="53">
        <f>IF($A471="","",IF(AND($A471&gt;=pTu,$A471&lt;=pDen),"","NGOÀI KỲ"))</f>
        <v/>
      </c>
      <c r="O471" s="53">
        <f>IF($J471="","",IF($J471&lt;=0,"≤0",""))</f>
        <v/>
      </c>
      <c r="P471" s="53">
        <f>IF(AND($D471="SXC (627)",$F471="Chung"),IF(OR($G471="Cố định",$G471="Biến đổi"),"","THIẾU TÍNH CHẤT"),"")</f>
        <v/>
      </c>
    </row>
    <row r="472" ht="15" customHeight="1" s="54">
      <c r="A472" s="71" t="n"/>
      <c r="B472" s="67" t="n"/>
      <c r="C472" s="67" t="n"/>
      <c r="D472" s="67" t="n"/>
      <c r="E472" s="79">
        <f>IFERROR(INDEX(MAP_TK,MATCH($D472,MAP_KM,0)),"")</f>
        <v/>
      </c>
      <c r="F472" s="67" t="n"/>
      <c r="G472" s="67" t="n"/>
      <c r="H472" s="67" t="n"/>
      <c r="I472" s="67" t="n"/>
      <c r="J472" s="75" t="n"/>
      <c r="K472" s="67" t="n"/>
      <c r="M472" s="53">
        <f>IF($C472="","",IF(OR($C472="CHUNG",COUNTIF(DM_Ma,$C472)&gt;0),"","MÃ LẠ"))</f>
        <v/>
      </c>
      <c r="N472" s="53">
        <f>IF($A472="","",IF(AND($A472&gt;=pTu,$A472&lt;=pDen),"","NGOÀI KỲ"))</f>
        <v/>
      </c>
      <c r="O472" s="53">
        <f>IF($J472="","",IF($J472&lt;=0,"≤0",""))</f>
        <v/>
      </c>
      <c r="P472" s="53">
        <f>IF(AND($D472="SXC (627)",$F472="Chung"),IF(OR($G472="Cố định",$G472="Biến đổi"),"","THIẾU TÍNH CHẤT"),"")</f>
        <v/>
      </c>
    </row>
    <row r="473" ht="15" customHeight="1" s="54">
      <c r="A473" s="71" t="n"/>
      <c r="B473" s="67" t="n"/>
      <c r="C473" s="67" t="n"/>
      <c r="D473" s="67" t="n"/>
      <c r="E473" s="79">
        <f>IFERROR(INDEX(MAP_TK,MATCH($D473,MAP_KM,0)),"")</f>
        <v/>
      </c>
      <c r="F473" s="67" t="n"/>
      <c r="G473" s="67" t="n"/>
      <c r="H473" s="67" t="n"/>
      <c r="I473" s="67" t="n"/>
      <c r="J473" s="75" t="n"/>
      <c r="K473" s="67" t="n"/>
      <c r="M473" s="53">
        <f>IF($C473="","",IF(OR($C473="CHUNG",COUNTIF(DM_Ma,$C473)&gt;0),"","MÃ LẠ"))</f>
        <v/>
      </c>
      <c r="N473" s="53">
        <f>IF($A473="","",IF(AND($A473&gt;=pTu,$A473&lt;=pDen),"","NGOÀI KỲ"))</f>
        <v/>
      </c>
      <c r="O473" s="53">
        <f>IF($J473="","",IF($J473&lt;=0,"≤0",""))</f>
        <v/>
      </c>
      <c r="P473" s="53">
        <f>IF(AND($D473="SXC (627)",$F473="Chung"),IF(OR($G473="Cố định",$G473="Biến đổi"),"","THIẾU TÍNH CHẤT"),"")</f>
        <v/>
      </c>
    </row>
    <row r="474" ht="15" customHeight="1" s="54">
      <c r="A474" s="71" t="n"/>
      <c r="B474" s="67" t="n"/>
      <c r="C474" s="67" t="n"/>
      <c r="D474" s="67" t="n"/>
      <c r="E474" s="79">
        <f>IFERROR(INDEX(MAP_TK,MATCH($D474,MAP_KM,0)),"")</f>
        <v/>
      </c>
      <c r="F474" s="67" t="n"/>
      <c r="G474" s="67" t="n"/>
      <c r="H474" s="67" t="n"/>
      <c r="I474" s="67" t="n"/>
      <c r="J474" s="75" t="n"/>
      <c r="K474" s="67" t="n"/>
      <c r="M474" s="53">
        <f>IF($C474="","",IF(OR($C474="CHUNG",COUNTIF(DM_Ma,$C474)&gt;0),"","MÃ LẠ"))</f>
        <v/>
      </c>
      <c r="N474" s="53">
        <f>IF($A474="","",IF(AND($A474&gt;=pTu,$A474&lt;=pDen),"","NGOÀI KỲ"))</f>
        <v/>
      </c>
      <c r="O474" s="53">
        <f>IF($J474="","",IF($J474&lt;=0,"≤0",""))</f>
        <v/>
      </c>
      <c r="P474" s="53">
        <f>IF(AND($D474="SXC (627)",$F474="Chung"),IF(OR($G474="Cố định",$G474="Biến đổi"),"","THIẾU TÍNH CHẤT"),"")</f>
        <v/>
      </c>
    </row>
    <row r="475" ht="15" customHeight="1" s="54">
      <c r="A475" s="71" t="n"/>
      <c r="B475" s="67" t="n"/>
      <c r="C475" s="67" t="n"/>
      <c r="D475" s="67" t="n"/>
      <c r="E475" s="79">
        <f>IFERROR(INDEX(MAP_TK,MATCH($D475,MAP_KM,0)),"")</f>
        <v/>
      </c>
      <c r="F475" s="67" t="n"/>
      <c r="G475" s="67" t="n"/>
      <c r="H475" s="67" t="n"/>
      <c r="I475" s="67" t="n"/>
      <c r="J475" s="75" t="n"/>
      <c r="K475" s="67" t="n"/>
      <c r="M475" s="53">
        <f>IF($C475="","",IF(OR($C475="CHUNG",COUNTIF(DM_Ma,$C475)&gt;0),"","MÃ LẠ"))</f>
        <v/>
      </c>
      <c r="N475" s="53">
        <f>IF($A475="","",IF(AND($A475&gt;=pTu,$A475&lt;=pDen),"","NGOÀI KỲ"))</f>
        <v/>
      </c>
      <c r="O475" s="53">
        <f>IF($J475="","",IF($J475&lt;=0,"≤0",""))</f>
        <v/>
      </c>
      <c r="P475" s="53">
        <f>IF(AND($D475="SXC (627)",$F475="Chung"),IF(OR($G475="Cố định",$G475="Biến đổi"),"","THIẾU TÍNH CHẤT"),"")</f>
        <v/>
      </c>
    </row>
    <row r="476" ht="15" customHeight="1" s="54">
      <c r="A476" s="71" t="n"/>
      <c r="B476" s="67" t="n"/>
      <c r="C476" s="67" t="n"/>
      <c r="D476" s="67" t="n"/>
      <c r="E476" s="79">
        <f>IFERROR(INDEX(MAP_TK,MATCH($D476,MAP_KM,0)),"")</f>
        <v/>
      </c>
      <c r="F476" s="67" t="n"/>
      <c r="G476" s="67" t="n"/>
      <c r="H476" s="67" t="n"/>
      <c r="I476" s="67" t="n"/>
      <c r="J476" s="75" t="n"/>
      <c r="K476" s="67" t="n"/>
      <c r="M476" s="53">
        <f>IF($C476="","",IF(OR($C476="CHUNG",COUNTIF(DM_Ma,$C476)&gt;0),"","MÃ LẠ"))</f>
        <v/>
      </c>
      <c r="N476" s="53">
        <f>IF($A476="","",IF(AND($A476&gt;=pTu,$A476&lt;=pDen),"","NGOÀI KỲ"))</f>
        <v/>
      </c>
      <c r="O476" s="53">
        <f>IF($J476="","",IF($J476&lt;=0,"≤0",""))</f>
        <v/>
      </c>
      <c r="P476" s="53">
        <f>IF(AND($D476="SXC (627)",$F476="Chung"),IF(OR($G476="Cố định",$G476="Biến đổi"),"","THIẾU TÍNH CHẤT"),"")</f>
        <v/>
      </c>
    </row>
    <row r="477" ht="15" customHeight="1" s="54">
      <c r="A477" s="71" t="n"/>
      <c r="B477" s="67" t="n"/>
      <c r="C477" s="67" t="n"/>
      <c r="D477" s="67" t="n"/>
      <c r="E477" s="79">
        <f>IFERROR(INDEX(MAP_TK,MATCH($D477,MAP_KM,0)),"")</f>
        <v/>
      </c>
      <c r="F477" s="67" t="n"/>
      <c r="G477" s="67" t="n"/>
      <c r="H477" s="67" t="n"/>
      <c r="I477" s="67" t="n"/>
      <c r="J477" s="75" t="n"/>
      <c r="K477" s="67" t="n"/>
      <c r="M477" s="53">
        <f>IF($C477="","",IF(OR($C477="CHUNG",COUNTIF(DM_Ma,$C477)&gt;0),"","MÃ LẠ"))</f>
        <v/>
      </c>
      <c r="N477" s="53">
        <f>IF($A477="","",IF(AND($A477&gt;=pTu,$A477&lt;=pDen),"","NGOÀI KỲ"))</f>
        <v/>
      </c>
      <c r="O477" s="53">
        <f>IF($J477="","",IF($J477&lt;=0,"≤0",""))</f>
        <v/>
      </c>
      <c r="P477" s="53">
        <f>IF(AND($D477="SXC (627)",$F477="Chung"),IF(OR($G477="Cố định",$G477="Biến đổi"),"","THIẾU TÍNH CHẤT"),"")</f>
        <v/>
      </c>
    </row>
    <row r="478" ht="15" customHeight="1" s="54">
      <c r="A478" s="71" t="n"/>
      <c r="B478" s="67" t="n"/>
      <c r="C478" s="67" t="n"/>
      <c r="D478" s="67" t="n"/>
      <c r="E478" s="79">
        <f>IFERROR(INDEX(MAP_TK,MATCH($D478,MAP_KM,0)),"")</f>
        <v/>
      </c>
      <c r="F478" s="67" t="n"/>
      <c r="G478" s="67" t="n"/>
      <c r="H478" s="67" t="n"/>
      <c r="I478" s="67" t="n"/>
      <c r="J478" s="75" t="n"/>
      <c r="K478" s="67" t="n"/>
      <c r="M478" s="53">
        <f>IF($C478="","",IF(OR($C478="CHUNG",COUNTIF(DM_Ma,$C478)&gt;0),"","MÃ LẠ"))</f>
        <v/>
      </c>
      <c r="N478" s="53">
        <f>IF($A478="","",IF(AND($A478&gt;=pTu,$A478&lt;=pDen),"","NGOÀI KỲ"))</f>
        <v/>
      </c>
      <c r="O478" s="53">
        <f>IF($J478="","",IF($J478&lt;=0,"≤0",""))</f>
        <v/>
      </c>
      <c r="P478" s="53">
        <f>IF(AND($D478="SXC (627)",$F478="Chung"),IF(OR($G478="Cố định",$G478="Biến đổi"),"","THIẾU TÍNH CHẤT"),"")</f>
        <v/>
      </c>
    </row>
    <row r="479" ht="15" customHeight="1" s="54">
      <c r="A479" s="71" t="n"/>
      <c r="B479" s="67" t="n"/>
      <c r="C479" s="67" t="n"/>
      <c r="D479" s="67" t="n"/>
      <c r="E479" s="79">
        <f>IFERROR(INDEX(MAP_TK,MATCH($D479,MAP_KM,0)),"")</f>
        <v/>
      </c>
      <c r="F479" s="67" t="n"/>
      <c r="G479" s="67" t="n"/>
      <c r="H479" s="67" t="n"/>
      <c r="I479" s="67" t="n"/>
      <c r="J479" s="75" t="n"/>
      <c r="K479" s="67" t="n"/>
      <c r="M479" s="53">
        <f>IF($C479="","",IF(OR($C479="CHUNG",COUNTIF(DM_Ma,$C479)&gt;0),"","MÃ LẠ"))</f>
        <v/>
      </c>
      <c r="N479" s="53">
        <f>IF($A479="","",IF(AND($A479&gt;=pTu,$A479&lt;=pDen),"","NGOÀI KỲ"))</f>
        <v/>
      </c>
      <c r="O479" s="53">
        <f>IF($J479="","",IF($J479&lt;=0,"≤0",""))</f>
        <v/>
      </c>
      <c r="P479" s="53">
        <f>IF(AND($D479="SXC (627)",$F479="Chung"),IF(OR($G479="Cố định",$G479="Biến đổi"),"","THIẾU TÍNH CHẤT"),"")</f>
        <v/>
      </c>
    </row>
    <row r="480" ht="15" customHeight="1" s="54">
      <c r="A480" s="71" t="n"/>
      <c r="B480" s="67" t="n"/>
      <c r="C480" s="67" t="n"/>
      <c r="D480" s="67" t="n"/>
      <c r="E480" s="79">
        <f>IFERROR(INDEX(MAP_TK,MATCH($D480,MAP_KM,0)),"")</f>
        <v/>
      </c>
      <c r="F480" s="67" t="n"/>
      <c r="G480" s="67" t="n"/>
      <c r="H480" s="67" t="n"/>
      <c r="I480" s="67" t="n"/>
      <c r="J480" s="75" t="n"/>
      <c r="K480" s="67" t="n"/>
      <c r="M480" s="53">
        <f>IF($C480="","",IF(OR($C480="CHUNG",COUNTIF(DM_Ma,$C480)&gt;0),"","MÃ LẠ"))</f>
        <v/>
      </c>
      <c r="N480" s="53">
        <f>IF($A480="","",IF(AND($A480&gt;=pTu,$A480&lt;=pDen),"","NGOÀI KỲ"))</f>
        <v/>
      </c>
      <c r="O480" s="53">
        <f>IF($J480="","",IF($J480&lt;=0,"≤0",""))</f>
        <v/>
      </c>
      <c r="P480" s="53">
        <f>IF(AND($D480="SXC (627)",$F480="Chung"),IF(OR($G480="Cố định",$G480="Biến đổi"),"","THIẾU TÍNH CHẤT"),"")</f>
        <v/>
      </c>
    </row>
    <row r="481" ht="15" customHeight="1" s="54">
      <c r="A481" s="71" t="n"/>
      <c r="B481" s="67" t="n"/>
      <c r="C481" s="67" t="n"/>
      <c r="D481" s="67" t="n"/>
      <c r="E481" s="79">
        <f>IFERROR(INDEX(MAP_TK,MATCH($D481,MAP_KM,0)),"")</f>
        <v/>
      </c>
      <c r="F481" s="67" t="n"/>
      <c r="G481" s="67" t="n"/>
      <c r="H481" s="67" t="n"/>
      <c r="I481" s="67" t="n"/>
      <c r="J481" s="75" t="n"/>
      <c r="K481" s="67" t="n"/>
      <c r="M481" s="53">
        <f>IF($C481="","",IF(OR($C481="CHUNG",COUNTIF(DM_Ma,$C481)&gt;0),"","MÃ LẠ"))</f>
        <v/>
      </c>
      <c r="N481" s="53">
        <f>IF($A481="","",IF(AND($A481&gt;=pTu,$A481&lt;=pDen),"","NGOÀI KỲ"))</f>
        <v/>
      </c>
      <c r="O481" s="53">
        <f>IF($J481="","",IF($J481&lt;=0,"≤0",""))</f>
        <v/>
      </c>
      <c r="P481" s="53">
        <f>IF(AND($D481="SXC (627)",$F481="Chung"),IF(OR($G481="Cố định",$G481="Biến đổi"),"","THIẾU TÍNH CHẤT"),"")</f>
        <v/>
      </c>
    </row>
    <row r="482" ht="15" customHeight="1" s="54">
      <c r="A482" s="71" t="n"/>
      <c r="B482" s="67" t="n"/>
      <c r="C482" s="67" t="n"/>
      <c r="D482" s="67" t="n"/>
      <c r="E482" s="79">
        <f>IFERROR(INDEX(MAP_TK,MATCH($D482,MAP_KM,0)),"")</f>
        <v/>
      </c>
      <c r="F482" s="67" t="n"/>
      <c r="G482" s="67" t="n"/>
      <c r="H482" s="67" t="n"/>
      <c r="I482" s="67" t="n"/>
      <c r="J482" s="75" t="n"/>
      <c r="K482" s="67" t="n"/>
      <c r="M482" s="53">
        <f>IF($C482="","",IF(OR($C482="CHUNG",COUNTIF(DM_Ma,$C482)&gt;0),"","MÃ LẠ"))</f>
        <v/>
      </c>
      <c r="N482" s="53">
        <f>IF($A482="","",IF(AND($A482&gt;=pTu,$A482&lt;=pDen),"","NGOÀI KỲ"))</f>
        <v/>
      </c>
      <c r="O482" s="53">
        <f>IF($J482="","",IF($J482&lt;=0,"≤0",""))</f>
        <v/>
      </c>
      <c r="P482" s="53">
        <f>IF(AND($D482="SXC (627)",$F482="Chung"),IF(OR($G482="Cố định",$G482="Biến đổi"),"","THIẾU TÍNH CHẤT"),"")</f>
        <v/>
      </c>
    </row>
    <row r="483" ht="15" customHeight="1" s="54">
      <c r="A483" s="71" t="n"/>
      <c r="B483" s="67" t="n"/>
      <c r="C483" s="67" t="n"/>
      <c r="D483" s="67" t="n"/>
      <c r="E483" s="79">
        <f>IFERROR(INDEX(MAP_TK,MATCH($D483,MAP_KM,0)),"")</f>
        <v/>
      </c>
      <c r="F483" s="67" t="n"/>
      <c r="G483" s="67" t="n"/>
      <c r="H483" s="67" t="n"/>
      <c r="I483" s="67" t="n"/>
      <c r="J483" s="75" t="n"/>
      <c r="K483" s="67" t="n"/>
      <c r="M483" s="53">
        <f>IF($C483="","",IF(OR($C483="CHUNG",COUNTIF(DM_Ma,$C483)&gt;0),"","MÃ LẠ"))</f>
        <v/>
      </c>
      <c r="N483" s="53">
        <f>IF($A483="","",IF(AND($A483&gt;=pTu,$A483&lt;=pDen),"","NGOÀI KỲ"))</f>
        <v/>
      </c>
      <c r="O483" s="53">
        <f>IF($J483="","",IF($J483&lt;=0,"≤0",""))</f>
        <v/>
      </c>
      <c r="P483" s="53">
        <f>IF(AND($D483="SXC (627)",$F483="Chung"),IF(OR($G483="Cố định",$G483="Biến đổi"),"","THIẾU TÍNH CHẤT"),"")</f>
        <v/>
      </c>
    </row>
    <row r="484" ht="15" customHeight="1" s="54">
      <c r="A484" s="71" t="n"/>
      <c r="B484" s="67" t="n"/>
      <c r="C484" s="67" t="n"/>
      <c r="D484" s="67" t="n"/>
      <c r="E484" s="79">
        <f>IFERROR(INDEX(MAP_TK,MATCH($D484,MAP_KM,0)),"")</f>
        <v/>
      </c>
      <c r="F484" s="67" t="n"/>
      <c r="G484" s="67" t="n"/>
      <c r="H484" s="67" t="n"/>
      <c r="I484" s="67" t="n"/>
      <c r="J484" s="75" t="n"/>
      <c r="K484" s="67" t="n"/>
      <c r="M484" s="53">
        <f>IF($C484="","",IF(OR($C484="CHUNG",COUNTIF(DM_Ma,$C484)&gt;0),"","MÃ LẠ"))</f>
        <v/>
      </c>
      <c r="N484" s="53">
        <f>IF($A484="","",IF(AND($A484&gt;=pTu,$A484&lt;=pDen),"","NGOÀI KỲ"))</f>
        <v/>
      </c>
      <c r="O484" s="53">
        <f>IF($J484="","",IF($J484&lt;=0,"≤0",""))</f>
        <v/>
      </c>
      <c r="P484" s="53">
        <f>IF(AND($D484="SXC (627)",$F484="Chung"),IF(OR($G484="Cố định",$G484="Biến đổi"),"","THIẾU TÍNH CHẤT"),"")</f>
        <v/>
      </c>
    </row>
    <row r="485" ht="15" customHeight="1" s="54">
      <c r="A485" s="71" t="n"/>
      <c r="B485" s="67" t="n"/>
      <c r="C485" s="67" t="n"/>
      <c r="D485" s="67" t="n"/>
      <c r="E485" s="79">
        <f>IFERROR(INDEX(MAP_TK,MATCH($D485,MAP_KM,0)),"")</f>
        <v/>
      </c>
      <c r="F485" s="67" t="n"/>
      <c r="G485" s="67" t="n"/>
      <c r="H485" s="67" t="n"/>
      <c r="I485" s="67" t="n"/>
      <c r="J485" s="75" t="n"/>
      <c r="K485" s="67" t="n"/>
      <c r="M485" s="53">
        <f>IF($C485="","",IF(OR($C485="CHUNG",COUNTIF(DM_Ma,$C485)&gt;0),"","MÃ LẠ"))</f>
        <v/>
      </c>
      <c r="N485" s="53">
        <f>IF($A485="","",IF(AND($A485&gt;=pTu,$A485&lt;=pDen),"","NGOÀI KỲ"))</f>
        <v/>
      </c>
      <c r="O485" s="53">
        <f>IF($J485="","",IF($J485&lt;=0,"≤0",""))</f>
        <v/>
      </c>
      <c r="P485" s="53">
        <f>IF(AND($D485="SXC (627)",$F485="Chung"),IF(OR($G485="Cố định",$G485="Biến đổi"),"","THIẾU TÍNH CHẤT"),"")</f>
        <v/>
      </c>
    </row>
    <row r="486" ht="15" customHeight="1" s="54">
      <c r="A486" s="71" t="n"/>
      <c r="B486" s="67" t="n"/>
      <c r="C486" s="67" t="n"/>
      <c r="D486" s="67" t="n"/>
      <c r="E486" s="79">
        <f>IFERROR(INDEX(MAP_TK,MATCH($D486,MAP_KM,0)),"")</f>
        <v/>
      </c>
      <c r="F486" s="67" t="n"/>
      <c r="G486" s="67" t="n"/>
      <c r="H486" s="67" t="n"/>
      <c r="I486" s="67" t="n"/>
      <c r="J486" s="75" t="n"/>
      <c r="K486" s="67" t="n"/>
      <c r="M486" s="53">
        <f>IF($C486="","",IF(OR($C486="CHUNG",COUNTIF(DM_Ma,$C486)&gt;0),"","MÃ LẠ"))</f>
        <v/>
      </c>
      <c r="N486" s="53">
        <f>IF($A486="","",IF(AND($A486&gt;=pTu,$A486&lt;=pDen),"","NGOÀI KỲ"))</f>
        <v/>
      </c>
      <c r="O486" s="53">
        <f>IF($J486="","",IF($J486&lt;=0,"≤0",""))</f>
        <v/>
      </c>
      <c r="P486" s="53">
        <f>IF(AND($D486="SXC (627)",$F486="Chung"),IF(OR($G486="Cố định",$G486="Biến đổi"),"","THIẾU TÍNH CHẤT"),"")</f>
        <v/>
      </c>
    </row>
    <row r="487" ht="15" customHeight="1" s="54">
      <c r="A487" s="71" t="n"/>
      <c r="B487" s="67" t="n"/>
      <c r="C487" s="67" t="n"/>
      <c r="D487" s="67" t="n"/>
      <c r="E487" s="79">
        <f>IFERROR(INDEX(MAP_TK,MATCH($D487,MAP_KM,0)),"")</f>
        <v/>
      </c>
      <c r="F487" s="67" t="n"/>
      <c r="G487" s="67" t="n"/>
      <c r="H487" s="67" t="n"/>
      <c r="I487" s="67" t="n"/>
      <c r="J487" s="75" t="n"/>
      <c r="K487" s="67" t="n"/>
      <c r="M487" s="53">
        <f>IF($C487="","",IF(OR($C487="CHUNG",COUNTIF(DM_Ma,$C487)&gt;0),"","MÃ LẠ"))</f>
        <v/>
      </c>
      <c r="N487" s="53">
        <f>IF($A487="","",IF(AND($A487&gt;=pTu,$A487&lt;=pDen),"","NGOÀI KỲ"))</f>
        <v/>
      </c>
      <c r="O487" s="53">
        <f>IF($J487="","",IF($J487&lt;=0,"≤0",""))</f>
        <v/>
      </c>
      <c r="P487" s="53">
        <f>IF(AND($D487="SXC (627)",$F487="Chung"),IF(OR($G487="Cố định",$G487="Biến đổi"),"","THIẾU TÍNH CHẤT"),"")</f>
        <v/>
      </c>
    </row>
    <row r="488" ht="15" customHeight="1" s="54">
      <c r="A488" s="71" t="n"/>
      <c r="B488" s="67" t="n"/>
      <c r="C488" s="67" t="n"/>
      <c r="D488" s="67" t="n"/>
      <c r="E488" s="79">
        <f>IFERROR(INDEX(MAP_TK,MATCH($D488,MAP_KM,0)),"")</f>
        <v/>
      </c>
      <c r="F488" s="67" t="n"/>
      <c r="G488" s="67" t="n"/>
      <c r="H488" s="67" t="n"/>
      <c r="I488" s="67" t="n"/>
      <c r="J488" s="75" t="n"/>
      <c r="K488" s="67" t="n"/>
      <c r="M488" s="53">
        <f>IF($C488="","",IF(OR($C488="CHUNG",COUNTIF(DM_Ma,$C488)&gt;0),"","MÃ LẠ"))</f>
        <v/>
      </c>
      <c r="N488" s="53">
        <f>IF($A488="","",IF(AND($A488&gt;=pTu,$A488&lt;=pDen),"","NGOÀI KỲ"))</f>
        <v/>
      </c>
      <c r="O488" s="53">
        <f>IF($J488="","",IF($J488&lt;=0,"≤0",""))</f>
        <v/>
      </c>
      <c r="P488" s="53">
        <f>IF(AND($D488="SXC (627)",$F488="Chung"),IF(OR($G488="Cố định",$G488="Biến đổi"),"","THIẾU TÍNH CHẤT"),"")</f>
        <v/>
      </c>
    </row>
    <row r="489" ht="15" customHeight="1" s="54">
      <c r="A489" s="71" t="n"/>
      <c r="B489" s="67" t="n"/>
      <c r="C489" s="67" t="n"/>
      <c r="D489" s="67" t="n"/>
      <c r="E489" s="79">
        <f>IFERROR(INDEX(MAP_TK,MATCH($D489,MAP_KM,0)),"")</f>
        <v/>
      </c>
      <c r="F489" s="67" t="n"/>
      <c r="G489" s="67" t="n"/>
      <c r="H489" s="67" t="n"/>
      <c r="I489" s="67" t="n"/>
      <c r="J489" s="75" t="n"/>
      <c r="K489" s="67" t="n"/>
      <c r="M489" s="53">
        <f>IF($C489="","",IF(OR($C489="CHUNG",COUNTIF(DM_Ma,$C489)&gt;0),"","MÃ LẠ"))</f>
        <v/>
      </c>
      <c r="N489" s="53">
        <f>IF($A489="","",IF(AND($A489&gt;=pTu,$A489&lt;=pDen),"","NGOÀI KỲ"))</f>
        <v/>
      </c>
      <c r="O489" s="53">
        <f>IF($J489="","",IF($J489&lt;=0,"≤0",""))</f>
        <v/>
      </c>
      <c r="P489" s="53">
        <f>IF(AND($D489="SXC (627)",$F489="Chung"),IF(OR($G489="Cố định",$G489="Biến đổi"),"","THIẾU TÍNH CHẤT"),"")</f>
        <v/>
      </c>
    </row>
    <row r="490" ht="15" customHeight="1" s="54">
      <c r="A490" s="71" t="n"/>
      <c r="B490" s="67" t="n"/>
      <c r="C490" s="67" t="n"/>
      <c r="D490" s="67" t="n"/>
      <c r="E490" s="79">
        <f>IFERROR(INDEX(MAP_TK,MATCH($D490,MAP_KM,0)),"")</f>
        <v/>
      </c>
      <c r="F490" s="67" t="n"/>
      <c r="G490" s="67" t="n"/>
      <c r="H490" s="67" t="n"/>
      <c r="I490" s="67" t="n"/>
      <c r="J490" s="75" t="n"/>
      <c r="K490" s="67" t="n"/>
      <c r="M490" s="53">
        <f>IF($C490="","",IF(OR($C490="CHUNG",COUNTIF(DM_Ma,$C490)&gt;0),"","MÃ LẠ"))</f>
        <v/>
      </c>
      <c r="N490" s="53">
        <f>IF($A490="","",IF(AND($A490&gt;=pTu,$A490&lt;=pDen),"","NGOÀI KỲ"))</f>
        <v/>
      </c>
      <c r="O490" s="53">
        <f>IF($J490="","",IF($J490&lt;=0,"≤0",""))</f>
        <v/>
      </c>
      <c r="P490" s="53">
        <f>IF(AND($D490="SXC (627)",$F490="Chung"),IF(OR($G490="Cố định",$G490="Biến đổi"),"","THIẾU TÍNH CHẤT"),"")</f>
        <v/>
      </c>
    </row>
    <row r="491" ht="15" customHeight="1" s="54">
      <c r="A491" s="71" t="n"/>
      <c r="B491" s="67" t="n"/>
      <c r="C491" s="67" t="n"/>
      <c r="D491" s="67" t="n"/>
      <c r="E491" s="79">
        <f>IFERROR(INDEX(MAP_TK,MATCH($D491,MAP_KM,0)),"")</f>
        <v/>
      </c>
      <c r="F491" s="67" t="n"/>
      <c r="G491" s="67" t="n"/>
      <c r="H491" s="67" t="n"/>
      <c r="I491" s="67" t="n"/>
      <c r="J491" s="75" t="n"/>
      <c r="K491" s="67" t="n"/>
      <c r="M491" s="53">
        <f>IF($C491="","",IF(OR($C491="CHUNG",COUNTIF(DM_Ma,$C491)&gt;0),"","MÃ LẠ"))</f>
        <v/>
      </c>
      <c r="N491" s="53">
        <f>IF($A491="","",IF(AND($A491&gt;=pTu,$A491&lt;=pDen),"","NGOÀI KỲ"))</f>
        <v/>
      </c>
      <c r="O491" s="53">
        <f>IF($J491="","",IF($J491&lt;=0,"≤0",""))</f>
        <v/>
      </c>
      <c r="P491" s="53">
        <f>IF(AND($D491="SXC (627)",$F491="Chung"),IF(OR($G491="Cố định",$G491="Biến đổi"),"","THIẾU TÍNH CHẤT"),"")</f>
        <v/>
      </c>
    </row>
    <row r="492" ht="15" customHeight="1" s="54">
      <c r="A492" s="71" t="n"/>
      <c r="B492" s="67" t="n"/>
      <c r="C492" s="67" t="n"/>
      <c r="D492" s="67" t="n"/>
      <c r="E492" s="79">
        <f>IFERROR(INDEX(MAP_TK,MATCH($D492,MAP_KM,0)),"")</f>
        <v/>
      </c>
      <c r="F492" s="67" t="n"/>
      <c r="G492" s="67" t="n"/>
      <c r="H492" s="67" t="n"/>
      <c r="I492" s="67" t="n"/>
      <c r="J492" s="75" t="n"/>
      <c r="K492" s="67" t="n"/>
      <c r="M492" s="53">
        <f>IF($C492="","",IF(OR($C492="CHUNG",COUNTIF(DM_Ma,$C492)&gt;0),"","MÃ LẠ"))</f>
        <v/>
      </c>
      <c r="N492" s="53">
        <f>IF($A492="","",IF(AND($A492&gt;=pTu,$A492&lt;=pDen),"","NGOÀI KỲ"))</f>
        <v/>
      </c>
      <c r="O492" s="53">
        <f>IF($J492="","",IF($J492&lt;=0,"≤0",""))</f>
        <v/>
      </c>
      <c r="P492" s="53">
        <f>IF(AND($D492="SXC (627)",$F492="Chung"),IF(OR($G492="Cố định",$G492="Biến đổi"),"","THIẾU TÍNH CHẤT"),"")</f>
        <v/>
      </c>
    </row>
    <row r="493" ht="15" customHeight="1" s="54">
      <c r="A493" s="71" t="n"/>
      <c r="B493" s="67" t="n"/>
      <c r="C493" s="67" t="n"/>
      <c r="D493" s="67" t="n"/>
      <c r="E493" s="79">
        <f>IFERROR(INDEX(MAP_TK,MATCH($D493,MAP_KM,0)),"")</f>
        <v/>
      </c>
      <c r="F493" s="67" t="n"/>
      <c r="G493" s="67" t="n"/>
      <c r="H493" s="67" t="n"/>
      <c r="I493" s="67" t="n"/>
      <c r="J493" s="75" t="n"/>
      <c r="K493" s="67" t="n"/>
      <c r="M493" s="53">
        <f>IF($C493="","",IF(OR($C493="CHUNG",COUNTIF(DM_Ma,$C493)&gt;0),"","MÃ LẠ"))</f>
        <v/>
      </c>
      <c r="N493" s="53">
        <f>IF($A493="","",IF(AND($A493&gt;=pTu,$A493&lt;=pDen),"","NGOÀI KỲ"))</f>
        <v/>
      </c>
      <c r="O493" s="53">
        <f>IF($J493="","",IF($J493&lt;=0,"≤0",""))</f>
        <v/>
      </c>
      <c r="P493" s="53">
        <f>IF(AND($D493="SXC (627)",$F493="Chung"),IF(OR($G493="Cố định",$G493="Biến đổi"),"","THIẾU TÍNH CHẤT"),"")</f>
        <v/>
      </c>
    </row>
    <row r="494" ht="15" customHeight="1" s="54">
      <c r="A494" s="71" t="n"/>
      <c r="B494" s="67" t="n"/>
      <c r="C494" s="67" t="n"/>
      <c r="D494" s="67" t="n"/>
      <c r="E494" s="79">
        <f>IFERROR(INDEX(MAP_TK,MATCH($D494,MAP_KM,0)),"")</f>
        <v/>
      </c>
      <c r="F494" s="67" t="n"/>
      <c r="G494" s="67" t="n"/>
      <c r="H494" s="67" t="n"/>
      <c r="I494" s="67" t="n"/>
      <c r="J494" s="75" t="n"/>
      <c r="K494" s="67" t="n"/>
      <c r="M494" s="53">
        <f>IF($C494="","",IF(OR($C494="CHUNG",COUNTIF(DM_Ma,$C494)&gt;0),"","MÃ LẠ"))</f>
        <v/>
      </c>
      <c r="N494" s="53">
        <f>IF($A494="","",IF(AND($A494&gt;=pTu,$A494&lt;=pDen),"","NGOÀI KỲ"))</f>
        <v/>
      </c>
      <c r="O494" s="53">
        <f>IF($J494="","",IF($J494&lt;=0,"≤0",""))</f>
        <v/>
      </c>
      <c r="P494" s="53">
        <f>IF(AND($D494="SXC (627)",$F494="Chung"),IF(OR($G494="Cố định",$G494="Biến đổi"),"","THIẾU TÍNH CHẤT"),"")</f>
        <v/>
      </c>
    </row>
    <row r="495" ht="15" customHeight="1" s="54">
      <c r="A495" s="71" t="n"/>
      <c r="B495" s="67" t="n"/>
      <c r="C495" s="67" t="n"/>
      <c r="D495" s="67" t="n"/>
      <c r="E495" s="79">
        <f>IFERROR(INDEX(MAP_TK,MATCH($D495,MAP_KM,0)),"")</f>
        <v/>
      </c>
      <c r="F495" s="67" t="n"/>
      <c r="G495" s="67" t="n"/>
      <c r="H495" s="67" t="n"/>
      <c r="I495" s="67" t="n"/>
      <c r="J495" s="75" t="n"/>
      <c r="K495" s="67" t="n"/>
      <c r="M495" s="53">
        <f>IF($C495="","",IF(OR($C495="CHUNG",COUNTIF(DM_Ma,$C495)&gt;0),"","MÃ LẠ"))</f>
        <v/>
      </c>
      <c r="N495" s="53">
        <f>IF($A495="","",IF(AND($A495&gt;=pTu,$A495&lt;=pDen),"","NGOÀI KỲ"))</f>
        <v/>
      </c>
      <c r="O495" s="53">
        <f>IF($J495="","",IF($J495&lt;=0,"≤0",""))</f>
        <v/>
      </c>
      <c r="P495" s="53">
        <f>IF(AND($D495="SXC (627)",$F495="Chung"),IF(OR($G495="Cố định",$G495="Biến đổi"),"","THIẾU TÍNH CHẤT"),"")</f>
        <v/>
      </c>
    </row>
    <row r="496" ht="15" customHeight="1" s="54">
      <c r="A496" s="71" t="n"/>
      <c r="B496" s="67" t="n"/>
      <c r="C496" s="67" t="n"/>
      <c r="D496" s="67" t="n"/>
      <c r="E496" s="79">
        <f>IFERROR(INDEX(MAP_TK,MATCH($D496,MAP_KM,0)),"")</f>
        <v/>
      </c>
      <c r="F496" s="67" t="n"/>
      <c r="G496" s="67" t="n"/>
      <c r="H496" s="67" t="n"/>
      <c r="I496" s="67" t="n"/>
      <c r="J496" s="75" t="n"/>
      <c r="K496" s="67" t="n"/>
      <c r="M496" s="53">
        <f>IF($C496="","",IF(OR($C496="CHUNG",COUNTIF(DM_Ma,$C496)&gt;0),"","MÃ LẠ"))</f>
        <v/>
      </c>
      <c r="N496" s="53">
        <f>IF($A496="","",IF(AND($A496&gt;=pTu,$A496&lt;=pDen),"","NGOÀI KỲ"))</f>
        <v/>
      </c>
      <c r="O496" s="53">
        <f>IF($J496="","",IF($J496&lt;=0,"≤0",""))</f>
        <v/>
      </c>
      <c r="P496" s="53">
        <f>IF(AND($D496="SXC (627)",$F496="Chung"),IF(OR($G496="Cố định",$G496="Biến đổi"),"","THIẾU TÍNH CHẤT"),"")</f>
        <v/>
      </c>
    </row>
    <row r="497" ht="15" customHeight="1" s="54">
      <c r="A497" s="71" t="n"/>
      <c r="B497" s="67" t="n"/>
      <c r="C497" s="67" t="n"/>
      <c r="D497" s="67" t="n"/>
      <c r="E497" s="79">
        <f>IFERROR(INDEX(MAP_TK,MATCH($D497,MAP_KM,0)),"")</f>
        <v/>
      </c>
      <c r="F497" s="67" t="n"/>
      <c r="G497" s="67" t="n"/>
      <c r="H497" s="67" t="n"/>
      <c r="I497" s="67" t="n"/>
      <c r="J497" s="75" t="n"/>
      <c r="K497" s="67" t="n"/>
      <c r="M497" s="53">
        <f>IF($C497="","",IF(OR($C497="CHUNG",COUNTIF(DM_Ma,$C497)&gt;0),"","MÃ LẠ"))</f>
        <v/>
      </c>
      <c r="N497" s="53">
        <f>IF($A497="","",IF(AND($A497&gt;=pTu,$A497&lt;=pDen),"","NGOÀI KỲ"))</f>
        <v/>
      </c>
      <c r="O497" s="53">
        <f>IF($J497="","",IF($J497&lt;=0,"≤0",""))</f>
        <v/>
      </c>
      <c r="P497" s="53">
        <f>IF(AND($D497="SXC (627)",$F497="Chung"),IF(OR($G497="Cố định",$G497="Biến đổi"),"","THIẾU TÍNH CHẤT"),"")</f>
        <v/>
      </c>
    </row>
    <row r="498" ht="15" customHeight="1" s="54">
      <c r="A498" s="71" t="n"/>
      <c r="B498" s="67" t="n"/>
      <c r="C498" s="67" t="n"/>
      <c r="D498" s="67" t="n"/>
      <c r="E498" s="79">
        <f>IFERROR(INDEX(MAP_TK,MATCH($D498,MAP_KM,0)),"")</f>
        <v/>
      </c>
      <c r="F498" s="67" t="n"/>
      <c r="G498" s="67" t="n"/>
      <c r="H498" s="67" t="n"/>
      <c r="I498" s="67" t="n"/>
      <c r="J498" s="75" t="n"/>
      <c r="K498" s="67" t="n"/>
      <c r="M498" s="53">
        <f>IF($C498="","",IF(OR($C498="CHUNG",COUNTIF(DM_Ma,$C498)&gt;0),"","MÃ LẠ"))</f>
        <v/>
      </c>
      <c r="N498" s="53">
        <f>IF($A498="","",IF(AND($A498&gt;=pTu,$A498&lt;=pDen),"","NGOÀI KỲ"))</f>
        <v/>
      </c>
      <c r="O498" s="53">
        <f>IF($J498="","",IF($J498&lt;=0,"≤0",""))</f>
        <v/>
      </c>
      <c r="P498" s="53">
        <f>IF(AND($D498="SXC (627)",$F498="Chung"),IF(OR($G498="Cố định",$G498="Biến đổi"),"","THIẾU TÍNH CHẤT"),"")</f>
        <v/>
      </c>
    </row>
    <row r="499" ht="15" customHeight="1" s="54">
      <c r="A499" s="71" t="n"/>
      <c r="B499" s="67" t="n"/>
      <c r="C499" s="67" t="n"/>
      <c r="D499" s="67" t="n"/>
      <c r="E499" s="79">
        <f>IFERROR(INDEX(MAP_TK,MATCH($D499,MAP_KM,0)),"")</f>
        <v/>
      </c>
      <c r="F499" s="67" t="n"/>
      <c r="G499" s="67" t="n"/>
      <c r="H499" s="67" t="n"/>
      <c r="I499" s="67" t="n"/>
      <c r="J499" s="75" t="n"/>
      <c r="K499" s="67" t="n"/>
      <c r="M499" s="53">
        <f>IF($C499="","",IF(OR($C499="CHUNG",COUNTIF(DM_Ma,$C499)&gt;0),"","MÃ LẠ"))</f>
        <v/>
      </c>
      <c r="N499" s="53">
        <f>IF($A499="","",IF(AND($A499&gt;=pTu,$A499&lt;=pDen),"","NGOÀI KỲ"))</f>
        <v/>
      </c>
      <c r="O499" s="53">
        <f>IF($J499="","",IF($J499&lt;=0,"≤0",""))</f>
        <v/>
      </c>
      <c r="P499" s="53">
        <f>IF(AND($D499="SXC (627)",$F499="Chung"),IF(OR($G499="Cố định",$G499="Biến đổi"),"","THIẾU TÍNH CHẤT"),"")</f>
        <v/>
      </c>
    </row>
    <row r="500" ht="15" customHeight="1" s="54">
      <c r="A500" s="71" t="n"/>
      <c r="B500" s="67" t="n"/>
      <c r="C500" s="67" t="n"/>
      <c r="D500" s="67" t="n"/>
      <c r="E500" s="79">
        <f>IFERROR(INDEX(MAP_TK,MATCH($D500,MAP_KM,0)),"")</f>
        <v/>
      </c>
      <c r="F500" s="67" t="n"/>
      <c r="G500" s="67" t="n"/>
      <c r="H500" s="67" t="n"/>
      <c r="I500" s="67" t="n"/>
      <c r="J500" s="75" t="n"/>
      <c r="K500" s="67" t="n"/>
      <c r="M500" s="53">
        <f>IF($C500="","",IF(OR($C500="CHUNG",COUNTIF(DM_Ma,$C500)&gt;0),"","MÃ LẠ"))</f>
        <v/>
      </c>
      <c r="N500" s="53">
        <f>IF($A500="","",IF(AND($A500&gt;=pTu,$A500&lt;=pDen),"","NGOÀI KỲ"))</f>
        <v/>
      </c>
      <c r="O500" s="53">
        <f>IF($J500="","",IF($J500&lt;=0,"≤0",""))</f>
        <v/>
      </c>
      <c r="P500" s="53">
        <f>IF(AND($D500="SXC (627)",$F500="Chung"),IF(OR($G500="Cố định",$G500="Biến đổi"),"","THIẾU TÍNH CHẤT"),"")</f>
        <v/>
      </c>
    </row>
    <row r="501" ht="15" customHeight="1" s="54">
      <c r="A501" s="71" t="n"/>
      <c r="B501" s="67" t="n"/>
      <c r="C501" s="67" t="n"/>
      <c r="D501" s="67" t="n"/>
      <c r="E501" s="79">
        <f>IFERROR(INDEX(MAP_TK,MATCH($D501,MAP_KM,0)),"")</f>
        <v/>
      </c>
      <c r="F501" s="67" t="n"/>
      <c r="G501" s="67" t="n"/>
      <c r="H501" s="67" t="n"/>
      <c r="I501" s="67" t="n"/>
      <c r="J501" s="75" t="n"/>
      <c r="K501" s="67" t="n"/>
      <c r="M501" s="53">
        <f>IF($C501="","",IF(OR($C501="CHUNG",COUNTIF(DM_Ma,$C501)&gt;0),"","MÃ LẠ"))</f>
        <v/>
      </c>
      <c r="N501" s="53">
        <f>IF($A501="","",IF(AND($A501&gt;=pTu,$A501&lt;=pDen),"","NGOÀI KỲ"))</f>
        <v/>
      </c>
      <c r="O501" s="53">
        <f>IF($J501="","",IF($J501&lt;=0,"≤0",""))</f>
        <v/>
      </c>
      <c r="P501" s="53">
        <f>IF(AND($D501="SXC (627)",$F501="Chung"),IF(OR($G501="Cố định",$G501="Biến đổi"),"","THIẾU TÍNH CHẤT"),"")</f>
        <v/>
      </c>
    </row>
    <row r="502" ht="15" customHeight="1" s="54">
      <c r="A502" s="71" t="n"/>
      <c r="B502" s="67" t="n"/>
      <c r="C502" s="67" t="n"/>
      <c r="D502" s="67" t="n"/>
      <c r="E502" s="79">
        <f>IFERROR(INDEX(MAP_TK,MATCH($D502,MAP_KM,0)),"")</f>
        <v/>
      </c>
      <c r="F502" s="67" t="n"/>
      <c r="G502" s="67" t="n"/>
      <c r="H502" s="67" t="n"/>
      <c r="I502" s="67" t="n"/>
      <c r="J502" s="75" t="n"/>
      <c r="K502" s="67" t="n"/>
      <c r="M502" s="53">
        <f>IF($C502="","",IF(OR($C502="CHUNG",COUNTIF(DM_Ma,$C502)&gt;0),"","MÃ LẠ"))</f>
        <v/>
      </c>
      <c r="N502" s="53">
        <f>IF($A502="","",IF(AND($A502&gt;=pTu,$A502&lt;=pDen),"","NGOÀI KỲ"))</f>
        <v/>
      </c>
      <c r="O502" s="53">
        <f>IF($J502="","",IF($J502&lt;=0,"≤0",""))</f>
        <v/>
      </c>
      <c r="P502" s="53">
        <f>IF(AND($D502="SXC (627)",$F502="Chung"),IF(OR($G502="Cố định",$G502="Biến đổi"),"","THIẾU TÍNH CHẤT"),"")</f>
        <v/>
      </c>
    </row>
    <row r="503" ht="15" customHeight="1" s="54">
      <c r="A503" s="71" t="n"/>
      <c r="B503" s="67" t="n"/>
      <c r="C503" s="67" t="n"/>
      <c r="D503" s="67" t="n"/>
      <c r="E503" s="79">
        <f>IFERROR(INDEX(MAP_TK,MATCH($D503,MAP_KM,0)),"")</f>
        <v/>
      </c>
      <c r="F503" s="67" t="n"/>
      <c r="G503" s="67" t="n"/>
      <c r="H503" s="67" t="n"/>
      <c r="I503" s="67" t="n"/>
      <c r="J503" s="75" t="n"/>
      <c r="K503" s="67" t="n"/>
      <c r="M503" s="53">
        <f>IF($C503="","",IF(OR($C503="CHUNG",COUNTIF(DM_Ma,$C503)&gt;0),"","MÃ LẠ"))</f>
        <v/>
      </c>
      <c r="N503" s="53">
        <f>IF($A503="","",IF(AND($A503&gt;=pTu,$A503&lt;=pDen),"","NGOÀI KỲ"))</f>
        <v/>
      </c>
      <c r="O503" s="53">
        <f>IF($J503="","",IF($J503&lt;=0,"≤0",""))</f>
        <v/>
      </c>
      <c r="P503" s="53">
        <f>IF(AND($D503="SXC (627)",$F503="Chung"),IF(OR($G503="Cố định",$G503="Biến đổi"),"","THIẾU TÍNH CHẤT"),"")</f>
        <v/>
      </c>
    </row>
    <row r="504" ht="15" customHeight="1" s="54">
      <c r="A504" s="71" t="n"/>
      <c r="B504" s="67" t="n"/>
      <c r="C504" s="67" t="n"/>
      <c r="D504" s="67" t="n"/>
      <c r="E504" s="79">
        <f>IFERROR(INDEX(MAP_TK,MATCH($D504,MAP_KM,0)),"")</f>
        <v/>
      </c>
      <c r="F504" s="67" t="n"/>
      <c r="G504" s="67" t="n"/>
      <c r="H504" s="67" t="n"/>
      <c r="I504" s="67" t="n"/>
      <c r="J504" s="75" t="n"/>
      <c r="K504" s="67" t="n"/>
      <c r="M504" s="53">
        <f>IF($C504="","",IF(OR($C504="CHUNG",COUNTIF(DM_Ma,$C504)&gt;0),"","MÃ LẠ"))</f>
        <v/>
      </c>
      <c r="N504" s="53">
        <f>IF($A504="","",IF(AND($A504&gt;=pTu,$A504&lt;=pDen),"","NGOÀI KỲ"))</f>
        <v/>
      </c>
      <c r="O504" s="53">
        <f>IF($J504="","",IF($J504&lt;=0,"≤0",""))</f>
        <v/>
      </c>
      <c r="P504" s="53">
        <f>IF(AND($D504="SXC (627)",$F504="Chung"),IF(OR($G504="Cố định",$G504="Biến đổi"),"","THIẾU TÍNH CHẤT"),"")</f>
        <v/>
      </c>
    </row>
    <row r="505" ht="15" customHeight="1" s="54">
      <c r="A505" s="71" t="n"/>
      <c r="B505" s="67" t="n"/>
      <c r="C505" s="67" t="n"/>
      <c r="D505" s="67" t="n"/>
      <c r="E505" s="79">
        <f>IFERROR(INDEX(MAP_TK,MATCH($D505,MAP_KM,0)),"")</f>
        <v/>
      </c>
      <c r="F505" s="67" t="n"/>
      <c r="G505" s="67" t="n"/>
      <c r="H505" s="67" t="n"/>
      <c r="I505" s="67" t="n"/>
      <c r="J505" s="75" t="n"/>
      <c r="K505" s="67" t="n"/>
      <c r="M505" s="53">
        <f>IF($C505="","",IF(OR($C505="CHUNG",COUNTIF(DM_Ma,$C505)&gt;0),"","MÃ LẠ"))</f>
        <v/>
      </c>
      <c r="N505" s="53">
        <f>IF($A505="","",IF(AND($A505&gt;=pTu,$A505&lt;=pDen),"","NGOÀI KỲ"))</f>
        <v/>
      </c>
      <c r="O505" s="53">
        <f>IF($J505="","",IF($J505&lt;=0,"≤0",""))</f>
        <v/>
      </c>
      <c r="P505" s="53">
        <f>IF(AND($D505="SXC (627)",$F505="Chung"),IF(OR($G505="Cố định",$G505="Biến đổi"),"","THIẾU TÍNH CHẤT"),"")</f>
        <v/>
      </c>
    </row>
    <row r="506" ht="15" customHeight="1" s="54">
      <c r="A506" s="71" t="n"/>
      <c r="B506" s="67" t="n"/>
      <c r="C506" s="67" t="n"/>
      <c r="D506" s="67" t="n"/>
      <c r="E506" s="79">
        <f>IFERROR(INDEX(MAP_TK,MATCH($D506,MAP_KM,0)),"")</f>
        <v/>
      </c>
      <c r="F506" s="67" t="n"/>
      <c r="G506" s="67" t="n"/>
      <c r="H506" s="67" t="n"/>
      <c r="I506" s="67" t="n"/>
      <c r="J506" s="75" t="n"/>
      <c r="K506" s="67" t="n"/>
      <c r="M506" s="53">
        <f>IF($C506="","",IF(OR($C506="CHUNG",COUNTIF(DM_Ma,$C506)&gt;0),"","MÃ LẠ"))</f>
        <v/>
      </c>
      <c r="N506" s="53">
        <f>IF($A506="","",IF(AND($A506&gt;=pTu,$A506&lt;=pDen),"","NGOÀI KỲ"))</f>
        <v/>
      </c>
      <c r="O506" s="53">
        <f>IF($J506="","",IF($J506&lt;=0,"≤0",""))</f>
        <v/>
      </c>
      <c r="P506" s="53">
        <f>IF(AND($D506="SXC (627)",$F506="Chung"),IF(OR($G506="Cố định",$G506="Biến đổi"),"","THIẾU TÍNH CHẤT"),"")</f>
        <v/>
      </c>
    </row>
    <row r="507" ht="15" customHeight="1" s="54">
      <c r="A507" s="71" t="n"/>
      <c r="B507" s="67" t="n"/>
      <c r="C507" s="67" t="n"/>
      <c r="D507" s="67" t="n"/>
      <c r="E507" s="79">
        <f>IFERROR(INDEX(MAP_TK,MATCH($D507,MAP_KM,0)),"")</f>
        <v/>
      </c>
      <c r="F507" s="67" t="n"/>
      <c r="G507" s="67" t="n"/>
      <c r="H507" s="67" t="n"/>
      <c r="I507" s="67" t="n"/>
      <c r="J507" s="75" t="n"/>
      <c r="K507" s="67" t="n"/>
      <c r="M507" s="53">
        <f>IF($C507="","",IF(OR($C507="CHUNG",COUNTIF(DM_Ma,$C507)&gt;0),"","MÃ LẠ"))</f>
        <v/>
      </c>
      <c r="N507" s="53">
        <f>IF($A507="","",IF(AND($A507&gt;=pTu,$A507&lt;=pDen),"","NGOÀI KỲ"))</f>
        <v/>
      </c>
      <c r="O507" s="53">
        <f>IF($J507="","",IF($J507&lt;=0,"≤0",""))</f>
        <v/>
      </c>
      <c r="P507" s="53">
        <f>IF(AND($D507="SXC (627)",$F507="Chung"),IF(OR($G507="Cố định",$G507="Biến đổi"),"","THIẾU TÍNH CHẤT"),"")</f>
        <v/>
      </c>
    </row>
    <row r="508" ht="15" customHeight="1" s="54">
      <c r="A508" s="71" t="n"/>
      <c r="B508" s="67" t="n"/>
      <c r="C508" s="67" t="n"/>
      <c r="D508" s="67" t="n"/>
      <c r="E508" s="79">
        <f>IFERROR(INDEX(MAP_TK,MATCH($D508,MAP_KM,0)),"")</f>
        <v/>
      </c>
      <c r="F508" s="67" t="n"/>
      <c r="G508" s="67" t="n"/>
      <c r="H508" s="67" t="n"/>
      <c r="I508" s="67" t="n"/>
      <c r="J508" s="75" t="n"/>
      <c r="K508" s="67" t="n"/>
      <c r="M508" s="53">
        <f>IF($C508="","",IF(OR($C508="CHUNG",COUNTIF(DM_Ma,$C508)&gt;0),"","MÃ LẠ"))</f>
        <v/>
      </c>
      <c r="N508" s="53">
        <f>IF($A508="","",IF(AND($A508&gt;=pTu,$A508&lt;=pDen),"","NGOÀI KỲ"))</f>
        <v/>
      </c>
      <c r="O508" s="53">
        <f>IF($J508="","",IF($J508&lt;=0,"≤0",""))</f>
        <v/>
      </c>
      <c r="P508" s="53">
        <f>IF(AND($D508="SXC (627)",$F508="Chung"),IF(OR($G508="Cố định",$G508="Biến đổi"),"","THIẾU TÍNH CHẤT"),"")</f>
        <v/>
      </c>
    </row>
    <row r="509" ht="15" customHeight="1" s="54">
      <c r="A509" s="71" t="n"/>
      <c r="B509" s="67" t="n"/>
      <c r="C509" s="67" t="n"/>
      <c r="D509" s="67" t="n"/>
      <c r="E509" s="79">
        <f>IFERROR(INDEX(MAP_TK,MATCH($D509,MAP_KM,0)),"")</f>
        <v/>
      </c>
      <c r="F509" s="67" t="n"/>
      <c r="G509" s="67" t="n"/>
      <c r="H509" s="67" t="n"/>
      <c r="I509" s="67" t="n"/>
      <c r="J509" s="75" t="n"/>
      <c r="K509" s="67" t="n"/>
      <c r="M509" s="53">
        <f>IF($C509="","",IF(OR($C509="CHUNG",COUNTIF(DM_Ma,$C509)&gt;0),"","MÃ LẠ"))</f>
        <v/>
      </c>
      <c r="N509" s="53">
        <f>IF($A509="","",IF(AND($A509&gt;=pTu,$A509&lt;=pDen),"","NGOÀI KỲ"))</f>
        <v/>
      </c>
      <c r="O509" s="53">
        <f>IF($J509="","",IF($J509&lt;=0,"≤0",""))</f>
        <v/>
      </c>
      <c r="P509" s="53">
        <f>IF(AND($D509="SXC (627)",$F509="Chung"),IF(OR($G509="Cố định",$G509="Biến đổi"),"","THIẾU TÍNH CHẤT"),"")</f>
        <v/>
      </c>
    </row>
    <row r="510" ht="15" customHeight="1" s="54">
      <c r="A510" s="71" t="n"/>
      <c r="B510" s="67" t="n"/>
      <c r="C510" s="67" t="n"/>
      <c r="D510" s="67" t="n"/>
      <c r="E510" s="79">
        <f>IFERROR(INDEX(MAP_TK,MATCH($D510,MAP_KM,0)),"")</f>
        <v/>
      </c>
      <c r="F510" s="67" t="n"/>
      <c r="G510" s="67" t="n"/>
      <c r="H510" s="67" t="n"/>
      <c r="I510" s="67" t="n"/>
      <c r="J510" s="75" t="n"/>
      <c r="K510" s="67" t="n"/>
      <c r="M510" s="53">
        <f>IF($C510="","",IF(OR($C510="CHUNG",COUNTIF(DM_Ma,$C510)&gt;0),"","MÃ LẠ"))</f>
        <v/>
      </c>
      <c r="N510" s="53">
        <f>IF($A510="","",IF(AND($A510&gt;=pTu,$A510&lt;=pDen),"","NGOÀI KỲ"))</f>
        <v/>
      </c>
      <c r="O510" s="53">
        <f>IF($J510="","",IF($J510&lt;=0,"≤0",""))</f>
        <v/>
      </c>
      <c r="P510" s="53">
        <f>IF(AND($D510="SXC (627)",$F510="Chung"),IF(OR($G510="Cố định",$G510="Biến đổi"),"","THIẾU TÍNH CHẤT"),"")</f>
        <v/>
      </c>
    </row>
    <row r="511" ht="15" customHeight="1" s="54">
      <c r="A511" s="71" t="n"/>
      <c r="B511" s="67" t="n"/>
      <c r="C511" s="67" t="n"/>
      <c r="D511" s="67" t="n"/>
      <c r="E511" s="79">
        <f>IFERROR(INDEX(MAP_TK,MATCH($D511,MAP_KM,0)),"")</f>
        <v/>
      </c>
      <c r="F511" s="67" t="n"/>
      <c r="G511" s="67" t="n"/>
      <c r="H511" s="67" t="n"/>
      <c r="I511" s="67" t="n"/>
      <c r="J511" s="75" t="n"/>
      <c r="K511" s="67" t="n"/>
      <c r="M511" s="53">
        <f>IF($C511="","",IF(OR($C511="CHUNG",COUNTIF(DM_Ma,$C511)&gt;0),"","MÃ LẠ"))</f>
        <v/>
      </c>
      <c r="N511" s="53">
        <f>IF($A511="","",IF(AND($A511&gt;=pTu,$A511&lt;=pDen),"","NGOÀI KỲ"))</f>
        <v/>
      </c>
      <c r="O511" s="53">
        <f>IF($J511="","",IF($J511&lt;=0,"≤0",""))</f>
        <v/>
      </c>
      <c r="P511" s="53">
        <f>IF(AND($D511="SXC (627)",$F511="Chung"),IF(OR($G511="Cố định",$G511="Biến đổi"),"","THIẾU TÍNH CHẤT"),"")</f>
        <v/>
      </c>
    </row>
    <row r="512" ht="15" customHeight="1" s="54">
      <c r="A512" s="71" t="n"/>
      <c r="B512" s="67" t="n"/>
      <c r="C512" s="67" t="n"/>
      <c r="D512" s="67" t="n"/>
      <c r="E512" s="79">
        <f>IFERROR(INDEX(MAP_TK,MATCH($D512,MAP_KM,0)),"")</f>
        <v/>
      </c>
      <c r="F512" s="67" t="n"/>
      <c r="G512" s="67" t="n"/>
      <c r="H512" s="67" t="n"/>
      <c r="I512" s="67" t="n"/>
      <c r="J512" s="75" t="n"/>
      <c r="K512" s="67" t="n"/>
      <c r="M512" s="53">
        <f>IF($C512="","",IF(OR($C512="CHUNG",COUNTIF(DM_Ma,$C512)&gt;0),"","MÃ LẠ"))</f>
        <v/>
      </c>
      <c r="N512" s="53">
        <f>IF($A512="","",IF(AND($A512&gt;=pTu,$A512&lt;=pDen),"","NGOÀI KỲ"))</f>
        <v/>
      </c>
      <c r="O512" s="53">
        <f>IF($J512="","",IF($J512&lt;=0,"≤0",""))</f>
        <v/>
      </c>
      <c r="P512" s="53">
        <f>IF(AND($D512="SXC (627)",$F512="Chung"),IF(OR($G512="Cố định",$G512="Biến đổi"),"","THIẾU TÍNH CHẤT"),"")</f>
        <v/>
      </c>
    </row>
    <row r="513" ht="15" customHeight="1" s="54">
      <c r="A513" s="71" t="n"/>
      <c r="B513" s="67" t="n"/>
      <c r="C513" s="67" t="n"/>
      <c r="D513" s="67" t="n"/>
      <c r="E513" s="79">
        <f>IFERROR(INDEX(MAP_TK,MATCH($D513,MAP_KM,0)),"")</f>
        <v/>
      </c>
      <c r="F513" s="67" t="n"/>
      <c r="G513" s="67" t="n"/>
      <c r="H513" s="67" t="n"/>
      <c r="I513" s="67" t="n"/>
      <c r="J513" s="75" t="n"/>
      <c r="K513" s="67" t="n"/>
      <c r="M513" s="53">
        <f>IF($C513="","",IF(OR($C513="CHUNG",COUNTIF(DM_Ma,$C513)&gt;0),"","MÃ LẠ"))</f>
        <v/>
      </c>
      <c r="N513" s="53">
        <f>IF($A513="","",IF(AND($A513&gt;=pTu,$A513&lt;=pDen),"","NGOÀI KỲ"))</f>
        <v/>
      </c>
      <c r="O513" s="53">
        <f>IF($J513="","",IF($J513&lt;=0,"≤0",""))</f>
        <v/>
      </c>
      <c r="P513" s="53">
        <f>IF(AND($D513="SXC (627)",$F513="Chung"),IF(OR($G513="Cố định",$G513="Biến đổi"),"","THIẾU TÍNH CHẤT"),"")</f>
        <v/>
      </c>
    </row>
    <row r="514" ht="15" customHeight="1" s="54">
      <c r="A514" s="71" t="n"/>
      <c r="B514" s="67" t="n"/>
      <c r="C514" s="67" t="n"/>
      <c r="D514" s="67" t="n"/>
      <c r="E514" s="79">
        <f>IFERROR(INDEX(MAP_TK,MATCH($D514,MAP_KM,0)),"")</f>
        <v/>
      </c>
      <c r="F514" s="67" t="n"/>
      <c r="G514" s="67" t="n"/>
      <c r="H514" s="67" t="n"/>
      <c r="I514" s="67" t="n"/>
      <c r="J514" s="75" t="n"/>
      <c r="K514" s="67" t="n"/>
      <c r="M514" s="53">
        <f>IF($C514="","",IF(OR($C514="CHUNG",COUNTIF(DM_Ma,$C514)&gt;0),"","MÃ LẠ"))</f>
        <v/>
      </c>
      <c r="N514" s="53">
        <f>IF($A514="","",IF(AND($A514&gt;=pTu,$A514&lt;=pDen),"","NGOÀI KỲ"))</f>
        <v/>
      </c>
      <c r="O514" s="53">
        <f>IF($J514="","",IF($J514&lt;=0,"≤0",""))</f>
        <v/>
      </c>
      <c r="P514" s="53">
        <f>IF(AND($D514="SXC (627)",$F514="Chung"),IF(OR($G514="Cố định",$G514="Biến đổi"),"","THIẾU TÍNH CHẤT"),"")</f>
        <v/>
      </c>
    </row>
    <row r="515" ht="15" customHeight="1" s="54">
      <c r="A515" s="71" t="n"/>
      <c r="B515" s="67" t="n"/>
      <c r="C515" s="67" t="n"/>
      <c r="D515" s="67" t="n"/>
      <c r="E515" s="79">
        <f>IFERROR(INDEX(MAP_TK,MATCH($D515,MAP_KM,0)),"")</f>
        <v/>
      </c>
      <c r="F515" s="67" t="n"/>
      <c r="G515" s="67" t="n"/>
      <c r="H515" s="67" t="n"/>
      <c r="I515" s="67" t="n"/>
      <c r="J515" s="75" t="n"/>
      <c r="K515" s="67" t="n"/>
      <c r="M515" s="53">
        <f>IF($C515="","",IF(OR($C515="CHUNG",COUNTIF(DM_Ma,$C515)&gt;0),"","MÃ LẠ"))</f>
        <v/>
      </c>
      <c r="N515" s="53">
        <f>IF($A515="","",IF(AND($A515&gt;=pTu,$A515&lt;=pDen),"","NGOÀI KỲ"))</f>
        <v/>
      </c>
      <c r="O515" s="53">
        <f>IF($J515="","",IF($J515&lt;=0,"≤0",""))</f>
        <v/>
      </c>
      <c r="P515" s="53">
        <f>IF(AND($D515="SXC (627)",$F515="Chung"),IF(OR($G515="Cố định",$G515="Biến đổi"),"","THIẾU TÍNH CHẤT"),"")</f>
        <v/>
      </c>
    </row>
    <row r="516" ht="15" customHeight="1" s="54">
      <c r="A516" s="71" t="n"/>
      <c r="B516" s="67" t="n"/>
      <c r="C516" s="67" t="n"/>
      <c r="D516" s="67" t="n"/>
      <c r="E516" s="79">
        <f>IFERROR(INDEX(MAP_TK,MATCH($D516,MAP_KM,0)),"")</f>
        <v/>
      </c>
      <c r="F516" s="67" t="n"/>
      <c r="G516" s="67" t="n"/>
      <c r="H516" s="67" t="n"/>
      <c r="I516" s="67" t="n"/>
      <c r="J516" s="75" t="n"/>
      <c r="K516" s="67" t="n"/>
      <c r="M516" s="53">
        <f>IF($C516="","",IF(OR($C516="CHUNG",COUNTIF(DM_Ma,$C516)&gt;0),"","MÃ LẠ"))</f>
        <v/>
      </c>
      <c r="N516" s="53">
        <f>IF($A516="","",IF(AND($A516&gt;=pTu,$A516&lt;=pDen),"","NGOÀI KỲ"))</f>
        <v/>
      </c>
      <c r="O516" s="53">
        <f>IF($J516="","",IF($J516&lt;=0,"≤0",""))</f>
        <v/>
      </c>
      <c r="P516" s="53">
        <f>IF(AND($D516="SXC (627)",$F516="Chung"),IF(OR($G516="Cố định",$G516="Biến đổi"),"","THIẾU TÍNH CHẤT"),"")</f>
        <v/>
      </c>
    </row>
    <row r="517" ht="15" customHeight="1" s="54">
      <c r="A517" s="71" t="n"/>
      <c r="B517" s="67" t="n"/>
      <c r="C517" s="67" t="n"/>
      <c r="D517" s="67" t="n"/>
      <c r="E517" s="79">
        <f>IFERROR(INDEX(MAP_TK,MATCH($D517,MAP_KM,0)),"")</f>
        <v/>
      </c>
      <c r="F517" s="67" t="n"/>
      <c r="G517" s="67" t="n"/>
      <c r="H517" s="67" t="n"/>
      <c r="I517" s="67" t="n"/>
      <c r="J517" s="75" t="n"/>
      <c r="K517" s="67" t="n"/>
      <c r="M517" s="53">
        <f>IF($C517="","",IF(OR($C517="CHUNG",COUNTIF(DM_Ma,$C517)&gt;0),"","MÃ LẠ"))</f>
        <v/>
      </c>
      <c r="N517" s="53">
        <f>IF($A517="","",IF(AND($A517&gt;=pTu,$A517&lt;=pDen),"","NGOÀI KỲ"))</f>
        <v/>
      </c>
      <c r="O517" s="53">
        <f>IF($J517="","",IF($J517&lt;=0,"≤0",""))</f>
        <v/>
      </c>
      <c r="P517" s="53">
        <f>IF(AND($D517="SXC (627)",$F517="Chung"),IF(OR($G517="Cố định",$G517="Biến đổi"),"","THIẾU TÍNH CHẤT"),"")</f>
        <v/>
      </c>
    </row>
    <row r="518" ht="15" customHeight="1" s="54">
      <c r="A518" s="71" t="n"/>
      <c r="B518" s="67" t="n"/>
      <c r="C518" s="67" t="n"/>
      <c r="D518" s="67" t="n"/>
      <c r="E518" s="79">
        <f>IFERROR(INDEX(MAP_TK,MATCH($D518,MAP_KM,0)),"")</f>
        <v/>
      </c>
      <c r="F518" s="67" t="n"/>
      <c r="G518" s="67" t="n"/>
      <c r="H518" s="67" t="n"/>
      <c r="I518" s="67" t="n"/>
      <c r="J518" s="75" t="n"/>
      <c r="K518" s="67" t="n"/>
      <c r="M518" s="53">
        <f>IF($C518="","",IF(OR($C518="CHUNG",COUNTIF(DM_Ma,$C518)&gt;0),"","MÃ LẠ"))</f>
        <v/>
      </c>
      <c r="N518" s="53">
        <f>IF($A518="","",IF(AND($A518&gt;=pTu,$A518&lt;=pDen),"","NGOÀI KỲ"))</f>
        <v/>
      </c>
      <c r="O518" s="53">
        <f>IF($J518="","",IF($J518&lt;=0,"≤0",""))</f>
        <v/>
      </c>
      <c r="P518" s="53">
        <f>IF(AND($D518="SXC (627)",$F518="Chung"),IF(OR($G518="Cố định",$G518="Biến đổi"),"","THIẾU TÍNH CHẤT"),"")</f>
        <v/>
      </c>
    </row>
    <row r="519" ht="15" customHeight="1" s="54">
      <c r="A519" s="71" t="n"/>
      <c r="B519" s="67" t="n"/>
      <c r="C519" s="67" t="n"/>
      <c r="D519" s="67" t="n"/>
      <c r="E519" s="79">
        <f>IFERROR(INDEX(MAP_TK,MATCH($D519,MAP_KM,0)),"")</f>
        <v/>
      </c>
      <c r="F519" s="67" t="n"/>
      <c r="G519" s="67" t="n"/>
      <c r="H519" s="67" t="n"/>
      <c r="I519" s="67" t="n"/>
      <c r="J519" s="75" t="n"/>
      <c r="K519" s="67" t="n"/>
      <c r="M519" s="53">
        <f>IF($C519="","",IF(OR($C519="CHUNG",COUNTIF(DM_Ma,$C519)&gt;0),"","MÃ LẠ"))</f>
        <v/>
      </c>
      <c r="N519" s="53">
        <f>IF($A519="","",IF(AND($A519&gt;=pTu,$A519&lt;=pDen),"","NGOÀI KỲ"))</f>
        <v/>
      </c>
      <c r="O519" s="53">
        <f>IF($J519="","",IF($J519&lt;=0,"≤0",""))</f>
        <v/>
      </c>
      <c r="P519" s="53">
        <f>IF(AND($D519="SXC (627)",$F519="Chung"),IF(OR($G519="Cố định",$G519="Biến đổi"),"","THIẾU TÍNH CHẤT"),"")</f>
        <v/>
      </c>
    </row>
    <row r="520" ht="15" customHeight="1" s="54">
      <c r="A520" s="71" t="n"/>
      <c r="B520" s="67" t="n"/>
      <c r="C520" s="67" t="n"/>
      <c r="D520" s="67" t="n"/>
      <c r="E520" s="79">
        <f>IFERROR(INDEX(MAP_TK,MATCH($D520,MAP_KM,0)),"")</f>
        <v/>
      </c>
      <c r="F520" s="67" t="n"/>
      <c r="G520" s="67" t="n"/>
      <c r="H520" s="67" t="n"/>
      <c r="I520" s="67" t="n"/>
      <c r="J520" s="75" t="n"/>
      <c r="K520" s="67" t="n"/>
      <c r="M520" s="53">
        <f>IF($C520="","",IF(OR($C520="CHUNG",COUNTIF(DM_Ma,$C520)&gt;0),"","MÃ LẠ"))</f>
        <v/>
      </c>
      <c r="N520" s="53">
        <f>IF($A520="","",IF(AND($A520&gt;=pTu,$A520&lt;=pDen),"","NGOÀI KỲ"))</f>
        <v/>
      </c>
      <c r="O520" s="53">
        <f>IF($J520="","",IF($J520&lt;=0,"≤0",""))</f>
        <v/>
      </c>
      <c r="P520" s="53">
        <f>IF(AND($D520="SXC (627)",$F520="Chung"),IF(OR($G520="Cố định",$G520="Biến đổi"),"","THIẾU TÍNH CHẤT"),"")</f>
        <v/>
      </c>
    </row>
    <row r="521" ht="15" customHeight="1" s="54">
      <c r="A521" s="71" t="n"/>
      <c r="B521" s="67" t="n"/>
      <c r="C521" s="67" t="n"/>
      <c r="D521" s="67" t="n"/>
      <c r="E521" s="79">
        <f>IFERROR(INDEX(MAP_TK,MATCH($D521,MAP_KM,0)),"")</f>
        <v/>
      </c>
      <c r="F521" s="67" t="n"/>
      <c r="G521" s="67" t="n"/>
      <c r="H521" s="67" t="n"/>
      <c r="I521" s="67" t="n"/>
      <c r="J521" s="75" t="n"/>
      <c r="K521" s="67" t="n"/>
      <c r="M521" s="53">
        <f>IF($C521="","",IF(OR($C521="CHUNG",COUNTIF(DM_Ma,$C521)&gt;0),"","MÃ LẠ"))</f>
        <v/>
      </c>
      <c r="N521" s="53">
        <f>IF($A521="","",IF(AND($A521&gt;=pTu,$A521&lt;=pDen),"","NGOÀI KỲ"))</f>
        <v/>
      </c>
      <c r="O521" s="53">
        <f>IF($J521="","",IF($J521&lt;=0,"≤0",""))</f>
        <v/>
      </c>
      <c r="P521" s="53">
        <f>IF(AND($D521="SXC (627)",$F521="Chung"),IF(OR($G521="Cố định",$G521="Biến đổi"),"","THIẾU TÍNH CHẤT"),"")</f>
        <v/>
      </c>
    </row>
    <row r="522" ht="15" customHeight="1" s="54">
      <c r="A522" s="71" t="n"/>
      <c r="B522" s="67" t="n"/>
      <c r="C522" s="67" t="n"/>
      <c r="D522" s="67" t="n"/>
      <c r="E522" s="79">
        <f>IFERROR(INDEX(MAP_TK,MATCH($D522,MAP_KM,0)),"")</f>
        <v/>
      </c>
      <c r="F522" s="67" t="n"/>
      <c r="G522" s="67" t="n"/>
      <c r="H522" s="67" t="n"/>
      <c r="I522" s="67" t="n"/>
      <c r="J522" s="75" t="n"/>
      <c r="K522" s="67" t="n"/>
      <c r="M522" s="53">
        <f>IF($C522="","",IF(OR($C522="CHUNG",COUNTIF(DM_Ma,$C522)&gt;0),"","MÃ LẠ"))</f>
        <v/>
      </c>
      <c r="N522" s="53">
        <f>IF($A522="","",IF(AND($A522&gt;=pTu,$A522&lt;=pDen),"","NGOÀI KỲ"))</f>
        <v/>
      </c>
      <c r="O522" s="53">
        <f>IF($J522="","",IF($J522&lt;=0,"≤0",""))</f>
        <v/>
      </c>
      <c r="P522" s="53">
        <f>IF(AND($D522="SXC (627)",$F522="Chung"),IF(OR($G522="Cố định",$G522="Biến đổi"),"","THIẾU TÍNH CHẤT"),"")</f>
        <v/>
      </c>
    </row>
    <row r="523" ht="15" customHeight="1" s="54">
      <c r="A523" s="71" t="n"/>
      <c r="B523" s="67" t="n"/>
      <c r="C523" s="67" t="n"/>
      <c r="D523" s="67" t="n"/>
      <c r="E523" s="79">
        <f>IFERROR(INDEX(MAP_TK,MATCH($D523,MAP_KM,0)),"")</f>
        <v/>
      </c>
      <c r="F523" s="67" t="n"/>
      <c r="G523" s="67" t="n"/>
      <c r="H523" s="67" t="n"/>
      <c r="I523" s="67" t="n"/>
      <c r="J523" s="75" t="n"/>
      <c r="K523" s="67" t="n"/>
      <c r="M523" s="53">
        <f>IF($C523="","",IF(OR($C523="CHUNG",COUNTIF(DM_Ma,$C523)&gt;0),"","MÃ LẠ"))</f>
        <v/>
      </c>
      <c r="N523" s="53">
        <f>IF($A523="","",IF(AND($A523&gt;=pTu,$A523&lt;=pDen),"","NGOÀI KỲ"))</f>
        <v/>
      </c>
      <c r="O523" s="53">
        <f>IF($J523="","",IF($J523&lt;=0,"≤0",""))</f>
        <v/>
      </c>
      <c r="P523" s="53">
        <f>IF(AND($D523="SXC (627)",$F523="Chung"),IF(OR($G523="Cố định",$G523="Biến đổi"),"","THIẾU TÍNH CHẤT"),"")</f>
        <v/>
      </c>
    </row>
    <row r="524" ht="15" customHeight="1" s="54">
      <c r="A524" s="71" t="n"/>
      <c r="B524" s="67" t="n"/>
      <c r="C524" s="67" t="n"/>
      <c r="D524" s="67" t="n"/>
      <c r="E524" s="79">
        <f>IFERROR(INDEX(MAP_TK,MATCH($D524,MAP_KM,0)),"")</f>
        <v/>
      </c>
      <c r="F524" s="67" t="n"/>
      <c r="G524" s="67" t="n"/>
      <c r="H524" s="67" t="n"/>
      <c r="I524" s="67" t="n"/>
      <c r="J524" s="75" t="n"/>
      <c r="K524" s="67" t="n"/>
      <c r="M524" s="53">
        <f>IF($C524="","",IF(OR($C524="CHUNG",COUNTIF(DM_Ma,$C524)&gt;0),"","MÃ LẠ"))</f>
        <v/>
      </c>
      <c r="N524" s="53">
        <f>IF($A524="","",IF(AND($A524&gt;=pTu,$A524&lt;=pDen),"","NGOÀI KỲ"))</f>
        <v/>
      </c>
      <c r="O524" s="53">
        <f>IF($J524="","",IF($J524&lt;=0,"≤0",""))</f>
        <v/>
      </c>
      <c r="P524" s="53">
        <f>IF(AND($D524="SXC (627)",$F524="Chung"),IF(OR($G524="Cố định",$G524="Biến đổi"),"","THIẾU TÍNH CHẤT"),"")</f>
        <v/>
      </c>
    </row>
    <row r="525" ht="15" customHeight="1" s="54">
      <c r="A525" s="71" t="n"/>
      <c r="B525" s="67" t="n"/>
      <c r="C525" s="67" t="n"/>
      <c r="D525" s="67" t="n"/>
      <c r="E525" s="79">
        <f>IFERROR(INDEX(MAP_TK,MATCH($D525,MAP_KM,0)),"")</f>
        <v/>
      </c>
      <c r="F525" s="67" t="n"/>
      <c r="G525" s="67" t="n"/>
      <c r="H525" s="67" t="n"/>
      <c r="I525" s="67" t="n"/>
      <c r="J525" s="75" t="n"/>
      <c r="K525" s="67" t="n"/>
      <c r="M525" s="53">
        <f>IF($C525="","",IF(OR($C525="CHUNG",COUNTIF(DM_Ma,$C525)&gt;0),"","MÃ LẠ"))</f>
        <v/>
      </c>
      <c r="N525" s="53">
        <f>IF($A525="","",IF(AND($A525&gt;=pTu,$A525&lt;=pDen),"","NGOÀI KỲ"))</f>
        <v/>
      </c>
      <c r="O525" s="53">
        <f>IF($J525="","",IF($J525&lt;=0,"≤0",""))</f>
        <v/>
      </c>
      <c r="P525" s="53">
        <f>IF(AND($D525="SXC (627)",$F525="Chung"),IF(OR($G525="Cố định",$G525="Biến đổi"),"","THIẾU TÍNH CHẤT"),"")</f>
        <v/>
      </c>
    </row>
    <row r="526" ht="15" customHeight="1" s="54">
      <c r="A526" s="71" t="n"/>
      <c r="B526" s="67" t="n"/>
      <c r="C526" s="67" t="n"/>
      <c r="D526" s="67" t="n"/>
      <c r="E526" s="79">
        <f>IFERROR(INDEX(MAP_TK,MATCH($D526,MAP_KM,0)),"")</f>
        <v/>
      </c>
      <c r="F526" s="67" t="n"/>
      <c r="G526" s="67" t="n"/>
      <c r="H526" s="67" t="n"/>
      <c r="I526" s="67" t="n"/>
      <c r="J526" s="75" t="n"/>
      <c r="K526" s="67" t="n"/>
      <c r="M526" s="53">
        <f>IF($C526="","",IF(OR($C526="CHUNG",COUNTIF(DM_Ma,$C526)&gt;0),"","MÃ LẠ"))</f>
        <v/>
      </c>
      <c r="N526" s="53">
        <f>IF($A526="","",IF(AND($A526&gt;=pTu,$A526&lt;=pDen),"","NGOÀI KỲ"))</f>
        <v/>
      </c>
      <c r="O526" s="53">
        <f>IF($J526="","",IF($J526&lt;=0,"≤0",""))</f>
        <v/>
      </c>
      <c r="P526" s="53">
        <f>IF(AND($D526="SXC (627)",$F526="Chung"),IF(OR($G526="Cố định",$G526="Biến đổi"),"","THIẾU TÍNH CHẤT"),"")</f>
        <v/>
      </c>
    </row>
    <row r="527" ht="15" customHeight="1" s="54">
      <c r="A527" s="71" t="n"/>
      <c r="B527" s="67" t="n"/>
      <c r="C527" s="67" t="n"/>
      <c r="D527" s="67" t="n"/>
      <c r="E527" s="79">
        <f>IFERROR(INDEX(MAP_TK,MATCH($D527,MAP_KM,0)),"")</f>
        <v/>
      </c>
      <c r="F527" s="67" t="n"/>
      <c r="G527" s="67" t="n"/>
      <c r="H527" s="67" t="n"/>
      <c r="I527" s="67" t="n"/>
      <c r="J527" s="75" t="n"/>
      <c r="K527" s="67" t="n"/>
      <c r="M527" s="53">
        <f>IF($C527="","",IF(OR($C527="CHUNG",COUNTIF(DM_Ma,$C527)&gt;0),"","MÃ LẠ"))</f>
        <v/>
      </c>
      <c r="N527" s="53">
        <f>IF($A527="","",IF(AND($A527&gt;=pTu,$A527&lt;=pDen),"","NGOÀI KỲ"))</f>
        <v/>
      </c>
      <c r="O527" s="53">
        <f>IF($J527="","",IF($J527&lt;=0,"≤0",""))</f>
        <v/>
      </c>
      <c r="P527" s="53">
        <f>IF(AND($D527="SXC (627)",$F527="Chung"),IF(OR($G527="Cố định",$G527="Biến đổi"),"","THIẾU TÍNH CHẤT"),"")</f>
        <v/>
      </c>
    </row>
    <row r="528" ht="15" customHeight="1" s="54">
      <c r="A528" s="71" t="n"/>
      <c r="B528" s="67" t="n"/>
      <c r="C528" s="67" t="n"/>
      <c r="D528" s="67" t="n"/>
      <c r="E528" s="79">
        <f>IFERROR(INDEX(MAP_TK,MATCH($D528,MAP_KM,0)),"")</f>
        <v/>
      </c>
      <c r="F528" s="67" t="n"/>
      <c r="G528" s="67" t="n"/>
      <c r="H528" s="67" t="n"/>
      <c r="I528" s="67" t="n"/>
      <c r="J528" s="75" t="n"/>
      <c r="K528" s="67" t="n"/>
      <c r="M528" s="53">
        <f>IF($C528="","",IF(OR($C528="CHUNG",COUNTIF(DM_Ma,$C528)&gt;0),"","MÃ LẠ"))</f>
        <v/>
      </c>
      <c r="N528" s="53">
        <f>IF($A528="","",IF(AND($A528&gt;=pTu,$A528&lt;=pDen),"","NGOÀI KỲ"))</f>
        <v/>
      </c>
      <c r="O528" s="53">
        <f>IF($J528="","",IF($J528&lt;=0,"≤0",""))</f>
        <v/>
      </c>
      <c r="P528" s="53">
        <f>IF(AND($D528="SXC (627)",$F528="Chung"),IF(OR($G528="Cố định",$G528="Biến đổi"),"","THIẾU TÍNH CHẤT"),"")</f>
        <v/>
      </c>
    </row>
    <row r="529" ht="15" customHeight="1" s="54">
      <c r="A529" s="71" t="n"/>
      <c r="B529" s="67" t="n"/>
      <c r="C529" s="67" t="n"/>
      <c r="D529" s="67" t="n"/>
      <c r="E529" s="79">
        <f>IFERROR(INDEX(MAP_TK,MATCH($D529,MAP_KM,0)),"")</f>
        <v/>
      </c>
      <c r="F529" s="67" t="n"/>
      <c r="G529" s="67" t="n"/>
      <c r="H529" s="67" t="n"/>
      <c r="I529" s="67" t="n"/>
      <c r="J529" s="75" t="n"/>
      <c r="K529" s="67" t="n"/>
      <c r="M529" s="53">
        <f>IF($C529="","",IF(OR($C529="CHUNG",COUNTIF(DM_Ma,$C529)&gt;0),"","MÃ LẠ"))</f>
        <v/>
      </c>
      <c r="N529" s="53">
        <f>IF($A529="","",IF(AND($A529&gt;=pTu,$A529&lt;=pDen),"","NGOÀI KỲ"))</f>
        <v/>
      </c>
      <c r="O529" s="53">
        <f>IF($J529="","",IF($J529&lt;=0,"≤0",""))</f>
        <v/>
      </c>
      <c r="P529" s="53">
        <f>IF(AND($D529="SXC (627)",$F529="Chung"),IF(OR($G529="Cố định",$G529="Biến đổi"),"","THIẾU TÍNH CHẤT"),"")</f>
        <v/>
      </c>
    </row>
    <row r="530" ht="15" customHeight="1" s="54">
      <c r="A530" s="71" t="n"/>
      <c r="B530" s="67" t="n"/>
      <c r="C530" s="67" t="n"/>
      <c r="D530" s="67" t="n"/>
      <c r="E530" s="79">
        <f>IFERROR(INDEX(MAP_TK,MATCH($D530,MAP_KM,0)),"")</f>
        <v/>
      </c>
      <c r="F530" s="67" t="n"/>
      <c r="G530" s="67" t="n"/>
      <c r="H530" s="67" t="n"/>
      <c r="I530" s="67" t="n"/>
      <c r="J530" s="75" t="n"/>
      <c r="K530" s="67" t="n"/>
      <c r="M530" s="53">
        <f>IF($C530="","",IF(OR($C530="CHUNG",COUNTIF(DM_Ma,$C530)&gt;0),"","MÃ LẠ"))</f>
        <v/>
      </c>
      <c r="N530" s="53">
        <f>IF($A530="","",IF(AND($A530&gt;=pTu,$A530&lt;=pDen),"","NGOÀI KỲ"))</f>
        <v/>
      </c>
      <c r="O530" s="53">
        <f>IF($J530="","",IF($J530&lt;=0,"≤0",""))</f>
        <v/>
      </c>
      <c r="P530" s="53">
        <f>IF(AND($D530="SXC (627)",$F530="Chung"),IF(OR($G530="Cố định",$G530="Biến đổi"),"","THIẾU TÍNH CHẤT"),"")</f>
        <v/>
      </c>
    </row>
    <row r="531" ht="15" customHeight="1" s="54">
      <c r="A531" s="71" t="n"/>
      <c r="B531" s="67" t="n"/>
      <c r="C531" s="67" t="n"/>
      <c r="D531" s="67" t="n"/>
      <c r="E531" s="79">
        <f>IFERROR(INDEX(MAP_TK,MATCH($D531,MAP_KM,0)),"")</f>
        <v/>
      </c>
      <c r="F531" s="67" t="n"/>
      <c r="G531" s="67" t="n"/>
      <c r="H531" s="67" t="n"/>
      <c r="I531" s="67" t="n"/>
      <c r="J531" s="75" t="n"/>
      <c r="K531" s="67" t="n"/>
      <c r="M531" s="53">
        <f>IF($C531="","",IF(OR($C531="CHUNG",COUNTIF(DM_Ma,$C531)&gt;0),"","MÃ LẠ"))</f>
        <v/>
      </c>
      <c r="N531" s="53">
        <f>IF($A531="","",IF(AND($A531&gt;=pTu,$A531&lt;=pDen),"","NGOÀI KỲ"))</f>
        <v/>
      </c>
      <c r="O531" s="53">
        <f>IF($J531="","",IF($J531&lt;=0,"≤0",""))</f>
        <v/>
      </c>
      <c r="P531" s="53">
        <f>IF(AND($D531="SXC (627)",$F531="Chung"),IF(OR($G531="Cố định",$G531="Biến đổi"),"","THIẾU TÍNH CHẤT"),"")</f>
        <v/>
      </c>
    </row>
    <row r="532" ht="15" customHeight="1" s="54">
      <c r="A532" s="71" t="n"/>
      <c r="B532" s="67" t="n"/>
      <c r="C532" s="67" t="n"/>
      <c r="D532" s="67" t="n"/>
      <c r="E532" s="79">
        <f>IFERROR(INDEX(MAP_TK,MATCH($D532,MAP_KM,0)),"")</f>
        <v/>
      </c>
      <c r="F532" s="67" t="n"/>
      <c r="G532" s="67" t="n"/>
      <c r="H532" s="67" t="n"/>
      <c r="I532" s="67" t="n"/>
      <c r="J532" s="75" t="n"/>
      <c r="K532" s="67" t="n"/>
      <c r="M532" s="53">
        <f>IF($C532="","",IF(OR($C532="CHUNG",COUNTIF(DM_Ma,$C532)&gt;0),"","MÃ LẠ"))</f>
        <v/>
      </c>
      <c r="N532" s="53">
        <f>IF($A532="","",IF(AND($A532&gt;=pTu,$A532&lt;=pDen),"","NGOÀI KỲ"))</f>
        <v/>
      </c>
      <c r="O532" s="53">
        <f>IF($J532="","",IF($J532&lt;=0,"≤0",""))</f>
        <v/>
      </c>
      <c r="P532" s="53">
        <f>IF(AND($D532="SXC (627)",$F532="Chung"),IF(OR($G532="Cố định",$G532="Biến đổi"),"","THIẾU TÍNH CHẤT"),"")</f>
        <v/>
      </c>
    </row>
    <row r="533" ht="15" customHeight="1" s="54">
      <c r="A533" s="71" t="n"/>
      <c r="B533" s="67" t="n"/>
      <c r="C533" s="67" t="n"/>
      <c r="D533" s="67" t="n"/>
      <c r="E533" s="79">
        <f>IFERROR(INDEX(MAP_TK,MATCH($D533,MAP_KM,0)),"")</f>
        <v/>
      </c>
      <c r="F533" s="67" t="n"/>
      <c r="G533" s="67" t="n"/>
      <c r="H533" s="67" t="n"/>
      <c r="I533" s="67" t="n"/>
      <c r="J533" s="75" t="n"/>
      <c r="K533" s="67" t="n"/>
      <c r="M533" s="53">
        <f>IF($C533="","",IF(OR($C533="CHUNG",COUNTIF(DM_Ma,$C533)&gt;0),"","MÃ LẠ"))</f>
        <v/>
      </c>
      <c r="N533" s="53">
        <f>IF($A533="","",IF(AND($A533&gt;=pTu,$A533&lt;=pDen),"","NGOÀI KỲ"))</f>
        <v/>
      </c>
      <c r="O533" s="53">
        <f>IF($J533="","",IF($J533&lt;=0,"≤0",""))</f>
        <v/>
      </c>
      <c r="P533" s="53">
        <f>IF(AND($D533="SXC (627)",$F533="Chung"),IF(OR($G533="Cố định",$G533="Biến đổi"),"","THIẾU TÍNH CHẤT"),"")</f>
        <v/>
      </c>
    </row>
    <row r="534" ht="15" customHeight="1" s="54">
      <c r="A534" s="71" t="n"/>
      <c r="B534" s="67" t="n"/>
      <c r="C534" s="67" t="n"/>
      <c r="D534" s="67" t="n"/>
      <c r="E534" s="79">
        <f>IFERROR(INDEX(MAP_TK,MATCH($D534,MAP_KM,0)),"")</f>
        <v/>
      </c>
      <c r="F534" s="67" t="n"/>
      <c r="G534" s="67" t="n"/>
      <c r="H534" s="67" t="n"/>
      <c r="I534" s="67" t="n"/>
      <c r="J534" s="75" t="n"/>
      <c r="K534" s="67" t="n"/>
      <c r="M534" s="53">
        <f>IF($C534="","",IF(OR($C534="CHUNG",COUNTIF(DM_Ma,$C534)&gt;0),"","MÃ LẠ"))</f>
        <v/>
      </c>
      <c r="N534" s="53">
        <f>IF($A534="","",IF(AND($A534&gt;=pTu,$A534&lt;=pDen),"","NGOÀI KỲ"))</f>
        <v/>
      </c>
      <c r="O534" s="53">
        <f>IF($J534="","",IF($J534&lt;=0,"≤0",""))</f>
        <v/>
      </c>
      <c r="P534" s="53">
        <f>IF(AND($D534="SXC (627)",$F534="Chung"),IF(OR($G534="Cố định",$G534="Biến đổi"),"","THIẾU TÍNH CHẤT"),"")</f>
        <v/>
      </c>
    </row>
    <row r="535" ht="15" customHeight="1" s="54">
      <c r="A535" s="71" t="n"/>
      <c r="B535" s="67" t="n"/>
      <c r="C535" s="67" t="n"/>
      <c r="D535" s="67" t="n"/>
      <c r="E535" s="79">
        <f>IFERROR(INDEX(MAP_TK,MATCH($D535,MAP_KM,0)),"")</f>
        <v/>
      </c>
      <c r="F535" s="67" t="n"/>
      <c r="G535" s="67" t="n"/>
      <c r="H535" s="67" t="n"/>
      <c r="I535" s="67" t="n"/>
      <c r="J535" s="75" t="n"/>
      <c r="K535" s="67" t="n"/>
      <c r="M535" s="53">
        <f>IF($C535="","",IF(OR($C535="CHUNG",COUNTIF(DM_Ma,$C535)&gt;0),"","MÃ LẠ"))</f>
        <v/>
      </c>
      <c r="N535" s="53">
        <f>IF($A535="","",IF(AND($A535&gt;=pTu,$A535&lt;=pDen),"","NGOÀI KỲ"))</f>
        <v/>
      </c>
      <c r="O535" s="53">
        <f>IF($J535="","",IF($J535&lt;=0,"≤0",""))</f>
        <v/>
      </c>
      <c r="P535" s="53">
        <f>IF(AND($D535="SXC (627)",$F535="Chung"),IF(OR($G535="Cố định",$G535="Biến đổi"),"","THIẾU TÍNH CHẤT"),"")</f>
        <v/>
      </c>
    </row>
    <row r="536" ht="15" customHeight="1" s="54">
      <c r="A536" s="71" t="n"/>
      <c r="B536" s="67" t="n"/>
      <c r="C536" s="67" t="n"/>
      <c r="D536" s="67" t="n"/>
      <c r="E536" s="79">
        <f>IFERROR(INDEX(MAP_TK,MATCH($D536,MAP_KM,0)),"")</f>
        <v/>
      </c>
      <c r="F536" s="67" t="n"/>
      <c r="G536" s="67" t="n"/>
      <c r="H536" s="67" t="n"/>
      <c r="I536" s="67" t="n"/>
      <c r="J536" s="75" t="n"/>
      <c r="K536" s="67" t="n"/>
      <c r="M536" s="53">
        <f>IF($C536="","",IF(OR($C536="CHUNG",COUNTIF(DM_Ma,$C536)&gt;0),"","MÃ LẠ"))</f>
        <v/>
      </c>
      <c r="N536" s="53">
        <f>IF($A536="","",IF(AND($A536&gt;=pTu,$A536&lt;=pDen),"","NGOÀI KỲ"))</f>
        <v/>
      </c>
      <c r="O536" s="53">
        <f>IF($J536="","",IF($J536&lt;=0,"≤0",""))</f>
        <v/>
      </c>
      <c r="P536" s="53">
        <f>IF(AND($D536="SXC (627)",$F536="Chung"),IF(OR($G536="Cố định",$G536="Biến đổi"),"","THIẾU TÍNH CHẤT"),"")</f>
        <v/>
      </c>
    </row>
    <row r="537" ht="15" customHeight="1" s="54">
      <c r="A537" s="71" t="n"/>
      <c r="B537" s="67" t="n"/>
      <c r="C537" s="67" t="n"/>
      <c r="D537" s="67" t="n"/>
      <c r="E537" s="79">
        <f>IFERROR(INDEX(MAP_TK,MATCH($D537,MAP_KM,0)),"")</f>
        <v/>
      </c>
      <c r="F537" s="67" t="n"/>
      <c r="G537" s="67" t="n"/>
      <c r="H537" s="67" t="n"/>
      <c r="I537" s="67" t="n"/>
      <c r="J537" s="75" t="n"/>
      <c r="K537" s="67" t="n"/>
      <c r="M537" s="53">
        <f>IF($C537="","",IF(OR($C537="CHUNG",COUNTIF(DM_Ma,$C537)&gt;0),"","MÃ LẠ"))</f>
        <v/>
      </c>
      <c r="N537" s="53">
        <f>IF($A537="","",IF(AND($A537&gt;=pTu,$A537&lt;=pDen),"","NGOÀI KỲ"))</f>
        <v/>
      </c>
      <c r="O537" s="53">
        <f>IF($J537="","",IF($J537&lt;=0,"≤0",""))</f>
        <v/>
      </c>
      <c r="P537" s="53">
        <f>IF(AND($D537="SXC (627)",$F537="Chung"),IF(OR($G537="Cố định",$G537="Biến đổi"),"","THIẾU TÍNH CHẤT"),"")</f>
        <v/>
      </c>
    </row>
    <row r="538" ht="15" customHeight="1" s="54">
      <c r="A538" s="71" t="n"/>
      <c r="B538" s="67" t="n"/>
      <c r="C538" s="67" t="n"/>
      <c r="D538" s="67" t="n"/>
      <c r="E538" s="79">
        <f>IFERROR(INDEX(MAP_TK,MATCH($D538,MAP_KM,0)),"")</f>
        <v/>
      </c>
      <c r="F538" s="67" t="n"/>
      <c r="G538" s="67" t="n"/>
      <c r="H538" s="67" t="n"/>
      <c r="I538" s="67" t="n"/>
      <c r="J538" s="75" t="n"/>
      <c r="K538" s="67" t="n"/>
      <c r="M538" s="53">
        <f>IF($C538="","",IF(OR($C538="CHUNG",COUNTIF(DM_Ma,$C538)&gt;0),"","MÃ LẠ"))</f>
        <v/>
      </c>
      <c r="N538" s="53">
        <f>IF($A538="","",IF(AND($A538&gt;=pTu,$A538&lt;=pDen),"","NGOÀI KỲ"))</f>
        <v/>
      </c>
      <c r="O538" s="53">
        <f>IF($J538="","",IF($J538&lt;=0,"≤0",""))</f>
        <v/>
      </c>
      <c r="P538" s="53">
        <f>IF(AND($D538="SXC (627)",$F538="Chung"),IF(OR($G538="Cố định",$G538="Biến đổi"),"","THIẾU TÍNH CHẤT"),"")</f>
        <v/>
      </c>
    </row>
    <row r="539" ht="15" customHeight="1" s="54">
      <c r="A539" s="71" t="n"/>
      <c r="B539" s="67" t="n"/>
      <c r="C539" s="67" t="n"/>
      <c r="D539" s="67" t="n"/>
      <c r="E539" s="79">
        <f>IFERROR(INDEX(MAP_TK,MATCH($D539,MAP_KM,0)),"")</f>
        <v/>
      </c>
      <c r="F539" s="67" t="n"/>
      <c r="G539" s="67" t="n"/>
      <c r="H539" s="67" t="n"/>
      <c r="I539" s="67" t="n"/>
      <c r="J539" s="75" t="n"/>
      <c r="K539" s="67" t="n"/>
      <c r="M539" s="53">
        <f>IF($C539="","",IF(OR($C539="CHUNG",COUNTIF(DM_Ma,$C539)&gt;0),"","MÃ LẠ"))</f>
        <v/>
      </c>
      <c r="N539" s="53">
        <f>IF($A539="","",IF(AND($A539&gt;=pTu,$A539&lt;=pDen),"","NGOÀI KỲ"))</f>
        <v/>
      </c>
      <c r="O539" s="53">
        <f>IF($J539="","",IF($J539&lt;=0,"≤0",""))</f>
        <v/>
      </c>
      <c r="P539" s="53">
        <f>IF(AND($D539="SXC (627)",$F539="Chung"),IF(OR($G539="Cố định",$G539="Biến đổi"),"","THIẾU TÍNH CHẤT"),"")</f>
        <v/>
      </c>
    </row>
    <row r="540" ht="15" customHeight="1" s="54">
      <c r="A540" s="71" t="n"/>
      <c r="B540" s="67" t="n"/>
      <c r="C540" s="67" t="n"/>
      <c r="D540" s="67" t="n"/>
      <c r="E540" s="79">
        <f>IFERROR(INDEX(MAP_TK,MATCH($D540,MAP_KM,0)),"")</f>
        <v/>
      </c>
      <c r="F540" s="67" t="n"/>
      <c r="G540" s="67" t="n"/>
      <c r="H540" s="67" t="n"/>
      <c r="I540" s="67" t="n"/>
      <c r="J540" s="75" t="n"/>
      <c r="K540" s="67" t="n"/>
      <c r="M540" s="53">
        <f>IF($C540="","",IF(OR($C540="CHUNG",COUNTIF(DM_Ma,$C540)&gt;0),"","MÃ LẠ"))</f>
        <v/>
      </c>
      <c r="N540" s="53">
        <f>IF($A540="","",IF(AND($A540&gt;=pTu,$A540&lt;=pDen),"","NGOÀI KỲ"))</f>
        <v/>
      </c>
      <c r="O540" s="53">
        <f>IF($J540="","",IF($J540&lt;=0,"≤0",""))</f>
        <v/>
      </c>
      <c r="P540" s="53">
        <f>IF(AND($D540="SXC (627)",$F540="Chung"),IF(OR($G540="Cố định",$G540="Biến đổi"),"","THIẾU TÍNH CHẤT"),"")</f>
        <v/>
      </c>
    </row>
    <row r="541" ht="15" customHeight="1" s="54">
      <c r="A541" s="71" t="n"/>
      <c r="B541" s="67" t="n"/>
      <c r="C541" s="67" t="n"/>
      <c r="D541" s="67" t="n"/>
      <c r="E541" s="79">
        <f>IFERROR(INDEX(MAP_TK,MATCH($D541,MAP_KM,0)),"")</f>
        <v/>
      </c>
      <c r="F541" s="67" t="n"/>
      <c r="G541" s="67" t="n"/>
      <c r="H541" s="67" t="n"/>
      <c r="I541" s="67" t="n"/>
      <c r="J541" s="75" t="n"/>
      <c r="K541" s="67" t="n"/>
      <c r="M541" s="53">
        <f>IF($C541="","",IF(OR($C541="CHUNG",COUNTIF(DM_Ma,$C541)&gt;0),"","MÃ LẠ"))</f>
        <v/>
      </c>
      <c r="N541" s="53">
        <f>IF($A541="","",IF(AND($A541&gt;=pTu,$A541&lt;=pDen),"","NGOÀI KỲ"))</f>
        <v/>
      </c>
      <c r="O541" s="53">
        <f>IF($J541="","",IF($J541&lt;=0,"≤0",""))</f>
        <v/>
      </c>
      <c r="P541" s="53">
        <f>IF(AND($D541="SXC (627)",$F541="Chung"),IF(OR($G541="Cố định",$G541="Biến đổi"),"","THIẾU TÍNH CHẤT"),"")</f>
        <v/>
      </c>
    </row>
    <row r="542" ht="15" customHeight="1" s="54">
      <c r="A542" s="71" t="n"/>
      <c r="B542" s="67" t="n"/>
      <c r="C542" s="67" t="n"/>
      <c r="D542" s="67" t="n"/>
      <c r="E542" s="79">
        <f>IFERROR(INDEX(MAP_TK,MATCH($D542,MAP_KM,0)),"")</f>
        <v/>
      </c>
      <c r="F542" s="67" t="n"/>
      <c r="G542" s="67" t="n"/>
      <c r="H542" s="67" t="n"/>
      <c r="I542" s="67" t="n"/>
      <c r="J542" s="75" t="n"/>
      <c r="K542" s="67" t="n"/>
      <c r="M542" s="53">
        <f>IF($C542="","",IF(OR($C542="CHUNG",COUNTIF(DM_Ma,$C542)&gt;0),"","MÃ LẠ"))</f>
        <v/>
      </c>
      <c r="N542" s="53">
        <f>IF($A542="","",IF(AND($A542&gt;=pTu,$A542&lt;=pDen),"","NGOÀI KỲ"))</f>
        <v/>
      </c>
      <c r="O542" s="53">
        <f>IF($J542="","",IF($J542&lt;=0,"≤0",""))</f>
        <v/>
      </c>
      <c r="P542" s="53">
        <f>IF(AND($D542="SXC (627)",$F542="Chung"),IF(OR($G542="Cố định",$G542="Biến đổi"),"","THIẾU TÍNH CHẤT"),"")</f>
        <v/>
      </c>
    </row>
    <row r="543" ht="15" customHeight="1" s="54">
      <c r="A543" s="71" t="n"/>
      <c r="B543" s="67" t="n"/>
      <c r="C543" s="67" t="n"/>
      <c r="D543" s="67" t="n"/>
      <c r="E543" s="79">
        <f>IFERROR(INDEX(MAP_TK,MATCH($D543,MAP_KM,0)),"")</f>
        <v/>
      </c>
      <c r="F543" s="67" t="n"/>
      <c r="G543" s="67" t="n"/>
      <c r="H543" s="67" t="n"/>
      <c r="I543" s="67" t="n"/>
      <c r="J543" s="75" t="n"/>
      <c r="K543" s="67" t="n"/>
      <c r="M543" s="53">
        <f>IF($C543="","",IF(OR($C543="CHUNG",COUNTIF(DM_Ma,$C543)&gt;0),"","MÃ LẠ"))</f>
        <v/>
      </c>
      <c r="N543" s="53">
        <f>IF($A543="","",IF(AND($A543&gt;=pTu,$A543&lt;=pDen),"","NGOÀI KỲ"))</f>
        <v/>
      </c>
      <c r="O543" s="53">
        <f>IF($J543="","",IF($J543&lt;=0,"≤0",""))</f>
        <v/>
      </c>
      <c r="P543" s="53">
        <f>IF(AND($D543="SXC (627)",$F543="Chung"),IF(OR($G543="Cố định",$G543="Biến đổi"),"","THIẾU TÍNH CHẤT"),"")</f>
        <v/>
      </c>
    </row>
    <row r="544" ht="15" customHeight="1" s="54">
      <c r="A544" s="71" t="n"/>
      <c r="B544" s="67" t="n"/>
      <c r="C544" s="67" t="n"/>
      <c r="D544" s="67" t="n"/>
      <c r="E544" s="79">
        <f>IFERROR(INDEX(MAP_TK,MATCH($D544,MAP_KM,0)),"")</f>
        <v/>
      </c>
      <c r="F544" s="67" t="n"/>
      <c r="G544" s="67" t="n"/>
      <c r="H544" s="67" t="n"/>
      <c r="I544" s="67" t="n"/>
      <c r="J544" s="75" t="n"/>
      <c r="K544" s="67" t="n"/>
      <c r="M544" s="53">
        <f>IF($C544="","",IF(OR($C544="CHUNG",COUNTIF(DM_Ma,$C544)&gt;0),"","MÃ LẠ"))</f>
        <v/>
      </c>
      <c r="N544" s="53">
        <f>IF($A544="","",IF(AND($A544&gt;=pTu,$A544&lt;=pDen),"","NGOÀI KỲ"))</f>
        <v/>
      </c>
      <c r="O544" s="53">
        <f>IF($J544="","",IF($J544&lt;=0,"≤0",""))</f>
        <v/>
      </c>
      <c r="P544" s="53">
        <f>IF(AND($D544="SXC (627)",$F544="Chung"),IF(OR($G544="Cố định",$G544="Biến đổi"),"","THIẾU TÍNH CHẤT"),"")</f>
        <v/>
      </c>
    </row>
    <row r="545" ht="15" customHeight="1" s="54">
      <c r="A545" s="71" t="n"/>
      <c r="B545" s="67" t="n"/>
      <c r="C545" s="67" t="n"/>
      <c r="D545" s="67" t="n"/>
      <c r="E545" s="79">
        <f>IFERROR(INDEX(MAP_TK,MATCH($D545,MAP_KM,0)),"")</f>
        <v/>
      </c>
      <c r="F545" s="67" t="n"/>
      <c r="G545" s="67" t="n"/>
      <c r="H545" s="67" t="n"/>
      <c r="I545" s="67" t="n"/>
      <c r="J545" s="75" t="n"/>
      <c r="K545" s="67" t="n"/>
      <c r="M545" s="53">
        <f>IF($C545="","",IF(OR($C545="CHUNG",COUNTIF(DM_Ma,$C545)&gt;0),"","MÃ LẠ"))</f>
        <v/>
      </c>
      <c r="N545" s="53">
        <f>IF($A545="","",IF(AND($A545&gt;=pTu,$A545&lt;=pDen),"","NGOÀI KỲ"))</f>
        <v/>
      </c>
      <c r="O545" s="53">
        <f>IF($J545="","",IF($J545&lt;=0,"≤0",""))</f>
        <v/>
      </c>
      <c r="P545" s="53">
        <f>IF(AND($D545="SXC (627)",$F545="Chung"),IF(OR($G545="Cố định",$G545="Biến đổi"),"","THIẾU TÍNH CHẤT"),"")</f>
        <v/>
      </c>
    </row>
    <row r="546" ht="15" customHeight="1" s="54">
      <c r="A546" s="71" t="n"/>
      <c r="B546" s="67" t="n"/>
      <c r="C546" s="67" t="n"/>
      <c r="D546" s="67" t="n"/>
      <c r="E546" s="79">
        <f>IFERROR(INDEX(MAP_TK,MATCH($D546,MAP_KM,0)),"")</f>
        <v/>
      </c>
      <c r="F546" s="67" t="n"/>
      <c r="G546" s="67" t="n"/>
      <c r="H546" s="67" t="n"/>
      <c r="I546" s="67" t="n"/>
      <c r="J546" s="75" t="n"/>
      <c r="K546" s="67" t="n"/>
      <c r="M546" s="53">
        <f>IF($C546="","",IF(OR($C546="CHUNG",COUNTIF(DM_Ma,$C546)&gt;0),"","MÃ LẠ"))</f>
        <v/>
      </c>
      <c r="N546" s="53">
        <f>IF($A546="","",IF(AND($A546&gt;=pTu,$A546&lt;=pDen),"","NGOÀI KỲ"))</f>
        <v/>
      </c>
      <c r="O546" s="53">
        <f>IF($J546="","",IF($J546&lt;=0,"≤0",""))</f>
        <v/>
      </c>
      <c r="P546" s="53">
        <f>IF(AND($D546="SXC (627)",$F546="Chung"),IF(OR($G546="Cố định",$G546="Biến đổi"),"","THIẾU TÍNH CHẤT"),"")</f>
        <v/>
      </c>
    </row>
    <row r="547" ht="15" customHeight="1" s="54">
      <c r="A547" s="71" t="n"/>
      <c r="B547" s="67" t="n"/>
      <c r="C547" s="67" t="n"/>
      <c r="D547" s="67" t="n"/>
      <c r="E547" s="79">
        <f>IFERROR(INDEX(MAP_TK,MATCH($D547,MAP_KM,0)),"")</f>
        <v/>
      </c>
      <c r="F547" s="67" t="n"/>
      <c r="G547" s="67" t="n"/>
      <c r="H547" s="67" t="n"/>
      <c r="I547" s="67" t="n"/>
      <c r="J547" s="75" t="n"/>
      <c r="K547" s="67" t="n"/>
      <c r="M547" s="53">
        <f>IF($C547="","",IF(OR($C547="CHUNG",COUNTIF(DM_Ma,$C547)&gt;0),"","MÃ LẠ"))</f>
        <v/>
      </c>
      <c r="N547" s="53">
        <f>IF($A547="","",IF(AND($A547&gt;=pTu,$A547&lt;=pDen),"","NGOÀI KỲ"))</f>
        <v/>
      </c>
      <c r="O547" s="53">
        <f>IF($J547="","",IF($J547&lt;=0,"≤0",""))</f>
        <v/>
      </c>
      <c r="P547" s="53">
        <f>IF(AND($D547="SXC (627)",$F547="Chung"),IF(OR($G547="Cố định",$G547="Biến đổi"),"","THIẾU TÍNH CHẤT"),"")</f>
        <v/>
      </c>
    </row>
    <row r="548" ht="15" customHeight="1" s="54">
      <c r="A548" s="71" t="n"/>
      <c r="B548" s="67" t="n"/>
      <c r="C548" s="67" t="n"/>
      <c r="D548" s="67" t="n"/>
      <c r="E548" s="79">
        <f>IFERROR(INDEX(MAP_TK,MATCH($D548,MAP_KM,0)),"")</f>
        <v/>
      </c>
      <c r="F548" s="67" t="n"/>
      <c r="G548" s="67" t="n"/>
      <c r="H548" s="67" t="n"/>
      <c r="I548" s="67" t="n"/>
      <c r="J548" s="75" t="n"/>
      <c r="K548" s="67" t="n"/>
      <c r="M548" s="53">
        <f>IF($C548="","",IF(OR($C548="CHUNG",COUNTIF(DM_Ma,$C548)&gt;0),"","MÃ LẠ"))</f>
        <v/>
      </c>
      <c r="N548" s="53">
        <f>IF($A548="","",IF(AND($A548&gt;=pTu,$A548&lt;=pDen),"","NGOÀI KỲ"))</f>
        <v/>
      </c>
      <c r="O548" s="53">
        <f>IF($J548="","",IF($J548&lt;=0,"≤0",""))</f>
        <v/>
      </c>
      <c r="P548" s="53">
        <f>IF(AND($D548="SXC (627)",$F548="Chung"),IF(OR($G548="Cố định",$G548="Biến đổi"),"","THIẾU TÍNH CHẤT"),"")</f>
        <v/>
      </c>
    </row>
    <row r="549" ht="15" customHeight="1" s="54">
      <c r="A549" s="71" t="n"/>
      <c r="B549" s="67" t="n"/>
      <c r="C549" s="67" t="n"/>
      <c r="D549" s="67" t="n"/>
      <c r="E549" s="79">
        <f>IFERROR(INDEX(MAP_TK,MATCH($D549,MAP_KM,0)),"")</f>
        <v/>
      </c>
      <c r="F549" s="67" t="n"/>
      <c r="G549" s="67" t="n"/>
      <c r="H549" s="67" t="n"/>
      <c r="I549" s="67" t="n"/>
      <c r="J549" s="75" t="n"/>
      <c r="K549" s="67" t="n"/>
      <c r="M549" s="53">
        <f>IF($C549="","",IF(OR($C549="CHUNG",COUNTIF(DM_Ma,$C549)&gt;0),"","MÃ LẠ"))</f>
        <v/>
      </c>
      <c r="N549" s="53">
        <f>IF($A549="","",IF(AND($A549&gt;=pTu,$A549&lt;=pDen),"","NGOÀI KỲ"))</f>
        <v/>
      </c>
      <c r="O549" s="53">
        <f>IF($J549="","",IF($J549&lt;=0,"≤0",""))</f>
        <v/>
      </c>
      <c r="P549" s="53">
        <f>IF(AND($D549="SXC (627)",$F549="Chung"),IF(OR($G549="Cố định",$G549="Biến đổi"),"","THIẾU TÍNH CHẤT"),"")</f>
        <v/>
      </c>
    </row>
    <row r="550" ht="15" customHeight="1" s="54">
      <c r="A550" s="71" t="n"/>
      <c r="B550" s="67" t="n"/>
      <c r="C550" s="67" t="n"/>
      <c r="D550" s="67" t="n"/>
      <c r="E550" s="79">
        <f>IFERROR(INDEX(MAP_TK,MATCH($D550,MAP_KM,0)),"")</f>
        <v/>
      </c>
      <c r="F550" s="67" t="n"/>
      <c r="G550" s="67" t="n"/>
      <c r="H550" s="67" t="n"/>
      <c r="I550" s="67" t="n"/>
      <c r="J550" s="75" t="n"/>
      <c r="K550" s="67" t="n"/>
      <c r="M550" s="53">
        <f>IF($C550="","",IF(OR($C550="CHUNG",COUNTIF(DM_Ma,$C550)&gt;0),"","MÃ LẠ"))</f>
        <v/>
      </c>
      <c r="N550" s="53">
        <f>IF($A550="","",IF(AND($A550&gt;=pTu,$A550&lt;=pDen),"","NGOÀI KỲ"))</f>
        <v/>
      </c>
      <c r="O550" s="53">
        <f>IF($J550="","",IF($J550&lt;=0,"≤0",""))</f>
        <v/>
      </c>
      <c r="P550" s="53">
        <f>IF(AND($D550="SXC (627)",$F550="Chung"),IF(OR($G550="Cố định",$G550="Biến đổi"),"","THIẾU TÍNH CHẤT"),"")</f>
        <v/>
      </c>
    </row>
    <row r="551" ht="15" customHeight="1" s="54">
      <c r="A551" s="71" t="n"/>
      <c r="B551" s="67" t="n"/>
      <c r="C551" s="67" t="n"/>
      <c r="D551" s="67" t="n"/>
      <c r="E551" s="79">
        <f>IFERROR(INDEX(MAP_TK,MATCH($D551,MAP_KM,0)),"")</f>
        <v/>
      </c>
      <c r="F551" s="67" t="n"/>
      <c r="G551" s="67" t="n"/>
      <c r="H551" s="67" t="n"/>
      <c r="I551" s="67" t="n"/>
      <c r="J551" s="75" t="n"/>
      <c r="K551" s="67" t="n"/>
      <c r="M551" s="53">
        <f>IF($C551="","",IF(OR($C551="CHUNG",COUNTIF(DM_Ma,$C551)&gt;0),"","MÃ LẠ"))</f>
        <v/>
      </c>
      <c r="N551" s="53">
        <f>IF($A551="","",IF(AND($A551&gt;=pTu,$A551&lt;=pDen),"","NGOÀI KỲ"))</f>
        <v/>
      </c>
      <c r="O551" s="53">
        <f>IF($J551="","",IF($J551&lt;=0,"≤0",""))</f>
        <v/>
      </c>
      <c r="P551" s="53">
        <f>IF(AND($D551="SXC (627)",$F551="Chung"),IF(OR($G551="Cố định",$G551="Biến đổi"),"","THIẾU TÍNH CHẤT"),"")</f>
        <v/>
      </c>
    </row>
    <row r="552" ht="15" customHeight="1" s="54">
      <c r="A552" s="71" t="n"/>
      <c r="B552" s="67" t="n"/>
      <c r="C552" s="67" t="n"/>
      <c r="D552" s="67" t="n"/>
      <c r="E552" s="79">
        <f>IFERROR(INDEX(MAP_TK,MATCH($D552,MAP_KM,0)),"")</f>
        <v/>
      </c>
      <c r="F552" s="67" t="n"/>
      <c r="G552" s="67" t="n"/>
      <c r="H552" s="67" t="n"/>
      <c r="I552" s="67" t="n"/>
      <c r="J552" s="75" t="n"/>
      <c r="K552" s="67" t="n"/>
      <c r="M552" s="53">
        <f>IF($C552="","",IF(OR($C552="CHUNG",COUNTIF(DM_Ma,$C552)&gt;0),"","MÃ LẠ"))</f>
        <v/>
      </c>
      <c r="N552" s="53">
        <f>IF($A552="","",IF(AND($A552&gt;=pTu,$A552&lt;=pDen),"","NGOÀI KỲ"))</f>
        <v/>
      </c>
      <c r="O552" s="53">
        <f>IF($J552="","",IF($J552&lt;=0,"≤0",""))</f>
        <v/>
      </c>
      <c r="P552" s="53">
        <f>IF(AND($D552="SXC (627)",$F552="Chung"),IF(OR($G552="Cố định",$G552="Biến đổi"),"","THIẾU TÍNH CHẤT"),"")</f>
        <v/>
      </c>
    </row>
    <row r="553" ht="15" customHeight="1" s="54">
      <c r="A553" s="71" t="n"/>
      <c r="B553" s="67" t="n"/>
      <c r="C553" s="67" t="n"/>
      <c r="D553" s="67" t="n"/>
      <c r="E553" s="79">
        <f>IFERROR(INDEX(MAP_TK,MATCH($D553,MAP_KM,0)),"")</f>
        <v/>
      </c>
      <c r="F553" s="67" t="n"/>
      <c r="G553" s="67" t="n"/>
      <c r="H553" s="67" t="n"/>
      <c r="I553" s="67" t="n"/>
      <c r="J553" s="75" t="n"/>
      <c r="K553" s="67" t="n"/>
      <c r="M553" s="53">
        <f>IF($C553="","",IF(OR($C553="CHUNG",COUNTIF(DM_Ma,$C553)&gt;0),"","MÃ LẠ"))</f>
        <v/>
      </c>
      <c r="N553" s="53">
        <f>IF($A553="","",IF(AND($A553&gt;=pTu,$A553&lt;=pDen),"","NGOÀI KỲ"))</f>
        <v/>
      </c>
      <c r="O553" s="53">
        <f>IF($J553="","",IF($J553&lt;=0,"≤0",""))</f>
        <v/>
      </c>
      <c r="P553" s="53">
        <f>IF(AND($D553="SXC (627)",$F553="Chung"),IF(OR($G553="Cố định",$G553="Biến đổi"),"","THIẾU TÍNH CHẤT"),"")</f>
        <v/>
      </c>
    </row>
    <row r="554" ht="15" customHeight="1" s="54">
      <c r="A554" s="71" t="n"/>
      <c r="B554" s="67" t="n"/>
      <c r="C554" s="67" t="n"/>
      <c r="D554" s="67" t="n"/>
      <c r="E554" s="79">
        <f>IFERROR(INDEX(MAP_TK,MATCH($D554,MAP_KM,0)),"")</f>
        <v/>
      </c>
      <c r="F554" s="67" t="n"/>
      <c r="G554" s="67" t="n"/>
      <c r="H554" s="67" t="n"/>
      <c r="I554" s="67" t="n"/>
      <c r="J554" s="75" t="n"/>
      <c r="K554" s="67" t="n"/>
      <c r="M554" s="53">
        <f>IF($C554="","",IF(OR($C554="CHUNG",COUNTIF(DM_Ma,$C554)&gt;0),"","MÃ LẠ"))</f>
        <v/>
      </c>
      <c r="N554" s="53">
        <f>IF($A554="","",IF(AND($A554&gt;=pTu,$A554&lt;=pDen),"","NGOÀI KỲ"))</f>
        <v/>
      </c>
      <c r="O554" s="53">
        <f>IF($J554="","",IF($J554&lt;=0,"≤0",""))</f>
        <v/>
      </c>
      <c r="P554" s="53">
        <f>IF(AND($D554="SXC (627)",$F554="Chung"),IF(OR($G554="Cố định",$G554="Biến đổi"),"","THIẾU TÍNH CHẤT"),"")</f>
        <v/>
      </c>
    </row>
    <row r="555" ht="15" customHeight="1" s="54">
      <c r="A555" s="71" t="n"/>
      <c r="B555" s="67" t="n"/>
      <c r="C555" s="67" t="n"/>
      <c r="D555" s="67" t="n"/>
      <c r="E555" s="79">
        <f>IFERROR(INDEX(MAP_TK,MATCH($D555,MAP_KM,0)),"")</f>
        <v/>
      </c>
      <c r="F555" s="67" t="n"/>
      <c r="G555" s="67" t="n"/>
      <c r="H555" s="67" t="n"/>
      <c r="I555" s="67" t="n"/>
      <c r="J555" s="75" t="n"/>
      <c r="K555" s="67" t="n"/>
      <c r="M555" s="53">
        <f>IF($C555="","",IF(OR($C555="CHUNG",COUNTIF(DM_Ma,$C555)&gt;0),"","MÃ LẠ"))</f>
        <v/>
      </c>
      <c r="N555" s="53">
        <f>IF($A555="","",IF(AND($A555&gt;=pTu,$A555&lt;=pDen),"","NGOÀI KỲ"))</f>
        <v/>
      </c>
      <c r="O555" s="53">
        <f>IF($J555="","",IF($J555&lt;=0,"≤0",""))</f>
        <v/>
      </c>
      <c r="P555" s="53">
        <f>IF(AND($D555="SXC (627)",$F555="Chung"),IF(OR($G555="Cố định",$G555="Biến đổi"),"","THIẾU TÍNH CHẤT"),"")</f>
        <v/>
      </c>
    </row>
    <row r="556" ht="15" customHeight="1" s="54">
      <c r="A556" s="71" t="n"/>
      <c r="B556" s="67" t="n"/>
      <c r="C556" s="67" t="n"/>
      <c r="D556" s="67" t="n"/>
      <c r="E556" s="79">
        <f>IFERROR(INDEX(MAP_TK,MATCH($D556,MAP_KM,0)),"")</f>
        <v/>
      </c>
      <c r="F556" s="67" t="n"/>
      <c r="G556" s="67" t="n"/>
      <c r="H556" s="67" t="n"/>
      <c r="I556" s="67" t="n"/>
      <c r="J556" s="75" t="n"/>
      <c r="K556" s="67" t="n"/>
      <c r="M556" s="53">
        <f>IF($C556="","",IF(OR($C556="CHUNG",COUNTIF(DM_Ma,$C556)&gt;0),"","MÃ LẠ"))</f>
        <v/>
      </c>
      <c r="N556" s="53">
        <f>IF($A556="","",IF(AND($A556&gt;=pTu,$A556&lt;=pDen),"","NGOÀI KỲ"))</f>
        <v/>
      </c>
      <c r="O556" s="53">
        <f>IF($J556="","",IF($J556&lt;=0,"≤0",""))</f>
        <v/>
      </c>
      <c r="P556" s="53">
        <f>IF(AND($D556="SXC (627)",$F556="Chung"),IF(OR($G556="Cố định",$G556="Biến đổi"),"","THIẾU TÍNH CHẤT"),"")</f>
        <v/>
      </c>
    </row>
    <row r="557" ht="15" customHeight="1" s="54">
      <c r="A557" s="71" t="n"/>
      <c r="B557" s="67" t="n"/>
      <c r="C557" s="67" t="n"/>
      <c r="D557" s="67" t="n"/>
      <c r="E557" s="79">
        <f>IFERROR(INDEX(MAP_TK,MATCH($D557,MAP_KM,0)),"")</f>
        <v/>
      </c>
      <c r="F557" s="67" t="n"/>
      <c r="G557" s="67" t="n"/>
      <c r="H557" s="67" t="n"/>
      <c r="I557" s="67" t="n"/>
      <c r="J557" s="75" t="n"/>
      <c r="K557" s="67" t="n"/>
      <c r="M557" s="53">
        <f>IF($C557="","",IF(OR($C557="CHUNG",COUNTIF(DM_Ma,$C557)&gt;0),"","MÃ LẠ"))</f>
        <v/>
      </c>
      <c r="N557" s="53">
        <f>IF($A557="","",IF(AND($A557&gt;=pTu,$A557&lt;=pDen),"","NGOÀI KỲ"))</f>
        <v/>
      </c>
      <c r="O557" s="53">
        <f>IF($J557="","",IF($J557&lt;=0,"≤0",""))</f>
        <v/>
      </c>
      <c r="P557" s="53">
        <f>IF(AND($D557="SXC (627)",$F557="Chung"),IF(OR($G557="Cố định",$G557="Biến đổi"),"","THIẾU TÍNH CHẤT"),"")</f>
        <v/>
      </c>
    </row>
    <row r="558" ht="15" customHeight="1" s="54">
      <c r="A558" s="71" t="n"/>
      <c r="B558" s="67" t="n"/>
      <c r="C558" s="67" t="n"/>
      <c r="D558" s="67" t="n"/>
      <c r="E558" s="79">
        <f>IFERROR(INDEX(MAP_TK,MATCH($D558,MAP_KM,0)),"")</f>
        <v/>
      </c>
      <c r="F558" s="67" t="n"/>
      <c r="G558" s="67" t="n"/>
      <c r="H558" s="67" t="n"/>
      <c r="I558" s="67" t="n"/>
      <c r="J558" s="75" t="n"/>
      <c r="K558" s="67" t="n"/>
      <c r="M558" s="53">
        <f>IF($C558="","",IF(OR($C558="CHUNG",COUNTIF(DM_Ma,$C558)&gt;0),"","MÃ LẠ"))</f>
        <v/>
      </c>
      <c r="N558" s="53">
        <f>IF($A558="","",IF(AND($A558&gt;=pTu,$A558&lt;=pDen),"","NGOÀI KỲ"))</f>
        <v/>
      </c>
      <c r="O558" s="53">
        <f>IF($J558="","",IF($J558&lt;=0,"≤0",""))</f>
        <v/>
      </c>
      <c r="P558" s="53">
        <f>IF(AND($D558="SXC (627)",$F558="Chung"),IF(OR($G558="Cố định",$G558="Biến đổi"),"","THIẾU TÍNH CHẤT"),"")</f>
        <v/>
      </c>
    </row>
    <row r="559" ht="15" customHeight="1" s="54">
      <c r="A559" s="71" t="n"/>
      <c r="B559" s="67" t="n"/>
      <c r="C559" s="67" t="n"/>
      <c r="D559" s="67" t="n"/>
      <c r="E559" s="79">
        <f>IFERROR(INDEX(MAP_TK,MATCH($D559,MAP_KM,0)),"")</f>
        <v/>
      </c>
      <c r="F559" s="67" t="n"/>
      <c r="G559" s="67" t="n"/>
      <c r="H559" s="67" t="n"/>
      <c r="I559" s="67" t="n"/>
      <c r="J559" s="75" t="n"/>
      <c r="K559" s="67" t="n"/>
      <c r="M559" s="53">
        <f>IF($C559="","",IF(OR($C559="CHUNG",COUNTIF(DM_Ma,$C559)&gt;0),"","MÃ LẠ"))</f>
        <v/>
      </c>
      <c r="N559" s="53">
        <f>IF($A559="","",IF(AND($A559&gt;=pTu,$A559&lt;=pDen),"","NGOÀI KỲ"))</f>
        <v/>
      </c>
      <c r="O559" s="53">
        <f>IF($J559="","",IF($J559&lt;=0,"≤0",""))</f>
        <v/>
      </c>
      <c r="P559" s="53">
        <f>IF(AND($D559="SXC (627)",$F559="Chung"),IF(OR($G559="Cố định",$G559="Biến đổi"),"","THIẾU TÍNH CHẤT"),"")</f>
        <v/>
      </c>
    </row>
    <row r="560" ht="15" customHeight="1" s="54">
      <c r="A560" s="71" t="n"/>
      <c r="B560" s="67" t="n"/>
      <c r="C560" s="67" t="n"/>
      <c r="D560" s="67" t="n"/>
      <c r="E560" s="79">
        <f>IFERROR(INDEX(MAP_TK,MATCH($D560,MAP_KM,0)),"")</f>
        <v/>
      </c>
      <c r="F560" s="67" t="n"/>
      <c r="G560" s="67" t="n"/>
      <c r="H560" s="67" t="n"/>
      <c r="I560" s="67" t="n"/>
      <c r="J560" s="75" t="n"/>
      <c r="K560" s="67" t="n"/>
      <c r="M560" s="53">
        <f>IF($C560="","",IF(OR($C560="CHUNG",COUNTIF(DM_Ma,$C560)&gt;0),"","MÃ LẠ"))</f>
        <v/>
      </c>
      <c r="N560" s="53">
        <f>IF($A560="","",IF(AND($A560&gt;=pTu,$A560&lt;=pDen),"","NGOÀI KỲ"))</f>
        <v/>
      </c>
      <c r="O560" s="53">
        <f>IF($J560="","",IF($J560&lt;=0,"≤0",""))</f>
        <v/>
      </c>
      <c r="P560" s="53">
        <f>IF(AND($D560="SXC (627)",$F560="Chung"),IF(OR($G560="Cố định",$G560="Biến đổi"),"","THIẾU TÍNH CHẤT"),"")</f>
        <v/>
      </c>
    </row>
    <row r="561" ht="15" customHeight="1" s="54">
      <c r="A561" s="71" t="n"/>
      <c r="B561" s="67" t="n"/>
      <c r="C561" s="67" t="n"/>
      <c r="D561" s="67" t="n"/>
      <c r="E561" s="79">
        <f>IFERROR(INDEX(MAP_TK,MATCH($D561,MAP_KM,0)),"")</f>
        <v/>
      </c>
      <c r="F561" s="67" t="n"/>
      <c r="G561" s="67" t="n"/>
      <c r="H561" s="67" t="n"/>
      <c r="I561" s="67" t="n"/>
      <c r="J561" s="75" t="n"/>
      <c r="K561" s="67" t="n"/>
      <c r="M561" s="53">
        <f>IF($C561="","",IF(OR($C561="CHUNG",COUNTIF(DM_Ma,$C561)&gt;0),"","MÃ LẠ"))</f>
        <v/>
      </c>
      <c r="N561" s="53">
        <f>IF($A561="","",IF(AND($A561&gt;=pTu,$A561&lt;=pDen),"","NGOÀI KỲ"))</f>
        <v/>
      </c>
      <c r="O561" s="53">
        <f>IF($J561="","",IF($J561&lt;=0,"≤0",""))</f>
        <v/>
      </c>
      <c r="P561" s="53">
        <f>IF(AND($D561="SXC (627)",$F561="Chung"),IF(OR($G561="Cố định",$G561="Biến đổi"),"","THIẾU TÍNH CHẤT"),"")</f>
        <v/>
      </c>
    </row>
    <row r="562" ht="15" customHeight="1" s="54">
      <c r="A562" s="71" t="n"/>
      <c r="B562" s="67" t="n"/>
      <c r="C562" s="67" t="n"/>
      <c r="D562" s="67" t="n"/>
      <c r="E562" s="79">
        <f>IFERROR(INDEX(MAP_TK,MATCH($D562,MAP_KM,0)),"")</f>
        <v/>
      </c>
      <c r="F562" s="67" t="n"/>
      <c r="G562" s="67" t="n"/>
      <c r="H562" s="67" t="n"/>
      <c r="I562" s="67" t="n"/>
      <c r="J562" s="75" t="n"/>
      <c r="K562" s="67" t="n"/>
      <c r="M562" s="53">
        <f>IF($C562="","",IF(OR($C562="CHUNG",COUNTIF(DM_Ma,$C562)&gt;0),"","MÃ LẠ"))</f>
        <v/>
      </c>
      <c r="N562" s="53">
        <f>IF($A562="","",IF(AND($A562&gt;=pTu,$A562&lt;=pDen),"","NGOÀI KỲ"))</f>
        <v/>
      </c>
      <c r="O562" s="53">
        <f>IF($J562="","",IF($J562&lt;=0,"≤0",""))</f>
        <v/>
      </c>
      <c r="P562" s="53">
        <f>IF(AND($D562="SXC (627)",$F562="Chung"),IF(OR($G562="Cố định",$G562="Biến đổi"),"","THIẾU TÍNH CHẤT"),"")</f>
        <v/>
      </c>
    </row>
    <row r="563" ht="15" customHeight="1" s="54">
      <c r="A563" s="71" t="n"/>
      <c r="B563" s="67" t="n"/>
      <c r="C563" s="67" t="n"/>
      <c r="D563" s="67" t="n"/>
      <c r="E563" s="79">
        <f>IFERROR(INDEX(MAP_TK,MATCH($D563,MAP_KM,0)),"")</f>
        <v/>
      </c>
      <c r="F563" s="67" t="n"/>
      <c r="G563" s="67" t="n"/>
      <c r="H563" s="67" t="n"/>
      <c r="I563" s="67" t="n"/>
      <c r="J563" s="75" t="n"/>
      <c r="K563" s="67" t="n"/>
      <c r="M563" s="53">
        <f>IF($C563="","",IF(OR($C563="CHUNG",COUNTIF(DM_Ma,$C563)&gt;0),"","MÃ LẠ"))</f>
        <v/>
      </c>
      <c r="N563" s="53">
        <f>IF($A563="","",IF(AND($A563&gt;=pTu,$A563&lt;=pDen),"","NGOÀI KỲ"))</f>
        <v/>
      </c>
      <c r="O563" s="53">
        <f>IF($J563="","",IF($J563&lt;=0,"≤0",""))</f>
        <v/>
      </c>
      <c r="P563" s="53">
        <f>IF(AND($D563="SXC (627)",$F563="Chung"),IF(OR($G563="Cố định",$G563="Biến đổi"),"","THIẾU TÍNH CHẤT"),"")</f>
        <v/>
      </c>
    </row>
    <row r="564" ht="15" customHeight="1" s="54">
      <c r="A564" s="71" t="n"/>
      <c r="B564" s="67" t="n"/>
      <c r="C564" s="67" t="n"/>
      <c r="D564" s="67" t="n"/>
      <c r="E564" s="79">
        <f>IFERROR(INDEX(MAP_TK,MATCH($D564,MAP_KM,0)),"")</f>
        <v/>
      </c>
      <c r="F564" s="67" t="n"/>
      <c r="G564" s="67" t="n"/>
      <c r="H564" s="67" t="n"/>
      <c r="I564" s="67" t="n"/>
      <c r="J564" s="75" t="n"/>
      <c r="K564" s="67" t="n"/>
      <c r="M564" s="53">
        <f>IF($C564="","",IF(OR($C564="CHUNG",COUNTIF(DM_Ma,$C564)&gt;0),"","MÃ LẠ"))</f>
        <v/>
      </c>
      <c r="N564" s="53">
        <f>IF($A564="","",IF(AND($A564&gt;=pTu,$A564&lt;=pDen),"","NGOÀI KỲ"))</f>
        <v/>
      </c>
      <c r="O564" s="53">
        <f>IF($J564="","",IF($J564&lt;=0,"≤0",""))</f>
        <v/>
      </c>
      <c r="P564" s="53">
        <f>IF(AND($D564="SXC (627)",$F564="Chung"),IF(OR($G564="Cố định",$G564="Biến đổi"),"","THIẾU TÍNH CHẤT"),"")</f>
        <v/>
      </c>
    </row>
    <row r="565" ht="15" customHeight="1" s="54">
      <c r="A565" s="71" t="n"/>
      <c r="B565" s="67" t="n"/>
      <c r="C565" s="67" t="n"/>
      <c r="D565" s="67" t="n"/>
      <c r="E565" s="79">
        <f>IFERROR(INDEX(MAP_TK,MATCH($D565,MAP_KM,0)),"")</f>
        <v/>
      </c>
      <c r="F565" s="67" t="n"/>
      <c r="G565" s="67" t="n"/>
      <c r="H565" s="67" t="n"/>
      <c r="I565" s="67" t="n"/>
      <c r="J565" s="75" t="n"/>
      <c r="K565" s="67" t="n"/>
      <c r="M565" s="53">
        <f>IF($C565="","",IF(OR($C565="CHUNG",COUNTIF(DM_Ma,$C565)&gt;0),"","MÃ LẠ"))</f>
        <v/>
      </c>
      <c r="N565" s="53">
        <f>IF($A565="","",IF(AND($A565&gt;=pTu,$A565&lt;=pDen),"","NGOÀI KỲ"))</f>
        <v/>
      </c>
      <c r="O565" s="53">
        <f>IF($J565="","",IF($J565&lt;=0,"≤0",""))</f>
        <v/>
      </c>
      <c r="P565" s="53">
        <f>IF(AND($D565="SXC (627)",$F565="Chung"),IF(OR($G565="Cố định",$G565="Biến đổi"),"","THIẾU TÍNH CHẤT"),"")</f>
        <v/>
      </c>
    </row>
    <row r="566" ht="15" customHeight="1" s="54">
      <c r="A566" s="71" t="n"/>
      <c r="B566" s="67" t="n"/>
      <c r="C566" s="67" t="n"/>
      <c r="D566" s="67" t="n"/>
      <c r="E566" s="79">
        <f>IFERROR(INDEX(MAP_TK,MATCH($D566,MAP_KM,0)),"")</f>
        <v/>
      </c>
      <c r="F566" s="67" t="n"/>
      <c r="G566" s="67" t="n"/>
      <c r="H566" s="67" t="n"/>
      <c r="I566" s="67" t="n"/>
      <c r="J566" s="75" t="n"/>
      <c r="K566" s="67" t="n"/>
      <c r="M566" s="53">
        <f>IF($C566="","",IF(OR($C566="CHUNG",COUNTIF(DM_Ma,$C566)&gt;0),"","MÃ LẠ"))</f>
        <v/>
      </c>
      <c r="N566" s="53">
        <f>IF($A566="","",IF(AND($A566&gt;=pTu,$A566&lt;=pDen),"","NGOÀI KỲ"))</f>
        <v/>
      </c>
      <c r="O566" s="53">
        <f>IF($J566="","",IF($J566&lt;=0,"≤0",""))</f>
        <v/>
      </c>
      <c r="P566" s="53">
        <f>IF(AND($D566="SXC (627)",$F566="Chung"),IF(OR($G566="Cố định",$G566="Biến đổi"),"","THIẾU TÍNH CHẤT"),"")</f>
        <v/>
      </c>
    </row>
    <row r="567" ht="15" customHeight="1" s="54">
      <c r="A567" s="71" t="n"/>
      <c r="B567" s="67" t="n"/>
      <c r="C567" s="67" t="n"/>
      <c r="D567" s="67" t="n"/>
      <c r="E567" s="79">
        <f>IFERROR(INDEX(MAP_TK,MATCH($D567,MAP_KM,0)),"")</f>
        <v/>
      </c>
      <c r="F567" s="67" t="n"/>
      <c r="G567" s="67" t="n"/>
      <c r="H567" s="67" t="n"/>
      <c r="I567" s="67" t="n"/>
      <c r="J567" s="75" t="n"/>
      <c r="K567" s="67" t="n"/>
      <c r="M567" s="53">
        <f>IF($C567="","",IF(OR($C567="CHUNG",COUNTIF(DM_Ma,$C567)&gt;0),"","MÃ LẠ"))</f>
        <v/>
      </c>
      <c r="N567" s="53">
        <f>IF($A567="","",IF(AND($A567&gt;=pTu,$A567&lt;=pDen),"","NGOÀI KỲ"))</f>
        <v/>
      </c>
      <c r="O567" s="53">
        <f>IF($J567="","",IF($J567&lt;=0,"≤0",""))</f>
        <v/>
      </c>
      <c r="P567" s="53">
        <f>IF(AND($D567="SXC (627)",$F567="Chung"),IF(OR($G567="Cố định",$G567="Biến đổi"),"","THIẾU TÍNH CHẤT"),"")</f>
        <v/>
      </c>
    </row>
    <row r="568" ht="15" customHeight="1" s="54">
      <c r="A568" s="71" t="n"/>
      <c r="B568" s="67" t="n"/>
      <c r="C568" s="67" t="n"/>
      <c r="D568" s="67" t="n"/>
      <c r="E568" s="79">
        <f>IFERROR(INDEX(MAP_TK,MATCH($D568,MAP_KM,0)),"")</f>
        <v/>
      </c>
      <c r="F568" s="67" t="n"/>
      <c r="G568" s="67" t="n"/>
      <c r="H568" s="67" t="n"/>
      <c r="I568" s="67" t="n"/>
      <c r="J568" s="75" t="n"/>
      <c r="K568" s="67" t="n"/>
      <c r="M568" s="53">
        <f>IF($C568="","",IF(OR($C568="CHUNG",COUNTIF(DM_Ma,$C568)&gt;0),"","MÃ LẠ"))</f>
        <v/>
      </c>
      <c r="N568" s="53">
        <f>IF($A568="","",IF(AND($A568&gt;=pTu,$A568&lt;=pDen),"","NGOÀI KỲ"))</f>
        <v/>
      </c>
      <c r="O568" s="53">
        <f>IF($J568="","",IF($J568&lt;=0,"≤0",""))</f>
        <v/>
      </c>
      <c r="P568" s="53">
        <f>IF(AND($D568="SXC (627)",$F568="Chung"),IF(OR($G568="Cố định",$G568="Biến đổi"),"","THIẾU TÍNH CHẤT"),"")</f>
        <v/>
      </c>
    </row>
    <row r="569" ht="15" customHeight="1" s="54">
      <c r="A569" s="71" t="n"/>
      <c r="B569" s="67" t="n"/>
      <c r="C569" s="67" t="n"/>
      <c r="D569" s="67" t="n"/>
      <c r="E569" s="79">
        <f>IFERROR(INDEX(MAP_TK,MATCH($D569,MAP_KM,0)),"")</f>
        <v/>
      </c>
      <c r="F569" s="67" t="n"/>
      <c r="G569" s="67" t="n"/>
      <c r="H569" s="67" t="n"/>
      <c r="I569" s="67" t="n"/>
      <c r="J569" s="75" t="n"/>
      <c r="K569" s="67" t="n"/>
      <c r="M569" s="53">
        <f>IF($C569="","",IF(OR($C569="CHUNG",COUNTIF(DM_Ma,$C569)&gt;0),"","MÃ LẠ"))</f>
        <v/>
      </c>
      <c r="N569" s="53">
        <f>IF($A569="","",IF(AND($A569&gt;=pTu,$A569&lt;=pDen),"","NGOÀI KỲ"))</f>
        <v/>
      </c>
      <c r="O569" s="53">
        <f>IF($J569="","",IF($J569&lt;=0,"≤0",""))</f>
        <v/>
      </c>
      <c r="P569" s="53">
        <f>IF(AND($D569="SXC (627)",$F569="Chung"),IF(OR($G569="Cố định",$G569="Biến đổi"),"","THIẾU TÍNH CHẤT"),"")</f>
        <v/>
      </c>
    </row>
    <row r="570" ht="15" customHeight="1" s="54">
      <c r="A570" s="71" t="n"/>
      <c r="B570" s="67" t="n"/>
      <c r="C570" s="67" t="n"/>
      <c r="D570" s="67" t="n"/>
      <c r="E570" s="79">
        <f>IFERROR(INDEX(MAP_TK,MATCH($D570,MAP_KM,0)),"")</f>
        <v/>
      </c>
      <c r="F570" s="67" t="n"/>
      <c r="G570" s="67" t="n"/>
      <c r="H570" s="67" t="n"/>
      <c r="I570" s="67" t="n"/>
      <c r="J570" s="75" t="n"/>
      <c r="K570" s="67" t="n"/>
      <c r="M570" s="53">
        <f>IF($C570="","",IF(OR($C570="CHUNG",COUNTIF(DM_Ma,$C570)&gt;0),"","MÃ LẠ"))</f>
        <v/>
      </c>
      <c r="N570" s="53">
        <f>IF($A570="","",IF(AND($A570&gt;=pTu,$A570&lt;=pDen),"","NGOÀI KỲ"))</f>
        <v/>
      </c>
      <c r="O570" s="53">
        <f>IF($J570="","",IF($J570&lt;=0,"≤0",""))</f>
        <v/>
      </c>
      <c r="P570" s="53">
        <f>IF(AND($D570="SXC (627)",$F570="Chung"),IF(OR($G570="Cố định",$G570="Biến đổi"),"","THIẾU TÍNH CHẤT"),"")</f>
        <v/>
      </c>
    </row>
    <row r="571" ht="15" customHeight="1" s="54">
      <c r="A571" s="71" t="n"/>
      <c r="B571" s="67" t="n"/>
      <c r="C571" s="67" t="n"/>
      <c r="D571" s="67" t="n"/>
      <c r="E571" s="79">
        <f>IFERROR(INDEX(MAP_TK,MATCH($D571,MAP_KM,0)),"")</f>
        <v/>
      </c>
      <c r="F571" s="67" t="n"/>
      <c r="G571" s="67" t="n"/>
      <c r="H571" s="67" t="n"/>
      <c r="I571" s="67" t="n"/>
      <c r="J571" s="75" t="n"/>
      <c r="K571" s="67" t="n"/>
      <c r="M571" s="53">
        <f>IF($C571="","",IF(OR($C571="CHUNG",COUNTIF(DM_Ma,$C571)&gt;0),"","MÃ LẠ"))</f>
        <v/>
      </c>
      <c r="N571" s="53">
        <f>IF($A571="","",IF(AND($A571&gt;=pTu,$A571&lt;=pDen),"","NGOÀI KỲ"))</f>
        <v/>
      </c>
      <c r="O571" s="53">
        <f>IF($J571="","",IF($J571&lt;=0,"≤0",""))</f>
        <v/>
      </c>
      <c r="P571" s="53">
        <f>IF(AND($D571="SXC (627)",$F571="Chung"),IF(OR($G571="Cố định",$G571="Biến đổi"),"","THIẾU TÍNH CHẤT"),"")</f>
        <v/>
      </c>
    </row>
    <row r="572" ht="15" customHeight="1" s="54">
      <c r="A572" s="71" t="n"/>
      <c r="B572" s="67" t="n"/>
      <c r="C572" s="67" t="n"/>
      <c r="D572" s="67" t="n"/>
      <c r="E572" s="79">
        <f>IFERROR(INDEX(MAP_TK,MATCH($D572,MAP_KM,0)),"")</f>
        <v/>
      </c>
      <c r="F572" s="67" t="n"/>
      <c r="G572" s="67" t="n"/>
      <c r="H572" s="67" t="n"/>
      <c r="I572" s="67" t="n"/>
      <c r="J572" s="75" t="n"/>
      <c r="K572" s="67" t="n"/>
      <c r="M572" s="53">
        <f>IF($C572="","",IF(OR($C572="CHUNG",COUNTIF(DM_Ma,$C572)&gt;0),"","MÃ LẠ"))</f>
        <v/>
      </c>
      <c r="N572" s="53">
        <f>IF($A572="","",IF(AND($A572&gt;=pTu,$A572&lt;=pDen),"","NGOÀI KỲ"))</f>
        <v/>
      </c>
      <c r="O572" s="53">
        <f>IF($J572="","",IF($J572&lt;=0,"≤0",""))</f>
        <v/>
      </c>
      <c r="P572" s="53">
        <f>IF(AND($D572="SXC (627)",$F572="Chung"),IF(OR($G572="Cố định",$G572="Biến đổi"),"","THIẾU TÍNH CHẤT"),"")</f>
        <v/>
      </c>
    </row>
    <row r="573" ht="15" customHeight="1" s="54">
      <c r="A573" s="71" t="n"/>
      <c r="B573" s="67" t="n"/>
      <c r="C573" s="67" t="n"/>
      <c r="D573" s="67" t="n"/>
      <c r="E573" s="79">
        <f>IFERROR(INDEX(MAP_TK,MATCH($D573,MAP_KM,0)),"")</f>
        <v/>
      </c>
      <c r="F573" s="67" t="n"/>
      <c r="G573" s="67" t="n"/>
      <c r="H573" s="67" t="n"/>
      <c r="I573" s="67" t="n"/>
      <c r="J573" s="75" t="n"/>
      <c r="K573" s="67" t="n"/>
      <c r="M573" s="53">
        <f>IF($C573="","",IF(OR($C573="CHUNG",COUNTIF(DM_Ma,$C573)&gt;0),"","MÃ LẠ"))</f>
        <v/>
      </c>
      <c r="N573" s="53">
        <f>IF($A573="","",IF(AND($A573&gt;=pTu,$A573&lt;=pDen),"","NGOÀI KỲ"))</f>
        <v/>
      </c>
      <c r="O573" s="53">
        <f>IF($J573="","",IF($J573&lt;=0,"≤0",""))</f>
        <v/>
      </c>
      <c r="P573" s="53">
        <f>IF(AND($D573="SXC (627)",$F573="Chung"),IF(OR($G573="Cố định",$G573="Biến đổi"),"","THIẾU TÍNH CHẤT"),"")</f>
        <v/>
      </c>
    </row>
    <row r="574" ht="15" customHeight="1" s="54">
      <c r="A574" s="71" t="n"/>
      <c r="B574" s="67" t="n"/>
      <c r="C574" s="67" t="n"/>
      <c r="D574" s="67" t="n"/>
      <c r="E574" s="79">
        <f>IFERROR(INDEX(MAP_TK,MATCH($D574,MAP_KM,0)),"")</f>
        <v/>
      </c>
      <c r="F574" s="67" t="n"/>
      <c r="G574" s="67" t="n"/>
      <c r="H574" s="67" t="n"/>
      <c r="I574" s="67" t="n"/>
      <c r="J574" s="75" t="n"/>
      <c r="K574" s="67" t="n"/>
      <c r="M574" s="53">
        <f>IF($C574="","",IF(OR($C574="CHUNG",COUNTIF(DM_Ma,$C574)&gt;0),"","MÃ LẠ"))</f>
        <v/>
      </c>
      <c r="N574" s="53">
        <f>IF($A574="","",IF(AND($A574&gt;=pTu,$A574&lt;=pDen),"","NGOÀI KỲ"))</f>
        <v/>
      </c>
      <c r="O574" s="53">
        <f>IF($J574="","",IF($J574&lt;=0,"≤0",""))</f>
        <v/>
      </c>
      <c r="P574" s="53">
        <f>IF(AND($D574="SXC (627)",$F574="Chung"),IF(OR($G574="Cố định",$G574="Biến đổi"),"","THIẾU TÍNH CHẤT"),"")</f>
        <v/>
      </c>
    </row>
    <row r="575" ht="15" customHeight="1" s="54">
      <c r="A575" s="71" t="n"/>
      <c r="B575" s="67" t="n"/>
      <c r="C575" s="67" t="n"/>
      <c r="D575" s="67" t="n"/>
      <c r="E575" s="79">
        <f>IFERROR(INDEX(MAP_TK,MATCH($D575,MAP_KM,0)),"")</f>
        <v/>
      </c>
      <c r="F575" s="67" t="n"/>
      <c r="G575" s="67" t="n"/>
      <c r="H575" s="67" t="n"/>
      <c r="I575" s="67" t="n"/>
      <c r="J575" s="75" t="n"/>
      <c r="K575" s="67" t="n"/>
      <c r="M575" s="53">
        <f>IF($C575="","",IF(OR($C575="CHUNG",COUNTIF(DM_Ma,$C575)&gt;0),"","MÃ LẠ"))</f>
        <v/>
      </c>
      <c r="N575" s="53">
        <f>IF($A575="","",IF(AND($A575&gt;=pTu,$A575&lt;=pDen),"","NGOÀI KỲ"))</f>
        <v/>
      </c>
      <c r="O575" s="53">
        <f>IF($J575="","",IF($J575&lt;=0,"≤0",""))</f>
        <v/>
      </c>
      <c r="P575" s="53">
        <f>IF(AND($D575="SXC (627)",$F575="Chung"),IF(OR($G575="Cố định",$G575="Biến đổi"),"","THIẾU TÍNH CHẤT"),"")</f>
        <v/>
      </c>
    </row>
    <row r="576" ht="15" customHeight="1" s="54">
      <c r="A576" s="71" t="n"/>
      <c r="B576" s="67" t="n"/>
      <c r="C576" s="67" t="n"/>
      <c r="D576" s="67" t="n"/>
      <c r="E576" s="79">
        <f>IFERROR(INDEX(MAP_TK,MATCH($D576,MAP_KM,0)),"")</f>
        <v/>
      </c>
      <c r="F576" s="67" t="n"/>
      <c r="G576" s="67" t="n"/>
      <c r="H576" s="67" t="n"/>
      <c r="I576" s="67" t="n"/>
      <c r="J576" s="75" t="n"/>
      <c r="K576" s="67" t="n"/>
      <c r="M576" s="53">
        <f>IF($C576="","",IF(OR($C576="CHUNG",COUNTIF(DM_Ma,$C576)&gt;0),"","MÃ LẠ"))</f>
        <v/>
      </c>
      <c r="N576" s="53">
        <f>IF($A576="","",IF(AND($A576&gt;=pTu,$A576&lt;=pDen),"","NGOÀI KỲ"))</f>
        <v/>
      </c>
      <c r="O576" s="53">
        <f>IF($J576="","",IF($J576&lt;=0,"≤0",""))</f>
        <v/>
      </c>
      <c r="P576" s="53">
        <f>IF(AND($D576="SXC (627)",$F576="Chung"),IF(OR($G576="Cố định",$G576="Biến đổi"),"","THIẾU TÍNH CHẤT"),"")</f>
        <v/>
      </c>
    </row>
    <row r="577" ht="15" customHeight="1" s="54">
      <c r="A577" s="71" t="n"/>
      <c r="B577" s="67" t="n"/>
      <c r="C577" s="67" t="n"/>
      <c r="D577" s="67" t="n"/>
      <c r="E577" s="79">
        <f>IFERROR(INDEX(MAP_TK,MATCH($D577,MAP_KM,0)),"")</f>
        <v/>
      </c>
      <c r="F577" s="67" t="n"/>
      <c r="G577" s="67" t="n"/>
      <c r="H577" s="67" t="n"/>
      <c r="I577" s="67" t="n"/>
      <c r="J577" s="75" t="n"/>
      <c r="K577" s="67" t="n"/>
      <c r="M577" s="53">
        <f>IF($C577="","",IF(OR($C577="CHUNG",COUNTIF(DM_Ma,$C577)&gt;0),"","MÃ LẠ"))</f>
        <v/>
      </c>
      <c r="N577" s="53">
        <f>IF($A577="","",IF(AND($A577&gt;=pTu,$A577&lt;=pDen),"","NGOÀI KỲ"))</f>
        <v/>
      </c>
      <c r="O577" s="53">
        <f>IF($J577="","",IF($J577&lt;=0,"≤0",""))</f>
        <v/>
      </c>
      <c r="P577" s="53">
        <f>IF(AND($D577="SXC (627)",$F577="Chung"),IF(OR($G577="Cố định",$G577="Biến đổi"),"","THIẾU TÍNH CHẤT"),"")</f>
        <v/>
      </c>
    </row>
    <row r="578" ht="15" customHeight="1" s="54">
      <c r="A578" s="71" t="n"/>
      <c r="B578" s="67" t="n"/>
      <c r="C578" s="67" t="n"/>
      <c r="D578" s="67" t="n"/>
      <c r="E578" s="79">
        <f>IFERROR(INDEX(MAP_TK,MATCH($D578,MAP_KM,0)),"")</f>
        <v/>
      </c>
      <c r="F578" s="67" t="n"/>
      <c r="G578" s="67" t="n"/>
      <c r="H578" s="67" t="n"/>
      <c r="I578" s="67" t="n"/>
      <c r="J578" s="75" t="n"/>
      <c r="K578" s="67" t="n"/>
      <c r="M578" s="53">
        <f>IF($C578="","",IF(OR($C578="CHUNG",COUNTIF(DM_Ma,$C578)&gt;0),"","MÃ LẠ"))</f>
        <v/>
      </c>
      <c r="N578" s="53">
        <f>IF($A578="","",IF(AND($A578&gt;=pTu,$A578&lt;=pDen),"","NGOÀI KỲ"))</f>
        <v/>
      </c>
      <c r="O578" s="53">
        <f>IF($J578="","",IF($J578&lt;=0,"≤0",""))</f>
        <v/>
      </c>
      <c r="P578" s="53">
        <f>IF(AND($D578="SXC (627)",$F578="Chung"),IF(OR($G578="Cố định",$G578="Biến đổi"),"","THIẾU TÍNH CHẤT"),"")</f>
        <v/>
      </c>
    </row>
    <row r="579" ht="15" customHeight="1" s="54">
      <c r="A579" s="71" t="n"/>
      <c r="B579" s="67" t="n"/>
      <c r="C579" s="67" t="n"/>
      <c r="D579" s="67" t="n"/>
      <c r="E579" s="79">
        <f>IFERROR(INDEX(MAP_TK,MATCH($D579,MAP_KM,0)),"")</f>
        <v/>
      </c>
      <c r="F579" s="67" t="n"/>
      <c r="G579" s="67" t="n"/>
      <c r="H579" s="67" t="n"/>
      <c r="I579" s="67" t="n"/>
      <c r="J579" s="75" t="n"/>
      <c r="K579" s="67" t="n"/>
      <c r="M579" s="53">
        <f>IF($C579="","",IF(OR($C579="CHUNG",COUNTIF(DM_Ma,$C579)&gt;0),"","MÃ LẠ"))</f>
        <v/>
      </c>
      <c r="N579" s="53">
        <f>IF($A579="","",IF(AND($A579&gt;=pTu,$A579&lt;=pDen),"","NGOÀI KỲ"))</f>
        <v/>
      </c>
      <c r="O579" s="53">
        <f>IF($J579="","",IF($J579&lt;=0,"≤0",""))</f>
        <v/>
      </c>
      <c r="P579" s="53">
        <f>IF(AND($D579="SXC (627)",$F579="Chung"),IF(OR($G579="Cố định",$G579="Biến đổi"),"","THIẾU TÍNH CHẤT"),"")</f>
        <v/>
      </c>
    </row>
    <row r="580" ht="15" customHeight="1" s="54">
      <c r="A580" s="71" t="n"/>
      <c r="B580" s="67" t="n"/>
      <c r="C580" s="67" t="n"/>
      <c r="D580" s="67" t="n"/>
      <c r="E580" s="79">
        <f>IFERROR(INDEX(MAP_TK,MATCH($D580,MAP_KM,0)),"")</f>
        <v/>
      </c>
      <c r="F580" s="67" t="n"/>
      <c r="G580" s="67" t="n"/>
      <c r="H580" s="67" t="n"/>
      <c r="I580" s="67" t="n"/>
      <c r="J580" s="75" t="n"/>
      <c r="K580" s="67" t="n"/>
      <c r="M580" s="53">
        <f>IF($C580="","",IF(OR($C580="CHUNG",COUNTIF(DM_Ma,$C580)&gt;0),"","MÃ LẠ"))</f>
        <v/>
      </c>
      <c r="N580" s="53">
        <f>IF($A580="","",IF(AND($A580&gt;=pTu,$A580&lt;=pDen),"","NGOÀI KỲ"))</f>
        <v/>
      </c>
      <c r="O580" s="53">
        <f>IF($J580="","",IF($J580&lt;=0,"≤0",""))</f>
        <v/>
      </c>
      <c r="P580" s="53">
        <f>IF(AND($D580="SXC (627)",$F580="Chung"),IF(OR($G580="Cố định",$G580="Biến đổi"),"","THIẾU TÍNH CHẤT"),"")</f>
        <v/>
      </c>
    </row>
    <row r="581" ht="15" customHeight="1" s="54">
      <c r="A581" s="71" t="n"/>
      <c r="B581" s="67" t="n"/>
      <c r="C581" s="67" t="n"/>
      <c r="D581" s="67" t="n"/>
      <c r="E581" s="79">
        <f>IFERROR(INDEX(MAP_TK,MATCH($D581,MAP_KM,0)),"")</f>
        <v/>
      </c>
      <c r="F581" s="67" t="n"/>
      <c r="G581" s="67" t="n"/>
      <c r="H581" s="67" t="n"/>
      <c r="I581" s="67" t="n"/>
      <c r="J581" s="75" t="n"/>
      <c r="K581" s="67" t="n"/>
      <c r="M581" s="53">
        <f>IF($C581="","",IF(OR($C581="CHUNG",COUNTIF(DM_Ma,$C581)&gt;0),"","MÃ LẠ"))</f>
        <v/>
      </c>
      <c r="N581" s="53">
        <f>IF($A581="","",IF(AND($A581&gt;=pTu,$A581&lt;=pDen),"","NGOÀI KỲ"))</f>
        <v/>
      </c>
      <c r="O581" s="53">
        <f>IF($J581="","",IF($J581&lt;=0,"≤0",""))</f>
        <v/>
      </c>
      <c r="P581" s="53">
        <f>IF(AND($D581="SXC (627)",$F581="Chung"),IF(OR($G581="Cố định",$G581="Biến đổi"),"","THIẾU TÍNH CHẤT"),"")</f>
        <v/>
      </c>
    </row>
    <row r="582" ht="15" customHeight="1" s="54">
      <c r="A582" s="71" t="n"/>
      <c r="B582" s="67" t="n"/>
      <c r="C582" s="67" t="n"/>
      <c r="D582" s="67" t="n"/>
      <c r="E582" s="79">
        <f>IFERROR(INDEX(MAP_TK,MATCH($D582,MAP_KM,0)),"")</f>
        <v/>
      </c>
      <c r="F582" s="67" t="n"/>
      <c r="G582" s="67" t="n"/>
      <c r="H582" s="67" t="n"/>
      <c r="I582" s="67" t="n"/>
      <c r="J582" s="75" t="n"/>
      <c r="K582" s="67" t="n"/>
      <c r="M582" s="53">
        <f>IF($C582="","",IF(OR($C582="CHUNG",COUNTIF(DM_Ma,$C582)&gt;0),"","MÃ LẠ"))</f>
        <v/>
      </c>
      <c r="N582" s="53">
        <f>IF($A582="","",IF(AND($A582&gt;=pTu,$A582&lt;=pDen),"","NGOÀI KỲ"))</f>
        <v/>
      </c>
      <c r="O582" s="53">
        <f>IF($J582="","",IF($J582&lt;=0,"≤0",""))</f>
        <v/>
      </c>
      <c r="P582" s="53">
        <f>IF(AND($D582="SXC (627)",$F582="Chung"),IF(OR($G582="Cố định",$G582="Biến đổi"),"","THIẾU TÍNH CHẤT"),"")</f>
        <v/>
      </c>
    </row>
    <row r="583" ht="15" customHeight="1" s="54">
      <c r="A583" s="71" t="n"/>
      <c r="B583" s="67" t="n"/>
      <c r="C583" s="67" t="n"/>
      <c r="D583" s="67" t="n"/>
      <c r="E583" s="79">
        <f>IFERROR(INDEX(MAP_TK,MATCH($D583,MAP_KM,0)),"")</f>
        <v/>
      </c>
      <c r="F583" s="67" t="n"/>
      <c r="G583" s="67" t="n"/>
      <c r="H583" s="67" t="n"/>
      <c r="I583" s="67" t="n"/>
      <c r="J583" s="75" t="n"/>
      <c r="K583" s="67" t="n"/>
      <c r="M583" s="53">
        <f>IF($C583="","",IF(OR($C583="CHUNG",COUNTIF(DM_Ma,$C583)&gt;0),"","MÃ LẠ"))</f>
        <v/>
      </c>
      <c r="N583" s="53">
        <f>IF($A583="","",IF(AND($A583&gt;=pTu,$A583&lt;=pDen),"","NGOÀI KỲ"))</f>
        <v/>
      </c>
      <c r="O583" s="53">
        <f>IF($J583="","",IF($J583&lt;=0,"≤0",""))</f>
        <v/>
      </c>
      <c r="P583" s="53">
        <f>IF(AND($D583="SXC (627)",$F583="Chung"),IF(OR($G583="Cố định",$G583="Biến đổi"),"","THIẾU TÍNH CHẤT"),"")</f>
        <v/>
      </c>
    </row>
    <row r="584" ht="15" customHeight="1" s="54">
      <c r="A584" s="71" t="n"/>
      <c r="B584" s="67" t="n"/>
      <c r="C584" s="67" t="n"/>
      <c r="D584" s="67" t="n"/>
      <c r="E584" s="79">
        <f>IFERROR(INDEX(MAP_TK,MATCH($D584,MAP_KM,0)),"")</f>
        <v/>
      </c>
      <c r="F584" s="67" t="n"/>
      <c r="G584" s="67" t="n"/>
      <c r="H584" s="67" t="n"/>
      <c r="I584" s="67" t="n"/>
      <c r="J584" s="75" t="n"/>
      <c r="K584" s="67" t="n"/>
      <c r="M584" s="53">
        <f>IF($C584="","",IF(OR($C584="CHUNG",COUNTIF(DM_Ma,$C584)&gt;0),"","MÃ LẠ"))</f>
        <v/>
      </c>
      <c r="N584" s="53">
        <f>IF($A584="","",IF(AND($A584&gt;=pTu,$A584&lt;=pDen),"","NGOÀI KỲ"))</f>
        <v/>
      </c>
      <c r="O584" s="53">
        <f>IF($J584="","",IF($J584&lt;=0,"≤0",""))</f>
        <v/>
      </c>
      <c r="P584" s="53">
        <f>IF(AND($D584="SXC (627)",$F584="Chung"),IF(OR($G584="Cố định",$G584="Biến đổi"),"","THIẾU TÍNH CHẤT"),"")</f>
        <v/>
      </c>
    </row>
    <row r="585" ht="15" customHeight="1" s="54">
      <c r="A585" s="71" t="n"/>
      <c r="B585" s="67" t="n"/>
      <c r="C585" s="67" t="n"/>
      <c r="D585" s="67" t="n"/>
      <c r="E585" s="79">
        <f>IFERROR(INDEX(MAP_TK,MATCH($D585,MAP_KM,0)),"")</f>
        <v/>
      </c>
      <c r="F585" s="67" t="n"/>
      <c r="G585" s="67" t="n"/>
      <c r="H585" s="67" t="n"/>
      <c r="I585" s="67" t="n"/>
      <c r="J585" s="75" t="n"/>
      <c r="K585" s="67" t="n"/>
      <c r="M585" s="53">
        <f>IF($C585="","",IF(OR($C585="CHUNG",COUNTIF(DM_Ma,$C585)&gt;0),"","MÃ LẠ"))</f>
        <v/>
      </c>
      <c r="N585" s="53">
        <f>IF($A585="","",IF(AND($A585&gt;=pTu,$A585&lt;=pDen),"","NGOÀI KỲ"))</f>
        <v/>
      </c>
      <c r="O585" s="53">
        <f>IF($J585="","",IF($J585&lt;=0,"≤0",""))</f>
        <v/>
      </c>
      <c r="P585" s="53">
        <f>IF(AND($D585="SXC (627)",$F585="Chung"),IF(OR($G585="Cố định",$G585="Biến đổi"),"","THIẾU TÍNH CHẤT"),"")</f>
        <v/>
      </c>
    </row>
    <row r="586" ht="15" customHeight="1" s="54">
      <c r="A586" s="71" t="n"/>
      <c r="B586" s="67" t="n"/>
      <c r="C586" s="67" t="n"/>
      <c r="D586" s="67" t="n"/>
      <c r="E586" s="79">
        <f>IFERROR(INDEX(MAP_TK,MATCH($D586,MAP_KM,0)),"")</f>
        <v/>
      </c>
      <c r="F586" s="67" t="n"/>
      <c r="G586" s="67" t="n"/>
      <c r="H586" s="67" t="n"/>
      <c r="I586" s="67" t="n"/>
      <c r="J586" s="75" t="n"/>
      <c r="K586" s="67" t="n"/>
      <c r="M586" s="53">
        <f>IF($C586="","",IF(OR($C586="CHUNG",COUNTIF(DM_Ma,$C586)&gt;0),"","MÃ LẠ"))</f>
        <v/>
      </c>
      <c r="N586" s="53">
        <f>IF($A586="","",IF(AND($A586&gt;=pTu,$A586&lt;=pDen),"","NGOÀI KỲ"))</f>
        <v/>
      </c>
      <c r="O586" s="53">
        <f>IF($J586="","",IF($J586&lt;=0,"≤0",""))</f>
        <v/>
      </c>
      <c r="P586" s="53">
        <f>IF(AND($D586="SXC (627)",$F586="Chung"),IF(OR($G586="Cố định",$G586="Biến đổi"),"","THIẾU TÍNH CHẤT"),"")</f>
        <v/>
      </c>
    </row>
    <row r="587" ht="15" customHeight="1" s="54">
      <c r="A587" s="71" t="n"/>
      <c r="B587" s="67" t="n"/>
      <c r="C587" s="67" t="n"/>
      <c r="D587" s="67" t="n"/>
      <c r="E587" s="79">
        <f>IFERROR(INDEX(MAP_TK,MATCH($D587,MAP_KM,0)),"")</f>
        <v/>
      </c>
      <c r="F587" s="67" t="n"/>
      <c r="G587" s="67" t="n"/>
      <c r="H587" s="67" t="n"/>
      <c r="I587" s="67" t="n"/>
      <c r="J587" s="75" t="n"/>
      <c r="K587" s="67" t="n"/>
      <c r="M587" s="53">
        <f>IF($C587="","",IF(OR($C587="CHUNG",COUNTIF(DM_Ma,$C587)&gt;0),"","MÃ LẠ"))</f>
        <v/>
      </c>
      <c r="N587" s="53">
        <f>IF($A587="","",IF(AND($A587&gt;=pTu,$A587&lt;=pDen),"","NGOÀI KỲ"))</f>
        <v/>
      </c>
      <c r="O587" s="53">
        <f>IF($J587="","",IF($J587&lt;=0,"≤0",""))</f>
        <v/>
      </c>
      <c r="P587" s="53">
        <f>IF(AND($D587="SXC (627)",$F587="Chung"),IF(OR($G587="Cố định",$G587="Biến đổi"),"","THIẾU TÍNH CHẤT"),"")</f>
        <v/>
      </c>
    </row>
    <row r="588" ht="15" customHeight="1" s="54">
      <c r="A588" s="71" t="n"/>
      <c r="B588" s="67" t="n"/>
      <c r="C588" s="67" t="n"/>
      <c r="D588" s="67" t="n"/>
      <c r="E588" s="79">
        <f>IFERROR(INDEX(MAP_TK,MATCH($D588,MAP_KM,0)),"")</f>
        <v/>
      </c>
      <c r="F588" s="67" t="n"/>
      <c r="G588" s="67" t="n"/>
      <c r="H588" s="67" t="n"/>
      <c r="I588" s="67" t="n"/>
      <c r="J588" s="75" t="n"/>
      <c r="K588" s="67" t="n"/>
      <c r="M588" s="53">
        <f>IF($C588="","",IF(OR($C588="CHUNG",COUNTIF(DM_Ma,$C588)&gt;0),"","MÃ LẠ"))</f>
        <v/>
      </c>
      <c r="N588" s="53">
        <f>IF($A588="","",IF(AND($A588&gt;=pTu,$A588&lt;=pDen),"","NGOÀI KỲ"))</f>
        <v/>
      </c>
      <c r="O588" s="53">
        <f>IF($J588="","",IF($J588&lt;=0,"≤0",""))</f>
        <v/>
      </c>
      <c r="P588" s="53">
        <f>IF(AND($D588="SXC (627)",$F588="Chung"),IF(OR($G588="Cố định",$G588="Biến đổi"),"","THIẾU TÍNH CHẤT"),"")</f>
        <v/>
      </c>
    </row>
    <row r="589" ht="15" customHeight="1" s="54">
      <c r="A589" s="71" t="n"/>
      <c r="B589" s="67" t="n"/>
      <c r="C589" s="67" t="n"/>
      <c r="D589" s="67" t="n"/>
      <c r="E589" s="79">
        <f>IFERROR(INDEX(MAP_TK,MATCH($D589,MAP_KM,0)),"")</f>
        <v/>
      </c>
      <c r="F589" s="67" t="n"/>
      <c r="G589" s="67" t="n"/>
      <c r="H589" s="67" t="n"/>
      <c r="I589" s="67" t="n"/>
      <c r="J589" s="75" t="n"/>
      <c r="K589" s="67" t="n"/>
      <c r="M589" s="53">
        <f>IF($C589="","",IF(OR($C589="CHUNG",COUNTIF(DM_Ma,$C589)&gt;0),"","MÃ LẠ"))</f>
        <v/>
      </c>
      <c r="N589" s="53">
        <f>IF($A589="","",IF(AND($A589&gt;=pTu,$A589&lt;=pDen),"","NGOÀI KỲ"))</f>
        <v/>
      </c>
      <c r="O589" s="53">
        <f>IF($J589="","",IF($J589&lt;=0,"≤0",""))</f>
        <v/>
      </c>
      <c r="P589" s="53">
        <f>IF(AND($D589="SXC (627)",$F589="Chung"),IF(OR($G589="Cố định",$G589="Biến đổi"),"","THIẾU TÍNH CHẤT"),"")</f>
        <v/>
      </c>
    </row>
    <row r="590" ht="15" customHeight="1" s="54">
      <c r="A590" s="71" t="n"/>
      <c r="B590" s="67" t="n"/>
      <c r="C590" s="67" t="n"/>
      <c r="D590" s="67" t="n"/>
      <c r="E590" s="79">
        <f>IFERROR(INDEX(MAP_TK,MATCH($D590,MAP_KM,0)),"")</f>
        <v/>
      </c>
      <c r="F590" s="67" t="n"/>
      <c r="G590" s="67" t="n"/>
      <c r="H590" s="67" t="n"/>
      <c r="I590" s="67" t="n"/>
      <c r="J590" s="75" t="n"/>
      <c r="K590" s="67" t="n"/>
      <c r="M590" s="53">
        <f>IF($C590="","",IF(OR($C590="CHUNG",COUNTIF(DM_Ma,$C590)&gt;0),"","MÃ LẠ"))</f>
        <v/>
      </c>
      <c r="N590" s="53">
        <f>IF($A590="","",IF(AND($A590&gt;=pTu,$A590&lt;=pDen),"","NGOÀI KỲ"))</f>
        <v/>
      </c>
      <c r="O590" s="53">
        <f>IF($J590="","",IF($J590&lt;=0,"≤0",""))</f>
        <v/>
      </c>
      <c r="P590" s="53">
        <f>IF(AND($D590="SXC (627)",$F590="Chung"),IF(OR($G590="Cố định",$G590="Biến đổi"),"","THIẾU TÍNH CHẤT"),"")</f>
        <v/>
      </c>
    </row>
    <row r="591" ht="15" customHeight="1" s="54">
      <c r="A591" s="71" t="n"/>
      <c r="B591" s="67" t="n"/>
      <c r="C591" s="67" t="n"/>
      <c r="D591" s="67" t="n"/>
      <c r="E591" s="79">
        <f>IFERROR(INDEX(MAP_TK,MATCH($D591,MAP_KM,0)),"")</f>
        <v/>
      </c>
      <c r="F591" s="67" t="n"/>
      <c r="G591" s="67" t="n"/>
      <c r="H591" s="67" t="n"/>
      <c r="I591" s="67" t="n"/>
      <c r="J591" s="75" t="n"/>
      <c r="K591" s="67" t="n"/>
      <c r="M591" s="53">
        <f>IF($C591="","",IF(OR($C591="CHUNG",COUNTIF(DM_Ma,$C591)&gt;0),"","MÃ LẠ"))</f>
        <v/>
      </c>
      <c r="N591" s="53">
        <f>IF($A591="","",IF(AND($A591&gt;=pTu,$A591&lt;=pDen),"","NGOÀI KỲ"))</f>
        <v/>
      </c>
      <c r="O591" s="53">
        <f>IF($J591="","",IF($J591&lt;=0,"≤0",""))</f>
        <v/>
      </c>
      <c r="P591" s="53">
        <f>IF(AND($D591="SXC (627)",$F591="Chung"),IF(OR($G591="Cố định",$G591="Biến đổi"),"","THIẾU TÍNH CHẤT"),"")</f>
        <v/>
      </c>
    </row>
    <row r="592" ht="15" customHeight="1" s="54">
      <c r="A592" s="71" t="n"/>
      <c r="B592" s="67" t="n"/>
      <c r="C592" s="67" t="n"/>
      <c r="D592" s="67" t="n"/>
      <c r="E592" s="79">
        <f>IFERROR(INDEX(MAP_TK,MATCH($D592,MAP_KM,0)),"")</f>
        <v/>
      </c>
      <c r="F592" s="67" t="n"/>
      <c r="G592" s="67" t="n"/>
      <c r="H592" s="67" t="n"/>
      <c r="I592" s="67" t="n"/>
      <c r="J592" s="75" t="n"/>
      <c r="K592" s="67" t="n"/>
      <c r="M592" s="53">
        <f>IF($C592="","",IF(OR($C592="CHUNG",COUNTIF(DM_Ma,$C592)&gt;0),"","MÃ LẠ"))</f>
        <v/>
      </c>
      <c r="N592" s="53">
        <f>IF($A592="","",IF(AND($A592&gt;=pTu,$A592&lt;=pDen),"","NGOÀI KỲ"))</f>
        <v/>
      </c>
      <c r="O592" s="53">
        <f>IF($J592="","",IF($J592&lt;=0,"≤0",""))</f>
        <v/>
      </c>
      <c r="P592" s="53">
        <f>IF(AND($D592="SXC (627)",$F592="Chung"),IF(OR($G592="Cố định",$G592="Biến đổi"),"","THIẾU TÍNH CHẤT"),"")</f>
        <v/>
      </c>
    </row>
    <row r="593" ht="15" customHeight="1" s="54">
      <c r="A593" s="71" t="n"/>
      <c r="B593" s="67" t="n"/>
      <c r="C593" s="67" t="n"/>
      <c r="D593" s="67" t="n"/>
      <c r="E593" s="79">
        <f>IFERROR(INDEX(MAP_TK,MATCH($D593,MAP_KM,0)),"")</f>
        <v/>
      </c>
      <c r="F593" s="67" t="n"/>
      <c r="G593" s="67" t="n"/>
      <c r="H593" s="67" t="n"/>
      <c r="I593" s="67" t="n"/>
      <c r="J593" s="75" t="n"/>
      <c r="K593" s="67" t="n"/>
      <c r="M593" s="53">
        <f>IF($C593="","",IF(OR($C593="CHUNG",COUNTIF(DM_Ma,$C593)&gt;0),"","MÃ LẠ"))</f>
        <v/>
      </c>
      <c r="N593" s="53">
        <f>IF($A593="","",IF(AND($A593&gt;=pTu,$A593&lt;=pDen),"","NGOÀI KỲ"))</f>
        <v/>
      </c>
      <c r="O593" s="53">
        <f>IF($J593="","",IF($J593&lt;=0,"≤0",""))</f>
        <v/>
      </c>
      <c r="P593" s="53">
        <f>IF(AND($D593="SXC (627)",$F593="Chung"),IF(OR($G593="Cố định",$G593="Biến đổi"),"","THIẾU TÍNH CHẤT"),"")</f>
        <v/>
      </c>
    </row>
    <row r="594" ht="15" customHeight="1" s="54">
      <c r="A594" s="71" t="n"/>
      <c r="B594" s="67" t="n"/>
      <c r="C594" s="67" t="n"/>
      <c r="D594" s="67" t="n"/>
      <c r="E594" s="79">
        <f>IFERROR(INDEX(MAP_TK,MATCH($D594,MAP_KM,0)),"")</f>
        <v/>
      </c>
      <c r="F594" s="67" t="n"/>
      <c r="G594" s="67" t="n"/>
      <c r="H594" s="67" t="n"/>
      <c r="I594" s="67" t="n"/>
      <c r="J594" s="75" t="n"/>
      <c r="K594" s="67" t="n"/>
      <c r="M594" s="53">
        <f>IF($C594="","",IF(OR($C594="CHUNG",COUNTIF(DM_Ma,$C594)&gt;0),"","MÃ LẠ"))</f>
        <v/>
      </c>
      <c r="N594" s="53">
        <f>IF($A594="","",IF(AND($A594&gt;=pTu,$A594&lt;=pDen),"","NGOÀI KỲ"))</f>
        <v/>
      </c>
      <c r="O594" s="53">
        <f>IF($J594="","",IF($J594&lt;=0,"≤0",""))</f>
        <v/>
      </c>
      <c r="P594" s="53">
        <f>IF(AND($D594="SXC (627)",$F594="Chung"),IF(OR($G594="Cố định",$G594="Biến đổi"),"","THIẾU TÍNH CHẤT"),"")</f>
        <v/>
      </c>
    </row>
    <row r="595" ht="15" customHeight="1" s="54">
      <c r="A595" s="71" t="n"/>
      <c r="B595" s="67" t="n"/>
      <c r="C595" s="67" t="n"/>
      <c r="D595" s="67" t="n"/>
      <c r="E595" s="79">
        <f>IFERROR(INDEX(MAP_TK,MATCH($D595,MAP_KM,0)),"")</f>
        <v/>
      </c>
      <c r="F595" s="67" t="n"/>
      <c r="G595" s="67" t="n"/>
      <c r="H595" s="67" t="n"/>
      <c r="I595" s="67" t="n"/>
      <c r="J595" s="75" t="n"/>
      <c r="K595" s="67" t="n"/>
      <c r="M595" s="53">
        <f>IF($C595="","",IF(OR($C595="CHUNG",COUNTIF(DM_Ma,$C595)&gt;0),"","MÃ LẠ"))</f>
        <v/>
      </c>
      <c r="N595" s="53">
        <f>IF($A595="","",IF(AND($A595&gt;=pTu,$A595&lt;=pDen),"","NGOÀI KỲ"))</f>
        <v/>
      </c>
      <c r="O595" s="53">
        <f>IF($J595="","",IF($J595&lt;=0,"≤0",""))</f>
        <v/>
      </c>
      <c r="P595" s="53">
        <f>IF(AND($D595="SXC (627)",$F595="Chung"),IF(OR($G595="Cố định",$G595="Biến đổi"),"","THIẾU TÍNH CHẤT"),"")</f>
        <v/>
      </c>
    </row>
    <row r="596" ht="15" customHeight="1" s="54">
      <c r="A596" s="71" t="n"/>
      <c r="B596" s="67" t="n"/>
      <c r="C596" s="67" t="n"/>
      <c r="D596" s="67" t="n"/>
      <c r="E596" s="79">
        <f>IFERROR(INDEX(MAP_TK,MATCH($D596,MAP_KM,0)),"")</f>
        <v/>
      </c>
      <c r="F596" s="67" t="n"/>
      <c r="G596" s="67" t="n"/>
      <c r="H596" s="67" t="n"/>
      <c r="I596" s="67" t="n"/>
      <c r="J596" s="75" t="n"/>
      <c r="K596" s="67" t="n"/>
      <c r="M596" s="53">
        <f>IF($C596="","",IF(OR($C596="CHUNG",COUNTIF(DM_Ma,$C596)&gt;0),"","MÃ LẠ"))</f>
        <v/>
      </c>
      <c r="N596" s="53">
        <f>IF($A596="","",IF(AND($A596&gt;=pTu,$A596&lt;=pDen),"","NGOÀI KỲ"))</f>
        <v/>
      </c>
      <c r="O596" s="53">
        <f>IF($J596="","",IF($J596&lt;=0,"≤0",""))</f>
        <v/>
      </c>
      <c r="P596" s="53">
        <f>IF(AND($D596="SXC (627)",$F596="Chung"),IF(OR($G596="Cố định",$G596="Biến đổi"),"","THIẾU TÍNH CHẤT"),"")</f>
        <v/>
      </c>
    </row>
    <row r="597" ht="15" customHeight="1" s="54">
      <c r="A597" s="71" t="n"/>
      <c r="B597" s="67" t="n"/>
      <c r="C597" s="67" t="n"/>
      <c r="D597" s="67" t="n"/>
      <c r="E597" s="79">
        <f>IFERROR(INDEX(MAP_TK,MATCH($D597,MAP_KM,0)),"")</f>
        <v/>
      </c>
      <c r="F597" s="67" t="n"/>
      <c r="G597" s="67" t="n"/>
      <c r="H597" s="67" t="n"/>
      <c r="I597" s="67" t="n"/>
      <c r="J597" s="75" t="n"/>
      <c r="K597" s="67" t="n"/>
      <c r="M597" s="53">
        <f>IF($C597="","",IF(OR($C597="CHUNG",COUNTIF(DM_Ma,$C597)&gt;0),"","MÃ LẠ"))</f>
        <v/>
      </c>
      <c r="N597" s="53">
        <f>IF($A597="","",IF(AND($A597&gt;=pTu,$A597&lt;=pDen),"","NGOÀI KỲ"))</f>
        <v/>
      </c>
      <c r="O597" s="53">
        <f>IF($J597="","",IF($J597&lt;=0,"≤0",""))</f>
        <v/>
      </c>
      <c r="P597" s="53">
        <f>IF(AND($D597="SXC (627)",$F597="Chung"),IF(OR($G597="Cố định",$G597="Biến đổi"),"","THIẾU TÍNH CHẤT"),"")</f>
        <v/>
      </c>
    </row>
    <row r="598" ht="15" customHeight="1" s="54">
      <c r="A598" s="71" t="n"/>
      <c r="B598" s="67" t="n"/>
      <c r="C598" s="67" t="n"/>
      <c r="D598" s="67" t="n"/>
      <c r="E598" s="79">
        <f>IFERROR(INDEX(MAP_TK,MATCH($D598,MAP_KM,0)),"")</f>
        <v/>
      </c>
      <c r="F598" s="67" t="n"/>
      <c r="G598" s="67" t="n"/>
      <c r="H598" s="67" t="n"/>
      <c r="I598" s="67" t="n"/>
      <c r="J598" s="75" t="n"/>
      <c r="K598" s="67" t="n"/>
      <c r="M598" s="53">
        <f>IF($C598="","",IF(OR($C598="CHUNG",COUNTIF(DM_Ma,$C598)&gt;0),"","MÃ LẠ"))</f>
        <v/>
      </c>
      <c r="N598" s="53">
        <f>IF($A598="","",IF(AND($A598&gt;=pTu,$A598&lt;=pDen),"","NGOÀI KỲ"))</f>
        <v/>
      </c>
      <c r="O598" s="53">
        <f>IF($J598="","",IF($J598&lt;=0,"≤0",""))</f>
        <v/>
      </c>
      <c r="P598" s="53">
        <f>IF(AND($D598="SXC (627)",$F598="Chung"),IF(OR($G598="Cố định",$G598="Biến đổi"),"","THIẾU TÍNH CHẤT"),"")</f>
        <v/>
      </c>
    </row>
    <row r="599" ht="15" customHeight="1" s="54">
      <c r="A599" s="71" t="n"/>
      <c r="B599" s="67" t="n"/>
      <c r="C599" s="67" t="n"/>
      <c r="D599" s="67" t="n"/>
      <c r="E599" s="79">
        <f>IFERROR(INDEX(MAP_TK,MATCH($D599,MAP_KM,0)),"")</f>
        <v/>
      </c>
      <c r="F599" s="67" t="n"/>
      <c r="G599" s="67" t="n"/>
      <c r="H599" s="67" t="n"/>
      <c r="I599" s="67" t="n"/>
      <c r="J599" s="75" t="n"/>
      <c r="K599" s="67" t="n"/>
      <c r="M599" s="53">
        <f>IF($C599="","",IF(OR($C599="CHUNG",COUNTIF(DM_Ma,$C599)&gt;0),"","MÃ LẠ"))</f>
        <v/>
      </c>
      <c r="N599" s="53">
        <f>IF($A599="","",IF(AND($A599&gt;=pTu,$A599&lt;=pDen),"","NGOÀI KỲ"))</f>
        <v/>
      </c>
      <c r="O599" s="53">
        <f>IF($J599="","",IF($J599&lt;=0,"≤0",""))</f>
        <v/>
      </c>
      <c r="P599" s="53">
        <f>IF(AND($D599="SXC (627)",$F599="Chung"),IF(OR($G599="Cố định",$G599="Biến đổi"),"","THIẾU TÍNH CHẤT"),"")</f>
        <v/>
      </c>
    </row>
    <row r="600" ht="15" customHeight="1" s="54">
      <c r="A600" s="71" t="n"/>
      <c r="B600" s="67" t="n"/>
      <c r="C600" s="67" t="n"/>
      <c r="D600" s="67" t="n"/>
      <c r="E600" s="79">
        <f>IFERROR(INDEX(MAP_TK,MATCH($D600,MAP_KM,0)),"")</f>
        <v/>
      </c>
      <c r="F600" s="67" t="n"/>
      <c r="G600" s="67" t="n"/>
      <c r="H600" s="67" t="n"/>
      <c r="I600" s="67" t="n"/>
      <c r="J600" s="75" t="n"/>
      <c r="K600" s="67" t="n"/>
      <c r="M600" s="53">
        <f>IF($C600="","",IF(OR($C600="CHUNG",COUNTIF(DM_Ma,$C600)&gt;0),"","MÃ LẠ"))</f>
        <v/>
      </c>
      <c r="N600" s="53">
        <f>IF($A600="","",IF(AND($A600&gt;=pTu,$A600&lt;=pDen),"","NGOÀI KỲ"))</f>
        <v/>
      </c>
      <c r="O600" s="53">
        <f>IF($J600="","",IF($J600&lt;=0,"≤0",""))</f>
        <v/>
      </c>
      <c r="P600" s="53">
        <f>IF(AND($D600="SXC (627)",$F600="Chung"),IF(OR($G600="Cố định",$G600="Biến đổi"),"","THIẾU TÍNH CHẤT"),"")</f>
        <v/>
      </c>
    </row>
    <row r="601" ht="15" customHeight="1" s="54">
      <c r="A601" s="71" t="n"/>
      <c r="B601" s="67" t="n"/>
      <c r="C601" s="67" t="n"/>
      <c r="D601" s="67" t="n"/>
      <c r="E601" s="79">
        <f>IFERROR(INDEX(MAP_TK,MATCH($D601,MAP_KM,0)),"")</f>
        <v/>
      </c>
      <c r="F601" s="67" t="n"/>
      <c r="G601" s="67" t="n"/>
      <c r="H601" s="67" t="n"/>
      <c r="I601" s="67" t="n"/>
      <c r="J601" s="75" t="n"/>
      <c r="K601" s="67" t="n"/>
      <c r="M601" s="53">
        <f>IF($C601="","",IF(OR($C601="CHUNG",COUNTIF(DM_Ma,$C601)&gt;0),"","MÃ LẠ"))</f>
        <v/>
      </c>
      <c r="N601" s="53">
        <f>IF($A601="","",IF(AND($A601&gt;=pTu,$A601&lt;=pDen),"","NGOÀI KỲ"))</f>
        <v/>
      </c>
      <c r="O601" s="53">
        <f>IF($J601="","",IF($J601&lt;=0,"≤0",""))</f>
        <v/>
      </c>
      <c r="P601" s="53">
        <f>IF(AND($D601="SXC (627)",$F601="Chung"),IF(OR($G601="Cố định",$G601="Biến đổi"),"","THIẾU TÍNH CHẤT"),"")</f>
        <v/>
      </c>
    </row>
    <row r="602" ht="15" customHeight="1" s="54">
      <c r="A602" s="71" t="n"/>
      <c r="B602" s="67" t="n"/>
      <c r="C602" s="67" t="n"/>
      <c r="D602" s="67" t="n"/>
      <c r="E602" s="79">
        <f>IFERROR(INDEX(MAP_TK,MATCH($D602,MAP_KM,0)),"")</f>
        <v/>
      </c>
      <c r="F602" s="67" t="n"/>
      <c r="G602" s="67" t="n"/>
      <c r="H602" s="67" t="n"/>
      <c r="I602" s="67" t="n"/>
      <c r="J602" s="75" t="n"/>
      <c r="K602" s="67" t="n"/>
      <c r="M602" s="53">
        <f>IF($C602="","",IF(OR($C602="CHUNG",COUNTIF(DM_Ma,$C602)&gt;0),"","MÃ LẠ"))</f>
        <v/>
      </c>
      <c r="N602" s="53">
        <f>IF($A602="","",IF(AND($A602&gt;=pTu,$A602&lt;=pDen),"","NGOÀI KỲ"))</f>
        <v/>
      </c>
      <c r="O602" s="53">
        <f>IF($J602="","",IF($J602&lt;=0,"≤0",""))</f>
        <v/>
      </c>
      <c r="P602" s="53">
        <f>IF(AND($D602="SXC (627)",$F602="Chung"),IF(OR($G602="Cố định",$G602="Biến đổi"),"","THIẾU TÍNH CHẤT"),"")</f>
        <v/>
      </c>
    </row>
    <row r="603" ht="15" customHeight="1" s="54">
      <c r="A603" s="71" t="n"/>
      <c r="B603" s="67" t="n"/>
      <c r="C603" s="67" t="n"/>
      <c r="D603" s="67" t="n"/>
      <c r="E603" s="79">
        <f>IFERROR(INDEX(MAP_TK,MATCH($D603,MAP_KM,0)),"")</f>
        <v/>
      </c>
      <c r="F603" s="67" t="n"/>
      <c r="G603" s="67" t="n"/>
      <c r="H603" s="67" t="n"/>
      <c r="I603" s="67" t="n"/>
      <c r="J603" s="75" t="n"/>
      <c r="K603" s="67" t="n"/>
      <c r="M603" s="53">
        <f>IF($C603="","",IF(OR($C603="CHUNG",COUNTIF(DM_Ma,$C603)&gt;0),"","MÃ LẠ"))</f>
        <v/>
      </c>
      <c r="N603" s="53">
        <f>IF($A603="","",IF(AND($A603&gt;=pTu,$A603&lt;=pDen),"","NGOÀI KỲ"))</f>
        <v/>
      </c>
      <c r="O603" s="53">
        <f>IF($J603="","",IF($J603&lt;=0,"≤0",""))</f>
        <v/>
      </c>
      <c r="P603" s="53">
        <f>IF(AND($D603="SXC (627)",$F603="Chung"),IF(OR($G603="Cố định",$G603="Biến đổi"),"","THIẾU TÍNH CHẤT"),"")</f>
        <v/>
      </c>
    </row>
    <row r="604" ht="15" customHeight="1" s="54">
      <c r="A604" s="71" t="n"/>
      <c r="B604" s="67" t="n"/>
      <c r="C604" s="67" t="n"/>
      <c r="D604" s="67" t="n"/>
      <c r="E604" s="79">
        <f>IFERROR(INDEX(MAP_TK,MATCH($D604,MAP_KM,0)),"")</f>
        <v/>
      </c>
      <c r="F604" s="67" t="n"/>
      <c r="G604" s="67" t="n"/>
      <c r="H604" s="67" t="n"/>
      <c r="I604" s="67" t="n"/>
      <c r="J604" s="75" t="n"/>
      <c r="K604" s="67" t="n"/>
      <c r="M604" s="53">
        <f>IF($C604="","",IF(OR($C604="CHUNG",COUNTIF(DM_Ma,$C604)&gt;0),"","MÃ LẠ"))</f>
        <v/>
      </c>
      <c r="N604" s="53">
        <f>IF($A604="","",IF(AND($A604&gt;=pTu,$A604&lt;=pDen),"","NGOÀI KỲ"))</f>
        <v/>
      </c>
      <c r="O604" s="53">
        <f>IF($J604="","",IF($J604&lt;=0,"≤0",""))</f>
        <v/>
      </c>
      <c r="P604" s="53">
        <f>IF(AND($D604="SXC (627)",$F604="Chung"),IF(OR($G604="Cố định",$G604="Biến đổi"),"","THIẾU TÍNH CHẤT"),"")</f>
        <v/>
      </c>
    </row>
    <row r="605" ht="15" customHeight="1" s="54">
      <c r="A605" s="71" t="n"/>
      <c r="B605" s="67" t="n"/>
      <c r="C605" s="67" t="n"/>
      <c r="D605" s="67" t="n"/>
      <c r="E605" s="79">
        <f>IFERROR(INDEX(MAP_TK,MATCH($D605,MAP_KM,0)),"")</f>
        <v/>
      </c>
      <c r="F605" s="67" t="n"/>
      <c r="G605" s="67" t="n"/>
      <c r="H605" s="67" t="n"/>
      <c r="I605" s="67" t="n"/>
      <c r="J605" s="75" t="n"/>
      <c r="K605" s="67" t="n"/>
      <c r="M605" s="53">
        <f>IF($C605="","",IF(OR($C605="CHUNG",COUNTIF(DM_Ma,$C605)&gt;0),"","MÃ LẠ"))</f>
        <v/>
      </c>
      <c r="N605" s="53">
        <f>IF($A605="","",IF(AND($A605&gt;=pTu,$A605&lt;=pDen),"","NGOÀI KỲ"))</f>
        <v/>
      </c>
      <c r="O605" s="53">
        <f>IF($J605="","",IF($J605&lt;=0,"≤0",""))</f>
        <v/>
      </c>
      <c r="P605" s="53">
        <f>IF(AND($D605="SXC (627)",$F605="Chung"),IF(OR($G605="Cố định",$G605="Biến đổi"),"","THIẾU TÍNH CHẤT"),"")</f>
        <v/>
      </c>
    </row>
    <row r="606" ht="15" customHeight="1" s="54">
      <c r="A606" s="71" t="n"/>
      <c r="B606" s="67" t="n"/>
      <c r="C606" s="67" t="n"/>
      <c r="D606" s="67" t="n"/>
      <c r="E606" s="79">
        <f>IFERROR(INDEX(MAP_TK,MATCH($D606,MAP_KM,0)),"")</f>
        <v/>
      </c>
      <c r="F606" s="67" t="n"/>
      <c r="G606" s="67" t="n"/>
      <c r="H606" s="67" t="n"/>
      <c r="I606" s="67" t="n"/>
      <c r="J606" s="75" t="n"/>
      <c r="K606" s="67" t="n"/>
      <c r="M606" s="53">
        <f>IF($C606="","",IF(OR($C606="CHUNG",COUNTIF(DM_Ma,$C606)&gt;0),"","MÃ LẠ"))</f>
        <v/>
      </c>
      <c r="N606" s="53">
        <f>IF($A606="","",IF(AND($A606&gt;=pTu,$A606&lt;=pDen),"","NGOÀI KỲ"))</f>
        <v/>
      </c>
      <c r="O606" s="53">
        <f>IF($J606="","",IF($J606&lt;=0,"≤0",""))</f>
        <v/>
      </c>
      <c r="P606" s="53">
        <f>IF(AND($D606="SXC (627)",$F606="Chung"),IF(OR($G606="Cố định",$G606="Biến đổi"),"","THIẾU TÍNH CHẤT"),"")</f>
        <v/>
      </c>
    </row>
    <row r="607" ht="15" customHeight="1" s="54">
      <c r="A607" s="71" t="n"/>
      <c r="B607" s="67" t="n"/>
      <c r="C607" s="67" t="n"/>
      <c r="D607" s="67" t="n"/>
      <c r="E607" s="79">
        <f>IFERROR(INDEX(MAP_TK,MATCH($D607,MAP_KM,0)),"")</f>
        <v/>
      </c>
      <c r="F607" s="67" t="n"/>
      <c r="G607" s="67" t="n"/>
      <c r="H607" s="67" t="n"/>
      <c r="I607" s="67" t="n"/>
      <c r="J607" s="75" t="n"/>
      <c r="K607" s="67" t="n"/>
      <c r="M607" s="53">
        <f>IF($C607="","",IF(OR($C607="CHUNG",COUNTIF(DM_Ma,$C607)&gt;0),"","MÃ LẠ"))</f>
        <v/>
      </c>
      <c r="N607" s="53">
        <f>IF($A607="","",IF(AND($A607&gt;=pTu,$A607&lt;=pDen),"","NGOÀI KỲ"))</f>
        <v/>
      </c>
      <c r="O607" s="53">
        <f>IF($J607="","",IF($J607&lt;=0,"≤0",""))</f>
        <v/>
      </c>
      <c r="P607" s="53">
        <f>IF(AND($D607="SXC (627)",$F607="Chung"),IF(OR($G607="Cố định",$G607="Biến đổi"),"","THIẾU TÍNH CHẤT"),"")</f>
        <v/>
      </c>
    </row>
    <row r="608" ht="15" customHeight="1" s="54">
      <c r="A608" s="71" t="n"/>
      <c r="B608" s="67" t="n"/>
      <c r="C608" s="67" t="n"/>
      <c r="D608" s="67" t="n"/>
      <c r="E608" s="79">
        <f>IFERROR(INDEX(MAP_TK,MATCH($D608,MAP_KM,0)),"")</f>
        <v/>
      </c>
      <c r="F608" s="67" t="n"/>
      <c r="G608" s="67" t="n"/>
      <c r="H608" s="67" t="n"/>
      <c r="I608" s="67" t="n"/>
      <c r="J608" s="75" t="n"/>
      <c r="K608" s="67" t="n"/>
      <c r="M608" s="53">
        <f>IF($C608="","",IF(OR($C608="CHUNG",COUNTIF(DM_Ma,$C608)&gt;0),"","MÃ LẠ"))</f>
        <v/>
      </c>
      <c r="N608" s="53">
        <f>IF($A608="","",IF(AND($A608&gt;=pTu,$A608&lt;=pDen),"","NGOÀI KỲ"))</f>
        <v/>
      </c>
      <c r="O608" s="53">
        <f>IF($J608="","",IF($J608&lt;=0,"≤0",""))</f>
        <v/>
      </c>
      <c r="P608" s="53">
        <f>IF(AND($D608="SXC (627)",$F608="Chung"),IF(OR($G608="Cố định",$G608="Biến đổi"),"","THIẾU TÍNH CHẤT"),"")</f>
        <v/>
      </c>
    </row>
    <row r="609" ht="15" customHeight="1" s="54">
      <c r="A609" s="71" t="n"/>
      <c r="B609" s="67" t="n"/>
      <c r="C609" s="67" t="n"/>
      <c r="D609" s="67" t="n"/>
      <c r="E609" s="79">
        <f>IFERROR(INDEX(MAP_TK,MATCH($D609,MAP_KM,0)),"")</f>
        <v/>
      </c>
      <c r="F609" s="67" t="n"/>
      <c r="G609" s="67" t="n"/>
      <c r="H609" s="67" t="n"/>
      <c r="I609" s="67" t="n"/>
      <c r="J609" s="75" t="n"/>
      <c r="K609" s="67" t="n"/>
      <c r="M609" s="53">
        <f>IF($C609="","",IF(OR($C609="CHUNG",COUNTIF(DM_Ma,$C609)&gt;0),"","MÃ LẠ"))</f>
        <v/>
      </c>
      <c r="N609" s="53">
        <f>IF($A609="","",IF(AND($A609&gt;=pTu,$A609&lt;=pDen),"","NGOÀI KỲ"))</f>
        <v/>
      </c>
      <c r="O609" s="53">
        <f>IF($J609="","",IF($J609&lt;=0,"≤0",""))</f>
        <v/>
      </c>
      <c r="P609" s="53">
        <f>IF(AND($D609="SXC (627)",$F609="Chung"),IF(OR($G609="Cố định",$G609="Biến đổi"),"","THIẾU TÍNH CHẤT"),"")</f>
        <v/>
      </c>
    </row>
    <row r="610" ht="15" customHeight="1" s="54">
      <c r="A610" s="71" t="n"/>
      <c r="B610" s="67" t="n"/>
      <c r="C610" s="67" t="n"/>
      <c r="D610" s="67" t="n"/>
      <c r="E610" s="79">
        <f>IFERROR(INDEX(MAP_TK,MATCH($D610,MAP_KM,0)),"")</f>
        <v/>
      </c>
      <c r="F610" s="67" t="n"/>
      <c r="G610" s="67" t="n"/>
      <c r="H610" s="67" t="n"/>
      <c r="I610" s="67" t="n"/>
      <c r="J610" s="75" t="n"/>
      <c r="K610" s="67" t="n"/>
      <c r="M610" s="53">
        <f>IF($C610="","",IF(OR($C610="CHUNG",COUNTIF(DM_Ma,$C610)&gt;0),"","MÃ LẠ"))</f>
        <v/>
      </c>
      <c r="N610" s="53">
        <f>IF($A610="","",IF(AND($A610&gt;=pTu,$A610&lt;=pDen),"","NGOÀI KỲ"))</f>
        <v/>
      </c>
      <c r="O610" s="53">
        <f>IF($J610="","",IF($J610&lt;=0,"≤0",""))</f>
        <v/>
      </c>
      <c r="P610" s="53">
        <f>IF(AND($D610="SXC (627)",$F610="Chung"),IF(OR($G610="Cố định",$G610="Biến đổi"),"","THIẾU TÍNH CHẤT"),"")</f>
        <v/>
      </c>
    </row>
    <row r="611" ht="15" customHeight="1" s="54">
      <c r="A611" s="71" t="n"/>
      <c r="B611" s="67" t="n"/>
      <c r="C611" s="67" t="n"/>
      <c r="D611" s="67" t="n"/>
      <c r="E611" s="79">
        <f>IFERROR(INDEX(MAP_TK,MATCH($D611,MAP_KM,0)),"")</f>
        <v/>
      </c>
      <c r="F611" s="67" t="n"/>
      <c r="G611" s="67" t="n"/>
      <c r="H611" s="67" t="n"/>
      <c r="I611" s="67" t="n"/>
      <c r="J611" s="75" t="n"/>
      <c r="K611" s="67" t="n"/>
      <c r="M611" s="53">
        <f>IF($C611="","",IF(OR($C611="CHUNG",COUNTIF(DM_Ma,$C611)&gt;0),"","MÃ LẠ"))</f>
        <v/>
      </c>
      <c r="N611" s="53">
        <f>IF($A611="","",IF(AND($A611&gt;=pTu,$A611&lt;=pDen),"","NGOÀI KỲ"))</f>
        <v/>
      </c>
      <c r="O611" s="53">
        <f>IF($J611="","",IF($J611&lt;=0,"≤0",""))</f>
        <v/>
      </c>
      <c r="P611" s="53">
        <f>IF(AND($D611="SXC (627)",$F611="Chung"),IF(OR($G611="Cố định",$G611="Biến đổi"),"","THIẾU TÍNH CHẤT"),"")</f>
        <v/>
      </c>
    </row>
    <row r="612" ht="15" customHeight="1" s="54">
      <c r="A612" s="71" t="n"/>
      <c r="B612" s="67" t="n"/>
      <c r="C612" s="67" t="n"/>
      <c r="D612" s="67" t="n"/>
      <c r="E612" s="79">
        <f>IFERROR(INDEX(MAP_TK,MATCH($D612,MAP_KM,0)),"")</f>
        <v/>
      </c>
      <c r="F612" s="67" t="n"/>
      <c r="G612" s="67" t="n"/>
      <c r="H612" s="67" t="n"/>
      <c r="I612" s="67" t="n"/>
      <c r="J612" s="75" t="n"/>
      <c r="K612" s="67" t="n"/>
      <c r="M612" s="53">
        <f>IF($C612="","",IF(OR($C612="CHUNG",COUNTIF(DM_Ma,$C612)&gt;0),"","MÃ LẠ"))</f>
        <v/>
      </c>
      <c r="N612" s="53">
        <f>IF($A612="","",IF(AND($A612&gt;=pTu,$A612&lt;=pDen),"","NGOÀI KỲ"))</f>
        <v/>
      </c>
      <c r="O612" s="53">
        <f>IF($J612="","",IF($J612&lt;=0,"≤0",""))</f>
        <v/>
      </c>
      <c r="P612" s="53">
        <f>IF(AND($D612="SXC (627)",$F612="Chung"),IF(OR($G612="Cố định",$G612="Biến đổi"),"","THIẾU TÍNH CHẤT"),"")</f>
        <v/>
      </c>
    </row>
    <row r="613" ht="15" customHeight="1" s="54">
      <c r="A613" s="71" t="n"/>
      <c r="B613" s="67" t="n"/>
      <c r="C613" s="67" t="n"/>
      <c r="D613" s="67" t="n"/>
      <c r="E613" s="79">
        <f>IFERROR(INDEX(MAP_TK,MATCH($D613,MAP_KM,0)),"")</f>
        <v/>
      </c>
      <c r="F613" s="67" t="n"/>
      <c r="G613" s="67" t="n"/>
      <c r="H613" s="67" t="n"/>
      <c r="I613" s="67" t="n"/>
      <c r="J613" s="75" t="n"/>
      <c r="K613" s="67" t="n"/>
      <c r="M613" s="53">
        <f>IF($C613="","",IF(OR($C613="CHUNG",COUNTIF(DM_Ma,$C613)&gt;0),"","MÃ LẠ"))</f>
        <v/>
      </c>
      <c r="N613" s="53">
        <f>IF($A613="","",IF(AND($A613&gt;=pTu,$A613&lt;=pDen),"","NGOÀI KỲ"))</f>
        <v/>
      </c>
      <c r="O613" s="53">
        <f>IF($J613="","",IF($J613&lt;=0,"≤0",""))</f>
        <v/>
      </c>
      <c r="P613" s="53">
        <f>IF(AND($D613="SXC (627)",$F613="Chung"),IF(OR($G613="Cố định",$G613="Biến đổi"),"","THIẾU TÍNH CHẤT"),"")</f>
        <v/>
      </c>
    </row>
    <row r="614" ht="15" customHeight="1" s="54">
      <c r="A614" s="71" t="n"/>
      <c r="B614" s="67" t="n"/>
      <c r="C614" s="67" t="n"/>
      <c r="D614" s="67" t="n"/>
      <c r="E614" s="79">
        <f>IFERROR(INDEX(MAP_TK,MATCH($D614,MAP_KM,0)),"")</f>
        <v/>
      </c>
      <c r="F614" s="67" t="n"/>
      <c r="G614" s="67" t="n"/>
      <c r="H614" s="67" t="n"/>
      <c r="I614" s="67" t="n"/>
      <c r="J614" s="75" t="n"/>
      <c r="K614" s="67" t="n"/>
      <c r="M614" s="53">
        <f>IF($C614="","",IF(OR($C614="CHUNG",COUNTIF(DM_Ma,$C614)&gt;0),"","MÃ LẠ"))</f>
        <v/>
      </c>
      <c r="N614" s="53">
        <f>IF($A614="","",IF(AND($A614&gt;=pTu,$A614&lt;=pDen),"","NGOÀI KỲ"))</f>
        <v/>
      </c>
      <c r="O614" s="53">
        <f>IF($J614="","",IF($J614&lt;=0,"≤0",""))</f>
        <v/>
      </c>
      <c r="P614" s="53">
        <f>IF(AND($D614="SXC (627)",$F614="Chung"),IF(OR($G614="Cố định",$G614="Biến đổi"),"","THIẾU TÍNH CHẤT"),"")</f>
        <v/>
      </c>
    </row>
    <row r="615" ht="15" customHeight="1" s="54">
      <c r="A615" s="71" t="n"/>
      <c r="B615" s="67" t="n"/>
      <c r="C615" s="67" t="n"/>
      <c r="D615" s="67" t="n"/>
      <c r="E615" s="79">
        <f>IFERROR(INDEX(MAP_TK,MATCH($D615,MAP_KM,0)),"")</f>
        <v/>
      </c>
      <c r="F615" s="67" t="n"/>
      <c r="G615" s="67" t="n"/>
      <c r="H615" s="67" t="n"/>
      <c r="I615" s="67" t="n"/>
      <c r="J615" s="75" t="n"/>
      <c r="K615" s="67" t="n"/>
      <c r="M615" s="53">
        <f>IF($C615="","",IF(OR($C615="CHUNG",COUNTIF(DM_Ma,$C615)&gt;0),"","MÃ LẠ"))</f>
        <v/>
      </c>
      <c r="N615" s="53">
        <f>IF($A615="","",IF(AND($A615&gt;=pTu,$A615&lt;=pDen),"","NGOÀI KỲ"))</f>
        <v/>
      </c>
      <c r="O615" s="53">
        <f>IF($J615="","",IF($J615&lt;=0,"≤0",""))</f>
        <v/>
      </c>
      <c r="P615" s="53">
        <f>IF(AND($D615="SXC (627)",$F615="Chung"),IF(OR($G615="Cố định",$G615="Biến đổi"),"","THIẾU TÍNH CHẤT"),"")</f>
        <v/>
      </c>
    </row>
    <row r="616" ht="15" customHeight="1" s="54">
      <c r="A616" s="71" t="n"/>
      <c r="B616" s="67" t="n"/>
      <c r="C616" s="67" t="n"/>
      <c r="D616" s="67" t="n"/>
      <c r="E616" s="79">
        <f>IFERROR(INDEX(MAP_TK,MATCH($D616,MAP_KM,0)),"")</f>
        <v/>
      </c>
      <c r="F616" s="67" t="n"/>
      <c r="G616" s="67" t="n"/>
      <c r="H616" s="67" t="n"/>
      <c r="I616" s="67" t="n"/>
      <c r="J616" s="75" t="n"/>
      <c r="K616" s="67" t="n"/>
      <c r="M616" s="53">
        <f>IF($C616="","",IF(OR($C616="CHUNG",COUNTIF(DM_Ma,$C616)&gt;0),"","MÃ LẠ"))</f>
        <v/>
      </c>
      <c r="N616" s="53">
        <f>IF($A616="","",IF(AND($A616&gt;=pTu,$A616&lt;=pDen),"","NGOÀI KỲ"))</f>
        <v/>
      </c>
      <c r="O616" s="53">
        <f>IF($J616="","",IF($J616&lt;=0,"≤0",""))</f>
        <v/>
      </c>
      <c r="P616" s="53">
        <f>IF(AND($D616="SXC (627)",$F616="Chung"),IF(OR($G616="Cố định",$G616="Biến đổi"),"","THIẾU TÍNH CHẤT"),"")</f>
        <v/>
      </c>
    </row>
    <row r="617" ht="15" customHeight="1" s="54">
      <c r="A617" s="71" t="n"/>
      <c r="B617" s="67" t="n"/>
      <c r="C617" s="67" t="n"/>
      <c r="D617" s="67" t="n"/>
      <c r="E617" s="79">
        <f>IFERROR(INDEX(MAP_TK,MATCH($D617,MAP_KM,0)),"")</f>
        <v/>
      </c>
      <c r="F617" s="67" t="n"/>
      <c r="G617" s="67" t="n"/>
      <c r="H617" s="67" t="n"/>
      <c r="I617" s="67" t="n"/>
      <c r="J617" s="75" t="n"/>
      <c r="K617" s="67" t="n"/>
      <c r="M617" s="53">
        <f>IF($C617="","",IF(OR($C617="CHUNG",COUNTIF(DM_Ma,$C617)&gt;0),"","MÃ LẠ"))</f>
        <v/>
      </c>
      <c r="N617" s="53">
        <f>IF($A617="","",IF(AND($A617&gt;=pTu,$A617&lt;=pDen),"","NGOÀI KỲ"))</f>
        <v/>
      </c>
      <c r="O617" s="53">
        <f>IF($J617="","",IF($J617&lt;=0,"≤0",""))</f>
        <v/>
      </c>
      <c r="P617" s="53">
        <f>IF(AND($D617="SXC (627)",$F617="Chung"),IF(OR($G617="Cố định",$G617="Biến đổi"),"","THIẾU TÍNH CHẤT"),"")</f>
        <v/>
      </c>
    </row>
    <row r="618" ht="15" customHeight="1" s="54">
      <c r="A618" s="71" t="n"/>
      <c r="B618" s="67" t="n"/>
      <c r="C618" s="67" t="n"/>
      <c r="D618" s="67" t="n"/>
      <c r="E618" s="79">
        <f>IFERROR(INDEX(MAP_TK,MATCH($D618,MAP_KM,0)),"")</f>
        <v/>
      </c>
      <c r="F618" s="67" t="n"/>
      <c r="G618" s="67" t="n"/>
      <c r="H618" s="67" t="n"/>
      <c r="I618" s="67" t="n"/>
      <c r="J618" s="75" t="n"/>
      <c r="K618" s="67" t="n"/>
      <c r="M618" s="53">
        <f>IF($C618="","",IF(OR($C618="CHUNG",COUNTIF(DM_Ma,$C618)&gt;0),"","MÃ LẠ"))</f>
        <v/>
      </c>
      <c r="N618" s="53">
        <f>IF($A618="","",IF(AND($A618&gt;=pTu,$A618&lt;=pDen),"","NGOÀI KỲ"))</f>
        <v/>
      </c>
      <c r="O618" s="53">
        <f>IF($J618="","",IF($J618&lt;=0,"≤0",""))</f>
        <v/>
      </c>
      <c r="P618" s="53">
        <f>IF(AND($D618="SXC (627)",$F618="Chung"),IF(OR($G618="Cố định",$G618="Biến đổi"),"","THIẾU TÍNH CHẤT"),"")</f>
        <v/>
      </c>
    </row>
    <row r="619" ht="15" customHeight="1" s="54">
      <c r="A619" s="71" t="n"/>
      <c r="B619" s="67" t="n"/>
      <c r="C619" s="67" t="n"/>
      <c r="D619" s="67" t="n"/>
      <c r="E619" s="79">
        <f>IFERROR(INDEX(MAP_TK,MATCH($D619,MAP_KM,0)),"")</f>
        <v/>
      </c>
      <c r="F619" s="67" t="n"/>
      <c r="G619" s="67" t="n"/>
      <c r="H619" s="67" t="n"/>
      <c r="I619" s="67" t="n"/>
      <c r="J619" s="75" t="n"/>
      <c r="K619" s="67" t="n"/>
      <c r="M619" s="53">
        <f>IF($C619="","",IF(OR($C619="CHUNG",COUNTIF(DM_Ma,$C619)&gt;0),"","MÃ LẠ"))</f>
        <v/>
      </c>
      <c r="N619" s="53">
        <f>IF($A619="","",IF(AND($A619&gt;=pTu,$A619&lt;=pDen),"","NGOÀI KỲ"))</f>
        <v/>
      </c>
      <c r="O619" s="53">
        <f>IF($J619="","",IF($J619&lt;=0,"≤0",""))</f>
        <v/>
      </c>
      <c r="P619" s="53">
        <f>IF(AND($D619="SXC (627)",$F619="Chung"),IF(OR($G619="Cố định",$G619="Biến đổi"),"","THIẾU TÍNH CHẤT"),"")</f>
        <v/>
      </c>
    </row>
    <row r="620" ht="15" customHeight="1" s="54">
      <c r="A620" s="71" t="n"/>
      <c r="B620" s="67" t="n"/>
      <c r="C620" s="67" t="n"/>
      <c r="D620" s="67" t="n"/>
      <c r="E620" s="79">
        <f>IFERROR(INDEX(MAP_TK,MATCH($D620,MAP_KM,0)),"")</f>
        <v/>
      </c>
      <c r="F620" s="67" t="n"/>
      <c r="G620" s="67" t="n"/>
      <c r="H620" s="67" t="n"/>
      <c r="I620" s="67" t="n"/>
      <c r="J620" s="75" t="n"/>
      <c r="K620" s="67" t="n"/>
      <c r="M620" s="53">
        <f>IF($C620="","",IF(OR($C620="CHUNG",COUNTIF(DM_Ma,$C620)&gt;0),"","MÃ LẠ"))</f>
        <v/>
      </c>
      <c r="N620" s="53">
        <f>IF($A620="","",IF(AND($A620&gt;=pTu,$A620&lt;=pDen),"","NGOÀI KỲ"))</f>
        <v/>
      </c>
      <c r="O620" s="53">
        <f>IF($J620="","",IF($J620&lt;=0,"≤0",""))</f>
        <v/>
      </c>
      <c r="P620" s="53">
        <f>IF(AND($D620="SXC (627)",$F620="Chung"),IF(OR($G620="Cố định",$G620="Biến đổi"),"","THIẾU TÍNH CHẤT"),"")</f>
        <v/>
      </c>
    </row>
    <row r="621" ht="15" customHeight="1" s="54">
      <c r="A621" s="71" t="n"/>
      <c r="B621" s="67" t="n"/>
      <c r="C621" s="67" t="n"/>
      <c r="D621" s="67" t="n"/>
      <c r="E621" s="79">
        <f>IFERROR(INDEX(MAP_TK,MATCH($D621,MAP_KM,0)),"")</f>
        <v/>
      </c>
      <c r="F621" s="67" t="n"/>
      <c r="G621" s="67" t="n"/>
      <c r="H621" s="67" t="n"/>
      <c r="I621" s="67" t="n"/>
      <c r="J621" s="75" t="n"/>
      <c r="K621" s="67" t="n"/>
      <c r="M621" s="53">
        <f>IF($C621="","",IF(OR($C621="CHUNG",COUNTIF(DM_Ma,$C621)&gt;0),"","MÃ LẠ"))</f>
        <v/>
      </c>
      <c r="N621" s="53">
        <f>IF($A621="","",IF(AND($A621&gt;=pTu,$A621&lt;=pDen),"","NGOÀI KỲ"))</f>
        <v/>
      </c>
      <c r="O621" s="53">
        <f>IF($J621="","",IF($J621&lt;=0,"≤0",""))</f>
        <v/>
      </c>
      <c r="P621" s="53">
        <f>IF(AND($D621="SXC (627)",$F621="Chung"),IF(OR($G621="Cố định",$G621="Biến đổi"),"","THIẾU TÍNH CHẤT"),"")</f>
        <v/>
      </c>
    </row>
    <row r="622" ht="15" customHeight="1" s="54">
      <c r="A622" s="71" t="n"/>
      <c r="B622" s="67" t="n"/>
      <c r="C622" s="67" t="n"/>
      <c r="D622" s="67" t="n"/>
      <c r="E622" s="79">
        <f>IFERROR(INDEX(MAP_TK,MATCH($D622,MAP_KM,0)),"")</f>
        <v/>
      </c>
      <c r="F622" s="67" t="n"/>
      <c r="G622" s="67" t="n"/>
      <c r="H622" s="67" t="n"/>
      <c r="I622" s="67" t="n"/>
      <c r="J622" s="75" t="n"/>
      <c r="K622" s="67" t="n"/>
      <c r="M622" s="53">
        <f>IF($C622="","",IF(OR($C622="CHUNG",COUNTIF(DM_Ma,$C622)&gt;0),"","MÃ LẠ"))</f>
        <v/>
      </c>
      <c r="N622" s="53">
        <f>IF($A622="","",IF(AND($A622&gt;=pTu,$A622&lt;=pDen),"","NGOÀI KỲ"))</f>
        <v/>
      </c>
      <c r="O622" s="53">
        <f>IF($J622="","",IF($J622&lt;=0,"≤0",""))</f>
        <v/>
      </c>
      <c r="P622" s="53">
        <f>IF(AND($D622="SXC (627)",$F622="Chung"),IF(OR($G622="Cố định",$G622="Biến đổi"),"","THIẾU TÍNH CHẤT"),"")</f>
        <v/>
      </c>
    </row>
    <row r="623" ht="15" customHeight="1" s="54">
      <c r="A623" s="71" t="n"/>
      <c r="B623" s="67" t="n"/>
      <c r="C623" s="67" t="n"/>
      <c r="D623" s="67" t="n"/>
      <c r="E623" s="79">
        <f>IFERROR(INDEX(MAP_TK,MATCH($D623,MAP_KM,0)),"")</f>
        <v/>
      </c>
      <c r="F623" s="67" t="n"/>
      <c r="G623" s="67" t="n"/>
      <c r="H623" s="67" t="n"/>
      <c r="I623" s="67" t="n"/>
      <c r="J623" s="75" t="n"/>
      <c r="K623" s="67" t="n"/>
      <c r="M623" s="53">
        <f>IF($C623="","",IF(OR($C623="CHUNG",COUNTIF(DM_Ma,$C623)&gt;0),"","MÃ LẠ"))</f>
        <v/>
      </c>
      <c r="N623" s="53">
        <f>IF($A623="","",IF(AND($A623&gt;=pTu,$A623&lt;=pDen),"","NGOÀI KỲ"))</f>
        <v/>
      </c>
      <c r="O623" s="53">
        <f>IF($J623="","",IF($J623&lt;=0,"≤0",""))</f>
        <v/>
      </c>
      <c r="P623" s="53">
        <f>IF(AND($D623="SXC (627)",$F623="Chung"),IF(OR($G623="Cố định",$G623="Biến đổi"),"","THIẾU TÍNH CHẤT"),"")</f>
        <v/>
      </c>
    </row>
    <row r="624" ht="15" customHeight="1" s="54">
      <c r="A624" s="71" t="n"/>
      <c r="B624" s="67" t="n"/>
      <c r="C624" s="67" t="n"/>
      <c r="D624" s="67" t="n"/>
      <c r="E624" s="79">
        <f>IFERROR(INDEX(MAP_TK,MATCH($D624,MAP_KM,0)),"")</f>
        <v/>
      </c>
      <c r="F624" s="67" t="n"/>
      <c r="G624" s="67" t="n"/>
      <c r="H624" s="67" t="n"/>
      <c r="I624" s="67" t="n"/>
      <c r="J624" s="75" t="n"/>
      <c r="K624" s="67" t="n"/>
      <c r="M624" s="53">
        <f>IF($C624="","",IF(OR($C624="CHUNG",COUNTIF(DM_Ma,$C624)&gt;0),"","MÃ LẠ"))</f>
        <v/>
      </c>
      <c r="N624" s="53">
        <f>IF($A624="","",IF(AND($A624&gt;=pTu,$A624&lt;=pDen),"","NGOÀI KỲ"))</f>
        <v/>
      </c>
      <c r="O624" s="53">
        <f>IF($J624="","",IF($J624&lt;=0,"≤0",""))</f>
        <v/>
      </c>
      <c r="P624" s="53">
        <f>IF(AND($D624="SXC (627)",$F624="Chung"),IF(OR($G624="Cố định",$G624="Biến đổi"),"","THIẾU TÍNH CHẤT"),"")</f>
        <v/>
      </c>
    </row>
    <row r="625" ht="15" customHeight="1" s="54">
      <c r="A625" s="71" t="n"/>
      <c r="B625" s="67" t="n"/>
      <c r="C625" s="67" t="n"/>
      <c r="D625" s="67" t="n"/>
      <c r="E625" s="79">
        <f>IFERROR(INDEX(MAP_TK,MATCH($D625,MAP_KM,0)),"")</f>
        <v/>
      </c>
      <c r="F625" s="67" t="n"/>
      <c r="G625" s="67" t="n"/>
      <c r="H625" s="67" t="n"/>
      <c r="I625" s="67" t="n"/>
      <c r="J625" s="75" t="n"/>
      <c r="K625" s="67" t="n"/>
      <c r="M625" s="53">
        <f>IF($C625="","",IF(OR($C625="CHUNG",COUNTIF(DM_Ma,$C625)&gt;0),"","MÃ LẠ"))</f>
        <v/>
      </c>
      <c r="N625" s="53">
        <f>IF($A625="","",IF(AND($A625&gt;=pTu,$A625&lt;=pDen),"","NGOÀI KỲ"))</f>
        <v/>
      </c>
      <c r="O625" s="53">
        <f>IF($J625="","",IF($J625&lt;=0,"≤0",""))</f>
        <v/>
      </c>
      <c r="P625" s="53">
        <f>IF(AND($D625="SXC (627)",$F625="Chung"),IF(OR($G625="Cố định",$G625="Biến đổi"),"","THIẾU TÍNH CHẤT"),"")</f>
        <v/>
      </c>
    </row>
    <row r="626" ht="15" customHeight="1" s="54">
      <c r="A626" s="71" t="n"/>
      <c r="B626" s="67" t="n"/>
      <c r="C626" s="67" t="n"/>
      <c r="D626" s="67" t="n"/>
      <c r="E626" s="79">
        <f>IFERROR(INDEX(MAP_TK,MATCH($D626,MAP_KM,0)),"")</f>
        <v/>
      </c>
      <c r="F626" s="67" t="n"/>
      <c r="G626" s="67" t="n"/>
      <c r="H626" s="67" t="n"/>
      <c r="I626" s="67" t="n"/>
      <c r="J626" s="75" t="n"/>
      <c r="K626" s="67" t="n"/>
      <c r="M626" s="53">
        <f>IF($C626="","",IF(OR($C626="CHUNG",COUNTIF(DM_Ma,$C626)&gt;0),"","MÃ LẠ"))</f>
        <v/>
      </c>
      <c r="N626" s="53">
        <f>IF($A626="","",IF(AND($A626&gt;=pTu,$A626&lt;=pDen),"","NGOÀI KỲ"))</f>
        <v/>
      </c>
      <c r="O626" s="53">
        <f>IF($J626="","",IF($J626&lt;=0,"≤0",""))</f>
        <v/>
      </c>
      <c r="P626" s="53">
        <f>IF(AND($D626="SXC (627)",$F626="Chung"),IF(OR($G626="Cố định",$G626="Biến đổi"),"","THIẾU TÍNH CHẤT"),"")</f>
        <v/>
      </c>
    </row>
    <row r="627" ht="15" customHeight="1" s="54">
      <c r="A627" s="71" t="n"/>
      <c r="B627" s="67" t="n"/>
      <c r="C627" s="67" t="n"/>
      <c r="D627" s="67" t="n"/>
      <c r="E627" s="79">
        <f>IFERROR(INDEX(MAP_TK,MATCH($D627,MAP_KM,0)),"")</f>
        <v/>
      </c>
      <c r="F627" s="67" t="n"/>
      <c r="G627" s="67" t="n"/>
      <c r="H627" s="67" t="n"/>
      <c r="I627" s="67" t="n"/>
      <c r="J627" s="75" t="n"/>
      <c r="K627" s="67" t="n"/>
      <c r="M627" s="53">
        <f>IF($C627="","",IF(OR($C627="CHUNG",COUNTIF(DM_Ma,$C627)&gt;0),"","MÃ LẠ"))</f>
        <v/>
      </c>
      <c r="N627" s="53">
        <f>IF($A627="","",IF(AND($A627&gt;=pTu,$A627&lt;=pDen),"","NGOÀI KỲ"))</f>
        <v/>
      </c>
      <c r="O627" s="53">
        <f>IF($J627="","",IF($J627&lt;=0,"≤0",""))</f>
        <v/>
      </c>
      <c r="P627" s="53">
        <f>IF(AND($D627="SXC (627)",$F627="Chung"),IF(OR($G627="Cố định",$G627="Biến đổi"),"","THIẾU TÍNH CHẤT"),"")</f>
        <v/>
      </c>
    </row>
    <row r="628" ht="15" customHeight="1" s="54">
      <c r="A628" s="71" t="n"/>
      <c r="B628" s="67" t="n"/>
      <c r="C628" s="67" t="n"/>
      <c r="D628" s="67" t="n"/>
      <c r="E628" s="79">
        <f>IFERROR(INDEX(MAP_TK,MATCH($D628,MAP_KM,0)),"")</f>
        <v/>
      </c>
      <c r="F628" s="67" t="n"/>
      <c r="G628" s="67" t="n"/>
      <c r="H628" s="67" t="n"/>
      <c r="I628" s="67" t="n"/>
      <c r="J628" s="75" t="n"/>
      <c r="K628" s="67" t="n"/>
      <c r="M628" s="53">
        <f>IF($C628="","",IF(OR($C628="CHUNG",COUNTIF(DM_Ma,$C628)&gt;0),"","MÃ LẠ"))</f>
        <v/>
      </c>
      <c r="N628" s="53">
        <f>IF($A628="","",IF(AND($A628&gt;=pTu,$A628&lt;=pDen),"","NGOÀI KỲ"))</f>
        <v/>
      </c>
      <c r="O628" s="53">
        <f>IF($J628="","",IF($J628&lt;=0,"≤0",""))</f>
        <v/>
      </c>
      <c r="P628" s="53">
        <f>IF(AND($D628="SXC (627)",$F628="Chung"),IF(OR($G628="Cố định",$G628="Biến đổi"),"","THIẾU TÍNH CHẤT"),"")</f>
        <v/>
      </c>
    </row>
    <row r="629" ht="15" customHeight="1" s="54">
      <c r="A629" s="71" t="n"/>
      <c r="B629" s="67" t="n"/>
      <c r="C629" s="67" t="n"/>
      <c r="D629" s="67" t="n"/>
      <c r="E629" s="79">
        <f>IFERROR(INDEX(MAP_TK,MATCH($D629,MAP_KM,0)),"")</f>
        <v/>
      </c>
      <c r="F629" s="67" t="n"/>
      <c r="G629" s="67" t="n"/>
      <c r="H629" s="67" t="n"/>
      <c r="I629" s="67" t="n"/>
      <c r="J629" s="75" t="n"/>
      <c r="K629" s="67" t="n"/>
      <c r="M629" s="53">
        <f>IF($C629="","",IF(OR($C629="CHUNG",COUNTIF(DM_Ma,$C629)&gt;0),"","MÃ LẠ"))</f>
        <v/>
      </c>
      <c r="N629" s="53">
        <f>IF($A629="","",IF(AND($A629&gt;=pTu,$A629&lt;=pDen),"","NGOÀI KỲ"))</f>
        <v/>
      </c>
      <c r="O629" s="53">
        <f>IF($J629="","",IF($J629&lt;=0,"≤0",""))</f>
        <v/>
      </c>
      <c r="P629" s="53">
        <f>IF(AND($D629="SXC (627)",$F629="Chung"),IF(OR($G629="Cố định",$G629="Biến đổi"),"","THIẾU TÍNH CHẤT"),"")</f>
        <v/>
      </c>
    </row>
    <row r="630" ht="15" customHeight="1" s="54">
      <c r="A630" s="71" t="n"/>
      <c r="B630" s="67" t="n"/>
      <c r="C630" s="67" t="n"/>
      <c r="D630" s="67" t="n"/>
      <c r="E630" s="79">
        <f>IFERROR(INDEX(MAP_TK,MATCH($D630,MAP_KM,0)),"")</f>
        <v/>
      </c>
      <c r="F630" s="67" t="n"/>
      <c r="G630" s="67" t="n"/>
      <c r="H630" s="67" t="n"/>
      <c r="I630" s="67" t="n"/>
      <c r="J630" s="75" t="n"/>
      <c r="K630" s="67" t="n"/>
      <c r="M630" s="53">
        <f>IF($C630="","",IF(OR($C630="CHUNG",COUNTIF(DM_Ma,$C630)&gt;0),"","MÃ LẠ"))</f>
        <v/>
      </c>
      <c r="N630" s="53">
        <f>IF($A630="","",IF(AND($A630&gt;=pTu,$A630&lt;=pDen),"","NGOÀI KỲ"))</f>
        <v/>
      </c>
      <c r="O630" s="53">
        <f>IF($J630="","",IF($J630&lt;=0,"≤0",""))</f>
        <v/>
      </c>
      <c r="P630" s="53">
        <f>IF(AND($D630="SXC (627)",$F630="Chung"),IF(OR($G630="Cố định",$G630="Biến đổi"),"","THIẾU TÍNH CHẤT"),"")</f>
        <v/>
      </c>
    </row>
    <row r="631" ht="15" customHeight="1" s="54">
      <c r="A631" s="71" t="n"/>
      <c r="B631" s="67" t="n"/>
      <c r="C631" s="67" t="n"/>
      <c r="D631" s="67" t="n"/>
      <c r="E631" s="79">
        <f>IFERROR(INDEX(MAP_TK,MATCH($D631,MAP_KM,0)),"")</f>
        <v/>
      </c>
      <c r="F631" s="67" t="n"/>
      <c r="G631" s="67" t="n"/>
      <c r="H631" s="67" t="n"/>
      <c r="I631" s="67" t="n"/>
      <c r="J631" s="75" t="n"/>
      <c r="K631" s="67" t="n"/>
      <c r="M631" s="53">
        <f>IF($C631="","",IF(OR($C631="CHUNG",COUNTIF(DM_Ma,$C631)&gt;0),"","MÃ LẠ"))</f>
        <v/>
      </c>
      <c r="N631" s="53">
        <f>IF($A631="","",IF(AND($A631&gt;=pTu,$A631&lt;=pDen),"","NGOÀI KỲ"))</f>
        <v/>
      </c>
      <c r="O631" s="53">
        <f>IF($J631="","",IF($J631&lt;=0,"≤0",""))</f>
        <v/>
      </c>
      <c r="P631" s="53">
        <f>IF(AND($D631="SXC (627)",$F631="Chung"),IF(OR($G631="Cố định",$G631="Biến đổi"),"","THIẾU TÍNH CHẤT"),"")</f>
        <v/>
      </c>
    </row>
    <row r="632" ht="15" customHeight="1" s="54">
      <c r="A632" s="71" t="n"/>
      <c r="B632" s="67" t="n"/>
      <c r="C632" s="67" t="n"/>
      <c r="D632" s="67" t="n"/>
      <c r="E632" s="79">
        <f>IFERROR(INDEX(MAP_TK,MATCH($D632,MAP_KM,0)),"")</f>
        <v/>
      </c>
      <c r="F632" s="67" t="n"/>
      <c r="G632" s="67" t="n"/>
      <c r="H632" s="67" t="n"/>
      <c r="I632" s="67" t="n"/>
      <c r="J632" s="75" t="n"/>
      <c r="K632" s="67" t="n"/>
      <c r="M632" s="53">
        <f>IF($C632="","",IF(OR($C632="CHUNG",COUNTIF(DM_Ma,$C632)&gt;0),"","MÃ LẠ"))</f>
        <v/>
      </c>
      <c r="N632" s="53">
        <f>IF($A632="","",IF(AND($A632&gt;=pTu,$A632&lt;=pDen),"","NGOÀI KỲ"))</f>
        <v/>
      </c>
      <c r="O632" s="53">
        <f>IF($J632="","",IF($J632&lt;=0,"≤0",""))</f>
        <v/>
      </c>
      <c r="P632" s="53">
        <f>IF(AND($D632="SXC (627)",$F632="Chung"),IF(OR($G632="Cố định",$G632="Biến đổi"),"","THIẾU TÍNH CHẤT"),"")</f>
        <v/>
      </c>
    </row>
    <row r="633" ht="15" customHeight="1" s="54">
      <c r="A633" s="71" t="n"/>
      <c r="B633" s="67" t="n"/>
      <c r="C633" s="67" t="n"/>
      <c r="D633" s="67" t="n"/>
      <c r="E633" s="79">
        <f>IFERROR(INDEX(MAP_TK,MATCH($D633,MAP_KM,0)),"")</f>
        <v/>
      </c>
      <c r="F633" s="67" t="n"/>
      <c r="G633" s="67" t="n"/>
      <c r="H633" s="67" t="n"/>
      <c r="I633" s="67" t="n"/>
      <c r="J633" s="75" t="n"/>
      <c r="K633" s="67" t="n"/>
      <c r="M633" s="53">
        <f>IF($C633="","",IF(OR($C633="CHUNG",COUNTIF(DM_Ma,$C633)&gt;0),"","MÃ LẠ"))</f>
        <v/>
      </c>
      <c r="N633" s="53">
        <f>IF($A633="","",IF(AND($A633&gt;=pTu,$A633&lt;=pDen),"","NGOÀI KỲ"))</f>
        <v/>
      </c>
      <c r="O633" s="53">
        <f>IF($J633="","",IF($J633&lt;=0,"≤0",""))</f>
        <v/>
      </c>
      <c r="P633" s="53">
        <f>IF(AND($D633="SXC (627)",$F633="Chung"),IF(OR($G633="Cố định",$G633="Biến đổi"),"","THIẾU TÍNH CHẤT"),"")</f>
        <v/>
      </c>
    </row>
    <row r="634" ht="15" customHeight="1" s="54">
      <c r="A634" s="71" t="n"/>
      <c r="B634" s="67" t="n"/>
      <c r="C634" s="67" t="n"/>
      <c r="D634" s="67" t="n"/>
      <c r="E634" s="79">
        <f>IFERROR(INDEX(MAP_TK,MATCH($D634,MAP_KM,0)),"")</f>
        <v/>
      </c>
      <c r="F634" s="67" t="n"/>
      <c r="G634" s="67" t="n"/>
      <c r="H634" s="67" t="n"/>
      <c r="I634" s="67" t="n"/>
      <c r="J634" s="75" t="n"/>
      <c r="K634" s="67" t="n"/>
      <c r="M634" s="53">
        <f>IF($C634="","",IF(OR($C634="CHUNG",COUNTIF(DM_Ma,$C634)&gt;0),"","MÃ LẠ"))</f>
        <v/>
      </c>
      <c r="N634" s="53">
        <f>IF($A634="","",IF(AND($A634&gt;=pTu,$A634&lt;=pDen),"","NGOÀI KỲ"))</f>
        <v/>
      </c>
      <c r="O634" s="53">
        <f>IF($J634="","",IF($J634&lt;=0,"≤0",""))</f>
        <v/>
      </c>
      <c r="P634" s="53">
        <f>IF(AND($D634="SXC (627)",$F634="Chung"),IF(OR($G634="Cố định",$G634="Biến đổi"),"","THIẾU TÍNH CHẤT"),"")</f>
        <v/>
      </c>
    </row>
    <row r="635" ht="15" customHeight="1" s="54">
      <c r="A635" s="71" t="n"/>
      <c r="B635" s="67" t="n"/>
      <c r="C635" s="67" t="n"/>
      <c r="D635" s="67" t="n"/>
      <c r="E635" s="79">
        <f>IFERROR(INDEX(MAP_TK,MATCH($D635,MAP_KM,0)),"")</f>
        <v/>
      </c>
      <c r="F635" s="67" t="n"/>
      <c r="G635" s="67" t="n"/>
      <c r="H635" s="67" t="n"/>
      <c r="I635" s="67" t="n"/>
      <c r="J635" s="75" t="n"/>
      <c r="K635" s="67" t="n"/>
      <c r="M635" s="53">
        <f>IF($C635="","",IF(OR($C635="CHUNG",COUNTIF(DM_Ma,$C635)&gt;0),"","MÃ LẠ"))</f>
        <v/>
      </c>
      <c r="N635" s="53">
        <f>IF($A635="","",IF(AND($A635&gt;=pTu,$A635&lt;=pDen),"","NGOÀI KỲ"))</f>
        <v/>
      </c>
      <c r="O635" s="53">
        <f>IF($J635="","",IF($J635&lt;=0,"≤0",""))</f>
        <v/>
      </c>
      <c r="P635" s="53">
        <f>IF(AND($D635="SXC (627)",$F635="Chung"),IF(OR($G635="Cố định",$G635="Biến đổi"),"","THIẾU TÍNH CHẤT"),"")</f>
        <v/>
      </c>
    </row>
    <row r="636" ht="15" customHeight="1" s="54">
      <c r="A636" s="71" t="n"/>
      <c r="B636" s="67" t="n"/>
      <c r="C636" s="67" t="n"/>
      <c r="D636" s="67" t="n"/>
      <c r="E636" s="79">
        <f>IFERROR(INDEX(MAP_TK,MATCH($D636,MAP_KM,0)),"")</f>
        <v/>
      </c>
      <c r="F636" s="67" t="n"/>
      <c r="G636" s="67" t="n"/>
      <c r="H636" s="67" t="n"/>
      <c r="I636" s="67" t="n"/>
      <c r="J636" s="75" t="n"/>
      <c r="K636" s="67" t="n"/>
      <c r="M636" s="53">
        <f>IF($C636="","",IF(OR($C636="CHUNG",COUNTIF(DM_Ma,$C636)&gt;0),"","MÃ LẠ"))</f>
        <v/>
      </c>
      <c r="N636" s="53">
        <f>IF($A636="","",IF(AND($A636&gt;=pTu,$A636&lt;=pDen),"","NGOÀI KỲ"))</f>
        <v/>
      </c>
      <c r="O636" s="53">
        <f>IF($J636="","",IF($J636&lt;=0,"≤0",""))</f>
        <v/>
      </c>
      <c r="P636" s="53">
        <f>IF(AND($D636="SXC (627)",$F636="Chung"),IF(OR($G636="Cố định",$G636="Biến đổi"),"","THIẾU TÍNH CHẤT"),"")</f>
        <v/>
      </c>
    </row>
    <row r="637" ht="15" customHeight="1" s="54">
      <c r="A637" s="71" t="n"/>
      <c r="B637" s="67" t="n"/>
      <c r="C637" s="67" t="n"/>
      <c r="D637" s="67" t="n"/>
      <c r="E637" s="79">
        <f>IFERROR(INDEX(MAP_TK,MATCH($D637,MAP_KM,0)),"")</f>
        <v/>
      </c>
      <c r="F637" s="67" t="n"/>
      <c r="G637" s="67" t="n"/>
      <c r="H637" s="67" t="n"/>
      <c r="I637" s="67" t="n"/>
      <c r="J637" s="75" t="n"/>
      <c r="K637" s="67" t="n"/>
      <c r="M637" s="53">
        <f>IF($C637="","",IF(OR($C637="CHUNG",COUNTIF(DM_Ma,$C637)&gt;0),"","MÃ LẠ"))</f>
        <v/>
      </c>
      <c r="N637" s="53">
        <f>IF($A637="","",IF(AND($A637&gt;=pTu,$A637&lt;=pDen),"","NGOÀI KỲ"))</f>
        <v/>
      </c>
      <c r="O637" s="53">
        <f>IF($J637="","",IF($J637&lt;=0,"≤0",""))</f>
        <v/>
      </c>
      <c r="P637" s="53">
        <f>IF(AND($D637="SXC (627)",$F637="Chung"),IF(OR($G637="Cố định",$G637="Biến đổi"),"","THIẾU TÍNH CHẤT"),"")</f>
        <v/>
      </c>
    </row>
    <row r="638" ht="15" customHeight="1" s="54">
      <c r="A638" s="71" t="n"/>
      <c r="B638" s="67" t="n"/>
      <c r="C638" s="67" t="n"/>
      <c r="D638" s="67" t="n"/>
      <c r="E638" s="79">
        <f>IFERROR(INDEX(MAP_TK,MATCH($D638,MAP_KM,0)),"")</f>
        <v/>
      </c>
      <c r="F638" s="67" t="n"/>
      <c r="G638" s="67" t="n"/>
      <c r="H638" s="67" t="n"/>
      <c r="I638" s="67" t="n"/>
      <c r="J638" s="75" t="n"/>
      <c r="K638" s="67" t="n"/>
      <c r="M638" s="53">
        <f>IF($C638="","",IF(OR($C638="CHUNG",COUNTIF(DM_Ma,$C638)&gt;0),"","MÃ LẠ"))</f>
        <v/>
      </c>
      <c r="N638" s="53">
        <f>IF($A638="","",IF(AND($A638&gt;=pTu,$A638&lt;=pDen),"","NGOÀI KỲ"))</f>
        <v/>
      </c>
      <c r="O638" s="53">
        <f>IF($J638="","",IF($J638&lt;=0,"≤0",""))</f>
        <v/>
      </c>
      <c r="P638" s="53">
        <f>IF(AND($D638="SXC (627)",$F638="Chung"),IF(OR($G638="Cố định",$G638="Biến đổi"),"","THIẾU TÍNH CHẤT"),"")</f>
        <v/>
      </c>
    </row>
    <row r="639" ht="15" customHeight="1" s="54">
      <c r="A639" s="71" t="n"/>
      <c r="B639" s="67" t="n"/>
      <c r="C639" s="67" t="n"/>
      <c r="D639" s="67" t="n"/>
      <c r="E639" s="79">
        <f>IFERROR(INDEX(MAP_TK,MATCH($D639,MAP_KM,0)),"")</f>
        <v/>
      </c>
      <c r="F639" s="67" t="n"/>
      <c r="G639" s="67" t="n"/>
      <c r="H639" s="67" t="n"/>
      <c r="I639" s="67" t="n"/>
      <c r="J639" s="75" t="n"/>
      <c r="K639" s="67" t="n"/>
      <c r="M639" s="53">
        <f>IF($C639="","",IF(OR($C639="CHUNG",COUNTIF(DM_Ma,$C639)&gt;0),"","MÃ LẠ"))</f>
        <v/>
      </c>
      <c r="N639" s="53">
        <f>IF($A639="","",IF(AND($A639&gt;=pTu,$A639&lt;=pDen),"","NGOÀI KỲ"))</f>
        <v/>
      </c>
      <c r="O639" s="53">
        <f>IF($J639="","",IF($J639&lt;=0,"≤0",""))</f>
        <v/>
      </c>
      <c r="P639" s="53">
        <f>IF(AND($D639="SXC (627)",$F639="Chung"),IF(OR($G639="Cố định",$G639="Biến đổi"),"","THIẾU TÍNH CHẤT"),"")</f>
        <v/>
      </c>
    </row>
    <row r="640" ht="15" customHeight="1" s="54">
      <c r="A640" s="71" t="n"/>
      <c r="B640" s="67" t="n"/>
      <c r="C640" s="67" t="n"/>
      <c r="D640" s="67" t="n"/>
      <c r="E640" s="79">
        <f>IFERROR(INDEX(MAP_TK,MATCH($D640,MAP_KM,0)),"")</f>
        <v/>
      </c>
      <c r="F640" s="67" t="n"/>
      <c r="G640" s="67" t="n"/>
      <c r="H640" s="67" t="n"/>
      <c r="I640" s="67" t="n"/>
      <c r="J640" s="75" t="n"/>
      <c r="K640" s="67" t="n"/>
      <c r="M640" s="53">
        <f>IF($C640="","",IF(OR($C640="CHUNG",COUNTIF(DM_Ma,$C640)&gt;0),"","MÃ LẠ"))</f>
        <v/>
      </c>
      <c r="N640" s="53">
        <f>IF($A640="","",IF(AND($A640&gt;=pTu,$A640&lt;=pDen),"","NGOÀI KỲ"))</f>
        <v/>
      </c>
      <c r="O640" s="53">
        <f>IF($J640="","",IF($J640&lt;=0,"≤0",""))</f>
        <v/>
      </c>
      <c r="P640" s="53">
        <f>IF(AND($D640="SXC (627)",$F640="Chung"),IF(OR($G640="Cố định",$G640="Biến đổi"),"","THIẾU TÍNH CHẤT"),"")</f>
        <v/>
      </c>
    </row>
    <row r="641" ht="15" customHeight="1" s="54">
      <c r="A641" s="71" t="n"/>
      <c r="B641" s="67" t="n"/>
      <c r="C641" s="67" t="n"/>
      <c r="D641" s="67" t="n"/>
      <c r="E641" s="79">
        <f>IFERROR(INDEX(MAP_TK,MATCH($D641,MAP_KM,0)),"")</f>
        <v/>
      </c>
      <c r="F641" s="67" t="n"/>
      <c r="G641" s="67" t="n"/>
      <c r="H641" s="67" t="n"/>
      <c r="I641" s="67" t="n"/>
      <c r="J641" s="75" t="n"/>
      <c r="K641" s="67" t="n"/>
      <c r="M641" s="53">
        <f>IF($C641="","",IF(OR($C641="CHUNG",COUNTIF(DM_Ma,$C641)&gt;0),"","MÃ LẠ"))</f>
        <v/>
      </c>
      <c r="N641" s="53">
        <f>IF($A641="","",IF(AND($A641&gt;=pTu,$A641&lt;=pDen),"","NGOÀI KỲ"))</f>
        <v/>
      </c>
      <c r="O641" s="53">
        <f>IF($J641="","",IF($J641&lt;=0,"≤0",""))</f>
        <v/>
      </c>
      <c r="P641" s="53">
        <f>IF(AND($D641="SXC (627)",$F641="Chung"),IF(OR($G641="Cố định",$G641="Biến đổi"),"","THIẾU TÍNH CHẤT"),"")</f>
        <v/>
      </c>
    </row>
    <row r="642" ht="15" customHeight="1" s="54">
      <c r="A642" s="71" t="n"/>
      <c r="B642" s="67" t="n"/>
      <c r="C642" s="67" t="n"/>
      <c r="D642" s="67" t="n"/>
      <c r="E642" s="79">
        <f>IFERROR(INDEX(MAP_TK,MATCH($D642,MAP_KM,0)),"")</f>
        <v/>
      </c>
      <c r="F642" s="67" t="n"/>
      <c r="G642" s="67" t="n"/>
      <c r="H642" s="67" t="n"/>
      <c r="I642" s="67" t="n"/>
      <c r="J642" s="75" t="n"/>
      <c r="K642" s="67" t="n"/>
      <c r="M642" s="53">
        <f>IF($C642="","",IF(OR($C642="CHUNG",COUNTIF(DM_Ma,$C642)&gt;0),"","MÃ LẠ"))</f>
        <v/>
      </c>
      <c r="N642" s="53">
        <f>IF($A642="","",IF(AND($A642&gt;=pTu,$A642&lt;=pDen),"","NGOÀI KỲ"))</f>
        <v/>
      </c>
      <c r="O642" s="53">
        <f>IF($J642="","",IF($J642&lt;=0,"≤0",""))</f>
        <v/>
      </c>
      <c r="P642" s="53">
        <f>IF(AND($D642="SXC (627)",$F642="Chung"),IF(OR($G642="Cố định",$G642="Biến đổi"),"","THIẾU TÍNH CHẤT"),"")</f>
        <v/>
      </c>
    </row>
    <row r="643" ht="15" customHeight="1" s="54">
      <c r="A643" s="71" t="n"/>
      <c r="B643" s="67" t="n"/>
      <c r="C643" s="67" t="n"/>
      <c r="D643" s="67" t="n"/>
      <c r="E643" s="79">
        <f>IFERROR(INDEX(MAP_TK,MATCH($D643,MAP_KM,0)),"")</f>
        <v/>
      </c>
      <c r="F643" s="67" t="n"/>
      <c r="G643" s="67" t="n"/>
      <c r="H643" s="67" t="n"/>
      <c r="I643" s="67" t="n"/>
      <c r="J643" s="75" t="n"/>
      <c r="K643" s="67" t="n"/>
      <c r="M643" s="53">
        <f>IF($C643="","",IF(OR($C643="CHUNG",COUNTIF(DM_Ma,$C643)&gt;0),"","MÃ LẠ"))</f>
        <v/>
      </c>
      <c r="N643" s="53">
        <f>IF($A643="","",IF(AND($A643&gt;=pTu,$A643&lt;=pDen),"","NGOÀI KỲ"))</f>
        <v/>
      </c>
      <c r="O643" s="53">
        <f>IF($J643="","",IF($J643&lt;=0,"≤0",""))</f>
        <v/>
      </c>
      <c r="P643" s="53">
        <f>IF(AND($D643="SXC (627)",$F643="Chung"),IF(OR($G643="Cố định",$G643="Biến đổi"),"","THIẾU TÍNH CHẤT"),"")</f>
        <v/>
      </c>
    </row>
    <row r="644" ht="15" customHeight="1" s="54">
      <c r="A644" s="71" t="n"/>
      <c r="B644" s="67" t="n"/>
      <c r="C644" s="67" t="n"/>
      <c r="D644" s="67" t="n"/>
      <c r="E644" s="79">
        <f>IFERROR(INDEX(MAP_TK,MATCH($D644,MAP_KM,0)),"")</f>
        <v/>
      </c>
      <c r="F644" s="67" t="n"/>
      <c r="G644" s="67" t="n"/>
      <c r="H644" s="67" t="n"/>
      <c r="I644" s="67" t="n"/>
      <c r="J644" s="75" t="n"/>
      <c r="K644" s="67" t="n"/>
      <c r="M644" s="53">
        <f>IF($C644="","",IF(OR($C644="CHUNG",COUNTIF(DM_Ma,$C644)&gt;0),"","MÃ LẠ"))</f>
        <v/>
      </c>
      <c r="N644" s="53">
        <f>IF($A644="","",IF(AND($A644&gt;=pTu,$A644&lt;=pDen),"","NGOÀI KỲ"))</f>
        <v/>
      </c>
      <c r="O644" s="53">
        <f>IF($J644="","",IF($J644&lt;=0,"≤0",""))</f>
        <v/>
      </c>
      <c r="P644" s="53">
        <f>IF(AND($D644="SXC (627)",$F644="Chung"),IF(OR($G644="Cố định",$G644="Biến đổi"),"","THIẾU TÍNH CHẤT"),"")</f>
        <v/>
      </c>
    </row>
    <row r="645" ht="15" customHeight="1" s="54">
      <c r="A645" s="71" t="n"/>
      <c r="B645" s="67" t="n"/>
      <c r="C645" s="67" t="n"/>
      <c r="D645" s="67" t="n"/>
      <c r="E645" s="79">
        <f>IFERROR(INDEX(MAP_TK,MATCH($D645,MAP_KM,0)),"")</f>
        <v/>
      </c>
      <c r="F645" s="67" t="n"/>
      <c r="G645" s="67" t="n"/>
      <c r="H645" s="67" t="n"/>
      <c r="I645" s="67" t="n"/>
      <c r="J645" s="75" t="n"/>
      <c r="K645" s="67" t="n"/>
      <c r="M645" s="53">
        <f>IF($C645="","",IF(OR($C645="CHUNG",COUNTIF(DM_Ma,$C645)&gt;0),"","MÃ LẠ"))</f>
        <v/>
      </c>
      <c r="N645" s="53">
        <f>IF($A645="","",IF(AND($A645&gt;=pTu,$A645&lt;=pDen),"","NGOÀI KỲ"))</f>
        <v/>
      </c>
      <c r="O645" s="53">
        <f>IF($J645="","",IF($J645&lt;=0,"≤0",""))</f>
        <v/>
      </c>
      <c r="P645" s="53">
        <f>IF(AND($D645="SXC (627)",$F645="Chung"),IF(OR($G645="Cố định",$G645="Biến đổi"),"","THIẾU TÍNH CHẤT"),"")</f>
        <v/>
      </c>
    </row>
    <row r="646" ht="15" customHeight="1" s="54">
      <c r="A646" s="71" t="n"/>
      <c r="B646" s="67" t="n"/>
      <c r="C646" s="67" t="n"/>
      <c r="D646" s="67" t="n"/>
      <c r="E646" s="79">
        <f>IFERROR(INDEX(MAP_TK,MATCH($D646,MAP_KM,0)),"")</f>
        <v/>
      </c>
      <c r="F646" s="67" t="n"/>
      <c r="G646" s="67" t="n"/>
      <c r="H646" s="67" t="n"/>
      <c r="I646" s="67" t="n"/>
      <c r="J646" s="75" t="n"/>
      <c r="K646" s="67" t="n"/>
      <c r="M646" s="53">
        <f>IF($C646="","",IF(OR($C646="CHUNG",COUNTIF(DM_Ma,$C646)&gt;0),"","MÃ LẠ"))</f>
        <v/>
      </c>
      <c r="N646" s="53">
        <f>IF($A646="","",IF(AND($A646&gt;=pTu,$A646&lt;=pDen),"","NGOÀI KỲ"))</f>
        <v/>
      </c>
      <c r="O646" s="53">
        <f>IF($J646="","",IF($J646&lt;=0,"≤0",""))</f>
        <v/>
      </c>
      <c r="P646" s="53">
        <f>IF(AND($D646="SXC (627)",$F646="Chung"),IF(OR($G646="Cố định",$G646="Biến đổi"),"","THIẾU TÍNH CHẤT"),"")</f>
        <v/>
      </c>
    </row>
    <row r="647" ht="15" customHeight="1" s="54">
      <c r="A647" s="71" t="n"/>
      <c r="B647" s="67" t="n"/>
      <c r="C647" s="67" t="n"/>
      <c r="D647" s="67" t="n"/>
      <c r="E647" s="79">
        <f>IFERROR(INDEX(MAP_TK,MATCH($D647,MAP_KM,0)),"")</f>
        <v/>
      </c>
      <c r="F647" s="67" t="n"/>
      <c r="G647" s="67" t="n"/>
      <c r="H647" s="67" t="n"/>
      <c r="I647" s="67" t="n"/>
      <c r="J647" s="75" t="n"/>
      <c r="K647" s="67" t="n"/>
      <c r="M647" s="53">
        <f>IF($C647="","",IF(OR($C647="CHUNG",COUNTIF(DM_Ma,$C647)&gt;0),"","MÃ LẠ"))</f>
        <v/>
      </c>
      <c r="N647" s="53">
        <f>IF($A647="","",IF(AND($A647&gt;=pTu,$A647&lt;=pDen),"","NGOÀI KỲ"))</f>
        <v/>
      </c>
      <c r="O647" s="53">
        <f>IF($J647="","",IF($J647&lt;=0,"≤0",""))</f>
        <v/>
      </c>
      <c r="P647" s="53">
        <f>IF(AND($D647="SXC (627)",$F647="Chung"),IF(OR($G647="Cố định",$G647="Biến đổi"),"","THIẾU TÍNH CHẤT"),"")</f>
        <v/>
      </c>
    </row>
    <row r="648" ht="15" customHeight="1" s="54">
      <c r="A648" s="71" t="n"/>
      <c r="B648" s="67" t="n"/>
      <c r="C648" s="67" t="n"/>
      <c r="D648" s="67" t="n"/>
      <c r="E648" s="79">
        <f>IFERROR(INDEX(MAP_TK,MATCH($D648,MAP_KM,0)),"")</f>
        <v/>
      </c>
      <c r="F648" s="67" t="n"/>
      <c r="G648" s="67" t="n"/>
      <c r="H648" s="67" t="n"/>
      <c r="I648" s="67" t="n"/>
      <c r="J648" s="75" t="n"/>
      <c r="K648" s="67" t="n"/>
      <c r="M648" s="53">
        <f>IF($C648="","",IF(OR($C648="CHUNG",COUNTIF(DM_Ma,$C648)&gt;0),"","MÃ LẠ"))</f>
        <v/>
      </c>
      <c r="N648" s="53">
        <f>IF($A648="","",IF(AND($A648&gt;=pTu,$A648&lt;=pDen),"","NGOÀI KỲ"))</f>
        <v/>
      </c>
      <c r="O648" s="53">
        <f>IF($J648="","",IF($J648&lt;=0,"≤0",""))</f>
        <v/>
      </c>
      <c r="P648" s="53">
        <f>IF(AND($D648="SXC (627)",$F648="Chung"),IF(OR($G648="Cố định",$G648="Biến đổi"),"","THIẾU TÍNH CHẤT"),"")</f>
        <v/>
      </c>
    </row>
    <row r="649" ht="15" customHeight="1" s="54">
      <c r="A649" s="71" t="n"/>
      <c r="B649" s="67" t="n"/>
      <c r="C649" s="67" t="n"/>
      <c r="D649" s="67" t="n"/>
      <c r="E649" s="79">
        <f>IFERROR(INDEX(MAP_TK,MATCH($D649,MAP_KM,0)),"")</f>
        <v/>
      </c>
      <c r="F649" s="67" t="n"/>
      <c r="G649" s="67" t="n"/>
      <c r="H649" s="67" t="n"/>
      <c r="I649" s="67" t="n"/>
      <c r="J649" s="75" t="n"/>
      <c r="K649" s="67" t="n"/>
      <c r="M649" s="53">
        <f>IF($C649="","",IF(OR($C649="CHUNG",COUNTIF(DM_Ma,$C649)&gt;0),"","MÃ LẠ"))</f>
        <v/>
      </c>
      <c r="N649" s="53">
        <f>IF($A649="","",IF(AND($A649&gt;=pTu,$A649&lt;=pDen),"","NGOÀI KỲ"))</f>
        <v/>
      </c>
      <c r="O649" s="53">
        <f>IF($J649="","",IF($J649&lt;=0,"≤0",""))</f>
        <v/>
      </c>
      <c r="P649" s="53">
        <f>IF(AND($D649="SXC (627)",$F649="Chung"),IF(OR($G649="Cố định",$G649="Biến đổi"),"","THIẾU TÍNH CHẤT"),"")</f>
        <v/>
      </c>
    </row>
    <row r="650" ht="15" customHeight="1" s="54">
      <c r="A650" s="71" t="n"/>
      <c r="B650" s="67" t="n"/>
      <c r="C650" s="67" t="n"/>
      <c r="D650" s="67" t="n"/>
      <c r="E650" s="79">
        <f>IFERROR(INDEX(MAP_TK,MATCH($D650,MAP_KM,0)),"")</f>
        <v/>
      </c>
      <c r="F650" s="67" t="n"/>
      <c r="G650" s="67" t="n"/>
      <c r="H650" s="67" t="n"/>
      <c r="I650" s="67" t="n"/>
      <c r="J650" s="75" t="n"/>
      <c r="K650" s="67" t="n"/>
      <c r="M650" s="53">
        <f>IF($C650="","",IF(OR($C650="CHUNG",COUNTIF(DM_Ma,$C650)&gt;0),"","MÃ LẠ"))</f>
        <v/>
      </c>
      <c r="N650" s="53">
        <f>IF($A650="","",IF(AND($A650&gt;=pTu,$A650&lt;=pDen),"","NGOÀI KỲ"))</f>
        <v/>
      </c>
      <c r="O650" s="53">
        <f>IF($J650="","",IF($J650&lt;=0,"≤0",""))</f>
        <v/>
      </c>
      <c r="P650" s="53">
        <f>IF(AND($D650="SXC (627)",$F650="Chung"),IF(OR($G650="Cố định",$G650="Biến đổi"),"","THIẾU TÍNH CHẤT"),"")</f>
        <v/>
      </c>
    </row>
    <row r="651" ht="15" customHeight="1" s="54">
      <c r="A651" s="71" t="n"/>
      <c r="B651" s="67" t="n"/>
      <c r="C651" s="67" t="n"/>
      <c r="D651" s="67" t="n"/>
      <c r="E651" s="79">
        <f>IFERROR(INDEX(MAP_TK,MATCH($D651,MAP_KM,0)),"")</f>
        <v/>
      </c>
      <c r="F651" s="67" t="n"/>
      <c r="G651" s="67" t="n"/>
      <c r="H651" s="67" t="n"/>
      <c r="I651" s="67" t="n"/>
      <c r="J651" s="75" t="n"/>
      <c r="K651" s="67" t="n"/>
      <c r="M651" s="53">
        <f>IF($C651="","",IF(OR($C651="CHUNG",COUNTIF(DM_Ma,$C651)&gt;0),"","MÃ LẠ"))</f>
        <v/>
      </c>
      <c r="N651" s="53">
        <f>IF($A651="","",IF(AND($A651&gt;=pTu,$A651&lt;=pDen),"","NGOÀI KỲ"))</f>
        <v/>
      </c>
      <c r="O651" s="53">
        <f>IF($J651="","",IF($J651&lt;=0,"≤0",""))</f>
        <v/>
      </c>
      <c r="P651" s="53">
        <f>IF(AND($D651="SXC (627)",$F651="Chung"),IF(OR($G651="Cố định",$G651="Biến đổi"),"","THIẾU TÍNH CHẤT"),"")</f>
        <v/>
      </c>
    </row>
    <row r="652" ht="15" customHeight="1" s="54">
      <c r="A652" s="71" t="n"/>
      <c r="B652" s="67" t="n"/>
      <c r="C652" s="67" t="n"/>
      <c r="D652" s="67" t="n"/>
      <c r="E652" s="79">
        <f>IFERROR(INDEX(MAP_TK,MATCH($D652,MAP_KM,0)),"")</f>
        <v/>
      </c>
      <c r="F652" s="67" t="n"/>
      <c r="G652" s="67" t="n"/>
      <c r="H652" s="67" t="n"/>
      <c r="I652" s="67" t="n"/>
      <c r="J652" s="75" t="n"/>
      <c r="K652" s="67" t="n"/>
      <c r="M652" s="53">
        <f>IF($C652="","",IF(OR($C652="CHUNG",COUNTIF(DM_Ma,$C652)&gt;0),"","MÃ LẠ"))</f>
        <v/>
      </c>
      <c r="N652" s="53">
        <f>IF($A652="","",IF(AND($A652&gt;=pTu,$A652&lt;=pDen),"","NGOÀI KỲ"))</f>
        <v/>
      </c>
      <c r="O652" s="53">
        <f>IF($J652="","",IF($J652&lt;=0,"≤0",""))</f>
        <v/>
      </c>
      <c r="P652" s="53">
        <f>IF(AND($D652="SXC (627)",$F652="Chung"),IF(OR($G652="Cố định",$G652="Biến đổi"),"","THIẾU TÍNH CHẤT"),"")</f>
        <v/>
      </c>
    </row>
    <row r="653" ht="15" customHeight="1" s="54">
      <c r="A653" s="71" t="n"/>
      <c r="B653" s="67" t="n"/>
      <c r="C653" s="67" t="n"/>
      <c r="D653" s="67" t="n"/>
      <c r="E653" s="79">
        <f>IFERROR(INDEX(MAP_TK,MATCH($D653,MAP_KM,0)),"")</f>
        <v/>
      </c>
      <c r="F653" s="67" t="n"/>
      <c r="G653" s="67" t="n"/>
      <c r="H653" s="67" t="n"/>
      <c r="I653" s="67" t="n"/>
      <c r="J653" s="75" t="n"/>
      <c r="K653" s="67" t="n"/>
      <c r="M653" s="53">
        <f>IF($C653="","",IF(OR($C653="CHUNG",COUNTIF(DM_Ma,$C653)&gt;0),"","MÃ LẠ"))</f>
        <v/>
      </c>
      <c r="N653" s="53">
        <f>IF($A653="","",IF(AND($A653&gt;=pTu,$A653&lt;=pDen),"","NGOÀI KỲ"))</f>
        <v/>
      </c>
      <c r="O653" s="53">
        <f>IF($J653="","",IF($J653&lt;=0,"≤0",""))</f>
        <v/>
      </c>
      <c r="P653" s="53">
        <f>IF(AND($D653="SXC (627)",$F653="Chung"),IF(OR($G653="Cố định",$G653="Biến đổi"),"","THIẾU TÍNH CHẤT"),"")</f>
        <v/>
      </c>
    </row>
    <row r="654" ht="15" customHeight="1" s="54">
      <c r="A654" s="71" t="n"/>
      <c r="B654" s="67" t="n"/>
      <c r="C654" s="67" t="n"/>
      <c r="D654" s="67" t="n"/>
      <c r="E654" s="79">
        <f>IFERROR(INDEX(MAP_TK,MATCH($D654,MAP_KM,0)),"")</f>
        <v/>
      </c>
      <c r="F654" s="67" t="n"/>
      <c r="G654" s="67" t="n"/>
      <c r="H654" s="67" t="n"/>
      <c r="I654" s="67" t="n"/>
      <c r="J654" s="75" t="n"/>
      <c r="K654" s="67" t="n"/>
      <c r="M654" s="53">
        <f>IF($C654="","",IF(OR($C654="CHUNG",COUNTIF(DM_Ma,$C654)&gt;0),"","MÃ LẠ"))</f>
        <v/>
      </c>
      <c r="N654" s="53">
        <f>IF($A654="","",IF(AND($A654&gt;=pTu,$A654&lt;=pDen),"","NGOÀI KỲ"))</f>
        <v/>
      </c>
      <c r="O654" s="53">
        <f>IF($J654="","",IF($J654&lt;=0,"≤0",""))</f>
        <v/>
      </c>
      <c r="P654" s="53">
        <f>IF(AND($D654="SXC (627)",$F654="Chung"),IF(OR($G654="Cố định",$G654="Biến đổi"),"","THIẾU TÍNH CHẤT"),"")</f>
        <v/>
      </c>
    </row>
    <row r="655" ht="15" customHeight="1" s="54">
      <c r="A655" s="71" t="n"/>
      <c r="B655" s="67" t="n"/>
      <c r="C655" s="67" t="n"/>
      <c r="D655" s="67" t="n"/>
      <c r="E655" s="79">
        <f>IFERROR(INDEX(MAP_TK,MATCH($D655,MAP_KM,0)),"")</f>
        <v/>
      </c>
      <c r="F655" s="67" t="n"/>
      <c r="G655" s="67" t="n"/>
      <c r="H655" s="67" t="n"/>
      <c r="I655" s="67" t="n"/>
      <c r="J655" s="75" t="n"/>
      <c r="K655" s="67" t="n"/>
      <c r="M655" s="53">
        <f>IF($C655="","",IF(OR($C655="CHUNG",COUNTIF(DM_Ma,$C655)&gt;0),"","MÃ LẠ"))</f>
        <v/>
      </c>
      <c r="N655" s="53">
        <f>IF($A655="","",IF(AND($A655&gt;=pTu,$A655&lt;=pDen),"","NGOÀI KỲ"))</f>
        <v/>
      </c>
      <c r="O655" s="53">
        <f>IF($J655="","",IF($J655&lt;=0,"≤0",""))</f>
        <v/>
      </c>
      <c r="P655" s="53">
        <f>IF(AND($D655="SXC (627)",$F655="Chung"),IF(OR($G655="Cố định",$G655="Biến đổi"),"","THIẾU TÍNH CHẤT"),"")</f>
        <v/>
      </c>
    </row>
    <row r="656" ht="15" customHeight="1" s="54">
      <c r="A656" s="71" t="n"/>
      <c r="B656" s="67" t="n"/>
      <c r="C656" s="67" t="n"/>
      <c r="D656" s="67" t="n"/>
      <c r="E656" s="79">
        <f>IFERROR(INDEX(MAP_TK,MATCH($D656,MAP_KM,0)),"")</f>
        <v/>
      </c>
      <c r="F656" s="67" t="n"/>
      <c r="G656" s="67" t="n"/>
      <c r="H656" s="67" t="n"/>
      <c r="I656" s="67" t="n"/>
      <c r="J656" s="75" t="n"/>
      <c r="K656" s="67" t="n"/>
      <c r="M656" s="53">
        <f>IF($C656="","",IF(OR($C656="CHUNG",COUNTIF(DM_Ma,$C656)&gt;0),"","MÃ LẠ"))</f>
        <v/>
      </c>
      <c r="N656" s="53">
        <f>IF($A656="","",IF(AND($A656&gt;=pTu,$A656&lt;=pDen),"","NGOÀI KỲ"))</f>
        <v/>
      </c>
      <c r="O656" s="53">
        <f>IF($J656="","",IF($J656&lt;=0,"≤0",""))</f>
        <v/>
      </c>
      <c r="P656" s="53">
        <f>IF(AND($D656="SXC (627)",$F656="Chung"),IF(OR($G656="Cố định",$G656="Biến đổi"),"","THIẾU TÍNH CHẤT"),"")</f>
        <v/>
      </c>
    </row>
    <row r="657" ht="15" customHeight="1" s="54">
      <c r="A657" s="71" t="n"/>
      <c r="B657" s="67" t="n"/>
      <c r="C657" s="67" t="n"/>
      <c r="D657" s="67" t="n"/>
      <c r="E657" s="79">
        <f>IFERROR(INDEX(MAP_TK,MATCH($D657,MAP_KM,0)),"")</f>
        <v/>
      </c>
      <c r="F657" s="67" t="n"/>
      <c r="G657" s="67" t="n"/>
      <c r="H657" s="67" t="n"/>
      <c r="I657" s="67" t="n"/>
      <c r="J657" s="75" t="n"/>
      <c r="K657" s="67" t="n"/>
      <c r="M657" s="53">
        <f>IF($C657="","",IF(OR($C657="CHUNG",COUNTIF(DM_Ma,$C657)&gt;0),"","MÃ LẠ"))</f>
        <v/>
      </c>
      <c r="N657" s="53">
        <f>IF($A657="","",IF(AND($A657&gt;=pTu,$A657&lt;=pDen),"","NGOÀI KỲ"))</f>
        <v/>
      </c>
      <c r="O657" s="53">
        <f>IF($J657="","",IF($J657&lt;=0,"≤0",""))</f>
        <v/>
      </c>
      <c r="P657" s="53">
        <f>IF(AND($D657="SXC (627)",$F657="Chung"),IF(OR($G657="Cố định",$G657="Biến đổi"),"","THIẾU TÍNH CHẤT"),"")</f>
        <v/>
      </c>
    </row>
    <row r="658" ht="15" customHeight="1" s="54">
      <c r="A658" s="71" t="n"/>
      <c r="B658" s="67" t="n"/>
      <c r="C658" s="67" t="n"/>
      <c r="D658" s="67" t="n"/>
      <c r="E658" s="79">
        <f>IFERROR(INDEX(MAP_TK,MATCH($D658,MAP_KM,0)),"")</f>
        <v/>
      </c>
      <c r="F658" s="67" t="n"/>
      <c r="G658" s="67" t="n"/>
      <c r="H658" s="67" t="n"/>
      <c r="I658" s="67" t="n"/>
      <c r="J658" s="75" t="n"/>
      <c r="K658" s="67" t="n"/>
      <c r="M658" s="53">
        <f>IF($C658="","",IF(OR($C658="CHUNG",COUNTIF(DM_Ma,$C658)&gt;0),"","MÃ LẠ"))</f>
        <v/>
      </c>
      <c r="N658" s="53">
        <f>IF($A658="","",IF(AND($A658&gt;=pTu,$A658&lt;=pDen),"","NGOÀI KỲ"))</f>
        <v/>
      </c>
      <c r="O658" s="53">
        <f>IF($J658="","",IF($J658&lt;=0,"≤0",""))</f>
        <v/>
      </c>
      <c r="P658" s="53">
        <f>IF(AND($D658="SXC (627)",$F658="Chung"),IF(OR($G658="Cố định",$G658="Biến đổi"),"","THIẾU TÍNH CHẤT"),"")</f>
        <v/>
      </c>
    </row>
    <row r="659" ht="15" customHeight="1" s="54">
      <c r="A659" s="71" t="n"/>
      <c r="B659" s="67" t="n"/>
      <c r="C659" s="67" t="n"/>
      <c r="D659" s="67" t="n"/>
      <c r="E659" s="79">
        <f>IFERROR(INDEX(MAP_TK,MATCH($D659,MAP_KM,0)),"")</f>
        <v/>
      </c>
      <c r="F659" s="67" t="n"/>
      <c r="G659" s="67" t="n"/>
      <c r="H659" s="67" t="n"/>
      <c r="I659" s="67" t="n"/>
      <c r="J659" s="75" t="n"/>
      <c r="K659" s="67" t="n"/>
      <c r="M659" s="53">
        <f>IF($C659="","",IF(OR($C659="CHUNG",COUNTIF(DM_Ma,$C659)&gt;0),"","MÃ LẠ"))</f>
        <v/>
      </c>
      <c r="N659" s="53">
        <f>IF($A659="","",IF(AND($A659&gt;=pTu,$A659&lt;=pDen),"","NGOÀI KỲ"))</f>
        <v/>
      </c>
      <c r="O659" s="53">
        <f>IF($J659="","",IF($J659&lt;=0,"≤0",""))</f>
        <v/>
      </c>
      <c r="P659" s="53">
        <f>IF(AND($D659="SXC (627)",$F659="Chung"),IF(OR($G659="Cố định",$G659="Biến đổi"),"","THIẾU TÍNH CHẤT"),"")</f>
        <v/>
      </c>
    </row>
    <row r="660" ht="15" customHeight="1" s="54">
      <c r="A660" s="71" t="n"/>
      <c r="B660" s="67" t="n"/>
      <c r="C660" s="67" t="n"/>
      <c r="D660" s="67" t="n"/>
      <c r="E660" s="79">
        <f>IFERROR(INDEX(MAP_TK,MATCH($D660,MAP_KM,0)),"")</f>
        <v/>
      </c>
      <c r="F660" s="67" t="n"/>
      <c r="G660" s="67" t="n"/>
      <c r="H660" s="67" t="n"/>
      <c r="I660" s="67" t="n"/>
      <c r="J660" s="75" t="n"/>
      <c r="K660" s="67" t="n"/>
      <c r="M660" s="53">
        <f>IF($C660="","",IF(OR($C660="CHUNG",COUNTIF(DM_Ma,$C660)&gt;0),"","MÃ LẠ"))</f>
        <v/>
      </c>
      <c r="N660" s="53">
        <f>IF($A660="","",IF(AND($A660&gt;=pTu,$A660&lt;=pDen),"","NGOÀI KỲ"))</f>
        <v/>
      </c>
      <c r="O660" s="53">
        <f>IF($J660="","",IF($J660&lt;=0,"≤0",""))</f>
        <v/>
      </c>
      <c r="P660" s="53">
        <f>IF(AND($D660="SXC (627)",$F660="Chung"),IF(OR($G660="Cố định",$G660="Biến đổi"),"","THIẾU TÍNH CHẤT"),"")</f>
        <v/>
      </c>
    </row>
    <row r="661" ht="15" customHeight="1" s="54">
      <c r="A661" s="71" t="n"/>
      <c r="B661" s="67" t="n"/>
      <c r="C661" s="67" t="n"/>
      <c r="D661" s="67" t="n"/>
      <c r="E661" s="79">
        <f>IFERROR(INDEX(MAP_TK,MATCH($D661,MAP_KM,0)),"")</f>
        <v/>
      </c>
      <c r="F661" s="67" t="n"/>
      <c r="G661" s="67" t="n"/>
      <c r="H661" s="67" t="n"/>
      <c r="I661" s="67" t="n"/>
      <c r="J661" s="75" t="n"/>
      <c r="K661" s="67" t="n"/>
      <c r="M661" s="53">
        <f>IF($C661="","",IF(OR($C661="CHUNG",COUNTIF(DM_Ma,$C661)&gt;0),"","MÃ LẠ"))</f>
        <v/>
      </c>
      <c r="N661" s="53">
        <f>IF($A661="","",IF(AND($A661&gt;=pTu,$A661&lt;=pDen),"","NGOÀI KỲ"))</f>
        <v/>
      </c>
      <c r="O661" s="53">
        <f>IF($J661="","",IF($J661&lt;=0,"≤0",""))</f>
        <v/>
      </c>
      <c r="P661" s="53">
        <f>IF(AND($D661="SXC (627)",$F661="Chung"),IF(OR($G661="Cố định",$G661="Biến đổi"),"","THIẾU TÍNH CHẤT"),"")</f>
        <v/>
      </c>
    </row>
    <row r="662" ht="15" customHeight="1" s="54">
      <c r="A662" s="71" t="n"/>
      <c r="B662" s="67" t="n"/>
      <c r="C662" s="67" t="n"/>
      <c r="D662" s="67" t="n"/>
      <c r="E662" s="79">
        <f>IFERROR(INDEX(MAP_TK,MATCH($D662,MAP_KM,0)),"")</f>
        <v/>
      </c>
      <c r="F662" s="67" t="n"/>
      <c r="G662" s="67" t="n"/>
      <c r="H662" s="67" t="n"/>
      <c r="I662" s="67" t="n"/>
      <c r="J662" s="75" t="n"/>
      <c r="K662" s="67" t="n"/>
      <c r="M662" s="53">
        <f>IF($C662="","",IF(OR($C662="CHUNG",COUNTIF(DM_Ma,$C662)&gt;0),"","MÃ LẠ"))</f>
        <v/>
      </c>
      <c r="N662" s="53">
        <f>IF($A662="","",IF(AND($A662&gt;=pTu,$A662&lt;=pDen),"","NGOÀI KỲ"))</f>
        <v/>
      </c>
      <c r="O662" s="53">
        <f>IF($J662="","",IF($J662&lt;=0,"≤0",""))</f>
        <v/>
      </c>
      <c r="P662" s="53">
        <f>IF(AND($D662="SXC (627)",$F662="Chung"),IF(OR($G662="Cố định",$G662="Biến đổi"),"","THIẾU TÍNH CHẤT"),"")</f>
        <v/>
      </c>
    </row>
    <row r="663" ht="15" customHeight="1" s="54">
      <c r="A663" s="71" t="n"/>
      <c r="B663" s="67" t="n"/>
      <c r="C663" s="67" t="n"/>
      <c r="D663" s="67" t="n"/>
      <c r="E663" s="79">
        <f>IFERROR(INDEX(MAP_TK,MATCH($D663,MAP_KM,0)),"")</f>
        <v/>
      </c>
      <c r="F663" s="67" t="n"/>
      <c r="G663" s="67" t="n"/>
      <c r="H663" s="67" t="n"/>
      <c r="I663" s="67" t="n"/>
      <c r="J663" s="75" t="n"/>
      <c r="K663" s="67" t="n"/>
      <c r="M663" s="53">
        <f>IF($C663="","",IF(OR($C663="CHUNG",COUNTIF(DM_Ma,$C663)&gt;0),"","MÃ LẠ"))</f>
        <v/>
      </c>
      <c r="N663" s="53">
        <f>IF($A663="","",IF(AND($A663&gt;=pTu,$A663&lt;=pDen),"","NGOÀI KỲ"))</f>
        <v/>
      </c>
      <c r="O663" s="53">
        <f>IF($J663="","",IF($J663&lt;=0,"≤0",""))</f>
        <v/>
      </c>
      <c r="P663" s="53">
        <f>IF(AND($D663="SXC (627)",$F663="Chung"),IF(OR($G663="Cố định",$G663="Biến đổi"),"","THIẾU TÍNH CHẤT"),"")</f>
        <v/>
      </c>
    </row>
    <row r="664" ht="15" customHeight="1" s="54">
      <c r="A664" s="71" t="n"/>
      <c r="B664" s="67" t="n"/>
      <c r="C664" s="67" t="n"/>
      <c r="D664" s="67" t="n"/>
      <c r="E664" s="79">
        <f>IFERROR(INDEX(MAP_TK,MATCH($D664,MAP_KM,0)),"")</f>
        <v/>
      </c>
      <c r="F664" s="67" t="n"/>
      <c r="G664" s="67" t="n"/>
      <c r="H664" s="67" t="n"/>
      <c r="I664" s="67" t="n"/>
      <c r="J664" s="75" t="n"/>
      <c r="K664" s="67" t="n"/>
      <c r="M664" s="53">
        <f>IF($C664="","",IF(OR($C664="CHUNG",COUNTIF(DM_Ma,$C664)&gt;0),"","MÃ LẠ"))</f>
        <v/>
      </c>
      <c r="N664" s="53">
        <f>IF($A664="","",IF(AND($A664&gt;=pTu,$A664&lt;=pDen),"","NGOÀI KỲ"))</f>
        <v/>
      </c>
      <c r="O664" s="53">
        <f>IF($J664="","",IF($J664&lt;=0,"≤0",""))</f>
        <v/>
      </c>
      <c r="P664" s="53">
        <f>IF(AND($D664="SXC (627)",$F664="Chung"),IF(OR($G664="Cố định",$G664="Biến đổi"),"","THIẾU TÍNH CHẤT"),"")</f>
        <v/>
      </c>
    </row>
    <row r="665" ht="15" customHeight="1" s="54">
      <c r="A665" s="71" t="n"/>
      <c r="B665" s="67" t="n"/>
      <c r="C665" s="67" t="n"/>
      <c r="D665" s="67" t="n"/>
      <c r="E665" s="79">
        <f>IFERROR(INDEX(MAP_TK,MATCH($D665,MAP_KM,0)),"")</f>
        <v/>
      </c>
      <c r="F665" s="67" t="n"/>
      <c r="G665" s="67" t="n"/>
      <c r="H665" s="67" t="n"/>
      <c r="I665" s="67" t="n"/>
      <c r="J665" s="75" t="n"/>
      <c r="K665" s="67" t="n"/>
      <c r="M665" s="53">
        <f>IF($C665="","",IF(OR($C665="CHUNG",COUNTIF(DM_Ma,$C665)&gt;0),"","MÃ LẠ"))</f>
        <v/>
      </c>
      <c r="N665" s="53">
        <f>IF($A665="","",IF(AND($A665&gt;=pTu,$A665&lt;=pDen),"","NGOÀI KỲ"))</f>
        <v/>
      </c>
      <c r="O665" s="53">
        <f>IF($J665="","",IF($J665&lt;=0,"≤0",""))</f>
        <v/>
      </c>
      <c r="P665" s="53">
        <f>IF(AND($D665="SXC (627)",$F665="Chung"),IF(OR($G665="Cố định",$G665="Biến đổi"),"","THIẾU TÍNH CHẤT"),"")</f>
        <v/>
      </c>
    </row>
    <row r="666" ht="15" customHeight="1" s="54">
      <c r="A666" s="71" t="n"/>
      <c r="B666" s="67" t="n"/>
      <c r="C666" s="67" t="n"/>
      <c r="D666" s="67" t="n"/>
      <c r="E666" s="79">
        <f>IFERROR(INDEX(MAP_TK,MATCH($D666,MAP_KM,0)),"")</f>
        <v/>
      </c>
      <c r="F666" s="67" t="n"/>
      <c r="G666" s="67" t="n"/>
      <c r="H666" s="67" t="n"/>
      <c r="I666" s="67" t="n"/>
      <c r="J666" s="75" t="n"/>
      <c r="K666" s="67" t="n"/>
      <c r="M666" s="53">
        <f>IF($C666="","",IF(OR($C666="CHUNG",COUNTIF(DM_Ma,$C666)&gt;0),"","MÃ LẠ"))</f>
        <v/>
      </c>
      <c r="N666" s="53">
        <f>IF($A666="","",IF(AND($A666&gt;=pTu,$A666&lt;=pDen),"","NGOÀI KỲ"))</f>
        <v/>
      </c>
      <c r="O666" s="53">
        <f>IF($J666="","",IF($J666&lt;=0,"≤0",""))</f>
        <v/>
      </c>
      <c r="P666" s="53">
        <f>IF(AND($D666="SXC (627)",$F666="Chung"),IF(OR($G666="Cố định",$G666="Biến đổi"),"","THIẾU TÍNH CHẤT"),"")</f>
        <v/>
      </c>
    </row>
    <row r="667" ht="15" customHeight="1" s="54">
      <c r="A667" s="71" t="n"/>
      <c r="B667" s="67" t="n"/>
      <c r="C667" s="67" t="n"/>
      <c r="D667" s="67" t="n"/>
      <c r="E667" s="79">
        <f>IFERROR(INDEX(MAP_TK,MATCH($D667,MAP_KM,0)),"")</f>
        <v/>
      </c>
      <c r="F667" s="67" t="n"/>
      <c r="G667" s="67" t="n"/>
      <c r="H667" s="67" t="n"/>
      <c r="I667" s="67" t="n"/>
      <c r="J667" s="75" t="n"/>
      <c r="K667" s="67" t="n"/>
      <c r="M667" s="53">
        <f>IF($C667="","",IF(OR($C667="CHUNG",COUNTIF(DM_Ma,$C667)&gt;0),"","MÃ LẠ"))</f>
        <v/>
      </c>
      <c r="N667" s="53">
        <f>IF($A667="","",IF(AND($A667&gt;=pTu,$A667&lt;=pDen),"","NGOÀI KỲ"))</f>
        <v/>
      </c>
      <c r="O667" s="53">
        <f>IF($J667="","",IF($J667&lt;=0,"≤0",""))</f>
        <v/>
      </c>
      <c r="P667" s="53">
        <f>IF(AND($D667="SXC (627)",$F667="Chung"),IF(OR($G667="Cố định",$G667="Biến đổi"),"","THIẾU TÍNH CHẤT"),"")</f>
        <v/>
      </c>
    </row>
    <row r="668" ht="15" customHeight="1" s="54">
      <c r="A668" s="71" t="n"/>
      <c r="B668" s="67" t="n"/>
      <c r="C668" s="67" t="n"/>
      <c r="D668" s="67" t="n"/>
      <c r="E668" s="79">
        <f>IFERROR(INDEX(MAP_TK,MATCH($D668,MAP_KM,0)),"")</f>
        <v/>
      </c>
      <c r="F668" s="67" t="n"/>
      <c r="G668" s="67" t="n"/>
      <c r="H668" s="67" t="n"/>
      <c r="I668" s="67" t="n"/>
      <c r="J668" s="75" t="n"/>
      <c r="K668" s="67" t="n"/>
      <c r="M668" s="53">
        <f>IF($C668="","",IF(OR($C668="CHUNG",COUNTIF(DM_Ma,$C668)&gt;0),"","MÃ LẠ"))</f>
        <v/>
      </c>
      <c r="N668" s="53">
        <f>IF($A668="","",IF(AND($A668&gt;=pTu,$A668&lt;=pDen),"","NGOÀI KỲ"))</f>
        <v/>
      </c>
      <c r="O668" s="53">
        <f>IF($J668="","",IF($J668&lt;=0,"≤0",""))</f>
        <v/>
      </c>
      <c r="P668" s="53">
        <f>IF(AND($D668="SXC (627)",$F668="Chung"),IF(OR($G668="Cố định",$G668="Biến đổi"),"","THIẾU TÍNH CHẤT"),"")</f>
        <v/>
      </c>
    </row>
    <row r="669" ht="15" customHeight="1" s="54">
      <c r="A669" s="71" t="n"/>
      <c r="B669" s="67" t="n"/>
      <c r="C669" s="67" t="n"/>
      <c r="D669" s="67" t="n"/>
      <c r="E669" s="79">
        <f>IFERROR(INDEX(MAP_TK,MATCH($D669,MAP_KM,0)),"")</f>
        <v/>
      </c>
      <c r="F669" s="67" t="n"/>
      <c r="G669" s="67" t="n"/>
      <c r="H669" s="67" t="n"/>
      <c r="I669" s="67" t="n"/>
      <c r="J669" s="75" t="n"/>
      <c r="K669" s="67" t="n"/>
      <c r="M669" s="53">
        <f>IF($C669="","",IF(OR($C669="CHUNG",COUNTIF(DM_Ma,$C669)&gt;0),"","MÃ LẠ"))</f>
        <v/>
      </c>
      <c r="N669" s="53">
        <f>IF($A669="","",IF(AND($A669&gt;=pTu,$A669&lt;=pDen),"","NGOÀI KỲ"))</f>
        <v/>
      </c>
      <c r="O669" s="53">
        <f>IF($J669="","",IF($J669&lt;=0,"≤0",""))</f>
        <v/>
      </c>
      <c r="P669" s="53">
        <f>IF(AND($D669="SXC (627)",$F669="Chung"),IF(OR($G669="Cố định",$G669="Biến đổi"),"","THIẾU TÍNH CHẤT"),"")</f>
        <v/>
      </c>
    </row>
    <row r="670" ht="15" customHeight="1" s="54">
      <c r="A670" s="71" t="n"/>
      <c r="B670" s="67" t="n"/>
      <c r="C670" s="67" t="n"/>
      <c r="D670" s="67" t="n"/>
      <c r="E670" s="79">
        <f>IFERROR(INDEX(MAP_TK,MATCH($D670,MAP_KM,0)),"")</f>
        <v/>
      </c>
      <c r="F670" s="67" t="n"/>
      <c r="G670" s="67" t="n"/>
      <c r="H670" s="67" t="n"/>
      <c r="I670" s="67" t="n"/>
      <c r="J670" s="75" t="n"/>
      <c r="K670" s="67" t="n"/>
      <c r="M670" s="53">
        <f>IF($C670="","",IF(OR($C670="CHUNG",COUNTIF(DM_Ma,$C670)&gt;0),"","MÃ LẠ"))</f>
        <v/>
      </c>
      <c r="N670" s="53">
        <f>IF($A670="","",IF(AND($A670&gt;=pTu,$A670&lt;=pDen),"","NGOÀI KỲ"))</f>
        <v/>
      </c>
      <c r="O670" s="53">
        <f>IF($J670="","",IF($J670&lt;=0,"≤0",""))</f>
        <v/>
      </c>
      <c r="P670" s="53">
        <f>IF(AND($D670="SXC (627)",$F670="Chung"),IF(OR($G670="Cố định",$G670="Biến đổi"),"","THIẾU TÍNH CHẤT"),"")</f>
        <v/>
      </c>
    </row>
    <row r="671" ht="15" customHeight="1" s="54">
      <c r="A671" s="71" t="n"/>
      <c r="B671" s="67" t="n"/>
      <c r="C671" s="67" t="n"/>
      <c r="D671" s="67" t="n"/>
      <c r="E671" s="79">
        <f>IFERROR(INDEX(MAP_TK,MATCH($D671,MAP_KM,0)),"")</f>
        <v/>
      </c>
      <c r="F671" s="67" t="n"/>
      <c r="G671" s="67" t="n"/>
      <c r="H671" s="67" t="n"/>
      <c r="I671" s="67" t="n"/>
      <c r="J671" s="75" t="n"/>
      <c r="K671" s="67" t="n"/>
      <c r="M671" s="53">
        <f>IF($C671="","",IF(OR($C671="CHUNG",COUNTIF(DM_Ma,$C671)&gt;0),"","MÃ LẠ"))</f>
        <v/>
      </c>
      <c r="N671" s="53">
        <f>IF($A671="","",IF(AND($A671&gt;=pTu,$A671&lt;=pDen),"","NGOÀI KỲ"))</f>
        <v/>
      </c>
      <c r="O671" s="53">
        <f>IF($J671="","",IF($J671&lt;=0,"≤0",""))</f>
        <v/>
      </c>
      <c r="P671" s="53">
        <f>IF(AND($D671="SXC (627)",$F671="Chung"),IF(OR($G671="Cố định",$G671="Biến đổi"),"","THIẾU TÍNH CHẤT"),"")</f>
        <v/>
      </c>
    </row>
    <row r="672" ht="15" customHeight="1" s="54">
      <c r="A672" s="71" t="n"/>
      <c r="B672" s="67" t="n"/>
      <c r="C672" s="67" t="n"/>
      <c r="D672" s="67" t="n"/>
      <c r="E672" s="79">
        <f>IFERROR(INDEX(MAP_TK,MATCH($D672,MAP_KM,0)),"")</f>
        <v/>
      </c>
      <c r="F672" s="67" t="n"/>
      <c r="G672" s="67" t="n"/>
      <c r="H672" s="67" t="n"/>
      <c r="I672" s="67" t="n"/>
      <c r="J672" s="75" t="n"/>
      <c r="K672" s="67" t="n"/>
      <c r="M672" s="53">
        <f>IF($C672="","",IF(OR($C672="CHUNG",COUNTIF(DM_Ma,$C672)&gt;0),"","MÃ LẠ"))</f>
        <v/>
      </c>
      <c r="N672" s="53">
        <f>IF($A672="","",IF(AND($A672&gt;=pTu,$A672&lt;=pDen),"","NGOÀI KỲ"))</f>
        <v/>
      </c>
      <c r="O672" s="53">
        <f>IF($J672="","",IF($J672&lt;=0,"≤0",""))</f>
        <v/>
      </c>
      <c r="P672" s="53">
        <f>IF(AND($D672="SXC (627)",$F672="Chung"),IF(OR($G672="Cố định",$G672="Biến đổi"),"","THIẾU TÍNH CHẤT"),"")</f>
        <v/>
      </c>
    </row>
    <row r="673" ht="15" customHeight="1" s="54">
      <c r="A673" s="71" t="n"/>
      <c r="B673" s="67" t="n"/>
      <c r="C673" s="67" t="n"/>
      <c r="D673" s="67" t="n"/>
      <c r="E673" s="79">
        <f>IFERROR(INDEX(MAP_TK,MATCH($D673,MAP_KM,0)),"")</f>
        <v/>
      </c>
      <c r="F673" s="67" t="n"/>
      <c r="G673" s="67" t="n"/>
      <c r="H673" s="67" t="n"/>
      <c r="I673" s="67" t="n"/>
      <c r="J673" s="75" t="n"/>
      <c r="K673" s="67" t="n"/>
      <c r="M673" s="53">
        <f>IF($C673="","",IF(OR($C673="CHUNG",COUNTIF(DM_Ma,$C673)&gt;0),"","MÃ LẠ"))</f>
        <v/>
      </c>
      <c r="N673" s="53">
        <f>IF($A673="","",IF(AND($A673&gt;=pTu,$A673&lt;=pDen),"","NGOÀI KỲ"))</f>
        <v/>
      </c>
      <c r="O673" s="53">
        <f>IF($J673="","",IF($J673&lt;=0,"≤0",""))</f>
        <v/>
      </c>
      <c r="P673" s="53">
        <f>IF(AND($D673="SXC (627)",$F673="Chung"),IF(OR($G673="Cố định",$G673="Biến đổi"),"","THIẾU TÍNH CHẤT"),"")</f>
        <v/>
      </c>
    </row>
    <row r="674" ht="15" customHeight="1" s="54">
      <c r="A674" s="71" t="n"/>
      <c r="B674" s="67" t="n"/>
      <c r="C674" s="67" t="n"/>
      <c r="D674" s="67" t="n"/>
      <c r="E674" s="79">
        <f>IFERROR(INDEX(MAP_TK,MATCH($D674,MAP_KM,0)),"")</f>
        <v/>
      </c>
      <c r="F674" s="67" t="n"/>
      <c r="G674" s="67" t="n"/>
      <c r="H674" s="67" t="n"/>
      <c r="I674" s="67" t="n"/>
      <c r="J674" s="75" t="n"/>
      <c r="K674" s="67" t="n"/>
      <c r="M674" s="53">
        <f>IF($C674="","",IF(OR($C674="CHUNG",COUNTIF(DM_Ma,$C674)&gt;0),"","MÃ LẠ"))</f>
        <v/>
      </c>
      <c r="N674" s="53">
        <f>IF($A674="","",IF(AND($A674&gt;=pTu,$A674&lt;=pDen),"","NGOÀI KỲ"))</f>
        <v/>
      </c>
      <c r="O674" s="53">
        <f>IF($J674="","",IF($J674&lt;=0,"≤0",""))</f>
        <v/>
      </c>
      <c r="P674" s="53">
        <f>IF(AND($D674="SXC (627)",$F674="Chung"),IF(OR($G674="Cố định",$G674="Biến đổi"),"","THIẾU TÍNH CHẤT"),"")</f>
        <v/>
      </c>
    </row>
    <row r="675" ht="15" customHeight="1" s="54">
      <c r="A675" s="71" t="n"/>
      <c r="B675" s="67" t="n"/>
      <c r="C675" s="67" t="n"/>
      <c r="D675" s="67" t="n"/>
      <c r="E675" s="79">
        <f>IFERROR(INDEX(MAP_TK,MATCH($D675,MAP_KM,0)),"")</f>
        <v/>
      </c>
      <c r="F675" s="67" t="n"/>
      <c r="G675" s="67" t="n"/>
      <c r="H675" s="67" t="n"/>
      <c r="I675" s="67" t="n"/>
      <c r="J675" s="75" t="n"/>
      <c r="K675" s="67" t="n"/>
      <c r="M675" s="53">
        <f>IF($C675="","",IF(OR($C675="CHUNG",COUNTIF(DM_Ma,$C675)&gt;0),"","MÃ LẠ"))</f>
        <v/>
      </c>
      <c r="N675" s="53">
        <f>IF($A675="","",IF(AND($A675&gt;=pTu,$A675&lt;=pDen),"","NGOÀI KỲ"))</f>
        <v/>
      </c>
      <c r="O675" s="53">
        <f>IF($J675="","",IF($J675&lt;=0,"≤0",""))</f>
        <v/>
      </c>
      <c r="P675" s="53">
        <f>IF(AND($D675="SXC (627)",$F675="Chung"),IF(OR($G675="Cố định",$G675="Biến đổi"),"","THIẾU TÍNH CHẤT"),"")</f>
        <v/>
      </c>
    </row>
    <row r="676" ht="15" customHeight="1" s="54">
      <c r="A676" s="71" t="n"/>
      <c r="B676" s="67" t="n"/>
      <c r="C676" s="67" t="n"/>
      <c r="D676" s="67" t="n"/>
      <c r="E676" s="79">
        <f>IFERROR(INDEX(MAP_TK,MATCH($D676,MAP_KM,0)),"")</f>
        <v/>
      </c>
      <c r="F676" s="67" t="n"/>
      <c r="G676" s="67" t="n"/>
      <c r="H676" s="67" t="n"/>
      <c r="I676" s="67" t="n"/>
      <c r="J676" s="75" t="n"/>
      <c r="K676" s="67" t="n"/>
      <c r="M676" s="53">
        <f>IF($C676="","",IF(OR($C676="CHUNG",COUNTIF(DM_Ma,$C676)&gt;0),"","MÃ LẠ"))</f>
        <v/>
      </c>
      <c r="N676" s="53">
        <f>IF($A676="","",IF(AND($A676&gt;=pTu,$A676&lt;=pDen),"","NGOÀI KỲ"))</f>
        <v/>
      </c>
      <c r="O676" s="53">
        <f>IF($J676="","",IF($J676&lt;=0,"≤0",""))</f>
        <v/>
      </c>
      <c r="P676" s="53">
        <f>IF(AND($D676="SXC (627)",$F676="Chung"),IF(OR($G676="Cố định",$G676="Biến đổi"),"","THIẾU TÍNH CHẤT"),"")</f>
        <v/>
      </c>
    </row>
    <row r="677" ht="15" customHeight="1" s="54">
      <c r="A677" s="71" t="n"/>
      <c r="B677" s="67" t="n"/>
      <c r="C677" s="67" t="n"/>
      <c r="D677" s="67" t="n"/>
      <c r="E677" s="79">
        <f>IFERROR(INDEX(MAP_TK,MATCH($D677,MAP_KM,0)),"")</f>
        <v/>
      </c>
      <c r="F677" s="67" t="n"/>
      <c r="G677" s="67" t="n"/>
      <c r="H677" s="67" t="n"/>
      <c r="I677" s="67" t="n"/>
      <c r="J677" s="75" t="n"/>
      <c r="K677" s="67" t="n"/>
      <c r="M677" s="53">
        <f>IF($C677="","",IF(OR($C677="CHUNG",COUNTIF(DM_Ma,$C677)&gt;0),"","MÃ LẠ"))</f>
        <v/>
      </c>
      <c r="N677" s="53">
        <f>IF($A677="","",IF(AND($A677&gt;=pTu,$A677&lt;=pDen),"","NGOÀI KỲ"))</f>
        <v/>
      </c>
      <c r="O677" s="53">
        <f>IF($J677="","",IF($J677&lt;=0,"≤0",""))</f>
        <v/>
      </c>
      <c r="P677" s="53">
        <f>IF(AND($D677="SXC (627)",$F677="Chung"),IF(OR($G677="Cố định",$G677="Biến đổi"),"","THIẾU TÍNH CHẤT"),"")</f>
        <v/>
      </c>
    </row>
    <row r="678" ht="15" customHeight="1" s="54">
      <c r="A678" s="71" t="n"/>
      <c r="B678" s="67" t="n"/>
      <c r="C678" s="67" t="n"/>
      <c r="D678" s="67" t="n"/>
      <c r="E678" s="79">
        <f>IFERROR(INDEX(MAP_TK,MATCH($D678,MAP_KM,0)),"")</f>
        <v/>
      </c>
      <c r="F678" s="67" t="n"/>
      <c r="G678" s="67" t="n"/>
      <c r="H678" s="67" t="n"/>
      <c r="I678" s="67" t="n"/>
      <c r="J678" s="75" t="n"/>
      <c r="K678" s="67" t="n"/>
      <c r="M678" s="53">
        <f>IF($C678="","",IF(OR($C678="CHUNG",COUNTIF(DM_Ma,$C678)&gt;0),"","MÃ LẠ"))</f>
        <v/>
      </c>
      <c r="N678" s="53">
        <f>IF($A678="","",IF(AND($A678&gt;=pTu,$A678&lt;=pDen),"","NGOÀI KỲ"))</f>
        <v/>
      </c>
      <c r="O678" s="53">
        <f>IF($J678="","",IF($J678&lt;=0,"≤0",""))</f>
        <v/>
      </c>
      <c r="P678" s="53">
        <f>IF(AND($D678="SXC (627)",$F678="Chung"),IF(OR($G678="Cố định",$G678="Biến đổi"),"","THIẾU TÍNH CHẤT"),"")</f>
        <v/>
      </c>
    </row>
    <row r="679" ht="15" customHeight="1" s="54">
      <c r="A679" s="71" t="n"/>
      <c r="B679" s="67" t="n"/>
      <c r="C679" s="67" t="n"/>
      <c r="D679" s="67" t="n"/>
      <c r="E679" s="79">
        <f>IFERROR(INDEX(MAP_TK,MATCH($D679,MAP_KM,0)),"")</f>
        <v/>
      </c>
      <c r="F679" s="67" t="n"/>
      <c r="G679" s="67" t="n"/>
      <c r="H679" s="67" t="n"/>
      <c r="I679" s="67" t="n"/>
      <c r="J679" s="75" t="n"/>
      <c r="K679" s="67" t="n"/>
      <c r="M679" s="53">
        <f>IF($C679="","",IF(OR($C679="CHUNG",COUNTIF(DM_Ma,$C679)&gt;0),"","MÃ LẠ"))</f>
        <v/>
      </c>
      <c r="N679" s="53">
        <f>IF($A679="","",IF(AND($A679&gt;=pTu,$A679&lt;=pDen),"","NGOÀI KỲ"))</f>
        <v/>
      </c>
      <c r="O679" s="53">
        <f>IF($J679="","",IF($J679&lt;=0,"≤0",""))</f>
        <v/>
      </c>
      <c r="P679" s="53">
        <f>IF(AND($D679="SXC (627)",$F679="Chung"),IF(OR($G679="Cố định",$G679="Biến đổi"),"","THIẾU TÍNH CHẤT"),"")</f>
        <v/>
      </c>
    </row>
    <row r="680" ht="15" customHeight="1" s="54">
      <c r="A680" s="71" t="n"/>
      <c r="B680" s="67" t="n"/>
      <c r="C680" s="67" t="n"/>
      <c r="D680" s="67" t="n"/>
      <c r="E680" s="79">
        <f>IFERROR(INDEX(MAP_TK,MATCH($D680,MAP_KM,0)),"")</f>
        <v/>
      </c>
      <c r="F680" s="67" t="n"/>
      <c r="G680" s="67" t="n"/>
      <c r="H680" s="67" t="n"/>
      <c r="I680" s="67" t="n"/>
      <c r="J680" s="75" t="n"/>
      <c r="K680" s="67" t="n"/>
      <c r="M680" s="53">
        <f>IF($C680="","",IF(OR($C680="CHUNG",COUNTIF(DM_Ma,$C680)&gt;0),"","MÃ LẠ"))</f>
        <v/>
      </c>
      <c r="N680" s="53">
        <f>IF($A680="","",IF(AND($A680&gt;=pTu,$A680&lt;=pDen),"","NGOÀI KỲ"))</f>
        <v/>
      </c>
      <c r="O680" s="53">
        <f>IF($J680="","",IF($J680&lt;=0,"≤0",""))</f>
        <v/>
      </c>
      <c r="P680" s="53">
        <f>IF(AND($D680="SXC (627)",$F680="Chung"),IF(OR($G680="Cố định",$G680="Biến đổi"),"","THIẾU TÍNH CHẤT"),"")</f>
        <v/>
      </c>
    </row>
    <row r="681" ht="15" customHeight="1" s="54">
      <c r="A681" s="71" t="n"/>
      <c r="B681" s="67" t="n"/>
      <c r="C681" s="67" t="n"/>
      <c r="D681" s="67" t="n"/>
      <c r="E681" s="79">
        <f>IFERROR(INDEX(MAP_TK,MATCH($D681,MAP_KM,0)),"")</f>
        <v/>
      </c>
      <c r="F681" s="67" t="n"/>
      <c r="G681" s="67" t="n"/>
      <c r="H681" s="67" t="n"/>
      <c r="I681" s="67" t="n"/>
      <c r="J681" s="75" t="n"/>
      <c r="K681" s="67" t="n"/>
      <c r="M681" s="53">
        <f>IF($C681="","",IF(OR($C681="CHUNG",COUNTIF(DM_Ma,$C681)&gt;0),"","MÃ LẠ"))</f>
        <v/>
      </c>
      <c r="N681" s="53">
        <f>IF($A681="","",IF(AND($A681&gt;=pTu,$A681&lt;=pDen),"","NGOÀI KỲ"))</f>
        <v/>
      </c>
      <c r="O681" s="53">
        <f>IF($J681="","",IF($J681&lt;=0,"≤0",""))</f>
        <v/>
      </c>
      <c r="P681" s="53">
        <f>IF(AND($D681="SXC (627)",$F681="Chung"),IF(OR($G681="Cố định",$G681="Biến đổi"),"","THIẾU TÍNH CHẤT"),"")</f>
        <v/>
      </c>
    </row>
    <row r="682" ht="15" customHeight="1" s="54">
      <c r="A682" s="71" t="n"/>
      <c r="B682" s="67" t="n"/>
      <c r="C682" s="67" t="n"/>
      <c r="D682" s="67" t="n"/>
      <c r="E682" s="79">
        <f>IFERROR(INDEX(MAP_TK,MATCH($D682,MAP_KM,0)),"")</f>
        <v/>
      </c>
      <c r="F682" s="67" t="n"/>
      <c r="G682" s="67" t="n"/>
      <c r="H682" s="67" t="n"/>
      <c r="I682" s="67" t="n"/>
      <c r="J682" s="75" t="n"/>
      <c r="K682" s="67" t="n"/>
      <c r="M682" s="53">
        <f>IF($C682="","",IF(OR($C682="CHUNG",COUNTIF(DM_Ma,$C682)&gt;0),"","MÃ LẠ"))</f>
        <v/>
      </c>
      <c r="N682" s="53">
        <f>IF($A682="","",IF(AND($A682&gt;=pTu,$A682&lt;=pDen),"","NGOÀI KỲ"))</f>
        <v/>
      </c>
      <c r="O682" s="53">
        <f>IF($J682="","",IF($J682&lt;=0,"≤0",""))</f>
        <v/>
      </c>
      <c r="P682" s="53">
        <f>IF(AND($D682="SXC (627)",$F682="Chung"),IF(OR($G682="Cố định",$G682="Biến đổi"),"","THIẾU TÍNH CHẤT"),"")</f>
        <v/>
      </c>
    </row>
    <row r="683" ht="15" customHeight="1" s="54">
      <c r="A683" s="71" t="n"/>
      <c r="B683" s="67" t="n"/>
      <c r="C683" s="67" t="n"/>
      <c r="D683" s="67" t="n"/>
      <c r="E683" s="79">
        <f>IFERROR(INDEX(MAP_TK,MATCH($D683,MAP_KM,0)),"")</f>
        <v/>
      </c>
      <c r="F683" s="67" t="n"/>
      <c r="G683" s="67" t="n"/>
      <c r="H683" s="67" t="n"/>
      <c r="I683" s="67" t="n"/>
      <c r="J683" s="75" t="n"/>
      <c r="K683" s="67" t="n"/>
      <c r="M683" s="53">
        <f>IF($C683="","",IF(OR($C683="CHUNG",COUNTIF(DM_Ma,$C683)&gt;0),"","MÃ LẠ"))</f>
        <v/>
      </c>
      <c r="N683" s="53">
        <f>IF($A683="","",IF(AND($A683&gt;=pTu,$A683&lt;=pDen),"","NGOÀI KỲ"))</f>
        <v/>
      </c>
      <c r="O683" s="53">
        <f>IF($J683="","",IF($J683&lt;=0,"≤0",""))</f>
        <v/>
      </c>
      <c r="P683" s="53">
        <f>IF(AND($D683="SXC (627)",$F683="Chung"),IF(OR($G683="Cố định",$G683="Biến đổi"),"","THIẾU TÍNH CHẤT"),"")</f>
        <v/>
      </c>
    </row>
    <row r="684" ht="15" customHeight="1" s="54">
      <c r="A684" s="71" t="n"/>
      <c r="B684" s="67" t="n"/>
      <c r="C684" s="67" t="n"/>
      <c r="D684" s="67" t="n"/>
      <c r="E684" s="79">
        <f>IFERROR(INDEX(MAP_TK,MATCH($D684,MAP_KM,0)),"")</f>
        <v/>
      </c>
      <c r="F684" s="67" t="n"/>
      <c r="G684" s="67" t="n"/>
      <c r="H684" s="67" t="n"/>
      <c r="I684" s="67" t="n"/>
      <c r="J684" s="75" t="n"/>
      <c r="K684" s="67" t="n"/>
      <c r="M684" s="53">
        <f>IF($C684="","",IF(OR($C684="CHUNG",COUNTIF(DM_Ma,$C684)&gt;0),"","MÃ LẠ"))</f>
        <v/>
      </c>
      <c r="N684" s="53">
        <f>IF($A684="","",IF(AND($A684&gt;=pTu,$A684&lt;=pDen),"","NGOÀI KỲ"))</f>
        <v/>
      </c>
      <c r="O684" s="53">
        <f>IF($J684="","",IF($J684&lt;=0,"≤0",""))</f>
        <v/>
      </c>
      <c r="P684" s="53">
        <f>IF(AND($D684="SXC (627)",$F684="Chung"),IF(OR($G684="Cố định",$G684="Biến đổi"),"","THIẾU TÍNH CHẤT"),"")</f>
        <v/>
      </c>
    </row>
    <row r="685" ht="15" customHeight="1" s="54">
      <c r="A685" s="71" t="n"/>
      <c r="B685" s="67" t="n"/>
      <c r="C685" s="67" t="n"/>
      <c r="D685" s="67" t="n"/>
      <c r="E685" s="79">
        <f>IFERROR(INDEX(MAP_TK,MATCH($D685,MAP_KM,0)),"")</f>
        <v/>
      </c>
      <c r="F685" s="67" t="n"/>
      <c r="G685" s="67" t="n"/>
      <c r="H685" s="67" t="n"/>
      <c r="I685" s="67" t="n"/>
      <c r="J685" s="75" t="n"/>
      <c r="K685" s="67" t="n"/>
      <c r="M685" s="53">
        <f>IF($C685="","",IF(OR($C685="CHUNG",COUNTIF(DM_Ma,$C685)&gt;0),"","MÃ LẠ"))</f>
        <v/>
      </c>
      <c r="N685" s="53">
        <f>IF($A685="","",IF(AND($A685&gt;=pTu,$A685&lt;=pDen),"","NGOÀI KỲ"))</f>
        <v/>
      </c>
      <c r="O685" s="53">
        <f>IF($J685="","",IF($J685&lt;=0,"≤0",""))</f>
        <v/>
      </c>
      <c r="P685" s="53">
        <f>IF(AND($D685="SXC (627)",$F685="Chung"),IF(OR($G685="Cố định",$G685="Biến đổi"),"","THIẾU TÍNH CHẤT"),"")</f>
        <v/>
      </c>
    </row>
    <row r="686" ht="15" customHeight="1" s="54">
      <c r="A686" s="71" t="n"/>
      <c r="B686" s="67" t="n"/>
      <c r="C686" s="67" t="n"/>
      <c r="D686" s="67" t="n"/>
      <c r="E686" s="79">
        <f>IFERROR(INDEX(MAP_TK,MATCH($D686,MAP_KM,0)),"")</f>
        <v/>
      </c>
      <c r="F686" s="67" t="n"/>
      <c r="G686" s="67" t="n"/>
      <c r="H686" s="67" t="n"/>
      <c r="I686" s="67" t="n"/>
      <c r="J686" s="75" t="n"/>
      <c r="K686" s="67" t="n"/>
      <c r="M686" s="53">
        <f>IF($C686="","",IF(OR($C686="CHUNG",COUNTIF(DM_Ma,$C686)&gt;0),"","MÃ LẠ"))</f>
        <v/>
      </c>
      <c r="N686" s="53">
        <f>IF($A686="","",IF(AND($A686&gt;=pTu,$A686&lt;=pDen),"","NGOÀI KỲ"))</f>
        <v/>
      </c>
      <c r="O686" s="53">
        <f>IF($J686="","",IF($J686&lt;=0,"≤0",""))</f>
        <v/>
      </c>
      <c r="P686" s="53">
        <f>IF(AND($D686="SXC (627)",$F686="Chung"),IF(OR($G686="Cố định",$G686="Biến đổi"),"","THIẾU TÍNH CHẤT"),"")</f>
        <v/>
      </c>
    </row>
    <row r="687" ht="15" customHeight="1" s="54">
      <c r="A687" s="71" t="n"/>
      <c r="B687" s="67" t="n"/>
      <c r="C687" s="67" t="n"/>
      <c r="D687" s="67" t="n"/>
      <c r="E687" s="79">
        <f>IFERROR(INDEX(MAP_TK,MATCH($D687,MAP_KM,0)),"")</f>
        <v/>
      </c>
      <c r="F687" s="67" t="n"/>
      <c r="G687" s="67" t="n"/>
      <c r="H687" s="67" t="n"/>
      <c r="I687" s="67" t="n"/>
      <c r="J687" s="75" t="n"/>
      <c r="K687" s="67" t="n"/>
      <c r="M687" s="53">
        <f>IF($C687="","",IF(OR($C687="CHUNG",COUNTIF(DM_Ma,$C687)&gt;0),"","MÃ LẠ"))</f>
        <v/>
      </c>
      <c r="N687" s="53">
        <f>IF($A687="","",IF(AND($A687&gt;=pTu,$A687&lt;=pDen),"","NGOÀI KỲ"))</f>
        <v/>
      </c>
      <c r="O687" s="53">
        <f>IF($J687="","",IF($J687&lt;=0,"≤0",""))</f>
        <v/>
      </c>
      <c r="P687" s="53">
        <f>IF(AND($D687="SXC (627)",$F687="Chung"),IF(OR($G687="Cố định",$G687="Biến đổi"),"","THIẾU TÍNH CHẤT"),"")</f>
        <v/>
      </c>
    </row>
    <row r="688" ht="15" customHeight="1" s="54">
      <c r="A688" s="71" t="n"/>
      <c r="B688" s="67" t="n"/>
      <c r="C688" s="67" t="n"/>
      <c r="D688" s="67" t="n"/>
      <c r="E688" s="79">
        <f>IFERROR(INDEX(MAP_TK,MATCH($D688,MAP_KM,0)),"")</f>
        <v/>
      </c>
      <c r="F688" s="67" t="n"/>
      <c r="G688" s="67" t="n"/>
      <c r="H688" s="67" t="n"/>
      <c r="I688" s="67" t="n"/>
      <c r="J688" s="75" t="n"/>
      <c r="K688" s="67" t="n"/>
      <c r="M688" s="53">
        <f>IF($C688="","",IF(OR($C688="CHUNG",COUNTIF(DM_Ma,$C688)&gt;0),"","MÃ LẠ"))</f>
        <v/>
      </c>
      <c r="N688" s="53">
        <f>IF($A688="","",IF(AND($A688&gt;=pTu,$A688&lt;=pDen),"","NGOÀI KỲ"))</f>
        <v/>
      </c>
      <c r="O688" s="53">
        <f>IF($J688="","",IF($J688&lt;=0,"≤0",""))</f>
        <v/>
      </c>
      <c r="P688" s="53">
        <f>IF(AND($D688="SXC (627)",$F688="Chung"),IF(OR($G688="Cố định",$G688="Biến đổi"),"","THIẾU TÍNH CHẤT"),"")</f>
        <v/>
      </c>
    </row>
    <row r="689" ht="15" customHeight="1" s="54">
      <c r="A689" s="71" t="n"/>
      <c r="B689" s="67" t="n"/>
      <c r="C689" s="67" t="n"/>
      <c r="D689" s="67" t="n"/>
      <c r="E689" s="79">
        <f>IFERROR(INDEX(MAP_TK,MATCH($D689,MAP_KM,0)),"")</f>
        <v/>
      </c>
      <c r="F689" s="67" t="n"/>
      <c r="G689" s="67" t="n"/>
      <c r="H689" s="67" t="n"/>
      <c r="I689" s="67" t="n"/>
      <c r="J689" s="75" t="n"/>
      <c r="K689" s="67" t="n"/>
      <c r="M689" s="53">
        <f>IF($C689="","",IF(OR($C689="CHUNG",COUNTIF(DM_Ma,$C689)&gt;0),"","MÃ LẠ"))</f>
        <v/>
      </c>
      <c r="N689" s="53">
        <f>IF($A689="","",IF(AND($A689&gt;=pTu,$A689&lt;=pDen),"","NGOÀI KỲ"))</f>
        <v/>
      </c>
      <c r="O689" s="53">
        <f>IF($J689="","",IF($J689&lt;=0,"≤0",""))</f>
        <v/>
      </c>
      <c r="P689" s="53">
        <f>IF(AND($D689="SXC (627)",$F689="Chung"),IF(OR($G689="Cố định",$G689="Biến đổi"),"","THIẾU TÍNH CHẤT"),"")</f>
        <v/>
      </c>
    </row>
    <row r="690" ht="15" customHeight="1" s="54">
      <c r="A690" s="71" t="n"/>
      <c r="B690" s="67" t="n"/>
      <c r="C690" s="67" t="n"/>
      <c r="D690" s="67" t="n"/>
      <c r="E690" s="79">
        <f>IFERROR(INDEX(MAP_TK,MATCH($D690,MAP_KM,0)),"")</f>
        <v/>
      </c>
      <c r="F690" s="67" t="n"/>
      <c r="G690" s="67" t="n"/>
      <c r="H690" s="67" t="n"/>
      <c r="I690" s="67" t="n"/>
      <c r="J690" s="75" t="n"/>
      <c r="K690" s="67" t="n"/>
      <c r="M690" s="53">
        <f>IF($C690="","",IF(OR($C690="CHUNG",COUNTIF(DM_Ma,$C690)&gt;0),"","MÃ LẠ"))</f>
        <v/>
      </c>
      <c r="N690" s="53">
        <f>IF($A690="","",IF(AND($A690&gt;=pTu,$A690&lt;=pDen),"","NGOÀI KỲ"))</f>
        <v/>
      </c>
      <c r="O690" s="53">
        <f>IF($J690="","",IF($J690&lt;=0,"≤0",""))</f>
        <v/>
      </c>
      <c r="P690" s="53">
        <f>IF(AND($D690="SXC (627)",$F690="Chung"),IF(OR($G690="Cố định",$G690="Biến đổi"),"","THIẾU TÍNH CHẤT"),"")</f>
        <v/>
      </c>
    </row>
    <row r="691" ht="15" customHeight="1" s="54">
      <c r="A691" s="71" t="n"/>
      <c r="B691" s="67" t="n"/>
      <c r="C691" s="67" t="n"/>
      <c r="D691" s="67" t="n"/>
      <c r="E691" s="79">
        <f>IFERROR(INDEX(MAP_TK,MATCH($D691,MAP_KM,0)),"")</f>
        <v/>
      </c>
      <c r="F691" s="67" t="n"/>
      <c r="G691" s="67" t="n"/>
      <c r="H691" s="67" t="n"/>
      <c r="I691" s="67" t="n"/>
      <c r="J691" s="75" t="n"/>
      <c r="K691" s="67" t="n"/>
      <c r="M691" s="53">
        <f>IF($C691="","",IF(OR($C691="CHUNG",COUNTIF(DM_Ma,$C691)&gt;0),"","MÃ LẠ"))</f>
        <v/>
      </c>
      <c r="N691" s="53">
        <f>IF($A691="","",IF(AND($A691&gt;=pTu,$A691&lt;=pDen),"","NGOÀI KỲ"))</f>
        <v/>
      </c>
      <c r="O691" s="53">
        <f>IF($J691="","",IF($J691&lt;=0,"≤0",""))</f>
        <v/>
      </c>
      <c r="P691" s="53">
        <f>IF(AND($D691="SXC (627)",$F691="Chung"),IF(OR($G691="Cố định",$G691="Biến đổi"),"","THIẾU TÍNH CHẤT"),"")</f>
        <v/>
      </c>
    </row>
    <row r="692" ht="15" customHeight="1" s="54">
      <c r="A692" s="71" t="n"/>
      <c r="B692" s="67" t="n"/>
      <c r="C692" s="67" t="n"/>
      <c r="D692" s="67" t="n"/>
      <c r="E692" s="79">
        <f>IFERROR(INDEX(MAP_TK,MATCH($D692,MAP_KM,0)),"")</f>
        <v/>
      </c>
      <c r="F692" s="67" t="n"/>
      <c r="G692" s="67" t="n"/>
      <c r="H692" s="67" t="n"/>
      <c r="I692" s="67" t="n"/>
      <c r="J692" s="75" t="n"/>
      <c r="K692" s="67" t="n"/>
      <c r="M692" s="53">
        <f>IF($C692="","",IF(OR($C692="CHUNG",COUNTIF(DM_Ma,$C692)&gt;0),"","MÃ LẠ"))</f>
        <v/>
      </c>
      <c r="N692" s="53">
        <f>IF($A692="","",IF(AND($A692&gt;=pTu,$A692&lt;=pDen),"","NGOÀI KỲ"))</f>
        <v/>
      </c>
      <c r="O692" s="53">
        <f>IF($J692="","",IF($J692&lt;=0,"≤0",""))</f>
        <v/>
      </c>
      <c r="P692" s="53">
        <f>IF(AND($D692="SXC (627)",$F692="Chung"),IF(OR($G692="Cố định",$G692="Biến đổi"),"","THIẾU TÍNH CHẤT"),"")</f>
        <v/>
      </c>
    </row>
    <row r="693" ht="15" customHeight="1" s="54">
      <c r="A693" s="71" t="n"/>
      <c r="B693" s="67" t="n"/>
      <c r="C693" s="67" t="n"/>
      <c r="D693" s="67" t="n"/>
      <c r="E693" s="79">
        <f>IFERROR(INDEX(MAP_TK,MATCH($D693,MAP_KM,0)),"")</f>
        <v/>
      </c>
      <c r="F693" s="67" t="n"/>
      <c r="G693" s="67" t="n"/>
      <c r="H693" s="67" t="n"/>
      <c r="I693" s="67" t="n"/>
      <c r="J693" s="75" t="n"/>
      <c r="K693" s="67" t="n"/>
      <c r="M693" s="53">
        <f>IF($C693="","",IF(OR($C693="CHUNG",COUNTIF(DM_Ma,$C693)&gt;0),"","MÃ LẠ"))</f>
        <v/>
      </c>
      <c r="N693" s="53">
        <f>IF($A693="","",IF(AND($A693&gt;=pTu,$A693&lt;=pDen),"","NGOÀI KỲ"))</f>
        <v/>
      </c>
      <c r="O693" s="53">
        <f>IF($J693="","",IF($J693&lt;=0,"≤0",""))</f>
        <v/>
      </c>
      <c r="P693" s="53">
        <f>IF(AND($D693="SXC (627)",$F693="Chung"),IF(OR($G693="Cố định",$G693="Biến đổi"),"","THIẾU TÍNH CHẤT"),"")</f>
        <v/>
      </c>
    </row>
    <row r="694" ht="15" customHeight="1" s="54">
      <c r="A694" s="71" t="n"/>
      <c r="B694" s="67" t="n"/>
      <c r="C694" s="67" t="n"/>
      <c r="D694" s="67" t="n"/>
      <c r="E694" s="79">
        <f>IFERROR(INDEX(MAP_TK,MATCH($D694,MAP_KM,0)),"")</f>
        <v/>
      </c>
      <c r="F694" s="67" t="n"/>
      <c r="G694" s="67" t="n"/>
      <c r="H694" s="67" t="n"/>
      <c r="I694" s="67" t="n"/>
      <c r="J694" s="75" t="n"/>
      <c r="K694" s="67" t="n"/>
      <c r="M694" s="53">
        <f>IF($C694="","",IF(OR($C694="CHUNG",COUNTIF(DM_Ma,$C694)&gt;0),"","MÃ LẠ"))</f>
        <v/>
      </c>
      <c r="N694" s="53">
        <f>IF($A694="","",IF(AND($A694&gt;=pTu,$A694&lt;=pDen),"","NGOÀI KỲ"))</f>
        <v/>
      </c>
      <c r="O694" s="53">
        <f>IF($J694="","",IF($J694&lt;=0,"≤0",""))</f>
        <v/>
      </c>
      <c r="P694" s="53">
        <f>IF(AND($D694="SXC (627)",$F694="Chung"),IF(OR($G694="Cố định",$G694="Biến đổi"),"","THIẾU TÍNH CHẤT"),"")</f>
        <v/>
      </c>
    </row>
    <row r="695" ht="15" customHeight="1" s="54">
      <c r="A695" s="71" t="n"/>
      <c r="B695" s="67" t="n"/>
      <c r="C695" s="67" t="n"/>
      <c r="D695" s="67" t="n"/>
      <c r="E695" s="79">
        <f>IFERROR(INDEX(MAP_TK,MATCH($D695,MAP_KM,0)),"")</f>
        <v/>
      </c>
      <c r="F695" s="67" t="n"/>
      <c r="G695" s="67" t="n"/>
      <c r="H695" s="67" t="n"/>
      <c r="I695" s="67" t="n"/>
      <c r="J695" s="75" t="n"/>
      <c r="K695" s="67" t="n"/>
      <c r="M695" s="53">
        <f>IF($C695="","",IF(OR($C695="CHUNG",COUNTIF(DM_Ma,$C695)&gt;0),"","MÃ LẠ"))</f>
        <v/>
      </c>
      <c r="N695" s="53">
        <f>IF($A695="","",IF(AND($A695&gt;=pTu,$A695&lt;=pDen),"","NGOÀI KỲ"))</f>
        <v/>
      </c>
      <c r="O695" s="53">
        <f>IF($J695="","",IF($J695&lt;=0,"≤0",""))</f>
        <v/>
      </c>
      <c r="P695" s="53">
        <f>IF(AND($D695="SXC (627)",$F695="Chung"),IF(OR($G695="Cố định",$G695="Biến đổi"),"","THIẾU TÍNH CHẤT"),"")</f>
        <v/>
      </c>
    </row>
    <row r="696" ht="15" customHeight="1" s="54">
      <c r="A696" s="71" t="n"/>
      <c r="B696" s="67" t="n"/>
      <c r="C696" s="67" t="n"/>
      <c r="D696" s="67" t="n"/>
      <c r="E696" s="79">
        <f>IFERROR(INDEX(MAP_TK,MATCH($D696,MAP_KM,0)),"")</f>
        <v/>
      </c>
      <c r="F696" s="67" t="n"/>
      <c r="G696" s="67" t="n"/>
      <c r="H696" s="67" t="n"/>
      <c r="I696" s="67" t="n"/>
      <c r="J696" s="75" t="n"/>
      <c r="K696" s="67" t="n"/>
      <c r="M696" s="53">
        <f>IF($C696="","",IF(OR($C696="CHUNG",COUNTIF(DM_Ma,$C696)&gt;0),"","MÃ LẠ"))</f>
        <v/>
      </c>
      <c r="N696" s="53">
        <f>IF($A696="","",IF(AND($A696&gt;=pTu,$A696&lt;=pDen),"","NGOÀI KỲ"))</f>
        <v/>
      </c>
      <c r="O696" s="53">
        <f>IF($J696="","",IF($J696&lt;=0,"≤0",""))</f>
        <v/>
      </c>
      <c r="P696" s="53">
        <f>IF(AND($D696="SXC (627)",$F696="Chung"),IF(OR($G696="Cố định",$G696="Biến đổi"),"","THIẾU TÍNH CHẤT"),"")</f>
        <v/>
      </c>
    </row>
    <row r="697" ht="15" customHeight="1" s="54">
      <c r="A697" s="71" t="n"/>
      <c r="B697" s="67" t="n"/>
      <c r="C697" s="67" t="n"/>
      <c r="D697" s="67" t="n"/>
      <c r="E697" s="79">
        <f>IFERROR(INDEX(MAP_TK,MATCH($D697,MAP_KM,0)),"")</f>
        <v/>
      </c>
      <c r="F697" s="67" t="n"/>
      <c r="G697" s="67" t="n"/>
      <c r="H697" s="67" t="n"/>
      <c r="I697" s="67" t="n"/>
      <c r="J697" s="75" t="n"/>
      <c r="K697" s="67" t="n"/>
      <c r="M697" s="53">
        <f>IF($C697="","",IF(OR($C697="CHUNG",COUNTIF(DM_Ma,$C697)&gt;0),"","MÃ LẠ"))</f>
        <v/>
      </c>
      <c r="N697" s="53">
        <f>IF($A697="","",IF(AND($A697&gt;=pTu,$A697&lt;=pDen),"","NGOÀI KỲ"))</f>
        <v/>
      </c>
      <c r="O697" s="53">
        <f>IF($J697="","",IF($J697&lt;=0,"≤0",""))</f>
        <v/>
      </c>
      <c r="P697" s="53">
        <f>IF(AND($D697="SXC (627)",$F697="Chung"),IF(OR($G697="Cố định",$G697="Biến đổi"),"","THIẾU TÍNH CHẤT"),"")</f>
        <v/>
      </c>
    </row>
    <row r="698" ht="15" customHeight="1" s="54">
      <c r="A698" s="71" t="n"/>
      <c r="B698" s="67" t="n"/>
      <c r="C698" s="67" t="n"/>
      <c r="D698" s="67" t="n"/>
      <c r="E698" s="79">
        <f>IFERROR(INDEX(MAP_TK,MATCH($D698,MAP_KM,0)),"")</f>
        <v/>
      </c>
      <c r="F698" s="67" t="n"/>
      <c r="G698" s="67" t="n"/>
      <c r="H698" s="67" t="n"/>
      <c r="I698" s="67" t="n"/>
      <c r="J698" s="75" t="n"/>
      <c r="K698" s="67" t="n"/>
      <c r="M698" s="53">
        <f>IF($C698="","",IF(OR($C698="CHUNG",COUNTIF(DM_Ma,$C698)&gt;0),"","MÃ LẠ"))</f>
        <v/>
      </c>
      <c r="N698" s="53">
        <f>IF($A698="","",IF(AND($A698&gt;=pTu,$A698&lt;=pDen),"","NGOÀI KỲ"))</f>
        <v/>
      </c>
      <c r="O698" s="53">
        <f>IF($J698="","",IF($J698&lt;=0,"≤0",""))</f>
        <v/>
      </c>
      <c r="P698" s="53">
        <f>IF(AND($D698="SXC (627)",$F698="Chung"),IF(OR($G698="Cố định",$G698="Biến đổi"),"","THIẾU TÍNH CHẤT"),"")</f>
        <v/>
      </c>
    </row>
    <row r="699" ht="15" customHeight="1" s="54">
      <c r="A699" s="71" t="n"/>
      <c r="B699" s="67" t="n"/>
      <c r="C699" s="67" t="n"/>
      <c r="D699" s="67" t="n"/>
      <c r="E699" s="79">
        <f>IFERROR(INDEX(MAP_TK,MATCH($D699,MAP_KM,0)),"")</f>
        <v/>
      </c>
      <c r="F699" s="67" t="n"/>
      <c r="G699" s="67" t="n"/>
      <c r="H699" s="67" t="n"/>
      <c r="I699" s="67" t="n"/>
      <c r="J699" s="75" t="n"/>
      <c r="K699" s="67" t="n"/>
      <c r="M699" s="53">
        <f>IF($C699="","",IF(OR($C699="CHUNG",COUNTIF(DM_Ma,$C699)&gt;0),"","MÃ LẠ"))</f>
        <v/>
      </c>
      <c r="N699" s="53">
        <f>IF($A699="","",IF(AND($A699&gt;=pTu,$A699&lt;=pDen),"","NGOÀI KỲ"))</f>
        <v/>
      </c>
      <c r="O699" s="53">
        <f>IF($J699="","",IF($J699&lt;=0,"≤0",""))</f>
        <v/>
      </c>
      <c r="P699" s="53">
        <f>IF(AND($D699="SXC (627)",$F699="Chung"),IF(OR($G699="Cố định",$G699="Biến đổi"),"","THIẾU TÍNH CHẤT"),"")</f>
        <v/>
      </c>
    </row>
    <row r="700" ht="15" customHeight="1" s="54">
      <c r="A700" s="71" t="n"/>
      <c r="B700" s="67" t="n"/>
      <c r="C700" s="67" t="n"/>
      <c r="D700" s="67" t="n"/>
      <c r="E700" s="79">
        <f>IFERROR(INDEX(MAP_TK,MATCH($D700,MAP_KM,0)),"")</f>
        <v/>
      </c>
      <c r="F700" s="67" t="n"/>
      <c r="G700" s="67" t="n"/>
      <c r="H700" s="67" t="n"/>
      <c r="I700" s="67" t="n"/>
      <c r="J700" s="75" t="n"/>
      <c r="K700" s="67" t="n"/>
      <c r="M700" s="53">
        <f>IF($C700="","",IF(OR($C700="CHUNG",COUNTIF(DM_Ma,$C700)&gt;0),"","MÃ LẠ"))</f>
        <v/>
      </c>
      <c r="N700" s="53">
        <f>IF($A700="","",IF(AND($A700&gt;=pTu,$A700&lt;=pDen),"","NGOÀI KỲ"))</f>
        <v/>
      </c>
      <c r="O700" s="53">
        <f>IF($J700="","",IF($J700&lt;=0,"≤0",""))</f>
        <v/>
      </c>
      <c r="P700" s="53">
        <f>IF(AND($D700="SXC (627)",$F700="Chung"),IF(OR($G700="Cố định",$G700="Biến đổi"),"","THIẾU TÍNH CHẤT"),"")</f>
        <v/>
      </c>
    </row>
    <row r="701" ht="15" customHeight="1" s="54">
      <c r="A701" s="71" t="n"/>
      <c r="B701" s="67" t="n"/>
      <c r="C701" s="67" t="n"/>
      <c r="D701" s="67" t="n"/>
      <c r="E701" s="79">
        <f>IFERROR(INDEX(MAP_TK,MATCH($D701,MAP_KM,0)),"")</f>
        <v/>
      </c>
      <c r="F701" s="67" t="n"/>
      <c r="G701" s="67" t="n"/>
      <c r="H701" s="67" t="n"/>
      <c r="I701" s="67" t="n"/>
      <c r="J701" s="75" t="n"/>
      <c r="K701" s="67" t="n"/>
      <c r="M701" s="53">
        <f>IF($C701="","",IF(OR($C701="CHUNG",COUNTIF(DM_Ma,$C701)&gt;0),"","MÃ LẠ"))</f>
        <v/>
      </c>
      <c r="N701" s="53">
        <f>IF($A701="","",IF(AND($A701&gt;=pTu,$A701&lt;=pDen),"","NGOÀI KỲ"))</f>
        <v/>
      </c>
      <c r="O701" s="53">
        <f>IF($J701="","",IF($J701&lt;=0,"≤0",""))</f>
        <v/>
      </c>
      <c r="P701" s="53">
        <f>IF(AND($D701="SXC (627)",$F701="Chung"),IF(OR($G701="Cố định",$G701="Biến đổi"),"","THIẾU TÍNH CHẤT"),"")</f>
        <v/>
      </c>
    </row>
    <row r="702" ht="15" customHeight="1" s="54">
      <c r="A702" s="71" t="n"/>
      <c r="B702" s="67" t="n"/>
      <c r="C702" s="67" t="n"/>
      <c r="D702" s="67" t="n"/>
      <c r="E702" s="79">
        <f>IFERROR(INDEX(MAP_TK,MATCH($D702,MAP_KM,0)),"")</f>
        <v/>
      </c>
      <c r="F702" s="67" t="n"/>
      <c r="G702" s="67" t="n"/>
      <c r="H702" s="67" t="n"/>
      <c r="I702" s="67" t="n"/>
      <c r="J702" s="75" t="n"/>
      <c r="K702" s="67" t="n"/>
      <c r="M702" s="53">
        <f>IF($C702="","",IF(OR($C702="CHUNG",COUNTIF(DM_Ma,$C702)&gt;0),"","MÃ LẠ"))</f>
        <v/>
      </c>
      <c r="N702" s="53">
        <f>IF($A702="","",IF(AND($A702&gt;=pTu,$A702&lt;=pDen),"","NGOÀI KỲ"))</f>
        <v/>
      </c>
      <c r="O702" s="53">
        <f>IF($J702="","",IF($J702&lt;=0,"≤0",""))</f>
        <v/>
      </c>
      <c r="P702" s="53">
        <f>IF(AND($D702="SXC (627)",$F702="Chung"),IF(OR($G702="Cố định",$G702="Biến đổi"),"","THIẾU TÍNH CHẤT"),"")</f>
        <v/>
      </c>
    </row>
    <row r="703" ht="15" customHeight="1" s="54">
      <c r="A703" s="71" t="n"/>
      <c r="B703" s="67" t="n"/>
      <c r="C703" s="67" t="n"/>
      <c r="D703" s="67" t="n"/>
      <c r="E703" s="79">
        <f>IFERROR(INDEX(MAP_TK,MATCH($D703,MAP_KM,0)),"")</f>
        <v/>
      </c>
      <c r="F703" s="67" t="n"/>
      <c r="G703" s="67" t="n"/>
      <c r="H703" s="67" t="n"/>
      <c r="I703" s="67" t="n"/>
      <c r="J703" s="75" t="n"/>
      <c r="K703" s="67" t="n"/>
      <c r="M703" s="53">
        <f>IF($C703="","",IF(OR($C703="CHUNG",COUNTIF(DM_Ma,$C703)&gt;0),"","MÃ LẠ"))</f>
        <v/>
      </c>
      <c r="N703" s="53">
        <f>IF($A703="","",IF(AND($A703&gt;=pTu,$A703&lt;=pDen),"","NGOÀI KỲ"))</f>
        <v/>
      </c>
      <c r="O703" s="53">
        <f>IF($J703="","",IF($J703&lt;=0,"≤0",""))</f>
        <v/>
      </c>
      <c r="P703" s="53">
        <f>IF(AND($D703="SXC (627)",$F703="Chung"),IF(OR($G703="Cố định",$G703="Biến đổi"),"","THIẾU TÍNH CHẤT"),"")</f>
        <v/>
      </c>
    </row>
    <row r="704" ht="15" customHeight="1" s="54">
      <c r="A704" s="71" t="n"/>
      <c r="B704" s="67" t="n"/>
      <c r="C704" s="67" t="n"/>
      <c r="D704" s="67" t="n"/>
      <c r="E704" s="79">
        <f>IFERROR(INDEX(MAP_TK,MATCH($D704,MAP_KM,0)),"")</f>
        <v/>
      </c>
      <c r="F704" s="67" t="n"/>
      <c r="G704" s="67" t="n"/>
      <c r="H704" s="67" t="n"/>
      <c r="I704" s="67" t="n"/>
      <c r="J704" s="75" t="n"/>
      <c r="K704" s="67" t="n"/>
      <c r="M704" s="53">
        <f>IF($C704="","",IF(OR($C704="CHUNG",COUNTIF(DM_Ma,$C704)&gt;0),"","MÃ LẠ"))</f>
        <v/>
      </c>
      <c r="N704" s="53">
        <f>IF($A704="","",IF(AND($A704&gt;=pTu,$A704&lt;=pDen),"","NGOÀI KỲ"))</f>
        <v/>
      </c>
      <c r="O704" s="53">
        <f>IF($J704="","",IF($J704&lt;=0,"≤0",""))</f>
        <v/>
      </c>
      <c r="P704" s="53">
        <f>IF(AND($D704="SXC (627)",$F704="Chung"),IF(OR($G704="Cố định",$G704="Biến đổi"),"","THIẾU TÍNH CHẤT"),"")</f>
        <v/>
      </c>
    </row>
    <row r="705" ht="15" customHeight="1" s="54">
      <c r="A705" s="71" t="n"/>
      <c r="B705" s="67" t="n"/>
      <c r="C705" s="67" t="n"/>
      <c r="D705" s="67" t="n"/>
      <c r="E705" s="79">
        <f>IFERROR(INDEX(MAP_TK,MATCH($D705,MAP_KM,0)),"")</f>
        <v/>
      </c>
      <c r="F705" s="67" t="n"/>
      <c r="G705" s="67" t="n"/>
      <c r="H705" s="67" t="n"/>
      <c r="I705" s="67" t="n"/>
      <c r="J705" s="75" t="n"/>
      <c r="K705" s="67" t="n"/>
      <c r="M705" s="53">
        <f>IF($C705="","",IF(OR($C705="CHUNG",COUNTIF(DM_Ma,$C705)&gt;0),"","MÃ LẠ"))</f>
        <v/>
      </c>
      <c r="N705" s="53">
        <f>IF($A705="","",IF(AND($A705&gt;=pTu,$A705&lt;=pDen),"","NGOÀI KỲ"))</f>
        <v/>
      </c>
      <c r="O705" s="53">
        <f>IF($J705="","",IF($J705&lt;=0,"≤0",""))</f>
        <v/>
      </c>
      <c r="P705" s="53">
        <f>IF(AND($D705="SXC (627)",$F705="Chung"),IF(OR($G705="Cố định",$G705="Biến đổi"),"","THIẾU TÍNH CHẤT"),"")</f>
        <v/>
      </c>
    </row>
    <row r="706" ht="15" customHeight="1" s="54">
      <c r="A706" s="71" t="n"/>
      <c r="B706" s="67" t="n"/>
      <c r="C706" s="67" t="n"/>
      <c r="D706" s="67" t="n"/>
      <c r="E706" s="79">
        <f>IFERROR(INDEX(MAP_TK,MATCH($D706,MAP_KM,0)),"")</f>
        <v/>
      </c>
      <c r="F706" s="67" t="n"/>
      <c r="G706" s="67" t="n"/>
      <c r="H706" s="67" t="n"/>
      <c r="I706" s="67" t="n"/>
      <c r="J706" s="75" t="n"/>
      <c r="K706" s="67" t="n"/>
      <c r="M706" s="53">
        <f>IF($C706="","",IF(OR($C706="CHUNG",COUNTIF(DM_Ma,$C706)&gt;0),"","MÃ LẠ"))</f>
        <v/>
      </c>
      <c r="N706" s="53">
        <f>IF($A706="","",IF(AND($A706&gt;=pTu,$A706&lt;=pDen),"","NGOÀI KỲ"))</f>
        <v/>
      </c>
      <c r="O706" s="53">
        <f>IF($J706="","",IF($J706&lt;=0,"≤0",""))</f>
        <v/>
      </c>
      <c r="P706" s="53">
        <f>IF(AND($D706="SXC (627)",$F706="Chung"),IF(OR($G706="Cố định",$G706="Biến đổi"),"","THIẾU TÍNH CHẤT"),"")</f>
        <v/>
      </c>
    </row>
    <row r="707" ht="15" customHeight="1" s="54">
      <c r="A707" s="71" t="n"/>
      <c r="B707" s="67" t="n"/>
      <c r="C707" s="67" t="n"/>
      <c r="D707" s="67" t="n"/>
      <c r="E707" s="79">
        <f>IFERROR(INDEX(MAP_TK,MATCH($D707,MAP_KM,0)),"")</f>
        <v/>
      </c>
      <c r="F707" s="67" t="n"/>
      <c r="G707" s="67" t="n"/>
      <c r="H707" s="67" t="n"/>
      <c r="I707" s="67" t="n"/>
      <c r="J707" s="75" t="n"/>
      <c r="K707" s="67" t="n"/>
      <c r="M707" s="53">
        <f>IF($C707="","",IF(OR($C707="CHUNG",COUNTIF(DM_Ma,$C707)&gt;0),"","MÃ LẠ"))</f>
        <v/>
      </c>
      <c r="N707" s="53">
        <f>IF($A707="","",IF(AND($A707&gt;=pTu,$A707&lt;=pDen),"","NGOÀI KỲ"))</f>
        <v/>
      </c>
      <c r="O707" s="53">
        <f>IF($J707="","",IF($J707&lt;=0,"≤0",""))</f>
        <v/>
      </c>
      <c r="P707" s="53">
        <f>IF(AND($D707="SXC (627)",$F707="Chung"),IF(OR($G707="Cố định",$G707="Biến đổi"),"","THIẾU TÍNH CHẤT"),"")</f>
        <v/>
      </c>
    </row>
    <row r="708" ht="15" customHeight="1" s="54">
      <c r="A708" s="71" t="n"/>
      <c r="B708" s="67" t="n"/>
      <c r="C708" s="67" t="n"/>
      <c r="D708" s="67" t="n"/>
      <c r="E708" s="79">
        <f>IFERROR(INDEX(MAP_TK,MATCH($D708,MAP_KM,0)),"")</f>
        <v/>
      </c>
      <c r="F708" s="67" t="n"/>
      <c r="G708" s="67" t="n"/>
      <c r="H708" s="67" t="n"/>
      <c r="I708" s="67" t="n"/>
      <c r="J708" s="75" t="n"/>
      <c r="K708" s="67" t="n"/>
      <c r="M708" s="53">
        <f>IF($C708="","",IF(OR($C708="CHUNG",COUNTIF(DM_Ma,$C708)&gt;0),"","MÃ LẠ"))</f>
        <v/>
      </c>
      <c r="N708" s="53">
        <f>IF($A708="","",IF(AND($A708&gt;=pTu,$A708&lt;=pDen),"","NGOÀI KỲ"))</f>
        <v/>
      </c>
      <c r="O708" s="53">
        <f>IF($J708="","",IF($J708&lt;=0,"≤0",""))</f>
        <v/>
      </c>
      <c r="P708" s="53">
        <f>IF(AND($D708="SXC (627)",$F708="Chung"),IF(OR($G708="Cố định",$G708="Biến đổi"),"","THIẾU TÍNH CHẤT"),"")</f>
        <v/>
      </c>
    </row>
    <row r="709" ht="15" customHeight="1" s="54">
      <c r="A709" s="71" t="n"/>
      <c r="B709" s="67" t="n"/>
      <c r="C709" s="67" t="n"/>
      <c r="D709" s="67" t="n"/>
      <c r="E709" s="79">
        <f>IFERROR(INDEX(MAP_TK,MATCH($D709,MAP_KM,0)),"")</f>
        <v/>
      </c>
      <c r="F709" s="67" t="n"/>
      <c r="G709" s="67" t="n"/>
      <c r="H709" s="67" t="n"/>
      <c r="I709" s="67" t="n"/>
      <c r="J709" s="75" t="n"/>
      <c r="K709" s="67" t="n"/>
      <c r="M709" s="53">
        <f>IF($C709="","",IF(OR($C709="CHUNG",COUNTIF(DM_Ma,$C709)&gt;0),"","MÃ LẠ"))</f>
        <v/>
      </c>
      <c r="N709" s="53">
        <f>IF($A709="","",IF(AND($A709&gt;=pTu,$A709&lt;=pDen),"","NGOÀI KỲ"))</f>
        <v/>
      </c>
      <c r="O709" s="53">
        <f>IF($J709="","",IF($J709&lt;=0,"≤0",""))</f>
        <v/>
      </c>
      <c r="P709" s="53">
        <f>IF(AND($D709="SXC (627)",$F709="Chung"),IF(OR($G709="Cố định",$G709="Biến đổi"),"","THIẾU TÍNH CHẤT"),"")</f>
        <v/>
      </c>
    </row>
    <row r="710" ht="15" customHeight="1" s="54">
      <c r="A710" s="71" t="n"/>
      <c r="B710" s="67" t="n"/>
      <c r="C710" s="67" t="n"/>
      <c r="D710" s="67" t="n"/>
      <c r="E710" s="79">
        <f>IFERROR(INDEX(MAP_TK,MATCH($D710,MAP_KM,0)),"")</f>
        <v/>
      </c>
      <c r="F710" s="67" t="n"/>
      <c r="G710" s="67" t="n"/>
      <c r="H710" s="67" t="n"/>
      <c r="I710" s="67" t="n"/>
      <c r="J710" s="75" t="n"/>
      <c r="K710" s="67" t="n"/>
      <c r="M710" s="53">
        <f>IF($C710="","",IF(OR($C710="CHUNG",COUNTIF(DM_Ma,$C710)&gt;0),"","MÃ LẠ"))</f>
        <v/>
      </c>
      <c r="N710" s="53">
        <f>IF($A710="","",IF(AND($A710&gt;=pTu,$A710&lt;=pDen),"","NGOÀI KỲ"))</f>
        <v/>
      </c>
      <c r="O710" s="53">
        <f>IF($J710="","",IF($J710&lt;=0,"≤0",""))</f>
        <v/>
      </c>
      <c r="P710" s="53">
        <f>IF(AND($D710="SXC (627)",$F710="Chung"),IF(OR($G710="Cố định",$G710="Biến đổi"),"","THIẾU TÍNH CHẤT"),"")</f>
        <v/>
      </c>
    </row>
    <row r="711" ht="15" customHeight="1" s="54">
      <c r="A711" s="71" t="n"/>
      <c r="B711" s="67" t="n"/>
      <c r="C711" s="67" t="n"/>
      <c r="D711" s="67" t="n"/>
      <c r="E711" s="79">
        <f>IFERROR(INDEX(MAP_TK,MATCH($D711,MAP_KM,0)),"")</f>
        <v/>
      </c>
      <c r="F711" s="67" t="n"/>
      <c r="G711" s="67" t="n"/>
      <c r="H711" s="67" t="n"/>
      <c r="I711" s="67" t="n"/>
      <c r="J711" s="75" t="n"/>
      <c r="K711" s="67" t="n"/>
      <c r="M711" s="53">
        <f>IF($C711="","",IF(OR($C711="CHUNG",COUNTIF(DM_Ma,$C711)&gt;0),"","MÃ LẠ"))</f>
        <v/>
      </c>
      <c r="N711" s="53">
        <f>IF($A711="","",IF(AND($A711&gt;=pTu,$A711&lt;=pDen),"","NGOÀI KỲ"))</f>
        <v/>
      </c>
      <c r="O711" s="53">
        <f>IF($J711="","",IF($J711&lt;=0,"≤0",""))</f>
        <v/>
      </c>
      <c r="P711" s="53">
        <f>IF(AND($D711="SXC (627)",$F711="Chung"),IF(OR($G711="Cố định",$G711="Biến đổi"),"","THIẾU TÍNH CHẤT"),"")</f>
        <v/>
      </c>
    </row>
    <row r="712" ht="15" customHeight="1" s="54">
      <c r="A712" s="71" t="n"/>
      <c r="B712" s="67" t="n"/>
      <c r="C712" s="67" t="n"/>
      <c r="D712" s="67" t="n"/>
      <c r="E712" s="79">
        <f>IFERROR(INDEX(MAP_TK,MATCH($D712,MAP_KM,0)),"")</f>
        <v/>
      </c>
      <c r="F712" s="67" t="n"/>
      <c r="G712" s="67" t="n"/>
      <c r="H712" s="67" t="n"/>
      <c r="I712" s="67" t="n"/>
      <c r="J712" s="75" t="n"/>
      <c r="K712" s="67" t="n"/>
      <c r="M712" s="53">
        <f>IF($C712="","",IF(OR($C712="CHUNG",COUNTIF(DM_Ma,$C712)&gt;0),"","MÃ LẠ"))</f>
        <v/>
      </c>
      <c r="N712" s="53">
        <f>IF($A712="","",IF(AND($A712&gt;=pTu,$A712&lt;=pDen),"","NGOÀI KỲ"))</f>
        <v/>
      </c>
      <c r="O712" s="53">
        <f>IF($J712="","",IF($J712&lt;=0,"≤0",""))</f>
        <v/>
      </c>
      <c r="P712" s="53">
        <f>IF(AND($D712="SXC (627)",$F712="Chung"),IF(OR($G712="Cố định",$G712="Biến đổi"),"","THIẾU TÍNH CHẤT"),"")</f>
        <v/>
      </c>
    </row>
    <row r="713" ht="15" customHeight="1" s="54">
      <c r="A713" s="71" t="n"/>
      <c r="B713" s="67" t="n"/>
      <c r="C713" s="67" t="n"/>
      <c r="D713" s="67" t="n"/>
      <c r="E713" s="79">
        <f>IFERROR(INDEX(MAP_TK,MATCH($D713,MAP_KM,0)),"")</f>
        <v/>
      </c>
      <c r="F713" s="67" t="n"/>
      <c r="G713" s="67" t="n"/>
      <c r="H713" s="67" t="n"/>
      <c r="I713" s="67" t="n"/>
      <c r="J713" s="75" t="n"/>
      <c r="K713" s="67" t="n"/>
      <c r="M713" s="53">
        <f>IF($C713="","",IF(OR($C713="CHUNG",COUNTIF(DM_Ma,$C713)&gt;0),"","MÃ LẠ"))</f>
        <v/>
      </c>
      <c r="N713" s="53">
        <f>IF($A713="","",IF(AND($A713&gt;=pTu,$A713&lt;=pDen),"","NGOÀI KỲ"))</f>
        <v/>
      </c>
      <c r="O713" s="53">
        <f>IF($J713="","",IF($J713&lt;=0,"≤0",""))</f>
        <v/>
      </c>
      <c r="P713" s="53">
        <f>IF(AND($D713="SXC (627)",$F713="Chung"),IF(OR($G713="Cố định",$G713="Biến đổi"),"","THIẾU TÍNH CHẤT"),"")</f>
        <v/>
      </c>
    </row>
    <row r="714" ht="15" customHeight="1" s="54">
      <c r="A714" s="71" t="n"/>
      <c r="B714" s="67" t="n"/>
      <c r="C714" s="67" t="n"/>
      <c r="D714" s="67" t="n"/>
      <c r="E714" s="79">
        <f>IFERROR(INDEX(MAP_TK,MATCH($D714,MAP_KM,0)),"")</f>
        <v/>
      </c>
      <c r="F714" s="67" t="n"/>
      <c r="G714" s="67" t="n"/>
      <c r="H714" s="67" t="n"/>
      <c r="I714" s="67" t="n"/>
      <c r="J714" s="75" t="n"/>
      <c r="K714" s="67" t="n"/>
      <c r="M714" s="53">
        <f>IF($C714="","",IF(OR($C714="CHUNG",COUNTIF(DM_Ma,$C714)&gt;0),"","MÃ LẠ"))</f>
        <v/>
      </c>
      <c r="N714" s="53">
        <f>IF($A714="","",IF(AND($A714&gt;=pTu,$A714&lt;=pDen),"","NGOÀI KỲ"))</f>
        <v/>
      </c>
      <c r="O714" s="53">
        <f>IF($J714="","",IF($J714&lt;=0,"≤0",""))</f>
        <v/>
      </c>
      <c r="P714" s="53">
        <f>IF(AND($D714="SXC (627)",$F714="Chung"),IF(OR($G714="Cố định",$G714="Biến đổi"),"","THIẾU TÍNH CHẤT"),"")</f>
        <v/>
      </c>
    </row>
    <row r="715" ht="15" customHeight="1" s="54">
      <c r="A715" s="71" t="n"/>
      <c r="B715" s="67" t="n"/>
      <c r="C715" s="67" t="n"/>
      <c r="D715" s="67" t="n"/>
      <c r="E715" s="79">
        <f>IFERROR(INDEX(MAP_TK,MATCH($D715,MAP_KM,0)),"")</f>
        <v/>
      </c>
      <c r="F715" s="67" t="n"/>
      <c r="G715" s="67" t="n"/>
      <c r="H715" s="67" t="n"/>
      <c r="I715" s="67" t="n"/>
      <c r="J715" s="75" t="n"/>
      <c r="K715" s="67" t="n"/>
      <c r="M715" s="53">
        <f>IF($C715="","",IF(OR($C715="CHUNG",COUNTIF(DM_Ma,$C715)&gt;0),"","MÃ LẠ"))</f>
        <v/>
      </c>
      <c r="N715" s="53">
        <f>IF($A715="","",IF(AND($A715&gt;=pTu,$A715&lt;=pDen),"","NGOÀI KỲ"))</f>
        <v/>
      </c>
      <c r="O715" s="53">
        <f>IF($J715="","",IF($J715&lt;=0,"≤0",""))</f>
        <v/>
      </c>
      <c r="P715" s="53">
        <f>IF(AND($D715="SXC (627)",$F715="Chung"),IF(OR($G715="Cố định",$G715="Biến đổi"),"","THIẾU TÍNH CHẤT"),"")</f>
        <v/>
      </c>
    </row>
    <row r="716" ht="15" customHeight="1" s="54">
      <c r="A716" s="71" t="n"/>
      <c r="B716" s="67" t="n"/>
      <c r="C716" s="67" t="n"/>
      <c r="D716" s="67" t="n"/>
      <c r="E716" s="79">
        <f>IFERROR(INDEX(MAP_TK,MATCH($D716,MAP_KM,0)),"")</f>
        <v/>
      </c>
      <c r="F716" s="67" t="n"/>
      <c r="G716" s="67" t="n"/>
      <c r="H716" s="67" t="n"/>
      <c r="I716" s="67" t="n"/>
      <c r="J716" s="75" t="n"/>
      <c r="K716" s="67" t="n"/>
      <c r="M716" s="53">
        <f>IF($C716="","",IF(OR($C716="CHUNG",COUNTIF(DM_Ma,$C716)&gt;0),"","MÃ LẠ"))</f>
        <v/>
      </c>
      <c r="N716" s="53">
        <f>IF($A716="","",IF(AND($A716&gt;=pTu,$A716&lt;=pDen),"","NGOÀI KỲ"))</f>
        <v/>
      </c>
      <c r="O716" s="53">
        <f>IF($J716="","",IF($J716&lt;=0,"≤0",""))</f>
        <v/>
      </c>
      <c r="P716" s="53">
        <f>IF(AND($D716="SXC (627)",$F716="Chung"),IF(OR($G716="Cố định",$G716="Biến đổi"),"","THIẾU TÍNH CHẤT"),"")</f>
        <v/>
      </c>
    </row>
    <row r="717" ht="15" customHeight="1" s="54">
      <c r="A717" s="71" t="n"/>
      <c r="B717" s="67" t="n"/>
      <c r="C717" s="67" t="n"/>
      <c r="D717" s="67" t="n"/>
      <c r="E717" s="79">
        <f>IFERROR(INDEX(MAP_TK,MATCH($D717,MAP_KM,0)),"")</f>
        <v/>
      </c>
      <c r="F717" s="67" t="n"/>
      <c r="G717" s="67" t="n"/>
      <c r="H717" s="67" t="n"/>
      <c r="I717" s="67" t="n"/>
      <c r="J717" s="75" t="n"/>
      <c r="K717" s="67" t="n"/>
      <c r="M717" s="53">
        <f>IF($C717="","",IF(OR($C717="CHUNG",COUNTIF(DM_Ma,$C717)&gt;0),"","MÃ LẠ"))</f>
        <v/>
      </c>
      <c r="N717" s="53">
        <f>IF($A717="","",IF(AND($A717&gt;=pTu,$A717&lt;=pDen),"","NGOÀI KỲ"))</f>
        <v/>
      </c>
      <c r="O717" s="53">
        <f>IF($J717="","",IF($J717&lt;=0,"≤0",""))</f>
        <v/>
      </c>
      <c r="P717" s="53">
        <f>IF(AND($D717="SXC (627)",$F717="Chung"),IF(OR($G717="Cố định",$G717="Biến đổi"),"","THIẾU TÍNH CHẤT"),"")</f>
        <v/>
      </c>
    </row>
    <row r="718" ht="15" customHeight="1" s="54">
      <c r="A718" s="71" t="n"/>
      <c r="B718" s="67" t="n"/>
      <c r="C718" s="67" t="n"/>
      <c r="D718" s="67" t="n"/>
      <c r="E718" s="79">
        <f>IFERROR(INDEX(MAP_TK,MATCH($D718,MAP_KM,0)),"")</f>
        <v/>
      </c>
      <c r="F718" s="67" t="n"/>
      <c r="G718" s="67" t="n"/>
      <c r="H718" s="67" t="n"/>
      <c r="I718" s="67" t="n"/>
      <c r="J718" s="75" t="n"/>
      <c r="K718" s="67" t="n"/>
      <c r="M718" s="53">
        <f>IF($C718="","",IF(OR($C718="CHUNG",COUNTIF(DM_Ma,$C718)&gt;0),"","MÃ LẠ"))</f>
        <v/>
      </c>
      <c r="N718" s="53">
        <f>IF($A718="","",IF(AND($A718&gt;=pTu,$A718&lt;=pDen),"","NGOÀI KỲ"))</f>
        <v/>
      </c>
      <c r="O718" s="53">
        <f>IF($J718="","",IF($J718&lt;=0,"≤0",""))</f>
        <v/>
      </c>
      <c r="P718" s="53">
        <f>IF(AND($D718="SXC (627)",$F718="Chung"),IF(OR($G718="Cố định",$G718="Biến đổi"),"","THIẾU TÍNH CHẤT"),"")</f>
        <v/>
      </c>
    </row>
    <row r="719" ht="15" customHeight="1" s="54">
      <c r="A719" s="71" t="n"/>
      <c r="B719" s="67" t="n"/>
      <c r="C719" s="67" t="n"/>
      <c r="D719" s="67" t="n"/>
      <c r="E719" s="79">
        <f>IFERROR(INDEX(MAP_TK,MATCH($D719,MAP_KM,0)),"")</f>
        <v/>
      </c>
      <c r="F719" s="67" t="n"/>
      <c r="G719" s="67" t="n"/>
      <c r="H719" s="67" t="n"/>
      <c r="I719" s="67" t="n"/>
      <c r="J719" s="75" t="n"/>
      <c r="K719" s="67" t="n"/>
      <c r="M719" s="53">
        <f>IF($C719="","",IF(OR($C719="CHUNG",COUNTIF(DM_Ma,$C719)&gt;0),"","MÃ LẠ"))</f>
        <v/>
      </c>
      <c r="N719" s="53">
        <f>IF($A719="","",IF(AND($A719&gt;=pTu,$A719&lt;=pDen),"","NGOÀI KỲ"))</f>
        <v/>
      </c>
      <c r="O719" s="53">
        <f>IF($J719="","",IF($J719&lt;=0,"≤0",""))</f>
        <v/>
      </c>
      <c r="P719" s="53">
        <f>IF(AND($D719="SXC (627)",$F719="Chung"),IF(OR($G719="Cố định",$G719="Biến đổi"),"","THIẾU TÍNH CHẤT"),"")</f>
        <v/>
      </c>
    </row>
    <row r="720" ht="15" customHeight="1" s="54">
      <c r="A720" s="71" t="n"/>
      <c r="B720" s="67" t="n"/>
      <c r="C720" s="67" t="n"/>
      <c r="D720" s="67" t="n"/>
      <c r="E720" s="79">
        <f>IFERROR(INDEX(MAP_TK,MATCH($D720,MAP_KM,0)),"")</f>
        <v/>
      </c>
      <c r="F720" s="67" t="n"/>
      <c r="G720" s="67" t="n"/>
      <c r="H720" s="67" t="n"/>
      <c r="I720" s="67" t="n"/>
      <c r="J720" s="75" t="n"/>
      <c r="K720" s="67" t="n"/>
      <c r="M720" s="53">
        <f>IF($C720="","",IF(OR($C720="CHUNG",COUNTIF(DM_Ma,$C720)&gt;0),"","MÃ LẠ"))</f>
        <v/>
      </c>
      <c r="N720" s="53">
        <f>IF($A720="","",IF(AND($A720&gt;=pTu,$A720&lt;=pDen),"","NGOÀI KỲ"))</f>
        <v/>
      </c>
      <c r="O720" s="53">
        <f>IF($J720="","",IF($J720&lt;=0,"≤0",""))</f>
        <v/>
      </c>
      <c r="P720" s="53">
        <f>IF(AND($D720="SXC (627)",$F720="Chung"),IF(OR($G720="Cố định",$G720="Biến đổi"),"","THIẾU TÍNH CHẤT"),"")</f>
        <v/>
      </c>
    </row>
    <row r="721" ht="15" customHeight="1" s="54">
      <c r="A721" s="71" t="n"/>
      <c r="B721" s="67" t="n"/>
      <c r="C721" s="67" t="n"/>
      <c r="D721" s="67" t="n"/>
      <c r="E721" s="79">
        <f>IFERROR(INDEX(MAP_TK,MATCH($D721,MAP_KM,0)),"")</f>
        <v/>
      </c>
      <c r="F721" s="67" t="n"/>
      <c r="G721" s="67" t="n"/>
      <c r="H721" s="67" t="n"/>
      <c r="I721" s="67" t="n"/>
      <c r="J721" s="75" t="n"/>
      <c r="K721" s="67" t="n"/>
      <c r="M721" s="53">
        <f>IF($C721="","",IF(OR($C721="CHUNG",COUNTIF(DM_Ma,$C721)&gt;0),"","MÃ LẠ"))</f>
        <v/>
      </c>
      <c r="N721" s="53">
        <f>IF($A721="","",IF(AND($A721&gt;=pTu,$A721&lt;=pDen),"","NGOÀI KỲ"))</f>
        <v/>
      </c>
      <c r="O721" s="53">
        <f>IF($J721="","",IF($J721&lt;=0,"≤0",""))</f>
        <v/>
      </c>
      <c r="P721" s="53">
        <f>IF(AND($D721="SXC (627)",$F721="Chung"),IF(OR($G721="Cố định",$G721="Biến đổi"),"","THIẾU TÍNH CHẤT"),"")</f>
        <v/>
      </c>
    </row>
    <row r="722" ht="15" customHeight="1" s="54">
      <c r="A722" s="71" t="n"/>
      <c r="B722" s="67" t="n"/>
      <c r="C722" s="67" t="n"/>
      <c r="D722" s="67" t="n"/>
      <c r="E722" s="79">
        <f>IFERROR(INDEX(MAP_TK,MATCH($D722,MAP_KM,0)),"")</f>
        <v/>
      </c>
      <c r="F722" s="67" t="n"/>
      <c r="G722" s="67" t="n"/>
      <c r="H722" s="67" t="n"/>
      <c r="I722" s="67" t="n"/>
      <c r="J722" s="75" t="n"/>
      <c r="K722" s="67" t="n"/>
      <c r="M722" s="53">
        <f>IF($C722="","",IF(OR($C722="CHUNG",COUNTIF(DM_Ma,$C722)&gt;0),"","MÃ LẠ"))</f>
        <v/>
      </c>
      <c r="N722" s="53">
        <f>IF($A722="","",IF(AND($A722&gt;=pTu,$A722&lt;=pDen),"","NGOÀI KỲ"))</f>
        <v/>
      </c>
      <c r="O722" s="53">
        <f>IF($J722="","",IF($J722&lt;=0,"≤0",""))</f>
        <v/>
      </c>
      <c r="P722" s="53">
        <f>IF(AND($D722="SXC (627)",$F722="Chung"),IF(OR($G722="Cố định",$G722="Biến đổi"),"","THIẾU TÍNH CHẤT"),"")</f>
        <v/>
      </c>
    </row>
    <row r="723" ht="15" customHeight="1" s="54">
      <c r="A723" s="71" t="n"/>
      <c r="B723" s="67" t="n"/>
      <c r="C723" s="67" t="n"/>
      <c r="D723" s="67" t="n"/>
      <c r="E723" s="79">
        <f>IFERROR(INDEX(MAP_TK,MATCH($D723,MAP_KM,0)),"")</f>
        <v/>
      </c>
      <c r="F723" s="67" t="n"/>
      <c r="G723" s="67" t="n"/>
      <c r="H723" s="67" t="n"/>
      <c r="I723" s="67" t="n"/>
      <c r="J723" s="75" t="n"/>
      <c r="K723" s="67" t="n"/>
      <c r="M723" s="53">
        <f>IF($C723="","",IF(OR($C723="CHUNG",COUNTIF(DM_Ma,$C723)&gt;0),"","MÃ LẠ"))</f>
        <v/>
      </c>
      <c r="N723" s="53">
        <f>IF($A723="","",IF(AND($A723&gt;=pTu,$A723&lt;=pDen),"","NGOÀI KỲ"))</f>
        <v/>
      </c>
      <c r="O723" s="53">
        <f>IF($J723="","",IF($J723&lt;=0,"≤0",""))</f>
        <v/>
      </c>
      <c r="P723" s="53">
        <f>IF(AND($D723="SXC (627)",$F723="Chung"),IF(OR($G723="Cố định",$G723="Biến đổi"),"","THIẾU TÍNH CHẤT"),"")</f>
        <v/>
      </c>
    </row>
    <row r="724" ht="15" customHeight="1" s="54">
      <c r="A724" s="71" t="n"/>
      <c r="B724" s="67" t="n"/>
      <c r="C724" s="67" t="n"/>
      <c r="D724" s="67" t="n"/>
      <c r="E724" s="79">
        <f>IFERROR(INDEX(MAP_TK,MATCH($D724,MAP_KM,0)),"")</f>
        <v/>
      </c>
      <c r="F724" s="67" t="n"/>
      <c r="G724" s="67" t="n"/>
      <c r="H724" s="67" t="n"/>
      <c r="I724" s="67" t="n"/>
      <c r="J724" s="75" t="n"/>
      <c r="K724" s="67" t="n"/>
      <c r="M724" s="53">
        <f>IF($C724="","",IF(OR($C724="CHUNG",COUNTIF(DM_Ma,$C724)&gt;0),"","MÃ LẠ"))</f>
        <v/>
      </c>
      <c r="N724" s="53">
        <f>IF($A724="","",IF(AND($A724&gt;=pTu,$A724&lt;=pDen),"","NGOÀI KỲ"))</f>
        <v/>
      </c>
      <c r="O724" s="53">
        <f>IF($J724="","",IF($J724&lt;=0,"≤0",""))</f>
        <v/>
      </c>
      <c r="P724" s="53">
        <f>IF(AND($D724="SXC (627)",$F724="Chung"),IF(OR($G724="Cố định",$G724="Biến đổi"),"","THIẾU TÍNH CHẤT"),"")</f>
        <v/>
      </c>
    </row>
    <row r="725" ht="15" customHeight="1" s="54">
      <c r="A725" s="71" t="n"/>
      <c r="B725" s="67" t="n"/>
      <c r="C725" s="67" t="n"/>
      <c r="D725" s="67" t="n"/>
      <c r="E725" s="79">
        <f>IFERROR(INDEX(MAP_TK,MATCH($D725,MAP_KM,0)),"")</f>
        <v/>
      </c>
      <c r="F725" s="67" t="n"/>
      <c r="G725" s="67" t="n"/>
      <c r="H725" s="67" t="n"/>
      <c r="I725" s="67" t="n"/>
      <c r="J725" s="75" t="n"/>
      <c r="K725" s="67" t="n"/>
      <c r="M725" s="53">
        <f>IF($C725="","",IF(OR($C725="CHUNG",COUNTIF(DM_Ma,$C725)&gt;0),"","MÃ LẠ"))</f>
        <v/>
      </c>
      <c r="N725" s="53">
        <f>IF($A725="","",IF(AND($A725&gt;=pTu,$A725&lt;=pDen),"","NGOÀI KỲ"))</f>
        <v/>
      </c>
      <c r="O725" s="53">
        <f>IF($J725="","",IF($J725&lt;=0,"≤0",""))</f>
        <v/>
      </c>
      <c r="P725" s="53">
        <f>IF(AND($D725="SXC (627)",$F725="Chung"),IF(OR($G725="Cố định",$G725="Biến đổi"),"","THIẾU TÍNH CHẤT"),"")</f>
        <v/>
      </c>
    </row>
    <row r="726" ht="15" customHeight="1" s="54">
      <c r="A726" s="71" t="n"/>
      <c r="B726" s="67" t="n"/>
      <c r="C726" s="67" t="n"/>
      <c r="D726" s="67" t="n"/>
      <c r="E726" s="79">
        <f>IFERROR(INDEX(MAP_TK,MATCH($D726,MAP_KM,0)),"")</f>
        <v/>
      </c>
      <c r="F726" s="67" t="n"/>
      <c r="G726" s="67" t="n"/>
      <c r="H726" s="67" t="n"/>
      <c r="I726" s="67" t="n"/>
      <c r="J726" s="75" t="n"/>
      <c r="K726" s="67" t="n"/>
      <c r="M726" s="53">
        <f>IF($C726="","",IF(OR($C726="CHUNG",COUNTIF(DM_Ma,$C726)&gt;0),"","MÃ LẠ"))</f>
        <v/>
      </c>
      <c r="N726" s="53">
        <f>IF($A726="","",IF(AND($A726&gt;=pTu,$A726&lt;=pDen),"","NGOÀI KỲ"))</f>
        <v/>
      </c>
      <c r="O726" s="53">
        <f>IF($J726="","",IF($J726&lt;=0,"≤0",""))</f>
        <v/>
      </c>
      <c r="P726" s="53">
        <f>IF(AND($D726="SXC (627)",$F726="Chung"),IF(OR($G726="Cố định",$G726="Biến đổi"),"","THIẾU TÍNH CHẤT"),"")</f>
        <v/>
      </c>
    </row>
    <row r="727" ht="15" customHeight="1" s="54">
      <c r="A727" s="71" t="n"/>
      <c r="B727" s="67" t="n"/>
      <c r="C727" s="67" t="n"/>
      <c r="D727" s="67" t="n"/>
      <c r="E727" s="79">
        <f>IFERROR(INDEX(MAP_TK,MATCH($D727,MAP_KM,0)),"")</f>
        <v/>
      </c>
      <c r="F727" s="67" t="n"/>
      <c r="G727" s="67" t="n"/>
      <c r="H727" s="67" t="n"/>
      <c r="I727" s="67" t="n"/>
      <c r="J727" s="75" t="n"/>
      <c r="K727" s="67" t="n"/>
      <c r="M727" s="53">
        <f>IF($C727="","",IF(OR($C727="CHUNG",COUNTIF(DM_Ma,$C727)&gt;0),"","MÃ LẠ"))</f>
        <v/>
      </c>
      <c r="N727" s="53">
        <f>IF($A727="","",IF(AND($A727&gt;=pTu,$A727&lt;=pDen),"","NGOÀI KỲ"))</f>
        <v/>
      </c>
      <c r="O727" s="53">
        <f>IF($J727="","",IF($J727&lt;=0,"≤0",""))</f>
        <v/>
      </c>
      <c r="P727" s="53">
        <f>IF(AND($D727="SXC (627)",$F727="Chung"),IF(OR($G727="Cố định",$G727="Biến đổi"),"","THIẾU TÍNH CHẤT"),"")</f>
        <v/>
      </c>
    </row>
    <row r="728" ht="15" customHeight="1" s="54">
      <c r="A728" s="71" t="n"/>
      <c r="B728" s="67" t="n"/>
      <c r="C728" s="67" t="n"/>
      <c r="D728" s="67" t="n"/>
      <c r="E728" s="79">
        <f>IFERROR(INDEX(MAP_TK,MATCH($D728,MAP_KM,0)),"")</f>
        <v/>
      </c>
      <c r="F728" s="67" t="n"/>
      <c r="G728" s="67" t="n"/>
      <c r="H728" s="67" t="n"/>
      <c r="I728" s="67" t="n"/>
      <c r="J728" s="75" t="n"/>
      <c r="K728" s="67" t="n"/>
      <c r="M728" s="53">
        <f>IF($C728="","",IF(OR($C728="CHUNG",COUNTIF(DM_Ma,$C728)&gt;0),"","MÃ LẠ"))</f>
        <v/>
      </c>
      <c r="N728" s="53">
        <f>IF($A728="","",IF(AND($A728&gt;=pTu,$A728&lt;=pDen),"","NGOÀI KỲ"))</f>
        <v/>
      </c>
      <c r="O728" s="53">
        <f>IF($J728="","",IF($J728&lt;=0,"≤0",""))</f>
        <v/>
      </c>
      <c r="P728" s="53">
        <f>IF(AND($D728="SXC (627)",$F728="Chung"),IF(OR($G728="Cố định",$G728="Biến đổi"),"","THIẾU TÍNH CHẤT"),"")</f>
        <v/>
      </c>
    </row>
    <row r="729" ht="15" customHeight="1" s="54">
      <c r="A729" s="71" t="n"/>
      <c r="B729" s="67" t="n"/>
      <c r="C729" s="67" t="n"/>
      <c r="D729" s="67" t="n"/>
      <c r="E729" s="79">
        <f>IFERROR(INDEX(MAP_TK,MATCH($D729,MAP_KM,0)),"")</f>
        <v/>
      </c>
      <c r="F729" s="67" t="n"/>
      <c r="G729" s="67" t="n"/>
      <c r="H729" s="67" t="n"/>
      <c r="I729" s="67" t="n"/>
      <c r="J729" s="75" t="n"/>
      <c r="K729" s="67" t="n"/>
      <c r="M729" s="53">
        <f>IF($C729="","",IF(OR($C729="CHUNG",COUNTIF(DM_Ma,$C729)&gt;0),"","MÃ LẠ"))</f>
        <v/>
      </c>
      <c r="N729" s="53">
        <f>IF($A729="","",IF(AND($A729&gt;=pTu,$A729&lt;=pDen),"","NGOÀI KỲ"))</f>
        <v/>
      </c>
      <c r="O729" s="53">
        <f>IF($J729="","",IF($J729&lt;=0,"≤0",""))</f>
        <v/>
      </c>
      <c r="P729" s="53">
        <f>IF(AND($D729="SXC (627)",$F729="Chung"),IF(OR($G729="Cố định",$G729="Biến đổi"),"","THIẾU TÍNH CHẤT"),"")</f>
        <v/>
      </c>
    </row>
    <row r="730" ht="15" customHeight="1" s="54">
      <c r="A730" s="71" t="n"/>
      <c r="B730" s="67" t="n"/>
      <c r="C730" s="67" t="n"/>
      <c r="D730" s="67" t="n"/>
      <c r="E730" s="79">
        <f>IFERROR(INDEX(MAP_TK,MATCH($D730,MAP_KM,0)),"")</f>
        <v/>
      </c>
      <c r="F730" s="67" t="n"/>
      <c r="G730" s="67" t="n"/>
      <c r="H730" s="67" t="n"/>
      <c r="I730" s="67" t="n"/>
      <c r="J730" s="75" t="n"/>
      <c r="K730" s="67" t="n"/>
      <c r="M730" s="53">
        <f>IF($C730="","",IF(OR($C730="CHUNG",COUNTIF(DM_Ma,$C730)&gt;0),"","MÃ LẠ"))</f>
        <v/>
      </c>
      <c r="N730" s="53">
        <f>IF($A730="","",IF(AND($A730&gt;=pTu,$A730&lt;=pDen),"","NGOÀI KỲ"))</f>
        <v/>
      </c>
      <c r="O730" s="53">
        <f>IF($J730="","",IF($J730&lt;=0,"≤0",""))</f>
        <v/>
      </c>
      <c r="P730" s="53">
        <f>IF(AND($D730="SXC (627)",$F730="Chung"),IF(OR($G730="Cố định",$G730="Biến đổi"),"","THIẾU TÍNH CHẤT"),"")</f>
        <v/>
      </c>
    </row>
    <row r="731" ht="15" customHeight="1" s="54">
      <c r="A731" s="71" t="n"/>
      <c r="B731" s="67" t="n"/>
      <c r="C731" s="67" t="n"/>
      <c r="D731" s="67" t="n"/>
      <c r="E731" s="79">
        <f>IFERROR(INDEX(MAP_TK,MATCH($D731,MAP_KM,0)),"")</f>
        <v/>
      </c>
      <c r="F731" s="67" t="n"/>
      <c r="G731" s="67" t="n"/>
      <c r="H731" s="67" t="n"/>
      <c r="I731" s="67" t="n"/>
      <c r="J731" s="75" t="n"/>
      <c r="K731" s="67" t="n"/>
      <c r="M731" s="53">
        <f>IF($C731="","",IF(OR($C731="CHUNG",COUNTIF(DM_Ma,$C731)&gt;0),"","MÃ LẠ"))</f>
        <v/>
      </c>
      <c r="N731" s="53">
        <f>IF($A731="","",IF(AND($A731&gt;=pTu,$A731&lt;=pDen),"","NGOÀI KỲ"))</f>
        <v/>
      </c>
      <c r="O731" s="53">
        <f>IF($J731="","",IF($J731&lt;=0,"≤0",""))</f>
        <v/>
      </c>
      <c r="P731" s="53">
        <f>IF(AND($D731="SXC (627)",$F731="Chung"),IF(OR($G731="Cố định",$G731="Biến đổi"),"","THIẾU TÍNH CHẤT"),"")</f>
        <v/>
      </c>
    </row>
    <row r="732" ht="15" customHeight="1" s="54">
      <c r="A732" s="71" t="n"/>
      <c r="B732" s="67" t="n"/>
      <c r="C732" s="67" t="n"/>
      <c r="D732" s="67" t="n"/>
      <c r="E732" s="79">
        <f>IFERROR(INDEX(MAP_TK,MATCH($D732,MAP_KM,0)),"")</f>
        <v/>
      </c>
      <c r="F732" s="67" t="n"/>
      <c r="G732" s="67" t="n"/>
      <c r="H732" s="67" t="n"/>
      <c r="I732" s="67" t="n"/>
      <c r="J732" s="75" t="n"/>
      <c r="K732" s="67" t="n"/>
      <c r="M732" s="53">
        <f>IF($C732="","",IF(OR($C732="CHUNG",COUNTIF(DM_Ma,$C732)&gt;0),"","MÃ LẠ"))</f>
        <v/>
      </c>
      <c r="N732" s="53">
        <f>IF($A732="","",IF(AND($A732&gt;=pTu,$A732&lt;=pDen),"","NGOÀI KỲ"))</f>
        <v/>
      </c>
      <c r="O732" s="53">
        <f>IF($J732="","",IF($J732&lt;=0,"≤0",""))</f>
        <v/>
      </c>
      <c r="P732" s="53">
        <f>IF(AND($D732="SXC (627)",$F732="Chung"),IF(OR($G732="Cố định",$G732="Biến đổi"),"","THIẾU TÍNH CHẤT"),"")</f>
        <v/>
      </c>
    </row>
    <row r="733" ht="15" customHeight="1" s="54">
      <c r="A733" s="71" t="n"/>
      <c r="B733" s="67" t="n"/>
      <c r="C733" s="67" t="n"/>
      <c r="D733" s="67" t="n"/>
      <c r="E733" s="79">
        <f>IFERROR(INDEX(MAP_TK,MATCH($D733,MAP_KM,0)),"")</f>
        <v/>
      </c>
      <c r="F733" s="67" t="n"/>
      <c r="G733" s="67" t="n"/>
      <c r="H733" s="67" t="n"/>
      <c r="I733" s="67" t="n"/>
      <c r="J733" s="75" t="n"/>
      <c r="K733" s="67" t="n"/>
      <c r="M733" s="53">
        <f>IF($C733="","",IF(OR($C733="CHUNG",COUNTIF(DM_Ma,$C733)&gt;0),"","MÃ LẠ"))</f>
        <v/>
      </c>
      <c r="N733" s="53">
        <f>IF($A733="","",IF(AND($A733&gt;=pTu,$A733&lt;=pDen),"","NGOÀI KỲ"))</f>
        <v/>
      </c>
      <c r="O733" s="53">
        <f>IF($J733="","",IF($J733&lt;=0,"≤0",""))</f>
        <v/>
      </c>
      <c r="P733" s="53">
        <f>IF(AND($D733="SXC (627)",$F733="Chung"),IF(OR($G733="Cố định",$G733="Biến đổi"),"","THIẾU TÍNH CHẤT"),"")</f>
        <v/>
      </c>
    </row>
    <row r="734" ht="15" customHeight="1" s="54">
      <c r="A734" s="71" t="n"/>
      <c r="B734" s="67" t="n"/>
      <c r="C734" s="67" t="n"/>
      <c r="D734" s="67" t="n"/>
      <c r="E734" s="79">
        <f>IFERROR(INDEX(MAP_TK,MATCH($D734,MAP_KM,0)),"")</f>
        <v/>
      </c>
      <c r="F734" s="67" t="n"/>
      <c r="G734" s="67" t="n"/>
      <c r="H734" s="67" t="n"/>
      <c r="I734" s="67" t="n"/>
      <c r="J734" s="75" t="n"/>
      <c r="K734" s="67" t="n"/>
      <c r="M734" s="53">
        <f>IF($C734="","",IF(OR($C734="CHUNG",COUNTIF(DM_Ma,$C734)&gt;0),"","MÃ LẠ"))</f>
        <v/>
      </c>
      <c r="N734" s="53">
        <f>IF($A734="","",IF(AND($A734&gt;=pTu,$A734&lt;=pDen),"","NGOÀI KỲ"))</f>
        <v/>
      </c>
      <c r="O734" s="53">
        <f>IF($J734="","",IF($J734&lt;=0,"≤0",""))</f>
        <v/>
      </c>
      <c r="P734" s="53">
        <f>IF(AND($D734="SXC (627)",$F734="Chung"),IF(OR($G734="Cố định",$G734="Biến đổi"),"","THIẾU TÍNH CHẤT"),"")</f>
        <v/>
      </c>
    </row>
    <row r="735" ht="15" customHeight="1" s="54">
      <c r="A735" s="71" t="n"/>
      <c r="B735" s="67" t="n"/>
      <c r="C735" s="67" t="n"/>
      <c r="D735" s="67" t="n"/>
      <c r="E735" s="79">
        <f>IFERROR(INDEX(MAP_TK,MATCH($D735,MAP_KM,0)),"")</f>
        <v/>
      </c>
      <c r="F735" s="67" t="n"/>
      <c r="G735" s="67" t="n"/>
      <c r="H735" s="67" t="n"/>
      <c r="I735" s="67" t="n"/>
      <c r="J735" s="75" t="n"/>
      <c r="K735" s="67" t="n"/>
      <c r="M735" s="53">
        <f>IF($C735="","",IF(OR($C735="CHUNG",COUNTIF(DM_Ma,$C735)&gt;0),"","MÃ LẠ"))</f>
        <v/>
      </c>
      <c r="N735" s="53">
        <f>IF($A735="","",IF(AND($A735&gt;=pTu,$A735&lt;=pDen),"","NGOÀI KỲ"))</f>
        <v/>
      </c>
      <c r="O735" s="53">
        <f>IF($J735="","",IF($J735&lt;=0,"≤0",""))</f>
        <v/>
      </c>
      <c r="P735" s="53">
        <f>IF(AND($D735="SXC (627)",$F735="Chung"),IF(OR($G735="Cố định",$G735="Biến đổi"),"","THIẾU TÍNH CHẤT"),"")</f>
        <v/>
      </c>
    </row>
    <row r="736" ht="15" customHeight="1" s="54">
      <c r="A736" s="71" t="n"/>
      <c r="B736" s="67" t="n"/>
      <c r="C736" s="67" t="n"/>
      <c r="D736" s="67" t="n"/>
      <c r="E736" s="79">
        <f>IFERROR(INDEX(MAP_TK,MATCH($D736,MAP_KM,0)),"")</f>
        <v/>
      </c>
      <c r="F736" s="67" t="n"/>
      <c r="G736" s="67" t="n"/>
      <c r="H736" s="67" t="n"/>
      <c r="I736" s="67" t="n"/>
      <c r="J736" s="75" t="n"/>
      <c r="K736" s="67" t="n"/>
      <c r="M736" s="53">
        <f>IF($C736="","",IF(OR($C736="CHUNG",COUNTIF(DM_Ma,$C736)&gt;0),"","MÃ LẠ"))</f>
        <v/>
      </c>
      <c r="N736" s="53">
        <f>IF($A736="","",IF(AND($A736&gt;=pTu,$A736&lt;=pDen),"","NGOÀI KỲ"))</f>
        <v/>
      </c>
      <c r="O736" s="53">
        <f>IF($J736="","",IF($J736&lt;=0,"≤0",""))</f>
        <v/>
      </c>
      <c r="P736" s="53">
        <f>IF(AND($D736="SXC (627)",$F736="Chung"),IF(OR($G736="Cố định",$G736="Biến đổi"),"","THIẾU TÍNH CHẤT"),"")</f>
        <v/>
      </c>
    </row>
    <row r="737" ht="15" customHeight="1" s="54">
      <c r="A737" s="71" t="n"/>
      <c r="B737" s="67" t="n"/>
      <c r="C737" s="67" t="n"/>
      <c r="D737" s="67" t="n"/>
      <c r="E737" s="79">
        <f>IFERROR(INDEX(MAP_TK,MATCH($D737,MAP_KM,0)),"")</f>
        <v/>
      </c>
      <c r="F737" s="67" t="n"/>
      <c r="G737" s="67" t="n"/>
      <c r="H737" s="67" t="n"/>
      <c r="I737" s="67" t="n"/>
      <c r="J737" s="75" t="n"/>
      <c r="K737" s="67" t="n"/>
      <c r="M737" s="53">
        <f>IF($C737="","",IF(OR($C737="CHUNG",COUNTIF(DM_Ma,$C737)&gt;0),"","MÃ LẠ"))</f>
        <v/>
      </c>
      <c r="N737" s="53">
        <f>IF($A737="","",IF(AND($A737&gt;=pTu,$A737&lt;=pDen),"","NGOÀI KỲ"))</f>
        <v/>
      </c>
      <c r="O737" s="53">
        <f>IF($J737="","",IF($J737&lt;=0,"≤0",""))</f>
        <v/>
      </c>
      <c r="P737" s="53">
        <f>IF(AND($D737="SXC (627)",$F737="Chung"),IF(OR($G737="Cố định",$G737="Biến đổi"),"","THIẾU TÍNH CHẤT"),"")</f>
        <v/>
      </c>
    </row>
    <row r="738" ht="15" customHeight="1" s="54">
      <c r="A738" s="71" t="n"/>
      <c r="B738" s="67" t="n"/>
      <c r="C738" s="67" t="n"/>
      <c r="D738" s="67" t="n"/>
      <c r="E738" s="79">
        <f>IFERROR(INDEX(MAP_TK,MATCH($D738,MAP_KM,0)),"")</f>
        <v/>
      </c>
      <c r="F738" s="67" t="n"/>
      <c r="G738" s="67" t="n"/>
      <c r="H738" s="67" t="n"/>
      <c r="I738" s="67" t="n"/>
      <c r="J738" s="75" t="n"/>
      <c r="K738" s="67" t="n"/>
      <c r="M738" s="53">
        <f>IF($C738="","",IF(OR($C738="CHUNG",COUNTIF(DM_Ma,$C738)&gt;0),"","MÃ LẠ"))</f>
        <v/>
      </c>
      <c r="N738" s="53">
        <f>IF($A738="","",IF(AND($A738&gt;=pTu,$A738&lt;=pDen),"","NGOÀI KỲ"))</f>
        <v/>
      </c>
      <c r="O738" s="53">
        <f>IF($J738="","",IF($J738&lt;=0,"≤0",""))</f>
        <v/>
      </c>
      <c r="P738" s="53">
        <f>IF(AND($D738="SXC (627)",$F738="Chung"),IF(OR($G738="Cố định",$G738="Biến đổi"),"","THIẾU TÍNH CHẤT"),"")</f>
        <v/>
      </c>
    </row>
    <row r="739" ht="15" customHeight="1" s="54">
      <c r="A739" s="71" t="n"/>
      <c r="B739" s="67" t="n"/>
      <c r="C739" s="67" t="n"/>
      <c r="D739" s="67" t="n"/>
      <c r="E739" s="79">
        <f>IFERROR(INDEX(MAP_TK,MATCH($D739,MAP_KM,0)),"")</f>
        <v/>
      </c>
      <c r="F739" s="67" t="n"/>
      <c r="G739" s="67" t="n"/>
      <c r="H739" s="67" t="n"/>
      <c r="I739" s="67" t="n"/>
      <c r="J739" s="75" t="n"/>
      <c r="K739" s="67" t="n"/>
      <c r="M739" s="53">
        <f>IF($C739="","",IF(OR($C739="CHUNG",COUNTIF(DM_Ma,$C739)&gt;0),"","MÃ LẠ"))</f>
        <v/>
      </c>
      <c r="N739" s="53">
        <f>IF($A739="","",IF(AND($A739&gt;=pTu,$A739&lt;=pDen),"","NGOÀI KỲ"))</f>
        <v/>
      </c>
      <c r="O739" s="53">
        <f>IF($J739="","",IF($J739&lt;=0,"≤0",""))</f>
        <v/>
      </c>
      <c r="P739" s="53">
        <f>IF(AND($D739="SXC (627)",$F739="Chung"),IF(OR($G739="Cố định",$G739="Biến đổi"),"","THIẾU TÍNH CHẤT"),"")</f>
        <v/>
      </c>
    </row>
    <row r="740" ht="15" customHeight="1" s="54">
      <c r="A740" s="71" t="n"/>
      <c r="B740" s="67" t="n"/>
      <c r="C740" s="67" t="n"/>
      <c r="D740" s="67" t="n"/>
      <c r="E740" s="79">
        <f>IFERROR(INDEX(MAP_TK,MATCH($D740,MAP_KM,0)),"")</f>
        <v/>
      </c>
      <c r="F740" s="67" t="n"/>
      <c r="G740" s="67" t="n"/>
      <c r="H740" s="67" t="n"/>
      <c r="I740" s="67" t="n"/>
      <c r="J740" s="75" t="n"/>
      <c r="K740" s="67" t="n"/>
      <c r="M740" s="53">
        <f>IF($C740="","",IF(OR($C740="CHUNG",COUNTIF(DM_Ma,$C740)&gt;0),"","MÃ LẠ"))</f>
        <v/>
      </c>
      <c r="N740" s="53">
        <f>IF($A740="","",IF(AND($A740&gt;=pTu,$A740&lt;=pDen),"","NGOÀI KỲ"))</f>
        <v/>
      </c>
      <c r="O740" s="53">
        <f>IF($J740="","",IF($J740&lt;=0,"≤0",""))</f>
        <v/>
      </c>
      <c r="P740" s="53">
        <f>IF(AND($D740="SXC (627)",$F740="Chung"),IF(OR($G740="Cố định",$G740="Biến đổi"),"","THIẾU TÍNH CHẤT"),"")</f>
        <v/>
      </c>
    </row>
    <row r="741" ht="15" customHeight="1" s="54">
      <c r="A741" s="71" t="n"/>
      <c r="B741" s="67" t="n"/>
      <c r="C741" s="67" t="n"/>
      <c r="D741" s="67" t="n"/>
      <c r="E741" s="79">
        <f>IFERROR(INDEX(MAP_TK,MATCH($D741,MAP_KM,0)),"")</f>
        <v/>
      </c>
      <c r="F741" s="67" t="n"/>
      <c r="G741" s="67" t="n"/>
      <c r="H741" s="67" t="n"/>
      <c r="I741" s="67" t="n"/>
      <c r="J741" s="75" t="n"/>
      <c r="K741" s="67" t="n"/>
      <c r="M741" s="53">
        <f>IF($C741="","",IF(OR($C741="CHUNG",COUNTIF(DM_Ma,$C741)&gt;0),"","MÃ LẠ"))</f>
        <v/>
      </c>
      <c r="N741" s="53">
        <f>IF($A741="","",IF(AND($A741&gt;=pTu,$A741&lt;=pDen),"","NGOÀI KỲ"))</f>
        <v/>
      </c>
      <c r="O741" s="53">
        <f>IF($J741="","",IF($J741&lt;=0,"≤0",""))</f>
        <v/>
      </c>
      <c r="P741" s="53">
        <f>IF(AND($D741="SXC (627)",$F741="Chung"),IF(OR($G741="Cố định",$G741="Biến đổi"),"","THIẾU TÍNH CHẤT"),"")</f>
        <v/>
      </c>
    </row>
    <row r="742" ht="15" customHeight="1" s="54">
      <c r="A742" s="71" t="n"/>
      <c r="B742" s="67" t="n"/>
      <c r="C742" s="67" t="n"/>
      <c r="D742" s="67" t="n"/>
      <c r="E742" s="79">
        <f>IFERROR(INDEX(MAP_TK,MATCH($D742,MAP_KM,0)),"")</f>
        <v/>
      </c>
      <c r="F742" s="67" t="n"/>
      <c r="G742" s="67" t="n"/>
      <c r="H742" s="67" t="n"/>
      <c r="I742" s="67" t="n"/>
      <c r="J742" s="75" t="n"/>
      <c r="K742" s="67" t="n"/>
      <c r="M742" s="53">
        <f>IF($C742="","",IF(OR($C742="CHUNG",COUNTIF(DM_Ma,$C742)&gt;0),"","MÃ LẠ"))</f>
        <v/>
      </c>
      <c r="N742" s="53">
        <f>IF($A742="","",IF(AND($A742&gt;=pTu,$A742&lt;=pDen),"","NGOÀI KỲ"))</f>
        <v/>
      </c>
      <c r="O742" s="53">
        <f>IF($J742="","",IF($J742&lt;=0,"≤0",""))</f>
        <v/>
      </c>
      <c r="P742" s="53">
        <f>IF(AND($D742="SXC (627)",$F742="Chung"),IF(OR($G742="Cố định",$G742="Biến đổi"),"","THIẾU TÍNH CHẤT"),"")</f>
        <v/>
      </c>
    </row>
    <row r="743" ht="15" customHeight="1" s="54">
      <c r="A743" s="71" t="n"/>
      <c r="B743" s="67" t="n"/>
      <c r="C743" s="67" t="n"/>
      <c r="D743" s="67" t="n"/>
      <c r="E743" s="79">
        <f>IFERROR(INDEX(MAP_TK,MATCH($D743,MAP_KM,0)),"")</f>
        <v/>
      </c>
      <c r="F743" s="67" t="n"/>
      <c r="G743" s="67" t="n"/>
      <c r="H743" s="67" t="n"/>
      <c r="I743" s="67" t="n"/>
      <c r="J743" s="75" t="n"/>
      <c r="K743" s="67" t="n"/>
      <c r="M743" s="53">
        <f>IF($C743="","",IF(OR($C743="CHUNG",COUNTIF(DM_Ma,$C743)&gt;0),"","MÃ LẠ"))</f>
        <v/>
      </c>
      <c r="N743" s="53">
        <f>IF($A743="","",IF(AND($A743&gt;=pTu,$A743&lt;=pDen),"","NGOÀI KỲ"))</f>
        <v/>
      </c>
      <c r="O743" s="53">
        <f>IF($J743="","",IF($J743&lt;=0,"≤0",""))</f>
        <v/>
      </c>
      <c r="P743" s="53">
        <f>IF(AND($D743="SXC (627)",$F743="Chung"),IF(OR($G743="Cố định",$G743="Biến đổi"),"","THIẾU TÍNH CHẤT"),"")</f>
        <v/>
      </c>
    </row>
    <row r="744" ht="15" customHeight="1" s="54">
      <c r="A744" s="71" t="n"/>
      <c r="B744" s="67" t="n"/>
      <c r="C744" s="67" t="n"/>
      <c r="D744" s="67" t="n"/>
      <c r="E744" s="79">
        <f>IFERROR(INDEX(MAP_TK,MATCH($D744,MAP_KM,0)),"")</f>
        <v/>
      </c>
      <c r="F744" s="67" t="n"/>
      <c r="G744" s="67" t="n"/>
      <c r="H744" s="67" t="n"/>
      <c r="I744" s="67" t="n"/>
      <c r="J744" s="75" t="n"/>
      <c r="K744" s="67" t="n"/>
      <c r="M744" s="53">
        <f>IF($C744="","",IF(OR($C744="CHUNG",COUNTIF(DM_Ma,$C744)&gt;0),"","MÃ LẠ"))</f>
        <v/>
      </c>
      <c r="N744" s="53">
        <f>IF($A744="","",IF(AND($A744&gt;=pTu,$A744&lt;=pDen),"","NGOÀI KỲ"))</f>
        <v/>
      </c>
      <c r="O744" s="53">
        <f>IF($J744="","",IF($J744&lt;=0,"≤0",""))</f>
        <v/>
      </c>
      <c r="P744" s="53">
        <f>IF(AND($D744="SXC (627)",$F744="Chung"),IF(OR($G744="Cố định",$G744="Biến đổi"),"","THIẾU TÍNH CHẤT"),"")</f>
        <v/>
      </c>
    </row>
    <row r="745" ht="15" customHeight="1" s="54">
      <c r="A745" s="71" t="n"/>
      <c r="B745" s="67" t="n"/>
      <c r="C745" s="67" t="n"/>
      <c r="D745" s="67" t="n"/>
      <c r="E745" s="79">
        <f>IFERROR(INDEX(MAP_TK,MATCH($D745,MAP_KM,0)),"")</f>
        <v/>
      </c>
      <c r="F745" s="67" t="n"/>
      <c r="G745" s="67" t="n"/>
      <c r="H745" s="67" t="n"/>
      <c r="I745" s="67" t="n"/>
      <c r="J745" s="75" t="n"/>
      <c r="K745" s="67" t="n"/>
      <c r="M745" s="53">
        <f>IF($C745="","",IF(OR($C745="CHUNG",COUNTIF(DM_Ma,$C745)&gt;0),"","MÃ LẠ"))</f>
        <v/>
      </c>
      <c r="N745" s="53">
        <f>IF($A745="","",IF(AND($A745&gt;=pTu,$A745&lt;=pDen),"","NGOÀI KỲ"))</f>
        <v/>
      </c>
      <c r="O745" s="53">
        <f>IF($J745="","",IF($J745&lt;=0,"≤0",""))</f>
        <v/>
      </c>
      <c r="P745" s="53">
        <f>IF(AND($D745="SXC (627)",$F745="Chung"),IF(OR($G745="Cố định",$G745="Biến đổi"),"","THIẾU TÍNH CHẤT"),"")</f>
        <v/>
      </c>
    </row>
    <row r="746" ht="15" customHeight="1" s="54">
      <c r="A746" s="71" t="n"/>
      <c r="B746" s="67" t="n"/>
      <c r="C746" s="67" t="n"/>
      <c r="D746" s="67" t="n"/>
      <c r="E746" s="79">
        <f>IFERROR(INDEX(MAP_TK,MATCH($D746,MAP_KM,0)),"")</f>
        <v/>
      </c>
      <c r="F746" s="67" t="n"/>
      <c r="G746" s="67" t="n"/>
      <c r="H746" s="67" t="n"/>
      <c r="I746" s="67" t="n"/>
      <c r="J746" s="75" t="n"/>
      <c r="K746" s="67" t="n"/>
      <c r="M746" s="53">
        <f>IF($C746="","",IF(OR($C746="CHUNG",COUNTIF(DM_Ma,$C746)&gt;0),"","MÃ LẠ"))</f>
        <v/>
      </c>
      <c r="N746" s="53">
        <f>IF($A746="","",IF(AND($A746&gt;=pTu,$A746&lt;=pDen),"","NGOÀI KỲ"))</f>
        <v/>
      </c>
      <c r="O746" s="53">
        <f>IF($J746="","",IF($J746&lt;=0,"≤0",""))</f>
        <v/>
      </c>
      <c r="P746" s="53">
        <f>IF(AND($D746="SXC (627)",$F746="Chung"),IF(OR($G746="Cố định",$G746="Biến đổi"),"","THIẾU TÍNH CHẤT"),"")</f>
        <v/>
      </c>
    </row>
    <row r="747" ht="15" customHeight="1" s="54">
      <c r="A747" s="71" t="n"/>
      <c r="B747" s="67" t="n"/>
      <c r="C747" s="67" t="n"/>
      <c r="D747" s="67" t="n"/>
      <c r="E747" s="79">
        <f>IFERROR(INDEX(MAP_TK,MATCH($D747,MAP_KM,0)),"")</f>
        <v/>
      </c>
      <c r="F747" s="67" t="n"/>
      <c r="G747" s="67" t="n"/>
      <c r="H747" s="67" t="n"/>
      <c r="I747" s="67" t="n"/>
      <c r="J747" s="75" t="n"/>
      <c r="K747" s="67" t="n"/>
      <c r="M747" s="53">
        <f>IF($C747="","",IF(OR($C747="CHUNG",COUNTIF(DM_Ma,$C747)&gt;0),"","MÃ LẠ"))</f>
        <v/>
      </c>
      <c r="N747" s="53">
        <f>IF($A747="","",IF(AND($A747&gt;=pTu,$A747&lt;=pDen),"","NGOÀI KỲ"))</f>
        <v/>
      </c>
      <c r="O747" s="53">
        <f>IF($J747="","",IF($J747&lt;=0,"≤0",""))</f>
        <v/>
      </c>
      <c r="P747" s="53">
        <f>IF(AND($D747="SXC (627)",$F747="Chung"),IF(OR($G747="Cố định",$G747="Biến đổi"),"","THIẾU TÍNH CHẤT"),"")</f>
        <v/>
      </c>
    </row>
    <row r="748" ht="15" customHeight="1" s="54">
      <c r="A748" s="71" t="n"/>
      <c r="B748" s="67" t="n"/>
      <c r="C748" s="67" t="n"/>
      <c r="D748" s="67" t="n"/>
      <c r="E748" s="79">
        <f>IFERROR(INDEX(MAP_TK,MATCH($D748,MAP_KM,0)),"")</f>
        <v/>
      </c>
      <c r="F748" s="67" t="n"/>
      <c r="G748" s="67" t="n"/>
      <c r="H748" s="67" t="n"/>
      <c r="I748" s="67" t="n"/>
      <c r="J748" s="75" t="n"/>
      <c r="K748" s="67" t="n"/>
      <c r="M748" s="53">
        <f>IF($C748="","",IF(OR($C748="CHUNG",COUNTIF(DM_Ma,$C748)&gt;0),"","MÃ LẠ"))</f>
        <v/>
      </c>
      <c r="N748" s="53">
        <f>IF($A748="","",IF(AND($A748&gt;=pTu,$A748&lt;=pDen),"","NGOÀI KỲ"))</f>
        <v/>
      </c>
      <c r="O748" s="53">
        <f>IF($J748="","",IF($J748&lt;=0,"≤0",""))</f>
        <v/>
      </c>
      <c r="P748" s="53">
        <f>IF(AND($D748="SXC (627)",$F748="Chung"),IF(OR($G748="Cố định",$G748="Biến đổi"),"","THIẾU TÍNH CHẤT"),"")</f>
        <v/>
      </c>
    </row>
    <row r="749" ht="15" customHeight="1" s="54">
      <c r="A749" s="71" t="n"/>
      <c r="B749" s="67" t="n"/>
      <c r="C749" s="67" t="n"/>
      <c r="D749" s="67" t="n"/>
      <c r="E749" s="79">
        <f>IFERROR(INDEX(MAP_TK,MATCH($D749,MAP_KM,0)),"")</f>
        <v/>
      </c>
      <c r="F749" s="67" t="n"/>
      <c r="G749" s="67" t="n"/>
      <c r="H749" s="67" t="n"/>
      <c r="I749" s="67" t="n"/>
      <c r="J749" s="75" t="n"/>
      <c r="K749" s="67" t="n"/>
      <c r="M749" s="53">
        <f>IF($C749="","",IF(OR($C749="CHUNG",COUNTIF(DM_Ma,$C749)&gt;0),"","MÃ LẠ"))</f>
        <v/>
      </c>
      <c r="N749" s="53">
        <f>IF($A749="","",IF(AND($A749&gt;=pTu,$A749&lt;=pDen),"","NGOÀI KỲ"))</f>
        <v/>
      </c>
      <c r="O749" s="53">
        <f>IF($J749="","",IF($J749&lt;=0,"≤0",""))</f>
        <v/>
      </c>
      <c r="P749" s="53">
        <f>IF(AND($D749="SXC (627)",$F749="Chung"),IF(OR($G749="Cố định",$G749="Biến đổi"),"","THIẾU TÍNH CHẤT"),"")</f>
        <v/>
      </c>
    </row>
    <row r="750" ht="15" customHeight="1" s="54">
      <c r="A750" s="71" t="n"/>
      <c r="B750" s="67" t="n"/>
      <c r="C750" s="67" t="n"/>
      <c r="D750" s="67" t="n"/>
      <c r="E750" s="79">
        <f>IFERROR(INDEX(MAP_TK,MATCH($D750,MAP_KM,0)),"")</f>
        <v/>
      </c>
      <c r="F750" s="67" t="n"/>
      <c r="G750" s="67" t="n"/>
      <c r="H750" s="67" t="n"/>
      <c r="I750" s="67" t="n"/>
      <c r="J750" s="75" t="n"/>
      <c r="K750" s="67" t="n"/>
      <c r="M750" s="53">
        <f>IF($C750="","",IF(OR($C750="CHUNG",COUNTIF(DM_Ma,$C750)&gt;0),"","MÃ LẠ"))</f>
        <v/>
      </c>
      <c r="N750" s="53">
        <f>IF($A750="","",IF(AND($A750&gt;=pTu,$A750&lt;=pDen),"","NGOÀI KỲ"))</f>
        <v/>
      </c>
      <c r="O750" s="53">
        <f>IF($J750="","",IF($J750&lt;=0,"≤0",""))</f>
        <v/>
      </c>
      <c r="P750" s="53">
        <f>IF(AND($D750="SXC (627)",$F750="Chung"),IF(OR($G750="Cố định",$G750="Biến đổi"),"","THIẾU TÍNH CHẤT"),"")</f>
        <v/>
      </c>
    </row>
    <row r="751" ht="15" customHeight="1" s="54">
      <c r="A751" s="71" t="n"/>
      <c r="B751" s="67" t="n"/>
      <c r="C751" s="67" t="n"/>
      <c r="D751" s="67" t="n"/>
      <c r="E751" s="79">
        <f>IFERROR(INDEX(MAP_TK,MATCH($D751,MAP_KM,0)),"")</f>
        <v/>
      </c>
      <c r="F751" s="67" t="n"/>
      <c r="G751" s="67" t="n"/>
      <c r="H751" s="67" t="n"/>
      <c r="I751" s="67" t="n"/>
      <c r="J751" s="75" t="n"/>
      <c r="K751" s="67" t="n"/>
      <c r="M751" s="53">
        <f>IF($C751="","",IF(OR($C751="CHUNG",COUNTIF(DM_Ma,$C751)&gt;0),"","MÃ LẠ"))</f>
        <v/>
      </c>
      <c r="N751" s="53">
        <f>IF($A751="","",IF(AND($A751&gt;=pTu,$A751&lt;=pDen),"","NGOÀI KỲ"))</f>
        <v/>
      </c>
      <c r="O751" s="53">
        <f>IF($J751="","",IF($J751&lt;=0,"≤0",""))</f>
        <v/>
      </c>
      <c r="P751" s="53">
        <f>IF(AND($D751="SXC (627)",$F751="Chung"),IF(OR($G751="Cố định",$G751="Biến đổi"),"","THIẾU TÍNH CHẤT"),"")</f>
        <v/>
      </c>
    </row>
    <row r="752" ht="15" customHeight="1" s="54">
      <c r="A752" s="71" t="n"/>
      <c r="B752" s="67" t="n"/>
      <c r="C752" s="67" t="n"/>
      <c r="D752" s="67" t="n"/>
      <c r="E752" s="79">
        <f>IFERROR(INDEX(MAP_TK,MATCH($D752,MAP_KM,0)),"")</f>
        <v/>
      </c>
      <c r="F752" s="67" t="n"/>
      <c r="G752" s="67" t="n"/>
      <c r="H752" s="67" t="n"/>
      <c r="I752" s="67" t="n"/>
      <c r="J752" s="75" t="n"/>
      <c r="K752" s="67" t="n"/>
      <c r="M752" s="53">
        <f>IF($C752="","",IF(OR($C752="CHUNG",COUNTIF(DM_Ma,$C752)&gt;0),"","MÃ LẠ"))</f>
        <v/>
      </c>
      <c r="N752" s="53">
        <f>IF($A752="","",IF(AND($A752&gt;=pTu,$A752&lt;=pDen),"","NGOÀI KỲ"))</f>
        <v/>
      </c>
      <c r="O752" s="53">
        <f>IF($J752="","",IF($J752&lt;=0,"≤0",""))</f>
        <v/>
      </c>
      <c r="P752" s="53">
        <f>IF(AND($D752="SXC (627)",$F752="Chung"),IF(OR($G752="Cố định",$G752="Biến đổi"),"","THIẾU TÍNH CHẤT"),"")</f>
        <v/>
      </c>
    </row>
    <row r="753" ht="15" customHeight="1" s="54">
      <c r="A753" s="71" t="n"/>
      <c r="B753" s="67" t="n"/>
      <c r="C753" s="67" t="n"/>
      <c r="D753" s="67" t="n"/>
      <c r="E753" s="79">
        <f>IFERROR(INDEX(MAP_TK,MATCH($D753,MAP_KM,0)),"")</f>
        <v/>
      </c>
      <c r="F753" s="67" t="n"/>
      <c r="G753" s="67" t="n"/>
      <c r="H753" s="67" t="n"/>
      <c r="I753" s="67" t="n"/>
      <c r="J753" s="75" t="n"/>
      <c r="K753" s="67" t="n"/>
      <c r="M753" s="53">
        <f>IF($C753="","",IF(OR($C753="CHUNG",COUNTIF(DM_Ma,$C753)&gt;0),"","MÃ LẠ"))</f>
        <v/>
      </c>
      <c r="N753" s="53">
        <f>IF($A753="","",IF(AND($A753&gt;=pTu,$A753&lt;=pDen),"","NGOÀI KỲ"))</f>
        <v/>
      </c>
      <c r="O753" s="53">
        <f>IF($J753="","",IF($J753&lt;=0,"≤0",""))</f>
        <v/>
      </c>
      <c r="P753" s="53">
        <f>IF(AND($D753="SXC (627)",$F753="Chung"),IF(OR($G753="Cố định",$G753="Biến đổi"),"","THIẾU TÍNH CHẤT"),"")</f>
        <v/>
      </c>
    </row>
    <row r="754" ht="15" customHeight="1" s="54">
      <c r="A754" s="71" t="n"/>
      <c r="B754" s="67" t="n"/>
      <c r="C754" s="67" t="n"/>
      <c r="D754" s="67" t="n"/>
      <c r="E754" s="79">
        <f>IFERROR(INDEX(MAP_TK,MATCH($D754,MAP_KM,0)),"")</f>
        <v/>
      </c>
      <c r="F754" s="67" t="n"/>
      <c r="G754" s="67" t="n"/>
      <c r="H754" s="67" t="n"/>
      <c r="I754" s="67" t="n"/>
      <c r="J754" s="75" t="n"/>
      <c r="K754" s="67" t="n"/>
      <c r="M754" s="53">
        <f>IF($C754="","",IF(OR($C754="CHUNG",COUNTIF(DM_Ma,$C754)&gt;0),"","MÃ LẠ"))</f>
        <v/>
      </c>
      <c r="N754" s="53">
        <f>IF($A754="","",IF(AND($A754&gt;=pTu,$A754&lt;=pDen),"","NGOÀI KỲ"))</f>
        <v/>
      </c>
      <c r="O754" s="53">
        <f>IF($J754="","",IF($J754&lt;=0,"≤0",""))</f>
        <v/>
      </c>
      <c r="P754" s="53">
        <f>IF(AND($D754="SXC (627)",$F754="Chung"),IF(OR($G754="Cố định",$G754="Biến đổi"),"","THIẾU TÍNH CHẤT"),"")</f>
        <v/>
      </c>
    </row>
    <row r="755" ht="15" customHeight="1" s="54">
      <c r="A755" s="71" t="n"/>
      <c r="B755" s="67" t="n"/>
      <c r="C755" s="67" t="n"/>
      <c r="D755" s="67" t="n"/>
      <c r="E755" s="79">
        <f>IFERROR(INDEX(MAP_TK,MATCH($D755,MAP_KM,0)),"")</f>
        <v/>
      </c>
      <c r="F755" s="67" t="n"/>
      <c r="G755" s="67" t="n"/>
      <c r="H755" s="67" t="n"/>
      <c r="I755" s="67" t="n"/>
      <c r="J755" s="75" t="n"/>
      <c r="K755" s="67" t="n"/>
      <c r="M755" s="53">
        <f>IF($C755="","",IF(OR($C755="CHUNG",COUNTIF(DM_Ma,$C755)&gt;0),"","MÃ LẠ"))</f>
        <v/>
      </c>
      <c r="N755" s="53">
        <f>IF($A755="","",IF(AND($A755&gt;=pTu,$A755&lt;=pDen),"","NGOÀI KỲ"))</f>
        <v/>
      </c>
      <c r="O755" s="53">
        <f>IF($J755="","",IF($J755&lt;=0,"≤0",""))</f>
        <v/>
      </c>
      <c r="P755" s="53">
        <f>IF(AND($D755="SXC (627)",$F755="Chung"),IF(OR($G755="Cố định",$G755="Biến đổi"),"","THIẾU TÍNH CHẤT"),"")</f>
        <v/>
      </c>
    </row>
    <row r="756" ht="15" customHeight="1" s="54">
      <c r="A756" s="71" t="n"/>
      <c r="B756" s="67" t="n"/>
      <c r="C756" s="67" t="n"/>
      <c r="D756" s="67" t="n"/>
      <c r="E756" s="79">
        <f>IFERROR(INDEX(MAP_TK,MATCH($D756,MAP_KM,0)),"")</f>
        <v/>
      </c>
      <c r="F756" s="67" t="n"/>
      <c r="G756" s="67" t="n"/>
      <c r="H756" s="67" t="n"/>
      <c r="I756" s="67" t="n"/>
      <c r="J756" s="75" t="n"/>
      <c r="K756" s="67" t="n"/>
      <c r="M756" s="53">
        <f>IF($C756="","",IF(OR($C756="CHUNG",COUNTIF(DM_Ma,$C756)&gt;0),"","MÃ LẠ"))</f>
        <v/>
      </c>
      <c r="N756" s="53">
        <f>IF($A756="","",IF(AND($A756&gt;=pTu,$A756&lt;=pDen),"","NGOÀI KỲ"))</f>
        <v/>
      </c>
      <c r="O756" s="53">
        <f>IF($J756="","",IF($J756&lt;=0,"≤0",""))</f>
        <v/>
      </c>
      <c r="P756" s="53">
        <f>IF(AND($D756="SXC (627)",$F756="Chung"),IF(OR($G756="Cố định",$G756="Biến đổi"),"","THIẾU TÍNH CHẤT"),"")</f>
        <v/>
      </c>
    </row>
    <row r="757" ht="15" customHeight="1" s="54">
      <c r="A757" s="71" t="n"/>
      <c r="B757" s="67" t="n"/>
      <c r="C757" s="67" t="n"/>
      <c r="D757" s="67" t="n"/>
      <c r="E757" s="79">
        <f>IFERROR(INDEX(MAP_TK,MATCH($D757,MAP_KM,0)),"")</f>
        <v/>
      </c>
      <c r="F757" s="67" t="n"/>
      <c r="G757" s="67" t="n"/>
      <c r="H757" s="67" t="n"/>
      <c r="I757" s="67" t="n"/>
      <c r="J757" s="75" t="n"/>
      <c r="K757" s="67" t="n"/>
      <c r="M757" s="53">
        <f>IF($C757="","",IF(OR($C757="CHUNG",COUNTIF(DM_Ma,$C757)&gt;0),"","MÃ LẠ"))</f>
        <v/>
      </c>
      <c r="N757" s="53">
        <f>IF($A757="","",IF(AND($A757&gt;=pTu,$A757&lt;=pDen),"","NGOÀI KỲ"))</f>
        <v/>
      </c>
      <c r="O757" s="53">
        <f>IF($J757="","",IF($J757&lt;=0,"≤0",""))</f>
        <v/>
      </c>
      <c r="P757" s="53">
        <f>IF(AND($D757="SXC (627)",$F757="Chung"),IF(OR($G757="Cố định",$G757="Biến đổi"),"","THIẾU TÍNH CHẤT"),"")</f>
        <v/>
      </c>
    </row>
    <row r="758" ht="15" customHeight="1" s="54">
      <c r="A758" s="71" t="n"/>
      <c r="B758" s="67" t="n"/>
      <c r="C758" s="67" t="n"/>
      <c r="D758" s="67" t="n"/>
      <c r="E758" s="79">
        <f>IFERROR(INDEX(MAP_TK,MATCH($D758,MAP_KM,0)),"")</f>
        <v/>
      </c>
      <c r="F758" s="67" t="n"/>
      <c r="G758" s="67" t="n"/>
      <c r="H758" s="67" t="n"/>
      <c r="I758" s="67" t="n"/>
      <c r="J758" s="75" t="n"/>
      <c r="K758" s="67" t="n"/>
      <c r="M758" s="53">
        <f>IF($C758="","",IF(OR($C758="CHUNG",COUNTIF(DM_Ma,$C758)&gt;0),"","MÃ LẠ"))</f>
        <v/>
      </c>
      <c r="N758" s="53">
        <f>IF($A758="","",IF(AND($A758&gt;=pTu,$A758&lt;=pDen),"","NGOÀI KỲ"))</f>
        <v/>
      </c>
      <c r="O758" s="53">
        <f>IF($J758="","",IF($J758&lt;=0,"≤0",""))</f>
        <v/>
      </c>
      <c r="P758" s="53">
        <f>IF(AND($D758="SXC (627)",$F758="Chung"),IF(OR($G758="Cố định",$G758="Biến đổi"),"","THIẾU TÍNH CHẤT"),"")</f>
        <v/>
      </c>
    </row>
    <row r="759" ht="15" customHeight="1" s="54">
      <c r="A759" s="71" t="n"/>
      <c r="B759" s="67" t="n"/>
      <c r="C759" s="67" t="n"/>
      <c r="D759" s="67" t="n"/>
      <c r="E759" s="79">
        <f>IFERROR(INDEX(MAP_TK,MATCH($D759,MAP_KM,0)),"")</f>
        <v/>
      </c>
      <c r="F759" s="67" t="n"/>
      <c r="G759" s="67" t="n"/>
      <c r="H759" s="67" t="n"/>
      <c r="I759" s="67" t="n"/>
      <c r="J759" s="75" t="n"/>
      <c r="K759" s="67" t="n"/>
      <c r="M759" s="53">
        <f>IF($C759="","",IF(OR($C759="CHUNG",COUNTIF(DM_Ma,$C759)&gt;0),"","MÃ LẠ"))</f>
        <v/>
      </c>
      <c r="N759" s="53">
        <f>IF($A759="","",IF(AND($A759&gt;=pTu,$A759&lt;=pDen),"","NGOÀI KỲ"))</f>
        <v/>
      </c>
      <c r="O759" s="53">
        <f>IF($J759="","",IF($J759&lt;=0,"≤0",""))</f>
        <v/>
      </c>
      <c r="P759" s="53">
        <f>IF(AND($D759="SXC (627)",$F759="Chung"),IF(OR($G759="Cố định",$G759="Biến đổi"),"","THIẾU TÍNH CHẤT"),"")</f>
        <v/>
      </c>
    </row>
    <row r="760" ht="15" customHeight="1" s="54">
      <c r="A760" s="71" t="n"/>
      <c r="B760" s="67" t="n"/>
      <c r="C760" s="67" t="n"/>
      <c r="D760" s="67" t="n"/>
      <c r="E760" s="79">
        <f>IFERROR(INDEX(MAP_TK,MATCH($D760,MAP_KM,0)),"")</f>
        <v/>
      </c>
      <c r="F760" s="67" t="n"/>
      <c r="G760" s="67" t="n"/>
      <c r="H760" s="67" t="n"/>
      <c r="I760" s="67" t="n"/>
      <c r="J760" s="75" t="n"/>
      <c r="K760" s="67" t="n"/>
      <c r="M760" s="53">
        <f>IF($C760="","",IF(OR($C760="CHUNG",COUNTIF(DM_Ma,$C760)&gt;0),"","MÃ LẠ"))</f>
        <v/>
      </c>
      <c r="N760" s="53">
        <f>IF($A760="","",IF(AND($A760&gt;=pTu,$A760&lt;=pDen),"","NGOÀI KỲ"))</f>
        <v/>
      </c>
      <c r="O760" s="53">
        <f>IF($J760="","",IF($J760&lt;=0,"≤0",""))</f>
        <v/>
      </c>
      <c r="P760" s="53">
        <f>IF(AND($D760="SXC (627)",$F760="Chung"),IF(OR($G760="Cố định",$G760="Biến đổi"),"","THIẾU TÍNH CHẤT"),"")</f>
        <v/>
      </c>
    </row>
    <row r="761" ht="15" customHeight="1" s="54">
      <c r="A761" s="71" t="n"/>
      <c r="B761" s="67" t="n"/>
      <c r="C761" s="67" t="n"/>
      <c r="D761" s="67" t="n"/>
      <c r="E761" s="79">
        <f>IFERROR(INDEX(MAP_TK,MATCH($D761,MAP_KM,0)),"")</f>
        <v/>
      </c>
      <c r="F761" s="67" t="n"/>
      <c r="G761" s="67" t="n"/>
      <c r="H761" s="67" t="n"/>
      <c r="I761" s="67" t="n"/>
      <c r="J761" s="75" t="n"/>
      <c r="K761" s="67" t="n"/>
      <c r="M761" s="53">
        <f>IF($C761="","",IF(OR($C761="CHUNG",COUNTIF(DM_Ma,$C761)&gt;0),"","MÃ LẠ"))</f>
        <v/>
      </c>
      <c r="N761" s="53">
        <f>IF($A761="","",IF(AND($A761&gt;=pTu,$A761&lt;=pDen),"","NGOÀI KỲ"))</f>
        <v/>
      </c>
      <c r="O761" s="53">
        <f>IF($J761="","",IF($J761&lt;=0,"≤0",""))</f>
        <v/>
      </c>
      <c r="P761" s="53">
        <f>IF(AND($D761="SXC (627)",$F761="Chung"),IF(OR($G761="Cố định",$G761="Biến đổi"),"","THIẾU TÍNH CHẤT"),"")</f>
        <v/>
      </c>
    </row>
    <row r="762" ht="15" customHeight="1" s="54">
      <c r="A762" s="71" t="n"/>
      <c r="B762" s="67" t="n"/>
      <c r="C762" s="67" t="n"/>
      <c r="D762" s="67" t="n"/>
      <c r="E762" s="79">
        <f>IFERROR(INDEX(MAP_TK,MATCH($D762,MAP_KM,0)),"")</f>
        <v/>
      </c>
      <c r="F762" s="67" t="n"/>
      <c r="G762" s="67" t="n"/>
      <c r="H762" s="67" t="n"/>
      <c r="I762" s="67" t="n"/>
      <c r="J762" s="75" t="n"/>
      <c r="K762" s="67" t="n"/>
      <c r="M762" s="53">
        <f>IF($C762="","",IF(OR($C762="CHUNG",COUNTIF(DM_Ma,$C762)&gt;0),"","MÃ LẠ"))</f>
        <v/>
      </c>
      <c r="N762" s="53">
        <f>IF($A762="","",IF(AND($A762&gt;=pTu,$A762&lt;=pDen),"","NGOÀI KỲ"))</f>
        <v/>
      </c>
      <c r="O762" s="53">
        <f>IF($J762="","",IF($J762&lt;=0,"≤0",""))</f>
        <v/>
      </c>
      <c r="P762" s="53">
        <f>IF(AND($D762="SXC (627)",$F762="Chung"),IF(OR($G762="Cố định",$G762="Biến đổi"),"","THIẾU TÍNH CHẤT"),"")</f>
        <v/>
      </c>
    </row>
    <row r="763" ht="15" customHeight="1" s="54">
      <c r="A763" s="71" t="n"/>
      <c r="B763" s="67" t="n"/>
      <c r="C763" s="67" t="n"/>
      <c r="D763" s="67" t="n"/>
      <c r="E763" s="79">
        <f>IFERROR(INDEX(MAP_TK,MATCH($D763,MAP_KM,0)),"")</f>
        <v/>
      </c>
      <c r="F763" s="67" t="n"/>
      <c r="G763" s="67" t="n"/>
      <c r="H763" s="67" t="n"/>
      <c r="I763" s="67" t="n"/>
      <c r="J763" s="75" t="n"/>
      <c r="K763" s="67" t="n"/>
      <c r="M763" s="53">
        <f>IF($C763="","",IF(OR($C763="CHUNG",COUNTIF(DM_Ma,$C763)&gt;0),"","MÃ LẠ"))</f>
        <v/>
      </c>
      <c r="N763" s="53">
        <f>IF($A763="","",IF(AND($A763&gt;=pTu,$A763&lt;=pDen),"","NGOÀI KỲ"))</f>
        <v/>
      </c>
      <c r="O763" s="53">
        <f>IF($J763="","",IF($J763&lt;=0,"≤0",""))</f>
        <v/>
      </c>
      <c r="P763" s="53">
        <f>IF(AND($D763="SXC (627)",$F763="Chung"),IF(OR($G763="Cố định",$G763="Biến đổi"),"","THIẾU TÍNH CHẤT"),"")</f>
        <v/>
      </c>
    </row>
    <row r="764" ht="15" customHeight="1" s="54">
      <c r="A764" s="71" t="n"/>
      <c r="B764" s="67" t="n"/>
      <c r="C764" s="67" t="n"/>
      <c r="D764" s="67" t="n"/>
      <c r="E764" s="79">
        <f>IFERROR(INDEX(MAP_TK,MATCH($D764,MAP_KM,0)),"")</f>
        <v/>
      </c>
      <c r="F764" s="67" t="n"/>
      <c r="G764" s="67" t="n"/>
      <c r="H764" s="67" t="n"/>
      <c r="I764" s="67" t="n"/>
      <c r="J764" s="75" t="n"/>
      <c r="K764" s="67" t="n"/>
      <c r="M764" s="53">
        <f>IF($C764="","",IF(OR($C764="CHUNG",COUNTIF(DM_Ma,$C764)&gt;0),"","MÃ LẠ"))</f>
        <v/>
      </c>
      <c r="N764" s="53">
        <f>IF($A764="","",IF(AND($A764&gt;=pTu,$A764&lt;=pDen),"","NGOÀI KỲ"))</f>
        <v/>
      </c>
      <c r="O764" s="53">
        <f>IF($J764="","",IF($J764&lt;=0,"≤0",""))</f>
        <v/>
      </c>
      <c r="P764" s="53">
        <f>IF(AND($D764="SXC (627)",$F764="Chung"),IF(OR($G764="Cố định",$G764="Biến đổi"),"","THIẾU TÍNH CHẤT"),"")</f>
        <v/>
      </c>
    </row>
    <row r="765" ht="15" customHeight="1" s="54">
      <c r="A765" s="71" t="n"/>
      <c r="B765" s="67" t="n"/>
      <c r="C765" s="67" t="n"/>
      <c r="D765" s="67" t="n"/>
      <c r="E765" s="79">
        <f>IFERROR(INDEX(MAP_TK,MATCH($D765,MAP_KM,0)),"")</f>
        <v/>
      </c>
      <c r="F765" s="67" t="n"/>
      <c r="G765" s="67" t="n"/>
      <c r="H765" s="67" t="n"/>
      <c r="I765" s="67" t="n"/>
      <c r="J765" s="75" t="n"/>
      <c r="K765" s="67" t="n"/>
      <c r="M765" s="53">
        <f>IF($C765="","",IF(OR($C765="CHUNG",COUNTIF(DM_Ma,$C765)&gt;0),"","MÃ LẠ"))</f>
        <v/>
      </c>
      <c r="N765" s="53">
        <f>IF($A765="","",IF(AND($A765&gt;=pTu,$A765&lt;=pDen),"","NGOÀI KỲ"))</f>
        <v/>
      </c>
      <c r="O765" s="53">
        <f>IF($J765="","",IF($J765&lt;=0,"≤0",""))</f>
        <v/>
      </c>
      <c r="P765" s="53">
        <f>IF(AND($D765="SXC (627)",$F765="Chung"),IF(OR($G765="Cố định",$G765="Biến đổi"),"","THIẾU TÍNH CHẤT"),"")</f>
        <v/>
      </c>
    </row>
    <row r="766" ht="15" customHeight="1" s="54">
      <c r="A766" s="71" t="n"/>
      <c r="B766" s="67" t="n"/>
      <c r="C766" s="67" t="n"/>
      <c r="D766" s="67" t="n"/>
      <c r="E766" s="79">
        <f>IFERROR(INDEX(MAP_TK,MATCH($D766,MAP_KM,0)),"")</f>
        <v/>
      </c>
      <c r="F766" s="67" t="n"/>
      <c r="G766" s="67" t="n"/>
      <c r="H766" s="67" t="n"/>
      <c r="I766" s="67" t="n"/>
      <c r="J766" s="75" t="n"/>
      <c r="K766" s="67" t="n"/>
      <c r="M766" s="53">
        <f>IF($C766="","",IF(OR($C766="CHUNG",COUNTIF(DM_Ma,$C766)&gt;0),"","MÃ LẠ"))</f>
        <v/>
      </c>
      <c r="N766" s="53">
        <f>IF($A766="","",IF(AND($A766&gt;=pTu,$A766&lt;=pDen),"","NGOÀI KỲ"))</f>
        <v/>
      </c>
      <c r="O766" s="53">
        <f>IF($J766="","",IF($J766&lt;=0,"≤0",""))</f>
        <v/>
      </c>
      <c r="P766" s="53">
        <f>IF(AND($D766="SXC (627)",$F766="Chung"),IF(OR($G766="Cố định",$G766="Biến đổi"),"","THIẾU TÍNH CHẤT"),"")</f>
        <v/>
      </c>
    </row>
    <row r="767" ht="15" customHeight="1" s="54">
      <c r="A767" s="71" t="n"/>
      <c r="B767" s="67" t="n"/>
      <c r="C767" s="67" t="n"/>
      <c r="D767" s="67" t="n"/>
      <c r="E767" s="79">
        <f>IFERROR(INDEX(MAP_TK,MATCH($D767,MAP_KM,0)),"")</f>
        <v/>
      </c>
      <c r="F767" s="67" t="n"/>
      <c r="G767" s="67" t="n"/>
      <c r="H767" s="67" t="n"/>
      <c r="I767" s="67" t="n"/>
      <c r="J767" s="75" t="n"/>
      <c r="K767" s="67" t="n"/>
      <c r="M767" s="53">
        <f>IF($C767="","",IF(OR($C767="CHUNG",COUNTIF(DM_Ma,$C767)&gt;0),"","MÃ LẠ"))</f>
        <v/>
      </c>
      <c r="N767" s="53">
        <f>IF($A767="","",IF(AND($A767&gt;=pTu,$A767&lt;=pDen),"","NGOÀI KỲ"))</f>
        <v/>
      </c>
      <c r="O767" s="53">
        <f>IF($J767="","",IF($J767&lt;=0,"≤0",""))</f>
        <v/>
      </c>
      <c r="P767" s="53">
        <f>IF(AND($D767="SXC (627)",$F767="Chung"),IF(OR($G767="Cố định",$G767="Biến đổi"),"","THIẾU TÍNH CHẤT"),"")</f>
        <v/>
      </c>
    </row>
    <row r="768" ht="15" customHeight="1" s="54">
      <c r="A768" s="71" t="n"/>
      <c r="B768" s="67" t="n"/>
      <c r="C768" s="67" t="n"/>
      <c r="D768" s="67" t="n"/>
      <c r="E768" s="79">
        <f>IFERROR(INDEX(MAP_TK,MATCH($D768,MAP_KM,0)),"")</f>
        <v/>
      </c>
      <c r="F768" s="67" t="n"/>
      <c r="G768" s="67" t="n"/>
      <c r="H768" s="67" t="n"/>
      <c r="I768" s="67" t="n"/>
      <c r="J768" s="75" t="n"/>
      <c r="K768" s="67" t="n"/>
      <c r="M768" s="53">
        <f>IF($C768="","",IF(OR($C768="CHUNG",COUNTIF(DM_Ma,$C768)&gt;0),"","MÃ LẠ"))</f>
        <v/>
      </c>
      <c r="N768" s="53">
        <f>IF($A768="","",IF(AND($A768&gt;=pTu,$A768&lt;=pDen),"","NGOÀI KỲ"))</f>
        <v/>
      </c>
      <c r="O768" s="53">
        <f>IF($J768="","",IF($J768&lt;=0,"≤0",""))</f>
        <v/>
      </c>
      <c r="P768" s="53">
        <f>IF(AND($D768="SXC (627)",$F768="Chung"),IF(OR($G768="Cố định",$G768="Biến đổi"),"","THIẾU TÍNH CHẤT"),"")</f>
        <v/>
      </c>
    </row>
    <row r="769" ht="15" customHeight="1" s="54">
      <c r="A769" s="71" t="n"/>
      <c r="B769" s="67" t="n"/>
      <c r="C769" s="67" t="n"/>
      <c r="D769" s="67" t="n"/>
      <c r="E769" s="79">
        <f>IFERROR(INDEX(MAP_TK,MATCH($D769,MAP_KM,0)),"")</f>
        <v/>
      </c>
      <c r="F769" s="67" t="n"/>
      <c r="G769" s="67" t="n"/>
      <c r="H769" s="67" t="n"/>
      <c r="I769" s="67" t="n"/>
      <c r="J769" s="75" t="n"/>
      <c r="K769" s="67" t="n"/>
      <c r="M769" s="53">
        <f>IF($C769="","",IF(OR($C769="CHUNG",COUNTIF(DM_Ma,$C769)&gt;0),"","MÃ LẠ"))</f>
        <v/>
      </c>
      <c r="N769" s="53">
        <f>IF($A769="","",IF(AND($A769&gt;=pTu,$A769&lt;=pDen),"","NGOÀI KỲ"))</f>
        <v/>
      </c>
      <c r="O769" s="53">
        <f>IF($J769="","",IF($J769&lt;=0,"≤0",""))</f>
        <v/>
      </c>
      <c r="P769" s="53">
        <f>IF(AND($D769="SXC (627)",$F769="Chung"),IF(OR($G769="Cố định",$G769="Biến đổi"),"","THIẾU TÍNH CHẤT"),"")</f>
        <v/>
      </c>
    </row>
    <row r="770" ht="15" customHeight="1" s="54">
      <c r="A770" s="71" t="n"/>
      <c r="B770" s="67" t="n"/>
      <c r="C770" s="67" t="n"/>
      <c r="D770" s="67" t="n"/>
      <c r="E770" s="79">
        <f>IFERROR(INDEX(MAP_TK,MATCH($D770,MAP_KM,0)),"")</f>
        <v/>
      </c>
      <c r="F770" s="67" t="n"/>
      <c r="G770" s="67" t="n"/>
      <c r="H770" s="67" t="n"/>
      <c r="I770" s="67" t="n"/>
      <c r="J770" s="75" t="n"/>
      <c r="K770" s="67" t="n"/>
      <c r="M770" s="53">
        <f>IF($C770="","",IF(OR($C770="CHUNG",COUNTIF(DM_Ma,$C770)&gt;0),"","MÃ LẠ"))</f>
        <v/>
      </c>
      <c r="N770" s="53">
        <f>IF($A770="","",IF(AND($A770&gt;=pTu,$A770&lt;=pDen),"","NGOÀI KỲ"))</f>
        <v/>
      </c>
      <c r="O770" s="53">
        <f>IF($J770="","",IF($J770&lt;=0,"≤0",""))</f>
        <v/>
      </c>
      <c r="P770" s="53">
        <f>IF(AND($D770="SXC (627)",$F770="Chung"),IF(OR($G770="Cố định",$G770="Biến đổi"),"","THIẾU TÍNH CHẤT"),"")</f>
        <v/>
      </c>
    </row>
    <row r="771" ht="15" customHeight="1" s="54">
      <c r="A771" s="71" t="n"/>
      <c r="B771" s="67" t="n"/>
      <c r="C771" s="67" t="n"/>
      <c r="D771" s="67" t="n"/>
      <c r="E771" s="79">
        <f>IFERROR(INDEX(MAP_TK,MATCH($D771,MAP_KM,0)),"")</f>
        <v/>
      </c>
      <c r="F771" s="67" t="n"/>
      <c r="G771" s="67" t="n"/>
      <c r="H771" s="67" t="n"/>
      <c r="I771" s="67" t="n"/>
      <c r="J771" s="75" t="n"/>
      <c r="K771" s="67" t="n"/>
      <c r="M771" s="53">
        <f>IF($C771="","",IF(OR($C771="CHUNG",COUNTIF(DM_Ma,$C771)&gt;0),"","MÃ LẠ"))</f>
        <v/>
      </c>
      <c r="N771" s="53">
        <f>IF($A771="","",IF(AND($A771&gt;=pTu,$A771&lt;=pDen),"","NGOÀI KỲ"))</f>
        <v/>
      </c>
      <c r="O771" s="53">
        <f>IF($J771="","",IF($J771&lt;=0,"≤0",""))</f>
        <v/>
      </c>
      <c r="P771" s="53">
        <f>IF(AND($D771="SXC (627)",$F771="Chung"),IF(OR($G771="Cố định",$G771="Biến đổi"),"","THIẾU TÍNH CHẤT"),"")</f>
        <v/>
      </c>
    </row>
    <row r="772" ht="15" customHeight="1" s="54">
      <c r="A772" s="71" t="n"/>
      <c r="B772" s="67" t="n"/>
      <c r="C772" s="67" t="n"/>
      <c r="D772" s="67" t="n"/>
      <c r="E772" s="79">
        <f>IFERROR(INDEX(MAP_TK,MATCH($D772,MAP_KM,0)),"")</f>
        <v/>
      </c>
      <c r="F772" s="67" t="n"/>
      <c r="G772" s="67" t="n"/>
      <c r="H772" s="67" t="n"/>
      <c r="I772" s="67" t="n"/>
      <c r="J772" s="75" t="n"/>
      <c r="K772" s="67" t="n"/>
      <c r="M772" s="53">
        <f>IF($C772="","",IF(OR($C772="CHUNG",COUNTIF(DM_Ma,$C772)&gt;0),"","MÃ LẠ"))</f>
        <v/>
      </c>
      <c r="N772" s="53">
        <f>IF($A772="","",IF(AND($A772&gt;=pTu,$A772&lt;=pDen),"","NGOÀI KỲ"))</f>
        <v/>
      </c>
      <c r="O772" s="53">
        <f>IF($J772="","",IF($J772&lt;=0,"≤0",""))</f>
        <v/>
      </c>
      <c r="P772" s="53">
        <f>IF(AND($D772="SXC (627)",$F772="Chung"),IF(OR($G772="Cố định",$G772="Biến đổi"),"","THIẾU TÍNH CHẤT"),"")</f>
        <v/>
      </c>
    </row>
    <row r="773" ht="15" customHeight="1" s="54">
      <c r="A773" s="71" t="n"/>
      <c r="B773" s="67" t="n"/>
      <c r="C773" s="67" t="n"/>
      <c r="D773" s="67" t="n"/>
      <c r="E773" s="79">
        <f>IFERROR(INDEX(MAP_TK,MATCH($D773,MAP_KM,0)),"")</f>
        <v/>
      </c>
      <c r="F773" s="67" t="n"/>
      <c r="G773" s="67" t="n"/>
      <c r="H773" s="67" t="n"/>
      <c r="I773" s="67" t="n"/>
      <c r="J773" s="75" t="n"/>
      <c r="K773" s="67" t="n"/>
      <c r="M773" s="53">
        <f>IF($C773="","",IF(OR($C773="CHUNG",COUNTIF(DM_Ma,$C773)&gt;0),"","MÃ LẠ"))</f>
        <v/>
      </c>
      <c r="N773" s="53">
        <f>IF($A773="","",IF(AND($A773&gt;=pTu,$A773&lt;=pDen),"","NGOÀI KỲ"))</f>
        <v/>
      </c>
      <c r="O773" s="53">
        <f>IF($J773="","",IF($J773&lt;=0,"≤0",""))</f>
        <v/>
      </c>
      <c r="P773" s="53">
        <f>IF(AND($D773="SXC (627)",$F773="Chung"),IF(OR($G773="Cố định",$G773="Biến đổi"),"","THIẾU TÍNH CHẤT"),"")</f>
        <v/>
      </c>
    </row>
    <row r="774" ht="15" customHeight="1" s="54">
      <c r="A774" s="71" t="n"/>
      <c r="B774" s="67" t="n"/>
      <c r="C774" s="67" t="n"/>
      <c r="D774" s="67" t="n"/>
      <c r="E774" s="79">
        <f>IFERROR(INDEX(MAP_TK,MATCH($D774,MAP_KM,0)),"")</f>
        <v/>
      </c>
      <c r="F774" s="67" t="n"/>
      <c r="G774" s="67" t="n"/>
      <c r="H774" s="67" t="n"/>
      <c r="I774" s="67" t="n"/>
      <c r="J774" s="75" t="n"/>
      <c r="K774" s="67" t="n"/>
      <c r="M774" s="53">
        <f>IF($C774="","",IF(OR($C774="CHUNG",COUNTIF(DM_Ma,$C774)&gt;0),"","MÃ LẠ"))</f>
        <v/>
      </c>
      <c r="N774" s="53">
        <f>IF($A774="","",IF(AND($A774&gt;=pTu,$A774&lt;=pDen),"","NGOÀI KỲ"))</f>
        <v/>
      </c>
      <c r="O774" s="53">
        <f>IF($J774="","",IF($J774&lt;=0,"≤0",""))</f>
        <v/>
      </c>
      <c r="P774" s="53">
        <f>IF(AND($D774="SXC (627)",$F774="Chung"),IF(OR($G774="Cố định",$G774="Biến đổi"),"","THIẾU TÍNH CHẤT"),"")</f>
        <v/>
      </c>
    </row>
    <row r="775" ht="15" customHeight="1" s="54">
      <c r="A775" s="71" t="n"/>
      <c r="B775" s="67" t="n"/>
      <c r="C775" s="67" t="n"/>
      <c r="D775" s="67" t="n"/>
      <c r="E775" s="79">
        <f>IFERROR(INDEX(MAP_TK,MATCH($D775,MAP_KM,0)),"")</f>
        <v/>
      </c>
      <c r="F775" s="67" t="n"/>
      <c r="G775" s="67" t="n"/>
      <c r="H775" s="67" t="n"/>
      <c r="I775" s="67" t="n"/>
      <c r="J775" s="75" t="n"/>
      <c r="K775" s="67" t="n"/>
      <c r="M775" s="53">
        <f>IF($C775="","",IF(OR($C775="CHUNG",COUNTIF(DM_Ma,$C775)&gt;0),"","MÃ LẠ"))</f>
        <v/>
      </c>
      <c r="N775" s="53">
        <f>IF($A775="","",IF(AND($A775&gt;=pTu,$A775&lt;=pDen),"","NGOÀI KỲ"))</f>
        <v/>
      </c>
      <c r="O775" s="53">
        <f>IF($J775="","",IF($J775&lt;=0,"≤0",""))</f>
        <v/>
      </c>
      <c r="P775" s="53">
        <f>IF(AND($D775="SXC (627)",$F775="Chung"),IF(OR($G775="Cố định",$G775="Biến đổi"),"","THIẾU TÍNH CHẤT"),"")</f>
        <v/>
      </c>
    </row>
    <row r="776" ht="15" customHeight="1" s="54">
      <c r="A776" s="71" t="n"/>
      <c r="B776" s="67" t="n"/>
      <c r="C776" s="67" t="n"/>
      <c r="D776" s="67" t="n"/>
      <c r="E776" s="79">
        <f>IFERROR(INDEX(MAP_TK,MATCH($D776,MAP_KM,0)),"")</f>
        <v/>
      </c>
      <c r="F776" s="67" t="n"/>
      <c r="G776" s="67" t="n"/>
      <c r="H776" s="67" t="n"/>
      <c r="I776" s="67" t="n"/>
      <c r="J776" s="75" t="n"/>
      <c r="K776" s="67" t="n"/>
      <c r="M776" s="53">
        <f>IF($C776="","",IF(OR($C776="CHUNG",COUNTIF(DM_Ma,$C776)&gt;0),"","MÃ LẠ"))</f>
        <v/>
      </c>
      <c r="N776" s="53">
        <f>IF($A776="","",IF(AND($A776&gt;=pTu,$A776&lt;=pDen),"","NGOÀI KỲ"))</f>
        <v/>
      </c>
      <c r="O776" s="53">
        <f>IF($J776="","",IF($J776&lt;=0,"≤0",""))</f>
        <v/>
      </c>
      <c r="P776" s="53">
        <f>IF(AND($D776="SXC (627)",$F776="Chung"),IF(OR($G776="Cố định",$G776="Biến đổi"),"","THIẾU TÍNH CHẤT"),"")</f>
        <v/>
      </c>
    </row>
    <row r="777" ht="15" customHeight="1" s="54">
      <c r="A777" s="71" t="n"/>
      <c r="B777" s="67" t="n"/>
      <c r="C777" s="67" t="n"/>
      <c r="D777" s="67" t="n"/>
      <c r="E777" s="79">
        <f>IFERROR(INDEX(MAP_TK,MATCH($D777,MAP_KM,0)),"")</f>
        <v/>
      </c>
      <c r="F777" s="67" t="n"/>
      <c r="G777" s="67" t="n"/>
      <c r="H777" s="67" t="n"/>
      <c r="I777" s="67" t="n"/>
      <c r="J777" s="75" t="n"/>
      <c r="K777" s="67" t="n"/>
      <c r="M777" s="53">
        <f>IF($C777="","",IF(OR($C777="CHUNG",COUNTIF(DM_Ma,$C777)&gt;0),"","MÃ LẠ"))</f>
        <v/>
      </c>
      <c r="N777" s="53">
        <f>IF($A777="","",IF(AND($A777&gt;=pTu,$A777&lt;=pDen),"","NGOÀI KỲ"))</f>
        <v/>
      </c>
      <c r="O777" s="53">
        <f>IF($J777="","",IF($J777&lt;=0,"≤0",""))</f>
        <v/>
      </c>
      <c r="P777" s="53">
        <f>IF(AND($D777="SXC (627)",$F777="Chung"),IF(OR($G777="Cố định",$G777="Biến đổi"),"","THIẾU TÍNH CHẤT"),"")</f>
        <v/>
      </c>
    </row>
    <row r="778" ht="15" customHeight="1" s="54">
      <c r="A778" s="71" t="n"/>
      <c r="B778" s="67" t="n"/>
      <c r="C778" s="67" t="n"/>
      <c r="D778" s="67" t="n"/>
      <c r="E778" s="79">
        <f>IFERROR(INDEX(MAP_TK,MATCH($D778,MAP_KM,0)),"")</f>
        <v/>
      </c>
      <c r="F778" s="67" t="n"/>
      <c r="G778" s="67" t="n"/>
      <c r="H778" s="67" t="n"/>
      <c r="I778" s="67" t="n"/>
      <c r="J778" s="75" t="n"/>
      <c r="K778" s="67" t="n"/>
      <c r="M778" s="53">
        <f>IF($C778="","",IF(OR($C778="CHUNG",COUNTIF(DM_Ma,$C778)&gt;0),"","MÃ LẠ"))</f>
        <v/>
      </c>
      <c r="N778" s="53">
        <f>IF($A778="","",IF(AND($A778&gt;=pTu,$A778&lt;=pDen),"","NGOÀI KỲ"))</f>
        <v/>
      </c>
      <c r="O778" s="53">
        <f>IF($J778="","",IF($J778&lt;=0,"≤0",""))</f>
        <v/>
      </c>
      <c r="P778" s="53">
        <f>IF(AND($D778="SXC (627)",$F778="Chung"),IF(OR($G778="Cố định",$G778="Biến đổi"),"","THIẾU TÍNH CHẤT"),"")</f>
        <v/>
      </c>
    </row>
    <row r="779" ht="15" customHeight="1" s="54">
      <c r="A779" s="71" t="n"/>
      <c r="B779" s="67" t="n"/>
      <c r="C779" s="67" t="n"/>
      <c r="D779" s="67" t="n"/>
      <c r="E779" s="79">
        <f>IFERROR(INDEX(MAP_TK,MATCH($D779,MAP_KM,0)),"")</f>
        <v/>
      </c>
      <c r="F779" s="67" t="n"/>
      <c r="G779" s="67" t="n"/>
      <c r="H779" s="67" t="n"/>
      <c r="I779" s="67" t="n"/>
      <c r="J779" s="75" t="n"/>
      <c r="K779" s="67" t="n"/>
      <c r="M779" s="53">
        <f>IF($C779="","",IF(OR($C779="CHUNG",COUNTIF(DM_Ma,$C779)&gt;0),"","MÃ LẠ"))</f>
        <v/>
      </c>
      <c r="N779" s="53">
        <f>IF($A779="","",IF(AND($A779&gt;=pTu,$A779&lt;=pDen),"","NGOÀI KỲ"))</f>
        <v/>
      </c>
      <c r="O779" s="53">
        <f>IF($J779="","",IF($J779&lt;=0,"≤0",""))</f>
        <v/>
      </c>
      <c r="P779" s="53">
        <f>IF(AND($D779="SXC (627)",$F779="Chung"),IF(OR($G779="Cố định",$G779="Biến đổi"),"","THIẾU TÍNH CHẤT"),"")</f>
        <v/>
      </c>
    </row>
    <row r="780" ht="15" customHeight="1" s="54">
      <c r="A780" s="71" t="n"/>
      <c r="B780" s="67" t="n"/>
      <c r="C780" s="67" t="n"/>
      <c r="D780" s="67" t="n"/>
      <c r="E780" s="79">
        <f>IFERROR(INDEX(MAP_TK,MATCH($D780,MAP_KM,0)),"")</f>
        <v/>
      </c>
      <c r="F780" s="67" t="n"/>
      <c r="G780" s="67" t="n"/>
      <c r="H780" s="67" t="n"/>
      <c r="I780" s="67" t="n"/>
      <c r="J780" s="75" t="n"/>
      <c r="K780" s="67" t="n"/>
      <c r="M780" s="53">
        <f>IF($C780="","",IF(OR($C780="CHUNG",COUNTIF(DM_Ma,$C780)&gt;0),"","MÃ LẠ"))</f>
        <v/>
      </c>
      <c r="N780" s="53">
        <f>IF($A780="","",IF(AND($A780&gt;=pTu,$A780&lt;=pDen),"","NGOÀI KỲ"))</f>
        <v/>
      </c>
      <c r="O780" s="53">
        <f>IF($J780="","",IF($J780&lt;=0,"≤0",""))</f>
        <v/>
      </c>
      <c r="P780" s="53">
        <f>IF(AND($D780="SXC (627)",$F780="Chung"),IF(OR($G780="Cố định",$G780="Biến đổi"),"","THIẾU TÍNH CHẤT"),"")</f>
        <v/>
      </c>
    </row>
    <row r="781" ht="15" customHeight="1" s="54">
      <c r="A781" s="71" t="n"/>
      <c r="B781" s="67" t="n"/>
      <c r="C781" s="67" t="n"/>
      <c r="D781" s="67" t="n"/>
      <c r="E781" s="79">
        <f>IFERROR(INDEX(MAP_TK,MATCH($D781,MAP_KM,0)),"")</f>
        <v/>
      </c>
      <c r="F781" s="67" t="n"/>
      <c r="G781" s="67" t="n"/>
      <c r="H781" s="67" t="n"/>
      <c r="I781" s="67" t="n"/>
      <c r="J781" s="75" t="n"/>
      <c r="K781" s="67" t="n"/>
      <c r="M781" s="53">
        <f>IF($C781="","",IF(OR($C781="CHUNG",COUNTIF(DM_Ma,$C781)&gt;0),"","MÃ LẠ"))</f>
        <v/>
      </c>
      <c r="N781" s="53">
        <f>IF($A781="","",IF(AND($A781&gt;=pTu,$A781&lt;=pDen),"","NGOÀI KỲ"))</f>
        <v/>
      </c>
      <c r="O781" s="53">
        <f>IF($J781="","",IF($J781&lt;=0,"≤0",""))</f>
        <v/>
      </c>
      <c r="P781" s="53">
        <f>IF(AND($D781="SXC (627)",$F781="Chung"),IF(OR($G781="Cố định",$G781="Biến đổi"),"","THIẾU TÍNH CHẤT"),"")</f>
        <v/>
      </c>
    </row>
    <row r="782" ht="15" customHeight="1" s="54">
      <c r="A782" s="71" t="n"/>
      <c r="B782" s="67" t="n"/>
      <c r="C782" s="67" t="n"/>
      <c r="D782" s="67" t="n"/>
      <c r="E782" s="79">
        <f>IFERROR(INDEX(MAP_TK,MATCH($D782,MAP_KM,0)),"")</f>
        <v/>
      </c>
      <c r="F782" s="67" t="n"/>
      <c r="G782" s="67" t="n"/>
      <c r="H782" s="67" t="n"/>
      <c r="I782" s="67" t="n"/>
      <c r="J782" s="75" t="n"/>
      <c r="K782" s="67" t="n"/>
      <c r="M782" s="53">
        <f>IF($C782="","",IF(OR($C782="CHUNG",COUNTIF(DM_Ma,$C782)&gt;0),"","MÃ LẠ"))</f>
        <v/>
      </c>
      <c r="N782" s="53">
        <f>IF($A782="","",IF(AND($A782&gt;=pTu,$A782&lt;=pDen),"","NGOÀI KỲ"))</f>
        <v/>
      </c>
      <c r="O782" s="53">
        <f>IF($J782="","",IF($J782&lt;=0,"≤0",""))</f>
        <v/>
      </c>
      <c r="P782" s="53">
        <f>IF(AND($D782="SXC (627)",$F782="Chung"),IF(OR($G782="Cố định",$G782="Biến đổi"),"","THIẾU TÍNH CHẤT"),"")</f>
        <v/>
      </c>
    </row>
    <row r="783" ht="15" customHeight="1" s="54">
      <c r="A783" s="71" t="n"/>
      <c r="B783" s="67" t="n"/>
      <c r="C783" s="67" t="n"/>
      <c r="D783" s="67" t="n"/>
      <c r="E783" s="79">
        <f>IFERROR(INDEX(MAP_TK,MATCH($D783,MAP_KM,0)),"")</f>
        <v/>
      </c>
      <c r="F783" s="67" t="n"/>
      <c r="G783" s="67" t="n"/>
      <c r="H783" s="67" t="n"/>
      <c r="I783" s="67" t="n"/>
      <c r="J783" s="75" t="n"/>
      <c r="K783" s="67" t="n"/>
      <c r="M783" s="53">
        <f>IF($C783="","",IF(OR($C783="CHUNG",COUNTIF(DM_Ma,$C783)&gt;0),"","MÃ LẠ"))</f>
        <v/>
      </c>
      <c r="N783" s="53">
        <f>IF($A783="","",IF(AND($A783&gt;=pTu,$A783&lt;=pDen),"","NGOÀI KỲ"))</f>
        <v/>
      </c>
      <c r="O783" s="53">
        <f>IF($J783="","",IF($J783&lt;=0,"≤0",""))</f>
        <v/>
      </c>
      <c r="P783" s="53">
        <f>IF(AND($D783="SXC (627)",$F783="Chung"),IF(OR($G783="Cố định",$G783="Biến đổi"),"","THIẾU TÍNH CHẤT"),"")</f>
        <v/>
      </c>
    </row>
    <row r="784" ht="15" customHeight="1" s="54">
      <c r="A784" s="71" t="n"/>
      <c r="B784" s="67" t="n"/>
      <c r="C784" s="67" t="n"/>
      <c r="D784" s="67" t="n"/>
      <c r="E784" s="79">
        <f>IFERROR(INDEX(MAP_TK,MATCH($D784,MAP_KM,0)),"")</f>
        <v/>
      </c>
      <c r="F784" s="67" t="n"/>
      <c r="G784" s="67" t="n"/>
      <c r="H784" s="67" t="n"/>
      <c r="I784" s="67" t="n"/>
      <c r="J784" s="75" t="n"/>
      <c r="K784" s="67" t="n"/>
      <c r="M784" s="53">
        <f>IF($C784="","",IF(OR($C784="CHUNG",COUNTIF(DM_Ma,$C784)&gt;0),"","MÃ LẠ"))</f>
        <v/>
      </c>
      <c r="N784" s="53">
        <f>IF($A784="","",IF(AND($A784&gt;=pTu,$A784&lt;=pDen),"","NGOÀI KỲ"))</f>
        <v/>
      </c>
      <c r="O784" s="53">
        <f>IF($J784="","",IF($J784&lt;=0,"≤0",""))</f>
        <v/>
      </c>
      <c r="P784" s="53">
        <f>IF(AND($D784="SXC (627)",$F784="Chung"),IF(OR($G784="Cố định",$G784="Biến đổi"),"","THIẾU TÍNH CHẤT"),"")</f>
        <v/>
      </c>
    </row>
    <row r="785" ht="15" customHeight="1" s="54">
      <c r="A785" s="71" t="n"/>
      <c r="B785" s="67" t="n"/>
      <c r="C785" s="67" t="n"/>
      <c r="D785" s="67" t="n"/>
      <c r="E785" s="79">
        <f>IFERROR(INDEX(MAP_TK,MATCH($D785,MAP_KM,0)),"")</f>
        <v/>
      </c>
      <c r="F785" s="67" t="n"/>
      <c r="G785" s="67" t="n"/>
      <c r="H785" s="67" t="n"/>
      <c r="I785" s="67" t="n"/>
      <c r="J785" s="75" t="n"/>
      <c r="K785" s="67" t="n"/>
      <c r="M785" s="53">
        <f>IF($C785="","",IF(OR($C785="CHUNG",COUNTIF(DM_Ma,$C785)&gt;0),"","MÃ LẠ"))</f>
        <v/>
      </c>
      <c r="N785" s="53">
        <f>IF($A785="","",IF(AND($A785&gt;=pTu,$A785&lt;=pDen),"","NGOÀI KỲ"))</f>
        <v/>
      </c>
      <c r="O785" s="53">
        <f>IF($J785="","",IF($J785&lt;=0,"≤0",""))</f>
        <v/>
      </c>
      <c r="P785" s="53">
        <f>IF(AND($D785="SXC (627)",$F785="Chung"),IF(OR($G785="Cố định",$G785="Biến đổi"),"","THIẾU TÍNH CHẤT"),"")</f>
        <v/>
      </c>
    </row>
    <row r="786" ht="15" customHeight="1" s="54">
      <c r="A786" s="71" t="n"/>
      <c r="B786" s="67" t="n"/>
      <c r="C786" s="67" t="n"/>
      <c r="D786" s="67" t="n"/>
      <c r="E786" s="79">
        <f>IFERROR(INDEX(MAP_TK,MATCH($D786,MAP_KM,0)),"")</f>
        <v/>
      </c>
      <c r="F786" s="67" t="n"/>
      <c r="G786" s="67" t="n"/>
      <c r="H786" s="67" t="n"/>
      <c r="I786" s="67" t="n"/>
      <c r="J786" s="75" t="n"/>
      <c r="K786" s="67" t="n"/>
      <c r="M786" s="53">
        <f>IF($C786="","",IF(OR($C786="CHUNG",COUNTIF(DM_Ma,$C786)&gt;0),"","MÃ LẠ"))</f>
        <v/>
      </c>
      <c r="N786" s="53">
        <f>IF($A786="","",IF(AND($A786&gt;=pTu,$A786&lt;=pDen),"","NGOÀI KỲ"))</f>
        <v/>
      </c>
      <c r="O786" s="53">
        <f>IF($J786="","",IF($J786&lt;=0,"≤0",""))</f>
        <v/>
      </c>
      <c r="P786" s="53">
        <f>IF(AND($D786="SXC (627)",$F786="Chung"),IF(OR($G786="Cố định",$G786="Biến đổi"),"","THIẾU TÍNH CHẤT"),"")</f>
        <v/>
      </c>
    </row>
    <row r="787" ht="15" customHeight="1" s="54">
      <c r="A787" s="71" t="n"/>
      <c r="B787" s="67" t="n"/>
      <c r="C787" s="67" t="n"/>
      <c r="D787" s="67" t="n"/>
      <c r="E787" s="79">
        <f>IFERROR(INDEX(MAP_TK,MATCH($D787,MAP_KM,0)),"")</f>
        <v/>
      </c>
      <c r="F787" s="67" t="n"/>
      <c r="G787" s="67" t="n"/>
      <c r="H787" s="67" t="n"/>
      <c r="I787" s="67" t="n"/>
      <c r="J787" s="75" t="n"/>
      <c r="K787" s="67" t="n"/>
      <c r="M787" s="53">
        <f>IF($C787="","",IF(OR($C787="CHUNG",COUNTIF(DM_Ma,$C787)&gt;0),"","MÃ LẠ"))</f>
        <v/>
      </c>
      <c r="N787" s="53">
        <f>IF($A787="","",IF(AND($A787&gt;=pTu,$A787&lt;=pDen),"","NGOÀI KỲ"))</f>
        <v/>
      </c>
      <c r="O787" s="53">
        <f>IF($J787="","",IF($J787&lt;=0,"≤0",""))</f>
        <v/>
      </c>
      <c r="P787" s="53">
        <f>IF(AND($D787="SXC (627)",$F787="Chung"),IF(OR($G787="Cố định",$G787="Biến đổi"),"","THIẾU TÍNH CHẤT"),"")</f>
        <v/>
      </c>
    </row>
    <row r="788" ht="15" customHeight="1" s="54">
      <c r="A788" s="71" t="n"/>
      <c r="B788" s="67" t="n"/>
      <c r="C788" s="67" t="n"/>
      <c r="D788" s="67" t="n"/>
      <c r="E788" s="79">
        <f>IFERROR(INDEX(MAP_TK,MATCH($D788,MAP_KM,0)),"")</f>
        <v/>
      </c>
      <c r="F788" s="67" t="n"/>
      <c r="G788" s="67" t="n"/>
      <c r="H788" s="67" t="n"/>
      <c r="I788" s="67" t="n"/>
      <c r="J788" s="75" t="n"/>
      <c r="K788" s="67" t="n"/>
      <c r="M788" s="53">
        <f>IF($C788="","",IF(OR($C788="CHUNG",COUNTIF(DM_Ma,$C788)&gt;0),"","MÃ LẠ"))</f>
        <v/>
      </c>
      <c r="N788" s="53">
        <f>IF($A788="","",IF(AND($A788&gt;=pTu,$A788&lt;=pDen),"","NGOÀI KỲ"))</f>
        <v/>
      </c>
      <c r="O788" s="53">
        <f>IF($J788="","",IF($J788&lt;=0,"≤0",""))</f>
        <v/>
      </c>
      <c r="P788" s="53">
        <f>IF(AND($D788="SXC (627)",$F788="Chung"),IF(OR($G788="Cố định",$G788="Biến đổi"),"","THIẾU TÍNH CHẤT"),"")</f>
        <v/>
      </c>
    </row>
    <row r="789" ht="15" customHeight="1" s="54">
      <c r="A789" s="71" t="n"/>
      <c r="B789" s="67" t="n"/>
      <c r="C789" s="67" t="n"/>
      <c r="D789" s="67" t="n"/>
      <c r="E789" s="79">
        <f>IFERROR(INDEX(MAP_TK,MATCH($D789,MAP_KM,0)),"")</f>
        <v/>
      </c>
      <c r="F789" s="67" t="n"/>
      <c r="G789" s="67" t="n"/>
      <c r="H789" s="67" t="n"/>
      <c r="I789" s="67" t="n"/>
      <c r="J789" s="75" t="n"/>
      <c r="K789" s="67" t="n"/>
      <c r="M789" s="53">
        <f>IF($C789="","",IF(OR($C789="CHUNG",COUNTIF(DM_Ma,$C789)&gt;0),"","MÃ LẠ"))</f>
        <v/>
      </c>
      <c r="N789" s="53">
        <f>IF($A789="","",IF(AND($A789&gt;=pTu,$A789&lt;=pDen),"","NGOÀI KỲ"))</f>
        <v/>
      </c>
      <c r="O789" s="53">
        <f>IF($J789="","",IF($J789&lt;=0,"≤0",""))</f>
        <v/>
      </c>
      <c r="P789" s="53">
        <f>IF(AND($D789="SXC (627)",$F789="Chung"),IF(OR($G789="Cố định",$G789="Biến đổi"),"","THIẾU TÍNH CHẤT"),"")</f>
        <v/>
      </c>
    </row>
    <row r="790" ht="15" customHeight="1" s="54">
      <c r="A790" s="71" t="n"/>
      <c r="B790" s="67" t="n"/>
      <c r="C790" s="67" t="n"/>
      <c r="D790" s="67" t="n"/>
      <c r="E790" s="79">
        <f>IFERROR(INDEX(MAP_TK,MATCH($D790,MAP_KM,0)),"")</f>
        <v/>
      </c>
      <c r="F790" s="67" t="n"/>
      <c r="G790" s="67" t="n"/>
      <c r="H790" s="67" t="n"/>
      <c r="I790" s="67" t="n"/>
      <c r="J790" s="75" t="n"/>
      <c r="K790" s="67" t="n"/>
      <c r="M790" s="53">
        <f>IF($C790="","",IF(OR($C790="CHUNG",COUNTIF(DM_Ma,$C790)&gt;0),"","MÃ LẠ"))</f>
        <v/>
      </c>
      <c r="N790" s="53">
        <f>IF($A790="","",IF(AND($A790&gt;=pTu,$A790&lt;=pDen),"","NGOÀI KỲ"))</f>
        <v/>
      </c>
      <c r="O790" s="53">
        <f>IF($J790="","",IF($J790&lt;=0,"≤0",""))</f>
        <v/>
      </c>
      <c r="P790" s="53">
        <f>IF(AND($D790="SXC (627)",$F790="Chung"),IF(OR($G790="Cố định",$G790="Biến đổi"),"","THIẾU TÍNH CHẤT"),"")</f>
        <v/>
      </c>
    </row>
    <row r="791" ht="15" customHeight="1" s="54">
      <c r="A791" s="71" t="n"/>
      <c r="B791" s="67" t="n"/>
      <c r="C791" s="67" t="n"/>
      <c r="D791" s="67" t="n"/>
      <c r="E791" s="79">
        <f>IFERROR(INDEX(MAP_TK,MATCH($D791,MAP_KM,0)),"")</f>
        <v/>
      </c>
      <c r="F791" s="67" t="n"/>
      <c r="G791" s="67" t="n"/>
      <c r="H791" s="67" t="n"/>
      <c r="I791" s="67" t="n"/>
      <c r="J791" s="75" t="n"/>
      <c r="K791" s="67" t="n"/>
      <c r="M791" s="53">
        <f>IF($C791="","",IF(OR($C791="CHUNG",COUNTIF(DM_Ma,$C791)&gt;0),"","MÃ LẠ"))</f>
        <v/>
      </c>
      <c r="N791" s="53">
        <f>IF($A791="","",IF(AND($A791&gt;=pTu,$A791&lt;=pDen),"","NGOÀI KỲ"))</f>
        <v/>
      </c>
      <c r="O791" s="53">
        <f>IF($J791="","",IF($J791&lt;=0,"≤0",""))</f>
        <v/>
      </c>
      <c r="P791" s="53">
        <f>IF(AND($D791="SXC (627)",$F791="Chung"),IF(OR($G791="Cố định",$G791="Biến đổi"),"","THIẾU TÍNH CHẤT"),"")</f>
        <v/>
      </c>
    </row>
    <row r="792" ht="15" customHeight="1" s="54">
      <c r="A792" s="71" t="n"/>
      <c r="B792" s="67" t="n"/>
      <c r="C792" s="67" t="n"/>
      <c r="D792" s="67" t="n"/>
      <c r="E792" s="79">
        <f>IFERROR(INDEX(MAP_TK,MATCH($D792,MAP_KM,0)),"")</f>
        <v/>
      </c>
      <c r="F792" s="67" t="n"/>
      <c r="G792" s="67" t="n"/>
      <c r="H792" s="67" t="n"/>
      <c r="I792" s="67" t="n"/>
      <c r="J792" s="75" t="n"/>
      <c r="K792" s="67" t="n"/>
      <c r="M792" s="53">
        <f>IF($C792="","",IF(OR($C792="CHUNG",COUNTIF(DM_Ma,$C792)&gt;0),"","MÃ LẠ"))</f>
        <v/>
      </c>
      <c r="N792" s="53">
        <f>IF($A792="","",IF(AND($A792&gt;=pTu,$A792&lt;=pDen),"","NGOÀI KỲ"))</f>
        <v/>
      </c>
      <c r="O792" s="53">
        <f>IF($J792="","",IF($J792&lt;=0,"≤0",""))</f>
        <v/>
      </c>
      <c r="P792" s="53">
        <f>IF(AND($D792="SXC (627)",$F792="Chung"),IF(OR($G792="Cố định",$G792="Biến đổi"),"","THIẾU TÍNH CHẤT"),"")</f>
        <v/>
      </c>
    </row>
    <row r="793" ht="15" customHeight="1" s="54">
      <c r="A793" s="71" t="n"/>
      <c r="B793" s="67" t="n"/>
      <c r="C793" s="67" t="n"/>
      <c r="D793" s="67" t="n"/>
      <c r="E793" s="79">
        <f>IFERROR(INDEX(MAP_TK,MATCH($D793,MAP_KM,0)),"")</f>
        <v/>
      </c>
      <c r="F793" s="67" t="n"/>
      <c r="G793" s="67" t="n"/>
      <c r="H793" s="67" t="n"/>
      <c r="I793" s="67" t="n"/>
      <c r="J793" s="75" t="n"/>
      <c r="K793" s="67" t="n"/>
      <c r="M793" s="53">
        <f>IF($C793="","",IF(OR($C793="CHUNG",COUNTIF(DM_Ma,$C793)&gt;0),"","MÃ LẠ"))</f>
        <v/>
      </c>
      <c r="N793" s="53">
        <f>IF($A793="","",IF(AND($A793&gt;=pTu,$A793&lt;=pDen),"","NGOÀI KỲ"))</f>
        <v/>
      </c>
      <c r="O793" s="53">
        <f>IF($J793="","",IF($J793&lt;=0,"≤0",""))</f>
        <v/>
      </c>
      <c r="P793" s="53">
        <f>IF(AND($D793="SXC (627)",$F793="Chung"),IF(OR($G793="Cố định",$G793="Biến đổi"),"","THIẾU TÍNH CHẤT"),"")</f>
        <v/>
      </c>
    </row>
    <row r="794" ht="15" customHeight="1" s="54">
      <c r="A794" s="71" t="n"/>
      <c r="B794" s="67" t="n"/>
      <c r="C794" s="67" t="n"/>
      <c r="D794" s="67" t="n"/>
      <c r="E794" s="79">
        <f>IFERROR(INDEX(MAP_TK,MATCH($D794,MAP_KM,0)),"")</f>
        <v/>
      </c>
      <c r="F794" s="67" t="n"/>
      <c r="G794" s="67" t="n"/>
      <c r="H794" s="67" t="n"/>
      <c r="I794" s="67" t="n"/>
      <c r="J794" s="75" t="n"/>
      <c r="K794" s="67" t="n"/>
      <c r="M794" s="53">
        <f>IF($C794="","",IF(OR($C794="CHUNG",COUNTIF(DM_Ma,$C794)&gt;0),"","MÃ LẠ"))</f>
        <v/>
      </c>
      <c r="N794" s="53">
        <f>IF($A794="","",IF(AND($A794&gt;=pTu,$A794&lt;=pDen),"","NGOÀI KỲ"))</f>
        <v/>
      </c>
      <c r="O794" s="53">
        <f>IF($J794="","",IF($J794&lt;=0,"≤0",""))</f>
        <v/>
      </c>
      <c r="P794" s="53">
        <f>IF(AND($D794="SXC (627)",$F794="Chung"),IF(OR($G794="Cố định",$G794="Biến đổi"),"","THIẾU TÍNH CHẤT"),"")</f>
        <v/>
      </c>
    </row>
    <row r="795" ht="15" customHeight="1" s="54">
      <c r="A795" s="71" t="n"/>
      <c r="B795" s="67" t="n"/>
      <c r="C795" s="67" t="n"/>
      <c r="D795" s="67" t="n"/>
      <c r="E795" s="79">
        <f>IFERROR(INDEX(MAP_TK,MATCH($D795,MAP_KM,0)),"")</f>
        <v/>
      </c>
      <c r="F795" s="67" t="n"/>
      <c r="G795" s="67" t="n"/>
      <c r="H795" s="67" t="n"/>
      <c r="I795" s="67" t="n"/>
      <c r="J795" s="75" t="n"/>
      <c r="K795" s="67" t="n"/>
      <c r="M795" s="53">
        <f>IF($C795="","",IF(OR($C795="CHUNG",COUNTIF(DM_Ma,$C795)&gt;0),"","MÃ LẠ"))</f>
        <v/>
      </c>
      <c r="N795" s="53">
        <f>IF($A795="","",IF(AND($A795&gt;=pTu,$A795&lt;=pDen),"","NGOÀI KỲ"))</f>
        <v/>
      </c>
      <c r="O795" s="53">
        <f>IF($J795="","",IF($J795&lt;=0,"≤0",""))</f>
        <v/>
      </c>
      <c r="P795" s="53">
        <f>IF(AND($D795="SXC (627)",$F795="Chung"),IF(OR($G795="Cố định",$G795="Biến đổi"),"","THIẾU TÍNH CHẤT"),"")</f>
        <v/>
      </c>
    </row>
    <row r="796" ht="15" customHeight="1" s="54">
      <c r="A796" s="71" t="n"/>
      <c r="B796" s="67" t="n"/>
      <c r="C796" s="67" t="n"/>
      <c r="D796" s="67" t="n"/>
      <c r="E796" s="79">
        <f>IFERROR(INDEX(MAP_TK,MATCH($D796,MAP_KM,0)),"")</f>
        <v/>
      </c>
      <c r="F796" s="67" t="n"/>
      <c r="G796" s="67" t="n"/>
      <c r="H796" s="67" t="n"/>
      <c r="I796" s="67" t="n"/>
      <c r="J796" s="75" t="n"/>
      <c r="K796" s="67" t="n"/>
      <c r="M796" s="53">
        <f>IF($C796="","",IF(OR($C796="CHUNG",COUNTIF(DM_Ma,$C796)&gt;0),"","MÃ LẠ"))</f>
        <v/>
      </c>
      <c r="N796" s="53">
        <f>IF($A796="","",IF(AND($A796&gt;=pTu,$A796&lt;=pDen),"","NGOÀI KỲ"))</f>
        <v/>
      </c>
      <c r="O796" s="53">
        <f>IF($J796="","",IF($J796&lt;=0,"≤0",""))</f>
        <v/>
      </c>
      <c r="P796" s="53">
        <f>IF(AND($D796="SXC (627)",$F796="Chung"),IF(OR($G796="Cố định",$G796="Biến đổi"),"","THIẾU TÍNH CHẤT"),"")</f>
        <v/>
      </c>
    </row>
    <row r="797" ht="15" customHeight="1" s="54">
      <c r="A797" s="71" t="n"/>
      <c r="B797" s="67" t="n"/>
      <c r="C797" s="67" t="n"/>
      <c r="D797" s="67" t="n"/>
      <c r="E797" s="79">
        <f>IFERROR(INDEX(MAP_TK,MATCH($D797,MAP_KM,0)),"")</f>
        <v/>
      </c>
      <c r="F797" s="67" t="n"/>
      <c r="G797" s="67" t="n"/>
      <c r="H797" s="67" t="n"/>
      <c r="I797" s="67" t="n"/>
      <c r="J797" s="75" t="n"/>
      <c r="K797" s="67" t="n"/>
      <c r="M797" s="53">
        <f>IF($C797="","",IF(OR($C797="CHUNG",COUNTIF(DM_Ma,$C797)&gt;0),"","MÃ LẠ"))</f>
        <v/>
      </c>
      <c r="N797" s="53">
        <f>IF($A797="","",IF(AND($A797&gt;=pTu,$A797&lt;=pDen),"","NGOÀI KỲ"))</f>
        <v/>
      </c>
      <c r="O797" s="53">
        <f>IF($J797="","",IF($J797&lt;=0,"≤0",""))</f>
        <v/>
      </c>
      <c r="P797" s="53">
        <f>IF(AND($D797="SXC (627)",$F797="Chung"),IF(OR($G797="Cố định",$G797="Biến đổi"),"","THIẾU TÍNH CHẤT"),"")</f>
        <v/>
      </c>
    </row>
    <row r="798" ht="15" customHeight="1" s="54">
      <c r="A798" s="71" t="n"/>
      <c r="B798" s="67" t="n"/>
      <c r="C798" s="67" t="n"/>
      <c r="D798" s="67" t="n"/>
      <c r="E798" s="79">
        <f>IFERROR(INDEX(MAP_TK,MATCH($D798,MAP_KM,0)),"")</f>
        <v/>
      </c>
      <c r="F798" s="67" t="n"/>
      <c r="G798" s="67" t="n"/>
      <c r="H798" s="67" t="n"/>
      <c r="I798" s="67" t="n"/>
      <c r="J798" s="75" t="n"/>
      <c r="K798" s="67" t="n"/>
      <c r="M798" s="53">
        <f>IF($C798="","",IF(OR($C798="CHUNG",COUNTIF(DM_Ma,$C798)&gt;0),"","MÃ LẠ"))</f>
        <v/>
      </c>
      <c r="N798" s="53">
        <f>IF($A798="","",IF(AND($A798&gt;=pTu,$A798&lt;=pDen),"","NGOÀI KỲ"))</f>
        <v/>
      </c>
      <c r="O798" s="53">
        <f>IF($J798="","",IF($J798&lt;=0,"≤0",""))</f>
        <v/>
      </c>
      <c r="P798" s="53">
        <f>IF(AND($D798="SXC (627)",$F798="Chung"),IF(OR($G798="Cố định",$G798="Biến đổi"),"","THIẾU TÍNH CHẤT"),"")</f>
        <v/>
      </c>
    </row>
    <row r="799" ht="15" customHeight="1" s="54">
      <c r="A799" s="71" t="n"/>
      <c r="B799" s="67" t="n"/>
      <c r="C799" s="67" t="n"/>
      <c r="D799" s="67" t="n"/>
      <c r="E799" s="79">
        <f>IFERROR(INDEX(MAP_TK,MATCH($D799,MAP_KM,0)),"")</f>
        <v/>
      </c>
      <c r="F799" s="67" t="n"/>
      <c r="G799" s="67" t="n"/>
      <c r="H799" s="67" t="n"/>
      <c r="I799" s="67" t="n"/>
      <c r="J799" s="75" t="n"/>
      <c r="K799" s="67" t="n"/>
      <c r="M799" s="53">
        <f>IF($C799="","",IF(OR($C799="CHUNG",COUNTIF(DM_Ma,$C799)&gt;0),"","MÃ LẠ"))</f>
        <v/>
      </c>
      <c r="N799" s="53">
        <f>IF($A799="","",IF(AND($A799&gt;=pTu,$A799&lt;=pDen),"","NGOÀI KỲ"))</f>
        <v/>
      </c>
      <c r="O799" s="53">
        <f>IF($J799="","",IF($J799&lt;=0,"≤0",""))</f>
        <v/>
      </c>
      <c r="P799" s="53">
        <f>IF(AND($D799="SXC (627)",$F799="Chung"),IF(OR($G799="Cố định",$G799="Biến đổi"),"","THIẾU TÍNH CHẤT"),"")</f>
        <v/>
      </c>
    </row>
    <row r="800" ht="15" customHeight="1" s="54">
      <c r="A800" s="71" t="n"/>
      <c r="B800" s="67" t="n"/>
      <c r="C800" s="67" t="n"/>
      <c r="D800" s="67" t="n"/>
      <c r="E800" s="79">
        <f>IFERROR(INDEX(MAP_TK,MATCH($D800,MAP_KM,0)),"")</f>
        <v/>
      </c>
      <c r="F800" s="67" t="n"/>
      <c r="G800" s="67" t="n"/>
      <c r="H800" s="67" t="n"/>
      <c r="I800" s="67" t="n"/>
      <c r="J800" s="75" t="n"/>
      <c r="K800" s="67" t="n"/>
      <c r="M800" s="53">
        <f>IF($C800="","",IF(OR($C800="CHUNG",COUNTIF(DM_Ma,$C800)&gt;0),"","MÃ LẠ"))</f>
        <v/>
      </c>
      <c r="N800" s="53">
        <f>IF($A800="","",IF(AND($A800&gt;=pTu,$A800&lt;=pDen),"","NGOÀI KỲ"))</f>
        <v/>
      </c>
      <c r="O800" s="53">
        <f>IF($J800="","",IF($J800&lt;=0,"≤0",""))</f>
        <v/>
      </c>
      <c r="P800" s="53">
        <f>IF(AND($D800="SXC (627)",$F800="Chung"),IF(OR($G800="Cố định",$G800="Biến đổi"),"","THIẾU TÍNH CHẤT"),"")</f>
        <v/>
      </c>
    </row>
    <row r="801" ht="15" customHeight="1" s="54">
      <c r="A801" s="71" t="n"/>
      <c r="B801" s="67" t="n"/>
      <c r="C801" s="67" t="n"/>
      <c r="D801" s="67" t="n"/>
      <c r="E801" s="79">
        <f>IFERROR(INDEX(MAP_TK,MATCH($D801,MAP_KM,0)),"")</f>
        <v/>
      </c>
      <c r="F801" s="67" t="n"/>
      <c r="G801" s="67" t="n"/>
      <c r="H801" s="67" t="n"/>
      <c r="I801" s="67" t="n"/>
      <c r="J801" s="75" t="n"/>
      <c r="K801" s="67" t="n"/>
      <c r="M801" s="53">
        <f>IF($C801="","",IF(OR($C801="CHUNG",COUNTIF(DM_Ma,$C801)&gt;0),"","MÃ LẠ"))</f>
        <v/>
      </c>
      <c r="N801" s="53">
        <f>IF($A801="","",IF(AND($A801&gt;=pTu,$A801&lt;=pDen),"","NGOÀI KỲ"))</f>
        <v/>
      </c>
      <c r="O801" s="53">
        <f>IF($J801="","",IF($J801&lt;=0,"≤0",""))</f>
        <v/>
      </c>
      <c r="P801" s="53">
        <f>IF(AND($D801="SXC (627)",$F801="Chung"),IF(OR($G801="Cố định",$G801="Biến đổi"),"","THIẾU TÍNH CHẤT"),"")</f>
        <v/>
      </c>
    </row>
    <row r="802" ht="15" customHeight="1" s="54">
      <c r="A802" s="71" t="n"/>
      <c r="B802" s="67" t="n"/>
      <c r="C802" s="67" t="n"/>
      <c r="D802" s="67" t="n"/>
      <c r="E802" s="79">
        <f>IFERROR(INDEX(MAP_TK,MATCH($D802,MAP_KM,0)),"")</f>
        <v/>
      </c>
      <c r="F802" s="67" t="n"/>
      <c r="G802" s="67" t="n"/>
      <c r="H802" s="67" t="n"/>
      <c r="I802" s="67" t="n"/>
      <c r="J802" s="75" t="n"/>
      <c r="K802" s="67" t="n"/>
      <c r="M802" s="53">
        <f>IF($C802="","",IF(OR($C802="CHUNG",COUNTIF(DM_Ma,$C802)&gt;0),"","MÃ LẠ"))</f>
        <v/>
      </c>
      <c r="N802" s="53">
        <f>IF($A802="","",IF(AND($A802&gt;=pTu,$A802&lt;=pDen),"","NGOÀI KỲ"))</f>
        <v/>
      </c>
      <c r="O802" s="53">
        <f>IF($J802="","",IF($J802&lt;=0,"≤0",""))</f>
        <v/>
      </c>
      <c r="P802" s="53">
        <f>IF(AND($D802="SXC (627)",$F802="Chung"),IF(OR($G802="Cố định",$G802="Biến đổi"),"","THIẾU TÍNH CHẤT"),"")</f>
        <v/>
      </c>
    </row>
    <row r="803" ht="15" customHeight="1" s="54">
      <c r="A803" s="71" t="n"/>
      <c r="B803" s="67" t="n"/>
      <c r="C803" s="67" t="n"/>
      <c r="D803" s="67" t="n"/>
      <c r="E803" s="79">
        <f>IFERROR(INDEX(MAP_TK,MATCH($D803,MAP_KM,0)),"")</f>
        <v/>
      </c>
      <c r="F803" s="67" t="n"/>
      <c r="G803" s="67" t="n"/>
      <c r="H803" s="67" t="n"/>
      <c r="I803" s="67" t="n"/>
      <c r="J803" s="75" t="n"/>
      <c r="K803" s="67" t="n"/>
      <c r="M803" s="53">
        <f>IF($C803="","",IF(OR($C803="CHUNG",COUNTIF(DM_Ma,$C803)&gt;0),"","MÃ LẠ"))</f>
        <v/>
      </c>
      <c r="N803" s="53">
        <f>IF($A803="","",IF(AND($A803&gt;=pTu,$A803&lt;=pDen),"","NGOÀI KỲ"))</f>
        <v/>
      </c>
      <c r="O803" s="53">
        <f>IF($J803="","",IF($J803&lt;=0,"≤0",""))</f>
        <v/>
      </c>
      <c r="P803" s="53">
        <f>IF(AND($D803="SXC (627)",$F803="Chung"),IF(OR($G803="Cố định",$G803="Biến đổi"),"","THIẾU TÍNH CHẤT"),"")</f>
        <v/>
      </c>
    </row>
    <row r="804" ht="15" customHeight="1" s="54">
      <c r="A804" s="71" t="n"/>
      <c r="B804" s="67" t="n"/>
      <c r="C804" s="67" t="n"/>
      <c r="D804" s="67" t="n"/>
      <c r="E804" s="79">
        <f>IFERROR(INDEX(MAP_TK,MATCH($D804,MAP_KM,0)),"")</f>
        <v/>
      </c>
      <c r="F804" s="67" t="n"/>
      <c r="G804" s="67" t="n"/>
      <c r="H804" s="67" t="n"/>
      <c r="I804" s="67" t="n"/>
      <c r="J804" s="75" t="n"/>
      <c r="K804" s="67" t="n"/>
      <c r="M804" s="53">
        <f>IF($C804="","",IF(OR($C804="CHUNG",COUNTIF(DM_Ma,$C804)&gt;0),"","MÃ LẠ"))</f>
        <v/>
      </c>
      <c r="N804" s="53">
        <f>IF($A804="","",IF(AND($A804&gt;=pTu,$A804&lt;=pDen),"","NGOÀI KỲ"))</f>
        <v/>
      </c>
      <c r="O804" s="53">
        <f>IF($J804="","",IF($J804&lt;=0,"≤0",""))</f>
        <v/>
      </c>
      <c r="P804" s="53">
        <f>IF(AND($D804="SXC (627)",$F804="Chung"),IF(OR($G804="Cố định",$G804="Biến đổi"),"","THIẾU TÍNH CHẤT"),"")</f>
        <v/>
      </c>
    </row>
  </sheetData>
  <sheetProtection selectLockedCells="0" selectUnlockedCells="0" sheet="1" objects="0" insertRows="1" insertHyperlinks="1" autoFilter="1" scenarios="0" formatColumns="1" deleteColumns="1" insertColumns="1" pivotTables="1" deleteRows="1" formatCells="0" formatRows="1" sort="1"/>
  <mergeCells count="2">
    <mergeCell ref="A2:K2"/>
    <mergeCell ref="A1:K1"/>
  </mergeCells>
  <dataValidations count="4">
    <dataValidation sqref="C5:C804" showDropDown="0" showInputMessage="0" showErrorMessage="0" allowBlank="1" type="list" errorStyle="stop" operator="between">
      <formula1>LST_MaList</formula1>
      <formula2>0</formula2>
    </dataValidation>
    <dataValidation sqref="D5:D804" showDropDown="0" showInputMessage="0" showErrorMessage="0" allowBlank="1" type="list" errorStyle="stop" operator="between">
      <formula1>LST_KhoanMuc</formula1>
      <formula2>0</formula2>
    </dataValidation>
    <dataValidation sqref="F5:F804" showDropDown="0" showInputMessage="0" showErrorMessage="0" allowBlank="1" type="list" errorStyle="stop" operator="between">
      <formula1>LST_TrucChung</formula1>
      <formula2>0</formula2>
    </dataValidation>
    <dataValidation sqref="G5:G804" showDropDown="0" showInputMessage="0" showErrorMessage="0" allowBlank="1" type="list" errorStyle="stop" operator="between">
      <formula1>LST_TinhChat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8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3" min="1" max="1"/>
    <col width="22" customWidth="1" style="53" min="2" max="2"/>
    <col width="15" customWidth="1" style="53" min="3" max="3"/>
    <col width="12" customWidth="1" style="53" min="4" max="7"/>
    <col width="11" customWidth="1" style="53" min="8" max="9"/>
    <col width="13" customWidth="1" style="53" min="10" max="10"/>
    <col width="12" customWidth="1" style="53" min="11" max="11"/>
    <col width="15" customWidth="1" style="53" min="12" max="12"/>
    <col width="10" customWidth="1" style="53" min="13" max="13"/>
  </cols>
  <sheetData>
    <row r="1" ht="24" customHeight="1" s="54">
      <c r="A1" s="55">
        <f>"ĐÁNH GIÁ DỞ DANG — "&amp;pDoDang</f>
        <v/>
      </c>
    </row>
    <row r="2" ht="15" customHeight="1" s="54">
      <c r="A2" s="65" t="inlineStr">
        <is>
          <t>Nhập số dư đầu kỳ &amp; sản lượng dở dang (ô vàng). DDCK tự tính theo phương pháp đã chọn. Đối tượng 'Đang thực hiện' sẽ tự treo toàn bộ chi phí là dở dang.</t>
        </is>
      </c>
    </row>
    <row r="3"/>
    <row r="4" ht="23.85" customHeight="1" s="54">
      <c r="A4" s="74">
        <f>"Mã "&amp;pTenDoiTuong</f>
        <v/>
      </c>
      <c r="B4" s="74" t="inlineStr">
        <is>
          <t>Tên</t>
        </is>
      </c>
      <c r="C4" s="74" t="inlineStr">
        <is>
          <t>Trạng thái</t>
        </is>
      </c>
      <c r="D4" s="74" t="inlineStr">
        <is>
          <t>DDĐK 621</t>
        </is>
      </c>
      <c r="E4" s="74" t="inlineStr">
        <is>
          <t>DDĐK 622</t>
        </is>
      </c>
      <c r="F4" s="74" t="inlineStr">
        <is>
          <t>DDĐK 623</t>
        </is>
      </c>
      <c r="G4" s="74" t="inlineStr">
        <is>
          <t>DDĐK 627</t>
        </is>
      </c>
      <c r="H4" s="74" t="inlineStr">
        <is>
          <t>SL dở dang</t>
        </is>
      </c>
      <c r="I4" s="74" t="inlineStr">
        <is>
          <t>% hoàn thành</t>
        </is>
      </c>
      <c r="J4" s="74" t="inlineStr">
        <is>
          <t>Đơn giá ĐM DD</t>
        </is>
      </c>
      <c r="K4" s="74" t="inlineStr">
        <is>
          <t>SL hoàn thành</t>
        </is>
      </c>
      <c r="L4" s="74" t="inlineStr">
        <is>
          <t>DDCK (kết quả)</t>
        </is>
      </c>
      <c r="M4" s="74" t="inlineStr">
        <is>
          <t>(K.tra %)</t>
        </is>
      </c>
    </row>
    <row r="5" ht="15" customHeight="1" s="54">
      <c r="A5" s="80">
        <f>IF(INDEX(DM_Ma,1)="","",INDEX(DM_Ma,1))</f>
        <v/>
      </c>
      <c r="B5" s="80">
        <f>IF($A5="","",INDEX(DM_Ten,1))</f>
        <v/>
      </c>
      <c r="C5" s="80">
        <f>IF($A5="","",INDEX(DM_TrangThai,1))</f>
        <v/>
      </c>
      <c r="D5" s="75" t="n"/>
      <c r="E5" s="75" t="n"/>
      <c r="F5" s="75" t="n"/>
      <c r="G5" s="75" t="n"/>
      <c r="H5" s="75" t="n"/>
      <c r="I5" s="81" t="n"/>
      <c r="J5" s="75" t="n"/>
      <c r="K5" s="82">
        <f>IF($A5="","",INDEX(DM_SLHT,1))</f>
        <v/>
      </c>
      <c r="L5" s="82">
        <f>IF($A5="","",'4. Thẻ tính giá thành'!$Z$14)</f>
        <v/>
      </c>
      <c r="M5" s="83">
        <f>IF($A5="","",IF(OR(INDEX(DM_Pct_v,1)&lt;0,INDEX(DM_Pct_v,1)&gt;1),"❌ % SAI",""))</f>
        <v/>
      </c>
    </row>
    <row r="6" ht="15" customHeight="1" s="54">
      <c r="A6" s="80">
        <f>IF(INDEX(DM_Ma,2)="","",INDEX(DM_Ma,2))</f>
        <v/>
      </c>
      <c r="B6" s="80">
        <f>IF($A6="","",INDEX(DM_Ten,2))</f>
        <v/>
      </c>
      <c r="C6" s="80">
        <f>IF($A6="","",INDEX(DM_TrangThai,2))</f>
        <v/>
      </c>
      <c r="D6" s="75" t="n"/>
      <c r="E6" s="75" t="n"/>
      <c r="F6" s="75" t="n"/>
      <c r="G6" s="75" t="n"/>
      <c r="H6" s="75" t="n"/>
      <c r="I6" s="81" t="n"/>
      <c r="J6" s="75" t="n"/>
      <c r="K6" s="82">
        <f>IF($A6="","",INDEX(DM_SLHT,2))</f>
        <v/>
      </c>
      <c r="L6" s="82">
        <f>IF($A6="","",'4. Thẻ tính giá thành'!$Z$15)</f>
        <v/>
      </c>
      <c r="M6" s="83">
        <f>IF($A6="","",IF(OR(INDEX(DM_Pct_v,2)&lt;0,INDEX(DM_Pct_v,2)&gt;1),"❌ % SAI",""))</f>
        <v/>
      </c>
    </row>
    <row r="7" ht="15" customHeight="1" s="54">
      <c r="A7" s="80">
        <f>IF(INDEX(DM_Ma,3)="","",INDEX(DM_Ma,3))</f>
        <v/>
      </c>
      <c r="B7" s="80">
        <f>IF($A7="","",INDEX(DM_Ten,3))</f>
        <v/>
      </c>
      <c r="C7" s="80">
        <f>IF($A7="","",INDEX(DM_TrangThai,3))</f>
        <v/>
      </c>
      <c r="D7" s="75" t="n"/>
      <c r="E7" s="75" t="n"/>
      <c r="F7" s="75" t="n"/>
      <c r="G7" s="75" t="n"/>
      <c r="H7" s="75" t="n"/>
      <c r="I7" s="81" t="n"/>
      <c r="J7" s="75" t="n"/>
      <c r="K7" s="82">
        <f>IF($A7="","",INDEX(DM_SLHT,3))</f>
        <v/>
      </c>
      <c r="L7" s="82">
        <f>IF($A7="","",'4. Thẻ tính giá thành'!$Z$16)</f>
        <v/>
      </c>
      <c r="M7" s="83">
        <f>IF($A7="","",IF(OR(INDEX(DM_Pct_v,3)&lt;0,INDEX(DM_Pct_v,3)&gt;1),"❌ % SAI",""))</f>
        <v/>
      </c>
    </row>
    <row r="8" ht="15" customHeight="1" s="54">
      <c r="A8" s="80">
        <f>IF(INDEX(DM_Ma,4)="","",INDEX(DM_Ma,4))</f>
        <v/>
      </c>
      <c r="B8" s="80">
        <f>IF($A8="","",INDEX(DM_Ten,4))</f>
        <v/>
      </c>
      <c r="C8" s="80">
        <f>IF($A8="","",INDEX(DM_TrangThai,4))</f>
        <v/>
      </c>
      <c r="D8" s="75" t="n"/>
      <c r="E8" s="75" t="n"/>
      <c r="F8" s="75" t="n"/>
      <c r="G8" s="75" t="n"/>
      <c r="H8" s="75" t="n"/>
      <c r="I8" s="81" t="n"/>
      <c r="J8" s="75" t="n"/>
      <c r="K8" s="82">
        <f>IF($A8="","",INDEX(DM_SLHT,4))</f>
        <v/>
      </c>
      <c r="L8" s="82">
        <f>IF($A8="","",'4. Thẻ tính giá thành'!$Z$17)</f>
        <v/>
      </c>
      <c r="M8" s="83">
        <f>IF($A8="","",IF(OR(INDEX(DM_Pct_v,4)&lt;0,INDEX(DM_Pct_v,4)&gt;1),"❌ % SAI",""))</f>
        <v/>
      </c>
    </row>
    <row r="9" ht="15" customHeight="1" s="54">
      <c r="A9" s="80">
        <f>IF(INDEX(DM_Ma,5)="","",INDEX(DM_Ma,5))</f>
        <v/>
      </c>
      <c r="B9" s="80">
        <f>IF($A9="","",INDEX(DM_Ten,5))</f>
        <v/>
      </c>
      <c r="C9" s="80">
        <f>IF($A9="","",INDEX(DM_TrangThai,5))</f>
        <v/>
      </c>
      <c r="D9" s="75" t="n"/>
      <c r="E9" s="75" t="n"/>
      <c r="F9" s="75" t="n"/>
      <c r="G9" s="75" t="n"/>
      <c r="H9" s="75" t="n"/>
      <c r="I9" s="81" t="n"/>
      <c r="J9" s="75" t="n"/>
      <c r="K9" s="82">
        <f>IF($A9="","",INDEX(DM_SLHT,5))</f>
        <v/>
      </c>
      <c r="L9" s="82">
        <f>IF($A9="","",'4. Thẻ tính giá thành'!$Z$18)</f>
        <v/>
      </c>
      <c r="M9" s="83">
        <f>IF($A9="","",IF(OR(INDEX(DM_Pct_v,5)&lt;0,INDEX(DM_Pct_v,5)&gt;1),"❌ % SAI",""))</f>
        <v/>
      </c>
    </row>
    <row r="10" ht="15" customHeight="1" s="54">
      <c r="A10" s="80">
        <f>IF(INDEX(DM_Ma,6)="","",INDEX(DM_Ma,6))</f>
        <v/>
      </c>
      <c r="B10" s="80">
        <f>IF($A10="","",INDEX(DM_Ten,6))</f>
        <v/>
      </c>
      <c r="C10" s="80">
        <f>IF($A10="","",INDEX(DM_TrangThai,6))</f>
        <v/>
      </c>
      <c r="D10" s="75" t="n"/>
      <c r="E10" s="75" t="n"/>
      <c r="F10" s="75" t="n"/>
      <c r="G10" s="75" t="n"/>
      <c r="H10" s="75" t="n"/>
      <c r="I10" s="81" t="n"/>
      <c r="J10" s="75" t="n"/>
      <c r="K10" s="82">
        <f>IF($A10="","",INDEX(DM_SLHT,6))</f>
        <v/>
      </c>
      <c r="L10" s="82">
        <f>IF($A10="","",'4. Thẻ tính giá thành'!$Z$19)</f>
        <v/>
      </c>
      <c r="M10" s="83">
        <f>IF($A10="","",IF(OR(INDEX(DM_Pct_v,6)&lt;0,INDEX(DM_Pct_v,6)&gt;1),"❌ % SAI",""))</f>
        <v/>
      </c>
    </row>
    <row r="11" ht="15" customHeight="1" s="54">
      <c r="A11" s="80">
        <f>IF(INDEX(DM_Ma,7)="","",INDEX(DM_Ma,7))</f>
        <v/>
      </c>
      <c r="B11" s="80">
        <f>IF($A11="","",INDEX(DM_Ten,7))</f>
        <v/>
      </c>
      <c r="C11" s="80">
        <f>IF($A11="","",INDEX(DM_TrangThai,7))</f>
        <v/>
      </c>
      <c r="D11" s="75" t="n"/>
      <c r="E11" s="75" t="n"/>
      <c r="F11" s="75" t="n"/>
      <c r="G11" s="75" t="n"/>
      <c r="H11" s="75" t="n"/>
      <c r="I11" s="81" t="n"/>
      <c r="J11" s="75" t="n"/>
      <c r="K11" s="82">
        <f>IF($A11="","",INDEX(DM_SLHT,7))</f>
        <v/>
      </c>
      <c r="L11" s="82">
        <f>IF($A11="","",'4. Thẻ tính giá thành'!$Z$20)</f>
        <v/>
      </c>
      <c r="M11" s="83">
        <f>IF($A11="","",IF(OR(INDEX(DM_Pct_v,7)&lt;0,INDEX(DM_Pct_v,7)&gt;1),"❌ % SAI",""))</f>
        <v/>
      </c>
    </row>
    <row r="12" ht="15" customHeight="1" s="54">
      <c r="A12" s="80">
        <f>IF(INDEX(DM_Ma,8)="","",INDEX(DM_Ma,8))</f>
        <v/>
      </c>
      <c r="B12" s="80">
        <f>IF($A12="","",INDEX(DM_Ten,8))</f>
        <v/>
      </c>
      <c r="C12" s="80">
        <f>IF($A12="","",INDEX(DM_TrangThai,8))</f>
        <v/>
      </c>
      <c r="D12" s="75" t="n"/>
      <c r="E12" s="75" t="n"/>
      <c r="F12" s="75" t="n"/>
      <c r="G12" s="75" t="n"/>
      <c r="H12" s="75" t="n"/>
      <c r="I12" s="81" t="n"/>
      <c r="J12" s="75" t="n"/>
      <c r="K12" s="82">
        <f>IF($A12="","",INDEX(DM_SLHT,8))</f>
        <v/>
      </c>
      <c r="L12" s="82">
        <f>IF($A12="","",'4. Thẻ tính giá thành'!$Z$21)</f>
        <v/>
      </c>
      <c r="M12" s="83">
        <f>IF($A12="","",IF(OR(INDEX(DM_Pct_v,8)&lt;0,INDEX(DM_Pct_v,8)&gt;1),"❌ % SAI",""))</f>
        <v/>
      </c>
    </row>
    <row r="13" ht="15" customHeight="1" s="54">
      <c r="A13" s="80">
        <f>IF(INDEX(DM_Ma,9)="","",INDEX(DM_Ma,9))</f>
        <v/>
      </c>
      <c r="B13" s="80">
        <f>IF($A13="","",INDEX(DM_Ten,9))</f>
        <v/>
      </c>
      <c r="C13" s="80">
        <f>IF($A13="","",INDEX(DM_TrangThai,9))</f>
        <v/>
      </c>
      <c r="D13" s="75" t="n"/>
      <c r="E13" s="75" t="n"/>
      <c r="F13" s="75" t="n"/>
      <c r="G13" s="75" t="n"/>
      <c r="H13" s="75" t="n"/>
      <c r="I13" s="81" t="n"/>
      <c r="J13" s="75" t="n"/>
      <c r="K13" s="82">
        <f>IF($A13="","",INDEX(DM_SLHT,9))</f>
        <v/>
      </c>
      <c r="L13" s="82">
        <f>IF($A13="","",'4. Thẻ tính giá thành'!$Z$22)</f>
        <v/>
      </c>
      <c r="M13" s="83">
        <f>IF($A13="","",IF(OR(INDEX(DM_Pct_v,9)&lt;0,INDEX(DM_Pct_v,9)&gt;1),"❌ % SAI",""))</f>
        <v/>
      </c>
    </row>
    <row r="14" ht="15" customHeight="1" s="54">
      <c r="A14" s="80">
        <f>IF(INDEX(DM_Ma,10)="","",INDEX(DM_Ma,10))</f>
        <v/>
      </c>
      <c r="B14" s="80">
        <f>IF($A14="","",INDEX(DM_Ten,10))</f>
        <v/>
      </c>
      <c r="C14" s="80">
        <f>IF($A14="","",INDEX(DM_TrangThai,10))</f>
        <v/>
      </c>
      <c r="D14" s="75" t="n"/>
      <c r="E14" s="75" t="n"/>
      <c r="F14" s="75" t="n"/>
      <c r="G14" s="75" t="n"/>
      <c r="H14" s="75" t="n"/>
      <c r="I14" s="81" t="n"/>
      <c r="J14" s="75" t="n"/>
      <c r="K14" s="82">
        <f>IF($A14="","",INDEX(DM_SLHT,10))</f>
        <v/>
      </c>
      <c r="L14" s="82">
        <f>IF($A14="","",'4. Thẻ tính giá thành'!$Z$23)</f>
        <v/>
      </c>
      <c r="M14" s="83">
        <f>IF($A14="","",IF(OR(INDEX(DM_Pct_v,10)&lt;0,INDEX(DM_Pct_v,10)&gt;1),"❌ % SAI",""))</f>
        <v/>
      </c>
    </row>
    <row r="15" ht="15" customHeight="1" s="54">
      <c r="A15" s="80">
        <f>IF(INDEX(DM_Ma,11)="","",INDEX(DM_Ma,11))</f>
        <v/>
      </c>
      <c r="B15" s="80">
        <f>IF($A15="","",INDEX(DM_Ten,11))</f>
        <v/>
      </c>
      <c r="C15" s="80">
        <f>IF($A15="","",INDEX(DM_TrangThai,11))</f>
        <v/>
      </c>
      <c r="D15" s="75" t="n"/>
      <c r="E15" s="75" t="n"/>
      <c r="F15" s="75" t="n"/>
      <c r="G15" s="75" t="n"/>
      <c r="H15" s="75" t="n"/>
      <c r="I15" s="81" t="n"/>
      <c r="J15" s="75" t="n"/>
      <c r="K15" s="82">
        <f>IF($A15="","",INDEX(DM_SLHT,11))</f>
        <v/>
      </c>
      <c r="L15" s="82">
        <f>IF($A15="","",'4. Thẻ tính giá thành'!$Z$24)</f>
        <v/>
      </c>
      <c r="M15" s="83">
        <f>IF($A15="","",IF(OR(INDEX(DM_Pct_v,11)&lt;0,INDEX(DM_Pct_v,11)&gt;1),"❌ % SAI",""))</f>
        <v/>
      </c>
    </row>
    <row r="16" ht="15" customHeight="1" s="54">
      <c r="A16" s="80">
        <f>IF(INDEX(DM_Ma,12)="","",INDEX(DM_Ma,12))</f>
        <v/>
      </c>
      <c r="B16" s="80">
        <f>IF($A16="","",INDEX(DM_Ten,12))</f>
        <v/>
      </c>
      <c r="C16" s="80">
        <f>IF($A16="","",INDEX(DM_TrangThai,12))</f>
        <v/>
      </c>
      <c r="D16" s="75" t="n"/>
      <c r="E16" s="75" t="n"/>
      <c r="F16" s="75" t="n"/>
      <c r="G16" s="75" t="n"/>
      <c r="H16" s="75" t="n"/>
      <c r="I16" s="81" t="n"/>
      <c r="J16" s="75" t="n"/>
      <c r="K16" s="82">
        <f>IF($A16="","",INDEX(DM_SLHT,12))</f>
        <v/>
      </c>
      <c r="L16" s="82">
        <f>IF($A16="","",'4. Thẻ tính giá thành'!$Z$25)</f>
        <v/>
      </c>
      <c r="M16" s="83">
        <f>IF($A16="","",IF(OR(INDEX(DM_Pct_v,12)&lt;0,INDEX(DM_Pct_v,12)&gt;1),"❌ % SAI",""))</f>
        <v/>
      </c>
    </row>
    <row r="17" ht="15" customHeight="1" s="54">
      <c r="A17" s="80">
        <f>IF(INDEX(DM_Ma,13)="","",INDEX(DM_Ma,13))</f>
        <v/>
      </c>
      <c r="B17" s="80">
        <f>IF($A17="","",INDEX(DM_Ten,13))</f>
        <v/>
      </c>
      <c r="C17" s="80">
        <f>IF($A17="","",INDEX(DM_TrangThai,13))</f>
        <v/>
      </c>
      <c r="D17" s="75" t="n"/>
      <c r="E17" s="75" t="n"/>
      <c r="F17" s="75" t="n"/>
      <c r="G17" s="75" t="n"/>
      <c r="H17" s="75" t="n"/>
      <c r="I17" s="81" t="n"/>
      <c r="J17" s="75" t="n"/>
      <c r="K17" s="82">
        <f>IF($A17="","",INDEX(DM_SLHT,13))</f>
        <v/>
      </c>
      <c r="L17" s="82">
        <f>IF($A17="","",'4. Thẻ tính giá thành'!$Z$26)</f>
        <v/>
      </c>
      <c r="M17" s="83">
        <f>IF($A17="","",IF(OR(INDEX(DM_Pct_v,13)&lt;0,INDEX(DM_Pct_v,13)&gt;1),"❌ % SAI",""))</f>
        <v/>
      </c>
    </row>
    <row r="18" ht="15" customHeight="1" s="54">
      <c r="A18" s="80">
        <f>IF(INDEX(DM_Ma,14)="","",INDEX(DM_Ma,14))</f>
        <v/>
      </c>
      <c r="B18" s="80">
        <f>IF($A18="","",INDEX(DM_Ten,14))</f>
        <v/>
      </c>
      <c r="C18" s="80">
        <f>IF($A18="","",INDEX(DM_TrangThai,14))</f>
        <v/>
      </c>
      <c r="D18" s="75" t="n"/>
      <c r="E18" s="75" t="n"/>
      <c r="F18" s="75" t="n"/>
      <c r="G18" s="75" t="n"/>
      <c r="H18" s="75" t="n"/>
      <c r="I18" s="81" t="n"/>
      <c r="J18" s="75" t="n"/>
      <c r="K18" s="82">
        <f>IF($A18="","",INDEX(DM_SLHT,14))</f>
        <v/>
      </c>
      <c r="L18" s="82">
        <f>IF($A18="","",'4. Thẻ tính giá thành'!$Z$27)</f>
        <v/>
      </c>
      <c r="M18" s="83">
        <f>IF($A18="","",IF(OR(INDEX(DM_Pct_v,14)&lt;0,INDEX(DM_Pct_v,14)&gt;1),"❌ % SAI",""))</f>
        <v/>
      </c>
    </row>
    <row r="19" ht="15" customHeight="1" s="54">
      <c r="A19" s="80">
        <f>IF(INDEX(DM_Ma,15)="","",INDEX(DM_Ma,15))</f>
        <v/>
      </c>
      <c r="B19" s="80">
        <f>IF($A19="","",INDEX(DM_Ten,15))</f>
        <v/>
      </c>
      <c r="C19" s="80">
        <f>IF($A19="","",INDEX(DM_TrangThai,15))</f>
        <v/>
      </c>
      <c r="D19" s="75" t="n"/>
      <c r="E19" s="75" t="n"/>
      <c r="F19" s="75" t="n"/>
      <c r="G19" s="75" t="n"/>
      <c r="H19" s="75" t="n"/>
      <c r="I19" s="81" t="n"/>
      <c r="J19" s="75" t="n"/>
      <c r="K19" s="82">
        <f>IF($A19="","",INDEX(DM_SLHT,15))</f>
        <v/>
      </c>
      <c r="L19" s="82">
        <f>IF($A19="","",'4. Thẻ tính giá thành'!$Z$28)</f>
        <v/>
      </c>
      <c r="M19" s="83">
        <f>IF($A19="","",IF(OR(INDEX(DM_Pct_v,15)&lt;0,INDEX(DM_Pct_v,15)&gt;1),"❌ % SAI",""))</f>
        <v/>
      </c>
    </row>
    <row r="20" ht="15" customHeight="1" s="54">
      <c r="A20" s="80">
        <f>IF(INDEX(DM_Ma,16)="","",INDEX(DM_Ma,16))</f>
        <v/>
      </c>
      <c r="B20" s="80">
        <f>IF($A20="","",INDEX(DM_Ten,16))</f>
        <v/>
      </c>
      <c r="C20" s="80">
        <f>IF($A20="","",INDEX(DM_TrangThai,16))</f>
        <v/>
      </c>
      <c r="D20" s="75" t="n"/>
      <c r="E20" s="75" t="n"/>
      <c r="F20" s="75" t="n"/>
      <c r="G20" s="75" t="n"/>
      <c r="H20" s="75" t="n"/>
      <c r="I20" s="81" t="n"/>
      <c r="J20" s="75" t="n"/>
      <c r="K20" s="82">
        <f>IF($A20="","",INDEX(DM_SLHT,16))</f>
        <v/>
      </c>
      <c r="L20" s="82">
        <f>IF($A20="","",'4. Thẻ tính giá thành'!$Z$29)</f>
        <v/>
      </c>
      <c r="M20" s="83">
        <f>IF($A20="","",IF(OR(INDEX(DM_Pct_v,16)&lt;0,INDEX(DM_Pct_v,16)&gt;1),"❌ % SAI",""))</f>
        <v/>
      </c>
    </row>
    <row r="21" ht="15" customHeight="1" s="54">
      <c r="A21" s="80">
        <f>IF(INDEX(DM_Ma,17)="","",INDEX(DM_Ma,17))</f>
        <v/>
      </c>
      <c r="B21" s="80">
        <f>IF($A21="","",INDEX(DM_Ten,17))</f>
        <v/>
      </c>
      <c r="C21" s="80">
        <f>IF($A21="","",INDEX(DM_TrangThai,17))</f>
        <v/>
      </c>
      <c r="D21" s="75" t="n"/>
      <c r="E21" s="75" t="n"/>
      <c r="F21" s="75" t="n"/>
      <c r="G21" s="75" t="n"/>
      <c r="H21" s="75" t="n"/>
      <c r="I21" s="81" t="n"/>
      <c r="J21" s="75" t="n"/>
      <c r="K21" s="82">
        <f>IF($A21="","",INDEX(DM_SLHT,17))</f>
        <v/>
      </c>
      <c r="L21" s="82">
        <f>IF($A21="","",'4. Thẻ tính giá thành'!$Z$30)</f>
        <v/>
      </c>
      <c r="M21" s="83">
        <f>IF($A21="","",IF(OR(INDEX(DM_Pct_v,17)&lt;0,INDEX(DM_Pct_v,17)&gt;1),"❌ % SAI",""))</f>
        <v/>
      </c>
    </row>
    <row r="22" ht="15" customHeight="1" s="54">
      <c r="A22" s="80">
        <f>IF(INDEX(DM_Ma,18)="","",INDEX(DM_Ma,18))</f>
        <v/>
      </c>
      <c r="B22" s="80">
        <f>IF($A22="","",INDEX(DM_Ten,18))</f>
        <v/>
      </c>
      <c r="C22" s="80">
        <f>IF($A22="","",INDEX(DM_TrangThai,18))</f>
        <v/>
      </c>
      <c r="D22" s="75" t="n"/>
      <c r="E22" s="75" t="n"/>
      <c r="F22" s="75" t="n"/>
      <c r="G22" s="75" t="n"/>
      <c r="H22" s="75" t="n"/>
      <c r="I22" s="81" t="n"/>
      <c r="J22" s="75" t="n"/>
      <c r="K22" s="82">
        <f>IF($A22="","",INDEX(DM_SLHT,18))</f>
        <v/>
      </c>
      <c r="L22" s="82">
        <f>IF($A22="","",'4. Thẻ tính giá thành'!$Z$31)</f>
        <v/>
      </c>
      <c r="M22" s="83">
        <f>IF($A22="","",IF(OR(INDEX(DM_Pct_v,18)&lt;0,INDEX(DM_Pct_v,18)&gt;1),"❌ % SAI",""))</f>
        <v/>
      </c>
    </row>
    <row r="23" ht="15" customHeight="1" s="54">
      <c r="A23" s="80">
        <f>IF(INDEX(DM_Ma,19)="","",INDEX(DM_Ma,19))</f>
        <v/>
      </c>
      <c r="B23" s="80">
        <f>IF($A23="","",INDEX(DM_Ten,19))</f>
        <v/>
      </c>
      <c r="C23" s="80">
        <f>IF($A23="","",INDEX(DM_TrangThai,19))</f>
        <v/>
      </c>
      <c r="D23" s="75" t="n"/>
      <c r="E23" s="75" t="n"/>
      <c r="F23" s="75" t="n"/>
      <c r="G23" s="75" t="n"/>
      <c r="H23" s="75" t="n"/>
      <c r="I23" s="81" t="n"/>
      <c r="J23" s="75" t="n"/>
      <c r="K23" s="82">
        <f>IF($A23="","",INDEX(DM_SLHT,19))</f>
        <v/>
      </c>
      <c r="L23" s="82">
        <f>IF($A23="","",'4. Thẻ tính giá thành'!$Z$32)</f>
        <v/>
      </c>
      <c r="M23" s="83">
        <f>IF($A23="","",IF(OR(INDEX(DM_Pct_v,19)&lt;0,INDEX(DM_Pct_v,19)&gt;1),"❌ % SAI",""))</f>
        <v/>
      </c>
    </row>
    <row r="24" ht="15" customHeight="1" s="54">
      <c r="A24" s="80">
        <f>IF(INDEX(DM_Ma,20)="","",INDEX(DM_Ma,20))</f>
        <v/>
      </c>
      <c r="B24" s="80">
        <f>IF($A24="","",INDEX(DM_Ten,20))</f>
        <v/>
      </c>
      <c r="C24" s="80">
        <f>IF($A24="","",INDEX(DM_TrangThai,20))</f>
        <v/>
      </c>
      <c r="D24" s="75" t="n"/>
      <c r="E24" s="75" t="n"/>
      <c r="F24" s="75" t="n"/>
      <c r="G24" s="75" t="n"/>
      <c r="H24" s="75" t="n"/>
      <c r="I24" s="81" t="n"/>
      <c r="J24" s="75" t="n"/>
      <c r="K24" s="82">
        <f>IF($A24="","",INDEX(DM_SLHT,20))</f>
        <v/>
      </c>
      <c r="L24" s="82">
        <f>IF($A24="","",'4. Thẻ tính giá thành'!$Z$33)</f>
        <v/>
      </c>
      <c r="M24" s="83">
        <f>IF($A24="","",IF(OR(INDEX(DM_Pct_v,20)&lt;0,INDEX(DM_Pct_v,20)&gt;1),"❌ % SAI",""))</f>
        <v/>
      </c>
    </row>
    <row r="25" ht="15" customHeight="1" s="54">
      <c r="A25" s="80">
        <f>IF(INDEX(DM_Ma,21)="","",INDEX(DM_Ma,21))</f>
        <v/>
      </c>
      <c r="B25" s="80">
        <f>IF($A25="","",INDEX(DM_Ten,21))</f>
        <v/>
      </c>
      <c r="C25" s="80">
        <f>IF($A25="","",INDEX(DM_TrangThai,21))</f>
        <v/>
      </c>
      <c r="D25" s="75" t="n"/>
      <c r="E25" s="75" t="n"/>
      <c r="F25" s="75" t="n"/>
      <c r="G25" s="75" t="n"/>
      <c r="H25" s="75" t="n"/>
      <c r="I25" s="81" t="n"/>
      <c r="J25" s="75" t="n"/>
      <c r="K25" s="82">
        <f>IF($A25="","",INDEX(DM_SLHT,21))</f>
        <v/>
      </c>
      <c r="L25" s="82">
        <f>IF($A25="","",'4. Thẻ tính giá thành'!$Z$34)</f>
        <v/>
      </c>
      <c r="M25" s="83">
        <f>IF($A25="","",IF(OR(INDEX(DM_Pct_v,21)&lt;0,INDEX(DM_Pct_v,21)&gt;1),"❌ % SAI",""))</f>
        <v/>
      </c>
    </row>
    <row r="26" ht="15" customHeight="1" s="54">
      <c r="A26" s="80">
        <f>IF(INDEX(DM_Ma,22)="","",INDEX(DM_Ma,22))</f>
        <v/>
      </c>
      <c r="B26" s="80">
        <f>IF($A26="","",INDEX(DM_Ten,22))</f>
        <v/>
      </c>
      <c r="C26" s="80">
        <f>IF($A26="","",INDEX(DM_TrangThai,22))</f>
        <v/>
      </c>
      <c r="D26" s="75" t="n"/>
      <c r="E26" s="75" t="n"/>
      <c r="F26" s="75" t="n"/>
      <c r="G26" s="75" t="n"/>
      <c r="H26" s="75" t="n"/>
      <c r="I26" s="81" t="n"/>
      <c r="J26" s="75" t="n"/>
      <c r="K26" s="82">
        <f>IF($A26="","",INDEX(DM_SLHT,22))</f>
        <v/>
      </c>
      <c r="L26" s="82">
        <f>IF($A26="","",'4. Thẻ tính giá thành'!$Z$35)</f>
        <v/>
      </c>
      <c r="M26" s="83">
        <f>IF($A26="","",IF(OR(INDEX(DM_Pct_v,22)&lt;0,INDEX(DM_Pct_v,22)&gt;1),"❌ % SAI",""))</f>
        <v/>
      </c>
    </row>
    <row r="27" ht="15" customHeight="1" s="54">
      <c r="A27" s="80">
        <f>IF(INDEX(DM_Ma,23)="","",INDEX(DM_Ma,23))</f>
        <v/>
      </c>
      <c r="B27" s="80">
        <f>IF($A27="","",INDEX(DM_Ten,23))</f>
        <v/>
      </c>
      <c r="C27" s="80">
        <f>IF($A27="","",INDEX(DM_TrangThai,23))</f>
        <v/>
      </c>
      <c r="D27" s="75" t="n"/>
      <c r="E27" s="75" t="n"/>
      <c r="F27" s="75" t="n"/>
      <c r="G27" s="75" t="n"/>
      <c r="H27" s="75" t="n"/>
      <c r="I27" s="81" t="n"/>
      <c r="J27" s="75" t="n"/>
      <c r="K27" s="82">
        <f>IF($A27="","",INDEX(DM_SLHT,23))</f>
        <v/>
      </c>
      <c r="L27" s="82">
        <f>IF($A27="","",'4. Thẻ tính giá thành'!$Z$36)</f>
        <v/>
      </c>
      <c r="M27" s="83">
        <f>IF($A27="","",IF(OR(INDEX(DM_Pct_v,23)&lt;0,INDEX(DM_Pct_v,23)&gt;1),"❌ % SAI",""))</f>
        <v/>
      </c>
    </row>
    <row r="28" ht="15" customHeight="1" s="54">
      <c r="A28" s="80">
        <f>IF(INDEX(DM_Ma,24)="","",INDEX(DM_Ma,24))</f>
        <v/>
      </c>
      <c r="B28" s="80">
        <f>IF($A28="","",INDEX(DM_Ten,24))</f>
        <v/>
      </c>
      <c r="C28" s="80">
        <f>IF($A28="","",INDEX(DM_TrangThai,24))</f>
        <v/>
      </c>
      <c r="D28" s="75" t="n"/>
      <c r="E28" s="75" t="n"/>
      <c r="F28" s="75" t="n"/>
      <c r="G28" s="75" t="n"/>
      <c r="H28" s="75" t="n"/>
      <c r="I28" s="81" t="n"/>
      <c r="J28" s="75" t="n"/>
      <c r="K28" s="82">
        <f>IF($A28="","",INDEX(DM_SLHT,24))</f>
        <v/>
      </c>
      <c r="L28" s="82">
        <f>IF($A28="","",'4. Thẻ tính giá thành'!$Z$37)</f>
        <v/>
      </c>
      <c r="M28" s="83">
        <f>IF($A28="","",IF(OR(INDEX(DM_Pct_v,24)&lt;0,INDEX(DM_Pct_v,24)&gt;1),"❌ % SAI",""))</f>
        <v/>
      </c>
    </row>
    <row r="29" ht="15" customHeight="1" s="54">
      <c r="A29" s="80">
        <f>IF(INDEX(DM_Ma,25)="","",INDEX(DM_Ma,25))</f>
        <v/>
      </c>
      <c r="B29" s="80">
        <f>IF($A29="","",INDEX(DM_Ten,25))</f>
        <v/>
      </c>
      <c r="C29" s="80">
        <f>IF($A29="","",INDEX(DM_TrangThai,25))</f>
        <v/>
      </c>
      <c r="D29" s="75" t="n"/>
      <c r="E29" s="75" t="n"/>
      <c r="F29" s="75" t="n"/>
      <c r="G29" s="75" t="n"/>
      <c r="H29" s="75" t="n"/>
      <c r="I29" s="81" t="n"/>
      <c r="J29" s="75" t="n"/>
      <c r="K29" s="82">
        <f>IF($A29="","",INDEX(DM_SLHT,25))</f>
        <v/>
      </c>
      <c r="L29" s="82">
        <f>IF($A29="","",'4. Thẻ tính giá thành'!$Z$38)</f>
        <v/>
      </c>
      <c r="M29" s="83">
        <f>IF($A29="","",IF(OR(INDEX(DM_Pct_v,25)&lt;0,INDEX(DM_Pct_v,25)&gt;1),"❌ % SAI",""))</f>
        <v/>
      </c>
    </row>
    <row r="30" ht="15" customHeight="1" s="54">
      <c r="A30" s="80">
        <f>IF(INDEX(DM_Ma,26)="","",INDEX(DM_Ma,26))</f>
        <v/>
      </c>
      <c r="B30" s="80">
        <f>IF($A30="","",INDEX(DM_Ten,26))</f>
        <v/>
      </c>
      <c r="C30" s="80">
        <f>IF($A30="","",INDEX(DM_TrangThai,26))</f>
        <v/>
      </c>
      <c r="D30" s="75" t="n"/>
      <c r="E30" s="75" t="n"/>
      <c r="F30" s="75" t="n"/>
      <c r="G30" s="75" t="n"/>
      <c r="H30" s="75" t="n"/>
      <c r="I30" s="81" t="n"/>
      <c r="J30" s="75" t="n"/>
      <c r="K30" s="82">
        <f>IF($A30="","",INDEX(DM_SLHT,26))</f>
        <v/>
      </c>
      <c r="L30" s="82">
        <f>IF($A30="","",'4. Thẻ tính giá thành'!$Z$39)</f>
        <v/>
      </c>
      <c r="M30" s="83">
        <f>IF($A30="","",IF(OR(INDEX(DM_Pct_v,26)&lt;0,INDEX(DM_Pct_v,26)&gt;1),"❌ % SAI",""))</f>
        <v/>
      </c>
    </row>
    <row r="31" ht="15" customHeight="1" s="54">
      <c r="A31" s="80">
        <f>IF(INDEX(DM_Ma,27)="","",INDEX(DM_Ma,27))</f>
        <v/>
      </c>
      <c r="B31" s="80">
        <f>IF($A31="","",INDEX(DM_Ten,27))</f>
        <v/>
      </c>
      <c r="C31" s="80">
        <f>IF($A31="","",INDEX(DM_TrangThai,27))</f>
        <v/>
      </c>
      <c r="D31" s="75" t="n"/>
      <c r="E31" s="75" t="n"/>
      <c r="F31" s="75" t="n"/>
      <c r="G31" s="75" t="n"/>
      <c r="H31" s="75" t="n"/>
      <c r="I31" s="81" t="n"/>
      <c r="J31" s="75" t="n"/>
      <c r="K31" s="82">
        <f>IF($A31="","",INDEX(DM_SLHT,27))</f>
        <v/>
      </c>
      <c r="L31" s="82">
        <f>IF($A31="","",'4. Thẻ tính giá thành'!$Z$40)</f>
        <v/>
      </c>
      <c r="M31" s="83">
        <f>IF($A31="","",IF(OR(INDEX(DM_Pct_v,27)&lt;0,INDEX(DM_Pct_v,27)&gt;1),"❌ % SAI",""))</f>
        <v/>
      </c>
    </row>
    <row r="32" ht="15" customHeight="1" s="54">
      <c r="A32" s="80">
        <f>IF(INDEX(DM_Ma,28)="","",INDEX(DM_Ma,28))</f>
        <v/>
      </c>
      <c r="B32" s="80">
        <f>IF($A32="","",INDEX(DM_Ten,28))</f>
        <v/>
      </c>
      <c r="C32" s="80">
        <f>IF($A32="","",INDEX(DM_TrangThai,28))</f>
        <v/>
      </c>
      <c r="D32" s="75" t="n"/>
      <c r="E32" s="75" t="n"/>
      <c r="F32" s="75" t="n"/>
      <c r="G32" s="75" t="n"/>
      <c r="H32" s="75" t="n"/>
      <c r="I32" s="81" t="n"/>
      <c r="J32" s="75" t="n"/>
      <c r="K32" s="82">
        <f>IF($A32="","",INDEX(DM_SLHT,28))</f>
        <v/>
      </c>
      <c r="L32" s="82">
        <f>IF($A32="","",'4. Thẻ tính giá thành'!$Z$41)</f>
        <v/>
      </c>
      <c r="M32" s="83">
        <f>IF($A32="","",IF(OR(INDEX(DM_Pct_v,28)&lt;0,INDEX(DM_Pct_v,28)&gt;1),"❌ % SAI",""))</f>
        <v/>
      </c>
    </row>
    <row r="33" ht="15" customHeight="1" s="54">
      <c r="A33" s="80">
        <f>IF(INDEX(DM_Ma,29)="","",INDEX(DM_Ma,29))</f>
        <v/>
      </c>
      <c r="B33" s="80">
        <f>IF($A33="","",INDEX(DM_Ten,29))</f>
        <v/>
      </c>
      <c r="C33" s="80">
        <f>IF($A33="","",INDEX(DM_TrangThai,29))</f>
        <v/>
      </c>
      <c r="D33" s="75" t="n"/>
      <c r="E33" s="75" t="n"/>
      <c r="F33" s="75" t="n"/>
      <c r="G33" s="75" t="n"/>
      <c r="H33" s="75" t="n"/>
      <c r="I33" s="81" t="n"/>
      <c r="J33" s="75" t="n"/>
      <c r="K33" s="82">
        <f>IF($A33="","",INDEX(DM_SLHT,29))</f>
        <v/>
      </c>
      <c r="L33" s="82">
        <f>IF($A33="","",'4. Thẻ tính giá thành'!$Z$42)</f>
        <v/>
      </c>
      <c r="M33" s="83">
        <f>IF($A33="","",IF(OR(INDEX(DM_Pct_v,29)&lt;0,INDEX(DM_Pct_v,29)&gt;1),"❌ % SAI",""))</f>
        <v/>
      </c>
    </row>
    <row r="34" ht="15" customHeight="1" s="54">
      <c r="A34" s="80">
        <f>IF(INDEX(DM_Ma,30)="","",INDEX(DM_Ma,30))</f>
        <v/>
      </c>
      <c r="B34" s="80">
        <f>IF($A34="","",INDEX(DM_Ten,30))</f>
        <v/>
      </c>
      <c r="C34" s="80">
        <f>IF($A34="","",INDEX(DM_TrangThai,30))</f>
        <v/>
      </c>
      <c r="D34" s="75" t="n"/>
      <c r="E34" s="75" t="n"/>
      <c r="F34" s="75" t="n"/>
      <c r="G34" s="75" t="n"/>
      <c r="H34" s="75" t="n"/>
      <c r="I34" s="81" t="n"/>
      <c r="J34" s="75" t="n"/>
      <c r="K34" s="82">
        <f>IF($A34="","",INDEX(DM_SLHT,30))</f>
        <v/>
      </c>
      <c r="L34" s="82">
        <f>IF($A34="","",'4. Thẻ tính giá thành'!$Z$43)</f>
        <v/>
      </c>
      <c r="M34" s="83">
        <f>IF($A34="","",IF(OR(INDEX(DM_Pct_v,30)&lt;0,INDEX(DM_Pct_v,30)&gt;1),"❌ % SAI",""))</f>
        <v/>
      </c>
    </row>
    <row r="35" ht="15" customHeight="1" s="54">
      <c r="A35" s="80">
        <f>IF(INDEX(DM_Ma,31)="","",INDEX(DM_Ma,31))</f>
        <v/>
      </c>
      <c r="B35" s="80">
        <f>IF($A35="","",INDEX(DM_Ten,31))</f>
        <v/>
      </c>
      <c r="C35" s="80">
        <f>IF($A35="","",INDEX(DM_TrangThai,31))</f>
        <v/>
      </c>
      <c r="D35" s="75" t="n"/>
      <c r="E35" s="75" t="n"/>
      <c r="F35" s="75" t="n"/>
      <c r="G35" s="75" t="n"/>
      <c r="H35" s="75" t="n"/>
      <c r="I35" s="81" t="n"/>
      <c r="J35" s="75" t="n"/>
      <c r="K35" s="82">
        <f>IF($A35="","",INDEX(DM_SLHT,31))</f>
        <v/>
      </c>
      <c r="L35" s="82">
        <f>IF($A35="","",'4. Thẻ tính giá thành'!$Z$44)</f>
        <v/>
      </c>
      <c r="M35" s="83">
        <f>IF($A35="","",IF(OR(INDEX(DM_Pct_v,31)&lt;0,INDEX(DM_Pct_v,31)&gt;1),"❌ % SAI",""))</f>
        <v/>
      </c>
    </row>
    <row r="36" ht="15" customHeight="1" s="54">
      <c r="A36" s="80">
        <f>IF(INDEX(DM_Ma,32)="","",INDEX(DM_Ma,32))</f>
        <v/>
      </c>
      <c r="B36" s="80">
        <f>IF($A36="","",INDEX(DM_Ten,32))</f>
        <v/>
      </c>
      <c r="C36" s="80">
        <f>IF($A36="","",INDEX(DM_TrangThai,32))</f>
        <v/>
      </c>
      <c r="D36" s="75" t="n"/>
      <c r="E36" s="75" t="n"/>
      <c r="F36" s="75" t="n"/>
      <c r="G36" s="75" t="n"/>
      <c r="H36" s="75" t="n"/>
      <c r="I36" s="81" t="n"/>
      <c r="J36" s="75" t="n"/>
      <c r="K36" s="82">
        <f>IF($A36="","",INDEX(DM_SLHT,32))</f>
        <v/>
      </c>
      <c r="L36" s="82">
        <f>IF($A36="","",'4. Thẻ tính giá thành'!$Z$45)</f>
        <v/>
      </c>
      <c r="M36" s="83">
        <f>IF($A36="","",IF(OR(INDEX(DM_Pct_v,32)&lt;0,INDEX(DM_Pct_v,32)&gt;1),"❌ % SAI",""))</f>
        <v/>
      </c>
    </row>
    <row r="37" ht="15" customHeight="1" s="54">
      <c r="A37" s="80">
        <f>IF(INDEX(DM_Ma,33)="","",INDEX(DM_Ma,33))</f>
        <v/>
      </c>
      <c r="B37" s="80">
        <f>IF($A37="","",INDEX(DM_Ten,33))</f>
        <v/>
      </c>
      <c r="C37" s="80">
        <f>IF($A37="","",INDEX(DM_TrangThai,33))</f>
        <v/>
      </c>
      <c r="D37" s="75" t="n"/>
      <c r="E37" s="75" t="n"/>
      <c r="F37" s="75" t="n"/>
      <c r="G37" s="75" t="n"/>
      <c r="H37" s="75" t="n"/>
      <c r="I37" s="81" t="n"/>
      <c r="J37" s="75" t="n"/>
      <c r="K37" s="82">
        <f>IF($A37="","",INDEX(DM_SLHT,33))</f>
        <v/>
      </c>
      <c r="L37" s="82">
        <f>IF($A37="","",'4. Thẻ tính giá thành'!$Z$46)</f>
        <v/>
      </c>
      <c r="M37" s="83">
        <f>IF($A37="","",IF(OR(INDEX(DM_Pct_v,33)&lt;0,INDEX(DM_Pct_v,33)&gt;1),"❌ % SAI",""))</f>
        <v/>
      </c>
    </row>
    <row r="38" ht="15" customHeight="1" s="54">
      <c r="A38" s="80">
        <f>IF(INDEX(DM_Ma,34)="","",INDEX(DM_Ma,34))</f>
        <v/>
      </c>
      <c r="B38" s="80">
        <f>IF($A38="","",INDEX(DM_Ten,34))</f>
        <v/>
      </c>
      <c r="C38" s="80">
        <f>IF($A38="","",INDEX(DM_TrangThai,34))</f>
        <v/>
      </c>
      <c r="D38" s="75" t="n"/>
      <c r="E38" s="75" t="n"/>
      <c r="F38" s="75" t="n"/>
      <c r="G38" s="75" t="n"/>
      <c r="H38" s="75" t="n"/>
      <c r="I38" s="81" t="n"/>
      <c r="J38" s="75" t="n"/>
      <c r="K38" s="82">
        <f>IF($A38="","",INDEX(DM_SLHT,34))</f>
        <v/>
      </c>
      <c r="L38" s="82">
        <f>IF($A38="","",'4. Thẻ tính giá thành'!$Z$47)</f>
        <v/>
      </c>
      <c r="M38" s="83">
        <f>IF($A38="","",IF(OR(INDEX(DM_Pct_v,34)&lt;0,INDEX(DM_Pct_v,34)&gt;1),"❌ % SAI",""))</f>
        <v/>
      </c>
    </row>
    <row r="39" ht="15" customHeight="1" s="54">
      <c r="A39" s="80">
        <f>IF(INDEX(DM_Ma,35)="","",INDEX(DM_Ma,35))</f>
        <v/>
      </c>
      <c r="B39" s="80">
        <f>IF($A39="","",INDEX(DM_Ten,35))</f>
        <v/>
      </c>
      <c r="C39" s="80">
        <f>IF($A39="","",INDEX(DM_TrangThai,35))</f>
        <v/>
      </c>
      <c r="D39" s="75" t="n"/>
      <c r="E39" s="75" t="n"/>
      <c r="F39" s="75" t="n"/>
      <c r="G39" s="75" t="n"/>
      <c r="H39" s="75" t="n"/>
      <c r="I39" s="81" t="n"/>
      <c r="J39" s="75" t="n"/>
      <c r="K39" s="82">
        <f>IF($A39="","",INDEX(DM_SLHT,35))</f>
        <v/>
      </c>
      <c r="L39" s="82">
        <f>IF($A39="","",'4. Thẻ tính giá thành'!$Z$48)</f>
        <v/>
      </c>
      <c r="M39" s="83">
        <f>IF($A39="","",IF(OR(INDEX(DM_Pct_v,35)&lt;0,INDEX(DM_Pct_v,35)&gt;1),"❌ % SAI",""))</f>
        <v/>
      </c>
    </row>
    <row r="40" ht="15" customHeight="1" s="54">
      <c r="A40" s="80">
        <f>IF(INDEX(DM_Ma,36)="","",INDEX(DM_Ma,36))</f>
        <v/>
      </c>
      <c r="B40" s="80">
        <f>IF($A40="","",INDEX(DM_Ten,36))</f>
        <v/>
      </c>
      <c r="C40" s="80">
        <f>IF($A40="","",INDEX(DM_TrangThai,36))</f>
        <v/>
      </c>
      <c r="D40" s="75" t="n"/>
      <c r="E40" s="75" t="n"/>
      <c r="F40" s="75" t="n"/>
      <c r="G40" s="75" t="n"/>
      <c r="H40" s="75" t="n"/>
      <c r="I40" s="81" t="n"/>
      <c r="J40" s="75" t="n"/>
      <c r="K40" s="82">
        <f>IF($A40="","",INDEX(DM_SLHT,36))</f>
        <v/>
      </c>
      <c r="L40" s="82">
        <f>IF($A40="","",'4. Thẻ tính giá thành'!$Z$49)</f>
        <v/>
      </c>
      <c r="M40" s="83">
        <f>IF($A40="","",IF(OR(INDEX(DM_Pct_v,36)&lt;0,INDEX(DM_Pct_v,36)&gt;1),"❌ % SAI",""))</f>
        <v/>
      </c>
    </row>
    <row r="41" ht="15" customHeight="1" s="54">
      <c r="A41" s="80">
        <f>IF(INDEX(DM_Ma,37)="","",INDEX(DM_Ma,37))</f>
        <v/>
      </c>
      <c r="B41" s="80">
        <f>IF($A41="","",INDEX(DM_Ten,37))</f>
        <v/>
      </c>
      <c r="C41" s="80">
        <f>IF($A41="","",INDEX(DM_TrangThai,37))</f>
        <v/>
      </c>
      <c r="D41" s="75" t="n"/>
      <c r="E41" s="75" t="n"/>
      <c r="F41" s="75" t="n"/>
      <c r="G41" s="75" t="n"/>
      <c r="H41" s="75" t="n"/>
      <c r="I41" s="81" t="n"/>
      <c r="J41" s="75" t="n"/>
      <c r="K41" s="82">
        <f>IF($A41="","",INDEX(DM_SLHT,37))</f>
        <v/>
      </c>
      <c r="L41" s="82">
        <f>IF($A41="","",'4. Thẻ tính giá thành'!$Z$50)</f>
        <v/>
      </c>
      <c r="M41" s="83">
        <f>IF($A41="","",IF(OR(INDEX(DM_Pct_v,37)&lt;0,INDEX(DM_Pct_v,37)&gt;1),"❌ % SAI",""))</f>
        <v/>
      </c>
    </row>
    <row r="42" ht="15" customHeight="1" s="54">
      <c r="A42" s="80">
        <f>IF(INDEX(DM_Ma,38)="","",INDEX(DM_Ma,38))</f>
        <v/>
      </c>
      <c r="B42" s="80">
        <f>IF($A42="","",INDEX(DM_Ten,38))</f>
        <v/>
      </c>
      <c r="C42" s="80">
        <f>IF($A42="","",INDEX(DM_TrangThai,38))</f>
        <v/>
      </c>
      <c r="D42" s="75" t="n"/>
      <c r="E42" s="75" t="n"/>
      <c r="F42" s="75" t="n"/>
      <c r="G42" s="75" t="n"/>
      <c r="H42" s="75" t="n"/>
      <c r="I42" s="81" t="n"/>
      <c r="J42" s="75" t="n"/>
      <c r="K42" s="82">
        <f>IF($A42="","",INDEX(DM_SLHT,38))</f>
        <v/>
      </c>
      <c r="L42" s="82">
        <f>IF($A42="","",'4. Thẻ tính giá thành'!$Z$51)</f>
        <v/>
      </c>
      <c r="M42" s="83">
        <f>IF($A42="","",IF(OR(INDEX(DM_Pct_v,38)&lt;0,INDEX(DM_Pct_v,38)&gt;1),"❌ % SAI",""))</f>
        <v/>
      </c>
    </row>
    <row r="43" ht="15" customHeight="1" s="54">
      <c r="A43" s="80">
        <f>IF(INDEX(DM_Ma,39)="","",INDEX(DM_Ma,39))</f>
        <v/>
      </c>
      <c r="B43" s="80">
        <f>IF($A43="","",INDEX(DM_Ten,39))</f>
        <v/>
      </c>
      <c r="C43" s="80">
        <f>IF($A43="","",INDEX(DM_TrangThai,39))</f>
        <v/>
      </c>
      <c r="D43" s="75" t="n"/>
      <c r="E43" s="75" t="n"/>
      <c r="F43" s="75" t="n"/>
      <c r="G43" s="75" t="n"/>
      <c r="H43" s="75" t="n"/>
      <c r="I43" s="81" t="n"/>
      <c r="J43" s="75" t="n"/>
      <c r="K43" s="82">
        <f>IF($A43="","",INDEX(DM_SLHT,39))</f>
        <v/>
      </c>
      <c r="L43" s="82">
        <f>IF($A43="","",'4. Thẻ tính giá thành'!$Z$52)</f>
        <v/>
      </c>
      <c r="M43" s="83">
        <f>IF($A43="","",IF(OR(INDEX(DM_Pct_v,39)&lt;0,INDEX(DM_Pct_v,39)&gt;1),"❌ % SAI",""))</f>
        <v/>
      </c>
    </row>
    <row r="44" ht="15" customHeight="1" s="54">
      <c r="A44" s="80">
        <f>IF(INDEX(DM_Ma,40)="","",INDEX(DM_Ma,40))</f>
        <v/>
      </c>
      <c r="B44" s="80">
        <f>IF($A44="","",INDEX(DM_Ten,40))</f>
        <v/>
      </c>
      <c r="C44" s="80">
        <f>IF($A44="","",INDEX(DM_TrangThai,40))</f>
        <v/>
      </c>
      <c r="D44" s="75" t="n"/>
      <c r="E44" s="75" t="n"/>
      <c r="F44" s="75" t="n"/>
      <c r="G44" s="75" t="n"/>
      <c r="H44" s="75" t="n"/>
      <c r="I44" s="81" t="n"/>
      <c r="J44" s="75" t="n"/>
      <c r="K44" s="82">
        <f>IF($A44="","",INDEX(DM_SLHT,40))</f>
        <v/>
      </c>
      <c r="L44" s="82">
        <f>IF($A44="","",'4. Thẻ tính giá thành'!$Z$53)</f>
        <v/>
      </c>
      <c r="M44" s="83">
        <f>IF($A44="","",IF(OR(INDEX(DM_Pct_v,40)&lt;0,INDEX(DM_Pct_v,40)&gt;1),"❌ % SAI",""))</f>
        <v/>
      </c>
    </row>
    <row r="45" ht="15" customHeight="1" s="54">
      <c r="A45" s="80">
        <f>IF(INDEX(DM_Ma,41)="","",INDEX(DM_Ma,41))</f>
        <v/>
      </c>
      <c r="B45" s="80">
        <f>IF($A45="","",INDEX(DM_Ten,41))</f>
        <v/>
      </c>
      <c r="C45" s="80">
        <f>IF($A45="","",INDEX(DM_TrangThai,41))</f>
        <v/>
      </c>
      <c r="D45" s="75" t="n"/>
      <c r="E45" s="75" t="n"/>
      <c r="F45" s="75" t="n"/>
      <c r="G45" s="75" t="n"/>
      <c r="H45" s="75" t="n"/>
      <c r="I45" s="81" t="n"/>
      <c r="J45" s="75" t="n"/>
      <c r="K45" s="82">
        <f>IF($A45="","",INDEX(DM_SLHT,41))</f>
        <v/>
      </c>
      <c r="L45" s="82">
        <f>IF($A45="","",'4. Thẻ tính giá thành'!$Z$54)</f>
        <v/>
      </c>
      <c r="M45" s="83">
        <f>IF($A45="","",IF(OR(INDEX(DM_Pct_v,41)&lt;0,INDEX(DM_Pct_v,41)&gt;1),"❌ % SAI",""))</f>
        <v/>
      </c>
    </row>
    <row r="46" ht="15" customHeight="1" s="54">
      <c r="A46" s="80">
        <f>IF(INDEX(DM_Ma,42)="","",INDEX(DM_Ma,42))</f>
        <v/>
      </c>
      <c r="B46" s="80">
        <f>IF($A46="","",INDEX(DM_Ten,42))</f>
        <v/>
      </c>
      <c r="C46" s="80">
        <f>IF($A46="","",INDEX(DM_TrangThai,42))</f>
        <v/>
      </c>
      <c r="D46" s="75" t="n"/>
      <c r="E46" s="75" t="n"/>
      <c r="F46" s="75" t="n"/>
      <c r="G46" s="75" t="n"/>
      <c r="H46" s="75" t="n"/>
      <c r="I46" s="81" t="n"/>
      <c r="J46" s="75" t="n"/>
      <c r="K46" s="82">
        <f>IF($A46="","",INDEX(DM_SLHT,42))</f>
        <v/>
      </c>
      <c r="L46" s="82">
        <f>IF($A46="","",'4. Thẻ tính giá thành'!$Z$55)</f>
        <v/>
      </c>
      <c r="M46" s="83">
        <f>IF($A46="","",IF(OR(INDEX(DM_Pct_v,42)&lt;0,INDEX(DM_Pct_v,42)&gt;1),"❌ % SAI",""))</f>
        <v/>
      </c>
    </row>
    <row r="47" ht="15" customHeight="1" s="54">
      <c r="A47" s="80">
        <f>IF(INDEX(DM_Ma,43)="","",INDEX(DM_Ma,43))</f>
        <v/>
      </c>
      <c r="B47" s="80">
        <f>IF($A47="","",INDEX(DM_Ten,43))</f>
        <v/>
      </c>
      <c r="C47" s="80">
        <f>IF($A47="","",INDEX(DM_TrangThai,43))</f>
        <v/>
      </c>
      <c r="D47" s="75" t="n"/>
      <c r="E47" s="75" t="n"/>
      <c r="F47" s="75" t="n"/>
      <c r="G47" s="75" t="n"/>
      <c r="H47" s="75" t="n"/>
      <c r="I47" s="81" t="n"/>
      <c r="J47" s="75" t="n"/>
      <c r="K47" s="82">
        <f>IF($A47="","",INDEX(DM_SLHT,43))</f>
        <v/>
      </c>
      <c r="L47" s="82">
        <f>IF($A47="","",'4. Thẻ tính giá thành'!$Z$56)</f>
        <v/>
      </c>
      <c r="M47" s="83">
        <f>IF($A47="","",IF(OR(INDEX(DM_Pct_v,43)&lt;0,INDEX(DM_Pct_v,43)&gt;1),"❌ % SAI",""))</f>
        <v/>
      </c>
    </row>
    <row r="48" ht="15" customHeight="1" s="54">
      <c r="A48" s="80">
        <f>IF(INDEX(DM_Ma,44)="","",INDEX(DM_Ma,44))</f>
        <v/>
      </c>
      <c r="B48" s="80">
        <f>IF($A48="","",INDEX(DM_Ten,44))</f>
        <v/>
      </c>
      <c r="C48" s="80">
        <f>IF($A48="","",INDEX(DM_TrangThai,44))</f>
        <v/>
      </c>
      <c r="D48" s="75" t="n"/>
      <c r="E48" s="75" t="n"/>
      <c r="F48" s="75" t="n"/>
      <c r="G48" s="75" t="n"/>
      <c r="H48" s="75" t="n"/>
      <c r="I48" s="81" t="n"/>
      <c r="J48" s="75" t="n"/>
      <c r="K48" s="82">
        <f>IF($A48="","",INDEX(DM_SLHT,44))</f>
        <v/>
      </c>
      <c r="L48" s="82">
        <f>IF($A48="","",'4. Thẻ tính giá thành'!$Z$57)</f>
        <v/>
      </c>
      <c r="M48" s="83">
        <f>IF($A48="","",IF(OR(INDEX(DM_Pct_v,44)&lt;0,INDEX(DM_Pct_v,44)&gt;1),"❌ % SAI",""))</f>
        <v/>
      </c>
    </row>
    <row r="49" ht="15" customHeight="1" s="54">
      <c r="A49" s="80">
        <f>IF(INDEX(DM_Ma,45)="","",INDEX(DM_Ma,45))</f>
        <v/>
      </c>
      <c r="B49" s="80">
        <f>IF($A49="","",INDEX(DM_Ten,45))</f>
        <v/>
      </c>
      <c r="C49" s="80">
        <f>IF($A49="","",INDEX(DM_TrangThai,45))</f>
        <v/>
      </c>
      <c r="D49" s="75" t="n"/>
      <c r="E49" s="75" t="n"/>
      <c r="F49" s="75" t="n"/>
      <c r="G49" s="75" t="n"/>
      <c r="H49" s="75" t="n"/>
      <c r="I49" s="81" t="n"/>
      <c r="J49" s="75" t="n"/>
      <c r="K49" s="82">
        <f>IF($A49="","",INDEX(DM_SLHT,45))</f>
        <v/>
      </c>
      <c r="L49" s="82">
        <f>IF($A49="","",'4. Thẻ tính giá thành'!$Z$58)</f>
        <v/>
      </c>
      <c r="M49" s="83">
        <f>IF($A49="","",IF(OR(INDEX(DM_Pct_v,45)&lt;0,INDEX(DM_Pct_v,45)&gt;1),"❌ % SAI",""))</f>
        <v/>
      </c>
    </row>
    <row r="50" ht="15" customHeight="1" s="54">
      <c r="A50" s="80">
        <f>IF(INDEX(DM_Ma,46)="","",INDEX(DM_Ma,46))</f>
        <v/>
      </c>
      <c r="B50" s="80">
        <f>IF($A50="","",INDEX(DM_Ten,46))</f>
        <v/>
      </c>
      <c r="C50" s="80">
        <f>IF($A50="","",INDEX(DM_TrangThai,46))</f>
        <v/>
      </c>
      <c r="D50" s="75" t="n"/>
      <c r="E50" s="75" t="n"/>
      <c r="F50" s="75" t="n"/>
      <c r="G50" s="75" t="n"/>
      <c r="H50" s="75" t="n"/>
      <c r="I50" s="81" t="n"/>
      <c r="J50" s="75" t="n"/>
      <c r="K50" s="82">
        <f>IF($A50="","",INDEX(DM_SLHT,46))</f>
        <v/>
      </c>
      <c r="L50" s="82">
        <f>IF($A50="","",'4. Thẻ tính giá thành'!$Z$59)</f>
        <v/>
      </c>
      <c r="M50" s="83">
        <f>IF($A50="","",IF(OR(INDEX(DM_Pct_v,46)&lt;0,INDEX(DM_Pct_v,46)&gt;1),"❌ % SAI",""))</f>
        <v/>
      </c>
    </row>
    <row r="51" ht="15" customHeight="1" s="54">
      <c r="A51" s="80">
        <f>IF(INDEX(DM_Ma,47)="","",INDEX(DM_Ma,47))</f>
        <v/>
      </c>
      <c r="B51" s="80">
        <f>IF($A51="","",INDEX(DM_Ten,47))</f>
        <v/>
      </c>
      <c r="C51" s="80">
        <f>IF($A51="","",INDEX(DM_TrangThai,47))</f>
        <v/>
      </c>
      <c r="D51" s="75" t="n"/>
      <c r="E51" s="75" t="n"/>
      <c r="F51" s="75" t="n"/>
      <c r="G51" s="75" t="n"/>
      <c r="H51" s="75" t="n"/>
      <c r="I51" s="81" t="n"/>
      <c r="J51" s="75" t="n"/>
      <c r="K51" s="82">
        <f>IF($A51="","",INDEX(DM_SLHT,47))</f>
        <v/>
      </c>
      <c r="L51" s="82">
        <f>IF($A51="","",'4. Thẻ tính giá thành'!$Z$60)</f>
        <v/>
      </c>
      <c r="M51" s="83">
        <f>IF($A51="","",IF(OR(INDEX(DM_Pct_v,47)&lt;0,INDEX(DM_Pct_v,47)&gt;1),"❌ % SAI",""))</f>
        <v/>
      </c>
    </row>
    <row r="52" ht="15" customHeight="1" s="54">
      <c r="A52" s="80">
        <f>IF(INDEX(DM_Ma,48)="","",INDEX(DM_Ma,48))</f>
        <v/>
      </c>
      <c r="B52" s="80">
        <f>IF($A52="","",INDEX(DM_Ten,48))</f>
        <v/>
      </c>
      <c r="C52" s="80">
        <f>IF($A52="","",INDEX(DM_TrangThai,48))</f>
        <v/>
      </c>
      <c r="D52" s="75" t="n"/>
      <c r="E52" s="75" t="n"/>
      <c r="F52" s="75" t="n"/>
      <c r="G52" s="75" t="n"/>
      <c r="H52" s="75" t="n"/>
      <c r="I52" s="81" t="n"/>
      <c r="J52" s="75" t="n"/>
      <c r="K52" s="82">
        <f>IF($A52="","",INDEX(DM_SLHT,48))</f>
        <v/>
      </c>
      <c r="L52" s="82">
        <f>IF($A52="","",'4. Thẻ tính giá thành'!$Z$61)</f>
        <v/>
      </c>
      <c r="M52" s="83">
        <f>IF($A52="","",IF(OR(INDEX(DM_Pct_v,48)&lt;0,INDEX(DM_Pct_v,48)&gt;1),"❌ % SAI",""))</f>
        <v/>
      </c>
    </row>
    <row r="53" ht="15" customHeight="1" s="54">
      <c r="A53" s="80">
        <f>IF(INDEX(DM_Ma,49)="","",INDEX(DM_Ma,49))</f>
        <v/>
      </c>
      <c r="B53" s="80">
        <f>IF($A53="","",INDEX(DM_Ten,49))</f>
        <v/>
      </c>
      <c r="C53" s="80">
        <f>IF($A53="","",INDEX(DM_TrangThai,49))</f>
        <v/>
      </c>
      <c r="D53" s="75" t="n"/>
      <c r="E53" s="75" t="n"/>
      <c r="F53" s="75" t="n"/>
      <c r="G53" s="75" t="n"/>
      <c r="H53" s="75" t="n"/>
      <c r="I53" s="81" t="n"/>
      <c r="J53" s="75" t="n"/>
      <c r="K53" s="82">
        <f>IF($A53="","",INDEX(DM_SLHT,49))</f>
        <v/>
      </c>
      <c r="L53" s="82">
        <f>IF($A53="","",'4. Thẻ tính giá thành'!$Z$62)</f>
        <v/>
      </c>
      <c r="M53" s="83">
        <f>IF($A53="","",IF(OR(INDEX(DM_Pct_v,49)&lt;0,INDEX(DM_Pct_v,49)&gt;1),"❌ % SAI",""))</f>
        <v/>
      </c>
    </row>
    <row r="54" ht="15" customHeight="1" s="54">
      <c r="A54" s="80">
        <f>IF(INDEX(DM_Ma,50)="","",INDEX(DM_Ma,50))</f>
        <v/>
      </c>
      <c r="B54" s="80">
        <f>IF($A54="","",INDEX(DM_Ten,50))</f>
        <v/>
      </c>
      <c r="C54" s="80">
        <f>IF($A54="","",INDEX(DM_TrangThai,50))</f>
        <v/>
      </c>
      <c r="D54" s="75" t="n"/>
      <c r="E54" s="75" t="n"/>
      <c r="F54" s="75" t="n"/>
      <c r="G54" s="75" t="n"/>
      <c r="H54" s="75" t="n"/>
      <c r="I54" s="81" t="n"/>
      <c r="J54" s="75" t="n"/>
      <c r="K54" s="82">
        <f>IF($A54="","",INDEX(DM_SLHT,50))</f>
        <v/>
      </c>
      <c r="L54" s="82">
        <f>IF($A54="","",'4. Thẻ tính giá thành'!$Z$63)</f>
        <v/>
      </c>
      <c r="M54" s="83">
        <f>IF($A54="","",IF(OR(INDEX(DM_Pct_v,50)&lt;0,INDEX(DM_Pct_v,50)&gt;1),"❌ % SAI",""))</f>
        <v/>
      </c>
    </row>
    <row r="55" ht="15" customHeight="1" s="54">
      <c r="A55" s="80">
        <f>IF(INDEX(DM_Ma,51)="","",INDEX(DM_Ma,51))</f>
        <v/>
      </c>
      <c r="B55" s="80">
        <f>IF($A55="","",INDEX(DM_Ten,51))</f>
        <v/>
      </c>
      <c r="C55" s="80">
        <f>IF($A55="","",INDEX(DM_TrangThai,51))</f>
        <v/>
      </c>
      <c r="D55" s="75" t="n"/>
      <c r="E55" s="75" t="n"/>
      <c r="F55" s="75" t="n"/>
      <c r="G55" s="75" t="n"/>
      <c r="H55" s="75" t="n"/>
      <c r="I55" s="81" t="n"/>
      <c r="J55" s="75" t="n"/>
      <c r="K55" s="82">
        <f>IF($A55="","",INDEX(DM_SLHT,51))</f>
        <v/>
      </c>
      <c r="L55" s="82">
        <f>IF($A55="","",'4. Thẻ tính giá thành'!$Z$64)</f>
        <v/>
      </c>
      <c r="M55" s="83">
        <f>IF($A55="","",IF(OR(INDEX(DM_Pct_v,51)&lt;0,INDEX(DM_Pct_v,51)&gt;1),"❌ % SAI",""))</f>
        <v/>
      </c>
    </row>
    <row r="56" ht="15" customHeight="1" s="54">
      <c r="A56" s="80">
        <f>IF(INDEX(DM_Ma,52)="","",INDEX(DM_Ma,52))</f>
        <v/>
      </c>
      <c r="B56" s="80">
        <f>IF($A56="","",INDEX(DM_Ten,52))</f>
        <v/>
      </c>
      <c r="C56" s="80">
        <f>IF($A56="","",INDEX(DM_TrangThai,52))</f>
        <v/>
      </c>
      <c r="D56" s="75" t="n"/>
      <c r="E56" s="75" t="n"/>
      <c r="F56" s="75" t="n"/>
      <c r="G56" s="75" t="n"/>
      <c r="H56" s="75" t="n"/>
      <c r="I56" s="81" t="n"/>
      <c r="J56" s="75" t="n"/>
      <c r="K56" s="82">
        <f>IF($A56="","",INDEX(DM_SLHT,52))</f>
        <v/>
      </c>
      <c r="L56" s="82">
        <f>IF($A56="","",'4. Thẻ tính giá thành'!$Z$65)</f>
        <v/>
      </c>
      <c r="M56" s="83">
        <f>IF($A56="","",IF(OR(INDEX(DM_Pct_v,52)&lt;0,INDEX(DM_Pct_v,52)&gt;1),"❌ % SAI",""))</f>
        <v/>
      </c>
    </row>
    <row r="57" ht="15" customHeight="1" s="54">
      <c r="A57" s="80">
        <f>IF(INDEX(DM_Ma,53)="","",INDEX(DM_Ma,53))</f>
        <v/>
      </c>
      <c r="B57" s="80">
        <f>IF($A57="","",INDEX(DM_Ten,53))</f>
        <v/>
      </c>
      <c r="C57" s="80">
        <f>IF($A57="","",INDEX(DM_TrangThai,53))</f>
        <v/>
      </c>
      <c r="D57" s="75" t="n"/>
      <c r="E57" s="75" t="n"/>
      <c r="F57" s="75" t="n"/>
      <c r="G57" s="75" t="n"/>
      <c r="H57" s="75" t="n"/>
      <c r="I57" s="81" t="n"/>
      <c r="J57" s="75" t="n"/>
      <c r="K57" s="82">
        <f>IF($A57="","",INDEX(DM_SLHT,53))</f>
        <v/>
      </c>
      <c r="L57" s="82">
        <f>IF($A57="","",'4. Thẻ tính giá thành'!$Z$66)</f>
        <v/>
      </c>
      <c r="M57" s="83">
        <f>IF($A57="","",IF(OR(INDEX(DM_Pct_v,53)&lt;0,INDEX(DM_Pct_v,53)&gt;1),"❌ % SAI",""))</f>
        <v/>
      </c>
    </row>
    <row r="58" ht="15" customHeight="1" s="54">
      <c r="A58" s="80">
        <f>IF(INDEX(DM_Ma,54)="","",INDEX(DM_Ma,54))</f>
        <v/>
      </c>
      <c r="B58" s="80">
        <f>IF($A58="","",INDEX(DM_Ten,54))</f>
        <v/>
      </c>
      <c r="C58" s="80">
        <f>IF($A58="","",INDEX(DM_TrangThai,54))</f>
        <v/>
      </c>
      <c r="D58" s="75" t="n"/>
      <c r="E58" s="75" t="n"/>
      <c r="F58" s="75" t="n"/>
      <c r="G58" s="75" t="n"/>
      <c r="H58" s="75" t="n"/>
      <c r="I58" s="81" t="n"/>
      <c r="J58" s="75" t="n"/>
      <c r="K58" s="82">
        <f>IF($A58="","",INDEX(DM_SLHT,54))</f>
        <v/>
      </c>
      <c r="L58" s="82">
        <f>IF($A58="","",'4. Thẻ tính giá thành'!$Z$67)</f>
        <v/>
      </c>
      <c r="M58" s="83">
        <f>IF($A58="","",IF(OR(INDEX(DM_Pct_v,54)&lt;0,INDEX(DM_Pct_v,54)&gt;1),"❌ % SAI",""))</f>
        <v/>
      </c>
    </row>
    <row r="59" ht="15" customHeight="1" s="54">
      <c r="A59" s="80">
        <f>IF(INDEX(DM_Ma,55)="","",INDEX(DM_Ma,55))</f>
        <v/>
      </c>
      <c r="B59" s="80">
        <f>IF($A59="","",INDEX(DM_Ten,55))</f>
        <v/>
      </c>
      <c r="C59" s="80">
        <f>IF($A59="","",INDEX(DM_TrangThai,55))</f>
        <v/>
      </c>
      <c r="D59" s="75" t="n"/>
      <c r="E59" s="75" t="n"/>
      <c r="F59" s="75" t="n"/>
      <c r="G59" s="75" t="n"/>
      <c r="H59" s="75" t="n"/>
      <c r="I59" s="81" t="n"/>
      <c r="J59" s="75" t="n"/>
      <c r="K59" s="82">
        <f>IF($A59="","",INDEX(DM_SLHT,55))</f>
        <v/>
      </c>
      <c r="L59" s="82">
        <f>IF($A59="","",'4. Thẻ tính giá thành'!$Z$68)</f>
        <v/>
      </c>
      <c r="M59" s="83">
        <f>IF($A59="","",IF(OR(INDEX(DM_Pct_v,55)&lt;0,INDEX(DM_Pct_v,55)&gt;1),"❌ % SAI",""))</f>
        <v/>
      </c>
    </row>
    <row r="60" ht="15" customHeight="1" s="54">
      <c r="A60" s="80">
        <f>IF(INDEX(DM_Ma,56)="","",INDEX(DM_Ma,56))</f>
        <v/>
      </c>
      <c r="B60" s="80">
        <f>IF($A60="","",INDEX(DM_Ten,56))</f>
        <v/>
      </c>
      <c r="C60" s="80">
        <f>IF($A60="","",INDEX(DM_TrangThai,56))</f>
        <v/>
      </c>
      <c r="D60" s="75" t="n"/>
      <c r="E60" s="75" t="n"/>
      <c r="F60" s="75" t="n"/>
      <c r="G60" s="75" t="n"/>
      <c r="H60" s="75" t="n"/>
      <c r="I60" s="81" t="n"/>
      <c r="J60" s="75" t="n"/>
      <c r="K60" s="82">
        <f>IF($A60="","",INDEX(DM_SLHT,56))</f>
        <v/>
      </c>
      <c r="L60" s="82">
        <f>IF($A60="","",'4. Thẻ tính giá thành'!$Z$69)</f>
        <v/>
      </c>
      <c r="M60" s="83">
        <f>IF($A60="","",IF(OR(INDEX(DM_Pct_v,56)&lt;0,INDEX(DM_Pct_v,56)&gt;1),"❌ % SAI",""))</f>
        <v/>
      </c>
    </row>
    <row r="61" ht="15" customHeight="1" s="54">
      <c r="A61" s="80">
        <f>IF(INDEX(DM_Ma,57)="","",INDEX(DM_Ma,57))</f>
        <v/>
      </c>
      <c r="B61" s="80">
        <f>IF($A61="","",INDEX(DM_Ten,57))</f>
        <v/>
      </c>
      <c r="C61" s="80">
        <f>IF($A61="","",INDEX(DM_TrangThai,57))</f>
        <v/>
      </c>
      <c r="D61" s="75" t="n"/>
      <c r="E61" s="75" t="n"/>
      <c r="F61" s="75" t="n"/>
      <c r="G61" s="75" t="n"/>
      <c r="H61" s="75" t="n"/>
      <c r="I61" s="81" t="n"/>
      <c r="J61" s="75" t="n"/>
      <c r="K61" s="82">
        <f>IF($A61="","",INDEX(DM_SLHT,57))</f>
        <v/>
      </c>
      <c r="L61" s="82">
        <f>IF($A61="","",'4. Thẻ tính giá thành'!$Z$70)</f>
        <v/>
      </c>
      <c r="M61" s="83">
        <f>IF($A61="","",IF(OR(INDEX(DM_Pct_v,57)&lt;0,INDEX(DM_Pct_v,57)&gt;1),"❌ % SAI",""))</f>
        <v/>
      </c>
    </row>
    <row r="62" ht="15" customHeight="1" s="54">
      <c r="A62" s="80">
        <f>IF(INDEX(DM_Ma,58)="","",INDEX(DM_Ma,58))</f>
        <v/>
      </c>
      <c r="B62" s="80">
        <f>IF($A62="","",INDEX(DM_Ten,58))</f>
        <v/>
      </c>
      <c r="C62" s="80">
        <f>IF($A62="","",INDEX(DM_TrangThai,58))</f>
        <v/>
      </c>
      <c r="D62" s="75" t="n"/>
      <c r="E62" s="75" t="n"/>
      <c r="F62" s="75" t="n"/>
      <c r="G62" s="75" t="n"/>
      <c r="H62" s="75" t="n"/>
      <c r="I62" s="81" t="n"/>
      <c r="J62" s="75" t="n"/>
      <c r="K62" s="82">
        <f>IF($A62="","",INDEX(DM_SLHT,58))</f>
        <v/>
      </c>
      <c r="L62" s="82">
        <f>IF($A62="","",'4. Thẻ tính giá thành'!$Z$71)</f>
        <v/>
      </c>
      <c r="M62" s="83">
        <f>IF($A62="","",IF(OR(INDEX(DM_Pct_v,58)&lt;0,INDEX(DM_Pct_v,58)&gt;1),"❌ % SAI",""))</f>
        <v/>
      </c>
    </row>
    <row r="63" ht="15" customHeight="1" s="54">
      <c r="A63" s="80">
        <f>IF(INDEX(DM_Ma,59)="","",INDEX(DM_Ma,59))</f>
        <v/>
      </c>
      <c r="B63" s="80">
        <f>IF($A63="","",INDEX(DM_Ten,59))</f>
        <v/>
      </c>
      <c r="C63" s="80">
        <f>IF($A63="","",INDEX(DM_TrangThai,59))</f>
        <v/>
      </c>
      <c r="D63" s="75" t="n"/>
      <c r="E63" s="75" t="n"/>
      <c r="F63" s="75" t="n"/>
      <c r="G63" s="75" t="n"/>
      <c r="H63" s="75" t="n"/>
      <c r="I63" s="81" t="n"/>
      <c r="J63" s="75" t="n"/>
      <c r="K63" s="82">
        <f>IF($A63="","",INDEX(DM_SLHT,59))</f>
        <v/>
      </c>
      <c r="L63" s="82">
        <f>IF($A63="","",'4. Thẻ tính giá thành'!$Z$72)</f>
        <v/>
      </c>
      <c r="M63" s="83">
        <f>IF($A63="","",IF(OR(INDEX(DM_Pct_v,59)&lt;0,INDEX(DM_Pct_v,59)&gt;1),"❌ % SAI",""))</f>
        <v/>
      </c>
    </row>
    <row r="64" ht="15" customHeight="1" s="54">
      <c r="A64" s="80">
        <f>IF(INDEX(DM_Ma,60)="","",INDEX(DM_Ma,60))</f>
        <v/>
      </c>
      <c r="B64" s="80">
        <f>IF($A64="","",INDEX(DM_Ten,60))</f>
        <v/>
      </c>
      <c r="C64" s="80">
        <f>IF($A64="","",INDEX(DM_TrangThai,60))</f>
        <v/>
      </c>
      <c r="D64" s="75" t="n"/>
      <c r="E64" s="75" t="n"/>
      <c r="F64" s="75" t="n"/>
      <c r="G64" s="75" t="n"/>
      <c r="H64" s="75" t="n"/>
      <c r="I64" s="81" t="n"/>
      <c r="J64" s="75" t="n"/>
      <c r="K64" s="82">
        <f>IF($A64="","",INDEX(DM_SLHT,60))</f>
        <v/>
      </c>
      <c r="L64" s="82">
        <f>IF($A64="","",'4. Thẻ tính giá thành'!$Z$73)</f>
        <v/>
      </c>
      <c r="M64" s="83">
        <f>IF($A64="","",IF(OR(INDEX(DM_Pct_v,60)&lt;0,INDEX(DM_Pct_v,60)&gt;1),"❌ % SAI",""))</f>
        <v/>
      </c>
    </row>
    <row r="65" ht="15" customHeight="1" s="54">
      <c r="A65" s="80">
        <f>IF(INDEX(DM_Ma,61)="","",INDEX(DM_Ma,61))</f>
        <v/>
      </c>
      <c r="B65" s="80">
        <f>IF($A65="","",INDEX(DM_Ten,61))</f>
        <v/>
      </c>
      <c r="C65" s="80">
        <f>IF($A65="","",INDEX(DM_TrangThai,61))</f>
        <v/>
      </c>
      <c r="D65" s="75" t="n"/>
      <c r="E65" s="75" t="n"/>
      <c r="F65" s="75" t="n"/>
      <c r="G65" s="75" t="n"/>
      <c r="H65" s="75" t="n"/>
      <c r="I65" s="81" t="n"/>
      <c r="J65" s="75" t="n"/>
      <c r="K65" s="82">
        <f>IF($A65="","",INDEX(DM_SLHT,61))</f>
        <v/>
      </c>
      <c r="L65" s="82">
        <f>IF($A65="","",'4. Thẻ tính giá thành'!$Z$74)</f>
        <v/>
      </c>
      <c r="M65" s="83">
        <f>IF($A65="","",IF(OR(INDEX(DM_Pct_v,61)&lt;0,INDEX(DM_Pct_v,61)&gt;1),"❌ % SAI",""))</f>
        <v/>
      </c>
    </row>
    <row r="66" ht="15" customHeight="1" s="54">
      <c r="A66" s="80">
        <f>IF(INDEX(DM_Ma,62)="","",INDEX(DM_Ma,62))</f>
        <v/>
      </c>
      <c r="B66" s="80">
        <f>IF($A66="","",INDEX(DM_Ten,62))</f>
        <v/>
      </c>
      <c r="C66" s="80">
        <f>IF($A66="","",INDEX(DM_TrangThai,62))</f>
        <v/>
      </c>
      <c r="D66" s="75" t="n"/>
      <c r="E66" s="75" t="n"/>
      <c r="F66" s="75" t="n"/>
      <c r="G66" s="75" t="n"/>
      <c r="H66" s="75" t="n"/>
      <c r="I66" s="81" t="n"/>
      <c r="J66" s="75" t="n"/>
      <c r="K66" s="82">
        <f>IF($A66="","",INDEX(DM_SLHT,62))</f>
        <v/>
      </c>
      <c r="L66" s="82">
        <f>IF($A66="","",'4. Thẻ tính giá thành'!$Z$75)</f>
        <v/>
      </c>
      <c r="M66" s="83">
        <f>IF($A66="","",IF(OR(INDEX(DM_Pct_v,62)&lt;0,INDEX(DM_Pct_v,62)&gt;1),"❌ % SAI",""))</f>
        <v/>
      </c>
    </row>
    <row r="67" ht="15" customHeight="1" s="54">
      <c r="A67" s="80">
        <f>IF(INDEX(DM_Ma,63)="","",INDEX(DM_Ma,63))</f>
        <v/>
      </c>
      <c r="B67" s="80">
        <f>IF($A67="","",INDEX(DM_Ten,63))</f>
        <v/>
      </c>
      <c r="C67" s="80">
        <f>IF($A67="","",INDEX(DM_TrangThai,63))</f>
        <v/>
      </c>
      <c r="D67" s="75" t="n"/>
      <c r="E67" s="75" t="n"/>
      <c r="F67" s="75" t="n"/>
      <c r="G67" s="75" t="n"/>
      <c r="H67" s="75" t="n"/>
      <c r="I67" s="81" t="n"/>
      <c r="J67" s="75" t="n"/>
      <c r="K67" s="82">
        <f>IF($A67="","",INDEX(DM_SLHT,63))</f>
        <v/>
      </c>
      <c r="L67" s="82">
        <f>IF($A67="","",'4. Thẻ tính giá thành'!$Z$76)</f>
        <v/>
      </c>
      <c r="M67" s="83">
        <f>IF($A67="","",IF(OR(INDEX(DM_Pct_v,63)&lt;0,INDEX(DM_Pct_v,63)&gt;1),"❌ % SAI",""))</f>
        <v/>
      </c>
    </row>
    <row r="68" ht="15" customHeight="1" s="54">
      <c r="A68" s="80">
        <f>IF(INDEX(DM_Ma,64)="","",INDEX(DM_Ma,64))</f>
        <v/>
      </c>
      <c r="B68" s="80">
        <f>IF($A68="","",INDEX(DM_Ten,64))</f>
        <v/>
      </c>
      <c r="C68" s="80">
        <f>IF($A68="","",INDEX(DM_TrangThai,64))</f>
        <v/>
      </c>
      <c r="D68" s="75" t="n"/>
      <c r="E68" s="75" t="n"/>
      <c r="F68" s="75" t="n"/>
      <c r="G68" s="75" t="n"/>
      <c r="H68" s="75" t="n"/>
      <c r="I68" s="81" t="n"/>
      <c r="J68" s="75" t="n"/>
      <c r="K68" s="82">
        <f>IF($A68="","",INDEX(DM_SLHT,64))</f>
        <v/>
      </c>
      <c r="L68" s="82">
        <f>IF($A68="","",'4. Thẻ tính giá thành'!$Z$77)</f>
        <v/>
      </c>
      <c r="M68" s="83">
        <f>IF($A68="","",IF(OR(INDEX(DM_Pct_v,64)&lt;0,INDEX(DM_Pct_v,64)&gt;1),"❌ % SAI",""))</f>
        <v/>
      </c>
    </row>
    <row r="69" ht="15" customHeight="1" s="54">
      <c r="A69" s="80">
        <f>IF(INDEX(DM_Ma,65)="","",INDEX(DM_Ma,65))</f>
        <v/>
      </c>
      <c r="B69" s="80">
        <f>IF($A69="","",INDEX(DM_Ten,65))</f>
        <v/>
      </c>
      <c r="C69" s="80">
        <f>IF($A69="","",INDEX(DM_TrangThai,65))</f>
        <v/>
      </c>
      <c r="D69" s="75" t="n"/>
      <c r="E69" s="75" t="n"/>
      <c r="F69" s="75" t="n"/>
      <c r="G69" s="75" t="n"/>
      <c r="H69" s="75" t="n"/>
      <c r="I69" s="81" t="n"/>
      <c r="J69" s="75" t="n"/>
      <c r="K69" s="82">
        <f>IF($A69="","",INDEX(DM_SLHT,65))</f>
        <v/>
      </c>
      <c r="L69" s="82">
        <f>IF($A69="","",'4. Thẻ tính giá thành'!$Z$78)</f>
        <v/>
      </c>
      <c r="M69" s="83">
        <f>IF($A69="","",IF(OR(INDEX(DM_Pct_v,65)&lt;0,INDEX(DM_Pct_v,65)&gt;1),"❌ % SAI",""))</f>
        <v/>
      </c>
    </row>
    <row r="70" ht="15" customHeight="1" s="54">
      <c r="A70" s="80">
        <f>IF(INDEX(DM_Ma,66)="","",INDEX(DM_Ma,66))</f>
        <v/>
      </c>
      <c r="B70" s="80">
        <f>IF($A70="","",INDEX(DM_Ten,66))</f>
        <v/>
      </c>
      <c r="C70" s="80">
        <f>IF($A70="","",INDEX(DM_TrangThai,66))</f>
        <v/>
      </c>
      <c r="D70" s="75" t="n"/>
      <c r="E70" s="75" t="n"/>
      <c r="F70" s="75" t="n"/>
      <c r="G70" s="75" t="n"/>
      <c r="H70" s="75" t="n"/>
      <c r="I70" s="81" t="n"/>
      <c r="J70" s="75" t="n"/>
      <c r="K70" s="82">
        <f>IF($A70="","",INDEX(DM_SLHT,66))</f>
        <v/>
      </c>
      <c r="L70" s="82">
        <f>IF($A70="","",'4. Thẻ tính giá thành'!$Z$79)</f>
        <v/>
      </c>
      <c r="M70" s="83">
        <f>IF($A70="","",IF(OR(INDEX(DM_Pct_v,66)&lt;0,INDEX(DM_Pct_v,66)&gt;1),"❌ % SAI",""))</f>
        <v/>
      </c>
    </row>
    <row r="71" ht="15" customHeight="1" s="54">
      <c r="A71" s="80">
        <f>IF(INDEX(DM_Ma,67)="","",INDEX(DM_Ma,67))</f>
        <v/>
      </c>
      <c r="B71" s="80">
        <f>IF($A71="","",INDEX(DM_Ten,67))</f>
        <v/>
      </c>
      <c r="C71" s="80">
        <f>IF($A71="","",INDEX(DM_TrangThai,67))</f>
        <v/>
      </c>
      <c r="D71" s="75" t="n"/>
      <c r="E71" s="75" t="n"/>
      <c r="F71" s="75" t="n"/>
      <c r="G71" s="75" t="n"/>
      <c r="H71" s="75" t="n"/>
      <c r="I71" s="81" t="n"/>
      <c r="J71" s="75" t="n"/>
      <c r="K71" s="82">
        <f>IF($A71="","",INDEX(DM_SLHT,67))</f>
        <v/>
      </c>
      <c r="L71" s="82">
        <f>IF($A71="","",'4. Thẻ tính giá thành'!$Z$80)</f>
        <v/>
      </c>
      <c r="M71" s="83">
        <f>IF($A71="","",IF(OR(INDEX(DM_Pct_v,67)&lt;0,INDEX(DM_Pct_v,67)&gt;1),"❌ % SAI",""))</f>
        <v/>
      </c>
    </row>
    <row r="72" ht="15" customHeight="1" s="54">
      <c r="A72" s="80">
        <f>IF(INDEX(DM_Ma,68)="","",INDEX(DM_Ma,68))</f>
        <v/>
      </c>
      <c r="B72" s="80">
        <f>IF($A72="","",INDEX(DM_Ten,68))</f>
        <v/>
      </c>
      <c r="C72" s="80">
        <f>IF($A72="","",INDEX(DM_TrangThai,68))</f>
        <v/>
      </c>
      <c r="D72" s="75" t="n"/>
      <c r="E72" s="75" t="n"/>
      <c r="F72" s="75" t="n"/>
      <c r="G72" s="75" t="n"/>
      <c r="H72" s="75" t="n"/>
      <c r="I72" s="81" t="n"/>
      <c r="J72" s="75" t="n"/>
      <c r="K72" s="82">
        <f>IF($A72="","",INDEX(DM_SLHT,68))</f>
        <v/>
      </c>
      <c r="L72" s="82">
        <f>IF($A72="","",'4. Thẻ tính giá thành'!$Z$81)</f>
        <v/>
      </c>
      <c r="M72" s="83">
        <f>IF($A72="","",IF(OR(INDEX(DM_Pct_v,68)&lt;0,INDEX(DM_Pct_v,68)&gt;1),"❌ % SAI",""))</f>
        <v/>
      </c>
    </row>
    <row r="73" ht="15" customHeight="1" s="54">
      <c r="A73" s="80">
        <f>IF(INDEX(DM_Ma,69)="","",INDEX(DM_Ma,69))</f>
        <v/>
      </c>
      <c r="B73" s="80">
        <f>IF($A73="","",INDEX(DM_Ten,69))</f>
        <v/>
      </c>
      <c r="C73" s="80">
        <f>IF($A73="","",INDEX(DM_TrangThai,69))</f>
        <v/>
      </c>
      <c r="D73" s="75" t="n"/>
      <c r="E73" s="75" t="n"/>
      <c r="F73" s="75" t="n"/>
      <c r="G73" s="75" t="n"/>
      <c r="H73" s="75" t="n"/>
      <c r="I73" s="81" t="n"/>
      <c r="J73" s="75" t="n"/>
      <c r="K73" s="82">
        <f>IF($A73="","",INDEX(DM_SLHT,69))</f>
        <v/>
      </c>
      <c r="L73" s="82">
        <f>IF($A73="","",'4. Thẻ tính giá thành'!$Z$82)</f>
        <v/>
      </c>
      <c r="M73" s="83">
        <f>IF($A73="","",IF(OR(INDEX(DM_Pct_v,69)&lt;0,INDEX(DM_Pct_v,69)&gt;1),"❌ % SAI",""))</f>
        <v/>
      </c>
    </row>
    <row r="74" ht="15" customHeight="1" s="54">
      <c r="A74" s="80">
        <f>IF(INDEX(DM_Ma,70)="","",INDEX(DM_Ma,70))</f>
        <v/>
      </c>
      <c r="B74" s="80">
        <f>IF($A74="","",INDEX(DM_Ten,70))</f>
        <v/>
      </c>
      <c r="C74" s="80">
        <f>IF($A74="","",INDEX(DM_TrangThai,70))</f>
        <v/>
      </c>
      <c r="D74" s="75" t="n"/>
      <c r="E74" s="75" t="n"/>
      <c r="F74" s="75" t="n"/>
      <c r="G74" s="75" t="n"/>
      <c r="H74" s="75" t="n"/>
      <c r="I74" s="81" t="n"/>
      <c r="J74" s="75" t="n"/>
      <c r="K74" s="82">
        <f>IF($A74="","",INDEX(DM_SLHT,70))</f>
        <v/>
      </c>
      <c r="L74" s="82">
        <f>IF($A74="","",'4. Thẻ tính giá thành'!$Z$83)</f>
        <v/>
      </c>
      <c r="M74" s="83">
        <f>IF($A74="","",IF(OR(INDEX(DM_Pct_v,70)&lt;0,INDEX(DM_Pct_v,70)&gt;1),"❌ % SAI",""))</f>
        <v/>
      </c>
    </row>
    <row r="75" ht="15" customHeight="1" s="54">
      <c r="A75" s="80">
        <f>IF(INDEX(DM_Ma,71)="","",INDEX(DM_Ma,71))</f>
        <v/>
      </c>
      <c r="B75" s="80">
        <f>IF($A75="","",INDEX(DM_Ten,71))</f>
        <v/>
      </c>
      <c r="C75" s="80">
        <f>IF($A75="","",INDEX(DM_TrangThai,71))</f>
        <v/>
      </c>
      <c r="D75" s="75" t="n"/>
      <c r="E75" s="75" t="n"/>
      <c r="F75" s="75" t="n"/>
      <c r="G75" s="75" t="n"/>
      <c r="H75" s="75" t="n"/>
      <c r="I75" s="81" t="n"/>
      <c r="J75" s="75" t="n"/>
      <c r="K75" s="82">
        <f>IF($A75="","",INDEX(DM_SLHT,71))</f>
        <v/>
      </c>
      <c r="L75" s="82">
        <f>IF($A75="","",'4. Thẻ tính giá thành'!$Z$84)</f>
        <v/>
      </c>
      <c r="M75" s="83">
        <f>IF($A75="","",IF(OR(INDEX(DM_Pct_v,71)&lt;0,INDEX(DM_Pct_v,71)&gt;1),"❌ % SAI",""))</f>
        <v/>
      </c>
    </row>
    <row r="76" ht="15" customHeight="1" s="54">
      <c r="A76" s="80">
        <f>IF(INDEX(DM_Ma,72)="","",INDEX(DM_Ma,72))</f>
        <v/>
      </c>
      <c r="B76" s="80">
        <f>IF($A76="","",INDEX(DM_Ten,72))</f>
        <v/>
      </c>
      <c r="C76" s="80">
        <f>IF($A76="","",INDEX(DM_TrangThai,72))</f>
        <v/>
      </c>
      <c r="D76" s="75" t="n"/>
      <c r="E76" s="75" t="n"/>
      <c r="F76" s="75" t="n"/>
      <c r="G76" s="75" t="n"/>
      <c r="H76" s="75" t="n"/>
      <c r="I76" s="81" t="n"/>
      <c r="J76" s="75" t="n"/>
      <c r="K76" s="82">
        <f>IF($A76="","",INDEX(DM_SLHT,72))</f>
        <v/>
      </c>
      <c r="L76" s="82">
        <f>IF($A76="","",'4. Thẻ tính giá thành'!$Z$85)</f>
        <v/>
      </c>
      <c r="M76" s="83">
        <f>IF($A76="","",IF(OR(INDEX(DM_Pct_v,72)&lt;0,INDEX(DM_Pct_v,72)&gt;1),"❌ % SAI",""))</f>
        <v/>
      </c>
    </row>
    <row r="77" ht="15" customHeight="1" s="54">
      <c r="A77" s="80">
        <f>IF(INDEX(DM_Ma,73)="","",INDEX(DM_Ma,73))</f>
        <v/>
      </c>
      <c r="B77" s="80">
        <f>IF($A77="","",INDEX(DM_Ten,73))</f>
        <v/>
      </c>
      <c r="C77" s="80">
        <f>IF($A77="","",INDEX(DM_TrangThai,73))</f>
        <v/>
      </c>
      <c r="D77" s="75" t="n"/>
      <c r="E77" s="75" t="n"/>
      <c r="F77" s="75" t="n"/>
      <c r="G77" s="75" t="n"/>
      <c r="H77" s="75" t="n"/>
      <c r="I77" s="81" t="n"/>
      <c r="J77" s="75" t="n"/>
      <c r="K77" s="82">
        <f>IF($A77="","",INDEX(DM_SLHT,73))</f>
        <v/>
      </c>
      <c r="L77" s="82">
        <f>IF($A77="","",'4. Thẻ tính giá thành'!$Z$86)</f>
        <v/>
      </c>
      <c r="M77" s="83">
        <f>IF($A77="","",IF(OR(INDEX(DM_Pct_v,73)&lt;0,INDEX(DM_Pct_v,73)&gt;1),"❌ % SAI",""))</f>
        <v/>
      </c>
    </row>
    <row r="78" ht="15" customHeight="1" s="54">
      <c r="A78" s="80">
        <f>IF(INDEX(DM_Ma,74)="","",INDEX(DM_Ma,74))</f>
        <v/>
      </c>
      <c r="B78" s="80">
        <f>IF($A78="","",INDEX(DM_Ten,74))</f>
        <v/>
      </c>
      <c r="C78" s="80">
        <f>IF($A78="","",INDEX(DM_TrangThai,74))</f>
        <v/>
      </c>
      <c r="D78" s="75" t="n"/>
      <c r="E78" s="75" t="n"/>
      <c r="F78" s="75" t="n"/>
      <c r="G78" s="75" t="n"/>
      <c r="H78" s="75" t="n"/>
      <c r="I78" s="81" t="n"/>
      <c r="J78" s="75" t="n"/>
      <c r="K78" s="82">
        <f>IF($A78="","",INDEX(DM_SLHT,74))</f>
        <v/>
      </c>
      <c r="L78" s="82">
        <f>IF($A78="","",'4. Thẻ tính giá thành'!$Z$87)</f>
        <v/>
      </c>
      <c r="M78" s="83">
        <f>IF($A78="","",IF(OR(INDEX(DM_Pct_v,74)&lt;0,INDEX(DM_Pct_v,74)&gt;1),"❌ % SAI",""))</f>
        <v/>
      </c>
    </row>
    <row r="79" ht="15" customHeight="1" s="54">
      <c r="A79" s="80">
        <f>IF(INDEX(DM_Ma,75)="","",INDEX(DM_Ma,75))</f>
        <v/>
      </c>
      <c r="B79" s="80">
        <f>IF($A79="","",INDEX(DM_Ten,75))</f>
        <v/>
      </c>
      <c r="C79" s="80">
        <f>IF($A79="","",INDEX(DM_TrangThai,75))</f>
        <v/>
      </c>
      <c r="D79" s="75" t="n"/>
      <c r="E79" s="75" t="n"/>
      <c r="F79" s="75" t="n"/>
      <c r="G79" s="75" t="n"/>
      <c r="H79" s="75" t="n"/>
      <c r="I79" s="81" t="n"/>
      <c r="J79" s="75" t="n"/>
      <c r="K79" s="82">
        <f>IF($A79="","",INDEX(DM_SLHT,75))</f>
        <v/>
      </c>
      <c r="L79" s="82">
        <f>IF($A79="","",'4. Thẻ tính giá thành'!$Z$88)</f>
        <v/>
      </c>
      <c r="M79" s="83">
        <f>IF($A79="","",IF(OR(INDEX(DM_Pct_v,75)&lt;0,INDEX(DM_Pct_v,75)&gt;1),"❌ % SAI",""))</f>
        <v/>
      </c>
    </row>
    <row r="80" ht="15" customHeight="1" s="54">
      <c r="A80" s="80">
        <f>IF(INDEX(DM_Ma,76)="","",INDEX(DM_Ma,76))</f>
        <v/>
      </c>
      <c r="B80" s="80">
        <f>IF($A80="","",INDEX(DM_Ten,76))</f>
        <v/>
      </c>
      <c r="C80" s="80">
        <f>IF($A80="","",INDEX(DM_TrangThai,76))</f>
        <v/>
      </c>
      <c r="D80" s="75" t="n"/>
      <c r="E80" s="75" t="n"/>
      <c r="F80" s="75" t="n"/>
      <c r="G80" s="75" t="n"/>
      <c r="H80" s="75" t="n"/>
      <c r="I80" s="81" t="n"/>
      <c r="J80" s="75" t="n"/>
      <c r="K80" s="82">
        <f>IF($A80="","",INDEX(DM_SLHT,76))</f>
        <v/>
      </c>
      <c r="L80" s="82">
        <f>IF($A80="","",'4. Thẻ tính giá thành'!$Z$89)</f>
        <v/>
      </c>
      <c r="M80" s="83">
        <f>IF($A80="","",IF(OR(INDEX(DM_Pct_v,76)&lt;0,INDEX(DM_Pct_v,76)&gt;1),"❌ % SAI",""))</f>
        <v/>
      </c>
    </row>
    <row r="81" ht="15" customHeight="1" s="54">
      <c r="A81" s="80">
        <f>IF(INDEX(DM_Ma,77)="","",INDEX(DM_Ma,77))</f>
        <v/>
      </c>
      <c r="B81" s="80">
        <f>IF($A81="","",INDEX(DM_Ten,77))</f>
        <v/>
      </c>
      <c r="C81" s="80">
        <f>IF($A81="","",INDEX(DM_TrangThai,77))</f>
        <v/>
      </c>
      <c r="D81" s="75" t="n"/>
      <c r="E81" s="75" t="n"/>
      <c r="F81" s="75" t="n"/>
      <c r="G81" s="75" t="n"/>
      <c r="H81" s="75" t="n"/>
      <c r="I81" s="81" t="n"/>
      <c r="J81" s="75" t="n"/>
      <c r="K81" s="82">
        <f>IF($A81="","",INDEX(DM_SLHT,77))</f>
        <v/>
      </c>
      <c r="L81" s="82">
        <f>IF($A81="","",'4. Thẻ tính giá thành'!$Z$90)</f>
        <v/>
      </c>
      <c r="M81" s="83">
        <f>IF($A81="","",IF(OR(INDEX(DM_Pct_v,77)&lt;0,INDEX(DM_Pct_v,77)&gt;1),"❌ % SAI",""))</f>
        <v/>
      </c>
    </row>
    <row r="82" ht="15" customHeight="1" s="54">
      <c r="A82" s="80">
        <f>IF(INDEX(DM_Ma,78)="","",INDEX(DM_Ma,78))</f>
        <v/>
      </c>
      <c r="B82" s="80">
        <f>IF($A82="","",INDEX(DM_Ten,78))</f>
        <v/>
      </c>
      <c r="C82" s="80">
        <f>IF($A82="","",INDEX(DM_TrangThai,78))</f>
        <v/>
      </c>
      <c r="D82" s="75" t="n"/>
      <c r="E82" s="75" t="n"/>
      <c r="F82" s="75" t="n"/>
      <c r="G82" s="75" t="n"/>
      <c r="H82" s="75" t="n"/>
      <c r="I82" s="81" t="n"/>
      <c r="J82" s="75" t="n"/>
      <c r="K82" s="82">
        <f>IF($A82="","",INDEX(DM_SLHT,78))</f>
        <v/>
      </c>
      <c r="L82" s="82">
        <f>IF($A82="","",'4. Thẻ tính giá thành'!$Z$91)</f>
        <v/>
      </c>
      <c r="M82" s="83">
        <f>IF($A82="","",IF(OR(INDEX(DM_Pct_v,78)&lt;0,INDEX(DM_Pct_v,78)&gt;1),"❌ % SAI",""))</f>
        <v/>
      </c>
    </row>
    <row r="83" ht="15" customHeight="1" s="54">
      <c r="A83" s="80">
        <f>IF(INDEX(DM_Ma,79)="","",INDEX(DM_Ma,79))</f>
        <v/>
      </c>
      <c r="B83" s="80">
        <f>IF($A83="","",INDEX(DM_Ten,79))</f>
        <v/>
      </c>
      <c r="C83" s="80">
        <f>IF($A83="","",INDEX(DM_TrangThai,79))</f>
        <v/>
      </c>
      <c r="D83" s="75" t="n"/>
      <c r="E83" s="75" t="n"/>
      <c r="F83" s="75" t="n"/>
      <c r="G83" s="75" t="n"/>
      <c r="H83" s="75" t="n"/>
      <c r="I83" s="81" t="n"/>
      <c r="J83" s="75" t="n"/>
      <c r="K83" s="82">
        <f>IF($A83="","",INDEX(DM_SLHT,79))</f>
        <v/>
      </c>
      <c r="L83" s="82">
        <f>IF($A83="","",'4. Thẻ tính giá thành'!$Z$92)</f>
        <v/>
      </c>
      <c r="M83" s="83">
        <f>IF($A83="","",IF(OR(INDEX(DM_Pct_v,79)&lt;0,INDEX(DM_Pct_v,79)&gt;1),"❌ % SAI",""))</f>
        <v/>
      </c>
    </row>
    <row r="84" ht="15" customHeight="1" s="54">
      <c r="A84" s="80">
        <f>IF(INDEX(DM_Ma,80)="","",INDEX(DM_Ma,80))</f>
        <v/>
      </c>
      <c r="B84" s="80">
        <f>IF($A84="","",INDEX(DM_Ten,80))</f>
        <v/>
      </c>
      <c r="C84" s="80">
        <f>IF($A84="","",INDEX(DM_TrangThai,80))</f>
        <v/>
      </c>
      <c r="D84" s="75" t="n"/>
      <c r="E84" s="75" t="n"/>
      <c r="F84" s="75" t="n"/>
      <c r="G84" s="75" t="n"/>
      <c r="H84" s="75" t="n"/>
      <c r="I84" s="81" t="n"/>
      <c r="J84" s="75" t="n"/>
      <c r="K84" s="82">
        <f>IF($A84="","",INDEX(DM_SLHT,80))</f>
        <v/>
      </c>
      <c r="L84" s="82">
        <f>IF($A84="","",'4. Thẻ tính giá thành'!$Z$93)</f>
        <v/>
      </c>
      <c r="M84" s="83">
        <f>IF($A84="","",IF(OR(INDEX(DM_Pct_v,80)&lt;0,INDEX(DM_Pct_v,80)&gt;1),"❌ % SAI",""))</f>
        <v/>
      </c>
    </row>
    <row r="85"/>
    <row r="86" ht="15" customHeight="1" s="54">
      <c r="A86" s="78" t="inlineStr">
        <is>
          <t xml:space="preserve">Công cụ tính giá thành  |  KK HOME  •  </t>
        </is>
      </c>
    </row>
  </sheetData>
  <sheetProtection selectLockedCells="0" selectUnlockedCells="0" sheet="1" objects="0" insertRows="1" insertHyperlinks="1" autoFilter="1" scenarios="0" formatColumns="1" deleteColumns="1" insertColumns="1" pivotTables="1" deleteRows="1" formatCells="0" formatRows="1" sort="1"/>
  <mergeCells count="3">
    <mergeCell ref="A2:M2"/>
    <mergeCell ref="A86:M86"/>
    <mergeCell ref="A1: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J96"/>
  <sheetViews>
    <sheetView showFormulas="0" showGridLines="0"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53" min="1" max="1"/>
    <col width="20" customWidth="1" style="53" min="2" max="2"/>
    <col width="18" customWidth="1" style="53" min="3" max="3"/>
    <col width="14" customWidth="1" style="53" min="4" max="4"/>
    <col width="11" customWidth="1" style="53" min="5" max="29"/>
    <col hidden="1" width="13" customWidth="1" style="53" min="30" max="36"/>
  </cols>
  <sheetData>
    <row r="1" ht="24" customHeight="1" s="54">
      <c r="A1" s="55">
        <f>"THẺ TÍNH GIÁ THÀNH — "&amp;pTenDoiTuong</f>
        <v/>
      </c>
    </row>
    <row r="2"/>
    <row r="3" ht="15" customHeight="1" s="54">
      <c r="A3" s="66" t="inlineStr">
        <is>
          <t>SXC 621 chung (chờ phân bổ)</t>
        </is>
      </c>
      <c r="E3" s="84">
        <f>SUMIFS(L_ST,L_KM,"NVL trực tiếp (621)",L_TT,"Chung",L_Ngay,"&gt;="&amp;pTu,L_Ngay,"&lt;="&amp;pDen)</f>
        <v/>
      </c>
      <c r="G3" s="85">
        <f>IF(AND(tBase=0,(pool621+pool622+pool623+pool627BD+t627CDabs)&gt;0),"⚠ KHÔNG THỂ PHÂN BỔ – TỔNG TIÊU THỨC = 0","")</f>
        <v/>
      </c>
    </row>
    <row r="4" ht="15" customHeight="1" s="54">
      <c r="A4" s="66" t="inlineStr">
        <is>
          <t>622 chung</t>
        </is>
      </c>
      <c r="E4" s="84">
        <f>SUMIFS(L_ST,L_KM,"Nhân công trực tiếp (622)",L_TT,"Chung",L_Ngay,"&gt;="&amp;pTu,L_Ngay,"&lt;="&amp;pDen)</f>
        <v/>
      </c>
    </row>
    <row r="5" ht="15" customHeight="1" s="54">
      <c r="A5" s="66" t="inlineStr">
        <is>
          <t>623 chung</t>
        </is>
      </c>
      <c r="E5" s="84">
        <f>SUMIFS(L_ST,L_KM,"Máy thi công (623)",L_TT,"Chung",L_Ngay,"&gt;="&amp;pTu,L_Ngay,"&lt;="&amp;pDen)</f>
        <v/>
      </c>
      <c r="G5" s="85">
        <f>IF(AND(pCongSuat&lt;=0,pool627CD&gt;0),"⚠ CHƯA NHẬP CÔNG SUẤT BÌNH THƯỜNG – KHÔNG XÁC ĐỊNH ĐƯỢC SXC CỐ ĐỊNH PHÂN BỔ","")</f>
        <v/>
      </c>
    </row>
    <row r="6" ht="15" customHeight="1" s="54">
      <c r="A6" s="66" t="inlineStr">
        <is>
          <t>627 biến đổi (chung)</t>
        </is>
      </c>
      <c r="E6" s="84">
        <f>SUMIFS(L_ST,L_KM,"SXC (627)",L_TT,"Chung",L_Tinh,"Biến đổi",L_Ngay,"&gt;="&amp;pTu,L_Ngay,"&lt;="&amp;pDen)</f>
        <v/>
      </c>
    </row>
    <row r="7" ht="15" customHeight="1" s="54">
      <c r="A7" s="66" t="inlineStr">
        <is>
          <t>627 cố định (chung)</t>
        </is>
      </c>
      <c r="E7" s="84">
        <f>SUMIFS(L_ST,L_KM,"SXC (627)",L_TT,"Chung",L_Tinh,"Cố định",L_Ngay,"&gt;="&amp;pTu,L_Ngay,"&lt;="&amp;pDen)</f>
        <v/>
      </c>
    </row>
    <row r="8" ht="15" customHeight="1" s="54">
      <c r="A8" s="66" t="inlineStr">
        <is>
          <t>Mức hoạt động = thực tế / bình thường</t>
        </is>
      </c>
      <c r="E8" s="86">
        <f>IFERROR(pHoatDong/pCongSuat,0)</f>
        <v/>
      </c>
    </row>
    <row r="9" ht="15" customHeight="1" s="54">
      <c r="A9" s="66" t="inlineStr">
        <is>
          <t>627 cố định ĐƯỢC phân bổ vào giá thành</t>
        </is>
      </c>
      <c r="E9" s="84">
        <f>IF(pCongSuat&lt;=0,0,MIN(1,tRatio)*pool627CD)</f>
        <v/>
      </c>
    </row>
    <row r="10" ht="15" customHeight="1" s="54">
      <c r="A10" s="85" t="inlineStr">
        <is>
          <t>627 cố định VƯỢT công suất → Giá vốn 632</t>
        </is>
      </c>
      <c r="E10" s="87">
        <f>pool627CD-t627CDabs</f>
        <v/>
      </c>
    </row>
    <row r="11"/>
    <row r="12"/>
    <row r="13" ht="23.85" customHeight="1" s="54">
      <c r="A13" s="74">
        <f>"Mã "&amp;pTenDoiTuong</f>
        <v/>
      </c>
      <c r="B13" s="74" t="inlineStr">
        <is>
          <t>Tên</t>
        </is>
      </c>
      <c r="C13" s="74" t="inlineStr">
        <is>
          <t>Loại hình</t>
        </is>
      </c>
      <c r="D13" s="74" t="inlineStr">
        <is>
          <t>Trạng thái</t>
        </is>
      </c>
      <c r="E13" s="74" t="inlineStr">
        <is>
          <t>621 t.tiếp</t>
        </is>
      </c>
      <c r="F13" s="74" t="inlineStr">
        <is>
          <t>622 t.tiếp</t>
        </is>
      </c>
      <c r="G13" s="74" t="inlineStr">
        <is>
          <t>623 t.tiếp</t>
        </is>
      </c>
      <c r="H13" s="74" t="inlineStr">
        <is>
          <t>627BĐ t.tiếp</t>
        </is>
      </c>
      <c r="I13" s="74" t="inlineStr">
        <is>
          <t>627CĐ t.tiếp</t>
        </is>
      </c>
      <c r="J13" s="74" t="inlineStr">
        <is>
          <t>Tiêu thức</t>
        </is>
      </c>
      <c r="K13" s="74" t="inlineStr">
        <is>
          <t>621 p.bổ</t>
        </is>
      </c>
      <c r="L13" s="74" t="inlineStr">
        <is>
          <t>622 p.bổ</t>
        </is>
      </c>
      <c r="M13" s="74" t="inlineStr">
        <is>
          <t>623 p.bổ</t>
        </is>
      </c>
      <c r="N13" s="74" t="inlineStr">
        <is>
          <t>627BĐ p.bổ</t>
        </is>
      </c>
      <c r="O13" s="74" t="inlineStr">
        <is>
          <t>627CĐ p.bổ</t>
        </is>
      </c>
      <c r="P13" s="74" t="inlineStr">
        <is>
          <t>621</t>
        </is>
      </c>
      <c r="Q13" s="74" t="inlineStr">
        <is>
          <t>622</t>
        </is>
      </c>
      <c r="R13" s="74" t="inlineStr">
        <is>
          <t>623</t>
        </is>
      </c>
      <c r="S13" s="74" t="inlineStr">
        <is>
          <t>627 BĐ</t>
        </is>
      </c>
      <c r="T13" s="74" t="inlineStr">
        <is>
          <t>627 CĐ</t>
        </is>
      </c>
      <c r="U13" s="74" t="inlineStr">
        <is>
          <t>Cộng 627</t>
        </is>
      </c>
      <c r="V13" s="74" t="inlineStr">
        <is>
          <t>DDĐK</t>
        </is>
      </c>
      <c r="W13" s="74" t="inlineStr">
        <is>
          <t>Phế liệu</t>
        </is>
      </c>
      <c r="X13" s="74" t="inlineStr">
        <is>
          <t>SP hỏng</t>
        </is>
      </c>
      <c r="Y13" s="74" t="inlineStr">
        <is>
          <t>Cộng CP PS</t>
        </is>
      </c>
      <c r="Z13" s="74" t="inlineStr">
        <is>
          <t>DDCK</t>
        </is>
      </c>
      <c r="AA13" s="74" t="inlineStr">
        <is>
          <t>TỔNG GIÁ THÀNH</t>
        </is>
      </c>
      <c r="AB13" s="74" t="inlineStr">
        <is>
          <t>SL hoàn thành</t>
        </is>
      </c>
      <c r="AC13" s="74" t="inlineStr">
        <is>
          <t>Giá thành ĐV</t>
        </is>
      </c>
      <c r="AD13" s="74" t="inlineStr">
        <is>
          <t>hlpNVLTT</t>
        </is>
      </c>
      <c r="AE13" s="74" t="inlineStr">
        <is>
          <t>hlpTĐ</t>
        </is>
      </c>
      <c r="AF13" s="74" t="inlineStr">
        <is>
          <t>hlpĐM</t>
        </is>
      </c>
      <c r="AG13" s="74" t="inlineStr">
        <is>
          <t>chkSL</t>
        </is>
      </c>
      <c r="AH13" s="74" t="inlineStr">
        <is>
          <t>chkDDam</t>
        </is>
      </c>
      <c r="AI13" s="74" t="inlineStr">
        <is>
          <t>chkZam</t>
        </is>
      </c>
    </row>
    <row r="14" ht="15" customHeight="1" s="54">
      <c r="A14" s="80">
        <f>IF(INDEX(DM_Ma,1)="","",INDEX(DM_Ma,1))</f>
        <v/>
      </c>
      <c r="B14" s="80">
        <f>IF($A14="","",INDEX(DM_Ten,1))</f>
        <v/>
      </c>
      <c r="C14" s="80">
        <f>IF($A14="","",INDEX(DM_Loai,1))</f>
        <v/>
      </c>
      <c r="D14" s="80">
        <f>IF($A14="","",INDEX(DM_TrangThai,1))</f>
        <v/>
      </c>
      <c r="E14" s="82">
        <f>IF($A14="","",SUMIFS(L_ST,L_Ma,$A14,L_KM,"NVL trực tiếp (621)",L_TT,"Trực tiếp",L_Ngay,"&gt;="&amp;pTu,L_Ngay,"&lt;="&amp;pDen))</f>
        <v/>
      </c>
      <c r="F14" s="82">
        <f>IF($A14="","",SUMIFS(L_ST,L_Ma,$A14,L_KM,"Nhân công trực tiếp (622)",L_TT,"Trực tiếp",L_Ngay,"&gt;="&amp;pTu,L_Ngay,"&lt;="&amp;pDen))</f>
        <v/>
      </c>
      <c r="G14" s="82">
        <f>IF($A14="","",SUMIFS(L_ST,L_Ma,$A14,L_KM,"Máy thi công (623)",L_TT,"Trực tiếp",L_Ngay,"&gt;="&amp;pTu,L_Ngay,"&lt;="&amp;pDen))</f>
        <v/>
      </c>
      <c r="H14" s="82">
        <f>IF($A14="","",SUMIFS(L_ST,L_Ma,$A14,L_KM,"SXC (627)",L_TT,"Trực tiếp",L_Tinh,"Biến đổi",L_Ngay,"&gt;="&amp;pTu,L_Ngay,"&lt;="&amp;pDen))</f>
        <v/>
      </c>
      <c r="I14" s="82">
        <f>IF($A14="","",SUMIFS(L_ST,L_Ma,$A14,L_KM,"SXC (627)",L_TT,"Trực tiếp",L_Tinh,"Cố định",L_Ngay,"&gt;="&amp;pTu,L_Ngay,"&lt;="&amp;pDen))</f>
        <v/>
      </c>
      <c r="J14" s="82">
        <f>IF($A14="","",CHOOSE(MATCH(pTieuThuc,LST_TieuThuc,0),$E14,$F14,INDEX(DM_GioMay,1),INDEX(DM_GioCong,1),INDEX(DM_SLHT,1),INDEX(DM_DThu,1),INDEX(DM_TieuKhac,1)))</f>
        <v/>
      </c>
      <c r="K14" s="82">
        <f>IF($A14="","",IF(tBase=0,0,$J14/tBase*pool621))</f>
        <v/>
      </c>
      <c r="L14" s="82">
        <f>IF($A14="","",IF(tBase=0,0,$J14/tBase*pool622))</f>
        <v/>
      </c>
      <c r="M14" s="82">
        <f>IF($A14="","",IF(tBase=0,0,$J14/tBase*pool623))</f>
        <v/>
      </c>
      <c r="N14" s="82">
        <f>IF($A14="","",IF(tBase=0,0,$J14/tBase*pool627BD))</f>
        <v/>
      </c>
      <c r="O14" s="82">
        <f>IF($A14="","",IF(tBase=0,0,$J14/tBase*t627CDabs))</f>
        <v/>
      </c>
      <c r="P14" s="82">
        <f>IF($A14="","",$E14+$K14)</f>
        <v/>
      </c>
      <c r="Q14" s="82">
        <f>IF($A14="","",$F14+$L14)</f>
        <v/>
      </c>
      <c r="R14" s="82">
        <f>IF($A14="","",$G14+$M14)</f>
        <v/>
      </c>
      <c r="S14" s="82">
        <f>IF($A14="","",$H14+$N14)</f>
        <v/>
      </c>
      <c r="T14" s="82">
        <f>IF($A14="","",$I14+$O14)</f>
        <v/>
      </c>
      <c r="U14" s="82">
        <f>IF($A14="","",$S14+$T14)</f>
        <v/>
      </c>
      <c r="V14" s="82">
        <f>IF($A14="","",INDEX(DM_DDK621,1)+INDEX(DM_DDK622,1)+INDEX(DM_DDK623,1)+INDEX(DM_DDK627,1))</f>
        <v/>
      </c>
      <c r="W14" s="82">
        <f>IF($A14="","",SUMIFS(L_ST,L_Ma,$A14,L_KM,"Phế liệu thu hồi",L_Ngay,"&gt;="&amp;pTu,L_Ngay,"&lt;="&amp;pDen))</f>
        <v/>
      </c>
      <c r="X14" s="82">
        <f>IF($A14="","",SUMIFS(L_ST,L_Ma,$A14,L_KM,"SP hỏng ngoài định mức",L_Ngay,"&gt;="&amp;pTu,L_Ngay,"&lt;="&amp;pDen))</f>
        <v/>
      </c>
      <c r="Y14" s="82">
        <f>IF($A14="","",$P14+$Q14+$R14+$U14)</f>
        <v/>
      </c>
      <c r="Z14" s="82">
        <f>IF($A14="","",IF($D14="Đang thực hiện",$V14+$Y14,CHOOSE(MATCH(pDoDang,LST_DoDang,0),$AE14,$AF14,$AG14)))</f>
        <v/>
      </c>
      <c r="AA14" s="82">
        <f>IF($A14="","",$V14+$Y14-$Z14-$W14-$X14)</f>
        <v/>
      </c>
      <c r="AB14" s="82">
        <f>IF($A14="","",INDEX(DM_SLHT,1))</f>
        <v/>
      </c>
      <c r="AC14" s="82">
        <f>IF($A14="","",IF($AB14&lt;=0,"⚠ CHƯA CÓ SL",ROUND($AA14/$AB14,0)))</f>
        <v/>
      </c>
      <c r="AE14" s="88">
        <f>IF($A14="","",IFERROR((INDEX(DM_DDK621,1)+$P14)/($AB14+INDEX(DM_SLDD,1))*INDEX(DM_SLDD,1),0))</f>
        <v/>
      </c>
      <c r="AF14" s="88">
        <f>IF($A14="","",IFERROR((INDEX(DM_DDK621,1)+$P14)/($AB14+INDEX(DM_SLDD,1))*INDEX(DM_SLDD,1),0)+IFERROR((INDEX(DM_DDK622,1)+$Q14)/($AB14+INDEX(DM_SLDD,1)*INDEX(DM_Pct,1))*(INDEX(DM_SLDD,1)*INDEX(DM_Pct,1)),0)+IFERROR((INDEX(DM_DDK623,1)+$R14)/($AB14+INDEX(DM_SLDD,1)*INDEX(DM_Pct,1))*(INDEX(DM_SLDD,1)*INDEX(DM_Pct,1)),0)+IFERROR((INDEX(DM_DDK627,1)+$U14)/($AB14+INDEX(DM_SLDD,1)*INDEX(DM_Pct,1))*(INDEX(DM_SLDD,1)*INDEX(DM_Pct,1)),0))</f>
        <v/>
      </c>
      <c r="AG14" s="88">
        <f>IF($A14="","",INDEX(DM_SLDD,1)*INDEX(DM_DGDinhMuc,1))</f>
        <v/>
      </c>
      <c r="AH14" s="88">
        <f>IF($A14="",0,IF(AND(ISNUMBER($AA14),$AA14&gt;0,$AB14&lt;=0),1,0))</f>
        <v/>
      </c>
      <c r="AI14" s="88">
        <f>IF($A14="",0,IF(AND(ISNUMBER($Z14),$Z14&lt;0),1,0))</f>
        <v/>
      </c>
      <c r="AJ14" s="88">
        <f>IF($A14="",0,IF(AND(ISNUMBER($AA14),$AA14&lt;0),1,0))</f>
        <v/>
      </c>
    </row>
    <row r="15" ht="15" customHeight="1" s="54">
      <c r="A15" s="80">
        <f>IF(INDEX(DM_Ma,2)="","",INDEX(DM_Ma,2))</f>
        <v/>
      </c>
      <c r="B15" s="80">
        <f>IF($A15="","",INDEX(DM_Ten,2))</f>
        <v/>
      </c>
      <c r="C15" s="80">
        <f>IF($A15="","",INDEX(DM_Loai,2))</f>
        <v/>
      </c>
      <c r="D15" s="80">
        <f>IF($A15="","",INDEX(DM_TrangThai,2))</f>
        <v/>
      </c>
      <c r="E15" s="82">
        <f>IF($A15="","",SUMIFS(L_ST,L_Ma,$A15,L_KM,"NVL trực tiếp (621)",L_TT,"Trực tiếp",L_Ngay,"&gt;="&amp;pTu,L_Ngay,"&lt;="&amp;pDen))</f>
        <v/>
      </c>
      <c r="F15" s="82">
        <f>IF($A15="","",SUMIFS(L_ST,L_Ma,$A15,L_KM,"Nhân công trực tiếp (622)",L_TT,"Trực tiếp",L_Ngay,"&gt;="&amp;pTu,L_Ngay,"&lt;="&amp;pDen))</f>
        <v/>
      </c>
      <c r="G15" s="82">
        <f>IF($A15="","",SUMIFS(L_ST,L_Ma,$A15,L_KM,"Máy thi công (623)",L_TT,"Trực tiếp",L_Ngay,"&gt;="&amp;pTu,L_Ngay,"&lt;="&amp;pDen))</f>
        <v/>
      </c>
      <c r="H15" s="82">
        <f>IF($A15="","",SUMIFS(L_ST,L_Ma,$A15,L_KM,"SXC (627)",L_TT,"Trực tiếp",L_Tinh,"Biến đổi",L_Ngay,"&gt;="&amp;pTu,L_Ngay,"&lt;="&amp;pDen))</f>
        <v/>
      </c>
      <c r="I15" s="82">
        <f>IF($A15="","",SUMIFS(L_ST,L_Ma,$A15,L_KM,"SXC (627)",L_TT,"Trực tiếp",L_Tinh,"Cố định",L_Ngay,"&gt;="&amp;pTu,L_Ngay,"&lt;="&amp;pDen))</f>
        <v/>
      </c>
      <c r="J15" s="82">
        <f>IF($A15="","",CHOOSE(MATCH(pTieuThuc,LST_TieuThuc,0),$E15,$F15,INDEX(DM_GioMay,2),INDEX(DM_GioCong,2),INDEX(DM_SLHT,2),INDEX(DM_DThu,2),INDEX(DM_TieuKhac,2)))</f>
        <v/>
      </c>
      <c r="K15" s="82">
        <f>IF($A15="","",IF(tBase=0,0,$J15/tBase*pool621))</f>
        <v/>
      </c>
      <c r="L15" s="82">
        <f>IF($A15="","",IF(tBase=0,0,$J15/tBase*pool622))</f>
        <v/>
      </c>
      <c r="M15" s="82">
        <f>IF($A15="","",IF(tBase=0,0,$J15/tBase*pool623))</f>
        <v/>
      </c>
      <c r="N15" s="82">
        <f>IF($A15="","",IF(tBase=0,0,$J15/tBase*pool627BD))</f>
        <v/>
      </c>
      <c r="O15" s="82">
        <f>IF($A15="","",IF(tBase=0,0,$J15/tBase*t627CDabs))</f>
        <v/>
      </c>
      <c r="P15" s="82">
        <f>IF($A15="","",$E15+$K15)</f>
        <v/>
      </c>
      <c r="Q15" s="82">
        <f>IF($A15="","",$F15+$L15)</f>
        <v/>
      </c>
      <c r="R15" s="82">
        <f>IF($A15="","",$G15+$M15)</f>
        <v/>
      </c>
      <c r="S15" s="82">
        <f>IF($A15="","",$H15+$N15)</f>
        <v/>
      </c>
      <c r="T15" s="82">
        <f>IF($A15="","",$I15+$O15)</f>
        <v/>
      </c>
      <c r="U15" s="82">
        <f>IF($A15="","",$S15+$T15)</f>
        <v/>
      </c>
      <c r="V15" s="82">
        <f>IF($A15="","",INDEX(DM_DDK621,2)+INDEX(DM_DDK622,2)+INDEX(DM_DDK623,2)+INDEX(DM_DDK627,2))</f>
        <v/>
      </c>
      <c r="W15" s="82">
        <f>IF($A15="","",SUMIFS(L_ST,L_Ma,$A15,L_KM,"Phế liệu thu hồi",L_Ngay,"&gt;="&amp;pTu,L_Ngay,"&lt;="&amp;pDen))</f>
        <v/>
      </c>
      <c r="X15" s="82">
        <f>IF($A15="","",SUMIFS(L_ST,L_Ma,$A15,L_KM,"SP hỏng ngoài định mức",L_Ngay,"&gt;="&amp;pTu,L_Ngay,"&lt;="&amp;pDen))</f>
        <v/>
      </c>
      <c r="Y15" s="82">
        <f>IF($A15="","",$P15+$Q15+$R15+$U15)</f>
        <v/>
      </c>
      <c r="Z15" s="82">
        <f>IF($A15="","",IF($D15="Đang thực hiện",$V15+$Y15,CHOOSE(MATCH(pDoDang,LST_DoDang,0),$AE15,$AF15,$AG15)))</f>
        <v/>
      </c>
      <c r="AA15" s="82">
        <f>IF($A15="","",$V15+$Y15-$Z15-$W15-$X15)</f>
        <v/>
      </c>
      <c r="AB15" s="82">
        <f>IF($A15="","",INDEX(DM_SLHT,2))</f>
        <v/>
      </c>
      <c r="AC15" s="82">
        <f>IF($A15="","",IF($AB15&lt;=0,"⚠ CHƯA CÓ SL",ROUND($AA15/$AB15,0)))</f>
        <v/>
      </c>
      <c r="AE15" s="88">
        <f>IF($A15="","",IFERROR((INDEX(DM_DDK621,2)+$P15)/($AB15+INDEX(DM_SLDD,2))*INDEX(DM_SLDD,2),0))</f>
        <v/>
      </c>
      <c r="AF15" s="88">
        <f>IF($A15="","",IFERROR((INDEX(DM_DDK621,2)+$P15)/($AB15+INDEX(DM_SLDD,2))*INDEX(DM_SLDD,2),0)+IFERROR((INDEX(DM_DDK622,2)+$Q15)/($AB15+INDEX(DM_SLDD,2)*INDEX(DM_Pct,2))*(INDEX(DM_SLDD,2)*INDEX(DM_Pct,2)),0)+IFERROR((INDEX(DM_DDK623,2)+$R15)/($AB15+INDEX(DM_SLDD,2)*INDEX(DM_Pct,2))*(INDEX(DM_SLDD,2)*INDEX(DM_Pct,2)),0)+IFERROR((INDEX(DM_DDK627,2)+$U15)/($AB15+INDEX(DM_SLDD,2)*INDEX(DM_Pct,2))*(INDEX(DM_SLDD,2)*INDEX(DM_Pct,2)),0))</f>
        <v/>
      </c>
      <c r="AG15" s="88">
        <f>IF($A15="","",INDEX(DM_SLDD,2)*INDEX(DM_DGDinhMuc,2))</f>
        <v/>
      </c>
      <c r="AH15" s="88">
        <f>IF($A15="",0,IF(AND(ISNUMBER($AA15),$AA15&gt;0,$AB15&lt;=0),1,0))</f>
        <v/>
      </c>
      <c r="AI15" s="88">
        <f>IF($A15="",0,IF(AND(ISNUMBER($Z15),$Z15&lt;0),1,0))</f>
        <v/>
      </c>
      <c r="AJ15" s="88">
        <f>IF($A15="",0,IF(AND(ISNUMBER($AA15),$AA15&lt;0),1,0))</f>
        <v/>
      </c>
    </row>
    <row r="16" ht="15" customHeight="1" s="54">
      <c r="A16" s="80">
        <f>IF(INDEX(DM_Ma,3)="","",INDEX(DM_Ma,3))</f>
        <v/>
      </c>
      <c r="B16" s="80">
        <f>IF($A16="","",INDEX(DM_Ten,3))</f>
        <v/>
      </c>
      <c r="C16" s="80">
        <f>IF($A16="","",INDEX(DM_Loai,3))</f>
        <v/>
      </c>
      <c r="D16" s="80">
        <f>IF($A16="","",INDEX(DM_TrangThai,3))</f>
        <v/>
      </c>
      <c r="E16" s="82">
        <f>IF($A16="","",SUMIFS(L_ST,L_Ma,$A16,L_KM,"NVL trực tiếp (621)",L_TT,"Trực tiếp",L_Ngay,"&gt;="&amp;pTu,L_Ngay,"&lt;="&amp;pDen))</f>
        <v/>
      </c>
      <c r="F16" s="82">
        <f>IF($A16="","",SUMIFS(L_ST,L_Ma,$A16,L_KM,"Nhân công trực tiếp (622)",L_TT,"Trực tiếp",L_Ngay,"&gt;="&amp;pTu,L_Ngay,"&lt;="&amp;pDen))</f>
        <v/>
      </c>
      <c r="G16" s="82">
        <f>IF($A16="","",SUMIFS(L_ST,L_Ma,$A16,L_KM,"Máy thi công (623)",L_TT,"Trực tiếp",L_Ngay,"&gt;="&amp;pTu,L_Ngay,"&lt;="&amp;pDen))</f>
        <v/>
      </c>
      <c r="H16" s="82">
        <f>IF($A16="","",SUMIFS(L_ST,L_Ma,$A16,L_KM,"SXC (627)",L_TT,"Trực tiếp",L_Tinh,"Biến đổi",L_Ngay,"&gt;="&amp;pTu,L_Ngay,"&lt;="&amp;pDen))</f>
        <v/>
      </c>
      <c r="I16" s="82">
        <f>IF($A16="","",SUMIFS(L_ST,L_Ma,$A16,L_KM,"SXC (627)",L_TT,"Trực tiếp",L_Tinh,"Cố định",L_Ngay,"&gt;="&amp;pTu,L_Ngay,"&lt;="&amp;pDen))</f>
        <v/>
      </c>
      <c r="J16" s="82">
        <f>IF($A16="","",CHOOSE(MATCH(pTieuThuc,LST_TieuThuc,0),$E16,$F16,INDEX(DM_GioMay,3),INDEX(DM_GioCong,3),INDEX(DM_SLHT,3),INDEX(DM_DThu,3),INDEX(DM_TieuKhac,3)))</f>
        <v/>
      </c>
      <c r="K16" s="82">
        <f>IF($A16="","",IF(tBase=0,0,$J16/tBase*pool621))</f>
        <v/>
      </c>
      <c r="L16" s="82">
        <f>IF($A16="","",IF(tBase=0,0,$J16/tBase*pool622))</f>
        <v/>
      </c>
      <c r="M16" s="82">
        <f>IF($A16="","",IF(tBase=0,0,$J16/tBase*pool623))</f>
        <v/>
      </c>
      <c r="N16" s="82">
        <f>IF($A16="","",IF(tBase=0,0,$J16/tBase*pool627BD))</f>
        <v/>
      </c>
      <c r="O16" s="82">
        <f>IF($A16="","",IF(tBase=0,0,$J16/tBase*t627CDabs))</f>
        <v/>
      </c>
      <c r="P16" s="82">
        <f>IF($A16="","",$E16+$K16)</f>
        <v/>
      </c>
      <c r="Q16" s="82">
        <f>IF($A16="","",$F16+$L16)</f>
        <v/>
      </c>
      <c r="R16" s="82">
        <f>IF($A16="","",$G16+$M16)</f>
        <v/>
      </c>
      <c r="S16" s="82">
        <f>IF($A16="","",$H16+$N16)</f>
        <v/>
      </c>
      <c r="T16" s="82">
        <f>IF($A16="","",$I16+$O16)</f>
        <v/>
      </c>
      <c r="U16" s="82">
        <f>IF($A16="","",$S16+$T16)</f>
        <v/>
      </c>
      <c r="V16" s="82">
        <f>IF($A16="","",INDEX(DM_DDK621,3)+INDEX(DM_DDK622,3)+INDEX(DM_DDK623,3)+INDEX(DM_DDK627,3))</f>
        <v/>
      </c>
      <c r="W16" s="82">
        <f>IF($A16="","",SUMIFS(L_ST,L_Ma,$A16,L_KM,"Phế liệu thu hồi",L_Ngay,"&gt;="&amp;pTu,L_Ngay,"&lt;="&amp;pDen))</f>
        <v/>
      </c>
      <c r="X16" s="82">
        <f>IF($A16="","",SUMIFS(L_ST,L_Ma,$A16,L_KM,"SP hỏng ngoài định mức",L_Ngay,"&gt;="&amp;pTu,L_Ngay,"&lt;="&amp;pDen))</f>
        <v/>
      </c>
      <c r="Y16" s="82">
        <f>IF($A16="","",$P16+$Q16+$R16+$U16)</f>
        <v/>
      </c>
      <c r="Z16" s="82">
        <f>IF($A16="","",IF($D16="Đang thực hiện",$V16+$Y16,CHOOSE(MATCH(pDoDang,LST_DoDang,0),$AE16,$AF16,$AG16)))</f>
        <v/>
      </c>
      <c r="AA16" s="82">
        <f>IF($A16="","",$V16+$Y16-$Z16-$W16-$X16)</f>
        <v/>
      </c>
      <c r="AB16" s="82">
        <f>IF($A16="","",INDEX(DM_SLHT,3))</f>
        <v/>
      </c>
      <c r="AC16" s="82">
        <f>IF($A16="","",IF($AB16&lt;=0,"⚠ CHƯA CÓ SL",ROUND($AA16/$AB16,0)))</f>
        <v/>
      </c>
      <c r="AE16" s="88">
        <f>IF($A16="","",IFERROR((INDEX(DM_DDK621,3)+$P16)/($AB16+INDEX(DM_SLDD,3))*INDEX(DM_SLDD,3),0))</f>
        <v/>
      </c>
      <c r="AF16" s="88">
        <f>IF($A16="","",IFERROR((INDEX(DM_DDK621,3)+$P16)/($AB16+INDEX(DM_SLDD,3))*INDEX(DM_SLDD,3),0)+IFERROR((INDEX(DM_DDK622,3)+$Q16)/($AB16+INDEX(DM_SLDD,3)*INDEX(DM_Pct,3))*(INDEX(DM_SLDD,3)*INDEX(DM_Pct,3)),0)+IFERROR((INDEX(DM_DDK623,3)+$R16)/($AB16+INDEX(DM_SLDD,3)*INDEX(DM_Pct,3))*(INDEX(DM_SLDD,3)*INDEX(DM_Pct,3)),0)+IFERROR((INDEX(DM_DDK627,3)+$U16)/($AB16+INDEX(DM_SLDD,3)*INDEX(DM_Pct,3))*(INDEX(DM_SLDD,3)*INDEX(DM_Pct,3)),0))</f>
        <v/>
      </c>
      <c r="AG16" s="88">
        <f>IF($A16="","",INDEX(DM_SLDD,3)*INDEX(DM_DGDinhMuc,3))</f>
        <v/>
      </c>
      <c r="AH16" s="88">
        <f>IF($A16="",0,IF(AND(ISNUMBER($AA16),$AA16&gt;0,$AB16&lt;=0),1,0))</f>
        <v/>
      </c>
      <c r="AI16" s="88">
        <f>IF($A16="",0,IF(AND(ISNUMBER($Z16),$Z16&lt;0),1,0))</f>
        <v/>
      </c>
      <c r="AJ16" s="88">
        <f>IF($A16="",0,IF(AND(ISNUMBER($AA16),$AA16&lt;0),1,0))</f>
        <v/>
      </c>
    </row>
    <row r="17" ht="15" customHeight="1" s="54">
      <c r="A17" s="80">
        <f>IF(INDEX(DM_Ma,4)="","",INDEX(DM_Ma,4))</f>
        <v/>
      </c>
      <c r="B17" s="80">
        <f>IF($A17="","",INDEX(DM_Ten,4))</f>
        <v/>
      </c>
      <c r="C17" s="80">
        <f>IF($A17="","",INDEX(DM_Loai,4))</f>
        <v/>
      </c>
      <c r="D17" s="80">
        <f>IF($A17="","",INDEX(DM_TrangThai,4))</f>
        <v/>
      </c>
      <c r="E17" s="82">
        <f>IF($A17="","",SUMIFS(L_ST,L_Ma,$A17,L_KM,"NVL trực tiếp (621)",L_TT,"Trực tiếp",L_Ngay,"&gt;="&amp;pTu,L_Ngay,"&lt;="&amp;pDen))</f>
        <v/>
      </c>
      <c r="F17" s="82">
        <f>IF($A17="","",SUMIFS(L_ST,L_Ma,$A17,L_KM,"Nhân công trực tiếp (622)",L_TT,"Trực tiếp",L_Ngay,"&gt;="&amp;pTu,L_Ngay,"&lt;="&amp;pDen))</f>
        <v/>
      </c>
      <c r="G17" s="82">
        <f>IF($A17="","",SUMIFS(L_ST,L_Ma,$A17,L_KM,"Máy thi công (623)",L_TT,"Trực tiếp",L_Ngay,"&gt;="&amp;pTu,L_Ngay,"&lt;="&amp;pDen))</f>
        <v/>
      </c>
      <c r="H17" s="82">
        <f>IF($A17="","",SUMIFS(L_ST,L_Ma,$A17,L_KM,"SXC (627)",L_TT,"Trực tiếp",L_Tinh,"Biến đổi",L_Ngay,"&gt;="&amp;pTu,L_Ngay,"&lt;="&amp;pDen))</f>
        <v/>
      </c>
      <c r="I17" s="82">
        <f>IF($A17="","",SUMIFS(L_ST,L_Ma,$A17,L_KM,"SXC (627)",L_TT,"Trực tiếp",L_Tinh,"Cố định",L_Ngay,"&gt;="&amp;pTu,L_Ngay,"&lt;="&amp;pDen))</f>
        <v/>
      </c>
      <c r="J17" s="82">
        <f>IF($A17="","",CHOOSE(MATCH(pTieuThuc,LST_TieuThuc,0),$E17,$F17,INDEX(DM_GioMay,4),INDEX(DM_GioCong,4),INDEX(DM_SLHT,4),INDEX(DM_DThu,4),INDEX(DM_TieuKhac,4)))</f>
        <v/>
      </c>
      <c r="K17" s="82">
        <f>IF($A17="","",IF(tBase=0,0,$J17/tBase*pool621))</f>
        <v/>
      </c>
      <c r="L17" s="82">
        <f>IF($A17="","",IF(tBase=0,0,$J17/tBase*pool622))</f>
        <v/>
      </c>
      <c r="M17" s="82">
        <f>IF($A17="","",IF(tBase=0,0,$J17/tBase*pool623))</f>
        <v/>
      </c>
      <c r="N17" s="82">
        <f>IF($A17="","",IF(tBase=0,0,$J17/tBase*pool627BD))</f>
        <v/>
      </c>
      <c r="O17" s="82">
        <f>IF($A17="","",IF(tBase=0,0,$J17/tBase*t627CDabs))</f>
        <v/>
      </c>
      <c r="P17" s="82">
        <f>IF($A17="","",$E17+$K17)</f>
        <v/>
      </c>
      <c r="Q17" s="82">
        <f>IF($A17="","",$F17+$L17)</f>
        <v/>
      </c>
      <c r="R17" s="82">
        <f>IF($A17="","",$G17+$M17)</f>
        <v/>
      </c>
      <c r="S17" s="82">
        <f>IF($A17="","",$H17+$N17)</f>
        <v/>
      </c>
      <c r="T17" s="82">
        <f>IF($A17="","",$I17+$O17)</f>
        <v/>
      </c>
      <c r="U17" s="82">
        <f>IF($A17="","",$S17+$T17)</f>
        <v/>
      </c>
      <c r="V17" s="82">
        <f>IF($A17="","",INDEX(DM_DDK621,4)+INDEX(DM_DDK622,4)+INDEX(DM_DDK623,4)+INDEX(DM_DDK627,4))</f>
        <v/>
      </c>
      <c r="W17" s="82">
        <f>IF($A17="","",SUMIFS(L_ST,L_Ma,$A17,L_KM,"Phế liệu thu hồi",L_Ngay,"&gt;="&amp;pTu,L_Ngay,"&lt;="&amp;pDen))</f>
        <v/>
      </c>
      <c r="X17" s="82">
        <f>IF($A17="","",SUMIFS(L_ST,L_Ma,$A17,L_KM,"SP hỏng ngoài định mức",L_Ngay,"&gt;="&amp;pTu,L_Ngay,"&lt;="&amp;pDen))</f>
        <v/>
      </c>
      <c r="Y17" s="82">
        <f>IF($A17="","",$P17+$Q17+$R17+$U17)</f>
        <v/>
      </c>
      <c r="Z17" s="82">
        <f>IF($A17="","",IF($D17="Đang thực hiện",$V17+$Y17,CHOOSE(MATCH(pDoDang,LST_DoDang,0),$AE17,$AF17,$AG17)))</f>
        <v/>
      </c>
      <c r="AA17" s="82">
        <f>IF($A17="","",$V17+$Y17-$Z17-$W17-$X17)</f>
        <v/>
      </c>
      <c r="AB17" s="82">
        <f>IF($A17="","",INDEX(DM_SLHT,4))</f>
        <v/>
      </c>
      <c r="AC17" s="82">
        <f>IF($A17="","",IF($AB17&lt;=0,"⚠ CHƯA CÓ SL",ROUND($AA17/$AB17,0)))</f>
        <v/>
      </c>
      <c r="AE17" s="88">
        <f>IF($A17="","",IFERROR((INDEX(DM_DDK621,4)+$P17)/($AB17+INDEX(DM_SLDD,4))*INDEX(DM_SLDD,4),0))</f>
        <v/>
      </c>
      <c r="AF17" s="88">
        <f>IF($A17="","",IFERROR((INDEX(DM_DDK621,4)+$P17)/($AB17+INDEX(DM_SLDD,4))*INDEX(DM_SLDD,4),0)+IFERROR((INDEX(DM_DDK622,4)+$Q17)/($AB17+INDEX(DM_SLDD,4)*INDEX(DM_Pct,4))*(INDEX(DM_SLDD,4)*INDEX(DM_Pct,4)),0)+IFERROR((INDEX(DM_DDK623,4)+$R17)/($AB17+INDEX(DM_SLDD,4)*INDEX(DM_Pct,4))*(INDEX(DM_SLDD,4)*INDEX(DM_Pct,4)),0)+IFERROR((INDEX(DM_DDK627,4)+$U17)/($AB17+INDEX(DM_SLDD,4)*INDEX(DM_Pct,4))*(INDEX(DM_SLDD,4)*INDEX(DM_Pct,4)),0))</f>
        <v/>
      </c>
      <c r="AG17" s="88">
        <f>IF($A17="","",INDEX(DM_SLDD,4)*INDEX(DM_DGDinhMuc,4))</f>
        <v/>
      </c>
      <c r="AH17" s="88">
        <f>IF($A17="",0,IF(AND(ISNUMBER($AA17),$AA17&gt;0,$AB17&lt;=0),1,0))</f>
        <v/>
      </c>
      <c r="AI17" s="88">
        <f>IF($A17="",0,IF(AND(ISNUMBER($Z17),$Z17&lt;0),1,0))</f>
        <v/>
      </c>
      <c r="AJ17" s="88">
        <f>IF($A17="",0,IF(AND(ISNUMBER($AA17),$AA17&lt;0),1,0))</f>
        <v/>
      </c>
    </row>
    <row r="18" ht="15" customHeight="1" s="54">
      <c r="A18" s="80">
        <f>IF(INDEX(DM_Ma,5)="","",INDEX(DM_Ma,5))</f>
        <v/>
      </c>
      <c r="B18" s="80">
        <f>IF($A18="","",INDEX(DM_Ten,5))</f>
        <v/>
      </c>
      <c r="C18" s="80">
        <f>IF($A18="","",INDEX(DM_Loai,5))</f>
        <v/>
      </c>
      <c r="D18" s="80">
        <f>IF($A18="","",INDEX(DM_TrangThai,5))</f>
        <v/>
      </c>
      <c r="E18" s="82">
        <f>IF($A18="","",SUMIFS(L_ST,L_Ma,$A18,L_KM,"NVL trực tiếp (621)",L_TT,"Trực tiếp",L_Ngay,"&gt;="&amp;pTu,L_Ngay,"&lt;="&amp;pDen))</f>
        <v/>
      </c>
      <c r="F18" s="82">
        <f>IF($A18="","",SUMIFS(L_ST,L_Ma,$A18,L_KM,"Nhân công trực tiếp (622)",L_TT,"Trực tiếp",L_Ngay,"&gt;="&amp;pTu,L_Ngay,"&lt;="&amp;pDen))</f>
        <v/>
      </c>
      <c r="G18" s="82">
        <f>IF($A18="","",SUMIFS(L_ST,L_Ma,$A18,L_KM,"Máy thi công (623)",L_TT,"Trực tiếp",L_Ngay,"&gt;="&amp;pTu,L_Ngay,"&lt;="&amp;pDen))</f>
        <v/>
      </c>
      <c r="H18" s="82">
        <f>IF($A18="","",SUMIFS(L_ST,L_Ma,$A18,L_KM,"SXC (627)",L_TT,"Trực tiếp",L_Tinh,"Biến đổi",L_Ngay,"&gt;="&amp;pTu,L_Ngay,"&lt;="&amp;pDen))</f>
        <v/>
      </c>
      <c r="I18" s="82">
        <f>IF($A18="","",SUMIFS(L_ST,L_Ma,$A18,L_KM,"SXC (627)",L_TT,"Trực tiếp",L_Tinh,"Cố định",L_Ngay,"&gt;="&amp;pTu,L_Ngay,"&lt;="&amp;pDen))</f>
        <v/>
      </c>
      <c r="J18" s="82">
        <f>IF($A18="","",CHOOSE(MATCH(pTieuThuc,LST_TieuThuc,0),$E18,$F18,INDEX(DM_GioMay,5),INDEX(DM_GioCong,5),INDEX(DM_SLHT,5),INDEX(DM_DThu,5),INDEX(DM_TieuKhac,5)))</f>
        <v/>
      </c>
      <c r="K18" s="82">
        <f>IF($A18="","",IF(tBase=0,0,$J18/tBase*pool621))</f>
        <v/>
      </c>
      <c r="L18" s="82">
        <f>IF($A18="","",IF(tBase=0,0,$J18/tBase*pool622))</f>
        <v/>
      </c>
      <c r="M18" s="82">
        <f>IF($A18="","",IF(tBase=0,0,$J18/tBase*pool623))</f>
        <v/>
      </c>
      <c r="N18" s="82">
        <f>IF($A18="","",IF(tBase=0,0,$J18/tBase*pool627BD))</f>
        <v/>
      </c>
      <c r="O18" s="82">
        <f>IF($A18="","",IF(tBase=0,0,$J18/tBase*t627CDabs))</f>
        <v/>
      </c>
      <c r="P18" s="82">
        <f>IF($A18="","",$E18+$K18)</f>
        <v/>
      </c>
      <c r="Q18" s="82">
        <f>IF($A18="","",$F18+$L18)</f>
        <v/>
      </c>
      <c r="R18" s="82">
        <f>IF($A18="","",$G18+$M18)</f>
        <v/>
      </c>
      <c r="S18" s="82">
        <f>IF($A18="","",$H18+$N18)</f>
        <v/>
      </c>
      <c r="T18" s="82">
        <f>IF($A18="","",$I18+$O18)</f>
        <v/>
      </c>
      <c r="U18" s="82">
        <f>IF($A18="","",$S18+$T18)</f>
        <v/>
      </c>
      <c r="V18" s="82">
        <f>IF($A18="","",INDEX(DM_DDK621,5)+INDEX(DM_DDK622,5)+INDEX(DM_DDK623,5)+INDEX(DM_DDK627,5))</f>
        <v/>
      </c>
      <c r="W18" s="82">
        <f>IF($A18="","",SUMIFS(L_ST,L_Ma,$A18,L_KM,"Phế liệu thu hồi",L_Ngay,"&gt;="&amp;pTu,L_Ngay,"&lt;="&amp;pDen))</f>
        <v/>
      </c>
      <c r="X18" s="82">
        <f>IF($A18="","",SUMIFS(L_ST,L_Ma,$A18,L_KM,"SP hỏng ngoài định mức",L_Ngay,"&gt;="&amp;pTu,L_Ngay,"&lt;="&amp;pDen))</f>
        <v/>
      </c>
      <c r="Y18" s="82">
        <f>IF($A18="","",$P18+$Q18+$R18+$U18)</f>
        <v/>
      </c>
      <c r="Z18" s="82">
        <f>IF($A18="","",IF($D18="Đang thực hiện",$V18+$Y18,CHOOSE(MATCH(pDoDang,LST_DoDang,0),$AE18,$AF18,$AG18)))</f>
        <v/>
      </c>
      <c r="AA18" s="82">
        <f>IF($A18="","",$V18+$Y18-$Z18-$W18-$X18)</f>
        <v/>
      </c>
      <c r="AB18" s="82">
        <f>IF($A18="","",INDEX(DM_SLHT,5))</f>
        <v/>
      </c>
      <c r="AC18" s="82">
        <f>IF($A18="","",IF($AB18&lt;=0,"⚠ CHƯA CÓ SL",ROUND($AA18/$AB18,0)))</f>
        <v/>
      </c>
      <c r="AE18" s="88">
        <f>IF($A18="","",IFERROR((INDEX(DM_DDK621,5)+$P18)/($AB18+INDEX(DM_SLDD,5))*INDEX(DM_SLDD,5),0))</f>
        <v/>
      </c>
      <c r="AF18" s="88">
        <f>IF($A18="","",IFERROR((INDEX(DM_DDK621,5)+$P18)/($AB18+INDEX(DM_SLDD,5))*INDEX(DM_SLDD,5),0)+IFERROR((INDEX(DM_DDK622,5)+$Q18)/($AB18+INDEX(DM_SLDD,5)*INDEX(DM_Pct,5))*(INDEX(DM_SLDD,5)*INDEX(DM_Pct,5)),0)+IFERROR((INDEX(DM_DDK623,5)+$R18)/($AB18+INDEX(DM_SLDD,5)*INDEX(DM_Pct,5))*(INDEX(DM_SLDD,5)*INDEX(DM_Pct,5)),0)+IFERROR((INDEX(DM_DDK627,5)+$U18)/($AB18+INDEX(DM_SLDD,5)*INDEX(DM_Pct,5))*(INDEX(DM_SLDD,5)*INDEX(DM_Pct,5)),0))</f>
        <v/>
      </c>
      <c r="AG18" s="88">
        <f>IF($A18="","",INDEX(DM_SLDD,5)*INDEX(DM_DGDinhMuc,5))</f>
        <v/>
      </c>
      <c r="AH18" s="88">
        <f>IF($A18="",0,IF(AND(ISNUMBER($AA18),$AA18&gt;0,$AB18&lt;=0),1,0))</f>
        <v/>
      </c>
      <c r="AI18" s="88">
        <f>IF($A18="",0,IF(AND(ISNUMBER($Z18),$Z18&lt;0),1,0))</f>
        <v/>
      </c>
      <c r="AJ18" s="88">
        <f>IF($A18="",0,IF(AND(ISNUMBER($AA18),$AA18&lt;0),1,0))</f>
        <v/>
      </c>
    </row>
    <row r="19" ht="15" customHeight="1" s="54">
      <c r="A19" s="80">
        <f>IF(INDEX(DM_Ma,6)="","",INDEX(DM_Ma,6))</f>
        <v/>
      </c>
      <c r="B19" s="80">
        <f>IF($A19="","",INDEX(DM_Ten,6))</f>
        <v/>
      </c>
      <c r="C19" s="80">
        <f>IF($A19="","",INDEX(DM_Loai,6))</f>
        <v/>
      </c>
      <c r="D19" s="80">
        <f>IF($A19="","",INDEX(DM_TrangThai,6))</f>
        <v/>
      </c>
      <c r="E19" s="82">
        <f>IF($A19="","",SUMIFS(L_ST,L_Ma,$A19,L_KM,"NVL trực tiếp (621)",L_TT,"Trực tiếp",L_Ngay,"&gt;="&amp;pTu,L_Ngay,"&lt;="&amp;pDen))</f>
        <v/>
      </c>
      <c r="F19" s="82">
        <f>IF($A19="","",SUMIFS(L_ST,L_Ma,$A19,L_KM,"Nhân công trực tiếp (622)",L_TT,"Trực tiếp",L_Ngay,"&gt;="&amp;pTu,L_Ngay,"&lt;="&amp;pDen))</f>
        <v/>
      </c>
      <c r="G19" s="82">
        <f>IF($A19="","",SUMIFS(L_ST,L_Ma,$A19,L_KM,"Máy thi công (623)",L_TT,"Trực tiếp",L_Ngay,"&gt;="&amp;pTu,L_Ngay,"&lt;="&amp;pDen))</f>
        <v/>
      </c>
      <c r="H19" s="82">
        <f>IF($A19="","",SUMIFS(L_ST,L_Ma,$A19,L_KM,"SXC (627)",L_TT,"Trực tiếp",L_Tinh,"Biến đổi",L_Ngay,"&gt;="&amp;pTu,L_Ngay,"&lt;="&amp;pDen))</f>
        <v/>
      </c>
      <c r="I19" s="82">
        <f>IF($A19="","",SUMIFS(L_ST,L_Ma,$A19,L_KM,"SXC (627)",L_TT,"Trực tiếp",L_Tinh,"Cố định",L_Ngay,"&gt;="&amp;pTu,L_Ngay,"&lt;="&amp;pDen))</f>
        <v/>
      </c>
      <c r="J19" s="82">
        <f>IF($A19="","",CHOOSE(MATCH(pTieuThuc,LST_TieuThuc,0),$E19,$F19,INDEX(DM_GioMay,6),INDEX(DM_GioCong,6),INDEX(DM_SLHT,6),INDEX(DM_DThu,6),INDEX(DM_TieuKhac,6)))</f>
        <v/>
      </c>
      <c r="K19" s="82">
        <f>IF($A19="","",IF(tBase=0,0,$J19/tBase*pool621))</f>
        <v/>
      </c>
      <c r="L19" s="82">
        <f>IF($A19="","",IF(tBase=0,0,$J19/tBase*pool622))</f>
        <v/>
      </c>
      <c r="M19" s="82">
        <f>IF($A19="","",IF(tBase=0,0,$J19/tBase*pool623))</f>
        <v/>
      </c>
      <c r="N19" s="82">
        <f>IF($A19="","",IF(tBase=0,0,$J19/tBase*pool627BD))</f>
        <v/>
      </c>
      <c r="O19" s="82">
        <f>IF($A19="","",IF(tBase=0,0,$J19/tBase*t627CDabs))</f>
        <v/>
      </c>
      <c r="P19" s="82">
        <f>IF($A19="","",$E19+$K19)</f>
        <v/>
      </c>
      <c r="Q19" s="82">
        <f>IF($A19="","",$F19+$L19)</f>
        <v/>
      </c>
      <c r="R19" s="82">
        <f>IF($A19="","",$G19+$M19)</f>
        <v/>
      </c>
      <c r="S19" s="82">
        <f>IF($A19="","",$H19+$N19)</f>
        <v/>
      </c>
      <c r="T19" s="82">
        <f>IF($A19="","",$I19+$O19)</f>
        <v/>
      </c>
      <c r="U19" s="82">
        <f>IF($A19="","",$S19+$T19)</f>
        <v/>
      </c>
      <c r="V19" s="82">
        <f>IF($A19="","",INDEX(DM_DDK621,6)+INDEX(DM_DDK622,6)+INDEX(DM_DDK623,6)+INDEX(DM_DDK627,6))</f>
        <v/>
      </c>
      <c r="W19" s="82">
        <f>IF($A19="","",SUMIFS(L_ST,L_Ma,$A19,L_KM,"Phế liệu thu hồi",L_Ngay,"&gt;="&amp;pTu,L_Ngay,"&lt;="&amp;pDen))</f>
        <v/>
      </c>
      <c r="X19" s="82">
        <f>IF($A19="","",SUMIFS(L_ST,L_Ma,$A19,L_KM,"SP hỏng ngoài định mức",L_Ngay,"&gt;="&amp;pTu,L_Ngay,"&lt;="&amp;pDen))</f>
        <v/>
      </c>
      <c r="Y19" s="82">
        <f>IF($A19="","",$P19+$Q19+$R19+$U19)</f>
        <v/>
      </c>
      <c r="Z19" s="82">
        <f>IF($A19="","",IF($D19="Đang thực hiện",$V19+$Y19,CHOOSE(MATCH(pDoDang,LST_DoDang,0),$AE19,$AF19,$AG19)))</f>
        <v/>
      </c>
      <c r="AA19" s="82">
        <f>IF($A19="","",$V19+$Y19-$Z19-$W19-$X19)</f>
        <v/>
      </c>
      <c r="AB19" s="82">
        <f>IF($A19="","",INDEX(DM_SLHT,6))</f>
        <v/>
      </c>
      <c r="AC19" s="82">
        <f>IF($A19="","",IF($AB19&lt;=0,"⚠ CHƯA CÓ SL",ROUND($AA19/$AB19,0)))</f>
        <v/>
      </c>
      <c r="AE19" s="88">
        <f>IF($A19="","",IFERROR((INDEX(DM_DDK621,6)+$P19)/($AB19+INDEX(DM_SLDD,6))*INDEX(DM_SLDD,6),0))</f>
        <v/>
      </c>
      <c r="AF19" s="88">
        <f>IF($A19="","",IFERROR((INDEX(DM_DDK621,6)+$P19)/($AB19+INDEX(DM_SLDD,6))*INDEX(DM_SLDD,6),0)+IFERROR((INDEX(DM_DDK622,6)+$Q19)/($AB19+INDEX(DM_SLDD,6)*INDEX(DM_Pct,6))*(INDEX(DM_SLDD,6)*INDEX(DM_Pct,6)),0)+IFERROR((INDEX(DM_DDK623,6)+$R19)/($AB19+INDEX(DM_SLDD,6)*INDEX(DM_Pct,6))*(INDEX(DM_SLDD,6)*INDEX(DM_Pct,6)),0)+IFERROR((INDEX(DM_DDK627,6)+$U19)/($AB19+INDEX(DM_SLDD,6)*INDEX(DM_Pct,6))*(INDEX(DM_SLDD,6)*INDEX(DM_Pct,6)),0))</f>
        <v/>
      </c>
      <c r="AG19" s="88">
        <f>IF($A19="","",INDEX(DM_SLDD,6)*INDEX(DM_DGDinhMuc,6))</f>
        <v/>
      </c>
      <c r="AH19" s="88">
        <f>IF($A19="",0,IF(AND(ISNUMBER($AA19),$AA19&gt;0,$AB19&lt;=0),1,0))</f>
        <v/>
      </c>
      <c r="AI19" s="88">
        <f>IF($A19="",0,IF(AND(ISNUMBER($Z19),$Z19&lt;0),1,0))</f>
        <v/>
      </c>
      <c r="AJ19" s="88">
        <f>IF($A19="",0,IF(AND(ISNUMBER($AA19),$AA19&lt;0),1,0))</f>
        <v/>
      </c>
    </row>
    <row r="20" ht="15" customHeight="1" s="54">
      <c r="A20" s="80">
        <f>IF(INDEX(DM_Ma,7)="","",INDEX(DM_Ma,7))</f>
        <v/>
      </c>
      <c r="B20" s="80">
        <f>IF($A20="","",INDEX(DM_Ten,7))</f>
        <v/>
      </c>
      <c r="C20" s="80">
        <f>IF($A20="","",INDEX(DM_Loai,7))</f>
        <v/>
      </c>
      <c r="D20" s="80">
        <f>IF($A20="","",INDEX(DM_TrangThai,7))</f>
        <v/>
      </c>
      <c r="E20" s="82">
        <f>IF($A20="","",SUMIFS(L_ST,L_Ma,$A20,L_KM,"NVL trực tiếp (621)",L_TT,"Trực tiếp",L_Ngay,"&gt;="&amp;pTu,L_Ngay,"&lt;="&amp;pDen))</f>
        <v/>
      </c>
      <c r="F20" s="82">
        <f>IF($A20="","",SUMIFS(L_ST,L_Ma,$A20,L_KM,"Nhân công trực tiếp (622)",L_TT,"Trực tiếp",L_Ngay,"&gt;="&amp;pTu,L_Ngay,"&lt;="&amp;pDen))</f>
        <v/>
      </c>
      <c r="G20" s="82">
        <f>IF($A20="","",SUMIFS(L_ST,L_Ma,$A20,L_KM,"Máy thi công (623)",L_TT,"Trực tiếp",L_Ngay,"&gt;="&amp;pTu,L_Ngay,"&lt;="&amp;pDen))</f>
        <v/>
      </c>
      <c r="H20" s="82">
        <f>IF($A20="","",SUMIFS(L_ST,L_Ma,$A20,L_KM,"SXC (627)",L_TT,"Trực tiếp",L_Tinh,"Biến đổi",L_Ngay,"&gt;="&amp;pTu,L_Ngay,"&lt;="&amp;pDen))</f>
        <v/>
      </c>
      <c r="I20" s="82">
        <f>IF($A20="","",SUMIFS(L_ST,L_Ma,$A20,L_KM,"SXC (627)",L_TT,"Trực tiếp",L_Tinh,"Cố định",L_Ngay,"&gt;="&amp;pTu,L_Ngay,"&lt;="&amp;pDen))</f>
        <v/>
      </c>
      <c r="J20" s="82">
        <f>IF($A20="","",CHOOSE(MATCH(pTieuThuc,LST_TieuThuc,0),$E20,$F20,INDEX(DM_GioMay,7),INDEX(DM_GioCong,7),INDEX(DM_SLHT,7),INDEX(DM_DThu,7),INDEX(DM_TieuKhac,7)))</f>
        <v/>
      </c>
      <c r="K20" s="82">
        <f>IF($A20="","",IF(tBase=0,0,$J20/tBase*pool621))</f>
        <v/>
      </c>
      <c r="L20" s="82">
        <f>IF($A20="","",IF(tBase=0,0,$J20/tBase*pool622))</f>
        <v/>
      </c>
      <c r="M20" s="82">
        <f>IF($A20="","",IF(tBase=0,0,$J20/tBase*pool623))</f>
        <v/>
      </c>
      <c r="N20" s="82">
        <f>IF($A20="","",IF(tBase=0,0,$J20/tBase*pool627BD))</f>
        <v/>
      </c>
      <c r="O20" s="82">
        <f>IF($A20="","",IF(tBase=0,0,$J20/tBase*t627CDabs))</f>
        <v/>
      </c>
      <c r="P20" s="82">
        <f>IF($A20="","",$E20+$K20)</f>
        <v/>
      </c>
      <c r="Q20" s="82">
        <f>IF($A20="","",$F20+$L20)</f>
        <v/>
      </c>
      <c r="R20" s="82">
        <f>IF($A20="","",$G20+$M20)</f>
        <v/>
      </c>
      <c r="S20" s="82">
        <f>IF($A20="","",$H20+$N20)</f>
        <v/>
      </c>
      <c r="T20" s="82">
        <f>IF($A20="","",$I20+$O20)</f>
        <v/>
      </c>
      <c r="U20" s="82">
        <f>IF($A20="","",$S20+$T20)</f>
        <v/>
      </c>
      <c r="V20" s="82">
        <f>IF($A20="","",INDEX(DM_DDK621,7)+INDEX(DM_DDK622,7)+INDEX(DM_DDK623,7)+INDEX(DM_DDK627,7))</f>
        <v/>
      </c>
      <c r="W20" s="82">
        <f>IF($A20="","",SUMIFS(L_ST,L_Ma,$A20,L_KM,"Phế liệu thu hồi",L_Ngay,"&gt;="&amp;pTu,L_Ngay,"&lt;="&amp;pDen))</f>
        <v/>
      </c>
      <c r="X20" s="82">
        <f>IF($A20="","",SUMIFS(L_ST,L_Ma,$A20,L_KM,"SP hỏng ngoài định mức",L_Ngay,"&gt;="&amp;pTu,L_Ngay,"&lt;="&amp;pDen))</f>
        <v/>
      </c>
      <c r="Y20" s="82">
        <f>IF($A20="","",$P20+$Q20+$R20+$U20)</f>
        <v/>
      </c>
      <c r="Z20" s="82">
        <f>IF($A20="","",IF($D20="Đang thực hiện",$V20+$Y20,CHOOSE(MATCH(pDoDang,LST_DoDang,0),$AE20,$AF20,$AG20)))</f>
        <v/>
      </c>
      <c r="AA20" s="82">
        <f>IF($A20="","",$V20+$Y20-$Z20-$W20-$X20)</f>
        <v/>
      </c>
      <c r="AB20" s="82">
        <f>IF($A20="","",INDEX(DM_SLHT,7))</f>
        <v/>
      </c>
      <c r="AC20" s="82">
        <f>IF($A20="","",IF($AB20&lt;=0,"⚠ CHƯA CÓ SL",ROUND($AA20/$AB20,0)))</f>
        <v/>
      </c>
      <c r="AE20" s="88">
        <f>IF($A20="","",IFERROR((INDEX(DM_DDK621,7)+$P20)/($AB20+INDEX(DM_SLDD,7))*INDEX(DM_SLDD,7),0))</f>
        <v/>
      </c>
      <c r="AF20" s="88">
        <f>IF($A20="","",IFERROR((INDEX(DM_DDK621,7)+$P20)/($AB20+INDEX(DM_SLDD,7))*INDEX(DM_SLDD,7),0)+IFERROR((INDEX(DM_DDK622,7)+$Q20)/($AB20+INDEX(DM_SLDD,7)*INDEX(DM_Pct,7))*(INDEX(DM_SLDD,7)*INDEX(DM_Pct,7)),0)+IFERROR((INDEX(DM_DDK623,7)+$R20)/($AB20+INDEX(DM_SLDD,7)*INDEX(DM_Pct,7))*(INDEX(DM_SLDD,7)*INDEX(DM_Pct,7)),0)+IFERROR((INDEX(DM_DDK627,7)+$U20)/($AB20+INDEX(DM_SLDD,7)*INDEX(DM_Pct,7))*(INDEX(DM_SLDD,7)*INDEX(DM_Pct,7)),0))</f>
        <v/>
      </c>
      <c r="AG20" s="88">
        <f>IF($A20="","",INDEX(DM_SLDD,7)*INDEX(DM_DGDinhMuc,7))</f>
        <v/>
      </c>
      <c r="AH20" s="88">
        <f>IF($A20="",0,IF(AND(ISNUMBER($AA20),$AA20&gt;0,$AB20&lt;=0),1,0))</f>
        <v/>
      </c>
      <c r="AI20" s="88">
        <f>IF($A20="",0,IF(AND(ISNUMBER($Z20),$Z20&lt;0),1,0))</f>
        <v/>
      </c>
      <c r="AJ20" s="88">
        <f>IF($A20="",0,IF(AND(ISNUMBER($AA20),$AA20&lt;0),1,0))</f>
        <v/>
      </c>
    </row>
    <row r="21" ht="15" customHeight="1" s="54">
      <c r="A21" s="80">
        <f>IF(INDEX(DM_Ma,8)="","",INDEX(DM_Ma,8))</f>
        <v/>
      </c>
      <c r="B21" s="80">
        <f>IF($A21="","",INDEX(DM_Ten,8))</f>
        <v/>
      </c>
      <c r="C21" s="80">
        <f>IF($A21="","",INDEX(DM_Loai,8))</f>
        <v/>
      </c>
      <c r="D21" s="80">
        <f>IF($A21="","",INDEX(DM_TrangThai,8))</f>
        <v/>
      </c>
      <c r="E21" s="82">
        <f>IF($A21="","",SUMIFS(L_ST,L_Ma,$A21,L_KM,"NVL trực tiếp (621)",L_TT,"Trực tiếp",L_Ngay,"&gt;="&amp;pTu,L_Ngay,"&lt;="&amp;pDen))</f>
        <v/>
      </c>
      <c r="F21" s="82">
        <f>IF($A21="","",SUMIFS(L_ST,L_Ma,$A21,L_KM,"Nhân công trực tiếp (622)",L_TT,"Trực tiếp",L_Ngay,"&gt;="&amp;pTu,L_Ngay,"&lt;="&amp;pDen))</f>
        <v/>
      </c>
      <c r="G21" s="82">
        <f>IF($A21="","",SUMIFS(L_ST,L_Ma,$A21,L_KM,"Máy thi công (623)",L_TT,"Trực tiếp",L_Ngay,"&gt;="&amp;pTu,L_Ngay,"&lt;="&amp;pDen))</f>
        <v/>
      </c>
      <c r="H21" s="82">
        <f>IF($A21="","",SUMIFS(L_ST,L_Ma,$A21,L_KM,"SXC (627)",L_TT,"Trực tiếp",L_Tinh,"Biến đổi",L_Ngay,"&gt;="&amp;pTu,L_Ngay,"&lt;="&amp;pDen))</f>
        <v/>
      </c>
      <c r="I21" s="82">
        <f>IF($A21="","",SUMIFS(L_ST,L_Ma,$A21,L_KM,"SXC (627)",L_TT,"Trực tiếp",L_Tinh,"Cố định",L_Ngay,"&gt;="&amp;pTu,L_Ngay,"&lt;="&amp;pDen))</f>
        <v/>
      </c>
      <c r="J21" s="82">
        <f>IF($A21="","",CHOOSE(MATCH(pTieuThuc,LST_TieuThuc,0),$E21,$F21,INDEX(DM_GioMay,8),INDEX(DM_GioCong,8),INDEX(DM_SLHT,8),INDEX(DM_DThu,8),INDEX(DM_TieuKhac,8)))</f>
        <v/>
      </c>
      <c r="K21" s="82">
        <f>IF($A21="","",IF(tBase=0,0,$J21/tBase*pool621))</f>
        <v/>
      </c>
      <c r="L21" s="82">
        <f>IF($A21="","",IF(tBase=0,0,$J21/tBase*pool622))</f>
        <v/>
      </c>
      <c r="M21" s="82">
        <f>IF($A21="","",IF(tBase=0,0,$J21/tBase*pool623))</f>
        <v/>
      </c>
      <c r="N21" s="82">
        <f>IF($A21="","",IF(tBase=0,0,$J21/tBase*pool627BD))</f>
        <v/>
      </c>
      <c r="O21" s="82">
        <f>IF($A21="","",IF(tBase=0,0,$J21/tBase*t627CDabs))</f>
        <v/>
      </c>
      <c r="P21" s="82">
        <f>IF($A21="","",$E21+$K21)</f>
        <v/>
      </c>
      <c r="Q21" s="82">
        <f>IF($A21="","",$F21+$L21)</f>
        <v/>
      </c>
      <c r="R21" s="82">
        <f>IF($A21="","",$G21+$M21)</f>
        <v/>
      </c>
      <c r="S21" s="82">
        <f>IF($A21="","",$H21+$N21)</f>
        <v/>
      </c>
      <c r="T21" s="82">
        <f>IF($A21="","",$I21+$O21)</f>
        <v/>
      </c>
      <c r="U21" s="82">
        <f>IF($A21="","",$S21+$T21)</f>
        <v/>
      </c>
      <c r="V21" s="82">
        <f>IF($A21="","",INDEX(DM_DDK621,8)+INDEX(DM_DDK622,8)+INDEX(DM_DDK623,8)+INDEX(DM_DDK627,8))</f>
        <v/>
      </c>
      <c r="W21" s="82">
        <f>IF($A21="","",SUMIFS(L_ST,L_Ma,$A21,L_KM,"Phế liệu thu hồi",L_Ngay,"&gt;="&amp;pTu,L_Ngay,"&lt;="&amp;pDen))</f>
        <v/>
      </c>
      <c r="X21" s="82">
        <f>IF($A21="","",SUMIFS(L_ST,L_Ma,$A21,L_KM,"SP hỏng ngoài định mức",L_Ngay,"&gt;="&amp;pTu,L_Ngay,"&lt;="&amp;pDen))</f>
        <v/>
      </c>
      <c r="Y21" s="82">
        <f>IF($A21="","",$P21+$Q21+$R21+$U21)</f>
        <v/>
      </c>
      <c r="Z21" s="82">
        <f>IF($A21="","",IF($D21="Đang thực hiện",$V21+$Y21,CHOOSE(MATCH(pDoDang,LST_DoDang,0),$AE21,$AF21,$AG21)))</f>
        <v/>
      </c>
      <c r="AA21" s="82">
        <f>IF($A21="","",$V21+$Y21-$Z21-$W21-$X21)</f>
        <v/>
      </c>
      <c r="AB21" s="82">
        <f>IF($A21="","",INDEX(DM_SLHT,8))</f>
        <v/>
      </c>
      <c r="AC21" s="82">
        <f>IF($A21="","",IF($AB21&lt;=0,"⚠ CHƯA CÓ SL",ROUND($AA21/$AB21,0)))</f>
        <v/>
      </c>
      <c r="AE21" s="88">
        <f>IF($A21="","",IFERROR((INDEX(DM_DDK621,8)+$P21)/($AB21+INDEX(DM_SLDD,8))*INDEX(DM_SLDD,8),0))</f>
        <v/>
      </c>
      <c r="AF21" s="88">
        <f>IF($A21="","",IFERROR((INDEX(DM_DDK621,8)+$P21)/($AB21+INDEX(DM_SLDD,8))*INDEX(DM_SLDD,8),0)+IFERROR((INDEX(DM_DDK622,8)+$Q21)/($AB21+INDEX(DM_SLDD,8)*INDEX(DM_Pct,8))*(INDEX(DM_SLDD,8)*INDEX(DM_Pct,8)),0)+IFERROR((INDEX(DM_DDK623,8)+$R21)/($AB21+INDEX(DM_SLDD,8)*INDEX(DM_Pct,8))*(INDEX(DM_SLDD,8)*INDEX(DM_Pct,8)),0)+IFERROR((INDEX(DM_DDK627,8)+$U21)/($AB21+INDEX(DM_SLDD,8)*INDEX(DM_Pct,8))*(INDEX(DM_SLDD,8)*INDEX(DM_Pct,8)),0))</f>
        <v/>
      </c>
      <c r="AG21" s="88">
        <f>IF($A21="","",INDEX(DM_SLDD,8)*INDEX(DM_DGDinhMuc,8))</f>
        <v/>
      </c>
      <c r="AH21" s="88">
        <f>IF($A21="",0,IF(AND(ISNUMBER($AA21),$AA21&gt;0,$AB21&lt;=0),1,0))</f>
        <v/>
      </c>
      <c r="AI21" s="88">
        <f>IF($A21="",0,IF(AND(ISNUMBER($Z21),$Z21&lt;0),1,0))</f>
        <v/>
      </c>
      <c r="AJ21" s="88">
        <f>IF($A21="",0,IF(AND(ISNUMBER($AA21),$AA21&lt;0),1,0))</f>
        <v/>
      </c>
    </row>
    <row r="22" ht="15" customHeight="1" s="54">
      <c r="A22" s="80">
        <f>IF(INDEX(DM_Ma,9)="","",INDEX(DM_Ma,9))</f>
        <v/>
      </c>
      <c r="B22" s="80">
        <f>IF($A22="","",INDEX(DM_Ten,9))</f>
        <v/>
      </c>
      <c r="C22" s="80">
        <f>IF($A22="","",INDEX(DM_Loai,9))</f>
        <v/>
      </c>
      <c r="D22" s="80">
        <f>IF($A22="","",INDEX(DM_TrangThai,9))</f>
        <v/>
      </c>
      <c r="E22" s="82">
        <f>IF($A22="","",SUMIFS(L_ST,L_Ma,$A22,L_KM,"NVL trực tiếp (621)",L_TT,"Trực tiếp",L_Ngay,"&gt;="&amp;pTu,L_Ngay,"&lt;="&amp;pDen))</f>
        <v/>
      </c>
      <c r="F22" s="82">
        <f>IF($A22="","",SUMIFS(L_ST,L_Ma,$A22,L_KM,"Nhân công trực tiếp (622)",L_TT,"Trực tiếp",L_Ngay,"&gt;="&amp;pTu,L_Ngay,"&lt;="&amp;pDen))</f>
        <v/>
      </c>
      <c r="G22" s="82">
        <f>IF($A22="","",SUMIFS(L_ST,L_Ma,$A22,L_KM,"Máy thi công (623)",L_TT,"Trực tiếp",L_Ngay,"&gt;="&amp;pTu,L_Ngay,"&lt;="&amp;pDen))</f>
        <v/>
      </c>
      <c r="H22" s="82">
        <f>IF($A22="","",SUMIFS(L_ST,L_Ma,$A22,L_KM,"SXC (627)",L_TT,"Trực tiếp",L_Tinh,"Biến đổi",L_Ngay,"&gt;="&amp;pTu,L_Ngay,"&lt;="&amp;pDen))</f>
        <v/>
      </c>
      <c r="I22" s="82">
        <f>IF($A22="","",SUMIFS(L_ST,L_Ma,$A22,L_KM,"SXC (627)",L_TT,"Trực tiếp",L_Tinh,"Cố định",L_Ngay,"&gt;="&amp;pTu,L_Ngay,"&lt;="&amp;pDen))</f>
        <v/>
      </c>
      <c r="J22" s="82">
        <f>IF($A22="","",CHOOSE(MATCH(pTieuThuc,LST_TieuThuc,0),$E22,$F22,INDEX(DM_GioMay,9),INDEX(DM_GioCong,9),INDEX(DM_SLHT,9),INDEX(DM_DThu,9),INDEX(DM_TieuKhac,9)))</f>
        <v/>
      </c>
      <c r="K22" s="82">
        <f>IF($A22="","",IF(tBase=0,0,$J22/tBase*pool621))</f>
        <v/>
      </c>
      <c r="L22" s="82">
        <f>IF($A22="","",IF(tBase=0,0,$J22/tBase*pool622))</f>
        <v/>
      </c>
      <c r="M22" s="82">
        <f>IF($A22="","",IF(tBase=0,0,$J22/tBase*pool623))</f>
        <v/>
      </c>
      <c r="N22" s="82">
        <f>IF($A22="","",IF(tBase=0,0,$J22/tBase*pool627BD))</f>
        <v/>
      </c>
      <c r="O22" s="82">
        <f>IF($A22="","",IF(tBase=0,0,$J22/tBase*t627CDabs))</f>
        <v/>
      </c>
      <c r="P22" s="82">
        <f>IF($A22="","",$E22+$K22)</f>
        <v/>
      </c>
      <c r="Q22" s="82">
        <f>IF($A22="","",$F22+$L22)</f>
        <v/>
      </c>
      <c r="R22" s="82">
        <f>IF($A22="","",$G22+$M22)</f>
        <v/>
      </c>
      <c r="S22" s="82">
        <f>IF($A22="","",$H22+$N22)</f>
        <v/>
      </c>
      <c r="T22" s="82">
        <f>IF($A22="","",$I22+$O22)</f>
        <v/>
      </c>
      <c r="U22" s="82">
        <f>IF($A22="","",$S22+$T22)</f>
        <v/>
      </c>
      <c r="V22" s="82">
        <f>IF($A22="","",INDEX(DM_DDK621,9)+INDEX(DM_DDK622,9)+INDEX(DM_DDK623,9)+INDEX(DM_DDK627,9))</f>
        <v/>
      </c>
      <c r="W22" s="82">
        <f>IF($A22="","",SUMIFS(L_ST,L_Ma,$A22,L_KM,"Phế liệu thu hồi",L_Ngay,"&gt;="&amp;pTu,L_Ngay,"&lt;="&amp;pDen))</f>
        <v/>
      </c>
      <c r="X22" s="82">
        <f>IF($A22="","",SUMIFS(L_ST,L_Ma,$A22,L_KM,"SP hỏng ngoài định mức",L_Ngay,"&gt;="&amp;pTu,L_Ngay,"&lt;="&amp;pDen))</f>
        <v/>
      </c>
      <c r="Y22" s="82">
        <f>IF($A22="","",$P22+$Q22+$R22+$U22)</f>
        <v/>
      </c>
      <c r="Z22" s="82">
        <f>IF($A22="","",IF($D22="Đang thực hiện",$V22+$Y22,CHOOSE(MATCH(pDoDang,LST_DoDang,0),$AE22,$AF22,$AG22)))</f>
        <v/>
      </c>
      <c r="AA22" s="82">
        <f>IF($A22="","",$V22+$Y22-$Z22-$W22-$X22)</f>
        <v/>
      </c>
      <c r="AB22" s="82">
        <f>IF($A22="","",INDEX(DM_SLHT,9))</f>
        <v/>
      </c>
      <c r="AC22" s="82">
        <f>IF($A22="","",IF($AB22&lt;=0,"⚠ CHƯA CÓ SL",ROUND($AA22/$AB22,0)))</f>
        <v/>
      </c>
      <c r="AE22" s="88">
        <f>IF($A22="","",IFERROR((INDEX(DM_DDK621,9)+$P22)/($AB22+INDEX(DM_SLDD,9))*INDEX(DM_SLDD,9),0))</f>
        <v/>
      </c>
      <c r="AF22" s="88">
        <f>IF($A22="","",IFERROR((INDEX(DM_DDK621,9)+$P22)/($AB22+INDEX(DM_SLDD,9))*INDEX(DM_SLDD,9),0)+IFERROR((INDEX(DM_DDK622,9)+$Q22)/($AB22+INDEX(DM_SLDD,9)*INDEX(DM_Pct,9))*(INDEX(DM_SLDD,9)*INDEX(DM_Pct,9)),0)+IFERROR((INDEX(DM_DDK623,9)+$R22)/($AB22+INDEX(DM_SLDD,9)*INDEX(DM_Pct,9))*(INDEX(DM_SLDD,9)*INDEX(DM_Pct,9)),0)+IFERROR((INDEX(DM_DDK627,9)+$U22)/($AB22+INDEX(DM_SLDD,9)*INDEX(DM_Pct,9))*(INDEX(DM_SLDD,9)*INDEX(DM_Pct,9)),0))</f>
        <v/>
      </c>
      <c r="AG22" s="88">
        <f>IF($A22="","",INDEX(DM_SLDD,9)*INDEX(DM_DGDinhMuc,9))</f>
        <v/>
      </c>
      <c r="AH22" s="88">
        <f>IF($A22="",0,IF(AND(ISNUMBER($AA22),$AA22&gt;0,$AB22&lt;=0),1,0))</f>
        <v/>
      </c>
      <c r="AI22" s="88">
        <f>IF($A22="",0,IF(AND(ISNUMBER($Z22),$Z22&lt;0),1,0))</f>
        <v/>
      </c>
      <c r="AJ22" s="88">
        <f>IF($A22="",0,IF(AND(ISNUMBER($AA22),$AA22&lt;0),1,0))</f>
        <v/>
      </c>
    </row>
    <row r="23" ht="15" customHeight="1" s="54">
      <c r="A23" s="80">
        <f>IF(INDEX(DM_Ma,10)="","",INDEX(DM_Ma,10))</f>
        <v/>
      </c>
      <c r="B23" s="80">
        <f>IF($A23="","",INDEX(DM_Ten,10))</f>
        <v/>
      </c>
      <c r="C23" s="80">
        <f>IF($A23="","",INDEX(DM_Loai,10))</f>
        <v/>
      </c>
      <c r="D23" s="80">
        <f>IF($A23="","",INDEX(DM_TrangThai,10))</f>
        <v/>
      </c>
      <c r="E23" s="82">
        <f>IF($A23="","",SUMIFS(L_ST,L_Ma,$A23,L_KM,"NVL trực tiếp (621)",L_TT,"Trực tiếp",L_Ngay,"&gt;="&amp;pTu,L_Ngay,"&lt;="&amp;pDen))</f>
        <v/>
      </c>
      <c r="F23" s="82">
        <f>IF($A23="","",SUMIFS(L_ST,L_Ma,$A23,L_KM,"Nhân công trực tiếp (622)",L_TT,"Trực tiếp",L_Ngay,"&gt;="&amp;pTu,L_Ngay,"&lt;="&amp;pDen))</f>
        <v/>
      </c>
      <c r="G23" s="82">
        <f>IF($A23="","",SUMIFS(L_ST,L_Ma,$A23,L_KM,"Máy thi công (623)",L_TT,"Trực tiếp",L_Ngay,"&gt;="&amp;pTu,L_Ngay,"&lt;="&amp;pDen))</f>
        <v/>
      </c>
      <c r="H23" s="82">
        <f>IF($A23="","",SUMIFS(L_ST,L_Ma,$A23,L_KM,"SXC (627)",L_TT,"Trực tiếp",L_Tinh,"Biến đổi",L_Ngay,"&gt;="&amp;pTu,L_Ngay,"&lt;="&amp;pDen))</f>
        <v/>
      </c>
      <c r="I23" s="82">
        <f>IF($A23="","",SUMIFS(L_ST,L_Ma,$A23,L_KM,"SXC (627)",L_TT,"Trực tiếp",L_Tinh,"Cố định",L_Ngay,"&gt;="&amp;pTu,L_Ngay,"&lt;="&amp;pDen))</f>
        <v/>
      </c>
      <c r="J23" s="82">
        <f>IF($A23="","",CHOOSE(MATCH(pTieuThuc,LST_TieuThuc,0),$E23,$F23,INDEX(DM_GioMay,10),INDEX(DM_GioCong,10),INDEX(DM_SLHT,10),INDEX(DM_DThu,10),INDEX(DM_TieuKhac,10)))</f>
        <v/>
      </c>
      <c r="K23" s="82">
        <f>IF($A23="","",IF(tBase=0,0,$J23/tBase*pool621))</f>
        <v/>
      </c>
      <c r="L23" s="82">
        <f>IF($A23="","",IF(tBase=0,0,$J23/tBase*pool622))</f>
        <v/>
      </c>
      <c r="M23" s="82">
        <f>IF($A23="","",IF(tBase=0,0,$J23/tBase*pool623))</f>
        <v/>
      </c>
      <c r="N23" s="82">
        <f>IF($A23="","",IF(tBase=0,0,$J23/tBase*pool627BD))</f>
        <v/>
      </c>
      <c r="O23" s="82">
        <f>IF($A23="","",IF(tBase=0,0,$J23/tBase*t627CDabs))</f>
        <v/>
      </c>
      <c r="P23" s="82">
        <f>IF($A23="","",$E23+$K23)</f>
        <v/>
      </c>
      <c r="Q23" s="82">
        <f>IF($A23="","",$F23+$L23)</f>
        <v/>
      </c>
      <c r="R23" s="82">
        <f>IF($A23="","",$G23+$M23)</f>
        <v/>
      </c>
      <c r="S23" s="82">
        <f>IF($A23="","",$H23+$N23)</f>
        <v/>
      </c>
      <c r="T23" s="82">
        <f>IF($A23="","",$I23+$O23)</f>
        <v/>
      </c>
      <c r="U23" s="82">
        <f>IF($A23="","",$S23+$T23)</f>
        <v/>
      </c>
      <c r="V23" s="82">
        <f>IF($A23="","",INDEX(DM_DDK621,10)+INDEX(DM_DDK622,10)+INDEX(DM_DDK623,10)+INDEX(DM_DDK627,10))</f>
        <v/>
      </c>
      <c r="W23" s="82">
        <f>IF($A23="","",SUMIFS(L_ST,L_Ma,$A23,L_KM,"Phế liệu thu hồi",L_Ngay,"&gt;="&amp;pTu,L_Ngay,"&lt;="&amp;pDen))</f>
        <v/>
      </c>
      <c r="X23" s="82">
        <f>IF($A23="","",SUMIFS(L_ST,L_Ma,$A23,L_KM,"SP hỏng ngoài định mức",L_Ngay,"&gt;="&amp;pTu,L_Ngay,"&lt;="&amp;pDen))</f>
        <v/>
      </c>
      <c r="Y23" s="82">
        <f>IF($A23="","",$P23+$Q23+$R23+$U23)</f>
        <v/>
      </c>
      <c r="Z23" s="82">
        <f>IF($A23="","",IF($D23="Đang thực hiện",$V23+$Y23,CHOOSE(MATCH(pDoDang,LST_DoDang,0),$AE23,$AF23,$AG23)))</f>
        <v/>
      </c>
      <c r="AA23" s="82">
        <f>IF($A23="","",$V23+$Y23-$Z23-$W23-$X23)</f>
        <v/>
      </c>
      <c r="AB23" s="82">
        <f>IF($A23="","",INDEX(DM_SLHT,10))</f>
        <v/>
      </c>
      <c r="AC23" s="82">
        <f>IF($A23="","",IF($AB23&lt;=0,"⚠ CHƯA CÓ SL",ROUND($AA23/$AB23,0)))</f>
        <v/>
      </c>
      <c r="AE23" s="88">
        <f>IF($A23="","",IFERROR((INDEX(DM_DDK621,10)+$P23)/($AB23+INDEX(DM_SLDD,10))*INDEX(DM_SLDD,10),0))</f>
        <v/>
      </c>
      <c r="AF23" s="88">
        <f>IF($A23="","",IFERROR((INDEX(DM_DDK621,10)+$P23)/($AB23+INDEX(DM_SLDD,10))*INDEX(DM_SLDD,10),0)+IFERROR((INDEX(DM_DDK622,10)+$Q23)/($AB23+INDEX(DM_SLDD,10)*INDEX(DM_Pct,10))*(INDEX(DM_SLDD,10)*INDEX(DM_Pct,10)),0)+IFERROR((INDEX(DM_DDK623,10)+$R23)/($AB23+INDEX(DM_SLDD,10)*INDEX(DM_Pct,10))*(INDEX(DM_SLDD,10)*INDEX(DM_Pct,10)),0)+IFERROR((INDEX(DM_DDK627,10)+$U23)/($AB23+INDEX(DM_SLDD,10)*INDEX(DM_Pct,10))*(INDEX(DM_SLDD,10)*INDEX(DM_Pct,10)),0))</f>
        <v/>
      </c>
      <c r="AG23" s="88">
        <f>IF($A23="","",INDEX(DM_SLDD,10)*INDEX(DM_DGDinhMuc,10))</f>
        <v/>
      </c>
      <c r="AH23" s="88">
        <f>IF($A23="",0,IF(AND(ISNUMBER($AA23),$AA23&gt;0,$AB23&lt;=0),1,0))</f>
        <v/>
      </c>
      <c r="AI23" s="88">
        <f>IF($A23="",0,IF(AND(ISNUMBER($Z23),$Z23&lt;0),1,0))</f>
        <v/>
      </c>
      <c r="AJ23" s="88">
        <f>IF($A23="",0,IF(AND(ISNUMBER($AA23),$AA23&lt;0),1,0))</f>
        <v/>
      </c>
    </row>
    <row r="24" ht="15" customHeight="1" s="54">
      <c r="A24" s="80">
        <f>IF(INDEX(DM_Ma,11)="","",INDEX(DM_Ma,11))</f>
        <v/>
      </c>
      <c r="B24" s="80">
        <f>IF($A24="","",INDEX(DM_Ten,11))</f>
        <v/>
      </c>
      <c r="C24" s="80">
        <f>IF($A24="","",INDEX(DM_Loai,11))</f>
        <v/>
      </c>
      <c r="D24" s="80">
        <f>IF($A24="","",INDEX(DM_TrangThai,11))</f>
        <v/>
      </c>
      <c r="E24" s="82">
        <f>IF($A24="","",SUMIFS(L_ST,L_Ma,$A24,L_KM,"NVL trực tiếp (621)",L_TT,"Trực tiếp",L_Ngay,"&gt;="&amp;pTu,L_Ngay,"&lt;="&amp;pDen))</f>
        <v/>
      </c>
      <c r="F24" s="82">
        <f>IF($A24="","",SUMIFS(L_ST,L_Ma,$A24,L_KM,"Nhân công trực tiếp (622)",L_TT,"Trực tiếp",L_Ngay,"&gt;="&amp;pTu,L_Ngay,"&lt;="&amp;pDen))</f>
        <v/>
      </c>
      <c r="G24" s="82">
        <f>IF($A24="","",SUMIFS(L_ST,L_Ma,$A24,L_KM,"Máy thi công (623)",L_TT,"Trực tiếp",L_Ngay,"&gt;="&amp;pTu,L_Ngay,"&lt;="&amp;pDen))</f>
        <v/>
      </c>
      <c r="H24" s="82">
        <f>IF($A24="","",SUMIFS(L_ST,L_Ma,$A24,L_KM,"SXC (627)",L_TT,"Trực tiếp",L_Tinh,"Biến đổi",L_Ngay,"&gt;="&amp;pTu,L_Ngay,"&lt;="&amp;pDen))</f>
        <v/>
      </c>
      <c r="I24" s="82">
        <f>IF($A24="","",SUMIFS(L_ST,L_Ma,$A24,L_KM,"SXC (627)",L_TT,"Trực tiếp",L_Tinh,"Cố định",L_Ngay,"&gt;="&amp;pTu,L_Ngay,"&lt;="&amp;pDen))</f>
        <v/>
      </c>
      <c r="J24" s="82">
        <f>IF($A24="","",CHOOSE(MATCH(pTieuThuc,LST_TieuThuc,0),$E24,$F24,INDEX(DM_GioMay,11),INDEX(DM_GioCong,11),INDEX(DM_SLHT,11),INDEX(DM_DThu,11),INDEX(DM_TieuKhac,11)))</f>
        <v/>
      </c>
      <c r="K24" s="82">
        <f>IF($A24="","",IF(tBase=0,0,$J24/tBase*pool621))</f>
        <v/>
      </c>
      <c r="L24" s="82">
        <f>IF($A24="","",IF(tBase=0,0,$J24/tBase*pool622))</f>
        <v/>
      </c>
      <c r="M24" s="82">
        <f>IF($A24="","",IF(tBase=0,0,$J24/tBase*pool623))</f>
        <v/>
      </c>
      <c r="N24" s="82">
        <f>IF($A24="","",IF(tBase=0,0,$J24/tBase*pool627BD))</f>
        <v/>
      </c>
      <c r="O24" s="82">
        <f>IF($A24="","",IF(tBase=0,0,$J24/tBase*t627CDabs))</f>
        <v/>
      </c>
      <c r="P24" s="82">
        <f>IF($A24="","",$E24+$K24)</f>
        <v/>
      </c>
      <c r="Q24" s="82">
        <f>IF($A24="","",$F24+$L24)</f>
        <v/>
      </c>
      <c r="R24" s="82">
        <f>IF($A24="","",$G24+$M24)</f>
        <v/>
      </c>
      <c r="S24" s="82">
        <f>IF($A24="","",$H24+$N24)</f>
        <v/>
      </c>
      <c r="T24" s="82">
        <f>IF($A24="","",$I24+$O24)</f>
        <v/>
      </c>
      <c r="U24" s="82">
        <f>IF($A24="","",$S24+$T24)</f>
        <v/>
      </c>
      <c r="V24" s="82">
        <f>IF($A24="","",INDEX(DM_DDK621,11)+INDEX(DM_DDK622,11)+INDEX(DM_DDK623,11)+INDEX(DM_DDK627,11))</f>
        <v/>
      </c>
      <c r="W24" s="82">
        <f>IF($A24="","",SUMIFS(L_ST,L_Ma,$A24,L_KM,"Phế liệu thu hồi",L_Ngay,"&gt;="&amp;pTu,L_Ngay,"&lt;="&amp;pDen))</f>
        <v/>
      </c>
      <c r="X24" s="82">
        <f>IF($A24="","",SUMIFS(L_ST,L_Ma,$A24,L_KM,"SP hỏng ngoài định mức",L_Ngay,"&gt;="&amp;pTu,L_Ngay,"&lt;="&amp;pDen))</f>
        <v/>
      </c>
      <c r="Y24" s="82">
        <f>IF($A24="","",$P24+$Q24+$R24+$U24)</f>
        <v/>
      </c>
      <c r="Z24" s="82">
        <f>IF($A24="","",IF($D24="Đang thực hiện",$V24+$Y24,CHOOSE(MATCH(pDoDang,LST_DoDang,0),$AE24,$AF24,$AG24)))</f>
        <v/>
      </c>
      <c r="AA24" s="82">
        <f>IF($A24="","",$V24+$Y24-$Z24-$W24-$X24)</f>
        <v/>
      </c>
      <c r="AB24" s="82">
        <f>IF($A24="","",INDEX(DM_SLHT,11))</f>
        <v/>
      </c>
      <c r="AC24" s="82">
        <f>IF($A24="","",IF($AB24&lt;=0,"⚠ CHƯA CÓ SL",ROUND($AA24/$AB24,0)))</f>
        <v/>
      </c>
      <c r="AE24" s="88">
        <f>IF($A24="","",IFERROR((INDEX(DM_DDK621,11)+$P24)/($AB24+INDEX(DM_SLDD,11))*INDEX(DM_SLDD,11),0))</f>
        <v/>
      </c>
      <c r="AF24" s="88">
        <f>IF($A24="","",IFERROR((INDEX(DM_DDK621,11)+$P24)/($AB24+INDEX(DM_SLDD,11))*INDEX(DM_SLDD,11),0)+IFERROR((INDEX(DM_DDK622,11)+$Q24)/($AB24+INDEX(DM_SLDD,11)*INDEX(DM_Pct,11))*(INDEX(DM_SLDD,11)*INDEX(DM_Pct,11)),0)+IFERROR((INDEX(DM_DDK623,11)+$R24)/($AB24+INDEX(DM_SLDD,11)*INDEX(DM_Pct,11))*(INDEX(DM_SLDD,11)*INDEX(DM_Pct,11)),0)+IFERROR((INDEX(DM_DDK627,11)+$U24)/($AB24+INDEX(DM_SLDD,11)*INDEX(DM_Pct,11))*(INDEX(DM_SLDD,11)*INDEX(DM_Pct,11)),0))</f>
        <v/>
      </c>
      <c r="AG24" s="88">
        <f>IF($A24="","",INDEX(DM_SLDD,11)*INDEX(DM_DGDinhMuc,11))</f>
        <v/>
      </c>
      <c r="AH24" s="88">
        <f>IF($A24="",0,IF(AND(ISNUMBER($AA24),$AA24&gt;0,$AB24&lt;=0),1,0))</f>
        <v/>
      </c>
      <c r="AI24" s="88">
        <f>IF($A24="",0,IF(AND(ISNUMBER($Z24),$Z24&lt;0),1,0))</f>
        <v/>
      </c>
      <c r="AJ24" s="88">
        <f>IF($A24="",0,IF(AND(ISNUMBER($AA24),$AA24&lt;0),1,0))</f>
        <v/>
      </c>
    </row>
    <row r="25" ht="15" customHeight="1" s="54">
      <c r="A25" s="80">
        <f>IF(INDEX(DM_Ma,12)="","",INDEX(DM_Ma,12))</f>
        <v/>
      </c>
      <c r="B25" s="80">
        <f>IF($A25="","",INDEX(DM_Ten,12))</f>
        <v/>
      </c>
      <c r="C25" s="80">
        <f>IF($A25="","",INDEX(DM_Loai,12))</f>
        <v/>
      </c>
      <c r="D25" s="80">
        <f>IF($A25="","",INDEX(DM_TrangThai,12))</f>
        <v/>
      </c>
      <c r="E25" s="82">
        <f>IF($A25="","",SUMIFS(L_ST,L_Ma,$A25,L_KM,"NVL trực tiếp (621)",L_TT,"Trực tiếp",L_Ngay,"&gt;="&amp;pTu,L_Ngay,"&lt;="&amp;pDen))</f>
        <v/>
      </c>
      <c r="F25" s="82">
        <f>IF($A25="","",SUMIFS(L_ST,L_Ma,$A25,L_KM,"Nhân công trực tiếp (622)",L_TT,"Trực tiếp",L_Ngay,"&gt;="&amp;pTu,L_Ngay,"&lt;="&amp;pDen))</f>
        <v/>
      </c>
      <c r="G25" s="82">
        <f>IF($A25="","",SUMIFS(L_ST,L_Ma,$A25,L_KM,"Máy thi công (623)",L_TT,"Trực tiếp",L_Ngay,"&gt;="&amp;pTu,L_Ngay,"&lt;="&amp;pDen))</f>
        <v/>
      </c>
      <c r="H25" s="82">
        <f>IF($A25="","",SUMIFS(L_ST,L_Ma,$A25,L_KM,"SXC (627)",L_TT,"Trực tiếp",L_Tinh,"Biến đổi",L_Ngay,"&gt;="&amp;pTu,L_Ngay,"&lt;="&amp;pDen))</f>
        <v/>
      </c>
      <c r="I25" s="82">
        <f>IF($A25="","",SUMIFS(L_ST,L_Ma,$A25,L_KM,"SXC (627)",L_TT,"Trực tiếp",L_Tinh,"Cố định",L_Ngay,"&gt;="&amp;pTu,L_Ngay,"&lt;="&amp;pDen))</f>
        <v/>
      </c>
      <c r="J25" s="82">
        <f>IF($A25="","",CHOOSE(MATCH(pTieuThuc,LST_TieuThuc,0),$E25,$F25,INDEX(DM_GioMay,12),INDEX(DM_GioCong,12),INDEX(DM_SLHT,12),INDEX(DM_DThu,12),INDEX(DM_TieuKhac,12)))</f>
        <v/>
      </c>
      <c r="K25" s="82">
        <f>IF($A25="","",IF(tBase=0,0,$J25/tBase*pool621))</f>
        <v/>
      </c>
      <c r="L25" s="82">
        <f>IF($A25="","",IF(tBase=0,0,$J25/tBase*pool622))</f>
        <v/>
      </c>
      <c r="M25" s="82">
        <f>IF($A25="","",IF(tBase=0,0,$J25/tBase*pool623))</f>
        <v/>
      </c>
      <c r="N25" s="82">
        <f>IF($A25="","",IF(tBase=0,0,$J25/tBase*pool627BD))</f>
        <v/>
      </c>
      <c r="O25" s="82">
        <f>IF($A25="","",IF(tBase=0,0,$J25/tBase*t627CDabs))</f>
        <v/>
      </c>
      <c r="P25" s="82">
        <f>IF($A25="","",$E25+$K25)</f>
        <v/>
      </c>
      <c r="Q25" s="82">
        <f>IF($A25="","",$F25+$L25)</f>
        <v/>
      </c>
      <c r="R25" s="82">
        <f>IF($A25="","",$G25+$M25)</f>
        <v/>
      </c>
      <c r="S25" s="82">
        <f>IF($A25="","",$H25+$N25)</f>
        <v/>
      </c>
      <c r="T25" s="82">
        <f>IF($A25="","",$I25+$O25)</f>
        <v/>
      </c>
      <c r="U25" s="82">
        <f>IF($A25="","",$S25+$T25)</f>
        <v/>
      </c>
      <c r="V25" s="82">
        <f>IF($A25="","",INDEX(DM_DDK621,12)+INDEX(DM_DDK622,12)+INDEX(DM_DDK623,12)+INDEX(DM_DDK627,12))</f>
        <v/>
      </c>
      <c r="W25" s="82">
        <f>IF($A25="","",SUMIFS(L_ST,L_Ma,$A25,L_KM,"Phế liệu thu hồi",L_Ngay,"&gt;="&amp;pTu,L_Ngay,"&lt;="&amp;pDen))</f>
        <v/>
      </c>
      <c r="X25" s="82">
        <f>IF($A25="","",SUMIFS(L_ST,L_Ma,$A25,L_KM,"SP hỏng ngoài định mức",L_Ngay,"&gt;="&amp;pTu,L_Ngay,"&lt;="&amp;pDen))</f>
        <v/>
      </c>
      <c r="Y25" s="82">
        <f>IF($A25="","",$P25+$Q25+$R25+$U25)</f>
        <v/>
      </c>
      <c r="Z25" s="82">
        <f>IF($A25="","",IF($D25="Đang thực hiện",$V25+$Y25,CHOOSE(MATCH(pDoDang,LST_DoDang,0),$AE25,$AF25,$AG25)))</f>
        <v/>
      </c>
      <c r="AA25" s="82">
        <f>IF($A25="","",$V25+$Y25-$Z25-$W25-$X25)</f>
        <v/>
      </c>
      <c r="AB25" s="82">
        <f>IF($A25="","",INDEX(DM_SLHT,12))</f>
        <v/>
      </c>
      <c r="AC25" s="82">
        <f>IF($A25="","",IF($AB25&lt;=0,"⚠ CHƯA CÓ SL",ROUND($AA25/$AB25,0)))</f>
        <v/>
      </c>
      <c r="AE25" s="88">
        <f>IF($A25="","",IFERROR((INDEX(DM_DDK621,12)+$P25)/($AB25+INDEX(DM_SLDD,12))*INDEX(DM_SLDD,12),0))</f>
        <v/>
      </c>
      <c r="AF25" s="88">
        <f>IF($A25="","",IFERROR((INDEX(DM_DDK621,12)+$P25)/($AB25+INDEX(DM_SLDD,12))*INDEX(DM_SLDD,12),0)+IFERROR((INDEX(DM_DDK622,12)+$Q25)/($AB25+INDEX(DM_SLDD,12)*INDEX(DM_Pct,12))*(INDEX(DM_SLDD,12)*INDEX(DM_Pct,12)),0)+IFERROR((INDEX(DM_DDK623,12)+$R25)/($AB25+INDEX(DM_SLDD,12)*INDEX(DM_Pct,12))*(INDEX(DM_SLDD,12)*INDEX(DM_Pct,12)),0)+IFERROR((INDEX(DM_DDK627,12)+$U25)/($AB25+INDEX(DM_SLDD,12)*INDEX(DM_Pct,12))*(INDEX(DM_SLDD,12)*INDEX(DM_Pct,12)),0))</f>
        <v/>
      </c>
      <c r="AG25" s="88">
        <f>IF($A25="","",INDEX(DM_SLDD,12)*INDEX(DM_DGDinhMuc,12))</f>
        <v/>
      </c>
      <c r="AH25" s="88">
        <f>IF($A25="",0,IF(AND(ISNUMBER($AA25),$AA25&gt;0,$AB25&lt;=0),1,0))</f>
        <v/>
      </c>
      <c r="AI25" s="88">
        <f>IF($A25="",0,IF(AND(ISNUMBER($Z25),$Z25&lt;0),1,0))</f>
        <v/>
      </c>
      <c r="AJ25" s="88">
        <f>IF($A25="",0,IF(AND(ISNUMBER($AA25),$AA25&lt;0),1,0))</f>
        <v/>
      </c>
    </row>
    <row r="26" ht="15" customHeight="1" s="54">
      <c r="A26" s="80">
        <f>IF(INDEX(DM_Ma,13)="","",INDEX(DM_Ma,13))</f>
        <v/>
      </c>
      <c r="B26" s="80">
        <f>IF($A26="","",INDEX(DM_Ten,13))</f>
        <v/>
      </c>
      <c r="C26" s="80">
        <f>IF($A26="","",INDEX(DM_Loai,13))</f>
        <v/>
      </c>
      <c r="D26" s="80">
        <f>IF($A26="","",INDEX(DM_TrangThai,13))</f>
        <v/>
      </c>
      <c r="E26" s="82">
        <f>IF($A26="","",SUMIFS(L_ST,L_Ma,$A26,L_KM,"NVL trực tiếp (621)",L_TT,"Trực tiếp",L_Ngay,"&gt;="&amp;pTu,L_Ngay,"&lt;="&amp;pDen))</f>
        <v/>
      </c>
      <c r="F26" s="82">
        <f>IF($A26="","",SUMIFS(L_ST,L_Ma,$A26,L_KM,"Nhân công trực tiếp (622)",L_TT,"Trực tiếp",L_Ngay,"&gt;="&amp;pTu,L_Ngay,"&lt;="&amp;pDen))</f>
        <v/>
      </c>
      <c r="G26" s="82">
        <f>IF($A26="","",SUMIFS(L_ST,L_Ma,$A26,L_KM,"Máy thi công (623)",L_TT,"Trực tiếp",L_Ngay,"&gt;="&amp;pTu,L_Ngay,"&lt;="&amp;pDen))</f>
        <v/>
      </c>
      <c r="H26" s="82">
        <f>IF($A26="","",SUMIFS(L_ST,L_Ma,$A26,L_KM,"SXC (627)",L_TT,"Trực tiếp",L_Tinh,"Biến đổi",L_Ngay,"&gt;="&amp;pTu,L_Ngay,"&lt;="&amp;pDen))</f>
        <v/>
      </c>
      <c r="I26" s="82">
        <f>IF($A26="","",SUMIFS(L_ST,L_Ma,$A26,L_KM,"SXC (627)",L_TT,"Trực tiếp",L_Tinh,"Cố định",L_Ngay,"&gt;="&amp;pTu,L_Ngay,"&lt;="&amp;pDen))</f>
        <v/>
      </c>
      <c r="J26" s="82">
        <f>IF($A26="","",CHOOSE(MATCH(pTieuThuc,LST_TieuThuc,0),$E26,$F26,INDEX(DM_GioMay,13),INDEX(DM_GioCong,13),INDEX(DM_SLHT,13),INDEX(DM_DThu,13),INDEX(DM_TieuKhac,13)))</f>
        <v/>
      </c>
      <c r="K26" s="82">
        <f>IF($A26="","",IF(tBase=0,0,$J26/tBase*pool621))</f>
        <v/>
      </c>
      <c r="L26" s="82">
        <f>IF($A26="","",IF(tBase=0,0,$J26/tBase*pool622))</f>
        <v/>
      </c>
      <c r="M26" s="82">
        <f>IF($A26="","",IF(tBase=0,0,$J26/tBase*pool623))</f>
        <v/>
      </c>
      <c r="N26" s="82">
        <f>IF($A26="","",IF(tBase=0,0,$J26/tBase*pool627BD))</f>
        <v/>
      </c>
      <c r="O26" s="82">
        <f>IF($A26="","",IF(tBase=0,0,$J26/tBase*t627CDabs))</f>
        <v/>
      </c>
      <c r="P26" s="82">
        <f>IF($A26="","",$E26+$K26)</f>
        <v/>
      </c>
      <c r="Q26" s="82">
        <f>IF($A26="","",$F26+$L26)</f>
        <v/>
      </c>
      <c r="R26" s="82">
        <f>IF($A26="","",$G26+$M26)</f>
        <v/>
      </c>
      <c r="S26" s="82">
        <f>IF($A26="","",$H26+$N26)</f>
        <v/>
      </c>
      <c r="T26" s="82">
        <f>IF($A26="","",$I26+$O26)</f>
        <v/>
      </c>
      <c r="U26" s="82">
        <f>IF($A26="","",$S26+$T26)</f>
        <v/>
      </c>
      <c r="V26" s="82">
        <f>IF($A26="","",INDEX(DM_DDK621,13)+INDEX(DM_DDK622,13)+INDEX(DM_DDK623,13)+INDEX(DM_DDK627,13))</f>
        <v/>
      </c>
      <c r="W26" s="82">
        <f>IF($A26="","",SUMIFS(L_ST,L_Ma,$A26,L_KM,"Phế liệu thu hồi",L_Ngay,"&gt;="&amp;pTu,L_Ngay,"&lt;="&amp;pDen))</f>
        <v/>
      </c>
      <c r="X26" s="82">
        <f>IF($A26="","",SUMIFS(L_ST,L_Ma,$A26,L_KM,"SP hỏng ngoài định mức",L_Ngay,"&gt;="&amp;pTu,L_Ngay,"&lt;="&amp;pDen))</f>
        <v/>
      </c>
      <c r="Y26" s="82">
        <f>IF($A26="","",$P26+$Q26+$R26+$U26)</f>
        <v/>
      </c>
      <c r="Z26" s="82">
        <f>IF($A26="","",IF($D26="Đang thực hiện",$V26+$Y26,CHOOSE(MATCH(pDoDang,LST_DoDang,0),$AE26,$AF26,$AG26)))</f>
        <v/>
      </c>
      <c r="AA26" s="82">
        <f>IF($A26="","",$V26+$Y26-$Z26-$W26-$X26)</f>
        <v/>
      </c>
      <c r="AB26" s="82">
        <f>IF($A26="","",INDEX(DM_SLHT,13))</f>
        <v/>
      </c>
      <c r="AC26" s="82">
        <f>IF($A26="","",IF($AB26&lt;=0,"⚠ CHƯA CÓ SL",ROUND($AA26/$AB26,0)))</f>
        <v/>
      </c>
      <c r="AE26" s="88">
        <f>IF($A26="","",IFERROR((INDEX(DM_DDK621,13)+$P26)/($AB26+INDEX(DM_SLDD,13))*INDEX(DM_SLDD,13),0))</f>
        <v/>
      </c>
      <c r="AF26" s="88">
        <f>IF($A26="","",IFERROR((INDEX(DM_DDK621,13)+$P26)/($AB26+INDEX(DM_SLDD,13))*INDEX(DM_SLDD,13),0)+IFERROR((INDEX(DM_DDK622,13)+$Q26)/($AB26+INDEX(DM_SLDD,13)*INDEX(DM_Pct,13))*(INDEX(DM_SLDD,13)*INDEX(DM_Pct,13)),0)+IFERROR((INDEX(DM_DDK623,13)+$R26)/($AB26+INDEX(DM_SLDD,13)*INDEX(DM_Pct,13))*(INDEX(DM_SLDD,13)*INDEX(DM_Pct,13)),0)+IFERROR((INDEX(DM_DDK627,13)+$U26)/($AB26+INDEX(DM_SLDD,13)*INDEX(DM_Pct,13))*(INDEX(DM_SLDD,13)*INDEX(DM_Pct,13)),0))</f>
        <v/>
      </c>
      <c r="AG26" s="88">
        <f>IF($A26="","",INDEX(DM_SLDD,13)*INDEX(DM_DGDinhMuc,13))</f>
        <v/>
      </c>
      <c r="AH26" s="88">
        <f>IF($A26="",0,IF(AND(ISNUMBER($AA26),$AA26&gt;0,$AB26&lt;=0),1,0))</f>
        <v/>
      </c>
      <c r="AI26" s="88">
        <f>IF($A26="",0,IF(AND(ISNUMBER($Z26),$Z26&lt;0),1,0))</f>
        <v/>
      </c>
      <c r="AJ26" s="88">
        <f>IF($A26="",0,IF(AND(ISNUMBER($AA26),$AA26&lt;0),1,0))</f>
        <v/>
      </c>
    </row>
    <row r="27" ht="15" customHeight="1" s="54">
      <c r="A27" s="80">
        <f>IF(INDEX(DM_Ma,14)="","",INDEX(DM_Ma,14))</f>
        <v/>
      </c>
      <c r="B27" s="80">
        <f>IF($A27="","",INDEX(DM_Ten,14))</f>
        <v/>
      </c>
      <c r="C27" s="80">
        <f>IF($A27="","",INDEX(DM_Loai,14))</f>
        <v/>
      </c>
      <c r="D27" s="80">
        <f>IF($A27="","",INDEX(DM_TrangThai,14))</f>
        <v/>
      </c>
      <c r="E27" s="82">
        <f>IF($A27="","",SUMIFS(L_ST,L_Ma,$A27,L_KM,"NVL trực tiếp (621)",L_TT,"Trực tiếp",L_Ngay,"&gt;="&amp;pTu,L_Ngay,"&lt;="&amp;pDen))</f>
        <v/>
      </c>
      <c r="F27" s="82">
        <f>IF($A27="","",SUMIFS(L_ST,L_Ma,$A27,L_KM,"Nhân công trực tiếp (622)",L_TT,"Trực tiếp",L_Ngay,"&gt;="&amp;pTu,L_Ngay,"&lt;="&amp;pDen))</f>
        <v/>
      </c>
      <c r="G27" s="82">
        <f>IF($A27="","",SUMIFS(L_ST,L_Ma,$A27,L_KM,"Máy thi công (623)",L_TT,"Trực tiếp",L_Ngay,"&gt;="&amp;pTu,L_Ngay,"&lt;="&amp;pDen))</f>
        <v/>
      </c>
      <c r="H27" s="82">
        <f>IF($A27="","",SUMIFS(L_ST,L_Ma,$A27,L_KM,"SXC (627)",L_TT,"Trực tiếp",L_Tinh,"Biến đổi",L_Ngay,"&gt;="&amp;pTu,L_Ngay,"&lt;="&amp;pDen))</f>
        <v/>
      </c>
      <c r="I27" s="82">
        <f>IF($A27="","",SUMIFS(L_ST,L_Ma,$A27,L_KM,"SXC (627)",L_TT,"Trực tiếp",L_Tinh,"Cố định",L_Ngay,"&gt;="&amp;pTu,L_Ngay,"&lt;="&amp;pDen))</f>
        <v/>
      </c>
      <c r="J27" s="82">
        <f>IF($A27="","",CHOOSE(MATCH(pTieuThuc,LST_TieuThuc,0),$E27,$F27,INDEX(DM_GioMay,14),INDEX(DM_GioCong,14),INDEX(DM_SLHT,14),INDEX(DM_DThu,14),INDEX(DM_TieuKhac,14)))</f>
        <v/>
      </c>
      <c r="K27" s="82">
        <f>IF($A27="","",IF(tBase=0,0,$J27/tBase*pool621))</f>
        <v/>
      </c>
      <c r="L27" s="82">
        <f>IF($A27="","",IF(tBase=0,0,$J27/tBase*pool622))</f>
        <v/>
      </c>
      <c r="M27" s="82">
        <f>IF($A27="","",IF(tBase=0,0,$J27/tBase*pool623))</f>
        <v/>
      </c>
      <c r="N27" s="82">
        <f>IF($A27="","",IF(tBase=0,0,$J27/tBase*pool627BD))</f>
        <v/>
      </c>
      <c r="O27" s="82">
        <f>IF($A27="","",IF(tBase=0,0,$J27/tBase*t627CDabs))</f>
        <v/>
      </c>
      <c r="P27" s="82">
        <f>IF($A27="","",$E27+$K27)</f>
        <v/>
      </c>
      <c r="Q27" s="82">
        <f>IF($A27="","",$F27+$L27)</f>
        <v/>
      </c>
      <c r="R27" s="82">
        <f>IF($A27="","",$G27+$M27)</f>
        <v/>
      </c>
      <c r="S27" s="82">
        <f>IF($A27="","",$H27+$N27)</f>
        <v/>
      </c>
      <c r="T27" s="82">
        <f>IF($A27="","",$I27+$O27)</f>
        <v/>
      </c>
      <c r="U27" s="82">
        <f>IF($A27="","",$S27+$T27)</f>
        <v/>
      </c>
      <c r="V27" s="82">
        <f>IF($A27="","",INDEX(DM_DDK621,14)+INDEX(DM_DDK622,14)+INDEX(DM_DDK623,14)+INDEX(DM_DDK627,14))</f>
        <v/>
      </c>
      <c r="W27" s="82">
        <f>IF($A27="","",SUMIFS(L_ST,L_Ma,$A27,L_KM,"Phế liệu thu hồi",L_Ngay,"&gt;="&amp;pTu,L_Ngay,"&lt;="&amp;pDen))</f>
        <v/>
      </c>
      <c r="X27" s="82">
        <f>IF($A27="","",SUMIFS(L_ST,L_Ma,$A27,L_KM,"SP hỏng ngoài định mức",L_Ngay,"&gt;="&amp;pTu,L_Ngay,"&lt;="&amp;pDen))</f>
        <v/>
      </c>
      <c r="Y27" s="82">
        <f>IF($A27="","",$P27+$Q27+$R27+$U27)</f>
        <v/>
      </c>
      <c r="Z27" s="82">
        <f>IF($A27="","",IF($D27="Đang thực hiện",$V27+$Y27,CHOOSE(MATCH(pDoDang,LST_DoDang,0),$AE27,$AF27,$AG27)))</f>
        <v/>
      </c>
      <c r="AA27" s="82">
        <f>IF($A27="","",$V27+$Y27-$Z27-$W27-$X27)</f>
        <v/>
      </c>
      <c r="AB27" s="82">
        <f>IF($A27="","",INDEX(DM_SLHT,14))</f>
        <v/>
      </c>
      <c r="AC27" s="82">
        <f>IF($A27="","",IF($AB27&lt;=0,"⚠ CHƯA CÓ SL",ROUND($AA27/$AB27,0)))</f>
        <v/>
      </c>
      <c r="AE27" s="88">
        <f>IF($A27="","",IFERROR((INDEX(DM_DDK621,14)+$P27)/($AB27+INDEX(DM_SLDD,14))*INDEX(DM_SLDD,14),0))</f>
        <v/>
      </c>
      <c r="AF27" s="88">
        <f>IF($A27="","",IFERROR((INDEX(DM_DDK621,14)+$P27)/($AB27+INDEX(DM_SLDD,14))*INDEX(DM_SLDD,14),0)+IFERROR((INDEX(DM_DDK622,14)+$Q27)/($AB27+INDEX(DM_SLDD,14)*INDEX(DM_Pct,14))*(INDEX(DM_SLDD,14)*INDEX(DM_Pct,14)),0)+IFERROR((INDEX(DM_DDK623,14)+$R27)/($AB27+INDEX(DM_SLDD,14)*INDEX(DM_Pct,14))*(INDEX(DM_SLDD,14)*INDEX(DM_Pct,14)),0)+IFERROR((INDEX(DM_DDK627,14)+$U27)/($AB27+INDEX(DM_SLDD,14)*INDEX(DM_Pct,14))*(INDEX(DM_SLDD,14)*INDEX(DM_Pct,14)),0))</f>
        <v/>
      </c>
      <c r="AG27" s="88">
        <f>IF($A27="","",INDEX(DM_SLDD,14)*INDEX(DM_DGDinhMuc,14))</f>
        <v/>
      </c>
      <c r="AH27" s="88">
        <f>IF($A27="",0,IF(AND(ISNUMBER($AA27),$AA27&gt;0,$AB27&lt;=0),1,0))</f>
        <v/>
      </c>
      <c r="AI27" s="88">
        <f>IF($A27="",0,IF(AND(ISNUMBER($Z27),$Z27&lt;0),1,0))</f>
        <v/>
      </c>
      <c r="AJ27" s="88">
        <f>IF($A27="",0,IF(AND(ISNUMBER($AA27),$AA27&lt;0),1,0))</f>
        <v/>
      </c>
    </row>
    <row r="28" ht="15" customHeight="1" s="54">
      <c r="A28" s="80">
        <f>IF(INDEX(DM_Ma,15)="","",INDEX(DM_Ma,15))</f>
        <v/>
      </c>
      <c r="B28" s="80">
        <f>IF($A28="","",INDEX(DM_Ten,15))</f>
        <v/>
      </c>
      <c r="C28" s="80">
        <f>IF($A28="","",INDEX(DM_Loai,15))</f>
        <v/>
      </c>
      <c r="D28" s="80">
        <f>IF($A28="","",INDEX(DM_TrangThai,15))</f>
        <v/>
      </c>
      <c r="E28" s="82">
        <f>IF($A28="","",SUMIFS(L_ST,L_Ma,$A28,L_KM,"NVL trực tiếp (621)",L_TT,"Trực tiếp",L_Ngay,"&gt;="&amp;pTu,L_Ngay,"&lt;="&amp;pDen))</f>
        <v/>
      </c>
      <c r="F28" s="82">
        <f>IF($A28="","",SUMIFS(L_ST,L_Ma,$A28,L_KM,"Nhân công trực tiếp (622)",L_TT,"Trực tiếp",L_Ngay,"&gt;="&amp;pTu,L_Ngay,"&lt;="&amp;pDen))</f>
        <v/>
      </c>
      <c r="G28" s="82">
        <f>IF($A28="","",SUMIFS(L_ST,L_Ma,$A28,L_KM,"Máy thi công (623)",L_TT,"Trực tiếp",L_Ngay,"&gt;="&amp;pTu,L_Ngay,"&lt;="&amp;pDen))</f>
        <v/>
      </c>
      <c r="H28" s="82">
        <f>IF($A28="","",SUMIFS(L_ST,L_Ma,$A28,L_KM,"SXC (627)",L_TT,"Trực tiếp",L_Tinh,"Biến đổi",L_Ngay,"&gt;="&amp;pTu,L_Ngay,"&lt;="&amp;pDen))</f>
        <v/>
      </c>
      <c r="I28" s="82">
        <f>IF($A28="","",SUMIFS(L_ST,L_Ma,$A28,L_KM,"SXC (627)",L_TT,"Trực tiếp",L_Tinh,"Cố định",L_Ngay,"&gt;="&amp;pTu,L_Ngay,"&lt;="&amp;pDen))</f>
        <v/>
      </c>
      <c r="J28" s="82">
        <f>IF($A28="","",CHOOSE(MATCH(pTieuThuc,LST_TieuThuc,0),$E28,$F28,INDEX(DM_GioMay,15),INDEX(DM_GioCong,15),INDEX(DM_SLHT,15),INDEX(DM_DThu,15),INDEX(DM_TieuKhac,15)))</f>
        <v/>
      </c>
      <c r="K28" s="82">
        <f>IF($A28="","",IF(tBase=0,0,$J28/tBase*pool621))</f>
        <v/>
      </c>
      <c r="L28" s="82">
        <f>IF($A28="","",IF(tBase=0,0,$J28/tBase*pool622))</f>
        <v/>
      </c>
      <c r="M28" s="82">
        <f>IF($A28="","",IF(tBase=0,0,$J28/tBase*pool623))</f>
        <v/>
      </c>
      <c r="N28" s="82">
        <f>IF($A28="","",IF(tBase=0,0,$J28/tBase*pool627BD))</f>
        <v/>
      </c>
      <c r="O28" s="82">
        <f>IF($A28="","",IF(tBase=0,0,$J28/tBase*t627CDabs))</f>
        <v/>
      </c>
      <c r="P28" s="82">
        <f>IF($A28="","",$E28+$K28)</f>
        <v/>
      </c>
      <c r="Q28" s="82">
        <f>IF($A28="","",$F28+$L28)</f>
        <v/>
      </c>
      <c r="R28" s="82">
        <f>IF($A28="","",$G28+$M28)</f>
        <v/>
      </c>
      <c r="S28" s="82">
        <f>IF($A28="","",$H28+$N28)</f>
        <v/>
      </c>
      <c r="T28" s="82">
        <f>IF($A28="","",$I28+$O28)</f>
        <v/>
      </c>
      <c r="U28" s="82">
        <f>IF($A28="","",$S28+$T28)</f>
        <v/>
      </c>
      <c r="V28" s="82">
        <f>IF($A28="","",INDEX(DM_DDK621,15)+INDEX(DM_DDK622,15)+INDEX(DM_DDK623,15)+INDEX(DM_DDK627,15))</f>
        <v/>
      </c>
      <c r="W28" s="82">
        <f>IF($A28="","",SUMIFS(L_ST,L_Ma,$A28,L_KM,"Phế liệu thu hồi",L_Ngay,"&gt;="&amp;pTu,L_Ngay,"&lt;="&amp;pDen))</f>
        <v/>
      </c>
      <c r="X28" s="82">
        <f>IF($A28="","",SUMIFS(L_ST,L_Ma,$A28,L_KM,"SP hỏng ngoài định mức",L_Ngay,"&gt;="&amp;pTu,L_Ngay,"&lt;="&amp;pDen))</f>
        <v/>
      </c>
      <c r="Y28" s="82">
        <f>IF($A28="","",$P28+$Q28+$R28+$U28)</f>
        <v/>
      </c>
      <c r="Z28" s="82">
        <f>IF($A28="","",IF($D28="Đang thực hiện",$V28+$Y28,CHOOSE(MATCH(pDoDang,LST_DoDang,0),$AE28,$AF28,$AG28)))</f>
        <v/>
      </c>
      <c r="AA28" s="82">
        <f>IF($A28="","",$V28+$Y28-$Z28-$W28-$X28)</f>
        <v/>
      </c>
      <c r="AB28" s="82">
        <f>IF($A28="","",INDEX(DM_SLHT,15))</f>
        <v/>
      </c>
      <c r="AC28" s="82">
        <f>IF($A28="","",IF($AB28&lt;=0,"⚠ CHƯA CÓ SL",ROUND($AA28/$AB28,0)))</f>
        <v/>
      </c>
      <c r="AE28" s="88">
        <f>IF($A28="","",IFERROR((INDEX(DM_DDK621,15)+$P28)/($AB28+INDEX(DM_SLDD,15))*INDEX(DM_SLDD,15),0))</f>
        <v/>
      </c>
      <c r="AF28" s="88">
        <f>IF($A28="","",IFERROR((INDEX(DM_DDK621,15)+$P28)/($AB28+INDEX(DM_SLDD,15))*INDEX(DM_SLDD,15),0)+IFERROR((INDEX(DM_DDK622,15)+$Q28)/($AB28+INDEX(DM_SLDD,15)*INDEX(DM_Pct,15))*(INDEX(DM_SLDD,15)*INDEX(DM_Pct,15)),0)+IFERROR((INDEX(DM_DDK623,15)+$R28)/($AB28+INDEX(DM_SLDD,15)*INDEX(DM_Pct,15))*(INDEX(DM_SLDD,15)*INDEX(DM_Pct,15)),0)+IFERROR((INDEX(DM_DDK627,15)+$U28)/($AB28+INDEX(DM_SLDD,15)*INDEX(DM_Pct,15))*(INDEX(DM_SLDD,15)*INDEX(DM_Pct,15)),0))</f>
        <v/>
      </c>
      <c r="AG28" s="88">
        <f>IF($A28="","",INDEX(DM_SLDD,15)*INDEX(DM_DGDinhMuc,15))</f>
        <v/>
      </c>
      <c r="AH28" s="88">
        <f>IF($A28="",0,IF(AND(ISNUMBER($AA28),$AA28&gt;0,$AB28&lt;=0),1,0))</f>
        <v/>
      </c>
      <c r="AI28" s="88">
        <f>IF($A28="",0,IF(AND(ISNUMBER($Z28),$Z28&lt;0),1,0))</f>
        <v/>
      </c>
      <c r="AJ28" s="88">
        <f>IF($A28="",0,IF(AND(ISNUMBER($AA28),$AA28&lt;0),1,0))</f>
        <v/>
      </c>
    </row>
    <row r="29" ht="15" customHeight="1" s="54">
      <c r="A29" s="80">
        <f>IF(INDEX(DM_Ma,16)="","",INDEX(DM_Ma,16))</f>
        <v/>
      </c>
      <c r="B29" s="80">
        <f>IF($A29="","",INDEX(DM_Ten,16))</f>
        <v/>
      </c>
      <c r="C29" s="80">
        <f>IF($A29="","",INDEX(DM_Loai,16))</f>
        <v/>
      </c>
      <c r="D29" s="80">
        <f>IF($A29="","",INDEX(DM_TrangThai,16))</f>
        <v/>
      </c>
      <c r="E29" s="82">
        <f>IF($A29="","",SUMIFS(L_ST,L_Ma,$A29,L_KM,"NVL trực tiếp (621)",L_TT,"Trực tiếp",L_Ngay,"&gt;="&amp;pTu,L_Ngay,"&lt;="&amp;pDen))</f>
        <v/>
      </c>
      <c r="F29" s="82">
        <f>IF($A29="","",SUMIFS(L_ST,L_Ma,$A29,L_KM,"Nhân công trực tiếp (622)",L_TT,"Trực tiếp",L_Ngay,"&gt;="&amp;pTu,L_Ngay,"&lt;="&amp;pDen))</f>
        <v/>
      </c>
      <c r="G29" s="82">
        <f>IF($A29="","",SUMIFS(L_ST,L_Ma,$A29,L_KM,"Máy thi công (623)",L_TT,"Trực tiếp",L_Ngay,"&gt;="&amp;pTu,L_Ngay,"&lt;="&amp;pDen))</f>
        <v/>
      </c>
      <c r="H29" s="82">
        <f>IF($A29="","",SUMIFS(L_ST,L_Ma,$A29,L_KM,"SXC (627)",L_TT,"Trực tiếp",L_Tinh,"Biến đổi",L_Ngay,"&gt;="&amp;pTu,L_Ngay,"&lt;="&amp;pDen))</f>
        <v/>
      </c>
      <c r="I29" s="82">
        <f>IF($A29="","",SUMIFS(L_ST,L_Ma,$A29,L_KM,"SXC (627)",L_TT,"Trực tiếp",L_Tinh,"Cố định",L_Ngay,"&gt;="&amp;pTu,L_Ngay,"&lt;="&amp;pDen))</f>
        <v/>
      </c>
      <c r="J29" s="82">
        <f>IF($A29="","",CHOOSE(MATCH(pTieuThuc,LST_TieuThuc,0),$E29,$F29,INDEX(DM_GioMay,16),INDEX(DM_GioCong,16),INDEX(DM_SLHT,16),INDEX(DM_DThu,16),INDEX(DM_TieuKhac,16)))</f>
        <v/>
      </c>
      <c r="K29" s="82">
        <f>IF($A29="","",IF(tBase=0,0,$J29/tBase*pool621))</f>
        <v/>
      </c>
      <c r="L29" s="82">
        <f>IF($A29="","",IF(tBase=0,0,$J29/tBase*pool622))</f>
        <v/>
      </c>
      <c r="M29" s="82">
        <f>IF($A29="","",IF(tBase=0,0,$J29/tBase*pool623))</f>
        <v/>
      </c>
      <c r="N29" s="82">
        <f>IF($A29="","",IF(tBase=0,0,$J29/tBase*pool627BD))</f>
        <v/>
      </c>
      <c r="O29" s="82">
        <f>IF($A29="","",IF(tBase=0,0,$J29/tBase*t627CDabs))</f>
        <v/>
      </c>
      <c r="P29" s="82">
        <f>IF($A29="","",$E29+$K29)</f>
        <v/>
      </c>
      <c r="Q29" s="82">
        <f>IF($A29="","",$F29+$L29)</f>
        <v/>
      </c>
      <c r="R29" s="82">
        <f>IF($A29="","",$G29+$M29)</f>
        <v/>
      </c>
      <c r="S29" s="82">
        <f>IF($A29="","",$H29+$N29)</f>
        <v/>
      </c>
      <c r="T29" s="82">
        <f>IF($A29="","",$I29+$O29)</f>
        <v/>
      </c>
      <c r="U29" s="82">
        <f>IF($A29="","",$S29+$T29)</f>
        <v/>
      </c>
      <c r="V29" s="82">
        <f>IF($A29="","",INDEX(DM_DDK621,16)+INDEX(DM_DDK622,16)+INDEX(DM_DDK623,16)+INDEX(DM_DDK627,16))</f>
        <v/>
      </c>
      <c r="W29" s="82">
        <f>IF($A29="","",SUMIFS(L_ST,L_Ma,$A29,L_KM,"Phế liệu thu hồi",L_Ngay,"&gt;="&amp;pTu,L_Ngay,"&lt;="&amp;pDen))</f>
        <v/>
      </c>
      <c r="X29" s="82">
        <f>IF($A29="","",SUMIFS(L_ST,L_Ma,$A29,L_KM,"SP hỏng ngoài định mức",L_Ngay,"&gt;="&amp;pTu,L_Ngay,"&lt;="&amp;pDen))</f>
        <v/>
      </c>
      <c r="Y29" s="82">
        <f>IF($A29="","",$P29+$Q29+$R29+$U29)</f>
        <v/>
      </c>
      <c r="Z29" s="82">
        <f>IF($A29="","",IF($D29="Đang thực hiện",$V29+$Y29,CHOOSE(MATCH(pDoDang,LST_DoDang,0),$AE29,$AF29,$AG29)))</f>
        <v/>
      </c>
      <c r="AA29" s="82">
        <f>IF($A29="","",$V29+$Y29-$Z29-$W29-$X29)</f>
        <v/>
      </c>
      <c r="AB29" s="82">
        <f>IF($A29="","",INDEX(DM_SLHT,16))</f>
        <v/>
      </c>
      <c r="AC29" s="82">
        <f>IF($A29="","",IF($AB29&lt;=0,"⚠ CHƯA CÓ SL",ROUND($AA29/$AB29,0)))</f>
        <v/>
      </c>
      <c r="AE29" s="88">
        <f>IF($A29="","",IFERROR((INDEX(DM_DDK621,16)+$P29)/($AB29+INDEX(DM_SLDD,16))*INDEX(DM_SLDD,16),0))</f>
        <v/>
      </c>
      <c r="AF29" s="88">
        <f>IF($A29="","",IFERROR((INDEX(DM_DDK621,16)+$P29)/($AB29+INDEX(DM_SLDD,16))*INDEX(DM_SLDD,16),0)+IFERROR((INDEX(DM_DDK622,16)+$Q29)/($AB29+INDEX(DM_SLDD,16)*INDEX(DM_Pct,16))*(INDEX(DM_SLDD,16)*INDEX(DM_Pct,16)),0)+IFERROR((INDEX(DM_DDK623,16)+$R29)/($AB29+INDEX(DM_SLDD,16)*INDEX(DM_Pct,16))*(INDEX(DM_SLDD,16)*INDEX(DM_Pct,16)),0)+IFERROR((INDEX(DM_DDK627,16)+$U29)/($AB29+INDEX(DM_SLDD,16)*INDEX(DM_Pct,16))*(INDEX(DM_SLDD,16)*INDEX(DM_Pct,16)),0))</f>
        <v/>
      </c>
      <c r="AG29" s="88">
        <f>IF($A29="","",INDEX(DM_SLDD,16)*INDEX(DM_DGDinhMuc,16))</f>
        <v/>
      </c>
      <c r="AH29" s="88">
        <f>IF($A29="",0,IF(AND(ISNUMBER($AA29),$AA29&gt;0,$AB29&lt;=0),1,0))</f>
        <v/>
      </c>
      <c r="AI29" s="88">
        <f>IF($A29="",0,IF(AND(ISNUMBER($Z29),$Z29&lt;0),1,0))</f>
        <v/>
      </c>
      <c r="AJ29" s="88">
        <f>IF($A29="",0,IF(AND(ISNUMBER($AA29),$AA29&lt;0),1,0))</f>
        <v/>
      </c>
    </row>
    <row r="30" ht="15" customHeight="1" s="54">
      <c r="A30" s="80">
        <f>IF(INDEX(DM_Ma,17)="","",INDEX(DM_Ma,17))</f>
        <v/>
      </c>
      <c r="B30" s="80">
        <f>IF($A30="","",INDEX(DM_Ten,17))</f>
        <v/>
      </c>
      <c r="C30" s="80">
        <f>IF($A30="","",INDEX(DM_Loai,17))</f>
        <v/>
      </c>
      <c r="D30" s="80">
        <f>IF($A30="","",INDEX(DM_TrangThai,17))</f>
        <v/>
      </c>
      <c r="E30" s="82">
        <f>IF($A30="","",SUMIFS(L_ST,L_Ma,$A30,L_KM,"NVL trực tiếp (621)",L_TT,"Trực tiếp",L_Ngay,"&gt;="&amp;pTu,L_Ngay,"&lt;="&amp;pDen))</f>
        <v/>
      </c>
      <c r="F30" s="82">
        <f>IF($A30="","",SUMIFS(L_ST,L_Ma,$A30,L_KM,"Nhân công trực tiếp (622)",L_TT,"Trực tiếp",L_Ngay,"&gt;="&amp;pTu,L_Ngay,"&lt;="&amp;pDen))</f>
        <v/>
      </c>
      <c r="G30" s="82">
        <f>IF($A30="","",SUMIFS(L_ST,L_Ma,$A30,L_KM,"Máy thi công (623)",L_TT,"Trực tiếp",L_Ngay,"&gt;="&amp;pTu,L_Ngay,"&lt;="&amp;pDen))</f>
        <v/>
      </c>
      <c r="H30" s="82">
        <f>IF($A30="","",SUMIFS(L_ST,L_Ma,$A30,L_KM,"SXC (627)",L_TT,"Trực tiếp",L_Tinh,"Biến đổi",L_Ngay,"&gt;="&amp;pTu,L_Ngay,"&lt;="&amp;pDen))</f>
        <v/>
      </c>
      <c r="I30" s="82">
        <f>IF($A30="","",SUMIFS(L_ST,L_Ma,$A30,L_KM,"SXC (627)",L_TT,"Trực tiếp",L_Tinh,"Cố định",L_Ngay,"&gt;="&amp;pTu,L_Ngay,"&lt;="&amp;pDen))</f>
        <v/>
      </c>
      <c r="J30" s="82">
        <f>IF($A30="","",CHOOSE(MATCH(pTieuThuc,LST_TieuThuc,0),$E30,$F30,INDEX(DM_GioMay,17),INDEX(DM_GioCong,17),INDEX(DM_SLHT,17),INDEX(DM_DThu,17),INDEX(DM_TieuKhac,17)))</f>
        <v/>
      </c>
      <c r="K30" s="82">
        <f>IF($A30="","",IF(tBase=0,0,$J30/tBase*pool621))</f>
        <v/>
      </c>
      <c r="L30" s="82">
        <f>IF($A30="","",IF(tBase=0,0,$J30/tBase*pool622))</f>
        <v/>
      </c>
      <c r="M30" s="82">
        <f>IF($A30="","",IF(tBase=0,0,$J30/tBase*pool623))</f>
        <v/>
      </c>
      <c r="N30" s="82">
        <f>IF($A30="","",IF(tBase=0,0,$J30/tBase*pool627BD))</f>
        <v/>
      </c>
      <c r="O30" s="82">
        <f>IF($A30="","",IF(tBase=0,0,$J30/tBase*t627CDabs))</f>
        <v/>
      </c>
      <c r="P30" s="82">
        <f>IF($A30="","",$E30+$K30)</f>
        <v/>
      </c>
      <c r="Q30" s="82">
        <f>IF($A30="","",$F30+$L30)</f>
        <v/>
      </c>
      <c r="R30" s="82">
        <f>IF($A30="","",$G30+$M30)</f>
        <v/>
      </c>
      <c r="S30" s="82">
        <f>IF($A30="","",$H30+$N30)</f>
        <v/>
      </c>
      <c r="T30" s="82">
        <f>IF($A30="","",$I30+$O30)</f>
        <v/>
      </c>
      <c r="U30" s="82">
        <f>IF($A30="","",$S30+$T30)</f>
        <v/>
      </c>
      <c r="V30" s="82">
        <f>IF($A30="","",INDEX(DM_DDK621,17)+INDEX(DM_DDK622,17)+INDEX(DM_DDK623,17)+INDEX(DM_DDK627,17))</f>
        <v/>
      </c>
      <c r="W30" s="82">
        <f>IF($A30="","",SUMIFS(L_ST,L_Ma,$A30,L_KM,"Phế liệu thu hồi",L_Ngay,"&gt;="&amp;pTu,L_Ngay,"&lt;="&amp;pDen))</f>
        <v/>
      </c>
      <c r="X30" s="82">
        <f>IF($A30="","",SUMIFS(L_ST,L_Ma,$A30,L_KM,"SP hỏng ngoài định mức",L_Ngay,"&gt;="&amp;pTu,L_Ngay,"&lt;="&amp;pDen))</f>
        <v/>
      </c>
      <c r="Y30" s="82">
        <f>IF($A30="","",$P30+$Q30+$R30+$U30)</f>
        <v/>
      </c>
      <c r="Z30" s="82">
        <f>IF($A30="","",IF($D30="Đang thực hiện",$V30+$Y30,CHOOSE(MATCH(pDoDang,LST_DoDang,0),$AE30,$AF30,$AG30)))</f>
        <v/>
      </c>
      <c r="AA30" s="82">
        <f>IF($A30="","",$V30+$Y30-$Z30-$W30-$X30)</f>
        <v/>
      </c>
      <c r="AB30" s="82">
        <f>IF($A30="","",INDEX(DM_SLHT,17))</f>
        <v/>
      </c>
      <c r="AC30" s="82">
        <f>IF($A30="","",IF($AB30&lt;=0,"⚠ CHƯA CÓ SL",ROUND($AA30/$AB30,0)))</f>
        <v/>
      </c>
      <c r="AE30" s="88">
        <f>IF($A30="","",IFERROR((INDEX(DM_DDK621,17)+$P30)/($AB30+INDEX(DM_SLDD,17))*INDEX(DM_SLDD,17),0))</f>
        <v/>
      </c>
      <c r="AF30" s="88">
        <f>IF($A30="","",IFERROR((INDEX(DM_DDK621,17)+$P30)/($AB30+INDEX(DM_SLDD,17))*INDEX(DM_SLDD,17),0)+IFERROR((INDEX(DM_DDK622,17)+$Q30)/($AB30+INDEX(DM_SLDD,17)*INDEX(DM_Pct,17))*(INDEX(DM_SLDD,17)*INDEX(DM_Pct,17)),0)+IFERROR((INDEX(DM_DDK623,17)+$R30)/($AB30+INDEX(DM_SLDD,17)*INDEX(DM_Pct,17))*(INDEX(DM_SLDD,17)*INDEX(DM_Pct,17)),0)+IFERROR((INDEX(DM_DDK627,17)+$U30)/($AB30+INDEX(DM_SLDD,17)*INDEX(DM_Pct,17))*(INDEX(DM_SLDD,17)*INDEX(DM_Pct,17)),0))</f>
        <v/>
      </c>
      <c r="AG30" s="88">
        <f>IF($A30="","",INDEX(DM_SLDD,17)*INDEX(DM_DGDinhMuc,17))</f>
        <v/>
      </c>
      <c r="AH30" s="88">
        <f>IF($A30="",0,IF(AND(ISNUMBER($AA30),$AA30&gt;0,$AB30&lt;=0),1,0))</f>
        <v/>
      </c>
      <c r="AI30" s="88">
        <f>IF($A30="",0,IF(AND(ISNUMBER($Z30),$Z30&lt;0),1,0))</f>
        <v/>
      </c>
      <c r="AJ30" s="88">
        <f>IF($A30="",0,IF(AND(ISNUMBER($AA30),$AA30&lt;0),1,0))</f>
        <v/>
      </c>
    </row>
    <row r="31" ht="15" customHeight="1" s="54">
      <c r="A31" s="80">
        <f>IF(INDEX(DM_Ma,18)="","",INDEX(DM_Ma,18))</f>
        <v/>
      </c>
      <c r="B31" s="80">
        <f>IF($A31="","",INDEX(DM_Ten,18))</f>
        <v/>
      </c>
      <c r="C31" s="80">
        <f>IF($A31="","",INDEX(DM_Loai,18))</f>
        <v/>
      </c>
      <c r="D31" s="80">
        <f>IF($A31="","",INDEX(DM_TrangThai,18))</f>
        <v/>
      </c>
      <c r="E31" s="82">
        <f>IF($A31="","",SUMIFS(L_ST,L_Ma,$A31,L_KM,"NVL trực tiếp (621)",L_TT,"Trực tiếp",L_Ngay,"&gt;="&amp;pTu,L_Ngay,"&lt;="&amp;pDen))</f>
        <v/>
      </c>
      <c r="F31" s="82">
        <f>IF($A31="","",SUMIFS(L_ST,L_Ma,$A31,L_KM,"Nhân công trực tiếp (622)",L_TT,"Trực tiếp",L_Ngay,"&gt;="&amp;pTu,L_Ngay,"&lt;="&amp;pDen))</f>
        <v/>
      </c>
      <c r="G31" s="82">
        <f>IF($A31="","",SUMIFS(L_ST,L_Ma,$A31,L_KM,"Máy thi công (623)",L_TT,"Trực tiếp",L_Ngay,"&gt;="&amp;pTu,L_Ngay,"&lt;="&amp;pDen))</f>
        <v/>
      </c>
      <c r="H31" s="82">
        <f>IF($A31="","",SUMIFS(L_ST,L_Ma,$A31,L_KM,"SXC (627)",L_TT,"Trực tiếp",L_Tinh,"Biến đổi",L_Ngay,"&gt;="&amp;pTu,L_Ngay,"&lt;="&amp;pDen))</f>
        <v/>
      </c>
      <c r="I31" s="82">
        <f>IF($A31="","",SUMIFS(L_ST,L_Ma,$A31,L_KM,"SXC (627)",L_TT,"Trực tiếp",L_Tinh,"Cố định",L_Ngay,"&gt;="&amp;pTu,L_Ngay,"&lt;="&amp;pDen))</f>
        <v/>
      </c>
      <c r="J31" s="82">
        <f>IF($A31="","",CHOOSE(MATCH(pTieuThuc,LST_TieuThuc,0),$E31,$F31,INDEX(DM_GioMay,18),INDEX(DM_GioCong,18),INDEX(DM_SLHT,18),INDEX(DM_DThu,18),INDEX(DM_TieuKhac,18)))</f>
        <v/>
      </c>
      <c r="K31" s="82">
        <f>IF($A31="","",IF(tBase=0,0,$J31/tBase*pool621))</f>
        <v/>
      </c>
      <c r="L31" s="82">
        <f>IF($A31="","",IF(tBase=0,0,$J31/tBase*pool622))</f>
        <v/>
      </c>
      <c r="M31" s="82">
        <f>IF($A31="","",IF(tBase=0,0,$J31/tBase*pool623))</f>
        <v/>
      </c>
      <c r="N31" s="82">
        <f>IF($A31="","",IF(tBase=0,0,$J31/tBase*pool627BD))</f>
        <v/>
      </c>
      <c r="O31" s="82">
        <f>IF($A31="","",IF(tBase=0,0,$J31/tBase*t627CDabs))</f>
        <v/>
      </c>
      <c r="P31" s="82">
        <f>IF($A31="","",$E31+$K31)</f>
        <v/>
      </c>
      <c r="Q31" s="82">
        <f>IF($A31="","",$F31+$L31)</f>
        <v/>
      </c>
      <c r="R31" s="82">
        <f>IF($A31="","",$G31+$M31)</f>
        <v/>
      </c>
      <c r="S31" s="82">
        <f>IF($A31="","",$H31+$N31)</f>
        <v/>
      </c>
      <c r="T31" s="82">
        <f>IF($A31="","",$I31+$O31)</f>
        <v/>
      </c>
      <c r="U31" s="82">
        <f>IF($A31="","",$S31+$T31)</f>
        <v/>
      </c>
      <c r="V31" s="82">
        <f>IF($A31="","",INDEX(DM_DDK621,18)+INDEX(DM_DDK622,18)+INDEX(DM_DDK623,18)+INDEX(DM_DDK627,18))</f>
        <v/>
      </c>
      <c r="W31" s="82">
        <f>IF($A31="","",SUMIFS(L_ST,L_Ma,$A31,L_KM,"Phế liệu thu hồi",L_Ngay,"&gt;="&amp;pTu,L_Ngay,"&lt;="&amp;pDen))</f>
        <v/>
      </c>
      <c r="X31" s="82">
        <f>IF($A31="","",SUMIFS(L_ST,L_Ma,$A31,L_KM,"SP hỏng ngoài định mức",L_Ngay,"&gt;="&amp;pTu,L_Ngay,"&lt;="&amp;pDen))</f>
        <v/>
      </c>
      <c r="Y31" s="82">
        <f>IF($A31="","",$P31+$Q31+$R31+$U31)</f>
        <v/>
      </c>
      <c r="Z31" s="82">
        <f>IF($A31="","",IF($D31="Đang thực hiện",$V31+$Y31,CHOOSE(MATCH(pDoDang,LST_DoDang,0),$AE31,$AF31,$AG31)))</f>
        <v/>
      </c>
      <c r="AA31" s="82">
        <f>IF($A31="","",$V31+$Y31-$Z31-$W31-$X31)</f>
        <v/>
      </c>
      <c r="AB31" s="82">
        <f>IF($A31="","",INDEX(DM_SLHT,18))</f>
        <v/>
      </c>
      <c r="AC31" s="82">
        <f>IF($A31="","",IF($AB31&lt;=0,"⚠ CHƯA CÓ SL",ROUND($AA31/$AB31,0)))</f>
        <v/>
      </c>
      <c r="AE31" s="88">
        <f>IF($A31="","",IFERROR((INDEX(DM_DDK621,18)+$P31)/($AB31+INDEX(DM_SLDD,18))*INDEX(DM_SLDD,18),0))</f>
        <v/>
      </c>
      <c r="AF31" s="88">
        <f>IF($A31="","",IFERROR((INDEX(DM_DDK621,18)+$P31)/($AB31+INDEX(DM_SLDD,18))*INDEX(DM_SLDD,18),0)+IFERROR((INDEX(DM_DDK622,18)+$Q31)/($AB31+INDEX(DM_SLDD,18)*INDEX(DM_Pct,18))*(INDEX(DM_SLDD,18)*INDEX(DM_Pct,18)),0)+IFERROR((INDEX(DM_DDK623,18)+$R31)/($AB31+INDEX(DM_SLDD,18)*INDEX(DM_Pct,18))*(INDEX(DM_SLDD,18)*INDEX(DM_Pct,18)),0)+IFERROR((INDEX(DM_DDK627,18)+$U31)/($AB31+INDEX(DM_SLDD,18)*INDEX(DM_Pct,18))*(INDEX(DM_SLDD,18)*INDEX(DM_Pct,18)),0))</f>
        <v/>
      </c>
      <c r="AG31" s="88">
        <f>IF($A31="","",INDEX(DM_SLDD,18)*INDEX(DM_DGDinhMuc,18))</f>
        <v/>
      </c>
      <c r="AH31" s="88">
        <f>IF($A31="",0,IF(AND(ISNUMBER($AA31),$AA31&gt;0,$AB31&lt;=0),1,0))</f>
        <v/>
      </c>
      <c r="AI31" s="88">
        <f>IF($A31="",0,IF(AND(ISNUMBER($Z31),$Z31&lt;0),1,0))</f>
        <v/>
      </c>
      <c r="AJ31" s="88">
        <f>IF($A31="",0,IF(AND(ISNUMBER($AA31),$AA31&lt;0),1,0))</f>
        <v/>
      </c>
    </row>
    <row r="32" ht="15" customHeight="1" s="54">
      <c r="A32" s="80">
        <f>IF(INDEX(DM_Ma,19)="","",INDEX(DM_Ma,19))</f>
        <v/>
      </c>
      <c r="B32" s="80">
        <f>IF($A32="","",INDEX(DM_Ten,19))</f>
        <v/>
      </c>
      <c r="C32" s="80">
        <f>IF($A32="","",INDEX(DM_Loai,19))</f>
        <v/>
      </c>
      <c r="D32" s="80">
        <f>IF($A32="","",INDEX(DM_TrangThai,19))</f>
        <v/>
      </c>
      <c r="E32" s="82">
        <f>IF($A32="","",SUMIFS(L_ST,L_Ma,$A32,L_KM,"NVL trực tiếp (621)",L_TT,"Trực tiếp",L_Ngay,"&gt;="&amp;pTu,L_Ngay,"&lt;="&amp;pDen))</f>
        <v/>
      </c>
      <c r="F32" s="82">
        <f>IF($A32="","",SUMIFS(L_ST,L_Ma,$A32,L_KM,"Nhân công trực tiếp (622)",L_TT,"Trực tiếp",L_Ngay,"&gt;="&amp;pTu,L_Ngay,"&lt;="&amp;pDen))</f>
        <v/>
      </c>
      <c r="G32" s="82">
        <f>IF($A32="","",SUMIFS(L_ST,L_Ma,$A32,L_KM,"Máy thi công (623)",L_TT,"Trực tiếp",L_Ngay,"&gt;="&amp;pTu,L_Ngay,"&lt;="&amp;pDen))</f>
        <v/>
      </c>
      <c r="H32" s="82">
        <f>IF($A32="","",SUMIFS(L_ST,L_Ma,$A32,L_KM,"SXC (627)",L_TT,"Trực tiếp",L_Tinh,"Biến đổi",L_Ngay,"&gt;="&amp;pTu,L_Ngay,"&lt;="&amp;pDen))</f>
        <v/>
      </c>
      <c r="I32" s="82">
        <f>IF($A32="","",SUMIFS(L_ST,L_Ma,$A32,L_KM,"SXC (627)",L_TT,"Trực tiếp",L_Tinh,"Cố định",L_Ngay,"&gt;="&amp;pTu,L_Ngay,"&lt;="&amp;pDen))</f>
        <v/>
      </c>
      <c r="J32" s="82">
        <f>IF($A32="","",CHOOSE(MATCH(pTieuThuc,LST_TieuThuc,0),$E32,$F32,INDEX(DM_GioMay,19),INDEX(DM_GioCong,19),INDEX(DM_SLHT,19),INDEX(DM_DThu,19),INDEX(DM_TieuKhac,19)))</f>
        <v/>
      </c>
      <c r="K32" s="82">
        <f>IF($A32="","",IF(tBase=0,0,$J32/tBase*pool621))</f>
        <v/>
      </c>
      <c r="L32" s="82">
        <f>IF($A32="","",IF(tBase=0,0,$J32/tBase*pool622))</f>
        <v/>
      </c>
      <c r="M32" s="82">
        <f>IF($A32="","",IF(tBase=0,0,$J32/tBase*pool623))</f>
        <v/>
      </c>
      <c r="N32" s="82">
        <f>IF($A32="","",IF(tBase=0,0,$J32/tBase*pool627BD))</f>
        <v/>
      </c>
      <c r="O32" s="82">
        <f>IF($A32="","",IF(tBase=0,0,$J32/tBase*t627CDabs))</f>
        <v/>
      </c>
      <c r="P32" s="82">
        <f>IF($A32="","",$E32+$K32)</f>
        <v/>
      </c>
      <c r="Q32" s="82">
        <f>IF($A32="","",$F32+$L32)</f>
        <v/>
      </c>
      <c r="R32" s="82">
        <f>IF($A32="","",$G32+$M32)</f>
        <v/>
      </c>
      <c r="S32" s="82">
        <f>IF($A32="","",$H32+$N32)</f>
        <v/>
      </c>
      <c r="T32" s="82">
        <f>IF($A32="","",$I32+$O32)</f>
        <v/>
      </c>
      <c r="U32" s="82">
        <f>IF($A32="","",$S32+$T32)</f>
        <v/>
      </c>
      <c r="V32" s="82">
        <f>IF($A32="","",INDEX(DM_DDK621,19)+INDEX(DM_DDK622,19)+INDEX(DM_DDK623,19)+INDEX(DM_DDK627,19))</f>
        <v/>
      </c>
      <c r="W32" s="82">
        <f>IF($A32="","",SUMIFS(L_ST,L_Ma,$A32,L_KM,"Phế liệu thu hồi",L_Ngay,"&gt;="&amp;pTu,L_Ngay,"&lt;="&amp;pDen))</f>
        <v/>
      </c>
      <c r="X32" s="82">
        <f>IF($A32="","",SUMIFS(L_ST,L_Ma,$A32,L_KM,"SP hỏng ngoài định mức",L_Ngay,"&gt;="&amp;pTu,L_Ngay,"&lt;="&amp;pDen))</f>
        <v/>
      </c>
      <c r="Y32" s="82">
        <f>IF($A32="","",$P32+$Q32+$R32+$U32)</f>
        <v/>
      </c>
      <c r="Z32" s="82">
        <f>IF($A32="","",IF($D32="Đang thực hiện",$V32+$Y32,CHOOSE(MATCH(pDoDang,LST_DoDang,0),$AE32,$AF32,$AG32)))</f>
        <v/>
      </c>
      <c r="AA32" s="82">
        <f>IF($A32="","",$V32+$Y32-$Z32-$W32-$X32)</f>
        <v/>
      </c>
      <c r="AB32" s="82">
        <f>IF($A32="","",INDEX(DM_SLHT,19))</f>
        <v/>
      </c>
      <c r="AC32" s="82">
        <f>IF($A32="","",IF($AB32&lt;=0,"⚠ CHƯA CÓ SL",ROUND($AA32/$AB32,0)))</f>
        <v/>
      </c>
      <c r="AE32" s="88">
        <f>IF($A32="","",IFERROR((INDEX(DM_DDK621,19)+$P32)/($AB32+INDEX(DM_SLDD,19))*INDEX(DM_SLDD,19),0))</f>
        <v/>
      </c>
      <c r="AF32" s="88">
        <f>IF($A32="","",IFERROR((INDEX(DM_DDK621,19)+$P32)/($AB32+INDEX(DM_SLDD,19))*INDEX(DM_SLDD,19),0)+IFERROR((INDEX(DM_DDK622,19)+$Q32)/($AB32+INDEX(DM_SLDD,19)*INDEX(DM_Pct,19))*(INDEX(DM_SLDD,19)*INDEX(DM_Pct,19)),0)+IFERROR((INDEX(DM_DDK623,19)+$R32)/($AB32+INDEX(DM_SLDD,19)*INDEX(DM_Pct,19))*(INDEX(DM_SLDD,19)*INDEX(DM_Pct,19)),0)+IFERROR((INDEX(DM_DDK627,19)+$U32)/($AB32+INDEX(DM_SLDD,19)*INDEX(DM_Pct,19))*(INDEX(DM_SLDD,19)*INDEX(DM_Pct,19)),0))</f>
        <v/>
      </c>
      <c r="AG32" s="88">
        <f>IF($A32="","",INDEX(DM_SLDD,19)*INDEX(DM_DGDinhMuc,19))</f>
        <v/>
      </c>
      <c r="AH32" s="88">
        <f>IF($A32="",0,IF(AND(ISNUMBER($AA32),$AA32&gt;0,$AB32&lt;=0),1,0))</f>
        <v/>
      </c>
      <c r="AI32" s="88">
        <f>IF($A32="",0,IF(AND(ISNUMBER($Z32),$Z32&lt;0),1,0))</f>
        <v/>
      </c>
      <c r="AJ32" s="88">
        <f>IF($A32="",0,IF(AND(ISNUMBER($AA32),$AA32&lt;0),1,0))</f>
        <v/>
      </c>
    </row>
    <row r="33" ht="15" customHeight="1" s="54">
      <c r="A33" s="80">
        <f>IF(INDEX(DM_Ma,20)="","",INDEX(DM_Ma,20))</f>
        <v/>
      </c>
      <c r="B33" s="80">
        <f>IF($A33="","",INDEX(DM_Ten,20))</f>
        <v/>
      </c>
      <c r="C33" s="80">
        <f>IF($A33="","",INDEX(DM_Loai,20))</f>
        <v/>
      </c>
      <c r="D33" s="80">
        <f>IF($A33="","",INDEX(DM_TrangThai,20))</f>
        <v/>
      </c>
      <c r="E33" s="82">
        <f>IF($A33="","",SUMIFS(L_ST,L_Ma,$A33,L_KM,"NVL trực tiếp (621)",L_TT,"Trực tiếp",L_Ngay,"&gt;="&amp;pTu,L_Ngay,"&lt;="&amp;pDen))</f>
        <v/>
      </c>
      <c r="F33" s="82">
        <f>IF($A33="","",SUMIFS(L_ST,L_Ma,$A33,L_KM,"Nhân công trực tiếp (622)",L_TT,"Trực tiếp",L_Ngay,"&gt;="&amp;pTu,L_Ngay,"&lt;="&amp;pDen))</f>
        <v/>
      </c>
      <c r="G33" s="82">
        <f>IF($A33="","",SUMIFS(L_ST,L_Ma,$A33,L_KM,"Máy thi công (623)",L_TT,"Trực tiếp",L_Ngay,"&gt;="&amp;pTu,L_Ngay,"&lt;="&amp;pDen))</f>
        <v/>
      </c>
      <c r="H33" s="82">
        <f>IF($A33="","",SUMIFS(L_ST,L_Ma,$A33,L_KM,"SXC (627)",L_TT,"Trực tiếp",L_Tinh,"Biến đổi",L_Ngay,"&gt;="&amp;pTu,L_Ngay,"&lt;="&amp;pDen))</f>
        <v/>
      </c>
      <c r="I33" s="82">
        <f>IF($A33="","",SUMIFS(L_ST,L_Ma,$A33,L_KM,"SXC (627)",L_TT,"Trực tiếp",L_Tinh,"Cố định",L_Ngay,"&gt;="&amp;pTu,L_Ngay,"&lt;="&amp;pDen))</f>
        <v/>
      </c>
      <c r="J33" s="82">
        <f>IF($A33="","",CHOOSE(MATCH(pTieuThuc,LST_TieuThuc,0),$E33,$F33,INDEX(DM_GioMay,20),INDEX(DM_GioCong,20),INDEX(DM_SLHT,20),INDEX(DM_DThu,20),INDEX(DM_TieuKhac,20)))</f>
        <v/>
      </c>
      <c r="K33" s="82">
        <f>IF($A33="","",IF(tBase=0,0,$J33/tBase*pool621))</f>
        <v/>
      </c>
      <c r="L33" s="82">
        <f>IF($A33="","",IF(tBase=0,0,$J33/tBase*pool622))</f>
        <v/>
      </c>
      <c r="M33" s="82">
        <f>IF($A33="","",IF(tBase=0,0,$J33/tBase*pool623))</f>
        <v/>
      </c>
      <c r="N33" s="82">
        <f>IF($A33="","",IF(tBase=0,0,$J33/tBase*pool627BD))</f>
        <v/>
      </c>
      <c r="O33" s="82">
        <f>IF($A33="","",IF(tBase=0,0,$J33/tBase*t627CDabs))</f>
        <v/>
      </c>
      <c r="P33" s="82">
        <f>IF($A33="","",$E33+$K33)</f>
        <v/>
      </c>
      <c r="Q33" s="82">
        <f>IF($A33="","",$F33+$L33)</f>
        <v/>
      </c>
      <c r="R33" s="82">
        <f>IF($A33="","",$G33+$M33)</f>
        <v/>
      </c>
      <c r="S33" s="82">
        <f>IF($A33="","",$H33+$N33)</f>
        <v/>
      </c>
      <c r="T33" s="82">
        <f>IF($A33="","",$I33+$O33)</f>
        <v/>
      </c>
      <c r="U33" s="82">
        <f>IF($A33="","",$S33+$T33)</f>
        <v/>
      </c>
      <c r="V33" s="82">
        <f>IF($A33="","",INDEX(DM_DDK621,20)+INDEX(DM_DDK622,20)+INDEX(DM_DDK623,20)+INDEX(DM_DDK627,20))</f>
        <v/>
      </c>
      <c r="W33" s="82">
        <f>IF($A33="","",SUMIFS(L_ST,L_Ma,$A33,L_KM,"Phế liệu thu hồi",L_Ngay,"&gt;="&amp;pTu,L_Ngay,"&lt;="&amp;pDen))</f>
        <v/>
      </c>
      <c r="X33" s="82">
        <f>IF($A33="","",SUMIFS(L_ST,L_Ma,$A33,L_KM,"SP hỏng ngoài định mức",L_Ngay,"&gt;="&amp;pTu,L_Ngay,"&lt;="&amp;pDen))</f>
        <v/>
      </c>
      <c r="Y33" s="82">
        <f>IF($A33="","",$P33+$Q33+$R33+$U33)</f>
        <v/>
      </c>
      <c r="Z33" s="82">
        <f>IF($A33="","",IF($D33="Đang thực hiện",$V33+$Y33,CHOOSE(MATCH(pDoDang,LST_DoDang,0),$AE33,$AF33,$AG33)))</f>
        <v/>
      </c>
      <c r="AA33" s="82">
        <f>IF($A33="","",$V33+$Y33-$Z33-$W33-$X33)</f>
        <v/>
      </c>
      <c r="AB33" s="82">
        <f>IF($A33="","",INDEX(DM_SLHT,20))</f>
        <v/>
      </c>
      <c r="AC33" s="82">
        <f>IF($A33="","",IF($AB33&lt;=0,"⚠ CHƯA CÓ SL",ROUND($AA33/$AB33,0)))</f>
        <v/>
      </c>
      <c r="AE33" s="88">
        <f>IF($A33="","",IFERROR((INDEX(DM_DDK621,20)+$P33)/($AB33+INDEX(DM_SLDD,20))*INDEX(DM_SLDD,20),0))</f>
        <v/>
      </c>
      <c r="AF33" s="88">
        <f>IF($A33="","",IFERROR((INDEX(DM_DDK621,20)+$P33)/($AB33+INDEX(DM_SLDD,20))*INDEX(DM_SLDD,20),0)+IFERROR((INDEX(DM_DDK622,20)+$Q33)/($AB33+INDEX(DM_SLDD,20)*INDEX(DM_Pct,20))*(INDEX(DM_SLDD,20)*INDEX(DM_Pct,20)),0)+IFERROR((INDEX(DM_DDK623,20)+$R33)/($AB33+INDEX(DM_SLDD,20)*INDEX(DM_Pct,20))*(INDEX(DM_SLDD,20)*INDEX(DM_Pct,20)),0)+IFERROR((INDEX(DM_DDK627,20)+$U33)/($AB33+INDEX(DM_SLDD,20)*INDEX(DM_Pct,20))*(INDEX(DM_SLDD,20)*INDEX(DM_Pct,20)),0))</f>
        <v/>
      </c>
      <c r="AG33" s="88">
        <f>IF($A33="","",INDEX(DM_SLDD,20)*INDEX(DM_DGDinhMuc,20))</f>
        <v/>
      </c>
      <c r="AH33" s="88">
        <f>IF($A33="",0,IF(AND(ISNUMBER($AA33),$AA33&gt;0,$AB33&lt;=0),1,0))</f>
        <v/>
      </c>
      <c r="AI33" s="88">
        <f>IF($A33="",0,IF(AND(ISNUMBER($Z33),$Z33&lt;0),1,0))</f>
        <v/>
      </c>
      <c r="AJ33" s="88">
        <f>IF($A33="",0,IF(AND(ISNUMBER($AA33),$AA33&lt;0),1,0))</f>
        <v/>
      </c>
    </row>
    <row r="34" ht="15" customHeight="1" s="54">
      <c r="A34" s="80">
        <f>IF(INDEX(DM_Ma,21)="","",INDEX(DM_Ma,21))</f>
        <v/>
      </c>
      <c r="B34" s="80">
        <f>IF($A34="","",INDEX(DM_Ten,21))</f>
        <v/>
      </c>
      <c r="C34" s="80">
        <f>IF($A34="","",INDEX(DM_Loai,21))</f>
        <v/>
      </c>
      <c r="D34" s="80">
        <f>IF($A34="","",INDEX(DM_TrangThai,21))</f>
        <v/>
      </c>
      <c r="E34" s="82">
        <f>IF($A34="","",SUMIFS(L_ST,L_Ma,$A34,L_KM,"NVL trực tiếp (621)",L_TT,"Trực tiếp",L_Ngay,"&gt;="&amp;pTu,L_Ngay,"&lt;="&amp;pDen))</f>
        <v/>
      </c>
      <c r="F34" s="82">
        <f>IF($A34="","",SUMIFS(L_ST,L_Ma,$A34,L_KM,"Nhân công trực tiếp (622)",L_TT,"Trực tiếp",L_Ngay,"&gt;="&amp;pTu,L_Ngay,"&lt;="&amp;pDen))</f>
        <v/>
      </c>
      <c r="G34" s="82">
        <f>IF($A34="","",SUMIFS(L_ST,L_Ma,$A34,L_KM,"Máy thi công (623)",L_TT,"Trực tiếp",L_Ngay,"&gt;="&amp;pTu,L_Ngay,"&lt;="&amp;pDen))</f>
        <v/>
      </c>
      <c r="H34" s="82">
        <f>IF($A34="","",SUMIFS(L_ST,L_Ma,$A34,L_KM,"SXC (627)",L_TT,"Trực tiếp",L_Tinh,"Biến đổi",L_Ngay,"&gt;="&amp;pTu,L_Ngay,"&lt;="&amp;pDen))</f>
        <v/>
      </c>
      <c r="I34" s="82">
        <f>IF($A34="","",SUMIFS(L_ST,L_Ma,$A34,L_KM,"SXC (627)",L_TT,"Trực tiếp",L_Tinh,"Cố định",L_Ngay,"&gt;="&amp;pTu,L_Ngay,"&lt;="&amp;pDen))</f>
        <v/>
      </c>
      <c r="J34" s="82">
        <f>IF($A34="","",CHOOSE(MATCH(pTieuThuc,LST_TieuThuc,0),$E34,$F34,INDEX(DM_GioMay,21),INDEX(DM_GioCong,21),INDEX(DM_SLHT,21),INDEX(DM_DThu,21),INDEX(DM_TieuKhac,21)))</f>
        <v/>
      </c>
      <c r="K34" s="82">
        <f>IF($A34="","",IF(tBase=0,0,$J34/tBase*pool621))</f>
        <v/>
      </c>
      <c r="L34" s="82">
        <f>IF($A34="","",IF(tBase=0,0,$J34/tBase*pool622))</f>
        <v/>
      </c>
      <c r="M34" s="82">
        <f>IF($A34="","",IF(tBase=0,0,$J34/tBase*pool623))</f>
        <v/>
      </c>
      <c r="N34" s="82">
        <f>IF($A34="","",IF(tBase=0,0,$J34/tBase*pool627BD))</f>
        <v/>
      </c>
      <c r="O34" s="82">
        <f>IF($A34="","",IF(tBase=0,0,$J34/tBase*t627CDabs))</f>
        <v/>
      </c>
      <c r="P34" s="82">
        <f>IF($A34="","",$E34+$K34)</f>
        <v/>
      </c>
      <c r="Q34" s="82">
        <f>IF($A34="","",$F34+$L34)</f>
        <v/>
      </c>
      <c r="R34" s="82">
        <f>IF($A34="","",$G34+$M34)</f>
        <v/>
      </c>
      <c r="S34" s="82">
        <f>IF($A34="","",$H34+$N34)</f>
        <v/>
      </c>
      <c r="T34" s="82">
        <f>IF($A34="","",$I34+$O34)</f>
        <v/>
      </c>
      <c r="U34" s="82">
        <f>IF($A34="","",$S34+$T34)</f>
        <v/>
      </c>
      <c r="V34" s="82">
        <f>IF($A34="","",INDEX(DM_DDK621,21)+INDEX(DM_DDK622,21)+INDEX(DM_DDK623,21)+INDEX(DM_DDK627,21))</f>
        <v/>
      </c>
      <c r="W34" s="82">
        <f>IF($A34="","",SUMIFS(L_ST,L_Ma,$A34,L_KM,"Phế liệu thu hồi",L_Ngay,"&gt;="&amp;pTu,L_Ngay,"&lt;="&amp;pDen))</f>
        <v/>
      </c>
      <c r="X34" s="82">
        <f>IF($A34="","",SUMIFS(L_ST,L_Ma,$A34,L_KM,"SP hỏng ngoài định mức",L_Ngay,"&gt;="&amp;pTu,L_Ngay,"&lt;="&amp;pDen))</f>
        <v/>
      </c>
      <c r="Y34" s="82">
        <f>IF($A34="","",$P34+$Q34+$R34+$U34)</f>
        <v/>
      </c>
      <c r="Z34" s="82">
        <f>IF($A34="","",IF($D34="Đang thực hiện",$V34+$Y34,CHOOSE(MATCH(pDoDang,LST_DoDang,0),$AE34,$AF34,$AG34)))</f>
        <v/>
      </c>
      <c r="AA34" s="82">
        <f>IF($A34="","",$V34+$Y34-$Z34-$W34-$X34)</f>
        <v/>
      </c>
      <c r="AB34" s="82">
        <f>IF($A34="","",INDEX(DM_SLHT,21))</f>
        <v/>
      </c>
      <c r="AC34" s="82">
        <f>IF($A34="","",IF($AB34&lt;=0,"⚠ CHƯA CÓ SL",ROUND($AA34/$AB34,0)))</f>
        <v/>
      </c>
      <c r="AE34" s="88">
        <f>IF($A34="","",IFERROR((INDEX(DM_DDK621,21)+$P34)/($AB34+INDEX(DM_SLDD,21))*INDEX(DM_SLDD,21),0))</f>
        <v/>
      </c>
      <c r="AF34" s="88">
        <f>IF($A34="","",IFERROR((INDEX(DM_DDK621,21)+$P34)/($AB34+INDEX(DM_SLDD,21))*INDEX(DM_SLDD,21),0)+IFERROR((INDEX(DM_DDK622,21)+$Q34)/($AB34+INDEX(DM_SLDD,21)*INDEX(DM_Pct,21))*(INDEX(DM_SLDD,21)*INDEX(DM_Pct,21)),0)+IFERROR((INDEX(DM_DDK623,21)+$R34)/($AB34+INDEX(DM_SLDD,21)*INDEX(DM_Pct,21))*(INDEX(DM_SLDD,21)*INDEX(DM_Pct,21)),0)+IFERROR((INDEX(DM_DDK627,21)+$U34)/($AB34+INDEX(DM_SLDD,21)*INDEX(DM_Pct,21))*(INDEX(DM_SLDD,21)*INDEX(DM_Pct,21)),0))</f>
        <v/>
      </c>
      <c r="AG34" s="88">
        <f>IF($A34="","",INDEX(DM_SLDD,21)*INDEX(DM_DGDinhMuc,21))</f>
        <v/>
      </c>
      <c r="AH34" s="88">
        <f>IF($A34="",0,IF(AND(ISNUMBER($AA34),$AA34&gt;0,$AB34&lt;=0),1,0))</f>
        <v/>
      </c>
      <c r="AI34" s="88">
        <f>IF($A34="",0,IF(AND(ISNUMBER($Z34),$Z34&lt;0),1,0))</f>
        <v/>
      </c>
      <c r="AJ34" s="88">
        <f>IF($A34="",0,IF(AND(ISNUMBER($AA34),$AA34&lt;0),1,0))</f>
        <v/>
      </c>
    </row>
    <row r="35" ht="15" customHeight="1" s="54">
      <c r="A35" s="80">
        <f>IF(INDEX(DM_Ma,22)="","",INDEX(DM_Ma,22))</f>
        <v/>
      </c>
      <c r="B35" s="80">
        <f>IF($A35="","",INDEX(DM_Ten,22))</f>
        <v/>
      </c>
      <c r="C35" s="80">
        <f>IF($A35="","",INDEX(DM_Loai,22))</f>
        <v/>
      </c>
      <c r="D35" s="80">
        <f>IF($A35="","",INDEX(DM_TrangThai,22))</f>
        <v/>
      </c>
      <c r="E35" s="82">
        <f>IF($A35="","",SUMIFS(L_ST,L_Ma,$A35,L_KM,"NVL trực tiếp (621)",L_TT,"Trực tiếp",L_Ngay,"&gt;="&amp;pTu,L_Ngay,"&lt;="&amp;pDen))</f>
        <v/>
      </c>
      <c r="F35" s="82">
        <f>IF($A35="","",SUMIFS(L_ST,L_Ma,$A35,L_KM,"Nhân công trực tiếp (622)",L_TT,"Trực tiếp",L_Ngay,"&gt;="&amp;pTu,L_Ngay,"&lt;="&amp;pDen))</f>
        <v/>
      </c>
      <c r="G35" s="82">
        <f>IF($A35="","",SUMIFS(L_ST,L_Ma,$A35,L_KM,"Máy thi công (623)",L_TT,"Trực tiếp",L_Ngay,"&gt;="&amp;pTu,L_Ngay,"&lt;="&amp;pDen))</f>
        <v/>
      </c>
      <c r="H35" s="82">
        <f>IF($A35="","",SUMIFS(L_ST,L_Ma,$A35,L_KM,"SXC (627)",L_TT,"Trực tiếp",L_Tinh,"Biến đổi",L_Ngay,"&gt;="&amp;pTu,L_Ngay,"&lt;="&amp;pDen))</f>
        <v/>
      </c>
      <c r="I35" s="82">
        <f>IF($A35="","",SUMIFS(L_ST,L_Ma,$A35,L_KM,"SXC (627)",L_TT,"Trực tiếp",L_Tinh,"Cố định",L_Ngay,"&gt;="&amp;pTu,L_Ngay,"&lt;="&amp;pDen))</f>
        <v/>
      </c>
      <c r="J35" s="82">
        <f>IF($A35="","",CHOOSE(MATCH(pTieuThuc,LST_TieuThuc,0),$E35,$F35,INDEX(DM_GioMay,22),INDEX(DM_GioCong,22),INDEX(DM_SLHT,22),INDEX(DM_DThu,22),INDEX(DM_TieuKhac,22)))</f>
        <v/>
      </c>
      <c r="K35" s="82">
        <f>IF($A35="","",IF(tBase=0,0,$J35/tBase*pool621))</f>
        <v/>
      </c>
      <c r="L35" s="82">
        <f>IF($A35="","",IF(tBase=0,0,$J35/tBase*pool622))</f>
        <v/>
      </c>
      <c r="M35" s="82">
        <f>IF($A35="","",IF(tBase=0,0,$J35/tBase*pool623))</f>
        <v/>
      </c>
      <c r="N35" s="82">
        <f>IF($A35="","",IF(tBase=0,0,$J35/tBase*pool627BD))</f>
        <v/>
      </c>
      <c r="O35" s="82">
        <f>IF($A35="","",IF(tBase=0,0,$J35/tBase*t627CDabs))</f>
        <v/>
      </c>
      <c r="P35" s="82">
        <f>IF($A35="","",$E35+$K35)</f>
        <v/>
      </c>
      <c r="Q35" s="82">
        <f>IF($A35="","",$F35+$L35)</f>
        <v/>
      </c>
      <c r="R35" s="82">
        <f>IF($A35="","",$G35+$M35)</f>
        <v/>
      </c>
      <c r="S35" s="82">
        <f>IF($A35="","",$H35+$N35)</f>
        <v/>
      </c>
      <c r="T35" s="82">
        <f>IF($A35="","",$I35+$O35)</f>
        <v/>
      </c>
      <c r="U35" s="82">
        <f>IF($A35="","",$S35+$T35)</f>
        <v/>
      </c>
      <c r="V35" s="82">
        <f>IF($A35="","",INDEX(DM_DDK621,22)+INDEX(DM_DDK622,22)+INDEX(DM_DDK623,22)+INDEX(DM_DDK627,22))</f>
        <v/>
      </c>
      <c r="W35" s="82">
        <f>IF($A35="","",SUMIFS(L_ST,L_Ma,$A35,L_KM,"Phế liệu thu hồi",L_Ngay,"&gt;="&amp;pTu,L_Ngay,"&lt;="&amp;pDen))</f>
        <v/>
      </c>
      <c r="X35" s="82">
        <f>IF($A35="","",SUMIFS(L_ST,L_Ma,$A35,L_KM,"SP hỏng ngoài định mức",L_Ngay,"&gt;="&amp;pTu,L_Ngay,"&lt;="&amp;pDen))</f>
        <v/>
      </c>
      <c r="Y35" s="82">
        <f>IF($A35="","",$P35+$Q35+$R35+$U35)</f>
        <v/>
      </c>
      <c r="Z35" s="82">
        <f>IF($A35="","",IF($D35="Đang thực hiện",$V35+$Y35,CHOOSE(MATCH(pDoDang,LST_DoDang,0),$AE35,$AF35,$AG35)))</f>
        <v/>
      </c>
      <c r="AA35" s="82">
        <f>IF($A35="","",$V35+$Y35-$Z35-$W35-$X35)</f>
        <v/>
      </c>
      <c r="AB35" s="82">
        <f>IF($A35="","",INDEX(DM_SLHT,22))</f>
        <v/>
      </c>
      <c r="AC35" s="82">
        <f>IF($A35="","",IF($AB35&lt;=0,"⚠ CHƯA CÓ SL",ROUND($AA35/$AB35,0)))</f>
        <v/>
      </c>
      <c r="AE35" s="88">
        <f>IF($A35="","",IFERROR((INDEX(DM_DDK621,22)+$P35)/($AB35+INDEX(DM_SLDD,22))*INDEX(DM_SLDD,22),0))</f>
        <v/>
      </c>
      <c r="AF35" s="88">
        <f>IF($A35="","",IFERROR((INDEX(DM_DDK621,22)+$P35)/($AB35+INDEX(DM_SLDD,22))*INDEX(DM_SLDD,22),0)+IFERROR((INDEX(DM_DDK622,22)+$Q35)/($AB35+INDEX(DM_SLDD,22)*INDEX(DM_Pct,22))*(INDEX(DM_SLDD,22)*INDEX(DM_Pct,22)),0)+IFERROR((INDEX(DM_DDK623,22)+$R35)/($AB35+INDEX(DM_SLDD,22)*INDEX(DM_Pct,22))*(INDEX(DM_SLDD,22)*INDEX(DM_Pct,22)),0)+IFERROR((INDEX(DM_DDK627,22)+$U35)/($AB35+INDEX(DM_SLDD,22)*INDEX(DM_Pct,22))*(INDEX(DM_SLDD,22)*INDEX(DM_Pct,22)),0))</f>
        <v/>
      </c>
      <c r="AG35" s="88">
        <f>IF($A35="","",INDEX(DM_SLDD,22)*INDEX(DM_DGDinhMuc,22))</f>
        <v/>
      </c>
      <c r="AH35" s="88">
        <f>IF($A35="",0,IF(AND(ISNUMBER($AA35),$AA35&gt;0,$AB35&lt;=0),1,0))</f>
        <v/>
      </c>
      <c r="AI35" s="88">
        <f>IF($A35="",0,IF(AND(ISNUMBER($Z35),$Z35&lt;0),1,0))</f>
        <v/>
      </c>
      <c r="AJ35" s="88">
        <f>IF($A35="",0,IF(AND(ISNUMBER($AA35),$AA35&lt;0),1,0))</f>
        <v/>
      </c>
    </row>
    <row r="36" ht="15" customHeight="1" s="54">
      <c r="A36" s="80">
        <f>IF(INDEX(DM_Ma,23)="","",INDEX(DM_Ma,23))</f>
        <v/>
      </c>
      <c r="B36" s="80">
        <f>IF($A36="","",INDEX(DM_Ten,23))</f>
        <v/>
      </c>
      <c r="C36" s="80">
        <f>IF($A36="","",INDEX(DM_Loai,23))</f>
        <v/>
      </c>
      <c r="D36" s="80">
        <f>IF($A36="","",INDEX(DM_TrangThai,23))</f>
        <v/>
      </c>
      <c r="E36" s="82">
        <f>IF($A36="","",SUMIFS(L_ST,L_Ma,$A36,L_KM,"NVL trực tiếp (621)",L_TT,"Trực tiếp",L_Ngay,"&gt;="&amp;pTu,L_Ngay,"&lt;="&amp;pDen))</f>
        <v/>
      </c>
      <c r="F36" s="82">
        <f>IF($A36="","",SUMIFS(L_ST,L_Ma,$A36,L_KM,"Nhân công trực tiếp (622)",L_TT,"Trực tiếp",L_Ngay,"&gt;="&amp;pTu,L_Ngay,"&lt;="&amp;pDen))</f>
        <v/>
      </c>
      <c r="G36" s="82">
        <f>IF($A36="","",SUMIFS(L_ST,L_Ma,$A36,L_KM,"Máy thi công (623)",L_TT,"Trực tiếp",L_Ngay,"&gt;="&amp;pTu,L_Ngay,"&lt;="&amp;pDen))</f>
        <v/>
      </c>
      <c r="H36" s="82">
        <f>IF($A36="","",SUMIFS(L_ST,L_Ma,$A36,L_KM,"SXC (627)",L_TT,"Trực tiếp",L_Tinh,"Biến đổi",L_Ngay,"&gt;="&amp;pTu,L_Ngay,"&lt;="&amp;pDen))</f>
        <v/>
      </c>
      <c r="I36" s="82">
        <f>IF($A36="","",SUMIFS(L_ST,L_Ma,$A36,L_KM,"SXC (627)",L_TT,"Trực tiếp",L_Tinh,"Cố định",L_Ngay,"&gt;="&amp;pTu,L_Ngay,"&lt;="&amp;pDen))</f>
        <v/>
      </c>
      <c r="J36" s="82">
        <f>IF($A36="","",CHOOSE(MATCH(pTieuThuc,LST_TieuThuc,0),$E36,$F36,INDEX(DM_GioMay,23),INDEX(DM_GioCong,23),INDEX(DM_SLHT,23),INDEX(DM_DThu,23),INDEX(DM_TieuKhac,23)))</f>
        <v/>
      </c>
      <c r="K36" s="82">
        <f>IF($A36="","",IF(tBase=0,0,$J36/tBase*pool621))</f>
        <v/>
      </c>
      <c r="L36" s="82">
        <f>IF($A36="","",IF(tBase=0,0,$J36/tBase*pool622))</f>
        <v/>
      </c>
      <c r="M36" s="82">
        <f>IF($A36="","",IF(tBase=0,0,$J36/tBase*pool623))</f>
        <v/>
      </c>
      <c r="N36" s="82">
        <f>IF($A36="","",IF(tBase=0,0,$J36/tBase*pool627BD))</f>
        <v/>
      </c>
      <c r="O36" s="82">
        <f>IF($A36="","",IF(tBase=0,0,$J36/tBase*t627CDabs))</f>
        <v/>
      </c>
      <c r="P36" s="82">
        <f>IF($A36="","",$E36+$K36)</f>
        <v/>
      </c>
      <c r="Q36" s="82">
        <f>IF($A36="","",$F36+$L36)</f>
        <v/>
      </c>
      <c r="R36" s="82">
        <f>IF($A36="","",$G36+$M36)</f>
        <v/>
      </c>
      <c r="S36" s="82">
        <f>IF($A36="","",$H36+$N36)</f>
        <v/>
      </c>
      <c r="T36" s="82">
        <f>IF($A36="","",$I36+$O36)</f>
        <v/>
      </c>
      <c r="U36" s="82">
        <f>IF($A36="","",$S36+$T36)</f>
        <v/>
      </c>
      <c r="V36" s="82">
        <f>IF($A36="","",INDEX(DM_DDK621,23)+INDEX(DM_DDK622,23)+INDEX(DM_DDK623,23)+INDEX(DM_DDK627,23))</f>
        <v/>
      </c>
      <c r="W36" s="82">
        <f>IF($A36="","",SUMIFS(L_ST,L_Ma,$A36,L_KM,"Phế liệu thu hồi",L_Ngay,"&gt;="&amp;pTu,L_Ngay,"&lt;="&amp;pDen))</f>
        <v/>
      </c>
      <c r="X36" s="82">
        <f>IF($A36="","",SUMIFS(L_ST,L_Ma,$A36,L_KM,"SP hỏng ngoài định mức",L_Ngay,"&gt;="&amp;pTu,L_Ngay,"&lt;="&amp;pDen))</f>
        <v/>
      </c>
      <c r="Y36" s="82">
        <f>IF($A36="","",$P36+$Q36+$R36+$U36)</f>
        <v/>
      </c>
      <c r="Z36" s="82">
        <f>IF($A36="","",IF($D36="Đang thực hiện",$V36+$Y36,CHOOSE(MATCH(pDoDang,LST_DoDang,0),$AE36,$AF36,$AG36)))</f>
        <v/>
      </c>
      <c r="AA36" s="82">
        <f>IF($A36="","",$V36+$Y36-$Z36-$W36-$X36)</f>
        <v/>
      </c>
      <c r="AB36" s="82">
        <f>IF($A36="","",INDEX(DM_SLHT,23))</f>
        <v/>
      </c>
      <c r="AC36" s="82">
        <f>IF($A36="","",IF($AB36&lt;=0,"⚠ CHƯA CÓ SL",ROUND($AA36/$AB36,0)))</f>
        <v/>
      </c>
      <c r="AE36" s="88">
        <f>IF($A36="","",IFERROR((INDEX(DM_DDK621,23)+$P36)/($AB36+INDEX(DM_SLDD,23))*INDEX(DM_SLDD,23),0))</f>
        <v/>
      </c>
      <c r="AF36" s="88">
        <f>IF($A36="","",IFERROR((INDEX(DM_DDK621,23)+$P36)/($AB36+INDEX(DM_SLDD,23))*INDEX(DM_SLDD,23),0)+IFERROR((INDEX(DM_DDK622,23)+$Q36)/($AB36+INDEX(DM_SLDD,23)*INDEX(DM_Pct,23))*(INDEX(DM_SLDD,23)*INDEX(DM_Pct,23)),0)+IFERROR((INDEX(DM_DDK623,23)+$R36)/($AB36+INDEX(DM_SLDD,23)*INDEX(DM_Pct,23))*(INDEX(DM_SLDD,23)*INDEX(DM_Pct,23)),0)+IFERROR((INDEX(DM_DDK627,23)+$U36)/($AB36+INDEX(DM_SLDD,23)*INDEX(DM_Pct,23))*(INDEX(DM_SLDD,23)*INDEX(DM_Pct,23)),0))</f>
        <v/>
      </c>
      <c r="AG36" s="88">
        <f>IF($A36="","",INDEX(DM_SLDD,23)*INDEX(DM_DGDinhMuc,23))</f>
        <v/>
      </c>
      <c r="AH36" s="88">
        <f>IF($A36="",0,IF(AND(ISNUMBER($AA36),$AA36&gt;0,$AB36&lt;=0),1,0))</f>
        <v/>
      </c>
      <c r="AI36" s="88">
        <f>IF($A36="",0,IF(AND(ISNUMBER($Z36),$Z36&lt;0),1,0))</f>
        <v/>
      </c>
      <c r="AJ36" s="88">
        <f>IF($A36="",0,IF(AND(ISNUMBER($AA36),$AA36&lt;0),1,0))</f>
        <v/>
      </c>
    </row>
    <row r="37" ht="15" customHeight="1" s="54">
      <c r="A37" s="80">
        <f>IF(INDEX(DM_Ma,24)="","",INDEX(DM_Ma,24))</f>
        <v/>
      </c>
      <c r="B37" s="80">
        <f>IF($A37="","",INDEX(DM_Ten,24))</f>
        <v/>
      </c>
      <c r="C37" s="80">
        <f>IF($A37="","",INDEX(DM_Loai,24))</f>
        <v/>
      </c>
      <c r="D37" s="80">
        <f>IF($A37="","",INDEX(DM_TrangThai,24))</f>
        <v/>
      </c>
      <c r="E37" s="82">
        <f>IF($A37="","",SUMIFS(L_ST,L_Ma,$A37,L_KM,"NVL trực tiếp (621)",L_TT,"Trực tiếp",L_Ngay,"&gt;="&amp;pTu,L_Ngay,"&lt;="&amp;pDen))</f>
        <v/>
      </c>
      <c r="F37" s="82">
        <f>IF($A37="","",SUMIFS(L_ST,L_Ma,$A37,L_KM,"Nhân công trực tiếp (622)",L_TT,"Trực tiếp",L_Ngay,"&gt;="&amp;pTu,L_Ngay,"&lt;="&amp;pDen))</f>
        <v/>
      </c>
      <c r="G37" s="82">
        <f>IF($A37="","",SUMIFS(L_ST,L_Ma,$A37,L_KM,"Máy thi công (623)",L_TT,"Trực tiếp",L_Ngay,"&gt;="&amp;pTu,L_Ngay,"&lt;="&amp;pDen))</f>
        <v/>
      </c>
      <c r="H37" s="82">
        <f>IF($A37="","",SUMIFS(L_ST,L_Ma,$A37,L_KM,"SXC (627)",L_TT,"Trực tiếp",L_Tinh,"Biến đổi",L_Ngay,"&gt;="&amp;pTu,L_Ngay,"&lt;="&amp;pDen))</f>
        <v/>
      </c>
      <c r="I37" s="82">
        <f>IF($A37="","",SUMIFS(L_ST,L_Ma,$A37,L_KM,"SXC (627)",L_TT,"Trực tiếp",L_Tinh,"Cố định",L_Ngay,"&gt;="&amp;pTu,L_Ngay,"&lt;="&amp;pDen))</f>
        <v/>
      </c>
      <c r="J37" s="82">
        <f>IF($A37="","",CHOOSE(MATCH(pTieuThuc,LST_TieuThuc,0),$E37,$F37,INDEX(DM_GioMay,24),INDEX(DM_GioCong,24),INDEX(DM_SLHT,24),INDEX(DM_DThu,24),INDEX(DM_TieuKhac,24)))</f>
        <v/>
      </c>
      <c r="K37" s="82">
        <f>IF($A37="","",IF(tBase=0,0,$J37/tBase*pool621))</f>
        <v/>
      </c>
      <c r="L37" s="82">
        <f>IF($A37="","",IF(tBase=0,0,$J37/tBase*pool622))</f>
        <v/>
      </c>
      <c r="M37" s="82">
        <f>IF($A37="","",IF(tBase=0,0,$J37/tBase*pool623))</f>
        <v/>
      </c>
      <c r="N37" s="82">
        <f>IF($A37="","",IF(tBase=0,0,$J37/tBase*pool627BD))</f>
        <v/>
      </c>
      <c r="O37" s="82">
        <f>IF($A37="","",IF(tBase=0,0,$J37/tBase*t627CDabs))</f>
        <v/>
      </c>
      <c r="P37" s="82">
        <f>IF($A37="","",$E37+$K37)</f>
        <v/>
      </c>
      <c r="Q37" s="82">
        <f>IF($A37="","",$F37+$L37)</f>
        <v/>
      </c>
      <c r="R37" s="82">
        <f>IF($A37="","",$G37+$M37)</f>
        <v/>
      </c>
      <c r="S37" s="82">
        <f>IF($A37="","",$H37+$N37)</f>
        <v/>
      </c>
      <c r="T37" s="82">
        <f>IF($A37="","",$I37+$O37)</f>
        <v/>
      </c>
      <c r="U37" s="82">
        <f>IF($A37="","",$S37+$T37)</f>
        <v/>
      </c>
      <c r="V37" s="82">
        <f>IF($A37="","",INDEX(DM_DDK621,24)+INDEX(DM_DDK622,24)+INDEX(DM_DDK623,24)+INDEX(DM_DDK627,24))</f>
        <v/>
      </c>
      <c r="W37" s="82">
        <f>IF($A37="","",SUMIFS(L_ST,L_Ma,$A37,L_KM,"Phế liệu thu hồi",L_Ngay,"&gt;="&amp;pTu,L_Ngay,"&lt;="&amp;pDen))</f>
        <v/>
      </c>
      <c r="X37" s="82">
        <f>IF($A37="","",SUMIFS(L_ST,L_Ma,$A37,L_KM,"SP hỏng ngoài định mức",L_Ngay,"&gt;="&amp;pTu,L_Ngay,"&lt;="&amp;pDen))</f>
        <v/>
      </c>
      <c r="Y37" s="82">
        <f>IF($A37="","",$P37+$Q37+$R37+$U37)</f>
        <v/>
      </c>
      <c r="Z37" s="82">
        <f>IF($A37="","",IF($D37="Đang thực hiện",$V37+$Y37,CHOOSE(MATCH(pDoDang,LST_DoDang,0),$AE37,$AF37,$AG37)))</f>
        <v/>
      </c>
      <c r="AA37" s="82">
        <f>IF($A37="","",$V37+$Y37-$Z37-$W37-$X37)</f>
        <v/>
      </c>
      <c r="AB37" s="82">
        <f>IF($A37="","",INDEX(DM_SLHT,24))</f>
        <v/>
      </c>
      <c r="AC37" s="82">
        <f>IF($A37="","",IF($AB37&lt;=0,"⚠ CHƯA CÓ SL",ROUND($AA37/$AB37,0)))</f>
        <v/>
      </c>
      <c r="AE37" s="88">
        <f>IF($A37="","",IFERROR((INDEX(DM_DDK621,24)+$P37)/($AB37+INDEX(DM_SLDD,24))*INDEX(DM_SLDD,24),0))</f>
        <v/>
      </c>
      <c r="AF37" s="88">
        <f>IF($A37="","",IFERROR((INDEX(DM_DDK621,24)+$P37)/($AB37+INDEX(DM_SLDD,24))*INDEX(DM_SLDD,24),0)+IFERROR((INDEX(DM_DDK622,24)+$Q37)/($AB37+INDEX(DM_SLDD,24)*INDEX(DM_Pct,24))*(INDEX(DM_SLDD,24)*INDEX(DM_Pct,24)),0)+IFERROR((INDEX(DM_DDK623,24)+$R37)/($AB37+INDEX(DM_SLDD,24)*INDEX(DM_Pct,24))*(INDEX(DM_SLDD,24)*INDEX(DM_Pct,24)),0)+IFERROR((INDEX(DM_DDK627,24)+$U37)/($AB37+INDEX(DM_SLDD,24)*INDEX(DM_Pct,24))*(INDEX(DM_SLDD,24)*INDEX(DM_Pct,24)),0))</f>
        <v/>
      </c>
      <c r="AG37" s="88">
        <f>IF($A37="","",INDEX(DM_SLDD,24)*INDEX(DM_DGDinhMuc,24))</f>
        <v/>
      </c>
      <c r="AH37" s="88">
        <f>IF($A37="",0,IF(AND(ISNUMBER($AA37),$AA37&gt;0,$AB37&lt;=0),1,0))</f>
        <v/>
      </c>
      <c r="AI37" s="88">
        <f>IF($A37="",0,IF(AND(ISNUMBER($Z37),$Z37&lt;0),1,0))</f>
        <v/>
      </c>
      <c r="AJ37" s="88">
        <f>IF($A37="",0,IF(AND(ISNUMBER($AA37),$AA37&lt;0),1,0))</f>
        <v/>
      </c>
    </row>
    <row r="38" ht="15" customHeight="1" s="54">
      <c r="A38" s="80">
        <f>IF(INDEX(DM_Ma,25)="","",INDEX(DM_Ma,25))</f>
        <v/>
      </c>
      <c r="B38" s="80">
        <f>IF($A38="","",INDEX(DM_Ten,25))</f>
        <v/>
      </c>
      <c r="C38" s="80">
        <f>IF($A38="","",INDEX(DM_Loai,25))</f>
        <v/>
      </c>
      <c r="D38" s="80">
        <f>IF($A38="","",INDEX(DM_TrangThai,25))</f>
        <v/>
      </c>
      <c r="E38" s="82">
        <f>IF($A38="","",SUMIFS(L_ST,L_Ma,$A38,L_KM,"NVL trực tiếp (621)",L_TT,"Trực tiếp",L_Ngay,"&gt;="&amp;pTu,L_Ngay,"&lt;="&amp;pDen))</f>
        <v/>
      </c>
      <c r="F38" s="82">
        <f>IF($A38="","",SUMIFS(L_ST,L_Ma,$A38,L_KM,"Nhân công trực tiếp (622)",L_TT,"Trực tiếp",L_Ngay,"&gt;="&amp;pTu,L_Ngay,"&lt;="&amp;pDen))</f>
        <v/>
      </c>
      <c r="G38" s="82">
        <f>IF($A38="","",SUMIFS(L_ST,L_Ma,$A38,L_KM,"Máy thi công (623)",L_TT,"Trực tiếp",L_Ngay,"&gt;="&amp;pTu,L_Ngay,"&lt;="&amp;pDen))</f>
        <v/>
      </c>
      <c r="H38" s="82">
        <f>IF($A38="","",SUMIFS(L_ST,L_Ma,$A38,L_KM,"SXC (627)",L_TT,"Trực tiếp",L_Tinh,"Biến đổi",L_Ngay,"&gt;="&amp;pTu,L_Ngay,"&lt;="&amp;pDen))</f>
        <v/>
      </c>
      <c r="I38" s="82">
        <f>IF($A38="","",SUMIFS(L_ST,L_Ma,$A38,L_KM,"SXC (627)",L_TT,"Trực tiếp",L_Tinh,"Cố định",L_Ngay,"&gt;="&amp;pTu,L_Ngay,"&lt;="&amp;pDen))</f>
        <v/>
      </c>
      <c r="J38" s="82">
        <f>IF($A38="","",CHOOSE(MATCH(pTieuThuc,LST_TieuThuc,0),$E38,$F38,INDEX(DM_GioMay,25),INDEX(DM_GioCong,25),INDEX(DM_SLHT,25),INDEX(DM_DThu,25),INDEX(DM_TieuKhac,25)))</f>
        <v/>
      </c>
      <c r="K38" s="82">
        <f>IF($A38="","",IF(tBase=0,0,$J38/tBase*pool621))</f>
        <v/>
      </c>
      <c r="L38" s="82">
        <f>IF($A38="","",IF(tBase=0,0,$J38/tBase*pool622))</f>
        <v/>
      </c>
      <c r="M38" s="82">
        <f>IF($A38="","",IF(tBase=0,0,$J38/tBase*pool623))</f>
        <v/>
      </c>
      <c r="N38" s="82">
        <f>IF($A38="","",IF(tBase=0,0,$J38/tBase*pool627BD))</f>
        <v/>
      </c>
      <c r="O38" s="82">
        <f>IF($A38="","",IF(tBase=0,0,$J38/tBase*t627CDabs))</f>
        <v/>
      </c>
      <c r="P38" s="82">
        <f>IF($A38="","",$E38+$K38)</f>
        <v/>
      </c>
      <c r="Q38" s="82">
        <f>IF($A38="","",$F38+$L38)</f>
        <v/>
      </c>
      <c r="R38" s="82">
        <f>IF($A38="","",$G38+$M38)</f>
        <v/>
      </c>
      <c r="S38" s="82">
        <f>IF($A38="","",$H38+$N38)</f>
        <v/>
      </c>
      <c r="T38" s="82">
        <f>IF($A38="","",$I38+$O38)</f>
        <v/>
      </c>
      <c r="U38" s="82">
        <f>IF($A38="","",$S38+$T38)</f>
        <v/>
      </c>
      <c r="V38" s="82">
        <f>IF($A38="","",INDEX(DM_DDK621,25)+INDEX(DM_DDK622,25)+INDEX(DM_DDK623,25)+INDEX(DM_DDK627,25))</f>
        <v/>
      </c>
      <c r="W38" s="82">
        <f>IF($A38="","",SUMIFS(L_ST,L_Ma,$A38,L_KM,"Phế liệu thu hồi",L_Ngay,"&gt;="&amp;pTu,L_Ngay,"&lt;="&amp;pDen))</f>
        <v/>
      </c>
      <c r="X38" s="82">
        <f>IF($A38="","",SUMIFS(L_ST,L_Ma,$A38,L_KM,"SP hỏng ngoài định mức",L_Ngay,"&gt;="&amp;pTu,L_Ngay,"&lt;="&amp;pDen))</f>
        <v/>
      </c>
      <c r="Y38" s="82">
        <f>IF($A38="","",$P38+$Q38+$R38+$U38)</f>
        <v/>
      </c>
      <c r="Z38" s="82">
        <f>IF($A38="","",IF($D38="Đang thực hiện",$V38+$Y38,CHOOSE(MATCH(pDoDang,LST_DoDang,0),$AE38,$AF38,$AG38)))</f>
        <v/>
      </c>
      <c r="AA38" s="82">
        <f>IF($A38="","",$V38+$Y38-$Z38-$W38-$X38)</f>
        <v/>
      </c>
      <c r="AB38" s="82">
        <f>IF($A38="","",INDEX(DM_SLHT,25))</f>
        <v/>
      </c>
      <c r="AC38" s="82">
        <f>IF($A38="","",IF($AB38&lt;=0,"⚠ CHƯA CÓ SL",ROUND($AA38/$AB38,0)))</f>
        <v/>
      </c>
      <c r="AE38" s="88">
        <f>IF($A38="","",IFERROR((INDEX(DM_DDK621,25)+$P38)/($AB38+INDEX(DM_SLDD,25))*INDEX(DM_SLDD,25),0))</f>
        <v/>
      </c>
      <c r="AF38" s="88">
        <f>IF($A38="","",IFERROR((INDEX(DM_DDK621,25)+$P38)/($AB38+INDEX(DM_SLDD,25))*INDEX(DM_SLDD,25),0)+IFERROR((INDEX(DM_DDK622,25)+$Q38)/($AB38+INDEX(DM_SLDD,25)*INDEX(DM_Pct,25))*(INDEX(DM_SLDD,25)*INDEX(DM_Pct,25)),0)+IFERROR((INDEX(DM_DDK623,25)+$R38)/($AB38+INDEX(DM_SLDD,25)*INDEX(DM_Pct,25))*(INDEX(DM_SLDD,25)*INDEX(DM_Pct,25)),0)+IFERROR((INDEX(DM_DDK627,25)+$U38)/($AB38+INDEX(DM_SLDD,25)*INDEX(DM_Pct,25))*(INDEX(DM_SLDD,25)*INDEX(DM_Pct,25)),0))</f>
        <v/>
      </c>
      <c r="AG38" s="88">
        <f>IF($A38="","",INDEX(DM_SLDD,25)*INDEX(DM_DGDinhMuc,25))</f>
        <v/>
      </c>
      <c r="AH38" s="88">
        <f>IF($A38="",0,IF(AND(ISNUMBER($AA38),$AA38&gt;0,$AB38&lt;=0),1,0))</f>
        <v/>
      </c>
      <c r="AI38" s="88">
        <f>IF($A38="",0,IF(AND(ISNUMBER($Z38),$Z38&lt;0),1,0))</f>
        <v/>
      </c>
      <c r="AJ38" s="88">
        <f>IF($A38="",0,IF(AND(ISNUMBER($AA38),$AA38&lt;0),1,0))</f>
        <v/>
      </c>
    </row>
    <row r="39" ht="15" customHeight="1" s="54">
      <c r="A39" s="80">
        <f>IF(INDEX(DM_Ma,26)="","",INDEX(DM_Ma,26))</f>
        <v/>
      </c>
      <c r="B39" s="80">
        <f>IF($A39="","",INDEX(DM_Ten,26))</f>
        <v/>
      </c>
      <c r="C39" s="80">
        <f>IF($A39="","",INDEX(DM_Loai,26))</f>
        <v/>
      </c>
      <c r="D39" s="80">
        <f>IF($A39="","",INDEX(DM_TrangThai,26))</f>
        <v/>
      </c>
      <c r="E39" s="82">
        <f>IF($A39="","",SUMIFS(L_ST,L_Ma,$A39,L_KM,"NVL trực tiếp (621)",L_TT,"Trực tiếp",L_Ngay,"&gt;="&amp;pTu,L_Ngay,"&lt;="&amp;pDen))</f>
        <v/>
      </c>
      <c r="F39" s="82">
        <f>IF($A39="","",SUMIFS(L_ST,L_Ma,$A39,L_KM,"Nhân công trực tiếp (622)",L_TT,"Trực tiếp",L_Ngay,"&gt;="&amp;pTu,L_Ngay,"&lt;="&amp;pDen))</f>
        <v/>
      </c>
      <c r="G39" s="82">
        <f>IF($A39="","",SUMIFS(L_ST,L_Ma,$A39,L_KM,"Máy thi công (623)",L_TT,"Trực tiếp",L_Ngay,"&gt;="&amp;pTu,L_Ngay,"&lt;="&amp;pDen))</f>
        <v/>
      </c>
      <c r="H39" s="82">
        <f>IF($A39="","",SUMIFS(L_ST,L_Ma,$A39,L_KM,"SXC (627)",L_TT,"Trực tiếp",L_Tinh,"Biến đổi",L_Ngay,"&gt;="&amp;pTu,L_Ngay,"&lt;="&amp;pDen))</f>
        <v/>
      </c>
      <c r="I39" s="82">
        <f>IF($A39="","",SUMIFS(L_ST,L_Ma,$A39,L_KM,"SXC (627)",L_TT,"Trực tiếp",L_Tinh,"Cố định",L_Ngay,"&gt;="&amp;pTu,L_Ngay,"&lt;="&amp;pDen))</f>
        <v/>
      </c>
      <c r="J39" s="82">
        <f>IF($A39="","",CHOOSE(MATCH(pTieuThuc,LST_TieuThuc,0),$E39,$F39,INDEX(DM_GioMay,26),INDEX(DM_GioCong,26),INDEX(DM_SLHT,26),INDEX(DM_DThu,26),INDEX(DM_TieuKhac,26)))</f>
        <v/>
      </c>
      <c r="K39" s="82">
        <f>IF($A39="","",IF(tBase=0,0,$J39/tBase*pool621))</f>
        <v/>
      </c>
      <c r="L39" s="82">
        <f>IF($A39="","",IF(tBase=0,0,$J39/tBase*pool622))</f>
        <v/>
      </c>
      <c r="M39" s="82">
        <f>IF($A39="","",IF(tBase=0,0,$J39/tBase*pool623))</f>
        <v/>
      </c>
      <c r="N39" s="82">
        <f>IF($A39="","",IF(tBase=0,0,$J39/tBase*pool627BD))</f>
        <v/>
      </c>
      <c r="O39" s="82">
        <f>IF($A39="","",IF(tBase=0,0,$J39/tBase*t627CDabs))</f>
        <v/>
      </c>
      <c r="P39" s="82">
        <f>IF($A39="","",$E39+$K39)</f>
        <v/>
      </c>
      <c r="Q39" s="82">
        <f>IF($A39="","",$F39+$L39)</f>
        <v/>
      </c>
      <c r="R39" s="82">
        <f>IF($A39="","",$G39+$M39)</f>
        <v/>
      </c>
      <c r="S39" s="82">
        <f>IF($A39="","",$H39+$N39)</f>
        <v/>
      </c>
      <c r="T39" s="82">
        <f>IF($A39="","",$I39+$O39)</f>
        <v/>
      </c>
      <c r="U39" s="82">
        <f>IF($A39="","",$S39+$T39)</f>
        <v/>
      </c>
      <c r="V39" s="82">
        <f>IF($A39="","",INDEX(DM_DDK621,26)+INDEX(DM_DDK622,26)+INDEX(DM_DDK623,26)+INDEX(DM_DDK627,26))</f>
        <v/>
      </c>
      <c r="W39" s="82">
        <f>IF($A39="","",SUMIFS(L_ST,L_Ma,$A39,L_KM,"Phế liệu thu hồi",L_Ngay,"&gt;="&amp;pTu,L_Ngay,"&lt;="&amp;pDen))</f>
        <v/>
      </c>
      <c r="X39" s="82">
        <f>IF($A39="","",SUMIFS(L_ST,L_Ma,$A39,L_KM,"SP hỏng ngoài định mức",L_Ngay,"&gt;="&amp;pTu,L_Ngay,"&lt;="&amp;pDen))</f>
        <v/>
      </c>
      <c r="Y39" s="82">
        <f>IF($A39="","",$P39+$Q39+$R39+$U39)</f>
        <v/>
      </c>
      <c r="Z39" s="82">
        <f>IF($A39="","",IF($D39="Đang thực hiện",$V39+$Y39,CHOOSE(MATCH(pDoDang,LST_DoDang,0),$AE39,$AF39,$AG39)))</f>
        <v/>
      </c>
      <c r="AA39" s="82">
        <f>IF($A39="","",$V39+$Y39-$Z39-$W39-$X39)</f>
        <v/>
      </c>
      <c r="AB39" s="82">
        <f>IF($A39="","",INDEX(DM_SLHT,26))</f>
        <v/>
      </c>
      <c r="AC39" s="82">
        <f>IF($A39="","",IF($AB39&lt;=0,"⚠ CHƯA CÓ SL",ROUND($AA39/$AB39,0)))</f>
        <v/>
      </c>
      <c r="AE39" s="88">
        <f>IF($A39="","",IFERROR((INDEX(DM_DDK621,26)+$P39)/($AB39+INDEX(DM_SLDD,26))*INDEX(DM_SLDD,26),0))</f>
        <v/>
      </c>
      <c r="AF39" s="88">
        <f>IF($A39="","",IFERROR((INDEX(DM_DDK621,26)+$P39)/($AB39+INDEX(DM_SLDD,26))*INDEX(DM_SLDD,26),0)+IFERROR((INDEX(DM_DDK622,26)+$Q39)/($AB39+INDEX(DM_SLDD,26)*INDEX(DM_Pct,26))*(INDEX(DM_SLDD,26)*INDEX(DM_Pct,26)),0)+IFERROR((INDEX(DM_DDK623,26)+$R39)/($AB39+INDEX(DM_SLDD,26)*INDEX(DM_Pct,26))*(INDEX(DM_SLDD,26)*INDEX(DM_Pct,26)),0)+IFERROR((INDEX(DM_DDK627,26)+$U39)/($AB39+INDEX(DM_SLDD,26)*INDEX(DM_Pct,26))*(INDEX(DM_SLDD,26)*INDEX(DM_Pct,26)),0))</f>
        <v/>
      </c>
      <c r="AG39" s="88">
        <f>IF($A39="","",INDEX(DM_SLDD,26)*INDEX(DM_DGDinhMuc,26))</f>
        <v/>
      </c>
      <c r="AH39" s="88">
        <f>IF($A39="",0,IF(AND(ISNUMBER($AA39),$AA39&gt;0,$AB39&lt;=0),1,0))</f>
        <v/>
      </c>
      <c r="AI39" s="88">
        <f>IF($A39="",0,IF(AND(ISNUMBER($Z39),$Z39&lt;0),1,0))</f>
        <v/>
      </c>
      <c r="AJ39" s="88">
        <f>IF($A39="",0,IF(AND(ISNUMBER($AA39),$AA39&lt;0),1,0))</f>
        <v/>
      </c>
    </row>
    <row r="40" ht="15" customHeight="1" s="54">
      <c r="A40" s="80">
        <f>IF(INDEX(DM_Ma,27)="","",INDEX(DM_Ma,27))</f>
        <v/>
      </c>
      <c r="B40" s="80">
        <f>IF($A40="","",INDEX(DM_Ten,27))</f>
        <v/>
      </c>
      <c r="C40" s="80">
        <f>IF($A40="","",INDEX(DM_Loai,27))</f>
        <v/>
      </c>
      <c r="D40" s="80">
        <f>IF($A40="","",INDEX(DM_TrangThai,27))</f>
        <v/>
      </c>
      <c r="E40" s="82">
        <f>IF($A40="","",SUMIFS(L_ST,L_Ma,$A40,L_KM,"NVL trực tiếp (621)",L_TT,"Trực tiếp",L_Ngay,"&gt;="&amp;pTu,L_Ngay,"&lt;="&amp;pDen))</f>
        <v/>
      </c>
      <c r="F40" s="82">
        <f>IF($A40="","",SUMIFS(L_ST,L_Ma,$A40,L_KM,"Nhân công trực tiếp (622)",L_TT,"Trực tiếp",L_Ngay,"&gt;="&amp;pTu,L_Ngay,"&lt;="&amp;pDen))</f>
        <v/>
      </c>
      <c r="G40" s="82">
        <f>IF($A40="","",SUMIFS(L_ST,L_Ma,$A40,L_KM,"Máy thi công (623)",L_TT,"Trực tiếp",L_Ngay,"&gt;="&amp;pTu,L_Ngay,"&lt;="&amp;pDen))</f>
        <v/>
      </c>
      <c r="H40" s="82">
        <f>IF($A40="","",SUMIFS(L_ST,L_Ma,$A40,L_KM,"SXC (627)",L_TT,"Trực tiếp",L_Tinh,"Biến đổi",L_Ngay,"&gt;="&amp;pTu,L_Ngay,"&lt;="&amp;pDen))</f>
        <v/>
      </c>
      <c r="I40" s="82">
        <f>IF($A40="","",SUMIFS(L_ST,L_Ma,$A40,L_KM,"SXC (627)",L_TT,"Trực tiếp",L_Tinh,"Cố định",L_Ngay,"&gt;="&amp;pTu,L_Ngay,"&lt;="&amp;pDen))</f>
        <v/>
      </c>
      <c r="J40" s="82">
        <f>IF($A40="","",CHOOSE(MATCH(pTieuThuc,LST_TieuThuc,0),$E40,$F40,INDEX(DM_GioMay,27),INDEX(DM_GioCong,27),INDEX(DM_SLHT,27),INDEX(DM_DThu,27),INDEX(DM_TieuKhac,27)))</f>
        <v/>
      </c>
      <c r="K40" s="82">
        <f>IF($A40="","",IF(tBase=0,0,$J40/tBase*pool621))</f>
        <v/>
      </c>
      <c r="L40" s="82">
        <f>IF($A40="","",IF(tBase=0,0,$J40/tBase*pool622))</f>
        <v/>
      </c>
      <c r="M40" s="82">
        <f>IF($A40="","",IF(tBase=0,0,$J40/tBase*pool623))</f>
        <v/>
      </c>
      <c r="N40" s="82">
        <f>IF($A40="","",IF(tBase=0,0,$J40/tBase*pool627BD))</f>
        <v/>
      </c>
      <c r="O40" s="82">
        <f>IF($A40="","",IF(tBase=0,0,$J40/tBase*t627CDabs))</f>
        <v/>
      </c>
      <c r="P40" s="82">
        <f>IF($A40="","",$E40+$K40)</f>
        <v/>
      </c>
      <c r="Q40" s="82">
        <f>IF($A40="","",$F40+$L40)</f>
        <v/>
      </c>
      <c r="R40" s="82">
        <f>IF($A40="","",$G40+$M40)</f>
        <v/>
      </c>
      <c r="S40" s="82">
        <f>IF($A40="","",$H40+$N40)</f>
        <v/>
      </c>
      <c r="T40" s="82">
        <f>IF($A40="","",$I40+$O40)</f>
        <v/>
      </c>
      <c r="U40" s="82">
        <f>IF($A40="","",$S40+$T40)</f>
        <v/>
      </c>
      <c r="V40" s="82">
        <f>IF($A40="","",INDEX(DM_DDK621,27)+INDEX(DM_DDK622,27)+INDEX(DM_DDK623,27)+INDEX(DM_DDK627,27))</f>
        <v/>
      </c>
      <c r="W40" s="82">
        <f>IF($A40="","",SUMIFS(L_ST,L_Ma,$A40,L_KM,"Phế liệu thu hồi",L_Ngay,"&gt;="&amp;pTu,L_Ngay,"&lt;="&amp;pDen))</f>
        <v/>
      </c>
      <c r="X40" s="82">
        <f>IF($A40="","",SUMIFS(L_ST,L_Ma,$A40,L_KM,"SP hỏng ngoài định mức",L_Ngay,"&gt;="&amp;pTu,L_Ngay,"&lt;="&amp;pDen))</f>
        <v/>
      </c>
      <c r="Y40" s="82">
        <f>IF($A40="","",$P40+$Q40+$R40+$U40)</f>
        <v/>
      </c>
      <c r="Z40" s="82">
        <f>IF($A40="","",IF($D40="Đang thực hiện",$V40+$Y40,CHOOSE(MATCH(pDoDang,LST_DoDang,0),$AE40,$AF40,$AG40)))</f>
        <v/>
      </c>
      <c r="AA40" s="82">
        <f>IF($A40="","",$V40+$Y40-$Z40-$W40-$X40)</f>
        <v/>
      </c>
      <c r="AB40" s="82">
        <f>IF($A40="","",INDEX(DM_SLHT,27))</f>
        <v/>
      </c>
      <c r="AC40" s="82">
        <f>IF($A40="","",IF($AB40&lt;=0,"⚠ CHƯA CÓ SL",ROUND($AA40/$AB40,0)))</f>
        <v/>
      </c>
      <c r="AE40" s="88">
        <f>IF($A40="","",IFERROR((INDEX(DM_DDK621,27)+$P40)/($AB40+INDEX(DM_SLDD,27))*INDEX(DM_SLDD,27),0))</f>
        <v/>
      </c>
      <c r="AF40" s="88">
        <f>IF($A40="","",IFERROR((INDEX(DM_DDK621,27)+$P40)/($AB40+INDEX(DM_SLDD,27))*INDEX(DM_SLDD,27),0)+IFERROR((INDEX(DM_DDK622,27)+$Q40)/($AB40+INDEX(DM_SLDD,27)*INDEX(DM_Pct,27))*(INDEX(DM_SLDD,27)*INDEX(DM_Pct,27)),0)+IFERROR((INDEX(DM_DDK623,27)+$R40)/($AB40+INDEX(DM_SLDD,27)*INDEX(DM_Pct,27))*(INDEX(DM_SLDD,27)*INDEX(DM_Pct,27)),0)+IFERROR((INDEX(DM_DDK627,27)+$U40)/($AB40+INDEX(DM_SLDD,27)*INDEX(DM_Pct,27))*(INDEX(DM_SLDD,27)*INDEX(DM_Pct,27)),0))</f>
        <v/>
      </c>
      <c r="AG40" s="88">
        <f>IF($A40="","",INDEX(DM_SLDD,27)*INDEX(DM_DGDinhMuc,27))</f>
        <v/>
      </c>
      <c r="AH40" s="88">
        <f>IF($A40="",0,IF(AND(ISNUMBER($AA40),$AA40&gt;0,$AB40&lt;=0),1,0))</f>
        <v/>
      </c>
      <c r="AI40" s="88">
        <f>IF($A40="",0,IF(AND(ISNUMBER($Z40),$Z40&lt;0),1,0))</f>
        <v/>
      </c>
      <c r="AJ40" s="88">
        <f>IF($A40="",0,IF(AND(ISNUMBER($AA40),$AA40&lt;0),1,0))</f>
        <v/>
      </c>
    </row>
    <row r="41" ht="15" customHeight="1" s="54">
      <c r="A41" s="80">
        <f>IF(INDEX(DM_Ma,28)="","",INDEX(DM_Ma,28))</f>
        <v/>
      </c>
      <c r="B41" s="80">
        <f>IF($A41="","",INDEX(DM_Ten,28))</f>
        <v/>
      </c>
      <c r="C41" s="80">
        <f>IF($A41="","",INDEX(DM_Loai,28))</f>
        <v/>
      </c>
      <c r="D41" s="80">
        <f>IF($A41="","",INDEX(DM_TrangThai,28))</f>
        <v/>
      </c>
      <c r="E41" s="82">
        <f>IF($A41="","",SUMIFS(L_ST,L_Ma,$A41,L_KM,"NVL trực tiếp (621)",L_TT,"Trực tiếp",L_Ngay,"&gt;="&amp;pTu,L_Ngay,"&lt;="&amp;pDen))</f>
        <v/>
      </c>
      <c r="F41" s="82">
        <f>IF($A41="","",SUMIFS(L_ST,L_Ma,$A41,L_KM,"Nhân công trực tiếp (622)",L_TT,"Trực tiếp",L_Ngay,"&gt;="&amp;pTu,L_Ngay,"&lt;="&amp;pDen))</f>
        <v/>
      </c>
      <c r="G41" s="82">
        <f>IF($A41="","",SUMIFS(L_ST,L_Ma,$A41,L_KM,"Máy thi công (623)",L_TT,"Trực tiếp",L_Ngay,"&gt;="&amp;pTu,L_Ngay,"&lt;="&amp;pDen))</f>
        <v/>
      </c>
      <c r="H41" s="82">
        <f>IF($A41="","",SUMIFS(L_ST,L_Ma,$A41,L_KM,"SXC (627)",L_TT,"Trực tiếp",L_Tinh,"Biến đổi",L_Ngay,"&gt;="&amp;pTu,L_Ngay,"&lt;="&amp;pDen))</f>
        <v/>
      </c>
      <c r="I41" s="82">
        <f>IF($A41="","",SUMIFS(L_ST,L_Ma,$A41,L_KM,"SXC (627)",L_TT,"Trực tiếp",L_Tinh,"Cố định",L_Ngay,"&gt;="&amp;pTu,L_Ngay,"&lt;="&amp;pDen))</f>
        <v/>
      </c>
      <c r="J41" s="82">
        <f>IF($A41="","",CHOOSE(MATCH(pTieuThuc,LST_TieuThuc,0),$E41,$F41,INDEX(DM_GioMay,28),INDEX(DM_GioCong,28),INDEX(DM_SLHT,28),INDEX(DM_DThu,28),INDEX(DM_TieuKhac,28)))</f>
        <v/>
      </c>
      <c r="K41" s="82">
        <f>IF($A41="","",IF(tBase=0,0,$J41/tBase*pool621))</f>
        <v/>
      </c>
      <c r="L41" s="82">
        <f>IF($A41="","",IF(tBase=0,0,$J41/tBase*pool622))</f>
        <v/>
      </c>
      <c r="M41" s="82">
        <f>IF($A41="","",IF(tBase=0,0,$J41/tBase*pool623))</f>
        <v/>
      </c>
      <c r="N41" s="82">
        <f>IF($A41="","",IF(tBase=0,0,$J41/tBase*pool627BD))</f>
        <v/>
      </c>
      <c r="O41" s="82">
        <f>IF($A41="","",IF(tBase=0,0,$J41/tBase*t627CDabs))</f>
        <v/>
      </c>
      <c r="P41" s="82">
        <f>IF($A41="","",$E41+$K41)</f>
        <v/>
      </c>
      <c r="Q41" s="82">
        <f>IF($A41="","",$F41+$L41)</f>
        <v/>
      </c>
      <c r="R41" s="82">
        <f>IF($A41="","",$G41+$M41)</f>
        <v/>
      </c>
      <c r="S41" s="82">
        <f>IF($A41="","",$H41+$N41)</f>
        <v/>
      </c>
      <c r="T41" s="82">
        <f>IF($A41="","",$I41+$O41)</f>
        <v/>
      </c>
      <c r="U41" s="82">
        <f>IF($A41="","",$S41+$T41)</f>
        <v/>
      </c>
      <c r="V41" s="82">
        <f>IF($A41="","",INDEX(DM_DDK621,28)+INDEX(DM_DDK622,28)+INDEX(DM_DDK623,28)+INDEX(DM_DDK627,28))</f>
        <v/>
      </c>
      <c r="W41" s="82">
        <f>IF($A41="","",SUMIFS(L_ST,L_Ma,$A41,L_KM,"Phế liệu thu hồi",L_Ngay,"&gt;="&amp;pTu,L_Ngay,"&lt;="&amp;pDen))</f>
        <v/>
      </c>
      <c r="X41" s="82">
        <f>IF($A41="","",SUMIFS(L_ST,L_Ma,$A41,L_KM,"SP hỏng ngoài định mức",L_Ngay,"&gt;="&amp;pTu,L_Ngay,"&lt;="&amp;pDen))</f>
        <v/>
      </c>
      <c r="Y41" s="82">
        <f>IF($A41="","",$P41+$Q41+$R41+$U41)</f>
        <v/>
      </c>
      <c r="Z41" s="82">
        <f>IF($A41="","",IF($D41="Đang thực hiện",$V41+$Y41,CHOOSE(MATCH(pDoDang,LST_DoDang,0),$AE41,$AF41,$AG41)))</f>
        <v/>
      </c>
      <c r="AA41" s="82">
        <f>IF($A41="","",$V41+$Y41-$Z41-$W41-$X41)</f>
        <v/>
      </c>
      <c r="AB41" s="82">
        <f>IF($A41="","",INDEX(DM_SLHT,28))</f>
        <v/>
      </c>
      <c r="AC41" s="82">
        <f>IF($A41="","",IF($AB41&lt;=0,"⚠ CHƯA CÓ SL",ROUND($AA41/$AB41,0)))</f>
        <v/>
      </c>
      <c r="AE41" s="88">
        <f>IF($A41="","",IFERROR((INDEX(DM_DDK621,28)+$P41)/($AB41+INDEX(DM_SLDD,28))*INDEX(DM_SLDD,28),0))</f>
        <v/>
      </c>
      <c r="AF41" s="88">
        <f>IF($A41="","",IFERROR((INDEX(DM_DDK621,28)+$P41)/($AB41+INDEX(DM_SLDD,28))*INDEX(DM_SLDD,28),0)+IFERROR((INDEX(DM_DDK622,28)+$Q41)/($AB41+INDEX(DM_SLDD,28)*INDEX(DM_Pct,28))*(INDEX(DM_SLDD,28)*INDEX(DM_Pct,28)),0)+IFERROR((INDEX(DM_DDK623,28)+$R41)/($AB41+INDEX(DM_SLDD,28)*INDEX(DM_Pct,28))*(INDEX(DM_SLDD,28)*INDEX(DM_Pct,28)),0)+IFERROR((INDEX(DM_DDK627,28)+$U41)/($AB41+INDEX(DM_SLDD,28)*INDEX(DM_Pct,28))*(INDEX(DM_SLDD,28)*INDEX(DM_Pct,28)),0))</f>
        <v/>
      </c>
      <c r="AG41" s="88">
        <f>IF($A41="","",INDEX(DM_SLDD,28)*INDEX(DM_DGDinhMuc,28))</f>
        <v/>
      </c>
      <c r="AH41" s="88">
        <f>IF($A41="",0,IF(AND(ISNUMBER($AA41),$AA41&gt;0,$AB41&lt;=0),1,0))</f>
        <v/>
      </c>
      <c r="AI41" s="88">
        <f>IF($A41="",0,IF(AND(ISNUMBER($Z41),$Z41&lt;0),1,0))</f>
        <v/>
      </c>
      <c r="AJ41" s="88">
        <f>IF($A41="",0,IF(AND(ISNUMBER($AA41),$AA41&lt;0),1,0))</f>
        <v/>
      </c>
    </row>
    <row r="42" ht="15" customHeight="1" s="54">
      <c r="A42" s="80">
        <f>IF(INDEX(DM_Ma,29)="","",INDEX(DM_Ma,29))</f>
        <v/>
      </c>
      <c r="B42" s="80">
        <f>IF($A42="","",INDEX(DM_Ten,29))</f>
        <v/>
      </c>
      <c r="C42" s="80">
        <f>IF($A42="","",INDEX(DM_Loai,29))</f>
        <v/>
      </c>
      <c r="D42" s="80">
        <f>IF($A42="","",INDEX(DM_TrangThai,29))</f>
        <v/>
      </c>
      <c r="E42" s="82">
        <f>IF($A42="","",SUMIFS(L_ST,L_Ma,$A42,L_KM,"NVL trực tiếp (621)",L_TT,"Trực tiếp",L_Ngay,"&gt;="&amp;pTu,L_Ngay,"&lt;="&amp;pDen))</f>
        <v/>
      </c>
      <c r="F42" s="82">
        <f>IF($A42="","",SUMIFS(L_ST,L_Ma,$A42,L_KM,"Nhân công trực tiếp (622)",L_TT,"Trực tiếp",L_Ngay,"&gt;="&amp;pTu,L_Ngay,"&lt;="&amp;pDen))</f>
        <v/>
      </c>
      <c r="G42" s="82">
        <f>IF($A42="","",SUMIFS(L_ST,L_Ma,$A42,L_KM,"Máy thi công (623)",L_TT,"Trực tiếp",L_Ngay,"&gt;="&amp;pTu,L_Ngay,"&lt;="&amp;pDen))</f>
        <v/>
      </c>
      <c r="H42" s="82">
        <f>IF($A42="","",SUMIFS(L_ST,L_Ma,$A42,L_KM,"SXC (627)",L_TT,"Trực tiếp",L_Tinh,"Biến đổi",L_Ngay,"&gt;="&amp;pTu,L_Ngay,"&lt;="&amp;pDen))</f>
        <v/>
      </c>
      <c r="I42" s="82">
        <f>IF($A42="","",SUMIFS(L_ST,L_Ma,$A42,L_KM,"SXC (627)",L_TT,"Trực tiếp",L_Tinh,"Cố định",L_Ngay,"&gt;="&amp;pTu,L_Ngay,"&lt;="&amp;pDen))</f>
        <v/>
      </c>
      <c r="J42" s="82">
        <f>IF($A42="","",CHOOSE(MATCH(pTieuThuc,LST_TieuThuc,0),$E42,$F42,INDEX(DM_GioMay,29),INDEX(DM_GioCong,29),INDEX(DM_SLHT,29),INDEX(DM_DThu,29),INDEX(DM_TieuKhac,29)))</f>
        <v/>
      </c>
      <c r="K42" s="82">
        <f>IF($A42="","",IF(tBase=0,0,$J42/tBase*pool621))</f>
        <v/>
      </c>
      <c r="L42" s="82">
        <f>IF($A42="","",IF(tBase=0,0,$J42/tBase*pool622))</f>
        <v/>
      </c>
      <c r="M42" s="82">
        <f>IF($A42="","",IF(tBase=0,0,$J42/tBase*pool623))</f>
        <v/>
      </c>
      <c r="N42" s="82">
        <f>IF($A42="","",IF(tBase=0,0,$J42/tBase*pool627BD))</f>
        <v/>
      </c>
      <c r="O42" s="82">
        <f>IF($A42="","",IF(tBase=0,0,$J42/tBase*t627CDabs))</f>
        <v/>
      </c>
      <c r="P42" s="82">
        <f>IF($A42="","",$E42+$K42)</f>
        <v/>
      </c>
      <c r="Q42" s="82">
        <f>IF($A42="","",$F42+$L42)</f>
        <v/>
      </c>
      <c r="R42" s="82">
        <f>IF($A42="","",$G42+$M42)</f>
        <v/>
      </c>
      <c r="S42" s="82">
        <f>IF($A42="","",$H42+$N42)</f>
        <v/>
      </c>
      <c r="T42" s="82">
        <f>IF($A42="","",$I42+$O42)</f>
        <v/>
      </c>
      <c r="U42" s="82">
        <f>IF($A42="","",$S42+$T42)</f>
        <v/>
      </c>
      <c r="V42" s="82">
        <f>IF($A42="","",INDEX(DM_DDK621,29)+INDEX(DM_DDK622,29)+INDEX(DM_DDK623,29)+INDEX(DM_DDK627,29))</f>
        <v/>
      </c>
      <c r="W42" s="82">
        <f>IF($A42="","",SUMIFS(L_ST,L_Ma,$A42,L_KM,"Phế liệu thu hồi",L_Ngay,"&gt;="&amp;pTu,L_Ngay,"&lt;="&amp;pDen))</f>
        <v/>
      </c>
      <c r="X42" s="82">
        <f>IF($A42="","",SUMIFS(L_ST,L_Ma,$A42,L_KM,"SP hỏng ngoài định mức",L_Ngay,"&gt;="&amp;pTu,L_Ngay,"&lt;="&amp;pDen))</f>
        <v/>
      </c>
      <c r="Y42" s="82">
        <f>IF($A42="","",$P42+$Q42+$R42+$U42)</f>
        <v/>
      </c>
      <c r="Z42" s="82">
        <f>IF($A42="","",IF($D42="Đang thực hiện",$V42+$Y42,CHOOSE(MATCH(pDoDang,LST_DoDang,0),$AE42,$AF42,$AG42)))</f>
        <v/>
      </c>
      <c r="AA42" s="82">
        <f>IF($A42="","",$V42+$Y42-$Z42-$W42-$X42)</f>
        <v/>
      </c>
      <c r="AB42" s="82">
        <f>IF($A42="","",INDEX(DM_SLHT,29))</f>
        <v/>
      </c>
      <c r="AC42" s="82">
        <f>IF($A42="","",IF($AB42&lt;=0,"⚠ CHƯA CÓ SL",ROUND($AA42/$AB42,0)))</f>
        <v/>
      </c>
      <c r="AE42" s="88">
        <f>IF($A42="","",IFERROR((INDEX(DM_DDK621,29)+$P42)/($AB42+INDEX(DM_SLDD,29))*INDEX(DM_SLDD,29),0))</f>
        <v/>
      </c>
      <c r="AF42" s="88">
        <f>IF($A42="","",IFERROR((INDEX(DM_DDK621,29)+$P42)/($AB42+INDEX(DM_SLDD,29))*INDEX(DM_SLDD,29),0)+IFERROR((INDEX(DM_DDK622,29)+$Q42)/($AB42+INDEX(DM_SLDD,29)*INDEX(DM_Pct,29))*(INDEX(DM_SLDD,29)*INDEX(DM_Pct,29)),0)+IFERROR((INDEX(DM_DDK623,29)+$R42)/($AB42+INDEX(DM_SLDD,29)*INDEX(DM_Pct,29))*(INDEX(DM_SLDD,29)*INDEX(DM_Pct,29)),0)+IFERROR((INDEX(DM_DDK627,29)+$U42)/($AB42+INDEX(DM_SLDD,29)*INDEX(DM_Pct,29))*(INDEX(DM_SLDD,29)*INDEX(DM_Pct,29)),0))</f>
        <v/>
      </c>
      <c r="AG42" s="88">
        <f>IF($A42="","",INDEX(DM_SLDD,29)*INDEX(DM_DGDinhMuc,29))</f>
        <v/>
      </c>
      <c r="AH42" s="88">
        <f>IF($A42="",0,IF(AND(ISNUMBER($AA42),$AA42&gt;0,$AB42&lt;=0),1,0))</f>
        <v/>
      </c>
      <c r="AI42" s="88">
        <f>IF($A42="",0,IF(AND(ISNUMBER($Z42),$Z42&lt;0),1,0))</f>
        <v/>
      </c>
      <c r="AJ42" s="88">
        <f>IF($A42="",0,IF(AND(ISNUMBER($AA42),$AA42&lt;0),1,0))</f>
        <v/>
      </c>
    </row>
    <row r="43" ht="15" customHeight="1" s="54">
      <c r="A43" s="80">
        <f>IF(INDEX(DM_Ma,30)="","",INDEX(DM_Ma,30))</f>
        <v/>
      </c>
      <c r="B43" s="80">
        <f>IF($A43="","",INDEX(DM_Ten,30))</f>
        <v/>
      </c>
      <c r="C43" s="80">
        <f>IF($A43="","",INDEX(DM_Loai,30))</f>
        <v/>
      </c>
      <c r="D43" s="80">
        <f>IF($A43="","",INDEX(DM_TrangThai,30))</f>
        <v/>
      </c>
      <c r="E43" s="82">
        <f>IF($A43="","",SUMIFS(L_ST,L_Ma,$A43,L_KM,"NVL trực tiếp (621)",L_TT,"Trực tiếp",L_Ngay,"&gt;="&amp;pTu,L_Ngay,"&lt;="&amp;pDen))</f>
        <v/>
      </c>
      <c r="F43" s="82">
        <f>IF($A43="","",SUMIFS(L_ST,L_Ma,$A43,L_KM,"Nhân công trực tiếp (622)",L_TT,"Trực tiếp",L_Ngay,"&gt;="&amp;pTu,L_Ngay,"&lt;="&amp;pDen))</f>
        <v/>
      </c>
      <c r="G43" s="82">
        <f>IF($A43="","",SUMIFS(L_ST,L_Ma,$A43,L_KM,"Máy thi công (623)",L_TT,"Trực tiếp",L_Ngay,"&gt;="&amp;pTu,L_Ngay,"&lt;="&amp;pDen))</f>
        <v/>
      </c>
      <c r="H43" s="82">
        <f>IF($A43="","",SUMIFS(L_ST,L_Ma,$A43,L_KM,"SXC (627)",L_TT,"Trực tiếp",L_Tinh,"Biến đổi",L_Ngay,"&gt;="&amp;pTu,L_Ngay,"&lt;="&amp;pDen))</f>
        <v/>
      </c>
      <c r="I43" s="82">
        <f>IF($A43="","",SUMIFS(L_ST,L_Ma,$A43,L_KM,"SXC (627)",L_TT,"Trực tiếp",L_Tinh,"Cố định",L_Ngay,"&gt;="&amp;pTu,L_Ngay,"&lt;="&amp;pDen))</f>
        <v/>
      </c>
      <c r="J43" s="82">
        <f>IF($A43="","",CHOOSE(MATCH(pTieuThuc,LST_TieuThuc,0),$E43,$F43,INDEX(DM_GioMay,30),INDEX(DM_GioCong,30),INDEX(DM_SLHT,30),INDEX(DM_DThu,30),INDEX(DM_TieuKhac,30)))</f>
        <v/>
      </c>
      <c r="K43" s="82">
        <f>IF($A43="","",IF(tBase=0,0,$J43/tBase*pool621))</f>
        <v/>
      </c>
      <c r="L43" s="82">
        <f>IF($A43="","",IF(tBase=0,0,$J43/tBase*pool622))</f>
        <v/>
      </c>
      <c r="M43" s="82">
        <f>IF($A43="","",IF(tBase=0,0,$J43/tBase*pool623))</f>
        <v/>
      </c>
      <c r="N43" s="82">
        <f>IF($A43="","",IF(tBase=0,0,$J43/tBase*pool627BD))</f>
        <v/>
      </c>
      <c r="O43" s="82">
        <f>IF($A43="","",IF(tBase=0,0,$J43/tBase*t627CDabs))</f>
        <v/>
      </c>
      <c r="P43" s="82">
        <f>IF($A43="","",$E43+$K43)</f>
        <v/>
      </c>
      <c r="Q43" s="82">
        <f>IF($A43="","",$F43+$L43)</f>
        <v/>
      </c>
      <c r="R43" s="82">
        <f>IF($A43="","",$G43+$M43)</f>
        <v/>
      </c>
      <c r="S43" s="82">
        <f>IF($A43="","",$H43+$N43)</f>
        <v/>
      </c>
      <c r="T43" s="82">
        <f>IF($A43="","",$I43+$O43)</f>
        <v/>
      </c>
      <c r="U43" s="82">
        <f>IF($A43="","",$S43+$T43)</f>
        <v/>
      </c>
      <c r="V43" s="82">
        <f>IF($A43="","",INDEX(DM_DDK621,30)+INDEX(DM_DDK622,30)+INDEX(DM_DDK623,30)+INDEX(DM_DDK627,30))</f>
        <v/>
      </c>
      <c r="W43" s="82">
        <f>IF($A43="","",SUMIFS(L_ST,L_Ma,$A43,L_KM,"Phế liệu thu hồi",L_Ngay,"&gt;="&amp;pTu,L_Ngay,"&lt;="&amp;pDen))</f>
        <v/>
      </c>
      <c r="X43" s="82">
        <f>IF($A43="","",SUMIFS(L_ST,L_Ma,$A43,L_KM,"SP hỏng ngoài định mức",L_Ngay,"&gt;="&amp;pTu,L_Ngay,"&lt;="&amp;pDen))</f>
        <v/>
      </c>
      <c r="Y43" s="82">
        <f>IF($A43="","",$P43+$Q43+$R43+$U43)</f>
        <v/>
      </c>
      <c r="Z43" s="82">
        <f>IF($A43="","",IF($D43="Đang thực hiện",$V43+$Y43,CHOOSE(MATCH(pDoDang,LST_DoDang,0),$AE43,$AF43,$AG43)))</f>
        <v/>
      </c>
      <c r="AA43" s="82">
        <f>IF($A43="","",$V43+$Y43-$Z43-$W43-$X43)</f>
        <v/>
      </c>
      <c r="AB43" s="82">
        <f>IF($A43="","",INDEX(DM_SLHT,30))</f>
        <v/>
      </c>
      <c r="AC43" s="82">
        <f>IF($A43="","",IF($AB43&lt;=0,"⚠ CHƯA CÓ SL",ROUND($AA43/$AB43,0)))</f>
        <v/>
      </c>
      <c r="AE43" s="88">
        <f>IF($A43="","",IFERROR((INDEX(DM_DDK621,30)+$P43)/($AB43+INDEX(DM_SLDD,30))*INDEX(DM_SLDD,30),0))</f>
        <v/>
      </c>
      <c r="AF43" s="88">
        <f>IF($A43="","",IFERROR((INDEX(DM_DDK621,30)+$P43)/($AB43+INDEX(DM_SLDD,30))*INDEX(DM_SLDD,30),0)+IFERROR((INDEX(DM_DDK622,30)+$Q43)/($AB43+INDEX(DM_SLDD,30)*INDEX(DM_Pct,30))*(INDEX(DM_SLDD,30)*INDEX(DM_Pct,30)),0)+IFERROR((INDEX(DM_DDK623,30)+$R43)/($AB43+INDEX(DM_SLDD,30)*INDEX(DM_Pct,30))*(INDEX(DM_SLDD,30)*INDEX(DM_Pct,30)),0)+IFERROR((INDEX(DM_DDK627,30)+$U43)/($AB43+INDEX(DM_SLDD,30)*INDEX(DM_Pct,30))*(INDEX(DM_SLDD,30)*INDEX(DM_Pct,30)),0))</f>
        <v/>
      </c>
      <c r="AG43" s="88">
        <f>IF($A43="","",INDEX(DM_SLDD,30)*INDEX(DM_DGDinhMuc,30))</f>
        <v/>
      </c>
      <c r="AH43" s="88">
        <f>IF($A43="",0,IF(AND(ISNUMBER($AA43),$AA43&gt;0,$AB43&lt;=0),1,0))</f>
        <v/>
      </c>
      <c r="AI43" s="88">
        <f>IF($A43="",0,IF(AND(ISNUMBER($Z43),$Z43&lt;0),1,0))</f>
        <v/>
      </c>
      <c r="AJ43" s="88">
        <f>IF($A43="",0,IF(AND(ISNUMBER($AA43),$AA43&lt;0),1,0))</f>
        <v/>
      </c>
    </row>
    <row r="44" ht="15" customHeight="1" s="54">
      <c r="A44" s="80">
        <f>IF(INDEX(DM_Ma,31)="","",INDEX(DM_Ma,31))</f>
        <v/>
      </c>
      <c r="B44" s="80">
        <f>IF($A44="","",INDEX(DM_Ten,31))</f>
        <v/>
      </c>
      <c r="C44" s="80">
        <f>IF($A44="","",INDEX(DM_Loai,31))</f>
        <v/>
      </c>
      <c r="D44" s="80">
        <f>IF($A44="","",INDEX(DM_TrangThai,31))</f>
        <v/>
      </c>
      <c r="E44" s="82">
        <f>IF($A44="","",SUMIFS(L_ST,L_Ma,$A44,L_KM,"NVL trực tiếp (621)",L_TT,"Trực tiếp",L_Ngay,"&gt;="&amp;pTu,L_Ngay,"&lt;="&amp;pDen))</f>
        <v/>
      </c>
      <c r="F44" s="82">
        <f>IF($A44="","",SUMIFS(L_ST,L_Ma,$A44,L_KM,"Nhân công trực tiếp (622)",L_TT,"Trực tiếp",L_Ngay,"&gt;="&amp;pTu,L_Ngay,"&lt;="&amp;pDen))</f>
        <v/>
      </c>
      <c r="G44" s="82">
        <f>IF($A44="","",SUMIFS(L_ST,L_Ma,$A44,L_KM,"Máy thi công (623)",L_TT,"Trực tiếp",L_Ngay,"&gt;="&amp;pTu,L_Ngay,"&lt;="&amp;pDen))</f>
        <v/>
      </c>
      <c r="H44" s="82">
        <f>IF($A44="","",SUMIFS(L_ST,L_Ma,$A44,L_KM,"SXC (627)",L_TT,"Trực tiếp",L_Tinh,"Biến đổi",L_Ngay,"&gt;="&amp;pTu,L_Ngay,"&lt;="&amp;pDen))</f>
        <v/>
      </c>
      <c r="I44" s="82">
        <f>IF($A44="","",SUMIFS(L_ST,L_Ma,$A44,L_KM,"SXC (627)",L_TT,"Trực tiếp",L_Tinh,"Cố định",L_Ngay,"&gt;="&amp;pTu,L_Ngay,"&lt;="&amp;pDen))</f>
        <v/>
      </c>
      <c r="J44" s="82">
        <f>IF($A44="","",CHOOSE(MATCH(pTieuThuc,LST_TieuThuc,0),$E44,$F44,INDEX(DM_GioMay,31),INDEX(DM_GioCong,31),INDEX(DM_SLHT,31),INDEX(DM_DThu,31),INDEX(DM_TieuKhac,31)))</f>
        <v/>
      </c>
      <c r="K44" s="82">
        <f>IF($A44="","",IF(tBase=0,0,$J44/tBase*pool621))</f>
        <v/>
      </c>
      <c r="L44" s="82">
        <f>IF($A44="","",IF(tBase=0,0,$J44/tBase*pool622))</f>
        <v/>
      </c>
      <c r="M44" s="82">
        <f>IF($A44="","",IF(tBase=0,0,$J44/tBase*pool623))</f>
        <v/>
      </c>
      <c r="N44" s="82">
        <f>IF($A44="","",IF(tBase=0,0,$J44/tBase*pool627BD))</f>
        <v/>
      </c>
      <c r="O44" s="82">
        <f>IF($A44="","",IF(tBase=0,0,$J44/tBase*t627CDabs))</f>
        <v/>
      </c>
      <c r="P44" s="82">
        <f>IF($A44="","",$E44+$K44)</f>
        <v/>
      </c>
      <c r="Q44" s="82">
        <f>IF($A44="","",$F44+$L44)</f>
        <v/>
      </c>
      <c r="R44" s="82">
        <f>IF($A44="","",$G44+$M44)</f>
        <v/>
      </c>
      <c r="S44" s="82">
        <f>IF($A44="","",$H44+$N44)</f>
        <v/>
      </c>
      <c r="T44" s="82">
        <f>IF($A44="","",$I44+$O44)</f>
        <v/>
      </c>
      <c r="U44" s="82">
        <f>IF($A44="","",$S44+$T44)</f>
        <v/>
      </c>
      <c r="V44" s="82">
        <f>IF($A44="","",INDEX(DM_DDK621,31)+INDEX(DM_DDK622,31)+INDEX(DM_DDK623,31)+INDEX(DM_DDK627,31))</f>
        <v/>
      </c>
      <c r="W44" s="82">
        <f>IF($A44="","",SUMIFS(L_ST,L_Ma,$A44,L_KM,"Phế liệu thu hồi",L_Ngay,"&gt;="&amp;pTu,L_Ngay,"&lt;="&amp;pDen))</f>
        <v/>
      </c>
      <c r="X44" s="82">
        <f>IF($A44="","",SUMIFS(L_ST,L_Ma,$A44,L_KM,"SP hỏng ngoài định mức",L_Ngay,"&gt;="&amp;pTu,L_Ngay,"&lt;="&amp;pDen))</f>
        <v/>
      </c>
      <c r="Y44" s="82">
        <f>IF($A44="","",$P44+$Q44+$R44+$U44)</f>
        <v/>
      </c>
      <c r="Z44" s="82">
        <f>IF($A44="","",IF($D44="Đang thực hiện",$V44+$Y44,CHOOSE(MATCH(pDoDang,LST_DoDang,0),$AE44,$AF44,$AG44)))</f>
        <v/>
      </c>
      <c r="AA44" s="82">
        <f>IF($A44="","",$V44+$Y44-$Z44-$W44-$X44)</f>
        <v/>
      </c>
      <c r="AB44" s="82">
        <f>IF($A44="","",INDEX(DM_SLHT,31))</f>
        <v/>
      </c>
      <c r="AC44" s="82">
        <f>IF($A44="","",IF($AB44&lt;=0,"⚠ CHƯA CÓ SL",ROUND($AA44/$AB44,0)))</f>
        <v/>
      </c>
      <c r="AE44" s="88">
        <f>IF($A44="","",IFERROR((INDEX(DM_DDK621,31)+$P44)/($AB44+INDEX(DM_SLDD,31))*INDEX(DM_SLDD,31),0))</f>
        <v/>
      </c>
      <c r="AF44" s="88">
        <f>IF($A44="","",IFERROR((INDEX(DM_DDK621,31)+$P44)/($AB44+INDEX(DM_SLDD,31))*INDEX(DM_SLDD,31),0)+IFERROR((INDEX(DM_DDK622,31)+$Q44)/($AB44+INDEX(DM_SLDD,31)*INDEX(DM_Pct,31))*(INDEX(DM_SLDD,31)*INDEX(DM_Pct,31)),0)+IFERROR((INDEX(DM_DDK623,31)+$R44)/($AB44+INDEX(DM_SLDD,31)*INDEX(DM_Pct,31))*(INDEX(DM_SLDD,31)*INDEX(DM_Pct,31)),0)+IFERROR((INDEX(DM_DDK627,31)+$U44)/($AB44+INDEX(DM_SLDD,31)*INDEX(DM_Pct,31))*(INDEX(DM_SLDD,31)*INDEX(DM_Pct,31)),0))</f>
        <v/>
      </c>
      <c r="AG44" s="88">
        <f>IF($A44="","",INDEX(DM_SLDD,31)*INDEX(DM_DGDinhMuc,31))</f>
        <v/>
      </c>
      <c r="AH44" s="88">
        <f>IF($A44="",0,IF(AND(ISNUMBER($AA44),$AA44&gt;0,$AB44&lt;=0),1,0))</f>
        <v/>
      </c>
      <c r="AI44" s="88">
        <f>IF($A44="",0,IF(AND(ISNUMBER($Z44),$Z44&lt;0),1,0))</f>
        <v/>
      </c>
      <c r="AJ44" s="88">
        <f>IF($A44="",0,IF(AND(ISNUMBER($AA44),$AA44&lt;0),1,0))</f>
        <v/>
      </c>
    </row>
    <row r="45" ht="15" customHeight="1" s="54">
      <c r="A45" s="80">
        <f>IF(INDEX(DM_Ma,32)="","",INDEX(DM_Ma,32))</f>
        <v/>
      </c>
      <c r="B45" s="80">
        <f>IF($A45="","",INDEX(DM_Ten,32))</f>
        <v/>
      </c>
      <c r="C45" s="80">
        <f>IF($A45="","",INDEX(DM_Loai,32))</f>
        <v/>
      </c>
      <c r="D45" s="80">
        <f>IF($A45="","",INDEX(DM_TrangThai,32))</f>
        <v/>
      </c>
      <c r="E45" s="82">
        <f>IF($A45="","",SUMIFS(L_ST,L_Ma,$A45,L_KM,"NVL trực tiếp (621)",L_TT,"Trực tiếp",L_Ngay,"&gt;="&amp;pTu,L_Ngay,"&lt;="&amp;pDen))</f>
        <v/>
      </c>
      <c r="F45" s="82">
        <f>IF($A45="","",SUMIFS(L_ST,L_Ma,$A45,L_KM,"Nhân công trực tiếp (622)",L_TT,"Trực tiếp",L_Ngay,"&gt;="&amp;pTu,L_Ngay,"&lt;="&amp;pDen))</f>
        <v/>
      </c>
      <c r="G45" s="82">
        <f>IF($A45="","",SUMIFS(L_ST,L_Ma,$A45,L_KM,"Máy thi công (623)",L_TT,"Trực tiếp",L_Ngay,"&gt;="&amp;pTu,L_Ngay,"&lt;="&amp;pDen))</f>
        <v/>
      </c>
      <c r="H45" s="82">
        <f>IF($A45="","",SUMIFS(L_ST,L_Ma,$A45,L_KM,"SXC (627)",L_TT,"Trực tiếp",L_Tinh,"Biến đổi",L_Ngay,"&gt;="&amp;pTu,L_Ngay,"&lt;="&amp;pDen))</f>
        <v/>
      </c>
      <c r="I45" s="82">
        <f>IF($A45="","",SUMIFS(L_ST,L_Ma,$A45,L_KM,"SXC (627)",L_TT,"Trực tiếp",L_Tinh,"Cố định",L_Ngay,"&gt;="&amp;pTu,L_Ngay,"&lt;="&amp;pDen))</f>
        <v/>
      </c>
      <c r="J45" s="82">
        <f>IF($A45="","",CHOOSE(MATCH(pTieuThuc,LST_TieuThuc,0),$E45,$F45,INDEX(DM_GioMay,32),INDEX(DM_GioCong,32),INDEX(DM_SLHT,32),INDEX(DM_DThu,32),INDEX(DM_TieuKhac,32)))</f>
        <v/>
      </c>
      <c r="K45" s="82">
        <f>IF($A45="","",IF(tBase=0,0,$J45/tBase*pool621))</f>
        <v/>
      </c>
      <c r="L45" s="82">
        <f>IF($A45="","",IF(tBase=0,0,$J45/tBase*pool622))</f>
        <v/>
      </c>
      <c r="M45" s="82">
        <f>IF($A45="","",IF(tBase=0,0,$J45/tBase*pool623))</f>
        <v/>
      </c>
      <c r="N45" s="82">
        <f>IF($A45="","",IF(tBase=0,0,$J45/tBase*pool627BD))</f>
        <v/>
      </c>
      <c r="O45" s="82">
        <f>IF($A45="","",IF(tBase=0,0,$J45/tBase*t627CDabs))</f>
        <v/>
      </c>
      <c r="P45" s="82">
        <f>IF($A45="","",$E45+$K45)</f>
        <v/>
      </c>
      <c r="Q45" s="82">
        <f>IF($A45="","",$F45+$L45)</f>
        <v/>
      </c>
      <c r="R45" s="82">
        <f>IF($A45="","",$G45+$M45)</f>
        <v/>
      </c>
      <c r="S45" s="82">
        <f>IF($A45="","",$H45+$N45)</f>
        <v/>
      </c>
      <c r="T45" s="82">
        <f>IF($A45="","",$I45+$O45)</f>
        <v/>
      </c>
      <c r="U45" s="82">
        <f>IF($A45="","",$S45+$T45)</f>
        <v/>
      </c>
      <c r="V45" s="82">
        <f>IF($A45="","",INDEX(DM_DDK621,32)+INDEX(DM_DDK622,32)+INDEX(DM_DDK623,32)+INDEX(DM_DDK627,32))</f>
        <v/>
      </c>
      <c r="W45" s="82">
        <f>IF($A45="","",SUMIFS(L_ST,L_Ma,$A45,L_KM,"Phế liệu thu hồi",L_Ngay,"&gt;="&amp;pTu,L_Ngay,"&lt;="&amp;pDen))</f>
        <v/>
      </c>
      <c r="X45" s="82">
        <f>IF($A45="","",SUMIFS(L_ST,L_Ma,$A45,L_KM,"SP hỏng ngoài định mức",L_Ngay,"&gt;="&amp;pTu,L_Ngay,"&lt;="&amp;pDen))</f>
        <v/>
      </c>
      <c r="Y45" s="82">
        <f>IF($A45="","",$P45+$Q45+$R45+$U45)</f>
        <v/>
      </c>
      <c r="Z45" s="82">
        <f>IF($A45="","",IF($D45="Đang thực hiện",$V45+$Y45,CHOOSE(MATCH(pDoDang,LST_DoDang,0),$AE45,$AF45,$AG45)))</f>
        <v/>
      </c>
      <c r="AA45" s="82">
        <f>IF($A45="","",$V45+$Y45-$Z45-$W45-$X45)</f>
        <v/>
      </c>
      <c r="AB45" s="82">
        <f>IF($A45="","",INDEX(DM_SLHT,32))</f>
        <v/>
      </c>
      <c r="AC45" s="82">
        <f>IF($A45="","",IF($AB45&lt;=0,"⚠ CHƯA CÓ SL",ROUND($AA45/$AB45,0)))</f>
        <v/>
      </c>
      <c r="AE45" s="88">
        <f>IF($A45="","",IFERROR((INDEX(DM_DDK621,32)+$P45)/($AB45+INDEX(DM_SLDD,32))*INDEX(DM_SLDD,32),0))</f>
        <v/>
      </c>
      <c r="AF45" s="88">
        <f>IF($A45="","",IFERROR((INDEX(DM_DDK621,32)+$P45)/($AB45+INDEX(DM_SLDD,32))*INDEX(DM_SLDD,32),0)+IFERROR((INDEX(DM_DDK622,32)+$Q45)/($AB45+INDEX(DM_SLDD,32)*INDEX(DM_Pct,32))*(INDEX(DM_SLDD,32)*INDEX(DM_Pct,32)),0)+IFERROR((INDEX(DM_DDK623,32)+$R45)/($AB45+INDEX(DM_SLDD,32)*INDEX(DM_Pct,32))*(INDEX(DM_SLDD,32)*INDEX(DM_Pct,32)),0)+IFERROR((INDEX(DM_DDK627,32)+$U45)/($AB45+INDEX(DM_SLDD,32)*INDEX(DM_Pct,32))*(INDEX(DM_SLDD,32)*INDEX(DM_Pct,32)),0))</f>
        <v/>
      </c>
      <c r="AG45" s="88">
        <f>IF($A45="","",INDEX(DM_SLDD,32)*INDEX(DM_DGDinhMuc,32))</f>
        <v/>
      </c>
      <c r="AH45" s="88">
        <f>IF($A45="",0,IF(AND(ISNUMBER($AA45),$AA45&gt;0,$AB45&lt;=0),1,0))</f>
        <v/>
      </c>
      <c r="AI45" s="88">
        <f>IF($A45="",0,IF(AND(ISNUMBER($Z45),$Z45&lt;0),1,0))</f>
        <v/>
      </c>
      <c r="AJ45" s="88">
        <f>IF($A45="",0,IF(AND(ISNUMBER($AA45),$AA45&lt;0),1,0))</f>
        <v/>
      </c>
    </row>
    <row r="46" ht="15" customHeight="1" s="54">
      <c r="A46" s="80">
        <f>IF(INDEX(DM_Ma,33)="","",INDEX(DM_Ma,33))</f>
        <v/>
      </c>
      <c r="B46" s="80">
        <f>IF($A46="","",INDEX(DM_Ten,33))</f>
        <v/>
      </c>
      <c r="C46" s="80">
        <f>IF($A46="","",INDEX(DM_Loai,33))</f>
        <v/>
      </c>
      <c r="D46" s="80">
        <f>IF($A46="","",INDEX(DM_TrangThai,33))</f>
        <v/>
      </c>
      <c r="E46" s="82">
        <f>IF($A46="","",SUMIFS(L_ST,L_Ma,$A46,L_KM,"NVL trực tiếp (621)",L_TT,"Trực tiếp",L_Ngay,"&gt;="&amp;pTu,L_Ngay,"&lt;="&amp;pDen))</f>
        <v/>
      </c>
      <c r="F46" s="82">
        <f>IF($A46="","",SUMIFS(L_ST,L_Ma,$A46,L_KM,"Nhân công trực tiếp (622)",L_TT,"Trực tiếp",L_Ngay,"&gt;="&amp;pTu,L_Ngay,"&lt;="&amp;pDen))</f>
        <v/>
      </c>
      <c r="G46" s="82">
        <f>IF($A46="","",SUMIFS(L_ST,L_Ma,$A46,L_KM,"Máy thi công (623)",L_TT,"Trực tiếp",L_Ngay,"&gt;="&amp;pTu,L_Ngay,"&lt;="&amp;pDen))</f>
        <v/>
      </c>
      <c r="H46" s="82">
        <f>IF($A46="","",SUMIFS(L_ST,L_Ma,$A46,L_KM,"SXC (627)",L_TT,"Trực tiếp",L_Tinh,"Biến đổi",L_Ngay,"&gt;="&amp;pTu,L_Ngay,"&lt;="&amp;pDen))</f>
        <v/>
      </c>
      <c r="I46" s="82">
        <f>IF($A46="","",SUMIFS(L_ST,L_Ma,$A46,L_KM,"SXC (627)",L_TT,"Trực tiếp",L_Tinh,"Cố định",L_Ngay,"&gt;="&amp;pTu,L_Ngay,"&lt;="&amp;pDen))</f>
        <v/>
      </c>
      <c r="J46" s="82">
        <f>IF($A46="","",CHOOSE(MATCH(pTieuThuc,LST_TieuThuc,0),$E46,$F46,INDEX(DM_GioMay,33),INDEX(DM_GioCong,33),INDEX(DM_SLHT,33),INDEX(DM_DThu,33),INDEX(DM_TieuKhac,33)))</f>
        <v/>
      </c>
      <c r="K46" s="82">
        <f>IF($A46="","",IF(tBase=0,0,$J46/tBase*pool621))</f>
        <v/>
      </c>
      <c r="L46" s="82">
        <f>IF($A46="","",IF(tBase=0,0,$J46/tBase*pool622))</f>
        <v/>
      </c>
      <c r="M46" s="82">
        <f>IF($A46="","",IF(tBase=0,0,$J46/tBase*pool623))</f>
        <v/>
      </c>
      <c r="N46" s="82">
        <f>IF($A46="","",IF(tBase=0,0,$J46/tBase*pool627BD))</f>
        <v/>
      </c>
      <c r="O46" s="82">
        <f>IF($A46="","",IF(tBase=0,0,$J46/tBase*t627CDabs))</f>
        <v/>
      </c>
      <c r="P46" s="82">
        <f>IF($A46="","",$E46+$K46)</f>
        <v/>
      </c>
      <c r="Q46" s="82">
        <f>IF($A46="","",$F46+$L46)</f>
        <v/>
      </c>
      <c r="R46" s="82">
        <f>IF($A46="","",$G46+$M46)</f>
        <v/>
      </c>
      <c r="S46" s="82">
        <f>IF($A46="","",$H46+$N46)</f>
        <v/>
      </c>
      <c r="T46" s="82">
        <f>IF($A46="","",$I46+$O46)</f>
        <v/>
      </c>
      <c r="U46" s="82">
        <f>IF($A46="","",$S46+$T46)</f>
        <v/>
      </c>
      <c r="V46" s="82">
        <f>IF($A46="","",INDEX(DM_DDK621,33)+INDEX(DM_DDK622,33)+INDEX(DM_DDK623,33)+INDEX(DM_DDK627,33))</f>
        <v/>
      </c>
      <c r="W46" s="82">
        <f>IF($A46="","",SUMIFS(L_ST,L_Ma,$A46,L_KM,"Phế liệu thu hồi",L_Ngay,"&gt;="&amp;pTu,L_Ngay,"&lt;="&amp;pDen))</f>
        <v/>
      </c>
      <c r="X46" s="82">
        <f>IF($A46="","",SUMIFS(L_ST,L_Ma,$A46,L_KM,"SP hỏng ngoài định mức",L_Ngay,"&gt;="&amp;pTu,L_Ngay,"&lt;="&amp;pDen))</f>
        <v/>
      </c>
      <c r="Y46" s="82">
        <f>IF($A46="","",$P46+$Q46+$R46+$U46)</f>
        <v/>
      </c>
      <c r="Z46" s="82">
        <f>IF($A46="","",IF($D46="Đang thực hiện",$V46+$Y46,CHOOSE(MATCH(pDoDang,LST_DoDang,0),$AE46,$AF46,$AG46)))</f>
        <v/>
      </c>
      <c r="AA46" s="82">
        <f>IF($A46="","",$V46+$Y46-$Z46-$W46-$X46)</f>
        <v/>
      </c>
      <c r="AB46" s="82">
        <f>IF($A46="","",INDEX(DM_SLHT,33))</f>
        <v/>
      </c>
      <c r="AC46" s="82">
        <f>IF($A46="","",IF($AB46&lt;=0,"⚠ CHƯA CÓ SL",ROUND($AA46/$AB46,0)))</f>
        <v/>
      </c>
      <c r="AE46" s="88">
        <f>IF($A46="","",IFERROR((INDEX(DM_DDK621,33)+$P46)/($AB46+INDEX(DM_SLDD,33))*INDEX(DM_SLDD,33),0))</f>
        <v/>
      </c>
      <c r="AF46" s="88">
        <f>IF($A46="","",IFERROR((INDEX(DM_DDK621,33)+$P46)/($AB46+INDEX(DM_SLDD,33))*INDEX(DM_SLDD,33),0)+IFERROR((INDEX(DM_DDK622,33)+$Q46)/($AB46+INDEX(DM_SLDD,33)*INDEX(DM_Pct,33))*(INDEX(DM_SLDD,33)*INDEX(DM_Pct,33)),0)+IFERROR((INDEX(DM_DDK623,33)+$R46)/($AB46+INDEX(DM_SLDD,33)*INDEX(DM_Pct,33))*(INDEX(DM_SLDD,33)*INDEX(DM_Pct,33)),0)+IFERROR((INDEX(DM_DDK627,33)+$U46)/($AB46+INDEX(DM_SLDD,33)*INDEX(DM_Pct,33))*(INDEX(DM_SLDD,33)*INDEX(DM_Pct,33)),0))</f>
        <v/>
      </c>
      <c r="AG46" s="88">
        <f>IF($A46="","",INDEX(DM_SLDD,33)*INDEX(DM_DGDinhMuc,33))</f>
        <v/>
      </c>
      <c r="AH46" s="88">
        <f>IF($A46="",0,IF(AND(ISNUMBER($AA46),$AA46&gt;0,$AB46&lt;=0),1,0))</f>
        <v/>
      </c>
      <c r="AI46" s="88">
        <f>IF($A46="",0,IF(AND(ISNUMBER($Z46),$Z46&lt;0),1,0))</f>
        <v/>
      </c>
      <c r="AJ46" s="88">
        <f>IF($A46="",0,IF(AND(ISNUMBER($AA46),$AA46&lt;0),1,0))</f>
        <v/>
      </c>
    </row>
    <row r="47" ht="15" customHeight="1" s="54">
      <c r="A47" s="80">
        <f>IF(INDEX(DM_Ma,34)="","",INDEX(DM_Ma,34))</f>
        <v/>
      </c>
      <c r="B47" s="80">
        <f>IF($A47="","",INDEX(DM_Ten,34))</f>
        <v/>
      </c>
      <c r="C47" s="80">
        <f>IF($A47="","",INDEX(DM_Loai,34))</f>
        <v/>
      </c>
      <c r="D47" s="80">
        <f>IF($A47="","",INDEX(DM_TrangThai,34))</f>
        <v/>
      </c>
      <c r="E47" s="82">
        <f>IF($A47="","",SUMIFS(L_ST,L_Ma,$A47,L_KM,"NVL trực tiếp (621)",L_TT,"Trực tiếp",L_Ngay,"&gt;="&amp;pTu,L_Ngay,"&lt;="&amp;pDen))</f>
        <v/>
      </c>
      <c r="F47" s="82">
        <f>IF($A47="","",SUMIFS(L_ST,L_Ma,$A47,L_KM,"Nhân công trực tiếp (622)",L_TT,"Trực tiếp",L_Ngay,"&gt;="&amp;pTu,L_Ngay,"&lt;="&amp;pDen))</f>
        <v/>
      </c>
      <c r="G47" s="82">
        <f>IF($A47="","",SUMIFS(L_ST,L_Ma,$A47,L_KM,"Máy thi công (623)",L_TT,"Trực tiếp",L_Ngay,"&gt;="&amp;pTu,L_Ngay,"&lt;="&amp;pDen))</f>
        <v/>
      </c>
      <c r="H47" s="82">
        <f>IF($A47="","",SUMIFS(L_ST,L_Ma,$A47,L_KM,"SXC (627)",L_TT,"Trực tiếp",L_Tinh,"Biến đổi",L_Ngay,"&gt;="&amp;pTu,L_Ngay,"&lt;="&amp;pDen))</f>
        <v/>
      </c>
      <c r="I47" s="82">
        <f>IF($A47="","",SUMIFS(L_ST,L_Ma,$A47,L_KM,"SXC (627)",L_TT,"Trực tiếp",L_Tinh,"Cố định",L_Ngay,"&gt;="&amp;pTu,L_Ngay,"&lt;="&amp;pDen))</f>
        <v/>
      </c>
      <c r="J47" s="82">
        <f>IF($A47="","",CHOOSE(MATCH(pTieuThuc,LST_TieuThuc,0),$E47,$F47,INDEX(DM_GioMay,34),INDEX(DM_GioCong,34),INDEX(DM_SLHT,34),INDEX(DM_DThu,34),INDEX(DM_TieuKhac,34)))</f>
        <v/>
      </c>
      <c r="K47" s="82">
        <f>IF($A47="","",IF(tBase=0,0,$J47/tBase*pool621))</f>
        <v/>
      </c>
      <c r="L47" s="82">
        <f>IF($A47="","",IF(tBase=0,0,$J47/tBase*pool622))</f>
        <v/>
      </c>
      <c r="M47" s="82">
        <f>IF($A47="","",IF(tBase=0,0,$J47/tBase*pool623))</f>
        <v/>
      </c>
      <c r="N47" s="82">
        <f>IF($A47="","",IF(tBase=0,0,$J47/tBase*pool627BD))</f>
        <v/>
      </c>
      <c r="O47" s="82">
        <f>IF($A47="","",IF(tBase=0,0,$J47/tBase*t627CDabs))</f>
        <v/>
      </c>
      <c r="P47" s="82">
        <f>IF($A47="","",$E47+$K47)</f>
        <v/>
      </c>
      <c r="Q47" s="82">
        <f>IF($A47="","",$F47+$L47)</f>
        <v/>
      </c>
      <c r="R47" s="82">
        <f>IF($A47="","",$G47+$M47)</f>
        <v/>
      </c>
      <c r="S47" s="82">
        <f>IF($A47="","",$H47+$N47)</f>
        <v/>
      </c>
      <c r="T47" s="82">
        <f>IF($A47="","",$I47+$O47)</f>
        <v/>
      </c>
      <c r="U47" s="82">
        <f>IF($A47="","",$S47+$T47)</f>
        <v/>
      </c>
      <c r="V47" s="82">
        <f>IF($A47="","",INDEX(DM_DDK621,34)+INDEX(DM_DDK622,34)+INDEX(DM_DDK623,34)+INDEX(DM_DDK627,34))</f>
        <v/>
      </c>
      <c r="W47" s="82">
        <f>IF($A47="","",SUMIFS(L_ST,L_Ma,$A47,L_KM,"Phế liệu thu hồi",L_Ngay,"&gt;="&amp;pTu,L_Ngay,"&lt;="&amp;pDen))</f>
        <v/>
      </c>
      <c r="X47" s="82">
        <f>IF($A47="","",SUMIFS(L_ST,L_Ma,$A47,L_KM,"SP hỏng ngoài định mức",L_Ngay,"&gt;="&amp;pTu,L_Ngay,"&lt;="&amp;pDen))</f>
        <v/>
      </c>
      <c r="Y47" s="82">
        <f>IF($A47="","",$P47+$Q47+$R47+$U47)</f>
        <v/>
      </c>
      <c r="Z47" s="82">
        <f>IF($A47="","",IF($D47="Đang thực hiện",$V47+$Y47,CHOOSE(MATCH(pDoDang,LST_DoDang,0),$AE47,$AF47,$AG47)))</f>
        <v/>
      </c>
      <c r="AA47" s="82">
        <f>IF($A47="","",$V47+$Y47-$Z47-$W47-$X47)</f>
        <v/>
      </c>
      <c r="AB47" s="82">
        <f>IF($A47="","",INDEX(DM_SLHT,34))</f>
        <v/>
      </c>
      <c r="AC47" s="82">
        <f>IF($A47="","",IF($AB47&lt;=0,"⚠ CHƯA CÓ SL",ROUND($AA47/$AB47,0)))</f>
        <v/>
      </c>
      <c r="AE47" s="88">
        <f>IF($A47="","",IFERROR((INDEX(DM_DDK621,34)+$P47)/($AB47+INDEX(DM_SLDD,34))*INDEX(DM_SLDD,34),0))</f>
        <v/>
      </c>
      <c r="AF47" s="88">
        <f>IF($A47="","",IFERROR((INDEX(DM_DDK621,34)+$P47)/($AB47+INDEX(DM_SLDD,34))*INDEX(DM_SLDD,34),0)+IFERROR((INDEX(DM_DDK622,34)+$Q47)/($AB47+INDEX(DM_SLDD,34)*INDEX(DM_Pct,34))*(INDEX(DM_SLDD,34)*INDEX(DM_Pct,34)),0)+IFERROR((INDEX(DM_DDK623,34)+$R47)/($AB47+INDEX(DM_SLDD,34)*INDEX(DM_Pct,34))*(INDEX(DM_SLDD,34)*INDEX(DM_Pct,34)),0)+IFERROR((INDEX(DM_DDK627,34)+$U47)/($AB47+INDEX(DM_SLDD,34)*INDEX(DM_Pct,34))*(INDEX(DM_SLDD,34)*INDEX(DM_Pct,34)),0))</f>
        <v/>
      </c>
      <c r="AG47" s="88">
        <f>IF($A47="","",INDEX(DM_SLDD,34)*INDEX(DM_DGDinhMuc,34))</f>
        <v/>
      </c>
      <c r="AH47" s="88">
        <f>IF($A47="",0,IF(AND(ISNUMBER($AA47),$AA47&gt;0,$AB47&lt;=0),1,0))</f>
        <v/>
      </c>
      <c r="AI47" s="88">
        <f>IF($A47="",0,IF(AND(ISNUMBER($Z47),$Z47&lt;0),1,0))</f>
        <v/>
      </c>
      <c r="AJ47" s="88">
        <f>IF($A47="",0,IF(AND(ISNUMBER($AA47),$AA47&lt;0),1,0))</f>
        <v/>
      </c>
    </row>
    <row r="48" ht="15" customHeight="1" s="54">
      <c r="A48" s="80">
        <f>IF(INDEX(DM_Ma,35)="","",INDEX(DM_Ma,35))</f>
        <v/>
      </c>
      <c r="B48" s="80">
        <f>IF($A48="","",INDEX(DM_Ten,35))</f>
        <v/>
      </c>
      <c r="C48" s="80">
        <f>IF($A48="","",INDEX(DM_Loai,35))</f>
        <v/>
      </c>
      <c r="D48" s="80">
        <f>IF($A48="","",INDEX(DM_TrangThai,35))</f>
        <v/>
      </c>
      <c r="E48" s="82">
        <f>IF($A48="","",SUMIFS(L_ST,L_Ma,$A48,L_KM,"NVL trực tiếp (621)",L_TT,"Trực tiếp",L_Ngay,"&gt;="&amp;pTu,L_Ngay,"&lt;="&amp;pDen))</f>
        <v/>
      </c>
      <c r="F48" s="82">
        <f>IF($A48="","",SUMIFS(L_ST,L_Ma,$A48,L_KM,"Nhân công trực tiếp (622)",L_TT,"Trực tiếp",L_Ngay,"&gt;="&amp;pTu,L_Ngay,"&lt;="&amp;pDen))</f>
        <v/>
      </c>
      <c r="G48" s="82">
        <f>IF($A48="","",SUMIFS(L_ST,L_Ma,$A48,L_KM,"Máy thi công (623)",L_TT,"Trực tiếp",L_Ngay,"&gt;="&amp;pTu,L_Ngay,"&lt;="&amp;pDen))</f>
        <v/>
      </c>
      <c r="H48" s="82">
        <f>IF($A48="","",SUMIFS(L_ST,L_Ma,$A48,L_KM,"SXC (627)",L_TT,"Trực tiếp",L_Tinh,"Biến đổi",L_Ngay,"&gt;="&amp;pTu,L_Ngay,"&lt;="&amp;pDen))</f>
        <v/>
      </c>
      <c r="I48" s="82">
        <f>IF($A48="","",SUMIFS(L_ST,L_Ma,$A48,L_KM,"SXC (627)",L_TT,"Trực tiếp",L_Tinh,"Cố định",L_Ngay,"&gt;="&amp;pTu,L_Ngay,"&lt;="&amp;pDen))</f>
        <v/>
      </c>
      <c r="J48" s="82">
        <f>IF($A48="","",CHOOSE(MATCH(pTieuThuc,LST_TieuThuc,0),$E48,$F48,INDEX(DM_GioMay,35),INDEX(DM_GioCong,35),INDEX(DM_SLHT,35),INDEX(DM_DThu,35),INDEX(DM_TieuKhac,35)))</f>
        <v/>
      </c>
      <c r="K48" s="82">
        <f>IF($A48="","",IF(tBase=0,0,$J48/tBase*pool621))</f>
        <v/>
      </c>
      <c r="L48" s="82">
        <f>IF($A48="","",IF(tBase=0,0,$J48/tBase*pool622))</f>
        <v/>
      </c>
      <c r="M48" s="82">
        <f>IF($A48="","",IF(tBase=0,0,$J48/tBase*pool623))</f>
        <v/>
      </c>
      <c r="N48" s="82">
        <f>IF($A48="","",IF(tBase=0,0,$J48/tBase*pool627BD))</f>
        <v/>
      </c>
      <c r="O48" s="82">
        <f>IF($A48="","",IF(tBase=0,0,$J48/tBase*t627CDabs))</f>
        <v/>
      </c>
      <c r="P48" s="82">
        <f>IF($A48="","",$E48+$K48)</f>
        <v/>
      </c>
      <c r="Q48" s="82">
        <f>IF($A48="","",$F48+$L48)</f>
        <v/>
      </c>
      <c r="R48" s="82">
        <f>IF($A48="","",$G48+$M48)</f>
        <v/>
      </c>
      <c r="S48" s="82">
        <f>IF($A48="","",$H48+$N48)</f>
        <v/>
      </c>
      <c r="T48" s="82">
        <f>IF($A48="","",$I48+$O48)</f>
        <v/>
      </c>
      <c r="U48" s="82">
        <f>IF($A48="","",$S48+$T48)</f>
        <v/>
      </c>
      <c r="V48" s="82">
        <f>IF($A48="","",INDEX(DM_DDK621,35)+INDEX(DM_DDK622,35)+INDEX(DM_DDK623,35)+INDEX(DM_DDK627,35))</f>
        <v/>
      </c>
      <c r="W48" s="82">
        <f>IF($A48="","",SUMIFS(L_ST,L_Ma,$A48,L_KM,"Phế liệu thu hồi",L_Ngay,"&gt;="&amp;pTu,L_Ngay,"&lt;="&amp;pDen))</f>
        <v/>
      </c>
      <c r="X48" s="82">
        <f>IF($A48="","",SUMIFS(L_ST,L_Ma,$A48,L_KM,"SP hỏng ngoài định mức",L_Ngay,"&gt;="&amp;pTu,L_Ngay,"&lt;="&amp;pDen))</f>
        <v/>
      </c>
      <c r="Y48" s="82">
        <f>IF($A48="","",$P48+$Q48+$R48+$U48)</f>
        <v/>
      </c>
      <c r="Z48" s="82">
        <f>IF($A48="","",IF($D48="Đang thực hiện",$V48+$Y48,CHOOSE(MATCH(pDoDang,LST_DoDang,0),$AE48,$AF48,$AG48)))</f>
        <v/>
      </c>
      <c r="AA48" s="82">
        <f>IF($A48="","",$V48+$Y48-$Z48-$W48-$X48)</f>
        <v/>
      </c>
      <c r="AB48" s="82">
        <f>IF($A48="","",INDEX(DM_SLHT,35))</f>
        <v/>
      </c>
      <c r="AC48" s="82">
        <f>IF($A48="","",IF($AB48&lt;=0,"⚠ CHƯA CÓ SL",ROUND($AA48/$AB48,0)))</f>
        <v/>
      </c>
      <c r="AE48" s="88">
        <f>IF($A48="","",IFERROR((INDEX(DM_DDK621,35)+$P48)/($AB48+INDEX(DM_SLDD,35))*INDEX(DM_SLDD,35),0))</f>
        <v/>
      </c>
      <c r="AF48" s="88">
        <f>IF($A48="","",IFERROR((INDEX(DM_DDK621,35)+$P48)/($AB48+INDEX(DM_SLDD,35))*INDEX(DM_SLDD,35),0)+IFERROR((INDEX(DM_DDK622,35)+$Q48)/($AB48+INDEX(DM_SLDD,35)*INDEX(DM_Pct,35))*(INDEX(DM_SLDD,35)*INDEX(DM_Pct,35)),0)+IFERROR((INDEX(DM_DDK623,35)+$R48)/($AB48+INDEX(DM_SLDD,35)*INDEX(DM_Pct,35))*(INDEX(DM_SLDD,35)*INDEX(DM_Pct,35)),0)+IFERROR((INDEX(DM_DDK627,35)+$U48)/($AB48+INDEX(DM_SLDD,35)*INDEX(DM_Pct,35))*(INDEX(DM_SLDD,35)*INDEX(DM_Pct,35)),0))</f>
        <v/>
      </c>
      <c r="AG48" s="88">
        <f>IF($A48="","",INDEX(DM_SLDD,35)*INDEX(DM_DGDinhMuc,35))</f>
        <v/>
      </c>
      <c r="AH48" s="88">
        <f>IF($A48="",0,IF(AND(ISNUMBER($AA48),$AA48&gt;0,$AB48&lt;=0),1,0))</f>
        <v/>
      </c>
      <c r="AI48" s="88">
        <f>IF($A48="",0,IF(AND(ISNUMBER($Z48),$Z48&lt;0),1,0))</f>
        <v/>
      </c>
      <c r="AJ48" s="88">
        <f>IF($A48="",0,IF(AND(ISNUMBER($AA48),$AA48&lt;0),1,0))</f>
        <v/>
      </c>
    </row>
    <row r="49" ht="15" customHeight="1" s="54">
      <c r="A49" s="80">
        <f>IF(INDEX(DM_Ma,36)="","",INDEX(DM_Ma,36))</f>
        <v/>
      </c>
      <c r="B49" s="80">
        <f>IF($A49="","",INDEX(DM_Ten,36))</f>
        <v/>
      </c>
      <c r="C49" s="80">
        <f>IF($A49="","",INDEX(DM_Loai,36))</f>
        <v/>
      </c>
      <c r="D49" s="80">
        <f>IF($A49="","",INDEX(DM_TrangThai,36))</f>
        <v/>
      </c>
      <c r="E49" s="82">
        <f>IF($A49="","",SUMIFS(L_ST,L_Ma,$A49,L_KM,"NVL trực tiếp (621)",L_TT,"Trực tiếp",L_Ngay,"&gt;="&amp;pTu,L_Ngay,"&lt;="&amp;pDen))</f>
        <v/>
      </c>
      <c r="F49" s="82">
        <f>IF($A49="","",SUMIFS(L_ST,L_Ma,$A49,L_KM,"Nhân công trực tiếp (622)",L_TT,"Trực tiếp",L_Ngay,"&gt;="&amp;pTu,L_Ngay,"&lt;="&amp;pDen))</f>
        <v/>
      </c>
      <c r="G49" s="82">
        <f>IF($A49="","",SUMIFS(L_ST,L_Ma,$A49,L_KM,"Máy thi công (623)",L_TT,"Trực tiếp",L_Ngay,"&gt;="&amp;pTu,L_Ngay,"&lt;="&amp;pDen))</f>
        <v/>
      </c>
      <c r="H49" s="82">
        <f>IF($A49="","",SUMIFS(L_ST,L_Ma,$A49,L_KM,"SXC (627)",L_TT,"Trực tiếp",L_Tinh,"Biến đổi",L_Ngay,"&gt;="&amp;pTu,L_Ngay,"&lt;="&amp;pDen))</f>
        <v/>
      </c>
      <c r="I49" s="82">
        <f>IF($A49="","",SUMIFS(L_ST,L_Ma,$A49,L_KM,"SXC (627)",L_TT,"Trực tiếp",L_Tinh,"Cố định",L_Ngay,"&gt;="&amp;pTu,L_Ngay,"&lt;="&amp;pDen))</f>
        <v/>
      </c>
      <c r="J49" s="82">
        <f>IF($A49="","",CHOOSE(MATCH(pTieuThuc,LST_TieuThuc,0),$E49,$F49,INDEX(DM_GioMay,36),INDEX(DM_GioCong,36),INDEX(DM_SLHT,36),INDEX(DM_DThu,36),INDEX(DM_TieuKhac,36)))</f>
        <v/>
      </c>
      <c r="K49" s="82">
        <f>IF($A49="","",IF(tBase=0,0,$J49/tBase*pool621))</f>
        <v/>
      </c>
      <c r="L49" s="82">
        <f>IF($A49="","",IF(tBase=0,0,$J49/tBase*pool622))</f>
        <v/>
      </c>
      <c r="M49" s="82">
        <f>IF($A49="","",IF(tBase=0,0,$J49/tBase*pool623))</f>
        <v/>
      </c>
      <c r="N49" s="82">
        <f>IF($A49="","",IF(tBase=0,0,$J49/tBase*pool627BD))</f>
        <v/>
      </c>
      <c r="O49" s="82">
        <f>IF($A49="","",IF(tBase=0,0,$J49/tBase*t627CDabs))</f>
        <v/>
      </c>
      <c r="P49" s="82">
        <f>IF($A49="","",$E49+$K49)</f>
        <v/>
      </c>
      <c r="Q49" s="82">
        <f>IF($A49="","",$F49+$L49)</f>
        <v/>
      </c>
      <c r="R49" s="82">
        <f>IF($A49="","",$G49+$M49)</f>
        <v/>
      </c>
      <c r="S49" s="82">
        <f>IF($A49="","",$H49+$N49)</f>
        <v/>
      </c>
      <c r="T49" s="82">
        <f>IF($A49="","",$I49+$O49)</f>
        <v/>
      </c>
      <c r="U49" s="82">
        <f>IF($A49="","",$S49+$T49)</f>
        <v/>
      </c>
      <c r="V49" s="82">
        <f>IF($A49="","",INDEX(DM_DDK621,36)+INDEX(DM_DDK622,36)+INDEX(DM_DDK623,36)+INDEX(DM_DDK627,36))</f>
        <v/>
      </c>
      <c r="W49" s="82">
        <f>IF($A49="","",SUMIFS(L_ST,L_Ma,$A49,L_KM,"Phế liệu thu hồi",L_Ngay,"&gt;="&amp;pTu,L_Ngay,"&lt;="&amp;pDen))</f>
        <v/>
      </c>
      <c r="X49" s="82">
        <f>IF($A49="","",SUMIFS(L_ST,L_Ma,$A49,L_KM,"SP hỏng ngoài định mức",L_Ngay,"&gt;="&amp;pTu,L_Ngay,"&lt;="&amp;pDen))</f>
        <v/>
      </c>
      <c r="Y49" s="82">
        <f>IF($A49="","",$P49+$Q49+$R49+$U49)</f>
        <v/>
      </c>
      <c r="Z49" s="82">
        <f>IF($A49="","",IF($D49="Đang thực hiện",$V49+$Y49,CHOOSE(MATCH(pDoDang,LST_DoDang,0),$AE49,$AF49,$AG49)))</f>
        <v/>
      </c>
      <c r="AA49" s="82">
        <f>IF($A49="","",$V49+$Y49-$Z49-$W49-$X49)</f>
        <v/>
      </c>
      <c r="AB49" s="82">
        <f>IF($A49="","",INDEX(DM_SLHT,36))</f>
        <v/>
      </c>
      <c r="AC49" s="82">
        <f>IF($A49="","",IF($AB49&lt;=0,"⚠ CHƯA CÓ SL",ROUND($AA49/$AB49,0)))</f>
        <v/>
      </c>
      <c r="AE49" s="88">
        <f>IF($A49="","",IFERROR((INDEX(DM_DDK621,36)+$P49)/($AB49+INDEX(DM_SLDD,36))*INDEX(DM_SLDD,36),0))</f>
        <v/>
      </c>
      <c r="AF49" s="88">
        <f>IF($A49="","",IFERROR((INDEX(DM_DDK621,36)+$P49)/($AB49+INDEX(DM_SLDD,36))*INDEX(DM_SLDD,36),0)+IFERROR((INDEX(DM_DDK622,36)+$Q49)/($AB49+INDEX(DM_SLDD,36)*INDEX(DM_Pct,36))*(INDEX(DM_SLDD,36)*INDEX(DM_Pct,36)),0)+IFERROR((INDEX(DM_DDK623,36)+$R49)/($AB49+INDEX(DM_SLDD,36)*INDEX(DM_Pct,36))*(INDEX(DM_SLDD,36)*INDEX(DM_Pct,36)),0)+IFERROR((INDEX(DM_DDK627,36)+$U49)/($AB49+INDEX(DM_SLDD,36)*INDEX(DM_Pct,36))*(INDEX(DM_SLDD,36)*INDEX(DM_Pct,36)),0))</f>
        <v/>
      </c>
      <c r="AG49" s="88">
        <f>IF($A49="","",INDEX(DM_SLDD,36)*INDEX(DM_DGDinhMuc,36))</f>
        <v/>
      </c>
      <c r="AH49" s="88">
        <f>IF($A49="",0,IF(AND(ISNUMBER($AA49),$AA49&gt;0,$AB49&lt;=0),1,0))</f>
        <v/>
      </c>
      <c r="AI49" s="88">
        <f>IF($A49="",0,IF(AND(ISNUMBER($Z49),$Z49&lt;0),1,0))</f>
        <v/>
      </c>
      <c r="AJ49" s="88">
        <f>IF($A49="",0,IF(AND(ISNUMBER($AA49),$AA49&lt;0),1,0))</f>
        <v/>
      </c>
    </row>
    <row r="50" ht="15" customHeight="1" s="54">
      <c r="A50" s="80">
        <f>IF(INDEX(DM_Ma,37)="","",INDEX(DM_Ma,37))</f>
        <v/>
      </c>
      <c r="B50" s="80">
        <f>IF($A50="","",INDEX(DM_Ten,37))</f>
        <v/>
      </c>
      <c r="C50" s="80">
        <f>IF($A50="","",INDEX(DM_Loai,37))</f>
        <v/>
      </c>
      <c r="D50" s="80">
        <f>IF($A50="","",INDEX(DM_TrangThai,37))</f>
        <v/>
      </c>
      <c r="E50" s="82">
        <f>IF($A50="","",SUMIFS(L_ST,L_Ma,$A50,L_KM,"NVL trực tiếp (621)",L_TT,"Trực tiếp",L_Ngay,"&gt;="&amp;pTu,L_Ngay,"&lt;="&amp;pDen))</f>
        <v/>
      </c>
      <c r="F50" s="82">
        <f>IF($A50="","",SUMIFS(L_ST,L_Ma,$A50,L_KM,"Nhân công trực tiếp (622)",L_TT,"Trực tiếp",L_Ngay,"&gt;="&amp;pTu,L_Ngay,"&lt;="&amp;pDen))</f>
        <v/>
      </c>
      <c r="G50" s="82">
        <f>IF($A50="","",SUMIFS(L_ST,L_Ma,$A50,L_KM,"Máy thi công (623)",L_TT,"Trực tiếp",L_Ngay,"&gt;="&amp;pTu,L_Ngay,"&lt;="&amp;pDen))</f>
        <v/>
      </c>
      <c r="H50" s="82">
        <f>IF($A50="","",SUMIFS(L_ST,L_Ma,$A50,L_KM,"SXC (627)",L_TT,"Trực tiếp",L_Tinh,"Biến đổi",L_Ngay,"&gt;="&amp;pTu,L_Ngay,"&lt;="&amp;pDen))</f>
        <v/>
      </c>
      <c r="I50" s="82">
        <f>IF($A50="","",SUMIFS(L_ST,L_Ma,$A50,L_KM,"SXC (627)",L_TT,"Trực tiếp",L_Tinh,"Cố định",L_Ngay,"&gt;="&amp;pTu,L_Ngay,"&lt;="&amp;pDen))</f>
        <v/>
      </c>
      <c r="J50" s="82">
        <f>IF($A50="","",CHOOSE(MATCH(pTieuThuc,LST_TieuThuc,0),$E50,$F50,INDEX(DM_GioMay,37),INDEX(DM_GioCong,37),INDEX(DM_SLHT,37),INDEX(DM_DThu,37),INDEX(DM_TieuKhac,37)))</f>
        <v/>
      </c>
      <c r="K50" s="82">
        <f>IF($A50="","",IF(tBase=0,0,$J50/tBase*pool621))</f>
        <v/>
      </c>
      <c r="L50" s="82">
        <f>IF($A50="","",IF(tBase=0,0,$J50/tBase*pool622))</f>
        <v/>
      </c>
      <c r="M50" s="82">
        <f>IF($A50="","",IF(tBase=0,0,$J50/tBase*pool623))</f>
        <v/>
      </c>
      <c r="N50" s="82">
        <f>IF($A50="","",IF(tBase=0,0,$J50/tBase*pool627BD))</f>
        <v/>
      </c>
      <c r="O50" s="82">
        <f>IF($A50="","",IF(tBase=0,0,$J50/tBase*t627CDabs))</f>
        <v/>
      </c>
      <c r="P50" s="82">
        <f>IF($A50="","",$E50+$K50)</f>
        <v/>
      </c>
      <c r="Q50" s="82">
        <f>IF($A50="","",$F50+$L50)</f>
        <v/>
      </c>
      <c r="R50" s="82">
        <f>IF($A50="","",$G50+$M50)</f>
        <v/>
      </c>
      <c r="S50" s="82">
        <f>IF($A50="","",$H50+$N50)</f>
        <v/>
      </c>
      <c r="T50" s="82">
        <f>IF($A50="","",$I50+$O50)</f>
        <v/>
      </c>
      <c r="U50" s="82">
        <f>IF($A50="","",$S50+$T50)</f>
        <v/>
      </c>
      <c r="V50" s="82">
        <f>IF($A50="","",INDEX(DM_DDK621,37)+INDEX(DM_DDK622,37)+INDEX(DM_DDK623,37)+INDEX(DM_DDK627,37))</f>
        <v/>
      </c>
      <c r="W50" s="82">
        <f>IF($A50="","",SUMIFS(L_ST,L_Ma,$A50,L_KM,"Phế liệu thu hồi",L_Ngay,"&gt;="&amp;pTu,L_Ngay,"&lt;="&amp;pDen))</f>
        <v/>
      </c>
      <c r="X50" s="82">
        <f>IF($A50="","",SUMIFS(L_ST,L_Ma,$A50,L_KM,"SP hỏng ngoài định mức",L_Ngay,"&gt;="&amp;pTu,L_Ngay,"&lt;="&amp;pDen))</f>
        <v/>
      </c>
      <c r="Y50" s="82">
        <f>IF($A50="","",$P50+$Q50+$R50+$U50)</f>
        <v/>
      </c>
      <c r="Z50" s="82">
        <f>IF($A50="","",IF($D50="Đang thực hiện",$V50+$Y50,CHOOSE(MATCH(pDoDang,LST_DoDang,0),$AE50,$AF50,$AG50)))</f>
        <v/>
      </c>
      <c r="AA50" s="82">
        <f>IF($A50="","",$V50+$Y50-$Z50-$W50-$X50)</f>
        <v/>
      </c>
      <c r="AB50" s="82">
        <f>IF($A50="","",INDEX(DM_SLHT,37))</f>
        <v/>
      </c>
      <c r="AC50" s="82">
        <f>IF($A50="","",IF($AB50&lt;=0,"⚠ CHƯA CÓ SL",ROUND($AA50/$AB50,0)))</f>
        <v/>
      </c>
      <c r="AE50" s="88">
        <f>IF($A50="","",IFERROR((INDEX(DM_DDK621,37)+$P50)/($AB50+INDEX(DM_SLDD,37))*INDEX(DM_SLDD,37),0))</f>
        <v/>
      </c>
      <c r="AF50" s="88">
        <f>IF($A50="","",IFERROR((INDEX(DM_DDK621,37)+$P50)/($AB50+INDEX(DM_SLDD,37))*INDEX(DM_SLDD,37),0)+IFERROR((INDEX(DM_DDK622,37)+$Q50)/($AB50+INDEX(DM_SLDD,37)*INDEX(DM_Pct,37))*(INDEX(DM_SLDD,37)*INDEX(DM_Pct,37)),0)+IFERROR((INDEX(DM_DDK623,37)+$R50)/($AB50+INDEX(DM_SLDD,37)*INDEX(DM_Pct,37))*(INDEX(DM_SLDD,37)*INDEX(DM_Pct,37)),0)+IFERROR((INDEX(DM_DDK627,37)+$U50)/($AB50+INDEX(DM_SLDD,37)*INDEX(DM_Pct,37))*(INDEX(DM_SLDD,37)*INDEX(DM_Pct,37)),0))</f>
        <v/>
      </c>
      <c r="AG50" s="88">
        <f>IF($A50="","",INDEX(DM_SLDD,37)*INDEX(DM_DGDinhMuc,37))</f>
        <v/>
      </c>
      <c r="AH50" s="88">
        <f>IF($A50="",0,IF(AND(ISNUMBER($AA50),$AA50&gt;0,$AB50&lt;=0),1,0))</f>
        <v/>
      </c>
      <c r="AI50" s="88">
        <f>IF($A50="",0,IF(AND(ISNUMBER($Z50),$Z50&lt;0),1,0))</f>
        <v/>
      </c>
      <c r="AJ50" s="88">
        <f>IF($A50="",0,IF(AND(ISNUMBER($AA50),$AA50&lt;0),1,0))</f>
        <v/>
      </c>
    </row>
    <row r="51" ht="15" customHeight="1" s="54">
      <c r="A51" s="80">
        <f>IF(INDEX(DM_Ma,38)="","",INDEX(DM_Ma,38))</f>
        <v/>
      </c>
      <c r="B51" s="80">
        <f>IF($A51="","",INDEX(DM_Ten,38))</f>
        <v/>
      </c>
      <c r="C51" s="80">
        <f>IF($A51="","",INDEX(DM_Loai,38))</f>
        <v/>
      </c>
      <c r="D51" s="80">
        <f>IF($A51="","",INDEX(DM_TrangThai,38))</f>
        <v/>
      </c>
      <c r="E51" s="82">
        <f>IF($A51="","",SUMIFS(L_ST,L_Ma,$A51,L_KM,"NVL trực tiếp (621)",L_TT,"Trực tiếp",L_Ngay,"&gt;="&amp;pTu,L_Ngay,"&lt;="&amp;pDen))</f>
        <v/>
      </c>
      <c r="F51" s="82">
        <f>IF($A51="","",SUMIFS(L_ST,L_Ma,$A51,L_KM,"Nhân công trực tiếp (622)",L_TT,"Trực tiếp",L_Ngay,"&gt;="&amp;pTu,L_Ngay,"&lt;="&amp;pDen))</f>
        <v/>
      </c>
      <c r="G51" s="82">
        <f>IF($A51="","",SUMIFS(L_ST,L_Ma,$A51,L_KM,"Máy thi công (623)",L_TT,"Trực tiếp",L_Ngay,"&gt;="&amp;pTu,L_Ngay,"&lt;="&amp;pDen))</f>
        <v/>
      </c>
      <c r="H51" s="82">
        <f>IF($A51="","",SUMIFS(L_ST,L_Ma,$A51,L_KM,"SXC (627)",L_TT,"Trực tiếp",L_Tinh,"Biến đổi",L_Ngay,"&gt;="&amp;pTu,L_Ngay,"&lt;="&amp;pDen))</f>
        <v/>
      </c>
      <c r="I51" s="82">
        <f>IF($A51="","",SUMIFS(L_ST,L_Ma,$A51,L_KM,"SXC (627)",L_TT,"Trực tiếp",L_Tinh,"Cố định",L_Ngay,"&gt;="&amp;pTu,L_Ngay,"&lt;="&amp;pDen))</f>
        <v/>
      </c>
      <c r="J51" s="82">
        <f>IF($A51="","",CHOOSE(MATCH(pTieuThuc,LST_TieuThuc,0),$E51,$F51,INDEX(DM_GioMay,38),INDEX(DM_GioCong,38),INDEX(DM_SLHT,38),INDEX(DM_DThu,38),INDEX(DM_TieuKhac,38)))</f>
        <v/>
      </c>
      <c r="K51" s="82">
        <f>IF($A51="","",IF(tBase=0,0,$J51/tBase*pool621))</f>
        <v/>
      </c>
      <c r="L51" s="82">
        <f>IF($A51="","",IF(tBase=0,0,$J51/tBase*pool622))</f>
        <v/>
      </c>
      <c r="M51" s="82">
        <f>IF($A51="","",IF(tBase=0,0,$J51/tBase*pool623))</f>
        <v/>
      </c>
      <c r="N51" s="82">
        <f>IF($A51="","",IF(tBase=0,0,$J51/tBase*pool627BD))</f>
        <v/>
      </c>
      <c r="O51" s="82">
        <f>IF($A51="","",IF(tBase=0,0,$J51/tBase*t627CDabs))</f>
        <v/>
      </c>
      <c r="P51" s="82">
        <f>IF($A51="","",$E51+$K51)</f>
        <v/>
      </c>
      <c r="Q51" s="82">
        <f>IF($A51="","",$F51+$L51)</f>
        <v/>
      </c>
      <c r="R51" s="82">
        <f>IF($A51="","",$G51+$M51)</f>
        <v/>
      </c>
      <c r="S51" s="82">
        <f>IF($A51="","",$H51+$N51)</f>
        <v/>
      </c>
      <c r="T51" s="82">
        <f>IF($A51="","",$I51+$O51)</f>
        <v/>
      </c>
      <c r="U51" s="82">
        <f>IF($A51="","",$S51+$T51)</f>
        <v/>
      </c>
      <c r="V51" s="82">
        <f>IF($A51="","",INDEX(DM_DDK621,38)+INDEX(DM_DDK622,38)+INDEX(DM_DDK623,38)+INDEX(DM_DDK627,38))</f>
        <v/>
      </c>
      <c r="W51" s="82">
        <f>IF($A51="","",SUMIFS(L_ST,L_Ma,$A51,L_KM,"Phế liệu thu hồi",L_Ngay,"&gt;="&amp;pTu,L_Ngay,"&lt;="&amp;pDen))</f>
        <v/>
      </c>
      <c r="X51" s="82">
        <f>IF($A51="","",SUMIFS(L_ST,L_Ma,$A51,L_KM,"SP hỏng ngoài định mức",L_Ngay,"&gt;="&amp;pTu,L_Ngay,"&lt;="&amp;pDen))</f>
        <v/>
      </c>
      <c r="Y51" s="82">
        <f>IF($A51="","",$P51+$Q51+$R51+$U51)</f>
        <v/>
      </c>
      <c r="Z51" s="82">
        <f>IF($A51="","",IF($D51="Đang thực hiện",$V51+$Y51,CHOOSE(MATCH(pDoDang,LST_DoDang,0),$AE51,$AF51,$AG51)))</f>
        <v/>
      </c>
      <c r="AA51" s="82">
        <f>IF($A51="","",$V51+$Y51-$Z51-$W51-$X51)</f>
        <v/>
      </c>
      <c r="AB51" s="82">
        <f>IF($A51="","",INDEX(DM_SLHT,38))</f>
        <v/>
      </c>
      <c r="AC51" s="82">
        <f>IF($A51="","",IF($AB51&lt;=0,"⚠ CHƯA CÓ SL",ROUND($AA51/$AB51,0)))</f>
        <v/>
      </c>
      <c r="AE51" s="88">
        <f>IF($A51="","",IFERROR((INDEX(DM_DDK621,38)+$P51)/($AB51+INDEX(DM_SLDD,38))*INDEX(DM_SLDD,38),0))</f>
        <v/>
      </c>
      <c r="AF51" s="88">
        <f>IF($A51="","",IFERROR((INDEX(DM_DDK621,38)+$P51)/($AB51+INDEX(DM_SLDD,38))*INDEX(DM_SLDD,38),0)+IFERROR((INDEX(DM_DDK622,38)+$Q51)/($AB51+INDEX(DM_SLDD,38)*INDEX(DM_Pct,38))*(INDEX(DM_SLDD,38)*INDEX(DM_Pct,38)),0)+IFERROR((INDEX(DM_DDK623,38)+$R51)/($AB51+INDEX(DM_SLDD,38)*INDEX(DM_Pct,38))*(INDEX(DM_SLDD,38)*INDEX(DM_Pct,38)),0)+IFERROR((INDEX(DM_DDK627,38)+$U51)/($AB51+INDEX(DM_SLDD,38)*INDEX(DM_Pct,38))*(INDEX(DM_SLDD,38)*INDEX(DM_Pct,38)),0))</f>
        <v/>
      </c>
      <c r="AG51" s="88">
        <f>IF($A51="","",INDEX(DM_SLDD,38)*INDEX(DM_DGDinhMuc,38))</f>
        <v/>
      </c>
      <c r="AH51" s="88">
        <f>IF($A51="",0,IF(AND(ISNUMBER($AA51),$AA51&gt;0,$AB51&lt;=0),1,0))</f>
        <v/>
      </c>
      <c r="AI51" s="88">
        <f>IF($A51="",0,IF(AND(ISNUMBER($Z51),$Z51&lt;0),1,0))</f>
        <v/>
      </c>
      <c r="AJ51" s="88">
        <f>IF($A51="",0,IF(AND(ISNUMBER($AA51),$AA51&lt;0),1,0))</f>
        <v/>
      </c>
    </row>
    <row r="52" ht="15" customHeight="1" s="54">
      <c r="A52" s="80">
        <f>IF(INDEX(DM_Ma,39)="","",INDEX(DM_Ma,39))</f>
        <v/>
      </c>
      <c r="B52" s="80">
        <f>IF($A52="","",INDEX(DM_Ten,39))</f>
        <v/>
      </c>
      <c r="C52" s="80">
        <f>IF($A52="","",INDEX(DM_Loai,39))</f>
        <v/>
      </c>
      <c r="D52" s="80">
        <f>IF($A52="","",INDEX(DM_TrangThai,39))</f>
        <v/>
      </c>
      <c r="E52" s="82">
        <f>IF($A52="","",SUMIFS(L_ST,L_Ma,$A52,L_KM,"NVL trực tiếp (621)",L_TT,"Trực tiếp",L_Ngay,"&gt;="&amp;pTu,L_Ngay,"&lt;="&amp;pDen))</f>
        <v/>
      </c>
      <c r="F52" s="82">
        <f>IF($A52="","",SUMIFS(L_ST,L_Ma,$A52,L_KM,"Nhân công trực tiếp (622)",L_TT,"Trực tiếp",L_Ngay,"&gt;="&amp;pTu,L_Ngay,"&lt;="&amp;pDen))</f>
        <v/>
      </c>
      <c r="G52" s="82">
        <f>IF($A52="","",SUMIFS(L_ST,L_Ma,$A52,L_KM,"Máy thi công (623)",L_TT,"Trực tiếp",L_Ngay,"&gt;="&amp;pTu,L_Ngay,"&lt;="&amp;pDen))</f>
        <v/>
      </c>
      <c r="H52" s="82">
        <f>IF($A52="","",SUMIFS(L_ST,L_Ma,$A52,L_KM,"SXC (627)",L_TT,"Trực tiếp",L_Tinh,"Biến đổi",L_Ngay,"&gt;="&amp;pTu,L_Ngay,"&lt;="&amp;pDen))</f>
        <v/>
      </c>
      <c r="I52" s="82">
        <f>IF($A52="","",SUMIFS(L_ST,L_Ma,$A52,L_KM,"SXC (627)",L_TT,"Trực tiếp",L_Tinh,"Cố định",L_Ngay,"&gt;="&amp;pTu,L_Ngay,"&lt;="&amp;pDen))</f>
        <v/>
      </c>
      <c r="J52" s="82">
        <f>IF($A52="","",CHOOSE(MATCH(pTieuThuc,LST_TieuThuc,0),$E52,$F52,INDEX(DM_GioMay,39),INDEX(DM_GioCong,39),INDEX(DM_SLHT,39),INDEX(DM_DThu,39),INDEX(DM_TieuKhac,39)))</f>
        <v/>
      </c>
      <c r="K52" s="82">
        <f>IF($A52="","",IF(tBase=0,0,$J52/tBase*pool621))</f>
        <v/>
      </c>
      <c r="L52" s="82">
        <f>IF($A52="","",IF(tBase=0,0,$J52/tBase*pool622))</f>
        <v/>
      </c>
      <c r="M52" s="82">
        <f>IF($A52="","",IF(tBase=0,0,$J52/tBase*pool623))</f>
        <v/>
      </c>
      <c r="N52" s="82">
        <f>IF($A52="","",IF(tBase=0,0,$J52/tBase*pool627BD))</f>
        <v/>
      </c>
      <c r="O52" s="82">
        <f>IF($A52="","",IF(tBase=0,0,$J52/tBase*t627CDabs))</f>
        <v/>
      </c>
      <c r="P52" s="82">
        <f>IF($A52="","",$E52+$K52)</f>
        <v/>
      </c>
      <c r="Q52" s="82">
        <f>IF($A52="","",$F52+$L52)</f>
        <v/>
      </c>
      <c r="R52" s="82">
        <f>IF($A52="","",$G52+$M52)</f>
        <v/>
      </c>
      <c r="S52" s="82">
        <f>IF($A52="","",$H52+$N52)</f>
        <v/>
      </c>
      <c r="T52" s="82">
        <f>IF($A52="","",$I52+$O52)</f>
        <v/>
      </c>
      <c r="U52" s="82">
        <f>IF($A52="","",$S52+$T52)</f>
        <v/>
      </c>
      <c r="V52" s="82">
        <f>IF($A52="","",INDEX(DM_DDK621,39)+INDEX(DM_DDK622,39)+INDEX(DM_DDK623,39)+INDEX(DM_DDK627,39))</f>
        <v/>
      </c>
      <c r="W52" s="82">
        <f>IF($A52="","",SUMIFS(L_ST,L_Ma,$A52,L_KM,"Phế liệu thu hồi",L_Ngay,"&gt;="&amp;pTu,L_Ngay,"&lt;="&amp;pDen))</f>
        <v/>
      </c>
      <c r="X52" s="82">
        <f>IF($A52="","",SUMIFS(L_ST,L_Ma,$A52,L_KM,"SP hỏng ngoài định mức",L_Ngay,"&gt;="&amp;pTu,L_Ngay,"&lt;="&amp;pDen))</f>
        <v/>
      </c>
      <c r="Y52" s="82">
        <f>IF($A52="","",$P52+$Q52+$R52+$U52)</f>
        <v/>
      </c>
      <c r="Z52" s="82">
        <f>IF($A52="","",IF($D52="Đang thực hiện",$V52+$Y52,CHOOSE(MATCH(pDoDang,LST_DoDang,0),$AE52,$AF52,$AG52)))</f>
        <v/>
      </c>
      <c r="AA52" s="82">
        <f>IF($A52="","",$V52+$Y52-$Z52-$W52-$X52)</f>
        <v/>
      </c>
      <c r="AB52" s="82">
        <f>IF($A52="","",INDEX(DM_SLHT,39))</f>
        <v/>
      </c>
      <c r="AC52" s="82">
        <f>IF($A52="","",IF($AB52&lt;=0,"⚠ CHƯA CÓ SL",ROUND($AA52/$AB52,0)))</f>
        <v/>
      </c>
      <c r="AE52" s="88">
        <f>IF($A52="","",IFERROR((INDEX(DM_DDK621,39)+$P52)/($AB52+INDEX(DM_SLDD,39))*INDEX(DM_SLDD,39),0))</f>
        <v/>
      </c>
      <c r="AF52" s="88">
        <f>IF($A52="","",IFERROR((INDEX(DM_DDK621,39)+$P52)/($AB52+INDEX(DM_SLDD,39))*INDEX(DM_SLDD,39),0)+IFERROR((INDEX(DM_DDK622,39)+$Q52)/($AB52+INDEX(DM_SLDD,39)*INDEX(DM_Pct,39))*(INDEX(DM_SLDD,39)*INDEX(DM_Pct,39)),0)+IFERROR((INDEX(DM_DDK623,39)+$R52)/($AB52+INDEX(DM_SLDD,39)*INDEX(DM_Pct,39))*(INDEX(DM_SLDD,39)*INDEX(DM_Pct,39)),0)+IFERROR((INDEX(DM_DDK627,39)+$U52)/($AB52+INDEX(DM_SLDD,39)*INDEX(DM_Pct,39))*(INDEX(DM_SLDD,39)*INDEX(DM_Pct,39)),0))</f>
        <v/>
      </c>
      <c r="AG52" s="88">
        <f>IF($A52="","",INDEX(DM_SLDD,39)*INDEX(DM_DGDinhMuc,39))</f>
        <v/>
      </c>
      <c r="AH52" s="88">
        <f>IF($A52="",0,IF(AND(ISNUMBER($AA52),$AA52&gt;0,$AB52&lt;=0),1,0))</f>
        <v/>
      </c>
      <c r="AI52" s="88">
        <f>IF($A52="",0,IF(AND(ISNUMBER($Z52),$Z52&lt;0),1,0))</f>
        <v/>
      </c>
      <c r="AJ52" s="88">
        <f>IF($A52="",0,IF(AND(ISNUMBER($AA52),$AA52&lt;0),1,0))</f>
        <v/>
      </c>
    </row>
    <row r="53" ht="15" customHeight="1" s="54">
      <c r="A53" s="80">
        <f>IF(INDEX(DM_Ma,40)="","",INDEX(DM_Ma,40))</f>
        <v/>
      </c>
      <c r="B53" s="80">
        <f>IF($A53="","",INDEX(DM_Ten,40))</f>
        <v/>
      </c>
      <c r="C53" s="80">
        <f>IF($A53="","",INDEX(DM_Loai,40))</f>
        <v/>
      </c>
      <c r="D53" s="80">
        <f>IF($A53="","",INDEX(DM_TrangThai,40))</f>
        <v/>
      </c>
      <c r="E53" s="82">
        <f>IF($A53="","",SUMIFS(L_ST,L_Ma,$A53,L_KM,"NVL trực tiếp (621)",L_TT,"Trực tiếp",L_Ngay,"&gt;="&amp;pTu,L_Ngay,"&lt;="&amp;pDen))</f>
        <v/>
      </c>
      <c r="F53" s="82">
        <f>IF($A53="","",SUMIFS(L_ST,L_Ma,$A53,L_KM,"Nhân công trực tiếp (622)",L_TT,"Trực tiếp",L_Ngay,"&gt;="&amp;pTu,L_Ngay,"&lt;="&amp;pDen))</f>
        <v/>
      </c>
      <c r="G53" s="82">
        <f>IF($A53="","",SUMIFS(L_ST,L_Ma,$A53,L_KM,"Máy thi công (623)",L_TT,"Trực tiếp",L_Ngay,"&gt;="&amp;pTu,L_Ngay,"&lt;="&amp;pDen))</f>
        <v/>
      </c>
      <c r="H53" s="82">
        <f>IF($A53="","",SUMIFS(L_ST,L_Ma,$A53,L_KM,"SXC (627)",L_TT,"Trực tiếp",L_Tinh,"Biến đổi",L_Ngay,"&gt;="&amp;pTu,L_Ngay,"&lt;="&amp;pDen))</f>
        <v/>
      </c>
      <c r="I53" s="82">
        <f>IF($A53="","",SUMIFS(L_ST,L_Ma,$A53,L_KM,"SXC (627)",L_TT,"Trực tiếp",L_Tinh,"Cố định",L_Ngay,"&gt;="&amp;pTu,L_Ngay,"&lt;="&amp;pDen))</f>
        <v/>
      </c>
      <c r="J53" s="82">
        <f>IF($A53="","",CHOOSE(MATCH(pTieuThuc,LST_TieuThuc,0),$E53,$F53,INDEX(DM_GioMay,40),INDEX(DM_GioCong,40),INDEX(DM_SLHT,40),INDEX(DM_DThu,40),INDEX(DM_TieuKhac,40)))</f>
        <v/>
      </c>
      <c r="K53" s="82">
        <f>IF($A53="","",IF(tBase=0,0,$J53/tBase*pool621))</f>
        <v/>
      </c>
      <c r="L53" s="82">
        <f>IF($A53="","",IF(tBase=0,0,$J53/tBase*pool622))</f>
        <v/>
      </c>
      <c r="M53" s="82">
        <f>IF($A53="","",IF(tBase=0,0,$J53/tBase*pool623))</f>
        <v/>
      </c>
      <c r="N53" s="82">
        <f>IF($A53="","",IF(tBase=0,0,$J53/tBase*pool627BD))</f>
        <v/>
      </c>
      <c r="O53" s="82">
        <f>IF($A53="","",IF(tBase=0,0,$J53/tBase*t627CDabs))</f>
        <v/>
      </c>
      <c r="P53" s="82">
        <f>IF($A53="","",$E53+$K53)</f>
        <v/>
      </c>
      <c r="Q53" s="82">
        <f>IF($A53="","",$F53+$L53)</f>
        <v/>
      </c>
      <c r="R53" s="82">
        <f>IF($A53="","",$G53+$M53)</f>
        <v/>
      </c>
      <c r="S53" s="82">
        <f>IF($A53="","",$H53+$N53)</f>
        <v/>
      </c>
      <c r="T53" s="82">
        <f>IF($A53="","",$I53+$O53)</f>
        <v/>
      </c>
      <c r="U53" s="82">
        <f>IF($A53="","",$S53+$T53)</f>
        <v/>
      </c>
      <c r="V53" s="82">
        <f>IF($A53="","",INDEX(DM_DDK621,40)+INDEX(DM_DDK622,40)+INDEX(DM_DDK623,40)+INDEX(DM_DDK627,40))</f>
        <v/>
      </c>
      <c r="W53" s="82">
        <f>IF($A53="","",SUMIFS(L_ST,L_Ma,$A53,L_KM,"Phế liệu thu hồi",L_Ngay,"&gt;="&amp;pTu,L_Ngay,"&lt;="&amp;pDen))</f>
        <v/>
      </c>
      <c r="X53" s="82">
        <f>IF($A53="","",SUMIFS(L_ST,L_Ma,$A53,L_KM,"SP hỏng ngoài định mức",L_Ngay,"&gt;="&amp;pTu,L_Ngay,"&lt;="&amp;pDen))</f>
        <v/>
      </c>
      <c r="Y53" s="82">
        <f>IF($A53="","",$P53+$Q53+$R53+$U53)</f>
        <v/>
      </c>
      <c r="Z53" s="82">
        <f>IF($A53="","",IF($D53="Đang thực hiện",$V53+$Y53,CHOOSE(MATCH(pDoDang,LST_DoDang,0),$AE53,$AF53,$AG53)))</f>
        <v/>
      </c>
      <c r="AA53" s="82">
        <f>IF($A53="","",$V53+$Y53-$Z53-$W53-$X53)</f>
        <v/>
      </c>
      <c r="AB53" s="82">
        <f>IF($A53="","",INDEX(DM_SLHT,40))</f>
        <v/>
      </c>
      <c r="AC53" s="82">
        <f>IF($A53="","",IF($AB53&lt;=0,"⚠ CHƯA CÓ SL",ROUND($AA53/$AB53,0)))</f>
        <v/>
      </c>
      <c r="AE53" s="88">
        <f>IF($A53="","",IFERROR((INDEX(DM_DDK621,40)+$P53)/($AB53+INDEX(DM_SLDD,40))*INDEX(DM_SLDD,40),0))</f>
        <v/>
      </c>
      <c r="AF53" s="88">
        <f>IF($A53="","",IFERROR((INDEX(DM_DDK621,40)+$P53)/($AB53+INDEX(DM_SLDD,40))*INDEX(DM_SLDD,40),0)+IFERROR((INDEX(DM_DDK622,40)+$Q53)/($AB53+INDEX(DM_SLDD,40)*INDEX(DM_Pct,40))*(INDEX(DM_SLDD,40)*INDEX(DM_Pct,40)),0)+IFERROR((INDEX(DM_DDK623,40)+$R53)/($AB53+INDEX(DM_SLDD,40)*INDEX(DM_Pct,40))*(INDEX(DM_SLDD,40)*INDEX(DM_Pct,40)),0)+IFERROR((INDEX(DM_DDK627,40)+$U53)/($AB53+INDEX(DM_SLDD,40)*INDEX(DM_Pct,40))*(INDEX(DM_SLDD,40)*INDEX(DM_Pct,40)),0))</f>
        <v/>
      </c>
      <c r="AG53" s="88">
        <f>IF($A53="","",INDEX(DM_SLDD,40)*INDEX(DM_DGDinhMuc,40))</f>
        <v/>
      </c>
      <c r="AH53" s="88">
        <f>IF($A53="",0,IF(AND(ISNUMBER($AA53),$AA53&gt;0,$AB53&lt;=0),1,0))</f>
        <v/>
      </c>
      <c r="AI53" s="88">
        <f>IF($A53="",0,IF(AND(ISNUMBER($Z53),$Z53&lt;0),1,0))</f>
        <v/>
      </c>
      <c r="AJ53" s="88">
        <f>IF($A53="",0,IF(AND(ISNUMBER($AA53),$AA53&lt;0),1,0))</f>
        <v/>
      </c>
    </row>
    <row r="54" ht="15" customHeight="1" s="54">
      <c r="A54" s="80">
        <f>IF(INDEX(DM_Ma,41)="","",INDEX(DM_Ma,41))</f>
        <v/>
      </c>
      <c r="B54" s="80">
        <f>IF($A54="","",INDEX(DM_Ten,41))</f>
        <v/>
      </c>
      <c r="C54" s="80">
        <f>IF($A54="","",INDEX(DM_Loai,41))</f>
        <v/>
      </c>
      <c r="D54" s="80">
        <f>IF($A54="","",INDEX(DM_TrangThai,41))</f>
        <v/>
      </c>
      <c r="E54" s="82">
        <f>IF($A54="","",SUMIFS(L_ST,L_Ma,$A54,L_KM,"NVL trực tiếp (621)",L_TT,"Trực tiếp",L_Ngay,"&gt;="&amp;pTu,L_Ngay,"&lt;="&amp;pDen))</f>
        <v/>
      </c>
      <c r="F54" s="82">
        <f>IF($A54="","",SUMIFS(L_ST,L_Ma,$A54,L_KM,"Nhân công trực tiếp (622)",L_TT,"Trực tiếp",L_Ngay,"&gt;="&amp;pTu,L_Ngay,"&lt;="&amp;pDen))</f>
        <v/>
      </c>
      <c r="G54" s="82">
        <f>IF($A54="","",SUMIFS(L_ST,L_Ma,$A54,L_KM,"Máy thi công (623)",L_TT,"Trực tiếp",L_Ngay,"&gt;="&amp;pTu,L_Ngay,"&lt;="&amp;pDen))</f>
        <v/>
      </c>
      <c r="H54" s="82">
        <f>IF($A54="","",SUMIFS(L_ST,L_Ma,$A54,L_KM,"SXC (627)",L_TT,"Trực tiếp",L_Tinh,"Biến đổi",L_Ngay,"&gt;="&amp;pTu,L_Ngay,"&lt;="&amp;pDen))</f>
        <v/>
      </c>
      <c r="I54" s="82">
        <f>IF($A54="","",SUMIFS(L_ST,L_Ma,$A54,L_KM,"SXC (627)",L_TT,"Trực tiếp",L_Tinh,"Cố định",L_Ngay,"&gt;="&amp;pTu,L_Ngay,"&lt;="&amp;pDen))</f>
        <v/>
      </c>
      <c r="J54" s="82">
        <f>IF($A54="","",CHOOSE(MATCH(pTieuThuc,LST_TieuThuc,0),$E54,$F54,INDEX(DM_GioMay,41),INDEX(DM_GioCong,41),INDEX(DM_SLHT,41),INDEX(DM_DThu,41),INDEX(DM_TieuKhac,41)))</f>
        <v/>
      </c>
      <c r="K54" s="82">
        <f>IF($A54="","",IF(tBase=0,0,$J54/tBase*pool621))</f>
        <v/>
      </c>
      <c r="L54" s="82">
        <f>IF($A54="","",IF(tBase=0,0,$J54/tBase*pool622))</f>
        <v/>
      </c>
      <c r="M54" s="82">
        <f>IF($A54="","",IF(tBase=0,0,$J54/tBase*pool623))</f>
        <v/>
      </c>
      <c r="N54" s="82">
        <f>IF($A54="","",IF(tBase=0,0,$J54/tBase*pool627BD))</f>
        <v/>
      </c>
      <c r="O54" s="82">
        <f>IF($A54="","",IF(tBase=0,0,$J54/tBase*t627CDabs))</f>
        <v/>
      </c>
      <c r="P54" s="82">
        <f>IF($A54="","",$E54+$K54)</f>
        <v/>
      </c>
      <c r="Q54" s="82">
        <f>IF($A54="","",$F54+$L54)</f>
        <v/>
      </c>
      <c r="R54" s="82">
        <f>IF($A54="","",$G54+$M54)</f>
        <v/>
      </c>
      <c r="S54" s="82">
        <f>IF($A54="","",$H54+$N54)</f>
        <v/>
      </c>
      <c r="T54" s="82">
        <f>IF($A54="","",$I54+$O54)</f>
        <v/>
      </c>
      <c r="U54" s="82">
        <f>IF($A54="","",$S54+$T54)</f>
        <v/>
      </c>
      <c r="V54" s="82">
        <f>IF($A54="","",INDEX(DM_DDK621,41)+INDEX(DM_DDK622,41)+INDEX(DM_DDK623,41)+INDEX(DM_DDK627,41))</f>
        <v/>
      </c>
      <c r="W54" s="82">
        <f>IF($A54="","",SUMIFS(L_ST,L_Ma,$A54,L_KM,"Phế liệu thu hồi",L_Ngay,"&gt;="&amp;pTu,L_Ngay,"&lt;="&amp;pDen))</f>
        <v/>
      </c>
      <c r="X54" s="82">
        <f>IF($A54="","",SUMIFS(L_ST,L_Ma,$A54,L_KM,"SP hỏng ngoài định mức",L_Ngay,"&gt;="&amp;pTu,L_Ngay,"&lt;="&amp;pDen))</f>
        <v/>
      </c>
      <c r="Y54" s="82">
        <f>IF($A54="","",$P54+$Q54+$R54+$U54)</f>
        <v/>
      </c>
      <c r="Z54" s="82">
        <f>IF($A54="","",IF($D54="Đang thực hiện",$V54+$Y54,CHOOSE(MATCH(pDoDang,LST_DoDang,0),$AE54,$AF54,$AG54)))</f>
        <v/>
      </c>
      <c r="AA54" s="82">
        <f>IF($A54="","",$V54+$Y54-$Z54-$W54-$X54)</f>
        <v/>
      </c>
      <c r="AB54" s="82">
        <f>IF($A54="","",INDEX(DM_SLHT,41))</f>
        <v/>
      </c>
      <c r="AC54" s="82">
        <f>IF($A54="","",IF($AB54&lt;=0,"⚠ CHƯA CÓ SL",ROUND($AA54/$AB54,0)))</f>
        <v/>
      </c>
      <c r="AE54" s="88">
        <f>IF($A54="","",IFERROR((INDEX(DM_DDK621,41)+$P54)/($AB54+INDEX(DM_SLDD,41))*INDEX(DM_SLDD,41),0))</f>
        <v/>
      </c>
      <c r="AF54" s="88">
        <f>IF($A54="","",IFERROR((INDEX(DM_DDK621,41)+$P54)/($AB54+INDEX(DM_SLDD,41))*INDEX(DM_SLDD,41),0)+IFERROR((INDEX(DM_DDK622,41)+$Q54)/($AB54+INDEX(DM_SLDD,41)*INDEX(DM_Pct,41))*(INDEX(DM_SLDD,41)*INDEX(DM_Pct,41)),0)+IFERROR((INDEX(DM_DDK623,41)+$R54)/($AB54+INDEX(DM_SLDD,41)*INDEX(DM_Pct,41))*(INDEX(DM_SLDD,41)*INDEX(DM_Pct,41)),0)+IFERROR((INDEX(DM_DDK627,41)+$U54)/($AB54+INDEX(DM_SLDD,41)*INDEX(DM_Pct,41))*(INDEX(DM_SLDD,41)*INDEX(DM_Pct,41)),0))</f>
        <v/>
      </c>
      <c r="AG54" s="88">
        <f>IF($A54="","",INDEX(DM_SLDD,41)*INDEX(DM_DGDinhMuc,41))</f>
        <v/>
      </c>
      <c r="AH54" s="88">
        <f>IF($A54="",0,IF(AND(ISNUMBER($AA54),$AA54&gt;0,$AB54&lt;=0),1,0))</f>
        <v/>
      </c>
      <c r="AI54" s="88">
        <f>IF($A54="",0,IF(AND(ISNUMBER($Z54),$Z54&lt;0),1,0))</f>
        <v/>
      </c>
      <c r="AJ54" s="88">
        <f>IF($A54="",0,IF(AND(ISNUMBER($AA54),$AA54&lt;0),1,0))</f>
        <v/>
      </c>
    </row>
    <row r="55" ht="15" customHeight="1" s="54">
      <c r="A55" s="80">
        <f>IF(INDEX(DM_Ma,42)="","",INDEX(DM_Ma,42))</f>
        <v/>
      </c>
      <c r="B55" s="80">
        <f>IF($A55="","",INDEX(DM_Ten,42))</f>
        <v/>
      </c>
      <c r="C55" s="80">
        <f>IF($A55="","",INDEX(DM_Loai,42))</f>
        <v/>
      </c>
      <c r="D55" s="80">
        <f>IF($A55="","",INDEX(DM_TrangThai,42))</f>
        <v/>
      </c>
      <c r="E55" s="82">
        <f>IF($A55="","",SUMIFS(L_ST,L_Ma,$A55,L_KM,"NVL trực tiếp (621)",L_TT,"Trực tiếp",L_Ngay,"&gt;="&amp;pTu,L_Ngay,"&lt;="&amp;pDen))</f>
        <v/>
      </c>
      <c r="F55" s="82">
        <f>IF($A55="","",SUMIFS(L_ST,L_Ma,$A55,L_KM,"Nhân công trực tiếp (622)",L_TT,"Trực tiếp",L_Ngay,"&gt;="&amp;pTu,L_Ngay,"&lt;="&amp;pDen))</f>
        <v/>
      </c>
      <c r="G55" s="82">
        <f>IF($A55="","",SUMIFS(L_ST,L_Ma,$A55,L_KM,"Máy thi công (623)",L_TT,"Trực tiếp",L_Ngay,"&gt;="&amp;pTu,L_Ngay,"&lt;="&amp;pDen))</f>
        <v/>
      </c>
      <c r="H55" s="82">
        <f>IF($A55="","",SUMIFS(L_ST,L_Ma,$A55,L_KM,"SXC (627)",L_TT,"Trực tiếp",L_Tinh,"Biến đổi",L_Ngay,"&gt;="&amp;pTu,L_Ngay,"&lt;="&amp;pDen))</f>
        <v/>
      </c>
      <c r="I55" s="82">
        <f>IF($A55="","",SUMIFS(L_ST,L_Ma,$A55,L_KM,"SXC (627)",L_TT,"Trực tiếp",L_Tinh,"Cố định",L_Ngay,"&gt;="&amp;pTu,L_Ngay,"&lt;="&amp;pDen))</f>
        <v/>
      </c>
      <c r="J55" s="82">
        <f>IF($A55="","",CHOOSE(MATCH(pTieuThuc,LST_TieuThuc,0),$E55,$F55,INDEX(DM_GioMay,42),INDEX(DM_GioCong,42),INDEX(DM_SLHT,42),INDEX(DM_DThu,42),INDEX(DM_TieuKhac,42)))</f>
        <v/>
      </c>
      <c r="K55" s="82">
        <f>IF($A55="","",IF(tBase=0,0,$J55/tBase*pool621))</f>
        <v/>
      </c>
      <c r="L55" s="82">
        <f>IF($A55="","",IF(tBase=0,0,$J55/tBase*pool622))</f>
        <v/>
      </c>
      <c r="M55" s="82">
        <f>IF($A55="","",IF(tBase=0,0,$J55/tBase*pool623))</f>
        <v/>
      </c>
      <c r="N55" s="82">
        <f>IF($A55="","",IF(tBase=0,0,$J55/tBase*pool627BD))</f>
        <v/>
      </c>
      <c r="O55" s="82">
        <f>IF($A55="","",IF(tBase=0,0,$J55/tBase*t627CDabs))</f>
        <v/>
      </c>
      <c r="P55" s="82">
        <f>IF($A55="","",$E55+$K55)</f>
        <v/>
      </c>
      <c r="Q55" s="82">
        <f>IF($A55="","",$F55+$L55)</f>
        <v/>
      </c>
      <c r="R55" s="82">
        <f>IF($A55="","",$G55+$M55)</f>
        <v/>
      </c>
      <c r="S55" s="82">
        <f>IF($A55="","",$H55+$N55)</f>
        <v/>
      </c>
      <c r="T55" s="82">
        <f>IF($A55="","",$I55+$O55)</f>
        <v/>
      </c>
      <c r="U55" s="82">
        <f>IF($A55="","",$S55+$T55)</f>
        <v/>
      </c>
      <c r="V55" s="82">
        <f>IF($A55="","",INDEX(DM_DDK621,42)+INDEX(DM_DDK622,42)+INDEX(DM_DDK623,42)+INDEX(DM_DDK627,42))</f>
        <v/>
      </c>
      <c r="W55" s="82">
        <f>IF($A55="","",SUMIFS(L_ST,L_Ma,$A55,L_KM,"Phế liệu thu hồi",L_Ngay,"&gt;="&amp;pTu,L_Ngay,"&lt;="&amp;pDen))</f>
        <v/>
      </c>
      <c r="X55" s="82">
        <f>IF($A55="","",SUMIFS(L_ST,L_Ma,$A55,L_KM,"SP hỏng ngoài định mức",L_Ngay,"&gt;="&amp;pTu,L_Ngay,"&lt;="&amp;pDen))</f>
        <v/>
      </c>
      <c r="Y55" s="82">
        <f>IF($A55="","",$P55+$Q55+$R55+$U55)</f>
        <v/>
      </c>
      <c r="Z55" s="82">
        <f>IF($A55="","",IF($D55="Đang thực hiện",$V55+$Y55,CHOOSE(MATCH(pDoDang,LST_DoDang,0),$AE55,$AF55,$AG55)))</f>
        <v/>
      </c>
      <c r="AA55" s="82">
        <f>IF($A55="","",$V55+$Y55-$Z55-$W55-$X55)</f>
        <v/>
      </c>
      <c r="AB55" s="82">
        <f>IF($A55="","",INDEX(DM_SLHT,42))</f>
        <v/>
      </c>
      <c r="AC55" s="82">
        <f>IF($A55="","",IF($AB55&lt;=0,"⚠ CHƯA CÓ SL",ROUND($AA55/$AB55,0)))</f>
        <v/>
      </c>
      <c r="AE55" s="88">
        <f>IF($A55="","",IFERROR((INDEX(DM_DDK621,42)+$P55)/($AB55+INDEX(DM_SLDD,42))*INDEX(DM_SLDD,42),0))</f>
        <v/>
      </c>
      <c r="AF55" s="88">
        <f>IF($A55="","",IFERROR((INDEX(DM_DDK621,42)+$P55)/($AB55+INDEX(DM_SLDD,42))*INDEX(DM_SLDD,42),0)+IFERROR((INDEX(DM_DDK622,42)+$Q55)/($AB55+INDEX(DM_SLDD,42)*INDEX(DM_Pct,42))*(INDEX(DM_SLDD,42)*INDEX(DM_Pct,42)),0)+IFERROR((INDEX(DM_DDK623,42)+$R55)/($AB55+INDEX(DM_SLDD,42)*INDEX(DM_Pct,42))*(INDEX(DM_SLDD,42)*INDEX(DM_Pct,42)),0)+IFERROR((INDEX(DM_DDK627,42)+$U55)/($AB55+INDEX(DM_SLDD,42)*INDEX(DM_Pct,42))*(INDEX(DM_SLDD,42)*INDEX(DM_Pct,42)),0))</f>
        <v/>
      </c>
      <c r="AG55" s="88">
        <f>IF($A55="","",INDEX(DM_SLDD,42)*INDEX(DM_DGDinhMuc,42))</f>
        <v/>
      </c>
      <c r="AH55" s="88">
        <f>IF($A55="",0,IF(AND(ISNUMBER($AA55),$AA55&gt;0,$AB55&lt;=0),1,0))</f>
        <v/>
      </c>
      <c r="AI55" s="88">
        <f>IF($A55="",0,IF(AND(ISNUMBER($Z55),$Z55&lt;0),1,0))</f>
        <v/>
      </c>
      <c r="AJ55" s="88">
        <f>IF($A55="",0,IF(AND(ISNUMBER($AA55),$AA55&lt;0),1,0))</f>
        <v/>
      </c>
    </row>
    <row r="56" ht="15" customHeight="1" s="54">
      <c r="A56" s="80">
        <f>IF(INDEX(DM_Ma,43)="","",INDEX(DM_Ma,43))</f>
        <v/>
      </c>
      <c r="B56" s="80">
        <f>IF($A56="","",INDEX(DM_Ten,43))</f>
        <v/>
      </c>
      <c r="C56" s="80">
        <f>IF($A56="","",INDEX(DM_Loai,43))</f>
        <v/>
      </c>
      <c r="D56" s="80">
        <f>IF($A56="","",INDEX(DM_TrangThai,43))</f>
        <v/>
      </c>
      <c r="E56" s="82">
        <f>IF($A56="","",SUMIFS(L_ST,L_Ma,$A56,L_KM,"NVL trực tiếp (621)",L_TT,"Trực tiếp",L_Ngay,"&gt;="&amp;pTu,L_Ngay,"&lt;="&amp;pDen))</f>
        <v/>
      </c>
      <c r="F56" s="82">
        <f>IF($A56="","",SUMIFS(L_ST,L_Ma,$A56,L_KM,"Nhân công trực tiếp (622)",L_TT,"Trực tiếp",L_Ngay,"&gt;="&amp;pTu,L_Ngay,"&lt;="&amp;pDen))</f>
        <v/>
      </c>
      <c r="G56" s="82">
        <f>IF($A56="","",SUMIFS(L_ST,L_Ma,$A56,L_KM,"Máy thi công (623)",L_TT,"Trực tiếp",L_Ngay,"&gt;="&amp;pTu,L_Ngay,"&lt;="&amp;pDen))</f>
        <v/>
      </c>
      <c r="H56" s="82">
        <f>IF($A56="","",SUMIFS(L_ST,L_Ma,$A56,L_KM,"SXC (627)",L_TT,"Trực tiếp",L_Tinh,"Biến đổi",L_Ngay,"&gt;="&amp;pTu,L_Ngay,"&lt;="&amp;pDen))</f>
        <v/>
      </c>
      <c r="I56" s="82">
        <f>IF($A56="","",SUMIFS(L_ST,L_Ma,$A56,L_KM,"SXC (627)",L_TT,"Trực tiếp",L_Tinh,"Cố định",L_Ngay,"&gt;="&amp;pTu,L_Ngay,"&lt;="&amp;pDen))</f>
        <v/>
      </c>
      <c r="J56" s="82">
        <f>IF($A56="","",CHOOSE(MATCH(pTieuThuc,LST_TieuThuc,0),$E56,$F56,INDEX(DM_GioMay,43),INDEX(DM_GioCong,43),INDEX(DM_SLHT,43),INDEX(DM_DThu,43),INDEX(DM_TieuKhac,43)))</f>
        <v/>
      </c>
      <c r="K56" s="82">
        <f>IF($A56="","",IF(tBase=0,0,$J56/tBase*pool621))</f>
        <v/>
      </c>
      <c r="L56" s="82">
        <f>IF($A56="","",IF(tBase=0,0,$J56/tBase*pool622))</f>
        <v/>
      </c>
      <c r="M56" s="82">
        <f>IF($A56="","",IF(tBase=0,0,$J56/tBase*pool623))</f>
        <v/>
      </c>
      <c r="N56" s="82">
        <f>IF($A56="","",IF(tBase=0,0,$J56/tBase*pool627BD))</f>
        <v/>
      </c>
      <c r="O56" s="82">
        <f>IF($A56="","",IF(tBase=0,0,$J56/tBase*t627CDabs))</f>
        <v/>
      </c>
      <c r="P56" s="82">
        <f>IF($A56="","",$E56+$K56)</f>
        <v/>
      </c>
      <c r="Q56" s="82">
        <f>IF($A56="","",$F56+$L56)</f>
        <v/>
      </c>
      <c r="R56" s="82">
        <f>IF($A56="","",$G56+$M56)</f>
        <v/>
      </c>
      <c r="S56" s="82">
        <f>IF($A56="","",$H56+$N56)</f>
        <v/>
      </c>
      <c r="T56" s="82">
        <f>IF($A56="","",$I56+$O56)</f>
        <v/>
      </c>
      <c r="U56" s="82">
        <f>IF($A56="","",$S56+$T56)</f>
        <v/>
      </c>
      <c r="V56" s="82">
        <f>IF($A56="","",INDEX(DM_DDK621,43)+INDEX(DM_DDK622,43)+INDEX(DM_DDK623,43)+INDEX(DM_DDK627,43))</f>
        <v/>
      </c>
      <c r="W56" s="82">
        <f>IF($A56="","",SUMIFS(L_ST,L_Ma,$A56,L_KM,"Phế liệu thu hồi",L_Ngay,"&gt;="&amp;pTu,L_Ngay,"&lt;="&amp;pDen))</f>
        <v/>
      </c>
      <c r="X56" s="82">
        <f>IF($A56="","",SUMIFS(L_ST,L_Ma,$A56,L_KM,"SP hỏng ngoài định mức",L_Ngay,"&gt;="&amp;pTu,L_Ngay,"&lt;="&amp;pDen))</f>
        <v/>
      </c>
      <c r="Y56" s="82">
        <f>IF($A56="","",$P56+$Q56+$R56+$U56)</f>
        <v/>
      </c>
      <c r="Z56" s="82">
        <f>IF($A56="","",IF($D56="Đang thực hiện",$V56+$Y56,CHOOSE(MATCH(pDoDang,LST_DoDang,0),$AE56,$AF56,$AG56)))</f>
        <v/>
      </c>
      <c r="AA56" s="82">
        <f>IF($A56="","",$V56+$Y56-$Z56-$W56-$X56)</f>
        <v/>
      </c>
      <c r="AB56" s="82">
        <f>IF($A56="","",INDEX(DM_SLHT,43))</f>
        <v/>
      </c>
      <c r="AC56" s="82">
        <f>IF($A56="","",IF($AB56&lt;=0,"⚠ CHƯA CÓ SL",ROUND($AA56/$AB56,0)))</f>
        <v/>
      </c>
      <c r="AE56" s="88">
        <f>IF($A56="","",IFERROR((INDEX(DM_DDK621,43)+$P56)/($AB56+INDEX(DM_SLDD,43))*INDEX(DM_SLDD,43),0))</f>
        <v/>
      </c>
      <c r="AF56" s="88">
        <f>IF($A56="","",IFERROR((INDEX(DM_DDK621,43)+$P56)/($AB56+INDEX(DM_SLDD,43))*INDEX(DM_SLDD,43),0)+IFERROR((INDEX(DM_DDK622,43)+$Q56)/($AB56+INDEX(DM_SLDD,43)*INDEX(DM_Pct,43))*(INDEX(DM_SLDD,43)*INDEX(DM_Pct,43)),0)+IFERROR((INDEX(DM_DDK623,43)+$R56)/($AB56+INDEX(DM_SLDD,43)*INDEX(DM_Pct,43))*(INDEX(DM_SLDD,43)*INDEX(DM_Pct,43)),0)+IFERROR((INDEX(DM_DDK627,43)+$U56)/($AB56+INDEX(DM_SLDD,43)*INDEX(DM_Pct,43))*(INDEX(DM_SLDD,43)*INDEX(DM_Pct,43)),0))</f>
        <v/>
      </c>
      <c r="AG56" s="88">
        <f>IF($A56="","",INDEX(DM_SLDD,43)*INDEX(DM_DGDinhMuc,43))</f>
        <v/>
      </c>
      <c r="AH56" s="88">
        <f>IF($A56="",0,IF(AND(ISNUMBER($AA56),$AA56&gt;0,$AB56&lt;=0),1,0))</f>
        <v/>
      </c>
      <c r="AI56" s="88">
        <f>IF($A56="",0,IF(AND(ISNUMBER($Z56),$Z56&lt;0),1,0))</f>
        <v/>
      </c>
      <c r="AJ56" s="88">
        <f>IF($A56="",0,IF(AND(ISNUMBER($AA56),$AA56&lt;0),1,0))</f>
        <v/>
      </c>
    </row>
    <row r="57" ht="15" customHeight="1" s="54">
      <c r="A57" s="80">
        <f>IF(INDEX(DM_Ma,44)="","",INDEX(DM_Ma,44))</f>
        <v/>
      </c>
      <c r="B57" s="80">
        <f>IF($A57="","",INDEX(DM_Ten,44))</f>
        <v/>
      </c>
      <c r="C57" s="80">
        <f>IF($A57="","",INDEX(DM_Loai,44))</f>
        <v/>
      </c>
      <c r="D57" s="80">
        <f>IF($A57="","",INDEX(DM_TrangThai,44))</f>
        <v/>
      </c>
      <c r="E57" s="82">
        <f>IF($A57="","",SUMIFS(L_ST,L_Ma,$A57,L_KM,"NVL trực tiếp (621)",L_TT,"Trực tiếp",L_Ngay,"&gt;="&amp;pTu,L_Ngay,"&lt;="&amp;pDen))</f>
        <v/>
      </c>
      <c r="F57" s="82">
        <f>IF($A57="","",SUMIFS(L_ST,L_Ma,$A57,L_KM,"Nhân công trực tiếp (622)",L_TT,"Trực tiếp",L_Ngay,"&gt;="&amp;pTu,L_Ngay,"&lt;="&amp;pDen))</f>
        <v/>
      </c>
      <c r="G57" s="82">
        <f>IF($A57="","",SUMIFS(L_ST,L_Ma,$A57,L_KM,"Máy thi công (623)",L_TT,"Trực tiếp",L_Ngay,"&gt;="&amp;pTu,L_Ngay,"&lt;="&amp;pDen))</f>
        <v/>
      </c>
      <c r="H57" s="82">
        <f>IF($A57="","",SUMIFS(L_ST,L_Ma,$A57,L_KM,"SXC (627)",L_TT,"Trực tiếp",L_Tinh,"Biến đổi",L_Ngay,"&gt;="&amp;pTu,L_Ngay,"&lt;="&amp;pDen))</f>
        <v/>
      </c>
      <c r="I57" s="82">
        <f>IF($A57="","",SUMIFS(L_ST,L_Ma,$A57,L_KM,"SXC (627)",L_TT,"Trực tiếp",L_Tinh,"Cố định",L_Ngay,"&gt;="&amp;pTu,L_Ngay,"&lt;="&amp;pDen))</f>
        <v/>
      </c>
      <c r="J57" s="82">
        <f>IF($A57="","",CHOOSE(MATCH(pTieuThuc,LST_TieuThuc,0),$E57,$F57,INDEX(DM_GioMay,44),INDEX(DM_GioCong,44),INDEX(DM_SLHT,44),INDEX(DM_DThu,44),INDEX(DM_TieuKhac,44)))</f>
        <v/>
      </c>
      <c r="K57" s="82">
        <f>IF($A57="","",IF(tBase=0,0,$J57/tBase*pool621))</f>
        <v/>
      </c>
      <c r="L57" s="82">
        <f>IF($A57="","",IF(tBase=0,0,$J57/tBase*pool622))</f>
        <v/>
      </c>
      <c r="M57" s="82">
        <f>IF($A57="","",IF(tBase=0,0,$J57/tBase*pool623))</f>
        <v/>
      </c>
      <c r="N57" s="82">
        <f>IF($A57="","",IF(tBase=0,0,$J57/tBase*pool627BD))</f>
        <v/>
      </c>
      <c r="O57" s="82">
        <f>IF($A57="","",IF(tBase=0,0,$J57/tBase*t627CDabs))</f>
        <v/>
      </c>
      <c r="P57" s="82">
        <f>IF($A57="","",$E57+$K57)</f>
        <v/>
      </c>
      <c r="Q57" s="82">
        <f>IF($A57="","",$F57+$L57)</f>
        <v/>
      </c>
      <c r="R57" s="82">
        <f>IF($A57="","",$G57+$M57)</f>
        <v/>
      </c>
      <c r="S57" s="82">
        <f>IF($A57="","",$H57+$N57)</f>
        <v/>
      </c>
      <c r="T57" s="82">
        <f>IF($A57="","",$I57+$O57)</f>
        <v/>
      </c>
      <c r="U57" s="82">
        <f>IF($A57="","",$S57+$T57)</f>
        <v/>
      </c>
      <c r="V57" s="82">
        <f>IF($A57="","",INDEX(DM_DDK621,44)+INDEX(DM_DDK622,44)+INDEX(DM_DDK623,44)+INDEX(DM_DDK627,44))</f>
        <v/>
      </c>
      <c r="W57" s="82">
        <f>IF($A57="","",SUMIFS(L_ST,L_Ma,$A57,L_KM,"Phế liệu thu hồi",L_Ngay,"&gt;="&amp;pTu,L_Ngay,"&lt;="&amp;pDen))</f>
        <v/>
      </c>
      <c r="X57" s="82">
        <f>IF($A57="","",SUMIFS(L_ST,L_Ma,$A57,L_KM,"SP hỏng ngoài định mức",L_Ngay,"&gt;="&amp;pTu,L_Ngay,"&lt;="&amp;pDen))</f>
        <v/>
      </c>
      <c r="Y57" s="82">
        <f>IF($A57="","",$P57+$Q57+$R57+$U57)</f>
        <v/>
      </c>
      <c r="Z57" s="82">
        <f>IF($A57="","",IF($D57="Đang thực hiện",$V57+$Y57,CHOOSE(MATCH(pDoDang,LST_DoDang,0),$AE57,$AF57,$AG57)))</f>
        <v/>
      </c>
      <c r="AA57" s="82">
        <f>IF($A57="","",$V57+$Y57-$Z57-$W57-$X57)</f>
        <v/>
      </c>
      <c r="AB57" s="82">
        <f>IF($A57="","",INDEX(DM_SLHT,44))</f>
        <v/>
      </c>
      <c r="AC57" s="82">
        <f>IF($A57="","",IF($AB57&lt;=0,"⚠ CHƯA CÓ SL",ROUND($AA57/$AB57,0)))</f>
        <v/>
      </c>
      <c r="AE57" s="88">
        <f>IF($A57="","",IFERROR((INDEX(DM_DDK621,44)+$P57)/($AB57+INDEX(DM_SLDD,44))*INDEX(DM_SLDD,44),0))</f>
        <v/>
      </c>
      <c r="AF57" s="88">
        <f>IF($A57="","",IFERROR((INDEX(DM_DDK621,44)+$P57)/($AB57+INDEX(DM_SLDD,44))*INDEX(DM_SLDD,44),0)+IFERROR((INDEX(DM_DDK622,44)+$Q57)/($AB57+INDEX(DM_SLDD,44)*INDEX(DM_Pct,44))*(INDEX(DM_SLDD,44)*INDEX(DM_Pct,44)),0)+IFERROR((INDEX(DM_DDK623,44)+$R57)/($AB57+INDEX(DM_SLDD,44)*INDEX(DM_Pct,44))*(INDEX(DM_SLDD,44)*INDEX(DM_Pct,44)),0)+IFERROR((INDEX(DM_DDK627,44)+$U57)/($AB57+INDEX(DM_SLDD,44)*INDEX(DM_Pct,44))*(INDEX(DM_SLDD,44)*INDEX(DM_Pct,44)),0))</f>
        <v/>
      </c>
      <c r="AG57" s="88">
        <f>IF($A57="","",INDEX(DM_SLDD,44)*INDEX(DM_DGDinhMuc,44))</f>
        <v/>
      </c>
      <c r="AH57" s="88">
        <f>IF($A57="",0,IF(AND(ISNUMBER($AA57),$AA57&gt;0,$AB57&lt;=0),1,0))</f>
        <v/>
      </c>
      <c r="AI57" s="88">
        <f>IF($A57="",0,IF(AND(ISNUMBER($Z57),$Z57&lt;0),1,0))</f>
        <v/>
      </c>
      <c r="AJ57" s="88">
        <f>IF($A57="",0,IF(AND(ISNUMBER($AA57),$AA57&lt;0),1,0))</f>
        <v/>
      </c>
    </row>
    <row r="58" ht="15" customHeight="1" s="54">
      <c r="A58" s="80">
        <f>IF(INDEX(DM_Ma,45)="","",INDEX(DM_Ma,45))</f>
        <v/>
      </c>
      <c r="B58" s="80">
        <f>IF($A58="","",INDEX(DM_Ten,45))</f>
        <v/>
      </c>
      <c r="C58" s="80">
        <f>IF($A58="","",INDEX(DM_Loai,45))</f>
        <v/>
      </c>
      <c r="D58" s="80">
        <f>IF($A58="","",INDEX(DM_TrangThai,45))</f>
        <v/>
      </c>
      <c r="E58" s="82">
        <f>IF($A58="","",SUMIFS(L_ST,L_Ma,$A58,L_KM,"NVL trực tiếp (621)",L_TT,"Trực tiếp",L_Ngay,"&gt;="&amp;pTu,L_Ngay,"&lt;="&amp;pDen))</f>
        <v/>
      </c>
      <c r="F58" s="82">
        <f>IF($A58="","",SUMIFS(L_ST,L_Ma,$A58,L_KM,"Nhân công trực tiếp (622)",L_TT,"Trực tiếp",L_Ngay,"&gt;="&amp;pTu,L_Ngay,"&lt;="&amp;pDen))</f>
        <v/>
      </c>
      <c r="G58" s="82">
        <f>IF($A58="","",SUMIFS(L_ST,L_Ma,$A58,L_KM,"Máy thi công (623)",L_TT,"Trực tiếp",L_Ngay,"&gt;="&amp;pTu,L_Ngay,"&lt;="&amp;pDen))</f>
        <v/>
      </c>
      <c r="H58" s="82">
        <f>IF($A58="","",SUMIFS(L_ST,L_Ma,$A58,L_KM,"SXC (627)",L_TT,"Trực tiếp",L_Tinh,"Biến đổi",L_Ngay,"&gt;="&amp;pTu,L_Ngay,"&lt;="&amp;pDen))</f>
        <v/>
      </c>
      <c r="I58" s="82">
        <f>IF($A58="","",SUMIFS(L_ST,L_Ma,$A58,L_KM,"SXC (627)",L_TT,"Trực tiếp",L_Tinh,"Cố định",L_Ngay,"&gt;="&amp;pTu,L_Ngay,"&lt;="&amp;pDen))</f>
        <v/>
      </c>
      <c r="J58" s="82">
        <f>IF($A58="","",CHOOSE(MATCH(pTieuThuc,LST_TieuThuc,0),$E58,$F58,INDEX(DM_GioMay,45),INDEX(DM_GioCong,45),INDEX(DM_SLHT,45),INDEX(DM_DThu,45),INDEX(DM_TieuKhac,45)))</f>
        <v/>
      </c>
      <c r="K58" s="82">
        <f>IF($A58="","",IF(tBase=0,0,$J58/tBase*pool621))</f>
        <v/>
      </c>
      <c r="L58" s="82">
        <f>IF($A58="","",IF(tBase=0,0,$J58/tBase*pool622))</f>
        <v/>
      </c>
      <c r="M58" s="82">
        <f>IF($A58="","",IF(tBase=0,0,$J58/tBase*pool623))</f>
        <v/>
      </c>
      <c r="N58" s="82">
        <f>IF($A58="","",IF(tBase=0,0,$J58/tBase*pool627BD))</f>
        <v/>
      </c>
      <c r="O58" s="82">
        <f>IF($A58="","",IF(tBase=0,0,$J58/tBase*t627CDabs))</f>
        <v/>
      </c>
      <c r="P58" s="82">
        <f>IF($A58="","",$E58+$K58)</f>
        <v/>
      </c>
      <c r="Q58" s="82">
        <f>IF($A58="","",$F58+$L58)</f>
        <v/>
      </c>
      <c r="R58" s="82">
        <f>IF($A58="","",$G58+$M58)</f>
        <v/>
      </c>
      <c r="S58" s="82">
        <f>IF($A58="","",$H58+$N58)</f>
        <v/>
      </c>
      <c r="T58" s="82">
        <f>IF($A58="","",$I58+$O58)</f>
        <v/>
      </c>
      <c r="U58" s="82">
        <f>IF($A58="","",$S58+$T58)</f>
        <v/>
      </c>
      <c r="V58" s="82">
        <f>IF($A58="","",INDEX(DM_DDK621,45)+INDEX(DM_DDK622,45)+INDEX(DM_DDK623,45)+INDEX(DM_DDK627,45))</f>
        <v/>
      </c>
      <c r="W58" s="82">
        <f>IF($A58="","",SUMIFS(L_ST,L_Ma,$A58,L_KM,"Phế liệu thu hồi",L_Ngay,"&gt;="&amp;pTu,L_Ngay,"&lt;="&amp;pDen))</f>
        <v/>
      </c>
      <c r="X58" s="82">
        <f>IF($A58="","",SUMIFS(L_ST,L_Ma,$A58,L_KM,"SP hỏng ngoài định mức",L_Ngay,"&gt;="&amp;pTu,L_Ngay,"&lt;="&amp;pDen))</f>
        <v/>
      </c>
      <c r="Y58" s="82">
        <f>IF($A58="","",$P58+$Q58+$R58+$U58)</f>
        <v/>
      </c>
      <c r="Z58" s="82">
        <f>IF($A58="","",IF($D58="Đang thực hiện",$V58+$Y58,CHOOSE(MATCH(pDoDang,LST_DoDang,0),$AE58,$AF58,$AG58)))</f>
        <v/>
      </c>
      <c r="AA58" s="82">
        <f>IF($A58="","",$V58+$Y58-$Z58-$W58-$X58)</f>
        <v/>
      </c>
      <c r="AB58" s="82">
        <f>IF($A58="","",INDEX(DM_SLHT,45))</f>
        <v/>
      </c>
      <c r="AC58" s="82">
        <f>IF($A58="","",IF($AB58&lt;=0,"⚠ CHƯA CÓ SL",ROUND($AA58/$AB58,0)))</f>
        <v/>
      </c>
      <c r="AE58" s="88">
        <f>IF($A58="","",IFERROR((INDEX(DM_DDK621,45)+$P58)/($AB58+INDEX(DM_SLDD,45))*INDEX(DM_SLDD,45),0))</f>
        <v/>
      </c>
      <c r="AF58" s="88">
        <f>IF($A58="","",IFERROR((INDEX(DM_DDK621,45)+$P58)/($AB58+INDEX(DM_SLDD,45))*INDEX(DM_SLDD,45),0)+IFERROR((INDEX(DM_DDK622,45)+$Q58)/($AB58+INDEX(DM_SLDD,45)*INDEX(DM_Pct,45))*(INDEX(DM_SLDD,45)*INDEX(DM_Pct,45)),0)+IFERROR((INDEX(DM_DDK623,45)+$R58)/($AB58+INDEX(DM_SLDD,45)*INDEX(DM_Pct,45))*(INDEX(DM_SLDD,45)*INDEX(DM_Pct,45)),0)+IFERROR((INDEX(DM_DDK627,45)+$U58)/($AB58+INDEX(DM_SLDD,45)*INDEX(DM_Pct,45))*(INDEX(DM_SLDD,45)*INDEX(DM_Pct,45)),0))</f>
        <v/>
      </c>
      <c r="AG58" s="88">
        <f>IF($A58="","",INDEX(DM_SLDD,45)*INDEX(DM_DGDinhMuc,45))</f>
        <v/>
      </c>
      <c r="AH58" s="88">
        <f>IF($A58="",0,IF(AND(ISNUMBER($AA58),$AA58&gt;0,$AB58&lt;=0),1,0))</f>
        <v/>
      </c>
      <c r="AI58" s="88">
        <f>IF($A58="",0,IF(AND(ISNUMBER($Z58),$Z58&lt;0),1,0))</f>
        <v/>
      </c>
      <c r="AJ58" s="88">
        <f>IF($A58="",0,IF(AND(ISNUMBER($AA58),$AA58&lt;0),1,0))</f>
        <v/>
      </c>
    </row>
    <row r="59" ht="15" customHeight="1" s="54">
      <c r="A59" s="80">
        <f>IF(INDEX(DM_Ma,46)="","",INDEX(DM_Ma,46))</f>
        <v/>
      </c>
      <c r="B59" s="80">
        <f>IF($A59="","",INDEX(DM_Ten,46))</f>
        <v/>
      </c>
      <c r="C59" s="80">
        <f>IF($A59="","",INDEX(DM_Loai,46))</f>
        <v/>
      </c>
      <c r="D59" s="80">
        <f>IF($A59="","",INDEX(DM_TrangThai,46))</f>
        <v/>
      </c>
      <c r="E59" s="82">
        <f>IF($A59="","",SUMIFS(L_ST,L_Ma,$A59,L_KM,"NVL trực tiếp (621)",L_TT,"Trực tiếp",L_Ngay,"&gt;="&amp;pTu,L_Ngay,"&lt;="&amp;pDen))</f>
        <v/>
      </c>
      <c r="F59" s="82">
        <f>IF($A59="","",SUMIFS(L_ST,L_Ma,$A59,L_KM,"Nhân công trực tiếp (622)",L_TT,"Trực tiếp",L_Ngay,"&gt;="&amp;pTu,L_Ngay,"&lt;="&amp;pDen))</f>
        <v/>
      </c>
      <c r="G59" s="82">
        <f>IF($A59="","",SUMIFS(L_ST,L_Ma,$A59,L_KM,"Máy thi công (623)",L_TT,"Trực tiếp",L_Ngay,"&gt;="&amp;pTu,L_Ngay,"&lt;="&amp;pDen))</f>
        <v/>
      </c>
      <c r="H59" s="82">
        <f>IF($A59="","",SUMIFS(L_ST,L_Ma,$A59,L_KM,"SXC (627)",L_TT,"Trực tiếp",L_Tinh,"Biến đổi",L_Ngay,"&gt;="&amp;pTu,L_Ngay,"&lt;="&amp;pDen))</f>
        <v/>
      </c>
      <c r="I59" s="82">
        <f>IF($A59="","",SUMIFS(L_ST,L_Ma,$A59,L_KM,"SXC (627)",L_TT,"Trực tiếp",L_Tinh,"Cố định",L_Ngay,"&gt;="&amp;pTu,L_Ngay,"&lt;="&amp;pDen))</f>
        <v/>
      </c>
      <c r="J59" s="82">
        <f>IF($A59="","",CHOOSE(MATCH(pTieuThuc,LST_TieuThuc,0),$E59,$F59,INDEX(DM_GioMay,46),INDEX(DM_GioCong,46),INDEX(DM_SLHT,46),INDEX(DM_DThu,46),INDEX(DM_TieuKhac,46)))</f>
        <v/>
      </c>
      <c r="K59" s="82">
        <f>IF($A59="","",IF(tBase=0,0,$J59/tBase*pool621))</f>
        <v/>
      </c>
      <c r="L59" s="82">
        <f>IF($A59="","",IF(tBase=0,0,$J59/tBase*pool622))</f>
        <v/>
      </c>
      <c r="M59" s="82">
        <f>IF($A59="","",IF(tBase=0,0,$J59/tBase*pool623))</f>
        <v/>
      </c>
      <c r="N59" s="82">
        <f>IF($A59="","",IF(tBase=0,0,$J59/tBase*pool627BD))</f>
        <v/>
      </c>
      <c r="O59" s="82">
        <f>IF($A59="","",IF(tBase=0,0,$J59/tBase*t627CDabs))</f>
        <v/>
      </c>
      <c r="P59" s="82">
        <f>IF($A59="","",$E59+$K59)</f>
        <v/>
      </c>
      <c r="Q59" s="82">
        <f>IF($A59="","",$F59+$L59)</f>
        <v/>
      </c>
      <c r="R59" s="82">
        <f>IF($A59="","",$G59+$M59)</f>
        <v/>
      </c>
      <c r="S59" s="82">
        <f>IF($A59="","",$H59+$N59)</f>
        <v/>
      </c>
      <c r="T59" s="82">
        <f>IF($A59="","",$I59+$O59)</f>
        <v/>
      </c>
      <c r="U59" s="82">
        <f>IF($A59="","",$S59+$T59)</f>
        <v/>
      </c>
      <c r="V59" s="82">
        <f>IF($A59="","",INDEX(DM_DDK621,46)+INDEX(DM_DDK622,46)+INDEX(DM_DDK623,46)+INDEX(DM_DDK627,46))</f>
        <v/>
      </c>
      <c r="W59" s="82">
        <f>IF($A59="","",SUMIFS(L_ST,L_Ma,$A59,L_KM,"Phế liệu thu hồi",L_Ngay,"&gt;="&amp;pTu,L_Ngay,"&lt;="&amp;pDen))</f>
        <v/>
      </c>
      <c r="X59" s="82">
        <f>IF($A59="","",SUMIFS(L_ST,L_Ma,$A59,L_KM,"SP hỏng ngoài định mức",L_Ngay,"&gt;="&amp;pTu,L_Ngay,"&lt;="&amp;pDen))</f>
        <v/>
      </c>
      <c r="Y59" s="82">
        <f>IF($A59="","",$P59+$Q59+$R59+$U59)</f>
        <v/>
      </c>
      <c r="Z59" s="82">
        <f>IF($A59="","",IF($D59="Đang thực hiện",$V59+$Y59,CHOOSE(MATCH(pDoDang,LST_DoDang,0),$AE59,$AF59,$AG59)))</f>
        <v/>
      </c>
      <c r="AA59" s="82">
        <f>IF($A59="","",$V59+$Y59-$Z59-$W59-$X59)</f>
        <v/>
      </c>
      <c r="AB59" s="82">
        <f>IF($A59="","",INDEX(DM_SLHT,46))</f>
        <v/>
      </c>
      <c r="AC59" s="82">
        <f>IF($A59="","",IF($AB59&lt;=0,"⚠ CHƯA CÓ SL",ROUND($AA59/$AB59,0)))</f>
        <v/>
      </c>
      <c r="AE59" s="88">
        <f>IF($A59="","",IFERROR((INDEX(DM_DDK621,46)+$P59)/($AB59+INDEX(DM_SLDD,46))*INDEX(DM_SLDD,46),0))</f>
        <v/>
      </c>
      <c r="AF59" s="88">
        <f>IF($A59="","",IFERROR((INDEX(DM_DDK621,46)+$P59)/($AB59+INDEX(DM_SLDD,46))*INDEX(DM_SLDD,46),0)+IFERROR((INDEX(DM_DDK622,46)+$Q59)/($AB59+INDEX(DM_SLDD,46)*INDEX(DM_Pct,46))*(INDEX(DM_SLDD,46)*INDEX(DM_Pct,46)),0)+IFERROR((INDEX(DM_DDK623,46)+$R59)/($AB59+INDEX(DM_SLDD,46)*INDEX(DM_Pct,46))*(INDEX(DM_SLDD,46)*INDEX(DM_Pct,46)),0)+IFERROR((INDEX(DM_DDK627,46)+$U59)/($AB59+INDEX(DM_SLDD,46)*INDEX(DM_Pct,46))*(INDEX(DM_SLDD,46)*INDEX(DM_Pct,46)),0))</f>
        <v/>
      </c>
      <c r="AG59" s="88">
        <f>IF($A59="","",INDEX(DM_SLDD,46)*INDEX(DM_DGDinhMuc,46))</f>
        <v/>
      </c>
      <c r="AH59" s="88">
        <f>IF($A59="",0,IF(AND(ISNUMBER($AA59),$AA59&gt;0,$AB59&lt;=0),1,0))</f>
        <v/>
      </c>
      <c r="AI59" s="88">
        <f>IF($A59="",0,IF(AND(ISNUMBER($Z59),$Z59&lt;0),1,0))</f>
        <v/>
      </c>
      <c r="AJ59" s="88">
        <f>IF($A59="",0,IF(AND(ISNUMBER($AA59),$AA59&lt;0),1,0))</f>
        <v/>
      </c>
    </row>
    <row r="60" ht="15" customHeight="1" s="54">
      <c r="A60" s="80">
        <f>IF(INDEX(DM_Ma,47)="","",INDEX(DM_Ma,47))</f>
        <v/>
      </c>
      <c r="B60" s="80">
        <f>IF($A60="","",INDEX(DM_Ten,47))</f>
        <v/>
      </c>
      <c r="C60" s="80">
        <f>IF($A60="","",INDEX(DM_Loai,47))</f>
        <v/>
      </c>
      <c r="D60" s="80">
        <f>IF($A60="","",INDEX(DM_TrangThai,47))</f>
        <v/>
      </c>
      <c r="E60" s="82">
        <f>IF($A60="","",SUMIFS(L_ST,L_Ma,$A60,L_KM,"NVL trực tiếp (621)",L_TT,"Trực tiếp",L_Ngay,"&gt;="&amp;pTu,L_Ngay,"&lt;="&amp;pDen))</f>
        <v/>
      </c>
      <c r="F60" s="82">
        <f>IF($A60="","",SUMIFS(L_ST,L_Ma,$A60,L_KM,"Nhân công trực tiếp (622)",L_TT,"Trực tiếp",L_Ngay,"&gt;="&amp;pTu,L_Ngay,"&lt;="&amp;pDen))</f>
        <v/>
      </c>
      <c r="G60" s="82">
        <f>IF($A60="","",SUMIFS(L_ST,L_Ma,$A60,L_KM,"Máy thi công (623)",L_TT,"Trực tiếp",L_Ngay,"&gt;="&amp;pTu,L_Ngay,"&lt;="&amp;pDen))</f>
        <v/>
      </c>
      <c r="H60" s="82">
        <f>IF($A60="","",SUMIFS(L_ST,L_Ma,$A60,L_KM,"SXC (627)",L_TT,"Trực tiếp",L_Tinh,"Biến đổi",L_Ngay,"&gt;="&amp;pTu,L_Ngay,"&lt;="&amp;pDen))</f>
        <v/>
      </c>
      <c r="I60" s="82">
        <f>IF($A60="","",SUMIFS(L_ST,L_Ma,$A60,L_KM,"SXC (627)",L_TT,"Trực tiếp",L_Tinh,"Cố định",L_Ngay,"&gt;="&amp;pTu,L_Ngay,"&lt;="&amp;pDen))</f>
        <v/>
      </c>
      <c r="J60" s="82">
        <f>IF($A60="","",CHOOSE(MATCH(pTieuThuc,LST_TieuThuc,0),$E60,$F60,INDEX(DM_GioMay,47),INDEX(DM_GioCong,47),INDEX(DM_SLHT,47),INDEX(DM_DThu,47),INDEX(DM_TieuKhac,47)))</f>
        <v/>
      </c>
      <c r="K60" s="82">
        <f>IF($A60="","",IF(tBase=0,0,$J60/tBase*pool621))</f>
        <v/>
      </c>
      <c r="L60" s="82">
        <f>IF($A60="","",IF(tBase=0,0,$J60/tBase*pool622))</f>
        <v/>
      </c>
      <c r="M60" s="82">
        <f>IF($A60="","",IF(tBase=0,0,$J60/tBase*pool623))</f>
        <v/>
      </c>
      <c r="N60" s="82">
        <f>IF($A60="","",IF(tBase=0,0,$J60/tBase*pool627BD))</f>
        <v/>
      </c>
      <c r="O60" s="82">
        <f>IF($A60="","",IF(tBase=0,0,$J60/tBase*t627CDabs))</f>
        <v/>
      </c>
      <c r="P60" s="82">
        <f>IF($A60="","",$E60+$K60)</f>
        <v/>
      </c>
      <c r="Q60" s="82">
        <f>IF($A60="","",$F60+$L60)</f>
        <v/>
      </c>
      <c r="R60" s="82">
        <f>IF($A60="","",$G60+$M60)</f>
        <v/>
      </c>
      <c r="S60" s="82">
        <f>IF($A60="","",$H60+$N60)</f>
        <v/>
      </c>
      <c r="T60" s="82">
        <f>IF($A60="","",$I60+$O60)</f>
        <v/>
      </c>
      <c r="U60" s="82">
        <f>IF($A60="","",$S60+$T60)</f>
        <v/>
      </c>
      <c r="V60" s="82">
        <f>IF($A60="","",INDEX(DM_DDK621,47)+INDEX(DM_DDK622,47)+INDEX(DM_DDK623,47)+INDEX(DM_DDK627,47))</f>
        <v/>
      </c>
      <c r="W60" s="82">
        <f>IF($A60="","",SUMIFS(L_ST,L_Ma,$A60,L_KM,"Phế liệu thu hồi",L_Ngay,"&gt;="&amp;pTu,L_Ngay,"&lt;="&amp;pDen))</f>
        <v/>
      </c>
      <c r="X60" s="82">
        <f>IF($A60="","",SUMIFS(L_ST,L_Ma,$A60,L_KM,"SP hỏng ngoài định mức",L_Ngay,"&gt;="&amp;pTu,L_Ngay,"&lt;="&amp;pDen))</f>
        <v/>
      </c>
      <c r="Y60" s="82">
        <f>IF($A60="","",$P60+$Q60+$R60+$U60)</f>
        <v/>
      </c>
      <c r="Z60" s="82">
        <f>IF($A60="","",IF($D60="Đang thực hiện",$V60+$Y60,CHOOSE(MATCH(pDoDang,LST_DoDang,0),$AE60,$AF60,$AG60)))</f>
        <v/>
      </c>
      <c r="AA60" s="82">
        <f>IF($A60="","",$V60+$Y60-$Z60-$W60-$X60)</f>
        <v/>
      </c>
      <c r="AB60" s="82">
        <f>IF($A60="","",INDEX(DM_SLHT,47))</f>
        <v/>
      </c>
      <c r="AC60" s="82">
        <f>IF($A60="","",IF($AB60&lt;=0,"⚠ CHƯA CÓ SL",ROUND($AA60/$AB60,0)))</f>
        <v/>
      </c>
      <c r="AE60" s="88">
        <f>IF($A60="","",IFERROR((INDEX(DM_DDK621,47)+$P60)/($AB60+INDEX(DM_SLDD,47))*INDEX(DM_SLDD,47),0))</f>
        <v/>
      </c>
      <c r="AF60" s="88">
        <f>IF($A60="","",IFERROR((INDEX(DM_DDK621,47)+$P60)/($AB60+INDEX(DM_SLDD,47))*INDEX(DM_SLDD,47),0)+IFERROR((INDEX(DM_DDK622,47)+$Q60)/($AB60+INDEX(DM_SLDD,47)*INDEX(DM_Pct,47))*(INDEX(DM_SLDD,47)*INDEX(DM_Pct,47)),0)+IFERROR((INDEX(DM_DDK623,47)+$R60)/($AB60+INDEX(DM_SLDD,47)*INDEX(DM_Pct,47))*(INDEX(DM_SLDD,47)*INDEX(DM_Pct,47)),0)+IFERROR((INDEX(DM_DDK627,47)+$U60)/($AB60+INDEX(DM_SLDD,47)*INDEX(DM_Pct,47))*(INDEX(DM_SLDD,47)*INDEX(DM_Pct,47)),0))</f>
        <v/>
      </c>
      <c r="AG60" s="88">
        <f>IF($A60="","",INDEX(DM_SLDD,47)*INDEX(DM_DGDinhMuc,47))</f>
        <v/>
      </c>
      <c r="AH60" s="88">
        <f>IF($A60="",0,IF(AND(ISNUMBER($AA60),$AA60&gt;0,$AB60&lt;=0),1,0))</f>
        <v/>
      </c>
      <c r="AI60" s="88">
        <f>IF($A60="",0,IF(AND(ISNUMBER($Z60),$Z60&lt;0),1,0))</f>
        <v/>
      </c>
      <c r="AJ60" s="88">
        <f>IF($A60="",0,IF(AND(ISNUMBER($AA60),$AA60&lt;0),1,0))</f>
        <v/>
      </c>
    </row>
    <row r="61" ht="15" customHeight="1" s="54">
      <c r="A61" s="80">
        <f>IF(INDEX(DM_Ma,48)="","",INDEX(DM_Ma,48))</f>
        <v/>
      </c>
      <c r="B61" s="80">
        <f>IF($A61="","",INDEX(DM_Ten,48))</f>
        <v/>
      </c>
      <c r="C61" s="80">
        <f>IF($A61="","",INDEX(DM_Loai,48))</f>
        <v/>
      </c>
      <c r="D61" s="80">
        <f>IF($A61="","",INDEX(DM_TrangThai,48))</f>
        <v/>
      </c>
      <c r="E61" s="82">
        <f>IF($A61="","",SUMIFS(L_ST,L_Ma,$A61,L_KM,"NVL trực tiếp (621)",L_TT,"Trực tiếp",L_Ngay,"&gt;="&amp;pTu,L_Ngay,"&lt;="&amp;pDen))</f>
        <v/>
      </c>
      <c r="F61" s="82">
        <f>IF($A61="","",SUMIFS(L_ST,L_Ma,$A61,L_KM,"Nhân công trực tiếp (622)",L_TT,"Trực tiếp",L_Ngay,"&gt;="&amp;pTu,L_Ngay,"&lt;="&amp;pDen))</f>
        <v/>
      </c>
      <c r="G61" s="82">
        <f>IF($A61="","",SUMIFS(L_ST,L_Ma,$A61,L_KM,"Máy thi công (623)",L_TT,"Trực tiếp",L_Ngay,"&gt;="&amp;pTu,L_Ngay,"&lt;="&amp;pDen))</f>
        <v/>
      </c>
      <c r="H61" s="82">
        <f>IF($A61="","",SUMIFS(L_ST,L_Ma,$A61,L_KM,"SXC (627)",L_TT,"Trực tiếp",L_Tinh,"Biến đổi",L_Ngay,"&gt;="&amp;pTu,L_Ngay,"&lt;="&amp;pDen))</f>
        <v/>
      </c>
      <c r="I61" s="82">
        <f>IF($A61="","",SUMIFS(L_ST,L_Ma,$A61,L_KM,"SXC (627)",L_TT,"Trực tiếp",L_Tinh,"Cố định",L_Ngay,"&gt;="&amp;pTu,L_Ngay,"&lt;="&amp;pDen))</f>
        <v/>
      </c>
      <c r="J61" s="82">
        <f>IF($A61="","",CHOOSE(MATCH(pTieuThuc,LST_TieuThuc,0),$E61,$F61,INDEX(DM_GioMay,48),INDEX(DM_GioCong,48),INDEX(DM_SLHT,48),INDEX(DM_DThu,48),INDEX(DM_TieuKhac,48)))</f>
        <v/>
      </c>
      <c r="K61" s="82">
        <f>IF($A61="","",IF(tBase=0,0,$J61/tBase*pool621))</f>
        <v/>
      </c>
      <c r="L61" s="82">
        <f>IF($A61="","",IF(tBase=0,0,$J61/tBase*pool622))</f>
        <v/>
      </c>
      <c r="M61" s="82">
        <f>IF($A61="","",IF(tBase=0,0,$J61/tBase*pool623))</f>
        <v/>
      </c>
      <c r="N61" s="82">
        <f>IF($A61="","",IF(tBase=0,0,$J61/tBase*pool627BD))</f>
        <v/>
      </c>
      <c r="O61" s="82">
        <f>IF($A61="","",IF(tBase=0,0,$J61/tBase*t627CDabs))</f>
        <v/>
      </c>
      <c r="P61" s="82">
        <f>IF($A61="","",$E61+$K61)</f>
        <v/>
      </c>
      <c r="Q61" s="82">
        <f>IF($A61="","",$F61+$L61)</f>
        <v/>
      </c>
      <c r="R61" s="82">
        <f>IF($A61="","",$G61+$M61)</f>
        <v/>
      </c>
      <c r="S61" s="82">
        <f>IF($A61="","",$H61+$N61)</f>
        <v/>
      </c>
      <c r="T61" s="82">
        <f>IF($A61="","",$I61+$O61)</f>
        <v/>
      </c>
      <c r="U61" s="82">
        <f>IF($A61="","",$S61+$T61)</f>
        <v/>
      </c>
      <c r="V61" s="82">
        <f>IF($A61="","",INDEX(DM_DDK621,48)+INDEX(DM_DDK622,48)+INDEX(DM_DDK623,48)+INDEX(DM_DDK627,48))</f>
        <v/>
      </c>
      <c r="W61" s="82">
        <f>IF($A61="","",SUMIFS(L_ST,L_Ma,$A61,L_KM,"Phế liệu thu hồi",L_Ngay,"&gt;="&amp;pTu,L_Ngay,"&lt;="&amp;pDen))</f>
        <v/>
      </c>
      <c r="X61" s="82">
        <f>IF($A61="","",SUMIFS(L_ST,L_Ma,$A61,L_KM,"SP hỏng ngoài định mức",L_Ngay,"&gt;="&amp;pTu,L_Ngay,"&lt;="&amp;pDen))</f>
        <v/>
      </c>
      <c r="Y61" s="82">
        <f>IF($A61="","",$P61+$Q61+$R61+$U61)</f>
        <v/>
      </c>
      <c r="Z61" s="82">
        <f>IF($A61="","",IF($D61="Đang thực hiện",$V61+$Y61,CHOOSE(MATCH(pDoDang,LST_DoDang,0),$AE61,$AF61,$AG61)))</f>
        <v/>
      </c>
      <c r="AA61" s="82">
        <f>IF($A61="","",$V61+$Y61-$Z61-$W61-$X61)</f>
        <v/>
      </c>
      <c r="AB61" s="82">
        <f>IF($A61="","",INDEX(DM_SLHT,48))</f>
        <v/>
      </c>
      <c r="AC61" s="82">
        <f>IF($A61="","",IF($AB61&lt;=0,"⚠ CHƯA CÓ SL",ROUND($AA61/$AB61,0)))</f>
        <v/>
      </c>
      <c r="AE61" s="88">
        <f>IF($A61="","",IFERROR((INDEX(DM_DDK621,48)+$P61)/($AB61+INDEX(DM_SLDD,48))*INDEX(DM_SLDD,48),0))</f>
        <v/>
      </c>
      <c r="AF61" s="88">
        <f>IF($A61="","",IFERROR((INDEX(DM_DDK621,48)+$P61)/($AB61+INDEX(DM_SLDD,48))*INDEX(DM_SLDD,48),0)+IFERROR((INDEX(DM_DDK622,48)+$Q61)/($AB61+INDEX(DM_SLDD,48)*INDEX(DM_Pct,48))*(INDEX(DM_SLDD,48)*INDEX(DM_Pct,48)),0)+IFERROR((INDEX(DM_DDK623,48)+$R61)/($AB61+INDEX(DM_SLDD,48)*INDEX(DM_Pct,48))*(INDEX(DM_SLDD,48)*INDEX(DM_Pct,48)),0)+IFERROR((INDEX(DM_DDK627,48)+$U61)/($AB61+INDEX(DM_SLDD,48)*INDEX(DM_Pct,48))*(INDEX(DM_SLDD,48)*INDEX(DM_Pct,48)),0))</f>
        <v/>
      </c>
      <c r="AG61" s="88">
        <f>IF($A61="","",INDEX(DM_SLDD,48)*INDEX(DM_DGDinhMuc,48))</f>
        <v/>
      </c>
      <c r="AH61" s="88">
        <f>IF($A61="",0,IF(AND(ISNUMBER($AA61),$AA61&gt;0,$AB61&lt;=0),1,0))</f>
        <v/>
      </c>
      <c r="AI61" s="88">
        <f>IF($A61="",0,IF(AND(ISNUMBER($Z61),$Z61&lt;0),1,0))</f>
        <v/>
      </c>
      <c r="AJ61" s="88">
        <f>IF($A61="",0,IF(AND(ISNUMBER($AA61),$AA61&lt;0),1,0))</f>
        <v/>
      </c>
    </row>
    <row r="62" ht="15" customHeight="1" s="54">
      <c r="A62" s="80">
        <f>IF(INDEX(DM_Ma,49)="","",INDEX(DM_Ma,49))</f>
        <v/>
      </c>
      <c r="B62" s="80">
        <f>IF($A62="","",INDEX(DM_Ten,49))</f>
        <v/>
      </c>
      <c r="C62" s="80">
        <f>IF($A62="","",INDEX(DM_Loai,49))</f>
        <v/>
      </c>
      <c r="D62" s="80">
        <f>IF($A62="","",INDEX(DM_TrangThai,49))</f>
        <v/>
      </c>
      <c r="E62" s="82">
        <f>IF($A62="","",SUMIFS(L_ST,L_Ma,$A62,L_KM,"NVL trực tiếp (621)",L_TT,"Trực tiếp",L_Ngay,"&gt;="&amp;pTu,L_Ngay,"&lt;="&amp;pDen))</f>
        <v/>
      </c>
      <c r="F62" s="82">
        <f>IF($A62="","",SUMIFS(L_ST,L_Ma,$A62,L_KM,"Nhân công trực tiếp (622)",L_TT,"Trực tiếp",L_Ngay,"&gt;="&amp;pTu,L_Ngay,"&lt;="&amp;pDen))</f>
        <v/>
      </c>
      <c r="G62" s="82">
        <f>IF($A62="","",SUMIFS(L_ST,L_Ma,$A62,L_KM,"Máy thi công (623)",L_TT,"Trực tiếp",L_Ngay,"&gt;="&amp;pTu,L_Ngay,"&lt;="&amp;pDen))</f>
        <v/>
      </c>
      <c r="H62" s="82">
        <f>IF($A62="","",SUMIFS(L_ST,L_Ma,$A62,L_KM,"SXC (627)",L_TT,"Trực tiếp",L_Tinh,"Biến đổi",L_Ngay,"&gt;="&amp;pTu,L_Ngay,"&lt;="&amp;pDen))</f>
        <v/>
      </c>
      <c r="I62" s="82">
        <f>IF($A62="","",SUMIFS(L_ST,L_Ma,$A62,L_KM,"SXC (627)",L_TT,"Trực tiếp",L_Tinh,"Cố định",L_Ngay,"&gt;="&amp;pTu,L_Ngay,"&lt;="&amp;pDen))</f>
        <v/>
      </c>
      <c r="J62" s="82">
        <f>IF($A62="","",CHOOSE(MATCH(pTieuThuc,LST_TieuThuc,0),$E62,$F62,INDEX(DM_GioMay,49),INDEX(DM_GioCong,49),INDEX(DM_SLHT,49),INDEX(DM_DThu,49),INDEX(DM_TieuKhac,49)))</f>
        <v/>
      </c>
      <c r="K62" s="82">
        <f>IF($A62="","",IF(tBase=0,0,$J62/tBase*pool621))</f>
        <v/>
      </c>
      <c r="L62" s="82">
        <f>IF($A62="","",IF(tBase=0,0,$J62/tBase*pool622))</f>
        <v/>
      </c>
      <c r="M62" s="82">
        <f>IF($A62="","",IF(tBase=0,0,$J62/tBase*pool623))</f>
        <v/>
      </c>
      <c r="N62" s="82">
        <f>IF($A62="","",IF(tBase=0,0,$J62/tBase*pool627BD))</f>
        <v/>
      </c>
      <c r="O62" s="82">
        <f>IF($A62="","",IF(tBase=0,0,$J62/tBase*t627CDabs))</f>
        <v/>
      </c>
      <c r="P62" s="82">
        <f>IF($A62="","",$E62+$K62)</f>
        <v/>
      </c>
      <c r="Q62" s="82">
        <f>IF($A62="","",$F62+$L62)</f>
        <v/>
      </c>
      <c r="R62" s="82">
        <f>IF($A62="","",$G62+$M62)</f>
        <v/>
      </c>
      <c r="S62" s="82">
        <f>IF($A62="","",$H62+$N62)</f>
        <v/>
      </c>
      <c r="T62" s="82">
        <f>IF($A62="","",$I62+$O62)</f>
        <v/>
      </c>
      <c r="U62" s="82">
        <f>IF($A62="","",$S62+$T62)</f>
        <v/>
      </c>
      <c r="V62" s="82">
        <f>IF($A62="","",INDEX(DM_DDK621,49)+INDEX(DM_DDK622,49)+INDEX(DM_DDK623,49)+INDEX(DM_DDK627,49))</f>
        <v/>
      </c>
      <c r="W62" s="82">
        <f>IF($A62="","",SUMIFS(L_ST,L_Ma,$A62,L_KM,"Phế liệu thu hồi",L_Ngay,"&gt;="&amp;pTu,L_Ngay,"&lt;="&amp;pDen))</f>
        <v/>
      </c>
      <c r="X62" s="82">
        <f>IF($A62="","",SUMIFS(L_ST,L_Ma,$A62,L_KM,"SP hỏng ngoài định mức",L_Ngay,"&gt;="&amp;pTu,L_Ngay,"&lt;="&amp;pDen))</f>
        <v/>
      </c>
      <c r="Y62" s="82">
        <f>IF($A62="","",$P62+$Q62+$R62+$U62)</f>
        <v/>
      </c>
      <c r="Z62" s="82">
        <f>IF($A62="","",IF($D62="Đang thực hiện",$V62+$Y62,CHOOSE(MATCH(pDoDang,LST_DoDang,0),$AE62,$AF62,$AG62)))</f>
        <v/>
      </c>
      <c r="AA62" s="82">
        <f>IF($A62="","",$V62+$Y62-$Z62-$W62-$X62)</f>
        <v/>
      </c>
      <c r="AB62" s="82">
        <f>IF($A62="","",INDEX(DM_SLHT,49))</f>
        <v/>
      </c>
      <c r="AC62" s="82">
        <f>IF($A62="","",IF($AB62&lt;=0,"⚠ CHƯA CÓ SL",ROUND($AA62/$AB62,0)))</f>
        <v/>
      </c>
      <c r="AE62" s="88">
        <f>IF($A62="","",IFERROR((INDEX(DM_DDK621,49)+$P62)/($AB62+INDEX(DM_SLDD,49))*INDEX(DM_SLDD,49),0))</f>
        <v/>
      </c>
      <c r="AF62" s="88">
        <f>IF($A62="","",IFERROR((INDEX(DM_DDK621,49)+$P62)/($AB62+INDEX(DM_SLDD,49))*INDEX(DM_SLDD,49),0)+IFERROR((INDEX(DM_DDK622,49)+$Q62)/($AB62+INDEX(DM_SLDD,49)*INDEX(DM_Pct,49))*(INDEX(DM_SLDD,49)*INDEX(DM_Pct,49)),0)+IFERROR((INDEX(DM_DDK623,49)+$R62)/($AB62+INDEX(DM_SLDD,49)*INDEX(DM_Pct,49))*(INDEX(DM_SLDD,49)*INDEX(DM_Pct,49)),0)+IFERROR((INDEX(DM_DDK627,49)+$U62)/($AB62+INDEX(DM_SLDD,49)*INDEX(DM_Pct,49))*(INDEX(DM_SLDD,49)*INDEX(DM_Pct,49)),0))</f>
        <v/>
      </c>
      <c r="AG62" s="88">
        <f>IF($A62="","",INDEX(DM_SLDD,49)*INDEX(DM_DGDinhMuc,49))</f>
        <v/>
      </c>
      <c r="AH62" s="88">
        <f>IF($A62="",0,IF(AND(ISNUMBER($AA62),$AA62&gt;0,$AB62&lt;=0),1,0))</f>
        <v/>
      </c>
      <c r="AI62" s="88">
        <f>IF($A62="",0,IF(AND(ISNUMBER($Z62),$Z62&lt;0),1,0))</f>
        <v/>
      </c>
      <c r="AJ62" s="88">
        <f>IF($A62="",0,IF(AND(ISNUMBER($AA62),$AA62&lt;0),1,0))</f>
        <v/>
      </c>
    </row>
    <row r="63" ht="15" customHeight="1" s="54">
      <c r="A63" s="80">
        <f>IF(INDEX(DM_Ma,50)="","",INDEX(DM_Ma,50))</f>
        <v/>
      </c>
      <c r="B63" s="80">
        <f>IF($A63="","",INDEX(DM_Ten,50))</f>
        <v/>
      </c>
      <c r="C63" s="80">
        <f>IF($A63="","",INDEX(DM_Loai,50))</f>
        <v/>
      </c>
      <c r="D63" s="80">
        <f>IF($A63="","",INDEX(DM_TrangThai,50))</f>
        <v/>
      </c>
      <c r="E63" s="82">
        <f>IF($A63="","",SUMIFS(L_ST,L_Ma,$A63,L_KM,"NVL trực tiếp (621)",L_TT,"Trực tiếp",L_Ngay,"&gt;="&amp;pTu,L_Ngay,"&lt;="&amp;pDen))</f>
        <v/>
      </c>
      <c r="F63" s="82">
        <f>IF($A63="","",SUMIFS(L_ST,L_Ma,$A63,L_KM,"Nhân công trực tiếp (622)",L_TT,"Trực tiếp",L_Ngay,"&gt;="&amp;pTu,L_Ngay,"&lt;="&amp;pDen))</f>
        <v/>
      </c>
      <c r="G63" s="82">
        <f>IF($A63="","",SUMIFS(L_ST,L_Ma,$A63,L_KM,"Máy thi công (623)",L_TT,"Trực tiếp",L_Ngay,"&gt;="&amp;pTu,L_Ngay,"&lt;="&amp;pDen))</f>
        <v/>
      </c>
      <c r="H63" s="82">
        <f>IF($A63="","",SUMIFS(L_ST,L_Ma,$A63,L_KM,"SXC (627)",L_TT,"Trực tiếp",L_Tinh,"Biến đổi",L_Ngay,"&gt;="&amp;pTu,L_Ngay,"&lt;="&amp;pDen))</f>
        <v/>
      </c>
      <c r="I63" s="82">
        <f>IF($A63="","",SUMIFS(L_ST,L_Ma,$A63,L_KM,"SXC (627)",L_TT,"Trực tiếp",L_Tinh,"Cố định",L_Ngay,"&gt;="&amp;pTu,L_Ngay,"&lt;="&amp;pDen))</f>
        <v/>
      </c>
      <c r="J63" s="82">
        <f>IF($A63="","",CHOOSE(MATCH(pTieuThuc,LST_TieuThuc,0),$E63,$F63,INDEX(DM_GioMay,50),INDEX(DM_GioCong,50),INDEX(DM_SLHT,50),INDEX(DM_DThu,50),INDEX(DM_TieuKhac,50)))</f>
        <v/>
      </c>
      <c r="K63" s="82">
        <f>IF($A63="","",IF(tBase=0,0,$J63/tBase*pool621))</f>
        <v/>
      </c>
      <c r="L63" s="82">
        <f>IF($A63="","",IF(tBase=0,0,$J63/tBase*pool622))</f>
        <v/>
      </c>
      <c r="M63" s="82">
        <f>IF($A63="","",IF(tBase=0,0,$J63/tBase*pool623))</f>
        <v/>
      </c>
      <c r="N63" s="82">
        <f>IF($A63="","",IF(tBase=0,0,$J63/tBase*pool627BD))</f>
        <v/>
      </c>
      <c r="O63" s="82">
        <f>IF($A63="","",IF(tBase=0,0,$J63/tBase*t627CDabs))</f>
        <v/>
      </c>
      <c r="P63" s="82">
        <f>IF($A63="","",$E63+$K63)</f>
        <v/>
      </c>
      <c r="Q63" s="82">
        <f>IF($A63="","",$F63+$L63)</f>
        <v/>
      </c>
      <c r="R63" s="82">
        <f>IF($A63="","",$G63+$M63)</f>
        <v/>
      </c>
      <c r="S63" s="82">
        <f>IF($A63="","",$H63+$N63)</f>
        <v/>
      </c>
      <c r="T63" s="82">
        <f>IF($A63="","",$I63+$O63)</f>
        <v/>
      </c>
      <c r="U63" s="82">
        <f>IF($A63="","",$S63+$T63)</f>
        <v/>
      </c>
      <c r="V63" s="82">
        <f>IF($A63="","",INDEX(DM_DDK621,50)+INDEX(DM_DDK622,50)+INDEX(DM_DDK623,50)+INDEX(DM_DDK627,50))</f>
        <v/>
      </c>
      <c r="W63" s="82">
        <f>IF($A63="","",SUMIFS(L_ST,L_Ma,$A63,L_KM,"Phế liệu thu hồi",L_Ngay,"&gt;="&amp;pTu,L_Ngay,"&lt;="&amp;pDen))</f>
        <v/>
      </c>
      <c r="X63" s="82">
        <f>IF($A63="","",SUMIFS(L_ST,L_Ma,$A63,L_KM,"SP hỏng ngoài định mức",L_Ngay,"&gt;="&amp;pTu,L_Ngay,"&lt;="&amp;pDen))</f>
        <v/>
      </c>
      <c r="Y63" s="82">
        <f>IF($A63="","",$P63+$Q63+$R63+$U63)</f>
        <v/>
      </c>
      <c r="Z63" s="82">
        <f>IF($A63="","",IF($D63="Đang thực hiện",$V63+$Y63,CHOOSE(MATCH(pDoDang,LST_DoDang,0),$AE63,$AF63,$AG63)))</f>
        <v/>
      </c>
      <c r="AA63" s="82">
        <f>IF($A63="","",$V63+$Y63-$Z63-$W63-$X63)</f>
        <v/>
      </c>
      <c r="AB63" s="82">
        <f>IF($A63="","",INDEX(DM_SLHT,50))</f>
        <v/>
      </c>
      <c r="AC63" s="82">
        <f>IF($A63="","",IF($AB63&lt;=0,"⚠ CHƯA CÓ SL",ROUND($AA63/$AB63,0)))</f>
        <v/>
      </c>
      <c r="AE63" s="88">
        <f>IF($A63="","",IFERROR((INDEX(DM_DDK621,50)+$P63)/($AB63+INDEX(DM_SLDD,50))*INDEX(DM_SLDD,50),0))</f>
        <v/>
      </c>
      <c r="AF63" s="88">
        <f>IF($A63="","",IFERROR((INDEX(DM_DDK621,50)+$P63)/($AB63+INDEX(DM_SLDD,50))*INDEX(DM_SLDD,50),0)+IFERROR((INDEX(DM_DDK622,50)+$Q63)/($AB63+INDEX(DM_SLDD,50)*INDEX(DM_Pct,50))*(INDEX(DM_SLDD,50)*INDEX(DM_Pct,50)),0)+IFERROR((INDEX(DM_DDK623,50)+$R63)/($AB63+INDEX(DM_SLDD,50)*INDEX(DM_Pct,50))*(INDEX(DM_SLDD,50)*INDEX(DM_Pct,50)),0)+IFERROR((INDEX(DM_DDK627,50)+$U63)/($AB63+INDEX(DM_SLDD,50)*INDEX(DM_Pct,50))*(INDEX(DM_SLDD,50)*INDEX(DM_Pct,50)),0))</f>
        <v/>
      </c>
      <c r="AG63" s="88">
        <f>IF($A63="","",INDEX(DM_SLDD,50)*INDEX(DM_DGDinhMuc,50))</f>
        <v/>
      </c>
      <c r="AH63" s="88">
        <f>IF($A63="",0,IF(AND(ISNUMBER($AA63),$AA63&gt;0,$AB63&lt;=0),1,0))</f>
        <v/>
      </c>
      <c r="AI63" s="88">
        <f>IF($A63="",0,IF(AND(ISNUMBER($Z63),$Z63&lt;0),1,0))</f>
        <v/>
      </c>
      <c r="AJ63" s="88">
        <f>IF($A63="",0,IF(AND(ISNUMBER($AA63),$AA63&lt;0),1,0))</f>
        <v/>
      </c>
    </row>
    <row r="64" ht="15" customHeight="1" s="54">
      <c r="A64" s="80">
        <f>IF(INDEX(DM_Ma,51)="","",INDEX(DM_Ma,51))</f>
        <v/>
      </c>
      <c r="B64" s="80">
        <f>IF($A64="","",INDEX(DM_Ten,51))</f>
        <v/>
      </c>
      <c r="C64" s="80">
        <f>IF($A64="","",INDEX(DM_Loai,51))</f>
        <v/>
      </c>
      <c r="D64" s="80">
        <f>IF($A64="","",INDEX(DM_TrangThai,51))</f>
        <v/>
      </c>
      <c r="E64" s="82">
        <f>IF($A64="","",SUMIFS(L_ST,L_Ma,$A64,L_KM,"NVL trực tiếp (621)",L_TT,"Trực tiếp",L_Ngay,"&gt;="&amp;pTu,L_Ngay,"&lt;="&amp;pDen))</f>
        <v/>
      </c>
      <c r="F64" s="82">
        <f>IF($A64="","",SUMIFS(L_ST,L_Ma,$A64,L_KM,"Nhân công trực tiếp (622)",L_TT,"Trực tiếp",L_Ngay,"&gt;="&amp;pTu,L_Ngay,"&lt;="&amp;pDen))</f>
        <v/>
      </c>
      <c r="G64" s="82">
        <f>IF($A64="","",SUMIFS(L_ST,L_Ma,$A64,L_KM,"Máy thi công (623)",L_TT,"Trực tiếp",L_Ngay,"&gt;="&amp;pTu,L_Ngay,"&lt;="&amp;pDen))</f>
        <v/>
      </c>
      <c r="H64" s="82">
        <f>IF($A64="","",SUMIFS(L_ST,L_Ma,$A64,L_KM,"SXC (627)",L_TT,"Trực tiếp",L_Tinh,"Biến đổi",L_Ngay,"&gt;="&amp;pTu,L_Ngay,"&lt;="&amp;pDen))</f>
        <v/>
      </c>
      <c r="I64" s="82">
        <f>IF($A64="","",SUMIFS(L_ST,L_Ma,$A64,L_KM,"SXC (627)",L_TT,"Trực tiếp",L_Tinh,"Cố định",L_Ngay,"&gt;="&amp;pTu,L_Ngay,"&lt;="&amp;pDen))</f>
        <v/>
      </c>
      <c r="J64" s="82">
        <f>IF($A64="","",CHOOSE(MATCH(pTieuThuc,LST_TieuThuc,0),$E64,$F64,INDEX(DM_GioMay,51),INDEX(DM_GioCong,51),INDEX(DM_SLHT,51),INDEX(DM_DThu,51),INDEX(DM_TieuKhac,51)))</f>
        <v/>
      </c>
      <c r="K64" s="82">
        <f>IF($A64="","",IF(tBase=0,0,$J64/tBase*pool621))</f>
        <v/>
      </c>
      <c r="L64" s="82">
        <f>IF($A64="","",IF(tBase=0,0,$J64/tBase*pool622))</f>
        <v/>
      </c>
      <c r="M64" s="82">
        <f>IF($A64="","",IF(tBase=0,0,$J64/tBase*pool623))</f>
        <v/>
      </c>
      <c r="N64" s="82">
        <f>IF($A64="","",IF(tBase=0,0,$J64/tBase*pool627BD))</f>
        <v/>
      </c>
      <c r="O64" s="82">
        <f>IF($A64="","",IF(tBase=0,0,$J64/tBase*t627CDabs))</f>
        <v/>
      </c>
      <c r="P64" s="82">
        <f>IF($A64="","",$E64+$K64)</f>
        <v/>
      </c>
      <c r="Q64" s="82">
        <f>IF($A64="","",$F64+$L64)</f>
        <v/>
      </c>
      <c r="R64" s="82">
        <f>IF($A64="","",$G64+$M64)</f>
        <v/>
      </c>
      <c r="S64" s="82">
        <f>IF($A64="","",$H64+$N64)</f>
        <v/>
      </c>
      <c r="T64" s="82">
        <f>IF($A64="","",$I64+$O64)</f>
        <v/>
      </c>
      <c r="U64" s="82">
        <f>IF($A64="","",$S64+$T64)</f>
        <v/>
      </c>
      <c r="V64" s="82">
        <f>IF($A64="","",INDEX(DM_DDK621,51)+INDEX(DM_DDK622,51)+INDEX(DM_DDK623,51)+INDEX(DM_DDK627,51))</f>
        <v/>
      </c>
      <c r="W64" s="82">
        <f>IF($A64="","",SUMIFS(L_ST,L_Ma,$A64,L_KM,"Phế liệu thu hồi",L_Ngay,"&gt;="&amp;pTu,L_Ngay,"&lt;="&amp;pDen))</f>
        <v/>
      </c>
      <c r="X64" s="82">
        <f>IF($A64="","",SUMIFS(L_ST,L_Ma,$A64,L_KM,"SP hỏng ngoài định mức",L_Ngay,"&gt;="&amp;pTu,L_Ngay,"&lt;="&amp;pDen))</f>
        <v/>
      </c>
      <c r="Y64" s="82">
        <f>IF($A64="","",$P64+$Q64+$R64+$U64)</f>
        <v/>
      </c>
      <c r="Z64" s="82">
        <f>IF($A64="","",IF($D64="Đang thực hiện",$V64+$Y64,CHOOSE(MATCH(pDoDang,LST_DoDang,0),$AE64,$AF64,$AG64)))</f>
        <v/>
      </c>
      <c r="AA64" s="82">
        <f>IF($A64="","",$V64+$Y64-$Z64-$W64-$X64)</f>
        <v/>
      </c>
      <c r="AB64" s="82">
        <f>IF($A64="","",INDEX(DM_SLHT,51))</f>
        <v/>
      </c>
      <c r="AC64" s="82">
        <f>IF($A64="","",IF($AB64&lt;=0,"⚠ CHƯA CÓ SL",ROUND($AA64/$AB64,0)))</f>
        <v/>
      </c>
      <c r="AE64" s="88">
        <f>IF($A64="","",IFERROR((INDEX(DM_DDK621,51)+$P64)/($AB64+INDEX(DM_SLDD,51))*INDEX(DM_SLDD,51),0))</f>
        <v/>
      </c>
      <c r="AF64" s="88">
        <f>IF($A64="","",IFERROR((INDEX(DM_DDK621,51)+$P64)/($AB64+INDEX(DM_SLDD,51))*INDEX(DM_SLDD,51),0)+IFERROR((INDEX(DM_DDK622,51)+$Q64)/($AB64+INDEX(DM_SLDD,51)*INDEX(DM_Pct,51))*(INDEX(DM_SLDD,51)*INDEX(DM_Pct,51)),0)+IFERROR((INDEX(DM_DDK623,51)+$R64)/($AB64+INDEX(DM_SLDD,51)*INDEX(DM_Pct,51))*(INDEX(DM_SLDD,51)*INDEX(DM_Pct,51)),0)+IFERROR((INDEX(DM_DDK627,51)+$U64)/($AB64+INDEX(DM_SLDD,51)*INDEX(DM_Pct,51))*(INDEX(DM_SLDD,51)*INDEX(DM_Pct,51)),0))</f>
        <v/>
      </c>
      <c r="AG64" s="88">
        <f>IF($A64="","",INDEX(DM_SLDD,51)*INDEX(DM_DGDinhMuc,51))</f>
        <v/>
      </c>
      <c r="AH64" s="88">
        <f>IF($A64="",0,IF(AND(ISNUMBER($AA64),$AA64&gt;0,$AB64&lt;=0),1,0))</f>
        <v/>
      </c>
      <c r="AI64" s="88">
        <f>IF($A64="",0,IF(AND(ISNUMBER($Z64),$Z64&lt;0),1,0))</f>
        <v/>
      </c>
      <c r="AJ64" s="88">
        <f>IF($A64="",0,IF(AND(ISNUMBER($AA64),$AA64&lt;0),1,0))</f>
        <v/>
      </c>
    </row>
    <row r="65" ht="15" customHeight="1" s="54">
      <c r="A65" s="80">
        <f>IF(INDEX(DM_Ma,52)="","",INDEX(DM_Ma,52))</f>
        <v/>
      </c>
      <c r="B65" s="80">
        <f>IF($A65="","",INDEX(DM_Ten,52))</f>
        <v/>
      </c>
      <c r="C65" s="80">
        <f>IF($A65="","",INDEX(DM_Loai,52))</f>
        <v/>
      </c>
      <c r="D65" s="80">
        <f>IF($A65="","",INDEX(DM_TrangThai,52))</f>
        <v/>
      </c>
      <c r="E65" s="82">
        <f>IF($A65="","",SUMIFS(L_ST,L_Ma,$A65,L_KM,"NVL trực tiếp (621)",L_TT,"Trực tiếp",L_Ngay,"&gt;="&amp;pTu,L_Ngay,"&lt;="&amp;pDen))</f>
        <v/>
      </c>
      <c r="F65" s="82">
        <f>IF($A65="","",SUMIFS(L_ST,L_Ma,$A65,L_KM,"Nhân công trực tiếp (622)",L_TT,"Trực tiếp",L_Ngay,"&gt;="&amp;pTu,L_Ngay,"&lt;="&amp;pDen))</f>
        <v/>
      </c>
      <c r="G65" s="82">
        <f>IF($A65="","",SUMIFS(L_ST,L_Ma,$A65,L_KM,"Máy thi công (623)",L_TT,"Trực tiếp",L_Ngay,"&gt;="&amp;pTu,L_Ngay,"&lt;="&amp;pDen))</f>
        <v/>
      </c>
      <c r="H65" s="82">
        <f>IF($A65="","",SUMIFS(L_ST,L_Ma,$A65,L_KM,"SXC (627)",L_TT,"Trực tiếp",L_Tinh,"Biến đổi",L_Ngay,"&gt;="&amp;pTu,L_Ngay,"&lt;="&amp;pDen))</f>
        <v/>
      </c>
      <c r="I65" s="82">
        <f>IF($A65="","",SUMIFS(L_ST,L_Ma,$A65,L_KM,"SXC (627)",L_TT,"Trực tiếp",L_Tinh,"Cố định",L_Ngay,"&gt;="&amp;pTu,L_Ngay,"&lt;="&amp;pDen))</f>
        <v/>
      </c>
      <c r="J65" s="82">
        <f>IF($A65="","",CHOOSE(MATCH(pTieuThuc,LST_TieuThuc,0),$E65,$F65,INDEX(DM_GioMay,52),INDEX(DM_GioCong,52),INDEX(DM_SLHT,52),INDEX(DM_DThu,52),INDEX(DM_TieuKhac,52)))</f>
        <v/>
      </c>
      <c r="K65" s="82">
        <f>IF($A65="","",IF(tBase=0,0,$J65/tBase*pool621))</f>
        <v/>
      </c>
      <c r="L65" s="82">
        <f>IF($A65="","",IF(tBase=0,0,$J65/tBase*pool622))</f>
        <v/>
      </c>
      <c r="M65" s="82">
        <f>IF($A65="","",IF(tBase=0,0,$J65/tBase*pool623))</f>
        <v/>
      </c>
      <c r="N65" s="82">
        <f>IF($A65="","",IF(tBase=0,0,$J65/tBase*pool627BD))</f>
        <v/>
      </c>
      <c r="O65" s="82">
        <f>IF($A65="","",IF(tBase=0,0,$J65/tBase*t627CDabs))</f>
        <v/>
      </c>
      <c r="P65" s="82">
        <f>IF($A65="","",$E65+$K65)</f>
        <v/>
      </c>
      <c r="Q65" s="82">
        <f>IF($A65="","",$F65+$L65)</f>
        <v/>
      </c>
      <c r="R65" s="82">
        <f>IF($A65="","",$G65+$M65)</f>
        <v/>
      </c>
      <c r="S65" s="82">
        <f>IF($A65="","",$H65+$N65)</f>
        <v/>
      </c>
      <c r="T65" s="82">
        <f>IF($A65="","",$I65+$O65)</f>
        <v/>
      </c>
      <c r="U65" s="82">
        <f>IF($A65="","",$S65+$T65)</f>
        <v/>
      </c>
      <c r="V65" s="82">
        <f>IF($A65="","",INDEX(DM_DDK621,52)+INDEX(DM_DDK622,52)+INDEX(DM_DDK623,52)+INDEX(DM_DDK627,52))</f>
        <v/>
      </c>
      <c r="W65" s="82">
        <f>IF($A65="","",SUMIFS(L_ST,L_Ma,$A65,L_KM,"Phế liệu thu hồi",L_Ngay,"&gt;="&amp;pTu,L_Ngay,"&lt;="&amp;pDen))</f>
        <v/>
      </c>
      <c r="X65" s="82">
        <f>IF($A65="","",SUMIFS(L_ST,L_Ma,$A65,L_KM,"SP hỏng ngoài định mức",L_Ngay,"&gt;="&amp;pTu,L_Ngay,"&lt;="&amp;pDen))</f>
        <v/>
      </c>
      <c r="Y65" s="82">
        <f>IF($A65="","",$P65+$Q65+$R65+$U65)</f>
        <v/>
      </c>
      <c r="Z65" s="82">
        <f>IF($A65="","",IF($D65="Đang thực hiện",$V65+$Y65,CHOOSE(MATCH(pDoDang,LST_DoDang,0),$AE65,$AF65,$AG65)))</f>
        <v/>
      </c>
      <c r="AA65" s="82">
        <f>IF($A65="","",$V65+$Y65-$Z65-$W65-$X65)</f>
        <v/>
      </c>
      <c r="AB65" s="82">
        <f>IF($A65="","",INDEX(DM_SLHT,52))</f>
        <v/>
      </c>
      <c r="AC65" s="82">
        <f>IF($A65="","",IF($AB65&lt;=0,"⚠ CHƯA CÓ SL",ROUND($AA65/$AB65,0)))</f>
        <v/>
      </c>
      <c r="AE65" s="88">
        <f>IF($A65="","",IFERROR((INDEX(DM_DDK621,52)+$P65)/($AB65+INDEX(DM_SLDD,52))*INDEX(DM_SLDD,52),0))</f>
        <v/>
      </c>
      <c r="AF65" s="88">
        <f>IF($A65="","",IFERROR((INDEX(DM_DDK621,52)+$P65)/($AB65+INDEX(DM_SLDD,52))*INDEX(DM_SLDD,52),0)+IFERROR((INDEX(DM_DDK622,52)+$Q65)/($AB65+INDEX(DM_SLDD,52)*INDEX(DM_Pct,52))*(INDEX(DM_SLDD,52)*INDEX(DM_Pct,52)),0)+IFERROR((INDEX(DM_DDK623,52)+$R65)/($AB65+INDEX(DM_SLDD,52)*INDEX(DM_Pct,52))*(INDEX(DM_SLDD,52)*INDEX(DM_Pct,52)),0)+IFERROR((INDEX(DM_DDK627,52)+$U65)/($AB65+INDEX(DM_SLDD,52)*INDEX(DM_Pct,52))*(INDEX(DM_SLDD,52)*INDEX(DM_Pct,52)),0))</f>
        <v/>
      </c>
      <c r="AG65" s="88">
        <f>IF($A65="","",INDEX(DM_SLDD,52)*INDEX(DM_DGDinhMuc,52))</f>
        <v/>
      </c>
      <c r="AH65" s="88">
        <f>IF($A65="",0,IF(AND(ISNUMBER($AA65),$AA65&gt;0,$AB65&lt;=0),1,0))</f>
        <v/>
      </c>
      <c r="AI65" s="88">
        <f>IF($A65="",0,IF(AND(ISNUMBER($Z65),$Z65&lt;0),1,0))</f>
        <v/>
      </c>
      <c r="AJ65" s="88">
        <f>IF($A65="",0,IF(AND(ISNUMBER($AA65),$AA65&lt;0),1,0))</f>
        <v/>
      </c>
    </row>
    <row r="66" ht="15" customHeight="1" s="54">
      <c r="A66" s="80">
        <f>IF(INDEX(DM_Ma,53)="","",INDEX(DM_Ma,53))</f>
        <v/>
      </c>
      <c r="B66" s="80">
        <f>IF($A66="","",INDEX(DM_Ten,53))</f>
        <v/>
      </c>
      <c r="C66" s="80">
        <f>IF($A66="","",INDEX(DM_Loai,53))</f>
        <v/>
      </c>
      <c r="D66" s="80">
        <f>IF($A66="","",INDEX(DM_TrangThai,53))</f>
        <v/>
      </c>
      <c r="E66" s="82">
        <f>IF($A66="","",SUMIFS(L_ST,L_Ma,$A66,L_KM,"NVL trực tiếp (621)",L_TT,"Trực tiếp",L_Ngay,"&gt;="&amp;pTu,L_Ngay,"&lt;="&amp;pDen))</f>
        <v/>
      </c>
      <c r="F66" s="82">
        <f>IF($A66="","",SUMIFS(L_ST,L_Ma,$A66,L_KM,"Nhân công trực tiếp (622)",L_TT,"Trực tiếp",L_Ngay,"&gt;="&amp;pTu,L_Ngay,"&lt;="&amp;pDen))</f>
        <v/>
      </c>
      <c r="G66" s="82">
        <f>IF($A66="","",SUMIFS(L_ST,L_Ma,$A66,L_KM,"Máy thi công (623)",L_TT,"Trực tiếp",L_Ngay,"&gt;="&amp;pTu,L_Ngay,"&lt;="&amp;pDen))</f>
        <v/>
      </c>
      <c r="H66" s="82">
        <f>IF($A66="","",SUMIFS(L_ST,L_Ma,$A66,L_KM,"SXC (627)",L_TT,"Trực tiếp",L_Tinh,"Biến đổi",L_Ngay,"&gt;="&amp;pTu,L_Ngay,"&lt;="&amp;pDen))</f>
        <v/>
      </c>
      <c r="I66" s="82">
        <f>IF($A66="","",SUMIFS(L_ST,L_Ma,$A66,L_KM,"SXC (627)",L_TT,"Trực tiếp",L_Tinh,"Cố định",L_Ngay,"&gt;="&amp;pTu,L_Ngay,"&lt;="&amp;pDen))</f>
        <v/>
      </c>
      <c r="J66" s="82">
        <f>IF($A66="","",CHOOSE(MATCH(pTieuThuc,LST_TieuThuc,0),$E66,$F66,INDEX(DM_GioMay,53),INDEX(DM_GioCong,53),INDEX(DM_SLHT,53),INDEX(DM_DThu,53),INDEX(DM_TieuKhac,53)))</f>
        <v/>
      </c>
      <c r="K66" s="82">
        <f>IF($A66="","",IF(tBase=0,0,$J66/tBase*pool621))</f>
        <v/>
      </c>
      <c r="L66" s="82">
        <f>IF($A66="","",IF(tBase=0,0,$J66/tBase*pool622))</f>
        <v/>
      </c>
      <c r="M66" s="82">
        <f>IF($A66="","",IF(tBase=0,0,$J66/tBase*pool623))</f>
        <v/>
      </c>
      <c r="N66" s="82">
        <f>IF($A66="","",IF(tBase=0,0,$J66/tBase*pool627BD))</f>
        <v/>
      </c>
      <c r="O66" s="82">
        <f>IF($A66="","",IF(tBase=0,0,$J66/tBase*t627CDabs))</f>
        <v/>
      </c>
      <c r="P66" s="82">
        <f>IF($A66="","",$E66+$K66)</f>
        <v/>
      </c>
      <c r="Q66" s="82">
        <f>IF($A66="","",$F66+$L66)</f>
        <v/>
      </c>
      <c r="R66" s="82">
        <f>IF($A66="","",$G66+$M66)</f>
        <v/>
      </c>
      <c r="S66" s="82">
        <f>IF($A66="","",$H66+$N66)</f>
        <v/>
      </c>
      <c r="T66" s="82">
        <f>IF($A66="","",$I66+$O66)</f>
        <v/>
      </c>
      <c r="U66" s="82">
        <f>IF($A66="","",$S66+$T66)</f>
        <v/>
      </c>
      <c r="V66" s="82">
        <f>IF($A66="","",INDEX(DM_DDK621,53)+INDEX(DM_DDK622,53)+INDEX(DM_DDK623,53)+INDEX(DM_DDK627,53))</f>
        <v/>
      </c>
      <c r="W66" s="82">
        <f>IF($A66="","",SUMIFS(L_ST,L_Ma,$A66,L_KM,"Phế liệu thu hồi",L_Ngay,"&gt;="&amp;pTu,L_Ngay,"&lt;="&amp;pDen))</f>
        <v/>
      </c>
      <c r="X66" s="82">
        <f>IF($A66="","",SUMIFS(L_ST,L_Ma,$A66,L_KM,"SP hỏng ngoài định mức",L_Ngay,"&gt;="&amp;pTu,L_Ngay,"&lt;="&amp;pDen))</f>
        <v/>
      </c>
      <c r="Y66" s="82">
        <f>IF($A66="","",$P66+$Q66+$R66+$U66)</f>
        <v/>
      </c>
      <c r="Z66" s="82">
        <f>IF($A66="","",IF($D66="Đang thực hiện",$V66+$Y66,CHOOSE(MATCH(pDoDang,LST_DoDang,0),$AE66,$AF66,$AG66)))</f>
        <v/>
      </c>
      <c r="AA66" s="82">
        <f>IF($A66="","",$V66+$Y66-$Z66-$W66-$X66)</f>
        <v/>
      </c>
      <c r="AB66" s="82">
        <f>IF($A66="","",INDEX(DM_SLHT,53))</f>
        <v/>
      </c>
      <c r="AC66" s="82">
        <f>IF($A66="","",IF($AB66&lt;=0,"⚠ CHƯA CÓ SL",ROUND($AA66/$AB66,0)))</f>
        <v/>
      </c>
      <c r="AE66" s="88">
        <f>IF($A66="","",IFERROR((INDEX(DM_DDK621,53)+$P66)/($AB66+INDEX(DM_SLDD,53))*INDEX(DM_SLDD,53),0))</f>
        <v/>
      </c>
      <c r="AF66" s="88">
        <f>IF($A66="","",IFERROR((INDEX(DM_DDK621,53)+$P66)/($AB66+INDEX(DM_SLDD,53))*INDEX(DM_SLDD,53),0)+IFERROR((INDEX(DM_DDK622,53)+$Q66)/($AB66+INDEX(DM_SLDD,53)*INDEX(DM_Pct,53))*(INDEX(DM_SLDD,53)*INDEX(DM_Pct,53)),0)+IFERROR((INDEX(DM_DDK623,53)+$R66)/($AB66+INDEX(DM_SLDD,53)*INDEX(DM_Pct,53))*(INDEX(DM_SLDD,53)*INDEX(DM_Pct,53)),0)+IFERROR((INDEX(DM_DDK627,53)+$U66)/($AB66+INDEX(DM_SLDD,53)*INDEX(DM_Pct,53))*(INDEX(DM_SLDD,53)*INDEX(DM_Pct,53)),0))</f>
        <v/>
      </c>
      <c r="AG66" s="88">
        <f>IF($A66="","",INDEX(DM_SLDD,53)*INDEX(DM_DGDinhMuc,53))</f>
        <v/>
      </c>
      <c r="AH66" s="88">
        <f>IF($A66="",0,IF(AND(ISNUMBER($AA66),$AA66&gt;0,$AB66&lt;=0),1,0))</f>
        <v/>
      </c>
      <c r="AI66" s="88">
        <f>IF($A66="",0,IF(AND(ISNUMBER($Z66),$Z66&lt;0),1,0))</f>
        <v/>
      </c>
      <c r="AJ66" s="88">
        <f>IF($A66="",0,IF(AND(ISNUMBER($AA66),$AA66&lt;0),1,0))</f>
        <v/>
      </c>
    </row>
    <row r="67" ht="15" customHeight="1" s="54">
      <c r="A67" s="80">
        <f>IF(INDEX(DM_Ma,54)="","",INDEX(DM_Ma,54))</f>
        <v/>
      </c>
      <c r="B67" s="80">
        <f>IF($A67="","",INDEX(DM_Ten,54))</f>
        <v/>
      </c>
      <c r="C67" s="80">
        <f>IF($A67="","",INDEX(DM_Loai,54))</f>
        <v/>
      </c>
      <c r="D67" s="80">
        <f>IF($A67="","",INDEX(DM_TrangThai,54))</f>
        <v/>
      </c>
      <c r="E67" s="82">
        <f>IF($A67="","",SUMIFS(L_ST,L_Ma,$A67,L_KM,"NVL trực tiếp (621)",L_TT,"Trực tiếp",L_Ngay,"&gt;="&amp;pTu,L_Ngay,"&lt;="&amp;pDen))</f>
        <v/>
      </c>
      <c r="F67" s="82">
        <f>IF($A67="","",SUMIFS(L_ST,L_Ma,$A67,L_KM,"Nhân công trực tiếp (622)",L_TT,"Trực tiếp",L_Ngay,"&gt;="&amp;pTu,L_Ngay,"&lt;="&amp;pDen))</f>
        <v/>
      </c>
      <c r="G67" s="82">
        <f>IF($A67="","",SUMIFS(L_ST,L_Ma,$A67,L_KM,"Máy thi công (623)",L_TT,"Trực tiếp",L_Ngay,"&gt;="&amp;pTu,L_Ngay,"&lt;="&amp;pDen))</f>
        <v/>
      </c>
      <c r="H67" s="82">
        <f>IF($A67="","",SUMIFS(L_ST,L_Ma,$A67,L_KM,"SXC (627)",L_TT,"Trực tiếp",L_Tinh,"Biến đổi",L_Ngay,"&gt;="&amp;pTu,L_Ngay,"&lt;="&amp;pDen))</f>
        <v/>
      </c>
      <c r="I67" s="82">
        <f>IF($A67="","",SUMIFS(L_ST,L_Ma,$A67,L_KM,"SXC (627)",L_TT,"Trực tiếp",L_Tinh,"Cố định",L_Ngay,"&gt;="&amp;pTu,L_Ngay,"&lt;="&amp;pDen))</f>
        <v/>
      </c>
      <c r="J67" s="82">
        <f>IF($A67="","",CHOOSE(MATCH(pTieuThuc,LST_TieuThuc,0),$E67,$F67,INDEX(DM_GioMay,54),INDEX(DM_GioCong,54),INDEX(DM_SLHT,54),INDEX(DM_DThu,54),INDEX(DM_TieuKhac,54)))</f>
        <v/>
      </c>
      <c r="K67" s="82">
        <f>IF($A67="","",IF(tBase=0,0,$J67/tBase*pool621))</f>
        <v/>
      </c>
      <c r="L67" s="82">
        <f>IF($A67="","",IF(tBase=0,0,$J67/tBase*pool622))</f>
        <v/>
      </c>
      <c r="M67" s="82">
        <f>IF($A67="","",IF(tBase=0,0,$J67/tBase*pool623))</f>
        <v/>
      </c>
      <c r="N67" s="82">
        <f>IF($A67="","",IF(tBase=0,0,$J67/tBase*pool627BD))</f>
        <v/>
      </c>
      <c r="O67" s="82">
        <f>IF($A67="","",IF(tBase=0,0,$J67/tBase*t627CDabs))</f>
        <v/>
      </c>
      <c r="P67" s="82">
        <f>IF($A67="","",$E67+$K67)</f>
        <v/>
      </c>
      <c r="Q67" s="82">
        <f>IF($A67="","",$F67+$L67)</f>
        <v/>
      </c>
      <c r="R67" s="82">
        <f>IF($A67="","",$G67+$M67)</f>
        <v/>
      </c>
      <c r="S67" s="82">
        <f>IF($A67="","",$H67+$N67)</f>
        <v/>
      </c>
      <c r="T67" s="82">
        <f>IF($A67="","",$I67+$O67)</f>
        <v/>
      </c>
      <c r="U67" s="82">
        <f>IF($A67="","",$S67+$T67)</f>
        <v/>
      </c>
      <c r="V67" s="82">
        <f>IF($A67="","",INDEX(DM_DDK621,54)+INDEX(DM_DDK622,54)+INDEX(DM_DDK623,54)+INDEX(DM_DDK627,54))</f>
        <v/>
      </c>
      <c r="W67" s="82">
        <f>IF($A67="","",SUMIFS(L_ST,L_Ma,$A67,L_KM,"Phế liệu thu hồi",L_Ngay,"&gt;="&amp;pTu,L_Ngay,"&lt;="&amp;pDen))</f>
        <v/>
      </c>
      <c r="X67" s="82">
        <f>IF($A67="","",SUMIFS(L_ST,L_Ma,$A67,L_KM,"SP hỏng ngoài định mức",L_Ngay,"&gt;="&amp;pTu,L_Ngay,"&lt;="&amp;pDen))</f>
        <v/>
      </c>
      <c r="Y67" s="82">
        <f>IF($A67="","",$P67+$Q67+$R67+$U67)</f>
        <v/>
      </c>
      <c r="Z67" s="82">
        <f>IF($A67="","",IF($D67="Đang thực hiện",$V67+$Y67,CHOOSE(MATCH(pDoDang,LST_DoDang,0),$AE67,$AF67,$AG67)))</f>
        <v/>
      </c>
      <c r="AA67" s="82">
        <f>IF($A67="","",$V67+$Y67-$Z67-$W67-$X67)</f>
        <v/>
      </c>
      <c r="AB67" s="82">
        <f>IF($A67="","",INDEX(DM_SLHT,54))</f>
        <v/>
      </c>
      <c r="AC67" s="82">
        <f>IF($A67="","",IF($AB67&lt;=0,"⚠ CHƯA CÓ SL",ROUND($AA67/$AB67,0)))</f>
        <v/>
      </c>
      <c r="AE67" s="88">
        <f>IF($A67="","",IFERROR((INDEX(DM_DDK621,54)+$P67)/($AB67+INDEX(DM_SLDD,54))*INDEX(DM_SLDD,54),0))</f>
        <v/>
      </c>
      <c r="AF67" s="88">
        <f>IF($A67="","",IFERROR((INDEX(DM_DDK621,54)+$P67)/($AB67+INDEX(DM_SLDD,54))*INDEX(DM_SLDD,54),0)+IFERROR((INDEX(DM_DDK622,54)+$Q67)/($AB67+INDEX(DM_SLDD,54)*INDEX(DM_Pct,54))*(INDEX(DM_SLDD,54)*INDEX(DM_Pct,54)),0)+IFERROR((INDEX(DM_DDK623,54)+$R67)/($AB67+INDEX(DM_SLDD,54)*INDEX(DM_Pct,54))*(INDEX(DM_SLDD,54)*INDEX(DM_Pct,54)),0)+IFERROR((INDEX(DM_DDK627,54)+$U67)/($AB67+INDEX(DM_SLDD,54)*INDEX(DM_Pct,54))*(INDEX(DM_SLDD,54)*INDEX(DM_Pct,54)),0))</f>
        <v/>
      </c>
      <c r="AG67" s="88">
        <f>IF($A67="","",INDEX(DM_SLDD,54)*INDEX(DM_DGDinhMuc,54))</f>
        <v/>
      </c>
      <c r="AH67" s="88">
        <f>IF($A67="",0,IF(AND(ISNUMBER($AA67),$AA67&gt;0,$AB67&lt;=0),1,0))</f>
        <v/>
      </c>
      <c r="AI67" s="88">
        <f>IF($A67="",0,IF(AND(ISNUMBER($Z67),$Z67&lt;0),1,0))</f>
        <v/>
      </c>
      <c r="AJ67" s="88">
        <f>IF($A67="",0,IF(AND(ISNUMBER($AA67),$AA67&lt;0),1,0))</f>
        <v/>
      </c>
    </row>
    <row r="68" ht="15" customHeight="1" s="54">
      <c r="A68" s="80">
        <f>IF(INDEX(DM_Ma,55)="","",INDEX(DM_Ma,55))</f>
        <v/>
      </c>
      <c r="B68" s="80">
        <f>IF($A68="","",INDEX(DM_Ten,55))</f>
        <v/>
      </c>
      <c r="C68" s="80">
        <f>IF($A68="","",INDEX(DM_Loai,55))</f>
        <v/>
      </c>
      <c r="D68" s="80">
        <f>IF($A68="","",INDEX(DM_TrangThai,55))</f>
        <v/>
      </c>
      <c r="E68" s="82">
        <f>IF($A68="","",SUMIFS(L_ST,L_Ma,$A68,L_KM,"NVL trực tiếp (621)",L_TT,"Trực tiếp",L_Ngay,"&gt;="&amp;pTu,L_Ngay,"&lt;="&amp;pDen))</f>
        <v/>
      </c>
      <c r="F68" s="82">
        <f>IF($A68="","",SUMIFS(L_ST,L_Ma,$A68,L_KM,"Nhân công trực tiếp (622)",L_TT,"Trực tiếp",L_Ngay,"&gt;="&amp;pTu,L_Ngay,"&lt;="&amp;pDen))</f>
        <v/>
      </c>
      <c r="G68" s="82">
        <f>IF($A68="","",SUMIFS(L_ST,L_Ma,$A68,L_KM,"Máy thi công (623)",L_TT,"Trực tiếp",L_Ngay,"&gt;="&amp;pTu,L_Ngay,"&lt;="&amp;pDen))</f>
        <v/>
      </c>
      <c r="H68" s="82">
        <f>IF($A68="","",SUMIFS(L_ST,L_Ma,$A68,L_KM,"SXC (627)",L_TT,"Trực tiếp",L_Tinh,"Biến đổi",L_Ngay,"&gt;="&amp;pTu,L_Ngay,"&lt;="&amp;pDen))</f>
        <v/>
      </c>
      <c r="I68" s="82">
        <f>IF($A68="","",SUMIFS(L_ST,L_Ma,$A68,L_KM,"SXC (627)",L_TT,"Trực tiếp",L_Tinh,"Cố định",L_Ngay,"&gt;="&amp;pTu,L_Ngay,"&lt;="&amp;pDen))</f>
        <v/>
      </c>
      <c r="J68" s="82">
        <f>IF($A68="","",CHOOSE(MATCH(pTieuThuc,LST_TieuThuc,0),$E68,$F68,INDEX(DM_GioMay,55),INDEX(DM_GioCong,55),INDEX(DM_SLHT,55),INDEX(DM_DThu,55),INDEX(DM_TieuKhac,55)))</f>
        <v/>
      </c>
      <c r="K68" s="82">
        <f>IF($A68="","",IF(tBase=0,0,$J68/tBase*pool621))</f>
        <v/>
      </c>
      <c r="L68" s="82">
        <f>IF($A68="","",IF(tBase=0,0,$J68/tBase*pool622))</f>
        <v/>
      </c>
      <c r="M68" s="82">
        <f>IF($A68="","",IF(tBase=0,0,$J68/tBase*pool623))</f>
        <v/>
      </c>
      <c r="N68" s="82">
        <f>IF($A68="","",IF(tBase=0,0,$J68/tBase*pool627BD))</f>
        <v/>
      </c>
      <c r="O68" s="82">
        <f>IF($A68="","",IF(tBase=0,0,$J68/tBase*t627CDabs))</f>
        <v/>
      </c>
      <c r="P68" s="82">
        <f>IF($A68="","",$E68+$K68)</f>
        <v/>
      </c>
      <c r="Q68" s="82">
        <f>IF($A68="","",$F68+$L68)</f>
        <v/>
      </c>
      <c r="R68" s="82">
        <f>IF($A68="","",$G68+$M68)</f>
        <v/>
      </c>
      <c r="S68" s="82">
        <f>IF($A68="","",$H68+$N68)</f>
        <v/>
      </c>
      <c r="T68" s="82">
        <f>IF($A68="","",$I68+$O68)</f>
        <v/>
      </c>
      <c r="U68" s="82">
        <f>IF($A68="","",$S68+$T68)</f>
        <v/>
      </c>
      <c r="V68" s="82">
        <f>IF($A68="","",INDEX(DM_DDK621,55)+INDEX(DM_DDK622,55)+INDEX(DM_DDK623,55)+INDEX(DM_DDK627,55))</f>
        <v/>
      </c>
      <c r="W68" s="82">
        <f>IF($A68="","",SUMIFS(L_ST,L_Ma,$A68,L_KM,"Phế liệu thu hồi",L_Ngay,"&gt;="&amp;pTu,L_Ngay,"&lt;="&amp;pDen))</f>
        <v/>
      </c>
      <c r="X68" s="82">
        <f>IF($A68="","",SUMIFS(L_ST,L_Ma,$A68,L_KM,"SP hỏng ngoài định mức",L_Ngay,"&gt;="&amp;pTu,L_Ngay,"&lt;="&amp;pDen))</f>
        <v/>
      </c>
      <c r="Y68" s="82">
        <f>IF($A68="","",$P68+$Q68+$R68+$U68)</f>
        <v/>
      </c>
      <c r="Z68" s="82">
        <f>IF($A68="","",IF($D68="Đang thực hiện",$V68+$Y68,CHOOSE(MATCH(pDoDang,LST_DoDang,0),$AE68,$AF68,$AG68)))</f>
        <v/>
      </c>
      <c r="AA68" s="82">
        <f>IF($A68="","",$V68+$Y68-$Z68-$W68-$X68)</f>
        <v/>
      </c>
      <c r="AB68" s="82">
        <f>IF($A68="","",INDEX(DM_SLHT,55))</f>
        <v/>
      </c>
      <c r="AC68" s="82">
        <f>IF($A68="","",IF($AB68&lt;=0,"⚠ CHƯA CÓ SL",ROUND($AA68/$AB68,0)))</f>
        <v/>
      </c>
      <c r="AE68" s="88">
        <f>IF($A68="","",IFERROR((INDEX(DM_DDK621,55)+$P68)/($AB68+INDEX(DM_SLDD,55))*INDEX(DM_SLDD,55),0))</f>
        <v/>
      </c>
      <c r="AF68" s="88">
        <f>IF($A68="","",IFERROR((INDEX(DM_DDK621,55)+$P68)/($AB68+INDEX(DM_SLDD,55))*INDEX(DM_SLDD,55),0)+IFERROR((INDEX(DM_DDK622,55)+$Q68)/($AB68+INDEX(DM_SLDD,55)*INDEX(DM_Pct,55))*(INDEX(DM_SLDD,55)*INDEX(DM_Pct,55)),0)+IFERROR((INDEX(DM_DDK623,55)+$R68)/($AB68+INDEX(DM_SLDD,55)*INDEX(DM_Pct,55))*(INDEX(DM_SLDD,55)*INDEX(DM_Pct,55)),0)+IFERROR((INDEX(DM_DDK627,55)+$U68)/($AB68+INDEX(DM_SLDD,55)*INDEX(DM_Pct,55))*(INDEX(DM_SLDD,55)*INDEX(DM_Pct,55)),0))</f>
        <v/>
      </c>
      <c r="AG68" s="88">
        <f>IF($A68="","",INDEX(DM_SLDD,55)*INDEX(DM_DGDinhMuc,55))</f>
        <v/>
      </c>
      <c r="AH68" s="88">
        <f>IF($A68="",0,IF(AND(ISNUMBER($AA68),$AA68&gt;0,$AB68&lt;=0),1,0))</f>
        <v/>
      </c>
      <c r="AI68" s="88">
        <f>IF($A68="",0,IF(AND(ISNUMBER($Z68),$Z68&lt;0),1,0))</f>
        <v/>
      </c>
      <c r="AJ68" s="88">
        <f>IF($A68="",0,IF(AND(ISNUMBER($AA68),$AA68&lt;0),1,0))</f>
        <v/>
      </c>
    </row>
    <row r="69" ht="15" customHeight="1" s="54">
      <c r="A69" s="80">
        <f>IF(INDEX(DM_Ma,56)="","",INDEX(DM_Ma,56))</f>
        <v/>
      </c>
      <c r="B69" s="80">
        <f>IF($A69="","",INDEX(DM_Ten,56))</f>
        <v/>
      </c>
      <c r="C69" s="80">
        <f>IF($A69="","",INDEX(DM_Loai,56))</f>
        <v/>
      </c>
      <c r="D69" s="80">
        <f>IF($A69="","",INDEX(DM_TrangThai,56))</f>
        <v/>
      </c>
      <c r="E69" s="82">
        <f>IF($A69="","",SUMIFS(L_ST,L_Ma,$A69,L_KM,"NVL trực tiếp (621)",L_TT,"Trực tiếp",L_Ngay,"&gt;="&amp;pTu,L_Ngay,"&lt;="&amp;pDen))</f>
        <v/>
      </c>
      <c r="F69" s="82">
        <f>IF($A69="","",SUMIFS(L_ST,L_Ma,$A69,L_KM,"Nhân công trực tiếp (622)",L_TT,"Trực tiếp",L_Ngay,"&gt;="&amp;pTu,L_Ngay,"&lt;="&amp;pDen))</f>
        <v/>
      </c>
      <c r="G69" s="82">
        <f>IF($A69="","",SUMIFS(L_ST,L_Ma,$A69,L_KM,"Máy thi công (623)",L_TT,"Trực tiếp",L_Ngay,"&gt;="&amp;pTu,L_Ngay,"&lt;="&amp;pDen))</f>
        <v/>
      </c>
      <c r="H69" s="82">
        <f>IF($A69="","",SUMIFS(L_ST,L_Ma,$A69,L_KM,"SXC (627)",L_TT,"Trực tiếp",L_Tinh,"Biến đổi",L_Ngay,"&gt;="&amp;pTu,L_Ngay,"&lt;="&amp;pDen))</f>
        <v/>
      </c>
      <c r="I69" s="82">
        <f>IF($A69="","",SUMIFS(L_ST,L_Ma,$A69,L_KM,"SXC (627)",L_TT,"Trực tiếp",L_Tinh,"Cố định",L_Ngay,"&gt;="&amp;pTu,L_Ngay,"&lt;="&amp;pDen))</f>
        <v/>
      </c>
      <c r="J69" s="82">
        <f>IF($A69="","",CHOOSE(MATCH(pTieuThuc,LST_TieuThuc,0),$E69,$F69,INDEX(DM_GioMay,56),INDEX(DM_GioCong,56),INDEX(DM_SLHT,56),INDEX(DM_DThu,56),INDEX(DM_TieuKhac,56)))</f>
        <v/>
      </c>
      <c r="K69" s="82">
        <f>IF($A69="","",IF(tBase=0,0,$J69/tBase*pool621))</f>
        <v/>
      </c>
      <c r="L69" s="82">
        <f>IF($A69="","",IF(tBase=0,0,$J69/tBase*pool622))</f>
        <v/>
      </c>
      <c r="M69" s="82">
        <f>IF($A69="","",IF(tBase=0,0,$J69/tBase*pool623))</f>
        <v/>
      </c>
      <c r="N69" s="82">
        <f>IF($A69="","",IF(tBase=0,0,$J69/tBase*pool627BD))</f>
        <v/>
      </c>
      <c r="O69" s="82">
        <f>IF($A69="","",IF(tBase=0,0,$J69/tBase*t627CDabs))</f>
        <v/>
      </c>
      <c r="P69" s="82">
        <f>IF($A69="","",$E69+$K69)</f>
        <v/>
      </c>
      <c r="Q69" s="82">
        <f>IF($A69="","",$F69+$L69)</f>
        <v/>
      </c>
      <c r="R69" s="82">
        <f>IF($A69="","",$G69+$M69)</f>
        <v/>
      </c>
      <c r="S69" s="82">
        <f>IF($A69="","",$H69+$N69)</f>
        <v/>
      </c>
      <c r="T69" s="82">
        <f>IF($A69="","",$I69+$O69)</f>
        <v/>
      </c>
      <c r="U69" s="82">
        <f>IF($A69="","",$S69+$T69)</f>
        <v/>
      </c>
      <c r="V69" s="82">
        <f>IF($A69="","",INDEX(DM_DDK621,56)+INDEX(DM_DDK622,56)+INDEX(DM_DDK623,56)+INDEX(DM_DDK627,56))</f>
        <v/>
      </c>
      <c r="W69" s="82">
        <f>IF($A69="","",SUMIFS(L_ST,L_Ma,$A69,L_KM,"Phế liệu thu hồi",L_Ngay,"&gt;="&amp;pTu,L_Ngay,"&lt;="&amp;pDen))</f>
        <v/>
      </c>
      <c r="X69" s="82">
        <f>IF($A69="","",SUMIFS(L_ST,L_Ma,$A69,L_KM,"SP hỏng ngoài định mức",L_Ngay,"&gt;="&amp;pTu,L_Ngay,"&lt;="&amp;pDen))</f>
        <v/>
      </c>
      <c r="Y69" s="82">
        <f>IF($A69="","",$P69+$Q69+$R69+$U69)</f>
        <v/>
      </c>
      <c r="Z69" s="82">
        <f>IF($A69="","",IF($D69="Đang thực hiện",$V69+$Y69,CHOOSE(MATCH(pDoDang,LST_DoDang,0),$AE69,$AF69,$AG69)))</f>
        <v/>
      </c>
      <c r="AA69" s="82">
        <f>IF($A69="","",$V69+$Y69-$Z69-$W69-$X69)</f>
        <v/>
      </c>
      <c r="AB69" s="82">
        <f>IF($A69="","",INDEX(DM_SLHT,56))</f>
        <v/>
      </c>
      <c r="AC69" s="82">
        <f>IF($A69="","",IF($AB69&lt;=0,"⚠ CHƯA CÓ SL",ROUND($AA69/$AB69,0)))</f>
        <v/>
      </c>
      <c r="AE69" s="88">
        <f>IF($A69="","",IFERROR((INDEX(DM_DDK621,56)+$P69)/($AB69+INDEX(DM_SLDD,56))*INDEX(DM_SLDD,56),0))</f>
        <v/>
      </c>
      <c r="AF69" s="88">
        <f>IF($A69="","",IFERROR((INDEX(DM_DDK621,56)+$P69)/($AB69+INDEX(DM_SLDD,56))*INDEX(DM_SLDD,56),0)+IFERROR((INDEX(DM_DDK622,56)+$Q69)/($AB69+INDEX(DM_SLDD,56)*INDEX(DM_Pct,56))*(INDEX(DM_SLDD,56)*INDEX(DM_Pct,56)),0)+IFERROR((INDEX(DM_DDK623,56)+$R69)/($AB69+INDEX(DM_SLDD,56)*INDEX(DM_Pct,56))*(INDEX(DM_SLDD,56)*INDEX(DM_Pct,56)),0)+IFERROR((INDEX(DM_DDK627,56)+$U69)/($AB69+INDEX(DM_SLDD,56)*INDEX(DM_Pct,56))*(INDEX(DM_SLDD,56)*INDEX(DM_Pct,56)),0))</f>
        <v/>
      </c>
      <c r="AG69" s="88">
        <f>IF($A69="","",INDEX(DM_SLDD,56)*INDEX(DM_DGDinhMuc,56))</f>
        <v/>
      </c>
      <c r="AH69" s="88">
        <f>IF($A69="",0,IF(AND(ISNUMBER($AA69),$AA69&gt;0,$AB69&lt;=0),1,0))</f>
        <v/>
      </c>
      <c r="AI69" s="88">
        <f>IF($A69="",0,IF(AND(ISNUMBER($Z69),$Z69&lt;0),1,0))</f>
        <v/>
      </c>
      <c r="AJ69" s="88">
        <f>IF($A69="",0,IF(AND(ISNUMBER($AA69),$AA69&lt;0),1,0))</f>
        <v/>
      </c>
    </row>
    <row r="70" ht="15" customHeight="1" s="54">
      <c r="A70" s="80">
        <f>IF(INDEX(DM_Ma,57)="","",INDEX(DM_Ma,57))</f>
        <v/>
      </c>
      <c r="B70" s="80">
        <f>IF($A70="","",INDEX(DM_Ten,57))</f>
        <v/>
      </c>
      <c r="C70" s="80">
        <f>IF($A70="","",INDEX(DM_Loai,57))</f>
        <v/>
      </c>
      <c r="D70" s="80">
        <f>IF($A70="","",INDEX(DM_TrangThai,57))</f>
        <v/>
      </c>
      <c r="E70" s="82">
        <f>IF($A70="","",SUMIFS(L_ST,L_Ma,$A70,L_KM,"NVL trực tiếp (621)",L_TT,"Trực tiếp",L_Ngay,"&gt;="&amp;pTu,L_Ngay,"&lt;="&amp;pDen))</f>
        <v/>
      </c>
      <c r="F70" s="82">
        <f>IF($A70="","",SUMIFS(L_ST,L_Ma,$A70,L_KM,"Nhân công trực tiếp (622)",L_TT,"Trực tiếp",L_Ngay,"&gt;="&amp;pTu,L_Ngay,"&lt;="&amp;pDen))</f>
        <v/>
      </c>
      <c r="G70" s="82">
        <f>IF($A70="","",SUMIFS(L_ST,L_Ma,$A70,L_KM,"Máy thi công (623)",L_TT,"Trực tiếp",L_Ngay,"&gt;="&amp;pTu,L_Ngay,"&lt;="&amp;pDen))</f>
        <v/>
      </c>
      <c r="H70" s="82">
        <f>IF($A70="","",SUMIFS(L_ST,L_Ma,$A70,L_KM,"SXC (627)",L_TT,"Trực tiếp",L_Tinh,"Biến đổi",L_Ngay,"&gt;="&amp;pTu,L_Ngay,"&lt;="&amp;pDen))</f>
        <v/>
      </c>
      <c r="I70" s="82">
        <f>IF($A70="","",SUMIFS(L_ST,L_Ma,$A70,L_KM,"SXC (627)",L_TT,"Trực tiếp",L_Tinh,"Cố định",L_Ngay,"&gt;="&amp;pTu,L_Ngay,"&lt;="&amp;pDen))</f>
        <v/>
      </c>
      <c r="J70" s="82">
        <f>IF($A70="","",CHOOSE(MATCH(pTieuThuc,LST_TieuThuc,0),$E70,$F70,INDEX(DM_GioMay,57),INDEX(DM_GioCong,57),INDEX(DM_SLHT,57),INDEX(DM_DThu,57),INDEX(DM_TieuKhac,57)))</f>
        <v/>
      </c>
      <c r="K70" s="82">
        <f>IF($A70="","",IF(tBase=0,0,$J70/tBase*pool621))</f>
        <v/>
      </c>
      <c r="L70" s="82">
        <f>IF($A70="","",IF(tBase=0,0,$J70/tBase*pool622))</f>
        <v/>
      </c>
      <c r="M70" s="82">
        <f>IF($A70="","",IF(tBase=0,0,$J70/tBase*pool623))</f>
        <v/>
      </c>
      <c r="N70" s="82">
        <f>IF($A70="","",IF(tBase=0,0,$J70/tBase*pool627BD))</f>
        <v/>
      </c>
      <c r="O70" s="82">
        <f>IF($A70="","",IF(tBase=0,0,$J70/tBase*t627CDabs))</f>
        <v/>
      </c>
      <c r="P70" s="82">
        <f>IF($A70="","",$E70+$K70)</f>
        <v/>
      </c>
      <c r="Q70" s="82">
        <f>IF($A70="","",$F70+$L70)</f>
        <v/>
      </c>
      <c r="R70" s="82">
        <f>IF($A70="","",$G70+$M70)</f>
        <v/>
      </c>
      <c r="S70" s="82">
        <f>IF($A70="","",$H70+$N70)</f>
        <v/>
      </c>
      <c r="T70" s="82">
        <f>IF($A70="","",$I70+$O70)</f>
        <v/>
      </c>
      <c r="U70" s="82">
        <f>IF($A70="","",$S70+$T70)</f>
        <v/>
      </c>
      <c r="V70" s="82">
        <f>IF($A70="","",INDEX(DM_DDK621,57)+INDEX(DM_DDK622,57)+INDEX(DM_DDK623,57)+INDEX(DM_DDK627,57))</f>
        <v/>
      </c>
      <c r="W70" s="82">
        <f>IF($A70="","",SUMIFS(L_ST,L_Ma,$A70,L_KM,"Phế liệu thu hồi",L_Ngay,"&gt;="&amp;pTu,L_Ngay,"&lt;="&amp;pDen))</f>
        <v/>
      </c>
      <c r="X70" s="82">
        <f>IF($A70="","",SUMIFS(L_ST,L_Ma,$A70,L_KM,"SP hỏng ngoài định mức",L_Ngay,"&gt;="&amp;pTu,L_Ngay,"&lt;="&amp;pDen))</f>
        <v/>
      </c>
      <c r="Y70" s="82">
        <f>IF($A70="","",$P70+$Q70+$R70+$U70)</f>
        <v/>
      </c>
      <c r="Z70" s="82">
        <f>IF($A70="","",IF($D70="Đang thực hiện",$V70+$Y70,CHOOSE(MATCH(pDoDang,LST_DoDang,0),$AE70,$AF70,$AG70)))</f>
        <v/>
      </c>
      <c r="AA70" s="82">
        <f>IF($A70="","",$V70+$Y70-$Z70-$W70-$X70)</f>
        <v/>
      </c>
      <c r="AB70" s="82">
        <f>IF($A70="","",INDEX(DM_SLHT,57))</f>
        <v/>
      </c>
      <c r="AC70" s="82">
        <f>IF($A70="","",IF($AB70&lt;=0,"⚠ CHƯA CÓ SL",ROUND($AA70/$AB70,0)))</f>
        <v/>
      </c>
      <c r="AE70" s="88">
        <f>IF($A70="","",IFERROR((INDEX(DM_DDK621,57)+$P70)/($AB70+INDEX(DM_SLDD,57))*INDEX(DM_SLDD,57),0))</f>
        <v/>
      </c>
      <c r="AF70" s="88">
        <f>IF($A70="","",IFERROR((INDEX(DM_DDK621,57)+$P70)/($AB70+INDEX(DM_SLDD,57))*INDEX(DM_SLDD,57),0)+IFERROR((INDEX(DM_DDK622,57)+$Q70)/($AB70+INDEX(DM_SLDD,57)*INDEX(DM_Pct,57))*(INDEX(DM_SLDD,57)*INDEX(DM_Pct,57)),0)+IFERROR((INDEX(DM_DDK623,57)+$R70)/($AB70+INDEX(DM_SLDD,57)*INDEX(DM_Pct,57))*(INDEX(DM_SLDD,57)*INDEX(DM_Pct,57)),0)+IFERROR((INDEX(DM_DDK627,57)+$U70)/($AB70+INDEX(DM_SLDD,57)*INDEX(DM_Pct,57))*(INDEX(DM_SLDD,57)*INDEX(DM_Pct,57)),0))</f>
        <v/>
      </c>
      <c r="AG70" s="88">
        <f>IF($A70="","",INDEX(DM_SLDD,57)*INDEX(DM_DGDinhMuc,57))</f>
        <v/>
      </c>
      <c r="AH70" s="88">
        <f>IF($A70="",0,IF(AND(ISNUMBER($AA70),$AA70&gt;0,$AB70&lt;=0),1,0))</f>
        <v/>
      </c>
      <c r="AI70" s="88">
        <f>IF($A70="",0,IF(AND(ISNUMBER($Z70),$Z70&lt;0),1,0))</f>
        <v/>
      </c>
      <c r="AJ70" s="88">
        <f>IF($A70="",0,IF(AND(ISNUMBER($AA70),$AA70&lt;0),1,0))</f>
        <v/>
      </c>
    </row>
    <row r="71" ht="15" customHeight="1" s="54">
      <c r="A71" s="80">
        <f>IF(INDEX(DM_Ma,58)="","",INDEX(DM_Ma,58))</f>
        <v/>
      </c>
      <c r="B71" s="80">
        <f>IF($A71="","",INDEX(DM_Ten,58))</f>
        <v/>
      </c>
      <c r="C71" s="80">
        <f>IF($A71="","",INDEX(DM_Loai,58))</f>
        <v/>
      </c>
      <c r="D71" s="80">
        <f>IF($A71="","",INDEX(DM_TrangThai,58))</f>
        <v/>
      </c>
      <c r="E71" s="82">
        <f>IF($A71="","",SUMIFS(L_ST,L_Ma,$A71,L_KM,"NVL trực tiếp (621)",L_TT,"Trực tiếp",L_Ngay,"&gt;="&amp;pTu,L_Ngay,"&lt;="&amp;pDen))</f>
        <v/>
      </c>
      <c r="F71" s="82">
        <f>IF($A71="","",SUMIFS(L_ST,L_Ma,$A71,L_KM,"Nhân công trực tiếp (622)",L_TT,"Trực tiếp",L_Ngay,"&gt;="&amp;pTu,L_Ngay,"&lt;="&amp;pDen))</f>
        <v/>
      </c>
      <c r="G71" s="82">
        <f>IF($A71="","",SUMIFS(L_ST,L_Ma,$A71,L_KM,"Máy thi công (623)",L_TT,"Trực tiếp",L_Ngay,"&gt;="&amp;pTu,L_Ngay,"&lt;="&amp;pDen))</f>
        <v/>
      </c>
      <c r="H71" s="82">
        <f>IF($A71="","",SUMIFS(L_ST,L_Ma,$A71,L_KM,"SXC (627)",L_TT,"Trực tiếp",L_Tinh,"Biến đổi",L_Ngay,"&gt;="&amp;pTu,L_Ngay,"&lt;="&amp;pDen))</f>
        <v/>
      </c>
      <c r="I71" s="82">
        <f>IF($A71="","",SUMIFS(L_ST,L_Ma,$A71,L_KM,"SXC (627)",L_TT,"Trực tiếp",L_Tinh,"Cố định",L_Ngay,"&gt;="&amp;pTu,L_Ngay,"&lt;="&amp;pDen))</f>
        <v/>
      </c>
      <c r="J71" s="82">
        <f>IF($A71="","",CHOOSE(MATCH(pTieuThuc,LST_TieuThuc,0),$E71,$F71,INDEX(DM_GioMay,58),INDEX(DM_GioCong,58),INDEX(DM_SLHT,58),INDEX(DM_DThu,58),INDEX(DM_TieuKhac,58)))</f>
        <v/>
      </c>
      <c r="K71" s="82">
        <f>IF($A71="","",IF(tBase=0,0,$J71/tBase*pool621))</f>
        <v/>
      </c>
      <c r="L71" s="82">
        <f>IF($A71="","",IF(tBase=0,0,$J71/tBase*pool622))</f>
        <v/>
      </c>
      <c r="M71" s="82">
        <f>IF($A71="","",IF(tBase=0,0,$J71/tBase*pool623))</f>
        <v/>
      </c>
      <c r="N71" s="82">
        <f>IF($A71="","",IF(tBase=0,0,$J71/tBase*pool627BD))</f>
        <v/>
      </c>
      <c r="O71" s="82">
        <f>IF($A71="","",IF(tBase=0,0,$J71/tBase*t627CDabs))</f>
        <v/>
      </c>
      <c r="P71" s="82">
        <f>IF($A71="","",$E71+$K71)</f>
        <v/>
      </c>
      <c r="Q71" s="82">
        <f>IF($A71="","",$F71+$L71)</f>
        <v/>
      </c>
      <c r="R71" s="82">
        <f>IF($A71="","",$G71+$M71)</f>
        <v/>
      </c>
      <c r="S71" s="82">
        <f>IF($A71="","",$H71+$N71)</f>
        <v/>
      </c>
      <c r="T71" s="82">
        <f>IF($A71="","",$I71+$O71)</f>
        <v/>
      </c>
      <c r="U71" s="82">
        <f>IF($A71="","",$S71+$T71)</f>
        <v/>
      </c>
      <c r="V71" s="82">
        <f>IF($A71="","",INDEX(DM_DDK621,58)+INDEX(DM_DDK622,58)+INDEX(DM_DDK623,58)+INDEX(DM_DDK627,58))</f>
        <v/>
      </c>
      <c r="W71" s="82">
        <f>IF($A71="","",SUMIFS(L_ST,L_Ma,$A71,L_KM,"Phế liệu thu hồi",L_Ngay,"&gt;="&amp;pTu,L_Ngay,"&lt;="&amp;pDen))</f>
        <v/>
      </c>
      <c r="X71" s="82">
        <f>IF($A71="","",SUMIFS(L_ST,L_Ma,$A71,L_KM,"SP hỏng ngoài định mức",L_Ngay,"&gt;="&amp;pTu,L_Ngay,"&lt;="&amp;pDen))</f>
        <v/>
      </c>
      <c r="Y71" s="82">
        <f>IF($A71="","",$P71+$Q71+$R71+$U71)</f>
        <v/>
      </c>
      <c r="Z71" s="82">
        <f>IF($A71="","",IF($D71="Đang thực hiện",$V71+$Y71,CHOOSE(MATCH(pDoDang,LST_DoDang,0),$AE71,$AF71,$AG71)))</f>
        <v/>
      </c>
      <c r="AA71" s="82">
        <f>IF($A71="","",$V71+$Y71-$Z71-$W71-$X71)</f>
        <v/>
      </c>
      <c r="AB71" s="82">
        <f>IF($A71="","",INDEX(DM_SLHT,58))</f>
        <v/>
      </c>
      <c r="AC71" s="82">
        <f>IF($A71="","",IF($AB71&lt;=0,"⚠ CHƯA CÓ SL",ROUND($AA71/$AB71,0)))</f>
        <v/>
      </c>
      <c r="AE71" s="88">
        <f>IF($A71="","",IFERROR((INDEX(DM_DDK621,58)+$P71)/($AB71+INDEX(DM_SLDD,58))*INDEX(DM_SLDD,58),0))</f>
        <v/>
      </c>
      <c r="AF71" s="88">
        <f>IF($A71="","",IFERROR((INDEX(DM_DDK621,58)+$P71)/($AB71+INDEX(DM_SLDD,58))*INDEX(DM_SLDD,58),0)+IFERROR((INDEX(DM_DDK622,58)+$Q71)/($AB71+INDEX(DM_SLDD,58)*INDEX(DM_Pct,58))*(INDEX(DM_SLDD,58)*INDEX(DM_Pct,58)),0)+IFERROR((INDEX(DM_DDK623,58)+$R71)/($AB71+INDEX(DM_SLDD,58)*INDEX(DM_Pct,58))*(INDEX(DM_SLDD,58)*INDEX(DM_Pct,58)),0)+IFERROR((INDEX(DM_DDK627,58)+$U71)/($AB71+INDEX(DM_SLDD,58)*INDEX(DM_Pct,58))*(INDEX(DM_SLDD,58)*INDEX(DM_Pct,58)),0))</f>
        <v/>
      </c>
      <c r="AG71" s="88">
        <f>IF($A71="","",INDEX(DM_SLDD,58)*INDEX(DM_DGDinhMuc,58))</f>
        <v/>
      </c>
      <c r="AH71" s="88">
        <f>IF($A71="",0,IF(AND(ISNUMBER($AA71),$AA71&gt;0,$AB71&lt;=0),1,0))</f>
        <v/>
      </c>
      <c r="AI71" s="88">
        <f>IF($A71="",0,IF(AND(ISNUMBER($Z71),$Z71&lt;0),1,0))</f>
        <v/>
      </c>
      <c r="AJ71" s="88">
        <f>IF($A71="",0,IF(AND(ISNUMBER($AA71),$AA71&lt;0),1,0))</f>
        <v/>
      </c>
    </row>
    <row r="72" ht="15" customHeight="1" s="54">
      <c r="A72" s="80">
        <f>IF(INDEX(DM_Ma,59)="","",INDEX(DM_Ma,59))</f>
        <v/>
      </c>
      <c r="B72" s="80">
        <f>IF($A72="","",INDEX(DM_Ten,59))</f>
        <v/>
      </c>
      <c r="C72" s="80">
        <f>IF($A72="","",INDEX(DM_Loai,59))</f>
        <v/>
      </c>
      <c r="D72" s="80">
        <f>IF($A72="","",INDEX(DM_TrangThai,59))</f>
        <v/>
      </c>
      <c r="E72" s="82">
        <f>IF($A72="","",SUMIFS(L_ST,L_Ma,$A72,L_KM,"NVL trực tiếp (621)",L_TT,"Trực tiếp",L_Ngay,"&gt;="&amp;pTu,L_Ngay,"&lt;="&amp;pDen))</f>
        <v/>
      </c>
      <c r="F72" s="82">
        <f>IF($A72="","",SUMIFS(L_ST,L_Ma,$A72,L_KM,"Nhân công trực tiếp (622)",L_TT,"Trực tiếp",L_Ngay,"&gt;="&amp;pTu,L_Ngay,"&lt;="&amp;pDen))</f>
        <v/>
      </c>
      <c r="G72" s="82">
        <f>IF($A72="","",SUMIFS(L_ST,L_Ma,$A72,L_KM,"Máy thi công (623)",L_TT,"Trực tiếp",L_Ngay,"&gt;="&amp;pTu,L_Ngay,"&lt;="&amp;pDen))</f>
        <v/>
      </c>
      <c r="H72" s="82">
        <f>IF($A72="","",SUMIFS(L_ST,L_Ma,$A72,L_KM,"SXC (627)",L_TT,"Trực tiếp",L_Tinh,"Biến đổi",L_Ngay,"&gt;="&amp;pTu,L_Ngay,"&lt;="&amp;pDen))</f>
        <v/>
      </c>
      <c r="I72" s="82">
        <f>IF($A72="","",SUMIFS(L_ST,L_Ma,$A72,L_KM,"SXC (627)",L_TT,"Trực tiếp",L_Tinh,"Cố định",L_Ngay,"&gt;="&amp;pTu,L_Ngay,"&lt;="&amp;pDen))</f>
        <v/>
      </c>
      <c r="J72" s="82">
        <f>IF($A72="","",CHOOSE(MATCH(pTieuThuc,LST_TieuThuc,0),$E72,$F72,INDEX(DM_GioMay,59),INDEX(DM_GioCong,59),INDEX(DM_SLHT,59),INDEX(DM_DThu,59),INDEX(DM_TieuKhac,59)))</f>
        <v/>
      </c>
      <c r="K72" s="82">
        <f>IF($A72="","",IF(tBase=0,0,$J72/tBase*pool621))</f>
        <v/>
      </c>
      <c r="L72" s="82">
        <f>IF($A72="","",IF(tBase=0,0,$J72/tBase*pool622))</f>
        <v/>
      </c>
      <c r="M72" s="82">
        <f>IF($A72="","",IF(tBase=0,0,$J72/tBase*pool623))</f>
        <v/>
      </c>
      <c r="N72" s="82">
        <f>IF($A72="","",IF(tBase=0,0,$J72/tBase*pool627BD))</f>
        <v/>
      </c>
      <c r="O72" s="82">
        <f>IF($A72="","",IF(tBase=0,0,$J72/tBase*t627CDabs))</f>
        <v/>
      </c>
      <c r="P72" s="82">
        <f>IF($A72="","",$E72+$K72)</f>
        <v/>
      </c>
      <c r="Q72" s="82">
        <f>IF($A72="","",$F72+$L72)</f>
        <v/>
      </c>
      <c r="R72" s="82">
        <f>IF($A72="","",$G72+$M72)</f>
        <v/>
      </c>
      <c r="S72" s="82">
        <f>IF($A72="","",$H72+$N72)</f>
        <v/>
      </c>
      <c r="T72" s="82">
        <f>IF($A72="","",$I72+$O72)</f>
        <v/>
      </c>
      <c r="U72" s="82">
        <f>IF($A72="","",$S72+$T72)</f>
        <v/>
      </c>
      <c r="V72" s="82">
        <f>IF($A72="","",INDEX(DM_DDK621,59)+INDEX(DM_DDK622,59)+INDEX(DM_DDK623,59)+INDEX(DM_DDK627,59))</f>
        <v/>
      </c>
      <c r="W72" s="82">
        <f>IF($A72="","",SUMIFS(L_ST,L_Ma,$A72,L_KM,"Phế liệu thu hồi",L_Ngay,"&gt;="&amp;pTu,L_Ngay,"&lt;="&amp;pDen))</f>
        <v/>
      </c>
      <c r="X72" s="82">
        <f>IF($A72="","",SUMIFS(L_ST,L_Ma,$A72,L_KM,"SP hỏng ngoài định mức",L_Ngay,"&gt;="&amp;pTu,L_Ngay,"&lt;="&amp;pDen))</f>
        <v/>
      </c>
      <c r="Y72" s="82">
        <f>IF($A72="","",$P72+$Q72+$R72+$U72)</f>
        <v/>
      </c>
      <c r="Z72" s="82">
        <f>IF($A72="","",IF($D72="Đang thực hiện",$V72+$Y72,CHOOSE(MATCH(pDoDang,LST_DoDang,0),$AE72,$AF72,$AG72)))</f>
        <v/>
      </c>
      <c r="AA72" s="82">
        <f>IF($A72="","",$V72+$Y72-$Z72-$W72-$X72)</f>
        <v/>
      </c>
      <c r="AB72" s="82">
        <f>IF($A72="","",INDEX(DM_SLHT,59))</f>
        <v/>
      </c>
      <c r="AC72" s="82">
        <f>IF($A72="","",IF($AB72&lt;=0,"⚠ CHƯA CÓ SL",ROUND($AA72/$AB72,0)))</f>
        <v/>
      </c>
      <c r="AE72" s="88">
        <f>IF($A72="","",IFERROR((INDEX(DM_DDK621,59)+$P72)/($AB72+INDEX(DM_SLDD,59))*INDEX(DM_SLDD,59),0))</f>
        <v/>
      </c>
      <c r="AF72" s="88">
        <f>IF($A72="","",IFERROR((INDEX(DM_DDK621,59)+$P72)/($AB72+INDEX(DM_SLDD,59))*INDEX(DM_SLDD,59),0)+IFERROR((INDEX(DM_DDK622,59)+$Q72)/($AB72+INDEX(DM_SLDD,59)*INDEX(DM_Pct,59))*(INDEX(DM_SLDD,59)*INDEX(DM_Pct,59)),0)+IFERROR((INDEX(DM_DDK623,59)+$R72)/($AB72+INDEX(DM_SLDD,59)*INDEX(DM_Pct,59))*(INDEX(DM_SLDD,59)*INDEX(DM_Pct,59)),0)+IFERROR((INDEX(DM_DDK627,59)+$U72)/($AB72+INDEX(DM_SLDD,59)*INDEX(DM_Pct,59))*(INDEX(DM_SLDD,59)*INDEX(DM_Pct,59)),0))</f>
        <v/>
      </c>
      <c r="AG72" s="88">
        <f>IF($A72="","",INDEX(DM_SLDD,59)*INDEX(DM_DGDinhMuc,59))</f>
        <v/>
      </c>
      <c r="AH72" s="88">
        <f>IF($A72="",0,IF(AND(ISNUMBER($AA72),$AA72&gt;0,$AB72&lt;=0),1,0))</f>
        <v/>
      </c>
      <c r="AI72" s="88">
        <f>IF($A72="",0,IF(AND(ISNUMBER($Z72),$Z72&lt;0),1,0))</f>
        <v/>
      </c>
      <c r="AJ72" s="88">
        <f>IF($A72="",0,IF(AND(ISNUMBER($AA72),$AA72&lt;0),1,0))</f>
        <v/>
      </c>
    </row>
    <row r="73" ht="15" customHeight="1" s="54">
      <c r="A73" s="80">
        <f>IF(INDEX(DM_Ma,60)="","",INDEX(DM_Ma,60))</f>
        <v/>
      </c>
      <c r="B73" s="80">
        <f>IF($A73="","",INDEX(DM_Ten,60))</f>
        <v/>
      </c>
      <c r="C73" s="80">
        <f>IF($A73="","",INDEX(DM_Loai,60))</f>
        <v/>
      </c>
      <c r="D73" s="80">
        <f>IF($A73="","",INDEX(DM_TrangThai,60))</f>
        <v/>
      </c>
      <c r="E73" s="82">
        <f>IF($A73="","",SUMIFS(L_ST,L_Ma,$A73,L_KM,"NVL trực tiếp (621)",L_TT,"Trực tiếp",L_Ngay,"&gt;="&amp;pTu,L_Ngay,"&lt;="&amp;pDen))</f>
        <v/>
      </c>
      <c r="F73" s="82">
        <f>IF($A73="","",SUMIFS(L_ST,L_Ma,$A73,L_KM,"Nhân công trực tiếp (622)",L_TT,"Trực tiếp",L_Ngay,"&gt;="&amp;pTu,L_Ngay,"&lt;="&amp;pDen))</f>
        <v/>
      </c>
      <c r="G73" s="82">
        <f>IF($A73="","",SUMIFS(L_ST,L_Ma,$A73,L_KM,"Máy thi công (623)",L_TT,"Trực tiếp",L_Ngay,"&gt;="&amp;pTu,L_Ngay,"&lt;="&amp;pDen))</f>
        <v/>
      </c>
      <c r="H73" s="82">
        <f>IF($A73="","",SUMIFS(L_ST,L_Ma,$A73,L_KM,"SXC (627)",L_TT,"Trực tiếp",L_Tinh,"Biến đổi",L_Ngay,"&gt;="&amp;pTu,L_Ngay,"&lt;="&amp;pDen))</f>
        <v/>
      </c>
      <c r="I73" s="82">
        <f>IF($A73="","",SUMIFS(L_ST,L_Ma,$A73,L_KM,"SXC (627)",L_TT,"Trực tiếp",L_Tinh,"Cố định",L_Ngay,"&gt;="&amp;pTu,L_Ngay,"&lt;="&amp;pDen))</f>
        <v/>
      </c>
      <c r="J73" s="82">
        <f>IF($A73="","",CHOOSE(MATCH(pTieuThuc,LST_TieuThuc,0),$E73,$F73,INDEX(DM_GioMay,60),INDEX(DM_GioCong,60),INDEX(DM_SLHT,60),INDEX(DM_DThu,60),INDEX(DM_TieuKhac,60)))</f>
        <v/>
      </c>
      <c r="K73" s="82">
        <f>IF($A73="","",IF(tBase=0,0,$J73/tBase*pool621))</f>
        <v/>
      </c>
      <c r="L73" s="82">
        <f>IF($A73="","",IF(tBase=0,0,$J73/tBase*pool622))</f>
        <v/>
      </c>
      <c r="M73" s="82">
        <f>IF($A73="","",IF(tBase=0,0,$J73/tBase*pool623))</f>
        <v/>
      </c>
      <c r="N73" s="82">
        <f>IF($A73="","",IF(tBase=0,0,$J73/tBase*pool627BD))</f>
        <v/>
      </c>
      <c r="O73" s="82">
        <f>IF($A73="","",IF(tBase=0,0,$J73/tBase*t627CDabs))</f>
        <v/>
      </c>
      <c r="P73" s="82">
        <f>IF($A73="","",$E73+$K73)</f>
        <v/>
      </c>
      <c r="Q73" s="82">
        <f>IF($A73="","",$F73+$L73)</f>
        <v/>
      </c>
      <c r="R73" s="82">
        <f>IF($A73="","",$G73+$M73)</f>
        <v/>
      </c>
      <c r="S73" s="82">
        <f>IF($A73="","",$H73+$N73)</f>
        <v/>
      </c>
      <c r="T73" s="82">
        <f>IF($A73="","",$I73+$O73)</f>
        <v/>
      </c>
      <c r="U73" s="82">
        <f>IF($A73="","",$S73+$T73)</f>
        <v/>
      </c>
      <c r="V73" s="82">
        <f>IF($A73="","",INDEX(DM_DDK621,60)+INDEX(DM_DDK622,60)+INDEX(DM_DDK623,60)+INDEX(DM_DDK627,60))</f>
        <v/>
      </c>
      <c r="W73" s="82">
        <f>IF($A73="","",SUMIFS(L_ST,L_Ma,$A73,L_KM,"Phế liệu thu hồi",L_Ngay,"&gt;="&amp;pTu,L_Ngay,"&lt;="&amp;pDen))</f>
        <v/>
      </c>
      <c r="X73" s="82">
        <f>IF($A73="","",SUMIFS(L_ST,L_Ma,$A73,L_KM,"SP hỏng ngoài định mức",L_Ngay,"&gt;="&amp;pTu,L_Ngay,"&lt;="&amp;pDen))</f>
        <v/>
      </c>
      <c r="Y73" s="82">
        <f>IF($A73="","",$P73+$Q73+$R73+$U73)</f>
        <v/>
      </c>
      <c r="Z73" s="82">
        <f>IF($A73="","",IF($D73="Đang thực hiện",$V73+$Y73,CHOOSE(MATCH(pDoDang,LST_DoDang,0),$AE73,$AF73,$AG73)))</f>
        <v/>
      </c>
      <c r="AA73" s="82">
        <f>IF($A73="","",$V73+$Y73-$Z73-$W73-$X73)</f>
        <v/>
      </c>
      <c r="AB73" s="82">
        <f>IF($A73="","",INDEX(DM_SLHT,60))</f>
        <v/>
      </c>
      <c r="AC73" s="82">
        <f>IF($A73="","",IF($AB73&lt;=0,"⚠ CHƯA CÓ SL",ROUND($AA73/$AB73,0)))</f>
        <v/>
      </c>
      <c r="AE73" s="88">
        <f>IF($A73="","",IFERROR((INDEX(DM_DDK621,60)+$P73)/($AB73+INDEX(DM_SLDD,60))*INDEX(DM_SLDD,60),0))</f>
        <v/>
      </c>
      <c r="AF73" s="88">
        <f>IF($A73="","",IFERROR((INDEX(DM_DDK621,60)+$P73)/($AB73+INDEX(DM_SLDD,60))*INDEX(DM_SLDD,60),0)+IFERROR((INDEX(DM_DDK622,60)+$Q73)/($AB73+INDEX(DM_SLDD,60)*INDEX(DM_Pct,60))*(INDEX(DM_SLDD,60)*INDEX(DM_Pct,60)),0)+IFERROR((INDEX(DM_DDK623,60)+$R73)/($AB73+INDEX(DM_SLDD,60)*INDEX(DM_Pct,60))*(INDEX(DM_SLDD,60)*INDEX(DM_Pct,60)),0)+IFERROR((INDEX(DM_DDK627,60)+$U73)/($AB73+INDEX(DM_SLDD,60)*INDEX(DM_Pct,60))*(INDEX(DM_SLDD,60)*INDEX(DM_Pct,60)),0))</f>
        <v/>
      </c>
      <c r="AG73" s="88">
        <f>IF($A73="","",INDEX(DM_SLDD,60)*INDEX(DM_DGDinhMuc,60))</f>
        <v/>
      </c>
      <c r="AH73" s="88">
        <f>IF($A73="",0,IF(AND(ISNUMBER($AA73),$AA73&gt;0,$AB73&lt;=0),1,0))</f>
        <v/>
      </c>
      <c r="AI73" s="88">
        <f>IF($A73="",0,IF(AND(ISNUMBER($Z73),$Z73&lt;0),1,0))</f>
        <v/>
      </c>
      <c r="AJ73" s="88">
        <f>IF($A73="",0,IF(AND(ISNUMBER($AA73),$AA73&lt;0),1,0))</f>
        <v/>
      </c>
    </row>
    <row r="74" ht="15" customHeight="1" s="54">
      <c r="A74" s="80">
        <f>IF(INDEX(DM_Ma,61)="","",INDEX(DM_Ma,61))</f>
        <v/>
      </c>
      <c r="B74" s="80">
        <f>IF($A74="","",INDEX(DM_Ten,61))</f>
        <v/>
      </c>
      <c r="C74" s="80">
        <f>IF($A74="","",INDEX(DM_Loai,61))</f>
        <v/>
      </c>
      <c r="D74" s="80">
        <f>IF($A74="","",INDEX(DM_TrangThai,61))</f>
        <v/>
      </c>
      <c r="E74" s="82">
        <f>IF($A74="","",SUMIFS(L_ST,L_Ma,$A74,L_KM,"NVL trực tiếp (621)",L_TT,"Trực tiếp",L_Ngay,"&gt;="&amp;pTu,L_Ngay,"&lt;="&amp;pDen))</f>
        <v/>
      </c>
      <c r="F74" s="82">
        <f>IF($A74="","",SUMIFS(L_ST,L_Ma,$A74,L_KM,"Nhân công trực tiếp (622)",L_TT,"Trực tiếp",L_Ngay,"&gt;="&amp;pTu,L_Ngay,"&lt;="&amp;pDen))</f>
        <v/>
      </c>
      <c r="G74" s="82">
        <f>IF($A74="","",SUMIFS(L_ST,L_Ma,$A74,L_KM,"Máy thi công (623)",L_TT,"Trực tiếp",L_Ngay,"&gt;="&amp;pTu,L_Ngay,"&lt;="&amp;pDen))</f>
        <v/>
      </c>
      <c r="H74" s="82">
        <f>IF($A74="","",SUMIFS(L_ST,L_Ma,$A74,L_KM,"SXC (627)",L_TT,"Trực tiếp",L_Tinh,"Biến đổi",L_Ngay,"&gt;="&amp;pTu,L_Ngay,"&lt;="&amp;pDen))</f>
        <v/>
      </c>
      <c r="I74" s="82">
        <f>IF($A74="","",SUMIFS(L_ST,L_Ma,$A74,L_KM,"SXC (627)",L_TT,"Trực tiếp",L_Tinh,"Cố định",L_Ngay,"&gt;="&amp;pTu,L_Ngay,"&lt;="&amp;pDen))</f>
        <v/>
      </c>
      <c r="J74" s="82">
        <f>IF($A74="","",CHOOSE(MATCH(pTieuThuc,LST_TieuThuc,0),$E74,$F74,INDEX(DM_GioMay,61),INDEX(DM_GioCong,61),INDEX(DM_SLHT,61),INDEX(DM_DThu,61),INDEX(DM_TieuKhac,61)))</f>
        <v/>
      </c>
      <c r="K74" s="82">
        <f>IF($A74="","",IF(tBase=0,0,$J74/tBase*pool621))</f>
        <v/>
      </c>
      <c r="L74" s="82">
        <f>IF($A74="","",IF(tBase=0,0,$J74/tBase*pool622))</f>
        <v/>
      </c>
      <c r="M74" s="82">
        <f>IF($A74="","",IF(tBase=0,0,$J74/tBase*pool623))</f>
        <v/>
      </c>
      <c r="N74" s="82">
        <f>IF($A74="","",IF(tBase=0,0,$J74/tBase*pool627BD))</f>
        <v/>
      </c>
      <c r="O74" s="82">
        <f>IF($A74="","",IF(tBase=0,0,$J74/tBase*t627CDabs))</f>
        <v/>
      </c>
      <c r="P74" s="82">
        <f>IF($A74="","",$E74+$K74)</f>
        <v/>
      </c>
      <c r="Q74" s="82">
        <f>IF($A74="","",$F74+$L74)</f>
        <v/>
      </c>
      <c r="R74" s="82">
        <f>IF($A74="","",$G74+$M74)</f>
        <v/>
      </c>
      <c r="S74" s="82">
        <f>IF($A74="","",$H74+$N74)</f>
        <v/>
      </c>
      <c r="T74" s="82">
        <f>IF($A74="","",$I74+$O74)</f>
        <v/>
      </c>
      <c r="U74" s="82">
        <f>IF($A74="","",$S74+$T74)</f>
        <v/>
      </c>
      <c r="V74" s="82">
        <f>IF($A74="","",INDEX(DM_DDK621,61)+INDEX(DM_DDK622,61)+INDEX(DM_DDK623,61)+INDEX(DM_DDK627,61))</f>
        <v/>
      </c>
      <c r="W74" s="82">
        <f>IF($A74="","",SUMIFS(L_ST,L_Ma,$A74,L_KM,"Phế liệu thu hồi",L_Ngay,"&gt;="&amp;pTu,L_Ngay,"&lt;="&amp;pDen))</f>
        <v/>
      </c>
      <c r="X74" s="82">
        <f>IF($A74="","",SUMIFS(L_ST,L_Ma,$A74,L_KM,"SP hỏng ngoài định mức",L_Ngay,"&gt;="&amp;pTu,L_Ngay,"&lt;="&amp;pDen))</f>
        <v/>
      </c>
      <c r="Y74" s="82">
        <f>IF($A74="","",$P74+$Q74+$R74+$U74)</f>
        <v/>
      </c>
      <c r="Z74" s="82">
        <f>IF($A74="","",IF($D74="Đang thực hiện",$V74+$Y74,CHOOSE(MATCH(pDoDang,LST_DoDang,0),$AE74,$AF74,$AG74)))</f>
        <v/>
      </c>
      <c r="AA74" s="82">
        <f>IF($A74="","",$V74+$Y74-$Z74-$W74-$X74)</f>
        <v/>
      </c>
      <c r="AB74" s="82">
        <f>IF($A74="","",INDEX(DM_SLHT,61))</f>
        <v/>
      </c>
      <c r="AC74" s="82">
        <f>IF($A74="","",IF($AB74&lt;=0,"⚠ CHƯA CÓ SL",ROUND($AA74/$AB74,0)))</f>
        <v/>
      </c>
      <c r="AE74" s="88">
        <f>IF($A74="","",IFERROR((INDEX(DM_DDK621,61)+$P74)/($AB74+INDEX(DM_SLDD,61))*INDEX(DM_SLDD,61),0))</f>
        <v/>
      </c>
      <c r="AF74" s="88">
        <f>IF($A74="","",IFERROR((INDEX(DM_DDK621,61)+$P74)/($AB74+INDEX(DM_SLDD,61))*INDEX(DM_SLDD,61),0)+IFERROR((INDEX(DM_DDK622,61)+$Q74)/($AB74+INDEX(DM_SLDD,61)*INDEX(DM_Pct,61))*(INDEX(DM_SLDD,61)*INDEX(DM_Pct,61)),0)+IFERROR((INDEX(DM_DDK623,61)+$R74)/($AB74+INDEX(DM_SLDD,61)*INDEX(DM_Pct,61))*(INDEX(DM_SLDD,61)*INDEX(DM_Pct,61)),0)+IFERROR((INDEX(DM_DDK627,61)+$U74)/($AB74+INDEX(DM_SLDD,61)*INDEX(DM_Pct,61))*(INDEX(DM_SLDD,61)*INDEX(DM_Pct,61)),0))</f>
        <v/>
      </c>
      <c r="AG74" s="88">
        <f>IF($A74="","",INDEX(DM_SLDD,61)*INDEX(DM_DGDinhMuc,61))</f>
        <v/>
      </c>
      <c r="AH74" s="88">
        <f>IF($A74="",0,IF(AND(ISNUMBER($AA74),$AA74&gt;0,$AB74&lt;=0),1,0))</f>
        <v/>
      </c>
      <c r="AI74" s="88">
        <f>IF($A74="",0,IF(AND(ISNUMBER($Z74),$Z74&lt;0),1,0))</f>
        <v/>
      </c>
      <c r="AJ74" s="88">
        <f>IF($A74="",0,IF(AND(ISNUMBER($AA74),$AA74&lt;0),1,0))</f>
        <v/>
      </c>
    </row>
    <row r="75" ht="15" customHeight="1" s="54">
      <c r="A75" s="80">
        <f>IF(INDEX(DM_Ma,62)="","",INDEX(DM_Ma,62))</f>
        <v/>
      </c>
      <c r="B75" s="80">
        <f>IF($A75="","",INDEX(DM_Ten,62))</f>
        <v/>
      </c>
      <c r="C75" s="80">
        <f>IF($A75="","",INDEX(DM_Loai,62))</f>
        <v/>
      </c>
      <c r="D75" s="80">
        <f>IF($A75="","",INDEX(DM_TrangThai,62))</f>
        <v/>
      </c>
      <c r="E75" s="82">
        <f>IF($A75="","",SUMIFS(L_ST,L_Ma,$A75,L_KM,"NVL trực tiếp (621)",L_TT,"Trực tiếp",L_Ngay,"&gt;="&amp;pTu,L_Ngay,"&lt;="&amp;pDen))</f>
        <v/>
      </c>
      <c r="F75" s="82">
        <f>IF($A75="","",SUMIFS(L_ST,L_Ma,$A75,L_KM,"Nhân công trực tiếp (622)",L_TT,"Trực tiếp",L_Ngay,"&gt;="&amp;pTu,L_Ngay,"&lt;="&amp;pDen))</f>
        <v/>
      </c>
      <c r="G75" s="82">
        <f>IF($A75="","",SUMIFS(L_ST,L_Ma,$A75,L_KM,"Máy thi công (623)",L_TT,"Trực tiếp",L_Ngay,"&gt;="&amp;pTu,L_Ngay,"&lt;="&amp;pDen))</f>
        <v/>
      </c>
      <c r="H75" s="82">
        <f>IF($A75="","",SUMIFS(L_ST,L_Ma,$A75,L_KM,"SXC (627)",L_TT,"Trực tiếp",L_Tinh,"Biến đổi",L_Ngay,"&gt;="&amp;pTu,L_Ngay,"&lt;="&amp;pDen))</f>
        <v/>
      </c>
      <c r="I75" s="82">
        <f>IF($A75="","",SUMIFS(L_ST,L_Ma,$A75,L_KM,"SXC (627)",L_TT,"Trực tiếp",L_Tinh,"Cố định",L_Ngay,"&gt;="&amp;pTu,L_Ngay,"&lt;="&amp;pDen))</f>
        <v/>
      </c>
      <c r="J75" s="82">
        <f>IF($A75="","",CHOOSE(MATCH(pTieuThuc,LST_TieuThuc,0),$E75,$F75,INDEX(DM_GioMay,62),INDEX(DM_GioCong,62),INDEX(DM_SLHT,62),INDEX(DM_DThu,62),INDEX(DM_TieuKhac,62)))</f>
        <v/>
      </c>
      <c r="K75" s="82">
        <f>IF($A75="","",IF(tBase=0,0,$J75/tBase*pool621))</f>
        <v/>
      </c>
      <c r="L75" s="82">
        <f>IF($A75="","",IF(tBase=0,0,$J75/tBase*pool622))</f>
        <v/>
      </c>
      <c r="M75" s="82">
        <f>IF($A75="","",IF(tBase=0,0,$J75/tBase*pool623))</f>
        <v/>
      </c>
      <c r="N75" s="82">
        <f>IF($A75="","",IF(tBase=0,0,$J75/tBase*pool627BD))</f>
        <v/>
      </c>
      <c r="O75" s="82">
        <f>IF($A75="","",IF(tBase=0,0,$J75/tBase*t627CDabs))</f>
        <v/>
      </c>
      <c r="P75" s="82">
        <f>IF($A75="","",$E75+$K75)</f>
        <v/>
      </c>
      <c r="Q75" s="82">
        <f>IF($A75="","",$F75+$L75)</f>
        <v/>
      </c>
      <c r="R75" s="82">
        <f>IF($A75="","",$G75+$M75)</f>
        <v/>
      </c>
      <c r="S75" s="82">
        <f>IF($A75="","",$H75+$N75)</f>
        <v/>
      </c>
      <c r="T75" s="82">
        <f>IF($A75="","",$I75+$O75)</f>
        <v/>
      </c>
      <c r="U75" s="82">
        <f>IF($A75="","",$S75+$T75)</f>
        <v/>
      </c>
      <c r="V75" s="82">
        <f>IF($A75="","",INDEX(DM_DDK621,62)+INDEX(DM_DDK622,62)+INDEX(DM_DDK623,62)+INDEX(DM_DDK627,62))</f>
        <v/>
      </c>
      <c r="W75" s="82">
        <f>IF($A75="","",SUMIFS(L_ST,L_Ma,$A75,L_KM,"Phế liệu thu hồi",L_Ngay,"&gt;="&amp;pTu,L_Ngay,"&lt;="&amp;pDen))</f>
        <v/>
      </c>
      <c r="X75" s="82">
        <f>IF($A75="","",SUMIFS(L_ST,L_Ma,$A75,L_KM,"SP hỏng ngoài định mức",L_Ngay,"&gt;="&amp;pTu,L_Ngay,"&lt;="&amp;pDen))</f>
        <v/>
      </c>
      <c r="Y75" s="82">
        <f>IF($A75="","",$P75+$Q75+$R75+$U75)</f>
        <v/>
      </c>
      <c r="Z75" s="82">
        <f>IF($A75="","",IF($D75="Đang thực hiện",$V75+$Y75,CHOOSE(MATCH(pDoDang,LST_DoDang,0),$AE75,$AF75,$AG75)))</f>
        <v/>
      </c>
      <c r="AA75" s="82">
        <f>IF($A75="","",$V75+$Y75-$Z75-$W75-$X75)</f>
        <v/>
      </c>
      <c r="AB75" s="82">
        <f>IF($A75="","",INDEX(DM_SLHT,62))</f>
        <v/>
      </c>
      <c r="AC75" s="82">
        <f>IF($A75="","",IF($AB75&lt;=0,"⚠ CHƯA CÓ SL",ROUND($AA75/$AB75,0)))</f>
        <v/>
      </c>
      <c r="AE75" s="88">
        <f>IF($A75="","",IFERROR((INDEX(DM_DDK621,62)+$P75)/($AB75+INDEX(DM_SLDD,62))*INDEX(DM_SLDD,62),0))</f>
        <v/>
      </c>
      <c r="AF75" s="88">
        <f>IF($A75="","",IFERROR((INDEX(DM_DDK621,62)+$P75)/($AB75+INDEX(DM_SLDD,62))*INDEX(DM_SLDD,62),0)+IFERROR((INDEX(DM_DDK622,62)+$Q75)/($AB75+INDEX(DM_SLDD,62)*INDEX(DM_Pct,62))*(INDEX(DM_SLDD,62)*INDEX(DM_Pct,62)),0)+IFERROR((INDEX(DM_DDK623,62)+$R75)/($AB75+INDEX(DM_SLDD,62)*INDEX(DM_Pct,62))*(INDEX(DM_SLDD,62)*INDEX(DM_Pct,62)),0)+IFERROR((INDEX(DM_DDK627,62)+$U75)/($AB75+INDEX(DM_SLDD,62)*INDEX(DM_Pct,62))*(INDEX(DM_SLDD,62)*INDEX(DM_Pct,62)),0))</f>
        <v/>
      </c>
      <c r="AG75" s="88">
        <f>IF($A75="","",INDEX(DM_SLDD,62)*INDEX(DM_DGDinhMuc,62))</f>
        <v/>
      </c>
      <c r="AH75" s="88">
        <f>IF($A75="",0,IF(AND(ISNUMBER($AA75),$AA75&gt;0,$AB75&lt;=0),1,0))</f>
        <v/>
      </c>
      <c r="AI75" s="88">
        <f>IF($A75="",0,IF(AND(ISNUMBER($Z75),$Z75&lt;0),1,0))</f>
        <v/>
      </c>
      <c r="AJ75" s="88">
        <f>IF($A75="",0,IF(AND(ISNUMBER($AA75),$AA75&lt;0),1,0))</f>
        <v/>
      </c>
    </row>
    <row r="76" ht="15" customHeight="1" s="54">
      <c r="A76" s="80">
        <f>IF(INDEX(DM_Ma,63)="","",INDEX(DM_Ma,63))</f>
        <v/>
      </c>
      <c r="B76" s="80">
        <f>IF($A76="","",INDEX(DM_Ten,63))</f>
        <v/>
      </c>
      <c r="C76" s="80">
        <f>IF($A76="","",INDEX(DM_Loai,63))</f>
        <v/>
      </c>
      <c r="D76" s="80">
        <f>IF($A76="","",INDEX(DM_TrangThai,63))</f>
        <v/>
      </c>
      <c r="E76" s="82">
        <f>IF($A76="","",SUMIFS(L_ST,L_Ma,$A76,L_KM,"NVL trực tiếp (621)",L_TT,"Trực tiếp",L_Ngay,"&gt;="&amp;pTu,L_Ngay,"&lt;="&amp;pDen))</f>
        <v/>
      </c>
      <c r="F76" s="82">
        <f>IF($A76="","",SUMIFS(L_ST,L_Ma,$A76,L_KM,"Nhân công trực tiếp (622)",L_TT,"Trực tiếp",L_Ngay,"&gt;="&amp;pTu,L_Ngay,"&lt;="&amp;pDen))</f>
        <v/>
      </c>
      <c r="G76" s="82">
        <f>IF($A76="","",SUMIFS(L_ST,L_Ma,$A76,L_KM,"Máy thi công (623)",L_TT,"Trực tiếp",L_Ngay,"&gt;="&amp;pTu,L_Ngay,"&lt;="&amp;pDen))</f>
        <v/>
      </c>
      <c r="H76" s="82">
        <f>IF($A76="","",SUMIFS(L_ST,L_Ma,$A76,L_KM,"SXC (627)",L_TT,"Trực tiếp",L_Tinh,"Biến đổi",L_Ngay,"&gt;="&amp;pTu,L_Ngay,"&lt;="&amp;pDen))</f>
        <v/>
      </c>
      <c r="I76" s="82">
        <f>IF($A76="","",SUMIFS(L_ST,L_Ma,$A76,L_KM,"SXC (627)",L_TT,"Trực tiếp",L_Tinh,"Cố định",L_Ngay,"&gt;="&amp;pTu,L_Ngay,"&lt;="&amp;pDen))</f>
        <v/>
      </c>
      <c r="J76" s="82">
        <f>IF($A76="","",CHOOSE(MATCH(pTieuThuc,LST_TieuThuc,0),$E76,$F76,INDEX(DM_GioMay,63),INDEX(DM_GioCong,63),INDEX(DM_SLHT,63),INDEX(DM_DThu,63),INDEX(DM_TieuKhac,63)))</f>
        <v/>
      </c>
      <c r="K76" s="82">
        <f>IF($A76="","",IF(tBase=0,0,$J76/tBase*pool621))</f>
        <v/>
      </c>
      <c r="L76" s="82">
        <f>IF($A76="","",IF(tBase=0,0,$J76/tBase*pool622))</f>
        <v/>
      </c>
      <c r="M76" s="82">
        <f>IF($A76="","",IF(tBase=0,0,$J76/tBase*pool623))</f>
        <v/>
      </c>
      <c r="N76" s="82">
        <f>IF($A76="","",IF(tBase=0,0,$J76/tBase*pool627BD))</f>
        <v/>
      </c>
      <c r="O76" s="82">
        <f>IF($A76="","",IF(tBase=0,0,$J76/tBase*t627CDabs))</f>
        <v/>
      </c>
      <c r="P76" s="82">
        <f>IF($A76="","",$E76+$K76)</f>
        <v/>
      </c>
      <c r="Q76" s="82">
        <f>IF($A76="","",$F76+$L76)</f>
        <v/>
      </c>
      <c r="R76" s="82">
        <f>IF($A76="","",$G76+$M76)</f>
        <v/>
      </c>
      <c r="S76" s="82">
        <f>IF($A76="","",$H76+$N76)</f>
        <v/>
      </c>
      <c r="T76" s="82">
        <f>IF($A76="","",$I76+$O76)</f>
        <v/>
      </c>
      <c r="U76" s="82">
        <f>IF($A76="","",$S76+$T76)</f>
        <v/>
      </c>
      <c r="V76" s="82">
        <f>IF($A76="","",INDEX(DM_DDK621,63)+INDEX(DM_DDK622,63)+INDEX(DM_DDK623,63)+INDEX(DM_DDK627,63))</f>
        <v/>
      </c>
      <c r="W76" s="82">
        <f>IF($A76="","",SUMIFS(L_ST,L_Ma,$A76,L_KM,"Phế liệu thu hồi",L_Ngay,"&gt;="&amp;pTu,L_Ngay,"&lt;="&amp;pDen))</f>
        <v/>
      </c>
      <c r="X76" s="82">
        <f>IF($A76="","",SUMIFS(L_ST,L_Ma,$A76,L_KM,"SP hỏng ngoài định mức",L_Ngay,"&gt;="&amp;pTu,L_Ngay,"&lt;="&amp;pDen))</f>
        <v/>
      </c>
      <c r="Y76" s="82">
        <f>IF($A76="","",$P76+$Q76+$R76+$U76)</f>
        <v/>
      </c>
      <c r="Z76" s="82">
        <f>IF($A76="","",IF($D76="Đang thực hiện",$V76+$Y76,CHOOSE(MATCH(pDoDang,LST_DoDang,0),$AE76,$AF76,$AG76)))</f>
        <v/>
      </c>
      <c r="AA76" s="82">
        <f>IF($A76="","",$V76+$Y76-$Z76-$W76-$X76)</f>
        <v/>
      </c>
      <c r="AB76" s="82">
        <f>IF($A76="","",INDEX(DM_SLHT,63))</f>
        <v/>
      </c>
      <c r="AC76" s="82">
        <f>IF($A76="","",IF($AB76&lt;=0,"⚠ CHƯA CÓ SL",ROUND($AA76/$AB76,0)))</f>
        <v/>
      </c>
      <c r="AE76" s="88">
        <f>IF($A76="","",IFERROR((INDEX(DM_DDK621,63)+$P76)/($AB76+INDEX(DM_SLDD,63))*INDEX(DM_SLDD,63),0))</f>
        <v/>
      </c>
      <c r="AF76" s="88">
        <f>IF($A76="","",IFERROR((INDEX(DM_DDK621,63)+$P76)/($AB76+INDEX(DM_SLDD,63))*INDEX(DM_SLDD,63),0)+IFERROR((INDEX(DM_DDK622,63)+$Q76)/($AB76+INDEX(DM_SLDD,63)*INDEX(DM_Pct,63))*(INDEX(DM_SLDD,63)*INDEX(DM_Pct,63)),0)+IFERROR((INDEX(DM_DDK623,63)+$R76)/($AB76+INDEX(DM_SLDD,63)*INDEX(DM_Pct,63))*(INDEX(DM_SLDD,63)*INDEX(DM_Pct,63)),0)+IFERROR((INDEX(DM_DDK627,63)+$U76)/($AB76+INDEX(DM_SLDD,63)*INDEX(DM_Pct,63))*(INDEX(DM_SLDD,63)*INDEX(DM_Pct,63)),0))</f>
        <v/>
      </c>
      <c r="AG76" s="88">
        <f>IF($A76="","",INDEX(DM_SLDD,63)*INDEX(DM_DGDinhMuc,63))</f>
        <v/>
      </c>
      <c r="AH76" s="88">
        <f>IF($A76="",0,IF(AND(ISNUMBER($AA76),$AA76&gt;0,$AB76&lt;=0),1,0))</f>
        <v/>
      </c>
      <c r="AI76" s="88">
        <f>IF($A76="",0,IF(AND(ISNUMBER($Z76),$Z76&lt;0),1,0))</f>
        <v/>
      </c>
      <c r="AJ76" s="88">
        <f>IF($A76="",0,IF(AND(ISNUMBER($AA76),$AA76&lt;0),1,0))</f>
        <v/>
      </c>
    </row>
    <row r="77" ht="15" customHeight="1" s="54">
      <c r="A77" s="80">
        <f>IF(INDEX(DM_Ma,64)="","",INDEX(DM_Ma,64))</f>
        <v/>
      </c>
      <c r="B77" s="80">
        <f>IF($A77="","",INDEX(DM_Ten,64))</f>
        <v/>
      </c>
      <c r="C77" s="80">
        <f>IF($A77="","",INDEX(DM_Loai,64))</f>
        <v/>
      </c>
      <c r="D77" s="80">
        <f>IF($A77="","",INDEX(DM_TrangThai,64))</f>
        <v/>
      </c>
      <c r="E77" s="82">
        <f>IF($A77="","",SUMIFS(L_ST,L_Ma,$A77,L_KM,"NVL trực tiếp (621)",L_TT,"Trực tiếp",L_Ngay,"&gt;="&amp;pTu,L_Ngay,"&lt;="&amp;pDen))</f>
        <v/>
      </c>
      <c r="F77" s="82">
        <f>IF($A77="","",SUMIFS(L_ST,L_Ma,$A77,L_KM,"Nhân công trực tiếp (622)",L_TT,"Trực tiếp",L_Ngay,"&gt;="&amp;pTu,L_Ngay,"&lt;="&amp;pDen))</f>
        <v/>
      </c>
      <c r="G77" s="82">
        <f>IF($A77="","",SUMIFS(L_ST,L_Ma,$A77,L_KM,"Máy thi công (623)",L_TT,"Trực tiếp",L_Ngay,"&gt;="&amp;pTu,L_Ngay,"&lt;="&amp;pDen))</f>
        <v/>
      </c>
      <c r="H77" s="82">
        <f>IF($A77="","",SUMIFS(L_ST,L_Ma,$A77,L_KM,"SXC (627)",L_TT,"Trực tiếp",L_Tinh,"Biến đổi",L_Ngay,"&gt;="&amp;pTu,L_Ngay,"&lt;="&amp;pDen))</f>
        <v/>
      </c>
      <c r="I77" s="82">
        <f>IF($A77="","",SUMIFS(L_ST,L_Ma,$A77,L_KM,"SXC (627)",L_TT,"Trực tiếp",L_Tinh,"Cố định",L_Ngay,"&gt;="&amp;pTu,L_Ngay,"&lt;="&amp;pDen))</f>
        <v/>
      </c>
      <c r="J77" s="82">
        <f>IF($A77="","",CHOOSE(MATCH(pTieuThuc,LST_TieuThuc,0),$E77,$F77,INDEX(DM_GioMay,64),INDEX(DM_GioCong,64),INDEX(DM_SLHT,64),INDEX(DM_DThu,64),INDEX(DM_TieuKhac,64)))</f>
        <v/>
      </c>
      <c r="K77" s="82">
        <f>IF($A77="","",IF(tBase=0,0,$J77/tBase*pool621))</f>
        <v/>
      </c>
      <c r="L77" s="82">
        <f>IF($A77="","",IF(tBase=0,0,$J77/tBase*pool622))</f>
        <v/>
      </c>
      <c r="M77" s="82">
        <f>IF($A77="","",IF(tBase=0,0,$J77/tBase*pool623))</f>
        <v/>
      </c>
      <c r="N77" s="82">
        <f>IF($A77="","",IF(tBase=0,0,$J77/tBase*pool627BD))</f>
        <v/>
      </c>
      <c r="O77" s="82">
        <f>IF($A77="","",IF(tBase=0,0,$J77/tBase*t627CDabs))</f>
        <v/>
      </c>
      <c r="P77" s="82">
        <f>IF($A77="","",$E77+$K77)</f>
        <v/>
      </c>
      <c r="Q77" s="82">
        <f>IF($A77="","",$F77+$L77)</f>
        <v/>
      </c>
      <c r="R77" s="82">
        <f>IF($A77="","",$G77+$M77)</f>
        <v/>
      </c>
      <c r="S77" s="82">
        <f>IF($A77="","",$H77+$N77)</f>
        <v/>
      </c>
      <c r="T77" s="82">
        <f>IF($A77="","",$I77+$O77)</f>
        <v/>
      </c>
      <c r="U77" s="82">
        <f>IF($A77="","",$S77+$T77)</f>
        <v/>
      </c>
      <c r="V77" s="82">
        <f>IF($A77="","",INDEX(DM_DDK621,64)+INDEX(DM_DDK622,64)+INDEX(DM_DDK623,64)+INDEX(DM_DDK627,64))</f>
        <v/>
      </c>
      <c r="W77" s="82">
        <f>IF($A77="","",SUMIFS(L_ST,L_Ma,$A77,L_KM,"Phế liệu thu hồi",L_Ngay,"&gt;="&amp;pTu,L_Ngay,"&lt;="&amp;pDen))</f>
        <v/>
      </c>
      <c r="X77" s="82">
        <f>IF($A77="","",SUMIFS(L_ST,L_Ma,$A77,L_KM,"SP hỏng ngoài định mức",L_Ngay,"&gt;="&amp;pTu,L_Ngay,"&lt;="&amp;pDen))</f>
        <v/>
      </c>
      <c r="Y77" s="82">
        <f>IF($A77="","",$P77+$Q77+$R77+$U77)</f>
        <v/>
      </c>
      <c r="Z77" s="82">
        <f>IF($A77="","",IF($D77="Đang thực hiện",$V77+$Y77,CHOOSE(MATCH(pDoDang,LST_DoDang,0),$AE77,$AF77,$AG77)))</f>
        <v/>
      </c>
      <c r="AA77" s="82">
        <f>IF($A77="","",$V77+$Y77-$Z77-$W77-$X77)</f>
        <v/>
      </c>
      <c r="AB77" s="82">
        <f>IF($A77="","",INDEX(DM_SLHT,64))</f>
        <v/>
      </c>
      <c r="AC77" s="82">
        <f>IF($A77="","",IF($AB77&lt;=0,"⚠ CHƯA CÓ SL",ROUND($AA77/$AB77,0)))</f>
        <v/>
      </c>
      <c r="AE77" s="88">
        <f>IF($A77="","",IFERROR((INDEX(DM_DDK621,64)+$P77)/($AB77+INDEX(DM_SLDD,64))*INDEX(DM_SLDD,64),0))</f>
        <v/>
      </c>
      <c r="AF77" s="88">
        <f>IF($A77="","",IFERROR((INDEX(DM_DDK621,64)+$P77)/($AB77+INDEX(DM_SLDD,64))*INDEX(DM_SLDD,64),0)+IFERROR((INDEX(DM_DDK622,64)+$Q77)/($AB77+INDEX(DM_SLDD,64)*INDEX(DM_Pct,64))*(INDEX(DM_SLDD,64)*INDEX(DM_Pct,64)),0)+IFERROR((INDEX(DM_DDK623,64)+$R77)/($AB77+INDEX(DM_SLDD,64)*INDEX(DM_Pct,64))*(INDEX(DM_SLDD,64)*INDEX(DM_Pct,64)),0)+IFERROR((INDEX(DM_DDK627,64)+$U77)/($AB77+INDEX(DM_SLDD,64)*INDEX(DM_Pct,64))*(INDEX(DM_SLDD,64)*INDEX(DM_Pct,64)),0))</f>
        <v/>
      </c>
      <c r="AG77" s="88">
        <f>IF($A77="","",INDEX(DM_SLDD,64)*INDEX(DM_DGDinhMuc,64))</f>
        <v/>
      </c>
      <c r="AH77" s="88">
        <f>IF($A77="",0,IF(AND(ISNUMBER($AA77),$AA77&gt;0,$AB77&lt;=0),1,0))</f>
        <v/>
      </c>
      <c r="AI77" s="88">
        <f>IF($A77="",0,IF(AND(ISNUMBER($Z77),$Z77&lt;0),1,0))</f>
        <v/>
      </c>
      <c r="AJ77" s="88">
        <f>IF($A77="",0,IF(AND(ISNUMBER($AA77),$AA77&lt;0),1,0))</f>
        <v/>
      </c>
    </row>
    <row r="78" ht="15" customHeight="1" s="54">
      <c r="A78" s="80">
        <f>IF(INDEX(DM_Ma,65)="","",INDEX(DM_Ma,65))</f>
        <v/>
      </c>
      <c r="B78" s="80">
        <f>IF($A78="","",INDEX(DM_Ten,65))</f>
        <v/>
      </c>
      <c r="C78" s="80">
        <f>IF($A78="","",INDEX(DM_Loai,65))</f>
        <v/>
      </c>
      <c r="D78" s="80">
        <f>IF($A78="","",INDEX(DM_TrangThai,65))</f>
        <v/>
      </c>
      <c r="E78" s="82">
        <f>IF($A78="","",SUMIFS(L_ST,L_Ma,$A78,L_KM,"NVL trực tiếp (621)",L_TT,"Trực tiếp",L_Ngay,"&gt;="&amp;pTu,L_Ngay,"&lt;="&amp;pDen))</f>
        <v/>
      </c>
      <c r="F78" s="82">
        <f>IF($A78="","",SUMIFS(L_ST,L_Ma,$A78,L_KM,"Nhân công trực tiếp (622)",L_TT,"Trực tiếp",L_Ngay,"&gt;="&amp;pTu,L_Ngay,"&lt;="&amp;pDen))</f>
        <v/>
      </c>
      <c r="G78" s="82">
        <f>IF($A78="","",SUMIFS(L_ST,L_Ma,$A78,L_KM,"Máy thi công (623)",L_TT,"Trực tiếp",L_Ngay,"&gt;="&amp;pTu,L_Ngay,"&lt;="&amp;pDen))</f>
        <v/>
      </c>
      <c r="H78" s="82">
        <f>IF($A78="","",SUMIFS(L_ST,L_Ma,$A78,L_KM,"SXC (627)",L_TT,"Trực tiếp",L_Tinh,"Biến đổi",L_Ngay,"&gt;="&amp;pTu,L_Ngay,"&lt;="&amp;pDen))</f>
        <v/>
      </c>
      <c r="I78" s="82">
        <f>IF($A78="","",SUMIFS(L_ST,L_Ma,$A78,L_KM,"SXC (627)",L_TT,"Trực tiếp",L_Tinh,"Cố định",L_Ngay,"&gt;="&amp;pTu,L_Ngay,"&lt;="&amp;pDen))</f>
        <v/>
      </c>
      <c r="J78" s="82">
        <f>IF($A78="","",CHOOSE(MATCH(pTieuThuc,LST_TieuThuc,0),$E78,$F78,INDEX(DM_GioMay,65),INDEX(DM_GioCong,65),INDEX(DM_SLHT,65),INDEX(DM_DThu,65),INDEX(DM_TieuKhac,65)))</f>
        <v/>
      </c>
      <c r="K78" s="82">
        <f>IF($A78="","",IF(tBase=0,0,$J78/tBase*pool621))</f>
        <v/>
      </c>
      <c r="L78" s="82">
        <f>IF($A78="","",IF(tBase=0,0,$J78/tBase*pool622))</f>
        <v/>
      </c>
      <c r="M78" s="82">
        <f>IF($A78="","",IF(tBase=0,0,$J78/tBase*pool623))</f>
        <v/>
      </c>
      <c r="N78" s="82">
        <f>IF($A78="","",IF(tBase=0,0,$J78/tBase*pool627BD))</f>
        <v/>
      </c>
      <c r="O78" s="82">
        <f>IF($A78="","",IF(tBase=0,0,$J78/tBase*t627CDabs))</f>
        <v/>
      </c>
      <c r="P78" s="82">
        <f>IF($A78="","",$E78+$K78)</f>
        <v/>
      </c>
      <c r="Q78" s="82">
        <f>IF($A78="","",$F78+$L78)</f>
        <v/>
      </c>
      <c r="R78" s="82">
        <f>IF($A78="","",$G78+$M78)</f>
        <v/>
      </c>
      <c r="S78" s="82">
        <f>IF($A78="","",$H78+$N78)</f>
        <v/>
      </c>
      <c r="T78" s="82">
        <f>IF($A78="","",$I78+$O78)</f>
        <v/>
      </c>
      <c r="U78" s="82">
        <f>IF($A78="","",$S78+$T78)</f>
        <v/>
      </c>
      <c r="V78" s="82">
        <f>IF($A78="","",INDEX(DM_DDK621,65)+INDEX(DM_DDK622,65)+INDEX(DM_DDK623,65)+INDEX(DM_DDK627,65))</f>
        <v/>
      </c>
      <c r="W78" s="82">
        <f>IF($A78="","",SUMIFS(L_ST,L_Ma,$A78,L_KM,"Phế liệu thu hồi",L_Ngay,"&gt;="&amp;pTu,L_Ngay,"&lt;="&amp;pDen))</f>
        <v/>
      </c>
      <c r="X78" s="82">
        <f>IF($A78="","",SUMIFS(L_ST,L_Ma,$A78,L_KM,"SP hỏng ngoài định mức",L_Ngay,"&gt;="&amp;pTu,L_Ngay,"&lt;="&amp;pDen))</f>
        <v/>
      </c>
      <c r="Y78" s="82">
        <f>IF($A78="","",$P78+$Q78+$R78+$U78)</f>
        <v/>
      </c>
      <c r="Z78" s="82">
        <f>IF($A78="","",IF($D78="Đang thực hiện",$V78+$Y78,CHOOSE(MATCH(pDoDang,LST_DoDang,0),$AE78,$AF78,$AG78)))</f>
        <v/>
      </c>
      <c r="AA78" s="82">
        <f>IF($A78="","",$V78+$Y78-$Z78-$W78-$X78)</f>
        <v/>
      </c>
      <c r="AB78" s="82">
        <f>IF($A78="","",INDEX(DM_SLHT,65))</f>
        <v/>
      </c>
      <c r="AC78" s="82">
        <f>IF($A78="","",IF($AB78&lt;=0,"⚠ CHƯA CÓ SL",ROUND($AA78/$AB78,0)))</f>
        <v/>
      </c>
      <c r="AE78" s="88">
        <f>IF($A78="","",IFERROR((INDEX(DM_DDK621,65)+$P78)/($AB78+INDEX(DM_SLDD,65))*INDEX(DM_SLDD,65),0))</f>
        <v/>
      </c>
      <c r="AF78" s="88">
        <f>IF($A78="","",IFERROR((INDEX(DM_DDK621,65)+$P78)/($AB78+INDEX(DM_SLDD,65))*INDEX(DM_SLDD,65),0)+IFERROR((INDEX(DM_DDK622,65)+$Q78)/($AB78+INDEX(DM_SLDD,65)*INDEX(DM_Pct,65))*(INDEX(DM_SLDD,65)*INDEX(DM_Pct,65)),0)+IFERROR((INDEX(DM_DDK623,65)+$R78)/($AB78+INDEX(DM_SLDD,65)*INDEX(DM_Pct,65))*(INDEX(DM_SLDD,65)*INDEX(DM_Pct,65)),0)+IFERROR((INDEX(DM_DDK627,65)+$U78)/($AB78+INDEX(DM_SLDD,65)*INDEX(DM_Pct,65))*(INDEX(DM_SLDD,65)*INDEX(DM_Pct,65)),0))</f>
        <v/>
      </c>
      <c r="AG78" s="88">
        <f>IF($A78="","",INDEX(DM_SLDD,65)*INDEX(DM_DGDinhMuc,65))</f>
        <v/>
      </c>
      <c r="AH78" s="88">
        <f>IF($A78="",0,IF(AND(ISNUMBER($AA78),$AA78&gt;0,$AB78&lt;=0),1,0))</f>
        <v/>
      </c>
      <c r="AI78" s="88">
        <f>IF($A78="",0,IF(AND(ISNUMBER($Z78),$Z78&lt;0),1,0))</f>
        <v/>
      </c>
      <c r="AJ78" s="88">
        <f>IF($A78="",0,IF(AND(ISNUMBER($AA78),$AA78&lt;0),1,0))</f>
        <v/>
      </c>
    </row>
    <row r="79" ht="15" customHeight="1" s="54">
      <c r="A79" s="80">
        <f>IF(INDEX(DM_Ma,66)="","",INDEX(DM_Ma,66))</f>
        <v/>
      </c>
      <c r="B79" s="80">
        <f>IF($A79="","",INDEX(DM_Ten,66))</f>
        <v/>
      </c>
      <c r="C79" s="80">
        <f>IF($A79="","",INDEX(DM_Loai,66))</f>
        <v/>
      </c>
      <c r="D79" s="80">
        <f>IF($A79="","",INDEX(DM_TrangThai,66))</f>
        <v/>
      </c>
      <c r="E79" s="82">
        <f>IF($A79="","",SUMIFS(L_ST,L_Ma,$A79,L_KM,"NVL trực tiếp (621)",L_TT,"Trực tiếp",L_Ngay,"&gt;="&amp;pTu,L_Ngay,"&lt;="&amp;pDen))</f>
        <v/>
      </c>
      <c r="F79" s="82">
        <f>IF($A79="","",SUMIFS(L_ST,L_Ma,$A79,L_KM,"Nhân công trực tiếp (622)",L_TT,"Trực tiếp",L_Ngay,"&gt;="&amp;pTu,L_Ngay,"&lt;="&amp;pDen))</f>
        <v/>
      </c>
      <c r="G79" s="82">
        <f>IF($A79="","",SUMIFS(L_ST,L_Ma,$A79,L_KM,"Máy thi công (623)",L_TT,"Trực tiếp",L_Ngay,"&gt;="&amp;pTu,L_Ngay,"&lt;="&amp;pDen))</f>
        <v/>
      </c>
      <c r="H79" s="82">
        <f>IF($A79="","",SUMIFS(L_ST,L_Ma,$A79,L_KM,"SXC (627)",L_TT,"Trực tiếp",L_Tinh,"Biến đổi",L_Ngay,"&gt;="&amp;pTu,L_Ngay,"&lt;="&amp;pDen))</f>
        <v/>
      </c>
      <c r="I79" s="82">
        <f>IF($A79="","",SUMIFS(L_ST,L_Ma,$A79,L_KM,"SXC (627)",L_TT,"Trực tiếp",L_Tinh,"Cố định",L_Ngay,"&gt;="&amp;pTu,L_Ngay,"&lt;="&amp;pDen))</f>
        <v/>
      </c>
      <c r="J79" s="82">
        <f>IF($A79="","",CHOOSE(MATCH(pTieuThuc,LST_TieuThuc,0),$E79,$F79,INDEX(DM_GioMay,66),INDEX(DM_GioCong,66),INDEX(DM_SLHT,66),INDEX(DM_DThu,66),INDEX(DM_TieuKhac,66)))</f>
        <v/>
      </c>
      <c r="K79" s="82">
        <f>IF($A79="","",IF(tBase=0,0,$J79/tBase*pool621))</f>
        <v/>
      </c>
      <c r="L79" s="82">
        <f>IF($A79="","",IF(tBase=0,0,$J79/tBase*pool622))</f>
        <v/>
      </c>
      <c r="M79" s="82">
        <f>IF($A79="","",IF(tBase=0,0,$J79/tBase*pool623))</f>
        <v/>
      </c>
      <c r="N79" s="82">
        <f>IF($A79="","",IF(tBase=0,0,$J79/tBase*pool627BD))</f>
        <v/>
      </c>
      <c r="O79" s="82">
        <f>IF($A79="","",IF(tBase=0,0,$J79/tBase*t627CDabs))</f>
        <v/>
      </c>
      <c r="P79" s="82">
        <f>IF($A79="","",$E79+$K79)</f>
        <v/>
      </c>
      <c r="Q79" s="82">
        <f>IF($A79="","",$F79+$L79)</f>
        <v/>
      </c>
      <c r="R79" s="82">
        <f>IF($A79="","",$G79+$M79)</f>
        <v/>
      </c>
      <c r="S79" s="82">
        <f>IF($A79="","",$H79+$N79)</f>
        <v/>
      </c>
      <c r="T79" s="82">
        <f>IF($A79="","",$I79+$O79)</f>
        <v/>
      </c>
      <c r="U79" s="82">
        <f>IF($A79="","",$S79+$T79)</f>
        <v/>
      </c>
      <c r="V79" s="82">
        <f>IF($A79="","",INDEX(DM_DDK621,66)+INDEX(DM_DDK622,66)+INDEX(DM_DDK623,66)+INDEX(DM_DDK627,66))</f>
        <v/>
      </c>
      <c r="W79" s="82">
        <f>IF($A79="","",SUMIFS(L_ST,L_Ma,$A79,L_KM,"Phế liệu thu hồi",L_Ngay,"&gt;="&amp;pTu,L_Ngay,"&lt;="&amp;pDen))</f>
        <v/>
      </c>
      <c r="X79" s="82">
        <f>IF($A79="","",SUMIFS(L_ST,L_Ma,$A79,L_KM,"SP hỏng ngoài định mức",L_Ngay,"&gt;="&amp;pTu,L_Ngay,"&lt;="&amp;pDen))</f>
        <v/>
      </c>
      <c r="Y79" s="82">
        <f>IF($A79="","",$P79+$Q79+$R79+$U79)</f>
        <v/>
      </c>
      <c r="Z79" s="82">
        <f>IF($A79="","",IF($D79="Đang thực hiện",$V79+$Y79,CHOOSE(MATCH(pDoDang,LST_DoDang,0),$AE79,$AF79,$AG79)))</f>
        <v/>
      </c>
      <c r="AA79" s="82">
        <f>IF($A79="","",$V79+$Y79-$Z79-$W79-$X79)</f>
        <v/>
      </c>
      <c r="AB79" s="82">
        <f>IF($A79="","",INDEX(DM_SLHT,66))</f>
        <v/>
      </c>
      <c r="AC79" s="82">
        <f>IF($A79="","",IF($AB79&lt;=0,"⚠ CHƯA CÓ SL",ROUND($AA79/$AB79,0)))</f>
        <v/>
      </c>
      <c r="AE79" s="88">
        <f>IF($A79="","",IFERROR((INDEX(DM_DDK621,66)+$P79)/($AB79+INDEX(DM_SLDD,66))*INDEX(DM_SLDD,66),0))</f>
        <v/>
      </c>
      <c r="AF79" s="88">
        <f>IF($A79="","",IFERROR((INDEX(DM_DDK621,66)+$P79)/($AB79+INDEX(DM_SLDD,66))*INDEX(DM_SLDD,66),0)+IFERROR((INDEX(DM_DDK622,66)+$Q79)/($AB79+INDEX(DM_SLDD,66)*INDEX(DM_Pct,66))*(INDEX(DM_SLDD,66)*INDEX(DM_Pct,66)),0)+IFERROR((INDEX(DM_DDK623,66)+$R79)/($AB79+INDEX(DM_SLDD,66)*INDEX(DM_Pct,66))*(INDEX(DM_SLDD,66)*INDEX(DM_Pct,66)),0)+IFERROR((INDEX(DM_DDK627,66)+$U79)/($AB79+INDEX(DM_SLDD,66)*INDEX(DM_Pct,66))*(INDEX(DM_SLDD,66)*INDEX(DM_Pct,66)),0))</f>
        <v/>
      </c>
      <c r="AG79" s="88">
        <f>IF($A79="","",INDEX(DM_SLDD,66)*INDEX(DM_DGDinhMuc,66))</f>
        <v/>
      </c>
      <c r="AH79" s="88">
        <f>IF($A79="",0,IF(AND(ISNUMBER($AA79),$AA79&gt;0,$AB79&lt;=0),1,0))</f>
        <v/>
      </c>
      <c r="AI79" s="88">
        <f>IF($A79="",0,IF(AND(ISNUMBER($Z79),$Z79&lt;0),1,0))</f>
        <v/>
      </c>
      <c r="AJ79" s="88">
        <f>IF($A79="",0,IF(AND(ISNUMBER($AA79),$AA79&lt;0),1,0))</f>
        <v/>
      </c>
    </row>
    <row r="80" ht="15" customHeight="1" s="54">
      <c r="A80" s="80">
        <f>IF(INDEX(DM_Ma,67)="","",INDEX(DM_Ma,67))</f>
        <v/>
      </c>
      <c r="B80" s="80">
        <f>IF($A80="","",INDEX(DM_Ten,67))</f>
        <v/>
      </c>
      <c r="C80" s="80">
        <f>IF($A80="","",INDEX(DM_Loai,67))</f>
        <v/>
      </c>
      <c r="D80" s="80">
        <f>IF($A80="","",INDEX(DM_TrangThai,67))</f>
        <v/>
      </c>
      <c r="E80" s="82">
        <f>IF($A80="","",SUMIFS(L_ST,L_Ma,$A80,L_KM,"NVL trực tiếp (621)",L_TT,"Trực tiếp",L_Ngay,"&gt;="&amp;pTu,L_Ngay,"&lt;="&amp;pDen))</f>
        <v/>
      </c>
      <c r="F80" s="82">
        <f>IF($A80="","",SUMIFS(L_ST,L_Ma,$A80,L_KM,"Nhân công trực tiếp (622)",L_TT,"Trực tiếp",L_Ngay,"&gt;="&amp;pTu,L_Ngay,"&lt;="&amp;pDen))</f>
        <v/>
      </c>
      <c r="G80" s="82">
        <f>IF($A80="","",SUMIFS(L_ST,L_Ma,$A80,L_KM,"Máy thi công (623)",L_TT,"Trực tiếp",L_Ngay,"&gt;="&amp;pTu,L_Ngay,"&lt;="&amp;pDen))</f>
        <v/>
      </c>
      <c r="H80" s="82">
        <f>IF($A80="","",SUMIFS(L_ST,L_Ma,$A80,L_KM,"SXC (627)",L_TT,"Trực tiếp",L_Tinh,"Biến đổi",L_Ngay,"&gt;="&amp;pTu,L_Ngay,"&lt;="&amp;pDen))</f>
        <v/>
      </c>
      <c r="I80" s="82">
        <f>IF($A80="","",SUMIFS(L_ST,L_Ma,$A80,L_KM,"SXC (627)",L_TT,"Trực tiếp",L_Tinh,"Cố định",L_Ngay,"&gt;="&amp;pTu,L_Ngay,"&lt;="&amp;pDen))</f>
        <v/>
      </c>
      <c r="J80" s="82">
        <f>IF($A80="","",CHOOSE(MATCH(pTieuThuc,LST_TieuThuc,0),$E80,$F80,INDEX(DM_GioMay,67),INDEX(DM_GioCong,67),INDEX(DM_SLHT,67),INDEX(DM_DThu,67),INDEX(DM_TieuKhac,67)))</f>
        <v/>
      </c>
      <c r="K80" s="82">
        <f>IF($A80="","",IF(tBase=0,0,$J80/tBase*pool621))</f>
        <v/>
      </c>
      <c r="L80" s="82">
        <f>IF($A80="","",IF(tBase=0,0,$J80/tBase*pool622))</f>
        <v/>
      </c>
      <c r="M80" s="82">
        <f>IF($A80="","",IF(tBase=0,0,$J80/tBase*pool623))</f>
        <v/>
      </c>
      <c r="N80" s="82">
        <f>IF($A80="","",IF(tBase=0,0,$J80/tBase*pool627BD))</f>
        <v/>
      </c>
      <c r="O80" s="82">
        <f>IF($A80="","",IF(tBase=0,0,$J80/tBase*t627CDabs))</f>
        <v/>
      </c>
      <c r="P80" s="82">
        <f>IF($A80="","",$E80+$K80)</f>
        <v/>
      </c>
      <c r="Q80" s="82">
        <f>IF($A80="","",$F80+$L80)</f>
        <v/>
      </c>
      <c r="R80" s="82">
        <f>IF($A80="","",$G80+$M80)</f>
        <v/>
      </c>
      <c r="S80" s="82">
        <f>IF($A80="","",$H80+$N80)</f>
        <v/>
      </c>
      <c r="T80" s="82">
        <f>IF($A80="","",$I80+$O80)</f>
        <v/>
      </c>
      <c r="U80" s="82">
        <f>IF($A80="","",$S80+$T80)</f>
        <v/>
      </c>
      <c r="V80" s="82">
        <f>IF($A80="","",INDEX(DM_DDK621,67)+INDEX(DM_DDK622,67)+INDEX(DM_DDK623,67)+INDEX(DM_DDK627,67))</f>
        <v/>
      </c>
      <c r="W80" s="82">
        <f>IF($A80="","",SUMIFS(L_ST,L_Ma,$A80,L_KM,"Phế liệu thu hồi",L_Ngay,"&gt;="&amp;pTu,L_Ngay,"&lt;="&amp;pDen))</f>
        <v/>
      </c>
      <c r="X80" s="82">
        <f>IF($A80="","",SUMIFS(L_ST,L_Ma,$A80,L_KM,"SP hỏng ngoài định mức",L_Ngay,"&gt;="&amp;pTu,L_Ngay,"&lt;="&amp;pDen))</f>
        <v/>
      </c>
      <c r="Y80" s="82">
        <f>IF($A80="","",$P80+$Q80+$R80+$U80)</f>
        <v/>
      </c>
      <c r="Z80" s="82">
        <f>IF($A80="","",IF($D80="Đang thực hiện",$V80+$Y80,CHOOSE(MATCH(pDoDang,LST_DoDang,0),$AE80,$AF80,$AG80)))</f>
        <v/>
      </c>
      <c r="AA80" s="82">
        <f>IF($A80="","",$V80+$Y80-$Z80-$W80-$X80)</f>
        <v/>
      </c>
      <c r="AB80" s="82">
        <f>IF($A80="","",INDEX(DM_SLHT,67))</f>
        <v/>
      </c>
      <c r="AC80" s="82">
        <f>IF($A80="","",IF($AB80&lt;=0,"⚠ CHƯA CÓ SL",ROUND($AA80/$AB80,0)))</f>
        <v/>
      </c>
      <c r="AE80" s="88">
        <f>IF($A80="","",IFERROR((INDEX(DM_DDK621,67)+$P80)/($AB80+INDEX(DM_SLDD,67))*INDEX(DM_SLDD,67),0))</f>
        <v/>
      </c>
      <c r="AF80" s="88">
        <f>IF($A80="","",IFERROR((INDEX(DM_DDK621,67)+$P80)/($AB80+INDEX(DM_SLDD,67))*INDEX(DM_SLDD,67),0)+IFERROR((INDEX(DM_DDK622,67)+$Q80)/($AB80+INDEX(DM_SLDD,67)*INDEX(DM_Pct,67))*(INDEX(DM_SLDD,67)*INDEX(DM_Pct,67)),0)+IFERROR((INDEX(DM_DDK623,67)+$R80)/($AB80+INDEX(DM_SLDD,67)*INDEX(DM_Pct,67))*(INDEX(DM_SLDD,67)*INDEX(DM_Pct,67)),0)+IFERROR((INDEX(DM_DDK627,67)+$U80)/($AB80+INDEX(DM_SLDD,67)*INDEX(DM_Pct,67))*(INDEX(DM_SLDD,67)*INDEX(DM_Pct,67)),0))</f>
        <v/>
      </c>
      <c r="AG80" s="88">
        <f>IF($A80="","",INDEX(DM_SLDD,67)*INDEX(DM_DGDinhMuc,67))</f>
        <v/>
      </c>
      <c r="AH80" s="88">
        <f>IF($A80="",0,IF(AND(ISNUMBER($AA80),$AA80&gt;0,$AB80&lt;=0),1,0))</f>
        <v/>
      </c>
      <c r="AI80" s="88">
        <f>IF($A80="",0,IF(AND(ISNUMBER($Z80),$Z80&lt;0),1,0))</f>
        <v/>
      </c>
      <c r="AJ80" s="88">
        <f>IF($A80="",0,IF(AND(ISNUMBER($AA80),$AA80&lt;0),1,0))</f>
        <v/>
      </c>
    </row>
    <row r="81" ht="15" customHeight="1" s="54">
      <c r="A81" s="80">
        <f>IF(INDEX(DM_Ma,68)="","",INDEX(DM_Ma,68))</f>
        <v/>
      </c>
      <c r="B81" s="80">
        <f>IF($A81="","",INDEX(DM_Ten,68))</f>
        <v/>
      </c>
      <c r="C81" s="80">
        <f>IF($A81="","",INDEX(DM_Loai,68))</f>
        <v/>
      </c>
      <c r="D81" s="80">
        <f>IF($A81="","",INDEX(DM_TrangThai,68))</f>
        <v/>
      </c>
      <c r="E81" s="82">
        <f>IF($A81="","",SUMIFS(L_ST,L_Ma,$A81,L_KM,"NVL trực tiếp (621)",L_TT,"Trực tiếp",L_Ngay,"&gt;="&amp;pTu,L_Ngay,"&lt;="&amp;pDen))</f>
        <v/>
      </c>
      <c r="F81" s="82">
        <f>IF($A81="","",SUMIFS(L_ST,L_Ma,$A81,L_KM,"Nhân công trực tiếp (622)",L_TT,"Trực tiếp",L_Ngay,"&gt;="&amp;pTu,L_Ngay,"&lt;="&amp;pDen))</f>
        <v/>
      </c>
      <c r="G81" s="82">
        <f>IF($A81="","",SUMIFS(L_ST,L_Ma,$A81,L_KM,"Máy thi công (623)",L_TT,"Trực tiếp",L_Ngay,"&gt;="&amp;pTu,L_Ngay,"&lt;="&amp;pDen))</f>
        <v/>
      </c>
      <c r="H81" s="82">
        <f>IF($A81="","",SUMIFS(L_ST,L_Ma,$A81,L_KM,"SXC (627)",L_TT,"Trực tiếp",L_Tinh,"Biến đổi",L_Ngay,"&gt;="&amp;pTu,L_Ngay,"&lt;="&amp;pDen))</f>
        <v/>
      </c>
      <c r="I81" s="82">
        <f>IF($A81="","",SUMIFS(L_ST,L_Ma,$A81,L_KM,"SXC (627)",L_TT,"Trực tiếp",L_Tinh,"Cố định",L_Ngay,"&gt;="&amp;pTu,L_Ngay,"&lt;="&amp;pDen))</f>
        <v/>
      </c>
      <c r="J81" s="82">
        <f>IF($A81="","",CHOOSE(MATCH(pTieuThuc,LST_TieuThuc,0),$E81,$F81,INDEX(DM_GioMay,68),INDEX(DM_GioCong,68),INDEX(DM_SLHT,68),INDEX(DM_DThu,68),INDEX(DM_TieuKhac,68)))</f>
        <v/>
      </c>
      <c r="K81" s="82">
        <f>IF($A81="","",IF(tBase=0,0,$J81/tBase*pool621))</f>
        <v/>
      </c>
      <c r="L81" s="82">
        <f>IF($A81="","",IF(tBase=0,0,$J81/tBase*pool622))</f>
        <v/>
      </c>
      <c r="M81" s="82">
        <f>IF($A81="","",IF(tBase=0,0,$J81/tBase*pool623))</f>
        <v/>
      </c>
      <c r="N81" s="82">
        <f>IF($A81="","",IF(tBase=0,0,$J81/tBase*pool627BD))</f>
        <v/>
      </c>
      <c r="O81" s="82">
        <f>IF($A81="","",IF(tBase=0,0,$J81/tBase*t627CDabs))</f>
        <v/>
      </c>
      <c r="P81" s="82">
        <f>IF($A81="","",$E81+$K81)</f>
        <v/>
      </c>
      <c r="Q81" s="82">
        <f>IF($A81="","",$F81+$L81)</f>
        <v/>
      </c>
      <c r="R81" s="82">
        <f>IF($A81="","",$G81+$M81)</f>
        <v/>
      </c>
      <c r="S81" s="82">
        <f>IF($A81="","",$H81+$N81)</f>
        <v/>
      </c>
      <c r="T81" s="82">
        <f>IF($A81="","",$I81+$O81)</f>
        <v/>
      </c>
      <c r="U81" s="82">
        <f>IF($A81="","",$S81+$T81)</f>
        <v/>
      </c>
      <c r="V81" s="82">
        <f>IF($A81="","",INDEX(DM_DDK621,68)+INDEX(DM_DDK622,68)+INDEX(DM_DDK623,68)+INDEX(DM_DDK627,68))</f>
        <v/>
      </c>
      <c r="W81" s="82">
        <f>IF($A81="","",SUMIFS(L_ST,L_Ma,$A81,L_KM,"Phế liệu thu hồi",L_Ngay,"&gt;="&amp;pTu,L_Ngay,"&lt;="&amp;pDen))</f>
        <v/>
      </c>
      <c r="X81" s="82">
        <f>IF($A81="","",SUMIFS(L_ST,L_Ma,$A81,L_KM,"SP hỏng ngoài định mức",L_Ngay,"&gt;="&amp;pTu,L_Ngay,"&lt;="&amp;pDen))</f>
        <v/>
      </c>
      <c r="Y81" s="82">
        <f>IF($A81="","",$P81+$Q81+$R81+$U81)</f>
        <v/>
      </c>
      <c r="Z81" s="82">
        <f>IF($A81="","",IF($D81="Đang thực hiện",$V81+$Y81,CHOOSE(MATCH(pDoDang,LST_DoDang,0),$AE81,$AF81,$AG81)))</f>
        <v/>
      </c>
      <c r="AA81" s="82">
        <f>IF($A81="","",$V81+$Y81-$Z81-$W81-$X81)</f>
        <v/>
      </c>
      <c r="AB81" s="82">
        <f>IF($A81="","",INDEX(DM_SLHT,68))</f>
        <v/>
      </c>
      <c r="AC81" s="82">
        <f>IF($A81="","",IF($AB81&lt;=0,"⚠ CHƯA CÓ SL",ROUND($AA81/$AB81,0)))</f>
        <v/>
      </c>
      <c r="AE81" s="88">
        <f>IF($A81="","",IFERROR((INDEX(DM_DDK621,68)+$P81)/($AB81+INDEX(DM_SLDD,68))*INDEX(DM_SLDD,68),0))</f>
        <v/>
      </c>
      <c r="AF81" s="88">
        <f>IF($A81="","",IFERROR((INDEX(DM_DDK621,68)+$P81)/($AB81+INDEX(DM_SLDD,68))*INDEX(DM_SLDD,68),0)+IFERROR((INDEX(DM_DDK622,68)+$Q81)/($AB81+INDEX(DM_SLDD,68)*INDEX(DM_Pct,68))*(INDEX(DM_SLDD,68)*INDEX(DM_Pct,68)),0)+IFERROR((INDEX(DM_DDK623,68)+$R81)/($AB81+INDEX(DM_SLDD,68)*INDEX(DM_Pct,68))*(INDEX(DM_SLDD,68)*INDEX(DM_Pct,68)),0)+IFERROR((INDEX(DM_DDK627,68)+$U81)/($AB81+INDEX(DM_SLDD,68)*INDEX(DM_Pct,68))*(INDEX(DM_SLDD,68)*INDEX(DM_Pct,68)),0))</f>
        <v/>
      </c>
      <c r="AG81" s="88">
        <f>IF($A81="","",INDEX(DM_SLDD,68)*INDEX(DM_DGDinhMuc,68))</f>
        <v/>
      </c>
      <c r="AH81" s="88">
        <f>IF($A81="",0,IF(AND(ISNUMBER($AA81),$AA81&gt;0,$AB81&lt;=0),1,0))</f>
        <v/>
      </c>
      <c r="AI81" s="88">
        <f>IF($A81="",0,IF(AND(ISNUMBER($Z81),$Z81&lt;0),1,0))</f>
        <v/>
      </c>
      <c r="AJ81" s="88">
        <f>IF($A81="",0,IF(AND(ISNUMBER($AA81),$AA81&lt;0),1,0))</f>
        <v/>
      </c>
    </row>
    <row r="82" ht="15" customHeight="1" s="54">
      <c r="A82" s="80">
        <f>IF(INDEX(DM_Ma,69)="","",INDEX(DM_Ma,69))</f>
        <v/>
      </c>
      <c r="B82" s="80">
        <f>IF($A82="","",INDEX(DM_Ten,69))</f>
        <v/>
      </c>
      <c r="C82" s="80">
        <f>IF($A82="","",INDEX(DM_Loai,69))</f>
        <v/>
      </c>
      <c r="D82" s="80">
        <f>IF($A82="","",INDEX(DM_TrangThai,69))</f>
        <v/>
      </c>
      <c r="E82" s="82">
        <f>IF($A82="","",SUMIFS(L_ST,L_Ma,$A82,L_KM,"NVL trực tiếp (621)",L_TT,"Trực tiếp",L_Ngay,"&gt;="&amp;pTu,L_Ngay,"&lt;="&amp;pDen))</f>
        <v/>
      </c>
      <c r="F82" s="82">
        <f>IF($A82="","",SUMIFS(L_ST,L_Ma,$A82,L_KM,"Nhân công trực tiếp (622)",L_TT,"Trực tiếp",L_Ngay,"&gt;="&amp;pTu,L_Ngay,"&lt;="&amp;pDen))</f>
        <v/>
      </c>
      <c r="G82" s="82">
        <f>IF($A82="","",SUMIFS(L_ST,L_Ma,$A82,L_KM,"Máy thi công (623)",L_TT,"Trực tiếp",L_Ngay,"&gt;="&amp;pTu,L_Ngay,"&lt;="&amp;pDen))</f>
        <v/>
      </c>
      <c r="H82" s="82">
        <f>IF($A82="","",SUMIFS(L_ST,L_Ma,$A82,L_KM,"SXC (627)",L_TT,"Trực tiếp",L_Tinh,"Biến đổi",L_Ngay,"&gt;="&amp;pTu,L_Ngay,"&lt;="&amp;pDen))</f>
        <v/>
      </c>
      <c r="I82" s="82">
        <f>IF($A82="","",SUMIFS(L_ST,L_Ma,$A82,L_KM,"SXC (627)",L_TT,"Trực tiếp",L_Tinh,"Cố định",L_Ngay,"&gt;="&amp;pTu,L_Ngay,"&lt;="&amp;pDen))</f>
        <v/>
      </c>
      <c r="J82" s="82">
        <f>IF($A82="","",CHOOSE(MATCH(pTieuThuc,LST_TieuThuc,0),$E82,$F82,INDEX(DM_GioMay,69),INDEX(DM_GioCong,69),INDEX(DM_SLHT,69),INDEX(DM_DThu,69),INDEX(DM_TieuKhac,69)))</f>
        <v/>
      </c>
      <c r="K82" s="82">
        <f>IF($A82="","",IF(tBase=0,0,$J82/tBase*pool621))</f>
        <v/>
      </c>
      <c r="L82" s="82">
        <f>IF($A82="","",IF(tBase=0,0,$J82/tBase*pool622))</f>
        <v/>
      </c>
      <c r="M82" s="82">
        <f>IF($A82="","",IF(tBase=0,0,$J82/tBase*pool623))</f>
        <v/>
      </c>
      <c r="N82" s="82">
        <f>IF($A82="","",IF(tBase=0,0,$J82/tBase*pool627BD))</f>
        <v/>
      </c>
      <c r="O82" s="82">
        <f>IF($A82="","",IF(tBase=0,0,$J82/tBase*t627CDabs))</f>
        <v/>
      </c>
      <c r="P82" s="82">
        <f>IF($A82="","",$E82+$K82)</f>
        <v/>
      </c>
      <c r="Q82" s="82">
        <f>IF($A82="","",$F82+$L82)</f>
        <v/>
      </c>
      <c r="R82" s="82">
        <f>IF($A82="","",$G82+$M82)</f>
        <v/>
      </c>
      <c r="S82" s="82">
        <f>IF($A82="","",$H82+$N82)</f>
        <v/>
      </c>
      <c r="T82" s="82">
        <f>IF($A82="","",$I82+$O82)</f>
        <v/>
      </c>
      <c r="U82" s="82">
        <f>IF($A82="","",$S82+$T82)</f>
        <v/>
      </c>
      <c r="V82" s="82">
        <f>IF($A82="","",INDEX(DM_DDK621,69)+INDEX(DM_DDK622,69)+INDEX(DM_DDK623,69)+INDEX(DM_DDK627,69))</f>
        <v/>
      </c>
      <c r="W82" s="82">
        <f>IF($A82="","",SUMIFS(L_ST,L_Ma,$A82,L_KM,"Phế liệu thu hồi",L_Ngay,"&gt;="&amp;pTu,L_Ngay,"&lt;="&amp;pDen))</f>
        <v/>
      </c>
      <c r="X82" s="82">
        <f>IF($A82="","",SUMIFS(L_ST,L_Ma,$A82,L_KM,"SP hỏng ngoài định mức",L_Ngay,"&gt;="&amp;pTu,L_Ngay,"&lt;="&amp;pDen))</f>
        <v/>
      </c>
      <c r="Y82" s="82">
        <f>IF($A82="","",$P82+$Q82+$R82+$U82)</f>
        <v/>
      </c>
      <c r="Z82" s="82">
        <f>IF($A82="","",IF($D82="Đang thực hiện",$V82+$Y82,CHOOSE(MATCH(pDoDang,LST_DoDang,0),$AE82,$AF82,$AG82)))</f>
        <v/>
      </c>
      <c r="AA82" s="82">
        <f>IF($A82="","",$V82+$Y82-$Z82-$W82-$X82)</f>
        <v/>
      </c>
      <c r="AB82" s="82">
        <f>IF($A82="","",INDEX(DM_SLHT,69))</f>
        <v/>
      </c>
      <c r="AC82" s="82">
        <f>IF($A82="","",IF($AB82&lt;=0,"⚠ CHƯA CÓ SL",ROUND($AA82/$AB82,0)))</f>
        <v/>
      </c>
      <c r="AE82" s="88">
        <f>IF($A82="","",IFERROR((INDEX(DM_DDK621,69)+$P82)/($AB82+INDEX(DM_SLDD,69))*INDEX(DM_SLDD,69),0))</f>
        <v/>
      </c>
      <c r="AF82" s="88">
        <f>IF($A82="","",IFERROR((INDEX(DM_DDK621,69)+$P82)/($AB82+INDEX(DM_SLDD,69))*INDEX(DM_SLDD,69),0)+IFERROR((INDEX(DM_DDK622,69)+$Q82)/($AB82+INDEX(DM_SLDD,69)*INDEX(DM_Pct,69))*(INDEX(DM_SLDD,69)*INDEX(DM_Pct,69)),0)+IFERROR((INDEX(DM_DDK623,69)+$R82)/($AB82+INDEX(DM_SLDD,69)*INDEX(DM_Pct,69))*(INDEX(DM_SLDD,69)*INDEX(DM_Pct,69)),0)+IFERROR((INDEX(DM_DDK627,69)+$U82)/($AB82+INDEX(DM_SLDD,69)*INDEX(DM_Pct,69))*(INDEX(DM_SLDD,69)*INDEX(DM_Pct,69)),0))</f>
        <v/>
      </c>
      <c r="AG82" s="88">
        <f>IF($A82="","",INDEX(DM_SLDD,69)*INDEX(DM_DGDinhMuc,69))</f>
        <v/>
      </c>
      <c r="AH82" s="88">
        <f>IF($A82="",0,IF(AND(ISNUMBER($AA82),$AA82&gt;0,$AB82&lt;=0),1,0))</f>
        <v/>
      </c>
      <c r="AI82" s="88">
        <f>IF($A82="",0,IF(AND(ISNUMBER($Z82),$Z82&lt;0),1,0))</f>
        <v/>
      </c>
      <c r="AJ82" s="88">
        <f>IF($A82="",0,IF(AND(ISNUMBER($AA82),$AA82&lt;0),1,0))</f>
        <v/>
      </c>
    </row>
    <row r="83" ht="15" customHeight="1" s="54">
      <c r="A83" s="80">
        <f>IF(INDEX(DM_Ma,70)="","",INDEX(DM_Ma,70))</f>
        <v/>
      </c>
      <c r="B83" s="80">
        <f>IF($A83="","",INDEX(DM_Ten,70))</f>
        <v/>
      </c>
      <c r="C83" s="80">
        <f>IF($A83="","",INDEX(DM_Loai,70))</f>
        <v/>
      </c>
      <c r="D83" s="80">
        <f>IF($A83="","",INDEX(DM_TrangThai,70))</f>
        <v/>
      </c>
      <c r="E83" s="82">
        <f>IF($A83="","",SUMIFS(L_ST,L_Ma,$A83,L_KM,"NVL trực tiếp (621)",L_TT,"Trực tiếp",L_Ngay,"&gt;="&amp;pTu,L_Ngay,"&lt;="&amp;pDen))</f>
        <v/>
      </c>
      <c r="F83" s="82">
        <f>IF($A83="","",SUMIFS(L_ST,L_Ma,$A83,L_KM,"Nhân công trực tiếp (622)",L_TT,"Trực tiếp",L_Ngay,"&gt;="&amp;pTu,L_Ngay,"&lt;="&amp;pDen))</f>
        <v/>
      </c>
      <c r="G83" s="82">
        <f>IF($A83="","",SUMIFS(L_ST,L_Ma,$A83,L_KM,"Máy thi công (623)",L_TT,"Trực tiếp",L_Ngay,"&gt;="&amp;pTu,L_Ngay,"&lt;="&amp;pDen))</f>
        <v/>
      </c>
      <c r="H83" s="82">
        <f>IF($A83="","",SUMIFS(L_ST,L_Ma,$A83,L_KM,"SXC (627)",L_TT,"Trực tiếp",L_Tinh,"Biến đổi",L_Ngay,"&gt;="&amp;pTu,L_Ngay,"&lt;="&amp;pDen))</f>
        <v/>
      </c>
      <c r="I83" s="82">
        <f>IF($A83="","",SUMIFS(L_ST,L_Ma,$A83,L_KM,"SXC (627)",L_TT,"Trực tiếp",L_Tinh,"Cố định",L_Ngay,"&gt;="&amp;pTu,L_Ngay,"&lt;="&amp;pDen))</f>
        <v/>
      </c>
      <c r="J83" s="82">
        <f>IF($A83="","",CHOOSE(MATCH(pTieuThuc,LST_TieuThuc,0),$E83,$F83,INDEX(DM_GioMay,70),INDEX(DM_GioCong,70),INDEX(DM_SLHT,70),INDEX(DM_DThu,70),INDEX(DM_TieuKhac,70)))</f>
        <v/>
      </c>
      <c r="K83" s="82">
        <f>IF($A83="","",IF(tBase=0,0,$J83/tBase*pool621))</f>
        <v/>
      </c>
      <c r="L83" s="82">
        <f>IF($A83="","",IF(tBase=0,0,$J83/tBase*pool622))</f>
        <v/>
      </c>
      <c r="M83" s="82">
        <f>IF($A83="","",IF(tBase=0,0,$J83/tBase*pool623))</f>
        <v/>
      </c>
      <c r="N83" s="82">
        <f>IF($A83="","",IF(tBase=0,0,$J83/tBase*pool627BD))</f>
        <v/>
      </c>
      <c r="O83" s="82">
        <f>IF($A83="","",IF(tBase=0,0,$J83/tBase*t627CDabs))</f>
        <v/>
      </c>
      <c r="P83" s="82">
        <f>IF($A83="","",$E83+$K83)</f>
        <v/>
      </c>
      <c r="Q83" s="82">
        <f>IF($A83="","",$F83+$L83)</f>
        <v/>
      </c>
      <c r="R83" s="82">
        <f>IF($A83="","",$G83+$M83)</f>
        <v/>
      </c>
      <c r="S83" s="82">
        <f>IF($A83="","",$H83+$N83)</f>
        <v/>
      </c>
      <c r="T83" s="82">
        <f>IF($A83="","",$I83+$O83)</f>
        <v/>
      </c>
      <c r="U83" s="82">
        <f>IF($A83="","",$S83+$T83)</f>
        <v/>
      </c>
      <c r="V83" s="82">
        <f>IF($A83="","",INDEX(DM_DDK621,70)+INDEX(DM_DDK622,70)+INDEX(DM_DDK623,70)+INDEX(DM_DDK627,70))</f>
        <v/>
      </c>
      <c r="W83" s="82">
        <f>IF($A83="","",SUMIFS(L_ST,L_Ma,$A83,L_KM,"Phế liệu thu hồi",L_Ngay,"&gt;="&amp;pTu,L_Ngay,"&lt;="&amp;pDen))</f>
        <v/>
      </c>
      <c r="X83" s="82">
        <f>IF($A83="","",SUMIFS(L_ST,L_Ma,$A83,L_KM,"SP hỏng ngoài định mức",L_Ngay,"&gt;="&amp;pTu,L_Ngay,"&lt;="&amp;pDen))</f>
        <v/>
      </c>
      <c r="Y83" s="82">
        <f>IF($A83="","",$P83+$Q83+$R83+$U83)</f>
        <v/>
      </c>
      <c r="Z83" s="82">
        <f>IF($A83="","",IF($D83="Đang thực hiện",$V83+$Y83,CHOOSE(MATCH(pDoDang,LST_DoDang,0),$AE83,$AF83,$AG83)))</f>
        <v/>
      </c>
      <c r="AA83" s="82">
        <f>IF($A83="","",$V83+$Y83-$Z83-$W83-$X83)</f>
        <v/>
      </c>
      <c r="AB83" s="82">
        <f>IF($A83="","",INDEX(DM_SLHT,70))</f>
        <v/>
      </c>
      <c r="AC83" s="82">
        <f>IF($A83="","",IF($AB83&lt;=0,"⚠ CHƯA CÓ SL",ROUND($AA83/$AB83,0)))</f>
        <v/>
      </c>
      <c r="AE83" s="88">
        <f>IF($A83="","",IFERROR((INDEX(DM_DDK621,70)+$P83)/($AB83+INDEX(DM_SLDD,70))*INDEX(DM_SLDD,70),0))</f>
        <v/>
      </c>
      <c r="AF83" s="88">
        <f>IF($A83="","",IFERROR((INDEX(DM_DDK621,70)+$P83)/($AB83+INDEX(DM_SLDD,70))*INDEX(DM_SLDD,70),0)+IFERROR((INDEX(DM_DDK622,70)+$Q83)/($AB83+INDEX(DM_SLDD,70)*INDEX(DM_Pct,70))*(INDEX(DM_SLDD,70)*INDEX(DM_Pct,70)),0)+IFERROR((INDEX(DM_DDK623,70)+$R83)/($AB83+INDEX(DM_SLDD,70)*INDEX(DM_Pct,70))*(INDEX(DM_SLDD,70)*INDEX(DM_Pct,70)),0)+IFERROR((INDEX(DM_DDK627,70)+$U83)/($AB83+INDEX(DM_SLDD,70)*INDEX(DM_Pct,70))*(INDEX(DM_SLDD,70)*INDEX(DM_Pct,70)),0))</f>
        <v/>
      </c>
      <c r="AG83" s="88">
        <f>IF($A83="","",INDEX(DM_SLDD,70)*INDEX(DM_DGDinhMuc,70))</f>
        <v/>
      </c>
      <c r="AH83" s="88">
        <f>IF($A83="",0,IF(AND(ISNUMBER($AA83),$AA83&gt;0,$AB83&lt;=0),1,0))</f>
        <v/>
      </c>
      <c r="AI83" s="88">
        <f>IF($A83="",0,IF(AND(ISNUMBER($Z83),$Z83&lt;0),1,0))</f>
        <v/>
      </c>
      <c r="AJ83" s="88">
        <f>IF($A83="",0,IF(AND(ISNUMBER($AA83),$AA83&lt;0),1,0))</f>
        <v/>
      </c>
    </row>
    <row r="84" ht="15" customHeight="1" s="54">
      <c r="A84" s="80">
        <f>IF(INDEX(DM_Ma,71)="","",INDEX(DM_Ma,71))</f>
        <v/>
      </c>
      <c r="B84" s="80">
        <f>IF($A84="","",INDEX(DM_Ten,71))</f>
        <v/>
      </c>
      <c r="C84" s="80">
        <f>IF($A84="","",INDEX(DM_Loai,71))</f>
        <v/>
      </c>
      <c r="D84" s="80">
        <f>IF($A84="","",INDEX(DM_TrangThai,71))</f>
        <v/>
      </c>
      <c r="E84" s="82">
        <f>IF($A84="","",SUMIFS(L_ST,L_Ma,$A84,L_KM,"NVL trực tiếp (621)",L_TT,"Trực tiếp",L_Ngay,"&gt;="&amp;pTu,L_Ngay,"&lt;="&amp;pDen))</f>
        <v/>
      </c>
      <c r="F84" s="82">
        <f>IF($A84="","",SUMIFS(L_ST,L_Ma,$A84,L_KM,"Nhân công trực tiếp (622)",L_TT,"Trực tiếp",L_Ngay,"&gt;="&amp;pTu,L_Ngay,"&lt;="&amp;pDen))</f>
        <v/>
      </c>
      <c r="G84" s="82">
        <f>IF($A84="","",SUMIFS(L_ST,L_Ma,$A84,L_KM,"Máy thi công (623)",L_TT,"Trực tiếp",L_Ngay,"&gt;="&amp;pTu,L_Ngay,"&lt;="&amp;pDen))</f>
        <v/>
      </c>
      <c r="H84" s="82">
        <f>IF($A84="","",SUMIFS(L_ST,L_Ma,$A84,L_KM,"SXC (627)",L_TT,"Trực tiếp",L_Tinh,"Biến đổi",L_Ngay,"&gt;="&amp;pTu,L_Ngay,"&lt;="&amp;pDen))</f>
        <v/>
      </c>
      <c r="I84" s="82">
        <f>IF($A84="","",SUMIFS(L_ST,L_Ma,$A84,L_KM,"SXC (627)",L_TT,"Trực tiếp",L_Tinh,"Cố định",L_Ngay,"&gt;="&amp;pTu,L_Ngay,"&lt;="&amp;pDen))</f>
        <v/>
      </c>
      <c r="J84" s="82">
        <f>IF($A84="","",CHOOSE(MATCH(pTieuThuc,LST_TieuThuc,0),$E84,$F84,INDEX(DM_GioMay,71),INDEX(DM_GioCong,71),INDEX(DM_SLHT,71),INDEX(DM_DThu,71),INDEX(DM_TieuKhac,71)))</f>
        <v/>
      </c>
      <c r="K84" s="82">
        <f>IF($A84="","",IF(tBase=0,0,$J84/tBase*pool621))</f>
        <v/>
      </c>
      <c r="L84" s="82">
        <f>IF($A84="","",IF(tBase=0,0,$J84/tBase*pool622))</f>
        <v/>
      </c>
      <c r="M84" s="82">
        <f>IF($A84="","",IF(tBase=0,0,$J84/tBase*pool623))</f>
        <v/>
      </c>
      <c r="N84" s="82">
        <f>IF($A84="","",IF(tBase=0,0,$J84/tBase*pool627BD))</f>
        <v/>
      </c>
      <c r="O84" s="82">
        <f>IF($A84="","",IF(tBase=0,0,$J84/tBase*t627CDabs))</f>
        <v/>
      </c>
      <c r="P84" s="82">
        <f>IF($A84="","",$E84+$K84)</f>
        <v/>
      </c>
      <c r="Q84" s="82">
        <f>IF($A84="","",$F84+$L84)</f>
        <v/>
      </c>
      <c r="R84" s="82">
        <f>IF($A84="","",$G84+$M84)</f>
        <v/>
      </c>
      <c r="S84" s="82">
        <f>IF($A84="","",$H84+$N84)</f>
        <v/>
      </c>
      <c r="T84" s="82">
        <f>IF($A84="","",$I84+$O84)</f>
        <v/>
      </c>
      <c r="U84" s="82">
        <f>IF($A84="","",$S84+$T84)</f>
        <v/>
      </c>
      <c r="V84" s="82">
        <f>IF($A84="","",INDEX(DM_DDK621,71)+INDEX(DM_DDK622,71)+INDEX(DM_DDK623,71)+INDEX(DM_DDK627,71))</f>
        <v/>
      </c>
      <c r="W84" s="82">
        <f>IF($A84="","",SUMIFS(L_ST,L_Ma,$A84,L_KM,"Phế liệu thu hồi",L_Ngay,"&gt;="&amp;pTu,L_Ngay,"&lt;="&amp;pDen))</f>
        <v/>
      </c>
      <c r="X84" s="82">
        <f>IF($A84="","",SUMIFS(L_ST,L_Ma,$A84,L_KM,"SP hỏng ngoài định mức",L_Ngay,"&gt;="&amp;pTu,L_Ngay,"&lt;="&amp;pDen))</f>
        <v/>
      </c>
      <c r="Y84" s="82">
        <f>IF($A84="","",$P84+$Q84+$R84+$U84)</f>
        <v/>
      </c>
      <c r="Z84" s="82">
        <f>IF($A84="","",IF($D84="Đang thực hiện",$V84+$Y84,CHOOSE(MATCH(pDoDang,LST_DoDang,0),$AE84,$AF84,$AG84)))</f>
        <v/>
      </c>
      <c r="AA84" s="82">
        <f>IF($A84="","",$V84+$Y84-$Z84-$W84-$X84)</f>
        <v/>
      </c>
      <c r="AB84" s="82">
        <f>IF($A84="","",INDEX(DM_SLHT,71))</f>
        <v/>
      </c>
      <c r="AC84" s="82">
        <f>IF($A84="","",IF($AB84&lt;=0,"⚠ CHƯA CÓ SL",ROUND($AA84/$AB84,0)))</f>
        <v/>
      </c>
      <c r="AE84" s="88">
        <f>IF($A84="","",IFERROR((INDEX(DM_DDK621,71)+$P84)/($AB84+INDEX(DM_SLDD,71))*INDEX(DM_SLDD,71),0))</f>
        <v/>
      </c>
      <c r="AF84" s="88">
        <f>IF($A84="","",IFERROR((INDEX(DM_DDK621,71)+$P84)/($AB84+INDEX(DM_SLDD,71))*INDEX(DM_SLDD,71),0)+IFERROR((INDEX(DM_DDK622,71)+$Q84)/($AB84+INDEX(DM_SLDD,71)*INDEX(DM_Pct,71))*(INDEX(DM_SLDD,71)*INDEX(DM_Pct,71)),0)+IFERROR((INDEX(DM_DDK623,71)+$R84)/($AB84+INDEX(DM_SLDD,71)*INDEX(DM_Pct,71))*(INDEX(DM_SLDD,71)*INDEX(DM_Pct,71)),0)+IFERROR((INDEX(DM_DDK627,71)+$U84)/($AB84+INDEX(DM_SLDD,71)*INDEX(DM_Pct,71))*(INDEX(DM_SLDD,71)*INDEX(DM_Pct,71)),0))</f>
        <v/>
      </c>
      <c r="AG84" s="88">
        <f>IF($A84="","",INDEX(DM_SLDD,71)*INDEX(DM_DGDinhMuc,71))</f>
        <v/>
      </c>
      <c r="AH84" s="88">
        <f>IF($A84="",0,IF(AND(ISNUMBER($AA84),$AA84&gt;0,$AB84&lt;=0),1,0))</f>
        <v/>
      </c>
      <c r="AI84" s="88">
        <f>IF($A84="",0,IF(AND(ISNUMBER($Z84),$Z84&lt;0),1,0))</f>
        <v/>
      </c>
      <c r="AJ84" s="88">
        <f>IF($A84="",0,IF(AND(ISNUMBER($AA84),$AA84&lt;0),1,0))</f>
        <v/>
      </c>
    </row>
    <row r="85" ht="15" customHeight="1" s="54">
      <c r="A85" s="80">
        <f>IF(INDEX(DM_Ma,72)="","",INDEX(DM_Ma,72))</f>
        <v/>
      </c>
      <c r="B85" s="80">
        <f>IF($A85="","",INDEX(DM_Ten,72))</f>
        <v/>
      </c>
      <c r="C85" s="80">
        <f>IF($A85="","",INDEX(DM_Loai,72))</f>
        <v/>
      </c>
      <c r="D85" s="80">
        <f>IF($A85="","",INDEX(DM_TrangThai,72))</f>
        <v/>
      </c>
      <c r="E85" s="82">
        <f>IF($A85="","",SUMIFS(L_ST,L_Ma,$A85,L_KM,"NVL trực tiếp (621)",L_TT,"Trực tiếp",L_Ngay,"&gt;="&amp;pTu,L_Ngay,"&lt;="&amp;pDen))</f>
        <v/>
      </c>
      <c r="F85" s="82">
        <f>IF($A85="","",SUMIFS(L_ST,L_Ma,$A85,L_KM,"Nhân công trực tiếp (622)",L_TT,"Trực tiếp",L_Ngay,"&gt;="&amp;pTu,L_Ngay,"&lt;="&amp;pDen))</f>
        <v/>
      </c>
      <c r="G85" s="82">
        <f>IF($A85="","",SUMIFS(L_ST,L_Ma,$A85,L_KM,"Máy thi công (623)",L_TT,"Trực tiếp",L_Ngay,"&gt;="&amp;pTu,L_Ngay,"&lt;="&amp;pDen))</f>
        <v/>
      </c>
      <c r="H85" s="82">
        <f>IF($A85="","",SUMIFS(L_ST,L_Ma,$A85,L_KM,"SXC (627)",L_TT,"Trực tiếp",L_Tinh,"Biến đổi",L_Ngay,"&gt;="&amp;pTu,L_Ngay,"&lt;="&amp;pDen))</f>
        <v/>
      </c>
      <c r="I85" s="82">
        <f>IF($A85="","",SUMIFS(L_ST,L_Ma,$A85,L_KM,"SXC (627)",L_TT,"Trực tiếp",L_Tinh,"Cố định",L_Ngay,"&gt;="&amp;pTu,L_Ngay,"&lt;="&amp;pDen))</f>
        <v/>
      </c>
      <c r="J85" s="82">
        <f>IF($A85="","",CHOOSE(MATCH(pTieuThuc,LST_TieuThuc,0),$E85,$F85,INDEX(DM_GioMay,72),INDEX(DM_GioCong,72),INDEX(DM_SLHT,72),INDEX(DM_DThu,72),INDEX(DM_TieuKhac,72)))</f>
        <v/>
      </c>
      <c r="K85" s="82">
        <f>IF($A85="","",IF(tBase=0,0,$J85/tBase*pool621))</f>
        <v/>
      </c>
      <c r="L85" s="82">
        <f>IF($A85="","",IF(tBase=0,0,$J85/tBase*pool622))</f>
        <v/>
      </c>
      <c r="M85" s="82">
        <f>IF($A85="","",IF(tBase=0,0,$J85/tBase*pool623))</f>
        <v/>
      </c>
      <c r="N85" s="82">
        <f>IF($A85="","",IF(tBase=0,0,$J85/tBase*pool627BD))</f>
        <v/>
      </c>
      <c r="O85" s="82">
        <f>IF($A85="","",IF(tBase=0,0,$J85/tBase*t627CDabs))</f>
        <v/>
      </c>
      <c r="P85" s="82">
        <f>IF($A85="","",$E85+$K85)</f>
        <v/>
      </c>
      <c r="Q85" s="82">
        <f>IF($A85="","",$F85+$L85)</f>
        <v/>
      </c>
      <c r="R85" s="82">
        <f>IF($A85="","",$G85+$M85)</f>
        <v/>
      </c>
      <c r="S85" s="82">
        <f>IF($A85="","",$H85+$N85)</f>
        <v/>
      </c>
      <c r="T85" s="82">
        <f>IF($A85="","",$I85+$O85)</f>
        <v/>
      </c>
      <c r="U85" s="82">
        <f>IF($A85="","",$S85+$T85)</f>
        <v/>
      </c>
      <c r="V85" s="82">
        <f>IF($A85="","",INDEX(DM_DDK621,72)+INDEX(DM_DDK622,72)+INDEX(DM_DDK623,72)+INDEX(DM_DDK627,72))</f>
        <v/>
      </c>
      <c r="W85" s="82">
        <f>IF($A85="","",SUMIFS(L_ST,L_Ma,$A85,L_KM,"Phế liệu thu hồi",L_Ngay,"&gt;="&amp;pTu,L_Ngay,"&lt;="&amp;pDen))</f>
        <v/>
      </c>
      <c r="X85" s="82">
        <f>IF($A85="","",SUMIFS(L_ST,L_Ma,$A85,L_KM,"SP hỏng ngoài định mức",L_Ngay,"&gt;="&amp;pTu,L_Ngay,"&lt;="&amp;pDen))</f>
        <v/>
      </c>
      <c r="Y85" s="82">
        <f>IF($A85="","",$P85+$Q85+$R85+$U85)</f>
        <v/>
      </c>
      <c r="Z85" s="82">
        <f>IF($A85="","",IF($D85="Đang thực hiện",$V85+$Y85,CHOOSE(MATCH(pDoDang,LST_DoDang,0),$AE85,$AF85,$AG85)))</f>
        <v/>
      </c>
      <c r="AA85" s="82">
        <f>IF($A85="","",$V85+$Y85-$Z85-$W85-$X85)</f>
        <v/>
      </c>
      <c r="AB85" s="82">
        <f>IF($A85="","",INDEX(DM_SLHT,72))</f>
        <v/>
      </c>
      <c r="AC85" s="82">
        <f>IF($A85="","",IF($AB85&lt;=0,"⚠ CHƯA CÓ SL",ROUND($AA85/$AB85,0)))</f>
        <v/>
      </c>
      <c r="AE85" s="88">
        <f>IF($A85="","",IFERROR((INDEX(DM_DDK621,72)+$P85)/($AB85+INDEX(DM_SLDD,72))*INDEX(DM_SLDD,72),0))</f>
        <v/>
      </c>
      <c r="AF85" s="88">
        <f>IF($A85="","",IFERROR((INDEX(DM_DDK621,72)+$P85)/($AB85+INDEX(DM_SLDD,72))*INDEX(DM_SLDD,72),0)+IFERROR((INDEX(DM_DDK622,72)+$Q85)/($AB85+INDEX(DM_SLDD,72)*INDEX(DM_Pct,72))*(INDEX(DM_SLDD,72)*INDEX(DM_Pct,72)),0)+IFERROR((INDEX(DM_DDK623,72)+$R85)/($AB85+INDEX(DM_SLDD,72)*INDEX(DM_Pct,72))*(INDEX(DM_SLDD,72)*INDEX(DM_Pct,72)),0)+IFERROR((INDEX(DM_DDK627,72)+$U85)/($AB85+INDEX(DM_SLDD,72)*INDEX(DM_Pct,72))*(INDEX(DM_SLDD,72)*INDEX(DM_Pct,72)),0))</f>
        <v/>
      </c>
      <c r="AG85" s="88">
        <f>IF($A85="","",INDEX(DM_SLDD,72)*INDEX(DM_DGDinhMuc,72))</f>
        <v/>
      </c>
      <c r="AH85" s="88">
        <f>IF($A85="",0,IF(AND(ISNUMBER($AA85),$AA85&gt;0,$AB85&lt;=0),1,0))</f>
        <v/>
      </c>
      <c r="AI85" s="88">
        <f>IF($A85="",0,IF(AND(ISNUMBER($Z85),$Z85&lt;0),1,0))</f>
        <v/>
      </c>
      <c r="AJ85" s="88">
        <f>IF($A85="",0,IF(AND(ISNUMBER($AA85),$AA85&lt;0),1,0))</f>
        <v/>
      </c>
    </row>
    <row r="86" ht="15" customHeight="1" s="54">
      <c r="A86" s="80">
        <f>IF(INDEX(DM_Ma,73)="","",INDEX(DM_Ma,73))</f>
        <v/>
      </c>
      <c r="B86" s="80">
        <f>IF($A86="","",INDEX(DM_Ten,73))</f>
        <v/>
      </c>
      <c r="C86" s="80">
        <f>IF($A86="","",INDEX(DM_Loai,73))</f>
        <v/>
      </c>
      <c r="D86" s="80">
        <f>IF($A86="","",INDEX(DM_TrangThai,73))</f>
        <v/>
      </c>
      <c r="E86" s="82">
        <f>IF($A86="","",SUMIFS(L_ST,L_Ma,$A86,L_KM,"NVL trực tiếp (621)",L_TT,"Trực tiếp",L_Ngay,"&gt;="&amp;pTu,L_Ngay,"&lt;="&amp;pDen))</f>
        <v/>
      </c>
      <c r="F86" s="82">
        <f>IF($A86="","",SUMIFS(L_ST,L_Ma,$A86,L_KM,"Nhân công trực tiếp (622)",L_TT,"Trực tiếp",L_Ngay,"&gt;="&amp;pTu,L_Ngay,"&lt;="&amp;pDen))</f>
        <v/>
      </c>
      <c r="G86" s="82">
        <f>IF($A86="","",SUMIFS(L_ST,L_Ma,$A86,L_KM,"Máy thi công (623)",L_TT,"Trực tiếp",L_Ngay,"&gt;="&amp;pTu,L_Ngay,"&lt;="&amp;pDen))</f>
        <v/>
      </c>
      <c r="H86" s="82">
        <f>IF($A86="","",SUMIFS(L_ST,L_Ma,$A86,L_KM,"SXC (627)",L_TT,"Trực tiếp",L_Tinh,"Biến đổi",L_Ngay,"&gt;="&amp;pTu,L_Ngay,"&lt;="&amp;pDen))</f>
        <v/>
      </c>
      <c r="I86" s="82">
        <f>IF($A86="","",SUMIFS(L_ST,L_Ma,$A86,L_KM,"SXC (627)",L_TT,"Trực tiếp",L_Tinh,"Cố định",L_Ngay,"&gt;="&amp;pTu,L_Ngay,"&lt;="&amp;pDen))</f>
        <v/>
      </c>
      <c r="J86" s="82">
        <f>IF($A86="","",CHOOSE(MATCH(pTieuThuc,LST_TieuThuc,0),$E86,$F86,INDEX(DM_GioMay,73),INDEX(DM_GioCong,73),INDEX(DM_SLHT,73),INDEX(DM_DThu,73),INDEX(DM_TieuKhac,73)))</f>
        <v/>
      </c>
      <c r="K86" s="82">
        <f>IF($A86="","",IF(tBase=0,0,$J86/tBase*pool621))</f>
        <v/>
      </c>
      <c r="L86" s="82">
        <f>IF($A86="","",IF(tBase=0,0,$J86/tBase*pool622))</f>
        <v/>
      </c>
      <c r="M86" s="82">
        <f>IF($A86="","",IF(tBase=0,0,$J86/tBase*pool623))</f>
        <v/>
      </c>
      <c r="N86" s="82">
        <f>IF($A86="","",IF(tBase=0,0,$J86/tBase*pool627BD))</f>
        <v/>
      </c>
      <c r="O86" s="82">
        <f>IF($A86="","",IF(tBase=0,0,$J86/tBase*t627CDabs))</f>
        <v/>
      </c>
      <c r="P86" s="82">
        <f>IF($A86="","",$E86+$K86)</f>
        <v/>
      </c>
      <c r="Q86" s="82">
        <f>IF($A86="","",$F86+$L86)</f>
        <v/>
      </c>
      <c r="R86" s="82">
        <f>IF($A86="","",$G86+$M86)</f>
        <v/>
      </c>
      <c r="S86" s="82">
        <f>IF($A86="","",$H86+$N86)</f>
        <v/>
      </c>
      <c r="T86" s="82">
        <f>IF($A86="","",$I86+$O86)</f>
        <v/>
      </c>
      <c r="U86" s="82">
        <f>IF($A86="","",$S86+$T86)</f>
        <v/>
      </c>
      <c r="V86" s="82">
        <f>IF($A86="","",INDEX(DM_DDK621,73)+INDEX(DM_DDK622,73)+INDEX(DM_DDK623,73)+INDEX(DM_DDK627,73))</f>
        <v/>
      </c>
      <c r="W86" s="82">
        <f>IF($A86="","",SUMIFS(L_ST,L_Ma,$A86,L_KM,"Phế liệu thu hồi",L_Ngay,"&gt;="&amp;pTu,L_Ngay,"&lt;="&amp;pDen))</f>
        <v/>
      </c>
      <c r="X86" s="82">
        <f>IF($A86="","",SUMIFS(L_ST,L_Ma,$A86,L_KM,"SP hỏng ngoài định mức",L_Ngay,"&gt;="&amp;pTu,L_Ngay,"&lt;="&amp;pDen))</f>
        <v/>
      </c>
      <c r="Y86" s="82">
        <f>IF($A86="","",$P86+$Q86+$R86+$U86)</f>
        <v/>
      </c>
      <c r="Z86" s="82">
        <f>IF($A86="","",IF($D86="Đang thực hiện",$V86+$Y86,CHOOSE(MATCH(pDoDang,LST_DoDang,0),$AE86,$AF86,$AG86)))</f>
        <v/>
      </c>
      <c r="AA86" s="82">
        <f>IF($A86="","",$V86+$Y86-$Z86-$W86-$X86)</f>
        <v/>
      </c>
      <c r="AB86" s="82">
        <f>IF($A86="","",INDEX(DM_SLHT,73))</f>
        <v/>
      </c>
      <c r="AC86" s="82">
        <f>IF($A86="","",IF($AB86&lt;=0,"⚠ CHƯA CÓ SL",ROUND($AA86/$AB86,0)))</f>
        <v/>
      </c>
      <c r="AE86" s="88">
        <f>IF($A86="","",IFERROR((INDEX(DM_DDK621,73)+$P86)/($AB86+INDEX(DM_SLDD,73))*INDEX(DM_SLDD,73),0))</f>
        <v/>
      </c>
      <c r="AF86" s="88">
        <f>IF($A86="","",IFERROR((INDEX(DM_DDK621,73)+$P86)/($AB86+INDEX(DM_SLDD,73))*INDEX(DM_SLDD,73),0)+IFERROR((INDEX(DM_DDK622,73)+$Q86)/($AB86+INDEX(DM_SLDD,73)*INDEX(DM_Pct,73))*(INDEX(DM_SLDD,73)*INDEX(DM_Pct,73)),0)+IFERROR((INDEX(DM_DDK623,73)+$R86)/($AB86+INDEX(DM_SLDD,73)*INDEX(DM_Pct,73))*(INDEX(DM_SLDD,73)*INDEX(DM_Pct,73)),0)+IFERROR((INDEX(DM_DDK627,73)+$U86)/($AB86+INDEX(DM_SLDD,73)*INDEX(DM_Pct,73))*(INDEX(DM_SLDD,73)*INDEX(DM_Pct,73)),0))</f>
        <v/>
      </c>
      <c r="AG86" s="88">
        <f>IF($A86="","",INDEX(DM_SLDD,73)*INDEX(DM_DGDinhMuc,73))</f>
        <v/>
      </c>
      <c r="AH86" s="88">
        <f>IF($A86="",0,IF(AND(ISNUMBER($AA86),$AA86&gt;0,$AB86&lt;=0),1,0))</f>
        <v/>
      </c>
      <c r="AI86" s="88">
        <f>IF($A86="",0,IF(AND(ISNUMBER($Z86),$Z86&lt;0),1,0))</f>
        <v/>
      </c>
      <c r="AJ86" s="88">
        <f>IF($A86="",0,IF(AND(ISNUMBER($AA86),$AA86&lt;0),1,0))</f>
        <v/>
      </c>
    </row>
    <row r="87" ht="15" customHeight="1" s="54">
      <c r="A87" s="80">
        <f>IF(INDEX(DM_Ma,74)="","",INDEX(DM_Ma,74))</f>
        <v/>
      </c>
      <c r="B87" s="80">
        <f>IF($A87="","",INDEX(DM_Ten,74))</f>
        <v/>
      </c>
      <c r="C87" s="80">
        <f>IF($A87="","",INDEX(DM_Loai,74))</f>
        <v/>
      </c>
      <c r="D87" s="80">
        <f>IF($A87="","",INDEX(DM_TrangThai,74))</f>
        <v/>
      </c>
      <c r="E87" s="82">
        <f>IF($A87="","",SUMIFS(L_ST,L_Ma,$A87,L_KM,"NVL trực tiếp (621)",L_TT,"Trực tiếp",L_Ngay,"&gt;="&amp;pTu,L_Ngay,"&lt;="&amp;pDen))</f>
        <v/>
      </c>
      <c r="F87" s="82">
        <f>IF($A87="","",SUMIFS(L_ST,L_Ma,$A87,L_KM,"Nhân công trực tiếp (622)",L_TT,"Trực tiếp",L_Ngay,"&gt;="&amp;pTu,L_Ngay,"&lt;="&amp;pDen))</f>
        <v/>
      </c>
      <c r="G87" s="82">
        <f>IF($A87="","",SUMIFS(L_ST,L_Ma,$A87,L_KM,"Máy thi công (623)",L_TT,"Trực tiếp",L_Ngay,"&gt;="&amp;pTu,L_Ngay,"&lt;="&amp;pDen))</f>
        <v/>
      </c>
      <c r="H87" s="82">
        <f>IF($A87="","",SUMIFS(L_ST,L_Ma,$A87,L_KM,"SXC (627)",L_TT,"Trực tiếp",L_Tinh,"Biến đổi",L_Ngay,"&gt;="&amp;pTu,L_Ngay,"&lt;="&amp;pDen))</f>
        <v/>
      </c>
      <c r="I87" s="82">
        <f>IF($A87="","",SUMIFS(L_ST,L_Ma,$A87,L_KM,"SXC (627)",L_TT,"Trực tiếp",L_Tinh,"Cố định",L_Ngay,"&gt;="&amp;pTu,L_Ngay,"&lt;="&amp;pDen))</f>
        <v/>
      </c>
      <c r="J87" s="82">
        <f>IF($A87="","",CHOOSE(MATCH(pTieuThuc,LST_TieuThuc,0),$E87,$F87,INDEX(DM_GioMay,74),INDEX(DM_GioCong,74),INDEX(DM_SLHT,74),INDEX(DM_DThu,74),INDEX(DM_TieuKhac,74)))</f>
        <v/>
      </c>
      <c r="K87" s="82">
        <f>IF($A87="","",IF(tBase=0,0,$J87/tBase*pool621))</f>
        <v/>
      </c>
      <c r="L87" s="82">
        <f>IF($A87="","",IF(tBase=0,0,$J87/tBase*pool622))</f>
        <v/>
      </c>
      <c r="M87" s="82">
        <f>IF($A87="","",IF(tBase=0,0,$J87/tBase*pool623))</f>
        <v/>
      </c>
      <c r="N87" s="82">
        <f>IF($A87="","",IF(tBase=0,0,$J87/tBase*pool627BD))</f>
        <v/>
      </c>
      <c r="O87" s="82">
        <f>IF($A87="","",IF(tBase=0,0,$J87/tBase*t627CDabs))</f>
        <v/>
      </c>
      <c r="P87" s="82">
        <f>IF($A87="","",$E87+$K87)</f>
        <v/>
      </c>
      <c r="Q87" s="82">
        <f>IF($A87="","",$F87+$L87)</f>
        <v/>
      </c>
      <c r="R87" s="82">
        <f>IF($A87="","",$G87+$M87)</f>
        <v/>
      </c>
      <c r="S87" s="82">
        <f>IF($A87="","",$H87+$N87)</f>
        <v/>
      </c>
      <c r="T87" s="82">
        <f>IF($A87="","",$I87+$O87)</f>
        <v/>
      </c>
      <c r="U87" s="82">
        <f>IF($A87="","",$S87+$T87)</f>
        <v/>
      </c>
      <c r="V87" s="82">
        <f>IF($A87="","",INDEX(DM_DDK621,74)+INDEX(DM_DDK622,74)+INDEX(DM_DDK623,74)+INDEX(DM_DDK627,74))</f>
        <v/>
      </c>
      <c r="W87" s="82">
        <f>IF($A87="","",SUMIFS(L_ST,L_Ma,$A87,L_KM,"Phế liệu thu hồi",L_Ngay,"&gt;="&amp;pTu,L_Ngay,"&lt;="&amp;pDen))</f>
        <v/>
      </c>
      <c r="X87" s="82">
        <f>IF($A87="","",SUMIFS(L_ST,L_Ma,$A87,L_KM,"SP hỏng ngoài định mức",L_Ngay,"&gt;="&amp;pTu,L_Ngay,"&lt;="&amp;pDen))</f>
        <v/>
      </c>
      <c r="Y87" s="82">
        <f>IF($A87="","",$P87+$Q87+$R87+$U87)</f>
        <v/>
      </c>
      <c r="Z87" s="82">
        <f>IF($A87="","",IF($D87="Đang thực hiện",$V87+$Y87,CHOOSE(MATCH(pDoDang,LST_DoDang,0),$AE87,$AF87,$AG87)))</f>
        <v/>
      </c>
      <c r="AA87" s="82">
        <f>IF($A87="","",$V87+$Y87-$Z87-$W87-$X87)</f>
        <v/>
      </c>
      <c r="AB87" s="82">
        <f>IF($A87="","",INDEX(DM_SLHT,74))</f>
        <v/>
      </c>
      <c r="AC87" s="82">
        <f>IF($A87="","",IF($AB87&lt;=0,"⚠ CHƯA CÓ SL",ROUND($AA87/$AB87,0)))</f>
        <v/>
      </c>
      <c r="AE87" s="88">
        <f>IF($A87="","",IFERROR((INDEX(DM_DDK621,74)+$P87)/($AB87+INDEX(DM_SLDD,74))*INDEX(DM_SLDD,74),0))</f>
        <v/>
      </c>
      <c r="AF87" s="88">
        <f>IF($A87="","",IFERROR((INDEX(DM_DDK621,74)+$P87)/($AB87+INDEX(DM_SLDD,74))*INDEX(DM_SLDD,74),0)+IFERROR((INDEX(DM_DDK622,74)+$Q87)/($AB87+INDEX(DM_SLDD,74)*INDEX(DM_Pct,74))*(INDEX(DM_SLDD,74)*INDEX(DM_Pct,74)),0)+IFERROR((INDEX(DM_DDK623,74)+$R87)/($AB87+INDEX(DM_SLDD,74)*INDEX(DM_Pct,74))*(INDEX(DM_SLDD,74)*INDEX(DM_Pct,74)),0)+IFERROR((INDEX(DM_DDK627,74)+$U87)/($AB87+INDEX(DM_SLDD,74)*INDEX(DM_Pct,74))*(INDEX(DM_SLDD,74)*INDEX(DM_Pct,74)),0))</f>
        <v/>
      </c>
      <c r="AG87" s="88">
        <f>IF($A87="","",INDEX(DM_SLDD,74)*INDEX(DM_DGDinhMuc,74))</f>
        <v/>
      </c>
      <c r="AH87" s="88">
        <f>IF($A87="",0,IF(AND(ISNUMBER($AA87),$AA87&gt;0,$AB87&lt;=0),1,0))</f>
        <v/>
      </c>
      <c r="AI87" s="88">
        <f>IF($A87="",0,IF(AND(ISNUMBER($Z87),$Z87&lt;0),1,0))</f>
        <v/>
      </c>
      <c r="AJ87" s="88">
        <f>IF($A87="",0,IF(AND(ISNUMBER($AA87),$AA87&lt;0),1,0))</f>
        <v/>
      </c>
    </row>
    <row r="88" ht="15" customHeight="1" s="54">
      <c r="A88" s="80">
        <f>IF(INDEX(DM_Ma,75)="","",INDEX(DM_Ma,75))</f>
        <v/>
      </c>
      <c r="B88" s="80">
        <f>IF($A88="","",INDEX(DM_Ten,75))</f>
        <v/>
      </c>
      <c r="C88" s="80">
        <f>IF($A88="","",INDEX(DM_Loai,75))</f>
        <v/>
      </c>
      <c r="D88" s="80">
        <f>IF($A88="","",INDEX(DM_TrangThai,75))</f>
        <v/>
      </c>
      <c r="E88" s="82">
        <f>IF($A88="","",SUMIFS(L_ST,L_Ma,$A88,L_KM,"NVL trực tiếp (621)",L_TT,"Trực tiếp",L_Ngay,"&gt;="&amp;pTu,L_Ngay,"&lt;="&amp;pDen))</f>
        <v/>
      </c>
      <c r="F88" s="82">
        <f>IF($A88="","",SUMIFS(L_ST,L_Ma,$A88,L_KM,"Nhân công trực tiếp (622)",L_TT,"Trực tiếp",L_Ngay,"&gt;="&amp;pTu,L_Ngay,"&lt;="&amp;pDen))</f>
        <v/>
      </c>
      <c r="G88" s="82">
        <f>IF($A88="","",SUMIFS(L_ST,L_Ma,$A88,L_KM,"Máy thi công (623)",L_TT,"Trực tiếp",L_Ngay,"&gt;="&amp;pTu,L_Ngay,"&lt;="&amp;pDen))</f>
        <v/>
      </c>
      <c r="H88" s="82">
        <f>IF($A88="","",SUMIFS(L_ST,L_Ma,$A88,L_KM,"SXC (627)",L_TT,"Trực tiếp",L_Tinh,"Biến đổi",L_Ngay,"&gt;="&amp;pTu,L_Ngay,"&lt;="&amp;pDen))</f>
        <v/>
      </c>
      <c r="I88" s="82">
        <f>IF($A88="","",SUMIFS(L_ST,L_Ma,$A88,L_KM,"SXC (627)",L_TT,"Trực tiếp",L_Tinh,"Cố định",L_Ngay,"&gt;="&amp;pTu,L_Ngay,"&lt;="&amp;pDen))</f>
        <v/>
      </c>
      <c r="J88" s="82">
        <f>IF($A88="","",CHOOSE(MATCH(pTieuThuc,LST_TieuThuc,0),$E88,$F88,INDEX(DM_GioMay,75),INDEX(DM_GioCong,75),INDEX(DM_SLHT,75),INDEX(DM_DThu,75),INDEX(DM_TieuKhac,75)))</f>
        <v/>
      </c>
      <c r="K88" s="82">
        <f>IF($A88="","",IF(tBase=0,0,$J88/tBase*pool621))</f>
        <v/>
      </c>
      <c r="L88" s="82">
        <f>IF($A88="","",IF(tBase=0,0,$J88/tBase*pool622))</f>
        <v/>
      </c>
      <c r="M88" s="82">
        <f>IF($A88="","",IF(tBase=0,0,$J88/tBase*pool623))</f>
        <v/>
      </c>
      <c r="N88" s="82">
        <f>IF($A88="","",IF(tBase=0,0,$J88/tBase*pool627BD))</f>
        <v/>
      </c>
      <c r="O88" s="82">
        <f>IF($A88="","",IF(tBase=0,0,$J88/tBase*t627CDabs))</f>
        <v/>
      </c>
      <c r="P88" s="82">
        <f>IF($A88="","",$E88+$K88)</f>
        <v/>
      </c>
      <c r="Q88" s="82">
        <f>IF($A88="","",$F88+$L88)</f>
        <v/>
      </c>
      <c r="R88" s="82">
        <f>IF($A88="","",$G88+$M88)</f>
        <v/>
      </c>
      <c r="S88" s="82">
        <f>IF($A88="","",$H88+$N88)</f>
        <v/>
      </c>
      <c r="T88" s="82">
        <f>IF($A88="","",$I88+$O88)</f>
        <v/>
      </c>
      <c r="U88" s="82">
        <f>IF($A88="","",$S88+$T88)</f>
        <v/>
      </c>
      <c r="V88" s="82">
        <f>IF($A88="","",INDEX(DM_DDK621,75)+INDEX(DM_DDK622,75)+INDEX(DM_DDK623,75)+INDEX(DM_DDK627,75))</f>
        <v/>
      </c>
      <c r="W88" s="82">
        <f>IF($A88="","",SUMIFS(L_ST,L_Ma,$A88,L_KM,"Phế liệu thu hồi",L_Ngay,"&gt;="&amp;pTu,L_Ngay,"&lt;="&amp;pDen))</f>
        <v/>
      </c>
      <c r="X88" s="82">
        <f>IF($A88="","",SUMIFS(L_ST,L_Ma,$A88,L_KM,"SP hỏng ngoài định mức",L_Ngay,"&gt;="&amp;pTu,L_Ngay,"&lt;="&amp;pDen))</f>
        <v/>
      </c>
      <c r="Y88" s="82">
        <f>IF($A88="","",$P88+$Q88+$R88+$U88)</f>
        <v/>
      </c>
      <c r="Z88" s="82">
        <f>IF($A88="","",IF($D88="Đang thực hiện",$V88+$Y88,CHOOSE(MATCH(pDoDang,LST_DoDang,0),$AE88,$AF88,$AG88)))</f>
        <v/>
      </c>
      <c r="AA88" s="82">
        <f>IF($A88="","",$V88+$Y88-$Z88-$W88-$X88)</f>
        <v/>
      </c>
      <c r="AB88" s="82">
        <f>IF($A88="","",INDEX(DM_SLHT,75))</f>
        <v/>
      </c>
      <c r="AC88" s="82">
        <f>IF($A88="","",IF($AB88&lt;=0,"⚠ CHƯA CÓ SL",ROUND($AA88/$AB88,0)))</f>
        <v/>
      </c>
      <c r="AE88" s="88">
        <f>IF($A88="","",IFERROR((INDEX(DM_DDK621,75)+$P88)/($AB88+INDEX(DM_SLDD,75))*INDEX(DM_SLDD,75),0))</f>
        <v/>
      </c>
      <c r="AF88" s="88">
        <f>IF($A88="","",IFERROR((INDEX(DM_DDK621,75)+$P88)/($AB88+INDEX(DM_SLDD,75))*INDEX(DM_SLDD,75),0)+IFERROR((INDEX(DM_DDK622,75)+$Q88)/($AB88+INDEX(DM_SLDD,75)*INDEX(DM_Pct,75))*(INDEX(DM_SLDD,75)*INDEX(DM_Pct,75)),0)+IFERROR((INDEX(DM_DDK623,75)+$R88)/($AB88+INDEX(DM_SLDD,75)*INDEX(DM_Pct,75))*(INDEX(DM_SLDD,75)*INDEX(DM_Pct,75)),0)+IFERROR((INDEX(DM_DDK627,75)+$U88)/($AB88+INDEX(DM_SLDD,75)*INDEX(DM_Pct,75))*(INDEX(DM_SLDD,75)*INDEX(DM_Pct,75)),0))</f>
        <v/>
      </c>
      <c r="AG88" s="88">
        <f>IF($A88="","",INDEX(DM_SLDD,75)*INDEX(DM_DGDinhMuc,75))</f>
        <v/>
      </c>
      <c r="AH88" s="88">
        <f>IF($A88="",0,IF(AND(ISNUMBER($AA88),$AA88&gt;0,$AB88&lt;=0),1,0))</f>
        <v/>
      </c>
      <c r="AI88" s="88">
        <f>IF($A88="",0,IF(AND(ISNUMBER($Z88),$Z88&lt;0),1,0))</f>
        <v/>
      </c>
      <c r="AJ88" s="88">
        <f>IF($A88="",0,IF(AND(ISNUMBER($AA88),$AA88&lt;0),1,0))</f>
        <v/>
      </c>
    </row>
    <row r="89" ht="15" customHeight="1" s="54">
      <c r="A89" s="80">
        <f>IF(INDEX(DM_Ma,76)="","",INDEX(DM_Ma,76))</f>
        <v/>
      </c>
      <c r="B89" s="80">
        <f>IF($A89="","",INDEX(DM_Ten,76))</f>
        <v/>
      </c>
      <c r="C89" s="80">
        <f>IF($A89="","",INDEX(DM_Loai,76))</f>
        <v/>
      </c>
      <c r="D89" s="80">
        <f>IF($A89="","",INDEX(DM_TrangThai,76))</f>
        <v/>
      </c>
      <c r="E89" s="82">
        <f>IF($A89="","",SUMIFS(L_ST,L_Ma,$A89,L_KM,"NVL trực tiếp (621)",L_TT,"Trực tiếp",L_Ngay,"&gt;="&amp;pTu,L_Ngay,"&lt;="&amp;pDen))</f>
        <v/>
      </c>
      <c r="F89" s="82">
        <f>IF($A89="","",SUMIFS(L_ST,L_Ma,$A89,L_KM,"Nhân công trực tiếp (622)",L_TT,"Trực tiếp",L_Ngay,"&gt;="&amp;pTu,L_Ngay,"&lt;="&amp;pDen))</f>
        <v/>
      </c>
      <c r="G89" s="82">
        <f>IF($A89="","",SUMIFS(L_ST,L_Ma,$A89,L_KM,"Máy thi công (623)",L_TT,"Trực tiếp",L_Ngay,"&gt;="&amp;pTu,L_Ngay,"&lt;="&amp;pDen))</f>
        <v/>
      </c>
      <c r="H89" s="82">
        <f>IF($A89="","",SUMIFS(L_ST,L_Ma,$A89,L_KM,"SXC (627)",L_TT,"Trực tiếp",L_Tinh,"Biến đổi",L_Ngay,"&gt;="&amp;pTu,L_Ngay,"&lt;="&amp;pDen))</f>
        <v/>
      </c>
      <c r="I89" s="82">
        <f>IF($A89="","",SUMIFS(L_ST,L_Ma,$A89,L_KM,"SXC (627)",L_TT,"Trực tiếp",L_Tinh,"Cố định",L_Ngay,"&gt;="&amp;pTu,L_Ngay,"&lt;="&amp;pDen))</f>
        <v/>
      </c>
      <c r="J89" s="82">
        <f>IF($A89="","",CHOOSE(MATCH(pTieuThuc,LST_TieuThuc,0),$E89,$F89,INDEX(DM_GioMay,76),INDEX(DM_GioCong,76),INDEX(DM_SLHT,76),INDEX(DM_DThu,76),INDEX(DM_TieuKhac,76)))</f>
        <v/>
      </c>
      <c r="K89" s="82">
        <f>IF($A89="","",IF(tBase=0,0,$J89/tBase*pool621))</f>
        <v/>
      </c>
      <c r="L89" s="82">
        <f>IF($A89="","",IF(tBase=0,0,$J89/tBase*pool622))</f>
        <v/>
      </c>
      <c r="M89" s="82">
        <f>IF($A89="","",IF(tBase=0,0,$J89/tBase*pool623))</f>
        <v/>
      </c>
      <c r="N89" s="82">
        <f>IF($A89="","",IF(tBase=0,0,$J89/tBase*pool627BD))</f>
        <v/>
      </c>
      <c r="O89" s="82">
        <f>IF($A89="","",IF(tBase=0,0,$J89/tBase*t627CDabs))</f>
        <v/>
      </c>
      <c r="P89" s="82">
        <f>IF($A89="","",$E89+$K89)</f>
        <v/>
      </c>
      <c r="Q89" s="82">
        <f>IF($A89="","",$F89+$L89)</f>
        <v/>
      </c>
      <c r="R89" s="82">
        <f>IF($A89="","",$G89+$M89)</f>
        <v/>
      </c>
      <c r="S89" s="82">
        <f>IF($A89="","",$H89+$N89)</f>
        <v/>
      </c>
      <c r="T89" s="82">
        <f>IF($A89="","",$I89+$O89)</f>
        <v/>
      </c>
      <c r="U89" s="82">
        <f>IF($A89="","",$S89+$T89)</f>
        <v/>
      </c>
      <c r="V89" s="82">
        <f>IF($A89="","",INDEX(DM_DDK621,76)+INDEX(DM_DDK622,76)+INDEX(DM_DDK623,76)+INDEX(DM_DDK627,76))</f>
        <v/>
      </c>
      <c r="W89" s="82">
        <f>IF($A89="","",SUMIFS(L_ST,L_Ma,$A89,L_KM,"Phế liệu thu hồi",L_Ngay,"&gt;="&amp;pTu,L_Ngay,"&lt;="&amp;pDen))</f>
        <v/>
      </c>
      <c r="X89" s="82">
        <f>IF($A89="","",SUMIFS(L_ST,L_Ma,$A89,L_KM,"SP hỏng ngoài định mức",L_Ngay,"&gt;="&amp;pTu,L_Ngay,"&lt;="&amp;pDen))</f>
        <v/>
      </c>
      <c r="Y89" s="82">
        <f>IF($A89="","",$P89+$Q89+$R89+$U89)</f>
        <v/>
      </c>
      <c r="Z89" s="82">
        <f>IF($A89="","",IF($D89="Đang thực hiện",$V89+$Y89,CHOOSE(MATCH(pDoDang,LST_DoDang,0),$AE89,$AF89,$AG89)))</f>
        <v/>
      </c>
      <c r="AA89" s="82">
        <f>IF($A89="","",$V89+$Y89-$Z89-$W89-$X89)</f>
        <v/>
      </c>
      <c r="AB89" s="82">
        <f>IF($A89="","",INDEX(DM_SLHT,76))</f>
        <v/>
      </c>
      <c r="AC89" s="82">
        <f>IF($A89="","",IF($AB89&lt;=0,"⚠ CHƯA CÓ SL",ROUND($AA89/$AB89,0)))</f>
        <v/>
      </c>
      <c r="AE89" s="88">
        <f>IF($A89="","",IFERROR((INDEX(DM_DDK621,76)+$P89)/($AB89+INDEX(DM_SLDD,76))*INDEX(DM_SLDD,76),0))</f>
        <v/>
      </c>
      <c r="AF89" s="88">
        <f>IF($A89="","",IFERROR((INDEX(DM_DDK621,76)+$P89)/($AB89+INDEX(DM_SLDD,76))*INDEX(DM_SLDD,76),0)+IFERROR((INDEX(DM_DDK622,76)+$Q89)/($AB89+INDEX(DM_SLDD,76)*INDEX(DM_Pct,76))*(INDEX(DM_SLDD,76)*INDEX(DM_Pct,76)),0)+IFERROR((INDEX(DM_DDK623,76)+$R89)/($AB89+INDEX(DM_SLDD,76)*INDEX(DM_Pct,76))*(INDEX(DM_SLDD,76)*INDEX(DM_Pct,76)),0)+IFERROR((INDEX(DM_DDK627,76)+$U89)/($AB89+INDEX(DM_SLDD,76)*INDEX(DM_Pct,76))*(INDEX(DM_SLDD,76)*INDEX(DM_Pct,76)),0))</f>
        <v/>
      </c>
      <c r="AG89" s="88">
        <f>IF($A89="","",INDEX(DM_SLDD,76)*INDEX(DM_DGDinhMuc,76))</f>
        <v/>
      </c>
      <c r="AH89" s="88">
        <f>IF($A89="",0,IF(AND(ISNUMBER($AA89),$AA89&gt;0,$AB89&lt;=0),1,0))</f>
        <v/>
      </c>
      <c r="AI89" s="88">
        <f>IF($A89="",0,IF(AND(ISNUMBER($Z89),$Z89&lt;0),1,0))</f>
        <v/>
      </c>
      <c r="AJ89" s="88">
        <f>IF($A89="",0,IF(AND(ISNUMBER($AA89),$AA89&lt;0),1,0))</f>
        <v/>
      </c>
    </row>
    <row r="90" ht="15" customHeight="1" s="54">
      <c r="A90" s="80">
        <f>IF(INDEX(DM_Ma,77)="","",INDEX(DM_Ma,77))</f>
        <v/>
      </c>
      <c r="B90" s="80">
        <f>IF($A90="","",INDEX(DM_Ten,77))</f>
        <v/>
      </c>
      <c r="C90" s="80">
        <f>IF($A90="","",INDEX(DM_Loai,77))</f>
        <v/>
      </c>
      <c r="D90" s="80">
        <f>IF($A90="","",INDEX(DM_TrangThai,77))</f>
        <v/>
      </c>
      <c r="E90" s="82">
        <f>IF($A90="","",SUMIFS(L_ST,L_Ma,$A90,L_KM,"NVL trực tiếp (621)",L_TT,"Trực tiếp",L_Ngay,"&gt;="&amp;pTu,L_Ngay,"&lt;="&amp;pDen))</f>
        <v/>
      </c>
      <c r="F90" s="82">
        <f>IF($A90="","",SUMIFS(L_ST,L_Ma,$A90,L_KM,"Nhân công trực tiếp (622)",L_TT,"Trực tiếp",L_Ngay,"&gt;="&amp;pTu,L_Ngay,"&lt;="&amp;pDen))</f>
        <v/>
      </c>
      <c r="G90" s="82">
        <f>IF($A90="","",SUMIFS(L_ST,L_Ma,$A90,L_KM,"Máy thi công (623)",L_TT,"Trực tiếp",L_Ngay,"&gt;="&amp;pTu,L_Ngay,"&lt;="&amp;pDen))</f>
        <v/>
      </c>
      <c r="H90" s="82">
        <f>IF($A90="","",SUMIFS(L_ST,L_Ma,$A90,L_KM,"SXC (627)",L_TT,"Trực tiếp",L_Tinh,"Biến đổi",L_Ngay,"&gt;="&amp;pTu,L_Ngay,"&lt;="&amp;pDen))</f>
        <v/>
      </c>
      <c r="I90" s="82">
        <f>IF($A90="","",SUMIFS(L_ST,L_Ma,$A90,L_KM,"SXC (627)",L_TT,"Trực tiếp",L_Tinh,"Cố định",L_Ngay,"&gt;="&amp;pTu,L_Ngay,"&lt;="&amp;pDen))</f>
        <v/>
      </c>
      <c r="J90" s="82">
        <f>IF($A90="","",CHOOSE(MATCH(pTieuThuc,LST_TieuThuc,0),$E90,$F90,INDEX(DM_GioMay,77),INDEX(DM_GioCong,77),INDEX(DM_SLHT,77),INDEX(DM_DThu,77),INDEX(DM_TieuKhac,77)))</f>
        <v/>
      </c>
      <c r="K90" s="82">
        <f>IF($A90="","",IF(tBase=0,0,$J90/tBase*pool621))</f>
        <v/>
      </c>
      <c r="L90" s="82">
        <f>IF($A90="","",IF(tBase=0,0,$J90/tBase*pool622))</f>
        <v/>
      </c>
      <c r="M90" s="82">
        <f>IF($A90="","",IF(tBase=0,0,$J90/tBase*pool623))</f>
        <v/>
      </c>
      <c r="N90" s="82">
        <f>IF($A90="","",IF(tBase=0,0,$J90/tBase*pool627BD))</f>
        <v/>
      </c>
      <c r="O90" s="82">
        <f>IF($A90="","",IF(tBase=0,0,$J90/tBase*t627CDabs))</f>
        <v/>
      </c>
      <c r="P90" s="82">
        <f>IF($A90="","",$E90+$K90)</f>
        <v/>
      </c>
      <c r="Q90" s="82">
        <f>IF($A90="","",$F90+$L90)</f>
        <v/>
      </c>
      <c r="R90" s="82">
        <f>IF($A90="","",$G90+$M90)</f>
        <v/>
      </c>
      <c r="S90" s="82">
        <f>IF($A90="","",$H90+$N90)</f>
        <v/>
      </c>
      <c r="T90" s="82">
        <f>IF($A90="","",$I90+$O90)</f>
        <v/>
      </c>
      <c r="U90" s="82">
        <f>IF($A90="","",$S90+$T90)</f>
        <v/>
      </c>
      <c r="V90" s="82">
        <f>IF($A90="","",INDEX(DM_DDK621,77)+INDEX(DM_DDK622,77)+INDEX(DM_DDK623,77)+INDEX(DM_DDK627,77))</f>
        <v/>
      </c>
      <c r="W90" s="82">
        <f>IF($A90="","",SUMIFS(L_ST,L_Ma,$A90,L_KM,"Phế liệu thu hồi",L_Ngay,"&gt;="&amp;pTu,L_Ngay,"&lt;="&amp;pDen))</f>
        <v/>
      </c>
      <c r="X90" s="82">
        <f>IF($A90="","",SUMIFS(L_ST,L_Ma,$A90,L_KM,"SP hỏng ngoài định mức",L_Ngay,"&gt;="&amp;pTu,L_Ngay,"&lt;="&amp;pDen))</f>
        <v/>
      </c>
      <c r="Y90" s="82">
        <f>IF($A90="","",$P90+$Q90+$R90+$U90)</f>
        <v/>
      </c>
      <c r="Z90" s="82">
        <f>IF($A90="","",IF($D90="Đang thực hiện",$V90+$Y90,CHOOSE(MATCH(pDoDang,LST_DoDang,0),$AE90,$AF90,$AG90)))</f>
        <v/>
      </c>
      <c r="AA90" s="82">
        <f>IF($A90="","",$V90+$Y90-$Z90-$W90-$X90)</f>
        <v/>
      </c>
      <c r="AB90" s="82">
        <f>IF($A90="","",INDEX(DM_SLHT,77))</f>
        <v/>
      </c>
      <c r="AC90" s="82">
        <f>IF($A90="","",IF($AB90&lt;=0,"⚠ CHƯA CÓ SL",ROUND($AA90/$AB90,0)))</f>
        <v/>
      </c>
      <c r="AE90" s="88">
        <f>IF($A90="","",IFERROR((INDEX(DM_DDK621,77)+$P90)/($AB90+INDEX(DM_SLDD,77))*INDEX(DM_SLDD,77),0))</f>
        <v/>
      </c>
      <c r="AF90" s="88">
        <f>IF($A90="","",IFERROR((INDEX(DM_DDK621,77)+$P90)/($AB90+INDEX(DM_SLDD,77))*INDEX(DM_SLDD,77),0)+IFERROR((INDEX(DM_DDK622,77)+$Q90)/($AB90+INDEX(DM_SLDD,77)*INDEX(DM_Pct,77))*(INDEX(DM_SLDD,77)*INDEX(DM_Pct,77)),0)+IFERROR((INDEX(DM_DDK623,77)+$R90)/($AB90+INDEX(DM_SLDD,77)*INDEX(DM_Pct,77))*(INDEX(DM_SLDD,77)*INDEX(DM_Pct,77)),0)+IFERROR((INDEX(DM_DDK627,77)+$U90)/($AB90+INDEX(DM_SLDD,77)*INDEX(DM_Pct,77))*(INDEX(DM_SLDD,77)*INDEX(DM_Pct,77)),0))</f>
        <v/>
      </c>
      <c r="AG90" s="88">
        <f>IF($A90="","",INDEX(DM_SLDD,77)*INDEX(DM_DGDinhMuc,77))</f>
        <v/>
      </c>
      <c r="AH90" s="88">
        <f>IF($A90="",0,IF(AND(ISNUMBER($AA90),$AA90&gt;0,$AB90&lt;=0),1,0))</f>
        <v/>
      </c>
      <c r="AI90" s="88">
        <f>IF($A90="",0,IF(AND(ISNUMBER($Z90),$Z90&lt;0),1,0))</f>
        <v/>
      </c>
      <c r="AJ90" s="88">
        <f>IF($A90="",0,IF(AND(ISNUMBER($AA90),$AA90&lt;0),1,0))</f>
        <v/>
      </c>
    </row>
    <row r="91" ht="15" customHeight="1" s="54">
      <c r="A91" s="80">
        <f>IF(INDEX(DM_Ma,78)="","",INDEX(DM_Ma,78))</f>
        <v/>
      </c>
      <c r="B91" s="80">
        <f>IF($A91="","",INDEX(DM_Ten,78))</f>
        <v/>
      </c>
      <c r="C91" s="80">
        <f>IF($A91="","",INDEX(DM_Loai,78))</f>
        <v/>
      </c>
      <c r="D91" s="80">
        <f>IF($A91="","",INDEX(DM_TrangThai,78))</f>
        <v/>
      </c>
      <c r="E91" s="82">
        <f>IF($A91="","",SUMIFS(L_ST,L_Ma,$A91,L_KM,"NVL trực tiếp (621)",L_TT,"Trực tiếp",L_Ngay,"&gt;="&amp;pTu,L_Ngay,"&lt;="&amp;pDen))</f>
        <v/>
      </c>
      <c r="F91" s="82">
        <f>IF($A91="","",SUMIFS(L_ST,L_Ma,$A91,L_KM,"Nhân công trực tiếp (622)",L_TT,"Trực tiếp",L_Ngay,"&gt;="&amp;pTu,L_Ngay,"&lt;="&amp;pDen))</f>
        <v/>
      </c>
      <c r="G91" s="82">
        <f>IF($A91="","",SUMIFS(L_ST,L_Ma,$A91,L_KM,"Máy thi công (623)",L_TT,"Trực tiếp",L_Ngay,"&gt;="&amp;pTu,L_Ngay,"&lt;="&amp;pDen))</f>
        <v/>
      </c>
      <c r="H91" s="82">
        <f>IF($A91="","",SUMIFS(L_ST,L_Ma,$A91,L_KM,"SXC (627)",L_TT,"Trực tiếp",L_Tinh,"Biến đổi",L_Ngay,"&gt;="&amp;pTu,L_Ngay,"&lt;="&amp;pDen))</f>
        <v/>
      </c>
      <c r="I91" s="82">
        <f>IF($A91="","",SUMIFS(L_ST,L_Ma,$A91,L_KM,"SXC (627)",L_TT,"Trực tiếp",L_Tinh,"Cố định",L_Ngay,"&gt;="&amp;pTu,L_Ngay,"&lt;="&amp;pDen))</f>
        <v/>
      </c>
      <c r="J91" s="82">
        <f>IF($A91="","",CHOOSE(MATCH(pTieuThuc,LST_TieuThuc,0),$E91,$F91,INDEX(DM_GioMay,78),INDEX(DM_GioCong,78),INDEX(DM_SLHT,78),INDEX(DM_DThu,78),INDEX(DM_TieuKhac,78)))</f>
        <v/>
      </c>
      <c r="K91" s="82">
        <f>IF($A91="","",IF(tBase=0,0,$J91/tBase*pool621))</f>
        <v/>
      </c>
      <c r="L91" s="82">
        <f>IF($A91="","",IF(tBase=0,0,$J91/tBase*pool622))</f>
        <v/>
      </c>
      <c r="M91" s="82">
        <f>IF($A91="","",IF(tBase=0,0,$J91/tBase*pool623))</f>
        <v/>
      </c>
      <c r="N91" s="82">
        <f>IF($A91="","",IF(tBase=0,0,$J91/tBase*pool627BD))</f>
        <v/>
      </c>
      <c r="O91" s="82">
        <f>IF($A91="","",IF(tBase=0,0,$J91/tBase*t627CDabs))</f>
        <v/>
      </c>
      <c r="P91" s="82">
        <f>IF($A91="","",$E91+$K91)</f>
        <v/>
      </c>
      <c r="Q91" s="82">
        <f>IF($A91="","",$F91+$L91)</f>
        <v/>
      </c>
      <c r="R91" s="82">
        <f>IF($A91="","",$G91+$M91)</f>
        <v/>
      </c>
      <c r="S91" s="82">
        <f>IF($A91="","",$H91+$N91)</f>
        <v/>
      </c>
      <c r="T91" s="82">
        <f>IF($A91="","",$I91+$O91)</f>
        <v/>
      </c>
      <c r="U91" s="82">
        <f>IF($A91="","",$S91+$T91)</f>
        <v/>
      </c>
      <c r="V91" s="82">
        <f>IF($A91="","",INDEX(DM_DDK621,78)+INDEX(DM_DDK622,78)+INDEX(DM_DDK623,78)+INDEX(DM_DDK627,78))</f>
        <v/>
      </c>
      <c r="W91" s="82">
        <f>IF($A91="","",SUMIFS(L_ST,L_Ma,$A91,L_KM,"Phế liệu thu hồi",L_Ngay,"&gt;="&amp;pTu,L_Ngay,"&lt;="&amp;pDen))</f>
        <v/>
      </c>
      <c r="X91" s="82">
        <f>IF($A91="","",SUMIFS(L_ST,L_Ma,$A91,L_KM,"SP hỏng ngoài định mức",L_Ngay,"&gt;="&amp;pTu,L_Ngay,"&lt;="&amp;pDen))</f>
        <v/>
      </c>
      <c r="Y91" s="82">
        <f>IF($A91="","",$P91+$Q91+$R91+$U91)</f>
        <v/>
      </c>
      <c r="Z91" s="82">
        <f>IF($A91="","",IF($D91="Đang thực hiện",$V91+$Y91,CHOOSE(MATCH(pDoDang,LST_DoDang,0),$AE91,$AF91,$AG91)))</f>
        <v/>
      </c>
      <c r="AA91" s="82">
        <f>IF($A91="","",$V91+$Y91-$Z91-$W91-$X91)</f>
        <v/>
      </c>
      <c r="AB91" s="82">
        <f>IF($A91="","",INDEX(DM_SLHT,78))</f>
        <v/>
      </c>
      <c r="AC91" s="82">
        <f>IF($A91="","",IF($AB91&lt;=0,"⚠ CHƯA CÓ SL",ROUND($AA91/$AB91,0)))</f>
        <v/>
      </c>
      <c r="AE91" s="88">
        <f>IF($A91="","",IFERROR((INDEX(DM_DDK621,78)+$P91)/($AB91+INDEX(DM_SLDD,78))*INDEX(DM_SLDD,78),0))</f>
        <v/>
      </c>
      <c r="AF91" s="88">
        <f>IF($A91="","",IFERROR((INDEX(DM_DDK621,78)+$P91)/($AB91+INDEX(DM_SLDD,78))*INDEX(DM_SLDD,78),0)+IFERROR((INDEX(DM_DDK622,78)+$Q91)/($AB91+INDEX(DM_SLDD,78)*INDEX(DM_Pct,78))*(INDEX(DM_SLDD,78)*INDEX(DM_Pct,78)),0)+IFERROR((INDEX(DM_DDK623,78)+$R91)/($AB91+INDEX(DM_SLDD,78)*INDEX(DM_Pct,78))*(INDEX(DM_SLDD,78)*INDEX(DM_Pct,78)),0)+IFERROR((INDEX(DM_DDK627,78)+$U91)/($AB91+INDEX(DM_SLDD,78)*INDEX(DM_Pct,78))*(INDEX(DM_SLDD,78)*INDEX(DM_Pct,78)),0))</f>
        <v/>
      </c>
      <c r="AG91" s="88">
        <f>IF($A91="","",INDEX(DM_SLDD,78)*INDEX(DM_DGDinhMuc,78))</f>
        <v/>
      </c>
      <c r="AH91" s="88">
        <f>IF($A91="",0,IF(AND(ISNUMBER($AA91),$AA91&gt;0,$AB91&lt;=0),1,0))</f>
        <v/>
      </c>
      <c r="AI91" s="88">
        <f>IF($A91="",0,IF(AND(ISNUMBER($Z91),$Z91&lt;0),1,0))</f>
        <v/>
      </c>
      <c r="AJ91" s="88">
        <f>IF($A91="",0,IF(AND(ISNUMBER($AA91),$AA91&lt;0),1,0))</f>
        <v/>
      </c>
    </row>
    <row r="92" ht="15" customHeight="1" s="54">
      <c r="A92" s="80">
        <f>IF(INDEX(DM_Ma,79)="","",INDEX(DM_Ma,79))</f>
        <v/>
      </c>
      <c r="B92" s="80">
        <f>IF($A92="","",INDEX(DM_Ten,79))</f>
        <v/>
      </c>
      <c r="C92" s="80">
        <f>IF($A92="","",INDEX(DM_Loai,79))</f>
        <v/>
      </c>
      <c r="D92" s="80">
        <f>IF($A92="","",INDEX(DM_TrangThai,79))</f>
        <v/>
      </c>
      <c r="E92" s="82">
        <f>IF($A92="","",SUMIFS(L_ST,L_Ma,$A92,L_KM,"NVL trực tiếp (621)",L_TT,"Trực tiếp",L_Ngay,"&gt;="&amp;pTu,L_Ngay,"&lt;="&amp;pDen))</f>
        <v/>
      </c>
      <c r="F92" s="82">
        <f>IF($A92="","",SUMIFS(L_ST,L_Ma,$A92,L_KM,"Nhân công trực tiếp (622)",L_TT,"Trực tiếp",L_Ngay,"&gt;="&amp;pTu,L_Ngay,"&lt;="&amp;pDen))</f>
        <v/>
      </c>
      <c r="G92" s="82">
        <f>IF($A92="","",SUMIFS(L_ST,L_Ma,$A92,L_KM,"Máy thi công (623)",L_TT,"Trực tiếp",L_Ngay,"&gt;="&amp;pTu,L_Ngay,"&lt;="&amp;pDen))</f>
        <v/>
      </c>
      <c r="H92" s="82">
        <f>IF($A92="","",SUMIFS(L_ST,L_Ma,$A92,L_KM,"SXC (627)",L_TT,"Trực tiếp",L_Tinh,"Biến đổi",L_Ngay,"&gt;="&amp;pTu,L_Ngay,"&lt;="&amp;pDen))</f>
        <v/>
      </c>
      <c r="I92" s="82">
        <f>IF($A92="","",SUMIFS(L_ST,L_Ma,$A92,L_KM,"SXC (627)",L_TT,"Trực tiếp",L_Tinh,"Cố định",L_Ngay,"&gt;="&amp;pTu,L_Ngay,"&lt;="&amp;pDen))</f>
        <v/>
      </c>
      <c r="J92" s="82">
        <f>IF($A92="","",CHOOSE(MATCH(pTieuThuc,LST_TieuThuc,0),$E92,$F92,INDEX(DM_GioMay,79),INDEX(DM_GioCong,79),INDEX(DM_SLHT,79),INDEX(DM_DThu,79),INDEX(DM_TieuKhac,79)))</f>
        <v/>
      </c>
      <c r="K92" s="82">
        <f>IF($A92="","",IF(tBase=0,0,$J92/tBase*pool621))</f>
        <v/>
      </c>
      <c r="L92" s="82">
        <f>IF($A92="","",IF(tBase=0,0,$J92/tBase*pool622))</f>
        <v/>
      </c>
      <c r="M92" s="82">
        <f>IF($A92="","",IF(tBase=0,0,$J92/tBase*pool623))</f>
        <v/>
      </c>
      <c r="N92" s="82">
        <f>IF($A92="","",IF(tBase=0,0,$J92/tBase*pool627BD))</f>
        <v/>
      </c>
      <c r="O92" s="82">
        <f>IF($A92="","",IF(tBase=0,0,$J92/tBase*t627CDabs))</f>
        <v/>
      </c>
      <c r="P92" s="82">
        <f>IF($A92="","",$E92+$K92)</f>
        <v/>
      </c>
      <c r="Q92" s="82">
        <f>IF($A92="","",$F92+$L92)</f>
        <v/>
      </c>
      <c r="R92" s="82">
        <f>IF($A92="","",$G92+$M92)</f>
        <v/>
      </c>
      <c r="S92" s="82">
        <f>IF($A92="","",$H92+$N92)</f>
        <v/>
      </c>
      <c r="T92" s="82">
        <f>IF($A92="","",$I92+$O92)</f>
        <v/>
      </c>
      <c r="U92" s="82">
        <f>IF($A92="","",$S92+$T92)</f>
        <v/>
      </c>
      <c r="V92" s="82">
        <f>IF($A92="","",INDEX(DM_DDK621,79)+INDEX(DM_DDK622,79)+INDEX(DM_DDK623,79)+INDEX(DM_DDK627,79))</f>
        <v/>
      </c>
      <c r="W92" s="82">
        <f>IF($A92="","",SUMIFS(L_ST,L_Ma,$A92,L_KM,"Phế liệu thu hồi",L_Ngay,"&gt;="&amp;pTu,L_Ngay,"&lt;="&amp;pDen))</f>
        <v/>
      </c>
      <c r="X92" s="82">
        <f>IF($A92="","",SUMIFS(L_ST,L_Ma,$A92,L_KM,"SP hỏng ngoài định mức",L_Ngay,"&gt;="&amp;pTu,L_Ngay,"&lt;="&amp;pDen))</f>
        <v/>
      </c>
      <c r="Y92" s="82">
        <f>IF($A92="","",$P92+$Q92+$R92+$U92)</f>
        <v/>
      </c>
      <c r="Z92" s="82">
        <f>IF($A92="","",IF($D92="Đang thực hiện",$V92+$Y92,CHOOSE(MATCH(pDoDang,LST_DoDang,0),$AE92,$AF92,$AG92)))</f>
        <v/>
      </c>
      <c r="AA92" s="82">
        <f>IF($A92="","",$V92+$Y92-$Z92-$W92-$X92)</f>
        <v/>
      </c>
      <c r="AB92" s="82">
        <f>IF($A92="","",INDEX(DM_SLHT,79))</f>
        <v/>
      </c>
      <c r="AC92" s="82">
        <f>IF($A92="","",IF($AB92&lt;=0,"⚠ CHƯA CÓ SL",ROUND($AA92/$AB92,0)))</f>
        <v/>
      </c>
      <c r="AE92" s="88">
        <f>IF($A92="","",IFERROR((INDEX(DM_DDK621,79)+$P92)/($AB92+INDEX(DM_SLDD,79))*INDEX(DM_SLDD,79),0))</f>
        <v/>
      </c>
      <c r="AF92" s="88">
        <f>IF($A92="","",IFERROR((INDEX(DM_DDK621,79)+$P92)/($AB92+INDEX(DM_SLDD,79))*INDEX(DM_SLDD,79),0)+IFERROR((INDEX(DM_DDK622,79)+$Q92)/($AB92+INDEX(DM_SLDD,79)*INDEX(DM_Pct,79))*(INDEX(DM_SLDD,79)*INDEX(DM_Pct,79)),0)+IFERROR((INDEX(DM_DDK623,79)+$R92)/($AB92+INDEX(DM_SLDD,79)*INDEX(DM_Pct,79))*(INDEX(DM_SLDD,79)*INDEX(DM_Pct,79)),0)+IFERROR((INDEX(DM_DDK627,79)+$U92)/($AB92+INDEX(DM_SLDD,79)*INDEX(DM_Pct,79))*(INDEX(DM_SLDD,79)*INDEX(DM_Pct,79)),0))</f>
        <v/>
      </c>
      <c r="AG92" s="88">
        <f>IF($A92="","",INDEX(DM_SLDD,79)*INDEX(DM_DGDinhMuc,79))</f>
        <v/>
      </c>
      <c r="AH92" s="88">
        <f>IF($A92="",0,IF(AND(ISNUMBER($AA92),$AA92&gt;0,$AB92&lt;=0),1,0))</f>
        <v/>
      </c>
      <c r="AI92" s="88">
        <f>IF($A92="",0,IF(AND(ISNUMBER($Z92),$Z92&lt;0),1,0))</f>
        <v/>
      </c>
      <c r="AJ92" s="88">
        <f>IF($A92="",0,IF(AND(ISNUMBER($AA92),$AA92&lt;0),1,0))</f>
        <v/>
      </c>
    </row>
    <row r="93" ht="15" customHeight="1" s="54">
      <c r="A93" s="80">
        <f>IF(INDEX(DM_Ma,80)="","",INDEX(DM_Ma,80))</f>
        <v/>
      </c>
      <c r="B93" s="80">
        <f>IF($A93="","",INDEX(DM_Ten,80))</f>
        <v/>
      </c>
      <c r="C93" s="80">
        <f>IF($A93="","",INDEX(DM_Loai,80))</f>
        <v/>
      </c>
      <c r="D93" s="80">
        <f>IF($A93="","",INDEX(DM_TrangThai,80))</f>
        <v/>
      </c>
      <c r="E93" s="82">
        <f>IF($A93="","",SUMIFS(L_ST,L_Ma,$A93,L_KM,"NVL trực tiếp (621)",L_TT,"Trực tiếp",L_Ngay,"&gt;="&amp;pTu,L_Ngay,"&lt;="&amp;pDen))</f>
        <v/>
      </c>
      <c r="F93" s="82">
        <f>IF($A93="","",SUMIFS(L_ST,L_Ma,$A93,L_KM,"Nhân công trực tiếp (622)",L_TT,"Trực tiếp",L_Ngay,"&gt;="&amp;pTu,L_Ngay,"&lt;="&amp;pDen))</f>
        <v/>
      </c>
      <c r="G93" s="82">
        <f>IF($A93="","",SUMIFS(L_ST,L_Ma,$A93,L_KM,"Máy thi công (623)",L_TT,"Trực tiếp",L_Ngay,"&gt;="&amp;pTu,L_Ngay,"&lt;="&amp;pDen))</f>
        <v/>
      </c>
      <c r="H93" s="82">
        <f>IF($A93="","",SUMIFS(L_ST,L_Ma,$A93,L_KM,"SXC (627)",L_TT,"Trực tiếp",L_Tinh,"Biến đổi",L_Ngay,"&gt;="&amp;pTu,L_Ngay,"&lt;="&amp;pDen))</f>
        <v/>
      </c>
      <c r="I93" s="82">
        <f>IF($A93="","",SUMIFS(L_ST,L_Ma,$A93,L_KM,"SXC (627)",L_TT,"Trực tiếp",L_Tinh,"Cố định",L_Ngay,"&gt;="&amp;pTu,L_Ngay,"&lt;="&amp;pDen))</f>
        <v/>
      </c>
      <c r="J93" s="82">
        <f>IF($A93="","",CHOOSE(MATCH(pTieuThuc,LST_TieuThuc,0),$E93,$F93,INDEX(DM_GioMay,80),INDEX(DM_GioCong,80),INDEX(DM_SLHT,80),INDEX(DM_DThu,80),INDEX(DM_TieuKhac,80)))</f>
        <v/>
      </c>
      <c r="K93" s="82">
        <f>IF($A93="","",IF(tBase=0,0,$J93/tBase*pool621))</f>
        <v/>
      </c>
      <c r="L93" s="82">
        <f>IF($A93="","",IF(tBase=0,0,$J93/tBase*pool622))</f>
        <v/>
      </c>
      <c r="M93" s="82">
        <f>IF($A93="","",IF(tBase=0,0,$J93/tBase*pool623))</f>
        <v/>
      </c>
      <c r="N93" s="82">
        <f>IF($A93="","",IF(tBase=0,0,$J93/tBase*pool627BD))</f>
        <v/>
      </c>
      <c r="O93" s="82">
        <f>IF($A93="","",IF(tBase=0,0,$J93/tBase*t627CDabs))</f>
        <v/>
      </c>
      <c r="P93" s="82">
        <f>IF($A93="","",$E93+$K93)</f>
        <v/>
      </c>
      <c r="Q93" s="82">
        <f>IF($A93="","",$F93+$L93)</f>
        <v/>
      </c>
      <c r="R93" s="82">
        <f>IF($A93="","",$G93+$M93)</f>
        <v/>
      </c>
      <c r="S93" s="82">
        <f>IF($A93="","",$H93+$N93)</f>
        <v/>
      </c>
      <c r="T93" s="82">
        <f>IF($A93="","",$I93+$O93)</f>
        <v/>
      </c>
      <c r="U93" s="82">
        <f>IF($A93="","",$S93+$T93)</f>
        <v/>
      </c>
      <c r="V93" s="82">
        <f>IF($A93="","",INDEX(DM_DDK621,80)+INDEX(DM_DDK622,80)+INDEX(DM_DDK623,80)+INDEX(DM_DDK627,80))</f>
        <v/>
      </c>
      <c r="W93" s="82">
        <f>IF($A93="","",SUMIFS(L_ST,L_Ma,$A93,L_KM,"Phế liệu thu hồi",L_Ngay,"&gt;="&amp;pTu,L_Ngay,"&lt;="&amp;pDen))</f>
        <v/>
      </c>
      <c r="X93" s="82">
        <f>IF($A93="","",SUMIFS(L_ST,L_Ma,$A93,L_KM,"SP hỏng ngoài định mức",L_Ngay,"&gt;="&amp;pTu,L_Ngay,"&lt;="&amp;pDen))</f>
        <v/>
      </c>
      <c r="Y93" s="82">
        <f>IF($A93="","",$P93+$Q93+$R93+$U93)</f>
        <v/>
      </c>
      <c r="Z93" s="82">
        <f>IF($A93="","",IF($D93="Đang thực hiện",$V93+$Y93,CHOOSE(MATCH(pDoDang,LST_DoDang,0),$AE93,$AF93,$AG93)))</f>
        <v/>
      </c>
      <c r="AA93" s="82">
        <f>IF($A93="","",$V93+$Y93-$Z93-$W93-$X93)</f>
        <v/>
      </c>
      <c r="AB93" s="82">
        <f>IF($A93="","",INDEX(DM_SLHT,80))</f>
        <v/>
      </c>
      <c r="AC93" s="82">
        <f>IF($A93="","",IF($AB93&lt;=0,"⚠ CHƯA CÓ SL",ROUND($AA93/$AB93,0)))</f>
        <v/>
      </c>
      <c r="AE93" s="88">
        <f>IF($A93="","",IFERROR((INDEX(DM_DDK621,80)+$P93)/($AB93+INDEX(DM_SLDD,80))*INDEX(DM_SLDD,80),0))</f>
        <v/>
      </c>
      <c r="AF93" s="88">
        <f>IF($A93="","",IFERROR((INDEX(DM_DDK621,80)+$P93)/($AB93+INDEX(DM_SLDD,80))*INDEX(DM_SLDD,80),0)+IFERROR((INDEX(DM_DDK622,80)+$Q93)/($AB93+INDEX(DM_SLDD,80)*INDEX(DM_Pct,80))*(INDEX(DM_SLDD,80)*INDEX(DM_Pct,80)),0)+IFERROR((INDEX(DM_DDK623,80)+$R93)/($AB93+INDEX(DM_SLDD,80)*INDEX(DM_Pct,80))*(INDEX(DM_SLDD,80)*INDEX(DM_Pct,80)),0)+IFERROR((INDEX(DM_DDK627,80)+$U93)/($AB93+INDEX(DM_SLDD,80)*INDEX(DM_Pct,80))*(INDEX(DM_SLDD,80)*INDEX(DM_Pct,80)),0))</f>
        <v/>
      </c>
      <c r="AG93" s="88">
        <f>IF($A93="","",INDEX(DM_SLDD,80)*INDEX(DM_DGDinhMuc,80))</f>
        <v/>
      </c>
      <c r="AH93" s="88">
        <f>IF($A93="",0,IF(AND(ISNUMBER($AA93),$AA93&gt;0,$AB93&lt;=0),1,0))</f>
        <v/>
      </c>
      <c r="AI93" s="88">
        <f>IF($A93="",0,IF(AND(ISNUMBER($Z93),$Z93&lt;0),1,0))</f>
        <v/>
      </c>
      <c r="AJ93" s="88">
        <f>IF($A93="",0,IF(AND(ISNUMBER($AA93),$AA93&lt;0),1,0))</f>
        <v/>
      </c>
    </row>
    <row r="94" ht="15" customHeight="1" s="54">
      <c r="A94" s="89" t="inlineStr">
        <is>
          <t>CỘNG</t>
        </is>
      </c>
      <c r="E94" s="90">
        <f>SUM(E14:E93)</f>
        <v/>
      </c>
      <c r="F94" s="90">
        <f>SUM(F14:F93)</f>
        <v/>
      </c>
      <c r="G94" s="90">
        <f>SUM(G14:G93)</f>
        <v/>
      </c>
      <c r="H94" s="90">
        <f>SUM(H14:H93)</f>
        <v/>
      </c>
      <c r="I94" s="90">
        <f>SUM(I14:I93)</f>
        <v/>
      </c>
      <c r="J94" s="90">
        <f>SUM(J14:J93)</f>
        <v/>
      </c>
      <c r="K94" s="90">
        <f>SUM(K14:K93)</f>
        <v/>
      </c>
      <c r="L94" s="90">
        <f>SUM(L14:L93)</f>
        <v/>
      </c>
      <c r="M94" s="90">
        <f>SUM(M14:M93)</f>
        <v/>
      </c>
      <c r="N94" s="90">
        <f>SUM(N14:N93)</f>
        <v/>
      </c>
      <c r="O94" s="90">
        <f>SUM(O14:O93)</f>
        <v/>
      </c>
      <c r="P94" s="90">
        <f>SUM(P14:P93)</f>
        <v/>
      </c>
      <c r="Q94" s="90">
        <f>SUM(Q14:Q93)</f>
        <v/>
      </c>
      <c r="R94" s="90">
        <f>SUM(R14:R93)</f>
        <v/>
      </c>
      <c r="S94" s="90">
        <f>SUM(S14:S93)</f>
        <v/>
      </c>
      <c r="T94" s="90">
        <f>SUM(T14:T93)</f>
        <v/>
      </c>
      <c r="U94" s="90">
        <f>SUM(U14:U93)</f>
        <v/>
      </c>
      <c r="V94" s="90">
        <f>SUM(V14:V93)</f>
        <v/>
      </c>
      <c r="W94" s="90">
        <f>SUM(W14:W93)</f>
        <v/>
      </c>
      <c r="X94" s="90">
        <f>SUM(X14:X93)</f>
        <v/>
      </c>
      <c r="Y94" s="90">
        <f>SUM(Y14:Y93)</f>
        <v/>
      </c>
      <c r="Z94" s="90">
        <f>SUM(Z14:Z93)</f>
        <v/>
      </c>
      <c r="AA94" s="90">
        <f>SUM(AA14:AA93)</f>
        <v/>
      </c>
      <c r="AH94" s="53">
        <f>SUM(AH14:AH93)</f>
        <v/>
      </c>
      <c r="AI94" s="53">
        <f>SUM(AI14:AI93)</f>
        <v/>
      </c>
      <c r="AJ94" s="53">
        <f>SUM(AJ14:AJ93)</f>
        <v/>
      </c>
    </row>
    <row r="95"/>
    <row r="96" ht="15" customHeight="1" s="54">
      <c r="A96" s="78" t="inlineStr">
        <is>
          <t xml:space="preserve">Công cụ tính giá thành  |  KK HOME  •  </t>
        </is>
      </c>
    </row>
  </sheetData>
  <sheetProtection selectLockedCells="0" selectUnlockedCells="0" sheet="1" objects="0" insertRows="1" insertHyperlinks="1" autoFilter="1" scenarios="0" formatColumns="1" deleteColumns="1" insertColumns="1" pivotTables="1" deleteRows="1" formatCells="0" formatRows="1" sort="1"/>
  <mergeCells count="12">
    <mergeCell ref="A5:D5"/>
    <mergeCell ref="G5:P5"/>
    <mergeCell ref="A9:D9"/>
    <mergeCell ref="A8:D8"/>
    <mergeCell ref="A6:D6"/>
    <mergeCell ref="A4:D4"/>
    <mergeCell ref="A3:D3"/>
    <mergeCell ref="G3:P3"/>
    <mergeCell ref="A7:D7"/>
    <mergeCell ref="A96:T96"/>
    <mergeCell ref="A10:D10"/>
    <mergeCell ref="A1:A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P1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3" min="1" max="1"/>
    <col width="20" customWidth="1" style="53" min="2" max="2"/>
    <col width="13" customWidth="1" style="53" min="3" max="12"/>
    <col width="11" customWidth="1" style="53" min="13" max="16"/>
  </cols>
  <sheetData>
    <row r="1" ht="24" customHeight="1" s="54">
      <c r="A1" s="55">
        <f>"BÁO CÁO GIÁ THÀNH ĐƠN VỊ — "&amp;pTenDoiTuong&amp;"  (kỳ "&amp;TEXT(pTu,"dd/mm/yyyy")&amp;" ÷ "&amp;TEXT(pDen,"dd/mm/yyyy")&amp;")"</f>
        <v/>
      </c>
    </row>
    <row r="2"/>
    <row r="3"/>
    <row r="4" ht="23.85" customHeight="1" s="54">
      <c r="A4" s="74">
        <f>"Mã "&amp;pTenDoiTuong</f>
        <v/>
      </c>
      <c r="B4" s="74" t="inlineStr">
        <is>
          <t>Tên đối tượng</t>
        </is>
      </c>
      <c r="C4" s="74" t="inlineStr">
        <is>
          <t>621 NVLTT</t>
        </is>
      </c>
      <c r="D4" s="74" t="inlineStr">
        <is>
          <t>622 NCTT</t>
        </is>
      </c>
      <c r="E4" s="74" t="inlineStr">
        <is>
          <t>623 Máy TC</t>
        </is>
      </c>
      <c r="F4" s="74" t="inlineStr">
        <is>
          <t>627 biến đổi</t>
        </is>
      </c>
      <c r="G4" s="74" t="inlineStr">
        <is>
          <t>627 cố định</t>
        </is>
      </c>
      <c r="H4" s="74" t="inlineStr">
        <is>
          <t>Cộng SXC</t>
        </is>
      </c>
      <c r="I4" s="74" t="inlineStr">
        <is>
          <t>DDĐK</t>
        </is>
      </c>
      <c r="J4" s="74" t="inlineStr">
        <is>
          <t>Chi phí PS</t>
        </is>
      </c>
      <c r="K4" s="74" t="inlineStr">
        <is>
          <t>DDCK</t>
        </is>
      </c>
      <c r="L4" s="74" t="inlineStr">
        <is>
          <t>Phế liệu</t>
        </is>
      </c>
      <c r="M4" s="74" t="inlineStr">
        <is>
          <t>SP hỏng</t>
        </is>
      </c>
      <c r="N4" s="74" t="inlineStr">
        <is>
          <t>TỔNG GIÁ THÀNH</t>
        </is>
      </c>
      <c r="O4" s="74" t="inlineStr">
        <is>
          <t>SL hoàn thành</t>
        </is>
      </c>
      <c r="P4" s="74" t="inlineStr">
        <is>
          <t>Giá thành ĐV</t>
        </is>
      </c>
    </row>
    <row r="5" ht="15" customHeight="1" s="54">
      <c r="A5" s="80">
        <f>IF('4. Thẻ tính giá thành'!$A$14="","",'4. Thẻ tính giá thành'!$A$14)</f>
        <v/>
      </c>
      <c r="B5" s="80">
        <f>IF($A5="","",'4. Thẻ tính giá thành'!$B$14)</f>
        <v/>
      </c>
      <c r="C5" s="82">
        <f>IF($A5="","",'4. Thẻ tính giá thành'!$P$14)</f>
        <v/>
      </c>
      <c r="D5" s="82">
        <f>IF($A5="","",'4. Thẻ tính giá thành'!$Q$14)</f>
        <v/>
      </c>
      <c r="E5" s="82">
        <f>IF($A5="","",'4. Thẻ tính giá thành'!$R$14)</f>
        <v/>
      </c>
      <c r="F5" s="82">
        <f>IF($A5="","",'4. Thẻ tính giá thành'!$S$14)</f>
        <v/>
      </c>
      <c r="G5" s="82">
        <f>IF($A5="","",'4. Thẻ tính giá thành'!$T$14)</f>
        <v/>
      </c>
      <c r="H5" s="82">
        <f>IF($A5="","",'4. Thẻ tính giá thành'!$U$14)</f>
        <v/>
      </c>
      <c r="I5" s="82">
        <f>IF($A5="","",'4. Thẻ tính giá thành'!$V$14)</f>
        <v/>
      </c>
      <c r="J5" s="82">
        <f>IF($A5="","",'4. Thẻ tính giá thành'!$Y$14)</f>
        <v/>
      </c>
      <c r="K5" s="82">
        <f>IF($A5="","",'4. Thẻ tính giá thành'!$Z$14)</f>
        <v/>
      </c>
      <c r="L5" s="82">
        <f>IF($A5="","",'4. Thẻ tính giá thành'!$W$14)</f>
        <v/>
      </c>
      <c r="M5" s="82">
        <f>IF($A5="","",'4. Thẻ tính giá thành'!$X$14)</f>
        <v/>
      </c>
      <c r="N5" s="82">
        <f>IF($A5="","",'4. Thẻ tính giá thành'!$AA$14)</f>
        <v/>
      </c>
      <c r="O5" s="82">
        <f>IF($A5="","",'4. Thẻ tính giá thành'!$AB$14)</f>
        <v/>
      </c>
      <c r="P5" s="82">
        <f>IF($A5="","",'4. Thẻ tính giá thành'!$AC$14)</f>
        <v/>
      </c>
    </row>
    <row r="6" ht="15" customHeight="1" s="54">
      <c r="A6" s="80">
        <f>IF('4. Thẻ tính giá thành'!$A$15="","",'4. Thẻ tính giá thành'!$A$15)</f>
        <v/>
      </c>
      <c r="B6" s="80">
        <f>IF($A6="","",'4. Thẻ tính giá thành'!$B$15)</f>
        <v/>
      </c>
      <c r="C6" s="82">
        <f>IF($A6="","",'4. Thẻ tính giá thành'!$P$15)</f>
        <v/>
      </c>
      <c r="D6" s="82">
        <f>IF($A6="","",'4. Thẻ tính giá thành'!$Q$15)</f>
        <v/>
      </c>
      <c r="E6" s="82">
        <f>IF($A6="","",'4. Thẻ tính giá thành'!$R$15)</f>
        <v/>
      </c>
      <c r="F6" s="82">
        <f>IF($A6="","",'4. Thẻ tính giá thành'!$S$15)</f>
        <v/>
      </c>
      <c r="G6" s="82">
        <f>IF($A6="","",'4. Thẻ tính giá thành'!$T$15)</f>
        <v/>
      </c>
      <c r="H6" s="82">
        <f>IF($A6="","",'4. Thẻ tính giá thành'!$U$15)</f>
        <v/>
      </c>
      <c r="I6" s="82">
        <f>IF($A6="","",'4. Thẻ tính giá thành'!$V$15)</f>
        <v/>
      </c>
      <c r="J6" s="82">
        <f>IF($A6="","",'4. Thẻ tính giá thành'!$Y$15)</f>
        <v/>
      </c>
      <c r="K6" s="82">
        <f>IF($A6="","",'4. Thẻ tính giá thành'!$Z$15)</f>
        <v/>
      </c>
      <c r="L6" s="82">
        <f>IF($A6="","",'4. Thẻ tính giá thành'!$W$15)</f>
        <v/>
      </c>
      <c r="M6" s="82">
        <f>IF($A6="","",'4. Thẻ tính giá thành'!$X$15)</f>
        <v/>
      </c>
      <c r="N6" s="82">
        <f>IF($A6="","",'4. Thẻ tính giá thành'!$AA$15)</f>
        <v/>
      </c>
      <c r="O6" s="82">
        <f>IF($A6="","",'4. Thẻ tính giá thành'!$AB$15)</f>
        <v/>
      </c>
      <c r="P6" s="82">
        <f>IF($A6="","",'4. Thẻ tính giá thành'!$AC$15)</f>
        <v/>
      </c>
    </row>
    <row r="7" ht="15" customHeight="1" s="54">
      <c r="A7" s="80">
        <f>IF('4. Thẻ tính giá thành'!$A$16="","",'4. Thẻ tính giá thành'!$A$16)</f>
        <v/>
      </c>
      <c r="B7" s="80">
        <f>IF($A7="","",'4. Thẻ tính giá thành'!$B$16)</f>
        <v/>
      </c>
      <c r="C7" s="82">
        <f>IF($A7="","",'4. Thẻ tính giá thành'!$P$16)</f>
        <v/>
      </c>
      <c r="D7" s="82">
        <f>IF($A7="","",'4. Thẻ tính giá thành'!$Q$16)</f>
        <v/>
      </c>
      <c r="E7" s="82">
        <f>IF($A7="","",'4. Thẻ tính giá thành'!$R$16)</f>
        <v/>
      </c>
      <c r="F7" s="82">
        <f>IF($A7="","",'4. Thẻ tính giá thành'!$S$16)</f>
        <v/>
      </c>
      <c r="G7" s="82">
        <f>IF($A7="","",'4. Thẻ tính giá thành'!$T$16)</f>
        <v/>
      </c>
      <c r="H7" s="82">
        <f>IF($A7="","",'4. Thẻ tính giá thành'!$U$16)</f>
        <v/>
      </c>
      <c r="I7" s="82">
        <f>IF($A7="","",'4. Thẻ tính giá thành'!$V$16)</f>
        <v/>
      </c>
      <c r="J7" s="82">
        <f>IF($A7="","",'4. Thẻ tính giá thành'!$Y$16)</f>
        <v/>
      </c>
      <c r="K7" s="82">
        <f>IF($A7="","",'4. Thẻ tính giá thành'!$Z$16)</f>
        <v/>
      </c>
      <c r="L7" s="82">
        <f>IF($A7="","",'4. Thẻ tính giá thành'!$W$16)</f>
        <v/>
      </c>
      <c r="M7" s="82">
        <f>IF($A7="","",'4. Thẻ tính giá thành'!$X$16)</f>
        <v/>
      </c>
      <c r="N7" s="82">
        <f>IF($A7="","",'4. Thẻ tính giá thành'!$AA$16)</f>
        <v/>
      </c>
      <c r="O7" s="82">
        <f>IF($A7="","",'4. Thẻ tính giá thành'!$AB$16)</f>
        <v/>
      </c>
      <c r="P7" s="82">
        <f>IF($A7="","",'4. Thẻ tính giá thành'!$AC$16)</f>
        <v/>
      </c>
    </row>
    <row r="8" ht="15" customHeight="1" s="54">
      <c r="A8" s="80">
        <f>IF('4. Thẻ tính giá thành'!$A$17="","",'4. Thẻ tính giá thành'!$A$17)</f>
        <v/>
      </c>
      <c r="B8" s="80">
        <f>IF($A8="","",'4. Thẻ tính giá thành'!$B$17)</f>
        <v/>
      </c>
      <c r="C8" s="82">
        <f>IF($A8="","",'4. Thẻ tính giá thành'!$P$17)</f>
        <v/>
      </c>
      <c r="D8" s="82">
        <f>IF($A8="","",'4. Thẻ tính giá thành'!$Q$17)</f>
        <v/>
      </c>
      <c r="E8" s="82">
        <f>IF($A8="","",'4. Thẻ tính giá thành'!$R$17)</f>
        <v/>
      </c>
      <c r="F8" s="82">
        <f>IF($A8="","",'4. Thẻ tính giá thành'!$S$17)</f>
        <v/>
      </c>
      <c r="G8" s="82">
        <f>IF($A8="","",'4. Thẻ tính giá thành'!$T$17)</f>
        <v/>
      </c>
      <c r="H8" s="82">
        <f>IF($A8="","",'4. Thẻ tính giá thành'!$U$17)</f>
        <v/>
      </c>
      <c r="I8" s="82">
        <f>IF($A8="","",'4. Thẻ tính giá thành'!$V$17)</f>
        <v/>
      </c>
      <c r="J8" s="82">
        <f>IF($A8="","",'4. Thẻ tính giá thành'!$Y$17)</f>
        <v/>
      </c>
      <c r="K8" s="82">
        <f>IF($A8="","",'4. Thẻ tính giá thành'!$Z$17)</f>
        <v/>
      </c>
      <c r="L8" s="82">
        <f>IF($A8="","",'4. Thẻ tính giá thành'!$W$17)</f>
        <v/>
      </c>
      <c r="M8" s="82">
        <f>IF($A8="","",'4. Thẻ tính giá thành'!$X$17)</f>
        <v/>
      </c>
      <c r="N8" s="82">
        <f>IF($A8="","",'4. Thẻ tính giá thành'!$AA$17)</f>
        <v/>
      </c>
      <c r="O8" s="82">
        <f>IF($A8="","",'4. Thẻ tính giá thành'!$AB$17)</f>
        <v/>
      </c>
      <c r="P8" s="82">
        <f>IF($A8="","",'4. Thẻ tính giá thành'!$AC$17)</f>
        <v/>
      </c>
    </row>
    <row r="9" ht="15" customHeight="1" s="54">
      <c r="A9" s="80">
        <f>IF('4. Thẻ tính giá thành'!$A$18="","",'4. Thẻ tính giá thành'!$A$18)</f>
        <v/>
      </c>
      <c r="B9" s="80">
        <f>IF($A9="","",'4. Thẻ tính giá thành'!$B$18)</f>
        <v/>
      </c>
      <c r="C9" s="82">
        <f>IF($A9="","",'4. Thẻ tính giá thành'!$P$18)</f>
        <v/>
      </c>
      <c r="D9" s="82">
        <f>IF($A9="","",'4. Thẻ tính giá thành'!$Q$18)</f>
        <v/>
      </c>
      <c r="E9" s="82">
        <f>IF($A9="","",'4. Thẻ tính giá thành'!$R$18)</f>
        <v/>
      </c>
      <c r="F9" s="82">
        <f>IF($A9="","",'4. Thẻ tính giá thành'!$S$18)</f>
        <v/>
      </c>
      <c r="G9" s="82">
        <f>IF($A9="","",'4. Thẻ tính giá thành'!$T$18)</f>
        <v/>
      </c>
      <c r="H9" s="82">
        <f>IF($A9="","",'4. Thẻ tính giá thành'!$U$18)</f>
        <v/>
      </c>
      <c r="I9" s="82">
        <f>IF($A9="","",'4. Thẻ tính giá thành'!$V$18)</f>
        <v/>
      </c>
      <c r="J9" s="82">
        <f>IF($A9="","",'4. Thẻ tính giá thành'!$Y$18)</f>
        <v/>
      </c>
      <c r="K9" s="82">
        <f>IF($A9="","",'4. Thẻ tính giá thành'!$Z$18)</f>
        <v/>
      </c>
      <c r="L9" s="82">
        <f>IF($A9="","",'4. Thẻ tính giá thành'!$W$18)</f>
        <v/>
      </c>
      <c r="M9" s="82">
        <f>IF($A9="","",'4. Thẻ tính giá thành'!$X$18)</f>
        <v/>
      </c>
      <c r="N9" s="82">
        <f>IF($A9="","",'4. Thẻ tính giá thành'!$AA$18)</f>
        <v/>
      </c>
      <c r="O9" s="82">
        <f>IF($A9="","",'4. Thẻ tính giá thành'!$AB$18)</f>
        <v/>
      </c>
      <c r="P9" s="82">
        <f>IF($A9="","",'4. Thẻ tính giá thành'!$AC$18)</f>
        <v/>
      </c>
    </row>
    <row r="10" ht="15" customHeight="1" s="54">
      <c r="A10" s="80">
        <f>IF('4. Thẻ tính giá thành'!$A$19="","",'4. Thẻ tính giá thành'!$A$19)</f>
        <v/>
      </c>
      <c r="B10" s="80">
        <f>IF($A10="","",'4. Thẻ tính giá thành'!$B$19)</f>
        <v/>
      </c>
      <c r="C10" s="82">
        <f>IF($A10="","",'4. Thẻ tính giá thành'!$P$19)</f>
        <v/>
      </c>
      <c r="D10" s="82">
        <f>IF($A10="","",'4. Thẻ tính giá thành'!$Q$19)</f>
        <v/>
      </c>
      <c r="E10" s="82">
        <f>IF($A10="","",'4. Thẻ tính giá thành'!$R$19)</f>
        <v/>
      </c>
      <c r="F10" s="82">
        <f>IF($A10="","",'4. Thẻ tính giá thành'!$S$19)</f>
        <v/>
      </c>
      <c r="G10" s="82">
        <f>IF($A10="","",'4. Thẻ tính giá thành'!$T$19)</f>
        <v/>
      </c>
      <c r="H10" s="82">
        <f>IF($A10="","",'4. Thẻ tính giá thành'!$U$19)</f>
        <v/>
      </c>
      <c r="I10" s="82">
        <f>IF($A10="","",'4. Thẻ tính giá thành'!$V$19)</f>
        <v/>
      </c>
      <c r="J10" s="82">
        <f>IF($A10="","",'4. Thẻ tính giá thành'!$Y$19)</f>
        <v/>
      </c>
      <c r="K10" s="82">
        <f>IF($A10="","",'4. Thẻ tính giá thành'!$Z$19)</f>
        <v/>
      </c>
      <c r="L10" s="82">
        <f>IF($A10="","",'4. Thẻ tính giá thành'!$W$19)</f>
        <v/>
      </c>
      <c r="M10" s="82">
        <f>IF($A10="","",'4. Thẻ tính giá thành'!$X$19)</f>
        <v/>
      </c>
      <c r="N10" s="82">
        <f>IF($A10="","",'4. Thẻ tính giá thành'!$AA$19)</f>
        <v/>
      </c>
      <c r="O10" s="82">
        <f>IF($A10="","",'4. Thẻ tính giá thành'!$AB$19)</f>
        <v/>
      </c>
      <c r="P10" s="82">
        <f>IF($A10="","",'4. Thẻ tính giá thành'!$AC$19)</f>
        <v/>
      </c>
    </row>
    <row r="11" ht="15" customHeight="1" s="54">
      <c r="A11" s="80">
        <f>IF('4. Thẻ tính giá thành'!$A$20="","",'4. Thẻ tính giá thành'!$A$20)</f>
        <v/>
      </c>
      <c r="B11" s="80">
        <f>IF($A11="","",'4. Thẻ tính giá thành'!$B$20)</f>
        <v/>
      </c>
      <c r="C11" s="82">
        <f>IF($A11="","",'4. Thẻ tính giá thành'!$P$20)</f>
        <v/>
      </c>
      <c r="D11" s="82">
        <f>IF($A11="","",'4. Thẻ tính giá thành'!$Q$20)</f>
        <v/>
      </c>
      <c r="E11" s="82">
        <f>IF($A11="","",'4. Thẻ tính giá thành'!$R$20)</f>
        <v/>
      </c>
      <c r="F11" s="82">
        <f>IF($A11="","",'4. Thẻ tính giá thành'!$S$20)</f>
        <v/>
      </c>
      <c r="G11" s="82">
        <f>IF($A11="","",'4. Thẻ tính giá thành'!$T$20)</f>
        <v/>
      </c>
      <c r="H11" s="82">
        <f>IF($A11="","",'4. Thẻ tính giá thành'!$U$20)</f>
        <v/>
      </c>
      <c r="I11" s="82">
        <f>IF($A11="","",'4. Thẻ tính giá thành'!$V$20)</f>
        <v/>
      </c>
      <c r="J11" s="82">
        <f>IF($A11="","",'4. Thẻ tính giá thành'!$Y$20)</f>
        <v/>
      </c>
      <c r="K11" s="82">
        <f>IF($A11="","",'4. Thẻ tính giá thành'!$Z$20)</f>
        <v/>
      </c>
      <c r="L11" s="82">
        <f>IF($A11="","",'4. Thẻ tính giá thành'!$W$20)</f>
        <v/>
      </c>
      <c r="M11" s="82">
        <f>IF($A11="","",'4. Thẻ tính giá thành'!$X$20)</f>
        <v/>
      </c>
      <c r="N11" s="82">
        <f>IF($A11="","",'4. Thẻ tính giá thành'!$AA$20)</f>
        <v/>
      </c>
      <c r="O11" s="82">
        <f>IF($A11="","",'4. Thẻ tính giá thành'!$AB$20)</f>
        <v/>
      </c>
      <c r="P11" s="82">
        <f>IF($A11="","",'4. Thẻ tính giá thành'!$AC$20)</f>
        <v/>
      </c>
    </row>
    <row r="12" ht="15" customHeight="1" s="54">
      <c r="A12" s="80">
        <f>IF('4. Thẻ tính giá thành'!$A$21="","",'4. Thẻ tính giá thành'!$A$21)</f>
        <v/>
      </c>
      <c r="B12" s="80">
        <f>IF($A12="","",'4. Thẻ tính giá thành'!$B$21)</f>
        <v/>
      </c>
      <c r="C12" s="82">
        <f>IF($A12="","",'4. Thẻ tính giá thành'!$P$21)</f>
        <v/>
      </c>
      <c r="D12" s="82">
        <f>IF($A12="","",'4. Thẻ tính giá thành'!$Q$21)</f>
        <v/>
      </c>
      <c r="E12" s="82">
        <f>IF($A12="","",'4. Thẻ tính giá thành'!$R$21)</f>
        <v/>
      </c>
      <c r="F12" s="82">
        <f>IF($A12="","",'4. Thẻ tính giá thành'!$S$21)</f>
        <v/>
      </c>
      <c r="G12" s="82">
        <f>IF($A12="","",'4. Thẻ tính giá thành'!$T$21)</f>
        <v/>
      </c>
      <c r="H12" s="82">
        <f>IF($A12="","",'4. Thẻ tính giá thành'!$U$21)</f>
        <v/>
      </c>
      <c r="I12" s="82">
        <f>IF($A12="","",'4. Thẻ tính giá thành'!$V$21)</f>
        <v/>
      </c>
      <c r="J12" s="82">
        <f>IF($A12="","",'4. Thẻ tính giá thành'!$Y$21)</f>
        <v/>
      </c>
      <c r="K12" s="82">
        <f>IF($A12="","",'4. Thẻ tính giá thành'!$Z$21)</f>
        <v/>
      </c>
      <c r="L12" s="82">
        <f>IF($A12="","",'4. Thẻ tính giá thành'!$W$21)</f>
        <v/>
      </c>
      <c r="M12" s="82">
        <f>IF($A12="","",'4. Thẻ tính giá thành'!$X$21)</f>
        <v/>
      </c>
      <c r="N12" s="82">
        <f>IF($A12="","",'4. Thẻ tính giá thành'!$AA$21)</f>
        <v/>
      </c>
      <c r="O12" s="82">
        <f>IF($A12="","",'4. Thẻ tính giá thành'!$AB$21)</f>
        <v/>
      </c>
      <c r="P12" s="82">
        <f>IF($A12="","",'4. Thẻ tính giá thành'!$AC$21)</f>
        <v/>
      </c>
    </row>
    <row r="13" ht="15" customHeight="1" s="54">
      <c r="A13" s="80">
        <f>IF('4. Thẻ tính giá thành'!$A$22="","",'4. Thẻ tính giá thành'!$A$22)</f>
        <v/>
      </c>
      <c r="B13" s="80">
        <f>IF($A13="","",'4. Thẻ tính giá thành'!$B$22)</f>
        <v/>
      </c>
      <c r="C13" s="82">
        <f>IF($A13="","",'4. Thẻ tính giá thành'!$P$22)</f>
        <v/>
      </c>
      <c r="D13" s="82">
        <f>IF($A13="","",'4. Thẻ tính giá thành'!$Q$22)</f>
        <v/>
      </c>
      <c r="E13" s="82">
        <f>IF($A13="","",'4. Thẻ tính giá thành'!$R$22)</f>
        <v/>
      </c>
      <c r="F13" s="82">
        <f>IF($A13="","",'4. Thẻ tính giá thành'!$S$22)</f>
        <v/>
      </c>
      <c r="G13" s="82">
        <f>IF($A13="","",'4. Thẻ tính giá thành'!$T$22)</f>
        <v/>
      </c>
      <c r="H13" s="82">
        <f>IF($A13="","",'4. Thẻ tính giá thành'!$U$22)</f>
        <v/>
      </c>
      <c r="I13" s="82">
        <f>IF($A13="","",'4. Thẻ tính giá thành'!$V$22)</f>
        <v/>
      </c>
      <c r="J13" s="82">
        <f>IF($A13="","",'4. Thẻ tính giá thành'!$Y$22)</f>
        <v/>
      </c>
      <c r="K13" s="82">
        <f>IF($A13="","",'4. Thẻ tính giá thành'!$Z$22)</f>
        <v/>
      </c>
      <c r="L13" s="82">
        <f>IF($A13="","",'4. Thẻ tính giá thành'!$W$22)</f>
        <v/>
      </c>
      <c r="M13" s="82">
        <f>IF($A13="","",'4. Thẻ tính giá thành'!$X$22)</f>
        <v/>
      </c>
      <c r="N13" s="82">
        <f>IF($A13="","",'4. Thẻ tính giá thành'!$AA$22)</f>
        <v/>
      </c>
      <c r="O13" s="82">
        <f>IF($A13="","",'4. Thẻ tính giá thành'!$AB$22)</f>
        <v/>
      </c>
      <c r="P13" s="82">
        <f>IF($A13="","",'4. Thẻ tính giá thành'!$AC$22)</f>
        <v/>
      </c>
    </row>
    <row r="14" ht="15" customHeight="1" s="54">
      <c r="A14" s="80">
        <f>IF('4. Thẻ tính giá thành'!$A$23="","",'4. Thẻ tính giá thành'!$A$23)</f>
        <v/>
      </c>
      <c r="B14" s="80">
        <f>IF($A14="","",'4. Thẻ tính giá thành'!$B$23)</f>
        <v/>
      </c>
      <c r="C14" s="82">
        <f>IF($A14="","",'4. Thẻ tính giá thành'!$P$23)</f>
        <v/>
      </c>
      <c r="D14" s="82">
        <f>IF($A14="","",'4. Thẻ tính giá thành'!$Q$23)</f>
        <v/>
      </c>
      <c r="E14" s="82">
        <f>IF($A14="","",'4. Thẻ tính giá thành'!$R$23)</f>
        <v/>
      </c>
      <c r="F14" s="82">
        <f>IF($A14="","",'4. Thẻ tính giá thành'!$S$23)</f>
        <v/>
      </c>
      <c r="G14" s="82">
        <f>IF($A14="","",'4. Thẻ tính giá thành'!$T$23)</f>
        <v/>
      </c>
      <c r="H14" s="82">
        <f>IF($A14="","",'4. Thẻ tính giá thành'!$U$23)</f>
        <v/>
      </c>
      <c r="I14" s="82">
        <f>IF($A14="","",'4. Thẻ tính giá thành'!$V$23)</f>
        <v/>
      </c>
      <c r="J14" s="82">
        <f>IF($A14="","",'4. Thẻ tính giá thành'!$Y$23)</f>
        <v/>
      </c>
      <c r="K14" s="82">
        <f>IF($A14="","",'4. Thẻ tính giá thành'!$Z$23)</f>
        <v/>
      </c>
      <c r="L14" s="82">
        <f>IF($A14="","",'4. Thẻ tính giá thành'!$W$23)</f>
        <v/>
      </c>
      <c r="M14" s="82">
        <f>IF($A14="","",'4. Thẻ tính giá thành'!$X$23)</f>
        <v/>
      </c>
      <c r="N14" s="82">
        <f>IF($A14="","",'4. Thẻ tính giá thành'!$AA$23)</f>
        <v/>
      </c>
      <c r="O14" s="82">
        <f>IF($A14="","",'4. Thẻ tính giá thành'!$AB$23)</f>
        <v/>
      </c>
      <c r="P14" s="82">
        <f>IF($A14="","",'4. Thẻ tính giá thành'!$AC$23)</f>
        <v/>
      </c>
    </row>
    <row r="15" ht="15" customHeight="1" s="54">
      <c r="A15" s="80">
        <f>IF('4. Thẻ tính giá thành'!$A$24="","",'4. Thẻ tính giá thành'!$A$24)</f>
        <v/>
      </c>
      <c r="B15" s="80">
        <f>IF($A15="","",'4. Thẻ tính giá thành'!$B$24)</f>
        <v/>
      </c>
      <c r="C15" s="82">
        <f>IF($A15="","",'4. Thẻ tính giá thành'!$P$24)</f>
        <v/>
      </c>
      <c r="D15" s="82">
        <f>IF($A15="","",'4. Thẻ tính giá thành'!$Q$24)</f>
        <v/>
      </c>
      <c r="E15" s="82">
        <f>IF($A15="","",'4. Thẻ tính giá thành'!$R$24)</f>
        <v/>
      </c>
      <c r="F15" s="82">
        <f>IF($A15="","",'4. Thẻ tính giá thành'!$S$24)</f>
        <v/>
      </c>
      <c r="G15" s="82">
        <f>IF($A15="","",'4. Thẻ tính giá thành'!$T$24)</f>
        <v/>
      </c>
      <c r="H15" s="82">
        <f>IF($A15="","",'4. Thẻ tính giá thành'!$U$24)</f>
        <v/>
      </c>
      <c r="I15" s="82">
        <f>IF($A15="","",'4. Thẻ tính giá thành'!$V$24)</f>
        <v/>
      </c>
      <c r="J15" s="82">
        <f>IF($A15="","",'4. Thẻ tính giá thành'!$Y$24)</f>
        <v/>
      </c>
      <c r="K15" s="82">
        <f>IF($A15="","",'4. Thẻ tính giá thành'!$Z$24)</f>
        <v/>
      </c>
      <c r="L15" s="82">
        <f>IF($A15="","",'4. Thẻ tính giá thành'!$W$24)</f>
        <v/>
      </c>
      <c r="M15" s="82">
        <f>IF($A15="","",'4. Thẻ tính giá thành'!$X$24)</f>
        <v/>
      </c>
      <c r="N15" s="82">
        <f>IF($A15="","",'4. Thẻ tính giá thành'!$AA$24)</f>
        <v/>
      </c>
      <c r="O15" s="82">
        <f>IF($A15="","",'4. Thẻ tính giá thành'!$AB$24)</f>
        <v/>
      </c>
      <c r="P15" s="82">
        <f>IF($A15="","",'4. Thẻ tính giá thành'!$AC$24)</f>
        <v/>
      </c>
    </row>
    <row r="16" ht="15" customHeight="1" s="54">
      <c r="A16" s="80">
        <f>IF('4. Thẻ tính giá thành'!$A$25="","",'4. Thẻ tính giá thành'!$A$25)</f>
        <v/>
      </c>
      <c r="B16" s="80">
        <f>IF($A16="","",'4. Thẻ tính giá thành'!$B$25)</f>
        <v/>
      </c>
      <c r="C16" s="82">
        <f>IF($A16="","",'4. Thẻ tính giá thành'!$P$25)</f>
        <v/>
      </c>
      <c r="D16" s="82">
        <f>IF($A16="","",'4. Thẻ tính giá thành'!$Q$25)</f>
        <v/>
      </c>
      <c r="E16" s="82">
        <f>IF($A16="","",'4. Thẻ tính giá thành'!$R$25)</f>
        <v/>
      </c>
      <c r="F16" s="82">
        <f>IF($A16="","",'4. Thẻ tính giá thành'!$S$25)</f>
        <v/>
      </c>
      <c r="G16" s="82">
        <f>IF($A16="","",'4. Thẻ tính giá thành'!$T$25)</f>
        <v/>
      </c>
      <c r="H16" s="82">
        <f>IF($A16="","",'4. Thẻ tính giá thành'!$U$25)</f>
        <v/>
      </c>
      <c r="I16" s="82">
        <f>IF($A16="","",'4. Thẻ tính giá thành'!$V$25)</f>
        <v/>
      </c>
      <c r="J16" s="82">
        <f>IF($A16="","",'4. Thẻ tính giá thành'!$Y$25)</f>
        <v/>
      </c>
      <c r="K16" s="82">
        <f>IF($A16="","",'4. Thẻ tính giá thành'!$Z$25)</f>
        <v/>
      </c>
      <c r="L16" s="82">
        <f>IF($A16="","",'4. Thẻ tính giá thành'!$W$25)</f>
        <v/>
      </c>
      <c r="M16" s="82">
        <f>IF($A16="","",'4. Thẻ tính giá thành'!$X$25)</f>
        <v/>
      </c>
      <c r="N16" s="82">
        <f>IF($A16="","",'4. Thẻ tính giá thành'!$AA$25)</f>
        <v/>
      </c>
      <c r="O16" s="82">
        <f>IF($A16="","",'4. Thẻ tính giá thành'!$AB$25)</f>
        <v/>
      </c>
      <c r="P16" s="82">
        <f>IF($A16="","",'4. Thẻ tính giá thành'!$AC$25)</f>
        <v/>
      </c>
    </row>
    <row r="17" ht="15" customHeight="1" s="54">
      <c r="A17" s="80">
        <f>IF('4. Thẻ tính giá thành'!$A$26="","",'4. Thẻ tính giá thành'!$A$26)</f>
        <v/>
      </c>
      <c r="B17" s="80">
        <f>IF($A17="","",'4. Thẻ tính giá thành'!$B$26)</f>
        <v/>
      </c>
      <c r="C17" s="82">
        <f>IF($A17="","",'4. Thẻ tính giá thành'!$P$26)</f>
        <v/>
      </c>
      <c r="D17" s="82">
        <f>IF($A17="","",'4. Thẻ tính giá thành'!$Q$26)</f>
        <v/>
      </c>
      <c r="E17" s="82">
        <f>IF($A17="","",'4. Thẻ tính giá thành'!$R$26)</f>
        <v/>
      </c>
      <c r="F17" s="82">
        <f>IF($A17="","",'4. Thẻ tính giá thành'!$S$26)</f>
        <v/>
      </c>
      <c r="G17" s="82">
        <f>IF($A17="","",'4. Thẻ tính giá thành'!$T$26)</f>
        <v/>
      </c>
      <c r="H17" s="82">
        <f>IF($A17="","",'4. Thẻ tính giá thành'!$U$26)</f>
        <v/>
      </c>
      <c r="I17" s="82">
        <f>IF($A17="","",'4. Thẻ tính giá thành'!$V$26)</f>
        <v/>
      </c>
      <c r="J17" s="82">
        <f>IF($A17="","",'4. Thẻ tính giá thành'!$Y$26)</f>
        <v/>
      </c>
      <c r="K17" s="82">
        <f>IF($A17="","",'4. Thẻ tính giá thành'!$Z$26)</f>
        <v/>
      </c>
      <c r="L17" s="82">
        <f>IF($A17="","",'4. Thẻ tính giá thành'!$W$26)</f>
        <v/>
      </c>
      <c r="M17" s="82">
        <f>IF($A17="","",'4. Thẻ tính giá thành'!$X$26)</f>
        <v/>
      </c>
      <c r="N17" s="82">
        <f>IF($A17="","",'4. Thẻ tính giá thành'!$AA$26)</f>
        <v/>
      </c>
      <c r="O17" s="82">
        <f>IF($A17="","",'4. Thẻ tính giá thành'!$AB$26)</f>
        <v/>
      </c>
      <c r="P17" s="82">
        <f>IF($A17="","",'4. Thẻ tính giá thành'!$AC$26)</f>
        <v/>
      </c>
    </row>
    <row r="18" ht="15" customHeight="1" s="54">
      <c r="A18" s="80">
        <f>IF('4. Thẻ tính giá thành'!$A$27="","",'4. Thẻ tính giá thành'!$A$27)</f>
        <v/>
      </c>
      <c r="B18" s="80">
        <f>IF($A18="","",'4. Thẻ tính giá thành'!$B$27)</f>
        <v/>
      </c>
      <c r="C18" s="82">
        <f>IF($A18="","",'4. Thẻ tính giá thành'!$P$27)</f>
        <v/>
      </c>
      <c r="D18" s="82">
        <f>IF($A18="","",'4. Thẻ tính giá thành'!$Q$27)</f>
        <v/>
      </c>
      <c r="E18" s="82">
        <f>IF($A18="","",'4. Thẻ tính giá thành'!$R$27)</f>
        <v/>
      </c>
      <c r="F18" s="82">
        <f>IF($A18="","",'4. Thẻ tính giá thành'!$S$27)</f>
        <v/>
      </c>
      <c r="G18" s="82">
        <f>IF($A18="","",'4. Thẻ tính giá thành'!$T$27)</f>
        <v/>
      </c>
      <c r="H18" s="82">
        <f>IF($A18="","",'4. Thẻ tính giá thành'!$U$27)</f>
        <v/>
      </c>
      <c r="I18" s="82">
        <f>IF($A18="","",'4. Thẻ tính giá thành'!$V$27)</f>
        <v/>
      </c>
      <c r="J18" s="82">
        <f>IF($A18="","",'4. Thẻ tính giá thành'!$Y$27)</f>
        <v/>
      </c>
      <c r="K18" s="82">
        <f>IF($A18="","",'4. Thẻ tính giá thành'!$Z$27)</f>
        <v/>
      </c>
      <c r="L18" s="82">
        <f>IF($A18="","",'4. Thẻ tính giá thành'!$W$27)</f>
        <v/>
      </c>
      <c r="M18" s="82">
        <f>IF($A18="","",'4. Thẻ tính giá thành'!$X$27)</f>
        <v/>
      </c>
      <c r="N18" s="82">
        <f>IF($A18="","",'4. Thẻ tính giá thành'!$AA$27)</f>
        <v/>
      </c>
      <c r="O18" s="82">
        <f>IF($A18="","",'4. Thẻ tính giá thành'!$AB$27)</f>
        <v/>
      </c>
      <c r="P18" s="82">
        <f>IF($A18="","",'4. Thẻ tính giá thành'!$AC$27)</f>
        <v/>
      </c>
    </row>
    <row r="19" ht="15" customHeight="1" s="54">
      <c r="A19" s="80">
        <f>IF('4. Thẻ tính giá thành'!$A$28="","",'4. Thẻ tính giá thành'!$A$28)</f>
        <v/>
      </c>
      <c r="B19" s="80">
        <f>IF($A19="","",'4. Thẻ tính giá thành'!$B$28)</f>
        <v/>
      </c>
      <c r="C19" s="82">
        <f>IF($A19="","",'4. Thẻ tính giá thành'!$P$28)</f>
        <v/>
      </c>
      <c r="D19" s="82">
        <f>IF($A19="","",'4. Thẻ tính giá thành'!$Q$28)</f>
        <v/>
      </c>
      <c r="E19" s="82">
        <f>IF($A19="","",'4. Thẻ tính giá thành'!$R$28)</f>
        <v/>
      </c>
      <c r="F19" s="82">
        <f>IF($A19="","",'4. Thẻ tính giá thành'!$S$28)</f>
        <v/>
      </c>
      <c r="G19" s="82">
        <f>IF($A19="","",'4. Thẻ tính giá thành'!$T$28)</f>
        <v/>
      </c>
      <c r="H19" s="82">
        <f>IF($A19="","",'4. Thẻ tính giá thành'!$U$28)</f>
        <v/>
      </c>
      <c r="I19" s="82">
        <f>IF($A19="","",'4. Thẻ tính giá thành'!$V$28)</f>
        <v/>
      </c>
      <c r="J19" s="82">
        <f>IF($A19="","",'4. Thẻ tính giá thành'!$Y$28)</f>
        <v/>
      </c>
      <c r="K19" s="82">
        <f>IF($A19="","",'4. Thẻ tính giá thành'!$Z$28)</f>
        <v/>
      </c>
      <c r="L19" s="82">
        <f>IF($A19="","",'4. Thẻ tính giá thành'!$W$28)</f>
        <v/>
      </c>
      <c r="M19" s="82">
        <f>IF($A19="","",'4. Thẻ tính giá thành'!$X$28)</f>
        <v/>
      </c>
      <c r="N19" s="82">
        <f>IF($A19="","",'4. Thẻ tính giá thành'!$AA$28)</f>
        <v/>
      </c>
      <c r="O19" s="82">
        <f>IF($A19="","",'4. Thẻ tính giá thành'!$AB$28)</f>
        <v/>
      </c>
      <c r="P19" s="82">
        <f>IF($A19="","",'4. Thẻ tính giá thành'!$AC$28)</f>
        <v/>
      </c>
    </row>
    <row r="20" ht="15" customHeight="1" s="54">
      <c r="A20" s="80">
        <f>IF('4. Thẻ tính giá thành'!$A$29="","",'4. Thẻ tính giá thành'!$A$29)</f>
        <v/>
      </c>
      <c r="B20" s="80">
        <f>IF($A20="","",'4. Thẻ tính giá thành'!$B$29)</f>
        <v/>
      </c>
      <c r="C20" s="82">
        <f>IF($A20="","",'4. Thẻ tính giá thành'!$P$29)</f>
        <v/>
      </c>
      <c r="D20" s="82">
        <f>IF($A20="","",'4. Thẻ tính giá thành'!$Q$29)</f>
        <v/>
      </c>
      <c r="E20" s="82">
        <f>IF($A20="","",'4. Thẻ tính giá thành'!$R$29)</f>
        <v/>
      </c>
      <c r="F20" s="82">
        <f>IF($A20="","",'4. Thẻ tính giá thành'!$S$29)</f>
        <v/>
      </c>
      <c r="G20" s="82">
        <f>IF($A20="","",'4. Thẻ tính giá thành'!$T$29)</f>
        <v/>
      </c>
      <c r="H20" s="82">
        <f>IF($A20="","",'4. Thẻ tính giá thành'!$U$29)</f>
        <v/>
      </c>
      <c r="I20" s="82">
        <f>IF($A20="","",'4. Thẻ tính giá thành'!$V$29)</f>
        <v/>
      </c>
      <c r="J20" s="82">
        <f>IF($A20="","",'4. Thẻ tính giá thành'!$Y$29)</f>
        <v/>
      </c>
      <c r="K20" s="82">
        <f>IF($A20="","",'4. Thẻ tính giá thành'!$Z$29)</f>
        <v/>
      </c>
      <c r="L20" s="82">
        <f>IF($A20="","",'4. Thẻ tính giá thành'!$W$29)</f>
        <v/>
      </c>
      <c r="M20" s="82">
        <f>IF($A20="","",'4. Thẻ tính giá thành'!$X$29)</f>
        <v/>
      </c>
      <c r="N20" s="82">
        <f>IF($A20="","",'4. Thẻ tính giá thành'!$AA$29)</f>
        <v/>
      </c>
      <c r="O20" s="82">
        <f>IF($A20="","",'4. Thẻ tính giá thành'!$AB$29)</f>
        <v/>
      </c>
      <c r="P20" s="82">
        <f>IF($A20="","",'4. Thẻ tính giá thành'!$AC$29)</f>
        <v/>
      </c>
    </row>
    <row r="21" ht="15" customHeight="1" s="54">
      <c r="A21" s="80">
        <f>IF('4. Thẻ tính giá thành'!$A$30="","",'4. Thẻ tính giá thành'!$A$30)</f>
        <v/>
      </c>
      <c r="B21" s="80">
        <f>IF($A21="","",'4. Thẻ tính giá thành'!$B$30)</f>
        <v/>
      </c>
      <c r="C21" s="82">
        <f>IF($A21="","",'4. Thẻ tính giá thành'!$P$30)</f>
        <v/>
      </c>
      <c r="D21" s="82">
        <f>IF($A21="","",'4. Thẻ tính giá thành'!$Q$30)</f>
        <v/>
      </c>
      <c r="E21" s="82">
        <f>IF($A21="","",'4. Thẻ tính giá thành'!$R$30)</f>
        <v/>
      </c>
      <c r="F21" s="82">
        <f>IF($A21="","",'4. Thẻ tính giá thành'!$S$30)</f>
        <v/>
      </c>
      <c r="G21" s="82">
        <f>IF($A21="","",'4. Thẻ tính giá thành'!$T$30)</f>
        <v/>
      </c>
      <c r="H21" s="82">
        <f>IF($A21="","",'4. Thẻ tính giá thành'!$U$30)</f>
        <v/>
      </c>
      <c r="I21" s="82">
        <f>IF($A21="","",'4. Thẻ tính giá thành'!$V$30)</f>
        <v/>
      </c>
      <c r="J21" s="82">
        <f>IF($A21="","",'4. Thẻ tính giá thành'!$Y$30)</f>
        <v/>
      </c>
      <c r="K21" s="82">
        <f>IF($A21="","",'4. Thẻ tính giá thành'!$Z$30)</f>
        <v/>
      </c>
      <c r="L21" s="82">
        <f>IF($A21="","",'4. Thẻ tính giá thành'!$W$30)</f>
        <v/>
      </c>
      <c r="M21" s="82">
        <f>IF($A21="","",'4. Thẻ tính giá thành'!$X$30)</f>
        <v/>
      </c>
      <c r="N21" s="82">
        <f>IF($A21="","",'4. Thẻ tính giá thành'!$AA$30)</f>
        <v/>
      </c>
      <c r="O21" s="82">
        <f>IF($A21="","",'4. Thẻ tính giá thành'!$AB$30)</f>
        <v/>
      </c>
      <c r="P21" s="82">
        <f>IF($A21="","",'4. Thẻ tính giá thành'!$AC$30)</f>
        <v/>
      </c>
    </row>
    <row r="22" ht="15" customHeight="1" s="54">
      <c r="A22" s="80">
        <f>IF('4. Thẻ tính giá thành'!$A$31="","",'4. Thẻ tính giá thành'!$A$31)</f>
        <v/>
      </c>
      <c r="B22" s="80">
        <f>IF($A22="","",'4. Thẻ tính giá thành'!$B$31)</f>
        <v/>
      </c>
      <c r="C22" s="82">
        <f>IF($A22="","",'4. Thẻ tính giá thành'!$P$31)</f>
        <v/>
      </c>
      <c r="D22" s="82">
        <f>IF($A22="","",'4. Thẻ tính giá thành'!$Q$31)</f>
        <v/>
      </c>
      <c r="E22" s="82">
        <f>IF($A22="","",'4. Thẻ tính giá thành'!$R$31)</f>
        <v/>
      </c>
      <c r="F22" s="82">
        <f>IF($A22="","",'4. Thẻ tính giá thành'!$S$31)</f>
        <v/>
      </c>
      <c r="G22" s="82">
        <f>IF($A22="","",'4. Thẻ tính giá thành'!$T$31)</f>
        <v/>
      </c>
      <c r="H22" s="82">
        <f>IF($A22="","",'4. Thẻ tính giá thành'!$U$31)</f>
        <v/>
      </c>
      <c r="I22" s="82">
        <f>IF($A22="","",'4. Thẻ tính giá thành'!$V$31)</f>
        <v/>
      </c>
      <c r="J22" s="82">
        <f>IF($A22="","",'4. Thẻ tính giá thành'!$Y$31)</f>
        <v/>
      </c>
      <c r="K22" s="82">
        <f>IF($A22="","",'4. Thẻ tính giá thành'!$Z$31)</f>
        <v/>
      </c>
      <c r="L22" s="82">
        <f>IF($A22="","",'4. Thẻ tính giá thành'!$W$31)</f>
        <v/>
      </c>
      <c r="M22" s="82">
        <f>IF($A22="","",'4. Thẻ tính giá thành'!$X$31)</f>
        <v/>
      </c>
      <c r="N22" s="82">
        <f>IF($A22="","",'4. Thẻ tính giá thành'!$AA$31)</f>
        <v/>
      </c>
      <c r="O22" s="82">
        <f>IF($A22="","",'4. Thẻ tính giá thành'!$AB$31)</f>
        <v/>
      </c>
      <c r="P22" s="82">
        <f>IF($A22="","",'4. Thẻ tính giá thành'!$AC$31)</f>
        <v/>
      </c>
    </row>
    <row r="23" ht="15" customHeight="1" s="54">
      <c r="A23" s="80">
        <f>IF('4. Thẻ tính giá thành'!$A$32="","",'4. Thẻ tính giá thành'!$A$32)</f>
        <v/>
      </c>
      <c r="B23" s="80">
        <f>IF($A23="","",'4. Thẻ tính giá thành'!$B$32)</f>
        <v/>
      </c>
      <c r="C23" s="82">
        <f>IF($A23="","",'4. Thẻ tính giá thành'!$P$32)</f>
        <v/>
      </c>
      <c r="D23" s="82">
        <f>IF($A23="","",'4. Thẻ tính giá thành'!$Q$32)</f>
        <v/>
      </c>
      <c r="E23" s="82">
        <f>IF($A23="","",'4. Thẻ tính giá thành'!$R$32)</f>
        <v/>
      </c>
      <c r="F23" s="82">
        <f>IF($A23="","",'4. Thẻ tính giá thành'!$S$32)</f>
        <v/>
      </c>
      <c r="G23" s="82">
        <f>IF($A23="","",'4. Thẻ tính giá thành'!$T$32)</f>
        <v/>
      </c>
      <c r="H23" s="82">
        <f>IF($A23="","",'4. Thẻ tính giá thành'!$U$32)</f>
        <v/>
      </c>
      <c r="I23" s="82">
        <f>IF($A23="","",'4. Thẻ tính giá thành'!$V$32)</f>
        <v/>
      </c>
      <c r="J23" s="82">
        <f>IF($A23="","",'4. Thẻ tính giá thành'!$Y$32)</f>
        <v/>
      </c>
      <c r="K23" s="82">
        <f>IF($A23="","",'4. Thẻ tính giá thành'!$Z$32)</f>
        <v/>
      </c>
      <c r="L23" s="82">
        <f>IF($A23="","",'4. Thẻ tính giá thành'!$W$32)</f>
        <v/>
      </c>
      <c r="M23" s="82">
        <f>IF($A23="","",'4. Thẻ tính giá thành'!$X$32)</f>
        <v/>
      </c>
      <c r="N23" s="82">
        <f>IF($A23="","",'4. Thẻ tính giá thành'!$AA$32)</f>
        <v/>
      </c>
      <c r="O23" s="82">
        <f>IF($A23="","",'4. Thẻ tính giá thành'!$AB$32)</f>
        <v/>
      </c>
      <c r="P23" s="82">
        <f>IF($A23="","",'4. Thẻ tính giá thành'!$AC$32)</f>
        <v/>
      </c>
    </row>
    <row r="24" ht="15" customHeight="1" s="54">
      <c r="A24" s="80">
        <f>IF('4. Thẻ tính giá thành'!$A$33="","",'4. Thẻ tính giá thành'!$A$33)</f>
        <v/>
      </c>
      <c r="B24" s="80">
        <f>IF($A24="","",'4. Thẻ tính giá thành'!$B$33)</f>
        <v/>
      </c>
      <c r="C24" s="82">
        <f>IF($A24="","",'4. Thẻ tính giá thành'!$P$33)</f>
        <v/>
      </c>
      <c r="D24" s="82">
        <f>IF($A24="","",'4. Thẻ tính giá thành'!$Q$33)</f>
        <v/>
      </c>
      <c r="E24" s="82">
        <f>IF($A24="","",'4. Thẻ tính giá thành'!$R$33)</f>
        <v/>
      </c>
      <c r="F24" s="82">
        <f>IF($A24="","",'4. Thẻ tính giá thành'!$S$33)</f>
        <v/>
      </c>
      <c r="G24" s="82">
        <f>IF($A24="","",'4. Thẻ tính giá thành'!$T$33)</f>
        <v/>
      </c>
      <c r="H24" s="82">
        <f>IF($A24="","",'4. Thẻ tính giá thành'!$U$33)</f>
        <v/>
      </c>
      <c r="I24" s="82">
        <f>IF($A24="","",'4. Thẻ tính giá thành'!$V$33)</f>
        <v/>
      </c>
      <c r="J24" s="82">
        <f>IF($A24="","",'4. Thẻ tính giá thành'!$Y$33)</f>
        <v/>
      </c>
      <c r="K24" s="82">
        <f>IF($A24="","",'4. Thẻ tính giá thành'!$Z$33)</f>
        <v/>
      </c>
      <c r="L24" s="82">
        <f>IF($A24="","",'4. Thẻ tính giá thành'!$W$33)</f>
        <v/>
      </c>
      <c r="M24" s="82">
        <f>IF($A24="","",'4. Thẻ tính giá thành'!$X$33)</f>
        <v/>
      </c>
      <c r="N24" s="82">
        <f>IF($A24="","",'4. Thẻ tính giá thành'!$AA$33)</f>
        <v/>
      </c>
      <c r="O24" s="82">
        <f>IF($A24="","",'4. Thẻ tính giá thành'!$AB$33)</f>
        <v/>
      </c>
      <c r="P24" s="82">
        <f>IF($A24="","",'4. Thẻ tính giá thành'!$AC$33)</f>
        <v/>
      </c>
    </row>
    <row r="25" ht="15" customHeight="1" s="54">
      <c r="A25" s="80">
        <f>IF('4. Thẻ tính giá thành'!$A$34="","",'4. Thẻ tính giá thành'!$A$34)</f>
        <v/>
      </c>
      <c r="B25" s="80">
        <f>IF($A25="","",'4. Thẻ tính giá thành'!$B$34)</f>
        <v/>
      </c>
      <c r="C25" s="82">
        <f>IF($A25="","",'4. Thẻ tính giá thành'!$P$34)</f>
        <v/>
      </c>
      <c r="D25" s="82">
        <f>IF($A25="","",'4. Thẻ tính giá thành'!$Q$34)</f>
        <v/>
      </c>
      <c r="E25" s="82">
        <f>IF($A25="","",'4. Thẻ tính giá thành'!$R$34)</f>
        <v/>
      </c>
      <c r="F25" s="82">
        <f>IF($A25="","",'4. Thẻ tính giá thành'!$S$34)</f>
        <v/>
      </c>
      <c r="G25" s="82">
        <f>IF($A25="","",'4. Thẻ tính giá thành'!$T$34)</f>
        <v/>
      </c>
      <c r="H25" s="82">
        <f>IF($A25="","",'4. Thẻ tính giá thành'!$U$34)</f>
        <v/>
      </c>
      <c r="I25" s="82">
        <f>IF($A25="","",'4. Thẻ tính giá thành'!$V$34)</f>
        <v/>
      </c>
      <c r="J25" s="82">
        <f>IF($A25="","",'4. Thẻ tính giá thành'!$Y$34)</f>
        <v/>
      </c>
      <c r="K25" s="82">
        <f>IF($A25="","",'4. Thẻ tính giá thành'!$Z$34)</f>
        <v/>
      </c>
      <c r="L25" s="82">
        <f>IF($A25="","",'4. Thẻ tính giá thành'!$W$34)</f>
        <v/>
      </c>
      <c r="M25" s="82">
        <f>IF($A25="","",'4. Thẻ tính giá thành'!$X$34)</f>
        <v/>
      </c>
      <c r="N25" s="82">
        <f>IF($A25="","",'4. Thẻ tính giá thành'!$AA$34)</f>
        <v/>
      </c>
      <c r="O25" s="82">
        <f>IF($A25="","",'4. Thẻ tính giá thành'!$AB$34)</f>
        <v/>
      </c>
      <c r="P25" s="82">
        <f>IF($A25="","",'4. Thẻ tính giá thành'!$AC$34)</f>
        <v/>
      </c>
    </row>
    <row r="26" ht="15" customHeight="1" s="54">
      <c r="A26" s="80">
        <f>IF('4. Thẻ tính giá thành'!$A$35="","",'4. Thẻ tính giá thành'!$A$35)</f>
        <v/>
      </c>
      <c r="B26" s="80">
        <f>IF($A26="","",'4. Thẻ tính giá thành'!$B$35)</f>
        <v/>
      </c>
      <c r="C26" s="82">
        <f>IF($A26="","",'4. Thẻ tính giá thành'!$P$35)</f>
        <v/>
      </c>
      <c r="D26" s="82">
        <f>IF($A26="","",'4. Thẻ tính giá thành'!$Q$35)</f>
        <v/>
      </c>
      <c r="E26" s="82">
        <f>IF($A26="","",'4. Thẻ tính giá thành'!$R$35)</f>
        <v/>
      </c>
      <c r="F26" s="82">
        <f>IF($A26="","",'4. Thẻ tính giá thành'!$S$35)</f>
        <v/>
      </c>
      <c r="G26" s="82">
        <f>IF($A26="","",'4. Thẻ tính giá thành'!$T$35)</f>
        <v/>
      </c>
      <c r="H26" s="82">
        <f>IF($A26="","",'4. Thẻ tính giá thành'!$U$35)</f>
        <v/>
      </c>
      <c r="I26" s="82">
        <f>IF($A26="","",'4. Thẻ tính giá thành'!$V$35)</f>
        <v/>
      </c>
      <c r="J26" s="82">
        <f>IF($A26="","",'4. Thẻ tính giá thành'!$Y$35)</f>
        <v/>
      </c>
      <c r="K26" s="82">
        <f>IF($A26="","",'4. Thẻ tính giá thành'!$Z$35)</f>
        <v/>
      </c>
      <c r="L26" s="82">
        <f>IF($A26="","",'4. Thẻ tính giá thành'!$W$35)</f>
        <v/>
      </c>
      <c r="M26" s="82">
        <f>IF($A26="","",'4. Thẻ tính giá thành'!$X$35)</f>
        <v/>
      </c>
      <c r="N26" s="82">
        <f>IF($A26="","",'4. Thẻ tính giá thành'!$AA$35)</f>
        <v/>
      </c>
      <c r="O26" s="82">
        <f>IF($A26="","",'4. Thẻ tính giá thành'!$AB$35)</f>
        <v/>
      </c>
      <c r="P26" s="82">
        <f>IF($A26="","",'4. Thẻ tính giá thành'!$AC$35)</f>
        <v/>
      </c>
    </row>
    <row r="27" ht="15" customHeight="1" s="54">
      <c r="A27" s="80">
        <f>IF('4. Thẻ tính giá thành'!$A$36="","",'4. Thẻ tính giá thành'!$A$36)</f>
        <v/>
      </c>
      <c r="B27" s="80">
        <f>IF($A27="","",'4. Thẻ tính giá thành'!$B$36)</f>
        <v/>
      </c>
      <c r="C27" s="82">
        <f>IF($A27="","",'4. Thẻ tính giá thành'!$P$36)</f>
        <v/>
      </c>
      <c r="D27" s="82">
        <f>IF($A27="","",'4. Thẻ tính giá thành'!$Q$36)</f>
        <v/>
      </c>
      <c r="E27" s="82">
        <f>IF($A27="","",'4. Thẻ tính giá thành'!$R$36)</f>
        <v/>
      </c>
      <c r="F27" s="82">
        <f>IF($A27="","",'4. Thẻ tính giá thành'!$S$36)</f>
        <v/>
      </c>
      <c r="G27" s="82">
        <f>IF($A27="","",'4. Thẻ tính giá thành'!$T$36)</f>
        <v/>
      </c>
      <c r="H27" s="82">
        <f>IF($A27="","",'4. Thẻ tính giá thành'!$U$36)</f>
        <v/>
      </c>
      <c r="I27" s="82">
        <f>IF($A27="","",'4. Thẻ tính giá thành'!$V$36)</f>
        <v/>
      </c>
      <c r="J27" s="82">
        <f>IF($A27="","",'4. Thẻ tính giá thành'!$Y$36)</f>
        <v/>
      </c>
      <c r="K27" s="82">
        <f>IF($A27="","",'4. Thẻ tính giá thành'!$Z$36)</f>
        <v/>
      </c>
      <c r="L27" s="82">
        <f>IF($A27="","",'4. Thẻ tính giá thành'!$W$36)</f>
        <v/>
      </c>
      <c r="M27" s="82">
        <f>IF($A27="","",'4. Thẻ tính giá thành'!$X$36)</f>
        <v/>
      </c>
      <c r="N27" s="82">
        <f>IF($A27="","",'4. Thẻ tính giá thành'!$AA$36)</f>
        <v/>
      </c>
      <c r="O27" s="82">
        <f>IF($A27="","",'4. Thẻ tính giá thành'!$AB$36)</f>
        <v/>
      </c>
      <c r="P27" s="82">
        <f>IF($A27="","",'4. Thẻ tính giá thành'!$AC$36)</f>
        <v/>
      </c>
    </row>
    <row r="28" ht="15" customHeight="1" s="54">
      <c r="A28" s="80">
        <f>IF('4. Thẻ tính giá thành'!$A$37="","",'4. Thẻ tính giá thành'!$A$37)</f>
        <v/>
      </c>
      <c r="B28" s="80">
        <f>IF($A28="","",'4. Thẻ tính giá thành'!$B$37)</f>
        <v/>
      </c>
      <c r="C28" s="82">
        <f>IF($A28="","",'4. Thẻ tính giá thành'!$P$37)</f>
        <v/>
      </c>
      <c r="D28" s="82">
        <f>IF($A28="","",'4. Thẻ tính giá thành'!$Q$37)</f>
        <v/>
      </c>
      <c r="E28" s="82">
        <f>IF($A28="","",'4. Thẻ tính giá thành'!$R$37)</f>
        <v/>
      </c>
      <c r="F28" s="82">
        <f>IF($A28="","",'4. Thẻ tính giá thành'!$S$37)</f>
        <v/>
      </c>
      <c r="G28" s="82">
        <f>IF($A28="","",'4. Thẻ tính giá thành'!$T$37)</f>
        <v/>
      </c>
      <c r="H28" s="82">
        <f>IF($A28="","",'4. Thẻ tính giá thành'!$U$37)</f>
        <v/>
      </c>
      <c r="I28" s="82">
        <f>IF($A28="","",'4. Thẻ tính giá thành'!$V$37)</f>
        <v/>
      </c>
      <c r="J28" s="82">
        <f>IF($A28="","",'4. Thẻ tính giá thành'!$Y$37)</f>
        <v/>
      </c>
      <c r="K28" s="82">
        <f>IF($A28="","",'4. Thẻ tính giá thành'!$Z$37)</f>
        <v/>
      </c>
      <c r="L28" s="82">
        <f>IF($A28="","",'4. Thẻ tính giá thành'!$W$37)</f>
        <v/>
      </c>
      <c r="M28" s="82">
        <f>IF($A28="","",'4. Thẻ tính giá thành'!$X$37)</f>
        <v/>
      </c>
      <c r="N28" s="82">
        <f>IF($A28="","",'4. Thẻ tính giá thành'!$AA$37)</f>
        <v/>
      </c>
      <c r="O28" s="82">
        <f>IF($A28="","",'4. Thẻ tính giá thành'!$AB$37)</f>
        <v/>
      </c>
      <c r="P28" s="82">
        <f>IF($A28="","",'4. Thẻ tính giá thành'!$AC$37)</f>
        <v/>
      </c>
    </row>
    <row r="29" ht="15" customHeight="1" s="54">
      <c r="A29" s="80">
        <f>IF('4. Thẻ tính giá thành'!$A$38="","",'4. Thẻ tính giá thành'!$A$38)</f>
        <v/>
      </c>
      <c r="B29" s="80">
        <f>IF($A29="","",'4. Thẻ tính giá thành'!$B$38)</f>
        <v/>
      </c>
      <c r="C29" s="82">
        <f>IF($A29="","",'4. Thẻ tính giá thành'!$P$38)</f>
        <v/>
      </c>
      <c r="D29" s="82">
        <f>IF($A29="","",'4. Thẻ tính giá thành'!$Q$38)</f>
        <v/>
      </c>
      <c r="E29" s="82">
        <f>IF($A29="","",'4. Thẻ tính giá thành'!$R$38)</f>
        <v/>
      </c>
      <c r="F29" s="82">
        <f>IF($A29="","",'4. Thẻ tính giá thành'!$S$38)</f>
        <v/>
      </c>
      <c r="G29" s="82">
        <f>IF($A29="","",'4. Thẻ tính giá thành'!$T$38)</f>
        <v/>
      </c>
      <c r="H29" s="82">
        <f>IF($A29="","",'4. Thẻ tính giá thành'!$U$38)</f>
        <v/>
      </c>
      <c r="I29" s="82">
        <f>IF($A29="","",'4. Thẻ tính giá thành'!$V$38)</f>
        <v/>
      </c>
      <c r="J29" s="82">
        <f>IF($A29="","",'4. Thẻ tính giá thành'!$Y$38)</f>
        <v/>
      </c>
      <c r="K29" s="82">
        <f>IF($A29="","",'4. Thẻ tính giá thành'!$Z$38)</f>
        <v/>
      </c>
      <c r="L29" s="82">
        <f>IF($A29="","",'4. Thẻ tính giá thành'!$W$38)</f>
        <v/>
      </c>
      <c r="M29" s="82">
        <f>IF($A29="","",'4. Thẻ tính giá thành'!$X$38)</f>
        <v/>
      </c>
      <c r="N29" s="82">
        <f>IF($A29="","",'4. Thẻ tính giá thành'!$AA$38)</f>
        <v/>
      </c>
      <c r="O29" s="82">
        <f>IF($A29="","",'4. Thẻ tính giá thành'!$AB$38)</f>
        <v/>
      </c>
      <c r="P29" s="82">
        <f>IF($A29="","",'4. Thẻ tính giá thành'!$AC$38)</f>
        <v/>
      </c>
    </row>
    <row r="30" ht="15" customHeight="1" s="54">
      <c r="A30" s="80">
        <f>IF('4. Thẻ tính giá thành'!$A$39="","",'4. Thẻ tính giá thành'!$A$39)</f>
        <v/>
      </c>
      <c r="B30" s="80">
        <f>IF($A30="","",'4. Thẻ tính giá thành'!$B$39)</f>
        <v/>
      </c>
      <c r="C30" s="82">
        <f>IF($A30="","",'4. Thẻ tính giá thành'!$P$39)</f>
        <v/>
      </c>
      <c r="D30" s="82">
        <f>IF($A30="","",'4. Thẻ tính giá thành'!$Q$39)</f>
        <v/>
      </c>
      <c r="E30" s="82">
        <f>IF($A30="","",'4. Thẻ tính giá thành'!$R$39)</f>
        <v/>
      </c>
      <c r="F30" s="82">
        <f>IF($A30="","",'4. Thẻ tính giá thành'!$S$39)</f>
        <v/>
      </c>
      <c r="G30" s="82">
        <f>IF($A30="","",'4. Thẻ tính giá thành'!$T$39)</f>
        <v/>
      </c>
      <c r="H30" s="82">
        <f>IF($A30="","",'4. Thẻ tính giá thành'!$U$39)</f>
        <v/>
      </c>
      <c r="I30" s="82">
        <f>IF($A30="","",'4. Thẻ tính giá thành'!$V$39)</f>
        <v/>
      </c>
      <c r="J30" s="82">
        <f>IF($A30="","",'4. Thẻ tính giá thành'!$Y$39)</f>
        <v/>
      </c>
      <c r="K30" s="82">
        <f>IF($A30="","",'4. Thẻ tính giá thành'!$Z$39)</f>
        <v/>
      </c>
      <c r="L30" s="82">
        <f>IF($A30="","",'4. Thẻ tính giá thành'!$W$39)</f>
        <v/>
      </c>
      <c r="M30" s="82">
        <f>IF($A30="","",'4. Thẻ tính giá thành'!$X$39)</f>
        <v/>
      </c>
      <c r="N30" s="82">
        <f>IF($A30="","",'4. Thẻ tính giá thành'!$AA$39)</f>
        <v/>
      </c>
      <c r="O30" s="82">
        <f>IF($A30="","",'4. Thẻ tính giá thành'!$AB$39)</f>
        <v/>
      </c>
      <c r="P30" s="82">
        <f>IF($A30="","",'4. Thẻ tính giá thành'!$AC$39)</f>
        <v/>
      </c>
    </row>
    <row r="31" ht="15" customHeight="1" s="54">
      <c r="A31" s="80">
        <f>IF('4. Thẻ tính giá thành'!$A$40="","",'4. Thẻ tính giá thành'!$A$40)</f>
        <v/>
      </c>
      <c r="B31" s="80">
        <f>IF($A31="","",'4. Thẻ tính giá thành'!$B$40)</f>
        <v/>
      </c>
      <c r="C31" s="82">
        <f>IF($A31="","",'4. Thẻ tính giá thành'!$P$40)</f>
        <v/>
      </c>
      <c r="D31" s="82">
        <f>IF($A31="","",'4. Thẻ tính giá thành'!$Q$40)</f>
        <v/>
      </c>
      <c r="E31" s="82">
        <f>IF($A31="","",'4. Thẻ tính giá thành'!$R$40)</f>
        <v/>
      </c>
      <c r="F31" s="82">
        <f>IF($A31="","",'4. Thẻ tính giá thành'!$S$40)</f>
        <v/>
      </c>
      <c r="G31" s="82">
        <f>IF($A31="","",'4. Thẻ tính giá thành'!$T$40)</f>
        <v/>
      </c>
      <c r="H31" s="82">
        <f>IF($A31="","",'4. Thẻ tính giá thành'!$U$40)</f>
        <v/>
      </c>
      <c r="I31" s="82">
        <f>IF($A31="","",'4. Thẻ tính giá thành'!$V$40)</f>
        <v/>
      </c>
      <c r="J31" s="82">
        <f>IF($A31="","",'4. Thẻ tính giá thành'!$Y$40)</f>
        <v/>
      </c>
      <c r="K31" s="82">
        <f>IF($A31="","",'4. Thẻ tính giá thành'!$Z$40)</f>
        <v/>
      </c>
      <c r="L31" s="82">
        <f>IF($A31="","",'4. Thẻ tính giá thành'!$W$40)</f>
        <v/>
      </c>
      <c r="M31" s="82">
        <f>IF($A31="","",'4. Thẻ tính giá thành'!$X$40)</f>
        <v/>
      </c>
      <c r="N31" s="82">
        <f>IF($A31="","",'4. Thẻ tính giá thành'!$AA$40)</f>
        <v/>
      </c>
      <c r="O31" s="82">
        <f>IF($A31="","",'4. Thẻ tính giá thành'!$AB$40)</f>
        <v/>
      </c>
      <c r="P31" s="82">
        <f>IF($A31="","",'4. Thẻ tính giá thành'!$AC$40)</f>
        <v/>
      </c>
    </row>
    <row r="32" ht="15" customHeight="1" s="54">
      <c r="A32" s="80">
        <f>IF('4. Thẻ tính giá thành'!$A$41="","",'4. Thẻ tính giá thành'!$A$41)</f>
        <v/>
      </c>
      <c r="B32" s="80">
        <f>IF($A32="","",'4. Thẻ tính giá thành'!$B$41)</f>
        <v/>
      </c>
      <c r="C32" s="82">
        <f>IF($A32="","",'4. Thẻ tính giá thành'!$P$41)</f>
        <v/>
      </c>
      <c r="D32" s="82">
        <f>IF($A32="","",'4. Thẻ tính giá thành'!$Q$41)</f>
        <v/>
      </c>
      <c r="E32" s="82">
        <f>IF($A32="","",'4. Thẻ tính giá thành'!$R$41)</f>
        <v/>
      </c>
      <c r="F32" s="82">
        <f>IF($A32="","",'4. Thẻ tính giá thành'!$S$41)</f>
        <v/>
      </c>
      <c r="G32" s="82">
        <f>IF($A32="","",'4. Thẻ tính giá thành'!$T$41)</f>
        <v/>
      </c>
      <c r="H32" s="82">
        <f>IF($A32="","",'4. Thẻ tính giá thành'!$U$41)</f>
        <v/>
      </c>
      <c r="I32" s="82">
        <f>IF($A32="","",'4. Thẻ tính giá thành'!$V$41)</f>
        <v/>
      </c>
      <c r="J32" s="82">
        <f>IF($A32="","",'4. Thẻ tính giá thành'!$Y$41)</f>
        <v/>
      </c>
      <c r="K32" s="82">
        <f>IF($A32="","",'4. Thẻ tính giá thành'!$Z$41)</f>
        <v/>
      </c>
      <c r="L32" s="82">
        <f>IF($A32="","",'4. Thẻ tính giá thành'!$W$41)</f>
        <v/>
      </c>
      <c r="M32" s="82">
        <f>IF($A32="","",'4. Thẻ tính giá thành'!$X$41)</f>
        <v/>
      </c>
      <c r="N32" s="82">
        <f>IF($A32="","",'4. Thẻ tính giá thành'!$AA$41)</f>
        <v/>
      </c>
      <c r="O32" s="82">
        <f>IF($A32="","",'4. Thẻ tính giá thành'!$AB$41)</f>
        <v/>
      </c>
      <c r="P32" s="82">
        <f>IF($A32="","",'4. Thẻ tính giá thành'!$AC$41)</f>
        <v/>
      </c>
    </row>
    <row r="33" ht="15" customHeight="1" s="54">
      <c r="A33" s="80">
        <f>IF('4. Thẻ tính giá thành'!$A$42="","",'4. Thẻ tính giá thành'!$A$42)</f>
        <v/>
      </c>
      <c r="B33" s="80">
        <f>IF($A33="","",'4. Thẻ tính giá thành'!$B$42)</f>
        <v/>
      </c>
      <c r="C33" s="82">
        <f>IF($A33="","",'4. Thẻ tính giá thành'!$P$42)</f>
        <v/>
      </c>
      <c r="D33" s="82">
        <f>IF($A33="","",'4. Thẻ tính giá thành'!$Q$42)</f>
        <v/>
      </c>
      <c r="E33" s="82">
        <f>IF($A33="","",'4. Thẻ tính giá thành'!$R$42)</f>
        <v/>
      </c>
      <c r="F33" s="82">
        <f>IF($A33="","",'4. Thẻ tính giá thành'!$S$42)</f>
        <v/>
      </c>
      <c r="G33" s="82">
        <f>IF($A33="","",'4. Thẻ tính giá thành'!$T$42)</f>
        <v/>
      </c>
      <c r="H33" s="82">
        <f>IF($A33="","",'4. Thẻ tính giá thành'!$U$42)</f>
        <v/>
      </c>
      <c r="I33" s="82">
        <f>IF($A33="","",'4. Thẻ tính giá thành'!$V$42)</f>
        <v/>
      </c>
      <c r="J33" s="82">
        <f>IF($A33="","",'4. Thẻ tính giá thành'!$Y$42)</f>
        <v/>
      </c>
      <c r="K33" s="82">
        <f>IF($A33="","",'4. Thẻ tính giá thành'!$Z$42)</f>
        <v/>
      </c>
      <c r="L33" s="82">
        <f>IF($A33="","",'4. Thẻ tính giá thành'!$W$42)</f>
        <v/>
      </c>
      <c r="M33" s="82">
        <f>IF($A33="","",'4. Thẻ tính giá thành'!$X$42)</f>
        <v/>
      </c>
      <c r="N33" s="82">
        <f>IF($A33="","",'4. Thẻ tính giá thành'!$AA$42)</f>
        <v/>
      </c>
      <c r="O33" s="82">
        <f>IF($A33="","",'4. Thẻ tính giá thành'!$AB$42)</f>
        <v/>
      </c>
      <c r="P33" s="82">
        <f>IF($A33="","",'4. Thẻ tính giá thành'!$AC$42)</f>
        <v/>
      </c>
    </row>
    <row r="34" ht="15" customHeight="1" s="54">
      <c r="A34" s="80">
        <f>IF('4. Thẻ tính giá thành'!$A$43="","",'4. Thẻ tính giá thành'!$A$43)</f>
        <v/>
      </c>
      <c r="B34" s="80">
        <f>IF($A34="","",'4. Thẻ tính giá thành'!$B$43)</f>
        <v/>
      </c>
      <c r="C34" s="82">
        <f>IF($A34="","",'4. Thẻ tính giá thành'!$P$43)</f>
        <v/>
      </c>
      <c r="D34" s="82">
        <f>IF($A34="","",'4. Thẻ tính giá thành'!$Q$43)</f>
        <v/>
      </c>
      <c r="E34" s="82">
        <f>IF($A34="","",'4. Thẻ tính giá thành'!$R$43)</f>
        <v/>
      </c>
      <c r="F34" s="82">
        <f>IF($A34="","",'4. Thẻ tính giá thành'!$S$43)</f>
        <v/>
      </c>
      <c r="G34" s="82">
        <f>IF($A34="","",'4. Thẻ tính giá thành'!$T$43)</f>
        <v/>
      </c>
      <c r="H34" s="82">
        <f>IF($A34="","",'4. Thẻ tính giá thành'!$U$43)</f>
        <v/>
      </c>
      <c r="I34" s="82">
        <f>IF($A34="","",'4. Thẻ tính giá thành'!$V$43)</f>
        <v/>
      </c>
      <c r="J34" s="82">
        <f>IF($A34="","",'4. Thẻ tính giá thành'!$Y$43)</f>
        <v/>
      </c>
      <c r="K34" s="82">
        <f>IF($A34="","",'4. Thẻ tính giá thành'!$Z$43)</f>
        <v/>
      </c>
      <c r="L34" s="82">
        <f>IF($A34="","",'4. Thẻ tính giá thành'!$W$43)</f>
        <v/>
      </c>
      <c r="M34" s="82">
        <f>IF($A34="","",'4. Thẻ tính giá thành'!$X$43)</f>
        <v/>
      </c>
      <c r="N34" s="82">
        <f>IF($A34="","",'4. Thẻ tính giá thành'!$AA$43)</f>
        <v/>
      </c>
      <c r="O34" s="82">
        <f>IF($A34="","",'4. Thẻ tính giá thành'!$AB$43)</f>
        <v/>
      </c>
      <c r="P34" s="82">
        <f>IF($A34="","",'4. Thẻ tính giá thành'!$AC$43)</f>
        <v/>
      </c>
    </row>
    <row r="35" ht="15" customHeight="1" s="54">
      <c r="A35" s="80">
        <f>IF('4. Thẻ tính giá thành'!$A$44="","",'4. Thẻ tính giá thành'!$A$44)</f>
        <v/>
      </c>
      <c r="B35" s="80">
        <f>IF($A35="","",'4. Thẻ tính giá thành'!$B$44)</f>
        <v/>
      </c>
      <c r="C35" s="82">
        <f>IF($A35="","",'4. Thẻ tính giá thành'!$P$44)</f>
        <v/>
      </c>
      <c r="D35" s="82">
        <f>IF($A35="","",'4. Thẻ tính giá thành'!$Q$44)</f>
        <v/>
      </c>
      <c r="E35" s="82">
        <f>IF($A35="","",'4. Thẻ tính giá thành'!$R$44)</f>
        <v/>
      </c>
      <c r="F35" s="82">
        <f>IF($A35="","",'4. Thẻ tính giá thành'!$S$44)</f>
        <v/>
      </c>
      <c r="G35" s="82">
        <f>IF($A35="","",'4. Thẻ tính giá thành'!$T$44)</f>
        <v/>
      </c>
      <c r="H35" s="82">
        <f>IF($A35="","",'4. Thẻ tính giá thành'!$U$44)</f>
        <v/>
      </c>
      <c r="I35" s="82">
        <f>IF($A35="","",'4. Thẻ tính giá thành'!$V$44)</f>
        <v/>
      </c>
      <c r="J35" s="82">
        <f>IF($A35="","",'4. Thẻ tính giá thành'!$Y$44)</f>
        <v/>
      </c>
      <c r="K35" s="82">
        <f>IF($A35="","",'4. Thẻ tính giá thành'!$Z$44)</f>
        <v/>
      </c>
      <c r="L35" s="82">
        <f>IF($A35="","",'4. Thẻ tính giá thành'!$W$44)</f>
        <v/>
      </c>
      <c r="M35" s="82">
        <f>IF($A35="","",'4. Thẻ tính giá thành'!$X$44)</f>
        <v/>
      </c>
      <c r="N35" s="82">
        <f>IF($A35="","",'4. Thẻ tính giá thành'!$AA$44)</f>
        <v/>
      </c>
      <c r="O35" s="82">
        <f>IF($A35="","",'4. Thẻ tính giá thành'!$AB$44)</f>
        <v/>
      </c>
      <c r="P35" s="82">
        <f>IF($A35="","",'4. Thẻ tính giá thành'!$AC$44)</f>
        <v/>
      </c>
    </row>
    <row r="36" ht="15" customHeight="1" s="54">
      <c r="A36" s="80">
        <f>IF('4. Thẻ tính giá thành'!$A$45="","",'4. Thẻ tính giá thành'!$A$45)</f>
        <v/>
      </c>
      <c r="B36" s="80">
        <f>IF($A36="","",'4. Thẻ tính giá thành'!$B$45)</f>
        <v/>
      </c>
      <c r="C36" s="82">
        <f>IF($A36="","",'4. Thẻ tính giá thành'!$P$45)</f>
        <v/>
      </c>
      <c r="D36" s="82">
        <f>IF($A36="","",'4. Thẻ tính giá thành'!$Q$45)</f>
        <v/>
      </c>
      <c r="E36" s="82">
        <f>IF($A36="","",'4. Thẻ tính giá thành'!$R$45)</f>
        <v/>
      </c>
      <c r="F36" s="82">
        <f>IF($A36="","",'4. Thẻ tính giá thành'!$S$45)</f>
        <v/>
      </c>
      <c r="G36" s="82">
        <f>IF($A36="","",'4. Thẻ tính giá thành'!$T$45)</f>
        <v/>
      </c>
      <c r="H36" s="82">
        <f>IF($A36="","",'4. Thẻ tính giá thành'!$U$45)</f>
        <v/>
      </c>
      <c r="I36" s="82">
        <f>IF($A36="","",'4. Thẻ tính giá thành'!$V$45)</f>
        <v/>
      </c>
      <c r="J36" s="82">
        <f>IF($A36="","",'4. Thẻ tính giá thành'!$Y$45)</f>
        <v/>
      </c>
      <c r="K36" s="82">
        <f>IF($A36="","",'4. Thẻ tính giá thành'!$Z$45)</f>
        <v/>
      </c>
      <c r="L36" s="82">
        <f>IF($A36="","",'4. Thẻ tính giá thành'!$W$45)</f>
        <v/>
      </c>
      <c r="M36" s="82">
        <f>IF($A36="","",'4. Thẻ tính giá thành'!$X$45)</f>
        <v/>
      </c>
      <c r="N36" s="82">
        <f>IF($A36="","",'4. Thẻ tính giá thành'!$AA$45)</f>
        <v/>
      </c>
      <c r="O36" s="82">
        <f>IF($A36="","",'4. Thẻ tính giá thành'!$AB$45)</f>
        <v/>
      </c>
      <c r="P36" s="82">
        <f>IF($A36="","",'4. Thẻ tính giá thành'!$AC$45)</f>
        <v/>
      </c>
    </row>
    <row r="37" ht="15" customHeight="1" s="54">
      <c r="A37" s="80">
        <f>IF('4. Thẻ tính giá thành'!$A$46="","",'4. Thẻ tính giá thành'!$A$46)</f>
        <v/>
      </c>
      <c r="B37" s="80">
        <f>IF($A37="","",'4. Thẻ tính giá thành'!$B$46)</f>
        <v/>
      </c>
      <c r="C37" s="82">
        <f>IF($A37="","",'4. Thẻ tính giá thành'!$P$46)</f>
        <v/>
      </c>
      <c r="D37" s="82">
        <f>IF($A37="","",'4. Thẻ tính giá thành'!$Q$46)</f>
        <v/>
      </c>
      <c r="E37" s="82">
        <f>IF($A37="","",'4. Thẻ tính giá thành'!$R$46)</f>
        <v/>
      </c>
      <c r="F37" s="82">
        <f>IF($A37="","",'4. Thẻ tính giá thành'!$S$46)</f>
        <v/>
      </c>
      <c r="G37" s="82">
        <f>IF($A37="","",'4. Thẻ tính giá thành'!$T$46)</f>
        <v/>
      </c>
      <c r="H37" s="82">
        <f>IF($A37="","",'4. Thẻ tính giá thành'!$U$46)</f>
        <v/>
      </c>
      <c r="I37" s="82">
        <f>IF($A37="","",'4. Thẻ tính giá thành'!$V$46)</f>
        <v/>
      </c>
      <c r="J37" s="82">
        <f>IF($A37="","",'4. Thẻ tính giá thành'!$Y$46)</f>
        <v/>
      </c>
      <c r="K37" s="82">
        <f>IF($A37="","",'4. Thẻ tính giá thành'!$Z$46)</f>
        <v/>
      </c>
      <c r="L37" s="82">
        <f>IF($A37="","",'4. Thẻ tính giá thành'!$W$46)</f>
        <v/>
      </c>
      <c r="M37" s="82">
        <f>IF($A37="","",'4. Thẻ tính giá thành'!$X$46)</f>
        <v/>
      </c>
      <c r="N37" s="82">
        <f>IF($A37="","",'4. Thẻ tính giá thành'!$AA$46)</f>
        <v/>
      </c>
      <c r="O37" s="82">
        <f>IF($A37="","",'4. Thẻ tính giá thành'!$AB$46)</f>
        <v/>
      </c>
      <c r="P37" s="82">
        <f>IF($A37="","",'4. Thẻ tính giá thành'!$AC$46)</f>
        <v/>
      </c>
    </row>
    <row r="38" ht="15" customHeight="1" s="54">
      <c r="A38" s="80">
        <f>IF('4. Thẻ tính giá thành'!$A$47="","",'4. Thẻ tính giá thành'!$A$47)</f>
        <v/>
      </c>
      <c r="B38" s="80">
        <f>IF($A38="","",'4. Thẻ tính giá thành'!$B$47)</f>
        <v/>
      </c>
      <c r="C38" s="82">
        <f>IF($A38="","",'4. Thẻ tính giá thành'!$P$47)</f>
        <v/>
      </c>
      <c r="D38" s="82">
        <f>IF($A38="","",'4. Thẻ tính giá thành'!$Q$47)</f>
        <v/>
      </c>
      <c r="E38" s="82">
        <f>IF($A38="","",'4. Thẻ tính giá thành'!$R$47)</f>
        <v/>
      </c>
      <c r="F38" s="82">
        <f>IF($A38="","",'4. Thẻ tính giá thành'!$S$47)</f>
        <v/>
      </c>
      <c r="G38" s="82">
        <f>IF($A38="","",'4. Thẻ tính giá thành'!$T$47)</f>
        <v/>
      </c>
      <c r="H38" s="82">
        <f>IF($A38="","",'4. Thẻ tính giá thành'!$U$47)</f>
        <v/>
      </c>
      <c r="I38" s="82">
        <f>IF($A38="","",'4. Thẻ tính giá thành'!$V$47)</f>
        <v/>
      </c>
      <c r="J38" s="82">
        <f>IF($A38="","",'4. Thẻ tính giá thành'!$Y$47)</f>
        <v/>
      </c>
      <c r="K38" s="82">
        <f>IF($A38="","",'4. Thẻ tính giá thành'!$Z$47)</f>
        <v/>
      </c>
      <c r="L38" s="82">
        <f>IF($A38="","",'4. Thẻ tính giá thành'!$W$47)</f>
        <v/>
      </c>
      <c r="M38" s="82">
        <f>IF($A38="","",'4. Thẻ tính giá thành'!$X$47)</f>
        <v/>
      </c>
      <c r="N38" s="82">
        <f>IF($A38="","",'4. Thẻ tính giá thành'!$AA$47)</f>
        <v/>
      </c>
      <c r="O38" s="82">
        <f>IF($A38="","",'4. Thẻ tính giá thành'!$AB$47)</f>
        <v/>
      </c>
      <c r="P38" s="82">
        <f>IF($A38="","",'4. Thẻ tính giá thành'!$AC$47)</f>
        <v/>
      </c>
    </row>
    <row r="39" ht="15" customHeight="1" s="54">
      <c r="A39" s="80">
        <f>IF('4. Thẻ tính giá thành'!$A$48="","",'4. Thẻ tính giá thành'!$A$48)</f>
        <v/>
      </c>
      <c r="B39" s="80">
        <f>IF($A39="","",'4. Thẻ tính giá thành'!$B$48)</f>
        <v/>
      </c>
      <c r="C39" s="82">
        <f>IF($A39="","",'4. Thẻ tính giá thành'!$P$48)</f>
        <v/>
      </c>
      <c r="D39" s="82">
        <f>IF($A39="","",'4. Thẻ tính giá thành'!$Q$48)</f>
        <v/>
      </c>
      <c r="E39" s="82">
        <f>IF($A39="","",'4. Thẻ tính giá thành'!$R$48)</f>
        <v/>
      </c>
      <c r="F39" s="82">
        <f>IF($A39="","",'4. Thẻ tính giá thành'!$S$48)</f>
        <v/>
      </c>
      <c r="G39" s="82">
        <f>IF($A39="","",'4. Thẻ tính giá thành'!$T$48)</f>
        <v/>
      </c>
      <c r="H39" s="82">
        <f>IF($A39="","",'4. Thẻ tính giá thành'!$U$48)</f>
        <v/>
      </c>
      <c r="I39" s="82">
        <f>IF($A39="","",'4. Thẻ tính giá thành'!$V$48)</f>
        <v/>
      </c>
      <c r="J39" s="82">
        <f>IF($A39="","",'4. Thẻ tính giá thành'!$Y$48)</f>
        <v/>
      </c>
      <c r="K39" s="82">
        <f>IF($A39="","",'4. Thẻ tính giá thành'!$Z$48)</f>
        <v/>
      </c>
      <c r="L39" s="82">
        <f>IF($A39="","",'4. Thẻ tính giá thành'!$W$48)</f>
        <v/>
      </c>
      <c r="M39" s="82">
        <f>IF($A39="","",'4. Thẻ tính giá thành'!$X$48)</f>
        <v/>
      </c>
      <c r="N39" s="82">
        <f>IF($A39="","",'4. Thẻ tính giá thành'!$AA$48)</f>
        <v/>
      </c>
      <c r="O39" s="82">
        <f>IF($A39="","",'4. Thẻ tính giá thành'!$AB$48)</f>
        <v/>
      </c>
      <c r="P39" s="82">
        <f>IF($A39="","",'4. Thẻ tính giá thành'!$AC$48)</f>
        <v/>
      </c>
    </row>
    <row r="40" ht="15" customHeight="1" s="54">
      <c r="A40" s="80">
        <f>IF('4. Thẻ tính giá thành'!$A$49="","",'4. Thẻ tính giá thành'!$A$49)</f>
        <v/>
      </c>
      <c r="B40" s="80">
        <f>IF($A40="","",'4. Thẻ tính giá thành'!$B$49)</f>
        <v/>
      </c>
      <c r="C40" s="82">
        <f>IF($A40="","",'4. Thẻ tính giá thành'!$P$49)</f>
        <v/>
      </c>
      <c r="D40" s="82">
        <f>IF($A40="","",'4. Thẻ tính giá thành'!$Q$49)</f>
        <v/>
      </c>
      <c r="E40" s="82">
        <f>IF($A40="","",'4. Thẻ tính giá thành'!$R$49)</f>
        <v/>
      </c>
      <c r="F40" s="82">
        <f>IF($A40="","",'4. Thẻ tính giá thành'!$S$49)</f>
        <v/>
      </c>
      <c r="G40" s="82">
        <f>IF($A40="","",'4. Thẻ tính giá thành'!$T$49)</f>
        <v/>
      </c>
      <c r="H40" s="82">
        <f>IF($A40="","",'4. Thẻ tính giá thành'!$U$49)</f>
        <v/>
      </c>
      <c r="I40" s="82">
        <f>IF($A40="","",'4. Thẻ tính giá thành'!$V$49)</f>
        <v/>
      </c>
      <c r="J40" s="82">
        <f>IF($A40="","",'4. Thẻ tính giá thành'!$Y$49)</f>
        <v/>
      </c>
      <c r="K40" s="82">
        <f>IF($A40="","",'4. Thẻ tính giá thành'!$Z$49)</f>
        <v/>
      </c>
      <c r="L40" s="82">
        <f>IF($A40="","",'4. Thẻ tính giá thành'!$W$49)</f>
        <v/>
      </c>
      <c r="M40" s="82">
        <f>IF($A40="","",'4. Thẻ tính giá thành'!$X$49)</f>
        <v/>
      </c>
      <c r="N40" s="82">
        <f>IF($A40="","",'4. Thẻ tính giá thành'!$AA$49)</f>
        <v/>
      </c>
      <c r="O40" s="82">
        <f>IF($A40="","",'4. Thẻ tính giá thành'!$AB$49)</f>
        <v/>
      </c>
      <c r="P40" s="82">
        <f>IF($A40="","",'4. Thẻ tính giá thành'!$AC$49)</f>
        <v/>
      </c>
    </row>
    <row r="41" ht="15" customHeight="1" s="54">
      <c r="A41" s="80">
        <f>IF('4. Thẻ tính giá thành'!$A$50="","",'4. Thẻ tính giá thành'!$A$50)</f>
        <v/>
      </c>
      <c r="B41" s="80">
        <f>IF($A41="","",'4. Thẻ tính giá thành'!$B$50)</f>
        <v/>
      </c>
      <c r="C41" s="82">
        <f>IF($A41="","",'4. Thẻ tính giá thành'!$P$50)</f>
        <v/>
      </c>
      <c r="D41" s="82">
        <f>IF($A41="","",'4. Thẻ tính giá thành'!$Q$50)</f>
        <v/>
      </c>
      <c r="E41" s="82">
        <f>IF($A41="","",'4. Thẻ tính giá thành'!$R$50)</f>
        <v/>
      </c>
      <c r="F41" s="82">
        <f>IF($A41="","",'4. Thẻ tính giá thành'!$S$50)</f>
        <v/>
      </c>
      <c r="G41" s="82">
        <f>IF($A41="","",'4. Thẻ tính giá thành'!$T$50)</f>
        <v/>
      </c>
      <c r="H41" s="82">
        <f>IF($A41="","",'4. Thẻ tính giá thành'!$U$50)</f>
        <v/>
      </c>
      <c r="I41" s="82">
        <f>IF($A41="","",'4. Thẻ tính giá thành'!$V$50)</f>
        <v/>
      </c>
      <c r="J41" s="82">
        <f>IF($A41="","",'4. Thẻ tính giá thành'!$Y$50)</f>
        <v/>
      </c>
      <c r="K41" s="82">
        <f>IF($A41="","",'4. Thẻ tính giá thành'!$Z$50)</f>
        <v/>
      </c>
      <c r="L41" s="82">
        <f>IF($A41="","",'4. Thẻ tính giá thành'!$W$50)</f>
        <v/>
      </c>
      <c r="M41" s="82">
        <f>IF($A41="","",'4. Thẻ tính giá thành'!$X$50)</f>
        <v/>
      </c>
      <c r="N41" s="82">
        <f>IF($A41="","",'4. Thẻ tính giá thành'!$AA$50)</f>
        <v/>
      </c>
      <c r="O41" s="82">
        <f>IF($A41="","",'4. Thẻ tính giá thành'!$AB$50)</f>
        <v/>
      </c>
      <c r="P41" s="82">
        <f>IF($A41="","",'4. Thẻ tính giá thành'!$AC$50)</f>
        <v/>
      </c>
    </row>
    <row r="42" ht="15" customHeight="1" s="54">
      <c r="A42" s="80">
        <f>IF('4. Thẻ tính giá thành'!$A$51="","",'4. Thẻ tính giá thành'!$A$51)</f>
        <v/>
      </c>
      <c r="B42" s="80">
        <f>IF($A42="","",'4. Thẻ tính giá thành'!$B$51)</f>
        <v/>
      </c>
      <c r="C42" s="82">
        <f>IF($A42="","",'4. Thẻ tính giá thành'!$P$51)</f>
        <v/>
      </c>
      <c r="D42" s="82">
        <f>IF($A42="","",'4. Thẻ tính giá thành'!$Q$51)</f>
        <v/>
      </c>
      <c r="E42" s="82">
        <f>IF($A42="","",'4. Thẻ tính giá thành'!$R$51)</f>
        <v/>
      </c>
      <c r="F42" s="82">
        <f>IF($A42="","",'4. Thẻ tính giá thành'!$S$51)</f>
        <v/>
      </c>
      <c r="G42" s="82">
        <f>IF($A42="","",'4. Thẻ tính giá thành'!$T$51)</f>
        <v/>
      </c>
      <c r="H42" s="82">
        <f>IF($A42="","",'4. Thẻ tính giá thành'!$U$51)</f>
        <v/>
      </c>
      <c r="I42" s="82">
        <f>IF($A42="","",'4. Thẻ tính giá thành'!$V$51)</f>
        <v/>
      </c>
      <c r="J42" s="82">
        <f>IF($A42="","",'4. Thẻ tính giá thành'!$Y$51)</f>
        <v/>
      </c>
      <c r="K42" s="82">
        <f>IF($A42="","",'4. Thẻ tính giá thành'!$Z$51)</f>
        <v/>
      </c>
      <c r="L42" s="82">
        <f>IF($A42="","",'4. Thẻ tính giá thành'!$W$51)</f>
        <v/>
      </c>
      <c r="M42" s="82">
        <f>IF($A42="","",'4. Thẻ tính giá thành'!$X$51)</f>
        <v/>
      </c>
      <c r="N42" s="82">
        <f>IF($A42="","",'4. Thẻ tính giá thành'!$AA$51)</f>
        <v/>
      </c>
      <c r="O42" s="82">
        <f>IF($A42="","",'4. Thẻ tính giá thành'!$AB$51)</f>
        <v/>
      </c>
      <c r="P42" s="82">
        <f>IF($A42="","",'4. Thẻ tính giá thành'!$AC$51)</f>
        <v/>
      </c>
    </row>
    <row r="43" ht="15" customHeight="1" s="54">
      <c r="A43" s="80">
        <f>IF('4. Thẻ tính giá thành'!$A$52="","",'4. Thẻ tính giá thành'!$A$52)</f>
        <v/>
      </c>
      <c r="B43" s="80">
        <f>IF($A43="","",'4. Thẻ tính giá thành'!$B$52)</f>
        <v/>
      </c>
      <c r="C43" s="82">
        <f>IF($A43="","",'4. Thẻ tính giá thành'!$P$52)</f>
        <v/>
      </c>
      <c r="D43" s="82">
        <f>IF($A43="","",'4. Thẻ tính giá thành'!$Q$52)</f>
        <v/>
      </c>
      <c r="E43" s="82">
        <f>IF($A43="","",'4. Thẻ tính giá thành'!$R$52)</f>
        <v/>
      </c>
      <c r="F43" s="82">
        <f>IF($A43="","",'4. Thẻ tính giá thành'!$S$52)</f>
        <v/>
      </c>
      <c r="G43" s="82">
        <f>IF($A43="","",'4. Thẻ tính giá thành'!$T$52)</f>
        <v/>
      </c>
      <c r="H43" s="82">
        <f>IF($A43="","",'4. Thẻ tính giá thành'!$U$52)</f>
        <v/>
      </c>
      <c r="I43" s="82">
        <f>IF($A43="","",'4. Thẻ tính giá thành'!$V$52)</f>
        <v/>
      </c>
      <c r="J43" s="82">
        <f>IF($A43="","",'4. Thẻ tính giá thành'!$Y$52)</f>
        <v/>
      </c>
      <c r="K43" s="82">
        <f>IF($A43="","",'4. Thẻ tính giá thành'!$Z$52)</f>
        <v/>
      </c>
      <c r="L43" s="82">
        <f>IF($A43="","",'4. Thẻ tính giá thành'!$W$52)</f>
        <v/>
      </c>
      <c r="M43" s="82">
        <f>IF($A43="","",'4. Thẻ tính giá thành'!$X$52)</f>
        <v/>
      </c>
      <c r="N43" s="82">
        <f>IF($A43="","",'4. Thẻ tính giá thành'!$AA$52)</f>
        <v/>
      </c>
      <c r="O43" s="82">
        <f>IF($A43="","",'4. Thẻ tính giá thành'!$AB$52)</f>
        <v/>
      </c>
      <c r="P43" s="82">
        <f>IF($A43="","",'4. Thẻ tính giá thành'!$AC$52)</f>
        <v/>
      </c>
    </row>
    <row r="44" ht="15" customHeight="1" s="54">
      <c r="A44" s="80">
        <f>IF('4. Thẻ tính giá thành'!$A$53="","",'4. Thẻ tính giá thành'!$A$53)</f>
        <v/>
      </c>
      <c r="B44" s="80">
        <f>IF($A44="","",'4. Thẻ tính giá thành'!$B$53)</f>
        <v/>
      </c>
      <c r="C44" s="82">
        <f>IF($A44="","",'4. Thẻ tính giá thành'!$P$53)</f>
        <v/>
      </c>
      <c r="D44" s="82">
        <f>IF($A44="","",'4. Thẻ tính giá thành'!$Q$53)</f>
        <v/>
      </c>
      <c r="E44" s="82">
        <f>IF($A44="","",'4. Thẻ tính giá thành'!$R$53)</f>
        <v/>
      </c>
      <c r="F44" s="82">
        <f>IF($A44="","",'4. Thẻ tính giá thành'!$S$53)</f>
        <v/>
      </c>
      <c r="G44" s="82">
        <f>IF($A44="","",'4. Thẻ tính giá thành'!$T$53)</f>
        <v/>
      </c>
      <c r="H44" s="82">
        <f>IF($A44="","",'4. Thẻ tính giá thành'!$U$53)</f>
        <v/>
      </c>
      <c r="I44" s="82">
        <f>IF($A44="","",'4. Thẻ tính giá thành'!$V$53)</f>
        <v/>
      </c>
      <c r="J44" s="82">
        <f>IF($A44="","",'4. Thẻ tính giá thành'!$Y$53)</f>
        <v/>
      </c>
      <c r="K44" s="82">
        <f>IF($A44="","",'4. Thẻ tính giá thành'!$Z$53)</f>
        <v/>
      </c>
      <c r="L44" s="82">
        <f>IF($A44="","",'4. Thẻ tính giá thành'!$W$53)</f>
        <v/>
      </c>
      <c r="M44" s="82">
        <f>IF($A44="","",'4. Thẻ tính giá thành'!$X$53)</f>
        <v/>
      </c>
      <c r="N44" s="82">
        <f>IF($A44="","",'4. Thẻ tính giá thành'!$AA$53)</f>
        <v/>
      </c>
      <c r="O44" s="82">
        <f>IF($A44="","",'4. Thẻ tính giá thành'!$AB$53)</f>
        <v/>
      </c>
      <c r="P44" s="82">
        <f>IF($A44="","",'4. Thẻ tính giá thành'!$AC$53)</f>
        <v/>
      </c>
    </row>
    <row r="45" ht="15" customHeight="1" s="54">
      <c r="A45" s="80">
        <f>IF('4. Thẻ tính giá thành'!$A$54="","",'4. Thẻ tính giá thành'!$A$54)</f>
        <v/>
      </c>
      <c r="B45" s="80">
        <f>IF($A45="","",'4. Thẻ tính giá thành'!$B$54)</f>
        <v/>
      </c>
      <c r="C45" s="82">
        <f>IF($A45="","",'4. Thẻ tính giá thành'!$P$54)</f>
        <v/>
      </c>
      <c r="D45" s="82">
        <f>IF($A45="","",'4. Thẻ tính giá thành'!$Q$54)</f>
        <v/>
      </c>
      <c r="E45" s="82">
        <f>IF($A45="","",'4. Thẻ tính giá thành'!$R$54)</f>
        <v/>
      </c>
      <c r="F45" s="82">
        <f>IF($A45="","",'4. Thẻ tính giá thành'!$S$54)</f>
        <v/>
      </c>
      <c r="G45" s="82">
        <f>IF($A45="","",'4. Thẻ tính giá thành'!$T$54)</f>
        <v/>
      </c>
      <c r="H45" s="82">
        <f>IF($A45="","",'4. Thẻ tính giá thành'!$U$54)</f>
        <v/>
      </c>
      <c r="I45" s="82">
        <f>IF($A45="","",'4. Thẻ tính giá thành'!$V$54)</f>
        <v/>
      </c>
      <c r="J45" s="82">
        <f>IF($A45="","",'4. Thẻ tính giá thành'!$Y$54)</f>
        <v/>
      </c>
      <c r="K45" s="82">
        <f>IF($A45="","",'4. Thẻ tính giá thành'!$Z$54)</f>
        <v/>
      </c>
      <c r="L45" s="82">
        <f>IF($A45="","",'4. Thẻ tính giá thành'!$W$54)</f>
        <v/>
      </c>
      <c r="M45" s="82">
        <f>IF($A45="","",'4. Thẻ tính giá thành'!$X$54)</f>
        <v/>
      </c>
      <c r="N45" s="82">
        <f>IF($A45="","",'4. Thẻ tính giá thành'!$AA$54)</f>
        <v/>
      </c>
      <c r="O45" s="82">
        <f>IF($A45="","",'4. Thẻ tính giá thành'!$AB$54)</f>
        <v/>
      </c>
      <c r="P45" s="82">
        <f>IF($A45="","",'4. Thẻ tính giá thành'!$AC$54)</f>
        <v/>
      </c>
    </row>
    <row r="46" ht="15" customHeight="1" s="54">
      <c r="A46" s="80">
        <f>IF('4. Thẻ tính giá thành'!$A$55="","",'4. Thẻ tính giá thành'!$A$55)</f>
        <v/>
      </c>
      <c r="B46" s="80">
        <f>IF($A46="","",'4. Thẻ tính giá thành'!$B$55)</f>
        <v/>
      </c>
      <c r="C46" s="82">
        <f>IF($A46="","",'4. Thẻ tính giá thành'!$P$55)</f>
        <v/>
      </c>
      <c r="D46" s="82">
        <f>IF($A46="","",'4. Thẻ tính giá thành'!$Q$55)</f>
        <v/>
      </c>
      <c r="E46" s="82">
        <f>IF($A46="","",'4. Thẻ tính giá thành'!$R$55)</f>
        <v/>
      </c>
      <c r="F46" s="82">
        <f>IF($A46="","",'4. Thẻ tính giá thành'!$S$55)</f>
        <v/>
      </c>
      <c r="G46" s="82">
        <f>IF($A46="","",'4. Thẻ tính giá thành'!$T$55)</f>
        <v/>
      </c>
      <c r="H46" s="82">
        <f>IF($A46="","",'4. Thẻ tính giá thành'!$U$55)</f>
        <v/>
      </c>
      <c r="I46" s="82">
        <f>IF($A46="","",'4. Thẻ tính giá thành'!$V$55)</f>
        <v/>
      </c>
      <c r="J46" s="82">
        <f>IF($A46="","",'4. Thẻ tính giá thành'!$Y$55)</f>
        <v/>
      </c>
      <c r="K46" s="82">
        <f>IF($A46="","",'4. Thẻ tính giá thành'!$Z$55)</f>
        <v/>
      </c>
      <c r="L46" s="82">
        <f>IF($A46="","",'4. Thẻ tính giá thành'!$W$55)</f>
        <v/>
      </c>
      <c r="M46" s="82">
        <f>IF($A46="","",'4. Thẻ tính giá thành'!$X$55)</f>
        <v/>
      </c>
      <c r="N46" s="82">
        <f>IF($A46="","",'4. Thẻ tính giá thành'!$AA$55)</f>
        <v/>
      </c>
      <c r="O46" s="82">
        <f>IF($A46="","",'4. Thẻ tính giá thành'!$AB$55)</f>
        <v/>
      </c>
      <c r="P46" s="82">
        <f>IF($A46="","",'4. Thẻ tính giá thành'!$AC$55)</f>
        <v/>
      </c>
    </row>
    <row r="47" ht="15" customHeight="1" s="54">
      <c r="A47" s="80">
        <f>IF('4. Thẻ tính giá thành'!$A$56="","",'4. Thẻ tính giá thành'!$A$56)</f>
        <v/>
      </c>
      <c r="B47" s="80">
        <f>IF($A47="","",'4. Thẻ tính giá thành'!$B$56)</f>
        <v/>
      </c>
      <c r="C47" s="82">
        <f>IF($A47="","",'4. Thẻ tính giá thành'!$P$56)</f>
        <v/>
      </c>
      <c r="D47" s="82">
        <f>IF($A47="","",'4. Thẻ tính giá thành'!$Q$56)</f>
        <v/>
      </c>
      <c r="E47" s="82">
        <f>IF($A47="","",'4. Thẻ tính giá thành'!$R$56)</f>
        <v/>
      </c>
      <c r="F47" s="82">
        <f>IF($A47="","",'4. Thẻ tính giá thành'!$S$56)</f>
        <v/>
      </c>
      <c r="G47" s="82">
        <f>IF($A47="","",'4. Thẻ tính giá thành'!$T$56)</f>
        <v/>
      </c>
      <c r="H47" s="82">
        <f>IF($A47="","",'4. Thẻ tính giá thành'!$U$56)</f>
        <v/>
      </c>
      <c r="I47" s="82">
        <f>IF($A47="","",'4. Thẻ tính giá thành'!$V$56)</f>
        <v/>
      </c>
      <c r="J47" s="82">
        <f>IF($A47="","",'4. Thẻ tính giá thành'!$Y$56)</f>
        <v/>
      </c>
      <c r="K47" s="82">
        <f>IF($A47="","",'4. Thẻ tính giá thành'!$Z$56)</f>
        <v/>
      </c>
      <c r="L47" s="82">
        <f>IF($A47="","",'4. Thẻ tính giá thành'!$W$56)</f>
        <v/>
      </c>
      <c r="M47" s="82">
        <f>IF($A47="","",'4. Thẻ tính giá thành'!$X$56)</f>
        <v/>
      </c>
      <c r="N47" s="82">
        <f>IF($A47="","",'4. Thẻ tính giá thành'!$AA$56)</f>
        <v/>
      </c>
      <c r="O47" s="82">
        <f>IF($A47="","",'4. Thẻ tính giá thành'!$AB$56)</f>
        <v/>
      </c>
      <c r="P47" s="82">
        <f>IF($A47="","",'4. Thẻ tính giá thành'!$AC$56)</f>
        <v/>
      </c>
    </row>
    <row r="48" ht="15" customHeight="1" s="54">
      <c r="A48" s="80">
        <f>IF('4. Thẻ tính giá thành'!$A$57="","",'4. Thẻ tính giá thành'!$A$57)</f>
        <v/>
      </c>
      <c r="B48" s="80">
        <f>IF($A48="","",'4. Thẻ tính giá thành'!$B$57)</f>
        <v/>
      </c>
      <c r="C48" s="82">
        <f>IF($A48="","",'4. Thẻ tính giá thành'!$P$57)</f>
        <v/>
      </c>
      <c r="D48" s="82">
        <f>IF($A48="","",'4. Thẻ tính giá thành'!$Q$57)</f>
        <v/>
      </c>
      <c r="E48" s="82">
        <f>IF($A48="","",'4. Thẻ tính giá thành'!$R$57)</f>
        <v/>
      </c>
      <c r="F48" s="82">
        <f>IF($A48="","",'4. Thẻ tính giá thành'!$S$57)</f>
        <v/>
      </c>
      <c r="G48" s="82">
        <f>IF($A48="","",'4. Thẻ tính giá thành'!$T$57)</f>
        <v/>
      </c>
      <c r="H48" s="82">
        <f>IF($A48="","",'4. Thẻ tính giá thành'!$U$57)</f>
        <v/>
      </c>
      <c r="I48" s="82">
        <f>IF($A48="","",'4. Thẻ tính giá thành'!$V$57)</f>
        <v/>
      </c>
      <c r="J48" s="82">
        <f>IF($A48="","",'4. Thẻ tính giá thành'!$Y$57)</f>
        <v/>
      </c>
      <c r="K48" s="82">
        <f>IF($A48="","",'4. Thẻ tính giá thành'!$Z$57)</f>
        <v/>
      </c>
      <c r="L48" s="82">
        <f>IF($A48="","",'4. Thẻ tính giá thành'!$W$57)</f>
        <v/>
      </c>
      <c r="M48" s="82">
        <f>IF($A48="","",'4. Thẻ tính giá thành'!$X$57)</f>
        <v/>
      </c>
      <c r="N48" s="82">
        <f>IF($A48="","",'4. Thẻ tính giá thành'!$AA$57)</f>
        <v/>
      </c>
      <c r="O48" s="82">
        <f>IF($A48="","",'4. Thẻ tính giá thành'!$AB$57)</f>
        <v/>
      </c>
      <c r="P48" s="82">
        <f>IF($A48="","",'4. Thẻ tính giá thành'!$AC$57)</f>
        <v/>
      </c>
    </row>
    <row r="49" ht="15" customHeight="1" s="54">
      <c r="A49" s="80">
        <f>IF('4. Thẻ tính giá thành'!$A$58="","",'4. Thẻ tính giá thành'!$A$58)</f>
        <v/>
      </c>
      <c r="B49" s="80">
        <f>IF($A49="","",'4. Thẻ tính giá thành'!$B$58)</f>
        <v/>
      </c>
      <c r="C49" s="82">
        <f>IF($A49="","",'4. Thẻ tính giá thành'!$P$58)</f>
        <v/>
      </c>
      <c r="D49" s="82">
        <f>IF($A49="","",'4. Thẻ tính giá thành'!$Q$58)</f>
        <v/>
      </c>
      <c r="E49" s="82">
        <f>IF($A49="","",'4. Thẻ tính giá thành'!$R$58)</f>
        <v/>
      </c>
      <c r="F49" s="82">
        <f>IF($A49="","",'4. Thẻ tính giá thành'!$S$58)</f>
        <v/>
      </c>
      <c r="G49" s="82">
        <f>IF($A49="","",'4. Thẻ tính giá thành'!$T$58)</f>
        <v/>
      </c>
      <c r="H49" s="82">
        <f>IF($A49="","",'4. Thẻ tính giá thành'!$U$58)</f>
        <v/>
      </c>
      <c r="I49" s="82">
        <f>IF($A49="","",'4. Thẻ tính giá thành'!$V$58)</f>
        <v/>
      </c>
      <c r="J49" s="82">
        <f>IF($A49="","",'4. Thẻ tính giá thành'!$Y$58)</f>
        <v/>
      </c>
      <c r="K49" s="82">
        <f>IF($A49="","",'4. Thẻ tính giá thành'!$Z$58)</f>
        <v/>
      </c>
      <c r="L49" s="82">
        <f>IF($A49="","",'4. Thẻ tính giá thành'!$W$58)</f>
        <v/>
      </c>
      <c r="M49" s="82">
        <f>IF($A49="","",'4. Thẻ tính giá thành'!$X$58)</f>
        <v/>
      </c>
      <c r="N49" s="82">
        <f>IF($A49="","",'4. Thẻ tính giá thành'!$AA$58)</f>
        <v/>
      </c>
      <c r="O49" s="82">
        <f>IF($A49="","",'4. Thẻ tính giá thành'!$AB$58)</f>
        <v/>
      </c>
      <c r="P49" s="82">
        <f>IF($A49="","",'4. Thẻ tính giá thành'!$AC$58)</f>
        <v/>
      </c>
    </row>
    <row r="50" ht="15" customHeight="1" s="54">
      <c r="A50" s="80">
        <f>IF('4. Thẻ tính giá thành'!$A$59="","",'4. Thẻ tính giá thành'!$A$59)</f>
        <v/>
      </c>
      <c r="B50" s="80">
        <f>IF($A50="","",'4. Thẻ tính giá thành'!$B$59)</f>
        <v/>
      </c>
      <c r="C50" s="82">
        <f>IF($A50="","",'4. Thẻ tính giá thành'!$P$59)</f>
        <v/>
      </c>
      <c r="D50" s="82">
        <f>IF($A50="","",'4. Thẻ tính giá thành'!$Q$59)</f>
        <v/>
      </c>
      <c r="E50" s="82">
        <f>IF($A50="","",'4. Thẻ tính giá thành'!$R$59)</f>
        <v/>
      </c>
      <c r="F50" s="82">
        <f>IF($A50="","",'4. Thẻ tính giá thành'!$S$59)</f>
        <v/>
      </c>
      <c r="G50" s="82">
        <f>IF($A50="","",'4. Thẻ tính giá thành'!$T$59)</f>
        <v/>
      </c>
      <c r="H50" s="82">
        <f>IF($A50="","",'4. Thẻ tính giá thành'!$U$59)</f>
        <v/>
      </c>
      <c r="I50" s="82">
        <f>IF($A50="","",'4. Thẻ tính giá thành'!$V$59)</f>
        <v/>
      </c>
      <c r="J50" s="82">
        <f>IF($A50="","",'4. Thẻ tính giá thành'!$Y$59)</f>
        <v/>
      </c>
      <c r="K50" s="82">
        <f>IF($A50="","",'4. Thẻ tính giá thành'!$Z$59)</f>
        <v/>
      </c>
      <c r="L50" s="82">
        <f>IF($A50="","",'4. Thẻ tính giá thành'!$W$59)</f>
        <v/>
      </c>
      <c r="M50" s="82">
        <f>IF($A50="","",'4. Thẻ tính giá thành'!$X$59)</f>
        <v/>
      </c>
      <c r="N50" s="82">
        <f>IF($A50="","",'4. Thẻ tính giá thành'!$AA$59)</f>
        <v/>
      </c>
      <c r="O50" s="82">
        <f>IF($A50="","",'4. Thẻ tính giá thành'!$AB$59)</f>
        <v/>
      </c>
      <c r="P50" s="82">
        <f>IF($A50="","",'4. Thẻ tính giá thành'!$AC$59)</f>
        <v/>
      </c>
    </row>
    <row r="51" ht="15" customHeight="1" s="54">
      <c r="A51" s="80">
        <f>IF('4. Thẻ tính giá thành'!$A$60="","",'4. Thẻ tính giá thành'!$A$60)</f>
        <v/>
      </c>
      <c r="B51" s="80">
        <f>IF($A51="","",'4. Thẻ tính giá thành'!$B$60)</f>
        <v/>
      </c>
      <c r="C51" s="82">
        <f>IF($A51="","",'4. Thẻ tính giá thành'!$P$60)</f>
        <v/>
      </c>
      <c r="D51" s="82">
        <f>IF($A51="","",'4. Thẻ tính giá thành'!$Q$60)</f>
        <v/>
      </c>
      <c r="E51" s="82">
        <f>IF($A51="","",'4. Thẻ tính giá thành'!$R$60)</f>
        <v/>
      </c>
      <c r="F51" s="82">
        <f>IF($A51="","",'4. Thẻ tính giá thành'!$S$60)</f>
        <v/>
      </c>
      <c r="G51" s="82">
        <f>IF($A51="","",'4. Thẻ tính giá thành'!$T$60)</f>
        <v/>
      </c>
      <c r="H51" s="82">
        <f>IF($A51="","",'4. Thẻ tính giá thành'!$U$60)</f>
        <v/>
      </c>
      <c r="I51" s="82">
        <f>IF($A51="","",'4. Thẻ tính giá thành'!$V$60)</f>
        <v/>
      </c>
      <c r="J51" s="82">
        <f>IF($A51="","",'4. Thẻ tính giá thành'!$Y$60)</f>
        <v/>
      </c>
      <c r="K51" s="82">
        <f>IF($A51="","",'4. Thẻ tính giá thành'!$Z$60)</f>
        <v/>
      </c>
      <c r="L51" s="82">
        <f>IF($A51="","",'4. Thẻ tính giá thành'!$W$60)</f>
        <v/>
      </c>
      <c r="M51" s="82">
        <f>IF($A51="","",'4. Thẻ tính giá thành'!$X$60)</f>
        <v/>
      </c>
      <c r="N51" s="82">
        <f>IF($A51="","",'4. Thẻ tính giá thành'!$AA$60)</f>
        <v/>
      </c>
      <c r="O51" s="82">
        <f>IF($A51="","",'4. Thẻ tính giá thành'!$AB$60)</f>
        <v/>
      </c>
      <c r="P51" s="82">
        <f>IF($A51="","",'4. Thẻ tính giá thành'!$AC$60)</f>
        <v/>
      </c>
    </row>
    <row r="52" ht="15" customHeight="1" s="54">
      <c r="A52" s="80">
        <f>IF('4. Thẻ tính giá thành'!$A$61="","",'4. Thẻ tính giá thành'!$A$61)</f>
        <v/>
      </c>
      <c r="B52" s="80">
        <f>IF($A52="","",'4. Thẻ tính giá thành'!$B$61)</f>
        <v/>
      </c>
      <c r="C52" s="82">
        <f>IF($A52="","",'4. Thẻ tính giá thành'!$P$61)</f>
        <v/>
      </c>
      <c r="D52" s="82">
        <f>IF($A52="","",'4. Thẻ tính giá thành'!$Q$61)</f>
        <v/>
      </c>
      <c r="E52" s="82">
        <f>IF($A52="","",'4. Thẻ tính giá thành'!$R$61)</f>
        <v/>
      </c>
      <c r="F52" s="82">
        <f>IF($A52="","",'4. Thẻ tính giá thành'!$S$61)</f>
        <v/>
      </c>
      <c r="G52" s="82">
        <f>IF($A52="","",'4. Thẻ tính giá thành'!$T$61)</f>
        <v/>
      </c>
      <c r="H52" s="82">
        <f>IF($A52="","",'4. Thẻ tính giá thành'!$U$61)</f>
        <v/>
      </c>
      <c r="I52" s="82">
        <f>IF($A52="","",'4. Thẻ tính giá thành'!$V$61)</f>
        <v/>
      </c>
      <c r="J52" s="82">
        <f>IF($A52="","",'4. Thẻ tính giá thành'!$Y$61)</f>
        <v/>
      </c>
      <c r="K52" s="82">
        <f>IF($A52="","",'4. Thẻ tính giá thành'!$Z$61)</f>
        <v/>
      </c>
      <c r="L52" s="82">
        <f>IF($A52="","",'4. Thẻ tính giá thành'!$W$61)</f>
        <v/>
      </c>
      <c r="M52" s="82">
        <f>IF($A52="","",'4. Thẻ tính giá thành'!$X$61)</f>
        <v/>
      </c>
      <c r="N52" s="82">
        <f>IF($A52="","",'4. Thẻ tính giá thành'!$AA$61)</f>
        <v/>
      </c>
      <c r="O52" s="82">
        <f>IF($A52="","",'4. Thẻ tính giá thành'!$AB$61)</f>
        <v/>
      </c>
      <c r="P52" s="82">
        <f>IF($A52="","",'4. Thẻ tính giá thành'!$AC$61)</f>
        <v/>
      </c>
    </row>
    <row r="53" ht="15" customHeight="1" s="54">
      <c r="A53" s="80">
        <f>IF('4. Thẻ tính giá thành'!$A$62="","",'4. Thẻ tính giá thành'!$A$62)</f>
        <v/>
      </c>
      <c r="B53" s="80">
        <f>IF($A53="","",'4. Thẻ tính giá thành'!$B$62)</f>
        <v/>
      </c>
      <c r="C53" s="82">
        <f>IF($A53="","",'4. Thẻ tính giá thành'!$P$62)</f>
        <v/>
      </c>
      <c r="D53" s="82">
        <f>IF($A53="","",'4. Thẻ tính giá thành'!$Q$62)</f>
        <v/>
      </c>
      <c r="E53" s="82">
        <f>IF($A53="","",'4. Thẻ tính giá thành'!$R$62)</f>
        <v/>
      </c>
      <c r="F53" s="82">
        <f>IF($A53="","",'4. Thẻ tính giá thành'!$S$62)</f>
        <v/>
      </c>
      <c r="G53" s="82">
        <f>IF($A53="","",'4. Thẻ tính giá thành'!$T$62)</f>
        <v/>
      </c>
      <c r="H53" s="82">
        <f>IF($A53="","",'4. Thẻ tính giá thành'!$U$62)</f>
        <v/>
      </c>
      <c r="I53" s="82">
        <f>IF($A53="","",'4. Thẻ tính giá thành'!$V$62)</f>
        <v/>
      </c>
      <c r="J53" s="82">
        <f>IF($A53="","",'4. Thẻ tính giá thành'!$Y$62)</f>
        <v/>
      </c>
      <c r="K53" s="82">
        <f>IF($A53="","",'4. Thẻ tính giá thành'!$Z$62)</f>
        <v/>
      </c>
      <c r="L53" s="82">
        <f>IF($A53="","",'4. Thẻ tính giá thành'!$W$62)</f>
        <v/>
      </c>
      <c r="M53" s="82">
        <f>IF($A53="","",'4. Thẻ tính giá thành'!$X$62)</f>
        <v/>
      </c>
      <c r="N53" s="82">
        <f>IF($A53="","",'4. Thẻ tính giá thành'!$AA$62)</f>
        <v/>
      </c>
      <c r="O53" s="82">
        <f>IF($A53="","",'4. Thẻ tính giá thành'!$AB$62)</f>
        <v/>
      </c>
      <c r="P53" s="82">
        <f>IF($A53="","",'4. Thẻ tính giá thành'!$AC$62)</f>
        <v/>
      </c>
    </row>
    <row r="54" ht="15" customHeight="1" s="54">
      <c r="A54" s="80">
        <f>IF('4. Thẻ tính giá thành'!$A$63="","",'4. Thẻ tính giá thành'!$A$63)</f>
        <v/>
      </c>
      <c r="B54" s="80">
        <f>IF($A54="","",'4. Thẻ tính giá thành'!$B$63)</f>
        <v/>
      </c>
      <c r="C54" s="82">
        <f>IF($A54="","",'4. Thẻ tính giá thành'!$P$63)</f>
        <v/>
      </c>
      <c r="D54" s="82">
        <f>IF($A54="","",'4. Thẻ tính giá thành'!$Q$63)</f>
        <v/>
      </c>
      <c r="E54" s="82">
        <f>IF($A54="","",'4. Thẻ tính giá thành'!$R$63)</f>
        <v/>
      </c>
      <c r="F54" s="82">
        <f>IF($A54="","",'4. Thẻ tính giá thành'!$S$63)</f>
        <v/>
      </c>
      <c r="G54" s="82">
        <f>IF($A54="","",'4. Thẻ tính giá thành'!$T$63)</f>
        <v/>
      </c>
      <c r="H54" s="82">
        <f>IF($A54="","",'4. Thẻ tính giá thành'!$U$63)</f>
        <v/>
      </c>
      <c r="I54" s="82">
        <f>IF($A54="","",'4. Thẻ tính giá thành'!$V$63)</f>
        <v/>
      </c>
      <c r="J54" s="82">
        <f>IF($A54="","",'4. Thẻ tính giá thành'!$Y$63)</f>
        <v/>
      </c>
      <c r="K54" s="82">
        <f>IF($A54="","",'4. Thẻ tính giá thành'!$Z$63)</f>
        <v/>
      </c>
      <c r="L54" s="82">
        <f>IF($A54="","",'4. Thẻ tính giá thành'!$W$63)</f>
        <v/>
      </c>
      <c r="M54" s="82">
        <f>IF($A54="","",'4. Thẻ tính giá thành'!$X$63)</f>
        <v/>
      </c>
      <c r="N54" s="82">
        <f>IF($A54="","",'4. Thẻ tính giá thành'!$AA$63)</f>
        <v/>
      </c>
      <c r="O54" s="82">
        <f>IF($A54="","",'4. Thẻ tính giá thành'!$AB$63)</f>
        <v/>
      </c>
      <c r="P54" s="82">
        <f>IF($A54="","",'4. Thẻ tính giá thành'!$AC$63)</f>
        <v/>
      </c>
    </row>
    <row r="55" ht="15" customHeight="1" s="54">
      <c r="A55" s="80">
        <f>IF('4. Thẻ tính giá thành'!$A$64="","",'4. Thẻ tính giá thành'!$A$64)</f>
        <v/>
      </c>
      <c r="B55" s="80">
        <f>IF($A55="","",'4. Thẻ tính giá thành'!$B$64)</f>
        <v/>
      </c>
      <c r="C55" s="82">
        <f>IF($A55="","",'4. Thẻ tính giá thành'!$P$64)</f>
        <v/>
      </c>
      <c r="D55" s="82">
        <f>IF($A55="","",'4. Thẻ tính giá thành'!$Q$64)</f>
        <v/>
      </c>
      <c r="E55" s="82">
        <f>IF($A55="","",'4. Thẻ tính giá thành'!$R$64)</f>
        <v/>
      </c>
      <c r="F55" s="82">
        <f>IF($A55="","",'4. Thẻ tính giá thành'!$S$64)</f>
        <v/>
      </c>
      <c r="G55" s="82">
        <f>IF($A55="","",'4. Thẻ tính giá thành'!$T$64)</f>
        <v/>
      </c>
      <c r="H55" s="82">
        <f>IF($A55="","",'4. Thẻ tính giá thành'!$U$64)</f>
        <v/>
      </c>
      <c r="I55" s="82">
        <f>IF($A55="","",'4. Thẻ tính giá thành'!$V$64)</f>
        <v/>
      </c>
      <c r="J55" s="82">
        <f>IF($A55="","",'4. Thẻ tính giá thành'!$Y$64)</f>
        <v/>
      </c>
      <c r="K55" s="82">
        <f>IF($A55="","",'4. Thẻ tính giá thành'!$Z$64)</f>
        <v/>
      </c>
      <c r="L55" s="82">
        <f>IF($A55="","",'4. Thẻ tính giá thành'!$W$64)</f>
        <v/>
      </c>
      <c r="M55" s="82">
        <f>IF($A55="","",'4. Thẻ tính giá thành'!$X$64)</f>
        <v/>
      </c>
      <c r="N55" s="82">
        <f>IF($A55="","",'4. Thẻ tính giá thành'!$AA$64)</f>
        <v/>
      </c>
      <c r="O55" s="82">
        <f>IF($A55="","",'4. Thẻ tính giá thành'!$AB$64)</f>
        <v/>
      </c>
      <c r="P55" s="82">
        <f>IF($A55="","",'4. Thẻ tính giá thành'!$AC$64)</f>
        <v/>
      </c>
    </row>
    <row r="56" ht="15" customHeight="1" s="54">
      <c r="A56" s="80">
        <f>IF('4. Thẻ tính giá thành'!$A$65="","",'4. Thẻ tính giá thành'!$A$65)</f>
        <v/>
      </c>
      <c r="B56" s="80">
        <f>IF($A56="","",'4. Thẻ tính giá thành'!$B$65)</f>
        <v/>
      </c>
      <c r="C56" s="82">
        <f>IF($A56="","",'4. Thẻ tính giá thành'!$P$65)</f>
        <v/>
      </c>
      <c r="D56" s="82">
        <f>IF($A56="","",'4. Thẻ tính giá thành'!$Q$65)</f>
        <v/>
      </c>
      <c r="E56" s="82">
        <f>IF($A56="","",'4. Thẻ tính giá thành'!$R$65)</f>
        <v/>
      </c>
      <c r="F56" s="82">
        <f>IF($A56="","",'4. Thẻ tính giá thành'!$S$65)</f>
        <v/>
      </c>
      <c r="G56" s="82">
        <f>IF($A56="","",'4. Thẻ tính giá thành'!$T$65)</f>
        <v/>
      </c>
      <c r="H56" s="82">
        <f>IF($A56="","",'4. Thẻ tính giá thành'!$U$65)</f>
        <v/>
      </c>
      <c r="I56" s="82">
        <f>IF($A56="","",'4. Thẻ tính giá thành'!$V$65)</f>
        <v/>
      </c>
      <c r="J56" s="82">
        <f>IF($A56="","",'4. Thẻ tính giá thành'!$Y$65)</f>
        <v/>
      </c>
      <c r="K56" s="82">
        <f>IF($A56="","",'4. Thẻ tính giá thành'!$Z$65)</f>
        <v/>
      </c>
      <c r="L56" s="82">
        <f>IF($A56="","",'4. Thẻ tính giá thành'!$W$65)</f>
        <v/>
      </c>
      <c r="M56" s="82">
        <f>IF($A56="","",'4. Thẻ tính giá thành'!$X$65)</f>
        <v/>
      </c>
      <c r="N56" s="82">
        <f>IF($A56="","",'4. Thẻ tính giá thành'!$AA$65)</f>
        <v/>
      </c>
      <c r="O56" s="82">
        <f>IF($A56="","",'4. Thẻ tính giá thành'!$AB$65)</f>
        <v/>
      </c>
      <c r="P56" s="82">
        <f>IF($A56="","",'4. Thẻ tính giá thành'!$AC$65)</f>
        <v/>
      </c>
    </row>
    <row r="57" ht="15" customHeight="1" s="54">
      <c r="A57" s="80">
        <f>IF('4. Thẻ tính giá thành'!$A$66="","",'4. Thẻ tính giá thành'!$A$66)</f>
        <v/>
      </c>
      <c r="B57" s="80">
        <f>IF($A57="","",'4. Thẻ tính giá thành'!$B$66)</f>
        <v/>
      </c>
      <c r="C57" s="82">
        <f>IF($A57="","",'4. Thẻ tính giá thành'!$P$66)</f>
        <v/>
      </c>
      <c r="D57" s="82">
        <f>IF($A57="","",'4. Thẻ tính giá thành'!$Q$66)</f>
        <v/>
      </c>
      <c r="E57" s="82">
        <f>IF($A57="","",'4. Thẻ tính giá thành'!$R$66)</f>
        <v/>
      </c>
      <c r="F57" s="82">
        <f>IF($A57="","",'4. Thẻ tính giá thành'!$S$66)</f>
        <v/>
      </c>
      <c r="G57" s="82">
        <f>IF($A57="","",'4. Thẻ tính giá thành'!$T$66)</f>
        <v/>
      </c>
      <c r="H57" s="82">
        <f>IF($A57="","",'4. Thẻ tính giá thành'!$U$66)</f>
        <v/>
      </c>
      <c r="I57" s="82">
        <f>IF($A57="","",'4. Thẻ tính giá thành'!$V$66)</f>
        <v/>
      </c>
      <c r="J57" s="82">
        <f>IF($A57="","",'4. Thẻ tính giá thành'!$Y$66)</f>
        <v/>
      </c>
      <c r="K57" s="82">
        <f>IF($A57="","",'4. Thẻ tính giá thành'!$Z$66)</f>
        <v/>
      </c>
      <c r="L57" s="82">
        <f>IF($A57="","",'4. Thẻ tính giá thành'!$W$66)</f>
        <v/>
      </c>
      <c r="M57" s="82">
        <f>IF($A57="","",'4. Thẻ tính giá thành'!$X$66)</f>
        <v/>
      </c>
      <c r="N57" s="82">
        <f>IF($A57="","",'4. Thẻ tính giá thành'!$AA$66)</f>
        <v/>
      </c>
      <c r="O57" s="82">
        <f>IF($A57="","",'4. Thẻ tính giá thành'!$AB$66)</f>
        <v/>
      </c>
      <c r="P57" s="82">
        <f>IF($A57="","",'4. Thẻ tính giá thành'!$AC$66)</f>
        <v/>
      </c>
    </row>
    <row r="58" ht="15" customHeight="1" s="54">
      <c r="A58" s="80">
        <f>IF('4. Thẻ tính giá thành'!$A$67="","",'4. Thẻ tính giá thành'!$A$67)</f>
        <v/>
      </c>
      <c r="B58" s="80">
        <f>IF($A58="","",'4. Thẻ tính giá thành'!$B$67)</f>
        <v/>
      </c>
      <c r="C58" s="82">
        <f>IF($A58="","",'4. Thẻ tính giá thành'!$P$67)</f>
        <v/>
      </c>
      <c r="D58" s="82">
        <f>IF($A58="","",'4. Thẻ tính giá thành'!$Q$67)</f>
        <v/>
      </c>
      <c r="E58" s="82">
        <f>IF($A58="","",'4. Thẻ tính giá thành'!$R$67)</f>
        <v/>
      </c>
      <c r="F58" s="82">
        <f>IF($A58="","",'4. Thẻ tính giá thành'!$S$67)</f>
        <v/>
      </c>
      <c r="G58" s="82">
        <f>IF($A58="","",'4. Thẻ tính giá thành'!$T$67)</f>
        <v/>
      </c>
      <c r="H58" s="82">
        <f>IF($A58="","",'4. Thẻ tính giá thành'!$U$67)</f>
        <v/>
      </c>
      <c r="I58" s="82">
        <f>IF($A58="","",'4. Thẻ tính giá thành'!$V$67)</f>
        <v/>
      </c>
      <c r="J58" s="82">
        <f>IF($A58="","",'4. Thẻ tính giá thành'!$Y$67)</f>
        <v/>
      </c>
      <c r="K58" s="82">
        <f>IF($A58="","",'4. Thẻ tính giá thành'!$Z$67)</f>
        <v/>
      </c>
      <c r="L58" s="82">
        <f>IF($A58="","",'4. Thẻ tính giá thành'!$W$67)</f>
        <v/>
      </c>
      <c r="M58" s="82">
        <f>IF($A58="","",'4. Thẻ tính giá thành'!$X$67)</f>
        <v/>
      </c>
      <c r="N58" s="82">
        <f>IF($A58="","",'4. Thẻ tính giá thành'!$AA$67)</f>
        <v/>
      </c>
      <c r="O58" s="82">
        <f>IF($A58="","",'4. Thẻ tính giá thành'!$AB$67)</f>
        <v/>
      </c>
      <c r="P58" s="82">
        <f>IF($A58="","",'4. Thẻ tính giá thành'!$AC$67)</f>
        <v/>
      </c>
    </row>
    <row r="59" ht="15" customHeight="1" s="54">
      <c r="A59" s="80">
        <f>IF('4. Thẻ tính giá thành'!$A$68="","",'4. Thẻ tính giá thành'!$A$68)</f>
        <v/>
      </c>
      <c r="B59" s="80">
        <f>IF($A59="","",'4. Thẻ tính giá thành'!$B$68)</f>
        <v/>
      </c>
      <c r="C59" s="82">
        <f>IF($A59="","",'4. Thẻ tính giá thành'!$P$68)</f>
        <v/>
      </c>
      <c r="D59" s="82">
        <f>IF($A59="","",'4. Thẻ tính giá thành'!$Q$68)</f>
        <v/>
      </c>
      <c r="E59" s="82">
        <f>IF($A59="","",'4. Thẻ tính giá thành'!$R$68)</f>
        <v/>
      </c>
      <c r="F59" s="82">
        <f>IF($A59="","",'4. Thẻ tính giá thành'!$S$68)</f>
        <v/>
      </c>
      <c r="G59" s="82">
        <f>IF($A59="","",'4. Thẻ tính giá thành'!$T$68)</f>
        <v/>
      </c>
      <c r="H59" s="82">
        <f>IF($A59="","",'4. Thẻ tính giá thành'!$U$68)</f>
        <v/>
      </c>
      <c r="I59" s="82">
        <f>IF($A59="","",'4. Thẻ tính giá thành'!$V$68)</f>
        <v/>
      </c>
      <c r="J59" s="82">
        <f>IF($A59="","",'4. Thẻ tính giá thành'!$Y$68)</f>
        <v/>
      </c>
      <c r="K59" s="82">
        <f>IF($A59="","",'4. Thẻ tính giá thành'!$Z$68)</f>
        <v/>
      </c>
      <c r="L59" s="82">
        <f>IF($A59="","",'4. Thẻ tính giá thành'!$W$68)</f>
        <v/>
      </c>
      <c r="M59" s="82">
        <f>IF($A59="","",'4. Thẻ tính giá thành'!$X$68)</f>
        <v/>
      </c>
      <c r="N59" s="82">
        <f>IF($A59="","",'4. Thẻ tính giá thành'!$AA$68)</f>
        <v/>
      </c>
      <c r="O59" s="82">
        <f>IF($A59="","",'4. Thẻ tính giá thành'!$AB$68)</f>
        <v/>
      </c>
      <c r="P59" s="82">
        <f>IF($A59="","",'4. Thẻ tính giá thành'!$AC$68)</f>
        <v/>
      </c>
    </row>
    <row r="60" ht="15" customHeight="1" s="54">
      <c r="A60" s="80">
        <f>IF('4. Thẻ tính giá thành'!$A$69="","",'4. Thẻ tính giá thành'!$A$69)</f>
        <v/>
      </c>
      <c r="B60" s="80">
        <f>IF($A60="","",'4. Thẻ tính giá thành'!$B$69)</f>
        <v/>
      </c>
      <c r="C60" s="82">
        <f>IF($A60="","",'4. Thẻ tính giá thành'!$P$69)</f>
        <v/>
      </c>
      <c r="D60" s="82">
        <f>IF($A60="","",'4. Thẻ tính giá thành'!$Q$69)</f>
        <v/>
      </c>
      <c r="E60" s="82">
        <f>IF($A60="","",'4. Thẻ tính giá thành'!$R$69)</f>
        <v/>
      </c>
      <c r="F60" s="82">
        <f>IF($A60="","",'4. Thẻ tính giá thành'!$S$69)</f>
        <v/>
      </c>
      <c r="G60" s="82">
        <f>IF($A60="","",'4. Thẻ tính giá thành'!$T$69)</f>
        <v/>
      </c>
      <c r="H60" s="82">
        <f>IF($A60="","",'4. Thẻ tính giá thành'!$U$69)</f>
        <v/>
      </c>
      <c r="I60" s="82">
        <f>IF($A60="","",'4. Thẻ tính giá thành'!$V$69)</f>
        <v/>
      </c>
      <c r="J60" s="82">
        <f>IF($A60="","",'4. Thẻ tính giá thành'!$Y$69)</f>
        <v/>
      </c>
      <c r="K60" s="82">
        <f>IF($A60="","",'4. Thẻ tính giá thành'!$Z$69)</f>
        <v/>
      </c>
      <c r="L60" s="82">
        <f>IF($A60="","",'4. Thẻ tính giá thành'!$W$69)</f>
        <v/>
      </c>
      <c r="M60" s="82">
        <f>IF($A60="","",'4. Thẻ tính giá thành'!$X$69)</f>
        <v/>
      </c>
      <c r="N60" s="82">
        <f>IF($A60="","",'4. Thẻ tính giá thành'!$AA$69)</f>
        <v/>
      </c>
      <c r="O60" s="82">
        <f>IF($A60="","",'4. Thẻ tính giá thành'!$AB$69)</f>
        <v/>
      </c>
      <c r="P60" s="82">
        <f>IF($A60="","",'4. Thẻ tính giá thành'!$AC$69)</f>
        <v/>
      </c>
    </row>
    <row r="61" ht="15" customHeight="1" s="54">
      <c r="A61" s="80">
        <f>IF('4. Thẻ tính giá thành'!$A$70="","",'4. Thẻ tính giá thành'!$A$70)</f>
        <v/>
      </c>
      <c r="B61" s="80">
        <f>IF($A61="","",'4. Thẻ tính giá thành'!$B$70)</f>
        <v/>
      </c>
      <c r="C61" s="82">
        <f>IF($A61="","",'4. Thẻ tính giá thành'!$P$70)</f>
        <v/>
      </c>
      <c r="D61" s="82">
        <f>IF($A61="","",'4. Thẻ tính giá thành'!$Q$70)</f>
        <v/>
      </c>
      <c r="E61" s="82">
        <f>IF($A61="","",'4. Thẻ tính giá thành'!$R$70)</f>
        <v/>
      </c>
      <c r="F61" s="82">
        <f>IF($A61="","",'4. Thẻ tính giá thành'!$S$70)</f>
        <v/>
      </c>
      <c r="G61" s="82">
        <f>IF($A61="","",'4. Thẻ tính giá thành'!$T$70)</f>
        <v/>
      </c>
      <c r="H61" s="82">
        <f>IF($A61="","",'4. Thẻ tính giá thành'!$U$70)</f>
        <v/>
      </c>
      <c r="I61" s="82">
        <f>IF($A61="","",'4. Thẻ tính giá thành'!$V$70)</f>
        <v/>
      </c>
      <c r="J61" s="82">
        <f>IF($A61="","",'4. Thẻ tính giá thành'!$Y$70)</f>
        <v/>
      </c>
      <c r="K61" s="82">
        <f>IF($A61="","",'4. Thẻ tính giá thành'!$Z$70)</f>
        <v/>
      </c>
      <c r="L61" s="82">
        <f>IF($A61="","",'4. Thẻ tính giá thành'!$W$70)</f>
        <v/>
      </c>
      <c r="M61" s="82">
        <f>IF($A61="","",'4. Thẻ tính giá thành'!$X$70)</f>
        <v/>
      </c>
      <c r="N61" s="82">
        <f>IF($A61="","",'4. Thẻ tính giá thành'!$AA$70)</f>
        <v/>
      </c>
      <c r="O61" s="82">
        <f>IF($A61="","",'4. Thẻ tính giá thành'!$AB$70)</f>
        <v/>
      </c>
      <c r="P61" s="82">
        <f>IF($A61="","",'4. Thẻ tính giá thành'!$AC$70)</f>
        <v/>
      </c>
    </row>
    <row r="62" ht="15" customHeight="1" s="54">
      <c r="A62" s="80">
        <f>IF('4. Thẻ tính giá thành'!$A$71="","",'4. Thẻ tính giá thành'!$A$71)</f>
        <v/>
      </c>
      <c r="B62" s="80">
        <f>IF($A62="","",'4. Thẻ tính giá thành'!$B$71)</f>
        <v/>
      </c>
      <c r="C62" s="82">
        <f>IF($A62="","",'4. Thẻ tính giá thành'!$P$71)</f>
        <v/>
      </c>
      <c r="D62" s="82">
        <f>IF($A62="","",'4. Thẻ tính giá thành'!$Q$71)</f>
        <v/>
      </c>
      <c r="E62" s="82">
        <f>IF($A62="","",'4. Thẻ tính giá thành'!$R$71)</f>
        <v/>
      </c>
      <c r="F62" s="82">
        <f>IF($A62="","",'4. Thẻ tính giá thành'!$S$71)</f>
        <v/>
      </c>
      <c r="G62" s="82">
        <f>IF($A62="","",'4. Thẻ tính giá thành'!$T$71)</f>
        <v/>
      </c>
      <c r="H62" s="82">
        <f>IF($A62="","",'4. Thẻ tính giá thành'!$U$71)</f>
        <v/>
      </c>
      <c r="I62" s="82">
        <f>IF($A62="","",'4. Thẻ tính giá thành'!$V$71)</f>
        <v/>
      </c>
      <c r="J62" s="82">
        <f>IF($A62="","",'4. Thẻ tính giá thành'!$Y$71)</f>
        <v/>
      </c>
      <c r="K62" s="82">
        <f>IF($A62="","",'4. Thẻ tính giá thành'!$Z$71)</f>
        <v/>
      </c>
      <c r="L62" s="82">
        <f>IF($A62="","",'4. Thẻ tính giá thành'!$W$71)</f>
        <v/>
      </c>
      <c r="M62" s="82">
        <f>IF($A62="","",'4. Thẻ tính giá thành'!$X$71)</f>
        <v/>
      </c>
      <c r="N62" s="82">
        <f>IF($A62="","",'4. Thẻ tính giá thành'!$AA$71)</f>
        <v/>
      </c>
      <c r="O62" s="82">
        <f>IF($A62="","",'4. Thẻ tính giá thành'!$AB$71)</f>
        <v/>
      </c>
      <c r="P62" s="82">
        <f>IF($A62="","",'4. Thẻ tính giá thành'!$AC$71)</f>
        <v/>
      </c>
    </row>
    <row r="63" ht="15" customHeight="1" s="54">
      <c r="A63" s="80">
        <f>IF('4. Thẻ tính giá thành'!$A$72="","",'4. Thẻ tính giá thành'!$A$72)</f>
        <v/>
      </c>
      <c r="B63" s="80">
        <f>IF($A63="","",'4. Thẻ tính giá thành'!$B$72)</f>
        <v/>
      </c>
      <c r="C63" s="82">
        <f>IF($A63="","",'4. Thẻ tính giá thành'!$P$72)</f>
        <v/>
      </c>
      <c r="D63" s="82">
        <f>IF($A63="","",'4. Thẻ tính giá thành'!$Q$72)</f>
        <v/>
      </c>
      <c r="E63" s="82">
        <f>IF($A63="","",'4. Thẻ tính giá thành'!$R$72)</f>
        <v/>
      </c>
      <c r="F63" s="82">
        <f>IF($A63="","",'4. Thẻ tính giá thành'!$S$72)</f>
        <v/>
      </c>
      <c r="G63" s="82">
        <f>IF($A63="","",'4. Thẻ tính giá thành'!$T$72)</f>
        <v/>
      </c>
      <c r="H63" s="82">
        <f>IF($A63="","",'4. Thẻ tính giá thành'!$U$72)</f>
        <v/>
      </c>
      <c r="I63" s="82">
        <f>IF($A63="","",'4. Thẻ tính giá thành'!$V$72)</f>
        <v/>
      </c>
      <c r="J63" s="82">
        <f>IF($A63="","",'4. Thẻ tính giá thành'!$Y$72)</f>
        <v/>
      </c>
      <c r="K63" s="82">
        <f>IF($A63="","",'4. Thẻ tính giá thành'!$Z$72)</f>
        <v/>
      </c>
      <c r="L63" s="82">
        <f>IF($A63="","",'4. Thẻ tính giá thành'!$W$72)</f>
        <v/>
      </c>
      <c r="M63" s="82">
        <f>IF($A63="","",'4. Thẻ tính giá thành'!$X$72)</f>
        <v/>
      </c>
      <c r="N63" s="82">
        <f>IF($A63="","",'4. Thẻ tính giá thành'!$AA$72)</f>
        <v/>
      </c>
      <c r="O63" s="82">
        <f>IF($A63="","",'4. Thẻ tính giá thành'!$AB$72)</f>
        <v/>
      </c>
      <c r="P63" s="82">
        <f>IF($A63="","",'4. Thẻ tính giá thành'!$AC$72)</f>
        <v/>
      </c>
    </row>
    <row r="64" ht="15" customHeight="1" s="54">
      <c r="A64" s="80">
        <f>IF('4. Thẻ tính giá thành'!$A$73="","",'4. Thẻ tính giá thành'!$A$73)</f>
        <v/>
      </c>
      <c r="B64" s="80">
        <f>IF($A64="","",'4. Thẻ tính giá thành'!$B$73)</f>
        <v/>
      </c>
      <c r="C64" s="82">
        <f>IF($A64="","",'4. Thẻ tính giá thành'!$P$73)</f>
        <v/>
      </c>
      <c r="D64" s="82">
        <f>IF($A64="","",'4. Thẻ tính giá thành'!$Q$73)</f>
        <v/>
      </c>
      <c r="E64" s="82">
        <f>IF($A64="","",'4. Thẻ tính giá thành'!$R$73)</f>
        <v/>
      </c>
      <c r="F64" s="82">
        <f>IF($A64="","",'4. Thẻ tính giá thành'!$S$73)</f>
        <v/>
      </c>
      <c r="G64" s="82">
        <f>IF($A64="","",'4. Thẻ tính giá thành'!$T$73)</f>
        <v/>
      </c>
      <c r="H64" s="82">
        <f>IF($A64="","",'4. Thẻ tính giá thành'!$U$73)</f>
        <v/>
      </c>
      <c r="I64" s="82">
        <f>IF($A64="","",'4. Thẻ tính giá thành'!$V$73)</f>
        <v/>
      </c>
      <c r="J64" s="82">
        <f>IF($A64="","",'4. Thẻ tính giá thành'!$Y$73)</f>
        <v/>
      </c>
      <c r="K64" s="82">
        <f>IF($A64="","",'4. Thẻ tính giá thành'!$Z$73)</f>
        <v/>
      </c>
      <c r="L64" s="82">
        <f>IF($A64="","",'4. Thẻ tính giá thành'!$W$73)</f>
        <v/>
      </c>
      <c r="M64" s="82">
        <f>IF($A64="","",'4. Thẻ tính giá thành'!$X$73)</f>
        <v/>
      </c>
      <c r="N64" s="82">
        <f>IF($A64="","",'4. Thẻ tính giá thành'!$AA$73)</f>
        <v/>
      </c>
      <c r="O64" s="82">
        <f>IF($A64="","",'4. Thẻ tính giá thành'!$AB$73)</f>
        <v/>
      </c>
      <c r="P64" s="82">
        <f>IF($A64="","",'4. Thẻ tính giá thành'!$AC$73)</f>
        <v/>
      </c>
    </row>
    <row r="65" ht="15" customHeight="1" s="54">
      <c r="A65" s="80">
        <f>IF('4. Thẻ tính giá thành'!$A$74="","",'4. Thẻ tính giá thành'!$A$74)</f>
        <v/>
      </c>
      <c r="B65" s="80">
        <f>IF($A65="","",'4. Thẻ tính giá thành'!$B$74)</f>
        <v/>
      </c>
      <c r="C65" s="82">
        <f>IF($A65="","",'4. Thẻ tính giá thành'!$P$74)</f>
        <v/>
      </c>
      <c r="D65" s="82">
        <f>IF($A65="","",'4. Thẻ tính giá thành'!$Q$74)</f>
        <v/>
      </c>
      <c r="E65" s="82">
        <f>IF($A65="","",'4. Thẻ tính giá thành'!$R$74)</f>
        <v/>
      </c>
      <c r="F65" s="82">
        <f>IF($A65="","",'4. Thẻ tính giá thành'!$S$74)</f>
        <v/>
      </c>
      <c r="G65" s="82">
        <f>IF($A65="","",'4. Thẻ tính giá thành'!$T$74)</f>
        <v/>
      </c>
      <c r="H65" s="82">
        <f>IF($A65="","",'4. Thẻ tính giá thành'!$U$74)</f>
        <v/>
      </c>
      <c r="I65" s="82">
        <f>IF($A65="","",'4. Thẻ tính giá thành'!$V$74)</f>
        <v/>
      </c>
      <c r="J65" s="82">
        <f>IF($A65="","",'4. Thẻ tính giá thành'!$Y$74)</f>
        <v/>
      </c>
      <c r="K65" s="82">
        <f>IF($A65="","",'4. Thẻ tính giá thành'!$Z$74)</f>
        <v/>
      </c>
      <c r="L65" s="82">
        <f>IF($A65="","",'4. Thẻ tính giá thành'!$W$74)</f>
        <v/>
      </c>
      <c r="M65" s="82">
        <f>IF($A65="","",'4. Thẻ tính giá thành'!$X$74)</f>
        <v/>
      </c>
      <c r="N65" s="82">
        <f>IF($A65="","",'4. Thẻ tính giá thành'!$AA$74)</f>
        <v/>
      </c>
      <c r="O65" s="82">
        <f>IF($A65="","",'4. Thẻ tính giá thành'!$AB$74)</f>
        <v/>
      </c>
      <c r="P65" s="82">
        <f>IF($A65="","",'4. Thẻ tính giá thành'!$AC$74)</f>
        <v/>
      </c>
    </row>
    <row r="66" ht="15" customHeight="1" s="54">
      <c r="A66" s="80">
        <f>IF('4. Thẻ tính giá thành'!$A$75="","",'4. Thẻ tính giá thành'!$A$75)</f>
        <v/>
      </c>
      <c r="B66" s="80">
        <f>IF($A66="","",'4. Thẻ tính giá thành'!$B$75)</f>
        <v/>
      </c>
      <c r="C66" s="82">
        <f>IF($A66="","",'4. Thẻ tính giá thành'!$P$75)</f>
        <v/>
      </c>
      <c r="D66" s="82">
        <f>IF($A66="","",'4. Thẻ tính giá thành'!$Q$75)</f>
        <v/>
      </c>
      <c r="E66" s="82">
        <f>IF($A66="","",'4. Thẻ tính giá thành'!$R$75)</f>
        <v/>
      </c>
      <c r="F66" s="82">
        <f>IF($A66="","",'4. Thẻ tính giá thành'!$S$75)</f>
        <v/>
      </c>
      <c r="G66" s="82">
        <f>IF($A66="","",'4. Thẻ tính giá thành'!$T$75)</f>
        <v/>
      </c>
      <c r="H66" s="82">
        <f>IF($A66="","",'4. Thẻ tính giá thành'!$U$75)</f>
        <v/>
      </c>
      <c r="I66" s="82">
        <f>IF($A66="","",'4. Thẻ tính giá thành'!$V$75)</f>
        <v/>
      </c>
      <c r="J66" s="82">
        <f>IF($A66="","",'4. Thẻ tính giá thành'!$Y$75)</f>
        <v/>
      </c>
      <c r="K66" s="82">
        <f>IF($A66="","",'4. Thẻ tính giá thành'!$Z$75)</f>
        <v/>
      </c>
      <c r="L66" s="82">
        <f>IF($A66="","",'4. Thẻ tính giá thành'!$W$75)</f>
        <v/>
      </c>
      <c r="M66" s="82">
        <f>IF($A66="","",'4. Thẻ tính giá thành'!$X$75)</f>
        <v/>
      </c>
      <c r="N66" s="82">
        <f>IF($A66="","",'4. Thẻ tính giá thành'!$AA$75)</f>
        <v/>
      </c>
      <c r="O66" s="82">
        <f>IF($A66="","",'4. Thẻ tính giá thành'!$AB$75)</f>
        <v/>
      </c>
      <c r="P66" s="82">
        <f>IF($A66="","",'4. Thẻ tính giá thành'!$AC$75)</f>
        <v/>
      </c>
    </row>
    <row r="67" ht="15" customHeight="1" s="54">
      <c r="A67" s="80">
        <f>IF('4. Thẻ tính giá thành'!$A$76="","",'4. Thẻ tính giá thành'!$A$76)</f>
        <v/>
      </c>
      <c r="B67" s="80">
        <f>IF($A67="","",'4. Thẻ tính giá thành'!$B$76)</f>
        <v/>
      </c>
      <c r="C67" s="82">
        <f>IF($A67="","",'4. Thẻ tính giá thành'!$P$76)</f>
        <v/>
      </c>
      <c r="D67" s="82">
        <f>IF($A67="","",'4. Thẻ tính giá thành'!$Q$76)</f>
        <v/>
      </c>
      <c r="E67" s="82">
        <f>IF($A67="","",'4. Thẻ tính giá thành'!$R$76)</f>
        <v/>
      </c>
      <c r="F67" s="82">
        <f>IF($A67="","",'4. Thẻ tính giá thành'!$S$76)</f>
        <v/>
      </c>
      <c r="G67" s="82">
        <f>IF($A67="","",'4. Thẻ tính giá thành'!$T$76)</f>
        <v/>
      </c>
      <c r="H67" s="82">
        <f>IF($A67="","",'4. Thẻ tính giá thành'!$U$76)</f>
        <v/>
      </c>
      <c r="I67" s="82">
        <f>IF($A67="","",'4. Thẻ tính giá thành'!$V$76)</f>
        <v/>
      </c>
      <c r="J67" s="82">
        <f>IF($A67="","",'4. Thẻ tính giá thành'!$Y$76)</f>
        <v/>
      </c>
      <c r="K67" s="82">
        <f>IF($A67="","",'4. Thẻ tính giá thành'!$Z$76)</f>
        <v/>
      </c>
      <c r="L67" s="82">
        <f>IF($A67="","",'4. Thẻ tính giá thành'!$W$76)</f>
        <v/>
      </c>
      <c r="M67" s="82">
        <f>IF($A67="","",'4. Thẻ tính giá thành'!$X$76)</f>
        <v/>
      </c>
      <c r="N67" s="82">
        <f>IF($A67="","",'4. Thẻ tính giá thành'!$AA$76)</f>
        <v/>
      </c>
      <c r="O67" s="82">
        <f>IF($A67="","",'4. Thẻ tính giá thành'!$AB$76)</f>
        <v/>
      </c>
      <c r="P67" s="82">
        <f>IF($A67="","",'4. Thẻ tính giá thành'!$AC$76)</f>
        <v/>
      </c>
    </row>
    <row r="68" ht="15" customHeight="1" s="54">
      <c r="A68" s="80">
        <f>IF('4. Thẻ tính giá thành'!$A$77="","",'4. Thẻ tính giá thành'!$A$77)</f>
        <v/>
      </c>
      <c r="B68" s="80">
        <f>IF($A68="","",'4. Thẻ tính giá thành'!$B$77)</f>
        <v/>
      </c>
      <c r="C68" s="82">
        <f>IF($A68="","",'4. Thẻ tính giá thành'!$P$77)</f>
        <v/>
      </c>
      <c r="D68" s="82">
        <f>IF($A68="","",'4. Thẻ tính giá thành'!$Q$77)</f>
        <v/>
      </c>
      <c r="E68" s="82">
        <f>IF($A68="","",'4. Thẻ tính giá thành'!$R$77)</f>
        <v/>
      </c>
      <c r="F68" s="82">
        <f>IF($A68="","",'4. Thẻ tính giá thành'!$S$77)</f>
        <v/>
      </c>
      <c r="G68" s="82">
        <f>IF($A68="","",'4. Thẻ tính giá thành'!$T$77)</f>
        <v/>
      </c>
      <c r="H68" s="82">
        <f>IF($A68="","",'4. Thẻ tính giá thành'!$U$77)</f>
        <v/>
      </c>
      <c r="I68" s="82">
        <f>IF($A68="","",'4. Thẻ tính giá thành'!$V$77)</f>
        <v/>
      </c>
      <c r="J68" s="82">
        <f>IF($A68="","",'4. Thẻ tính giá thành'!$Y$77)</f>
        <v/>
      </c>
      <c r="K68" s="82">
        <f>IF($A68="","",'4. Thẻ tính giá thành'!$Z$77)</f>
        <v/>
      </c>
      <c r="L68" s="82">
        <f>IF($A68="","",'4. Thẻ tính giá thành'!$W$77)</f>
        <v/>
      </c>
      <c r="M68" s="82">
        <f>IF($A68="","",'4. Thẻ tính giá thành'!$X$77)</f>
        <v/>
      </c>
      <c r="N68" s="82">
        <f>IF($A68="","",'4. Thẻ tính giá thành'!$AA$77)</f>
        <v/>
      </c>
      <c r="O68" s="82">
        <f>IF($A68="","",'4. Thẻ tính giá thành'!$AB$77)</f>
        <v/>
      </c>
      <c r="P68" s="82">
        <f>IF($A68="","",'4. Thẻ tính giá thành'!$AC$77)</f>
        <v/>
      </c>
    </row>
    <row r="69" ht="15" customHeight="1" s="54">
      <c r="A69" s="80">
        <f>IF('4. Thẻ tính giá thành'!$A$78="","",'4. Thẻ tính giá thành'!$A$78)</f>
        <v/>
      </c>
      <c r="B69" s="80">
        <f>IF($A69="","",'4. Thẻ tính giá thành'!$B$78)</f>
        <v/>
      </c>
      <c r="C69" s="82">
        <f>IF($A69="","",'4. Thẻ tính giá thành'!$P$78)</f>
        <v/>
      </c>
      <c r="D69" s="82">
        <f>IF($A69="","",'4. Thẻ tính giá thành'!$Q$78)</f>
        <v/>
      </c>
      <c r="E69" s="82">
        <f>IF($A69="","",'4. Thẻ tính giá thành'!$R$78)</f>
        <v/>
      </c>
      <c r="F69" s="82">
        <f>IF($A69="","",'4. Thẻ tính giá thành'!$S$78)</f>
        <v/>
      </c>
      <c r="G69" s="82">
        <f>IF($A69="","",'4. Thẻ tính giá thành'!$T$78)</f>
        <v/>
      </c>
      <c r="H69" s="82">
        <f>IF($A69="","",'4. Thẻ tính giá thành'!$U$78)</f>
        <v/>
      </c>
      <c r="I69" s="82">
        <f>IF($A69="","",'4. Thẻ tính giá thành'!$V$78)</f>
        <v/>
      </c>
      <c r="J69" s="82">
        <f>IF($A69="","",'4. Thẻ tính giá thành'!$Y$78)</f>
        <v/>
      </c>
      <c r="K69" s="82">
        <f>IF($A69="","",'4. Thẻ tính giá thành'!$Z$78)</f>
        <v/>
      </c>
      <c r="L69" s="82">
        <f>IF($A69="","",'4. Thẻ tính giá thành'!$W$78)</f>
        <v/>
      </c>
      <c r="M69" s="82">
        <f>IF($A69="","",'4. Thẻ tính giá thành'!$X$78)</f>
        <v/>
      </c>
      <c r="N69" s="82">
        <f>IF($A69="","",'4. Thẻ tính giá thành'!$AA$78)</f>
        <v/>
      </c>
      <c r="O69" s="82">
        <f>IF($A69="","",'4. Thẻ tính giá thành'!$AB$78)</f>
        <v/>
      </c>
      <c r="P69" s="82">
        <f>IF($A69="","",'4. Thẻ tính giá thành'!$AC$78)</f>
        <v/>
      </c>
    </row>
    <row r="70" ht="15" customHeight="1" s="54">
      <c r="A70" s="80">
        <f>IF('4. Thẻ tính giá thành'!$A$79="","",'4. Thẻ tính giá thành'!$A$79)</f>
        <v/>
      </c>
      <c r="B70" s="80">
        <f>IF($A70="","",'4. Thẻ tính giá thành'!$B$79)</f>
        <v/>
      </c>
      <c r="C70" s="82">
        <f>IF($A70="","",'4. Thẻ tính giá thành'!$P$79)</f>
        <v/>
      </c>
      <c r="D70" s="82">
        <f>IF($A70="","",'4. Thẻ tính giá thành'!$Q$79)</f>
        <v/>
      </c>
      <c r="E70" s="82">
        <f>IF($A70="","",'4. Thẻ tính giá thành'!$R$79)</f>
        <v/>
      </c>
      <c r="F70" s="82">
        <f>IF($A70="","",'4. Thẻ tính giá thành'!$S$79)</f>
        <v/>
      </c>
      <c r="G70" s="82">
        <f>IF($A70="","",'4. Thẻ tính giá thành'!$T$79)</f>
        <v/>
      </c>
      <c r="H70" s="82">
        <f>IF($A70="","",'4. Thẻ tính giá thành'!$U$79)</f>
        <v/>
      </c>
      <c r="I70" s="82">
        <f>IF($A70="","",'4. Thẻ tính giá thành'!$V$79)</f>
        <v/>
      </c>
      <c r="J70" s="82">
        <f>IF($A70="","",'4. Thẻ tính giá thành'!$Y$79)</f>
        <v/>
      </c>
      <c r="K70" s="82">
        <f>IF($A70="","",'4. Thẻ tính giá thành'!$Z$79)</f>
        <v/>
      </c>
      <c r="L70" s="82">
        <f>IF($A70="","",'4. Thẻ tính giá thành'!$W$79)</f>
        <v/>
      </c>
      <c r="M70" s="82">
        <f>IF($A70="","",'4. Thẻ tính giá thành'!$X$79)</f>
        <v/>
      </c>
      <c r="N70" s="82">
        <f>IF($A70="","",'4. Thẻ tính giá thành'!$AA$79)</f>
        <v/>
      </c>
      <c r="O70" s="82">
        <f>IF($A70="","",'4. Thẻ tính giá thành'!$AB$79)</f>
        <v/>
      </c>
      <c r="P70" s="82">
        <f>IF($A70="","",'4. Thẻ tính giá thành'!$AC$79)</f>
        <v/>
      </c>
    </row>
    <row r="71" ht="15" customHeight="1" s="54">
      <c r="A71" s="80">
        <f>IF('4. Thẻ tính giá thành'!$A$80="","",'4. Thẻ tính giá thành'!$A$80)</f>
        <v/>
      </c>
      <c r="B71" s="80">
        <f>IF($A71="","",'4. Thẻ tính giá thành'!$B$80)</f>
        <v/>
      </c>
      <c r="C71" s="82">
        <f>IF($A71="","",'4. Thẻ tính giá thành'!$P$80)</f>
        <v/>
      </c>
      <c r="D71" s="82">
        <f>IF($A71="","",'4. Thẻ tính giá thành'!$Q$80)</f>
        <v/>
      </c>
      <c r="E71" s="82">
        <f>IF($A71="","",'4. Thẻ tính giá thành'!$R$80)</f>
        <v/>
      </c>
      <c r="F71" s="82">
        <f>IF($A71="","",'4. Thẻ tính giá thành'!$S$80)</f>
        <v/>
      </c>
      <c r="G71" s="82">
        <f>IF($A71="","",'4. Thẻ tính giá thành'!$T$80)</f>
        <v/>
      </c>
      <c r="H71" s="82">
        <f>IF($A71="","",'4. Thẻ tính giá thành'!$U$80)</f>
        <v/>
      </c>
      <c r="I71" s="82">
        <f>IF($A71="","",'4. Thẻ tính giá thành'!$V$80)</f>
        <v/>
      </c>
      <c r="J71" s="82">
        <f>IF($A71="","",'4. Thẻ tính giá thành'!$Y$80)</f>
        <v/>
      </c>
      <c r="K71" s="82">
        <f>IF($A71="","",'4. Thẻ tính giá thành'!$Z$80)</f>
        <v/>
      </c>
      <c r="L71" s="82">
        <f>IF($A71="","",'4. Thẻ tính giá thành'!$W$80)</f>
        <v/>
      </c>
      <c r="M71" s="82">
        <f>IF($A71="","",'4. Thẻ tính giá thành'!$X$80)</f>
        <v/>
      </c>
      <c r="N71" s="82">
        <f>IF($A71="","",'4. Thẻ tính giá thành'!$AA$80)</f>
        <v/>
      </c>
      <c r="O71" s="82">
        <f>IF($A71="","",'4. Thẻ tính giá thành'!$AB$80)</f>
        <v/>
      </c>
      <c r="P71" s="82">
        <f>IF($A71="","",'4. Thẻ tính giá thành'!$AC$80)</f>
        <v/>
      </c>
    </row>
    <row r="72" ht="15" customHeight="1" s="54">
      <c r="A72" s="80">
        <f>IF('4. Thẻ tính giá thành'!$A$81="","",'4. Thẻ tính giá thành'!$A$81)</f>
        <v/>
      </c>
      <c r="B72" s="80">
        <f>IF($A72="","",'4. Thẻ tính giá thành'!$B$81)</f>
        <v/>
      </c>
      <c r="C72" s="82">
        <f>IF($A72="","",'4. Thẻ tính giá thành'!$P$81)</f>
        <v/>
      </c>
      <c r="D72" s="82">
        <f>IF($A72="","",'4. Thẻ tính giá thành'!$Q$81)</f>
        <v/>
      </c>
      <c r="E72" s="82">
        <f>IF($A72="","",'4. Thẻ tính giá thành'!$R$81)</f>
        <v/>
      </c>
      <c r="F72" s="82">
        <f>IF($A72="","",'4. Thẻ tính giá thành'!$S$81)</f>
        <v/>
      </c>
      <c r="G72" s="82">
        <f>IF($A72="","",'4. Thẻ tính giá thành'!$T$81)</f>
        <v/>
      </c>
      <c r="H72" s="82">
        <f>IF($A72="","",'4. Thẻ tính giá thành'!$U$81)</f>
        <v/>
      </c>
      <c r="I72" s="82">
        <f>IF($A72="","",'4. Thẻ tính giá thành'!$V$81)</f>
        <v/>
      </c>
      <c r="J72" s="82">
        <f>IF($A72="","",'4. Thẻ tính giá thành'!$Y$81)</f>
        <v/>
      </c>
      <c r="K72" s="82">
        <f>IF($A72="","",'4. Thẻ tính giá thành'!$Z$81)</f>
        <v/>
      </c>
      <c r="L72" s="82">
        <f>IF($A72="","",'4. Thẻ tính giá thành'!$W$81)</f>
        <v/>
      </c>
      <c r="M72" s="82">
        <f>IF($A72="","",'4. Thẻ tính giá thành'!$X$81)</f>
        <v/>
      </c>
      <c r="N72" s="82">
        <f>IF($A72="","",'4. Thẻ tính giá thành'!$AA$81)</f>
        <v/>
      </c>
      <c r="O72" s="82">
        <f>IF($A72="","",'4. Thẻ tính giá thành'!$AB$81)</f>
        <v/>
      </c>
      <c r="P72" s="82">
        <f>IF($A72="","",'4. Thẻ tính giá thành'!$AC$81)</f>
        <v/>
      </c>
    </row>
    <row r="73" ht="15" customHeight="1" s="54">
      <c r="A73" s="80">
        <f>IF('4. Thẻ tính giá thành'!$A$82="","",'4. Thẻ tính giá thành'!$A$82)</f>
        <v/>
      </c>
      <c r="B73" s="80">
        <f>IF($A73="","",'4. Thẻ tính giá thành'!$B$82)</f>
        <v/>
      </c>
      <c r="C73" s="82">
        <f>IF($A73="","",'4. Thẻ tính giá thành'!$P$82)</f>
        <v/>
      </c>
      <c r="D73" s="82">
        <f>IF($A73="","",'4. Thẻ tính giá thành'!$Q$82)</f>
        <v/>
      </c>
      <c r="E73" s="82">
        <f>IF($A73="","",'4. Thẻ tính giá thành'!$R$82)</f>
        <v/>
      </c>
      <c r="F73" s="82">
        <f>IF($A73="","",'4. Thẻ tính giá thành'!$S$82)</f>
        <v/>
      </c>
      <c r="G73" s="82">
        <f>IF($A73="","",'4. Thẻ tính giá thành'!$T$82)</f>
        <v/>
      </c>
      <c r="H73" s="82">
        <f>IF($A73="","",'4. Thẻ tính giá thành'!$U$82)</f>
        <v/>
      </c>
      <c r="I73" s="82">
        <f>IF($A73="","",'4. Thẻ tính giá thành'!$V$82)</f>
        <v/>
      </c>
      <c r="J73" s="82">
        <f>IF($A73="","",'4. Thẻ tính giá thành'!$Y$82)</f>
        <v/>
      </c>
      <c r="K73" s="82">
        <f>IF($A73="","",'4. Thẻ tính giá thành'!$Z$82)</f>
        <v/>
      </c>
      <c r="L73" s="82">
        <f>IF($A73="","",'4. Thẻ tính giá thành'!$W$82)</f>
        <v/>
      </c>
      <c r="M73" s="82">
        <f>IF($A73="","",'4. Thẻ tính giá thành'!$X$82)</f>
        <v/>
      </c>
      <c r="N73" s="82">
        <f>IF($A73="","",'4. Thẻ tính giá thành'!$AA$82)</f>
        <v/>
      </c>
      <c r="O73" s="82">
        <f>IF($A73="","",'4. Thẻ tính giá thành'!$AB$82)</f>
        <v/>
      </c>
      <c r="P73" s="82">
        <f>IF($A73="","",'4. Thẻ tính giá thành'!$AC$82)</f>
        <v/>
      </c>
    </row>
    <row r="74" ht="15" customHeight="1" s="54">
      <c r="A74" s="80">
        <f>IF('4. Thẻ tính giá thành'!$A$83="","",'4. Thẻ tính giá thành'!$A$83)</f>
        <v/>
      </c>
      <c r="B74" s="80">
        <f>IF($A74="","",'4. Thẻ tính giá thành'!$B$83)</f>
        <v/>
      </c>
      <c r="C74" s="82">
        <f>IF($A74="","",'4. Thẻ tính giá thành'!$P$83)</f>
        <v/>
      </c>
      <c r="D74" s="82">
        <f>IF($A74="","",'4. Thẻ tính giá thành'!$Q$83)</f>
        <v/>
      </c>
      <c r="E74" s="82">
        <f>IF($A74="","",'4. Thẻ tính giá thành'!$R$83)</f>
        <v/>
      </c>
      <c r="F74" s="82">
        <f>IF($A74="","",'4. Thẻ tính giá thành'!$S$83)</f>
        <v/>
      </c>
      <c r="G74" s="82">
        <f>IF($A74="","",'4. Thẻ tính giá thành'!$T$83)</f>
        <v/>
      </c>
      <c r="H74" s="82">
        <f>IF($A74="","",'4. Thẻ tính giá thành'!$U$83)</f>
        <v/>
      </c>
      <c r="I74" s="82">
        <f>IF($A74="","",'4. Thẻ tính giá thành'!$V$83)</f>
        <v/>
      </c>
      <c r="J74" s="82">
        <f>IF($A74="","",'4. Thẻ tính giá thành'!$Y$83)</f>
        <v/>
      </c>
      <c r="K74" s="82">
        <f>IF($A74="","",'4. Thẻ tính giá thành'!$Z$83)</f>
        <v/>
      </c>
      <c r="L74" s="82">
        <f>IF($A74="","",'4. Thẻ tính giá thành'!$W$83)</f>
        <v/>
      </c>
      <c r="M74" s="82">
        <f>IF($A74="","",'4. Thẻ tính giá thành'!$X$83)</f>
        <v/>
      </c>
      <c r="N74" s="82">
        <f>IF($A74="","",'4. Thẻ tính giá thành'!$AA$83)</f>
        <v/>
      </c>
      <c r="O74" s="82">
        <f>IF($A74="","",'4. Thẻ tính giá thành'!$AB$83)</f>
        <v/>
      </c>
      <c r="P74" s="82">
        <f>IF($A74="","",'4. Thẻ tính giá thành'!$AC$83)</f>
        <v/>
      </c>
    </row>
    <row r="75" ht="15" customHeight="1" s="54">
      <c r="A75" s="80">
        <f>IF('4. Thẻ tính giá thành'!$A$84="","",'4. Thẻ tính giá thành'!$A$84)</f>
        <v/>
      </c>
      <c r="B75" s="80">
        <f>IF($A75="","",'4. Thẻ tính giá thành'!$B$84)</f>
        <v/>
      </c>
      <c r="C75" s="82">
        <f>IF($A75="","",'4. Thẻ tính giá thành'!$P$84)</f>
        <v/>
      </c>
      <c r="D75" s="82">
        <f>IF($A75="","",'4. Thẻ tính giá thành'!$Q$84)</f>
        <v/>
      </c>
      <c r="E75" s="82">
        <f>IF($A75="","",'4. Thẻ tính giá thành'!$R$84)</f>
        <v/>
      </c>
      <c r="F75" s="82">
        <f>IF($A75="","",'4. Thẻ tính giá thành'!$S$84)</f>
        <v/>
      </c>
      <c r="G75" s="82">
        <f>IF($A75="","",'4. Thẻ tính giá thành'!$T$84)</f>
        <v/>
      </c>
      <c r="H75" s="82">
        <f>IF($A75="","",'4. Thẻ tính giá thành'!$U$84)</f>
        <v/>
      </c>
      <c r="I75" s="82">
        <f>IF($A75="","",'4. Thẻ tính giá thành'!$V$84)</f>
        <v/>
      </c>
      <c r="J75" s="82">
        <f>IF($A75="","",'4. Thẻ tính giá thành'!$Y$84)</f>
        <v/>
      </c>
      <c r="K75" s="82">
        <f>IF($A75="","",'4. Thẻ tính giá thành'!$Z$84)</f>
        <v/>
      </c>
      <c r="L75" s="82">
        <f>IF($A75="","",'4. Thẻ tính giá thành'!$W$84)</f>
        <v/>
      </c>
      <c r="M75" s="82">
        <f>IF($A75="","",'4. Thẻ tính giá thành'!$X$84)</f>
        <v/>
      </c>
      <c r="N75" s="82">
        <f>IF($A75="","",'4. Thẻ tính giá thành'!$AA$84)</f>
        <v/>
      </c>
      <c r="O75" s="82">
        <f>IF($A75="","",'4. Thẻ tính giá thành'!$AB$84)</f>
        <v/>
      </c>
      <c r="P75" s="82">
        <f>IF($A75="","",'4. Thẻ tính giá thành'!$AC$84)</f>
        <v/>
      </c>
    </row>
    <row r="76" ht="15" customHeight="1" s="54">
      <c r="A76" s="80">
        <f>IF('4. Thẻ tính giá thành'!$A$85="","",'4. Thẻ tính giá thành'!$A$85)</f>
        <v/>
      </c>
      <c r="B76" s="80">
        <f>IF($A76="","",'4. Thẻ tính giá thành'!$B$85)</f>
        <v/>
      </c>
      <c r="C76" s="82">
        <f>IF($A76="","",'4. Thẻ tính giá thành'!$P$85)</f>
        <v/>
      </c>
      <c r="D76" s="82">
        <f>IF($A76="","",'4. Thẻ tính giá thành'!$Q$85)</f>
        <v/>
      </c>
      <c r="E76" s="82">
        <f>IF($A76="","",'4. Thẻ tính giá thành'!$R$85)</f>
        <v/>
      </c>
      <c r="F76" s="82">
        <f>IF($A76="","",'4. Thẻ tính giá thành'!$S$85)</f>
        <v/>
      </c>
      <c r="G76" s="82">
        <f>IF($A76="","",'4. Thẻ tính giá thành'!$T$85)</f>
        <v/>
      </c>
      <c r="H76" s="82">
        <f>IF($A76="","",'4. Thẻ tính giá thành'!$U$85)</f>
        <v/>
      </c>
      <c r="I76" s="82">
        <f>IF($A76="","",'4. Thẻ tính giá thành'!$V$85)</f>
        <v/>
      </c>
      <c r="J76" s="82">
        <f>IF($A76="","",'4. Thẻ tính giá thành'!$Y$85)</f>
        <v/>
      </c>
      <c r="K76" s="82">
        <f>IF($A76="","",'4. Thẻ tính giá thành'!$Z$85)</f>
        <v/>
      </c>
      <c r="L76" s="82">
        <f>IF($A76="","",'4. Thẻ tính giá thành'!$W$85)</f>
        <v/>
      </c>
      <c r="M76" s="82">
        <f>IF($A76="","",'4. Thẻ tính giá thành'!$X$85)</f>
        <v/>
      </c>
      <c r="N76" s="82">
        <f>IF($A76="","",'4. Thẻ tính giá thành'!$AA$85)</f>
        <v/>
      </c>
      <c r="O76" s="82">
        <f>IF($A76="","",'4. Thẻ tính giá thành'!$AB$85)</f>
        <v/>
      </c>
      <c r="P76" s="82">
        <f>IF($A76="","",'4. Thẻ tính giá thành'!$AC$85)</f>
        <v/>
      </c>
    </row>
    <row r="77" ht="15" customHeight="1" s="54">
      <c r="A77" s="80">
        <f>IF('4. Thẻ tính giá thành'!$A$86="","",'4. Thẻ tính giá thành'!$A$86)</f>
        <v/>
      </c>
      <c r="B77" s="80">
        <f>IF($A77="","",'4. Thẻ tính giá thành'!$B$86)</f>
        <v/>
      </c>
      <c r="C77" s="82">
        <f>IF($A77="","",'4. Thẻ tính giá thành'!$P$86)</f>
        <v/>
      </c>
      <c r="D77" s="82">
        <f>IF($A77="","",'4. Thẻ tính giá thành'!$Q$86)</f>
        <v/>
      </c>
      <c r="E77" s="82">
        <f>IF($A77="","",'4. Thẻ tính giá thành'!$R$86)</f>
        <v/>
      </c>
      <c r="F77" s="82">
        <f>IF($A77="","",'4. Thẻ tính giá thành'!$S$86)</f>
        <v/>
      </c>
      <c r="G77" s="82">
        <f>IF($A77="","",'4. Thẻ tính giá thành'!$T$86)</f>
        <v/>
      </c>
      <c r="H77" s="82">
        <f>IF($A77="","",'4. Thẻ tính giá thành'!$U$86)</f>
        <v/>
      </c>
      <c r="I77" s="82">
        <f>IF($A77="","",'4. Thẻ tính giá thành'!$V$86)</f>
        <v/>
      </c>
      <c r="J77" s="82">
        <f>IF($A77="","",'4. Thẻ tính giá thành'!$Y$86)</f>
        <v/>
      </c>
      <c r="K77" s="82">
        <f>IF($A77="","",'4. Thẻ tính giá thành'!$Z$86)</f>
        <v/>
      </c>
      <c r="L77" s="82">
        <f>IF($A77="","",'4. Thẻ tính giá thành'!$W$86)</f>
        <v/>
      </c>
      <c r="M77" s="82">
        <f>IF($A77="","",'4. Thẻ tính giá thành'!$X$86)</f>
        <v/>
      </c>
      <c r="N77" s="82">
        <f>IF($A77="","",'4. Thẻ tính giá thành'!$AA$86)</f>
        <v/>
      </c>
      <c r="O77" s="82">
        <f>IF($A77="","",'4. Thẻ tính giá thành'!$AB$86)</f>
        <v/>
      </c>
      <c r="P77" s="82">
        <f>IF($A77="","",'4. Thẻ tính giá thành'!$AC$86)</f>
        <v/>
      </c>
    </row>
    <row r="78" ht="15" customHeight="1" s="54">
      <c r="A78" s="80">
        <f>IF('4. Thẻ tính giá thành'!$A$87="","",'4. Thẻ tính giá thành'!$A$87)</f>
        <v/>
      </c>
      <c r="B78" s="80">
        <f>IF($A78="","",'4. Thẻ tính giá thành'!$B$87)</f>
        <v/>
      </c>
      <c r="C78" s="82">
        <f>IF($A78="","",'4. Thẻ tính giá thành'!$P$87)</f>
        <v/>
      </c>
      <c r="D78" s="82">
        <f>IF($A78="","",'4. Thẻ tính giá thành'!$Q$87)</f>
        <v/>
      </c>
      <c r="E78" s="82">
        <f>IF($A78="","",'4. Thẻ tính giá thành'!$R$87)</f>
        <v/>
      </c>
      <c r="F78" s="82">
        <f>IF($A78="","",'4. Thẻ tính giá thành'!$S$87)</f>
        <v/>
      </c>
      <c r="G78" s="82">
        <f>IF($A78="","",'4. Thẻ tính giá thành'!$T$87)</f>
        <v/>
      </c>
      <c r="H78" s="82">
        <f>IF($A78="","",'4. Thẻ tính giá thành'!$U$87)</f>
        <v/>
      </c>
      <c r="I78" s="82">
        <f>IF($A78="","",'4. Thẻ tính giá thành'!$V$87)</f>
        <v/>
      </c>
      <c r="J78" s="82">
        <f>IF($A78="","",'4. Thẻ tính giá thành'!$Y$87)</f>
        <v/>
      </c>
      <c r="K78" s="82">
        <f>IF($A78="","",'4. Thẻ tính giá thành'!$Z$87)</f>
        <v/>
      </c>
      <c r="L78" s="82">
        <f>IF($A78="","",'4. Thẻ tính giá thành'!$W$87)</f>
        <v/>
      </c>
      <c r="M78" s="82">
        <f>IF($A78="","",'4. Thẻ tính giá thành'!$X$87)</f>
        <v/>
      </c>
      <c r="N78" s="82">
        <f>IF($A78="","",'4. Thẻ tính giá thành'!$AA$87)</f>
        <v/>
      </c>
      <c r="O78" s="82">
        <f>IF($A78="","",'4. Thẻ tính giá thành'!$AB$87)</f>
        <v/>
      </c>
      <c r="P78" s="82">
        <f>IF($A78="","",'4. Thẻ tính giá thành'!$AC$87)</f>
        <v/>
      </c>
    </row>
    <row r="79" ht="15" customHeight="1" s="54">
      <c r="A79" s="80">
        <f>IF('4. Thẻ tính giá thành'!$A$88="","",'4. Thẻ tính giá thành'!$A$88)</f>
        <v/>
      </c>
      <c r="B79" s="80">
        <f>IF($A79="","",'4. Thẻ tính giá thành'!$B$88)</f>
        <v/>
      </c>
      <c r="C79" s="82">
        <f>IF($A79="","",'4. Thẻ tính giá thành'!$P$88)</f>
        <v/>
      </c>
      <c r="D79" s="82">
        <f>IF($A79="","",'4. Thẻ tính giá thành'!$Q$88)</f>
        <v/>
      </c>
      <c r="E79" s="82">
        <f>IF($A79="","",'4. Thẻ tính giá thành'!$R$88)</f>
        <v/>
      </c>
      <c r="F79" s="82">
        <f>IF($A79="","",'4. Thẻ tính giá thành'!$S$88)</f>
        <v/>
      </c>
      <c r="G79" s="82">
        <f>IF($A79="","",'4. Thẻ tính giá thành'!$T$88)</f>
        <v/>
      </c>
      <c r="H79" s="82">
        <f>IF($A79="","",'4. Thẻ tính giá thành'!$U$88)</f>
        <v/>
      </c>
      <c r="I79" s="82">
        <f>IF($A79="","",'4. Thẻ tính giá thành'!$V$88)</f>
        <v/>
      </c>
      <c r="J79" s="82">
        <f>IF($A79="","",'4. Thẻ tính giá thành'!$Y$88)</f>
        <v/>
      </c>
      <c r="K79" s="82">
        <f>IF($A79="","",'4. Thẻ tính giá thành'!$Z$88)</f>
        <v/>
      </c>
      <c r="L79" s="82">
        <f>IF($A79="","",'4. Thẻ tính giá thành'!$W$88)</f>
        <v/>
      </c>
      <c r="M79" s="82">
        <f>IF($A79="","",'4. Thẻ tính giá thành'!$X$88)</f>
        <v/>
      </c>
      <c r="N79" s="82">
        <f>IF($A79="","",'4. Thẻ tính giá thành'!$AA$88)</f>
        <v/>
      </c>
      <c r="O79" s="82">
        <f>IF($A79="","",'4. Thẻ tính giá thành'!$AB$88)</f>
        <v/>
      </c>
      <c r="P79" s="82">
        <f>IF($A79="","",'4. Thẻ tính giá thành'!$AC$88)</f>
        <v/>
      </c>
    </row>
    <row r="80" ht="15" customHeight="1" s="54">
      <c r="A80" s="80">
        <f>IF('4. Thẻ tính giá thành'!$A$89="","",'4. Thẻ tính giá thành'!$A$89)</f>
        <v/>
      </c>
      <c r="B80" s="80">
        <f>IF($A80="","",'4. Thẻ tính giá thành'!$B$89)</f>
        <v/>
      </c>
      <c r="C80" s="82">
        <f>IF($A80="","",'4. Thẻ tính giá thành'!$P$89)</f>
        <v/>
      </c>
      <c r="D80" s="82">
        <f>IF($A80="","",'4. Thẻ tính giá thành'!$Q$89)</f>
        <v/>
      </c>
      <c r="E80" s="82">
        <f>IF($A80="","",'4. Thẻ tính giá thành'!$R$89)</f>
        <v/>
      </c>
      <c r="F80" s="82">
        <f>IF($A80="","",'4. Thẻ tính giá thành'!$S$89)</f>
        <v/>
      </c>
      <c r="G80" s="82">
        <f>IF($A80="","",'4. Thẻ tính giá thành'!$T$89)</f>
        <v/>
      </c>
      <c r="H80" s="82">
        <f>IF($A80="","",'4. Thẻ tính giá thành'!$U$89)</f>
        <v/>
      </c>
      <c r="I80" s="82">
        <f>IF($A80="","",'4. Thẻ tính giá thành'!$V$89)</f>
        <v/>
      </c>
      <c r="J80" s="82">
        <f>IF($A80="","",'4. Thẻ tính giá thành'!$Y$89)</f>
        <v/>
      </c>
      <c r="K80" s="82">
        <f>IF($A80="","",'4. Thẻ tính giá thành'!$Z$89)</f>
        <v/>
      </c>
      <c r="L80" s="82">
        <f>IF($A80="","",'4. Thẻ tính giá thành'!$W$89)</f>
        <v/>
      </c>
      <c r="M80" s="82">
        <f>IF($A80="","",'4. Thẻ tính giá thành'!$X$89)</f>
        <v/>
      </c>
      <c r="N80" s="82">
        <f>IF($A80="","",'4. Thẻ tính giá thành'!$AA$89)</f>
        <v/>
      </c>
      <c r="O80" s="82">
        <f>IF($A80="","",'4. Thẻ tính giá thành'!$AB$89)</f>
        <v/>
      </c>
      <c r="P80" s="82">
        <f>IF($A80="","",'4. Thẻ tính giá thành'!$AC$89)</f>
        <v/>
      </c>
    </row>
    <row r="81" ht="15" customHeight="1" s="54">
      <c r="A81" s="80">
        <f>IF('4. Thẻ tính giá thành'!$A$90="","",'4. Thẻ tính giá thành'!$A$90)</f>
        <v/>
      </c>
      <c r="B81" s="80">
        <f>IF($A81="","",'4. Thẻ tính giá thành'!$B$90)</f>
        <v/>
      </c>
      <c r="C81" s="82">
        <f>IF($A81="","",'4. Thẻ tính giá thành'!$P$90)</f>
        <v/>
      </c>
      <c r="D81" s="82">
        <f>IF($A81="","",'4. Thẻ tính giá thành'!$Q$90)</f>
        <v/>
      </c>
      <c r="E81" s="82">
        <f>IF($A81="","",'4. Thẻ tính giá thành'!$R$90)</f>
        <v/>
      </c>
      <c r="F81" s="82">
        <f>IF($A81="","",'4. Thẻ tính giá thành'!$S$90)</f>
        <v/>
      </c>
      <c r="G81" s="82">
        <f>IF($A81="","",'4. Thẻ tính giá thành'!$T$90)</f>
        <v/>
      </c>
      <c r="H81" s="82">
        <f>IF($A81="","",'4. Thẻ tính giá thành'!$U$90)</f>
        <v/>
      </c>
      <c r="I81" s="82">
        <f>IF($A81="","",'4. Thẻ tính giá thành'!$V$90)</f>
        <v/>
      </c>
      <c r="J81" s="82">
        <f>IF($A81="","",'4. Thẻ tính giá thành'!$Y$90)</f>
        <v/>
      </c>
      <c r="K81" s="82">
        <f>IF($A81="","",'4. Thẻ tính giá thành'!$Z$90)</f>
        <v/>
      </c>
      <c r="L81" s="82">
        <f>IF($A81="","",'4. Thẻ tính giá thành'!$W$90)</f>
        <v/>
      </c>
      <c r="M81" s="82">
        <f>IF($A81="","",'4. Thẻ tính giá thành'!$X$90)</f>
        <v/>
      </c>
      <c r="N81" s="82">
        <f>IF($A81="","",'4. Thẻ tính giá thành'!$AA$90)</f>
        <v/>
      </c>
      <c r="O81" s="82">
        <f>IF($A81="","",'4. Thẻ tính giá thành'!$AB$90)</f>
        <v/>
      </c>
      <c r="P81" s="82">
        <f>IF($A81="","",'4. Thẻ tính giá thành'!$AC$90)</f>
        <v/>
      </c>
    </row>
    <row r="82" ht="15" customHeight="1" s="54">
      <c r="A82" s="80">
        <f>IF('4. Thẻ tính giá thành'!$A$91="","",'4. Thẻ tính giá thành'!$A$91)</f>
        <v/>
      </c>
      <c r="B82" s="80">
        <f>IF($A82="","",'4. Thẻ tính giá thành'!$B$91)</f>
        <v/>
      </c>
      <c r="C82" s="82">
        <f>IF($A82="","",'4. Thẻ tính giá thành'!$P$91)</f>
        <v/>
      </c>
      <c r="D82" s="82">
        <f>IF($A82="","",'4. Thẻ tính giá thành'!$Q$91)</f>
        <v/>
      </c>
      <c r="E82" s="82">
        <f>IF($A82="","",'4. Thẻ tính giá thành'!$R$91)</f>
        <v/>
      </c>
      <c r="F82" s="82">
        <f>IF($A82="","",'4. Thẻ tính giá thành'!$S$91)</f>
        <v/>
      </c>
      <c r="G82" s="82">
        <f>IF($A82="","",'4. Thẻ tính giá thành'!$T$91)</f>
        <v/>
      </c>
      <c r="H82" s="82">
        <f>IF($A82="","",'4. Thẻ tính giá thành'!$U$91)</f>
        <v/>
      </c>
      <c r="I82" s="82">
        <f>IF($A82="","",'4. Thẻ tính giá thành'!$V$91)</f>
        <v/>
      </c>
      <c r="J82" s="82">
        <f>IF($A82="","",'4. Thẻ tính giá thành'!$Y$91)</f>
        <v/>
      </c>
      <c r="K82" s="82">
        <f>IF($A82="","",'4. Thẻ tính giá thành'!$Z$91)</f>
        <v/>
      </c>
      <c r="L82" s="82">
        <f>IF($A82="","",'4. Thẻ tính giá thành'!$W$91)</f>
        <v/>
      </c>
      <c r="M82" s="82">
        <f>IF($A82="","",'4. Thẻ tính giá thành'!$X$91)</f>
        <v/>
      </c>
      <c r="N82" s="82">
        <f>IF($A82="","",'4. Thẻ tính giá thành'!$AA$91)</f>
        <v/>
      </c>
      <c r="O82" s="82">
        <f>IF($A82="","",'4. Thẻ tính giá thành'!$AB$91)</f>
        <v/>
      </c>
      <c r="P82" s="82">
        <f>IF($A82="","",'4. Thẻ tính giá thành'!$AC$91)</f>
        <v/>
      </c>
    </row>
    <row r="83" ht="15" customHeight="1" s="54">
      <c r="A83" s="80">
        <f>IF('4. Thẻ tính giá thành'!$A$92="","",'4. Thẻ tính giá thành'!$A$92)</f>
        <v/>
      </c>
      <c r="B83" s="80">
        <f>IF($A83="","",'4. Thẻ tính giá thành'!$B$92)</f>
        <v/>
      </c>
      <c r="C83" s="82">
        <f>IF($A83="","",'4. Thẻ tính giá thành'!$P$92)</f>
        <v/>
      </c>
      <c r="D83" s="82">
        <f>IF($A83="","",'4. Thẻ tính giá thành'!$Q$92)</f>
        <v/>
      </c>
      <c r="E83" s="82">
        <f>IF($A83="","",'4. Thẻ tính giá thành'!$R$92)</f>
        <v/>
      </c>
      <c r="F83" s="82">
        <f>IF($A83="","",'4. Thẻ tính giá thành'!$S$92)</f>
        <v/>
      </c>
      <c r="G83" s="82">
        <f>IF($A83="","",'4. Thẻ tính giá thành'!$T$92)</f>
        <v/>
      </c>
      <c r="H83" s="82">
        <f>IF($A83="","",'4. Thẻ tính giá thành'!$U$92)</f>
        <v/>
      </c>
      <c r="I83" s="82">
        <f>IF($A83="","",'4. Thẻ tính giá thành'!$V$92)</f>
        <v/>
      </c>
      <c r="J83" s="82">
        <f>IF($A83="","",'4. Thẻ tính giá thành'!$Y$92)</f>
        <v/>
      </c>
      <c r="K83" s="82">
        <f>IF($A83="","",'4. Thẻ tính giá thành'!$Z$92)</f>
        <v/>
      </c>
      <c r="L83" s="82">
        <f>IF($A83="","",'4. Thẻ tính giá thành'!$W$92)</f>
        <v/>
      </c>
      <c r="M83" s="82">
        <f>IF($A83="","",'4. Thẻ tính giá thành'!$X$92)</f>
        <v/>
      </c>
      <c r="N83" s="82">
        <f>IF($A83="","",'4. Thẻ tính giá thành'!$AA$92)</f>
        <v/>
      </c>
      <c r="O83" s="82">
        <f>IF($A83="","",'4. Thẻ tính giá thành'!$AB$92)</f>
        <v/>
      </c>
      <c r="P83" s="82">
        <f>IF($A83="","",'4. Thẻ tính giá thành'!$AC$92)</f>
        <v/>
      </c>
    </row>
    <row r="84" ht="15" customHeight="1" s="54">
      <c r="A84" s="80">
        <f>IF('4. Thẻ tính giá thành'!$A$93="","",'4. Thẻ tính giá thành'!$A$93)</f>
        <v/>
      </c>
      <c r="B84" s="80">
        <f>IF($A84="","",'4. Thẻ tính giá thành'!$B$93)</f>
        <v/>
      </c>
      <c r="C84" s="82">
        <f>IF($A84="","",'4. Thẻ tính giá thành'!$P$93)</f>
        <v/>
      </c>
      <c r="D84" s="82">
        <f>IF($A84="","",'4. Thẻ tính giá thành'!$Q$93)</f>
        <v/>
      </c>
      <c r="E84" s="82">
        <f>IF($A84="","",'4. Thẻ tính giá thành'!$R$93)</f>
        <v/>
      </c>
      <c r="F84" s="82">
        <f>IF($A84="","",'4. Thẻ tính giá thành'!$S$93)</f>
        <v/>
      </c>
      <c r="G84" s="82">
        <f>IF($A84="","",'4. Thẻ tính giá thành'!$T$93)</f>
        <v/>
      </c>
      <c r="H84" s="82">
        <f>IF($A84="","",'4. Thẻ tính giá thành'!$U$93)</f>
        <v/>
      </c>
      <c r="I84" s="82">
        <f>IF($A84="","",'4. Thẻ tính giá thành'!$V$93)</f>
        <v/>
      </c>
      <c r="J84" s="82">
        <f>IF($A84="","",'4. Thẻ tính giá thành'!$Y$93)</f>
        <v/>
      </c>
      <c r="K84" s="82">
        <f>IF($A84="","",'4. Thẻ tính giá thành'!$Z$93)</f>
        <v/>
      </c>
      <c r="L84" s="82">
        <f>IF($A84="","",'4. Thẻ tính giá thành'!$W$93)</f>
        <v/>
      </c>
      <c r="M84" s="82">
        <f>IF($A84="","",'4. Thẻ tính giá thành'!$X$93)</f>
        <v/>
      </c>
      <c r="N84" s="82">
        <f>IF($A84="","",'4. Thẻ tính giá thành'!$AA$93)</f>
        <v/>
      </c>
      <c r="O84" s="82">
        <f>IF($A84="","",'4. Thẻ tính giá thành'!$AB$93)</f>
        <v/>
      </c>
      <c r="P84" s="82">
        <f>IF($A84="","",'4. Thẻ tính giá thành'!$AC$93)</f>
        <v/>
      </c>
    </row>
    <row r="85" ht="15" customHeight="1" s="54">
      <c r="A85" s="89" t="inlineStr">
        <is>
          <t>CỘNG</t>
        </is>
      </c>
      <c r="C85" s="90">
        <f>SUM(C5:C84)</f>
        <v/>
      </c>
      <c r="D85" s="90">
        <f>SUM(D5:D84)</f>
        <v/>
      </c>
      <c r="E85" s="90">
        <f>SUM(E5:E84)</f>
        <v/>
      </c>
      <c r="F85" s="90">
        <f>SUM(F5:F84)</f>
        <v/>
      </c>
      <c r="G85" s="90">
        <f>SUM(G5:G84)</f>
        <v/>
      </c>
      <c r="H85" s="90">
        <f>SUM(H5:H84)</f>
        <v/>
      </c>
      <c r="I85" s="90">
        <f>SUM(I5:I84)</f>
        <v/>
      </c>
      <c r="J85" s="90">
        <f>SUM(J5:J84)</f>
        <v/>
      </c>
      <c r="K85" s="90">
        <f>SUM(K5:K84)</f>
        <v/>
      </c>
      <c r="L85" s="90">
        <f>SUM(L5:L84)</f>
        <v/>
      </c>
      <c r="M85" s="90">
        <f>SUM(M5:M84)</f>
        <v/>
      </c>
      <c r="N85" s="90">
        <f>SUM(N5:N84)</f>
        <v/>
      </c>
    </row>
    <row r="86"/>
    <row r="87"/>
    <row r="88" ht="15" customHeight="1" s="54">
      <c r="A88" s="63" t="inlineStr">
        <is>
          <t>PHÂN BỔ GIÁ THÀNH THEO HỆ SỐ / TỶ LỆ (dùng khi Phương pháp = Hệ số hoặc Tỷ lệ)</t>
        </is>
      </c>
    </row>
    <row r="89" ht="15" customHeight="1" s="54">
      <c r="A89" s="65" t="inlineStr">
        <is>
          <t>Lấy Hệ số / Giá thành ĐM đơn vị và Sản lượng từ Danh mục đối tượng. Chọn đối tượng làm 'tổng chi phí cần phân bổ'.</t>
        </is>
      </c>
    </row>
    <row r="90" ht="15" customHeight="1" s="54">
      <c r="A90" s="89" t="inlineStr">
        <is>
          <t>Tổng chi phí cần phân bổ (mặc định = tổng giá thành của các đối tượng dưới đây):</t>
        </is>
      </c>
      <c r="E90" s="91">
        <f>SUMIFS('4. Thẻ tính giá thành'!$AA$14:$AA$93,'4. Thẻ tính giá thành'!$A$14:$A$93,"&lt;&gt;")</f>
        <v/>
      </c>
    </row>
    <row r="91"/>
    <row r="92" ht="23.85" customHeight="1" s="54">
      <c r="A92" s="74" t="inlineStr">
        <is>
          <t>Mã</t>
        </is>
      </c>
      <c r="B92" s="74" t="inlineStr">
        <is>
          <t>Tên</t>
        </is>
      </c>
      <c r="C92" s="74" t="inlineStr">
        <is>
          <t>SL hoàn thành</t>
        </is>
      </c>
      <c r="D92" s="74" t="inlineStr">
        <is>
          <t>Hệ số</t>
        </is>
      </c>
      <c r="E92" s="74" t="inlineStr">
        <is>
          <t>SL quy đổi</t>
        </is>
      </c>
      <c r="F92" s="74" t="inlineStr">
        <is>
          <t>Giá thành (Hệ số)</t>
        </is>
      </c>
      <c r="G92" s="74" t="inlineStr">
        <is>
          <t>Đơn giá (Hệ số)</t>
        </is>
      </c>
      <c r="H92" s="74" t="inlineStr">
        <is>
          <t>Giá thành ĐM ĐV</t>
        </is>
      </c>
      <c r="I92" s="74" t="inlineStr">
        <is>
          <t>Tổng GT định mức</t>
        </is>
      </c>
      <c r="J92" s="74" t="inlineStr">
        <is>
          <t>Giá thành (Tỷ lệ)</t>
        </is>
      </c>
      <c r="K92" s="74" t="inlineStr">
        <is>
          <t>Đơn giá (Tỷ lệ)</t>
        </is>
      </c>
      <c r="L92" s="74" t="inlineStr">
        <is>
          <t>Kết quả áp dụng</t>
        </is>
      </c>
    </row>
    <row r="93" ht="15" customHeight="1" s="54">
      <c r="A93" s="80">
        <f>IF(INDEX(DM_Ma,1)="","",INDEX(DM_Ma,1))</f>
        <v/>
      </c>
      <c r="B93" s="80">
        <f>IF($A93="","",INDEX(DM_Ten,1))</f>
        <v/>
      </c>
      <c r="C93" s="82">
        <f>IF($A93="","",INDEX(DM_SLHT,1))</f>
        <v/>
      </c>
      <c r="D93" s="82">
        <f>IF($A93="","",INDEX(DM_HeSo,1))</f>
        <v/>
      </c>
      <c r="E93" s="82">
        <f>IF($A93="","",$C93*$D93)</f>
        <v/>
      </c>
      <c r="F93" s="82">
        <f>IF($A93="","",IF(SUM($E93:$E172)=0,0,hpTong*$E93/SUM($E93:$E172)))</f>
        <v/>
      </c>
      <c r="G93" s="82">
        <f>IF($A93="","",IF($C93&lt;=0,"⚠ SL=0",ROUND($F93/$C93,0)))</f>
        <v/>
      </c>
      <c r="H93" s="82">
        <f>IF($A93="","",INDEX(DM_DGDinhMucKH,1))</f>
        <v/>
      </c>
      <c r="I93" s="82">
        <f>IF($A93="","",$C93*$H93)</f>
        <v/>
      </c>
      <c r="J93" s="82">
        <f>IF($A93="","",IF(SUM($I93:$I172)=0,0,$I93*hpTong/SUM($I93:$I172)))</f>
        <v/>
      </c>
      <c r="K93" s="82">
        <f>IF($A93="","",IF($C93&lt;=0,"⚠ SL=0",ROUND($J93/$C93,0)))</f>
        <v/>
      </c>
      <c r="L93" s="82">
        <f>IF($A93="","",IF(pPhuongPhap="Hệ số",$F93,IF(pPhuongPhap="Tỷ lệ",$J93,"(không áp dụng)")))</f>
        <v/>
      </c>
    </row>
    <row r="94" ht="15" customHeight="1" s="54">
      <c r="A94" s="80">
        <f>IF(INDEX(DM_Ma,2)="","",INDEX(DM_Ma,2))</f>
        <v/>
      </c>
      <c r="B94" s="80">
        <f>IF($A94="","",INDEX(DM_Ten,2))</f>
        <v/>
      </c>
      <c r="C94" s="82">
        <f>IF($A94="","",INDEX(DM_SLHT,2))</f>
        <v/>
      </c>
      <c r="D94" s="82">
        <f>IF($A94="","",INDEX(DM_HeSo,2))</f>
        <v/>
      </c>
      <c r="E94" s="82">
        <f>IF($A94="","",$C94*$D94)</f>
        <v/>
      </c>
      <c r="F94" s="82">
        <f>IF($A94="","",IF(SUM($E93:$E172)=0,0,hpTong*$E94/SUM($E93:$E172)))</f>
        <v/>
      </c>
      <c r="G94" s="82">
        <f>IF($A94="","",IF($C94&lt;=0,"⚠ SL=0",ROUND($F94/$C94,0)))</f>
        <v/>
      </c>
      <c r="H94" s="82">
        <f>IF($A94="","",INDEX(DM_DGDinhMucKH,2))</f>
        <v/>
      </c>
      <c r="I94" s="82">
        <f>IF($A94="","",$C94*$H94)</f>
        <v/>
      </c>
      <c r="J94" s="82">
        <f>IF($A94="","",IF(SUM($I93:$I172)=0,0,$I94*hpTong/SUM($I93:$I172)))</f>
        <v/>
      </c>
      <c r="K94" s="82">
        <f>IF($A94="","",IF($C94&lt;=0,"⚠ SL=0",ROUND($J94/$C94,0)))</f>
        <v/>
      </c>
      <c r="L94" s="82">
        <f>IF($A94="","",IF(pPhuongPhap="Hệ số",$F94,IF(pPhuongPhap="Tỷ lệ",$J94,"(không áp dụng)")))</f>
        <v/>
      </c>
    </row>
    <row r="95" ht="15" customHeight="1" s="54">
      <c r="A95" s="80">
        <f>IF(INDEX(DM_Ma,3)="","",INDEX(DM_Ma,3))</f>
        <v/>
      </c>
      <c r="B95" s="80">
        <f>IF($A95="","",INDEX(DM_Ten,3))</f>
        <v/>
      </c>
      <c r="C95" s="82">
        <f>IF($A95="","",INDEX(DM_SLHT,3))</f>
        <v/>
      </c>
      <c r="D95" s="82">
        <f>IF($A95="","",INDEX(DM_HeSo,3))</f>
        <v/>
      </c>
      <c r="E95" s="82">
        <f>IF($A95="","",$C95*$D95)</f>
        <v/>
      </c>
      <c r="F95" s="82">
        <f>IF($A95="","",IF(SUM($E93:$E172)=0,0,hpTong*$E95/SUM($E93:$E172)))</f>
        <v/>
      </c>
      <c r="G95" s="82">
        <f>IF($A95="","",IF($C95&lt;=0,"⚠ SL=0",ROUND($F95/$C95,0)))</f>
        <v/>
      </c>
      <c r="H95" s="82">
        <f>IF($A95="","",INDEX(DM_DGDinhMucKH,3))</f>
        <v/>
      </c>
      <c r="I95" s="82">
        <f>IF($A95="","",$C95*$H95)</f>
        <v/>
      </c>
      <c r="J95" s="82">
        <f>IF($A95="","",IF(SUM($I93:$I172)=0,0,$I95*hpTong/SUM($I93:$I172)))</f>
        <v/>
      </c>
      <c r="K95" s="82">
        <f>IF($A95="","",IF($C95&lt;=0,"⚠ SL=0",ROUND($J95/$C95,0)))</f>
        <v/>
      </c>
      <c r="L95" s="82">
        <f>IF($A95="","",IF(pPhuongPhap="Hệ số",$F95,IF(pPhuongPhap="Tỷ lệ",$J95,"(không áp dụng)")))</f>
        <v/>
      </c>
    </row>
    <row r="96" ht="15" customHeight="1" s="54">
      <c r="A96" s="80">
        <f>IF(INDEX(DM_Ma,4)="","",INDEX(DM_Ma,4))</f>
        <v/>
      </c>
      <c r="B96" s="80">
        <f>IF($A96="","",INDEX(DM_Ten,4))</f>
        <v/>
      </c>
      <c r="C96" s="82">
        <f>IF($A96="","",INDEX(DM_SLHT,4))</f>
        <v/>
      </c>
      <c r="D96" s="82">
        <f>IF($A96="","",INDEX(DM_HeSo,4))</f>
        <v/>
      </c>
      <c r="E96" s="82">
        <f>IF($A96="","",$C96*$D96)</f>
        <v/>
      </c>
      <c r="F96" s="82">
        <f>IF($A96="","",IF(SUM($E93:$E172)=0,0,hpTong*$E96/SUM($E93:$E172)))</f>
        <v/>
      </c>
      <c r="G96" s="82">
        <f>IF($A96="","",IF($C96&lt;=0,"⚠ SL=0",ROUND($F96/$C96,0)))</f>
        <v/>
      </c>
      <c r="H96" s="82">
        <f>IF($A96="","",INDEX(DM_DGDinhMucKH,4))</f>
        <v/>
      </c>
      <c r="I96" s="82">
        <f>IF($A96="","",$C96*$H96)</f>
        <v/>
      </c>
      <c r="J96" s="82">
        <f>IF($A96="","",IF(SUM($I93:$I172)=0,0,$I96*hpTong/SUM($I93:$I172)))</f>
        <v/>
      </c>
      <c r="K96" s="82">
        <f>IF($A96="","",IF($C96&lt;=0,"⚠ SL=0",ROUND($J96/$C96,0)))</f>
        <v/>
      </c>
      <c r="L96" s="82">
        <f>IF($A96="","",IF(pPhuongPhap="Hệ số",$F96,IF(pPhuongPhap="Tỷ lệ",$J96,"(không áp dụng)")))</f>
        <v/>
      </c>
    </row>
    <row r="97" ht="15" customHeight="1" s="54">
      <c r="A97" s="80">
        <f>IF(INDEX(DM_Ma,5)="","",INDEX(DM_Ma,5))</f>
        <v/>
      </c>
      <c r="B97" s="80">
        <f>IF($A97="","",INDEX(DM_Ten,5))</f>
        <v/>
      </c>
      <c r="C97" s="82">
        <f>IF($A97="","",INDEX(DM_SLHT,5))</f>
        <v/>
      </c>
      <c r="D97" s="82">
        <f>IF($A97="","",INDEX(DM_HeSo,5))</f>
        <v/>
      </c>
      <c r="E97" s="82">
        <f>IF($A97="","",$C97*$D97)</f>
        <v/>
      </c>
      <c r="F97" s="82">
        <f>IF($A97="","",IF(SUM($E93:$E172)=0,0,hpTong*$E97/SUM($E93:$E172)))</f>
        <v/>
      </c>
      <c r="G97" s="82">
        <f>IF($A97="","",IF($C97&lt;=0,"⚠ SL=0",ROUND($F97/$C97,0)))</f>
        <v/>
      </c>
      <c r="H97" s="82">
        <f>IF($A97="","",INDEX(DM_DGDinhMucKH,5))</f>
        <v/>
      </c>
      <c r="I97" s="82">
        <f>IF($A97="","",$C97*$H97)</f>
        <v/>
      </c>
      <c r="J97" s="82">
        <f>IF($A97="","",IF(SUM($I93:$I172)=0,0,$I97*hpTong/SUM($I93:$I172)))</f>
        <v/>
      </c>
      <c r="K97" s="82">
        <f>IF($A97="","",IF($C97&lt;=0,"⚠ SL=0",ROUND($J97/$C97,0)))</f>
        <v/>
      </c>
      <c r="L97" s="82">
        <f>IF($A97="","",IF(pPhuongPhap="Hệ số",$F97,IF(pPhuongPhap="Tỷ lệ",$J97,"(không áp dụng)")))</f>
        <v/>
      </c>
    </row>
    <row r="98" ht="15" customHeight="1" s="54">
      <c r="A98" s="80">
        <f>IF(INDEX(DM_Ma,6)="","",INDEX(DM_Ma,6))</f>
        <v/>
      </c>
      <c r="B98" s="80">
        <f>IF($A98="","",INDEX(DM_Ten,6))</f>
        <v/>
      </c>
      <c r="C98" s="82">
        <f>IF($A98="","",INDEX(DM_SLHT,6))</f>
        <v/>
      </c>
      <c r="D98" s="82">
        <f>IF($A98="","",INDEX(DM_HeSo,6))</f>
        <v/>
      </c>
      <c r="E98" s="82">
        <f>IF($A98="","",$C98*$D98)</f>
        <v/>
      </c>
      <c r="F98" s="82">
        <f>IF($A98="","",IF(SUM($E93:$E172)=0,0,hpTong*$E98/SUM($E93:$E172)))</f>
        <v/>
      </c>
      <c r="G98" s="82">
        <f>IF($A98="","",IF($C98&lt;=0,"⚠ SL=0",ROUND($F98/$C98,0)))</f>
        <v/>
      </c>
      <c r="H98" s="82">
        <f>IF($A98="","",INDEX(DM_DGDinhMucKH,6))</f>
        <v/>
      </c>
      <c r="I98" s="82">
        <f>IF($A98="","",$C98*$H98)</f>
        <v/>
      </c>
      <c r="J98" s="82">
        <f>IF($A98="","",IF(SUM($I93:$I172)=0,0,$I98*hpTong/SUM($I93:$I172)))</f>
        <v/>
      </c>
      <c r="K98" s="82">
        <f>IF($A98="","",IF($C98&lt;=0,"⚠ SL=0",ROUND($J98/$C98,0)))</f>
        <v/>
      </c>
      <c r="L98" s="82">
        <f>IF($A98="","",IF(pPhuongPhap="Hệ số",$F98,IF(pPhuongPhap="Tỷ lệ",$J98,"(không áp dụng)")))</f>
        <v/>
      </c>
    </row>
    <row r="99" ht="15" customHeight="1" s="54">
      <c r="A99" s="80">
        <f>IF(INDEX(DM_Ma,7)="","",INDEX(DM_Ma,7))</f>
        <v/>
      </c>
      <c r="B99" s="80">
        <f>IF($A99="","",INDEX(DM_Ten,7))</f>
        <v/>
      </c>
      <c r="C99" s="82">
        <f>IF($A99="","",INDEX(DM_SLHT,7))</f>
        <v/>
      </c>
      <c r="D99" s="82">
        <f>IF($A99="","",INDEX(DM_HeSo,7))</f>
        <v/>
      </c>
      <c r="E99" s="82">
        <f>IF($A99="","",$C99*$D99)</f>
        <v/>
      </c>
      <c r="F99" s="82">
        <f>IF($A99="","",IF(SUM($E93:$E172)=0,0,hpTong*$E99/SUM($E93:$E172)))</f>
        <v/>
      </c>
      <c r="G99" s="82">
        <f>IF($A99="","",IF($C99&lt;=0,"⚠ SL=0",ROUND($F99/$C99,0)))</f>
        <v/>
      </c>
      <c r="H99" s="82">
        <f>IF($A99="","",INDEX(DM_DGDinhMucKH,7))</f>
        <v/>
      </c>
      <c r="I99" s="82">
        <f>IF($A99="","",$C99*$H99)</f>
        <v/>
      </c>
      <c r="J99" s="82">
        <f>IF($A99="","",IF(SUM($I93:$I172)=0,0,$I99*hpTong/SUM($I93:$I172)))</f>
        <v/>
      </c>
      <c r="K99" s="82">
        <f>IF($A99="","",IF($C99&lt;=0,"⚠ SL=0",ROUND($J99/$C99,0)))</f>
        <v/>
      </c>
      <c r="L99" s="82">
        <f>IF($A99="","",IF(pPhuongPhap="Hệ số",$F99,IF(pPhuongPhap="Tỷ lệ",$J99,"(không áp dụng)")))</f>
        <v/>
      </c>
    </row>
    <row r="100" ht="15" customHeight="1" s="54">
      <c r="A100" s="80">
        <f>IF(INDEX(DM_Ma,8)="","",INDEX(DM_Ma,8))</f>
        <v/>
      </c>
      <c r="B100" s="80">
        <f>IF($A100="","",INDEX(DM_Ten,8))</f>
        <v/>
      </c>
      <c r="C100" s="82">
        <f>IF($A100="","",INDEX(DM_SLHT,8))</f>
        <v/>
      </c>
      <c r="D100" s="82">
        <f>IF($A100="","",INDEX(DM_HeSo,8))</f>
        <v/>
      </c>
      <c r="E100" s="82">
        <f>IF($A100="","",$C100*$D100)</f>
        <v/>
      </c>
      <c r="F100" s="82">
        <f>IF($A100="","",IF(SUM($E93:$E172)=0,0,hpTong*$E100/SUM($E93:$E172)))</f>
        <v/>
      </c>
      <c r="G100" s="82">
        <f>IF($A100="","",IF($C100&lt;=0,"⚠ SL=0",ROUND($F100/$C100,0)))</f>
        <v/>
      </c>
      <c r="H100" s="82">
        <f>IF($A100="","",INDEX(DM_DGDinhMucKH,8))</f>
        <v/>
      </c>
      <c r="I100" s="82">
        <f>IF($A100="","",$C100*$H100)</f>
        <v/>
      </c>
      <c r="J100" s="82">
        <f>IF($A100="","",IF(SUM($I93:$I172)=0,0,$I100*hpTong/SUM($I93:$I172)))</f>
        <v/>
      </c>
      <c r="K100" s="82">
        <f>IF($A100="","",IF($C100&lt;=0,"⚠ SL=0",ROUND($J100/$C100,0)))</f>
        <v/>
      </c>
      <c r="L100" s="82">
        <f>IF($A100="","",IF(pPhuongPhap="Hệ số",$F100,IF(pPhuongPhap="Tỷ lệ",$J100,"(không áp dụng)")))</f>
        <v/>
      </c>
    </row>
    <row r="101" ht="15" customHeight="1" s="54">
      <c r="A101" s="80">
        <f>IF(INDEX(DM_Ma,9)="","",INDEX(DM_Ma,9))</f>
        <v/>
      </c>
      <c r="B101" s="80">
        <f>IF($A101="","",INDEX(DM_Ten,9))</f>
        <v/>
      </c>
      <c r="C101" s="82">
        <f>IF($A101="","",INDEX(DM_SLHT,9))</f>
        <v/>
      </c>
      <c r="D101" s="82">
        <f>IF($A101="","",INDEX(DM_HeSo,9))</f>
        <v/>
      </c>
      <c r="E101" s="82">
        <f>IF($A101="","",$C101*$D101)</f>
        <v/>
      </c>
      <c r="F101" s="82">
        <f>IF($A101="","",IF(SUM($E93:$E172)=0,0,hpTong*$E101/SUM($E93:$E172)))</f>
        <v/>
      </c>
      <c r="G101" s="82">
        <f>IF($A101="","",IF($C101&lt;=0,"⚠ SL=0",ROUND($F101/$C101,0)))</f>
        <v/>
      </c>
      <c r="H101" s="82">
        <f>IF($A101="","",INDEX(DM_DGDinhMucKH,9))</f>
        <v/>
      </c>
      <c r="I101" s="82">
        <f>IF($A101="","",$C101*$H101)</f>
        <v/>
      </c>
      <c r="J101" s="82">
        <f>IF($A101="","",IF(SUM($I93:$I172)=0,0,$I101*hpTong/SUM($I93:$I172)))</f>
        <v/>
      </c>
      <c r="K101" s="82">
        <f>IF($A101="","",IF($C101&lt;=0,"⚠ SL=0",ROUND($J101/$C101,0)))</f>
        <v/>
      </c>
      <c r="L101" s="82">
        <f>IF($A101="","",IF(pPhuongPhap="Hệ số",$F101,IF(pPhuongPhap="Tỷ lệ",$J101,"(không áp dụng)")))</f>
        <v/>
      </c>
    </row>
    <row r="102" ht="15" customHeight="1" s="54">
      <c r="A102" s="80">
        <f>IF(INDEX(DM_Ma,10)="","",INDEX(DM_Ma,10))</f>
        <v/>
      </c>
      <c r="B102" s="80">
        <f>IF($A102="","",INDEX(DM_Ten,10))</f>
        <v/>
      </c>
      <c r="C102" s="82">
        <f>IF($A102="","",INDEX(DM_SLHT,10))</f>
        <v/>
      </c>
      <c r="D102" s="82">
        <f>IF($A102="","",INDEX(DM_HeSo,10))</f>
        <v/>
      </c>
      <c r="E102" s="82">
        <f>IF($A102="","",$C102*$D102)</f>
        <v/>
      </c>
      <c r="F102" s="82">
        <f>IF($A102="","",IF(SUM($E93:$E172)=0,0,hpTong*$E102/SUM($E93:$E172)))</f>
        <v/>
      </c>
      <c r="G102" s="82">
        <f>IF($A102="","",IF($C102&lt;=0,"⚠ SL=0",ROUND($F102/$C102,0)))</f>
        <v/>
      </c>
      <c r="H102" s="82">
        <f>IF($A102="","",INDEX(DM_DGDinhMucKH,10))</f>
        <v/>
      </c>
      <c r="I102" s="82">
        <f>IF($A102="","",$C102*$H102)</f>
        <v/>
      </c>
      <c r="J102" s="82">
        <f>IF($A102="","",IF(SUM($I93:$I172)=0,0,$I102*hpTong/SUM($I93:$I172)))</f>
        <v/>
      </c>
      <c r="K102" s="82">
        <f>IF($A102="","",IF($C102&lt;=0,"⚠ SL=0",ROUND($J102/$C102,0)))</f>
        <v/>
      </c>
      <c r="L102" s="82">
        <f>IF($A102="","",IF(pPhuongPhap="Hệ số",$F102,IF(pPhuongPhap="Tỷ lệ",$J102,"(không áp dụng)")))</f>
        <v/>
      </c>
    </row>
    <row r="103" ht="15" customHeight="1" s="54">
      <c r="A103" s="80">
        <f>IF(INDEX(DM_Ma,11)="","",INDEX(DM_Ma,11))</f>
        <v/>
      </c>
      <c r="B103" s="80">
        <f>IF($A103="","",INDEX(DM_Ten,11))</f>
        <v/>
      </c>
      <c r="C103" s="82">
        <f>IF($A103="","",INDEX(DM_SLHT,11))</f>
        <v/>
      </c>
      <c r="D103" s="82">
        <f>IF($A103="","",INDEX(DM_HeSo,11))</f>
        <v/>
      </c>
      <c r="E103" s="82">
        <f>IF($A103="","",$C103*$D103)</f>
        <v/>
      </c>
      <c r="F103" s="82">
        <f>IF($A103="","",IF(SUM($E93:$E172)=0,0,hpTong*$E103/SUM($E93:$E172)))</f>
        <v/>
      </c>
      <c r="G103" s="82">
        <f>IF($A103="","",IF($C103&lt;=0,"⚠ SL=0",ROUND($F103/$C103,0)))</f>
        <v/>
      </c>
      <c r="H103" s="82">
        <f>IF($A103="","",INDEX(DM_DGDinhMucKH,11))</f>
        <v/>
      </c>
      <c r="I103" s="82">
        <f>IF($A103="","",$C103*$H103)</f>
        <v/>
      </c>
      <c r="J103" s="82">
        <f>IF($A103="","",IF(SUM($I93:$I172)=0,0,$I103*hpTong/SUM($I93:$I172)))</f>
        <v/>
      </c>
      <c r="K103" s="82">
        <f>IF($A103="","",IF($C103&lt;=0,"⚠ SL=0",ROUND($J103/$C103,0)))</f>
        <v/>
      </c>
      <c r="L103" s="82">
        <f>IF($A103="","",IF(pPhuongPhap="Hệ số",$F103,IF(pPhuongPhap="Tỷ lệ",$J103,"(không áp dụng)")))</f>
        <v/>
      </c>
    </row>
    <row r="104" ht="15" customHeight="1" s="54">
      <c r="A104" s="80">
        <f>IF(INDEX(DM_Ma,12)="","",INDEX(DM_Ma,12))</f>
        <v/>
      </c>
      <c r="B104" s="80">
        <f>IF($A104="","",INDEX(DM_Ten,12))</f>
        <v/>
      </c>
      <c r="C104" s="82">
        <f>IF($A104="","",INDEX(DM_SLHT,12))</f>
        <v/>
      </c>
      <c r="D104" s="82">
        <f>IF($A104="","",INDEX(DM_HeSo,12))</f>
        <v/>
      </c>
      <c r="E104" s="82">
        <f>IF($A104="","",$C104*$D104)</f>
        <v/>
      </c>
      <c r="F104" s="82">
        <f>IF($A104="","",IF(SUM($E93:$E172)=0,0,hpTong*$E104/SUM($E93:$E172)))</f>
        <v/>
      </c>
      <c r="G104" s="82">
        <f>IF($A104="","",IF($C104&lt;=0,"⚠ SL=0",ROUND($F104/$C104,0)))</f>
        <v/>
      </c>
      <c r="H104" s="82">
        <f>IF($A104="","",INDEX(DM_DGDinhMucKH,12))</f>
        <v/>
      </c>
      <c r="I104" s="82">
        <f>IF($A104="","",$C104*$H104)</f>
        <v/>
      </c>
      <c r="J104" s="82">
        <f>IF($A104="","",IF(SUM($I93:$I172)=0,0,$I104*hpTong/SUM($I93:$I172)))</f>
        <v/>
      </c>
      <c r="K104" s="82">
        <f>IF($A104="","",IF($C104&lt;=0,"⚠ SL=0",ROUND($J104/$C104,0)))</f>
        <v/>
      </c>
      <c r="L104" s="82">
        <f>IF($A104="","",IF(pPhuongPhap="Hệ số",$F104,IF(pPhuongPhap="Tỷ lệ",$J104,"(không áp dụng)")))</f>
        <v/>
      </c>
    </row>
    <row r="105" ht="15" customHeight="1" s="54">
      <c r="A105" s="80">
        <f>IF(INDEX(DM_Ma,13)="","",INDEX(DM_Ma,13))</f>
        <v/>
      </c>
      <c r="B105" s="80">
        <f>IF($A105="","",INDEX(DM_Ten,13))</f>
        <v/>
      </c>
      <c r="C105" s="82">
        <f>IF($A105="","",INDEX(DM_SLHT,13))</f>
        <v/>
      </c>
      <c r="D105" s="82">
        <f>IF($A105="","",INDEX(DM_HeSo,13))</f>
        <v/>
      </c>
      <c r="E105" s="82">
        <f>IF($A105="","",$C105*$D105)</f>
        <v/>
      </c>
      <c r="F105" s="82">
        <f>IF($A105="","",IF(SUM($E93:$E172)=0,0,hpTong*$E105/SUM($E93:$E172)))</f>
        <v/>
      </c>
      <c r="G105" s="82">
        <f>IF($A105="","",IF($C105&lt;=0,"⚠ SL=0",ROUND($F105/$C105,0)))</f>
        <v/>
      </c>
      <c r="H105" s="82">
        <f>IF($A105="","",INDEX(DM_DGDinhMucKH,13))</f>
        <v/>
      </c>
      <c r="I105" s="82">
        <f>IF($A105="","",$C105*$H105)</f>
        <v/>
      </c>
      <c r="J105" s="82">
        <f>IF($A105="","",IF(SUM($I93:$I172)=0,0,$I105*hpTong/SUM($I93:$I172)))</f>
        <v/>
      </c>
      <c r="K105" s="82">
        <f>IF($A105="","",IF($C105&lt;=0,"⚠ SL=0",ROUND($J105/$C105,0)))</f>
        <v/>
      </c>
      <c r="L105" s="82">
        <f>IF($A105="","",IF(pPhuongPhap="Hệ số",$F105,IF(pPhuongPhap="Tỷ lệ",$J105,"(không áp dụng)")))</f>
        <v/>
      </c>
    </row>
    <row r="106" ht="15" customHeight="1" s="54">
      <c r="A106" s="80">
        <f>IF(INDEX(DM_Ma,14)="","",INDEX(DM_Ma,14))</f>
        <v/>
      </c>
      <c r="B106" s="80">
        <f>IF($A106="","",INDEX(DM_Ten,14))</f>
        <v/>
      </c>
      <c r="C106" s="82">
        <f>IF($A106="","",INDEX(DM_SLHT,14))</f>
        <v/>
      </c>
      <c r="D106" s="82">
        <f>IF($A106="","",INDEX(DM_HeSo,14))</f>
        <v/>
      </c>
      <c r="E106" s="82">
        <f>IF($A106="","",$C106*$D106)</f>
        <v/>
      </c>
      <c r="F106" s="82">
        <f>IF($A106="","",IF(SUM($E93:$E172)=0,0,hpTong*$E106/SUM($E93:$E172)))</f>
        <v/>
      </c>
      <c r="G106" s="82">
        <f>IF($A106="","",IF($C106&lt;=0,"⚠ SL=0",ROUND($F106/$C106,0)))</f>
        <v/>
      </c>
      <c r="H106" s="82">
        <f>IF($A106="","",INDEX(DM_DGDinhMucKH,14))</f>
        <v/>
      </c>
      <c r="I106" s="82">
        <f>IF($A106="","",$C106*$H106)</f>
        <v/>
      </c>
      <c r="J106" s="82">
        <f>IF($A106="","",IF(SUM($I93:$I172)=0,0,$I106*hpTong/SUM($I93:$I172)))</f>
        <v/>
      </c>
      <c r="K106" s="82">
        <f>IF($A106="","",IF($C106&lt;=0,"⚠ SL=0",ROUND($J106/$C106,0)))</f>
        <v/>
      </c>
      <c r="L106" s="82">
        <f>IF($A106="","",IF(pPhuongPhap="Hệ số",$F106,IF(pPhuongPhap="Tỷ lệ",$J106,"(không áp dụng)")))</f>
        <v/>
      </c>
    </row>
    <row r="107" ht="15" customHeight="1" s="54">
      <c r="A107" s="80">
        <f>IF(INDEX(DM_Ma,15)="","",INDEX(DM_Ma,15))</f>
        <v/>
      </c>
      <c r="B107" s="80">
        <f>IF($A107="","",INDEX(DM_Ten,15))</f>
        <v/>
      </c>
      <c r="C107" s="82">
        <f>IF($A107="","",INDEX(DM_SLHT,15))</f>
        <v/>
      </c>
      <c r="D107" s="82">
        <f>IF($A107="","",INDEX(DM_HeSo,15))</f>
        <v/>
      </c>
      <c r="E107" s="82">
        <f>IF($A107="","",$C107*$D107)</f>
        <v/>
      </c>
      <c r="F107" s="82">
        <f>IF($A107="","",IF(SUM($E93:$E172)=0,0,hpTong*$E107/SUM($E93:$E172)))</f>
        <v/>
      </c>
      <c r="G107" s="82">
        <f>IF($A107="","",IF($C107&lt;=0,"⚠ SL=0",ROUND($F107/$C107,0)))</f>
        <v/>
      </c>
      <c r="H107" s="82">
        <f>IF($A107="","",INDEX(DM_DGDinhMucKH,15))</f>
        <v/>
      </c>
      <c r="I107" s="82">
        <f>IF($A107="","",$C107*$H107)</f>
        <v/>
      </c>
      <c r="J107" s="82">
        <f>IF($A107="","",IF(SUM($I93:$I172)=0,0,$I107*hpTong/SUM($I93:$I172)))</f>
        <v/>
      </c>
      <c r="K107" s="82">
        <f>IF($A107="","",IF($C107&lt;=0,"⚠ SL=0",ROUND($J107/$C107,0)))</f>
        <v/>
      </c>
      <c r="L107" s="82">
        <f>IF($A107="","",IF(pPhuongPhap="Hệ số",$F107,IF(pPhuongPhap="Tỷ lệ",$J107,"(không áp dụng)")))</f>
        <v/>
      </c>
    </row>
    <row r="108" ht="15" customHeight="1" s="54">
      <c r="A108" s="80">
        <f>IF(INDEX(DM_Ma,16)="","",INDEX(DM_Ma,16))</f>
        <v/>
      </c>
      <c r="B108" s="80">
        <f>IF($A108="","",INDEX(DM_Ten,16))</f>
        <v/>
      </c>
      <c r="C108" s="82">
        <f>IF($A108="","",INDEX(DM_SLHT,16))</f>
        <v/>
      </c>
      <c r="D108" s="82">
        <f>IF($A108="","",INDEX(DM_HeSo,16))</f>
        <v/>
      </c>
      <c r="E108" s="82">
        <f>IF($A108="","",$C108*$D108)</f>
        <v/>
      </c>
      <c r="F108" s="82">
        <f>IF($A108="","",IF(SUM($E93:$E172)=0,0,hpTong*$E108/SUM($E93:$E172)))</f>
        <v/>
      </c>
      <c r="G108" s="82">
        <f>IF($A108="","",IF($C108&lt;=0,"⚠ SL=0",ROUND($F108/$C108,0)))</f>
        <v/>
      </c>
      <c r="H108" s="82">
        <f>IF($A108="","",INDEX(DM_DGDinhMucKH,16))</f>
        <v/>
      </c>
      <c r="I108" s="82">
        <f>IF($A108="","",$C108*$H108)</f>
        <v/>
      </c>
      <c r="J108" s="82">
        <f>IF($A108="","",IF(SUM($I93:$I172)=0,0,$I108*hpTong/SUM($I93:$I172)))</f>
        <v/>
      </c>
      <c r="K108" s="82">
        <f>IF($A108="","",IF($C108&lt;=0,"⚠ SL=0",ROUND($J108/$C108,0)))</f>
        <v/>
      </c>
      <c r="L108" s="82">
        <f>IF($A108="","",IF(pPhuongPhap="Hệ số",$F108,IF(pPhuongPhap="Tỷ lệ",$J108,"(không áp dụng)")))</f>
        <v/>
      </c>
    </row>
    <row r="109" ht="15" customHeight="1" s="54">
      <c r="A109" s="80">
        <f>IF(INDEX(DM_Ma,17)="","",INDEX(DM_Ma,17))</f>
        <v/>
      </c>
      <c r="B109" s="80">
        <f>IF($A109="","",INDEX(DM_Ten,17))</f>
        <v/>
      </c>
      <c r="C109" s="82">
        <f>IF($A109="","",INDEX(DM_SLHT,17))</f>
        <v/>
      </c>
      <c r="D109" s="82">
        <f>IF($A109="","",INDEX(DM_HeSo,17))</f>
        <v/>
      </c>
      <c r="E109" s="82">
        <f>IF($A109="","",$C109*$D109)</f>
        <v/>
      </c>
      <c r="F109" s="82">
        <f>IF($A109="","",IF(SUM($E93:$E172)=0,0,hpTong*$E109/SUM($E93:$E172)))</f>
        <v/>
      </c>
      <c r="G109" s="82">
        <f>IF($A109="","",IF($C109&lt;=0,"⚠ SL=0",ROUND($F109/$C109,0)))</f>
        <v/>
      </c>
      <c r="H109" s="82">
        <f>IF($A109="","",INDEX(DM_DGDinhMucKH,17))</f>
        <v/>
      </c>
      <c r="I109" s="82">
        <f>IF($A109="","",$C109*$H109)</f>
        <v/>
      </c>
      <c r="J109" s="82">
        <f>IF($A109="","",IF(SUM($I93:$I172)=0,0,$I109*hpTong/SUM($I93:$I172)))</f>
        <v/>
      </c>
      <c r="K109" s="82">
        <f>IF($A109="","",IF($C109&lt;=0,"⚠ SL=0",ROUND($J109/$C109,0)))</f>
        <v/>
      </c>
      <c r="L109" s="82">
        <f>IF($A109="","",IF(pPhuongPhap="Hệ số",$F109,IF(pPhuongPhap="Tỷ lệ",$J109,"(không áp dụng)")))</f>
        <v/>
      </c>
    </row>
    <row r="110" ht="15" customHeight="1" s="54">
      <c r="A110" s="80">
        <f>IF(INDEX(DM_Ma,18)="","",INDEX(DM_Ma,18))</f>
        <v/>
      </c>
      <c r="B110" s="80">
        <f>IF($A110="","",INDEX(DM_Ten,18))</f>
        <v/>
      </c>
      <c r="C110" s="82">
        <f>IF($A110="","",INDEX(DM_SLHT,18))</f>
        <v/>
      </c>
      <c r="D110" s="82">
        <f>IF($A110="","",INDEX(DM_HeSo,18))</f>
        <v/>
      </c>
      <c r="E110" s="82">
        <f>IF($A110="","",$C110*$D110)</f>
        <v/>
      </c>
      <c r="F110" s="82">
        <f>IF($A110="","",IF(SUM($E93:$E172)=0,0,hpTong*$E110/SUM($E93:$E172)))</f>
        <v/>
      </c>
      <c r="G110" s="82">
        <f>IF($A110="","",IF($C110&lt;=0,"⚠ SL=0",ROUND($F110/$C110,0)))</f>
        <v/>
      </c>
      <c r="H110" s="82">
        <f>IF($A110="","",INDEX(DM_DGDinhMucKH,18))</f>
        <v/>
      </c>
      <c r="I110" s="82">
        <f>IF($A110="","",$C110*$H110)</f>
        <v/>
      </c>
      <c r="J110" s="82">
        <f>IF($A110="","",IF(SUM($I93:$I172)=0,0,$I110*hpTong/SUM($I93:$I172)))</f>
        <v/>
      </c>
      <c r="K110" s="82">
        <f>IF($A110="","",IF($C110&lt;=0,"⚠ SL=0",ROUND($J110/$C110,0)))</f>
        <v/>
      </c>
      <c r="L110" s="82">
        <f>IF($A110="","",IF(pPhuongPhap="Hệ số",$F110,IF(pPhuongPhap="Tỷ lệ",$J110,"(không áp dụng)")))</f>
        <v/>
      </c>
    </row>
    <row r="111" ht="15" customHeight="1" s="54">
      <c r="A111" s="80">
        <f>IF(INDEX(DM_Ma,19)="","",INDEX(DM_Ma,19))</f>
        <v/>
      </c>
      <c r="B111" s="80">
        <f>IF($A111="","",INDEX(DM_Ten,19))</f>
        <v/>
      </c>
      <c r="C111" s="82">
        <f>IF($A111="","",INDEX(DM_SLHT,19))</f>
        <v/>
      </c>
      <c r="D111" s="82">
        <f>IF($A111="","",INDEX(DM_HeSo,19))</f>
        <v/>
      </c>
      <c r="E111" s="82">
        <f>IF($A111="","",$C111*$D111)</f>
        <v/>
      </c>
      <c r="F111" s="82">
        <f>IF($A111="","",IF(SUM($E93:$E172)=0,0,hpTong*$E111/SUM($E93:$E172)))</f>
        <v/>
      </c>
      <c r="G111" s="82">
        <f>IF($A111="","",IF($C111&lt;=0,"⚠ SL=0",ROUND($F111/$C111,0)))</f>
        <v/>
      </c>
      <c r="H111" s="82">
        <f>IF($A111="","",INDEX(DM_DGDinhMucKH,19))</f>
        <v/>
      </c>
      <c r="I111" s="82">
        <f>IF($A111="","",$C111*$H111)</f>
        <v/>
      </c>
      <c r="J111" s="82">
        <f>IF($A111="","",IF(SUM($I93:$I172)=0,0,$I111*hpTong/SUM($I93:$I172)))</f>
        <v/>
      </c>
      <c r="K111" s="82">
        <f>IF($A111="","",IF($C111&lt;=0,"⚠ SL=0",ROUND($J111/$C111,0)))</f>
        <v/>
      </c>
      <c r="L111" s="82">
        <f>IF($A111="","",IF(pPhuongPhap="Hệ số",$F111,IF(pPhuongPhap="Tỷ lệ",$J111,"(không áp dụng)")))</f>
        <v/>
      </c>
    </row>
    <row r="112" ht="15" customHeight="1" s="54">
      <c r="A112" s="80">
        <f>IF(INDEX(DM_Ma,20)="","",INDEX(DM_Ma,20))</f>
        <v/>
      </c>
      <c r="B112" s="80">
        <f>IF($A112="","",INDEX(DM_Ten,20))</f>
        <v/>
      </c>
      <c r="C112" s="82">
        <f>IF($A112="","",INDEX(DM_SLHT,20))</f>
        <v/>
      </c>
      <c r="D112" s="82">
        <f>IF($A112="","",INDEX(DM_HeSo,20))</f>
        <v/>
      </c>
      <c r="E112" s="82">
        <f>IF($A112="","",$C112*$D112)</f>
        <v/>
      </c>
      <c r="F112" s="82">
        <f>IF($A112="","",IF(SUM($E93:$E172)=0,0,hpTong*$E112/SUM($E93:$E172)))</f>
        <v/>
      </c>
      <c r="G112" s="82">
        <f>IF($A112="","",IF($C112&lt;=0,"⚠ SL=0",ROUND($F112/$C112,0)))</f>
        <v/>
      </c>
      <c r="H112" s="82">
        <f>IF($A112="","",INDEX(DM_DGDinhMucKH,20))</f>
        <v/>
      </c>
      <c r="I112" s="82">
        <f>IF($A112="","",$C112*$H112)</f>
        <v/>
      </c>
      <c r="J112" s="82">
        <f>IF($A112="","",IF(SUM($I93:$I172)=0,0,$I112*hpTong/SUM($I93:$I172)))</f>
        <v/>
      </c>
      <c r="K112" s="82">
        <f>IF($A112="","",IF($C112&lt;=0,"⚠ SL=0",ROUND($J112/$C112,0)))</f>
        <v/>
      </c>
      <c r="L112" s="82">
        <f>IF($A112="","",IF(pPhuongPhap="Hệ số",$F112,IF(pPhuongPhap="Tỷ lệ",$J112,"(không áp dụng)")))</f>
        <v/>
      </c>
    </row>
    <row r="113" ht="15" customHeight="1" s="54">
      <c r="A113" s="80">
        <f>IF(INDEX(DM_Ma,21)="","",INDEX(DM_Ma,21))</f>
        <v/>
      </c>
      <c r="B113" s="80">
        <f>IF($A113="","",INDEX(DM_Ten,21))</f>
        <v/>
      </c>
      <c r="C113" s="82">
        <f>IF($A113="","",INDEX(DM_SLHT,21))</f>
        <v/>
      </c>
      <c r="D113" s="82">
        <f>IF($A113="","",INDEX(DM_HeSo,21))</f>
        <v/>
      </c>
      <c r="E113" s="82">
        <f>IF($A113="","",$C113*$D113)</f>
        <v/>
      </c>
      <c r="F113" s="82">
        <f>IF($A113="","",IF(SUM($E93:$E172)=0,0,hpTong*$E113/SUM($E93:$E172)))</f>
        <v/>
      </c>
      <c r="G113" s="82">
        <f>IF($A113="","",IF($C113&lt;=0,"⚠ SL=0",ROUND($F113/$C113,0)))</f>
        <v/>
      </c>
      <c r="H113" s="82">
        <f>IF($A113="","",INDEX(DM_DGDinhMucKH,21))</f>
        <v/>
      </c>
      <c r="I113" s="82">
        <f>IF($A113="","",$C113*$H113)</f>
        <v/>
      </c>
      <c r="J113" s="82">
        <f>IF($A113="","",IF(SUM($I93:$I172)=0,0,$I113*hpTong/SUM($I93:$I172)))</f>
        <v/>
      </c>
      <c r="K113" s="82">
        <f>IF($A113="","",IF($C113&lt;=0,"⚠ SL=0",ROUND($J113/$C113,0)))</f>
        <v/>
      </c>
      <c r="L113" s="82">
        <f>IF($A113="","",IF(pPhuongPhap="Hệ số",$F113,IF(pPhuongPhap="Tỷ lệ",$J113,"(không áp dụng)")))</f>
        <v/>
      </c>
    </row>
    <row r="114" ht="15" customHeight="1" s="54">
      <c r="A114" s="80">
        <f>IF(INDEX(DM_Ma,22)="","",INDEX(DM_Ma,22))</f>
        <v/>
      </c>
      <c r="B114" s="80">
        <f>IF($A114="","",INDEX(DM_Ten,22))</f>
        <v/>
      </c>
      <c r="C114" s="82">
        <f>IF($A114="","",INDEX(DM_SLHT,22))</f>
        <v/>
      </c>
      <c r="D114" s="82">
        <f>IF($A114="","",INDEX(DM_HeSo,22))</f>
        <v/>
      </c>
      <c r="E114" s="82">
        <f>IF($A114="","",$C114*$D114)</f>
        <v/>
      </c>
      <c r="F114" s="82">
        <f>IF($A114="","",IF(SUM($E93:$E172)=0,0,hpTong*$E114/SUM($E93:$E172)))</f>
        <v/>
      </c>
      <c r="G114" s="82">
        <f>IF($A114="","",IF($C114&lt;=0,"⚠ SL=0",ROUND($F114/$C114,0)))</f>
        <v/>
      </c>
      <c r="H114" s="82">
        <f>IF($A114="","",INDEX(DM_DGDinhMucKH,22))</f>
        <v/>
      </c>
      <c r="I114" s="82">
        <f>IF($A114="","",$C114*$H114)</f>
        <v/>
      </c>
      <c r="J114" s="82">
        <f>IF($A114="","",IF(SUM($I93:$I172)=0,0,$I114*hpTong/SUM($I93:$I172)))</f>
        <v/>
      </c>
      <c r="K114" s="82">
        <f>IF($A114="","",IF($C114&lt;=0,"⚠ SL=0",ROUND($J114/$C114,0)))</f>
        <v/>
      </c>
      <c r="L114" s="82">
        <f>IF($A114="","",IF(pPhuongPhap="Hệ số",$F114,IF(pPhuongPhap="Tỷ lệ",$J114,"(không áp dụng)")))</f>
        <v/>
      </c>
    </row>
    <row r="115" ht="15" customHeight="1" s="54">
      <c r="A115" s="80">
        <f>IF(INDEX(DM_Ma,23)="","",INDEX(DM_Ma,23))</f>
        <v/>
      </c>
      <c r="B115" s="80">
        <f>IF($A115="","",INDEX(DM_Ten,23))</f>
        <v/>
      </c>
      <c r="C115" s="82">
        <f>IF($A115="","",INDEX(DM_SLHT,23))</f>
        <v/>
      </c>
      <c r="D115" s="82">
        <f>IF($A115="","",INDEX(DM_HeSo,23))</f>
        <v/>
      </c>
      <c r="E115" s="82">
        <f>IF($A115="","",$C115*$D115)</f>
        <v/>
      </c>
      <c r="F115" s="82">
        <f>IF($A115="","",IF(SUM($E93:$E172)=0,0,hpTong*$E115/SUM($E93:$E172)))</f>
        <v/>
      </c>
      <c r="G115" s="82">
        <f>IF($A115="","",IF($C115&lt;=0,"⚠ SL=0",ROUND($F115/$C115,0)))</f>
        <v/>
      </c>
      <c r="H115" s="82">
        <f>IF($A115="","",INDEX(DM_DGDinhMucKH,23))</f>
        <v/>
      </c>
      <c r="I115" s="82">
        <f>IF($A115="","",$C115*$H115)</f>
        <v/>
      </c>
      <c r="J115" s="82">
        <f>IF($A115="","",IF(SUM($I93:$I172)=0,0,$I115*hpTong/SUM($I93:$I172)))</f>
        <v/>
      </c>
      <c r="K115" s="82">
        <f>IF($A115="","",IF($C115&lt;=0,"⚠ SL=0",ROUND($J115/$C115,0)))</f>
        <v/>
      </c>
      <c r="L115" s="82">
        <f>IF($A115="","",IF(pPhuongPhap="Hệ số",$F115,IF(pPhuongPhap="Tỷ lệ",$J115,"(không áp dụng)")))</f>
        <v/>
      </c>
    </row>
    <row r="116" ht="15" customHeight="1" s="54">
      <c r="A116" s="80">
        <f>IF(INDEX(DM_Ma,24)="","",INDEX(DM_Ma,24))</f>
        <v/>
      </c>
      <c r="B116" s="80">
        <f>IF($A116="","",INDEX(DM_Ten,24))</f>
        <v/>
      </c>
      <c r="C116" s="82">
        <f>IF($A116="","",INDEX(DM_SLHT,24))</f>
        <v/>
      </c>
      <c r="D116" s="82">
        <f>IF($A116="","",INDEX(DM_HeSo,24))</f>
        <v/>
      </c>
      <c r="E116" s="82">
        <f>IF($A116="","",$C116*$D116)</f>
        <v/>
      </c>
      <c r="F116" s="82">
        <f>IF($A116="","",IF(SUM($E93:$E172)=0,0,hpTong*$E116/SUM($E93:$E172)))</f>
        <v/>
      </c>
      <c r="G116" s="82">
        <f>IF($A116="","",IF($C116&lt;=0,"⚠ SL=0",ROUND($F116/$C116,0)))</f>
        <v/>
      </c>
      <c r="H116" s="82">
        <f>IF($A116="","",INDEX(DM_DGDinhMucKH,24))</f>
        <v/>
      </c>
      <c r="I116" s="82">
        <f>IF($A116="","",$C116*$H116)</f>
        <v/>
      </c>
      <c r="J116" s="82">
        <f>IF($A116="","",IF(SUM($I93:$I172)=0,0,$I116*hpTong/SUM($I93:$I172)))</f>
        <v/>
      </c>
      <c r="K116" s="82">
        <f>IF($A116="","",IF($C116&lt;=0,"⚠ SL=0",ROUND($J116/$C116,0)))</f>
        <v/>
      </c>
      <c r="L116" s="82">
        <f>IF($A116="","",IF(pPhuongPhap="Hệ số",$F116,IF(pPhuongPhap="Tỷ lệ",$J116,"(không áp dụng)")))</f>
        <v/>
      </c>
    </row>
    <row r="117" ht="15" customHeight="1" s="54">
      <c r="A117" s="80">
        <f>IF(INDEX(DM_Ma,25)="","",INDEX(DM_Ma,25))</f>
        <v/>
      </c>
      <c r="B117" s="80">
        <f>IF($A117="","",INDEX(DM_Ten,25))</f>
        <v/>
      </c>
      <c r="C117" s="82">
        <f>IF($A117="","",INDEX(DM_SLHT,25))</f>
        <v/>
      </c>
      <c r="D117" s="82">
        <f>IF($A117="","",INDEX(DM_HeSo,25))</f>
        <v/>
      </c>
      <c r="E117" s="82">
        <f>IF($A117="","",$C117*$D117)</f>
        <v/>
      </c>
      <c r="F117" s="82">
        <f>IF($A117="","",IF(SUM($E93:$E172)=0,0,hpTong*$E117/SUM($E93:$E172)))</f>
        <v/>
      </c>
      <c r="G117" s="82">
        <f>IF($A117="","",IF($C117&lt;=0,"⚠ SL=0",ROUND($F117/$C117,0)))</f>
        <v/>
      </c>
      <c r="H117" s="82">
        <f>IF($A117="","",INDEX(DM_DGDinhMucKH,25))</f>
        <v/>
      </c>
      <c r="I117" s="82">
        <f>IF($A117="","",$C117*$H117)</f>
        <v/>
      </c>
      <c r="J117" s="82">
        <f>IF($A117="","",IF(SUM($I93:$I172)=0,0,$I117*hpTong/SUM($I93:$I172)))</f>
        <v/>
      </c>
      <c r="K117" s="82">
        <f>IF($A117="","",IF($C117&lt;=0,"⚠ SL=0",ROUND($J117/$C117,0)))</f>
        <v/>
      </c>
      <c r="L117" s="82">
        <f>IF($A117="","",IF(pPhuongPhap="Hệ số",$F117,IF(pPhuongPhap="Tỷ lệ",$J117,"(không áp dụng)")))</f>
        <v/>
      </c>
    </row>
    <row r="118" ht="15" customHeight="1" s="54">
      <c r="A118" s="80">
        <f>IF(INDEX(DM_Ma,26)="","",INDEX(DM_Ma,26))</f>
        <v/>
      </c>
      <c r="B118" s="80">
        <f>IF($A118="","",INDEX(DM_Ten,26))</f>
        <v/>
      </c>
      <c r="C118" s="82">
        <f>IF($A118="","",INDEX(DM_SLHT,26))</f>
        <v/>
      </c>
      <c r="D118" s="82">
        <f>IF($A118="","",INDEX(DM_HeSo,26))</f>
        <v/>
      </c>
      <c r="E118" s="82">
        <f>IF($A118="","",$C118*$D118)</f>
        <v/>
      </c>
      <c r="F118" s="82">
        <f>IF($A118="","",IF(SUM($E93:$E172)=0,0,hpTong*$E118/SUM($E93:$E172)))</f>
        <v/>
      </c>
      <c r="G118" s="82">
        <f>IF($A118="","",IF($C118&lt;=0,"⚠ SL=0",ROUND($F118/$C118,0)))</f>
        <v/>
      </c>
      <c r="H118" s="82">
        <f>IF($A118="","",INDEX(DM_DGDinhMucKH,26))</f>
        <v/>
      </c>
      <c r="I118" s="82">
        <f>IF($A118="","",$C118*$H118)</f>
        <v/>
      </c>
      <c r="J118" s="82">
        <f>IF($A118="","",IF(SUM($I93:$I172)=0,0,$I118*hpTong/SUM($I93:$I172)))</f>
        <v/>
      </c>
      <c r="K118" s="82">
        <f>IF($A118="","",IF($C118&lt;=0,"⚠ SL=0",ROUND($J118/$C118,0)))</f>
        <v/>
      </c>
      <c r="L118" s="82">
        <f>IF($A118="","",IF(pPhuongPhap="Hệ số",$F118,IF(pPhuongPhap="Tỷ lệ",$J118,"(không áp dụng)")))</f>
        <v/>
      </c>
    </row>
    <row r="119" ht="15" customHeight="1" s="54">
      <c r="A119" s="80">
        <f>IF(INDEX(DM_Ma,27)="","",INDEX(DM_Ma,27))</f>
        <v/>
      </c>
      <c r="B119" s="80">
        <f>IF($A119="","",INDEX(DM_Ten,27))</f>
        <v/>
      </c>
      <c r="C119" s="82">
        <f>IF($A119="","",INDEX(DM_SLHT,27))</f>
        <v/>
      </c>
      <c r="D119" s="82">
        <f>IF($A119="","",INDEX(DM_HeSo,27))</f>
        <v/>
      </c>
      <c r="E119" s="82">
        <f>IF($A119="","",$C119*$D119)</f>
        <v/>
      </c>
      <c r="F119" s="82">
        <f>IF($A119="","",IF(SUM($E93:$E172)=0,0,hpTong*$E119/SUM($E93:$E172)))</f>
        <v/>
      </c>
      <c r="G119" s="82">
        <f>IF($A119="","",IF($C119&lt;=0,"⚠ SL=0",ROUND($F119/$C119,0)))</f>
        <v/>
      </c>
      <c r="H119" s="82">
        <f>IF($A119="","",INDEX(DM_DGDinhMucKH,27))</f>
        <v/>
      </c>
      <c r="I119" s="82">
        <f>IF($A119="","",$C119*$H119)</f>
        <v/>
      </c>
      <c r="J119" s="82">
        <f>IF($A119="","",IF(SUM($I93:$I172)=0,0,$I119*hpTong/SUM($I93:$I172)))</f>
        <v/>
      </c>
      <c r="K119" s="82">
        <f>IF($A119="","",IF($C119&lt;=0,"⚠ SL=0",ROUND($J119/$C119,0)))</f>
        <v/>
      </c>
      <c r="L119" s="82">
        <f>IF($A119="","",IF(pPhuongPhap="Hệ số",$F119,IF(pPhuongPhap="Tỷ lệ",$J119,"(không áp dụng)")))</f>
        <v/>
      </c>
    </row>
    <row r="120" ht="15" customHeight="1" s="54">
      <c r="A120" s="80">
        <f>IF(INDEX(DM_Ma,28)="","",INDEX(DM_Ma,28))</f>
        <v/>
      </c>
      <c r="B120" s="80">
        <f>IF($A120="","",INDEX(DM_Ten,28))</f>
        <v/>
      </c>
      <c r="C120" s="82">
        <f>IF($A120="","",INDEX(DM_SLHT,28))</f>
        <v/>
      </c>
      <c r="D120" s="82">
        <f>IF($A120="","",INDEX(DM_HeSo,28))</f>
        <v/>
      </c>
      <c r="E120" s="82">
        <f>IF($A120="","",$C120*$D120)</f>
        <v/>
      </c>
      <c r="F120" s="82">
        <f>IF($A120="","",IF(SUM($E93:$E172)=0,0,hpTong*$E120/SUM($E93:$E172)))</f>
        <v/>
      </c>
      <c r="G120" s="82">
        <f>IF($A120="","",IF($C120&lt;=0,"⚠ SL=0",ROUND($F120/$C120,0)))</f>
        <v/>
      </c>
      <c r="H120" s="82">
        <f>IF($A120="","",INDEX(DM_DGDinhMucKH,28))</f>
        <v/>
      </c>
      <c r="I120" s="82">
        <f>IF($A120="","",$C120*$H120)</f>
        <v/>
      </c>
      <c r="J120" s="82">
        <f>IF($A120="","",IF(SUM($I93:$I172)=0,0,$I120*hpTong/SUM($I93:$I172)))</f>
        <v/>
      </c>
      <c r="K120" s="82">
        <f>IF($A120="","",IF($C120&lt;=0,"⚠ SL=0",ROUND($J120/$C120,0)))</f>
        <v/>
      </c>
      <c r="L120" s="82">
        <f>IF($A120="","",IF(pPhuongPhap="Hệ số",$F120,IF(pPhuongPhap="Tỷ lệ",$J120,"(không áp dụng)")))</f>
        <v/>
      </c>
    </row>
    <row r="121" ht="15" customHeight="1" s="54">
      <c r="A121" s="80">
        <f>IF(INDEX(DM_Ma,29)="","",INDEX(DM_Ma,29))</f>
        <v/>
      </c>
      <c r="B121" s="80">
        <f>IF($A121="","",INDEX(DM_Ten,29))</f>
        <v/>
      </c>
      <c r="C121" s="82">
        <f>IF($A121="","",INDEX(DM_SLHT,29))</f>
        <v/>
      </c>
      <c r="D121" s="82">
        <f>IF($A121="","",INDEX(DM_HeSo,29))</f>
        <v/>
      </c>
      <c r="E121" s="82">
        <f>IF($A121="","",$C121*$D121)</f>
        <v/>
      </c>
      <c r="F121" s="82">
        <f>IF($A121="","",IF(SUM($E93:$E172)=0,0,hpTong*$E121/SUM($E93:$E172)))</f>
        <v/>
      </c>
      <c r="G121" s="82">
        <f>IF($A121="","",IF($C121&lt;=0,"⚠ SL=0",ROUND($F121/$C121,0)))</f>
        <v/>
      </c>
      <c r="H121" s="82">
        <f>IF($A121="","",INDEX(DM_DGDinhMucKH,29))</f>
        <v/>
      </c>
      <c r="I121" s="82">
        <f>IF($A121="","",$C121*$H121)</f>
        <v/>
      </c>
      <c r="J121" s="82">
        <f>IF($A121="","",IF(SUM($I93:$I172)=0,0,$I121*hpTong/SUM($I93:$I172)))</f>
        <v/>
      </c>
      <c r="K121" s="82">
        <f>IF($A121="","",IF($C121&lt;=0,"⚠ SL=0",ROUND($J121/$C121,0)))</f>
        <v/>
      </c>
      <c r="L121" s="82">
        <f>IF($A121="","",IF(pPhuongPhap="Hệ số",$F121,IF(pPhuongPhap="Tỷ lệ",$J121,"(không áp dụng)")))</f>
        <v/>
      </c>
    </row>
    <row r="122" ht="15" customHeight="1" s="54">
      <c r="A122" s="80">
        <f>IF(INDEX(DM_Ma,30)="","",INDEX(DM_Ma,30))</f>
        <v/>
      </c>
      <c r="B122" s="80">
        <f>IF($A122="","",INDEX(DM_Ten,30))</f>
        <v/>
      </c>
      <c r="C122" s="82">
        <f>IF($A122="","",INDEX(DM_SLHT,30))</f>
        <v/>
      </c>
      <c r="D122" s="82">
        <f>IF($A122="","",INDEX(DM_HeSo,30))</f>
        <v/>
      </c>
      <c r="E122" s="82">
        <f>IF($A122="","",$C122*$D122)</f>
        <v/>
      </c>
      <c r="F122" s="82">
        <f>IF($A122="","",IF(SUM($E93:$E172)=0,0,hpTong*$E122/SUM($E93:$E172)))</f>
        <v/>
      </c>
      <c r="G122" s="82">
        <f>IF($A122="","",IF($C122&lt;=0,"⚠ SL=0",ROUND($F122/$C122,0)))</f>
        <v/>
      </c>
      <c r="H122" s="82">
        <f>IF($A122="","",INDEX(DM_DGDinhMucKH,30))</f>
        <v/>
      </c>
      <c r="I122" s="82">
        <f>IF($A122="","",$C122*$H122)</f>
        <v/>
      </c>
      <c r="J122" s="82">
        <f>IF($A122="","",IF(SUM($I93:$I172)=0,0,$I122*hpTong/SUM($I93:$I172)))</f>
        <v/>
      </c>
      <c r="K122" s="82">
        <f>IF($A122="","",IF($C122&lt;=0,"⚠ SL=0",ROUND($J122/$C122,0)))</f>
        <v/>
      </c>
      <c r="L122" s="82">
        <f>IF($A122="","",IF(pPhuongPhap="Hệ số",$F122,IF(pPhuongPhap="Tỷ lệ",$J122,"(không áp dụng)")))</f>
        <v/>
      </c>
    </row>
    <row r="123" ht="15" customHeight="1" s="54">
      <c r="A123" s="80">
        <f>IF(INDEX(DM_Ma,31)="","",INDEX(DM_Ma,31))</f>
        <v/>
      </c>
      <c r="B123" s="80">
        <f>IF($A123="","",INDEX(DM_Ten,31))</f>
        <v/>
      </c>
      <c r="C123" s="82">
        <f>IF($A123="","",INDEX(DM_SLHT,31))</f>
        <v/>
      </c>
      <c r="D123" s="82">
        <f>IF($A123="","",INDEX(DM_HeSo,31))</f>
        <v/>
      </c>
      <c r="E123" s="82">
        <f>IF($A123="","",$C123*$D123)</f>
        <v/>
      </c>
      <c r="F123" s="82">
        <f>IF($A123="","",IF(SUM($E93:$E172)=0,0,hpTong*$E123/SUM($E93:$E172)))</f>
        <v/>
      </c>
      <c r="G123" s="82">
        <f>IF($A123="","",IF($C123&lt;=0,"⚠ SL=0",ROUND($F123/$C123,0)))</f>
        <v/>
      </c>
      <c r="H123" s="82">
        <f>IF($A123="","",INDEX(DM_DGDinhMucKH,31))</f>
        <v/>
      </c>
      <c r="I123" s="82">
        <f>IF($A123="","",$C123*$H123)</f>
        <v/>
      </c>
      <c r="J123" s="82">
        <f>IF($A123="","",IF(SUM($I93:$I172)=0,0,$I123*hpTong/SUM($I93:$I172)))</f>
        <v/>
      </c>
      <c r="K123" s="82">
        <f>IF($A123="","",IF($C123&lt;=0,"⚠ SL=0",ROUND($J123/$C123,0)))</f>
        <v/>
      </c>
      <c r="L123" s="82">
        <f>IF($A123="","",IF(pPhuongPhap="Hệ số",$F123,IF(pPhuongPhap="Tỷ lệ",$J123,"(không áp dụng)")))</f>
        <v/>
      </c>
    </row>
    <row r="124" ht="15" customHeight="1" s="54">
      <c r="A124" s="80">
        <f>IF(INDEX(DM_Ma,32)="","",INDEX(DM_Ma,32))</f>
        <v/>
      </c>
      <c r="B124" s="80">
        <f>IF($A124="","",INDEX(DM_Ten,32))</f>
        <v/>
      </c>
      <c r="C124" s="82">
        <f>IF($A124="","",INDEX(DM_SLHT,32))</f>
        <v/>
      </c>
      <c r="D124" s="82">
        <f>IF($A124="","",INDEX(DM_HeSo,32))</f>
        <v/>
      </c>
      <c r="E124" s="82">
        <f>IF($A124="","",$C124*$D124)</f>
        <v/>
      </c>
      <c r="F124" s="82">
        <f>IF($A124="","",IF(SUM($E93:$E172)=0,0,hpTong*$E124/SUM($E93:$E172)))</f>
        <v/>
      </c>
      <c r="G124" s="82">
        <f>IF($A124="","",IF($C124&lt;=0,"⚠ SL=0",ROUND($F124/$C124,0)))</f>
        <v/>
      </c>
      <c r="H124" s="82">
        <f>IF($A124="","",INDEX(DM_DGDinhMucKH,32))</f>
        <v/>
      </c>
      <c r="I124" s="82">
        <f>IF($A124="","",$C124*$H124)</f>
        <v/>
      </c>
      <c r="J124" s="82">
        <f>IF($A124="","",IF(SUM($I93:$I172)=0,0,$I124*hpTong/SUM($I93:$I172)))</f>
        <v/>
      </c>
      <c r="K124" s="82">
        <f>IF($A124="","",IF($C124&lt;=0,"⚠ SL=0",ROUND($J124/$C124,0)))</f>
        <v/>
      </c>
      <c r="L124" s="82">
        <f>IF($A124="","",IF(pPhuongPhap="Hệ số",$F124,IF(pPhuongPhap="Tỷ lệ",$J124,"(không áp dụng)")))</f>
        <v/>
      </c>
    </row>
    <row r="125" ht="15" customHeight="1" s="54">
      <c r="A125" s="80">
        <f>IF(INDEX(DM_Ma,33)="","",INDEX(DM_Ma,33))</f>
        <v/>
      </c>
      <c r="B125" s="80">
        <f>IF($A125="","",INDEX(DM_Ten,33))</f>
        <v/>
      </c>
      <c r="C125" s="82">
        <f>IF($A125="","",INDEX(DM_SLHT,33))</f>
        <v/>
      </c>
      <c r="D125" s="82">
        <f>IF($A125="","",INDEX(DM_HeSo,33))</f>
        <v/>
      </c>
      <c r="E125" s="82">
        <f>IF($A125="","",$C125*$D125)</f>
        <v/>
      </c>
      <c r="F125" s="82">
        <f>IF($A125="","",IF(SUM($E93:$E172)=0,0,hpTong*$E125/SUM($E93:$E172)))</f>
        <v/>
      </c>
      <c r="G125" s="82">
        <f>IF($A125="","",IF($C125&lt;=0,"⚠ SL=0",ROUND($F125/$C125,0)))</f>
        <v/>
      </c>
      <c r="H125" s="82">
        <f>IF($A125="","",INDEX(DM_DGDinhMucKH,33))</f>
        <v/>
      </c>
      <c r="I125" s="82">
        <f>IF($A125="","",$C125*$H125)</f>
        <v/>
      </c>
      <c r="J125" s="82">
        <f>IF($A125="","",IF(SUM($I93:$I172)=0,0,$I125*hpTong/SUM($I93:$I172)))</f>
        <v/>
      </c>
      <c r="K125" s="82">
        <f>IF($A125="","",IF($C125&lt;=0,"⚠ SL=0",ROUND($J125/$C125,0)))</f>
        <v/>
      </c>
      <c r="L125" s="82">
        <f>IF($A125="","",IF(pPhuongPhap="Hệ số",$F125,IF(pPhuongPhap="Tỷ lệ",$J125,"(không áp dụng)")))</f>
        <v/>
      </c>
    </row>
    <row r="126" ht="15" customHeight="1" s="54">
      <c r="A126" s="80">
        <f>IF(INDEX(DM_Ma,34)="","",INDEX(DM_Ma,34))</f>
        <v/>
      </c>
      <c r="B126" s="80">
        <f>IF($A126="","",INDEX(DM_Ten,34))</f>
        <v/>
      </c>
      <c r="C126" s="82">
        <f>IF($A126="","",INDEX(DM_SLHT,34))</f>
        <v/>
      </c>
      <c r="D126" s="82">
        <f>IF($A126="","",INDEX(DM_HeSo,34))</f>
        <v/>
      </c>
      <c r="E126" s="82">
        <f>IF($A126="","",$C126*$D126)</f>
        <v/>
      </c>
      <c r="F126" s="82">
        <f>IF($A126="","",IF(SUM($E93:$E172)=0,0,hpTong*$E126/SUM($E93:$E172)))</f>
        <v/>
      </c>
      <c r="G126" s="82">
        <f>IF($A126="","",IF($C126&lt;=0,"⚠ SL=0",ROUND($F126/$C126,0)))</f>
        <v/>
      </c>
      <c r="H126" s="82">
        <f>IF($A126="","",INDEX(DM_DGDinhMucKH,34))</f>
        <v/>
      </c>
      <c r="I126" s="82">
        <f>IF($A126="","",$C126*$H126)</f>
        <v/>
      </c>
      <c r="J126" s="82">
        <f>IF($A126="","",IF(SUM($I93:$I172)=0,0,$I126*hpTong/SUM($I93:$I172)))</f>
        <v/>
      </c>
      <c r="K126" s="82">
        <f>IF($A126="","",IF($C126&lt;=0,"⚠ SL=0",ROUND($J126/$C126,0)))</f>
        <v/>
      </c>
      <c r="L126" s="82">
        <f>IF($A126="","",IF(pPhuongPhap="Hệ số",$F126,IF(pPhuongPhap="Tỷ lệ",$J126,"(không áp dụng)")))</f>
        <v/>
      </c>
    </row>
    <row r="127" ht="15" customHeight="1" s="54">
      <c r="A127" s="80">
        <f>IF(INDEX(DM_Ma,35)="","",INDEX(DM_Ma,35))</f>
        <v/>
      </c>
      <c r="B127" s="80">
        <f>IF($A127="","",INDEX(DM_Ten,35))</f>
        <v/>
      </c>
      <c r="C127" s="82">
        <f>IF($A127="","",INDEX(DM_SLHT,35))</f>
        <v/>
      </c>
      <c r="D127" s="82">
        <f>IF($A127="","",INDEX(DM_HeSo,35))</f>
        <v/>
      </c>
      <c r="E127" s="82">
        <f>IF($A127="","",$C127*$D127)</f>
        <v/>
      </c>
      <c r="F127" s="82">
        <f>IF($A127="","",IF(SUM($E93:$E172)=0,0,hpTong*$E127/SUM($E93:$E172)))</f>
        <v/>
      </c>
      <c r="G127" s="82">
        <f>IF($A127="","",IF($C127&lt;=0,"⚠ SL=0",ROUND($F127/$C127,0)))</f>
        <v/>
      </c>
      <c r="H127" s="82">
        <f>IF($A127="","",INDEX(DM_DGDinhMucKH,35))</f>
        <v/>
      </c>
      <c r="I127" s="82">
        <f>IF($A127="","",$C127*$H127)</f>
        <v/>
      </c>
      <c r="J127" s="82">
        <f>IF($A127="","",IF(SUM($I93:$I172)=0,0,$I127*hpTong/SUM($I93:$I172)))</f>
        <v/>
      </c>
      <c r="K127" s="82">
        <f>IF($A127="","",IF($C127&lt;=0,"⚠ SL=0",ROUND($J127/$C127,0)))</f>
        <v/>
      </c>
      <c r="L127" s="82">
        <f>IF($A127="","",IF(pPhuongPhap="Hệ số",$F127,IF(pPhuongPhap="Tỷ lệ",$J127,"(không áp dụng)")))</f>
        <v/>
      </c>
    </row>
    <row r="128" ht="15" customHeight="1" s="54">
      <c r="A128" s="80">
        <f>IF(INDEX(DM_Ma,36)="","",INDEX(DM_Ma,36))</f>
        <v/>
      </c>
      <c r="B128" s="80">
        <f>IF($A128="","",INDEX(DM_Ten,36))</f>
        <v/>
      </c>
      <c r="C128" s="82">
        <f>IF($A128="","",INDEX(DM_SLHT,36))</f>
        <v/>
      </c>
      <c r="D128" s="82">
        <f>IF($A128="","",INDEX(DM_HeSo,36))</f>
        <v/>
      </c>
      <c r="E128" s="82">
        <f>IF($A128="","",$C128*$D128)</f>
        <v/>
      </c>
      <c r="F128" s="82">
        <f>IF($A128="","",IF(SUM($E93:$E172)=0,0,hpTong*$E128/SUM($E93:$E172)))</f>
        <v/>
      </c>
      <c r="G128" s="82">
        <f>IF($A128="","",IF($C128&lt;=0,"⚠ SL=0",ROUND($F128/$C128,0)))</f>
        <v/>
      </c>
      <c r="H128" s="82">
        <f>IF($A128="","",INDEX(DM_DGDinhMucKH,36))</f>
        <v/>
      </c>
      <c r="I128" s="82">
        <f>IF($A128="","",$C128*$H128)</f>
        <v/>
      </c>
      <c r="J128" s="82">
        <f>IF($A128="","",IF(SUM($I93:$I172)=0,0,$I128*hpTong/SUM($I93:$I172)))</f>
        <v/>
      </c>
      <c r="K128" s="82">
        <f>IF($A128="","",IF($C128&lt;=0,"⚠ SL=0",ROUND($J128/$C128,0)))</f>
        <v/>
      </c>
      <c r="L128" s="82">
        <f>IF($A128="","",IF(pPhuongPhap="Hệ số",$F128,IF(pPhuongPhap="Tỷ lệ",$J128,"(không áp dụng)")))</f>
        <v/>
      </c>
    </row>
    <row r="129" ht="15" customHeight="1" s="54">
      <c r="A129" s="80">
        <f>IF(INDEX(DM_Ma,37)="","",INDEX(DM_Ma,37))</f>
        <v/>
      </c>
      <c r="B129" s="80">
        <f>IF($A129="","",INDEX(DM_Ten,37))</f>
        <v/>
      </c>
      <c r="C129" s="82">
        <f>IF($A129="","",INDEX(DM_SLHT,37))</f>
        <v/>
      </c>
      <c r="D129" s="82">
        <f>IF($A129="","",INDEX(DM_HeSo,37))</f>
        <v/>
      </c>
      <c r="E129" s="82">
        <f>IF($A129="","",$C129*$D129)</f>
        <v/>
      </c>
      <c r="F129" s="82">
        <f>IF($A129="","",IF(SUM($E93:$E172)=0,0,hpTong*$E129/SUM($E93:$E172)))</f>
        <v/>
      </c>
      <c r="G129" s="82">
        <f>IF($A129="","",IF($C129&lt;=0,"⚠ SL=0",ROUND($F129/$C129,0)))</f>
        <v/>
      </c>
      <c r="H129" s="82">
        <f>IF($A129="","",INDEX(DM_DGDinhMucKH,37))</f>
        <v/>
      </c>
      <c r="I129" s="82">
        <f>IF($A129="","",$C129*$H129)</f>
        <v/>
      </c>
      <c r="J129" s="82">
        <f>IF($A129="","",IF(SUM($I93:$I172)=0,0,$I129*hpTong/SUM($I93:$I172)))</f>
        <v/>
      </c>
      <c r="K129" s="82">
        <f>IF($A129="","",IF($C129&lt;=0,"⚠ SL=0",ROUND($J129/$C129,0)))</f>
        <v/>
      </c>
      <c r="L129" s="82">
        <f>IF($A129="","",IF(pPhuongPhap="Hệ số",$F129,IF(pPhuongPhap="Tỷ lệ",$J129,"(không áp dụng)")))</f>
        <v/>
      </c>
    </row>
    <row r="130" ht="15" customHeight="1" s="54">
      <c r="A130" s="80">
        <f>IF(INDEX(DM_Ma,38)="","",INDEX(DM_Ma,38))</f>
        <v/>
      </c>
      <c r="B130" s="80">
        <f>IF($A130="","",INDEX(DM_Ten,38))</f>
        <v/>
      </c>
      <c r="C130" s="82">
        <f>IF($A130="","",INDEX(DM_SLHT,38))</f>
        <v/>
      </c>
      <c r="D130" s="82">
        <f>IF($A130="","",INDEX(DM_HeSo,38))</f>
        <v/>
      </c>
      <c r="E130" s="82">
        <f>IF($A130="","",$C130*$D130)</f>
        <v/>
      </c>
      <c r="F130" s="82">
        <f>IF($A130="","",IF(SUM($E93:$E172)=0,0,hpTong*$E130/SUM($E93:$E172)))</f>
        <v/>
      </c>
      <c r="G130" s="82">
        <f>IF($A130="","",IF($C130&lt;=0,"⚠ SL=0",ROUND($F130/$C130,0)))</f>
        <v/>
      </c>
      <c r="H130" s="82">
        <f>IF($A130="","",INDEX(DM_DGDinhMucKH,38))</f>
        <v/>
      </c>
      <c r="I130" s="82">
        <f>IF($A130="","",$C130*$H130)</f>
        <v/>
      </c>
      <c r="J130" s="82">
        <f>IF($A130="","",IF(SUM($I93:$I172)=0,0,$I130*hpTong/SUM($I93:$I172)))</f>
        <v/>
      </c>
      <c r="K130" s="82">
        <f>IF($A130="","",IF($C130&lt;=0,"⚠ SL=0",ROUND($J130/$C130,0)))</f>
        <v/>
      </c>
      <c r="L130" s="82">
        <f>IF($A130="","",IF(pPhuongPhap="Hệ số",$F130,IF(pPhuongPhap="Tỷ lệ",$J130,"(không áp dụng)")))</f>
        <v/>
      </c>
    </row>
    <row r="131" ht="15" customHeight="1" s="54">
      <c r="A131" s="80">
        <f>IF(INDEX(DM_Ma,39)="","",INDEX(DM_Ma,39))</f>
        <v/>
      </c>
      <c r="B131" s="80">
        <f>IF($A131="","",INDEX(DM_Ten,39))</f>
        <v/>
      </c>
      <c r="C131" s="82">
        <f>IF($A131="","",INDEX(DM_SLHT,39))</f>
        <v/>
      </c>
      <c r="D131" s="82">
        <f>IF($A131="","",INDEX(DM_HeSo,39))</f>
        <v/>
      </c>
      <c r="E131" s="82">
        <f>IF($A131="","",$C131*$D131)</f>
        <v/>
      </c>
      <c r="F131" s="82">
        <f>IF($A131="","",IF(SUM($E93:$E172)=0,0,hpTong*$E131/SUM($E93:$E172)))</f>
        <v/>
      </c>
      <c r="G131" s="82">
        <f>IF($A131="","",IF($C131&lt;=0,"⚠ SL=0",ROUND($F131/$C131,0)))</f>
        <v/>
      </c>
      <c r="H131" s="82">
        <f>IF($A131="","",INDEX(DM_DGDinhMucKH,39))</f>
        <v/>
      </c>
      <c r="I131" s="82">
        <f>IF($A131="","",$C131*$H131)</f>
        <v/>
      </c>
      <c r="J131" s="82">
        <f>IF($A131="","",IF(SUM($I93:$I172)=0,0,$I131*hpTong/SUM($I93:$I172)))</f>
        <v/>
      </c>
      <c r="K131" s="82">
        <f>IF($A131="","",IF($C131&lt;=0,"⚠ SL=0",ROUND($J131/$C131,0)))</f>
        <v/>
      </c>
      <c r="L131" s="82">
        <f>IF($A131="","",IF(pPhuongPhap="Hệ số",$F131,IF(pPhuongPhap="Tỷ lệ",$J131,"(không áp dụng)")))</f>
        <v/>
      </c>
    </row>
    <row r="132" ht="15" customHeight="1" s="54">
      <c r="A132" s="80">
        <f>IF(INDEX(DM_Ma,40)="","",INDEX(DM_Ma,40))</f>
        <v/>
      </c>
      <c r="B132" s="80">
        <f>IF($A132="","",INDEX(DM_Ten,40))</f>
        <v/>
      </c>
      <c r="C132" s="82">
        <f>IF($A132="","",INDEX(DM_SLHT,40))</f>
        <v/>
      </c>
      <c r="D132" s="82">
        <f>IF($A132="","",INDEX(DM_HeSo,40))</f>
        <v/>
      </c>
      <c r="E132" s="82">
        <f>IF($A132="","",$C132*$D132)</f>
        <v/>
      </c>
      <c r="F132" s="82">
        <f>IF($A132="","",IF(SUM($E93:$E172)=0,0,hpTong*$E132/SUM($E93:$E172)))</f>
        <v/>
      </c>
      <c r="G132" s="82">
        <f>IF($A132="","",IF($C132&lt;=0,"⚠ SL=0",ROUND($F132/$C132,0)))</f>
        <v/>
      </c>
      <c r="H132" s="82">
        <f>IF($A132="","",INDEX(DM_DGDinhMucKH,40))</f>
        <v/>
      </c>
      <c r="I132" s="82">
        <f>IF($A132="","",$C132*$H132)</f>
        <v/>
      </c>
      <c r="J132" s="82">
        <f>IF($A132="","",IF(SUM($I93:$I172)=0,0,$I132*hpTong/SUM($I93:$I172)))</f>
        <v/>
      </c>
      <c r="K132" s="82">
        <f>IF($A132="","",IF($C132&lt;=0,"⚠ SL=0",ROUND($J132/$C132,0)))</f>
        <v/>
      </c>
      <c r="L132" s="82">
        <f>IF($A132="","",IF(pPhuongPhap="Hệ số",$F132,IF(pPhuongPhap="Tỷ lệ",$J132,"(không áp dụng)")))</f>
        <v/>
      </c>
    </row>
    <row r="133" ht="15" customHeight="1" s="54">
      <c r="A133" s="80">
        <f>IF(INDEX(DM_Ma,41)="","",INDEX(DM_Ma,41))</f>
        <v/>
      </c>
      <c r="B133" s="80">
        <f>IF($A133="","",INDEX(DM_Ten,41))</f>
        <v/>
      </c>
      <c r="C133" s="82">
        <f>IF($A133="","",INDEX(DM_SLHT,41))</f>
        <v/>
      </c>
      <c r="D133" s="82">
        <f>IF($A133="","",INDEX(DM_HeSo,41))</f>
        <v/>
      </c>
      <c r="E133" s="82">
        <f>IF($A133="","",$C133*$D133)</f>
        <v/>
      </c>
      <c r="F133" s="82">
        <f>IF($A133="","",IF(SUM($E93:$E172)=0,0,hpTong*$E133/SUM($E93:$E172)))</f>
        <v/>
      </c>
      <c r="G133" s="82">
        <f>IF($A133="","",IF($C133&lt;=0,"⚠ SL=0",ROUND($F133/$C133,0)))</f>
        <v/>
      </c>
      <c r="H133" s="82">
        <f>IF($A133="","",INDEX(DM_DGDinhMucKH,41))</f>
        <v/>
      </c>
      <c r="I133" s="82">
        <f>IF($A133="","",$C133*$H133)</f>
        <v/>
      </c>
      <c r="J133" s="82">
        <f>IF($A133="","",IF(SUM($I93:$I172)=0,0,$I133*hpTong/SUM($I93:$I172)))</f>
        <v/>
      </c>
      <c r="K133" s="82">
        <f>IF($A133="","",IF($C133&lt;=0,"⚠ SL=0",ROUND($J133/$C133,0)))</f>
        <v/>
      </c>
      <c r="L133" s="82">
        <f>IF($A133="","",IF(pPhuongPhap="Hệ số",$F133,IF(pPhuongPhap="Tỷ lệ",$J133,"(không áp dụng)")))</f>
        <v/>
      </c>
    </row>
    <row r="134" ht="15" customHeight="1" s="54">
      <c r="A134" s="80">
        <f>IF(INDEX(DM_Ma,42)="","",INDEX(DM_Ma,42))</f>
        <v/>
      </c>
      <c r="B134" s="80">
        <f>IF($A134="","",INDEX(DM_Ten,42))</f>
        <v/>
      </c>
      <c r="C134" s="82">
        <f>IF($A134="","",INDEX(DM_SLHT,42))</f>
        <v/>
      </c>
      <c r="D134" s="82">
        <f>IF($A134="","",INDEX(DM_HeSo,42))</f>
        <v/>
      </c>
      <c r="E134" s="82">
        <f>IF($A134="","",$C134*$D134)</f>
        <v/>
      </c>
      <c r="F134" s="82">
        <f>IF($A134="","",IF(SUM($E93:$E172)=0,0,hpTong*$E134/SUM($E93:$E172)))</f>
        <v/>
      </c>
      <c r="G134" s="82">
        <f>IF($A134="","",IF($C134&lt;=0,"⚠ SL=0",ROUND($F134/$C134,0)))</f>
        <v/>
      </c>
      <c r="H134" s="82">
        <f>IF($A134="","",INDEX(DM_DGDinhMucKH,42))</f>
        <v/>
      </c>
      <c r="I134" s="82">
        <f>IF($A134="","",$C134*$H134)</f>
        <v/>
      </c>
      <c r="J134" s="82">
        <f>IF($A134="","",IF(SUM($I93:$I172)=0,0,$I134*hpTong/SUM($I93:$I172)))</f>
        <v/>
      </c>
      <c r="K134" s="82">
        <f>IF($A134="","",IF($C134&lt;=0,"⚠ SL=0",ROUND($J134/$C134,0)))</f>
        <v/>
      </c>
      <c r="L134" s="82">
        <f>IF($A134="","",IF(pPhuongPhap="Hệ số",$F134,IF(pPhuongPhap="Tỷ lệ",$J134,"(không áp dụng)")))</f>
        <v/>
      </c>
    </row>
    <row r="135" ht="15" customHeight="1" s="54">
      <c r="A135" s="80">
        <f>IF(INDEX(DM_Ma,43)="","",INDEX(DM_Ma,43))</f>
        <v/>
      </c>
      <c r="B135" s="80">
        <f>IF($A135="","",INDEX(DM_Ten,43))</f>
        <v/>
      </c>
      <c r="C135" s="82">
        <f>IF($A135="","",INDEX(DM_SLHT,43))</f>
        <v/>
      </c>
      <c r="D135" s="82">
        <f>IF($A135="","",INDEX(DM_HeSo,43))</f>
        <v/>
      </c>
      <c r="E135" s="82">
        <f>IF($A135="","",$C135*$D135)</f>
        <v/>
      </c>
      <c r="F135" s="82">
        <f>IF($A135="","",IF(SUM($E93:$E172)=0,0,hpTong*$E135/SUM($E93:$E172)))</f>
        <v/>
      </c>
      <c r="G135" s="82">
        <f>IF($A135="","",IF($C135&lt;=0,"⚠ SL=0",ROUND($F135/$C135,0)))</f>
        <v/>
      </c>
      <c r="H135" s="82">
        <f>IF($A135="","",INDEX(DM_DGDinhMucKH,43))</f>
        <v/>
      </c>
      <c r="I135" s="82">
        <f>IF($A135="","",$C135*$H135)</f>
        <v/>
      </c>
      <c r="J135" s="82">
        <f>IF($A135="","",IF(SUM($I93:$I172)=0,0,$I135*hpTong/SUM($I93:$I172)))</f>
        <v/>
      </c>
      <c r="K135" s="82">
        <f>IF($A135="","",IF($C135&lt;=0,"⚠ SL=0",ROUND($J135/$C135,0)))</f>
        <v/>
      </c>
      <c r="L135" s="82">
        <f>IF($A135="","",IF(pPhuongPhap="Hệ số",$F135,IF(pPhuongPhap="Tỷ lệ",$J135,"(không áp dụng)")))</f>
        <v/>
      </c>
    </row>
    <row r="136" ht="15" customHeight="1" s="54">
      <c r="A136" s="80">
        <f>IF(INDEX(DM_Ma,44)="","",INDEX(DM_Ma,44))</f>
        <v/>
      </c>
      <c r="B136" s="80">
        <f>IF($A136="","",INDEX(DM_Ten,44))</f>
        <v/>
      </c>
      <c r="C136" s="82">
        <f>IF($A136="","",INDEX(DM_SLHT,44))</f>
        <v/>
      </c>
      <c r="D136" s="82">
        <f>IF($A136="","",INDEX(DM_HeSo,44))</f>
        <v/>
      </c>
      <c r="E136" s="82">
        <f>IF($A136="","",$C136*$D136)</f>
        <v/>
      </c>
      <c r="F136" s="82">
        <f>IF($A136="","",IF(SUM($E93:$E172)=0,0,hpTong*$E136/SUM($E93:$E172)))</f>
        <v/>
      </c>
      <c r="G136" s="82">
        <f>IF($A136="","",IF($C136&lt;=0,"⚠ SL=0",ROUND($F136/$C136,0)))</f>
        <v/>
      </c>
      <c r="H136" s="82">
        <f>IF($A136="","",INDEX(DM_DGDinhMucKH,44))</f>
        <v/>
      </c>
      <c r="I136" s="82">
        <f>IF($A136="","",$C136*$H136)</f>
        <v/>
      </c>
      <c r="J136" s="82">
        <f>IF($A136="","",IF(SUM($I93:$I172)=0,0,$I136*hpTong/SUM($I93:$I172)))</f>
        <v/>
      </c>
      <c r="K136" s="82">
        <f>IF($A136="","",IF($C136&lt;=0,"⚠ SL=0",ROUND($J136/$C136,0)))</f>
        <v/>
      </c>
      <c r="L136" s="82">
        <f>IF($A136="","",IF(pPhuongPhap="Hệ số",$F136,IF(pPhuongPhap="Tỷ lệ",$J136,"(không áp dụng)")))</f>
        <v/>
      </c>
    </row>
    <row r="137" ht="15" customHeight="1" s="54">
      <c r="A137" s="80">
        <f>IF(INDEX(DM_Ma,45)="","",INDEX(DM_Ma,45))</f>
        <v/>
      </c>
      <c r="B137" s="80">
        <f>IF($A137="","",INDEX(DM_Ten,45))</f>
        <v/>
      </c>
      <c r="C137" s="82">
        <f>IF($A137="","",INDEX(DM_SLHT,45))</f>
        <v/>
      </c>
      <c r="D137" s="82">
        <f>IF($A137="","",INDEX(DM_HeSo,45))</f>
        <v/>
      </c>
      <c r="E137" s="82">
        <f>IF($A137="","",$C137*$D137)</f>
        <v/>
      </c>
      <c r="F137" s="82">
        <f>IF($A137="","",IF(SUM($E93:$E172)=0,0,hpTong*$E137/SUM($E93:$E172)))</f>
        <v/>
      </c>
      <c r="G137" s="82">
        <f>IF($A137="","",IF($C137&lt;=0,"⚠ SL=0",ROUND($F137/$C137,0)))</f>
        <v/>
      </c>
      <c r="H137" s="82">
        <f>IF($A137="","",INDEX(DM_DGDinhMucKH,45))</f>
        <v/>
      </c>
      <c r="I137" s="82">
        <f>IF($A137="","",$C137*$H137)</f>
        <v/>
      </c>
      <c r="J137" s="82">
        <f>IF($A137="","",IF(SUM($I93:$I172)=0,0,$I137*hpTong/SUM($I93:$I172)))</f>
        <v/>
      </c>
      <c r="K137" s="82">
        <f>IF($A137="","",IF($C137&lt;=0,"⚠ SL=0",ROUND($J137/$C137,0)))</f>
        <v/>
      </c>
      <c r="L137" s="82">
        <f>IF($A137="","",IF(pPhuongPhap="Hệ số",$F137,IF(pPhuongPhap="Tỷ lệ",$J137,"(không áp dụng)")))</f>
        <v/>
      </c>
    </row>
    <row r="138" ht="15" customHeight="1" s="54">
      <c r="A138" s="80">
        <f>IF(INDEX(DM_Ma,46)="","",INDEX(DM_Ma,46))</f>
        <v/>
      </c>
      <c r="B138" s="80">
        <f>IF($A138="","",INDEX(DM_Ten,46))</f>
        <v/>
      </c>
      <c r="C138" s="82">
        <f>IF($A138="","",INDEX(DM_SLHT,46))</f>
        <v/>
      </c>
      <c r="D138" s="82">
        <f>IF($A138="","",INDEX(DM_HeSo,46))</f>
        <v/>
      </c>
      <c r="E138" s="82">
        <f>IF($A138="","",$C138*$D138)</f>
        <v/>
      </c>
      <c r="F138" s="82">
        <f>IF($A138="","",IF(SUM($E93:$E172)=0,0,hpTong*$E138/SUM($E93:$E172)))</f>
        <v/>
      </c>
      <c r="G138" s="82">
        <f>IF($A138="","",IF($C138&lt;=0,"⚠ SL=0",ROUND($F138/$C138,0)))</f>
        <v/>
      </c>
      <c r="H138" s="82">
        <f>IF($A138="","",INDEX(DM_DGDinhMucKH,46))</f>
        <v/>
      </c>
      <c r="I138" s="82">
        <f>IF($A138="","",$C138*$H138)</f>
        <v/>
      </c>
      <c r="J138" s="82">
        <f>IF($A138="","",IF(SUM($I93:$I172)=0,0,$I138*hpTong/SUM($I93:$I172)))</f>
        <v/>
      </c>
      <c r="K138" s="82">
        <f>IF($A138="","",IF($C138&lt;=0,"⚠ SL=0",ROUND($J138/$C138,0)))</f>
        <v/>
      </c>
      <c r="L138" s="82">
        <f>IF($A138="","",IF(pPhuongPhap="Hệ số",$F138,IF(pPhuongPhap="Tỷ lệ",$J138,"(không áp dụng)")))</f>
        <v/>
      </c>
    </row>
    <row r="139" ht="15" customHeight="1" s="54">
      <c r="A139" s="80">
        <f>IF(INDEX(DM_Ma,47)="","",INDEX(DM_Ma,47))</f>
        <v/>
      </c>
      <c r="B139" s="80">
        <f>IF($A139="","",INDEX(DM_Ten,47))</f>
        <v/>
      </c>
      <c r="C139" s="82">
        <f>IF($A139="","",INDEX(DM_SLHT,47))</f>
        <v/>
      </c>
      <c r="D139" s="82">
        <f>IF($A139="","",INDEX(DM_HeSo,47))</f>
        <v/>
      </c>
      <c r="E139" s="82">
        <f>IF($A139="","",$C139*$D139)</f>
        <v/>
      </c>
      <c r="F139" s="82">
        <f>IF($A139="","",IF(SUM($E93:$E172)=0,0,hpTong*$E139/SUM($E93:$E172)))</f>
        <v/>
      </c>
      <c r="G139" s="82">
        <f>IF($A139="","",IF($C139&lt;=0,"⚠ SL=0",ROUND($F139/$C139,0)))</f>
        <v/>
      </c>
      <c r="H139" s="82">
        <f>IF($A139="","",INDEX(DM_DGDinhMucKH,47))</f>
        <v/>
      </c>
      <c r="I139" s="82">
        <f>IF($A139="","",$C139*$H139)</f>
        <v/>
      </c>
      <c r="J139" s="82">
        <f>IF($A139="","",IF(SUM($I93:$I172)=0,0,$I139*hpTong/SUM($I93:$I172)))</f>
        <v/>
      </c>
      <c r="K139" s="82">
        <f>IF($A139="","",IF($C139&lt;=0,"⚠ SL=0",ROUND($J139/$C139,0)))</f>
        <v/>
      </c>
      <c r="L139" s="82">
        <f>IF($A139="","",IF(pPhuongPhap="Hệ số",$F139,IF(pPhuongPhap="Tỷ lệ",$J139,"(không áp dụng)")))</f>
        <v/>
      </c>
    </row>
    <row r="140" ht="15" customHeight="1" s="54">
      <c r="A140" s="80">
        <f>IF(INDEX(DM_Ma,48)="","",INDEX(DM_Ma,48))</f>
        <v/>
      </c>
      <c r="B140" s="80">
        <f>IF($A140="","",INDEX(DM_Ten,48))</f>
        <v/>
      </c>
      <c r="C140" s="82">
        <f>IF($A140="","",INDEX(DM_SLHT,48))</f>
        <v/>
      </c>
      <c r="D140" s="82">
        <f>IF($A140="","",INDEX(DM_HeSo,48))</f>
        <v/>
      </c>
      <c r="E140" s="82">
        <f>IF($A140="","",$C140*$D140)</f>
        <v/>
      </c>
      <c r="F140" s="82">
        <f>IF($A140="","",IF(SUM($E93:$E172)=0,0,hpTong*$E140/SUM($E93:$E172)))</f>
        <v/>
      </c>
      <c r="G140" s="82">
        <f>IF($A140="","",IF($C140&lt;=0,"⚠ SL=0",ROUND($F140/$C140,0)))</f>
        <v/>
      </c>
      <c r="H140" s="82">
        <f>IF($A140="","",INDEX(DM_DGDinhMucKH,48))</f>
        <v/>
      </c>
      <c r="I140" s="82">
        <f>IF($A140="","",$C140*$H140)</f>
        <v/>
      </c>
      <c r="J140" s="82">
        <f>IF($A140="","",IF(SUM($I93:$I172)=0,0,$I140*hpTong/SUM($I93:$I172)))</f>
        <v/>
      </c>
      <c r="K140" s="82">
        <f>IF($A140="","",IF($C140&lt;=0,"⚠ SL=0",ROUND($J140/$C140,0)))</f>
        <v/>
      </c>
      <c r="L140" s="82">
        <f>IF($A140="","",IF(pPhuongPhap="Hệ số",$F140,IF(pPhuongPhap="Tỷ lệ",$J140,"(không áp dụng)")))</f>
        <v/>
      </c>
    </row>
    <row r="141" ht="15" customHeight="1" s="54">
      <c r="A141" s="80">
        <f>IF(INDEX(DM_Ma,49)="","",INDEX(DM_Ma,49))</f>
        <v/>
      </c>
      <c r="B141" s="80">
        <f>IF($A141="","",INDEX(DM_Ten,49))</f>
        <v/>
      </c>
      <c r="C141" s="82">
        <f>IF($A141="","",INDEX(DM_SLHT,49))</f>
        <v/>
      </c>
      <c r="D141" s="82">
        <f>IF($A141="","",INDEX(DM_HeSo,49))</f>
        <v/>
      </c>
      <c r="E141" s="82">
        <f>IF($A141="","",$C141*$D141)</f>
        <v/>
      </c>
      <c r="F141" s="82">
        <f>IF($A141="","",IF(SUM($E93:$E172)=0,0,hpTong*$E141/SUM($E93:$E172)))</f>
        <v/>
      </c>
      <c r="G141" s="82">
        <f>IF($A141="","",IF($C141&lt;=0,"⚠ SL=0",ROUND($F141/$C141,0)))</f>
        <v/>
      </c>
      <c r="H141" s="82">
        <f>IF($A141="","",INDEX(DM_DGDinhMucKH,49))</f>
        <v/>
      </c>
      <c r="I141" s="82">
        <f>IF($A141="","",$C141*$H141)</f>
        <v/>
      </c>
      <c r="J141" s="82">
        <f>IF($A141="","",IF(SUM($I93:$I172)=0,0,$I141*hpTong/SUM($I93:$I172)))</f>
        <v/>
      </c>
      <c r="K141" s="82">
        <f>IF($A141="","",IF($C141&lt;=0,"⚠ SL=0",ROUND($J141/$C141,0)))</f>
        <v/>
      </c>
      <c r="L141" s="82">
        <f>IF($A141="","",IF(pPhuongPhap="Hệ số",$F141,IF(pPhuongPhap="Tỷ lệ",$J141,"(không áp dụng)")))</f>
        <v/>
      </c>
    </row>
    <row r="142" ht="15" customHeight="1" s="54">
      <c r="A142" s="80">
        <f>IF(INDEX(DM_Ma,50)="","",INDEX(DM_Ma,50))</f>
        <v/>
      </c>
      <c r="B142" s="80">
        <f>IF($A142="","",INDEX(DM_Ten,50))</f>
        <v/>
      </c>
      <c r="C142" s="82">
        <f>IF($A142="","",INDEX(DM_SLHT,50))</f>
        <v/>
      </c>
      <c r="D142" s="82">
        <f>IF($A142="","",INDEX(DM_HeSo,50))</f>
        <v/>
      </c>
      <c r="E142" s="82">
        <f>IF($A142="","",$C142*$D142)</f>
        <v/>
      </c>
      <c r="F142" s="82">
        <f>IF($A142="","",IF(SUM($E93:$E172)=0,0,hpTong*$E142/SUM($E93:$E172)))</f>
        <v/>
      </c>
      <c r="G142" s="82">
        <f>IF($A142="","",IF($C142&lt;=0,"⚠ SL=0",ROUND($F142/$C142,0)))</f>
        <v/>
      </c>
      <c r="H142" s="82">
        <f>IF($A142="","",INDEX(DM_DGDinhMucKH,50))</f>
        <v/>
      </c>
      <c r="I142" s="82">
        <f>IF($A142="","",$C142*$H142)</f>
        <v/>
      </c>
      <c r="J142" s="82">
        <f>IF($A142="","",IF(SUM($I93:$I172)=0,0,$I142*hpTong/SUM($I93:$I172)))</f>
        <v/>
      </c>
      <c r="K142" s="82">
        <f>IF($A142="","",IF($C142&lt;=0,"⚠ SL=0",ROUND($J142/$C142,0)))</f>
        <v/>
      </c>
      <c r="L142" s="82">
        <f>IF($A142="","",IF(pPhuongPhap="Hệ số",$F142,IF(pPhuongPhap="Tỷ lệ",$J142,"(không áp dụng)")))</f>
        <v/>
      </c>
    </row>
    <row r="143" ht="15" customHeight="1" s="54">
      <c r="A143" s="80">
        <f>IF(INDEX(DM_Ma,51)="","",INDEX(DM_Ma,51))</f>
        <v/>
      </c>
      <c r="B143" s="80">
        <f>IF($A143="","",INDEX(DM_Ten,51))</f>
        <v/>
      </c>
      <c r="C143" s="82">
        <f>IF($A143="","",INDEX(DM_SLHT,51))</f>
        <v/>
      </c>
      <c r="D143" s="82">
        <f>IF($A143="","",INDEX(DM_HeSo,51))</f>
        <v/>
      </c>
      <c r="E143" s="82">
        <f>IF($A143="","",$C143*$D143)</f>
        <v/>
      </c>
      <c r="F143" s="82">
        <f>IF($A143="","",IF(SUM($E93:$E172)=0,0,hpTong*$E143/SUM($E93:$E172)))</f>
        <v/>
      </c>
      <c r="G143" s="82">
        <f>IF($A143="","",IF($C143&lt;=0,"⚠ SL=0",ROUND($F143/$C143,0)))</f>
        <v/>
      </c>
      <c r="H143" s="82">
        <f>IF($A143="","",INDEX(DM_DGDinhMucKH,51))</f>
        <v/>
      </c>
      <c r="I143" s="82">
        <f>IF($A143="","",$C143*$H143)</f>
        <v/>
      </c>
      <c r="J143" s="82">
        <f>IF($A143="","",IF(SUM($I93:$I172)=0,0,$I143*hpTong/SUM($I93:$I172)))</f>
        <v/>
      </c>
      <c r="K143" s="82">
        <f>IF($A143="","",IF($C143&lt;=0,"⚠ SL=0",ROUND($J143/$C143,0)))</f>
        <v/>
      </c>
      <c r="L143" s="82">
        <f>IF($A143="","",IF(pPhuongPhap="Hệ số",$F143,IF(pPhuongPhap="Tỷ lệ",$J143,"(không áp dụng)")))</f>
        <v/>
      </c>
    </row>
    <row r="144" ht="15" customHeight="1" s="54">
      <c r="A144" s="80">
        <f>IF(INDEX(DM_Ma,52)="","",INDEX(DM_Ma,52))</f>
        <v/>
      </c>
      <c r="B144" s="80">
        <f>IF($A144="","",INDEX(DM_Ten,52))</f>
        <v/>
      </c>
      <c r="C144" s="82">
        <f>IF($A144="","",INDEX(DM_SLHT,52))</f>
        <v/>
      </c>
      <c r="D144" s="82">
        <f>IF($A144="","",INDEX(DM_HeSo,52))</f>
        <v/>
      </c>
      <c r="E144" s="82">
        <f>IF($A144="","",$C144*$D144)</f>
        <v/>
      </c>
      <c r="F144" s="82">
        <f>IF($A144="","",IF(SUM($E93:$E172)=0,0,hpTong*$E144/SUM($E93:$E172)))</f>
        <v/>
      </c>
      <c r="G144" s="82">
        <f>IF($A144="","",IF($C144&lt;=0,"⚠ SL=0",ROUND($F144/$C144,0)))</f>
        <v/>
      </c>
      <c r="H144" s="82">
        <f>IF($A144="","",INDEX(DM_DGDinhMucKH,52))</f>
        <v/>
      </c>
      <c r="I144" s="82">
        <f>IF($A144="","",$C144*$H144)</f>
        <v/>
      </c>
      <c r="J144" s="82">
        <f>IF($A144="","",IF(SUM($I93:$I172)=0,0,$I144*hpTong/SUM($I93:$I172)))</f>
        <v/>
      </c>
      <c r="K144" s="82">
        <f>IF($A144="","",IF($C144&lt;=0,"⚠ SL=0",ROUND($J144/$C144,0)))</f>
        <v/>
      </c>
      <c r="L144" s="82">
        <f>IF($A144="","",IF(pPhuongPhap="Hệ số",$F144,IF(pPhuongPhap="Tỷ lệ",$J144,"(không áp dụng)")))</f>
        <v/>
      </c>
    </row>
    <row r="145" ht="15" customHeight="1" s="54">
      <c r="A145" s="80">
        <f>IF(INDEX(DM_Ma,53)="","",INDEX(DM_Ma,53))</f>
        <v/>
      </c>
      <c r="B145" s="80">
        <f>IF($A145="","",INDEX(DM_Ten,53))</f>
        <v/>
      </c>
      <c r="C145" s="82">
        <f>IF($A145="","",INDEX(DM_SLHT,53))</f>
        <v/>
      </c>
      <c r="D145" s="82">
        <f>IF($A145="","",INDEX(DM_HeSo,53))</f>
        <v/>
      </c>
      <c r="E145" s="82">
        <f>IF($A145="","",$C145*$D145)</f>
        <v/>
      </c>
      <c r="F145" s="82">
        <f>IF($A145="","",IF(SUM($E93:$E172)=0,0,hpTong*$E145/SUM($E93:$E172)))</f>
        <v/>
      </c>
      <c r="G145" s="82">
        <f>IF($A145="","",IF($C145&lt;=0,"⚠ SL=0",ROUND($F145/$C145,0)))</f>
        <v/>
      </c>
      <c r="H145" s="82">
        <f>IF($A145="","",INDEX(DM_DGDinhMucKH,53))</f>
        <v/>
      </c>
      <c r="I145" s="82">
        <f>IF($A145="","",$C145*$H145)</f>
        <v/>
      </c>
      <c r="J145" s="82">
        <f>IF($A145="","",IF(SUM($I93:$I172)=0,0,$I145*hpTong/SUM($I93:$I172)))</f>
        <v/>
      </c>
      <c r="K145" s="82">
        <f>IF($A145="","",IF($C145&lt;=0,"⚠ SL=0",ROUND($J145/$C145,0)))</f>
        <v/>
      </c>
      <c r="L145" s="82">
        <f>IF($A145="","",IF(pPhuongPhap="Hệ số",$F145,IF(pPhuongPhap="Tỷ lệ",$J145,"(không áp dụng)")))</f>
        <v/>
      </c>
    </row>
    <row r="146" ht="15" customHeight="1" s="54">
      <c r="A146" s="80">
        <f>IF(INDEX(DM_Ma,54)="","",INDEX(DM_Ma,54))</f>
        <v/>
      </c>
      <c r="B146" s="80">
        <f>IF($A146="","",INDEX(DM_Ten,54))</f>
        <v/>
      </c>
      <c r="C146" s="82">
        <f>IF($A146="","",INDEX(DM_SLHT,54))</f>
        <v/>
      </c>
      <c r="D146" s="82">
        <f>IF($A146="","",INDEX(DM_HeSo,54))</f>
        <v/>
      </c>
      <c r="E146" s="82">
        <f>IF($A146="","",$C146*$D146)</f>
        <v/>
      </c>
      <c r="F146" s="82">
        <f>IF($A146="","",IF(SUM($E93:$E172)=0,0,hpTong*$E146/SUM($E93:$E172)))</f>
        <v/>
      </c>
      <c r="G146" s="82">
        <f>IF($A146="","",IF($C146&lt;=0,"⚠ SL=0",ROUND($F146/$C146,0)))</f>
        <v/>
      </c>
      <c r="H146" s="82">
        <f>IF($A146="","",INDEX(DM_DGDinhMucKH,54))</f>
        <v/>
      </c>
      <c r="I146" s="82">
        <f>IF($A146="","",$C146*$H146)</f>
        <v/>
      </c>
      <c r="J146" s="82">
        <f>IF($A146="","",IF(SUM($I93:$I172)=0,0,$I146*hpTong/SUM($I93:$I172)))</f>
        <v/>
      </c>
      <c r="K146" s="82">
        <f>IF($A146="","",IF($C146&lt;=0,"⚠ SL=0",ROUND($J146/$C146,0)))</f>
        <v/>
      </c>
      <c r="L146" s="82">
        <f>IF($A146="","",IF(pPhuongPhap="Hệ số",$F146,IF(pPhuongPhap="Tỷ lệ",$J146,"(không áp dụng)")))</f>
        <v/>
      </c>
    </row>
    <row r="147" ht="15" customHeight="1" s="54">
      <c r="A147" s="80">
        <f>IF(INDEX(DM_Ma,55)="","",INDEX(DM_Ma,55))</f>
        <v/>
      </c>
      <c r="B147" s="80">
        <f>IF($A147="","",INDEX(DM_Ten,55))</f>
        <v/>
      </c>
      <c r="C147" s="82">
        <f>IF($A147="","",INDEX(DM_SLHT,55))</f>
        <v/>
      </c>
      <c r="D147" s="82">
        <f>IF($A147="","",INDEX(DM_HeSo,55))</f>
        <v/>
      </c>
      <c r="E147" s="82">
        <f>IF($A147="","",$C147*$D147)</f>
        <v/>
      </c>
      <c r="F147" s="82">
        <f>IF($A147="","",IF(SUM($E93:$E172)=0,0,hpTong*$E147/SUM($E93:$E172)))</f>
        <v/>
      </c>
      <c r="G147" s="82">
        <f>IF($A147="","",IF($C147&lt;=0,"⚠ SL=0",ROUND($F147/$C147,0)))</f>
        <v/>
      </c>
      <c r="H147" s="82">
        <f>IF($A147="","",INDEX(DM_DGDinhMucKH,55))</f>
        <v/>
      </c>
      <c r="I147" s="82">
        <f>IF($A147="","",$C147*$H147)</f>
        <v/>
      </c>
      <c r="J147" s="82">
        <f>IF($A147="","",IF(SUM($I93:$I172)=0,0,$I147*hpTong/SUM($I93:$I172)))</f>
        <v/>
      </c>
      <c r="K147" s="82">
        <f>IF($A147="","",IF($C147&lt;=0,"⚠ SL=0",ROUND($J147/$C147,0)))</f>
        <v/>
      </c>
      <c r="L147" s="82">
        <f>IF($A147="","",IF(pPhuongPhap="Hệ số",$F147,IF(pPhuongPhap="Tỷ lệ",$J147,"(không áp dụng)")))</f>
        <v/>
      </c>
    </row>
    <row r="148" ht="15" customHeight="1" s="54">
      <c r="A148" s="80">
        <f>IF(INDEX(DM_Ma,56)="","",INDEX(DM_Ma,56))</f>
        <v/>
      </c>
      <c r="B148" s="80">
        <f>IF($A148="","",INDEX(DM_Ten,56))</f>
        <v/>
      </c>
      <c r="C148" s="82">
        <f>IF($A148="","",INDEX(DM_SLHT,56))</f>
        <v/>
      </c>
      <c r="D148" s="82">
        <f>IF($A148="","",INDEX(DM_HeSo,56))</f>
        <v/>
      </c>
      <c r="E148" s="82">
        <f>IF($A148="","",$C148*$D148)</f>
        <v/>
      </c>
      <c r="F148" s="82">
        <f>IF($A148="","",IF(SUM($E93:$E172)=0,0,hpTong*$E148/SUM($E93:$E172)))</f>
        <v/>
      </c>
      <c r="G148" s="82">
        <f>IF($A148="","",IF($C148&lt;=0,"⚠ SL=0",ROUND($F148/$C148,0)))</f>
        <v/>
      </c>
      <c r="H148" s="82">
        <f>IF($A148="","",INDEX(DM_DGDinhMucKH,56))</f>
        <v/>
      </c>
      <c r="I148" s="82">
        <f>IF($A148="","",$C148*$H148)</f>
        <v/>
      </c>
      <c r="J148" s="82">
        <f>IF($A148="","",IF(SUM($I93:$I172)=0,0,$I148*hpTong/SUM($I93:$I172)))</f>
        <v/>
      </c>
      <c r="K148" s="82">
        <f>IF($A148="","",IF($C148&lt;=0,"⚠ SL=0",ROUND($J148/$C148,0)))</f>
        <v/>
      </c>
      <c r="L148" s="82">
        <f>IF($A148="","",IF(pPhuongPhap="Hệ số",$F148,IF(pPhuongPhap="Tỷ lệ",$J148,"(không áp dụng)")))</f>
        <v/>
      </c>
    </row>
    <row r="149" ht="15" customHeight="1" s="54">
      <c r="A149" s="80">
        <f>IF(INDEX(DM_Ma,57)="","",INDEX(DM_Ma,57))</f>
        <v/>
      </c>
      <c r="B149" s="80">
        <f>IF($A149="","",INDEX(DM_Ten,57))</f>
        <v/>
      </c>
      <c r="C149" s="82">
        <f>IF($A149="","",INDEX(DM_SLHT,57))</f>
        <v/>
      </c>
      <c r="D149" s="82">
        <f>IF($A149="","",INDEX(DM_HeSo,57))</f>
        <v/>
      </c>
      <c r="E149" s="82">
        <f>IF($A149="","",$C149*$D149)</f>
        <v/>
      </c>
      <c r="F149" s="82">
        <f>IF($A149="","",IF(SUM($E93:$E172)=0,0,hpTong*$E149/SUM($E93:$E172)))</f>
        <v/>
      </c>
      <c r="G149" s="82">
        <f>IF($A149="","",IF($C149&lt;=0,"⚠ SL=0",ROUND($F149/$C149,0)))</f>
        <v/>
      </c>
      <c r="H149" s="82">
        <f>IF($A149="","",INDEX(DM_DGDinhMucKH,57))</f>
        <v/>
      </c>
      <c r="I149" s="82">
        <f>IF($A149="","",$C149*$H149)</f>
        <v/>
      </c>
      <c r="J149" s="82">
        <f>IF($A149="","",IF(SUM($I93:$I172)=0,0,$I149*hpTong/SUM($I93:$I172)))</f>
        <v/>
      </c>
      <c r="K149" s="82">
        <f>IF($A149="","",IF($C149&lt;=0,"⚠ SL=0",ROUND($J149/$C149,0)))</f>
        <v/>
      </c>
      <c r="L149" s="82">
        <f>IF($A149="","",IF(pPhuongPhap="Hệ số",$F149,IF(pPhuongPhap="Tỷ lệ",$J149,"(không áp dụng)")))</f>
        <v/>
      </c>
    </row>
    <row r="150" ht="15" customHeight="1" s="54">
      <c r="A150" s="80">
        <f>IF(INDEX(DM_Ma,58)="","",INDEX(DM_Ma,58))</f>
        <v/>
      </c>
      <c r="B150" s="80">
        <f>IF($A150="","",INDEX(DM_Ten,58))</f>
        <v/>
      </c>
      <c r="C150" s="82">
        <f>IF($A150="","",INDEX(DM_SLHT,58))</f>
        <v/>
      </c>
      <c r="D150" s="82">
        <f>IF($A150="","",INDEX(DM_HeSo,58))</f>
        <v/>
      </c>
      <c r="E150" s="82">
        <f>IF($A150="","",$C150*$D150)</f>
        <v/>
      </c>
      <c r="F150" s="82">
        <f>IF($A150="","",IF(SUM($E93:$E172)=0,0,hpTong*$E150/SUM($E93:$E172)))</f>
        <v/>
      </c>
      <c r="G150" s="82">
        <f>IF($A150="","",IF($C150&lt;=0,"⚠ SL=0",ROUND($F150/$C150,0)))</f>
        <v/>
      </c>
      <c r="H150" s="82">
        <f>IF($A150="","",INDEX(DM_DGDinhMucKH,58))</f>
        <v/>
      </c>
      <c r="I150" s="82">
        <f>IF($A150="","",$C150*$H150)</f>
        <v/>
      </c>
      <c r="J150" s="82">
        <f>IF($A150="","",IF(SUM($I93:$I172)=0,0,$I150*hpTong/SUM($I93:$I172)))</f>
        <v/>
      </c>
      <c r="K150" s="82">
        <f>IF($A150="","",IF($C150&lt;=0,"⚠ SL=0",ROUND($J150/$C150,0)))</f>
        <v/>
      </c>
      <c r="L150" s="82">
        <f>IF($A150="","",IF(pPhuongPhap="Hệ số",$F150,IF(pPhuongPhap="Tỷ lệ",$J150,"(không áp dụng)")))</f>
        <v/>
      </c>
    </row>
    <row r="151" ht="15" customHeight="1" s="54">
      <c r="A151" s="80">
        <f>IF(INDEX(DM_Ma,59)="","",INDEX(DM_Ma,59))</f>
        <v/>
      </c>
      <c r="B151" s="80">
        <f>IF($A151="","",INDEX(DM_Ten,59))</f>
        <v/>
      </c>
      <c r="C151" s="82">
        <f>IF($A151="","",INDEX(DM_SLHT,59))</f>
        <v/>
      </c>
      <c r="D151" s="82">
        <f>IF($A151="","",INDEX(DM_HeSo,59))</f>
        <v/>
      </c>
      <c r="E151" s="82">
        <f>IF($A151="","",$C151*$D151)</f>
        <v/>
      </c>
      <c r="F151" s="82">
        <f>IF($A151="","",IF(SUM($E93:$E172)=0,0,hpTong*$E151/SUM($E93:$E172)))</f>
        <v/>
      </c>
      <c r="G151" s="82">
        <f>IF($A151="","",IF($C151&lt;=0,"⚠ SL=0",ROUND($F151/$C151,0)))</f>
        <v/>
      </c>
      <c r="H151" s="82">
        <f>IF($A151="","",INDEX(DM_DGDinhMucKH,59))</f>
        <v/>
      </c>
      <c r="I151" s="82">
        <f>IF($A151="","",$C151*$H151)</f>
        <v/>
      </c>
      <c r="J151" s="82">
        <f>IF($A151="","",IF(SUM($I93:$I172)=0,0,$I151*hpTong/SUM($I93:$I172)))</f>
        <v/>
      </c>
      <c r="K151" s="82">
        <f>IF($A151="","",IF($C151&lt;=0,"⚠ SL=0",ROUND($J151/$C151,0)))</f>
        <v/>
      </c>
      <c r="L151" s="82">
        <f>IF($A151="","",IF(pPhuongPhap="Hệ số",$F151,IF(pPhuongPhap="Tỷ lệ",$J151,"(không áp dụng)")))</f>
        <v/>
      </c>
    </row>
    <row r="152" ht="15" customHeight="1" s="54">
      <c r="A152" s="80">
        <f>IF(INDEX(DM_Ma,60)="","",INDEX(DM_Ma,60))</f>
        <v/>
      </c>
      <c r="B152" s="80">
        <f>IF($A152="","",INDEX(DM_Ten,60))</f>
        <v/>
      </c>
      <c r="C152" s="82">
        <f>IF($A152="","",INDEX(DM_SLHT,60))</f>
        <v/>
      </c>
      <c r="D152" s="82">
        <f>IF($A152="","",INDEX(DM_HeSo,60))</f>
        <v/>
      </c>
      <c r="E152" s="82">
        <f>IF($A152="","",$C152*$D152)</f>
        <v/>
      </c>
      <c r="F152" s="82">
        <f>IF($A152="","",IF(SUM($E93:$E172)=0,0,hpTong*$E152/SUM($E93:$E172)))</f>
        <v/>
      </c>
      <c r="G152" s="82">
        <f>IF($A152="","",IF($C152&lt;=0,"⚠ SL=0",ROUND($F152/$C152,0)))</f>
        <v/>
      </c>
      <c r="H152" s="82">
        <f>IF($A152="","",INDEX(DM_DGDinhMucKH,60))</f>
        <v/>
      </c>
      <c r="I152" s="82">
        <f>IF($A152="","",$C152*$H152)</f>
        <v/>
      </c>
      <c r="J152" s="82">
        <f>IF($A152="","",IF(SUM($I93:$I172)=0,0,$I152*hpTong/SUM($I93:$I172)))</f>
        <v/>
      </c>
      <c r="K152" s="82">
        <f>IF($A152="","",IF($C152&lt;=0,"⚠ SL=0",ROUND($J152/$C152,0)))</f>
        <v/>
      </c>
      <c r="L152" s="82">
        <f>IF($A152="","",IF(pPhuongPhap="Hệ số",$F152,IF(pPhuongPhap="Tỷ lệ",$J152,"(không áp dụng)")))</f>
        <v/>
      </c>
    </row>
    <row r="153" ht="15" customHeight="1" s="54">
      <c r="A153" s="80">
        <f>IF(INDEX(DM_Ma,61)="","",INDEX(DM_Ma,61))</f>
        <v/>
      </c>
      <c r="B153" s="80">
        <f>IF($A153="","",INDEX(DM_Ten,61))</f>
        <v/>
      </c>
      <c r="C153" s="82">
        <f>IF($A153="","",INDEX(DM_SLHT,61))</f>
        <v/>
      </c>
      <c r="D153" s="82">
        <f>IF($A153="","",INDEX(DM_HeSo,61))</f>
        <v/>
      </c>
      <c r="E153" s="82">
        <f>IF($A153="","",$C153*$D153)</f>
        <v/>
      </c>
      <c r="F153" s="82">
        <f>IF($A153="","",IF(SUM($E93:$E172)=0,0,hpTong*$E153/SUM($E93:$E172)))</f>
        <v/>
      </c>
      <c r="G153" s="82">
        <f>IF($A153="","",IF($C153&lt;=0,"⚠ SL=0",ROUND($F153/$C153,0)))</f>
        <v/>
      </c>
      <c r="H153" s="82">
        <f>IF($A153="","",INDEX(DM_DGDinhMucKH,61))</f>
        <v/>
      </c>
      <c r="I153" s="82">
        <f>IF($A153="","",$C153*$H153)</f>
        <v/>
      </c>
      <c r="J153" s="82">
        <f>IF($A153="","",IF(SUM($I93:$I172)=0,0,$I153*hpTong/SUM($I93:$I172)))</f>
        <v/>
      </c>
      <c r="K153" s="82">
        <f>IF($A153="","",IF($C153&lt;=0,"⚠ SL=0",ROUND($J153/$C153,0)))</f>
        <v/>
      </c>
      <c r="L153" s="82">
        <f>IF($A153="","",IF(pPhuongPhap="Hệ số",$F153,IF(pPhuongPhap="Tỷ lệ",$J153,"(không áp dụng)")))</f>
        <v/>
      </c>
    </row>
    <row r="154" ht="15" customHeight="1" s="54">
      <c r="A154" s="80">
        <f>IF(INDEX(DM_Ma,62)="","",INDEX(DM_Ma,62))</f>
        <v/>
      </c>
      <c r="B154" s="80">
        <f>IF($A154="","",INDEX(DM_Ten,62))</f>
        <v/>
      </c>
      <c r="C154" s="82">
        <f>IF($A154="","",INDEX(DM_SLHT,62))</f>
        <v/>
      </c>
      <c r="D154" s="82">
        <f>IF($A154="","",INDEX(DM_HeSo,62))</f>
        <v/>
      </c>
      <c r="E154" s="82">
        <f>IF($A154="","",$C154*$D154)</f>
        <v/>
      </c>
      <c r="F154" s="82">
        <f>IF($A154="","",IF(SUM($E93:$E172)=0,0,hpTong*$E154/SUM($E93:$E172)))</f>
        <v/>
      </c>
      <c r="G154" s="82">
        <f>IF($A154="","",IF($C154&lt;=0,"⚠ SL=0",ROUND($F154/$C154,0)))</f>
        <v/>
      </c>
      <c r="H154" s="82">
        <f>IF($A154="","",INDEX(DM_DGDinhMucKH,62))</f>
        <v/>
      </c>
      <c r="I154" s="82">
        <f>IF($A154="","",$C154*$H154)</f>
        <v/>
      </c>
      <c r="J154" s="82">
        <f>IF($A154="","",IF(SUM($I93:$I172)=0,0,$I154*hpTong/SUM($I93:$I172)))</f>
        <v/>
      </c>
      <c r="K154" s="82">
        <f>IF($A154="","",IF($C154&lt;=0,"⚠ SL=0",ROUND($J154/$C154,0)))</f>
        <v/>
      </c>
      <c r="L154" s="82">
        <f>IF($A154="","",IF(pPhuongPhap="Hệ số",$F154,IF(pPhuongPhap="Tỷ lệ",$J154,"(không áp dụng)")))</f>
        <v/>
      </c>
    </row>
    <row r="155" ht="15" customHeight="1" s="54">
      <c r="A155" s="80">
        <f>IF(INDEX(DM_Ma,63)="","",INDEX(DM_Ma,63))</f>
        <v/>
      </c>
      <c r="B155" s="80">
        <f>IF($A155="","",INDEX(DM_Ten,63))</f>
        <v/>
      </c>
      <c r="C155" s="82">
        <f>IF($A155="","",INDEX(DM_SLHT,63))</f>
        <v/>
      </c>
      <c r="D155" s="82">
        <f>IF($A155="","",INDEX(DM_HeSo,63))</f>
        <v/>
      </c>
      <c r="E155" s="82">
        <f>IF($A155="","",$C155*$D155)</f>
        <v/>
      </c>
      <c r="F155" s="82">
        <f>IF($A155="","",IF(SUM($E93:$E172)=0,0,hpTong*$E155/SUM($E93:$E172)))</f>
        <v/>
      </c>
      <c r="G155" s="82">
        <f>IF($A155="","",IF($C155&lt;=0,"⚠ SL=0",ROUND($F155/$C155,0)))</f>
        <v/>
      </c>
      <c r="H155" s="82">
        <f>IF($A155="","",INDEX(DM_DGDinhMucKH,63))</f>
        <v/>
      </c>
      <c r="I155" s="82">
        <f>IF($A155="","",$C155*$H155)</f>
        <v/>
      </c>
      <c r="J155" s="82">
        <f>IF($A155="","",IF(SUM($I93:$I172)=0,0,$I155*hpTong/SUM($I93:$I172)))</f>
        <v/>
      </c>
      <c r="K155" s="82">
        <f>IF($A155="","",IF($C155&lt;=0,"⚠ SL=0",ROUND($J155/$C155,0)))</f>
        <v/>
      </c>
      <c r="L155" s="82">
        <f>IF($A155="","",IF(pPhuongPhap="Hệ số",$F155,IF(pPhuongPhap="Tỷ lệ",$J155,"(không áp dụng)")))</f>
        <v/>
      </c>
    </row>
    <row r="156" ht="15" customHeight="1" s="54">
      <c r="A156" s="80">
        <f>IF(INDEX(DM_Ma,64)="","",INDEX(DM_Ma,64))</f>
        <v/>
      </c>
      <c r="B156" s="80">
        <f>IF($A156="","",INDEX(DM_Ten,64))</f>
        <v/>
      </c>
      <c r="C156" s="82">
        <f>IF($A156="","",INDEX(DM_SLHT,64))</f>
        <v/>
      </c>
      <c r="D156" s="82">
        <f>IF($A156="","",INDEX(DM_HeSo,64))</f>
        <v/>
      </c>
      <c r="E156" s="82">
        <f>IF($A156="","",$C156*$D156)</f>
        <v/>
      </c>
      <c r="F156" s="82">
        <f>IF($A156="","",IF(SUM($E93:$E172)=0,0,hpTong*$E156/SUM($E93:$E172)))</f>
        <v/>
      </c>
      <c r="G156" s="82">
        <f>IF($A156="","",IF($C156&lt;=0,"⚠ SL=0",ROUND($F156/$C156,0)))</f>
        <v/>
      </c>
      <c r="H156" s="82">
        <f>IF($A156="","",INDEX(DM_DGDinhMucKH,64))</f>
        <v/>
      </c>
      <c r="I156" s="82">
        <f>IF($A156="","",$C156*$H156)</f>
        <v/>
      </c>
      <c r="J156" s="82">
        <f>IF($A156="","",IF(SUM($I93:$I172)=0,0,$I156*hpTong/SUM($I93:$I172)))</f>
        <v/>
      </c>
      <c r="K156" s="82">
        <f>IF($A156="","",IF($C156&lt;=0,"⚠ SL=0",ROUND($J156/$C156,0)))</f>
        <v/>
      </c>
      <c r="L156" s="82">
        <f>IF($A156="","",IF(pPhuongPhap="Hệ số",$F156,IF(pPhuongPhap="Tỷ lệ",$J156,"(không áp dụng)")))</f>
        <v/>
      </c>
    </row>
    <row r="157" ht="15" customHeight="1" s="54">
      <c r="A157" s="80">
        <f>IF(INDEX(DM_Ma,65)="","",INDEX(DM_Ma,65))</f>
        <v/>
      </c>
      <c r="B157" s="80">
        <f>IF($A157="","",INDEX(DM_Ten,65))</f>
        <v/>
      </c>
      <c r="C157" s="82">
        <f>IF($A157="","",INDEX(DM_SLHT,65))</f>
        <v/>
      </c>
      <c r="D157" s="82">
        <f>IF($A157="","",INDEX(DM_HeSo,65))</f>
        <v/>
      </c>
      <c r="E157" s="82">
        <f>IF($A157="","",$C157*$D157)</f>
        <v/>
      </c>
      <c r="F157" s="82">
        <f>IF($A157="","",IF(SUM($E93:$E172)=0,0,hpTong*$E157/SUM($E93:$E172)))</f>
        <v/>
      </c>
      <c r="G157" s="82">
        <f>IF($A157="","",IF($C157&lt;=0,"⚠ SL=0",ROUND($F157/$C157,0)))</f>
        <v/>
      </c>
      <c r="H157" s="82">
        <f>IF($A157="","",INDEX(DM_DGDinhMucKH,65))</f>
        <v/>
      </c>
      <c r="I157" s="82">
        <f>IF($A157="","",$C157*$H157)</f>
        <v/>
      </c>
      <c r="J157" s="82">
        <f>IF($A157="","",IF(SUM($I93:$I172)=0,0,$I157*hpTong/SUM($I93:$I172)))</f>
        <v/>
      </c>
      <c r="K157" s="82">
        <f>IF($A157="","",IF($C157&lt;=0,"⚠ SL=0",ROUND($J157/$C157,0)))</f>
        <v/>
      </c>
      <c r="L157" s="82">
        <f>IF($A157="","",IF(pPhuongPhap="Hệ số",$F157,IF(pPhuongPhap="Tỷ lệ",$J157,"(không áp dụng)")))</f>
        <v/>
      </c>
    </row>
    <row r="158" ht="15" customHeight="1" s="54">
      <c r="A158" s="80">
        <f>IF(INDEX(DM_Ma,66)="","",INDEX(DM_Ma,66))</f>
        <v/>
      </c>
      <c r="B158" s="80">
        <f>IF($A158="","",INDEX(DM_Ten,66))</f>
        <v/>
      </c>
      <c r="C158" s="82">
        <f>IF($A158="","",INDEX(DM_SLHT,66))</f>
        <v/>
      </c>
      <c r="D158" s="82">
        <f>IF($A158="","",INDEX(DM_HeSo,66))</f>
        <v/>
      </c>
      <c r="E158" s="82">
        <f>IF($A158="","",$C158*$D158)</f>
        <v/>
      </c>
      <c r="F158" s="82">
        <f>IF($A158="","",IF(SUM($E93:$E172)=0,0,hpTong*$E158/SUM($E93:$E172)))</f>
        <v/>
      </c>
      <c r="G158" s="82">
        <f>IF($A158="","",IF($C158&lt;=0,"⚠ SL=0",ROUND($F158/$C158,0)))</f>
        <v/>
      </c>
      <c r="H158" s="82">
        <f>IF($A158="","",INDEX(DM_DGDinhMucKH,66))</f>
        <v/>
      </c>
      <c r="I158" s="82">
        <f>IF($A158="","",$C158*$H158)</f>
        <v/>
      </c>
      <c r="J158" s="82">
        <f>IF($A158="","",IF(SUM($I93:$I172)=0,0,$I158*hpTong/SUM($I93:$I172)))</f>
        <v/>
      </c>
      <c r="K158" s="82">
        <f>IF($A158="","",IF($C158&lt;=0,"⚠ SL=0",ROUND($J158/$C158,0)))</f>
        <v/>
      </c>
      <c r="L158" s="82">
        <f>IF($A158="","",IF(pPhuongPhap="Hệ số",$F158,IF(pPhuongPhap="Tỷ lệ",$J158,"(không áp dụng)")))</f>
        <v/>
      </c>
    </row>
    <row r="159" ht="15" customHeight="1" s="54">
      <c r="A159" s="80">
        <f>IF(INDEX(DM_Ma,67)="","",INDEX(DM_Ma,67))</f>
        <v/>
      </c>
      <c r="B159" s="80">
        <f>IF($A159="","",INDEX(DM_Ten,67))</f>
        <v/>
      </c>
      <c r="C159" s="82">
        <f>IF($A159="","",INDEX(DM_SLHT,67))</f>
        <v/>
      </c>
      <c r="D159" s="82">
        <f>IF($A159="","",INDEX(DM_HeSo,67))</f>
        <v/>
      </c>
      <c r="E159" s="82">
        <f>IF($A159="","",$C159*$D159)</f>
        <v/>
      </c>
      <c r="F159" s="82">
        <f>IF($A159="","",IF(SUM($E93:$E172)=0,0,hpTong*$E159/SUM($E93:$E172)))</f>
        <v/>
      </c>
      <c r="G159" s="82">
        <f>IF($A159="","",IF($C159&lt;=0,"⚠ SL=0",ROUND($F159/$C159,0)))</f>
        <v/>
      </c>
      <c r="H159" s="82">
        <f>IF($A159="","",INDEX(DM_DGDinhMucKH,67))</f>
        <v/>
      </c>
      <c r="I159" s="82">
        <f>IF($A159="","",$C159*$H159)</f>
        <v/>
      </c>
      <c r="J159" s="82">
        <f>IF($A159="","",IF(SUM($I93:$I172)=0,0,$I159*hpTong/SUM($I93:$I172)))</f>
        <v/>
      </c>
      <c r="K159" s="82">
        <f>IF($A159="","",IF($C159&lt;=0,"⚠ SL=0",ROUND($J159/$C159,0)))</f>
        <v/>
      </c>
      <c r="L159" s="82">
        <f>IF($A159="","",IF(pPhuongPhap="Hệ số",$F159,IF(pPhuongPhap="Tỷ lệ",$J159,"(không áp dụng)")))</f>
        <v/>
      </c>
    </row>
    <row r="160" ht="15" customHeight="1" s="54">
      <c r="A160" s="80">
        <f>IF(INDEX(DM_Ma,68)="","",INDEX(DM_Ma,68))</f>
        <v/>
      </c>
      <c r="B160" s="80">
        <f>IF($A160="","",INDEX(DM_Ten,68))</f>
        <v/>
      </c>
      <c r="C160" s="82">
        <f>IF($A160="","",INDEX(DM_SLHT,68))</f>
        <v/>
      </c>
      <c r="D160" s="82">
        <f>IF($A160="","",INDEX(DM_HeSo,68))</f>
        <v/>
      </c>
      <c r="E160" s="82">
        <f>IF($A160="","",$C160*$D160)</f>
        <v/>
      </c>
      <c r="F160" s="82">
        <f>IF($A160="","",IF(SUM($E93:$E172)=0,0,hpTong*$E160/SUM($E93:$E172)))</f>
        <v/>
      </c>
      <c r="G160" s="82">
        <f>IF($A160="","",IF($C160&lt;=0,"⚠ SL=0",ROUND($F160/$C160,0)))</f>
        <v/>
      </c>
      <c r="H160" s="82">
        <f>IF($A160="","",INDEX(DM_DGDinhMucKH,68))</f>
        <v/>
      </c>
      <c r="I160" s="82">
        <f>IF($A160="","",$C160*$H160)</f>
        <v/>
      </c>
      <c r="J160" s="82">
        <f>IF($A160="","",IF(SUM($I93:$I172)=0,0,$I160*hpTong/SUM($I93:$I172)))</f>
        <v/>
      </c>
      <c r="K160" s="82">
        <f>IF($A160="","",IF($C160&lt;=0,"⚠ SL=0",ROUND($J160/$C160,0)))</f>
        <v/>
      </c>
      <c r="L160" s="82">
        <f>IF($A160="","",IF(pPhuongPhap="Hệ số",$F160,IF(pPhuongPhap="Tỷ lệ",$J160,"(không áp dụng)")))</f>
        <v/>
      </c>
    </row>
    <row r="161" ht="15" customHeight="1" s="54">
      <c r="A161" s="80">
        <f>IF(INDEX(DM_Ma,69)="","",INDEX(DM_Ma,69))</f>
        <v/>
      </c>
      <c r="B161" s="80">
        <f>IF($A161="","",INDEX(DM_Ten,69))</f>
        <v/>
      </c>
      <c r="C161" s="82">
        <f>IF($A161="","",INDEX(DM_SLHT,69))</f>
        <v/>
      </c>
      <c r="D161" s="82">
        <f>IF($A161="","",INDEX(DM_HeSo,69))</f>
        <v/>
      </c>
      <c r="E161" s="82">
        <f>IF($A161="","",$C161*$D161)</f>
        <v/>
      </c>
      <c r="F161" s="82">
        <f>IF($A161="","",IF(SUM($E93:$E172)=0,0,hpTong*$E161/SUM($E93:$E172)))</f>
        <v/>
      </c>
      <c r="G161" s="82">
        <f>IF($A161="","",IF($C161&lt;=0,"⚠ SL=0",ROUND($F161/$C161,0)))</f>
        <v/>
      </c>
      <c r="H161" s="82">
        <f>IF($A161="","",INDEX(DM_DGDinhMucKH,69))</f>
        <v/>
      </c>
      <c r="I161" s="82">
        <f>IF($A161="","",$C161*$H161)</f>
        <v/>
      </c>
      <c r="J161" s="82">
        <f>IF($A161="","",IF(SUM($I93:$I172)=0,0,$I161*hpTong/SUM($I93:$I172)))</f>
        <v/>
      </c>
      <c r="K161" s="82">
        <f>IF($A161="","",IF($C161&lt;=0,"⚠ SL=0",ROUND($J161/$C161,0)))</f>
        <v/>
      </c>
      <c r="L161" s="82">
        <f>IF($A161="","",IF(pPhuongPhap="Hệ số",$F161,IF(pPhuongPhap="Tỷ lệ",$J161,"(không áp dụng)")))</f>
        <v/>
      </c>
    </row>
    <row r="162" ht="15" customHeight="1" s="54">
      <c r="A162" s="80">
        <f>IF(INDEX(DM_Ma,70)="","",INDEX(DM_Ma,70))</f>
        <v/>
      </c>
      <c r="B162" s="80">
        <f>IF($A162="","",INDEX(DM_Ten,70))</f>
        <v/>
      </c>
      <c r="C162" s="82">
        <f>IF($A162="","",INDEX(DM_SLHT,70))</f>
        <v/>
      </c>
      <c r="D162" s="82">
        <f>IF($A162="","",INDEX(DM_HeSo,70))</f>
        <v/>
      </c>
      <c r="E162" s="82">
        <f>IF($A162="","",$C162*$D162)</f>
        <v/>
      </c>
      <c r="F162" s="82">
        <f>IF($A162="","",IF(SUM($E93:$E172)=0,0,hpTong*$E162/SUM($E93:$E172)))</f>
        <v/>
      </c>
      <c r="G162" s="82">
        <f>IF($A162="","",IF($C162&lt;=0,"⚠ SL=0",ROUND($F162/$C162,0)))</f>
        <v/>
      </c>
      <c r="H162" s="82">
        <f>IF($A162="","",INDEX(DM_DGDinhMucKH,70))</f>
        <v/>
      </c>
      <c r="I162" s="82">
        <f>IF($A162="","",$C162*$H162)</f>
        <v/>
      </c>
      <c r="J162" s="82">
        <f>IF($A162="","",IF(SUM($I93:$I172)=0,0,$I162*hpTong/SUM($I93:$I172)))</f>
        <v/>
      </c>
      <c r="K162" s="82">
        <f>IF($A162="","",IF($C162&lt;=0,"⚠ SL=0",ROUND($J162/$C162,0)))</f>
        <v/>
      </c>
      <c r="L162" s="82">
        <f>IF($A162="","",IF(pPhuongPhap="Hệ số",$F162,IF(pPhuongPhap="Tỷ lệ",$J162,"(không áp dụng)")))</f>
        <v/>
      </c>
    </row>
    <row r="163" ht="15" customHeight="1" s="54">
      <c r="A163" s="80">
        <f>IF(INDEX(DM_Ma,71)="","",INDEX(DM_Ma,71))</f>
        <v/>
      </c>
      <c r="B163" s="80">
        <f>IF($A163="","",INDEX(DM_Ten,71))</f>
        <v/>
      </c>
      <c r="C163" s="82">
        <f>IF($A163="","",INDEX(DM_SLHT,71))</f>
        <v/>
      </c>
      <c r="D163" s="82">
        <f>IF($A163="","",INDEX(DM_HeSo,71))</f>
        <v/>
      </c>
      <c r="E163" s="82">
        <f>IF($A163="","",$C163*$D163)</f>
        <v/>
      </c>
      <c r="F163" s="82">
        <f>IF($A163="","",IF(SUM($E93:$E172)=0,0,hpTong*$E163/SUM($E93:$E172)))</f>
        <v/>
      </c>
      <c r="G163" s="82">
        <f>IF($A163="","",IF($C163&lt;=0,"⚠ SL=0",ROUND($F163/$C163,0)))</f>
        <v/>
      </c>
      <c r="H163" s="82">
        <f>IF($A163="","",INDEX(DM_DGDinhMucKH,71))</f>
        <v/>
      </c>
      <c r="I163" s="82">
        <f>IF($A163="","",$C163*$H163)</f>
        <v/>
      </c>
      <c r="J163" s="82">
        <f>IF($A163="","",IF(SUM($I93:$I172)=0,0,$I163*hpTong/SUM($I93:$I172)))</f>
        <v/>
      </c>
      <c r="K163" s="82">
        <f>IF($A163="","",IF($C163&lt;=0,"⚠ SL=0",ROUND($J163/$C163,0)))</f>
        <v/>
      </c>
      <c r="L163" s="82">
        <f>IF($A163="","",IF(pPhuongPhap="Hệ số",$F163,IF(pPhuongPhap="Tỷ lệ",$J163,"(không áp dụng)")))</f>
        <v/>
      </c>
    </row>
    <row r="164" ht="15" customHeight="1" s="54">
      <c r="A164" s="80">
        <f>IF(INDEX(DM_Ma,72)="","",INDEX(DM_Ma,72))</f>
        <v/>
      </c>
      <c r="B164" s="80">
        <f>IF($A164="","",INDEX(DM_Ten,72))</f>
        <v/>
      </c>
      <c r="C164" s="82">
        <f>IF($A164="","",INDEX(DM_SLHT,72))</f>
        <v/>
      </c>
      <c r="D164" s="82">
        <f>IF($A164="","",INDEX(DM_HeSo,72))</f>
        <v/>
      </c>
      <c r="E164" s="82">
        <f>IF($A164="","",$C164*$D164)</f>
        <v/>
      </c>
      <c r="F164" s="82">
        <f>IF($A164="","",IF(SUM($E93:$E172)=0,0,hpTong*$E164/SUM($E93:$E172)))</f>
        <v/>
      </c>
      <c r="G164" s="82">
        <f>IF($A164="","",IF($C164&lt;=0,"⚠ SL=0",ROUND($F164/$C164,0)))</f>
        <v/>
      </c>
      <c r="H164" s="82">
        <f>IF($A164="","",INDEX(DM_DGDinhMucKH,72))</f>
        <v/>
      </c>
      <c r="I164" s="82">
        <f>IF($A164="","",$C164*$H164)</f>
        <v/>
      </c>
      <c r="J164" s="82">
        <f>IF($A164="","",IF(SUM($I93:$I172)=0,0,$I164*hpTong/SUM($I93:$I172)))</f>
        <v/>
      </c>
      <c r="K164" s="82">
        <f>IF($A164="","",IF($C164&lt;=0,"⚠ SL=0",ROUND($J164/$C164,0)))</f>
        <v/>
      </c>
      <c r="L164" s="82">
        <f>IF($A164="","",IF(pPhuongPhap="Hệ số",$F164,IF(pPhuongPhap="Tỷ lệ",$J164,"(không áp dụng)")))</f>
        <v/>
      </c>
    </row>
    <row r="165" ht="15" customHeight="1" s="54">
      <c r="A165" s="80">
        <f>IF(INDEX(DM_Ma,73)="","",INDEX(DM_Ma,73))</f>
        <v/>
      </c>
      <c r="B165" s="80">
        <f>IF($A165="","",INDEX(DM_Ten,73))</f>
        <v/>
      </c>
      <c r="C165" s="82">
        <f>IF($A165="","",INDEX(DM_SLHT,73))</f>
        <v/>
      </c>
      <c r="D165" s="82">
        <f>IF($A165="","",INDEX(DM_HeSo,73))</f>
        <v/>
      </c>
      <c r="E165" s="82">
        <f>IF($A165="","",$C165*$D165)</f>
        <v/>
      </c>
      <c r="F165" s="82">
        <f>IF($A165="","",IF(SUM($E93:$E172)=0,0,hpTong*$E165/SUM($E93:$E172)))</f>
        <v/>
      </c>
      <c r="G165" s="82">
        <f>IF($A165="","",IF($C165&lt;=0,"⚠ SL=0",ROUND($F165/$C165,0)))</f>
        <v/>
      </c>
      <c r="H165" s="82">
        <f>IF($A165="","",INDEX(DM_DGDinhMucKH,73))</f>
        <v/>
      </c>
      <c r="I165" s="82">
        <f>IF($A165="","",$C165*$H165)</f>
        <v/>
      </c>
      <c r="J165" s="82">
        <f>IF($A165="","",IF(SUM($I93:$I172)=0,0,$I165*hpTong/SUM($I93:$I172)))</f>
        <v/>
      </c>
      <c r="K165" s="82">
        <f>IF($A165="","",IF($C165&lt;=0,"⚠ SL=0",ROUND($J165/$C165,0)))</f>
        <v/>
      </c>
      <c r="L165" s="82">
        <f>IF($A165="","",IF(pPhuongPhap="Hệ số",$F165,IF(pPhuongPhap="Tỷ lệ",$J165,"(không áp dụng)")))</f>
        <v/>
      </c>
    </row>
    <row r="166" ht="15" customHeight="1" s="54">
      <c r="A166" s="80">
        <f>IF(INDEX(DM_Ma,74)="","",INDEX(DM_Ma,74))</f>
        <v/>
      </c>
      <c r="B166" s="80">
        <f>IF($A166="","",INDEX(DM_Ten,74))</f>
        <v/>
      </c>
      <c r="C166" s="82">
        <f>IF($A166="","",INDEX(DM_SLHT,74))</f>
        <v/>
      </c>
      <c r="D166" s="82">
        <f>IF($A166="","",INDEX(DM_HeSo,74))</f>
        <v/>
      </c>
      <c r="E166" s="82">
        <f>IF($A166="","",$C166*$D166)</f>
        <v/>
      </c>
      <c r="F166" s="82">
        <f>IF($A166="","",IF(SUM($E93:$E172)=0,0,hpTong*$E166/SUM($E93:$E172)))</f>
        <v/>
      </c>
      <c r="G166" s="82">
        <f>IF($A166="","",IF($C166&lt;=0,"⚠ SL=0",ROUND($F166/$C166,0)))</f>
        <v/>
      </c>
      <c r="H166" s="82">
        <f>IF($A166="","",INDEX(DM_DGDinhMucKH,74))</f>
        <v/>
      </c>
      <c r="I166" s="82">
        <f>IF($A166="","",$C166*$H166)</f>
        <v/>
      </c>
      <c r="J166" s="82">
        <f>IF($A166="","",IF(SUM($I93:$I172)=0,0,$I166*hpTong/SUM($I93:$I172)))</f>
        <v/>
      </c>
      <c r="K166" s="82">
        <f>IF($A166="","",IF($C166&lt;=0,"⚠ SL=0",ROUND($J166/$C166,0)))</f>
        <v/>
      </c>
      <c r="L166" s="82">
        <f>IF($A166="","",IF(pPhuongPhap="Hệ số",$F166,IF(pPhuongPhap="Tỷ lệ",$J166,"(không áp dụng)")))</f>
        <v/>
      </c>
    </row>
    <row r="167" ht="15" customHeight="1" s="54">
      <c r="A167" s="80">
        <f>IF(INDEX(DM_Ma,75)="","",INDEX(DM_Ma,75))</f>
        <v/>
      </c>
      <c r="B167" s="80">
        <f>IF($A167="","",INDEX(DM_Ten,75))</f>
        <v/>
      </c>
      <c r="C167" s="82">
        <f>IF($A167="","",INDEX(DM_SLHT,75))</f>
        <v/>
      </c>
      <c r="D167" s="82">
        <f>IF($A167="","",INDEX(DM_HeSo,75))</f>
        <v/>
      </c>
      <c r="E167" s="82">
        <f>IF($A167="","",$C167*$D167)</f>
        <v/>
      </c>
      <c r="F167" s="82">
        <f>IF($A167="","",IF(SUM($E93:$E172)=0,0,hpTong*$E167/SUM($E93:$E172)))</f>
        <v/>
      </c>
      <c r="G167" s="82">
        <f>IF($A167="","",IF($C167&lt;=0,"⚠ SL=0",ROUND($F167/$C167,0)))</f>
        <v/>
      </c>
      <c r="H167" s="82">
        <f>IF($A167="","",INDEX(DM_DGDinhMucKH,75))</f>
        <v/>
      </c>
      <c r="I167" s="82">
        <f>IF($A167="","",$C167*$H167)</f>
        <v/>
      </c>
      <c r="J167" s="82">
        <f>IF($A167="","",IF(SUM($I93:$I172)=0,0,$I167*hpTong/SUM($I93:$I172)))</f>
        <v/>
      </c>
      <c r="K167" s="82">
        <f>IF($A167="","",IF($C167&lt;=0,"⚠ SL=0",ROUND($J167/$C167,0)))</f>
        <v/>
      </c>
      <c r="L167" s="82">
        <f>IF($A167="","",IF(pPhuongPhap="Hệ số",$F167,IF(pPhuongPhap="Tỷ lệ",$J167,"(không áp dụng)")))</f>
        <v/>
      </c>
    </row>
    <row r="168" ht="15" customHeight="1" s="54">
      <c r="A168" s="80">
        <f>IF(INDEX(DM_Ma,76)="","",INDEX(DM_Ma,76))</f>
        <v/>
      </c>
      <c r="B168" s="80">
        <f>IF($A168="","",INDEX(DM_Ten,76))</f>
        <v/>
      </c>
      <c r="C168" s="82">
        <f>IF($A168="","",INDEX(DM_SLHT,76))</f>
        <v/>
      </c>
      <c r="D168" s="82">
        <f>IF($A168="","",INDEX(DM_HeSo,76))</f>
        <v/>
      </c>
      <c r="E168" s="82">
        <f>IF($A168="","",$C168*$D168)</f>
        <v/>
      </c>
      <c r="F168" s="82">
        <f>IF($A168="","",IF(SUM($E93:$E172)=0,0,hpTong*$E168/SUM($E93:$E172)))</f>
        <v/>
      </c>
      <c r="G168" s="82">
        <f>IF($A168="","",IF($C168&lt;=0,"⚠ SL=0",ROUND($F168/$C168,0)))</f>
        <v/>
      </c>
      <c r="H168" s="82">
        <f>IF($A168="","",INDEX(DM_DGDinhMucKH,76))</f>
        <v/>
      </c>
      <c r="I168" s="82">
        <f>IF($A168="","",$C168*$H168)</f>
        <v/>
      </c>
      <c r="J168" s="82">
        <f>IF($A168="","",IF(SUM($I93:$I172)=0,0,$I168*hpTong/SUM($I93:$I172)))</f>
        <v/>
      </c>
      <c r="K168" s="82">
        <f>IF($A168="","",IF($C168&lt;=0,"⚠ SL=0",ROUND($J168/$C168,0)))</f>
        <v/>
      </c>
      <c r="L168" s="82">
        <f>IF($A168="","",IF(pPhuongPhap="Hệ số",$F168,IF(pPhuongPhap="Tỷ lệ",$J168,"(không áp dụng)")))</f>
        <v/>
      </c>
    </row>
    <row r="169" ht="15" customHeight="1" s="54">
      <c r="A169" s="80">
        <f>IF(INDEX(DM_Ma,77)="","",INDEX(DM_Ma,77))</f>
        <v/>
      </c>
      <c r="B169" s="80">
        <f>IF($A169="","",INDEX(DM_Ten,77))</f>
        <v/>
      </c>
      <c r="C169" s="82">
        <f>IF($A169="","",INDEX(DM_SLHT,77))</f>
        <v/>
      </c>
      <c r="D169" s="82">
        <f>IF($A169="","",INDEX(DM_HeSo,77))</f>
        <v/>
      </c>
      <c r="E169" s="82">
        <f>IF($A169="","",$C169*$D169)</f>
        <v/>
      </c>
      <c r="F169" s="82">
        <f>IF($A169="","",IF(SUM($E93:$E172)=0,0,hpTong*$E169/SUM($E93:$E172)))</f>
        <v/>
      </c>
      <c r="G169" s="82">
        <f>IF($A169="","",IF($C169&lt;=0,"⚠ SL=0",ROUND($F169/$C169,0)))</f>
        <v/>
      </c>
      <c r="H169" s="82">
        <f>IF($A169="","",INDEX(DM_DGDinhMucKH,77))</f>
        <v/>
      </c>
      <c r="I169" s="82">
        <f>IF($A169="","",$C169*$H169)</f>
        <v/>
      </c>
      <c r="J169" s="82">
        <f>IF($A169="","",IF(SUM($I93:$I172)=0,0,$I169*hpTong/SUM($I93:$I172)))</f>
        <v/>
      </c>
      <c r="K169" s="82">
        <f>IF($A169="","",IF($C169&lt;=0,"⚠ SL=0",ROUND($J169/$C169,0)))</f>
        <v/>
      </c>
      <c r="L169" s="82">
        <f>IF($A169="","",IF(pPhuongPhap="Hệ số",$F169,IF(pPhuongPhap="Tỷ lệ",$J169,"(không áp dụng)")))</f>
        <v/>
      </c>
    </row>
    <row r="170" ht="15" customHeight="1" s="54">
      <c r="A170" s="80">
        <f>IF(INDEX(DM_Ma,78)="","",INDEX(DM_Ma,78))</f>
        <v/>
      </c>
      <c r="B170" s="80">
        <f>IF($A170="","",INDEX(DM_Ten,78))</f>
        <v/>
      </c>
      <c r="C170" s="82">
        <f>IF($A170="","",INDEX(DM_SLHT,78))</f>
        <v/>
      </c>
      <c r="D170" s="82">
        <f>IF($A170="","",INDEX(DM_HeSo,78))</f>
        <v/>
      </c>
      <c r="E170" s="82">
        <f>IF($A170="","",$C170*$D170)</f>
        <v/>
      </c>
      <c r="F170" s="82">
        <f>IF($A170="","",IF(SUM($E93:$E172)=0,0,hpTong*$E170/SUM($E93:$E172)))</f>
        <v/>
      </c>
      <c r="G170" s="82">
        <f>IF($A170="","",IF($C170&lt;=0,"⚠ SL=0",ROUND($F170/$C170,0)))</f>
        <v/>
      </c>
      <c r="H170" s="82">
        <f>IF($A170="","",INDEX(DM_DGDinhMucKH,78))</f>
        <v/>
      </c>
      <c r="I170" s="82">
        <f>IF($A170="","",$C170*$H170)</f>
        <v/>
      </c>
      <c r="J170" s="82">
        <f>IF($A170="","",IF(SUM($I93:$I172)=0,0,$I170*hpTong/SUM($I93:$I172)))</f>
        <v/>
      </c>
      <c r="K170" s="82">
        <f>IF($A170="","",IF($C170&lt;=0,"⚠ SL=0",ROUND($J170/$C170,0)))</f>
        <v/>
      </c>
      <c r="L170" s="82">
        <f>IF($A170="","",IF(pPhuongPhap="Hệ số",$F170,IF(pPhuongPhap="Tỷ lệ",$J170,"(không áp dụng)")))</f>
        <v/>
      </c>
    </row>
    <row r="171" ht="15" customHeight="1" s="54">
      <c r="A171" s="80">
        <f>IF(INDEX(DM_Ma,79)="","",INDEX(DM_Ma,79))</f>
        <v/>
      </c>
      <c r="B171" s="80">
        <f>IF($A171="","",INDEX(DM_Ten,79))</f>
        <v/>
      </c>
      <c r="C171" s="82">
        <f>IF($A171="","",INDEX(DM_SLHT,79))</f>
        <v/>
      </c>
      <c r="D171" s="82">
        <f>IF($A171="","",INDEX(DM_HeSo,79))</f>
        <v/>
      </c>
      <c r="E171" s="82">
        <f>IF($A171="","",$C171*$D171)</f>
        <v/>
      </c>
      <c r="F171" s="82">
        <f>IF($A171="","",IF(SUM($E93:$E172)=0,0,hpTong*$E171/SUM($E93:$E172)))</f>
        <v/>
      </c>
      <c r="G171" s="82">
        <f>IF($A171="","",IF($C171&lt;=0,"⚠ SL=0",ROUND($F171/$C171,0)))</f>
        <v/>
      </c>
      <c r="H171" s="82">
        <f>IF($A171="","",INDEX(DM_DGDinhMucKH,79))</f>
        <v/>
      </c>
      <c r="I171" s="82">
        <f>IF($A171="","",$C171*$H171)</f>
        <v/>
      </c>
      <c r="J171" s="82">
        <f>IF($A171="","",IF(SUM($I93:$I172)=0,0,$I171*hpTong/SUM($I93:$I172)))</f>
        <v/>
      </c>
      <c r="K171" s="82">
        <f>IF($A171="","",IF($C171&lt;=0,"⚠ SL=0",ROUND($J171/$C171,0)))</f>
        <v/>
      </c>
      <c r="L171" s="82">
        <f>IF($A171="","",IF(pPhuongPhap="Hệ số",$F171,IF(pPhuongPhap="Tỷ lệ",$J171,"(không áp dụng)")))</f>
        <v/>
      </c>
    </row>
    <row r="172" ht="15" customHeight="1" s="54">
      <c r="A172" s="80">
        <f>IF(INDEX(DM_Ma,80)="","",INDEX(DM_Ma,80))</f>
        <v/>
      </c>
      <c r="B172" s="80">
        <f>IF($A172="","",INDEX(DM_Ten,80))</f>
        <v/>
      </c>
      <c r="C172" s="82">
        <f>IF($A172="","",INDEX(DM_SLHT,80))</f>
        <v/>
      </c>
      <c r="D172" s="82">
        <f>IF($A172="","",INDEX(DM_HeSo,80))</f>
        <v/>
      </c>
      <c r="E172" s="82">
        <f>IF($A172="","",$C172*$D172)</f>
        <v/>
      </c>
      <c r="F172" s="82">
        <f>IF($A172="","",IF(SUM($E93:$E172)=0,0,hpTong*$E172/SUM($E93:$E172)))</f>
        <v/>
      </c>
      <c r="G172" s="82">
        <f>IF($A172="","",IF($C172&lt;=0,"⚠ SL=0",ROUND($F172/$C172,0)))</f>
        <v/>
      </c>
      <c r="H172" s="82">
        <f>IF($A172="","",INDEX(DM_DGDinhMucKH,80))</f>
        <v/>
      </c>
      <c r="I172" s="82">
        <f>IF($A172="","",$C172*$H172)</f>
        <v/>
      </c>
      <c r="J172" s="82">
        <f>IF($A172="","",IF(SUM($I93:$I172)=0,0,$I172*hpTong/SUM($I93:$I172)))</f>
        <v/>
      </c>
      <c r="K172" s="82">
        <f>IF($A172="","",IF($C172&lt;=0,"⚠ SL=0",ROUND($J172/$C172,0)))</f>
        <v/>
      </c>
      <c r="L172" s="82">
        <f>IF($A172="","",IF(pPhuongPhap="Hệ số",$F172,IF(pPhuongPhap="Tỷ lệ",$J172,"(không áp dụng)")))</f>
        <v/>
      </c>
    </row>
    <row r="174" ht="15" customHeight="1" s="54">
      <c r="A174" s="78" t="inlineStr">
        <is>
          <t>Công cụ tính giá thành  |  Mr. Wick Kiểm toán  •  taichinhketoanedu.com</t>
        </is>
      </c>
    </row>
  </sheetData>
  <sheetProtection selectLockedCells="0" selectUnlockedCells="0" sheet="1" objects="0" insertRows="1" insertHyperlinks="1" autoFilter="1" scenarios="0" formatColumns="1" deleteColumns="1" insertColumns="1" pivotTables="1" deleteRows="1" formatCells="0" formatRows="1" sort="1"/>
  <mergeCells count="3">
    <mergeCell ref="A174:L174"/>
    <mergeCell ref="A1:P1"/>
    <mergeCell ref="A90:D9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53" min="1" max="1"/>
    <col width="52" customWidth="1" style="53" min="2" max="2"/>
    <col width="18" customWidth="1" style="53" min="3" max="3"/>
    <col width="20" customWidth="1" style="53" min="4" max="4"/>
  </cols>
  <sheetData>
    <row r="1" ht="24" customHeight="1" s="54">
      <c r="A1" s="55" t="inlineStr">
        <is>
          <t>KIỂM SOÁT DỮ LIỆU — kiểm tra trước khi tin vào giá thành</t>
        </is>
      </c>
    </row>
    <row r="2" ht="15" customHeight="1" s="54">
      <c r="A2" s="65" t="inlineStr">
        <is>
          <t>Xử lý hết mục 🔴 (LỖI) và rà soát 🟡 (CẦN KIỂM TRA) trước khi dùng kết quả. Không có mục nào che lỗi bằng IFERROR.</t>
        </is>
      </c>
    </row>
    <row r="3"/>
    <row r="4" ht="15" customHeight="1" s="54">
      <c r="A4" s="74" t="inlineStr">
        <is>
          <t>#</t>
        </is>
      </c>
      <c r="B4" s="74" t="inlineStr">
        <is>
          <t>Nội dung kiểm tra</t>
        </is>
      </c>
      <c r="C4" s="74" t="inlineStr">
        <is>
          <t>Số lượng / Giá trị</t>
        </is>
      </c>
      <c r="D4" s="74" t="inlineStr">
        <is>
          <t>Trạng thái</t>
        </is>
      </c>
    </row>
    <row r="5" ht="15" customHeight="1" s="54">
      <c r="A5" s="92" t="n">
        <v>1</v>
      </c>
      <c r="B5" s="93" t="inlineStr">
        <is>
          <t>Mã đối tượng chi phí không tồn tại trong danh mục</t>
        </is>
      </c>
      <c r="C5" s="94">
        <f>COUNTIF(LC_Ma,"MÃ LẠ")</f>
        <v/>
      </c>
      <c r="D5" s="95">
        <f>IF($C5=0,"🟢 HỢP LỆ","🔴 LỖI")</f>
        <v/>
      </c>
    </row>
    <row r="6" ht="15" customHeight="1" s="54">
      <c r="A6" s="92" t="n">
        <v>2</v>
      </c>
      <c r="B6" s="93" t="inlineStr">
        <is>
          <t>Mã đối tượng bị trùng trong danh mục</t>
        </is>
      </c>
      <c r="C6" s="94">
        <f>COUNTIF(DM_chkTrung,"TRÙNG")</f>
        <v/>
      </c>
      <c r="D6" s="95">
        <f>IF($C6=0,"🟢 HỢP LỆ","🔴 LỖI")</f>
        <v/>
      </c>
    </row>
    <row r="7" ht="15" customHeight="1" s="54">
      <c r="A7" s="92" t="n">
        <v>3</v>
      </c>
      <c r="B7" s="93" t="inlineStr">
        <is>
          <t>Chứng từ có ngày NGOÀI kỳ (bị loại khỏi tính toán)</t>
        </is>
      </c>
      <c r="C7" s="94">
        <f>COUNTIF(LC_Ky,"NGOÀI KỲ")</f>
        <v/>
      </c>
      <c r="D7" s="95">
        <f>IF($C7=0,"🟢 HỢP LỆ","🟡 CẦN KIỂM TRA")</f>
        <v/>
      </c>
    </row>
    <row r="8" ht="15" customHeight="1" s="54">
      <c r="A8" s="92" t="n">
        <v>4</v>
      </c>
      <c r="B8" s="93" t="inlineStr">
        <is>
          <t>Dòng chi phí có số tiền ≤ 0</t>
        </is>
      </c>
      <c r="C8" s="94">
        <f>COUNTIF(LC_Tien,"≤0")</f>
        <v/>
      </c>
      <c r="D8" s="95">
        <f>IF($C8=0,"🟢 HỢP LỆ","🟡 CẦN KIỂM TRA")</f>
        <v/>
      </c>
    </row>
    <row r="9" ht="15" customHeight="1" s="54">
      <c r="A9" s="92" t="n">
        <v>5</v>
      </c>
      <c r="B9" s="93" t="inlineStr">
        <is>
          <t>627 chung chưa xác định Cố định/Biến đổi</t>
        </is>
      </c>
      <c r="C9" s="94">
        <f>COUNTIF(LC_627,"THIẾU TÍNH CHẤT")</f>
        <v/>
      </c>
      <c r="D9" s="95">
        <f>IF($C9=0,"🟢 HỢP LỆ","🔴 LỖI")</f>
        <v/>
      </c>
    </row>
    <row r="10" ht="15" customHeight="1" s="54">
      <c r="A10" s="92" t="n">
        <v>6</v>
      </c>
      <c r="B10" s="93" t="inlineStr">
        <is>
          <t>Có chi phí CHUNG nhưng không phân bổ được</t>
        </is>
      </c>
      <c r="C10" s="94">
        <f>IF(AND(tBase=0,(pool621+pool622+pool623+pool627BD+t627CDabs)&gt;0),1,0)</f>
        <v/>
      </c>
      <c r="D10" s="95">
        <f>IF($C10=0,"🟢 HỢP LỆ","🔴 LỖI")</f>
        <v/>
      </c>
    </row>
    <row r="11" ht="15" customHeight="1" s="54">
      <c r="A11" s="92" t="n">
        <v>7</v>
      </c>
      <c r="B11" s="93" t="inlineStr">
        <is>
          <t>Tổng tiêu thức phân bổ = 0</t>
        </is>
      </c>
      <c r="C11" s="94">
        <f>IF(AND(tBase=0,(pool621+pool622+pool623+pool627BD+t627CDabs)&gt;0),1,0)</f>
        <v/>
      </c>
      <c r="D11" s="95">
        <f>IF($C11=0,"🟢 HỢP LỆ","🔴 LỖI")</f>
        <v/>
      </c>
    </row>
    <row r="12" ht="15" customHeight="1" s="54">
      <c r="A12" s="92" t="n">
        <v>8</v>
      </c>
      <c r="B12" s="93" t="inlineStr">
        <is>
          <t>Công suất bình thường = 0 mà có 627 cố định</t>
        </is>
      </c>
      <c r="C12" s="94">
        <f>IF(AND(pCongSuat&lt;=0,pool627CD&gt;0),1,0)</f>
        <v/>
      </c>
      <c r="D12" s="95">
        <f>IF($C12=0,"🟢 HỢP LỆ","🔴 LỖI")</f>
        <v/>
      </c>
    </row>
    <row r="13" ht="15" customHeight="1" s="54">
      <c r="A13" s="92" t="n">
        <v>9</v>
      </c>
      <c r="B13" s="93" t="inlineStr">
        <is>
          <t>% dở dang ngoài khoảng 0%–100%</t>
        </is>
      </c>
      <c r="C13" s="94">
        <f>COUNTIF(DM_chkPct,"❌ % SAI")</f>
        <v/>
      </c>
      <c r="D13" s="95">
        <f>IF($C13=0,"🟢 HỢP LỆ","🔴 LỖI")</f>
        <v/>
      </c>
    </row>
    <row r="14" ht="15" customHeight="1" s="54">
      <c r="A14" s="92" t="n">
        <v>10</v>
      </c>
      <c r="B14" s="93" t="inlineStr">
        <is>
          <t>Có giá thành nhưng sản lượng hoàn thành = 0</t>
        </is>
      </c>
      <c r="C14" s="94">
        <f>chkSL_sum</f>
        <v/>
      </c>
      <c r="D14" s="95">
        <f>IF($C14=0,"🟢 HỢP LỆ","🟡 CẦN KIỂM TRA")</f>
        <v/>
      </c>
    </row>
    <row r="15" ht="15" customHeight="1" s="54">
      <c r="A15" s="92" t="n">
        <v>11</v>
      </c>
      <c r="B15" s="93" t="inlineStr">
        <is>
          <t>Tổng chi phí chung tập hợp ≠ tổng đã phân bổ</t>
        </is>
      </c>
      <c r="C15" s="94">
        <f>IF(ROUND((pool621+pool622+pool623+pool627BD+t627CDabs)-(SUMIFS('4. Thẻ tính giá thành'!$K$14:$K$93,'4. Thẻ tính giá thành'!$A$14:$A$93,"&lt;&gt;")+SUMIFS('4. Thẻ tính giá thành'!$L$14:$L$93,'4. Thẻ tính giá thành'!$A$14:$A$93,"&lt;&gt;")+SUMIFS('4. Thẻ tính giá thành'!$M$14:$M$93,'4. Thẻ tính giá thành'!$A$14:$A$93,"&lt;&gt;")+SUMIFS('4. Thẻ tính giá thành'!$N$14:$N$93,'4. Thẻ tính giá thành'!$A$14:$A$93,"&lt;&gt;")+SUMIFS('4. Thẻ tính giá thành'!$O$14:$O$93,'4. Thẻ tính giá thành'!$A$14:$A$93,"&lt;&gt;")),0)=0,0,1)</f>
        <v/>
      </c>
      <c r="D15" s="95">
        <f>IF($C15=0,"🟢 HỢP LỆ","🔴 LỖI")</f>
        <v/>
      </c>
    </row>
    <row r="16" ht="15" customHeight="1" s="54">
      <c r="A16" s="92" t="n">
        <v>12</v>
      </c>
      <c r="B16" s="93" t="inlineStr">
        <is>
          <t>Phương trình cân đối giá thành không khớp</t>
        </is>
      </c>
      <c r="C16" s="94">
        <f>IF(ROUND((SUM('4. Thẻ tính giá thành'!$V$14:$V$93)+SUM('4. Thẻ tính giá thành'!$Y$14:$Y$93))-(SUM('4. Thẻ tính giá thành'!$AA$14:$AA$93)+SUM('4. Thẻ tính giá thành'!$Z$14:$Z$93)+SUM('4. Thẻ tính giá thành'!$W$14:$W$93)+SUM('4. Thẻ tính giá thành'!$X$14:$X$93)),0)=0,0,1)</f>
        <v/>
      </c>
      <c r="D16" s="95">
        <f>IF($C16=0,"🟢 HỢP LỆ","🔴 LỖI")</f>
        <v/>
      </c>
    </row>
    <row r="17" ht="15" customHeight="1" s="54">
      <c r="A17" s="92" t="n">
        <v>13</v>
      </c>
      <c r="B17" s="93" t="inlineStr">
        <is>
          <t>Có chi phí nhưng không gắn được đối tượng</t>
        </is>
      </c>
      <c r="C17" s="94">
        <f>COUNTIF(LC_Ma,"MÃ LẠ")</f>
        <v/>
      </c>
      <c r="D17" s="95">
        <f>IF($C17=0,"🟢 HỢP LỆ","🔴 LỖI")</f>
        <v/>
      </c>
    </row>
    <row r="18" ht="15" customHeight="1" s="54">
      <c r="A18" s="92" t="n">
        <v>14</v>
      </c>
      <c r="B18" s="93" t="inlineStr">
        <is>
          <t>Dở dang cuối kỳ âm</t>
        </is>
      </c>
      <c r="C18" s="94">
        <f>chkDDam_sum</f>
        <v/>
      </c>
      <c r="D18" s="95">
        <f>IF($C18=0,"🟢 HỢP LỆ","🔴 LỖI")</f>
        <v/>
      </c>
    </row>
    <row r="19" ht="15" customHeight="1" s="54">
      <c r="A19" s="92" t="n">
        <v>15</v>
      </c>
      <c r="B19" s="93" t="inlineStr">
        <is>
          <t>Tổng giá thành âm</t>
        </is>
      </c>
      <c r="C19" s="94">
        <f>chkZam_sum</f>
        <v/>
      </c>
      <c r="D19" s="95">
        <f>IF($C19=0,"🟢 HỢP LỆ","🔴 LỖI")</f>
        <v/>
      </c>
    </row>
    <row r="20"/>
    <row r="21" ht="15" customHeight="1" s="54">
      <c r="B21" s="63" t="inlineStr">
        <is>
          <t>TRẠNG THÁI TỔNG THỂ</t>
        </is>
      </c>
      <c r="D21" s="96">
        <f>IF(COUNTIF($D5:$D19,"*🔴*")&gt;0,"🔴 CÓ LỖI",IF(COUNTIF($D5:$D19,"*🟡*")&gt;0,"🟡 CẦN KIỂM TRA","🟢 HỢP LỆ"))</f>
        <v/>
      </c>
    </row>
    <row r="22"/>
    <row r="23" ht="15" customHeight="1" s="54">
      <c r="A23" s="78" t="inlineStr">
        <is>
          <t xml:space="preserve">Công cụ tính giá thành  |  KK HOME  •  </t>
        </is>
      </c>
    </row>
  </sheetData>
  <sheetProtection selectLockedCells="0" selectUnlockedCells="0" sheet="1" objects="0" insertRows="1" insertHyperlinks="1" autoFilter="1" scenarios="0" formatColumns="1" deleteColumns="1" insertColumns="1" pivotTables="1" deleteRows="1" formatCells="0" formatRows="1" sort="1"/>
  <mergeCells count="3">
    <mergeCell ref="A2:F2"/>
    <mergeCell ref="A23:D23"/>
    <mergeCell ref="A1:F1"/>
  </mergeCells>
  <conditionalFormatting sqref="D5">
    <cfRule type="expression" rank="0" priority="2" equalAverage="0" aboveAverage="0" dxfId="0" text="" percent="0" bottom="0">
      <formula>ISNUMBER(SEARCH("🔴",D5))</formula>
    </cfRule>
    <cfRule type="expression" rank="0" priority="3" equalAverage="0" aboveAverage="0" dxfId="1" text="" percent="0" bottom="0">
      <formula>ISNUMBER(SEARCH("🟡",D5))</formula>
    </cfRule>
    <cfRule type="expression" rank="0" priority="4" equalAverage="0" aboveAverage="0" dxfId="2" text="" percent="0" bottom="0">
      <formula>ISNUMBER(SEARCH("🟢",D5))</formula>
    </cfRule>
  </conditionalFormatting>
  <conditionalFormatting sqref="D6">
    <cfRule type="expression" rank="0" priority="5" equalAverage="0" aboveAverage="0" dxfId="0" text="" percent="0" bottom="0">
      <formula>ISNUMBER(SEARCH("🔴",D6))</formula>
    </cfRule>
    <cfRule type="expression" rank="0" priority="6" equalAverage="0" aboveAverage="0" dxfId="1" text="" percent="0" bottom="0">
      <formula>ISNUMBER(SEARCH("🟡",D6))</formula>
    </cfRule>
    <cfRule type="expression" rank="0" priority="7" equalAverage="0" aboveAverage="0" dxfId="2" text="" percent="0" bottom="0">
      <formula>ISNUMBER(SEARCH("🟢",D6))</formula>
    </cfRule>
  </conditionalFormatting>
  <conditionalFormatting sqref="D7">
    <cfRule type="expression" rank="0" priority="8" equalAverage="0" aboveAverage="0" dxfId="0" text="" percent="0" bottom="0">
      <formula>ISNUMBER(SEARCH("🔴",D7))</formula>
    </cfRule>
    <cfRule type="expression" rank="0" priority="9" equalAverage="0" aboveAverage="0" dxfId="1" text="" percent="0" bottom="0">
      <formula>ISNUMBER(SEARCH("🟡",D7))</formula>
    </cfRule>
    <cfRule type="expression" rank="0" priority="10" equalAverage="0" aboveAverage="0" dxfId="2" text="" percent="0" bottom="0">
      <formula>ISNUMBER(SEARCH("🟢",D7))</formula>
    </cfRule>
  </conditionalFormatting>
  <conditionalFormatting sqref="D8">
    <cfRule type="expression" rank="0" priority="11" equalAverage="0" aboveAverage="0" dxfId="0" text="" percent="0" bottom="0">
      <formula>ISNUMBER(SEARCH("🔴",D8))</formula>
    </cfRule>
    <cfRule type="expression" rank="0" priority="12" equalAverage="0" aboveAverage="0" dxfId="1" text="" percent="0" bottom="0">
      <formula>ISNUMBER(SEARCH("🟡",D8))</formula>
    </cfRule>
    <cfRule type="expression" rank="0" priority="13" equalAverage="0" aboveAverage="0" dxfId="2" text="" percent="0" bottom="0">
      <formula>ISNUMBER(SEARCH("🟢",D8))</formula>
    </cfRule>
  </conditionalFormatting>
  <conditionalFormatting sqref="D9">
    <cfRule type="expression" rank="0" priority="14" equalAverage="0" aboveAverage="0" dxfId="0" text="" percent="0" bottom="0">
      <formula>ISNUMBER(SEARCH("🔴",D9))</formula>
    </cfRule>
    <cfRule type="expression" rank="0" priority="15" equalAverage="0" aboveAverage="0" dxfId="1" text="" percent="0" bottom="0">
      <formula>ISNUMBER(SEARCH("🟡",D9))</formula>
    </cfRule>
    <cfRule type="expression" rank="0" priority="16" equalAverage="0" aboveAverage="0" dxfId="2" text="" percent="0" bottom="0">
      <formula>ISNUMBER(SEARCH("🟢",D9))</formula>
    </cfRule>
  </conditionalFormatting>
  <conditionalFormatting sqref="D10">
    <cfRule type="expression" rank="0" priority="17" equalAverage="0" aboveAverage="0" dxfId="0" text="" percent="0" bottom="0">
      <formula>ISNUMBER(SEARCH("🔴",D10))</formula>
    </cfRule>
    <cfRule type="expression" rank="0" priority="18" equalAverage="0" aboveAverage="0" dxfId="1" text="" percent="0" bottom="0">
      <formula>ISNUMBER(SEARCH("🟡",D10))</formula>
    </cfRule>
    <cfRule type="expression" rank="0" priority="19" equalAverage="0" aboveAverage="0" dxfId="2" text="" percent="0" bottom="0">
      <formula>ISNUMBER(SEARCH("🟢",D10))</formula>
    </cfRule>
  </conditionalFormatting>
  <conditionalFormatting sqref="D11">
    <cfRule type="expression" rank="0" priority="20" equalAverage="0" aboveAverage="0" dxfId="0" text="" percent="0" bottom="0">
      <formula>ISNUMBER(SEARCH("🔴",D11))</formula>
    </cfRule>
    <cfRule type="expression" rank="0" priority="21" equalAverage="0" aboveAverage="0" dxfId="1" text="" percent="0" bottom="0">
      <formula>ISNUMBER(SEARCH("🟡",D11))</formula>
    </cfRule>
    <cfRule type="expression" rank="0" priority="22" equalAverage="0" aboveAverage="0" dxfId="2" text="" percent="0" bottom="0">
      <formula>ISNUMBER(SEARCH("🟢",D11))</formula>
    </cfRule>
  </conditionalFormatting>
  <conditionalFormatting sqref="D12">
    <cfRule type="expression" rank="0" priority="23" equalAverage="0" aboveAverage="0" dxfId="0" text="" percent="0" bottom="0">
      <formula>ISNUMBER(SEARCH("🔴",D12))</formula>
    </cfRule>
    <cfRule type="expression" rank="0" priority="24" equalAverage="0" aboveAverage="0" dxfId="1" text="" percent="0" bottom="0">
      <formula>ISNUMBER(SEARCH("🟡",D12))</formula>
    </cfRule>
    <cfRule type="expression" rank="0" priority="25" equalAverage="0" aboveAverage="0" dxfId="2" text="" percent="0" bottom="0">
      <formula>ISNUMBER(SEARCH("🟢",D12))</formula>
    </cfRule>
  </conditionalFormatting>
  <conditionalFormatting sqref="D13">
    <cfRule type="expression" rank="0" priority="26" equalAverage="0" aboveAverage="0" dxfId="0" text="" percent="0" bottom="0">
      <formula>ISNUMBER(SEARCH("🔴",D13))</formula>
    </cfRule>
    <cfRule type="expression" rank="0" priority="27" equalAverage="0" aboveAverage="0" dxfId="1" text="" percent="0" bottom="0">
      <formula>ISNUMBER(SEARCH("🟡",D13))</formula>
    </cfRule>
    <cfRule type="expression" rank="0" priority="28" equalAverage="0" aboveAverage="0" dxfId="2" text="" percent="0" bottom="0">
      <formula>ISNUMBER(SEARCH("🟢",D13))</formula>
    </cfRule>
  </conditionalFormatting>
  <conditionalFormatting sqref="D14">
    <cfRule type="expression" rank="0" priority="29" equalAverage="0" aboveAverage="0" dxfId="0" text="" percent="0" bottom="0">
      <formula>ISNUMBER(SEARCH("🔴",D14))</formula>
    </cfRule>
    <cfRule type="expression" rank="0" priority="30" equalAverage="0" aboveAverage="0" dxfId="1" text="" percent="0" bottom="0">
      <formula>ISNUMBER(SEARCH("🟡",D14))</formula>
    </cfRule>
    <cfRule type="expression" rank="0" priority="31" equalAverage="0" aboveAverage="0" dxfId="2" text="" percent="0" bottom="0">
      <formula>ISNUMBER(SEARCH("🟢",D14))</formula>
    </cfRule>
  </conditionalFormatting>
  <conditionalFormatting sqref="D15">
    <cfRule type="expression" rank="0" priority="32" equalAverage="0" aboveAverage="0" dxfId="0" text="" percent="0" bottom="0">
      <formula>ISNUMBER(SEARCH("🔴",D15))</formula>
    </cfRule>
    <cfRule type="expression" rank="0" priority="33" equalAverage="0" aboveAverage="0" dxfId="1" text="" percent="0" bottom="0">
      <formula>ISNUMBER(SEARCH("🟡",D15))</formula>
    </cfRule>
    <cfRule type="expression" rank="0" priority="34" equalAverage="0" aboveAverage="0" dxfId="2" text="" percent="0" bottom="0">
      <formula>ISNUMBER(SEARCH("🟢",D15))</formula>
    </cfRule>
  </conditionalFormatting>
  <conditionalFormatting sqref="D16">
    <cfRule type="expression" rank="0" priority="35" equalAverage="0" aboveAverage="0" dxfId="0" text="" percent="0" bottom="0">
      <formula>ISNUMBER(SEARCH("🔴",D16))</formula>
    </cfRule>
    <cfRule type="expression" rank="0" priority="36" equalAverage="0" aboveAverage="0" dxfId="1" text="" percent="0" bottom="0">
      <formula>ISNUMBER(SEARCH("🟡",D16))</formula>
    </cfRule>
    <cfRule type="expression" rank="0" priority="37" equalAverage="0" aboveAverage="0" dxfId="2" text="" percent="0" bottom="0">
      <formula>ISNUMBER(SEARCH("🟢",D16))</formula>
    </cfRule>
  </conditionalFormatting>
  <conditionalFormatting sqref="D17">
    <cfRule type="expression" rank="0" priority="38" equalAverage="0" aboveAverage="0" dxfId="0" text="" percent="0" bottom="0">
      <formula>ISNUMBER(SEARCH("🔴",D17))</formula>
    </cfRule>
    <cfRule type="expression" rank="0" priority="39" equalAverage="0" aboveAverage="0" dxfId="1" text="" percent="0" bottom="0">
      <formula>ISNUMBER(SEARCH("🟡",D17))</formula>
    </cfRule>
    <cfRule type="expression" rank="0" priority="40" equalAverage="0" aboveAverage="0" dxfId="2" text="" percent="0" bottom="0">
      <formula>ISNUMBER(SEARCH("🟢",D17))</formula>
    </cfRule>
  </conditionalFormatting>
  <conditionalFormatting sqref="D18">
    <cfRule type="expression" rank="0" priority="41" equalAverage="0" aboveAverage="0" dxfId="0" text="" percent="0" bottom="0">
      <formula>ISNUMBER(SEARCH("🔴",D18))</formula>
    </cfRule>
    <cfRule type="expression" rank="0" priority="42" equalAverage="0" aboveAverage="0" dxfId="1" text="" percent="0" bottom="0">
      <formula>ISNUMBER(SEARCH("🟡",D18))</formula>
    </cfRule>
    <cfRule type="expression" rank="0" priority="43" equalAverage="0" aboveAverage="0" dxfId="2" text="" percent="0" bottom="0">
      <formula>ISNUMBER(SEARCH("🟢",D18))</formula>
    </cfRule>
  </conditionalFormatting>
  <conditionalFormatting sqref="D19">
    <cfRule type="expression" rank="0" priority="44" equalAverage="0" aboveAverage="0" dxfId="0" text="" percent="0" bottom="0">
      <formula>ISNUMBER(SEARCH("🔴",D19))</formula>
    </cfRule>
    <cfRule type="expression" rank="0" priority="45" equalAverage="0" aboveAverage="0" dxfId="1" text="" percent="0" bottom="0">
      <formula>ISNUMBER(SEARCH("🟡",D19))</formula>
    </cfRule>
    <cfRule type="expression" rank="0" priority="46" equalAverage="0" aboveAverage="0" dxfId="2" text="" percent="0" bottom="0">
      <formula>ISNUMBER(SEARCH("🟢",D19))</formula>
    </cfRule>
  </conditionalFormatting>
  <conditionalFormatting sqref="D21">
    <cfRule type="expression" rank="0" priority="47" equalAverage="0" aboveAverage="0" dxfId="0" text="" percent="0" bottom="0">
      <formula>ISNUMBER(SEARCH("🔴",D21))</formula>
    </cfRule>
    <cfRule type="expression" rank="0" priority="48" equalAverage="0" aboveAverage="0" dxfId="1" text="" percent="0" bottom="0">
      <formula>ISNUMBER(SEARCH("🟡",D21))</formula>
    </cfRule>
    <cfRule type="expression" rank="0" priority="49" equalAverage="0" aboveAverage="0" dxfId="2" text="" percent="0" bottom="0">
      <formula>ISNUMBER(SEARCH("🟢",D21))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5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53" min="1" max="1"/>
    <col width="18" customWidth="1" style="53" min="2" max="2"/>
    <col width="16" customWidth="1" style="53" min="3" max="3"/>
  </cols>
  <sheetData>
    <row r="1" ht="24" customHeight="1" s="54">
      <c r="A1" s="55">
        <f>"DASHBOARD QUẢN TRỊ GIÁ THÀNH — "&amp;pTenDoiTuong</f>
        <v/>
      </c>
    </row>
    <row r="2"/>
    <row r="3" ht="15" customHeight="1" s="54">
      <c r="A3" s="97" t="inlineStr">
        <is>
          <t>Tổng chi phí phát sinh trong kỳ</t>
        </is>
      </c>
      <c r="B3" s="98" t="n"/>
      <c r="C3" s="99" t="n"/>
      <c r="D3" s="100">
        <f>SUM('4. Thẻ tính giá thành'!$Y$14:$Y$93)+t632</f>
        <v/>
      </c>
    </row>
    <row r="4" ht="15" customHeight="1" s="54">
      <c r="A4" s="97" t="inlineStr">
        <is>
          <t>Tổng giá thành hoàn thành</t>
        </is>
      </c>
      <c r="B4" s="98" t="n"/>
      <c r="C4" s="99" t="n"/>
      <c r="D4" s="100">
        <f>SUM('4. Thẻ tính giá thành'!$AA$14:$AA$93)</f>
        <v/>
      </c>
    </row>
    <row r="5" ht="15" customHeight="1" s="54">
      <c r="A5" s="97" t="inlineStr">
        <is>
          <t>Tổng dở dang cuối kỳ (DDCK)</t>
        </is>
      </c>
      <c r="B5" s="98" t="n"/>
      <c r="C5" s="99" t="n"/>
      <c r="D5" s="100">
        <f>SUM('4. Thẻ tính giá thành'!$Z$14:$Z$93)</f>
        <v/>
      </c>
    </row>
    <row r="6" ht="15" customHeight="1" s="54">
      <c r="A6" s="97" t="inlineStr">
        <is>
          <t>SXC cố định KHÔNG được phân bổ (→632)</t>
        </is>
      </c>
      <c r="B6" s="98" t="n"/>
      <c r="C6" s="99" t="n"/>
      <c r="D6" s="100">
        <f>t632</f>
        <v/>
      </c>
    </row>
    <row r="7" ht="15" customHeight="1" s="54">
      <c r="A7" s="97" t="inlineStr">
        <is>
          <t>Số đối tượng hoàn thành</t>
        </is>
      </c>
      <c r="B7" s="98" t="n"/>
      <c r="C7" s="99" t="n"/>
      <c r="D7" s="101">
        <f>COUNTIF(DM_TrangThai,"Hoàn thành")</f>
        <v/>
      </c>
    </row>
    <row r="8" ht="15" customHeight="1" s="54">
      <c r="A8" s="97" t="inlineStr">
        <is>
          <t>Số đối tượng đang dở dang</t>
        </is>
      </c>
      <c r="B8" s="98" t="n"/>
      <c r="C8" s="99" t="n"/>
      <c r="D8" s="101">
        <f>COUNTIF(DM_TrangThai,"Đang thực hiện")</f>
        <v/>
      </c>
    </row>
    <row r="9"/>
    <row r="10"/>
    <row r="11" ht="15" customHeight="1" s="54">
      <c r="A11" s="63" t="inlineStr">
        <is>
          <t>Cơ cấu chi phí</t>
        </is>
      </c>
    </row>
    <row r="12" ht="15" customHeight="1" s="54">
      <c r="A12" s="70" t="inlineStr">
        <is>
          <t>NVL trực tiếp (621)</t>
        </is>
      </c>
      <c r="B12" s="102">
        <f>SUM('4. Thẻ tính giá thành'!$P$14:$P$93)</f>
        <v/>
      </c>
    </row>
    <row r="13" ht="15" customHeight="1" s="54">
      <c r="A13" s="70" t="inlineStr">
        <is>
          <t>Nhân công (622)</t>
        </is>
      </c>
      <c r="B13" s="102">
        <f>SUM('4. Thẻ tính giá thành'!$Q$14:$Q$93)</f>
        <v/>
      </c>
    </row>
    <row r="14" ht="15" customHeight="1" s="54">
      <c r="A14" s="70" t="inlineStr">
        <is>
          <t>Máy thi công (623)</t>
        </is>
      </c>
      <c r="B14" s="102">
        <f>SUM('4. Thẻ tính giá thành'!$R$14:$R$93)</f>
        <v/>
      </c>
    </row>
    <row r="15" ht="15" customHeight="1" s="54">
      <c r="A15" s="70" t="inlineStr">
        <is>
          <t>SXC (627)</t>
        </is>
      </c>
      <c r="B15" s="102">
        <f>SUM('4. Thẻ tính giá thành'!$U$14:$U$93)</f>
        <v/>
      </c>
    </row>
    <row r="16"/>
    <row r="17"/>
    <row r="18" ht="15" customHeight="1" s="54">
      <c r="A18" s="63" t="inlineStr">
        <is>
          <t>Giá thành theo đối tượng (tối đa 15 đối tượng đầu)</t>
        </is>
      </c>
    </row>
    <row r="19" ht="15" customHeight="1" s="54">
      <c r="A19" s="89" t="inlineStr">
        <is>
          <t>Đối tượng</t>
        </is>
      </c>
      <c r="B19" s="89" t="inlineStr">
        <is>
          <t>Tổng giá thành</t>
        </is>
      </c>
      <c r="C19" s="89" t="inlineStr">
        <is>
          <t>Giá thành đơn vị</t>
        </is>
      </c>
    </row>
    <row r="20" ht="15" customHeight="1" s="54">
      <c r="A20" s="53">
        <f>IF('4. Thẻ tính giá thành'!$A$14="","",'4. Thẻ tính giá thành'!$B$14)</f>
        <v/>
      </c>
      <c r="B20" s="102">
        <f>IF('4. Thẻ tính giá thành'!$A$14="",0,'4. Thẻ tính giá thành'!$AA$14)</f>
        <v/>
      </c>
      <c r="C20" s="102">
        <f>IF('4. Thẻ tính giá thành'!$A$14="",0,IF(ISNUMBER('4. Thẻ tính giá thành'!$AC$14),'4. Thẻ tính giá thành'!$AC$14,0))</f>
        <v/>
      </c>
    </row>
    <row r="21" ht="15" customHeight="1" s="54">
      <c r="A21" s="53">
        <f>IF('4. Thẻ tính giá thành'!$A$15="","",'4. Thẻ tính giá thành'!$B$15)</f>
        <v/>
      </c>
      <c r="B21" s="102">
        <f>IF('4. Thẻ tính giá thành'!$A$15="",0,'4. Thẻ tính giá thành'!$AA$15)</f>
        <v/>
      </c>
      <c r="C21" s="102">
        <f>IF('4. Thẻ tính giá thành'!$A$15="",0,IF(ISNUMBER('4. Thẻ tính giá thành'!$AC$15),'4. Thẻ tính giá thành'!$AC$15,0))</f>
        <v/>
      </c>
    </row>
    <row r="22" ht="15" customHeight="1" s="54">
      <c r="A22" s="53">
        <f>IF('4. Thẻ tính giá thành'!$A$16="","",'4. Thẻ tính giá thành'!$B$16)</f>
        <v/>
      </c>
      <c r="B22" s="102">
        <f>IF('4. Thẻ tính giá thành'!$A$16="",0,'4. Thẻ tính giá thành'!$AA$16)</f>
        <v/>
      </c>
      <c r="C22" s="102">
        <f>IF('4. Thẻ tính giá thành'!$A$16="",0,IF(ISNUMBER('4. Thẻ tính giá thành'!$AC$16),'4. Thẻ tính giá thành'!$AC$16,0))</f>
        <v/>
      </c>
    </row>
    <row r="23" ht="15" customHeight="1" s="54">
      <c r="A23" s="53">
        <f>IF('4. Thẻ tính giá thành'!$A$17="","",'4. Thẻ tính giá thành'!$B$17)</f>
        <v/>
      </c>
      <c r="B23" s="102">
        <f>IF('4. Thẻ tính giá thành'!$A$17="",0,'4. Thẻ tính giá thành'!$AA$17)</f>
        <v/>
      </c>
      <c r="C23" s="102">
        <f>IF('4. Thẻ tính giá thành'!$A$17="",0,IF(ISNUMBER('4. Thẻ tính giá thành'!$AC$17),'4. Thẻ tính giá thành'!$AC$17,0))</f>
        <v/>
      </c>
    </row>
    <row r="24" ht="15" customHeight="1" s="54">
      <c r="A24" s="53">
        <f>IF('4. Thẻ tính giá thành'!$A$18="","",'4. Thẻ tính giá thành'!$B$18)</f>
        <v/>
      </c>
      <c r="B24" s="102">
        <f>IF('4. Thẻ tính giá thành'!$A$18="",0,'4. Thẻ tính giá thành'!$AA$18)</f>
        <v/>
      </c>
      <c r="C24" s="102">
        <f>IF('4. Thẻ tính giá thành'!$A$18="",0,IF(ISNUMBER('4. Thẻ tính giá thành'!$AC$18),'4. Thẻ tính giá thành'!$AC$18,0))</f>
        <v/>
      </c>
    </row>
    <row r="25" ht="15" customHeight="1" s="54">
      <c r="A25" s="53">
        <f>IF('4. Thẻ tính giá thành'!$A$19="","",'4. Thẻ tính giá thành'!$B$19)</f>
        <v/>
      </c>
      <c r="B25" s="102">
        <f>IF('4. Thẻ tính giá thành'!$A$19="",0,'4. Thẻ tính giá thành'!$AA$19)</f>
        <v/>
      </c>
      <c r="C25" s="102">
        <f>IF('4. Thẻ tính giá thành'!$A$19="",0,IF(ISNUMBER('4. Thẻ tính giá thành'!$AC$19),'4. Thẻ tính giá thành'!$AC$19,0))</f>
        <v/>
      </c>
    </row>
    <row r="26" ht="15" customHeight="1" s="54">
      <c r="A26" s="53">
        <f>IF('4. Thẻ tính giá thành'!$A$20="","",'4. Thẻ tính giá thành'!$B$20)</f>
        <v/>
      </c>
      <c r="B26" s="102">
        <f>IF('4. Thẻ tính giá thành'!$A$20="",0,'4. Thẻ tính giá thành'!$AA$20)</f>
        <v/>
      </c>
      <c r="C26" s="102">
        <f>IF('4. Thẻ tính giá thành'!$A$20="",0,IF(ISNUMBER('4. Thẻ tính giá thành'!$AC$20),'4. Thẻ tính giá thành'!$AC$20,0))</f>
        <v/>
      </c>
    </row>
    <row r="27" ht="15" customHeight="1" s="54">
      <c r="A27" s="53">
        <f>IF('4. Thẻ tính giá thành'!$A$21="","",'4. Thẻ tính giá thành'!$B$21)</f>
        <v/>
      </c>
      <c r="B27" s="102">
        <f>IF('4. Thẻ tính giá thành'!$A$21="",0,'4. Thẻ tính giá thành'!$AA$21)</f>
        <v/>
      </c>
      <c r="C27" s="102">
        <f>IF('4. Thẻ tính giá thành'!$A$21="",0,IF(ISNUMBER('4. Thẻ tính giá thành'!$AC$21),'4. Thẻ tính giá thành'!$AC$21,0))</f>
        <v/>
      </c>
    </row>
    <row r="28" ht="15" customHeight="1" s="54">
      <c r="A28" s="53">
        <f>IF('4. Thẻ tính giá thành'!$A$22="","",'4. Thẻ tính giá thành'!$B$22)</f>
        <v/>
      </c>
      <c r="B28" s="102">
        <f>IF('4. Thẻ tính giá thành'!$A$22="",0,'4. Thẻ tính giá thành'!$AA$22)</f>
        <v/>
      </c>
      <c r="C28" s="102">
        <f>IF('4. Thẻ tính giá thành'!$A$22="",0,IF(ISNUMBER('4. Thẻ tính giá thành'!$AC$22),'4. Thẻ tính giá thành'!$AC$22,0))</f>
        <v/>
      </c>
    </row>
    <row r="29" ht="15" customHeight="1" s="54">
      <c r="A29" s="53">
        <f>IF('4. Thẻ tính giá thành'!$A$23="","",'4. Thẻ tính giá thành'!$B$23)</f>
        <v/>
      </c>
      <c r="B29" s="102">
        <f>IF('4. Thẻ tính giá thành'!$A$23="",0,'4. Thẻ tính giá thành'!$AA$23)</f>
        <v/>
      </c>
      <c r="C29" s="102">
        <f>IF('4. Thẻ tính giá thành'!$A$23="",0,IF(ISNUMBER('4. Thẻ tính giá thành'!$AC$23),'4. Thẻ tính giá thành'!$AC$23,0))</f>
        <v/>
      </c>
    </row>
    <row r="30" ht="15" customHeight="1" s="54">
      <c r="A30" s="53">
        <f>IF('4. Thẻ tính giá thành'!$A$24="","",'4. Thẻ tính giá thành'!$B$24)</f>
        <v/>
      </c>
      <c r="B30" s="102">
        <f>IF('4. Thẻ tính giá thành'!$A$24="",0,'4. Thẻ tính giá thành'!$AA$24)</f>
        <v/>
      </c>
      <c r="C30" s="102">
        <f>IF('4. Thẻ tính giá thành'!$A$24="",0,IF(ISNUMBER('4. Thẻ tính giá thành'!$AC$24),'4. Thẻ tính giá thành'!$AC$24,0))</f>
        <v/>
      </c>
    </row>
    <row r="31" ht="15" customHeight="1" s="54">
      <c r="A31" s="53">
        <f>IF('4. Thẻ tính giá thành'!$A$25="","",'4. Thẻ tính giá thành'!$B$25)</f>
        <v/>
      </c>
      <c r="B31" s="102">
        <f>IF('4. Thẻ tính giá thành'!$A$25="",0,'4. Thẻ tính giá thành'!$AA$25)</f>
        <v/>
      </c>
      <c r="C31" s="102">
        <f>IF('4. Thẻ tính giá thành'!$A$25="",0,IF(ISNUMBER('4. Thẻ tính giá thành'!$AC$25),'4. Thẻ tính giá thành'!$AC$25,0))</f>
        <v/>
      </c>
    </row>
    <row r="32" ht="15" customHeight="1" s="54">
      <c r="A32" s="53">
        <f>IF('4. Thẻ tính giá thành'!$A$26="","",'4. Thẻ tính giá thành'!$B$26)</f>
        <v/>
      </c>
      <c r="B32" s="102">
        <f>IF('4. Thẻ tính giá thành'!$A$26="",0,'4. Thẻ tính giá thành'!$AA$26)</f>
        <v/>
      </c>
      <c r="C32" s="102">
        <f>IF('4. Thẻ tính giá thành'!$A$26="",0,IF(ISNUMBER('4. Thẻ tính giá thành'!$AC$26),'4. Thẻ tính giá thành'!$AC$26,0))</f>
        <v/>
      </c>
    </row>
    <row r="33" ht="15" customHeight="1" s="54">
      <c r="A33" s="53">
        <f>IF('4. Thẻ tính giá thành'!$A$27="","",'4. Thẻ tính giá thành'!$B$27)</f>
        <v/>
      </c>
      <c r="B33" s="102">
        <f>IF('4. Thẻ tính giá thành'!$A$27="",0,'4. Thẻ tính giá thành'!$AA$27)</f>
        <v/>
      </c>
      <c r="C33" s="102">
        <f>IF('4. Thẻ tính giá thành'!$A$27="",0,IF(ISNUMBER('4. Thẻ tính giá thành'!$AC$27),'4. Thẻ tính giá thành'!$AC$27,0))</f>
        <v/>
      </c>
    </row>
    <row r="34" ht="15" customHeight="1" s="54">
      <c r="A34" s="53">
        <f>IF('4. Thẻ tính giá thành'!$A$28="","",'4. Thẻ tính giá thành'!$B$28)</f>
        <v/>
      </c>
      <c r="B34" s="102">
        <f>IF('4. Thẻ tính giá thành'!$A$28="",0,'4. Thẻ tính giá thành'!$AA$28)</f>
        <v/>
      </c>
      <c r="C34" s="102">
        <f>IF('4. Thẻ tính giá thành'!$A$28="",0,IF(ISNUMBER('4. Thẻ tính giá thành'!$AC$28),'4. Thẻ tính giá thành'!$AC$28,0))</f>
        <v/>
      </c>
    </row>
    <row r="35"/>
    <row r="36"/>
    <row r="37"/>
    <row r="38"/>
    <row r="39"/>
    <row r="40"/>
    <row r="41"/>
    <row r="42"/>
    <row r="43"/>
    <row r="44"/>
    <row r="45"/>
    <row r="46"/>
    <row r="47"/>
    <row r="48"/>
    <row r="49"/>
    <row r="50" ht="15" customHeight="1" s="54">
      <c r="A50" s="78" t="inlineStr">
        <is>
          <t xml:space="preserve">Công cụ tính giá thành  |  KK HOME  •  </t>
        </is>
      </c>
    </row>
  </sheetData>
  <sheetProtection selectLockedCells="0" selectUnlockedCells="0" sheet="1" objects="0" insertRows="1" insertHyperlinks="1" autoFilter="1" scenarios="0" formatColumns="1" deleteColumns="1" insertColumns="1" pivotTables="1" deleteRows="1" formatCells="0" formatRows="1" sort="1"/>
  <mergeCells count="8">
    <mergeCell ref="A50:H50"/>
    <mergeCell ref="A4:C4"/>
    <mergeCell ref="A5:C5"/>
    <mergeCell ref="A8:C8"/>
    <mergeCell ref="A6:C6"/>
    <mergeCell ref="A3:C3"/>
    <mergeCell ref="A1:H1"/>
    <mergeCell ref="A7:C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0"/>
  </sheetPr>
  <dimension ref="A1:E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53" min="1" max="1"/>
    <col width="12" customWidth="1" style="53" min="2" max="3"/>
    <col width="20" customWidth="1" style="53" min="4" max="4"/>
  </cols>
  <sheetData>
    <row r="1" ht="24" customHeight="1" s="54">
      <c r="A1" s="55" t="inlineStr">
        <is>
          <t>ĐỐI CHIẾU CHI PHÍ SẢN XUẤT KINH DOANH DỞ DANG (TK 154)</t>
        </is>
      </c>
    </row>
    <row r="2"/>
    <row r="3" ht="15" customHeight="1" s="54">
      <c r="A3" s="57" t="inlineStr">
        <is>
          <t>Dư đầu kỳ (DDĐK)</t>
        </is>
      </c>
      <c r="D3" s="103">
        <f>SUM('4. Thẻ tính giá thành'!$V$14:$V$93)</f>
        <v/>
      </c>
    </row>
    <row r="4" ht="15" customHeight="1" s="54">
      <c r="A4" s="57" t="inlineStr">
        <is>
          <t>(+) Chi phí phát sinh trong kỳ</t>
        </is>
      </c>
      <c r="D4" s="103">
        <f>SUM('4. Thẻ tính giá thành'!$Y$14:$Y$93)</f>
        <v/>
      </c>
    </row>
    <row r="5" ht="15" customHeight="1" s="54">
      <c r="A5" s="57" t="inlineStr">
        <is>
          <t>(–) Giá thành sản phẩm hoàn thành</t>
        </is>
      </c>
      <c r="D5" s="103">
        <f>-SUM('4. Thẻ tính giá thành'!$AA$14:$AA$93)</f>
        <v/>
      </c>
    </row>
    <row r="6" ht="15" customHeight="1" s="54">
      <c r="A6" s="57" t="inlineStr">
        <is>
          <t>(–) Các khoản giảm (phế liệu + SP hỏng)</t>
        </is>
      </c>
      <c r="D6" s="103">
        <f>-(SUM('4. Thẻ tính giá thành'!$W$14:$W$93)+SUM('4. Thẻ tính giá thành'!$X$14:$X$93))</f>
        <v/>
      </c>
    </row>
    <row r="7" ht="15" customHeight="1" s="54">
      <c r="A7" s="66" t="inlineStr">
        <is>
          <t>(=) Dư cuối kỳ theo cân đối</t>
        </is>
      </c>
      <c r="D7" s="103">
        <f>SUM('4. Thẻ tính giá thành'!$V$14:$V$93)+SUM('4. Thẻ tính giá thành'!$Y$14:$Y$93)-SUM('4. Thẻ tính giá thành'!$AA$14:$AA$93)-(SUM('4. Thẻ tính giá thành'!$W$14:$W$93)+SUM('4. Thẻ tính giá thành'!$X$14:$X$93))</f>
        <v/>
      </c>
    </row>
    <row r="8" ht="15" customHeight="1" s="54">
      <c r="A8" s="57" t="inlineStr">
        <is>
          <t>Dư cuối kỳ theo Thẻ tính giá thành (DDCK)</t>
        </is>
      </c>
      <c r="D8" s="103">
        <f>SUM('4. Thẻ tính giá thành'!$Z$14:$Z$93)</f>
        <v/>
      </c>
    </row>
    <row r="9" ht="15" customHeight="1" s="54">
      <c r="A9" s="89" t="inlineStr">
        <is>
          <t>Chênh lệch</t>
        </is>
      </c>
      <c r="D9" s="104">
        <f>$D7-$D8</f>
        <v/>
      </c>
    </row>
    <row r="10" ht="15" customHeight="1" s="54">
      <c r="A10" s="105">
        <f>IF(ROUND($D9,0)=0,"✔ CÂN ĐỐI","⚠ LỆCH: "&amp;TEXT(ABS($D9),"#,##0")&amp;" đồng")</f>
        <v/>
      </c>
      <c r="B10" s="98" t="n"/>
      <c r="C10" s="98" t="n"/>
      <c r="D10" s="98" t="n"/>
    </row>
    <row r="11"/>
    <row r="12" ht="15" customHeight="1" s="54">
      <c r="A12" s="78" t="inlineStr">
        <is>
          <t xml:space="preserve">Công cụ tính giá thành  |  KK HOME  •  </t>
        </is>
      </c>
    </row>
  </sheetData>
  <sheetProtection selectLockedCells="0" selectUnlockedCells="0" sheet="1" objects="0" insertRows="1" insertHyperlinks="1" autoFilter="1" scenarios="0" formatColumns="1" deleteColumns="1" insertColumns="1" pivotTables="1" deleteRows="1" formatCells="0" formatRows="1" sort="1"/>
  <mergeCells count="10">
    <mergeCell ref="A4:C4"/>
    <mergeCell ref="A5:C5"/>
    <mergeCell ref="A12:D12"/>
    <mergeCell ref="A8:C8"/>
    <mergeCell ref="A6:C6"/>
    <mergeCell ref="A9:C9"/>
    <mergeCell ref="A1:E1"/>
    <mergeCell ref="A3:C3"/>
    <mergeCell ref="A10:D10"/>
    <mergeCell ref="A7:C7"/>
  </mergeCells>
  <conditionalFormatting sqref="A10">
    <cfRule type="expression" rank="0" priority="2" equalAverage="0" aboveAverage="0" dxfId="0" text="" percent="0" bottom="0">
      <formula>ISNUMBER(SEARCH("⚠",A10))</formula>
    </cfRule>
    <cfRule type="expression" rank="0" priority="3" equalAverage="0" aboveAverage="0" dxfId="2" text="" percent="0" bottom="0">
      <formula>ISNUMBER(SEARCH("✔",A10))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53" min="1" max="1"/>
  </cols>
  <sheetData>
    <row r="1" ht="24" customHeight="1" s="54">
      <c r="A1" s="55" t="inlineStr">
        <is>
          <t>VÍ DỤ MINH HỌA (chỉ để tham khảo — KHÔNG liên kết công thức)</t>
        </is>
      </c>
    </row>
    <row r="2"/>
    <row r="3" ht="15" customHeight="1" s="54">
      <c r="A3" s="66" t="inlineStr">
        <is>
          <t>Tình huống: Sản xuất giản đơn, kỳ tháng 08/2026. Một sản phẩm SP-01.</t>
        </is>
      </c>
    </row>
    <row r="4" ht="15" customHeight="1" s="54">
      <c r="A4" s="57" t="n"/>
    </row>
    <row r="5" ht="15" customHeight="1" s="54">
      <c r="A5" s="66" t="inlineStr">
        <is>
          <t>NHẬP CHI PHÍ (sheet 2):</t>
        </is>
      </c>
    </row>
    <row r="6" ht="15" customHeight="1" s="54">
      <c r="A6" s="57" t="inlineStr">
        <is>
          <t xml:space="preserve">  • 621 trực tiếp cho SP-01: 100.000 (Ngày 01/08, Trực tiếp)</t>
        </is>
      </c>
    </row>
    <row r="7" ht="15" customHeight="1" s="54">
      <c r="A7" s="57" t="inlineStr">
        <is>
          <t xml:space="preserve">  • 622 trực tiếp cho SP-01: 40.000 (Ngày 31/08, Trực tiếp)</t>
        </is>
      </c>
    </row>
    <row r="8" ht="15" customHeight="1" s="54">
      <c r="A8" s="57" t="inlineStr">
        <is>
          <t xml:space="preserve">  • 627 biến đổi, Mã=CHUNG: 30.000 (Chung)</t>
        </is>
      </c>
    </row>
    <row r="9" ht="15" customHeight="1" s="54">
      <c r="A9" s="57" t="inlineStr">
        <is>
          <t xml:space="preserve">  • 627 cố định, Mã=CHUNG: 50.000 (Chung)</t>
        </is>
      </c>
    </row>
    <row r="10" ht="15" customHeight="1" s="54">
      <c r="A10" s="57" t="n"/>
    </row>
    <row r="11" ht="15" customHeight="1" s="54">
      <c r="A11" s="57" t="inlineStr">
        <is>
          <t>THAM SỐ (sheet 1): Tiêu thức phân bổ = Nhân công (622); Công suất BT = 1.000 giờ; Thực tế = 900 giờ.</t>
        </is>
      </c>
    </row>
    <row r="12" ht="15" customHeight="1" s="54">
      <c r="A12" s="57" t="inlineStr">
        <is>
          <t>DỞ DANG (sheet 3): DDĐK 621=5.000, 622=1.000, 627=500; SL dở dang=20; %HT=50%; SL hoàn thành=100.</t>
        </is>
      </c>
    </row>
    <row r="13" ht="15" customHeight="1" s="54">
      <c r="A13" s="57" t="n"/>
    </row>
    <row r="14" ht="15" customHeight="1" s="54">
      <c r="A14" s="66" t="inlineStr">
        <is>
          <t>KẾT QUẢ MONG ĐỢI:</t>
        </is>
      </c>
    </row>
    <row r="15" ht="15" customHeight="1" s="54">
      <c r="A15" s="57" t="inlineStr">
        <is>
          <t xml:space="preserve">  • 627 cố định vượt công suất → 632 = 50.000 × 10% = 5.000 (không vào giá thành).</t>
        </is>
      </c>
    </row>
    <row r="16" ht="15" customHeight="1" s="54">
      <c r="A16" s="57" t="inlineStr">
        <is>
          <t xml:space="preserve">  • 627 phân bổ vào giá thành = 30.000 + 45.000 = 75.000.</t>
        </is>
      </c>
    </row>
    <row r="17" ht="15" customHeight="1" s="54">
      <c r="A17" s="57" t="inlineStr">
        <is>
          <t xml:space="preserve">  • DDCK (tương đương) ≈ 23.032.</t>
        </is>
      </c>
    </row>
    <row r="18" ht="15" customHeight="1" s="54">
      <c r="A18" s="57" t="inlineStr">
        <is>
          <t xml:space="preserve">  • Tổng giá thành SP-01 ≈ 140.823; giá thành đơn vị ≈ 1.408.</t>
        </is>
      </c>
    </row>
    <row r="19" ht="15" customHeight="1" s="54">
      <c r="A19" s="57" t="inlineStr">
        <is>
          <t xml:space="preserve">  • Kiểm soát: 🟢; Đối chiếu 154: ✔ CÂN ĐỐI.</t>
        </is>
      </c>
    </row>
    <row r="20" ht="15" customHeight="1" s="54">
      <c r="A20" s="57" t="n"/>
    </row>
    <row r="21" ht="15" customHeight="1" s="54">
      <c r="A21" s="57" t="inlineStr">
        <is>
          <t>Cách dùng: nhập đúng bộ số trên vào các sheet tương ứng sẽ ra kết quả này. Đây là ví dụ để bạn tự kiểm chứng.</t>
        </is>
      </c>
    </row>
    <row r="22"/>
    <row r="23"/>
    <row r="24" ht="15" customHeight="1" s="54">
      <c r="A24" s="78" t="inlineStr">
        <is>
          <t xml:space="preserve">Công cụ tính giá thành  |  KK HOME  •  </t>
        </is>
      </c>
    </row>
  </sheetData>
  <mergeCells count="2">
    <mergeCell ref="A24:H24"/>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2026-08-14T02:18:50Z</dcterms:created>
  <dcterms:modified xmlns:dcterms="http://purl.org/dc/terms/" xmlns:xsi="http://www.w3.org/2001/XMLSchema-instance" xsi:type="dcterms:W3CDTF">2026-10-25T09:13:45Z</dcterms:modified>
  <cp:revision>1</cp:revision>
</cp:coreProperties>
</file>