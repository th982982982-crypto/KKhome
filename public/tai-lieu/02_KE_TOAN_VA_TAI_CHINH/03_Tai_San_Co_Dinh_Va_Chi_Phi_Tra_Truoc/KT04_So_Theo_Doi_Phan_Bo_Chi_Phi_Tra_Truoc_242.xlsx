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ướng dẫn" sheetId="1" state="visible" r:id="rId1"/>
    <sheet xmlns:r="http://schemas.openxmlformats.org/officeDocument/2006/relationships" name="Thiết lập" sheetId="2" state="visible" r:id="rId2"/>
    <sheet xmlns:r="http://schemas.openxmlformats.org/officeDocument/2006/relationships" name="Phân bổ" sheetId="3" state="visible" r:id="rId3"/>
    <sheet xmlns:r="http://schemas.openxmlformats.org/officeDocument/2006/relationships" name="Báo cáo" sheetId="4" state="visible" r:id="rId4"/>
  </sheets>
  <definedNames/>
  <calcPr calcId="124519" fullCalcOnLoad="1" refMode="A1" iterate="0" iterateCount="100" iterateDelta="0.001"/>
</workbook>
</file>

<file path=xl/styles.xml><?xml version="1.0" encoding="utf-8"?>
<styleSheet xmlns="http://schemas.openxmlformats.org/spreadsheetml/2006/main">
  <numFmts count="3">
    <numFmt numFmtId="164" formatCode="dd/mm/yyyy"/>
    <numFmt numFmtId="165" formatCode="\Tm"/>
    <numFmt numFmtId="166" formatCode="#,##0;[RED]\-#,##0;;"/>
  </numFmts>
  <fonts count="18">
    <font>
      <name val="Arial"/>
      <family val="2"/>
      <sz val="10"/>
    </font>
    <font>
      <name val="Arial"/>
      <family val="0"/>
      <sz val="10"/>
    </font>
    <font>
      <name val="Arial"/>
      <family val="0"/>
      <sz val="10"/>
    </font>
    <font>
      <name val="Arial"/>
      <family val="0"/>
      <sz val="10"/>
    </font>
    <font>
      <name val="Calibri"/>
      <charset val="1"/>
      <family val="0"/>
      <sz val="11"/>
    </font>
    <font>
      <name val="Calibri"/>
      <charset val="1"/>
      <family val="0"/>
      <b val="1"/>
      <color rgb="FFC9A227"/>
      <sz val="17"/>
    </font>
    <font>
      <name val="Calibri"/>
      <charset val="1"/>
      <family val="0"/>
      <i val="1"/>
      <color rgb="FFE3C766"/>
      <sz val="10"/>
    </font>
    <font>
      <name val="Calibri"/>
      <charset val="1"/>
      <family val="0"/>
      <b val="1"/>
      <color rgb="FFFFFFFF"/>
      <sz val="12"/>
    </font>
    <font>
      <name val="Calibri"/>
      <charset val="1"/>
      <family val="0"/>
      <b val="1"/>
      <color rgb="FFFFFFFF"/>
      <sz val="11"/>
    </font>
    <font>
      <name val="Calibri"/>
      <charset val="1"/>
      <family val="0"/>
      <b val="1"/>
      <color rgb="FF17365D"/>
      <sz val="11"/>
    </font>
    <font>
      <name val="Calibri"/>
      <charset val="1"/>
      <family val="0"/>
      <b val="1"/>
      <color rgb="FFC9A227"/>
      <sz val="10"/>
    </font>
    <font>
      <name val="Calibri"/>
      <charset val="1"/>
      <family val="0"/>
      <i val="1"/>
      <color rgb="FF17365D"/>
      <sz val="11"/>
    </font>
    <font>
      <name val="Calibri"/>
      <charset val="1"/>
      <family val="0"/>
      <b val="1"/>
      <sz val="11"/>
    </font>
    <font>
      <name val="Calibri"/>
      <charset val="1"/>
      <family val="0"/>
      <color rgb="FFFFFFFF"/>
      <sz val="1"/>
    </font>
    <font>
      <name val="Calibri"/>
      <charset val="1"/>
      <family val="0"/>
      <b val="1"/>
      <color rgb="FFFFFFFF"/>
      <sz val="10"/>
    </font>
    <font>
      <name val="Calibri"/>
      <charset val="1"/>
      <family val="0"/>
      <b val="1"/>
      <color rgb="FF17365D"/>
      <sz val="17"/>
    </font>
    <font>
      <name val="Calibri"/>
      <charset val="1"/>
      <family val="0"/>
      <b val="1"/>
      <color rgb="FF17365D"/>
      <sz val="15"/>
    </font>
    <font>
      <name val="Calibri"/>
      <charset val="1"/>
      <family val="0"/>
      <b val="1"/>
      <color rgb="FF9C0006"/>
      <sz val="11"/>
    </font>
  </fonts>
  <fills count="11">
    <fill>
      <patternFill/>
    </fill>
    <fill>
      <patternFill patternType="gray125"/>
    </fill>
    <fill>
      <patternFill patternType="solid">
        <fgColor rgb="FF17365D"/>
        <bgColor rgb="FF244A73"/>
      </patternFill>
    </fill>
    <fill>
      <patternFill patternType="solid">
        <fgColor rgb="FFF28C28"/>
        <bgColor rgb="FFC9A227"/>
      </patternFill>
    </fill>
    <fill>
      <patternFill patternType="solid">
        <fgColor rgb="FFFCE4CC"/>
        <bgColor rgb="FFFFF2CC"/>
      </patternFill>
    </fill>
    <fill>
      <patternFill patternType="solid">
        <fgColor rgb="FFFFF2CC"/>
        <bgColor rgb="FFFCE4CC"/>
      </patternFill>
    </fill>
    <fill>
      <patternFill patternType="solid">
        <fgColor rgb="FFEAF2F8"/>
        <bgColor rgb="FFF2F2F2"/>
      </patternFill>
    </fill>
    <fill>
      <patternFill patternType="solid">
        <fgColor rgb="FFF4CCCC"/>
        <bgColor rgb="FFFCE4CC"/>
      </patternFill>
    </fill>
    <fill>
      <patternFill patternType="solid">
        <fgColor rgb="FFE2F0D9"/>
        <bgColor rgb="FFEAF2F8"/>
      </patternFill>
    </fill>
    <fill>
      <patternFill patternType="solid">
        <fgColor rgb="FFF2F2F2"/>
        <bgColor rgb="FFEAF2F8"/>
      </patternFill>
    </fill>
    <fill>
      <patternFill patternType="solid">
        <fgColor rgb="FF244A73"/>
        <bgColor rgb="FF17365D"/>
      </patternFill>
    </fill>
  </fills>
  <borders count="16">
    <border>
      <left/>
      <right/>
      <top/>
      <bottom/>
      <diagonal/>
    </border>
    <border>
      <left/>
      <right/>
      <top/>
      <bottom style="medium">
        <color rgb="FFC9A227"/>
      </bottom>
      <diagonal/>
    </border>
    <border>
      <left style="thin">
        <color rgb="FFB7C9D6"/>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style="thin">
        <color rgb="FFB7C9D6"/>
      </right>
      <top/>
      <bottom/>
      <diagonal/>
    </border>
    <border>
      <left style="thin">
        <color rgb="FFB7C9D6"/>
      </left>
      <right/>
      <top/>
      <bottom style="thin">
        <color rgb="FFB7C9D6"/>
      </bottom>
      <diagonal/>
    </border>
    <border>
      <left/>
      <right style="thin">
        <color rgb="FFB7C9D6"/>
      </right>
      <top/>
      <bottom style="thin">
        <color rgb="FFB7C9D6"/>
      </bottom>
      <diagonal/>
    </border>
    <border>
      <left/>
      <right/>
      <top style="medium">
        <color rgb="FFC9A227"/>
      </top>
      <bottom/>
      <diagonal/>
    </border>
    <border>
      <left/>
      <right/>
      <top style="thin">
        <color rgb="FFB7C9D6"/>
      </top>
      <bottom/>
      <diagonal/>
    </border>
    <border>
      <left/>
      <right/>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2">
    <xf numFmtId="0" fontId="0" fillId="0" borderId="0" applyAlignment="1" pivotButton="0" quotePrefix="0" xfId="0">
      <alignment horizontal="general" vertical="bottom"/>
    </xf>
    <xf numFmtId="0" fontId="4" fillId="0" borderId="0" applyAlignment="1" pivotButton="0" quotePrefix="0" xfId="20">
      <alignment horizontal="general" vertical="bottom"/>
    </xf>
    <xf numFmtId="0" fontId="5" fillId="2" borderId="1" applyAlignment="1" pivotButton="0" quotePrefix="0" xfId="20">
      <alignment horizontal="center" vertical="center" wrapText="1"/>
    </xf>
    <xf numFmtId="0" fontId="8" fillId="3" borderId="0" applyAlignment="1" pivotButton="0" quotePrefix="0" xfId="20">
      <alignment horizontal="center" vertical="center" wrapText="1"/>
    </xf>
    <xf numFmtId="0" fontId="9" fillId="0" borderId="2" applyAlignment="1" pivotButton="0" quotePrefix="0" xfId="20">
      <alignment horizontal="general" vertical="center" wrapText="1"/>
    </xf>
    <xf numFmtId="0" fontId="4" fillId="0" borderId="3" applyAlignment="1" pivotButton="0" quotePrefix="0" xfId="20">
      <alignment horizontal="general" vertical="center" wrapText="1"/>
    </xf>
    <xf numFmtId="0" fontId="9" fillId="0" borderId="4" applyAlignment="1" pivotButton="0" quotePrefix="0" xfId="20">
      <alignment horizontal="general" vertical="center" wrapText="1"/>
    </xf>
    <xf numFmtId="0" fontId="4" fillId="0" borderId="5" applyAlignment="1" pivotButton="0" quotePrefix="0" xfId="20">
      <alignment horizontal="general" vertical="center" wrapText="1"/>
    </xf>
    <xf numFmtId="0" fontId="4" fillId="0" borderId="0" applyAlignment="1" pivotButton="0" quotePrefix="0" xfId="20">
      <alignment horizontal="general" vertical="center" wrapText="1"/>
    </xf>
    <xf numFmtId="0" fontId="4" fillId="0" borderId="5" applyAlignment="1" pivotButton="0" quotePrefix="0" xfId="20">
      <alignment horizontal="general" vertical="center" wrapText="1"/>
    </xf>
    <xf numFmtId="0" fontId="9" fillId="3" borderId="6" applyAlignment="1" pivotButton="0" quotePrefix="0" xfId="20">
      <alignment horizontal="center" vertical="center" wrapText="1"/>
    </xf>
    <xf numFmtId="0" fontId="9" fillId="0" borderId="7" applyAlignment="1" pivotButton="0" quotePrefix="0" xfId="20">
      <alignment horizontal="general" vertical="center" wrapText="1"/>
    </xf>
    <xf numFmtId="0" fontId="4" fillId="0" borderId="8" applyAlignment="1" pivotButton="0" quotePrefix="0" xfId="20">
      <alignment horizontal="general" vertical="center" wrapText="1"/>
    </xf>
    <xf numFmtId="0" fontId="10" fillId="2" borderId="9" applyAlignment="1" pivotButton="0" quotePrefix="0" xfId="20">
      <alignment horizontal="center" vertical="center"/>
    </xf>
    <xf numFmtId="0" fontId="9" fillId="4" borderId="2" applyAlignment="1" pivotButton="0" quotePrefix="0" xfId="20">
      <alignment horizontal="general" vertical="center"/>
    </xf>
    <xf numFmtId="0" fontId="9" fillId="5" borderId="3" applyAlignment="1" pivotButton="0" quotePrefix="0" xfId="20">
      <alignment horizontal="general" vertical="bottom"/>
    </xf>
    <xf numFmtId="0" fontId="8" fillId="3" borderId="2" applyAlignment="1" pivotButton="0" quotePrefix="0" xfId="20">
      <alignment horizontal="center" vertical="center"/>
    </xf>
    <xf numFmtId="0" fontId="8" fillId="3" borderId="3" applyAlignment="1" pivotButton="0" quotePrefix="0" xfId="20">
      <alignment horizontal="center" vertical="center"/>
    </xf>
    <xf numFmtId="0" fontId="9" fillId="4" borderId="4" applyAlignment="1" pivotButton="0" quotePrefix="0" xfId="20">
      <alignment horizontal="general" vertical="center"/>
    </xf>
    <xf numFmtId="164" fontId="9" fillId="5" borderId="5" applyAlignment="1" pivotButton="0" quotePrefix="0" xfId="20">
      <alignment horizontal="general" vertical="bottom"/>
    </xf>
    <xf numFmtId="0" fontId="4" fillId="5" borderId="4" applyAlignment="1" pivotButton="0" quotePrefix="0" xfId="20">
      <alignment horizontal="general" vertical="bottom"/>
    </xf>
    <xf numFmtId="0" fontId="4" fillId="0" borderId="5" applyAlignment="1" pivotButton="0" quotePrefix="0" xfId="20">
      <alignment horizontal="general" vertical="bottom"/>
    </xf>
    <xf numFmtId="0" fontId="9" fillId="4" borderId="7" applyAlignment="1" pivotButton="0" quotePrefix="0" xfId="20">
      <alignment horizontal="general" vertical="center"/>
    </xf>
    <xf numFmtId="0" fontId="9" fillId="6" borderId="8" applyAlignment="1" pivotButton="0" quotePrefix="0" xfId="20">
      <alignment horizontal="general" vertical="bottom"/>
    </xf>
    <xf numFmtId="0" fontId="4" fillId="6" borderId="4" applyAlignment="1" pivotButton="0" quotePrefix="0" xfId="20">
      <alignment horizontal="general" vertical="bottom"/>
    </xf>
    <xf numFmtId="0" fontId="4" fillId="7" borderId="4" applyAlignment="1" pivotButton="0" quotePrefix="0" xfId="20">
      <alignment horizontal="general" vertical="bottom"/>
    </xf>
    <xf numFmtId="0" fontId="8" fillId="3" borderId="0" applyAlignment="1" pivotButton="0" quotePrefix="0" xfId="20">
      <alignment horizontal="center" vertical="center"/>
    </xf>
    <xf numFmtId="0" fontId="4" fillId="8" borderId="7" applyAlignment="1" pivotButton="0" quotePrefix="0" xfId="20">
      <alignment horizontal="general" vertical="bottom"/>
    </xf>
    <xf numFmtId="0" fontId="4" fillId="0" borderId="8" applyAlignment="1" pivotButton="0" quotePrefix="0" xfId="20">
      <alignment horizontal="general" vertical="bottom"/>
    </xf>
    <xf numFmtId="0" fontId="4" fillId="9" borderId="2" applyAlignment="1" pivotButton="0" quotePrefix="0" xfId="20">
      <alignment horizontal="general" vertical="bottom"/>
    </xf>
    <xf numFmtId="0" fontId="4" fillId="9" borderId="10" applyAlignment="1" pivotButton="0" quotePrefix="0" xfId="20">
      <alignment horizontal="general" vertical="bottom"/>
    </xf>
    <xf numFmtId="0" fontId="4" fillId="9" borderId="3" applyAlignment="1" pivotButton="0" quotePrefix="0" xfId="20">
      <alignment horizontal="general" vertical="bottom"/>
    </xf>
    <xf numFmtId="0" fontId="4" fillId="9" borderId="4" applyAlignment="1" pivotButton="0" quotePrefix="0" xfId="20">
      <alignment horizontal="general" vertical="bottom"/>
    </xf>
    <xf numFmtId="0" fontId="4" fillId="9" borderId="0" applyAlignment="1" pivotButton="0" quotePrefix="0" xfId="20">
      <alignment horizontal="general" vertical="bottom"/>
    </xf>
    <xf numFmtId="0" fontId="4" fillId="9" borderId="5" applyAlignment="1" pivotButton="0" quotePrefix="0" xfId="20">
      <alignment horizontal="general" vertical="bottom"/>
    </xf>
    <xf numFmtId="0" fontId="4" fillId="9" borderId="7" applyAlignment="1" pivotButton="0" quotePrefix="0" xfId="20">
      <alignment horizontal="general" vertical="bottom"/>
    </xf>
    <xf numFmtId="0" fontId="4" fillId="9" borderId="11" applyAlignment="1" pivotButton="0" quotePrefix="0" xfId="20">
      <alignment horizontal="general" vertical="bottom"/>
    </xf>
    <xf numFmtId="0" fontId="4" fillId="9" borderId="8" applyAlignment="1" pivotButton="0" quotePrefix="0" xfId="20">
      <alignment horizontal="general" vertical="bottom"/>
    </xf>
    <xf numFmtId="0" fontId="11" fillId="4" borderId="0" applyAlignment="1" pivotButton="0" quotePrefix="0" xfId="20">
      <alignment horizontal="left" vertical="center"/>
    </xf>
    <xf numFmtId="0" fontId="9" fillId="4" borderId="12" applyAlignment="1" pivotButton="0" quotePrefix="0" xfId="20">
      <alignment horizontal="general" vertical="center"/>
    </xf>
    <xf numFmtId="0" fontId="12" fillId="6" borderId="13" applyAlignment="1" pivotButton="0" quotePrefix="0" xfId="20">
      <alignment horizontal="general" vertical="bottom"/>
    </xf>
    <xf numFmtId="0" fontId="9" fillId="4" borderId="13" applyAlignment="1" pivotButton="0" quotePrefix="0" xfId="20">
      <alignment horizontal="general" vertical="center"/>
    </xf>
    <xf numFmtId="164" fontId="12" fillId="6" borderId="14" applyAlignment="1" pivotButton="0" quotePrefix="0" xfId="20">
      <alignment horizontal="general" vertical="bottom"/>
    </xf>
    <xf numFmtId="164" fontId="13" fillId="0" borderId="0" applyAlignment="1" pivotButton="0" quotePrefix="0" xfId="20">
      <alignment horizontal="general" vertical="bottom"/>
    </xf>
    <xf numFmtId="0" fontId="14" fillId="10" borderId="12" applyAlignment="1" pivotButton="0" quotePrefix="0" xfId="20">
      <alignment horizontal="center" vertical="center" wrapText="1"/>
    </xf>
    <xf numFmtId="0" fontId="14" fillId="10" borderId="13" applyAlignment="1" pivotButton="0" quotePrefix="0" xfId="20">
      <alignment horizontal="center" vertical="center" wrapText="1"/>
    </xf>
    <xf numFmtId="165" fontId="14" fillId="10" borderId="12" applyAlignment="1" pivotButton="0" quotePrefix="0" xfId="20">
      <alignment horizontal="center" vertical="center" wrapText="1"/>
    </xf>
    <xf numFmtId="165" fontId="14" fillId="10" borderId="13" applyAlignment="1" pivotButton="0" quotePrefix="0" xfId="20">
      <alignment horizontal="center" vertical="center" wrapText="1"/>
    </xf>
    <xf numFmtId="165" fontId="14" fillId="10" borderId="14" applyAlignment="1" pivotButton="0" quotePrefix="0" xfId="20">
      <alignment horizontal="center" vertical="center" wrapText="1"/>
    </xf>
    <xf numFmtId="0" fontId="14" fillId="10" borderId="14" applyAlignment="1" pivotButton="0" quotePrefix="0" xfId="20">
      <alignment horizontal="center" vertical="center" wrapText="1"/>
    </xf>
    <xf numFmtId="0" fontId="4" fillId="6" borderId="2" applyAlignment="1" pivotButton="0" quotePrefix="0" xfId="20">
      <alignment horizontal="general" vertical="center"/>
    </xf>
    <xf numFmtId="0" fontId="4" fillId="5" borderId="10" applyAlignment="1" pivotButton="0" quotePrefix="0" xfId="20">
      <alignment horizontal="general" vertical="center"/>
    </xf>
    <xf numFmtId="0" fontId="4" fillId="5" borderId="10" applyAlignment="1" pivotButton="0" quotePrefix="0" xfId="20">
      <alignment horizontal="general" vertical="center" wrapText="1"/>
    </xf>
    <xf numFmtId="164" fontId="4" fillId="5" borderId="10" applyAlignment="1" pivotButton="0" quotePrefix="0" xfId="20">
      <alignment horizontal="general" vertical="center"/>
    </xf>
    <xf numFmtId="4" fontId="4" fillId="5" borderId="10" applyAlignment="1" pivotButton="0" quotePrefix="0" xfId="20">
      <alignment horizontal="general" vertical="center"/>
    </xf>
    <xf numFmtId="166" fontId="4" fillId="5" borderId="10" applyAlignment="1" pivotButton="0" quotePrefix="0" xfId="20">
      <alignment horizontal="general" vertical="center"/>
    </xf>
    <xf numFmtId="166" fontId="4" fillId="6" borderId="10" applyAlignment="1" pivotButton="0" quotePrefix="0" xfId="20">
      <alignment horizontal="general" vertical="center"/>
    </xf>
    <xf numFmtId="1" fontId="4" fillId="5" borderId="10" applyAlignment="1" pivotButton="0" quotePrefix="0" xfId="20">
      <alignment horizontal="general" vertical="center"/>
    </xf>
    <xf numFmtId="0" fontId="4" fillId="6" borderId="10" applyAlignment="1" pivotButton="0" quotePrefix="0" xfId="20">
      <alignment horizontal="general" vertical="center"/>
    </xf>
    <xf numFmtId="164" fontId="4" fillId="6" borderId="10" applyAlignment="1" pivotButton="0" quotePrefix="0" xfId="20">
      <alignment horizontal="general" vertical="center"/>
    </xf>
    <xf numFmtId="0" fontId="4" fillId="6" borderId="3" applyAlignment="1" pivotButton="0" quotePrefix="0" xfId="20">
      <alignment horizontal="general" vertical="center" wrapText="1"/>
    </xf>
    <xf numFmtId="0" fontId="4" fillId="6" borderId="4" applyAlignment="1" pivotButton="0" quotePrefix="0" xfId="20">
      <alignment horizontal="general" vertical="center"/>
    </xf>
    <xf numFmtId="0" fontId="4" fillId="5" borderId="0" applyAlignment="1" pivotButton="0" quotePrefix="0" xfId="20">
      <alignment horizontal="general" vertical="center"/>
    </xf>
    <xf numFmtId="0" fontId="4" fillId="5" borderId="0" applyAlignment="1" pivotButton="0" quotePrefix="0" xfId="20">
      <alignment horizontal="general" vertical="center" wrapText="1"/>
    </xf>
    <xf numFmtId="164" fontId="4" fillId="5" borderId="0" applyAlignment="1" pivotButton="0" quotePrefix="0" xfId="20">
      <alignment horizontal="general" vertical="center"/>
    </xf>
    <xf numFmtId="4" fontId="4" fillId="5" borderId="0" applyAlignment="1" pivotButton="0" quotePrefix="0" xfId="20">
      <alignment horizontal="general" vertical="center"/>
    </xf>
    <xf numFmtId="166" fontId="4" fillId="5" borderId="0" applyAlignment="1" pivotButton="0" quotePrefix="0" xfId="20">
      <alignment horizontal="general" vertical="center"/>
    </xf>
    <xf numFmtId="166" fontId="4" fillId="6" borderId="0" applyAlignment="1" pivotButton="0" quotePrefix="0" xfId="20">
      <alignment horizontal="general" vertical="center"/>
    </xf>
    <xf numFmtId="1" fontId="4" fillId="5" borderId="0" applyAlignment="1" pivotButton="0" quotePrefix="0" xfId="20">
      <alignment horizontal="general" vertical="center"/>
    </xf>
    <xf numFmtId="0" fontId="4" fillId="6" borderId="0" applyAlignment="1" pivotButton="0" quotePrefix="0" xfId="20">
      <alignment horizontal="general" vertical="center"/>
    </xf>
    <xf numFmtId="164" fontId="4" fillId="6" borderId="0" applyAlignment="1" pivotButton="0" quotePrefix="0" xfId="20">
      <alignment horizontal="general" vertical="center"/>
    </xf>
    <xf numFmtId="0" fontId="4" fillId="6" borderId="5" applyAlignment="1" pivotButton="0" quotePrefix="0" xfId="20">
      <alignment horizontal="general" vertical="center" wrapText="1"/>
    </xf>
    <xf numFmtId="0" fontId="4" fillId="6" borderId="7" applyAlignment="1" pivotButton="0" quotePrefix="0" xfId="20">
      <alignment horizontal="general" vertical="center"/>
    </xf>
    <xf numFmtId="0" fontId="4" fillId="5" borderId="11" applyAlignment="1" pivotButton="0" quotePrefix="0" xfId="20">
      <alignment horizontal="general" vertical="center"/>
    </xf>
    <xf numFmtId="0" fontId="4" fillId="5" borderId="11" applyAlignment="1" pivotButton="0" quotePrefix="0" xfId="20">
      <alignment horizontal="general" vertical="center" wrapText="1"/>
    </xf>
    <xf numFmtId="164" fontId="4" fillId="5" borderId="11" applyAlignment="1" pivotButton="0" quotePrefix="0" xfId="20">
      <alignment horizontal="general" vertical="center"/>
    </xf>
    <xf numFmtId="4" fontId="4" fillId="5" borderId="11" applyAlignment="1" pivotButton="0" quotePrefix="0" xfId="20">
      <alignment horizontal="general" vertical="center"/>
    </xf>
    <xf numFmtId="166" fontId="4" fillId="5" borderId="11" applyAlignment="1" pivotButton="0" quotePrefix="0" xfId="20">
      <alignment horizontal="general" vertical="center"/>
    </xf>
    <xf numFmtId="166" fontId="4" fillId="6" borderId="11" applyAlignment="1" pivotButton="0" quotePrefix="0" xfId="20">
      <alignment horizontal="general" vertical="center"/>
    </xf>
    <xf numFmtId="1" fontId="4" fillId="5" borderId="11" applyAlignment="1" pivotButton="0" quotePrefix="0" xfId="20">
      <alignment horizontal="general" vertical="center"/>
    </xf>
    <xf numFmtId="0" fontId="4" fillId="6" borderId="11" applyAlignment="1" pivotButton="0" quotePrefix="0" xfId="20">
      <alignment horizontal="general" vertical="center"/>
    </xf>
    <xf numFmtId="164" fontId="4" fillId="6" borderId="11" applyAlignment="1" pivotButton="0" quotePrefix="0" xfId="20">
      <alignment horizontal="general" vertical="center"/>
    </xf>
    <xf numFmtId="0" fontId="4" fillId="6" borderId="8" applyAlignment="1" pivotButton="0" quotePrefix="0" xfId="20">
      <alignment horizontal="general" vertical="center" wrapText="1"/>
    </xf>
    <xf numFmtId="0" fontId="9" fillId="4" borderId="0" applyAlignment="1" pivotButton="0" quotePrefix="0" xfId="20">
      <alignment horizontal="center" vertical="bottom"/>
    </xf>
    <xf numFmtId="0" fontId="11" fillId="9" borderId="15" applyAlignment="1" pivotButton="0" quotePrefix="0" xfId="20">
      <alignment horizontal="center" vertical="center" wrapText="1"/>
    </xf>
    <xf numFmtId="0" fontId="15" fillId="6" borderId="12" applyAlignment="1" pivotButton="0" quotePrefix="0" xfId="20">
      <alignment horizontal="center" vertical="center"/>
    </xf>
    <xf numFmtId="166" fontId="15" fillId="6" borderId="13" applyAlignment="1" pivotButton="0" quotePrefix="0" xfId="20">
      <alignment horizontal="center" vertical="center"/>
    </xf>
    <xf numFmtId="166" fontId="15" fillId="6" borderId="14" applyAlignment="1" pivotButton="0" quotePrefix="0" xfId="20">
      <alignment horizontal="center" vertical="center"/>
    </xf>
    <xf numFmtId="166" fontId="16" fillId="9" borderId="12" applyAlignment="1" pivotButton="0" quotePrefix="0" xfId="20">
      <alignment horizontal="center" vertical="center"/>
    </xf>
    <xf numFmtId="166" fontId="16" fillId="9" borderId="13" applyAlignment="1" pivotButton="0" quotePrefix="0" xfId="20">
      <alignment horizontal="center" vertical="center"/>
    </xf>
    <xf numFmtId="0" fontId="16" fillId="9" borderId="13" applyAlignment="1" pivotButton="0" quotePrefix="0" xfId="20">
      <alignment horizontal="center" vertical="center"/>
    </xf>
    <xf numFmtId="0" fontId="16" fillId="9" borderId="14" applyAlignment="1" pivotButton="0" quotePrefix="0" xfId="20">
      <alignment horizontal="center" vertical="center"/>
    </xf>
    <xf numFmtId="0" fontId="4" fillId="0" borderId="4" applyAlignment="1" pivotButton="0" quotePrefix="0" xfId="20">
      <alignment horizontal="general" vertical="bottom"/>
    </xf>
    <xf numFmtId="166" fontId="4" fillId="0" borderId="5" applyAlignment="1" pivotButton="0" quotePrefix="0" xfId="20">
      <alignment horizontal="general" vertical="bottom"/>
    </xf>
    <xf numFmtId="0" fontId="4" fillId="0" borderId="7" applyAlignment="1" pivotButton="0" quotePrefix="0" xfId="20">
      <alignment horizontal="general" vertical="bottom"/>
    </xf>
    <xf numFmtId="166" fontId="4" fillId="0" borderId="8" applyAlignment="1" pivotButton="0" quotePrefix="0" xfId="20">
      <alignment horizontal="general" vertical="bottom"/>
    </xf>
    <xf numFmtId="0" fontId="17" fillId="7" borderId="0" applyAlignment="1" pivotButton="0" quotePrefix="0" xfId="20">
      <alignment horizontal="left" vertical="bottom" wrapText="1"/>
    </xf>
    <xf numFmtId="0" fontId="4" fillId="0" borderId="0" applyAlignment="1" pivotButton="0" quotePrefix="0" xfId="20">
      <alignment horizontal="general" vertical="bottom"/>
    </xf>
    <xf numFmtId="0" fontId="0" fillId="0" borderId="0" pivotButton="0" quotePrefix="0" xfId="0"/>
    <xf numFmtId="0" fontId="5" fillId="2" borderId="1" applyAlignment="1" pivotButton="0" quotePrefix="0" xfId="20">
      <alignment horizontal="center" vertical="center" wrapText="1"/>
    </xf>
    <xf numFmtId="0" fontId="0" fillId="0" borderId="1" pivotButton="0" quotePrefix="0" xfId="0"/>
    <xf numFmtId="0" fontId="8" fillId="3" borderId="0" applyAlignment="1" pivotButton="0" quotePrefix="0" xfId="20">
      <alignment horizontal="center" vertical="center" wrapText="1"/>
    </xf>
    <xf numFmtId="0" fontId="9" fillId="0" borderId="2" applyAlignment="1" pivotButton="0" quotePrefix="0" xfId="20">
      <alignment horizontal="general" vertical="center" wrapText="1"/>
    </xf>
    <xf numFmtId="0" fontId="4" fillId="0" borderId="3" applyAlignment="1" pivotButton="0" quotePrefix="0" xfId="20">
      <alignment horizontal="general" vertical="center" wrapText="1"/>
    </xf>
    <xf numFmtId="0" fontId="0" fillId="0" borderId="10" pivotButton="0" quotePrefix="0" xfId="0"/>
    <xf numFmtId="0" fontId="0" fillId="0" borderId="3" pivotButton="0" quotePrefix="0" xfId="0"/>
    <xf numFmtId="0" fontId="9" fillId="0" borderId="4" applyAlignment="1" pivotButton="0" quotePrefix="0" xfId="20">
      <alignment horizontal="general" vertical="center" wrapText="1"/>
    </xf>
    <xf numFmtId="0" fontId="4" fillId="0" borderId="5" applyAlignment="1" pivotButton="0" quotePrefix="0" xfId="20">
      <alignment horizontal="general" vertical="center" wrapText="1"/>
    </xf>
    <xf numFmtId="0" fontId="0" fillId="0" borderId="5" pivotButton="0" quotePrefix="0" xfId="0"/>
    <xf numFmtId="0" fontId="4" fillId="0" borderId="0" applyAlignment="1" pivotButton="0" quotePrefix="0" xfId="20">
      <alignment horizontal="general" vertical="center" wrapText="1"/>
    </xf>
    <xf numFmtId="0" fontId="9" fillId="3" borderId="6" applyAlignment="1" pivotButton="0" quotePrefix="0" xfId="20">
      <alignment horizontal="center" vertical="center" wrapText="1"/>
    </xf>
    <xf numFmtId="0" fontId="9" fillId="0" borderId="7" applyAlignment="1" pivotButton="0" quotePrefix="0" xfId="20">
      <alignment horizontal="general" vertical="center" wrapText="1"/>
    </xf>
    <xf numFmtId="0" fontId="4" fillId="0" borderId="8" applyAlignment="1" pivotButton="0" quotePrefix="0" xfId="20">
      <alignment horizontal="general" vertical="center" wrapText="1"/>
    </xf>
    <xf numFmtId="0" fontId="0" fillId="0" borderId="11" pivotButton="0" quotePrefix="0" xfId="0"/>
    <xf numFmtId="0" fontId="0" fillId="0" borderId="8" pivotButton="0" quotePrefix="0" xfId="0"/>
    <xf numFmtId="0" fontId="10" fillId="2" borderId="9" applyAlignment="1" pivotButton="0" quotePrefix="0" xfId="20">
      <alignment horizontal="center" vertical="center"/>
    </xf>
    <xf numFmtId="0" fontId="0" fillId="0" borderId="9" pivotButton="0" quotePrefix="0" xfId="0"/>
    <xf numFmtId="0" fontId="9" fillId="4" borderId="2" applyAlignment="1" pivotButton="0" quotePrefix="0" xfId="20">
      <alignment horizontal="general" vertical="center"/>
    </xf>
    <xf numFmtId="0" fontId="9" fillId="5" borderId="3" applyAlignment="1" pivotButton="0" quotePrefix="0" xfId="20">
      <alignment horizontal="general" vertical="bottom"/>
    </xf>
    <xf numFmtId="0" fontId="8" fillId="3" borderId="2" applyAlignment="1" pivotButton="0" quotePrefix="0" xfId="20">
      <alignment horizontal="center" vertical="center"/>
    </xf>
    <xf numFmtId="0" fontId="8" fillId="3" borderId="3" applyAlignment="1" pivotButton="0" quotePrefix="0" xfId="20">
      <alignment horizontal="center" vertical="center"/>
    </xf>
    <xf numFmtId="0" fontId="9" fillId="4" borderId="4" applyAlignment="1" pivotButton="0" quotePrefix="0" xfId="20">
      <alignment horizontal="general" vertical="center"/>
    </xf>
    <xf numFmtId="164" fontId="9" fillId="5" borderId="5" applyAlignment="1" pivotButton="0" quotePrefix="0" xfId="20">
      <alignment horizontal="general" vertical="bottom"/>
    </xf>
    <xf numFmtId="0" fontId="4" fillId="5" borderId="4" applyAlignment="1" pivotButton="0" quotePrefix="0" xfId="20">
      <alignment horizontal="general" vertical="bottom"/>
    </xf>
    <xf numFmtId="0" fontId="4" fillId="0" borderId="5" applyAlignment="1" pivotButton="0" quotePrefix="0" xfId="20">
      <alignment horizontal="general" vertical="bottom"/>
    </xf>
    <xf numFmtId="0" fontId="9" fillId="4" borderId="7" applyAlignment="1" pivotButton="0" quotePrefix="0" xfId="20">
      <alignment horizontal="general" vertical="center"/>
    </xf>
    <xf numFmtId="0" fontId="9" fillId="6" borderId="8" applyAlignment="1" pivotButton="0" quotePrefix="0" xfId="20">
      <alignment horizontal="general" vertical="bottom"/>
    </xf>
    <xf numFmtId="0" fontId="4" fillId="6" borderId="4" applyAlignment="1" pivotButton="0" quotePrefix="0" xfId="20">
      <alignment horizontal="general" vertical="bottom"/>
    </xf>
    <xf numFmtId="0" fontId="4" fillId="7" borderId="4" applyAlignment="1" pivotButton="0" quotePrefix="0" xfId="20">
      <alignment horizontal="general" vertical="bottom"/>
    </xf>
    <xf numFmtId="0" fontId="8" fillId="3" borderId="0" applyAlignment="1" pivotButton="0" quotePrefix="0" xfId="20">
      <alignment horizontal="center" vertical="center"/>
    </xf>
    <xf numFmtId="0" fontId="4" fillId="8" borderId="7" applyAlignment="1" pivotButton="0" quotePrefix="0" xfId="20">
      <alignment horizontal="general" vertical="bottom"/>
    </xf>
    <xf numFmtId="0" fontId="4" fillId="0" borderId="8" applyAlignment="1" pivotButton="0" quotePrefix="0" xfId="20">
      <alignment horizontal="general" vertical="bottom"/>
    </xf>
    <xf numFmtId="0" fontId="4" fillId="9" borderId="2" applyAlignment="1" pivotButton="0" quotePrefix="0" xfId="20">
      <alignment horizontal="general" vertical="bottom"/>
    </xf>
    <xf numFmtId="0" fontId="4" fillId="9" borderId="10" applyAlignment="1" pivotButton="0" quotePrefix="0" xfId="20">
      <alignment horizontal="general" vertical="bottom"/>
    </xf>
    <xf numFmtId="0" fontId="4" fillId="9" borderId="3" applyAlignment="1" pivotButton="0" quotePrefix="0" xfId="20">
      <alignment horizontal="general" vertical="bottom"/>
    </xf>
    <xf numFmtId="0" fontId="4" fillId="9" borderId="4" applyAlignment="1" pivotButton="0" quotePrefix="0" xfId="20">
      <alignment horizontal="general" vertical="bottom"/>
    </xf>
    <xf numFmtId="0" fontId="4" fillId="9" borderId="0" applyAlignment="1" pivotButton="0" quotePrefix="0" xfId="20">
      <alignment horizontal="general" vertical="bottom"/>
    </xf>
    <xf numFmtId="0" fontId="4" fillId="9" borderId="5" applyAlignment="1" pivotButton="0" quotePrefix="0" xfId="20">
      <alignment horizontal="general" vertical="bottom"/>
    </xf>
    <xf numFmtId="0" fontId="4" fillId="9" borderId="7" applyAlignment="1" pivotButton="0" quotePrefix="0" xfId="20">
      <alignment horizontal="general" vertical="bottom"/>
    </xf>
    <xf numFmtId="0" fontId="4" fillId="9" borderId="11" applyAlignment="1" pivotButton="0" quotePrefix="0" xfId="20">
      <alignment horizontal="general" vertical="bottom"/>
    </xf>
    <xf numFmtId="0" fontId="4" fillId="9" borderId="8" applyAlignment="1" pivotButton="0" quotePrefix="0" xfId="20">
      <alignment horizontal="general" vertical="bottom"/>
    </xf>
    <xf numFmtId="0" fontId="11" fillId="4" borderId="0" applyAlignment="1" pivotButton="0" quotePrefix="0" xfId="20">
      <alignment horizontal="left" vertical="center"/>
    </xf>
    <xf numFmtId="0" fontId="9" fillId="4" borderId="12" applyAlignment="1" pivotButton="0" quotePrefix="0" xfId="20">
      <alignment horizontal="general" vertical="center"/>
    </xf>
    <xf numFmtId="0" fontId="12" fillId="6" borderId="13" applyAlignment="1" pivotButton="0" quotePrefix="0" xfId="20">
      <alignment horizontal="general" vertical="bottom"/>
    </xf>
    <xf numFmtId="0" fontId="9" fillId="4" borderId="13" applyAlignment="1" pivotButton="0" quotePrefix="0" xfId="20">
      <alignment horizontal="general" vertical="center"/>
    </xf>
    <xf numFmtId="164" fontId="12" fillId="6" borderId="14" applyAlignment="1" pivotButton="0" quotePrefix="0" xfId="20">
      <alignment horizontal="general" vertical="bottom"/>
    </xf>
    <xf numFmtId="164" fontId="13" fillId="0" borderId="0" applyAlignment="1" pivotButton="0" quotePrefix="0" xfId="20">
      <alignment horizontal="general" vertical="bottom"/>
    </xf>
    <xf numFmtId="0" fontId="14" fillId="10" borderId="12" applyAlignment="1" pivotButton="0" quotePrefix="0" xfId="20">
      <alignment horizontal="center" vertical="center" wrapText="1"/>
    </xf>
    <xf numFmtId="0" fontId="14" fillId="10" borderId="13" applyAlignment="1" pivotButton="0" quotePrefix="0" xfId="20">
      <alignment horizontal="center" vertical="center" wrapText="1"/>
    </xf>
    <xf numFmtId="165" fontId="14" fillId="10" borderId="12" applyAlignment="1" pivotButton="0" quotePrefix="0" xfId="20">
      <alignment horizontal="center" vertical="center" wrapText="1"/>
    </xf>
    <xf numFmtId="165" fontId="14" fillId="10" borderId="13" applyAlignment="1" pivotButton="0" quotePrefix="0" xfId="20">
      <alignment horizontal="center" vertical="center" wrapText="1"/>
    </xf>
    <xf numFmtId="165" fontId="14" fillId="10" borderId="14" applyAlignment="1" pivotButton="0" quotePrefix="0" xfId="20">
      <alignment horizontal="center" vertical="center" wrapText="1"/>
    </xf>
    <xf numFmtId="0" fontId="14" fillId="10" borderId="14" applyAlignment="1" pivotButton="0" quotePrefix="0" xfId="20">
      <alignment horizontal="center" vertical="center" wrapText="1"/>
    </xf>
    <xf numFmtId="0" fontId="4" fillId="6" borderId="2" applyAlignment="1" pivotButton="0" quotePrefix="0" xfId="20">
      <alignment horizontal="general" vertical="center"/>
    </xf>
    <xf numFmtId="0" fontId="4" fillId="5" borderId="10" applyAlignment="1" pivotButton="0" quotePrefix="0" xfId="20">
      <alignment horizontal="general" vertical="center"/>
    </xf>
    <xf numFmtId="0" fontId="4" fillId="5" borderId="10" applyAlignment="1" pivotButton="0" quotePrefix="0" xfId="20">
      <alignment horizontal="general" vertical="center" wrapText="1"/>
    </xf>
    <xf numFmtId="164" fontId="4" fillId="5" borderId="10" applyAlignment="1" pivotButton="0" quotePrefix="0" xfId="20">
      <alignment horizontal="general" vertical="center"/>
    </xf>
    <xf numFmtId="4" fontId="4" fillId="5" borderId="10" applyAlignment="1" pivotButton="0" quotePrefix="0" xfId="20">
      <alignment horizontal="general" vertical="center"/>
    </xf>
    <xf numFmtId="166" fontId="4" fillId="5" borderId="10" applyAlignment="1" pivotButton="0" quotePrefix="0" xfId="20">
      <alignment horizontal="general" vertical="center"/>
    </xf>
    <xf numFmtId="166" fontId="4" fillId="6" borderId="10" applyAlignment="1" pivotButton="0" quotePrefix="0" xfId="20">
      <alignment horizontal="general" vertical="center"/>
    </xf>
    <xf numFmtId="1" fontId="4" fillId="5" borderId="10" applyAlignment="1" pivotButton="0" quotePrefix="0" xfId="20">
      <alignment horizontal="general" vertical="center"/>
    </xf>
    <xf numFmtId="0" fontId="4" fillId="6" borderId="10" applyAlignment="1" pivotButton="0" quotePrefix="0" xfId="20">
      <alignment horizontal="general" vertical="center"/>
    </xf>
    <xf numFmtId="164" fontId="4" fillId="6" borderId="10" applyAlignment="1" pivotButton="0" quotePrefix="0" xfId="20">
      <alignment horizontal="general" vertical="center"/>
    </xf>
    <xf numFmtId="0" fontId="4" fillId="6" borderId="3" applyAlignment="1" pivotButton="0" quotePrefix="0" xfId="20">
      <alignment horizontal="general" vertical="center" wrapText="1"/>
    </xf>
    <xf numFmtId="0" fontId="4" fillId="6" borderId="4" applyAlignment="1" pivotButton="0" quotePrefix="0" xfId="20">
      <alignment horizontal="general" vertical="center"/>
    </xf>
    <xf numFmtId="0" fontId="4" fillId="5" borderId="0" applyAlignment="1" pivotButton="0" quotePrefix="0" xfId="20">
      <alignment horizontal="general" vertical="center"/>
    </xf>
    <xf numFmtId="0" fontId="4" fillId="5" borderId="0" applyAlignment="1" pivotButton="0" quotePrefix="0" xfId="20">
      <alignment horizontal="general" vertical="center" wrapText="1"/>
    </xf>
    <xf numFmtId="164" fontId="4" fillId="5" borderId="0" applyAlignment="1" pivotButton="0" quotePrefix="0" xfId="20">
      <alignment horizontal="general" vertical="center"/>
    </xf>
    <xf numFmtId="4" fontId="4" fillId="5" borderId="0" applyAlignment="1" pivotButton="0" quotePrefix="0" xfId="20">
      <alignment horizontal="general" vertical="center"/>
    </xf>
    <xf numFmtId="166" fontId="4" fillId="5" borderId="0" applyAlignment="1" pivotButton="0" quotePrefix="0" xfId="20">
      <alignment horizontal="general" vertical="center"/>
    </xf>
    <xf numFmtId="166" fontId="4" fillId="6" borderId="0" applyAlignment="1" pivotButton="0" quotePrefix="0" xfId="20">
      <alignment horizontal="general" vertical="center"/>
    </xf>
    <xf numFmtId="1" fontId="4" fillId="5" borderId="0" applyAlignment="1" pivotButton="0" quotePrefix="0" xfId="20">
      <alignment horizontal="general" vertical="center"/>
    </xf>
    <xf numFmtId="0" fontId="4" fillId="6" borderId="0" applyAlignment="1" pivotButton="0" quotePrefix="0" xfId="20">
      <alignment horizontal="general" vertical="center"/>
    </xf>
    <xf numFmtId="164" fontId="4" fillId="6" borderId="0" applyAlignment="1" pivotButton="0" quotePrefix="0" xfId="20">
      <alignment horizontal="general" vertical="center"/>
    </xf>
    <xf numFmtId="0" fontId="4" fillId="6" borderId="5" applyAlignment="1" pivotButton="0" quotePrefix="0" xfId="20">
      <alignment horizontal="general" vertical="center" wrapText="1"/>
    </xf>
    <xf numFmtId="0" fontId="4" fillId="6" borderId="7" applyAlignment="1" pivotButton="0" quotePrefix="0" xfId="20">
      <alignment horizontal="general" vertical="center"/>
    </xf>
    <xf numFmtId="0" fontId="4" fillId="5" borderId="11" applyAlignment="1" pivotButton="0" quotePrefix="0" xfId="20">
      <alignment horizontal="general" vertical="center"/>
    </xf>
    <xf numFmtId="0" fontId="4" fillId="5" borderId="11" applyAlignment="1" pivotButton="0" quotePrefix="0" xfId="20">
      <alignment horizontal="general" vertical="center" wrapText="1"/>
    </xf>
    <xf numFmtId="164" fontId="4" fillId="5" borderId="11" applyAlignment="1" pivotButton="0" quotePrefix="0" xfId="20">
      <alignment horizontal="general" vertical="center"/>
    </xf>
    <xf numFmtId="4" fontId="4" fillId="5" borderId="11" applyAlignment="1" pivotButton="0" quotePrefix="0" xfId="20">
      <alignment horizontal="general" vertical="center"/>
    </xf>
    <xf numFmtId="166" fontId="4" fillId="5" borderId="11" applyAlignment="1" pivotButton="0" quotePrefix="0" xfId="20">
      <alignment horizontal="general" vertical="center"/>
    </xf>
    <xf numFmtId="166" fontId="4" fillId="6" borderId="11" applyAlignment="1" pivotButton="0" quotePrefix="0" xfId="20">
      <alignment horizontal="general" vertical="center"/>
    </xf>
    <xf numFmtId="1" fontId="4" fillId="5" borderId="11" applyAlignment="1" pivotButton="0" quotePrefix="0" xfId="20">
      <alignment horizontal="general" vertical="center"/>
    </xf>
    <xf numFmtId="0" fontId="4" fillId="6" borderId="11" applyAlignment="1" pivotButton="0" quotePrefix="0" xfId="20">
      <alignment horizontal="general" vertical="center"/>
    </xf>
    <xf numFmtId="164" fontId="4" fillId="6" borderId="11" applyAlignment="1" pivotButton="0" quotePrefix="0" xfId="20">
      <alignment horizontal="general" vertical="center"/>
    </xf>
    <xf numFmtId="0" fontId="4" fillId="6" borderId="8" applyAlignment="1" pivotButton="0" quotePrefix="0" xfId="20">
      <alignment horizontal="general" vertical="center" wrapText="1"/>
    </xf>
    <xf numFmtId="0" fontId="9" fillId="4" borderId="0" applyAlignment="1" pivotButton="0" quotePrefix="0" xfId="20">
      <alignment horizontal="center" vertical="bottom"/>
    </xf>
    <xf numFmtId="0" fontId="11" fillId="9" borderId="15" applyAlignment="1" pivotButton="0" quotePrefix="0" xfId="20">
      <alignment horizontal="center" vertical="center" wrapText="1"/>
    </xf>
    <xf numFmtId="0" fontId="15" fillId="6" borderId="12" applyAlignment="1" pivotButton="0" quotePrefix="0" xfId="20">
      <alignment horizontal="center" vertical="center"/>
    </xf>
    <xf numFmtId="166" fontId="15" fillId="6" borderId="13" applyAlignment="1" pivotButton="0" quotePrefix="0" xfId="20">
      <alignment horizontal="center" vertical="center"/>
    </xf>
    <xf numFmtId="166" fontId="15" fillId="6" borderId="14" applyAlignment="1" pivotButton="0" quotePrefix="0" xfId="20">
      <alignment horizontal="center" vertical="center"/>
    </xf>
    <xf numFmtId="0" fontId="0" fillId="0" borderId="4" pivotButton="0" quotePrefix="0" xfId="0"/>
    <xf numFmtId="0" fontId="0" fillId="0" borderId="7" pivotButton="0" quotePrefix="0" xfId="0"/>
    <xf numFmtId="166" fontId="16" fillId="9" borderId="12" applyAlignment="1" pivotButton="0" quotePrefix="0" xfId="20">
      <alignment horizontal="center" vertical="center"/>
    </xf>
    <xf numFmtId="166" fontId="16" fillId="9" borderId="13" applyAlignment="1" pivotButton="0" quotePrefix="0" xfId="20">
      <alignment horizontal="center" vertical="center"/>
    </xf>
    <xf numFmtId="0" fontId="16" fillId="9" borderId="13" applyAlignment="1" pivotButton="0" quotePrefix="0" xfId="20">
      <alignment horizontal="center" vertical="center"/>
    </xf>
    <xf numFmtId="0" fontId="16" fillId="9" borderId="14" applyAlignment="1" pivotButton="0" quotePrefix="0" xfId="20">
      <alignment horizontal="center" vertical="center"/>
    </xf>
    <xf numFmtId="0" fontId="4" fillId="0" borderId="4" applyAlignment="1" pivotButton="0" quotePrefix="0" xfId="20">
      <alignment horizontal="general" vertical="bottom"/>
    </xf>
    <xf numFmtId="166" fontId="4" fillId="0" borderId="5" applyAlignment="1" pivotButton="0" quotePrefix="0" xfId="20">
      <alignment horizontal="general" vertical="bottom"/>
    </xf>
    <xf numFmtId="0" fontId="4" fillId="0" borderId="7" applyAlignment="1" pivotButton="0" quotePrefix="0" xfId="20">
      <alignment horizontal="general" vertical="bottom"/>
    </xf>
    <xf numFmtId="166" fontId="4" fillId="0" borderId="8" applyAlignment="1" pivotButton="0" quotePrefix="0" xfId="20">
      <alignment horizontal="general" vertical="bottom"/>
    </xf>
    <xf numFmtId="0" fontId="17" fillId="7" borderId="0" applyAlignment="1" pivotButton="0" quotePrefix="0" xfId="20">
      <alignment horizontal="left"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244A73"/>
          <bgColor rgb="FF000000"/>
        </patternFill>
      </fill>
    </dxf>
    <dxf>
      <fill>
        <patternFill patternType="solid">
          <fgColor rgb="FFEAF2F8"/>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E2F0D9"/>
          <bgColor rgb="FF000000"/>
        </patternFill>
      </fill>
    </dxf>
    <dxf>
      <fill>
        <patternFill patternType="solid">
          <fgColor rgb="FF006100"/>
          <bgColor rgb="FF000000"/>
        </patternFill>
      </fill>
    </dxf>
    <dxf>
      <font>
        <b val="1"/>
        <color rgb="FF006100"/>
      </font>
      <fill>
        <patternFill>
          <bgColor rgb="FFE2F0D9"/>
        </patternFill>
      </fill>
    </dxf>
    <dxf>
      <font>
        <color rgb="FF9C0006"/>
      </font>
      <fill>
        <patternFill>
          <bgColor rgb="FFF4CCCC"/>
        </patternFill>
      </fill>
    </dxf>
    <dxf>
      <font>
        <color rgb="FF9C5700"/>
      </font>
      <fill>
        <patternFill>
          <bgColor rgb="FFFCE4CC"/>
        </patternFill>
      </fill>
    </dxf>
    <dxf>
      <font>
        <color rgb="FF006100"/>
      </font>
      <fill>
        <patternFill>
          <bgColor rgb="FFE2F0D9"/>
        </patternFill>
      </fill>
    </dxf>
    <dxf>
      <font>
        <color rgb="FF17365D"/>
      </font>
      <fill>
        <patternFill>
          <bgColor rgb="FFF2F2F2"/>
        </patternFill>
      </fill>
    </dxf>
    <dxf>
      <font>
        <b val="1"/>
        <color rgb="FF9C0006"/>
      </font>
      <fill>
        <patternFill>
          <bgColor rgb="FFF4CCC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7C9D6"/>
      <rgbColor rgb="FF808080"/>
      <rgbColor rgb="FF9999FF"/>
      <rgbColor rgb="FF993366"/>
      <rgbColor rgb="FFFFF2CC"/>
      <rgbColor rgb="FFEAF2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F0D9"/>
      <rgbColor rgb="FFFCE4CC"/>
      <rgbColor rgb="FF99CCFF"/>
      <rgbColor rgb="FFFF99CC"/>
      <rgbColor rgb="FFCC99FF"/>
      <rgbColor rgb="FFF4CCCC"/>
      <rgbColor rgb="FF3366FF"/>
      <rgbColor rgb="FF33CCCC"/>
      <rgbColor rgb="FFC9A227"/>
      <rgbColor rgb="FFE3C766"/>
      <rgbColor rgb="FFF28C28"/>
      <rgbColor rgb="FFFF6600"/>
      <rgbColor rgb="FF666699"/>
      <rgbColor rgb="FF969696"/>
      <rgbColor rgb="FF17365D"/>
      <rgbColor rgb="FF339966"/>
      <rgbColor rgb="FF003300"/>
      <rgbColor rgb="FF333300"/>
      <rgbColor rgb="FF9C5700"/>
      <rgbColor rgb="FF993366"/>
      <rgbColor rgb="FF244A73"/>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BangPhanBoCPTT" displayName="BangPhanBoCPTT" ref="A6:AI306" headerRowCount="1" totalsRowCount="0" totalsRowShown="0">
  <tableColumns count="35">
    <tableColumn id="1" name="STT"/>
    <tableColumn id="2" name="Mã chi phí trả trước"/>
    <tableColumn id="3" name="Tên"/>
    <tableColumn id="4" name="Ngày tăng"/>
    <tableColumn id="5" name="Ngày bắt đầu phân bổ"/>
    <tableColumn id="6" name="Số lượng"/>
    <tableColumn id="7" name="Đơn giá"/>
    <tableColumn id="8" name="Giá trị phân bổ"/>
    <tableColumn id="9" name="Số tháng phân bổ"/>
    <tableColumn id="10" name="Giá trị phân bổ/ngày"/>
    <tableColumn id="11" name="Mã chi phí (ERP)"/>
    <tableColumn id="12" name="Phân loại ngắn hạn/dài hạn"/>
    <tableColumn id="13" name="Bộ phận sử dụng"/>
    <tableColumn id="14" name="TK chi phí"/>
    <tableColumn id="15" name="TK chi phí trả trước"/>
    <tableColumn id="16" name="Ngày kết thúc phân bổ"/>
    <tableColumn id="17" name="Phân bổ trước năm"/>
    <tableColumn id="18" name="T1"/>
    <tableColumn id="19" name="T2"/>
    <tableColumn id="20" name="T3"/>
    <tableColumn id="21" name="T4"/>
    <tableColumn id="22" name="T5"/>
    <tableColumn id="23" name="T6"/>
    <tableColumn id="24" name="T7"/>
    <tableColumn id="25" name="T8"/>
    <tableColumn id="26" name="T9"/>
    <tableColumn id="27" name="T10"/>
    <tableColumn id="28" name="T11"/>
    <tableColumn id="29" name="T12"/>
    <tableColumn id="30" name="Phân bổ trong năm"/>
    <tableColumn id="31" name="Lũy kế đến cuối năm"/>
    <tableColumn id="32" name="Giá trị còn lại"/>
    <tableColumn id="33" name="Trạng thái tại ngày báo cáo"/>
    <tableColumn id="34" name="Ghi chú"/>
    <tableColumn id="35" name="Kiểm tra dữ liệu"/>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A1:H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7" min="1" max="1"/>
    <col width="76" customWidth="1" style="97" min="2" max="2"/>
    <col width="14" customWidth="1" style="97" min="3" max="8"/>
  </cols>
  <sheetData>
    <row r="1" ht="54" customHeight="1" s="98">
      <c r="A1" s="99" t="inlineStr">
        <is>
          <t>KK HOME     |     Kiểm toán · Kế toán · Tư vấn Thuế
HƯỚNG DẪN SỬ DỤNG – PHÂN BỔ CHI PHÍ TRẢ TRƯỚC</t>
        </is>
      </c>
      <c r="B1" s="100" t="n"/>
      <c r="C1" s="100" t="n"/>
      <c r="D1" s="100" t="n"/>
      <c r="E1" s="100" t="n"/>
      <c r="F1" s="100" t="n"/>
      <c r="G1" s="100" t="n"/>
      <c r="H1" s="100" t="n"/>
    </row>
    <row r="2"/>
    <row r="3" ht="24" customHeight="1" s="98">
      <c r="A3" s="101" t="inlineStr">
        <is>
          <t>1. QUY TRÌNH SỬ DỤNG</t>
        </is>
      </c>
    </row>
    <row r="4" ht="27.75" customHeight="1" s="98">
      <c r="A4" s="102" t="inlineStr">
        <is>
          <t>Bước 1</t>
        </is>
      </c>
      <c r="B4" s="103" t="inlineStr">
        <is>
          <t>Vào sheet “Thiết lập”, chọn năm cần lập lịch phân bổ.</t>
        </is>
      </c>
      <c r="C4" s="104" t="n"/>
      <c r="D4" s="104" t="n"/>
      <c r="E4" s="104" t="n"/>
      <c r="F4" s="104" t="n"/>
      <c r="G4" s="104" t="n"/>
      <c r="H4" s="105" t="n"/>
    </row>
    <row r="5" ht="27.75" customHeight="1" s="98">
      <c r="A5" s="106" t="inlineStr">
        <is>
          <t>Bước 2</t>
        </is>
      </c>
      <c r="B5" s="107" t="inlineStr">
        <is>
          <t>Vào sheet “Phân bổ”, chỉ nhập các ô nền vàng.</t>
        </is>
      </c>
      <c r="H5" s="108" t="n"/>
    </row>
    <row r="6" ht="27.75" customHeight="1" s="98">
      <c r="A6" s="106" t="inlineStr">
        <is>
          <t>Bước 3</t>
        </is>
      </c>
      <c r="B6" s="107" t="inlineStr">
        <is>
          <t>Không ghi đè các ô nền xanh/xám vì đây là cột công thức.</t>
        </is>
      </c>
      <c r="H6" s="108" t="n"/>
    </row>
    <row r="7" ht="27.75" customHeight="1" s="98">
      <c r="A7" s="106" t="inlineStr">
        <is>
          <t>Bước 4</t>
        </is>
      </c>
      <c r="B7" s="107" t="inlineStr">
        <is>
          <t>Theo dõi tổng hợp, số dư và lỗi dữ liệu tại sheet “Báo cáo”.</t>
        </is>
      </c>
      <c r="H7" s="108" t="n"/>
    </row>
    <row r="8" ht="27.75" customHeight="1" s="98">
      <c r="A8" s="106" t="n"/>
      <c r="B8" s="109" t="n"/>
      <c r="C8" s="109" t="n"/>
      <c r="D8" s="109" t="n"/>
      <c r="E8" s="109" t="n"/>
      <c r="F8" s="109" t="n"/>
      <c r="G8" s="109" t="n"/>
      <c r="H8" s="107" t="n"/>
    </row>
    <row r="9" ht="27.75" customHeight="1" s="98">
      <c r="A9" s="110" t="inlineStr">
        <is>
          <t>2. NGUYÊN TẮC TÍNH</t>
        </is>
      </c>
      <c r="H9" s="108" t="n"/>
    </row>
    <row r="10" ht="27.75" customHeight="1" s="98">
      <c r="A10" s="106" t="inlineStr">
        <is>
          <t>Giá trị phân bổ</t>
        </is>
      </c>
      <c r="B10" s="107" t="inlineStr">
        <is>
          <t>Số lượng × Đơn giá.</t>
        </is>
      </c>
      <c r="H10" s="108" t="n"/>
    </row>
    <row r="11" ht="27.75" customHeight="1" s="98">
      <c r="A11" s="106" t="inlineStr">
        <is>
          <t>Ngày kết thúc</t>
        </is>
      </c>
      <c r="B11" s="107" t="inlineStr">
        <is>
          <t>Ngày bắt đầu phân bổ + Số tháng phân bổ − 1 ngày.</t>
        </is>
      </c>
      <c r="H11" s="108" t="n"/>
    </row>
    <row r="12" ht="27.75" customHeight="1" s="98">
      <c r="A12" s="106" t="inlineStr">
        <is>
          <t>Phân bổ theo ngày</t>
        </is>
      </c>
      <c r="B12" s="107" t="inlineStr">
        <is>
          <t>Giá trị phân bổ ÷ tổng số ngày thực tế của thời gian phân bổ.</t>
        </is>
      </c>
      <c r="H12" s="108" t="n"/>
    </row>
    <row r="13" ht="27.75" customHeight="1" s="98">
      <c r="A13" s="106" t="inlineStr">
        <is>
          <t>Phân bổ tháng</t>
        </is>
      </c>
      <c r="B13" s="107" t="inlineStr">
        <is>
          <t>Số ngày thuộc từng tháng × giá trị phân bổ/ngày.</t>
        </is>
      </c>
      <c r="H13" s="108" t="n"/>
    </row>
    <row r="14" ht="27.75" customHeight="1" s="98">
      <c r="A14" s="106" t="inlineStr">
        <is>
          <t>Phân loại</t>
        </is>
      </c>
      <c r="B14" s="107" t="inlineStr">
        <is>
          <t>Xác định theo thời hạn thu hồi còn lại tại ngày 31/12 của năm được chọn.</t>
        </is>
      </c>
      <c r="H14" s="108" t="n"/>
    </row>
    <row r="15" ht="27.75" customHeight="1" s="98">
      <c r="A15" s="106" t="n"/>
      <c r="B15" s="109" t="n"/>
      <c r="C15" s="109" t="n"/>
      <c r="D15" s="109" t="n"/>
      <c r="E15" s="109" t="n"/>
      <c r="F15" s="109" t="n"/>
      <c r="G15" s="109" t="n"/>
      <c r="H15" s="107" t="n"/>
    </row>
    <row r="16" ht="27.75" customHeight="1" s="98">
      <c r="A16" s="110" t="inlineStr">
        <is>
          <t>3. KIỂM SOÁT DỮ LIỆU</t>
        </is>
      </c>
      <c r="H16" s="108" t="n"/>
    </row>
    <row r="17" ht="27.75" customHeight="1" s="98">
      <c r="A17" s="106" t="inlineStr">
        <is>
          <t>Mã CPTT</t>
        </is>
      </c>
      <c r="B17" s="107" t="inlineStr">
        <is>
          <t>Không để trống và không trùng nhau.</t>
        </is>
      </c>
      <c r="H17" s="108" t="n"/>
    </row>
    <row r="18" ht="27.75" customHeight="1" s="98">
      <c r="A18" s="106" t="inlineStr">
        <is>
          <t>Ngày bắt đầu</t>
        </is>
      </c>
      <c r="B18" s="107" t="inlineStr">
        <is>
          <t>Không được trước ngày tăng.</t>
        </is>
      </c>
      <c r="H18" s="108" t="n"/>
    </row>
    <row r="19" ht="27.75" customHeight="1" s="98">
      <c r="A19" s="106" t="inlineStr">
        <is>
          <t>Số lượng, đơn giá, số tháng</t>
        </is>
      </c>
      <c r="B19" s="107" t="inlineStr">
        <is>
          <t>Phải lớn hơn 0.</t>
        </is>
      </c>
      <c r="H19" s="108" t="n"/>
    </row>
    <row r="20" ht="27.75" customHeight="1" s="98">
      <c r="A20" s="106" t="inlineStr">
        <is>
          <t>Cột “Kiểm tra dữ liệu”</t>
        </is>
      </c>
      <c r="B20" s="107" t="inlineStr">
        <is>
          <t>Hiển thị “OK” khi bản ghi đủ điều kiện.</t>
        </is>
      </c>
      <c r="H20" s="108" t="n"/>
    </row>
    <row r="21" ht="27.75" customHeight="1" s="98">
      <c r="A21" s="106" t="n"/>
      <c r="B21" s="109" t="n"/>
      <c r="C21" s="109" t="n"/>
      <c r="D21" s="109" t="n"/>
      <c r="E21" s="109" t="n"/>
      <c r="F21" s="109" t="n"/>
      <c r="G21" s="109" t="n"/>
      <c r="H21" s="107" t="n"/>
    </row>
    <row r="22" ht="27.75" customHeight="1" s="98">
      <c r="A22" s="110" t="inlineStr">
        <is>
          <t>4. HẠCH TOÁN THAM KHẢO</t>
        </is>
      </c>
      <c r="H22" s="108" t="n"/>
    </row>
    <row r="23" ht="27.75" customHeight="1" s="98">
      <c r="A23" s="106" t="inlineStr">
        <is>
          <t>Khi ghi nhận CPTT</t>
        </is>
      </c>
      <c r="B23" s="107" t="inlineStr">
        <is>
          <t>Nợ 242 / Có 111, 112, 331… tùy chứng từ và phương thức thanh toán.</t>
        </is>
      </c>
      <c r="H23" s="108" t="n"/>
    </row>
    <row r="24" ht="27.75" customHeight="1" s="98">
      <c r="A24" s="106" t="inlineStr">
        <is>
          <t>Khi phân bổ</t>
        </is>
      </c>
      <c r="B24" s="107" t="inlineStr">
        <is>
          <t>Nợ 154, 627, 641, 642… / Có 242.</t>
        </is>
      </c>
      <c r="H24" s="108" t="n"/>
    </row>
    <row r="25" ht="27.75" customHeight="1" s="98">
      <c r="A25" s="106" t="inlineStr">
        <is>
          <t>Lưu ý</t>
        </is>
      </c>
      <c r="B25" s="107" t="inlineStr">
        <is>
          <t>Mã chi phí (ERP), bộ phận và tài khoản chi phí cần thống nhất với hệ thống kế toán của doanh nghiệp.</t>
        </is>
      </c>
      <c r="H25" s="108" t="n"/>
    </row>
    <row r="26" ht="27.75" customHeight="1" s="98">
      <c r="A26" s="106" t="n"/>
      <c r="B26" s="109" t="n"/>
      <c r="C26" s="109" t="n"/>
      <c r="D26" s="109" t="n"/>
      <c r="E26" s="109" t="n"/>
      <c r="F26" s="109" t="n"/>
      <c r="G26" s="109" t="n"/>
      <c r="H26" s="107" t="n"/>
    </row>
    <row r="27" ht="27.75" customHeight="1" s="98">
      <c r="A27" s="110" t="inlineStr">
        <is>
          <t>5. LƯU Ý VỀ NGẮN HẠN/DÀI HẠN</t>
        </is>
      </c>
      <c r="H27" s="108" t="n"/>
    </row>
    <row r="28" ht="27.75" customHeight="1" s="98">
      <c r="A28" s="106" t="n"/>
      <c r="B28" s="107" t="inlineStr">
        <is>
          <t>File phân loại theo từng mã CPTT. Khi lập báo cáo tài chính, một khoản có thể phải tách phần thu hồi trong 12 tháng và phần còn lại nếu số tiền trọng yếu.</t>
        </is>
      </c>
      <c r="H28" s="108" t="n"/>
    </row>
    <row r="29" ht="27.75" customHeight="1" s="98">
      <c r="A29" s="111" t="n"/>
      <c r="B29" s="112" t="n"/>
      <c r="C29" s="113" t="n"/>
      <c r="D29" s="113" t="n"/>
      <c r="E29" s="113" t="n"/>
      <c r="F29" s="113" t="n"/>
      <c r="G29" s="113" t="n"/>
      <c r="H29" s="114" t="n"/>
    </row>
    <row r="30"/>
    <row r="31" ht="25.5" customHeight="1" s="98">
      <c r="A31" s="115" t="inlineStr">
        <is>
          <t>KK HOME  ·  Kiểm toán – Kế toán – Tư vấn Thuế  ·  Mẫu theo dõi &amp; phân bổ chi phí trả trước (TK 242)</t>
        </is>
      </c>
      <c r="B31" s="116" t="n"/>
      <c r="C31" s="116" t="n"/>
      <c r="D31" s="116" t="n"/>
      <c r="E31" s="116" t="n"/>
      <c r="F31" s="116" t="n"/>
      <c r="G31" s="116" t="n"/>
      <c r="H31" s="116" t="n"/>
    </row>
  </sheetData>
  <mergeCells count="25">
    <mergeCell ref="A9:H9"/>
    <mergeCell ref="B6:H6"/>
    <mergeCell ref="B24:H24"/>
    <mergeCell ref="A1:H1"/>
    <mergeCell ref="B5:H5"/>
    <mergeCell ref="B20:H20"/>
    <mergeCell ref="B4:H4"/>
    <mergeCell ref="A16:H16"/>
    <mergeCell ref="B7:H7"/>
    <mergeCell ref="B25:H25"/>
    <mergeCell ref="A27:H27"/>
    <mergeCell ref="A3:H3"/>
    <mergeCell ref="B18:H18"/>
    <mergeCell ref="B12:H12"/>
    <mergeCell ref="B11:H11"/>
    <mergeCell ref="A22:H22"/>
    <mergeCell ref="B23:H23"/>
    <mergeCell ref="B14:H14"/>
    <mergeCell ref="B17:H17"/>
    <mergeCell ref="B13:H13"/>
    <mergeCell ref="B29:H29"/>
    <mergeCell ref="B10:H10"/>
    <mergeCell ref="B19:H19"/>
    <mergeCell ref="A31:H31"/>
    <mergeCell ref="B28:H2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7" min="1" max="1"/>
    <col width="20" customWidth="1" style="97" min="2" max="2"/>
    <col width="16" customWidth="1" style="97" min="3" max="3"/>
    <col width="24" customWidth="1" style="97" min="5" max="5"/>
    <col width="18" customWidth="1" style="97" min="7" max="8"/>
  </cols>
  <sheetData>
    <row r="1" ht="54" customHeight="1" s="98">
      <c r="A1" s="99" t="inlineStr">
        <is>
          <t>KK HOME     |     Kiểm toán · Kế toán · Tư vấn Thuế
THIẾT LẬP VÀ DANH MỤC DÙNG CHUNG</t>
        </is>
      </c>
      <c r="B1" s="100" t="n"/>
      <c r="C1" s="100" t="n"/>
      <c r="D1" s="100" t="n"/>
      <c r="E1" s="100" t="n"/>
      <c r="F1" s="100" t="n"/>
      <c r="G1" s="100" t="n"/>
      <c r="H1" s="100" t="n"/>
    </row>
    <row r="2"/>
    <row r="3" ht="15" customHeight="1" s="98">
      <c r="A3" s="117" t="inlineStr">
        <is>
          <t>Năm lập lịch phân bổ</t>
        </is>
      </c>
      <c r="B3" s="118" t="n">
        <v>2026</v>
      </c>
      <c r="G3" s="119" t="inlineStr">
        <is>
          <t>Quy ước màu</t>
        </is>
      </c>
      <c r="H3" s="120" t="n"/>
    </row>
    <row r="4" ht="15" customHeight="1" s="98">
      <c r="A4" s="121" t="inlineStr">
        <is>
          <t>Ngày báo cáo</t>
        </is>
      </c>
      <c r="B4" s="122">
        <f>DATE(B3,12,31)</f>
        <v/>
      </c>
      <c r="G4" s="123" t="inlineStr">
        <is>
          <t>Ô nhập liệu</t>
        </is>
      </c>
      <c r="H4" s="124" t="inlineStr">
        <is>
          <t>Nhập/chỉnh sửa</t>
        </is>
      </c>
    </row>
    <row r="5" ht="15" customHeight="1" s="98">
      <c r="A5" s="125" t="inlineStr">
        <is>
          <t>Phương pháp</t>
        </is>
      </c>
      <c r="B5" s="126" t="inlineStr">
        <is>
          <t>Theo ngày thực tế</t>
        </is>
      </c>
      <c r="G5" s="127" t="inlineStr">
        <is>
          <t>Ô công thức</t>
        </is>
      </c>
      <c r="H5" s="124" t="inlineStr">
        <is>
          <t>Không ghi đè</t>
        </is>
      </c>
    </row>
    <row r="6" ht="15" customHeight="1" s="98">
      <c r="G6" s="128" t="inlineStr">
        <is>
          <t>Cảnh báo</t>
        </is>
      </c>
      <c r="H6" s="124" t="inlineStr">
        <is>
          <t>Cần kiểm tra</t>
        </is>
      </c>
    </row>
    <row r="7" ht="15" customHeight="1" s="98">
      <c r="A7" s="129" t="inlineStr">
        <is>
          <t>Bộ phận sử dụng</t>
        </is>
      </c>
      <c r="C7" s="129" t="inlineStr">
        <is>
          <t>TK chi phí</t>
        </is>
      </c>
      <c r="E7" s="129" t="inlineStr">
        <is>
          <t>TK chi phí trả trước</t>
        </is>
      </c>
      <c r="G7" s="130" t="inlineStr">
        <is>
          <t>Dữ liệu hợp lệ</t>
        </is>
      </c>
      <c r="H7" s="131" t="inlineStr">
        <is>
          <t>OK</t>
        </is>
      </c>
    </row>
    <row r="8" ht="15" customHeight="1" s="98">
      <c r="A8" s="132" t="inlineStr">
        <is>
          <t>Văn phòng</t>
        </is>
      </c>
      <c r="B8" s="133" t="n"/>
      <c r="C8" s="133" t="inlineStr">
        <is>
          <t>154</t>
        </is>
      </c>
      <c r="D8" s="133" t="n"/>
      <c r="E8" s="133" t="inlineStr">
        <is>
          <t>2421</t>
        </is>
      </c>
      <c r="F8" s="134" t="n"/>
    </row>
    <row r="9" ht="15" customHeight="1" s="98">
      <c r="A9" s="135" t="inlineStr">
        <is>
          <t>Sản xuất</t>
        </is>
      </c>
      <c r="B9" s="136" t="n"/>
      <c r="C9" s="136" t="inlineStr">
        <is>
          <t>627</t>
        </is>
      </c>
      <c r="D9" s="136" t="n"/>
      <c r="E9" s="136" t="inlineStr">
        <is>
          <t>2422</t>
        </is>
      </c>
      <c r="F9" s="137" t="n"/>
    </row>
    <row r="10" ht="15" customHeight="1" s="98">
      <c r="A10" s="135" t="inlineStr">
        <is>
          <t>Bán hàng</t>
        </is>
      </c>
      <c r="B10" s="136" t="n"/>
      <c r="C10" s="136" t="inlineStr">
        <is>
          <t>632</t>
        </is>
      </c>
      <c r="D10" s="136" t="n"/>
      <c r="E10" s="136" t="n"/>
      <c r="F10" s="137" t="n"/>
    </row>
    <row r="11" ht="15" customHeight="1" s="98">
      <c r="A11" s="135" t="inlineStr">
        <is>
          <t>Quản lý</t>
        </is>
      </c>
      <c r="B11" s="136" t="n"/>
      <c r="C11" s="136" t="inlineStr">
        <is>
          <t>641</t>
        </is>
      </c>
      <c r="D11" s="136" t="n"/>
      <c r="E11" s="136" t="n"/>
      <c r="F11" s="137" t="n"/>
    </row>
    <row r="12" ht="15" customHeight="1" s="98">
      <c r="A12" s="135" t="inlineStr">
        <is>
          <t>Dự án</t>
        </is>
      </c>
      <c r="B12" s="136" t="n"/>
      <c r="C12" s="136" t="inlineStr">
        <is>
          <t>642</t>
        </is>
      </c>
      <c r="D12" s="136" t="n"/>
      <c r="E12" s="136" t="n"/>
      <c r="F12" s="137" t="n"/>
    </row>
    <row r="13" ht="15" customHeight="1" s="98">
      <c r="A13" s="135" t="inlineStr">
        <is>
          <t>Chi nhánh</t>
        </is>
      </c>
      <c r="B13" s="136" t="n"/>
      <c r="C13" s="136" t="inlineStr">
        <is>
          <t>811</t>
        </is>
      </c>
      <c r="D13" s="136" t="n"/>
      <c r="E13" s="136" t="n"/>
      <c r="F13" s="137" t="n"/>
    </row>
    <row r="14" ht="15" customHeight="1" s="98">
      <c r="A14" s="135" t="inlineStr">
        <is>
          <t>Khác</t>
        </is>
      </c>
      <c r="B14" s="136" t="n"/>
      <c r="C14" s="136" t="inlineStr">
        <is>
          <t>Khác</t>
        </is>
      </c>
      <c r="D14" s="136" t="n"/>
      <c r="E14" s="136" t="n"/>
      <c r="F14" s="137" t="n"/>
    </row>
    <row r="15" ht="15" customHeight="1" s="98">
      <c r="A15" s="138" t="n"/>
      <c r="B15" s="139" t="n"/>
      <c r="C15" s="139" t="n"/>
      <c r="D15" s="139" t="n"/>
      <c r="E15" s="139" t="n"/>
      <c r="F15" s="140" t="n"/>
    </row>
    <row r="16"/>
    <row r="17" ht="25.5" customHeight="1" s="98">
      <c r="A17" s="115" t="inlineStr">
        <is>
          <t>KK HOME  ·  Kiểm toán – Kế toán – Tư vấn Thuế  ·  Mẫu theo dõi &amp; phân bổ chi phí trả trước (TK 242)</t>
        </is>
      </c>
      <c r="B17" s="116" t="n"/>
      <c r="C17" s="116" t="n"/>
      <c r="D17" s="116" t="n"/>
      <c r="E17" s="116" t="n"/>
      <c r="F17" s="116" t="n"/>
      <c r="G17" s="116" t="n"/>
      <c r="H17" s="116" t="n"/>
    </row>
  </sheetData>
  <mergeCells count="5">
    <mergeCell ref="C7:D7"/>
    <mergeCell ref="A7:B7"/>
    <mergeCell ref="E7:F7"/>
    <mergeCell ref="A1:H1"/>
    <mergeCell ref="A17:H17"/>
  </mergeCells>
  <dataValidations count="1">
    <dataValidation sqref="B3" showDropDown="0" showInputMessage="0" showErrorMessage="0" allowBlank="0" type="list" errorStyle="stop" operator="between">
      <formula1>"2024,2025,2026,2027,2028,2029,2030,2031,2032,2033,2034,2035,2036"</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I3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97" min="1" max="1"/>
    <col width="18" customWidth="1" style="97" min="2" max="2"/>
    <col width="30" customWidth="1" style="97" min="3" max="3"/>
    <col width="13" customWidth="1" style="97" min="4" max="4"/>
    <col width="16" customWidth="1" style="97" min="5" max="5"/>
    <col width="10" customWidth="1" style="97" min="6" max="6"/>
    <col width="15" customWidth="1" style="97" min="7" max="7"/>
    <col width="16" customWidth="1" style="97" min="8" max="8"/>
    <col width="13" customWidth="1" style="97" min="9" max="9"/>
    <col width="17" customWidth="1" style="97" min="10" max="11"/>
    <col width="18" customWidth="1" style="97" min="12" max="12"/>
    <col width="17" customWidth="1" style="97" min="13" max="13"/>
    <col width="12" customWidth="1" style="97" min="14" max="14"/>
    <col width="16" customWidth="1" style="97" min="15" max="16"/>
    <col width="17" customWidth="1" style="97" min="17" max="17"/>
    <col width="12" customWidth="1" style="97" min="18" max="29"/>
    <col width="17" customWidth="1" style="97" min="30" max="30"/>
    <col width="18" customWidth="1" style="97" min="31" max="31"/>
    <col width="17" customWidth="1" style="97" min="32" max="32"/>
    <col width="18" customWidth="1" style="97" min="33" max="33"/>
    <col width="24" customWidth="1" style="97" min="34" max="34"/>
    <col width="30" customWidth="1" style="97" min="35" max="35"/>
  </cols>
  <sheetData>
    <row r="1" ht="54" customHeight="1" s="98">
      <c r="A1" s="99" t="inlineStr">
        <is>
          <t>KK HOME     |     Kiểm toán · Kế toán · Tư vấn Thuế
SỔ THEO DÕI VÀ PHÂN BỔ CHI PHÍ TRẢ TRƯỚC</t>
        </is>
      </c>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c r="AA1" s="100" t="n"/>
      <c r="AB1" s="100" t="n"/>
      <c r="AC1" s="100" t="n"/>
      <c r="AD1" s="100" t="n"/>
      <c r="AE1" s="100" t="n"/>
      <c r="AF1" s="100" t="n"/>
      <c r="AG1" s="100" t="n"/>
      <c r="AH1" s="100" t="n"/>
      <c r="AI1" s="100" t="n"/>
    </row>
    <row r="2" ht="24" customHeight="1" s="98">
      <c r="A2" s="141" t="inlineStr">
        <is>
          <t>Chỉ nhập các ô nền vàng. Các cột còn lại được tính tự động theo năm chọn tại sheet Thiết lập.</t>
        </is>
      </c>
    </row>
    <row r="3" ht="15" customHeight="1" s="98">
      <c r="A3" s="142" t="inlineStr">
        <is>
          <t>Năm phân bổ</t>
        </is>
      </c>
      <c r="B3" s="143">
        <f>'Thiết lập'!B3</f>
        <v/>
      </c>
      <c r="C3" s="144" t="inlineStr">
        <is>
          <t>Ngày báo cáo</t>
        </is>
      </c>
      <c r="D3" s="145">
        <f>'Thiết lập'!B4</f>
        <v/>
      </c>
    </row>
    <row r="4" ht="3" customHeight="1" s="98">
      <c r="R4" s="146">
        <f>DATE('Thiết lập'!$B$3,1,1)</f>
        <v/>
      </c>
      <c r="S4" s="146">
        <f>EDATE(R4,1)</f>
        <v/>
      </c>
      <c r="T4" s="146">
        <f>EDATE(S4,1)</f>
        <v/>
      </c>
      <c r="U4" s="146">
        <f>EDATE(T4,1)</f>
        <v/>
      </c>
      <c r="V4" s="146">
        <f>EDATE(U4,1)</f>
        <v/>
      </c>
      <c r="W4" s="146">
        <f>EDATE(V4,1)</f>
        <v/>
      </c>
      <c r="X4" s="146">
        <f>EDATE(W4,1)</f>
        <v/>
      </c>
      <c r="Y4" s="146">
        <f>EDATE(X4,1)</f>
        <v/>
      </c>
      <c r="Z4" s="146">
        <f>EDATE(Y4,1)</f>
        <v/>
      </c>
      <c r="AA4" s="146">
        <f>EDATE(Z4,1)</f>
        <v/>
      </c>
      <c r="AB4" s="146">
        <f>EDATE(AA4,1)</f>
        <v/>
      </c>
      <c r="AC4" s="146">
        <f>EDATE(AB4,1)</f>
        <v/>
      </c>
    </row>
    <row r="5" ht="24" customHeight="1" s="98">
      <c r="A5" s="129" t="inlineStr">
        <is>
          <t>THÔNG TIN CHI PHÍ TRẢ TRƯỚC</t>
        </is>
      </c>
      <c r="Q5" s="129" t="inlineStr">
        <is>
          <t>LỊCH PHÂN BỔ THEO NĂM</t>
        </is>
      </c>
      <c r="AD5" s="129" t="inlineStr">
        <is>
          <t>TỔNG HỢP VÀ KIỂM SOÁT</t>
        </is>
      </c>
    </row>
    <row r="6" ht="54" customHeight="1" s="98">
      <c r="A6" s="147" t="inlineStr">
        <is>
          <t>STT</t>
        </is>
      </c>
      <c r="B6" s="148" t="inlineStr">
        <is>
          <t>Mã chi phí trả trước</t>
        </is>
      </c>
      <c r="C6" s="148" t="inlineStr">
        <is>
          <t>Tên</t>
        </is>
      </c>
      <c r="D6" s="148" t="inlineStr">
        <is>
          <t>Ngày tăng</t>
        </is>
      </c>
      <c r="E6" s="148" t="inlineStr">
        <is>
          <t>Ngày bắt đầu phân bổ</t>
        </is>
      </c>
      <c r="F6" s="148" t="inlineStr">
        <is>
          <t>Số lượng</t>
        </is>
      </c>
      <c r="G6" s="148" t="inlineStr">
        <is>
          <t>Đơn giá</t>
        </is>
      </c>
      <c r="H6" s="148" t="inlineStr">
        <is>
          <t>Giá trị phân bổ</t>
        </is>
      </c>
      <c r="I6" s="148" t="inlineStr">
        <is>
          <t>Số tháng phân bổ</t>
        </is>
      </c>
      <c r="J6" s="148" t="inlineStr">
        <is>
          <t>Giá trị phân bổ/ngày</t>
        </is>
      </c>
      <c r="K6" s="148" t="inlineStr">
        <is>
          <t>Mã chi phí (ERP)</t>
        </is>
      </c>
      <c r="L6" s="148" t="inlineStr">
        <is>
          <t>Phân loại ngắn hạn/dài hạn</t>
        </is>
      </c>
      <c r="M6" s="148" t="inlineStr">
        <is>
          <t>Bộ phận sử dụng</t>
        </is>
      </c>
      <c r="N6" s="148" t="inlineStr">
        <is>
          <t>TK chi phí</t>
        </is>
      </c>
      <c r="O6" s="148" t="inlineStr">
        <is>
          <t>TK chi phí trả trước</t>
        </is>
      </c>
      <c r="P6" s="148" t="inlineStr">
        <is>
          <t>Ngày kết thúc phân bổ</t>
        </is>
      </c>
      <c r="Q6" s="148" t="inlineStr">
        <is>
          <t>Phân bổ trước năm</t>
        </is>
      </c>
      <c r="R6" s="149" t="inlineStr">
        <is>
          <t>T1</t>
        </is>
      </c>
      <c r="S6" s="150" t="inlineStr">
        <is>
          <t>T2</t>
        </is>
      </c>
      <c r="T6" s="150" t="inlineStr">
        <is>
          <t>T3</t>
        </is>
      </c>
      <c r="U6" s="150" t="inlineStr">
        <is>
          <t>T4</t>
        </is>
      </c>
      <c r="V6" s="150" t="inlineStr">
        <is>
          <t>T5</t>
        </is>
      </c>
      <c r="W6" s="150" t="inlineStr">
        <is>
          <t>T6</t>
        </is>
      </c>
      <c r="X6" s="150" t="inlineStr">
        <is>
          <t>T7</t>
        </is>
      </c>
      <c r="Y6" s="150" t="inlineStr">
        <is>
          <t>T8</t>
        </is>
      </c>
      <c r="Z6" s="150" t="inlineStr">
        <is>
          <t>T9</t>
        </is>
      </c>
      <c r="AA6" s="150" t="inlineStr">
        <is>
          <t>T10</t>
        </is>
      </c>
      <c r="AB6" s="150" t="inlineStr">
        <is>
          <t>T11</t>
        </is>
      </c>
      <c r="AC6" s="151" t="inlineStr">
        <is>
          <t>T12</t>
        </is>
      </c>
      <c r="AD6" s="148" t="inlineStr">
        <is>
          <t>Phân bổ trong năm</t>
        </is>
      </c>
      <c r="AE6" s="148" t="inlineStr">
        <is>
          <t>Lũy kế đến cuối năm</t>
        </is>
      </c>
      <c r="AF6" s="148" t="inlineStr">
        <is>
          <t>Giá trị còn lại</t>
        </is>
      </c>
      <c r="AG6" s="148" t="inlineStr">
        <is>
          <t>Trạng thái tại ngày báo cáo</t>
        </is>
      </c>
      <c r="AH6" s="148" t="inlineStr">
        <is>
          <t>Ghi chú</t>
        </is>
      </c>
      <c r="AI6" s="152" t="inlineStr">
        <is>
          <t>Kiểm tra dữ liệu</t>
        </is>
      </c>
    </row>
    <row r="7" ht="19.5" customHeight="1" s="98">
      <c r="A7" s="153">
        <f>IF(B7="","",ROW()-6)</f>
        <v/>
      </c>
      <c r="B7" s="154" t="inlineStr">
        <is>
          <t>CP001</t>
        </is>
      </c>
      <c r="C7" s="155" t="inlineStr">
        <is>
          <t>Tiền thuê văn phòng</t>
        </is>
      </c>
      <c r="D7" s="156" t="n">
        <v>45292</v>
      </c>
      <c r="E7" s="156" t="n">
        <v>45292</v>
      </c>
      <c r="F7" s="157" t="n">
        <v>1</v>
      </c>
      <c r="G7" s="158" t="n">
        <v>120000000</v>
      </c>
      <c r="H7" s="159">
        <f>IF(OR(F7="",G7=""),"",F7*G7)</f>
        <v/>
      </c>
      <c r="I7" s="160" t="n">
        <v>12</v>
      </c>
      <c r="J7" s="159">
        <f>IF(OR(H7="",E7="",P7=""),"",H7/(P7-E7+1))</f>
        <v/>
      </c>
      <c r="K7" s="154" t="n"/>
      <c r="L7" s="161">
        <f>IF(B7="","",IF(AF7&lt;=0,"Đã phân bổ",IF(P7&lt;=EDATE('Thiết lập'!$B$4,12),"Ngắn hạn","Dài hạn")))</f>
        <v/>
      </c>
      <c r="M7" s="154" t="inlineStr">
        <is>
          <t>Văn phòng</t>
        </is>
      </c>
      <c r="N7" s="154" t="inlineStr">
        <is>
          <t>642</t>
        </is>
      </c>
      <c r="O7" s="154" t="inlineStr">
        <is>
          <t>2421</t>
        </is>
      </c>
      <c r="P7" s="162">
        <f>IF(OR(E7="",I7=""),"",EDATE(E7,I7)-1)</f>
        <v/>
      </c>
      <c r="Q7" s="159">
        <f>IF(OR(B7="",E7="",P7=""),0,MIN(H7,MAX(0,MIN(P7,DATE('Thiết lập'!$B$3-1,12,31))-E7+1)*J7))</f>
        <v/>
      </c>
      <c r="R7" s="159">
        <f>IF(OR($B7="",R$4&gt;$P7,EOMONTH(R$4,0)&lt;$E7),0,MIN($H7,MAX(0,MIN(EOMONTH(R$4,0),$P7)-MAX(R$4,$E7)+1)*$J7))</f>
        <v/>
      </c>
      <c r="S7" s="159">
        <f>IF(OR($B7="",S$4&gt;$P7,EOMONTH(S$4,0)&lt;$E7),0,MIN($H7,MAX(0,MIN(EOMONTH(S$4,0),$P7)-MAX(S$4,$E7)+1)*$J7))</f>
        <v/>
      </c>
      <c r="T7" s="159">
        <f>IF(OR($B7="",T$4&gt;$P7,EOMONTH(T$4,0)&lt;$E7),0,MIN($H7,MAX(0,MIN(EOMONTH(T$4,0),$P7)-MAX(T$4,$E7)+1)*$J7))</f>
        <v/>
      </c>
      <c r="U7" s="159">
        <f>IF(OR($B7="",U$4&gt;$P7,EOMONTH(U$4,0)&lt;$E7),0,MIN($H7,MAX(0,MIN(EOMONTH(U$4,0),$P7)-MAX(U$4,$E7)+1)*$J7))</f>
        <v/>
      </c>
      <c r="V7" s="159">
        <f>IF(OR($B7="",V$4&gt;$P7,EOMONTH(V$4,0)&lt;$E7),0,MIN($H7,MAX(0,MIN(EOMONTH(V$4,0),$P7)-MAX(V$4,$E7)+1)*$J7))</f>
        <v/>
      </c>
      <c r="W7" s="159">
        <f>IF(OR($B7="",W$4&gt;$P7,EOMONTH(W$4,0)&lt;$E7),0,MIN($H7,MAX(0,MIN(EOMONTH(W$4,0),$P7)-MAX(W$4,$E7)+1)*$J7))</f>
        <v/>
      </c>
      <c r="X7" s="159">
        <f>IF(OR($B7="",X$4&gt;$P7,EOMONTH(X$4,0)&lt;$E7),0,MIN($H7,MAX(0,MIN(EOMONTH(X$4,0),$P7)-MAX(X$4,$E7)+1)*$J7))</f>
        <v/>
      </c>
      <c r="Y7" s="159">
        <f>IF(OR($B7="",Y$4&gt;$P7,EOMONTH(Y$4,0)&lt;$E7),0,MIN($H7,MAX(0,MIN(EOMONTH(Y$4,0),$P7)-MAX(Y$4,$E7)+1)*$J7))</f>
        <v/>
      </c>
      <c r="Z7" s="159">
        <f>IF(OR($B7="",Z$4&gt;$P7,EOMONTH(Z$4,0)&lt;$E7),0,MIN($H7,MAX(0,MIN(EOMONTH(Z$4,0),$P7)-MAX(Z$4,$E7)+1)*$J7))</f>
        <v/>
      </c>
      <c r="AA7" s="159">
        <f>IF(OR($B7="",AA$4&gt;$P7,EOMONTH(AA$4,0)&lt;$E7),0,MIN($H7,MAX(0,MIN(EOMONTH(AA$4,0),$P7)-MAX(AA$4,$E7)+1)*$J7))</f>
        <v/>
      </c>
      <c r="AB7" s="159">
        <f>IF(OR($B7="",AB$4&gt;$P7,EOMONTH(AB$4,0)&lt;$E7),0,MIN($H7,MAX(0,MIN(EOMONTH(AB$4,0),$P7)-MAX(AB$4,$E7)+1)*$J7))</f>
        <v/>
      </c>
      <c r="AC7" s="159">
        <f>IF(OR($B7="",AC$4&gt;$P7,EOMONTH(AC$4,0)&lt;$E7),0,MIN($H7,MAX(0,MIN(EOMONTH(AC$4,0),$P7)-MAX(AC$4,$E7)+1)*$J7))</f>
        <v/>
      </c>
      <c r="AD7" s="159">
        <f>IF(B7="","",ROUND(SUM(R7:AC7),0))</f>
        <v/>
      </c>
      <c r="AE7" s="159">
        <f>IF(B7="","",MIN(H7,ROUND(Q7+SUM(R7:AC7),0)))</f>
        <v/>
      </c>
      <c r="AF7" s="159">
        <f>IF(B7="","",MAX(H7-AE7,0))</f>
        <v/>
      </c>
      <c r="AG7" s="161">
        <f>IF(B7="","",IF('Thiết lập'!$B$4&lt;E7,"Chưa phân bổ",IF(P7&lt;='Thiết lập'!$B$4,"Đã phân bổ","Đang phân bổ")))</f>
        <v/>
      </c>
      <c r="AH7" s="155" t="inlineStr">
        <is>
          <t>Dữ liệu mẫu – có thể thay thế</t>
        </is>
      </c>
      <c r="AI7" s="163">
        <f>IF(B7="","",IF(AND(C7&lt;&gt;"",D7&lt;&gt;"",E7&lt;&gt;"",E7&gt;=D7,F7&gt;0,G7&gt;0,I7&gt;0,COUNTIF($B$7:$B$306,B7)=1),"OK",IF(C7="","Thiếu tên; ","")&amp;IF(D7="","Thiếu ngày tăng; ","")&amp;IF(E7="","Thiếu ngày bắt đầu; ","")&amp;IF(AND(D7&lt;&gt;"",E7&lt;&gt;"",E7&lt;D7),"Ngày bắt đầu &lt; ngày tăng; ","")&amp;IF(OR(F7="",F7&lt;=0),"Số lượng không hợp lệ; ","")&amp;IF(OR(G7="",G7&lt;=0),"Đơn giá không hợp lệ; ","")&amp;IF(OR(I7="",I7&lt;=0),"Số tháng không hợp lệ; ","")&amp;IF(COUNTIF($B$7:$B$306,B7)&gt;1,"Trùng mã CPTT; ","")))</f>
        <v/>
      </c>
    </row>
    <row r="8" ht="19.5" customHeight="1" s="98">
      <c r="A8" s="164">
        <f>IF(B8="","",ROW()-6)</f>
        <v/>
      </c>
      <c r="B8" s="165" t="n"/>
      <c r="C8" s="166" t="n"/>
      <c r="D8" s="167" t="n"/>
      <c r="E8" s="167" t="n"/>
      <c r="F8" s="168" t="n"/>
      <c r="G8" s="169" t="n"/>
      <c r="H8" s="170">
        <f>IF(OR(F8="",G8=""),"",F8*G8)</f>
        <v/>
      </c>
      <c r="I8" s="171" t="n"/>
      <c r="J8" s="170">
        <f>IF(OR(H8="",E8="",P8=""),"",H8/(P8-E8+1))</f>
        <v/>
      </c>
      <c r="K8" s="165" t="n"/>
      <c r="L8" s="172">
        <f>IF(B8="","",IF(AF8&lt;=0,"Đã phân bổ",IF(P8&lt;=EDATE('Thiết lập'!$B$4,12),"Ngắn hạn","Dài hạn")))</f>
        <v/>
      </c>
      <c r="M8" s="165" t="n"/>
      <c r="N8" s="165" t="n"/>
      <c r="O8" s="165" t="n"/>
      <c r="P8" s="173">
        <f>IF(OR(E8="",I8=""),"",EDATE(E8,I8)-1)</f>
        <v/>
      </c>
      <c r="Q8" s="170">
        <f>IF(OR(B8="",E8="",P8=""),0,MIN(H8,MAX(0,MIN(P8,DATE('Thiết lập'!$B$3-1,12,31))-E8+1)*J8))</f>
        <v/>
      </c>
      <c r="R8" s="170">
        <f>IF(OR($B8="",R$4&gt;$P8,EOMONTH(R$4,0)&lt;$E8),0,MIN($H8,MAX(0,MIN(EOMONTH(R$4,0),$P8)-MAX(R$4,$E8)+1)*$J8))</f>
        <v/>
      </c>
      <c r="S8" s="170">
        <f>IF(OR($B8="",S$4&gt;$P8,EOMONTH(S$4,0)&lt;$E8),0,MIN($H8,MAX(0,MIN(EOMONTH(S$4,0),$P8)-MAX(S$4,$E8)+1)*$J8))</f>
        <v/>
      </c>
      <c r="T8" s="170">
        <f>IF(OR($B8="",T$4&gt;$P8,EOMONTH(T$4,0)&lt;$E8),0,MIN($H8,MAX(0,MIN(EOMONTH(T$4,0),$P8)-MAX(T$4,$E8)+1)*$J8))</f>
        <v/>
      </c>
      <c r="U8" s="170">
        <f>IF(OR($B8="",U$4&gt;$P8,EOMONTH(U$4,0)&lt;$E8),0,MIN($H8,MAX(0,MIN(EOMONTH(U$4,0),$P8)-MAX(U$4,$E8)+1)*$J8))</f>
        <v/>
      </c>
      <c r="V8" s="170">
        <f>IF(OR($B8="",V$4&gt;$P8,EOMONTH(V$4,0)&lt;$E8),0,MIN($H8,MAX(0,MIN(EOMONTH(V$4,0),$P8)-MAX(V$4,$E8)+1)*$J8))</f>
        <v/>
      </c>
      <c r="W8" s="170">
        <f>IF(OR($B8="",W$4&gt;$P8,EOMONTH(W$4,0)&lt;$E8),0,MIN($H8,MAX(0,MIN(EOMONTH(W$4,0),$P8)-MAX(W$4,$E8)+1)*$J8))</f>
        <v/>
      </c>
      <c r="X8" s="170">
        <f>IF(OR($B8="",X$4&gt;$P8,EOMONTH(X$4,0)&lt;$E8),0,MIN($H8,MAX(0,MIN(EOMONTH(X$4,0),$P8)-MAX(X$4,$E8)+1)*$J8))</f>
        <v/>
      </c>
      <c r="Y8" s="170">
        <f>IF(OR($B8="",Y$4&gt;$P8,EOMONTH(Y$4,0)&lt;$E8),0,MIN($H8,MAX(0,MIN(EOMONTH(Y$4,0),$P8)-MAX(Y$4,$E8)+1)*$J8))</f>
        <v/>
      </c>
      <c r="Z8" s="170">
        <f>IF(OR($B8="",Z$4&gt;$P8,EOMONTH(Z$4,0)&lt;$E8),0,MIN($H8,MAX(0,MIN(EOMONTH(Z$4,0),$P8)-MAX(Z$4,$E8)+1)*$J8))</f>
        <v/>
      </c>
      <c r="AA8" s="170">
        <f>IF(OR($B8="",AA$4&gt;$P8,EOMONTH(AA$4,0)&lt;$E8),0,MIN($H8,MAX(0,MIN(EOMONTH(AA$4,0),$P8)-MAX(AA$4,$E8)+1)*$J8))</f>
        <v/>
      </c>
      <c r="AB8" s="170">
        <f>IF(OR($B8="",AB$4&gt;$P8,EOMONTH(AB$4,0)&lt;$E8),0,MIN($H8,MAX(0,MIN(EOMONTH(AB$4,0),$P8)-MAX(AB$4,$E8)+1)*$J8))</f>
        <v/>
      </c>
      <c r="AC8" s="170">
        <f>IF(OR($B8="",AC$4&gt;$P8,EOMONTH(AC$4,0)&lt;$E8),0,MIN($H8,MAX(0,MIN(EOMONTH(AC$4,0),$P8)-MAX(AC$4,$E8)+1)*$J8))</f>
        <v/>
      </c>
      <c r="AD8" s="170">
        <f>IF(B8="","",ROUND(SUM(R8:AC8),0))</f>
        <v/>
      </c>
      <c r="AE8" s="170">
        <f>IF(B8="","",MIN(H8,ROUND(Q8+SUM(R8:AC8),0)))</f>
        <v/>
      </c>
      <c r="AF8" s="170">
        <f>IF(B8="","",MAX(H8-AE8,0))</f>
        <v/>
      </c>
      <c r="AG8" s="172">
        <f>IF(B8="","",IF('Thiết lập'!$B$4&lt;E8,"Chưa phân bổ",IF(P8&lt;='Thiết lập'!$B$4,"Đã phân bổ","Đang phân bổ")))</f>
        <v/>
      </c>
      <c r="AH8" s="166" t="n"/>
      <c r="AI8" s="174">
        <f>IF(B8="","",IF(AND(C8&lt;&gt;"",D8&lt;&gt;"",E8&lt;&gt;"",E8&gt;=D8,F8&gt;0,G8&gt;0,I8&gt;0,COUNTIF($B$7:$B$306,B8)=1),"OK",IF(C8="","Thiếu tên; ","")&amp;IF(D8="","Thiếu ngày tăng; ","")&amp;IF(E8="","Thiếu ngày bắt đầu; ","")&amp;IF(AND(D8&lt;&gt;"",E8&lt;&gt;"",E8&lt;D8),"Ngày bắt đầu &lt; ngày tăng; ","")&amp;IF(OR(F8="",F8&lt;=0),"Số lượng không hợp lệ; ","")&amp;IF(OR(G8="",G8&lt;=0),"Đơn giá không hợp lệ; ","")&amp;IF(OR(I8="",I8&lt;=0),"Số tháng không hợp lệ; ","")&amp;IF(COUNTIF($B$7:$B$306,B8)&gt;1,"Trùng mã CPTT; ","")))</f>
        <v/>
      </c>
    </row>
    <row r="9" ht="19.5" customHeight="1" s="98">
      <c r="A9" s="164">
        <f>IF(B9="","",ROW()-6)</f>
        <v/>
      </c>
      <c r="B9" s="165" t="n"/>
      <c r="C9" s="166" t="n"/>
      <c r="D9" s="167" t="n"/>
      <c r="E9" s="167" t="n"/>
      <c r="F9" s="168" t="n"/>
      <c r="G9" s="169" t="n"/>
      <c r="H9" s="170">
        <f>IF(OR(F9="",G9=""),"",F9*G9)</f>
        <v/>
      </c>
      <c r="I9" s="171" t="n"/>
      <c r="J9" s="170">
        <f>IF(OR(H9="",E9="",P9=""),"",H9/(P9-E9+1))</f>
        <v/>
      </c>
      <c r="K9" s="165" t="n"/>
      <c r="L9" s="172">
        <f>IF(B9="","",IF(AF9&lt;=0,"Đã phân bổ",IF(P9&lt;=EDATE('Thiết lập'!$B$4,12),"Ngắn hạn","Dài hạn")))</f>
        <v/>
      </c>
      <c r="M9" s="165" t="n"/>
      <c r="N9" s="165" t="n"/>
      <c r="O9" s="165" t="n"/>
      <c r="P9" s="173">
        <f>IF(OR(E9="",I9=""),"",EDATE(E9,I9)-1)</f>
        <v/>
      </c>
      <c r="Q9" s="170">
        <f>IF(OR(B9="",E9="",P9=""),0,MIN(H9,MAX(0,MIN(P9,DATE('Thiết lập'!$B$3-1,12,31))-E9+1)*J9))</f>
        <v/>
      </c>
      <c r="R9" s="170">
        <f>IF(OR($B9="",R$4&gt;$P9,EOMONTH(R$4,0)&lt;$E9),0,MIN($H9,MAX(0,MIN(EOMONTH(R$4,0),$P9)-MAX(R$4,$E9)+1)*$J9))</f>
        <v/>
      </c>
      <c r="S9" s="170">
        <f>IF(OR($B9="",S$4&gt;$P9,EOMONTH(S$4,0)&lt;$E9),0,MIN($H9,MAX(0,MIN(EOMONTH(S$4,0),$P9)-MAX(S$4,$E9)+1)*$J9))</f>
        <v/>
      </c>
      <c r="T9" s="170">
        <f>IF(OR($B9="",T$4&gt;$P9,EOMONTH(T$4,0)&lt;$E9),0,MIN($H9,MAX(0,MIN(EOMONTH(T$4,0),$P9)-MAX(T$4,$E9)+1)*$J9))</f>
        <v/>
      </c>
      <c r="U9" s="170">
        <f>IF(OR($B9="",U$4&gt;$P9,EOMONTH(U$4,0)&lt;$E9),0,MIN($H9,MAX(0,MIN(EOMONTH(U$4,0),$P9)-MAX(U$4,$E9)+1)*$J9))</f>
        <v/>
      </c>
      <c r="V9" s="170">
        <f>IF(OR($B9="",V$4&gt;$P9,EOMONTH(V$4,0)&lt;$E9),0,MIN($H9,MAX(0,MIN(EOMONTH(V$4,0),$P9)-MAX(V$4,$E9)+1)*$J9))</f>
        <v/>
      </c>
      <c r="W9" s="170">
        <f>IF(OR($B9="",W$4&gt;$P9,EOMONTH(W$4,0)&lt;$E9),0,MIN($H9,MAX(0,MIN(EOMONTH(W$4,0),$P9)-MAX(W$4,$E9)+1)*$J9))</f>
        <v/>
      </c>
      <c r="X9" s="170">
        <f>IF(OR($B9="",X$4&gt;$P9,EOMONTH(X$4,0)&lt;$E9),0,MIN($H9,MAX(0,MIN(EOMONTH(X$4,0),$P9)-MAX(X$4,$E9)+1)*$J9))</f>
        <v/>
      </c>
      <c r="Y9" s="170">
        <f>IF(OR($B9="",Y$4&gt;$P9,EOMONTH(Y$4,0)&lt;$E9),0,MIN($H9,MAX(0,MIN(EOMONTH(Y$4,0),$P9)-MAX(Y$4,$E9)+1)*$J9))</f>
        <v/>
      </c>
      <c r="Z9" s="170">
        <f>IF(OR($B9="",Z$4&gt;$P9,EOMONTH(Z$4,0)&lt;$E9),0,MIN($H9,MAX(0,MIN(EOMONTH(Z$4,0),$P9)-MAX(Z$4,$E9)+1)*$J9))</f>
        <v/>
      </c>
      <c r="AA9" s="170">
        <f>IF(OR($B9="",AA$4&gt;$P9,EOMONTH(AA$4,0)&lt;$E9),0,MIN($H9,MAX(0,MIN(EOMONTH(AA$4,0),$P9)-MAX(AA$4,$E9)+1)*$J9))</f>
        <v/>
      </c>
      <c r="AB9" s="170">
        <f>IF(OR($B9="",AB$4&gt;$P9,EOMONTH(AB$4,0)&lt;$E9),0,MIN($H9,MAX(0,MIN(EOMONTH(AB$4,0),$P9)-MAX(AB$4,$E9)+1)*$J9))</f>
        <v/>
      </c>
      <c r="AC9" s="170">
        <f>IF(OR($B9="",AC$4&gt;$P9,EOMONTH(AC$4,0)&lt;$E9),0,MIN($H9,MAX(0,MIN(EOMONTH(AC$4,0),$P9)-MAX(AC$4,$E9)+1)*$J9))</f>
        <v/>
      </c>
      <c r="AD9" s="170">
        <f>IF(B9="","",ROUND(SUM(R9:AC9),0))</f>
        <v/>
      </c>
      <c r="AE9" s="170">
        <f>IF(B9="","",MIN(H9,ROUND(Q9+SUM(R9:AC9),0)))</f>
        <v/>
      </c>
      <c r="AF9" s="170">
        <f>IF(B9="","",MAX(H9-AE9,0))</f>
        <v/>
      </c>
      <c r="AG9" s="172">
        <f>IF(B9="","",IF('Thiết lập'!$B$4&lt;E9,"Chưa phân bổ",IF(P9&lt;='Thiết lập'!$B$4,"Đã phân bổ","Đang phân bổ")))</f>
        <v/>
      </c>
      <c r="AH9" s="166" t="n"/>
      <c r="AI9" s="174">
        <f>IF(B9="","",IF(AND(C9&lt;&gt;"",D9&lt;&gt;"",E9&lt;&gt;"",E9&gt;=D9,F9&gt;0,G9&gt;0,I9&gt;0,COUNTIF($B$7:$B$306,B9)=1),"OK",IF(C9="","Thiếu tên; ","")&amp;IF(D9="","Thiếu ngày tăng; ","")&amp;IF(E9="","Thiếu ngày bắt đầu; ","")&amp;IF(AND(D9&lt;&gt;"",E9&lt;&gt;"",E9&lt;D9),"Ngày bắt đầu &lt; ngày tăng; ","")&amp;IF(OR(F9="",F9&lt;=0),"Số lượng không hợp lệ; ","")&amp;IF(OR(G9="",G9&lt;=0),"Đơn giá không hợp lệ; ","")&amp;IF(OR(I9="",I9&lt;=0),"Số tháng không hợp lệ; ","")&amp;IF(COUNTIF($B$7:$B$306,B9)&gt;1,"Trùng mã CPTT; ","")))</f>
        <v/>
      </c>
    </row>
    <row r="10" ht="19.5" customHeight="1" s="98">
      <c r="A10" s="164">
        <f>IF(B10="","",ROW()-6)</f>
        <v/>
      </c>
      <c r="B10" s="165" t="n"/>
      <c r="C10" s="166" t="n"/>
      <c r="D10" s="167" t="n"/>
      <c r="E10" s="167" t="n"/>
      <c r="F10" s="168" t="n"/>
      <c r="G10" s="169" t="n"/>
      <c r="H10" s="170">
        <f>IF(OR(F10="",G10=""),"",F10*G10)</f>
        <v/>
      </c>
      <c r="I10" s="171" t="n"/>
      <c r="J10" s="170">
        <f>IF(OR(H10="",E10="",P10=""),"",H10/(P10-E10+1))</f>
        <v/>
      </c>
      <c r="K10" s="165" t="n"/>
      <c r="L10" s="172">
        <f>IF(B10="","",IF(AF10&lt;=0,"Đã phân bổ",IF(P10&lt;=EDATE('Thiết lập'!$B$4,12),"Ngắn hạn","Dài hạn")))</f>
        <v/>
      </c>
      <c r="M10" s="165" t="n"/>
      <c r="N10" s="165" t="n"/>
      <c r="O10" s="165" t="n"/>
      <c r="P10" s="173">
        <f>IF(OR(E10="",I10=""),"",EDATE(E10,I10)-1)</f>
        <v/>
      </c>
      <c r="Q10" s="170">
        <f>IF(OR(B10="",E10="",P10=""),0,MIN(H10,MAX(0,MIN(P10,DATE('Thiết lập'!$B$3-1,12,31))-E10+1)*J10))</f>
        <v/>
      </c>
      <c r="R10" s="170">
        <f>IF(OR($B10="",R$4&gt;$P10,EOMONTH(R$4,0)&lt;$E10),0,MIN($H10,MAX(0,MIN(EOMONTH(R$4,0),$P10)-MAX(R$4,$E10)+1)*$J10))</f>
        <v/>
      </c>
      <c r="S10" s="170">
        <f>IF(OR($B10="",S$4&gt;$P10,EOMONTH(S$4,0)&lt;$E10),0,MIN($H10,MAX(0,MIN(EOMONTH(S$4,0),$P10)-MAX(S$4,$E10)+1)*$J10))</f>
        <v/>
      </c>
      <c r="T10" s="170">
        <f>IF(OR($B10="",T$4&gt;$P10,EOMONTH(T$4,0)&lt;$E10),0,MIN($H10,MAX(0,MIN(EOMONTH(T$4,0),$P10)-MAX(T$4,$E10)+1)*$J10))</f>
        <v/>
      </c>
      <c r="U10" s="170">
        <f>IF(OR($B10="",U$4&gt;$P10,EOMONTH(U$4,0)&lt;$E10),0,MIN($H10,MAX(0,MIN(EOMONTH(U$4,0),$P10)-MAX(U$4,$E10)+1)*$J10))</f>
        <v/>
      </c>
      <c r="V10" s="170">
        <f>IF(OR($B10="",V$4&gt;$P10,EOMONTH(V$4,0)&lt;$E10),0,MIN($H10,MAX(0,MIN(EOMONTH(V$4,0),$P10)-MAX(V$4,$E10)+1)*$J10))</f>
        <v/>
      </c>
      <c r="W10" s="170">
        <f>IF(OR($B10="",W$4&gt;$P10,EOMONTH(W$4,0)&lt;$E10),0,MIN($H10,MAX(0,MIN(EOMONTH(W$4,0),$P10)-MAX(W$4,$E10)+1)*$J10))</f>
        <v/>
      </c>
      <c r="X10" s="170">
        <f>IF(OR($B10="",X$4&gt;$P10,EOMONTH(X$4,0)&lt;$E10),0,MIN($H10,MAX(0,MIN(EOMONTH(X$4,0),$P10)-MAX(X$4,$E10)+1)*$J10))</f>
        <v/>
      </c>
      <c r="Y10" s="170">
        <f>IF(OR($B10="",Y$4&gt;$P10,EOMONTH(Y$4,0)&lt;$E10),0,MIN($H10,MAX(0,MIN(EOMONTH(Y$4,0),$P10)-MAX(Y$4,$E10)+1)*$J10))</f>
        <v/>
      </c>
      <c r="Z10" s="170">
        <f>IF(OR($B10="",Z$4&gt;$P10,EOMONTH(Z$4,0)&lt;$E10),0,MIN($H10,MAX(0,MIN(EOMONTH(Z$4,0),$P10)-MAX(Z$4,$E10)+1)*$J10))</f>
        <v/>
      </c>
      <c r="AA10" s="170">
        <f>IF(OR($B10="",AA$4&gt;$P10,EOMONTH(AA$4,0)&lt;$E10),0,MIN($H10,MAX(0,MIN(EOMONTH(AA$4,0),$P10)-MAX(AA$4,$E10)+1)*$J10))</f>
        <v/>
      </c>
      <c r="AB10" s="170">
        <f>IF(OR($B10="",AB$4&gt;$P10,EOMONTH(AB$4,0)&lt;$E10),0,MIN($H10,MAX(0,MIN(EOMONTH(AB$4,0),$P10)-MAX(AB$4,$E10)+1)*$J10))</f>
        <v/>
      </c>
      <c r="AC10" s="170">
        <f>IF(OR($B10="",AC$4&gt;$P10,EOMONTH(AC$4,0)&lt;$E10),0,MIN($H10,MAX(0,MIN(EOMONTH(AC$4,0),$P10)-MAX(AC$4,$E10)+1)*$J10))</f>
        <v/>
      </c>
      <c r="AD10" s="170">
        <f>IF(B10="","",ROUND(SUM(R10:AC10),0))</f>
        <v/>
      </c>
      <c r="AE10" s="170">
        <f>IF(B10="","",MIN(H10,ROUND(Q10+SUM(R10:AC10),0)))</f>
        <v/>
      </c>
      <c r="AF10" s="170">
        <f>IF(B10="","",MAX(H10-AE10,0))</f>
        <v/>
      </c>
      <c r="AG10" s="172">
        <f>IF(B10="","",IF('Thiết lập'!$B$4&lt;E10,"Chưa phân bổ",IF(P10&lt;='Thiết lập'!$B$4,"Đã phân bổ","Đang phân bổ")))</f>
        <v/>
      </c>
      <c r="AH10" s="166" t="n"/>
      <c r="AI10" s="174">
        <f>IF(B10="","",IF(AND(C10&lt;&gt;"",D10&lt;&gt;"",E10&lt;&gt;"",E10&gt;=D10,F10&gt;0,G10&gt;0,I10&gt;0,COUNTIF($B$7:$B$306,B10)=1),"OK",IF(C10="","Thiếu tên; ","")&amp;IF(D10="","Thiếu ngày tăng; ","")&amp;IF(E10="","Thiếu ngày bắt đầu; ","")&amp;IF(AND(D10&lt;&gt;"",E10&lt;&gt;"",E10&lt;D10),"Ngày bắt đầu &lt; ngày tăng; ","")&amp;IF(OR(F10="",F10&lt;=0),"Số lượng không hợp lệ; ","")&amp;IF(OR(G10="",G10&lt;=0),"Đơn giá không hợp lệ; ","")&amp;IF(OR(I10="",I10&lt;=0),"Số tháng không hợp lệ; ","")&amp;IF(COUNTIF($B$7:$B$306,B10)&gt;1,"Trùng mã CPTT; ","")))</f>
        <v/>
      </c>
    </row>
    <row r="11" ht="19.5" customHeight="1" s="98">
      <c r="A11" s="164">
        <f>IF(B11="","",ROW()-6)</f>
        <v/>
      </c>
      <c r="B11" s="165" t="n"/>
      <c r="C11" s="166" t="n"/>
      <c r="D11" s="167" t="n"/>
      <c r="E11" s="167" t="n"/>
      <c r="F11" s="168" t="n"/>
      <c r="G11" s="169" t="n"/>
      <c r="H11" s="170">
        <f>IF(OR(F11="",G11=""),"",F11*G11)</f>
        <v/>
      </c>
      <c r="I11" s="171" t="n"/>
      <c r="J11" s="170">
        <f>IF(OR(H11="",E11="",P11=""),"",H11/(P11-E11+1))</f>
        <v/>
      </c>
      <c r="K11" s="165" t="n"/>
      <c r="L11" s="172">
        <f>IF(B11="","",IF(AF11&lt;=0,"Đã phân bổ",IF(P11&lt;=EDATE('Thiết lập'!$B$4,12),"Ngắn hạn","Dài hạn")))</f>
        <v/>
      </c>
      <c r="M11" s="165" t="n"/>
      <c r="N11" s="165" t="n"/>
      <c r="O11" s="165" t="n"/>
      <c r="P11" s="173">
        <f>IF(OR(E11="",I11=""),"",EDATE(E11,I11)-1)</f>
        <v/>
      </c>
      <c r="Q11" s="170">
        <f>IF(OR(B11="",E11="",P11=""),0,MIN(H11,MAX(0,MIN(P11,DATE('Thiết lập'!$B$3-1,12,31))-E11+1)*J11))</f>
        <v/>
      </c>
      <c r="R11" s="170">
        <f>IF(OR($B11="",R$4&gt;$P11,EOMONTH(R$4,0)&lt;$E11),0,MIN($H11,MAX(0,MIN(EOMONTH(R$4,0),$P11)-MAX(R$4,$E11)+1)*$J11))</f>
        <v/>
      </c>
      <c r="S11" s="170">
        <f>IF(OR($B11="",S$4&gt;$P11,EOMONTH(S$4,0)&lt;$E11),0,MIN($H11,MAX(0,MIN(EOMONTH(S$4,0),$P11)-MAX(S$4,$E11)+1)*$J11))</f>
        <v/>
      </c>
      <c r="T11" s="170">
        <f>IF(OR($B11="",T$4&gt;$P11,EOMONTH(T$4,0)&lt;$E11),0,MIN($H11,MAX(0,MIN(EOMONTH(T$4,0),$P11)-MAX(T$4,$E11)+1)*$J11))</f>
        <v/>
      </c>
      <c r="U11" s="170">
        <f>IF(OR($B11="",U$4&gt;$P11,EOMONTH(U$4,0)&lt;$E11),0,MIN($H11,MAX(0,MIN(EOMONTH(U$4,0),$P11)-MAX(U$4,$E11)+1)*$J11))</f>
        <v/>
      </c>
      <c r="V11" s="170">
        <f>IF(OR($B11="",V$4&gt;$P11,EOMONTH(V$4,0)&lt;$E11),0,MIN($H11,MAX(0,MIN(EOMONTH(V$4,0),$P11)-MAX(V$4,$E11)+1)*$J11))</f>
        <v/>
      </c>
      <c r="W11" s="170">
        <f>IF(OR($B11="",W$4&gt;$P11,EOMONTH(W$4,0)&lt;$E11),0,MIN($H11,MAX(0,MIN(EOMONTH(W$4,0),$P11)-MAX(W$4,$E11)+1)*$J11))</f>
        <v/>
      </c>
      <c r="X11" s="170">
        <f>IF(OR($B11="",X$4&gt;$P11,EOMONTH(X$4,0)&lt;$E11),0,MIN($H11,MAX(0,MIN(EOMONTH(X$4,0),$P11)-MAX(X$4,$E11)+1)*$J11))</f>
        <v/>
      </c>
      <c r="Y11" s="170">
        <f>IF(OR($B11="",Y$4&gt;$P11,EOMONTH(Y$4,0)&lt;$E11),0,MIN($H11,MAX(0,MIN(EOMONTH(Y$4,0),$P11)-MAX(Y$4,$E11)+1)*$J11))</f>
        <v/>
      </c>
      <c r="Z11" s="170">
        <f>IF(OR($B11="",Z$4&gt;$P11,EOMONTH(Z$4,0)&lt;$E11),0,MIN($H11,MAX(0,MIN(EOMONTH(Z$4,0),$P11)-MAX(Z$4,$E11)+1)*$J11))</f>
        <v/>
      </c>
      <c r="AA11" s="170">
        <f>IF(OR($B11="",AA$4&gt;$P11,EOMONTH(AA$4,0)&lt;$E11),0,MIN($H11,MAX(0,MIN(EOMONTH(AA$4,0),$P11)-MAX(AA$4,$E11)+1)*$J11))</f>
        <v/>
      </c>
      <c r="AB11" s="170">
        <f>IF(OR($B11="",AB$4&gt;$P11,EOMONTH(AB$4,0)&lt;$E11),0,MIN($H11,MAX(0,MIN(EOMONTH(AB$4,0),$P11)-MAX(AB$4,$E11)+1)*$J11))</f>
        <v/>
      </c>
      <c r="AC11" s="170">
        <f>IF(OR($B11="",AC$4&gt;$P11,EOMONTH(AC$4,0)&lt;$E11),0,MIN($H11,MAX(0,MIN(EOMONTH(AC$4,0),$P11)-MAX(AC$4,$E11)+1)*$J11))</f>
        <v/>
      </c>
      <c r="AD11" s="170">
        <f>IF(B11="","",ROUND(SUM(R11:AC11),0))</f>
        <v/>
      </c>
      <c r="AE11" s="170">
        <f>IF(B11="","",MIN(H11,ROUND(Q11+SUM(R11:AC11),0)))</f>
        <v/>
      </c>
      <c r="AF11" s="170">
        <f>IF(B11="","",MAX(H11-AE11,0))</f>
        <v/>
      </c>
      <c r="AG11" s="172">
        <f>IF(B11="","",IF('Thiết lập'!$B$4&lt;E11,"Chưa phân bổ",IF(P11&lt;='Thiết lập'!$B$4,"Đã phân bổ","Đang phân bổ")))</f>
        <v/>
      </c>
      <c r="AH11" s="166" t="n"/>
      <c r="AI11" s="174">
        <f>IF(B11="","",IF(AND(C11&lt;&gt;"",D11&lt;&gt;"",E11&lt;&gt;"",E11&gt;=D11,F11&gt;0,G11&gt;0,I11&gt;0,COUNTIF($B$7:$B$306,B11)=1),"OK",IF(C11="","Thiếu tên; ","")&amp;IF(D11="","Thiếu ngày tăng; ","")&amp;IF(E11="","Thiếu ngày bắt đầu; ","")&amp;IF(AND(D11&lt;&gt;"",E11&lt;&gt;"",E11&lt;D11),"Ngày bắt đầu &lt; ngày tăng; ","")&amp;IF(OR(F11="",F11&lt;=0),"Số lượng không hợp lệ; ","")&amp;IF(OR(G11="",G11&lt;=0),"Đơn giá không hợp lệ; ","")&amp;IF(OR(I11="",I11&lt;=0),"Số tháng không hợp lệ; ","")&amp;IF(COUNTIF($B$7:$B$306,B11)&gt;1,"Trùng mã CPTT; ","")))</f>
        <v/>
      </c>
    </row>
    <row r="12" ht="19.5" customHeight="1" s="98">
      <c r="A12" s="164">
        <f>IF(B12="","",ROW()-6)</f>
        <v/>
      </c>
      <c r="B12" s="165" t="n"/>
      <c r="C12" s="166" t="n"/>
      <c r="D12" s="167" t="n"/>
      <c r="E12" s="167" t="n"/>
      <c r="F12" s="168" t="n"/>
      <c r="G12" s="169" t="n"/>
      <c r="H12" s="170">
        <f>IF(OR(F12="",G12=""),"",F12*G12)</f>
        <v/>
      </c>
      <c r="I12" s="171" t="n"/>
      <c r="J12" s="170">
        <f>IF(OR(H12="",E12="",P12=""),"",H12/(P12-E12+1))</f>
        <v/>
      </c>
      <c r="K12" s="165" t="n"/>
      <c r="L12" s="172">
        <f>IF(B12="","",IF(AF12&lt;=0,"Đã phân bổ",IF(P12&lt;=EDATE('Thiết lập'!$B$4,12),"Ngắn hạn","Dài hạn")))</f>
        <v/>
      </c>
      <c r="M12" s="165" t="n"/>
      <c r="N12" s="165" t="n"/>
      <c r="O12" s="165" t="n"/>
      <c r="P12" s="173">
        <f>IF(OR(E12="",I12=""),"",EDATE(E12,I12)-1)</f>
        <v/>
      </c>
      <c r="Q12" s="170">
        <f>IF(OR(B12="",E12="",P12=""),0,MIN(H12,MAX(0,MIN(P12,DATE('Thiết lập'!$B$3-1,12,31))-E12+1)*J12))</f>
        <v/>
      </c>
      <c r="R12" s="170">
        <f>IF(OR($B12="",R$4&gt;$P12,EOMONTH(R$4,0)&lt;$E12),0,MIN($H12,MAX(0,MIN(EOMONTH(R$4,0),$P12)-MAX(R$4,$E12)+1)*$J12))</f>
        <v/>
      </c>
      <c r="S12" s="170">
        <f>IF(OR($B12="",S$4&gt;$P12,EOMONTH(S$4,0)&lt;$E12),0,MIN($H12,MAX(0,MIN(EOMONTH(S$4,0),$P12)-MAX(S$4,$E12)+1)*$J12))</f>
        <v/>
      </c>
      <c r="T12" s="170">
        <f>IF(OR($B12="",T$4&gt;$P12,EOMONTH(T$4,0)&lt;$E12),0,MIN($H12,MAX(0,MIN(EOMONTH(T$4,0),$P12)-MAX(T$4,$E12)+1)*$J12))</f>
        <v/>
      </c>
      <c r="U12" s="170">
        <f>IF(OR($B12="",U$4&gt;$P12,EOMONTH(U$4,0)&lt;$E12),0,MIN($H12,MAX(0,MIN(EOMONTH(U$4,0),$P12)-MAX(U$4,$E12)+1)*$J12))</f>
        <v/>
      </c>
      <c r="V12" s="170">
        <f>IF(OR($B12="",V$4&gt;$P12,EOMONTH(V$4,0)&lt;$E12),0,MIN($H12,MAX(0,MIN(EOMONTH(V$4,0),$P12)-MAX(V$4,$E12)+1)*$J12))</f>
        <v/>
      </c>
      <c r="W12" s="170">
        <f>IF(OR($B12="",W$4&gt;$P12,EOMONTH(W$4,0)&lt;$E12),0,MIN($H12,MAX(0,MIN(EOMONTH(W$4,0),$P12)-MAX(W$4,$E12)+1)*$J12))</f>
        <v/>
      </c>
      <c r="X12" s="170">
        <f>IF(OR($B12="",X$4&gt;$P12,EOMONTH(X$4,0)&lt;$E12),0,MIN($H12,MAX(0,MIN(EOMONTH(X$4,0),$P12)-MAX(X$4,$E12)+1)*$J12))</f>
        <v/>
      </c>
      <c r="Y12" s="170">
        <f>IF(OR($B12="",Y$4&gt;$P12,EOMONTH(Y$4,0)&lt;$E12),0,MIN($H12,MAX(0,MIN(EOMONTH(Y$4,0),$P12)-MAX(Y$4,$E12)+1)*$J12))</f>
        <v/>
      </c>
      <c r="Z12" s="170">
        <f>IF(OR($B12="",Z$4&gt;$P12,EOMONTH(Z$4,0)&lt;$E12),0,MIN($H12,MAX(0,MIN(EOMONTH(Z$4,0),$P12)-MAX(Z$4,$E12)+1)*$J12))</f>
        <v/>
      </c>
      <c r="AA12" s="170">
        <f>IF(OR($B12="",AA$4&gt;$P12,EOMONTH(AA$4,0)&lt;$E12),0,MIN($H12,MAX(0,MIN(EOMONTH(AA$4,0),$P12)-MAX(AA$4,$E12)+1)*$J12))</f>
        <v/>
      </c>
      <c r="AB12" s="170">
        <f>IF(OR($B12="",AB$4&gt;$P12,EOMONTH(AB$4,0)&lt;$E12),0,MIN($H12,MAX(0,MIN(EOMONTH(AB$4,0),$P12)-MAX(AB$4,$E12)+1)*$J12))</f>
        <v/>
      </c>
      <c r="AC12" s="170">
        <f>IF(OR($B12="",AC$4&gt;$P12,EOMONTH(AC$4,0)&lt;$E12),0,MIN($H12,MAX(0,MIN(EOMONTH(AC$4,0),$P12)-MAX(AC$4,$E12)+1)*$J12))</f>
        <v/>
      </c>
      <c r="AD12" s="170">
        <f>IF(B12="","",ROUND(SUM(R12:AC12),0))</f>
        <v/>
      </c>
      <c r="AE12" s="170">
        <f>IF(B12="","",MIN(H12,ROUND(Q12+SUM(R12:AC12),0)))</f>
        <v/>
      </c>
      <c r="AF12" s="170">
        <f>IF(B12="","",MAX(H12-AE12,0))</f>
        <v/>
      </c>
      <c r="AG12" s="172">
        <f>IF(B12="","",IF('Thiết lập'!$B$4&lt;E12,"Chưa phân bổ",IF(P12&lt;='Thiết lập'!$B$4,"Đã phân bổ","Đang phân bổ")))</f>
        <v/>
      </c>
      <c r="AH12" s="166" t="n"/>
      <c r="AI12" s="174">
        <f>IF(B12="","",IF(AND(C12&lt;&gt;"",D12&lt;&gt;"",E12&lt;&gt;"",E12&gt;=D12,F12&gt;0,G12&gt;0,I12&gt;0,COUNTIF($B$7:$B$306,B12)=1),"OK",IF(C12="","Thiếu tên; ","")&amp;IF(D12="","Thiếu ngày tăng; ","")&amp;IF(E12="","Thiếu ngày bắt đầu; ","")&amp;IF(AND(D12&lt;&gt;"",E12&lt;&gt;"",E12&lt;D12),"Ngày bắt đầu &lt; ngày tăng; ","")&amp;IF(OR(F12="",F12&lt;=0),"Số lượng không hợp lệ; ","")&amp;IF(OR(G12="",G12&lt;=0),"Đơn giá không hợp lệ; ","")&amp;IF(OR(I12="",I12&lt;=0),"Số tháng không hợp lệ; ","")&amp;IF(COUNTIF($B$7:$B$306,B12)&gt;1,"Trùng mã CPTT; ","")))</f>
        <v/>
      </c>
    </row>
    <row r="13" ht="19.5" customHeight="1" s="98">
      <c r="A13" s="164">
        <f>IF(B13="","",ROW()-6)</f>
        <v/>
      </c>
      <c r="B13" s="165" t="n"/>
      <c r="C13" s="166" t="n"/>
      <c r="D13" s="167" t="n"/>
      <c r="E13" s="167" t="n"/>
      <c r="F13" s="168" t="n"/>
      <c r="G13" s="169" t="n"/>
      <c r="H13" s="170">
        <f>IF(OR(F13="",G13=""),"",F13*G13)</f>
        <v/>
      </c>
      <c r="I13" s="171" t="n"/>
      <c r="J13" s="170">
        <f>IF(OR(H13="",E13="",P13=""),"",H13/(P13-E13+1))</f>
        <v/>
      </c>
      <c r="K13" s="165" t="n"/>
      <c r="L13" s="172">
        <f>IF(B13="","",IF(AF13&lt;=0,"Đã phân bổ",IF(P13&lt;=EDATE('Thiết lập'!$B$4,12),"Ngắn hạn","Dài hạn")))</f>
        <v/>
      </c>
      <c r="M13" s="165" t="n"/>
      <c r="N13" s="165" t="n"/>
      <c r="O13" s="165" t="n"/>
      <c r="P13" s="173">
        <f>IF(OR(E13="",I13=""),"",EDATE(E13,I13)-1)</f>
        <v/>
      </c>
      <c r="Q13" s="170">
        <f>IF(OR(B13="",E13="",P13=""),0,MIN(H13,MAX(0,MIN(P13,DATE('Thiết lập'!$B$3-1,12,31))-E13+1)*J13))</f>
        <v/>
      </c>
      <c r="R13" s="170">
        <f>IF(OR($B13="",R$4&gt;$P13,EOMONTH(R$4,0)&lt;$E13),0,MIN($H13,MAX(0,MIN(EOMONTH(R$4,0),$P13)-MAX(R$4,$E13)+1)*$J13))</f>
        <v/>
      </c>
      <c r="S13" s="170">
        <f>IF(OR($B13="",S$4&gt;$P13,EOMONTH(S$4,0)&lt;$E13),0,MIN($H13,MAX(0,MIN(EOMONTH(S$4,0),$P13)-MAX(S$4,$E13)+1)*$J13))</f>
        <v/>
      </c>
      <c r="T13" s="170">
        <f>IF(OR($B13="",T$4&gt;$P13,EOMONTH(T$4,0)&lt;$E13),0,MIN($H13,MAX(0,MIN(EOMONTH(T$4,0),$P13)-MAX(T$4,$E13)+1)*$J13))</f>
        <v/>
      </c>
      <c r="U13" s="170">
        <f>IF(OR($B13="",U$4&gt;$P13,EOMONTH(U$4,0)&lt;$E13),0,MIN($H13,MAX(0,MIN(EOMONTH(U$4,0),$P13)-MAX(U$4,$E13)+1)*$J13))</f>
        <v/>
      </c>
      <c r="V13" s="170">
        <f>IF(OR($B13="",V$4&gt;$P13,EOMONTH(V$4,0)&lt;$E13),0,MIN($H13,MAX(0,MIN(EOMONTH(V$4,0),$P13)-MAX(V$4,$E13)+1)*$J13))</f>
        <v/>
      </c>
      <c r="W13" s="170">
        <f>IF(OR($B13="",W$4&gt;$P13,EOMONTH(W$4,0)&lt;$E13),0,MIN($H13,MAX(0,MIN(EOMONTH(W$4,0),$P13)-MAX(W$4,$E13)+1)*$J13))</f>
        <v/>
      </c>
      <c r="X13" s="170">
        <f>IF(OR($B13="",X$4&gt;$P13,EOMONTH(X$4,0)&lt;$E13),0,MIN($H13,MAX(0,MIN(EOMONTH(X$4,0),$P13)-MAX(X$4,$E13)+1)*$J13))</f>
        <v/>
      </c>
      <c r="Y13" s="170">
        <f>IF(OR($B13="",Y$4&gt;$P13,EOMONTH(Y$4,0)&lt;$E13),0,MIN($H13,MAX(0,MIN(EOMONTH(Y$4,0),$P13)-MAX(Y$4,$E13)+1)*$J13))</f>
        <v/>
      </c>
      <c r="Z13" s="170">
        <f>IF(OR($B13="",Z$4&gt;$P13,EOMONTH(Z$4,0)&lt;$E13),0,MIN($H13,MAX(0,MIN(EOMONTH(Z$4,0),$P13)-MAX(Z$4,$E13)+1)*$J13))</f>
        <v/>
      </c>
      <c r="AA13" s="170">
        <f>IF(OR($B13="",AA$4&gt;$P13,EOMONTH(AA$4,0)&lt;$E13),0,MIN($H13,MAX(0,MIN(EOMONTH(AA$4,0),$P13)-MAX(AA$4,$E13)+1)*$J13))</f>
        <v/>
      </c>
      <c r="AB13" s="170">
        <f>IF(OR($B13="",AB$4&gt;$P13,EOMONTH(AB$4,0)&lt;$E13),0,MIN($H13,MAX(0,MIN(EOMONTH(AB$4,0),$P13)-MAX(AB$4,$E13)+1)*$J13))</f>
        <v/>
      </c>
      <c r="AC13" s="170">
        <f>IF(OR($B13="",AC$4&gt;$P13,EOMONTH(AC$4,0)&lt;$E13),0,MIN($H13,MAX(0,MIN(EOMONTH(AC$4,0),$P13)-MAX(AC$4,$E13)+1)*$J13))</f>
        <v/>
      </c>
      <c r="AD13" s="170">
        <f>IF(B13="","",ROUND(SUM(R13:AC13),0))</f>
        <v/>
      </c>
      <c r="AE13" s="170">
        <f>IF(B13="","",MIN(H13,ROUND(Q13+SUM(R13:AC13),0)))</f>
        <v/>
      </c>
      <c r="AF13" s="170">
        <f>IF(B13="","",MAX(H13-AE13,0))</f>
        <v/>
      </c>
      <c r="AG13" s="172">
        <f>IF(B13="","",IF('Thiết lập'!$B$4&lt;E13,"Chưa phân bổ",IF(P13&lt;='Thiết lập'!$B$4,"Đã phân bổ","Đang phân bổ")))</f>
        <v/>
      </c>
      <c r="AH13" s="166" t="n"/>
      <c r="AI13" s="174">
        <f>IF(B13="","",IF(AND(C13&lt;&gt;"",D13&lt;&gt;"",E13&lt;&gt;"",E13&gt;=D13,F13&gt;0,G13&gt;0,I13&gt;0,COUNTIF($B$7:$B$306,B13)=1),"OK",IF(C13="","Thiếu tên; ","")&amp;IF(D13="","Thiếu ngày tăng; ","")&amp;IF(E13="","Thiếu ngày bắt đầu; ","")&amp;IF(AND(D13&lt;&gt;"",E13&lt;&gt;"",E13&lt;D13),"Ngày bắt đầu &lt; ngày tăng; ","")&amp;IF(OR(F13="",F13&lt;=0),"Số lượng không hợp lệ; ","")&amp;IF(OR(G13="",G13&lt;=0),"Đơn giá không hợp lệ; ","")&amp;IF(OR(I13="",I13&lt;=0),"Số tháng không hợp lệ; ","")&amp;IF(COUNTIF($B$7:$B$306,B13)&gt;1,"Trùng mã CPTT; ","")))</f>
        <v/>
      </c>
    </row>
    <row r="14" ht="19.5" customHeight="1" s="98">
      <c r="A14" s="164">
        <f>IF(B14="","",ROW()-6)</f>
        <v/>
      </c>
      <c r="B14" s="165" t="n"/>
      <c r="C14" s="166" t="n"/>
      <c r="D14" s="167" t="n"/>
      <c r="E14" s="167" t="n"/>
      <c r="F14" s="168" t="n"/>
      <c r="G14" s="169" t="n"/>
      <c r="H14" s="170">
        <f>IF(OR(F14="",G14=""),"",F14*G14)</f>
        <v/>
      </c>
      <c r="I14" s="171" t="n"/>
      <c r="J14" s="170">
        <f>IF(OR(H14="",E14="",P14=""),"",H14/(P14-E14+1))</f>
        <v/>
      </c>
      <c r="K14" s="165" t="n"/>
      <c r="L14" s="172">
        <f>IF(B14="","",IF(AF14&lt;=0,"Đã phân bổ",IF(P14&lt;=EDATE('Thiết lập'!$B$4,12),"Ngắn hạn","Dài hạn")))</f>
        <v/>
      </c>
      <c r="M14" s="165" t="n"/>
      <c r="N14" s="165" t="n"/>
      <c r="O14" s="165" t="n"/>
      <c r="P14" s="173">
        <f>IF(OR(E14="",I14=""),"",EDATE(E14,I14)-1)</f>
        <v/>
      </c>
      <c r="Q14" s="170">
        <f>IF(OR(B14="",E14="",P14=""),0,MIN(H14,MAX(0,MIN(P14,DATE('Thiết lập'!$B$3-1,12,31))-E14+1)*J14))</f>
        <v/>
      </c>
      <c r="R14" s="170">
        <f>IF(OR($B14="",R$4&gt;$P14,EOMONTH(R$4,0)&lt;$E14),0,MIN($H14,MAX(0,MIN(EOMONTH(R$4,0),$P14)-MAX(R$4,$E14)+1)*$J14))</f>
        <v/>
      </c>
      <c r="S14" s="170">
        <f>IF(OR($B14="",S$4&gt;$P14,EOMONTH(S$4,0)&lt;$E14),0,MIN($H14,MAX(0,MIN(EOMONTH(S$4,0),$P14)-MAX(S$4,$E14)+1)*$J14))</f>
        <v/>
      </c>
      <c r="T14" s="170">
        <f>IF(OR($B14="",T$4&gt;$P14,EOMONTH(T$4,0)&lt;$E14),0,MIN($H14,MAX(0,MIN(EOMONTH(T$4,0),$P14)-MAX(T$4,$E14)+1)*$J14))</f>
        <v/>
      </c>
      <c r="U14" s="170">
        <f>IF(OR($B14="",U$4&gt;$P14,EOMONTH(U$4,0)&lt;$E14),0,MIN($H14,MAX(0,MIN(EOMONTH(U$4,0),$P14)-MAX(U$4,$E14)+1)*$J14))</f>
        <v/>
      </c>
      <c r="V14" s="170">
        <f>IF(OR($B14="",V$4&gt;$P14,EOMONTH(V$4,0)&lt;$E14),0,MIN($H14,MAX(0,MIN(EOMONTH(V$4,0),$P14)-MAX(V$4,$E14)+1)*$J14))</f>
        <v/>
      </c>
      <c r="W14" s="170">
        <f>IF(OR($B14="",W$4&gt;$P14,EOMONTH(W$4,0)&lt;$E14),0,MIN($H14,MAX(0,MIN(EOMONTH(W$4,0),$P14)-MAX(W$4,$E14)+1)*$J14))</f>
        <v/>
      </c>
      <c r="X14" s="170">
        <f>IF(OR($B14="",X$4&gt;$P14,EOMONTH(X$4,0)&lt;$E14),0,MIN($H14,MAX(0,MIN(EOMONTH(X$4,0),$P14)-MAX(X$4,$E14)+1)*$J14))</f>
        <v/>
      </c>
      <c r="Y14" s="170">
        <f>IF(OR($B14="",Y$4&gt;$P14,EOMONTH(Y$4,0)&lt;$E14),0,MIN($H14,MAX(0,MIN(EOMONTH(Y$4,0),$P14)-MAX(Y$4,$E14)+1)*$J14))</f>
        <v/>
      </c>
      <c r="Z14" s="170">
        <f>IF(OR($B14="",Z$4&gt;$P14,EOMONTH(Z$4,0)&lt;$E14),0,MIN($H14,MAX(0,MIN(EOMONTH(Z$4,0),$P14)-MAX(Z$4,$E14)+1)*$J14))</f>
        <v/>
      </c>
      <c r="AA14" s="170">
        <f>IF(OR($B14="",AA$4&gt;$P14,EOMONTH(AA$4,0)&lt;$E14),0,MIN($H14,MAX(0,MIN(EOMONTH(AA$4,0),$P14)-MAX(AA$4,$E14)+1)*$J14))</f>
        <v/>
      </c>
      <c r="AB14" s="170">
        <f>IF(OR($B14="",AB$4&gt;$P14,EOMONTH(AB$4,0)&lt;$E14),0,MIN($H14,MAX(0,MIN(EOMONTH(AB$4,0),$P14)-MAX(AB$4,$E14)+1)*$J14))</f>
        <v/>
      </c>
      <c r="AC14" s="170">
        <f>IF(OR($B14="",AC$4&gt;$P14,EOMONTH(AC$4,0)&lt;$E14),0,MIN($H14,MAX(0,MIN(EOMONTH(AC$4,0),$P14)-MAX(AC$4,$E14)+1)*$J14))</f>
        <v/>
      </c>
      <c r="AD14" s="170">
        <f>IF(B14="","",ROUND(SUM(R14:AC14),0))</f>
        <v/>
      </c>
      <c r="AE14" s="170">
        <f>IF(B14="","",MIN(H14,ROUND(Q14+SUM(R14:AC14),0)))</f>
        <v/>
      </c>
      <c r="AF14" s="170">
        <f>IF(B14="","",MAX(H14-AE14,0))</f>
        <v/>
      </c>
      <c r="AG14" s="172">
        <f>IF(B14="","",IF('Thiết lập'!$B$4&lt;E14,"Chưa phân bổ",IF(P14&lt;='Thiết lập'!$B$4,"Đã phân bổ","Đang phân bổ")))</f>
        <v/>
      </c>
      <c r="AH14" s="166" t="n"/>
      <c r="AI14" s="174">
        <f>IF(B14="","",IF(AND(C14&lt;&gt;"",D14&lt;&gt;"",E14&lt;&gt;"",E14&gt;=D14,F14&gt;0,G14&gt;0,I14&gt;0,COUNTIF($B$7:$B$306,B14)=1),"OK",IF(C14="","Thiếu tên; ","")&amp;IF(D14="","Thiếu ngày tăng; ","")&amp;IF(E14="","Thiếu ngày bắt đầu; ","")&amp;IF(AND(D14&lt;&gt;"",E14&lt;&gt;"",E14&lt;D14),"Ngày bắt đầu &lt; ngày tăng; ","")&amp;IF(OR(F14="",F14&lt;=0),"Số lượng không hợp lệ; ","")&amp;IF(OR(G14="",G14&lt;=0),"Đơn giá không hợp lệ; ","")&amp;IF(OR(I14="",I14&lt;=0),"Số tháng không hợp lệ; ","")&amp;IF(COUNTIF($B$7:$B$306,B14)&gt;1,"Trùng mã CPTT; ","")))</f>
        <v/>
      </c>
    </row>
    <row r="15" ht="19.5" customHeight="1" s="98">
      <c r="A15" s="164">
        <f>IF(B15="","",ROW()-6)</f>
        <v/>
      </c>
      <c r="B15" s="165" t="n"/>
      <c r="C15" s="166" t="n"/>
      <c r="D15" s="167" t="n"/>
      <c r="E15" s="167" t="n"/>
      <c r="F15" s="168" t="n"/>
      <c r="G15" s="169" t="n"/>
      <c r="H15" s="170">
        <f>IF(OR(F15="",G15=""),"",F15*G15)</f>
        <v/>
      </c>
      <c r="I15" s="171" t="n"/>
      <c r="J15" s="170">
        <f>IF(OR(H15="",E15="",P15=""),"",H15/(P15-E15+1))</f>
        <v/>
      </c>
      <c r="K15" s="165" t="n"/>
      <c r="L15" s="172">
        <f>IF(B15="","",IF(AF15&lt;=0,"Đã phân bổ",IF(P15&lt;=EDATE('Thiết lập'!$B$4,12),"Ngắn hạn","Dài hạn")))</f>
        <v/>
      </c>
      <c r="M15" s="165" t="n"/>
      <c r="N15" s="165" t="n"/>
      <c r="O15" s="165" t="n"/>
      <c r="P15" s="173">
        <f>IF(OR(E15="",I15=""),"",EDATE(E15,I15)-1)</f>
        <v/>
      </c>
      <c r="Q15" s="170">
        <f>IF(OR(B15="",E15="",P15=""),0,MIN(H15,MAX(0,MIN(P15,DATE('Thiết lập'!$B$3-1,12,31))-E15+1)*J15))</f>
        <v/>
      </c>
      <c r="R15" s="170">
        <f>IF(OR($B15="",R$4&gt;$P15,EOMONTH(R$4,0)&lt;$E15),0,MIN($H15,MAX(0,MIN(EOMONTH(R$4,0),$P15)-MAX(R$4,$E15)+1)*$J15))</f>
        <v/>
      </c>
      <c r="S15" s="170">
        <f>IF(OR($B15="",S$4&gt;$P15,EOMONTH(S$4,0)&lt;$E15),0,MIN($H15,MAX(0,MIN(EOMONTH(S$4,0),$P15)-MAX(S$4,$E15)+1)*$J15))</f>
        <v/>
      </c>
      <c r="T15" s="170">
        <f>IF(OR($B15="",T$4&gt;$P15,EOMONTH(T$4,0)&lt;$E15),0,MIN($H15,MAX(0,MIN(EOMONTH(T$4,0),$P15)-MAX(T$4,$E15)+1)*$J15))</f>
        <v/>
      </c>
      <c r="U15" s="170">
        <f>IF(OR($B15="",U$4&gt;$P15,EOMONTH(U$4,0)&lt;$E15),0,MIN($H15,MAX(0,MIN(EOMONTH(U$4,0),$P15)-MAX(U$4,$E15)+1)*$J15))</f>
        <v/>
      </c>
      <c r="V15" s="170">
        <f>IF(OR($B15="",V$4&gt;$P15,EOMONTH(V$4,0)&lt;$E15),0,MIN($H15,MAX(0,MIN(EOMONTH(V$4,0),$P15)-MAX(V$4,$E15)+1)*$J15))</f>
        <v/>
      </c>
      <c r="W15" s="170">
        <f>IF(OR($B15="",W$4&gt;$P15,EOMONTH(W$4,0)&lt;$E15),0,MIN($H15,MAX(0,MIN(EOMONTH(W$4,0),$P15)-MAX(W$4,$E15)+1)*$J15))</f>
        <v/>
      </c>
      <c r="X15" s="170">
        <f>IF(OR($B15="",X$4&gt;$P15,EOMONTH(X$4,0)&lt;$E15),0,MIN($H15,MAX(0,MIN(EOMONTH(X$4,0),$P15)-MAX(X$4,$E15)+1)*$J15))</f>
        <v/>
      </c>
      <c r="Y15" s="170">
        <f>IF(OR($B15="",Y$4&gt;$P15,EOMONTH(Y$4,0)&lt;$E15),0,MIN($H15,MAX(0,MIN(EOMONTH(Y$4,0),$P15)-MAX(Y$4,$E15)+1)*$J15))</f>
        <v/>
      </c>
      <c r="Z15" s="170">
        <f>IF(OR($B15="",Z$4&gt;$P15,EOMONTH(Z$4,0)&lt;$E15),0,MIN($H15,MAX(0,MIN(EOMONTH(Z$4,0),$P15)-MAX(Z$4,$E15)+1)*$J15))</f>
        <v/>
      </c>
      <c r="AA15" s="170">
        <f>IF(OR($B15="",AA$4&gt;$P15,EOMONTH(AA$4,0)&lt;$E15),0,MIN($H15,MAX(0,MIN(EOMONTH(AA$4,0),$P15)-MAX(AA$4,$E15)+1)*$J15))</f>
        <v/>
      </c>
      <c r="AB15" s="170">
        <f>IF(OR($B15="",AB$4&gt;$P15,EOMONTH(AB$4,0)&lt;$E15),0,MIN($H15,MAX(0,MIN(EOMONTH(AB$4,0),$P15)-MAX(AB$4,$E15)+1)*$J15))</f>
        <v/>
      </c>
      <c r="AC15" s="170">
        <f>IF(OR($B15="",AC$4&gt;$P15,EOMONTH(AC$4,0)&lt;$E15),0,MIN($H15,MAX(0,MIN(EOMONTH(AC$4,0),$P15)-MAX(AC$4,$E15)+1)*$J15))</f>
        <v/>
      </c>
      <c r="AD15" s="170">
        <f>IF(B15="","",ROUND(SUM(R15:AC15),0))</f>
        <v/>
      </c>
      <c r="AE15" s="170">
        <f>IF(B15="","",MIN(H15,ROUND(Q15+SUM(R15:AC15),0)))</f>
        <v/>
      </c>
      <c r="AF15" s="170">
        <f>IF(B15="","",MAX(H15-AE15,0))</f>
        <v/>
      </c>
      <c r="AG15" s="172">
        <f>IF(B15="","",IF('Thiết lập'!$B$4&lt;E15,"Chưa phân bổ",IF(P15&lt;='Thiết lập'!$B$4,"Đã phân bổ","Đang phân bổ")))</f>
        <v/>
      </c>
      <c r="AH15" s="166" t="n"/>
      <c r="AI15" s="174">
        <f>IF(B15="","",IF(AND(C15&lt;&gt;"",D15&lt;&gt;"",E15&lt;&gt;"",E15&gt;=D15,F15&gt;0,G15&gt;0,I15&gt;0,COUNTIF($B$7:$B$306,B15)=1),"OK",IF(C15="","Thiếu tên; ","")&amp;IF(D15="","Thiếu ngày tăng; ","")&amp;IF(E15="","Thiếu ngày bắt đầu; ","")&amp;IF(AND(D15&lt;&gt;"",E15&lt;&gt;"",E15&lt;D15),"Ngày bắt đầu &lt; ngày tăng; ","")&amp;IF(OR(F15="",F15&lt;=0),"Số lượng không hợp lệ; ","")&amp;IF(OR(G15="",G15&lt;=0),"Đơn giá không hợp lệ; ","")&amp;IF(OR(I15="",I15&lt;=0),"Số tháng không hợp lệ; ","")&amp;IF(COUNTIF($B$7:$B$306,B15)&gt;1,"Trùng mã CPTT; ","")))</f>
        <v/>
      </c>
    </row>
    <row r="16" ht="19.5" customHeight="1" s="98">
      <c r="A16" s="164">
        <f>IF(B16="","",ROW()-6)</f>
        <v/>
      </c>
      <c r="B16" s="165" t="n"/>
      <c r="C16" s="166" t="n"/>
      <c r="D16" s="167" t="n"/>
      <c r="E16" s="167" t="n"/>
      <c r="F16" s="168" t="n"/>
      <c r="G16" s="169" t="n"/>
      <c r="H16" s="170">
        <f>IF(OR(F16="",G16=""),"",F16*G16)</f>
        <v/>
      </c>
      <c r="I16" s="171" t="n"/>
      <c r="J16" s="170">
        <f>IF(OR(H16="",E16="",P16=""),"",H16/(P16-E16+1))</f>
        <v/>
      </c>
      <c r="K16" s="165" t="n"/>
      <c r="L16" s="172">
        <f>IF(B16="","",IF(AF16&lt;=0,"Đã phân bổ",IF(P16&lt;=EDATE('Thiết lập'!$B$4,12),"Ngắn hạn","Dài hạn")))</f>
        <v/>
      </c>
      <c r="M16" s="165" t="n"/>
      <c r="N16" s="165" t="n"/>
      <c r="O16" s="165" t="n"/>
      <c r="P16" s="173">
        <f>IF(OR(E16="",I16=""),"",EDATE(E16,I16)-1)</f>
        <v/>
      </c>
      <c r="Q16" s="170">
        <f>IF(OR(B16="",E16="",P16=""),0,MIN(H16,MAX(0,MIN(P16,DATE('Thiết lập'!$B$3-1,12,31))-E16+1)*J16))</f>
        <v/>
      </c>
      <c r="R16" s="170">
        <f>IF(OR($B16="",R$4&gt;$P16,EOMONTH(R$4,0)&lt;$E16),0,MIN($H16,MAX(0,MIN(EOMONTH(R$4,0),$P16)-MAX(R$4,$E16)+1)*$J16))</f>
        <v/>
      </c>
      <c r="S16" s="170">
        <f>IF(OR($B16="",S$4&gt;$P16,EOMONTH(S$4,0)&lt;$E16),0,MIN($H16,MAX(0,MIN(EOMONTH(S$4,0),$P16)-MAX(S$4,$E16)+1)*$J16))</f>
        <v/>
      </c>
      <c r="T16" s="170">
        <f>IF(OR($B16="",T$4&gt;$P16,EOMONTH(T$4,0)&lt;$E16),0,MIN($H16,MAX(0,MIN(EOMONTH(T$4,0),$P16)-MAX(T$4,$E16)+1)*$J16))</f>
        <v/>
      </c>
      <c r="U16" s="170">
        <f>IF(OR($B16="",U$4&gt;$P16,EOMONTH(U$4,0)&lt;$E16),0,MIN($H16,MAX(0,MIN(EOMONTH(U$4,0),$P16)-MAX(U$4,$E16)+1)*$J16))</f>
        <v/>
      </c>
      <c r="V16" s="170">
        <f>IF(OR($B16="",V$4&gt;$P16,EOMONTH(V$4,0)&lt;$E16),0,MIN($H16,MAX(0,MIN(EOMONTH(V$4,0),$P16)-MAX(V$4,$E16)+1)*$J16))</f>
        <v/>
      </c>
      <c r="W16" s="170">
        <f>IF(OR($B16="",W$4&gt;$P16,EOMONTH(W$4,0)&lt;$E16),0,MIN($H16,MAX(0,MIN(EOMONTH(W$4,0),$P16)-MAX(W$4,$E16)+1)*$J16))</f>
        <v/>
      </c>
      <c r="X16" s="170">
        <f>IF(OR($B16="",X$4&gt;$P16,EOMONTH(X$4,0)&lt;$E16),0,MIN($H16,MAX(0,MIN(EOMONTH(X$4,0),$P16)-MAX(X$4,$E16)+1)*$J16))</f>
        <v/>
      </c>
      <c r="Y16" s="170">
        <f>IF(OR($B16="",Y$4&gt;$P16,EOMONTH(Y$4,0)&lt;$E16),0,MIN($H16,MAX(0,MIN(EOMONTH(Y$4,0),$P16)-MAX(Y$4,$E16)+1)*$J16))</f>
        <v/>
      </c>
      <c r="Z16" s="170">
        <f>IF(OR($B16="",Z$4&gt;$P16,EOMONTH(Z$4,0)&lt;$E16),0,MIN($H16,MAX(0,MIN(EOMONTH(Z$4,0),$P16)-MAX(Z$4,$E16)+1)*$J16))</f>
        <v/>
      </c>
      <c r="AA16" s="170">
        <f>IF(OR($B16="",AA$4&gt;$P16,EOMONTH(AA$4,0)&lt;$E16),0,MIN($H16,MAX(0,MIN(EOMONTH(AA$4,0),$P16)-MAX(AA$4,$E16)+1)*$J16))</f>
        <v/>
      </c>
      <c r="AB16" s="170">
        <f>IF(OR($B16="",AB$4&gt;$P16,EOMONTH(AB$4,0)&lt;$E16),0,MIN($H16,MAX(0,MIN(EOMONTH(AB$4,0),$P16)-MAX(AB$4,$E16)+1)*$J16))</f>
        <v/>
      </c>
      <c r="AC16" s="170">
        <f>IF(OR($B16="",AC$4&gt;$P16,EOMONTH(AC$4,0)&lt;$E16),0,MIN($H16,MAX(0,MIN(EOMONTH(AC$4,0),$P16)-MAX(AC$4,$E16)+1)*$J16))</f>
        <v/>
      </c>
      <c r="AD16" s="170">
        <f>IF(B16="","",ROUND(SUM(R16:AC16),0))</f>
        <v/>
      </c>
      <c r="AE16" s="170">
        <f>IF(B16="","",MIN(H16,ROUND(Q16+SUM(R16:AC16),0)))</f>
        <v/>
      </c>
      <c r="AF16" s="170">
        <f>IF(B16="","",MAX(H16-AE16,0))</f>
        <v/>
      </c>
      <c r="AG16" s="172">
        <f>IF(B16="","",IF('Thiết lập'!$B$4&lt;E16,"Chưa phân bổ",IF(P16&lt;='Thiết lập'!$B$4,"Đã phân bổ","Đang phân bổ")))</f>
        <v/>
      </c>
      <c r="AH16" s="166" t="n"/>
      <c r="AI16" s="174">
        <f>IF(B16="","",IF(AND(C16&lt;&gt;"",D16&lt;&gt;"",E16&lt;&gt;"",E16&gt;=D16,F16&gt;0,G16&gt;0,I16&gt;0,COUNTIF($B$7:$B$306,B16)=1),"OK",IF(C16="","Thiếu tên; ","")&amp;IF(D16="","Thiếu ngày tăng; ","")&amp;IF(E16="","Thiếu ngày bắt đầu; ","")&amp;IF(AND(D16&lt;&gt;"",E16&lt;&gt;"",E16&lt;D16),"Ngày bắt đầu &lt; ngày tăng; ","")&amp;IF(OR(F16="",F16&lt;=0),"Số lượng không hợp lệ; ","")&amp;IF(OR(G16="",G16&lt;=0),"Đơn giá không hợp lệ; ","")&amp;IF(OR(I16="",I16&lt;=0),"Số tháng không hợp lệ; ","")&amp;IF(COUNTIF($B$7:$B$306,B16)&gt;1,"Trùng mã CPTT; ","")))</f>
        <v/>
      </c>
    </row>
    <row r="17" ht="19.5" customHeight="1" s="98">
      <c r="A17" s="164">
        <f>IF(B17="","",ROW()-6)</f>
        <v/>
      </c>
      <c r="B17" s="165" t="n"/>
      <c r="C17" s="166" t="n"/>
      <c r="D17" s="167" t="n"/>
      <c r="E17" s="167" t="n"/>
      <c r="F17" s="168" t="n"/>
      <c r="G17" s="169" t="n"/>
      <c r="H17" s="170">
        <f>IF(OR(F17="",G17=""),"",F17*G17)</f>
        <v/>
      </c>
      <c r="I17" s="171" t="n"/>
      <c r="J17" s="170">
        <f>IF(OR(H17="",E17="",P17=""),"",H17/(P17-E17+1))</f>
        <v/>
      </c>
      <c r="K17" s="165" t="n"/>
      <c r="L17" s="172">
        <f>IF(B17="","",IF(AF17&lt;=0,"Đã phân bổ",IF(P17&lt;=EDATE('Thiết lập'!$B$4,12),"Ngắn hạn","Dài hạn")))</f>
        <v/>
      </c>
      <c r="M17" s="165" t="n"/>
      <c r="N17" s="165" t="n"/>
      <c r="O17" s="165" t="n"/>
      <c r="P17" s="173">
        <f>IF(OR(E17="",I17=""),"",EDATE(E17,I17)-1)</f>
        <v/>
      </c>
      <c r="Q17" s="170">
        <f>IF(OR(B17="",E17="",P17=""),0,MIN(H17,MAX(0,MIN(P17,DATE('Thiết lập'!$B$3-1,12,31))-E17+1)*J17))</f>
        <v/>
      </c>
      <c r="R17" s="170">
        <f>IF(OR($B17="",R$4&gt;$P17,EOMONTH(R$4,0)&lt;$E17),0,MIN($H17,MAX(0,MIN(EOMONTH(R$4,0),$P17)-MAX(R$4,$E17)+1)*$J17))</f>
        <v/>
      </c>
      <c r="S17" s="170">
        <f>IF(OR($B17="",S$4&gt;$P17,EOMONTH(S$4,0)&lt;$E17),0,MIN($H17,MAX(0,MIN(EOMONTH(S$4,0),$P17)-MAX(S$4,$E17)+1)*$J17))</f>
        <v/>
      </c>
      <c r="T17" s="170">
        <f>IF(OR($B17="",T$4&gt;$P17,EOMONTH(T$4,0)&lt;$E17),0,MIN($H17,MAX(0,MIN(EOMONTH(T$4,0),$P17)-MAX(T$4,$E17)+1)*$J17))</f>
        <v/>
      </c>
      <c r="U17" s="170">
        <f>IF(OR($B17="",U$4&gt;$P17,EOMONTH(U$4,0)&lt;$E17),0,MIN($H17,MAX(0,MIN(EOMONTH(U$4,0),$P17)-MAX(U$4,$E17)+1)*$J17))</f>
        <v/>
      </c>
      <c r="V17" s="170">
        <f>IF(OR($B17="",V$4&gt;$P17,EOMONTH(V$4,0)&lt;$E17),0,MIN($H17,MAX(0,MIN(EOMONTH(V$4,0),$P17)-MAX(V$4,$E17)+1)*$J17))</f>
        <v/>
      </c>
      <c r="W17" s="170">
        <f>IF(OR($B17="",W$4&gt;$P17,EOMONTH(W$4,0)&lt;$E17),0,MIN($H17,MAX(0,MIN(EOMONTH(W$4,0),$P17)-MAX(W$4,$E17)+1)*$J17))</f>
        <v/>
      </c>
      <c r="X17" s="170">
        <f>IF(OR($B17="",X$4&gt;$P17,EOMONTH(X$4,0)&lt;$E17),0,MIN($H17,MAX(0,MIN(EOMONTH(X$4,0),$P17)-MAX(X$4,$E17)+1)*$J17))</f>
        <v/>
      </c>
      <c r="Y17" s="170">
        <f>IF(OR($B17="",Y$4&gt;$P17,EOMONTH(Y$4,0)&lt;$E17),0,MIN($H17,MAX(0,MIN(EOMONTH(Y$4,0),$P17)-MAX(Y$4,$E17)+1)*$J17))</f>
        <v/>
      </c>
      <c r="Z17" s="170">
        <f>IF(OR($B17="",Z$4&gt;$P17,EOMONTH(Z$4,0)&lt;$E17),0,MIN($H17,MAX(0,MIN(EOMONTH(Z$4,0),$P17)-MAX(Z$4,$E17)+1)*$J17))</f>
        <v/>
      </c>
      <c r="AA17" s="170">
        <f>IF(OR($B17="",AA$4&gt;$P17,EOMONTH(AA$4,0)&lt;$E17),0,MIN($H17,MAX(0,MIN(EOMONTH(AA$4,0),$P17)-MAX(AA$4,$E17)+1)*$J17))</f>
        <v/>
      </c>
      <c r="AB17" s="170">
        <f>IF(OR($B17="",AB$4&gt;$P17,EOMONTH(AB$4,0)&lt;$E17),0,MIN($H17,MAX(0,MIN(EOMONTH(AB$4,0),$P17)-MAX(AB$4,$E17)+1)*$J17))</f>
        <v/>
      </c>
      <c r="AC17" s="170">
        <f>IF(OR($B17="",AC$4&gt;$P17,EOMONTH(AC$4,0)&lt;$E17),0,MIN($H17,MAX(0,MIN(EOMONTH(AC$4,0),$P17)-MAX(AC$4,$E17)+1)*$J17))</f>
        <v/>
      </c>
      <c r="AD17" s="170">
        <f>IF(B17="","",ROUND(SUM(R17:AC17),0))</f>
        <v/>
      </c>
      <c r="AE17" s="170">
        <f>IF(B17="","",MIN(H17,ROUND(Q17+SUM(R17:AC17),0)))</f>
        <v/>
      </c>
      <c r="AF17" s="170">
        <f>IF(B17="","",MAX(H17-AE17,0))</f>
        <v/>
      </c>
      <c r="AG17" s="172">
        <f>IF(B17="","",IF('Thiết lập'!$B$4&lt;E17,"Chưa phân bổ",IF(P17&lt;='Thiết lập'!$B$4,"Đã phân bổ","Đang phân bổ")))</f>
        <v/>
      </c>
      <c r="AH17" s="166" t="n"/>
      <c r="AI17" s="174">
        <f>IF(B17="","",IF(AND(C17&lt;&gt;"",D17&lt;&gt;"",E17&lt;&gt;"",E17&gt;=D17,F17&gt;0,G17&gt;0,I17&gt;0,COUNTIF($B$7:$B$306,B17)=1),"OK",IF(C17="","Thiếu tên; ","")&amp;IF(D17="","Thiếu ngày tăng; ","")&amp;IF(E17="","Thiếu ngày bắt đầu; ","")&amp;IF(AND(D17&lt;&gt;"",E17&lt;&gt;"",E17&lt;D17),"Ngày bắt đầu &lt; ngày tăng; ","")&amp;IF(OR(F17="",F17&lt;=0),"Số lượng không hợp lệ; ","")&amp;IF(OR(G17="",G17&lt;=0),"Đơn giá không hợp lệ; ","")&amp;IF(OR(I17="",I17&lt;=0),"Số tháng không hợp lệ; ","")&amp;IF(COUNTIF($B$7:$B$306,B17)&gt;1,"Trùng mã CPTT; ","")))</f>
        <v/>
      </c>
    </row>
    <row r="18" ht="19.5" customHeight="1" s="98">
      <c r="A18" s="164">
        <f>IF(B18="","",ROW()-6)</f>
        <v/>
      </c>
      <c r="B18" s="165" t="n"/>
      <c r="C18" s="166" t="n"/>
      <c r="D18" s="167" t="n"/>
      <c r="E18" s="167" t="n"/>
      <c r="F18" s="168" t="n"/>
      <c r="G18" s="169" t="n"/>
      <c r="H18" s="170">
        <f>IF(OR(F18="",G18=""),"",F18*G18)</f>
        <v/>
      </c>
      <c r="I18" s="171" t="n"/>
      <c r="J18" s="170">
        <f>IF(OR(H18="",E18="",P18=""),"",H18/(P18-E18+1))</f>
        <v/>
      </c>
      <c r="K18" s="165" t="n"/>
      <c r="L18" s="172">
        <f>IF(B18="","",IF(AF18&lt;=0,"Đã phân bổ",IF(P18&lt;=EDATE('Thiết lập'!$B$4,12),"Ngắn hạn","Dài hạn")))</f>
        <v/>
      </c>
      <c r="M18" s="165" t="n"/>
      <c r="N18" s="165" t="n"/>
      <c r="O18" s="165" t="n"/>
      <c r="P18" s="173">
        <f>IF(OR(E18="",I18=""),"",EDATE(E18,I18)-1)</f>
        <v/>
      </c>
      <c r="Q18" s="170">
        <f>IF(OR(B18="",E18="",P18=""),0,MIN(H18,MAX(0,MIN(P18,DATE('Thiết lập'!$B$3-1,12,31))-E18+1)*J18))</f>
        <v/>
      </c>
      <c r="R18" s="170">
        <f>IF(OR($B18="",R$4&gt;$P18,EOMONTH(R$4,0)&lt;$E18),0,MIN($H18,MAX(0,MIN(EOMONTH(R$4,0),$P18)-MAX(R$4,$E18)+1)*$J18))</f>
        <v/>
      </c>
      <c r="S18" s="170">
        <f>IF(OR($B18="",S$4&gt;$P18,EOMONTH(S$4,0)&lt;$E18),0,MIN($H18,MAX(0,MIN(EOMONTH(S$4,0),$P18)-MAX(S$4,$E18)+1)*$J18))</f>
        <v/>
      </c>
      <c r="T18" s="170">
        <f>IF(OR($B18="",T$4&gt;$P18,EOMONTH(T$4,0)&lt;$E18),0,MIN($H18,MAX(0,MIN(EOMONTH(T$4,0),$P18)-MAX(T$4,$E18)+1)*$J18))</f>
        <v/>
      </c>
      <c r="U18" s="170">
        <f>IF(OR($B18="",U$4&gt;$P18,EOMONTH(U$4,0)&lt;$E18),0,MIN($H18,MAX(0,MIN(EOMONTH(U$4,0),$P18)-MAX(U$4,$E18)+1)*$J18))</f>
        <v/>
      </c>
      <c r="V18" s="170">
        <f>IF(OR($B18="",V$4&gt;$P18,EOMONTH(V$4,0)&lt;$E18),0,MIN($H18,MAX(0,MIN(EOMONTH(V$4,0),$P18)-MAX(V$4,$E18)+1)*$J18))</f>
        <v/>
      </c>
      <c r="W18" s="170">
        <f>IF(OR($B18="",W$4&gt;$P18,EOMONTH(W$4,0)&lt;$E18),0,MIN($H18,MAX(0,MIN(EOMONTH(W$4,0),$P18)-MAX(W$4,$E18)+1)*$J18))</f>
        <v/>
      </c>
      <c r="X18" s="170">
        <f>IF(OR($B18="",X$4&gt;$P18,EOMONTH(X$4,0)&lt;$E18),0,MIN($H18,MAX(0,MIN(EOMONTH(X$4,0),$P18)-MAX(X$4,$E18)+1)*$J18))</f>
        <v/>
      </c>
      <c r="Y18" s="170">
        <f>IF(OR($B18="",Y$4&gt;$P18,EOMONTH(Y$4,0)&lt;$E18),0,MIN($H18,MAX(0,MIN(EOMONTH(Y$4,0),$P18)-MAX(Y$4,$E18)+1)*$J18))</f>
        <v/>
      </c>
      <c r="Z18" s="170">
        <f>IF(OR($B18="",Z$4&gt;$P18,EOMONTH(Z$4,0)&lt;$E18),0,MIN($H18,MAX(0,MIN(EOMONTH(Z$4,0),$P18)-MAX(Z$4,$E18)+1)*$J18))</f>
        <v/>
      </c>
      <c r="AA18" s="170">
        <f>IF(OR($B18="",AA$4&gt;$P18,EOMONTH(AA$4,0)&lt;$E18),0,MIN($H18,MAX(0,MIN(EOMONTH(AA$4,0),$P18)-MAX(AA$4,$E18)+1)*$J18))</f>
        <v/>
      </c>
      <c r="AB18" s="170">
        <f>IF(OR($B18="",AB$4&gt;$P18,EOMONTH(AB$4,0)&lt;$E18),0,MIN($H18,MAX(0,MIN(EOMONTH(AB$4,0),$P18)-MAX(AB$4,$E18)+1)*$J18))</f>
        <v/>
      </c>
      <c r="AC18" s="170">
        <f>IF(OR($B18="",AC$4&gt;$P18,EOMONTH(AC$4,0)&lt;$E18),0,MIN($H18,MAX(0,MIN(EOMONTH(AC$4,0),$P18)-MAX(AC$4,$E18)+1)*$J18))</f>
        <v/>
      </c>
      <c r="AD18" s="170">
        <f>IF(B18="","",ROUND(SUM(R18:AC18),0))</f>
        <v/>
      </c>
      <c r="AE18" s="170">
        <f>IF(B18="","",MIN(H18,ROUND(Q18+SUM(R18:AC18),0)))</f>
        <v/>
      </c>
      <c r="AF18" s="170">
        <f>IF(B18="","",MAX(H18-AE18,0))</f>
        <v/>
      </c>
      <c r="AG18" s="172">
        <f>IF(B18="","",IF('Thiết lập'!$B$4&lt;E18,"Chưa phân bổ",IF(P18&lt;='Thiết lập'!$B$4,"Đã phân bổ","Đang phân bổ")))</f>
        <v/>
      </c>
      <c r="AH18" s="166" t="n"/>
      <c r="AI18" s="174">
        <f>IF(B18="","",IF(AND(C18&lt;&gt;"",D18&lt;&gt;"",E18&lt;&gt;"",E18&gt;=D18,F18&gt;0,G18&gt;0,I18&gt;0,COUNTIF($B$7:$B$306,B18)=1),"OK",IF(C18="","Thiếu tên; ","")&amp;IF(D18="","Thiếu ngày tăng; ","")&amp;IF(E18="","Thiếu ngày bắt đầu; ","")&amp;IF(AND(D18&lt;&gt;"",E18&lt;&gt;"",E18&lt;D18),"Ngày bắt đầu &lt; ngày tăng; ","")&amp;IF(OR(F18="",F18&lt;=0),"Số lượng không hợp lệ; ","")&amp;IF(OR(G18="",G18&lt;=0),"Đơn giá không hợp lệ; ","")&amp;IF(OR(I18="",I18&lt;=0),"Số tháng không hợp lệ; ","")&amp;IF(COUNTIF($B$7:$B$306,B18)&gt;1,"Trùng mã CPTT; ","")))</f>
        <v/>
      </c>
    </row>
    <row r="19" ht="19.5" customHeight="1" s="98">
      <c r="A19" s="164">
        <f>IF(B19="","",ROW()-6)</f>
        <v/>
      </c>
      <c r="B19" s="165" t="n"/>
      <c r="C19" s="166" t="n"/>
      <c r="D19" s="167" t="n"/>
      <c r="E19" s="167" t="n"/>
      <c r="F19" s="168" t="n"/>
      <c r="G19" s="169" t="n"/>
      <c r="H19" s="170">
        <f>IF(OR(F19="",G19=""),"",F19*G19)</f>
        <v/>
      </c>
      <c r="I19" s="171" t="n"/>
      <c r="J19" s="170">
        <f>IF(OR(H19="",E19="",P19=""),"",H19/(P19-E19+1))</f>
        <v/>
      </c>
      <c r="K19" s="165" t="n"/>
      <c r="L19" s="172">
        <f>IF(B19="","",IF(AF19&lt;=0,"Đã phân bổ",IF(P19&lt;=EDATE('Thiết lập'!$B$4,12),"Ngắn hạn","Dài hạn")))</f>
        <v/>
      </c>
      <c r="M19" s="165" t="n"/>
      <c r="N19" s="165" t="n"/>
      <c r="O19" s="165" t="n"/>
      <c r="P19" s="173">
        <f>IF(OR(E19="",I19=""),"",EDATE(E19,I19)-1)</f>
        <v/>
      </c>
      <c r="Q19" s="170">
        <f>IF(OR(B19="",E19="",P19=""),0,MIN(H19,MAX(0,MIN(P19,DATE('Thiết lập'!$B$3-1,12,31))-E19+1)*J19))</f>
        <v/>
      </c>
      <c r="R19" s="170">
        <f>IF(OR($B19="",R$4&gt;$P19,EOMONTH(R$4,0)&lt;$E19),0,MIN($H19,MAX(0,MIN(EOMONTH(R$4,0),$P19)-MAX(R$4,$E19)+1)*$J19))</f>
        <v/>
      </c>
      <c r="S19" s="170">
        <f>IF(OR($B19="",S$4&gt;$P19,EOMONTH(S$4,0)&lt;$E19),0,MIN($H19,MAX(0,MIN(EOMONTH(S$4,0),$P19)-MAX(S$4,$E19)+1)*$J19))</f>
        <v/>
      </c>
      <c r="T19" s="170">
        <f>IF(OR($B19="",T$4&gt;$P19,EOMONTH(T$4,0)&lt;$E19),0,MIN($H19,MAX(0,MIN(EOMONTH(T$4,0),$P19)-MAX(T$4,$E19)+1)*$J19))</f>
        <v/>
      </c>
      <c r="U19" s="170">
        <f>IF(OR($B19="",U$4&gt;$P19,EOMONTH(U$4,0)&lt;$E19),0,MIN($H19,MAX(0,MIN(EOMONTH(U$4,0),$P19)-MAX(U$4,$E19)+1)*$J19))</f>
        <v/>
      </c>
      <c r="V19" s="170">
        <f>IF(OR($B19="",V$4&gt;$P19,EOMONTH(V$4,0)&lt;$E19),0,MIN($H19,MAX(0,MIN(EOMONTH(V$4,0),$P19)-MAX(V$4,$E19)+1)*$J19))</f>
        <v/>
      </c>
      <c r="W19" s="170">
        <f>IF(OR($B19="",W$4&gt;$P19,EOMONTH(W$4,0)&lt;$E19),0,MIN($H19,MAX(0,MIN(EOMONTH(W$4,0),$P19)-MAX(W$4,$E19)+1)*$J19))</f>
        <v/>
      </c>
      <c r="X19" s="170">
        <f>IF(OR($B19="",X$4&gt;$P19,EOMONTH(X$4,0)&lt;$E19),0,MIN($H19,MAX(0,MIN(EOMONTH(X$4,0),$P19)-MAX(X$4,$E19)+1)*$J19))</f>
        <v/>
      </c>
      <c r="Y19" s="170">
        <f>IF(OR($B19="",Y$4&gt;$P19,EOMONTH(Y$4,0)&lt;$E19),0,MIN($H19,MAX(0,MIN(EOMONTH(Y$4,0),$P19)-MAX(Y$4,$E19)+1)*$J19))</f>
        <v/>
      </c>
      <c r="Z19" s="170">
        <f>IF(OR($B19="",Z$4&gt;$P19,EOMONTH(Z$4,0)&lt;$E19),0,MIN($H19,MAX(0,MIN(EOMONTH(Z$4,0),$P19)-MAX(Z$4,$E19)+1)*$J19))</f>
        <v/>
      </c>
      <c r="AA19" s="170">
        <f>IF(OR($B19="",AA$4&gt;$P19,EOMONTH(AA$4,0)&lt;$E19),0,MIN($H19,MAX(0,MIN(EOMONTH(AA$4,0),$P19)-MAX(AA$4,$E19)+1)*$J19))</f>
        <v/>
      </c>
      <c r="AB19" s="170">
        <f>IF(OR($B19="",AB$4&gt;$P19,EOMONTH(AB$4,0)&lt;$E19),0,MIN($H19,MAX(0,MIN(EOMONTH(AB$4,0),$P19)-MAX(AB$4,$E19)+1)*$J19))</f>
        <v/>
      </c>
      <c r="AC19" s="170">
        <f>IF(OR($B19="",AC$4&gt;$P19,EOMONTH(AC$4,0)&lt;$E19),0,MIN($H19,MAX(0,MIN(EOMONTH(AC$4,0),$P19)-MAX(AC$4,$E19)+1)*$J19))</f>
        <v/>
      </c>
      <c r="AD19" s="170">
        <f>IF(B19="","",ROUND(SUM(R19:AC19),0))</f>
        <v/>
      </c>
      <c r="AE19" s="170">
        <f>IF(B19="","",MIN(H19,ROUND(Q19+SUM(R19:AC19),0)))</f>
        <v/>
      </c>
      <c r="AF19" s="170">
        <f>IF(B19="","",MAX(H19-AE19,0))</f>
        <v/>
      </c>
      <c r="AG19" s="172">
        <f>IF(B19="","",IF('Thiết lập'!$B$4&lt;E19,"Chưa phân bổ",IF(P19&lt;='Thiết lập'!$B$4,"Đã phân bổ","Đang phân bổ")))</f>
        <v/>
      </c>
      <c r="AH19" s="166" t="n"/>
      <c r="AI19" s="174">
        <f>IF(B19="","",IF(AND(C19&lt;&gt;"",D19&lt;&gt;"",E19&lt;&gt;"",E19&gt;=D19,F19&gt;0,G19&gt;0,I19&gt;0,COUNTIF($B$7:$B$306,B19)=1),"OK",IF(C19="","Thiếu tên; ","")&amp;IF(D19="","Thiếu ngày tăng; ","")&amp;IF(E19="","Thiếu ngày bắt đầu; ","")&amp;IF(AND(D19&lt;&gt;"",E19&lt;&gt;"",E19&lt;D19),"Ngày bắt đầu &lt; ngày tăng; ","")&amp;IF(OR(F19="",F19&lt;=0),"Số lượng không hợp lệ; ","")&amp;IF(OR(G19="",G19&lt;=0),"Đơn giá không hợp lệ; ","")&amp;IF(OR(I19="",I19&lt;=0),"Số tháng không hợp lệ; ","")&amp;IF(COUNTIF($B$7:$B$306,B19)&gt;1,"Trùng mã CPTT; ","")))</f>
        <v/>
      </c>
    </row>
    <row r="20" ht="19.5" customHeight="1" s="98">
      <c r="A20" s="164">
        <f>IF(B20="","",ROW()-6)</f>
        <v/>
      </c>
      <c r="B20" s="165" t="n"/>
      <c r="C20" s="166" t="n"/>
      <c r="D20" s="167" t="n"/>
      <c r="E20" s="167" t="n"/>
      <c r="F20" s="168" t="n"/>
      <c r="G20" s="169" t="n"/>
      <c r="H20" s="170">
        <f>IF(OR(F20="",G20=""),"",F20*G20)</f>
        <v/>
      </c>
      <c r="I20" s="171" t="n"/>
      <c r="J20" s="170">
        <f>IF(OR(H20="",E20="",P20=""),"",H20/(P20-E20+1))</f>
        <v/>
      </c>
      <c r="K20" s="165" t="n"/>
      <c r="L20" s="172">
        <f>IF(B20="","",IF(AF20&lt;=0,"Đã phân bổ",IF(P20&lt;=EDATE('Thiết lập'!$B$4,12),"Ngắn hạn","Dài hạn")))</f>
        <v/>
      </c>
      <c r="M20" s="165" t="n"/>
      <c r="N20" s="165" t="n"/>
      <c r="O20" s="165" t="n"/>
      <c r="P20" s="173">
        <f>IF(OR(E20="",I20=""),"",EDATE(E20,I20)-1)</f>
        <v/>
      </c>
      <c r="Q20" s="170">
        <f>IF(OR(B20="",E20="",P20=""),0,MIN(H20,MAX(0,MIN(P20,DATE('Thiết lập'!$B$3-1,12,31))-E20+1)*J20))</f>
        <v/>
      </c>
      <c r="R20" s="170">
        <f>IF(OR($B20="",R$4&gt;$P20,EOMONTH(R$4,0)&lt;$E20),0,MIN($H20,MAX(0,MIN(EOMONTH(R$4,0),$P20)-MAX(R$4,$E20)+1)*$J20))</f>
        <v/>
      </c>
      <c r="S20" s="170">
        <f>IF(OR($B20="",S$4&gt;$P20,EOMONTH(S$4,0)&lt;$E20),0,MIN($H20,MAX(0,MIN(EOMONTH(S$4,0),$P20)-MAX(S$4,$E20)+1)*$J20))</f>
        <v/>
      </c>
      <c r="T20" s="170">
        <f>IF(OR($B20="",T$4&gt;$P20,EOMONTH(T$4,0)&lt;$E20),0,MIN($H20,MAX(0,MIN(EOMONTH(T$4,0),$P20)-MAX(T$4,$E20)+1)*$J20))</f>
        <v/>
      </c>
      <c r="U20" s="170">
        <f>IF(OR($B20="",U$4&gt;$P20,EOMONTH(U$4,0)&lt;$E20),0,MIN($H20,MAX(0,MIN(EOMONTH(U$4,0),$P20)-MAX(U$4,$E20)+1)*$J20))</f>
        <v/>
      </c>
      <c r="V20" s="170">
        <f>IF(OR($B20="",V$4&gt;$P20,EOMONTH(V$4,0)&lt;$E20),0,MIN($H20,MAX(0,MIN(EOMONTH(V$4,0),$P20)-MAX(V$4,$E20)+1)*$J20))</f>
        <v/>
      </c>
      <c r="W20" s="170">
        <f>IF(OR($B20="",W$4&gt;$P20,EOMONTH(W$4,0)&lt;$E20),0,MIN($H20,MAX(0,MIN(EOMONTH(W$4,0),$P20)-MAX(W$4,$E20)+1)*$J20))</f>
        <v/>
      </c>
      <c r="X20" s="170">
        <f>IF(OR($B20="",X$4&gt;$P20,EOMONTH(X$4,0)&lt;$E20),0,MIN($H20,MAX(0,MIN(EOMONTH(X$4,0),$P20)-MAX(X$4,$E20)+1)*$J20))</f>
        <v/>
      </c>
      <c r="Y20" s="170">
        <f>IF(OR($B20="",Y$4&gt;$P20,EOMONTH(Y$4,0)&lt;$E20),0,MIN($H20,MAX(0,MIN(EOMONTH(Y$4,0),$P20)-MAX(Y$4,$E20)+1)*$J20))</f>
        <v/>
      </c>
      <c r="Z20" s="170">
        <f>IF(OR($B20="",Z$4&gt;$P20,EOMONTH(Z$4,0)&lt;$E20),0,MIN($H20,MAX(0,MIN(EOMONTH(Z$4,0),$P20)-MAX(Z$4,$E20)+1)*$J20))</f>
        <v/>
      </c>
      <c r="AA20" s="170">
        <f>IF(OR($B20="",AA$4&gt;$P20,EOMONTH(AA$4,0)&lt;$E20),0,MIN($H20,MAX(0,MIN(EOMONTH(AA$4,0),$P20)-MAX(AA$4,$E20)+1)*$J20))</f>
        <v/>
      </c>
      <c r="AB20" s="170">
        <f>IF(OR($B20="",AB$4&gt;$P20,EOMONTH(AB$4,0)&lt;$E20),0,MIN($H20,MAX(0,MIN(EOMONTH(AB$4,0),$P20)-MAX(AB$4,$E20)+1)*$J20))</f>
        <v/>
      </c>
      <c r="AC20" s="170">
        <f>IF(OR($B20="",AC$4&gt;$P20,EOMONTH(AC$4,0)&lt;$E20),0,MIN($H20,MAX(0,MIN(EOMONTH(AC$4,0),$P20)-MAX(AC$4,$E20)+1)*$J20))</f>
        <v/>
      </c>
      <c r="AD20" s="170">
        <f>IF(B20="","",ROUND(SUM(R20:AC20),0))</f>
        <v/>
      </c>
      <c r="AE20" s="170">
        <f>IF(B20="","",MIN(H20,ROUND(Q20+SUM(R20:AC20),0)))</f>
        <v/>
      </c>
      <c r="AF20" s="170">
        <f>IF(B20="","",MAX(H20-AE20,0))</f>
        <v/>
      </c>
      <c r="AG20" s="172">
        <f>IF(B20="","",IF('Thiết lập'!$B$4&lt;E20,"Chưa phân bổ",IF(P20&lt;='Thiết lập'!$B$4,"Đã phân bổ","Đang phân bổ")))</f>
        <v/>
      </c>
      <c r="AH20" s="166" t="n"/>
      <c r="AI20" s="174">
        <f>IF(B20="","",IF(AND(C20&lt;&gt;"",D20&lt;&gt;"",E20&lt;&gt;"",E20&gt;=D20,F20&gt;0,G20&gt;0,I20&gt;0,COUNTIF($B$7:$B$306,B20)=1),"OK",IF(C20="","Thiếu tên; ","")&amp;IF(D20="","Thiếu ngày tăng; ","")&amp;IF(E20="","Thiếu ngày bắt đầu; ","")&amp;IF(AND(D20&lt;&gt;"",E20&lt;&gt;"",E20&lt;D20),"Ngày bắt đầu &lt; ngày tăng; ","")&amp;IF(OR(F20="",F20&lt;=0),"Số lượng không hợp lệ; ","")&amp;IF(OR(G20="",G20&lt;=0),"Đơn giá không hợp lệ; ","")&amp;IF(OR(I20="",I20&lt;=0),"Số tháng không hợp lệ; ","")&amp;IF(COUNTIF($B$7:$B$306,B20)&gt;1,"Trùng mã CPTT; ","")))</f>
        <v/>
      </c>
    </row>
    <row r="21" ht="19.5" customHeight="1" s="98">
      <c r="A21" s="164">
        <f>IF(B21="","",ROW()-6)</f>
        <v/>
      </c>
      <c r="B21" s="165" t="n"/>
      <c r="C21" s="166" t="n"/>
      <c r="D21" s="167" t="n"/>
      <c r="E21" s="167" t="n"/>
      <c r="F21" s="168" t="n"/>
      <c r="G21" s="169" t="n"/>
      <c r="H21" s="170">
        <f>IF(OR(F21="",G21=""),"",F21*G21)</f>
        <v/>
      </c>
      <c r="I21" s="171" t="n"/>
      <c r="J21" s="170">
        <f>IF(OR(H21="",E21="",P21=""),"",H21/(P21-E21+1))</f>
        <v/>
      </c>
      <c r="K21" s="165" t="n"/>
      <c r="L21" s="172">
        <f>IF(B21="","",IF(AF21&lt;=0,"Đã phân bổ",IF(P21&lt;=EDATE('Thiết lập'!$B$4,12),"Ngắn hạn","Dài hạn")))</f>
        <v/>
      </c>
      <c r="M21" s="165" t="n"/>
      <c r="N21" s="165" t="n"/>
      <c r="O21" s="165" t="n"/>
      <c r="P21" s="173">
        <f>IF(OR(E21="",I21=""),"",EDATE(E21,I21)-1)</f>
        <v/>
      </c>
      <c r="Q21" s="170">
        <f>IF(OR(B21="",E21="",P21=""),0,MIN(H21,MAX(0,MIN(P21,DATE('Thiết lập'!$B$3-1,12,31))-E21+1)*J21))</f>
        <v/>
      </c>
      <c r="R21" s="170">
        <f>IF(OR($B21="",R$4&gt;$P21,EOMONTH(R$4,0)&lt;$E21),0,MIN($H21,MAX(0,MIN(EOMONTH(R$4,0),$P21)-MAX(R$4,$E21)+1)*$J21))</f>
        <v/>
      </c>
      <c r="S21" s="170">
        <f>IF(OR($B21="",S$4&gt;$P21,EOMONTH(S$4,0)&lt;$E21),0,MIN($H21,MAX(0,MIN(EOMONTH(S$4,0),$P21)-MAX(S$4,$E21)+1)*$J21))</f>
        <v/>
      </c>
      <c r="T21" s="170">
        <f>IF(OR($B21="",T$4&gt;$P21,EOMONTH(T$4,0)&lt;$E21),0,MIN($H21,MAX(0,MIN(EOMONTH(T$4,0),$P21)-MAX(T$4,$E21)+1)*$J21))</f>
        <v/>
      </c>
      <c r="U21" s="170">
        <f>IF(OR($B21="",U$4&gt;$P21,EOMONTH(U$4,0)&lt;$E21),0,MIN($H21,MAX(0,MIN(EOMONTH(U$4,0),$P21)-MAX(U$4,$E21)+1)*$J21))</f>
        <v/>
      </c>
      <c r="V21" s="170">
        <f>IF(OR($B21="",V$4&gt;$P21,EOMONTH(V$4,0)&lt;$E21),0,MIN($H21,MAX(0,MIN(EOMONTH(V$4,0),$P21)-MAX(V$4,$E21)+1)*$J21))</f>
        <v/>
      </c>
      <c r="W21" s="170">
        <f>IF(OR($B21="",W$4&gt;$P21,EOMONTH(W$4,0)&lt;$E21),0,MIN($H21,MAX(0,MIN(EOMONTH(W$4,0),$P21)-MAX(W$4,$E21)+1)*$J21))</f>
        <v/>
      </c>
      <c r="X21" s="170">
        <f>IF(OR($B21="",X$4&gt;$P21,EOMONTH(X$4,0)&lt;$E21),0,MIN($H21,MAX(0,MIN(EOMONTH(X$4,0),$P21)-MAX(X$4,$E21)+1)*$J21))</f>
        <v/>
      </c>
      <c r="Y21" s="170">
        <f>IF(OR($B21="",Y$4&gt;$P21,EOMONTH(Y$4,0)&lt;$E21),0,MIN($H21,MAX(0,MIN(EOMONTH(Y$4,0),$P21)-MAX(Y$4,$E21)+1)*$J21))</f>
        <v/>
      </c>
      <c r="Z21" s="170">
        <f>IF(OR($B21="",Z$4&gt;$P21,EOMONTH(Z$4,0)&lt;$E21),0,MIN($H21,MAX(0,MIN(EOMONTH(Z$4,0),$P21)-MAX(Z$4,$E21)+1)*$J21))</f>
        <v/>
      </c>
      <c r="AA21" s="170">
        <f>IF(OR($B21="",AA$4&gt;$P21,EOMONTH(AA$4,0)&lt;$E21),0,MIN($H21,MAX(0,MIN(EOMONTH(AA$4,0),$P21)-MAX(AA$4,$E21)+1)*$J21))</f>
        <v/>
      </c>
      <c r="AB21" s="170">
        <f>IF(OR($B21="",AB$4&gt;$P21,EOMONTH(AB$4,0)&lt;$E21),0,MIN($H21,MAX(0,MIN(EOMONTH(AB$4,0),$P21)-MAX(AB$4,$E21)+1)*$J21))</f>
        <v/>
      </c>
      <c r="AC21" s="170">
        <f>IF(OR($B21="",AC$4&gt;$P21,EOMONTH(AC$4,0)&lt;$E21),0,MIN($H21,MAX(0,MIN(EOMONTH(AC$4,0),$P21)-MAX(AC$4,$E21)+1)*$J21))</f>
        <v/>
      </c>
      <c r="AD21" s="170">
        <f>IF(B21="","",ROUND(SUM(R21:AC21),0))</f>
        <v/>
      </c>
      <c r="AE21" s="170">
        <f>IF(B21="","",MIN(H21,ROUND(Q21+SUM(R21:AC21),0)))</f>
        <v/>
      </c>
      <c r="AF21" s="170">
        <f>IF(B21="","",MAX(H21-AE21,0))</f>
        <v/>
      </c>
      <c r="AG21" s="172">
        <f>IF(B21="","",IF('Thiết lập'!$B$4&lt;E21,"Chưa phân bổ",IF(P21&lt;='Thiết lập'!$B$4,"Đã phân bổ","Đang phân bổ")))</f>
        <v/>
      </c>
      <c r="AH21" s="166" t="n"/>
      <c r="AI21" s="174">
        <f>IF(B21="","",IF(AND(C21&lt;&gt;"",D21&lt;&gt;"",E21&lt;&gt;"",E21&gt;=D21,F21&gt;0,G21&gt;0,I21&gt;0,COUNTIF($B$7:$B$306,B21)=1),"OK",IF(C21="","Thiếu tên; ","")&amp;IF(D21="","Thiếu ngày tăng; ","")&amp;IF(E21="","Thiếu ngày bắt đầu; ","")&amp;IF(AND(D21&lt;&gt;"",E21&lt;&gt;"",E21&lt;D21),"Ngày bắt đầu &lt; ngày tăng; ","")&amp;IF(OR(F21="",F21&lt;=0),"Số lượng không hợp lệ; ","")&amp;IF(OR(G21="",G21&lt;=0),"Đơn giá không hợp lệ; ","")&amp;IF(OR(I21="",I21&lt;=0),"Số tháng không hợp lệ; ","")&amp;IF(COUNTIF($B$7:$B$306,B21)&gt;1,"Trùng mã CPTT; ","")))</f>
        <v/>
      </c>
    </row>
    <row r="22" ht="19.5" customHeight="1" s="98">
      <c r="A22" s="164">
        <f>IF(B22="","",ROW()-6)</f>
        <v/>
      </c>
      <c r="B22" s="165" t="n"/>
      <c r="C22" s="166" t="n"/>
      <c r="D22" s="167" t="n"/>
      <c r="E22" s="167" t="n"/>
      <c r="F22" s="168" t="n"/>
      <c r="G22" s="169" t="n"/>
      <c r="H22" s="170">
        <f>IF(OR(F22="",G22=""),"",F22*G22)</f>
        <v/>
      </c>
      <c r="I22" s="171" t="n"/>
      <c r="J22" s="170">
        <f>IF(OR(H22="",E22="",P22=""),"",H22/(P22-E22+1))</f>
        <v/>
      </c>
      <c r="K22" s="165" t="n"/>
      <c r="L22" s="172">
        <f>IF(B22="","",IF(AF22&lt;=0,"Đã phân bổ",IF(P22&lt;=EDATE('Thiết lập'!$B$4,12),"Ngắn hạn","Dài hạn")))</f>
        <v/>
      </c>
      <c r="M22" s="165" t="n"/>
      <c r="N22" s="165" t="n"/>
      <c r="O22" s="165" t="n"/>
      <c r="P22" s="173">
        <f>IF(OR(E22="",I22=""),"",EDATE(E22,I22)-1)</f>
        <v/>
      </c>
      <c r="Q22" s="170">
        <f>IF(OR(B22="",E22="",P22=""),0,MIN(H22,MAX(0,MIN(P22,DATE('Thiết lập'!$B$3-1,12,31))-E22+1)*J22))</f>
        <v/>
      </c>
      <c r="R22" s="170">
        <f>IF(OR($B22="",R$4&gt;$P22,EOMONTH(R$4,0)&lt;$E22),0,MIN($H22,MAX(0,MIN(EOMONTH(R$4,0),$P22)-MAX(R$4,$E22)+1)*$J22))</f>
        <v/>
      </c>
      <c r="S22" s="170">
        <f>IF(OR($B22="",S$4&gt;$P22,EOMONTH(S$4,0)&lt;$E22),0,MIN($H22,MAX(0,MIN(EOMONTH(S$4,0),$P22)-MAX(S$4,$E22)+1)*$J22))</f>
        <v/>
      </c>
      <c r="T22" s="170">
        <f>IF(OR($B22="",T$4&gt;$P22,EOMONTH(T$4,0)&lt;$E22),0,MIN($H22,MAX(0,MIN(EOMONTH(T$4,0),$P22)-MAX(T$4,$E22)+1)*$J22))</f>
        <v/>
      </c>
      <c r="U22" s="170">
        <f>IF(OR($B22="",U$4&gt;$P22,EOMONTH(U$4,0)&lt;$E22),0,MIN($H22,MAX(0,MIN(EOMONTH(U$4,0),$P22)-MAX(U$4,$E22)+1)*$J22))</f>
        <v/>
      </c>
      <c r="V22" s="170">
        <f>IF(OR($B22="",V$4&gt;$P22,EOMONTH(V$4,0)&lt;$E22),0,MIN($H22,MAX(0,MIN(EOMONTH(V$4,0),$P22)-MAX(V$4,$E22)+1)*$J22))</f>
        <v/>
      </c>
      <c r="W22" s="170">
        <f>IF(OR($B22="",W$4&gt;$P22,EOMONTH(W$4,0)&lt;$E22),0,MIN($H22,MAX(0,MIN(EOMONTH(W$4,0),$P22)-MAX(W$4,$E22)+1)*$J22))</f>
        <v/>
      </c>
      <c r="X22" s="170">
        <f>IF(OR($B22="",X$4&gt;$P22,EOMONTH(X$4,0)&lt;$E22),0,MIN($H22,MAX(0,MIN(EOMONTH(X$4,0),$P22)-MAX(X$4,$E22)+1)*$J22))</f>
        <v/>
      </c>
      <c r="Y22" s="170">
        <f>IF(OR($B22="",Y$4&gt;$P22,EOMONTH(Y$4,0)&lt;$E22),0,MIN($H22,MAX(0,MIN(EOMONTH(Y$4,0),$P22)-MAX(Y$4,$E22)+1)*$J22))</f>
        <v/>
      </c>
      <c r="Z22" s="170">
        <f>IF(OR($B22="",Z$4&gt;$P22,EOMONTH(Z$4,0)&lt;$E22),0,MIN($H22,MAX(0,MIN(EOMONTH(Z$4,0),$P22)-MAX(Z$4,$E22)+1)*$J22))</f>
        <v/>
      </c>
      <c r="AA22" s="170">
        <f>IF(OR($B22="",AA$4&gt;$P22,EOMONTH(AA$4,0)&lt;$E22),0,MIN($H22,MAX(0,MIN(EOMONTH(AA$4,0),$P22)-MAX(AA$4,$E22)+1)*$J22))</f>
        <v/>
      </c>
      <c r="AB22" s="170">
        <f>IF(OR($B22="",AB$4&gt;$P22,EOMONTH(AB$4,0)&lt;$E22),0,MIN($H22,MAX(0,MIN(EOMONTH(AB$4,0),$P22)-MAX(AB$4,$E22)+1)*$J22))</f>
        <v/>
      </c>
      <c r="AC22" s="170">
        <f>IF(OR($B22="",AC$4&gt;$P22,EOMONTH(AC$4,0)&lt;$E22),0,MIN($H22,MAX(0,MIN(EOMONTH(AC$4,0),$P22)-MAX(AC$4,$E22)+1)*$J22))</f>
        <v/>
      </c>
      <c r="AD22" s="170">
        <f>IF(B22="","",ROUND(SUM(R22:AC22),0))</f>
        <v/>
      </c>
      <c r="AE22" s="170">
        <f>IF(B22="","",MIN(H22,ROUND(Q22+SUM(R22:AC22),0)))</f>
        <v/>
      </c>
      <c r="AF22" s="170">
        <f>IF(B22="","",MAX(H22-AE22,0))</f>
        <v/>
      </c>
      <c r="AG22" s="172">
        <f>IF(B22="","",IF('Thiết lập'!$B$4&lt;E22,"Chưa phân bổ",IF(P22&lt;='Thiết lập'!$B$4,"Đã phân bổ","Đang phân bổ")))</f>
        <v/>
      </c>
      <c r="AH22" s="166" t="n"/>
      <c r="AI22" s="174">
        <f>IF(B22="","",IF(AND(C22&lt;&gt;"",D22&lt;&gt;"",E22&lt;&gt;"",E22&gt;=D22,F22&gt;0,G22&gt;0,I22&gt;0,COUNTIF($B$7:$B$306,B22)=1),"OK",IF(C22="","Thiếu tên; ","")&amp;IF(D22="","Thiếu ngày tăng; ","")&amp;IF(E22="","Thiếu ngày bắt đầu; ","")&amp;IF(AND(D22&lt;&gt;"",E22&lt;&gt;"",E22&lt;D22),"Ngày bắt đầu &lt; ngày tăng; ","")&amp;IF(OR(F22="",F22&lt;=0),"Số lượng không hợp lệ; ","")&amp;IF(OR(G22="",G22&lt;=0),"Đơn giá không hợp lệ; ","")&amp;IF(OR(I22="",I22&lt;=0),"Số tháng không hợp lệ; ","")&amp;IF(COUNTIF($B$7:$B$306,B22)&gt;1,"Trùng mã CPTT; ","")))</f>
        <v/>
      </c>
    </row>
    <row r="23" ht="19.5" customHeight="1" s="98">
      <c r="A23" s="164">
        <f>IF(B23="","",ROW()-6)</f>
        <v/>
      </c>
      <c r="B23" s="165" t="n"/>
      <c r="C23" s="166" t="n"/>
      <c r="D23" s="167" t="n"/>
      <c r="E23" s="167" t="n"/>
      <c r="F23" s="168" t="n"/>
      <c r="G23" s="169" t="n"/>
      <c r="H23" s="170">
        <f>IF(OR(F23="",G23=""),"",F23*G23)</f>
        <v/>
      </c>
      <c r="I23" s="171" t="n"/>
      <c r="J23" s="170">
        <f>IF(OR(H23="",E23="",P23=""),"",H23/(P23-E23+1))</f>
        <v/>
      </c>
      <c r="K23" s="165" t="n"/>
      <c r="L23" s="172">
        <f>IF(B23="","",IF(AF23&lt;=0,"Đã phân bổ",IF(P23&lt;=EDATE('Thiết lập'!$B$4,12),"Ngắn hạn","Dài hạn")))</f>
        <v/>
      </c>
      <c r="M23" s="165" t="n"/>
      <c r="N23" s="165" t="n"/>
      <c r="O23" s="165" t="n"/>
      <c r="P23" s="173">
        <f>IF(OR(E23="",I23=""),"",EDATE(E23,I23)-1)</f>
        <v/>
      </c>
      <c r="Q23" s="170">
        <f>IF(OR(B23="",E23="",P23=""),0,MIN(H23,MAX(0,MIN(P23,DATE('Thiết lập'!$B$3-1,12,31))-E23+1)*J23))</f>
        <v/>
      </c>
      <c r="R23" s="170">
        <f>IF(OR($B23="",R$4&gt;$P23,EOMONTH(R$4,0)&lt;$E23),0,MIN($H23,MAX(0,MIN(EOMONTH(R$4,0),$P23)-MAX(R$4,$E23)+1)*$J23))</f>
        <v/>
      </c>
      <c r="S23" s="170">
        <f>IF(OR($B23="",S$4&gt;$P23,EOMONTH(S$4,0)&lt;$E23),0,MIN($H23,MAX(0,MIN(EOMONTH(S$4,0),$P23)-MAX(S$4,$E23)+1)*$J23))</f>
        <v/>
      </c>
      <c r="T23" s="170">
        <f>IF(OR($B23="",T$4&gt;$P23,EOMONTH(T$4,0)&lt;$E23),0,MIN($H23,MAX(0,MIN(EOMONTH(T$4,0),$P23)-MAX(T$4,$E23)+1)*$J23))</f>
        <v/>
      </c>
      <c r="U23" s="170">
        <f>IF(OR($B23="",U$4&gt;$P23,EOMONTH(U$4,0)&lt;$E23),0,MIN($H23,MAX(0,MIN(EOMONTH(U$4,0),$P23)-MAX(U$4,$E23)+1)*$J23))</f>
        <v/>
      </c>
      <c r="V23" s="170">
        <f>IF(OR($B23="",V$4&gt;$P23,EOMONTH(V$4,0)&lt;$E23),0,MIN($H23,MAX(0,MIN(EOMONTH(V$4,0),$P23)-MAX(V$4,$E23)+1)*$J23))</f>
        <v/>
      </c>
      <c r="W23" s="170">
        <f>IF(OR($B23="",W$4&gt;$P23,EOMONTH(W$4,0)&lt;$E23),0,MIN($H23,MAX(0,MIN(EOMONTH(W$4,0),$P23)-MAX(W$4,$E23)+1)*$J23))</f>
        <v/>
      </c>
      <c r="X23" s="170">
        <f>IF(OR($B23="",X$4&gt;$P23,EOMONTH(X$4,0)&lt;$E23),0,MIN($H23,MAX(0,MIN(EOMONTH(X$4,0),$P23)-MAX(X$4,$E23)+1)*$J23))</f>
        <v/>
      </c>
      <c r="Y23" s="170">
        <f>IF(OR($B23="",Y$4&gt;$P23,EOMONTH(Y$4,0)&lt;$E23),0,MIN($H23,MAX(0,MIN(EOMONTH(Y$4,0),$P23)-MAX(Y$4,$E23)+1)*$J23))</f>
        <v/>
      </c>
      <c r="Z23" s="170">
        <f>IF(OR($B23="",Z$4&gt;$P23,EOMONTH(Z$4,0)&lt;$E23),0,MIN($H23,MAX(0,MIN(EOMONTH(Z$4,0),$P23)-MAX(Z$4,$E23)+1)*$J23))</f>
        <v/>
      </c>
      <c r="AA23" s="170">
        <f>IF(OR($B23="",AA$4&gt;$P23,EOMONTH(AA$4,0)&lt;$E23),0,MIN($H23,MAX(0,MIN(EOMONTH(AA$4,0),$P23)-MAX(AA$4,$E23)+1)*$J23))</f>
        <v/>
      </c>
      <c r="AB23" s="170">
        <f>IF(OR($B23="",AB$4&gt;$P23,EOMONTH(AB$4,0)&lt;$E23),0,MIN($H23,MAX(0,MIN(EOMONTH(AB$4,0),$P23)-MAX(AB$4,$E23)+1)*$J23))</f>
        <v/>
      </c>
      <c r="AC23" s="170">
        <f>IF(OR($B23="",AC$4&gt;$P23,EOMONTH(AC$4,0)&lt;$E23),0,MIN($H23,MAX(0,MIN(EOMONTH(AC$4,0),$P23)-MAX(AC$4,$E23)+1)*$J23))</f>
        <v/>
      </c>
      <c r="AD23" s="170">
        <f>IF(B23="","",ROUND(SUM(R23:AC23),0))</f>
        <v/>
      </c>
      <c r="AE23" s="170">
        <f>IF(B23="","",MIN(H23,ROUND(Q23+SUM(R23:AC23),0)))</f>
        <v/>
      </c>
      <c r="AF23" s="170">
        <f>IF(B23="","",MAX(H23-AE23,0))</f>
        <v/>
      </c>
      <c r="AG23" s="172">
        <f>IF(B23="","",IF('Thiết lập'!$B$4&lt;E23,"Chưa phân bổ",IF(P23&lt;='Thiết lập'!$B$4,"Đã phân bổ","Đang phân bổ")))</f>
        <v/>
      </c>
      <c r="AH23" s="166" t="n"/>
      <c r="AI23" s="174">
        <f>IF(B23="","",IF(AND(C23&lt;&gt;"",D23&lt;&gt;"",E23&lt;&gt;"",E23&gt;=D23,F23&gt;0,G23&gt;0,I23&gt;0,COUNTIF($B$7:$B$306,B23)=1),"OK",IF(C23="","Thiếu tên; ","")&amp;IF(D23="","Thiếu ngày tăng; ","")&amp;IF(E23="","Thiếu ngày bắt đầu; ","")&amp;IF(AND(D23&lt;&gt;"",E23&lt;&gt;"",E23&lt;D23),"Ngày bắt đầu &lt; ngày tăng; ","")&amp;IF(OR(F23="",F23&lt;=0),"Số lượng không hợp lệ; ","")&amp;IF(OR(G23="",G23&lt;=0),"Đơn giá không hợp lệ; ","")&amp;IF(OR(I23="",I23&lt;=0),"Số tháng không hợp lệ; ","")&amp;IF(COUNTIF($B$7:$B$306,B23)&gt;1,"Trùng mã CPTT; ","")))</f>
        <v/>
      </c>
    </row>
    <row r="24" ht="19.5" customHeight="1" s="98">
      <c r="A24" s="164">
        <f>IF(B24="","",ROW()-6)</f>
        <v/>
      </c>
      <c r="B24" s="165" t="n"/>
      <c r="C24" s="166" t="n"/>
      <c r="D24" s="167" t="n"/>
      <c r="E24" s="167" t="n"/>
      <c r="F24" s="168" t="n"/>
      <c r="G24" s="169" t="n"/>
      <c r="H24" s="170">
        <f>IF(OR(F24="",G24=""),"",F24*G24)</f>
        <v/>
      </c>
      <c r="I24" s="171" t="n"/>
      <c r="J24" s="170">
        <f>IF(OR(H24="",E24="",P24=""),"",H24/(P24-E24+1))</f>
        <v/>
      </c>
      <c r="K24" s="165" t="n"/>
      <c r="L24" s="172">
        <f>IF(B24="","",IF(AF24&lt;=0,"Đã phân bổ",IF(P24&lt;=EDATE('Thiết lập'!$B$4,12),"Ngắn hạn","Dài hạn")))</f>
        <v/>
      </c>
      <c r="M24" s="165" t="n"/>
      <c r="N24" s="165" t="n"/>
      <c r="O24" s="165" t="n"/>
      <c r="P24" s="173">
        <f>IF(OR(E24="",I24=""),"",EDATE(E24,I24)-1)</f>
        <v/>
      </c>
      <c r="Q24" s="170">
        <f>IF(OR(B24="",E24="",P24=""),0,MIN(H24,MAX(0,MIN(P24,DATE('Thiết lập'!$B$3-1,12,31))-E24+1)*J24))</f>
        <v/>
      </c>
      <c r="R24" s="170">
        <f>IF(OR($B24="",R$4&gt;$P24,EOMONTH(R$4,0)&lt;$E24),0,MIN($H24,MAX(0,MIN(EOMONTH(R$4,0),$P24)-MAX(R$4,$E24)+1)*$J24))</f>
        <v/>
      </c>
      <c r="S24" s="170">
        <f>IF(OR($B24="",S$4&gt;$P24,EOMONTH(S$4,0)&lt;$E24),0,MIN($H24,MAX(0,MIN(EOMONTH(S$4,0),$P24)-MAX(S$4,$E24)+1)*$J24))</f>
        <v/>
      </c>
      <c r="T24" s="170">
        <f>IF(OR($B24="",T$4&gt;$P24,EOMONTH(T$4,0)&lt;$E24),0,MIN($H24,MAX(0,MIN(EOMONTH(T$4,0),$P24)-MAX(T$4,$E24)+1)*$J24))</f>
        <v/>
      </c>
      <c r="U24" s="170">
        <f>IF(OR($B24="",U$4&gt;$P24,EOMONTH(U$4,0)&lt;$E24),0,MIN($H24,MAX(0,MIN(EOMONTH(U$4,0),$P24)-MAX(U$4,$E24)+1)*$J24))</f>
        <v/>
      </c>
      <c r="V24" s="170">
        <f>IF(OR($B24="",V$4&gt;$P24,EOMONTH(V$4,0)&lt;$E24),0,MIN($H24,MAX(0,MIN(EOMONTH(V$4,0),$P24)-MAX(V$4,$E24)+1)*$J24))</f>
        <v/>
      </c>
      <c r="W24" s="170">
        <f>IF(OR($B24="",W$4&gt;$P24,EOMONTH(W$4,0)&lt;$E24),0,MIN($H24,MAX(0,MIN(EOMONTH(W$4,0),$P24)-MAX(W$4,$E24)+1)*$J24))</f>
        <v/>
      </c>
      <c r="X24" s="170">
        <f>IF(OR($B24="",X$4&gt;$P24,EOMONTH(X$4,0)&lt;$E24),0,MIN($H24,MAX(0,MIN(EOMONTH(X$4,0),$P24)-MAX(X$4,$E24)+1)*$J24))</f>
        <v/>
      </c>
      <c r="Y24" s="170">
        <f>IF(OR($B24="",Y$4&gt;$P24,EOMONTH(Y$4,0)&lt;$E24),0,MIN($H24,MAX(0,MIN(EOMONTH(Y$4,0),$P24)-MAX(Y$4,$E24)+1)*$J24))</f>
        <v/>
      </c>
      <c r="Z24" s="170">
        <f>IF(OR($B24="",Z$4&gt;$P24,EOMONTH(Z$4,0)&lt;$E24),0,MIN($H24,MAX(0,MIN(EOMONTH(Z$4,0),$P24)-MAX(Z$4,$E24)+1)*$J24))</f>
        <v/>
      </c>
      <c r="AA24" s="170">
        <f>IF(OR($B24="",AA$4&gt;$P24,EOMONTH(AA$4,0)&lt;$E24),0,MIN($H24,MAX(0,MIN(EOMONTH(AA$4,0),$P24)-MAX(AA$4,$E24)+1)*$J24))</f>
        <v/>
      </c>
      <c r="AB24" s="170">
        <f>IF(OR($B24="",AB$4&gt;$P24,EOMONTH(AB$4,0)&lt;$E24),0,MIN($H24,MAX(0,MIN(EOMONTH(AB$4,0),$P24)-MAX(AB$4,$E24)+1)*$J24))</f>
        <v/>
      </c>
      <c r="AC24" s="170">
        <f>IF(OR($B24="",AC$4&gt;$P24,EOMONTH(AC$4,0)&lt;$E24),0,MIN($H24,MAX(0,MIN(EOMONTH(AC$4,0),$P24)-MAX(AC$4,$E24)+1)*$J24))</f>
        <v/>
      </c>
      <c r="AD24" s="170">
        <f>IF(B24="","",ROUND(SUM(R24:AC24),0))</f>
        <v/>
      </c>
      <c r="AE24" s="170">
        <f>IF(B24="","",MIN(H24,ROUND(Q24+SUM(R24:AC24),0)))</f>
        <v/>
      </c>
      <c r="AF24" s="170">
        <f>IF(B24="","",MAX(H24-AE24,0))</f>
        <v/>
      </c>
      <c r="AG24" s="172">
        <f>IF(B24="","",IF('Thiết lập'!$B$4&lt;E24,"Chưa phân bổ",IF(P24&lt;='Thiết lập'!$B$4,"Đã phân bổ","Đang phân bổ")))</f>
        <v/>
      </c>
      <c r="AH24" s="166" t="n"/>
      <c r="AI24" s="174">
        <f>IF(B24="","",IF(AND(C24&lt;&gt;"",D24&lt;&gt;"",E24&lt;&gt;"",E24&gt;=D24,F24&gt;0,G24&gt;0,I24&gt;0,COUNTIF($B$7:$B$306,B24)=1),"OK",IF(C24="","Thiếu tên; ","")&amp;IF(D24="","Thiếu ngày tăng; ","")&amp;IF(E24="","Thiếu ngày bắt đầu; ","")&amp;IF(AND(D24&lt;&gt;"",E24&lt;&gt;"",E24&lt;D24),"Ngày bắt đầu &lt; ngày tăng; ","")&amp;IF(OR(F24="",F24&lt;=0),"Số lượng không hợp lệ; ","")&amp;IF(OR(G24="",G24&lt;=0),"Đơn giá không hợp lệ; ","")&amp;IF(OR(I24="",I24&lt;=0),"Số tháng không hợp lệ; ","")&amp;IF(COUNTIF($B$7:$B$306,B24)&gt;1,"Trùng mã CPTT; ","")))</f>
        <v/>
      </c>
    </row>
    <row r="25" ht="19.5" customHeight="1" s="98">
      <c r="A25" s="164">
        <f>IF(B25="","",ROW()-6)</f>
        <v/>
      </c>
      <c r="B25" s="165" t="n"/>
      <c r="C25" s="166" t="n"/>
      <c r="D25" s="167" t="n"/>
      <c r="E25" s="167" t="n"/>
      <c r="F25" s="168" t="n"/>
      <c r="G25" s="169" t="n"/>
      <c r="H25" s="170">
        <f>IF(OR(F25="",G25=""),"",F25*G25)</f>
        <v/>
      </c>
      <c r="I25" s="171" t="n"/>
      <c r="J25" s="170">
        <f>IF(OR(H25="",E25="",P25=""),"",H25/(P25-E25+1))</f>
        <v/>
      </c>
      <c r="K25" s="165" t="n"/>
      <c r="L25" s="172">
        <f>IF(B25="","",IF(AF25&lt;=0,"Đã phân bổ",IF(P25&lt;=EDATE('Thiết lập'!$B$4,12),"Ngắn hạn","Dài hạn")))</f>
        <v/>
      </c>
      <c r="M25" s="165" t="n"/>
      <c r="N25" s="165" t="n"/>
      <c r="O25" s="165" t="n"/>
      <c r="P25" s="173">
        <f>IF(OR(E25="",I25=""),"",EDATE(E25,I25)-1)</f>
        <v/>
      </c>
      <c r="Q25" s="170">
        <f>IF(OR(B25="",E25="",P25=""),0,MIN(H25,MAX(0,MIN(P25,DATE('Thiết lập'!$B$3-1,12,31))-E25+1)*J25))</f>
        <v/>
      </c>
      <c r="R25" s="170">
        <f>IF(OR($B25="",R$4&gt;$P25,EOMONTH(R$4,0)&lt;$E25),0,MIN($H25,MAX(0,MIN(EOMONTH(R$4,0),$P25)-MAX(R$4,$E25)+1)*$J25))</f>
        <v/>
      </c>
      <c r="S25" s="170">
        <f>IF(OR($B25="",S$4&gt;$P25,EOMONTH(S$4,0)&lt;$E25),0,MIN($H25,MAX(0,MIN(EOMONTH(S$4,0),$P25)-MAX(S$4,$E25)+1)*$J25))</f>
        <v/>
      </c>
      <c r="T25" s="170">
        <f>IF(OR($B25="",T$4&gt;$P25,EOMONTH(T$4,0)&lt;$E25),0,MIN($H25,MAX(0,MIN(EOMONTH(T$4,0),$P25)-MAX(T$4,$E25)+1)*$J25))</f>
        <v/>
      </c>
      <c r="U25" s="170">
        <f>IF(OR($B25="",U$4&gt;$P25,EOMONTH(U$4,0)&lt;$E25),0,MIN($H25,MAX(0,MIN(EOMONTH(U$4,0),$P25)-MAX(U$4,$E25)+1)*$J25))</f>
        <v/>
      </c>
      <c r="V25" s="170">
        <f>IF(OR($B25="",V$4&gt;$P25,EOMONTH(V$4,0)&lt;$E25),0,MIN($H25,MAX(0,MIN(EOMONTH(V$4,0),$P25)-MAX(V$4,$E25)+1)*$J25))</f>
        <v/>
      </c>
      <c r="W25" s="170">
        <f>IF(OR($B25="",W$4&gt;$P25,EOMONTH(W$4,0)&lt;$E25),0,MIN($H25,MAX(0,MIN(EOMONTH(W$4,0),$P25)-MAX(W$4,$E25)+1)*$J25))</f>
        <v/>
      </c>
      <c r="X25" s="170">
        <f>IF(OR($B25="",X$4&gt;$P25,EOMONTH(X$4,0)&lt;$E25),0,MIN($H25,MAX(0,MIN(EOMONTH(X$4,0),$P25)-MAX(X$4,$E25)+1)*$J25))</f>
        <v/>
      </c>
      <c r="Y25" s="170">
        <f>IF(OR($B25="",Y$4&gt;$P25,EOMONTH(Y$4,0)&lt;$E25),0,MIN($H25,MAX(0,MIN(EOMONTH(Y$4,0),$P25)-MAX(Y$4,$E25)+1)*$J25))</f>
        <v/>
      </c>
      <c r="Z25" s="170">
        <f>IF(OR($B25="",Z$4&gt;$P25,EOMONTH(Z$4,0)&lt;$E25),0,MIN($H25,MAX(0,MIN(EOMONTH(Z$4,0),$P25)-MAX(Z$4,$E25)+1)*$J25))</f>
        <v/>
      </c>
      <c r="AA25" s="170">
        <f>IF(OR($B25="",AA$4&gt;$P25,EOMONTH(AA$4,0)&lt;$E25),0,MIN($H25,MAX(0,MIN(EOMONTH(AA$4,0),$P25)-MAX(AA$4,$E25)+1)*$J25))</f>
        <v/>
      </c>
      <c r="AB25" s="170">
        <f>IF(OR($B25="",AB$4&gt;$P25,EOMONTH(AB$4,0)&lt;$E25),0,MIN($H25,MAX(0,MIN(EOMONTH(AB$4,0),$P25)-MAX(AB$4,$E25)+1)*$J25))</f>
        <v/>
      </c>
      <c r="AC25" s="170">
        <f>IF(OR($B25="",AC$4&gt;$P25,EOMONTH(AC$4,0)&lt;$E25),0,MIN($H25,MAX(0,MIN(EOMONTH(AC$4,0),$P25)-MAX(AC$4,$E25)+1)*$J25))</f>
        <v/>
      </c>
      <c r="AD25" s="170">
        <f>IF(B25="","",ROUND(SUM(R25:AC25),0))</f>
        <v/>
      </c>
      <c r="AE25" s="170">
        <f>IF(B25="","",MIN(H25,ROUND(Q25+SUM(R25:AC25),0)))</f>
        <v/>
      </c>
      <c r="AF25" s="170">
        <f>IF(B25="","",MAX(H25-AE25,0))</f>
        <v/>
      </c>
      <c r="AG25" s="172">
        <f>IF(B25="","",IF('Thiết lập'!$B$4&lt;E25,"Chưa phân bổ",IF(P25&lt;='Thiết lập'!$B$4,"Đã phân bổ","Đang phân bổ")))</f>
        <v/>
      </c>
      <c r="AH25" s="166" t="n"/>
      <c r="AI25" s="174">
        <f>IF(B25="","",IF(AND(C25&lt;&gt;"",D25&lt;&gt;"",E25&lt;&gt;"",E25&gt;=D25,F25&gt;0,G25&gt;0,I25&gt;0,COUNTIF($B$7:$B$306,B25)=1),"OK",IF(C25="","Thiếu tên; ","")&amp;IF(D25="","Thiếu ngày tăng; ","")&amp;IF(E25="","Thiếu ngày bắt đầu; ","")&amp;IF(AND(D25&lt;&gt;"",E25&lt;&gt;"",E25&lt;D25),"Ngày bắt đầu &lt; ngày tăng; ","")&amp;IF(OR(F25="",F25&lt;=0),"Số lượng không hợp lệ; ","")&amp;IF(OR(G25="",G25&lt;=0),"Đơn giá không hợp lệ; ","")&amp;IF(OR(I25="",I25&lt;=0),"Số tháng không hợp lệ; ","")&amp;IF(COUNTIF($B$7:$B$306,B25)&gt;1,"Trùng mã CPTT; ","")))</f>
        <v/>
      </c>
    </row>
    <row r="26" ht="19.5" customHeight="1" s="98">
      <c r="A26" s="164">
        <f>IF(B26="","",ROW()-6)</f>
        <v/>
      </c>
      <c r="B26" s="165" t="n"/>
      <c r="C26" s="166" t="n"/>
      <c r="D26" s="167" t="n"/>
      <c r="E26" s="167" t="n"/>
      <c r="F26" s="168" t="n"/>
      <c r="G26" s="169" t="n"/>
      <c r="H26" s="170">
        <f>IF(OR(F26="",G26=""),"",F26*G26)</f>
        <v/>
      </c>
      <c r="I26" s="171" t="n"/>
      <c r="J26" s="170">
        <f>IF(OR(H26="",E26="",P26=""),"",H26/(P26-E26+1))</f>
        <v/>
      </c>
      <c r="K26" s="165" t="n"/>
      <c r="L26" s="172">
        <f>IF(B26="","",IF(AF26&lt;=0,"Đã phân bổ",IF(P26&lt;=EDATE('Thiết lập'!$B$4,12),"Ngắn hạn","Dài hạn")))</f>
        <v/>
      </c>
      <c r="M26" s="165" t="n"/>
      <c r="N26" s="165" t="n"/>
      <c r="O26" s="165" t="n"/>
      <c r="P26" s="173">
        <f>IF(OR(E26="",I26=""),"",EDATE(E26,I26)-1)</f>
        <v/>
      </c>
      <c r="Q26" s="170">
        <f>IF(OR(B26="",E26="",P26=""),0,MIN(H26,MAX(0,MIN(P26,DATE('Thiết lập'!$B$3-1,12,31))-E26+1)*J26))</f>
        <v/>
      </c>
      <c r="R26" s="170">
        <f>IF(OR($B26="",R$4&gt;$P26,EOMONTH(R$4,0)&lt;$E26),0,MIN($H26,MAX(0,MIN(EOMONTH(R$4,0),$P26)-MAX(R$4,$E26)+1)*$J26))</f>
        <v/>
      </c>
      <c r="S26" s="170">
        <f>IF(OR($B26="",S$4&gt;$P26,EOMONTH(S$4,0)&lt;$E26),0,MIN($H26,MAX(0,MIN(EOMONTH(S$4,0),$P26)-MAX(S$4,$E26)+1)*$J26))</f>
        <v/>
      </c>
      <c r="T26" s="170">
        <f>IF(OR($B26="",T$4&gt;$P26,EOMONTH(T$4,0)&lt;$E26),0,MIN($H26,MAX(0,MIN(EOMONTH(T$4,0),$P26)-MAX(T$4,$E26)+1)*$J26))</f>
        <v/>
      </c>
      <c r="U26" s="170">
        <f>IF(OR($B26="",U$4&gt;$P26,EOMONTH(U$4,0)&lt;$E26),0,MIN($H26,MAX(0,MIN(EOMONTH(U$4,0),$P26)-MAX(U$4,$E26)+1)*$J26))</f>
        <v/>
      </c>
      <c r="V26" s="170">
        <f>IF(OR($B26="",V$4&gt;$P26,EOMONTH(V$4,0)&lt;$E26),0,MIN($H26,MAX(0,MIN(EOMONTH(V$4,0),$P26)-MAX(V$4,$E26)+1)*$J26))</f>
        <v/>
      </c>
      <c r="W26" s="170">
        <f>IF(OR($B26="",W$4&gt;$P26,EOMONTH(W$4,0)&lt;$E26),0,MIN($H26,MAX(0,MIN(EOMONTH(W$4,0),$P26)-MAX(W$4,$E26)+1)*$J26))</f>
        <v/>
      </c>
      <c r="X26" s="170">
        <f>IF(OR($B26="",X$4&gt;$P26,EOMONTH(X$4,0)&lt;$E26),0,MIN($H26,MAX(0,MIN(EOMONTH(X$4,0),$P26)-MAX(X$4,$E26)+1)*$J26))</f>
        <v/>
      </c>
      <c r="Y26" s="170">
        <f>IF(OR($B26="",Y$4&gt;$P26,EOMONTH(Y$4,0)&lt;$E26),0,MIN($H26,MAX(0,MIN(EOMONTH(Y$4,0),$P26)-MAX(Y$4,$E26)+1)*$J26))</f>
        <v/>
      </c>
      <c r="Z26" s="170">
        <f>IF(OR($B26="",Z$4&gt;$P26,EOMONTH(Z$4,0)&lt;$E26),0,MIN($H26,MAX(0,MIN(EOMONTH(Z$4,0),$P26)-MAX(Z$4,$E26)+1)*$J26))</f>
        <v/>
      </c>
      <c r="AA26" s="170">
        <f>IF(OR($B26="",AA$4&gt;$P26,EOMONTH(AA$4,0)&lt;$E26),0,MIN($H26,MAX(0,MIN(EOMONTH(AA$4,0),$P26)-MAX(AA$4,$E26)+1)*$J26))</f>
        <v/>
      </c>
      <c r="AB26" s="170">
        <f>IF(OR($B26="",AB$4&gt;$P26,EOMONTH(AB$4,0)&lt;$E26),0,MIN($H26,MAX(0,MIN(EOMONTH(AB$4,0),$P26)-MAX(AB$4,$E26)+1)*$J26))</f>
        <v/>
      </c>
      <c r="AC26" s="170">
        <f>IF(OR($B26="",AC$4&gt;$P26,EOMONTH(AC$4,0)&lt;$E26),0,MIN($H26,MAX(0,MIN(EOMONTH(AC$4,0),$P26)-MAX(AC$4,$E26)+1)*$J26))</f>
        <v/>
      </c>
      <c r="AD26" s="170">
        <f>IF(B26="","",ROUND(SUM(R26:AC26),0))</f>
        <v/>
      </c>
      <c r="AE26" s="170">
        <f>IF(B26="","",MIN(H26,ROUND(Q26+SUM(R26:AC26),0)))</f>
        <v/>
      </c>
      <c r="AF26" s="170">
        <f>IF(B26="","",MAX(H26-AE26,0))</f>
        <v/>
      </c>
      <c r="AG26" s="172">
        <f>IF(B26="","",IF('Thiết lập'!$B$4&lt;E26,"Chưa phân bổ",IF(P26&lt;='Thiết lập'!$B$4,"Đã phân bổ","Đang phân bổ")))</f>
        <v/>
      </c>
      <c r="AH26" s="166" t="n"/>
      <c r="AI26" s="174">
        <f>IF(B26="","",IF(AND(C26&lt;&gt;"",D26&lt;&gt;"",E26&lt;&gt;"",E26&gt;=D26,F26&gt;0,G26&gt;0,I26&gt;0,COUNTIF($B$7:$B$306,B26)=1),"OK",IF(C26="","Thiếu tên; ","")&amp;IF(D26="","Thiếu ngày tăng; ","")&amp;IF(E26="","Thiếu ngày bắt đầu; ","")&amp;IF(AND(D26&lt;&gt;"",E26&lt;&gt;"",E26&lt;D26),"Ngày bắt đầu &lt; ngày tăng; ","")&amp;IF(OR(F26="",F26&lt;=0),"Số lượng không hợp lệ; ","")&amp;IF(OR(G26="",G26&lt;=0),"Đơn giá không hợp lệ; ","")&amp;IF(OR(I26="",I26&lt;=0),"Số tháng không hợp lệ; ","")&amp;IF(COUNTIF($B$7:$B$306,B26)&gt;1,"Trùng mã CPTT; ","")))</f>
        <v/>
      </c>
    </row>
    <row r="27" ht="19.5" customHeight="1" s="98">
      <c r="A27" s="164">
        <f>IF(B27="","",ROW()-6)</f>
        <v/>
      </c>
      <c r="B27" s="165" t="n"/>
      <c r="C27" s="166" t="n"/>
      <c r="D27" s="167" t="n"/>
      <c r="E27" s="167" t="n"/>
      <c r="F27" s="168" t="n"/>
      <c r="G27" s="169" t="n"/>
      <c r="H27" s="170">
        <f>IF(OR(F27="",G27=""),"",F27*G27)</f>
        <v/>
      </c>
      <c r="I27" s="171" t="n"/>
      <c r="J27" s="170">
        <f>IF(OR(H27="",E27="",P27=""),"",H27/(P27-E27+1))</f>
        <v/>
      </c>
      <c r="K27" s="165" t="n"/>
      <c r="L27" s="172">
        <f>IF(B27="","",IF(AF27&lt;=0,"Đã phân bổ",IF(P27&lt;=EDATE('Thiết lập'!$B$4,12),"Ngắn hạn","Dài hạn")))</f>
        <v/>
      </c>
      <c r="M27" s="165" t="n"/>
      <c r="N27" s="165" t="n"/>
      <c r="O27" s="165" t="n"/>
      <c r="P27" s="173">
        <f>IF(OR(E27="",I27=""),"",EDATE(E27,I27)-1)</f>
        <v/>
      </c>
      <c r="Q27" s="170">
        <f>IF(OR(B27="",E27="",P27=""),0,MIN(H27,MAX(0,MIN(P27,DATE('Thiết lập'!$B$3-1,12,31))-E27+1)*J27))</f>
        <v/>
      </c>
      <c r="R27" s="170">
        <f>IF(OR($B27="",R$4&gt;$P27,EOMONTH(R$4,0)&lt;$E27),0,MIN($H27,MAX(0,MIN(EOMONTH(R$4,0),$P27)-MAX(R$4,$E27)+1)*$J27))</f>
        <v/>
      </c>
      <c r="S27" s="170">
        <f>IF(OR($B27="",S$4&gt;$P27,EOMONTH(S$4,0)&lt;$E27),0,MIN($H27,MAX(0,MIN(EOMONTH(S$4,0),$P27)-MAX(S$4,$E27)+1)*$J27))</f>
        <v/>
      </c>
      <c r="T27" s="170">
        <f>IF(OR($B27="",T$4&gt;$P27,EOMONTH(T$4,0)&lt;$E27),0,MIN($H27,MAX(0,MIN(EOMONTH(T$4,0),$P27)-MAX(T$4,$E27)+1)*$J27))</f>
        <v/>
      </c>
      <c r="U27" s="170">
        <f>IF(OR($B27="",U$4&gt;$P27,EOMONTH(U$4,0)&lt;$E27),0,MIN($H27,MAX(0,MIN(EOMONTH(U$4,0),$P27)-MAX(U$4,$E27)+1)*$J27))</f>
        <v/>
      </c>
      <c r="V27" s="170">
        <f>IF(OR($B27="",V$4&gt;$P27,EOMONTH(V$4,0)&lt;$E27),0,MIN($H27,MAX(0,MIN(EOMONTH(V$4,0),$P27)-MAX(V$4,$E27)+1)*$J27))</f>
        <v/>
      </c>
      <c r="W27" s="170">
        <f>IF(OR($B27="",W$4&gt;$P27,EOMONTH(W$4,0)&lt;$E27),0,MIN($H27,MAX(0,MIN(EOMONTH(W$4,0),$P27)-MAX(W$4,$E27)+1)*$J27))</f>
        <v/>
      </c>
      <c r="X27" s="170">
        <f>IF(OR($B27="",X$4&gt;$P27,EOMONTH(X$4,0)&lt;$E27),0,MIN($H27,MAX(0,MIN(EOMONTH(X$4,0),$P27)-MAX(X$4,$E27)+1)*$J27))</f>
        <v/>
      </c>
      <c r="Y27" s="170">
        <f>IF(OR($B27="",Y$4&gt;$P27,EOMONTH(Y$4,0)&lt;$E27),0,MIN($H27,MAX(0,MIN(EOMONTH(Y$4,0),$P27)-MAX(Y$4,$E27)+1)*$J27))</f>
        <v/>
      </c>
      <c r="Z27" s="170">
        <f>IF(OR($B27="",Z$4&gt;$P27,EOMONTH(Z$4,0)&lt;$E27),0,MIN($H27,MAX(0,MIN(EOMONTH(Z$4,0),$P27)-MAX(Z$4,$E27)+1)*$J27))</f>
        <v/>
      </c>
      <c r="AA27" s="170">
        <f>IF(OR($B27="",AA$4&gt;$P27,EOMONTH(AA$4,0)&lt;$E27),0,MIN($H27,MAX(0,MIN(EOMONTH(AA$4,0),$P27)-MAX(AA$4,$E27)+1)*$J27))</f>
        <v/>
      </c>
      <c r="AB27" s="170">
        <f>IF(OR($B27="",AB$4&gt;$P27,EOMONTH(AB$4,0)&lt;$E27),0,MIN($H27,MAX(0,MIN(EOMONTH(AB$4,0),$P27)-MAX(AB$4,$E27)+1)*$J27))</f>
        <v/>
      </c>
      <c r="AC27" s="170">
        <f>IF(OR($B27="",AC$4&gt;$P27,EOMONTH(AC$4,0)&lt;$E27),0,MIN($H27,MAX(0,MIN(EOMONTH(AC$4,0),$P27)-MAX(AC$4,$E27)+1)*$J27))</f>
        <v/>
      </c>
      <c r="AD27" s="170">
        <f>IF(B27="","",ROUND(SUM(R27:AC27),0))</f>
        <v/>
      </c>
      <c r="AE27" s="170">
        <f>IF(B27="","",MIN(H27,ROUND(Q27+SUM(R27:AC27),0)))</f>
        <v/>
      </c>
      <c r="AF27" s="170">
        <f>IF(B27="","",MAX(H27-AE27,0))</f>
        <v/>
      </c>
      <c r="AG27" s="172">
        <f>IF(B27="","",IF('Thiết lập'!$B$4&lt;E27,"Chưa phân bổ",IF(P27&lt;='Thiết lập'!$B$4,"Đã phân bổ","Đang phân bổ")))</f>
        <v/>
      </c>
      <c r="AH27" s="166" t="n"/>
      <c r="AI27" s="174">
        <f>IF(B27="","",IF(AND(C27&lt;&gt;"",D27&lt;&gt;"",E27&lt;&gt;"",E27&gt;=D27,F27&gt;0,G27&gt;0,I27&gt;0,COUNTIF($B$7:$B$306,B27)=1),"OK",IF(C27="","Thiếu tên; ","")&amp;IF(D27="","Thiếu ngày tăng; ","")&amp;IF(E27="","Thiếu ngày bắt đầu; ","")&amp;IF(AND(D27&lt;&gt;"",E27&lt;&gt;"",E27&lt;D27),"Ngày bắt đầu &lt; ngày tăng; ","")&amp;IF(OR(F27="",F27&lt;=0),"Số lượng không hợp lệ; ","")&amp;IF(OR(G27="",G27&lt;=0),"Đơn giá không hợp lệ; ","")&amp;IF(OR(I27="",I27&lt;=0),"Số tháng không hợp lệ; ","")&amp;IF(COUNTIF($B$7:$B$306,B27)&gt;1,"Trùng mã CPTT; ","")))</f>
        <v/>
      </c>
    </row>
    <row r="28" ht="19.5" customHeight="1" s="98">
      <c r="A28" s="164">
        <f>IF(B28="","",ROW()-6)</f>
        <v/>
      </c>
      <c r="B28" s="165" t="n"/>
      <c r="C28" s="166" t="n"/>
      <c r="D28" s="167" t="n"/>
      <c r="E28" s="167" t="n"/>
      <c r="F28" s="168" t="n"/>
      <c r="G28" s="169" t="n"/>
      <c r="H28" s="170">
        <f>IF(OR(F28="",G28=""),"",F28*G28)</f>
        <v/>
      </c>
      <c r="I28" s="171" t="n"/>
      <c r="J28" s="170">
        <f>IF(OR(H28="",E28="",P28=""),"",H28/(P28-E28+1))</f>
        <v/>
      </c>
      <c r="K28" s="165" t="n"/>
      <c r="L28" s="172">
        <f>IF(B28="","",IF(AF28&lt;=0,"Đã phân bổ",IF(P28&lt;=EDATE('Thiết lập'!$B$4,12),"Ngắn hạn","Dài hạn")))</f>
        <v/>
      </c>
      <c r="M28" s="165" t="n"/>
      <c r="N28" s="165" t="n"/>
      <c r="O28" s="165" t="n"/>
      <c r="P28" s="173">
        <f>IF(OR(E28="",I28=""),"",EDATE(E28,I28)-1)</f>
        <v/>
      </c>
      <c r="Q28" s="170">
        <f>IF(OR(B28="",E28="",P28=""),0,MIN(H28,MAX(0,MIN(P28,DATE('Thiết lập'!$B$3-1,12,31))-E28+1)*J28))</f>
        <v/>
      </c>
      <c r="R28" s="170">
        <f>IF(OR($B28="",R$4&gt;$P28,EOMONTH(R$4,0)&lt;$E28),0,MIN($H28,MAX(0,MIN(EOMONTH(R$4,0),$P28)-MAX(R$4,$E28)+1)*$J28))</f>
        <v/>
      </c>
      <c r="S28" s="170">
        <f>IF(OR($B28="",S$4&gt;$P28,EOMONTH(S$4,0)&lt;$E28),0,MIN($H28,MAX(0,MIN(EOMONTH(S$4,0),$P28)-MAX(S$4,$E28)+1)*$J28))</f>
        <v/>
      </c>
      <c r="T28" s="170">
        <f>IF(OR($B28="",T$4&gt;$P28,EOMONTH(T$4,0)&lt;$E28),0,MIN($H28,MAX(0,MIN(EOMONTH(T$4,0),$P28)-MAX(T$4,$E28)+1)*$J28))</f>
        <v/>
      </c>
      <c r="U28" s="170">
        <f>IF(OR($B28="",U$4&gt;$P28,EOMONTH(U$4,0)&lt;$E28),0,MIN($H28,MAX(0,MIN(EOMONTH(U$4,0),$P28)-MAX(U$4,$E28)+1)*$J28))</f>
        <v/>
      </c>
      <c r="V28" s="170">
        <f>IF(OR($B28="",V$4&gt;$P28,EOMONTH(V$4,0)&lt;$E28),0,MIN($H28,MAX(0,MIN(EOMONTH(V$4,0),$P28)-MAX(V$4,$E28)+1)*$J28))</f>
        <v/>
      </c>
      <c r="W28" s="170">
        <f>IF(OR($B28="",W$4&gt;$P28,EOMONTH(W$4,0)&lt;$E28),0,MIN($H28,MAX(0,MIN(EOMONTH(W$4,0),$P28)-MAX(W$4,$E28)+1)*$J28))</f>
        <v/>
      </c>
      <c r="X28" s="170">
        <f>IF(OR($B28="",X$4&gt;$P28,EOMONTH(X$4,0)&lt;$E28),0,MIN($H28,MAX(0,MIN(EOMONTH(X$4,0),$P28)-MAX(X$4,$E28)+1)*$J28))</f>
        <v/>
      </c>
      <c r="Y28" s="170">
        <f>IF(OR($B28="",Y$4&gt;$P28,EOMONTH(Y$4,0)&lt;$E28),0,MIN($H28,MAX(0,MIN(EOMONTH(Y$4,0),$P28)-MAX(Y$4,$E28)+1)*$J28))</f>
        <v/>
      </c>
      <c r="Z28" s="170">
        <f>IF(OR($B28="",Z$4&gt;$P28,EOMONTH(Z$4,0)&lt;$E28),0,MIN($H28,MAX(0,MIN(EOMONTH(Z$4,0),$P28)-MAX(Z$4,$E28)+1)*$J28))</f>
        <v/>
      </c>
      <c r="AA28" s="170">
        <f>IF(OR($B28="",AA$4&gt;$P28,EOMONTH(AA$4,0)&lt;$E28),0,MIN($H28,MAX(0,MIN(EOMONTH(AA$4,0),$P28)-MAX(AA$4,$E28)+1)*$J28))</f>
        <v/>
      </c>
      <c r="AB28" s="170">
        <f>IF(OR($B28="",AB$4&gt;$P28,EOMONTH(AB$4,0)&lt;$E28),0,MIN($H28,MAX(0,MIN(EOMONTH(AB$4,0),$P28)-MAX(AB$4,$E28)+1)*$J28))</f>
        <v/>
      </c>
      <c r="AC28" s="170">
        <f>IF(OR($B28="",AC$4&gt;$P28,EOMONTH(AC$4,0)&lt;$E28),0,MIN($H28,MAX(0,MIN(EOMONTH(AC$4,0),$P28)-MAX(AC$4,$E28)+1)*$J28))</f>
        <v/>
      </c>
      <c r="AD28" s="170">
        <f>IF(B28="","",ROUND(SUM(R28:AC28),0))</f>
        <v/>
      </c>
      <c r="AE28" s="170">
        <f>IF(B28="","",MIN(H28,ROUND(Q28+SUM(R28:AC28),0)))</f>
        <v/>
      </c>
      <c r="AF28" s="170">
        <f>IF(B28="","",MAX(H28-AE28,0))</f>
        <v/>
      </c>
      <c r="AG28" s="172">
        <f>IF(B28="","",IF('Thiết lập'!$B$4&lt;E28,"Chưa phân bổ",IF(P28&lt;='Thiết lập'!$B$4,"Đã phân bổ","Đang phân bổ")))</f>
        <v/>
      </c>
      <c r="AH28" s="166" t="n"/>
      <c r="AI28" s="174">
        <f>IF(B28="","",IF(AND(C28&lt;&gt;"",D28&lt;&gt;"",E28&lt;&gt;"",E28&gt;=D28,F28&gt;0,G28&gt;0,I28&gt;0,COUNTIF($B$7:$B$306,B28)=1),"OK",IF(C28="","Thiếu tên; ","")&amp;IF(D28="","Thiếu ngày tăng; ","")&amp;IF(E28="","Thiếu ngày bắt đầu; ","")&amp;IF(AND(D28&lt;&gt;"",E28&lt;&gt;"",E28&lt;D28),"Ngày bắt đầu &lt; ngày tăng; ","")&amp;IF(OR(F28="",F28&lt;=0),"Số lượng không hợp lệ; ","")&amp;IF(OR(G28="",G28&lt;=0),"Đơn giá không hợp lệ; ","")&amp;IF(OR(I28="",I28&lt;=0),"Số tháng không hợp lệ; ","")&amp;IF(COUNTIF($B$7:$B$306,B28)&gt;1,"Trùng mã CPTT; ","")))</f>
        <v/>
      </c>
    </row>
    <row r="29" ht="19.5" customHeight="1" s="98">
      <c r="A29" s="164">
        <f>IF(B29="","",ROW()-6)</f>
        <v/>
      </c>
      <c r="B29" s="165" t="n"/>
      <c r="C29" s="166" t="n"/>
      <c r="D29" s="167" t="n"/>
      <c r="E29" s="167" t="n"/>
      <c r="F29" s="168" t="n"/>
      <c r="G29" s="169" t="n"/>
      <c r="H29" s="170">
        <f>IF(OR(F29="",G29=""),"",F29*G29)</f>
        <v/>
      </c>
      <c r="I29" s="171" t="n"/>
      <c r="J29" s="170">
        <f>IF(OR(H29="",E29="",P29=""),"",H29/(P29-E29+1))</f>
        <v/>
      </c>
      <c r="K29" s="165" t="n"/>
      <c r="L29" s="172">
        <f>IF(B29="","",IF(AF29&lt;=0,"Đã phân bổ",IF(P29&lt;=EDATE('Thiết lập'!$B$4,12),"Ngắn hạn","Dài hạn")))</f>
        <v/>
      </c>
      <c r="M29" s="165" t="n"/>
      <c r="N29" s="165" t="n"/>
      <c r="O29" s="165" t="n"/>
      <c r="P29" s="173">
        <f>IF(OR(E29="",I29=""),"",EDATE(E29,I29)-1)</f>
        <v/>
      </c>
      <c r="Q29" s="170">
        <f>IF(OR(B29="",E29="",P29=""),0,MIN(H29,MAX(0,MIN(P29,DATE('Thiết lập'!$B$3-1,12,31))-E29+1)*J29))</f>
        <v/>
      </c>
      <c r="R29" s="170">
        <f>IF(OR($B29="",R$4&gt;$P29,EOMONTH(R$4,0)&lt;$E29),0,MIN($H29,MAX(0,MIN(EOMONTH(R$4,0),$P29)-MAX(R$4,$E29)+1)*$J29))</f>
        <v/>
      </c>
      <c r="S29" s="170">
        <f>IF(OR($B29="",S$4&gt;$P29,EOMONTH(S$4,0)&lt;$E29),0,MIN($H29,MAX(0,MIN(EOMONTH(S$4,0),$P29)-MAX(S$4,$E29)+1)*$J29))</f>
        <v/>
      </c>
      <c r="T29" s="170">
        <f>IF(OR($B29="",T$4&gt;$P29,EOMONTH(T$4,0)&lt;$E29),0,MIN($H29,MAX(0,MIN(EOMONTH(T$4,0),$P29)-MAX(T$4,$E29)+1)*$J29))</f>
        <v/>
      </c>
      <c r="U29" s="170">
        <f>IF(OR($B29="",U$4&gt;$P29,EOMONTH(U$4,0)&lt;$E29),0,MIN($H29,MAX(0,MIN(EOMONTH(U$4,0),$P29)-MAX(U$4,$E29)+1)*$J29))</f>
        <v/>
      </c>
      <c r="V29" s="170">
        <f>IF(OR($B29="",V$4&gt;$P29,EOMONTH(V$4,0)&lt;$E29),0,MIN($H29,MAX(0,MIN(EOMONTH(V$4,0),$P29)-MAX(V$4,$E29)+1)*$J29))</f>
        <v/>
      </c>
      <c r="W29" s="170">
        <f>IF(OR($B29="",W$4&gt;$P29,EOMONTH(W$4,0)&lt;$E29),0,MIN($H29,MAX(0,MIN(EOMONTH(W$4,0),$P29)-MAX(W$4,$E29)+1)*$J29))</f>
        <v/>
      </c>
      <c r="X29" s="170">
        <f>IF(OR($B29="",X$4&gt;$P29,EOMONTH(X$4,0)&lt;$E29),0,MIN($H29,MAX(0,MIN(EOMONTH(X$4,0),$P29)-MAX(X$4,$E29)+1)*$J29))</f>
        <v/>
      </c>
      <c r="Y29" s="170">
        <f>IF(OR($B29="",Y$4&gt;$P29,EOMONTH(Y$4,0)&lt;$E29),0,MIN($H29,MAX(0,MIN(EOMONTH(Y$4,0),$P29)-MAX(Y$4,$E29)+1)*$J29))</f>
        <v/>
      </c>
      <c r="Z29" s="170">
        <f>IF(OR($B29="",Z$4&gt;$P29,EOMONTH(Z$4,0)&lt;$E29),0,MIN($H29,MAX(0,MIN(EOMONTH(Z$4,0),$P29)-MAX(Z$4,$E29)+1)*$J29))</f>
        <v/>
      </c>
      <c r="AA29" s="170">
        <f>IF(OR($B29="",AA$4&gt;$P29,EOMONTH(AA$4,0)&lt;$E29),0,MIN($H29,MAX(0,MIN(EOMONTH(AA$4,0),$P29)-MAX(AA$4,$E29)+1)*$J29))</f>
        <v/>
      </c>
      <c r="AB29" s="170">
        <f>IF(OR($B29="",AB$4&gt;$P29,EOMONTH(AB$4,0)&lt;$E29),0,MIN($H29,MAX(0,MIN(EOMONTH(AB$4,0),$P29)-MAX(AB$4,$E29)+1)*$J29))</f>
        <v/>
      </c>
      <c r="AC29" s="170">
        <f>IF(OR($B29="",AC$4&gt;$P29,EOMONTH(AC$4,0)&lt;$E29),0,MIN($H29,MAX(0,MIN(EOMONTH(AC$4,0),$P29)-MAX(AC$4,$E29)+1)*$J29))</f>
        <v/>
      </c>
      <c r="AD29" s="170">
        <f>IF(B29="","",ROUND(SUM(R29:AC29),0))</f>
        <v/>
      </c>
      <c r="AE29" s="170">
        <f>IF(B29="","",MIN(H29,ROUND(Q29+SUM(R29:AC29),0)))</f>
        <v/>
      </c>
      <c r="AF29" s="170">
        <f>IF(B29="","",MAX(H29-AE29,0))</f>
        <v/>
      </c>
      <c r="AG29" s="172">
        <f>IF(B29="","",IF('Thiết lập'!$B$4&lt;E29,"Chưa phân bổ",IF(P29&lt;='Thiết lập'!$B$4,"Đã phân bổ","Đang phân bổ")))</f>
        <v/>
      </c>
      <c r="AH29" s="166" t="n"/>
      <c r="AI29" s="174">
        <f>IF(B29="","",IF(AND(C29&lt;&gt;"",D29&lt;&gt;"",E29&lt;&gt;"",E29&gt;=D29,F29&gt;0,G29&gt;0,I29&gt;0,COUNTIF($B$7:$B$306,B29)=1),"OK",IF(C29="","Thiếu tên; ","")&amp;IF(D29="","Thiếu ngày tăng; ","")&amp;IF(E29="","Thiếu ngày bắt đầu; ","")&amp;IF(AND(D29&lt;&gt;"",E29&lt;&gt;"",E29&lt;D29),"Ngày bắt đầu &lt; ngày tăng; ","")&amp;IF(OR(F29="",F29&lt;=0),"Số lượng không hợp lệ; ","")&amp;IF(OR(G29="",G29&lt;=0),"Đơn giá không hợp lệ; ","")&amp;IF(OR(I29="",I29&lt;=0),"Số tháng không hợp lệ; ","")&amp;IF(COUNTIF($B$7:$B$306,B29)&gt;1,"Trùng mã CPTT; ","")))</f>
        <v/>
      </c>
    </row>
    <row r="30" ht="19.5" customHeight="1" s="98">
      <c r="A30" s="164">
        <f>IF(B30="","",ROW()-6)</f>
        <v/>
      </c>
      <c r="B30" s="165" t="n"/>
      <c r="C30" s="166" t="n"/>
      <c r="D30" s="167" t="n"/>
      <c r="E30" s="167" t="n"/>
      <c r="F30" s="168" t="n"/>
      <c r="G30" s="169" t="n"/>
      <c r="H30" s="170">
        <f>IF(OR(F30="",G30=""),"",F30*G30)</f>
        <v/>
      </c>
      <c r="I30" s="171" t="n"/>
      <c r="J30" s="170">
        <f>IF(OR(H30="",E30="",P30=""),"",H30/(P30-E30+1))</f>
        <v/>
      </c>
      <c r="K30" s="165" t="n"/>
      <c r="L30" s="172">
        <f>IF(B30="","",IF(AF30&lt;=0,"Đã phân bổ",IF(P30&lt;=EDATE('Thiết lập'!$B$4,12),"Ngắn hạn","Dài hạn")))</f>
        <v/>
      </c>
      <c r="M30" s="165" t="n"/>
      <c r="N30" s="165" t="n"/>
      <c r="O30" s="165" t="n"/>
      <c r="P30" s="173">
        <f>IF(OR(E30="",I30=""),"",EDATE(E30,I30)-1)</f>
        <v/>
      </c>
      <c r="Q30" s="170">
        <f>IF(OR(B30="",E30="",P30=""),0,MIN(H30,MAX(0,MIN(P30,DATE('Thiết lập'!$B$3-1,12,31))-E30+1)*J30))</f>
        <v/>
      </c>
      <c r="R30" s="170">
        <f>IF(OR($B30="",R$4&gt;$P30,EOMONTH(R$4,0)&lt;$E30),0,MIN($H30,MAX(0,MIN(EOMONTH(R$4,0),$P30)-MAX(R$4,$E30)+1)*$J30))</f>
        <v/>
      </c>
      <c r="S30" s="170">
        <f>IF(OR($B30="",S$4&gt;$P30,EOMONTH(S$4,0)&lt;$E30),0,MIN($H30,MAX(0,MIN(EOMONTH(S$4,0),$P30)-MAX(S$4,$E30)+1)*$J30))</f>
        <v/>
      </c>
      <c r="T30" s="170">
        <f>IF(OR($B30="",T$4&gt;$P30,EOMONTH(T$4,0)&lt;$E30),0,MIN($H30,MAX(0,MIN(EOMONTH(T$4,0),$P30)-MAX(T$4,$E30)+1)*$J30))</f>
        <v/>
      </c>
      <c r="U30" s="170">
        <f>IF(OR($B30="",U$4&gt;$P30,EOMONTH(U$4,0)&lt;$E30),0,MIN($H30,MAX(0,MIN(EOMONTH(U$4,0),$P30)-MAX(U$4,$E30)+1)*$J30))</f>
        <v/>
      </c>
      <c r="V30" s="170">
        <f>IF(OR($B30="",V$4&gt;$P30,EOMONTH(V$4,0)&lt;$E30),0,MIN($H30,MAX(0,MIN(EOMONTH(V$4,0),$P30)-MAX(V$4,$E30)+1)*$J30))</f>
        <v/>
      </c>
      <c r="W30" s="170">
        <f>IF(OR($B30="",W$4&gt;$P30,EOMONTH(W$4,0)&lt;$E30),0,MIN($H30,MAX(0,MIN(EOMONTH(W$4,0),$P30)-MAX(W$4,$E30)+1)*$J30))</f>
        <v/>
      </c>
      <c r="X30" s="170">
        <f>IF(OR($B30="",X$4&gt;$P30,EOMONTH(X$4,0)&lt;$E30),0,MIN($H30,MAX(0,MIN(EOMONTH(X$4,0),$P30)-MAX(X$4,$E30)+1)*$J30))</f>
        <v/>
      </c>
      <c r="Y30" s="170">
        <f>IF(OR($B30="",Y$4&gt;$P30,EOMONTH(Y$4,0)&lt;$E30),0,MIN($H30,MAX(0,MIN(EOMONTH(Y$4,0),$P30)-MAX(Y$4,$E30)+1)*$J30))</f>
        <v/>
      </c>
      <c r="Z30" s="170">
        <f>IF(OR($B30="",Z$4&gt;$P30,EOMONTH(Z$4,0)&lt;$E30),0,MIN($H30,MAX(0,MIN(EOMONTH(Z$4,0),$P30)-MAX(Z$4,$E30)+1)*$J30))</f>
        <v/>
      </c>
      <c r="AA30" s="170">
        <f>IF(OR($B30="",AA$4&gt;$P30,EOMONTH(AA$4,0)&lt;$E30),0,MIN($H30,MAX(0,MIN(EOMONTH(AA$4,0),$P30)-MAX(AA$4,$E30)+1)*$J30))</f>
        <v/>
      </c>
      <c r="AB30" s="170">
        <f>IF(OR($B30="",AB$4&gt;$P30,EOMONTH(AB$4,0)&lt;$E30),0,MIN($H30,MAX(0,MIN(EOMONTH(AB$4,0),$P30)-MAX(AB$4,$E30)+1)*$J30))</f>
        <v/>
      </c>
      <c r="AC30" s="170">
        <f>IF(OR($B30="",AC$4&gt;$P30,EOMONTH(AC$4,0)&lt;$E30),0,MIN($H30,MAX(0,MIN(EOMONTH(AC$4,0),$P30)-MAX(AC$4,$E30)+1)*$J30))</f>
        <v/>
      </c>
      <c r="AD30" s="170">
        <f>IF(B30="","",ROUND(SUM(R30:AC30),0))</f>
        <v/>
      </c>
      <c r="AE30" s="170">
        <f>IF(B30="","",MIN(H30,ROUND(Q30+SUM(R30:AC30),0)))</f>
        <v/>
      </c>
      <c r="AF30" s="170">
        <f>IF(B30="","",MAX(H30-AE30,0))</f>
        <v/>
      </c>
      <c r="AG30" s="172">
        <f>IF(B30="","",IF('Thiết lập'!$B$4&lt;E30,"Chưa phân bổ",IF(P30&lt;='Thiết lập'!$B$4,"Đã phân bổ","Đang phân bổ")))</f>
        <v/>
      </c>
      <c r="AH30" s="166" t="n"/>
      <c r="AI30" s="174">
        <f>IF(B30="","",IF(AND(C30&lt;&gt;"",D30&lt;&gt;"",E30&lt;&gt;"",E30&gt;=D30,F30&gt;0,G30&gt;0,I30&gt;0,COUNTIF($B$7:$B$306,B30)=1),"OK",IF(C30="","Thiếu tên; ","")&amp;IF(D30="","Thiếu ngày tăng; ","")&amp;IF(E30="","Thiếu ngày bắt đầu; ","")&amp;IF(AND(D30&lt;&gt;"",E30&lt;&gt;"",E30&lt;D30),"Ngày bắt đầu &lt; ngày tăng; ","")&amp;IF(OR(F30="",F30&lt;=0),"Số lượng không hợp lệ; ","")&amp;IF(OR(G30="",G30&lt;=0),"Đơn giá không hợp lệ; ","")&amp;IF(OR(I30="",I30&lt;=0),"Số tháng không hợp lệ; ","")&amp;IF(COUNTIF($B$7:$B$306,B30)&gt;1,"Trùng mã CPTT; ","")))</f>
        <v/>
      </c>
    </row>
    <row r="31" ht="19.5" customHeight="1" s="98">
      <c r="A31" s="164">
        <f>IF(B31="","",ROW()-6)</f>
        <v/>
      </c>
      <c r="B31" s="165" t="n"/>
      <c r="C31" s="166" t="n"/>
      <c r="D31" s="167" t="n"/>
      <c r="E31" s="167" t="n"/>
      <c r="F31" s="168" t="n"/>
      <c r="G31" s="169" t="n"/>
      <c r="H31" s="170">
        <f>IF(OR(F31="",G31=""),"",F31*G31)</f>
        <v/>
      </c>
      <c r="I31" s="171" t="n"/>
      <c r="J31" s="170">
        <f>IF(OR(H31="",E31="",P31=""),"",H31/(P31-E31+1))</f>
        <v/>
      </c>
      <c r="K31" s="165" t="n"/>
      <c r="L31" s="172">
        <f>IF(B31="","",IF(AF31&lt;=0,"Đã phân bổ",IF(P31&lt;=EDATE('Thiết lập'!$B$4,12),"Ngắn hạn","Dài hạn")))</f>
        <v/>
      </c>
      <c r="M31" s="165" t="n"/>
      <c r="N31" s="165" t="n"/>
      <c r="O31" s="165" t="n"/>
      <c r="P31" s="173">
        <f>IF(OR(E31="",I31=""),"",EDATE(E31,I31)-1)</f>
        <v/>
      </c>
      <c r="Q31" s="170">
        <f>IF(OR(B31="",E31="",P31=""),0,MIN(H31,MAX(0,MIN(P31,DATE('Thiết lập'!$B$3-1,12,31))-E31+1)*J31))</f>
        <v/>
      </c>
      <c r="R31" s="170">
        <f>IF(OR($B31="",R$4&gt;$P31,EOMONTH(R$4,0)&lt;$E31),0,MIN($H31,MAX(0,MIN(EOMONTH(R$4,0),$P31)-MAX(R$4,$E31)+1)*$J31))</f>
        <v/>
      </c>
      <c r="S31" s="170">
        <f>IF(OR($B31="",S$4&gt;$P31,EOMONTH(S$4,0)&lt;$E31),0,MIN($H31,MAX(0,MIN(EOMONTH(S$4,0),$P31)-MAX(S$4,$E31)+1)*$J31))</f>
        <v/>
      </c>
      <c r="T31" s="170">
        <f>IF(OR($B31="",T$4&gt;$P31,EOMONTH(T$4,0)&lt;$E31),0,MIN($H31,MAX(0,MIN(EOMONTH(T$4,0),$P31)-MAX(T$4,$E31)+1)*$J31))</f>
        <v/>
      </c>
      <c r="U31" s="170">
        <f>IF(OR($B31="",U$4&gt;$P31,EOMONTH(U$4,0)&lt;$E31),0,MIN($H31,MAX(0,MIN(EOMONTH(U$4,0),$P31)-MAX(U$4,$E31)+1)*$J31))</f>
        <v/>
      </c>
      <c r="V31" s="170">
        <f>IF(OR($B31="",V$4&gt;$P31,EOMONTH(V$4,0)&lt;$E31),0,MIN($H31,MAX(0,MIN(EOMONTH(V$4,0),$P31)-MAX(V$4,$E31)+1)*$J31))</f>
        <v/>
      </c>
      <c r="W31" s="170">
        <f>IF(OR($B31="",W$4&gt;$P31,EOMONTH(W$4,0)&lt;$E31),0,MIN($H31,MAX(0,MIN(EOMONTH(W$4,0),$P31)-MAX(W$4,$E31)+1)*$J31))</f>
        <v/>
      </c>
      <c r="X31" s="170">
        <f>IF(OR($B31="",X$4&gt;$P31,EOMONTH(X$4,0)&lt;$E31),0,MIN($H31,MAX(0,MIN(EOMONTH(X$4,0),$P31)-MAX(X$4,$E31)+1)*$J31))</f>
        <v/>
      </c>
      <c r="Y31" s="170">
        <f>IF(OR($B31="",Y$4&gt;$P31,EOMONTH(Y$4,0)&lt;$E31),0,MIN($H31,MAX(0,MIN(EOMONTH(Y$4,0),$P31)-MAX(Y$4,$E31)+1)*$J31))</f>
        <v/>
      </c>
      <c r="Z31" s="170">
        <f>IF(OR($B31="",Z$4&gt;$P31,EOMONTH(Z$4,0)&lt;$E31),0,MIN($H31,MAX(0,MIN(EOMONTH(Z$4,0),$P31)-MAX(Z$4,$E31)+1)*$J31))</f>
        <v/>
      </c>
      <c r="AA31" s="170">
        <f>IF(OR($B31="",AA$4&gt;$P31,EOMONTH(AA$4,0)&lt;$E31),0,MIN($H31,MAX(0,MIN(EOMONTH(AA$4,0),$P31)-MAX(AA$4,$E31)+1)*$J31))</f>
        <v/>
      </c>
      <c r="AB31" s="170">
        <f>IF(OR($B31="",AB$4&gt;$P31,EOMONTH(AB$4,0)&lt;$E31),0,MIN($H31,MAX(0,MIN(EOMONTH(AB$4,0),$P31)-MAX(AB$4,$E31)+1)*$J31))</f>
        <v/>
      </c>
      <c r="AC31" s="170">
        <f>IF(OR($B31="",AC$4&gt;$P31,EOMONTH(AC$4,0)&lt;$E31),0,MIN($H31,MAX(0,MIN(EOMONTH(AC$4,0),$P31)-MAX(AC$4,$E31)+1)*$J31))</f>
        <v/>
      </c>
      <c r="AD31" s="170">
        <f>IF(B31="","",ROUND(SUM(R31:AC31),0))</f>
        <v/>
      </c>
      <c r="AE31" s="170">
        <f>IF(B31="","",MIN(H31,ROUND(Q31+SUM(R31:AC31),0)))</f>
        <v/>
      </c>
      <c r="AF31" s="170">
        <f>IF(B31="","",MAX(H31-AE31,0))</f>
        <v/>
      </c>
      <c r="AG31" s="172">
        <f>IF(B31="","",IF('Thiết lập'!$B$4&lt;E31,"Chưa phân bổ",IF(P31&lt;='Thiết lập'!$B$4,"Đã phân bổ","Đang phân bổ")))</f>
        <v/>
      </c>
      <c r="AH31" s="166" t="n"/>
      <c r="AI31" s="174">
        <f>IF(B31="","",IF(AND(C31&lt;&gt;"",D31&lt;&gt;"",E31&lt;&gt;"",E31&gt;=D31,F31&gt;0,G31&gt;0,I31&gt;0,COUNTIF($B$7:$B$306,B31)=1),"OK",IF(C31="","Thiếu tên; ","")&amp;IF(D31="","Thiếu ngày tăng; ","")&amp;IF(E31="","Thiếu ngày bắt đầu; ","")&amp;IF(AND(D31&lt;&gt;"",E31&lt;&gt;"",E31&lt;D31),"Ngày bắt đầu &lt; ngày tăng; ","")&amp;IF(OR(F31="",F31&lt;=0),"Số lượng không hợp lệ; ","")&amp;IF(OR(G31="",G31&lt;=0),"Đơn giá không hợp lệ; ","")&amp;IF(OR(I31="",I31&lt;=0),"Số tháng không hợp lệ; ","")&amp;IF(COUNTIF($B$7:$B$306,B31)&gt;1,"Trùng mã CPTT; ","")))</f>
        <v/>
      </c>
    </row>
    <row r="32" ht="19.5" customHeight="1" s="98">
      <c r="A32" s="164">
        <f>IF(B32="","",ROW()-6)</f>
        <v/>
      </c>
      <c r="B32" s="165" t="n"/>
      <c r="C32" s="166" t="n"/>
      <c r="D32" s="167" t="n"/>
      <c r="E32" s="167" t="n"/>
      <c r="F32" s="168" t="n"/>
      <c r="G32" s="169" t="n"/>
      <c r="H32" s="170">
        <f>IF(OR(F32="",G32=""),"",F32*G32)</f>
        <v/>
      </c>
      <c r="I32" s="171" t="n"/>
      <c r="J32" s="170">
        <f>IF(OR(H32="",E32="",P32=""),"",H32/(P32-E32+1))</f>
        <v/>
      </c>
      <c r="K32" s="165" t="n"/>
      <c r="L32" s="172">
        <f>IF(B32="","",IF(AF32&lt;=0,"Đã phân bổ",IF(P32&lt;=EDATE('Thiết lập'!$B$4,12),"Ngắn hạn","Dài hạn")))</f>
        <v/>
      </c>
      <c r="M32" s="165" t="n"/>
      <c r="N32" s="165" t="n"/>
      <c r="O32" s="165" t="n"/>
      <c r="P32" s="173">
        <f>IF(OR(E32="",I32=""),"",EDATE(E32,I32)-1)</f>
        <v/>
      </c>
      <c r="Q32" s="170">
        <f>IF(OR(B32="",E32="",P32=""),0,MIN(H32,MAX(0,MIN(P32,DATE('Thiết lập'!$B$3-1,12,31))-E32+1)*J32))</f>
        <v/>
      </c>
      <c r="R32" s="170">
        <f>IF(OR($B32="",R$4&gt;$P32,EOMONTH(R$4,0)&lt;$E32),0,MIN($H32,MAX(0,MIN(EOMONTH(R$4,0),$P32)-MAX(R$4,$E32)+1)*$J32))</f>
        <v/>
      </c>
      <c r="S32" s="170">
        <f>IF(OR($B32="",S$4&gt;$P32,EOMONTH(S$4,0)&lt;$E32),0,MIN($H32,MAX(0,MIN(EOMONTH(S$4,0),$P32)-MAX(S$4,$E32)+1)*$J32))</f>
        <v/>
      </c>
      <c r="T32" s="170">
        <f>IF(OR($B32="",T$4&gt;$P32,EOMONTH(T$4,0)&lt;$E32),0,MIN($H32,MAX(0,MIN(EOMONTH(T$4,0),$P32)-MAX(T$4,$E32)+1)*$J32))</f>
        <v/>
      </c>
      <c r="U32" s="170">
        <f>IF(OR($B32="",U$4&gt;$P32,EOMONTH(U$4,0)&lt;$E32),0,MIN($H32,MAX(0,MIN(EOMONTH(U$4,0),$P32)-MAX(U$4,$E32)+1)*$J32))</f>
        <v/>
      </c>
      <c r="V32" s="170">
        <f>IF(OR($B32="",V$4&gt;$P32,EOMONTH(V$4,0)&lt;$E32),0,MIN($H32,MAX(0,MIN(EOMONTH(V$4,0),$P32)-MAX(V$4,$E32)+1)*$J32))</f>
        <v/>
      </c>
      <c r="W32" s="170">
        <f>IF(OR($B32="",W$4&gt;$P32,EOMONTH(W$4,0)&lt;$E32),0,MIN($H32,MAX(0,MIN(EOMONTH(W$4,0),$P32)-MAX(W$4,$E32)+1)*$J32))</f>
        <v/>
      </c>
      <c r="X32" s="170">
        <f>IF(OR($B32="",X$4&gt;$P32,EOMONTH(X$4,0)&lt;$E32),0,MIN($H32,MAX(0,MIN(EOMONTH(X$4,0),$P32)-MAX(X$4,$E32)+1)*$J32))</f>
        <v/>
      </c>
      <c r="Y32" s="170">
        <f>IF(OR($B32="",Y$4&gt;$P32,EOMONTH(Y$4,0)&lt;$E32),0,MIN($H32,MAX(0,MIN(EOMONTH(Y$4,0),$P32)-MAX(Y$4,$E32)+1)*$J32))</f>
        <v/>
      </c>
      <c r="Z32" s="170">
        <f>IF(OR($B32="",Z$4&gt;$P32,EOMONTH(Z$4,0)&lt;$E32),0,MIN($H32,MAX(0,MIN(EOMONTH(Z$4,0),$P32)-MAX(Z$4,$E32)+1)*$J32))</f>
        <v/>
      </c>
      <c r="AA32" s="170">
        <f>IF(OR($B32="",AA$4&gt;$P32,EOMONTH(AA$4,0)&lt;$E32),0,MIN($H32,MAX(0,MIN(EOMONTH(AA$4,0),$P32)-MAX(AA$4,$E32)+1)*$J32))</f>
        <v/>
      </c>
      <c r="AB32" s="170">
        <f>IF(OR($B32="",AB$4&gt;$P32,EOMONTH(AB$4,0)&lt;$E32),0,MIN($H32,MAX(0,MIN(EOMONTH(AB$4,0),$P32)-MAX(AB$4,$E32)+1)*$J32))</f>
        <v/>
      </c>
      <c r="AC32" s="170">
        <f>IF(OR($B32="",AC$4&gt;$P32,EOMONTH(AC$4,0)&lt;$E32),0,MIN($H32,MAX(0,MIN(EOMONTH(AC$4,0),$P32)-MAX(AC$4,$E32)+1)*$J32))</f>
        <v/>
      </c>
      <c r="AD32" s="170">
        <f>IF(B32="","",ROUND(SUM(R32:AC32),0))</f>
        <v/>
      </c>
      <c r="AE32" s="170">
        <f>IF(B32="","",MIN(H32,ROUND(Q32+SUM(R32:AC32),0)))</f>
        <v/>
      </c>
      <c r="AF32" s="170">
        <f>IF(B32="","",MAX(H32-AE32,0))</f>
        <v/>
      </c>
      <c r="AG32" s="172">
        <f>IF(B32="","",IF('Thiết lập'!$B$4&lt;E32,"Chưa phân bổ",IF(P32&lt;='Thiết lập'!$B$4,"Đã phân bổ","Đang phân bổ")))</f>
        <v/>
      </c>
      <c r="AH32" s="166" t="n"/>
      <c r="AI32" s="174">
        <f>IF(B32="","",IF(AND(C32&lt;&gt;"",D32&lt;&gt;"",E32&lt;&gt;"",E32&gt;=D32,F32&gt;0,G32&gt;0,I32&gt;0,COUNTIF($B$7:$B$306,B32)=1),"OK",IF(C32="","Thiếu tên; ","")&amp;IF(D32="","Thiếu ngày tăng; ","")&amp;IF(E32="","Thiếu ngày bắt đầu; ","")&amp;IF(AND(D32&lt;&gt;"",E32&lt;&gt;"",E32&lt;D32),"Ngày bắt đầu &lt; ngày tăng; ","")&amp;IF(OR(F32="",F32&lt;=0),"Số lượng không hợp lệ; ","")&amp;IF(OR(G32="",G32&lt;=0),"Đơn giá không hợp lệ; ","")&amp;IF(OR(I32="",I32&lt;=0),"Số tháng không hợp lệ; ","")&amp;IF(COUNTIF($B$7:$B$306,B32)&gt;1,"Trùng mã CPTT; ","")))</f>
        <v/>
      </c>
    </row>
    <row r="33" ht="19.5" customHeight="1" s="98">
      <c r="A33" s="164">
        <f>IF(B33="","",ROW()-6)</f>
        <v/>
      </c>
      <c r="B33" s="165" t="n"/>
      <c r="C33" s="166" t="n"/>
      <c r="D33" s="167" t="n"/>
      <c r="E33" s="167" t="n"/>
      <c r="F33" s="168" t="n"/>
      <c r="G33" s="169" t="n"/>
      <c r="H33" s="170">
        <f>IF(OR(F33="",G33=""),"",F33*G33)</f>
        <v/>
      </c>
      <c r="I33" s="171" t="n"/>
      <c r="J33" s="170">
        <f>IF(OR(H33="",E33="",P33=""),"",H33/(P33-E33+1))</f>
        <v/>
      </c>
      <c r="K33" s="165" t="n"/>
      <c r="L33" s="172">
        <f>IF(B33="","",IF(AF33&lt;=0,"Đã phân bổ",IF(P33&lt;=EDATE('Thiết lập'!$B$4,12),"Ngắn hạn","Dài hạn")))</f>
        <v/>
      </c>
      <c r="M33" s="165" t="n"/>
      <c r="N33" s="165" t="n"/>
      <c r="O33" s="165" t="n"/>
      <c r="P33" s="173">
        <f>IF(OR(E33="",I33=""),"",EDATE(E33,I33)-1)</f>
        <v/>
      </c>
      <c r="Q33" s="170">
        <f>IF(OR(B33="",E33="",P33=""),0,MIN(H33,MAX(0,MIN(P33,DATE('Thiết lập'!$B$3-1,12,31))-E33+1)*J33))</f>
        <v/>
      </c>
      <c r="R33" s="170">
        <f>IF(OR($B33="",R$4&gt;$P33,EOMONTH(R$4,0)&lt;$E33),0,MIN($H33,MAX(0,MIN(EOMONTH(R$4,0),$P33)-MAX(R$4,$E33)+1)*$J33))</f>
        <v/>
      </c>
      <c r="S33" s="170">
        <f>IF(OR($B33="",S$4&gt;$P33,EOMONTH(S$4,0)&lt;$E33),0,MIN($H33,MAX(0,MIN(EOMONTH(S$4,0),$P33)-MAX(S$4,$E33)+1)*$J33))</f>
        <v/>
      </c>
      <c r="T33" s="170">
        <f>IF(OR($B33="",T$4&gt;$P33,EOMONTH(T$4,0)&lt;$E33),0,MIN($H33,MAX(0,MIN(EOMONTH(T$4,0),$P33)-MAX(T$4,$E33)+1)*$J33))</f>
        <v/>
      </c>
      <c r="U33" s="170">
        <f>IF(OR($B33="",U$4&gt;$P33,EOMONTH(U$4,0)&lt;$E33),0,MIN($H33,MAX(0,MIN(EOMONTH(U$4,0),$P33)-MAX(U$4,$E33)+1)*$J33))</f>
        <v/>
      </c>
      <c r="V33" s="170">
        <f>IF(OR($B33="",V$4&gt;$P33,EOMONTH(V$4,0)&lt;$E33),0,MIN($H33,MAX(0,MIN(EOMONTH(V$4,0),$P33)-MAX(V$4,$E33)+1)*$J33))</f>
        <v/>
      </c>
      <c r="W33" s="170">
        <f>IF(OR($B33="",W$4&gt;$P33,EOMONTH(W$4,0)&lt;$E33),0,MIN($H33,MAX(0,MIN(EOMONTH(W$4,0),$P33)-MAX(W$4,$E33)+1)*$J33))</f>
        <v/>
      </c>
      <c r="X33" s="170">
        <f>IF(OR($B33="",X$4&gt;$P33,EOMONTH(X$4,0)&lt;$E33),0,MIN($H33,MAX(0,MIN(EOMONTH(X$4,0),$P33)-MAX(X$4,$E33)+1)*$J33))</f>
        <v/>
      </c>
      <c r="Y33" s="170">
        <f>IF(OR($B33="",Y$4&gt;$P33,EOMONTH(Y$4,0)&lt;$E33),0,MIN($H33,MAX(0,MIN(EOMONTH(Y$4,0),$P33)-MAX(Y$4,$E33)+1)*$J33))</f>
        <v/>
      </c>
      <c r="Z33" s="170">
        <f>IF(OR($B33="",Z$4&gt;$P33,EOMONTH(Z$4,0)&lt;$E33),0,MIN($H33,MAX(0,MIN(EOMONTH(Z$4,0),$P33)-MAX(Z$4,$E33)+1)*$J33))</f>
        <v/>
      </c>
      <c r="AA33" s="170">
        <f>IF(OR($B33="",AA$4&gt;$P33,EOMONTH(AA$4,0)&lt;$E33),0,MIN($H33,MAX(0,MIN(EOMONTH(AA$4,0),$P33)-MAX(AA$4,$E33)+1)*$J33))</f>
        <v/>
      </c>
      <c r="AB33" s="170">
        <f>IF(OR($B33="",AB$4&gt;$P33,EOMONTH(AB$4,0)&lt;$E33),0,MIN($H33,MAX(0,MIN(EOMONTH(AB$4,0),$P33)-MAX(AB$4,$E33)+1)*$J33))</f>
        <v/>
      </c>
      <c r="AC33" s="170">
        <f>IF(OR($B33="",AC$4&gt;$P33,EOMONTH(AC$4,0)&lt;$E33),0,MIN($H33,MAX(0,MIN(EOMONTH(AC$4,0),$P33)-MAX(AC$4,$E33)+1)*$J33))</f>
        <v/>
      </c>
      <c r="AD33" s="170">
        <f>IF(B33="","",ROUND(SUM(R33:AC33),0))</f>
        <v/>
      </c>
      <c r="AE33" s="170">
        <f>IF(B33="","",MIN(H33,ROUND(Q33+SUM(R33:AC33),0)))</f>
        <v/>
      </c>
      <c r="AF33" s="170">
        <f>IF(B33="","",MAX(H33-AE33,0))</f>
        <v/>
      </c>
      <c r="AG33" s="172">
        <f>IF(B33="","",IF('Thiết lập'!$B$4&lt;E33,"Chưa phân bổ",IF(P33&lt;='Thiết lập'!$B$4,"Đã phân bổ","Đang phân bổ")))</f>
        <v/>
      </c>
      <c r="AH33" s="166" t="n"/>
      <c r="AI33" s="174">
        <f>IF(B33="","",IF(AND(C33&lt;&gt;"",D33&lt;&gt;"",E33&lt;&gt;"",E33&gt;=D33,F33&gt;0,G33&gt;0,I33&gt;0,COUNTIF($B$7:$B$306,B33)=1),"OK",IF(C33="","Thiếu tên; ","")&amp;IF(D33="","Thiếu ngày tăng; ","")&amp;IF(E33="","Thiếu ngày bắt đầu; ","")&amp;IF(AND(D33&lt;&gt;"",E33&lt;&gt;"",E33&lt;D33),"Ngày bắt đầu &lt; ngày tăng; ","")&amp;IF(OR(F33="",F33&lt;=0),"Số lượng không hợp lệ; ","")&amp;IF(OR(G33="",G33&lt;=0),"Đơn giá không hợp lệ; ","")&amp;IF(OR(I33="",I33&lt;=0),"Số tháng không hợp lệ; ","")&amp;IF(COUNTIF($B$7:$B$306,B33)&gt;1,"Trùng mã CPTT; ","")))</f>
        <v/>
      </c>
    </row>
    <row r="34" ht="19.5" customHeight="1" s="98">
      <c r="A34" s="164">
        <f>IF(B34="","",ROW()-6)</f>
        <v/>
      </c>
      <c r="B34" s="165" t="n"/>
      <c r="C34" s="166" t="n"/>
      <c r="D34" s="167" t="n"/>
      <c r="E34" s="167" t="n"/>
      <c r="F34" s="168" t="n"/>
      <c r="G34" s="169" t="n"/>
      <c r="H34" s="170">
        <f>IF(OR(F34="",G34=""),"",F34*G34)</f>
        <v/>
      </c>
      <c r="I34" s="171" t="n"/>
      <c r="J34" s="170">
        <f>IF(OR(H34="",E34="",P34=""),"",H34/(P34-E34+1))</f>
        <v/>
      </c>
      <c r="K34" s="165" t="n"/>
      <c r="L34" s="172">
        <f>IF(B34="","",IF(AF34&lt;=0,"Đã phân bổ",IF(P34&lt;=EDATE('Thiết lập'!$B$4,12),"Ngắn hạn","Dài hạn")))</f>
        <v/>
      </c>
      <c r="M34" s="165" t="n"/>
      <c r="N34" s="165" t="n"/>
      <c r="O34" s="165" t="n"/>
      <c r="P34" s="173">
        <f>IF(OR(E34="",I34=""),"",EDATE(E34,I34)-1)</f>
        <v/>
      </c>
      <c r="Q34" s="170">
        <f>IF(OR(B34="",E34="",P34=""),0,MIN(H34,MAX(0,MIN(P34,DATE('Thiết lập'!$B$3-1,12,31))-E34+1)*J34))</f>
        <v/>
      </c>
      <c r="R34" s="170">
        <f>IF(OR($B34="",R$4&gt;$P34,EOMONTH(R$4,0)&lt;$E34),0,MIN($H34,MAX(0,MIN(EOMONTH(R$4,0),$P34)-MAX(R$4,$E34)+1)*$J34))</f>
        <v/>
      </c>
      <c r="S34" s="170">
        <f>IF(OR($B34="",S$4&gt;$P34,EOMONTH(S$4,0)&lt;$E34),0,MIN($H34,MAX(0,MIN(EOMONTH(S$4,0),$P34)-MAX(S$4,$E34)+1)*$J34))</f>
        <v/>
      </c>
      <c r="T34" s="170">
        <f>IF(OR($B34="",T$4&gt;$P34,EOMONTH(T$4,0)&lt;$E34),0,MIN($H34,MAX(0,MIN(EOMONTH(T$4,0),$P34)-MAX(T$4,$E34)+1)*$J34))</f>
        <v/>
      </c>
      <c r="U34" s="170">
        <f>IF(OR($B34="",U$4&gt;$P34,EOMONTH(U$4,0)&lt;$E34),0,MIN($H34,MAX(0,MIN(EOMONTH(U$4,0),$P34)-MAX(U$4,$E34)+1)*$J34))</f>
        <v/>
      </c>
      <c r="V34" s="170">
        <f>IF(OR($B34="",V$4&gt;$P34,EOMONTH(V$4,0)&lt;$E34),0,MIN($H34,MAX(0,MIN(EOMONTH(V$4,0),$P34)-MAX(V$4,$E34)+1)*$J34))</f>
        <v/>
      </c>
      <c r="W34" s="170">
        <f>IF(OR($B34="",W$4&gt;$P34,EOMONTH(W$4,0)&lt;$E34),0,MIN($H34,MAX(0,MIN(EOMONTH(W$4,0),$P34)-MAX(W$4,$E34)+1)*$J34))</f>
        <v/>
      </c>
      <c r="X34" s="170">
        <f>IF(OR($B34="",X$4&gt;$P34,EOMONTH(X$4,0)&lt;$E34),0,MIN($H34,MAX(0,MIN(EOMONTH(X$4,0),$P34)-MAX(X$4,$E34)+1)*$J34))</f>
        <v/>
      </c>
      <c r="Y34" s="170">
        <f>IF(OR($B34="",Y$4&gt;$P34,EOMONTH(Y$4,0)&lt;$E34),0,MIN($H34,MAX(0,MIN(EOMONTH(Y$4,0),$P34)-MAX(Y$4,$E34)+1)*$J34))</f>
        <v/>
      </c>
      <c r="Z34" s="170">
        <f>IF(OR($B34="",Z$4&gt;$P34,EOMONTH(Z$4,0)&lt;$E34),0,MIN($H34,MAX(0,MIN(EOMONTH(Z$4,0),$P34)-MAX(Z$4,$E34)+1)*$J34))</f>
        <v/>
      </c>
      <c r="AA34" s="170">
        <f>IF(OR($B34="",AA$4&gt;$P34,EOMONTH(AA$4,0)&lt;$E34),0,MIN($H34,MAX(0,MIN(EOMONTH(AA$4,0),$P34)-MAX(AA$4,$E34)+1)*$J34))</f>
        <v/>
      </c>
      <c r="AB34" s="170">
        <f>IF(OR($B34="",AB$4&gt;$P34,EOMONTH(AB$4,0)&lt;$E34),0,MIN($H34,MAX(0,MIN(EOMONTH(AB$4,0),$P34)-MAX(AB$4,$E34)+1)*$J34))</f>
        <v/>
      </c>
      <c r="AC34" s="170">
        <f>IF(OR($B34="",AC$4&gt;$P34,EOMONTH(AC$4,0)&lt;$E34),0,MIN($H34,MAX(0,MIN(EOMONTH(AC$4,0),$P34)-MAX(AC$4,$E34)+1)*$J34))</f>
        <v/>
      </c>
      <c r="AD34" s="170">
        <f>IF(B34="","",ROUND(SUM(R34:AC34),0))</f>
        <v/>
      </c>
      <c r="AE34" s="170">
        <f>IF(B34="","",MIN(H34,ROUND(Q34+SUM(R34:AC34),0)))</f>
        <v/>
      </c>
      <c r="AF34" s="170">
        <f>IF(B34="","",MAX(H34-AE34,0))</f>
        <v/>
      </c>
      <c r="AG34" s="172">
        <f>IF(B34="","",IF('Thiết lập'!$B$4&lt;E34,"Chưa phân bổ",IF(P34&lt;='Thiết lập'!$B$4,"Đã phân bổ","Đang phân bổ")))</f>
        <v/>
      </c>
      <c r="AH34" s="166" t="n"/>
      <c r="AI34" s="174">
        <f>IF(B34="","",IF(AND(C34&lt;&gt;"",D34&lt;&gt;"",E34&lt;&gt;"",E34&gt;=D34,F34&gt;0,G34&gt;0,I34&gt;0,COUNTIF($B$7:$B$306,B34)=1),"OK",IF(C34="","Thiếu tên; ","")&amp;IF(D34="","Thiếu ngày tăng; ","")&amp;IF(E34="","Thiếu ngày bắt đầu; ","")&amp;IF(AND(D34&lt;&gt;"",E34&lt;&gt;"",E34&lt;D34),"Ngày bắt đầu &lt; ngày tăng; ","")&amp;IF(OR(F34="",F34&lt;=0),"Số lượng không hợp lệ; ","")&amp;IF(OR(G34="",G34&lt;=0),"Đơn giá không hợp lệ; ","")&amp;IF(OR(I34="",I34&lt;=0),"Số tháng không hợp lệ; ","")&amp;IF(COUNTIF($B$7:$B$306,B34)&gt;1,"Trùng mã CPTT; ","")))</f>
        <v/>
      </c>
    </row>
    <row r="35" ht="19.5" customHeight="1" s="98">
      <c r="A35" s="164">
        <f>IF(B35="","",ROW()-6)</f>
        <v/>
      </c>
      <c r="B35" s="165" t="n"/>
      <c r="C35" s="166" t="n"/>
      <c r="D35" s="167" t="n"/>
      <c r="E35" s="167" t="n"/>
      <c r="F35" s="168" t="n"/>
      <c r="G35" s="169" t="n"/>
      <c r="H35" s="170">
        <f>IF(OR(F35="",G35=""),"",F35*G35)</f>
        <v/>
      </c>
      <c r="I35" s="171" t="n"/>
      <c r="J35" s="170">
        <f>IF(OR(H35="",E35="",P35=""),"",H35/(P35-E35+1))</f>
        <v/>
      </c>
      <c r="K35" s="165" t="n"/>
      <c r="L35" s="172">
        <f>IF(B35="","",IF(AF35&lt;=0,"Đã phân bổ",IF(P35&lt;=EDATE('Thiết lập'!$B$4,12),"Ngắn hạn","Dài hạn")))</f>
        <v/>
      </c>
      <c r="M35" s="165" t="n"/>
      <c r="N35" s="165" t="n"/>
      <c r="O35" s="165" t="n"/>
      <c r="P35" s="173">
        <f>IF(OR(E35="",I35=""),"",EDATE(E35,I35)-1)</f>
        <v/>
      </c>
      <c r="Q35" s="170">
        <f>IF(OR(B35="",E35="",P35=""),0,MIN(H35,MAX(0,MIN(P35,DATE('Thiết lập'!$B$3-1,12,31))-E35+1)*J35))</f>
        <v/>
      </c>
      <c r="R35" s="170">
        <f>IF(OR($B35="",R$4&gt;$P35,EOMONTH(R$4,0)&lt;$E35),0,MIN($H35,MAX(0,MIN(EOMONTH(R$4,0),$P35)-MAX(R$4,$E35)+1)*$J35))</f>
        <v/>
      </c>
      <c r="S35" s="170">
        <f>IF(OR($B35="",S$4&gt;$P35,EOMONTH(S$4,0)&lt;$E35),0,MIN($H35,MAX(0,MIN(EOMONTH(S$4,0),$P35)-MAX(S$4,$E35)+1)*$J35))</f>
        <v/>
      </c>
      <c r="T35" s="170">
        <f>IF(OR($B35="",T$4&gt;$P35,EOMONTH(T$4,0)&lt;$E35),0,MIN($H35,MAX(0,MIN(EOMONTH(T$4,0),$P35)-MAX(T$4,$E35)+1)*$J35))</f>
        <v/>
      </c>
      <c r="U35" s="170">
        <f>IF(OR($B35="",U$4&gt;$P35,EOMONTH(U$4,0)&lt;$E35),0,MIN($H35,MAX(0,MIN(EOMONTH(U$4,0),$P35)-MAX(U$4,$E35)+1)*$J35))</f>
        <v/>
      </c>
      <c r="V35" s="170">
        <f>IF(OR($B35="",V$4&gt;$P35,EOMONTH(V$4,0)&lt;$E35),0,MIN($H35,MAX(0,MIN(EOMONTH(V$4,0),$P35)-MAX(V$4,$E35)+1)*$J35))</f>
        <v/>
      </c>
      <c r="W35" s="170">
        <f>IF(OR($B35="",W$4&gt;$P35,EOMONTH(W$4,0)&lt;$E35),0,MIN($H35,MAX(0,MIN(EOMONTH(W$4,0),$P35)-MAX(W$4,$E35)+1)*$J35))</f>
        <v/>
      </c>
      <c r="X35" s="170">
        <f>IF(OR($B35="",X$4&gt;$P35,EOMONTH(X$4,0)&lt;$E35),0,MIN($H35,MAX(0,MIN(EOMONTH(X$4,0),$P35)-MAX(X$4,$E35)+1)*$J35))</f>
        <v/>
      </c>
      <c r="Y35" s="170">
        <f>IF(OR($B35="",Y$4&gt;$P35,EOMONTH(Y$4,0)&lt;$E35),0,MIN($H35,MAX(0,MIN(EOMONTH(Y$4,0),$P35)-MAX(Y$4,$E35)+1)*$J35))</f>
        <v/>
      </c>
      <c r="Z35" s="170">
        <f>IF(OR($B35="",Z$4&gt;$P35,EOMONTH(Z$4,0)&lt;$E35),0,MIN($H35,MAX(0,MIN(EOMONTH(Z$4,0),$P35)-MAX(Z$4,$E35)+1)*$J35))</f>
        <v/>
      </c>
      <c r="AA35" s="170">
        <f>IF(OR($B35="",AA$4&gt;$P35,EOMONTH(AA$4,0)&lt;$E35),0,MIN($H35,MAX(0,MIN(EOMONTH(AA$4,0),$P35)-MAX(AA$4,$E35)+1)*$J35))</f>
        <v/>
      </c>
      <c r="AB35" s="170">
        <f>IF(OR($B35="",AB$4&gt;$P35,EOMONTH(AB$4,0)&lt;$E35),0,MIN($H35,MAX(0,MIN(EOMONTH(AB$4,0),$P35)-MAX(AB$4,$E35)+1)*$J35))</f>
        <v/>
      </c>
      <c r="AC35" s="170">
        <f>IF(OR($B35="",AC$4&gt;$P35,EOMONTH(AC$4,0)&lt;$E35),0,MIN($H35,MAX(0,MIN(EOMONTH(AC$4,0),$P35)-MAX(AC$4,$E35)+1)*$J35))</f>
        <v/>
      </c>
      <c r="AD35" s="170">
        <f>IF(B35="","",ROUND(SUM(R35:AC35),0))</f>
        <v/>
      </c>
      <c r="AE35" s="170">
        <f>IF(B35="","",MIN(H35,ROUND(Q35+SUM(R35:AC35),0)))</f>
        <v/>
      </c>
      <c r="AF35" s="170">
        <f>IF(B35="","",MAX(H35-AE35,0))</f>
        <v/>
      </c>
      <c r="AG35" s="172">
        <f>IF(B35="","",IF('Thiết lập'!$B$4&lt;E35,"Chưa phân bổ",IF(P35&lt;='Thiết lập'!$B$4,"Đã phân bổ","Đang phân bổ")))</f>
        <v/>
      </c>
      <c r="AH35" s="166" t="n"/>
      <c r="AI35" s="174">
        <f>IF(B35="","",IF(AND(C35&lt;&gt;"",D35&lt;&gt;"",E35&lt;&gt;"",E35&gt;=D35,F35&gt;0,G35&gt;0,I35&gt;0,COUNTIF($B$7:$B$306,B35)=1),"OK",IF(C35="","Thiếu tên; ","")&amp;IF(D35="","Thiếu ngày tăng; ","")&amp;IF(E35="","Thiếu ngày bắt đầu; ","")&amp;IF(AND(D35&lt;&gt;"",E35&lt;&gt;"",E35&lt;D35),"Ngày bắt đầu &lt; ngày tăng; ","")&amp;IF(OR(F35="",F35&lt;=0),"Số lượng không hợp lệ; ","")&amp;IF(OR(G35="",G35&lt;=0),"Đơn giá không hợp lệ; ","")&amp;IF(OR(I35="",I35&lt;=0),"Số tháng không hợp lệ; ","")&amp;IF(COUNTIF($B$7:$B$306,B35)&gt;1,"Trùng mã CPTT; ","")))</f>
        <v/>
      </c>
    </row>
    <row r="36" ht="19.5" customHeight="1" s="98">
      <c r="A36" s="164">
        <f>IF(B36="","",ROW()-6)</f>
        <v/>
      </c>
      <c r="B36" s="165" t="n"/>
      <c r="C36" s="166" t="n"/>
      <c r="D36" s="167" t="n"/>
      <c r="E36" s="167" t="n"/>
      <c r="F36" s="168" t="n"/>
      <c r="G36" s="169" t="n"/>
      <c r="H36" s="170">
        <f>IF(OR(F36="",G36=""),"",F36*G36)</f>
        <v/>
      </c>
      <c r="I36" s="171" t="n"/>
      <c r="J36" s="170">
        <f>IF(OR(H36="",E36="",P36=""),"",H36/(P36-E36+1))</f>
        <v/>
      </c>
      <c r="K36" s="165" t="n"/>
      <c r="L36" s="172">
        <f>IF(B36="","",IF(AF36&lt;=0,"Đã phân bổ",IF(P36&lt;=EDATE('Thiết lập'!$B$4,12),"Ngắn hạn","Dài hạn")))</f>
        <v/>
      </c>
      <c r="M36" s="165" t="n"/>
      <c r="N36" s="165" t="n"/>
      <c r="O36" s="165" t="n"/>
      <c r="P36" s="173">
        <f>IF(OR(E36="",I36=""),"",EDATE(E36,I36)-1)</f>
        <v/>
      </c>
      <c r="Q36" s="170">
        <f>IF(OR(B36="",E36="",P36=""),0,MIN(H36,MAX(0,MIN(P36,DATE('Thiết lập'!$B$3-1,12,31))-E36+1)*J36))</f>
        <v/>
      </c>
      <c r="R36" s="170">
        <f>IF(OR($B36="",R$4&gt;$P36,EOMONTH(R$4,0)&lt;$E36),0,MIN($H36,MAX(0,MIN(EOMONTH(R$4,0),$P36)-MAX(R$4,$E36)+1)*$J36))</f>
        <v/>
      </c>
      <c r="S36" s="170">
        <f>IF(OR($B36="",S$4&gt;$P36,EOMONTH(S$4,0)&lt;$E36),0,MIN($H36,MAX(0,MIN(EOMONTH(S$4,0),$P36)-MAX(S$4,$E36)+1)*$J36))</f>
        <v/>
      </c>
      <c r="T36" s="170">
        <f>IF(OR($B36="",T$4&gt;$P36,EOMONTH(T$4,0)&lt;$E36),0,MIN($H36,MAX(0,MIN(EOMONTH(T$4,0),$P36)-MAX(T$4,$E36)+1)*$J36))</f>
        <v/>
      </c>
      <c r="U36" s="170">
        <f>IF(OR($B36="",U$4&gt;$P36,EOMONTH(U$4,0)&lt;$E36),0,MIN($H36,MAX(0,MIN(EOMONTH(U$4,0),$P36)-MAX(U$4,$E36)+1)*$J36))</f>
        <v/>
      </c>
      <c r="V36" s="170">
        <f>IF(OR($B36="",V$4&gt;$P36,EOMONTH(V$4,0)&lt;$E36),0,MIN($H36,MAX(0,MIN(EOMONTH(V$4,0),$P36)-MAX(V$4,$E36)+1)*$J36))</f>
        <v/>
      </c>
      <c r="W36" s="170">
        <f>IF(OR($B36="",W$4&gt;$P36,EOMONTH(W$4,0)&lt;$E36),0,MIN($H36,MAX(0,MIN(EOMONTH(W$4,0),$P36)-MAX(W$4,$E36)+1)*$J36))</f>
        <v/>
      </c>
      <c r="X36" s="170">
        <f>IF(OR($B36="",X$4&gt;$P36,EOMONTH(X$4,0)&lt;$E36),0,MIN($H36,MAX(0,MIN(EOMONTH(X$4,0),$P36)-MAX(X$4,$E36)+1)*$J36))</f>
        <v/>
      </c>
      <c r="Y36" s="170">
        <f>IF(OR($B36="",Y$4&gt;$P36,EOMONTH(Y$4,0)&lt;$E36),0,MIN($H36,MAX(0,MIN(EOMONTH(Y$4,0),$P36)-MAX(Y$4,$E36)+1)*$J36))</f>
        <v/>
      </c>
      <c r="Z36" s="170">
        <f>IF(OR($B36="",Z$4&gt;$P36,EOMONTH(Z$4,0)&lt;$E36),0,MIN($H36,MAX(0,MIN(EOMONTH(Z$4,0),$P36)-MAX(Z$4,$E36)+1)*$J36))</f>
        <v/>
      </c>
      <c r="AA36" s="170">
        <f>IF(OR($B36="",AA$4&gt;$P36,EOMONTH(AA$4,0)&lt;$E36),0,MIN($H36,MAX(0,MIN(EOMONTH(AA$4,0),$P36)-MAX(AA$4,$E36)+1)*$J36))</f>
        <v/>
      </c>
      <c r="AB36" s="170">
        <f>IF(OR($B36="",AB$4&gt;$P36,EOMONTH(AB$4,0)&lt;$E36),0,MIN($H36,MAX(0,MIN(EOMONTH(AB$4,0),$P36)-MAX(AB$4,$E36)+1)*$J36))</f>
        <v/>
      </c>
      <c r="AC36" s="170">
        <f>IF(OR($B36="",AC$4&gt;$P36,EOMONTH(AC$4,0)&lt;$E36),0,MIN($H36,MAX(0,MIN(EOMONTH(AC$4,0),$P36)-MAX(AC$4,$E36)+1)*$J36))</f>
        <v/>
      </c>
      <c r="AD36" s="170">
        <f>IF(B36="","",ROUND(SUM(R36:AC36),0))</f>
        <v/>
      </c>
      <c r="AE36" s="170">
        <f>IF(B36="","",MIN(H36,ROUND(Q36+SUM(R36:AC36),0)))</f>
        <v/>
      </c>
      <c r="AF36" s="170">
        <f>IF(B36="","",MAX(H36-AE36,0))</f>
        <v/>
      </c>
      <c r="AG36" s="172">
        <f>IF(B36="","",IF('Thiết lập'!$B$4&lt;E36,"Chưa phân bổ",IF(P36&lt;='Thiết lập'!$B$4,"Đã phân bổ","Đang phân bổ")))</f>
        <v/>
      </c>
      <c r="AH36" s="166" t="n"/>
      <c r="AI36" s="174">
        <f>IF(B36="","",IF(AND(C36&lt;&gt;"",D36&lt;&gt;"",E36&lt;&gt;"",E36&gt;=D36,F36&gt;0,G36&gt;0,I36&gt;0,COUNTIF($B$7:$B$306,B36)=1),"OK",IF(C36="","Thiếu tên; ","")&amp;IF(D36="","Thiếu ngày tăng; ","")&amp;IF(E36="","Thiếu ngày bắt đầu; ","")&amp;IF(AND(D36&lt;&gt;"",E36&lt;&gt;"",E36&lt;D36),"Ngày bắt đầu &lt; ngày tăng; ","")&amp;IF(OR(F36="",F36&lt;=0),"Số lượng không hợp lệ; ","")&amp;IF(OR(G36="",G36&lt;=0),"Đơn giá không hợp lệ; ","")&amp;IF(OR(I36="",I36&lt;=0),"Số tháng không hợp lệ; ","")&amp;IF(COUNTIF($B$7:$B$306,B36)&gt;1,"Trùng mã CPTT; ","")))</f>
        <v/>
      </c>
    </row>
    <row r="37" ht="19.5" customHeight="1" s="98">
      <c r="A37" s="164">
        <f>IF(B37="","",ROW()-6)</f>
        <v/>
      </c>
      <c r="B37" s="165" t="n"/>
      <c r="C37" s="166" t="n"/>
      <c r="D37" s="167" t="n"/>
      <c r="E37" s="167" t="n"/>
      <c r="F37" s="168" t="n"/>
      <c r="G37" s="169" t="n"/>
      <c r="H37" s="170">
        <f>IF(OR(F37="",G37=""),"",F37*G37)</f>
        <v/>
      </c>
      <c r="I37" s="171" t="n"/>
      <c r="J37" s="170">
        <f>IF(OR(H37="",E37="",P37=""),"",H37/(P37-E37+1))</f>
        <v/>
      </c>
      <c r="K37" s="165" t="n"/>
      <c r="L37" s="172">
        <f>IF(B37="","",IF(AF37&lt;=0,"Đã phân bổ",IF(P37&lt;=EDATE('Thiết lập'!$B$4,12),"Ngắn hạn","Dài hạn")))</f>
        <v/>
      </c>
      <c r="M37" s="165" t="n"/>
      <c r="N37" s="165" t="n"/>
      <c r="O37" s="165" t="n"/>
      <c r="P37" s="173">
        <f>IF(OR(E37="",I37=""),"",EDATE(E37,I37)-1)</f>
        <v/>
      </c>
      <c r="Q37" s="170">
        <f>IF(OR(B37="",E37="",P37=""),0,MIN(H37,MAX(0,MIN(P37,DATE('Thiết lập'!$B$3-1,12,31))-E37+1)*J37))</f>
        <v/>
      </c>
      <c r="R37" s="170">
        <f>IF(OR($B37="",R$4&gt;$P37,EOMONTH(R$4,0)&lt;$E37),0,MIN($H37,MAX(0,MIN(EOMONTH(R$4,0),$P37)-MAX(R$4,$E37)+1)*$J37))</f>
        <v/>
      </c>
      <c r="S37" s="170">
        <f>IF(OR($B37="",S$4&gt;$P37,EOMONTH(S$4,0)&lt;$E37),0,MIN($H37,MAX(0,MIN(EOMONTH(S$4,0),$P37)-MAX(S$4,$E37)+1)*$J37))</f>
        <v/>
      </c>
      <c r="T37" s="170">
        <f>IF(OR($B37="",T$4&gt;$P37,EOMONTH(T$4,0)&lt;$E37),0,MIN($H37,MAX(0,MIN(EOMONTH(T$4,0),$P37)-MAX(T$4,$E37)+1)*$J37))</f>
        <v/>
      </c>
      <c r="U37" s="170">
        <f>IF(OR($B37="",U$4&gt;$P37,EOMONTH(U$4,0)&lt;$E37),0,MIN($H37,MAX(0,MIN(EOMONTH(U$4,0),$P37)-MAX(U$4,$E37)+1)*$J37))</f>
        <v/>
      </c>
      <c r="V37" s="170">
        <f>IF(OR($B37="",V$4&gt;$P37,EOMONTH(V$4,0)&lt;$E37),0,MIN($H37,MAX(0,MIN(EOMONTH(V$4,0),$P37)-MAX(V$4,$E37)+1)*$J37))</f>
        <v/>
      </c>
      <c r="W37" s="170">
        <f>IF(OR($B37="",W$4&gt;$P37,EOMONTH(W$4,0)&lt;$E37),0,MIN($H37,MAX(0,MIN(EOMONTH(W$4,0),$P37)-MAX(W$4,$E37)+1)*$J37))</f>
        <v/>
      </c>
      <c r="X37" s="170">
        <f>IF(OR($B37="",X$4&gt;$P37,EOMONTH(X$4,0)&lt;$E37),0,MIN($H37,MAX(0,MIN(EOMONTH(X$4,0),$P37)-MAX(X$4,$E37)+1)*$J37))</f>
        <v/>
      </c>
      <c r="Y37" s="170">
        <f>IF(OR($B37="",Y$4&gt;$P37,EOMONTH(Y$4,0)&lt;$E37),0,MIN($H37,MAX(0,MIN(EOMONTH(Y$4,0),$P37)-MAX(Y$4,$E37)+1)*$J37))</f>
        <v/>
      </c>
      <c r="Z37" s="170">
        <f>IF(OR($B37="",Z$4&gt;$P37,EOMONTH(Z$4,0)&lt;$E37),0,MIN($H37,MAX(0,MIN(EOMONTH(Z$4,0),$P37)-MAX(Z$4,$E37)+1)*$J37))</f>
        <v/>
      </c>
      <c r="AA37" s="170">
        <f>IF(OR($B37="",AA$4&gt;$P37,EOMONTH(AA$4,0)&lt;$E37),0,MIN($H37,MAX(0,MIN(EOMONTH(AA$4,0),$P37)-MAX(AA$4,$E37)+1)*$J37))</f>
        <v/>
      </c>
      <c r="AB37" s="170">
        <f>IF(OR($B37="",AB$4&gt;$P37,EOMONTH(AB$4,0)&lt;$E37),0,MIN($H37,MAX(0,MIN(EOMONTH(AB$4,0),$P37)-MAX(AB$4,$E37)+1)*$J37))</f>
        <v/>
      </c>
      <c r="AC37" s="170">
        <f>IF(OR($B37="",AC$4&gt;$P37,EOMONTH(AC$4,0)&lt;$E37),0,MIN($H37,MAX(0,MIN(EOMONTH(AC$4,0),$P37)-MAX(AC$4,$E37)+1)*$J37))</f>
        <v/>
      </c>
      <c r="AD37" s="170">
        <f>IF(B37="","",ROUND(SUM(R37:AC37),0))</f>
        <v/>
      </c>
      <c r="AE37" s="170">
        <f>IF(B37="","",MIN(H37,ROUND(Q37+SUM(R37:AC37),0)))</f>
        <v/>
      </c>
      <c r="AF37" s="170">
        <f>IF(B37="","",MAX(H37-AE37,0))</f>
        <v/>
      </c>
      <c r="AG37" s="172">
        <f>IF(B37="","",IF('Thiết lập'!$B$4&lt;E37,"Chưa phân bổ",IF(P37&lt;='Thiết lập'!$B$4,"Đã phân bổ","Đang phân bổ")))</f>
        <v/>
      </c>
      <c r="AH37" s="166" t="n"/>
      <c r="AI37" s="174">
        <f>IF(B37="","",IF(AND(C37&lt;&gt;"",D37&lt;&gt;"",E37&lt;&gt;"",E37&gt;=D37,F37&gt;0,G37&gt;0,I37&gt;0,COUNTIF($B$7:$B$306,B37)=1),"OK",IF(C37="","Thiếu tên; ","")&amp;IF(D37="","Thiếu ngày tăng; ","")&amp;IF(E37="","Thiếu ngày bắt đầu; ","")&amp;IF(AND(D37&lt;&gt;"",E37&lt;&gt;"",E37&lt;D37),"Ngày bắt đầu &lt; ngày tăng; ","")&amp;IF(OR(F37="",F37&lt;=0),"Số lượng không hợp lệ; ","")&amp;IF(OR(G37="",G37&lt;=0),"Đơn giá không hợp lệ; ","")&amp;IF(OR(I37="",I37&lt;=0),"Số tháng không hợp lệ; ","")&amp;IF(COUNTIF($B$7:$B$306,B37)&gt;1,"Trùng mã CPTT; ","")))</f>
        <v/>
      </c>
    </row>
    <row r="38" ht="19.5" customHeight="1" s="98">
      <c r="A38" s="164">
        <f>IF(B38="","",ROW()-6)</f>
        <v/>
      </c>
      <c r="B38" s="165" t="n"/>
      <c r="C38" s="166" t="n"/>
      <c r="D38" s="167" t="n"/>
      <c r="E38" s="167" t="n"/>
      <c r="F38" s="168" t="n"/>
      <c r="G38" s="169" t="n"/>
      <c r="H38" s="170">
        <f>IF(OR(F38="",G38=""),"",F38*G38)</f>
        <v/>
      </c>
      <c r="I38" s="171" t="n"/>
      <c r="J38" s="170">
        <f>IF(OR(H38="",E38="",P38=""),"",H38/(P38-E38+1))</f>
        <v/>
      </c>
      <c r="K38" s="165" t="n"/>
      <c r="L38" s="172">
        <f>IF(B38="","",IF(AF38&lt;=0,"Đã phân bổ",IF(P38&lt;=EDATE('Thiết lập'!$B$4,12),"Ngắn hạn","Dài hạn")))</f>
        <v/>
      </c>
      <c r="M38" s="165" t="n"/>
      <c r="N38" s="165" t="n"/>
      <c r="O38" s="165" t="n"/>
      <c r="P38" s="173">
        <f>IF(OR(E38="",I38=""),"",EDATE(E38,I38)-1)</f>
        <v/>
      </c>
      <c r="Q38" s="170">
        <f>IF(OR(B38="",E38="",P38=""),0,MIN(H38,MAX(0,MIN(P38,DATE('Thiết lập'!$B$3-1,12,31))-E38+1)*J38))</f>
        <v/>
      </c>
      <c r="R38" s="170">
        <f>IF(OR($B38="",R$4&gt;$P38,EOMONTH(R$4,0)&lt;$E38),0,MIN($H38,MAX(0,MIN(EOMONTH(R$4,0),$P38)-MAX(R$4,$E38)+1)*$J38))</f>
        <v/>
      </c>
      <c r="S38" s="170">
        <f>IF(OR($B38="",S$4&gt;$P38,EOMONTH(S$4,0)&lt;$E38),0,MIN($H38,MAX(0,MIN(EOMONTH(S$4,0),$P38)-MAX(S$4,$E38)+1)*$J38))</f>
        <v/>
      </c>
      <c r="T38" s="170">
        <f>IF(OR($B38="",T$4&gt;$P38,EOMONTH(T$4,0)&lt;$E38),0,MIN($H38,MAX(0,MIN(EOMONTH(T$4,0),$P38)-MAX(T$4,$E38)+1)*$J38))</f>
        <v/>
      </c>
      <c r="U38" s="170">
        <f>IF(OR($B38="",U$4&gt;$P38,EOMONTH(U$4,0)&lt;$E38),0,MIN($H38,MAX(0,MIN(EOMONTH(U$4,0),$P38)-MAX(U$4,$E38)+1)*$J38))</f>
        <v/>
      </c>
      <c r="V38" s="170">
        <f>IF(OR($B38="",V$4&gt;$P38,EOMONTH(V$4,0)&lt;$E38),0,MIN($H38,MAX(0,MIN(EOMONTH(V$4,0),$P38)-MAX(V$4,$E38)+1)*$J38))</f>
        <v/>
      </c>
      <c r="W38" s="170">
        <f>IF(OR($B38="",W$4&gt;$P38,EOMONTH(W$4,0)&lt;$E38),0,MIN($H38,MAX(0,MIN(EOMONTH(W$4,0),$P38)-MAX(W$4,$E38)+1)*$J38))</f>
        <v/>
      </c>
      <c r="X38" s="170">
        <f>IF(OR($B38="",X$4&gt;$P38,EOMONTH(X$4,0)&lt;$E38),0,MIN($H38,MAX(0,MIN(EOMONTH(X$4,0),$P38)-MAX(X$4,$E38)+1)*$J38))</f>
        <v/>
      </c>
      <c r="Y38" s="170">
        <f>IF(OR($B38="",Y$4&gt;$P38,EOMONTH(Y$4,0)&lt;$E38),0,MIN($H38,MAX(0,MIN(EOMONTH(Y$4,0),$P38)-MAX(Y$4,$E38)+1)*$J38))</f>
        <v/>
      </c>
      <c r="Z38" s="170">
        <f>IF(OR($B38="",Z$4&gt;$P38,EOMONTH(Z$4,0)&lt;$E38),0,MIN($H38,MAX(0,MIN(EOMONTH(Z$4,0),$P38)-MAX(Z$4,$E38)+1)*$J38))</f>
        <v/>
      </c>
      <c r="AA38" s="170">
        <f>IF(OR($B38="",AA$4&gt;$P38,EOMONTH(AA$4,0)&lt;$E38),0,MIN($H38,MAX(0,MIN(EOMONTH(AA$4,0),$P38)-MAX(AA$4,$E38)+1)*$J38))</f>
        <v/>
      </c>
      <c r="AB38" s="170">
        <f>IF(OR($B38="",AB$4&gt;$P38,EOMONTH(AB$4,0)&lt;$E38),0,MIN($H38,MAX(0,MIN(EOMONTH(AB$4,0),$P38)-MAX(AB$4,$E38)+1)*$J38))</f>
        <v/>
      </c>
      <c r="AC38" s="170">
        <f>IF(OR($B38="",AC$4&gt;$P38,EOMONTH(AC$4,0)&lt;$E38),0,MIN($H38,MAX(0,MIN(EOMONTH(AC$4,0),$P38)-MAX(AC$4,$E38)+1)*$J38))</f>
        <v/>
      </c>
      <c r="AD38" s="170">
        <f>IF(B38="","",ROUND(SUM(R38:AC38),0))</f>
        <v/>
      </c>
      <c r="AE38" s="170">
        <f>IF(B38="","",MIN(H38,ROUND(Q38+SUM(R38:AC38),0)))</f>
        <v/>
      </c>
      <c r="AF38" s="170">
        <f>IF(B38="","",MAX(H38-AE38,0))</f>
        <v/>
      </c>
      <c r="AG38" s="172">
        <f>IF(B38="","",IF('Thiết lập'!$B$4&lt;E38,"Chưa phân bổ",IF(P38&lt;='Thiết lập'!$B$4,"Đã phân bổ","Đang phân bổ")))</f>
        <v/>
      </c>
      <c r="AH38" s="166" t="n"/>
      <c r="AI38" s="174">
        <f>IF(B38="","",IF(AND(C38&lt;&gt;"",D38&lt;&gt;"",E38&lt;&gt;"",E38&gt;=D38,F38&gt;0,G38&gt;0,I38&gt;0,COUNTIF($B$7:$B$306,B38)=1),"OK",IF(C38="","Thiếu tên; ","")&amp;IF(D38="","Thiếu ngày tăng; ","")&amp;IF(E38="","Thiếu ngày bắt đầu; ","")&amp;IF(AND(D38&lt;&gt;"",E38&lt;&gt;"",E38&lt;D38),"Ngày bắt đầu &lt; ngày tăng; ","")&amp;IF(OR(F38="",F38&lt;=0),"Số lượng không hợp lệ; ","")&amp;IF(OR(G38="",G38&lt;=0),"Đơn giá không hợp lệ; ","")&amp;IF(OR(I38="",I38&lt;=0),"Số tháng không hợp lệ; ","")&amp;IF(COUNTIF($B$7:$B$306,B38)&gt;1,"Trùng mã CPTT; ","")))</f>
        <v/>
      </c>
    </row>
    <row r="39" ht="19.5" customHeight="1" s="98">
      <c r="A39" s="164">
        <f>IF(B39="","",ROW()-6)</f>
        <v/>
      </c>
      <c r="B39" s="165" t="n"/>
      <c r="C39" s="166" t="n"/>
      <c r="D39" s="167" t="n"/>
      <c r="E39" s="167" t="n"/>
      <c r="F39" s="168" t="n"/>
      <c r="G39" s="169" t="n"/>
      <c r="H39" s="170">
        <f>IF(OR(F39="",G39=""),"",F39*G39)</f>
        <v/>
      </c>
      <c r="I39" s="171" t="n"/>
      <c r="J39" s="170">
        <f>IF(OR(H39="",E39="",P39=""),"",H39/(P39-E39+1))</f>
        <v/>
      </c>
      <c r="K39" s="165" t="n"/>
      <c r="L39" s="172">
        <f>IF(B39="","",IF(AF39&lt;=0,"Đã phân bổ",IF(P39&lt;=EDATE('Thiết lập'!$B$4,12),"Ngắn hạn","Dài hạn")))</f>
        <v/>
      </c>
      <c r="M39" s="165" t="n"/>
      <c r="N39" s="165" t="n"/>
      <c r="O39" s="165" t="n"/>
      <c r="P39" s="173">
        <f>IF(OR(E39="",I39=""),"",EDATE(E39,I39)-1)</f>
        <v/>
      </c>
      <c r="Q39" s="170">
        <f>IF(OR(B39="",E39="",P39=""),0,MIN(H39,MAX(0,MIN(P39,DATE('Thiết lập'!$B$3-1,12,31))-E39+1)*J39))</f>
        <v/>
      </c>
      <c r="R39" s="170">
        <f>IF(OR($B39="",R$4&gt;$P39,EOMONTH(R$4,0)&lt;$E39),0,MIN($H39,MAX(0,MIN(EOMONTH(R$4,0),$P39)-MAX(R$4,$E39)+1)*$J39))</f>
        <v/>
      </c>
      <c r="S39" s="170">
        <f>IF(OR($B39="",S$4&gt;$P39,EOMONTH(S$4,0)&lt;$E39),0,MIN($H39,MAX(0,MIN(EOMONTH(S$4,0),$P39)-MAX(S$4,$E39)+1)*$J39))</f>
        <v/>
      </c>
      <c r="T39" s="170">
        <f>IF(OR($B39="",T$4&gt;$P39,EOMONTH(T$4,0)&lt;$E39),0,MIN($H39,MAX(0,MIN(EOMONTH(T$4,0),$P39)-MAX(T$4,$E39)+1)*$J39))</f>
        <v/>
      </c>
      <c r="U39" s="170">
        <f>IF(OR($B39="",U$4&gt;$P39,EOMONTH(U$4,0)&lt;$E39),0,MIN($H39,MAX(0,MIN(EOMONTH(U$4,0),$P39)-MAX(U$4,$E39)+1)*$J39))</f>
        <v/>
      </c>
      <c r="V39" s="170">
        <f>IF(OR($B39="",V$4&gt;$P39,EOMONTH(V$4,0)&lt;$E39),0,MIN($H39,MAX(0,MIN(EOMONTH(V$4,0),$P39)-MAX(V$4,$E39)+1)*$J39))</f>
        <v/>
      </c>
      <c r="W39" s="170">
        <f>IF(OR($B39="",W$4&gt;$P39,EOMONTH(W$4,0)&lt;$E39),0,MIN($H39,MAX(0,MIN(EOMONTH(W$4,0),$P39)-MAX(W$4,$E39)+1)*$J39))</f>
        <v/>
      </c>
      <c r="X39" s="170">
        <f>IF(OR($B39="",X$4&gt;$P39,EOMONTH(X$4,0)&lt;$E39),0,MIN($H39,MAX(0,MIN(EOMONTH(X$4,0),$P39)-MAX(X$4,$E39)+1)*$J39))</f>
        <v/>
      </c>
      <c r="Y39" s="170">
        <f>IF(OR($B39="",Y$4&gt;$P39,EOMONTH(Y$4,0)&lt;$E39),0,MIN($H39,MAX(0,MIN(EOMONTH(Y$4,0),$P39)-MAX(Y$4,$E39)+1)*$J39))</f>
        <v/>
      </c>
      <c r="Z39" s="170">
        <f>IF(OR($B39="",Z$4&gt;$P39,EOMONTH(Z$4,0)&lt;$E39),0,MIN($H39,MAX(0,MIN(EOMONTH(Z$4,0),$P39)-MAX(Z$4,$E39)+1)*$J39))</f>
        <v/>
      </c>
      <c r="AA39" s="170">
        <f>IF(OR($B39="",AA$4&gt;$P39,EOMONTH(AA$4,0)&lt;$E39),0,MIN($H39,MAX(0,MIN(EOMONTH(AA$4,0),$P39)-MAX(AA$4,$E39)+1)*$J39))</f>
        <v/>
      </c>
      <c r="AB39" s="170">
        <f>IF(OR($B39="",AB$4&gt;$P39,EOMONTH(AB$4,0)&lt;$E39),0,MIN($H39,MAX(0,MIN(EOMONTH(AB$4,0),$P39)-MAX(AB$4,$E39)+1)*$J39))</f>
        <v/>
      </c>
      <c r="AC39" s="170">
        <f>IF(OR($B39="",AC$4&gt;$P39,EOMONTH(AC$4,0)&lt;$E39),0,MIN($H39,MAX(0,MIN(EOMONTH(AC$4,0),$P39)-MAX(AC$4,$E39)+1)*$J39))</f>
        <v/>
      </c>
      <c r="AD39" s="170">
        <f>IF(B39="","",ROUND(SUM(R39:AC39),0))</f>
        <v/>
      </c>
      <c r="AE39" s="170">
        <f>IF(B39="","",MIN(H39,ROUND(Q39+SUM(R39:AC39),0)))</f>
        <v/>
      </c>
      <c r="AF39" s="170">
        <f>IF(B39="","",MAX(H39-AE39,0))</f>
        <v/>
      </c>
      <c r="AG39" s="172">
        <f>IF(B39="","",IF('Thiết lập'!$B$4&lt;E39,"Chưa phân bổ",IF(P39&lt;='Thiết lập'!$B$4,"Đã phân bổ","Đang phân bổ")))</f>
        <v/>
      </c>
      <c r="AH39" s="166" t="n"/>
      <c r="AI39" s="174">
        <f>IF(B39="","",IF(AND(C39&lt;&gt;"",D39&lt;&gt;"",E39&lt;&gt;"",E39&gt;=D39,F39&gt;0,G39&gt;0,I39&gt;0,COUNTIF($B$7:$B$306,B39)=1),"OK",IF(C39="","Thiếu tên; ","")&amp;IF(D39="","Thiếu ngày tăng; ","")&amp;IF(E39="","Thiếu ngày bắt đầu; ","")&amp;IF(AND(D39&lt;&gt;"",E39&lt;&gt;"",E39&lt;D39),"Ngày bắt đầu &lt; ngày tăng; ","")&amp;IF(OR(F39="",F39&lt;=0),"Số lượng không hợp lệ; ","")&amp;IF(OR(G39="",G39&lt;=0),"Đơn giá không hợp lệ; ","")&amp;IF(OR(I39="",I39&lt;=0),"Số tháng không hợp lệ; ","")&amp;IF(COUNTIF($B$7:$B$306,B39)&gt;1,"Trùng mã CPTT; ","")))</f>
        <v/>
      </c>
    </row>
    <row r="40" ht="19.5" customHeight="1" s="98">
      <c r="A40" s="164">
        <f>IF(B40="","",ROW()-6)</f>
        <v/>
      </c>
      <c r="B40" s="165" t="n"/>
      <c r="C40" s="166" t="n"/>
      <c r="D40" s="167" t="n"/>
      <c r="E40" s="167" t="n"/>
      <c r="F40" s="168" t="n"/>
      <c r="G40" s="169" t="n"/>
      <c r="H40" s="170">
        <f>IF(OR(F40="",G40=""),"",F40*G40)</f>
        <v/>
      </c>
      <c r="I40" s="171" t="n"/>
      <c r="J40" s="170">
        <f>IF(OR(H40="",E40="",P40=""),"",H40/(P40-E40+1))</f>
        <v/>
      </c>
      <c r="K40" s="165" t="n"/>
      <c r="L40" s="172">
        <f>IF(B40="","",IF(AF40&lt;=0,"Đã phân bổ",IF(P40&lt;=EDATE('Thiết lập'!$B$4,12),"Ngắn hạn","Dài hạn")))</f>
        <v/>
      </c>
      <c r="M40" s="165" t="n"/>
      <c r="N40" s="165" t="n"/>
      <c r="O40" s="165" t="n"/>
      <c r="P40" s="173">
        <f>IF(OR(E40="",I40=""),"",EDATE(E40,I40)-1)</f>
        <v/>
      </c>
      <c r="Q40" s="170">
        <f>IF(OR(B40="",E40="",P40=""),0,MIN(H40,MAX(0,MIN(P40,DATE('Thiết lập'!$B$3-1,12,31))-E40+1)*J40))</f>
        <v/>
      </c>
      <c r="R40" s="170">
        <f>IF(OR($B40="",R$4&gt;$P40,EOMONTH(R$4,0)&lt;$E40),0,MIN($H40,MAX(0,MIN(EOMONTH(R$4,0),$P40)-MAX(R$4,$E40)+1)*$J40))</f>
        <v/>
      </c>
      <c r="S40" s="170">
        <f>IF(OR($B40="",S$4&gt;$P40,EOMONTH(S$4,0)&lt;$E40),0,MIN($H40,MAX(0,MIN(EOMONTH(S$4,0),$P40)-MAX(S$4,$E40)+1)*$J40))</f>
        <v/>
      </c>
      <c r="T40" s="170">
        <f>IF(OR($B40="",T$4&gt;$P40,EOMONTH(T$4,0)&lt;$E40),0,MIN($H40,MAX(0,MIN(EOMONTH(T$4,0),$P40)-MAX(T$4,$E40)+1)*$J40))</f>
        <v/>
      </c>
      <c r="U40" s="170">
        <f>IF(OR($B40="",U$4&gt;$P40,EOMONTH(U$4,0)&lt;$E40),0,MIN($H40,MAX(0,MIN(EOMONTH(U$4,0),$P40)-MAX(U$4,$E40)+1)*$J40))</f>
        <v/>
      </c>
      <c r="V40" s="170">
        <f>IF(OR($B40="",V$4&gt;$P40,EOMONTH(V$4,0)&lt;$E40),0,MIN($H40,MAX(0,MIN(EOMONTH(V$4,0),$P40)-MAX(V$4,$E40)+1)*$J40))</f>
        <v/>
      </c>
      <c r="W40" s="170">
        <f>IF(OR($B40="",W$4&gt;$P40,EOMONTH(W$4,0)&lt;$E40),0,MIN($H40,MAX(0,MIN(EOMONTH(W$4,0),$P40)-MAX(W$4,$E40)+1)*$J40))</f>
        <v/>
      </c>
      <c r="X40" s="170">
        <f>IF(OR($B40="",X$4&gt;$P40,EOMONTH(X$4,0)&lt;$E40),0,MIN($H40,MAX(0,MIN(EOMONTH(X$4,0),$P40)-MAX(X$4,$E40)+1)*$J40))</f>
        <v/>
      </c>
      <c r="Y40" s="170">
        <f>IF(OR($B40="",Y$4&gt;$P40,EOMONTH(Y$4,0)&lt;$E40),0,MIN($H40,MAX(0,MIN(EOMONTH(Y$4,0),$P40)-MAX(Y$4,$E40)+1)*$J40))</f>
        <v/>
      </c>
      <c r="Z40" s="170">
        <f>IF(OR($B40="",Z$4&gt;$P40,EOMONTH(Z$4,0)&lt;$E40),0,MIN($H40,MAX(0,MIN(EOMONTH(Z$4,0),$P40)-MAX(Z$4,$E40)+1)*$J40))</f>
        <v/>
      </c>
      <c r="AA40" s="170">
        <f>IF(OR($B40="",AA$4&gt;$P40,EOMONTH(AA$4,0)&lt;$E40),0,MIN($H40,MAX(0,MIN(EOMONTH(AA$4,0),$P40)-MAX(AA$4,$E40)+1)*$J40))</f>
        <v/>
      </c>
      <c r="AB40" s="170">
        <f>IF(OR($B40="",AB$4&gt;$P40,EOMONTH(AB$4,0)&lt;$E40),0,MIN($H40,MAX(0,MIN(EOMONTH(AB$4,0),$P40)-MAX(AB$4,$E40)+1)*$J40))</f>
        <v/>
      </c>
      <c r="AC40" s="170">
        <f>IF(OR($B40="",AC$4&gt;$P40,EOMONTH(AC$4,0)&lt;$E40),0,MIN($H40,MAX(0,MIN(EOMONTH(AC$4,0),$P40)-MAX(AC$4,$E40)+1)*$J40))</f>
        <v/>
      </c>
      <c r="AD40" s="170">
        <f>IF(B40="","",ROUND(SUM(R40:AC40),0))</f>
        <v/>
      </c>
      <c r="AE40" s="170">
        <f>IF(B40="","",MIN(H40,ROUND(Q40+SUM(R40:AC40),0)))</f>
        <v/>
      </c>
      <c r="AF40" s="170">
        <f>IF(B40="","",MAX(H40-AE40,0))</f>
        <v/>
      </c>
      <c r="AG40" s="172">
        <f>IF(B40="","",IF('Thiết lập'!$B$4&lt;E40,"Chưa phân bổ",IF(P40&lt;='Thiết lập'!$B$4,"Đã phân bổ","Đang phân bổ")))</f>
        <v/>
      </c>
      <c r="AH40" s="166" t="n"/>
      <c r="AI40" s="174">
        <f>IF(B40="","",IF(AND(C40&lt;&gt;"",D40&lt;&gt;"",E40&lt;&gt;"",E40&gt;=D40,F40&gt;0,G40&gt;0,I40&gt;0,COUNTIF($B$7:$B$306,B40)=1),"OK",IF(C40="","Thiếu tên; ","")&amp;IF(D40="","Thiếu ngày tăng; ","")&amp;IF(E40="","Thiếu ngày bắt đầu; ","")&amp;IF(AND(D40&lt;&gt;"",E40&lt;&gt;"",E40&lt;D40),"Ngày bắt đầu &lt; ngày tăng; ","")&amp;IF(OR(F40="",F40&lt;=0),"Số lượng không hợp lệ; ","")&amp;IF(OR(G40="",G40&lt;=0),"Đơn giá không hợp lệ; ","")&amp;IF(OR(I40="",I40&lt;=0),"Số tháng không hợp lệ; ","")&amp;IF(COUNTIF($B$7:$B$306,B40)&gt;1,"Trùng mã CPTT; ","")))</f>
        <v/>
      </c>
    </row>
    <row r="41" ht="19.5" customHeight="1" s="98">
      <c r="A41" s="164">
        <f>IF(B41="","",ROW()-6)</f>
        <v/>
      </c>
      <c r="B41" s="165" t="n"/>
      <c r="C41" s="166" t="n"/>
      <c r="D41" s="167" t="n"/>
      <c r="E41" s="167" t="n"/>
      <c r="F41" s="168" t="n"/>
      <c r="G41" s="169" t="n"/>
      <c r="H41" s="170">
        <f>IF(OR(F41="",G41=""),"",F41*G41)</f>
        <v/>
      </c>
      <c r="I41" s="171" t="n"/>
      <c r="J41" s="170">
        <f>IF(OR(H41="",E41="",P41=""),"",H41/(P41-E41+1))</f>
        <v/>
      </c>
      <c r="K41" s="165" t="n"/>
      <c r="L41" s="172">
        <f>IF(B41="","",IF(AF41&lt;=0,"Đã phân bổ",IF(P41&lt;=EDATE('Thiết lập'!$B$4,12),"Ngắn hạn","Dài hạn")))</f>
        <v/>
      </c>
      <c r="M41" s="165" t="n"/>
      <c r="N41" s="165" t="n"/>
      <c r="O41" s="165" t="n"/>
      <c r="P41" s="173">
        <f>IF(OR(E41="",I41=""),"",EDATE(E41,I41)-1)</f>
        <v/>
      </c>
      <c r="Q41" s="170">
        <f>IF(OR(B41="",E41="",P41=""),0,MIN(H41,MAX(0,MIN(P41,DATE('Thiết lập'!$B$3-1,12,31))-E41+1)*J41))</f>
        <v/>
      </c>
      <c r="R41" s="170">
        <f>IF(OR($B41="",R$4&gt;$P41,EOMONTH(R$4,0)&lt;$E41),0,MIN($H41,MAX(0,MIN(EOMONTH(R$4,0),$P41)-MAX(R$4,$E41)+1)*$J41))</f>
        <v/>
      </c>
      <c r="S41" s="170">
        <f>IF(OR($B41="",S$4&gt;$P41,EOMONTH(S$4,0)&lt;$E41),0,MIN($H41,MAX(0,MIN(EOMONTH(S$4,0),$P41)-MAX(S$4,$E41)+1)*$J41))</f>
        <v/>
      </c>
      <c r="T41" s="170">
        <f>IF(OR($B41="",T$4&gt;$P41,EOMONTH(T$4,0)&lt;$E41),0,MIN($H41,MAX(0,MIN(EOMONTH(T$4,0),$P41)-MAX(T$4,$E41)+1)*$J41))</f>
        <v/>
      </c>
      <c r="U41" s="170">
        <f>IF(OR($B41="",U$4&gt;$P41,EOMONTH(U$4,0)&lt;$E41),0,MIN($H41,MAX(0,MIN(EOMONTH(U$4,0),$P41)-MAX(U$4,$E41)+1)*$J41))</f>
        <v/>
      </c>
      <c r="V41" s="170">
        <f>IF(OR($B41="",V$4&gt;$P41,EOMONTH(V$4,0)&lt;$E41),0,MIN($H41,MAX(0,MIN(EOMONTH(V$4,0),$P41)-MAX(V$4,$E41)+1)*$J41))</f>
        <v/>
      </c>
      <c r="W41" s="170">
        <f>IF(OR($B41="",W$4&gt;$P41,EOMONTH(W$4,0)&lt;$E41),0,MIN($H41,MAX(0,MIN(EOMONTH(W$4,0),$P41)-MAX(W$4,$E41)+1)*$J41))</f>
        <v/>
      </c>
      <c r="X41" s="170">
        <f>IF(OR($B41="",X$4&gt;$P41,EOMONTH(X$4,0)&lt;$E41),0,MIN($H41,MAX(0,MIN(EOMONTH(X$4,0),$P41)-MAX(X$4,$E41)+1)*$J41))</f>
        <v/>
      </c>
      <c r="Y41" s="170">
        <f>IF(OR($B41="",Y$4&gt;$P41,EOMONTH(Y$4,0)&lt;$E41),0,MIN($H41,MAX(0,MIN(EOMONTH(Y$4,0),$P41)-MAX(Y$4,$E41)+1)*$J41))</f>
        <v/>
      </c>
      <c r="Z41" s="170">
        <f>IF(OR($B41="",Z$4&gt;$P41,EOMONTH(Z$4,0)&lt;$E41),0,MIN($H41,MAX(0,MIN(EOMONTH(Z$4,0),$P41)-MAX(Z$4,$E41)+1)*$J41))</f>
        <v/>
      </c>
      <c r="AA41" s="170">
        <f>IF(OR($B41="",AA$4&gt;$P41,EOMONTH(AA$4,0)&lt;$E41),0,MIN($H41,MAX(0,MIN(EOMONTH(AA$4,0),$P41)-MAX(AA$4,$E41)+1)*$J41))</f>
        <v/>
      </c>
      <c r="AB41" s="170">
        <f>IF(OR($B41="",AB$4&gt;$P41,EOMONTH(AB$4,0)&lt;$E41),0,MIN($H41,MAX(0,MIN(EOMONTH(AB$4,0),$P41)-MAX(AB$4,$E41)+1)*$J41))</f>
        <v/>
      </c>
      <c r="AC41" s="170">
        <f>IF(OR($B41="",AC$4&gt;$P41,EOMONTH(AC$4,0)&lt;$E41),0,MIN($H41,MAX(0,MIN(EOMONTH(AC$4,0),$P41)-MAX(AC$4,$E41)+1)*$J41))</f>
        <v/>
      </c>
      <c r="AD41" s="170">
        <f>IF(B41="","",ROUND(SUM(R41:AC41),0))</f>
        <v/>
      </c>
      <c r="AE41" s="170">
        <f>IF(B41="","",MIN(H41,ROUND(Q41+SUM(R41:AC41),0)))</f>
        <v/>
      </c>
      <c r="AF41" s="170">
        <f>IF(B41="","",MAX(H41-AE41,0))</f>
        <v/>
      </c>
      <c r="AG41" s="172">
        <f>IF(B41="","",IF('Thiết lập'!$B$4&lt;E41,"Chưa phân bổ",IF(P41&lt;='Thiết lập'!$B$4,"Đã phân bổ","Đang phân bổ")))</f>
        <v/>
      </c>
      <c r="AH41" s="166" t="n"/>
      <c r="AI41" s="174">
        <f>IF(B41="","",IF(AND(C41&lt;&gt;"",D41&lt;&gt;"",E41&lt;&gt;"",E41&gt;=D41,F41&gt;0,G41&gt;0,I41&gt;0,COUNTIF($B$7:$B$306,B41)=1),"OK",IF(C41="","Thiếu tên; ","")&amp;IF(D41="","Thiếu ngày tăng; ","")&amp;IF(E41="","Thiếu ngày bắt đầu; ","")&amp;IF(AND(D41&lt;&gt;"",E41&lt;&gt;"",E41&lt;D41),"Ngày bắt đầu &lt; ngày tăng; ","")&amp;IF(OR(F41="",F41&lt;=0),"Số lượng không hợp lệ; ","")&amp;IF(OR(G41="",G41&lt;=0),"Đơn giá không hợp lệ; ","")&amp;IF(OR(I41="",I41&lt;=0),"Số tháng không hợp lệ; ","")&amp;IF(COUNTIF($B$7:$B$306,B41)&gt;1,"Trùng mã CPTT; ","")))</f>
        <v/>
      </c>
    </row>
    <row r="42" ht="19.5" customHeight="1" s="98">
      <c r="A42" s="164">
        <f>IF(B42="","",ROW()-6)</f>
        <v/>
      </c>
      <c r="B42" s="165" t="n"/>
      <c r="C42" s="166" t="n"/>
      <c r="D42" s="167" t="n"/>
      <c r="E42" s="167" t="n"/>
      <c r="F42" s="168" t="n"/>
      <c r="G42" s="169" t="n"/>
      <c r="H42" s="170">
        <f>IF(OR(F42="",G42=""),"",F42*G42)</f>
        <v/>
      </c>
      <c r="I42" s="171" t="n"/>
      <c r="J42" s="170">
        <f>IF(OR(H42="",E42="",P42=""),"",H42/(P42-E42+1))</f>
        <v/>
      </c>
      <c r="K42" s="165" t="n"/>
      <c r="L42" s="172">
        <f>IF(B42="","",IF(AF42&lt;=0,"Đã phân bổ",IF(P42&lt;=EDATE('Thiết lập'!$B$4,12),"Ngắn hạn","Dài hạn")))</f>
        <v/>
      </c>
      <c r="M42" s="165" t="n"/>
      <c r="N42" s="165" t="n"/>
      <c r="O42" s="165" t="n"/>
      <c r="P42" s="173">
        <f>IF(OR(E42="",I42=""),"",EDATE(E42,I42)-1)</f>
        <v/>
      </c>
      <c r="Q42" s="170">
        <f>IF(OR(B42="",E42="",P42=""),0,MIN(H42,MAX(0,MIN(P42,DATE('Thiết lập'!$B$3-1,12,31))-E42+1)*J42))</f>
        <v/>
      </c>
      <c r="R42" s="170">
        <f>IF(OR($B42="",R$4&gt;$P42,EOMONTH(R$4,0)&lt;$E42),0,MIN($H42,MAX(0,MIN(EOMONTH(R$4,0),$P42)-MAX(R$4,$E42)+1)*$J42))</f>
        <v/>
      </c>
      <c r="S42" s="170">
        <f>IF(OR($B42="",S$4&gt;$P42,EOMONTH(S$4,0)&lt;$E42),0,MIN($H42,MAX(0,MIN(EOMONTH(S$4,0),$P42)-MAX(S$4,$E42)+1)*$J42))</f>
        <v/>
      </c>
      <c r="T42" s="170">
        <f>IF(OR($B42="",T$4&gt;$P42,EOMONTH(T$4,0)&lt;$E42),0,MIN($H42,MAX(0,MIN(EOMONTH(T$4,0),$P42)-MAX(T$4,$E42)+1)*$J42))</f>
        <v/>
      </c>
      <c r="U42" s="170">
        <f>IF(OR($B42="",U$4&gt;$P42,EOMONTH(U$4,0)&lt;$E42),0,MIN($H42,MAX(0,MIN(EOMONTH(U$4,0),$P42)-MAX(U$4,$E42)+1)*$J42))</f>
        <v/>
      </c>
      <c r="V42" s="170">
        <f>IF(OR($B42="",V$4&gt;$P42,EOMONTH(V$4,0)&lt;$E42),0,MIN($H42,MAX(0,MIN(EOMONTH(V$4,0),$P42)-MAX(V$4,$E42)+1)*$J42))</f>
        <v/>
      </c>
      <c r="W42" s="170">
        <f>IF(OR($B42="",W$4&gt;$P42,EOMONTH(W$4,0)&lt;$E42),0,MIN($H42,MAX(0,MIN(EOMONTH(W$4,0),$P42)-MAX(W$4,$E42)+1)*$J42))</f>
        <v/>
      </c>
      <c r="X42" s="170">
        <f>IF(OR($B42="",X$4&gt;$P42,EOMONTH(X$4,0)&lt;$E42),0,MIN($H42,MAX(0,MIN(EOMONTH(X$4,0),$P42)-MAX(X$4,$E42)+1)*$J42))</f>
        <v/>
      </c>
      <c r="Y42" s="170">
        <f>IF(OR($B42="",Y$4&gt;$P42,EOMONTH(Y$4,0)&lt;$E42),0,MIN($H42,MAX(0,MIN(EOMONTH(Y$4,0),$P42)-MAX(Y$4,$E42)+1)*$J42))</f>
        <v/>
      </c>
      <c r="Z42" s="170">
        <f>IF(OR($B42="",Z$4&gt;$P42,EOMONTH(Z$4,0)&lt;$E42),0,MIN($H42,MAX(0,MIN(EOMONTH(Z$4,0),$P42)-MAX(Z$4,$E42)+1)*$J42))</f>
        <v/>
      </c>
      <c r="AA42" s="170">
        <f>IF(OR($B42="",AA$4&gt;$P42,EOMONTH(AA$4,0)&lt;$E42),0,MIN($H42,MAX(0,MIN(EOMONTH(AA$4,0),$P42)-MAX(AA$4,$E42)+1)*$J42))</f>
        <v/>
      </c>
      <c r="AB42" s="170">
        <f>IF(OR($B42="",AB$4&gt;$P42,EOMONTH(AB$4,0)&lt;$E42),0,MIN($H42,MAX(0,MIN(EOMONTH(AB$4,0),$P42)-MAX(AB$4,$E42)+1)*$J42))</f>
        <v/>
      </c>
      <c r="AC42" s="170">
        <f>IF(OR($B42="",AC$4&gt;$P42,EOMONTH(AC$4,0)&lt;$E42),0,MIN($H42,MAX(0,MIN(EOMONTH(AC$4,0),$P42)-MAX(AC$4,$E42)+1)*$J42))</f>
        <v/>
      </c>
      <c r="AD42" s="170">
        <f>IF(B42="","",ROUND(SUM(R42:AC42),0))</f>
        <v/>
      </c>
      <c r="AE42" s="170">
        <f>IF(B42="","",MIN(H42,ROUND(Q42+SUM(R42:AC42),0)))</f>
        <v/>
      </c>
      <c r="AF42" s="170">
        <f>IF(B42="","",MAX(H42-AE42,0))</f>
        <v/>
      </c>
      <c r="AG42" s="172">
        <f>IF(B42="","",IF('Thiết lập'!$B$4&lt;E42,"Chưa phân bổ",IF(P42&lt;='Thiết lập'!$B$4,"Đã phân bổ","Đang phân bổ")))</f>
        <v/>
      </c>
      <c r="AH42" s="166" t="n"/>
      <c r="AI42" s="174">
        <f>IF(B42="","",IF(AND(C42&lt;&gt;"",D42&lt;&gt;"",E42&lt;&gt;"",E42&gt;=D42,F42&gt;0,G42&gt;0,I42&gt;0,COUNTIF($B$7:$B$306,B42)=1),"OK",IF(C42="","Thiếu tên; ","")&amp;IF(D42="","Thiếu ngày tăng; ","")&amp;IF(E42="","Thiếu ngày bắt đầu; ","")&amp;IF(AND(D42&lt;&gt;"",E42&lt;&gt;"",E42&lt;D42),"Ngày bắt đầu &lt; ngày tăng; ","")&amp;IF(OR(F42="",F42&lt;=0),"Số lượng không hợp lệ; ","")&amp;IF(OR(G42="",G42&lt;=0),"Đơn giá không hợp lệ; ","")&amp;IF(OR(I42="",I42&lt;=0),"Số tháng không hợp lệ; ","")&amp;IF(COUNTIF($B$7:$B$306,B42)&gt;1,"Trùng mã CPTT; ","")))</f>
        <v/>
      </c>
    </row>
    <row r="43" ht="19.5" customHeight="1" s="98">
      <c r="A43" s="164">
        <f>IF(B43="","",ROW()-6)</f>
        <v/>
      </c>
      <c r="B43" s="165" t="n"/>
      <c r="C43" s="166" t="n"/>
      <c r="D43" s="167" t="n"/>
      <c r="E43" s="167" t="n"/>
      <c r="F43" s="168" t="n"/>
      <c r="G43" s="169" t="n"/>
      <c r="H43" s="170">
        <f>IF(OR(F43="",G43=""),"",F43*G43)</f>
        <v/>
      </c>
      <c r="I43" s="171" t="n"/>
      <c r="J43" s="170">
        <f>IF(OR(H43="",E43="",P43=""),"",H43/(P43-E43+1))</f>
        <v/>
      </c>
      <c r="K43" s="165" t="n"/>
      <c r="L43" s="172">
        <f>IF(B43="","",IF(AF43&lt;=0,"Đã phân bổ",IF(P43&lt;=EDATE('Thiết lập'!$B$4,12),"Ngắn hạn","Dài hạn")))</f>
        <v/>
      </c>
      <c r="M43" s="165" t="n"/>
      <c r="N43" s="165" t="n"/>
      <c r="O43" s="165" t="n"/>
      <c r="P43" s="173">
        <f>IF(OR(E43="",I43=""),"",EDATE(E43,I43)-1)</f>
        <v/>
      </c>
      <c r="Q43" s="170">
        <f>IF(OR(B43="",E43="",P43=""),0,MIN(H43,MAX(0,MIN(P43,DATE('Thiết lập'!$B$3-1,12,31))-E43+1)*J43))</f>
        <v/>
      </c>
      <c r="R43" s="170">
        <f>IF(OR($B43="",R$4&gt;$P43,EOMONTH(R$4,0)&lt;$E43),0,MIN($H43,MAX(0,MIN(EOMONTH(R$4,0),$P43)-MAX(R$4,$E43)+1)*$J43))</f>
        <v/>
      </c>
      <c r="S43" s="170">
        <f>IF(OR($B43="",S$4&gt;$P43,EOMONTH(S$4,0)&lt;$E43),0,MIN($H43,MAX(0,MIN(EOMONTH(S$4,0),$P43)-MAX(S$4,$E43)+1)*$J43))</f>
        <v/>
      </c>
      <c r="T43" s="170">
        <f>IF(OR($B43="",T$4&gt;$P43,EOMONTH(T$4,0)&lt;$E43),0,MIN($H43,MAX(0,MIN(EOMONTH(T$4,0),$P43)-MAX(T$4,$E43)+1)*$J43))</f>
        <v/>
      </c>
      <c r="U43" s="170">
        <f>IF(OR($B43="",U$4&gt;$P43,EOMONTH(U$4,0)&lt;$E43),0,MIN($H43,MAX(0,MIN(EOMONTH(U$4,0),$P43)-MAX(U$4,$E43)+1)*$J43))</f>
        <v/>
      </c>
      <c r="V43" s="170">
        <f>IF(OR($B43="",V$4&gt;$P43,EOMONTH(V$4,0)&lt;$E43),0,MIN($H43,MAX(0,MIN(EOMONTH(V$4,0),$P43)-MAX(V$4,$E43)+1)*$J43))</f>
        <v/>
      </c>
      <c r="W43" s="170">
        <f>IF(OR($B43="",W$4&gt;$P43,EOMONTH(W$4,0)&lt;$E43),0,MIN($H43,MAX(0,MIN(EOMONTH(W$4,0),$P43)-MAX(W$4,$E43)+1)*$J43))</f>
        <v/>
      </c>
      <c r="X43" s="170">
        <f>IF(OR($B43="",X$4&gt;$P43,EOMONTH(X$4,0)&lt;$E43),0,MIN($H43,MAX(0,MIN(EOMONTH(X$4,0),$P43)-MAX(X$4,$E43)+1)*$J43))</f>
        <v/>
      </c>
      <c r="Y43" s="170">
        <f>IF(OR($B43="",Y$4&gt;$P43,EOMONTH(Y$4,0)&lt;$E43),0,MIN($H43,MAX(0,MIN(EOMONTH(Y$4,0),$P43)-MAX(Y$4,$E43)+1)*$J43))</f>
        <v/>
      </c>
      <c r="Z43" s="170">
        <f>IF(OR($B43="",Z$4&gt;$P43,EOMONTH(Z$4,0)&lt;$E43),0,MIN($H43,MAX(0,MIN(EOMONTH(Z$4,0),$P43)-MAX(Z$4,$E43)+1)*$J43))</f>
        <v/>
      </c>
      <c r="AA43" s="170">
        <f>IF(OR($B43="",AA$4&gt;$P43,EOMONTH(AA$4,0)&lt;$E43),0,MIN($H43,MAX(0,MIN(EOMONTH(AA$4,0),$P43)-MAX(AA$4,$E43)+1)*$J43))</f>
        <v/>
      </c>
      <c r="AB43" s="170">
        <f>IF(OR($B43="",AB$4&gt;$P43,EOMONTH(AB$4,0)&lt;$E43),0,MIN($H43,MAX(0,MIN(EOMONTH(AB$4,0),$P43)-MAX(AB$4,$E43)+1)*$J43))</f>
        <v/>
      </c>
      <c r="AC43" s="170">
        <f>IF(OR($B43="",AC$4&gt;$P43,EOMONTH(AC$4,0)&lt;$E43),0,MIN($H43,MAX(0,MIN(EOMONTH(AC$4,0),$P43)-MAX(AC$4,$E43)+1)*$J43))</f>
        <v/>
      </c>
      <c r="AD43" s="170">
        <f>IF(B43="","",ROUND(SUM(R43:AC43),0))</f>
        <v/>
      </c>
      <c r="AE43" s="170">
        <f>IF(B43="","",MIN(H43,ROUND(Q43+SUM(R43:AC43),0)))</f>
        <v/>
      </c>
      <c r="AF43" s="170">
        <f>IF(B43="","",MAX(H43-AE43,0))</f>
        <v/>
      </c>
      <c r="AG43" s="172">
        <f>IF(B43="","",IF('Thiết lập'!$B$4&lt;E43,"Chưa phân bổ",IF(P43&lt;='Thiết lập'!$B$4,"Đã phân bổ","Đang phân bổ")))</f>
        <v/>
      </c>
      <c r="AH43" s="166" t="n"/>
      <c r="AI43" s="174">
        <f>IF(B43="","",IF(AND(C43&lt;&gt;"",D43&lt;&gt;"",E43&lt;&gt;"",E43&gt;=D43,F43&gt;0,G43&gt;0,I43&gt;0,COUNTIF($B$7:$B$306,B43)=1),"OK",IF(C43="","Thiếu tên; ","")&amp;IF(D43="","Thiếu ngày tăng; ","")&amp;IF(E43="","Thiếu ngày bắt đầu; ","")&amp;IF(AND(D43&lt;&gt;"",E43&lt;&gt;"",E43&lt;D43),"Ngày bắt đầu &lt; ngày tăng; ","")&amp;IF(OR(F43="",F43&lt;=0),"Số lượng không hợp lệ; ","")&amp;IF(OR(G43="",G43&lt;=0),"Đơn giá không hợp lệ; ","")&amp;IF(OR(I43="",I43&lt;=0),"Số tháng không hợp lệ; ","")&amp;IF(COUNTIF($B$7:$B$306,B43)&gt;1,"Trùng mã CPTT; ","")))</f>
        <v/>
      </c>
    </row>
    <row r="44" ht="19.5" customHeight="1" s="98">
      <c r="A44" s="164">
        <f>IF(B44="","",ROW()-6)</f>
        <v/>
      </c>
      <c r="B44" s="165" t="n"/>
      <c r="C44" s="166" t="n"/>
      <c r="D44" s="167" t="n"/>
      <c r="E44" s="167" t="n"/>
      <c r="F44" s="168" t="n"/>
      <c r="G44" s="169" t="n"/>
      <c r="H44" s="170">
        <f>IF(OR(F44="",G44=""),"",F44*G44)</f>
        <v/>
      </c>
      <c r="I44" s="171" t="n"/>
      <c r="J44" s="170">
        <f>IF(OR(H44="",E44="",P44=""),"",H44/(P44-E44+1))</f>
        <v/>
      </c>
      <c r="K44" s="165" t="n"/>
      <c r="L44" s="172">
        <f>IF(B44="","",IF(AF44&lt;=0,"Đã phân bổ",IF(P44&lt;=EDATE('Thiết lập'!$B$4,12),"Ngắn hạn","Dài hạn")))</f>
        <v/>
      </c>
      <c r="M44" s="165" t="n"/>
      <c r="N44" s="165" t="n"/>
      <c r="O44" s="165" t="n"/>
      <c r="P44" s="173">
        <f>IF(OR(E44="",I44=""),"",EDATE(E44,I44)-1)</f>
        <v/>
      </c>
      <c r="Q44" s="170">
        <f>IF(OR(B44="",E44="",P44=""),0,MIN(H44,MAX(0,MIN(P44,DATE('Thiết lập'!$B$3-1,12,31))-E44+1)*J44))</f>
        <v/>
      </c>
      <c r="R44" s="170">
        <f>IF(OR($B44="",R$4&gt;$P44,EOMONTH(R$4,0)&lt;$E44),0,MIN($H44,MAX(0,MIN(EOMONTH(R$4,0),$P44)-MAX(R$4,$E44)+1)*$J44))</f>
        <v/>
      </c>
      <c r="S44" s="170">
        <f>IF(OR($B44="",S$4&gt;$P44,EOMONTH(S$4,0)&lt;$E44),0,MIN($H44,MAX(0,MIN(EOMONTH(S$4,0),$P44)-MAX(S$4,$E44)+1)*$J44))</f>
        <v/>
      </c>
      <c r="T44" s="170">
        <f>IF(OR($B44="",T$4&gt;$P44,EOMONTH(T$4,0)&lt;$E44),0,MIN($H44,MAX(0,MIN(EOMONTH(T$4,0),$P44)-MAX(T$4,$E44)+1)*$J44))</f>
        <v/>
      </c>
      <c r="U44" s="170">
        <f>IF(OR($B44="",U$4&gt;$P44,EOMONTH(U$4,0)&lt;$E44),0,MIN($H44,MAX(0,MIN(EOMONTH(U$4,0),$P44)-MAX(U$4,$E44)+1)*$J44))</f>
        <v/>
      </c>
      <c r="V44" s="170">
        <f>IF(OR($B44="",V$4&gt;$P44,EOMONTH(V$4,0)&lt;$E44),0,MIN($H44,MAX(0,MIN(EOMONTH(V$4,0),$P44)-MAX(V$4,$E44)+1)*$J44))</f>
        <v/>
      </c>
      <c r="W44" s="170">
        <f>IF(OR($B44="",W$4&gt;$P44,EOMONTH(W$4,0)&lt;$E44),0,MIN($H44,MAX(0,MIN(EOMONTH(W$4,0),$P44)-MAX(W$4,$E44)+1)*$J44))</f>
        <v/>
      </c>
      <c r="X44" s="170">
        <f>IF(OR($B44="",X$4&gt;$P44,EOMONTH(X$4,0)&lt;$E44),0,MIN($H44,MAX(0,MIN(EOMONTH(X$4,0),$P44)-MAX(X$4,$E44)+1)*$J44))</f>
        <v/>
      </c>
      <c r="Y44" s="170">
        <f>IF(OR($B44="",Y$4&gt;$P44,EOMONTH(Y$4,0)&lt;$E44),0,MIN($H44,MAX(0,MIN(EOMONTH(Y$4,0),$P44)-MAX(Y$4,$E44)+1)*$J44))</f>
        <v/>
      </c>
      <c r="Z44" s="170">
        <f>IF(OR($B44="",Z$4&gt;$P44,EOMONTH(Z$4,0)&lt;$E44),0,MIN($H44,MAX(0,MIN(EOMONTH(Z$4,0),$P44)-MAX(Z$4,$E44)+1)*$J44))</f>
        <v/>
      </c>
      <c r="AA44" s="170">
        <f>IF(OR($B44="",AA$4&gt;$P44,EOMONTH(AA$4,0)&lt;$E44),0,MIN($H44,MAX(0,MIN(EOMONTH(AA$4,0),$P44)-MAX(AA$4,$E44)+1)*$J44))</f>
        <v/>
      </c>
      <c r="AB44" s="170">
        <f>IF(OR($B44="",AB$4&gt;$P44,EOMONTH(AB$4,0)&lt;$E44),0,MIN($H44,MAX(0,MIN(EOMONTH(AB$4,0),$P44)-MAX(AB$4,$E44)+1)*$J44))</f>
        <v/>
      </c>
      <c r="AC44" s="170">
        <f>IF(OR($B44="",AC$4&gt;$P44,EOMONTH(AC$4,0)&lt;$E44),0,MIN($H44,MAX(0,MIN(EOMONTH(AC$4,0),$P44)-MAX(AC$4,$E44)+1)*$J44))</f>
        <v/>
      </c>
      <c r="AD44" s="170">
        <f>IF(B44="","",ROUND(SUM(R44:AC44),0))</f>
        <v/>
      </c>
      <c r="AE44" s="170">
        <f>IF(B44="","",MIN(H44,ROUND(Q44+SUM(R44:AC44),0)))</f>
        <v/>
      </c>
      <c r="AF44" s="170">
        <f>IF(B44="","",MAX(H44-AE44,0))</f>
        <v/>
      </c>
      <c r="AG44" s="172">
        <f>IF(B44="","",IF('Thiết lập'!$B$4&lt;E44,"Chưa phân bổ",IF(P44&lt;='Thiết lập'!$B$4,"Đã phân bổ","Đang phân bổ")))</f>
        <v/>
      </c>
      <c r="AH44" s="166" t="n"/>
      <c r="AI44" s="174">
        <f>IF(B44="","",IF(AND(C44&lt;&gt;"",D44&lt;&gt;"",E44&lt;&gt;"",E44&gt;=D44,F44&gt;0,G44&gt;0,I44&gt;0,COUNTIF($B$7:$B$306,B44)=1),"OK",IF(C44="","Thiếu tên; ","")&amp;IF(D44="","Thiếu ngày tăng; ","")&amp;IF(E44="","Thiếu ngày bắt đầu; ","")&amp;IF(AND(D44&lt;&gt;"",E44&lt;&gt;"",E44&lt;D44),"Ngày bắt đầu &lt; ngày tăng; ","")&amp;IF(OR(F44="",F44&lt;=0),"Số lượng không hợp lệ; ","")&amp;IF(OR(G44="",G44&lt;=0),"Đơn giá không hợp lệ; ","")&amp;IF(OR(I44="",I44&lt;=0),"Số tháng không hợp lệ; ","")&amp;IF(COUNTIF($B$7:$B$306,B44)&gt;1,"Trùng mã CPTT; ","")))</f>
        <v/>
      </c>
    </row>
    <row r="45" ht="19.5" customHeight="1" s="98">
      <c r="A45" s="164">
        <f>IF(B45="","",ROW()-6)</f>
        <v/>
      </c>
      <c r="B45" s="165" t="n"/>
      <c r="C45" s="166" t="n"/>
      <c r="D45" s="167" t="n"/>
      <c r="E45" s="167" t="n"/>
      <c r="F45" s="168" t="n"/>
      <c r="G45" s="169" t="n"/>
      <c r="H45" s="170">
        <f>IF(OR(F45="",G45=""),"",F45*G45)</f>
        <v/>
      </c>
      <c r="I45" s="171" t="n"/>
      <c r="J45" s="170">
        <f>IF(OR(H45="",E45="",P45=""),"",H45/(P45-E45+1))</f>
        <v/>
      </c>
      <c r="K45" s="165" t="n"/>
      <c r="L45" s="172">
        <f>IF(B45="","",IF(AF45&lt;=0,"Đã phân bổ",IF(P45&lt;=EDATE('Thiết lập'!$B$4,12),"Ngắn hạn","Dài hạn")))</f>
        <v/>
      </c>
      <c r="M45" s="165" t="n"/>
      <c r="N45" s="165" t="n"/>
      <c r="O45" s="165" t="n"/>
      <c r="P45" s="173">
        <f>IF(OR(E45="",I45=""),"",EDATE(E45,I45)-1)</f>
        <v/>
      </c>
      <c r="Q45" s="170">
        <f>IF(OR(B45="",E45="",P45=""),0,MIN(H45,MAX(0,MIN(P45,DATE('Thiết lập'!$B$3-1,12,31))-E45+1)*J45))</f>
        <v/>
      </c>
      <c r="R45" s="170">
        <f>IF(OR($B45="",R$4&gt;$P45,EOMONTH(R$4,0)&lt;$E45),0,MIN($H45,MAX(0,MIN(EOMONTH(R$4,0),$P45)-MAX(R$4,$E45)+1)*$J45))</f>
        <v/>
      </c>
      <c r="S45" s="170">
        <f>IF(OR($B45="",S$4&gt;$P45,EOMONTH(S$4,0)&lt;$E45),0,MIN($H45,MAX(0,MIN(EOMONTH(S$4,0),$P45)-MAX(S$4,$E45)+1)*$J45))</f>
        <v/>
      </c>
      <c r="T45" s="170">
        <f>IF(OR($B45="",T$4&gt;$P45,EOMONTH(T$4,0)&lt;$E45),0,MIN($H45,MAX(0,MIN(EOMONTH(T$4,0),$P45)-MAX(T$4,$E45)+1)*$J45))</f>
        <v/>
      </c>
      <c r="U45" s="170">
        <f>IF(OR($B45="",U$4&gt;$P45,EOMONTH(U$4,0)&lt;$E45),0,MIN($H45,MAX(0,MIN(EOMONTH(U$4,0),$P45)-MAX(U$4,$E45)+1)*$J45))</f>
        <v/>
      </c>
      <c r="V45" s="170">
        <f>IF(OR($B45="",V$4&gt;$P45,EOMONTH(V$4,0)&lt;$E45),0,MIN($H45,MAX(0,MIN(EOMONTH(V$4,0),$P45)-MAX(V$4,$E45)+1)*$J45))</f>
        <v/>
      </c>
      <c r="W45" s="170">
        <f>IF(OR($B45="",W$4&gt;$P45,EOMONTH(W$4,0)&lt;$E45),0,MIN($H45,MAX(0,MIN(EOMONTH(W$4,0),$P45)-MAX(W$4,$E45)+1)*$J45))</f>
        <v/>
      </c>
      <c r="X45" s="170">
        <f>IF(OR($B45="",X$4&gt;$P45,EOMONTH(X$4,0)&lt;$E45),0,MIN($H45,MAX(0,MIN(EOMONTH(X$4,0),$P45)-MAX(X$4,$E45)+1)*$J45))</f>
        <v/>
      </c>
      <c r="Y45" s="170">
        <f>IF(OR($B45="",Y$4&gt;$P45,EOMONTH(Y$4,0)&lt;$E45),0,MIN($H45,MAX(0,MIN(EOMONTH(Y$4,0),$P45)-MAX(Y$4,$E45)+1)*$J45))</f>
        <v/>
      </c>
      <c r="Z45" s="170">
        <f>IF(OR($B45="",Z$4&gt;$P45,EOMONTH(Z$4,0)&lt;$E45),0,MIN($H45,MAX(0,MIN(EOMONTH(Z$4,0),$P45)-MAX(Z$4,$E45)+1)*$J45))</f>
        <v/>
      </c>
      <c r="AA45" s="170">
        <f>IF(OR($B45="",AA$4&gt;$P45,EOMONTH(AA$4,0)&lt;$E45),0,MIN($H45,MAX(0,MIN(EOMONTH(AA$4,0),$P45)-MAX(AA$4,$E45)+1)*$J45))</f>
        <v/>
      </c>
      <c r="AB45" s="170">
        <f>IF(OR($B45="",AB$4&gt;$P45,EOMONTH(AB$4,0)&lt;$E45),0,MIN($H45,MAX(0,MIN(EOMONTH(AB$4,0),$P45)-MAX(AB$4,$E45)+1)*$J45))</f>
        <v/>
      </c>
      <c r="AC45" s="170">
        <f>IF(OR($B45="",AC$4&gt;$P45,EOMONTH(AC$4,0)&lt;$E45),0,MIN($H45,MAX(0,MIN(EOMONTH(AC$4,0),$P45)-MAX(AC$4,$E45)+1)*$J45))</f>
        <v/>
      </c>
      <c r="AD45" s="170">
        <f>IF(B45="","",ROUND(SUM(R45:AC45),0))</f>
        <v/>
      </c>
      <c r="AE45" s="170">
        <f>IF(B45="","",MIN(H45,ROUND(Q45+SUM(R45:AC45),0)))</f>
        <v/>
      </c>
      <c r="AF45" s="170">
        <f>IF(B45="","",MAX(H45-AE45,0))</f>
        <v/>
      </c>
      <c r="AG45" s="172">
        <f>IF(B45="","",IF('Thiết lập'!$B$4&lt;E45,"Chưa phân bổ",IF(P45&lt;='Thiết lập'!$B$4,"Đã phân bổ","Đang phân bổ")))</f>
        <v/>
      </c>
      <c r="AH45" s="166" t="n"/>
      <c r="AI45" s="174">
        <f>IF(B45="","",IF(AND(C45&lt;&gt;"",D45&lt;&gt;"",E45&lt;&gt;"",E45&gt;=D45,F45&gt;0,G45&gt;0,I45&gt;0,COUNTIF($B$7:$B$306,B45)=1),"OK",IF(C45="","Thiếu tên; ","")&amp;IF(D45="","Thiếu ngày tăng; ","")&amp;IF(E45="","Thiếu ngày bắt đầu; ","")&amp;IF(AND(D45&lt;&gt;"",E45&lt;&gt;"",E45&lt;D45),"Ngày bắt đầu &lt; ngày tăng; ","")&amp;IF(OR(F45="",F45&lt;=0),"Số lượng không hợp lệ; ","")&amp;IF(OR(G45="",G45&lt;=0),"Đơn giá không hợp lệ; ","")&amp;IF(OR(I45="",I45&lt;=0),"Số tháng không hợp lệ; ","")&amp;IF(COUNTIF($B$7:$B$306,B45)&gt;1,"Trùng mã CPTT; ","")))</f>
        <v/>
      </c>
    </row>
    <row r="46" ht="19.5" customHeight="1" s="98">
      <c r="A46" s="164">
        <f>IF(B46="","",ROW()-6)</f>
        <v/>
      </c>
      <c r="B46" s="165" t="n"/>
      <c r="C46" s="166" t="n"/>
      <c r="D46" s="167" t="n"/>
      <c r="E46" s="167" t="n"/>
      <c r="F46" s="168" t="n"/>
      <c r="G46" s="169" t="n"/>
      <c r="H46" s="170">
        <f>IF(OR(F46="",G46=""),"",F46*G46)</f>
        <v/>
      </c>
      <c r="I46" s="171" t="n"/>
      <c r="J46" s="170">
        <f>IF(OR(H46="",E46="",P46=""),"",H46/(P46-E46+1))</f>
        <v/>
      </c>
      <c r="K46" s="165" t="n"/>
      <c r="L46" s="172">
        <f>IF(B46="","",IF(AF46&lt;=0,"Đã phân bổ",IF(P46&lt;=EDATE('Thiết lập'!$B$4,12),"Ngắn hạn","Dài hạn")))</f>
        <v/>
      </c>
      <c r="M46" s="165" t="n"/>
      <c r="N46" s="165" t="n"/>
      <c r="O46" s="165" t="n"/>
      <c r="P46" s="173">
        <f>IF(OR(E46="",I46=""),"",EDATE(E46,I46)-1)</f>
        <v/>
      </c>
      <c r="Q46" s="170">
        <f>IF(OR(B46="",E46="",P46=""),0,MIN(H46,MAX(0,MIN(P46,DATE('Thiết lập'!$B$3-1,12,31))-E46+1)*J46))</f>
        <v/>
      </c>
      <c r="R46" s="170">
        <f>IF(OR($B46="",R$4&gt;$P46,EOMONTH(R$4,0)&lt;$E46),0,MIN($H46,MAX(0,MIN(EOMONTH(R$4,0),$P46)-MAX(R$4,$E46)+1)*$J46))</f>
        <v/>
      </c>
      <c r="S46" s="170">
        <f>IF(OR($B46="",S$4&gt;$P46,EOMONTH(S$4,0)&lt;$E46),0,MIN($H46,MAX(0,MIN(EOMONTH(S$4,0),$P46)-MAX(S$4,$E46)+1)*$J46))</f>
        <v/>
      </c>
      <c r="T46" s="170">
        <f>IF(OR($B46="",T$4&gt;$P46,EOMONTH(T$4,0)&lt;$E46),0,MIN($H46,MAX(0,MIN(EOMONTH(T$4,0),$P46)-MAX(T$4,$E46)+1)*$J46))</f>
        <v/>
      </c>
      <c r="U46" s="170">
        <f>IF(OR($B46="",U$4&gt;$P46,EOMONTH(U$4,0)&lt;$E46),0,MIN($H46,MAX(0,MIN(EOMONTH(U$4,0),$P46)-MAX(U$4,$E46)+1)*$J46))</f>
        <v/>
      </c>
      <c r="V46" s="170">
        <f>IF(OR($B46="",V$4&gt;$P46,EOMONTH(V$4,0)&lt;$E46),0,MIN($H46,MAX(0,MIN(EOMONTH(V$4,0),$P46)-MAX(V$4,$E46)+1)*$J46))</f>
        <v/>
      </c>
      <c r="W46" s="170">
        <f>IF(OR($B46="",W$4&gt;$P46,EOMONTH(W$4,0)&lt;$E46),0,MIN($H46,MAX(0,MIN(EOMONTH(W$4,0),$P46)-MAX(W$4,$E46)+1)*$J46))</f>
        <v/>
      </c>
      <c r="X46" s="170">
        <f>IF(OR($B46="",X$4&gt;$P46,EOMONTH(X$4,0)&lt;$E46),0,MIN($H46,MAX(0,MIN(EOMONTH(X$4,0),$P46)-MAX(X$4,$E46)+1)*$J46))</f>
        <v/>
      </c>
      <c r="Y46" s="170">
        <f>IF(OR($B46="",Y$4&gt;$P46,EOMONTH(Y$4,0)&lt;$E46),0,MIN($H46,MAX(0,MIN(EOMONTH(Y$4,0),$P46)-MAX(Y$4,$E46)+1)*$J46))</f>
        <v/>
      </c>
      <c r="Z46" s="170">
        <f>IF(OR($B46="",Z$4&gt;$P46,EOMONTH(Z$4,0)&lt;$E46),0,MIN($H46,MAX(0,MIN(EOMONTH(Z$4,0),$P46)-MAX(Z$4,$E46)+1)*$J46))</f>
        <v/>
      </c>
      <c r="AA46" s="170">
        <f>IF(OR($B46="",AA$4&gt;$P46,EOMONTH(AA$4,0)&lt;$E46),0,MIN($H46,MAX(0,MIN(EOMONTH(AA$4,0),$P46)-MAX(AA$4,$E46)+1)*$J46))</f>
        <v/>
      </c>
      <c r="AB46" s="170">
        <f>IF(OR($B46="",AB$4&gt;$P46,EOMONTH(AB$4,0)&lt;$E46),0,MIN($H46,MAX(0,MIN(EOMONTH(AB$4,0),$P46)-MAX(AB$4,$E46)+1)*$J46))</f>
        <v/>
      </c>
      <c r="AC46" s="170">
        <f>IF(OR($B46="",AC$4&gt;$P46,EOMONTH(AC$4,0)&lt;$E46),0,MIN($H46,MAX(0,MIN(EOMONTH(AC$4,0),$P46)-MAX(AC$4,$E46)+1)*$J46))</f>
        <v/>
      </c>
      <c r="AD46" s="170">
        <f>IF(B46="","",ROUND(SUM(R46:AC46),0))</f>
        <v/>
      </c>
      <c r="AE46" s="170">
        <f>IF(B46="","",MIN(H46,ROUND(Q46+SUM(R46:AC46),0)))</f>
        <v/>
      </c>
      <c r="AF46" s="170">
        <f>IF(B46="","",MAX(H46-AE46,0))</f>
        <v/>
      </c>
      <c r="AG46" s="172">
        <f>IF(B46="","",IF('Thiết lập'!$B$4&lt;E46,"Chưa phân bổ",IF(P46&lt;='Thiết lập'!$B$4,"Đã phân bổ","Đang phân bổ")))</f>
        <v/>
      </c>
      <c r="AH46" s="166" t="n"/>
      <c r="AI46" s="174">
        <f>IF(B46="","",IF(AND(C46&lt;&gt;"",D46&lt;&gt;"",E46&lt;&gt;"",E46&gt;=D46,F46&gt;0,G46&gt;0,I46&gt;0,COUNTIF($B$7:$B$306,B46)=1),"OK",IF(C46="","Thiếu tên; ","")&amp;IF(D46="","Thiếu ngày tăng; ","")&amp;IF(E46="","Thiếu ngày bắt đầu; ","")&amp;IF(AND(D46&lt;&gt;"",E46&lt;&gt;"",E46&lt;D46),"Ngày bắt đầu &lt; ngày tăng; ","")&amp;IF(OR(F46="",F46&lt;=0),"Số lượng không hợp lệ; ","")&amp;IF(OR(G46="",G46&lt;=0),"Đơn giá không hợp lệ; ","")&amp;IF(OR(I46="",I46&lt;=0),"Số tháng không hợp lệ; ","")&amp;IF(COUNTIF($B$7:$B$306,B46)&gt;1,"Trùng mã CPTT; ","")))</f>
        <v/>
      </c>
    </row>
    <row r="47" ht="19.5" customHeight="1" s="98">
      <c r="A47" s="164">
        <f>IF(B47="","",ROW()-6)</f>
        <v/>
      </c>
      <c r="B47" s="165" t="n"/>
      <c r="C47" s="166" t="n"/>
      <c r="D47" s="167" t="n"/>
      <c r="E47" s="167" t="n"/>
      <c r="F47" s="168" t="n"/>
      <c r="G47" s="169" t="n"/>
      <c r="H47" s="170">
        <f>IF(OR(F47="",G47=""),"",F47*G47)</f>
        <v/>
      </c>
      <c r="I47" s="171" t="n"/>
      <c r="J47" s="170">
        <f>IF(OR(H47="",E47="",P47=""),"",H47/(P47-E47+1))</f>
        <v/>
      </c>
      <c r="K47" s="165" t="n"/>
      <c r="L47" s="172">
        <f>IF(B47="","",IF(AF47&lt;=0,"Đã phân bổ",IF(P47&lt;=EDATE('Thiết lập'!$B$4,12),"Ngắn hạn","Dài hạn")))</f>
        <v/>
      </c>
      <c r="M47" s="165" t="n"/>
      <c r="N47" s="165" t="n"/>
      <c r="O47" s="165" t="n"/>
      <c r="P47" s="173">
        <f>IF(OR(E47="",I47=""),"",EDATE(E47,I47)-1)</f>
        <v/>
      </c>
      <c r="Q47" s="170">
        <f>IF(OR(B47="",E47="",P47=""),0,MIN(H47,MAX(0,MIN(P47,DATE('Thiết lập'!$B$3-1,12,31))-E47+1)*J47))</f>
        <v/>
      </c>
      <c r="R47" s="170">
        <f>IF(OR($B47="",R$4&gt;$P47,EOMONTH(R$4,0)&lt;$E47),0,MIN($H47,MAX(0,MIN(EOMONTH(R$4,0),$P47)-MAX(R$4,$E47)+1)*$J47))</f>
        <v/>
      </c>
      <c r="S47" s="170">
        <f>IF(OR($B47="",S$4&gt;$P47,EOMONTH(S$4,0)&lt;$E47),0,MIN($H47,MAX(0,MIN(EOMONTH(S$4,0),$P47)-MAX(S$4,$E47)+1)*$J47))</f>
        <v/>
      </c>
      <c r="T47" s="170">
        <f>IF(OR($B47="",T$4&gt;$P47,EOMONTH(T$4,0)&lt;$E47),0,MIN($H47,MAX(0,MIN(EOMONTH(T$4,0),$P47)-MAX(T$4,$E47)+1)*$J47))</f>
        <v/>
      </c>
      <c r="U47" s="170">
        <f>IF(OR($B47="",U$4&gt;$P47,EOMONTH(U$4,0)&lt;$E47),0,MIN($H47,MAX(0,MIN(EOMONTH(U$4,0),$P47)-MAX(U$4,$E47)+1)*$J47))</f>
        <v/>
      </c>
      <c r="V47" s="170">
        <f>IF(OR($B47="",V$4&gt;$P47,EOMONTH(V$4,0)&lt;$E47),0,MIN($H47,MAX(0,MIN(EOMONTH(V$4,0),$P47)-MAX(V$4,$E47)+1)*$J47))</f>
        <v/>
      </c>
      <c r="W47" s="170">
        <f>IF(OR($B47="",W$4&gt;$P47,EOMONTH(W$4,0)&lt;$E47),0,MIN($H47,MAX(0,MIN(EOMONTH(W$4,0),$P47)-MAX(W$4,$E47)+1)*$J47))</f>
        <v/>
      </c>
      <c r="X47" s="170">
        <f>IF(OR($B47="",X$4&gt;$P47,EOMONTH(X$4,0)&lt;$E47),0,MIN($H47,MAX(0,MIN(EOMONTH(X$4,0),$P47)-MAX(X$4,$E47)+1)*$J47))</f>
        <v/>
      </c>
      <c r="Y47" s="170">
        <f>IF(OR($B47="",Y$4&gt;$P47,EOMONTH(Y$4,0)&lt;$E47),0,MIN($H47,MAX(0,MIN(EOMONTH(Y$4,0),$P47)-MAX(Y$4,$E47)+1)*$J47))</f>
        <v/>
      </c>
      <c r="Z47" s="170">
        <f>IF(OR($B47="",Z$4&gt;$P47,EOMONTH(Z$4,0)&lt;$E47),0,MIN($H47,MAX(0,MIN(EOMONTH(Z$4,0),$P47)-MAX(Z$4,$E47)+1)*$J47))</f>
        <v/>
      </c>
      <c r="AA47" s="170">
        <f>IF(OR($B47="",AA$4&gt;$P47,EOMONTH(AA$4,0)&lt;$E47),0,MIN($H47,MAX(0,MIN(EOMONTH(AA$4,0),$P47)-MAX(AA$4,$E47)+1)*$J47))</f>
        <v/>
      </c>
      <c r="AB47" s="170">
        <f>IF(OR($B47="",AB$4&gt;$P47,EOMONTH(AB$4,0)&lt;$E47),0,MIN($H47,MAX(0,MIN(EOMONTH(AB$4,0),$P47)-MAX(AB$4,$E47)+1)*$J47))</f>
        <v/>
      </c>
      <c r="AC47" s="170">
        <f>IF(OR($B47="",AC$4&gt;$P47,EOMONTH(AC$4,0)&lt;$E47),0,MIN($H47,MAX(0,MIN(EOMONTH(AC$4,0),$P47)-MAX(AC$4,$E47)+1)*$J47))</f>
        <v/>
      </c>
      <c r="AD47" s="170">
        <f>IF(B47="","",ROUND(SUM(R47:AC47),0))</f>
        <v/>
      </c>
      <c r="AE47" s="170">
        <f>IF(B47="","",MIN(H47,ROUND(Q47+SUM(R47:AC47),0)))</f>
        <v/>
      </c>
      <c r="AF47" s="170">
        <f>IF(B47="","",MAX(H47-AE47,0))</f>
        <v/>
      </c>
      <c r="AG47" s="172">
        <f>IF(B47="","",IF('Thiết lập'!$B$4&lt;E47,"Chưa phân bổ",IF(P47&lt;='Thiết lập'!$B$4,"Đã phân bổ","Đang phân bổ")))</f>
        <v/>
      </c>
      <c r="AH47" s="166" t="n"/>
      <c r="AI47" s="174">
        <f>IF(B47="","",IF(AND(C47&lt;&gt;"",D47&lt;&gt;"",E47&lt;&gt;"",E47&gt;=D47,F47&gt;0,G47&gt;0,I47&gt;0,COUNTIF($B$7:$B$306,B47)=1),"OK",IF(C47="","Thiếu tên; ","")&amp;IF(D47="","Thiếu ngày tăng; ","")&amp;IF(E47="","Thiếu ngày bắt đầu; ","")&amp;IF(AND(D47&lt;&gt;"",E47&lt;&gt;"",E47&lt;D47),"Ngày bắt đầu &lt; ngày tăng; ","")&amp;IF(OR(F47="",F47&lt;=0),"Số lượng không hợp lệ; ","")&amp;IF(OR(G47="",G47&lt;=0),"Đơn giá không hợp lệ; ","")&amp;IF(OR(I47="",I47&lt;=0),"Số tháng không hợp lệ; ","")&amp;IF(COUNTIF($B$7:$B$306,B47)&gt;1,"Trùng mã CPTT; ","")))</f>
        <v/>
      </c>
    </row>
    <row r="48" ht="19.5" customHeight="1" s="98">
      <c r="A48" s="164">
        <f>IF(B48="","",ROW()-6)</f>
        <v/>
      </c>
      <c r="B48" s="165" t="n"/>
      <c r="C48" s="166" t="n"/>
      <c r="D48" s="167" t="n"/>
      <c r="E48" s="167" t="n"/>
      <c r="F48" s="168" t="n"/>
      <c r="G48" s="169" t="n"/>
      <c r="H48" s="170">
        <f>IF(OR(F48="",G48=""),"",F48*G48)</f>
        <v/>
      </c>
      <c r="I48" s="171" t="n"/>
      <c r="J48" s="170">
        <f>IF(OR(H48="",E48="",P48=""),"",H48/(P48-E48+1))</f>
        <v/>
      </c>
      <c r="K48" s="165" t="n"/>
      <c r="L48" s="172">
        <f>IF(B48="","",IF(AF48&lt;=0,"Đã phân bổ",IF(P48&lt;=EDATE('Thiết lập'!$B$4,12),"Ngắn hạn","Dài hạn")))</f>
        <v/>
      </c>
      <c r="M48" s="165" t="n"/>
      <c r="N48" s="165" t="n"/>
      <c r="O48" s="165" t="n"/>
      <c r="P48" s="173">
        <f>IF(OR(E48="",I48=""),"",EDATE(E48,I48)-1)</f>
        <v/>
      </c>
      <c r="Q48" s="170">
        <f>IF(OR(B48="",E48="",P48=""),0,MIN(H48,MAX(0,MIN(P48,DATE('Thiết lập'!$B$3-1,12,31))-E48+1)*J48))</f>
        <v/>
      </c>
      <c r="R48" s="170">
        <f>IF(OR($B48="",R$4&gt;$P48,EOMONTH(R$4,0)&lt;$E48),0,MIN($H48,MAX(0,MIN(EOMONTH(R$4,0),$P48)-MAX(R$4,$E48)+1)*$J48))</f>
        <v/>
      </c>
      <c r="S48" s="170">
        <f>IF(OR($B48="",S$4&gt;$P48,EOMONTH(S$4,0)&lt;$E48),0,MIN($H48,MAX(0,MIN(EOMONTH(S$4,0),$P48)-MAX(S$4,$E48)+1)*$J48))</f>
        <v/>
      </c>
      <c r="T48" s="170">
        <f>IF(OR($B48="",T$4&gt;$P48,EOMONTH(T$4,0)&lt;$E48),0,MIN($H48,MAX(0,MIN(EOMONTH(T$4,0),$P48)-MAX(T$4,$E48)+1)*$J48))</f>
        <v/>
      </c>
      <c r="U48" s="170">
        <f>IF(OR($B48="",U$4&gt;$P48,EOMONTH(U$4,0)&lt;$E48),0,MIN($H48,MAX(0,MIN(EOMONTH(U$4,0),$P48)-MAX(U$4,$E48)+1)*$J48))</f>
        <v/>
      </c>
      <c r="V48" s="170">
        <f>IF(OR($B48="",V$4&gt;$P48,EOMONTH(V$4,0)&lt;$E48),0,MIN($H48,MAX(0,MIN(EOMONTH(V$4,0),$P48)-MAX(V$4,$E48)+1)*$J48))</f>
        <v/>
      </c>
      <c r="W48" s="170">
        <f>IF(OR($B48="",W$4&gt;$P48,EOMONTH(W$4,0)&lt;$E48),0,MIN($H48,MAX(0,MIN(EOMONTH(W$4,0),$P48)-MAX(W$4,$E48)+1)*$J48))</f>
        <v/>
      </c>
      <c r="X48" s="170">
        <f>IF(OR($B48="",X$4&gt;$P48,EOMONTH(X$4,0)&lt;$E48),0,MIN($H48,MAX(0,MIN(EOMONTH(X$4,0),$P48)-MAX(X$4,$E48)+1)*$J48))</f>
        <v/>
      </c>
      <c r="Y48" s="170">
        <f>IF(OR($B48="",Y$4&gt;$P48,EOMONTH(Y$4,0)&lt;$E48),0,MIN($H48,MAX(0,MIN(EOMONTH(Y$4,0),$P48)-MAX(Y$4,$E48)+1)*$J48))</f>
        <v/>
      </c>
      <c r="Z48" s="170">
        <f>IF(OR($B48="",Z$4&gt;$P48,EOMONTH(Z$4,0)&lt;$E48),0,MIN($H48,MAX(0,MIN(EOMONTH(Z$4,0),$P48)-MAX(Z$4,$E48)+1)*$J48))</f>
        <v/>
      </c>
      <c r="AA48" s="170">
        <f>IF(OR($B48="",AA$4&gt;$P48,EOMONTH(AA$4,0)&lt;$E48),0,MIN($H48,MAX(0,MIN(EOMONTH(AA$4,0),$P48)-MAX(AA$4,$E48)+1)*$J48))</f>
        <v/>
      </c>
      <c r="AB48" s="170">
        <f>IF(OR($B48="",AB$4&gt;$P48,EOMONTH(AB$4,0)&lt;$E48),0,MIN($H48,MAX(0,MIN(EOMONTH(AB$4,0),$P48)-MAX(AB$4,$E48)+1)*$J48))</f>
        <v/>
      </c>
      <c r="AC48" s="170">
        <f>IF(OR($B48="",AC$4&gt;$P48,EOMONTH(AC$4,0)&lt;$E48),0,MIN($H48,MAX(0,MIN(EOMONTH(AC$4,0),$P48)-MAX(AC$4,$E48)+1)*$J48))</f>
        <v/>
      </c>
      <c r="AD48" s="170">
        <f>IF(B48="","",ROUND(SUM(R48:AC48),0))</f>
        <v/>
      </c>
      <c r="AE48" s="170">
        <f>IF(B48="","",MIN(H48,ROUND(Q48+SUM(R48:AC48),0)))</f>
        <v/>
      </c>
      <c r="AF48" s="170">
        <f>IF(B48="","",MAX(H48-AE48,0))</f>
        <v/>
      </c>
      <c r="AG48" s="172">
        <f>IF(B48="","",IF('Thiết lập'!$B$4&lt;E48,"Chưa phân bổ",IF(P48&lt;='Thiết lập'!$B$4,"Đã phân bổ","Đang phân bổ")))</f>
        <v/>
      </c>
      <c r="AH48" s="166" t="n"/>
      <c r="AI48" s="174">
        <f>IF(B48="","",IF(AND(C48&lt;&gt;"",D48&lt;&gt;"",E48&lt;&gt;"",E48&gt;=D48,F48&gt;0,G48&gt;0,I48&gt;0,COUNTIF($B$7:$B$306,B48)=1),"OK",IF(C48="","Thiếu tên; ","")&amp;IF(D48="","Thiếu ngày tăng; ","")&amp;IF(E48="","Thiếu ngày bắt đầu; ","")&amp;IF(AND(D48&lt;&gt;"",E48&lt;&gt;"",E48&lt;D48),"Ngày bắt đầu &lt; ngày tăng; ","")&amp;IF(OR(F48="",F48&lt;=0),"Số lượng không hợp lệ; ","")&amp;IF(OR(G48="",G48&lt;=0),"Đơn giá không hợp lệ; ","")&amp;IF(OR(I48="",I48&lt;=0),"Số tháng không hợp lệ; ","")&amp;IF(COUNTIF($B$7:$B$306,B48)&gt;1,"Trùng mã CPTT; ","")))</f>
        <v/>
      </c>
    </row>
    <row r="49" ht="19.5" customHeight="1" s="98">
      <c r="A49" s="164">
        <f>IF(B49="","",ROW()-6)</f>
        <v/>
      </c>
      <c r="B49" s="165" t="n"/>
      <c r="C49" s="166" t="n"/>
      <c r="D49" s="167" t="n"/>
      <c r="E49" s="167" t="n"/>
      <c r="F49" s="168" t="n"/>
      <c r="G49" s="169" t="n"/>
      <c r="H49" s="170">
        <f>IF(OR(F49="",G49=""),"",F49*G49)</f>
        <v/>
      </c>
      <c r="I49" s="171" t="n"/>
      <c r="J49" s="170">
        <f>IF(OR(H49="",E49="",P49=""),"",H49/(P49-E49+1))</f>
        <v/>
      </c>
      <c r="K49" s="165" t="n"/>
      <c r="L49" s="172">
        <f>IF(B49="","",IF(AF49&lt;=0,"Đã phân bổ",IF(P49&lt;=EDATE('Thiết lập'!$B$4,12),"Ngắn hạn","Dài hạn")))</f>
        <v/>
      </c>
      <c r="M49" s="165" t="n"/>
      <c r="N49" s="165" t="n"/>
      <c r="O49" s="165" t="n"/>
      <c r="P49" s="173">
        <f>IF(OR(E49="",I49=""),"",EDATE(E49,I49)-1)</f>
        <v/>
      </c>
      <c r="Q49" s="170">
        <f>IF(OR(B49="",E49="",P49=""),0,MIN(H49,MAX(0,MIN(P49,DATE('Thiết lập'!$B$3-1,12,31))-E49+1)*J49))</f>
        <v/>
      </c>
      <c r="R49" s="170">
        <f>IF(OR($B49="",R$4&gt;$P49,EOMONTH(R$4,0)&lt;$E49),0,MIN($H49,MAX(0,MIN(EOMONTH(R$4,0),$P49)-MAX(R$4,$E49)+1)*$J49))</f>
        <v/>
      </c>
      <c r="S49" s="170">
        <f>IF(OR($B49="",S$4&gt;$P49,EOMONTH(S$4,0)&lt;$E49),0,MIN($H49,MAX(0,MIN(EOMONTH(S$4,0),$P49)-MAX(S$4,$E49)+1)*$J49))</f>
        <v/>
      </c>
      <c r="T49" s="170">
        <f>IF(OR($B49="",T$4&gt;$P49,EOMONTH(T$4,0)&lt;$E49),0,MIN($H49,MAX(0,MIN(EOMONTH(T$4,0),$P49)-MAX(T$4,$E49)+1)*$J49))</f>
        <v/>
      </c>
      <c r="U49" s="170">
        <f>IF(OR($B49="",U$4&gt;$P49,EOMONTH(U$4,0)&lt;$E49),0,MIN($H49,MAX(0,MIN(EOMONTH(U$4,0),$P49)-MAX(U$4,$E49)+1)*$J49))</f>
        <v/>
      </c>
      <c r="V49" s="170">
        <f>IF(OR($B49="",V$4&gt;$P49,EOMONTH(V$4,0)&lt;$E49),0,MIN($H49,MAX(0,MIN(EOMONTH(V$4,0),$P49)-MAX(V$4,$E49)+1)*$J49))</f>
        <v/>
      </c>
      <c r="W49" s="170">
        <f>IF(OR($B49="",W$4&gt;$P49,EOMONTH(W$4,0)&lt;$E49),0,MIN($H49,MAX(0,MIN(EOMONTH(W$4,0),$P49)-MAX(W$4,$E49)+1)*$J49))</f>
        <v/>
      </c>
      <c r="X49" s="170">
        <f>IF(OR($B49="",X$4&gt;$P49,EOMONTH(X$4,0)&lt;$E49),0,MIN($H49,MAX(0,MIN(EOMONTH(X$4,0),$P49)-MAX(X$4,$E49)+1)*$J49))</f>
        <v/>
      </c>
      <c r="Y49" s="170">
        <f>IF(OR($B49="",Y$4&gt;$P49,EOMONTH(Y$4,0)&lt;$E49),0,MIN($H49,MAX(0,MIN(EOMONTH(Y$4,0),$P49)-MAX(Y$4,$E49)+1)*$J49))</f>
        <v/>
      </c>
      <c r="Z49" s="170">
        <f>IF(OR($B49="",Z$4&gt;$P49,EOMONTH(Z$4,0)&lt;$E49),0,MIN($H49,MAX(0,MIN(EOMONTH(Z$4,0),$P49)-MAX(Z$4,$E49)+1)*$J49))</f>
        <v/>
      </c>
      <c r="AA49" s="170">
        <f>IF(OR($B49="",AA$4&gt;$P49,EOMONTH(AA$4,0)&lt;$E49),0,MIN($H49,MAX(0,MIN(EOMONTH(AA$4,0),$P49)-MAX(AA$4,$E49)+1)*$J49))</f>
        <v/>
      </c>
      <c r="AB49" s="170">
        <f>IF(OR($B49="",AB$4&gt;$P49,EOMONTH(AB$4,0)&lt;$E49),0,MIN($H49,MAX(0,MIN(EOMONTH(AB$4,0),$P49)-MAX(AB$4,$E49)+1)*$J49))</f>
        <v/>
      </c>
      <c r="AC49" s="170">
        <f>IF(OR($B49="",AC$4&gt;$P49,EOMONTH(AC$4,0)&lt;$E49),0,MIN($H49,MAX(0,MIN(EOMONTH(AC$4,0),$P49)-MAX(AC$4,$E49)+1)*$J49))</f>
        <v/>
      </c>
      <c r="AD49" s="170">
        <f>IF(B49="","",ROUND(SUM(R49:AC49),0))</f>
        <v/>
      </c>
      <c r="AE49" s="170">
        <f>IF(B49="","",MIN(H49,ROUND(Q49+SUM(R49:AC49),0)))</f>
        <v/>
      </c>
      <c r="AF49" s="170">
        <f>IF(B49="","",MAX(H49-AE49,0))</f>
        <v/>
      </c>
      <c r="AG49" s="172">
        <f>IF(B49="","",IF('Thiết lập'!$B$4&lt;E49,"Chưa phân bổ",IF(P49&lt;='Thiết lập'!$B$4,"Đã phân bổ","Đang phân bổ")))</f>
        <v/>
      </c>
      <c r="AH49" s="166" t="n"/>
      <c r="AI49" s="174">
        <f>IF(B49="","",IF(AND(C49&lt;&gt;"",D49&lt;&gt;"",E49&lt;&gt;"",E49&gt;=D49,F49&gt;0,G49&gt;0,I49&gt;0,COUNTIF($B$7:$B$306,B49)=1),"OK",IF(C49="","Thiếu tên; ","")&amp;IF(D49="","Thiếu ngày tăng; ","")&amp;IF(E49="","Thiếu ngày bắt đầu; ","")&amp;IF(AND(D49&lt;&gt;"",E49&lt;&gt;"",E49&lt;D49),"Ngày bắt đầu &lt; ngày tăng; ","")&amp;IF(OR(F49="",F49&lt;=0),"Số lượng không hợp lệ; ","")&amp;IF(OR(G49="",G49&lt;=0),"Đơn giá không hợp lệ; ","")&amp;IF(OR(I49="",I49&lt;=0),"Số tháng không hợp lệ; ","")&amp;IF(COUNTIF($B$7:$B$306,B49)&gt;1,"Trùng mã CPTT; ","")))</f>
        <v/>
      </c>
    </row>
    <row r="50" ht="19.5" customHeight="1" s="98">
      <c r="A50" s="164">
        <f>IF(B50="","",ROW()-6)</f>
        <v/>
      </c>
      <c r="B50" s="165" t="n"/>
      <c r="C50" s="166" t="n"/>
      <c r="D50" s="167" t="n"/>
      <c r="E50" s="167" t="n"/>
      <c r="F50" s="168" t="n"/>
      <c r="G50" s="169" t="n"/>
      <c r="H50" s="170">
        <f>IF(OR(F50="",G50=""),"",F50*G50)</f>
        <v/>
      </c>
      <c r="I50" s="171" t="n"/>
      <c r="J50" s="170">
        <f>IF(OR(H50="",E50="",P50=""),"",H50/(P50-E50+1))</f>
        <v/>
      </c>
      <c r="K50" s="165" t="n"/>
      <c r="L50" s="172">
        <f>IF(B50="","",IF(AF50&lt;=0,"Đã phân bổ",IF(P50&lt;=EDATE('Thiết lập'!$B$4,12),"Ngắn hạn","Dài hạn")))</f>
        <v/>
      </c>
      <c r="M50" s="165" t="n"/>
      <c r="N50" s="165" t="n"/>
      <c r="O50" s="165" t="n"/>
      <c r="P50" s="173">
        <f>IF(OR(E50="",I50=""),"",EDATE(E50,I50)-1)</f>
        <v/>
      </c>
      <c r="Q50" s="170">
        <f>IF(OR(B50="",E50="",P50=""),0,MIN(H50,MAX(0,MIN(P50,DATE('Thiết lập'!$B$3-1,12,31))-E50+1)*J50))</f>
        <v/>
      </c>
      <c r="R50" s="170">
        <f>IF(OR($B50="",R$4&gt;$P50,EOMONTH(R$4,0)&lt;$E50),0,MIN($H50,MAX(0,MIN(EOMONTH(R$4,0),$P50)-MAX(R$4,$E50)+1)*$J50))</f>
        <v/>
      </c>
      <c r="S50" s="170">
        <f>IF(OR($B50="",S$4&gt;$P50,EOMONTH(S$4,0)&lt;$E50),0,MIN($H50,MAX(0,MIN(EOMONTH(S$4,0),$P50)-MAX(S$4,$E50)+1)*$J50))</f>
        <v/>
      </c>
      <c r="T50" s="170">
        <f>IF(OR($B50="",T$4&gt;$P50,EOMONTH(T$4,0)&lt;$E50),0,MIN($H50,MAX(0,MIN(EOMONTH(T$4,0),$P50)-MAX(T$4,$E50)+1)*$J50))</f>
        <v/>
      </c>
      <c r="U50" s="170">
        <f>IF(OR($B50="",U$4&gt;$P50,EOMONTH(U$4,0)&lt;$E50),0,MIN($H50,MAX(0,MIN(EOMONTH(U$4,0),$P50)-MAX(U$4,$E50)+1)*$J50))</f>
        <v/>
      </c>
      <c r="V50" s="170">
        <f>IF(OR($B50="",V$4&gt;$P50,EOMONTH(V$4,0)&lt;$E50),0,MIN($H50,MAX(0,MIN(EOMONTH(V$4,0),$P50)-MAX(V$4,$E50)+1)*$J50))</f>
        <v/>
      </c>
      <c r="W50" s="170">
        <f>IF(OR($B50="",W$4&gt;$P50,EOMONTH(W$4,0)&lt;$E50),0,MIN($H50,MAX(0,MIN(EOMONTH(W$4,0),$P50)-MAX(W$4,$E50)+1)*$J50))</f>
        <v/>
      </c>
      <c r="X50" s="170">
        <f>IF(OR($B50="",X$4&gt;$P50,EOMONTH(X$4,0)&lt;$E50),0,MIN($H50,MAX(0,MIN(EOMONTH(X$4,0),$P50)-MAX(X$4,$E50)+1)*$J50))</f>
        <v/>
      </c>
      <c r="Y50" s="170">
        <f>IF(OR($B50="",Y$4&gt;$P50,EOMONTH(Y$4,0)&lt;$E50),0,MIN($H50,MAX(0,MIN(EOMONTH(Y$4,0),$P50)-MAX(Y$4,$E50)+1)*$J50))</f>
        <v/>
      </c>
      <c r="Z50" s="170">
        <f>IF(OR($B50="",Z$4&gt;$P50,EOMONTH(Z$4,0)&lt;$E50),0,MIN($H50,MAX(0,MIN(EOMONTH(Z$4,0),$P50)-MAX(Z$4,$E50)+1)*$J50))</f>
        <v/>
      </c>
      <c r="AA50" s="170">
        <f>IF(OR($B50="",AA$4&gt;$P50,EOMONTH(AA$4,0)&lt;$E50),0,MIN($H50,MAX(0,MIN(EOMONTH(AA$4,0),$P50)-MAX(AA$4,$E50)+1)*$J50))</f>
        <v/>
      </c>
      <c r="AB50" s="170">
        <f>IF(OR($B50="",AB$4&gt;$P50,EOMONTH(AB$4,0)&lt;$E50),0,MIN($H50,MAX(0,MIN(EOMONTH(AB$4,0),$P50)-MAX(AB$4,$E50)+1)*$J50))</f>
        <v/>
      </c>
      <c r="AC50" s="170">
        <f>IF(OR($B50="",AC$4&gt;$P50,EOMONTH(AC$4,0)&lt;$E50),0,MIN($H50,MAX(0,MIN(EOMONTH(AC$4,0),$P50)-MAX(AC$4,$E50)+1)*$J50))</f>
        <v/>
      </c>
      <c r="AD50" s="170">
        <f>IF(B50="","",ROUND(SUM(R50:AC50),0))</f>
        <v/>
      </c>
      <c r="AE50" s="170">
        <f>IF(B50="","",MIN(H50,ROUND(Q50+SUM(R50:AC50),0)))</f>
        <v/>
      </c>
      <c r="AF50" s="170">
        <f>IF(B50="","",MAX(H50-AE50,0))</f>
        <v/>
      </c>
      <c r="AG50" s="172">
        <f>IF(B50="","",IF('Thiết lập'!$B$4&lt;E50,"Chưa phân bổ",IF(P50&lt;='Thiết lập'!$B$4,"Đã phân bổ","Đang phân bổ")))</f>
        <v/>
      </c>
      <c r="AH50" s="166" t="n"/>
      <c r="AI50" s="174">
        <f>IF(B50="","",IF(AND(C50&lt;&gt;"",D50&lt;&gt;"",E50&lt;&gt;"",E50&gt;=D50,F50&gt;0,G50&gt;0,I50&gt;0,COUNTIF($B$7:$B$306,B50)=1),"OK",IF(C50="","Thiếu tên; ","")&amp;IF(D50="","Thiếu ngày tăng; ","")&amp;IF(E50="","Thiếu ngày bắt đầu; ","")&amp;IF(AND(D50&lt;&gt;"",E50&lt;&gt;"",E50&lt;D50),"Ngày bắt đầu &lt; ngày tăng; ","")&amp;IF(OR(F50="",F50&lt;=0),"Số lượng không hợp lệ; ","")&amp;IF(OR(G50="",G50&lt;=0),"Đơn giá không hợp lệ; ","")&amp;IF(OR(I50="",I50&lt;=0),"Số tháng không hợp lệ; ","")&amp;IF(COUNTIF($B$7:$B$306,B50)&gt;1,"Trùng mã CPTT; ","")))</f>
        <v/>
      </c>
    </row>
    <row r="51" ht="19.5" customHeight="1" s="98">
      <c r="A51" s="164">
        <f>IF(B51="","",ROW()-6)</f>
        <v/>
      </c>
      <c r="B51" s="165" t="n"/>
      <c r="C51" s="166" t="n"/>
      <c r="D51" s="167" t="n"/>
      <c r="E51" s="167" t="n"/>
      <c r="F51" s="168" t="n"/>
      <c r="G51" s="169" t="n"/>
      <c r="H51" s="170">
        <f>IF(OR(F51="",G51=""),"",F51*G51)</f>
        <v/>
      </c>
      <c r="I51" s="171" t="n"/>
      <c r="J51" s="170">
        <f>IF(OR(H51="",E51="",P51=""),"",H51/(P51-E51+1))</f>
        <v/>
      </c>
      <c r="K51" s="165" t="n"/>
      <c r="L51" s="172">
        <f>IF(B51="","",IF(AF51&lt;=0,"Đã phân bổ",IF(P51&lt;=EDATE('Thiết lập'!$B$4,12),"Ngắn hạn","Dài hạn")))</f>
        <v/>
      </c>
      <c r="M51" s="165" t="n"/>
      <c r="N51" s="165" t="n"/>
      <c r="O51" s="165" t="n"/>
      <c r="P51" s="173">
        <f>IF(OR(E51="",I51=""),"",EDATE(E51,I51)-1)</f>
        <v/>
      </c>
      <c r="Q51" s="170">
        <f>IF(OR(B51="",E51="",P51=""),0,MIN(H51,MAX(0,MIN(P51,DATE('Thiết lập'!$B$3-1,12,31))-E51+1)*J51))</f>
        <v/>
      </c>
      <c r="R51" s="170">
        <f>IF(OR($B51="",R$4&gt;$P51,EOMONTH(R$4,0)&lt;$E51),0,MIN($H51,MAX(0,MIN(EOMONTH(R$4,0),$P51)-MAX(R$4,$E51)+1)*$J51))</f>
        <v/>
      </c>
      <c r="S51" s="170">
        <f>IF(OR($B51="",S$4&gt;$P51,EOMONTH(S$4,0)&lt;$E51),0,MIN($H51,MAX(0,MIN(EOMONTH(S$4,0),$P51)-MAX(S$4,$E51)+1)*$J51))</f>
        <v/>
      </c>
      <c r="T51" s="170">
        <f>IF(OR($B51="",T$4&gt;$P51,EOMONTH(T$4,0)&lt;$E51),0,MIN($H51,MAX(0,MIN(EOMONTH(T$4,0),$P51)-MAX(T$4,$E51)+1)*$J51))</f>
        <v/>
      </c>
      <c r="U51" s="170">
        <f>IF(OR($B51="",U$4&gt;$P51,EOMONTH(U$4,0)&lt;$E51),0,MIN($H51,MAX(0,MIN(EOMONTH(U$4,0),$P51)-MAX(U$4,$E51)+1)*$J51))</f>
        <v/>
      </c>
      <c r="V51" s="170">
        <f>IF(OR($B51="",V$4&gt;$P51,EOMONTH(V$4,0)&lt;$E51),0,MIN($H51,MAX(0,MIN(EOMONTH(V$4,0),$P51)-MAX(V$4,$E51)+1)*$J51))</f>
        <v/>
      </c>
      <c r="W51" s="170">
        <f>IF(OR($B51="",W$4&gt;$P51,EOMONTH(W$4,0)&lt;$E51),0,MIN($H51,MAX(0,MIN(EOMONTH(W$4,0),$P51)-MAX(W$4,$E51)+1)*$J51))</f>
        <v/>
      </c>
      <c r="X51" s="170">
        <f>IF(OR($B51="",X$4&gt;$P51,EOMONTH(X$4,0)&lt;$E51),0,MIN($H51,MAX(0,MIN(EOMONTH(X$4,0),$P51)-MAX(X$4,$E51)+1)*$J51))</f>
        <v/>
      </c>
      <c r="Y51" s="170">
        <f>IF(OR($B51="",Y$4&gt;$P51,EOMONTH(Y$4,0)&lt;$E51),0,MIN($H51,MAX(0,MIN(EOMONTH(Y$4,0),$P51)-MAX(Y$4,$E51)+1)*$J51))</f>
        <v/>
      </c>
      <c r="Z51" s="170">
        <f>IF(OR($B51="",Z$4&gt;$P51,EOMONTH(Z$4,0)&lt;$E51),0,MIN($H51,MAX(0,MIN(EOMONTH(Z$4,0),$P51)-MAX(Z$4,$E51)+1)*$J51))</f>
        <v/>
      </c>
      <c r="AA51" s="170">
        <f>IF(OR($B51="",AA$4&gt;$P51,EOMONTH(AA$4,0)&lt;$E51),0,MIN($H51,MAX(0,MIN(EOMONTH(AA$4,0),$P51)-MAX(AA$4,$E51)+1)*$J51))</f>
        <v/>
      </c>
      <c r="AB51" s="170">
        <f>IF(OR($B51="",AB$4&gt;$P51,EOMONTH(AB$4,0)&lt;$E51),0,MIN($H51,MAX(0,MIN(EOMONTH(AB$4,0),$P51)-MAX(AB$4,$E51)+1)*$J51))</f>
        <v/>
      </c>
      <c r="AC51" s="170">
        <f>IF(OR($B51="",AC$4&gt;$P51,EOMONTH(AC$4,0)&lt;$E51),0,MIN($H51,MAX(0,MIN(EOMONTH(AC$4,0),$P51)-MAX(AC$4,$E51)+1)*$J51))</f>
        <v/>
      </c>
      <c r="AD51" s="170">
        <f>IF(B51="","",ROUND(SUM(R51:AC51),0))</f>
        <v/>
      </c>
      <c r="AE51" s="170">
        <f>IF(B51="","",MIN(H51,ROUND(Q51+SUM(R51:AC51),0)))</f>
        <v/>
      </c>
      <c r="AF51" s="170">
        <f>IF(B51="","",MAX(H51-AE51,0))</f>
        <v/>
      </c>
      <c r="AG51" s="172">
        <f>IF(B51="","",IF('Thiết lập'!$B$4&lt;E51,"Chưa phân bổ",IF(P51&lt;='Thiết lập'!$B$4,"Đã phân bổ","Đang phân bổ")))</f>
        <v/>
      </c>
      <c r="AH51" s="166" t="n"/>
      <c r="AI51" s="174">
        <f>IF(B51="","",IF(AND(C51&lt;&gt;"",D51&lt;&gt;"",E51&lt;&gt;"",E51&gt;=D51,F51&gt;0,G51&gt;0,I51&gt;0,COUNTIF($B$7:$B$306,B51)=1),"OK",IF(C51="","Thiếu tên; ","")&amp;IF(D51="","Thiếu ngày tăng; ","")&amp;IF(E51="","Thiếu ngày bắt đầu; ","")&amp;IF(AND(D51&lt;&gt;"",E51&lt;&gt;"",E51&lt;D51),"Ngày bắt đầu &lt; ngày tăng; ","")&amp;IF(OR(F51="",F51&lt;=0),"Số lượng không hợp lệ; ","")&amp;IF(OR(G51="",G51&lt;=0),"Đơn giá không hợp lệ; ","")&amp;IF(OR(I51="",I51&lt;=0),"Số tháng không hợp lệ; ","")&amp;IF(COUNTIF($B$7:$B$306,B51)&gt;1,"Trùng mã CPTT; ","")))</f>
        <v/>
      </c>
    </row>
    <row r="52" ht="19.5" customHeight="1" s="98">
      <c r="A52" s="164">
        <f>IF(B52="","",ROW()-6)</f>
        <v/>
      </c>
      <c r="B52" s="165" t="n"/>
      <c r="C52" s="166" t="n"/>
      <c r="D52" s="167" t="n"/>
      <c r="E52" s="167" t="n"/>
      <c r="F52" s="168" t="n"/>
      <c r="G52" s="169" t="n"/>
      <c r="H52" s="170">
        <f>IF(OR(F52="",G52=""),"",F52*G52)</f>
        <v/>
      </c>
      <c r="I52" s="171" t="n"/>
      <c r="J52" s="170">
        <f>IF(OR(H52="",E52="",P52=""),"",H52/(P52-E52+1))</f>
        <v/>
      </c>
      <c r="K52" s="165" t="n"/>
      <c r="L52" s="172">
        <f>IF(B52="","",IF(AF52&lt;=0,"Đã phân bổ",IF(P52&lt;=EDATE('Thiết lập'!$B$4,12),"Ngắn hạn","Dài hạn")))</f>
        <v/>
      </c>
      <c r="M52" s="165" t="n"/>
      <c r="N52" s="165" t="n"/>
      <c r="O52" s="165" t="n"/>
      <c r="P52" s="173">
        <f>IF(OR(E52="",I52=""),"",EDATE(E52,I52)-1)</f>
        <v/>
      </c>
      <c r="Q52" s="170">
        <f>IF(OR(B52="",E52="",P52=""),0,MIN(H52,MAX(0,MIN(P52,DATE('Thiết lập'!$B$3-1,12,31))-E52+1)*J52))</f>
        <v/>
      </c>
      <c r="R52" s="170">
        <f>IF(OR($B52="",R$4&gt;$P52,EOMONTH(R$4,0)&lt;$E52),0,MIN($H52,MAX(0,MIN(EOMONTH(R$4,0),$P52)-MAX(R$4,$E52)+1)*$J52))</f>
        <v/>
      </c>
      <c r="S52" s="170">
        <f>IF(OR($B52="",S$4&gt;$P52,EOMONTH(S$4,0)&lt;$E52),0,MIN($H52,MAX(0,MIN(EOMONTH(S$4,0),$P52)-MAX(S$4,$E52)+1)*$J52))</f>
        <v/>
      </c>
      <c r="T52" s="170">
        <f>IF(OR($B52="",T$4&gt;$P52,EOMONTH(T$4,0)&lt;$E52),0,MIN($H52,MAX(0,MIN(EOMONTH(T$4,0),$P52)-MAX(T$4,$E52)+1)*$J52))</f>
        <v/>
      </c>
      <c r="U52" s="170">
        <f>IF(OR($B52="",U$4&gt;$P52,EOMONTH(U$4,0)&lt;$E52),0,MIN($H52,MAX(0,MIN(EOMONTH(U$4,0),$P52)-MAX(U$4,$E52)+1)*$J52))</f>
        <v/>
      </c>
      <c r="V52" s="170">
        <f>IF(OR($B52="",V$4&gt;$P52,EOMONTH(V$4,0)&lt;$E52),0,MIN($H52,MAX(0,MIN(EOMONTH(V$4,0),$P52)-MAX(V$4,$E52)+1)*$J52))</f>
        <v/>
      </c>
      <c r="W52" s="170">
        <f>IF(OR($B52="",W$4&gt;$P52,EOMONTH(W$4,0)&lt;$E52),0,MIN($H52,MAX(0,MIN(EOMONTH(W$4,0),$P52)-MAX(W$4,$E52)+1)*$J52))</f>
        <v/>
      </c>
      <c r="X52" s="170">
        <f>IF(OR($B52="",X$4&gt;$P52,EOMONTH(X$4,0)&lt;$E52),0,MIN($H52,MAX(0,MIN(EOMONTH(X$4,0),$P52)-MAX(X$4,$E52)+1)*$J52))</f>
        <v/>
      </c>
      <c r="Y52" s="170">
        <f>IF(OR($B52="",Y$4&gt;$P52,EOMONTH(Y$4,0)&lt;$E52),0,MIN($H52,MAX(0,MIN(EOMONTH(Y$4,0),$P52)-MAX(Y$4,$E52)+1)*$J52))</f>
        <v/>
      </c>
      <c r="Z52" s="170">
        <f>IF(OR($B52="",Z$4&gt;$P52,EOMONTH(Z$4,0)&lt;$E52),0,MIN($H52,MAX(0,MIN(EOMONTH(Z$4,0),$P52)-MAX(Z$4,$E52)+1)*$J52))</f>
        <v/>
      </c>
      <c r="AA52" s="170">
        <f>IF(OR($B52="",AA$4&gt;$P52,EOMONTH(AA$4,0)&lt;$E52),0,MIN($H52,MAX(0,MIN(EOMONTH(AA$4,0),$P52)-MAX(AA$4,$E52)+1)*$J52))</f>
        <v/>
      </c>
      <c r="AB52" s="170">
        <f>IF(OR($B52="",AB$4&gt;$P52,EOMONTH(AB$4,0)&lt;$E52),0,MIN($H52,MAX(0,MIN(EOMONTH(AB$4,0),$P52)-MAX(AB$4,$E52)+1)*$J52))</f>
        <v/>
      </c>
      <c r="AC52" s="170">
        <f>IF(OR($B52="",AC$4&gt;$P52,EOMONTH(AC$4,0)&lt;$E52),0,MIN($H52,MAX(0,MIN(EOMONTH(AC$4,0),$P52)-MAX(AC$4,$E52)+1)*$J52))</f>
        <v/>
      </c>
      <c r="AD52" s="170">
        <f>IF(B52="","",ROUND(SUM(R52:AC52),0))</f>
        <v/>
      </c>
      <c r="AE52" s="170">
        <f>IF(B52="","",MIN(H52,ROUND(Q52+SUM(R52:AC52),0)))</f>
        <v/>
      </c>
      <c r="AF52" s="170">
        <f>IF(B52="","",MAX(H52-AE52,0))</f>
        <v/>
      </c>
      <c r="AG52" s="172">
        <f>IF(B52="","",IF('Thiết lập'!$B$4&lt;E52,"Chưa phân bổ",IF(P52&lt;='Thiết lập'!$B$4,"Đã phân bổ","Đang phân bổ")))</f>
        <v/>
      </c>
      <c r="AH52" s="166" t="n"/>
      <c r="AI52" s="174">
        <f>IF(B52="","",IF(AND(C52&lt;&gt;"",D52&lt;&gt;"",E52&lt;&gt;"",E52&gt;=D52,F52&gt;0,G52&gt;0,I52&gt;0,COUNTIF($B$7:$B$306,B52)=1),"OK",IF(C52="","Thiếu tên; ","")&amp;IF(D52="","Thiếu ngày tăng; ","")&amp;IF(E52="","Thiếu ngày bắt đầu; ","")&amp;IF(AND(D52&lt;&gt;"",E52&lt;&gt;"",E52&lt;D52),"Ngày bắt đầu &lt; ngày tăng; ","")&amp;IF(OR(F52="",F52&lt;=0),"Số lượng không hợp lệ; ","")&amp;IF(OR(G52="",G52&lt;=0),"Đơn giá không hợp lệ; ","")&amp;IF(OR(I52="",I52&lt;=0),"Số tháng không hợp lệ; ","")&amp;IF(COUNTIF($B$7:$B$306,B52)&gt;1,"Trùng mã CPTT; ","")))</f>
        <v/>
      </c>
    </row>
    <row r="53" ht="19.5" customHeight="1" s="98">
      <c r="A53" s="164">
        <f>IF(B53="","",ROW()-6)</f>
        <v/>
      </c>
      <c r="B53" s="165" t="n"/>
      <c r="C53" s="166" t="n"/>
      <c r="D53" s="167" t="n"/>
      <c r="E53" s="167" t="n"/>
      <c r="F53" s="168" t="n"/>
      <c r="G53" s="169" t="n"/>
      <c r="H53" s="170">
        <f>IF(OR(F53="",G53=""),"",F53*G53)</f>
        <v/>
      </c>
      <c r="I53" s="171" t="n"/>
      <c r="J53" s="170">
        <f>IF(OR(H53="",E53="",P53=""),"",H53/(P53-E53+1))</f>
        <v/>
      </c>
      <c r="K53" s="165" t="n"/>
      <c r="L53" s="172">
        <f>IF(B53="","",IF(AF53&lt;=0,"Đã phân bổ",IF(P53&lt;=EDATE('Thiết lập'!$B$4,12),"Ngắn hạn","Dài hạn")))</f>
        <v/>
      </c>
      <c r="M53" s="165" t="n"/>
      <c r="N53" s="165" t="n"/>
      <c r="O53" s="165" t="n"/>
      <c r="P53" s="173">
        <f>IF(OR(E53="",I53=""),"",EDATE(E53,I53)-1)</f>
        <v/>
      </c>
      <c r="Q53" s="170">
        <f>IF(OR(B53="",E53="",P53=""),0,MIN(H53,MAX(0,MIN(P53,DATE('Thiết lập'!$B$3-1,12,31))-E53+1)*J53))</f>
        <v/>
      </c>
      <c r="R53" s="170">
        <f>IF(OR($B53="",R$4&gt;$P53,EOMONTH(R$4,0)&lt;$E53),0,MIN($H53,MAX(0,MIN(EOMONTH(R$4,0),$P53)-MAX(R$4,$E53)+1)*$J53))</f>
        <v/>
      </c>
      <c r="S53" s="170">
        <f>IF(OR($B53="",S$4&gt;$P53,EOMONTH(S$4,0)&lt;$E53),0,MIN($H53,MAX(0,MIN(EOMONTH(S$4,0),$P53)-MAX(S$4,$E53)+1)*$J53))</f>
        <v/>
      </c>
      <c r="T53" s="170">
        <f>IF(OR($B53="",T$4&gt;$P53,EOMONTH(T$4,0)&lt;$E53),0,MIN($H53,MAX(0,MIN(EOMONTH(T$4,0),$P53)-MAX(T$4,$E53)+1)*$J53))</f>
        <v/>
      </c>
      <c r="U53" s="170">
        <f>IF(OR($B53="",U$4&gt;$P53,EOMONTH(U$4,0)&lt;$E53),0,MIN($H53,MAX(0,MIN(EOMONTH(U$4,0),$P53)-MAX(U$4,$E53)+1)*$J53))</f>
        <v/>
      </c>
      <c r="V53" s="170">
        <f>IF(OR($B53="",V$4&gt;$P53,EOMONTH(V$4,0)&lt;$E53),0,MIN($H53,MAX(0,MIN(EOMONTH(V$4,0),$P53)-MAX(V$4,$E53)+1)*$J53))</f>
        <v/>
      </c>
      <c r="W53" s="170">
        <f>IF(OR($B53="",W$4&gt;$P53,EOMONTH(W$4,0)&lt;$E53),0,MIN($H53,MAX(0,MIN(EOMONTH(W$4,0),$P53)-MAX(W$4,$E53)+1)*$J53))</f>
        <v/>
      </c>
      <c r="X53" s="170">
        <f>IF(OR($B53="",X$4&gt;$P53,EOMONTH(X$4,0)&lt;$E53),0,MIN($H53,MAX(0,MIN(EOMONTH(X$4,0),$P53)-MAX(X$4,$E53)+1)*$J53))</f>
        <v/>
      </c>
      <c r="Y53" s="170">
        <f>IF(OR($B53="",Y$4&gt;$P53,EOMONTH(Y$4,0)&lt;$E53),0,MIN($H53,MAX(0,MIN(EOMONTH(Y$4,0),$P53)-MAX(Y$4,$E53)+1)*$J53))</f>
        <v/>
      </c>
      <c r="Z53" s="170">
        <f>IF(OR($B53="",Z$4&gt;$P53,EOMONTH(Z$4,0)&lt;$E53),0,MIN($H53,MAX(0,MIN(EOMONTH(Z$4,0),$P53)-MAX(Z$4,$E53)+1)*$J53))</f>
        <v/>
      </c>
      <c r="AA53" s="170">
        <f>IF(OR($B53="",AA$4&gt;$P53,EOMONTH(AA$4,0)&lt;$E53),0,MIN($H53,MAX(0,MIN(EOMONTH(AA$4,0),$P53)-MAX(AA$4,$E53)+1)*$J53))</f>
        <v/>
      </c>
      <c r="AB53" s="170">
        <f>IF(OR($B53="",AB$4&gt;$P53,EOMONTH(AB$4,0)&lt;$E53),0,MIN($H53,MAX(0,MIN(EOMONTH(AB$4,0),$P53)-MAX(AB$4,$E53)+1)*$J53))</f>
        <v/>
      </c>
      <c r="AC53" s="170">
        <f>IF(OR($B53="",AC$4&gt;$P53,EOMONTH(AC$4,0)&lt;$E53),0,MIN($H53,MAX(0,MIN(EOMONTH(AC$4,0),$P53)-MAX(AC$4,$E53)+1)*$J53))</f>
        <v/>
      </c>
      <c r="AD53" s="170">
        <f>IF(B53="","",ROUND(SUM(R53:AC53),0))</f>
        <v/>
      </c>
      <c r="AE53" s="170">
        <f>IF(B53="","",MIN(H53,ROUND(Q53+SUM(R53:AC53),0)))</f>
        <v/>
      </c>
      <c r="AF53" s="170">
        <f>IF(B53="","",MAX(H53-AE53,0))</f>
        <v/>
      </c>
      <c r="AG53" s="172">
        <f>IF(B53="","",IF('Thiết lập'!$B$4&lt;E53,"Chưa phân bổ",IF(P53&lt;='Thiết lập'!$B$4,"Đã phân bổ","Đang phân bổ")))</f>
        <v/>
      </c>
      <c r="AH53" s="166" t="n"/>
      <c r="AI53" s="174">
        <f>IF(B53="","",IF(AND(C53&lt;&gt;"",D53&lt;&gt;"",E53&lt;&gt;"",E53&gt;=D53,F53&gt;0,G53&gt;0,I53&gt;0,COUNTIF($B$7:$B$306,B53)=1),"OK",IF(C53="","Thiếu tên; ","")&amp;IF(D53="","Thiếu ngày tăng; ","")&amp;IF(E53="","Thiếu ngày bắt đầu; ","")&amp;IF(AND(D53&lt;&gt;"",E53&lt;&gt;"",E53&lt;D53),"Ngày bắt đầu &lt; ngày tăng; ","")&amp;IF(OR(F53="",F53&lt;=0),"Số lượng không hợp lệ; ","")&amp;IF(OR(G53="",G53&lt;=0),"Đơn giá không hợp lệ; ","")&amp;IF(OR(I53="",I53&lt;=0),"Số tháng không hợp lệ; ","")&amp;IF(COUNTIF($B$7:$B$306,B53)&gt;1,"Trùng mã CPTT; ","")))</f>
        <v/>
      </c>
    </row>
    <row r="54" ht="19.5" customHeight="1" s="98">
      <c r="A54" s="164">
        <f>IF(B54="","",ROW()-6)</f>
        <v/>
      </c>
      <c r="B54" s="165" t="n"/>
      <c r="C54" s="166" t="n"/>
      <c r="D54" s="167" t="n"/>
      <c r="E54" s="167" t="n"/>
      <c r="F54" s="168" t="n"/>
      <c r="G54" s="169" t="n"/>
      <c r="H54" s="170">
        <f>IF(OR(F54="",G54=""),"",F54*G54)</f>
        <v/>
      </c>
      <c r="I54" s="171" t="n"/>
      <c r="J54" s="170">
        <f>IF(OR(H54="",E54="",P54=""),"",H54/(P54-E54+1))</f>
        <v/>
      </c>
      <c r="K54" s="165" t="n"/>
      <c r="L54" s="172">
        <f>IF(B54="","",IF(AF54&lt;=0,"Đã phân bổ",IF(P54&lt;=EDATE('Thiết lập'!$B$4,12),"Ngắn hạn","Dài hạn")))</f>
        <v/>
      </c>
      <c r="M54" s="165" t="n"/>
      <c r="N54" s="165" t="n"/>
      <c r="O54" s="165" t="n"/>
      <c r="P54" s="173">
        <f>IF(OR(E54="",I54=""),"",EDATE(E54,I54)-1)</f>
        <v/>
      </c>
      <c r="Q54" s="170">
        <f>IF(OR(B54="",E54="",P54=""),0,MIN(H54,MAX(0,MIN(P54,DATE('Thiết lập'!$B$3-1,12,31))-E54+1)*J54))</f>
        <v/>
      </c>
      <c r="R54" s="170">
        <f>IF(OR($B54="",R$4&gt;$P54,EOMONTH(R$4,0)&lt;$E54),0,MIN($H54,MAX(0,MIN(EOMONTH(R$4,0),$P54)-MAX(R$4,$E54)+1)*$J54))</f>
        <v/>
      </c>
      <c r="S54" s="170">
        <f>IF(OR($B54="",S$4&gt;$P54,EOMONTH(S$4,0)&lt;$E54),0,MIN($H54,MAX(0,MIN(EOMONTH(S$4,0),$P54)-MAX(S$4,$E54)+1)*$J54))</f>
        <v/>
      </c>
      <c r="T54" s="170">
        <f>IF(OR($B54="",T$4&gt;$P54,EOMONTH(T$4,0)&lt;$E54),0,MIN($H54,MAX(0,MIN(EOMONTH(T$4,0),$P54)-MAX(T$4,$E54)+1)*$J54))</f>
        <v/>
      </c>
      <c r="U54" s="170">
        <f>IF(OR($B54="",U$4&gt;$P54,EOMONTH(U$4,0)&lt;$E54),0,MIN($H54,MAX(0,MIN(EOMONTH(U$4,0),$P54)-MAX(U$4,$E54)+1)*$J54))</f>
        <v/>
      </c>
      <c r="V54" s="170">
        <f>IF(OR($B54="",V$4&gt;$P54,EOMONTH(V$4,0)&lt;$E54),0,MIN($H54,MAX(0,MIN(EOMONTH(V$4,0),$P54)-MAX(V$4,$E54)+1)*$J54))</f>
        <v/>
      </c>
      <c r="W54" s="170">
        <f>IF(OR($B54="",W$4&gt;$P54,EOMONTH(W$4,0)&lt;$E54),0,MIN($H54,MAX(0,MIN(EOMONTH(W$4,0),$P54)-MAX(W$4,$E54)+1)*$J54))</f>
        <v/>
      </c>
      <c r="X54" s="170">
        <f>IF(OR($B54="",X$4&gt;$P54,EOMONTH(X$4,0)&lt;$E54),0,MIN($H54,MAX(0,MIN(EOMONTH(X$4,0),$P54)-MAX(X$4,$E54)+1)*$J54))</f>
        <v/>
      </c>
      <c r="Y54" s="170">
        <f>IF(OR($B54="",Y$4&gt;$P54,EOMONTH(Y$4,0)&lt;$E54),0,MIN($H54,MAX(0,MIN(EOMONTH(Y$4,0),$P54)-MAX(Y$4,$E54)+1)*$J54))</f>
        <v/>
      </c>
      <c r="Z54" s="170">
        <f>IF(OR($B54="",Z$4&gt;$P54,EOMONTH(Z$4,0)&lt;$E54),0,MIN($H54,MAX(0,MIN(EOMONTH(Z$4,0),$P54)-MAX(Z$4,$E54)+1)*$J54))</f>
        <v/>
      </c>
      <c r="AA54" s="170">
        <f>IF(OR($B54="",AA$4&gt;$P54,EOMONTH(AA$4,0)&lt;$E54),0,MIN($H54,MAX(0,MIN(EOMONTH(AA$4,0),$P54)-MAX(AA$4,$E54)+1)*$J54))</f>
        <v/>
      </c>
      <c r="AB54" s="170">
        <f>IF(OR($B54="",AB$4&gt;$P54,EOMONTH(AB$4,0)&lt;$E54),0,MIN($H54,MAX(0,MIN(EOMONTH(AB$4,0),$P54)-MAX(AB$4,$E54)+1)*$J54))</f>
        <v/>
      </c>
      <c r="AC54" s="170">
        <f>IF(OR($B54="",AC$4&gt;$P54,EOMONTH(AC$4,0)&lt;$E54),0,MIN($H54,MAX(0,MIN(EOMONTH(AC$4,0),$P54)-MAX(AC$4,$E54)+1)*$J54))</f>
        <v/>
      </c>
      <c r="AD54" s="170">
        <f>IF(B54="","",ROUND(SUM(R54:AC54),0))</f>
        <v/>
      </c>
      <c r="AE54" s="170">
        <f>IF(B54="","",MIN(H54,ROUND(Q54+SUM(R54:AC54),0)))</f>
        <v/>
      </c>
      <c r="AF54" s="170">
        <f>IF(B54="","",MAX(H54-AE54,0))</f>
        <v/>
      </c>
      <c r="AG54" s="172">
        <f>IF(B54="","",IF('Thiết lập'!$B$4&lt;E54,"Chưa phân bổ",IF(P54&lt;='Thiết lập'!$B$4,"Đã phân bổ","Đang phân bổ")))</f>
        <v/>
      </c>
      <c r="AH54" s="166" t="n"/>
      <c r="AI54" s="174">
        <f>IF(B54="","",IF(AND(C54&lt;&gt;"",D54&lt;&gt;"",E54&lt;&gt;"",E54&gt;=D54,F54&gt;0,G54&gt;0,I54&gt;0,COUNTIF($B$7:$B$306,B54)=1),"OK",IF(C54="","Thiếu tên; ","")&amp;IF(D54="","Thiếu ngày tăng; ","")&amp;IF(E54="","Thiếu ngày bắt đầu; ","")&amp;IF(AND(D54&lt;&gt;"",E54&lt;&gt;"",E54&lt;D54),"Ngày bắt đầu &lt; ngày tăng; ","")&amp;IF(OR(F54="",F54&lt;=0),"Số lượng không hợp lệ; ","")&amp;IF(OR(G54="",G54&lt;=0),"Đơn giá không hợp lệ; ","")&amp;IF(OR(I54="",I54&lt;=0),"Số tháng không hợp lệ; ","")&amp;IF(COUNTIF($B$7:$B$306,B54)&gt;1,"Trùng mã CPTT; ","")))</f>
        <v/>
      </c>
    </row>
    <row r="55" ht="19.5" customHeight="1" s="98">
      <c r="A55" s="164">
        <f>IF(B55="","",ROW()-6)</f>
        <v/>
      </c>
      <c r="B55" s="165" t="n"/>
      <c r="C55" s="166" t="n"/>
      <c r="D55" s="167" t="n"/>
      <c r="E55" s="167" t="n"/>
      <c r="F55" s="168" t="n"/>
      <c r="G55" s="169" t="n"/>
      <c r="H55" s="170">
        <f>IF(OR(F55="",G55=""),"",F55*G55)</f>
        <v/>
      </c>
      <c r="I55" s="171" t="n"/>
      <c r="J55" s="170">
        <f>IF(OR(H55="",E55="",P55=""),"",H55/(P55-E55+1))</f>
        <v/>
      </c>
      <c r="K55" s="165" t="n"/>
      <c r="L55" s="172">
        <f>IF(B55="","",IF(AF55&lt;=0,"Đã phân bổ",IF(P55&lt;=EDATE('Thiết lập'!$B$4,12),"Ngắn hạn","Dài hạn")))</f>
        <v/>
      </c>
      <c r="M55" s="165" t="n"/>
      <c r="N55" s="165" t="n"/>
      <c r="O55" s="165" t="n"/>
      <c r="P55" s="173">
        <f>IF(OR(E55="",I55=""),"",EDATE(E55,I55)-1)</f>
        <v/>
      </c>
      <c r="Q55" s="170">
        <f>IF(OR(B55="",E55="",P55=""),0,MIN(H55,MAX(0,MIN(P55,DATE('Thiết lập'!$B$3-1,12,31))-E55+1)*J55))</f>
        <v/>
      </c>
      <c r="R55" s="170">
        <f>IF(OR($B55="",R$4&gt;$P55,EOMONTH(R$4,0)&lt;$E55),0,MIN($H55,MAX(0,MIN(EOMONTH(R$4,0),$P55)-MAX(R$4,$E55)+1)*$J55))</f>
        <v/>
      </c>
      <c r="S55" s="170">
        <f>IF(OR($B55="",S$4&gt;$P55,EOMONTH(S$4,0)&lt;$E55),0,MIN($H55,MAX(0,MIN(EOMONTH(S$4,0),$P55)-MAX(S$4,$E55)+1)*$J55))</f>
        <v/>
      </c>
      <c r="T55" s="170">
        <f>IF(OR($B55="",T$4&gt;$P55,EOMONTH(T$4,0)&lt;$E55),0,MIN($H55,MAX(0,MIN(EOMONTH(T$4,0),$P55)-MAX(T$4,$E55)+1)*$J55))</f>
        <v/>
      </c>
      <c r="U55" s="170">
        <f>IF(OR($B55="",U$4&gt;$P55,EOMONTH(U$4,0)&lt;$E55),0,MIN($H55,MAX(0,MIN(EOMONTH(U$4,0),$P55)-MAX(U$4,$E55)+1)*$J55))</f>
        <v/>
      </c>
      <c r="V55" s="170">
        <f>IF(OR($B55="",V$4&gt;$P55,EOMONTH(V$4,0)&lt;$E55),0,MIN($H55,MAX(0,MIN(EOMONTH(V$4,0),$P55)-MAX(V$4,$E55)+1)*$J55))</f>
        <v/>
      </c>
      <c r="W55" s="170">
        <f>IF(OR($B55="",W$4&gt;$P55,EOMONTH(W$4,0)&lt;$E55),0,MIN($H55,MAX(0,MIN(EOMONTH(W$4,0),$P55)-MAX(W$4,$E55)+1)*$J55))</f>
        <v/>
      </c>
      <c r="X55" s="170">
        <f>IF(OR($B55="",X$4&gt;$P55,EOMONTH(X$4,0)&lt;$E55),0,MIN($H55,MAX(0,MIN(EOMONTH(X$4,0),$P55)-MAX(X$4,$E55)+1)*$J55))</f>
        <v/>
      </c>
      <c r="Y55" s="170">
        <f>IF(OR($B55="",Y$4&gt;$P55,EOMONTH(Y$4,0)&lt;$E55),0,MIN($H55,MAX(0,MIN(EOMONTH(Y$4,0),$P55)-MAX(Y$4,$E55)+1)*$J55))</f>
        <v/>
      </c>
      <c r="Z55" s="170">
        <f>IF(OR($B55="",Z$4&gt;$P55,EOMONTH(Z$4,0)&lt;$E55),0,MIN($H55,MAX(0,MIN(EOMONTH(Z$4,0),$P55)-MAX(Z$4,$E55)+1)*$J55))</f>
        <v/>
      </c>
      <c r="AA55" s="170">
        <f>IF(OR($B55="",AA$4&gt;$P55,EOMONTH(AA$4,0)&lt;$E55),0,MIN($H55,MAX(0,MIN(EOMONTH(AA$4,0),$P55)-MAX(AA$4,$E55)+1)*$J55))</f>
        <v/>
      </c>
      <c r="AB55" s="170">
        <f>IF(OR($B55="",AB$4&gt;$P55,EOMONTH(AB$4,0)&lt;$E55),0,MIN($H55,MAX(0,MIN(EOMONTH(AB$4,0),$P55)-MAX(AB$4,$E55)+1)*$J55))</f>
        <v/>
      </c>
      <c r="AC55" s="170">
        <f>IF(OR($B55="",AC$4&gt;$P55,EOMONTH(AC$4,0)&lt;$E55),0,MIN($H55,MAX(0,MIN(EOMONTH(AC$4,0),$P55)-MAX(AC$4,$E55)+1)*$J55))</f>
        <v/>
      </c>
      <c r="AD55" s="170">
        <f>IF(B55="","",ROUND(SUM(R55:AC55),0))</f>
        <v/>
      </c>
      <c r="AE55" s="170">
        <f>IF(B55="","",MIN(H55,ROUND(Q55+SUM(R55:AC55),0)))</f>
        <v/>
      </c>
      <c r="AF55" s="170">
        <f>IF(B55="","",MAX(H55-AE55,0))</f>
        <v/>
      </c>
      <c r="AG55" s="172">
        <f>IF(B55="","",IF('Thiết lập'!$B$4&lt;E55,"Chưa phân bổ",IF(P55&lt;='Thiết lập'!$B$4,"Đã phân bổ","Đang phân bổ")))</f>
        <v/>
      </c>
      <c r="AH55" s="166" t="n"/>
      <c r="AI55" s="174">
        <f>IF(B55="","",IF(AND(C55&lt;&gt;"",D55&lt;&gt;"",E55&lt;&gt;"",E55&gt;=D55,F55&gt;0,G55&gt;0,I55&gt;0,COUNTIF($B$7:$B$306,B55)=1),"OK",IF(C55="","Thiếu tên; ","")&amp;IF(D55="","Thiếu ngày tăng; ","")&amp;IF(E55="","Thiếu ngày bắt đầu; ","")&amp;IF(AND(D55&lt;&gt;"",E55&lt;&gt;"",E55&lt;D55),"Ngày bắt đầu &lt; ngày tăng; ","")&amp;IF(OR(F55="",F55&lt;=0),"Số lượng không hợp lệ; ","")&amp;IF(OR(G55="",G55&lt;=0),"Đơn giá không hợp lệ; ","")&amp;IF(OR(I55="",I55&lt;=0),"Số tháng không hợp lệ; ","")&amp;IF(COUNTIF($B$7:$B$306,B55)&gt;1,"Trùng mã CPTT; ","")))</f>
        <v/>
      </c>
    </row>
    <row r="56" ht="19.5" customHeight="1" s="98">
      <c r="A56" s="164">
        <f>IF(B56="","",ROW()-6)</f>
        <v/>
      </c>
      <c r="B56" s="165" t="n"/>
      <c r="C56" s="166" t="n"/>
      <c r="D56" s="167" t="n"/>
      <c r="E56" s="167" t="n"/>
      <c r="F56" s="168" t="n"/>
      <c r="G56" s="169" t="n"/>
      <c r="H56" s="170">
        <f>IF(OR(F56="",G56=""),"",F56*G56)</f>
        <v/>
      </c>
      <c r="I56" s="171" t="n"/>
      <c r="J56" s="170">
        <f>IF(OR(H56="",E56="",P56=""),"",H56/(P56-E56+1))</f>
        <v/>
      </c>
      <c r="K56" s="165" t="n"/>
      <c r="L56" s="172">
        <f>IF(B56="","",IF(AF56&lt;=0,"Đã phân bổ",IF(P56&lt;=EDATE('Thiết lập'!$B$4,12),"Ngắn hạn","Dài hạn")))</f>
        <v/>
      </c>
      <c r="M56" s="165" t="n"/>
      <c r="N56" s="165" t="n"/>
      <c r="O56" s="165" t="n"/>
      <c r="P56" s="173">
        <f>IF(OR(E56="",I56=""),"",EDATE(E56,I56)-1)</f>
        <v/>
      </c>
      <c r="Q56" s="170">
        <f>IF(OR(B56="",E56="",P56=""),0,MIN(H56,MAX(0,MIN(P56,DATE('Thiết lập'!$B$3-1,12,31))-E56+1)*J56))</f>
        <v/>
      </c>
      <c r="R56" s="170">
        <f>IF(OR($B56="",R$4&gt;$P56,EOMONTH(R$4,0)&lt;$E56),0,MIN($H56,MAX(0,MIN(EOMONTH(R$4,0),$P56)-MAX(R$4,$E56)+1)*$J56))</f>
        <v/>
      </c>
      <c r="S56" s="170">
        <f>IF(OR($B56="",S$4&gt;$P56,EOMONTH(S$4,0)&lt;$E56),0,MIN($H56,MAX(0,MIN(EOMONTH(S$4,0),$P56)-MAX(S$4,$E56)+1)*$J56))</f>
        <v/>
      </c>
      <c r="T56" s="170">
        <f>IF(OR($B56="",T$4&gt;$P56,EOMONTH(T$4,0)&lt;$E56),0,MIN($H56,MAX(0,MIN(EOMONTH(T$4,0),$P56)-MAX(T$4,$E56)+1)*$J56))</f>
        <v/>
      </c>
      <c r="U56" s="170">
        <f>IF(OR($B56="",U$4&gt;$P56,EOMONTH(U$4,0)&lt;$E56),0,MIN($H56,MAX(0,MIN(EOMONTH(U$4,0),$P56)-MAX(U$4,$E56)+1)*$J56))</f>
        <v/>
      </c>
      <c r="V56" s="170">
        <f>IF(OR($B56="",V$4&gt;$P56,EOMONTH(V$4,0)&lt;$E56),0,MIN($H56,MAX(0,MIN(EOMONTH(V$4,0),$P56)-MAX(V$4,$E56)+1)*$J56))</f>
        <v/>
      </c>
      <c r="W56" s="170">
        <f>IF(OR($B56="",W$4&gt;$P56,EOMONTH(W$4,0)&lt;$E56),0,MIN($H56,MAX(0,MIN(EOMONTH(W$4,0),$P56)-MAX(W$4,$E56)+1)*$J56))</f>
        <v/>
      </c>
      <c r="X56" s="170">
        <f>IF(OR($B56="",X$4&gt;$P56,EOMONTH(X$4,0)&lt;$E56),0,MIN($H56,MAX(0,MIN(EOMONTH(X$4,0),$P56)-MAX(X$4,$E56)+1)*$J56))</f>
        <v/>
      </c>
      <c r="Y56" s="170">
        <f>IF(OR($B56="",Y$4&gt;$P56,EOMONTH(Y$4,0)&lt;$E56),0,MIN($H56,MAX(0,MIN(EOMONTH(Y$4,0),$P56)-MAX(Y$4,$E56)+1)*$J56))</f>
        <v/>
      </c>
      <c r="Z56" s="170">
        <f>IF(OR($B56="",Z$4&gt;$P56,EOMONTH(Z$4,0)&lt;$E56),0,MIN($H56,MAX(0,MIN(EOMONTH(Z$4,0),$P56)-MAX(Z$4,$E56)+1)*$J56))</f>
        <v/>
      </c>
      <c r="AA56" s="170">
        <f>IF(OR($B56="",AA$4&gt;$P56,EOMONTH(AA$4,0)&lt;$E56),0,MIN($H56,MAX(0,MIN(EOMONTH(AA$4,0),$P56)-MAX(AA$4,$E56)+1)*$J56))</f>
        <v/>
      </c>
      <c r="AB56" s="170">
        <f>IF(OR($B56="",AB$4&gt;$P56,EOMONTH(AB$4,0)&lt;$E56),0,MIN($H56,MAX(0,MIN(EOMONTH(AB$4,0),$P56)-MAX(AB$4,$E56)+1)*$J56))</f>
        <v/>
      </c>
      <c r="AC56" s="170">
        <f>IF(OR($B56="",AC$4&gt;$P56,EOMONTH(AC$4,0)&lt;$E56),0,MIN($H56,MAX(0,MIN(EOMONTH(AC$4,0),$P56)-MAX(AC$4,$E56)+1)*$J56))</f>
        <v/>
      </c>
      <c r="AD56" s="170">
        <f>IF(B56="","",ROUND(SUM(R56:AC56),0))</f>
        <v/>
      </c>
      <c r="AE56" s="170">
        <f>IF(B56="","",MIN(H56,ROUND(Q56+SUM(R56:AC56),0)))</f>
        <v/>
      </c>
      <c r="AF56" s="170">
        <f>IF(B56="","",MAX(H56-AE56,0))</f>
        <v/>
      </c>
      <c r="AG56" s="172">
        <f>IF(B56="","",IF('Thiết lập'!$B$4&lt;E56,"Chưa phân bổ",IF(P56&lt;='Thiết lập'!$B$4,"Đã phân bổ","Đang phân bổ")))</f>
        <v/>
      </c>
      <c r="AH56" s="166" t="n"/>
      <c r="AI56" s="174">
        <f>IF(B56="","",IF(AND(C56&lt;&gt;"",D56&lt;&gt;"",E56&lt;&gt;"",E56&gt;=D56,F56&gt;0,G56&gt;0,I56&gt;0,COUNTIF($B$7:$B$306,B56)=1),"OK",IF(C56="","Thiếu tên; ","")&amp;IF(D56="","Thiếu ngày tăng; ","")&amp;IF(E56="","Thiếu ngày bắt đầu; ","")&amp;IF(AND(D56&lt;&gt;"",E56&lt;&gt;"",E56&lt;D56),"Ngày bắt đầu &lt; ngày tăng; ","")&amp;IF(OR(F56="",F56&lt;=0),"Số lượng không hợp lệ; ","")&amp;IF(OR(G56="",G56&lt;=0),"Đơn giá không hợp lệ; ","")&amp;IF(OR(I56="",I56&lt;=0),"Số tháng không hợp lệ; ","")&amp;IF(COUNTIF($B$7:$B$306,B56)&gt;1,"Trùng mã CPTT; ","")))</f>
        <v/>
      </c>
    </row>
    <row r="57" ht="19.5" customHeight="1" s="98">
      <c r="A57" s="164">
        <f>IF(B57="","",ROW()-6)</f>
        <v/>
      </c>
      <c r="B57" s="165" t="n"/>
      <c r="C57" s="166" t="n"/>
      <c r="D57" s="167" t="n"/>
      <c r="E57" s="167" t="n"/>
      <c r="F57" s="168" t="n"/>
      <c r="G57" s="169" t="n"/>
      <c r="H57" s="170">
        <f>IF(OR(F57="",G57=""),"",F57*G57)</f>
        <v/>
      </c>
      <c r="I57" s="171" t="n"/>
      <c r="J57" s="170">
        <f>IF(OR(H57="",E57="",P57=""),"",H57/(P57-E57+1))</f>
        <v/>
      </c>
      <c r="K57" s="165" t="n"/>
      <c r="L57" s="172">
        <f>IF(B57="","",IF(AF57&lt;=0,"Đã phân bổ",IF(P57&lt;=EDATE('Thiết lập'!$B$4,12),"Ngắn hạn","Dài hạn")))</f>
        <v/>
      </c>
      <c r="M57" s="165" t="n"/>
      <c r="N57" s="165" t="n"/>
      <c r="O57" s="165" t="n"/>
      <c r="P57" s="173">
        <f>IF(OR(E57="",I57=""),"",EDATE(E57,I57)-1)</f>
        <v/>
      </c>
      <c r="Q57" s="170">
        <f>IF(OR(B57="",E57="",P57=""),0,MIN(H57,MAX(0,MIN(P57,DATE('Thiết lập'!$B$3-1,12,31))-E57+1)*J57))</f>
        <v/>
      </c>
      <c r="R57" s="170">
        <f>IF(OR($B57="",R$4&gt;$P57,EOMONTH(R$4,0)&lt;$E57),0,MIN($H57,MAX(0,MIN(EOMONTH(R$4,0),$P57)-MAX(R$4,$E57)+1)*$J57))</f>
        <v/>
      </c>
      <c r="S57" s="170">
        <f>IF(OR($B57="",S$4&gt;$P57,EOMONTH(S$4,0)&lt;$E57),0,MIN($H57,MAX(0,MIN(EOMONTH(S$4,0),$P57)-MAX(S$4,$E57)+1)*$J57))</f>
        <v/>
      </c>
      <c r="T57" s="170">
        <f>IF(OR($B57="",T$4&gt;$P57,EOMONTH(T$4,0)&lt;$E57),0,MIN($H57,MAX(0,MIN(EOMONTH(T$4,0),$P57)-MAX(T$4,$E57)+1)*$J57))</f>
        <v/>
      </c>
      <c r="U57" s="170">
        <f>IF(OR($B57="",U$4&gt;$P57,EOMONTH(U$4,0)&lt;$E57),0,MIN($H57,MAX(0,MIN(EOMONTH(U$4,0),$P57)-MAX(U$4,$E57)+1)*$J57))</f>
        <v/>
      </c>
      <c r="V57" s="170">
        <f>IF(OR($B57="",V$4&gt;$P57,EOMONTH(V$4,0)&lt;$E57),0,MIN($H57,MAX(0,MIN(EOMONTH(V$4,0),$P57)-MAX(V$4,$E57)+1)*$J57))</f>
        <v/>
      </c>
      <c r="W57" s="170">
        <f>IF(OR($B57="",W$4&gt;$P57,EOMONTH(W$4,0)&lt;$E57),0,MIN($H57,MAX(0,MIN(EOMONTH(W$4,0),$P57)-MAX(W$4,$E57)+1)*$J57))</f>
        <v/>
      </c>
      <c r="X57" s="170">
        <f>IF(OR($B57="",X$4&gt;$P57,EOMONTH(X$4,0)&lt;$E57),0,MIN($H57,MAX(0,MIN(EOMONTH(X$4,0),$P57)-MAX(X$4,$E57)+1)*$J57))</f>
        <v/>
      </c>
      <c r="Y57" s="170">
        <f>IF(OR($B57="",Y$4&gt;$P57,EOMONTH(Y$4,0)&lt;$E57),0,MIN($H57,MAX(0,MIN(EOMONTH(Y$4,0),$P57)-MAX(Y$4,$E57)+1)*$J57))</f>
        <v/>
      </c>
      <c r="Z57" s="170">
        <f>IF(OR($B57="",Z$4&gt;$P57,EOMONTH(Z$4,0)&lt;$E57),0,MIN($H57,MAX(0,MIN(EOMONTH(Z$4,0),$P57)-MAX(Z$4,$E57)+1)*$J57))</f>
        <v/>
      </c>
      <c r="AA57" s="170">
        <f>IF(OR($B57="",AA$4&gt;$P57,EOMONTH(AA$4,0)&lt;$E57),0,MIN($H57,MAX(0,MIN(EOMONTH(AA$4,0),$P57)-MAX(AA$4,$E57)+1)*$J57))</f>
        <v/>
      </c>
      <c r="AB57" s="170">
        <f>IF(OR($B57="",AB$4&gt;$P57,EOMONTH(AB$4,0)&lt;$E57),0,MIN($H57,MAX(0,MIN(EOMONTH(AB$4,0),$P57)-MAX(AB$4,$E57)+1)*$J57))</f>
        <v/>
      </c>
      <c r="AC57" s="170">
        <f>IF(OR($B57="",AC$4&gt;$P57,EOMONTH(AC$4,0)&lt;$E57),0,MIN($H57,MAX(0,MIN(EOMONTH(AC$4,0),$P57)-MAX(AC$4,$E57)+1)*$J57))</f>
        <v/>
      </c>
      <c r="AD57" s="170">
        <f>IF(B57="","",ROUND(SUM(R57:AC57),0))</f>
        <v/>
      </c>
      <c r="AE57" s="170">
        <f>IF(B57="","",MIN(H57,ROUND(Q57+SUM(R57:AC57),0)))</f>
        <v/>
      </c>
      <c r="AF57" s="170">
        <f>IF(B57="","",MAX(H57-AE57,0))</f>
        <v/>
      </c>
      <c r="AG57" s="172">
        <f>IF(B57="","",IF('Thiết lập'!$B$4&lt;E57,"Chưa phân bổ",IF(P57&lt;='Thiết lập'!$B$4,"Đã phân bổ","Đang phân bổ")))</f>
        <v/>
      </c>
      <c r="AH57" s="166" t="n"/>
      <c r="AI57" s="174">
        <f>IF(B57="","",IF(AND(C57&lt;&gt;"",D57&lt;&gt;"",E57&lt;&gt;"",E57&gt;=D57,F57&gt;0,G57&gt;0,I57&gt;0,COUNTIF($B$7:$B$306,B57)=1),"OK",IF(C57="","Thiếu tên; ","")&amp;IF(D57="","Thiếu ngày tăng; ","")&amp;IF(E57="","Thiếu ngày bắt đầu; ","")&amp;IF(AND(D57&lt;&gt;"",E57&lt;&gt;"",E57&lt;D57),"Ngày bắt đầu &lt; ngày tăng; ","")&amp;IF(OR(F57="",F57&lt;=0),"Số lượng không hợp lệ; ","")&amp;IF(OR(G57="",G57&lt;=0),"Đơn giá không hợp lệ; ","")&amp;IF(OR(I57="",I57&lt;=0),"Số tháng không hợp lệ; ","")&amp;IF(COUNTIF($B$7:$B$306,B57)&gt;1,"Trùng mã CPTT; ","")))</f>
        <v/>
      </c>
    </row>
    <row r="58" ht="19.5" customHeight="1" s="98">
      <c r="A58" s="164">
        <f>IF(B58="","",ROW()-6)</f>
        <v/>
      </c>
      <c r="B58" s="165" t="n"/>
      <c r="C58" s="166" t="n"/>
      <c r="D58" s="167" t="n"/>
      <c r="E58" s="167" t="n"/>
      <c r="F58" s="168" t="n"/>
      <c r="G58" s="169" t="n"/>
      <c r="H58" s="170">
        <f>IF(OR(F58="",G58=""),"",F58*G58)</f>
        <v/>
      </c>
      <c r="I58" s="171" t="n"/>
      <c r="J58" s="170">
        <f>IF(OR(H58="",E58="",P58=""),"",H58/(P58-E58+1))</f>
        <v/>
      </c>
      <c r="K58" s="165" t="n"/>
      <c r="L58" s="172">
        <f>IF(B58="","",IF(AF58&lt;=0,"Đã phân bổ",IF(P58&lt;=EDATE('Thiết lập'!$B$4,12),"Ngắn hạn","Dài hạn")))</f>
        <v/>
      </c>
      <c r="M58" s="165" t="n"/>
      <c r="N58" s="165" t="n"/>
      <c r="O58" s="165" t="n"/>
      <c r="P58" s="173">
        <f>IF(OR(E58="",I58=""),"",EDATE(E58,I58)-1)</f>
        <v/>
      </c>
      <c r="Q58" s="170">
        <f>IF(OR(B58="",E58="",P58=""),0,MIN(H58,MAX(0,MIN(P58,DATE('Thiết lập'!$B$3-1,12,31))-E58+1)*J58))</f>
        <v/>
      </c>
      <c r="R58" s="170">
        <f>IF(OR($B58="",R$4&gt;$P58,EOMONTH(R$4,0)&lt;$E58),0,MIN($H58,MAX(0,MIN(EOMONTH(R$4,0),$P58)-MAX(R$4,$E58)+1)*$J58))</f>
        <v/>
      </c>
      <c r="S58" s="170">
        <f>IF(OR($B58="",S$4&gt;$P58,EOMONTH(S$4,0)&lt;$E58),0,MIN($H58,MAX(0,MIN(EOMONTH(S$4,0),$P58)-MAX(S$4,$E58)+1)*$J58))</f>
        <v/>
      </c>
      <c r="T58" s="170">
        <f>IF(OR($B58="",T$4&gt;$P58,EOMONTH(T$4,0)&lt;$E58),0,MIN($H58,MAX(0,MIN(EOMONTH(T$4,0),$P58)-MAX(T$4,$E58)+1)*$J58))</f>
        <v/>
      </c>
      <c r="U58" s="170">
        <f>IF(OR($B58="",U$4&gt;$P58,EOMONTH(U$4,0)&lt;$E58),0,MIN($H58,MAX(0,MIN(EOMONTH(U$4,0),$P58)-MAX(U$4,$E58)+1)*$J58))</f>
        <v/>
      </c>
      <c r="V58" s="170">
        <f>IF(OR($B58="",V$4&gt;$P58,EOMONTH(V$4,0)&lt;$E58),0,MIN($H58,MAX(0,MIN(EOMONTH(V$4,0),$P58)-MAX(V$4,$E58)+1)*$J58))</f>
        <v/>
      </c>
      <c r="W58" s="170">
        <f>IF(OR($B58="",W$4&gt;$P58,EOMONTH(W$4,0)&lt;$E58),0,MIN($H58,MAX(0,MIN(EOMONTH(W$4,0),$P58)-MAX(W$4,$E58)+1)*$J58))</f>
        <v/>
      </c>
      <c r="X58" s="170">
        <f>IF(OR($B58="",X$4&gt;$P58,EOMONTH(X$4,0)&lt;$E58),0,MIN($H58,MAX(0,MIN(EOMONTH(X$4,0),$P58)-MAX(X$4,$E58)+1)*$J58))</f>
        <v/>
      </c>
      <c r="Y58" s="170">
        <f>IF(OR($B58="",Y$4&gt;$P58,EOMONTH(Y$4,0)&lt;$E58),0,MIN($H58,MAX(0,MIN(EOMONTH(Y$4,0),$P58)-MAX(Y$4,$E58)+1)*$J58))</f>
        <v/>
      </c>
      <c r="Z58" s="170">
        <f>IF(OR($B58="",Z$4&gt;$P58,EOMONTH(Z$4,0)&lt;$E58),0,MIN($H58,MAX(0,MIN(EOMONTH(Z$4,0),$P58)-MAX(Z$4,$E58)+1)*$J58))</f>
        <v/>
      </c>
      <c r="AA58" s="170">
        <f>IF(OR($B58="",AA$4&gt;$P58,EOMONTH(AA$4,0)&lt;$E58),0,MIN($H58,MAX(0,MIN(EOMONTH(AA$4,0),$P58)-MAX(AA$4,$E58)+1)*$J58))</f>
        <v/>
      </c>
      <c r="AB58" s="170">
        <f>IF(OR($B58="",AB$4&gt;$P58,EOMONTH(AB$4,0)&lt;$E58),0,MIN($H58,MAX(0,MIN(EOMONTH(AB$4,0),$P58)-MAX(AB$4,$E58)+1)*$J58))</f>
        <v/>
      </c>
      <c r="AC58" s="170">
        <f>IF(OR($B58="",AC$4&gt;$P58,EOMONTH(AC$4,0)&lt;$E58),0,MIN($H58,MAX(0,MIN(EOMONTH(AC$4,0),$P58)-MAX(AC$4,$E58)+1)*$J58))</f>
        <v/>
      </c>
      <c r="AD58" s="170">
        <f>IF(B58="","",ROUND(SUM(R58:AC58),0))</f>
        <v/>
      </c>
      <c r="AE58" s="170">
        <f>IF(B58="","",MIN(H58,ROUND(Q58+SUM(R58:AC58),0)))</f>
        <v/>
      </c>
      <c r="AF58" s="170">
        <f>IF(B58="","",MAX(H58-AE58,0))</f>
        <v/>
      </c>
      <c r="AG58" s="172">
        <f>IF(B58="","",IF('Thiết lập'!$B$4&lt;E58,"Chưa phân bổ",IF(P58&lt;='Thiết lập'!$B$4,"Đã phân bổ","Đang phân bổ")))</f>
        <v/>
      </c>
      <c r="AH58" s="166" t="n"/>
      <c r="AI58" s="174">
        <f>IF(B58="","",IF(AND(C58&lt;&gt;"",D58&lt;&gt;"",E58&lt;&gt;"",E58&gt;=D58,F58&gt;0,G58&gt;0,I58&gt;0,COUNTIF($B$7:$B$306,B58)=1),"OK",IF(C58="","Thiếu tên; ","")&amp;IF(D58="","Thiếu ngày tăng; ","")&amp;IF(E58="","Thiếu ngày bắt đầu; ","")&amp;IF(AND(D58&lt;&gt;"",E58&lt;&gt;"",E58&lt;D58),"Ngày bắt đầu &lt; ngày tăng; ","")&amp;IF(OR(F58="",F58&lt;=0),"Số lượng không hợp lệ; ","")&amp;IF(OR(G58="",G58&lt;=0),"Đơn giá không hợp lệ; ","")&amp;IF(OR(I58="",I58&lt;=0),"Số tháng không hợp lệ; ","")&amp;IF(COUNTIF($B$7:$B$306,B58)&gt;1,"Trùng mã CPTT; ","")))</f>
        <v/>
      </c>
    </row>
    <row r="59" ht="19.5" customHeight="1" s="98">
      <c r="A59" s="164">
        <f>IF(B59="","",ROW()-6)</f>
        <v/>
      </c>
      <c r="B59" s="165" t="n"/>
      <c r="C59" s="166" t="n"/>
      <c r="D59" s="167" t="n"/>
      <c r="E59" s="167" t="n"/>
      <c r="F59" s="168" t="n"/>
      <c r="G59" s="169" t="n"/>
      <c r="H59" s="170">
        <f>IF(OR(F59="",G59=""),"",F59*G59)</f>
        <v/>
      </c>
      <c r="I59" s="171" t="n"/>
      <c r="J59" s="170">
        <f>IF(OR(H59="",E59="",P59=""),"",H59/(P59-E59+1))</f>
        <v/>
      </c>
      <c r="K59" s="165" t="n"/>
      <c r="L59" s="172">
        <f>IF(B59="","",IF(AF59&lt;=0,"Đã phân bổ",IF(P59&lt;=EDATE('Thiết lập'!$B$4,12),"Ngắn hạn","Dài hạn")))</f>
        <v/>
      </c>
      <c r="M59" s="165" t="n"/>
      <c r="N59" s="165" t="n"/>
      <c r="O59" s="165" t="n"/>
      <c r="P59" s="173">
        <f>IF(OR(E59="",I59=""),"",EDATE(E59,I59)-1)</f>
        <v/>
      </c>
      <c r="Q59" s="170">
        <f>IF(OR(B59="",E59="",P59=""),0,MIN(H59,MAX(0,MIN(P59,DATE('Thiết lập'!$B$3-1,12,31))-E59+1)*J59))</f>
        <v/>
      </c>
      <c r="R59" s="170">
        <f>IF(OR($B59="",R$4&gt;$P59,EOMONTH(R$4,0)&lt;$E59),0,MIN($H59,MAX(0,MIN(EOMONTH(R$4,0),$P59)-MAX(R$4,$E59)+1)*$J59))</f>
        <v/>
      </c>
      <c r="S59" s="170">
        <f>IF(OR($B59="",S$4&gt;$P59,EOMONTH(S$4,0)&lt;$E59),0,MIN($H59,MAX(0,MIN(EOMONTH(S$4,0),$P59)-MAX(S$4,$E59)+1)*$J59))</f>
        <v/>
      </c>
      <c r="T59" s="170">
        <f>IF(OR($B59="",T$4&gt;$P59,EOMONTH(T$4,0)&lt;$E59),0,MIN($H59,MAX(0,MIN(EOMONTH(T$4,0),$P59)-MAX(T$4,$E59)+1)*$J59))</f>
        <v/>
      </c>
      <c r="U59" s="170">
        <f>IF(OR($B59="",U$4&gt;$P59,EOMONTH(U$4,0)&lt;$E59),0,MIN($H59,MAX(0,MIN(EOMONTH(U$4,0),$P59)-MAX(U$4,$E59)+1)*$J59))</f>
        <v/>
      </c>
      <c r="V59" s="170">
        <f>IF(OR($B59="",V$4&gt;$P59,EOMONTH(V$4,0)&lt;$E59),0,MIN($H59,MAX(0,MIN(EOMONTH(V$4,0),$P59)-MAX(V$4,$E59)+1)*$J59))</f>
        <v/>
      </c>
      <c r="W59" s="170">
        <f>IF(OR($B59="",W$4&gt;$P59,EOMONTH(W$4,0)&lt;$E59),0,MIN($H59,MAX(0,MIN(EOMONTH(W$4,0),$P59)-MAX(W$4,$E59)+1)*$J59))</f>
        <v/>
      </c>
      <c r="X59" s="170">
        <f>IF(OR($B59="",X$4&gt;$P59,EOMONTH(X$4,0)&lt;$E59),0,MIN($H59,MAX(0,MIN(EOMONTH(X$4,0),$P59)-MAX(X$4,$E59)+1)*$J59))</f>
        <v/>
      </c>
      <c r="Y59" s="170">
        <f>IF(OR($B59="",Y$4&gt;$P59,EOMONTH(Y$4,0)&lt;$E59),0,MIN($H59,MAX(0,MIN(EOMONTH(Y$4,0),$P59)-MAX(Y$4,$E59)+1)*$J59))</f>
        <v/>
      </c>
      <c r="Z59" s="170">
        <f>IF(OR($B59="",Z$4&gt;$P59,EOMONTH(Z$4,0)&lt;$E59),0,MIN($H59,MAX(0,MIN(EOMONTH(Z$4,0),$P59)-MAX(Z$4,$E59)+1)*$J59))</f>
        <v/>
      </c>
      <c r="AA59" s="170">
        <f>IF(OR($B59="",AA$4&gt;$P59,EOMONTH(AA$4,0)&lt;$E59),0,MIN($H59,MAX(0,MIN(EOMONTH(AA$4,0),$P59)-MAX(AA$4,$E59)+1)*$J59))</f>
        <v/>
      </c>
      <c r="AB59" s="170">
        <f>IF(OR($B59="",AB$4&gt;$P59,EOMONTH(AB$4,0)&lt;$E59),0,MIN($H59,MAX(0,MIN(EOMONTH(AB$4,0),$P59)-MAX(AB$4,$E59)+1)*$J59))</f>
        <v/>
      </c>
      <c r="AC59" s="170">
        <f>IF(OR($B59="",AC$4&gt;$P59,EOMONTH(AC$4,0)&lt;$E59),0,MIN($H59,MAX(0,MIN(EOMONTH(AC$4,0),$P59)-MAX(AC$4,$E59)+1)*$J59))</f>
        <v/>
      </c>
      <c r="AD59" s="170">
        <f>IF(B59="","",ROUND(SUM(R59:AC59),0))</f>
        <v/>
      </c>
      <c r="AE59" s="170">
        <f>IF(B59="","",MIN(H59,ROUND(Q59+SUM(R59:AC59),0)))</f>
        <v/>
      </c>
      <c r="AF59" s="170">
        <f>IF(B59="","",MAX(H59-AE59,0))</f>
        <v/>
      </c>
      <c r="AG59" s="172">
        <f>IF(B59="","",IF('Thiết lập'!$B$4&lt;E59,"Chưa phân bổ",IF(P59&lt;='Thiết lập'!$B$4,"Đã phân bổ","Đang phân bổ")))</f>
        <v/>
      </c>
      <c r="AH59" s="166" t="n"/>
      <c r="AI59" s="174">
        <f>IF(B59="","",IF(AND(C59&lt;&gt;"",D59&lt;&gt;"",E59&lt;&gt;"",E59&gt;=D59,F59&gt;0,G59&gt;0,I59&gt;0,COUNTIF($B$7:$B$306,B59)=1),"OK",IF(C59="","Thiếu tên; ","")&amp;IF(D59="","Thiếu ngày tăng; ","")&amp;IF(E59="","Thiếu ngày bắt đầu; ","")&amp;IF(AND(D59&lt;&gt;"",E59&lt;&gt;"",E59&lt;D59),"Ngày bắt đầu &lt; ngày tăng; ","")&amp;IF(OR(F59="",F59&lt;=0),"Số lượng không hợp lệ; ","")&amp;IF(OR(G59="",G59&lt;=0),"Đơn giá không hợp lệ; ","")&amp;IF(OR(I59="",I59&lt;=0),"Số tháng không hợp lệ; ","")&amp;IF(COUNTIF($B$7:$B$306,B59)&gt;1,"Trùng mã CPTT; ","")))</f>
        <v/>
      </c>
    </row>
    <row r="60" ht="19.5" customHeight="1" s="98">
      <c r="A60" s="164">
        <f>IF(B60="","",ROW()-6)</f>
        <v/>
      </c>
      <c r="B60" s="165" t="n"/>
      <c r="C60" s="166" t="n"/>
      <c r="D60" s="167" t="n"/>
      <c r="E60" s="167" t="n"/>
      <c r="F60" s="168" t="n"/>
      <c r="G60" s="169" t="n"/>
      <c r="H60" s="170">
        <f>IF(OR(F60="",G60=""),"",F60*G60)</f>
        <v/>
      </c>
      <c r="I60" s="171" t="n"/>
      <c r="J60" s="170">
        <f>IF(OR(H60="",E60="",P60=""),"",H60/(P60-E60+1))</f>
        <v/>
      </c>
      <c r="K60" s="165" t="n"/>
      <c r="L60" s="172">
        <f>IF(B60="","",IF(AF60&lt;=0,"Đã phân bổ",IF(P60&lt;=EDATE('Thiết lập'!$B$4,12),"Ngắn hạn","Dài hạn")))</f>
        <v/>
      </c>
      <c r="M60" s="165" t="n"/>
      <c r="N60" s="165" t="n"/>
      <c r="O60" s="165" t="n"/>
      <c r="P60" s="173">
        <f>IF(OR(E60="",I60=""),"",EDATE(E60,I60)-1)</f>
        <v/>
      </c>
      <c r="Q60" s="170">
        <f>IF(OR(B60="",E60="",P60=""),0,MIN(H60,MAX(0,MIN(P60,DATE('Thiết lập'!$B$3-1,12,31))-E60+1)*J60))</f>
        <v/>
      </c>
      <c r="R60" s="170">
        <f>IF(OR($B60="",R$4&gt;$P60,EOMONTH(R$4,0)&lt;$E60),0,MIN($H60,MAX(0,MIN(EOMONTH(R$4,0),$P60)-MAX(R$4,$E60)+1)*$J60))</f>
        <v/>
      </c>
      <c r="S60" s="170">
        <f>IF(OR($B60="",S$4&gt;$P60,EOMONTH(S$4,0)&lt;$E60),0,MIN($H60,MAX(0,MIN(EOMONTH(S$4,0),$P60)-MAX(S$4,$E60)+1)*$J60))</f>
        <v/>
      </c>
      <c r="T60" s="170">
        <f>IF(OR($B60="",T$4&gt;$P60,EOMONTH(T$4,0)&lt;$E60),0,MIN($H60,MAX(0,MIN(EOMONTH(T$4,0),$P60)-MAX(T$4,$E60)+1)*$J60))</f>
        <v/>
      </c>
      <c r="U60" s="170">
        <f>IF(OR($B60="",U$4&gt;$P60,EOMONTH(U$4,0)&lt;$E60),0,MIN($H60,MAX(0,MIN(EOMONTH(U$4,0),$P60)-MAX(U$4,$E60)+1)*$J60))</f>
        <v/>
      </c>
      <c r="V60" s="170">
        <f>IF(OR($B60="",V$4&gt;$P60,EOMONTH(V$4,0)&lt;$E60),0,MIN($H60,MAX(0,MIN(EOMONTH(V$4,0),$P60)-MAX(V$4,$E60)+1)*$J60))</f>
        <v/>
      </c>
      <c r="W60" s="170">
        <f>IF(OR($B60="",W$4&gt;$P60,EOMONTH(W$4,0)&lt;$E60),0,MIN($H60,MAX(0,MIN(EOMONTH(W$4,0),$P60)-MAX(W$4,$E60)+1)*$J60))</f>
        <v/>
      </c>
      <c r="X60" s="170">
        <f>IF(OR($B60="",X$4&gt;$P60,EOMONTH(X$4,0)&lt;$E60),0,MIN($H60,MAX(0,MIN(EOMONTH(X$4,0),$P60)-MAX(X$4,$E60)+1)*$J60))</f>
        <v/>
      </c>
      <c r="Y60" s="170">
        <f>IF(OR($B60="",Y$4&gt;$P60,EOMONTH(Y$4,0)&lt;$E60),0,MIN($H60,MAX(0,MIN(EOMONTH(Y$4,0),$P60)-MAX(Y$4,$E60)+1)*$J60))</f>
        <v/>
      </c>
      <c r="Z60" s="170">
        <f>IF(OR($B60="",Z$4&gt;$P60,EOMONTH(Z$4,0)&lt;$E60),0,MIN($H60,MAX(0,MIN(EOMONTH(Z$4,0),$P60)-MAX(Z$4,$E60)+1)*$J60))</f>
        <v/>
      </c>
      <c r="AA60" s="170">
        <f>IF(OR($B60="",AA$4&gt;$P60,EOMONTH(AA$4,0)&lt;$E60),0,MIN($H60,MAX(0,MIN(EOMONTH(AA$4,0),$P60)-MAX(AA$4,$E60)+1)*$J60))</f>
        <v/>
      </c>
      <c r="AB60" s="170">
        <f>IF(OR($B60="",AB$4&gt;$P60,EOMONTH(AB$4,0)&lt;$E60),0,MIN($H60,MAX(0,MIN(EOMONTH(AB$4,0),$P60)-MAX(AB$4,$E60)+1)*$J60))</f>
        <v/>
      </c>
      <c r="AC60" s="170">
        <f>IF(OR($B60="",AC$4&gt;$P60,EOMONTH(AC$4,0)&lt;$E60),0,MIN($H60,MAX(0,MIN(EOMONTH(AC$4,0),$P60)-MAX(AC$4,$E60)+1)*$J60))</f>
        <v/>
      </c>
      <c r="AD60" s="170">
        <f>IF(B60="","",ROUND(SUM(R60:AC60),0))</f>
        <v/>
      </c>
      <c r="AE60" s="170">
        <f>IF(B60="","",MIN(H60,ROUND(Q60+SUM(R60:AC60),0)))</f>
        <v/>
      </c>
      <c r="AF60" s="170">
        <f>IF(B60="","",MAX(H60-AE60,0))</f>
        <v/>
      </c>
      <c r="AG60" s="172">
        <f>IF(B60="","",IF('Thiết lập'!$B$4&lt;E60,"Chưa phân bổ",IF(P60&lt;='Thiết lập'!$B$4,"Đã phân bổ","Đang phân bổ")))</f>
        <v/>
      </c>
      <c r="AH60" s="166" t="n"/>
      <c r="AI60" s="174">
        <f>IF(B60="","",IF(AND(C60&lt;&gt;"",D60&lt;&gt;"",E60&lt;&gt;"",E60&gt;=D60,F60&gt;0,G60&gt;0,I60&gt;0,COUNTIF($B$7:$B$306,B60)=1),"OK",IF(C60="","Thiếu tên; ","")&amp;IF(D60="","Thiếu ngày tăng; ","")&amp;IF(E60="","Thiếu ngày bắt đầu; ","")&amp;IF(AND(D60&lt;&gt;"",E60&lt;&gt;"",E60&lt;D60),"Ngày bắt đầu &lt; ngày tăng; ","")&amp;IF(OR(F60="",F60&lt;=0),"Số lượng không hợp lệ; ","")&amp;IF(OR(G60="",G60&lt;=0),"Đơn giá không hợp lệ; ","")&amp;IF(OR(I60="",I60&lt;=0),"Số tháng không hợp lệ; ","")&amp;IF(COUNTIF($B$7:$B$306,B60)&gt;1,"Trùng mã CPTT; ","")))</f>
        <v/>
      </c>
    </row>
    <row r="61" ht="19.5" customHeight="1" s="98">
      <c r="A61" s="164">
        <f>IF(B61="","",ROW()-6)</f>
        <v/>
      </c>
      <c r="B61" s="165" t="n"/>
      <c r="C61" s="166" t="n"/>
      <c r="D61" s="167" t="n"/>
      <c r="E61" s="167" t="n"/>
      <c r="F61" s="168" t="n"/>
      <c r="G61" s="169" t="n"/>
      <c r="H61" s="170">
        <f>IF(OR(F61="",G61=""),"",F61*G61)</f>
        <v/>
      </c>
      <c r="I61" s="171" t="n"/>
      <c r="J61" s="170">
        <f>IF(OR(H61="",E61="",P61=""),"",H61/(P61-E61+1))</f>
        <v/>
      </c>
      <c r="K61" s="165" t="n"/>
      <c r="L61" s="172">
        <f>IF(B61="","",IF(AF61&lt;=0,"Đã phân bổ",IF(P61&lt;=EDATE('Thiết lập'!$B$4,12),"Ngắn hạn","Dài hạn")))</f>
        <v/>
      </c>
      <c r="M61" s="165" t="n"/>
      <c r="N61" s="165" t="n"/>
      <c r="O61" s="165" t="n"/>
      <c r="P61" s="173">
        <f>IF(OR(E61="",I61=""),"",EDATE(E61,I61)-1)</f>
        <v/>
      </c>
      <c r="Q61" s="170">
        <f>IF(OR(B61="",E61="",P61=""),0,MIN(H61,MAX(0,MIN(P61,DATE('Thiết lập'!$B$3-1,12,31))-E61+1)*J61))</f>
        <v/>
      </c>
      <c r="R61" s="170">
        <f>IF(OR($B61="",R$4&gt;$P61,EOMONTH(R$4,0)&lt;$E61),0,MIN($H61,MAX(0,MIN(EOMONTH(R$4,0),$P61)-MAX(R$4,$E61)+1)*$J61))</f>
        <v/>
      </c>
      <c r="S61" s="170">
        <f>IF(OR($B61="",S$4&gt;$P61,EOMONTH(S$4,0)&lt;$E61),0,MIN($H61,MAX(0,MIN(EOMONTH(S$4,0),$P61)-MAX(S$4,$E61)+1)*$J61))</f>
        <v/>
      </c>
      <c r="T61" s="170">
        <f>IF(OR($B61="",T$4&gt;$P61,EOMONTH(T$4,0)&lt;$E61),0,MIN($H61,MAX(0,MIN(EOMONTH(T$4,0),$P61)-MAX(T$4,$E61)+1)*$J61))</f>
        <v/>
      </c>
      <c r="U61" s="170">
        <f>IF(OR($B61="",U$4&gt;$P61,EOMONTH(U$4,0)&lt;$E61),0,MIN($H61,MAX(0,MIN(EOMONTH(U$4,0),$P61)-MAX(U$4,$E61)+1)*$J61))</f>
        <v/>
      </c>
      <c r="V61" s="170">
        <f>IF(OR($B61="",V$4&gt;$P61,EOMONTH(V$4,0)&lt;$E61),0,MIN($H61,MAX(0,MIN(EOMONTH(V$4,0),$P61)-MAX(V$4,$E61)+1)*$J61))</f>
        <v/>
      </c>
      <c r="W61" s="170">
        <f>IF(OR($B61="",W$4&gt;$P61,EOMONTH(W$4,0)&lt;$E61),0,MIN($H61,MAX(0,MIN(EOMONTH(W$4,0),$P61)-MAX(W$4,$E61)+1)*$J61))</f>
        <v/>
      </c>
      <c r="X61" s="170">
        <f>IF(OR($B61="",X$4&gt;$P61,EOMONTH(X$4,0)&lt;$E61),0,MIN($H61,MAX(0,MIN(EOMONTH(X$4,0),$P61)-MAX(X$4,$E61)+1)*$J61))</f>
        <v/>
      </c>
      <c r="Y61" s="170">
        <f>IF(OR($B61="",Y$4&gt;$P61,EOMONTH(Y$4,0)&lt;$E61),0,MIN($H61,MAX(0,MIN(EOMONTH(Y$4,0),$P61)-MAX(Y$4,$E61)+1)*$J61))</f>
        <v/>
      </c>
      <c r="Z61" s="170">
        <f>IF(OR($B61="",Z$4&gt;$P61,EOMONTH(Z$4,0)&lt;$E61),0,MIN($H61,MAX(0,MIN(EOMONTH(Z$4,0),$P61)-MAX(Z$4,$E61)+1)*$J61))</f>
        <v/>
      </c>
      <c r="AA61" s="170">
        <f>IF(OR($B61="",AA$4&gt;$P61,EOMONTH(AA$4,0)&lt;$E61),0,MIN($H61,MAX(0,MIN(EOMONTH(AA$4,0),$P61)-MAX(AA$4,$E61)+1)*$J61))</f>
        <v/>
      </c>
      <c r="AB61" s="170">
        <f>IF(OR($B61="",AB$4&gt;$P61,EOMONTH(AB$4,0)&lt;$E61),0,MIN($H61,MAX(0,MIN(EOMONTH(AB$4,0),$P61)-MAX(AB$4,$E61)+1)*$J61))</f>
        <v/>
      </c>
      <c r="AC61" s="170">
        <f>IF(OR($B61="",AC$4&gt;$P61,EOMONTH(AC$4,0)&lt;$E61),0,MIN($H61,MAX(0,MIN(EOMONTH(AC$4,0),$P61)-MAX(AC$4,$E61)+1)*$J61))</f>
        <v/>
      </c>
      <c r="AD61" s="170">
        <f>IF(B61="","",ROUND(SUM(R61:AC61),0))</f>
        <v/>
      </c>
      <c r="AE61" s="170">
        <f>IF(B61="","",MIN(H61,ROUND(Q61+SUM(R61:AC61),0)))</f>
        <v/>
      </c>
      <c r="AF61" s="170">
        <f>IF(B61="","",MAX(H61-AE61,0))</f>
        <v/>
      </c>
      <c r="AG61" s="172">
        <f>IF(B61="","",IF('Thiết lập'!$B$4&lt;E61,"Chưa phân bổ",IF(P61&lt;='Thiết lập'!$B$4,"Đã phân bổ","Đang phân bổ")))</f>
        <v/>
      </c>
      <c r="AH61" s="166" t="n"/>
      <c r="AI61" s="174">
        <f>IF(B61="","",IF(AND(C61&lt;&gt;"",D61&lt;&gt;"",E61&lt;&gt;"",E61&gt;=D61,F61&gt;0,G61&gt;0,I61&gt;0,COUNTIF($B$7:$B$306,B61)=1),"OK",IF(C61="","Thiếu tên; ","")&amp;IF(D61="","Thiếu ngày tăng; ","")&amp;IF(E61="","Thiếu ngày bắt đầu; ","")&amp;IF(AND(D61&lt;&gt;"",E61&lt;&gt;"",E61&lt;D61),"Ngày bắt đầu &lt; ngày tăng; ","")&amp;IF(OR(F61="",F61&lt;=0),"Số lượng không hợp lệ; ","")&amp;IF(OR(G61="",G61&lt;=0),"Đơn giá không hợp lệ; ","")&amp;IF(OR(I61="",I61&lt;=0),"Số tháng không hợp lệ; ","")&amp;IF(COUNTIF($B$7:$B$306,B61)&gt;1,"Trùng mã CPTT; ","")))</f>
        <v/>
      </c>
    </row>
    <row r="62" ht="19.5" customHeight="1" s="98">
      <c r="A62" s="164">
        <f>IF(B62="","",ROW()-6)</f>
        <v/>
      </c>
      <c r="B62" s="165" t="n"/>
      <c r="C62" s="166" t="n"/>
      <c r="D62" s="167" t="n"/>
      <c r="E62" s="167" t="n"/>
      <c r="F62" s="168" t="n"/>
      <c r="G62" s="169" t="n"/>
      <c r="H62" s="170">
        <f>IF(OR(F62="",G62=""),"",F62*G62)</f>
        <v/>
      </c>
      <c r="I62" s="171" t="n"/>
      <c r="J62" s="170">
        <f>IF(OR(H62="",E62="",P62=""),"",H62/(P62-E62+1))</f>
        <v/>
      </c>
      <c r="K62" s="165" t="n"/>
      <c r="L62" s="172">
        <f>IF(B62="","",IF(AF62&lt;=0,"Đã phân bổ",IF(P62&lt;=EDATE('Thiết lập'!$B$4,12),"Ngắn hạn","Dài hạn")))</f>
        <v/>
      </c>
      <c r="M62" s="165" t="n"/>
      <c r="N62" s="165" t="n"/>
      <c r="O62" s="165" t="n"/>
      <c r="P62" s="173">
        <f>IF(OR(E62="",I62=""),"",EDATE(E62,I62)-1)</f>
        <v/>
      </c>
      <c r="Q62" s="170">
        <f>IF(OR(B62="",E62="",P62=""),0,MIN(H62,MAX(0,MIN(P62,DATE('Thiết lập'!$B$3-1,12,31))-E62+1)*J62))</f>
        <v/>
      </c>
      <c r="R62" s="170">
        <f>IF(OR($B62="",R$4&gt;$P62,EOMONTH(R$4,0)&lt;$E62),0,MIN($H62,MAX(0,MIN(EOMONTH(R$4,0),$P62)-MAX(R$4,$E62)+1)*$J62))</f>
        <v/>
      </c>
      <c r="S62" s="170">
        <f>IF(OR($B62="",S$4&gt;$P62,EOMONTH(S$4,0)&lt;$E62),0,MIN($H62,MAX(0,MIN(EOMONTH(S$4,0),$P62)-MAX(S$4,$E62)+1)*$J62))</f>
        <v/>
      </c>
      <c r="T62" s="170">
        <f>IF(OR($B62="",T$4&gt;$P62,EOMONTH(T$4,0)&lt;$E62),0,MIN($H62,MAX(0,MIN(EOMONTH(T$4,0),$P62)-MAX(T$4,$E62)+1)*$J62))</f>
        <v/>
      </c>
      <c r="U62" s="170">
        <f>IF(OR($B62="",U$4&gt;$P62,EOMONTH(U$4,0)&lt;$E62),0,MIN($H62,MAX(0,MIN(EOMONTH(U$4,0),$P62)-MAX(U$4,$E62)+1)*$J62))</f>
        <v/>
      </c>
      <c r="V62" s="170">
        <f>IF(OR($B62="",V$4&gt;$P62,EOMONTH(V$4,0)&lt;$E62),0,MIN($H62,MAX(0,MIN(EOMONTH(V$4,0),$P62)-MAX(V$4,$E62)+1)*$J62))</f>
        <v/>
      </c>
      <c r="W62" s="170">
        <f>IF(OR($B62="",W$4&gt;$P62,EOMONTH(W$4,0)&lt;$E62),0,MIN($H62,MAX(0,MIN(EOMONTH(W$4,0),$P62)-MAX(W$4,$E62)+1)*$J62))</f>
        <v/>
      </c>
      <c r="X62" s="170">
        <f>IF(OR($B62="",X$4&gt;$P62,EOMONTH(X$4,0)&lt;$E62),0,MIN($H62,MAX(0,MIN(EOMONTH(X$4,0),$P62)-MAX(X$4,$E62)+1)*$J62))</f>
        <v/>
      </c>
      <c r="Y62" s="170">
        <f>IF(OR($B62="",Y$4&gt;$P62,EOMONTH(Y$4,0)&lt;$E62),0,MIN($H62,MAX(0,MIN(EOMONTH(Y$4,0),$P62)-MAX(Y$4,$E62)+1)*$J62))</f>
        <v/>
      </c>
      <c r="Z62" s="170">
        <f>IF(OR($B62="",Z$4&gt;$P62,EOMONTH(Z$4,0)&lt;$E62),0,MIN($H62,MAX(0,MIN(EOMONTH(Z$4,0),$P62)-MAX(Z$4,$E62)+1)*$J62))</f>
        <v/>
      </c>
      <c r="AA62" s="170">
        <f>IF(OR($B62="",AA$4&gt;$P62,EOMONTH(AA$4,0)&lt;$E62),0,MIN($H62,MAX(0,MIN(EOMONTH(AA$4,0),$P62)-MAX(AA$4,$E62)+1)*$J62))</f>
        <v/>
      </c>
      <c r="AB62" s="170">
        <f>IF(OR($B62="",AB$4&gt;$P62,EOMONTH(AB$4,0)&lt;$E62),0,MIN($H62,MAX(0,MIN(EOMONTH(AB$4,0),$P62)-MAX(AB$4,$E62)+1)*$J62))</f>
        <v/>
      </c>
      <c r="AC62" s="170">
        <f>IF(OR($B62="",AC$4&gt;$P62,EOMONTH(AC$4,0)&lt;$E62),0,MIN($H62,MAX(0,MIN(EOMONTH(AC$4,0),$P62)-MAX(AC$4,$E62)+1)*$J62))</f>
        <v/>
      </c>
      <c r="AD62" s="170">
        <f>IF(B62="","",ROUND(SUM(R62:AC62),0))</f>
        <v/>
      </c>
      <c r="AE62" s="170">
        <f>IF(B62="","",MIN(H62,ROUND(Q62+SUM(R62:AC62),0)))</f>
        <v/>
      </c>
      <c r="AF62" s="170">
        <f>IF(B62="","",MAX(H62-AE62,0))</f>
        <v/>
      </c>
      <c r="AG62" s="172">
        <f>IF(B62="","",IF('Thiết lập'!$B$4&lt;E62,"Chưa phân bổ",IF(P62&lt;='Thiết lập'!$B$4,"Đã phân bổ","Đang phân bổ")))</f>
        <v/>
      </c>
      <c r="AH62" s="166" t="n"/>
      <c r="AI62" s="174">
        <f>IF(B62="","",IF(AND(C62&lt;&gt;"",D62&lt;&gt;"",E62&lt;&gt;"",E62&gt;=D62,F62&gt;0,G62&gt;0,I62&gt;0,COUNTIF($B$7:$B$306,B62)=1),"OK",IF(C62="","Thiếu tên; ","")&amp;IF(D62="","Thiếu ngày tăng; ","")&amp;IF(E62="","Thiếu ngày bắt đầu; ","")&amp;IF(AND(D62&lt;&gt;"",E62&lt;&gt;"",E62&lt;D62),"Ngày bắt đầu &lt; ngày tăng; ","")&amp;IF(OR(F62="",F62&lt;=0),"Số lượng không hợp lệ; ","")&amp;IF(OR(G62="",G62&lt;=0),"Đơn giá không hợp lệ; ","")&amp;IF(OR(I62="",I62&lt;=0),"Số tháng không hợp lệ; ","")&amp;IF(COUNTIF($B$7:$B$306,B62)&gt;1,"Trùng mã CPTT; ","")))</f>
        <v/>
      </c>
    </row>
    <row r="63" ht="19.5" customHeight="1" s="98">
      <c r="A63" s="164">
        <f>IF(B63="","",ROW()-6)</f>
        <v/>
      </c>
      <c r="B63" s="165" t="n"/>
      <c r="C63" s="166" t="n"/>
      <c r="D63" s="167" t="n"/>
      <c r="E63" s="167" t="n"/>
      <c r="F63" s="168" t="n"/>
      <c r="G63" s="169" t="n"/>
      <c r="H63" s="170">
        <f>IF(OR(F63="",G63=""),"",F63*G63)</f>
        <v/>
      </c>
      <c r="I63" s="171" t="n"/>
      <c r="J63" s="170">
        <f>IF(OR(H63="",E63="",P63=""),"",H63/(P63-E63+1))</f>
        <v/>
      </c>
      <c r="K63" s="165" t="n"/>
      <c r="L63" s="172">
        <f>IF(B63="","",IF(AF63&lt;=0,"Đã phân bổ",IF(P63&lt;=EDATE('Thiết lập'!$B$4,12),"Ngắn hạn","Dài hạn")))</f>
        <v/>
      </c>
      <c r="M63" s="165" t="n"/>
      <c r="N63" s="165" t="n"/>
      <c r="O63" s="165" t="n"/>
      <c r="P63" s="173">
        <f>IF(OR(E63="",I63=""),"",EDATE(E63,I63)-1)</f>
        <v/>
      </c>
      <c r="Q63" s="170">
        <f>IF(OR(B63="",E63="",P63=""),0,MIN(H63,MAX(0,MIN(P63,DATE('Thiết lập'!$B$3-1,12,31))-E63+1)*J63))</f>
        <v/>
      </c>
      <c r="R63" s="170">
        <f>IF(OR($B63="",R$4&gt;$P63,EOMONTH(R$4,0)&lt;$E63),0,MIN($H63,MAX(0,MIN(EOMONTH(R$4,0),$P63)-MAX(R$4,$E63)+1)*$J63))</f>
        <v/>
      </c>
      <c r="S63" s="170">
        <f>IF(OR($B63="",S$4&gt;$P63,EOMONTH(S$4,0)&lt;$E63),0,MIN($H63,MAX(0,MIN(EOMONTH(S$4,0),$P63)-MAX(S$4,$E63)+1)*$J63))</f>
        <v/>
      </c>
      <c r="T63" s="170">
        <f>IF(OR($B63="",T$4&gt;$P63,EOMONTH(T$4,0)&lt;$E63),0,MIN($H63,MAX(0,MIN(EOMONTH(T$4,0),$P63)-MAX(T$4,$E63)+1)*$J63))</f>
        <v/>
      </c>
      <c r="U63" s="170">
        <f>IF(OR($B63="",U$4&gt;$P63,EOMONTH(U$4,0)&lt;$E63),0,MIN($H63,MAX(0,MIN(EOMONTH(U$4,0),$P63)-MAX(U$4,$E63)+1)*$J63))</f>
        <v/>
      </c>
      <c r="V63" s="170">
        <f>IF(OR($B63="",V$4&gt;$P63,EOMONTH(V$4,0)&lt;$E63),0,MIN($H63,MAX(0,MIN(EOMONTH(V$4,0),$P63)-MAX(V$4,$E63)+1)*$J63))</f>
        <v/>
      </c>
      <c r="W63" s="170">
        <f>IF(OR($B63="",W$4&gt;$P63,EOMONTH(W$4,0)&lt;$E63),0,MIN($H63,MAX(0,MIN(EOMONTH(W$4,0),$P63)-MAX(W$4,$E63)+1)*$J63))</f>
        <v/>
      </c>
      <c r="X63" s="170">
        <f>IF(OR($B63="",X$4&gt;$P63,EOMONTH(X$4,0)&lt;$E63),0,MIN($H63,MAX(0,MIN(EOMONTH(X$4,0),$P63)-MAX(X$4,$E63)+1)*$J63))</f>
        <v/>
      </c>
      <c r="Y63" s="170">
        <f>IF(OR($B63="",Y$4&gt;$P63,EOMONTH(Y$4,0)&lt;$E63),0,MIN($H63,MAX(0,MIN(EOMONTH(Y$4,0),$P63)-MAX(Y$4,$E63)+1)*$J63))</f>
        <v/>
      </c>
      <c r="Z63" s="170">
        <f>IF(OR($B63="",Z$4&gt;$P63,EOMONTH(Z$4,0)&lt;$E63),0,MIN($H63,MAX(0,MIN(EOMONTH(Z$4,0),$P63)-MAX(Z$4,$E63)+1)*$J63))</f>
        <v/>
      </c>
      <c r="AA63" s="170">
        <f>IF(OR($B63="",AA$4&gt;$P63,EOMONTH(AA$4,0)&lt;$E63),0,MIN($H63,MAX(0,MIN(EOMONTH(AA$4,0),$P63)-MAX(AA$4,$E63)+1)*$J63))</f>
        <v/>
      </c>
      <c r="AB63" s="170">
        <f>IF(OR($B63="",AB$4&gt;$P63,EOMONTH(AB$4,0)&lt;$E63),0,MIN($H63,MAX(0,MIN(EOMONTH(AB$4,0),$P63)-MAX(AB$4,$E63)+1)*$J63))</f>
        <v/>
      </c>
      <c r="AC63" s="170">
        <f>IF(OR($B63="",AC$4&gt;$P63,EOMONTH(AC$4,0)&lt;$E63),0,MIN($H63,MAX(0,MIN(EOMONTH(AC$4,0),$P63)-MAX(AC$4,$E63)+1)*$J63))</f>
        <v/>
      </c>
      <c r="AD63" s="170">
        <f>IF(B63="","",ROUND(SUM(R63:AC63),0))</f>
        <v/>
      </c>
      <c r="AE63" s="170">
        <f>IF(B63="","",MIN(H63,ROUND(Q63+SUM(R63:AC63),0)))</f>
        <v/>
      </c>
      <c r="AF63" s="170">
        <f>IF(B63="","",MAX(H63-AE63,0))</f>
        <v/>
      </c>
      <c r="AG63" s="172">
        <f>IF(B63="","",IF('Thiết lập'!$B$4&lt;E63,"Chưa phân bổ",IF(P63&lt;='Thiết lập'!$B$4,"Đã phân bổ","Đang phân bổ")))</f>
        <v/>
      </c>
      <c r="AH63" s="166" t="n"/>
      <c r="AI63" s="174">
        <f>IF(B63="","",IF(AND(C63&lt;&gt;"",D63&lt;&gt;"",E63&lt;&gt;"",E63&gt;=D63,F63&gt;0,G63&gt;0,I63&gt;0,COUNTIF($B$7:$B$306,B63)=1),"OK",IF(C63="","Thiếu tên; ","")&amp;IF(D63="","Thiếu ngày tăng; ","")&amp;IF(E63="","Thiếu ngày bắt đầu; ","")&amp;IF(AND(D63&lt;&gt;"",E63&lt;&gt;"",E63&lt;D63),"Ngày bắt đầu &lt; ngày tăng; ","")&amp;IF(OR(F63="",F63&lt;=0),"Số lượng không hợp lệ; ","")&amp;IF(OR(G63="",G63&lt;=0),"Đơn giá không hợp lệ; ","")&amp;IF(OR(I63="",I63&lt;=0),"Số tháng không hợp lệ; ","")&amp;IF(COUNTIF($B$7:$B$306,B63)&gt;1,"Trùng mã CPTT; ","")))</f>
        <v/>
      </c>
    </row>
    <row r="64" ht="19.5" customHeight="1" s="98">
      <c r="A64" s="164">
        <f>IF(B64="","",ROW()-6)</f>
        <v/>
      </c>
      <c r="B64" s="165" t="n"/>
      <c r="C64" s="166" t="n"/>
      <c r="D64" s="167" t="n"/>
      <c r="E64" s="167" t="n"/>
      <c r="F64" s="168" t="n"/>
      <c r="G64" s="169" t="n"/>
      <c r="H64" s="170">
        <f>IF(OR(F64="",G64=""),"",F64*G64)</f>
        <v/>
      </c>
      <c r="I64" s="171" t="n"/>
      <c r="J64" s="170">
        <f>IF(OR(H64="",E64="",P64=""),"",H64/(P64-E64+1))</f>
        <v/>
      </c>
      <c r="K64" s="165" t="n"/>
      <c r="L64" s="172">
        <f>IF(B64="","",IF(AF64&lt;=0,"Đã phân bổ",IF(P64&lt;=EDATE('Thiết lập'!$B$4,12),"Ngắn hạn","Dài hạn")))</f>
        <v/>
      </c>
      <c r="M64" s="165" t="n"/>
      <c r="N64" s="165" t="n"/>
      <c r="O64" s="165" t="n"/>
      <c r="P64" s="173">
        <f>IF(OR(E64="",I64=""),"",EDATE(E64,I64)-1)</f>
        <v/>
      </c>
      <c r="Q64" s="170">
        <f>IF(OR(B64="",E64="",P64=""),0,MIN(H64,MAX(0,MIN(P64,DATE('Thiết lập'!$B$3-1,12,31))-E64+1)*J64))</f>
        <v/>
      </c>
      <c r="R64" s="170">
        <f>IF(OR($B64="",R$4&gt;$P64,EOMONTH(R$4,0)&lt;$E64),0,MIN($H64,MAX(0,MIN(EOMONTH(R$4,0),$P64)-MAX(R$4,$E64)+1)*$J64))</f>
        <v/>
      </c>
      <c r="S64" s="170">
        <f>IF(OR($B64="",S$4&gt;$P64,EOMONTH(S$4,0)&lt;$E64),0,MIN($H64,MAX(0,MIN(EOMONTH(S$4,0),$P64)-MAX(S$4,$E64)+1)*$J64))</f>
        <v/>
      </c>
      <c r="T64" s="170">
        <f>IF(OR($B64="",T$4&gt;$P64,EOMONTH(T$4,0)&lt;$E64),0,MIN($H64,MAX(0,MIN(EOMONTH(T$4,0),$P64)-MAX(T$4,$E64)+1)*$J64))</f>
        <v/>
      </c>
      <c r="U64" s="170">
        <f>IF(OR($B64="",U$4&gt;$P64,EOMONTH(U$4,0)&lt;$E64),0,MIN($H64,MAX(0,MIN(EOMONTH(U$4,0),$P64)-MAX(U$4,$E64)+1)*$J64))</f>
        <v/>
      </c>
      <c r="V64" s="170">
        <f>IF(OR($B64="",V$4&gt;$P64,EOMONTH(V$4,0)&lt;$E64),0,MIN($H64,MAX(0,MIN(EOMONTH(V$4,0),$P64)-MAX(V$4,$E64)+1)*$J64))</f>
        <v/>
      </c>
      <c r="W64" s="170">
        <f>IF(OR($B64="",W$4&gt;$P64,EOMONTH(W$4,0)&lt;$E64),0,MIN($H64,MAX(0,MIN(EOMONTH(W$4,0),$P64)-MAX(W$4,$E64)+1)*$J64))</f>
        <v/>
      </c>
      <c r="X64" s="170">
        <f>IF(OR($B64="",X$4&gt;$P64,EOMONTH(X$4,0)&lt;$E64),0,MIN($H64,MAX(0,MIN(EOMONTH(X$4,0),$P64)-MAX(X$4,$E64)+1)*$J64))</f>
        <v/>
      </c>
      <c r="Y64" s="170">
        <f>IF(OR($B64="",Y$4&gt;$P64,EOMONTH(Y$4,0)&lt;$E64),0,MIN($H64,MAX(0,MIN(EOMONTH(Y$4,0),$P64)-MAX(Y$4,$E64)+1)*$J64))</f>
        <v/>
      </c>
      <c r="Z64" s="170">
        <f>IF(OR($B64="",Z$4&gt;$P64,EOMONTH(Z$4,0)&lt;$E64),0,MIN($H64,MAX(0,MIN(EOMONTH(Z$4,0),$P64)-MAX(Z$4,$E64)+1)*$J64))</f>
        <v/>
      </c>
      <c r="AA64" s="170">
        <f>IF(OR($B64="",AA$4&gt;$P64,EOMONTH(AA$4,0)&lt;$E64),0,MIN($H64,MAX(0,MIN(EOMONTH(AA$4,0),$P64)-MAX(AA$4,$E64)+1)*$J64))</f>
        <v/>
      </c>
      <c r="AB64" s="170">
        <f>IF(OR($B64="",AB$4&gt;$P64,EOMONTH(AB$4,0)&lt;$E64),0,MIN($H64,MAX(0,MIN(EOMONTH(AB$4,0),$P64)-MAX(AB$4,$E64)+1)*$J64))</f>
        <v/>
      </c>
      <c r="AC64" s="170">
        <f>IF(OR($B64="",AC$4&gt;$P64,EOMONTH(AC$4,0)&lt;$E64),0,MIN($H64,MAX(0,MIN(EOMONTH(AC$4,0),$P64)-MAX(AC$4,$E64)+1)*$J64))</f>
        <v/>
      </c>
      <c r="AD64" s="170">
        <f>IF(B64="","",ROUND(SUM(R64:AC64),0))</f>
        <v/>
      </c>
      <c r="AE64" s="170">
        <f>IF(B64="","",MIN(H64,ROUND(Q64+SUM(R64:AC64),0)))</f>
        <v/>
      </c>
      <c r="AF64" s="170">
        <f>IF(B64="","",MAX(H64-AE64,0))</f>
        <v/>
      </c>
      <c r="AG64" s="172">
        <f>IF(B64="","",IF('Thiết lập'!$B$4&lt;E64,"Chưa phân bổ",IF(P64&lt;='Thiết lập'!$B$4,"Đã phân bổ","Đang phân bổ")))</f>
        <v/>
      </c>
      <c r="AH64" s="166" t="n"/>
      <c r="AI64" s="174">
        <f>IF(B64="","",IF(AND(C64&lt;&gt;"",D64&lt;&gt;"",E64&lt;&gt;"",E64&gt;=D64,F64&gt;0,G64&gt;0,I64&gt;0,COUNTIF($B$7:$B$306,B64)=1),"OK",IF(C64="","Thiếu tên; ","")&amp;IF(D64="","Thiếu ngày tăng; ","")&amp;IF(E64="","Thiếu ngày bắt đầu; ","")&amp;IF(AND(D64&lt;&gt;"",E64&lt;&gt;"",E64&lt;D64),"Ngày bắt đầu &lt; ngày tăng; ","")&amp;IF(OR(F64="",F64&lt;=0),"Số lượng không hợp lệ; ","")&amp;IF(OR(G64="",G64&lt;=0),"Đơn giá không hợp lệ; ","")&amp;IF(OR(I64="",I64&lt;=0),"Số tháng không hợp lệ; ","")&amp;IF(COUNTIF($B$7:$B$306,B64)&gt;1,"Trùng mã CPTT; ","")))</f>
        <v/>
      </c>
    </row>
    <row r="65" ht="19.5" customHeight="1" s="98">
      <c r="A65" s="164">
        <f>IF(B65="","",ROW()-6)</f>
        <v/>
      </c>
      <c r="B65" s="165" t="n"/>
      <c r="C65" s="166" t="n"/>
      <c r="D65" s="167" t="n"/>
      <c r="E65" s="167" t="n"/>
      <c r="F65" s="168" t="n"/>
      <c r="G65" s="169" t="n"/>
      <c r="H65" s="170">
        <f>IF(OR(F65="",G65=""),"",F65*G65)</f>
        <v/>
      </c>
      <c r="I65" s="171" t="n"/>
      <c r="J65" s="170">
        <f>IF(OR(H65="",E65="",P65=""),"",H65/(P65-E65+1))</f>
        <v/>
      </c>
      <c r="K65" s="165" t="n"/>
      <c r="L65" s="172">
        <f>IF(B65="","",IF(AF65&lt;=0,"Đã phân bổ",IF(P65&lt;=EDATE('Thiết lập'!$B$4,12),"Ngắn hạn","Dài hạn")))</f>
        <v/>
      </c>
      <c r="M65" s="165" t="n"/>
      <c r="N65" s="165" t="n"/>
      <c r="O65" s="165" t="n"/>
      <c r="P65" s="173">
        <f>IF(OR(E65="",I65=""),"",EDATE(E65,I65)-1)</f>
        <v/>
      </c>
      <c r="Q65" s="170">
        <f>IF(OR(B65="",E65="",P65=""),0,MIN(H65,MAX(0,MIN(P65,DATE('Thiết lập'!$B$3-1,12,31))-E65+1)*J65))</f>
        <v/>
      </c>
      <c r="R65" s="170">
        <f>IF(OR($B65="",R$4&gt;$P65,EOMONTH(R$4,0)&lt;$E65),0,MIN($H65,MAX(0,MIN(EOMONTH(R$4,0),$P65)-MAX(R$4,$E65)+1)*$J65))</f>
        <v/>
      </c>
      <c r="S65" s="170">
        <f>IF(OR($B65="",S$4&gt;$P65,EOMONTH(S$4,0)&lt;$E65),0,MIN($H65,MAX(0,MIN(EOMONTH(S$4,0),$P65)-MAX(S$4,$E65)+1)*$J65))</f>
        <v/>
      </c>
      <c r="T65" s="170">
        <f>IF(OR($B65="",T$4&gt;$P65,EOMONTH(T$4,0)&lt;$E65),0,MIN($H65,MAX(0,MIN(EOMONTH(T$4,0),$P65)-MAX(T$4,$E65)+1)*$J65))</f>
        <v/>
      </c>
      <c r="U65" s="170">
        <f>IF(OR($B65="",U$4&gt;$P65,EOMONTH(U$4,0)&lt;$E65),0,MIN($H65,MAX(0,MIN(EOMONTH(U$4,0),$P65)-MAX(U$4,$E65)+1)*$J65))</f>
        <v/>
      </c>
      <c r="V65" s="170">
        <f>IF(OR($B65="",V$4&gt;$P65,EOMONTH(V$4,0)&lt;$E65),0,MIN($H65,MAX(0,MIN(EOMONTH(V$4,0),$P65)-MAX(V$4,$E65)+1)*$J65))</f>
        <v/>
      </c>
      <c r="W65" s="170">
        <f>IF(OR($B65="",W$4&gt;$P65,EOMONTH(W$4,0)&lt;$E65),0,MIN($H65,MAX(0,MIN(EOMONTH(W$4,0),$P65)-MAX(W$4,$E65)+1)*$J65))</f>
        <v/>
      </c>
      <c r="X65" s="170">
        <f>IF(OR($B65="",X$4&gt;$P65,EOMONTH(X$4,0)&lt;$E65),0,MIN($H65,MAX(0,MIN(EOMONTH(X$4,0),$P65)-MAX(X$4,$E65)+1)*$J65))</f>
        <v/>
      </c>
      <c r="Y65" s="170">
        <f>IF(OR($B65="",Y$4&gt;$P65,EOMONTH(Y$4,0)&lt;$E65),0,MIN($H65,MAX(0,MIN(EOMONTH(Y$4,0),$P65)-MAX(Y$4,$E65)+1)*$J65))</f>
        <v/>
      </c>
      <c r="Z65" s="170">
        <f>IF(OR($B65="",Z$4&gt;$P65,EOMONTH(Z$4,0)&lt;$E65),0,MIN($H65,MAX(0,MIN(EOMONTH(Z$4,0),$P65)-MAX(Z$4,$E65)+1)*$J65))</f>
        <v/>
      </c>
      <c r="AA65" s="170">
        <f>IF(OR($B65="",AA$4&gt;$P65,EOMONTH(AA$4,0)&lt;$E65),0,MIN($H65,MAX(0,MIN(EOMONTH(AA$4,0),$P65)-MAX(AA$4,$E65)+1)*$J65))</f>
        <v/>
      </c>
      <c r="AB65" s="170">
        <f>IF(OR($B65="",AB$4&gt;$P65,EOMONTH(AB$4,0)&lt;$E65),0,MIN($H65,MAX(0,MIN(EOMONTH(AB$4,0),$P65)-MAX(AB$4,$E65)+1)*$J65))</f>
        <v/>
      </c>
      <c r="AC65" s="170">
        <f>IF(OR($B65="",AC$4&gt;$P65,EOMONTH(AC$4,0)&lt;$E65),0,MIN($H65,MAX(0,MIN(EOMONTH(AC$4,0),$P65)-MAX(AC$4,$E65)+1)*$J65))</f>
        <v/>
      </c>
      <c r="AD65" s="170">
        <f>IF(B65="","",ROUND(SUM(R65:AC65),0))</f>
        <v/>
      </c>
      <c r="AE65" s="170">
        <f>IF(B65="","",MIN(H65,ROUND(Q65+SUM(R65:AC65),0)))</f>
        <v/>
      </c>
      <c r="AF65" s="170">
        <f>IF(B65="","",MAX(H65-AE65,0))</f>
        <v/>
      </c>
      <c r="AG65" s="172">
        <f>IF(B65="","",IF('Thiết lập'!$B$4&lt;E65,"Chưa phân bổ",IF(P65&lt;='Thiết lập'!$B$4,"Đã phân bổ","Đang phân bổ")))</f>
        <v/>
      </c>
      <c r="AH65" s="166" t="n"/>
      <c r="AI65" s="174">
        <f>IF(B65="","",IF(AND(C65&lt;&gt;"",D65&lt;&gt;"",E65&lt;&gt;"",E65&gt;=D65,F65&gt;0,G65&gt;0,I65&gt;0,COUNTIF($B$7:$B$306,B65)=1),"OK",IF(C65="","Thiếu tên; ","")&amp;IF(D65="","Thiếu ngày tăng; ","")&amp;IF(E65="","Thiếu ngày bắt đầu; ","")&amp;IF(AND(D65&lt;&gt;"",E65&lt;&gt;"",E65&lt;D65),"Ngày bắt đầu &lt; ngày tăng; ","")&amp;IF(OR(F65="",F65&lt;=0),"Số lượng không hợp lệ; ","")&amp;IF(OR(G65="",G65&lt;=0),"Đơn giá không hợp lệ; ","")&amp;IF(OR(I65="",I65&lt;=0),"Số tháng không hợp lệ; ","")&amp;IF(COUNTIF($B$7:$B$306,B65)&gt;1,"Trùng mã CPTT; ","")))</f>
        <v/>
      </c>
    </row>
    <row r="66" ht="19.5" customHeight="1" s="98">
      <c r="A66" s="164">
        <f>IF(B66="","",ROW()-6)</f>
        <v/>
      </c>
      <c r="B66" s="165" t="n"/>
      <c r="C66" s="166" t="n"/>
      <c r="D66" s="167" t="n"/>
      <c r="E66" s="167" t="n"/>
      <c r="F66" s="168" t="n"/>
      <c r="G66" s="169" t="n"/>
      <c r="H66" s="170">
        <f>IF(OR(F66="",G66=""),"",F66*G66)</f>
        <v/>
      </c>
      <c r="I66" s="171" t="n"/>
      <c r="J66" s="170">
        <f>IF(OR(H66="",E66="",P66=""),"",H66/(P66-E66+1))</f>
        <v/>
      </c>
      <c r="K66" s="165" t="n"/>
      <c r="L66" s="172">
        <f>IF(B66="","",IF(AF66&lt;=0,"Đã phân bổ",IF(P66&lt;=EDATE('Thiết lập'!$B$4,12),"Ngắn hạn","Dài hạn")))</f>
        <v/>
      </c>
      <c r="M66" s="165" t="n"/>
      <c r="N66" s="165" t="n"/>
      <c r="O66" s="165" t="n"/>
      <c r="P66" s="173">
        <f>IF(OR(E66="",I66=""),"",EDATE(E66,I66)-1)</f>
        <v/>
      </c>
      <c r="Q66" s="170">
        <f>IF(OR(B66="",E66="",P66=""),0,MIN(H66,MAX(0,MIN(P66,DATE('Thiết lập'!$B$3-1,12,31))-E66+1)*J66))</f>
        <v/>
      </c>
      <c r="R66" s="170">
        <f>IF(OR($B66="",R$4&gt;$P66,EOMONTH(R$4,0)&lt;$E66),0,MIN($H66,MAX(0,MIN(EOMONTH(R$4,0),$P66)-MAX(R$4,$E66)+1)*$J66))</f>
        <v/>
      </c>
      <c r="S66" s="170">
        <f>IF(OR($B66="",S$4&gt;$P66,EOMONTH(S$4,0)&lt;$E66),0,MIN($H66,MAX(0,MIN(EOMONTH(S$4,0),$P66)-MAX(S$4,$E66)+1)*$J66))</f>
        <v/>
      </c>
      <c r="T66" s="170">
        <f>IF(OR($B66="",T$4&gt;$P66,EOMONTH(T$4,0)&lt;$E66),0,MIN($H66,MAX(0,MIN(EOMONTH(T$4,0),$P66)-MAX(T$4,$E66)+1)*$J66))</f>
        <v/>
      </c>
      <c r="U66" s="170">
        <f>IF(OR($B66="",U$4&gt;$P66,EOMONTH(U$4,0)&lt;$E66),0,MIN($H66,MAX(0,MIN(EOMONTH(U$4,0),$P66)-MAX(U$4,$E66)+1)*$J66))</f>
        <v/>
      </c>
      <c r="V66" s="170">
        <f>IF(OR($B66="",V$4&gt;$P66,EOMONTH(V$4,0)&lt;$E66),0,MIN($H66,MAX(0,MIN(EOMONTH(V$4,0),$P66)-MAX(V$4,$E66)+1)*$J66))</f>
        <v/>
      </c>
      <c r="W66" s="170">
        <f>IF(OR($B66="",W$4&gt;$P66,EOMONTH(W$4,0)&lt;$E66),0,MIN($H66,MAX(0,MIN(EOMONTH(W$4,0),$P66)-MAX(W$4,$E66)+1)*$J66))</f>
        <v/>
      </c>
      <c r="X66" s="170">
        <f>IF(OR($B66="",X$4&gt;$P66,EOMONTH(X$4,0)&lt;$E66),0,MIN($H66,MAX(0,MIN(EOMONTH(X$4,0),$P66)-MAX(X$4,$E66)+1)*$J66))</f>
        <v/>
      </c>
      <c r="Y66" s="170">
        <f>IF(OR($B66="",Y$4&gt;$P66,EOMONTH(Y$4,0)&lt;$E66),0,MIN($H66,MAX(0,MIN(EOMONTH(Y$4,0),$P66)-MAX(Y$4,$E66)+1)*$J66))</f>
        <v/>
      </c>
      <c r="Z66" s="170">
        <f>IF(OR($B66="",Z$4&gt;$P66,EOMONTH(Z$4,0)&lt;$E66),0,MIN($H66,MAX(0,MIN(EOMONTH(Z$4,0),$P66)-MAX(Z$4,$E66)+1)*$J66))</f>
        <v/>
      </c>
      <c r="AA66" s="170">
        <f>IF(OR($B66="",AA$4&gt;$P66,EOMONTH(AA$4,0)&lt;$E66),0,MIN($H66,MAX(0,MIN(EOMONTH(AA$4,0),$P66)-MAX(AA$4,$E66)+1)*$J66))</f>
        <v/>
      </c>
      <c r="AB66" s="170">
        <f>IF(OR($B66="",AB$4&gt;$P66,EOMONTH(AB$4,0)&lt;$E66),0,MIN($H66,MAX(0,MIN(EOMONTH(AB$4,0),$P66)-MAX(AB$4,$E66)+1)*$J66))</f>
        <v/>
      </c>
      <c r="AC66" s="170">
        <f>IF(OR($B66="",AC$4&gt;$P66,EOMONTH(AC$4,0)&lt;$E66),0,MIN($H66,MAX(0,MIN(EOMONTH(AC$4,0),$P66)-MAX(AC$4,$E66)+1)*$J66))</f>
        <v/>
      </c>
      <c r="AD66" s="170">
        <f>IF(B66="","",ROUND(SUM(R66:AC66),0))</f>
        <v/>
      </c>
      <c r="AE66" s="170">
        <f>IF(B66="","",MIN(H66,ROUND(Q66+SUM(R66:AC66),0)))</f>
        <v/>
      </c>
      <c r="AF66" s="170">
        <f>IF(B66="","",MAX(H66-AE66,0))</f>
        <v/>
      </c>
      <c r="AG66" s="172">
        <f>IF(B66="","",IF('Thiết lập'!$B$4&lt;E66,"Chưa phân bổ",IF(P66&lt;='Thiết lập'!$B$4,"Đã phân bổ","Đang phân bổ")))</f>
        <v/>
      </c>
      <c r="AH66" s="166" t="n"/>
      <c r="AI66" s="174">
        <f>IF(B66="","",IF(AND(C66&lt;&gt;"",D66&lt;&gt;"",E66&lt;&gt;"",E66&gt;=D66,F66&gt;0,G66&gt;0,I66&gt;0,COUNTIF($B$7:$B$306,B66)=1),"OK",IF(C66="","Thiếu tên; ","")&amp;IF(D66="","Thiếu ngày tăng; ","")&amp;IF(E66="","Thiếu ngày bắt đầu; ","")&amp;IF(AND(D66&lt;&gt;"",E66&lt;&gt;"",E66&lt;D66),"Ngày bắt đầu &lt; ngày tăng; ","")&amp;IF(OR(F66="",F66&lt;=0),"Số lượng không hợp lệ; ","")&amp;IF(OR(G66="",G66&lt;=0),"Đơn giá không hợp lệ; ","")&amp;IF(OR(I66="",I66&lt;=0),"Số tháng không hợp lệ; ","")&amp;IF(COUNTIF($B$7:$B$306,B66)&gt;1,"Trùng mã CPTT; ","")))</f>
        <v/>
      </c>
    </row>
    <row r="67" ht="19.5" customHeight="1" s="98">
      <c r="A67" s="164">
        <f>IF(B67="","",ROW()-6)</f>
        <v/>
      </c>
      <c r="B67" s="165" t="n"/>
      <c r="C67" s="166" t="n"/>
      <c r="D67" s="167" t="n"/>
      <c r="E67" s="167" t="n"/>
      <c r="F67" s="168" t="n"/>
      <c r="G67" s="169" t="n"/>
      <c r="H67" s="170">
        <f>IF(OR(F67="",G67=""),"",F67*G67)</f>
        <v/>
      </c>
      <c r="I67" s="171" t="n"/>
      <c r="J67" s="170">
        <f>IF(OR(H67="",E67="",P67=""),"",H67/(P67-E67+1))</f>
        <v/>
      </c>
      <c r="K67" s="165" t="n"/>
      <c r="L67" s="172">
        <f>IF(B67="","",IF(AF67&lt;=0,"Đã phân bổ",IF(P67&lt;=EDATE('Thiết lập'!$B$4,12),"Ngắn hạn","Dài hạn")))</f>
        <v/>
      </c>
      <c r="M67" s="165" t="n"/>
      <c r="N67" s="165" t="n"/>
      <c r="O67" s="165" t="n"/>
      <c r="P67" s="173">
        <f>IF(OR(E67="",I67=""),"",EDATE(E67,I67)-1)</f>
        <v/>
      </c>
      <c r="Q67" s="170">
        <f>IF(OR(B67="",E67="",P67=""),0,MIN(H67,MAX(0,MIN(P67,DATE('Thiết lập'!$B$3-1,12,31))-E67+1)*J67))</f>
        <v/>
      </c>
      <c r="R67" s="170">
        <f>IF(OR($B67="",R$4&gt;$P67,EOMONTH(R$4,0)&lt;$E67),0,MIN($H67,MAX(0,MIN(EOMONTH(R$4,0),$P67)-MAX(R$4,$E67)+1)*$J67))</f>
        <v/>
      </c>
      <c r="S67" s="170">
        <f>IF(OR($B67="",S$4&gt;$P67,EOMONTH(S$4,0)&lt;$E67),0,MIN($H67,MAX(0,MIN(EOMONTH(S$4,0),$P67)-MAX(S$4,$E67)+1)*$J67))</f>
        <v/>
      </c>
      <c r="T67" s="170">
        <f>IF(OR($B67="",T$4&gt;$P67,EOMONTH(T$4,0)&lt;$E67),0,MIN($H67,MAX(0,MIN(EOMONTH(T$4,0),$P67)-MAX(T$4,$E67)+1)*$J67))</f>
        <v/>
      </c>
      <c r="U67" s="170">
        <f>IF(OR($B67="",U$4&gt;$P67,EOMONTH(U$4,0)&lt;$E67),0,MIN($H67,MAX(0,MIN(EOMONTH(U$4,0),$P67)-MAX(U$4,$E67)+1)*$J67))</f>
        <v/>
      </c>
      <c r="V67" s="170">
        <f>IF(OR($B67="",V$4&gt;$P67,EOMONTH(V$4,0)&lt;$E67),0,MIN($H67,MAX(0,MIN(EOMONTH(V$4,0),$P67)-MAX(V$4,$E67)+1)*$J67))</f>
        <v/>
      </c>
      <c r="W67" s="170">
        <f>IF(OR($B67="",W$4&gt;$P67,EOMONTH(W$4,0)&lt;$E67),0,MIN($H67,MAX(0,MIN(EOMONTH(W$4,0),$P67)-MAX(W$4,$E67)+1)*$J67))</f>
        <v/>
      </c>
      <c r="X67" s="170">
        <f>IF(OR($B67="",X$4&gt;$P67,EOMONTH(X$4,0)&lt;$E67),0,MIN($H67,MAX(0,MIN(EOMONTH(X$4,0),$P67)-MAX(X$4,$E67)+1)*$J67))</f>
        <v/>
      </c>
      <c r="Y67" s="170">
        <f>IF(OR($B67="",Y$4&gt;$P67,EOMONTH(Y$4,0)&lt;$E67),0,MIN($H67,MAX(0,MIN(EOMONTH(Y$4,0),$P67)-MAX(Y$4,$E67)+1)*$J67))</f>
        <v/>
      </c>
      <c r="Z67" s="170">
        <f>IF(OR($B67="",Z$4&gt;$P67,EOMONTH(Z$4,0)&lt;$E67),0,MIN($H67,MAX(0,MIN(EOMONTH(Z$4,0),$P67)-MAX(Z$4,$E67)+1)*$J67))</f>
        <v/>
      </c>
      <c r="AA67" s="170">
        <f>IF(OR($B67="",AA$4&gt;$P67,EOMONTH(AA$4,0)&lt;$E67),0,MIN($H67,MAX(0,MIN(EOMONTH(AA$4,0),$P67)-MAX(AA$4,$E67)+1)*$J67))</f>
        <v/>
      </c>
      <c r="AB67" s="170">
        <f>IF(OR($B67="",AB$4&gt;$P67,EOMONTH(AB$4,0)&lt;$E67),0,MIN($H67,MAX(0,MIN(EOMONTH(AB$4,0),$P67)-MAX(AB$4,$E67)+1)*$J67))</f>
        <v/>
      </c>
      <c r="AC67" s="170">
        <f>IF(OR($B67="",AC$4&gt;$P67,EOMONTH(AC$4,0)&lt;$E67),0,MIN($H67,MAX(0,MIN(EOMONTH(AC$4,0),$P67)-MAX(AC$4,$E67)+1)*$J67))</f>
        <v/>
      </c>
      <c r="AD67" s="170">
        <f>IF(B67="","",ROUND(SUM(R67:AC67),0))</f>
        <v/>
      </c>
      <c r="AE67" s="170">
        <f>IF(B67="","",MIN(H67,ROUND(Q67+SUM(R67:AC67),0)))</f>
        <v/>
      </c>
      <c r="AF67" s="170">
        <f>IF(B67="","",MAX(H67-AE67,0))</f>
        <v/>
      </c>
      <c r="AG67" s="172">
        <f>IF(B67="","",IF('Thiết lập'!$B$4&lt;E67,"Chưa phân bổ",IF(P67&lt;='Thiết lập'!$B$4,"Đã phân bổ","Đang phân bổ")))</f>
        <v/>
      </c>
      <c r="AH67" s="166" t="n"/>
      <c r="AI67" s="174">
        <f>IF(B67="","",IF(AND(C67&lt;&gt;"",D67&lt;&gt;"",E67&lt;&gt;"",E67&gt;=D67,F67&gt;0,G67&gt;0,I67&gt;0,COUNTIF($B$7:$B$306,B67)=1),"OK",IF(C67="","Thiếu tên; ","")&amp;IF(D67="","Thiếu ngày tăng; ","")&amp;IF(E67="","Thiếu ngày bắt đầu; ","")&amp;IF(AND(D67&lt;&gt;"",E67&lt;&gt;"",E67&lt;D67),"Ngày bắt đầu &lt; ngày tăng; ","")&amp;IF(OR(F67="",F67&lt;=0),"Số lượng không hợp lệ; ","")&amp;IF(OR(G67="",G67&lt;=0),"Đơn giá không hợp lệ; ","")&amp;IF(OR(I67="",I67&lt;=0),"Số tháng không hợp lệ; ","")&amp;IF(COUNTIF($B$7:$B$306,B67)&gt;1,"Trùng mã CPTT; ","")))</f>
        <v/>
      </c>
    </row>
    <row r="68" ht="19.5" customHeight="1" s="98">
      <c r="A68" s="164">
        <f>IF(B68="","",ROW()-6)</f>
        <v/>
      </c>
      <c r="B68" s="165" t="n"/>
      <c r="C68" s="166" t="n"/>
      <c r="D68" s="167" t="n"/>
      <c r="E68" s="167" t="n"/>
      <c r="F68" s="168" t="n"/>
      <c r="G68" s="169" t="n"/>
      <c r="H68" s="170">
        <f>IF(OR(F68="",G68=""),"",F68*G68)</f>
        <v/>
      </c>
      <c r="I68" s="171" t="n"/>
      <c r="J68" s="170">
        <f>IF(OR(H68="",E68="",P68=""),"",H68/(P68-E68+1))</f>
        <v/>
      </c>
      <c r="K68" s="165" t="n"/>
      <c r="L68" s="172">
        <f>IF(B68="","",IF(AF68&lt;=0,"Đã phân bổ",IF(P68&lt;=EDATE('Thiết lập'!$B$4,12),"Ngắn hạn","Dài hạn")))</f>
        <v/>
      </c>
      <c r="M68" s="165" t="n"/>
      <c r="N68" s="165" t="n"/>
      <c r="O68" s="165" t="n"/>
      <c r="P68" s="173">
        <f>IF(OR(E68="",I68=""),"",EDATE(E68,I68)-1)</f>
        <v/>
      </c>
      <c r="Q68" s="170">
        <f>IF(OR(B68="",E68="",P68=""),0,MIN(H68,MAX(0,MIN(P68,DATE('Thiết lập'!$B$3-1,12,31))-E68+1)*J68))</f>
        <v/>
      </c>
      <c r="R68" s="170">
        <f>IF(OR($B68="",R$4&gt;$P68,EOMONTH(R$4,0)&lt;$E68),0,MIN($H68,MAX(0,MIN(EOMONTH(R$4,0),$P68)-MAX(R$4,$E68)+1)*$J68))</f>
        <v/>
      </c>
      <c r="S68" s="170">
        <f>IF(OR($B68="",S$4&gt;$P68,EOMONTH(S$4,0)&lt;$E68),0,MIN($H68,MAX(0,MIN(EOMONTH(S$4,0),$P68)-MAX(S$4,$E68)+1)*$J68))</f>
        <v/>
      </c>
      <c r="T68" s="170">
        <f>IF(OR($B68="",T$4&gt;$P68,EOMONTH(T$4,0)&lt;$E68),0,MIN($H68,MAX(0,MIN(EOMONTH(T$4,0),$P68)-MAX(T$4,$E68)+1)*$J68))</f>
        <v/>
      </c>
      <c r="U68" s="170">
        <f>IF(OR($B68="",U$4&gt;$P68,EOMONTH(U$4,0)&lt;$E68),0,MIN($H68,MAX(0,MIN(EOMONTH(U$4,0),$P68)-MAX(U$4,$E68)+1)*$J68))</f>
        <v/>
      </c>
      <c r="V68" s="170">
        <f>IF(OR($B68="",V$4&gt;$P68,EOMONTH(V$4,0)&lt;$E68),0,MIN($H68,MAX(0,MIN(EOMONTH(V$4,0),$P68)-MAX(V$4,$E68)+1)*$J68))</f>
        <v/>
      </c>
      <c r="W68" s="170">
        <f>IF(OR($B68="",W$4&gt;$P68,EOMONTH(W$4,0)&lt;$E68),0,MIN($H68,MAX(0,MIN(EOMONTH(W$4,0),$P68)-MAX(W$4,$E68)+1)*$J68))</f>
        <v/>
      </c>
      <c r="X68" s="170">
        <f>IF(OR($B68="",X$4&gt;$P68,EOMONTH(X$4,0)&lt;$E68),0,MIN($H68,MAX(0,MIN(EOMONTH(X$4,0),$P68)-MAX(X$4,$E68)+1)*$J68))</f>
        <v/>
      </c>
      <c r="Y68" s="170">
        <f>IF(OR($B68="",Y$4&gt;$P68,EOMONTH(Y$4,0)&lt;$E68),0,MIN($H68,MAX(0,MIN(EOMONTH(Y$4,0),$P68)-MAX(Y$4,$E68)+1)*$J68))</f>
        <v/>
      </c>
      <c r="Z68" s="170">
        <f>IF(OR($B68="",Z$4&gt;$P68,EOMONTH(Z$4,0)&lt;$E68),0,MIN($H68,MAX(0,MIN(EOMONTH(Z$4,0),$P68)-MAX(Z$4,$E68)+1)*$J68))</f>
        <v/>
      </c>
      <c r="AA68" s="170">
        <f>IF(OR($B68="",AA$4&gt;$P68,EOMONTH(AA$4,0)&lt;$E68),0,MIN($H68,MAX(0,MIN(EOMONTH(AA$4,0),$P68)-MAX(AA$4,$E68)+1)*$J68))</f>
        <v/>
      </c>
      <c r="AB68" s="170">
        <f>IF(OR($B68="",AB$4&gt;$P68,EOMONTH(AB$4,0)&lt;$E68),0,MIN($H68,MAX(0,MIN(EOMONTH(AB$4,0),$P68)-MAX(AB$4,$E68)+1)*$J68))</f>
        <v/>
      </c>
      <c r="AC68" s="170">
        <f>IF(OR($B68="",AC$4&gt;$P68,EOMONTH(AC$4,0)&lt;$E68),0,MIN($H68,MAX(0,MIN(EOMONTH(AC$4,0),$P68)-MAX(AC$4,$E68)+1)*$J68))</f>
        <v/>
      </c>
      <c r="AD68" s="170">
        <f>IF(B68="","",ROUND(SUM(R68:AC68),0))</f>
        <v/>
      </c>
      <c r="AE68" s="170">
        <f>IF(B68="","",MIN(H68,ROUND(Q68+SUM(R68:AC68),0)))</f>
        <v/>
      </c>
      <c r="AF68" s="170">
        <f>IF(B68="","",MAX(H68-AE68,0))</f>
        <v/>
      </c>
      <c r="AG68" s="172">
        <f>IF(B68="","",IF('Thiết lập'!$B$4&lt;E68,"Chưa phân bổ",IF(P68&lt;='Thiết lập'!$B$4,"Đã phân bổ","Đang phân bổ")))</f>
        <v/>
      </c>
      <c r="AH68" s="166" t="n"/>
      <c r="AI68" s="174">
        <f>IF(B68="","",IF(AND(C68&lt;&gt;"",D68&lt;&gt;"",E68&lt;&gt;"",E68&gt;=D68,F68&gt;0,G68&gt;0,I68&gt;0,COUNTIF($B$7:$B$306,B68)=1),"OK",IF(C68="","Thiếu tên; ","")&amp;IF(D68="","Thiếu ngày tăng; ","")&amp;IF(E68="","Thiếu ngày bắt đầu; ","")&amp;IF(AND(D68&lt;&gt;"",E68&lt;&gt;"",E68&lt;D68),"Ngày bắt đầu &lt; ngày tăng; ","")&amp;IF(OR(F68="",F68&lt;=0),"Số lượng không hợp lệ; ","")&amp;IF(OR(G68="",G68&lt;=0),"Đơn giá không hợp lệ; ","")&amp;IF(OR(I68="",I68&lt;=0),"Số tháng không hợp lệ; ","")&amp;IF(COUNTIF($B$7:$B$306,B68)&gt;1,"Trùng mã CPTT; ","")))</f>
        <v/>
      </c>
    </row>
    <row r="69" ht="19.5" customHeight="1" s="98">
      <c r="A69" s="164">
        <f>IF(B69="","",ROW()-6)</f>
        <v/>
      </c>
      <c r="B69" s="165" t="n"/>
      <c r="C69" s="166" t="n"/>
      <c r="D69" s="167" t="n"/>
      <c r="E69" s="167" t="n"/>
      <c r="F69" s="168" t="n"/>
      <c r="G69" s="169" t="n"/>
      <c r="H69" s="170">
        <f>IF(OR(F69="",G69=""),"",F69*G69)</f>
        <v/>
      </c>
      <c r="I69" s="171" t="n"/>
      <c r="J69" s="170">
        <f>IF(OR(H69="",E69="",P69=""),"",H69/(P69-E69+1))</f>
        <v/>
      </c>
      <c r="K69" s="165" t="n"/>
      <c r="L69" s="172">
        <f>IF(B69="","",IF(AF69&lt;=0,"Đã phân bổ",IF(P69&lt;=EDATE('Thiết lập'!$B$4,12),"Ngắn hạn","Dài hạn")))</f>
        <v/>
      </c>
      <c r="M69" s="165" t="n"/>
      <c r="N69" s="165" t="n"/>
      <c r="O69" s="165" t="n"/>
      <c r="P69" s="173">
        <f>IF(OR(E69="",I69=""),"",EDATE(E69,I69)-1)</f>
        <v/>
      </c>
      <c r="Q69" s="170">
        <f>IF(OR(B69="",E69="",P69=""),0,MIN(H69,MAX(0,MIN(P69,DATE('Thiết lập'!$B$3-1,12,31))-E69+1)*J69))</f>
        <v/>
      </c>
      <c r="R69" s="170">
        <f>IF(OR($B69="",R$4&gt;$P69,EOMONTH(R$4,0)&lt;$E69),0,MIN($H69,MAX(0,MIN(EOMONTH(R$4,0),$P69)-MAX(R$4,$E69)+1)*$J69))</f>
        <v/>
      </c>
      <c r="S69" s="170">
        <f>IF(OR($B69="",S$4&gt;$P69,EOMONTH(S$4,0)&lt;$E69),0,MIN($H69,MAX(0,MIN(EOMONTH(S$4,0),$P69)-MAX(S$4,$E69)+1)*$J69))</f>
        <v/>
      </c>
      <c r="T69" s="170">
        <f>IF(OR($B69="",T$4&gt;$P69,EOMONTH(T$4,0)&lt;$E69),0,MIN($H69,MAX(0,MIN(EOMONTH(T$4,0),$P69)-MAX(T$4,$E69)+1)*$J69))</f>
        <v/>
      </c>
      <c r="U69" s="170">
        <f>IF(OR($B69="",U$4&gt;$P69,EOMONTH(U$4,0)&lt;$E69),0,MIN($H69,MAX(0,MIN(EOMONTH(U$4,0),$P69)-MAX(U$4,$E69)+1)*$J69))</f>
        <v/>
      </c>
      <c r="V69" s="170">
        <f>IF(OR($B69="",V$4&gt;$P69,EOMONTH(V$4,0)&lt;$E69),0,MIN($H69,MAX(0,MIN(EOMONTH(V$4,0),$P69)-MAX(V$4,$E69)+1)*$J69))</f>
        <v/>
      </c>
      <c r="W69" s="170">
        <f>IF(OR($B69="",W$4&gt;$P69,EOMONTH(W$4,0)&lt;$E69),0,MIN($H69,MAX(0,MIN(EOMONTH(W$4,0),$P69)-MAX(W$4,$E69)+1)*$J69))</f>
        <v/>
      </c>
      <c r="X69" s="170">
        <f>IF(OR($B69="",X$4&gt;$P69,EOMONTH(X$4,0)&lt;$E69),0,MIN($H69,MAX(0,MIN(EOMONTH(X$4,0),$P69)-MAX(X$4,$E69)+1)*$J69))</f>
        <v/>
      </c>
      <c r="Y69" s="170">
        <f>IF(OR($B69="",Y$4&gt;$P69,EOMONTH(Y$4,0)&lt;$E69),0,MIN($H69,MAX(0,MIN(EOMONTH(Y$4,0),$P69)-MAX(Y$4,$E69)+1)*$J69))</f>
        <v/>
      </c>
      <c r="Z69" s="170">
        <f>IF(OR($B69="",Z$4&gt;$P69,EOMONTH(Z$4,0)&lt;$E69),0,MIN($H69,MAX(0,MIN(EOMONTH(Z$4,0),$P69)-MAX(Z$4,$E69)+1)*$J69))</f>
        <v/>
      </c>
      <c r="AA69" s="170">
        <f>IF(OR($B69="",AA$4&gt;$P69,EOMONTH(AA$4,0)&lt;$E69),0,MIN($H69,MAX(0,MIN(EOMONTH(AA$4,0),$P69)-MAX(AA$4,$E69)+1)*$J69))</f>
        <v/>
      </c>
      <c r="AB69" s="170">
        <f>IF(OR($B69="",AB$4&gt;$P69,EOMONTH(AB$4,0)&lt;$E69),0,MIN($H69,MAX(0,MIN(EOMONTH(AB$4,0),$P69)-MAX(AB$4,$E69)+1)*$J69))</f>
        <v/>
      </c>
      <c r="AC69" s="170">
        <f>IF(OR($B69="",AC$4&gt;$P69,EOMONTH(AC$4,0)&lt;$E69),0,MIN($H69,MAX(0,MIN(EOMONTH(AC$4,0),$P69)-MAX(AC$4,$E69)+1)*$J69))</f>
        <v/>
      </c>
      <c r="AD69" s="170">
        <f>IF(B69="","",ROUND(SUM(R69:AC69),0))</f>
        <v/>
      </c>
      <c r="AE69" s="170">
        <f>IF(B69="","",MIN(H69,ROUND(Q69+SUM(R69:AC69),0)))</f>
        <v/>
      </c>
      <c r="AF69" s="170">
        <f>IF(B69="","",MAX(H69-AE69,0))</f>
        <v/>
      </c>
      <c r="AG69" s="172">
        <f>IF(B69="","",IF('Thiết lập'!$B$4&lt;E69,"Chưa phân bổ",IF(P69&lt;='Thiết lập'!$B$4,"Đã phân bổ","Đang phân bổ")))</f>
        <v/>
      </c>
      <c r="AH69" s="166" t="n"/>
      <c r="AI69" s="174">
        <f>IF(B69="","",IF(AND(C69&lt;&gt;"",D69&lt;&gt;"",E69&lt;&gt;"",E69&gt;=D69,F69&gt;0,G69&gt;0,I69&gt;0,COUNTIF($B$7:$B$306,B69)=1),"OK",IF(C69="","Thiếu tên; ","")&amp;IF(D69="","Thiếu ngày tăng; ","")&amp;IF(E69="","Thiếu ngày bắt đầu; ","")&amp;IF(AND(D69&lt;&gt;"",E69&lt;&gt;"",E69&lt;D69),"Ngày bắt đầu &lt; ngày tăng; ","")&amp;IF(OR(F69="",F69&lt;=0),"Số lượng không hợp lệ; ","")&amp;IF(OR(G69="",G69&lt;=0),"Đơn giá không hợp lệ; ","")&amp;IF(OR(I69="",I69&lt;=0),"Số tháng không hợp lệ; ","")&amp;IF(COUNTIF($B$7:$B$306,B69)&gt;1,"Trùng mã CPTT; ","")))</f>
        <v/>
      </c>
    </row>
    <row r="70" ht="19.5" customHeight="1" s="98">
      <c r="A70" s="164">
        <f>IF(B70="","",ROW()-6)</f>
        <v/>
      </c>
      <c r="B70" s="165" t="n"/>
      <c r="C70" s="166" t="n"/>
      <c r="D70" s="167" t="n"/>
      <c r="E70" s="167" t="n"/>
      <c r="F70" s="168" t="n"/>
      <c r="G70" s="169" t="n"/>
      <c r="H70" s="170">
        <f>IF(OR(F70="",G70=""),"",F70*G70)</f>
        <v/>
      </c>
      <c r="I70" s="171" t="n"/>
      <c r="J70" s="170">
        <f>IF(OR(H70="",E70="",P70=""),"",H70/(P70-E70+1))</f>
        <v/>
      </c>
      <c r="K70" s="165" t="n"/>
      <c r="L70" s="172">
        <f>IF(B70="","",IF(AF70&lt;=0,"Đã phân bổ",IF(P70&lt;=EDATE('Thiết lập'!$B$4,12),"Ngắn hạn","Dài hạn")))</f>
        <v/>
      </c>
      <c r="M70" s="165" t="n"/>
      <c r="N70" s="165" t="n"/>
      <c r="O70" s="165" t="n"/>
      <c r="P70" s="173">
        <f>IF(OR(E70="",I70=""),"",EDATE(E70,I70)-1)</f>
        <v/>
      </c>
      <c r="Q70" s="170">
        <f>IF(OR(B70="",E70="",P70=""),0,MIN(H70,MAX(0,MIN(P70,DATE('Thiết lập'!$B$3-1,12,31))-E70+1)*J70))</f>
        <v/>
      </c>
      <c r="R70" s="170">
        <f>IF(OR($B70="",R$4&gt;$P70,EOMONTH(R$4,0)&lt;$E70),0,MIN($H70,MAX(0,MIN(EOMONTH(R$4,0),$P70)-MAX(R$4,$E70)+1)*$J70))</f>
        <v/>
      </c>
      <c r="S70" s="170">
        <f>IF(OR($B70="",S$4&gt;$P70,EOMONTH(S$4,0)&lt;$E70),0,MIN($H70,MAX(0,MIN(EOMONTH(S$4,0),$P70)-MAX(S$4,$E70)+1)*$J70))</f>
        <v/>
      </c>
      <c r="T70" s="170">
        <f>IF(OR($B70="",T$4&gt;$P70,EOMONTH(T$4,0)&lt;$E70),0,MIN($H70,MAX(0,MIN(EOMONTH(T$4,0),$P70)-MAX(T$4,$E70)+1)*$J70))</f>
        <v/>
      </c>
      <c r="U70" s="170">
        <f>IF(OR($B70="",U$4&gt;$P70,EOMONTH(U$4,0)&lt;$E70),0,MIN($H70,MAX(0,MIN(EOMONTH(U$4,0),$P70)-MAX(U$4,$E70)+1)*$J70))</f>
        <v/>
      </c>
      <c r="V70" s="170">
        <f>IF(OR($B70="",V$4&gt;$P70,EOMONTH(V$4,0)&lt;$E70),0,MIN($H70,MAX(0,MIN(EOMONTH(V$4,0),$P70)-MAX(V$4,$E70)+1)*$J70))</f>
        <v/>
      </c>
      <c r="W70" s="170">
        <f>IF(OR($B70="",W$4&gt;$P70,EOMONTH(W$4,0)&lt;$E70),0,MIN($H70,MAX(0,MIN(EOMONTH(W$4,0),$P70)-MAX(W$4,$E70)+1)*$J70))</f>
        <v/>
      </c>
      <c r="X70" s="170">
        <f>IF(OR($B70="",X$4&gt;$P70,EOMONTH(X$4,0)&lt;$E70),0,MIN($H70,MAX(0,MIN(EOMONTH(X$4,0),$P70)-MAX(X$4,$E70)+1)*$J70))</f>
        <v/>
      </c>
      <c r="Y70" s="170">
        <f>IF(OR($B70="",Y$4&gt;$P70,EOMONTH(Y$4,0)&lt;$E70),0,MIN($H70,MAX(0,MIN(EOMONTH(Y$4,0),$P70)-MAX(Y$4,$E70)+1)*$J70))</f>
        <v/>
      </c>
      <c r="Z70" s="170">
        <f>IF(OR($B70="",Z$4&gt;$P70,EOMONTH(Z$4,0)&lt;$E70),0,MIN($H70,MAX(0,MIN(EOMONTH(Z$4,0),$P70)-MAX(Z$4,$E70)+1)*$J70))</f>
        <v/>
      </c>
      <c r="AA70" s="170">
        <f>IF(OR($B70="",AA$4&gt;$P70,EOMONTH(AA$4,0)&lt;$E70),0,MIN($H70,MAX(0,MIN(EOMONTH(AA$4,0),$P70)-MAX(AA$4,$E70)+1)*$J70))</f>
        <v/>
      </c>
      <c r="AB70" s="170">
        <f>IF(OR($B70="",AB$4&gt;$P70,EOMONTH(AB$4,0)&lt;$E70),0,MIN($H70,MAX(0,MIN(EOMONTH(AB$4,0),$P70)-MAX(AB$4,$E70)+1)*$J70))</f>
        <v/>
      </c>
      <c r="AC70" s="170">
        <f>IF(OR($B70="",AC$4&gt;$P70,EOMONTH(AC$4,0)&lt;$E70),0,MIN($H70,MAX(0,MIN(EOMONTH(AC$4,0),$P70)-MAX(AC$4,$E70)+1)*$J70))</f>
        <v/>
      </c>
      <c r="AD70" s="170">
        <f>IF(B70="","",ROUND(SUM(R70:AC70),0))</f>
        <v/>
      </c>
      <c r="AE70" s="170">
        <f>IF(B70="","",MIN(H70,ROUND(Q70+SUM(R70:AC70),0)))</f>
        <v/>
      </c>
      <c r="AF70" s="170">
        <f>IF(B70="","",MAX(H70-AE70,0))</f>
        <v/>
      </c>
      <c r="AG70" s="172">
        <f>IF(B70="","",IF('Thiết lập'!$B$4&lt;E70,"Chưa phân bổ",IF(P70&lt;='Thiết lập'!$B$4,"Đã phân bổ","Đang phân bổ")))</f>
        <v/>
      </c>
      <c r="AH70" s="166" t="n"/>
      <c r="AI70" s="174">
        <f>IF(B70="","",IF(AND(C70&lt;&gt;"",D70&lt;&gt;"",E70&lt;&gt;"",E70&gt;=D70,F70&gt;0,G70&gt;0,I70&gt;0,COUNTIF($B$7:$B$306,B70)=1),"OK",IF(C70="","Thiếu tên; ","")&amp;IF(D70="","Thiếu ngày tăng; ","")&amp;IF(E70="","Thiếu ngày bắt đầu; ","")&amp;IF(AND(D70&lt;&gt;"",E70&lt;&gt;"",E70&lt;D70),"Ngày bắt đầu &lt; ngày tăng; ","")&amp;IF(OR(F70="",F70&lt;=0),"Số lượng không hợp lệ; ","")&amp;IF(OR(G70="",G70&lt;=0),"Đơn giá không hợp lệ; ","")&amp;IF(OR(I70="",I70&lt;=0),"Số tháng không hợp lệ; ","")&amp;IF(COUNTIF($B$7:$B$306,B70)&gt;1,"Trùng mã CPTT; ","")))</f>
        <v/>
      </c>
    </row>
    <row r="71" ht="19.5" customHeight="1" s="98">
      <c r="A71" s="164">
        <f>IF(B71="","",ROW()-6)</f>
        <v/>
      </c>
      <c r="B71" s="165" t="n"/>
      <c r="C71" s="166" t="n"/>
      <c r="D71" s="167" t="n"/>
      <c r="E71" s="167" t="n"/>
      <c r="F71" s="168" t="n"/>
      <c r="G71" s="169" t="n"/>
      <c r="H71" s="170">
        <f>IF(OR(F71="",G71=""),"",F71*G71)</f>
        <v/>
      </c>
      <c r="I71" s="171" t="n"/>
      <c r="J71" s="170">
        <f>IF(OR(H71="",E71="",P71=""),"",H71/(P71-E71+1))</f>
        <v/>
      </c>
      <c r="K71" s="165" t="n"/>
      <c r="L71" s="172">
        <f>IF(B71="","",IF(AF71&lt;=0,"Đã phân bổ",IF(P71&lt;=EDATE('Thiết lập'!$B$4,12),"Ngắn hạn","Dài hạn")))</f>
        <v/>
      </c>
      <c r="M71" s="165" t="n"/>
      <c r="N71" s="165" t="n"/>
      <c r="O71" s="165" t="n"/>
      <c r="P71" s="173">
        <f>IF(OR(E71="",I71=""),"",EDATE(E71,I71)-1)</f>
        <v/>
      </c>
      <c r="Q71" s="170">
        <f>IF(OR(B71="",E71="",P71=""),0,MIN(H71,MAX(0,MIN(P71,DATE('Thiết lập'!$B$3-1,12,31))-E71+1)*J71))</f>
        <v/>
      </c>
      <c r="R71" s="170">
        <f>IF(OR($B71="",R$4&gt;$P71,EOMONTH(R$4,0)&lt;$E71),0,MIN($H71,MAX(0,MIN(EOMONTH(R$4,0),$P71)-MAX(R$4,$E71)+1)*$J71))</f>
        <v/>
      </c>
      <c r="S71" s="170">
        <f>IF(OR($B71="",S$4&gt;$P71,EOMONTH(S$4,0)&lt;$E71),0,MIN($H71,MAX(0,MIN(EOMONTH(S$4,0),$P71)-MAX(S$4,$E71)+1)*$J71))</f>
        <v/>
      </c>
      <c r="T71" s="170">
        <f>IF(OR($B71="",T$4&gt;$P71,EOMONTH(T$4,0)&lt;$E71),0,MIN($H71,MAX(0,MIN(EOMONTH(T$4,0),$P71)-MAX(T$4,$E71)+1)*$J71))</f>
        <v/>
      </c>
      <c r="U71" s="170">
        <f>IF(OR($B71="",U$4&gt;$P71,EOMONTH(U$4,0)&lt;$E71),0,MIN($H71,MAX(0,MIN(EOMONTH(U$4,0),$P71)-MAX(U$4,$E71)+1)*$J71))</f>
        <v/>
      </c>
      <c r="V71" s="170">
        <f>IF(OR($B71="",V$4&gt;$P71,EOMONTH(V$4,0)&lt;$E71),0,MIN($H71,MAX(0,MIN(EOMONTH(V$4,0),$P71)-MAX(V$4,$E71)+1)*$J71))</f>
        <v/>
      </c>
      <c r="W71" s="170">
        <f>IF(OR($B71="",W$4&gt;$P71,EOMONTH(W$4,0)&lt;$E71),0,MIN($H71,MAX(0,MIN(EOMONTH(W$4,0),$P71)-MAX(W$4,$E71)+1)*$J71))</f>
        <v/>
      </c>
      <c r="X71" s="170">
        <f>IF(OR($B71="",X$4&gt;$P71,EOMONTH(X$4,0)&lt;$E71),0,MIN($H71,MAX(0,MIN(EOMONTH(X$4,0),$P71)-MAX(X$4,$E71)+1)*$J71))</f>
        <v/>
      </c>
      <c r="Y71" s="170">
        <f>IF(OR($B71="",Y$4&gt;$P71,EOMONTH(Y$4,0)&lt;$E71),0,MIN($H71,MAX(0,MIN(EOMONTH(Y$4,0),$P71)-MAX(Y$4,$E71)+1)*$J71))</f>
        <v/>
      </c>
      <c r="Z71" s="170">
        <f>IF(OR($B71="",Z$4&gt;$P71,EOMONTH(Z$4,0)&lt;$E71),0,MIN($H71,MAX(0,MIN(EOMONTH(Z$4,0),$P71)-MAX(Z$4,$E71)+1)*$J71))</f>
        <v/>
      </c>
      <c r="AA71" s="170">
        <f>IF(OR($B71="",AA$4&gt;$P71,EOMONTH(AA$4,0)&lt;$E71),0,MIN($H71,MAX(0,MIN(EOMONTH(AA$4,0),$P71)-MAX(AA$4,$E71)+1)*$J71))</f>
        <v/>
      </c>
      <c r="AB71" s="170">
        <f>IF(OR($B71="",AB$4&gt;$P71,EOMONTH(AB$4,0)&lt;$E71),0,MIN($H71,MAX(0,MIN(EOMONTH(AB$4,0),$P71)-MAX(AB$4,$E71)+1)*$J71))</f>
        <v/>
      </c>
      <c r="AC71" s="170">
        <f>IF(OR($B71="",AC$4&gt;$P71,EOMONTH(AC$4,0)&lt;$E71),0,MIN($H71,MAX(0,MIN(EOMONTH(AC$4,0),$P71)-MAX(AC$4,$E71)+1)*$J71))</f>
        <v/>
      </c>
      <c r="AD71" s="170">
        <f>IF(B71="","",ROUND(SUM(R71:AC71),0))</f>
        <v/>
      </c>
      <c r="AE71" s="170">
        <f>IF(B71="","",MIN(H71,ROUND(Q71+SUM(R71:AC71),0)))</f>
        <v/>
      </c>
      <c r="AF71" s="170">
        <f>IF(B71="","",MAX(H71-AE71,0))</f>
        <v/>
      </c>
      <c r="AG71" s="172">
        <f>IF(B71="","",IF('Thiết lập'!$B$4&lt;E71,"Chưa phân bổ",IF(P71&lt;='Thiết lập'!$B$4,"Đã phân bổ","Đang phân bổ")))</f>
        <v/>
      </c>
      <c r="AH71" s="166" t="n"/>
      <c r="AI71" s="174">
        <f>IF(B71="","",IF(AND(C71&lt;&gt;"",D71&lt;&gt;"",E71&lt;&gt;"",E71&gt;=D71,F71&gt;0,G71&gt;0,I71&gt;0,COUNTIF($B$7:$B$306,B71)=1),"OK",IF(C71="","Thiếu tên; ","")&amp;IF(D71="","Thiếu ngày tăng; ","")&amp;IF(E71="","Thiếu ngày bắt đầu; ","")&amp;IF(AND(D71&lt;&gt;"",E71&lt;&gt;"",E71&lt;D71),"Ngày bắt đầu &lt; ngày tăng; ","")&amp;IF(OR(F71="",F71&lt;=0),"Số lượng không hợp lệ; ","")&amp;IF(OR(G71="",G71&lt;=0),"Đơn giá không hợp lệ; ","")&amp;IF(OR(I71="",I71&lt;=0),"Số tháng không hợp lệ; ","")&amp;IF(COUNTIF($B$7:$B$306,B71)&gt;1,"Trùng mã CPTT; ","")))</f>
        <v/>
      </c>
    </row>
    <row r="72" ht="19.5" customHeight="1" s="98">
      <c r="A72" s="164">
        <f>IF(B72="","",ROW()-6)</f>
        <v/>
      </c>
      <c r="B72" s="165" t="n"/>
      <c r="C72" s="166" t="n"/>
      <c r="D72" s="167" t="n"/>
      <c r="E72" s="167" t="n"/>
      <c r="F72" s="168" t="n"/>
      <c r="G72" s="169" t="n"/>
      <c r="H72" s="170">
        <f>IF(OR(F72="",G72=""),"",F72*G72)</f>
        <v/>
      </c>
      <c r="I72" s="171" t="n"/>
      <c r="J72" s="170">
        <f>IF(OR(H72="",E72="",P72=""),"",H72/(P72-E72+1))</f>
        <v/>
      </c>
      <c r="K72" s="165" t="n"/>
      <c r="L72" s="172">
        <f>IF(B72="","",IF(AF72&lt;=0,"Đã phân bổ",IF(P72&lt;=EDATE('Thiết lập'!$B$4,12),"Ngắn hạn","Dài hạn")))</f>
        <v/>
      </c>
      <c r="M72" s="165" t="n"/>
      <c r="N72" s="165" t="n"/>
      <c r="O72" s="165" t="n"/>
      <c r="P72" s="173">
        <f>IF(OR(E72="",I72=""),"",EDATE(E72,I72)-1)</f>
        <v/>
      </c>
      <c r="Q72" s="170">
        <f>IF(OR(B72="",E72="",P72=""),0,MIN(H72,MAX(0,MIN(P72,DATE('Thiết lập'!$B$3-1,12,31))-E72+1)*J72))</f>
        <v/>
      </c>
      <c r="R72" s="170">
        <f>IF(OR($B72="",R$4&gt;$P72,EOMONTH(R$4,0)&lt;$E72),0,MIN($H72,MAX(0,MIN(EOMONTH(R$4,0),$P72)-MAX(R$4,$E72)+1)*$J72))</f>
        <v/>
      </c>
      <c r="S72" s="170">
        <f>IF(OR($B72="",S$4&gt;$P72,EOMONTH(S$4,0)&lt;$E72),0,MIN($H72,MAX(0,MIN(EOMONTH(S$4,0),$P72)-MAX(S$4,$E72)+1)*$J72))</f>
        <v/>
      </c>
      <c r="T72" s="170">
        <f>IF(OR($B72="",T$4&gt;$P72,EOMONTH(T$4,0)&lt;$E72),0,MIN($H72,MAX(0,MIN(EOMONTH(T$4,0),$P72)-MAX(T$4,$E72)+1)*$J72))</f>
        <v/>
      </c>
      <c r="U72" s="170">
        <f>IF(OR($B72="",U$4&gt;$P72,EOMONTH(U$4,0)&lt;$E72),0,MIN($H72,MAX(0,MIN(EOMONTH(U$4,0),$P72)-MAX(U$4,$E72)+1)*$J72))</f>
        <v/>
      </c>
      <c r="V72" s="170">
        <f>IF(OR($B72="",V$4&gt;$P72,EOMONTH(V$4,0)&lt;$E72),0,MIN($H72,MAX(0,MIN(EOMONTH(V$4,0),$P72)-MAX(V$4,$E72)+1)*$J72))</f>
        <v/>
      </c>
      <c r="W72" s="170">
        <f>IF(OR($B72="",W$4&gt;$P72,EOMONTH(W$4,0)&lt;$E72),0,MIN($H72,MAX(0,MIN(EOMONTH(W$4,0),$P72)-MAX(W$4,$E72)+1)*$J72))</f>
        <v/>
      </c>
      <c r="X72" s="170">
        <f>IF(OR($B72="",X$4&gt;$P72,EOMONTH(X$4,0)&lt;$E72),0,MIN($H72,MAX(0,MIN(EOMONTH(X$4,0),$P72)-MAX(X$4,$E72)+1)*$J72))</f>
        <v/>
      </c>
      <c r="Y72" s="170">
        <f>IF(OR($B72="",Y$4&gt;$P72,EOMONTH(Y$4,0)&lt;$E72),0,MIN($H72,MAX(0,MIN(EOMONTH(Y$4,0),$P72)-MAX(Y$4,$E72)+1)*$J72))</f>
        <v/>
      </c>
      <c r="Z72" s="170">
        <f>IF(OR($B72="",Z$4&gt;$P72,EOMONTH(Z$4,0)&lt;$E72),0,MIN($H72,MAX(0,MIN(EOMONTH(Z$4,0),$P72)-MAX(Z$4,$E72)+1)*$J72))</f>
        <v/>
      </c>
      <c r="AA72" s="170">
        <f>IF(OR($B72="",AA$4&gt;$P72,EOMONTH(AA$4,0)&lt;$E72),0,MIN($H72,MAX(0,MIN(EOMONTH(AA$4,0),$P72)-MAX(AA$4,$E72)+1)*$J72))</f>
        <v/>
      </c>
      <c r="AB72" s="170">
        <f>IF(OR($B72="",AB$4&gt;$P72,EOMONTH(AB$4,0)&lt;$E72),0,MIN($H72,MAX(0,MIN(EOMONTH(AB$4,0),$P72)-MAX(AB$4,$E72)+1)*$J72))</f>
        <v/>
      </c>
      <c r="AC72" s="170">
        <f>IF(OR($B72="",AC$4&gt;$P72,EOMONTH(AC$4,0)&lt;$E72),0,MIN($H72,MAX(0,MIN(EOMONTH(AC$4,0),$P72)-MAX(AC$4,$E72)+1)*$J72))</f>
        <v/>
      </c>
      <c r="AD72" s="170">
        <f>IF(B72="","",ROUND(SUM(R72:AC72),0))</f>
        <v/>
      </c>
      <c r="AE72" s="170">
        <f>IF(B72="","",MIN(H72,ROUND(Q72+SUM(R72:AC72),0)))</f>
        <v/>
      </c>
      <c r="AF72" s="170">
        <f>IF(B72="","",MAX(H72-AE72,0))</f>
        <v/>
      </c>
      <c r="AG72" s="172">
        <f>IF(B72="","",IF('Thiết lập'!$B$4&lt;E72,"Chưa phân bổ",IF(P72&lt;='Thiết lập'!$B$4,"Đã phân bổ","Đang phân bổ")))</f>
        <v/>
      </c>
      <c r="AH72" s="166" t="n"/>
      <c r="AI72" s="174">
        <f>IF(B72="","",IF(AND(C72&lt;&gt;"",D72&lt;&gt;"",E72&lt;&gt;"",E72&gt;=D72,F72&gt;0,G72&gt;0,I72&gt;0,COUNTIF($B$7:$B$306,B72)=1),"OK",IF(C72="","Thiếu tên; ","")&amp;IF(D72="","Thiếu ngày tăng; ","")&amp;IF(E72="","Thiếu ngày bắt đầu; ","")&amp;IF(AND(D72&lt;&gt;"",E72&lt;&gt;"",E72&lt;D72),"Ngày bắt đầu &lt; ngày tăng; ","")&amp;IF(OR(F72="",F72&lt;=0),"Số lượng không hợp lệ; ","")&amp;IF(OR(G72="",G72&lt;=0),"Đơn giá không hợp lệ; ","")&amp;IF(OR(I72="",I72&lt;=0),"Số tháng không hợp lệ; ","")&amp;IF(COUNTIF($B$7:$B$306,B72)&gt;1,"Trùng mã CPTT; ","")))</f>
        <v/>
      </c>
    </row>
    <row r="73" ht="19.5" customHeight="1" s="98">
      <c r="A73" s="164">
        <f>IF(B73="","",ROW()-6)</f>
        <v/>
      </c>
      <c r="B73" s="165" t="n"/>
      <c r="C73" s="166" t="n"/>
      <c r="D73" s="167" t="n"/>
      <c r="E73" s="167" t="n"/>
      <c r="F73" s="168" t="n"/>
      <c r="G73" s="169" t="n"/>
      <c r="H73" s="170">
        <f>IF(OR(F73="",G73=""),"",F73*G73)</f>
        <v/>
      </c>
      <c r="I73" s="171" t="n"/>
      <c r="J73" s="170">
        <f>IF(OR(H73="",E73="",P73=""),"",H73/(P73-E73+1))</f>
        <v/>
      </c>
      <c r="K73" s="165" t="n"/>
      <c r="L73" s="172">
        <f>IF(B73="","",IF(AF73&lt;=0,"Đã phân bổ",IF(P73&lt;=EDATE('Thiết lập'!$B$4,12),"Ngắn hạn","Dài hạn")))</f>
        <v/>
      </c>
      <c r="M73" s="165" t="n"/>
      <c r="N73" s="165" t="n"/>
      <c r="O73" s="165" t="n"/>
      <c r="P73" s="173">
        <f>IF(OR(E73="",I73=""),"",EDATE(E73,I73)-1)</f>
        <v/>
      </c>
      <c r="Q73" s="170">
        <f>IF(OR(B73="",E73="",P73=""),0,MIN(H73,MAX(0,MIN(P73,DATE('Thiết lập'!$B$3-1,12,31))-E73+1)*J73))</f>
        <v/>
      </c>
      <c r="R73" s="170">
        <f>IF(OR($B73="",R$4&gt;$P73,EOMONTH(R$4,0)&lt;$E73),0,MIN($H73,MAX(0,MIN(EOMONTH(R$4,0),$P73)-MAX(R$4,$E73)+1)*$J73))</f>
        <v/>
      </c>
      <c r="S73" s="170">
        <f>IF(OR($B73="",S$4&gt;$P73,EOMONTH(S$4,0)&lt;$E73),0,MIN($H73,MAX(0,MIN(EOMONTH(S$4,0),$P73)-MAX(S$4,$E73)+1)*$J73))</f>
        <v/>
      </c>
      <c r="T73" s="170">
        <f>IF(OR($B73="",T$4&gt;$P73,EOMONTH(T$4,0)&lt;$E73),0,MIN($H73,MAX(0,MIN(EOMONTH(T$4,0),$P73)-MAX(T$4,$E73)+1)*$J73))</f>
        <v/>
      </c>
      <c r="U73" s="170">
        <f>IF(OR($B73="",U$4&gt;$P73,EOMONTH(U$4,0)&lt;$E73),0,MIN($H73,MAX(0,MIN(EOMONTH(U$4,0),$P73)-MAX(U$4,$E73)+1)*$J73))</f>
        <v/>
      </c>
      <c r="V73" s="170">
        <f>IF(OR($B73="",V$4&gt;$P73,EOMONTH(V$4,0)&lt;$E73),0,MIN($H73,MAX(0,MIN(EOMONTH(V$4,0),$P73)-MAX(V$4,$E73)+1)*$J73))</f>
        <v/>
      </c>
      <c r="W73" s="170">
        <f>IF(OR($B73="",W$4&gt;$P73,EOMONTH(W$4,0)&lt;$E73),0,MIN($H73,MAX(0,MIN(EOMONTH(W$4,0),$P73)-MAX(W$4,$E73)+1)*$J73))</f>
        <v/>
      </c>
      <c r="X73" s="170">
        <f>IF(OR($B73="",X$4&gt;$P73,EOMONTH(X$4,0)&lt;$E73),0,MIN($H73,MAX(0,MIN(EOMONTH(X$4,0),$P73)-MAX(X$4,$E73)+1)*$J73))</f>
        <v/>
      </c>
      <c r="Y73" s="170">
        <f>IF(OR($B73="",Y$4&gt;$P73,EOMONTH(Y$4,0)&lt;$E73),0,MIN($H73,MAX(0,MIN(EOMONTH(Y$4,0),$P73)-MAX(Y$4,$E73)+1)*$J73))</f>
        <v/>
      </c>
      <c r="Z73" s="170">
        <f>IF(OR($B73="",Z$4&gt;$P73,EOMONTH(Z$4,0)&lt;$E73),0,MIN($H73,MAX(0,MIN(EOMONTH(Z$4,0),$P73)-MAX(Z$4,$E73)+1)*$J73))</f>
        <v/>
      </c>
      <c r="AA73" s="170">
        <f>IF(OR($B73="",AA$4&gt;$P73,EOMONTH(AA$4,0)&lt;$E73),0,MIN($H73,MAX(0,MIN(EOMONTH(AA$4,0),$P73)-MAX(AA$4,$E73)+1)*$J73))</f>
        <v/>
      </c>
      <c r="AB73" s="170">
        <f>IF(OR($B73="",AB$4&gt;$P73,EOMONTH(AB$4,0)&lt;$E73),0,MIN($H73,MAX(0,MIN(EOMONTH(AB$4,0),$P73)-MAX(AB$4,$E73)+1)*$J73))</f>
        <v/>
      </c>
      <c r="AC73" s="170">
        <f>IF(OR($B73="",AC$4&gt;$P73,EOMONTH(AC$4,0)&lt;$E73),0,MIN($H73,MAX(0,MIN(EOMONTH(AC$4,0),$P73)-MAX(AC$4,$E73)+1)*$J73))</f>
        <v/>
      </c>
      <c r="AD73" s="170">
        <f>IF(B73="","",ROUND(SUM(R73:AC73),0))</f>
        <v/>
      </c>
      <c r="AE73" s="170">
        <f>IF(B73="","",MIN(H73,ROUND(Q73+SUM(R73:AC73),0)))</f>
        <v/>
      </c>
      <c r="AF73" s="170">
        <f>IF(B73="","",MAX(H73-AE73,0))</f>
        <v/>
      </c>
      <c r="AG73" s="172">
        <f>IF(B73="","",IF('Thiết lập'!$B$4&lt;E73,"Chưa phân bổ",IF(P73&lt;='Thiết lập'!$B$4,"Đã phân bổ","Đang phân bổ")))</f>
        <v/>
      </c>
      <c r="AH73" s="166" t="n"/>
      <c r="AI73" s="174">
        <f>IF(B73="","",IF(AND(C73&lt;&gt;"",D73&lt;&gt;"",E73&lt;&gt;"",E73&gt;=D73,F73&gt;0,G73&gt;0,I73&gt;0,COUNTIF($B$7:$B$306,B73)=1),"OK",IF(C73="","Thiếu tên; ","")&amp;IF(D73="","Thiếu ngày tăng; ","")&amp;IF(E73="","Thiếu ngày bắt đầu; ","")&amp;IF(AND(D73&lt;&gt;"",E73&lt;&gt;"",E73&lt;D73),"Ngày bắt đầu &lt; ngày tăng; ","")&amp;IF(OR(F73="",F73&lt;=0),"Số lượng không hợp lệ; ","")&amp;IF(OR(G73="",G73&lt;=0),"Đơn giá không hợp lệ; ","")&amp;IF(OR(I73="",I73&lt;=0),"Số tháng không hợp lệ; ","")&amp;IF(COUNTIF($B$7:$B$306,B73)&gt;1,"Trùng mã CPTT; ","")))</f>
        <v/>
      </c>
    </row>
    <row r="74" ht="19.5" customHeight="1" s="98">
      <c r="A74" s="164">
        <f>IF(B74="","",ROW()-6)</f>
        <v/>
      </c>
      <c r="B74" s="165" t="n"/>
      <c r="C74" s="166" t="n"/>
      <c r="D74" s="167" t="n"/>
      <c r="E74" s="167" t="n"/>
      <c r="F74" s="168" t="n"/>
      <c r="G74" s="169" t="n"/>
      <c r="H74" s="170">
        <f>IF(OR(F74="",G74=""),"",F74*G74)</f>
        <v/>
      </c>
      <c r="I74" s="171" t="n"/>
      <c r="J74" s="170">
        <f>IF(OR(H74="",E74="",P74=""),"",H74/(P74-E74+1))</f>
        <v/>
      </c>
      <c r="K74" s="165" t="n"/>
      <c r="L74" s="172">
        <f>IF(B74="","",IF(AF74&lt;=0,"Đã phân bổ",IF(P74&lt;=EDATE('Thiết lập'!$B$4,12),"Ngắn hạn","Dài hạn")))</f>
        <v/>
      </c>
      <c r="M74" s="165" t="n"/>
      <c r="N74" s="165" t="n"/>
      <c r="O74" s="165" t="n"/>
      <c r="P74" s="173">
        <f>IF(OR(E74="",I74=""),"",EDATE(E74,I74)-1)</f>
        <v/>
      </c>
      <c r="Q74" s="170">
        <f>IF(OR(B74="",E74="",P74=""),0,MIN(H74,MAX(0,MIN(P74,DATE('Thiết lập'!$B$3-1,12,31))-E74+1)*J74))</f>
        <v/>
      </c>
      <c r="R74" s="170">
        <f>IF(OR($B74="",R$4&gt;$P74,EOMONTH(R$4,0)&lt;$E74),0,MIN($H74,MAX(0,MIN(EOMONTH(R$4,0),$P74)-MAX(R$4,$E74)+1)*$J74))</f>
        <v/>
      </c>
      <c r="S74" s="170">
        <f>IF(OR($B74="",S$4&gt;$P74,EOMONTH(S$4,0)&lt;$E74),0,MIN($H74,MAX(0,MIN(EOMONTH(S$4,0),$P74)-MAX(S$4,$E74)+1)*$J74))</f>
        <v/>
      </c>
      <c r="T74" s="170">
        <f>IF(OR($B74="",T$4&gt;$P74,EOMONTH(T$4,0)&lt;$E74),0,MIN($H74,MAX(0,MIN(EOMONTH(T$4,0),$P74)-MAX(T$4,$E74)+1)*$J74))</f>
        <v/>
      </c>
      <c r="U74" s="170">
        <f>IF(OR($B74="",U$4&gt;$P74,EOMONTH(U$4,0)&lt;$E74),0,MIN($H74,MAX(0,MIN(EOMONTH(U$4,0),$P74)-MAX(U$4,$E74)+1)*$J74))</f>
        <v/>
      </c>
      <c r="V74" s="170">
        <f>IF(OR($B74="",V$4&gt;$P74,EOMONTH(V$4,0)&lt;$E74),0,MIN($H74,MAX(0,MIN(EOMONTH(V$4,0),$P74)-MAX(V$4,$E74)+1)*$J74))</f>
        <v/>
      </c>
      <c r="W74" s="170">
        <f>IF(OR($B74="",W$4&gt;$P74,EOMONTH(W$4,0)&lt;$E74),0,MIN($H74,MAX(0,MIN(EOMONTH(W$4,0),$P74)-MAX(W$4,$E74)+1)*$J74))</f>
        <v/>
      </c>
      <c r="X74" s="170">
        <f>IF(OR($B74="",X$4&gt;$P74,EOMONTH(X$4,0)&lt;$E74),0,MIN($H74,MAX(0,MIN(EOMONTH(X$4,0),$P74)-MAX(X$4,$E74)+1)*$J74))</f>
        <v/>
      </c>
      <c r="Y74" s="170">
        <f>IF(OR($B74="",Y$4&gt;$P74,EOMONTH(Y$4,0)&lt;$E74),0,MIN($H74,MAX(0,MIN(EOMONTH(Y$4,0),$P74)-MAX(Y$4,$E74)+1)*$J74))</f>
        <v/>
      </c>
      <c r="Z74" s="170">
        <f>IF(OR($B74="",Z$4&gt;$P74,EOMONTH(Z$4,0)&lt;$E74),0,MIN($H74,MAX(0,MIN(EOMONTH(Z$4,0),$P74)-MAX(Z$4,$E74)+1)*$J74))</f>
        <v/>
      </c>
      <c r="AA74" s="170">
        <f>IF(OR($B74="",AA$4&gt;$P74,EOMONTH(AA$4,0)&lt;$E74),0,MIN($H74,MAX(0,MIN(EOMONTH(AA$4,0),$P74)-MAX(AA$4,$E74)+1)*$J74))</f>
        <v/>
      </c>
      <c r="AB74" s="170">
        <f>IF(OR($B74="",AB$4&gt;$P74,EOMONTH(AB$4,0)&lt;$E74),0,MIN($H74,MAX(0,MIN(EOMONTH(AB$4,0),$P74)-MAX(AB$4,$E74)+1)*$J74))</f>
        <v/>
      </c>
      <c r="AC74" s="170">
        <f>IF(OR($B74="",AC$4&gt;$P74,EOMONTH(AC$4,0)&lt;$E74),0,MIN($H74,MAX(0,MIN(EOMONTH(AC$4,0),$P74)-MAX(AC$4,$E74)+1)*$J74))</f>
        <v/>
      </c>
      <c r="AD74" s="170">
        <f>IF(B74="","",ROUND(SUM(R74:AC74),0))</f>
        <v/>
      </c>
      <c r="AE74" s="170">
        <f>IF(B74="","",MIN(H74,ROUND(Q74+SUM(R74:AC74),0)))</f>
        <v/>
      </c>
      <c r="AF74" s="170">
        <f>IF(B74="","",MAX(H74-AE74,0))</f>
        <v/>
      </c>
      <c r="AG74" s="172">
        <f>IF(B74="","",IF('Thiết lập'!$B$4&lt;E74,"Chưa phân bổ",IF(P74&lt;='Thiết lập'!$B$4,"Đã phân bổ","Đang phân bổ")))</f>
        <v/>
      </c>
      <c r="AH74" s="166" t="n"/>
      <c r="AI74" s="174">
        <f>IF(B74="","",IF(AND(C74&lt;&gt;"",D74&lt;&gt;"",E74&lt;&gt;"",E74&gt;=D74,F74&gt;0,G74&gt;0,I74&gt;0,COUNTIF($B$7:$B$306,B74)=1),"OK",IF(C74="","Thiếu tên; ","")&amp;IF(D74="","Thiếu ngày tăng; ","")&amp;IF(E74="","Thiếu ngày bắt đầu; ","")&amp;IF(AND(D74&lt;&gt;"",E74&lt;&gt;"",E74&lt;D74),"Ngày bắt đầu &lt; ngày tăng; ","")&amp;IF(OR(F74="",F74&lt;=0),"Số lượng không hợp lệ; ","")&amp;IF(OR(G74="",G74&lt;=0),"Đơn giá không hợp lệ; ","")&amp;IF(OR(I74="",I74&lt;=0),"Số tháng không hợp lệ; ","")&amp;IF(COUNTIF($B$7:$B$306,B74)&gt;1,"Trùng mã CPTT; ","")))</f>
        <v/>
      </c>
    </row>
    <row r="75" ht="19.5" customHeight="1" s="98">
      <c r="A75" s="164">
        <f>IF(B75="","",ROW()-6)</f>
        <v/>
      </c>
      <c r="B75" s="165" t="n"/>
      <c r="C75" s="166" t="n"/>
      <c r="D75" s="167" t="n"/>
      <c r="E75" s="167" t="n"/>
      <c r="F75" s="168" t="n"/>
      <c r="G75" s="169" t="n"/>
      <c r="H75" s="170">
        <f>IF(OR(F75="",G75=""),"",F75*G75)</f>
        <v/>
      </c>
      <c r="I75" s="171" t="n"/>
      <c r="J75" s="170">
        <f>IF(OR(H75="",E75="",P75=""),"",H75/(P75-E75+1))</f>
        <v/>
      </c>
      <c r="K75" s="165" t="n"/>
      <c r="L75" s="172">
        <f>IF(B75="","",IF(AF75&lt;=0,"Đã phân bổ",IF(P75&lt;=EDATE('Thiết lập'!$B$4,12),"Ngắn hạn","Dài hạn")))</f>
        <v/>
      </c>
      <c r="M75" s="165" t="n"/>
      <c r="N75" s="165" t="n"/>
      <c r="O75" s="165" t="n"/>
      <c r="P75" s="173">
        <f>IF(OR(E75="",I75=""),"",EDATE(E75,I75)-1)</f>
        <v/>
      </c>
      <c r="Q75" s="170">
        <f>IF(OR(B75="",E75="",P75=""),0,MIN(H75,MAX(0,MIN(P75,DATE('Thiết lập'!$B$3-1,12,31))-E75+1)*J75))</f>
        <v/>
      </c>
      <c r="R75" s="170">
        <f>IF(OR($B75="",R$4&gt;$P75,EOMONTH(R$4,0)&lt;$E75),0,MIN($H75,MAX(0,MIN(EOMONTH(R$4,0),$P75)-MAX(R$4,$E75)+1)*$J75))</f>
        <v/>
      </c>
      <c r="S75" s="170">
        <f>IF(OR($B75="",S$4&gt;$P75,EOMONTH(S$4,0)&lt;$E75),0,MIN($H75,MAX(0,MIN(EOMONTH(S$4,0),$P75)-MAX(S$4,$E75)+1)*$J75))</f>
        <v/>
      </c>
      <c r="T75" s="170">
        <f>IF(OR($B75="",T$4&gt;$P75,EOMONTH(T$4,0)&lt;$E75),0,MIN($H75,MAX(0,MIN(EOMONTH(T$4,0),$P75)-MAX(T$4,$E75)+1)*$J75))</f>
        <v/>
      </c>
      <c r="U75" s="170">
        <f>IF(OR($B75="",U$4&gt;$P75,EOMONTH(U$4,0)&lt;$E75),0,MIN($H75,MAX(0,MIN(EOMONTH(U$4,0),$P75)-MAX(U$4,$E75)+1)*$J75))</f>
        <v/>
      </c>
      <c r="V75" s="170">
        <f>IF(OR($B75="",V$4&gt;$P75,EOMONTH(V$4,0)&lt;$E75),0,MIN($H75,MAX(0,MIN(EOMONTH(V$4,0),$P75)-MAX(V$4,$E75)+1)*$J75))</f>
        <v/>
      </c>
      <c r="W75" s="170">
        <f>IF(OR($B75="",W$4&gt;$P75,EOMONTH(W$4,0)&lt;$E75),0,MIN($H75,MAX(0,MIN(EOMONTH(W$4,0),$P75)-MAX(W$4,$E75)+1)*$J75))</f>
        <v/>
      </c>
      <c r="X75" s="170">
        <f>IF(OR($B75="",X$4&gt;$P75,EOMONTH(X$4,0)&lt;$E75),0,MIN($H75,MAX(0,MIN(EOMONTH(X$4,0),$P75)-MAX(X$4,$E75)+1)*$J75))</f>
        <v/>
      </c>
      <c r="Y75" s="170">
        <f>IF(OR($B75="",Y$4&gt;$P75,EOMONTH(Y$4,0)&lt;$E75),0,MIN($H75,MAX(0,MIN(EOMONTH(Y$4,0),$P75)-MAX(Y$4,$E75)+1)*$J75))</f>
        <v/>
      </c>
      <c r="Z75" s="170">
        <f>IF(OR($B75="",Z$4&gt;$P75,EOMONTH(Z$4,0)&lt;$E75),0,MIN($H75,MAX(0,MIN(EOMONTH(Z$4,0),$P75)-MAX(Z$4,$E75)+1)*$J75))</f>
        <v/>
      </c>
      <c r="AA75" s="170">
        <f>IF(OR($B75="",AA$4&gt;$P75,EOMONTH(AA$4,0)&lt;$E75),0,MIN($H75,MAX(0,MIN(EOMONTH(AA$4,0),$P75)-MAX(AA$4,$E75)+1)*$J75))</f>
        <v/>
      </c>
      <c r="AB75" s="170">
        <f>IF(OR($B75="",AB$4&gt;$P75,EOMONTH(AB$4,0)&lt;$E75),0,MIN($H75,MAX(0,MIN(EOMONTH(AB$4,0),$P75)-MAX(AB$4,$E75)+1)*$J75))</f>
        <v/>
      </c>
      <c r="AC75" s="170">
        <f>IF(OR($B75="",AC$4&gt;$P75,EOMONTH(AC$4,0)&lt;$E75),0,MIN($H75,MAX(0,MIN(EOMONTH(AC$4,0),$P75)-MAX(AC$4,$E75)+1)*$J75))</f>
        <v/>
      </c>
      <c r="AD75" s="170">
        <f>IF(B75="","",ROUND(SUM(R75:AC75),0))</f>
        <v/>
      </c>
      <c r="AE75" s="170">
        <f>IF(B75="","",MIN(H75,ROUND(Q75+SUM(R75:AC75),0)))</f>
        <v/>
      </c>
      <c r="AF75" s="170">
        <f>IF(B75="","",MAX(H75-AE75,0))</f>
        <v/>
      </c>
      <c r="AG75" s="172">
        <f>IF(B75="","",IF('Thiết lập'!$B$4&lt;E75,"Chưa phân bổ",IF(P75&lt;='Thiết lập'!$B$4,"Đã phân bổ","Đang phân bổ")))</f>
        <v/>
      </c>
      <c r="AH75" s="166" t="n"/>
      <c r="AI75" s="174">
        <f>IF(B75="","",IF(AND(C75&lt;&gt;"",D75&lt;&gt;"",E75&lt;&gt;"",E75&gt;=D75,F75&gt;0,G75&gt;0,I75&gt;0,COUNTIF($B$7:$B$306,B75)=1),"OK",IF(C75="","Thiếu tên; ","")&amp;IF(D75="","Thiếu ngày tăng; ","")&amp;IF(E75="","Thiếu ngày bắt đầu; ","")&amp;IF(AND(D75&lt;&gt;"",E75&lt;&gt;"",E75&lt;D75),"Ngày bắt đầu &lt; ngày tăng; ","")&amp;IF(OR(F75="",F75&lt;=0),"Số lượng không hợp lệ; ","")&amp;IF(OR(G75="",G75&lt;=0),"Đơn giá không hợp lệ; ","")&amp;IF(OR(I75="",I75&lt;=0),"Số tháng không hợp lệ; ","")&amp;IF(COUNTIF($B$7:$B$306,B75)&gt;1,"Trùng mã CPTT; ","")))</f>
        <v/>
      </c>
    </row>
    <row r="76" ht="19.5" customHeight="1" s="98">
      <c r="A76" s="164">
        <f>IF(B76="","",ROW()-6)</f>
        <v/>
      </c>
      <c r="B76" s="165" t="n"/>
      <c r="C76" s="166" t="n"/>
      <c r="D76" s="167" t="n"/>
      <c r="E76" s="167" t="n"/>
      <c r="F76" s="168" t="n"/>
      <c r="G76" s="169" t="n"/>
      <c r="H76" s="170">
        <f>IF(OR(F76="",G76=""),"",F76*G76)</f>
        <v/>
      </c>
      <c r="I76" s="171" t="n"/>
      <c r="J76" s="170">
        <f>IF(OR(H76="",E76="",P76=""),"",H76/(P76-E76+1))</f>
        <v/>
      </c>
      <c r="K76" s="165" t="n"/>
      <c r="L76" s="172">
        <f>IF(B76="","",IF(AF76&lt;=0,"Đã phân bổ",IF(P76&lt;=EDATE('Thiết lập'!$B$4,12),"Ngắn hạn","Dài hạn")))</f>
        <v/>
      </c>
      <c r="M76" s="165" t="n"/>
      <c r="N76" s="165" t="n"/>
      <c r="O76" s="165" t="n"/>
      <c r="P76" s="173">
        <f>IF(OR(E76="",I76=""),"",EDATE(E76,I76)-1)</f>
        <v/>
      </c>
      <c r="Q76" s="170">
        <f>IF(OR(B76="",E76="",P76=""),0,MIN(H76,MAX(0,MIN(P76,DATE('Thiết lập'!$B$3-1,12,31))-E76+1)*J76))</f>
        <v/>
      </c>
      <c r="R76" s="170">
        <f>IF(OR($B76="",R$4&gt;$P76,EOMONTH(R$4,0)&lt;$E76),0,MIN($H76,MAX(0,MIN(EOMONTH(R$4,0),$P76)-MAX(R$4,$E76)+1)*$J76))</f>
        <v/>
      </c>
      <c r="S76" s="170">
        <f>IF(OR($B76="",S$4&gt;$P76,EOMONTH(S$4,0)&lt;$E76),0,MIN($H76,MAX(0,MIN(EOMONTH(S$4,0),$P76)-MAX(S$4,$E76)+1)*$J76))</f>
        <v/>
      </c>
      <c r="T76" s="170">
        <f>IF(OR($B76="",T$4&gt;$P76,EOMONTH(T$4,0)&lt;$E76),0,MIN($H76,MAX(0,MIN(EOMONTH(T$4,0),$P76)-MAX(T$4,$E76)+1)*$J76))</f>
        <v/>
      </c>
      <c r="U76" s="170">
        <f>IF(OR($B76="",U$4&gt;$P76,EOMONTH(U$4,0)&lt;$E76),0,MIN($H76,MAX(0,MIN(EOMONTH(U$4,0),$P76)-MAX(U$4,$E76)+1)*$J76))</f>
        <v/>
      </c>
      <c r="V76" s="170">
        <f>IF(OR($B76="",V$4&gt;$P76,EOMONTH(V$4,0)&lt;$E76),0,MIN($H76,MAX(0,MIN(EOMONTH(V$4,0),$P76)-MAX(V$4,$E76)+1)*$J76))</f>
        <v/>
      </c>
      <c r="W76" s="170">
        <f>IF(OR($B76="",W$4&gt;$P76,EOMONTH(W$4,0)&lt;$E76),0,MIN($H76,MAX(0,MIN(EOMONTH(W$4,0),$P76)-MAX(W$4,$E76)+1)*$J76))</f>
        <v/>
      </c>
      <c r="X76" s="170">
        <f>IF(OR($B76="",X$4&gt;$P76,EOMONTH(X$4,0)&lt;$E76),0,MIN($H76,MAX(0,MIN(EOMONTH(X$4,0),$P76)-MAX(X$4,$E76)+1)*$J76))</f>
        <v/>
      </c>
      <c r="Y76" s="170">
        <f>IF(OR($B76="",Y$4&gt;$P76,EOMONTH(Y$4,0)&lt;$E76),0,MIN($H76,MAX(0,MIN(EOMONTH(Y$4,0),$P76)-MAX(Y$4,$E76)+1)*$J76))</f>
        <v/>
      </c>
      <c r="Z76" s="170">
        <f>IF(OR($B76="",Z$4&gt;$P76,EOMONTH(Z$4,0)&lt;$E76),0,MIN($H76,MAX(0,MIN(EOMONTH(Z$4,0),$P76)-MAX(Z$4,$E76)+1)*$J76))</f>
        <v/>
      </c>
      <c r="AA76" s="170">
        <f>IF(OR($B76="",AA$4&gt;$P76,EOMONTH(AA$4,0)&lt;$E76),0,MIN($H76,MAX(0,MIN(EOMONTH(AA$4,0),$P76)-MAX(AA$4,$E76)+1)*$J76))</f>
        <v/>
      </c>
      <c r="AB76" s="170">
        <f>IF(OR($B76="",AB$4&gt;$P76,EOMONTH(AB$4,0)&lt;$E76),0,MIN($H76,MAX(0,MIN(EOMONTH(AB$4,0),$P76)-MAX(AB$4,$E76)+1)*$J76))</f>
        <v/>
      </c>
      <c r="AC76" s="170">
        <f>IF(OR($B76="",AC$4&gt;$P76,EOMONTH(AC$4,0)&lt;$E76),0,MIN($H76,MAX(0,MIN(EOMONTH(AC$4,0),$P76)-MAX(AC$4,$E76)+1)*$J76))</f>
        <v/>
      </c>
      <c r="AD76" s="170">
        <f>IF(B76="","",ROUND(SUM(R76:AC76),0))</f>
        <v/>
      </c>
      <c r="AE76" s="170">
        <f>IF(B76="","",MIN(H76,ROUND(Q76+SUM(R76:AC76),0)))</f>
        <v/>
      </c>
      <c r="AF76" s="170">
        <f>IF(B76="","",MAX(H76-AE76,0))</f>
        <v/>
      </c>
      <c r="AG76" s="172">
        <f>IF(B76="","",IF('Thiết lập'!$B$4&lt;E76,"Chưa phân bổ",IF(P76&lt;='Thiết lập'!$B$4,"Đã phân bổ","Đang phân bổ")))</f>
        <v/>
      </c>
      <c r="AH76" s="166" t="n"/>
      <c r="AI76" s="174">
        <f>IF(B76="","",IF(AND(C76&lt;&gt;"",D76&lt;&gt;"",E76&lt;&gt;"",E76&gt;=D76,F76&gt;0,G76&gt;0,I76&gt;0,COUNTIF($B$7:$B$306,B76)=1),"OK",IF(C76="","Thiếu tên; ","")&amp;IF(D76="","Thiếu ngày tăng; ","")&amp;IF(E76="","Thiếu ngày bắt đầu; ","")&amp;IF(AND(D76&lt;&gt;"",E76&lt;&gt;"",E76&lt;D76),"Ngày bắt đầu &lt; ngày tăng; ","")&amp;IF(OR(F76="",F76&lt;=0),"Số lượng không hợp lệ; ","")&amp;IF(OR(G76="",G76&lt;=0),"Đơn giá không hợp lệ; ","")&amp;IF(OR(I76="",I76&lt;=0),"Số tháng không hợp lệ; ","")&amp;IF(COUNTIF($B$7:$B$306,B76)&gt;1,"Trùng mã CPTT; ","")))</f>
        <v/>
      </c>
    </row>
    <row r="77" ht="19.5" customHeight="1" s="98">
      <c r="A77" s="164">
        <f>IF(B77="","",ROW()-6)</f>
        <v/>
      </c>
      <c r="B77" s="165" t="n"/>
      <c r="C77" s="166" t="n"/>
      <c r="D77" s="167" t="n"/>
      <c r="E77" s="167" t="n"/>
      <c r="F77" s="168" t="n"/>
      <c r="G77" s="169" t="n"/>
      <c r="H77" s="170">
        <f>IF(OR(F77="",G77=""),"",F77*G77)</f>
        <v/>
      </c>
      <c r="I77" s="171" t="n"/>
      <c r="J77" s="170">
        <f>IF(OR(H77="",E77="",P77=""),"",H77/(P77-E77+1))</f>
        <v/>
      </c>
      <c r="K77" s="165" t="n"/>
      <c r="L77" s="172">
        <f>IF(B77="","",IF(AF77&lt;=0,"Đã phân bổ",IF(P77&lt;=EDATE('Thiết lập'!$B$4,12),"Ngắn hạn","Dài hạn")))</f>
        <v/>
      </c>
      <c r="M77" s="165" t="n"/>
      <c r="N77" s="165" t="n"/>
      <c r="O77" s="165" t="n"/>
      <c r="P77" s="173">
        <f>IF(OR(E77="",I77=""),"",EDATE(E77,I77)-1)</f>
        <v/>
      </c>
      <c r="Q77" s="170">
        <f>IF(OR(B77="",E77="",P77=""),0,MIN(H77,MAX(0,MIN(P77,DATE('Thiết lập'!$B$3-1,12,31))-E77+1)*J77))</f>
        <v/>
      </c>
      <c r="R77" s="170">
        <f>IF(OR($B77="",R$4&gt;$P77,EOMONTH(R$4,0)&lt;$E77),0,MIN($H77,MAX(0,MIN(EOMONTH(R$4,0),$P77)-MAX(R$4,$E77)+1)*$J77))</f>
        <v/>
      </c>
      <c r="S77" s="170">
        <f>IF(OR($B77="",S$4&gt;$P77,EOMONTH(S$4,0)&lt;$E77),0,MIN($H77,MAX(0,MIN(EOMONTH(S$4,0),$P77)-MAX(S$4,$E77)+1)*$J77))</f>
        <v/>
      </c>
      <c r="T77" s="170">
        <f>IF(OR($B77="",T$4&gt;$P77,EOMONTH(T$4,0)&lt;$E77),0,MIN($H77,MAX(0,MIN(EOMONTH(T$4,0),$P77)-MAX(T$4,$E77)+1)*$J77))</f>
        <v/>
      </c>
      <c r="U77" s="170">
        <f>IF(OR($B77="",U$4&gt;$P77,EOMONTH(U$4,0)&lt;$E77),0,MIN($H77,MAX(0,MIN(EOMONTH(U$4,0),$P77)-MAX(U$4,$E77)+1)*$J77))</f>
        <v/>
      </c>
      <c r="V77" s="170">
        <f>IF(OR($B77="",V$4&gt;$P77,EOMONTH(V$4,0)&lt;$E77),0,MIN($H77,MAX(0,MIN(EOMONTH(V$4,0),$P77)-MAX(V$4,$E77)+1)*$J77))</f>
        <v/>
      </c>
      <c r="W77" s="170">
        <f>IF(OR($B77="",W$4&gt;$P77,EOMONTH(W$4,0)&lt;$E77),0,MIN($H77,MAX(0,MIN(EOMONTH(W$4,0),$P77)-MAX(W$4,$E77)+1)*$J77))</f>
        <v/>
      </c>
      <c r="X77" s="170">
        <f>IF(OR($B77="",X$4&gt;$P77,EOMONTH(X$4,0)&lt;$E77),0,MIN($H77,MAX(0,MIN(EOMONTH(X$4,0),$P77)-MAX(X$4,$E77)+1)*$J77))</f>
        <v/>
      </c>
      <c r="Y77" s="170">
        <f>IF(OR($B77="",Y$4&gt;$P77,EOMONTH(Y$4,0)&lt;$E77),0,MIN($H77,MAX(0,MIN(EOMONTH(Y$4,0),$P77)-MAX(Y$4,$E77)+1)*$J77))</f>
        <v/>
      </c>
      <c r="Z77" s="170">
        <f>IF(OR($B77="",Z$4&gt;$P77,EOMONTH(Z$4,0)&lt;$E77),0,MIN($H77,MAX(0,MIN(EOMONTH(Z$4,0),$P77)-MAX(Z$4,$E77)+1)*$J77))</f>
        <v/>
      </c>
      <c r="AA77" s="170">
        <f>IF(OR($B77="",AA$4&gt;$P77,EOMONTH(AA$4,0)&lt;$E77),0,MIN($H77,MAX(0,MIN(EOMONTH(AA$4,0),$P77)-MAX(AA$4,$E77)+1)*$J77))</f>
        <v/>
      </c>
      <c r="AB77" s="170">
        <f>IF(OR($B77="",AB$4&gt;$P77,EOMONTH(AB$4,0)&lt;$E77),0,MIN($H77,MAX(0,MIN(EOMONTH(AB$4,0),$P77)-MAX(AB$4,$E77)+1)*$J77))</f>
        <v/>
      </c>
      <c r="AC77" s="170">
        <f>IF(OR($B77="",AC$4&gt;$P77,EOMONTH(AC$4,0)&lt;$E77),0,MIN($H77,MAX(0,MIN(EOMONTH(AC$4,0),$P77)-MAX(AC$4,$E77)+1)*$J77))</f>
        <v/>
      </c>
      <c r="AD77" s="170">
        <f>IF(B77="","",ROUND(SUM(R77:AC77),0))</f>
        <v/>
      </c>
      <c r="AE77" s="170">
        <f>IF(B77="","",MIN(H77,ROUND(Q77+SUM(R77:AC77),0)))</f>
        <v/>
      </c>
      <c r="AF77" s="170">
        <f>IF(B77="","",MAX(H77-AE77,0))</f>
        <v/>
      </c>
      <c r="AG77" s="172">
        <f>IF(B77="","",IF('Thiết lập'!$B$4&lt;E77,"Chưa phân bổ",IF(P77&lt;='Thiết lập'!$B$4,"Đã phân bổ","Đang phân bổ")))</f>
        <v/>
      </c>
      <c r="AH77" s="166" t="n"/>
      <c r="AI77" s="174">
        <f>IF(B77="","",IF(AND(C77&lt;&gt;"",D77&lt;&gt;"",E77&lt;&gt;"",E77&gt;=D77,F77&gt;0,G77&gt;0,I77&gt;0,COUNTIF($B$7:$B$306,B77)=1),"OK",IF(C77="","Thiếu tên; ","")&amp;IF(D77="","Thiếu ngày tăng; ","")&amp;IF(E77="","Thiếu ngày bắt đầu; ","")&amp;IF(AND(D77&lt;&gt;"",E77&lt;&gt;"",E77&lt;D77),"Ngày bắt đầu &lt; ngày tăng; ","")&amp;IF(OR(F77="",F77&lt;=0),"Số lượng không hợp lệ; ","")&amp;IF(OR(G77="",G77&lt;=0),"Đơn giá không hợp lệ; ","")&amp;IF(OR(I77="",I77&lt;=0),"Số tháng không hợp lệ; ","")&amp;IF(COUNTIF($B$7:$B$306,B77)&gt;1,"Trùng mã CPTT; ","")))</f>
        <v/>
      </c>
    </row>
    <row r="78" ht="19.5" customHeight="1" s="98">
      <c r="A78" s="164">
        <f>IF(B78="","",ROW()-6)</f>
        <v/>
      </c>
      <c r="B78" s="165" t="n"/>
      <c r="C78" s="166" t="n"/>
      <c r="D78" s="167" t="n"/>
      <c r="E78" s="167" t="n"/>
      <c r="F78" s="168" t="n"/>
      <c r="G78" s="169" t="n"/>
      <c r="H78" s="170">
        <f>IF(OR(F78="",G78=""),"",F78*G78)</f>
        <v/>
      </c>
      <c r="I78" s="171" t="n"/>
      <c r="J78" s="170">
        <f>IF(OR(H78="",E78="",P78=""),"",H78/(P78-E78+1))</f>
        <v/>
      </c>
      <c r="K78" s="165" t="n"/>
      <c r="L78" s="172">
        <f>IF(B78="","",IF(AF78&lt;=0,"Đã phân bổ",IF(P78&lt;=EDATE('Thiết lập'!$B$4,12),"Ngắn hạn","Dài hạn")))</f>
        <v/>
      </c>
      <c r="M78" s="165" t="n"/>
      <c r="N78" s="165" t="n"/>
      <c r="O78" s="165" t="n"/>
      <c r="P78" s="173">
        <f>IF(OR(E78="",I78=""),"",EDATE(E78,I78)-1)</f>
        <v/>
      </c>
      <c r="Q78" s="170">
        <f>IF(OR(B78="",E78="",P78=""),0,MIN(H78,MAX(0,MIN(P78,DATE('Thiết lập'!$B$3-1,12,31))-E78+1)*J78))</f>
        <v/>
      </c>
      <c r="R78" s="170">
        <f>IF(OR($B78="",R$4&gt;$P78,EOMONTH(R$4,0)&lt;$E78),0,MIN($H78,MAX(0,MIN(EOMONTH(R$4,0),$P78)-MAX(R$4,$E78)+1)*$J78))</f>
        <v/>
      </c>
      <c r="S78" s="170">
        <f>IF(OR($B78="",S$4&gt;$P78,EOMONTH(S$4,0)&lt;$E78),0,MIN($H78,MAX(0,MIN(EOMONTH(S$4,0),$P78)-MAX(S$4,$E78)+1)*$J78))</f>
        <v/>
      </c>
      <c r="T78" s="170">
        <f>IF(OR($B78="",T$4&gt;$P78,EOMONTH(T$4,0)&lt;$E78),0,MIN($H78,MAX(0,MIN(EOMONTH(T$4,0),$P78)-MAX(T$4,$E78)+1)*$J78))</f>
        <v/>
      </c>
      <c r="U78" s="170">
        <f>IF(OR($B78="",U$4&gt;$P78,EOMONTH(U$4,0)&lt;$E78),0,MIN($H78,MAX(0,MIN(EOMONTH(U$4,0),$P78)-MAX(U$4,$E78)+1)*$J78))</f>
        <v/>
      </c>
      <c r="V78" s="170">
        <f>IF(OR($B78="",V$4&gt;$P78,EOMONTH(V$4,0)&lt;$E78),0,MIN($H78,MAX(0,MIN(EOMONTH(V$4,0),$P78)-MAX(V$4,$E78)+1)*$J78))</f>
        <v/>
      </c>
      <c r="W78" s="170">
        <f>IF(OR($B78="",W$4&gt;$P78,EOMONTH(W$4,0)&lt;$E78),0,MIN($H78,MAX(0,MIN(EOMONTH(W$4,0),$P78)-MAX(W$4,$E78)+1)*$J78))</f>
        <v/>
      </c>
      <c r="X78" s="170">
        <f>IF(OR($B78="",X$4&gt;$P78,EOMONTH(X$4,0)&lt;$E78),0,MIN($H78,MAX(0,MIN(EOMONTH(X$4,0),$P78)-MAX(X$4,$E78)+1)*$J78))</f>
        <v/>
      </c>
      <c r="Y78" s="170">
        <f>IF(OR($B78="",Y$4&gt;$P78,EOMONTH(Y$4,0)&lt;$E78),0,MIN($H78,MAX(0,MIN(EOMONTH(Y$4,0),$P78)-MAX(Y$4,$E78)+1)*$J78))</f>
        <v/>
      </c>
      <c r="Z78" s="170">
        <f>IF(OR($B78="",Z$4&gt;$P78,EOMONTH(Z$4,0)&lt;$E78),0,MIN($H78,MAX(0,MIN(EOMONTH(Z$4,0),$P78)-MAX(Z$4,$E78)+1)*$J78))</f>
        <v/>
      </c>
      <c r="AA78" s="170">
        <f>IF(OR($B78="",AA$4&gt;$P78,EOMONTH(AA$4,0)&lt;$E78),0,MIN($H78,MAX(0,MIN(EOMONTH(AA$4,0),$P78)-MAX(AA$4,$E78)+1)*$J78))</f>
        <v/>
      </c>
      <c r="AB78" s="170">
        <f>IF(OR($B78="",AB$4&gt;$P78,EOMONTH(AB$4,0)&lt;$E78),0,MIN($H78,MAX(0,MIN(EOMONTH(AB$4,0),$P78)-MAX(AB$4,$E78)+1)*$J78))</f>
        <v/>
      </c>
      <c r="AC78" s="170">
        <f>IF(OR($B78="",AC$4&gt;$P78,EOMONTH(AC$4,0)&lt;$E78),0,MIN($H78,MAX(0,MIN(EOMONTH(AC$4,0),$P78)-MAX(AC$4,$E78)+1)*$J78))</f>
        <v/>
      </c>
      <c r="AD78" s="170">
        <f>IF(B78="","",ROUND(SUM(R78:AC78),0))</f>
        <v/>
      </c>
      <c r="AE78" s="170">
        <f>IF(B78="","",MIN(H78,ROUND(Q78+SUM(R78:AC78),0)))</f>
        <v/>
      </c>
      <c r="AF78" s="170">
        <f>IF(B78="","",MAX(H78-AE78,0))</f>
        <v/>
      </c>
      <c r="AG78" s="172">
        <f>IF(B78="","",IF('Thiết lập'!$B$4&lt;E78,"Chưa phân bổ",IF(P78&lt;='Thiết lập'!$B$4,"Đã phân bổ","Đang phân bổ")))</f>
        <v/>
      </c>
      <c r="AH78" s="166" t="n"/>
      <c r="AI78" s="174">
        <f>IF(B78="","",IF(AND(C78&lt;&gt;"",D78&lt;&gt;"",E78&lt;&gt;"",E78&gt;=D78,F78&gt;0,G78&gt;0,I78&gt;0,COUNTIF($B$7:$B$306,B78)=1),"OK",IF(C78="","Thiếu tên; ","")&amp;IF(D78="","Thiếu ngày tăng; ","")&amp;IF(E78="","Thiếu ngày bắt đầu; ","")&amp;IF(AND(D78&lt;&gt;"",E78&lt;&gt;"",E78&lt;D78),"Ngày bắt đầu &lt; ngày tăng; ","")&amp;IF(OR(F78="",F78&lt;=0),"Số lượng không hợp lệ; ","")&amp;IF(OR(G78="",G78&lt;=0),"Đơn giá không hợp lệ; ","")&amp;IF(OR(I78="",I78&lt;=0),"Số tháng không hợp lệ; ","")&amp;IF(COUNTIF($B$7:$B$306,B78)&gt;1,"Trùng mã CPTT; ","")))</f>
        <v/>
      </c>
    </row>
    <row r="79" ht="19.5" customHeight="1" s="98">
      <c r="A79" s="164">
        <f>IF(B79="","",ROW()-6)</f>
        <v/>
      </c>
      <c r="B79" s="165" t="n"/>
      <c r="C79" s="166" t="n"/>
      <c r="D79" s="167" t="n"/>
      <c r="E79" s="167" t="n"/>
      <c r="F79" s="168" t="n"/>
      <c r="G79" s="169" t="n"/>
      <c r="H79" s="170">
        <f>IF(OR(F79="",G79=""),"",F79*G79)</f>
        <v/>
      </c>
      <c r="I79" s="171" t="n"/>
      <c r="J79" s="170">
        <f>IF(OR(H79="",E79="",P79=""),"",H79/(P79-E79+1))</f>
        <v/>
      </c>
      <c r="K79" s="165" t="n"/>
      <c r="L79" s="172">
        <f>IF(B79="","",IF(AF79&lt;=0,"Đã phân bổ",IF(P79&lt;=EDATE('Thiết lập'!$B$4,12),"Ngắn hạn","Dài hạn")))</f>
        <v/>
      </c>
      <c r="M79" s="165" t="n"/>
      <c r="N79" s="165" t="n"/>
      <c r="O79" s="165" t="n"/>
      <c r="P79" s="173">
        <f>IF(OR(E79="",I79=""),"",EDATE(E79,I79)-1)</f>
        <v/>
      </c>
      <c r="Q79" s="170">
        <f>IF(OR(B79="",E79="",P79=""),0,MIN(H79,MAX(0,MIN(P79,DATE('Thiết lập'!$B$3-1,12,31))-E79+1)*J79))</f>
        <v/>
      </c>
      <c r="R79" s="170">
        <f>IF(OR($B79="",R$4&gt;$P79,EOMONTH(R$4,0)&lt;$E79),0,MIN($H79,MAX(0,MIN(EOMONTH(R$4,0),$P79)-MAX(R$4,$E79)+1)*$J79))</f>
        <v/>
      </c>
      <c r="S79" s="170">
        <f>IF(OR($B79="",S$4&gt;$P79,EOMONTH(S$4,0)&lt;$E79),0,MIN($H79,MAX(0,MIN(EOMONTH(S$4,0),$P79)-MAX(S$4,$E79)+1)*$J79))</f>
        <v/>
      </c>
      <c r="T79" s="170">
        <f>IF(OR($B79="",T$4&gt;$P79,EOMONTH(T$4,0)&lt;$E79),0,MIN($H79,MAX(0,MIN(EOMONTH(T$4,0),$P79)-MAX(T$4,$E79)+1)*$J79))</f>
        <v/>
      </c>
      <c r="U79" s="170">
        <f>IF(OR($B79="",U$4&gt;$P79,EOMONTH(U$4,0)&lt;$E79),0,MIN($H79,MAX(0,MIN(EOMONTH(U$4,0),$P79)-MAX(U$4,$E79)+1)*$J79))</f>
        <v/>
      </c>
      <c r="V79" s="170">
        <f>IF(OR($B79="",V$4&gt;$P79,EOMONTH(V$4,0)&lt;$E79),0,MIN($H79,MAX(0,MIN(EOMONTH(V$4,0),$P79)-MAX(V$4,$E79)+1)*$J79))</f>
        <v/>
      </c>
      <c r="W79" s="170">
        <f>IF(OR($B79="",W$4&gt;$P79,EOMONTH(W$4,0)&lt;$E79),0,MIN($H79,MAX(0,MIN(EOMONTH(W$4,0),$P79)-MAX(W$4,$E79)+1)*$J79))</f>
        <v/>
      </c>
      <c r="X79" s="170">
        <f>IF(OR($B79="",X$4&gt;$P79,EOMONTH(X$4,0)&lt;$E79),0,MIN($H79,MAX(0,MIN(EOMONTH(X$4,0),$P79)-MAX(X$4,$E79)+1)*$J79))</f>
        <v/>
      </c>
      <c r="Y79" s="170">
        <f>IF(OR($B79="",Y$4&gt;$P79,EOMONTH(Y$4,0)&lt;$E79),0,MIN($H79,MAX(0,MIN(EOMONTH(Y$4,0),$P79)-MAX(Y$4,$E79)+1)*$J79))</f>
        <v/>
      </c>
      <c r="Z79" s="170">
        <f>IF(OR($B79="",Z$4&gt;$P79,EOMONTH(Z$4,0)&lt;$E79),0,MIN($H79,MAX(0,MIN(EOMONTH(Z$4,0),$P79)-MAX(Z$4,$E79)+1)*$J79))</f>
        <v/>
      </c>
      <c r="AA79" s="170">
        <f>IF(OR($B79="",AA$4&gt;$P79,EOMONTH(AA$4,0)&lt;$E79),0,MIN($H79,MAX(0,MIN(EOMONTH(AA$4,0),$P79)-MAX(AA$4,$E79)+1)*$J79))</f>
        <v/>
      </c>
      <c r="AB79" s="170">
        <f>IF(OR($B79="",AB$4&gt;$P79,EOMONTH(AB$4,0)&lt;$E79),0,MIN($H79,MAX(0,MIN(EOMONTH(AB$4,0),$P79)-MAX(AB$4,$E79)+1)*$J79))</f>
        <v/>
      </c>
      <c r="AC79" s="170">
        <f>IF(OR($B79="",AC$4&gt;$P79,EOMONTH(AC$4,0)&lt;$E79),0,MIN($H79,MAX(0,MIN(EOMONTH(AC$4,0),$P79)-MAX(AC$4,$E79)+1)*$J79))</f>
        <v/>
      </c>
      <c r="AD79" s="170">
        <f>IF(B79="","",ROUND(SUM(R79:AC79),0))</f>
        <v/>
      </c>
      <c r="AE79" s="170">
        <f>IF(B79="","",MIN(H79,ROUND(Q79+SUM(R79:AC79),0)))</f>
        <v/>
      </c>
      <c r="AF79" s="170">
        <f>IF(B79="","",MAX(H79-AE79,0))</f>
        <v/>
      </c>
      <c r="AG79" s="172">
        <f>IF(B79="","",IF('Thiết lập'!$B$4&lt;E79,"Chưa phân bổ",IF(P79&lt;='Thiết lập'!$B$4,"Đã phân bổ","Đang phân bổ")))</f>
        <v/>
      </c>
      <c r="AH79" s="166" t="n"/>
      <c r="AI79" s="174">
        <f>IF(B79="","",IF(AND(C79&lt;&gt;"",D79&lt;&gt;"",E79&lt;&gt;"",E79&gt;=D79,F79&gt;0,G79&gt;0,I79&gt;0,COUNTIF($B$7:$B$306,B79)=1),"OK",IF(C79="","Thiếu tên; ","")&amp;IF(D79="","Thiếu ngày tăng; ","")&amp;IF(E79="","Thiếu ngày bắt đầu; ","")&amp;IF(AND(D79&lt;&gt;"",E79&lt;&gt;"",E79&lt;D79),"Ngày bắt đầu &lt; ngày tăng; ","")&amp;IF(OR(F79="",F79&lt;=0),"Số lượng không hợp lệ; ","")&amp;IF(OR(G79="",G79&lt;=0),"Đơn giá không hợp lệ; ","")&amp;IF(OR(I79="",I79&lt;=0),"Số tháng không hợp lệ; ","")&amp;IF(COUNTIF($B$7:$B$306,B79)&gt;1,"Trùng mã CPTT; ","")))</f>
        <v/>
      </c>
    </row>
    <row r="80" ht="19.5" customHeight="1" s="98">
      <c r="A80" s="164">
        <f>IF(B80="","",ROW()-6)</f>
        <v/>
      </c>
      <c r="B80" s="165" t="n"/>
      <c r="C80" s="166" t="n"/>
      <c r="D80" s="167" t="n"/>
      <c r="E80" s="167" t="n"/>
      <c r="F80" s="168" t="n"/>
      <c r="G80" s="169" t="n"/>
      <c r="H80" s="170">
        <f>IF(OR(F80="",G80=""),"",F80*G80)</f>
        <v/>
      </c>
      <c r="I80" s="171" t="n"/>
      <c r="J80" s="170">
        <f>IF(OR(H80="",E80="",P80=""),"",H80/(P80-E80+1))</f>
        <v/>
      </c>
      <c r="K80" s="165" t="n"/>
      <c r="L80" s="172">
        <f>IF(B80="","",IF(AF80&lt;=0,"Đã phân bổ",IF(P80&lt;=EDATE('Thiết lập'!$B$4,12),"Ngắn hạn","Dài hạn")))</f>
        <v/>
      </c>
      <c r="M80" s="165" t="n"/>
      <c r="N80" s="165" t="n"/>
      <c r="O80" s="165" t="n"/>
      <c r="P80" s="173">
        <f>IF(OR(E80="",I80=""),"",EDATE(E80,I80)-1)</f>
        <v/>
      </c>
      <c r="Q80" s="170">
        <f>IF(OR(B80="",E80="",P80=""),0,MIN(H80,MAX(0,MIN(P80,DATE('Thiết lập'!$B$3-1,12,31))-E80+1)*J80))</f>
        <v/>
      </c>
      <c r="R80" s="170">
        <f>IF(OR($B80="",R$4&gt;$P80,EOMONTH(R$4,0)&lt;$E80),0,MIN($H80,MAX(0,MIN(EOMONTH(R$4,0),$P80)-MAX(R$4,$E80)+1)*$J80))</f>
        <v/>
      </c>
      <c r="S80" s="170">
        <f>IF(OR($B80="",S$4&gt;$P80,EOMONTH(S$4,0)&lt;$E80),0,MIN($H80,MAX(0,MIN(EOMONTH(S$4,0),$P80)-MAX(S$4,$E80)+1)*$J80))</f>
        <v/>
      </c>
      <c r="T80" s="170">
        <f>IF(OR($B80="",T$4&gt;$P80,EOMONTH(T$4,0)&lt;$E80),0,MIN($H80,MAX(0,MIN(EOMONTH(T$4,0),$P80)-MAX(T$4,$E80)+1)*$J80))</f>
        <v/>
      </c>
      <c r="U80" s="170">
        <f>IF(OR($B80="",U$4&gt;$P80,EOMONTH(U$4,0)&lt;$E80),0,MIN($H80,MAX(0,MIN(EOMONTH(U$4,0),$P80)-MAX(U$4,$E80)+1)*$J80))</f>
        <v/>
      </c>
      <c r="V80" s="170">
        <f>IF(OR($B80="",V$4&gt;$P80,EOMONTH(V$4,0)&lt;$E80),0,MIN($H80,MAX(0,MIN(EOMONTH(V$4,0),$P80)-MAX(V$4,$E80)+1)*$J80))</f>
        <v/>
      </c>
      <c r="W80" s="170">
        <f>IF(OR($B80="",W$4&gt;$P80,EOMONTH(W$4,0)&lt;$E80),0,MIN($H80,MAX(0,MIN(EOMONTH(W$4,0),$P80)-MAX(W$4,$E80)+1)*$J80))</f>
        <v/>
      </c>
      <c r="X80" s="170">
        <f>IF(OR($B80="",X$4&gt;$P80,EOMONTH(X$4,0)&lt;$E80),0,MIN($H80,MAX(0,MIN(EOMONTH(X$4,0),$P80)-MAX(X$4,$E80)+1)*$J80))</f>
        <v/>
      </c>
      <c r="Y80" s="170">
        <f>IF(OR($B80="",Y$4&gt;$P80,EOMONTH(Y$4,0)&lt;$E80),0,MIN($H80,MAX(0,MIN(EOMONTH(Y$4,0),$P80)-MAX(Y$4,$E80)+1)*$J80))</f>
        <v/>
      </c>
      <c r="Z80" s="170">
        <f>IF(OR($B80="",Z$4&gt;$P80,EOMONTH(Z$4,0)&lt;$E80),0,MIN($H80,MAX(0,MIN(EOMONTH(Z$4,0),$P80)-MAX(Z$4,$E80)+1)*$J80))</f>
        <v/>
      </c>
      <c r="AA80" s="170">
        <f>IF(OR($B80="",AA$4&gt;$P80,EOMONTH(AA$4,0)&lt;$E80),0,MIN($H80,MAX(0,MIN(EOMONTH(AA$4,0),$P80)-MAX(AA$4,$E80)+1)*$J80))</f>
        <v/>
      </c>
      <c r="AB80" s="170">
        <f>IF(OR($B80="",AB$4&gt;$P80,EOMONTH(AB$4,0)&lt;$E80),0,MIN($H80,MAX(0,MIN(EOMONTH(AB$4,0),$P80)-MAX(AB$4,$E80)+1)*$J80))</f>
        <v/>
      </c>
      <c r="AC80" s="170">
        <f>IF(OR($B80="",AC$4&gt;$P80,EOMONTH(AC$4,0)&lt;$E80),0,MIN($H80,MAX(0,MIN(EOMONTH(AC$4,0),$P80)-MAX(AC$4,$E80)+1)*$J80))</f>
        <v/>
      </c>
      <c r="AD80" s="170">
        <f>IF(B80="","",ROUND(SUM(R80:AC80),0))</f>
        <v/>
      </c>
      <c r="AE80" s="170">
        <f>IF(B80="","",MIN(H80,ROUND(Q80+SUM(R80:AC80),0)))</f>
        <v/>
      </c>
      <c r="AF80" s="170">
        <f>IF(B80="","",MAX(H80-AE80,0))</f>
        <v/>
      </c>
      <c r="AG80" s="172">
        <f>IF(B80="","",IF('Thiết lập'!$B$4&lt;E80,"Chưa phân bổ",IF(P80&lt;='Thiết lập'!$B$4,"Đã phân bổ","Đang phân bổ")))</f>
        <v/>
      </c>
      <c r="AH80" s="166" t="n"/>
      <c r="AI80" s="174">
        <f>IF(B80="","",IF(AND(C80&lt;&gt;"",D80&lt;&gt;"",E80&lt;&gt;"",E80&gt;=D80,F80&gt;0,G80&gt;0,I80&gt;0,COUNTIF($B$7:$B$306,B80)=1),"OK",IF(C80="","Thiếu tên; ","")&amp;IF(D80="","Thiếu ngày tăng; ","")&amp;IF(E80="","Thiếu ngày bắt đầu; ","")&amp;IF(AND(D80&lt;&gt;"",E80&lt;&gt;"",E80&lt;D80),"Ngày bắt đầu &lt; ngày tăng; ","")&amp;IF(OR(F80="",F80&lt;=0),"Số lượng không hợp lệ; ","")&amp;IF(OR(G80="",G80&lt;=0),"Đơn giá không hợp lệ; ","")&amp;IF(OR(I80="",I80&lt;=0),"Số tháng không hợp lệ; ","")&amp;IF(COUNTIF($B$7:$B$306,B80)&gt;1,"Trùng mã CPTT; ","")))</f>
        <v/>
      </c>
    </row>
    <row r="81" ht="19.5" customHeight="1" s="98">
      <c r="A81" s="164">
        <f>IF(B81="","",ROW()-6)</f>
        <v/>
      </c>
      <c r="B81" s="165" t="n"/>
      <c r="C81" s="166" t="n"/>
      <c r="D81" s="167" t="n"/>
      <c r="E81" s="167" t="n"/>
      <c r="F81" s="168" t="n"/>
      <c r="G81" s="169" t="n"/>
      <c r="H81" s="170">
        <f>IF(OR(F81="",G81=""),"",F81*G81)</f>
        <v/>
      </c>
      <c r="I81" s="171" t="n"/>
      <c r="J81" s="170">
        <f>IF(OR(H81="",E81="",P81=""),"",H81/(P81-E81+1))</f>
        <v/>
      </c>
      <c r="K81" s="165" t="n"/>
      <c r="L81" s="172">
        <f>IF(B81="","",IF(AF81&lt;=0,"Đã phân bổ",IF(P81&lt;=EDATE('Thiết lập'!$B$4,12),"Ngắn hạn","Dài hạn")))</f>
        <v/>
      </c>
      <c r="M81" s="165" t="n"/>
      <c r="N81" s="165" t="n"/>
      <c r="O81" s="165" t="n"/>
      <c r="P81" s="173">
        <f>IF(OR(E81="",I81=""),"",EDATE(E81,I81)-1)</f>
        <v/>
      </c>
      <c r="Q81" s="170">
        <f>IF(OR(B81="",E81="",P81=""),0,MIN(H81,MAX(0,MIN(P81,DATE('Thiết lập'!$B$3-1,12,31))-E81+1)*J81))</f>
        <v/>
      </c>
      <c r="R81" s="170">
        <f>IF(OR($B81="",R$4&gt;$P81,EOMONTH(R$4,0)&lt;$E81),0,MIN($H81,MAX(0,MIN(EOMONTH(R$4,0),$P81)-MAX(R$4,$E81)+1)*$J81))</f>
        <v/>
      </c>
      <c r="S81" s="170">
        <f>IF(OR($B81="",S$4&gt;$P81,EOMONTH(S$4,0)&lt;$E81),0,MIN($H81,MAX(0,MIN(EOMONTH(S$4,0),$P81)-MAX(S$4,$E81)+1)*$J81))</f>
        <v/>
      </c>
      <c r="T81" s="170">
        <f>IF(OR($B81="",T$4&gt;$P81,EOMONTH(T$4,0)&lt;$E81),0,MIN($H81,MAX(0,MIN(EOMONTH(T$4,0),$P81)-MAX(T$4,$E81)+1)*$J81))</f>
        <v/>
      </c>
      <c r="U81" s="170">
        <f>IF(OR($B81="",U$4&gt;$P81,EOMONTH(U$4,0)&lt;$E81),0,MIN($H81,MAX(0,MIN(EOMONTH(U$4,0),$P81)-MAX(U$4,$E81)+1)*$J81))</f>
        <v/>
      </c>
      <c r="V81" s="170">
        <f>IF(OR($B81="",V$4&gt;$P81,EOMONTH(V$4,0)&lt;$E81),0,MIN($H81,MAX(0,MIN(EOMONTH(V$4,0),$P81)-MAX(V$4,$E81)+1)*$J81))</f>
        <v/>
      </c>
      <c r="W81" s="170">
        <f>IF(OR($B81="",W$4&gt;$P81,EOMONTH(W$4,0)&lt;$E81),0,MIN($H81,MAX(0,MIN(EOMONTH(W$4,0),$P81)-MAX(W$4,$E81)+1)*$J81))</f>
        <v/>
      </c>
      <c r="X81" s="170">
        <f>IF(OR($B81="",X$4&gt;$P81,EOMONTH(X$4,0)&lt;$E81),0,MIN($H81,MAX(0,MIN(EOMONTH(X$4,0),$P81)-MAX(X$4,$E81)+1)*$J81))</f>
        <v/>
      </c>
      <c r="Y81" s="170">
        <f>IF(OR($B81="",Y$4&gt;$P81,EOMONTH(Y$4,0)&lt;$E81),0,MIN($H81,MAX(0,MIN(EOMONTH(Y$4,0),$P81)-MAX(Y$4,$E81)+1)*$J81))</f>
        <v/>
      </c>
      <c r="Z81" s="170">
        <f>IF(OR($B81="",Z$4&gt;$P81,EOMONTH(Z$4,0)&lt;$E81),0,MIN($H81,MAX(0,MIN(EOMONTH(Z$4,0),$P81)-MAX(Z$4,$E81)+1)*$J81))</f>
        <v/>
      </c>
      <c r="AA81" s="170">
        <f>IF(OR($B81="",AA$4&gt;$P81,EOMONTH(AA$4,0)&lt;$E81),0,MIN($H81,MAX(0,MIN(EOMONTH(AA$4,0),$P81)-MAX(AA$4,$E81)+1)*$J81))</f>
        <v/>
      </c>
      <c r="AB81" s="170">
        <f>IF(OR($B81="",AB$4&gt;$P81,EOMONTH(AB$4,0)&lt;$E81),0,MIN($H81,MAX(0,MIN(EOMONTH(AB$4,0),$P81)-MAX(AB$4,$E81)+1)*$J81))</f>
        <v/>
      </c>
      <c r="AC81" s="170">
        <f>IF(OR($B81="",AC$4&gt;$P81,EOMONTH(AC$4,0)&lt;$E81),0,MIN($H81,MAX(0,MIN(EOMONTH(AC$4,0),$P81)-MAX(AC$4,$E81)+1)*$J81))</f>
        <v/>
      </c>
      <c r="AD81" s="170">
        <f>IF(B81="","",ROUND(SUM(R81:AC81),0))</f>
        <v/>
      </c>
      <c r="AE81" s="170">
        <f>IF(B81="","",MIN(H81,ROUND(Q81+SUM(R81:AC81),0)))</f>
        <v/>
      </c>
      <c r="AF81" s="170">
        <f>IF(B81="","",MAX(H81-AE81,0))</f>
        <v/>
      </c>
      <c r="AG81" s="172">
        <f>IF(B81="","",IF('Thiết lập'!$B$4&lt;E81,"Chưa phân bổ",IF(P81&lt;='Thiết lập'!$B$4,"Đã phân bổ","Đang phân bổ")))</f>
        <v/>
      </c>
      <c r="AH81" s="166" t="n"/>
      <c r="AI81" s="174">
        <f>IF(B81="","",IF(AND(C81&lt;&gt;"",D81&lt;&gt;"",E81&lt;&gt;"",E81&gt;=D81,F81&gt;0,G81&gt;0,I81&gt;0,COUNTIF($B$7:$B$306,B81)=1),"OK",IF(C81="","Thiếu tên; ","")&amp;IF(D81="","Thiếu ngày tăng; ","")&amp;IF(E81="","Thiếu ngày bắt đầu; ","")&amp;IF(AND(D81&lt;&gt;"",E81&lt;&gt;"",E81&lt;D81),"Ngày bắt đầu &lt; ngày tăng; ","")&amp;IF(OR(F81="",F81&lt;=0),"Số lượng không hợp lệ; ","")&amp;IF(OR(G81="",G81&lt;=0),"Đơn giá không hợp lệ; ","")&amp;IF(OR(I81="",I81&lt;=0),"Số tháng không hợp lệ; ","")&amp;IF(COUNTIF($B$7:$B$306,B81)&gt;1,"Trùng mã CPTT; ","")))</f>
        <v/>
      </c>
    </row>
    <row r="82" ht="19.5" customHeight="1" s="98">
      <c r="A82" s="164">
        <f>IF(B82="","",ROW()-6)</f>
        <v/>
      </c>
      <c r="B82" s="165" t="n"/>
      <c r="C82" s="166" t="n"/>
      <c r="D82" s="167" t="n"/>
      <c r="E82" s="167" t="n"/>
      <c r="F82" s="168" t="n"/>
      <c r="G82" s="169" t="n"/>
      <c r="H82" s="170">
        <f>IF(OR(F82="",G82=""),"",F82*G82)</f>
        <v/>
      </c>
      <c r="I82" s="171" t="n"/>
      <c r="J82" s="170">
        <f>IF(OR(H82="",E82="",P82=""),"",H82/(P82-E82+1))</f>
        <v/>
      </c>
      <c r="K82" s="165" t="n"/>
      <c r="L82" s="172">
        <f>IF(B82="","",IF(AF82&lt;=0,"Đã phân bổ",IF(P82&lt;=EDATE('Thiết lập'!$B$4,12),"Ngắn hạn","Dài hạn")))</f>
        <v/>
      </c>
      <c r="M82" s="165" t="n"/>
      <c r="N82" s="165" t="n"/>
      <c r="O82" s="165" t="n"/>
      <c r="P82" s="173">
        <f>IF(OR(E82="",I82=""),"",EDATE(E82,I82)-1)</f>
        <v/>
      </c>
      <c r="Q82" s="170">
        <f>IF(OR(B82="",E82="",P82=""),0,MIN(H82,MAX(0,MIN(P82,DATE('Thiết lập'!$B$3-1,12,31))-E82+1)*J82))</f>
        <v/>
      </c>
      <c r="R82" s="170">
        <f>IF(OR($B82="",R$4&gt;$P82,EOMONTH(R$4,0)&lt;$E82),0,MIN($H82,MAX(0,MIN(EOMONTH(R$4,0),$P82)-MAX(R$4,$E82)+1)*$J82))</f>
        <v/>
      </c>
      <c r="S82" s="170">
        <f>IF(OR($B82="",S$4&gt;$P82,EOMONTH(S$4,0)&lt;$E82),0,MIN($H82,MAX(0,MIN(EOMONTH(S$4,0),$P82)-MAX(S$4,$E82)+1)*$J82))</f>
        <v/>
      </c>
      <c r="T82" s="170">
        <f>IF(OR($B82="",T$4&gt;$P82,EOMONTH(T$4,0)&lt;$E82),0,MIN($H82,MAX(0,MIN(EOMONTH(T$4,0),$P82)-MAX(T$4,$E82)+1)*$J82))</f>
        <v/>
      </c>
      <c r="U82" s="170">
        <f>IF(OR($B82="",U$4&gt;$P82,EOMONTH(U$4,0)&lt;$E82),0,MIN($H82,MAX(0,MIN(EOMONTH(U$4,0),$P82)-MAX(U$4,$E82)+1)*$J82))</f>
        <v/>
      </c>
      <c r="V82" s="170">
        <f>IF(OR($B82="",V$4&gt;$P82,EOMONTH(V$4,0)&lt;$E82),0,MIN($H82,MAX(0,MIN(EOMONTH(V$4,0),$P82)-MAX(V$4,$E82)+1)*$J82))</f>
        <v/>
      </c>
      <c r="W82" s="170">
        <f>IF(OR($B82="",W$4&gt;$P82,EOMONTH(W$4,0)&lt;$E82),0,MIN($H82,MAX(0,MIN(EOMONTH(W$4,0),$P82)-MAX(W$4,$E82)+1)*$J82))</f>
        <v/>
      </c>
      <c r="X82" s="170">
        <f>IF(OR($B82="",X$4&gt;$P82,EOMONTH(X$4,0)&lt;$E82),0,MIN($H82,MAX(0,MIN(EOMONTH(X$4,0),$P82)-MAX(X$4,$E82)+1)*$J82))</f>
        <v/>
      </c>
      <c r="Y82" s="170">
        <f>IF(OR($B82="",Y$4&gt;$P82,EOMONTH(Y$4,0)&lt;$E82),0,MIN($H82,MAX(0,MIN(EOMONTH(Y$4,0),$P82)-MAX(Y$4,$E82)+1)*$J82))</f>
        <v/>
      </c>
      <c r="Z82" s="170">
        <f>IF(OR($B82="",Z$4&gt;$P82,EOMONTH(Z$4,0)&lt;$E82),0,MIN($H82,MAX(0,MIN(EOMONTH(Z$4,0),$P82)-MAX(Z$4,$E82)+1)*$J82))</f>
        <v/>
      </c>
      <c r="AA82" s="170">
        <f>IF(OR($B82="",AA$4&gt;$P82,EOMONTH(AA$4,0)&lt;$E82),0,MIN($H82,MAX(0,MIN(EOMONTH(AA$4,0),$P82)-MAX(AA$4,$E82)+1)*$J82))</f>
        <v/>
      </c>
      <c r="AB82" s="170">
        <f>IF(OR($B82="",AB$4&gt;$P82,EOMONTH(AB$4,0)&lt;$E82),0,MIN($H82,MAX(0,MIN(EOMONTH(AB$4,0),$P82)-MAX(AB$4,$E82)+1)*$J82))</f>
        <v/>
      </c>
      <c r="AC82" s="170">
        <f>IF(OR($B82="",AC$4&gt;$P82,EOMONTH(AC$4,0)&lt;$E82),0,MIN($H82,MAX(0,MIN(EOMONTH(AC$4,0),$P82)-MAX(AC$4,$E82)+1)*$J82))</f>
        <v/>
      </c>
      <c r="AD82" s="170">
        <f>IF(B82="","",ROUND(SUM(R82:AC82),0))</f>
        <v/>
      </c>
      <c r="AE82" s="170">
        <f>IF(B82="","",MIN(H82,ROUND(Q82+SUM(R82:AC82),0)))</f>
        <v/>
      </c>
      <c r="AF82" s="170">
        <f>IF(B82="","",MAX(H82-AE82,0))</f>
        <v/>
      </c>
      <c r="AG82" s="172">
        <f>IF(B82="","",IF('Thiết lập'!$B$4&lt;E82,"Chưa phân bổ",IF(P82&lt;='Thiết lập'!$B$4,"Đã phân bổ","Đang phân bổ")))</f>
        <v/>
      </c>
      <c r="AH82" s="166" t="n"/>
      <c r="AI82" s="174">
        <f>IF(B82="","",IF(AND(C82&lt;&gt;"",D82&lt;&gt;"",E82&lt;&gt;"",E82&gt;=D82,F82&gt;0,G82&gt;0,I82&gt;0,COUNTIF($B$7:$B$306,B82)=1),"OK",IF(C82="","Thiếu tên; ","")&amp;IF(D82="","Thiếu ngày tăng; ","")&amp;IF(E82="","Thiếu ngày bắt đầu; ","")&amp;IF(AND(D82&lt;&gt;"",E82&lt;&gt;"",E82&lt;D82),"Ngày bắt đầu &lt; ngày tăng; ","")&amp;IF(OR(F82="",F82&lt;=0),"Số lượng không hợp lệ; ","")&amp;IF(OR(G82="",G82&lt;=0),"Đơn giá không hợp lệ; ","")&amp;IF(OR(I82="",I82&lt;=0),"Số tháng không hợp lệ; ","")&amp;IF(COUNTIF($B$7:$B$306,B82)&gt;1,"Trùng mã CPTT; ","")))</f>
        <v/>
      </c>
    </row>
    <row r="83" ht="19.5" customHeight="1" s="98">
      <c r="A83" s="164">
        <f>IF(B83="","",ROW()-6)</f>
        <v/>
      </c>
      <c r="B83" s="165" t="n"/>
      <c r="C83" s="166" t="n"/>
      <c r="D83" s="167" t="n"/>
      <c r="E83" s="167" t="n"/>
      <c r="F83" s="168" t="n"/>
      <c r="G83" s="169" t="n"/>
      <c r="H83" s="170">
        <f>IF(OR(F83="",G83=""),"",F83*G83)</f>
        <v/>
      </c>
      <c r="I83" s="171" t="n"/>
      <c r="J83" s="170">
        <f>IF(OR(H83="",E83="",P83=""),"",H83/(P83-E83+1))</f>
        <v/>
      </c>
      <c r="K83" s="165" t="n"/>
      <c r="L83" s="172">
        <f>IF(B83="","",IF(AF83&lt;=0,"Đã phân bổ",IF(P83&lt;=EDATE('Thiết lập'!$B$4,12),"Ngắn hạn","Dài hạn")))</f>
        <v/>
      </c>
      <c r="M83" s="165" t="n"/>
      <c r="N83" s="165" t="n"/>
      <c r="O83" s="165" t="n"/>
      <c r="P83" s="173">
        <f>IF(OR(E83="",I83=""),"",EDATE(E83,I83)-1)</f>
        <v/>
      </c>
      <c r="Q83" s="170">
        <f>IF(OR(B83="",E83="",P83=""),0,MIN(H83,MAX(0,MIN(P83,DATE('Thiết lập'!$B$3-1,12,31))-E83+1)*J83))</f>
        <v/>
      </c>
      <c r="R83" s="170">
        <f>IF(OR($B83="",R$4&gt;$P83,EOMONTH(R$4,0)&lt;$E83),0,MIN($H83,MAX(0,MIN(EOMONTH(R$4,0),$P83)-MAX(R$4,$E83)+1)*$J83))</f>
        <v/>
      </c>
      <c r="S83" s="170">
        <f>IF(OR($B83="",S$4&gt;$P83,EOMONTH(S$4,0)&lt;$E83),0,MIN($H83,MAX(0,MIN(EOMONTH(S$4,0),$P83)-MAX(S$4,$E83)+1)*$J83))</f>
        <v/>
      </c>
      <c r="T83" s="170">
        <f>IF(OR($B83="",T$4&gt;$P83,EOMONTH(T$4,0)&lt;$E83),0,MIN($H83,MAX(0,MIN(EOMONTH(T$4,0),$P83)-MAX(T$4,$E83)+1)*$J83))</f>
        <v/>
      </c>
      <c r="U83" s="170">
        <f>IF(OR($B83="",U$4&gt;$P83,EOMONTH(U$4,0)&lt;$E83),0,MIN($H83,MAX(0,MIN(EOMONTH(U$4,0),$P83)-MAX(U$4,$E83)+1)*$J83))</f>
        <v/>
      </c>
      <c r="V83" s="170">
        <f>IF(OR($B83="",V$4&gt;$P83,EOMONTH(V$4,0)&lt;$E83),0,MIN($H83,MAX(0,MIN(EOMONTH(V$4,0),$P83)-MAX(V$4,$E83)+1)*$J83))</f>
        <v/>
      </c>
      <c r="W83" s="170">
        <f>IF(OR($B83="",W$4&gt;$P83,EOMONTH(W$4,0)&lt;$E83),0,MIN($H83,MAX(0,MIN(EOMONTH(W$4,0),$P83)-MAX(W$4,$E83)+1)*$J83))</f>
        <v/>
      </c>
      <c r="X83" s="170">
        <f>IF(OR($B83="",X$4&gt;$P83,EOMONTH(X$4,0)&lt;$E83),0,MIN($H83,MAX(0,MIN(EOMONTH(X$4,0),$P83)-MAX(X$4,$E83)+1)*$J83))</f>
        <v/>
      </c>
      <c r="Y83" s="170">
        <f>IF(OR($B83="",Y$4&gt;$P83,EOMONTH(Y$4,0)&lt;$E83),0,MIN($H83,MAX(0,MIN(EOMONTH(Y$4,0),$P83)-MAX(Y$4,$E83)+1)*$J83))</f>
        <v/>
      </c>
      <c r="Z83" s="170">
        <f>IF(OR($B83="",Z$4&gt;$P83,EOMONTH(Z$4,0)&lt;$E83),0,MIN($H83,MAX(0,MIN(EOMONTH(Z$4,0),$P83)-MAX(Z$4,$E83)+1)*$J83))</f>
        <v/>
      </c>
      <c r="AA83" s="170">
        <f>IF(OR($B83="",AA$4&gt;$P83,EOMONTH(AA$4,0)&lt;$E83),0,MIN($H83,MAX(0,MIN(EOMONTH(AA$4,0),$P83)-MAX(AA$4,$E83)+1)*$J83))</f>
        <v/>
      </c>
      <c r="AB83" s="170">
        <f>IF(OR($B83="",AB$4&gt;$P83,EOMONTH(AB$4,0)&lt;$E83),0,MIN($H83,MAX(0,MIN(EOMONTH(AB$4,0),$P83)-MAX(AB$4,$E83)+1)*$J83))</f>
        <v/>
      </c>
      <c r="AC83" s="170">
        <f>IF(OR($B83="",AC$4&gt;$P83,EOMONTH(AC$4,0)&lt;$E83),0,MIN($H83,MAX(0,MIN(EOMONTH(AC$4,0),$P83)-MAX(AC$4,$E83)+1)*$J83))</f>
        <v/>
      </c>
      <c r="AD83" s="170">
        <f>IF(B83="","",ROUND(SUM(R83:AC83),0))</f>
        <v/>
      </c>
      <c r="AE83" s="170">
        <f>IF(B83="","",MIN(H83,ROUND(Q83+SUM(R83:AC83),0)))</f>
        <v/>
      </c>
      <c r="AF83" s="170">
        <f>IF(B83="","",MAX(H83-AE83,0))</f>
        <v/>
      </c>
      <c r="AG83" s="172">
        <f>IF(B83="","",IF('Thiết lập'!$B$4&lt;E83,"Chưa phân bổ",IF(P83&lt;='Thiết lập'!$B$4,"Đã phân bổ","Đang phân bổ")))</f>
        <v/>
      </c>
      <c r="AH83" s="166" t="n"/>
      <c r="AI83" s="174">
        <f>IF(B83="","",IF(AND(C83&lt;&gt;"",D83&lt;&gt;"",E83&lt;&gt;"",E83&gt;=D83,F83&gt;0,G83&gt;0,I83&gt;0,COUNTIF($B$7:$B$306,B83)=1),"OK",IF(C83="","Thiếu tên; ","")&amp;IF(D83="","Thiếu ngày tăng; ","")&amp;IF(E83="","Thiếu ngày bắt đầu; ","")&amp;IF(AND(D83&lt;&gt;"",E83&lt;&gt;"",E83&lt;D83),"Ngày bắt đầu &lt; ngày tăng; ","")&amp;IF(OR(F83="",F83&lt;=0),"Số lượng không hợp lệ; ","")&amp;IF(OR(G83="",G83&lt;=0),"Đơn giá không hợp lệ; ","")&amp;IF(OR(I83="",I83&lt;=0),"Số tháng không hợp lệ; ","")&amp;IF(COUNTIF($B$7:$B$306,B83)&gt;1,"Trùng mã CPTT; ","")))</f>
        <v/>
      </c>
    </row>
    <row r="84" ht="19.5" customHeight="1" s="98">
      <c r="A84" s="164">
        <f>IF(B84="","",ROW()-6)</f>
        <v/>
      </c>
      <c r="B84" s="165" t="n"/>
      <c r="C84" s="166" t="n"/>
      <c r="D84" s="167" t="n"/>
      <c r="E84" s="167" t="n"/>
      <c r="F84" s="168" t="n"/>
      <c r="G84" s="169" t="n"/>
      <c r="H84" s="170">
        <f>IF(OR(F84="",G84=""),"",F84*G84)</f>
        <v/>
      </c>
      <c r="I84" s="171" t="n"/>
      <c r="J84" s="170">
        <f>IF(OR(H84="",E84="",P84=""),"",H84/(P84-E84+1))</f>
        <v/>
      </c>
      <c r="K84" s="165" t="n"/>
      <c r="L84" s="172">
        <f>IF(B84="","",IF(AF84&lt;=0,"Đã phân bổ",IF(P84&lt;=EDATE('Thiết lập'!$B$4,12),"Ngắn hạn","Dài hạn")))</f>
        <v/>
      </c>
      <c r="M84" s="165" t="n"/>
      <c r="N84" s="165" t="n"/>
      <c r="O84" s="165" t="n"/>
      <c r="P84" s="173">
        <f>IF(OR(E84="",I84=""),"",EDATE(E84,I84)-1)</f>
        <v/>
      </c>
      <c r="Q84" s="170">
        <f>IF(OR(B84="",E84="",P84=""),0,MIN(H84,MAX(0,MIN(P84,DATE('Thiết lập'!$B$3-1,12,31))-E84+1)*J84))</f>
        <v/>
      </c>
      <c r="R84" s="170">
        <f>IF(OR($B84="",R$4&gt;$P84,EOMONTH(R$4,0)&lt;$E84),0,MIN($H84,MAX(0,MIN(EOMONTH(R$4,0),$P84)-MAX(R$4,$E84)+1)*$J84))</f>
        <v/>
      </c>
      <c r="S84" s="170">
        <f>IF(OR($B84="",S$4&gt;$P84,EOMONTH(S$4,0)&lt;$E84),0,MIN($H84,MAX(0,MIN(EOMONTH(S$4,0),$P84)-MAX(S$4,$E84)+1)*$J84))</f>
        <v/>
      </c>
      <c r="T84" s="170">
        <f>IF(OR($B84="",T$4&gt;$P84,EOMONTH(T$4,0)&lt;$E84),0,MIN($H84,MAX(0,MIN(EOMONTH(T$4,0),$P84)-MAX(T$4,$E84)+1)*$J84))</f>
        <v/>
      </c>
      <c r="U84" s="170">
        <f>IF(OR($B84="",U$4&gt;$P84,EOMONTH(U$4,0)&lt;$E84),0,MIN($H84,MAX(0,MIN(EOMONTH(U$4,0),$P84)-MAX(U$4,$E84)+1)*$J84))</f>
        <v/>
      </c>
      <c r="V84" s="170">
        <f>IF(OR($B84="",V$4&gt;$P84,EOMONTH(V$4,0)&lt;$E84),0,MIN($H84,MAX(0,MIN(EOMONTH(V$4,0),$P84)-MAX(V$4,$E84)+1)*$J84))</f>
        <v/>
      </c>
      <c r="W84" s="170">
        <f>IF(OR($B84="",W$4&gt;$P84,EOMONTH(W$4,0)&lt;$E84),0,MIN($H84,MAX(0,MIN(EOMONTH(W$4,0),$P84)-MAX(W$4,$E84)+1)*$J84))</f>
        <v/>
      </c>
      <c r="X84" s="170">
        <f>IF(OR($B84="",X$4&gt;$P84,EOMONTH(X$4,0)&lt;$E84),0,MIN($H84,MAX(0,MIN(EOMONTH(X$4,0),$P84)-MAX(X$4,$E84)+1)*$J84))</f>
        <v/>
      </c>
      <c r="Y84" s="170">
        <f>IF(OR($B84="",Y$4&gt;$P84,EOMONTH(Y$4,0)&lt;$E84),0,MIN($H84,MAX(0,MIN(EOMONTH(Y$4,0),$P84)-MAX(Y$4,$E84)+1)*$J84))</f>
        <v/>
      </c>
      <c r="Z84" s="170">
        <f>IF(OR($B84="",Z$4&gt;$P84,EOMONTH(Z$4,0)&lt;$E84),0,MIN($H84,MAX(0,MIN(EOMONTH(Z$4,0),$P84)-MAX(Z$4,$E84)+1)*$J84))</f>
        <v/>
      </c>
      <c r="AA84" s="170">
        <f>IF(OR($B84="",AA$4&gt;$P84,EOMONTH(AA$4,0)&lt;$E84),0,MIN($H84,MAX(0,MIN(EOMONTH(AA$4,0),$P84)-MAX(AA$4,$E84)+1)*$J84))</f>
        <v/>
      </c>
      <c r="AB84" s="170">
        <f>IF(OR($B84="",AB$4&gt;$P84,EOMONTH(AB$4,0)&lt;$E84),0,MIN($H84,MAX(0,MIN(EOMONTH(AB$4,0),$P84)-MAX(AB$4,$E84)+1)*$J84))</f>
        <v/>
      </c>
      <c r="AC84" s="170">
        <f>IF(OR($B84="",AC$4&gt;$P84,EOMONTH(AC$4,0)&lt;$E84),0,MIN($H84,MAX(0,MIN(EOMONTH(AC$4,0),$P84)-MAX(AC$4,$E84)+1)*$J84))</f>
        <v/>
      </c>
      <c r="AD84" s="170">
        <f>IF(B84="","",ROUND(SUM(R84:AC84),0))</f>
        <v/>
      </c>
      <c r="AE84" s="170">
        <f>IF(B84="","",MIN(H84,ROUND(Q84+SUM(R84:AC84),0)))</f>
        <v/>
      </c>
      <c r="AF84" s="170">
        <f>IF(B84="","",MAX(H84-AE84,0))</f>
        <v/>
      </c>
      <c r="AG84" s="172">
        <f>IF(B84="","",IF('Thiết lập'!$B$4&lt;E84,"Chưa phân bổ",IF(P84&lt;='Thiết lập'!$B$4,"Đã phân bổ","Đang phân bổ")))</f>
        <v/>
      </c>
      <c r="AH84" s="166" t="n"/>
      <c r="AI84" s="174">
        <f>IF(B84="","",IF(AND(C84&lt;&gt;"",D84&lt;&gt;"",E84&lt;&gt;"",E84&gt;=D84,F84&gt;0,G84&gt;0,I84&gt;0,COUNTIF($B$7:$B$306,B84)=1),"OK",IF(C84="","Thiếu tên; ","")&amp;IF(D84="","Thiếu ngày tăng; ","")&amp;IF(E84="","Thiếu ngày bắt đầu; ","")&amp;IF(AND(D84&lt;&gt;"",E84&lt;&gt;"",E84&lt;D84),"Ngày bắt đầu &lt; ngày tăng; ","")&amp;IF(OR(F84="",F84&lt;=0),"Số lượng không hợp lệ; ","")&amp;IF(OR(G84="",G84&lt;=0),"Đơn giá không hợp lệ; ","")&amp;IF(OR(I84="",I84&lt;=0),"Số tháng không hợp lệ; ","")&amp;IF(COUNTIF($B$7:$B$306,B84)&gt;1,"Trùng mã CPTT; ","")))</f>
        <v/>
      </c>
    </row>
    <row r="85" ht="19.5" customHeight="1" s="98">
      <c r="A85" s="164">
        <f>IF(B85="","",ROW()-6)</f>
        <v/>
      </c>
      <c r="B85" s="165" t="n"/>
      <c r="C85" s="166" t="n"/>
      <c r="D85" s="167" t="n"/>
      <c r="E85" s="167" t="n"/>
      <c r="F85" s="168" t="n"/>
      <c r="G85" s="169" t="n"/>
      <c r="H85" s="170">
        <f>IF(OR(F85="",G85=""),"",F85*G85)</f>
        <v/>
      </c>
      <c r="I85" s="171" t="n"/>
      <c r="J85" s="170">
        <f>IF(OR(H85="",E85="",P85=""),"",H85/(P85-E85+1))</f>
        <v/>
      </c>
      <c r="K85" s="165" t="n"/>
      <c r="L85" s="172">
        <f>IF(B85="","",IF(AF85&lt;=0,"Đã phân bổ",IF(P85&lt;=EDATE('Thiết lập'!$B$4,12),"Ngắn hạn","Dài hạn")))</f>
        <v/>
      </c>
      <c r="M85" s="165" t="n"/>
      <c r="N85" s="165" t="n"/>
      <c r="O85" s="165" t="n"/>
      <c r="P85" s="173">
        <f>IF(OR(E85="",I85=""),"",EDATE(E85,I85)-1)</f>
        <v/>
      </c>
      <c r="Q85" s="170">
        <f>IF(OR(B85="",E85="",P85=""),0,MIN(H85,MAX(0,MIN(P85,DATE('Thiết lập'!$B$3-1,12,31))-E85+1)*J85))</f>
        <v/>
      </c>
      <c r="R85" s="170">
        <f>IF(OR($B85="",R$4&gt;$P85,EOMONTH(R$4,0)&lt;$E85),0,MIN($H85,MAX(0,MIN(EOMONTH(R$4,0),$P85)-MAX(R$4,$E85)+1)*$J85))</f>
        <v/>
      </c>
      <c r="S85" s="170">
        <f>IF(OR($B85="",S$4&gt;$P85,EOMONTH(S$4,0)&lt;$E85),0,MIN($H85,MAX(0,MIN(EOMONTH(S$4,0),$P85)-MAX(S$4,$E85)+1)*$J85))</f>
        <v/>
      </c>
      <c r="T85" s="170">
        <f>IF(OR($B85="",T$4&gt;$P85,EOMONTH(T$4,0)&lt;$E85),0,MIN($H85,MAX(0,MIN(EOMONTH(T$4,0),$P85)-MAX(T$4,$E85)+1)*$J85))</f>
        <v/>
      </c>
      <c r="U85" s="170">
        <f>IF(OR($B85="",U$4&gt;$P85,EOMONTH(U$4,0)&lt;$E85),0,MIN($H85,MAX(0,MIN(EOMONTH(U$4,0),$P85)-MAX(U$4,$E85)+1)*$J85))</f>
        <v/>
      </c>
      <c r="V85" s="170">
        <f>IF(OR($B85="",V$4&gt;$P85,EOMONTH(V$4,0)&lt;$E85),0,MIN($H85,MAX(0,MIN(EOMONTH(V$4,0),$P85)-MAX(V$4,$E85)+1)*$J85))</f>
        <v/>
      </c>
      <c r="W85" s="170">
        <f>IF(OR($B85="",W$4&gt;$P85,EOMONTH(W$4,0)&lt;$E85),0,MIN($H85,MAX(0,MIN(EOMONTH(W$4,0),$P85)-MAX(W$4,$E85)+1)*$J85))</f>
        <v/>
      </c>
      <c r="X85" s="170">
        <f>IF(OR($B85="",X$4&gt;$P85,EOMONTH(X$4,0)&lt;$E85),0,MIN($H85,MAX(0,MIN(EOMONTH(X$4,0),$P85)-MAX(X$4,$E85)+1)*$J85))</f>
        <v/>
      </c>
      <c r="Y85" s="170">
        <f>IF(OR($B85="",Y$4&gt;$P85,EOMONTH(Y$4,0)&lt;$E85),0,MIN($H85,MAX(0,MIN(EOMONTH(Y$4,0),$P85)-MAX(Y$4,$E85)+1)*$J85))</f>
        <v/>
      </c>
      <c r="Z85" s="170">
        <f>IF(OR($B85="",Z$4&gt;$P85,EOMONTH(Z$4,0)&lt;$E85),0,MIN($H85,MAX(0,MIN(EOMONTH(Z$4,0),$P85)-MAX(Z$4,$E85)+1)*$J85))</f>
        <v/>
      </c>
      <c r="AA85" s="170">
        <f>IF(OR($B85="",AA$4&gt;$P85,EOMONTH(AA$4,0)&lt;$E85),0,MIN($H85,MAX(0,MIN(EOMONTH(AA$4,0),$P85)-MAX(AA$4,$E85)+1)*$J85))</f>
        <v/>
      </c>
      <c r="AB85" s="170">
        <f>IF(OR($B85="",AB$4&gt;$P85,EOMONTH(AB$4,0)&lt;$E85),0,MIN($H85,MAX(0,MIN(EOMONTH(AB$4,0),$P85)-MAX(AB$4,$E85)+1)*$J85))</f>
        <v/>
      </c>
      <c r="AC85" s="170">
        <f>IF(OR($B85="",AC$4&gt;$P85,EOMONTH(AC$4,0)&lt;$E85),0,MIN($H85,MAX(0,MIN(EOMONTH(AC$4,0),$P85)-MAX(AC$4,$E85)+1)*$J85))</f>
        <v/>
      </c>
      <c r="AD85" s="170">
        <f>IF(B85="","",ROUND(SUM(R85:AC85),0))</f>
        <v/>
      </c>
      <c r="AE85" s="170">
        <f>IF(B85="","",MIN(H85,ROUND(Q85+SUM(R85:AC85),0)))</f>
        <v/>
      </c>
      <c r="AF85" s="170">
        <f>IF(B85="","",MAX(H85-AE85,0))</f>
        <v/>
      </c>
      <c r="AG85" s="172">
        <f>IF(B85="","",IF('Thiết lập'!$B$4&lt;E85,"Chưa phân bổ",IF(P85&lt;='Thiết lập'!$B$4,"Đã phân bổ","Đang phân bổ")))</f>
        <v/>
      </c>
      <c r="AH85" s="166" t="n"/>
      <c r="AI85" s="174">
        <f>IF(B85="","",IF(AND(C85&lt;&gt;"",D85&lt;&gt;"",E85&lt;&gt;"",E85&gt;=D85,F85&gt;0,G85&gt;0,I85&gt;0,COUNTIF($B$7:$B$306,B85)=1),"OK",IF(C85="","Thiếu tên; ","")&amp;IF(D85="","Thiếu ngày tăng; ","")&amp;IF(E85="","Thiếu ngày bắt đầu; ","")&amp;IF(AND(D85&lt;&gt;"",E85&lt;&gt;"",E85&lt;D85),"Ngày bắt đầu &lt; ngày tăng; ","")&amp;IF(OR(F85="",F85&lt;=0),"Số lượng không hợp lệ; ","")&amp;IF(OR(G85="",G85&lt;=0),"Đơn giá không hợp lệ; ","")&amp;IF(OR(I85="",I85&lt;=0),"Số tháng không hợp lệ; ","")&amp;IF(COUNTIF($B$7:$B$306,B85)&gt;1,"Trùng mã CPTT; ","")))</f>
        <v/>
      </c>
    </row>
    <row r="86" ht="19.5" customHeight="1" s="98">
      <c r="A86" s="164">
        <f>IF(B86="","",ROW()-6)</f>
        <v/>
      </c>
      <c r="B86" s="165" t="n"/>
      <c r="C86" s="166" t="n"/>
      <c r="D86" s="167" t="n"/>
      <c r="E86" s="167" t="n"/>
      <c r="F86" s="168" t="n"/>
      <c r="G86" s="169" t="n"/>
      <c r="H86" s="170">
        <f>IF(OR(F86="",G86=""),"",F86*G86)</f>
        <v/>
      </c>
      <c r="I86" s="171" t="n"/>
      <c r="J86" s="170">
        <f>IF(OR(H86="",E86="",P86=""),"",H86/(P86-E86+1))</f>
        <v/>
      </c>
      <c r="K86" s="165" t="n"/>
      <c r="L86" s="172">
        <f>IF(B86="","",IF(AF86&lt;=0,"Đã phân bổ",IF(P86&lt;=EDATE('Thiết lập'!$B$4,12),"Ngắn hạn","Dài hạn")))</f>
        <v/>
      </c>
      <c r="M86" s="165" t="n"/>
      <c r="N86" s="165" t="n"/>
      <c r="O86" s="165" t="n"/>
      <c r="P86" s="173">
        <f>IF(OR(E86="",I86=""),"",EDATE(E86,I86)-1)</f>
        <v/>
      </c>
      <c r="Q86" s="170">
        <f>IF(OR(B86="",E86="",P86=""),0,MIN(H86,MAX(0,MIN(P86,DATE('Thiết lập'!$B$3-1,12,31))-E86+1)*J86))</f>
        <v/>
      </c>
      <c r="R86" s="170">
        <f>IF(OR($B86="",R$4&gt;$P86,EOMONTH(R$4,0)&lt;$E86),0,MIN($H86,MAX(0,MIN(EOMONTH(R$4,0),$P86)-MAX(R$4,$E86)+1)*$J86))</f>
        <v/>
      </c>
      <c r="S86" s="170">
        <f>IF(OR($B86="",S$4&gt;$P86,EOMONTH(S$4,0)&lt;$E86),0,MIN($H86,MAX(0,MIN(EOMONTH(S$4,0),$P86)-MAX(S$4,$E86)+1)*$J86))</f>
        <v/>
      </c>
      <c r="T86" s="170">
        <f>IF(OR($B86="",T$4&gt;$P86,EOMONTH(T$4,0)&lt;$E86),0,MIN($H86,MAX(0,MIN(EOMONTH(T$4,0),$P86)-MAX(T$4,$E86)+1)*$J86))</f>
        <v/>
      </c>
      <c r="U86" s="170">
        <f>IF(OR($B86="",U$4&gt;$P86,EOMONTH(U$4,0)&lt;$E86),0,MIN($H86,MAX(0,MIN(EOMONTH(U$4,0),$P86)-MAX(U$4,$E86)+1)*$J86))</f>
        <v/>
      </c>
      <c r="V86" s="170">
        <f>IF(OR($B86="",V$4&gt;$P86,EOMONTH(V$4,0)&lt;$E86),0,MIN($H86,MAX(0,MIN(EOMONTH(V$4,0),$P86)-MAX(V$4,$E86)+1)*$J86))</f>
        <v/>
      </c>
      <c r="W86" s="170">
        <f>IF(OR($B86="",W$4&gt;$P86,EOMONTH(W$4,0)&lt;$E86),0,MIN($H86,MAX(0,MIN(EOMONTH(W$4,0),$P86)-MAX(W$4,$E86)+1)*$J86))</f>
        <v/>
      </c>
      <c r="X86" s="170">
        <f>IF(OR($B86="",X$4&gt;$P86,EOMONTH(X$4,0)&lt;$E86),0,MIN($H86,MAX(0,MIN(EOMONTH(X$4,0),$P86)-MAX(X$4,$E86)+1)*$J86))</f>
        <v/>
      </c>
      <c r="Y86" s="170">
        <f>IF(OR($B86="",Y$4&gt;$P86,EOMONTH(Y$4,0)&lt;$E86),0,MIN($H86,MAX(0,MIN(EOMONTH(Y$4,0),$P86)-MAX(Y$4,$E86)+1)*$J86))</f>
        <v/>
      </c>
      <c r="Z86" s="170">
        <f>IF(OR($B86="",Z$4&gt;$P86,EOMONTH(Z$4,0)&lt;$E86),0,MIN($H86,MAX(0,MIN(EOMONTH(Z$4,0),$P86)-MAX(Z$4,$E86)+1)*$J86))</f>
        <v/>
      </c>
      <c r="AA86" s="170">
        <f>IF(OR($B86="",AA$4&gt;$P86,EOMONTH(AA$4,0)&lt;$E86),0,MIN($H86,MAX(0,MIN(EOMONTH(AA$4,0),$P86)-MAX(AA$4,$E86)+1)*$J86))</f>
        <v/>
      </c>
      <c r="AB86" s="170">
        <f>IF(OR($B86="",AB$4&gt;$P86,EOMONTH(AB$4,0)&lt;$E86),0,MIN($H86,MAX(0,MIN(EOMONTH(AB$4,0),$P86)-MAX(AB$4,$E86)+1)*$J86))</f>
        <v/>
      </c>
      <c r="AC86" s="170">
        <f>IF(OR($B86="",AC$4&gt;$P86,EOMONTH(AC$4,0)&lt;$E86),0,MIN($H86,MAX(0,MIN(EOMONTH(AC$4,0),$P86)-MAX(AC$4,$E86)+1)*$J86))</f>
        <v/>
      </c>
      <c r="AD86" s="170">
        <f>IF(B86="","",ROUND(SUM(R86:AC86),0))</f>
        <v/>
      </c>
      <c r="AE86" s="170">
        <f>IF(B86="","",MIN(H86,ROUND(Q86+SUM(R86:AC86),0)))</f>
        <v/>
      </c>
      <c r="AF86" s="170">
        <f>IF(B86="","",MAX(H86-AE86,0))</f>
        <v/>
      </c>
      <c r="AG86" s="172">
        <f>IF(B86="","",IF('Thiết lập'!$B$4&lt;E86,"Chưa phân bổ",IF(P86&lt;='Thiết lập'!$B$4,"Đã phân bổ","Đang phân bổ")))</f>
        <v/>
      </c>
      <c r="AH86" s="166" t="n"/>
      <c r="AI86" s="174">
        <f>IF(B86="","",IF(AND(C86&lt;&gt;"",D86&lt;&gt;"",E86&lt;&gt;"",E86&gt;=D86,F86&gt;0,G86&gt;0,I86&gt;0,COUNTIF($B$7:$B$306,B86)=1),"OK",IF(C86="","Thiếu tên; ","")&amp;IF(D86="","Thiếu ngày tăng; ","")&amp;IF(E86="","Thiếu ngày bắt đầu; ","")&amp;IF(AND(D86&lt;&gt;"",E86&lt;&gt;"",E86&lt;D86),"Ngày bắt đầu &lt; ngày tăng; ","")&amp;IF(OR(F86="",F86&lt;=0),"Số lượng không hợp lệ; ","")&amp;IF(OR(G86="",G86&lt;=0),"Đơn giá không hợp lệ; ","")&amp;IF(OR(I86="",I86&lt;=0),"Số tháng không hợp lệ; ","")&amp;IF(COUNTIF($B$7:$B$306,B86)&gt;1,"Trùng mã CPTT; ","")))</f>
        <v/>
      </c>
    </row>
    <row r="87" ht="19.5" customHeight="1" s="98">
      <c r="A87" s="164">
        <f>IF(B87="","",ROW()-6)</f>
        <v/>
      </c>
      <c r="B87" s="165" t="n"/>
      <c r="C87" s="166" t="n"/>
      <c r="D87" s="167" t="n"/>
      <c r="E87" s="167" t="n"/>
      <c r="F87" s="168" t="n"/>
      <c r="G87" s="169" t="n"/>
      <c r="H87" s="170">
        <f>IF(OR(F87="",G87=""),"",F87*G87)</f>
        <v/>
      </c>
      <c r="I87" s="171" t="n"/>
      <c r="J87" s="170">
        <f>IF(OR(H87="",E87="",P87=""),"",H87/(P87-E87+1))</f>
        <v/>
      </c>
      <c r="K87" s="165" t="n"/>
      <c r="L87" s="172">
        <f>IF(B87="","",IF(AF87&lt;=0,"Đã phân bổ",IF(P87&lt;=EDATE('Thiết lập'!$B$4,12),"Ngắn hạn","Dài hạn")))</f>
        <v/>
      </c>
      <c r="M87" s="165" t="n"/>
      <c r="N87" s="165" t="n"/>
      <c r="O87" s="165" t="n"/>
      <c r="P87" s="173">
        <f>IF(OR(E87="",I87=""),"",EDATE(E87,I87)-1)</f>
        <v/>
      </c>
      <c r="Q87" s="170">
        <f>IF(OR(B87="",E87="",P87=""),0,MIN(H87,MAX(0,MIN(P87,DATE('Thiết lập'!$B$3-1,12,31))-E87+1)*J87))</f>
        <v/>
      </c>
      <c r="R87" s="170">
        <f>IF(OR($B87="",R$4&gt;$P87,EOMONTH(R$4,0)&lt;$E87),0,MIN($H87,MAX(0,MIN(EOMONTH(R$4,0),$P87)-MAX(R$4,$E87)+1)*$J87))</f>
        <v/>
      </c>
      <c r="S87" s="170">
        <f>IF(OR($B87="",S$4&gt;$P87,EOMONTH(S$4,0)&lt;$E87),0,MIN($H87,MAX(0,MIN(EOMONTH(S$4,0),$P87)-MAX(S$4,$E87)+1)*$J87))</f>
        <v/>
      </c>
      <c r="T87" s="170">
        <f>IF(OR($B87="",T$4&gt;$P87,EOMONTH(T$4,0)&lt;$E87),0,MIN($H87,MAX(0,MIN(EOMONTH(T$4,0),$P87)-MAX(T$4,$E87)+1)*$J87))</f>
        <v/>
      </c>
      <c r="U87" s="170">
        <f>IF(OR($B87="",U$4&gt;$P87,EOMONTH(U$4,0)&lt;$E87),0,MIN($H87,MAX(0,MIN(EOMONTH(U$4,0),$P87)-MAX(U$4,$E87)+1)*$J87))</f>
        <v/>
      </c>
      <c r="V87" s="170">
        <f>IF(OR($B87="",V$4&gt;$P87,EOMONTH(V$4,0)&lt;$E87),0,MIN($H87,MAX(0,MIN(EOMONTH(V$4,0),$P87)-MAX(V$4,$E87)+1)*$J87))</f>
        <v/>
      </c>
      <c r="W87" s="170">
        <f>IF(OR($B87="",W$4&gt;$P87,EOMONTH(W$4,0)&lt;$E87),0,MIN($H87,MAX(0,MIN(EOMONTH(W$4,0),$P87)-MAX(W$4,$E87)+1)*$J87))</f>
        <v/>
      </c>
      <c r="X87" s="170">
        <f>IF(OR($B87="",X$4&gt;$P87,EOMONTH(X$4,0)&lt;$E87),0,MIN($H87,MAX(0,MIN(EOMONTH(X$4,0),$P87)-MAX(X$4,$E87)+1)*$J87))</f>
        <v/>
      </c>
      <c r="Y87" s="170">
        <f>IF(OR($B87="",Y$4&gt;$P87,EOMONTH(Y$4,0)&lt;$E87),0,MIN($H87,MAX(0,MIN(EOMONTH(Y$4,0),$P87)-MAX(Y$4,$E87)+1)*$J87))</f>
        <v/>
      </c>
      <c r="Z87" s="170">
        <f>IF(OR($B87="",Z$4&gt;$P87,EOMONTH(Z$4,0)&lt;$E87),0,MIN($H87,MAX(0,MIN(EOMONTH(Z$4,0),$P87)-MAX(Z$4,$E87)+1)*$J87))</f>
        <v/>
      </c>
      <c r="AA87" s="170">
        <f>IF(OR($B87="",AA$4&gt;$P87,EOMONTH(AA$4,0)&lt;$E87),0,MIN($H87,MAX(0,MIN(EOMONTH(AA$4,0),$P87)-MAX(AA$4,$E87)+1)*$J87))</f>
        <v/>
      </c>
      <c r="AB87" s="170">
        <f>IF(OR($B87="",AB$4&gt;$P87,EOMONTH(AB$4,0)&lt;$E87),0,MIN($H87,MAX(0,MIN(EOMONTH(AB$4,0),$P87)-MAX(AB$4,$E87)+1)*$J87))</f>
        <v/>
      </c>
      <c r="AC87" s="170">
        <f>IF(OR($B87="",AC$4&gt;$P87,EOMONTH(AC$4,0)&lt;$E87),0,MIN($H87,MAX(0,MIN(EOMONTH(AC$4,0),$P87)-MAX(AC$4,$E87)+1)*$J87))</f>
        <v/>
      </c>
      <c r="AD87" s="170">
        <f>IF(B87="","",ROUND(SUM(R87:AC87),0))</f>
        <v/>
      </c>
      <c r="AE87" s="170">
        <f>IF(B87="","",MIN(H87,ROUND(Q87+SUM(R87:AC87),0)))</f>
        <v/>
      </c>
      <c r="AF87" s="170">
        <f>IF(B87="","",MAX(H87-AE87,0))</f>
        <v/>
      </c>
      <c r="AG87" s="172">
        <f>IF(B87="","",IF('Thiết lập'!$B$4&lt;E87,"Chưa phân bổ",IF(P87&lt;='Thiết lập'!$B$4,"Đã phân bổ","Đang phân bổ")))</f>
        <v/>
      </c>
      <c r="AH87" s="166" t="n"/>
      <c r="AI87" s="174">
        <f>IF(B87="","",IF(AND(C87&lt;&gt;"",D87&lt;&gt;"",E87&lt;&gt;"",E87&gt;=D87,F87&gt;0,G87&gt;0,I87&gt;0,COUNTIF($B$7:$B$306,B87)=1),"OK",IF(C87="","Thiếu tên; ","")&amp;IF(D87="","Thiếu ngày tăng; ","")&amp;IF(E87="","Thiếu ngày bắt đầu; ","")&amp;IF(AND(D87&lt;&gt;"",E87&lt;&gt;"",E87&lt;D87),"Ngày bắt đầu &lt; ngày tăng; ","")&amp;IF(OR(F87="",F87&lt;=0),"Số lượng không hợp lệ; ","")&amp;IF(OR(G87="",G87&lt;=0),"Đơn giá không hợp lệ; ","")&amp;IF(OR(I87="",I87&lt;=0),"Số tháng không hợp lệ; ","")&amp;IF(COUNTIF($B$7:$B$306,B87)&gt;1,"Trùng mã CPTT; ","")))</f>
        <v/>
      </c>
    </row>
    <row r="88" ht="19.5" customHeight="1" s="98">
      <c r="A88" s="164">
        <f>IF(B88="","",ROW()-6)</f>
        <v/>
      </c>
      <c r="B88" s="165" t="n"/>
      <c r="C88" s="166" t="n"/>
      <c r="D88" s="167" t="n"/>
      <c r="E88" s="167" t="n"/>
      <c r="F88" s="168" t="n"/>
      <c r="G88" s="169" t="n"/>
      <c r="H88" s="170">
        <f>IF(OR(F88="",G88=""),"",F88*G88)</f>
        <v/>
      </c>
      <c r="I88" s="171" t="n"/>
      <c r="J88" s="170">
        <f>IF(OR(H88="",E88="",P88=""),"",H88/(P88-E88+1))</f>
        <v/>
      </c>
      <c r="K88" s="165" t="n"/>
      <c r="L88" s="172">
        <f>IF(B88="","",IF(AF88&lt;=0,"Đã phân bổ",IF(P88&lt;=EDATE('Thiết lập'!$B$4,12),"Ngắn hạn","Dài hạn")))</f>
        <v/>
      </c>
      <c r="M88" s="165" t="n"/>
      <c r="N88" s="165" t="n"/>
      <c r="O88" s="165" t="n"/>
      <c r="P88" s="173">
        <f>IF(OR(E88="",I88=""),"",EDATE(E88,I88)-1)</f>
        <v/>
      </c>
      <c r="Q88" s="170">
        <f>IF(OR(B88="",E88="",P88=""),0,MIN(H88,MAX(0,MIN(P88,DATE('Thiết lập'!$B$3-1,12,31))-E88+1)*J88))</f>
        <v/>
      </c>
      <c r="R88" s="170">
        <f>IF(OR($B88="",R$4&gt;$P88,EOMONTH(R$4,0)&lt;$E88),0,MIN($H88,MAX(0,MIN(EOMONTH(R$4,0),$P88)-MAX(R$4,$E88)+1)*$J88))</f>
        <v/>
      </c>
      <c r="S88" s="170">
        <f>IF(OR($B88="",S$4&gt;$P88,EOMONTH(S$4,0)&lt;$E88),0,MIN($H88,MAX(0,MIN(EOMONTH(S$4,0),$P88)-MAX(S$4,$E88)+1)*$J88))</f>
        <v/>
      </c>
      <c r="T88" s="170">
        <f>IF(OR($B88="",T$4&gt;$P88,EOMONTH(T$4,0)&lt;$E88),0,MIN($H88,MAX(0,MIN(EOMONTH(T$4,0),$P88)-MAX(T$4,$E88)+1)*$J88))</f>
        <v/>
      </c>
      <c r="U88" s="170">
        <f>IF(OR($B88="",U$4&gt;$P88,EOMONTH(U$4,0)&lt;$E88),0,MIN($H88,MAX(0,MIN(EOMONTH(U$4,0),$P88)-MAX(U$4,$E88)+1)*$J88))</f>
        <v/>
      </c>
      <c r="V88" s="170">
        <f>IF(OR($B88="",V$4&gt;$P88,EOMONTH(V$4,0)&lt;$E88),0,MIN($H88,MAX(0,MIN(EOMONTH(V$4,0),$P88)-MAX(V$4,$E88)+1)*$J88))</f>
        <v/>
      </c>
      <c r="W88" s="170">
        <f>IF(OR($B88="",W$4&gt;$P88,EOMONTH(W$4,0)&lt;$E88),0,MIN($H88,MAX(0,MIN(EOMONTH(W$4,0),$P88)-MAX(W$4,$E88)+1)*$J88))</f>
        <v/>
      </c>
      <c r="X88" s="170">
        <f>IF(OR($B88="",X$4&gt;$P88,EOMONTH(X$4,0)&lt;$E88),0,MIN($H88,MAX(0,MIN(EOMONTH(X$4,0),$P88)-MAX(X$4,$E88)+1)*$J88))</f>
        <v/>
      </c>
      <c r="Y88" s="170">
        <f>IF(OR($B88="",Y$4&gt;$P88,EOMONTH(Y$4,0)&lt;$E88),0,MIN($H88,MAX(0,MIN(EOMONTH(Y$4,0),$P88)-MAX(Y$4,$E88)+1)*$J88))</f>
        <v/>
      </c>
      <c r="Z88" s="170">
        <f>IF(OR($B88="",Z$4&gt;$P88,EOMONTH(Z$4,0)&lt;$E88),0,MIN($H88,MAX(0,MIN(EOMONTH(Z$4,0),$P88)-MAX(Z$4,$E88)+1)*$J88))</f>
        <v/>
      </c>
      <c r="AA88" s="170">
        <f>IF(OR($B88="",AA$4&gt;$P88,EOMONTH(AA$4,0)&lt;$E88),0,MIN($H88,MAX(0,MIN(EOMONTH(AA$4,0),$P88)-MAX(AA$4,$E88)+1)*$J88))</f>
        <v/>
      </c>
      <c r="AB88" s="170">
        <f>IF(OR($B88="",AB$4&gt;$P88,EOMONTH(AB$4,0)&lt;$E88),0,MIN($H88,MAX(0,MIN(EOMONTH(AB$4,0),$P88)-MAX(AB$4,$E88)+1)*$J88))</f>
        <v/>
      </c>
      <c r="AC88" s="170">
        <f>IF(OR($B88="",AC$4&gt;$P88,EOMONTH(AC$4,0)&lt;$E88),0,MIN($H88,MAX(0,MIN(EOMONTH(AC$4,0),$P88)-MAX(AC$4,$E88)+1)*$J88))</f>
        <v/>
      </c>
      <c r="AD88" s="170">
        <f>IF(B88="","",ROUND(SUM(R88:AC88),0))</f>
        <v/>
      </c>
      <c r="AE88" s="170">
        <f>IF(B88="","",MIN(H88,ROUND(Q88+SUM(R88:AC88),0)))</f>
        <v/>
      </c>
      <c r="AF88" s="170">
        <f>IF(B88="","",MAX(H88-AE88,0))</f>
        <v/>
      </c>
      <c r="AG88" s="172">
        <f>IF(B88="","",IF('Thiết lập'!$B$4&lt;E88,"Chưa phân bổ",IF(P88&lt;='Thiết lập'!$B$4,"Đã phân bổ","Đang phân bổ")))</f>
        <v/>
      </c>
      <c r="AH88" s="166" t="n"/>
      <c r="AI88" s="174">
        <f>IF(B88="","",IF(AND(C88&lt;&gt;"",D88&lt;&gt;"",E88&lt;&gt;"",E88&gt;=D88,F88&gt;0,G88&gt;0,I88&gt;0,COUNTIF($B$7:$B$306,B88)=1),"OK",IF(C88="","Thiếu tên; ","")&amp;IF(D88="","Thiếu ngày tăng; ","")&amp;IF(E88="","Thiếu ngày bắt đầu; ","")&amp;IF(AND(D88&lt;&gt;"",E88&lt;&gt;"",E88&lt;D88),"Ngày bắt đầu &lt; ngày tăng; ","")&amp;IF(OR(F88="",F88&lt;=0),"Số lượng không hợp lệ; ","")&amp;IF(OR(G88="",G88&lt;=0),"Đơn giá không hợp lệ; ","")&amp;IF(OR(I88="",I88&lt;=0),"Số tháng không hợp lệ; ","")&amp;IF(COUNTIF($B$7:$B$306,B88)&gt;1,"Trùng mã CPTT; ","")))</f>
        <v/>
      </c>
    </row>
    <row r="89" ht="19.5" customHeight="1" s="98">
      <c r="A89" s="164">
        <f>IF(B89="","",ROW()-6)</f>
        <v/>
      </c>
      <c r="B89" s="165" t="n"/>
      <c r="C89" s="166" t="n"/>
      <c r="D89" s="167" t="n"/>
      <c r="E89" s="167" t="n"/>
      <c r="F89" s="168" t="n"/>
      <c r="G89" s="169" t="n"/>
      <c r="H89" s="170">
        <f>IF(OR(F89="",G89=""),"",F89*G89)</f>
        <v/>
      </c>
      <c r="I89" s="171" t="n"/>
      <c r="J89" s="170">
        <f>IF(OR(H89="",E89="",P89=""),"",H89/(P89-E89+1))</f>
        <v/>
      </c>
      <c r="K89" s="165" t="n"/>
      <c r="L89" s="172">
        <f>IF(B89="","",IF(AF89&lt;=0,"Đã phân bổ",IF(P89&lt;=EDATE('Thiết lập'!$B$4,12),"Ngắn hạn","Dài hạn")))</f>
        <v/>
      </c>
      <c r="M89" s="165" t="n"/>
      <c r="N89" s="165" t="n"/>
      <c r="O89" s="165" t="n"/>
      <c r="P89" s="173">
        <f>IF(OR(E89="",I89=""),"",EDATE(E89,I89)-1)</f>
        <v/>
      </c>
      <c r="Q89" s="170">
        <f>IF(OR(B89="",E89="",P89=""),0,MIN(H89,MAX(0,MIN(P89,DATE('Thiết lập'!$B$3-1,12,31))-E89+1)*J89))</f>
        <v/>
      </c>
      <c r="R89" s="170">
        <f>IF(OR($B89="",R$4&gt;$P89,EOMONTH(R$4,0)&lt;$E89),0,MIN($H89,MAX(0,MIN(EOMONTH(R$4,0),$P89)-MAX(R$4,$E89)+1)*$J89))</f>
        <v/>
      </c>
      <c r="S89" s="170">
        <f>IF(OR($B89="",S$4&gt;$P89,EOMONTH(S$4,0)&lt;$E89),0,MIN($H89,MAX(0,MIN(EOMONTH(S$4,0),$P89)-MAX(S$4,$E89)+1)*$J89))</f>
        <v/>
      </c>
      <c r="T89" s="170">
        <f>IF(OR($B89="",T$4&gt;$P89,EOMONTH(T$4,0)&lt;$E89),0,MIN($H89,MAX(0,MIN(EOMONTH(T$4,0),$P89)-MAX(T$4,$E89)+1)*$J89))</f>
        <v/>
      </c>
      <c r="U89" s="170">
        <f>IF(OR($B89="",U$4&gt;$P89,EOMONTH(U$4,0)&lt;$E89),0,MIN($H89,MAX(0,MIN(EOMONTH(U$4,0),$P89)-MAX(U$4,$E89)+1)*$J89))</f>
        <v/>
      </c>
      <c r="V89" s="170">
        <f>IF(OR($B89="",V$4&gt;$P89,EOMONTH(V$4,0)&lt;$E89),0,MIN($H89,MAX(0,MIN(EOMONTH(V$4,0),$P89)-MAX(V$4,$E89)+1)*$J89))</f>
        <v/>
      </c>
      <c r="W89" s="170">
        <f>IF(OR($B89="",W$4&gt;$P89,EOMONTH(W$4,0)&lt;$E89),0,MIN($H89,MAX(0,MIN(EOMONTH(W$4,0),$P89)-MAX(W$4,$E89)+1)*$J89))</f>
        <v/>
      </c>
      <c r="X89" s="170">
        <f>IF(OR($B89="",X$4&gt;$P89,EOMONTH(X$4,0)&lt;$E89),0,MIN($H89,MAX(0,MIN(EOMONTH(X$4,0),$P89)-MAX(X$4,$E89)+1)*$J89))</f>
        <v/>
      </c>
      <c r="Y89" s="170">
        <f>IF(OR($B89="",Y$4&gt;$P89,EOMONTH(Y$4,0)&lt;$E89),0,MIN($H89,MAX(0,MIN(EOMONTH(Y$4,0),$P89)-MAX(Y$4,$E89)+1)*$J89))</f>
        <v/>
      </c>
      <c r="Z89" s="170">
        <f>IF(OR($B89="",Z$4&gt;$P89,EOMONTH(Z$4,0)&lt;$E89),0,MIN($H89,MAX(0,MIN(EOMONTH(Z$4,0),$P89)-MAX(Z$4,$E89)+1)*$J89))</f>
        <v/>
      </c>
      <c r="AA89" s="170">
        <f>IF(OR($B89="",AA$4&gt;$P89,EOMONTH(AA$4,0)&lt;$E89),0,MIN($H89,MAX(0,MIN(EOMONTH(AA$4,0),$P89)-MAX(AA$4,$E89)+1)*$J89))</f>
        <v/>
      </c>
      <c r="AB89" s="170">
        <f>IF(OR($B89="",AB$4&gt;$P89,EOMONTH(AB$4,0)&lt;$E89),0,MIN($H89,MAX(0,MIN(EOMONTH(AB$4,0),$P89)-MAX(AB$4,$E89)+1)*$J89))</f>
        <v/>
      </c>
      <c r="AC89" s="170">
        <f>IF(OR($B89="",AC$4&gt;$P89,EOMONTH(AC$4,0)&lt;$E89),0,MIN($H89,MAX(0,MIN(EOMONTH(AC$4,0),$P89)-MAX(AC$4,$E89)+1)*$J89))</f>
        <v/>
      </c>
      <c r="AD89" s="170">
        <f>IF(B89="","",ROUND(SUM(R89:AC89),0))</f>
        <v/>
      </c>
      <c r="AE89" s="170">
        <f>IF(B89="","",MIN(H89,ROUND(Q89+SUM(R89:AC89),0)))</f>
        <v/>
      </c>
      <c r="AF89" s="170">
        <f>IF(B89="","",MAX(H89-AE89,0))</f>
        <v/>
      </c>
      <c r="AG89" s="172">
        <f>IF(B89="","",IF('Thiết lập'!$B$4&lt;E89,"Chưa phân bổ",IF(P89&lt;='Thiết lập'!$B$4,"Đã phân bổ","Đang phân bổ")))</f>
        <v/>
      </c>
      <c r="AH89" s="166" t="n"/>
      <c r="AI89" s="174">
        <f>IF(B89="","",IF(AND(C89&lt;&gt;"",D89&lt;&gt;"",E89&lt;&gt;"",E89&gt;=D89,F89&gt;0,G89&gt;0,I89&gt;0,COUNTIF($B$7:$B$306,B89)=1),"OK",IF(C89="","Thiếu tên; ","")&amp;IF(D89="","Thiếu ngày tăng; ","")&amp;IF(E89="","Thiếu ngày bắt đầu; ","")&amp;IF(AND(D89&lt;&gt;"",E89&lt;&gt;"",E89&lt;D89),"Ngày bắt đầu &lt; ngày tăng; ","")&amp;IF(OR(F89="",F89&lt;=0),"Số lượng không hợp lệ; ","")&amp;IF(OR(G89="",G89&lt;=0),"Đơn giá không hợp lệ; ","")&amp;IF(OR(I89="",I89&lt;=0),"Số tháng không hợp lệ; ","")&amp;IF(COUNTIF($B$7:$B$306,B89)&gt;1,"Trùng mã CPTT; ","")))</f>
        <v/>
      </c>
    </row>
    <row r="90" ht="19.5" customHeight="1" s="98">
      <c r="A90" s="164">
        <f>IF(B90="","",ROW()-6)</f>
        <v/>
      </c>
      <c r="B90" s="165" t="n"/>
      <c r="C90" s="166" t="n"/>
      <c r="D90" s="167" t="n"/>
      <c r="E90" s="167" t="n"/>
      <c r="F90" s="168" t="n"/>
      <c r="G90" s="169" t="n"/>
      <c r="H90" s="170">
        <f>IF(OR(F90="",G90=""),"",F90*G90)</f>
        <v/>
      </c>
      <c r="I90" s="171" t="n"/>
      <c r="J90" s="170">
        <f>IF(OR(H90="",E90="",P90=""),"",H90/(P90-E90+1))</f>
        <v/>
      </c>
      <c r="K90" s="165" t="n"/>
      <c r="L90" s="172">
        <f>IF(B90="","",IF(AF90&lt;=0,"Đã phân bổ",IF(P90&lt;=EDATE('Thiết lập'!$B$4,12),"Ngắn hạn","Dài hạn")))</f>
        <v/>
      </c>
      <c r="M90" s="165" t="n"/>
      <c r="N90" s="165" t="n"/>
      <c r="O90" s="165" t="n"/>
      <c r="P90" s="173">
        <f>IF(OR(E90="",I90=""),"",EDATE(E90,I90)-1)</f>
        <v/>
      </c>
      <c r="Q90" s="170">
        <f>IF(OR(B90="",E90="",P90=""),0,MIN(H90,MAX(0,MIN(P90,DATE('Thiết lập'!$B$3-1,12,31))-E90+1)*J90))</f>
        <v/>
      </c>
      <c r="R90" s="170">
        <f>IF(OR($B90="",R$4&gt;$P90,EOMONTH(R$4,0)&lt;$E90),0,MIN($H90,MAX(0,MIN(EOMONTH(R$4,0),$P90)-MAX(R$4,$E90)+1)*$J90))</f>
        <v/>
      </c>
      <c r="S90" s="170">
        <f>IF(OR($B90="",S$4&gt;$P90,EOMONTH(S$4,0)&lt;$E90),0,MIN($H90,MAX(0,MIN(EOMONTH(S$4,0),$P90)-MAX(S$4,$E90)+1)*$J90))</f>
        <v/>
      </c>
      <c r="T90" s="170">
        <f>IF(OR($B90="",T$4&gt;$P90,EOMONTH(T$4,0)&lt;$E90),0,MIN($H90,MAX(0,MIN(EOMONTH(T$4,0),$P90)-MAX(T$4,$E90)+1)*$J90))</f>
        <v/>
      </c>
      <c r="U90" s="170">
        <f>IF(OR($B90="",U$4&gt;$P90,EOMONTH(U$4,0)&lt;$E90),0,MIN($H90,MAX(0,MIN(EOMONTH(U$4,0),$P90)-MAX(U$4,$E90)+1)*$J90))</f>
        <v/>
      </c>
      <c r="V90" s="170">
        <f>IF(OR($B90="",V$4&gt;$P90,EOMONTH(V$4,0)&lt;$E90),0,MIN($H90,MAX(0,MIN(EOMONTH(V$4,0),$P90)-MAX(V$4,$E90)+1)*$J90))</f>
        <v/>
      </c>
      <c r="W90" s="170">
        <f>IF(OR($B90="",W$4&gt;$P90,EOMONTH(W$4,0)&lt;$E90),0,MIN($H90,MAX(0,MIN(EOMONTH(W$4,0),$P90)-MAX(W$4,$E90)+1)*$J90))</f>
        <v/>
      </c>
      <c r="X90" s="170">
        <f>IF(OR($B90="",X$4&gt;$P90,EOMONTH(X$4,0)&lt;$E90),0,MIN($H90,MAX(0,MIN(EOMONTH(X$4,0),$P90)-MAX(X$4,$E90)+1)*$J90))</f>
        <v/>
      </c>
      <c r="Y90" s="170">
        <f>IF(OR($B90="",Y$4&gt;$P90,EOMONTH(Y$4,0)&lt;$E90),0,MIN($H90,MAX(0,MIN(EOMONTH(Y$4,0),$P90)-MAX(Y$4,$E90)+1)*$J90))</f>
        <v/>
      </c>
      <c r="Z90" s="170">
        <f>IF(OR($B90="",Z$4&gt;$P90,EOMONTH(Z$4,0)&lt;$E90),0,MIN($H90,MAX(0,MIN(EOMONTH(Z$4,0),$P90)-MAX(Z$4,$E90)+1)*$J90))</f>
        <v/>
      </c>
      <c r="AA90" s="170">
        <f>IF(OR($B90="",AA$4&gt;$P90,EOMONTH(AA$4,0)&lt;$E90),0,MIN($H90,MAX(0,MIN(EOMONTH(AA$4,0),$P90)-MAX(AA$4,$E90)+1)*$J90))</f>
        <v/>
      </c>
      <c r="AB90" s="170">
        <f>IF(OR($B90="",AB$4&gt;$P90,EOMONTH(AB$4,0)&lt;$E90),0,MIN($H90,MAX(0,MIN(EOMONTH(AB$4,0),$P90)-MAX(AB$4,$E90)+1)*$J90))</f>
        <v/>
      </c>
      <c r="AC90" s="170">
        <f>IF(OR($B90="",AC$4&gt;$P90,EOMONTH(AC$4,0)&lt;$E90),0,MIN($H90,MAX(0,MIN(EOMONTH(AC$4,0),$P90)-MAX(AC$4,$E90)+1)*$J90))</f>
        <v/>
      </c>
      <c r="AD90" s="170">
        <f>IF(B90="","",ROUND(SUM(R90:AC90),0))</f>
        <v/>
      </c>
      <c r="AE90" s="170">
        <f>IF(B90="","",MIN(H90,ROUND(Q90+SUM(R90:AC90),0)))</f>
        <v/>
      </c>
      <c r="AF90" s="170">
        <f>IF(B90="","",MAX(H90-AE90,0))</f>
        <v/>
      </c>
      <c r="AG90" s="172">
        <f>IF(B90="","",IF('Thiết lập'!$B$4&lt;E90,"Chưa phân bổ",IF(P90&lt;='Thiết lập'!$B$4,"Đã phân bổ","Đang phân bổ")))</f>
        <v/>
      </c>
      <c r="AH90" s="166" t="n"/>
      <c r="AI90" s="174">
        <f>IF(B90="","",IF(AND(C90&lt;&gt;"",D90&lt;&gt;"",E90&lt;&gt;"",E90&gt;=D90,F90&gt;0,G90&gt;0,I90&gt;0,COUNTIF($B$7:$B$306,B90)=1),"OK",IF(C90="","Thiếu tên; ","")&amp;IF(D90="","Thiếu ngày tăng; ","")&amp;IF(E90="","Thiếu ngày bắt đầu; ","")&amp;IF(AND(D90&lt;&gt;"",E90&lt;&gt;"",E90&lt;D90),"Ngày bắt đầu &lt; ngày tăng; ","")&amp;IF(OR(F90="",F90&lt;=0),"Số lượng không hợp lệ; ","")&amp;IF(OR(G90="",G90&lt;=0),"Đơn giá không hợp lệ; ","")&amp;IF(OR(I90="",I90&lt;=0),"Số tháng không hợp lệ; ","")&amp;IF(COUNTIF($B$7:$B$306,B90)&gt;1,"Trùng mã CPTT; ","")))</f>
        <v/>
      </c>
    </row>
    <row r="91" ht="19.5" customHeight="1" s="98">
      <c r="A91" s="164">
        <f>IF(B91="","",ROW()-6)</f>
        <v/>
      </c>
      <c r="B91" s="165" t="n"/>
      <c r="C91" s="166" t="n"/>
      <c r="D91" s="167" t="n"/>
      <c r="E91" s="167" t="n"/>
      <c r="F91" s="168" t="n"/>
      <c r="G91" s="169" t="n"/>
      <c r="H91" s="170">
        <f>IF(OR(F91="",G91=""),"",F91*G91)</f>
        <v/>
      </c>
      <c r="I91" s="171" t="n"/>
      <c r="J91" s="170">
        <f>IF(OR(H91="",E91="",P91=""),"",H91/(P91-E91+1))</f>
        <v/>
      </c>
      <c r="K91" s="165" t="n"/>
      <c r="L91" s="172">
        <f>IF(B91="","",IF(AF91&lt;=0,"Đã phân bổ",IF(P91&lt;=EDATE('Thiết lập'!$B$4,12),"Ngắn hạn","Dài hạn")))</f>
        <v/>
      </c>
      <c r="M91" s="165" t="n"/>
      <c r="N91" s="165" t="n"/>
      <c r="O91" s="165" t="n"/>
      <c r="P91" s="173">
        <f>IF(OR(E91="",I91=""),"",EDATE(E91,I91)-1)</f>
        <v/>
      </c>
      <c r="Q91" s="170">
        <f>IF(OR(B91="",E91="",P91=""),0,MIN(H91,MAX(0,MIN(P91,DATE('Thiết lập'!$B$3-1,12,31))-E91+1)*J91))</f>
        <v/>
      </c>
      <c r="R91" s="170">
        <f>IF(OR($B91="",R$4&gt;$P91,EOMONTH(R$4,0)&lt;$E91),0,MIN($H91,MAX(0,MIN(EOMONTH(R$4,0),$P91)-MAX(R$4,$E91)+1)*$J91))</f>
        <v/>
      </c>
      <c r="S91" s="170">
        <f>IF(OR($B91="",S$4&gt;$P91,EOMONTH(S$4,0)&lt;$E91),0,MIN($H91,MAX(0,MIN(EOMONTH(S$4,0),$P91)-MAX(S$4,$E91)+1)*$J91))</f>
        <v/>
      </c>
      <c r="T91" s="170">
        <f>IF(OR($B91="",T$4&gt;$P91,EOMONTH(T$4,0)&lt;$E91),0,MIN($H91,MAX(0,MIN(EOMONTH(T$4,0),$P91)-MAX(T$4,$E91)+1)*$J91))</f>
        <v/>
      </c>
      <c r="U91" s="170">
        <f>IF(OR($B91="",U$4&gt;$P91,EOMONTH(U$4,0)&lt;$E91),0,MIN($H91,MAX(0,MIN(EOMONTH(U$4,0),$P91)-MAX(U$4,$E91)+1)*$J91))</f>
        <v/>
      </c>
      <c r="V91" s="170">
        <f>IF(OR($B91="",V$4&gt;$P91,EOMONTH(V$4,0)&lt;$E91),0,MIN($H91,MAX(0,MIN(EOMONTH(V$4,0),$P91)-MAX(V$4,$E91)+1)*$J91))</f>
        <v/>
      </c>
      <c r="W91" s="170">
        <f>IF(OR($B91="",W$4&gt;$P91,EOMONTH(W$4,0)&lt;$E91),0,MIN($H91,MAX(0,MIN(EOMONTH(W$4,0),$P91)-MAX(W$4,$E91)+1)*$J91))</f>
        <v/>
      </c>
      <c r="X91" s="170">
        <f>IF(OR($B91="",X$4&gt;$P91,EOMONTH(X$4,0)&lt;$E91),0,MIN($H91,MAX(0,MIN(EOMONTH(X$4,0),$P91)-MAX(X$4,$E91)+1)*$J91))</f>
        <v/>
      </c>
      <c r="Y91" s="170">
        <f>IF(OR($B91="",Y$4&gt;$P91,EOMONTH(Y$4,0)&lt;$E91),0,MIN($H91,MAX(0,MIN(EOMONTH(Y$4,0),$P91)-MAX(Y$4,$E91)+1)*$J91))</f>
        <v/>
      </c>
      <c r="Z91" s="170">
        <f>IF(OR($B91="",Z$4&gt;$P91,EOMONTH(Z$4,0)&lt;$E91),0,MIN($H91,MAX(0,MIN(EOMONTH(Z$4,0),$P91)-MAX(Z$4,$E91)+1)*$J91))</f>
        <v/>
      </c>
      <c r="AA91" s="170">
        <f>IF(OR($B91="",AA$4&gt;$P91,EOMONTH(AA$4,0)&lt;$E91),0,MIN($H91,MAX(0,MIN(EOMONTH(AA$4,0),$P91)-MAX(AA$4,$E91)+1)*$J91))</f>
        <v/>
      </c>
      <c r="AB91" s="170">
        <f>IF(OR($B91="",AB$4&gt;$P91,EOMONTH(AB$4,0)&lt;$E91),0,MIN($H91,MAX(0,MIN(EOMONTH(AB$4,0),$P91)-MAX(AB$4,$E91)+1)*$J91))</f>
        <v/>
      </c>
      <c r="AC91" s="170">
        <f>IF(OR($B91="",AC$4&gt;$P91,EOMONTH(AC$4,0)&lt;$E91),0,MIN($H91,MAX(0,MIN(EOMONTH(AC$4,0),$P91)-MAX(AC$4,$E91)+1)*$J91))</f>
        <v/>
      </c>
      <c r="AD91" s="170">
        <f>IF(B91="","",ROUND(SUM(R91:AC91),0))</f>
        <v/>
      </c>
      <c r="AE91" s="170">
        <f>IF(B91="","",MIN(H91,ROUND(Q91+SUM(R91:AC91),0)))</f>
        <v/>
      </c>
      <c r="AF91" s="170">
        <f>IF(B91="","",MAX(H91-AE91,0))</f>
        <v/>
      </c>
      <c r="AG91" s="172">
        <f>IF(B91="","",IF('Thiết lập'!$B$4&lt;E91,"Chưa phân bổ",IF(P91&lt;='Thiết lập'!$B$4,"Đã phân bổ","Đang phân bổ")))</f>
        <v/>
      </c>
      <c r="AH91" s="166" t="n"/>
      <c r="AI91" s="174">
        <f>IF(B91="","",IF(AND(C91&lt;&gt;"",D91&lt;&gt;"",E91&lt;&gt;"",E91&gt;=D91,F91&gt;0,G91&gt;0,I91&gt;0,COUNTIF($B$7:$B$306,B91)=1),"OK",IF(C91="","Thiếu tên; ","")&amp;IF(D91="","Thiếu ngày tăng; ","")&amp;IF(E91="","Thiếu ngày bắt đầu; ","")&amp;IF(AND(D91&lt;&gt;"",E91&lt;&gt;"",E91&lt;D91),"Ngày bắt đầu &lt; ngày tăng; ","")&amp;IF(OR(F91="",F91&lt;=0),"Số lượng không hợp lệ; ","")&amp;IF(OR(G91="",G91&lt;=0),"Đơn giá không hợp lệ; ","")&amp;IF(OR(I91="",I91&lt;=0),"Số tháng không hợp lệ; ","")&amp;IF(COUNTIF($B$7:$B$306,B91)&gt;1,"Trùng mã CPTT; ","")))</f>
        <v/>
      </c>
    </row>
    <row r="92" ht="19.5" customHeight="1" s="98">
      <c r="A92" s="164">
        <f>IF(B92="","",ROW()-6)</f>
        <v/>
      </c>
      <c r="B92" s="165" t="n"/>
      <c r="C92" s="166" t="n"/>
      <c r="D92" s="167" t="n"/>
      <c r="E92" s="167" t="n"/>
      <c r="F92" s="168" t="n"/>
      <c r="G92" s="169" t="n"/>
      <c r="H92" s="170">
        <f>IF(OR(F92="",G92=""),"",F92*G92)</f>
        <v/>
      </c>
      <c r="I92" s="171" t="n"/>
      <c r="J92" s="170">
        <f>IF(OR(H92="",E92="",P92=""),"",H92/(P92-E92+1))</f>
        <v/>
      </c>
      <c r="K92" s="165" t="n"/>
      <c r="L92" s="172">
        <f>IF(B92="","",IF(AF92&lt;=0,"Đã phân bổ",IF(P92&lt;=EDATE('Thiết lập'!$B$4,12),"Ngắn hạn","Dài hạn")))</f>
        <v/>
      </c>
      <c r="M92" s="165" t="n"/>
      <c r="N92" s="165" t="n"/>
      <c r="O92" s="165" t="n"/>
      <c r="P92" s="173">
        <f>IF(OR(E92="",I92=""),"",EDATE(E92,I92)-1)</f>
        <v/>
      </c>
      <c r="Q92" s="170">
        <f>IF(OR(B92="",E92="",P92=""),0,MIN(H92,MAX(0,MIN(P92,DATE('Thiết lập'!$B$3-1,12,31))-E92+1)*J92))</f>
        <v/>
      </c>
      <c r="R92" s="170">
        <f>IF(OR($B92="",R$4&gt;$P92,EOMONTH(R$4,0)&lt;$E92),0,MIN($H92,MAX(0,MIN(EOMONTH(R$4,0),$P92)-MAX(R$4,$E92)+1)*$J92))</f>
        <v/>
      </c>
      <c r="S92" s="170">
        <f>IF(OR($B92="",S$4&gt;$P92,EOMONTH(S$4,0)&lt;$E92),0,MIN($H92,MAX(0,MIN(EOMONTH(S$4,0),$P92)-MAX(S$4,$E92)+1)*$J92))</f>
        <v/>
      </c>
      <c r="T92" s="170">
        <f>IF(OR($B92="",T$4&gt;$P92,EOMONTH(T$4,0)&lt;$E92),0,MIN($H92,MAX(0,MIN(EOMONTH(T$4,0),$P92)-MAX(T$4,$E92)+1)*$J92))</f>
        <v/>
      </c>
      <c r="U92" s="170">
        <f>IF(OR($B92="",U$4&gt;$P92,EOMONTH(U$4,0)&lt;$E92),0,MIN($H92,MAX(0,MIN(EOMONTH(U$4,0),$P92)-MAX(U$4,$E92)+1)*$J92))</f>
        <v/>
      </c>
      <c r="V92" s="170">
        <f>IF(OR($B92="",V$4&gt;$P92,EOMONTH(V$4,0)&lt;$E92),0,MIN($H92,MAX(0,MIN(EOMONTH(V$4,0),$P92)-MAX(V$4,$E92)+1)*$J92))</f>
        <v/>
      </c>
      <c r="W92" s="170">
        <f>IF(OR($B92="",W$4&gt;$P92,EOMONTH(W$4,0)&lt;$E92),0,MIN($H92,MAX(0,MIN(EOMONTH(W$4,0),$P92)-MAX(W$4,$E92)+1)*$J92))</f>
        <v/>
      </c>
      <c r="X92" s="170">
        <f>IF(OR($B92="",X$4&gt;$P92,EOMONTH(X$4,0)&lt;$E92),0,MIN($H92,MAX(0,MIN(EOMONTH(X$4,0),$P92)-MAX(X$4,$E92)+1)*$J92))</f>
        <v/>
      </c>
      <c r="Y92" s="170">
        <f>IF(OR($B92="",Y$4&gt;$P92,EOMONTH(Y$4,0)&lt;$E92),0,MIN($H92,MAX(0,MIN(EOMONTH(Y$4,0),$P92)-MAX(Y$4,$E92)+1)*$J92))</f>
        <v/>
      </c>
      <c r="Z92" s="170">
        <f>IF(OR($B92="",Z$4&gt;$P92,EOMONTH(Z$4,0)&lt;$E92),0,MIN($H92,MAX(0,MIN(EOMONTH(Z$4,0),$P92)-MAX(Z$4,$E92)+1)*$J92))</f>
        <v/>
      </c>
      <c r="AA92" s="170">
        <f>IF(OR($B92="",AA$4&gt;$P92,EOMONTH(AA$4,0)&lt;$E92),0,MIN($H92,MAX(0,MIN(EOMONTH(AA$4,0),$P92)-MAX(AA$4,$E92)+1)*$J92))</f>
        <v/>
      </c>
      <c r="AB92" s="170">
        <f>IF(OR($B92="",AB$4&gt;$P92,EOMONTH(AB$4,0)&lt;$E92),0,MIN($H92,MAX(0,MIN(EOMONTH(AB$4,0),$P92)-MAX(AB$4,$E92)+1)*$J92))</f>
        <v/>
      </c>
      <c r="AC92" s="170">
        <f>IF(OR($B92="",AC$4&gt;$P92,EOMONTH(AC$4,0)&lt;$E92),0,MIN($H92,MAX(0,MIN(EOMONTH(AC$4,0),$P92)-MAX(AC$4,$E92)+1)*$J92))</f>
        <v/>
      </c>
      <c r="AD92" s="170">
        <f>IF(B92="","",ROUND(SUM(R92:AC92),0))</f>
        <v/>
      </c>
      <c r="AE92" s="170">
        <f>IF(B92="","",MIN(H92,ROUND(Q92+SUM(R92:AC92),0)))</f>
        <v/>
      </c>
      <c r="AF92" s="170">
        <f>IF(B92="","",MAX(H92-AE92,0))</f>
        <v/>
      </c>
      <c r="AG92" s="172">
        <f>IF(B92="","",IF('Thiết lập'!$B$4&lt;E92,"Chưa phân bổ",IF(P92&lt;='Thiết lập'!$B$4,"Đã phân bổ","Đang phân bổ")))</f>
        <v/>
      </c>
      <c r="AH92" s="166" t="n"/>
      <c r="AI92" s="174">
        <f>IF(B92="","",IF(AND(C92&lt;&gt;"",D92&lt;&gt;"",E92&lt;&gt;"",E92&gt;=D92,F92&gt;0,G92&gt;0,I92&gt;0,COUNTIF($B$7:$B$306,B92)=1),"OK",IF(C92="","Thiếu tên; ","")&amp;IF(D92="","Thiếu ngày tăng; ","")&amp;IF(E92="","Thiếu ngày bắt đầu; ","")&amp;IF(AND(D92&lt;&gt;"",E92&lt;&gt;"",E92&lt;D92),"Ngày bắt đầu &lt; ngày tăng; ","")&amp;IF(OR(F92="",F92&lt;=0),"Số lượng không hợp lệ; ","")&amp;IF(OR(G92="",G92&lt;=0),"Đơn giá không hợp lệ; ","")&amp;IF(OR(I92="",I92&lt;=0),"Số tháng không hợp lệ; ","")&amp;IF(COUNTIF($B$7:$B$306,B92)&gt;1,"Trùng mã CPTT; ","")))</f>
        <v/>
      </c>
    </row>
    <row r="93" ht="19.5" customHeight="1" s="98">
      <c r="A93" s="164">
        <f>IF(B93="","",ROW()-6)</f>
        <v/>
      </c>
      <c r="B93" s="165" t="n"/>
      <c r="C93" s="166" t="n"/>
      <c r="D93" s="167" t="n"/>
      <c r="E93" s="167" t="n"/>
      <c r="F93" s="168" t="n"/>
      <c r="G93" s="169" t="n"/>
      <c r="H93" s="170">
        <f>IF(OR(F93="",G93=""),"",F93*G93)</f>
        <v/>
      </c>
      <c r="I93" s="171" t="n"/>
      <c r="J93" s="170">
        <f>IF(OR(H93="",E93="",P93=""),"",H93/(P93-E93+1))</f>
        <v/>
      </c>
      <c r="K93" s="165" t="n"/>
      <c r="L93" s="172">
        <f>IF(B93="","",IF(AF93&lt;=0,"Đã phân bổ",IF(P93&lt;=EDATE('Thiết lập'!$B$4,12),"Ngắn hạn","Dài hạn")))</f>
        <v/>
      </c>
      <c r="M93" s="165" t="n"/>
      <c r="N93" s="165" t="n"/>
      <c r="O93" s="165" t="n"/>
      <c r="P93" s="173">
        <f>IF(OR(E93="",I93=""),"",EDATE(E93,I93)-1)</f>
        <v/>
      </c>
      <c r="Q93" s="170">
        <f>IF(OR(B93="",E93="",P93=""),0,MIN(H93,MAX(0,MIN(P93,DATE('Thiết lập'!$B$3-1,12,31))-E93+1)*J93))</f>
        <v/>
      </c>
      <c r="R93" s="170">
        <f>IF(OR($B93="",R$4&gt;$P93,EOMONTH(R$4,0)&lt;$E93),0,MIN($H93,MAX(0,MIN(EOMONTH(R$4,0),$P93)-MAX(R$4,$E93)+1)*$J93))</f>
        <v/>
      </c>
      <c r="S93" s="170">
        <f>IF(OR($B93="",S$4&gt;$P93,EOMONTH(S$4,0)&lt;$E93),0,MIN($H93,MAX(0,MIN(EOMONTH(S$4,0),$P93)-MAX(S$4,$E93)+1)*$J93))</f>
        <v/>
      </c>
      <c r="T93" s="170">
        <f>IF(OR($B93="",T$4&gt;$P93,EOMONTH(T$4,0)&lt;$E93),0,MIN($H93,MAX(0,MIN(EOMONTH(T$4,0),$P93)-MAX(T$4,$E93)+1)*$J93))</f>
        <v/>
      </c>
      <c r="U93" s="170">
        <f>IF(OR($B93="",U$4&gt;$P93,EOMONTH(U$4,0)&lt;$E93),0,MIN($H93,MAX(0,MIN(EOMONTH(U$4,0),$P93)-MAX(U$4,$E93)+1)*$J93))</f>
        <v/>
      </c>
      <c r="V93" s="170">
        <f>IF(OR($B93="",V$4&gt;$P93,EOMONTH(V$4,0)&lt;$E93),0,MIN($H93,MAX(0,MIN(EOMONTH(V$4,0),$P93)-MAX(V$4,$E93)+1)*$J93))</f>
        <v/>
      </c>
      <c r="W93" s="170">
        <f>IF(OR($B93="",W$4&gt;$P93,EOMONTH(W$4,0)&lt;$E93),0,MIN($H93,MAX(0,MIN(EOMONTH(W$4,0),$P93)-MAX(W$4,$E93)+1)*$J93))</f>
        <v/>
      </c>
      <c r="X93" s="170">
        <f>IF(OR($B93="",X$4&gt;$P93,EOMONTH(X$4,0)&lt;$E93),0,MIN($H93,MAX(0,MIN(EOMONTH(X$4,0),$P93)-MAX(X$4,$E93)+1)*$J93))</f>
        <v/>
      </c>
      <c r="Y93" s="170">
        <f>IF(OR($B93="",Y$4&gt;$P93,EOMONTH(Y$4,0)&lt;$E93),0,MIN($H93,MAX(0,MIN(EOMONTH(Y$4,0),$P93)-MAX(Y$4,$E93)+1)*$J93))</f>
        <v/>
      </c>
      <c r="Z93" s="170">
        <f>IF(OR($B93="",Z$4&gt;$P93,EOMONTH(Z$4,0)&lt;$E93),0,MIN($H93,MAX(0,MIN(EOMONTH(Z$4,0),$P93)-MAX(Z$4,$E93)+1)*$J93))</f>
        <v/>
      </c>
      <c r="AA93" s="170">
        <f>IF(OR($B93="",AA$4&gt;$P93,EOMONTH(AA$4,0)&lt;$E93),0,MIN($H93,MAX(0,MIN(EOMONTH(AA$4,0),$P93)-MAX(AA$4,$E93)+1)*$J93))</f>
        <v/>
      </c>
      <c r="AB93" s="170">
        <f>IF(OR($B93="",AB$4&gt;$P93,EOMONTH(AB$4,0)&lt;$E93),0,MIN($H93,MAX(0,MIN(EOMONTH(AB$4,0),$P93)-MAX(AB$4,$E93)+1)*$J93))</f>
        <v/>
      </c>
      <c r="AC93" s="170">
        <f>IF(OR($B93="",AC$4&gt;$P93,EOMONTH(AC$4,0)&lt;$E93),0,MIN($H93,MAX(0,MIN(EOMONTH(AC$4,0),$P93)-MAX(AC$4,$E93)+1)*$J93))</f>
        <v/>
      </c>
      <c r="AD93" s="170">
        <f>IF(B93="","",ROUND(SUM(R93:AC93),0))</f>
        <v/>
      </c>
      <c r="AE93" s="170">
        <f>IF(B93="","",MIN(H93,ROUND(Q93+SUM(R93:AC93),0)))</f>
        <v/>
      </c>
      <c r="AF93" s="170">
        <f>IF(B93="","",MAX(H93-AE93,0))</f>
        <v/>
      </c>
      <c r="AG93" s="172">
        <f>IF(B93="","",IF('Thiết lập'!$B$4&lt;E93,"Chưa phân bổ",IF(P93&lt;='Thiết lập'!$B$4,"Đã phân bổ","Đang phân bổ")))</f>
        <v/>
      </c>
      <c r="AH93" s="166" t="n"/>
      <c r="AI93" s="174">
        <f>IF(B93="","",IF(AND(C93&lt;&gt;"",D93&lt;&gt;"",E93&lt;&gt;"",E93&gt;=D93,F93&gt;0,G93&gt;0,I93&gt;0,COUNTIF($B$7:$B$306,B93)=1),"OK",IF(C93="","Thiếu tên; ","")&amp;IF(D93="","Thiếu ngày tăng; ","")&amp;IF(E93="","Thiếu ngày bắt đầu; ","")&amp;IF(AND(D93&lt;&gt;"",E93&lt;&gt;"",E93&lt;D93),"Ngày bắt đầu &lt; ngày tăng; ","")&amp;IF(OR(F93="",F93&lt;=0),"Số lượng không hợp lệ; ","")&amp;IF(OR(G93="",G93&lt;=0),"Đơn giá không hợp lệ; ","")&amp;IF(OR(I93="",I93&lt;=0),"Số tháng không hợp lệ; ","")&amp;IF(COUNTIF($B$7:$B$306,B93)&gt;1,"Trùng mã CPTT; ","")))</f>
        <v/>
      </c>
    </row>
    <row r="94" ht="19.5" customHeight="1" s="98">
      <c r="A94" s="164">
        <f>IF(B94="","",ROW()-6)</f>
        <v/>
      </c>
      <c r="B94" s="165" t="n"/>
      <c r="C94" s="166" t="n"/>
      <c r="D94" s="167" t="n"/>
      <c r="E94" s="167" t="n"/>
      <c r="F94" s="168" t="n"/>
      <c r="G94" s="169" t="n"/>
      <c r="H94" s="170">
        <f>IF(OR(F94="",G94=""),"",F94*G94)</f>
        <v/>
      </c>
      <c r="I94" s="171" t="n"/>
      <c r="J94" s="170">
        <f>IF(OR(H94="",E94="",P94=""),"",H94/(P94-E94+1))</f>
        <v/>
      </c>
      <c r="K94" s="165" t="n"/>
      <c r="L94" s="172">
        <f>IF(B94="","",IF(AF94&lt;=0,"Đã phân bổ",IF(P94&lt;=EDATE('Thiết lập'!$B$4,12),"Ngắn hạn","Dài hạn")))</f>
        <v/>
      </c>
      <c r="M94" s="165" t="n"/>
      <c r="N94" s="165" t="n"/>
      <c r="O94" s="165" t="n"/>
      <c r="P94" s="173">
        <f>IF(OR(E94="",I94=""),"",EDATE(E94,I94)-1)</f>
        <v/>
      </c>
      <c r="Q94" s="170">
        <f>IF(OR(B94="",E94="",P94=""),0,MIN(H94,MAX(0,MIN(P94,DATE('Thiết lập'!$B$3-1,12,31))-E94+1)*J94))</f>
        <v/>
      </c>
      <c r="R94" s="170">
        <f>IF(OR($B94="",R$4&gt;$P94,EOMONTH(R$4,0)&lt;$E94),0,MIN($H94,MAX(0,MIN(EOMONTH(R$4,0),$P94)-MAX(R$4,$E94)+1)*$J94))</f>
        <v/>
      </c>
      <c r="S94" s="170">
        <f>IF(OR($B94="",S$4&gt;$P94,EOMONTH(S$4,0)&lt;$E94),0,MIN($H94,MAX(0,MIN(EOMONTH(S$4,0),$P94)-MAX(S$4,$E94)+1)*$J94))</f>
        <v/>
      </c>
      <c r="T94" s="170">
        <f>IF(OR($B94="",T$4&gt;$P94,EOMONTH(T$4,0)&lt;$E94),0,MIN($H94,MAX(0,MIN(EOMONTH(T$4,0),$P94)-MAX(T$4,$E94)+1)*$J94))</f>
        <v/>
      </c>
      <c r="U94" s="170">
        <f>IF(OR($B94="",U$4&gt;$P94,EOMONTH(U$4,0)&lt;$E94),0,MIN($H94,MAX(0,MIN(EOMONTH(U$4,0),$P94)-MAX(U$4,$E94)+1)*$J94))</f>
        <v/>
      </c>
      <c r="V94" s="170">
        <f>IF(OR($B94="",V$4&gt;$P94,EOMONTH(V$4,0)&lt;$E94),0,MIN($H94,MAX(0,MIN(EOMONTH(V$4,0),$P94)-MAX(V$4,$E94)+1)*$J94))</f>
        <v/>
      </c>
      <c r="W94" s="170">
        <f>IF(OR($B94="",W$4&gt;$P94,EOMONTH(W$4,0)&lt;$E94),0,MIN($H94,MAX(0,MIN(EOMONTH(W$4,0),$P94)-MAX(W$4,$E94)+1)*$J94))</f>
        <v/>
      </c>
      <c r="X94" s="170">
        <f>IF(OR($B94="",X$4&gt;$P94,EOMONTH(X$4,0)&lt;$E94),0,MIN($H94,MAX(0,MIN(EOMONTH(X$4,0),$P94)-MAX(X$4,$E94)+1)*$J94))</f>
        <v/>
      </c>
      <c r="Y94" s="170">
        <f>IF(OR($B94="",Y$4&gt;$P94,EOMONTH(Y$4,0)&lt;$E94),0,MIN($H94,MAX(0,MIN(EOMONTH(Y$4,0),$P94)-MAX(Y$4,$E94)+1)*$J94))</f>
        <v/>
      </c>
      <c r="Z94" s="170">
        <f>IF(OR($B94="",Z$4&gt;$P94,EOMONTH(Z$4,0)&lt;$E94),0,MIN($H94,MAX(0,MIN(EOMONTH(Z$4,0),$P94)-MAX(Z$4,$E94)+1)*$J94))</f>
        <v/>
      </c>
      <c r="AA94" s="170">
        <f>IF(OR($B94="",AA$4&gt;$P94,EOMONTH(AA$4,0)&lt;$E94),0,MIN($H94,MAX(0,MIN(EOMONTH(AA$4,0),$P94)-MAX(AA$4,$E94)+1)*$J94))</f>
        <v/>
      </c>
      <c r="AB94" s="170">
        <f>IF(OR($B94="",AB$4&gt;$P94,EOMONTH(AB$4,0)&lt;$E94),0,MIN($H94,MAX(0,MIN(EOMONTH(AB$4,0),$P94)-MAX(AB$4,$E94)+1)*$J94))</f>
        <v/>
      </c>
      <c r="AC94" s="170">
        <f>IF(OR($B94="",AC$4&gt;$P94,EOMONTH(AC$4,0)&lt;$E94),0,MIN($H94,MAX(0,MIN(EOMONTH(AC$4,0),$P94)-MAX(AC$4,$E94)+1)*$J94))</f>
        <v/>
      </c>
      <c r="AD94" s="170">
        <f>IF(B94="","",ROUND(SUM(R94:AC94),0))</f>
        <v/>
      </c>
      <c r="AE94" s="170">
        <f>IF(B94="","",MIN(H94,ROUND(Q94+SUM(R94:AC94),0)))</f>
        <v/>
      </c>
      <c r="AF94" s="170">
        <f>IF(B94="","",MAX(H94-AE94,0))</f>
        <v/>
      </c>
      <c r="AG94" s="172">
        <f>IF(B94="","",IF('Thiết lập'!$B$4&lt;E94,"Chưa phân bổ",IF(P94&lt;='Thiết lập'!$B$4,"Đã phân bổ","Đang phân bổ")))</f>
        <v/>
      </c>
      <c r="AH94" s="166" t="n"/>
      <c r="AI94" s="174">
        <f>IF(B94="","",IF(AND(C94&lt;&gt;"",D94&lt;&gt;"",E94&lt;&gt;"",E94&gt;=D94,F94&gt;0,G94&gt;0,I94&gt;0,COUNTIF($B$7:$B$306,B94)=1),"OK",IF(C94="","Thiếu tên; ","")&amp;IF(D94="","Thiếu ngày tăng; ","")&amp;IF(E94="","Thiếu ngày bắt đầu; ","")&amp;IF(AND(D94&lt;&gt;"",E94&lt;&gt;"",E94&lt;D94),"Ngày bắt đầu &lt; ngày tăng; ","")&amp;IF(OR(F94="",F94&lt;=0),"Số lượng không hợp lệ; ","")&amp;IF(OR(G94="",G94&lt;=0),"Đơn giá không hợp lệ; ","")&amp;IF(OR(I94="",I94&lt;=0),"Số tháng không hợp lệ; ","")&amp;IF(COUNTIF($B$7:$B$306,B94)&gt;1,"Trùng mã CPTT; ","")))</f>
        <v/>
      </c>
    </row>
    <row r="95" ht="19.5" customHeight="1" s="98">
      <c r="A95" s="164">
        <f>IF(B95="","",ROW()-6)</f>
        <v/>
      </c>
      <c r="B95" s="165" t="n"/>
      <c r="C95" s="166" t="n"/>
      <c r="D95" s="167" t="n"/>
      <c r="E95" s="167" t="n"/>
      <c r="F95" s="168" t="n"/>
      <c r="G95" s="169" t="n"/>
      <c r="H95" s="170">
        <f>IF(OR(F95="",G95=""),"",F95*G95)</f>
        <v/>
      </c>
      <c r="I95" s="171" t="n"/>
      <c r="J95" s="170">
        <f>IF(OR(H95="",E95="",P95=""),"",H95/(P95-E95+1))</f>
        <v/>
      </c>
      <c r="K95" s="165" t="n"/>
      <c r="L95" s="172">
        <f>IF(B95="","",IF(AF95&lt;=0,"Đã phân bổ",IF(P95&lt;=EDATE('Thiết lập'!$B$4,12),"Ngắn hạn","Dài hạn")))</f>
        <v/>
      </c>
      <c r="M95" s="165" t="n"/>
      <c r="N95" s="165" t="n"/>
      <c r="O95" s="165" t="n"/>
      <c r="P95" s="173">
        <f>IF(OR(E95="",I95=""),"",EDATE(E95,I95)-1)</f>
        <v/>
      </c>
      <c r="Q95" s="170">
        <f>IF(OR(B95="",E95="",P95=""),0,MIN(H95,MAX(0,MIN(P95,DATE('Thiết lập'!$B$3-1,12,31))-E95+1)*J95))</f>
        <v/>
      </c>
      <c r="R95" s="170">
        <f>IF(OR($B95="",R$4&gt;$P95,EOMONTH(R$4,0)&lt;$E95),0,MIN($H95,MAX(0,MIN(EOMONTH(R$4,0),$P95)-MAX(R$4,$E95)+1)*$J95))</f>
        <v/>
      </c>
      <c r="S95" s="170">
        <f>IF(OR($B95="",S$4&gt;$P95,EOMONTH(S$4,0)&lt;$E95),0,MIN($H95,MAX(0,MIN(EOMONTH(S$4,0),$P95)-MAX(S$4,$E95)+1)*$J95))</f>
        <v/>
      </c>
      <c r="T95" s="170">
        <f>IF(OR($B95="",T$4&gt;$P95,EOMONTH(T$4,0)&lt;$E95),0,MIN($H95,MAX(0,MIN(EOMONTH(T$4,0),$P95)-MAX(T$4,$E95)+1)*$J95))</f>
        <v/>
      </c>
      <c r="U95" s="170">
        <f>IF(OR($B95="",U$4&gt;$P95,EOMONTH(U$4,0)&lt;$E95),0,MIN($H95,MAX(0,MIN(EOMONTH(U$4,0),$P95)-MAX(U$4,$E95)+1)*$J95))</f>
        <v/>
      </c>
      <c r="V95" s="170">
        <f>IF(OR($B95="",V$4&gt;$P95,EOMONTH(V$4,0)&lt;$E95),0,MIN($H95,MAX(0,MIN(EOMONTH(V$4,0),$P95)-MAX(V$4,$E95)+1)*$J95))</f>
        <v/>
      </c>
      <c r="W95" s="170">
        <f>IF(OR($B95="",W$4&gt;$P95,EOMONTH(W$4,0)&lt;$E95),0,MIN($H95,MAX(0,MIN(EOMONTH(W$4,0),$P95)-MAX(W$4,$E95)+1)*$J95))</f>
        <v/>
      </c>
      <c r="X95" s="170">
        <f>IF(OR($B95="",X$4&gt;$P95,EOMONTH(X$4,0)&lt;$E95),0,MIN($H95,MAX(0,MIN(EOMONTH(X$4,0),$P95)-MAX(X$4,$E95)+1)*$J95))</f>
        <v/>
      </c>
      <c r="Y95" s="170">
        <f>IF(OR($B95="",Y$4&gt;$P95,EOMONTH(Y$4,0)&lt;$E95),0,MIN($H95,MAX(0,MIN(EOMONTH(Y$4,0),$P95)-MAX(Y$4,$E95)+1)*$J95))</f>
        <v/>
      </c>
      <c r="Z95" s="170">
        <f>IF(OR($B95="",Z$4&gt;$P95,EOMONTH(Z$4,0)&lt;$E95),0,MIN($H95,MAX(0,MIN(EOMONTH(Z$4,0),$P95)-MAX(Z$4,$E95)+1)*$J95))</f>
        <v/>
      </c>
      <c r="AA95" s="170">
        <f>IF(OR($B95="",AA$4&gt;$P95,EOMONTH(AA$4,0)&lt;$E95),0,MIN($H95,MAX(0,MIN(EOMONTH(AA$4,0),$P95)-MAX(AA$4,$E95)+1)*$J95))</f>
        <v/>
      </c>
      <c r="AB95" s="170">
        <f>IF(OR($B95="",AB$4&gt;$P95,EOMONTH(AB$4,0)&lt;$E95),0,MIN($H95,MAX(0,MIN(EOMONTH(AB$4,0),$P95)-MAX(AB$4,$E95)+1)*$J95))</f>
        <v/>
      </c>
      <c r="AC95" s="170">
        <f>IF(OR($B95="",AC$4&gt;$P95,EOMONTH(AC$4,0)&lt;$E95),0,MIN($H95,MAX(0,MIN(EOMONTH(AC$4,0),$P95)-MAX(AC$4,$E95)+1)*$J95))</f>
        <v/>
      </c>
      <c r="AD95" s="170">
        <f>IF(B95="","",ROUND(SUM(R95:AC95),0))</f>
        <v/>
      </c>
      <c r="AE95" s="170">
        <f>IF(B95="","",MIN(H95,ROUND(Q95+SUM(R95:AC95),0)))</f>
        <v/>
      </c>
      <c r="AF95" s="170">
        <f>IF(B95="","",MAX(H95-AE95,0))</f>
        <v/>
      </c>
      <c r="AG95" s="172">
        <f>IF(B95="","",IF('Thiết lập'!$B$4&lt;E95,"Chưa phân bổ",IF(P95&lt;='Thiết lập'!$B$4,"Đã phân bổ","Đang phân bổ")))</f>
        <v/>
      </c>
      <c r="AH95" s="166" t="n"/>
      <c r="AI95" s="174">
        <f>IF(B95="","",IF(AND(C95&lt;&gt;"",D95&lt;&gt;"",E95&lt;&gt;"",E95&gt;=D95,F95&gt;0,G95&gt;0,I95&gt;0,COUNTIF($B$7:$B$306,B95)=1),"OK",IF(C95="","Thiếu tên; ","")&amp;IF(D95="","Thiếu ngày tăng; ","")&amp;IF(E95="","Thiếu ngày bắt đầu; ","")&amp;IF(AND(D95&lt;&gt;"",E95&lt;&gt;"",E95&lt;D95),"Ngày bắt đầu &lt; ngày tăng; ","")&amp;IF(OR(F95="",F95&lt;=0),"Số lượng không hợp lệ; ","")&amp;IF(OR(G95="",G95&lt;=0),"Đơn giá không hợp lệ; ","")&amp;IF(OR(I95="",I95&lt;=0),"Số tháng không hợp lệ; ","")&amp;IF(COUNTIF($B$7:$B$306,B95)&gt;1,"Trùng mã CPTT; ","")))</f>
        <v/>
      </c>
    </row>
    <row r="96" ht="19.5" customHeight="1" s="98">
      <c r="A96" s="164">
        <f>IF(B96="","",ROW()-6)</f>
        <v/>
      </c>
      <c r="B96" s="165" t="n"/>
      <c r="C96" s="166" t="n"/>
      <c r="D96" s="167" t="n"/>
      <c r="E96" s="167" t="n"/>
      <c r="F96" s="168" t="n"/>
      <c r="G96" s="169" t="n"/>
      <c r="H96" s="170">
        <f>IF(OR(F96="",G96=""),"",F96*G96)</f>
        <v/>
      </c>
      <c r="I96" s="171" t="n"/>
      <c r="J96" s="170">
        <f>IF(OR(H96="",E96="",P96=""),"",H96/(P96-E96+1))</f>
        <v/>
      </c>
      <c r="K96" s="165" t="n"/>
      <c r="L96" s="172">
        <f>IF(B96="","",IF(AF96&lt;=0,"Đã phân bổ",IF(P96&lt;=EDATE('Thiết lập'!$B$4,12),"Ngắn hạn","Dài hạn")))</f>
        <v/>
      </c>
      <c r="M96" s="165" t="n"/>
      <c r="N96" s="165" t="n"/>
      <c r="O96" s="165" t="n"/>
      <c r="P96" s="173">
        <f>IF(OR(E96="",I96=""),"",EDATE(E96,I96)-1)</f>
        <v/>
      </c>
      <c r="Q96" s="170">
        <f>IF(OR(B96="",E96="",P96=""),0,MIN(H96,MAX(0,MIN(P96,DATE('Thiết lập'!$B$3-1,12,31))-E96+1)*J96))</f>
        <v/>
      </c>
      <c r="R96" s="170">
        <f>IF(OR($B96="",R$4&gt;$P96,EOMONTH(R$4,0)&lt;$E96),0,MIN($H96,MAX(0,MIN(EOMONTH(R$4,0),$P96)-MAX(R$4,$E96)+1)*$J96))</f>
        <v/>
      </c>
      <c r="S96" s="170">
        <f>IF(OR($B96="",S$4&gt;$P96,EOMONTH(S$4,0)&lt;$E96),0,MIN($H96,MAX(0,MIN(EOMONTH(S$4,0),$P96)-MAX(S$4,$E96)+1)*$J96))</f>
        <v/>
      </c>
      <c r="T96" s="170">
        <f>IF(OR($B96="",T$4&gt;$P96,EOMONTH(T$4,0)&lt;$E96),0,MIN($H96,MAX(0,MIN(EOMONTH(T$4,0),$P96)-MAX(T$4,$E96)+1)*$J96))</f>
        <v/>
      </c>
      <c r="U96" s="170">
        <f>IF(OR($B96="",U$4&gt;$P96,EOMONTH(U$4,0)&lt;$E96),0,MIN($H96,MAX(0,MIN(EOMONTH(U$4,0),$P96)-MAX(U$4,$E96)+1)*$J96))</f>
        <v/>
      </c>
      <c r="V96" s="170">
        <f>IF(OR($B96="",V$4&gt;$P96,EOMONTH(V$4,0)&lt;$E96),0,MIN($H96,MAX(0,MIN(EOMONTH(V$4,0),$P96)-MAX(V$4,$E96)+1)*$J96))</f>
        <v/>
      </c>
      <c r="W96" s="170">
        <f>IF(OR($B96="",W$4&gt;$P96,EOMONTH(W$4,0)&lt;$E96),0,MIN($H96,MAX(0,MIN(EOMONTH(W$4,0),$P96)-MAX(W$4,$E96)+1)*$J96))</f>
        <v/>
      </c>
      <c r="X96" s="170">
        <f>IF(OR($B96="",X$4&gt;$P96,EOMONTH(X$4,0)&lt;$E96),0,MIN($H96,MAX(0,MIN(EOMONTH(X$4,0),$P96)-MAX(X$4,$E96)+1)*$J96))</f>
        <v/>
      </c>
      <c r="Y96" s="170">
        <f>IF(OR($B96="",Y$4&gt;$P96,EOMONTH(Y$4,0)&lt;$E96),0,MIN($H96,MAX(0,MIN(EOMONTH(Y$4,0),$P96)-MAX(Y$4,$E96)+1)*$J96))</f>
        <v/>
      </c>
      <c r="Z96" s="170">
        <f>IF(OR($B96="",Z$4&gt;$P96,EOMONTH(Z$4,0)&lt;$E96),0,MIN($H96,MAX(0,MIN(EOMONTH(Z$4,0),$P96)-MAX(Z$4,$E96)+1)*$J96))</f>
        <v/>
      </c>
      <c r="AA96" s="170">
        <f>IF(OR($B96="",AA$4&gt;$P96,EOMONTH(AA$4,0)&lt;$E96),0,MIN($H96,MAX(0,MIN(EOMONTH(AA$4,0),$P96)-MAX(AA$4,$E96)+1)*$J96))</f>
        <v/>
      </c>
      <c r="AB96" s="170">
        <f>IF(OR($B96="",AB$4&gt;$P96,EOMONTH(AB$4,0)&lt;$E96),0,MIN($H96,MAX(0,MIN(EOMONTH(AB$4,0),$P96)-MAX(AB$4,$E96)+1)*$J96))</f>
        <v/>
      </c>
      <c r="AC96" s="170">
        <f>IF(OR($B96="",AC$4&gt;$P96,EOMONTH(AC$4,0)&lt;$E96),0,MIN($H96,MAX(0,MIN(EOMONTH(AC$4,0),$P96)-MAX(AC$4,$E96)+1)*$J96))</f>
        <v/>
      </c>
      <c r="AD96" s="170">
        <f>IF(B96="","",ROUND(SUM(R96:AC96),0))</f>
        <v/>
      </c>
      <c r="AE96" s="170">
        <f>IF(B96="","",MIN(H96,ROUND(Q96+SUM(R96:AC96),0)))</f>
        <v/>
      </c>
      <c r="AF96" s="170">
        <f>IF(B96="","",MAX(H96-AE96,0))</f>
        <v/>
      </c>
      <c r="AG96" s="172">
        <f>IF(B96="","",IF('Thiết lập'!$B$4&lt;E96,"Chưa phân bổ",IF(P96&lt;='Thiết lập'!$B$4,"Đã phân bổ","Đang phân bổ")))</f>
        <v/>
      </c>
      <c r="AH96" s="166" t="n"/>
      <c r="AI96" s="174">
        <f>IF(B96="","",IF(AND(C96&lt;&gt;"",D96&lt;&gt;"",E96&lt;&gt;"",E96&gt;=D96,F96&gt;0,G96&gt;0,I96&gt;0,COUNTIF($B$7:$B$306,B96)=1),"OK",IF(C96="","Thiếu tên; ","")&amp;IF(D96="","Thiếu ngày tăng; ","")&amp;IF(E96="","Thiếu ngày bắt đầu; ","")&amp;IF(AND(D96&lt;&gt;"",E96&lt;&gt;"",E96&lt;D96),"Ngày bắt đầu &lt; ngày tăng; ","")&amp;IF(OR(F96="",F96&lt;=0),"Số lượng không hợp lệ; ","")&amp;IF(OR(G96="",G96&lt;=0),"Đơn giá không hợp lệ; ","")&amp;IF(OR(I96="",I96&lt;=0),"Số tháng không hợp lệ; ","")&amp;IF(COUNTIF($B$7:$B$306,B96)&gt;1,"Trùng mã CPTT; ","")))</f>
        <v/>
      </c>
    </row>
    <row r="97" ht="19.5" customHeight="1" s="98">
      <c r="A97" s="164">
        <f>IF(B97="","",ROW()-6)</f>
        <v/>
      </c>
      <c r="B97" s="165" t="n"/>
      <c r="C97" s="166" t="n"/>
      <c r="D97" s="167" t="n"/>
      <c r="E97" s="167" t="n"/>
      <c r="F97" s="168" t="n"/>
      <c r="G97" s="169" t="n"/>
      <c r="H97" s="170">
        <f>IF(OR(F97="",G97=""),"",F97*G97)</f>
        <v/>
      </c>
      <c r="I97" s="171" t="n"/>
      <c r="J97" s="170">
        <f>IF(OR(H97="",E97="",P97=""),"",H97/(P97-E97+1))</f>
        <v/>
      </c>
      <c r="K97" s="165" t="n"/>
      <c r="L97" s="172">
        <f>IF(B97="","",IF(AF97&lt;=0,"Đã phân bổ",IF(P97&lt;=EDATE('Thiết lập'!$B$4,12),"Ngắn hạn","Dài hạn")))</f>
        <v/>
      </c>
      <c r="M97" s="165" t="n"/>
      <c r="N97" s="165" t="n"/>
      <c r="O97" s="165" t="n"/>
      <c r="P97" s="173">
        <f>IF(OR(E97="",I97=""),"",EDATE(E97,I97)-1)</f>
        <v/>
      </c>
      <c r="Q97" s="170">
        <f>IF(OR(B97="",E97="",P97=""),0,MIN(H97,MAX(0,MIN(P97,DATE('Thiết lập'!$B$3-1,12,31))-E97+1)*J97))</f>
        <v/>
      </c>
      <c r="R97" s="170">
        <f>IF(OR($B97="",R$4&gt;$P97,EOMONTH(R$4,0)&lt;$E97),0,MIN($H97,MAX(0,MIN(EOMONTH(R$4,0),$P97)-MAX(R$4,$E97)+1)*$J97))</f>
        <v/>
      </c>
      <c r="S97" s="170">
        <f>IF(OR($B97="",S$4&gt;$P97,EOMONTH(S$4,0)&lt;$E97),0,MIN($H97,MAX(0,MIN(EOMONTH(S$4,0),$P97)-MAX(S$4,$E97)+1)*$J97))</f>
        <v/>
      </c>
      <c r="T97" s="170">
        <f>IF(OR($B97="",T$4&gt;$P97,EOMONTH(T$4,0)&lt;$E97),0,MIN($H97,MAX(0,MIN(EOMONTH(T$4,0),$P97)-MAX(T$4,$E97)+1)*$J97))</f>
        <v/>
      </c>
      <c r="U97" s="170">
        <f>IF(OR($B97="",U$4&gt;$P97,EOMONTH(U$4,0)&lt;$E97),0,MIN($H97,MAX(0,MIN(EOMONTH(U$4,0),$P97)-MAX(U$4,$E97)+1)*$J97))</f>
        <v/>
      </c>
      <c r="V97" s="170">
        <f>IF(OR($B97="",V$4&gt;$P97,EOMONTH(V$4,0)&lt;$E97),0,MIN($H97,MAX(0,MIN(EOMONTH(V$4,0),$P97)-MAX(V$4,$E97)+1)*$J97))</f>
        <v/>
      </c>
      <c r="W97" s="170">
        <f>IF(OR($B97="",W$4&gt;$P97,EOMONTH(W$4,0)&lt;$E97),0,MIN($H97,MAX(0,MIN(EOMONTH(W$4,0),$P97)-MAX(W$4,$E97)+1)*$J97))</f>
        <v/>
      </c>
      <c r="X97" s="170">
        <f>IF(OR($B97="",X$4&gt;$P97,EOMONTH(X$4,0)&lt;$E97),0,MIN($H97,MAX(0,MIN(EOMONTH(X$4,0),$P97)-MAX(X$4,$E97)+1)*$J97))</f>
        <v/>
      </c>
      <c r="Y97" s="170">
        <f>IF(OR($B97="",Y$4&gt;$P97,EOMONTH(Y$4,0)&lt;$E97),0,MIN($H97,MAX(0,MIN(EOMONTH(Y$4,0),$P97)-MAX(Y$4,$E97)+1)*$J97))</f>
        <v/>
      </c>
      <c r="Z97" s="170">
        <f>IF(OR($B97="",Z$4&gt;$P97,EOMONTH(Z$4,0)&lt;$E97),0,MIN($H97,MAX(0,MIN(EOMONTH(Z$4,0),$P97)-MAX(Z$4,$E97)+1)*$J97))</f>
        <v/>
      </c>
      <c r="AA97" s="170">
        <f>IF(OR($B97="",AA$4&gt;$P97,EOMONTH(AA$4,0)&lt;$E97),0,MIN($H97,MAX(0,MIN(EOMONTH(AA$4,0),$P97)-MAX(AA$4,$E97)+1)*$J97))</f>
        <v/>
      </c>
      <c r="AB97" s="170">
        <f>IF(OR($B97="",AB$4&gt;$P97,EOMONTH(AB$4,0)&lt;$E97),0,MIN($H97,MAX(0,MIN(EOMONTH(AB$4,0),$P97)-MAX(AB$4,$E97)+1)*$J97))</f>
        <v/>
      </c>
      <c r="AC97" s="170">
        <f>IF(OR($B97="",AC$4&gt;$P97,EOMONTH(AC$4,0)&lt;$E97),0,MIN($H97,MAX(0,MIN(EOMONTH(AC$4,0),$P97)-MAX(AC$4,$E97)+1)*$J97))</f>
        <v/>
      </c>
      <c r="AD97" s="170">
        <f>IF(B97="","",ROUND(SUM(R97:AC97),0))</f>
        <v/>
      </c>
      <c r="AE97" s="170">
        <f>IF(B97="","",MIN(H97,ROUND(Q97+SUM(R97:AC97),0)))</f>
        <v/>
      </c>
      <c r="AF97" s="170">
        <f>IF(B97="","",MAX(H97-AE97,0))</f>
        <v/>
      </c>
      <c r="AG97" s="172">
        <f>IF(B97="","",IF('Thiết lập'!$B$4&lt;E97,"Chưa phân bổ",IF(P97&lt;='Thiết lập'!$B$4,"Đã phân bổ","Đang phân bổ")))</f>
        <v/>
      </c>
      <c r="AH97" s="166" t="n"/>
      <c r="AI97" s="174">
        <f>IF(B97="","",IF(AND(C97&lt;&gt;"",D97&lt;&gt;"",E97&lt;&gt;"",E97&gt;=D97,F97&gt;0,G97&gt;0,I97&gt;0,COUNTIF($B$7:$B$306,B97)=1),"OK",IF(C97="","Thiếu tên; ","")&amp;IF(D97="","Thiếu ngày tăng; ","")&amp;IF(E97="","Thiếu ngày bắt đầu; ","")&amp;IF(AND(D97&lt;&gt;"",E97&lt;&gt;"",E97&lt;D97),"Ngày bắt đầu &lt; ngày tăng; ","")&amp;IF(OR(F97="",F97&lt;=0),"Số lượng không hợp lệ; ","")&amp;IF(OR(G97="",G97&lt;=0),"Đơn giá không hợp lệ; ","")&amp;IF(OR(I97="",I97&lt;=0),"Số tháng không hợp lệ; ","")&amp;IF(COUNTIF($B$7:$B$306,B97)&gt;1,"Trùng mã CPTT; ","")))</f>
        <v/>
      </c>
    </row>
    <row r="98" ht="19.5" customHeight="1" s="98">
      <c r="A98" s="164">
        <f>IF(B98="","",ROW()-6)</f>
        <v/>
      </c>
      <c r="B98" s="165" t="n"/>
      <c r="C98" s="166" t="n"/>
      <c r="D98" s="167" t="n"/>
      <c r="E98" s="167" t="n"/>
      <c r="F98" s="168" t="n"/>
      <c r="G98" s="169" t="n"/>
      <c r="H98" s="170">
        <f>IF(OR(F98="",G98=""),"",F98*G98)</f>
        <v/>
      </c>
      <c r="I98" s="171" t="n"/>
      <c r="J98" s="170">
        <f>IF(OR(H98="",E98="",P98=""),"",H98/(P98-E98+1))</f>
        <v/>
      </c>
      <c r="K98" s="165" t="n"/>
      <c r="L98" s="172">
        <f>IF(B98="","",IF(AF98&lt;=0,"Đã phân bổ",IF(P98&lt;=EDATE('Thiết lập'!$B$4,12),"Ngắn hạn","Dài hạn")))</f>
        <v/>
      </c>
      <c r="M98" s="165" t="n"/>
      <c r="N98" s="165" t="n"/>
      <c r="O98" s="165" t="n"/>
      <c r="P98" s="173">
        <f>IF(OR(E98="",I98=""),"",EDATE(E98,I98)-1)</f>
        <v/>
      </c>
      <c r="Q98" s="170">
        <f>IF(OR(B98="",E98="",P98=""),0,MIN(H98,MAX(0,MIN(P98,DATE('Thiết lập'!$B$3-1,12,31))-E98+1)*J98))</f>
        <v/>
      </c>
      <c r="R98" s="170">
        <f>IF(OR($B98="",R$4&gt;$P98,EOMONTH(R$4,0)&lt;$E98),0,MIN($H98,MAX(0,MIN(EOMONTH(R$4,0),$P98)-MAX(R$4,$E98)+1)*$J98))</f>
        <v/>
      </c>
      <c r="S98" s="170">
        <f>IF(OR($B98="",S$4&gt;$P98,EOMONTH(S$4,0)&lt;$E98),0,MIN($H98,MAX(0,MIN(EOMONTH(S$4,0),$P98)-MAX(S$4,$E98)+1)*$J98))</f>
        <v/>
      </c>
      <c r="T98" s="170">
        <f>IF(OR($B98="",T$4&gt;$P98,EOMONTH(T$4,0)&lt;$E98),0,MIN($H98,MAX(0,MIN(EOMONTH(T$4,0),$P98)-MAX(T$4,$E98)+1)*$J98))</f>
        <v/>
      </c>
      <c r="U98" s="170">
        <f>IF(OR($B98="",U$4&gt;$P98,EOMONTH(U$4,0)&lt;$E98),0,MIN($H98,MAX(0,MIN(EOMONTH(U$4,0),$P98)-MAX(U$4,$E98)+1)*$J98))</f>
        <v/>
      </c>
      <c r="V98" s="170">
        <f>IF(OR($B98="",V$4&gt;$P98,EOMONTH(V$4,0)&lt;$E98),0,MIN($H98,MAX(0,MIN(EOMONTH(V$4,0),$P98)-MAX(V$4,$E98)+1)*$J98))</f>
        <v/>
      </c>
      <c r="W98" s="170">
        <f>IF(OR($B98="",W$4&gt;$P98,EOMONTH(W$4,0)&lt;$E98),0,MIN($H98,MAX(0,MIN(EOMONTH(W$4,0),$P98)-MAX(W$4,$E98)+1)*$J98))</f>
        <v/>
      </c>
      <c r="X98" s="170">
        <f>IF(OR($B98="",X$4&gt;$P98,EOMONTH(X$4,0)&lt;$E98),0,MIN($H98,MAX(0,MIN(EOMONTH(X$4,0),$P98)-MAX(X$4,$E98)+1)*$J98))</f>
        <v/>
      </c>
      <c r="Y98" s="170">
        <f>IF(OR($B98="",Y$4&gt;$P98,EOMONTH(Y$4,0)&lt;$E98),0,MIN($H98,MAX(0,MIN(EOMONTH(Y$4,0),$P98)-MAX(Y$4,$E98)+1)*$J98))</f>
        <v/>
      </c>
      <c r="Z98" s="170">
        <f>IF(OR($B98="",Z$4&gt;$P98,EOMONTH(Z$4,0)&lt;$E98),0,MIN($H98,MAX(0,MIN(EOMONTH(Z$4,0),$P98)-MAX(Z$4,$E98)+1)*$J98))</f>
        <v/>
      </c>
      <c r="AA98" s="170">
        <f>IF(OR($B98="",AA$4&gt;$P98,EOMONTH(AA$4,0)&lt;$E98),0,MIN($H98,MAX(0,MIN(EOMONTH(AA$4,0),$P98)-MAX(AA$4,$E98)+1)*$J98))</f>
        <v/>
      </c>
      <c r="AB98" s="170">
        <f>IF(OR($B98="",AB$4&gt;$P98,EOMONTH(AB$4,0)&lt;$E98),0,MIN($H98,MAX(0,MIN(EOMONTH(AB$4,0),$P98)-MAX(AB$4,$E98)+1)*$J98))</f>
        <v/>
      </c>
      <c r="AC98" s="170">
        <f>IF(OR($B98="",AC$4&gt;$P98,EOMONTH(AC$4,0)&lt;$E98),0,MIN($H98,MAX(0,MIN(EOMONTH(AC$4,0),$P98)-MAX(AC$4,$E98)+1)*$J98))</f>
        <v/>
      </c>
      <c r="AD98" s="170">
        <f>IF(B98="","",ROUND(SUM(R98:AC98),0))</f>
        <v/>
      </c>
      <c r="AE98" s="170">
        <f>IF(B98="","",MIN(H98,ROUND(Q98+SUM(R98:AC98),0)))</f>
        <v/>
      </c>
      <c r="AF98" s="170">
        <f>IF(B98="","",MAX(H98-AE98,0))</f>
        <v/>
      </c>
      <c r="AG98" s="172">
        <f>IF(B98="","",IF('Thiết lập'!$B$4&lt;E98,"Chưa phân bổ",IF(P98&lt;='Thiết lập'!$B$4,"Đã phân bổ","Đang phân bổ")))</f>
        <v/>
      </c>
      <c r="AH98" s="166" t="n"/>
      <c r="AI98" s="174">
        <f>IF(B98="","",IF(AND(C98&lt;&gt;"",D98&lt;&gt;"",E98&lt;&gt;"",E98&gt;=D98,F98&gt;0,G98&gt;0,I98&gt;0,COUNTIF($B$7:$B$306,B98)=1),"OK",IF(C98="","Thiếu tên; ","")&amp;IF(D98="","Thiếu ngày tăng; ","")&amp;IF(E98="","Thiếu ngày bắt đầu; ","")&amp;IF(AND(D98&lt;&gt;"",E98&lt;&gt;"",E98&lt;D98),"Ngày bắt đầu &lt; ngày tăng; ","")&amp;IF(OR(F98="",F98&lt;=0),"Số lượng không hợp lệ; ","")&amp;IF(OR(G98="",G98&lt;=0),"Đơn giá không hợp lệ; ","")&amp;IF(OR(I98="",I98&lt;=0),"Số tháng không hợp lệ; ","")&amp;IF(COUNTIF($B$7:$B$306,B98)&gt;1,"Trùng mã CPTT; ","")))</f>
        <v/>
      </c>
    </row>
    <row r="99" ht="19.5" customHeight="1" s="98">
      <c r="A99" s="164">
        <f>IF(B99="","",ROW()-6)</f>
        <v/>
      </c>
      <c r="B99" s="165" t="n"/>
      <c r="C99" s="166" t="n"/>
      <c r="D99" s="167" t="n"/>
      <c r="E99" s="167" t="n"/>
      <c r="F99" s="168" t="n"/>
      <c r="G99" s="169" t="n"/>
      <c r="H99" s="170">
        <f>IF(OR(F99="",G99=""),"",F99*G99)</f>
        <v/>
      </c>
      <c r="I99" s="171" t="n"/>
      <c r="J99" s="170">
        <f>IF(OR(H99="",E99="",P99=""),"",H99/(P99-E99+1))</f>
        <v/>
      </c>
      <c r="K99" s="165" t="n"/>
      <c r="L99" s="172">
        <f>IF(B99="","",IF(AF99&lt;=0,"Đã phân bổ",IF(P99&lt;=EDATE('Thiết lập'!$B$4,12),"Ngắn hạn","Dài hạn")))</f>
        <v/>
      </c>
      <c r="M99" s="165" t="n"/>
      <c r="N99" s="165" t="n"/>
      <c r="O99" s="165" t="n"/>
      <c r="P99" s="173">
        <f>IF(OR(E99="",I99=""),"",EDATE(E99,I99)-1)</f>
        <v/>
      </c>
      <c r="Q99" s="170">
        <f>IF(OR(B99="",E99="",P99=""),0,MIN(H99,MAX(0,MIN(P99,DATE('Thiết lập'!$B$3-1,12,31))-E99+1)*J99))</f>
        <v/>
      </c>
      <c r="R99" s="170">
        <f>IF(OR($B99="",R$4&gt;$P99,EOMONTH(R$4,0)&lt;$E99),0,MIN($H99,MAX(0,MIN(EOMONTH(R$4,0),$P99)-MAX(R$4,$E99)+1)*$J99))</f>
        <v/>
      </c>
      <c r="S99" s="170">
        <f>IF(OR($B99="",S$4&gt;$P99,EOMONTH(S$4,0)&lt;$E99),0,MIN($H99,MAX(0,MIN(EOMONTH(S$4,0),$P99)-MAX(S$4,$E99)+1)*$J99))</f>
        <v/>
      </c>
      <c r="T99" s="170">
        <f>IF(OR($B99="",T$4&gt;$P99,EOMONTH(T$4,0)&lt;$E99),0,MIN($H99,MAX(0,MIN(EOMONTH(T$4,0),$P99)-MAX(T$4,$E99)+1)*$J99))</f>
        <v/>
      </c>
      <c r="U99" s="170">
        <f>IF(OR($B99="",U$4&gt;$P99,EOMONTH(U$4,0)&lt;$E99),0,MIN($H99,MAX(0,MIN(EOMONTH(U$4,0),$P99)-MAX(U$4,$E99)+1)*$J99))</f>
        <v/>
      </c>
      <c r="V99" s="170">
        <f>IF(OR($B99="",V$4&gt;$P99,EOMONTH(V$4,0)&lt;$E99),0,MIN($H99,MAX(0,MIN(EOMONTH(V$4,0),$P99)-MAX(V$4,$E99)+1)*$J99))</f>
        <v/>
      </c>
      <c r="W99" s="170">
        <f>IF(OR($B99="",W$4&gt;$P99,EOMONTH(W$4,0)&lt;$E99),0,MIN($H99,MAX(0,MIN(EOMONTH(W$4,0),$P99)-MAX(W$4,$E99)+1)*$J99))</f>
        <v/>
      </c>
      <c r="X99" s="170">
        <f>IF(OR($B99="",X$4&gt;$P99,EOMONTH(X$4,0)&lt;$E99),0,MIN($H99,MAX(0,MIN(EOMONTH(X$4,0),$P99)-MAX(X$4,$E99)+1)*$J99))</f>
        <v/>
      </c>
      <c r="Y99" s="170">
        <f>IF(OR($B99="",Y$4&gt;$P99,EOMONTH(Y$4,0)&lt;$E99),0,MIN($H99,MAX(0,MIN(EOMONTH(Y$4,0),$P99)-MAX(Y$4,$E99)+1)*$J99))</f>
        <v/>
      </c>
      <c r="Z99" s="170">
        <f>IF(OR($B99="",Z$4&gt;$P99,EOMONTH(Z$4,0)&lt;$E99),0,MIN($H99,MAX(0,MIN(EOMONTH(Z$4,0),$P99)-MAX(Z$4,$E99)+1)*$J99))</f>
        <v/>
      </c>
      <c r="AA99" s="170">
        <f>IF(OR($B99="",AA$4&gt;$P99,EOMONTH(AA$4,0)&lt;$E99),0,MIN($H99,MAX(0,MIN(EOMONTH(AA$4,0),$P99)-MAX(AA$4,$E99)+1)*$J99))</f>
        <v/>
      </c>
      <c r="AB99" s="170">
        <f>IF(OR($B99="",AB$4&gt;$P99,EOMONTH(AB$4,0)&lt;$E99),0,MIN($H99,MAX(0,MIN(EOMONTH(AB$4,0),$P99)-MAX(AB$4,$E99)+1)*$J99))</f>
        <v/>
      </c>
      <c r="AC99" s="170">
        <f>IF(OR($B99="",AC$4&gt;$P99,EOMONTH(AC$4,0)&lt;$E99),0,MIN($H99,MAX(0,MIN(EOMONTH(AC$4,0),$P99)-MAX(AC$4,$E99)+1)*$J99))</f>
        <v/>
      </c>
      <c r="AD99" s="170">
        <f>IF(B99="","",ROUND(SUM(R99:AC99),0))</f>
        <v/>
      </c>
      <c r="AE99" s="170">
        <f>IF(B99="","",MIN(H99,ROUND(Q99+SUM(R99:AC99),0)))</f>
        <v/>
      </c>
      <c r="AF99" s="170">
        <f>IF(B99="","",MAX(H99-AE99,0))</f>
        <v/>
      </c>
      <c r="AG99" s="172">
        <f>IF(B99="","",IF('Thiết lập'!$B$4&lt;E99,"Chưa phân bổ",IF(P99&lt;='Thiết lập'!$B$4,"Đã phân bổ","Đang phân bổ")))</f>
        <v/>
      </c>
      <c r="AH99" s="166" t="n"/>
      <c r="AI99" s="174">
        <f>IF(B99="","",IF(AND(C99&lt;&gt;"",D99&lt;&gt;"",E99&lt;&gt;"",E99&gt;=D99,F99&gt;0,G99&gt;0,I99&gt;0,COUNTIF($B$7:$B$306,B99)=1),"OK",IF(C99="","Thiếu tên; ","")&amp;IF(D99="","Thiếu ngày tăng; ","")&amp;IF(E99="","Thiếu ngày bắt đầu; ","")&amp;IF(AND(D99&lt;&gt;"",E99&lt;&gt;"",E99&lt;D99),"Ngày bắt đầu &lt; ngày tăng; ","")&amp;IF(OR(F99="",F99&lt;=0),"Số lượng không hợp lệ; ","")&amp;IF(OR(G99="",G99&lt;=0),"Đơn giá không hợp lệ; ","")&amp;IF(OR(I99="",I99&lt;=0),"Số tháng không hợp lệ; ","")&amp;IF(COUNTIF($B$7:$B$306,B99)&gt;1,"Trùng mã CPTT; ","")))</f>
        <v/>
      </c>
    </row>
    <row r="100" ht="19.5" customHeight="1" s="98">
      <c r="A100" s="164">
        <f>IF(B100="","",ROW()-6)</f>
        <v/>
      </c>
      <c r="B100" s="165" t="n"/>
      <c r="C100" s="166" t="n"/>
      <c r="D100" s="167" t="n"/>
      <c r="E100" s="167" t="n"/>
      <c r="F100" s="168" t="n"/>
      <c r="G100" s="169" t="n"/>
      <c r="H100" s="170">
        <f>IF(OR(F100="",G100=""),"",F100*G100)</f>
        <v/>
      </c>
      <c r="I100" s="171" t="n"/>
      <c r="J100" s="170">
        <f>IF(OR(H100="",E100="",P100=""),"",H100/(P100-E100+1))</f>
        <v/>
      </c>
      <c r="K100" s="165" t="n"/>
      <c r="L100" s="172">
        <f>IF(B100="","",IF(AF100&lt;=0,"Đã phân bổ",IF(P100&lt;=EDATE('Thiết lập'!$B$4,12),"Ngắn hạn","Dài hạn")))</f>
        <v/>
      </c>
      <c r="M100" s="165" t="n"/>
      <c r="N100" s="165" t="n"/>
      <c r="O100" s="165" t="n"/>
      <c r="P100" s="173">
        <f>IF(OR(E100="",I100=""),"",EDATE(E100,I100)-1)</f>
        <v/>
      </c>
      <c r="Q100" s="170">
        <f>IF(OR(B100="",E100="",P100=""),0,MIN(H100,MAX(0,MIN(P100,DATE('Thiết lập'!$B$3-1,12,31))-E100+1)*J100))</f>
        <v/>
      </c>
      <c r="R100" s="170">
        <f>IF(OR($B100="",R$4&gt;$P100,EOMONTH(R$4,0)&lt;$E100),0,MIN($H100,MAX(0,MIN(EOMONTH(R$4,0),$P100)-MAX(R$4,$E100)+1)*$J100))</f>
        <v/>
      </c>
      <c r="S100" s="170">
        <f>IF(OR($B100="",S$4&gt;$P100,EOMONTH(S$4,0)&lt;$E100),0,MIN($H100,MAX(0,MIN(EOMONTH(S$4,0),$P100)-MAX(S$4,$E100)+1)*$J100))</f>
        <v/>
      </c>
      <c r="T100" s="170">
        <f>IF(OR($B100="",T$4&gt;$P100,EOMONTH(T$4,0)&lt;$E100),0,MIN($H100,MAX(0,MIN(EOMONTH(T$4,0),$P100)-MAX(T$4,$E100)+1)*$J100))</f>
        <v/>
      </c>
      <c r="U100" s="170">
        <f>IF(OR($B100="",U$4&gt;$P100,EOMONTH(U$4,0)&lt;$E100),0,MIN($H100,MAX(0,MIN(EOMONTH(U$4,0),$P100)-MAX(U$4,$E100)+1)*$J100))</f>
        <v/>
      </c>
      <c r="V100" s="170">
        <f>IF(OR($B100="",V$4&gt;$P100,EOMONTH(V$4,0)&lt;$E100),0,MIN($H100,MAX(0,MIN(EOMONTH(V$4,0),$P100)-MAX(V$4,$E100)+1)*$J100))</f>
        <v/>
      </c>
      <c r="W100" s="170">
        <f>IF(OR($B100="",W$4&gt;$P100,EOMONTH(W$4,0)&lt;$E100),0,MIN($H100,MAX(0,MIN(EOMONTH(W$4,0),$P100)-MAX(W$4,$E100)+1)*$J100))</f>
        <v/>
      </c>
      <c r="X100" s="170">
        <f>IF(OR($B100="",X$4&gt;$P100,EOMONTH(X$4,0)&lt;$E100),0,MIN($H100,MAX(0,MIN(EOMONTH(X$4,0),$P100)-MAX(X$4,$E100)+1)*$J100))</f>
        <v/>
      </c>
      <c r="Y100" s="170">
        <f>IF(OR($B100="",Y$4&gt;$P100,EOMONTH(Y$4,0)&lt;$E100),0,MIN($H100,MAX(0,MIN(EOMONTH(Y$4,0),$P100)-MAX(Y$4,$E100)+1)*$J100))</f>
        <v/>
      </c>
      <c r="Z100" s="170">
        <f>IF(OR($B100="",Z$4&gt;$P100,EOMONTH(Z$4,0)&lt;$E100),0,MIN($H100,MAX(0,MIN(EOMONTH(Z$4,0),$P100)-MAX(Z$4,$E100)+1)*$J100))</f>
        <v/>
      </c>
      <c r="AA100" s="170">
        <f>IF(OR($B100="",AA$4&gt;$P100,EOMONTH(AA$4,0)&lt;$E100),0,MIN($H100,MAX(0,MIN(EOMONTH(AA$4,0),$P100)-MAX(AA$4,$E100)+1)*$J100))</f>
        <v/>
      </c>
      <c r="AB100" s="170">
        <f>IF(OR($B100="",AB$4&gt;$P100,EOMONTH(AB$4,0)&lt;$E100),0,MIN($H100,MAX(0,MIN(EOMONTH(AB$4,0),$P100)-MAX(AB$4,$E100)+1)*$J100))</f>
        <v/>
      </c>
      <c r="AC100" s="170">
        <f>IF(OR($B100="",AC$4&gt;$P100,EOMONTH(AC$4,0)&lt;$E100),0,MIN($H100,MAX(0,MIN(EOMONTH(AC$4,0),$P100)-MAX(AC$4,$E100)+1)*$J100))</f>
        <v/>
      </c>
      <c r="AD100" s="170">
        <f>IF(B100="","",ROUND(SUM(R100:AC100),0))</f>
        <v/>
      </c>
      <c r="AE100" s="170">
        <f>IF(B100="","",MIN(H100,ROUND(Q100+SUM(R100:AC100),0)))</f>
        <v/>
      </c>
      <c r="AF100" s="170">
        <f>IF(B100="","",MAX(H100-AE100,0))</f>
        <v/>
      </c>
      <c r="AG100" s="172">
        <f>IF(B100="","",IF('Thiết lập'!$B$4&lt;E100,"Chưa phân bổ",IF(P100&lt;='Thiết lập'!$B$4,"Đã phân bổ","Đang phân bổ")))</f>
        <v/>
      </c>
      <c r="AH100" s="166" t="n"/>
      <c r="AI100" s="174">
        <f>IF(B100="","",IF(AND(C100&lt;&gt;"",D100&lt;&gt;"",E100&lt;&gt;"",E100&gt;=D100,F100&gt;0,G100&gt;0,I100&gt;0,COUNTIF($B$7:$B$306,B100)=1),"OK",IF(C100="","Thiếu tên; ","")&amp;IF(D100="","Thiếu ngày tăng; ","")&amp;IF(E100="","Thiếu ngày bắt đầu; ","")&amp;IF(AND(D100&lt;&gt;"",E100&lt;&gt;"",E100&lt;D100),"Ngày bắt đầu &lt; ngày tăng; ","")&amp;IF(OR(F100="",F100&lt;=0),"Số lượng không hợp lệ; ","")&amp;IF(OR(G100="",G100&lt;=0),"Đơn giá không hợp lệ; ","")&amp;IF(OR(I100="",I100&lt;=0),"Số tháng không hợp lệ; ","")&amp;IF(COUNTIF($B$7:$B$306,B100)&gt;1,"Trùng mã CPTT; ","")))</f>
        <v/>
      </c>
    </row>
    <row r="101" ht="19.5" customHeight="1" s="98">
      <c r="A101" s="164">
        <f>IF(B101="","",ROW()-6)</f>
        <v/>
      </c>
      <c r="B101" s="165" t="n"/>
      <c r="C101" s="166" t="n"/>
      <c r="D101" s="167" t="n"/>
      <c r="E101" s="167" t="n"/>
      <c r="F101" s="168" t="n"/>
      <c r="G101" s="169" t="n"/>
      <c r="H101" s="170">
        <f>IF(OR(F101="",G101=""),"",F101*G101)</f>
        <v/>
      </c>
      <c r="I101" s="171" t="n"/>
      <c r="J101" s="170">
        <f>IF(OR(H101="",E101="",P101=""),"",H101/(P101-E101+1))</f>
        <v/>
      </c>
      <c r="K101" s="165" t="n"/>
      <c r="L101" s="172">
        <f>IF(B101="","",IF(AF101&lt;=0,"Đã phân bổ",IF(P101&lt;=EDATE('Thiết lập'!$B$4,12),"Ngắn hạn","Dài hạn")))</f>
        <v/>
      </c>
      <c r="M101" s="165" t="n"/>
      <c r="N101" s="165" t="n"/>
      <c r="O101" s="165" t="n"/>
      <c r="P101" s="173">
        <f>IF(OR(E101="",I101=""),"",EDATE(E101,I101)-1)</f>
        <v/>
      </c>
      <c r="Q101" s="170">
        <f>IF(OR(B101="",E101="",P101=""),0,MIN(H101,MAX(0,MIN(P101,DATE('Thiết lập'!$B$3-1,12,31))-E101+1)*J101))</f>
        <v/>
      </c>
      <c r="R101" s="170">
        <f>IF(OR($B101="",R$4&gt;$P101,EOMONTH(R$4,0)&lt;$E101),0,MIN($H101,MAX(0,MIN(EOMONTH(R$4,0),$P101)-MAX(R$4,$E101)+1)*$J101))</f>
        <v/>
      </c>
      <c r="S101" s="170">
        <f>IF(OR($B101="",S$4&gt;$P101,EOMONTH(S$4,0)&lt;$E101),0,MIN($H101,MAX(0,MIN(EOMONTH(S$4,0),$P101)-MAX(S$4,$E101)+1)*$J101))</f>
        <v/>
      </c>
      <c r="T101" s="170">
        <f>IF(OR($B101="",T$4&gt;$P101,EOMONTH(T$4,0)&lt;$E101),0,MIN($H101,MAX(0,MIN(EOMONTH(T$4,0),$P101)-MAX(T$4,$E101)+1)*$J101))</f>
        <v/>
      </c>
      <c r="U101" s="170">
        <f>IF(OR($B101="",U$4&gt;$P101,EOMONTH(U$4,0)&lt;$E101),0,MIN($H101,MAX(0,MIN(EOMONTH(U$4,0),$P101)-MAX(U$4,$E101)+1)*$J101))</f>
        <v/>
      </c>
      <c r="V101" s="170">
        <f>IF(OR($B101="",V$4&gt;$P101,EOMONTH(V$4,0)&lt;$E101),0,MIN($H101,MAX(0,MIN(EOMONTH(V$4,0),$P101)-MAX(V$4,$E101)+1)*$J101))</f>
        <v/>
      </c>
      <c r="W101" s="170">
        <f>IF(OR($B101="",W$4&gt;$P101,EOMONTH(W$4,0)&lt;$E101),0,MIN($H101,MAX(0,MIN(EOMONTH(W$4,0),$P101)-MAX(W$4,$E101)+1)*$J101))</f>
        <v/>
      </c>
      <c r="X101" s="170">
        <f>IF(OR($B101="",X$4&gt;$P101,EOMONTH(X$4,0)&lt;$E101),0,MIN($H101,MAX(0,MIN(EOMONTH(X$4,0),$P101)-MAX(X$4,$E101)+1)*$J101))</f>
        <v/>
      </c>
      <c r="Y101" s="170">
        <f>IF(OR($B101="",Y$4&gt;$P101,EOMONTH(Y$4,0)&lt;$E101),0,MIN($H101,MAX(0,MIN(EOMONTH(Y$4,0),$P101)-MAX(Y$4,$E101)+1)*$J101))</f>
        <v/>
      </c>
      <c r="Z101" s="170">
        <f>IF(OR($B101="",Z$4&gt;$P101,EOMONTH(Z$4,0)&lt;$E101),0,MIN($H101,MAX(0,MIN(EOMONTH(Z$4,0),$P101)-MAX(Z$4,$E101)+1)*$J101))</f>
        <v/>
      </c>
      <c r="AA101" s="170">
        <f>IF(OR($B101="",AA$4&gt;$P101,EOMONTH(AA$4,0)&lt;$E101),0,MIN($H101,MAX(0,MIN(EOMONTH(AA$4,0),$P101)-MAX(AA$4,$E101)+1)*$J101))</f>
        <v/>
      </c>
      <c r="AB101" s="170">
        <f>IF(OR($B101="",AB$4&gt;$P101,EOMONTH(AB$4,0)&lt;$E101),0,MIN($H101,MAX(0,MIN(EOMONTH(AB$4,0),$P101)-MAX(AB$4,$E101)+1)*$J101))</f>
        <v/>
      </c>
      <c r="AC101" s="170">
        <f>IF(OR($B101="",AC$4&gt;$P101,EOMONTH(AC$4,0)&lt;$E101),0,MIN($H101,MAX(0,MIN(EOMONTH(AC$4,0),$P101)-MAX(AC$4,$E101)+1)*$J101))</f>
        <v/>
      </c>
      <c r="AD101" s="170">
        <f>IF(B101="","",ROUND(SUM(R101:AC101),0))</f>
        <v/>
      </c>
      <c r="AE101" s="170">
        <f>IF(B101="","",MIN(H101,ROUND(Q101+SUM(R101:AC101),0)))</f>
        <v/>
      </c>
      <c r="AF101" s="170">
        <f>IF(B101="","",MAX(H101-AE101,0))</f>
        <v/>
      </c>
      <c r="AG101" s="172">
        <f>IF(B101="","",IF('Thiết lập'!$B$4&lt;E101,"Chưa phân bổ",IF(P101&lt;='Thiết lập'!$B$4,"Đã phân bổ","Đang phân bổ")))</f>
        <v/>
      </c>
      <c r="AH101" s="166" t="n"/>
      <c r="AI101" s="174">
        <f>IF(B101="","",IF(AND(C101&lt;&gt;"",D101&lt;&gt;"",E101&lt;&gt;"",E101&gt;=D101,F101&gt;0,G101&gt;0,I101&gt;0,COUNTIF($B$7:$B$306,B101)=1),"OK",IF(C101="","Thiếu tên; ","")&amp;IF(D101="","Thiếu ngày tăng; ","")&amp;IF(E101="","Thiếu ngày bắt đầu; ","")&amp;IF(AND(D101&lt;&gt;"",E101&lt;&gt;"",E101&lt;D101),"Ngày bắt đầu &lt; ngày tăng; ","")&amp;IF(OR(F101="",F101&lt;=0),"Số lượng không hợp lệ; ","")&amp;IF(OR(G101="",G101&lt;=0),"Đơn giá không hợp lệ; ","")&amp;IF(OR(I101="",I101&lt;=0),"Số tháng không hợp lệ; ","")&amp;IF(COUNTIF($B$7:$B$306,B101)&gt;1,"Trùng mã CPTT; ","")))</f>
        <v/>
      </c>
    </row>
    <row r="102" ht="19.5" customHeight="1" s="98">
      <c r="A102" s="164">
        <f>IF(B102="","",ROW()-6)</f>
        <v/>
      </c>
      <c r="B102" s="165" t="n"/>
      <c r="C102" s="166" t="n"/>
      <c r="D102" s="167" t="n"/>
      <c r="E102" s="167" t="n"/>
      <c r="F102" s="168" t="n"/>
      <c r="G102" s="169" t="n"/>
      <c r="H102" s="170">
        <f>IF(OR(F102="",G102=""),"",F102*G102)</f>
        <v/>
      </c>
      <c r="I102" s="171" t="n"/>
      <c r="J102" s="170">
        <f>IF(OR(H102="",E102="",P102=""),"",H102/(P102-E102+1))</f>
        <v/>
      </c>
      <c r="K102" s="165" t="n"/>
      <c r="L102" s="172">
        <f>IF(B102="","",IF(AF102&lt;=0,"Đã phân bổ",IF(P102&lt;=EDATE('Thiết lập'!$B$4,12),"Ngắn hạn","Dài hạn")))</f>
        <v/>
      </c>
      <c r="M102" s="165" t="n"/>
      <c r="N102" s="165" t="n"/>
      <c r="O102" s="165" t="n"/>
      <c r="P102" s="173">
        <f>IF(OR(E102="",I102=""),"",EDATE(E102,I102)-1)</f>
        <v/>
      </c>
      <c r="Q102" s="170">
        <f>IF(OR(B102="",E102="",P102=""),0,MIN(H102,MAX(0,MIN(P102,DATE('Thiết lập'!$B$3-1,12,31))-E102+1)*J102))</f>
        <v/>
      </c>
      <c r="R102" s="170">
        <f>IF(OR($B102="",R$4&gt;$P102,EOMONTH(R$4,0)&lt;$E102),0,MIN($H102,MAX(0,MIN(EOMONTH(R$4,0),$P102)-MAX(R$4,$E102)+1)*$J102))</f>
        <v/>
      </c>
      <c r="S102" s="170">
        <f>IF(OR($B102="",S$4&gt;$P102,EOMONTH(S$4,0)&lt;$E102),0,MIN($H102,MAX(0,MIN(EOMONTH(S$4,0),$P102)-MAX(S$4,$E102)+1)*$J102))</f>
        <v/>
      </c>
      <c r="T102" s="170">
        <f>IF(OR($B102="",T$4&gt;$P102,EOMONTH(T$4,0)&lt;$E102),0,MIN($H102,MAX(0,MIN(EOMONTH(T$4,0),$P102)-MAX(T$4,$E102)+1)*$J102))</f>
        <v/>
      </c>
      <c r="U102" s="170">
        <f>IF(OR($B102="",U$4&gt;$P102,EOMONTH(U$4,0)&lt;$E102),0,MIN($H102,MAX(0,MIN(EOMONTH(U$4,0),$P102)-MAX(U$4,$E102)+1)*$J102))</f>
        <v/>
      </c>
      <c r="V102" s="170">
        <f>IF(OR($B102="",V$4&gt;$P102,EOMONTH(V$4,0)&lt;$E102),0,MIN($H102,MAX(0,MIN(EOMONTH(V$4,0),$P102)-MAX(V$4,$E102)+1)*$J102))</f>
        <v/>
      </c>
      <c r="W102" s="170">
        <f>IF(OR($B102="",W$4&gt;$P102,EOMONTH(W$4,0)&lt;$E102),0,MIN($H102,MAX(0,MIN(EOMONTH(W$4,0),$P102)-MAX(W$4,$E102)+1)*$J102))</f>
        <v/>
      </c>
      <c r="X102" s="170">
        <f>IF(OR($B102="",X$4&gt;$P102,EOMONTH(X$4,0)&lt;$E102),0,MIN($H102,MAX(0,MIN(EOMONTH(X$4,0),$P102)-MAX(X$4,$E102)+1)*$J102))</f>
        <v/>
      </c>
      <c r="Y102" s="170">
        <f>IF(OR($B102="",Y$4&gt;$P102,EOMONTH(Y$4,0)&lt;$E102),0,MIN($H102,MAX(0,MIN(EOMONTH(Y$4,0),$P102)-MAX(Y$4,$E102)+1)*$J102))</f>
        <v/>
      </c>
      <c r="Z102" s="170">
        <f>IF(OR($B102="",Z$4&gt;$P102,EOMONTH(Z$4,0)&lt;$E102),0,MIN($H102,MAX(0,MIN(EOMONTH(Z$4,0),$P102)-MAX(Z$4,$E102)+1)*$J102))</f>
        <v/>
      </c>
      <c r="AA102" s="170">
        <f>IF(OR($B102="",AA$4&gt;$P102,EOMONTH(AA$4,0)&lt;$E102),0,MIN($H102,MAX(0,MIN(EOMONTH(AA$4,0),$P102)-MAX(AA$4,$E102)+1)*$J102))</f>
        <v/>
      </c>
      <c r="AB102" s="170">
        <f>IF(OR($B102="",AB$4&gt;$P102,EOMONTH(AB$4,0)&lt;$E102),0,MIN($H102,MAX(0,MIN(EOMONTH(AB$4,0),$P102)-MAX(AB$4,$E102)+1)*$J102))</f>
        <v/>
      </c>
      <c r="AC102" s="170">
        <f>IF(OR($B102="",AC$4&gt;$P102,EOMONTH(AC$4,0)&lt;$E102),0,MIN($H102,MAX(0,MIN(EOMONTH(AC$4,0),$P102)-MAX(AC$4,$E102)+1)*$J102))</f>
        <v/>
      </c>
      <c r="AD102" s="170">
        <f>IF(B102="","",ROUND(SUM(R102:AC102),0))</f>
        <v/>
      </c>
      <c r="AE102" s="170">
        <f>IF(B102="","",MIN(H102,ROUND(Q102+SUM(R102:AC102),0)))</f>
        <v/>
      </c>
      <c r="AF102" s="170">
        <f>IF(B102="","",MAX(H102-AE102,0))</f>
        <v/>
      </c>
      <c r="AG102" s="172">
        <f>IF(B102="","",IF('Thiết lập'!$B$4&lt;E102,"Chưa phân bổ",IF(P102&lt;='Thiết lập'!$B$4,"Đã phân bổ","Đang phân bổ")))</f>
        <v/>
      </c>
      <c r="AH102" s="166" t="n"/>
      <c r="AI102" s="174">
        <f>IF(B102="","",IF(AND(C102&lt;&gt;"",D102&lt;&gt;"",E102&lt;&gt;"",E102&gt;=D102,F102&gt;0,G102&gt;0,I102&gt;0,COUNTIF($B$7:$B$306,B102)=1),"OK",IF(C102="","Thiếu tên; ","")&amp;IF(D102="","Thiếu ngày tăng; ","")&amp;IF(E102="","Thiếu ngày bắt đầu; ","")&amp;IF(AND(D102&lt;&gt;"",E102&lt;&gt;"",E102&lt;D102),"Ngày bắt đầu &lt; ngày tăng; ","")&amp;IF(OR(F102="",F102&lt;=0),"Số lượng không hợp lệ; ","")&amp;IF(OR(G102="",G102&lt;=0),"Đơn giá không hợp lệ; ","")&amp;IF(OR(I102="",I102&lt;=0),"Số tháng không hợp lệ; ","")&amp;IF(COUNTIF($B$7:$B$306,B102)&gt;1,"Trùng mã CPTT; ","")))</f>
        <v/>
      </c>
    </row>
    <row r="103" ht="19.5" customHeight="1" s="98">
      <c r="A103" s="164">
        <f>IF(B103="","",ROW()-6)</f>
        <v/>
      </c>
      <c r="B103" s="165" t="n"/>
      <c r="C103" s="166" t="n"/>
      <c r="D103" s="167" t="n"/>
      <c r="E103" s="167" t="n"/>
      <c r="F103" s="168" t="n"/>
      <c r="G103" s="169" t="n"/>
      <c r="H103" s="170">
        <f>IF(OR(F103="",G103=""),"",F103*G103)</f>
        <v/>
      </c>
      <c r="I103" s="171" t="n"/>
      <c r="J103" s="170">
        <f>IF(OR(H103="",E103="",P103=""),"",H103/(P103-E103+1))</f>
        <v/>
      </c>
      <c r="K103" s="165" t="n"/>
      <c r="L103" s="172">
        <f>IF(B103="","",IF(AF103&lt;=0,"Đã phân bổ",IF(P103&lt;=EDATE('Thiết lập'!$B$4,12),"Ngắn hạn","Dài hạn")))</f>
        <v/>
      </c>
      <c r="M103" s="165" t="n"/>
      <c r="N103" s="165" t="n"/>
      <c r="O103" s="165" t="n"/>
      <c r="P103" s="173">
        <f>IF(OR(E103="",I103=""),"",EDATE(E103,I103)-1)</f>
        <v/>
      </c>
      <c r="Q103" s="170">
        <f>IF(OR(B103="",E103="",P103=""),0,MIN(H103,MAX(0,MIN(P103,DATE('Thiết lập'!$B$3-1,12,31))-E103+1)*J103))</f>
        <v/>
      </c>
      <c r="R103" s="170">
        <f>IF(OR($B103="",R$4&gt;$P103,EOMONTH(R$4,0)&lt;$E103),0,MIN($H103,MAX(0,MIN(EOMONTH(R$4,0),$P103)-MAX(R$4,$E103)+1)*$J103))</f>
        <v/>
      </c>
      <c r="S103" s="170">
        <f>IF(OR($B103="",S$4&gt;$P103,EOMONTH(S$4,0)&lt;$E103),0,MIN($H103,MAX(0,MIN(EOMONTH(S$4,0),$P103)-MAX(S$4,$E103)+1)*$J103))</f>
        <v/>
      </c>
      <c r="T103" s="170">
        <f>IF(OR($B103="",T$4&gt;$P103,EOMONTH(T$4,0)&lt;$E103),0,MIN($H103,MAX(0,MIN(EOMONTH(T$4,0),$P103)-MAX(T$4,$E103)+1)*$J103))</f>
        <v/>
      </c>
      <c r="U103" s="170">
        <f>IF(OR($B103="",U$4&gt;$P103,EOMONTH(U$4,0)&lt;$E103),0,MIN($H103,MAX(0,MIN(EOMONTH(U$4,0),$P103)-MAX(U$4,$E103)+1)*$J103))</f>
        <v/>
      </c>
      <c r="V103" s="170">
        <f>IF(OR($B103="",V$4&gt;$P103,EOMONTH(V$4,0)&lt;$E103),0,MIN($H103,MAX(0,MIN(EOMONTH(V$4,0),$P103)-MAX(V$4,$E103)+1)*$J103))</f>
        <v/>
      </c>
      <c r="W103" s="170">
        <f>IF(OR($B103="",W$4&gt;$P103,EOMONTH(W$4,0)&lt;$E103),0,MIN($H103,MAX(0,MIN(EOMONTH(W$4,0),$P103)-MAX(W$4,$E103)+1)*$J103))</f>
        <v/>
      </c>
      <c r="X103" s="170">
        <f>IF(OR($B103="",X$4&gt;$P103,EOMONTH(X$4,0)&lt;$E103),0,MIN($H103,MAX(0,MIN(EOMONTH(X$4,0),$P103)-MAX(X$4,$E103)+1)*$J103))</f>
        <v/>
      </c>
      <c r="Y103" s="170">
        <f>IF(OR($B103="",Y$4&gt;$P103,EOMONTH(Y$4,0)&lt;$E103),0,MIN($H103,MAX(0,MIN(EOMONTH(Y$4,0),$P103)-MAX(Y$4,$E103)+1)*$J103))</f>
        <v/>
      </c>
      <c r="Z103" s="170">
        <f>IF(OR($B103="",Z$4&gt;$P103,EOMONTH(Z$4,0)&lt;$E103),0,MIN($H103,MAX(0,MIN(EOMONTH(Z$4,0),$P103)-MAX(Z$4,$E103)+1)*$J103))</f>
        <v/>
      </c>
      <c r="AA103" s="170">
        <f>IF(OR($B103="",AA$4&gt;$P103,EOMONTH(AA$4,0)&lt;$E103),0,MIN($H103,MAX(0,MIN(EOMONTH(AA$4,0),$P103)-MAX(AA$4,$E103)+1)*$J103))</f>
        <v/>
      </c>
      <c r="AB103" s="170">
        <f>IF(OR($B103="",AB$4&gt;$P103,EOMONTH(AB$4,0)&lt;$E103),0,MIN($H103,MAX(0,MIN(EOMONTH(AB$4,0),$P103)-MAX(AB$4,$E103)+1)*$J103))</f>
        <v/>
      </c>
      <c r="AC103" s="170">
        <f>IF(OR($B103="",AC$4&gt;$P103,EOMONTH(AC$4,0)&lt;$E103),0,MIN($H103,MAX(0,MIN(EOMONTH(AC$4,0),$P103)-MAX(AC$4,$E103)+1)*$J103))</f>
        <v/>
      </c>
      <c r="AD103" s="170">
        <f>IF(B103="","",ROUND(SUM(R103:AC103),0))</f>
        <v/>
      </c>
      <c r="AE103" s="170">
        <f>IF(B103="","",MIN(H103,ROUND(Q103+SUM(R103:AC103),0)))</f>
        <v/>
      </c>
      <c r="AF103" s="170">
        <f>IF(B103="","",MAX(H103-AE103,0))</f>
        <v/>
      </c>
      <c r="AG103" s="172">
        <f>IF(B103="","",IF('Thiết lập'!$B$4&lt;E103,"Chưa phân bổ",IF(P103&lt;='Thiết lập'!$B$4,"Đã phân bổ","Đang phân bổ")))</f>
        <v/>
      </c>
      <c r="AH103" s="166" t="n"/>
      <c r="AI103" s="174">
        <f>IF(B103="","",IF(AND(C103&lt;&gt;"",D103&lt;&gt;"",E103&lt;&gt;"",E103&gt;=D103,F103&gt;0,G103&gt;0,I103&gt;0,COUNTIF($B$7:$B$306,B103)=1),"OK",IF(C103="","Thiếu tên; ","")&amp;IF(D103="","Thiếu ngày tăng; ","")&amp;IF(E103="","Thiếu ngày bắt đầu; ","")&amp;IF(AND(D103&lt;&gt;"",E103&lt;&gt;"",E103&lt;D103),"Ngày bắt đầu &lt; ngày tăng; ","")&amp;IF(OR(F103="",F103&lt;=0),"Số lượng không hợp lệ; ","")&amp;IF(OR(G103="",G103&lt;=0),"Đơn giá không hợp lệ; ","")&amp;IF(OR(I103="",I103&lt;=0),"Số tháng không hợp lệ; ","")&amp;IF(COUNTIF($B$7:$B$306,B103)&gt;1,"Trùng mã CPTT; ","")))</f>
        <v/>
      </c>
    </row>
    <row r="104" ht="19.5" customHeight="1" s="98">
      <c r="A104" s="164">
        <f>IF(B104="","",ROW()-6)</f>
        <v/>
      </c>
      <c r="B104" s="165" t="n"/>
      <c r="C104" s="166" t="n"/>
      <c r="D104" s="167" t="n"/>
      <c r="E104" s="167" t="n"/>
      <c r="F104" s="168" t="n"/>
      <c r="G104" s="169" t="n"/>
      <c r="H104" s="170">
        <f>IF(OR(F104="",G104=""),"",F104*G104)</f>
        <v/>
      </c>
      <c r="I104" s="171" t="n"/>
      <c r="J104" s="170">
        <f>IF(OR(H104="",E104="",P104=""),"",H104/(P104-E104+1))</f>
        <v/>
      </c>
      <c r="K104" s="165" t="n"/>
      <c r="L104" s="172">
        <f>IF(B104="","",IF(AF104&lt;=0,"Đã phân bổ",IF(P104&lt;=EDATE('Thiết lập'!$B$4,12),"Ngắn hạn","Dài hạn")))</f>
        <v/>
      </c>
      <c r="M104" s="165" t="n"/>
      <c r="N104" s="165" t="n"/>
      <c r="O104" s="165" t="n"/>
      <c r="P104" s="173">
        <f>IF(OR(E104="",I104=""),"",EDATE(E104,I104)-1)</f>
        <v/>
      </c>
      <c r="Q104" s="170">
        <f>IF(OR(B104="",E104="",P104=""),0,MIN(H104,MAX(0,MIN(P104,DATE('Thiết lập'!$B$3-1,12,31))-E104+1)*J104))</f>
        <v/>
      </c>
      <c r="R104" s="170">
        <f>IF(OR($B104="",R$4&gt;$P104,EOMONTH(R$4,0)&lt;$E104),0,MIN($H104,MAX(0,MIN(EOMONTH(R$4,0),$P104)-MAX(R$4,$E104)+1)*$J104))</f>
        <v/>
      </c>
      <c r="S104" s="170">
        <f>IF(OR($B104="",S$4&gt;$P104,EOMONTH(S$4,0)&lt;$E104),0,MIN($H104,MAX(0,MIN(EOMONTH(S$4,0),$P104)-MAX(S$4,$E104)+1)*$J104))</f>
        <v/>
      </c>
      <c r="T104" s="170">
        <f>IF(OR($B104="",T$4&gt;$P104,EOMONTH(T$4,0)&lt;$E104),0,MIN($H104,MAX(0,MIN(EOMONTH(T$4,0),$P104)-MAX(T$4,$E104)+1)*$J104))</f>
        <v/>
      </c>
      <c r="U104" s="170">
        <f>IF(OR($B104="",U$4&gt;$P104,EOMONTH(U$4,0)&lt;$E104),0,MIN($H104,MAX(0,MIN(EOMONTH(U$4,0),$P104)-MAX(U$4,$E104)+1)*$J104))</f>
        <v/>
      </c>
      <c r="V104" s="170">
        <f>IF(OR($B104="",V$4&gt;$P104,EOMONTH(V$4,0)&lt;$E104),0,MIN($H104,MAX(0,MIN(EOMONTH(V$4,0),$P104)-MAX(V$4,$E104)+1)*$J104))</f>
        <v/>
      </c>
      <c r="W104" s="170">
        <f>IF(OR($B104="",W$4&gt;$P104,EOMONTH(W$4,0)&lt;$E104),0,MIN($H104,MAX(0,MIN(EOMONTH(W$4,0),$P104)-MAX(W$4,$E104)+1)*$J104))</f>
        <v/>
      </c>
      <c r="X104" s="170">
        <f>IF(OR($B104="",X$4&gt;$P104,EOMONTH(X$4,0)&lt;$E104),0,MIN($H104,MAX(0,MIN(EOMONTH(X$4,0),$P104)-MAX(X$4,$E104)+1)*$J104))</f>
        <v/>
      </c>
      <c r="Y104" s="170">
        <f>IF(OR($B104="",Y$4&gt;$P104,EOMONTH(Y$4,0)&lt;$E104),0,MIN($H104,MAX(0,MIN(EOMONTH(Y$4,0),$P104)-MAX(Y$4,$E104)+1)*$J104))</f>
        <v/>
      </c>
      <c r="Z104" s="170">
        <f>IF(OR($B104="",Z$4&gt;$P104,EOMONTH(Z$4,0)&lt;$E104),0,MIN($H104,MAX(0,MIN(EOMONTH(Z$4,0),$P104)-MAX(Z$4,$E104)+1)*$J104))</f>
        <v/>
      </c>
      <c r="AA104" s="170">
        <f>IF(OR($B104="",AA$4&gt;$P104,EOMONTH(AA$4,0)&lt;$E104),0,MIN($H104,MAX(0,MIN(EOMONTH(AA$4,0),$P104)-MAX(AA$4,$E104)+1)*$J104))</f>
        <v/>
      </c>
      <c r="AB104" s="170">
        <f>IF(OR($B104="",AB$4&gt;$P104,EOMONTH(AB$4,0)&lt;$E104),0,MIN($H104,MAX(0,MIN(EOMONTH(AB$4,0),$P104)-MAX(AB$4,$E104)+1)*$J104))</f>
        <v/>
      </c>
      <c r="AC104" s="170">
        <f>IF(OR($B104="",AC$4&gt;$P104,EOMONTH(AC$4,0)&lt;$E104),0,MIN($H104,MAX(0,MIN(EOMONTH(AC$4,0),$P104)-MAX(AC$4,$E104)+1)*$J104))</f>
        <v/>
      </c>
      <c r="AD104" s="170">
        <f>IF(B104="","",ROUND(SUM(R104:AC104),0))</f>
        <v/>
      </c>
      <c r="AE104" s="170">
        <f>IF(B104="","",MIN(H104,ROUND(Q104+SUM(R104:AC104),0)))</f>
        <v/>
      </c>
      <c r="AF104" s="170">
        <f>IF(B104="","",MAX(H104-AE104,0))</f>
        <v/>
      </c>
      <c r="AG104" s="172">
        <f>IF(B104="","",IF('Thiết lập'!$B$4&lt;E104,"Chưa phân bổ",IF(P104&lt;='Thiết lập'!$B$4,"Đã phân bổ","Đang phân bổ")))</f>
        <v/>
      </c>
      <c r="AH104" s="166" t="n"/>
      <c r="AI104" s="174">
        <f>IF(B104="","",IF(AND(C104&lt;&gt;"",D104&lt;&gt;"",E104&lt;&gt;"",E104&gt;=D104,F104&gt;0,G104&gt;0,I104&gt;0,COUNTIF($B$7:$B$306,B104)=1),"OK",IF(C104="","Thiếu tên; ","")&amp;IF(D104="","Thiếu ngày tăng; ","")&amp;IF(E104="","Thiếu ngày bắt đầu; ","")&amp;IF(AND(D104&lt;&gt;"",E104&lt;&gt;"",E104&lt;D104),"Ngày bắt đầu &lt; ngày tăng; ","")&amp;IF(OR(F104="",F104&lt;=0),"Số lượng không hợp lệ; ","")&amp;IF(OR(G104="",G104&lt;=0),"Đơn giá không hợp lệ; ","")&amp;IF(OR(I104="",I104&lt;=0),"Số tháng không hợp lệ; ","")&amp;IF(COUNTIF($B$7:$B$306,B104)&gt;1,"Trùng mã CPTT; ","")))</f>
        <v/>
      </c>
    </row>
    <row r="105" ht="19.5" customHeight="1" s="98">
      <c r="A105" s="164">
        <f>IF(B105="","",ROW()-6)</f>
        <v/>
      </c>
      <c r="B105" s="165" t="n"/>
      <c r="C105" s="166" t="n"/>
      <c r="D105" s="167" t="n"/>
      <c r="E105" s="167" t="n"/>
      <c r="F105" s="168" t="n"/>
      <c r="G105" s="169" t="n"/>
      <c r="H105" s="170">
        <f>IF(OR(F105="",G105=""),"",F105*G105)</f>
        <v/>
      </c>
      <c r="I105" s="171" t="n"/>
      <c r="J105" s="170">
        <f>IF(OR(H105="",E105="",P105=""),"",H105/(P105-E105+1))</f>
        <v/>
      </c>
      <c r="K105" s="165" t="n"/>
      <c r="L105" s="172">
        <f>IF(B105="","",IF(AF105&lt;=0,"Đã phân bổ",IF(P105&lt;=EDATE('Thiết lập'!$B$4,12),"Ngắn hạn","Dài hạn")))</f>
        <v/>
      </c>
      <c r="M105" s="165" t="n"/>
      <c r="N105" s="165" t="n"/>
      <c r="O105" s="165" t="n"/>
      <c r="P105" s="173">
        <f>IF(OR(E105="",I105=""),"",EDATE(E105,I105)-1)</f>
        <v/>
      </c>
      <c r="Q105" s="170">
        <f>IF(OR(B105="",E105="",P105=""),0,MIN(H105,MAX(0,MIN(P105,DATE('Thiết lập'!$B$3-1,12,31))-E105+1)*J105))</f>
        <v/>
      </c>
      <c r="R105" s="170">
        <f>IF(OR($B105="",R$4&gt;$P105,EOMONTH(R$4,0)&lt;$E105),0,MIN($H105,MAX(0,MIN(EOMONTH(R$4,0),$P105)-MAX(R$4,$E105)+1)*$J105))</f>
        <v/>
      </c>
      <c r="S105" s="170">
        <f>IF(OR($B105="",S$4&gt;$P105,EOMONTH(S$4,0)&lt;$E105),0,MIN($H105,MAX(0,MIN(EOMONTH(S$4,0),$P105)-MAX(S$4,$E105)+1)*$J105))</f>
        <v/>
      </c>
      <c r="T105" s="170">
        <f>IF(OR($B105="",T$4&gt;$P105,EOMONTH(T$4,0)&lt;$E105),0,MIN($H105,MAX(0,MIN(EOMONTH(T$4,0),$P105)-MAX(T$4,$E105)+1)*$J105))</f>
        <v/>
      </c>
      <c r="U105" s="170">
        <f>IF(OR($B105="",U$4&gt;$P105,EOMONTH(U$4,0)&lt;$E105),0,MIN($H105,MAX(0,MIN(EOMONTH(U$4,0),$P105)-MAX(U$4,$E105)+1)*$J105))</f>
        <v/>
      </c>
      <c r="V105" s="170">
        <f>IF(OR($B105="",V$4&gt;$P105,EOMONTH(V$4,0)&lt;$E105),0,MIN($H105,MAX(0,MIN(EOMONTH(V$4,0),$P105)-MAX(V$4,$E105)+1)*$J105))</f>
        <v/>
      </c>
      <c r="W105" s="170">
        <f>IF(OR($B105="",W$4&gt;$P105,EOMONTH(W$4,0)&lt;$E105),0,MIN($H105,MAX(0,MIN(EOMONTH(W$4,0),$P105)-MAX(W$4,$E105)+1)*$J105))</f>
        <v/>
      </c>
      <c r="X105" s="170">
        <f>IF(OR($B105="",X$4&gt;$P105,EOMONTH(X$4,0)&lt;$E105),0,MIN($H105,MAX(0,MIN(EOMONTH(X$4,0),$P105)-MAX(X$4,$E105)+1)*$J105))</f>
        <v/>
      </c>
      <c r="Y105" s="170">
        <f>IF(OR($B105="",Y$4&gt;$P105,EOMONTH(Y$4,0)&lt;$E105),0,MIN($H105,MAX(0,MIN(EOMONTH(Y$4,0),$P105)-MAX(Y$4,$E105)+1)*$J105))</f>
        <v/>
      </c>
      <c r="Z105" s="170">
        <f>IF(OR($B105="",Z$4&gt;$P105,EOMONTH(Z$4,0)&lt;$E105),0,MIN($H105,MAX(0,MIN(EOMONTH(Z$4,0),$P105)-MAX(Z$4,$E105)+1)*$J105))</f>
        <v/>
      </c>
      <c r="AA105" s="170">
        <f>IF(OR($B105="",AA$4&gt;$P105,EOMONTH(AA$4,0)&lt;$E105),0,MIN($H105,MAX(0,MIN(EOMONTH(AA$4,0),$P105)-MAX(AA$4,$E105)+1)*$J105))</f>
        <v/>
      </c>
      <c r="AB105" s="170">
        <f>IF(OR($B105="",AB$4&gt;$P105,EOMONTH(AB$4,0)&lt;$E105),0,MIN($H105,MAX(0,MIN(EOMONTH(AB$4,0),$P105)-MAX(AB$4,$E105)+1)*$J105))</f>
        <v/>
      </c>
      <c r="AC105" s="170">
        <f>IF(OR($B105="",AC$4&gt;$P105,EOMONTH(AC$4,0)&lt;$E105),0,MIN($H105,MAX(0,MIN(EOMONTH(AC$4,0),$P105)-MAX(AC$4,$E105)+1)*$J105))</f>
        <v/>
      </c>
      <c r="AD105" s="170">
        <f>IF(B105="","",ROUND(SUM(R105:AC105),0))</f>
        <v/>
      </c>
      <c r="AE105" s="170">
        <f>IF(B105="","",MIN(H105,ROUND(Q105+SUM(R105:AC105),0)))</f>
        <v/>
      </c>
      <c r="AF105" s="170">
        <f>IF(B105="","",MAX(H105-AE105,0))</f>
        <v/>
      </c>
      <c r="AG105" s="172">
        <f>IF(B105="","",IF('Thiết lập'!$B$4&lt;E105,"Chưa phân bổ",IF(P105&lt;='Thiết lập'!$B$4,"Đã phân bổ","Đang phân bổ")))</f>
        <v/>
      </c>
      <c r="AH105" s="166" t="n"/>
      <c r="AI105" s="174">
        <f>IF(B105="","",IF(AND(C105&lt;&gt;"",D105&lt;&gt;"",E105&lt;&gt;"",E105&gt;=D105,F105&gt;0,G105&gt;0,I105&gt;0,COUNTIF($B$7:$B$306,B105)=1),"OK",IF(C105="","Thiếu tên; ","")&amp;IF(D105="","Thiếu ngày tăng; ","")&amp;IF(E105="","Thiếu ngày bắt đầu; ","")&amp;IF(AND(D105&lt;&gt;"",E105&lt;&gt;"",E105&lt;D105),"Ngày bắt đầu &lt; ngày tăng; ","")&amp;IF(OR(F105="",F105&lt;=0),"Số lượng không hợp lệ; ","")&amp;IF(OR(G105="",G105&lt;=0),"Đơn giá không hợp lệ; ","")&amp;IF(OR(I105="",I105&lt;=0),"Số tháng không hợp lệ; ","")&amp;IF(COUNTIF($B$7:$B$306,B105)&gt;1,"Trùng mã CPTT; ","")))</f>
        <v/>
      </c>
    </row>
    <row r="106" ht="19.5" customHeight="1" s="98">
      <c r="A106" s="164">
        <f>IF(B106="","",ROW()-6)</f>
        <v/>
      </c>
      <c r="B106" s="165" t="n"/>
      <c r="C106" s="166" t="n"/>
      <c r="D106" s="167" t="n"/>
      <c r="E106" s="167" t="n"/>
      <c r="F106" s="168" t="n"/>
      <c r="G106" s="169" t="n"/>
      <c r="H106" s="170">
        <f>IF(OR(F106="",G106=""),"",F106*G106)</f>
        <v/>
      </c>
      <c r="I106" s="171" t="n"/>
      <c r="J106" s="170">
        <f>IF(OR(H106="",E106="",P106=""),"",H106/(P106-E106+1))</f>
        <v/>
      </c>
      <c r="K106" s="165" t="n"/>
      <c r="L106" s="172">
        <f>IF(B106="","",IF(AF106&lt;=0,"Đã phân bổ",IF(P106&lt;=EDATE('Thiết lập'!$B$4,12),"Ngắn hạn","Dài hạn")))</f>
        <v/>
      </c>
      <c r="M106" s="165" t="n"/>
      <c r="N106" s="165" t="n"/>
      <c r="O106" s="165" t="n"/>
      <c r="P106" s="173">
        <f>IF(OR(E106="",I106=""),"",EDATE(E106,I106)-1)</f>
        <v/>
      </c>
      <c r="Q106" s="170">
        <f>IF(OR(B106="",E106="",P106=""),0,MIN(H106,MAX(0,MIN(P106,DATE('Thiết lập'!$B$3-1,12,31))-E106+1)*J106))</f>
        <v/>
      </c>
      <c r="R106" s="170">
        <f>IF(OR($B106="",R$4&gt;$P106,EOMONTH(R$4,0)&lt;$E106),0,MIN($H106,MAX(0,MIN(EOMONTH(R$4,0),$P106)-MAX(R$4,$E106)+1)*$J106))</f>
        <v/>
      </c>
      <c r="S106" s="170">
        <f>IF(OR($B106="",S$4&gt;$P106,EOMONTH(S$4,0)&lt;$E106),0,MIN($H106,MAX(0,MIN(EOMONTH(S$4,0),$P106)-MAX(S$4,$E106)+1)*$J106))</f>
        <v/>
      </c>
      <c r="T106" s="170">
        <f>IF(OR($B106="",T$4&gt;$P106,EOMONTH(T$4,0)&lt;$E106),0,MIN($H106,MAX(0,MIN(EOMONTH(T$4,0),$P106)-MAX(T$4,$E106)+1)*$J106))</f>
        <v/>
      </c>
      <c r="U106" s="170">
        <f>IF(OR($B106="",U$4&gt;$P106,EOMONTH(U$4,0)&lt;$E106),0,MIN($H106,MAX(0,MIN(EOMONTH(U$4,0),$P106)-MAX(U$4,$E106)+1)*$J106))</f>
        <v/>
      </c>
      <c r="V106" s="170">
        <f>IF(OR($B106="",V$4&gt;$P106,EOMONTH(V$4,0)&lt;$E106),0,MIN($H106,MAX(0,MIN(EOMONTH(V$4,0),$P106)-MAX(V$4,$E106)+1)*$J106))</f>
        <v/>
      </c>
      <c r="W106" s="170">
        <f>IF(OR($B106="",W$4&gt;$P106,EOMONTH(W$4,0)&lt;$E106),0,MIN($H106,MAX(0,MIN(EOMONTH(W$4,0),$P106)-MAX(W$4,$E106)+1)*$J106))</f>
        <v/>
      </c>
      <c r="X106" s="170">
        <f>IF(OR($B106="",X$4&gt;$P106,EOMONTH(X$4,0)&lt;$E106),0,MIN($H106,MAX(0,MIN(EOMONTH(X$4,0),$P106)-MAX(X$4,$E106)+1)*$J106))</f>
        <v/>
      </c>
      <c r="Y106" s="170">
        <f>IF(OR($B106="",Y$4&gt;$P106,EOMONTH(Y$4,0)&lt;$E106),0,MIN($H106,MAX(0,MIN(EOMONTH(Y$4,0),$P106)-MAX(Y$4,$E106)+1)*$J106))</f>
        <v/>
      </c>
      <c r="Z106" s="170">
        <f>IF(OR($B106="",Z$4&gt;$P106,EOMONTH(Z$4,0)&lt;$E106),0,MIN($H106,MAX(0,MIN(EOMONTH(Z$4,0),$P106)-MAX(Z$4,$E106)+1)*$J106))</f>
        <v/>
      </c>
      <c r="AA106" s="170">
        <f>IF(OR($B106="",AA$4&gt;$P106,EOMONTH(AA$4,0)&lt;$E106),0,MIN($H106,MAX(0,MIN(EOMONTH(AA$4,0),$P106)-MAX(AA$4,$E106)+1)*$J106))</f>
        <v/>
      </c>
      <c r="AB106" s="170">
        <f>IF(OR($B106="",AB$4&gt;$P106,EOMONTH(AB$4,0)&lt;$E106),0,MIN($H106,MAX(0,MIN(EOMONTH(AB$4,0),$P106)-MAX(AB$4,$E106)+1)*$J106))</f>
        <v/>
      </c>
      <c r="AC106" s="170">
        <f>IF(OR($B106="",AC$4&gt;$P106,EOMONTH(AC$4,0)&lt;$E106),0,MIN($H106,MAX(0,MIN(EOMONTH(AC$4,0),$P106)-MAX(AC$4,$E106)+1)*$J106))</f>
        <v/>
      </c>
      <c r="AD106" s="170">
        <f>IF(B106="","",ROUND(SUM(R106:AC106),0))</f>
        <v/>
      </c>
      <c r="AE106" s="170">
        <f>IF(B106="","",MIN(H106,ROUND(Q106+SUM(R106:AC106),0)))</f>
        <v/>
      </c>
      <c r="AF106" s="170">
        <f>IF(B106="","",MAX(H106-AE106,0))</f>
        <v/>
      </c>
      <c r="AG106" s="172">
        <f>IF(B106="","",IF('Thiết lập'!$B$4&lt;E106,"Chưa phân bổ",IF(P106&lt;='Thiết lập'!$B$4,"Đã phân bổ","Đang phân bổ")))</f>
        <v/>
      </c>
      <c r="AH106" s="166" t="n"/>
      <c r="AI106" s="174">
        <f>IF(B106="","",IF(AND(C106&lt;&gt;"",D106&lt;&gt;"",E106&lt;&gt;"",E106&gt;=D106,F106&gt;0,G106&gt;0,I106&gt;0,COUNTIF($B$7:$B$306,B106)=1),"OK",IF(C106="","Thiếu tên; ","")&amp;IF(D106="","Thiếu ngày tăng; ","")&amp;IF(E106="","Thiếu ngày bắt đầu; ","")&amp;IF(AND(D106&lt;&gt;"",E106&lt;&gt;"",E106&lt;D106),"Ngày bắt đầu &lt; ngày tăng; ","")&amp;IF(OR(F106="",F106&lt;=0),"Số lượng không hợp lệ; ","")&amp;IF(OR(G106="",G106&lt;=0),"Đơn giá không hợp lệ; ","")&amp;IF(OR(I106="",I106&lt;=0),"Số tháng không hợp lệ; ","")&amp;IF(COUNTIF($B$7:$B$306,B106)&gt;1,"Trùng mã CPTT; ","")))</f>
        <v/>
      </c>
    </row>
    <row r="107" ht="19.5" customHeight="1" s="98">
      <c r="A107" s="164">
        <f>IF(B107="","",ROW()-6)</f>
        <v/>
      </c>
      <c r="B107" s="165" t="n"/>
      <c r="C107" s="166" t="n"/>
      <c r="D107" s="167" t="n"/>
      <c r="E107" s="167" t="n"/>
      <c r="F107" s="168" t="n"/>
      <c r="G107" s="169" t="n"/>
      <c r="H107" s="170">
        <f>IF(OR(F107="",G107=""),"",F107*G107)</f>
        <v/>
      </c>
      <c r="I107" s="171" t="n"/>
      <c r="J107" s="170">
        <f>IF(OR(H107="",E107="",P107=""),"",H107/(P107-E107+1))</f>
        <v/>
      </c>
      <c r="K107" s="165" t="n"/>
      <c r="L107" s="172">
        <f>IF(B107="","",IF(AF107&lt;=0,"Đã phân bổ",IF(P107&lt;=EDATE('Thiết lập'!$B$4,12),"Ngắn hạn","Dài hạn")))</f>
        <v/>
      </c>
      <c r="M107" s="165" t="n"/>
      <c r="N107" s="165" t="n"/>
      <c r="O107" s="165" t="n"/>
      <c r="P107" s="173">
        <f>IF(OR(E107="",I107=""),"",EDATE(E107,I107)-1)</f>
        <v/>
      </c>
      <c r="Q107" s="170">
        <f>IF(OR(B107="",E107="",P107=""),0,MIN(H107,MAX(0,MIN(P107,DATE('Thiết lập'!$B$3-1,12,31))-E107+1)*J107))</f>
        <v/>
      </c>
      <c r="R107" s="170">
        <f>IF(OR($B107="",R$4&gt;$P107,EOMONTH(R$4,0)&lt;$E107),0,MIN($H107,MAX(0,MIN(EOMONTH(R$4,0),$P107)-MAX(R$4,$E107)+1)*$J107))</f>
        <v/>
      </c>
      <c r="S107" s="170">
        <f>IF(OR($B107="",S$4&gt;$P107,EOMONTH(S$4,0)&lt;$E107),0,MIN($H107,MAX(0,MIN(EOMONTH(S$4,0),$P107)-MAX(S$4,$E107)+1)*$J107))</f>
        <v/>
      </c>
      <c r="T107" s="170">
        <f>IF(OR($B107="",T$4&gt;$P107,EOMONTH(T$4,0)&lt;$E107),0,MIN($H107,MAX(0,MIN(EOMONTH(T$4,0),$P107)-MAX(T$4,$E107)+1)*$J107))</f>
        <v/>
      </c>
      <c r="U107" s="170">
        <f>IF(OR($B107="",U$4&gt;$P107,EOMONTH(U$4,0)&lt;$E107),0,MIN($H107,MAX(0,MIN(EOMONTH(U$4,0),$P107)-MAX(U$4,$E107)+1)*$J107))</f>
        <v/>
      </c>
      <c r="V107" s="170">
        <f>IF(OR($B107="",V$4&gt;$P107,EOMONTH(V$4,0)&lt;$E107),0,MIN($H107,MAX(0,MIN(EOMONTH(V$4,0),$P107)-MAX(V$4,$E107)+1)*$J107))</f>
        <v/>
      </c>
      <c r="W107" s="170">
        <f>IF(OR($B107="",W$4&gt;$P107,EOMONTH(W$4,0)&lt;$E107),0,MIN($H107,MAX(0,MIN(EOMONTH(W$4,0),$P107)-MAX(W$4,$E107)+1)*$J107))</f>
        <v/>
      </c>
      <c r="X107" s="170">
        <f>IF(OR($B107="",X$4&gt;$P107,EOMONTH(X$4,0)&lt;$E107),0,MIN($H107,MAX(0,MIN(EOMONTH(X$4,0),$P107)-MAX(X$4,$E107)+1)*$J107))</f>
        <v/>
      </c>
      <c r="Y107" s="170">
        <f>IF(OR($B107="",Y$4&gt;$P107,EOMONTH(Y$4,0)&lt;$E107),0,MIN($H107,MAX(0,MIN(EOMONTH(Y$4,0),$P107)-MAX(Y$4,$E107)+1)*$J107))</f>
        <v/>
      </c>
      <c r="Z107" s="170">
        <f>IF(OR($B107="",Z$4&gt;$P107,EOMONTH(Z$4,0)&lt;$E107),0,MIN($H107,MAX(0,MIN(EOMONTH(Z$4,0),$P107)-MAX(Z$4,$E107)+1)*$J107))</f>
        <v/>
      </c>
      <c r="AA107" s="170">
        <f>IF(OR($B107="",AA$4&gt;$P107,EOMONTH(AA$4,0)&lt;$E107),0,MIN($H107,MAX(0,MIN(EOMONTH(AA$4,0),$P107)-MAX(AA$4,$E107)+1)*$J107))</f>
        <v/>
      </c>
      <c r="AB107" s="170">
        <f>IF(OR($B107="",AB$4&gt;$P107,EOMONTH(AB$4,0)&lt;$E107),0,MIN($H107,MAX(0,MIN(EOMONTH(AB$4,0),$P107)-MAX(AB$4,$E107)+1)*$J107))</f>
        <v/>
      </c>
      <c r="AC107" s="170">
        <f>IF(OR($B107="",AC$4&gt;$P107,EOMONTH(AC$4,0)&lt;$E107),0,MIN($H107,MAX(0,MIN(EOMONTH(AC$4,0),$P107)-MAX(AC$4,$E107)+1)*$J107))</f>
        <v/>
      </c>
      <c r="AD107" s="170">
        <f>IF(B107="","",ROUND(SUM(R107:AC107),0))</f>
        <v/>
      </c>
      <c r="AE107" s="170">
        <f>IF(B107="","",MIN(H107,ROUND(Q107+SUM(R107:AC107),0)))</f>
        <v/>
      </c>
      <c r="AF107" s="170">
        <f>IF(B107="","",MAX(H107-AE107,0))</f>
        <v/>
      </c>
      <c r="AG107" s="172">
        <f>IF(B107="","",IF('Thiết lập'!$B$4&lt;E107,"Chưa phân bổ",IF(P107&lt;='Thiết lập'!$B$4,"Đã phân bổ","Đang phân bổ")))</f>
        <v/>
      </c>
      <c r="AH107" s="166" t="n"/>
      <c r="AI107" s="174">
        <f>IF(B107="","",IF(AND(C107&lt;&gt;"",D107&lt;&gt;"",E107&lt;&gt;"",E107&gt;=D107,F107&gt;0,G107&gt;0,I107&gt;0,COUNTIF($B$7:$B$306,B107)=1),"OK",IF(C107="","Thiếu tên; ","")&amp;IF(D107="","Thiếu ngày tăng; ","")&amp;IF(E107="","Thiếu ngày bắt đầu; ","")&amp;IF(AND(D107&lt;&gt;"",E107&lt;&gt;"",E107&lt;D107),"Ngày bắt đầu &lt; ngày tăng; ","")&amp;IF(OR(F107="",F107&lt;=0),"Số lượng không hợp lệ; ","")&amp;IF(OR(G107="",G107&lt;=0),"Đơn giá không hợp lệ; ","")&amp;IF(OR(I107="",I107&lt;=0),"Số tháng không hợp lệ; ","")&amp;IF(COUNTIF($B$7:$B$306,B107)&gt;1,"Trùng mã CPTT; ","")))</f>
        <v/>
      </c>
    </row>
    <row r="108" ht="19.5" customHeight="1" s="98">
      <c r="A108" s="164">
        <f>IF(B108="","",ROW()-6)</f>
        <v/>
      </c>
      <c r="B108" s="165" t="n"/>
      <c r="C108" s="166" t="n"/>
      <c r="D108" s="167" t="n"/>
      <c r="E108" s="167" t="n"/>
      <c r="F108" s="168" t="n"/>
      <c r="G108" s="169" t="n"/>
      <c r="H108" s="170">
        <f>IF(OR(F108="",G108=""),"",F108*G108)</f>
        <v/>
      </c>
      <c r="I108" s="171" t="n"/>
      <c r="J108" s="170">
        <f>IF(OR(H108="",E108="",P108=""),"",H108/(P108-E108+1))</f>
        <v/>
      </c>
      <c r="K108" s="165" t="n"/>
      <c r="L108" s="172">
        <f>IF(B108="","",IF(AF108&lt;=0,"Đã phân bổ",IF(P108&lt;=EDATE('Thiết lập'!$B$4,12),"Ngắn hạn","Dài hạn")))</f>
        <v/>
      </c>
      <c r="M108" s="165" t="n"/>
      <c r="N108" s="165" t="n"/>
      <c r="O108" s="165" t="n"/>
      <c r="P108" s="173">
        <f>IF(OR(E108="",I108=""),"",EDATE(E108,I108)-1)</f>
        <v/>
      </c>
      <c r="Q108" s="170">
        <f>IF(OR(B108="",E108="",P108=""),0,MIN(H108,MAX(0,MIN(P108,DATE('Thiết lập'!$B$3-1,12,31))-E108+1)*J108))</f>
        <v/>
      </c>
      <c r="R108" s="170">
        <f>IF(OR($B108="",R$4&gt;$P108,EOMONTH(R$4,0)&lt;$E108),0,MIN($H108,MAX(0,MIN(EOMONTH(R$4,0),$P108)-MAX(R$4,$E108)+1)*$J108))</f>
        <v/>
      </c>
      <c r="S108" s="170">
        <f>IF(OR($B108="",S$4&gt;$P108,EOMONTH(S$4,0)&lt;$E108),0,MIN($H108,MAX(0,MIN(EOMONTH(S$4,0),$P108)-MAX(S$4,$E108)+1)*$J108))</f>
        <v/>
      </c>
      <c r="T108" s="170">
        <f>IF(OR($B108="",T$4&gt;$P108,EOMONTH(T$4,0)&lt;$E108),0,MIN($H108,MAX(0,MIN(EOMONTH(T$4,0),$P108)-MAX(T$4,$E108)+1)*$J108))</f>
        <v/>
      </c>
      <c r="U108" s="170">
        <f>IF(OR($B108="",U$4&gt;$P108,EOMONTH(U$4,0)&lt;$E108),0,MIN($H108,MAX(0,MIN(EOMONTH(U$4,0),$P108)-MAX(U$4,$E108)+1)*$J108))</f>
        <v/>
      </c>
      <c r="V108" s="170">
        <f>IF(OR($B108="",V$4&gt;$P108,EOMONTH(V$4,0)&lt;$E108),0,MIN($H108,MAX(0,MIN(EOMONTH(V$4,0),$P108)-MAX(V$4,$E108)+1)*$J108))</f>
        <v/>
      </c>
      <c r="W108" s="170">
        <f>IF(OR($B108="",W$4&gt;$P108,EOMONTH(W$4,0)&lt;$E108),0,MIN($H108,MAX(0,MIN(EOMONTH(W$4,0),$P108)-MAX(W$4,$E108)+1)*$J108))</f>
        <v/>
      </c>
      <c r="X108" s="170">
        <f>IF(OR($B108="",X$4&gt;$P108,EOMONTH(X$4,0)&lt;$E108),0,MIN($H108,MAX(0,MIN(EOMONTH(X$4,0),$P108)-MAX(X$4,$E108)+1)*$J108))</f>
        <v/>
      </c>
      <c r="Y108" s="170">
        <f>IF(OR($B108="",Y$4&gt;$P108,EOMONTH(Y$4,0)&lt;$E108),0,MIN($H108,MAX(0,MIN(EOMONTH(Y$4,0),$P108)-MAX(Y$4,$E108)+1)*$J108))</f>
        <v/>
      </c>
      <c r="Z108" s="170">
        <f>IF(OR($B108="",Z$4&gt;$P108,EOMONTH(Z$4,0)&lt;$E108),0,MIN($H108,MAX(0,MIN(EOMONTH(Z$4,0),$P108)-MAX(Z$4,$E108)+1)*$J108))</f>
        <v/>
      </c>
      <c r="AA108" s="170">
        <f>IF(OR($B108="",AA$4&gt;$P108,EOMONTH(AA$4,0)&lt;$E108),0,MIN($H108,MAX(0,MIN(EOMONTH(AA$4,0),$P108)-MAX(AA$4,$E108)+1)*$J108))</f>
        <v/>
      </c>
      <c r="AB108" s="170">
        <f>IF(OR($B108="",AB$4&gt;$P108,EOMONTH(AB$4,0)&lt;$E108),0,MIN($H108,MAX(0,MIN(EOMONTH(AB$4,0),$P108)-MAX(AB$4,$E108)+1)*$J108))</f>
        <v/>
      </c>
      <c r="AC108" s="170">
        <f>IF(OR($B108="",AC$4&gt;$P108,EOMONTH(AC$4,0)&lt;$E108),0,MIN($H108,MAX(0,MIN(EOMONTH(AC$4,0),$P108)-MAX(AC$4,$E108)+1)*$J108))</f>
        <v/>
      </c>
      <c r="AD108" s="170">
        <f>IF(B108="","",ROUND(SUM(R108:AC108),0))</f>
        <v/>
      </c>
      <c r="AE108" s="170">
        <f>IF(B108="","",MIN(H108,ROUND(Q108+SUM(R108:AC108),0)))</f>
        <v/>
      </c>
      <c r="AF108" s="170">
        <f>IF(B108="","",MAX(H108-AE108,0))</f>
        <v/>
      </c>
      <c r="AG108" s="172">
        <f>IF(B108="","",IF('Thiết lập'!$B$4&lt;E108,"Chưa phân bổ",IF(P108&lt;='Thiết lập'!$B$4,"Đã phân bổ","Đang phân bổ")))</f>
        <v/>
      </c>
      <c r="AH108" s="166" t="n"/>
      <c r="AI108" s="174">
        <f>IF(B108="","",IF(AND(C108&lt;&gt;"",D108&lt;&gt;"",E108&lt;&gt;"",E108&gt;=D108,F108&gt;0,G108&gt;0,I108&gt;0,COUNTIF($B$7:$B$306,B108)=1),"OK",IF(C108="","Thiếu tên; ","")&amp;IF(D108="","Thiếu ngày tăng; ","")&amp;IF(E108="","Thiếu ngày bắt đầu; ","")&amp;IF(AND(D108&lt;&gt;"",E108&lt;&gt;"",E108&lt;D108),"Ngày bắt đầu &lt; ngày tăng; ","")&amp;IF(OR(F108="",F108&lt;=0),"Số lượng không hợp lệ; ","")&amp;IF(OR(G108="",G108&lt;=0),"Đơn giá không hợp lệ; ","")&amp;IF(OR(I108="",I108&lt;=0),"Số tháng không hợp lệ; ","")&amp;IF(COUNTIF($B$7:$B$306,B108)&gt;1,"Trùng mã CPTT; ","")))</f>
        <v/>
      </c>
    </row>
    <row r="109" ht="19.5" customHeight="1" s="98">
      <c r="A109" s="164">
        <f>IF(B109="","",ROW()-6)</f>
        <v/>
      </c>
      <c r="B109" s="165" t="n"/>
      <c r="C109" s="166" t="n"/>
      <c r="D109" s="167" t="n"/>
      <c r="E109" s="167" t="n"/>
      <c r="F109" s="168" t="n"/>
      <c r="G109" s="169" t="n"/>
      <c r="H109" s="170">
        <f>IF(OR(F109="",G109=""),"",F109*G109)</f>
        <v/>
      </c>
      <c r="I109" s="171" t="n"/>
      <c r="J109" s="170">
        <f>IF(OR(H109="",E109="",P109=""),"",H109/(P109-E109+1))</f>
        <v/>
      </c>
      <c r="K109" s="165" t="n"/>
      <c r="L109" s="172">
        <f>IF(B109="","",IF(AF109&lt;=0,"Đã phân bổ",IF(P109&lt;=EDATE('Thiết lập'!$B$4,12),"Ngắn hạn","Dài hạn")))</f>
        <v/>
      </c>
      <c r="M109" s="165" t="n"/>
      <c r="N109" s="165" t="n"/>
      <c r="O109" s="165" t="n"/>
      <c r="P109" s="173">
        <f>IF(OR(E109="",I109=""),"",EDATE(E109,I109)-1)</f>
        <v/>
      </c>
      <c r="Q109" s="170">
        <f>IF(OR(B109="",E109="",P109=""),0,MIN(H109,MAX(0,MIN(P109,DATE('Thiết lập'!$B$3-1,12,31))-E109+1)*J109))</f>
        <v/>
      </c>
      <c r="R109" s="170">
        <f>IF(OR($B109="",R$4&gt;$P109,EOMONTH(R$4,0)&lt;$E109),0,MIN($H109,MAX(0,MIN(EOMONTH(R$4,0),$P109)-MAX(R$4,$E109)+1)*$J109))</f>
        <v/>
      </c>
      <c r="S109" s="170">
        <f>IF(OR($B109="",S$4&gt;$P109,EOMONTH(S$4,0)&lt;$E109),0,MIN($H109,MAX(0,MIN(EOMONTH(S$4,0),$P109)-MAX(S$4,$E109)+1)*$J109))</f>
        <v/>
      </c>
      <c r="T109" s="170">
        <f>IF(OR($B109="",T$4&gt;$P109,EOMONTH(T$4,0)&lt;$E109),0,MIN($H109,MAX(0,MIN(EOMONTH(T$4,0),$P109)-MAX(T$4,$E109)+1)*$J109))</f>
        <v/>
      </c>
      <c r="U109" s="170">
        <f>IF(OR($B109="",U$4&gt;$P109,EOMONTH(U$4,0)&lt;$E109),0,MIN($H109,MAX(0,MIN(EOMONTH(U$4,0),$P109)-MAX(U$4,$E109)+1)*$J109))</f>
        <v/>
      </c>
      <c r="V109" s="170">
        <f>IF(OR($B109="",V$4&gt;$P109,EOMONTH(V$4,0)&lt;$E109),0,MIN($H109,MAX(0,MIN(EOMONTH(V$4,0),$P109)-MAX(V$4,$E109)+1)*$J109))</f>
        <v/>
      </c>
      <c r="W109" s="170">
        <f>IF(OR($B109="",W$4&gt;$P109,EOMONTH(W$4,0)&lt;$E109),0,MIN($H109,MAX(0,MIN(EOMONTH(W$4,0),$P109)-MAX(W$4,$E109)+1)*$J109))</f>
        <v/>
      </c>
      <c r="X109" s="170">
        <f>IF(OR($B109="",X$4&gt;$P109,EOMONTH(X$4,0)&lt;$E109),0,MIN($H109,MAX(0,MIN(EOMONTH(X$4,0),$P109)-MAX(X$4,$E109)+1)*$J109))</f>
        <v/>
      </c>
      <c r="Y109" s="170">
        <f>IF(OR($B109="",Y$4&gt;$P109,EOMONTH(Y$4,0)&lt;$E109),0,MIN($H109,MAX(0,MIN(EOMONTH(Y$4,0),$P109)-MAX(Y$4,$E109)+1)*$J109))</f>
        <v/>
      </c>
      <c r="Z109" s="170">
        <f>IF(OR($B109="",Z$4&gt;$P109,EOMONTH(Z$4,0)&lt;$E109),0,MIN($H109,MAX(0,MIN(EOMONTH(Z$4,0),$P109)-MAX(Z$4,$E109)+1)*$J109))</f>
        <v/>
      </c>
      <c r="AA109" s="170">
        <f>IF(OR($B109="",AA$4&gt;$P109,EOMONTH(AA$4,0)&lt;$E109),0,MIN($H109,MAX(0,MIN(EOMONTH(AA$4,0),$P109)-MAX(AA$4,$E109)+1)*$J109))</f>
        <v/>
      </c>
      <c r="AB109" s="170">
        <f>IF(OR($B109="",AB$4&gt;$P109,EOMONTH(AB$4,0)&lt;$E109),0,MIN($H109,MAX(0,MIN(EOMONTH(AB$4,0),$P109)-MAX(AB$4,$E109)+1)*$J109))</f>
        <v/>
      </c>
      <c r="AC109" s="170">
        <f>IF(OR($B109="",AC$4&gt;$P109,EOMONTH(AC$4,0)&lt;$E109),0,MIN($H109,MAX(0,MIN(EOMONTH(AC$4,0),$P109)-MAX(AC$4,$E109)+1)*$J109))</f>
        <v/>
      </c>
      <c r="AD109" s="170">
        <f>IF(B109="","",ROUND(SUM(R109:AC109),0))</f>
        <v/>
      </c>
      <c r="AE109" s="170">
        <f>IF(B109="","",MIN(H109,ROUND(Q109+SUM(R109:AC109),0)))</f>
        <v/>
      </c>
      <c r="AF109" s="170">
        <f>IF(B109="","",MAX(H109-AE109,0))</f>
        <v/>
      </c>
      <c r="AG109" s="172">
        <f>IF(B109="","",IF('Thiết lập'!$B$4&lt;E109,"Chưa phân bổ",IF(P109&lt;='Thiết lập'!$B$4,"Đã phân bổ","Đang phân bổ")))</f>
        <v/>
      </c>
      <c r="AH109" s="166" t="n"/>
      <c r="AI109" s="174">
        <f>IF(B109="","",IF(AND(C109&lt;&gt;"",D109&lt;&gt;"",E109&lt;&gt;"",E109&gt;=D109,F109&gt;0,G109&gt;0,I109&gt;0,COUNTIF($B$7:$B$306,B109)=1),"OK",IF(C109="","Thiếu tên; ","")&amp;IF(D109="","Thiếu ngày tăng; ","")&amp;IF(E109="","Thiếu ngày bắt đầu; ","")&amp;IF(AND(D109&lt;&gt;"",E109&lt;&gt;"",E109&lt;D109),"Ngày bắt đầu &lt; ngày tăng; ","")&amp;IF(OR(F109="",F109&lt;=0),"Số lượng không hợp lệ; ","")&amp;IF(OR(G109="",G109&lt;=0),"Đơn giá không hợp lệ; ","")&amp;IF(OR(I109="",I109&lt;=0),"Số tháng không hợp lệ; ","")&amp;IF(COUNTIF($B$7:$B$306,B109)&gt;1,"Trùng mã CPTT; ","")))</f>
        <v/>
      </c>
    </row>
    <row r="110" ht="19.5" customHeight="1" s="98">
      <c r="A110" s="164">
        <f>IF(B110="","",ROW()-6)</f>
        <v/>
      </c>
      <c r="B110" s="165" t="n"/>
      <c r="C110" s="166" t="n"/>
      <c r="D110" s="167" t="n"/>
      <c r="E110" s="167" t="n"/>
      <c r="F110" s="168" t="n"/>
      <c r="G110" s="169" t="n"/>
      <c r="H110" s="170">
        <f>IF(OR(F110="",G110=""),"",F110*G110)</f>
        <v/>
      </c>
      <c r="I110" s="171" t="n"/>
      <c r="J110" s="170">
        <f>IF(OR(H110="",E110="",P110=""),"",H110/(P110-E110+1))</f>
        <v/>
      </c>
      <c r="K110" s="165" t="n"/>
      <c r="L110" s="172">
        <f>IF(B110="","",IF(AF110&lt;=0,"Đã phân bổ",IF(P110&lt;=EDATE('Thiết lập'!$B$4,12),"Ngắn hạn","Dài hạn")))</f>
        <v/>
      </c>
      <c r="M110" s="165" t="n"/>
      <c r="N110" s="165" t="n"/>
      <c r="O110" s="165" t="n"/>
      <c r="P110" s="173">
        <f>IF(OR(E110="",I110=""),"",EDATE(E110,I110)-1)</f>
        <v/>
      </c>
      <c r="Q110" s="170">
        <f>IF(OR(B110="",E110="",P110=""),0,MIN(H110,MAX(0,MIN(P110,DATE('Thiết lập'!$B$3-1,12,31))-E110+1)*J110))</f>
        <v/>
      </c>
      <c r="R110" s="170">
        <f>IF(OR($B110="",R$4&gt;$P110,EOMONTH(R$4,0)&lt;$E110),0,MIN($H110,MAX(0,MIN(EOMONTH(R$4,0),$P110)-MAX(R$4,$E110)+1)*$J110))</f>
        <v/>
      </c>
      <c r="S110" s="170">
        <f>IF(OR($B110="",S$4&gt;$P110,EOMONTH(S$4,0)&lt;$E110),0,MIN($H110,MAX(0,MIN(EOMONTH(S$4,0),$P110)-MAX(S$4,$E110)+1)*$J110))</f>
        <v/>
      </c>
      <c r="T110" s="170">
        <f>IF(OR($B110="",T$4&gt;$P110,EOMONTH(T$4,0)&lt;$E110),0,MIN($H110,MAX(0,MIN(EOMONTH(T$4,0),$P110)-MAX(T$4,$E110)+1)*$J110))</f>
        <v/>
      </c>
      <c r="U110" s="170">
        <f>IF(OR($B110="",U$4&gt;$P110,EOMONTH(U$4,0)&lt;$E110),0,MIN($H110,MAX(0,MIN(EOMONTH(U$4,0),$P110)-MAX(U$4,$E110)+1)*$J110))</f>
        <v/>
      </c>
      <c r="V110" s="170">
        <f>IF(OR($B110="",V$4&gt;$P110,EOMONTH(V$4,0)&lt;$E110),0,MIN($H110,MAX(0,MIN(EOMONTH(V$4,0),$P110)-MAX(V$4,$E110)+1)*$J110))</f>
        <v/>
      </c>
      <c r="W110" s="170">
        <f>IF(OR($B110="",W$4&gt;$P110,EOMONTH(W$4,0)&lt;$E110),0,MIN($H110,MAX(0,MIN(EOMONTH(W$4,0),$P110)-MAX(W$4,$E110)+1)*$J110))</f>
        <v/>
      </c>
      <c r="X110" s="170">
        <f>IF(OR($B110="",X$4&gt;$P110,EOMONTH(X$4,0)&lt;$E110),0,MIN($H110,MAX(0,MIN(EOMONTH(X$4,0),$P110)-MAX(X$4,$E110)+1)*$J110))</f>
        <v/>
      </c>
      <c r="Y110" s="170">
        <f>IF(OR($B110="",Y$4&gt;$P110,EOMONTH(Y$4,0)&lt;$E110),0,MIN($H110,MAX(0,MIN(EOMONTH(Y$4,0),$P110)-MAX(Y$4,$E110)+1)*$J110))</f>
        <v/>
      </c>
      <c r="Z110" s="170">
        <f>IF(OR($B110="",Z$4&gt;$P110,EOMONTH(Z$4,0)&lt;$E110),0,MIN($H110,MAX(0,MIN(EOMONTH(Z$4,0),$P110)-MAX(Z$4,$E110)+1)*$J110))</f>
        <v/>
      </c>
      <c r="AA110" s="170">
        <f>IF(OR($B110="",AA$4&gt;$P110,EOMONTH(AA$4,0)&lt;$E110),0,MIN($H110,MAX(0,MIN(EOMONTH(AA$4,0),$P110)-MAX(AA$4,$E110)+1)*$J110))</f>
        <v/>
      </c>
      <c r="AB110" s="170">
        <f>IF(OR($B110="",AB$4&gt;$P110,EOMONTH(AB$4,0)&lt;$E110),0,MIN($H110,MAX(0,MIN(EOMONTH(AB$4,0),$P110)-MAX(AB$4,$E110)+1)*$J110))</f>
        <v/>
      </c>
      <c r="AC110" s="170">
        <f>IF(OR($B110="",AC$4&gt;$P110,EOMONTH(AC$4,0)&lt;$E110),0,MIN($H110,MAX(0,MIN(EOMONTH(AC$4,0),$P110)-MAX(AC$4,$E110)+1)*$J110))</f>
        <v/>
      </c>
      <c r="AD110" s="170">
        <f>IF(B110="","",ROUND(SUM(R110:AC110),0))</f>
        <v/>
      </c>
      <c r="AE110" s="170">
        <f>IF(B110="","",MIN(H110,ROUND(Q110+SUM(R110:AC110),0)))</f>
        <v/>
      </c>
      <c r="AF110" s="170">
        <f>IF(B110="","",MAX(H110-AE110,0))</f>
        <v/>
      </c>
      <c r="AG110" s="172">
        <f>IF(B110="","",IF('Thiết lập'!$B$4&lt;E110,"Chưa phân bổ",IF(P110&lt;='Thiết lập'!$B$4,"Đã phân bổ","Đang phân bổ")))</f>
        <v/>
      </c>
      <c r="AH110" s="166" t="n"/>
      <c r="AI110" s="174">
        <f>IF(B110="","",IF(AND(C110&lt;&gt;"",D110&lt;&gt;"",E110&lt;&gt;"",E110&gt;=D110,F110&gt;0,G110&gt;0,I110&gt;0,COUNTIF($B$7:$B$306,B110)=1),"OK",IF(C110="","Thiếu tên; ","")&amp;IF(D110="","Thiếu ngày tăng; ","")&amp;IF(E110="","Thiếu ngày bắt đầu; ","")&amp;IF(AND(D110&lt;&gt;"",E110&lt;&gt;"",E110&lt;D110),"Ngày bắt đầu &lt; ngày tăng; ","")&amp;IF(OR(F110="",F110&lt;=0),"Số lượng không hợp lệ; ","")&amp;IF(OR(G110="",G110&lt;=0),"Đơn giá không hợp lệ; ","")&amp;IF(OR(I110="",I110&lt;=0),"Số tháng không hợp lệ; ","")&amp;IF(COUNTIF($B$7:$B$306,B110)&gt;1,"Trùng mã CPTT; ","")))</f>
        <v/>
      </c>
    </row>
    <row r="111" ht="19.5" customHeight="1" s="98">
      <c r="A111" s="164">
        <f>IF(B111="","",ROW()-6)</f>
        <v/>
      </c>
      <c r="B111" s="165" t="n"/>
      <c r="C111" s="166" t="n"/>
      <c r="D111" s="167" t="n"/>
      <c r="E111" s="167" t="n"/>
      <c r="F111" s="168" t="n"/>
      <c r="G111" s="169" t="n"/>
      <c r="H111" s="170">
        <f>IF(OR(F111="",G111=""),"",F111*G111)</f>
        <v/>
      </c>
      <c r="I111" s="171" t="n"/>
      <c r="J111" s="170">
        <f>IF(OR(H111="",E111="",P111=""),"",H111/(P111-E111+1))</f>
        <v/>
      </c>
      <c r="K111" s="165" t="n"/>
      <c r="L111" s="172">
        <f>IF(B111="","",IF(AF111&lt;=0,"Đã phân bổ",IF(P111&lt;=EDATE('Thiết lập'!$B$4,12),"Ngắn hạn","Dài hạn")))</f>
        <v/>
      </c>
      <c r="M111" s="165" t="n"/>
      <c r="N111" s="165" t="n"/>
      <c r="O111" s="165" t="n"/>
      <c r="P111" s="173">
        <f>IF(OR(E111="",I111=""),"",EDATE(E111,I111)-1)</f>
        <v/>
      </c>
      <c r="Q111" s="170">
        <f>IF(OR(B111="",E111="",P111=""),0,MIN(H111,MAX(0,MIN(P111,DATE('Thiết lập'!$B$3-1,12,31))-E111+1)*J111))</f>
        <v/>
      </c>
      <c r="R111" s="170">
        <f>IF(OR($B111="",R$4&gt;$P111,EOMONTH(R$4,0)&lt;$E111),0,MIN($H111,MAX(0,MIN(EOMONTH(R$4,0),$P111)-MAX(R$4,$E111)+1)*$J111))</f>
        <v/>
      </c>
      <c r="S111" s="170">
        <f>IF(OR($B111="",S$4&gt;$P111,EOMONTH(S$4,0)&lt;$E111),0,MIN($H111,MAX(0,MIN(EOMONTH(S$4,0),$P111)-MAX(S$4,$E111)+1)*$J111))</f>
        <v/>
      </c>
      <c r="T111" s="170">
        <f>IF(OR($B111="",T$4&gt;$P111,EOMONTH(T$4,0)&lt;$E111),0,MIN($H111,MAX(0,MIN(EOMONTH(T$4,0),$P111)-MAX(T$4,$E111)+1)*$J111))</f>
        <v/>
      </c>
      <c r="U111" s="170">
        <f>IF(OR($B111="",U$4&gt;$P111,EOMONTH(U$4,0)&lt;$E111),0,MIN($H111,MAX(0,MIN(EOMONTH(U$4,0),$P111)-MAX(U$4,$E111)+1)*$J111))</f>
        <v/>
      </c>
      <c r="V111" s="170">
        <f>IF(OR($B111="",V$4&gt;$P111,EOMONTH(V$4,0)&lt;$E111),0,MIN($H111,MAX(0,MIN(EOMONTH(V$4,0),$P111)-MAX(V$4,$E111)+1)*$J111))</f>
        <v/>
      </c>
      <c r="W111" s="170">
        <f>IF(OR($B111="",W$4&gt;$P111,EOMONTH(W$4,0)&lt;$E111),0,MIN($H111,MAX(0,MIN(EOMONTH(W$4,0),$P111)-MAX(W$4,$E111)+1)*$J111))</f>
        <v/>
      </c>
      <c r="X111" s="170">
        <f>IF(OR($B111="",X$4&gt;$P111,EOMONTH(X$4,0)&lt;$E111),0,MIN($H111,MAX(0,MIN(EOMONTH(X$4,0),$P111)-MAX(X$4,$E111)+1)*$J111))</f>
        <v/>
      </c>
      <c r="Y111" s="170">
        <f>IF(OR($B111="",Y$4&gt;$P111,EOMONTH(Y$4,0)&lt;$E111),0,MIN($H111,MAX(0,MIN(EOMONTH(Y$4,0),$P111)-MAX(Y$4,$E111)+1)*$J111))</f>
        <v/>
      </c>
      <c r="Z111" s="170">
        <f>IF(OR($B111="",Z$4&gt;$P111,EOMONTH(Z$4,0)&lt;$E111),0,MIN($H111,MAX(0,MIN(EOMONTH(Z$4,0),$P111)-MAX(Z$4,$E111)+1)*$J111))</f>
        <v/>
      </c>
      <c r="AA111" s="170">
        <f>IF(OR($B111="",AA$4&gt;$P111,EOMONTH(AA$4,0)&lt;$E111),0,MIN($H111,MAX(0,MIN(EOMONTH(AA$4,0),$P111)-MAX(AA$4,$E111)+1)*$J111))</f>
        <v/>
      </c>
      <c r="AB111" s="170">
        <f>IF(OR($B111="",AB$4&gt;$P111,EOMONTH(AB$4,0)&lt;$E111),0,MIN($H111,MAX(0,MIN(EOMONTH(AB$4,0),$P111)-MAX(AB$4,$E111)+1)*$J111))</f>
        <v/>
      </c>
      <c r="AC111" s="170">
        <f>IF(OR($B111="",AC$4&gt;$P111,EOMONTH(AC$4,0)&lt;$E111),0,MIN($H111,MAX(0,MIN(EOMONTH(AC$4,0),$P111)-MAX(AC$4,$E111)+1)*$J111))</f>
        <v/>
      </c>
      <c r="AD111" s="170">
        <f>IF(B111="","",ROUND(SUM(R111:AC111),0))</f>
        <v/>
      </c>
      <c r="AE111" s="170">
        <f>IF(B111="","",MIN(H111,ROUND(Q111+SUM(R111:AC111),0)))</f>
        <v/>
      </c>
      <c r="AF111" s="170">
        <f>IF(B111="","",MAX(H111-AE111,0))</f>
        <v/>
      </c>
      <c r="AG111" s="172">
        <f>IF(B111="","",IF('Thiết lập'!$B$4&lt;E111,"Chưa phân bổ",IF(P111&lt;='Thiết lập'!$B$4,"Đã phân bổ","Đang phân bổ")))</f>
        <v/>
      </c>
      <c r="AH111" s="166" t="n"/>
      <c r="AI111" s="174">
        <f>IF(B111="","",IF(AND(C111&lt;&gt;"",D111&lt;&gt;"",E111&lt;&gt;"",E111&gt;=D111,F111&gt;0,G111&gt;0,I111&gt;0,COUNTIF($B$7:$B$306,B111)=1),"OK",IF(C111="","Thiếu tên; ","")&amp;IF(D111="","Thiếu ngày tăng; ","")&amp;IF(E111="","Thiếu ngày bắt đầu; ","")&amp;IF(AND(D111&lt;&gt;"",E111&lt;&gt;"",E111&lt;D111),"Ngày bắt đầu &lt; ngày tăng; ","")&amp;IF(OR(F111="",F111&lt;=0),"Số lượng không hợp lệ; ","")&amp;IF(OR(G111="",G111&lt;=0),"Đơn giá không hợp lệ; ","")&amp;IF(OR(I111="",I111&lt;=0),"Số tháng không hợp lệ; ","")&amp;IF(COUNTIF($B$7:$B$306,B111)&gt;1,"Trùng mã CPTT; ","")))</f>
        <v/>
      </c>
    </row>
    <row r="112" ht="19.5" customHeight="1" s="98">
      <c r="A112" s="164">
        <f>IF(B112="","",ROW()-6)</f>
        <v/>
      </c>
      <c r="B112" s="165" t="n"/>
      <c r="C112" s="166" t="n"/>
      <c r="D112" s="167" t="n"/>
      <c r="E112" s="167" t="n"/>
      <c r="F112" s="168" t="n"/>
      <c r="G112" s="169" t="n"/>
      <c r="H112" s="170">
        <f>IF(OR(F112="",G112=""),"",F112*G112)</f>
        <v/>
      </c>
      <c r="I112" s="171" t="n"/>
      <c r="J112" s="170">
        <f>IF(OR(H112="",E112="",P112=""),"",H112/(P112-E112+1))</f>
        <v/>
      </c>
      <c r="K112" s="165" t="n"/>
      <c r="L112" s="172">
        <f>IF(B112="","",IF(AF112&lt;=0,"Đã phân bổ",IF(P112&lt;=EDATE('Thiết lập'!$B$4,12),"Ngắn hạn","Dài hạn")))</f>
        <v/>
      </c>
      <c r="M112" s="165" t="n"/>
      <c r="N112" s="165" t="n"/>
      <c r="O112" s="165" t="n"/>
      <c r="P112" s="173">
        <f>IF(OR(E112="",I112=""),"",EDATE(E112,I112)-1)</f>
        <v/>
      </c>
      <c r="Q112" s="170">
        <f>IF(OR(B112="",E112="",P112=""),0,MIN(H112,MAX(0,MIN(P112,DATE('Thiết lập'!$B$3-1,12,31))-E112+1)*J112))</f>
        <v/>
      </c>
      <c r="R112" s="170">
        <f>IF(OR($B112="",R$4&gt;$P112,EOMONTH(R$4,0)&lt;$E112),0,MIN($H112,MAX(0,MIN(EOMONTH(R$4,0),$P112)-MAX(R$4,$E112)+1)*$J112))</f>
        <v/>
      </c>
      <c r="S112" s="170">
        <f>IF(OR($B112="",S$4&gt;$P112,EOMONTH(S$4,0)&lt;$E112),0,MIN($H112,MAX(0,MIN(EOMONTH(S$4,0),$P112)-MAX(S$4,$E112)+1)*$J112))</f>
        <v/>
      </c>
      <c r="T112" s="170">
        <f>IF(OR($B112="",T$4&gt;$P112,EOMONTH(T$4,0)&lt;$E112),0,MIN($H112,MAX(0,MIN(EOMONTH(T$4,0),$P112)-MAX(T$4,$E112)+1)*$J112))</f>
        <v/>
      </c>
      <c r="U112" s="170">
        <f>IF(OR($B112="",U$4&gt;$P112,EOMONTH(U$4,0)&lt;$E112),0,MIN($H112,MAX(0,MIN(EOMONTH(U$4,0),$P112)-MAX(U$4,$E112)+1)*$J112))</f>
        <v/>
      </c>
      <c r="V112" s="170">
        <f>IF(OR($B112="",V$4&gt;$P112,EOMONTH(V$4,0)&lt;$E112),0,MIN($H112,MAX(0,MIN(EOMONTH(V$4,0),$P112)-MAX(V$4,$E112)+1)*$J112))</f>
        <v/>
      </c>
      <c r="W112" s="170">
        <f>IF(OR($B112="",W$4&gt;$P112,EOMONTH(W$4,0)&lt;$E112),0,MIN($H112,MAX(0,MIN(EOMONTH(W$4,0),$P112)-MAX(W$4,$E112)+1)*$J112))</f>
        <v/>
      </c>
      <c r="X112" s="170">
        <f>IF(OR($B112="",X$4&gt;$P112,EOMONTH(X$4,0)&lt;$E112),0,MIN($H112,MAX(0,MIN(EOMONTH(X$4,0),$P112)-MAX(X$4,$E112)+1)*$J112))</f>
        <v/>
      </c>
      <c r="Y112" s="170">
        <f>IF(OR($B112="",Y$4&gt;$P112,EOMONTH(Y$4,0)&lt;$E112),0,MIN($H112,MAX(0,MIN(EOMONTH(Y$4,0),$P112)-MAX(Y$4,$E112)+1)*$J112))</f>
        <v/>
      </c>
      <c r="Z112" s="170">
        <f>IF(OR($B112="",Z$4&gt;$P112,EOMONTH(Z$4,0)&lt;$E112),0,MIN($H112,MAX(0,MIN(EOMONTH(Z$4,0),$P112)-MAX(Z$4,$E112)+1)*$J112))</f>
        <v/>
      </c>
      <c r="AA112" s="170">
        <f>IF(OR($B112="",AA$4&gt;$P112,EOMONTH(AA$4,0)&lt;$E112),0,MIN($H112,MAX(0,MIN(EOMONTH(AA$4,0),$P112)-MAX(AA$4,$E112)+1)*$J112))</f>
        <v/>
      </c>
      <c r="AB112" s="170">
        <f>IF(OR($B112="",AB$4&gt;$P112,EOMONTH(AB$4,0)&lt;$E112),0,MIN($H112,MAX(0,MIN(EOMONTH(AB$4,0),$P112)-MAX(AB$4,$E112)+1)*$J112))</f>
        <v/>
      </c>
      <c r="AC112" s="170">
        <f>IF(OR($B112="",AC$4&gt;$P112,EOMONTH(AC$4,0)&lt;$E112),0,MIN($H112,MAX(0,MIN(EOMONTH(AC$4,0),$P112)-MAX(AC$4,$E112)+1)*$J112))</f>
        <v/>
      </c>
      <c r="AD112" s="170">
        <f>IF(B112="","",ROUND(SUM(R112:AC112),0))</f>
        <v/>
      </c>
      <c r="AE112" s="170">
        <f>IF(B112="","",MIN(H112,ROUND(Q112+SUM(R112:AC112),0)))</f>
        <v/>
      </c>
      <c r="AF112" s="170">
        <f>IF(B112="","",MAX(H112-AE112,0))</f>
        <v/>
      </c>
      <c r="AG112" s="172">
        <f>IF(B112="","",IF('Thiết lập'!$B$4&lt;E112,"Chưa phân bổ",IF(P112&lt;='Thiết lập'!$B$4,"Đã phân bổ","Đang phân bổ")))</f>
        <v/>
      </c>
      <c r="AH112" s="166" t="n"/>
      <c r="AI112" s="174">
        <f>IF(B112="","",IF(AND(C112&lt;&gt;"",D112&lt;&gt;"",E112&lt;&gt;"",E112&gt;=D112,F112&gt;0,G112&gt;0,I112&gt;0,COUNTIF($B$7:$B$306,B112)=1),"OK",IF(C112="","Thiếu tên; ","")&amp;IF(D112="","Thiếu ngày tăng; ","")&amp;IF(E112="","Thiếu ngày bắt đầu; ","")&amp;IF(AND(D112&lt;&gt;"",E112&lt;&gt;"",E112&lt;D112),"Ngày bắt đầu &lt; ngày tăng; ","")&amp;IF(OR(F112="",F112&lt;=0),"Số lượng không hợp lệ; ","")&amp;IF(OR(G112="",G112&lt;=0),"Đơn giá không hợp lệ; ","")&amp;IF(OR(I112="",I112&lt;=0),"Số tháng không hợp lệ; ","")&amp;IF(COUNTIF($B$7:$B$306,B112)&gt;1,"Trùng mã CPTT; ","")))</f>
        <v/>
      </c>
    </row>
    <row r="113" ht="19.5" customHeight="1" s="98">
      <c r="A113" s="164">
        <f>IF(B113="","",ROW()-6)</f>
        <v/>
      </c>
      <c r="B113" s="165" t="n"/>
      <c r="C113" s="166" t="n"/>
      <c r="D113" s="167" t="n"/>
      <c r="E113" s="167" t="n"/>
      <c r="F113" s="168" t="n"/>
      <c r="G113" s="169" t="n"/>
      <c r="H113" s="170">
        <f>IF(OR(F113="",G113=""),"",F113*G113)</f>
        <v/>
      </c>
      <c r="I113" s="171" t="n"/>
      <c r="J113" s="170">
        <f>IF(OR(H113="",E113="",P113=""),"",H113/(P113-E113+1))</f>
        <v/>
      </c>
      <c r="K113" s="165" t="n"/>
      <c r="L113" s="172">
        <f>IF(B113="","",IF(AF113&lt;=0,"Đã phân bổ",IF(P113&lt;=EDATE('Thiết lập'!$B$4,12),"Ngắn hạn","Dài hạn")))</f>
        <v/>
      </c>
      <c r="M113" s="165" t="n"/>
      <c r="N113" s="165" t="n"/>
      <c r="O113" s="165" t="n"/>
      <c r="P113" s="173">
        <f>IF(OR(E113="",I113=""),"",EDATE(E113,I113)-1)</f>
        <v/>
      </c>
      <c r="Q113" s="170">
        <f>IF(OR(B113="",E113="",P113=""),0,MIN(H113,MAX(0,MIN(P113,DATE('Thiết lập'!$B$3-1,12,31))-E113+1)*J113))</f>
        <v/>
      </c>
      <c r="R113" s="170">
        <f>IF(OR($B113="",R$4&gt;$P113,EOMONTH(R$4,0)&lt;$E113),0,MIN($H113,MAX(0,MIN(EOMONTH(R$4,0),$P113)-MAX(R$4,$E113)+1)*$J113))</f>
        <v/>
      </c>
      <c r="S113" s="170">
        <f>IF(OR($B113="",S$4&gt;$P113,EOMONTH(S$4,0)&lt;$E113),0,MIN($H113,MAX(0,MIN(EOMONTH(S$4,0),$P113)-MAX(S$4,$E113)+1)*$J113))</f>
        <v/>
      </c>
      <c r="T113" s="170">
        <f>IF(OR($B113="",T$4&gt;$P113,EOMONTH(T$4,0)&lt;$E113),0,MIN($H113,MAX(0,MIN(EOMONTH(T$4,0),$P113)-MAX(T$4,$E113)+1)*$J113))</f>
        <v/>
      </c>
      <c r="U113" s="170">
        <f>IF(OR($B113="",U$4&gt;$P113,EOMONTH(U$4,0)&lt;$E113),0,MIN($H113,MAX(0,MIN(EOMONTH(U$4,0),$P113)-MAX(U$4,$E113)+1)*$J113))</f>
        <v/>
      </c>
      <c r="V113" s="170">
        <f>IF(OR($B113="",V$4&gt;$P113,EOMONTH(V$4,0)&lt;$E113),0,MIN($H113,MAX(0,MIN(EOMONTH(V$4,0),$P113)-MAX(V$4,$E113)+1)*$J113))</f>
        <v/>
      </c>
      <c r="W113" s="170">
        <f>IF(OR($B113="",W$4&gt;$P113,EOMONTH(W$4,0)&lt;$E113),0,MIN($H113,MAX(0,MIN(EOMONTH(W$4,0),$P113)-MAX(W$4,$E113)+1)*$J113))</f>
        <v/>
      </c>
      <c r="X113" s="170">
        <f>IF(OR($B113="",X$4&gt;$P113,EOMONTH(X$4,0)&lt;$E113),0,MIN($H113,MAX(0,MIN(EOMONTH(X$4,0),$P113)-MAX(X$4,$E113)+1)*$J113))</f>
        <v/>
      </c>
      <c r="Y113" s="170">
        <f>IF(OR($B113="",Y$4&gt;$P113,EOMONTH(Y$4,0)&lt;$E113),0,MIN($H113,MAX(0,MIN(EOMONTH(Y$4,0),$P113)-MAX(Y$4,$E113)+1)*$J113))</f>
        <v/>
      </c>
      <c r="Z113" s="170">
        <f>IF(OR($B113="",Z$4&gt;$P113,EOMONTH(Z$4,0)&lt;$E113),0,MIN($H113,MAX(0,MIN(EOMONTH(Z$4,0),$P113)-MAX(Z$4,$E113)+1)*$J113))</f>
        <v/>
      </c>
      <c r="AA113" s="170">
        <f>IF(OR($B113="",AA$4&gt;$P113,EOMONTH(AA$4,0)&lt;$E113),0,MIN($H113,MAX(0,MIN(EOMONTH(AA$4,0),$P113)-MAX(AA$4,$E113)+1)*$J113))</f>
        <v/>
      </c>
      <c r="AB113" s="170">
        <f>IF(OR($B113="",AB$4&gt;$P113,EOMONTH(AB$4,0)&lt;$E113),0,MIN($H113,MAX(0,MIN(EOMONTH(AB$4,0),$P113)-MAX(AB$4,$E113)+1)*$J113))</f>
        <v/>
      </c>
      <c r="AC113" s="170">
        <f>IF(OR($B113="",AC$4&gt;$P113,EOMONTH(AC$4,0)&lt;$E113),0,MIN($H113,MAX(0,MIN(EOMONTH(AC$4,0),$P113)-MAX(AC$4,$E113)+1)*$J113))</f>
        <v/>
      </c>
      <c r="AD113" s="170">
        <f>IF(B113="","",ROUND(SUM(R113:AC113),0))</f>
        <v/>
      </c>
      <c r="AE113" s="170">
        <f>IF(B113="","",MIN(H113,ROUND(Q113+SUM(R113:AC113),0)))</f>
        <v/>
      </c>
      <c r="AF113" s="170">
        <f>IF(B113="","",MAX(H113-AE113,0))</f>
        <v/>
      </c>
      <c r="AG113" s="172">
        <f>IF(B113="","",IF('Thiết lập'!$B$4&lt;E113,"Chưa phân bổ",IF(P113&lt;='Thiết lập'!$B$4,"Đã phân bổ","Đang phân bổ")))</f>
        <v/>
      </c>
      <c r="AH113" s="166" t="n"/>
      <c r="AI113" s="174">
        <f>IF(B113="","",IF(AND(C113&lt;&gt;"",D113&lt;&gt;"",E113&lt;&gt;"",E113&gt;=D113,F113&gt;0,G113&gt;0,I113&gt;0,COUNTIF($B$7:$B$306,B113)=1),"OK",IF(C113="","Thiếu tên; ","")&amp;IF(D113="","Thiếu ngày tăng; ","")&amp;IF(E113="","Thiếu ngày bắt đầu; ","")&amp;IF(AND(D113&lt;&gt;"",E113&lt;&gt;"",E113&lt;D113),"Ngày bắt đầu &lt; ngày tăng; ","")&amp;IF(OR(F113="",F113&lt;=0),"Số lượng không hợp lệ; ","")&amp;IF(OR(G113="",G113&lt;=0),"Đơn giá không hợp lệ; ","")&amp;IF(OR(I113="",I113&lt;=0),"Số tháng không hợp lệ; ","")&amp;IF(COUNTIF($B$7:$B$306,B113)&gt;1,"Trùng mã CPTT; ","")))</f>
        <v/>
      </c>
    </row>
    <row r="114" ht="19.5" customHeight="1" s="98">
      <c r="A114" s="164">
        <f>IF(B114="","",ROW()-6)</f>
        <v/>
      </c>
      <c r="B114" s="165" t="n"/>
      <c r="C114" s="166" t="n"/>
      <c r="D114" s="167" t="n"/>
      <c r="E114" s="167" t="n"/>
      <c r="F114" s="168" t="n"/>
      <c r="G114" s="169" t="n"/>
      <c r="H114" s="170">
        <f>IF(OR(F114="",G114=""),"",F114*G114)</f>
        <v/>
      </c>
      <c r="I114" s="171" t="n"/>
      <c r="J114" s="170">
        <f>IF(OR(H114="",E114="",P114=""),"",H114/(P114-E114+1))</f>
        <v/>
      </c>
      <c r="K114" s="165" t="n"/>
      <c r="L114" s="172">
        <f>IF(B114="","",IF(AF114&lt;=0,"Đã phân bổ",IF(P114&lt;=EDATE('Thiết lập'!$B$4,12),"Ngắn hạn","Dài hạn")))</f>
        <v/>
      </c>
      <c r="M114" s="165" t="n"/>
      <c r="N114" s="165" t="n"/>
      <c r="O114" s="165" t="n"/>
      <c r="P114" s="173">
        <f>IF(OR(E114="",I114=""),"",EDATE(E114,I114)-1)</f>
        <v/>
      </c>
      <c r="Q114" s="170">
        <f>IF(OR(B114="",E114="",P114=""),0,MIN(H114,MAX(0,MIN(P114,DATE('Thiết lập'!$B$3-1,12,31))-E114+1)*J114))</f>
        <v/>
      </c>
      <c r="R114" s="170">
        <f>IF(OR($B114="",R$4&gt;$P114,EOMONTH(R$4,0)&lt;$E114),0,MIN($H114,MAX(0,MIN(EOMONTH(R$4,0),$P114)-MAX(R$4,$E114)+1)*$J114))</f>
        <v/>
      </c>
      <c r="S114" s="170">
        <f>IF(OR($B114="",S$4&gt;$P114,EOMONTH(S$4,0)&lt;$E114),0,MIN($H114,MAX(0,MIN(EOMONTH(S$4,0),$P114)-MAX(S$4,$E114)+1)*$J114))</f>
        <v/>
      </c>
      <c r="T114" s="170">
        <f>IF(OR($B114="",T$4&gt;$P114,EOMONTH(T$4,0)&lt;$E114),0,MIN($H114,MAX(0,MIN(EOMONTH(T$4,0),$P114)-MAX(T$4,$E114)+1)*$J114))</f>
        <v/>
      </c>
      <c r="U114" s="170">
        <f>IF(OR($B114="",U$4&gt;$P114,EOMONTH(U$4,0)&lt;$E114),0,MIN($H114,MAX(0,MIN(EOMONTH(U$4,0),$P114)-MAX(U$4,$E114)+1)*$J114))</f>
        <v/>
      </c>
      <c r="V114" s="170">
        <f>IF(OR($B114="",V$4&gt;$P114,EOMONTH(V$4,0)&lt;$E114),0,MIN($H114,MAX(0,MIN(EOMONTH(V$4,0),$P114)-MAX(V$4,$E114)+1)*$J114))</f>
        <v/>
      </c>
      <c r="W114" s="170">
        <f>IF(OR($B114="",W$4&gt;$P114,EOMONTH(W$4,0)&lt;$E114),0,MIN($H114,MAX(0,MIN(EOMONTH(W$4,0),$P114)-MAX(W$4,$E114)+1)*$J114))</f>
        <v/>
      </c>
      <c r="X114" s="170">
        <f>IF(OR($B114="",X$4&gt;$P114,EOMONTH(X$4,0)&lt;$E114),0,MIN($H114,MAX(0,MIN(EOMONTH(X$4,0),$P114)-MAX(X$4,$E114)+1)*$J114))</f>
        <v/>
      </c>
      <c r="Y114" s="170">
        <f>IF(OR($B114="",Y$4&gt;$P114,EOMONTH(Y$4,0)&lt;$E114),0,MIN($H114,MAX(0,MIN(EOMONTH(Y$4,0),$P114)-MAX(Y$4,$E114)+1)*$J114))</f>
        <v/>
      </c>
      <c r="Z114" s="170">
        <f>IF(OR($B114="",Z$4&gt;$P114,EOMONTH(Z$4,0)&lt;$E114),0,MIN($H114,MAX(0,MIN(EOMONTH(Z$4,0),$P114)-MAX(Z$4,$E114)+1)*$J114))</f>
        <v/>
      </c>
      <c r="AA114" s="170">
        <f>IF(OR($B114="",AA$4&gt;$P114,EOMONTH(AA$4,0)&lt;$E114),0,MIN($H114,MAX(0,MIN(EOMONTH(AA$4,0),$P114)-MAX(AA$4,$E114)+1)*$J114))</f>
        <v/>
      </c>
      <c r="AB114" s="170">
        <f>IF(OR($B114="",AB$4&gt;$P114,EOMONTH(AB$4,0)&lt;$E114),0,MIN($H114,MAX(0,MIN(EOMONTH(AB$4,0),$P114)-MAX(AB$4,$E114)+1)*$J114))</f>
        <v/>
      </c>
      <c r="AC114" s="170">
        <f>IF(OR($B114="",AC$4&gt;$P114,EOMONTH(AC$4,0)&lt;$E114),0,MIN($H114,MAX(0,MIN(EOMONTH(AC$4,0),$P114)-MAX(AC$4,$E114)+1)*$J114))</f>
        <v/>
      </c>
      <c r="AD114" s="170">
        <f>IF(B114="","",ROUND(SUM(R114:AC114),0))</f>
        <v/>
      </c>
      <c r="AE114" s="170">
        <f>IF(B114="","",MIN(H114,ROUND(Q114+SUM(R114:AC114),0)))</f>
        <v/>
      </c>
      <c r="AF114" s="170">
        <f>IF(B114="","",MAX(H114-AE114,0))</f>
        <v/>
      </c>
      <c r="AG114" s="172">
        <f>IF(B114="","",IF('Thiết lập'!$B$4&lt;E114,"Chưa phân bổ",IF(P114&lt;='Thiết lập'!$B$4,"Đã phân bổ","Đang phân bổ")))</f>
        <v/>
      </c>
      <c r="AH114" s="166" t="n"/>
      <c r="AI114" s="174">
        <f>IF(B114="","",IF(AND(C114&lt;&gt;"",D114&lt;&gt;"",E114&lt;&gt;"",E114&gt;=D114,F114&gt;0,G114&gt;0,I114&gt;0,COUNTIF($B$7:$B$306,B114)=1),"OK",IF(C114="","Thiếu tên; ","")&amp;IF(D114="","Thiếu ngày tăng; ","")&amp;IF(E114="","Thiếu ngày bắt đầu; ","")&amp;IF(AND(D114&lt;&gt;"",E114&lt;&gt;"",E114&lt;D114),"Ngày bắt đầu &lt; ngày tăng; ","")&amp;IF(OR(F114="",F114&lt;=0),"Số lượng không hợp lệ; ","")&amp;IF(OR(G114="",G114&lt;=0),"Đơn giá không hợp lệ; ","")&amp;IF(OR(I114="",I114&lt;=0),"Số tháng không hợp lệ; ","")&amp;IF(COUNTIF($B$7:$B$306,B114)&gt;1,"Trùng mã CPTT; ","")))</f>
        <v/>
      </c>
    </row>
    <row r="115" ht="19.5" customHeight="1" s="98">
      <c r="A115" s="164">
        <f>IF(B115="","",ROW()-6)</f>
        <v/>
      </c>
      <c r="B115" s="165" t="n"/>
      <c r="C115" s="166" t="n"/>
      <c r="D115" s="167" t="n"/>
      <c r="E115" s="167" t="n"/>
      <c r="F115" s="168" t="n"/>
      <c r="G115" s="169" t="n"/>
      <c r="H115" s="170">
        <f>IF(OR(F115="",G115=""),"",F115*G115)</f>
        <v/>
      </c>
      <c r="I115" s="171" t="n"/>
      <c r="J115" s="170">
        <f>IF(OR(H115="",E115="",P115=""),"",H115/(P115-E115+1))</f>
        <v/>
      </c>
      <c r="K115" s="165" t="n"/>
      <c r="L115" s="172">
        <f>IF(B115="","",IF(AF115&lt;=0,"Đã phân bổ",IF(P115&lt;=EDATE('Thiết lập'!$B$4,12),"Ngắn hạn","Dài hạn")))</f>
        <v/>
      </c>
      <c r="M115" s="165" t="n"/>
      <c r="N115" s="165" t="n"/>
      <c r="O115" s="165" t="n"/>
      <c r="P115" s="173">
        <f>IF(OR(E115="",I115=""),"",EDATE(E115,I115)-1)</f>
        <v/>
      </c>
      <c r="Q115" s="170">
        <f>IF(OR(B115="",E115="",P115=""),0,MIN(H115,MAX(0,MIN(P115,DATE('Thiết lập'!$B$3-1,12,31))-E115+1)*J115))</f>
        <v/>
      </c>
      <c r="R115" s="170">
        <f>IF(OR($B115="",R$4&gt;$P115,EOMONTH(R$4,0)&lt;$E115),0,MIN($H115,MAX(0,MIN(EOMONTH(R$4,0),$P115)-MAX(R$4,$E115)+1)*$J115))</f>
        <v/>
      </c>
      <c r="S115" s="170">
        <f>IF(OR($B115="",S$4&gt;$P115,EOMONTH(S$4,0)&lt;$E115),0,MIN($H115,MAX(0,MIN(EOMONTH(S$4,0),$P115)-MAX(S$4,$E115)+1)*$J115))</f>
        <v/>
      </c>
      <c r="T115" s="170">
        <f>IF(OR($B115="",T$4&gt;$P115,EOMONTH(T$4,0)&lt;$E115),0,MIN($H115,MAX(0,MIN(EOMONTH(T$4,0),$P115)-MAX(T$4,$E115)+1)*$J115))</f>
        <v/>
      </c>
      <c r="U115" s="170">
        <f>IF(OR($B115="",U$4&gt;$P115,EOMONTH(U$4,0)&lt;$E115),0,MIN($H115,MAX(0,MIN(EOMONTH(U$4,0),$P115)-MAX(U$4,$E115)+1)*$J115))</f>
        <v/>
      </c>
      <c r="V115" s="170">
        <f>IF(OR($B115="",V$4&gt;$P115,EOMONTH(V$4,0)&lt;$E115),0,MIN($H115,MAX(0,MIN(EOMONTH(V$4,0),$P115)-MAX(V$4,$E115)+1)*$J115))</f>
        <v/>
      </c>
      <c r="W115" s="170">
        <f>IF(OR($B115="",W$4&gt;$P115,EOMONTH(W$4,0)&lt;$E115),0,MIN($H115,MAX(0,MIN(EOMONTH(W$4,0),$P115)-MAX(W$4,$E115)+1)*$J115))</f>
        <v/>
      </c>
      <c r="X115" s="170">
        <f>IF(OR($B115="",X$4&gt;$P115,EOMONTH(X$4,0)&lt;$E115),0,MIN($H115,MAX(0,MIN(EOMONTH(X$4,0),$P115)-MAX(X$4,$E115)+1)*$J115))</f>
        <v/>
      </c>
      <c r="Y115" s="170">
        <f>IF(OR($B115="",Y$4&gt;$P115,EOMONTH(Y$4,0)&lt;$E115),0,MIN($H115,MAX(0,MIN(EOMONTH(Y$4,0),$P115)-MAX(Y$4,$E115)+1)*$J115))</f>
        <v/>
      </c>
      <c r="Z115" s="170">
        <f>IF(OR($B115="",Z$4&gt;$P115,EOMONTH(Z$4,0)&lt;$E115),0,MIN($H115,MAX(0,MIN(EOMONTH(Z$4,0),$P115)-MAX(Z$4,$E115)+1)*$J115))</f>
        <v/>
      </c>
      <c r="AA115" s="170">
        <f>IF(OR($B115="",AA$4&gt;$P115,EOMONTH(AA$4,0)&lt;$E115),0,MIN($H115,MAX(0,MIN(EOMONTH(AA$4,0),$P115)-MAX(AA$4,$E115)+1)*$J115))</f>
        <v/>
      </c>
      <c r="AB115" s="170">
        <f>IF(OR($B115="",AB$4&gt;$P115,EOMONTH(AB$4,0)&lt;$E115),0,MIN($H115,MAX(0,MIN(EOMONTH(AB$4,0),$P115)-MAX(AB$4,$E115)+1)*$J115))</f>
        <v/>
      </c>
      <c r="AC115" s="170">
        <f>IF(OR($B115="",AC$4&gt;$P115,EOMONTH(AC$4,0)&lt;$E115),0,MIN($H115,MAX(0,MIN(EOMONTH(AC$4,0),$P115)-MAX(AC$4,$E115)+1)*$J115))</f>
        <v/>
      </c>
      <c r="AD115" s="170">
        <f>IF(B115="","",ROUND(SUM(R115:AC115),0))</f>
        <v/>
      </c>
      <c r="AE115" s="170">
        <f>IF(B115="","",MIN(H115,ROUND(Q115+SUM(R115:AC115),0)))</f>
        <v/>
      </c>
      <c r="AF115" s="170">
        <f>IF(B115="","",MAX(H115-AE115,0))</f>
        <v/>
      </c>
      <c r="AG115" s="172">
        <f>IF(B115="","",IF('Thiết lập'!$B$4&lt;E115,"Chưa phân bổ",IF(P115&lt;='Thiết lập'!$B$4,"Đã phân bổ","Đang phân bổ")))</f>
        <v/>
      </c>
      <c r="AH115" s="166" t="n"/>
      <c r="AI115" s="174">
        <f>IF(B115="","",IF(AND(C115&lt;&gt;"",D115&lt;&gt;"",E115&lt;&gt;"",E115&gt;=D115,F115&gt;0,G115&gt;0,I115&gt;0,COUNTIF($B$7:$B$306,B115)=1),"OK",IF(C115="","Thiếu tên; ","")&amp;IF(D115="","Thiếu ngày tăng; ","")&amp;IF(E115="","Thiếu ngày bắt đầu; ","")&amp;IF(AND(D115&lt;&gt;"",E115&lt;&gt;"",E115&lt;D115),"Ngày bắt đầu &lt; ngày tăng; ","")&amp;IF(OR(F115="",F115&lt;=0),"Số lượng không hợp lệ; ","")&amp;IF(OR(G115="",G115&lt;=0),"Đơn giá không hợp lệ; ","")&amp;IF(OR(I115="",I115&lt;=0),"Số tháng không hợp lệ; ","")&amp;IF(COUNTIF($B$7:$B$306,B115)&gt;1,"Trùng mã CPTT; ","")))</f>
        <v/>
      </c>
    </row>
    <row r="116" ht="19.5" customHeight="1" s="98">
      <c r="A116" s="164">
        <f>IF(B116="","",ROW()-6)</f>
        <v/>
      </c>
      <c r="B116" s="165" t="n"/>
      <c r="C116" s="166" t="n"/>
      <c r="D116" s="167" t="n"/>
      <c r="E116" s="167" t="n"/>
      <c r="F116" s="168" t="n"/>
      <c r="G116" s="169" t="n"/>
      <c r="H116" s="170">
        <f>IF(OR(F116="",G116=""),"",F116*G116)</f>
        <v/>
      </c>
      <c r="I116" s="171" t="n"/>
      <c r="J116" s="170">
        <f>IF(OR(H116="",E116="",P116=""),"",H116/(P116-E116+1))</f>
        <v/>
      </c>
      <c r="K116" s="165" t="n"/>
      <c r="L116" s="172">
        <f>IF(B116="","",IF(AF116&lt;=0,"Đã phân bổ",IF(P116&lt;=EDATE('Thiết lập'!$B$4,12),"Ngắn hạn","Dài hạn")))</f>
        <v/>
      </c>
      <c r="M116" s="165" t="n"/>
      <c r="N116" s="165" t="n"/>
      <c r="O116" s="165" t="n"/>
      <c r="P116" s="173">
        <f>IF(OR(E116="",I116=""),"",EDATE(E116,I116)-1)</f>
        <v/>
      </c>
      <c r="Q116" s="170">
        <f>IF(OR(B116="",E116="",P116=""),0,MIN(H116,MAX(0,MIN(P116,DATE('Thiết lập'!$B$3-1,12,31))-E116+1)*J116))</f>
        <v/>
      </c>
      <c r="R116" s="170">
        <f>IF(OR($B116="",R$4&gt;$P116,EOMONTH(R$4,0)&lt;$E116),0,MIN($H116,MAX(0,MIN(EOMONTH(R$4,0),$P116)-MAX(R$4,$E116)+1)*$J116))</f>
        <v/>
      </c>
      <c r="S116" s="170">
        <f>IF(OR($B116="",S$4&gt;$P116,EOMONTH(S$4,0)&lt;$E116),0,MIN($H116,MAX(0,MIN(EOMONTH(S$4,0),$P116)-MAX(S$4,$E116)+1)*$J116))</f>
        <v/>
      </c>
      <c r="T116" s="170">
        <f>IF(OR($B116="",T$4&gt;$P116,EOMONTH(T$4,0)&lt;$E116),0,MIN($H116,MAX(0,MIN(EOMONTH(T$4,0),$P116)-MAX(T$4,$E116)+1)*$J116))</f>
        <v/>
      </c>
      <c r="U116" s="170">
        <f>IF(OR($B116="",U$4&gt;$P116,EOMONTH(U$4,0)&lt;$E116),0,MIN($H116,MAX(0,MIN(EOMONTH(U$4,0),$P116)-MAX(U$4,$E116)+1)*$J116))</f>
        <v/>
      </c>
      <c r="V116" s="170">
        <f>IF(OR($B116="",V$4&gt;$P116,EOMONTH(V$4,0)&lt;$E116),0,MIN($H116,MAX(0,MIN(EOMONTH(V$4,0),$P116)-MAX(V$4,$E116)+1)*$J116))</f>
        <v/>
      </c>
      <c r="W116" s="170">
        <f>IF(OR($B116="",W$4&gt;$P116,EOMONTH(W$4,0)&lt;$E116),0,MIN($H116,MAX(0,MIN(EOMONTH(W$4,0),$P116)-MAX(W$4,$E116)+1)*$J116))</f>
        <v/>
      </c>
      <c r="X116" s="170">
        <f>IF(OR($B116="",X$4&gt;$P116,EOMONTH(X$4,0)&lt;$E116),0,MIN($H116,MAX(0,MIN(EOMONTH(X$4,0),$P116)-MAX(X$4,$E116)+1)*$J116))</f>
        <v/>
      </c>
      <c r="Y116" s="170">
        <f>IF(OR($B116="",Y$4&gt;$P116,EOMONTH(Y$4,0)&lt;$E116),0,MIN($H116,MAX(0,MIN(EOMONTH(Y$4,0),$P116)-MAX(Y$4,$E116)+1)*$J116))</f>
        <v/>
      </c>
      <c r="Z116" s="170">
        <f>IF(OR($B116="",Z$4&gt;$P116,EOMONTH(Z$4,0)&lt;$E116),0,MIN($H116,MAX(0,MIN(EOMONTH(Z$4,0),$P116)-MAX(Z$4,$E116)+1)*$J116))</f>
        <v/>
      </c>
      <c r="AA116" s="170">
        <f>IF(OR($B116="",AA$4&gt;$P116,EOMONTH(AA$4,0)&lt;$E116),0,MIN($H116,MAX(0,MIN(EOMONTH(AA$4,0),$P116)-MAX(AA$4,$E116)+1)*$J116))</f>
        <v/>
      </c>
      <c r="AB116" s="170">
        <f>IF(OR($B116="",AB$4&gt;$P116,EOMONTH(AB$4,0)&lt;$E116),0,MIN($H116,MAX(0,MIN(EOMONTH(AB$4,0),$P116)-MAX(AB$4,$E116)+1)*$J116))</f>
        <v/>
      </c>
      <c r="AC116" s="170">
        <f>IF(OR($B116="",AC$4&gt;$P116,EOMONTH(AC$4,0)&lt;$E116),0,MIN($H116,MAX(0,MIN(EOMONTH(AC$4,0),$P116)-MAX(AC$4,$E116)+1)*$J116))</f>
        <v/>
      </c>
      <c r="AD116" s="170">
        <f>IF(B116="","",ROUND(SUM(R116:AC116),0))</f>
        <v/>
      </c>
      <c r="AE116" s="170">
        <f>IF(B116="","",MIN(H116,ROUND(Q116+SUM(R116:AC116),0)))</f>
        <v/>
      </c>
      <c r="AF116" s="170">
        <f>IF(B116="","",MAX(H116-AE116,0))</f>
        <v/>
      </c>
      <c r="AG116" s="172">
        <f>IF(B116="","",IF('Thiết lập'!$B$4&lt;E116,"Chưa phân bổ",IF(P116&lt;='Thiết lập'!$B$4,"Đã phân bổ","Đang phân bổ")))</f>
        <v/>
      </c>
      <c r="AH116" s="166" t="n"/>
      <c r="AI116" s="174">
        <f>IF(B116="","",IF(AND(C116&lt;&gt;"",D116&lt;&gt;"",E116&lt;&gt;"",E116&gt;=D116,F116&gt;0,G116&gt;0,I116&gt;0,COUNTIF($B$7:$B$306,B116)=1),"OK",IF(C116="","Thiếu tên; ","")&amp;IF(D116="","Thiếu ngày tăng; ","")&amp;IF(E116="","Thiếu ngày bắt đầu; ","")&amp;IF(AND(D116&lt;&gt;"",E116&lt;&gt;"",E116&lt;D116),"Ngày bắt đầu &lt; ngày tăng; ","")&amp;IF(OR(F116="",F116&lt;=0),"Số lượng không hợp lệ; ","")&amp;IF(OR(G116="",G116&lt;=0),"Đơn giá không hợp lệ; ","")&amp;IF(OR(I116="",I116&lt;=0),"Số tháng không hợp lệ; ","")&amp;IF(COUNTIF($B$7:$B$306,B116)&gt;1,"Trùng mã CPTT; ","")))</f>
        <v/>
      </c>
    </row>
    <row r="117" ht="19.5" customHeight="1" s="98">
      <c r="A117" s="164">
        <f>IF(B117="","",ROW()-6)</f>
        <v/>
      </c>
      <c r="B117" s="165" t="n"/>
      <c r="C117" s="166" t="n"/>
      <c r="D117" s="167" t="n"/>
      <c r="E117" s="167" t="n"/>
      <c r="F117" s="168" t="n"/>
      <c r="G117" s="169" t="n"/>
      <c r="H117" s="170">
        <f>IF(OR(F117="",G117=""),"",F117*G117)</f>
        <v/>
      </c>
      <c r="I117" s="171" t="n"/>
      <c r="J117" s="170">
        <f>IF(OR(H117="",E117="",P117=""),"",H117/(P117-E117+1))</f>
        <v/>
      </c>
      <c r="K117" s="165" t="n"/>
      <c r="L117" s="172">
        <f>IF(B117="","",IF(AF117&lt;=0,"Đã phân bổ",IF(P117&lt;=EDATE('Thiết lập'!$B$4,12),"Ngắn hạn","Dài hạn")))</f>
        <v/>
      </c>
      <c r="M117" s="165" t="n"/>
      <c r="N117" s="165" t="n"/>
      <c r="O117" s="165" t="n"/>
      <c r="P117" s="173">
        <f>IF(OR(E117="",I117=""),"",EDATE(E117,I117)-1)</f>
        <v/>
      </c>
      <c r="Q117" s="170">
        <f>IF(OR(B117="",E117="",P117=""),0,MIN(H117,MAX(0,MIN(P117,DATE('Thiết lập'!$B$3-1,12,31))-E117+1)*J117))</f>
        <v/>
      </c>
      <c r="R117" s="170">
        <f>IF(OR($B117="",R$4&gt;$P117,EOMONTH(R$4,0)&lt;$E117),0,MIN($H117,MAX(0,MIN(EOMONTH(R$4,0),$P117)-MAX(R$4,$E117)+1)*$J117))</f>
        <v/>
      </c>
      <c r="S117" s="170">
        <f>IF(OR($B117="",S$4&gt;$P117,EOMONTH(S$4,0)&lt;$E117),0,MIN($H117,MAX(0,MIN(EOMONTH(S$4,0),$P117)-MAX(S$4,$E117)+1)*$J117))</f>
        <v/>
      </c>
      <c r="T117" s="170">
        <f>IF(OR($B117="",T$4&gt;$P117,EOMONTH(T$4,0)&lt;$E117),0,MIN($H117,MAX(0,MIN(EOMONTH(T$4,0),$P117)-MAX(T$4,$E117)+1)*$J117))</f>
        <v/>
      </c>
      <c r="U117" s="170">
        <f>IF(OR($B117="",U$4&gt;$P117,EOMONTH(U$4,0)&lt;$E117),0,MIN($H117,MAX(0,MIN(EOMONTH(U$4,0),$P117)-MAX(U$4,$E117)+1)*$J117))</f>
        <v/>
      </c>
      <c r="V117" s="170">
        <f>IF(OR($B117="",V$4&gt;$P117,EOMONTH(V$4,0)&lt;$E117),0,MIN($H117,MAX(0,MIN(EOMONTH(V$4,0),$P117)-MAX(V$4,$E117)+1)*$J117))</f>
        <v/>
      </c>
      <c r="W117" s="170">
        <f>IF(OR($B117="",W$4&gt;$P117,EOMONTH(W$4,0)&lt;$E117),0,MIN($H117,MAX(0,MIN(EOMONTH(W$4,0),$P117)-MAX(W$4,$E117)+1)*$J117))</f>
        <v/>
      </c>
      <c r="X117" s="170">
        <f>IF(OR($B117="",X$4&gt;$P117,EOMONTH(X$4,0)&lt;$E117),0,MIN($H117,MAX(0,MIN(EOMONTH(X$4,0),$P117)-MAX(X$4,$E117)+1)*$J117))</f>
        <v/>
      </c>
      <c r="Y117" s="170">
        <f>IF(OR($B117="",Y$4&gt;$P117,EOMONTH(Y$4,0)&lt;$E117),0,MIN($H117,MAX(0,MIN(EOMONTH(Y$4,0),$P117)-MAX(Y$4,$E117)+1)*$J117))</f>
        <v/>
      </c>
      <c r="Z117" s="170">
        <f>IF(OR($B117="",Z$4&gt;$P117,EOMONTH(Z$4,0)&lt;$E117),0,MIN($H117,MAX(0,MIN(EOMONTH(Z$4,0),$P117)-MAX(Z$4,$E117)+1)*$J117))</f>
        <v/>
      </c>
      <c r="AA117" s="170">
        <f>IF(OR($B117="",AA$4&gt;$P117,EOMONTH(AA$4,0)&lt;$E117),0,MIN($H117,MAX(0,MIN(EOMONTH(AA$4,0),$P117)-MAX(AA$4,$E117)+1)*$J117))</f>
        <v/>
      </c>
      <c r="AB117" s="170">
        <f>IF(OR($B117="",AB$4&gt;$P117,EOMONTH(AB$4,0)&lt;$E117),0,MIN($H117,MAX(0,MIN(EOMONTH(AB$4,0),$P117)-MAX(AB$4,$E117)+1)*$J117))</f>
        <v/>
      </c>
      <c r="AC117" s="170">
        <f>IF(OR($B117="",AC$4&gt;$P117,EOMONTH(AC$4,0)&lt;$E117),0,MIN($H117,MAX(0,MIN(EOMONTH(AC$4,0),$P117)-MAX(AC$4,$E117)+1)*$J117))</f>
        <v/>
      </c>
      <c r="AD117" s="170">
        <f>IF(B117="","",ROUND(SUM(R117:AC117),0))</f>
        <v/>
      </c>
      <c r="AE117" s="170">
        <f>IF(B117="","",MIN(H117,ROUND(Q117+SUM(R117:AC117),0)))</f>
        <v/>
      </c>
      <c r="AF117" s="170">
        <f>IF(B117="","",MAX(H117-AE117,0))</f>
        <v/>
      </c>
      <c r="AG117" s="172">
        <f>IF(B117="","",IF('Thiết lập'!$B$4&lt;E117,"Chưa phân bổ",IF(P117&lt;='Thiết lập'!$B$4,"Đã phân bổ","Đang phân bổ")))</f>
        <v/>
      </c>
      <c r="AH117" s="166" t="n"/>
      <c r="AI117" s="174">
        <f>IF(B117="","",IF(AND(C117&lt;&gt;"",D117&lt;&gt;"",E117&lt;&gt;"",E117&gt;=D117,F117&gt;0,G117&gt;0,I117&gt;0,COUNTIF($B$7:$B$306,B117)=1),"OK",IF(C117="","Thiếu tên; ","")&amp;IF(D117="","Thiếu ngày tăng; ","")&amp;IF(E117="","Thiếu ngày bắt đầu; ","")&amp;IF(AND(D117&lt;&gt;"",E117&lt;&gt;"",E117&lt;D117),"Ngày bắt đầu &lt; ngày tăng; ","")&amp;IF(OR(F117="",F117&lt;=0),"Số lượng không hợp lệ; ","")&amp;IF(OR(G117="",G117&lt;=0),"Đơn giá không hợp lệ; ","")&amp;IF(OR(I117="",I117&lt;=0),"Số tháng không hợp lệ; ","")&amp;IF(COUNTIF($B$7:$B$306,B117)&gt;1,"Trùng mã CPTT; ","")))</f>
        <v/>
      </c>
    </row>
    <row r="118" ht="19.5" customHeight="1" s="98">
      <c r="A118" s="164">
        <f>IF(B118="","",ROW()-6)</f>
        <v/>
      </c>
      <c r="B118" s="165" t="n"/>
      <c r="C118" s="166" t="n"/>
      <c r="D118" s="167" t="n"/>
      <c r="E118" s="167" t="n"/>
      <c r="F118" s="168" t="n"/>
      <c r="G118" s="169" t="n"/>
      <c r="H118" s="170">
        <f>IF(OR(F118="",G118=""),"",F118*G118)</f>
        <v/>
      </c>
      <c r="I118" s="171" t="n"/>
      <c r="J118" s="170">
        <f>IF(OR(H118="",E118="",P118=""),"",H118/(P118-E118+1))</f>
        <v/>
      </c>
      <c r="K118" s="165" t="n"/>
      <c r="L118" s="172">
        <f>IF(B118="","",IF(AF118&lt;=0,"Đã phân bổ",IF(P118&lt;=EDATE('Thiết lập'!$B$4,12),"Ngắn hạn","Dài hạn")))</f>
        <v/>
      </c>
      <c r="M118" s="165" t="n"/>
      <c r="N118" s="165" t="n"/>
      <c r="O118" s="165" t="n"/>
      <c r="P118" s="173">
        <f>IF(OR(E118="",I118=""),"",EDATE(E118,I118)-1)</f>
        <v/>
      </c>
      <c r="Q118" s="170">
        <f>IF(OR(B118="",E118="",P118=""),0,MIN(H118,MAX(0,MIN(P118,DATE('Thiết lập'!$B$3-1,12,31))-E118+1)*J118))</f>
        <v/>
      </c>
      <c r="R118" s="170">
        <f>IF(OR($B118="",R$4&gt;$P118,EOMONTH(R$4,0)&lt;$E118),0,MIN($H118,MAX(0,MIN(EOMONTH(R$4,0),$P118)-MAX(R$4,$E118)+1)*$J118))</f>
        <v/>
      </c>
      <c r="S118" s="170">
        <f>IF(OR($B118="",S$4&gt;$P118,EOMONTH(S$4,0)&lt;$E118),0,MIN($H118,MAX(0,MIN(EOMONTH(S$4,0),$P118)-MAX(S$4,$E118)+1)*$J118))</f>
        <v/>
      </c>
      <c r="T118" s="170">
        <f>IF(OR($B118="",T$4&gt;$P118,EOMONTH(T$4,0)&lt;$E118),0,MIN($H118,MAX(0,MIN(EOMONTH(T$4,0),$P118)-MAX(T$4,$E118)+1)*$J118))</f>
        <v/>
      </c>
      <c r="U118" s="170">
        <f>IF(OR($B118="",U$4&gt;$P118,EOMONTH(U$4,0)&lt;$E118),0,MIN($H118,MAX(0,MIN(EOMONTH(U$4,0),$P118)-MAX(U$4,$E118)+1)*$J118))</f>
        <v/>
      </c>
      <c r="V118" s="170">
        <f>IF(OR($B118="",V$4&gt;$P118,EOMONTH(V$4,0)&lt;$E118),0,MIN($H118,MAX(0,MIN(EOMONTH(V$4,0),$P118)-MAX(V$4,$E118)+1)*$J118))</f>
        <v/>
      </c>
      <c r="W118" s="170">
        <f>IF(OR($B118="",W$4&gt;$P118,EOMONTH(W$4,0)&lt;$E118),0,MIN($H118,MAX(0,MIN(EOMONTH(W$4,0),$P118)-MAX(W$4,$E118)+1)*$J118))</f>
        <v/>
      </c>
      <c r="X118" s="170">
        <f>IF(OR($B118="",X$4&gt;$P118,EOMONTH(X$4,0)&lt;$E118),0,MIN($H118,MAX(0,MIN(EOMONTH(X$4,0),$P118)-MAX(X$4,$E118)+1)*$J118))</f>
        <v/>
      </c>
      <c r="Y118" s="170">
        <f>IF(OR($B118="",Y$4&gt;$P118,EOMONTH(Y$4,0)&lt;$E118),0,MIN($H118,MAX(0,MIN(EOMONTH(Y$4,0),$P118)-MAX(Y$4,$E118)+1)*$J118))</f>
        <v/>
      </c>
      <c r="Z118" s="170">
        <f>IF(OR($B118="",Z$4&gt;$P118,EOMONTH(Z$4,0)&lt;$E118),0,MIN($H118,MAX(0,MIN(EOMONTH(Z$4,0),$P118)-MAX(Z$4,$E118)+1)*$J118))</f>
        <v/>
      </c>
      <c r="AA118" s="170">
        <f>IF(OR($B118="",AA$4&gt;$P118,EOMONTH(AA$4,0)&lt;$E118),0,MIN($H118,MAX(0,MIN(EOMONTH(AA$4,0),$P118)-MAX(AA$4,$E118)+1)*$J118))</f>
        <v/>
      </c>
      <c r="AB118" s="170">
        <f>IF(OR($B118="",AB$4&gt;$P118,EOMONTH(AB$4,0)&lt;$E118),0,MIN($H118,MAX(0,MIN(EOMONTH(AB$4,0),$P118)-MAX(AB$4,$E118)+1)*$J118))</f>
        <v/>
      </c>
      <c r="AC118" s="170">
        <f>IF(OR($B118="",AC$4&gt;$P118,EOMONTH(AC$4,0)&lt;$E118),0,MIN($H118,MAX(0,MIN(EOMONTH(AC$4,0),$P118)-MAX(AC$4,$E118)+1)*$J118))</f>
        <v/>
      </c>
      <c r="AD118" s="170">
        <f>IF(B118="","",ROUND(SUM(R118:AC118),0))</f>
        <v/>
      </c>
      <c r="AE118" s="170">
        <f>IF(B118="","",MIN(H118,ROUND(Q118+SUM(R118:AC118),0)))</f>
        <v/>
      </c>
      <c r="AF118" s="170">
        <f>IF(B118="","",MAX(H118-AE118,0))</f>
        <v/>
      </c>
      <c r="AG118" s="172">
        <f>IF(B118="","",IF('Thiết lập'!$B$4&lt;E118,"Chưa phân bổ",IF(P118&lt;='Thiết lập'!$B$4,"Đã phân bổ","Đang phân bổ")))</f>
        <v/>
      </c>
      <c r="AH118" s="166" t="n"/>
      <c r="AI118" s="174">
        <f>IF(B118="","",IF(AND(C118&lt;&gt;"",D118&lt;&gt;"",E118&lt;&gt;"",E118&gt;=D118,F118&gt;0,G118&gt;0,I118&gt;0,COUNTIF($B$7:$B$306,B118)=1),"OK",IF(C118="","Thiếu tên; ","")&amp;IF(D118="","Thiếu ngày tăng; ","")&amp;IF(E118="","Thiếu ngày bắt đầu; ","")&amp;IF(AND(D118&lt;&gt;"",E118&lt;&gt;"",E118&lt;D118),"Ngày bắt đầu &lt; ngày tăng; ","")&amp;IF(OR(F118="",F118&lt;=0),"Số lượng không hợp lệ; ","")&amp;IF(OR(G118="",G118&lt;=0),"Đơn giá không hợp lệ; ","")&amp;IF(OR(I118="",I118&lt;=0),"Số tháng không hợp lệ; ","")&amp;IF(COUNTIF($B$7:$B$306,B118)&gt;1,"Trùng mã CPTT; ","")))</f>
        <v/>
      </c>
    </row>
    <row r="119" ht="19.5" customHeight="1" s="98">
      <c r="A119" s="164">
        <f>IF(B119="","",ROW()-6)</f>
        <v/>
      </c>
      <c r="B119" s="165" t="n"/>
      <c r="C119" s="166" t="n"/>
      <c r="D119" s="167" t="n"/>
      <c r="E119" s="167" t="n"/>
      <c r="F119" s="168" t="n"/>
      <c r="G119" s="169" t="n"/>
      <c r="H119" s="170">
        <f>IF(OR(F119="",G119=""),"",F119*G119)</f>
        <v/>
      </c>
      <c r="I119" s="171" t="n"/>
      <c r="J119" s="170">
        <f>IF(OR(H119="",E119="",P119=""),"",H119/(P119-E119+1))</f>
        <v/>
      </c>
      <c r="K119" s="165" t="n"/>
      <c r="L119" s="172">
        <f>IF(B119="","",IF(AF119&lt;=0,"Đã phân bổ",IF(P119&lt;=EDATE('Thiết lập'!$B$4,12),"Ngắn hạn","Dài hạn")))</f>
        <v/>
      </c>
      <c r="M119" s="165" t="n"/>
      <c r="N119" s="165" t="n"/>
      <c r="O119" s="165" t="n"/>
      <c r="P119" s="173">
        <f>IF(OR(E119="",I119=""),"",EDATE(E119,I119)-1)</f>
        <v/>
      </c>
      <c r="Q119" s="170">
        <f>IF(OR(B119="",E119="",P119=""),0,MIN(H119,MAX(0,MIN(P119,DATE('Thiết lập'!$B$3-1,12,31))-E119+1)*J119))</f>
        <v/>
      </c>
      <c r="R119" s="170">
        <f>IF(OR($B119="",R$4&gt;$P119,EOMONTH(R$4,0)&lt;$E119),0,MIN($H119,MAX(0,MIN(EOMONTH(R$4,0),$P119)-MAX(R$4,$E119)+1)*$J119))</f>
        <v/>
      </c>
      <c r="S119" s="170">
        <f>IF(OR($B119="",S$4&gt;$P119,EOMONTH(S$4,0)&lt;$E119),0,MIN($H119,MAX(0,MIN(EOMONTH(S$4,0),$P119)-MAX(S$4,$E119)+1)*$J119))</f>
        <v/>
      </c>
      <c r="T119" s="170">
        <f>IF(OR($B119="",T$4&gt;$P119,EOMONTH(T$4,0)&lt;$E119),0,MIN($H119,MAX(0,MIN(EOMONTH(T$4,0),$P119)-MAX(T$4,$E119)+1)*$J119))</f>
        <v/>
      </c>
      <c r="U119" s="170">
        <f>IF(OR($B119="",U$4&gt;$P119,EOMONTH(U$4,0)&lt;$E119),0,MIN($H119,MAX(0,MIN(EOMONTH(U$4,0),$P119)-MAX(U$4,$E119)+1)*$J119))</f>
        <v/>
      </c>
      <c r="V119" s="170">
        <f>IF(OR($B119="",V$4&gt;$P119,EOMONTH(V$4,0)&lt;$E119),0,MIN($H119,MAX(0,MIN(EOMONTH(V$4,0),$P119)-MAX(V$4,$E119)+1)*$J119))</f>
        <v/>
      </c>
      <c r="W119" s="170">
        <f>IF(OR($B119="",W$4&gt;$P119,EOMONTH(W$4,0)&lt;$E119),0,MIN($H119,MAX(0,MIN(EOMONTH(W$4,0),$P119)-MAX(W$4,$E119)+1)*$J119))</f>
        <v/>
      </c>
      <c r="X119" s="170">
        <f>IF(OR($B119="",X$4&gt;$P119,EOMONTH(X$4,0)&lt;$E119),0,MIN($H119,MAX(0,MIN(EOMONTH(X$4,0),$P119)-MAX(X$4,$E119)+1)*$J119))</f>
        <v/>
      </c>
      <c r="Y119" s="170">
        <f>IF(OR($B119="",Y$4&gt;$P119,EOMONTH(Y$4,0)&lt;$E119),0,MIN($H119,MAX(0,MIN(EOMONTH(Y$4,0),$P119)-MAX(Y$4,$E119)+1)*$J119))</f>
        <v/>
      </c>
      <c r="Z119" s="170">
        <f>IF(OR($B119="",Z$4&gt;$P119,EOMONTH(Z$4,0)&lt;$E119),0,MIN($H119,MAX(0,MIN(EOMONTH(Z$4,0),$P119)-MAX(Z$4,$E119)+1)*$J119))</f>
        <v/>
      </c>
      <c r="AA119" s="170">
        <f>IF(OR($B119="",AA$4&gt;$P119,EOMONTH(AA$4,0)&lt;$E119),0,MIN($H119,MAX(0,MIN(EOMONTH(AA$4,0),$P119)-MAX(AA$4,$E119)+1)*$J119))</f>
        <v/>
      </c>
      <c r="AB119" s="170">
        <f>IF(OR($B119="",AB$4&gt;$P119,EOMONTH(AB$4,0)&lt;$E119),0,MIN($H119,MAX(0,MIN(EOMONTH(AB$4,0),$P119)-MAX(AB$4,$E119)+1)*$J119))</f>
        <v/>
      </c>
      <c r="AC119" s="170">
        <f>IF(OR($B119="",AC$4&gt;$P119,EOMONTH(AC$4,0)&lt;$E119),0,MIN($H119,MAX(0,MIN(EOMONTH(AC$4,0),$P119)-MAX(AC$4,$E119)+1)*$J119))</f>
        <v/>
      </c>
      <c r="AD119" s="170">
        <f>IF(B119="","",ROUND(SUM(R119:AC119),0))</f>
        <v/>
      </c>
      <c r="AE119" s="170">
        <f>IF(B119="","",MIN(H119,ROUND(Q119+SUM(R119:AC119),0)))</f>
        <v/>
      </c>
      <c r="AF119" s="170">
        <f>IF(B119="","",MAX(H119-AE119,0))</f>
        <v/>
      </c>
      <c r="AG119" s="172">
        <f>IF(B119="","",IF('Thiết lập'!$B$4&lt;E119,"Chưa phân bổ",IF(P119&lt;='Thiết lập'!$B$4,"Đã phân bổ","Đang phân bổ")))</f>
        <v/>
      </c>
      <c r="AH119" s="166" t="n"/>
      <c r="AI119" s="174">
        <f>IF(B119="","",IF(AND(C119&lt;&gt;"",D119&lt;&gt;"",E119&lt;&gt;"",E119&gt;=D119,F119&gt;0,G119&gt;0,I119&gt;0,COUNTIF($B$7:$B$306,B119)=1),"OK",IF(C119="","Thiếu tên; ","")&amp;IF(D119="","Thiếu ngày tăng; ","")&amp;IF(E119="","Thiếu ngày bắt đầu; ","")&amp;IF(AND(D119&lt;&gt;"",E119&lt;&gt;"",E119&lt;D119),"Ngày bắt đầu &lt; ngày tăng; ","")&amp;IF(OR(F119="",F119&lt;=0),"Số lượng không hợp lệ; ","")&amp;IF(OR(G119="",G119&lt;=0),"Đơn giá không hợp lệ; ","")&amp;IF(OR(I119="",I119&lt;=0),"Số tháng không hợp lệ; ","")&amp;IF(COUNTIF($B$7:$B$306,B119)&gt;1,"Trùng mã CPTT; ","")))</f>
        <v/>
      </c>
    </row>
    <row r="120" ht="19.5" customHeight="1" s="98">
      <c r="A120" s="164">
        <f>IF(B120="","",ROW()-6)</f>
        <v/>
      </c>
      <c r="B120" s="165" t="n"/>
      <c r="C120" s="166" t="n"/>
      <c r="D120" s="167" t="n"/>
      <c r="E120" s="167" t="n"/>
      <c r="F120" s="168" t="n"/>
      <c r="G120" s="169" t="n"/>
      <c r="H120" s="170">
        <f>IF(OR(F120="",G120=""),"",F120*G120)</f>
        <v/>
      </c>
      <c r="I120" s="171" t="n"/>
      <c r="J120" s="170">
        <f>IF(OR(H120="",E120="",P120=""),"",H120/(P120-E120+1))</f>
        <v/>
      </c>
      <c r="K120" s="165" t="n"/>
      <c r="L120" s="172">
        <f>IF(B120="","",IF(AF120&lt;=0,"Đã phân bổ",IF(P120&lt;=EDATE('Thiết lập'!$B$4,12),"Ngắn hạn","Dài hạn")))</f>
        <v/>
      </c>
      <c r="M120" s="165" t="n"/>
      <c r="N120" s="165" t="n"/>
      <c r="O120" s="165" t="n"/>
      <c r="P120" s="173">
        <f>IF(OR(E120="",I120=""),"",EDATE(E120,I120)-1)</f>
        <v/>
      </c>
      <c r="Q120" s="170">
        <f>IF(OR(B120="",E120="",P120=""),0,MIN(H120,MAX(0,MIN(P120,DATE('Thiết lập'!$B$3-1,12,31))-E120+1)*J120))</f>
        <v/>
      </c>
      <c r="R120" s="170">
        <f>IF(OR($B120="",R$4&gt;$P120,EOMONTH(R$4,0)&lt;$E120),0,MIN($H120,MAX(0,MIN(EOMONTH(R$4,0),$P120)-MAX(R$4,$E120)+1)*$J120))</f>
        <v/>
      </c>
      <c r="S120" s="170">
        <f>IF(OR($B120="",S$4&gt;$P120,EOMONTH(S$4,0)&lt;$E120),0,MIN($H120,MAX(0,MIN(EOMONTH(S$4,0),$P120)-MAX(S$4,$E120)+1)*$J120))</f>
        <v/>
      </c>
      <c r="T120" s="170">
        <f>IF(OR($B120="",T$4&gt;$P120,EOMONTH(T$4,0)&lt;$E120),0,MIN($H120,MAX(0,MIN(EOMONTH(T$4,0),$P120)-MAX(T$4,$E120)+1)*$J120))</f>
        <v/>
      </c>
      <c r="U120" s="170">
        <f>IF(OR($B120="",U$4&gt;$P120,EOMONTH(U$4,0)&lt;$E120),0,MIN($H120,MAX(0,MIN(EOMONTH(U$4,0),$P120)-MAX(U$4,$E120)+1)*$J120))</f>
        <v/>
      </c>
      <c r="V120" s="170">
        <f>IF(OR($B120="",V$4&gt;$P120,EOMONTH(V$4,0)&lt;$E120),0,MIN($H120,MAX(0,MIN(EOMONTH(V$4,0),$P120)-MAX(V$4,$E120)+1)*$J120))</f>
        <v/>
      </c>
      <c r="W120" s="170">
        <f>IF(OR($B120="",W$4&gt;$P120,EOMONTH(W$4,0)&lt;$E120),0,MIN($H120,MAX(0,MIN(EOMONTH(W$4,0),$P120)-MAX(W$4,$E120)+1)*$J120))</f>
        <v/>
      </c>
      <c r="X120" s="170">
        <f>IF(OR($B120="",X$4&gt;$P120,EOMONTH(X$4,0)&lt;$E120),0,MIN($H120,MAX(0,MIN(EOMONTH(X$4,0),$P120)-MAX(X$4,$E120)+1)*$J120))</f>
        <v/>
      </c>
      <c r="Y120" s="170">
        <f>IF(OR($B120="",Y$4&gt;$P120,EOMONTH(Y$4,0)&lt;$E120),0,MIN($H120,MAX(0,MIN(EOMONTH(Y$4,0),$P120)-MAX(Y$4,$E120)+1)*$J120))</f>
        <v/>
      </c>
      <c r="Z120" s="170">
        <f>IF(OR($B120="",Z$4&gt;$P120,EOMONTH(Z$4,0)&lt;$E120),0,MIN($H120,MAX(0,MIN(EOMONTH(Z$4,0),$P120)-MAX(Z$4,$E120)+1)*$J120))</f>
        <v/>
      </c>
      <c r="AA120" s="170">
        <f>IF(OR($B120="",AA$4&gt;$P120,EOMONTH(AA$4,0)&lt;$E120),0,MIN($H120,MAX(0,MIN(EOMONTH(AA$4,0),$P120)-MAX(AA$4,$E120)+1)*$J120))</f>
        <v/>
      </c>
      <c r="AB120" s="170">
        <f>IF(OR($B120="",AB$4&gt;$P120,EOMONTH(AB$4,0)&lt;$E120),0,MIN($H120,MAX(0,MIN(EOMONTH(AB$4,0),$P120)-MAX(AB$4,$E120)+1)*$J120))</f>
        <v/>
      </c>
      <c r="AC120" s="170">
        <f>IF(OR($B120="",AC$4&gt;$P120,EOMONTH(AC$4,0)&lt;$E120),0,MIN($H120,MAX(0,MIN(EOMONTH(AC$4,0),$P120)-MAX(AC$4,$E120)+1)*$J120))</f>
        <v/>
      </c>
      <c r="AD120" s="170">
        <f>IF(B120="","",ROUND(SUM(R120:AC120),0))</f>
        <v/>
      </c>
      <c r="AE120" s="170">
        <f>IF(B120="","",MIN(H120,ROUND(Q120+SUM(R120:AC120),0)))</f>
        <v/>
      </c>
      <c r="AF120" s="170">
        <f>IF(B120="","",MAX(H120-AE120,0))</f>
        <v/>
      </c>
      <c r="AG120" s="172">
        <f>IF(B120="","",IF('Thiết lập'!$B$4&lt;E120,"Chưa phân bổ",IF(P120&lt;='Thiết lập'!$B$4,"Đã phân bổ","Đang phân bổ")))</f>
        <v/>
      </c>
      <c r="AH120" s="166" t="n"/>
      <c r="AI120" s="174">
        <f>IF(B120="","",IF(AND(C120&lt;&gt;"",D120&lt;&gt;"",E120&lt;&gt;"",E120&gt;=D120,F120&gt;0,G120&gt;0,I120&gt;0,COUNTIF($B$7:$B$306,B120)=1),"OK",IF(C120="","Thiếu tên; ","")&amp;IF(D120="","Thiếu ngày tăng; ","")&amp;IF(E120="","Thiếu ngày bắt đầu; ","")&amp;IF(AND(D120&lt;&gt;"",E120&lt;&gt;"",E120&lt;D120),"Ngày bắt đầu &lt; ngày tăng; ","")&amp;IF(OR(F120="",F120&lt;=0),"Số lượng không hợp lệ; ","")&amp;IF(OR(G120="",G120&lt;=0),"Đơn giá không hợp lệ; ","")&amp;IF(OR(I120="",I120&lt;=0),"Số tháng không hợp lệ; ","")&amp;IF(COUNTIF($B$7:$B$306,B120)&gt;1,"Trùng mã CPTT; ","")))</f>
        <v/>
      </c>
    </row>
    <row r="121" ht="19.5" customHeight="1" s="98">
      <c r="A121" s="164">
        <f>IF(B121="","",ROW()-6)</f>
        <v/>
      </c>
      <c r="B121" s="165" t="n"/>
      <c r="C121" s="166" t="n"/>
      <c r="D121" s="167" t="n"/>
      <c r="E121" s="167" t="n"/>
      <c r="F121" s="168" t="n"/>
      <c r="G121" s="169" t="n"/>
      <c r="H121" s="170">
        <f>IF(OR(F121="",G121=""),"",F121*G121)</f>
        <v/>
      </c>
      <c r="I121" s="171" t="n"/>
      <c r="J121" s="170">
        <f>IF(OR(H121="",E121="",P121=""),"",H121/(P121-E121+1))</f>
        <v/>
      </c>
      <c r="K121" s="165" t="n"/>
      <c r="L121" s="172">
        <f>IF(B121="","",IF(AF121&lt;=0,"Đã phân bổ",IF(P121&lt;=EDATE('Thiết lập'!$B$4,12),"Ngắn hạn","Dài hạn")))</f>
        <v/>
      </c>
      <c r="M121" s="165" t="n"/>
      <c r="N121" s="165" t="n"/>
      <c r="O121" s="165" t="n"/>
      <c r="P121" s="173">
        <f>IF(OR(E121="",I121=""),"",EDATE(E121,I121)-1)</f>
        <v/>
      </c>
      <c r="Q121" s="170">
        <f>IF(OR(B121="",E121="",P121=""),0,MIN(H121,MAX(0,MIN(P121,DATE('Thiết lập'!$B$3-1,12,31))-E121+1)*J121))</f>
        <v/>
      </c>
      <c r="R121" s="170">
        <f>IF(OR($B121="",R$4&gt;$P121,EOMONTH(R$4,0)&lt;$E121),0,MIN($H121,MAX(0,MIN(EOMONTH(R$4,0),$P121)-MAX(R$4,$E121)+1)*$J121))</f>
        <v/>
      </c>
      <c r="S121" s="170">
        <f>IF(OR($B121="",S$4&gt;$P121,EOMONTH(S$4,0)&lt;$E121),0,MIN($H121,MAX(0,MIN(EOMONTH(S$4,0),$P121)-MAX(S$4,$E121)+1)*$J121))</f>
        <v/>
      </c>
      <c r="T121" s="170">
        <f>IF(OR($B121="",T$4&gt;$P121,EOMONTH(T$4,0)&lt;$E121),0,MIN($H121,MAX(0,MIN(EOMONTH(T$4,0),$P121)-MAX(T$4,$E121)+1)*$J121))</f>
        <v/>
      </c>
      <c r="U121" s="170">
        <f>IF(OR($B121="",U$4&gt;$P121,EOMONTH(U$4,0)&lt;$E121),0,MIN($H121,MAX(0,MIN(EOMONTH(U$4,0),$P121)-MAX(U$4,$E121)+1)*$J121))</f>
        <v/>
      </c>
      <c r="V121" s="170">
        <f>IF(OR($B121="",V$4&gt;$P121,EOMONTH(V$4,0)&lt;$E121),0,MIN($H121,MAX(0,MIN(EOMONTH(V$4,0),$P121)-MAX(V$4,$E121)+1)*$J121))</f>
        <v/>
      </c>
      <c r="W121" s="170">
        <f>IF(OR($B121="",W$4&gt;$P121,EOMONTH(W$4,0)&lt;$E121),0,MIN($H121,MAX(0,MIN(EOMONTH(W$4,0),$P121)-MAX(W$4,$E121)+1)*$J121))</f>
        <v/>
      </c>
      <c r="X121" s="170">
        <f>IF(OR($B121="",X$4&gt;$P121,EOMONTH(X$4,0)&lt;$E121),0,MIN($H121,MAX(0,MIN(EOMONTH(X$4,0),$P121)-MAX(X$4,$E121)+1)*$J121))</f>
        <v/>
      </c>
      <c r="Y121" s="170">
        <f>IF(OR($B121="",Y$4&gt;$P121,EOMONTH(Y$4,0)&lt;$E121),0,MIN($H121,MAX(0,MIN(EOMONTH(Y$4,0),$P121)-MAX(Y$4,$E121)+1)*$J121))</f>
        <v/>
      </c>
      <c r="Z121" s="170">
        <f>IF(OR($B121="",Z$4&gt;$P121,EOMONTH(Z$4,0)&lt;$E121),0,MIN($H121,MAX(0,MIN(EOMONTH(Z$4,0),$P121)-MAX(Z$4,$E121)+1)*$J121))</f>
        <v/>
      </c>
      <c r="AA121" s="170">
        <f>IF(OR($B121="",AA$4&gt;$P121,EOMONTH(AA$4,0)&lt;$E121),0,MIN($H121,MAX(0,MIN(EOMONTH(AA$4,0),$P121)-MAX(AA$4,$E121)+1)*$J121))</f>
        <v/>
      </c>
      <c r="AB121" s="170">
        <f>IF(OR($B121="",AB$4&gt;$P121,EOMONTH(AB$4,0)&lt;$E121),0,MIN($H121,MAX(0,MIN(EOMONTH(AB$4,0),$P121)-MAX(AB$4,$E121)+1)*$J121))</f>
        <v/>
      </c>
      <c r="AC121" s="170">
        <f>IF(OR($B121="",AC$4&gt;$P121,EOMONTH(AC$4,0)&lt;$E121),0,MIN($H121,MAX(0,MIN(EOMONTH(AC$4,0),$P121)-MAX(AC$4,$E121)+1)*$J121))</f>
        <v/>
      </c>
      <c r="AD121" s="170">
        <f>IF(B121="","",ROUND(SUM(R121:AC121),0))</f>
        <v/>
      </c>
      <c r="AE121" s="170">
        <f>IF(B121="","",MIN(H121,ROUND(Q121+SUM(R121:AC121),0)))</f>
        <v/>
      </c>
      <c r="AF121" s="170">
        <f>IF(B121="","",MAX(H121-AE121,0))</f>
        <v/>
      </c>
      <c r="AG121" s="172">
        <f>IF(B121="","",IF('Thiết lập'!$B$4&lt;E121,"Chưa phân bổ",IF(P121&lt;='Thiết lập'!$B$4,"Đã phân bổ","Đang phân bổ")))</f>
        <v/>
      </c>
      <c r="AH121" s="166" t="n"/>
      <c r="AI121" s="174">
        <f>IF(B121="","",IF(AND(C121&lt;&gt;"",D121&lt;&gt;"",E121&lt;&gt;"",E121&gt;=D121,F121&gt;0,G121&gt;0,I121&gt;0,COUNTIF($B$7:$B$306,B121)=1),"OK",IF(C121="","Thiếu tên; ","")&amp;IF(D121="","Thiếu ngày tăng; ","")&amp;IF(E121="","Thiếu ngày bắt đầu; ","")&amp;IF(AND(D121&lt;&gt;"",E121&lt;&gt;"",E121&lt;D121),"Ngày bắt đầu &lt; ngày tăng; ","")&amp;IF(OR(F121="",F121&lt;=0),"Số lượng không hợp lệ; ","")&amp;IF(OR(G121="",G121&lt;=0),"Đơn giá không hợp lệ; ","")&amp;IF(OR(I121="",I121&lt;=0),"Số tháng không hợp lệ; ","")&amp;IF(COUNTIF($B$7:$B$306,B121)&gt;1,"Trùng mã CPTT; ","")))</f>
        <v/>
      </c>
    </row>
    <row r="122" ht="19.5" customHeight="1" s="98">
      <c r="A122" s="164">
        <f>IF(B122="","",ROW()-6)</f>
        <v/>
      </c>
      <c r="B122" s="165" t="n"/>
      <c r="C122" s="166" t="n"/>
      <c r="D122" s="167" t="n"/>
      <c r="E122" s="167" t="n"/>
      <c r="F122" s="168" t="n"/>
      <c r="G122" s="169" t="n"/>
      <c r="H122" s="170">
        <f>IF(OR(F122="",G122=""),"",F122*G122)</f>
        <v/>
      </c>
      <c r="I122" s="171" t="n"/>
      <c r="J122" s="170">
        <f>IF(OR(H122="",E122="",P122=""),"",H122/(P122-E122+1))</f>
        <v/>
      </c>
      <c r="K122" s="165" t="n"/>
      <c r="L122" s="172">
        <f>IF(B122="","",IF(AF122&lt;=0,"Đã phân bổ",IF(P122&lt;=EDATE('Thiết lập'!$B$4,12),"Ngắn hạn","Dài hạn")))</f>
        <v/>
      </c>
      <c r="M122" s="165" t="n"/>
      <c r="N122" s="165" t="n"/>
      <c r="O122" s="165" t="n"/>
      <c r="P122" s="173">
        <f>IF(OR(E122="",I122=""),"",EDATE(E122,I122)-1)</f>
        <v/>
      </c>
      <c r="Q122" s="170">
        <f>IF(OR(B122="",E122="",P122=""),0,MIN(H122,MAX(0,MIN(P122,DATE('Thiết lập'!$B$3-1,12,31))-E122+1)*J122))</f>
        <v/>
      </c>
      <c r="R122" s="170">
        <f>IF(OR($B122="",R$4&gt;$P122,EOMONTH(R$4,0)&lt;$E122),0,MIN($H122,MAX(0,MIN(EOMONTH(R$4,0),$P122)-MAX(R$4,$E122)+1)*$J122))</f>
        <v/>
      </c>
      <c r="S122" s="170">
        <f>IF(OR($B122="",S$4&gt;$P122,EOMONTH(S$4,0)&lt;$E122),0,MIN($H122,MAX(0,MIN(EOMONTH(S$4,0),$P122)-MAX(S$4,$E122)+1)*$J122))</f>
        <v/>
      </c>
      <c r="T122" s="170">
        <f>IF(OR($B122="",T$4&gt;$P122,EOMONTH(T$4,0)&lt;$E122),0,MIN($H122,MAX(0,MIN(EOMONTH(T$4,0),$P122)-MAX(T$4,$E122)+1)*$J122))</f>
        <v/>
      </c>
      <c r="U122" s="170">
        <f>IF(OR($B122="",U$4&gt;$P122,EOMONTH(U$4,0)&lt;$E122),0,MIN($H122,MAX(0,MIN(EOMONTH(U$4,0),$P122)-MAX(U$4,$E122)+1)*$J122))</f>
        <v/>
      </c>
      <c r="V122" s="170">
        <f>IF(OR($B122="",V$4&gt;$P122,EOMONTH(V$4,0)&lt;$E122),0,MIN($H122,MAX(0,MIN(EOMONTH(V$4,0),$P122)-MAX(V$4,$E122)+1)*$J122))</f>
        <v/>
      </c>
      <c r="W122" s="170">
        <f>IF(OR($B122="",W$4&gt;$P122,EOMONTH(W$4,0)&lt;$E122),0,MIN($H122,MAX(0,MIN(EOMONTH(W$4,0),$P122)-MAX(W$4,$E122)+1)*$J122))</f>
        <v/>
      </c>
      <c r="X122" s="170">
        <f>IF(OR($B122="",X$4&gt;$P122,EOMONTH(X$4,0)&lt;$E122),0,MIN($H122,MAX(0,MIN(EOMONTH(X$4,0),$P122)-MAX(X$4,$E122)+1)*$J122))</f>
        <v/>
      </c>
      <c r="Y122" s="170">
        <f>IF(OR($B122="",Y$4&gt;$P122,EOMONTH(Y$4,0)&lt;$E122),0,MIN($H122,MAX(0,MIN(EOMONTH(Y$4,0),$P122)-MAX(Y$4,$E122)+1)*$J122))</f>
        <v/>
      </c>
      <c r="Z122" s="170">
        <f>IF(OR($B122="",Z$4&gt;$P122,EOMONTH(Z$4,0)&lt;$E122),0,MIN($H122,MAX(0,MIN(EOMONTH(Z$4,0),$P122)-MAX(Z$4,$E122)+1)*$J122))</f>
        <v/>
      </c>
      <c r="AA122" s="170">
        <f>IF(OR($B122="",AA$4&gt;$P122,EOMONTH(AA$4,0)&lt;$E122),0,MIN($H122,MAX(0,MIN(EOMONTH(AA$4,0),$P122)-MAX(AA$4,$E122)+1)*$J122))</f>
        <v/>
      </c>
      <c r="AB122" s="170">
        <f>IF(OR($B122="",AB$4&gt;$P122,EOMONTH(AB$4,0)&lt;$E122),0,MIN($H122,MAX(0,MIN(EOMONTH(AB$4,0),$P122)-MAX(AB$4,$E122)+1)*$J122))</f>
        <v/>
      </c>
      <c r="AC122" s="170">
        <f>IF(OR($B122="",AC$4&gt;$P122,EOMONTH(AC$4,0)&lt;$E122),0,MIN($H122,MAX(0,MIN(EOMONTH(AC$4,0),$P122)-MAX(AC$4,$E122)+1)*$J122))</f>
        <v/>
      </c>
      <c r="AD122" s="170">
        <f>IF(B122="","",ROUND(SUM(R122:AC122),0))</f>
        <v/>
      </c>
      <c r="AE122" s="170">
        <f>IF(B122="","",MIN(H122,ROUND(Q122+SUM(R122:AC122),0)))</f>
        <v/>
      </c>
      <c r="AF122" s="170">
        <f>IF(B122="","",MAX(H122-AE122,0))</f>
        <v/>
      </c>
      <c r="AG122" s="172">
        <f>IF(B122="","",IF('Thiết lập'!$B$4&lt;E122,"Chưa phân bổ",IF(P122&lt;='Thiết lập'!$B$4,"Đã phân bổ","Đang phân bổ")))</f>
        <v/>
      </c>
      <c r="AH122" s="166" t="n"/>
      <c r="AI122" s="174">
        <f>IF(B122="","",IF(AND(C122&lt;&gt;"",D122&lt;&gt;"",E122&lt;&gt;"",E122&gt;=D122,F122&gt;0,G122&gt;0,I122&gt;0,COUNTIF($B$7:$B$306,B122)=1),"OK",IF(C122="","Thiếu tên; ","")&amp;IF(D122="","Thiếu ngày tăng; ","")&amp;IF(E122="","Thiếu ngày bắt đầu; ","")&amp;IF(AND(D122&lt;&gt;"",E122&lt;&gt;"",E122&lt;D122),"Ngày bắt đầu &lt; ngày tăng; ","")&amp;IF(OR(F122="",F122&lt;=0),"Số lượng không hợp lệ; ","")&amp;IF(OR(G122="",G122&lt;=0),"Đơn giá không hợp lệ; ","")&amp;IF(OR(I122="",I122&lt;=0),"Số tháng không hợp lệ; ","")&amp;IF(COUNTIF($B$7:$B$306,B122)&gt;1,"Trùng mã CPTT; ","")))</f>
        <v/>
      </c>
    </row>
    <row r="123" ht="19.5" customHeight="1" s="98">
      <c r="A123" s="164">
        <f>IF(B123="","",ROW()-6)</f>
        <v/>
      </c>
      <c r="B123" s="165" t="n"/>
      <c r="C123" s="166" t="n"/>
      <c r="D123" s="167" t="n"/>
      <c r="E123" s="167" t="n"/>
      <c r="F123" s="168" t="n"/>
      <c r="G123" s="169" t="n"/>
      <c r="H123" s="170">
        <f>IF(OR(F123="",G123=""),"",F123*G123)</f>
        <v/>
      </c>
      <c r="I123" s="171" t="n"/>
      <c r="J123" s="170">
        <f>IF(OR(H123="",E123="",P123=""),"",H123/(P123-E123+1))</f>
        <v/>
      </c>
      <c r="K123" s="165" t="n"/>
      <c r="L123" s="172">
        <f>IF(B123="","",IF(AF123&lt;=0,"Đã phân bổ",IF(P123&lt;=EDATE('Thiết lập'!$B$4,12),"Ngắn hạn","Dài hạn")))</f>
        <v/>
      </c>
      <c r="M123" s="165" t="n"/>
      <c r="N123" s="165" t="n"/>
      <c r="O123" s="165" t="n"/>
      <c r="P123" s="173">
        <f>IF(OR(E123="",I123=""),"",EDATE(E123,I123)-1)</f>
        <v/>
      </c>
      <c r="Q123" s="170">
        <f>IF(OR(B123="",E123="",P123=""),0,MIN(H123,MAX(0,MIN(P123,DATE('Thiết lập'!$B$3-1,12,31))-E123+1)*J123))</f>
        <v/>
      </c>
      <c r="R123" s="170">
        <f>IF(OR($B123="",R$4&gt;$P123,EOMONTH(R$4,0)&lt;$E123),0,MIN($H123,MAX(0,MIN(EOMONTH(R$4,0),$P123)-MAX(R$4,$E123)+1)*$J123))</f>
        <v/>
      </c>
      <c r="S123" s="170">
        <f>IF(OR($B123="",S$4&gt;$P123,EOMONTH(S$4,0)&lt;$E123),0,MIN($H123,MAX(0,MIN(EOMONTH(S$4,0),$P123)-MAX(S$4,$E123)+1)*$J123))</f>
        <v/>
      </c>
      <c r="T123" s="170">
        <f>IF(OR($B123="",T$4&gt;$P123,EOMONTH(T$4,0)&lt;$E123),0,MIN($H123,MAX(0,MIN(EOMONTH(T$4,0),$P123)-MAX(T$4,$E123)+1)*$J123))</f>
        <v/>
      </c>
      <c r="U123" s="170">
        <f>IF(OR($B123="",U$4&gt;$P123,EOMONTH(U$4,0)&lt;$E123),0,MIN($H123,MAX(0,MIN(EOMONTH(U$4,0),$P123)-MAX(U$4,$E123)+1)*$J123))</f>
        <v/>
      </c>
      <c r="V123" s="170">
        <f>IF(OR($B123="",V$4&gt;$P123,EOMONTH(V$4,0)&lt;$E123),0,MIN($H123,MAX(0,MIN(EOMONTH(V$4,0),$P123)-MAX(V$4,$E123)+1)*$J123))</f>
        <v/>
      </c>
      <c r="W123" s="170">
        <f>IF(OR($B123="",W$4&gt;$P123,EOMONTH(W$4,0)&lt;$E123),0,MIN($H123,MAX(0,MIN(EOMONTH(W$4,0),$P123)-MAX(W$4,$E123)+1)*$J123))</f>
        <v/>
      </c>
      <c r="X123" s="170">
        <f>IF(OR($B123="",X$4&gt;$P123,EOMONTH(X$4,0)&lt;$E123),0,MIN($H123,MAX(0,MIN(EOMONTH(X$4,0),$P123)-MAX(X$4,$E123)+1)*$J123))</f>
        <v/>
      </c>
      <c r="Y123" s="170">
        <f>IF(OR($B123="",Y$4&gt;$P123,EOMONTH(Y$4,0)&lt;$E123),0,MIN($H123,MAX(0,MIN(EOMONTH(Y$4,0),$P123)-MAX(Y$4,$E123)+1)*$J123))</f>
        <v/>
      </c>
      <c r="Z123" s="170">
        <f>IF(OR($B123="",Z$4&gt;$P123,EOMONTH(Z$4,0)&lt;$E123),0,MIN($H123,MAX(0,MIN(EOMONTH(Z$4,0),$P123)-MAX(Z$4,$E123)+1)*$J123))</f>
        <v/>
      </c>
      <c r="AA123" s="170">
        <f>IF(OR($B123="",AA$4&gt;$P123,EOMONTH(AA$4,0)&lt;$E123),0,MIN($H123,MAX(0,MIN(EOMONTH(AA$4,0),$P123)-MAX(AA$4,$E123)+1)*$J123))</f>
        <v/>
      </c>
      <c r="AB123" s="170">
        <f>IF(OR($B123="",AB$4&gt;$P123,EOMONTH(AB$4,0)&lt;$E123),0,MIN($H123,MAX(0,MIN(EOMONTH(AB$4,0),$P123)-MAX(AB$4,$E123)+1)*$J123))</f>
        <v/>
      </c>
      <c r="AC123" s="170">
        <f>IF(OR($B123="",AC$4&gt;$P123,EOMONTH(AC$4,0)&lt;$E123),0,MIN($H123,MAX(0,MIN(EOMONTH(AC$4,0),$P123)-MAX(AC$4,$E123)+1)*$J123))</f>
        <v/>
      </c>
      <c r="AD123" s="170">
        <f>IF(B123="","",ROUND(SUM(R123:AC123),0))</f>
        <v/>
      </c>
      <c r="AE123" s="170">
        <f>IF(B123="","",MIN(H123,ROUND(Q123+SUM(R123:AC123),0)))</f>
        <v/>
      </c>
      <c r="AF123" s="170">
        <f>IF(B123="","",MAX(H123-AE123,0))</f>
        <v/>
      </c>
      <c r="AG123" s="172">
        <f>IF(B123="","",IF('Thiết lập'!$B$4&lt;E123,"Chưa phân bổ",IF(P123&lt;='Thiết lập'!$B$4,"Đã phân bổ","Đang phân bổ")))</f>
        <v/>
      </c>
      <c r="AH123" s="166" t="n"/>
      <c r="AI123" s="174">
        <f>IF(B123="","",IF(AND(C123&lt;&gt;"",D123&lt;&gt;"",E123&lt;&gt;"",E123&gt;=D123,F123&gt;0,G123&gt;0,I123&gt;0,COUNTIF($B$7:$B$306,B123)=1),"OK",IF(C123="","Thiếu tên; ","")&amp;IF(D123="","Thiếu ngày tăng; ","")&amp;IF(E123="","Thiếu ngày bắt đầu; ","")&amp;IF(AND(D123&lt;&gt;"",E123&lt;&gt;"",E123&lt;D123),"Ngày bắt đầu &lt; ngày tăng; ","")&amp;IF(OR(F123="",F123&lt;=0),"Số lượng không hợp lệ; ","")&amp;IF(OR(G123="",G123&lt;=0),"Đơn giá không hợp lệ; ","")&amp;IF(OR(I123="",I123&lt;=0),"Số tháng không hợp lệ; ","")&amp;IF(COUNTIF($B$7:$B$306,B123)&gt;1,"Trùng mã CPTT; ","")))</f>
        <v/>
      </c>
    </row>
    <row r="124" ht="19.5" customHeight="1" s="98">
      <c r="A124" s="164">
        <f>IF(B124="","",ROW()-6)</f>
        <v/>
      </c>
      <c r="B124" s="165" t="n"/>
      <c r="C124" s="166" t="n"/>
      <c r="D124" s="167" t="n"/>
      <c r="E124" s="167" t="n"/>
      <c r="F124" s="168" t="n"/>
      <c r="G124" s="169" t="n"/>
      <c r="H124" s="170">
        <f>IF(OR(F124="",G124=""),"",F124*G124)</f>
        <v/>
      </c>
      <c r="I124" s="171" t="n"/>
      <c r="J124" s="170">
        <f>IF(OR(H124="",E124="",P124=""),"",H124/(P124-E124+1))</f>
        <v/>
      </c>
      <c r="K124" s="165" t="n"/>
      <c r="L124" s="172">
        <f>IF(B124="","",IF(AF124&lt;=0,"Đã phân bổ",IF(P124&lt;=EDATE('Thiết lập'!$B$4,12),"Ngắn hạn","Dài hạn")))</f>
        <v/>
      </c>
      <c r="M124" s="165" t="n"/>
      <c r="N124" s="165" t="n"/>
      <c r="O124" s="165" t="n"/>
      <c r="P124" s="173">
        <f>IF(OR(E124="",I124=""),"",EDATE(E124,I124)-1)</f>
        <v/>
      </c>
      <c r="Q124" s="170">
        <f>IF(OR(B124="",E124="",P124=""),0,MIN(H124,MAX(0,MIN(P124,DATE('Thiết lập'!$B$3-1,12,31))-E124+1)*J124))</f>
        <v/>
      </c>
      <c r="R124" s="170">
        <f>IF(OR($B124="",R$4&gt;$P124,EOMONTH(R$4,0)&lt;$E124),0,MIN($H124,MAX(0,MIN(EOMONTH(R$4,0),$P124)-MAX(R$4,$E124)+1)*$J124))</f>
        <v/>
      </c>
      <c r="S124" s="170">
        <f>IF(OR($B124="",S$4&gt;$P124,EOMONTH(S$4,0)&lt;$E124),0,MIN($H124,MAX(0,MIN(EOMONTH(S$4,0),$P124)-MAX(S$4,$E124)+1)*$J124))</f>
        <v/>
      </c>
      <c r="T124" s="170">
        <f>IF(OR($B124="",T$4&gt;$P124,EOMONTH(T$4,0)&lt;$E124),0,MIN($H124,MAX(0,MIN(EOMONTH(T$4,0),$P124)-MAX(T$4,$E124)+1)*$J124))</f>
        <v/>
      </c>
      <c r="U124" s="170">
        <f>IF(OR($B124="",U$4&gt;$P124,EOMONTH(U$4,0)&lt;$E124),0,MIN($H124,MAX(0,MIN(EOMONTH(U$4,0),$P124)-MAX(U$4,$E124)+1)*$J124))</f>
        <v/>
      </c>
      <c r="V124" s="170">
        <f>IF(OR($B124="",V$4&gt;$P124,EOMONTH(V$4,0)&lt;$E124),0,MIN($H124,MAX(0,MIN(EOMONTH(V$4,0),$P124)-MAX(V$4,$E124)+1)*$J124))</f>
        <v/>
      </c>
      <c r="W124" s="170">
        <f>IF(OR($B124="",W$4&gt;$P124,EOMONTH(W$4,0)&lt;$E124),0,MIN($H124,MAX(0,MIN(EOMONTH(W$4,0),$P124)-MAX(W$4,$E124)+1)*$J124))</f>
        <v/>
      </c>
      <c r="X124" s="170">
        <f>IF(OR($B124="",X$4&gt;$P124,EOMONTH(X$4,0)&lt;$E124),0,MIN($H124,MAX(0,MIN(EOMONTH(X$4,0),$P124)-MAX(X$4,$E124)+1)*$J124))</f>
        <v/>
      </c>
      <c r="Y124" s="170">
        <f>IF(OR($B124="",Y$4&gt;$P124,EOMONTH(Y$4,0)&lt;$E124),0,MIN($H124,MAX(0,MIN(EOMONTH(Y$4,0),$P124)-MAX(Y$4,$E124)+1)*$J124))</f>
        <v/>
      </c>
      <c r="Z124" s="170">
        <f>IF(OR($B124="",Z$4&gt;$P124,EOMONTH(Z$4,0)&lt;$E124),0,MIN($H124,MAX(0,MIN(EOMONTH(Z$4,0),$P124)-MAX(Z$4,$E124)+1)*$J124))</f>
        <v/>
      </c>
      <c r="AA124" s="170">
        <f>IF(OR($B124="",AA$4&gt;$P124,EOMONTH(AA$4,0)&lt;$E124),0,MIN($H124,MAX(0,MIN(EOMONTH(AA$4,0),$P124)-MAX(AA$4,$E124)+1)*$J124))</f>
        <v/>
      </c>
      <c r="AB124" s="170">
        <f>IF(OR($B124="",AB$4&gt;$P124,EOMONTH(AB$4,0)&lt;$E124),0,MIN($H124,MAX(0,MIN(EOMONTH(AB$4,0),$P124)-MAX(AB$4,$E124)+1)*$J124))</f>
        <v/>
      </c>
      <c r="AC124" s="170">
        <f>IF(OR($B124="",AC$4&gt;$P124,EOMONTH(AC$4,0)&lt;$E124),0,MIN($H124,MAX(0,MIN(EOMONTH(AC$4,0),$P124)-MAX(AC$4,$E124)+1)*$J124))</f>
        <v/>
      </c>
      <c r="AD124" s="170">
        <f>IF(B124="","",ROUND(SUM(R124:AC124),0))</f>
        <v/>
      </c>
      <c r="AE124" s="170">
        <f>IF(B124="","",MIN(H124,ROUND(Q124+SUM(R124:AC124),0)))</f>
        <v/>
      </c>
      <c r="AF124" s="170">
        <f>IF(B124="","",MAX(H124-AE124,0))</f>
        <v/>
      </c>
      <c r="AG124" s="172">
        <f>IF(B124="","",IF('Thiết lập'!$B$4&lt;E124,"Chưa phân bổ",IF(P124&lt;='Thiết lập'!$B$4,"Đã phân bổ","Đang phân bổ")))</f>
        <v/>
      </c>
      <c r="AH124" s="166" t="n"/>
      <c r="AI124" s="174">
        <f>IF(B124="","",IF(AND(C124&lt;&gt;"",D124&lt;&gt;"",E124&lt;&gt;"",E124&gt;=D124,F124&gt;0,G124&gt;0,I124&gt;0,COUNTIF($B$7:$B$306,B124)=1),"OK",IF(C124="","Thiếu tên; ","")&amp;IF(D124="","Thiếu ngày tăng; ","")&amp;IF(E124="","Thiếu ngày bắt đầu; ","")&amp;IF(AND(D124&lt;&gt;"",E124&lt;&gt;"",E124&lt;D124),"Ngày bắt đầu &lt; ngày tăng; ","")&amp;IF(OR(F124="",F124&lt;=0),"Số lượng không hợp lệ; ","")&amp;IF(OR(G124="",G124&lt;=0),"Đơn giá không hợp lệ; ","")&amp;IF(OR(I124="",I124&lt;=0),"Số tháng không hợp lệ; ","")&amp;IF(COUNTIF($B$7:$B$306,B124)&gt;1,"Trùng mã CPTT; ","")))</f>
        <v/>
      </c>
    </row>
    <row r="125" ht="19.5" customHeight="1" s="98">
      <c r="A125" s="164">
        <f>IF(B125="","",ROW()-6)</f>
        <v/>
      </c>
      <c r="B125" s="165" t="n"/>
      <c r="C125" s="166" t="n"/>
      <c r="D125" s="167" t="n"/>
      <c r="E125" s="167" t="n"/>
      <c r="F125" s="168" t="n"/>
      <c r="G125" s="169" t="n"/>
      <c r="H125" s="170">
        <f>IF(OR(F125="",G125=""),"",F125*G125)</f>
        <v/>
      </c>
      <c r="I125" s="171" t="n"/>
      <c r="J125" s="170">
        <f>IF(OR(H125="",E125="",P125=""),"",H125/(P125-E125+1))</f>
        <v/>
      </c>
      <c r="K125" s="165" t="n"/>
      <c r="L125" s="172">
        <f>IF(B125="","",IF(AF125&lt;=0,"Đã phân bổ",IF(P125&lt;=EDATE('Thiết lập'!$B$4,12),"Ngắn hạn","Dài hạn")))</f>
        <v/>
      </c>
      <c r="M125" s="165" t="n"/>
      <c r="N125" s="165" t="n"/>
      <c r="O125" s="165" t="n"/>
      <c r="P125" s="173">
        <f>IF(OR(E125="",I125=""),"",EDATE(E125,I125)-1)</f>
        <v/>
      </c>
      <c r="Q125" s="170">
        <f>IF(OR(B125="",E125="",P125=""),0,MIN(H125,MAX(0,MIN(P125,DATE('Thiết lập'!$B$3-1,12,31))-E125+1)*J125))</f>
        <v/>
      </c>
      <c r="R125" s="170">
        <f>IF(OR($B125="",R$4&gt;$P125,EOMONTH(R$4,0)&lt;$E125),0,MIN($H125,MAX(0,MIN(EOMONTH(R$4,0),$P125)-MAX(R$4,$E125)+1)*$J125))</f>
        <v/>
      </c>
      <c r="S125" s="170">
        <f>IF(OR($B125="",S$4&gt;$P125,EOMONTH(S$4,0)&lt;$E125),0,MIN($H125,MAX(0,MIN(EOMONTH(S$4,0),$P125)-MAX(S$4,$E125)+1)*$J125))</f>
        <v/>
      </c>
      <c r="T125" s="170">
        <f>IF(OR($B125="",T$4&gt;$P125,EOMONTH(T$4,0)&lt;$E125),0,MIN($H125,MAX(0,MIN(EOMONTH(T$4,0),$P125)-MAX(T$4,$E125)+1)*$J125))</f>
        <v/>
      </c>
      <c r="U125" s="170">
        <f>IF(OR($B125="",U$4&gt;$P125,EOMONTH(U$4,0)&lt;$E125),0,MIN($H125,MAX(0,MIN(EOMONTH(U$4,0),$P125)-MAX(U$4,$E125)+1)*$J125))</f>
        <v/>
      </c>
      <c r="V125" s="170">
        <f>IF(OR($B125="",V$4&gt;$P125,EOMONTH(V$4,0)&lt;$E125),0,MIN($H125,MAX(0,MIN(EOMONTH(V$4,0),$P125)-MAX(V$4,$E125)+1)*$J125))</f>
        <v/>
      </c>
      <c r="W125" s="170">
        <f>IF(OR($B125="",W$4&gt;$P125,EOMONTH(W$4,0)&lt;$E125),0,MIN($H125,MAX(0,MIN(EOMONTH(W$4,0),$P125)-MAX(W$4,$E125)+1)*$J125))</f>
        <v/>
      </c>
      <c r="X125" s="170">
        <f>IF(OR($B125="",X$4&gt;$P125,EOMONTH(X$4,0)&lt;$E125),0,MIN($H125,MAX(0,MIN(EOMONTH(X$4,0),$P125)-MAX(X$4,$E125)+1)*$J125))</f>
        <v/>
      </c>
      <c r="Y125" s="170">
        <f>IF(OR($B125="",Y$4&gt;$P125,EOMONTH(Y$4,0)&lt;$E125),0,MIN($H125,MAX(0,MIN(EOMONTH(Y$4,0),$P125)-MAX(Y$4,$E125)+1)*$J125))</f>
        <v/>
      </c>
      <c r="Z125" s="170">
        <f>IF(OR($B125="",Z$4&gt;$P125,EOMONTH(Z$4,0)&lt;$E125),0,MIN($H125,MAX(0,MIN(EOMONTH(Z$4,0),$P125)-MAX(Z$4,$E125)+1)*$J125))</f>
        <v/>
      </c>
      <c r="AA125" s="170">
        <f>IF(OR($B125="",AA$4&gt;$P125,EOMONTH(AA$4,0)&lt;$E125),0,MIN($H125,MAX(0,MIN(EOMONTH(AA$4,0),$P125)-MAX(AA$4,$E125)+1)*$J125))</f>
        <v/>
      </c>
      <c r="AB125" s="170">
        <f>IF(OR($B125="",AB$4&gt;$P125,EOMONTH(AB$4,0)&lt;$E125),0,MIN($H125,MAX(0,MIN(EOMONTH(AB$4,0),$P125)-MAX(AB$4,$E125)+1)*$J125))</f>
        <v/>
      </c>
      <c r="AC125" s="170">
        <f>IF(OR($B125="",AC$4&gt;$P125,EOMONTH(AC$4,0)&lt;$E125),0,MIN($H125,MAX(0,MIN(EOMONTH(AC$4,0),$P125)-MAX(AC$4,$E125)+1)*$J125))</f>
        <v/>
      </c>
      <c r="AD125" s="170">
        <f>IF(B125="","",ROUND(SUM(R125:AC125),0))</f>
        <v/>
      </c>
      <c r="AE125" s="170">
        <f>IF(B125="","",MIN(H125,ROUND(Q125+SUM(R125:AC125),0)))</f>
        <v/>
      </c>
      <c r="AF125" s="170">
        <f>IF(B125="","",MAX(H125-AE125,0))</f>
        <v/>
      </c>
      <c r="AG125" s="172">
        <f>IF(B125="","",IF('Thiết lập'!$B$4&lt;E125,"Chưa phân bổ",IF(P125&lt;='Thiết lập'!$B$4,"Đã phân bổ","Đang phân bổ")))</f>
        <v/>
      </c>
      <c r="AH125" s="166" t="n"/>
      <c r="AI125" s="174">
        <f>IF(B125="","",IF(AND(C125&lt;&gt;"",D125&lt;&gt;"",E125&lt;&gt;"",E125&gt;=D125,F125&gt;0,G125&gt;0,I125&gt;0,COUNTIF($B$7:$B$306,B125)=1),"OK",IF(C125="","Thiếu tên; ","")&amp;IF(D125="","Thiếu ngày tăng; ","")&amp;IF(E125="","Thiếu ngày bắt đầu; ","")&amp;IF(AND(D125&lt;&gt;"",E125&lt;&gt;"",E125&lt;D125),"Ngày bắt đầu &lt; ngày tăng; ","")&amp;IF(OR(F125="",F125&lt;=0),"Số lượng không hợp lệ; ","")&amp;IF(OR(G125="",G125&lt;=0),"Đơn giá không hợp lệ; ","")&amp;IF(OR(I125="",I125&lt;=0),"Số tháng không hợp lệ; ","")&amp;IF(COUNTIF($B$7:$B$306,B125)&gt;1,"Trùng mã CPTT; ","")))</f>
        <v/>
      </c>
    </row>
    <row r="126" ht="19.5" customHeight="1" s="98">
      <c r="A126" s="164">
        <f>IF(B126="","",ROW()-6)</f>
        <v/>
      </c>
      <c r="B126" s="165" t="n"/>
      <c r="C126" s="166" t="n"/>
      <c r="D126" s="167" t="n"/>
      <c r="E126" s="167" t="n"/>
      <c r="F126" s="168" t="n"/>
      <c r="G126" s="169" t="n"/>
      <c r="H126" s="170">
        <f>IF(OR(F126="",G126=""),"",F126*G126)</f>
        <v/>
      </c>
      <c r="I126" s="171" t="n"/>
      <c r="J126" s="170">
        <f>IF(OR(H126="",E126="",P126=""),"",H126/(P126-E126+1))</f>
        <v/>
      </c>
      <c r="K126" s="165" t="n"/>
      <c r="L126" s="172">
        <f>IF(B126="","",IF(AF126&lt;=0,"Đã phân bổ",IF(P126&lt;=EDATE('Thiết lập'!$B$4,12),"Ngắn hạn","Dài hạn")))</f>
        <v/>
      </c>
      <c r="M126" s="165" t="n"/>
      <c r="N126" s="165" t="n"/>
      <c r="O126" s="165" t="n"/>
      <c r="P126" s="173">
        <f>IF(OR(E126="",I126=""),"",EDATE(E126,I126)-1)</f>
        <v/>
      </c>
      <c r="Q126" s="170">
        <f>IF(OR(B126="",E126="",P126=""),0,MIN(H126,MAX(0,MIN(P126,DATE('Thiết lập'!$B$3-1,12,31))-E126+1)*J126))</f>
        <v/>
      </c>
      <c r="R126" s="170">
        <f>IF(OR($B126="",R$4&gt;$P126,EOMONTH(R$4,0)&lt;$E126),0,MIN($H126,MAX(0,MIN(EOMONTH(R$4,0),$P126)-MAX(R$4,$E126)+1)*$J126))</f>
        <v/>
      </c>
      <c r="S126" s="170">
        <f>IF(OR($B126="",S$4&gt;$P126,EOMONTH(S$4,0)&lt;$E126),0,MIN($H126,MAX(0,MIN(EOMONTH(S$4,0),$P126)-MAX(S$4,$E126)+1)*$J126))</f>
        <v/>
      </c>
      <c r="T126" s="170">
        <f>IF(OR($B126="",T$4&gt;$P126,EOMONTH(T$4,0)&lt;$E126),0,MIN($H126,MAX(0,MIN(EOMONTH(T$4,0),$P126)-MAX(T$4,$E126)+1)*$J126))</f>
        <v/>
      </c>
      <c r="U126" s="170">
        <f>IF(OR($B126="",U$4&gt;$P126,EOMONTH(U$4,0)&lt;$E126),0,MIN($H126,MAX(0,MIN(EOMONTH(U$4,0),$P126)-MAX(U$4,$E126)+1)*$J126))</f>
        <v/>
      </c>
      <c r="V126" s="170">
        <f>IF(OR($B126="",V$4&gt;$P126,EOMONTH(V$4,0)&lt;$E126),0,MIN($H126,MAX(0,MIN(EOMONTH(V$4,0),$P126)-MAX(V$4,$E126)+1)*$J126))</f>
        <v/>
      </c>
      <c r="W126" s="170">
        <f>IF(OR($B126="",W$4&gt;$P126,EOMONTH(W$4,0)&lt;$E126),0,MIN($H126,MAX(0,MIN(EOMONTH(W$4,0),$P126)-MAX(W$4,$E126)+1)*$J126))</f>
        <v/>
      </c>
      <c r="X126" s="170">
        <f>IF(OR($B126="",X$4&gt;$P126,EOMONTH(X$4,0)&lt;$E126),0,MIN($H126,MAX(0,MIN(EOMONTH(X$4,0),$P126)-MAX(X$4,$E126)+1)*$J126))</f>
        <v/>
      </c>
      <c r="Y126" s="170">
        <f>IF(OR($B126="",Y$4&gt;$P126,EOMONTH(Y$4,0)&lt;$E126),0,MIN($H126,MAX(0,MIN(EOMONTH(Y$4,0),$P126)-MAX(Y$4,$E126)+1)*$J126))</f>
        <v/>
      </c>
      <c r="Z126" s="170">
        <f>IF(OR($B126="",Z$4&gt;$P126,EOMONTH(Z$4,0)&lt;$E126),0,MIN($H126,MAX(0,MIN(EOMONTH(Z$4,0),$P126)-MAX(Z$4,$E126)+1)*$J126))</f>
        <v/>
      </c>
      <c r="AA126" s="170">
        <f>IF(OR($B126="",AA$4&gt;$P126,EOMONTH(AA$4,0)&lt;$E126),0,MIN($H126,MAX(0,MIN(EOMONTH(AA$4,0),$P126)-MAX(AA$4,$E126)+1)*$J126))</f>
        <v/>
      </c>
      <c r="AB126" s="170">
        <f>IF(OR($B126="",AB$4&gt;$P126,EOMONTH(AB$4,0)&lt;$E126),0,MIN($H126,MAX(0,MIN(EOMONTH(AB$4,0),$P126)-MAX(AB$4,$E126)+1)*$J126))</f>
        <v/>
      </c>
      <c r="AC126" s="170">
        <f>IF(OR($B126="",AC$4&gt;$P126,EOMONTH(AC$4,0)&lt;$E126),0,MIN($H126,MAX(0,MIN(EOMONTH(AC$4,0),$P126)-MAX(AC$4,$E126)+1)*$J126))</f>
        <v/>
      </c>
      <c r="AD126" s="170">
        <f>IF(B126="","",ROUND(SUM(R126:AC126),0))</f>
        <v/>
      </c>
      <c r="AE126" s="170">
        <f>IF(B126="","",MIN(H126,ROUND(Q126+SUM(R126:AC126),0)))</f>
        <v/>
      </c>
      <c r="AF126" s="170">
        <f>IF(B126="","",MAX(H126-AE126,0))</f>
        <v/>
      </c>
      <c r="AG126" s="172">
        <f>IF(B126="","",IF('Thiết lập'!$B$4&lt;E126,"Chưa phân bổ",IF(P126&lt;='Thiết lập'!$B$4,"Đã phân bổ","Đang phân bổ")))</f>
        <v/>
      </c>
      <c r="AH126" s="166" t="n"/>
      <c r="AI126" s="174">
        <f>IF(B126="","",IF(AND(C126&lt;&gt;"",D126&lt;&gt;"",E126&lt;&gt;"",E126&gt;=D126,F126&gt;0,G126&gt;0,I126&gt;0,COUNTIF($B$7:$B$306,B126)=1),"OK",IF(C126="","Thiếu tên; ","")&amp;IF(D126="","Thiếu ngày tăng; ","")&amp;IF(E126="","Thiếu ngày bắt đầu; ","")&amp;IF(AND(D126&lt;&gt;"",E126&lt;&gt;"",E126&lt;D126),"Ngày bắt đầu &lt; ngày tăng; ","")&amp;IF(OR(F126="",F126&lt;=0),"Số lượng không hợp lệ; ","")&amp;IF(OR(G126="",G126&lt;=0),"Đơn giá không hợp lệ; ","")&amp;IF(OR(I126="",I126&lt;=0),"Số tháng không hợp lệ; ","")&amp;IF(COUNTIF($B$7:$B$306,B126)&gt;1,"Trùng mã CPTT; ","")))</f>
        <v/>
      </c>
    </row>
    <row r="127" ht="19.5" customHeight="1" s="98">
      <c r="A127" s="164">
        <f>IF(B127="","",ROW()-6)</f>
        <v/>
      </c>
      <c r="B127" s="165" t="n"/>
      <c r="C127" s="166" t="n"/>
      <c r="D127" s="167" t="n"/>
      <c r="E127" s="167" t="n"/>
      <c r="F127" s="168" t="n"/>
      <c r="G127" s="169" t="n"/>
      <c r="H127" s="170">
        <f>IF(OR(F127="",G127=""),"",F127*G127)</f>
        <v/>
      </c>
      <c r="I127" s="171" t="n"/>
      <c r="J127" s="170">
        <f>IF(OR(H127="",E127="",P127=""),"",H127/(P127-E127+1))</f>
        <v/>
      </c>
      <c r="K127" s="165" t="n"/>
      <c r="L127" s="172">
        <f>IF(B127="","",IF(AF127&lt;=0,"Đã phân bổ",IF(P127&lt;=EDATE('Thiết lập'!$B$4,12),"Ngắn hạn","Dài hạn")))</f>
        <v/>
      </c>
      <c r="M127" s="165" t="n"/>
      <c r="N127" s="165" t="n"/>
      <c r="O127" s="165" t="n"/>
      <c r="P127" s="173">
        <f>IF(OR(E127="",I127=""),"",EDATE(E127,I127)-1)</f>
        <v/>
      </c>
      <c r="Q127" s="170">
        <f>IF(OR(B127="",E127="",P127=""),0,MIN(H127,MAX(0,MIN(P127,DATE('Thiết lập'!$B$3-1,12,31))-E127+1)*J127))</f>
        <v/>
      </c>
      <c r="R127" s="170">
        <f>IF(OR($B127="",R$4&gt;$P127,EOMONTH(R$4,0)&lt;$E127),0,MIN($H127,MAX(0,MIN(EOMONTH(R$4,0),$P127)-MAX(R$4,$E127)+1)*$J127))</f>
        <v/>
      </c>
      <c r="S127" s="170">
        <f>IF(OR($B127="",S$4&gt;$P127,EOMONTH(S$4,0)&lt;$E127),0,MIN($H127,MAX(0,MIN(EOMONTH(S$4,0),$P127)-MAX(S$4,$E127)+1)*$J127))</f>
        <v/>
      </c>
      <c r="T127" s="170">
        <f>IF(OR($B127="",T$4&gt;$P127,EOMONTH(T$4,0)&lt;$E127),0,MIN($H127,MAX(0,MIN(EOMONTH(T$4,0),$P127)-MAX(T$4,$E127)+1)*$J127))</f>
        <v/>
      </c>
      <c r="U127" s="170">
        <f>IF(OR($B127="",U$4&gt;$P127,EOMONTH(U$4,0)&lt;$E127),0,MIN($H127,MAX(0,MIN(EOMONTH(U$4,0),$P127)-MAX(U$4,$E127)+1)*$J127))</f>
        <v/>
      </c>
      <c r="V127" s="170">
        <f>IF(OR($B127="",V$4&gt;$P127,EOMONTH(V$4,0)&lt;$E127),0,MIN($H127,MAX(0,MIN(EOMONTH(V$4,0),$P127)-MAX(V$4,$E127)+1)*$J127))</f>
        <v/>
      </c>
      <c r="W127" s="170">
        <f>IF(OR($B127="",W$4&gt;$P127,EOMONTH(W$4,0)&lt;$E127),0,MIN($H127,MAX(0,MIN(EOMONTH(W$4,0),$P127)-MAX(W$4,$E127)+1)*$J127))</f>
        <v/>
      </c>
      <c r="X127" s="170">
        <f>IF(OR($B127="",X$4&gt;$P127,EOMONTH(X$4,0)&lt;$E127),0,MIN($H127,MAX(0,MIN(EOMONTH(X$4,0),$P127)-MAX(X$4,$E127)+1)*$J127))</f>
        <v/>
      </c>
      <c r="Y127" s="170">
        <f>IF(OR($B127="",Y$4&gt;$P127,EOMONTH(Y$4,0)&lt;$E127),0,MIN($H127,MAX(0,MIN(EOMONTH(Y$4,0),$P127)-MAX(Y$4,$E127)+1)*$J127))</f>
        <v/>
      </c>
      <c r="Z127" s="170">
        <f>IF(OR($B127="",Z$4&gt;$P127,EOMONTH(Z$4,0)&lt;$E127),0,MIN($H127,MAX(0,MIN(EOMONTH(Z$4,0),$P127)-MAX(Z$4,$E127)+1)*$J127))</f>
        <v/>
      </c>
      <c r="AA127" s="170">
        <f>IF(OR($B127="",AA$4&gt;$P127,EOMONTH(AA$4,0)&lt;$E127),0,MIN($H127,MAX(0,MIN(EOMONTH(AA$4,0),$P127)-MAX(AA$4,$E127)+1)*$J127))</f>
        <v/>
      </c>
      <c r="AB127" s="170">
        <f>IF(OR($B127="",AB$4&gt;$P127,EOMONTH(AB$4,0)&lt;$E127),0,MIN($H127,MAX(0,MIN(EOMONTH(AB$4,0),$P127)-MAX(AB$4,$E127)+1)*$J127))</f>
        <v/>
      </c>
      <c r="AC127" s="170">
        <f>IF(OR($B127="",AC$4&gt;$P127,EOMONTH(AC$4,0)&lt;$E127),0,MIN($H127,MAX(0,MIN(EOMONTH(AC$4,0),$P127)-MAX(AC$4,$E127)+1)*$J127))</f>
        <v/>
      </c>
      <c r="AD127" s="170">
        <f>IF(B127="","",ROUND(SUM(R127:AC127),0))</f>
        <v/>
      </c>
      <c r="AE127" s="170">
        <f>IF(B127="","",MIN(H127,ROUND(Q127+SUM(R127:AC127),0)))</f>
        <v/>
      </c>
      <c r="AF127" s="170">
        <f>IF(B127="","",MAX(H127-AE127,0))</f>
        <v/>
      </c>
      <c r="AG127" s="172">
        <f>IF(B127="","",IF('Thiết lập'!$B$4&lt;E127,"Chưa phân bổ",IF(P127&lt;='Thiết lập'!$B$4,"Đã phân bổ","Đang phân bổ")))</f>
        <v/>
      </c>
      <c r="AH127" s="166" t="n"/>
      <c r="AI127" s="174">
        <f>IF(B127="","",IF(AND(C127&lt;&gt;"",D127&lt;&gt;"",E127&lt;&gt;"",E127&gt;=D127,F127&gt;0,G127&gt;0,I127&gt;0,COUNTIF($B$7:$B$306,B127)=1),"OK",IF(C127="","Thiếu tên; ","")&amp;IF(D127="","Thiếu ngày tăng; ","")&amp;IF(E127="","Thiếu ngày bắt đầu; ","")&amp;IF(AND(D127&lt;&gt;"",E127&lt;&gt;"",E127&lt;D127),"Ngày bắt đầu &lt; ngày tăng; ","")&amp;IF(OR(F127="",F127&lt;=0),"Số lượng không hợp lệ; ","")&amp;IF(OR(G127="",G127&lt;=0),"Đơn giá không hợp lệ; ","")&amp;IF(OR(I127="",I127&lt;=0),"Số tháng không hợp lệ; ","")&amp;IF(COUNTIF($B$7:$B$306,B127)&gt;1,"Trùng mã CPTT; ","")))</f>
        <v/>
      </c>
    </row>
    <row r="128" ht="19.5" customHeight="1" s="98">
      <c r="A128" s="164">
        <f>IF(B128="","",ROW()-6)</f>
        <v/>
      </c>
      <c r="B128" s="165" t="n"/>
      <c r="C128" s="166" t="n"/>
      <c r="D128" s="167" t="n"/>
      <c r="E128" s="167" t="n"/>
      <c r="F128" s="168" t="n"/>
      <c r="G128" s="169" t="n"/>
      <c r="H128" s="170">
        <f>IF(OR(F128="",G128=""),"",F128*G128)</f>
        <v/>
      </c>
      <c r="I128" s="171" t="n"/>
      <c r="J128" s="170">
        <f>IF(OR(H128="",E128="",P128=""),"",H128/(P128-E128+1))</f>
        <v/>
      </c>
      <c r="K128" s="165" t="n"/>
      <c r="L128" s="172">
        <f>IF(B128="","",IF(AF128&lt;=0,"Đã phân bổ",IF(P128&lt;=EDATE('Thiết lập'!$B$4,12),"Ngắn hạn","Dài hạn")))</f>
        <v/>
      </c>
      <c r="M128" s="165" t="n"/>
      <c r="N128" s="165" t="n"/>
      <c r="O128" s="165" t="n"/>
      <c r="P128" s="173">
        <f>IF(OR(E128="",I128=""),"",EDATE(E128,I128)-1)</f>
        <v/>
      </c>
      <c r="Q128" s="170">
        <f>IF(OR(B128="",E128="",P128=""),0,MIN(H128,MAX(0,MIN(P128,DATE('Thiết lập'!$B$3-1,12,31))-E128+1)*J128))</f>
        <v/>
      </c>
      <c r="R128" s="170">
        <f>IF(OR($B128="",R$4&gt;$P128,EOMONTH(R$4,0)&lt;$E128),0,MIN($H128,MAX(0,MIN(EOMONTH(R$4,0),$P128)-MAX(R$4,$E128)+1)*$J128))</f>
        <v/>
      </c>
      <c r="S128" s="170">
        <f>IF(OR($B128="",S$4&gt;$P128,EOMONTH(S$4,0)&lt;$E128),0,MIN($H128,MAX(0,MIN(EOMONTH(S$4,0),$P128)-MAX(S$4,$E128)+1)*$J128))</f>
        <v/>
      </c>
      <c r="T128" s="170">
        <f>IF(OR($B128="",T$4&gt;$P128,EOMONTH(T$4,0)&lt;$E128),0,MIN($H128,MAX(0,MIN(EOMONTH(T$4,0),$P128)-MAX(T$4,$E128)+1)*$J128))</f>
        <v/>
      </c>
      <c r="U128" s="170">
        <f>IF(OR($B128="",U$4&gt;$P128,EOMONTH(U$4,0)&lt;$E128),0,MIN($H128,MAX(0,MIN(EOMONTH(U$4,0),$P128)-MAX(U$4,$E128)+1)*$J128))</f>
        <v/>
      </c>
      <c r="V128" s="170">
        <f>IF(OR($B128="",V$4&gt;$P128,EOMONTH(V$4,0)&lt;$E128),0,MIN($H128,MAX(0,MIN(EOMONTH(V$4,0),$P128)-MAX(V$4,$E128)+1)*$J128))</f>
        <v/>
      </c>
      <c r="W128" s="170">
        <f>IF(OR($B128="",W$4&gt;$P128,EOMONTH(W$4,0)&lt;$E128),0,MIN($H128,MAX(0,MIN(EOMONTH(W$4,0),$P128)-MAX(W$4,$E128)+1)*$J128))</f>
        <v/>
      </c>
      <c r="X128" s="170">
        <f>IF(OR($B128="",X$4&gt;$P128,EOMONTH(X$4,0)&lt;$E128),0,MIN($H128,MAX(0,MIN(EOMONTH(X$4,0),$P128)-MAX(X$4,$E128)+1)*$J128))</f>
        <v/>
      </c>
      <c r="Y128" s="170">
        <f>IF(OR($B128="",Y$4&gt;$P128,EOMONTH(Y$4,0)&lt;$E128),0,MIN($H128,MAX(0,MIN(EOMONTH(Y$4,0),$P128)-MAX(Y$4,$E128)+1)*$J128))</f>
        <v/>
      </c>
      <c r="Z128" s="170">
        <f>IF(OR($B128="",Z$4&gt;$P128,EOMONTH(Z$4,0)&lt;$E128),0,MIN($H128,MAX(0,MIN(EOMONTH(Z$4,0),$P128)-MAX(Z$4,$E128)+1)*$J128))</f>
        <v/>
      </c>
      <c r="AA128" s="170">
        <f>IF(OR($B128="",AA$4&gt;$P128,EOMONTH(AA$4,0)&lt;$E128),0,MIN($H128,MAX(0,MIN(EOMONTH(AA$4,0),$P128)-MAX(AA$4,$E128)+1)*$J128))</f>
        <v/>
      </c>
      <c r="AB128" s="170">
        <f>IF(OR($B128="",AB$4&gt;$P128,EOMONTH(AB$4,0)&lt;$E128),0,MIN($H128,MAX(0,MIN(EOMONTH(AB$4,0),$P128)-MAX(AB$4,$E128)+1)*$J128))</f>
        <v/>
      </c>
      <c r="AC128" s="170">
        <f>IF(OR($B128="",AC$4&gt;$P128,EOMONTH(AC$4,0)&lt;$E128),0,MIN($H128,MAX(0,MIN(EOMONTH(AC$4,0),$P128)-MAX(AC$4,$E128)+1)*$J128))</f>
        <v/>
      </c>
      <c r="AD128" s="170">
        <f>IF(B128="","",ROUND(SUM(R128:AC128),0))</f>
        <v/>
      </c>
      <c r="AE128" s="170">
        <f>IF(B128="","",MIN(H128,ROUND(Q128+SUM(R128:AC128),0)))</f>
        <v/>
      </c>
      <c r="AF128" s="170">
        <f>IF(B128="","",MAX(H128-AE128,0))</f>
        <v/>
      </c>
      <c r="AG128" s="172">
        <f>IF(B128="","",IF('Thiết lập'!$B$4&lt;E128,"Chưa phân bổ",IF(P128&lt;='Thiết lập'!$B$4,"Đã phân bổ","Đang phân bổ")))</f>
        <v/>
      </c>
      <c r="AH128" s="166" t="n"/>
      <c r="AI128" s="174">
        <f>IF(B128="","",IF(AND(C128&lt;&gt;"",D128&lt;&gt;"",E128&lt;&gt;"",E128&gt;=D128,F128&gt;0,G128&gt;0,I128&gt;0,COUNTIF($B$7:$B$306,B128)=1),"OK",IF(C128="","Thiếu tên; ","")&amp;IF(D128="","Thiếu ngày tăng; ","")&amp;IF(E128="","Thiếu ngày bắt đầu; ","")&amp;IF(AND(D128&lt;&gt;"",E128&lt;&gt;"",E128&lt;D128),"Ngày bắt đầu &lt; ngày tăng; ","")&amp;IF(OR(F128="",F128&lt;=0),"Số lượng không hợp lệ; ","")&amp;IF(OR(G128="",G128&lt;=0),"Đơn giá không hợp lệ; ","")&amp;IF(OR(I128="",I128&lt;=0),"Số tháng không hợp lệ; ","")&amp;IF(COUNTIF($B$7:$B$306,B128)&gt;1,"Trùng mã CPTT; ","")))</f>
        <v/>
      </c>
    </row>
    <row r="129" ht="19.5" customHeight="1" s="98">
      <c r="A129" s="164">
        <f>IF(B129="","",ROW()-6)</f>
        <v/>
      </c>
      <c r="B129" s="165" t="n"/>
      <c r="C129" s="166" t="n"/>
      <c r="D129" s="167" t="n"/>
      <c r="E129" s="167" t="n"/>
      <c r="F129" s="168" t="n"/>
      <c r="G129" s="169" t="n"/>
      <c r="H129" s="170">
        <f>IF(OR(F129="",G129=""),"",F129*G129)</f>
        <v/>
      </c>
      <c r="I129" s="171" t="n"/>
      <c r="J129" s="170">
        <f>IF(OR(H129="",E129="",P129=""),"",H129/(P129-E129+1))</f>
        <v/>
      </c>
      <c r="K129" s="165" t="n"/>
      <c r="L129" s="172">
        <f>IF(B129="","",IF(AF129&lt;=0,"Đã phân bổ",IF(P129&lt;=EDATE('Thiết lập'!$B$4,12),"Ngắn hạn","Dài hạn")))</f>
        <v/>
      </c>
      <c r="M129" s="165" t="n"/>
      <c r="N129" s="165" t="n"/>
      <c r="O129" s="165" t="n"/>
      <c r="P129" s="173">
        <f>IF(OR(E129="",I129=""),"",EDATE(E129,I129)-1)</f>
        <v/>
      </c>
      <c r="Q129" s="170">
        <f>IF(OR(B129="",E129="",P129=""),0,MIN(H129,MAX(0,MIN(P129,DATE('Thiết lập'!$B$3-1,12,31))-E129+1)*J129))</f>
        <v/>
      </c>
      <c r="R129" s="170">
        <f>IF(OR($B129="",R$4&gt;$P129,EOMONTH(R$4,0)&lt;$E129),0,MIN($H129,MAX(0,MIN(EOMONTH(R$4,0),$P129)-MAX(R$4,$E129)+1)*$J129))</f>
        <v/>
      </c>
      <c r="S129" s="170">
        <f>IF(OR($B129="",S$4&gt;$P129,EOMONTH(S$4,0)&lt;$E129),0,MIN($H129,MAX(0,MIN(EOMONTH(S$4,0),$P129)-MAX(S$4,$E129)+1)*$J129))</f>
        <v/>
      </c>
      <c r="T129" s="170">
        <f>IF(OR($B129="",T$4&gt;$P129,EOMONTH(T$4,0)&lt;$E129),0,MIN($H129,MAX(0,MIN(EOMONTH(T$4,0),$P129)-MAX(T$4,$E129)+1)*$J129))</f>
        <v/>
      </c>
      <c r="U129" s="170">
        <f>IF(OR($B129="",U$4&gt;$P129,EOMONTH(U$4,0)&lt;$E129),0,MIN($H129,MAX(0,MIN(EOMONTH(U$4,0),$P129)-MAX(U$4,$E129)+1)*$J129))</f>
        <v/>
      </c>
      <c r="V129" s="170">
        <f>IF(OR($B129="",V$4&gt;$P129,EOMONTH(V$4,0)&lt;$E129),0,MIN($H129,MAX(0,MIN(EOMONTH(V$4,0),$P129)-MAX(V$4,$E129)+1)*$J129))</f>
        <v/>
      </c>
      <c r="W129" s="170">
        <f>IF(OR($B129="",W$4&gt;$P129,EOMONTH(W$4,0)&lt;$E129),0,MIN($H129,MAX(0,MIN(EOMONTH(W$4,0),$P129)-MAX(W$4,$E129)+1)*$J129))</f>
        <v/>
      </c>
      <c r="X129" s="170">
        <f>IF(OR($B129="",X$4&gt;$P129,EOMONTH(X$4,0)&lt;$E129),0,MIN($H129,MAX(0,MIN(EOMONTH(X$4,0),$P129)-MAX(X$4,$E129)+1)*$J129))</f>
        <v/>
      </c>
      <c r="Y129" s="170">
        <f>IF(OR($B129="",Y$4&gt;$P129,EOMONTH(Y$4,0)&lt;$E129),0,MIN($H129,MAX(0,MIN(EOMONTH(Y$4,0),$P129)-MAX(Y$4,$E129)+1)*$J129))</f>
        <v/>
      </c>
      <c r="Z129" s="170">
        <f>IF(OR($B129="",Z$4&gt;$P129,EOMONTH(Z$4,0)&lt;$E129),0,MIN($H129,MAX(0,MIN(EOMONTH(Z$4,0),$P129)-MAX(Z$4,$E129)+1)*$J129))</f>
        <v/>
      </c>
      <c r="AA129" s="170">
        <f>IF(OR($B129="",AA$4&gt;$P129,EOMONTH(AA$4,0)&lt;$E129),0,MIN($H129,MAX(0,MIN(EOMONTH(AA$4,0),$P129)-MAX(AA$4,$E129)+1)*$J129))</f>
        <v/>
      </c>
      <c r="AB129" s="170">
        <f>IF(OR($B129="",AB$4&gt;$P129,EOMONTH(AB$4,0)&lt;$E129),0,MIN($H129,MAX(0,MIN(EOMONTH(AB$4,0),$P129)-MAX(AB$4,$E129)+1)*$J129))</f>
        <v/>
      </c>
      <c r="AC129" s="170">
        <f>IF(OR($B129="",AC$4&gt;$P129,EOMONTH(AC$4,0)&lt;$E129),0,MIN($H129,MAX(0,MIN(EOMONTH(AC$4,0),$P129)-MAX(AC$4,$E129)+1)*$J129))</f>
        <v/>
      </c>
      <c r="AD129" s="170">
        <f>IF(B129="","",ROUND(SUM(R129:AC129),0))</f>
        <v/>
      </c>
      <c r="AE129" s="170">
        <f>IF(B129="","",MIN(H129,ROUND(Q129+SUM(R129:AC129),0)))</f>
        <v/>
      </c>
      <c r="AF129" s="170">
        <f>IF(B129="","",MAX(H129-AE129,0))</f>
        <v/>
      </c>
      <c r="AG129" s="172">
        <f>IF(B129="","",IF('Thiết lập'!$B$4&lt;E129,"Chưa phân bổ",IF(P129&lt;='Thiết lập'!$B$4,"Đã phân bổ","Đang phân bổ")))</f>
        <v/>
      </c>
      <c r="AH129" s="166" t="n"/>
      <c r="AI129" s="174">
        <f>IF(B129="","",IF(AND(C129&lt;&gt;"",D129&lt;&gt;"",E129&lt;&gt;"",E129&gt;=D129,F129&gt;0,G129&gt;0,I129&gt;0,COUNTIF($B$7:$B$306,B129)=1),"OK",IF(C129="","Thiếu tên; ","")&amp;IF(D129="","Thiếu ngày tăng; ","")&amp;IF(E129="","Thiếu ngày bắt đầu; ","")&amp;IF(AND(D129&lt;&gt;"",E129&lt;&gt;"",E129&lt;D129),"Ngày bắt đầu &lt; ngày tăng; ","")&amp;IF(OR(F129="",F129&lt;=0),"Số lượng không hợp lệ; ","")&amp;IF(OR(G129="",G129&lt;=0),"Đơn giá không hợp lệ; ","")&amp;IF(OR(I129="",I129&lt;=0),"Số tháng không hợp lệ; ","")&amp;IF(COUNTIF($B$7:$B$306,B129)&gt;1,"Trùng mã CPTT; ","")))</f>
        <v/>
      </c>
    </row>
    <row r="130" ht="19.5" customHeight="1" s="98">
      <c r="A130" s="164">
        <f>IF(B130="","",ROW()-6)</f>
        <v/>
      </c>
      <c r="B130" s="165" t="n"/>
      <c r="C130" s="166" t="n"/>
      <c r="D130" s="167" t="n"/>
      <c r="E130" s="167" t="n"/>
      <c r="F130" s="168" t="n"/>
      <c r="G130" s="169" t="n"/>
      <c r="H130" s="170">
        <f>IF(OR(F130="",G130=""),"",F130*G130)</f>
        <v/>
      </c>
      <c r="I130" s="171" t="n"/>
      <c r="J130" s="170">
        <f>IF(OR(H130="",E130="",P130=""),"",H130/(P130-E130+1))</f>
        <v/>
      </c>
      <c r="K130" s="165" t="n"/>
      <c r="L130" s="172">
        <f>IF(B130="","",IF(AF130&lt;=0,"Đã phân bổ",IF(P130&lt;=EDATE('Thiết lập'!$B$4,12),"Ngắn hạn","Dài hạn")))</f>
        <v/>
      </c>
      <c r="M130" s="165" t="n"/>
      <c r="N130" s="165" t="n"/>
      <c r="O130" s="165" t="n"/>
      <c r="P130" s="173">
        <f>IF(OR(E130="",I130=""),"",EDATE(E130,I130)-1)</f>
        <v/>
      </c>
      <c r="Q130" s="170">
        <f>IF(OR(B130="",E130="",P130=""),0,MIN(H130,MAX(0,MIN(P130,DATE('Thiết lập'!$B$3-1,12,31))-E130+1)*J130))</f>
        <v/>
      </c>
      <c r="R130" s="170">
        <f>IF(OR($B130="",R$4&gt;$P130,EOMONTH(R$4,0)&lt;$E130),0,MIN($H130,MAX(0,MIN(EOMONTH(R$4,0),$P130)-MAX(R$4,$E130)+1)*$J130))</f>
        <v/>
      </c>
      <c r="S130" s="170">
        <f>IF(OR($B130="",S$4&gt;$P130,EOMONTH(S$4,0)&lt;$E130),0,MIN($H130,MAX(0,MIN(EOMONTH(S$4,0),$P130)-MAX(S$4,$E130)+1)*$J130))</f>
        <v/>
      </c>
      <c r="T130" s="170">
        <f>IF(OR($B130="",T$4&gt;$P130,EOMONTH(T$4,0)&lt;$E130),0,MIN($H130,MAX(0,MIN(EOMONTH(T$4,0),$P130)-MAX(T$4,$E130)+1)*$J130))</f>
        <v/>
      </c>
      <c r="U130" s="170">
        <f>IF(OR($B130="",U$4&gt;$P130,EOMONTH(U$4,0)&lt;$E130),0,MIN($H130,MAX(0,MIN(EOMONTH(U$4,0),$P130)-MAX(U$4,$E130)+1)*$J130))</f>
        <v/>
      </c>
      <c r="V130" s="170">
        <f>IF(OR($B130="",V$4&gt;$P130,EOMONTH(V$4,0)&lt;$E130),0,MIN($H130,MAX(0,MIN(EOMONTH(V$4,0),$P130)-MAX(V$4,$E130)+1)*$J130))</f>
        <v/>
      </c>
      <c r="W130" s="170">
        <f>IF(OR($B130="",W$4&gt;$P130,EOMONTH(W$4,0)&lt;$E130),0,MIN($H130,MAX(0,MIN(EOMONTH(W$4,0),$P130)-MAX(W$4,$E130)+1)*$J130))</f>
        <v/>
      </c>
      <c r="X130" s="170">
        <f>IF(OR($B130="",X$4&gt;$P130,EOMONTH(X$4,0)&lt;$E130),0,MIN($H130,MAX(0,MIN(EOMONTH(X$4,0),$P130)-MAX(X$4,$E130)+1)*$J130))</f>
        <v/>
      </c>
      <c r="Y130" s="170">
        <f>IF(OR($B130="",Y$4&gt;$P130,EOMONTH(Y$4,0)&lt;$E130),0,MIN($H130,MAX(0,MIN(EOMONTH(Y$4,0),$P130)-MAX(Y$4,$E130)+1)*$J130))</f>
        <v/>
      </c>
      <c r="Z130" s="170">
        <f>IF(OR($B130="",Z$4&gt;$P130,EOMONTH(Z$4,0)&lt;$E130),0,MIN($H130,MAX(0,MIN(EOMONTH(Z$4,0),$P130)-MAX(Z$4,$E130)+1)*$J130))</f>
        <v/>
      </c>
      <c r="AA130" s="170">
        <f>IF(OR($B130="",AA$4&gt;$P130,EOMONTH(AA$4,0)&lt;$E130),0,MIN($H130,MAX(0,MIN(EOMONTH(AA$4,0),$P130)-MAX(AA$4,$E130)+1)*$J130))</f>
        <v/>
      </c>
      <c r="AB130" s="170">
        <f>IF(OR($B130="",AB$4&gt;$P130,EOMONTH(AB$4,0)&lt;$E130),0,MIN($H130,MAX(0,MIN(EOMONTH(AB$4,0),$P130)-MAX(AB$4,$E130)+1)*$J130))</f>
        <v/>
      </c>
      <c r="AC130" s="170">
        <f>IF(OR($B130="",AC$4&gt;$P130,EOMONTH(AC$4,0)&lt;$E130),0,MIN($H130,MAX(0,MIN(EOMONTH(AC$4,0),$P130)-MAX(AC$4,$E130)+1)*$J130))</f>
        <v/>
      </c>
      <c r="AD130" s="170">
        <f>IF(B130="","",ROUND(SUM(R130:AC130),0))</f>
        <v/>
      </c>
      <c r="AE130" s="170">
        <f>IF(B130="","",MIN(H130,ROUND(Q130+SUM(R130:AC130),0)))</f>
        <v/>
      </c>
      <c r="AF130" s="170">
        <f>IF(B130="","",MAX(H130-AE130,0))</f>
        <v/>
      </c>
      <c r="AG130" s="172">
        <f>IF(B130="","",IF('Thiết lập'!$B$4&lt;E130,"Chưa phân bổ",IF(P130&lt;='Thiết lập'!$B$4,"Đã phân bổ","Đang phân bổ")))</f>
        <v/>
      </c>
      <c r="AH130" s="166" t="n"/>
      <c r="AI130" s="174">
        <f>IF(B130="","",IF(AND(C130&lt;&gt;"",D130&lt;&gt;"",E130&lt;&gt;"",E130&gt;=D130,F130&gt;0,G130&gt;0,I130&gt;0,COUNTIF($B$7:$B$306,B130)=1),"OK",IF(C130="","Thiếu tên; ","")&amp;IF(D130="","Thiếu ngày tăng; ","")&amp;IF(E130="","Thiếu ngày bắt đầu; ","")&amp;IF(AND(D130&lt;&gt;"",E130&lt;&gt;"",E130&lt;D130),"Ngày bắt đầu &lt; ngày tăng; ","")&amp;IF(OR(F130="",F130&lt;=0),"Số lượng không hợp lệ; ","")&amp;IF(OR(G130="",G130&lt;=0),"Đơn giá không hợp lệ; ","")&amp;IF(OR(I130="",I130&lt;=0),"Số tháng không hợp lệ; ","")&amp;IF(COUNTIF($B$7:$B$306,B130)&gt;1,"Trùng mã CPTT; ","")))</f>
        <v/>
      </c>
    </row>
    <row r="131" ht="19.5" customHeight="1" s="98">
      <c r="A131" s="164">
        <f>IF(B131="","",ROW()-6)</f>
        <v/>
      </c>
      <c r="B131" s="165" t="n"/>
      <c r="C131" s="166" t="n"/>
      <c r="D131" s="167" t="n"/>
      <c r="E131" s="167" t="n"/>
      <c r="F131" s="168" t="n"/>
      <c r="G131" s="169" t="n"/>
      <c r="H131" s="170">
        <f>IF(OR(F131="",G131=""),"",F131*G131)</f>
        <v/>
      </c>
      <c r="I131" s="171" t="n"/>
      <c r="J131" s="170">
        <f>IF(OR(H131="",E131="",P131=""),"",H131/(P131-E131+1))</f>
        <v/>
      </c>
      <c r="K131" s="165" t="n"/>
      <c r="L131" s="172">
        <f>IF(B131="","",IF(AF131&lt;=0,"Đã phân bổ",IF(P131&lt;=EDATE('Thiết lập'!$B$4,12),"Ngắn hạn","Dài hạn")))</f>
        <v/>
      </c>
      <c r="M131" s="165" t="n"/>
      <c r="N131" s="165" t="n"/>
      <c r="O131" s="165" t="n"/>
      <c r="P131" s="173">
        <f>IF(OR(E131="",I131=""),"",EDATE(E131,I131)-1)</f>
        <v/>
      </c>
      <c r="Q131" s="170">
        <f>IF(OR(B131="",E131="",P131=""),0,MIN(H131,MAX(0,MIN(P131,DATE('Thiết lập'!$B$3-1,12,31))-E131+1)*J131))</f>
        <v/>
      </c>
      <c r="R131" s="170">
        <f>IF(OR($B131="",R$4&gt;$P131,EOMONTH(R$4,0)&lt;$E131),0,MIN($H131,MAX(0,MIN(EOMONTH(R$4,0),$P131)-MAX(R$4,$E131)+1)*$J131))</f>
        <v/>
      </c>
      <c r="S131" s="170">
        <f>IF(OR($B131="",S$4&gt;$P131,EOMONTH(S$4,0)&lt;$E131),0,MIN($H131,MAX(0,MIN(EOMONTH(S$4,0),$P131)-MAX(S$4,$E131)+1)*$J131))</f>
        <v/>
      </c>
      <c r="T131" s="170">
        <f>IF(OR($B131="",T$4&gt;$P131,EOMONTH(T$4,0)&lt;$E131),0,MIN($H131,MAX(0,MIN(EOMONTH(T$4,0),$P131)-MAX(T$4,$E131)+1)*$J131))</f>
        <v/>
      </c>
      <c r="U131" s="170">
        <f>IF(OR($B131="",U$4&gt;$P131,EOMONTH(U$4,0)&lt;$E131),0,MIN($H131,MAX(0,MIN(EOMONTH(U$4,0),$P131)-MAX(U$4,$E131)+1)*$J131))</f>
        <v/>
      </c>
      <c r="V131" s="170">
        <f>IF(OR($B131="",V$4&gt;$P131,EOMONTH(V$4,0)&lt;$E131),0,MIN($H131,MAX(0,MIN(EOMONTH(V$4,0),$P131)-MAX(V$4,$E131)+1)*$J131))</f>
        <v/>
      </c>
      <c r="W131" s="170">
        <f>IF(OR($B131="",W$4&gt;$P131,EOMONTH(W$4,0)&lt;$E131),0,MIN($H131,MAX(0,MIN(EOMONTH(W$4,0),$P131)-MAX(W$4,$E131)+1)*$J131))</f>
        <v/>
      </c>
      <c r="X131" s="170">
        <f>IF(OR($B131="",X$4&gt;$P131,EOMONTH(X$4,0)&lt;$E131),0,MIN($H131,MAX(0,MIN(EOMONTH(X$4,0),$P131)-MAX(X$4,$E131)+1)*$J131))</f>
        <v/>
      </c>
      <c r="Y131" s="170">
        <f>IF(OR($B131="",Y$4&gt;$P131,EOMONTH(Y$4,0)&lt;$E131),0,MIN($H131,MAX(0,MIN(EOMONTH(Y$4,0),$P131)-MAX(Y$4,$E131)+1)*$J131))</f>
        <v/>
      </c>
      <c r="Z131" s="170">
        <f>IF(OR($B131="",Z$4&gt;$P131,EOMONTH(Z$4,0)&lt;$E131),0,MIN($H131,MAX(0,MIN(EOMONTH(Z$4,0),$P131)-MAX(Z$4,$E131)+1)*$J131))</f>
        <v/>
      </c>
      <c r="AA131" s="170">
        <f>IF(OR($B131="",AA$4&gt;$P131,EOMONTH(AA$4,0)&lt;$E131),0,MIN($H131,MAX(0,MIN(EOMONTH(AA$4,0),$P131)-MAX(AA$4,$E131)+1)*$J131))</f>
        <v/>
      </c>
      <c r="AB131" s="170">
        <f>IF(OR($B131="",AB$4&gt;$P131,EOMONTH(AB$4,0)&lt;$E131),0,MIN($H131,MAX(0,MIN(EOMONTH(AB$4,0),$P131)-MAX(AB$4,$E131)+1)*$J131))</f>
        <v/>
      </c>
      <c r="AC131" s="170">
        <f>IF(OR($B131="",AC$4&gt;$P131,EOMONTH(AC$4,0)&lt;$E131),0,MIN($H131,MAX(0,MIN(EOMONTH(AC$4,0),$P131)-MAX(AC$4,$E131)+1)*$J131))</f>
        <v/>
      </c>
      <c r="AD131" s="170">
        <f>IF(B131="","",ROUND(SUM(R131:AC131),0))</f>
        <v/>
      </c>
      <c r="AE131" s="170">
        <f>IF(B131="","",MIN(H131,ROUND(Q131+SUM(R131:AC131),0)))</f>
        <v/>
      </c>
      <c r="AF131" s="170">
        <f>IF(B131="","",MAX(H131-AE131,0))</f>
        <v/>
      </c>
      <c r="AG131" s="172">
        <f>IF(B131="","",IF('Thiết lập'!$B$4&lt;E131,"Chưa phân bổ",IF(P131&lt;='Thiết lập'!$B$4,"Đã phân bổ","Đang phân bổ")))</f>
        <v/>
      </c>
      <c r="AH131" s="166" t="n"/>
      <c r="AI131" s="174">
        <f>IF(B131="","",IF(AND(C131&lt;&gt;"",D131&lt;&gt;"",E131&lt;&gt;"",E131&gt;=D131,F131&gt;0,G131&gt;0,I131&gt;0,COUNTIF($B$7:$B$306,B131)=1),"OK",IF(C131="","Thiếu tên; ","")&amp;IF(D131="","Thiếu ngày tăng; ","")&amp;IF(E131="","Thiếu ngày bắt đầu; ","")&amp;IF(AND(D131&lt;&gt;"",E131&lt;&gt;"",E131&lt;D131),"Ngày bắt đầu &lt; ngày tăng; ","")&amp;IF(OR(F131="",F131&lt;=0),"Số lượng không hợp lệ; ","")&amp;IF(OR(G131="",G131&lt;=0),"Đơn giá không hợp lệ; ","")&amp;IF(OR(I131="",I131&lt;=0),"Số tháng không hợp lệ; ","")&amp;IF(COUNTIF($B$7:$B$306,B131)&gt;1,"Trùng mã CPTT; ","")))</f>
        <v/>
      </c>
    </row>
    <row r="132" ht="19.5" customHeight="1" s="98">
      <c r="A132" s="164">
        <f>IF(B132="","",ROW()-6)</f>
        <v/>
      </c>
      <c r="B132" s="165" t="n"/>
      <c r="C132" s="166" t="n"/>
      <c r="D132" s="167" t="n"/>
      <c r="E132" s="167" t="n"/>
      <c r="F132" s="168" t="n"/>
      <c r="G132" s="169" t="n"/>
      <c r="H132" s="170">
        <f>IF(OR(F132="",G132=""),"",F132*G132)</f>
        <v/>
      </c>
      <c r="I132" s="171" t="n"/>
      <c r="J132" s="170">
        <f>IF(OR(H132="",E132="",P132=""),"",H132/(P132-E132+1))</f>
        <v/>
      </c>
      <c r="K132" s="165" t="n"/>
      <c r="L132" s="172">
        <f>IF(B132="","",IF(AF132&lt;=0,"Đã phân bổ",IF(P132&lt;=EDATE('Thiết lập'!$B$4,12),"Ngắn hạn","Dài hạn")))</f>
        <v/>
      </c>
      <c r="M132" s="165" t="n"/>
      <c r="N132" s="165" t="n"/>
      <c r="O132" s="165" t="n"/>
      <c r="P132" s="173">
        <f>IF(OR(E132="",I132=""),"",EDATE(E132,I132)-1)</f>
        <v/>
      </c>
      <c r="Q132" s="170">
        <f>IF(OR(B132="",E132="",P132=""),0,MIN(H132,MAX(0,MIN(P132,DATE('Thiết lập'!$B$3-1,12,31))-E132+1)*J132))</f>
        <v/>
      </c>
      <c r="R132" s="170">
        <f>IF(OR($B132="",R$4&gt;$P132,EOMONTH(R$4,0)&lt;$E132),0,MIN($H132,MAX(0,MIN(EOMONTH(R$4,0),$P132)-MAX(R$4,$E132)+1)*$J132))</f>
        <v/>
      </c>
      <c r="S132" s="170">
        <f>IF(OR($B132="",S$4&gt;$P132,EOMONTH(S$4,0)&lt;$E132),0,MIN($H132,MAX(0,MIN(EOMONTH(S$4,0),$P132)-MAX(S$4,$E132)+1)*$J132))</f>
        <v/>
      </c>
      <c r="T132" s="170">
        <f>IF(OR($B132="",T$4&gt;$P132,EOMONTH(T$4,0)&lt;$E132),0,MIN($H132,MAX(0,MIN(EOMONTH(T$4,0),$P132)-MAX(T$4,$E132)+1)*$J132))</f>
        <v/>
      </c>
      <c r="U132" s="170">
        <f>IF(OR($B132="",U$4&gt;$P132,EOMONTH(U$4,0)&lt;$E132),0,MIN($H132,MAX(0,MIN(EOMONTH(U$4,0),$P132)-MAX(U$4,$E132)+1)*$J132))</f>
        <v/>
      </c>
      <c r="V132" s="170">
        <f>IF(OR($B132="",V$4&gt;$P132,EOMONTH(V$4,0)&lt;$E132),0,MIN($H132,MAX(0,MIN(EOMONTH(V$4,0),$P132)-MAX(V$4,$E132)+1)*$J132))</f>
        <v/>
      </c>
      <c r="W132" s="170">
        <f>IF(OR($B132="",W$4&gt;$P132,EOMONTH(W$4,0)&lt;$E132),0,MIN($H132,MAX(0,MIN(EOMONTH(W$4,0),$P132)-MAX(W$4,$E132)+1)*$J132))</f>
        <v/>
      </c>
      <c r="X132" s="170">
        <f>IF(OR($B132="",X$4&gt;$P132,EOMONTH(X$4,0)&lt;$E132),0,MIN($H132,MAX(0,MIN(EOMONTH(X$4,0),$P132)-MAX(X$4,$E132)+1)*$J132))</f>
        <v/>
      </c>
      <c r="Y132" s="170">
        <f>IF(OR($B132="",Y$4&gt;$P132,EOMONTH(Y$4,0)&lt;$E132),0,MIN($H132,MAX(0,MIN(EOMONTH(Y$4,0),$P132)-MAX(Y$4,$E132)+1)*$J132))</f>
        <v/>
      </c>
      <c r="Z132" s="170">
        <f>IF(OR($B132="",Z$4&gt;$P132,EOMONTH(Z$4,0)&lt;$E132),0,MIN($H132,MAX(0,MIN(EOMONTH(Z$4,0),$P132)-MAX(Z$4,$E132)+1)*$J132))</f>
        <v/>
      </c>
      <c r="AA132" s="170">
        <f>IF(OR($B132="",AA$4&gt;$P132,EOMONTH(AA$4,0)&lt;$E132),0,MIN($H132,MAX(0,MIN(EOMONTH(AA$4,0),$P132)-MAX(AA$4,$E132)+1)*$J132))</f>
        <v/>
      </c>
      <c r="AB132" s="170">
        <f>IF(OR($B132="",AB$4&gt;$P132,EOMONTH(AB$4,0)&lt;$E132),0,MIN($H132,MAX(0,MIN(EOMONTH(AB$4,0),$P132)-MAX(AB$4,$E132)+1)*$J132))</f>
        <v/>
      </c>
      <c r="AC132" s="170">
        <f>IF(OR($B132="",AC$4&gt;$P132,EOMONTH(AC$4,0)&lt;$E132),0,MIN($H132,MAX(0,MIN(EOMONTH(AC$4,0),$P132)-MAX(AC$4,$E132)+1)*$J132))</f>
        <v/>
      </c>
      <c r="AD132" s="170">
        <f>IF(B132="","",ROUND(SUM(R132:AC132),0))</f>
        <v/>
      </c>
      <c r="AE132" s="170">
        <f>IF(B132="","",MIN(H132,ROUND(Q132+SUM(R132:AC132),0)))</f>
        <v/>
      </c>
      <c r="AF132" s="170">
        <f>IF(B132="","",MAX(H132-AE132,0))</f>
        <v/>
      </c>
      <c r="AG132" s="172">
        <f>IF(B132="","",IF('Thiết lập'!$B$4&lt;E132,"Chưa phân bổ",IF(P132&lt;='Thiết lập'!$B$4,"Đã phân bổ","Đang phân bổ")))</f>
        <v/>
      </c>
      <c r="AH132" s="166" t="n"/>
      <c r="AI132" s="174">
        <f>IF(B132="","",IF(AND(C132&lt;&gt;"",D132&lt;&gt;"",E132&lt;&gt;"",E132&gt;=D132,F132&gt;0,G132&gt;0,I132&gt;0,COUNTIF($B$7:$B$306,B132)=1),"OK",IF(C132="","Thiếu tên; ","")&amp;IF(D132="","Thiếu ngày tăng; ","")&amp;IF(E132="","Thiếu ngày bắt đầu; ","")&amp;IF(AND(D132&lt;&gt;"",E132&lt;&gt;"",E132&lt;D132),"Ngày bắt đầu &lt; ngày tăng; ","")&amp;IF(OR(F132="",F132&lt;=0),"Số lượng không hợp lệ; ","")&amp;IF(OR(G132="",G132&lt;=0),"Đơn giá không hợp lệ; ","")&amp;IF(OR(I132="",I132&lt;=0),"Số tháng không hợp lệ; ","")&amp;IF(COUNTIF($B$7:$B$306,B132)&gt;1,"Trùng mã CPTT; ","")))</f>
        <v/>
      </c>
    </row>
    <row r="133" ht="19.5" customHeight="1" s="98">
      <c r="A133" s="164">
        <f>IF(B133="","",ROW()-6)</f>
        <v/>
      </c>
      <c r="B133" s="165" t="n"/>
      <c r="C133" s="166" t="n"/>
      <c r="D133" s="167" t="n"/>
      <c r="E133" s="167" t="n"/>
      <c r="F133" s="168" t="n"/>
      <c r="G133" s="169" t="n"/>
      <c r="H133" s="170">
        <f>IF(OR(F133="",G133=""),"",F133*G133)</f>
        <v/>
      </c>
      <c r="I133" s="171" t="n"/>
      <c r="J133" s="170">
        <f>IF(OR(H133="",E133="",P133=""),"",H133/(P133-E133+1))</f>
        <v/>
      </c>
      <c r="K133" s="165" t="n"/>
      <c r="L133" s="172">
        <f>IF(B133="","",IF(AF133&lt;=0,"Đã phân bổ",IF(P133&lt;=EDATE('Thiết lập'!$B$4,12),"Ngắn hạn","Dài hạn")))</f>
        <v/>
      </c>
      <c r="M133" s="165" t="n"/>
      <c r="N133" s="165" t="n"/>
      <c r="O133" s="165" t="n"/>
      <c r="P133" s="173">
        <f>IF(OR(E133="",I133=""),"",EDATE(E133,I133)-1)</f>
        <v/>
      </c>
      <c r="Q133" s="170">
        <f>IF(OR(B133="",E133="",P133=""),0,MIN(H133,MAX(0,MIN(P133,DATE('Thiết lập'!$B$3-1,12,31))-E133+1)*J133))</f>
        <v/>
      </c>
      <c r="R133" s="170">
        <f>IF(OR($B133="",R$4&gt;$P133,EOMONTH(R$4,0)&lt;$E133),0,MIN($H133,MAX(0,MIN(EOMONTH(R$4,0),$P133)-MAX(R$4,$E133)+1)*$J133))</f>
        <v/>
      </c>
      <c r="S133" s="170">
        <f>IF(OR($B133="",S$4&gt;$P133,EOMONTH(S$4,0)&lt;$E133),0,MIN($H133,MAX(0,MIN(EOMONTH(S$4,0),$P133)-MAX(S$4,$E133)+1)*$J133))</f>
        <v/>
      </c>
      <c r="T133" s="170">
        <f>IF(OR($B133="",T$4&gt;$P133,EOMONTH(T$4,0)&lt;$E133),0,MIN($H133,MAX(0,MIN(EOMONTH(T$4,0),$P133)-MAX(T$4,$E133)+1)*$J133))</f>
        <v/>
      </c>
      <c r="U133" s="170">
        <f>IF(OR($B133="",U$4&gt;$P133,EOMONTH(U$4,0)&lt;$E133),0,MIN($H133,MAX(0,MIN(EOMONTH(U$4,0),$P133)-MAX(U$4,$E133)+1)*$J133))</f>
        <v/>
      </c>
      <c r="V133" s="170">
        <f>IF(OR($B133="",V$4&gt;$P133,EOMONTH(V$4,0)&lt;$E133),0,MIN($H133,MAX(0,MIN(EOMONTH(V$4,0),$P133)-MAX(V$4,$E133)+1)*$J133))</f>
        <v/>
      </c>
      <c r="W133" s="170">
        <f>IF(OR($B133="",W$4&gt;$P133,EOMONTH(W$4,0)&lt;$E133),0,MIN($H133,MAX(0,MIN(EOMONTH(W$4,0),$P133)-MAX(W$4,$E133)+1)*$J133))</f>
        <v/>
      </c>
      <c r="X133" s="170">
        <f>IF(OR($B133="",X$4&gt;$P133,EOMONTH(X$4,0)&lt;$E133),0,MIN($H133,MAX(0,MIN(EOMONTH(X$4,0),$P133)-MAX(X$4,$E133)+1)*$J133))</f>
        <v/>
      </c>
      <c r="Y133" s="170">
        <f>IF(OR($B133="",Y$4&gt;$P133,EOMONTH(Y$4,0)&lt;$E133),0,MIN($H133,MAX(0,MIN(EOMONTH(Y$4,0),$P133)-MAX(Y$4,$E133)+1)*$J133))</f>
        <v/>
      </c>
      <c r="Z133" s="170">
        <f>IF(OR($B133="",Z$4&gt;$P133,EOMONTH(Z$4,0)&lt;$E133),0,MIN($H133,MAX(0,MIN(EOMONTH(Z$4,0),$P133)-MAX(Z$4,$E133)+1)*$J133))</f>
        <v/>
      </c>
      <c r="AA133" s="170">
        <f>IF(OR($B133="",AA$4&gt;$P133,EOMONTH(AA$4,0)&lt;$E133),0,MIN($H133,MAX(0,MIN(EOMONTH(AA$4,0),$P133)-MAX(AA$4,$E133)+1)*$J133))</f>
        <v/>
      </c>
      <c r="AB133" s="170">
        <f>IF(OR($B133="",AB$4&gt;$P133,EOMONTH(AB$4,0)&lt;$E133),0,MIN($H133,MAX(0,MIN(EOMONTH(AB$4,0),$P133)-MAX(AB$4,$E133)+1)*$J133))</f>
        <v/>
      </c>
      <c r="AC133" s="170">
        <f>IF(OR($B133="",AC$4&gt;$P133,EOMONTH(AC$4,0)&lt;$E133),0,MIN($H133,MAX(0,MIN(EOMONTH(AC$4,0),$P133)-MAX(AC$4,$E133)+1)*$J133))</f>
        <v/>
      </c>
      <c r="AD133" s="170">
        <f>IF(B133="","",ROUND(SUM(R133:AC133),0))</f>
        <v/>
      </c>
      <c r="AE133" s="170">
        <f>IF(B133="","",MIN(H133,ROUND(Q133+SUM(R133:AC133),0)))</f>
        <v/>
      </c>
      <c r="AF133" s="170">
        <f>IF(B133="","",MAX(H133-AE133,0))</f>
        <v/>
      </c>
      <c r="AG133" s="172">
        <f>IF(B133="","",IF('Thiết lập'!$B$4&lt;E133,"Chưa phân bổ",IF(P133&lt;='Thiết lập'!$B$4,"Đã phân bổ","Đang phân bổ")))</f>
        <v/>
      </c>
      <c r="AH133" s="166" t="n"/>
      <c r="AI133" s="174">
        <f>IF(B133="","",IF(AND(C133&lt;&gt;"",D133&lt;&gt;"",E133&lt;&gt;"",E133&gt;=D133,F133&gt;0,G133&gt;0,I133&gt;0,COUNTIF($B$7:$B$306,B133)=1),"OK",IF(C133="","Thiếu tên; ","")&amp;IF(D133="","Thiếu ngày tăng; ","")&amp;IF(E133="","Thiếu ngày bắt đầu; ","")&amp;IF(AND(D133&lt;&gt;"",E133&lt;&gt;"",E133&lt;D133),"Ngày bắt đầu &lt; ngày tăng; ","")&amp;IF(OR(F133="",F133&lt;=0),"Số lượng không hợp lệ; ","")&amp;IF(OR(G133="",G133&lt;=0),"Đơn giá không hợp lệ; ","")&amp;IF(OR(I133="",I133&lt;=0),"Số tháng không hợp lệ; ","")&amp;IF(COUNTIF($B$7:$B$306,B133)&gt;1,"Trùng mã CPTT; ","")))</f>
        <v/>
      </c>
    </row>
    <row r="134" ht="19.5" customHeight="1" s="98">
      <c r="A134" s="164">
        <f>IF(B134="","",ROW()-6)</f>
        <v/>
      </c>
      <c r="B134" s="165" t="n"/>
      <c r="C134" s="166" t="n"/>
      <c r="D134" s="167" t="n"/>
      <c r="E134" s="167" t="n"/>
      <c r="F134" s="168" t="n"/>
      <c r="G134" s="169" t="n"/>
      <c r="H134" s="170">
        <f>IF(OR(F134="",G134=""),"",F134*G134)</f>
        <v/>
      </c>
      <c r="I134" s="171" t="n"/>
      <c r="J134" s="170">
        <f>IF(OR(H134="",E134="",P134=""),"",H134/(P134-E134+1))</f>
        <v/>
      </c>
      <c r="K134" s="165" t="n"/>
      <c r="L134" s="172">
        <f>IF(B134="","",IF(AF134&lt;=0,"Đã phân bổ",IF(P134&lt;=EDATE('Thiết lập'!$B$4,12),"Ngắn hạn","Dài hạn")))</f>
        <v/>
      </c>
      <c r="M134" s="165" t="n"/>
      <c r="N134" s="165" t="n"/>
      <c r="O134" s="165" t="n"/>
      <c r="P134" s="173">
        <f>IF(OR(E134="",I134=""),"",EDATE(E134,I134)-1)</f>
        <v/>
      </c>
      <c r="Q134" s="170">
        <f>IF(OR(B134="",E134="",P134=""),0,MIN(H134,MAX(0,MIN(P134,DATE('Thiết lập'!$B$3-1,12,31))-E134+1)*J134))</f>
        <v/>
      </c>
      <c r="R134" s="170">
        <f>IF(OR($B134="",R$4&gt;$P134,EOMONTH(R$4,0)&lt;$E134),0,MIN($H134,MAX(0,MIN(EOMONTH(R$4,0),$P134)-MAX(R$4,$E134)+1)*$J134))</f>
        <v/>
      </c>
      <c r="S134" s="170">
        <f>IF(OR($B134="",S$4&gt;$P134,EOMONTH(S$4,0)&lt;$E134),0,MIN($H134,MAX(0,MIN(EOMONTH(S$4,0),$P134)-MAX(S$4,$E134)+1)*$J134))</f>
        <v/>
      </c>
      <c r="T134" s="170">
        <f>IF(OR($B134="",T$4&gt;$P134,EOMONTH(T$4,0)&lt;$E134),0,MIN($H134,MAX(0,MIN(EOMONTH(T$4,0),$P134)-MAX(T$4,$E134)+1)*$J134))</f>
        <v/>
      </c>
      <c r="U134" s="170">
        <f>IF(OR($B134="",U$4&gt;$P134,EOMONTH(U$4,0)&lt;$E134),0,MIN($H134,MAX(0,MIN(EOMONTH(U$4,0),$P134)-MAX(U$4,$E134)+1)*$J134))</f>
        <v/>
      </c>
      <c r="V134" s="170">
        <f>IF(OR($B134="",V$4&gt;$P134,EOMONTH(V$4,0)&lt;$E134),0,MIN($H134,MAX(0,MIN(EOMONTH(V$4,0),$P134)-MAX(V$4,$E134)+1)*$J134))</f>
        <v/>
      </c>
      <c r="W134" s="170">
        <f>IF(OR($B134="",W$4&gt;$P134,EOMONTH(W$4,0)&lt;$E134),0,MIN($H134,MAX(0,MIN(EOMONTH(W$4,0),$P134)-MAX(W$4,$E134)+1)*$J134))</f>
        <v/>
      </c>
      <c r="X134" s="170">
        <f>IF(OR($B134="",X$4&gt;$P134,EOMONTH(X$4,0)&lt;$E134),0,MIN($H134,MAX(0,MIN(EOMONTH(X$4,0),$P134)-MAX(X$4,$E134)+1)*$J134))</f>
        <v/>
      </c>
      <c r="Y134" s="170">
        <f>IF(OR($B134="",Y$4&gt;$P134,EOMONTH(Y$4,0)&lt;$E134),0,MIN($H134,MAX(0,MIN(EOMONTH(Y$4,0),$P134)-MAX(Y$4,$E134)+1)*$J134))</f>
        <v/>
      </c>
      <c r="Z134" s="170">
        <f>IF(OR($B134="",Z$4&gt;$P134,EOMONTH(Z$4,0)&lt;$E134),0,MIN($H134,MAX(0,MIN(EOMONTH(Z$4,0),$P134)-MAX(Z$4,$E134)+1)*$J134))</f>
        <v/>
      </c>
      <c r="AA134" s="170">
        <f>IF(OR($B134="",AA$4&gt;$P134,EOMONTH(AA$4,0)&lt;$E134),0,MIN($H134,MAX(0,MIN(EOMONTH(AA$4,0),$P134)-MAX(AA$4,$E134)+1)*$J134))</f>
        <v/>
      </c>
      <c r="AB134" s="170">
        <f>IF(OR($B134="",AB$4&gt;$P134,EOMONTH(AB$4,0)&lt;$E134),0,MIN($H134,MAX(0,MIN(EOMONTH(AB$4,0),$P134)-MAX(AB$4,$E134)+1)*$J134))</f>
        <v/>
      </c>
      <c r="AC134" s="170">
        <f>IF(OR($B134="",AC$4&gt;$P134,EOMONTH(AC$4,0)&lt;$E134),0,MIN($H134,MAX(0,MIN(EOMONTH(AC$4,0),$P134)-MAX(AC$4,$E134)+1)*$J134))</f>
        <v/>
      </c>
      <c r="AD134" s="170">
        <f>IF(B134="","",ROUND(SUM(R134:AC134),0))</f>
        <v/>
      </c>
      <c r="AE134" s="170">
        <f>IF(B134="","",MIN(H134,ROUND(Q134+SUM(R134:AC134),0)))</f>
        <v/>
      </c>
      <c r="AF134" s="170">
        <f>IF(B134="","",MAX(H134-AE134,0))</f>
        <v/>
      </c>
      <c r="AG134" s="172">
        <f>IF(B134="","",IF('Thiết lập'!$B$4&lt;E134,"Chưa phân bổ",IF(P134&lt;='Thiết lập'!$B$4,"Đã phân bổ","Đang phân bổ")))</f>
        <v/>
      </c>
      <c r="AH134" s="166" t="n"/>
      <c r="AI134" s="174">
        <f>IF(B134="","",IF(AND(C134&lt;&gt;"",D134&lt;&gt;"",E134&lt;&gt;"",E134&gt;=D134,F134&gt;0,G134&gt;0,I134&gt;0,COUNTIF($B$7:$B$306,B134)=1),"OK",IF(C134="","Thiếu tên; ","")&amp;IF(D134="","Thiếu ngày tăng; ","")&amp;IF(E134="","Thiếu ngày bắt đầu; ","")&amp;IF(AND(D134&lt;&gt;"",E134&lt;&gt;"",E134&lt;D134),"Ngày bắt đầu &lt; ngày tăng; ","")&amp;IF(OR(F134="",F134&lt;=0),"Số lượng không hợp lệ; ","")&amp;IF(OR(G134="",G134&lt;=0),"Đơn giá không hợp lệ; ","")&amp;IF(OR(I134="",I134&lt;=0),"Số tháng không hợp lệ; ","")&amp;IF(COUNTIF($B$7:$B$306,B134)&gt;1,"Trùng mã CPTT; ","")))</f>
        <v/>
      </c>
    </row>
    <row r="135" ht="19.5" customHeight="1" s="98">
      <c r="A135" s="164">
        <f>IF(B135="","",ROW()-6)</f>
        <v/>
      </c>
      <c r="B135" s="165" t="n"/>
      <c r="C135" s="166" t="n"/>
      <c r="D135" s="167" t="n"/>
      <c r="E135" s="167" t="n"/>
      <c r="F135" s="168" t="n"/>
      <c r="G135" s="169" t="n"/>
      <c r="H135" s="170">
        <f>IF(OR(F135="",G135=""),"",F135*G135)</f>
        <v/>
      </c>
      <c r="I135" s="171" t="n"/>
      <c r="J135" s="170">
        <f>IF(OR(H135="",E135="",P135=""),"",H135/(P135-E135+1))</f>
        <v/>
      </c>
      <c r="K135" s="165" t="n"/>
      <c r="L135" s="172">
        <f>IF(B135="","",IF(AF135&lt;=0,"Đã phân bổ",IF(P135&lt;=EDATE('Thiết lập'!$B$4,12),"Ngắn hạn","Dài hạn")))</f>
        <v/>
      </c>
      <c r="M135" s="165" t="n"/>
      <c r="N135" s="165" t="n"/>
      <c r="O135" s="165" t="n"/>
      <c r="P135" s="173">
        <f>IF(OR(E135="",I135=""),"",EDATE(E135,I135)-1)</f>
        <v/>
      </c>
      <c r="Q135" s="170">
        <f>IF(OR(B135="",E135="",P135=""),0,MIN(H135,MAX(0,MIN(P135,DATE('Thiết lập'!$B$3-1,12,31))-E135+1)*J135))</f>
        <v/>
      </c>
      <c r="R135" s="170">
        <f>IF(OR($B135="",R$4&gt;$P135,EOMONTH(R$4,0)&lt;$E135),0,MIN($H135,MAX(0,MIN(EOMONTH(R$4,0),$P135)-MAX(R$4,$E135)+1)*$J135))</f>
        <v/>
      </c>
      <c r="S135" s="170">
        <f>IF(OR($B135="",S$4&gt;$P135,EOMONTH(S$4,0)&lt;$E135),0,MIN($H135,MAX(0,MIN(EOMONTH(S$4,0),$P135)-MAX(S$4,$E135)+1)*$J135))</f>
        <v/>
      </c>
      <c r="T135" s="170">
        <f>IF(OR($B135="",T$4&gt;$P135,EOMONTH(T$4,0)&lt;$E135),0,MIN($H135,MAX(0,MIN(EOMONTH(T$4,0),$P135)-MAX(T$4,$E135)+1)*$J135))</f>
        <v/>
      </c>
      <c r="U135" s="170">
        <f>IF(OR($B135="",U$4&gt;$P135,EOMONTH(U$4,0)&lt;$E135),0,MIN($H135,MAX(0,MIN(EOMONTH(U$4,0),$P135)-MAX(U$4,$E135)+1)*$J135))</f>
        <v/>
      </c>
      <c r="V135" s="170">
        <f>IF(OR($B135="",V$4&gt;$P135,EOMONTH(V$4,0)&lt;$E135),0,MIN($H135,MAX(0,MIN(EOMONTH(V$4,0),$P135)-MAX(V$4,$E135)+1)*$J135))</f>
        <v/>
      </c>
      <c r="W135" s="170">
        <f>IF(OR($B135="",W$4&gt;$P135,EOMONTH(W$4,0)&lt;$E135),0,MIN($H135,MAX(0,MIN(EOMONTH(W$4,0),$P135)-MAX(W$4,$E135)+1)*$J135))</f>
        <v/>
      </c>
      <c r="X135" s="170">
        <f>IF(OR($B135="",X$4&gt;$P135,EOMONTH(X$4,0)&lt;$E135),0,MIN($H135,MAX(0,MIN(EOMONTH(X$4,0),$P135)-MAX(X$4,$E135)+1)*$J135))</f>
        <v/>
      </c>
      <c r="Y135" s="170">
        <f>IF(OR($B135="",Y$4&gt;$P135,EOMONTH(Y$4,0)&lt;$E135),0,MIN($H135,MAX(0,MIN(EOMONTH(Y$4,0),$P135)-MAX(Y$4,$E135)+1)*$J135))</f>
        <v/>
      </c>
      <c r="Z135" s="170">
        <f>IF(OR($B135="",Z$4&gt;$P135,EOMONTH(Z$4,0)&lt;$E135),0,MIN($H135,MAX(0,MIN(EOMONTH(Z$4,0),$P135)-MAX(Z$4,$E135)+1)*$J135))</f>
        <v/>
      </c>
      <c r="AA135" s="170">
        <f>IF(OR($B135="",AA$4&gt;$P135,EOMONTH(AA$4,0)&lt;$E135),0,MIN($H135,MAX(0,MIN(EOMONTH(AA$4,0),$P135)-MAX(AA$4,$E135)+1)*$J135))</f>
        <v/>
      </c>
      <c r="AB135" s="170">
        <f>IF(OR($B135="",AB$4&gt;$P135,EOMONTH(AB$4,0)&lt;$E135),0,MIN($H135,MAX(0,MIN(EOMONTH(AB$4,0),$P135)-MAX(AB$4,$E135)+1)*$J135))</f>
        <v/>
      </c>
      <c r="AC135" s="170">
        <f>IF(OR($B135="",AC$4&gt;$P135,EOMONTH(AC$4,0)&lt;$E135),0,MIN($H135,MAX(0,MIN(EOMONTH(AC$4,0),$P135)-MAX(AC$4,$E135)+1)*$J135))</f>
        <v/>
      </c>
      <c r="AD135" s="170">
        <f>IF(B135="","",ROUND(SUM(R135:AC135),0))</f>
        <v/>
      </c>
      <c r="AE135" s="170">
        <f>IF(B135="","",MIN(H135,ROUND(Q135+SUM(R135:AC135),0)))</f>
        <v/>
      </c>
      <c r="AF135" s="170">
        <f>IF(B135="","",MAX(H135-AE135,0))</f>
        <v/>
      </c>
      <c r="AG135" s="172">
        <f>IF(B135="","",IF('Thiết lập'!$B$4&lt;E135,"Chưa phân bổ",IF(P135&lt;='Thiết lập'!$B$4,"Đã phân bổ","Đang phân bổ")))</f>
        <v/>
      </c>
      <c r="AH135" s="166" t="n"/>
      <c r="AI135" s="174">
        <f>IF(B135="","",IF(AND(C135&lt;&gt;"",D135&lt;&gt;"",E135&lt;&gt;"",E135&gt;=D135,F135&gt;0,G135&gt;0,I135&gt;0,COUNTIF($B$7:$B$306,B135)=1),"OK",IF(C135="","Thiếu tên; ","")&amp;IF(D135="","Thiếu ngày tăng; ","")&amp;IF(E135="","Thiếu ngày bắt đầu; ","")&amp;IF(AND(D135&lt;&gt;"",E135&lt;&gt;"",E135&lt;D135),"Ngày bắt đầu &lt; ngày tăng; ","")&amp;IF(OR(F135="",F135&lt;=0),"Số lượng không hợp lệ; ","")&amp;IF(OR(G135="",G135&lt;=0),"Đơn giá không hợp lệ; ","")&amp;IF(OR(I135="",I135&lt;=0),"Số tháng không hợp lệ; ","")&amp;IF(COUNTIF($B$7:$B$306,B135)&gt;1,"Trùng mã CPTT; ","")))</f>
        <v/>
      </c>
    </row>
    <row r="136" ht="19.5" customHeight="1" s="98">
      <c r="A136" s="164">
        <f>IF(B136="","",ROW()-6)</f>
        <v/>
      </c>
      <c r="B136" s="165" t="n"/>
      <c r="C136" s="166" t="n"/>
      <c r="D136" s="167" t="n"/>
      <c r="E136" s="167" t="n"/>
      <c r="F136" s="168" t="n"/>
      <c r="G136" s="169" t="n"/>
      <c r="H136" s="170">
        <f>IF(OR(F136="",G136=""),"",F136*G136)</f>
        <v/>
      </c>
      <c r="I136" s="171" t="n"/>
      <c r="J136" s="170">
        <f>IF(OR(H136="",E136="",P136=""),"",H136/(P136-E136+1))</f>
        <v/>
      </c>
      <c r="K136" s="165" t="n"/>
      <c r="L136" s="172">
        <f>IF(B136="","",IF(AF136&lt;=0,"Đã phân bổ",IF(P136&lt;=EDATE('Thiết lập'!$B$4,12),"Ngắn hạn","Dài hạn")))</f>
        <v/>
      </c>
      <c r="M136" s="165" t="n"/>
      <c r="N136" s="165" t="n"/>
      <c r="O136" s="165" t="n"/>
      <c r="P136" s="173">
        <f>IF(OR(E136="",I136=""),"",EDATE(E136,I136)-1)</f>
        <v/>
      </c>
      <c r="Q136" s="170">
        <f>IF(OR(B136="",E136="",P136=""),0,MIN(H136,MAX(0,MIN(P136,DATE('Thiết lập'!$B$3-1,12,31))-E136+1)*J136))</f>
        <v/>
      </c>
      <c r="R136" s="170">
        <f>IF(OR($B136="",R$4&gt;$P136,EOMONTH(R$4,0)&lt;$E136),0,MIN($H136,MAX(0,MIN(EOMONTH(R$4,0),$P136)-MAX(R$4,$E136)+1)*$J136))</f>
        <v/>
      </c>
      <c r="S136" s="170">
        <f>IF(OR($B136="",S$4&gt;$P136,EOMONTH(S$4,0)&lt;$E136),0,MIN($H136,MAX(0,MIN(EOMONTH(S$4,0),$P136)-MAX(S$4,$E136)+1)*$J136))</f>
        <v/>
      </c>
      <c r="T136" s="170">
        <f>IF(OR($B136="",T$4&gt;$P136,EOMONTH(T$4,0)&lt;$E136),0,MIN($H136,MAX(0,MIN(EOMONTH(T$4,0),$P136)-MAX(T$4,$E136)+1)*$J136))</f>
        <v/>
      </c>
      <c r="U136" s="170">
        <f>IF(OR($B136="",U$4&gt;$P136,EOMONTH(U$4,0)&lt;$E136),0,MIN($H136,MAX(0,MIN(EOMONTH(U$4,0),$P136)-MAX(U$4,$E136)+1)*$J136))</f>
        <v/>
      </c>
      <c r="V136" s="170">
        <f>IF(OR($B136="",V$4&gt;$P136,EOMONTH(V$4,0)&lt;$E136),0,MIN($H136,MAX(0,MIN(EOMONTH(V$4,0),$P136)-MAX(V$4,$E136)+1)*$J136))</f>
        <v/>
      </c>
      <c r="W136" s="170">
        <f>IF(OR($B136="",W$4&gt;$P136,EOMONTH(W$4,0)&lt;$E136),0,MIN($H136,MAX(0,MIN(EOMONTH(W$4,0),$P136)-MAX(W$4,$E136)+1)*$J136))</f>
        <v/>
      </c>
      <c r="X136" s="170">
        <f>IF(OR($B136="",X$4&gt;$P136,EOMONTH(X$4,0)&lt;$E136),0,MIN($H136,MAX(0,MIN(EOMONTH(X$4,0),$P136)-MAX(X$4,$E136)+1)*$J136))</f>
        <v/>
      </c>
      <c r="Y136" s="170">
        <f>IF(OR($B136="",Y$4&gt;$P136,EOMONTH(Y$4,0)&lt;$E136),0,MIN($H136,MAX(0,MIN(EOMONTH(Y$4,0),$P136)-MAX(Y$4,$E136)+1)*$J136))</f>
        <v/>
      </c>
      <c r="Z136" s="170">
        <f>IF(OR($B136="",Z$4&gt;$P136,EOMONTH(Z$4,0)&lt;$E136),0,MIN($H136,MAX(0,MIN(EOMONTH(Z$4,0),$P136)-MAX(Z$4,$E136)+1)*$J136))</f>
        <v/>
      </c>
      <c r="AA136" s="170">
        <f>IF(OR($B136="",AA$4&gt;$P136,EOMONTH(AA$4,0)&lt;$E136),0,MIN($H136,MAX(0,MIN(EOMONTH(AA$4,0),$P136)-MAX(AA$4,$E136)+1)*$J136))</f>
        <v/>
      </c>
      <c r="AB136" s="170">
        <f>IF(OR($B136="",AB$4&gt;$P136,EOMONTH(AB$4,0)&lt;$E136),0,MIN($H136,MAX(0,MIN(EOMONTH(AB$4,0),$P136)-MAX(AB$4,$E136)+1)*$J136))</f>
        <v/>
      </c>
      <c r="AC136" s="170">
        <f>IF(OR($B136="",AC$4&gt;$P136,EOMONTH(AC$4,0)&lt;$E136),0,MIN($H136,MAX(0,MIN(EOMONTH(AC$4,0),$P136)-MAX(AC$4,$E136)+1)*$J136))</f>
        <v/>
      </c>
      <c r="AD136" s="170">
        <f>IF(B136="","",ROUND(SUM(R136:AC136),0))</f>
        <v/>
      </c>
      <c r="AE136" s="170">
        <f>IF(B136="","",MIN(H136,ROUND(Q136+SUM(R136:AC136),0)))</f>
        <v/>
      </c>
      <c r="AF136" s="170">
        <f>IF(B136="","",MAX(H136-AE136,0))</f>
        <v/>
      </c>
      <c r="AG136" s="172">
        <f>IF(B136="","",IF('Thiết lập'!$B$4&lt;E136,"Chưa phân bổ",IF(P136&lt;='Thiết lập'!$B$4,"Đã phân bổ","Đang phân bổ")))</f>
        <v/>
      </c>
      <c r="AH136" s="166" t="n"/>
      <c r="AI136" s="174">
        <f>IF(B136="","",IF(AND(C136&lt;&gt;"",D136&lt;&gt;"",E136&lt;&gt;"",E136&gt;=D136,F136&gt;0,G136&gt;0,I136&gt;0,COUNTIF($B$7:$B$306,B136)=1),"OK",IF(C136="","Thiếu tên; ","")&amp;IF(D136="","Thiếu ngày tăng; ","")&amp;IF(E136="","Thiếu ngày bắt đầu; ","")&amp;IF(AND(D136&lt;&gt;"",E136&lt;&gt;"",E136&lt;D136),"Ngày bắt đầu &lt; ngày tăng; ","")&amp;IF(OR(F136="",F136&lt;=0),"Số lượng không hợp lệ; ","")&amp;IF(OR(G136="",G136&lt;=0),"Đơn giá không hợp lệ; ","")&amp;IF(OR(I136="",I136&lt;=0),"Số tháng không hợp lệ; ","")&amp;IF(COUNTIF($B$7:$B$306,B136)&gt;1,"Trùng mã CPTT; ","")))</f>
        <v/>
      </c>
    </row>
    <row r="137" ht="19.5" customHeight="1" s="98">
      <c r="A137" s="164">
        <f>IF(B137="","",ROW()-6)</f>
        <v/>
      </c>
      <c r="B137" s="165" t="n"/>
      <c r="C137" s="166" t="n"/>
      <c r="D137" s="167" t="n"/>
      <c r="E137" s="167" t="n"/>
      <c r="F137" s="168" t="n"/>
      <c r="G137" s="169" t="n"/>
      <c r="H137" s="170">
        <f>IF(OR(F137="",G137=""),"",F137*G137)</f>
        <v/>
      </c>
      <c r="I137" s="171" t="n"/>
      <c r="J137" s="170">
        <f>IF(OR(H137="",E137="",P137=""),"",H137/(P137-E137+1))</f>
        <v/>
      </c>
      <c r="K137" s="165" t="n"/>
      <c r="L137" s="172">
        <f>IF(B137="","",IF(AF137&lt;=0,"Đã phân bổ",IF(P137&lt;=EDATE('Thiết lập'!$B$4,12),"Ngắn hạn","Dài hạn")))</f>
        <v/>
      </c>
      <c r="M137" s="165" t="n"/>
      <c r="N137" s="165" t="n"/>
      <c r="O137" s="165" t="n"/>
      <c r="P137" s="173">
        <f>IF(OR(E137="",I137=""),"",EDATE(E137,I137)-1)</f>
        <v/>
      </c>
      <c r="Q137" s="170">
        <f>IF(OR(B137="",E137="",P137=""),0,MIN(H137,MAX(0,MIN(P137,DATE('Thiết lập'!$B$3-1,12,31))-E137+1)*J137))</f>
        <v/>
      </c>
      <c r="R137" s="170">
        <f>IF(OR($B137="",R$4&gt;$P137,EOMONTH(R$4,0)&lt;$E137),0,MIN($H137,MAX(0,MIN(EOMONTH(R$4,0),$P137)-MAX(R$4,$E137)+1)*$J137))</f>
        <v/>
      </c>
      <c r="S137" s="170">
        <f>IF(OR($B137="",S$4&gt;$P137,EOMONTH(S$4,0)&lt;$E137),0,MIN($H137,MAX(0,MIN(EOMONTH(S$4,0),$P137)-MAX(S$4,$E137)+1)*$J137))</f>
        <v/>
      </c>
      <c r="T137" s="170">
        <f>IF(OR($B137="",T$4&gt;$P137,EOMONTH(T$4,0)&lt;$E137),0,MIN($H137,MAX(0,MIN(EOMONTH(T$4,0),$P137)-MAX(T$4,$E137)+1)*$J137))</f>
        <v/>
      </c>
      <c r="U137" s="170">
        <f>IF(OR($B137="",U$4&gt;$P137,EOMONTH(U$4,0)&lt;$E137),0,MIN($H137,MAX(0,MIN(EOMONTH(U$4,0),$P137)-MAX(U$4,$E137)+1)*$J137))</f>
        <v/>
      </c>
      <c r="V137" s="170">
        <f>IF(OR($B137="",V$4&gt;$P137,EOMONTH(V$4,0)&lt;$E137),0,MIN($H137,MAX(0,MIN(EOMONTH(V$4,0),$P137)-MAX(V$4,$E137)+1)*$J137))</f>
        <v/>
      </c>
      <c r="W137" s="170">
        <f>IF(OR($B137="",W$4&gt;$P137,EOMONTH(W$4,0)&lt;$E137),0,MIN($H137,MAX(0,MIN(EOMONTH(W$4,0),$P137)-MAX(W$4,$E137)+1)*$J137))</f>
        <v/>
      </c>
      <c r="X137" s="170">
        <f>IF(OR($B137="",X$4&gt;$P137,EOMONTH(X$4,0)&lt;$E137),0,MIN($H137,MAX(0,MIN(EOMONTH(X$4,0),$P137)-MAX(X$4,$E137)+1)*$J137))</f>
        <v/>
      </c>
      <c r="Y137" s="170">
        <f>IF(OR($B137="",Y$4&gt;$P137,EOMONTH(Y$4,0)&lt;$E137),0,MIN($H137,MAX(0,MIN(EOMONTH(Y$4,0),$P137)-MAX(Y$4,$E137)+1)*$J137))</f>
        <v/>
      </c>
      <c r="Z137" s="170">
        <f>IF(OR($B137="",Z$4&gt;$P137,EOMONTH(Z$4,0)&lt;$E137),0,MIN($H137,MAX(0,MIN(EOMONTH(Z$4,0),$P137)-MAX(Z$4,$E137)+1)*$J137))</f>
        <v/>
      </c>
      <c r="AA137" s="170">
        <f>IF(OR($B137="",AA$4&gt;$P137,EOMONTH(AA$4,0)&lt;$E137),0,MIN($H137,MAX(0,MIN(EOMONTH(AA$4,0),$P137)-MAX(AA$4,$E137)+1)*$J137))</f>
        <v/>
      </c>
      <c r="AB137" s="170">
        <f>IF(OR($B137="",AB$4&gt;$P137,EOMONTH(AB$4,0)&lt;$E137),0,MIN($H137,MAX(0,MIN(EOMONTH(AB$4,0),$P137)-MAX(AB$4,$E137)+1)*$J137))</f>
        <v/>
      </c>
      <c r="AC137" s="170">
        <f>IF(OR($B137="",AC$4&gt;$P137,EOMONTH(AC$4,0)&lt;$E137),0,MIN($H137,MAX(0,MIN(EOMONTH(AC$4,0),$P137)-MAX(AC$4,$E137)+1)*$J137))</f>
        <v/>
      </c>
      <c r="AD137" s="170">
        <f>IF(B137="","",ROUND(SUM(R137:AC137),0))</f>
        <v/>
      </c>
      <c r="AE137" s="170">
        <f>IF(B137="","",MIN(H137,ROUND(Q137+SUM(R137:AC137),0)))</f>
        <v/>
      </c>
      <c r="AF137" s="170">
        <f>IF(B137="","",MAX(H137-AE137,0))</f>
        <v/>
      </c>
      <c r="AG137" s="172">
        <f>IF(B137="","",IF('Thiết lập'!$B$4&lt;E137,"Chưa phân bổ",IF(P137&lt;='Thiết lập'!$B$4,"Đã phân bổ","Đang phân bổ")))</f>
        <v/>
      </c>
      <c r="AH137" s="166" t="n"/>
      <c r="AI137" s="174">
        <f>IF(B137="","",IF(AND(C137&lt;&gt;"",D137&lt;&gt;"",E137&lt;&gt;"",E137&gt;=D137,F137&gt;0,G137&gt;0,I137&gt;0,COUNTIF($B$7:$B$306,B137)=1),"OK",IF(C137="","Thiếu tên; ","")&amp;IF(D137="","Thiếu ngày tăng; ","")&amp;IF(E137="","Thiếu ngày bắt đầu; ","")&amp;IF(AND(D137&lt;&gt;"",E137&lt;&gt;"",E137&lt;D137),"Ngày bắt đầu &lt; ngày tăng; ","")&amp;IF(OR(F137="",F137&lt;=0),"Số lượng không hợp lệ; ","")&amp;IF(OR(G137="",G137&lt;=0),"Đơn giá không hợp lệ; ","")&amp;IF(OR(I137="",I137&lt;=0),"Số tháng không hợp lệ; ","")&amp;IF(COUNTIF($B$7:$B$306,B137)&gt;1,"Trùng mã CPTT; ","")))</f>
        <v/>
      </c>
    </row>
    <row r="138" ht="19.5" customHeight="1" s="98">
      <c r="A138" s="164">
        <f>IF(B138="","",ROW()-6)</f>
        <v/>
      </c>
      <c r="B138" s="165" t="n"/>
      <c r="C138" s="166" t="n"/>
      <c r="D138" s="167" t="n"/>
      <c r="E138" s="167" t="n"/>
      <c r="F138" s="168" t="n"/>
      <c r="G138" s="169" t="n"/>
      <c r="H138" s="170">
        <f>IF(OR(F138="",G138=""),"",F138*G138)</f>
        <v/>
      </c>
      <c r="I138" s="171" t="n"/>
      <c r="J138" s="170">
        <f>IF(OR(H138="",E138="",P138=""),"",H138/(P138-E138+1))</f>
        <v/>
      </c>
      <c r="K138" s="165" t="n"/>
      <c r="L138" s="172">
        <f>IF(B138="","",IF(AF138&lt;=0,"Đã phân bổ",IF(P138&lt;=EDATE('Thiết lập'!$B$4,12),"Ngắn hạn","Dài hạn")))</f>
        <v/>
      </c>
      <c r="M138" s="165" t="n"/>
      <c r="N138" s="165" t="n"/>
      <c r="O138" s="165" t="n"/>
      <c r="P138" s="173">
        <f>IF(OR(E138="",I138=""),"",EDATE(E138,I138)-1)</f>
        <v/>
      </c>
      <c r="Q138" s="170">
        <f>IF(OR(B138="",E138="",P138=""),0,MIN(H138,MAX(0,MIN(P138,DATE('Thiết lập'!$B$3-1,12,31))-E138+1)*J138))</f>
        <v/>
      </c>
      <c r="R138" s="170">
        <f>IF(OR($B138="",R$4&gt;$P138,EOMONTH(R$4,0)&lt;$E138),0,MIN($H138,MAX(0,MIN(EOMONTH(R$4,0),$P138)-MAX(R$4,$E138)+1)*$J138))</f>
        <v/>
      </c>
      <c r="S138" s="170">
        <f>IF(OR($B138="",S$4&gt;$P138,EOMONTH(S$4,0)&lt;$E138),0,MIN($H138,MAX(0,MIN(EOMONTH(S$4,0),$P138)-MAX(S$4,$E138)+1)*$J138))</f>
        <v/>
      </c>
      <c r="T138" s="170">
        <f>IF(OR($B138="",T$4&gt;$P138,EOMONTH(T$4,0)&lt;$E138),0,MIN($H138,MAX(0,MIN(EOMONTH(T$4,0),$P138)-MAX(T$4,$E138)+1)*$J138))</f>
        <v/>
      </c>
      <c r="U138" s="170">
        <f>IF(OR($B138="",U$4&gt;$P138,EOMONTH(U$4,0)&lt;$E138),0,MIN($H138,MAX(0,MIN(EOMONTH(U$4,0),$P138)-MAX(U$4,$E138)+1)*$J138))</f>
        <v/>
      </c>
      <c r="V138" s="170">
        <f>IF(OR($B138="",V$4&gt;$P138,EOMONTH(V$4,0)&lt;$E138),0,MIN($H138,MAX(0,MIN(EOMONTH(V$4,0),$P138)-MAX(V$4,$E138)+1)*$J138))</f>
        <v/>
      </c>
      <c r="W138" s="170">
        <f>IF(OR($B138="",W$4&gt;$P138,EOMONTH(W$4,0)&lt;$E138),0,MIN($H138,MAX(0,MIN(EOMONTH(W$4,0),$P138)-MAX(W$4,$E138)+1)*$J138))</f>
        <v/>
      </c>
      <c r="X138" s="170">
        <f>IF(OR($B138="",X$4&gt;$P138,EOMONTH(X$4,0)&lt;$E138),0,MIN($H138,MAX(0,MIN(EOMONTH(X$4,0),$P138)-MAX(X$4,$E138)+1)*$J138))</f>
        <v/>
      </c>
      <c r="Y138" s="170">
        <f>IF(OR($B138="",Y$4&gt;$P138,EOMONTH(Y$4,0)&lt;$E138),0,MIN($H138,MAX(0,MIN(EOMONTH(Y$4,0),$P138)-MAX(Y$4,$E138)+1)*$J138))</f>
        <v/>
      </c>
      <c r="Z138" s="170">
        <f>IF(OR($B138="",Z$4&gt;$P138,EOMONTH(Z$4,0)&lt;$E138),0,MIN($H138,MAX(0,MIN(EOMONTH(Z$4,0),$P138)-MAX(Z$4,$E138)+1)*$J138))</f>
        <v/>
      </c>
      <c r="AA138" s="170">
        <f>IF(OR($B138="",AA$4&gt;$P138,EOMONTH(AA$4,0)&lt;$E138),0,MIN($H138,MAX(0,MIN(EOMONTH(AA$4,0),$P138)-MAX(AA$4,$E138)+1)*$J138))</f>
        <v/>
      </c>
      <c r="AB138" s="170">
        <f>IF(OR($B138="",AB$4&gt;$P138,EOMONTH(AB$4,0)&lt;$E138),0,MIN($H138,MAX(0,MIN(EOMONTH(AB$4,0),$P138)-MAX(AB$4,$E138)+1)*$J138))</f>
        <v/>
      </c>
      <c r="AC138" s="170">
        <f>IF(OR($B138="",AC$4&gt;$P138,EOMONTH(AC$4,0)&lt;$E138),0,MIN($H138,MAX(0,MIN(EOMONTH(AC$4,0),$P138)-MAX(AC$4,$E138)+1)*$J138))</f>
        <v/>
      </c>
      <c r="AD138" s="170">
        <f>IF(B138="","",ROUND(SUM(R138:AC138),0))</f>
        <v/>
      </c>
      <c r="AE138" s="170">
        <f>IF(B138="","",MIN(H138,ROUND(Q138+SUM(R138:AC138),0)))</f>
        <v/>
      </c>
      <c r="AF138" s="170">
        <f>IF(B138="","",MAX(H138-AE138,0))</f>
        <v/>
      </c>
      <c r="AG138" s="172">
        <f>IF(B138="","",IF('Thiết lập'!$B$4&lt;E138,"Chưa phân bổ",IF(P138&lt;='Thiết lập'!$B$4,"Đã phân bổ","Đang phân bổ")))</f>
        <v/>
      </c>
      <c r="AH138" s="166" t="n"/>
      <c r="AI138" s="174">
        <f>IF(B138="","",IF(AND(C138&lt;&gt;"",D138&lt;&gt;"",E138&lt;&gt;"",E138&gt;=D138,F138&gt;0,G138&gt;0,I138&gt;0,COUNTIF($B$7:$B$306,B138)=1),"OK",IF(C138="","Thiếu tên; ","")&amp;IF(D138="","Thiếu ngày tăng; ","")&amp;IF(E138="","Thiếu ngày bắt đầu; ","")&amp;IF(AND(D138&lt;&gt;"",E138&lt;&gt;"",E138&lt;D138),"Ngày bắt đầu &lt; ngày tăng; ","")&amp;IF(OR(F138="",F138&lt;=0),"Số lượng không hợp lệ; ","")&amp;IF(OR(G138="",G138&lt;=0),"Đơn giá không hợp lệ; ","")&amp;IF(OR(I138="",I138&lt;=0),"Số tháng không hợp lệ; ","")&amp;IF(COUNTIF($B$7:$B$306,B138)&gt;1,"Trùng mã CPTT; ","")))</f>
        <v/>
      </c>
    </row>
    <row r="139" ht="19.5" customHeight="1" s="98">
      <c r="A139" s="164">
        <f>IF(B139="","",ROW()-6)</f>
        <v/>
      </c>
      <c r="B139" s="165" t="n"/>
      <c r="C139" s="166" t="n"/>
      <c r="D139" s="167" t="n"/>
      <c r="E139" s="167" t="n"/>
      <c r="F139" s="168" t="n"/>
      <c r="G139" s="169" t="n"/>
      <c r="H139" s="170">
        <f>IF(OR(F139="",G139=""),"",F139*G139)</f>
        <v/>
      </c>
      <c r="I139" s="171" t="n"/>
      <c r="J139" s="170">
        <f>IF(OR(H139="",E139="",P139=""),"",H139/(P139-E139+1))</f>
        <v/>
      </c>
      <c r="K139" s="165" t="n"/>
      <c r="L139" s="172">
        <f>IF(B139="","",IF(AF139&lt;=0,"Đã phân bổ",IF(P139&lt;=EDATE('Thiết lập'!$B$4,12),"Ngắn hạn","Dài hạn")))</f>
        <v/>
      </c>
      <c r="M139" s="165" t="n"/>
      <c r="N139" s="165" t="n"/>
      <c r="O139" s="165" t="n"/>
      <c r="P139" s="173">
        <f>IF(OR(E139="",I139=""),"",EDATE(E139,I139)-1)</f>
        <v/>
      </c>
      <c r="Q139" s="170">
        <f>IF(OR(B139="",E139="",P139=""),0,MIN(H139,MAX(0,MIN(P139,DATE('Thiết lập'!$B$3-1,12,31))-E139+1)*J139))</f>
        <v/>
      </c>
      <c r="R139" s="170">
        <f>IF(OR($B139="",R$4&gt;$P139,EOMONTH(R$4,0)&lt;$E139),0,MIN($H139,MAX(0,MIN(EOMONTH(R$4,0),$P139)-MAX(R$4,$E139)+1)*$J139))</f>
        <v/>
      </c>
      <c r="S139" s="170">
        <f>IF(OR($B139="",S$4&gt;$P139,EOMONTH(S$4,0)&lt;$E139),0,MIN($H139,MAX(0,MIN(EOMONTH(S$4,0),$P139)-MAX(S$4,$E139)+1)*$J139))</f>
        <v/>
      </c>
      <c r="T139" s="170">
        <f>IF(OR($B139="",T$4&gt;$P139,EOMONTH(T$4,0)&lt;$E139),0,MIN($H139,MAX(0,MIN(EOMONTH(T$4,0),$P139)-MAX(T$4,$E139)+1)*$J139))</f>
        <v/>
      </c>
      <c r="U139" s="170">
        <f>IF(OR($B139="",U$4&gt;$P139,EOMONTH(U$4,0)&lt;$E139),0,MIN($H139,MAX(0,MIN(EOMONTH(U$4,0),$P139)-MAX(U$4,$E139)+1)*$J139))</f>
        <v/>
      </c>
      <c r="V139" s="170">
        <f>IF(OR($B139="",V$4&gt;$P139,EOMONTH(V$4,0)&lt;$E139),0,MIN($H139,MAX(0,MIN(EOMONTH(V$4,0),$P139)-MAX(V$4,$E139)+1)*$J139))</f>
        <v/>
      </c>
      <c r="W139" s="170">
        <f>IF(OR($B139="",W$4&gt;$P139,EOMONTH(W$4,0)&lt;$E139),0,MIN($H139,MAX(0,MIN(EOMONTH(W$4,0),$P139)-MAX(W$4,$E139)+1)*$J139))</f>
        <v/>
      </c>
      <c r="X139" s="170">
        <f>IF(OR($B139="",X$4&gt;$P139,EOMONTH(X$4,0)&lt;$E139),0,MIN($H139,MAX(0,MIN(EOMONTH(X$4,0),$P139)-MAX(X$4,$E139)+1)*$J139))</f>
        <v/>
      </c>
      <c r="Y139" s="170">
        <f>IF(OR($B139="",Y$4&gt;$P139,EOMONTH(Y$4,0)&lt;$E139),0,MIN($H139,MAX(0,MIN(EOMONTH(Y$4,0),$P139)-MAX(Y$4,$E139)+1)*$J139))</f>
        <v/>
      </c>
      <c r="Z139" s="170">
        <f>IF(OR($B139="",Z$4&gt;$P139,EOMONTH(Z$4,0)&lt;$E139),0,MIN($H139,MAX(0,MIN(EOMONTH(Z$4,0),$P139)-MAX(Z$4,$E139)+1)*$J139))</f>
        <v/>
      </c>
      <c r="AA139" s="170">
        <f>IF(OR($B139="",AA$4&gt;$P139,EOMONTH(AA$4,0)&lt;$E139),0,MIN($H139,MAX(0,MIN(EOMONTH(AA$4,0),$P139)-MAX(AA$4,$E139)+1)*$J139))</f>
        <v/>
      </c>
      <c r="AB139" s="170">
        <f>IF(OR($B139="",AB$4&gt;$P139,EOMONTH(AB$4,0)&lt;$E139),0,MIN($H139,MAX(0,MIN(EOMONTH(AB$4,0),$P139)-MAX(AB$4,$E139)+1)*$J139))</f>
        <v/>
      </c>
      <c r="AC139" s="170">
        <f>IF(OR($B139="",AC$4&gt;$P139,EOMONTH(AC$4,0)&lt;$E139),0,MIN($H139,MAX(0,MIN(EOMONTH(AC$4,0),$P139)-MAX(AC$4,$E139)+1)*$J139))</f>
        <v/>
      </c>
      <c r="AD139" s="170">
        <f>IF(B139="","",ROUND(SUM(R139:AC139),0))</f>
        <v/>
      </c>
      <c r="AE139" s="170">
        <f>IF(B139="","",MIN(H139,ROUND(Q139+SUM(R139:AC139),0)))</f>
        <v/>
      </c>
      <c r="AF139" s="170">
        <f>IF(B139="","",MAX(H139-AE139,0))</f>
        <v/>
      </c>
      <c r="AG139" s="172">
        <f>IF(B139="","",IF('Thiết lập'!$B$4&lt;E139,"Chưa phân bổ",IF(P139&lt;='Thiết lập'!$B$4,"Đã phân bổ","Đang phân bổ")))</f>
        <v/>
      </c>
      <c r="AH139" s="166" t="n"/>
      <c r="AI139" s="174">
        <f>IF(B139="","",IF(AND(C139&lt;&gt;"",D139&lt;&gt;"",E139&lt;&gt;"",E139&gt;=D139,F139&gt;0,G139&gt;0,I139&gt;0,COUNTIF($B$7:$B$306,B139)=1),"OK",IF(C139="","Thiếu tên; ","")&amp;IF(D139="","Thiếu ngày tăng; ","")&amp;IF(E139="","Thiếu ngày bắt đầu; ","")&amp;IF(AND(D139&lt;&gt;"",E139&lt;&gt;"",E139&lt;D139),"Ngày bắt đầu &lt; ngày tăng; ","")&amp;IF(OR(F139="",F139&lt;=0),"Số lượng không hợp lệ; ","")&amp;IF(OR(G139="",G139&lt;=0),"Đơn giá không hợp lệ; ","")&amp;IF(OR(I139="",I139&lt;=0),"Số tháng không hợp lệ; ","")&amp;IF(COUNTIF($B$7:$B$306,B139)&gt;1,"Trùng mã CPTT; ","")))</f>
        <v/>
      </c>
    </row>
    <row r="140" ht="19.5" customHeight="1" s="98">
      <c r="A140" s="164">
        <f>IF(B140="","",ROW()-6)</f>
        <v/>
      </c>
      <c r="B140" s="165" t="n"/>
      <c r="C140" s="166" t="n"/>
      <c r="D140" s="167" t="n"/>
      <c r="E140" s="167" t="n"/>
      <c r="F140" s="168" t="n"/>
      <c r="G140" s="169" t="n"/>
      <c r="H140" s="170">
        <f>IF(OR(F140="",G140=""),"",F140*G140)</f>
        <v/>
      </c>
      <c r="I140" s="171" t="n"/>
      <c r="J140" s="170">
        <f>IF(OR(H140="",E140="",P140=""),"",H140/(P140-E140+1))</f>
        <v/>
      </c>
      <c r="K140" s="165" t="n"/>
      <c r="L140" s="172">
        <f>IF(B140="","",IF(AF140&lt;=0,"Đã phân bổ",IF(P140&lt;=EDATE('Thiết lập'!$B$4,12),"Ngắn hạn","Dài hạn")))</f>
        <v/>
      </c>
      <c r="M140" s="165" t="n"/>
      <c r="N140" s="165" t="n"/>
      <c r="O140" s="165" t="n"/>
      <c r="P140" s="173">
        <f>IF(OR(E140="",I140=""),"",EDATE(E140,I140)-1)</f>
        <v/>
      </c>
      <c r="Q140" s="170">
        <f>IF(OR(B140="",E140="",P140=""),0,MIN(H140,MAX(0,MIN(P140,DATE('Thiết lập'!$B$3-1,12,31))-E140+1)*J140))</f>
        <v/>
      </c>
      <c r="R140" s="170">
        <f>IF(OR($B140="",R$4&gt;$P140,EOMONTH(R$4,0)&lt;$E140),0,MIN($H140,MAX(0,MIN(EOMONTH(R$4,0),$P140)-MAX(R$4,$E140)+1)*$J140))</f>
        <v/>
      </c>
      <c r="S140" s="170">
        <f>IF(OR($B140="",S$4&gt;$P140,EOMONTH(S$4,0)&lt;$E140),0,MIN($H140,MAX(0,MIN(EOMONTH(S$4,0),$P140)-MAX(S$4,$E140)+1)*$J140))</f>
        <v/>
      </c>
      <c r="T140" s="170">
        <f>IF(OR($B140="",T$4&gt;$P140,EOMONTH(T$4,0)&lt;$E140),0,MIN($H140,MAX(0,MIN(EOMONTH(T$4,0),$P140)-MAX(T$4,$E140)+1)*$J140))</f>
        <v/>
      </c>
      <c r="U140" s="170">
        <f>IF(OR($B140="",U$4&gt;$P140,EOMONTH(U$4,0)&lt;$E140),0,MIN($H140,MAX(0,MIN(EOMONTH(U$4,0),$P140)-MAX(U$4,$E140)+1)*$J140))</f>
        <v/>
      </c>
      <c r="V140" s="170">
        <f>IF(OR($B140="",V$4&gt;$P140,EOMONTH(V$4,0)&lt;$E140),0,MIN($H140,MAX(0,MIN(EOMONTH(V$4,0),$P140)-MAX(V$4,$E140)+1)*$J140))</f>
        <v/>
      </c>
      <c r="W140" s="170">
        <f>IF(OR($B140="",W$4&gt;$P140,EOMONTH(W$4,0)&lt;$E140),0,MIN($H140,MAX(0,MIN(EOMONTH(W$4,0),$P140)-MAX(W$4,$E140)+1)*$J140))</f>
        <v/>
      </c>
      <c r="X140" s="170">
        <f>IF(OR($B140="",X$4&gt;$P140,EOMONTH(X$4,0)&lt;$E140),0,MIN($H140,MAX(0,MIN(EOMONTH(X$4,0),$P140)-MAX(X$4,$E140)+1)*$J140))</f>
        <v/>
      </c>
      <c r="Y140" s="170">
        <f>IF(OR($B140="",Y$4&gt;$P140,EOMONTH(Y$4,0)&lt;$E140),0,MIN($H140,MAX(0,MIN(EOMONTH(Y$4,0),$P140)-MAX(Y$4,$E140)+1)*$J140))</f>
        <v/>
      </c>
      <c r="Z140" s="170">
        <f>IF(OR($B140="",Z$4&gt;$P140,EOMONTH(Z$4,0)&lt;$E140),0,MIN($H140,MAX(0,MIN(EOMONTH(Z$4,0),$P140)-MAX(Z$4,$E140)+1)*$J140))</f>
        <v/>
      </c>
      <c r="AA140" s="170">
        <f>IF(OR($B140="",AA$4&gt;$P140,EOMONTH(AA$4,0)&lt;$E140),0,MIN($H140,MAX(0,MIN(EOMONTH(AA$4,0),$P140)-MAX(AA$4,$E140)+1)*$J140))</f>
        <v/>
      </c>
      <c r="AB140" s="170">
        <f>IF(OR($B140="",AB$4&gt;$P140,EOMONTH(AB$4,0)&lt;$E140),0,MIN($H140,MAX(0,MIN(EOMONTH(AB$4,0),$P140)-MAX(AB$4,$E140)+1)*$J140))</f>
        <v/>
      </c>
      <c r="AC140" s="170">
        <f>IF(OR($B140="",AC$4&gt;$P140,EOMONTH(AC$4,0)&lt;$E140),0,MIN($H140,MAX(0,MIN(EOMONTH(AC$4,0),$P140)-MAX(AC$4,$E140)+1)*$J140))</f>
        <v/>
      </c>
      <c r="AD140" s="170">
        <f>IF(B140="","",ROUND(SUM(R140:AC140),0))</f>
        <v/>
      </c>
      <c r="AE140" s="170">
        <f>IF(B140="","",MIN(H140,ROUND(Q140+SUM(R140:AC140),0)))</f>
        <v/>
      </c>
      <c r="AF140" s="170">
        <f>IF(B140="","",MAX(H140-AE140,0))</f>
        <v/>
      </c>
      <c r="AG140" s="172">
        <f>IF(B140="","",IF('Thiết lập'!$B$4&lt;E140,"Chưa phân bổ",IF(P140&lt;='Thiết lập'!$B$4,"Đã phân bổ","Đang phân bổ")))</f>
        <v/>
      </c>
      <c r="AH140" s="166" t="n"/>
      <c r="AI140" s="174">
        <f>IF(B140="","",IF(AND(C140&lt;&gt;"",D140&lt;&gt;"",E140&lt;&gt;"",E140&gt;=D140,F140&gt;0,G140&gt;0,I140&gt;0,COUNTIF($B$7:$B$306,B140)=1),"OK",IF(C140="","Thiếu tên; ","")&amp;IF(D140="","Thiếu ngày tăng; ","")&amp;IF(E140="","Thiếu ngày bắt đầu; ","")&amp;IF(AND(D140&lt;&gt;"",E140&lt;&gt;"",E140&lt;D140),"Ngày bắt đầu &lt; ngày tăng; ","")&amp;IF(OR(F140="",F140&lt;=0),"Số lượng không hợp lệ; ","")&amp;IF(OR(G140="",G140&lt;=0),"Đơn giá không hợp lệ; ","")&amp;IF(OR(I140="",I140&lt;=0),"Số tháng không hợp lệ; ","")&amp;IF(COUNTIF($B$7:$B$306,B140)&gt;1,"Trùng mã CPTT; ","")))</f>
        <v/>
      </c>
    </row>
    <row r="141" ht="19.5" customHeight="1" s="98">
      <c r="A141" s="164">
        <f>IF(B141="","",ROW()-6)</f>
        <v/>
      </c>
      <c r="B141" s="165" t="n"/>
      <c r="C141" s="166" t="n"/>
      <c r="D141" s="167" t="n"/>
      <c r="E141" s="167" t="n"/>
      <c r="F141" s="168" t="n"/>
      <c r="G141" s="169" t="n"/>
      <c r="H141" s="170">
        <f>IF(OR(F141="",G141=""),"",F141*G141)</f>
        <v/>
      </c>
      <c r="I141" s="171" t="n"/>
      <c r="J141" s="170">
        <f>IF(OR(H141="",E141="",P141=""),"",H141/(P141-E141+1))</f>
        <v/>
      </c>
      <c r="K141" s="165" t="n"/>
      <c r="L141" s="172">
        <f>IF(B141="","",IF(AF141&lt;=0,"Đã phân bổ",IF(P141&lt;=EDATE('Thiết lập'!$B$4,12),"Ngắn hạn","Dài hạn")))</f>
        <v/>
      </c>
      <c r="M141" s="165" t="n"/>
      <c r="N141" s="165" t="n"/>
      <c r="O141" s="165" t="n"/>
      <c r="P141" s="173">
        <f>IF(OR(E141="",I141=""),"",EDATE(E141,I141)-1)</f>
        <v/>
      </c>
      <c r="Q141" s="170">
        <f>IF(OR(B141="",E141="",P141=""),0,MIN(H141,MAX(0,MIN(P141,DATE('Thiết lập'!$B$3-1,12,31))-E141+1)*J141))</f>
        <v/>
      </c>
      <c r="R141" s="170">
        <f>IF(OR($B141="",R$4&gt;$P141,EOMONTH(R$4,0)&lt;$E141),0,MIN($H141,MAX(0,MIN(EOMONTH(R$4,0),$P141)-MAX(R$4,$E141)+1)*$J141))</f>
        <v/>
      </c>
      <c r="S141" s="170">
        <f>IF(OR($B141="",S$4&gt;$P141,EOMONTH(S$4,0)&lt;$E141),0,MIN($H141,MAX(0,MIN(EOMONTH(S$4,0),$P141)-MAX(S$4,$E141)+1)*$J141))</f>
        <v/>
      </c>
      <c r="T141" s="170">
        <f>IF(OR($B141="",T$4&gt;$P141,EOMONTH(T$4,0)&lt;$E141),0,MIN($H141,MAX(0,MIN(EOMONTH(T$4,0),$P141)-MAX(T$4,$E141)+1)*$J141))</f>
        <v/>
      </c>
      <c r="U141" s="170">
        <f>IF(OR($B141="",U$4&gt;$P141,EOMONTH(U$4,0)&lt;$E141),0,MIN($H141,MAX(0,MIN(EOMONTH(U$4,0),$P141)-MAX(U$4,$E141)+1)*$J141))</f>
        <v/>
      </c>
      <c r="V141" s="170">
        <f>IF(OR($B141="",V$4&gt;$P141,EOMONTH(V$4,0)&lt;$E141),0,MIN($H141,MAX(0,MIN(EOMONTH(V$4,0),$P141)-MAX(V$4,$E141)+1)*$J141))</f>
        <v/>
      </c>
      <c r="W141" s="170">
        <f>IF(OR($B141="",W$4&gt;$P141,EOMONTH(W$4,0)&lt;$E141),0,MIN($H141,MAX(0,MIN(EOMONTH(W$4,0),$P141)-MAX(W$4,$E141)+1)*$J141))</f>
        <v/>
      </c>
      <c r="X141" s="170">
        <f>IF(OR($B141="",X$4&gt;$P141,EOMONTH(X$4,0)&lt;$E141),0,MIN($H141,MAX(0,MIN(EOMONTH(X$4,0),$P141)-MAX(X$4,$E141)+1)*$J141))</f>
        <v/>
      </c>
      <c r="Y141" s="170">
        <f>IF(OR($B141="",Y$4&gt;$P141,EOMONTH(Y$4,0)&lt;$E141),0,MIN($H141,MAX(0,MIN(EOMONTH(Y$4,0),$P141)-MAX(Y$4,$E141)+1)*$J141))</f>
        <v/>
      </c>
      <c r="Z141" s="170">
        <f>IF(OR($B141="",Z$4&gt;$P141,EOMONTH(Z$4,0)&lt;$E141),0,MIN($H141,MAX(0,MIN(EOMONTH(Z$4,0),$P141)-MAX(Z$4,$E141)+1)*$J141))</f>
        <v/>
      </c>
      <c r="AA141" s="170">
        <f>IF(OR($B141="",AA$4&gt;$P141,EOMONTH(AA$4,0)&lt;$E141),0,MIN($H141,MAX(0,MIN(EOMONTH(AA$4,0),$P141)-MAX(AA$4,$E141)+1)*$J141))</f>
        <v/>
      </c>
      <c r="AB141" s="170">
        <f>IF(OR($B141="",AB$4&gt;$P141,EOMONTH(AB$4,0)&lt;$E141),0,MIN($H141,MAX(0,MIN(EOMONTH(AB$4,0),$P141)-MAX(AB$4,$E141)+1)*$J141))</f>
        <v/>
      </c>
      <c r="AC141" s="170">
        <f>IF(OR($B141="",AC$4&gt;$P141,EOMONTH(AC$4,0)&lt;$E141),0,MIN($H141,MAX(0,MIN(EOMONTH(AC$4,0),$P141)-MAX(AC$4,$E141)+1)*$J141))</f>
        <v/>
      </c>
      <c r="AD141" s="170">
        <f>IF(B141="","",ROUND(SUM(R141:AC141),0))</f>
        <v/>
      </c>
      <c r="AE141" s="170">
        <f>IF(B141="","",MIN(H141,ROUND(Q141+SUM(R141:AC141),0)))</f>
        <v/>
      </c>
      <c r="AF141" s="170">
        <f>IF(B141="","",MAX(H141-AE141,0))</f>
        <v/>
      </c>
      <c r="AG141" s="172">
        <f>IF(B141="","",IF('Thiết lập'!$B$4&lt;E141,"Chưa phân bổ",IF(P141&lt;='Thiết lập'!$B$4,"Đã phân bổ","Đang phân bổ")))</f>
        <v/>
      </c>
      <c r="AH141" s="166" t="n"/>
      <c r="AI141" s="174">
        <f>IF(B141="","",IF(AND(C141&lt;&gt;"",D141&lt;&gt;"",E141&lt;&gt;"",E141&gt;=D141,F141&gt;0,G141&gt;0,I141&gt;0,COUNTIF($B$7:$B$306,B141)=1),"OK",IF(C141="","Thiếu tên; ","")&amp;IF(D141="","Thiếu ngày tăng; ","")&amp;IF(E141="","Thiếu ngày bắt đầu; ","")&amp;IF(AND(D141&lt;&gt;"",E141&lt;&gt;"",E141&lt;D141),"Ngày bắt đầu &lt; ngày tăng; ","")&amp;IF(OR(F141="",F141&lt;=0),"Số lượng không hợp lệ; ","")&amp;IF(OR(G141="",G141&lt;=0),"Đơn giá không hợp lệ; ","")&amp;IF(OR(I141="",I141&lt;=0),"Số tháng không hợp lệ; ","")&amp;IF(COUNTIF($B$7:$B$306,B141)&gt;1,"Trùng mã CPTT; ","")))</f>
        <v/>
      </c>
    </row>
    <row r="142" ht="19.5" customHeight="1" s="98">
      <c r="A142" s="164">
        <f>IF(B142="","",ROW()-6)</f>
        <v/>
      </c>
      <c r="B142" s="165" t="n"/>
      <c r="C142" s="166" t="n"/>
      <c r="D142" s="167" t="n"/>
      <c r="E142" s="167" t="n"/>
      <c r="F142" s="168" t="n"/>
      <c r="G142" s="169" t="n"/>
      <c r="H142" s="170">
        <f>IF(OR(F142="",G142=""),"",F142*G142)</f>
        <v/>
      </c>
      <c r="I142" s="171" t="n"/>
      <c r="J142" s="170">
        <f>IF(OR(H142="",E142="",P142=""),"",H142/(P142-E142+1))</f>
        <v/>
      </c>
      <c r="K142" s="165" t="n"/>
      <c r="L142" s="172">
        <f>IF(B142="","",IF(AF142&lt;=0,"Đã phân bổ",IF(P142&lt;=EDATE('Thiết lập'!$B$4,12),"Ngắn hạn","Dài hạn")))</f>
        <v/>
      </c>
      <c r="M142" s="165" t="n"/>
      <c r="N142" s="165" t="n"/>
      <c r="O142" s="165" t="n"/>
      <c r="P142" s="173">
        <f>IF(OR(E142="",I142=""),"",EDATE(E142,I142)-1)</f>
        <v/>
      </c>
      <c r="Q142" s="170">
        <f>IF(OR(B142="",E142="",P142=""),0,MIN(H142,MAX(0,MIN(P142,DATE('Thiết lập'!$B$3-1,12,31))-E142+1)*J142))</f>
        <v/>
      </c>
      <c r="R142" s="170">
        <f>IF(OR($B142="",R$4&gt;$P142,EOMONTH(R$4,0)&lt;$E142),0,MIN($H142,MAX(0,MIN(EOMONTH(R$4,0),$P142)-MAX(R$4,$E142)+1)*$J142))</f>
        <v/>
      </c>
      <c r="S142" s="170">
        <f>IF(OR($B142="",S$4&gt;$P142,EOMONTH(S$4,0)&lt;$E142),0,MIN($H142,MAX(0,MIN(EOMONTH(S$4,0),$P142)-MAX(S$4,$E142)+1)*$J142))</f>
        <v/>
      </c>
      <c r="T142" s="170">
        <f>IF(OR($B142="",T$4&gt;$P142,EOMONTH(T$4,0)&lt;$E142),0,MIN($H142,MAX(0,MIN(EOMONTH(T$4,0),$P142)-MAX(T$4,$E142)+1)*$J142))</f>
        <v/>
      </c>
      <c r="U142" s="170">
        <f>IF(OR($B142="",U$4&gt;$P142,EOMONTH(U$4,0)&lt;$E142),0,MIN($H142,MAX(0,MIN(EOMONTH(U$4,0),$P142)-MAX(U$4,$E142)+1)*$J142))</f>
        <v/>
      </c>
      <c r="V142" s="170">
        <f>IF(OR($B142="",V$4&gt;$P142,EOMONTH(V$4,0)&lt;$E142),0,MIN($H142,MAX(0,MIN(EOMONTH(V$4,0),$P142)-MAX(V$4,$E142)+1)*$J142))</f>
        <v/>
      </c>
      <c r="W142" s="170">
        <f>IF(OR($B142="",W$4&gt;$P142,EOMONTH(W$4,0)&lt;$E142),0,MIN($H142,MAX(0,MIN(EOMONTH(W$4,0),$P142)-MAX(W$4,$E142)+1)*$J142))</f>
        <v/>
      </c>
      <c r="X142" s="170">
        <f>IF(OR($B142="",X$4&gt;$P142,EOMONTH(X$4,0)&lt;$E142),0,MIN($H142,MAX(0,MIN(EOMONTH(X$4,0),$P142)-MAX(X$4,$E142)+1)*$J142))</f>
        <v/>
      </c>
      <c r="Y142" s="170">
        <f>IF(OR($B142="",Y$4&gt;$P142,EOMONTH(Y$4,0)&lt;$E142),0,MIN($H142,MAX(0,MIN(EOMONTH(Y$4,0),$P142)-MAX(Y$4,$E142)+1)*$J142))</f>
        <v/>
      </c>
      <c r="Z142" s="170">
        <f>IF(OR($B142="",Z$4&gt;$P142,EOMONTH(Z$4,0)&lt;$E142),0,MIN($H142,MAX(0,MIN(EOMONTH(Z$4,0),$P142)-MAX(Z$4,$E142)+1)*$J142))</f>
        <v/>
      </c>
      <c r="AA142" s="170">
        <f>IF(OR($B142="",AA$4&gt;$P142,EOMONTH(AA$4,0)&lt;$E142),0,MIN($H142,MAX(0,MIN(EOMONTH(AA$4,0),$P142)-MAX(AA$4,$E142)+1)*$J142))</f>
        <v/>
      </c>
      <c r="AB142" s="170">
        <f>IF(OR($B142="",AB$4&gt;$P142,EOMONTH(AB$4,0)&lt;$E142),0,MIN($H142,MAX(0,MIN(EOMONTH(AB$4,0),$P142)-MAX(AB$4,$E142)+1)*$J142))</f>
        <v/>
      </c>
      <c r="AC142" s="170">
        <f>IF(OR($B142="",AC$4&gt;$P142,EOMONTH(AC$4,0)&lt;$E142),0,MIN($H142,MAX(0,MIN(EOMONTH(AC$4,0),$P142)-MAX(AC$4,$E142)+1)*$J142))</f>
        <v/>
      </c>
      <c r="AD142" s="170">
        <f>IF(B142="","",ROUND(SUM(R142:AC142),0))</f>
        <v/>
      </c>
      <c r="AE142" s="170">
        <f>IF(B142="","",MIN(H142,ROUND(Q142+SUM(R142:AC142),0)))</f>
        <v/>
      </c>
      <c r="AF142" s="170">
        <f>IF(B142="","",MAX(H142-AE142,0))</f>
        <v/>
      </c>
      <c r="AG142" s="172">
        <f>IF(B142="","",IF('Thiết lập'!$B$4&lt;E142,"Chưa phân bổ",IF(P142&lt;='Thiết lập'!$B$4,"Đã phân bổ","Đang phân bổ")))</f>
        <v/>
      </c>
      <c r="AH142" s="166" t="n"/>
      <c r="AI142" s="174">
        <f>IF(B142="","",IF(AND(C142&lt;&gt;"",D142&lt;&gt;"",E142&lt;&gt;"",E142&gt;=D142,F142&gt;0,G142&gt;0,I142&gt;0,COUNTIF($B$7:$B$306,B142)=1),"OK",IF(C142="","Thiếu tên; ","")&amp;IF(D142="","Thiếu ngày tăng; ","")&amp;IF(E142="","Thiếu ngày bắt đầu; ","")&amp;IF(AND(D142&lt;&gt;"",E142&lt;&gt;"",E142&lt;D142),"Ngày bắt đầu &lt; ngày tăng; ","")&amp;IF(OR(F142="",F142&lt;=0),"Số lượng không hợp lệ; ","")&amp;IF(OR(G142="",G142&lt;=0),"Đơn giá không hợp lệ; ","")&amp;IF(OR(I142="",I142&lt;=0),"Số tháng không hợp lệ; ","")&amp;IF(COUNTIF($B$7:$B$306,B142)&gt;1,"Trùng mã CPTT; ","")))</f>
        <v/>
      </c>
    </row>
    <row r="143" ht="19.5" customHeight="1" s="98">
      <c r="A143" s="164">
        <f>IF(B143="","",ROW()-6)</f>
        <v/>
      </c>
      <c r="B143" s="165" t="n"/>
      <c r="C143" s="166" t="n"/>
      <c r="D143" s="167" t="n"/>
      <c r="E143" s="167" t="n"/>
      <c r="F143" s="168" t="n"/>
      <c r="G143" s="169" t="n"/>
      <c r="H143" s="170">
        <f>IF(OR(F143="",G143=""),"",F143*G143)</f>
        <v/>
      </c>
      <c r="I143" s="171" t="n"/>
      <c r="J143" s="170">
        <f>IF(OR(H143="",E143="",P143=""),"",H143/(P143-E143+1))</f>
        <v/>
      </c>
      <c r="K143" s="165" t="n"/>
      <c r="L143" s="172">
        <f>IF(B143="","",IF(AF143&lt;=0,"Đã phân bổ",IF(P143&lt;=EDATE('Thiết lập'!$B$4,12),"Ngắn hạn","Dài hạn")))</f>
        <v/>
      </c>
      <c r="M143" s="165" t="n"/>
      <c r="N143" s="165" t="n"/>
      <c r="O143" s="165" t="n"/>
      <c r="P143" s="173">
        <f>IF(OR(E143="",I143=""),"",EDATE(E143,I143)-1)</f>
        <v/>
      </c>
      <c r="Q143" s="170">
        <f>IF(OR(B143="",E143="",P143=""),0,MIN(H143,MAX(0,MIN(P143,DATE('Thiết lập'!$B$3-1,12,31))-E143+1)*J143))</f>
        <v/>
      </c>
      <c r="R143" s="170">
        <f>IF(OR($B143="",R$4&gt;$P143,EOMONTH(R$4,0)&lt;$E143),0,MIN($H143,MAX(0,MIN(EOMONTH(R$4,0),$P143)-MAX(R$4,$E143)+1)*$J143))</f>
        <v/>
      </c>
      <c r="S143" s="170">
        <f>IF(OR($B143="",S$4&gt;$P143,EOMONTH(S$4,0)&lt;$E143),0,MIN($H143,MAX(0,MIN(EOMONTH(S$4,0),$P143)-MAX(S$4,$E143)+1)*$J143))</f>
        <v/>
      </c>
      <c r="T143" s="170">
        <f>IF(OR($B143="",T$4&gt;$P143,EOMONTH(T$4,0)&lt;$E143),0,MIN($H143,MAX(0,MIN(EOMONTH(T$4,0),$P143)-MAX(T$4,$E143)+1)*$J143))</f>
        <v/>
      </c>
      <c r="U143" s="170">
        <f>IF(OR($B143="",U$4&gt;$P143,EOMONTH(U$4,0)&lt;$E143),0,MIN($H143,MAX(0,MIN(EOMONTH(U$4,0),$P143)-MAX(U$4,$E143)+1)*$J143))</f>
        <v/>
      </c>
      <c r="V143" s="170">
        <f>IF(OR($B143="",V$4&gt;$P143,EOMONTH(V$4,0)&lt;$E143),0,MIN($H143,MAX(0,MIN(EOMONTH(V$4,0),$P143)-MAX(V$4,$E143)+1)*$J143))</f>
        <v/>
      </c>
      <c r="W143" s="170">
        <f>IF(OR($B143="",W$4&gt;$P143,EOMONTH(W$4,0)&lt;$E143),0,MIN($H143,MAX(0,MIN(EOMONTH(W$4,0),$P143)-MAX(W$4,$E143)+1)*$J143))</f>
        <v/>
      </c>
      <c r="X143" s="170">
        <f>IF(OR($B143="",X$4&gt;$P143,EOMONTH(X$4,0)&lt;$E143),0,MIN($H143,MAX(0,MIN(EOMONTH(X$4,0),$P143)-MAX(X$4,$E143)+1)*$J143))</f>
        <v/>
      </c>
      <c r="Y143" s="170">
        <f>IF(OR($B143="",Y$4&gt;$P143,EOMONTH(Y$4,0)&lt;$E143),0,MIN($H143,MAX(0,MIN(EOMONTH(Y$4,0),$P143)-MAX(Y$4,$E143)+1)*$J143))</f>
        <v/>
      </c>
      <c r="Z143" s="170">
        <f>IF(OR($B143="",Z$4&gt;$P143,EOMONTH(Z$4,0)&lt;$E143),0,MIN($H143,MAX(0,MIN(EOMONTH(Z$4,0),$P143)-MAX(Z$4,$E143)+1)*$J143))</f>
        <v/>
      </c>
      <c r="AA143" s="170">
        <f>IF(OR($B143="",AA$4&gt;$P143,EOMONTH(AA$4,0)&lt;$E143),0,MIN($H143,MAX(0,MIN(EOMONTH(AA$4,0),$P143)-MAX(AA$4,$E143)+1)*$J143))</f>
        <v/>
      </c>
      <c r="AB143" s="170">
        <f>IF(OR($B143="",AB$4&gt;$P143,EOMONTH(AB$4,0)&lt;$E143),0,MIN($H143,MAX(0,MIN(EOMONTH(AB$4,0),$P143)-MAX(AB$4,$E143)+1)*$J143))</f>
        <v/>
      </c>
      <c r="AC143" s="170">
        <f>IF(OR($B143="",AC$4&gt;$P143,EOMONTH(AC$4,0)&lt;$E143),0,MIN($H143,MAX(0,MIN(EOMONTH(AC$4,0),$P143)-MAX(AC$4,$E143)+1)*$J143))</f>
        <v/>
      </c>
      <c r="AD143" s="170">
        <f>IF(B143="","",ROUND(SUM(R143:AC143),0))</f>
        <v/>
      </c>
      <c r="AE143" s="170">
        <f>IF(B143="","",MIN(H143,ROUND(Q143+SUM(R143:AC143),0)))</f>
        <v/>
      </c>
      <c r="AF143" s="170">
        <f>IF(B143="","",MAX(H143-AE143,0))</f>
        <v/>
      </c>
      <c r="AG143" s="172">
        <f>IF(B143="","",IF('Thiết lập'!$B$4&lt;E143,"Chưa phân bổ",IF(P143&lt;='Thiết lập'!$B$4,"Đã phân bổ","Đang phân bổ")))</f>
        <v/>
      </c>
      <c r="AH143" s="166" t="n"/>
      <c r="AI143" s="174">
        <f>IF(B143="","",IF(AND(C143&lt;&gt;"",D143&lt;&gt;"",E143&lt;&gt;"",E143&gt;=D143,F143&gt;0,G143&gt;0,I143&gt;0,COUNTIF($B$7:$B$306,B143)=1),"OK",IF(C143="","Thiếu tên; ","")&amp;IF(D143="","Thiếu ngày tăng; ","")&amp;IF(E143="","Thiếu ngày bắt đầu; ","")&amp;IF(AND(D143&lt;&gt;"",E143&lt;&gt;"",E143&lt;D143),"Ngày bắt đầu &lt; ngày tăng; ","")&amp;IF(OR(F143="",F143&lt;=0),"Số lượng không hợp lệ; ","")&amp;IF(OR(G143="",G143&lt;=0),"Đơn giá không hợp lệ; ","")&amp;IF(OR(I143="",I143&lt;=0),"Số tháng không hợp lệ; ","")&amp;IF(COUNTIF($B$7:$B$306,B143)&gt;1,"Trùng mã CPTT; ","")))</f>
        <v/>
      </c>
    </row>
    <row r="144" ht="19.5" customHeight="1" s="98">
      <c r="A144" s="164">
        <f>IF(B144="","",ROW()-6)</f>
        <v/>
      </c>
      <c r="B144" s="165" t="n"/>
      <c r="C144" s="166" t="n"/>
      <c r="D144" s="167" t="n"/>
      <c r="E144" s="167" t="n"/>
      <c r="F144" s="168" t="n"/>
      <c r="G144" s="169" t="n"/>
      <c r="H144" s="170">
        <f>IF(OR(F144="",G144=""),"",F144*G144)</f>
        <v/>
      </c>
      <c r="I144" s="171" t="n"/>
      <c r="J144" s="170">
        <f>IF(OR(H144="",E144="",P144=""),"",H144/(P144-E144+1))</f>
        <v/>
      </c>
      <c r="K144" s="165" t="n"/>
      <c r="L144" s="172">
        <f>IF(B144="","",IF(AF144&lt;=0,"Đã phân bổ",IF(P144&lt;=EDATE('Thiết lập'!$B$4,12),"Ngắn hạn","Dài hạn")))</f>
        <v/>
      </c>
      <c r="M144" s="165" t="n"/>
      <c r="N144" s="165" t="n"/>
      <c r="O144" s="165" t="n"/>
      <c r="P144" s="173">
        <f>IF(OR(E144="",I144=""),"",EDATE(E144,I144)-1)</f>
        <v/>
      </c>
      <c r="Q144" s="170">
        <f>IF(OR(B144="",E144="",P144=""),0,MIN(H144,MAX(0,MIN(P144,DATE('Thiết lập'!$B$3-1,12,31))-E144+1)*J144))</f>
        <v/>
      </c>
      <c r="R144" s="170">
        <f>IF(OR($B144="",R$4&gt;$P144,EOMONTH(R$4,0)&lt;$E144),0,MIN($H144,MAX(0,MIN(EOMONTH(R$4,0),$P144)-MAX(R$4,$E144)+1)*$J144))</f>
        <v/>
      </c>
      <c r="S144" s="170">
        <f>IF(OR($B144="",S$4&gt;$P144,EOMONTH(S$4,0)&lt;$E144),0,MIN($H144,MAX(0,MIN(EOMONTH(S$4,0),$P144)-MAX(S$4,$E144)+1)*$J144))</f>
        <v/>
      </c>
      <c r="T144" s="170">
        <f>IF(OR($B144="",T$4&gt;$P144,EOMONTH(T$4,0)&lt;$E144),0,MIN($H144,MAX(0,MIN(EOMONTH(T$4,0),$P144)-MAX(T$4,$E144)+1)*$J144))</f>
        <v/>
      </c>
      <c r="U144" s="170">
        <f>IF(OR($B144="",U$4&gt;$P144,EOMONTH(U$4,0)&lt;$E144),0,MIN($H144,MAX(0,MIN(EOMONTH(U$4,0),$P144)-MAX(U$4,$E144)+1)*$J144))</f>
        <v/>
      </c>
      <c r="V144" s="170">
        <f>IF(OR($B144="",V$4&gt;$P144,EOMONTH(V$4,0)&lt;$E144),0,MIN($H144,MAX(0,MIN(EOMONTH(V$4,0),$P144)-MAX(V$4,$E144)+1)*$J144))</f>
        <v/>
      </c>
      <c r="W144" s="170">
        <f>IF(OR($B144="",W$4&gt;$P144,EOMONTH(W$4,0)&lt;$E144),0,MIN($H144,MAX(0,MIN(EOMONTH(W$4,0),$P144)-MAX(W$4,$E144)+1)*$J144))</f>
        <v/>
      </c>
      <c r="X144" s="170">
        <f>IF(OR($B144="",X$4&gt;$P144,EOMONTH(X$4,0)&lt;$E144),0,MIN($H144,MAX(0,MIN(EOMONTH(X$4,0),$P144)-MAX(X$4,$E144)+1)*$J144))</f>
        <v/>
      </c>
      <c r="Y144" s="170">
        <f>IF(OR($B144="",Y$4&gt;$P144,EOMONTH(Y$4,0)&lt;$E144),0,MIN($H144,MAX(0,MIN(EOMONTH(Y$4,0),$P144)-MAX(Y$4,$E144)+1)*$J144))</f>
        <v/>
      </c>
      <c r="Z144" s="170">
        <f>IF(OR($B144="",Z$4&gt;$P144,EOMONTH(Z$4,0)&lt;$E144),0,MIN($H144,MAX(0,MIN(EOMONTH(Z$4,0),$P144)-MAX(Z$4,$E144)+1)*$J144))</f>
        <v/>
      </c>
      <c r="AA144" s="170">
        <f>IF(OR($B144="",AA$4&gt;$P144,EOMONTH(AA$4,0)&lt;$E144),0,MIN($H144,MAX(0,MIN(EOMONTH(AA$4,0),$P144)-MAX(AA$4,$E144)+1)*$J144))</f>
        <v/>
      </c>
      <c r="AB144" s="170">
        <f>IF(OR($B144="",AB$4&gt;$P144,EOMONTH(AB$4,0)&lt;$E144),0,MIN($H144,MAX(0,MIN(EOMONTH(AB$4,0),$P144)-MAX(AB$4,$E144)+1)*$J144))</f>
        <v/>
      </c>
      <c r="AC144" s="170">
        <f>IF(OR($B144="",AC$4&gt;$P144,EOMONTH(AC$4,0)&lt;$E144),0,MIN($H144,MAX(0,MIN(EOMONTH(AC$4,0),$P144)-MAX(AC$4,$E144)+1)*$J144))</f>
        <v/>
      </c>
      <c r="AD144" s="170">
        <f>IF(B144="","",ROUND(SUM(R144:AC144),0))</f>
        <v/>
      </c>
      <c r="AE144" s="170">
        <f>IF(B144="","",MIN(H144,ROUND(Q144+SUM(R144:AC144),0)))</f>
        <v/>
      </c>
      <c r="AF144" s="170">
        <f>IF(B144="","",MAX(H144-AE144,0))</f>
        <v/>
      </c>
      <c r="AG144" s="172">
        <f>IF(B144="","",IF('Thiết lập'!$B$4&lt;E144,"Chưa phân bổ",IF(P144&lt;='Thiết lập'!$B$4,"Đã phân bổ","Đang phân bổ")))</f>
        <v/>
      </c>
      <c r="AH144" s="166" t="n"/>
      <c r="AI144" s="174">
        <f>IF(B144="","",IF(AND(C144&lt;&gt;"",D144&lt;&gt;"",E144&lt;&gt;"",E144&gt;=D144,F144&gt;0,G144&gt;0,I144&gt;0,COUNTIF($B$7:$B$306,B144)=1),"OK",IF(C144="","Thiếu tên; ","")&amp;IF(D144="","Thiếu ngày tăng; ","")&amp;IF(E144="","Thiếu ngày bắt đầu; ","")&amp;IF(AND(D144&lt;&gt;"",E144&lt;&gt;"",E144&lt;D144),"Ngày bắt đầu &lt; ngày tăng; ","")&amp;IF(OR(F144="",F144&lt;=0),"Số lượng không hợp lệ; ","")&amp;IF(OR(G144="",G144&lt;=0),"Đơn giá không hợp lệ; ","")&amp;IF(OR(I144="",I144&lt;=0),"Số tháng không hợp lệ; ","")&amp;IF(COUNTIF($B$7:$B$306,B144)&gt;1,"Trùng mã CPTT; ","")))</f>
        <v/>
      </c>
    </row>
    <row r="145" ht="19.5" customHeight="1" s="98">
      <c r="A145" s="164">
        <f>IF(B145="","",ROW()-6)</f>
        <v/>
      </c>
      <c r="B145" s="165" t="n"/>
      <c r="C145" s="166" t="n"/>
      <c r="D145" s="167" t="n"/>
      <c r="E145" s="167" t="n"/>
      <c r="F145" s="168" t="n"/>
      <c r="G145" s="169" t="n"/>
      <c r="H145" s="170">
        <f>IF(OR(F145="",G145=""),"",F145*G145)</f>
        <v/>
      </c>
      <c r="I145" s="171" t="n"/>
      <c r="J145" s="170">
        <f>IF(OR(H145="",E145="",P145=""),"",H145/(P145-E145+1))</f>
        <v/>
      </c>
      <c r="K145" s="165" t="n"/>
      <c r="L145" s="172">
        <f>IF(B145="","",IF(AF145&lt;=0,"Đã phân bổ",IF(P145&lt;=EDATE('Thiết lập'!$B$4,12),"Ngắn hạn","Dài hạn")))</f>
        <v/>
      </c>
      <c r="M145" s="165" t="n"/>
      <c r="N145" s="165" t="n"/>
      <c r="O145" s="165" t="n"/>
      <c r="P145" s="173">
        <f>IF(OR(E145="",I145=""),"",EDATE(E145,I145)-1)</f>
        <v/>
      </c>
      <c r="Q145" s="170">
        <f>IF(OR(B145="",E145="",P145=""),0,MIN(H145,MAX(0,MIN(P145,DATE('Thiết lập'!$B$3-1,12,31))-E145+1)*J145))</f>
        <v/>
      </c>
      <c r="R145" s="170">
        <f>IF(OR($B145="",R$4&gt;$P145,EOMONTH(R$4,0)&lt;$E145),0,MIN($H145,MAX(0,MIN(EOMONTH(R$4,0),$P145)-MAX(R$4,$E145)+1)*$J145))</f>
        <v/>
      </c>
      <c r="S145" s="170">
        <f>IF(OR($B145="",S$4&gt;$P145,EOMONTH(S$4,0)&lt;$E145),0,MIN($H145,MAX(0,MIN(EOMONTH(S$4,0),$P145)-MAX(S$4,$E145)+1)*$J145))</f>
        <v/>
      </c>
      <c r="T145" s="170">
        <f>IF(OR($B145="",T$4&gt;$P145,EOMONTH(T$4,0)&lt;$E145),0,MIN($H145,MAX(0,MIN(EOMONTH(T$4,0),$P145)-MAX(T$4,$E145)+1)*$J145))</f>
        <v/>
      </c>
      <c r="U145" s="170">
        <f>IF(OR($B145="",U$4&gt;$P145,EOMONTH(U$4,0)&lt;$E145),0,MIN($H145,MAX(0,MIN(EOMONTH(U$4,0),$P145)-MAX(U$4,$E145)+1)*$J145))</f>
        <v/>
      </c>
      <c r="V145" s="170">
        <f>IF(OR($B145="",V$4&gt;$P145,EOMONTH(V$4,0)&lt;$E145),0,MIN($H145,MAX(0,MIN(EOMONTH(V$4,0),$P145)-MAX(V$4,$E145)+1)*$J145))</f>
        <v/>
      </c>
      <c r="W145" s="170">
        <f>IF(OR($B145="",W$4&gt;$P145,EOMONTH(W$4,0)&lt;$E145),0,MIN($H145,MAX(0,MIN(EOMONTH(W$4,0),$P145)-MAX(W$4,$E145)+1)*$J145))</f>
        <v/>
      </c>
      <c r="X145" s="170">
        <f>IF(OR($B145="",X$4&gt;$P145,EOMONTH(X$4,0)&lt;$E145),0,MIN($H145,MAX(0,MIN(EOMONTH(X$4,0),$P145)-MAX(X$4,$E145)+1)*$J145))</f>
        <v/>
      </c>
      <c r="Y145" s="170">
        <f>IF(OR($B145="",Y$4&gt;$P145,EOMONTH(Y$4,0)&lt;$E145),0,MIN($H145,MAX(0,MIN(EOMONTH(Y$4,0),$P145)-MAX(Y$4,$E145)+1)*$J145))</f>
        <v/>
      </c>
      <c r="Z145" s="170">
        <f>IF(OR($B145="",Z$4&gt;$P145,EOMONTH(Z$4,0)&lt;$E145),0,MIN($H145,MAX(0,MIN(EOMONTH(Z$4,0),$P145)-MAX(Z$4,$E145)+1)*$J145))</f>
        <v/>
      </c>
      <c r="AA145" s="170">
        <f>IF(OR($B145="",AA$4&gt;$P145,EOMONTH(AA$4,0)&lt;$E145),0,MIN($H145,MAX(0,MIN(EOMONTH(AA$4,0),$P145)-MAX(AA$4,$E145)+1)*$J145))</f>
        <v/>
      </c>
      <c r="AB145" s="170">
        <f>IF(OR($B145="",AB$4&gt;$P145,EOMONTH(AB$4,0)&lt;$E145),0,MIN($H145,MAX(0,MIN(EOMONTH(AB$4,0),$P145)-MAX(AB$4,$E145)+1)*$J145))</f>
        <v/>
      </c>
      <c r="AC145" s="170">
        <f>IF(OR($B145="",AC$4&gt;$P145,EOMONTH(AC$4,0)&lt;$E145),0,MIN($H145,MAX(0,MIN(EOMONTH(AC$4,0),$P145)-MAX(AC$4,$E145)+1)*$J145))</f>
        <v/>
      </c>
      <c r="AD145" s="170">
        <f>IF(B145="","",ROUND(SUM(R145:AC145),0))</f>
        <v/>
      </c>
      <c r="AE145" s="170">
        <f>IF(B145="","",MIN(H145,ROUND(Q145+SUM(R145:AC145),0)))</f>
        <v/>
      </c>
      <c r="AF145" s="170">
        <f>IF(B145="","",MAX(H145-AE145,0))</f>
        <v/>
      </c>
      <c r="AG145" s="172">
        <f>IF(B145="","",IF('Thiết lập'!$B$4&lt;E145,"Chưa phân bổ",IF(P145&lt;='Thiết lập'!$B$4,"Đã phân bổ","Đang phân bổ")))</f>
        <v/>
      </c>
      <c r="AH145" s="166" t="n"/>
      <c r="AI145" s="174">
        <f>IF(B145="","",IF(AND(C145&lt;&gt;"",D145&lt;&gt;"",E145&lt;&gt;"",E145&gt;=D145,F145&gt;0,G145&gt;0,I145&gt;0,COUNTIF($B$7:$B$306,B145)=1),"OK",IF(C145="","Thiếu tên; ","")&amp;IF(D145="","Thiếu ngày tăng; ","")&amp;IF(E145="","Thiếu ngày bắt đầu; ","")&amp;IF(AND(D145&lt;&gt;"",E145&lt;&gt;"",E145&lt;D145),"Ngày bắt đầu &lt; ngày tăng; ","")&amp;IF(OR(F145="",F145&lt;=0),"Số lượng không hợp lệ; ","")&amp;IF(OR(G145="",G145&lt;=0),"Đơn giá không hợp lệ; ","")&amp;IF(OR(I145="",I145&lt;=0),"Số tháng không hợp lệ; ","")&amp;IF(COUNTIF($B$7:$B$306,B145)&gt;1,"Trùng mã CPTT; ","")))</f>
        <v/>
      </c>
    </row>
    <row r="146" ht="19.5" customHeight="1" s="98">
      <c r="A146" s="164">
        <f>IF(B146="","",ROW()-6)</f>
        <v/>
      </c>
      <c r="B146" s="165" t="n"/>
      <c r="C146" s="166" t="n"/>
      <c r="D146" s="167" t="n"/>
      <c r="E146" s="167" t="n"/>
      <c r="F146" s="168" t="n"/>
      <c r="G146" s="169" t="n"/>
      <c r="H146" s="170">
        <f>IF(OR(F146="",G146=""),"",F146*G146)</f>
        <v/>
      </c>
      <c r="I146" s="171" t="n"/>
      <c r="J146" s="170">
        <f>IF(OR(H146="",E146="",P146=""),"",H146/(P146-E146+1))</f>
        <v/>
      </c>
      <c r="K146" s="165" t="n"/>
      <c r="L146" s="172">
        <f>IF(B146="","",IF(AF146&lt;=0,"Đã phân bổ",IF(P146&lt;=EDATE('Thiết lập'!$B$4,12),"Ngắn hạn","Dài hạn")))</f>
        <v/>
      </c>
      <c r="M146" s="165" t="n"/>
      <c r="N146" s="165" t="n"/>
      <c r="O146" s="165" t="n"/>
      <c r="P146" s="173">
        <f>IF(OR(E146="",I146=""),"",EDATE(E146,I146)-1)</f>
        <v/>
      </c>
      <c r="Q146" s="170">
        <f>IF(OR(B146="",E146="",P146=""),0,MIN(H146,MAX(0,MIN(P146,DATE('Thiết lập'!$B$3-1,12,31))-E146+1)*J146))</f>
        <v/>
      </c>
      <c r="R146" s="170">
        <f>IF(OR($B146="",R$4&gt;$P146,EOMONTH(R$4,0)&lt;$E146),0,MIN($H146,MAX(0,MIN(EOMONTH(R$4,0),$P146)-MAX(R$4,$E146)+1)*$J146))</f>
        <v/>
      </c>
      <c r="S146" s="170">
        <f>IF(OR($B146="",S$4&gt;$P146,EOMONTH(S$4,0)&lt;$E146),0,MIN($H146,MAX(0,MIN(EOMONTH(S$4,0),$P146)-MAX(S$4,$E146)+1)*$J146))</f>
        <v/>
      </c>
      <c r="T146" s="170">
        <f>IF(OR($B146="",T$4&gt;$P146,EOMONTH(T$4,0)&lt;$E146),0,MIN($H146,MAX(0,MIN(EOMONTH(T$4,0),$P146)-MAX(T$4,$E146)+1)*$J146))</f>
        <v/>
      </c>
      <c r="U146" s="170">
        <f>IF(OR($B146="",U$4&gt;$P146,EOMONTH(U$4,0)&lt;$E146),0,MIN($H146,MAX(0,MIN(EOMONTH(U$4,0),$P146)-MAX(U$4,$E146)+1)*$J146))</f>
        <v/>
      </c>
      <c r="V146" s="170">
        <f>IF(OR($B146="",V$4&gt;$P146,EOMONTH(V$4,0)&lt;$E146),0,MIN($H146,MAX(0,MIN(EOMONTH(V$4,0),$P146)-MAX(V$4,$E146)+1)*$J146))</f>
        <v/>
      </c>
      <c r="W146" s="170">
        <f>IF(OR($B146="",W$4&gt;$P146,EOMONTH(W$4,0)&lt;$E146),0,MIN($H146,MAX(0,MIN(EOMONTH(W$4,0),$P146)-MAX(W$4,$E146)+1)*$J146))</f>
        <v/>
      </c>
      <c r="X146" s="170">
        <f>IF(OR($B146="",X$4&gt;$P146,EOMONTH(X$4,0)&lt;$E146),0,MIN($H146,MAX(0,MIN(EOMONTH(X$4,0),$P146)-MAX(X$4,$E146)+1)*$J146))</f>
        <v/>
      </c>
      <c r="Y146" s="170">
        <f>IF(OR($B146="",Y$4&gt;$P146,EOMONTH(Y$4,0)&lt;$E146),0,MIN($H146,MAX(0,MIN(EOMONTH(Y$4,0),$P146)-MAX(Y$4,$E146)+1)*$J146))</f>
        <v/>
      </c>
      <c r="Z146" s="170">
        <f>IF(OR($B146="",Z$4&gt;$P146,EOMONTH(Z$4,0)&lt;$E146),0,MIN($H146,MAX(0,MIN(EOMONTH(Z$4,0),$P146)-MAX(Z$4,$E146)+1)*$J146))</f>
        <v/>
      </c>
      <c r="AA146" s="170">
        <f>IF(OR($B146="",AA$4&gt;$P146,EOMONTH(AA$4,0)&lt;$E146),0,MIN($H146,MAX(0,MIN(EOMONTH(AA$4,0),$P146)-MAX(AA$4,$E146)+1)*$J146))</f>
        <v/>
      </c>
      <c r="AB146" s="170">
        <f>IF(OR($B146="",AB$4&gt;$P146,EOMONTH(AB$4,0)&lt;$E146),0,MIN($H146,MAX(0,MIN(EOMONTH(AB$4,0),$P146)-MAX(AB$4,$E146)+1)*$J146))</f>
        <v/>
      </c>
      <c r="AC146" s="170">
        <f>IF(OR($B146="",AC$4&gt;$P146,EOMONTH(AC$4,0)&lt;$E146),0,MIN($H146,MAX(0,MIN(EOMONTH(AC$4,0),$P146)-MAX(AC$4,$E146)+1)*$J146))</f>
        <v/>
      </c>
      <c r="AD146" s="170">
        <f>IF(B146="","",ROUND(SUM(R146:AC146),0))</f>
        <v/>
      </c>
      <c r="AE146" s="170">
        <f>IF(B146="","",MIN(H146,ROUND(Q146+SUM(R146:AC146),0)))</f>
        <v/>
      </c>
      <c r="AF146" s="170">
        <f>IF(B146="","",MAX(H146-AE146,0))</f>
        <v/>
      </c>
      <c r="AG146" s="172">
        <f>IF(B146="","",IF('Thiết lập'!$B$4&lt;E146,"Chưa phân bổ",IF(P146&lt;='Thiết lập'!$B$4,"Đã phân bổ","Đang phân bổ")))</f>
        <v/>
      </c>
      <c r="AH146" s="166" t="n"/>
      <c r="AI146" s="174">
        <f>IF(B146="","",IF(AND(C146&lt;&gt;"",D146&lt;&gt;"",E146&lt;&gt;"",E146&gt;=D146,F146&gt;0,G146&gt;0,I146&gt;0,COUNTIF($B$7:$B$306,B146)=1),"OK",IF(C146="","Thiếu tên; ","")&amp;IF(D146="","Thiếu ngày tăng; ","")&amp;IF(E146="","Thiếu ngày bắt đầu; ","")&amp;IF(AND(D146&lt;&gt;"",E146&lt;&gt;"",E146&lt;D146),"Ngày bắt đầu &lt; ngày tăng; ","")&amp;IF(OR(F146="",F146&lt;=0),"Số lượng không hợp lệ; ","")&amp;IF(OR(G146="",G146&lt;=0),"Đơn giá không hợp lệ; ","")&amp;IF(OR(I146="",I146&lt;=0),"Số tháng không hợp lệ; ","")&amp;IF(COUNTIF($B$7:$B$306,B146)&gt;1,"Trùng mã CPTT; ","")))</f>
        <v/>
      </c>
    </row>
    <row r="147" ht="19.5" customHeight="1" s="98">
      <c r="A147" s="164">
        <f>IF(B147="","",ROW()-6)</f>
        <v/>
      </c>
      <c r="B147" s="165" t="n"/>
      <c r="C147" s="166" t="n"/>
      <c r="D147" s="167" t="n"/>
      <c r="E147" s="167" t="n"/>
      <c r="F147" s="168" t="n"/>
      <c r="G147" s="169" t="n"/>
      <c r="H147" s="170">
        <f>IF(OR(F147="",G147=""),"",F147*G147)</f>
        <v/>
      </c>
      <c r="I147" s="171" t="n"/>
      <c r="J147" s="170">
        <f>IF(OR(H147="",E147="",P147=""),"",H147/(P147-E147+1))</f>
        <v/>
      </c>
      <c r="K147" s="165" t="n"/>
      <c r="L147" s="172">
        <f>IF(B147="","",IF(AF147&lt;=0,"Đã phân bổ",IF(P147&lt;=EDATE('Thiết lập'!$B$4,12),"Ngắn hạn","Dài hạn")))</f>
        <v/>
      </c>
      <c r="M147" s="165" t="n"/>
      <c r="N147" s="165" t="n"/>
      <c r="O147" s="165" t="n"/>
      <c r="P147" s="173">
        <f>IF(OR(E147="",I147=""),"",EDATE(E147,I147)-1)</f>
        <v/>
      </c>
      <c r="Q147" s="170">
        <f>IF(OR(B147="",E147="",P147=""),0,MIN(H147,MAX(0,MIN(P147,DATE('Thiết lập'!$B$3-1,12,31))-E147+1)*J147))</f>
        <v/>
      </c>
      <c r="R147" s="170">
        <f>IF(OR($B147="",R$4&gt;$P147,EOMONTH(R$4,0)&lt;$E147),0,MIN($H147,MAX(0,MIN(EOMONTH(R$4,0),$P147)-MAX(R$4,$E147)+1)*$J147))</f>
        <v/>
      </c>
      <c r="S147" s="170">
        <f>IF(OR($B147="",S$4&gt;$P147,EOMONTH(S$4,0)&lt;$E147),0,MIN($H147,MAX(0,MIN(EOMONTH(S$4,0),$P147)-MAX(S$4,$E147)+1)*$J147))</f>
        <v/>
      </c>
      <c r="T147" s="170">
        <f>IF(OR($B147="",T$4&gt;$P147,EOMONTH(T$4,0)&lt;$E147),0,MIN($H147,MAX(0,MIN(EOMONTH(T$4,0),$P147)-MAX(T$4,$E147)+1)*$J147))</f>
        <v/>
      </c>
      <c r="U147" s="170">
        <f>IF(OR($B147="",U$4&gt;$P147,EOMONTH(U$4,0)&lt;$E147),0,MIN($H147,MAX(0,MIN(EOMONTH(U$4,0),$P147)-MAX(U$4,$E147)+1)*$J147))</f>
        <v/>
      </c>
      <c r="V147" s="170">
        <f>IF(OR($B147="",V$4&gt;$P147,EOMONTH(V$4,0)&lt;$E147),0,MIN($H147,MAX(0,MIN(EOMONTH(V$4,0),$P147)-MAX(V$4,$E147)+1)*$J147))</f>
        <v/>
      </c>
      <c r="W147" s="170">
        <f>IF(OR($B147="",W$4&gt;$P147,EOMONTH(W$4,0)&lt;$E147),0,MIN($H147,MAX(0,MIN(EOMONTH(W$4,0),$P147)-MAX(W$4,$E147)+1)*$J147))</f>
        <v/>
      </c>
      <c r="X147" s="170">
        <f>IF(OR($B147="",X$4&gt;$P147,EOMONTH(X$4,0)&lt;$E147),0,MIN($H147,MAX(0,MIN(EOMONTH(X$4,0),$P147)-MAX(X$4,$E147)+1)*$J147))</f>
        <v/>
      </c>
      <c r="Y147" s="170">
        <f>IF(OR($B147="",Y$4&gt;$P147,EOMONTH(Y$4,0)&lt;$E147),0,MIN($H147,MAX(0,MIN(EOMONTH(Y$4,0),$P147)-MAX(Y$4,$E147)+1)*$J147))</f>
        <v/>
      </c>
      <c r="Z147" s="170">
        <f>IF(OR($B147="",Z$4&gt;$P147,EOMONTH(Z$4,0)&lt;$E147),0,MIN($H147,MAX(0,MIN(EOMONTH(Z$4,0),$P147)-MAX(Z$4,$E147)+1)*$J147))</f>
        <v/>
      </c>
      <c r="AA147" s="170">
        <f>IF(OR($B147="",AA$4&gt;$P147,EOMONTH(AA$4,0)&lt;$E147),0,MIN($H147,MAX(0,MIN(EOMONTH(AA$4,0),$P147)-MAX(AA$4,$E147)+1)*$J147))</f>
        <v/>
      </c>
      <c r="AB147" s="170">
        <f>IF(OR($B147="",AB$4&gt;$P147,EOMONTH(AB$4,0)&lt;$E147),0,MIN($H147,MAX(0,MIN(EOMONTH(AB$4,0),$P147)-MAX(AB$4,$E147)+1)*$J147))</f>
        <v/>
      </c>
      <c r="AC147" s="170">
        <f>IF(OR($B147="",AC$4&gt;$P147,EOMONTH(AC$4,0)&lt;$E147),0,MIN($H147,MAX(0,MIN(EOMONTH(AC$4,0),$P147)-MAX(AC$4,$E147)+1)*$J147))</f>
        <v/>
      </c>
      <c r="AD147" s="170">
        <f>IF(B147="","",ROUND(SUM(R147:AC147),0))</f>
        <v/>
      </c>
      <c r="AE147" s="170">
        <f>IF(B147="","",MIN(H147,ROUND(Q147+SUM(R147:AC147),0)))</f>
        <v/>
      </c>
      <c r="AF147" s="170">
        <f>IF(B147="","",MAX(H147-AE147,0))</f>
        <v/>
      </c>
      <c r="AG147" s="172">
        <f>IF(B147="","",IF('Thiết lập'!$B$4&lt;E147,"Chưa phân bổ",IF(P147&lt;='Thiết lập'!$B$4,"Đã phân bổ","Đang phân bổ")))</f>
        <v/>
      </c>
      <c r="AH147" s="166" t="n"/>
      <c r="AI147" s="174">
        <f>IF(B147="","",IF(AND(C147&lt;&gt;"",D147&lt;&gt;"",E147&lt;&gt;"",E147&gt;=D147,F147&gt;0,G147&gt;0,I147&gt;0,COUNTIF($B$7:$B$306,B147)=1),"OK",IF(C147="","Thiếu tên; ","")&amp;IF(D147="","Thiếu ngày tăng; ","")&amp;IF(E147="","Thiếu ngày bắt đầu; ","")&amp;IF(AND(D147&lt;&gt;"",E147&lt;&gt;"",E147&lt;D147),"Ngày bắt đầu &lt; ngày tăng; ","")&amp;IF(OR(F147="",F147&lt;=0),"Số lượng không hợp lệ; ","")&amp;IF(OR(G147="",G147&lt;=0),"Đơn giá không hợp lệ; ","")&amp;IF(OR(I147="",I147&lt;=0),"Số tháng không hợp lệ; ","")&amp;IF(COUNTIF($B$7:$B$306,B147)&gt;1,"Trùng mã CPTT; ","")))</f>
        <v/>
      </c>
    </row>
    <row r="148" ht="19.5" customHeight="1" s="98">
      <c r="A148" s="164">
        <f>IF(B148="","",ROW()-6)</f>
        <v/>
      </c>
      <c r="B148" s="165" t="n"/>
      <c r="C148" s="166" t="n"/>
      <c r="D148" s="167" t="n"/>
      <c r="E148" s="167" t="n"/>
      <c r="F148" s="168" t="n"/>
      <c r="G148" s="169" t="n"/>
      <c r="H148" s="170">
        <f>IF(OR(F148="",G148=""),"",F148*G148)</f>
        <v/>
      </c>
      <c r="I148" s="171" t="n"/>
      <c r="J148" s="170">
        <f>IF(OR(H148="",E148="",P148=""),"",H148/(P148-E148+1))</f>
        <v/>
      </c>
      <c r="K148" s="165" t="n"/>
      <c r="L148" s="172">
        <f>IF(B148="","",IF(AF148&lt;=0,"Đã phân bổ",IF(P148&lt;=EDATE('Thiết lập'!$B$4,12),"Ngắn hạn","Dài hạn")))</f>
        <v/>
      </c>
      <c r="M148" s="165" t="n"/>
      <c r="N148" s="165" t="n"/>
      <c r="O148" s="165" t="n"/>
      <c r="P148" s="173">
        <f>IF(OR(E148="",I148=""),"",EDATE(E148,I148)-1)</f>
        <v/>
      </c>
      <c r="Q148" s="170">
        <f>IF(OR(B148="",E148="",P148=""),0,MIN(H148,MAX(0,MIN(P148,DATE('Thiết lập'!$B$3-1,12,31))-E148+1)*J148))</f>
        <v/>
      </c>
      <c r="R148" s="170">
        <f>IF(OR($B148="",R$4&gt;$P148,EOMONTH(R$4,0)&lt;$E148),0,MIN($H148,MAX(0,MIN(EOMONTH(R$4,0),$P148)-MAX(R$4,$E148)+1)*$J148))</f>
        <v/>
      </c>
      <c r="S148" s="170">
        <f>IF(OR($B148="",S$4&gt;$P148,EOMONTH(S$4,0)&lt;$E148),0,MIN($H148,MAX(0,MIN(EOMONTH(S$4,0),$P148)-MAX(S$4,$E148)+1)*$J148))</f>
        <v/>
      </c>
      <c r="T148" s="170">
        <f>IF(OR($B148="",T$4&gt;$P148,EOMONTH(T$4,0)&lt;$E148),0,MIN($H148,MAX(0,MIN(EOMONTH(T$4,0),$P148)-MAX(T$4,$E148)+1)*$J148))</f>
        <v/>
      </c>
      <c r="U148" s="170">
        <f>IF(OR($B148="",U$4&gt;$P148,EOMONTH(U$4,0)&lt;$E148),0,MIN($H148,MAX(0,MIN(EOMONTH(U$4,0),$P148)-MAX(U$4,$E148)+1)*$J148))</f>
        <v/>
      </c>
      <c r="V148" s="170">
        <f>IF(OR($B148="",V$4&gt;$P148,EOMONTH(V$4,0)&lt;$E148),0,MIN($H148,MAX(0,MIN(EOMONTH(V$4,0),$P148)-MAX(V$4,$E148)+1)*$J148))</f>
        <v/>
      </c>
      <c r="W148" s="170">
        <f>IF(OR($B148="",W$4&gt;$P148,EOMONTH(W$4,0)&lt;$E148),0,MIN($H148,MAX(0,MIN(EOMONTH(W$4,0),$P148)-MAX(W$4,$E148)+1)*$J148))</f>
        <v/>
      </c>
      <c r="X148" s="170">
        <f>IF(OR($B148="",X$4&gt;$P148,EOMONTH(X$4,0)&lt;$E148),0,MIN($H148,MAX(0,MIN(EOMONTH(X$4,0),$P148)-MAX(X$4,$E148)+1)*$J148))</f>
        <v/>
      </c>
      <c r="Y148" s="170">
        <f>IF(OR($B148="",Y$4&gt;$P148,EOMONTH(Y$4,0)&lt;$E148),0,MIN($H148,MAX(0,MIN(EOMONTH(Y$4,0),$P148)-MAX(Y$4,$E148)+1)*$J148))</f>
        <v/>
      </c>
      <c r="Z148" s="170">
        <f>IF(OR($B148="",Z$4&gt;$P148,EOMONTH(Z$4,0)&lt;$E148),0,MIN($H148,MAX(0,MIN(EOMONTH(Z$4,0),$P148)-MAX(Z$4,$E148)+1)*$J148))</f>
        <v/>
      </c>
      <c r="AA148" s="170">
        <f>IF(OR($B148="",AA$4&gt;$P148,EOMONTH(AA$4,0)&lt;$E148),0,MIN($H148,MAX(0,MIN(EOMONTH(AA$4,0),$P148)-MAX(AA$4,$E148)+1)*$J148))</f>
        <v/>
      </c>
      <c r="AB148" s="170">
        <f>IF(OR($B148="",AB$4&gt;$P148,EOMONTH(AB$4,0)&lt;$E148),0,MIN($H148,MAX(0,MIN(EOMONTH(AB$4,0),$P148)-MAX(AB$4,$E148)+1)*$J148))</f>
        <v/>
      </c>
      <c r="AC148" s="170">
        <f>IF(OR($B148="",AC$4&gt;$P148,EOMONTH(AC$4,0)&lt;$E148),0,MIN($H148,MAX(0,MIN(EOMONTH(AC$4,0),$P148)-MAX(AC$4,$E148)+1)*$J148))</f>
        <v/>
      </c>
      <c r="AD148" s="170">
        <f>IF(B148="","",ROUND(SUM(R148:AC148),0))</f>
        <v/>
      </c>
      <c r="AE148" s="170">
        <f>IF(B148="","",MIN(H148,ROUND(Q148+SUM(R148:AC148),0)))</f>
        <v/>
      </c>
      <c r="AF148" s="170">
        <f>IF(B148="","",MAX(H148-AE148,0))</f>
        <v/>
      </c>
      <c r="AG148" s="172">
        <f>IF(B148="","",IF('Thiết lập'!$B$4&lt;E148,"Chưa phân bổ",IF(P148&lt;='Thiết lập'!$B$4,"Đã phân bổ","Đang phân bổ")))</f>
        <v/>
      </c>
      <c r="AH148" s="166" t="n"/>
      <c r="AI148" s="174">
        <f>IF(B148="","",IF(AND(C148&lt;&gt;"",D148&lt;&gt;"",E148&lt;&gt;"",E148&gt;=D148,F148&gt;0,G148&gt;0,I148&gt;0,COUNTIF($B$7:$B$306,B148)=1),"OK",IF(C148="","Thiếu tên; ","")&amp;IF(D148="","Thiếu ngày tăng; ","")&amp;IF(E148="","Thiếu ngày bắt đầu; ","")&amp;IF(AND(D148&lt;&gt;"",E148&lt;&gt;"",E148&lt;D148),"Ngày bắt đầu &lt; ngày tăng; ","")&amp;IF(OR(F148="",F148&lt;=0),"Số lượng không hợp lệ; ","")&amp;IF(OR(G148="",G148&lt;=0),"Đơn giá không hợp lệ; ","")&amp;IF(OR(I148="",I148&lt;=0),"Số tháng không hợp lệ; ","")&amp;IF(COUNTIF($B$7:$B$306,B148)&gt;1,"Trùng mã CPTT; ","")))</f>
        <v/>
      </c>
    </row>
    <row r="149" ht="19.5" customHeight="1" s="98">
      <c r="A149" s="164">
        <f>IF(B149="","",ROW()-6)</f>
        <v/>
      </c>
      <c r="B149" s="165" t="n"/>
      <c r="C149" s="166" t="n"/>
      <c r="D149" s="167" t="n"/>
      <c r="E149" s="167" t="n"/>
      <c r="F149" s="168" t="n"/>
      <c r="G149" s="169" t="n"/>
      <c r="H149" s="170">
        <f>IF(OR(F149="",G149=""),"",F149*G149)</f>
        <v/>
      </c>
      <c r="I149" s="171" t="n"/>
      <c r="J149" s="170">
        <f>IF(OR(H149="",E149="",P149=""),"",H149/(P149-E149+1))</f>
        <v/>
      </c>
      <c r="K149" s="165" t="n"/>
      <c r="L149" s="172">
        <f>IF(B149="","",IF(AF149&lt;=0,"Đã phân bổ",IF(P149&lt;=EDATE('Thiết lập'!$B$4,12),"Ngắn hạn","Dài hạn")))</f>
        <v/>
      </c>
      <c r="M149" s="165" t="n"/>
      <c r="N149" s="165" t="n"/>
      <c r="O149" s="165" t="n"/>
      <c r="P149" s="173">
        <f>IF(OR(E149="",I149=""),"",EDATE(E149,I149)-1)</f>
        <v/>
      </c>
      <c r="Q149" s="170">
        <f>IF(OR(B149="",E149="",P149=""),0,MIN(H149,MAX(0,MIN(P149,DATE('Thiết lập'!$B$3-1,12,31))-E149+1)*J149))</f>
        <v/>
      </c>
      <c r="R149" s="170">
        <f>IF(OR($B149="",R$4&gt;$P149,EOMONTH(R$4,0)&lt;$E149),0,MIN($H149,MAX(0,MIN(EOMONTH(R$4,0),$P149)-MAX(R$4,$E149)+1)*$J149))</f>
        <v/>
      </c>
      <c r="S149" s="170">
        <f>IF(OR($B149="",S$4&gt;$P149,EOMONTH(S$4,0)&lt;$E149),0,MIN($H149,MAX(0,MIN(EOMONTH(S$4,0),$P149)-MAX(S$4,$E149)+1)*$J149))</f>
        <v/>
      </c>
      <c r="T149" s="170">
        <f>IF(OR($B149="",T$4&gt;$P149,EOMONTH(T$4,0)&lt;$E149),0,MIN($H149,MAX(0,MIN(EOMONTH(T$4,0),$P149)-MAX(T$4,$E149)+1)*$J149))</f>
        <v/>
      </c>
      <c r="U149" s="170">
        <f>IF(OR($B149="",U$4&gt;$P149,EOMONTH(U$4,0)&lt;$E149),0,MIN($H149,MAX(0,MIN(EOMONTH(U$4,0),$P149)-MAX(U$4,$E149)+1)*$J149))</f>
        <v/>
      </c>
      <c r="V149" s="170">
        <f>IF(OR($B149="",V$4&gt;$P149,EOMONTH(V$4,0)&lt;$E149),0,MIN($H149,MAX(0,MIN(EOMONTH(V$4,0),$P149)-MAX(V$4,$E149)+1)*$J149))</f>
        <v/>
      </c>
      <c r="W149" s="170">
        <f>IF(OR($B149="",W$4&gt;$P149,EOMONTH(W$4,0)&lt;$E149),0,MIN($H149,MAX(0,MIN(EOMONTH(W$4,0),$P149)-MAX(W$4,$E149)+1)*$J149))</f>
        <v/>
      </c>
      <c r="X149" s="170">
        <f>IF(OR($B149="",X$4&gt;$P149,EOMONTH(X$4,0)&lt;$E149),0,MIN($H149,MAX(0,MIN(EOMONTH(X$4,0),$P149)-MAX(X$4,$E149)+1)*$J149))</f>
        <v/>
      </c>
      <c r="Y149" s="170">
        <f>IF(OR($B149="",Y$4&gt;$P149,EOMONTH(Y$4,0)&lt;$E149),0,MIN($H149,MAX(0,MIN(EOMONTH(Y$4,0),$P149)-MAX(Y$4,$E149)+1)*$J149))</f>
        <v/>
      </c>
      <c r="Z149" s="170">
        <f>IF(OR($B149="",Z$4&gt;$P149,EOMONTH(Z$4,0)&lt;$E149),0,MIN($H149,MAX(0,MIN(EOMONTH(Z$4,0),$P149)-MAX(Z$4,$E149)+1)*$J149))</f>
        <v/>
      </c>
      <c r="AA149" s="170">
        <f>IF(OR($B149="",AA$4&gt;$P149,EOMONTH(AA$4,0)&lt;$E149),0,MIN($H149,MAX(0,MIN(EOMONTH(AA$4,0),$P149)-MAX(AA$4,$E149)+1)*$J149))</f>
        <v/>
      </c>
      <c r="AB149" s="170">
        <f>IF(OR($B149="",AB$4&gt;$P149,EOMONTH(AB$4,0)&lt;$E149),0,MIN($H149,MAX(0,MIN(EOMONTH(AB$4,0),$P149)-MAX(AB$4,$E149)+1)*$J149))</f>
        <v/>
      </c>
      <c r="AC149" s="170">
        <f>IF(OR($B149="",AC$4&gt;$P149,EOMONTH(AC$4,0)&lt;$E149),0,MIN($H149,MAX(0,MIN(EOMONTH(AC$4,0),$P149)-MAX(AC$4,$E149)+1)*$J149))</f>
        <v/>
      </c>
      <c r="AD149" s="170">
        <f>IF(B149="","",ROUND(SUM(R149:AC149),0))</f>
        <v/>
      </c>
      <c r="AE149" s="170">
        <f>IF(B149="","",MIN(H149,ROUND(Q149+SUM(R149:AC149),0)))</f>
        <v/>
      </c>
      <c r="AF149" s="170">
        <f>IF(B149="","",MAX(H149-AE149,0))</f>
        <v/>
      </c>
      <c r="AG149" s="172">
        <f>IF(B149="","",IF('Thiết lập'!$B$4&lt;E149,"Chưa phân bổ",IF(P149&lt;='Thiết lập'!$B$4,"Đã phân bổ","Đang phân bổ")))</f>
        <v/>
      </c>
      <c r="AH149" s="166" t="n"/>
      <c r="AI149" s="174">
        <f>IF(B149="","",IF(AND(C149&lt;&gt;"",D149&lt;&gt;"",E149&lt;&gt;"",E149&gt;=D149,F149&gt;0,G149&gt;0,I149&gt;0,COUNTIF($B$7:$B$306,B149)=1),"OK",IF(C149="","Thiếu tên; ","")&amp;IF(D149="","Thiếu ngày tăng; ","")&amp;IF(E149="","Thiếu ngày bắt đầu; ","")&amp;IF(AND(D149&lt;&gt;"",E149&lt;&gt;"",E149&lt;D149),"Ngày bắt đầu &lt; ngày tăng; ","")&amp;IF(OR(F149="",F149&lt;=0),"Số lượng không hợp lệ; ","")&amp;IF(OR(G149="",G149&lt;=0),"Đơn giá không hợp lệ; ","")&amp;IF(OR(I149="",I149&lt;=0),"Số tháng không hợp lệ; ","")&amp;IF(COUNTIF($B$7:$B$306,B149)&gt;1,"Trùng mã CPTT; ","")))</f>
        <v/>
      </c>
    </row>
    <row r="150" ht="19.5" customHeight="1" s="98">
      <c r="A150" s="164">
        <f>IF(B150="","",ROW()-6)</f>
        <v/>
      </c>
      <c r="B150" s="165" t="n"/>
      <c r="C150" s="166" t="n"/>
      <c r="D150" s="167" t="n"/>
      <c r="E150" s="167" t="n"/>
      <c r="F150" s="168" t="n"/>
      <c r="G150" s="169" t="n"/>
      <c r="H150" s="170">
        <f>IF(OR(F150="",G150=""),"",F150*G150)</f>
        <v/>
      </c>
      <c r="I150" s="171" t="n"/>
      <c r="J150" s="170">
        <f>IF(OR(H150="",E150="",P150=""),"",H150/(P150-E150+1))</f>
        <v/>
      </c>
      <c r="K150" s="165" t="n"/>
      <c r="L150" s="172">
        <f>IF(B150="","",IF(AF150&lt;=0,"Đã phân bổ",IF(P150&lt;=EDATE('Thiết lập'!$B$4,12),"Ngắn hạn","Dài hạn")))</f>
        <v/>
      </c>
      <c r="M150" s="165" t="n"/>
      <c r="N150" s="165" t="n"/>
      <c r="O150" s="165" t="n"/>
      <c r="P150" s="173">
        <f>IF(OR(E150="",I150=""),"",EDATE(E150,I150)-1)</f>
        <v/>
      </c>
      <c r="Q150" s="170">
        <f>IF(OR(B150="",E150="",P150=""),0,MIN(H150,MAX(0,MIN(P150,DATE('Thiết lập'!$B$3-1,12,31))-E150+1)*J150))</f>
        <v/>
      </c>
      <c r="R150" s="170">
        <f>IF(OR($B150="",R$4&gt;$P150,EOMONTH(R$4,0)&lt;$E150),0,MIN($H150,MAX(0,MIN(EOMONTH(R$4,0),$P150)-MAX(R$4,$E150)+1)*$J150))</f>
        <v/>
      </c>
      <c r="S150" s="170">
        <f>IF(OR($B150="",S$4&gt;$P150,EOMONTH(S$4,0)&lt;$E150),0,MIN($H150,MAX(0,MIN(EOMONTH(S$4,0),$P150)-MAX(S$4,$E150)+1)*$J150))</f>
        <v/>
      </c>
      <c r="T150" s="170">
        <f>IF(OR($B150="",T$4&gt;$P150,EOMONTH(T$4,0)&lt;$E150),0,MIN($H150,MAX(0,MIN(EOMONTH(T$4,0),$P150)-MAX(T$4,$E150)+1)*$J150))</f>
        <v/>
      </c>
      <c r="U150" s="170">
        <f>IF(OR($B150="",U$4&gt;$P150,EOMONTH(U$4,0)&lt;$E150),0,MIN($H150,MAX(0,MIN(EOMONTH(U$4,0),$P150)-MAX(U$4,$E150)+1)*$J150))</f>
        <v/>
      </c>
      <c r="V150" s="170">
        <f>IF(OR($B150="",V$4&gt;$P150,EOMONTH(V$4,0)&lt;$E150),0,MIN($H150,MAX(0,MIN(EOMONTH(V$4,0),$P150)-MAX(V$4,$E150)+1)*$J150))</f>
        <v/>
      </c>
      <c r="W150" s="170">
        <f>IF(OR($B150="",W$4&gt;$P150,EOMONTH(W$4,0)&lt;$E150),0,MIN($H150,MAX(0,MIN(EOMONTH(W$4,0),$P150)-MAX(W$4,$E150)+1)*$J150))</f>
        <v/>
      </c>
      <c r="X150" s="170">
        <f>IF(OR($B150="",X$4&gt;$P150,EOMONTH(X$4,0)&lt;$E150),0,MIN($H150,MAX(0,MIN(EOMONTH(X$4,0),$P150)-MAX(X$4,$E150)+1)*$J150))</f>
        <v/>
      </c>
      <c r="Y150" s="170">
        <f>IF(OR($B150="",Y$4&gt;$P150,EOMONTH(Y$4,0)&lt;$E150),0,MIN($H150,MAX(0,MIN(EOMONTH(Y$4,0),$P150)-MAX(Y$4,$E150)+1)*$J150))</f>
        <v/>
      </c>
      <c r="Z150" s="170">
        <f>IF(OR($B150="",Z$4&gt;$P150,EOMONTH(Z$4,0)&lt;$E150),0,MIN($H150,MAX(0,MIN(EOMONTH(Z$4,0),$P150)-MAX(Z$4,$E150)+1)*$J150))</f>
        <v/>
      </c>
      <c r="AA150" s="170">
        <f>IF(OR($B150="",AA$4&gt;$P150,EOMONTH(AA$4,0)&lt;$E150),0,MIN($H150,MAX(0,MIN(EOMONTH(AA$4,0),$P150)-MAX(AA$4,$E150)+1)*$J150))</f>
        <v/>
      </c>
      <c r="AB150" s="170">
        <f>IF(OR($B150="",AB$4&gt;$P150,EOMONTH(AB$4,0)&lt;$E150),0,MIN($H150,MAX(0,MIN(EOMONTH(AB$4,0),$P150)-MAX(AB$4,$E150)+1)*$J150))</f>
        <v/>
      </c>
      <c r="AC150" s="170">
        <f>IF(OR($B150="",AC$4&gt;$P150,EOMONTH(AC$4,0)&lt;$E150),0,MIN($H150,MAX(0,MIN(EOMONTH(AC$4,0),$P150)-MAX(AC$4,$E150)+1)*$J150))</f>
        <v/>
      </c>
      <c r="AD150" s="170">
        <f>IF(B150="","",ROUND(SUM(R150:AC150),0))</f>
        <v/>
      </c>
      <c r="AE150" s="170">
        <f>IF(B150="","",MIN(H150,ROUND(Q150+SUM(R150:AC150),0)))</f>
        <v/>
      </c>
      <c r="AF150" s="170">
        <f>IF(B150="","",MAX(H150-AE150,0))</f>
        <v/>
      </c>
      <c r="AG150" s="172">
        <f>IF(B150="","",IF('Thiết lập'!$B$4&lt;E150,"Chưa phân bổ",IF(P150&lt;='Thiết lập'!$B$4,"Đã phân bổ","Đang phân bổ")))</f>
        <v/>
      </c>
      <c r="AH150" s="166" t="n"/>
      <c r="AI150" s="174">
        <f>IF(B150="","",IF(AND(C150&lt;&gt;"",D150&lt;&gt;"",E150&lt;&gt;"",E150&gt;=D150,F150&gt;0,G150&gt;0,I150&gt;0,COUNTIF($B$7:$B$306,B150)=1),"OK",IF(C150="","Thiếu tên; ","")&amp;IF(D150="","Thiếu ngày tăng; ","")&amp;IF(E150="","Thiếu ngày bắt đầu; ","")&amp;IF(AND(D150&lt;&gt;"",E150&lt;&gt;"",E150&lt;D150),"Ngày bắt đầu &lt; ngày tăng; ","")&amp;IF(OR(F150="",F150&lt;=0),"Số lượng không hợp lệ; ","")&amp;IF(OR(G150="",G150&lt;=0),"Đơn giá không hợp lệ; ","")&amp;IF(OR(I150="",I150&lt;=0),"Số tháng không hợp lệ; ","")&amp;IF(COUNTIF($B$7:$B$306,B150)&gt;1,"Trùng mã CPTT; ","")))</f>
        <v/>
      </c>
    </row>
    <row r="151" ht="19.5" customHeight="1" s="98">
      <c r="A151" s="164">
        <f>IF(B151="","",ROW()-6)</f>
        <v/>
      </c>
      <c r="B151" s="165" t="n"/>
      <c r="C151" s="166" t="n"/>
      <c r="D151" s="167" t="n"/>
      <c r="E151" s="167" t="n"/>
      <c r="F151" s="168" t="n"/>
      <c r="G151" s="169" t="n"/>
      <c r="H151" s="170">
        <f>IF(OR(F151="",G151=""),"",F151*G151)</f>
        <v/>
      </c>
      <c r="I151" s="171" t="n"/>
      <c r="J151" s="170">
        <f>IF(OR(H151="",E151="",P151=""),"",H151/(P151-E151+1))</f>
        <v/>
      </c>
      <c r="K151" s="165" t="n"/>
      <c r="L151" s="172">
        <f>IF(B151="","",IF(AF151&lt;=0,"Đã phân bổ",IF(P151&lt;=EDATE('Thiết lập'!$B$4,12),"Ngắn hạn","Dài hạn")))</f>
        <v/>
      </c>
      <c r="M151" s="165" t="n"/>
      <c r="N151" s="165" t="n"/>
      <c r="O151" s="165" t="n"/>
      <c r="P151" s="173">
        <f>IF(OR(E151="",I151=""),"",EDATE(E151,I151)-1)</f>
        <v/>
      </c>
      <c r="Q151" s="170">
        <f>IF(OR(B151="",E151="",P151=""),0,MIN(H151,MAX(0,MIN(P151,DATE('Thiết lập'!$B$3-1,12,31))-E151+1)*J151))</f>
        <v/>
      </c>
      <c r="R151" s="170">
        <f>IF(OR($B151="",R$4&gt;$P151,EOMONTH(R$4,0)&lt;$E151),0,MIN($H151,MAX(0,MIN(EOMONTH(R$4,0),$P151)-MAX(R$4,$E151)+1)*$J151))</f>
        <v/>
      </c>
      <c r="S151" s="170">
        <f>IF(OR($B151="",S$4&gt;$P151,EOMONTH(S$4,0)&lt;$E151),0,MIN($H151,MAX(0,MIN(EOMONTH(S$4,0),$P151)-MAX(S$4,$E151)+1)*$J151))</f>
        <v/>
      </c>
      <c r="T151" s="170">
        <f>IF(OR($B151="",T$4&gt;$P151,EOMONTH(T$4,0)&lt;$E151),0,MIN($H151,MAX(0,MIN(EOMONTH(T$4,0),$P151)-MAX(T$4,$E151)+1)*$J151))</f>
        <v/>
      </c>
      <c r="U151" s="170">
        <f>IF(OR($B151="",U$4&gt;$P151,EOMONTH(U$4,0)&lt;$E151),0,MIN($H151,MAX(0,MIN(EOMONTH(U$4,0),$P151)-MAX(U$4,$E151)+1)*$J151))</f>
        <v/>
      </c>
      <c r="V151" s="170">
        <f>IF(OR($B151="",V$4&gt;$P151,EOMONTH(V$4,0)&lt;$E151),0,MIN($H151,MAX(0,MIN(EOMONTH(V$4,0),$P151)-MAX(V$4,$E151)+1)*$J151))</f>
        <v/>
      </c>
      <c r="W151" s="170">
        <f>IF(OR($B151="",W$4&gt;$P151,EOMONTH(W$4,0)&lt;$E151),0,MIN($H151,MAX(0,MIN(EOMONTH(W$4,0),$P151)-MAX(W$4,$E151)+1)*$J151))</f>
        <v/>
      </c>
      <c r="X151" s="170">
        <f>IF(OR($B151="",X$4&gt;$P151,EOMONTH(X$4,0)&lt;$E151),0,MIN($H151,MAX(0,MIN(EOMONTH(X$4,0),$P151)-MAX(X$4,$E151)+1)*$J151))</f>
        <v/>
      </c>
      <c r="Y151" s="170">
        <f>IF(OR($B151="",Y$4&gt;$P151,EOMONTH(Y$4,0)&lt;$E151),0,MIN($H151,MAX(0,MIN(EOMONTH(Y$4,0),$P151)-MAX(Y$4,$E151)+1)*$J151))</f>
        <v/>
      </c>
      <c r="Z151" s="170">
        <f>IF(OR($B151="",Z$4&gt;$P151,EOMONTH(Z$4,0)&lt;$E151),0,MIN($H151,MAX(0,MIN(EOMONTH(Z$4,0),$P151)-MAX(Z$4,$E151)+1)*$J151))</f>
        <v/>
      </c>
      <c r="AA151" s="170">
        <f>IF(OR($B151="",AA$4&gt;$P151,EOMONTH(AA$4,0)&lt;$E151),0,MIN($H151,MAX(0,MIN(EOMONTH(AA$4,0),$P151)-MAX(AA$4,$E151)+1)*$J151))</f>
        <v/>
      </c>
      <c r="AB151" s="170">
        <f>IF(OR($B151="",AB$4&gt;$P151,EOMONTH(AB$4,0)&lt;$E151),0,MIN($H151,MAX(0,MIN(EOMONTH(AB$4,0),$P151)-MAX(AB$4,$E151)+1)*$J151))</f>
        <v/>
      </c>
      <c r="AC151" s="170">
        <f>IF(OR($B151="",AC$4&gt;$P151,EOMONTH(AC$4,0)&lt;$E151),0,MIN($H151,MAX(0,MIN(EOMONTH(AC$4,0),$P151)-MAX(AC$4,$E151)+1)*$J151))</f>
        <v/>
      </c>
      <c r="AD151" s="170">
        <f>IF(B151="","",ROUND(SUM(R151:AC151),0))</f>
        <v/>
      </c>
      <c r="AE151" s="170">
        <f>IF(B151="","",MIN(H151,ROUND(Q151+SUM(R151:AC151),0)))</f>
        <v/>
      </c>
      <c r="AF151" s="170">
        <f>IF(B151="","",MAX(H151-AE151,0))</f>
        <v/>
      </c>
      <c r="AG151" s="172">
        <f>IF(B151="","",IF('Thiết lập'!$B$4&lt;E151,"Chưa phân bổ",IF(P151&lt;='Thiết lập'!$B$4,"Đã phân bổ","Đang phân bổ")))</f>
        <v/>
      </c>
      <c r="AH151" s="166" t="n"/>
      <c r="AI151" s="174">
        <f>IF(B151="","",IF(AND(C151&lt;&gt;"",D151&lt;&gt;"",E151&lt;&gt;"",E151&gt;=D151,F151&gt;0,G151&gt;0,I151&gt;0,COUNTIF($B$7:$B$306,B151)=1),"OK",IF(C151="","Thiếu tên; ","")&amp;IF(D151="","Thiếu ngày tăng; ","")&amp;IF(E151="","Thiếu ngày bắt đầu; ","")&amp;IF(AND(D151&lt;&gt;"",E151&lt;&gt;"",E151&lt;D151),"Ngày bắt đầu &lt; ngày tăng; ","")&amp;IF(OR(F151="",F151&lt;=0),"Số lượng không hợp lệ; ","")&amp;IF(OR(G151="",G151&lt;=0),"Đơn giá không hợp lệ; ","")&amp;IF(OR(I151="",I151&lt;=0),"Số tháng không hợp lệ; ","")&amp;IF(COUNTIF($B$7:$B$306,B151)&gt;1,"Trùng mã CPTT; ","")))</f>
        <v/>
      </c>
    </row>
    <row r="152" ht="19.5" customHeight="1" s="98">
      <c r="A152" s="164">
        <f>IF(B152="","",ROW()-6)</f>
        <v/>
      </c>
      <c r="B152" s="165" t="n"/>
      <c r="C152" s="166" t="n"/>
      <c r="D152" s="167" t="n"/>
      <c r="E152" s="167" t="n"/>
      <c r="F152" s="168" t="n"/>
      <c r="G152" s="169" t="n"/>
      <c r="H152" s="170">
        <f>IF(OR(F152="",G152=""),"",F152*G152)</f>
        <v/>
      </c>
      <c r="I152" s="171" t="n"/>
      <c r="J152" s="170">
        <f>IF(OR(H152="",E152="",P152=""),"",H152/(P152-E152+1))</f>
        <v/>
      </c>
      <c r="K152" s="165" t="n"/>
      <c r="L152" s="172">
        <f>IF(B152="","",IF(AF152&lt;=0,"Đã phân bổ",IF(P152&lt;=EDATE('Thiết lập'!$B$4,12),"Ngắn hạn","Dài hạn")))</f>
        <v/>
      </c>
      <c r="M152" s="165" t="n"/>
      <c r="N152" s="165" t="n"/>
      <c r="O152" s="165" t="n"/>
      <c r="P152" s="173">
        <f>IF(OR(E152="",I152=""),"",EDATE(E152,I152)-1)</f>
        <v/>
      </c>
      <c r="Q152" s="170">
        <f>IF(OR(B152="",E152="",P152=""),0,MIN(H152,MAX(0,MIN(P152,DATE('Thiết lập'!$B$3-1,12,31))-E152+1)*J152))</f>
        <v/>
      </c>
      <c r="R152" s="170">
        <f>IF(OR($B152="",R$4&gt;$P152,EOMONTH(R$4,0)&lt;$E152),0,MIN($H152,MAX(0,MIN(EOMONTH(R$4,0),$P152)-MAX(R$4,$E152)+1)*$J152))</f>
        <v/>
      </c>
      <c r="S152" s="170">
        <f>IF(OR($B152="",S$4&gt;$P152,EOMONTH(S$4,0)&lt;$E152),0,MIN($H152,MAX(0,MIN(EOMONTH(S$4,0),$P152)-MAX(S$4,$E152)+1)*$J152))</f>
        <v/>
      </c>
      <c r="T152" s="170">
        <f>IF(OR($B152="",T$4&gt;$P152,EOMONTH(T$4,0)&lt;$E152),0,MIN($H152,MAX(0,MIN(EOMONTH(T$4,0),$P152)-MAX(T$4,$E152)+1)*$J152))</f>
        <v/>
      </c>
      <c r="U152" s="170">
        <f>IF(OR($B152="",U$4&gt;$P152,EOMONTH(U$4,0)&lt;$E152),0,MIN($H152,MAX(0,MIN(EOMONTH(U$4,0),$P152)-MAX(U$4,$E152)+1)*$J152))</f>
        <v/>
      </c>
      <c r="V152" s="170">
        <f>IF(OR($B152="",V$4&gt;$P152,EOMONTH(V$4,0)&lt;$E152),0,MIN($H152,MAX(0,MIN(EOMONTH(V$4,0),$P152)-MAX(V$4,$E152)+1)*$J152))</f>
        <v/>
      </c>
      <c r="W152" s="170">
        <f>IF(OR($B152="",W$4&gt;$P152,EOMONTH(W$4,0)&lt;$E152),0,MIN($H152,MAX(0,MIN(EOMONTH(W$4,0),$P152)-MAX(W$4,$E152)+1)*$J152))</f>
        <v/>
      </c>
      <c r="X152" s="170">
        <f>IF(OR($B152="",X$4&gt;$P152,EOMONTH(X$4,0)&lt;$E152),0,MIN($H152,MAX(0,MIN(EOMONTH(X$4,0),$P152)-MAX(X$4,$E152)+1)*$J152))</f>
        <v/>
      </c>
      <c r="Y152" s="170">
        <f>IF(OR($B152="",Y$4&gt;$P152,EOMONTH(Y$4,0)&lt;$E152),0,MIN($H152,MAX(0,MIN(EOMONTH(Y$4,0),$P152)-MAX(Y$4,$E152)+1)*$J152))</f>
        <v/>
      </c>
      <c r="Z152" s="170">
        <f>IF(OR($B152="",Z$4&gt;$P152,EOMONTH(Z$4,0)&lt;$E152),0,MIN($H152,MAX(0,MIN(EOMONTH(Z$4,0),$P152)-MAX(Z$4,$E152)+1)*$J152))</f>
        <v/>
      </c>
      <c r="AA152" s="170">
        <f>IF(OR($B152="",AA$4&gt;$P152,EOMONTH(AA$4,0)&lt;$E152),0,MIN($H152,MAX(0,MIN(EOMONTH(AA$4,0),$P152)-MAX(AA$4,$E152)+1)*$J152))</f>
        <v/>
      </c>
      <c r="AB152" s="170">
        <f>IF(OR($B152="",AB$4&gt;$P152,EOMONTH(AB$4,0)&lt;$E152),0,MIN($H152,MAX(0,MIN(EOMONTH(AB$4,0),$P152)-MAX(AB$4,$E152)+1)*$J152))</f>
        <v/>
      </c>
      <c r="AC152" s="170">
        <f>IF(OR($B152="",AC$4&gt;$P152,EOMONTH(AC$4,0)&lt;$E152),0,MIN($H152,MAX(0,MIN(EOMONTH(AC$4,0),$P152)-MAX(AC$4,$E152)+1)*$J152))</f>
        <v/>
      </c>
      <c r="AD152" s="170">
        <f>IF(B152="","",ROUND(SUM(R152:AC152),0))</f>
        <v/>
      </c>
      <c r="AE152" s="170">
        <f>IF(B152="","",MIN(H152,ROUND(Q152+SUM(R152:AC152),0)))</f>
        <v/>
      </c>
      <c r="AF152" s="170">
        <f>IF(B152="","",MAX(H152-AE152,0))</f>
        <v/>
      </c>
      <c r="AG152" s="172">
        <f>IF(B152="","",IF('Thiết lập'!$B$4&lt;E152,"Chưa phân bổ",IF(P152&lt;='Thiết lập'!$B$4,"Đã phân bổ","Đang phân bổ")))</f>
        <v/>
      </c>
      <c r="AH152" s="166" t="n"/>
      <c r="AI152" s="174">
        <f>IF(B152="","",IF(AND(C152&lt;&gt;"",D152&lt;&gt;"",E152&lt;&gt;"",E152&gt;=D152,F152&gt;0,G152&gt;0,I152&gt;0,COUNTIF($B$7:$B$306,B152)=1),"OK",IF(C152="","Thiếu tên; ","")&amp;IF(D152="","Thiếu ngày tăng; ","")&amp;IF(E152="","Thiếu ngày bắt đầu; ","")&amp;IF(AND(D152&lt;&gt;"",E152&lt;&gt;"",E152&lt;D152),"Ngày bắt đầu &lt; ngày tăng; ","")&amp;IF(OR(F152="",F152&lt;=0),"Số lượng không hợp lệ; ","")&amp;IF(OR(G152="",G152&lt;=0),"Đơn giá không hợp lệ; ","")&amp;IF(OR(I152="",I152&lt;=0),"Số tháng không hợp lệ; ","")&amp;IF(COUNTIF($B$7:$B$306,B152)&gt;1,"Trùng mã CPTT; ","")))</f>
        <v/>
      </c>
    </row>
    <row r="153" ht="19.5" customHeight="1" s="98">
      <c r="A153" s="164">
        <f>IF(B153="","",ROW()-6)</f>
        <v/>
      </c>
      <c r="B153" s="165" t="n"/>
      <c r="C153" s="166" t="n"/>
      <c r="D153" s="167" t="n"/>
      <c r="E153" s="167" t="n"/>
      <c r="F153" s="168" t="n"/>
      <c r="G153" s="169" t="n"/>
      <c r="H153" s="170">
        <f>IF(OR(F153="",G153=""),"",F153*G153)</f>
        <v/>
      </c>
      <c r="I153" s="171" t="n"/>
      <c r="J153" s="170">
        <f>IF(OR(H153="",E153="",P153=""),"",H153/(P153-E153+1))</f>
        <v/>
      </c>
      <c r="K153" s="165" t="n"/>
      <c r="L153" s="172">
        <f>IF(B153="","",IF(AF153&lt;=0,"Đã phân bổ",IF(P153&lt;=EDATE('Thiết lập'!$B$4,12),"Ngắn hạn","Dài hạn")))</f>
        <v/>
      </c>
      <c r="M153" s="165" t="n"/>
      <c r="N153" s="165" t="n"/>
      <c r="O153" s="165" t="n"/>
      <c r="P153" s="173">
        <f>IF(OR(E153="",I153=""),"",EDATE(E153,I153)-1)</f>
        <v/>
      </c>
      <c r="Q153" s="170">
        <f>IF(OR(B153="",E153="",P153=""),0,MIN(H153,MAX(0,MIN(P153,DATE('Thiết lập'!$B$3-1,12,31))-E153+1)*J153))</f>
        <v/>
      </c>
      <c r="R153" s="170">
        <f>IF(OR($B153="",R$4&gt;$P153,EOMONTH(R$4,0)&lt;$E153),0,MIN($H153,MAX(0,MIN(EOMONTH(R$4,0),$P153)-MAX(R$4,$E153)+1)*$J153))</f>
        <v/>
      </c>
      <c r="S153" s="170">
        <f>IF(OR($B153="",S$4&gt;$P153,EOMONTH(S$4,0)&lt;$E153),0,MIN($H153,MAX(0,MIN(EOMONTH(S$4,0),$P153)-MAX(S$4,$E153)+1)*$J153))</f>
        <v/>
      </c>
      <c r="T153" s="170">
        <f>IF(OR($B153="",T$4&gt;$P153,EOMONTH(T$4,0)&lt;$E153),0,MIN($H153,MAX(0,MIN(EOMONTH(T$4,0),$P153)-MAX(T$4,$E153)+1)*$J153))</f>
        <v/>
      </c>
      <c r="U153" s="170">
        <f>IF(OR($B153="",U$4&gt;$P153,EOMONTH(U$4,0)&lt;$E153),0,MIN($H153,MAX(0,MIN(EOMONTH(U$4,0),$P153)-MAX(U$4,$E153)+1)*$J153))</f>
        <v/>
      </c>
      <c r="V153" s="170">
        <f>IF(OR($B153="",V$4&gt;$P153,EOMONTH(V$4,0)&lt;$E153),0,MIN($H153,MAX(0,MIN(EOMONTH(V$4,0),$P153)-MAX(V$4,$E153)+1)*$J153))</f>
        <v/>
      </c>
      <c r="W153" s="170">
        <f>IF(OR($B153="",W$4&gt;$P153,EOMONTH(W$4,0)&lt;$E153),0,MIN($H153,MAX(0,MIN(EOMONTH(W$4,0),$P153)-MAX(W$4,$E153)+1)*$J153))</f>
        <v/>
      </c>
      <c r="X153" s="170">
        <f>IF(OR($B153="",X$4&gt;$P153,EOMONTH(X$4,0)&lt;$E153),0,MIN($H153,MAX(0,MIN(EOMONTH(X$4,0),$P153)-MAX(X$4,$E153)+1)*$J153))</f>
        <v/>
      </c>
      <c r="Y153" s="170">
        <f>IF(OR($B153="",Y$4&gt;$P153,EOMONTH(Y$4,0)&lt;$E153),0,MIN($H153,MAX(0,MIN(EOMONTH(Y$4,0),$P153)-MAX(Y$4,$E153)+1)*$J153))</f>
        <v/>
      </c>
      <c r="Z153" s="170">
        <f>IF(OR($B153="",Z$4&gt;$P153,EOMONTH(Z$4,0)&lt;$E153),0,MIN($H153,MAX(0,MIN(EOMONTH(Z$4,0),$P153)-MAX(Z$4,$E153)+1)*$J153))</f>
        <v/>
      </c>
      <c r="AA153" s="170">
        <f>IF(OR($B153="",AA$4&gt;$P153,EOMONTH(AA$4,0)&lt;$E153),0,MIN($H153,MAX(0,MIN(EOMONTH(AA$4,0),$P153)-MAX(AA$4,$E153)+1)*$J153))</f>
        <v/>
      </c>
      <c r="AB153" s="170">
        <f>IF(OR($B153="",AB$4&gt;$P153,EOMONTH(AB$4,0)&lt;$E153),0,MIN($H153,MAX(0,MIN(EOMONTH(AB$4,0),$P153)-MAX(AB$4,$E153)+1)*$J153))</f>
        <v/>
      </c>
      <c r="AC153" s="170">
        <f>IF(OR($B153="",AC$4&gt;$P153,EOMONTH(AC$4,0)&lt;$E153),0,MIN($H153,MAX(0,MIN(EOMONTH(AC$4,0),$P153)-MAX(AC$4,$E153)+1)*$J153))</f>
        <v/>
      </c>
      <c r="AD153" s="170">
        <f>IF(B153="","",ROUND(SUM(R153:AC153),0))</f>
        <v/>
      </c>
      <c r="AE153" s="170">
        <f>IF(B153="","",MIN(H153,ROUND(Q153+SUM(R153:AC153),0)))</f>
        <v/>
      </c>
      <c r="AF153" s="170">
        <f>IF(B153="","",MAX(H153-AE153,0))</f>
        <v/>
      </c>
      <c r="AG153" s="172">
        <f>IF(B153="","",IF('Thiết lập'!$B$4&lt;E153,"Chưa phân bổ",IF(P153&lt;='Thiết lập'!$B$4,"Đã phân bổ","Đang phân bổ")))</f>
        <v/>
      </c>
      <c r="AH153" s="166" t="n"/>
      <c r="AI153" s="174">
        <f>IF(B153="","",IF(AND(C153&lt;&gt;"",D153&lt;&gt;"",E153&lt;&gt;"",E153&gt;=D153,F153&gt;0,G153&gt;0,I153&gt;0,COUNTIF($B$7:$B$306,B153)=1),"OK",IF(C153="","Thiếu tên; ","")&amp;IF(D153="","Thiếu ngày tăng; ","")&amp;IF(E153="","Thiếu ngày bắt đầu; ","")&amp;IF(AND(D153&lt;&gt;"",E153&lt;&gt;"",E153&lt;D153),"Ngày bắt đầu &lt; ngày tăng; ","")&amp;IF(OR(F153="",F153&lt;=0),"Số lượng không hợp lệ; ","")&amp;IF(OR(G153="",G153&lt;=0),"Đơn giá không hợp lệ; ","")&amp;IF(OR(I153="",I153&lt;=0),"Số tháng không hợp lệ; ","")&amp;IF(COUNTIF($B$7:$B$306,B153)&gt;1,"Trùng mã CPTT; ","")))</f>
        <v/>
      </c>
    </row>
    <row r="154" ht="19.5" customHeight="1" s="98">
      <c r="A154" s="164">
        <f>IF(B154="","",ROW()-6)</f>
        <v/>
      </c>
      <c r="B154" s="165" t="n"/>
      <c r="C154" s="166" t="n"/>
      <c r="D154" s="167" t="n"/>
      <c r="E154" s="167" t="n"/>
      <c r="F154" s="168" t="n"/>
      <c r="G154" s="169" t="n"/>
      <c r="H154" s="170">
        <f>IF(OR(F154="",G154=""),"",F154*G154)</f>
        <v/>
      </c>
      <c r="I154" s="171" t="n"/>
      <c r="J154" s="170">
        <f>IF(OR(H154="",E154="",P154=""),"",H154/(P154-E154+1))</f>
        <v/>
      </c>
      <c r="K154" s="165" t="n"/>
      <c r="L154" s="172">
        <f>IF(B154="","",IF(AF154&lt;=0,"Đã phân bổ",IF(P154&lt;=EDATE('Thiết lập'!$B$4,12),"Ngắn hạn","Dài hạn")))</f>
        <v/>
      </c>
      <c r="M154" s="165" t="n"/>
      <c r="N154" s="165" t="n"/>
      <c r="O154" s="165" t="n"/>
      <c r="P154" s="173">
        <f>IF(OR(E154="",I154=""),"",EDATE(E154,I154)-1)</f>
        <v/>
      </c>
      <c r="Q154" s="170">
        <f>IF(OR(B154="",E154="",P154=""),0,MIN(H154,MAX(0,MIN(P154,DATE('Thiết lập'!$B$3-1,12,31))-E154+1)*J154))</f>
        <v/>
      </c>
      <c r="R154" s="170">
        <f>IF(OR($B154="",R$4&gt;$P154,EOMONTH(R$4,0)&lt;$E154),0,MIN($H154,MAX(0,MIN(EOMONTH(R$4,0),$P154)-MAX(R$4,$E154)+1)*$J154))</f>
        <v/>
      </c>
      <c r="S154" s="170">
        <f>IF(OR($B154="",S$4&gt;$P154,EOMONTH(S$4,0)&lt;$E154),0,MIN($H154,MAX(0,MIN(EOMONTH(S$4,0),$P154)-MAX(S$4,$E154)+1)*$J154))</f>
        <v/>
      </c>
      <c r="T154" s="170">
        <f>IF(OR($B154="",T$4&gt;$P154,EOMONTH(T$4,0)&lt;$E154),0,MIN($H154,MAX(0,MIN(EOMONTH(T$4,0),$P154)-MAX(T$4,$E154)+1)*$J154))</f>
        <v/>
      </c>
      <c r="U154" s="170">
        <f>IF(OR($B154="",U$4&gt;$P154,EOMONTH(U$4,0)&lt;$E154),0,MIN($H154,MAX(0,MIN(EOMONTH(U$4,0),$P154)-MAX(U$4,$E154)+1)*$J154))</f>
        <v/>
      </c>
      <c r="V154" s="170">
        <f>IF(OR($B154="",V$4&gt;$P154,EOMONTH(V$4,0)&lt;$E154),0,MIN($H154,MAX(0,MIN(EOMONTH(V$4,0),$P154)-MAX(V$4,$E154)+1)*$J154))</f>
        <v/>
      </c>
      <c r="W154" s="170">
        <f>IF(OR($B154="",W$4&gt;$P154,EOMONTH(W$4,0)&lt;$E154),0,MIN($H154,MAX(0,MIN(EOMONTH(W$4,0),$P154)-MAX(W$4,$E154)+1)*$J154))</f>
        <v/>
      </c>
      <c r="X154" s="170">
        <f>IF(OR($B154="",X$4&gt;$P154,EOMONTH(X$4,0)&lt;$E154),0,MIN($H154,MAX(0,MIN(EOMONTH(X$4,0),$P154)-MAX(X$4,$E154)+1)*$J154))</f>
        <v/>
      </c>
      <c r="Y154" s="170">
        <f>IF(OR($B154="",Y$4&gt;$P154,EOMONTH(Y$4,0)&lt;$E154),0,MIN($H154,MAX(0,MIN(EOMONTH(Y$4,0),$P154)-MAX(Y$4,$E154)+1)*$J154))</f>
        <v/>
      </c>
      <c r="Z154" s="170">
        <f>IF(OR($B154="",Z$4&gt;$P154,EOMONTH(Z$4,0)&lt;$E154),0,MIN($H154,MAX(0,MIN(EOMONTH(Z$4,0),$P154)-MAX(Z$4,$E154)+1)*$J154))</f>
        <v/>
      </c>
      <c r="AA154" s="170">
        <f>IF(OR($B154="",AA$4&gt;$P154,EOMONTH(AA$4,0)&lt;$E154),0,MIN($H154,MAX(0,MIN(EOMONTH(AA$4,0),$P154)-MAX(AA$4,$E154)+1)*$J154))</f>
        <v/>
      </c>
      <c r="AB154" s="170">
        <f>IF(OR($B154="",AB$4&gt;$P154,EOMONTH(AB$4,0)&lt;$E154),0,MIN($H154,MAX(0,MIN(EOMONTH(AB$4,0),$P154)-MAX(AB$4,$E154)+1)*$J154))</f>
        <v/>
      </c>
      <c r="AC154" s="170">
        <f>IF(OR($B154="",AC$4&gt;$P154,EOMONTH(AC$4,0)&lt;$E154),0,MIN($H154,MAX(0,MIN(EOMONTH(AC$4,0),$P154)-MAX(AC$4,$E154)+1)*$J154))</f>
        <v/>
      </c>
      <c r="AD154" s="170">
        <f>IF(B154="","",ROUND(SUM(R154:AC154),0))</f>
        <v/>
      </c>
      <c r="AE154" s="170">
        <f>IF(B154="","",MIN(H154,ROUND(Q154+SUM(R154:AC154),0)))</f>
        <v/>
      </c>
      <c r="AF154" s="170">
        <f>IF(B154="","",MAX(H154-AE154,0))</f>
        <v/>
      </c>
      <c r="AG154" s="172">
        <f>IF(B154="","",IF('Thiết lập'!$B$4&lt;E154,"Chưa phân bổ",IF(P154&lt;='Thiết lập'!$B$4,"Đã phân bổ","Đang phân bổ")))</f>
        <v/>
      </c>
      <c r="AH154" s="166" t="n"/>
      <c r="AI154" s="174">
        <f>IF(B154="","",IF(AND(C154&lt;&gt;"",D154&lt;&gt;"",E154&lt;&gt;"",E154&gt;=D154,F154&gt;0,G154&gt;0,I154&gt;0,COUNTIF($B$7:$B$306,B154)=1),"OK",IF(C154="","Thiếu tên; ","")&amp;IF(D154="","Thiếu ngày tăng; ","")&amp;IF(E154="","Thiếu ngày bắt đầu; ","")&amp;IF(AND(D154&lt;&gt;"",E154&lt;&gt;"",E154&lt;D154),"Ngày bắt đầu &lt; ngày tăng; ","")&amp;IF(OR(F154="",F154&lt;=0),"Số lượng không hợp lệ; ","")&amp;IF(OR(G154="",G154&lt;=0),"Đơn giá không hợp lệ; ","")&amp;IF(OR(I154="",I154&lt;=0),"Số tháng không hợp lệ; ","")&amp;IF(COUNTIF($B$7:$B$306,B154)&gt;1,"Trùng mã CPTT; ","")))</f>
        <v/>
      </c>
    </row>
    <row r="155" ht="19.5" customHeight="1" s="98">
      <c r="A155" s="164">
        <f>IF(B155="","",ROW()-6)</f>
        <v/>
      </c>
      <c r="B155" s="165" t="n"/>
      <c r="C155" s="166" t="n"/>
      <c r="D155" s="167" t="n"/>
      <c r="E155" s="167" t="n"/>
      <c r="F155" s="168" t="n"/>
      <c r="G155" s="169" t="n"/>
      <c r="H155" s="170">
        <f>IF(OR(F155="",G155=""),"",F155*G155)</f>
        <v/>
      </c>
      <c r="I155" s="171" t="n"/>
      <c r="J155" s="170">
        <f>IF(OR(H155="",E155="",P155=""),"",H155/(P155-E155+1))</f>
        <v/>
      </c>
      <c r="K155" s="165" t="n"/>
      <c r="L155" s="172">
        <f>IF(B155="","",IF(AF155&lt;=0,"Đã phân bổ",IF(P155&lt;=EDATE('Thiết lập'!$B$4,12),"Ngắn hạn","Dài hạn")))</f>
        <v/>
      </c>
      <c r="M155" s="165" t="n"/>
      <c r="N155" s="165" t="n"/>
      <c r="O155" s="165" t="n"/>
      <c r="P155" s="173">
        <f>IF(OR(E155="",I155=""),"",EDATE(E155,I155)-1)</f>
        <v/>
      </c>
      <c r="Q155" s="170">
        <f>IF(OR(B155="",E155="",P155=""),0,MIN(H155,MAX(0,MIN(P155,DATE('Thiết lập'!$B$3-1,12,31))-E155+1)*J155))</f>
        <v/>
      </c>
      <c r="R155" s="170">
        <f>IF(OR($B155="",R$4&gt;$P155,EOMONTH(R$4,0)&lt;$E155),0,MIN($H155,MAX(0,MIN(EOMONTH(R$4,0),$P155)-MAX(R$4,$E155)+1)*$J155))</f>
        <v/>
      </c>
      <c r="S155" s="170">
        <f>IF(OR($B155="",S$4&gt;$P155,EOMONTH(S$4,0)&lt;$E155),0,MIN($H155,MAX(0,MIN(EOMONTH(S$4,0),$P155)-MAX(S$4,$E155)+1)*$J155))</f>
        <v/>
      </c>
      <c r="T155" s="170">
        <f>IF(OR($B155="",T$4&gt;$P155,EOMONTH(T$4,0)&lt;$E155),0,MIN($H155,MAX(0,MIN(EOMONTH(T$4,0),$P155)-MAX(T$4,$E155)+1)*$J155))</f>
        <v/>
      </c>
      <c r="U155" s="170">
        <f>IF(OR($B155="",U$4&gt;$P155,EOMONTH(U$4,0)&lt;$E155),0,MIN($H155,MAX(0,MIN(EOMONTH(U$4,0),$P155)-MAX(U$4,$E155)+1)*$J155))</f>
        <v/>
      </c>
      <c r="V155" s="170">
        <f>IF(OR($B155="",V$4&gt;$P155,EOMONTH(V$4,0)&lt;$E155),0,MIN($H155,MAX(0,MIN(EOMONTH(V$4,0),$P155)-MAX(V$4,$E155)+1)*$J155))</f>
        <v/>
      </c>
      <c r="W155" s="170">
        <f>IF(OR($B155="",W$4&gt;$P155,EOMONTH(W$4,0)&lt;$E155),0,MIN($H155,MAX(0,MIN(EOMONTH(W$4,0),$P155)-MAX(W$4,$E155)+1)*$J155))</f>
        <v/>
      </c>
      <c r="X155" s="170">
        <f>IF(OR($B155="",X$4&gt;$P155,EOMONTH(X$4,0)&lt;$E155),0,MIN($H155,MAX(0,MIN(EOMONTH(X$4,0),$P155)-MAX(X$4,$E155)+1)*$J155))</f>
        <v/>
      </c>
      <c r="Y155" s="170">
        <f>IF(OR($B155="",Y$4&gt;$P155,EOMONTH(Y$4,0)&lt;$E155),0,MIN($H155,MAX(0,MIN(EOMONTH(Y$4,0),$P155)-MAX(Y$4,$E155)+1)*$J155))</f>
        <v/>
      </c>
      <c r="Z155" s="170">
        <f>IF(OR($B155="",Z$4&gt;$P155,EOMONTH(Z$4,0)&lt;$E155),0,MIN($H155,MAX(0,MIN(EOMONTH(Z$4,0),$P155)-MAX(Z$4,$E155)+1)*$J155))</f>
        <v/>
      </c>
      <c r="AA155" s="170">
        <f>IF(OR($B155="",AA$4&gt;$P155,EOMONTH(AA$4,0)&lt;$E155),0,MIN($H155,MAX(0,MIN(EOMONTH(AA$4,0),$P155)-MAX(AA$4,$E155)+1)*$J155))</f>
        <v/>
      </c>
      <c r="AB155" s="170">
        <f>IF(OR($B155="",AB$4&gt;$P155,EOMONTH(AB$4,0)&lt;$E155),0,MIN($H155,MAX(0,MIN(EOMONTH(AB$4,0),$P155)-MAX(AB$4,$E155)+1)*$J155))</f>
        <v/>
      </c>
      <c r="AC155" s="170">
        <f>IF(OR($B155="",AC$4&gt;$P155,EOMONTH(AC$4,0)&lt;$E155),0,MIN($H155,MAX(0,MIN(EOMONTH(AC$4,0),$P155)-MAX(AC$4,$E155)+1)*$J155))</f>
        <v/>
      </c>
      <c r="AD155" s="170">
        <f>IF(B155="","",ROUND(SUM(R155:AC155),0))</f>
        <v/>
      </c>
      <c r="AE155" s="170">
        <f>IF(B155="","",MIN(H155,ROUND(Q155+SUM(R155:AC155),0)))</f>
        <v/>
      </c>
      <c r="AF155" s="170">
        <f>IF(B155="","",MAX(H155-AE155,0))</f>
        <v/>
      </c>
      <c r="AG155" s="172">
        <f>IF(B155="","",IF('Thiết lập'!$B$4&lt;E155,"Chưa phân bổ",IF(P155&lt;='Thiết lập'!$B$4,"Đã phân bổ","Đang phân bổ")))</f>
        <v/>
      </c>
      <c r="AH155" s="166" t="n"/>
      <c r="AI155" s="174">
        <f>IF(B155="","",IF(AND(C155&lt;&gt;"",D155&lt;&gt;"",E155&lt;&gt;"",E155&gt;=D155,F155&gt;0,G155&gt;0,I155&gt;0,COUNTIF($B$7:$B$306,B155)=1),"OK",IF(C155="","Thiếu tên; ","")&amp;IF(D155="","Thiếu ngày tăng; ","")&amp;IF(E155="","Thiếu ngày bắt đầu; ","")&amp;IF(AND(D155&lt;&gt;"",E155&lt;&gt;"",E155&lt;D155),"Ngày bắt đầu &lt; ngày tăng; ","")&amp;IF(OR(F155="",F155&lt;=0),"Số lượng không hợp lệ; ","")&amp;IF(OR(G155="",G155&lt;=0),"Đơn giá không hợp lệ; ","")&amp;IF(OR(I155="",I155&lt;=0),"Số tháng không hợp lệ; ","")&amp;IF(COUNTIF($B$7:$B$306,B155)&gt;1,"Trùng mã CPTT; ","")))</f>
        <v/>
      </c>
    </row>
    <row r="156" ht="19.5" customHeight="1" s="98">
      <c r="A156" s="164">
        <f>IF(B156="","",ROW()-6)</f>
        <v/>
      </c>
      <c r="B156" s="165" t="n"/>
      <c r="C156" s="166" t="n"/>
      <c r="D156" s="167" t="n"/>
      <c r="E156" s="167" t="n"/>
      <c r="F156" s="168" t="n"/>
      <c r="G156" s="169" t="n"/>
      <c r="H156" s="170">
        <f>IF(OR(F156="",G156=""),"",F156*G156)</f>
        <v/>
      </c>
      <c r="I156" s="171" t="n"/>
      <c r="J156" s="170">
        <f>IF(OR(H156="",E156="",P156=""),"",H156/(P156-E156+1))</f>
        <v/>
      </c>
      <c r="K156" s="165" t="n"/>
      <c r="L156" s="172">
        <f>IF(B156="","",IF(AF156&lt;=0,"Đã phân bổ",IF(P156&lt;=EDATE('Thiết lập'!$B$4,12),"Ngắn hạn","Dài hạn")))</f>
        <v/>
      </c>
      <c r="M156" s="165" t="n"/>
      <c r="N156" s="165" t="n"/>
      <c r="O156" s="165" t="n"/>
      <c r="P156" s="173">
        <f>IF(OR(E156="",I156=""),"",EDATE(E156,I156)-1)</f>
        <v/>
      </c>
      <c r="Q156" s="170">
        <f>IF(OR(B156="",E156="",P156=""),0,MIN(H156,MAX(0,MIN(P156,DATE('Thiết lập'!$B$3-1,12,31))-E156+1)*J156))</f>
        <v/>
      </c>
      <c r="R156" s="170">
        <f>IF(OR($B156="",R$4&gt;$P156,EOMONTH(R$4,0)&lt;$E156),0,MIN($H156,MAX(0,MIN(EOMONTH(R$4,0),$P156)-MAX(R$4,$E156)+1)*$J156))</f>
        <v/>
      </c>
      <c r="S156" s="170">
        <f>IF(OR($B156="",S$4&gt;$P156,EOMONTH(S$4,0)&lt;$E156),0,MIN($H156,MAX(0,MIN(EOMONTH(S$4,0),$P156)-MAX(S$4,$E156)+1)*$J156))</f>
        <v/>
      </c>
      <c r="T156" s="170">
        <f>IF(OR($B156="",T$4&gt;$P156,EOMONTH(T$4,0)&lt;$E156),0,MIN($H156,MAX(0,MIN(EOMONTH(T$4,0),$P156)-MAX(T$4,$E156)+1)*$J156))</f>
        <v/>
      </c>
      <c r="U156" s="170">
        <f>IF(OR($B156="",U$4&gt;$P156,EOMONTH(U$4,0)&lt;$E156),0,MIN($H156,MAX(0,MIN(EOMONTH(U$4,0),$P156)-MAX(U$4,$E156)+1)*$J156))</f>
        <v/>
      </c>
      <c r="V156" s="170">
        <f>IF(OR($B156="",V$4&gt;$P156,EOMONTH(V$4,0)&lt;$E156),0,MIN($H156,MAX(0,MIN(EOMONTH(V$4,0),$P156)-MAX(V$4,$E156)+1)*$J156))</f>
        <v/>
      </c>
      <c r="W156" s="170">
        <f>IF(OR($B156="",W$4&gt;$P156,EOMONTH(W$4,0)&lt;$E156),0,MIN($H156,MAX(0,MIN(EOMONTH(W$4,0),$P156)-MAX(W$4,$E156)+1)*$J156))</f>
        <v/>
      </c>
      <c r="X156" s="170">
        <f>IF(OR($B156="",X$4&gt;$P156,EOMONTH(X$4,0)&lt;$E156),0,MIN($H156,MAX(0,MIN(EOMONTH(X$4,0),$P156)-MAX(X$4,$E156)+1)*$J156))</f>
        <v/>
      </c>
      <c r="Y156" s="170">
        <f>IF(OR($B156="",Y$4&gt;$P156,EOMONTH(Y$4,0)&lt;$E156),0,MIN($H156,MAX(0,MIN(EOMONTH(Y$4,0),$P156)-MAX(Y$4,$E156)+1)*$J156))</f>
        <v/>
      </c>
      <c r="Z156" s="170">
        <f>IF(OR($B156="",Z$4&gt;$P156,EOMONTH(Z$4,0)&lt;$E156),0,MIN($H156,MAX(0,MIN(EOMONTH(Z$4,0),$P156)-MAX(Z$4,$E156)+1)*$J156))</f>
        <v/>
      </c>
      <c r="AA156" s="170">
        <f>IF(OR($B156="",AA$4&gt;$P156,EOMONTH(AA$4,0)&lt;$E156),0,MIN($H156,MAX(0,MIN(EOMONTH(AA$4,0),$P156)-MAX(AA$4,$E156)+1)*$J156))</f>
        <v/>
      </c>
      <c r="AB156" s="170">
        <f>IF(OR($B156="",AB$4&gt;$P156,EOMONTH(AB$4,0)&lt;$E156),0,MIN($H156,MAX(0,MIN(EOMONTH(AB$4,0),$P156)-MAX(AB$4,$E156)+1)*$J156))</f>
        <v/>
      </c>
      <c r="AC156" s="170">
        <f>IF(OR($B156="",AC$4&gt;$P156,EOMONTH(AC$4,0)&lt;$E156),0,MIN($H156,MAX(0,MIN(EOMONTH(AC$4,0),$P156)-MAX(AC$4,$E156)+1)*$J156))</f>
        <v/>
      </c>
      <c r="AD156" s="170">
        <f>IF(B156="","",ROUND(SUM(R156:AC156),0))</f>
        <v/>
      </c>
      <c r="AE156" s="170">
        <f>IF(B156="","",MIN(H156,ROUND(Q156+SUM(R156:AC156),0)))</f>
        <v/>
      </c>
      <c r="AF156" s="170">
        <f>IF(B156="","",MAX(H156-AE156,0))</f>
        <v/>
      </c>
      <c r="AG156" s="172">
        <f>IF(B156="","",IF('Thiết lập'!$B$4&lt;E156,"Chưa phân bổ",IF(P156&lt;='Thiết lập'!$B$4,"Đã phân bổ","Đang phân bổ")))</f>
        <v/>
      </c>
      <c r="AH156" s="166" t="n"/>
      <c r="AI156" s="174">
        <f>IF(B156="","",IF(AND(C156&lt;&gt;"",D156&lt;&gt;"",E156&lt;&gt;"",E156&gt;=D156,F156&gt;0,G156&gt;0,I156&gt;0,COUNTIF($B$7:$B$306,B156)=1),"OK",IF(C156="","Thiếu tên; ","")&amp;IF(D156="","Thiếu ngày tăng; ","")&amp;IF(E156="","Thiếu ngày bắt đầu; ","")&amp;IF(AND(D156&lt;&gt;"",E156&lt;&gt;"",E156&lt;D156),"Ngày bắt đầu &lt; ngày tăng; ","")&amp;IF(OR(F156="",F156&lt;=0),"Số lượng không hợp lệ; ","")&amp;IF(OR(G156="",G156&lt;=0),"Đơn giá không hợp lệ; ","")&amp;IF(OR(I156="",I156&lt;=0),"Số tháng không hợp lệ; ","")&amp;IF(COUNTIF($B$7:$B$306,B156)&gt;1,"Trùng mã CPTT; ","")))</f>
        <v/>
      </c>
    </row>
    <row r="157" ht="19.5" customHeight="1" s="98">
      <c r="A157" s="164">
        <f>IF(B157="","",ROW()-6)</f>
        <v/>
      </c>
      <c r="B157" s="165" t="n"/>
      <c r="C157" s="166" t="n"/>
      <c r="D157" s="167" t="n"/>
      <c r="E157" s="167" t="n"/>
      <c r="F157" s="168" t="n"/>
      <c r="G157" s="169" t="n"/>
      <c r="H157" s="170">
        <f>IF(OR(F157="",G157=""),"",F157*G157)</f>
        <v/>
      </c>
      <c r="I157" s="171" t="n"/>
      <c r="J157" s="170">
        <f>IF(OR(H157="",E157="",P157=""),"",H157/(P157-E157+1))</f>
        <v/>
      </c>
      <c r="K157" s="165" t="n"/>
      <c r="L157" s="172">
        <f>IF(B157="","",IF(AF157&lt;=0,"Đã phân bổ",IF(P157&lt;=EDATE('Thiết lập'!$B$4,12),"Ngắn hạn","Dài hạn")))</f>
        <v/>
      </c>
      <c r="M157" s="165" t="n"/>
      <c r="N157" s="165" t="n"/>
      <c r="O157" s="165" t="n"/>
      <c r="P157" s="173">
        <f>IF(OR(E157="",I157=""),"",EDATE(E157,I157)-1)</f>
        <v/>
      </c>
      <c r="Q157" s="170">
        <f>IF(OR(B157="",E157="",P157=""),0,MIN(H157,MAX(0,MIN(P157,DATE('Thiết lập'!$B$3-1,12,31))-E157+1)*J157))</f>
        <v/>
      </c>
      <c r="R157" s="170">
        <f>IF(OR($B157="",R$4&gt;$P157,EOMONTH(R$4,0)&lt;$E157),0,MIN($H157,MAX(0,MIN(EOMONTH(R$4,0),$P157)-MAX(R$4,$E157)+1)*$J157))</f>
        <v/>
      </c>
      <c r="S157" s="170">
        <f>IF(OR($B157="",S$4&gt;$P157,EOMONTH(S$4,0)&lt;$E157),0,MIN($H157,MAX(0,MIN(EOMONTH(S$4,0),$P157)-MAX(S$4,$E157)+1)*$J157))</f>
        <v/>
      </c>
      <c r="T157" s="170">
        <f>IF(OR($B157="",T$4&gt;$P157,EOMONTH(T$4,0)&lt;$E157),0,MIN($H157,MAX(0,MIN(EOMONTH(T$4,0),$P157)-MAX(T$4,$E157)+1)*$J157))</f>
        <v/>
      </c>
      <c r="U157" s="170">
        <f>IF(OR($B157="",U$4&gt;$P157,EOMONTH(U$4,0)&lt;$E157),0,MIN($H157,MAX(0,MIN(EOMONTH(U$4,0),$P157)-MAX(U$4,$E157)+1)*$J157))</f>
        <v/>
      </c>
      <c r="V157" s="170">
        <f>IF(OR($B157="",V$4&gt;$P157,EOMONTH(V$4,0)&lt;$E157),0,MIN($H157,MAX(0,MIN(EOMONTH(V$4,0),$P157)-MAX(V$4,$E157)+1)*$J157))</f>
        <v/>
      </c>
      <c r="W157" s="170">
        <f>IF(OR($B157="",W$4&gt;$P157,EOMONTH(W$4,0)&lt;$E157),0,MIN($H157,MAX(0,MIN(EOMONTH(W$4,0),$P157)-MAX(W$4,$E157)+1)*$J157))</f>
        <v/>
      </c>
      <c r="X157" s="170">
        <f>IF(OR($B157="",X$4&gt;$P157,EOMONTH(X$4,0)&lt;$E157),0,MIN($H157,MAX(0,MIN(EOMONTH(X$4,0),$P157)-MAX(X$4,$E157)+1)*$J157))</f>
        <v/>
      </c>
      <c r="Y157" s="170">
        <f>IF(OR($B157="",Y$4&gt;$P157,EOMONTH(Y$4,0)&lt;$E157),0,MIN($H157,MAX(0,MIN(EOMONTH(Y$4,0),$P157)-MAX(Y$4,$E157)+1)*$J157))</f>
        <v/>
      </c>
      <c r="Z157" s="170">
        <f>IF(OR($B157="",Z$4&gt;$P157,EOMONTH(Z$4,0)&lt;$E157),0,MIN($H157,MAX(0,MIN(EOMONTH(Z$4,0),$P157)-MAX(Z$4,$E157)+1)*$J157))</f>
        <v/>
      </c>
      <c r="AA157" s="170">
        <f>IF(OR($B157="",AA$4&gt;$P157,EOMONTH(AA$4,0)&lt;$E157),0,MIN($H157,MAX(0,MIN(EOMONTH(AA$4,0),$P157)-MAX(AA$4,$E157)+1)*$J157))</f>
        <v/>
      </c>
      <c r="AB157" s="170">
        <f>IF(OR($B157="",AB$4&gt;$P157,EOMONTH(AB$4,0)&lt;$E157),0,MIN($H157,MAX(0,MIN(EOMONTH(AB$4,0),$P157)-MAX(AB$4,$E157)+1)*$J157))</f>
        <v/>
      </c>
      <c r="AC157" s="170">
        <f>IF(OR($B157="",AC$4&gt;$P157,EOMONTH(AC$4,0)&lt;$E157),0,MIN($H157,MAX(0,MIN(EOMONTH(AC$4,0),$P157)-MAX(AC$4,$E157)+1)*$J157))</f>
        <v/>
      </c>
      <c r="AD157" s="170">
        <f>IF(B157="","",ROUND(SUM(R157:AC157),0))</f>
        <v/>
      </c>
      <c r="AE157" s="170">
        <f>IF(B157="","",MIN(H157,ROUND(Q157+SUM(R157:AC157),0)))</f>
        <v/>
      </c>
      <c r="AF157" s="170">
        <f>IF(B157="","",MAX(H157-AE157,0))</f>
        <v/>
      </c>
      <c r="AG157" s="172">
        <f>IF(B157="","",IF('Thiết lập'!$B$4&lt;E157,"Chưa phân bổ",IF(P157&lt;='Thiết lập'!$B$4,"Đã phân bổ","Đang phân bổ")))</f>
        <v/>
      </c>
      <c r="AH157" s="166" t="n"/>
      <c r="AI157" s="174">
        <f>IF(B157="","",IF(AND(C157&lt;&gt;"",D157&lt;&gt;"",E157&lt;&gt;"",E157&gt;=D157,F157&gt;0,G157&gt;0,I157&gt;0,COUNTIF($B$7:$B$306,B157)=1),"OK",IF(C157="","Thiếu tên; ","")&amp;IF(D157="","Thiếu ngày tăng; ","")&amp;IF(E157="","Thiếu ngày bắt đầu; ","")&amp;IF(AND(D157&lt;&gt;"",E157&lt;&gt;"",E157&lt;D157),"Ngày bắt đầu &lt; ngày tăng; ","")&amp;IF(OR(F157="",F157&lt;=0),"Số lượng không hợp lệ; ","")&amp;IF(OR(G157="",G157&lt;=0),"Đơn giá không hợp lệ; ","")&amp;IF(OR(I157="",I157&lt;=0),"Số tháng không hợp lệ; ","")&amp;IF(COUNTIF($B$7:$B$306,B157)&gt;1,"Trùng mã CPTT; ","")))</f>
        <v/>
      </c>
    </row>
    <row r="158" ht="19.5" customHeight="1" s="98">
      <c r="A158" s="164">
        <f>IF(B158="","",ROW()-6)</f>
        <v/>
      </c>
      <c r="B158" s="165" t="n"/>
      <c r="C158" s="166" t="n"/>
      <c r="D158" s="167" t="n"/>
      <c r="E158" s="167" t="n"/>
      <c r="F158" s="168" t="n"/>
      <c r="G158" s="169" t="n"/>
      <c r="H158" s="170">
        <f>IF(OR(F158="",G158=""),"",F158*G158)</f>
        <v/>
      </c>
      <c r="I158" s="171" t="n"/>
      <c r="J158" s="170">
        <f>IF(OR(H158="",E158="",P158=""),"",H158/(P158-E158+1))</f>
        <v/>
      </c>
      <c r="K158" s="165" t="n"/>
      <c r="L158" s="172">
        <f>IF(B158="","",IF(AF158&lt;=0,"Đã phân bổ",IF(P158&lt;=EDATE('Thiết lập'!$B$4,12),"Ngắn hạn","Dài hạn")))</f>
        <v/>
      </c>
      <c r="M158" s="165" t="n"/>
      <c r="N158" s="165" t="n"/>
      <c r="O158" s="165" t="n"/>
      <c r="P158" s="173">
        <f>IF(OR(E158="",I158=""),"",EDATE(E158,I158)-1)</f>
        <v/>
      </c>
      <c r="Q158" s="170">
        <f>IF(OR(B158="",E158="",P158=""),0,MIN(H158,MAX(0,MIN(P158,DATE('Thiết lập'!$B$3-1,12,31))-E158+1)*J158))</f>
        <v/>
      </c>
      <c r="R158" s="170">
        <f>IF(OR($B158="",R$4&gt;$P158,EOMONTH(R$4,0)&lt;$E158),0,MIN($H158,MAX(0,MIN(EOMONTH(R$4,0),$P158)-MAX(R$4,$E158)+1)*$J158))</f>
        <v/>
      </c>
      <c r="S158" s="170">
        <f>IF(OR($B158="",S$4&gt;$P158,EOMONTH(S$4,0)&lt;$E158),0,MIN($H158,MAX(0,MIN(EOMONTH(S$4,0),$P158)-MAX(S$4,$E158)+1)*$J158))</f>
        <v/>
      </c>
      <c r="T158" s="170">
        <f>IF(OR($B158="",T$4&gt;$P158,EOMONTH(T$4,0)&lt;$E158),0,MIN($H158,MAX(0,MIN(EOMONTH(T$4,0),$P158)-MAX(T$4,$E158)+1)*$J158))</f>
        <v/>
      </c>
      <c r="U158" s="170">
        <f>IF(OR($B158="",U$4&gt;$P158,EOMONTH(U$4,0)&lt;$E158),0,MIN($H158,MAX(0,MIN(EOMONTH(U$4,0),$P158)-MAX(U$4,$E158)+1)*$J158))</f>
        <v/>
      </c>
      <c r="V158" s="170">
        <f>IF(OR($B158="",V$4&gt;$P158,EOMONTH(V$4,0)&lt;$E158),0,MIN($H158,MAX(0,MIN(EOMONTH(V$4,0),$P158)-MAX(V$4,$E158)+1)*$J158))</f>
        <v/>
      </c>
      <c r="W158" s="170">
        <f>IF(OR($B158="",W$4&gt;$P158,EOMONTH(W$4,0)&lt;$E158),0,MIN($H158,MAX(0,MIN(EOMONTH(W$4,0),$P158)-MAX(W$4,$E158)+1)*$J158))</f>
        <v/>
      </c>
      <c r="X158" s="170">
        <f>IF(OR($B158="",X$4&gt;$P158,EOMONTH(X$4,0)&lt;$E158),0,MIN($H158,MAX(0,MIN(EOMONTH(X$4,0),$P158)-MAX(X$4,$E158)+1)*$J158))</f>
        <v/>
      </c>
      <c r="Y158" s="170">
        <f>IF(OR($B158="",Y$4&gt;$P158,EOMONTH(Y$4,0)&lt;$E158),0,MIN($H158,MAX(0,MIN(EOMONTH(Y$4,0),$P158)-MAX(Y$4,$E158)+1)*$J158))</f>
        <v/>
      </c>
      <c r="Z158" s="170">
        <f>IF(OR($B158="",Z$4&gt;$P158,EOMONTH(Z$4,0)&lt;$E158),0,MIN($H158,MAX(0,MIN(EOMONTH(Z$4,0),$P158)-MAX(Z$4,$E158)+1)*$J158))</f>
        <v/>
      </c>
      <c r="AA158" s="170">
        <f>IF(OR($B158="",AA$4&gt;$P158,EOMONTH(AA$4,0)&lt;$E158),0,MIN($H158,MAX(0,MIN(EOMONTH(AA$4,0),$P158)-MAX(AA$4,$E158)+1)*$J158))</f>
        <v/>
      </c>
      <c r="AB158" s="170">
        <f>IF(OR($B158="",AB$4&gt;$P158,EOMONTH(AB$4,0)&lt;$E158),0,MIN($H158,MAX(0,MIN(EOMONTH(AB$4,0),$P158)-MAX(AB$4,$E158)+1)*$J158))</f>
        <v/>
      </c>
      <c r="AC158" s="170">
        <f>IF(OR($B158="",AC$4&gt;$P158,EOMONTH(AC$4,0)&lt;$E158),0,MIN($H158,MAX(0,MIN(EOMONTH(AC$4,0),$P158)-MAX(AC$4,$E158)+1)*$J158))</f>
        <v/>
      </c>
      <c r="AD158" s="170">
        <f>IF(B158="","",ROUND(SUM(R158:AC158),0))</f>
        <v/>
      </c>
      <c r="AE158" s="170">
        <f>IF(B158="","",MIN(H158,ROUND(Q158+SUM(R158:AC158),0)))</f>
        <v/>
      </c>
      <c r="AF158" s="170">
        <f>IF(B158="","",MAX(H158-AE158,0))</f>
        <v/>
      </c>
      <c r="AG158" s="172">
        <f>IF(B158="","",IF('Thiết lập'!$B$4&lt;E158,"Chưa phân bổ",IF(P158&lt;='Thiết lập'!$B$4,"Đã phân bổ","Đang phân bổ")))</f>
        <v/>
      </c>
      <c r="AH158" s="166" t="n"/>
      <c r="AI158" s="174">
        <f>IF(B158="","",IF(AND(C158&lt;&gt;"",D158&lt;&gt;"",E158&lt;&gt;"",E158&gt;=D158,F158&gt;0,G158&gt;0,I158&gt;0,COUNTIF($B$7:$B$306,B158)=1),"OK",IF(C158="","Thiếu tên; ","")&amp;IF(D158="","Thiếu ngày tăng; ","")&amp;IF(E158="","Thiếu ngày bắt đầu; ","")&amp;IF(AND(D158&lt;&gt;"",E158&lt;&gt;"",E158&lt;D158),"Ngày bắt đầu &lt; ngày tăng; ","")&amp;IF(OR(F158="",F158&lt;=0),"Số lượng không hợp lệ; ","")&amp;IF(OR(G158="",G158&lt;=0),"Đơn giá không hợp lệ; ","")&amp;IF(OR(I158="",I158&lt;=0),"Số tháng không hợp lệ; ","")&amp;IF(COUNTIF($B$7:$B$306,B158)&gt;1,"Trùng mã CPTT; ","")))</f>
        <v/>
      </c>
    </row>
    <row r="159" ht="19.5" customHeight="1" s="98">
      <c r="A159" s="164">
        <f>IF(B159="","",ROW()-6)</f>
        <v/>
      </c>
      <c r="B159" s="165" t="n"/>
      <c r="C159" s="166" t="n"/>
      <c r="D159" s="167" t="n"/>
      <c r="E159" s="167" t="n"/>
      <c r="F159" s="168" t="n"/>
      <c r="G159" s="169" t="n"/>
      <c r="H159" s="170">
        <f>IF(OR(F159="",G159=""),"",F159*G159)</f>
        <v/>
      </c>
      <c r="I159" s="171" t="n"/>
      <c r="J159" s="170">
        <f>IF(OR(H159="",E159="",P159=""),"",H159/(P159-E159+1))</f>
        <v/>
      </c>
      <c r="K159" s="165" t="n"/>
      <c r="L159" s="172">
        <f>IF(B159="","",IF(AF159&lt;=0,"Đã phân bổ",IF(P159&lt;=EDATE('Thiết lập'!$B$4,12),"Ngắn hạn","Dài hạn")))</f>
        <v/>
      </c>
      <c r="M159" s="165" t="n"/>
      <c r="N159" s="165" t="n"/>
      <c r="O159" s="165" t="n"/>
      <c r="P159" s="173">
        <f>IF(OR(E159="",I159=""),"",EDATE(E159,I159)-1)</f>
        <v/>
      </c>
      <c r="Q159" s="170">
        <f>IF(OR(B159="",E159="",P159=""),0,MIN(H159,MAX(0,MIN(P159,DATE('Thiết lập'!$B$3-1,12,31))-E159+1)*J159))</f>
        <v/>
      </c>
      <c r="R159" s="170">
        <f>IF(OR($B159="",R$4&gt;$P159,EOMONTH(R$4,0)&lt;$E159),0,MIN($H159,MAX(0,MIN(EOMONTH(R$4,0),$P159)-MAX(R$4,$E159)+1)*$J159))</f>
        <v/>
      </c>
      <c r="S159" s="170">
        <f>IF(OR($B159="",S$4&gt;$P159,EOMONTH(S$4,0)&lt;$E159),0,MIN($H159,MAX(0,MIN(EOMONTH(S$4,0),$P159)-MAX(S$4,$E159)+1)*$J159))</f>
        <v/>
      </c>
      <c r="T159" s="170">
        <f>IF(OR($B159="",T$4&gt;$P159,EOMONTH(T$4,0)&lt;$E159),0,MIN($H159,MAX(0,MIN(EOMONTH(T$4,0),$P159)-MAX(T$4,$E159)+1)*$J159))</f>
        <v/>
      </c>
      <c r="U159" s="170">
        <f>IF(OR($B159="",U$4&gt;$P159,EOMONTH(U$4,0)&lt;$E159),0,MIN($H159,MAX(0,MIN(EOMONTH(U$4,0),$P159)-MAX(U$4,$E159)+1)*$J159))</f>
        <v/>
      </c>
      <c r="V159" s="170">
        <f>IF(OR($B159="",V$4&gt;$P159,EOMONTH(V$4,0)&lt;$E159),0,MIN($H159,MAX(0,MIN(EOMONTH(V$4,0),$P159)-MAX(V$4,$E159)+1)*$J159))</f>
        <v/>
      </c>
      <c r="W159" s="170">
        <f>IF(OR($B159="",W$4&gt;$P159,EOMONTH(W$4,0)&lt;$E159),0,MIN($H159,MAX(0,MIN(EOMONTH(W$4,0),$P159)-MAX(W$4,$E159)+1)*$J159))</f>
        <v/>
      </c>
      <c r="X159" s="170">
        <f>IF(OR($B159="",X$4&gt;$P159,EOMONTH(X$4,0)&lt;$E159),0,MIN($H159,MAX(0,MIN(EOMONTH(X$4,0),$P159)-MAX(X$4,$E159)+1)*$J159))</f>
        <v/>
      </c>
      <c r="Y159" s="170">
        <f>IF(OR($B159="",Y$4&gt;$P159,EOMONTH(Y$4,0)&lt;$E159),0,MIN($H159,MAX(0,MIN(EOMONTH(Y$4,0),$P159)-MAX(Y$4,$E159)+1)*$J159))</f>
        <v/>
      </c>
      <c r="Z159" s="170">
        <f>IF(OR($B159="",Z$4&gt;$P159,EOMONTH(Z$4,0)&lt;$E159),0,MIN($H159,MAX(0,MIN(EOMONTH(Z$4,0),$P159)-MAX(Z$4,$E159)+1)*$J159))</f>
        <v/>
      </c>
      <c r="AA159" s="170">
        <f>IF(OR($B159="",AA$4&gt;$P159,EOMONTH(AA$4,0)&lt;$E159),0,MIN($H159,MAX(0,MIN(EOMONTH(AA$4,0),$P159)-MAX(AA$4,$E159)+1)*$J159))</f>
        <v/>
      </c>
      <c r="AB159" s="170">
        <f>IF(OR($B159="",AB$4&gt;$P159,EOMONTH(AB$4,0)&lt;$E159),0,MIN($H159,MAX(0,MIN(EOMONTH(AB$4,0),$P159)-MAX(AB$4,$E159)+1)*$J159))</f>
        <v/>
      </c>
      <c r="AC159" s="170">
        <f>IF(OR($B159="",AC$4&gt;$P159,EOMONTH(AC$4,0)&lt;$E159),0,MIN($H159,MAX(0,MIN(EOMONTH(AC$4,0),$P159)-MAX(AC$4,$E159)+1)*$J159))</f>
        <v/>
      </c>
      <c r="AD159" s="170">
        <f>IF(B159="","",ROUND(SUM(R159:AC159),0))</f>
        <v/>
      </c>
      <c r="AE159" s="170">
        <f>IF(B159="","",MIN(H159,ROUND(Q159+SUM(R159:AC159),0)))</f>
        <v/>
      </c>
      <c r="AF159" s="170">
        <f>IF(B159="","",MAX(H159-AE159,0))</f>
        <v/>
      </c>
      <c r="AG159" s="172">
        <f>IF(B159="","",IF('Thiết lập'!$B$4&lt;E159,"Chưa phân bổ",IF(P159&lt;='Thiết lập'!$B$4,"Đã phân bổ","Đang phân bổ")))</f>
        <v/>
      </c>
      <c r="AH159" s="166" t="n"/>
      <c r="AI159" s="174">
        <f>IF(B159="","",IF(AND(C159&lt;&gt;"",D159&lt;&gt;"",E159&lt;&gt;"",E159&gt;=D159,F159&gt;0,G159&gt;0,I159&gt;0,COUNTIF($B$7:$B$306,B159)=1),"OK",IF(C159="","Thiếu tên; ","")&amp;IF(D159="","Thiếu ngày tăng; ","")&amp;IF(E159="","Thiếu ngày bắt đầu; ","")&amp;IF(AND(D159&lt;&gt;"",E159&lt;&gt;"",E159&lt;D159),"Ngày bắt đầu &lt; ngày tăng; ","")&amp;IF(OR(F159="",F159&lt;=0),"Số lượng không hợp lệ; ","")&amp;IF(OR(G159="",G159&lt;=0),"Đơn giá không hợp lệ; ","")&amp;IF(OR(I159="",I159&lt;=0),"Số tháng không hợp lệ; ","")&amp;IF(COUNTIF($B$7:$B$306,B159)&gt;1,"Trùng mã CPTT; ","")))</f>
        <v/>
      </c>
    </row>
    <row r="160" ht="19.5" customHeight="1" s="98">
      <c r="A160" s="164">
        <f>IF(B160="","",ROW()-6)</f>
        <v/>
      </c>
      <c r="B160" s="165" t="n"/>
      <c r="C160" s="166" t="n"/>
      <c r="D160" s="167" t="n"/>
      <c r="E160" s="167" t="n"/>
      <c r="F160" s="168" t="n"/>
      <c r="G160" s="169" t="n"/>
      <c r="H160" s="170">
        <f>IF(OR(F160="",G160=""),"",F160*G160)</f>
        <v/>
      </c>
      <c r="I160" s="171" t="n"/>
      <c r="J160" s="170">
        <f>IF(OR(H160="",E160="",P160=""),"",H160/(P160-E160+1))</f>
        <v/>
      </c>
      <c r="K160" s="165" t="n"/>
      <c r="L160" s="172">
        <f>IF(B160="","",IF(AF160&lt;=0,"Đã phân bổ",IF(P160&lt;=EDATE('Thiết lập'!$B$4,12),"Ngắn hạn","Dài hạn")))</f>
        <v/>
      </c>
      <c r="M160" s="165" t="n"/>
      <c r="N160" s="165" t="n"/>
      <c r="O160" s="165" t="n"/>
      <c r="P160" s="173">
        <f>IF(OR(E160="",I160=""),"",EDATE(E160,I160)-1)</f>
        <v/>
      </c>
      <c r="Q160" s="170">
        <f>IF(OR(B160="",E160="",P160=""),0,MIN(H160,MAX(0,MIN(P160,DATE('Thiết lập'!$B$3-1,12,31))-E160+1)*J160))</f>
        <v/>
      </c>
      <c r="R160" s="170">
        <f>IF(OR($B160="",R$4&gt;$P160,EOMONTH(R$4,0)&lt;$E160),0,MIN($H160,MAX(0,MIN(EOMONTH(R$4,0),$P160)-MAX(R$4,$E160)+1)*$J160))</f>
        <v/>
      </c>
      <c r="S160" s="170">
        <f>IF(OR($B160="",S$4&gt;$P160,EOMONTH(S$4,0)&lt;$E160),0,MIN($H160,MAX(0,MIN(EOMONTH(S$4,0),$P160)-MAX(S$4,$E160)+1)*$J160))</f>
        <v/>
      </c>
      <c r="T160" s="170">
        <f>IF(OR($B160="",T$4&gt;$P160,EOMONTH(T$4,0)&lt;$E160),0,MIN($H160,MAX(0,MIN(EOMONTH(T$4,0),$P160)-MAX(T$4,$E160)+1)*$J160))</f>
        <v/>
      </c>
      <c r="U160" s="170">
        <f>IF(OR($B160="",U$4&gt;$P160,EOMONTH(U$4,0)&lt;$E160),0,MIN($H160,MAX(0,MIN(EOMONTH(U$4,0),$P160)-MAX(U$4,$E160)+1)*$J160))</f>
        <v/>
      </c>
      <c r="V160" s="170">
        <f>IF(OR($B160="",V$4&gt;$P160,EOMONTH(V$4,0)&lt;$E160),0,MIN($H160,MAX(0,MIN(EOMONTH(V$4,0),$P160)-MAX(V$4,$E160)+1)*$J160))</f>
        <v/>
      </c>
      <c r="W160" s="170">
        <f>IF(OR($B160="",W$4&gt;$P160,EOMONTH(W$4,0)&lt;$E160),0,MIN($H160,MAX(0,MIN(EOMONTH(W$4,0),$P160)-MAX(W$4,$E160)+1)*$J160))</f>
        <v/>
      </c>
      <c r="X160" s="170">
        <f>IF(OR($B160="",X$4&gt;$P160,EOMONTH(X$4,0)&lt;$E160),0,MIN($H160,MAX(0,MIN(EOMONTH(X$4,0),$P160)-MAX(X$4,$E160)+1)*$J160))</f>
        <v/>
      </c>
      <c r="Y160" s="170">
        <f>IF(OR($B160="",Y$4&gt;$P160,EOMONTH(Y$4,0)&lt;$E160),0,MIN($H160,MAX(0,MIN(EOMONTH(Y$4,0),$P160)-MAX(Y$4,$E160)+1)*$J160))</f>
        <v/>
      </c>
      <c r="Z160" s="170">
        <f>IF(OR($B160="",Z$4&gt;$P160,EOMONTH(Z$4,0)&lt;$E160),0,MIN($H160,MAX(0,MIN(EOMONTH(Z$4,0),$P160)-MAX(Z$4,$E160)+1)*$J160))</f>
        <v/>
      </c>
      <c r="AA160" s="170">
        <f>IF(OR($B160="",AA$4&gt;$P160,EOMONTH(AA$4,0)&lt;$E160),0,MIN($H160,MAX(0,MIN(EOMONTH(AA$4,0),$P160)-MAX(AA$4,$E160)+1)*$J160))</f>
        <v/>
      </c>
      <c r="AB160" s="170">
        <f>IF(OR($B160="",AB$4&gt;$P160,EOMONTH(AB$4,0)&lt;$E160),0,MIN($H160,MAX(0,MIN(EOMONTH(AB$4,0),$P160)-MAX(AB$4,$E160)+1)*$J160))</f>
        <v/>
      </c>
      <c r="AC160" s="170">
        <f>IF(OR($B160="",AC$4&gt;$P160,EOMONTH(AC$4,0)&lt;$E160),0,MIN($H160,MAX(0,MIN(EOMONTH(AC$4,0),$P160)-MAX(AC$4,$E160)+1)*$J160))</f>
        <v/>
      </c>
      <c r="AD160" s="170">
        <f>IF(B160="","",ROUND(SUM(R160:AC160),0))</f>
        <v/>
      </c>
      <c r="AE160" s="170">
        <f>IF(B160="","",MIN(H160,ROUND(Q160+SUM(R160:AC160),0)))</f>
        <v/>
      </c>
      <c r="AF160" s="170">
        <f>IF(B160="","",MAX(H160-AE160,0))</f>
        <v/>
      </c>
      <c r="AG160" s="172">
        <f>IF(B160="","",IF('Thiết lập'!$B$4&lt;E160,"Chưa phân bổ",IF(P160&lt;='Thiết lập'!$B$4,"Đã phân bổ","Đang phân bổ")))</f>
        <v/>
      </c>
      <c r="AH160" s="166" t="n"/>
      <c r="AI160" s="174">
        <f>IF(B160="","",IF(AND(C160&lt;&gt;"",D160&lt;&gt;"",E160&lt;&gt;"",E160&gt;=D160,F160&gt;0,G160&gt;0,I160&gt;0,COUNTIF($B$7:$B$306,B160)=1),"OK",IF(C160="","Thiếu tên; ","")&amp;IF(D160="","Thiếu ngày tăng; ","")&amp;IF(E160="","Thiếu ngày bắt đầu; ","")&amp;IF(AND(D160&lt;&gt;"",E160&lt;&gt;"",E160&lt;D160),"Ngày bắt đầu &lt; ngày tăng; ","")&amp;IF(OR(F160="",F160&lt;=0),"Số lượng không hợp lệ; ","")&amp;IF(OR(G160="",G160&lt;=0),"Đơn giá không hợp lệ; ","")&amp;IF(OR(I160="",I160&lt;=0),"Số tháng không hợp lệ; ","")&amp;IF(COUNTIF($B$7:$B$306,B160)&gt;1,"Trùng mã CPTT; ","")))</f>
        <v/>
      </c>
    </row>
    <row r="161" ht="19.5" customHeight="1" s="98">
      <c r="A161" s="164">
        <f>IF(B161="","",ROW()-6)</f>
        <v/>
      </c>
      <c r="B161" s="165" t="n"/>
      <c r="C161" s="166" t="n"/>
      <c r="D161" s="167" t="n"/>
      <c r="E161" s="167" t="n"/>
      <c r="F161" s="168" t="n"/>
      <c r="G161" s="169" t="n"/>
      <c r="H161" s="170">
        <f>IF(OR(F161="",G161=""),"",F161*G161)</f>
        <v/>
      </c>
      <c r="I161" s="171" t="n"/>
      <c r="J161" s="170">
        <f>IF(OR(H161="",E161="",P161=""),"",H161/(P161-E161+1))</f>
        <v/>
      </c>
      <c r="K161" s="165" t="n"/>
      <c r="L161" s="172">
        <f>IF(B161="","",IF(AF161&lt;=0,"Đã phân bổ",IF(P161&lt;=EDATE('Thiết lập'!$B$4,12),"Ngắn hạn","Dài hạn")))</f>
        <v/>
      </c>
      <c r="M161" s="165" t="n"/>
      <c r="N161" s="165" t="n"/>
      <c r="O161" s="165" t="n"/>
      <c r="P161" s="173">
        <f>IF(OR(E161="",I161=""),"",EDATE(E161,I161)-1)</f>
        <v/>
      </c>
      <c r="Q161" s="170">
        <f>IF(OR(B161="",E161="",P161=""),0,MIN(H161,MAX(0,MIN(P161,DATE('Thiết lập'!$B$3-1,12,31))-E161+1)*J161))</f>
        <v/>
      </c>
      <c r="R161" s="170">
        <f>IF(OR($B161="",R$4&gt;$P161,EOMONTH(R$4,0)&lt;$E161),0,MIN($H161,MAX(0,MIN(EOMONTH(R$4,0),$P161)-MAX(R$4,$E161)+1)*$J161))</f>
        <v/>
      </c>
      <c r="S161" s="170">
        <f>IF(OR($B161="",S$4&gt;$P161,EOMONTH(S$4,0)&lt;$E161),0,MIN($H161,MAX(0,MIN(EOMONTH(S$4,0),$P161)-MAX(S$4,$E161)+1)*$J161))</f>
        <v/>
      </c>
      <c r="T161" s="170">
        <f>IF(OR($B161="",T$4&gt;$P161,EOMONTH(T$4,0)&lt;$E161),0,MIN($H161,MAX(0,MIN(EOMONTH(T$4,0),$P161)-MAX(T$4,$E161)+1)*$J161))</f>
        <v/>
      </c>
      <c r="U161" s="170">
        <f>IF(OR($B161="",U$4&gt;$P161,EOMONTH(U$4,0)&lt;$E161),0,MIN($H161,MAX(0,MIN(EOMONTH(U$4,0),$P161)-MAX(U$4,$E161)+1)*$J161))</f>
        <v/>
      </c>
      <c r="V161" s="170">
        <f>IF(OR($B161="",V$4&gt;$P161,EOMONTH(V$4,0)&lt;$E161),0,MIN($H161,MAX(0,MIN(EOMONTH(V$4,0),$P161)-MAX(V$4,$E161)+1)*$J161))</f>
        <v/>
      </c>
      <c r="W161" s="170">
        <f>IF(OR($B161="",W$4&gt;$P161,EOMONTH(W$4,0)&lt;$E161),0,MIN($H161,MAX(0,MIN(EOMONTH(W$4,0),$P161)-MAX(W$4,$E161)+1)*$J161))</f>
        <v/>
      </c>
      <c r="X161" s="170">
        <f>IF(OR($B161="",X$4&gt;$P161,EOMONTH(X$4,0)&lt;$E161),0,MIN($H161,MAX(0,MIN(EOMONTH(X$4,0),$P161)-MAX(X$4,$E161)+1)*$J161))</f>
        <v/>
      </c>
      <c r="Y161" s="170">
        <f>IF(OR($B161="",Y$4&gt;$P161,EOMONTH(Y$4,0)&lt;$E161),0,MIN($H161,MAX(0,MIN(EOMONTH(Y$4,0),$P161)-MAX(Y$4,$E161)+1)*$J161))</f>
        <v/>
      </c>
      <c r="Z161" s="170">
        <f>IF(OR($B161="",Z$4&gt;$P161,EOMONTH(Z$4,0)&lt;$E161),0,MIN($H161,MAX(0,MIN(EOMONTH(Z$4,0),$P161)-MAX(Z$4,$E161)+1)*$J161))</f>
        <v/>
      </c>
      <c r="AA161" s="170">
        <f>IF(OR($B161="",AA$4&gt;$P161,EOMONTH(AA$4,0)&lt;$E161),0,MIN($H161,MAX(0,MIN(EOMONTH(AA$4,0),$P161)-MAX(AA$4,$E161)+1)*$J161))</f>
        <v/>
      </c>
      <c r="AB161" s="170">
        <f>IF(OR($B161="",AB$4&gt;$P161,EOMONTH(AB$4,0)&lt;$E161),0,MIN($H161,MAX(0,MIN(EOMONTH(AB$4,0),$P161)-MAX(AB$4,$E161)+1)*$J161))</f>
        <v/>
      </c>
      <c r="AC161" s="170">
        <f>IF(OR($B161="",AC$4&gt;$P161,EOMONTH(AC$4,0)&lt;$E161),0,MIN($H161,MAX(0,MIN(EOMONTH(AC$4,0),$P161)-MAX(AC$4,$E161)+1)*$J161))</f>
        <v/>
      </c>
      <c r="AD161" s="170">
        <f>IF(B161="","",ROUND(SUM(R161:AC161),0))</f>
        <v/>
      </c>
      <c r="AE161" s="170">
        <f>IF(B161="","",MIN(H161,ROUND(Q161+SUM(R161:AC161),0)))</f>
        <v/>
      </c>
      <c r="AF161" s="170">
        <f>IF(B161="","",MAX(H161-AE161,0))</f>
        <v/>
      </c>
      <c r="AG161" s="172">
        <f>IF(B161="","",IF('Thiết lập'!$B$4&lt;E161,"Chưa phân bổ",IF(P161&lt;='Thiết lập'!$B$4,"Đã phân bổ","Đang phân bổ")))</f>
        <v/>
      </c>
      <c r="AH161" s="166" t="n"/>
      <c r="AI161" s="174">
        <f>IF(B161="","",IF(AND(C161&lt;&gt;"",D161&lt;&gt;"",E161&lt;&gt;"",E161&gt;=D161,F161&gt;0,G161&gt;0,I161&gt;0,COUNTIF($B$7:$B$306,B161)=1),"OK",IF(C161="","Thiếu tên; ","")&amp;IF(D161="","Thiếu ngày tăng; ","")&amp;IF(E161="","Thiếu ngày bắt đầu; ","")&amp;IF(AND(D161&lt;&gt;"",E161&lt;&gt;"",E161&lt;D161),"Ngày bắt đầu &lt; ngày tăng; ","")&amp;IF(OR(F161="",F161&lt;=0),"Số lượng không hợp lệ; ","")&amp;IF(OR(G161="",G161&lt;=0),"Đơn giá không hợp lệ; ","")&amp;IF(OR(I161="",I161&lt;=0),"Số tháng không hợp lệ; ","")&amp;IF(COUNTIF($B$7:$B$306,B161)&gt;1,"Trùng mã CPTT; ","")))</f>
        <v/>
      </c>
    </row>
    <row r="162" ht="19.5" customHeight="1" s="98">
      <c r="A162" s="164">
        <f>IF(B162="","",ROW()-6)</f>
        <v/>
      </c>
      <c r="B162" s="165" t="n"/>
      <c r="C162" s="166" t="n"/>
      <c r="D162" s="167" t="n"/>
      <c r="E162" s="167" t="n"/>
      <c r="F162" s="168" t="n"/>
      <c r="G162" s="169" t="n"/>
      <c r="H162" s="170">
        <f>IF(OR(F162="",G162=""),"",F162*G162)</f>
        <v/>
      </c>
      <c r="I162" s="171" t="n"/>
      <c r="J162" s="170">
        <f>IF(OR(H162="",E162="",P162=""),"",H162/(P162-E162+1))</f>
        <v/>
      </c>
      <c r="K162" s="165" t="n"/>
      <c r="L162" s="172">
        <f>IF(B162="","",IF(AF162&lt;=0,"Đã phân bổ",IF(P162&lt;=EDATE('Thiết lập'!$B$4,12),"Ngắn hạn","Dài hạn")))</f>
        <v/>
      </c>
      <c r="M162" s="165" t="n"/>
      <c r="N162" s="165" t="n"/>
      <c r="O162" s="165" t="n"/>
      <c r="P162" s="173">
        <f>IF(OR(E162="",I162=""),"",EDATE(E162,I162)-1)</f>
        <v/>
      </c>
      <c r="Q162" s="170">
        <f>IF(OR(B162="",E162="",P162=""),0,MIN(H162,MAX(0,MIN(P162,DATE('Thiết lập'!$B$3-1,12,31))-E162+1)*J162))</f>
        <v/>
      </c>
      <c r="R162" s="170">
        <f>IF(OR($B162="",R$4&gt;$P162,EOMONTH(R$4,0)&lt;$E162),0,MIN($H162,MAX(0,MIN(EOMONTH(R$4,0),$P162)-MAX(R$4,$E162)+1)*$J162))</f>
        <v/>
      </c>
      <c r="S162" s="170">
        <f>IF(OR($B162="",S$4&gt;$P162,EOMONTH(S$4,0)&lt;$E162),0,MIN($H162,MAX(0,MIN(EOMONTH(S$4,0),$P162)-MAX(S$4,$E162)+1)*$J162))</f>
        <v/>
      </c>
      <c r="T162" s="170">
        <f>IF(OR($B162="",T$4&gt;$P162,EOMONTH(T$4,0)&lt;$E162),0,MIN($H162,MAX(0,MIN(EOMONTH(T$4,0),$P162)-MAX(T$4,$E162)+1)*$J162))</f>
        <v/>
      </c>
      <c r="U162" s="170">
        <f>IF(OR($B162="",U$4&gt;$P162,EOMONTH(U$4,0)&lt;$E162),0,MIN($H162,MAX(0,MIN(EOMONTH(U$4,0),$P162)-MAX(U$4,$E162)+1)*$J162))</f>
        <v/>
      </c>
      <c r="V162" s="170">
        <f>IF(OR($B162="",V$4&gt;$P162,EOMONTH(V$4,0)&lt;$E162),0,MIN($H162,MAX(0,MIN(EOMONTH(V$4,0),$P162)-MAX(V$4,$E162)+1)*$J162))</f>
        <v/>
      </c>
      <c r="W162" s="170">
        <f>IF(OR($B162="",W$4&gt;$P162,EOMONTH(W$4,0)&lt;$E162),0,MIN($H162,MAX(0,MIN(EOMONTH(W$4,0),$P162)-MAX(W$4,$E162)+1)*$J162))</f>
        <v/>
      </c>
      <c r="X162" s="170">
        <f>IF(OR($B162="",X$4&gt;$P162,EOMONTH(X$4,0)&lt;$E162),0,MIN($H162,MAX(0,MIN(EOMONTH(X$4,0),$P162)-MAX(X$4,$E162)+1)*$J162))</f>
        <v/>
      </c>
      <c r="Y162" s="170">
        <f>IF(OR($B162="",Y$4&gt;$P162,EOMONTH(Y$4,0)&lt;$E162),0,MIN($H162,MAX(0,MIN(EOMONTH(Y$4,0),$P162)-MAX(Y$4,$E162)+1)*$J162))</f>
        <v/>
      </c>
      <c r="Z162" s="170">
        <f>IF(OR($B162="",Z$4&gt;$P162,EOMONTH(Z$4,0)&lt;$E162),0,MIN($H162,MAX(0,MIN(EOMONTH(Z$4,0),$P162)-MAX(Z$4,$E162)+1)*$J162))</f>
        <v/>
      </c>
      <c r="AA162" s="170">
        <f>IF(OR($B162="",AA$4&gt;$P162,EOMONTH(AA$4,0)&lt;$E162),0,MIN($H162,MAX(0,MIN(EOMONTH(AA$4,0),$P162)-MAX(AA$4,$E162)+1)*$J162))</f>
        <v/>
      </c>
      <c r="AB162" s="170">
        <f>IF(OR($B162="",AB$4&gt;$P162,EOMONTH(AB$4,0)&lt;$E162),0,MIN($H162,MAX(0,MIN(EOMONTH(AB$4,0),$P162)-MAX(AB$4,$E162)+1)*$J162))</f>
        <v/>
      </c>
      <c r="AC162" s="170">
        <f>IF(OR($B162="",AC$4&gt;$P162,EOMONTH(AC$4,0)&lt;$E162),0,MIN($H162,MAX(0,MIN(EOMONTH(AC$4,0),$P162)-MAX(AC$4,$E162)+1)*$J162))</f>
        <v/>
      </c>
      <c r="AD162" s="170">
        <f>IF(B162="","",ROUND(SUM(R162:AC162),0))</f>
        <v/>
      </c>
      <c r="AE162" s="170">
        <f>IF(B162="","",MIN(H162,ROUND(Q162+SUM(R162:AC162),0)))</f>
        <v/>
      </c>
      <c r="AF162" s="170">
        <f>IF(B162="","",MAX(H162-AE162,0))</f>
        <v/>
      </c>
      <c r="AG162" s="172">
        <f>IF(B162="","",IF('Thiết lập'!$B$4&lt;E162,"Chưa phân bổ",IF(P162&lt;='Thiết lập'!$B$4,"Đã phân bổ","Đang phân bổ")))</f>
        <v/>
      </c>
      <c r="AH162" s="166" t="n"/>
      <c r="AI162" s="174">
        <f>IF(B162="","",IF(AND(C162&lt;&gt;"",D162&lt;&gt;"",E162&lt;&gt;"",E162&gt;=D162,F162&gt;0,G162&gt;0,I162&gt;0,COUNTIF($B$7:$B$306,B162)=1),"OK",IF(C162="","Thiếu tên; ","")&amp;IF(D162="","Thiếu ngày tăng; ","")&amp;IF(E162="","Thiếu ngày bắt đầu; ","")&amp;IF(AND(D162&lt;&gt;"",E162&lt;&gt;"",E162&lt;D162),"Ngày bắt đầu &lt; ngày tăng; ","")&amp;IF(OR(F162="",F162&lt;=0),"Số lượng không hợp lệ; ","")&amp;IF(OR(G162="",G162&lt;=0),"Đơn giá không hợp lệ; ","")&amp;IF(OR(I162="",I162&lt;=0),"Số tháng không hợp lệ; ","")&amp;IF(COUNTIF($B$7:$B$306,B162)&gt;1,"Trùng mã CPTT; ","")))</f>
        <v/>
      </c>
    </row>
    <row r="163" ht="19.5" customHeight="1" s="98">
      <c r="A163" s="164">
        <f>IF(B163="","",ROW()-6)</f>
        <v/>
      </c>
      <c r="B163" s="165" t="n"/>
      <c r="C163" s="166" t="n"/>
      <c r="D163" s="167" t="n"/>
      <c r="E163" s="167" t="n"/>
      <c r="F163" s="168" t="n"/>
      <c r="G163" s="169" t="n"/>
      <c r="H163" s="170">
        <f>IF(OR(F163="",G163=""),"",F163*G163)</f>
        <v/>
      </c>
      <c r="I163" s="171" t="n"/>
      <c r="J163" s="170">
        <f>IF(OR(H163="",E163="",P163=""),"",H163/(P163-E163+1))</f>
        <v/>
      </c>
      <c r="K163" s="165" t="n"/>
      <c r="L163" s="172">
        <f>IF(B163="","",IF(AF163&lt;=0,"Đã phân bổ",IF(P163&lt;=EDATE('Thiết lập'!$B$4,12),"Ngắn hạn","Dài hạn")))</f>
        <v/>
      </c>
      <c r="M163" s="165" t="n"/>
      <c r="N163" s="165" t="n"/>
      <c r="O163" s="165" t="n"/>
      <c r="P163" s="173">
        <f>IF(OR(E163="",I163=""),"",EDATE(E163,I163)-1)</f>
        <v/>
      </c>
      <c r="Q163" s="170">
        <f>IF(OR(B163="",E163="",P163=""),0,MIN(H163,MAX(0,MIN(P163,DATE('Thiết lập'!$B$3-1,12,31))-E163+1)*J163))</f>
        <v/>
      </c>
      <c r="R163" s="170">
        <f>IF(OR($B163="",R$4&gt;$P163,EOMONTH(R$4,0)&lt;$E163),0,MIN($H163,MAX(0,MIN(EOMONTH(R$4,0),$P163)-MAX(R$4,$E163)+1)*$J163))</f>
        <v/>
      </c>
      <c r="S163" s="170">
        <f>IF(OR($B163="",S$4&gt;$P163,EOMONTH(S$4,0)&lt;$E163),0,MIN($H163,MAX(0,MIN(EOMONTH(S$4,0),$P163)-MAX(S$4,$E163)+1)*$J163))</f>
        <v/>
      </c>
      <c r="T163" s="170">
        <f>IF(OR($B163="",T$4&gt;$P163,EOMONTH(T$4,0)&lt;$E163),0,MIN($H163,MAX(0,MIN(EOMONTH(T$4,0),$P163)-MAX(T$4,$E163)+1)*$J163))</f>
        <v/>
      </c>
      <c r="U163" s="170">
        <f>IF(OR($B163="",U$4&gt;$P163,EOMONTH(U$4,0)&lt;$E163),0,MIN($H163,MAX(0,MIN(EOMONTH(U$4,0),$P163)-MAX(U$4,$E163)+1)*$J163))</f>
        <v/>
      </c>
      <c r="V163" s="170">
        <f>IF(OR($B163="",V$4&gt;$P163,EOMONTH(V$4,0)&lt;$E163),0,MIN($H163,MAX(0,MIN(EOMONTH(V$4,0),$P163)-MAX(V$4,$E163)+1)*$J163))</f>
        <v/>
      </c>
      <c r="W163" s="170">
        <f>IF(OR($B163="",W$4&gt;$P163,EOMONTH(W$4,0)&lt;$E163),0,MIN($H163,MAX(0,MIN(EOMONTH(W$4,0),$P163)-MAX(W$4,$E163)+1)*$J163))</f>
        <v/>
      </c>
      <c r="X163" s="170">
        <f>IF(OR($B163="",X$4&gt;$P163,EOMONTH(X$4,0)&lt;$E163),0,MIN($H163,MAX(0,MIN(EOMONTH(X$4,0),$P163)-MAX(X$4,$E163)+1)*$J163))</f>
        <v/>
      </c>
      <c r="Y163" s="170">
        <f>IF(OR($B163="",Y$4&gt;$P163,EOMONTH(Y$4,0)&lt;$E163),0,MIN($H163,MAX(0,MIN(EOMONTH(Y$4,0),$P163)-MAX(Y$4,$E163)+1)*$J163))</f>
        <v/>
      </c>
      <c r="Z163" s="170">
        <f>IF(OR($B163="",Z$4&gt;$P163,EOMONTH(Z$4,0)&lt;$E163),0,MIN($H163,MAX(0,MIN(EOMONTH(Z$4,0),$P163)-MAX(Z$4,$E163)+1)*$J163))</f>
        <v/>
      </c>
      <c r="AA163" s="170">
        <f>IF(OR($B163="",AA$4&gt;$P163,EOMONTH(AA$4,0)&lt;$E163),0,MIN($H163,MAX(0,MIN(EOMONTH(AA$4,0),$P163)-MAX(AA$4,$E163)+1)*$J163))</f>
        <v/>
      </c>
      <c r="AB163" s="170">
        <f>IF(OR($B163="",AB$4&gt;$P163,EOMONTH(AB$4,0)&lt;$E163),0,MIN($H163,MAX(0,MIN(EOMONTH(AB$4,0),$P163)-MAX(AB$4,$E163)+1)*$J163))</f>
        <v/>
      </c>
      <c r="AC163" s="170">
        <f>IF(OR($B163="",AC$4&gt;$P163,EOMONTH(AC$4,0)&lt;$E163),0,MIN($H163,MAX(0,MIN(EOMONTH(AC$4,0),$P163)-MAX(AC$4,$E163)+1)*$J163))</f>
        <v/>
      </c>
      <c r="AD163" s="170">
        <f>IF(B163="","",ROUND(SUM(R163:AC163),0))</f>
        <v/>
      </c>
      <c r="AE163" s="170">
        <f>IF(B163="","",MIN(H163,ROUND(Q163+SUM(R163:AC163),0)))</f>
        <v/>
      </c>
      <c r="AF163" s="170">
        <f>IF(B163="","",MAX(H163-AE163,0))</f>
        <v/>
      </c>
      <c r="AG163" s="172">
        <f>IF(B163="","",IF('Thiết lập'!$B$4&lt;E163,"Chưa phân bổ",IF(P163&lt;='Thiết lập'!$B$4,"Đã phân bổ","Đang phân bổ")))</f>
        <v/>
      </c>
      <c r="AH163" s="166" t="n"/>
      <c r="AI163" s="174">
        <f>IF(B163="","",IF(AND(C163&lt;&gt;"",D163&lt;&gt;"",E163&lt;&gt;"",E163&gt;=D163,F163&gt;0,G163&gt;0,I163&gt;0,COUNTIF($B$7:$B$306,B163)=1),"OK",IF(C163="","Thiếu tên; ","")&amp;IF(D163="","Thiếu ngày tăng; ","")&amp;IF(E163="","Thiếu ngày bắt đầu; ","")&amp;IF(AND(D163&lt;&gt;"",E163&lt;&gt;"",E163&lt;D163),"Ngày bắt đầu &lt; ngày tăng; ","")&amp;IF(OR(F163="",F163&lt;=0),"Số lượng không hợp lệ; ","")&amp;IF(OR(G163="",G163&lt;=0),"Đơn giá không hợp lệ; ","")&amp;IF(OR(I163="",I163&lt;=0),"Số tháng không hợp lệ; ","")&amp;IF(COUNTIF($B$7:$B$306,B163)&gt;1,"Trùng mã CPTT; ","")))</f>
        <v/>
      </c>
    </row>
    <row r="164" ht="19.5" customHeight="1" s="98">
      <c r="A164" s="164">
        <f>IF(B164="","",ROW()-6)</f>
        <v/>
      </c>
      <c r="B164" s="165" t="n"/>
      <c r="C164" s="166" t="n"/>
      <c r="D164" s="167" t="n"/>
      <c r="E164" s="167" t="n"/>
      <c r="F164" s="168" t="n"/>
      <c r="G164" s="169" t="n"/>
      <c r="H164" s="170">
        <f>IF(OR(F164="",G164=""),"",F164*G164)</f>
        <v/>
      </c>
      <c r="I164" s="171" t="n"/>
      <c r="J164" s="170">
        <f>IF(OR(H164="",E164="",P164=""),"",H164/(P164-E164+1))</f>
        <v/>
      </c>
      <c r="K164" s="165" t="n"/>
      <c r="L164" s="172">
        <f>IF(B164="","",IF(AF164&lt;=0,"Đã phân bổ",IF(P164&lt;=EDATE('Thiết lập'!$B$4,12),"Ngắn hạn","Dài hạn")))</f>
        <v/>
      </c>
      <c r="M164" s="165" t="n"/>
      <c r="N164" s="165" t="n"/>
      <c r="O164" s="165" t="n"/>
      <c r="P164" s="173">
        <f>IF(OR(E164="",I164=""),"",EDATE(E164,I164)-1)</f>
        <v/>
      </c>
      <c r="Q164" s="170">
        <f>IF(OR(B164="",E164="",P164=""),0,MIN(H164,MAX(0,MIN(P164,DATE('Thiết lập'!$B$3-1,12,31))-E164+1)*J164))</f>
        <v/>
      </c>
      <c r="R164" s="170">
        <f>IF(OR($B164="",R$4&gt;$P164,EOMONTH(R$4,0)&lt;$E164),0,MIN($H164,MAX(0,MIN(EOMONTH(R$4,0),$P164)-MAX(R$4,$E164)+1)*$J164))</f>
        <v/>
      </c>
      <c r="S164" s="170">
        <f>IF(OR($B164="",S$4&gt;$P164,EOMONTH(S$4,0)&lt;$E164),0,MIN($H164,MAX(0,MIN(EOMONTH(S$4,0),$P164)-MAX(S$4,$E164)+1)*$J164))</f>
        <v/>
      </c>
      <c r="T164" s="170">
        <f>IF(OR($B164="",T$4&gt;$P164,EOMONTH(T$4,0)&lt;$E164),0,MIN($H164,MAX(0,MIN(EOMONTH(T$4,0),$P164)-MAX(T$4,$E164)+1)*$J164))</f>
        <v/>
      </c>
      <c r="U164" s="170">
        <f>IF(OR($B164="",U$4&gt;$P164,EOMONTH(U$4,0)&lt;$E164),0,MIN($H164,MAX(0,MIN(EOMONTH(U$4,0),$P164)-MAX(U$4,$E164)+1)*$J164))</f>
        <v/>
      </c>
      <c r="V164" s="170">
        <f>IF(OR($B164="",V$4&gt;$P164,EOMONTH(V$4,0)&lt;$E164),0,MIN($H164,MAX(0,MIN(EOMONTH(V$4,0),$P164)-MAX(V$4,$E164)+1)*$J164))</f>
        <v/>
      </c>
      <c r="W164" s="170">
        <f>IF(OR($B164="",W$4&gt;$P164,EOMONTH(W$4,0)&lt;$E164),0,MIN($H164,MAX(0,MIN(EOMONTH(W$4,0),$P164)-MAX(W$4,$E164)+1)*$J164))</f>
        <v/>
      </c>
      <c r="X164" s="170">
        <f>IF(OR($B164="",X$4&gt;$P164,EOMONTH(X$4,0)&lt;$E164),0,MIN($H164,MAX(0,MIN(EOMONTH(X$4,0),$P164)-MAX(X$4,$E164)+1)*$J164))</f>
        <v/>
      </c>
      <c r="Y164" s="170">
        <f>IF(OR($B164="",Y$4&gt;$P164,EOMONTH(Y$4,0)&lt;$E164),0,MIN($H164,MAX(0,MIN(EOMONTH(Y$4,0),$P164)-MAX(Y$4,$E164)+1)*$J164))</f>
        <v/>
      </c>
      <c r="Z164" s="170">
        <f>IF(OR($B164="",Z$4&gt;$P164,EOMONTH(Z$4,0)&lt;$E164),0,MIN($H164,MAX(0,MIN(EOMONTH(Z$4,0),$P164)-MAX(Z$4,$E164)+1)*$J164))</f>
        <v/>
      </c>
      <c r="AA164" s="170">
        <f>IF(OR($B164="",AA$4&gt;$P164,EOMONTH(AA$4,0)&lt;$E164),0,MIN($H164,MAX(0,MIN(EOMONTH(AA$4,0),$P164)-MAX(AA$4,$E164)+1)*$J164))</f>
        <v/>
      </c>
      <c r="AB164" s="170">
        <f>IF(OR($B164="",AB$4&gt;$P164,EOMONTH(AB$4,0)&lt;$E164),0,MIN($H164,MAX(0,MIN(EOMONTH(AB$4,0),$P164)-MAX(AB$4,$E164)+1)*$J164))</f>
        <v/>
      </c>
      <c r="AC164" s="170">
        <f>IF(OR($B164="",AC$4&gt;$P164,EOMONTH(AC$4,0)&lt;$E164),0,MIN($H164,MAX(0,MIN(EOMONTH(AC$4,0),$P164)-MAX(AC$4,$E164)+1)*$J164))</f>
        <v/>
      </c>
      <c r="AD164" s="170">
        <f>IF(B164="","",ROUND(SUM(R164:AC164),0))</f>
        <v/>
      </c>
      <c r="AE164" s="170">
        <f>IF(B164="","",MIN(H164,ROUND(Q164+SUM(R164:AC164),0)))</f>
        <v/>
      </c>
      <c r="AF164" s="170">
        <f>IF(B164="","",MAX(H164-AE164,0))</f>
        <v/>
      </c>
      <c r="AG164" s="172">
        <f>IF(B164="","",IF('Thiết lập'!$B$4&lt;E164,"Chưa phân bổ",IF(P164&lt;='Thiết lập'!$B$4,"Đã phân bổ","Đang phân bổ")))</f>
        <v/>
      </c>
      <c r="AH164" s="166" t="n"/>
      <c r="AI164" s="174">
        <f>IF(B164="","",IF(AND(C164&lt;&gt;"",D164&lt;&gt;"",E164&lt;&gt;"",E164&gt;=D164,F164&gt;0,G164&gt;0,I164&gt;0,COUNTIF($B$7:$B$306,B164)=1),"OK",IF(C164="","Thiếu tên; ","")&amp;IF(D164="","Thiếu ngày tăng; ","")&amp;IF(E164="","Thiếu ngày bắt đầu; ","")&amp;IF(AND(D164&lt;&gt;"",E164&lt;&gt;"",E164&lt;D164),"Ngày bắt đầu &lt; ngày tăng; ","")&amp;IF(OR(F164="",F164&lt;=0),"Số lượng không hợp lệ; ","")&amp;IF(OR(G164="",G164&lt;=0),"Đơn giá không hợp lệ; ","")&amp;IF(OR(I164="",I164&lt;=0),"Số tháng không hợp lệ; ","")&amp;IF(COUNTIF($B$7:$B$306,B164)&gt;1,"Trùng mã CPTT; ","")))</f>
        <v/>
      </c>
    </row>
    <row r="165" ht="19.5" customHeight="1" s="98">
      <c r="A165" s="164">
        <f>IF(B165="","",ROW()-6)</f>
        <v/>
      </c>
      <c r="B165" s="165" t="n"/>
      <c r="C165" s="166" t="n"/>
      <c r="D165" s="167" t="n"/>
      <c r="E165" s="167" t="n"/>
      <c r="F165" s="168" t="n"/>
      <c r="G165" s="169" t="n"/>
      <c r="H165" s="170">
        <f>IF(OR(F165="",G165=""),"",F165*G165)</f>
        <v/>
      </c>
      <c r="I165" s="171" t="n"/>
      <c r="J165" s="170">
        <f>IF(OR(H165="",E165="",P165=""),"",H165/(P165-E165+1))</f>
        <v/>
      </c>
      <c r="K165" s="165" t="n"/>
      <c r="L165" s="172">
        <f>IF(B165="","",IF(AF165&lt;=0,"Đã phân bổ",IF(P165&lt;=EDATE('Thiết lập'!$B$4,12),"Ngắn hạn","Dài hạn")))</f>
        <v/>
      </c>
      <c r="M165" s="165" t="n"/>
      <c r="N165" s="165" t="n"/>
      <c r="O165" s="165" t="n"/>
      <c r="P165" s="173">
        <f>IF(OR(E165="",I165=""),"",EDATE(E165,I165)-1)</f>
        <v/>
      </c>
      <c r="Q165" s="170">
        <f>IF(OR(B165="",E165="",P165=""),0,MIN(H165,MAX(0,MIN(P165,DATE('Thiết lập'!$B$3-1,12,31))-E165+1)*J165))</f>
        <v/>
      </c>
      <c r="R165" s="170">
        <f>IF(OR($B165="",R$4&gt;$P165,EOMONTH(R$4,0)&lt;$E165),0,MIN($H165,MAX(0,MIN(EOMONTH(R$4,0),$P165)-MAX(R$4,$E165)+1)*$J165))</f>
        <v/>
      </c>
      <c r="S165" s="170">
        <f>IF(OR($B165="",S$4&gt;$P165,EOMONTH(S$4,0)&lt;$E165),0,MIN($H165,MAX(0,MIN(EOMONTH(S$4,0),$P165)-MAX(S$4,$E165)+1)*$J165))</f>
        <v/>
      </c>
      <c r="T165" s="170">
        <f>IF(OR($B165="",T$4&gt;$P165,EOMONTH(T$4,0)&lt;$E165),0,MIN($H165,MAX(0,MIN(EOMONTH(T$4,0),$P165)-MAX(T$4,$E165)+1)*$J165))</f>
        <v/>
      </c>
      <c r="U165" s="170">
        <f>IF(OR($B165="",U$4&gt;$P165,EOMONTH(U$4,0)&lt;$E165),0,MIN($H165,MAX(0,MIN(EOMONTH(U$4,0),$P165)-MAX(U$4,$E165)+1)*$J165))</f>
        <v/>
      </c>
      <c r="V165" s="170">
        <f>IF(OR($B165="",V$4&gt;$P165,EOMONTH(V$4,0)&lt;$E165),0,MIN($H165,MAX(0,MIN(EOMONTH(V$4,0),$P165)-MAX(V$4,$E165)+1)*$J165))</f>
        <v/>
      </c>
      <c r="W165" s="170">
        <f>IF(OR($B165="",W$4&gt;$P165,EOMONTH(W$4,0)&lt;$E165),0,MIN($H165,MAX(0,MIN(EOMONTH(W$4,0),$P165)-MAX(W$4,$E165)+1)*$J165))</f>
        <v/>
      </c>
      <c r="X165" s="170">
        <f>IF(OR($B165="",X$4&gt;$P165,EOMONTH(X$4,0)&lt;$E165),0,MIN($H165,MAX(0,MIN(EOMONTH(X$4,0),$P165)-MAX(X$4,$E165)+1)*$J165))</f>
        <v/>
      </c>
      <c r="Y165" s="170">
        <f>IF(OR($B165="",Y$4&gt;$P165,EOMONTH(Y$4,0)&lt;$E165),0,MIN($H165,MAX(0,MIN(EOMONTH(Y$4,0),$P165)-MAX(Y$4,$E165)+1)*$J165))</f>
        <v/>
      </c>
      <c r="Z165" s="170">
        <f>IF(OR($B165="",Z$4&gt;$P165,EOMONTH(Z$4,0)&lt;$E165),0,MIN($H165,MAX(0,MIN(EOMONTH(Z$4,0),$P165)-MAX(Z$4,$E165)+1)*$J165))</f>
        <v/>
      </c>
      <c r="AA165" s="170">
        <f>IF(OR($B165="",AA$4&gt;$P165,EOMONTH(AA$4,0)&lt;$E165),0,MIN($H165,MAX(0,MIN(EOMONTH(AA$4,0),$P165)-MAX(AA$4,$E165)+1)*$J165))</f>
        <v/>
      </c>
      <c r="AB165" s="170">
        <f>IF(OR($B165="",AB$4&gt;$P165,EOMONTH(AB$4,0)&lt;$E165),0,MIN($H165,MAX(0,MIN(EOMONTH(AB$4,0),$P165)-MAX(AB$4,$E165)+1)*$J165))</f>
        <v/>
      </c>
      <c r="AC165" s="170">
        <f>IF(OR($B165="",AC$4&gt;$P165,EOMONTH(AC$4,0)&lt;$E165),0,MIN($H165,MAX(0,MIN(EOMONTH(AC$4,0),$P165)-MAX(AC$4,$E165)+1)*$J165))</f>
        <v/>
      </c>
      <c r="AD165" s="170">
        <f>IF(B165="","",ROUND(SUM(R165:AC165),0))</f>
        <v/>
      </c>
      <c r="AE165" s="170">
        <f>IF(B165="","",MIN(H165,ROUND(Q165+SUM(R165:AC165),0)))</f>
        <v/>
      </c>
      <c r="AF165" s="170">
        <f>IF(B165="","",MAX(H165-AE165,0))</f>
        <v/>
      </c>
      <c r="AG165" s="172">
        <f>IF(B165="","",IF('Thiết lập'!$B$4&lt;E165,"Chưa phân bổ",IF(P165&lt;='Thiết lập'!$B$4,"Đã phân bổ","Đang phân bổ")))</f>
        <v/>
      </c>
      <c r="AH165" s="166" t="n"/>
      <c r="AI165" s="174">
        <f>IF(B165="","",IF(AND(C165&lt;&gt;"",D165&lt;&gt;"",E165&lt;&gt;"",E165&gt;=D165,F165&gt;0,G165&gt;0,I165&gt;0,COUNTIF($B$7:$B$306,B165)=1),"OK",IF(C165="","Thiếu tên; ","")&amp;IF(D165="","Thiếu ngày tăng; ","")&amp;IF(E165="","Thiếu ngày bắt đầu; ","")&amp;IF(AND(D165&lt;&gt;"",E165&lt;&gt;"",E165&lt;D165),"Ngày bắt đầu &lt; ngày tăng; ","")&amp;IF(OR(F165="",F165&lt;=0),"Số lượng không hợp lệ; ","")&amp;IF(OR(G165="",G165&lt;=0),"Đơn giá không hợp lệ; ","")&amp;IF(OR(I165="",I165&lt;=0),"Số tháng không hợp lệ; ","")&amp;IF(COUNTIF($B$7:$B$306,B165)&gt;1,"Trùng mã CPTT; ","")))</f>
        <v/>
      </c>
    </row>
    <row r="166" ht="19.5" customHeight="1" s="98">
      <c r="A166" s="164">
        <f>IF(B166="","",ROW()-6)</f>
        <v/>
      </c>
      <c r="B166" s="165" t="n"/>
      <c r="C166" s="166" t="n"/>
      <c r="D166" s="167" t="n"/>
      <c r="E166" s="167" t="n"/>
      <c r="F166" s="168" t="n"/>
      <c r="G166" s="169" t="n"/>
      <c r="H166" s="170">
        <f>IF(OR(F166="",G166=""),"",F166*G166)</f>
        <v/>
      </c>
      <c r="I166" s="171" t="n"/>
      <c r="J166" s="170">
        <f>IF(OR(H166="",E166="",P166=""),"",H166/(P166-E166+1))</f>
        <v/>
      </c>
      <c r="K166" s="165" t="n"/>
      <c r="L166" s="172">
        <f>IF(B166="","",IF(AF166&lt;=0,"Đã phân bổ",IF(P166&lt;=EDATE('Thiết lập'!$B$4,12),"Ngắn hạn","Dài hạn")))</f>
        <v/>
      </c>
      <c r="M166" s="165" t="n"/>
      <c r="N166" s="165" t="n"/>
      <c r="O166" s="165" t="n"/>
      <c r="P166" s="173">
        <f>IF(OR(E166="",I166=""),"",EDATE(E166,I166)-1)</f>
        <v/>
      </c>
      <c r="Q166" s="170">
        <f>IF(OR(B166="",E166="",P166=""),0,MIN(H166,MAX(0,MIN(P166,DATE('Thiết lập'!$B$3-1,12,31))-E166+1)*J166))</f>
        <v/>
      </c>
      <c r="R166" s="170">
        <f>IF(OR($B166="",R$4&gt;$P166,EOMONTH(R$4,0)&lt;$E166),0,MIN($H166,MAX(0,MIN(EOMONTH(R$4,0),$P166)-MAX(R$4,$E166)+1)*$J166))</f>
        <v/>
      </c>
      <c r="S166" s="170">
        <f>IF(OR($B166="",S$4&gt;$P166,EOMONTH(S$4,0)&lt;$E166),0,MIN($H166,MAX(0,MIN(EOMONTH(S$4,0),$P166)-MAX(S$4,$E166)+1)*$J166))</f>
        <v/>
      </c>
      <c r="T166" s="170">
        <f>IF(OR($B166="",T$4&gt;$P166,EOMONTH(T$4,0)&lt;$E166),0,MIN($H166,MAX(0,MIN(EOMONTH(T$4,0),$P166)-MAX(T$4,$E166)+1)*$J166))</f>
        <v/>
      </c>
      <c r="U166" s="170">
        <f>IF(OR($B166="",U$4&gt;$P166,EOMONTH(U$4,0)&lt;$E166),0,MIN($H166,MAX(0,MIN(EOMONTH(U$4,0),$P166)-MAX(U$4,$E166)+1)*$J166))</f>
        <v/>
      </c>
      <c r="V166" s="170">
        <f>IF(OR($B166="",V$4&gt;$P166,EOMONTH(V$4,0)&lt;$E166),0,MIN($H166,MAX(0,MIN(EOMONTH(V$4,0),$P166)-MAX(V$4,$E166)+1)*$J166))</f>
        <v/>
      </c>
      <c r="W166" s="170">
        <f>IF(OR($B166="",W$4&gt;$P166,EOMONTH(W$4,0)&lt;$E166),0,MIN($H166,MAX(0,MIN(EOMONTH(W$4,0),$P166)-MAX(W$4,$E166)+1)*$J166))</f>
        <v/>
      </c>
      <c r="X166" s="170">
        <f>IF(OR($B166="",X$4&gt;$P166,EOMONTH(X$4,0)&lt;$E166),0,MIN($H166,MAX(0,MIN(EOMONTH(X$4,0),$P166)-MAX(X$4,$E166)+1)*$J166))</f>
        <v/>
      </c>
      <c r="Y166" s="170">
        <f>IF(OR($B166="",Y$4&gt;$P166,EOMONTH(Y$4,0)&lt;$E166),0,MIN($H166,MAX(0,MIN(EOMONTH(Y$4,0),$P166)-MAX(Y$4,$E166)+1)*$J166))</f>
        <v/>
      </c>
      <c r="Z166" s="170">
        <f>IF(OR($B166="",Z$4&gt;$P166,EOMONTH(Z$4,0)&lt;$E166),0,MIN($H166,MAX(0,MIN(EOMONTH(Z$4,0),$P166)-MAX(Z$4,$E166)+1)*$J166))</f>
        <v/>
      </c>
      <c r="AA166" s="170">
        <f>IF(OR($B166="",AA$4&gt;$P166,EOMONTH(AA$4,0)&lt;$E166),0,MIN($H166,MAX(0,MIN(EOMONTH(AA$4,0),$P166)-MAX(AA$4,$E166)+1)*$J166))</f>
        <v/>
      </c>
      <c r="AB166" s="170">
        <f>IF(OR($B166="",AB$4&gt;$P166,EOMONTH(AB$4,0)&lt;$E166),0,MIN($H166,MAX(0,MIN(EOMONTH(AB$4,0),$P166)-MAX(AB$4,$E166)+1)*$J166))</f>
        <v/>
      </c>
      <c r="AC166" s="170">
        <f>IF(OR($B166="",AC$4&gt;$P166,EOMONTH(AC$4,0)&lt;$E166),0,MIN($H166,MAX(0,MIN(EOMONTH(AC$4,0),$P166)-MAX(AC$4,$E166)+1)*$J166))</f>
        <v/>
      </c>
      <c r="AD166" s="170">
        <f>IF(B166="","",ROUND(SUM(R166:AC166),0))</f>
        <v/>
      </c>
      <c r="AE166" s="170">
        <f>IF(B166="","",MIN(H166,ROUND(Q166+SUM(R166:AC166),0)))</f>
        <v/>
      </c>
      <c r="AF166" s="170">
        <f>IF(B166="","",MAX(H166-AE166,0))</f>
        <v/>
      </c>
      <c r="AG166" s="172">
        <f>IF(B166="","",IF('Thiết lập'!$B$4&lt;E166,"Chưa phân bổ",IF(P166&lt;='Thiết lập'!$B$4,"Đã phân bổ","Đang phân bổ")))</f>
        <v/>
      </c>
      <c r="AH166" s="166" t="n"/>
      <c r="AI166" s="174">
        <f>IF(B166="","",IF(AND(C166&lt;&gt;"",D166&lt;&gt;"",E166&lt;&gt;"",E166&gt;=D166,F166&gt;0,G166&gt;0,I166&gt;0,COUNTIF($B$7:$B$306,B166)=1),"OK",IF(C166="","Thiếu tên; ","")&amp;IF(D166="","Thiếu ngày tăng; ","")&amp;IF(E166="","Thiếu ngày bắt đầu; ","")&amp;IF(AND(D166&lt;&gt;"",E166&lt;&gt;"",E166&lt;D166),"Ngày bắt đầu &lt; ngày tăng; ","")&amp;IF(OR(F166="",F166&lt;=0),"Số lượng không hợp lệ; ","")&amp;IF(OR(G166="",G166&lt;=0),"Đơn giá không hợp lệ; ","")&amp;IF(OR(I166="",I166&lt;=0),"Số tháng không hợp lệ; ","")&amp;IF(COUNTIF($B$7:$B$306,B166)&gt;1,"Trùng mã CPTT; ","")))</f>
        <v/>
      </c>
    </row>
    <row r="167" ht="19.5" customHeight="1" s="98">
      <c r="A167" s="164">
        <f>IF(B167="","",ROW()-6)</f>
        <v/>
      </c>
      <c r="B167" s="165" t="n"/>
      <c r="C167" s="166" t="n"/>
      <c r="D167" s="167" t="n"/>
      <c r="E167" s="167" t="n"/>
      <c r="F167" s="168" t="n"/>
      <c r="G167" s="169" t="n"/>
      <c r="H167" s="170">
        <f>IF(OR(F167="",G167=""),"",F167*G167)</f>
        <v/>
      </c>
      <c r="I167" s="171" t="n"/>
      <c r="J167" s="170">
        <f>IF(OR(H167="",E167="",P167=""),"",H167/(P167-E167+1))</f>
        <v/>
      </c>
      <c r="K167" s="165" t="n"/>
      <c r="L167" s="172">
        <f>IF(B167="","",IF(AF167&lt;=0,"Đã phân bổ",IF(P167&lt;=EDATE('Thiết lập'!$B$4,12),"Ngắn hạn","Dài hạn")))</f>
        <v/>
      </c>
      <c r="M167" s="165" t="n"/>
      <c r="N167" s="165" t="n"/>
      <c r="O167" s="165" t="n"/>
      <c r="P167" s="173">
        <f>IF(OR(E167="",I167=""),"",EDATE(E167,I167)-1)</f>
        <v/>
      </c>
      <c r="Q167" s="170">
        <f>IF(OR(B167="",E167="",P167=""),0,MIN(H167,MAX(0,MIN(P167,DATE('Thiết lập'!$B$3-1,12,31))-E167+1)*J167))</f>
        <v/>
      </c>
      <c r="R167" s="170">
        <f>IF(OR($B167="",R$4&gt;$P167,EOMONTH(R$4,0)&lt;$E167),0,MIN($H167,MAX(0,MIN(EOMONTH(R$4,0),$P167)-MAX(R$4,$E167)+1)*$J167))</f>
        <v/>
      </c>
      <c r="S167" s="170">
        <f>IF(OR($B167="",S$4&gt;$P167,EOMONTH(S$4,0)&lt;$E167),0,MIN($H167,MAX(0,MIN(EOMONTH(S$4,0),$P167)-MAX(S$4,$E167)+1)*$J167))</f>
        <v/>
      </c>
      <c r="T167" s="170">
        <f>IF(OR($B167="",T$4&gt;$P167,EOMONTH(T$4,0)&lt;$E167),0,MIN($H167,MAX(0,MIN(EOMONTH(T$4,0),$P167)-MAX(T$4,$E167)+1)*$J167))</f>
        <v/>
      </c>
      <c r="U167" s="170">
        <f>IF(OR($B167="",U$4&gt;$P167,EOMONTH(U$4,0)&lt;$E167),0,MIN($H167,MAX(0,MIN(EOMONTH(U$4,0),$P167)-MAX(U$4,$E167)+1)*$J167))</f>
        <v/>
      </c>
      <c r="V167" s="170">
        <f>IF(OR($B167="",V$4&gt;$P167,EOMONTH(V$4,0)&lt;$E167),0,MIN($H167,MAX(0,MIN(EOMONTH(V$4,0),$P167)-MAX(V$4,$E167)+1)*$J167))</f>
        <v/>
      </c>
      <c r="W167" s="170">
        <f>IF(OR($B167="",W$4&gt;$P167,EOMONTH(W$4,0)&lt;$E167),0,MIN($H167,MAX(0,MIN(EOMONTH(W$4,0),$P167)-MAX(W$4,$E167)+1)*$J167))</f>
        <v/>
      </c>
      <c r="X167" s="170">
        <f>IF(OR($B167="",X$4&gt;$P167,EOMONTH(X$4,0)&lt;$E167),0,MIN($H167,MAX(0,MIN(EOMONTH(X$4,0),$P167)-MAX(X$4,$E167)+1)*$J167))</f>
        <v/>
      </c>
      <c r="Y167" s="170">
        <f>IF(OR($B167="",Y$4&gt;$P167,EOMONTH(Y$4,0)&lt;$E167),0,MIN($H167,MAX(0,MIN(EOMONTH(Y$4,0),$P167)-MAX(Y$4,$E167)+1)*$J167))</f>
        <v/>
      </c>
      <c r="Z167" s="170">
        <f>IF(OR($B167="",Z$4&gt;$P167,EOMONTH(Z$4,0)&lt;$E167),0,MIN($H167,MAX(0,MIN(EOMONTH(Z$4,0),$P167)-MAX(Z$4,$E167)+1)*$J167))</f>
        <v/>
      </c>
      <c r="AA167" s="170">
        <f>IF(OR($B167="",AA$4&gt;$P167,EOMONTH(AA$4,0)&lt;$E167),0,MIN($H167,MAX(0,MIN(EOMONTH(AA$4,0),$P167)-MAX(AA$4,$E167)+1)*$J167))</f>
        <v/>
      </c>
      <c r="AB167" s="170">
        <f>IF(OR($B167="",AB$4&gt;$P167,EOMONTH(AB$4,0)&lt;$E167),0,MIN($H167,MAX(0,MIN(EOMONTH(AB$4,0),$P167)-MAX(AB$4,$E167)+1)*$J167))</f>
        <v/>
      </c>
      <c r="AC167" s="170">
        <f>IF(OR($B167="",AC$4&gt;$P167,EOMONTH(AC$4,0)&lt;$E167),0,MIN($H167,MAX(0,MIN(EOMONTH(AC$4,0),$P167)-MAX(AC$4,$E167)+1)*$J167))</f>
        <v/>
      </c>
      <c r="AD167" s="170">
        <f>IF(B167="","",ROUND(SUM(R167:AC167),0))</f>
        <v/>
      </c>
      <c r="AE167" s="170">
        <f>IF(B167="","",MIN(H167,ROUND(Q167+SUM(R167:AC167),0)))</f>
        <v/>
      </c>
      <c r="AF167" s="170">
        <f>IF(B167="","",MAX(H167-AE167,0))</f>
        <v/>
      </c>
      <c r="AG167" s="172">
        <f>IF(B167="","",IF('Thiết lập'!$B$4&lt;E167,"Chưa phân bổ",IF(P167&lt;='Thiết lập'!$B$4,"Đã phân bổ","Đang phân bổ")))</f>
        <v/>
      </c>
      <c r="AH167" s="166" t="n"/>
      <c r="AI167" s="174">
        <f>IF(B167="","",IF(AND(C167&lt;&gt;"",D167&lt;&gt;"",E167&lt;&gt;"",E167&gt;=D167,F167&gt;0,G167&gt;0,I167&gt;0,COUNTIF($B$7:$B$306,B167)=1),"OK",IF(C167="","Thiếu tên; ","")&amp;IF(D167="","Thiếu ngày tăng; ","")&amp;IF(E167="","Thiếu ngày bắt đầu; ","")&amp;IF(AND(D167&lt;&gt;"",E167&lt;&gt;"",E167&lt;D167),"Ngày bắt đầu &lt; ngày tăng; ","")&amp;IF(OR(F167="",F167&lt;=0),"Số lượng không hợp lệ; ","")&amp;IF(OR(G167="",G167&lt;=0),"Đơn giá không hợp lệ; ","")&amp;IF(OR(I167="",I167&lt;=0),"Số tháng không hợp lệ; ","")&amp;IF(COUNTIF($B$7:$B$306,B167)&gt;1,"Trùng mã CPTT; ","")))</f>
        <v/>
      </c>
    </row>
    <row r="168" ht="19.5" customHeight="1" s="98">
      <c r="A168" s="164">
        <f>IF(B168="","",ROW()-6)</f>
        <v/>
      </c>
      <c r="B168" s="165" t="n"/>
      <c r="C168" s="166" t="n"/>
      <c r="D168" s="167" t="n"/>
      <c r="E168" s="167" t="n"/>
      <c r="F168" s="168" t="n"/>
      <c r="G168" s="169" t="n"/>
      <c r="H168" s="170">
        <f>IF(OR(F168="",G168=""),"",F168*G168)</f>
        <v/>
      </c>
      <c r="I168" s="171" t="n"/>
      <c r="J168" s="170">
        <f>IF(OR(H168="",E168="",P168=""),"",H168/(P168-E168+1))</f>
        <v/>
      </c>
      <c r="K168" s="165" t="n"/>
      <c r="L168" s="172">
        <f>IF(B168="","",IF(AF168&lt;=0,"Đã phân bổ",IF(P168&lt;=EDATE('Thiết lập'!$B$4,12),"Ngắn hạn","Dài hạn")))</f>
        <v/>
      </c>
      <c r="M168" s="165" t="n"/>
      <c r="N168" s="165" t="n"/>
      <c r="O168" s="165" t="n"/>
      <c r="P168" s="173">
        <f>IF(OR(E168="",I168=""),"",EDATE(E168,I168)-1)</f>
        <v/>
      </c>
      <c r="Q168" s="170">
        <f>IF(OR(B168="",E168="",P168=""),0,MIN(H168,MAX(0,MIN(P168,DATE('Thiết lập'!$B$3-1,12,31))-E168+1)*J168))</f>
        <v/>
      </c>
      <c r="R168" s="170">
        <f>IF(OR($B168="",R$4&gt;$P168,EOMONTH(R$4,0)&lt;$E168),0,MIN($H168,MAX(0,MIN(EOMONTH(R$4,0),$P168)-MAX(R$4,$E168)+1)*$J168))</f>
        <v/>
      </c>
      <c r="S168" s="170">
        <f>IF(OR($B168="",S$4&gt;$P168,EOMONTH(S$4,0)&lt;$E168),0,MIN($H168,MAX(0,MIN(EOMONTH(S$4,0),$P168)-MAX(S$4,$E168)+1)*$J168))</f>
        <v/>
      </c>
      <c r="T168" s="170">
        <f>IF(OR($B168="",T$4&gt;$P168,EOMONTH(T$4,0)&lt;$E168),0,MIN($H168,MAX(0,MIN(EOMONTH(T$4,0),$P168)-MAX(T$4,$E168)+1)*$J168))</f>
        <v/>
      </c>
      <c r="U168" s="170">
        <f>IF(OR($B168="",U$4&gt;$P168,EOMONTH(U$4,0)&lt;$E168),0,MIN($H168,MAX(0,MIN(EOMONTH(U$4,0),$P168)-MAX(U$4,$E168)+1)*$J168))</f>
        <v/>
      </c>
      <c r="V168" s="170">
        <f>IF(OR($B168="",V$4&gt;$P168,EOMONTH(V$4,0)&lt;$E168),0,MIN($H168,MAX(0,MIN(EOMONTH(V$4,0),$P168)-MAX(V$4,$E168)+1)*$J168))</f>
        <v/>
      </c>
      <c r="W168" s="170">
        <f>IF(OR($B168="",W$4&gt;$P168,EOMONTH(W$4,0)&lt;$E168),0,MIN($H168,MAX(0,MIN(EOMONTH(W$4,0),$P168)-MAX(W$4,$E168)+1)*$J168))</f>
        <v/>
      </c>
      <c r="X168" s="170">
        <f>IF(OR($B168="",X$4&gt;$P168,EOMONTH(X$4,0)&lt;$E168),0,MIN($H168,MAX(0,MIN(EOMONTH(X$4,0),$P168)-MAX(X$4,$E168)+1)*$J168))</f>
        <v/>
      </c>
      <c r="Y168" s="170">
        <f>IF(OR($B168="",Y$4&gt;$P168,EOMONTH(Y$4,0)&lt;$E168),0,MIN($H168,MAX(0,MIN(EOMONTH(Y$4,0),$P168)-MAX(Y$4,$E168)+1)*$J168))</f>
        <v/>
      </c>
      <c r="Z168" s="170">
        <f>IF(OR($B168="",Z$4&gt;$P168,EOMONTH(Z$4,0)&lt;$E168),0,MIN($H168,MAX(0,MIN(EOMONTH(Z$4,0),$P168)-MAX(Z$4,$E168)+1)*$J168))</f>
        <v/>
      </c>
      <c r="AA168" s="170">
        <f>IF(OR($B168="",AA$4&gt;$P168,EOMONTH(AA$4,0)&lt;$E168),0,MIN($H168,MAX(0,MIN(EOMONTH(AA$4,0),$P168)-MAX(AA$4,$E168)+1)*$J168))</f>
        <v/>
      </c>
      <c r="AB168" s="170">
        <f>IF(OR($B168="",AB$4&gt;$P168,EOMONTH(AB$4,0)&lt;$E168),0,MIN($H168,MAX(0,MIN(EOMONTH(AB$4,0),$P168)-MAX(AB$4,$E168)+1)*$J168))</f>
        <v/>
      </c>
      <c r="AC168" s="170">
        <f>IF(OR($B168="",AC$4&gt;$P168,EOMONTH(AC$4,0)&lt;$E168),0,MIN($H168,MAX(0,MIN(EOMONTH(AC$4,0),$P168)-MAX(AC$4,$E168)+1)*$J168))</f>
        <v/>
      </c>
      <c r="AD168" s="170">
        <f>IF(B168="","",ROUND(SUM(R168:AC168),0))</f>
        <v/>
      </c>
      <c r="AE168" s="170">
        <f>IF(B168="","",MIN(H168,ROUND(Q168+SUM(R168:AC168),0)))</f>
        <v/>
      </c>
      <c r="AF168" s="170">
        <f>IF(B168="","",MAX(H168-AE168,0))</f>
        <v/>
      </c>
      <c r="AG168" s="172">
        <f>IF(B168="","",IF('Thiết lập'!$B$4&lt;E168,"Chưa phân bổ",IF(P168&lt;='Thiết lập'!$B$4,"Đã phân bổ","Đang phân bổ")))</f>
        <v/>
      </c>
      <c r="AH168" s="166" t="n"/>
      <c r="AI168" s="174">
        <f>IF(B168="","",IF(AND(C168&lt;&gt;"",D168&lt;&gt;"",E168&lt;&gt;"",E168&gt;=D168,F168&gt;0,G168&gt;0,I168&gt;0,COUNTIF($B$7:$B$306,B168)=1),"OK",IF(C168="","Thiếu tên; ","")&amp;IF(D168="","Thiếu ngày tăng; ","")&amp;IF(E168="","Thiếu ngày bắt đầu; ","")&amp;IF(AND(D168&lt;&gt;"",E168&lt;&gt;"",E168&lt;D168),"Ngày bắt đầu &lt; ngày tăng; ","")&amp;IF(OR(F168="",F168&lt;=0),"Số lượng không hợp lệ; ","")&amp;IF(OR(G168="",G168&lt;=0),"Đơn giá không hợp lệ; ","")&amp;IF(OR(I168="",I168&lt;=0),"Số tháng không hợp lệ; ","")&amp;IF(COUNTIF($B$7:$B$306,B168)&gt;1,"Trùng mã CPTT; ","")))</f>
        <v/>
      </c>
    </row>
    <row r="169" ht="19.5" customHeight="1" s="98">
      <c r="A169" s="164">
        <f>IF(B169="","",ROW()-6)</f>
        <v/>
      </c>
      <c r="B169" s="165" t="n"/>
      <c r="C169" s="166" t="n"/>
      <c r="D169" s="167" t="n"/>
      <c r="E169" s="167" t="n"/>
      <c r="F169" s="168" t="n"/>
      <c r="G169" s="169" t="n"/>
      <c r="H169" s="170">
        <f>IF(OR(F169="",G169=""),"",F169*G169)</f>
        <v/>
      </c>
      <c r="I169" s="171" t="n"/>
      <c r="J169" s="170">
        <f>IF(OR(H169="",E169="",P169=""),"",H169/(P169-E169+1))</f>
        <v/>
      </c>
      <c r="K169" s="165" t="n"/>
      <c r="L169" s="172">
        <f>IF(B169="","",IF(AF169&lt;=0,"Đã phân bổ",IF(P169&lt;=EDATE('Thiết lập'!$B$4,12),"Ngắn hạn","Dài hạn")))</f>
        <v/>
      </c>
      <c r="M169" s="165" t="n"/>
      <c r="N169" s="165" t="n"/>
      <c r="O169" s="165" t="n"/>
      <c r="P169" s="173">
        <f>IF(OR(E169="",I169=""),"",EDATE(E169,I169)-1)</f>
        <v/>
      </c>
      <c r="Q169" s="170">
        <f>IF(OR(B169="",E169="",P169=""),0,MIN(H169,MAX(0,MIN(P169,DATE('Thiết lập'!$B$3-1,12,31))-E169+1)*J169))</f>
        <v/>
      </c>
      <c r="R169" s="170">
        <f>IF(OR($B169="",R$4&gt;$P169,EOMONTH(R$4,0)&lt;$E169),0,MIN($H169,MAX(0,MIN(EOMONTH(R$4,0),$P169)-MAX(R$4,$E169)+1)*$J169))</f>
        <v/>
      </c>
      <c r="S169" s="170">
        <f>IF(OR($B169="",S$4&gt;$P169,EOMONTH(S$4,0)&lt;$E169),0,MIN($H169,MAX(0,MIN(EOMONTH(S$4,0),$P169)-MAX(S$4,$E169)+1)*$J169))</f>
        <v/>
      </c>
      <c r="T169" s="170">
        <f>IF(OR($B169="",T$4&gt;$P169,EOMONTH(T$4,0)&lt;$E169),0,MIN($H169,MAX(0,MIN(EOMONTH(T$4,0),$P169)-MAX(T$4,$E169)+1)*$J169))</f>
        <v/>
      </c>
      <c r="U169" s="170">
        <f>IF(OR($B169="",U$4&gt;$P169,EOMONTH(U$4,0)&lt;$E169),0,MIN($H169,MAX(0,MIN(EOMONTH(U$4,0),$P169)-MAX(U$4,$E169)+1)*$J169))</f>
        <v/>
      </c>
      <c r="V169" s="170">
        <f>IF(OR($B169="",V$4&gt;$P169,EOMONTH(V$4,0)&lt;$E169),0,MIN($H169,MAX(0,MIN(EOMONTH(V$4,0),$P169)-MAX(V$4,$E169)+1)*$J169))</f>
        <v/>
      </c>
      <c r="W169" s="170">
        <f>IF(OR($B169="",W$4&gt;$P169,EOMONTH(W$4,0)&lt;$E169),0,MIN($H169,MAX(0,MIN(EOMONTH(W$4,0),$P169)-MAX(W$4,$E169)+1)*$J169))</f>
        <v/>
      </c>
      <c r="X169" s="170">
        <f>IF(OR($B169="",X$4&gt;$P169,EOMONTH(X$4,0)&lt;$E169),0,MIN($H169,MAX(0,MIN(EOMONTH(X$4,0),$P169)-MAX(X$4,$E169)+1)*$J169))</f>
        <v/>
      </c>
      <c r="Y169" s="170">
        <f>IF(OR($B169="",Y$4&gt;$P169,EOMONTH(Y$4,0)&lt;$E169),0,MIN($H169,MAX(0,MIN(EOMONTH(Y$4,0),$P169)-MAX(Y$4,$E169)+1)*$J169))</f>
        <v/>
      </c>
      <c r="Z169" s="170">
        <f>IF(OR($B169="",Z$4&gt;$P169,EOMONTH(Z$4,0)&lt;$E169),0,MIN($H169,MAX(0,MIN(EOMONTH(Z$4,0),$P169)-MAX(Z$4,$E169)+1)*$J169))</f>
        <v/>
      </c>
      <c r="AA169" s="170">
        <f>IF(OR($B169="",AA$4&gt;$P169,EOMONTH(AA$4,0)&lt;$E169),0,MIN($H169,MAX(0,MIN(EOMONTH(AA$4,0),$P169)-MAX(AA$4,$E169)+1)*$J169))</f>
        <v/>
      </c>
      <c r="AB169" s="170">
        <f>IF(OR($B169="",AB$4&gt;$P169,EOMONTH(AB$4,0)&lt;$E169),0,MIN($H169,MAX(0,MIN(EOMONTH(AB$4,0),$P169)-MAX(AB$4,$E169)+1)*$J169))</f>
        <v/>
      </c>
      <c r="AC169" s="170">
        <f>IF(OR($B169="",AC$4&gt;$P169,EOMONTH(AC$4,0)&lt;$E169),0,MIN($H169,MAX(0,MIN(EOMONTH(AC$4,0),$P169)-MAX(AC$4,$E169)+1)*$J169))</f>
        <v/>
      </c>
      <c r="AD169" s="170">
        <f>IF(B169="","",ROUND(SUM(R169:AC169),0))</f>
        <v/>
      </c>
      <c r="AE169" s="170">
        <f>IF(B169="","",MIN(H169,ROUND(Q169+SUM(R169:AC169),0)))</f>
        <v/>
      </c>
      <c r="AF169" s="170">
        <f>IF(B169="","",MAX(H169-AE169,0))</f>
        <v/>
      </c>
      <c r="AG169" s="172">
        <f>IF(B169="","",IF('Thiết lập'!$B$4&lt;E169,"Chưa phân bổ",IF(P169&lt;='Thiết lập'!$B$4,"Đã phân bổ","Đang phân bổ")))</f>
        <v/>
      </c>
      <c r="AH169" s="166" t="n"/>
      <c r="AI169" s="174">
        <f>IF(B169="","",IF(AND(C169&lt;&gt;"",D169&lt;&gt;"",E169&lt;&gt;"",E169&gt;=D169,F169&gt;0,G169&gt;0,I169&gt;0,COUNTIF($B$7:$B$306,B169)=1),"OK",IF(C169="","Thiếu tên; ","")&amp;IF(D169="","Thiếu ngày tăng; ","")&amp;IF(E169="","Thiếu ngày bắt đầu; ","")&amp;IF(AND(D169&lt;&gt;"",E169&lt;&gt;"",E169&lt;D169),"Ngày bắt đầu &lt; ngày tăng; ","")&amp;IF(OR(F169="",F169&lt;=0),"Số lượng không hợp lệ; ","")&amp;IF(OR(G169="",G169&lt;=0),"Đơn giá không hợp lệ; ","")&amp;IF(OR(I169="",I169&lt;=0),"Số tháng không hợp lệ; ","")&amp;IF(COUNTIF($B$7:$B$306,B169)&gt;1,"Trùng mã CPTT; ","")))</f>
        <v/>
      </c>
    </row>
    <row r="170" ht="19.5" customHeight="1" s="98">
      <c r="A170" s="164">
        <f>IF(B170="","",ROW()-6)</f>
        <v/>
      </c>
      <c r="B170" s="165" t="n"/>
      <c r="C170" s="166" t="n"/>
      <c r="D170" s="167" t="n"/>
      <c r="E170" s="167" t="n"/>
      <c r="F170" s="168" t="n"/>
      <c r="G170" s="169" t="n"/>
      <c r="H170" s="170">
        <f>IF(OR(F170="",G170=""),"",F170*G170)</f>
        <v/>
      </c>
      <c r="I170" s="171" t="n"/>
      <c r="J170" s="170">
        <f>IF(OR(H170="",E170="",P170=""),"",H170/(P170-E170+1))</f>
        <v/>
      </c>
      <c r="K170" s="165" t="n"/>
      <c r="L170" s="172">
        <f>IF(B170="","",IF(AF170&lt;=0,"Đã phân bổ",IF(P170&lt;=EDATE('Thiết lập'!$B$4,12),"Ngắn hạn","Dài hạn")))</f>
        <v/>
      </c>
      <c r="M170" s="165" t="n"/>
      <c r="N170" s="165" t="n"/>
      <c r="O170" s="165" t="n"/>
      <c r="P170" s="173">
        <f>IF(OR(E170="",I170=""),"",EDATE(E170,I170)-1)</f>
        <v/>
      </c>
      <c r="Q170" s="170">
        <f>IF(OR(B170="",E170="",P170=""),0,MIN(H170,MAX(0,MIN(P170,DATE('Thiết lập'!$B$3-1,12,31))-E170+1)*J170))</f>
        <v/>
      </c>
      <c r="R170" s="170">
        <f>IF(OR($B170="",R$4&gt;$P170,EOMONTH(R$4,0)&lt;$E170),0,MIN($H170,MAX(0,MIN(EOMONTH(R$4,0),$P170)-MAX(R$4,$E170)+1)*$J170))</f>
        <v/>
      </c>
      <c r="S170" s="170">
        <f>IF(OR($B170="",S$4&gt;$P170,EOMONTH(S$4,0)&lt;$E170),0,MIN($H170,MAX(0,MIN(EOMONTH(S$4,0),$P170)-MAX(S$4,$E170)+1)*$J170))</f>
        <v/>
      </c>
      <c r="T170" s="170">
        <f>IF(OR($B170="",T$4&gt;$P170,EOMONTH(T$4,0)&lt;$E170),0,MIN($H170,MAX(0,MIN(EOMONTH(T$4,0),$P170)-MAX(T$4,$E170)+1)*$J170))</f>
        <v/>
      </c>
      <c r="U170" s="170">
        <f>IF(OR($B170="",U$4&gt;$P170,EOMONTH(U$4,0)&lt;$E170),0,MIN($H170,MAX(0,MIN(EOMONTH(U$4,0),$P170)-MAX(U$4,$E170)+1)*$J170))</f>
        <v/>
      </c>
      <c r="V170" s="170">
        <f>IF(OR($B170="",V$4&gt;$P170,EOMONTH(V$4,0)&lt;$E170),0,MIN($H170,MAX(0,MIN(EOMONTH(V$4,0),$P170)-MAX(V$4,$E170)+1)*$J170))</f>
        <v/>
      </c>
      <c r="W170" s="170">
        <f>IF(OR($B170="",W$4&gt;$P170,EOMONTH(W$4,0)&lt;$E170),0,MIN($H170,MAX(0,MIN(EOMONTH(W$4,0),$P170)-MAX(W$4,$E170)+1)*$J170))</f>
        <v/>
      </c>
      <c r="X170" s="170">
        <f>IF(OR($B170="",X$4&gt;$P170,EOMONTH(X$4,0)&lt;$E170),0,MIN($H170,MAX(0,MIN(EOMONTH(X$4,0),$P170)-MAX(X$4,$E170)+1)*$J170))</f>
        <v/>
      </c>
      <c r="Y170" s="170">
        <f>IF(OR($B170="",Y$4&gt;$P170,EOMONTH(Y$4,0)&lt;$E170),0,MIN($H170,MAX(0,MIN(EOMONTH(Y$4,0),$P170)-MAX(Y$4,$E170)+1)*$J170))</f>
        <v/>
      </c>
      <c r="Z170" s="170">
        <f>IF(OR($B170="",Z$4&gt;$P170,EOMONTH(Z$4,0)&lt;$E170),0,MIN($H170,MAX(0,MIN(EOMONTH(Z$4,0),$P170)-MAX(Z$4,$E170)+1)*$J170))</f>
        <v/>
      </c>
      <c r="AA170" s="170">
        <f>IF(OR($B170="",AA$4&gt;$P170,EOMONTH(AA$4,0)&lt;$E170),0,MIN($H170,MAX(0,MIN(EOMONTH(AA$4,0),$P170)-MAX(AA$4,$E170)+1)*$J170))</f>
        <v/>
      </c>
      <c r="AB170" s="170">
        <f>IF(OR($B170="",AB$4&gt;$P170,EOMONTH(AB$4,0)&lt;$E170),0,MIN($H170,MAX(0,MIN(EOMONTH(AB$4,0),$P170)-MAX(AB$4,$E170)+1)*$J170))</f>
        <v/>
      </c>
      <c r="AC170" s="170">
        <f>IF(OR($B170="",AC$4&gt;$P170,EOMONTH(AC$4,0)&lt;$E170),0,MIN($H170,MAX(0,MIN(EOMONTH(AC$4,0),$P170)-MAX(AC$4,$E170)+1)*$J170))</f>
        <v/>
      </c>
      <c r="AD170" s="170">
        <f>IF(B170="","",ROUND(SUM(R170:AC170),0))</f>
        <v/>
      </c>
      <c r="AE170" s="170">
        <f>IF(B170="","",MIN(H170,ROUND(Q170+SUM(R170:AC170),0)))</f>
        <v/>
      </c>
      <c r="AF170" s="170">
        <f>IF(B170="","",MAX(H170-AE170,0))</f>
        <v/>
      </c>
      <c r="AG170" s="172">
        <f>IF(B170="","",IF('Thiết lập'!$B$4&lt;E170,"Chưa phân bổ",IF(P170&lt;='Thiết lập'!$B$4,"Đã phân bổ","Đang phân bổ")))</f>
        <v/>
      </c>
      <c r="AH170" s="166" t="n"/>
      <c r="AI170" s="174">
        <f>IF(B170="","",IF(AND(C170&lt;&gt;"",D170&lt;&gt;"",E170&lt;&gt;"",E170&gt;=D170,F170&gt;0,G170&gt;0,I170&gt;0,COUNTIF($B$7:$B$306,B170)=1),"OK",IF(C170="","Thiếu tên; ","")&amp;IF(D170="","Thiếu ngày tăng; ","")&amp;IF(E170="","Thiếu ngày bắt đầu; ","")&amp;IF(AND(D170&lt;&gt;"",E170&lt;&gt;"",E170&lt;D170),"Ngày bắt đầu &lt; ngày tăng; ","")&amp;IF(OR(F170="",F170&lt;=0),"Số lượng không hợp lệ; ","")&amp;IF(OR(G170="",G170&lt;=0),"Đơn giá không hợp lệ; ","")&amp;IF(OR(I170="",I170&lt;=0),"Số tháng không hợp lệ; ","")&amp;IF(COUNTIF($B$7:$B$306,B170)&gt;1,"Trùng mã CPTT; ","")))</f>
        <v/>
      </c>
    </row>
    <row r="171" ht="19.5" customHeight="1" s="98">
      <c r="A171" s="164">
        <f>IF(B171="","",ROW()-6)</f>
        <v/>
      </c>
      <c r="B171" s="165" t="n"/>
      <c r="C171" s="166" t="n"/>
      <c r="D171" s="167" t="n"/>
      <c r="E171" s="167" t="n"/>
      <c r="F171" s="168" t="n"/>
      <c r="G171" s="169" t="n"/>
      <c r="H171" s="170">
        <f>IF(OR(F171="",G171=""),"",F171*G171)</f>
        <v/>
      </c>
      <c r="I171" s="171" t="n"/>
      <c r="J171" s="170">
        <f>IF(OR(H171="",E171="",P171=""),"",H171/(P171-E171+1))</f>
        <v/>
      </c>
      <c r="K171" s="165" t="n"/>
      <c r="L171" s="172">
        <f>IF(B171="","",IF(AF171&lt;=0,"Đã phân bổ",IF(P171&lt;=EDATE('Thiết lập'!$B$4,12),"Ngắn hạn","Dài hạn")))</f>
        <v/>
      </c>
      <c r="M171" s="165" t="n"/>
      <c r="N171" s="165" t="n"/>
      <c r="O171" s="165" t="n"/>
      <c r="P171" s="173">
        <f>IF(OR(E171="",I171=""),"",EDATE(E171,I171)-1)</f>
        <v/>
      </c>
      <c r="Q171" s="170">
        <f>IF(OR(B171="",E171="",P171=""),0,MIN(H171,MAX(0,MIN(P171,DATE('Thiết lập'!$B$3-1,12,31))-E171+1)*J171))</f>
        <v/>
      </c>
      <c r="R171" s="170">
        <f>IF(OR($B171="",R$4&gt;$P171,EOMONTH(R$4,0)&lt;$E171),0,MIN($H171,MAX(0,MIN(EOMONTH(R$4,0),$P171)-MAX(R$4,$E171)+1)*$J171))</f>
        <v/>
      </c>
      <c r="S171" s="170">
        <f>IF(OR($B171="",S$4&gt;$P171,EOMONTH(S$4,0)&lt;$E171),0,MIN($H171,MAX(0,MIN(EOMONTH(S$4,0),$P171)-MAX(S$4,$E171)+1)*$J171))</f>
        <v/>
      </c>
      <c r="T171" s="170">
        <f>IF(OR($B171="",T$4&gt;$P171,EOMONTH(T$4,0)&lt;$E171),0,MIN($H171,MAX(0,MIN(EOMONTH(T$4,0),$P171)-MAX(T$4,$E171)+1)*$J171))</f>
        <v/>
      </c>
      <c r="U171" s="170">
        <f>IF(OR($B171="",U$4&gt;$P171,EOMONTH(U$4,0)&lt;$E171),0,MIN($H171,MAX(0,MIN(EOMONTH(U$4,0),$P171)-MAX(U$4,$E171)+1)*$J171))</f>
        <v/>
      </c>
      <c r="V171" s="170">
        <f>IF(OR($B171="",V$4&gt;$P171,EOMONTH(V$4,0)&lt;$E171),0,MIN($H171,MAX(0,MIN(EOMONTH(V$4,0),$P171)-MAX(V$4,$E171)+1)*$J171))</f>
        <v/>
      </c>
      <c r="W171" s="170">
        <f>IF(OR($B171="",W$4&gt;$P171,EOMONTH(W$4,0)&lt;$E171),0,MIN($H171,MAX(0,MIN(EOMONTH(W$4,0),$P171)-MAX(W$4,$E171)+1)*$J171))</f>
        <v/>
      </c>
      <c r="X171" s="170">
        <f>IF(OR($B171="",X$4&gt;$P171,EOMONTH(X$4,0)&lt;$E171),0,MIN($H171,MAX(0,MIN(EOMONTH(X$4,0),$P171)-MAX(X$4,$E171)+1)*$J171))</f>
        <v/>
      </c>
      <c r="Y171" s="170">
        <f>IF(OR($B171="",Y$4&gt;$P171,EOMONTH(Y$4,0)&lt;$E171),0,MIN($H171,MAX(0,MIN(EOMONTH(Y$4,0),$P171)-MAX(Y$4,$E171)+1)*$J171))</f>
        <v/>
      </c>
      <c r="Z171" s="170">
        <f>IF(OR($B171="",Z$4&gt;$P171,EOMONTH(Z$4,0)&lt;$E171),0,MIN($H171,MAX(0,MIN(EOMONTH(Z$4,0),$P171)-MAX(Z$4,$E171)+1)*$J171))</f>
        <v/>
      </c>
      <c r="AA171" s="170">
        <f>IF(OR($B171="",AA$4&gt;$P171,EOMONTH(AA$4,0)&lt;$E171),0,MIN($H171,MAX(0,MIN(EOMONTH(AA$4,0),$P171)-MAX(AA$4,$E171)+1)*$J171))</f>
        <v/>
      </c>
      <c r="AB171" s="170">
        <f>IF(OR($B171="",AB$4&gt;$P171,EOMONTH(AB$4,0)&lt;$E171),0,MIN($H171,MAX(0,MIN(EOMONTH(AB$4,0),$P171)-MAX(AB$4,$E171)+1)*$J171))</f>
        <v/>
      </c>
      <c r="AC171" s="170">
        <f>IF(OR($B171="",AC$4&gt;$P171,EOMONTH(AC$4,0)&lt;$E171),0,MIN($H171,MAX(0,MIN(EOMONTH(AC$4,0),$P171)-MAX(AC$4,$E171)+1)*$J171))</f>
        <v/>
      </c>
      <c r="AD171" s="170">
        <f>IF(B171="","",ROUND(SUM(R171:AC171),0))</f>
        <v/>
      </c>
      <c r="AE171" s="170">
        <f>IF(B171="","",MIN(H171,ROUND(Q171+SUM(R171:AC171),0)))</f>
        <v/>
      </c>
      <c r="AF171" s="170">
        <f>IF(B171="","",MAX(H171-AE171,0))</f>
        <v/>
      </c>
      <c r="AG171" s="172">
        <f>IF(B171="","",IF('Thiết lập'!$B$4&lt;E171,"Chưa phân bổ",IF(P171&lt;='Thiết lập'!$B$4,"Đã phân bổ","Đang phân bổ")))</f>
        <v/>
      </c>
      <c r="AH171" s="166" t="n"/>
      <c r="AI171" s="174">
        <f>IF(B171="","",IF(AND(C171&lt;&gt;"",D171&lt;&gt;"",E171&lt;&gt;"",E171&gt;=D171,F171&gt;0,G171&gt;0,I171&gt;0,COUNTIF($B$7:$B$306,B171)=1),"OK",IF(C171="","Thiếu tên; ","")&amp;IF(D171="","Thiếu ngày tăng; ","")&amp;IF(E171="","Thiếu ngày bắt đầu; ","")&amp;IF(AND(D171&lt;&gt;"",E171&lt;&gt;"",E171&lt;D171),"Ngày bắt đầu &lt; ngày tăng; ","")&amp;IF(OR(F171="",F171&lt;=0),"Số lượng không hợp lệ; ","")&amp;IF(OR(G171="",G171&lt;=0),"Đơn giá không hợp lệ; ","")&amp;IF(OR(I171="",I171&lt;=0),"Số tháng không hợp lệ; ","")&amp;IF(COUNTIF($B$7:$B$306,B171)&gt;1,"Trùng mã CPTT; ","")))</f>
        <v/>
      </c>
    </row>
    <row r="172" ht="19.5" customHeight="1" s="98">
      <c r="A172" s="164">
        <f>IF(B172="","",ROW()-6)</f>
        <v/>
      </c>
      <c r="B172" s="165" t="n"/>
      <c r="C172" s="166" t="n"/>
      <c r="D172" s="167" t="n"/>
      <c r="E172" s="167" t="n"/>
      <c r="F172" s="168" t="n"/>
      <c r="G172" s="169" t="n"/>
      <c r="H172" s="170">
        <f>IF(OR(F172="",G172=""),"",F172*G172)</f>
        <v/>
      </c>
      <c r="I172" s="171" t="n"/>
      <c r="J172" s="170">
        <f>IF(OR(H172="",E172="",P172=""),"",H172/(P172-E172+1))</f>
        <v/>
      </c>
      <c r="K172" s="165" t="n"/>
      <c r="L172" s="172">
        <f>IF(B172="","",IF(AF172&lt;=0,"Đã phân bổ",IF(P172&lt;=EDATE('Thiết lập'!$B$4,12),"Ngắn hạn","Dài hạn")))</f>
        <v/>
      </c>
      <c r="M172" s="165" t="n"/>
      <c r="N172" s="165" t="n"/>
      <c r="O172" s="165" t="n"/>
      <c r="P172" s="173">
        <f>IF(OR(E172="",I172=""),"",EDATE(E172,I172)-1)</f>
        <v/>
      </c>
      <c r="Q172" s="170">
        <f>IF(OR(B172="",E172="",P172=""),0,MIN(H172,MAX(0,MIN(P172,DATE('Thiết lập'!$B$3-1,12,31))-E172+1)*J172))</f>
        <v/>
      </c>
      <c r="R172" s="170">
        <f>IF(OR($B172="",R$4&gt;$P172,EOMONTH(R$4,0)&lt;$E172),0,MIN($H172,MAX(0,MIN(EOMONTH(R$4,0),$P172)-MAX(R$4,$E172)+1)*$J172))</f>
        <v/>
      </c>
      <c r="S172" s="170">
        <f>IF(OR($B172="",S$4&gt;$P172,EOMONTH(S$4,0)&lt;$E172),0,MIN($H172,MAX(0,MIN(EOMONTH(S$4,0),$P172)-MAX(S$4,$E172)+1)*$J172))</f>
        <v/>
      </c>
      <c r="T172" s="170">
        <f>IF(OR($B172="",T$4&gt;$P172,EOMONTH(T$4,0)&lt;$E172),0,MIN($H172,MAX(0,MIN(EOMONTH(T$4,0),$P172)-MAX(T$4,$E172)+1)*$J172))</f>
        <v/>
      </c>
      <c r="U172" s="170">
        <f>IF(OR($B172="",U$4&gt;$P172,EOMONTH(U$4,0)&lt;$E172),0,MIN($H172,MAX(0,MIN(EOMONTH(U$4,0),$P172)-MAX(U$4,$E172)+1)*$J172))</f>
        <v/>
      </c>
      <c r="V172" s="170">
        <f>IF(OR($B172="",V$4&gt;$P172,EOMONTH(V$4,0)&lt;$E172),0,MIN($H172,MAX(0,MIN(EOMONTH(V$4,0),$P172)-MAX(V$4,$E172)+1)*$J172))</f>
        <v/>
      </c>
      <c r="W172" s="170">
        <f>IF(OR($B172="",W$4&gt;$P172,EOMONTH(W$4,0)&lt;$E172),0,MIN($H172,MAX(0,MIN(EOMONTH(W$4,0),$P172)-MAX(W$4,$E172)+1)*$J172))</f>
        <v/>
      </c>
      <c r="X172" s="170">
        <f>IF(OR($B172="",X$4&gt;$P172,EOMONTH(X$4,0)&lt;$E172),0,MIN($H172,MAX(0,MIN(EOMONTH(X$4,0),$P172)-MAX(X$4,$E172)+1)*$J172))</f>
        <v/>
      </c>
      <c r="Y172" s="170">
        <f>IF(OR($B172="",Y$4&gt;$P172,EOMONTH(Y$4,0)&lt;$E172),0,MIN($H172,MAX(0,MIN(EOMONTH(Y$4,0),$P172)-MAX(Y$4,$E172)+1)*$J172))</f>
        <v/>
      </c>
      <c r="Z172" s="170">
        <f>IF(OR($B172="",Z$4&gt;$P172,EOMONTH(Z$4,0)&lt;$E172),0,MIN($H172,MAX(0,MIN(EOMONTH(Z$4,0),$P172)-MAX(Z$4,$E172)+1)*$J172))</f>
        <v/>
      </c>
      <c r="AA172" s="170">
        <f>IF(OR($B172="",AA$4&gt;$P172,EOMONTH(AA$4,0)&lt;$E172),0,MIN($H172,MAX(0,MIN(EOMONTH(AA$4,0),$P172)-MAX(AA$4,$E172)+1)*$J172))</f>
        <v/>
      </c>
      <c r="AB172" s="170">
        <f>IF(OR($B172="",AB$4&gt;$P172,EOMONTH(AB$4,0)&lt;$E172),0,MIN($H172,MAX(0,MIN(EOMONTH(AB$4,0),$P172)-MAX(AB$4,$E172)+1)*$J172))</f>
        <v/>
      </c>
      <c r="AC172" s="170">
        <f>IF(OR($B172="",AC$4&gt;$P172,EOMONTH(AC$4,0)&lt;$E172),0,MIN($H172,MAX(0,MIN(EOMONTH(AC$4,0),$P172)-MAX(AC$4,$E172)+1)*$J172))</f>
        <v/>
      </c>
      <c r="AD172" s="170">
        <f>IF(B172="","",ROUND(SUM(R172:AC172),0))</f>
        <v/>
      </c>
      <c r="AE172" s="170">
        <f>IF(B172="","",MIN(H172,ROUND(Q172+SUM(R172:AC172),0)))</f>
        <v/>
      </c>
      <c r="AF172" s="170">
        <f>IF(B172="","",MAX(H172-AE172,0))</f>
        <v/>
      </c>
      <c r="AG172" s="172">
        <f>IF(B172="","",IF('Thiết lập'!$B$4&lt;E172,"Chưa phân bổ",IF(P172&lt;='Thiết lập'!$B$4,"Đã phân bổ","Đang phân bổ")))</f>
        <v/>
      </c>
      <c r="AH172" s="166" t="n"/>
      <c r="AI172" s="174">
        <f>IF(B172="","",IF(AND(C172&lt;&gt;"",D172&lt;&gt;"",E172&lt;&gt;"",E172&gt;=D172,F172&gt;0,G172&gt;0,I172&gt;0,COUNTIF($B$7:$B$306,B172)=1),"OK",IF(C172="","Thiếu tên; ","")&amp;IF(D172="","Thiếu ngày tăng; ","")&amp;IF(E172="","Thiếu ngày bắt đầu; ","")&amp;IF(AND(D172&lt;&gt;"",E172&lt;&gt;"",E172&lt;D172),"Ngày bắt đầu &lt; ngày tăng; ","")&amp;IF(OR(F172="",F172&lt;=0),"Số lượng không hợp lệ; ","")&amp;IF(OR(G172="",G172&lt;=0),"Đơn giá không hợp lệ; ","")&amp;IF(OR(I172="",I172&lt;=0),"Số tháng không hợp lệ; ","")&amp;IF(COUNTIF($B$7:$B$306,B172)&gt;1,"Trùng mã CPTT; ","")))</f>
        <v/>
      </c>
    </row>
    <row r="173" ht="19.5" customHeight="1" s="98">
      <c r="A173" s="164">
        <f>IF(B173="","",ROW()-6)</f>
        <v/>
      </c>
      <c r="B173" s="165" t="n"/>
      <c r="C173" s="166" t="n"/>
      <c r="D173" s="167" t="n"/>
      <c r="E173" s="167" t="n"/>
      <c r="F173" s="168" t="n"/>
      <c r="G173" s="169" t="n"/>
      <c r="H173" s="170">
        <f>IF(OR(F173="",G173=""),"",F173*G173)</f>
        <v/>
      </c>
      <c r="I173" s="171" t="n"/>
      <c r="J173" s="170">
        <f>IF(OR(H173="",E173="",P173=""),"",H173/(P173-E173+1))</f>
        <v/>
      </c>
      <c r="K173" s="165" t="n"/>
      <c r="L173" s="172">
        <f>IF(B173="","",IF(AF173&lt;=0,"Đã phân bổ",IF(P173&lt;=EDATE('Thiết lập'!$B$4,12),"Ngắn hạn","Dài hạn")))</f>
        <v/>
      </c>
      <c r="M173" s="165" t="n"/>
      <c r="N173" s="165" t="n"/>
      <c r="O173" s="165" t="n"/>
      <c r="P173" s="173">
        <f>IF(OR(E173="",I173=""),"",EDATE(E173,I173)-1)</f>
        <v/>
      </c>
      <c r="Q173" s="170">
        <f>IF(OR(B173="",E173="",P173=""),0,MIN(H173,MAX(0,MIN(P173,DATE('Thiết lập'!$B$3-1,12,31))-E173+1)*J173))</f>
        <v/>
      </c>
      <c r="R173" s="170">
        <f>IF(OR($B173="",R$4&gt;$P173,EOMONTH(R$4,0)&lt;$E173),0,MIN($H173,MAX(0,MIN(EOMONTH(R$4,0),$P173)-MAX(R$4,$E173)+1)*$J173))</f>
        <v/>
      </c>
      <c r="S173" s="170">
        <f>IF(OR($B173="",S$4&gt;$P173,EOMONTH(S$4,0)&lt;$E173),0,MIN($H173,MAX(0,MIN(EOMONTH(S$4,0),$P173)-MAX(S$4,$E173)+1)*$J173))</f>
        <v/>
      </c>
      <c r="T173" s="170">
        <f>IF(OR($B173="",T$4&gt;$P173,EOMONTH(T$4,0)&lt;$E173),0,MIN($H173,MAX(0,MIN(EOMONTH(T$4,0),$P173)-MAX(T$4,$E173)+1)*$J173))</f>
        <v/>
      </c>
      <c r="U173" s="170">
        <f>IF(OR($B173="",U$4&gt;$P173,EOMONTH(U$4,0)&lt;$E173),0,MIN($H173,MAX(0,MIN(EOMONTH(U$4,0),$P173)-MAX(U$4,$E173)+1)*$J173))</f>
        <v/>
      </c>
      <c r="V173" s="170">
        <f>IF(OR($B173="",V$4&gt;$P173,EOMONTH(V$4,0)&lt;$E173),0,MIN($H173,MAX(0,MIN(EOMONTH(V$4,0),$P173)-MAX(V$4,$E173)+1)*$J173))</f>
        <v/>
      </c>
      <c r="W173" s="170">
        <f>IF(OR($B173="",W$4&gt;$P173,EOMONTH(W$4,0)&lt;$E173),0,MIN($H173,MAX(0,MIN(EOMONTH(W$4,0),$P173)-MAX(W$4,$E173)+1)*$J173))</f>
        <v/>
      </c>
      <c r="X173" s="170">
        <f>IF(OR($B173="",X$4&gt;$P173,EOMONTH(X$4,0)&lt;$E173),0,MIN($H173,MAX(0,MIN(EOMONTH(X$4,0),$P173)-MAX(X$4,$E173)+1)*$J173))</f>
        <v/>
      </c>
      <c r="Y173" s="170">
        <f>IF(OR($B173="",Y$4&gt;$P173,EOMONTH(Y$4,0)&lt;$E173),0,MIN($H173,MAX(0,MIN(EOMONTH(Y$4,0),$P173)-MAX(Y$4,$E173)+1)*$J173))</f>
        <v/>
      </c>
      <c r="Z173" s="170">
        <f>IF(OR($B173="",Z$4&gt;$P173,EOMONTH(Z$4,0)&lt;$E173),0,MIN($H173,MAX(0,MIN(EOMONTH(Z$4,0),$P173)-MAX(Z$4,$E173)+1)*$J173))</f>
        <v/>
      </c>
      <c r="AA173" s="170">
        <f>IF(OR($B173="",AA$4&gt;$P173,EOMONTH(AA$4,0)&lt;$E173),0,MIN($H173,MAX(0,MIN(EOMONTH(AA$4,0),$P173)-MAX(AA$4,$E173)+1)*$J173))</f>
        <v/>
      </c>
      <c r="AB173" s="170">
        <f>IF(OR($B173="",AB$4&gt;$P173,EOMONTH(AB$4,0)&lt;$E173),0,MIN($H173,MAX(0,MIN(EOMONTH(AB$4,0),$P173)-MAX(AB$4,$E173)+1)*$J173))</f>
        <v/>
      </c>
      <c r="AC173" s="170">
        <f>IF(OR($B173="",AC$4&gt;$P173,EOMONTH(AC$4,0)&lt;$E173),0,MIN($H173,MAX(0,MIN(EOMONTH(AC$4,0),$P173)-MAX(AC$4,$E173)+1)*$J173))</f>
        <v/>
      </c>
      <c r="AD173" s="170">
        <f>IF(B173="","",ROUND(SUM(R173:AC173),0))</f>
        <v/>
      </c>
      <c r="AE173" s="170">
        <f>IF(B173="","",MIN(H173,ROUND(Q173+SUM(R173:AC173),0)))</f>
        <v/>
      </c>
      <c r="AF173" s="170">
        <f>IF(B173="","",MAX(H173-AE173,0))</f>
        <v/>
      </c>
      <c r="AG173" s="172">
        <f>IF(B173="","",IF('Thiết lập'!$B$4&lt;E173,"Chưa phân bổ",IF(P173&lt;='Thiết lập'!$B$4,"Đã phân bổ","Đang phân bổ")))</f>
        <v/>
      </c>
      <c r="AH173" s="166" t="n"/>
      <c r="AI173" s="174">
        <f>IF(B173="","",IF(AND(C173&lt;&gt;"",D173&lt;&gt;"",E173&lt;&gt;"",E173&gt;=D173,F173&gt;0,G173&gt;0,I173&gt;0,COUNTIF($B$7:$B$306,B173)=1),"OK",IF(C173="","Thiếu tên; ","")&amp;IF(D173="","Thiếu ngày tăng; ","")&amp;IF(E173="","Thiếu ngày bắt đầu; ","")&amp;IF(AND(D173&lt;&gt;"",E173&lt;&gt;"",E173&lt;D173),"Ngày bắt đầu &lt; ngày tăng; ","")&amp;IF(OR(F173="",F173&lt;=0),"Số lượng không hợp lệ; ","")&amp;IF(OR(G173="",G173&lt;=0),"Đơn giá không hợp lệ; ","")&amp;IF(OR(I173="",I173&lt;=0),"Số tháng không hợp lệ; ","")&amp;IF(COUNTIF($B$7:$B$306,B173)&gt;1,"Trùng mã CPTT; ","")))</f>
        <v/>
      </c>
    </row>
    <row r="174" ht="19.5" customHeight="1" s="98">
      <c r="A174" s="164">
        <f>IF(B174="","",ROW()-6)</f>
        <v/>
      </c>
      <c r="B174" s="165" t="n"/>
      <c r="C174" s="166" t="n"/>
      <c r="D174" s="167" t="n"/>
      <c r="E174" s="167" t="n"/>
      <c r="F174" s="168" t="n"/>
      <c r="G174" s="169" t="n"/>
      <c r="H174" s="170">
        <f>IF(OR(F174="",G174=""),"",F174*G174)</f>
        <v/>
      </c>
      <c r="I174" s="171" t="n"/>
      <c r="J174" s="170">
        <f>IF(OR(H174="",E174="",P174=""),"",H174/(P174-E174+1))</f>
        <v/>
      </c>
      <c r="K174" s="165" t="n"/>
      <c r="L174" s="172">
        <f>IF(B174="","",IF(AF174&lt;=0,"Đã phân bổ",IF(P174&lt;=EDATE('Thiết lập'!$B$4,12),"Ngắn hạn","Dài hạn")))</f>
        <v/>
      </c>
      <c r="M174" s="165" t="n"/>
      <c r="N174" s="165" t="n"/>
      <c r="O174" s="165" t="n"/>
      <c r="P174" s="173">
        <f>IF(OR(E174="",I174=""),"",EDATE(E174,I174)-1)</f>
        <v/>
      </c>
      <c r="Q174" s="170">
        <f>IF(OR(B174="",E174="",P174=""),0,MIN(H174,MAX(0,MIN(P174,DATE('Thiết lập'!$B$3-1,12,31))-E174+1)*J174))</f>
        <v/>
      </c>
      <c r="R174" s="170">
        <f>IF(OR($B174="",R$4&gt;$P174,EOMONTH(R$4,0)&lt;$E174),0,MIN($H174,MAX(0,MIN(EOMONTH(R$4,0),$P174)-MAX(R$4,$E174)+1)*$J174))</f>
        <v/>
      </c>
      <c r="S174" s="170">
        <f>IF(OR($B174="",S$4&gt;$P174,EOMONTH(S$4,0)&lt;$E174),0,MIN($H174,MAX(0,MIN(EOMONTH(S$4,0),$P174)-MAX(S$4,$E174)+1)*$J174))</f>
        <v/>
      </c>
      <c r="T174" s="170">
        <f>IF(OR($B174="",T$4&gt;$P174,EOMONTH(T$4,0)&lt;$E174),0,MIN($H174,MAX(0,MIN(EOMONTH(T$4,0),$P174)-MAX(T$4,$E174)+1)*$J174))</f>
        <v/>
      </c>
      <c r="U174" s="170">
        <f>IF(OR($B174="",U$4&gt;$P174,EOMONTH(U$4,0)&lt;$E174),0,MIN($H174,MAX(0,MIN(EOMONTH(U$4,0),$P174)-MAX(U$4,$E174)+1)*$J174))</f>
        <v/>
      </c>
      <c r="V174" s="170">
        <f>IF(OR($B174="",V$4&gt;$P174,EOMONTH(V$4,0)&lt;$E174),0,MIN($H174,MAX(0,MIN(EOMONTH(V$4,0),$P174)-MAX(V$4,$E174)+1)*$J174))</f>
        <v/>
      </c>
      <c r="W174" s="170">
        <f>IF(OR($B174="",W$4&gt;$P174,EOMONTH(W$4,0)&lt;$E174),0,MIN($H174,MAX(0,MIN(EOMONTH(W$4,0),$P174)-MAX(W$4,$E174)+1)*$J174))</f>
        <v/>
      </c>
      <c r="X174" s="170">
        <f>IF(OR($B174="",X$4&gt;$P174,EOMONTH(X$4,0)&lt;$E174),0,MIN($H174,MAX(0,MIN(EOMONTH(X$4,0),$P174)-MAX(X$4,$E174)+1)*$J174))</f>
        <v/>
      </c>
      <c r="Y174" s="170">
        <f>IF(OR($B174="",Y$4&gt;$P174,EOMONTH(Y$4,0)&lt;$E174),0,MIN($H174,MAX(0,MIN(EOMONTH(Y$4,0),$P174)-MAX(Y$4,$E174)+1)*$J174))</f>
        <v/>
      </c>
      <c r="Z174" s="170">
        <f>IF(OR($B174="",Z$4&gt;$P174,EOMONTH(Z$4,0)&lt;$E174),0,MIN($H174,MAX(0,MIN(EOMONTH(Z$4,0),$P174)-MAX(Z$4,$E174)+1)*$J174))</f>
        <v/>
      </c>
      <c r="AA174" s="170">
        <f>IF(OR($B174="",AA$4&gt;$P174,EOMONTH(AA$4,0)&lt;$E174),0,MIN($H174,MAX(0,MIN(EOMONTH(AA$4,0),$P174)-MAX(AA$4,$E174)+1)*$J174))</f>
        <v/>
      </c>
      <c r="AB174" s="170">
        <f>IF(OR($B174="",AB$4&gt;$P174,EOMONTH(AB$4,0)&lt;$E174),0,MIN($H174,MAX(0,MIN(EOMONTH(AB$4,0),$P174)-MAX(AB$4,$E174)+1)*$J174))</f>
        <v/>
      </c>
      <c r="AC174" s="170">
        <f>IF(OR($B174="",AC$4&gt;$P174,EOMONTH(AC$4,0)&lt;$E174),0,MIN($H174,MAX(0,MIN(EOMONTH(AC$4,0),$P174)-MAX(AC$4,$E174)+1)*$J174))</f>
        <v/>
      </c>
      <c r="AD174" s="170">
        <f>IF(B174="","",ROUND(SUM(R174:AC174),0))</f>
        <v/>
      </c>
      <c r="AE174" s="170">
        <f>IF(B174="","",MIN(H174,ROUND(Q174+SUM(R174:AC174),0)))</f>
        <v/>
      </c>
      <c r="AF174" s="170">
        <f>IF(B174="","",MAX(H174-AE174,0))</f>
        <v/>
      </c>
      <c r="AG174" s="172">
        <f>IF(B174="","",IF('Thiết lập'!$B$4&lt;E174,"Chưa phân bổ",IF(P174&lt;='Thiết lập'!$B$4,"Đã phân bổ","Đang phân bổ")))</f>
        <v/>
      </c>
      <c r="AH174" s="166" t="n"/>
      <c r="AI174" s="174">
        <f>IF(B174="","",IF(AND(C174&lt;&gt;"",D174&lt;&gt;"",E174&lt;&gt;"",E174&gt;=D174,F174&gt;0,G174&gt;0,I174&gt;0,COUNTIF($B$7:$B$306,B174)=1),"OK",IF(C174="","Thiếu tên; ","")&amp;IF(D174="","Thiếu ngày tăng; ","")&amp;IF(E174="","Thiếu ngày bắt đầu; ","")&amp;IF(AND(D174&lt;&gt;"",E174&lt;&gt;"",E174&lt;D174),"Ngày bắt đầu &lt; ngày tăng; ","")&amp;IF(OR(F174="",F174&lt;=0),"Số lượng không hợp lệ; ","")&amp;IF(OR(G174="",G174&lt;=0),"Đơn giá không hợp lệ; ","")&amp;IF(OR(I174="",I174&lt;=0),"Số tháng không hợp lệ; ","")&amp;IF(COUNTIF($B$7:$B$306,B174)&gt;1,"Trùng mã CPTT; ","")))</f>
        <v/>
      </c>
    </row>
    <row r="175" ht="19.5" customHeight="1" s="98">
      <c r="A175" s="164">
        <f>IF(B175="","",ROW()-6)</f>
        <v/>
      </c>
      <c r="B175" s="165" t="n"/>
      <c r="C175" s="166" t="n"/>
      <c r="D175" s="167" t="n"/>
      <c r="E175" s="167" t="n"/>
      <c r="F175" s="168" t="n"/>
      <c r="G175" s="169" t="n"/>
      <c r="H175" s="170">
        <f>IF(OR(F175="",G175=""),"",F175*G175)</f>
        <v/>
      </c>
      <c r="I175" s="171" t="n"/>
      <c r="J175" s="170">
        <f>IF(OR(H175="",E175="",P175=""),"",H175/(P175-E175+1))</f>
        <v/>
      </c>
      <c r="K175" s="165" t="n"/>
      <c r="L175" s="172">
        <f>IF(B175="","",IF(AF175&lt;=0,"Đã phân bổ",IF(P175&lt;=EDATE('Thiết lập'!$B$4,12),"Ngắn hạn","Dài hạn")))</f>
        <v/>
      </c>
      <c r="M175" s="165" t="n"/>
      <c r="N175" s="165" t="n"/>
      <c r="O175" s="165" t="n"/>
      <c r="P175" s="173">
        <f>IF(OR(E175="",I175=""),"",EDATE(E175,I175)-1)</f>
        <v/>
      </c>
      <c r="Q175" s="170">
        <f>IF(OR(B175="",E175="",P175=""),0,MIN(H175,MAX(0,MIN(P175,DATE('Thiết lập'!$B$3-1,12,31))-E175+1)*J175))</f>
        <v/>
      </c>
      <c r="R175" s="170">
        <f>IF(OR($B175="",R$4&gt;$P175,EOMONTH(R$4,0)&lt;$E175),0,MIN($H175,MAX(0,MIN(EOMONTH(R$4,0),$P175)-MAX(R$4,$E175)+1)*$J175))</f>
        <v/>
      </c>
      <c r="S175" s="170">
        <f>IF(OR($B175="",S$4&gt;$P175,EOMONTH(S$4,0)&lt;$E175),0,MIN($H175,MAX(0,MIN(EOMONTH(S$4,0),$P175)-MAX(S$4,$E175)+1)*$J175))</f>
        <v/>
      </c>
      <c r="T175" s="170">
        <f>IF(OR($B175="",T$4&gt;$P175,EOMONTH(T$4,0)&lt;$E175),0,MIN($H175,MAX(0,MIN(EOMONTH(T$4,0),$P175)-MAX(T$4,$E175)+1)*$J175))</f>
        <v/>
      </c>
      <c r="U175" s="170">
        <f>IF(OR($B175="",U$4&gt;$P175,EOMONTH(U$4,0)&lt;$E175),0,MIN($H175,MAX(0,MIN(EOMONTH(U$4,0),$P175)-MAX(U$4,$E175)+1)*$J175))</f>
        <v/>
      </c>
      <c r="V175" s="170">
        <f>IF(OR($B175="",V$4&gt;$P175,EOMONTH(V$4,0)&lt;$E175),0,MIN($H175,MAX(0,MIN(EOMONTH(V$4,0),$P175)-MAX(V$4,$E175)+1)*$J175))</f>
        <v/>
      </c>
      <c r="W175" s="170">
        <f>IF(OR($B175="",W$4&gt;$P175,EOMONTH(W$4,0)&lt;$E175),0,MIN($H175,MAX(0,MIN(EOMONTH(W$4,0),$P175)-MAX(W$4,$E175)+1)*$J175))</f>
        <v/>
      </c>
      <c r="X175" s="170">
        <f>IF(OR($B175="",X$4&gt;$P175,EOMONTH(X$4,0)&lt;$E175),0,MIN($H175,MAX(0,MIN(EOMONTH(X$4,0),$P175)-MAX(X$4,$E175)+1)*$J175))</f>
        <v/>
      </c>
      <c r="Y175" s="170">
        <f>IF(OR($B175="",Y$4&gt;$P175,EOMONTH(Y$4,0)&lt;$E175),0,MIN($H175,MAX(0,MIN(EOMONTH(Y$4,0),$P175)-MAX(Y$4,$E175)+1)*$J175))</f>
        <v/>
      </c>
      <c r="Z175" s="170">
        <f>IF(OR($B175="",Z$4&gt;$P175,EOMONTH(Z$4,0)&lt;$E175),0,MIN($H175,MAX(0,MIN(EOMONTH(Z$4,0),$P175)-MAX(Z$4,$E175)+1)*$J175))</f>
        <v/>
      </c>
      <c r="AA175" s="170">
        <f>IF(OR($B175="",AA$4&gt;$P175,EOMONTH(AA$4,0)&lt;$E175),0,MIN($H175,MAX(0,MIN(EOMONTH(AA$4,0),$P175)-MAX(AA$4,$E175)+1)*$J175))</f>
        <v/>
      </c>
      <c r="AB175" s="170">
        <f>IF(OR($B175="",AB$4&gt;$P175,EOMONTH(AB$4,0)&lt;$E175),0,MIN($H175,MAX(0,MIN(EOMONTH(AB$4,0),$P175)-MAX(AB$4,$E175)+1)*$J175))</f>
        <v/>
      </c>
      <c r="AC175" s="170">
        <f>IF(OR($B175="",AC$4&gt;$P175,EOMONTH(AC$4,0)&lt;$E175),0,MIN($H175,MAX(0,MIN(EOMONTH(AC$4,0),$P175)-MAX(AC$4,$E175)+1)*$J175))</f>
        <v/>
      </c>
      <c r="AD175" s="170">
        <f>IF(B175="","",ROUND(SUM(R175:AC175),0))</f>
        <v/>
      </c>
      <c r="AE175" s="170">
        <f>IF(B175="","",MIN(H175,ROUND(Q175+SUM(R175:AC175),0)))</f>
        <v/>
      </c>
      <c r="AF175" s="170">
        <f>IF(B175="","",MAX(H175-AE175,0))</f>
        <v/>
      </c>
      <c r="AG175" s="172">
        <f>IF(B175="","",IF('Thiết lập'!$B$4&lt;E175,"Chưa phân bổ",IF(P175&lt;='Thiết lập'!$B$4,"Đã phân bổ","Đang phân bổ")))</f>
        <v/>
      </c>
      <c r="AH175" s="166" t="n"/>
      <c r="AI175" s="174">
        <f>IF(B175="","",IF(AND(C175&lt;&gt;"",D175&lt;&gt;"",E175&lt;&gt;"",E175&gt;=D175,F175&gt;0,G175&gt;0,I175&gt;0,COUNTIF($B$7:$B$306,B175)=1),"OK",IF(C175="","Thiếu tên; ","")&amp;IF(D175="","Thiếu ngày tăng; ","")&amp;IF(E175="","Thiếu ngày bắt đầu; ","")&amp;IF(AND(D175&lt;&gt;"",E175&lt;&gt;"",E175&lt;D175),"Ngày bắt đầu &lt; ngày tăng; ","")&amp;IF(OR(F175="",F175&lt;=0),"Số lượng không hợp lệ; ","")&amp;IF(OR(G175="",G175&lt;=0),"Đơn giá không hợp lệ; ","")&amp;IF(OR(I175="",I175&lt;=0),"Số tháng không hợp lệ; ","")&amp;IF(COUNTIF($B$7:$B$306,B175)&gt;1,"Trùng mã CPTT; ","")))</f>
        <v/>
      </c>
    </row>
    <row r="176" ht="19.5" customHeight="1" s="98">
      <c r="A176" s="164">
        <f>IF(B176="","",ROW()-6)</f>
        <v/>
      </c>
      <c r="B176" s="165" t="n"/>
      <c r="C176" s="166" t="n"/>
      <c r="D176" s="167" t="n"/>
      <c r="E176" s="167" t="n"/>
      <c r="F176" s="168" t="n"/>
      <c r="G176" s="169" t="n"/>
      <c r="H176" s="170">
        <f>IF(OR(F176="",G176=""),"",F176*G176)</f>
        <v/>
      </c>
      <c r="I176" s="171" t="n"/>
      <c r="J176" s="170">
        <f>IF(OR(H176="",E176="",P176=""),"",H176/(P176-E176+1))</f>
        <v/>
      </c>
      <c r="K176" s="165" t="n"/>
      <c r="L176" s="172">
        <f>IF(B176="","",IF(AF176&lt;=0,"Đã phân bổ",IF(P176&lt;=EDATE('Thiết lập'!$B$4,12),"Ngắn hạn","Dài hạn")))</f>
        <v/>
      </c>
      <c r="M176" s="165" t="n"/>
      <c r="N176" s="165" t="n"/>
      <c r="O176" s="165" t="n"/>
      <c r="P176" s="173">
        <f>IF(OR(E176="",I176=""),"",EDATE(E176,I176)-1)</f>
        <v/>
      </c>
      <c r="Q176" s="170">
        <f>IF(OR(B176="",E176="",P176=""),0,MIN(H176,MAX(0,MIN(P176,DATE('Thiết lập'!$B$3-1,12,31))-E176+1)*J176))</f>
        <v/>
      </c>
      <c r="R176" s="170">
        <f>IF(OR($B176="",R$4&gt;$P176,EOMONTH(R$4,0)&lt;$E176),0,MIN($H176,MAX(0,MIN(EOMONTH(R$4,0),$P176)-MAX(R$4,$E176)+1)*$J176))</f>
        <v/>
      </c>
      <c r="S176" s="170">
        <f>IF(OR($B176="",S$4&gt;$P176,EOMONTH(S$4,0)&lt;$E176),0,MIN($H176,MAX(0,MIN(EOMONTH(S$4,0),$P176)-MAX(S$4,$E176)+1)*$J176))</f>
        <v/>
      </c>
      <c r="T176" s="170">
        <f>IF(OR($B176="",T$4&gt;$P176,EOMONTH(T$4,0)&lt;$E176),0,MIN($H176,MAX(0,MIN(EOMONTH(T$4,0),$P176)-MAX(T$4,$E176)+1)*$J176))</f>
        <v/>
      </c>
      <c r="U176" s="170">
        <f>IF(OR($B176="",U$4&gt;$P176,EOMONTH(U$4,0)&lt;$E176),0,MIN($H176,MAX(0,MIN(EOMONTH(U$4,0),$P176)-MAX(U$4,$E176)+1)*$J176))</f>
        <v/>
      </c>
      <c r="V176" s="170">
        <f>IF(OR($B176="",V$4&gt;$P176,EOMONTH(V$4,0)&lt;$E176),0,MIN($H176,MAX(0,MIN(EOMONTH(V$4,0),$P176)-MAX(V$4,$E176)+1)*$J176))</f>
        <v/>
      </c>
      <c r="W176" s="170">
        <f>IF(OR($B176="",W$4&gt;$P176,EOMONTH(W$4,0)&lt;$E176),0,MIN($H176,MAX(0,MIN(EOMONTH(W$4,0),$P176)-MAX(W$4,$E176)+1)*$J176))</f>
        <v/>
      </c>
      <c r="X176" s="170">
        <f>IF(OR($B176="",X$4&gt;$P176,EOMONTH(X$4,0)&lt;$E176),0,MIN($H176,MAX(0,MIN(EOMONTH(X$4,0),$P176)-MAX(X$4,$E176)+1)*$J176))</f>
        <v/>
      </c>
      <c r="Y176" s="170">
        <f>IF(OR($B176="",Y$4&gt;$P176,EOMONTH(Y$4,0)&lt;$E176),0,MIN($H176,MAX(0,MIN(EOMONTH(Y$4,0),$P176)-MAX(Y$4,$E176)+1)*$J176))</f>
        <v/>
      </c>
      <c r="Z176" s="170">
        <f>IF(OR($B176="",Z$4&gt;$P176,EOMONTH(Z$4,0)&lt;$E176),0,MIN($H176,MAX(0,MIN(EOMONTH(Z$4,0),$P176)-MAX(Z$4,$E176)+1)*$J176))</f>
        <v/>
      </c>
      <c r="AA176" s="170">
        <f>IF(OR($B176="",AA$4&gt;$P176,EOMONTH(AA$4,0)&lt;$E176),0,MIN($H176,MAX(0,MIN(EOMONTH(AA$4,0),$P176)-MAX(AA$4,$E176)+1)*$J176))</f>
        <v/>
      </c>
      <c r="AB176" s="170">
        <f>IF(OR($B176="",AB$4&gt;$P176,EOMONTH(AB$4,0)&lt;$E176),0,MIN($H176,MAX(0,MIN(EOMONTH(AB$4,0),$P176)-MAX(AB$4,$E176)+1)*$J176))</f>
        <v/>
      </c>
      <c r="AC176" s="170">
        <f>IF(OR($B176="",AC$4&gt;$P176,EOMONTH(AC$4,0)&lt;$E176),0,MIN($H176,MAX(0,MIN(EOMONTH(AC$4,0),$P176)-MAX(AC$4,$E176)+1)*$J176))</f>
        <v/>
      </c>
      <c r="AD176" s="170">
        <f>IF(B176="","",ROUND(SUM(R176:AC176),0))</f>
        <v/>
      </c>
      <c r="AE176" s="170">
        <f>IF(B176="","",MIN(H176,ROUND(Q176+SUM(R176:AC176),0)))</f>
        <v/>
      </c>
      <c r="AF176" s="170">
        <f>IF(B176="","",MAX(H176-AE176,0))</f>
        <v/>
      </c>
      <c r="AG176" s="172">
        <f>IF(B176="","",IF('Thiết lập'!$B$4&lt;E176,"Chưa phân bổ",IF(P176&lt;='Thiết lập'!$B$4,"Đã phân bổ","Đang phân bổ")))</f>
        <v/>
      </c>
      <c r="AH176" s="166" t="n"/>
      <c r="AI176" s="174">
        <f>IF(B176="","",IF(AND(C176&lt;&gt;"",D176&lt;&gt;"",E176&lt;&gt;"",E176&gt;=D176,F176&gt;0,G176&gt;0,I176&gt;0,COUNTIF($B$7:$B$306,B176)=1),"OK",IF(C176="","Thiếu tên; ","")&amp;IF(D176="","Thiếu ngày tăng; ","")&amp;IF(E176="","Thiếu ngày bắt đầu; ","")&amp;IF(AND(D176&lt;&gt;"",E176&lt;&gt;"",E176&lt;D176),"Ngày bắt đầu &lt; ngày tăng; ","")&amp;IF(OR(F176="",F176&lt;=0),"Số lượng không hợp lệ; ","")&amp;IF(OR(G176="",G176&lt;=0),"Đơn giá không hợp lệ; ","")&amp;IF(OR(I176="",I176&lt;=0),"Số tháng không hợp lệ; ","")&amp;IF(COUNTIF($B$7:$B$306,B176)&gt;1,"Trùng mã CPTT; ","")))</f>
        <v/>
      </c>
    </row>
    <row r="177" ht="19.5" customHeight="1" s="98">
      <c r="A177" s="164">
        <f>IF(B177="","",ROW()-6)</f>
        <v/>
      </c>
      <c r="B177" s="165" t="n"/>
      <c r="C177" s="166" t="n"/>
      <c r="D177" s="167" t="n"/>
      <c r="E177" s="167" t="n"/>
      <c r="F177" s="168" t="n"/>
      <c r="G177" s="169" t="n"/>
      <c r="H177" s="170">
        <f>IF(OR(F177="",G177=""),"",F177*G177)</f>
        <v/>
      </c>
      <c r="I177" s="171" t="n"/>
      <c r="J177" s="170">
        <f>IF(OR(H177="",E177="",P177=""),"",H177/(P177-E177+1))</f>
        <v/>
      </c>
      <c r="K177" s="165" t="n"/>
      <c r="L177" s="172">
        <f>IF(B177="","",IF(AF177&lt;=0,"Đã phân bổ",IF(P177&lt;=EDATE('Thiết lập'!$B$4,12),"Ngắn hạn","Dài hạn")))</f>
        <v/>
      </c>
      <c r="M177" s="165" t="n"/>
      <c r="N177" s="165" t="n"/>
      <c r="O177" s="165" t="n"/>
      <c r="P177" s="173">
        <f>IF(OR(E177="",I177=""),"",EDATE(E177,I177)-1)</f>
        <v/>
      </c>
      <c r="Q177" s="170">
        <f>IF(OR(B177="",E177="",P177=""),0,MIN(H177,MAX(0,MIN(P177,DATE('Thiết lập'!$B$3-1,12,31))-E177+1)*J177))</f>
        <v/>
      </c>
      <c r="R177" s="170">
        <f>IF(OR($B177="",R$4&gt;$P177,EOMONTH(R$4,0)&lt;$E177),0,MIN($H177,MAX(0,MIN(EOMONTH(R$4,0),$P177)-MAX(R$4,$E177)+1)*$J177))</f>
        <v/>
      </c>
      <c r="S177" s="170">
        <f>IF(OR($B177="",S$4&gt;$P177,EOMONTH(S$4,0)&lt;$E177),0,MIN($H177,MAX(0,MIN(EOMONTH(S$4,0),$P177)-MAX(S$4,$E177)+1)*$J177))</f>
        <v/>
      </c>
      <c r="T177" s="170">
        <f>IF(OR($B177="",T$4&gt;$P177,EOMONTH(T$4,0)&lt;$E177),0,MIN($H177,MAX(0,MIN(EOMONTH(T$4,0),$P177)-MAX(T$4,$E177)+1)*$J177))</f>
        <v/>
      </c>
      <c r="U177" s="170">
        <f>IF(OR($B177="",U$4&gt;$P177,EOMONTH(U$4,0)&lt;$E177),0,MIN($H177,MAX(0,MIN(EOMONTH(U$4,0),$P177)-MAX(U$4,$E177)+1)*$J177))</f>
        <v/>
      </c>
      <c r="V177" s="170">
        <f>IF(OR($B177="",V$4&gt;$P177,EOMONTH(V$4,0)&lt;$E177),0,MIN($H177,MAX(0,MIN(EOMONTH(V$4,0),$P177)-MAX(V$4,$E177)+1)*$J177))</f>
        <v/>
      </c>
      <c r="W177" s="170">
        <f>IF(OR($B177="",W$4&gt;$P177,EOMONTH(W$4,0)&lt;$E177),0,MIN($H177,MAX(0,MIN(EOMONTH(W$4,0),$P177)-MAX(W$4,$E177)+1)*$J177))</f>
        <v/>
      </c>
      <c r="X177" s="170">
        <f>IF(OR($B177="",X$4&gt;$P177,EOMONTH(X$4,0)&lt;$E177),0,MIN($H177,MAX(0,MIN(EOMONTH(X$4,0),$P177)-MAX(X$4,$E177)+1)*$J177))</f>
        <v/>
      </c>
      <c r="Y177" s="170">
        <f>IF(OR($B177="",Y$4&gt;$P177,EOMONTH(Y$4,0)&lt;$E177),0,MIN($H177,MAX(0,MIN(EOMONTH(Y$4,0),$P177)-MAX(Y$4,$E177)+1)*$J177))</f>
        <v/>
      </c>
      <c r="Z177" s="170">
        <f>IF(OR($B177="",Z$4&gt;$P177,EOMONTH(Z$4,0)&lt;$E177),0,MIN($H177,MAX(0,MIN(EOMONTH(Z$4,0),$P177)-MAX(Z$4,$E177)+1)*$J177))</f>
        <v/>
      </c>
      <c r="AA177" s="170">
        <f>IF(OR($B177="",AA$4&gt;$P177,EOMONTH(AA$4,0)&lt;$E177),0,MIN($H177,MAX(0,MIN(EOMONTH(AA$4,0),$P177)-MAX(AA$4,$E177)+1)*$J177))</f>
        <v/>
      </c>
      <c r="AB177" s="170">
        <f>IF(OR($B177="",AB$4&gt;$P177,EOMONTH(AB$4,0)&lt;$E177),0,MIN($H177,MAX(0,MIN(EOMONTH(AB$4,0),$P177)-MAX(AB$4,$E177)+1)*$J177))</f>
        <v/>
      </c>
      <c r="AC177" s="170">
        <f>IF(OR($B177="",AC$4&gt;$P177,EOMONTH(AC$4,0)&lt;$E177),0,MIN($H177,MAX(0,MIN(EOMONTH(AC$4,0),$P177)-MAX(AC$4,$E177)+1)*$J177))</f>
        <v/>
      </c>
      <c r="AD177" s="170">
        <f>IF(B177="","",ROUND(SUM(R177:AC177),0))</f>
        <v/>
      </c>
      <c r="AE177" s="170">
        <f>IF(B177="","",MIN(H177,ROUND(Q177+SUM(R177:AC177),0)))</f>
        <v/>
      </c>
      <c r="AF177" s="170">
        <f>IF(B177="","",MAX(H177-AE177,0))</f>
        <v/>
      </c>
      <c r="AG177" s="172">
        <f>IF(B177="","",IF('Thiết lập'!$B$4&lt;E177,"Chưa phân bổ",IF(P177&lt;='Thiết lập'!$B$4,"Đã phân bổ","Đang phân bổ")))</f>
        <v/>
      </c>
      <c r="AH177" s="166" t="n"/>
      <c r="AI177" s="174">
        <f>IF(B177="","",IF(AND(C177&lt;&gt;"",D177&lt;&gt;"",E177&lt;&gt;"",E177&gt;=D177,F177&gt;0,G177&gt;0,I177&gt;0,COUNTIF($B$7:$B$306,B177)=1),"OK",IF(C177="","Thiếu tên; ","")&amp;IF(D177="","Thiếu ngày tăng; ","")&amp;IF(E177="","Thiếu ngày bắt đầu; ","")&amp;IF(AND(D177&lt;&gt;"",E177&lt;&gt;"",E177&lt;D177),"Ngày bắt đầu &lt; ngày tăng; ","")&amp;IF(OR(F177="",F177&lt;=0),"Số lượng không hợp lệ; ","")&amp;IF(OR(G177="",G177&lt;=0),"Đơn giá không hợp lệ; ","")&amp;IF(OR(I177="",I177&lt;=0),"Số tháng không hợp lệ; ","")&amp;IF(COUNTIF($B$7:$B$306,B177)&gt;1,"Trùng mã CPTT; ","")))</f>
        <v/>
      </c>
    </row>
    <row r="178" ht="19.5" customHeight="1" s="98">
      <c r="A178" s="164">
        <f>IF(B178="","",ROW()-6)</f>
        <v/>
      </c>
      <c r="B178" s="165" t="n"/>
      <c r="C178" s="166" t="n"/>
      <c r="D178" s="167" t="n"/>
      <c r="E178" s="167" t="n"/>
      <c r="F178" s="168" t="n"/>
      <c r="G178" s="169" t="n"/>
      <c r="H178" s="170">
        <f>IF(OR(F178="",G178=""),"",F178*G178)</f>
        <v/>
      </c>
      <c r="I178" s="171" t="n"/>
      <c r="J178" s="170">
        <f>IF(OR(H178="",E178="",P178=""),"",H178/(P178-E178+1))</f>
        <v/>
      </c>
      <c r="K178" s="165" t="n"/>
      <c r="L178" s="172">
        <f>IF(B178="","",IF(AF178&lt;=0,"Đã phân bổ",IF(P178&lt;=EDATE('Thiết lập'!$B$4,12),"Ngắn hạn","Dài hạn")))</f>
        <v/>
      </c>
      <c r="M178" s="165" t="n"/>
      <c r="N178" s="165" t="n"/>
      <c r="O178" s="165" t="n"/>
      <c r="P178" s="173">
        <f>IF(OR(E178="",I178=""),"",EDATE(E178,I178)-1)</f>
        <v/>
      </c>
      <c r="Q178" s="170">
        <f>IF(OR(B178="",E178="",P178=""),0,MIN(H178,MAX(0,MIN(P178,DATE('Thiết lập'!$B$3-1,12,31))-E178+1)*J178))</f>
        <v/>
      </c>
      <c r="R178" s="170">
        <f>IF(OR($B178="",R$4&gt;$P178,EOMONTH(R$4,0)&lt;$E178),0,MIN($H178,MAX(0,MIN(EOMONTH(R$4,0),$P178)-MAX(R$4,$E178)+1)*$J178))</f>
        <v/>
      </c>
      <c r="S178" s="170">
        <f>IF(OR($B178="",S$4&gt;$P178,EOMONTH(S$4,0)&lt;$E178),0,MIN($H178,MAX(0,MIN(EOMONTH(S$4,0),$P178)-MAX(S$4,$E178)+1)*$J178))</f>
        <v/>
      </c>
      <c r="T178" s="170">
        <f>IF(OR($B178="",T$4&gt;$P178,EOMONTH(T$4,0)&lt;$E178),0,MIN($H178,MAX(0,MIN(EOMONTH(T$4,0),$P178)-MAX(T$4,$E178)+1)*$J178))</f>
        <v/>
      </c>
      <c r="U178" s="170">
        <f>IF(OR($B178="",U$4&gt;$P178,EOMONTH(U$4,0)&lt;$E178),0,MIN($H178,MAX(0,MIN(EOMONTH(U$4,0),$P178)-MAX(U$4,$E178)+1)*$J178))</f>
        <v/>
      </c>
      <c r="V178" s="170">
        <f>IF(OR($B178="",V$4&gt;$P178,EOMONTH(V$4,0)&lt;$E178),0,MIN($H178,MAX(0,MIN(EOMONTH(V$4,0),$P178)-MAX(V$4,$E178)+1)*$J178))</f>
        <v/>
      </c>
      <c r="W178" s="170">
        <f>IF(OR($B178="",W$4&gt;$P178,EOMONTH(W$4,0)&lt;$E178),0,MIN($H178,MAX(0,MIN(EOMONTH(W$4,0),$P178)-MAX(W$4,$E178)+1)*$J178))</f>
        <v/>
      </c>
      <c r="X178" s="170">
        <f>IF(OR($B178="",X$4&gt;$P178,EOMONTH(X$4,0)&lt;$E178),0,MIN($H178,MAX(0,MIN(EOMONTH(X$4,0),$P178)-MAX(X$4,$E178)+1)*$J178))</f>
        <v/>
      </c>
      <c r="Y178" s="170">
        <f>IF(OR($B178="",Y$4&gt;$P178,EOMONTH(Y$4,0)&lt;$E178),0,MIN($H178,MAX(0,MIN(EOMONTH(Y$4,0),$P178)-MAX(Y$4,$E178)+1)*$J178))</f>
        <v/>
      </c>
      <c r="Z178" s="170">
        <f>IF(OR($B178="",Z$4&gt;$P178,EOMONTH(Z$4,0)&lt;$E178),0,MIN($H178,MAX(0,MIN(EOMONTH(Z$4,0),$P178)-MAX(Z$4,$E178)+1)*$J178))</f>
        <v/>
      </c>
      <c r="AA178" s="170">
        <f>IF(OR($B178="",AA$4&gt;$P178,EOMONTH(AA$4,0)&lt;$E178),0,MIN($H178,MAX(0,MIN(EOMONTH(AA$4,0),$P178)-MAX(AA$4,$E178)+1)*$J178))</f>
        <v/>
      </c>
      <c r="AB178" s="170">
        <f>IF(OR($B178="",AB$4&gt;$P178,EOMONTH(AB$4,0)&lt;$E178),0,MIN($H178,MAX(0,MIN(EOMONTH(AB$4,0),$P178)-MAX(AB$4,$E178)+1)*$J178))</f>
        <v/>
      </c>
      <c r="AC178" s="170">
        <f>IF(OR($B178="",AC$4&gt;$P178,EOMONTH(AC$4,0)&lt;$E178),0,MIN($H178,MAX(0,MIN(EOMONTH(AC$4,0),$P178)-MAX(AC$4,$E178)+1)*$J178))</f>
        <v/>
      </c>
      <c r="AD178" s="170">
        <f>IF(B178="","",ROUND(SUM(R178:AC178),0))</f>
        <v/>
      </c>
      <c r="AE178" s="170">
        <f>IF(B178="","",MIN(H178,ROUND(Q178+SUM(R178:AC178),0)))</f>
        <v/>
      </c>
      <c r="AF178" s="170">
        <f>IF(B178="","",MAX(H178-AE178,0))</f>
        <v/>
      </c>
      <c r="AG178" s="172">
        <f>IF(B178="","",IF('Thiết lập'!$B$4&lt;E178,"Chưa phân bổ",IF(P178&lt;='Thiết lập'!$B$4,"Đã phân bổ","Đang phân bổ")))</f>
        <v/>
      </c>
      <c r="AH178" s="166" t="n"/>
      <c r="AI178" s="174">
        <f>IF(B178="","",IF(AND(C178&lt;&gt;"",D178&lt;&gt;"",E178&lt;&gt;"",E178&gt;=D178,F178&gt;0,G178&gt;0,I178&gt;0,COUNTIF($B$7:$B$306,B178)=1),"OK",IF(C178="","Thiếu tên; ","")&amp;IF(D178="","Thiếu ngày tăng; ","")&amp;IF(E178="","Thiếu ngày bắt đầu; ","")&amp;IF(AND(D178&lt;&gt;"",E178&lt;&gt;"",E178&lt;D178),"Ngày bắt đầu &lt; ngày tăng; ","")&amp;IF(OR(F178="",F178&lt;=0),"Số lượng không hợp lệ; ","")&amp;IF(OR(G178="",G178&lt;=0),"Đơn giá không hợp lệ; ","")&amp;IF(OR(I178="",I178&lt;=0),"Số tháng không hợp lệ; ","")&amp;IF(COUNTIF($B$7:$B$306,B178)&gt;1,"Trùng mã CPTT; ","")))</f>
        <v/>
      </c>
    </row>
    <row r="179" ht="19.5" customHeight="1" s="98">
      <c r="A179" s="164">
        <f>IF(B179="","",ROW()-6)</f>
        <v/>
      </c>
      <c r="B179" s="165" t="n"/>
      <c r="C179" s="166" t="n"/>
      <c r="D179" s="167" t="n"/>
      <c r="E179" s="167" t="n"/>
      <c r="F179" s="168" t="n"/>
      <c r="G179" s="169" t="n"/>
      <c r="H179" s="170">
        <f>IF(OR(F179="",G179=""),"",F179*G179)</f>
        <v/>
      </c>
      <c r="I179" s="171" t="n"/>
      <c r="J179" s="170">
        <f>IF(OR(H179="",E179="",P179=""),"",H179/(P179-E179+1))</f>
        <v/>
      </c>
      <c r="K179" s="165" t="n"/>
      <c r="L179" s="172">
        <f>IF(B179="","",IF(AF179&lt;=0,"Đã phân bổ",IF(P179&lt;=EDATE('Thiết lập'!$B$4,12),"Ngắn hạn","Dài hạn")))</f>
        <v/>
      </c>
      <c r="M179" s="165" t="n"/>
      <c r="N179" s="165" t="n"/>
      <c r="O179" s="165" t="n"/>
      <c r="P179" s="173">
        <f>IF(OR(E179="",I179=""),"",EDATE(E179,I179)-1)</f>
        <v/>
      </c>
      <c r="Q179" s="170">
        <f>IF(OR(B179="",E179="",P179=""),0,MIN(H179,MAX(0,MIN(P179,DATE('Thiết lập'!$B$3-1,12,31))-E179+1)*J179))</f>
        <v/>
      </c>
      <c r="R179" s="170">
        <f>IF(OR($B179="",R$4&gt;$P179,EOMONTH(R$4,0)&lt;$E179),0,MIN($H179,MAX(0,MIN(EOMONTH(R$4,0),$P179)-MAX(R$4,$E179)+1)*$J179))</f>
        <v/>
      </c>
      <c r="S179" s="170">
        <f>IF(OR($B179="",S$4&gt;$P179,EOMONTH(S$4,0)&lt;$E179),0,MIN($H179,MAX(0,MIN(EOMONTH(S$4,0),$P179)-MAX(S$4,$E179)+1)*$J179))</f>
        <v/>
      </c>
      <c r="T179" s="170">
        <f>IF(OR($B179="",T$4&gt;$P179,EOMONTH(T$4,0)&lt;$E179),0,MIN($H179,MAX(0,MIN(EOMONTH(T$4,0),$P179)-MAX(T$4,$E179)+1)*$J179))</f>
        <v/>
      </c>
      <c r="U179" s="170">
        <f>IF(OR($B179="",U$4&gt;$P179,EOMONTH(U$4,0)&lt;$E179),0,MIN($H179,MAX(0,MIN(EOMONTH(U$4,0),$P179)-MAX(U$4,$E179)+1)*$J179))</f>
        <v/>
      </c>
      <c r="V179" s="170">
        <f>IF(OR($B179="",V$4&gt;$P179,EOMONTH(V$4,0)&lt;$E179),0,MIN($H179,MAX(0,MIN(EOMONTH(V$4,0),$P179)-MAX(V$4,$E179)+1)*$J179))</f>
        <v/>
      </c>
      <c r="W179" s="170">
        <f>IF(OR($B179="",W$4&gt;$P179,EOMONTH(W$4,0)&lt;$E179),0,MIN($H179,MAX(0,MIN(EOMONTH(W$4,0),$P179)-MAX(W$4,$E179)+1)*$J179))</f>
        <v/>
      </c>
      <c r="X179" s="170">
        <f>IF(OR($B179="",X$4&gt;$P179,EOMONTH(X$4,0)&lt;$E179),0,MIN($H179,MAX(0,MIN(EOMONTH(X$4,0),$P179)-MAX(X$4,$E179)+1)*$J179))</f>
        <v/>
      </c>
      <c r="Y179" s="170">
        <f>IF(OR($B179="",Y$4&gt;$P179,EOMONTH(Y$4,0)&lt;$E179),0,MIN($H179,MAX(0,MIN(EOMONTH(Y$4,0),$P179)-MAX(Y$4,$E179)+1)*$J179))</f>
        <v/>
      </c>
      <c r="Z179" s="170">
        <f>IF(OR($B179="",Z$4&gt;$P179,EOMONTH(Z$4,0)&lt;$E179),0,MIN($H179,MAX(0,MIN(EOMONTH(Z$4,0),$P179)-MAX(Z$4,$E179)+1)*$J179))</f>
        <v/>
      </c>
      <c r="AA179" s="170">
        <f>IF(OR($B179="",AA$4&gt;$P179,EOMONTH(AA$4,0)&lt;$E179),0,MIN($H179,MAX(0,MIN(EOMONTH(AA$4,0),$P179)-MAX(AA$4,$E179)+1)*$J179))</f>
        <v/>
      </c>
      <c r="AB179" s="170">
        <f>IF(OR($B179="",AB$4&gt;$P179,EOMONTH(AB$4,0)&lt;$E179),0,MIN($H179,MAX(0,MIN(EOMONTH(AB$4,0),$P179)-MAX(AB$4,$E179)+1)*$J179))</f>
        <v/>
      </c>
      <c r="AC179" s="170">
        <f>IF(OR($B179="",AC$4&gt;$P179,EOMONTH(AC$4,0)&lt;$E179),0,MIN($H179,MAX(0,MIN(EOMONTH(AC$4,0),$P179)-MAX(AC$4,$E179)+1)*$J179))</f>
        <v/>
      </c>
      <c r="AD179" s="170">
        <f>IF(B179="","",ROUND(SUM(R179:AC179),0))</f>
        <v/>
      </c>
      <c r="AE179" s="170">
        <f>IF(B179="","",MIN(H179,ROUND(Q179+SUM(R179:AC179),0)))</f>
        <v/>
      </c>
      <c r="AF179" s="170">
        <f>IF(B179="","",MAX(H179-AE179,0))</f>
        <v/>
      </c>
      <c r="AG179" s="172">
        <f>IF(B179="","",IF('Thiết lập'!$B$4&lt;E179,"Chưa phân bổ",IF(P179&lt;='Thiết lập'!$B$4,"Đã phân bổ","Đang phân bổ")))</f>
        <v/>
      </c>
      <c r="AH179" s="166" t="n"/>
      <c r="AI179" s="174">
        <f>IF(B179="","",IF(AND(C179&lt;&gt;"",D179&lt;&gt;"",E179&lt;&gt;"",E179&gt;=D179,F179&gt;0,G179&gt;0,I179&gt;0,COUNTIF($B$7:$B$306,B179)=1),"OK",IF(C179="","Thiếu tên; ","")&amp;IF(D179="","Thiếu ngày tăng; ","")&amp;IF(E179="","Thiếu ngày bắt đầu; ","")&amp;IF(AND(D179&lt;&gt;"",E179&lt;&gt;"",E179&lt;D179),"Ngày bắt đầu &lt; ngày tăng; ","")&amp;IF(OR(F179="",F179&lt;=0),"Số lượng không hợp lệ; ","")&amp;IF(OR(G179="",G179&lt;=0),"Đơn giá không hợp lệ; ","")&amp;IF(OR(I179="",I179&lt;=0),"Số tháng không hợp lệ; ","")&amp;IF(COUNTIF($B$7:$B$306,B179)&gt;1,"Trùng mã CPTT; ","")))</f>
        <v/>
      </c>
    </row>
    <row r="180" ht="19.5" customHeight="1" s="98">
      <c r="A180" s="164">
        <f>IF(B180="","",ROW()-6)</f>
        <v/>
      </c>
      <c r="B180" s="165" t="n"/>
      <c r="C180" s="166" t="n"/>
      <c r="D180" s="167" t="n"/>
      <c r="E180" s="167" t="n"/>
      <c r="F180" s="168" t="n"/>
      <c r="G180" s="169" t="n"/>
      <c r="H180" s="170">
        <f>IF(OR(F180="",G180=""),"",F180*G180)</f>
        <v/>
      </c>
      <c r="I180" s="171" t="n"/>
      <c r="J180" s="170">
        <f>IF(OR(H180="",E180="",P180=""),"",H180/(P180-E180+1))</f>
        <v/>
      </c>
      <c r="K180" s="165" t="n"/>
      <c r="L180" s="172">
        <f>IF(B180="","",IF(AF180&lt;=0,"Đã phân bổ",IF(P180&lt;=EDATE('Thiết lập'!$B$4,12),"Ngắn hạn","Dài hạn")))</f>
        <v/>
      </c>
      <c r="M180" s="165" t="n"/>
      <c r="N180" s="165" t="n"/>
      <c r="O180" s="165" t="n"/>
      <c r="P180" s="173">
        <f>IF(OR(E180="",I180=""),"",EDATE(E180,I180)-1)</f>
        <v/>
      </c>
      <c r="Q180" s="170">
        <f>IF(OR(B180="",E180="",P180=""),0,MIN(H180,MAX(0,MIN(P180,DATE('Thiết lập'!$B$3-1,12,31))-E180+1)*J180))</f>
        <v/>
      </c>
      <c r="R180" s="170">
        <f>IF(OR($B180="",R$4&gt;$P180,EOMONTH(R$4,0)&lt;$E180),0,MIN($H180,MAX(0,MIN(EOMONTH(R$4,0),$P180)-MAX(R$4,$E180)+1)*$J180))</f>
        <v/>
      </c>
      <c r="S180" s="170">
        <f>IF(OR($B180="",S$4&gt;$P180,EOMONTH(S$4,0)&lt;$E180),0,MIN($H180,MAX(0,MIN(EOMONTH(S$4,0),$P180)-MAX(S$4,$E180)+1)*$J180))</f>
        <v/>
      </c>
      <c r="T180" s="170">
        <f>IF(OR($B180="",T$4&gt;$P180,EOMONTH(T$4,0)&lt;$E180),0,MIN($H180,MAX(0,MIN(EOMONTH(T$4,0),$P180)-MAX(T$4,$E180)+1)*$J180))</f>
        <v/>
      </c>
      <c r="U180" s="170">
        <f>IF(OR($B180="",U$4&gt;$P180,EOMONTH(U$4,0)&lt;$E180),0,MIN($H180,MAX(0,MIN(EOMONTH(U$4,0),$P180)-MAX(U$4,$E180)+1)*$J180))</f>
        <v/>
      </c>
      <c r="V180" s="170">
        <f>IF(OR($B180="",V$4&gt;$P180,EOMONTH(V$4,0)&lt;$E180),0,MIN($H180,MAX(0,MIN(EOMONTH(V$4,0),$P180)-MAX(V$4,$E180)+1)*$J180))</f>
        <v/>
      </c>
      <c r="W180" s="170">
        <f>IF(OR($B180="",W$4&gt;$P180,EOMONTH(W$4,0)&lt;$E180),0,MIN($H180,MAX(0,MIN(EOMONTH(W$4,0),$P180)-MAX(W$4,$E180)+1)*$J180))</f>
        <v/>
      </c>
      <c r="X180" s="170">
        <f>IF(OR($B180="",X$4&gt;$P180,EOMONTH(X$4,0)&lt;$E180),0,MIN($H180,MAX(0,MIN(EOMONTH(X$4,0),$P180)-MAX(X$4,$E180)+1)*$J180))</f>
        <v/>
      </c>
      <c r="Y180" s="170">
        <f>IF(OR($B180="",Y$4&gt;$P180,EOMONTH(Y$4,0)&lt;$E180),0,MIN($H180,MAX(0,MIN(EOMONTH(Y$4,0),$P180)-MAX(Y$4,$E180)+1)*$J180))</f>
        <v/>
      </c>
      <c r="Z180" s="170">
        <f>IF(OR($B180="",Z$4&gt;$P180,EOMONTH(Z$4,0)&lt;$E180),0,MIN($H180,MAX(0,MIN(EOMONTH(Z$4,0),$P180)-MAX(Z$4,$E180)+1)*$J180))</f>
        <v/>
      </c>
      <c r="AA180" s="170">
        <f>IF(OR($B180="",AA$4&gt;$P180,EOMONTH(AA$4,0)&lt;$E180),0,MIN($H180,MAX(0,MIN(EOMONTH(AA$4,0),$P180)-MAX(AA$4,$E180)+1)*$J180))</f>
        <v/>
      </c>
      <c r="AB180" s="170">
        <f>IF(OR($B180="",AB$4&gt;$P180,EOMONTH(AB$4,0)&lt;$E180),0,MIN($H180,MAX(0,MIN(EOMONTH(AB$4,0),$P180)-MAX(AB$4,$E180)+1)*$J180))</f>
        <v/>
      </c>
      <c r="AC180" s="170">
        <f>IF(OR($B180="",AC$4&gt;$P180,EOMONTH(AC$4,0)&lt;$E180),0,MIN($H180,MAX(0,MIN(EOMONTH(AC$4,0),$P180)-MAX(AC$4,$E180)+1)*$J180))</f>
        <v/>
      </c>
      <c r="AD180" s="170">
        <f>IF(B180="","",ROUND(SUM(R180:AC180),0))</f>
        <v/>
      </c>
      <c r="AE180" s="170">
        <f>IF(B180="","",MIN(H180,ROUND(Q180+SUM(R180:AC180),0)))</f>
        <v/>
      </c>
      <c r="AF180" s="170">
        <f>IF(B180="","",MAX(H180-AE180,0))</f>
        <v/>
      </c>
      <c r="AG180" s="172">
        <f>IF(B180="","",IF('Thiết lập'!$B$4&lt;E180,"Chưa phân bổ",IF(P180&lt;='Thiết lập'!$B$4,"Đã phân bổ","Đang phân bổ")))</f>
        <v/>
      </c>
      <c r="AH180" s="166" t="n"/>
      <c r="AI180" s="174">
        <f>IF(B180="","",IF(AND(C180&lt;&gt;"",D180&lt;&gt;"",E180&lt;&gt;"",E180&gt;=D180,F180&gt;0,G180&gt;0,I180&gt;0,COUNTIF($B$7:$B$306,B180)=1),"OK",IF(C180="","Thiếu tên; ","")&amp;IF(D180="","Thiếu ngày tăng; ","")&amp;IF(E180="","Thiếu ngày bắt đầu; ","")&amp;IF(AND(D180&lt;&gt;"",E180&lt;&gt;"",E180&lt;D180),"Ngày bắt đầu &lt; ngày tăng; ","")&amp;IF(OR(F180="",F180&lt;=0),"Số lượng không hợp lệ; ","")&amp;IF(OR(G180="",G180&lt;=0),"Đơn giá không hợp lệ; ","")&amp;IF(OR(I180="",I180&lt;=0),"Số tháng không hợp lệ; ","")&amp;IF(COUNTIF($B$7:$B$306,B180)&gt;1,"Trùng mã CPTT; ","")))</f>
        <v/>
      </c>
    </row>
    <row r="181" ht="19.5" customHeight="1" s="98">
      <c r="A181" s="164">
        <f>IF(B181="","",ROW()-6)</f>
        <v/>
      </c>
      <c r="B181" s="165" t="n"/>
      <c r="C181" s="166" t="n"/>
      <c r="D181" s="167" t="n"/>
      <c r="E181" s="167" t="n"/>
      <c r="F181" s="168" t="n"/>
      <c r="G181" s="169" t="n"/>
      <c r="H181" s="170">
        <f>IF(OR(F181="",G181=""),"",F181*G181)</f>
        <v/>
      </c>
      <c r="I181" s="171" t="n"/>
      <c r="J181" s="170">
        <f>IF(OR(H181="",E181="",P181=""),"",H181/(P181-E181+1))</f>
        <v/>
      </c>
      <c r="K181" s="165" t="n"/>
      <c r="L181" s="172">
        <f>IF(B181="","",IF(AF181&lt;=0,"Đã phân bổ",IF(P181&lt;=EDATE('Thiết lập'!$B$4,12),"Ngắn hạn","Dài hạn")))</f>
        <v/>
      </c>
      <c r="M181" s="165" t="n"/>
      <c r="N181" s="165" t="n"/>
      <c r="O181" s="165" t="n"/>
      <c r="P181" s="173">
        <f>IF(OR(E181="",I181=""),"",EDATE(E181,I181)-1)</f>
        <v/>
      </c>
      <c r="Q181" s="170">
        <f>IF(OR(B181="",E181="",P181=""),0,MIN(H181,MAX(0,MIN(P181,DATE('Thiết lập'!$B$3-1,12,31))-E181+1)*J181))</f>
        <v/>
      </c>
      <c r="R181" s="170">
        <f>IF(OR($B181="",R$4&gt;$P181,EOMONTH(R$4,0)&lt;$E181),0,MIN($H181,MAX(0,MIN(EOMONTH(R$4,0),$P181)-MAX(R$4,$E181)+1)*$J181))</f>
        <v/>
      </c>
      <c r="S181" s="170">
        <f>IF(OR($B181="",S$4&gt;$P181,EOMONTH(S$4,0)&lt;$E181),0,MIN($H181,MAX(0,MIN(EOMONTH(S$4,0),$P181)-MAX(S$4,$E181)+1)*$J181))</f>
        <v/>
      </c>
      <c r="T181" s="170">
        <f>IF(OR($B181="",T$4&gt;$P181,EOMONTH(T$4,0)&lt;$E181),0,MIN($H181,MAX(0,MIN(EOMONTH(T$4,0),$P181)-MAX(T$4,$E181)+1)*$J181))</f>
        <v/>
      </c>
      <c r="U181" s="170">
        <f>IF(OR($B181="",U$4&gt;$P181,EOMONTH(U$4,0)&lt;$E181),0,MIN($H181,MAX(0,MIN(EOMONTH(U$4,0),$P181)-MAX(U$4,$E181)+1)*$J181))</f>
        <v/>
      </c>
      <c r="V181" s="170">
        <f>IF(OR($B181="",V$4&gt;$P181,EOMONTH(V$4,0)&lt;$E181),0,MIN($H181,MAX(0,MIN(EOMONTH(V$4,0),$P181)-MAX(V$4,$E181)+1)*$J181))</f>
        <v/>
      </c>
      <c r="W181" s="170">
        <f>IF(OR($B181="",W$4&gt;$P181,EOMONTH(W$4,0)&lt;$E181),0,MIN($H181,MAX(0,MIN(EOMONTH(W$4,0),$P181)-MAX(W$4,$E181)+1)*$J181))</f>
        <v/>
      </c>
      <c r="X181" s="170">
        <f>IF(OR($B181="",X$4&gt;$P181,EOMONTH(X$4,0)&lt;$E181),0,MIN($H181,MAX(0,MIN(EOMONTH(X$4,0),$P181)-MAX(X$4,$E181)+1)*$J181))</f>
        <v/>
      </c>
      <c r="Y181" s="170">
        <f>IF(OR($B181="",Y$4&gt;$P181,EOMONTH(Y$4,0)&lt;$E181),0,MIN($H181,MAX(0,MIN(EOMONTH(Y$4,0),$P181)-MAX(Y$4,$E181)+1)*$J181))</f>
        <v/>
      </c>
      <c r="Z181" s="170">
        <f>IF(OR($B181="",Z$4&gt;$P181,EOMONTH(Z$4,0)&lt;$E181),0,MIN($H181,MAX(0,MIN(EOMONTH(Z$4,0),$P181)-MAX(Z$4,$E181)+1)*$J181))</f>
        <v/>
      </c>
      <c r="AA181" s="170">
        <f>IF(OR($B181="",AA$4&gt;$P181,EOMONTH(AA$4,0)&lt;$E181),0,MIN($H181,MAX(0,MIN(EOMONTH(AA$4,0),$P181)-MAX(AA$4,$E181)+1)*$J181))</f>
        <v/>
      </c>
      <c r="AB181" s="170">
        <f>IF(OR($B181="",AB$4&gt;$P181,EOMONTH(AB$4,0)&lt;$E181),0,MIN($H181,MAX(0,MIN(EOMONTH(AB$4,0),$P181)-MAX(AB$4,$E181)+1)*$J181))</f>
        <v/>
      </c>
      <c r="AC181" s="170">
        <f>IF(OR($B181="",AC$4&gt;$P181,EOMONTH(AC$4,0)&lt;$E181),0,MIN($H181,MAX(0,MIN(EOMONTH(AC$4,0),$P181)-MAX(AC$4,$E181)+1)*$J181))</f>
        <v/>
      </c>
      <c r="AD181" s="170">
        <f>IF(B181="","",ROUND(SUM(R181:AC181),0))</f>
        <v/>
      </c>
      <c r="AE181" s="170">
        <f>IF(B181="","",MIN(H181,ROUND(Q181+SUM(R181:AC181),0)))</f>
        <v/>
      </c>
      <c r="AF181" s="170">
        <f>IF(B181="","",MAX(H181-AE181,0))</f>
        <v/>
      </c>
      <c r="AG181" s="172">
        <f>IF(B181="","",IF('Thiết lập'!$B$4&lt;E181,"Chưa phân bổ",IF(P181&lt;='Thiết lập'!$B$4,"Đã phân bổ","Đang phân bổ")))</f>
        <v/>
      </c>
      <c r="AH181" s="166" t="n"/>
      <c r="AI181" s="174">
        <f>IF(B181="","",IF(AND(C181&lt;&gt;"",D181&lt;&gt;"",E181&lt;&gt;"",E181&gt;=D181,F181&gt;0,G181&gt;0,I181&gt;0,COUNTIF($B$7:$B$306,B181)=1),"OK",IF(C181="","Thiếu tên; ","")&amp;IF(D181="","Thiếu ngày tăng; ","")&amp;IF(E181="","Thiếu ngày bắt đầu; ","")&amp;IF(AND(D181&lt;&gt;"",E181&lt;&gt;"",E181&lt;D181),"Ngày bắt đầu &lt; ngày tăng; ","")&amp;IF(OR(F181="",F181&lt;=0),"Số lượng không hợp lệ; ","")&amp;IF(OR(G181="",G181&lt;=0),"Đơn giá không hợp lệ; ","")&amp;IF(OR(I181="",I181&lt;=0),"Số tháng không hợp lệ; ","")&amp;IF(COUNTIF($B$7:$B$306,B181)&gt;1,"Trùng mã CPTT; ","")))</f>
        <v/>
      </c>
    </row>
    <row r="182" ht="19.5" customHeight="1" s="98">
      <c r="A182" s="164">
        <f>IF(B182="","",ROW()-6)</f>
        <v/>
      </c>
      <c r="B182" s="165" t="n"/>
      <c r="C182" s="166" t="n"/>
      <c r="D182" s="167" t="n"/>
      <c r="E182" s="167" t="n"/>
      <c r="F182" s="168" t="n"/>
      <c r="G182" s="169" t="n"/>
      <c r="H182" s="170">
        <f>IF(OR(F182="",G182=""),"",F182*G182)</f>
        <v/>
      </c>
      <c r="I182" s="171" t="n"/>
      <c r="J182" s="170">
        <f>IF(OR(H182="",E182="",P182=""),"",H182/(P182-E182+1))</f>
        <v/>
      </c>
      <c r="K182" s="165" t="n"/>
      <c r="L182" s="172">
        <f>IF(B182="","",IF(AF182&lt;=0,"Đã phân bổ",IF(P182&lt;=EDATE('Thiết lập'!$B$4,12),"Ngắn hạn","Dài hạn")))</f>
        <v/>
      </c>
      <c r="M182" s="165" t="n"/>
      <c r="N182" s="165" t="n"/>
      <c r="O182" s="165" t="n"/>
      <c r="P182" s="173">
        <f>IF(OR(E182="",I182=""),"",EDATE(E182,I182)-1)</f>
        <v/>
      </c>
      <c r="Q182" s="170">
        <f>IF(OR(B182="",E182="",P182=""),0,MIN(H182,MAX(0,MIN(P182,DATE('Thiết lập'!$B$3-1,12,31))-E182+1)*J182))</f>
        <v/>
      </c>
      <c r="R182" s="170">
        <f>IF(OR($B182="",R$4&gt;$P182,EOMONTH(R$4,0)&lt;$E182),0,MIN($H182,MAX(0,MIN(EOMONTH(R$4,0),$P182)-MAX(R$4,$E182)+1)*$J182))</f>
        <v/>
      </c>
      <c r="S182" s="170">
        <f>IF(OR($B182="",S$4&gt;$P182,EOMONTH(S$4,0)&lt;$E182),0,MIN($H182,MAX(0,MIN(EOMONTH(S$4,0),$P182)-MAX(S$4,$E182)+1)*$J182))</f>
        <v/>
      </c>
      <c r="T182" s="170">
        <f>IF(OR($B182="",T$4&gt;$P182,EOMONTH(T$4,0)&lt;$E182),0,MIN($H182,MAX(0,MIN(EOMONTH(T$4,0),$P182)-MAX(T$4,$E182)+1)*$J182))</f>
        <v/>
      </c>
      <c r="U182" s="170">
        <f>IF(OR($B182="",U$4&gt;$P182,EOMONTH(U$4,0)&lt;$E182),0,MIN($H182,MAX(0,MIN(EOMONTH(U$4,0),$P182)-MAX(U$4,$E182)+1)*$J182))</f>
        <v/>
      </c>
      <c r="V182" s="170">
        <f>IF(OR($B182="",V$4&gt;$P182,EOMONTH(V$4,0)&lt;$E182),0,MIN($H182,MAX(0,MIN(EOMONTH(V$4,0),$P182)-MAX(V$4,$E182)+1)*$J182))</f>
        <v/>
      </c>
      <c r="W182" s="170">
        <f>IF(OR($B182="",W$4&gt;$P182,EOMONTH(W$4,0)&lt;$E182),0,MIN($H182,MAX(0,MIN(EOMONTH(W$4,0),$P182)-MAX(W$4,$E182)+1)*$J182))</f>
        <v/>
      </c>
      <c r="X182" s="170">
        <f>IF(OR($B182="",X$4&gt;$P182,EOMONTH(X$4,0)&lt;$E182),0,MIN($H182,MAX(0,MIN(EOMONTH(X$4,0),$P182)-MAX(X$4,$E182)+1)*$J182))</f>
        <v/>
      </c>
      <c r="Y182" s="170">
        <f>IF(OR($B182="",Y$4&gt;$P182,EOMONTH(Y$4,0)&lt;$E182),0,MIN($H182,MAX(0,MIN(EOMONTH(Y$4,0),$P182)-MAX(Y$4,$E182)+1)*$J182))</f>
        <v/>
      </c>
      <c r="Z182" s="170">
        <f>IF(OR($B182="",Z$4&gt;$P182,EOMONTH(Z$4,0)&lt;$E182),0,MIN($H182,MAX(0,MIN(EOMONTH(Z$4,0),$P182)-MAX(Z$4,$E182)+1)*$J182))</f>
        <v/>
      </c>
      <c r="AA182" s="170">
        <f>IF(OR($B182="",AA$4&gt;$P182,EOMONTH(AA$4,0)&lt;$E182),0,MIN($H182,MAX(0,MIN(EOMONTH(AA$4,0),$P182)-MAX(AA$4,$E182)+1)*$J182))</f>
        <v/>
      </c>
      <c r="AB182" s="170">
        <f>IF(OR($B182="",AB$4&gt;$P182,EOMONTH(AB$4,0)&lt;$E182),0,MIN($H182,MAX(0,MIN(EOMONTH(AB$4,0),$P182)-MAX(AB$4,$E182)+1)*$J182))</f>
        <v/>
      </c>
      <c r="AC182" s="170">
        <f>IF(OR($B182="",AC$4&gt;$P182,EOMONTH(AC$4,0)&lt;$E182),0,MIN($H182,MAX(0,MIN(EOMONTH(AC$4,0),$P182)-MAX(AC$4,$E182)+1)*$J182))</f>
        <v/>
      </c>
      <c r="AD182" s="170">
        <f>IF(B182="","",ROUND(SUM(R182:AC182),0))</f>
        <v/>
      </c>
      <c r="AE182" s="170">
        <f>IF(B182="","",MIN(H182,ROUND(Q182+SUM(R182:AC182),0)))</f>
        <v/>
      </c>
      <c r="AF182" s="170">
        <f>IF(B182="","",MAX(H182-AE182,0))</f>
        <v/>
      </c>
      <c r="AG182" s="172">
        <f>IF(B182="","",IF('Thiết lập'!$B$4&lt;E182,"Chưa phân bổ",IF(P182&lt;='Thiết lập'!$B$4,"Đã phân bổ","Đang phân bổ")))</f>
        <v/>
      </c>
      <c r="AH182" s="166" t="n"/>
      <c r="AI182" s="174">
        <f>IF(B182="","",IF(AND(C182&lt;&gt;"",D182&lt;&gt;"",E182&lt;&gt;"",E182&gt;=D182,F182&gt;0,G182&gt;0,I182&gt;0,COUNTIF($B$7:$B$306,B182)=1),"OK",IF(C182="","Thiếu tên; ","")&amp;IF(D182="","Thiếu ngày tăng; ","")&amp;IF(E182="","Thiếu ngày bắt đầu; ","")&amp;IF(AND(D182&lt;&gt;"",E182&lt;&gt;"",E182&lt;D182),"Ngày bắt đầu &lt; ngày tăng; ","")&amp;IF(OR(F182="",F182&lt;=0),"Số lượng không hợp lệ; ","")&amp;IF(OR(G182="",G182&lt;=0),"Đơn giá không hợp lệ; ","")&amp;IF(OR(I182="",I182&lt;=0),"Số tháng không hợp lệ; ","")&amp;IF(COUNTIF($B$7:$B$306,B182)&gt;1,"Trùng mã CPTT; ","")))</f>
        <v/>
      </c>
    </row>
    <row r="183" ht="19.5" customHeight="1" s="98">
      <c r="A183" s="164">
        <f>IF(B183="","",ROW()-6)</f>
        <v/>
      </c>
      <c r="B183" s="165" t="n"/>
      <c r="C183" s="166" t="n"/>
      <c r="D183" s="167" t="n"/>
      <c r="E183" s="167" t="n"/>
      <c r="F183" s="168" t="n"/>
      <c r="G183" s="169" t="n"/>
      <c r="H183" s="170">
        <f>IF(OR(F183="",G183=""),"",F183*G183)</f>
        <v/>
      </c>
      <c r="I183" s="171" t="n"/>
      <c r="J183" s="170">
        <f>IF(OR(H183="",E183="",P183=""),"",H183/(P183-E183+1))</f>
        <v/>
      </c>
      <c r="K183" s="165" t="n"/>
      <c r="L183" s="172">
        <f>IF(B183="","",IF(AF183&lt;=0,"Đã phân bổ",IF(P183&lt;=EDATE('Thiết lập'!$B$4,12),"Ngắn hạn","Dài hạn")))</f>
        <v/>
      </c>
      <c r="M183" s="165" t="n"/>
      <c r="N183" s="165" t="n"/>
      <c r="O183" s="165" t="n"/>
      <c r="P183" s="173">
        <f>IF(OR(E183="",I183=""),"",EDATE(E183,I183)-1)</f>
        <v/>
      </c>
      <c r="Q183" s="170">
        <f>IF(OR(B183="",E183="",P183=""),0,MIN(H183,MAX(0,MIN(P183,DATE('Thiết lập'!$B$3-1,12,31))-E183+1)*J183))</f>
        <v/>
      </c>
      <c r="R183" s="170">
        <f>IF(OR($B183="",R$4&gt;$P183,EOMONTH(R$4,0)&lt;$E183),0,MIN($H183,MAX(0,MIN(EOMONTH(R$4,0),$P183)-MAX(R$4,$E183)+1)*$J183))</f>
        <v/>
      </c>
      <c r="S183" s="170">
        <f>IF(OR($B183="",S$4&gt;$P183,EOMONTH(S$4,0)&lt;$E183),0,MIN($H183,MAX(0,MIN(EOMONTH(S$4,0),$P183)-MAX(S$4,$E183)+1)*$J183))</f>
        <v/>
      </c>
      <c r="T183" s="170">
        <f>IF(OR($B183="",T$4&gt;$P183,EOMONTH(T$4,0)&lt;$E183),0,MIN($H183,MAX(0,MIN(EOMONTH(T$4,0),$P183)-MAX(T$4,$E183)+1)*$J183))</f>
        <v/>
      </c>
      <c r="U183" s="170">
        <f>IF(OR($B183="",U$4&gt;$P183,EOMONTH(U$4,0)&lt;$E183),0,MIN($H183,MAX(0,MIN(EOMONTH(U$4,0),$P183)-MAX(U$4,$E183)+1)*$J183))</f>
        <v/>
      </c>
      <c r="V183" s="170">
        <f>IF(OR($B183="",V$4&gt;$P183,EOMONTH(V$4,0)&lt;$E183),0,MIN($H183,MAX(0,MIN(EOMONTH(V$4,0),$P183)-MAX(V$4,$E183)+1)*$J183))</f>
        <v/>
      </c>
      <c r="W183" s="170">
        <f>IF(OR($B183="",W$4&gt;$P183,EOMONTH(W$4,0)&lt;$E183),0,MIN($H183,MAX(0,MIN(EOMONTH(W$4,0),$P183)-MAX(W$4,$E183)+1)*$J183))</f>
        <v/>
      </c>
      <c r="X183" s="170">
        <f>IF(OR($B183="",X$4&gt;$P183,EOMONTH(X$4,0)&lt;$E183),0,MIN($H183,MAX(0,MIN(EOMONTH(X$4,0),$P183)-MAX(X$4,$E183)+1)*$J183))</f>
        <v/>
      </c>
      <c r="Y183" s="170">
        <f>IF(OR($B183="",Y$4&gt;$P183,EOMONTH(Y$4,0)&lt;$E183),0,MIN($H183,MAX(0,MIN(EOMONTH(Y$4,0),$P183)-MAX(Y$4,$E183)+1)*$J183))</f>
        <v/>
      </c>
      <c r="Z183" s="170">
        <f>IF(OR($B183="",Z$4&gt;$P183,EOMONTH(Z$4,0)&lt;$E183),0,MIN($H183,MAX(0,MIN(EOMONTH(Z$4,0),$P183)-MAX(Z$4,$E183)+1)*$J183))</f>
        <v/>
      </c>
      <c r="AA183" s="170">
        <f>IF(OR($B183="",AA$4&gt;$P183,EOMONTH(AA$4,0)&lt;$E183),0,MIN($H183,MAX(0,MIN(EOMONTH(AA$4,0),$P183)-MAX(AA$4,$E183)+1)*$J183))</f>
        <v/>
      </c>
      <c r="AB183" s="170">
        <f>IF(OR($B183="",AB$4&gt;$P183,EOMONTH(AB$4,0)&lt;$E183),0,MIN($H183,MAX(0,MIN(EOMONTH(AB$4,0),$P183)-MAX(AB$4,$E183)+1)*$J183))</f>
        <v/>
      </c>
      <c r="AC183" s="170">
        <f>IF(OR($B183="",AC$4&gt;$P183,EOMONTH(AC$4,0)&lt;$E183),0,MIN($H183,MAX(0,MIN(EOMONTH(AC$4,0),$P183)-MAX(AC$4,$E183)+1)*$J183))</f>
        <v/>
      </c>
      <c r="AD183" s="170">
        <f>IF(B183="","",ROUND(SUM(R183:AC183),0))</f>
        <v/>
      </c>
      <c r="AE183" s="170">
        <f>IF(B183="","",MIN(H183,ROUND(Q183+SUM(R183:AC183),0)))</f>
        <v/>
      </c>
      <c r="AF183" s="170">
        <f>IF(B183="","",MAX(H183-AE183,0))</f>
        <v/>
      </c>
      <c r="AG183" s="172">
        <f>IF(B183="","",IF('Thiết lập'!$B$4&lt;E183,"Chưa phân bổ",IF(P183&lt;='Thiết lập'!$B$4,"Đã phân bổ","Đang phân bổ")))</f>
        <v/>
      </c>
      <c r="AH183" s="166" t="n"/>
      <c r="AI183" s="174">
        <f>IF(B183="","",IF(AND(C183&lt;&gt;"",D183&lt;&gt;"",E183&lt;&gt;"",E183&gt;=D183,F183&gt;0,G183&gt;0,I183&gt;0,COUNTIF($B$7:$B$306,B183)=1),"OK",IF(C183="","Thiếu tên; ","")&amp;IF(D183="","Thiếu ngày tăng; ","")&amp;IF(E183="","Thiếu ngày bắt đầu; ","")&amp;IF(AND(D183&lt;&gt;"",E183&lt;&gt;"",E183&lt;D183),"Ngày bắt đầu &lt; ngày tăng; ","")&amp;IF(OR(F183="",F183&lt;=0),"Số lượng không hợp lệ; ","")&amp;IF(OR(G183="",G183&lt;=0),"Đơn giá không hợp lệ; ","")&amp;IF(OR(I183="",I183&lt;=0),"Số tháng không hợp lệ; ","")&amp;IF(COUNTIF($B$7:$B$306,B183)&gt;1,"Trùng mã CPTT; ","")))</f>
        <v/>
      </c>
    </row>
    <row r="184" ht="19.5" customHeight="1" s="98">
      <c r="A184" s="164">
        <f>IF(B184="","",ROW()-6)</f>
        <v/>
      </c>
      <c r="B184" s="165" t="n"/>
      <c r="C184" s="166" t="n"/>
      <c r="D184" s="167" t="n"/>
      <c r="E184" s="167" t="n"/>
      <c r="F184" s="168" t="n"/>
      <c r="G184" s="169" t="n"/>
      <c r="H184" s="170">
        <f>IF(OR(F184="",G184=""),"",F184*G184)</f>
        <v/>
      </c>
      <c r="I184" s="171" t="n"/>
      <c r="J184" s="170">
        <f>IF(OR(H184="",E184="",P184=""),"",H184/(P184-E184+1))</f>
        <v/>
      </c>
      <c r="K184" s="165" t="n"/>
      <c r="L184" s="172">
        <f>IF(B184="","",IF(AF184&lt;=0,"Đã phân bổ",IF(P184&lt;=EDATE('Thiết lập'!$B$4,12),"Ngắn hạn","Dài hạn")))</f>
        <v/>
      </c>
      <c r="M184" s="165" t="n"/>
      <c r="N184" s="165" t="n"/>
      <c r="O184" s="165" t="n"/>
      <c r="P184" s="173">
        <f>IF(OR(E184="",I184=""),"",EDATE(E184,I184)-1)</f>
        <v/>
      </c>
      <c r="Q184" s="170">
        <f>IF(OR(B184="",E184="",P184=""),0,MIN(H184,MAX(0,MIN(P184,DATE('Thiết lập'!$B$3-1,12,31))-E184+1)*J184))</f>
        <v/>
      </c>
      <c r="R184" s="170">
        <f>IF(OR($B184="",R$4&gt;$P184,EOMONTH(R$4,0)&lt;$E184),0,MIN($H184,MAX(0,MIN(EOMONTH(R$4,0),$P184)-MAX(R$4,$E184)+1)*$J184))</f>
        <v/>
      </c>
      <c r="S184" s="170">
        <f>IF(OR($B184="",S$4&gt;$P184,EOMONTH(S$4,0)&lt;$E184),0,MIN($H184,MAX(0,MIN(EOMONTH(S$4,0),$P184)-MAX(S$4,$E184)+1)*$J184))</f>
        <v/>
      </c>
      <c r="T184" s="170">
        <f>IF(OR($B184="",T$4&gt;$P184,EOMONTH(T$4,0)&lt;$E184),0,MIN($H184,MAX(0,MIN(EOMONTH(T$4,0),$P184)-MAX(T$4,$E184)+1)*$J184))</f>
        <v/>
      </c>
      <c r="U184" s="170">
        <f>IF(OR($B184="",U$4&gt;$P184,EOMONTH(U$4,0)&lt;$E184),0,MIN($H184,MAX(0,MIN(EOMONTH(U$4,0),$P184)-MAX(U$4,$E184)+1)*$J184))</f>
        <v/>
      </c>
      <c r="V184" s="170">
        <f>IF(OR($B184="",V$4&gt;$P184,EOMONTH(V$4,0)&lt;$E184),0,MIN($H184,MAX(0,MIN(EOMONTH(V$4,0),$P184)-MAX(V$4,$E184)+1)*$J184))</f>
        <v/>
      </c>
      <c r="W184" s="170">
        <f>IF(OR($B184="",W$4&gt;$P184,EOMONTH(W$4,0)&lt;$E184),0,MIN($H184,MAX(0,MIN(EOMONTH(W$4,0),$P184)-MAX(W$4,$E184)+1)*$J184))</f>
        <v/>
      </c>
      <c r="X184" s="170">
        <f>IF(OR($B184="",X$4&gt;$P184,EOMONTH(X$4,0)&lt;$E184),0,MIN($H184,MAX(0,MIN(EOMONTH(X$4,0),$P184)-MAX(X$4,$E184)+1)*$J184))</f>
        <v/>
      </c>
      <c r="Y184" s="170">
        <f>IF(OR($B184="",Y$4&gt;$P184,EOMONTH(Y$4,0)&lt;$E184),0,MIN($H184,MAX(0,MIN(EOMONTH(Y$4,0),$P184)-MAX(Y$4,$E184)+1)*$J184))</f>
        <v/>
      </c>
      <c r="Z184" s="170">
        <f>IF(OR($B184="",Z$4&gt;$P184,EOMONTH(Z$4,0)&lt;$E184),0,MIN($H184,MAX(0,MIN(EOMONTH(Z$4,0),$P184)-MAX(Z$4,$E184)+1)*$J184))</f>
        <v/>
      </c>
      <c r="AA184" s="170">
        <f>IF(OR($B184="",AA$4&gt;$P184,EOMONTH(AA$4,0)&lt;$E184),0,MIN($H184,MAX(0,MIN(EOMONTH(AA$4,0),$P184)-MAX(AA$4,$E184)+1)*$J184))</f>
        <v/>
      </c>
      <c r="AB184" s="170">
        <f>IF(OR($B184="",AB$4&gt;$P184,EOMONTH(AB$4,0)&lt;$E184),0,MIN($H184,MAX(0,MIN(EOMONTH(AB$4,0),$P184)-MAX(AB$4,$E184)+1)*$J184))</f>
        <v/>
      </c>
      <c r="AC184" s="170">
        <f>IF(OR($B184="",AC$4&gt;$P184,EOMONTH(AC$4,0)&lt;$E184),0,MIN($H184,MAX(0,MIN(EOMONTH(AC$4,0),$P184)-MAX(AC$4,$E184)+1)*$J184))</f>
        <v/>
      </c>
      <c r="AD184" s="170">
        <f>IF(B184="","",ROUND(SUM(R184:AC184),0))</f>
        <v/>
      </c>
      <c r="AE184" s="170">
        <f>IF(B184="","",MIN(H184,ROUND(Q184+SUM(R184:AC184),0)))</f>
        <v/>
      </c>
      <c r="AF184" s="170">
        <f>IF(B184="","",MAX(H184-AE184,0))</f>
        <v/>
      </c>
      <c r="AG184" s="172">
        <f>IF(B184="","",IF('Thiết lập'!$B$4&lt;E184,"Chưa phân bổ",IF(P184&lt;='Thiết lập'!$B$4,"Đã phân bổ","Đang phân bổ")))</f>
        <v/>
      </c>
      <c r="AH184" s="166" t="n"/>
      <c r="AI184" s="174">
        <f>IF(B184="","",IF(AND(C184&lt;&gt;"",D184&lt;&gt;"",E184&lt;&gt;"",E184&gt;=D184,F184&gt;0,G184&gt;0,I184&gt;0,COUNTIF($B$7:$B$306,B184)=1),"OK",IF(C184="","Thiếu tên; ","")&amp;IF(D184="","Thiếu ngày tăng; ","")&amp;IF(E184="","Thiếu ngày bắt đầu; ","")&amp;IF(AND(D184&lt;&gt;"",E184&lt;&gt;"",E184&lt;D184),"Ngày bắt đầu &lt; ngày tăng; ","")&amp;IF(OR(F184="",F184&lt;=0),"Số lượng không hợp lệ; ","")&amp;IF(OR(G184="",G184&lt;=0),"Đơn giá không hợp lệ; ","")&amp;IF(OR(I184="",I184&lt;=0),"Số tháng không hợp lệ; ","")&amp;IF(COUNTIF($B$7:$B$306,B184)&gt;1,"Trùng mã CPTT; ","")))</f>
        <v/>
      </c>
    </row>
    <row r="185" ht="19.5" customHeight="1" s="98">
      <c r="A185" s="164">
        <f>IF(B185="","",ROW()-6)</f>
        <v/>
      </c>
      <c r="B185" s="165" t="n"/>
      <c r="C185" s="166" t="n"/>
      <c r="D185" s="167" t="n"/>
      <c r="E185" s="167" t="n"/>
      <c r="F185" s="168" t="n"/>
      <c r="G185" s="169" t="n"/>
      <c r="H185" s="170">
        <f>IF(OR(F185="",G185=""),"",F185*G185)</f>
        <v/>
      </c>
      <c r="I185" s="171" t="n"/>
      <c r="J185" s="170">
        <f>IF(OR(H185="",E185="",P185=""),"",H185/(P185-E185+1))</f>
        <v/>
      </c>
      <c r="K185" s="165" t="n"/>
      <c r="L185" s="172">
        <f>IF(B185="","",IF(AF185&lt;=0,"Đã phân bổ",IF(P185&lt;=EDATE('Thiết lập'!$B$4,12),"Ngắn hạn","Dài hạn")))</f>
        <v/>
      </c>
      <c r="M185" s="165" t="n"/>
      <c r="N185" s="165" t="n"/>
      <c r="O185" s="165" t="n"/>
      <c r="P185" s="173">
        <f>IF(OR(E185="",I185=""),"",EDATE(E185,I185)-1)</f>
        <v/>
      </c>
      <c r="Q185" s="170">
        <f>IF(OR(B185="",E185="",P185=""),0,MIN(H185,MAX(0,MIN(P185,DATE('Thiết lập'!$B$3-1,12,31))-E185+1)*J185))</f>
        <v/>
      </c>
      <c r="R185" s="170">
        <f>IF(OR($B185="",R$4&gt;$P185,EOMONTH(R$4,0)&lt;$E185),0,MIN($H185,MAX(0,MIN(EOMONTH(R$4,0),$P185)-MAX(R$4,$E185)+1)*$J185))</f>
        <v/>
      </c>
      <c r="S185" s="170">
        <f>IF(OR($B185="",S$4&gt;$P185,EOMONTH(S$4,0)&lt;$E185),0,MIN($H185,MAX(0,MIN(EOMONTH(S$4,0),$P185)-MAX(S$4,$E185)+1)*$J185))</f>
        <v/>
      </c>
      <c r="T185" s="170">
        <f>IF(OR($B185="",T$4&gt;$P185,EOMONTH(T$4,0)&lt;$E185),0,MIN($H185,MAX(0,MIN(EOMONTH(T$4,0),$P185)-MAX(T$4,$E185)+1)*$J185))</f>
        <v/>
      </c>
      <c r="U185" s="170">
        <f>IF(OR($B185="",U$4&gt;$P185,EOMONTH(U$4,0)&lt;$E185),0,MIN($H185,MAX(0,MIN(EOMONTH(U$4,0),$P185)-MAX(U$4,$E185)+1)*$J185))</f>
        <v/>
      </c>
      <c r="V185" s="170">
        <f>IF(OR($B185="",V$4&gt;$P185,EOMONTH(V$4,0)&lt;$E185),0,MIN($H185,MAX(0,MIN(EOMONTH(V$4,0),$P185)-MAX(V$4,$E185)+1)*$J185))</f>
        <v/>
      </c>
      <c r="W185" s="170">
        <f>IF(OR($B185="",W$4&gt;$P185,EOMONTH(W$4,0)&lt;$E185),0,MIN($H185,MAX(0,MIN(EOMONTH(W$4,0),$P185)-MAX(W$4,$E185)+1)*$J185))</f>
        <v/>
      </c>
      <c r="X185" s="170">
        <f>IF(OR($B185="",X$4&gt;$P185,EOMONTH(X$4,0)&lt;$E185),0,MIN($H185,MAX(0,MIN(EOMONTH(X$4,0),$P185)-MAX(X$4,$E185)+1)*$J185))</f>
        <v/>
      </c>
      <c r="Y185" s="170">
        <f>IF(OR($B185="",Y$4&gt;$P185,EOMONTH(Y$4,0)&lt;$E185),0,MIN($H185,MAX(0,MIN(EOMONTH(Y$4,0),$P185)-MAX(Y$4,$E185)+1)*$J185))</f>
        <v/>
      </c>
      <c r="Z185" s="170">
        <f>IF(OR($B185="",Z$4&gt;$P185,EOMONTH(Z$4,0)&lt;$E185),0,MIN($H185,MAX(0,MIN(EOMONTH(Z$4,0),$P185)-MAX(Z$4,$E185)+1)*$J185))</f>
        <v/>
      </c>
      <c r="AA185" s="170">
        <f>IF(OR($B185="",AA$4&gt;$P185,EOMONTH(AA$4,0)&lt;$E185),0,MIN($H185,MAX(0,MIN(EOMONTH(AA$4,0),$P185)-MAX(AA$4,$E185)+1)*$J185))</f>
        <v/>
      </c>
      <c r="AB185" s="170">
        <f>IF(OR($B185="",AB$4&gt;$P185,EOMONTH(AB$4,0)&lt;$E185),0,MIN($H185,MAX(0,MIN(EOMONTH(AB$4,0),$P185)-MAX(AB$4,$E185)+1)*$J185))</f>
        <v/>
      </c>
      <c r="AC185" s="170">
        <f>IF(OR($B185="",AC$4&gt;$P185,EOMONTH(AC$4,0)&lt;$E185),0,MIN($H185,MAX(0,MIN(EOMONTH(AC$4,0),$P185)-MAX(AC$4,$E185)+1)*$J185))</f>
        <v/>
      </c>
      <c r="AD185" s="170">
        <f>IF(B185="","",ROUND(SUM(R185:AC185),0))</f>
        <v/>
      </c>
      <c r="AE185" s="170">
        <f>IF(B185="","",MIN(H185,ROUND(Q185+SUM(R185:AC185),0)))</f>
        <v/>
      </c>
      <c r="AF185" s="170">
        <f>IF(B185="","",MAX(H185-AE185,0))</f>
        <v/>
      </c>
      <c r="AG185" s="172">
        <f>IF(B185="","",IF('Thiết lập'!$B$4&lt;E185,"Chưa phân bổ",IF(P185&lt;='Thiết lập'!$B$4,"Đã phân bổ","Đang phân bổ")))</f>
        <v/>
      </c>
      <c r="AH185" s="166" t="n"/>
      <c r="AI185" s="174">
        <f>IF(B185="","",IF(AND(C185&lt;&gt;"",D185&lt;&gt;"",E185&lt;&gt;"",E185&gt;=D185,F185&gt;0,G185&gt;0,I185&gt;0,COUNTIF($B$7:$B$306,B185)=1),"OK",IF(C185="","Thiếu tên; ","")&amp;IF(D185="","Thiếu ngày tăng; ","")&amp;IF(E185="","Thiếu ngày bắt đầu; ","")&amp;IF(AND(D185&lt;&gt;"",E185&lt;&gt;"",E185&lt;D185),"Ngày bắt đầu &lt; ngày tăng; ","")&amp;IF(OR(F185="",F185&lt;=0),"Số lượng không hợp lệ; ","")&amp;IF(OR(G185="",G185&lt;=0),"Đơn giá không hợp lệ; ","")&amp;IF(OR(I185="",I185&lt;=0),"Số tháng không hợp lệ; ","")&amp;IF(COUNTIF($B$7:$B$306,B185)&gt;1,"Trùng mã CPTT; ","")))</f>
        <v/>
      </c>
    </row>
    <row r="186" ht="19.5" customHeight="1" s="98">
      <c r="A186" s="164">
        <f>IF(B186="","",ROW()-6)</f>
        <v/>
      </c>
      <c r="B186" s="165" t="n"/>
      <c r="C186" s="166" t="n"/>
      <c r="D186" s="167" t="n"/>
      <c r="E186" s="167" t="n"/>
      <c r="F186" s="168" t="n"/>
      <c r="G186" s="169" t="n"/>
      <c r="H186" s="170">
        <f>IF(OR(F186="",G186=""),"",F186*G186)</f>
        <v/>
      </c>
      <c r="I186" s="171" t="n"/>
      <c r="J186" s="170">
        <f>IF(OR(H186="",E186="",P186=""),"",H186/(P186-E186+1))</f>
        <v/>
      </c>
      <c r="K186" s="165" t="n"/>
      <c r="L186" s="172">
        <f>IF(B186="","",IF(AF186&lt;=0,"Đã phân bổ",IF(P186&lt;=EDATE('Thiết lập'!$B$4,12),"Ngắn hạn","Dài hạn")))</f>
        <v/>
      </c>
      <c r="M186" s="165" t="n"/>
      <c r="N186" s="165" t="n"/>
      <c r="O186" s="165" t="n"/>
      <c r="P186" s="173">
        <f>IF(OR(E186="",I186=""),"",EDATE(E186,I186)-1)</f>
        <v/>
      </c>
      <c r="Q186" s="170">
        <f>IF(OR(B186="",E186="",P186=""),0,MIN(H186,MAX(0,MIN(P186,DATE('Thiết lập'!$B$3-1,12,31))-E186+1)*J186))</f>
        <v/>
      </c>
      <c r="R186" s="170">
        <f>IF(OR($B186="",R$4&gt;$P186,EOMONTH(R$4,0)&lt;$E186),0,MIN($H186,MAX(0,MIN(EOMONTH(R$4,0),$P186)-MAX(R$4,$E186)+1)*$J186))</f>
        <v/>
      </c>
      <c r="S186" s="170">
        <f>IF(OR($B186="",S$4&gt;$P186,EOMONTH(S$4,0)&lt;$E186),0,MIN($H186,MAX(0,MIN(EOMONTH(S$4,0),$P186)-MAX(S$4,$E186)+1)*$J186))</f>
        <v/>
      </c>
      <c r="T186" s="170">
        <f>IF(OR($B186="",T$4&gt;$P186,EOMONTH(T$4,0)&lt;$E186),0,MIN($H186,MAX(0,MIN(EOMONTH(T$4,0),$P186)-MAX(T$4,$E186)+1)*$J186))</f>
        <v/>
      </c>
      <c r="U186" s="170">
        <f>IF(OR($B186="",U$4&gt;$P186,EOMONTH(U$4,0)&lt;$E186),0,MIN($H186,MAX(0,MIN(EOMONTH(U$4,0),$P186)-MAX(U$4,$E186)+1)*$J186))</f>
        <v/>
      </c>
      <c r="V186" s="170">
        <f>IF(OR($B186="",V$4&gt;$P186,EOMONTH(V$4,0)&lt;$E186),0,MIN($H186,MAX(0,MIN(EOMONTH(V$4,0),$P186)-MAX(V$4,$E186)+1)*$J186))</f>
        <v/>
      </c>
      <c r="W186" s="170">
        <f>IF(OR($B186="",W$4&gt;$P186,EOMONTH(W$4,0)&lt;$E186),0,MIN($H186,MAX(0,MIN(EOMONTH(W$4,0),$P186)-MAX(W$4,$E186)+1)*$J186))</f>
        <v/>
      </c>
      <c r="X186" s="170">
        <f>IF(OR($B186="",X$4&gt;$P186,EOMONTH(X$4,0)&lt;$E186),0,MIN($H186,MAX(0,MIN(EOMONTH(X$4,0),$P186)-MAX(X$4,$E186)+1)*$J186))</f>
        <v/>
      </c>
      <c r="Y186" s="170">
        <f>IF(OR($B186="",Y$4&gt;$P186,EOMONTH(Y$4,0)&lt;$E186),0,MIN($H186,MAX(0,MIN(EOMONTH(Y$4,0),$P186)-MAX(Y$4,$E186)+1)*$J186))</f>
        <v/>
      </c>
      <c r="Z186" s="170">
        <f>IF(OR($B186="",Z$4&gt;$P186,EOMONTH(Z$4,0)&lt;$E186),0,MIN($H186,MAX(0,MIN(EOMONTH(Z$4,0),$P186)-MAX(Z$4,$E186)+1)*$J186))</f>
        <v/>
      </c>
      <c r="AA186" s="170">
        <f>IF(OR($B186="",AA$4&gt;$P186,EOMONTH(AA$4,0)&lt;$E186),0,MIN($H186,MAX(0,MIN(EOMONTH(AA$4,0),$P186)-MAX(AA$4,$E186)+1)*$J186))</f>
        <v/>
      </c>
      <c r="AB186" s="170">
        <f>IF(OR($B186="",AB$4&gt;$P186,EOMONTH(AB$4,0)&lt;$E186),0,MIN($H186,MAX(0,MIN(EOMONTH(AB$4,0),$P186)-MAX(AB$4,$E186)+1)*$J186))</f>
        <v/>
      </c>
      <c r="AC186" s="170">
        <f>IF(OR($B186="",AC$4&gt;$P186,EOMONTH(AC$4,0)&lt;$E186),0,MIN($H186,MAX(0,MIN(EOMONTH(AC$4,0),$P186)-MAX(AC$4,$E186)+1)*$J186))</f>
        <v/>
      </c>
      <c r="AD186" s="170">
        <f>IF(B186="","",ROUND(SUM(R186:AC186),0))</f>
        <v/>
      </c>
      <c r="AE186" s="170">
        <f>IF(B186="","",MIN(H186,ROUND(Q186+SUM(R186:AC186),0)))</f>
        <v/>
      </c>
      <c r="AF186" s="170">
        <f>IF(B186="","",MAX(H186-AE186,0))</f>
        <v/>
      </c>
      <c r="AG186" s="172">
        <f>IF(B186="","",IF('Thiết lập'!$B$4&lt;E186,"Chưa phân bổ",IF(P186&lt;='Thiết lập'!$B$4,"Đã phân bổ","Đang phân bổ")))</f>
        <v/>
      </c>
      <c r="AH186" s="166" t="n"/>
      <c r="AI186" s="174">
        <f>IF(B186="","",IF(AND(C186&lt;&gt;"",D186&lt;&gt;"",E186&lt;&gt;"",E186&gt;=D186,F186&gt;0,G186&gt;0,I186&gt;0,COUNTIF($B$7:$B$306,B186)=1),"OK",IF(C186="","Thiếu tên; ","")&amp;IF(D186="","Thiếu ngày tăng; ","")&amp;IF(E186="","Thiếu ngày bắt đầu; ","")&amp;IF(AND(D186&lt;&gt;"",E186&lt;&gt;"",E186&lt;D186),"Ngày bắt đầu &lt; ngày tăng; ","")&amp;IF(OR(F186="",F186&lt;=0),"Số lượng không hợp lệ; ","")&amp;IF(OR(G186="",G186&lt;=0),"Đơn giá không hợp lệ; ","")&amp;IF(OR(I186="",I186&lt;=0),"Số tháng không hợp lệ; ","")&amp;IF(COUNTIF($B$7:$B$306,B186)&gt;1,"Trùng mã CPTT; ","")))</f>
        <v/>
      </c>
    </row>
    <row r="187" ht="19.5" customHeight="1" s="98">
      <c r="A187" s="164">
        <f>IF(B187="","",ROW()-6)</f>
        <v/>
      </c>
      <c r="B187" s="165" t="n"/>
      <c r="C187" s="166" t="n"/>
      <c r="D187" s="167" t="n"/>
      <c r="E187" s="167" t="n"/>
      <c r="F187" s="168" t="n"/>
      <c r="G187" s="169" t="n"/>
      <c r="H187" s="170">
        <f>IF(OR(F187="",G187=""),"",F187*G187)</f>
        <v/>
      </c>
      <c r="I187" s="171" t="n"/>
      <c r="J187" s="170">
        <f>IF(OR(H187="",E187="",P187=""),"",H187/(P187-E187+1))</f>
        <v/>
      </c>
      <c r="K187" s="165" t="n"/>
      <c r="L187" s="172">
        <f>IF(B187="","",IF(AF187&lt;=0,"Đã phân bổ",IF(P187&lt;=EDATE('Thiết lập'!$B$4,12),"Ngắn hạn","Dài hạn")))</f>
        <v/>
      </c>
      <c r="M187" s="165" t="n"/>
      <c r="N187" s="165" t="n"/>
      <c r="O187" s="165" t="n"/>
      <c r="P187" s="173">
        <f>IF(OR(E187="",I187=""),"",EDATE(E187,I187)-1)</f>
        <v/>
      </c>
      <c r="Q187" s="170">
        <f>IF(OR(B187="",E187="",P187=""),0,MIN(H187,MAX(0,MIN(P187,DATE('Thiết lập'!$B$3-1,12,31))-E187+1)*J187))</f>
        <v/>
      </c>
      <c r="R187" s="170">
        <f>IF(OR($B187="",R$4&gt;$P187,EOMONTH(R$4,0)&lt;$E187),0,MIN($H187,MAX(0,MIN(EOMONTH(R$4,0),$P187)-MAX(R$4,$E187)+1)*$J187))</f>
        <v/>
      </c>
      <c r="S187" s="170">
        <f>IF(OR($B187="",S$4&gt;$P187,EOMONTH(S$4,0)&lt;$E187),0,MIN($H187,MAX(0,MIN(EOMONTH(S$4,0),$P187)-MAX(S$4,$E187)+1)*$J187))</f>
        <v/>
      </c>
      <c r="T187" s="170">
        <f>IF(OR($B187="",T$4&gt;$P187,EOMONTH(T$4,0)&lt;$E187),0,MIN($H187,MAX(0,MIN(EOMONTH(T$4,0),$P187)-MAX(T$4,$E187)+1)*$J187))</f>
        <v/>
      </c>
      <c r="U187" s="170">
        <f>IF(OR($B187="",U$4&gt;$P187,EOMONTH(U$4,0)&lt;$E187),0,MIN($H187,MAX(0,MIN(EOMONTH(U$4,0),$P187)-MAX(U$4,$E187)+1)*$J187))</f>
        <v/>
      </c>
      <c r="V187" s="170">
        <f>IF(OR($B187="",V$4&gt;$P187,EOMONTH(V$4,0)&lt;$E187),0,MIN($H187,MAX(0,MIN(EOMONTH(V$4,0),$P187)-MAX(V$4,$E187)+1)*$J187))</f>
        <v/>
      </c>
      <c r="W187" s="170">
        <f>IF(OR($B187="",W$4&gt;$P187,EOMONTH(W$4,0)&lt;$E187),0,MIN($H187,MAX(0,MIN(EOMONTH(W$4,0),$P187)-MAX(W$4,$E187)+1)*$J187))</f>
        <v/>
      </c>
      <c r="X187" s="170">
        <f>IF(OR($B187="",X$4&gt;$P187,EOMONTH(X$4,0)&lt;$E187),0,MIN($H187,MAX(0,MIN(EOMONTH(X$4,0),$P187)-MAX(X$4,$E187)+1)*$J187))</f>
        <v/>
      </c>
      <c r="Y187" s="170">
        <f>IF(OR($B187="",Y$4&gt;$P187,EOMONTH(Y$4,0)&lt;$E187),0,MIN($H187,MAX(0,MIN(EOMONTH(Y$4,0),$P187)-MAX(Y$4,$E187)+1)*$J187))</f>
        <v/>
      </c>
      <c r="Z187" s="170">
        <f>IF(OR($B187="",Z$4&gt;$P187,EOMONTH(Z$4,0)&lt;$E187),0,MIN($H187,MAX(0,MIN(EOMONTH(Z$4,0),$P187)-MAX(Z$4,$E187)+1)*$J187))</f>
        <v/>
      </c>
      <c r="AA187" s="170">
        <f>IF(OR($B187="",AA$4&gt;$P187,EOMONTH(AA$4,0)&lt;$E187),0,MIN($H187,MAX(0,MIN(EOMONTH(AA$4,0),$P187)-MAX(AA$4,$E187)+1)*$J187))</f>
        <v/>
      </c>
      <c r="AB187" s="170">
        <f>IF(OR($B187="",AB$4&gt;$P187,EOMONTH(AB$4,0)&lt;$E187),0,MIN($H187,MAX(0,MIN(EOMONTH(AB$4,0),$P187)-MAX(AB$4,$E187)+1)*$J187))</f>
        <v/>
      </c>
      <c r="AC187" s="170">
        <f>IF(OR($B187="",AC$4&gt;$P187,EOMONTH(AC$4,0)&lt;$E187),0,MIN($H187,MAX(0,MIN(EOMONTH(AC$4,0),$P187)-MAX(AC$4,$E187)+1)*$J187))</f>
        <v/>
      </c>
      <c r="AD187" s="170">
        <f>IF(B187="","",ROUND(SUM(R187:AC187),0))</f>
        <v/>
      </c>
      <c r="AE187" s="170">
        <f>IF(B187="","",MIN(H187,ROUND(Q187+SUM(R187:AC187),0)))</f>
        <v/>
      </c>
      <c r="AF187" s="170">
        <f>IF(B187="","",MAX(H187-AE187,0))</f>
        <v/>
      </c>
      <c r="AG187" s="172">
        <f>IF(B187="","",IF('Thiết lập'!$B$4&lt;E187,"Chưa phân bổ",IF(P187&lt;='Thiết lập'!$B$4,"Đã phân bổ","Đang phân bổ")))</f>
        <v/>
      </c>
      <c r="AH187" s="166" t="n"/>
      <c r="AI187" s="174">
        <f>IF(B187="","",IF(AND(C187&lt;&gt;"",D187&lt;&gt;"",E187&lt;&gt;"",E187&gt;=D187,F187&gt;0,G187&gt;0,I187&gt;0,COUNTIF($B$7:$B$306,B187)=1),"OK",IF(C187="","Thiếu tên; ","")&amp;IF(D187="","Thiếu ngày tăng; ","")&amp;IF(E187="","Thiếu ngày bắt đầu; ","")&amp;IF(AND(D187&lt;&gt;"",E187&lt;&gt;"",E187&lt;D187),"Ngày bắt đầu &lt; ngày tăng; ","")&amp;IF(OR(F187="",F187&lt;=0),"Số lượng không hợp lệ; ","")&amp;IF(OR(G187="",G187&lt;=0),"Đơn giá không hợp lệ; ","")&amp;IF(OR(I187="",I187&lt;=0),"Số tháng không hợp lệ; ","")&amp;IF(COUNTIF($B$7:$B$306,B187)&gt;1,"Trùng mã CPTT; ","")))</f>
        <v/>
      </c>
    </row>
    <row r="188" ht="19.5" customHeight="1" s="98">
      <c r="A188" s="164">
        <f>IF(B188="","",ROW()-6)</f>
        <v/>
      </c>
      <c r="B188" s="165" t="n"/>
      <c r="C188" s="166" t="n"/>
      <c r="D188" s="167" t="n"/>
      <c r="E188" s="167" t="n"/>
      <c r="F188" s="168" t="n"/>
      <c r="G188" s="169" t="n"/>
      <c r="H188" s="170">
        <f>IF(OR(F188="",G188=""),"",F188*G188)</f>
        <v/>
      </c>
      <c r="I188" s="171" t="n"/>
      <c r="J188" s="170">
        <f>IF(OR(H188="",E188="",P188=""),"",H188/(P188-E188+1))</f>
        <v/>
      </c>
      <c r="K188" s="165" t="n"/>
      <c r="L188" s="172">
        <f>IF(B188="","",IF(AF188&lt;=0,"Đã phân bổ",IF(P188&lt;=EDATE('Thiết lập'!$B$4,12),"Ngắn hạn","Dài hạn")))</f>
        <v/>
      </c>
      <c r="M188" s="165" t="n"/>
      <c r="N188" s="165" t="n"/>
      <c r="O188" s="165" t="n"/>
      <c r="P188" s="173">
        <f>IF(OR(E188="",I188=""),"",EDATE(E188,I188)-1)</f>
        <v/>
      </c>
      <c r="Q188" s="170">
        <f>IF(OR(B188="",E188="",P188=""),0,MIN(H188,MAX(0,MIN(P188,DATE('Thiết lập'!$B$3-1,12,31))-E188+1)*J188))</f>
        <v/>
      </c>
      <c r="R188" s="170">
        <f>IF(OR($B188="",R$4&gt;$P188,EOMONTH(R$4,0)&lt;$E188),0,MIN($H188,MAX(0,MIN(EOMONTH(R$4,0),$P188)-MAX(R$4,$E188)+1)*$J188))</f>
        <v/>
      </c>
      <c r="S188" s="170">
        <f>IF(OR($B188="",S$4&gt;$P188,EOMONTH(S$4,0)&lt;$E188),0,MIN($H188,MAX(0,MIN(EOMONTH(S$4,0),$P188)-MAX(S$4,$E188)+1)*$J188))</f>
        <v/>
      </c>
      <c r="T188" s="170">
        <f>IF(OR($B188="",T$4&gt;$P188,EOMONTH(T$4,0)&lt;$E188),0,MIN($H188,MAX(0,MIN(EOMONTH(T$4,0),$P188)-MAX(T$4,$E188)+1)*$J188))</f>
        <v/>
      </c>
      <c r="U188" s="170">
        <f>IF(OR($B188="",U$4&gt;$P188,EOMONTH(U$4,0)&lt;$E188),0,MIN($H188,MAX(0,MIN(EOMONTH(U$4,0),$P188)-MAX(U$4,$E188)+1)*$J188))</f>
        <v/>
      </c>
      <c r="V188" s="170">
        <f>IF(OR($B188="",V$4&gt;$P188,EOMONTH(V$4,0)&lt;$E188),0,MIN($H188,MAX(0,MIN(EOMONTH(V$4,0),$P188)-MAX(V$4,$E188)+1)*$J188))</f>
        <v/>
      </c>
      <c r="W188" s="170">
        <f>IF(OR($B188="",W$4&gt;$P188,EOMONTH(W$4,0)&lt;$E188),0,MIN($H188,MAX(0,MIN(EOMONTH(W$4,0),$P188)-MAX(W$4,$E188)+1)*$J188))</f>
        <v/>
      </c>
      <c r="X188" s="170">
        <f>IF(OR($B188="",X$4&gt;$P188,EOMONTH(X$4,0)&lt;$E188),0,MIN($H188,MAX(0,MIN(EOMONTH(X$4,0),$P188)-MAX(X$4,$E188)+1)*$J188))</f>
        <v/>
      </c>
      <c r="Y188" s="170">
        <f>IF(OR($B188="",Y$4&gt;$P188,EOMONTH(Y$4,0)&lt;$E188),0,MIN($H188,MAX(0,MIN(EOMONTH(Y$4,0),$P188)-MAX(Y$4,$E188)+1)*$J188))</f>
        <v/>
      </c>
      <c r="Z188" s="170">
        <f>IF(OR($B188="",Z$4&gt;$P188,EOMONTH(Z$4,0)&lt;$E188),0,MIN($H188,MAX(0,MIN(EOMONTH(Z$4,0),$P188)-MAX(Z$4,$E188)+1)*$J188))</f>
        <v/>
      </c>
      <c r="AA188" s="170">
        <f>IF(OR($B188="",AA$4&gt;$P188,EOMONTH(AA$4,0)&lt;$E188),0,MIN($H188,MAX(0,MIN(EOMONTH(AA$4,0),$P188)-MAX(AA$4,$E188)+1)*$J188))</f>
        <v/>
      </c>
      <c r="AB188" s="170">
        <f>IF(OR($B188="",AB$4&gt;$P188,EOMONTH(AB$4,0)&lt;$E188),0,MIN($H188,MAX(0,MIN(EOMONTH(AB$4,0),$P188)-MAX(AB$4,$E188)+1)*$J188))</f>
        <v/>
      </c>
      <c r="AC188" s="170">
        <f>IF(OR($B188="",AC$4&gt;$P188,EOMONTH(AC$4,0)&lt;$E188),0,MIN($H188,MAX(0,MIN(EOMONTH(AC$4,0),$P188)-MAX(AC$4,$E188)+1)*$J188))</f>
        <v/>
      </c>
      <c r="AD188" s="170">
        <f>IF(B188="","",ROUND(SUM(R188:AC188),0))</f>
        <v/>
      </c>
      <c r="AE188" s="170">
        <f>IF(B188="","",MIN(H188,ROUND(Q188+SUM(R188:AC188),0)))</f>
        <v/>
      </c>
      <c r="AF188" s="170">
        <f>IF(B188="","",MAX(H188-AE188,0))</f>
        <v/>
      </c>
      <c r="AG188" s="172">
        <f>IF(B188="","",IF('Thiết lập'!$B$4&lt;E188,"Chưa phân bổ",IF(P188&lt;='Thiết lập'!$B$4,"Đã phân bổ","Đang phân bổ")))</f>
        <v/>
      </c>
      <c r="AH188" s="166" t="n"/>
      <c r="AI188" s="174">
        <f>IF(B188="","",IF(AND(C188&lt;&gt;"",D188&lt;&gt;"",E188&lt;&gt;"",E188&gt;=D188,F188&gt;0,G188&gt;0,I188&gt;0,COUNTIF($B$7:$B$306,B188)=1),"OK",IF(C188="","Thiếu tên; ","")&amp;IF(D188="","Thiếu ngày tăng; ","")&amp;IF(E188="","Thiếu ngày bắt đầu; ","")&amp;IF(AND(D188&lt;&gt;"",E188&lt;&gt;"",E188&lt;D188),"Ngày bắt đầu &lt; ngày tăng; ","")&amp;IF(OR(F188="",F188&lt;=0),"Số lượng không hợp lệ; ","")&amp;IF(OR(G188="",G188&lt;=0),"Đơn giá không hợp lệ; ","")&amp;IF(OR(I188="",I188&lt;=0),"Số tháng không hợp lệ; ","")&amp;IF(COUNTIF($B$7:$B$306,B188)&gt;1,"Trùng mã CPTT; ","")))</f>
        <v/>
      </c>
    </row>
    <row r="189" ht="19.5" customHeight="1" s="98">
      <c r="A189" s="164">
        <f>IF(B189="","",ROW()-6)</f>
        <v/>
      </c>
      <c r="B189" s="165" t="n"/>
      <c r="C189" s="166" t="n"/>
      <c r="D189" s="167" t="n"/>
      <c r="E189" s="167" t="n"/>
      <c r="F189" s="168" t="n"/>
      <c r="G189" s="169" t="n"/>
      <c r="H189" s="170">
        <f>IF(OR(F189="",G189=""),"",F189*G189)</f>
        <v/>
      </c>
      <c r="I189" s="171" t="n"/>
      <c r="J189" s="170">
        <f>IF(OR(H189="",E189="",P189=""),"",H189/(P189-E189+1))</f>
        <v/>
      </c>
      <c r="K189" s="165" t="n"/>
      <c r="L189" s="172">
        <f>IF(B189="","",IF(AF189&lt;=0,"Đã phân bổ",IF(P189&lt;=EDATE('Thiết lập'!$B$4,12),"Ngắn hạn","Dài hạn")))</f>
        <v/>
      </c>
      <c r="M189" s="165" t="n"/>
      <c r="N189" s="165" t="n"/>
      <c r="O189" s="165" t="n"/>
      <c r="P189" s="173">
        <f>IF(OR(E189="",I189=""),"",EDATE(E189,I189)-1)</f>
        <v/>
      </c>
      <c r="Q189" s="170">
        <f>IF(OR(B189="",E189="",P189=""),0,MIN(H189,MAX(0,MIN(P189,DATE('Thiết lập'!$B$3-1,12,31))-E189+1)*J189))</f>
        <v/>
      </c>
      <c r="R189" s="170">
        <f>IF(OR($B189="",R$4&gt;$P189,EOMONTH(R$4,0)&lt;$E189),0,MIN($H189,MAX(0,MIN(EOMONTH(R$4,0),$P189)-MAX(R$4,$E189)+1)*$J189))</f>
        <v/>
      </c>
      <c r="S189" s="170">
        <f>IF(OR($B189="",S$4&gt;$P189,EOMONTH(S$4,0)&lt;$E189),0,MIN($H189,MAX(0,MIN(EOMONTH(S$4,0),$P189)-MAX(S$4,$E189)+1)*$J189))</f>
        <v/>
      </c>
      <c r="T189" s="170">
        <f>IF(OR($B189="",T$4&gt;$P189,EOMONTH(T$4,0)&lt;$E189),0,MIN($H189,MAX(0,MIN(EOMONTH(T$4,0),$P189)-MAX(T$4,$E189)+1)*$J189))</f>
        <v/>
      </c>
      <c r="U189" s="170">
        <f>IF(OR($B189="",U$4&gt;$P189,EOMONTH(U$4,0)&lt;$E189),0,MIN($H189,MAX(0,MIN(EOMONTH(U$4,0),$P189)-MAX(U$4,$E189)+1)*$J189))</f>
        <v/>
      </c>
      <c r="V189" s="170">
        <f>IF(OR($B189="",V$4&gt;$P189,EOMONTH(V$4,0)&lt;$E189),0,MIN($H189,MAX(0,MIN(EOMONTH(V$4,0),$P189)-MAX(V$4,$E189)+1)*$J189))</f>
        <v/>
      </c>
      <c r="W189" s="170">
        <f>IF(OR($B189="",W$4&gt;$P189,EOMONTH(W$4,0)&lt;$E189),0,MIN($H189,MAX(0,MIN(EOMONTH(W$4,0),$P189)-MAX(W$4,$E189)+1)*$J189))</f>
        <v/>
      </c>
      <c r="X189" s="170">
        <f>IF(OR($B189="",X$4&gt;$P189,EOMONTH(X$4,0)&lt;$E189),0,MIN($H189,MAX(0,MIN(EOMONTH(X$4,0),$P189)-MAX(X$4,$E189)+1)*$J189))</f>
        <v/>
      </c>
      <c r="Y189" s="170">
        <f>IF(OR($B189="",Y$4&gt;$P189,EOMONTH(Y$4,0)&lt;$E189),0,MIN($H189,MAX(0,MIN(EOMONTH(Y$4,0),$P189)-MAX(Y$4,$E189)+1)*$J189))</f>
        <v/>
      </c>
      <c r="Z189" s="170">
        <f>IF(OR($B189="",Z$4&gt;$P189,EOMONTH(Z$4,0)&lt;$E189),0,MIN($H189,MAX(0,MIN(EOMONTH(Z$4,0),$P189)-MAX(Z$4,$E189)+1)*$J189))</f>
        <v/>
      </c>
      <c r="AA189" s="170">
        <f>IF(OR($B189="",AA$4&gt;$P189,EOMONTH(AA$4,0)&lt;$E189),0,MIN($H189,MAX(0,MIN(EOMONTH(AA$4,0),$P189)-MAX(AA$4,$E189)+1)*$J189))</f>
        <v/>
      </c>
      <c r="AB189" s="170">
        <f>IF(OR($B189="",AB$4&gt;$P189,EOMONTH(AB$4,0)&lt;$E189),0,MIN($H189,MAX(0,MIN(EOMONTH(AB$4,0),$P189)-MAX(AB$4,$E189)+1)*$J189))</f>
        <v/>
      </c>
      <c r="AC189" s="170">
        <f>IF(OR($B189="",AC$4&gt;$P189,EOMONTH(AC$4,0)&lt;$E189),0,MIN($H189,MAX(0,MIN(EOMONTH(AC$4,0),$P189)-MAX(AC$4,$E189)+1)*$J189))</f>
        <v/>
      </c>
      <c r="AD189" s="170">
        <f>IF(B189="","",ROUND(SUM(R189:AC189),0))</f>
        <v/>
      </c>
      <c r="AE189" s="170">
        <f>IF(B189="","",MIN(H189,ROUND(Q189+SUM(R189:AC189),0)))</f>
        <v/>
      </c>
      <c r="AF189" s="170">
        <f>IF(B189="","",MAX(H189-AE189,0))</f>
        <v/>
      </c>
      <c r="AG189" s="172">
        <f>IF(B189="","",IF('Thiết lập'!$B$4&lt;E189,"Chưa phân bổ",IF(P189&lt;='Thiết lập'!$B$4,"Đã phân bổ","Đang phân bổ")))</f>
        <v/>
      </c>
      <c r="AH189" s="166" t="n"/>
      <c r="AI189" s="174">
        <f>IF(B189="","",IF(AND(C189&lt;&gt;"",D189&lt;&gt;"",E189&lt;&gt;"",E189&gt;=D189,F189&gt;0,G189&gt;0,I189&gt;0,COUNTIF($B$7:$B$306,B189)=1),"OK",IF(C189="","Thiếu tên; ","")&amp;IF(D189="","Thiếu ngày tăng; ","")&amp;IF(E189="","Thiếu ngày bắt đầu; ","")&amp;IF(AND(D189&lt;&gt;"",E189&lt;&gt;"",E189&lt;D189),"Ngày bắt đầu &lt; ngày tăng; ","")&amp;IF(OR(F189="",F189&lt;=0),"Số lượng không hợp lệ; ","")&amp;IF(OR(G189="",G189&lt;=0),"Đơn giá không hợp lệ; ","")&amp;IF(OR(I189="",I189&lt;=0),"Số tháng không hợp lệ; ","")&amp;IF(COUNTIF($B$7:$B$306,B189)&gt;1,"Trùng mã CPTT; ","")))</f>
        <v/>
      </c>
    </row>
    <row r="190" ht="19.5" customHeight="1" s="98">
      <c r="A190" s="164">
        <f>IF(B190="","",ROW()-6)</f>
        <v/>
      </c>
      <c r="B190" s="165" t="n"/>
      <c r="C190" s="166" t="n"/>
      <c r="D190" s="167" t="n"/>
      <c r="E190" s="167" t="n"/>
      <c r="F190" s="168" t="n"/>
      <c r="G190" s="169" t="n"/>
      <c r="H190" s="170">
        <f>IF(OR(F190="",G190=""),"",F190*G190)</f>
        <v/>
      </c>
      <c r="I190" s="171" t="n"/>
      <c r="J190" s="170">
        <f>IF(OR(H190="",E190="",P190=""),"",H190/(P190-E190+1))</f>
        <v/>
      </c>
      <c r="K190" s="165" t="n"/>
      <c r="L190" s="172">
        <f>IF(B190="","",IF(AF190&lt;=0,"Đã phân bổ",IF(P190&lt;=EDATE('Thiết lập'!$B$4,12),"Ngắn hạn","Dài hạn")))</f>
        <v/>
      </c>
      <c r="M190" s="165" t="n"/>
      <c r="N190" s="165" t="n"/>
      <c r="O190" s="165" t="n"/>
      <c r="P190" s="173">
        <f>IF(OR(E190="",I190=""),"",EDATE(E190,I190)-1)</f>
        <v/>
      </c>
      <c r="Q190" s="170">
        <f>IF(OR(B190="",E190="",P190=""),0,MIN(H190,MAX(0,MIN(P190,DATE('Thiết lập'!$B$3-1,12,31))-E190+1)*J190))</f>
        <v/>
      </c>
      <c r="R190" s="170">
        <f>IF(OR($B190="",R$4&gt;$P190,EOMONTH(R$4,0)&lt;$E190),0,MIN($H190,MAX(0,MIN(EOMONTH(R$4,0),$P190)-MAX(R$4,$E190)+1)*$J190))</f>
        <v/>
      </c>
      <c r="S190" s="170">
        <f>IF(OR($B190="",S$4&gt;$P190,EOMONTH(S$4,0)&lt;$E190),0,MIN($H190,MAX(0,MIN(EOMONTH(S$4,0),$P190)-MAX(S$4,$E190)+1)*$J190))</f>
        <v/>
      </c>
      <c r="T190" s="170">
        <f>IF(OR($B190="",T$4&gt;$P190,EOMONTH(T$4,0)&lt;$E190),0,MIN($H190,MAX(0,MIN(EOMONTH(T$4,0),$P190)-MAX(T$4,$E190)+1)*$J190))</f>
        <v/>
      </c>
      <c r="U190" s="170">
        <f>IF(OR($B190="",U$4&gt;$P190,EOMONTH(U$4,0)&lt;$E190),0,MIN($H190,MAX(0,MIN(EOMONTH(U$4,0),$P190)-MAX(U$4,$E190)+1)*$J190))</f>
        <v/>
      </c>
      <c r="V190" s="170">
        <f>IF(OR($B190="",V$4&gt;$P190,EOMONTH(V$4,0)&lt;$E190),0,MIN($H190,MAX(0,MIN(EOMONTH(V$4,0),$P190)-MAX(V$4,$E190)+1)*$J190))</f>
        <v/>
      </c>
      <c r="W190" s="170">
        <f>IF(OR($B190="",W$4&gt;$P190,EOMONTH(W$4,0)&lt;$E190),0,MIN($H190,MAX(0,MIN(EOMONTH(W$4,0),$P190)-MAX(W$4,$E190)+1)*$J190))</f>
        <v/>
      </c>
      <c r="X190" s="170">
        <f>IF(OR($B190="",X$4&gt;$P190,EOMONTH(X$4,0)&lt;$E190),0,MIN($H190,MAX(0,MIN(EOMONTH(X$4,0),$P190)-MAX(X$4,$E190)+1)*$J190))</f>
        <v/>
      </c>
      <c r="Y190" s="170">
        <f>IF(OR($B190="",Y$4&gt;$P190,EOMONTH(Y$4,0)&lt;$E190),0,MIN($H190,MAX(0,MIN(EOMONTH(Y$4,0),$P190)-MAX(Y$4,$E190)+1)*$J190))</f>
        <v/>
      </c>
      <c r="Z190" s="170">
        <f>IF(OR($B190="",Z$4&gt;$P190,EOMONTH(Z$4,0)&lt;$E190),0,MIN($H190,MAX(0,MIN(EOMONTH(Z$4,0),$P190)-MAX(Z$4,$E190)+1)*$J190))</f>
        <v/>
      </c>
      <c r="AA190" s="170">
        <f>IF(OR($B190="",AA$4&gt;$P190,EOMONTH(AA$4,0)&lt;$E190),0,MIN($H190,MAX(0,MIN(EOMONTH(AA$4,0),$P190)-MAX(AA$4,$E190)+1)*$J190))</f>
        <v/>
      </c>
      <c r="AB190" s="170">
        <f>IF(OR($B190="",AB$4&gt;$P190,EOMONTH(AB$4,0)&lt;$E190),0,MIN($H190,MAX(0,MIN(EOMONTH(AB$4,0),$P190)-MAX(AB$4,$E190)+1)*$J190))</f>
        <v/>
      </c>
      <c r="AC190" s="170">
        <f>IF(OR($B190="",AC$4&gt;$P190,EOMONTH(AC$4,0)&lt;$E190),0,MIN($H190,MAX(0,MIN(EOMONTH(AC$4,0),$P190)-MAX(AC$4,$E190)+1)*$J190))</f>
        <v/>
      </c>
      <c r="AD190" s="170">
        <f>IF(B190="","",ROUND(SUM(R190:AC190),0))</f>
        <v/>
      </c>
      <c r="AE190" s="170">
        <f>IF(B190="","",MIN(H190,ROUND(Q190+SUM(R190:AC190),0)))</f>
        <v/>
      </c>
      <c r="AF190" s="170">
        <f>IF(B190="","",MAX(H190-AE190,0))</f>
        <v/>
      </c>
      <c r="AG190" s="172">
        <f>IF(B190="","",IF('Thiết lập'!$B$4&lt;E190,"Chưa phân bổ",IF(P190&lt;='Thiết lập'!$B$4,"Đã phân bổ","Đang phân bổ")))</f>
        <v/>
      </c>
      <c r="AH190" s="166" t="n"/>
      <c r="AI190" s="174">
        <f>IF(B190="","",IF(AND(C190&lt;&gt;"",D190&lt;&gt;"",E190&lt;&gt;"",E190&gt;=D190,F190&gt;0,G190&gt;0,I190&gt;0,COUNTIF($B$7:$B$306,B190)=1),"OK",IF(C190="","Thiếu tên; ","")&amp;IF(D190="","Thiếu ngày tăng; ","")&amp;IF(E190="","Thiếu ngày bắt đầu; ","")&amp;IF(AND(D190&lt;&gt;"",E190&lt;&gt;"",E190&lt;D190),"Ngày bắt đầu &lt; ngày tăng; ","")&amp;IF(OR(F190="",F190&lt;=0),"Số lượng không hợp lệ; ","")&amp;IF(OR(G190="",G190&lt;=0),"Đơn giá không hợp lệ; ","")&amp;IF(OR(I190="",I190&lt;=0),"Số tháng không hợp lệ; ","")&amp;IF(COUNTIF($B$7:$B$306,B190)&gt;1,"Trùng mã CPTT; ","")))</f>
        <v/>
      </c>
    </row>
    <row r="191" ht="19.5" customHeight="1" s="98">
      <c r="A191" s="164">
        <f>IF(B191="","",ROW()-6)</f>
        <v/>
      </c>
      <c r="B191" s="165" t="n"/>
      <c r="C191" s="166" t="n"/>
      <c r="D191" s="167" t="n"/>
      <c r="E191" s="167" t="n"/>
      <c r="F191" s="168" t="n"/>
      <c r="G191" s="169" t="n"/>
      <c r="H191" s="170">
        <f>IF(OR(F191="",G191=""),"",F191*G191)</f>
        <v/>
      </c>
      <c r="I191" s="171" t="n"/>
      <c r="J191" s="170">
        <f>IF(OR(H191="",E191="",P191=""),"",H191/(P191-E191+1))</f>
        <v/>
      </c>
      <c r="K191" s="165" t="n"/>
      <c r="L191" s="172">
        <f>IF(B191="","",IF(AF191&lt;=0,"Đã phân bổ",IF(P191&lt;=EDATE('Thiết lập'!$B$4,12),"Ngắn hạn","Dài hạn")))</f>
        <v/>
      </c>
      <c r="M191" s="165" t="n"/>
      <c r="N191" s="165" t="n"/>
      <c r="O191" s="165" t="n"/>
      <c r="P191" s="173">
        <f>IF(OR(E191="",I191=""),"",EDATE(E191,I191)-1)</f>
        <v/>
      </c>
      <c r="Q191" s="170">
        <f>IF(OR(B191="",E191="",P191=""),0,MIN(H191,MAX(0,MIN(P191,DATE('Thiết lập'!$B$3-1,12,31))-E191+1)*J191))</f>
        <v/>
      </c>
      <c r="R191" s="170">
        <f>IF(OR($B191="",R$4&gt;$P191,EOMONTH(R$4,0)&lt;$E191),0,MIN($H191,MAX(0,MIN(EOMONTH(R$4,0),$P191)-MAX(R$4,$E191)+1)*$J191))</f>
        <v/>
      </c>
      <c r="S191" s="170">
        <f>IF(OR($B191="",S$4&gt;$P191,EOMONTH(S$4,0)&lt;$E191),0,MIN($H191,MAX(0,MIN(EOMONTH(S$4,0),$P191)-MAX(S$4,$E191)+1)*$J191))</f>
        <v/>
      </c>
      <c r="T191" s="170">
        <f>IF(OR($B191="",T$4&gt;$P191,EOMONTH(T$4,0)&lt;$E191),0,MIN($H191,MAX(0,MIN(EOMONTH(T$4,0),$P191)-MAX(T$4,$E191)+1)*$J191))</f>
        <v/>
      </c>
      <c r="U191" s="170">
        <f>IF(OR($B191="",U$4&gt;$P191,EOMONTH(U$4,0)&lt;$E191),0,MIN($H191,MAX(0,MIN(EOMONTH(U$4,0),$P191)-MAX(U$4,$E191)+1)*$J191))</f>
        <v/>
      </c>
      <c r="V191" s="170">
        <f>IF(OR($B191="",V$4&gt;$P191,EOMONTH(V$4,0)&lt;$E191),0,MIN($H191,MAX(0,MIN(EOMONTH(V$4,0),$P191)-MAX(V$4,$E191)+1)*$J191))</f>
        <v/>
      </c>
      <c r="W191" s="170">
        <f>IF(OR($B191="",W$4&gt;$P191,EOMONTH(W$4,0)&lt;$E191),0,MIN($H191,MAX(0,MIN(EOMONTH(W$4,0),$P191)-MAX(W$4,$E191)+1)*$J191))</f>
        <v/>
      </c>
      <c r="X191" s="170">
        <f>IF(OR($B191="",X$4&gt;$P191,EOMONTH(X$4,0)&lt;$E191),0,MIN($H191,MAX(0,MIN(EOMONTH(X$4,0),$P191)-MAX(X$4,$E191)+1)*$J191))</f>
        <v/>
      </c>
      <c r="Y191" s="170">
        <f>IF(OR($B191="",Y$4&gt;$P191,EOMONTH(Y$4,0)&lt;$E191),0,MIN($H191,MAX(0,MIN(EOMONTH(Y$4,0),$P191)-MAX(Y$4,$E191)+1)*$J191))</f>
        <v/>
      </c>
      <c r="Z191" s="170">
        <f>IF(OR($B191="",Z$4&gt;$P191,EOMONTH(Z$4,0)&lt;$E191),0,MIN($H191,MAX(0,MIN(EOMONTH(Z$4,0),$P191)-MAX(Z$4,$E191)+1)*$J191))</f>
        <v/>
      </c>
      <c r="AA191" s="170">
        <f>IF(OR($B191="",AA$4&gt;$P191,EOMONTH(AA$4,0)&lt;$E191),0,MIN($H191,MAX(0,MIN(EOMONTH(AA$4,0),$P191)-MAX(AA$4,$E191)+1)*$J191))</f>
        <v/>
      </c>
      <c r="AB191" s="170">
        <f>IF(OR($B191="",AB$4&gt;$P191,EOMONTH(AB$4,0)&lt;$E191),0,MIN($H191,MAX(0,MIN(EOMONTH(AB$4,0),$P191)-MAX(AB$4,$E191)+1)*$J191))</f>
        <v/>
      </c>
      <c r="AC191" s="170">
        <f>IF(OR($B191="",AC$4&gt;$P191,EOMONTH(AC$4,0)&lt;$E191),0,MIN($H191,MAX(0,MIN(EOMONTH(AC$4,0),$P191)-MAX(AC$4,$E191)+1)*$J191))</f>
        <v/>
      </c>
      <c r="AD191" s="170">
        <f>IF(B191="","",ROUND(SUM(R191:AC191),0))</f>
        <v/>
      </c>
      <c r="AE191" s="170">
        <f>IF(B191="","",MIN(H191,ROUND(Q191+SUM(R191:AC191),0)))</f>
        <v/>
      </c>
      <c r="AF191" s="170">
        <f>IF(B191="","",MAX(H191-AE191,0))</f>
        <v/>
      </c>
      <c r="AG191" s="172">
        <f>IF(B191="","",IF('Thiết lập'!$B$4&lt;E191,"Chưa phân bổ",IF(P191&lt;='Thiết lập'!$B$4,"Đã phân bổ","Đang phân bổ")))</f>
        <v/>
      </c>
      <c r="AH191" s="166" t="n"/>
      <c r="AI191" s="174">
        <f>IF(B191="","",IF(AND(C191&lt;&gt;"",D191&lt;&gt;"",E191&lt;&gt;"",E191&gt;=D191,F191&gt;0,G191&gt;0,I191&gt;0,COUNTIF($B$7:$B$306,B191)=1),"OK",IF(C191="","Thiếu tên; ","")&amp;IF(D191="","Thiếu ngày tăng; ","")&amp;IF(E191="","Thiếu ngày bắt đầu; ","")&amp;IF(AND(D191&lt;&gt;"",E191&lt;&gt;"",E191&lt;D191),"Ngày bắt đầu &lt; ngày tăng; ","")&amp;IF(OR(F191="",F191&lt;=0),"Số lượng không hợp lệ; ","")&amp;IF(OR(G191="",G191&lt;=0),"Đơn giá không hợp lệ; ","")&amp;IF(OR(I191="",I191&lt;=0),"Số tháng không hợp lệ; ","")&amp;IF(COUNTIF($B$7:$B$306,B191)&gt;1,"Trùng mã CPTT; ","")))</f>
        <v/>
      </c>
    </row>
    <row r="192" ht="19.5" customHeight="1" s="98">
      <c r="A192" s="164">
        <f>IF(B192="","",ROW()-6)</f>
        <v/>
      </c>
      <c r="B192" s="165" t="n"/>
      <c r="C192" s="166" t="n"/>
      <c r="D192" s="167" t="n"/>
      <c r="E192" s="167" t="n"/>
      <c r="F192" s="168" t="n"/>
      <c r="G192" s="169" t="n"/>
      <c r="H192" s="170">
        <f>IF(OR(F192="",G192=""),"",F192*G192)</f>
        <v/>
      </c>
      <c r="I192" s="171" t="n"/>
      <c r="J192" s="170">
        <f>IF(OR(H192="",E192="",P192=""),"",H192/(P192-E192+1))</f>
        <v/>
      </c>
      <c r="K192" s="165" t="n"/>
      <c r="L192" s="172">
        <f>IF(B192="","",IF(AF192&lt;=0,"Đã phân bổ",IF(P192&lt;=EDATE('Thiết lập'!$B$4,12),"Ngắn hạn","Dài hạn")))</f>
        <v/>
      </c>
      <c r="M192" s="165" t="n"/>
      <c r="N192" s="165" t="n"/>
      <c r="O192" s="165" t="n"/>
      <c r="P192" s="173">
        <f>IF(OR(E192="",I192=""),"",EDATE(E192,I192)-1)</f>
        <v/>
      </c>
      <c r="Q192" s="170">
        <f>IF(OR(B192="",E192="",P192=""),0,MIN(H192,MAX(0,MIN(P192,DATE('Thiết lập'!$B$3-1,12,31))-E192+1)*J192))</f>
        <v/>
      </c>
      <c r="R192" s="170">
        <f>IF(OR($B192="",R$4&gt;$P192,EOMONTH(R$4,0)&lt;$E192),0,MIN($H192,MAX(0,MIN(EOMONTH(R$4,0),$P192)-MAX(R$4,$E192)+1)*$J192))</f>
        <v/>
      </c>
      <c r="S192" s="170">
        <f>IF(OR($B192="",S$4&gt;$P192,EOMONTH(S$4,0)&lt;$E192),0,MIN($H192,MAX(0,MIN(EOMONTH(S$4,0),$P192)-MAX(S$4,$E192)+1)*$J192))</f>
        <v/>
      </c>
      <c r="T192" s="170">
        <f>IF(OR($B192="",T$4&gt;$P192,EOMONTH(T$4,0)&lt;$E192),0,MIN($H192,MAX(0,MIN(EOMONTH(T$4,0),$P192)-MAX(T$4,$E192)+1)*$J192))</f>
        <v/>
      </c>
      <c r="U192" s="170">
        <f>IF(OR($B192="",U$4&gt;$P192,EOMONTH(U$4,0)&lt;$E192),0,MIN($H192,MAX(0,MIN(EOMONTH(U$4,0),$P192)-MAX(U$4,$E192)+1)*$J192))</f>
        <v/>
      </c>
      <c r="V192" s="170">
        <f>IF(OR($B192="",V$4&gt;$P192,EOMONTH(V$4,0)&lt;$E192),0,MIN($H192,MAX(0,MIN(EOMONTH(V$4,0),$P192)-MAX(V$4,$E192)+1)*$J192))</f>
        <v/>
      </c>
      <c r="W192" s="170">
        <f>IF(OR($B192="",W$4&gt;$P192,EOMONTH(W$4,0)&lt;$E192),0,MIN($H192,MAX(0,MIN(EOMONTH(W$4,0),$P192)-MAX(W$4,$E192)+1)*$J192))</f>
        <v/>
      </c>
      <c r="X192" s="170">
        <f>IF(OR($B192="",X$4&gt;$P192,EOMONTH(X$4,0)&lt;$E192),0,MIN($H192,MAX(0,MIN(EOMONTH(X$4,0),$P192)-MAX(X$4,$E192)+1)*$J192))</f>
        <v/>
      </c>
      <c r="Y192" s="170">
        <f>IF(OR($B192="",Y$4&gt;$P192,EOMONTH(Y$4,0)&lt;$E192),0,MIN($H192,MAX(0,MIN(EOMONTH(Y$4,0),$P192)-MAX(Y$4,$E192)+1)*$J192))</f>
        <v/>
      </c>
      <c r="Z192" s="170">
        <f>IF(OR($B192="",Z$4&gt;$P192,EOMONTH(Z$4,0)&lt;$E192),0,MIN($H192,MAX(0,MIN(EOMONTH(Z$4,0),$P192)-MAX(Z$4,$E192)+1)*$J192))</f>
        <v/>
      </c>
      <c r="AA192" s="170">
        <f>IF(OR($B192="",AA$4&gt;$P192,EOMONTH(AA$4,0)&lt;$E192),0,MIN($H192,MAX(0,MIN(EOMONTH(AA$4,0),$P192)-MAX(AA$4,$E192)+1)*$J192))</f>
        <v/>
      </c>
      <c r="AB192" s="170">
        <f>IF(OR($B192="",AB$4&gt;$P192,EOMONTH(AB$4,0)&lt;$E192),0,MIN($H192,MAX(0,MIN(EOMONTH(AB$4,0),$P192)-MAX(AB$4,$E192)+1)*$J192))</f>
        <v/>
      </c>
      <c r="AC192" s="170">
        <f>IF(OR($B192="",AC$4&gt;$P192,EOMONTH(AC$4,0)&lt;$E192),0,MIN($H192,MAX(0,MIN(EOMONTH(AC$4,0),$P192)-MAX(AC$4,$E192)+1)*$J192))</f>
        <v/>
      </c>
      <c r="AD192" s="170">
        <f>IF(B192="","",ROUND(SUM(R192:AC192),0))</f>
        <v/>
      </c>
      <c r="AE192" s="170">
        <f>IF(B192="","",MIN(H192,ROUND(Q192+SUM(R192:AC192),0)))</f>
        <v/>
      </c>
      <c r="AF192" s="170">
        <f>IF(B192="","",MAX(H192-AE192,0))</f>
        <v/>
      </c>
      <c r="AG192" s="172">
        <f>IF(B192="","",IF('Thiết lập'!$B$4&lt;E192,"Chưa phân bổ",IF(P192&lt;='Thiết lập'!$B$4,"Đã phân bổ","Đang phân bổ")))</f>
        <v/>
      </c>
      <c r="AH192" s="166" t="n"/>
      <c r="AI192" s="174">
        <f>IF(B192="","",IF(AND(C192&lt;&gt;"",D192&lt;&gt;"",E192&lt;&gt;"",E192&gt;=D192,F192&gt;0,G192&gt;0,I192&gt;0,COUNTIF($B$7:$B$306,B192)=1),"OK",IF(C192="","Thiếu tên; ","")&amp;IF(D192="","Thiếu ngày tăng; ","")&amp;IF(E192="","Thiếu ngày bắt đầu; ","")&amp;IF(AND(D192&lt;&gt;"",E192&lt;&gt;"",E192&lt;D192),"Ngày bắt đầu &lt; ngày tăng; ","")&amp;IF(OR(F192="",F192&lt;=0),"Số lượng không hợp lệ; ","")&amp;IF(OR(G192="",G192&lt;=0),"Đơn giá không hợp lệ; ","")&amp;IF(OR(I192="",I192&lt;=0),"Số tháng không hợp lệ; ","")&amp;IF(COUNTIF($B$7:$B$306,B192)&gt;1,"Trùng mã CPTT; ","")))</f>
        <v/>
      </c>
    </row>
    <row r="193" ht="19.5" customHeight="1" s="98">
      <c r="A193" s="164">
        <f>IF(B193="","",ROW()-6)</f>
        <v/>
      </c>
      <c r="B193" s="165" t="n"/>
      <c r="C193" s="166" t="n"/>
      <c r="D193" s="167" t="n"/>
      <c r="E193" s="167" t="n"/>
      <c r="F193" s="168" t="n"/>
      <c r="G193" s="169" t="n"/>
      <c r="H193" s="170">
        <f>IF(OR(F193="",G193=""),"",F193*G193)</f>
        <v/>
      </c>
      <c r="I193" s="171" t="n"/>
      <c r="J193" s="170">
        <f>IF(OR(H193="",E193="",P193=""),"",H193/(P193-E193+1))</f>
        <v/>
      </c>
      <c r="K193" s="165" t="n"/>
      <c r="L193" s="172">
        <f>IF(B193="","",IF(AF193&lt;=0,"Đã phân bổ",IF(P193&lt;=EDATE('Thiết lập'!$B$4,12),"Ngắn hạn","Dài hạn")))</f>
        <v/>
      </c>
      <c r="M193" s="165" t="n"/>
      <c r="N193" s="165" t="n"/>
      <c r="O193" s="165" t="n"/>
      <c r="P193" s="173">
        <f>IF(OR(E193="",I193=""),"",EDATE(E193,I193)-1)</f>
        <v/>
      </c>
      <c r="Q193" s="170">
        <f>IF(OR(B193="",E193="",P193=""),0,MIN(H193,MAX(0,MIN(P193,DATE('Thiết lập'!$B$3-1,12,31))-E193+1)*J193))</f>
        <v/>
      </c>
      <c r="R193" s="170">
        <f>IF(OR($B193="",R$4&gt;$P193,EOMONTH(R$4,0)&lt;$E193),0,MIN($H193,MAX(0,MIN(EOMONTH(R$4,0),$P193)-MAX(R$4,$E193)+1)*$J193))</f>
        <v/>
      </c>
      <c r="S193" s="170">
        <f>IF(OR($B193="",S$4&gt;$P193,EOMONTH(S$4,0)&lt;$E193),0,MIN($H193,MAX(0,MIN(EOMONTH(S$4,0),$P193)-MAX(S$4,$E193)+1)*$J193))</f>
        <v/>
      </c>
      <c r="T193" s="170">
        <f>IF(OR($B193="",T$4&gt;$P193,EOMONTH(T$4,0)&lt;$E193),0,MIN($H193,MAX(0,MIN(EOMONTH(T$4,0),$P193)-MAX(T$4,$E193)+1)*$J193))</f>
        <v/>
      </c>
      <c r="U193" s="170">
        <f>IF(OR($B193="",U$4&gt;$P193,EOMONTH(U$4,0)&lt;$E193),0,MIN($H193,MAX(0,MIN(EOMONTH(U$4,0),$P193)-MAX(U$4,$E193)+1)*$J193))</f>
        <v/>
      </c>
      <c r="V193" s="170">
        <f>IF(OR($B193="",V$4&gt;$P193,EOMONTH(V$4,0)&lt;$E193),0,MIN($H193,MAX(0,MIN(EOMONTH(V$4,0),$P193)-MAX(V$4,$E193)+1)*$J193))</f>
        <v/>
      </c>
      <c r="W193" s="170">
        <f>IF(OR($B193="",W$4&gt;$P193,EOMONTH(W$4,0)&lt;$E193),0,MIN($H193,MAX(0,MIN(EOMONTH(W$4,0),$P193)-MAX(W$4,$E193)+1)*$J193))</f>
        <v/>
      </c>
      <c r="X193" s="170">
        <f>IF(OR($B193="",X$4&gt;$P193,EOMONTH(X$4,0)&lt;$E193),0,MIN($H193,MAX(0,MIN(EOMONTH(X$4,0),$P193)-MAX(X$4,$E193)+1)*$J193))</f>
        <v/>
      </c>
      <c r="Y193" s="170">
        <f>IF(OR($B193="",Y$4&gt;$P193,EOMONTH(Y$4,0)&lt;$E193),0,MIN($H193,MAX(0,MIN(EOMONTH(Y$4,0),$P193)-MAX(Y$4,$E193)+1)*$J193))</f>
        <v/>
      </c>
      <c r="Z193" s="170">
        <f>IF(OR($B193="",Z$4&gt;$P193,EOMONTH(Z$4,0)&lt;$E193),0,MIN($H193,MAX(0,MIN(EOMONTH(Z$4,0),$P193)-MAX(Z$4,$E193)+1)*$J193))</f>
        <v/>
      </c>
      <c r="AA193" s="170">
        <f>IF(OR($B193="",AA$4&gt;$P193,EOMONTH(AA$4,0)&lt;$E193),0,MIN($H193,MAX(0,MIN(EOMONTH(AA$4,0),$P193)-MAX(AA$4,$E193)+1)*$J193))</f>
        <v/>
      </c>
      <c r="AB193" s="170">
        <f>IF(OR($B193="",AB$4&gt;$P193,EOMONTH(AB$4,0)&lt;$E193),0,MIN($H193,MAX(0,MIN(EOMONTH(AB$4,0),$P193)-MAX(AB$4,$E193)+1)*$J193))</f>
        <v/>
      </c>
      <c r="AC193" s="170">
        <f>IF(OR($B193="",AC$4&gt;$P193,EOMONTH(AC$4,0)&lt;$E193),0,MIN($H193,MAX(0,MIN(EOMONTH(AC$4,0),$P193)-MAX(AC$4,$E193)+1)*$J193))</f>
        <v/>
      </c>
      <c r="AD193" s="170">
        <f>IF(B193="","",ROUND(SUM(R193:AC193),0))</f>
        <v/>
      </c>
      <c r="AE193" s="170">
        <f>IF(B193="","",MIN(H193,ROUND(Q193+SUM(R193:AC193),0)))</f>
        <v/>
      </c>
      <c r="AF193" s="170">
        <f>IF(B193="","",MAX(H193-AE193,0))</f>
        <v/>
      </c>
      <c r="AG193" s="172">
        <f>IF(B193="","",IF('Thiết lập'!$B$4&lt;E193,"Chưa phân bổ",IF(P193&lt;='Thiết lập'!$B$4,"Đã phân bổ","Đang phân bổ")))</f>
        <v/>
      </c>
      <c r="AH193" s="166" t="n"/>
      <c r="AI193" s="174">
        <f>IF(B193="","",IF(AND(C193&lt;&gt;"",D193&lt;&gt;"",E193&lt;&gt;"",E193&gt;=D193,F193&gt;0,G193&gt;0,I193&gt;0,COUNTIF($B$7:$B$306,B193)=1),"OK",IF(C193="","Thiếu tên; ","")&amp;IF(D193="","Thiếu ngày tăng; ","")&amp;IF(E193="","Thiếu ngày bắt đầu; ","")&amp;IF(AND(D193&lt;&gt;"",E193&lt;&gt;"",E193&lt;D193),"Ngày bắt đầu &lt; ngày tăng; ","")&amp;IF(OR(F193="",F193&lt;=0),"Số lượng không hợp lệ; ","")&amp;IF(OR(G193="",G193&lt;=0),"Đơn giá không hợp lệ; ","")&amp;IF(OR(I193="",I193&lt;=0),"Số tháng không hợp lệ; ","")&amp;IF(COUNTIF($B$7:$B$306,B193)&gt;1,"Trùng mã CPTT; ","")))</f>
        <v/>
      </c>
    </row>
    <row r="194" ht="19.5" customHeight="1" s="98">
      <c r="A194" s="164">
        <f>IF(B194="","",ROW()-6)</f>
        <v/>
      </c>
      <c r="B194" s="165" t="n"/>
      <c r="C194" s="166" t="n"/>
      <c r="D194" s="167" t="n"/>
      <c r="E194" s="167" t="n"/>
      <c r="F194" s="168" t="n"/>
      <c r="G194" s="169" t="n"/>
      <c r="H194" s="170">
        <f>IF(OR(F194="",G194=""),"",F194*G194)</f>
        <v/>
      </c>
      <c r="I194" s="171" t="n"/>
      <c r="J194" s="170">
        <f>IF(OR(H194="",E194="",P194=""),"",H194/(P194-E194+1))</f>
        <v/>
      </c>
      <c r="K194" s="165" t="n"/>
      <c r="L194" s="172">
        <f>IF(B194="","",IF(AF194&lt;=0,"Đã phân bổ",IF(P194&lt;=EDATE('Thiết lập'!$B$4,12),"Ngắn hạn","Dài hạn")))</f>
        <v/>
      </c>
      <c r="M194" s="165" t="n"/>
      <c r="N194" s="165" t="n"/>
      <c r="O194" s="165" t="n"/>
      <c r="P194" s="173">
        <f>IF(OR(E194="",I194=""),"",EDATE(E194,I194)-1)</f>
        <v/>
      </c>
      <c r="Q194" s="170">
        <f>IF(OR(B194="",E194="",P194=""),0,MIN(H194,MAX(0,MIN(P194,DATE('Thiết lập'!$B$3-1,12,31))-E194+1)*J194))</f>
        <v/>
      </c>
      <c r="R194" s="170">
        <f>IF(OR($B194="",R$4&gt;$P194,EOMONTH(R$4,0)&lt;$E194),0,MIN($H194,MAX(0,MIN(EOMONTH(R$4,0),$P194)-MAX(R$4,$E194)+1)*$J194))</f>
        <v/>
      </c>
      <c r="S194" s="170">
        <f>IF(OR($B194="",S$4&gt;$P194,EOMONTH(S$4,0)&lt;$E194),0,MIN($H194,MAX(0,MIN(EOMONTH(S$4,0),$P194)-MAX(S$4,$E194)+1)*$J194))</f>
        <v/>
      </c>
      <c r="T194" s="170">
        <f>IF(OR($B194="",T$4&gt;$P194,EOMONTH(T$4,0)&lt;$E194),0,MIN($H194,MAX(0,MIN(EOMONTH(T$4,0),$P194)-MAX(T$4,$E194)+1)*$J194))</f>
        <v/>
      </c>
      <c r="U194" s="170">
        <f>IF(OR($B194="",U$4&gt;$P194,EOMONTH(U$4,0)&lt;$E194),0,MIN($H194,MAX(0,MIN(EOMONTH(U$4,0),$P194)-MAX(U$4,$E194)+1)*$J194))</f>
        <v/>
      </c>
      <c r="V194" s="170">
        <f>IF(OR($B194="",V$4&gt;$P194,EOMONTH(V$4,0)&lt;$E194),0,MIN($H194,MAX(0,MIN(EOMONTH(V$4,0),$P194)-MAX(V$4,$E194)+1)*$J194))</f>
        <v/>
      </c>
      <c r="W194" s="170">
        <f>IF(OR($B194="",W$4&gt;$P194,EOMONTH(W$4,0)&lt;$E194),0,MIN($H194,MAX(0,MIN(EOMONTH(W$4,0),$P194)-MAX(W$4,$E194)+1)*$J194))</f>
        <v/>
      </c>
      <c r="X194" s="170">
        <f>IF(OR($B194="",X$4&gt;$P194,EOMONTH(X$4,0)&lt;$E194),0,MIN($H194,MAX(0,MIN(EOMONTH(X$4,0),$P194)-MAX(X$4,$E194)+1)*$J194))</f>
        <v/>
      </c>
      <c r="Y194" s="170">
        <f>IF(OR($B194="",Y$4&gt;$P194,EOMONTH(Y$4,0)&lt;$E194),0,MIN($H194,MAX(0,MIN(EOMONTH(Y$4,0),$P194)-MAX(Y$4,$E194)+1)*$J194))</f>
        <v/>
      </c>
      <c r="Z194" s="170">
        <f>IF(OR($B194="",Z$4&gt;$P194,EOMONTH(Z$4,0)&lt;$E194),0,MIN($H194,MAX(0,MIN(EOMONTH(Z$4,0),$P194)-MAX(Z$4,$E194)+1)*$J194))</f>
        <v/>
      </c>
      <c r="AA194" s="170">
        <f>IF(OR($B194="",AA$4&gt;$P194,EOMONTH(AA$4,0)&lt;$E194),0,MIN($H194,MAX(0,MIN(EOMONTH(AA$4,0),$P194)-MAX(AA$4,$E194)+1)*$J194))</f>
        <v/>
      </c>
      <c r="AB194" s="170">
        <f>IF(OR($B194="",AB$4&gt;$P194,EOMONTH(AB$4,0)&lt;$E194),0,MIN($H194,MAX(0,MIN(EOMONTH(AB$4,0),$P194)-MAX(AB$4,$E194)+1)*$J194))</f>
        <v/>
      </c>
      <c r="AC194" s="170">
        <f>IF(OR($B194="",AC$4&gt;$P194,EOMONTH(AC$4,0)&lt;$E194),0,MIN($H194,MAX(0,MIN(EOMONTH(AC$4,0),$P194)-MAX(AC$4,$E194)+1)*$J194))</f>
        <v/>
      </c>
      <c r="AD194" s="170">
        <f>IF(B194="","",ROUND(SUM(R194:AC194),0))</f>
        <v/>
      </c>
      <c r="AE194" s="170">
        <f>IF(B194="","",MIN(H194,ROUND(Q194+SUM(R194:AC194),0)))</f>
        <v/>
      </c>
      <c r="AF194" s="170">
        <f>IF(B194="","",MAX(H194-AE194,0))</f>
        <v/>
      </c>
      <c r="AG194" s="172">
        <f>IF(B194="","",IF('Thiết lập'!$B$4&lt;E194,"Chưa phân bổ",IF(P194&lt;='Thiết lập'!$B$4,"Đã phân bổ","Đang phân bổ")))</f>
        <v/>
      </c>
      <c r="AH194" s="166" t="n"/>
      <c r="AI194" s="174">
        <f>IF(B194="","",IF(AND(C194&lt;&gt;"",D194&lt;&gt;"",E194&lt;&gt;"",E194&gt;=D194,F194&gt;0,G194&gt;0,I194&gt;0,COUNTIF($B$7:$B$306,B194)=1),"OK",IF(C194="","Thiếu tên; ","")&amp;IF(D194="","Thiếu ngày tăng; ","")&amp;IF(E194="","Thiếu ngày bắt đầu; ","")&amp;IF(AND(D194&lt;&gt;"",E194&lt;&gt;"",E194&lt;D194),"Ngày bắt đầu &lt; ngày tăng; ","")&amp;IF(OR(F194="",F194&lt;=0),"Số lượng không hợp lệ; ","")&amp;IF(OR(G194="",G194&lt;=0),"Đơn giá không hợp lệ; ","")&amp;IF(OR(I194="",I194&lt;=0),"Số tháng không hợp lệ; ","")&amp;IF(COUNTIF($B$7:$B$306,B194)&gt;1,"Trùng mã CPTT; ","")))</f>
        <v/>
      </c>
    </row>
    <row r="195" ht="19.5" customHeight="1" s="98">
      <c r="A195" s="164">
        <f>IF(B195="","",ROW()-6)</f>
        <v/>
      </c>
      <c r="B195" s="165" t="n"/>
      <c r="C195" s="166" t="n"/>
      <c r="D195" s="167" t="n"/>
      <c r="E195" s="167" t="n"/>
      <c r="F195" s="168" t="n"/>
      <c r="G195" s="169" t="n"/>
      <c r="H195" s="170">
        <f>IF(OR(F195="",G195=""),"",F195*G195)</f>
        <v/>
      </c>
      <c r="I195" s="171" t="n"/>
      <c r="J195" s="170">
        <f>IF(OR(H195="",E195="",P195=""),"",H195/(P195-E195+1))</f>
        <v/>
      </c>
      <c r="K195" s="165" t="n"/>
      <c r="L195" s="172">
        <f>IF(B195="","",IF(AF195&lt;=0,"Đã phân bổ",IF(P195&lt;=EDATE('Thiết lập'!$B$4,12),"Ngắn hạn","Dài hạn")))</f>
        <v/>
      </c>
      <c r="M195" s="165" t="n"/>
      <c r="N195" s="165" t="n"/>
      <c r="O195" s="165" t="n"/>
      <c r="P195" s="173">
        <f>IF(OR(E195="",I195=""),"",EDATE(E195,I195)-1)</f>
        <v/>
      </c>
      <c r="Q195" s="170">
        <f>IF(OR(B195="",E195="",P195=""),0,MIN(H195,MAX(0,MIN(P195,DATE('Thiết lập'!$B$3-1,12,31))-E195+1)*J195))</f>
        <v/>
      </c>
      <c r="R195" s="170">
        <f>IF(OR($B195="",R$4&gt;$P195,EOMONTH(R$4,0)&lt;$E195),0,MIN($H195,MAX(0,MIN(EOMONTH(R$4,0),$P195)-MAX(R$4,$E195)+1)*$J195))</f>
        <v/>
      </c>
      <c r="S195" s="170">
        <f>IF(OR($B195="",S$4&gt;$P195,EOMONTH(S$4,0)&lt;$E195),0,MIN($H195,MAX(0,MIN(EOMONTH(S$4,0),$P195)-MAX(S$4,$E195)+1)*$J195))</f>
        <v/>
      </c>
      <c r="T195" s="170">
        <f>IF(OR($B195="",T$4&gt;$P195,EOMONTH(T$4,0)&lt;$E195),0,MIN($H195,MAX(0,MIN(EOMONTH(T$4,0),$P195)-MAX(T$4,$E195)+1)*$J195))</f>
        <v/>
      </c>
      <c r="U195" s="170">
        <f>IF(OR($B195="",U$4&gt;$P195,EOMONTH(U$4,0)&lt;$E195),0,MIN($H195,MAX(0,MIN(EOMONTH(U$4,0),$P195)-MAX(U$4,$E195)+1)*$J195))</f>
        <v/>
      </c>
      <c r="V195" s="170">
        <f>IF(OR($B195="",V$4&gt;$P195,EOMONTH(V$4,0)&lt;$E195),0,MIN($H195,MAX(0,MIN(EOMONTH(V$4,0),$P195)-MAX(V$4,$E195)+1)*$J195))</f>
        <v/>
      </c>
      <c r="W195" s="170">
        <f>IF(OR($B195="",W$4&gt;$P195,EOMONTH(W$4,0)&lt;$E195),0,MIN($H195,MAX(0,MIN(EOMONTH(W$4,0),$P195)-MAX(W$4,$E195)+1)*$J195))</f>
        <v/>
      </c>
      <c r="X195" s="170">
        <f>IF(OR($B195="",X$4&gt;$P195,EOMONTH(X$4,0)&lt;$E195),0,MIN($H195,MAX(0,MIN(EOMONTH(X$4,0),$P195)-MAX(X$4,$E195)+1)*$J195))</f>
        <v/>
      </c>
      <c r="Y195" s="170">
        <f>IF(OR($B195="",Y$4&gt;$P195,EOMONTH(Y$4,0)&lt;$E195),0,MIN($H195,MAX(0,MIN(EOMONTH(Y$4,0),$P195)-MAX(Y$4,$E195)+1)*$J195))</f>
        <v/>
      </c>
      <c r="Z195" s="170">
        <f>IF(OR($B195="",Z$4&gt;$P195,EOMONTH(Z$4,0)&lt;$E195),0,MIN($H195,MAX(0,MIN(EOMONTH(Z$4,0),$P195)-MAX(Z$4,$E195)+1)*$J195))</f>
        <v/>
      </c>
      <c r="AA195" s="170">
        <f>IF(OR($B195="",AA$4&gt;$P195,EOMONTH(AA$4,0)&lt;$E195),0,MIN($H195,MAX(0,MIN(EOMONTH(AA$4,0),$P195)-MAX(AA$4,$E195)+1)*$J195))</f>
        <v/>
      </c>
      <c r="AB195" s="170">
        <f>IF(OR($B195="",AB$4&gt;$P195,EOMONTH(AB$4,0)&lt;$E195),0,MIN($H195,MAX(0,MIN(EOMONTH(AB$4,0),$P195)-MAX(AB$4,$E195)+1)*$J195))</f>
        <v/>
      </c>
      <c r="AC195" s="170">
        <f>IF(OR($B195="",AC$4&gt;$P195,EOMONTH(AC$4,0)&lt;$E195),0,MIN($H195,MAX(0,MIN(EOMONTH(AC$4,0),$P195)-MAX(AC$4,$E195)+1)*$J195))</f>
        <v/>
      </c>
      <c r="AD195" s="170">
        <f>IF(B195="","",ROUND(SUM(R195:AC195),0))</f>
        <v/>
      </c>
      <c r="AE195" s="170">
        <f>IF(B195="","",MIN(H195,ROUND(Q195+SUM(R195:AC195),0)))</f>
        <v/>
      </c>
      <c r="AF195" s="170">
        <f>IF(B195="","",MAX(H195-AE195,0))</f>
        <v/>
      </c>
      <c r="AG195" s="172">
        <f>IF(B195="","",IF('Thiết lập'!$B$4&lt;E195,"Chưa phân bổ",IF(P195&lt;='Thiết lập'!$B$4,"Đã phân bổ","Đang phân bổ")))</f>
        <v/>
      </c>
      <c r="AH195" s="166" t="n"/>
      <c r="AI195" s="174">
        <f>IF(B195="","",IF(AND(C195&lt;&gt;"",D195&lt;&gt;"",E195&lt;&gt;"",E195&gt;=D195,F195&gt;0,G195&gt;0,I195&gt;0,COUNTIF($B$7:$B$306,B195)=1),"OK",IF(C195="","Thiếu tên; ","")&amp;IF(D195="","Thiếu ngày tăng; ","")&amp;IF(E195="","Thiếu ngày bắt đầu; ","")&amp;IF(AND(D195&lt;&gt;"",E195&lt;&gt;"",E195&lt;D195),"Ngày bắt đầu &lt; ngày tăng; ","")&amp;IF(OR(F195="",F195&lt;=0),"Số lượng không hợp lệ; ","")&amp;IF(OR(G195="",G195&lt;=0),"Đơn giá không hợp lệ; ","")&amp;IF(OR(I195="",I195&lt;=0),"Số tháng không hợp lệ; ","")&amp;IF(COUNTIF($B$7:$B$306,B195)&gt;1,"Trùng mã CPTT; ","")))</f>
        <v/>
      </c>
    </row>
    <row r="196" ht="19.5" customHeight="1" s="98">
      <c r="A196" s="164">
        <f>IF(B196="","",ROW()-6)</f>
        <v/>
      </c>
      <c r="B196" s="165" t="n"/>
      <c r="C196" s="166" t="n"/>
      <c r="D196" s="167" t="n"/>
      <c r="E196" s="167" t="n"/>
      <c r="F196" s="168" t="n"/>
      <c r="G196" s="169" t="n"/>
      <c r="H196" s="170">
        <f>IF(OR(F196="",G196=""),"",F196*G196)</f>
        <v/>
      </c>
      <c r="I196" s="171" t="n"/>
      <c r="J196" s="170">
        <f>IF(OR(H196="",E196="",P196=""),"",H196/(P196-E196+1))</f>
        <v/>
      </c>
      <c r="K196" s="165" t="n"/>
      <c r="L196" s="172">
        <f>IF(B196="","",IF(AF196&lt;=0,"Đã phân bổ",IF(P196&lt;=EDATE('Thiết lập'!$B$4,12),"Ngắn hạn","Dài hạn")))</f>
        <v/>
      </c>
      <c r="M196" s="165" t="n"/>
      <c r="N196" s="165" t="n"/>
      <c r="O196" s="165" t="n"/>
      <c r="P196" s="173">
        <f>IF(OR(E196="",I196=""),"",EDATE(E196,I196)-1)</f>
        <v/>
      </c>
      <c r="Q196" s="170">
        <f>IF(OR(B196="",E196="",P196=""),0,MIN(H196,MAX(0,MIN(P196,DATE('Thiết lập'!$B$3-1,12,31))-E196+1)*J196))</f>
        <v/>
      </c>
      <c r="R196" s="170">
        <f>IF(OR($B196="",R$4&gt;$P196,EOMONTH(R$4,0)&lt;$E196),0,MIN($H196,MAX(0,MIN(EOMONTH(R$4,0),$P196)-MAX(R$4,$E196)+1)*$J196))</f>
        <v/>
      </c>
      <c r="S196" s="170">
        <f>IF(OR($B196="",S$4&gt;$P196,EOMONTH(S$4,0)&lt;$E196),0,MIN($H196,MAX(0,MIN(EOMONTH(S$4,0),$P196)-MAX(S$4,$E196)+1)*$J196))</f>
        <v/>
      </c>
      <c r="T196" s="170">
        <f>IF(OR($B196="",T$4&gt;$P196,EOMONTH(T$4,0)&lt;$E196),0,MIN($H196,MAX(0,MIN(EOMONTH(T$4,0),$P196)-MAX(T$4,$E196)+1)*$J196))</f>
        <v/>
      </c>
      <c r="U196" s="170">
        <f>IF(OR($B196="",U$4&gt;$P196,EOMONTH(U$4,0)&lt;$E196),0,MIN($H196,MAX(0,MIN(EOMONTH(U$4,0),$P196)-MAX(U$4,$E196)+1)*$J196))</f>
        <v/>
      </c>
      <c r="V196" s="170">
        <f>IF(OR($B196="",V$4&gt;$P196,EOMONTH(V$4,0)&lt;$E196),0,MIN($H196,MAX(0,MIN(EOMONTH(V$4,0),$P196)-MAX(V$4,$E196)+1)*$J196))</f>
        <v/>
      </c>
      <c r="W196" s="170">
        <f>IF(OR($B196="",W$4&gt;$P196,EOMONTH(W$4,0)&lt;$E196),0,MIN($H196,MAX(0,MIN(EOMONTH(W$4,0),$P196)-MAX(W$4,$E196)+1)*$J196))</f>
        <v/>
      </c>
      <c r="X196" s="170">
        <f>IF(OR($B196="",X$4&gt;$P196,EOMONTH(X$4,0)&lt;$E196),0,MIN($H196,MAX(0,MIN(EOMONTH(X$4,0),$P196)-MAX(X$4,$E196)+1)*$J196))</f>
        <v/>
      </c>
      <c r="Y196" s="170">
        <f>IF(OR($B196="",Y$4&gt;$P196,EOMONTH(Y$4,0)&lt;$E196),0,MIN($H196,MAX(0,MIN(EOMONTH(Y$4,0),$P196)-MAX(Y$4,$E196)+1)*$J196))</f>
        <v/>
      </c>
      <c r="Z196" s="170">
        <f>IF(OR($B196="",Z$4&gt;$P196,EOMONTH(Z$4,0)&lt;$E196),0,MIN($H196,MAX(0,MIN(EOMONTH(Z$4,0),$P196)-MAX(Z$4,$E196)+1)*$J196))</f>
        <v/>
      </c>
      <c r="AA196" s="170">
        <f>IF(OR($B196="",AA$4&gt;$P196,EOMONTH(AA$4,0)&lt;$E196),0,MIN($H196,MAX(0,MIN(EOMONTH(AA$4,0),$P196)-MAX(AA$4,$E196)+1)*$J196))</f>
        <v/>
      </c>
      <c r="AB196" s="170">
        <f>IF(OR($B196="",AB$4&gt;$P196,EOMONTH(AB$4,0)&lt;$E196),0,MIN($H196,MAX(0,MIN(EOMONTH(AB$4,0),$P196)-MAX(AB$4,$E196)+1)*$J196))</f>
        <v/>
      </c>
      <c r="AC196" s="170">
        <f>IF(OR($B196="",AC$4&gt;$P196,EOMONTH(AC$4,0)&lt;$E196),0,MIN($H196,MAX(0,MIN(EOMONTH(AC$4,0),$P196)-MAX(AC$4,$E196)+1)*$J196))</f>
        <v/>
      </c>
      <c r="AD196" s="170">
        <f>IF(B196="","",ROUND(SUM(R196:AC196),0))</f>
        <v/>
      </c>
      <c r="AE196" s="170">
        <f>IF(B196="","",MIN(H196,ROUND(Q196+SUM(R196:AC196),0)))</f>
        <v/>
      </c>
      <c r="AF196" s="170">
        <f>IF(B196="","",MAX(H196-AE196,0))</f>
        <v/>
      </c>
      <c r="AG196" s="172">
        <f>IF(B196="","",IF('Thiết lập'!$B$4&lt;E196,"Chưa phân bổ",IF(P196&lt;='Thiết lập'!$B$4,"Đã phân bổ","Đang phân bổ")))</f>
        <v/>
      </c>
      <c r="AH196" s="166" t="n"/>
      <c r="AI196" s="174">
        <f>IF(B196="","",IF(AND(C196&lt;&gt;"",D196&lt;&gt;"",E196&lt;&gt;"",E196&gt;=D196,F196&gt;0,G196&gt;0,I196&gt;0,COUNTIF($B$7:$B$306,B196)=1),"OK",IF(C196="","Thiếu tên; ","")&amp;IF(D196="","Thiếu ngày tăng; ","")&amp;IF(E196="","Thiếu ngày bắt đầu; ","")&amp;IF(AND(D196&lt;&gt;"",E196&lt;&gt;"",E196&lt;D196),"Ngày bắt đầu &lt; ngày tăng; ","")&amp;IF(OR(F196="",F196&lt;=0),"Số lượng không hợp lệ; ","")&amp;IF(OR(G196="",G196&lt;=0),"Đơn giá không hợp lệ; ","")&amp;IF(OR(I196="",I196&lt;=0),"Số tháng không hợp lệ; ","")&amp;IF(COUNTIF($B$7:$B$306,B196)&gt;1,"Trùng mã CPTT; ","")))</f>
        <v/>
      </c>
    </row>
    <row r="197" ht="19.5" customHeight="1" s="98">
      <c r="A197" s="164">
        <f>IF(B197="","",ROW()-6)</f>
        <v/>
      </c>
      <c r="B197" s="165" t="n"/>
      <c r="C197" s="166" t="n"/>
      <c r="D197" s="167" t="n"/>
      <c r="E197" s="167" t="n"/>
      <c r="F197" s="168" t="n"/>
      <c r="G197" s="169" t="n"/>
      <c r="H197" s="170">
        <f>IF(OR(F197="",G197=""),"",F197*G197)</f>
        <v/>
      </c>
      <c r="I197" s="171" t="n"/>
      <c r="J197" s="170">
        <f>IF(OR(H197="",E197="",P197=""),"",H197/(P197-E197+1))</f>
        <v/>
      </c>
      <c r="K197" s="165" t="n"/>
      <c r="L197" s="172">
        <f>IF(B197="","",IF(AF197&lt;=0,"Đã phân bổ",IF(P197&lt;=EDATE('Thiết lập'!$B$4,12),"Ngắn hạn","Dài hạn")))</f>
        <v/>
      </c>
      <c r="M197" s="165" t="n"/>
      <c r="N197" s="165" t="n"/>
      <c r="O197" s="165" t="n"/>
      <c r="P197" s="173">
        <f>IF(OR(E197="",I197=""),"",EDATE(E197,I197)-1)</f>
        <v/>
      </c>
      <c r="Q197" s="170">
        <f>IF(OR(B197="",E197="",P197=""),0,MIN(H197,MAX(0,MIN(P197,DATE('Thiết lập'!$B$3-1,12,31))-E197+1)*J197))</f>
        <v/>
      </c>
      <c r="R197" s="170">
        <f>IF(OR($B197="",R$4&gt;$P197,EOMONTH(R$4,0)&lt;$E197),0,MIN($H197,MAX(0,MIN(EOMONTH(R$4,0),$P197)-MAX(R$4,$E197)+1)*$J197))</f>
        <v/>
      </c>
      <c r="S197" s="170">
        <f>IF(OR($B197="",S$4&gt;$P197,EOMONTH(S$4,0)&lt;$E197),0,MIN($H197,MAX(0,MIN(EOMONTH(S$4,0),$P197)-MAX(S$4,$E197)+1)*$J197))</f>
        <v/>
      </c>
      <c r="T197" s="170">
        <f>IF(OR($B197="",T$4&gt;$P197,EOMONTH(T$4,0)&lt;$E197),0,MIN($H197,MAX(0,MIN(EOMONTH(T$4,0),$P197)-MAX(T$4,$E197)+1)*$J197))</f>
        <v/>
      </c>
      <c r="U197" s="170">
        <f>IF(OR($B197="",U$4&gt;$P197,EOMONTH(U$4,0)&lt;$E197),0,MIN($H197,MAX(0,MIN(EOMONTH(U$4,0),$P197)-MAX(U$4,$E197)+1)*$J197))</f>
        <v/>
      </c>
      <c r="V197" s="170">
        <f>IF(OR($B197="",V$4&gt;$P197,EOMONTH(V$4,0)&lt;$E197),0,MIN($H197,MAX(0,MIN(EOMONTH(V$4,0),$P197)-MAX(V$4,$E197)+1)*$J197))</f>
        <v/>
      </c>
      <c r="W197" s="170">
        <f>IF(OR($B197="",W$4&gt;$P197,EOMONTH(W$4,0)&lt;$E197),0,MIN($H197,MAX(0,MIN(EOMONTH(W$4,0),$P197)-MAX(W$4,$E197)+1)*$J197))</f>
        <v/>
      </c>
      <c r="X197" s="170">
        <f>IF(OR($B197="",X$4&gt;$P197,EOMONTH(X$4,0)&lt;$E197),0,MIN($H197,MAX(0,MIN(EOMONTH(X$4,0),$P197)-MAX(X$4,$E197)+1)*$J197))</f>
        <v/>
      </c>
      <c r="Y197" s="170">
        <f>IF(OR($B197="",Y$4&gt;$P197,EOMONTH(Y$4,0)&lt;$E197),0,MIN($H197,MAX(0,MIN(EOMONTH(Y$4,0),$P197)-MAX(Y$4,$E197)+1)*$J197))</f>
        <v/>
      </c>
      <c r="Z197" s="170">
        <f>IF(OR($B197="",Z$4&gt;$P197,EOMONTH(Z$4,0)&lt;$E197),0,MIN($H197,MAX(0,MIN(EOMONTH(Z$4,0),$P197)-MAX(Z$4,$E197)+1)*$J197))</f>
        <v/>
      </c>
      <c r="AA197" s="170">
        <f>IF(OR($B197="",AA$4&gt;$P197,EOMONTH(AA$4,0)&lt;$E197),0,MIN($H197,MAX(0,MIN(EOMONTH(AA$4,0),$P197)-MAX(AA$4,$E197)+1)*$J197))</f>
        <v/>
      </c>
      <c r="AB197" s="170">
        <f>IF(OR($B197="",AB$4&gt;$P197,EOMONTH(AB$4,0)&lt;$E197),0,MIN($H197,MAX(0,MIN(EOMONTH(AB$4,0),$P197)-MAX(AB$4,$E197)+1)*$J197))</f>
        <v/>
      </c>
      <c r="AC197" s="170">
        <f>IF(OR($B197="",AC$4&gt;$P197,EOMONTH(AC$4,0)&lt;$E197),0,MIN($H197,MAX(0,MIN(EOMONTH(AC$4,0),$P197)-MAX(AC$4,$E197)+1)*$J197))</f>
        <v/>
      </c>
      <c r="AD197" s="170">
        <f>IF(B197="","",ROUND(SUM(R197:AC197),0))</f>
        <v/>
      </c>
      <c r="AE197" s="170">
        <f>IF(B197="","",MIN(H197,ROUND(Q197+SUM(R197:AC197),0)))</f>
        <v/>
      </c>
      <c r="AF197" s="170">
        <f>IF(B197="","",MAX(H197-AE197,0))</f>
        <v/>
      </c>
      <c r="AG197" s="172">
        <f>IF(B197="","",IF('Thiết lập'!$B$4&lt;E197,"Chưa phân bổ",IF(P197&lt;='Thiết lập'!$B$4,"Đã phân bổ","Đang phân bổ")))</f>
        <v/>
      </c>
      <c r="AH197" s="166" t="n"/>
      <c r="AI197" s="174">
        <f>IF(B197="","",IF(AND(C197&lt;&gt;"",D197&lt;&gt;"",E197&lt;&gt;"",E197&gt;=D197,F197&gt;0,G197&gt;0,I197&gt;0,COUNTIF($B$7:$B$306,B197)=1),"OK",IF(C197="","Thiếu tên; ","")&amp;IF(D197="","Thiếu ngày tăng; ","")&amp;IF(E197="","Thiếu ngày bắt đầu; ","")&amp;IF(AND(D197&lt;&gt;"",E197&lt;&gt;"",E197&lt;D197),"Ngày bắt đầu &lt; ngày tăng; ","")&amp;IF(OR(F197="",F197&lt;=0),"Số lượng không hợp lệ; ","")&amp;IF(OR(G197="",G197&lt;=0),"Đơn giá không hợp lệ; ","")&amp;IF(OR(I197="",I197&lt;=0),"Số tháng không hợp lệ; ","")&amp;IF(COUNTIF($B$7:$B$306,B197)&gt;1,"Trùng mã CPTT; ","")))</f>
        <v/>
      </c>
    </row>
    <row r="198" ht="19.5" customHeight="1" s="98">
      <c r="A198" s="164">
        <f>IF(B198="","",ROW()-6)</f>
        <v/>
      </c>
      <c r="B198" s="165" t="n"/>
      <c r="C198" s="166" t="n"/>
      <c r="D198" s="167" t="n"/>
      <c r="E198" s="167" t="n"/>
      <c r="F198" s="168" t="n"/>
      <c r="G198" s="169" t="n"/>
      <c r="H198" s="170">
        <f>IF(OR(F198="",G198=""),"",F198*G198)</f>
        <v/>
      </c>
      <c r="I198" s="171" t="n"/>
      <c r="J198" s="170">
        <f>IF(OR(H198="",E198="",P198=""),"",H198/(P198-E198+1))</f>
        <v/>
      </c>
      <c r="K198" s="165" t="n"/>
      <c r="L198" s="172">
        <f>IF(B198="","",IF(AF198&lt;=0,"Đã phân bổ",IF(P198&lt;=EDATE('Thiết lập'!$B$4,12),"Ngắn hạn","Dài hạn")))</f>
        <v/>
      </c>
      <c r="M198" s="165" t="n"/>
      <c r="N198" s="165" t="n"/>
      <c r="O198" s="165" t="n"/>
      <c r="P198" s="173">
        <f>IF(OR(E198="",I198=""),"",EDATE(E198,I198)-1)</f>
        <v/>
      </c>
      <c r="Q198" s="170">
        <f>IF(OR(B198="",E198="",P198=""),0,MIN(H198,MAX(0,MIN(P198,DATE('Thiết lập'!$B$3-1,12,31))-E198+1)*J198))</f>
        <v/>
      </c>
      <c r="R198" s="170">
        <f>IF(OR($B198="",R$4&gt;$P198,EOMONTH(R$4,0)&lt;$E198),0,MIN($H198,MAX(0,MIN(EOMONTH(R$4,0),$P198)-MAX(R$4,$E198)+1)*$J198))</f>
        <v/>
      </c>
      <c r="S198" s="170">
        <f>IF(OR($B198="",S$4&gt;$P198,EOMONTH(S$4,0)&lt;$E198),0,MIN($H198,MAX(0,MIN(EOMONTH(S$4,0),$P198)-MAX(S$4,$E198)+1)*$J198))</f>
        <v/>
      </c>
      <c r="T198" s="170">
        <f>IF(OR($B198="",T$4&gt;$P198,EOMONTH(T$4,0)&lt;$E198),0,MIN($H198,MAX(0,MIN(EOMONTH(T$4,0),$P198)-MAX(T$4,$E198)+1)*$J198))</f>
        <v/>
      </c>
      <c r="U198" s="170">
        <f>IF(OR($B198="",U$4&gt;$P198,EOMONTH(U$4,0)&lt;$E198),0,MIN($H198,MAX(0,MIN(EOMONTH(U$4,0),$P198)-MAX(U$4,$E198)+1)*$J198))</f>
        <v/>
      </c>
      <c r="V198" s="170">
        <f>IF(OR($B198="",V$4&gt;$P198,EOMONTH(V$4,0)&lt;$E198),0,MIN($H198,MAX(0,MIN(EOMONTH(V$4,0),$P198)-MAX(V$4,$E198)+1)*$J198))</f>
        <v/>
      </c>
      <c r="W198" s="170">
        <f>IF(OR($B198="",W$4&gt;$P198,EOMONTH(W$4,0)&lt;$E198),0,MIN($H198,MAX(0,MIN(EOMONTH(W$4,0),$P198)-MAX(W$4,$E198)+1)*$J198))</f>
        <v/>
      </c>
      <c r="X198" s="170">
        <f>IF(OR($B198="",X$4&gt;$P198,EOMONTH(X$4,0)&lt;$E198),0,MIN($H198,MAX(0,MIN(EOMONTH(X$4,0),$P198)-MAX(X$4,$E198)+1)*$J198))</f>
        <v/>
      </c>
      <c r="Y198" s="170">
        <f>IF(OR($B198="",Y$4&gt;$P198,EOMONTH(Y$4,0)&lt;$E198),0,MIN($H198,MAX(0,MIN(EOMONTH(Y$4,0),$P198)-MAX(Y$4,$E198)+1)*$J198))</f>
        <v/>
      </c>
      <c r="Z198" s="170">
        <f>IF(OR($B198="",Z$4&gt;$P198,EOMONTH(Z$4,0)&lt;$E198),0,MIN($H198,MAX(0,MIN(EOMONTH(Z$4,0),$P198)-MAX(Z$4,$E198)+1)*$J198))</f>
        <v/>
      </c>
      <c r="AA198" s="170">
        <f>IF(OR($B198="",AA$4&gt;$P198,EOMONTH(AA$4,0)&lt;$E198),0,MIN($H198,MAX(0,MIN(EOMONTH(AA$4,0),$P198)-MAX(AA$4,$E198)+1)*$J198))</f>
        <v/>
      </c>
      <c r="AB198" s="170">
        <f>IF(OR($B198="",AB$4&gt;$P198,EOMONTH(AB$4,0)&lt;$E198),0,MIN($H198,MAX(0,MIN(EOMONTH(AB$4,0),$P198)-MAX(AB$4,$E198)+1)*$J198))</f>
        <v/>
      </c>
      <c r="AC198" s="170">
        <f>IF(OR($B198="",AC$4&gt;$P198,EOMONTH(AC$4,0)&lt;$E198),0,MIN($H198,MAX(0,MIN(EOMONTH(AC$4,0),$P198)-MAX(AC$4,$E198)+1)*$J198))</f>
        <v/>
      </c>
      <c r="AD198" s="170">
        <f>IF(B198="","",ROUND(SUM(R198:AC198),0))</f>
        <v/>
      </c>
      <c r="AE198" s="170">
        <f>IF(B198="","",MIN(H198,ROUND(Q198+SUM(R198:AC198),0)))</f>
        <v/>
      </c>
      <c r="AF198" s="170">
        <f>IF(B198="","",MAX(H198-AE198,0))</f>
        <v/>
      </c>
      <c r="AG198" s="172">
        <f>IF(B198="","",IF('Thiết lập'!$B$4&lt;E198,"Chưa phân bổ",IF(P198&lt;='Thiết lập'!$B$4,"Đã phân bổ","Đang phân bổ")))</f>
        <v/>
      </c>
      <c r="AH198" s="166" t="n"/>
      <c r="AI198" s="174">
        <f>IF(B198="","",IF(AND(C198&lt;&gt;"",D198&lt;&gt;"",E198&lt;&gt;"",E198&gt;=D198,F198&gt;0,G198&gt;0,I198&gt;0,COUNTIF($B$7:$B$306,B198)=1),"OK",IF(C198="","Thiếu tên; ","")&amp;IF(D198="","Thiếu ngày tăng; ","")&amp;IF(E198="","Thiếu ngày bắt đầu; ","")&amp;IF(AND(D198&lt;&gt;"",E198&lt;&gt;"",E198&lt;D198),"Ngày bắt đầu &lt; ngày tăng; ","")&amp;IF(OR(F198="",F198&lt;=0),"Số lượng không hợp lệ; ","")&amp;IF(OR(G198="",G198&lt;=0),"Đơn giá không hợp lệ; ","")&amp;IF(OR(I198="",I198&lt;=0),"Số tháng không hợp lệ; ","")&amp;IF(COUNTIF($B$7:$B$306,B198)&gt;1,"Trùng mã CPTT; ","")))</f>
        <v/>
      </c>
    </row>
    <row r="199" ht="19.5" customHeight="1" s="98">
      <c r="A199" s="164">
        <f>IF(B199="","",ROW()-6)</f>
        <v/>
      </c>
      <c r="B199" s="165" t="n"/>
      <c r="C199" s="166" t="n"/>
      <c r="D199" s="167" t="n"/>
      <c r="E199" s="167" t="n"/>
      <c r="F199" s="168" t="n"/>
      <c r="G199" s="169" t="n"/>
      <c r="H199" s="170">
        <f>IF(OR(F199="",G199=""),"",F199*G199)</f>
        <v/>
      </c>
      <c r="I199" s="171" t="n"/>
      <c r="J199" s="170">
        <f>IF(OR(H199="",E199="",P199=""),"",H199/(P199-E199+1))</f>
        <v/>
      </c>
      <c r="K199" s="165" t="n"/>
      <c r="L199" s="172">
        <f>IF(B199="","",IF(AF199&lt;=0,"Đã phân bổ",IF(P199&lt;=EDATE('Thiết lập'!$B$4,12),"Ngắn hạn","Dài hạn")))</f>
        <v/>
      </c>
      <c r="M199" s="165" t="n"/>
      <c r="N199" s="165" t="n"/>
      <c r="O199" s="165" t="n"/>
      <c r="P199" s="173">
        <f>IF(OR(E199="",I199=""),"",EDATE(E199,I199)-1)</f>
        <v/>
      </c>
      <c r="Q199" s="170">
        <f>IF(OR(B199="",E199="",P199=""),0,MIN(H199,MAX(0,MIN(P199,DATE('Thiết lập'!$B$3-1,12,31))-E199+1)*J199))</f>
        <v/>
      </c>
      <c r="R199" s="170">
        <f>IF(OR($B199="",R$4&gt;$P199,EOMONTH(R$4,0)&lt;$E199),0,MIN($H199,MAX(0,MIN(EOMONTH(R$4,0),$P199)-MAX(R$4,$E199)+1)*$J199))</f>
        <v/>
      </c>
      <c r="S199" s="170">
        <f>IF(OR($B199="",S$4&gt;$P199,EOMONTH(S$4,0)&lt;$E199),0,MIN($H199,MAX(0,MIN(EOMONTH(S$4,0),$P199)-MAX(S$4,$E199)+1)*$J199))</f>
        <v/>
      </c>
      <c r="T199" s="170">
        <f>IF(OR($B199="",T$4&gt;$P199,EOMONTH(T$4,0)&lt;$E199),0,MIN($H199,MAX(0,MIN(EOMONTH(T$4,0),$P199)-MAX(T$4,$E199)+1)*$J199))</f>
        <v/>
      </c>
      <c r="U199" s="170">
        <f>IF(OR($B199="",U$4&gt;$P199,EOMONTH(U$4,0)&lt;$E199),0,MIN($H199,MAX(0,MIN(EOMONTH(U$4,0),$P199)-MAX(U$4,$E199)+1)*$J199))</f>
        <v/>
      </c>
      <c r="V199" s="170">
        <f>IF(OR($B199="",V$4&gt;$P199,EOMONTH(V$4,0)&lt;$E199),0,MIN($H199,MAX(0,MIN(EOMONTH(V$4,0),$P199)-MAX(V$4,$E199)+1)*$J199))</f>
        <v/>
      </c>
      <c r="W199" s="170">
        <f>IF(OR($B199="",W$4&gt;$P199,EOMONTH(W$4,0)&lt;$E199),0,MIN($H199,MAX(0,MIN(EOMONTH(W$4,0),$P199)-MAX(W$4,$E199)+1)*$J199))</f>
        <v/>
      </c>
      <c r="X199" s="170">
        <f>IF(OR($B199="",X$4&gt;$P199,EOMONTH(X$4,0)&lt;$E199),0,MIN($H199,MAX(0,MIN(EOMONTH(X$4,0),$P199)-MAX(X$4,$E199)+1)*$J199))</f>
        <v/>
      </c>
      <c r="Y199" s="170">
        <f>IF(OR($B199="",Y$4&gt;$P199,EOMONTH(Y$4,0)&lt;$E199),0,MIN($H199,MAX(0,MIN(EOMONTH(Y$4,0),$P199)-MAX(Y$4,$E199)+1)*$J199))</f>
        <v/>
      </c>
      <c r="Z199" s="170">
        <f>IF(OR($B199="",Z$4&gt;$P199,EOMONTH(Z$4,0)&lt;$E199),0,MIN($H199,MAX(0,MIN(EOMONTH(Z$4,0),$P199)-MAX(Z$4,$E199)+1)*$J199))</f>
        <v/>
      </c>
      <c r="AA199" s="170">
        <f>IF(OR($B199="",AA$4&gt;$P199,EOMONTH(AA$4,0)&lt;$E199),0,MIN($H199,MAX(0,MIN(EOMONTH(AA$4,0),$P199)-MAX(AA$4,$E199)+1)*$J199))</f>
        <v/>
      </c>
      <c r="AB199" s="170">
        <f>IF(OR($B199="",AB$4&gt;$P199,EOMONTH(AB$4,0)&lt;$E199),0,MIN($H199,MAX(0,MIN(EOMONTH(AB$4,0),$P199)-MAX(AB$4,$E199)+1)*$J199))</f>
        <v/>
      </c>
      <c r="AC199" s="170">
        <f>IF(OR($B199="",AC$4&gt;$P199,EOMONTH(AC$4,0)&lt;$E199),0,MIN($H199,MAX(0,MIN(EOMONTH(AC$4,0),$P199)-MAX(AC$4,$E199)+1)*$J199))</f>
        <v/>
      </c>
      <c r="AD199" s="170">
        <f>IF(B199="","",ROUND(SUM(R199:AC199),0))</f>
        <v/>
      </c>
      <c r="AE199" s="170">
        <f>IF(B199="","",MIN(H199,ROUND(Q199+SUM(R199:AC199),0)))</f>
        <v/>
      </c>
      <c r="AF199" s="170">
        <f>IF(B199="","",MAX(H199-AE199,0))</f>
        <v/>
      </c>
      <c r="AG199" s="172">
        <f>IF(B199="","",IF('Thiết lập'!$B$4&lt;E199,"Chưa phân bổ",IF(P199&lt;='Thiết lập'!$B$4,"Đã phân bổ","Đang phân bổ")))</f>
        <v/>
      </c>
      <c r="AH199" s="166" t="n"/>
      <c r="AI199" s="174">
        <f>IF(B199="","",IF(AND(C199&lt;&gt;"",D199&lt;&gt;"",E199&lt;&gt;"",E199&gt;=D199,F199&gt;0,G199&gt;0,I199&gt;0,COUNTIF($B$7:$B$306,B199)=1),"OK",IF(C199="","Thiếu tên; ","")&amp;IF(D199="","Thiếu ngày tăng; ","")&amp;IF(E199="","Thiếu ngày bắt đầu; ","")&amp;IF(AND(D199&lt;&gt;"",E199&lt;&gt;"",E199&lt;D199),"Ngày bắt đầu &lt; ngày tăng; ","")&amp;IF(OR(F199="",F199&lt;=0),"Số lượng không hợp lệ; ","")&amp;IF(OR(G199="",G199&lt;=0),"Đơn giá không hợp lệ; ","")&amp;IF(OR(I199="",I199&lt;=0),"Số tháng không hợp lệ; ","")&amp;IF(COUNTIF($B$7:$B$306,B199)&gt;1,"Trùng mã CPTT; ","")))</f>
        <v/>
      </c>
    </row>
    <row r="200" ht="19.5" customHeight="1" s="98">
      <c r="A200" s="164">
        <f>IF(B200="","",ROW()-6)</f>
        <v/>
      </c>
      <c r="B200" s="165" t="n"/>
      <c r="C200" s="166" t="n"/>
      <c r="D200" s="167" t="n"/>
      <c r="E200" s="167" t="n"/>
      <c r="F200" s="168" t="n"/>
      <c r="G200" s="169" t="n"/>
      <c r="H200" s="170">
        <f>IF(OR(F200="",G200=""),"",F200*G200)</f>
        <v/>
      </c>
      <c r="I200" s="171" t="n"/>
      <c r="J200" s="170">
        <f>IF(OR(H200="",E200="",P200=""),"",H200/(P200-E200+1))</f>
        <v/>
      </c>
      <c r="K200" s="165" t="n"/>
      <c r="L200" s="172">
        <f>IF(B200="","",IF(AF200&lt;=0,"Đã phân bổ",IF(P200&lt;=EDATE('Thiết lập'!$B$4,12),"Ngắn hạn","Dài hạn")))</f>
        <v/>
      </c>
      <c r="M200" s="165" t="n"/>
      <c r="N200" s="165" t="n"/>
      <c r="O200" s="165" t="n"/>
      <c r="P200" s="173">
        <f>IF(OR(E200="",I200=""),"",EDATE(E200,I200)-1)</f>
        <v/>
      </c>
      <c r="Q200" s="170">
        <f>IF(OR(B200="",E200="",P200=""),0,MIN(H200,MAX(0,MIN(P200,DATE('Thiết lập'!$B$3-1,12,31))-E200+1)*J200))</f>
        <v/>
      </c>
      <c r="R200" s="170">
        <f>IF(OR($B200="",R$4&gt;$P200,EOMONTH(R$4,0)&lt;$E200),0,MIN($H200,MAX(0,MIN(EOMONTH(R$4,0),$P200)-MAX(R$4,$E200)+1)*$J200))</f>
        <v/>
      </c>
      <c r="S200" s="170">
        <f>IF(OR($B200="",S$4&gt;$P200,EOMONTH(S$4,0)&lt;$E200),0,MIN($H200,MAX(0,MIN(EOMONTH(S$4,0),$P200)-MAX(S$4,$E200)+1)*$J200))</f>
        <v/>
      </c>
      <c r="T200" s="170">
        <f>IF(OR($B200="",T$4&gt;$P200,EOMONTH(T$4,0)&lt;$E200),0,MIN($H200,MAX(0,MIN(EOMONTH(T$4,0),$P200)-MAX(T$4,$E200)+1)*$J200))</f>
        <v/>
      </c>
      <c r="U200" s="170">
        <f>IF(OR($B200="",U$4&gt;$P200,EOMONTH(U$4,0)&lt;$E200),0,MIN($H200,MAX(0,MIN(EOMONTH(U$4,0),$P200)-MAX(U$4,$E200)+1)*$J200))</f>
        <v/>
      </c>
      <c r="V200" s="170">
        <f>IF(OR($B200="",V$4&gt;$P200,EOMONTH(V$4,0)&lt;$E200),0,MIN($H200,MAX(0,MIN(EOMONTH(V$4,0),$P200)-MAX(V$4,$E200)+1)*$J200))</f>
        <v/>
      </c>
      <c r="W200" s="170">
        <f>IF(OR($B200="",W$4&gt;$P200,EOMONTH(W$4,0)&lt;$E200),0,MIN($H200,MAX(0,MIN(EOMONTH(W$4,0),$P200)-MAX(W$4,$E200)+1)*$J200))</f>
        <v/>
      </c>
      <c r="X200" s="170">
        <f>IF(OR($B200="",X$4&gt;$P200,EOMONTH(X$4,0)&lt;$E200),0,MIN($H200,MAX(0,MIN(EOMONTH(X$4,0),$P200)-MAX(X$4,$E200)+1)*$J200))</f>
        <v/>
      </c>
      <c r="Y200" s="170">
        <f>IF(OR($B200="",Y$4&gt;$P200,EOMONTH(Y$4,0)&lt;$E200),0,MIN($H200,MAX(0,MIN(EOMONTH(Y$4,0),$P200)-MAX(Y$4,$E200)+1)*$J200))</f>
        <v/>
      </c>
      <c r="Z200" s="170">
        <f>IF(OR($B200="",Z$4&gt;$P200,EOMONTH(Z$4,0)&lt;$E200),0,MIN($H200,MAX(0,MIN(EOMONTH(Z$4,0),$P200)-MAX(Z$4,$E200)+1)*$J200))</f>
        <v/>
      </c>
      <c r="AA200" s="170">
        <f>IF(OR($B200="",AA$4&gt;$P200,EOMONTH(AA$4,0)&lt;$E200),0,MIN($H200,MAX(0,MIN(EOMONTH(AA$4,0),$P200)-MAX(AA$4,$E200)+1)*$J200))</f>
        <v/>
      </c>
      <c r="AB200" s="170">
        <f>IF(OR($B200="",AB$4&gt;$P200,EOMONTH(AB$4,0)&lt;$E200),0,MIN($H200,MAX(0,MIN(EOMONTH(AB$4,0),$P200)-MAX(AB$4,$E200)+1)*$J200))</f>
        <v/>
      </c>
      <c r="AC200" s="170">
        <f>IF(OR($B200="",AC$4&gt;$P200,EOMONTH(AC$4,0)&lt;$E200),0,MIN($H200,MAX(0,MIN(EOMONTH(AC$4,0),$P200)-MAX(AC$4,$E200)+1)*$J200))</f>
        <v/>
      </c>
      <c r="AD200" s="170">
        <f>IF(B200="","",ROUND(SUM(R200:AC200),0))</f>
        <v/>
      </c>
      <c r="AE200" s="170">
        <f>IF(B200="","",MIN(H200,ROUND(Q200+SUM(R200:AC200),0)))</f>
        <v/>
      </c>
      <c r="AF200" s="170">
        <f>IF(B200="","",MAX(H200-AE200,0))</f>
        <v/>
      </c>
      <c r="AG200" s="172">
        <f>IF(B200="","",IF('Thiết lập'!$B$4&lt;E200,"Chưa phân bổ",IF(P200&lt;='Thiết lập'!$B$4,"Đã phân bổ","Đang phân bổ")))</f>
        <v/>
      </c>
      <c r="AH200" s="166" t="n"/>
      <c r="AI200" s="174">
        <f>IF(B200="","",IF(AND(C200&lt;&gt;"",D200&lt;&gt;"",E200&lt;&gt;"",E200&gt;=D200,F200&gt;0,G200&gt;0,I200&gt;0,COUNTIF($B$7:$B$306,B200)=1),"OK",IF(C200="","Thiếu tên; ","")&amp;IF(D200="","Thiếu ngày tăng; ","")&amp;IF(E200="","Thiếu ngày bắt đầu; ","")&amp;IF(AND(D200&lt;&gt;"",E200&lt;&gt;"",E200&lt;D200),"Ngày bắt đầu &lt; ngày tăng; ","")&amp;IF(OR(F200="",F200&lt;=0),"Số lượng không hợp lệ; ","")&amp;IF(OR(G200="",G200&lt;=0),"Đơn giá không hợp lệ; ","")&amp;IF(OR(I200="",I200&lt;=0),"Số tháng không hợp lệ; ","")&amp;IF(COUNTIF($B$7:$B$306,B200)&gt;1,"Trùng mã CPTT; ","")))</f>
        <v/>
      </c>
    </row>
    <row r="201" ht="19.5" customHeight="1" s="98">
      <c r="A201" s="164">
        <f>IF(B201="","",ROW()-6)</f>
        <v/>
      </c>
      <c r="B201" s="165" t="n"/>
      <c r="C201" s="166" t="n"/>
      <c r="D201" s="167" t="n"/>
      <c r="E201" s="167" t="n"/>
      <c r="F201" s="168" t="n"/>
      <c r="G201" s="169" t="n"/>
      <c r="H201" s="170">
        <f>IF(OR(F201="",G201=""),"",F201*G201)</f>
        <v/>
      </c>
      <c r="I201" s="171" t="n"/>
      <c r="J201" s="170">
        <f>IF(OR(H201="",E201="",P201=""),"",H201/(P201-E201+1))</f>
        <v/>
      </c>
      <c r="K201" s="165" t="n"/>
      <c r="L201" s="172">
        <f>IF(B201="","",IF(AF201&lt;=0,"Đã phân bổ",IF(P201&lt;=EDATE('Thiết lập'!$B$4,12),"Ngắn hạn","Dài hạn")))</f>
        <v/>
      </c>
      <c r="M201" s="165" t="n"/>
      <c r="N201" s="165" t="n"/>
      <c r="O201" s="165" t="n"/>
      <c r="P201" s="173">
        <f>IF(OR(E201="",I201=""),"",EDATE(E201,I201)-1)</f>
        <v/>
      </c>
      <c r="Q201" s="170">
        <f>IF(OR(B201="",E201="",P201=""),0,MIN(H201,MAX(0,MIN(P201,DATE('Thiết lập'!$B$3-1,12,31))-E201+1)*J201))</f>
        <v/>
      </c>
      <c r="R201" s="170">
        <f>IF(OR($B201="",R$4&gt;$P201,EOMONTH(R$4,0)&lt;$E201),0,MIN($H201,MAX(0,MIN(EOMONTH(R$4,0),$P201)-MAX(R$4,$E201)+1)*$J201))</f>
        <v/>
      </c>
      <c r="S201" s="170">
        <f>IF(OR($B201="",S$4&gt;$P201,EOMONTH(S$4,0)&lt;$E201),0,MIN($H201,MAX(0,MIN(EOMONTH(S$4,0),$P201)-MAX(S$4,$E201)+1)*$J201))</f>
        <v/>
      </c>
      <c r="T201" s="170">
        <f>IF(OR($B201="",T$4&gt;$P201,EOMONTH(T$4,0)&lt;$E201),0,MIN($H201,MAX(0,MIN(EOMONTH(T$4,0),$P201)-MAX(T$4,$E201)+1)*$J201))</f>
        <v/>
      </c>
      <c r="U201" s="170">
        <f>IF(OR($B201="",U$4&gt;$P201,EOMONTH(U$4,0)&lt;$E201),0,MIN($H201,MAX(0,MIN(EOMONTH(U$4,0),$P201)-MAX(U$4,$E201)+1)*$J201))</f>
        <v/>
      </c>
      <c r="V201" s="170">
        <f>IF(OR($B201="",V$4&gt;$P201,EOMONTH(V$4,0)&lt;$E201),0,MIN($H201,MAX(0,MIN(EOMONTH(V$4,0),$P201)-MAX(V$4,$E201)+1)*$J201))</f>
        <v/>
      </c>
      <c r="W201" s="170">
        <f>IF(OR($B201="",W$4&gt;$P201,EOMONTH(W$4,0)&lt;$E201),0,MIN($H201,MAX(0,MIN(EOMONTH(W$4,0),$P201)-MAX(W$4,$E201)+1)*$J201))</f>
        <v/>
      </c>
      <c r="X201" s="170">
        <f>IF(OR($B201="",X$4&gt;$P201,EOMONTH(X$4,0)&lt;$E201),0,MIN($H201,MAX(0,MIN(EOMONTH(X$4,0),$P201)-MAX(X$4,$E201)+1)*$J201))</f>
        <v/>
      </c>
      <c r="Y201" s="170">
        <f>IF(OR($B201="",Y$4&gt;$P201,EOMONTH(Y$4,0)&lt;$E201),0,MIN($H201,MAX(0,MIN(EOMONTH(Y$4,0),$P201)-MAX(Y$4,$E201)+1)*$J201))</f>
        <v/>
      </c>
      <c r="Z201" s="170">
        <f>IF(OR($B201="",Z$4&gt;$P201,EOMONTH(Z$4,0)&lt;$E201),0,MIN($H201,MAX(0,MIN(EOMONTH(Z$4,0),$P201)-MAX(Z$4,$E201)+1)*$J201))</f>
        <v/>
      </c>
      <c r="AA201" s="170">
        <f>IF(OR($B201="",AA$4&gt;$P201,EOMONTH(AA$4,0)&lt;$E201),0,MIN($H201,MAX(0,MIN(EOMONTH(AA$4,0),$P201)-MAX(AA$4,$E201)+1)*$J201))</f>
        <v/>
      </c>
      <c r="AB201" s="170">
        <f>IF(OR($B201="",AB$4&gt;$P201,EOMONTH(AB$4,0)&lt;$E201),0,MIN($H201,MAX(0,MIN(EOMONTH(AB$4,0),$P201)-MAX(AB$4,$E201)+1)*$J201))</f>
        <v/>
      </c>
      <c r="AC201" s="170">
        <f>IF(OR($B201="",AC$4&gt;$P201,EOMONTH(AC$4,0)&lt;$E201),0,MIN($H201,MAX(0,MIN(EOMONTH(AC$4,0),$P201)-MAX(AC$4,$E201)+1)*$J201))</f>
        <v/>
      </c>
      <c r="AD201" s="170">
        <f>IF(B201="","",ROUND(SUM(R201:AC201),0))</f>
        <v/>
      </c>
      <c r="AE201" s="170">
        <f>IF(B201="","",MIN(H201,ROUND(Q201+SUM(R201:AC201),0)))</f>
        <v/>
      </c>
      <c r="AF201" s="170">
        <f>IF(B201="","",MAX(H201-AE201,0))</f>
        <v/>
      </c>
      <c r="AG201" s="172">
        <f>IF(B201="","",IF('Thiết lập'!$B$4&lt;E201,"Chưa phân bổ",IF(P201&lt;='Thiết lập'!$B$4,"Đã phân bổ","Đang phân bổ")))</f>
        <v/>
      </c>
      <c r="AH201" s="166" t="n"/>
      <c r="AI201" s="174">
        <f>IF(B201="","",IF(AND(C201&lt;&gt;"",D201&lt;&gt;"",E201&lt;&gt;"",E201&gt;=D201,F201&gt;0,G201&gt;0,I201&gt;0,COUNTIF($B$7:$B$306,B201)=1),"OK",IF(C201="","Thiếu tên; ","")&amp;IF(D201="","Thiếu ngày tăng; ","")&amp;IF(E201="","Thiếu ngày bắt đầu; ","")&amp;IF(AND(D201&lt;&gt;"",E201&lt;&gt;"",E201&lt;D201),"Ngày bắt đầu &lt; ngày tăng; ","")&amp;IF(OR(F201="",F201&lt;=0),"Số lượng không hợp lệ; ","")&amp;IF(OR(G201="",G201&lt;=0),"Đơn giá không hợp lệ; ","")&amp;IF(OR(I201="",I201&lt;=0),"Số tháng không hợp lệ; ","")&amp;IF(COUNTIF($B$7:$B$306,B201)&gt;1,"Trùng mã CPTT; ","")))</f>
        <v/>
      </c>
    </row>
    <row r="202" ht="19.5" customHeight="1" s="98">
      <c r="A202" s="164">
        <f>IF(B202="","",ROW()-6)</f>
        <v/>
      </c>
      <c r="B202" s="165" t="n"/>
      <c r="C202" s="166" t="n"/>
      <c r="D202" s="167" t="n"/>
      <c r="E202" s="167" t="n"/>
      <c r="F202" s="168" t="n"/>
      <c r="G202" s="169" t="n"/>
      <c r="H202" s="170">
        <f>IF(OR(F202="",G202=""),"",F202*G202)</f>
        <v/>
      </c>
      <c r="I202" s="171" t="n"/>
      <c r="J202" s="170">
        <f>IF(OR(H202="",E202="",P202=""),"",H202/(P202-E202+1))</f>
        <v/>
      </c>
      <c r="K202" s="165" t="n"/>
      <c r="L202" s="172">
        <f>IF(B202="","",IF(AF202&lt;=0,"Đã phân bổ",IF(P202&lt;=EDATE('Thiết lập'!$B$4,12),"Ngắn hạn","Dài hạn")))</f>
        <v/>
      </c>
      <c r="M202" s="165" t="n"/>
      <c r="N202" s="165" t="n"/>
      <c r="O202" s="165" t="n"/>
      <c r="P202" s="173">
        <f>IF(OR(E202="",I202=""),"",EDATE(E202,I202)-1)</f>
        <v/>
      </c>
      <c r="Q202" s="170">
        <f>IF(OR(B202="",E202="",P202=""),0,MIN(H202,MAX(0,MIN(P202,DATE('Thiết lập'!$B$3-1,12,31))-E202+1)*J202))</f>
        <v/>
      </c>
      <c r="R202" s="170">
        <f>IF(OR($B202="",R$4&gt;$P202,EOMONTH(R$4,0)&lt;$E202),0,MIN($H202,MAX(0,MIN(EOMONTH(R$4,0),$P202)-MAX(R$4,$E202)+1)*$J202))</f>
        <v/>
      </c>
      <c r="S202" s="170">
        <f>IF(OR($B202="",S$4&gt;$P202,EOMONTH(S$4,0)&lt;$E202),0,MIN($H202,MAX(0,MIN(EOMONTH(S$4,0),$P202)-MAX(S$4,$E202)+1)*$J202))</f>
        <v/>
      </c>
      <c r="T202" s="170">
        <f>IF(OR($B202="",T$4&gt;$P202,EOMONTH(T$4,0)&lt;$E202),0,MIN($H202,MAX(0,MIN(EOMONTH(T$4,0),$P202)-MAX(T$4,$E202)+1)*$J202))</f>
        <v/>
      </c>
      <c r="U202" s="170">
        <f>IF(OR($B202="",U$4&gt;$P202,EOMONTH(U$4,0)&lt;$E202),0,MIN($H202,MAX(0,MIN(EOMONTH(U$4,0),$P202)-MAX(U$4,$E202)+1)*$J202))</f>
        <v/>
      </c>
      <c r="V202" s="170">
        <f>IF(OR($B202="",V$4&gt;$P202,EOMONTH(V$4,0)&lt;$E202),0,MIN($H202,MAX(0,MIN(EOMONTH(V$4,0),$P202)-MAX(V$4,$E202)+1)*$J202))</f>
        <v/>
      </c>
      <c r="W202" s="170">
        <f>IF(OR($B202="",W$4&gt;$P202,EOMONTH(W$4,0)&lt;$E202),0,MIN($H202,MAX(0,MIN(EOMONTH(W$4,0),$P202)-MAX(W$4,$E202)+1)*$J202))</f>
        <v/>
      </c>
      <c r="X202" s="170">
        <f>IF(OR($B202="",X$4&gt;$P202,EOMONTH(X$4,0)&lt;$E202),0,MIN($H202,MAX(0,MIN(EOMONTH(X$4,0),$P202)-MAX(X$4,$E202)+1)*$J202))</f>
        <v/>
      </c>
      <c r="Y202" s="170">
        <f>IF(OR($B202="",Y$4&gt;$P202,EOMONTH(Y$4,0)&lt;$E202),0,MIN($H202,MAX(0,MIN(EOMONTH(Y$4,0),$P202)-MAX(Y$4,$E202)+1)*$J202))</f>
        <v/>
      </c>
      <c r="Z202" s="170">
        <f>IF(OR($B202="",Z$4&gt;$P202,EOMONTH(Z$4,0)&lt;$E202),0,MIN($H202,MAX(0,MIN(EOMONTH(Z$4,0),$P202)-MAX(Z$4,$E202)+1)*$J202))</f>
        <v/>
      </c>
      <c r="AA202" s="170">
        <f>IF(OR($B202="",AA$4&gt;$P202,EOMONTH(AA$4,0)&lt;$E202),0,MIN($H202,MAX(0,MIN(EOMONTH(AA$4,0),$P202)-MAX(AA$4,$E202)+1)*$J202))</f>
        <v/>
      </c>
      <c r="AB202" s="170">
        <f>IF(OR($B202="",AB$4&gt;$P202,EOMONTH(AB$4,0)&lt;$E202),0,MIN($H202,MAX(0,MIN(EOMONTH(AB$4,0),$P202)-MAX(AB$4,$E202)+1)*$J202))</f>
        <v/>
      </c>
      <c r="AC202" s="170">
        <f>IF(OR($B202="",AC$4&gt;$P202,EOMONTH(AC$4,0)&lt;$E202),0,MIN($H202,MAX(0,MIN(EOMONTH(AC$4,0),$P202)-MAX(AC$4,$E202)+1)*$J202))</f>
        <v/>
      </c>
      <c r="AD202" s="170">
        <f>IF(B202="","",ROUND(SUM(R202:AC202),0))</f>
        <v/>
      </c>
      <c r="AE202" s="170">
        <f>IF(B202="","",MIN(H202,ROUND(Q202+SUM(R202:AC202),0)))</f>
        <v/>
      </c>
      <c r="AF202" s="170">
        <f>IF(B202="","",MAX(H202-AE202,0))</f>
        <v/>
      </c>
      <c r="AG202" s="172">
        <f>IF(B202="","",IF('Thiết lập'!$B$4&lt;E202,"Chưa phân bổ",IF(P202&lt;='Thiết lập'!$B$4,"Đã phân bổ","Đang phân bổ")))</f>
        <v/>
      </c>
      <c r="AH202" s="166" t="n"/>
      <c r="AI202" s="174">
        <f>IF(B202="","",IF(AND(C202&lt;&gt;"",D202&lt;&gt;"",E202&lt;&gt;"",E202&gt;=D202,F202&gt;0,G202&gt;0,I202&gt;0,COUNTIF($B$7:$B$306,B202)=1),"OK",IF(C202="","Thiếu tên; ","")&amp;IF(D202="","Thiếu ngày tăng; ","")&amp;IF(E202="","Thiếu ngày bắt đầu; ","")&amp;IF(AND(D202&lt;&gt;"",E202&lt;&gt;"",E202&lt;D202),"Ngày bắt đầu &lt; ngày tăng; ","")&amp;IF(OR(F202="",F202&lt;=0),"Số lượng không hợp lệ; ","")&amp;IF(OR(G202="",G202&lt;=0),"Đơn giá không hợp lệ; ","")&amp;IF(OR(I202="",I202&lt;=0),"Số tháng không hợp lệ; ","")&amp;IF(COUNTIF($B$7:$B$306,B202)&gt;1,"Trùng mã CPTT; ","")))</f>
        <v/>
      </c>
    </row>
    <row r="203" ht="19.5" customHeight="1" s="98">
      <c r="A203" s="164">
        <f>IF(B203="","",ROW()-6)</f>
        <v/>
      </c>
      <c r="B203" s="165" t="n"/>
      <c r="C203" s="166" t="n"/>
      <c r="D203" s="167" t="n"/>
      <c r="E203" s="167" t="n"/>
      <c r="F203" s="168" t="n"/>
      <c r="G203" s="169" t="n"/>
      <c r="H203" s="170">
        <f>IF(OR(F203="",G203=""),"",F203*G203)</f>
        <v/>
      </c>
      <c r="I203" s="171" t="n"/>
      <c r="J203" s="170">
        <f>IF(OR(H203="",E203="",P203=""),"",H203/(P203-E203+1))</f>
        <v/>
      </c>
      <c r="K203" s="165" t="n"/>
      <c r="L203" s="172">
        <f>IF(B203="","",IF(AF203&lt;=0,"Đã phân bổ",IF(P203&lt;=EDATE('Thiết lập'!$B$4,12),"Ngắn hạn","Dài hạn")))</f>
        <v/>
      </c>
      <c r="M203" s="165" t="n"/>
      <c r="N203" s="165" t="n"/>
      <c r="O203" s="165" t="n"/>
      <c r="P203" s="173">
        <f>IF(OR(E203="",I203=""),"",EDATE(E203,I203)-1)</f>
        <v/>
      </c>
      <c r="Q203" s="170">
        <f>IF(OR(B203="",E203="",P203=""),0,MIN(H203,MAX(0,MIN(P203,DATE('Thiết lập'!$B$3-1,12,31))-E203+1)*J203))</f>
        <v/>
      </c>
      <c r="R203" s="170">
        <f>IF(OR($B203="",R$4&gt;$P203,EOMONTH(R$4,0)&lt;$E203),0,MIN($H203,MAX(0,MIN(EOMONTH(R$4,0),$P203)-MAX(R$4,$E203)+1)*$J203))</f>
        <v/>
      </c>
      <c r="S203" s="170">
        <f>IF(OR($B203="",S$4&gt;$P203,EOMONTH(S$4,0)&lt;$E203),0,MIN($H203,MAX(0,MIN(EOMONTH(S$4,0),$P203)-MAX(S$4,$E203)+1)*$J203))</f>
        <v/>
      </c>
      <c r="T203" s="170">
        <f>IF(OR($B203="",T$4&gt;$P203,EOMONTH(T$4,0)&lt;$E203),0,MIN($H203,MAX(0,MIN(EOMONTH(T$4,0),$P203)-MAX(T$4,$E203)+1)*$J203))</f>
        <v/>
      </c>
      <c r="U203" s="170">
        <f>IF(OR($B203="",U$4&gt;$P203,EOMONTH(U$4,0)&lt;$E203),0,MIN($H203,MAX(0,MIN(EOMONTH(U$4,0),$P203)-MAX(U$4,$E203)+1)*$J203))</f>
        <v/>
      </c>
      <c r="V203" s="170">
        <f>IF(OR($B203="",V$4&gt;$P203,EOMONTH(V$4,0)&lt;$E203),0,MIN($H203,MAX(0,MIN(EOMONTH(V$4,0),$P203)-MAX(V$4,$E203)+1)*$J203))</f>
        <v/>
      </c>
      <c r="W203" s="170">
        <f>IF(OR($B203="",W$4&gt;$P203,EOMONTH(W$4,0)&lt;$E203),0,MIN($H203,MAX(0,MIN(EOMONTH(W$4,0),$P203)-MAX(W$4,$E203)+1)*$J203))</f>
        <v/>
      </c>
      <c r="X203" s="170">
        <f>IF(OR($B203="",X$4&gt;$P203,EOMONTH(X$4,0)&lt;$E203),0,MIN($H203,MAX(0,MIN(EOMONTH(X$4,0),$P203)-MAX(X$4,$E203)+1)*$J203))</f>
        <v/>
      </c>
      <c r="Y203" s="170">
        <f>IF(OR($B203="",Y$4&gt;$P203,EOMONTH(Y$4,0)&lt;$E203),0,MIN($H203,MAX(0,MIN(EOMONTH(Y$4,0),$P203)-MAX(Y$4,$E203)+1)*$J203))</f>
        <v/>
      </c>
      <c r="Z203" s="170">
        <f>IF(OR($B203="",Z$4&gt;$P203,EOMONTH(Z$4,0)&lt;$E203),0,MIN($H203,MAX(0,MIN(EOMONTH(Z$4,0),$P203)-MAX(Z$4,$E203)+1)*$J203))</f>
        <v/>
      </c>
      <c r="AA203" s="170">
        <f>IF(OR($B203="",AA$4&gt;$P203,EOMONTH(AA$4,0)&lt;$E203),0,MIN($H203,MAX(0,MIN(EOMONTH(AA$4,0),$P203)-MAX(AA$4,$E203)+1)*$J203))</f>
        <v/>
      </c>
      <c r="AB203" s="170">
        <f>IF(OR($B203="",AB$4&gt;$P203,EOMONTH(AB$4,0)&lt;$E203),0,MIN($H203,MAX(0,MIN(EOMONTH(AB$4,0),$P203)-MAX(AB$4,$E203)+1)*$J203))</f>
        <v/>
      </c>
      <c r="AC203" s="170">
        <f>IF(OR($B203="",AC$4&gt;$P203,EOMONTH(AC$4,0)&lt;$E203),0,MIN($H203,MAX(0,MIN(EOMONTH(AC$4,0),$P203)-MAX(AC$4,$E203)+1)*$J203))</f>
        <v/>
      </c>
      <c r="AD203" s="170">
        <f>IF(B203="","",ROUND(SUM(R203:AC203),0))</f>
        <v/>
      </c>
      <c r="AE203" s="170">
        <f>IF(B203="","",MIN(H203,ROUND(Q203+SUM(R203:AC203),0)))</f>
        <v/>
      </c>
      <c r="AF203" s="170">
        <f>IF(B203="","",MAX(H203-AE203,0))</f>
        <v/>
      </c>
      <c r="AG203" s="172">
        <f>IF(B203="","",IF('Thiết lập'!$B$4&lt;E203,"Chưa phân bổ",IF(P203&lt;='Thiết lập'!$B$4,"Đã phân bổ","Đang phân bổ")))</f>
        <v/>
      </c>
      <c r="AH203" s="166" t="n"/>
      <c r="AI203" s="174">
        <f>IF(B203="","",IF(AND(C203&lt;&gt;"",D203&lt;&gt;"",E203&lt;&gt;"",E203&gt;=D203,F203&gt;0,G203&gt;0,I203&gt;0,COUNTIF($B$7:$B$306,B203)=1),"OK",IF(C203="","Thiếu tên; ","")&amp;IF(D203="","Thiếu ngày tăng; ","")&amp;IF(E203="","Thiếu ngày bắt đầu; ","")&amp;IF(AND(D203&lt;&gt;"",E203&lt;&gt;"",E203&lt;D203),"Ngày bắt đầu &lt; ngày tăng; ","")&amp;IF(OR(F203="",F203&lt;=0),"Số lượng không hợp lệ; ","")&amp;IF(OR(G203="",G203&lt;=0),"Đơn giá không hợp lệ; ","")&amp;IF(OR(I203="",I203&lt;=0),"Số tháng không hợp lệ; ","")&amp;IF(COUNTIF($B$7:$B$306,B203)&gt;1,"Trùng mã CPTT; ","")))</f>
        <v/>
      </c>
    </row>
    <row r="204" ht="19.5" customHeight="1" s="98">
      <c r="A204" s="164">
        <f>IF(B204="","",ROW()-6)</f>
        <v/>
      </c>
      <c r="B204" s="165" t="n"/>
      <c r="C204" s="166" t="n"/>
      <c r="D204" s="167" t="n"/>
      <c r="E204" s="167" t="n"/>
      <c r="F204" s="168" t="n"/>
      <c r="G204" s="169" t="n"/>
      <c r="H204" s="170">
        <f>IF(OR(F204="",G204=""),"",F204*G204)</f>
        <v/>
      </c>
      <c r="I204" s="171" t="n"/>
      <c r="J204" s="170">
        <f>IF(OR(H204="",E204="",P204=""),"",H204/(P204-E204+1))</f>
        <v/>
      </c>
      <c r="K204" s="165" t="n"/>
      <c r="L204" s="172">
        <f>IF(B204="","",IF(AF204&lt;=0,"Đã phân bổ",IF(P204&lt;=EDATE('Thiết lập'!$B$4,12),"Ngắn hạn","Dài hạn")))</f>
        <v/>
      </c>
      <c r="M204" s="165" t="n"/>
      <c r="N204" s="165" t="n"/>
      <c r="O204" s="165" t="n"/>
      <c r="P204" s="173">
        <f>IF(OR(E204="",I204=""),"",EDATE(E204,I204)-1)</f>
        <v/>
      </c>
      <c r="Q204" s="170">
        <f>IF(OR(B204="",E204="",P204=""),0,MIN(H204,MAX(0,MIN(P204,DATE('Thiết lập'!$B$3-1,12,31))-E204+1)*J204))</f>
        <v/>
      </c>
      <c r="R204" s="170">
        <f>IF(OR($B204="",R$4&gt;$P204,EOMONTH(R$4,0)&lt;$E204),0,MIN($H204,MAX(0,MIN(EOMONTH(R$4,0),$P204)-MAX(R$4,$E204)+1)*$J204))</f>
        <v/>
      </c>
      <c r="S204" s="170">
        <f>IF(OR($B204="",S$4&gt;$P204,EOMONTH(S$4,0)&lt;$E204),0,MIN($H204,MAX(0,MIN(EOMONTH(S$4,0),$P204)-MAX(S$4,$E204)+1)*$J204))</f>
        <v/>
      </c>
      <c r="T204" s="170">
        <f>IF(OR($B204="",T$4&gt;$P204,EOMONTH(T$4,0)&lt;$E204),0,MIN($H204,MAX(0,MIN(EOMONTH(T$4,0),$P204)-MAX(T$4,$E204)+1)*$J204))</f>
        <v/>
      </c>
      <c r="U204" s="170">
        <f>IF(OR($B204="",U$4&gt;$P204,EOMONTH(U$4,0)&lt;$E204),0,MIN($H204,MAX(0,MIN(EOMONTH(U$4,0),$P204)-MAX(U$4,$E204)+1)*$J204))</f>
        <v/>
      </c>
      <c r="V204" s="170">
        <f>IF(OR($B204="",V$4&gt;$P204,EOMONTH(V$4,0)&lt;$E204),0,MIN($H204,MAX(0,MIN(EOMONTH(V$4,0),$P204)-MAX(V$4,$E204)+1)*$J204))</f>
        <v/>
      </c>
      <c r="W204" s="170">
        <f>IF(OR($B204="",W$4&gt;$P204,EOMONTH(W$4,0)&lt;$E204),0,MIN($H204,MAX(0,MIN(EOMONTH(W$4,0),$P204)-MAX(W$4,$E204)+1)*$J204))</f>
        <v/>
      </c>
      <c r="X204" s="170">
        <f>IF(OR($B204="",X$4&gt;$P204,EOMONTH(X$4,0)&lt;$E204),0,MIN($H204,MAX(0,MIN(EOMONTH(X$4,0),$P204)-MAX(X$4,$E204)+1)*$J204))</f>
        <v/>
      </c>
      <c r="Y204" s="170">
        <f>IF(OR($B204="",Y$4&gt;$P204,EOMONTH(Y$4,0)&lt;$E204),0,MIN($H204,MAX(0,MIN(EOMONTH(Y$4,0),$P204)-MAX(Y$4,$E204)+1)*$J204))</f>
        <v/>
      </c>
      <c r="Z204" s="170">
        <f>IF(OR($B204="",Z$4&gt;$P204,EOMONTH(Z$4,0)&lt;$E204),0,MIN($H204,MAX(0,MIN(EOMONTH(Z$4,0),$P204)-MAX(Z$4,$E204)+1)*$J204))</f>
        <v/>
      </c>
      <c r="AA204" s="170">
        <f>IF(OR($B204="",AA$4&gt;$P204,EOMONTH(AA$4,0)&lt;$E204),0,MIN($H204,MAX(0,MIN(EOMONTH(AA$4,0),$P204)-MAX(AA$4,$E204)+1)*$J204))</f>
        <v/>
      </c>
      <c r="AB204" s="170">
        <f>IF(OR($B204="",AB$4&gt;$P204,EOMONTH(AB$4,0)&lt;$E204),0,MIN($H204,MAX(0,MIN(EOMONTH(AB$4,0),$P204)-MAX(AB$4,$E204)+1)*$J204))</f>
        <v/>
      </c>
      <c r="AC204" s="170">
        <f>IF(OR($B204="",AC$4&gt;$P204,EOMONTH(AC$4,0)&lt;$E204),0,MIN($H204,MAX(0,MIN(EOMONTH(AC$4,0),$P204)-MAX(AC$4,$E204)+1)*$J204))</f>
        <v/>
      </c>
      <c r="AD204" s="170">
        <f>IF(B204="","",ROUND(SUM(R204:AC204),0))</f>
        <v/>
      </c>
      <c r="AE204" s="170">
        <f>IF(B204="","",MIN(H204,ROUND(Q204+SUM(R204:AC204),0)))</f>
        <v/>
      </c>
      <c r="AF204" s="170">
        <f>IF(B204="","",MAX(H204-AE204,0))</f>
        <v/>
      </c>
      <c r="AG204" s="172">
        <f>IF(B204="","",IF('Thiết lập'!$B$4&lt;E204,"Chưa phân bổ",IF(P204&lt;='Thiết lập'!$B$4,"Đã phân bổ","Đang phân bổ")))</f>
        <v/>
      </c>
      <c r="AH204" s="166" t="n"/>
      <c r="AI204" s="174">
        <f>IF(B204="","",IF(AND(C204&lt;&gt;"",D204&lt;&gt;"",E204&lt;&gt;"",E204&gt;=D204,F204&gt;0,G204&gt;0,I204&gt;0,COUNTIF($B$7:$B$306,B204)=1),"OK",IF(C204="","Thiếu tên; ","")&amp;IF(D204="","Thiếu ngày tăng; ","")&amp;IF(E204="","Thiếu ngày bắt đầu; ","")&amp;IF(AND(D204&lt;&gt;"",E204&lt;&gt;"",E204&lt;D204),"Ngày bắt đầu &lt; ngày tăng; ","")&amp;IF(OR(F204="",F204&lt;=0),"Số lượng không hợp lệ; ","")&amp;IF(OR(G204="",G204&lt;=0),"Đơn giá không hợp lệ; ","")&amp;IF(OR(I204="",I204&lt;=0),"Số tháng không hợp lệ; ","")&amp;IF(COUNTIF($B$7:$B$306,B204)&gt;1,"Trùng mã CPTT; ","")))</f>
        <v/>
      </c>
    </row>
    <row r="205" ht="19.5" customHeight="1" s="98">
      <c r="A205" s="164">
        <f>IF(B205="","",ROW()-6)</f>
        <v/>
      </c>
      <c r="B205" s="165" t="n"/>
      <c r="C205" s="166" t="n"/>
      <c r="D205" s="167" t="n"/>
      <c r="E205" s="167" t="n"/>
      <c r="F205" s="168" t="n"/>
      <c r="G205" s="169" t="n"/>
      <c r="H205" s="170">
        <f>IF(OR(F205="",G205=""),"",F205*G205)</f>
        <v/>
      </c>
      <c r="I205" s="171" t="n"/>
      <c r="J205" s="170">
        <f>IF(OR(H205="",E205="",P205=""),"",H205/(P205-E205+1))</f>
        <v/>
      </c>
      <c r="K205" s="165" t="n"/>
      <c r="L205" s="172">
        <f>IF(B205="","",IF(AF205&lt;=0,"Đã phân bổ",IF(P205&lt;=EDATE('Thiết lập'!$B$4,12),"Ngắn hạn","Dài hạn")))</f>
        <v/>
      </c>
      <c r="M205" s="165" t="n"/>
      <c r="N205" s="165" t="n"/>
      <c r="O205" s="165" t="n"/>
      <c r="P205" s="173">
        <f>IF(OR(E205="",I205=""),"",EDATE(E205,I205)-1)</f>
        <v/>
      </c>
      <c r="Q205" s="170">
        <f>IF(OR(B205="",E205="",P205=""),0,MIN(H205,MAX(0,MIN(P205,DATE('Thiết lập'!$B$3-1,12,31))-E205+1)*J205))</f>
        <v/>
      </c>
      <c r="R205" s="170">
        <f>IF(OR($B205="",R$4&gt;$P205,EOMONTH(R$4,0)&lt;$E205),0,MIN($H205,MAX(0,MIN(EOMONTH(R$4,0),$P205)-MAX(R$4,$E205)+1)*$J205))</f>
        <v/>
      </c>
      <c r="S205" s="170">
        <f>IF(OR($B205="",S$4&gt;$P205,EOMONTH(S$4,0)&lt;$E205),0,MIN($H205,MAX(0,MIN(EOMONTH(S$4,0),$P205)-MAX(S$4,$E205)+1)*$J205))</f>
        <v/>
      </c>
      <c r="T205" s="170">
        <f>IF(OR($B205="",T$4&gt;$P205,EOMONTH(T$4,0)&lt;$E205),0,MIN($H205,MAX(0,MIN(EOMONTH(T$4,0),$P205)-MAX(T$4,$E205)+1)*$J205))</f>
        <v/>
      </c>
      <c r="U205" s="170">
        <f>IF(OR($B205="",U$4&gt;$P205,EOMONTH(U$4,0)&lt;$E205),0,MIN($H205,MAX(0,MIN(EOMONTH(U$4,0),$P205)-MAX(U$4,$E205)+1)*$J205))</f>
        <v/>
      </c>
      <c r="V205" s="170">
        <f>IF(OR($B205="",V$4&gt;$P205,EOMONTH(V$4,0)&lt;$E205),0,MIN($H205,MAX(0,MIN(EOMONTH(V$4,0),$P205)-MAX(V$4,$E205)+1)*$J205))</f>
        <v/>
      </c>
      <c r="W205" s="170">
        <f>IF(OR($B205="",W$4&gt;$P205,EOMONTH(W$4,0)&lt;$E205),0,MIN($H205,MAX(0,MIN(EOMONTH(W$4,0),$P205)-MAX(W$4,$E205)+1)*$J205))</f>
        <v/>
      </c>
      <c r="X205" s="170">
        <f>IF(OR($B205="",X$4&gt;$P205,EOMONTH(X$4,0)&lt;$E205),0,MIN($H205,MAX(0,MIN(EOMONTH(X$4,0),$P205)-MAX(X$4,$E205)+1)*$J205))</f>
        <v/>
      </c>
      <c r="Y205" s="170">
        <f>IF(OR($B205="",Y$4&gt;$P205,EOMONTH(Y$4,0)&lt;$E205),0,MIN($H205,MAX(0,MIN(EOMONTH(Y$4,0),$P205)-MAX(Y$4,$E205)+1)*$J205))</f>
        <v/>
      </c>
      <c r="Z205" s="170">
        <f>IF(OR($B205="",Z$4&gt;$P205,EOMONTH(Z$4,0)&lt;$E205),0,MIN($H205,MAX(0,MIN(EOMONTH(Z$4,0),$P205)-MAX(Z$4,$E205)+1)*$J205))</f>
        <v/>
      </c>
      <c r="AA205" s="170">
        <f>IF(OR($B205="",AA$4&gt;$P205,EOMONTH(AA$4,0)&lt;$E205),0,MIN($H205,MAX(0,MIN(EOMONTH(AA$4,0),$P205)-MAX(AA$4,$E205)+1)*$J205))</f>
        <v/>
      </c>
      <c r="AB205" s="170">
        <f>IF(OR($B205="",AB$4&gt;$P205,EOMONTH(AB$4,0)&lt;$E205),0,MIN($H205,MAX(0,MIN(EOMONTH(AB$4,0),$P205)-MAX(AB$4,$E205)+1)*$J205))</f>
        <v/>
      </c>
      <c r="AC205" s="170">
        <f>IF(OR($B205="",AC$4&gt;$P205,EOMONTH(AC$4,0)&lt;$E205),0,MIN($H205,MAX(0,MIN(EOMONTH(AC$4,0),$P205)-MAX(AC$4,$E205)+1)*$J205))</f>
        <v/>
      </c>
      <c r="AD205" s="170">
        <f>IF(B205="","",ROUND(SUM(R205:AC205),0))</f>
        <v/>
      </c>
      <c r="AE205" s="170">
        <f>IF(B205="","",MIN(H205,ROUND(Q205+SUM(R205:AC205),0)))</f>
        <v/>
      </c>
      <c r="AF205" s="170">
        <f>IF(B205="","",MAX(H205-AE205,0))</f>
        <v/>
      </c>
      <c r="AG205" s="172">
        <f>IF(B205="","",IF('Thiết lập'!$B$4&lt;E205,"Chưa phân bổ",IF(P205&lt;='Thiết lập'!$B$4,"Đã phân bổ","Đang phân bổ")))</f>
        <v/>
      </c>
      <c r="AH205" s="166" t="n"/>
      <c r="AI205" s="174">
        <f>IF(B205="","",IF(AND(C205&lt;&gt;"",D205&lt;&gt;"",E205&lt;&gt;"",E205&gt;=D205,F205&gt;0,G205&gt;0,I205&gt;0,COUNTIF($B$7:$B$306,B205)=1),"OK",IF(C205="","Thiếu tên; ","")&amp;IF(D205="","Thiếu ngày tăng; ","")&amp;IF(E205="","Thiếu ngày bắt đầu; ","")&amp;IF(AND(D205&lt;&gt;"",E205&lt;&gt;"",E205&lt;D205),"Ngày bắt đầu &lt; ngày tăng; ","")&amp;IF(OR(F205="",F205&lt;=0),"Số lượng không hợp lệ; ","")&amp;IF(OR(G205="",G205&lt;=0),"Đơn giá không hợp lệ; ","")&amp;IF(OR(I205="",I205&lt;=0),"Số tháng không hợp lệ; ","")&amp;IF(COUNTIF($B$7:$B$306,B205)&gt;1,"Trùng mã CPTT; ","")))</f>
        <v/>
      </c>
    </row>
    <row r="206" ht="19.5" customHeight="1" s="98">
      <c r="A206" s="164">
        <f>IF(B206="","",ROW()-6)</f>
        <v/>
      </c>
      <c r="B206" s="165" t="n"/>
      <c r="C206" s="166" t="n"/>
      <c r="D206" s="167" t="n"/>
      <c r="E206" s="167" t="n"/>
      <c r="F206" s="168" t="n"/>
      <c r="G206" s="169" t="n"/>
      <c r="H206" s="170">
        <f>IF(OR(F206="",G206=""),"",F206*G206)</f>
        <v/>
      </c>
      <c r="I206" s="171" t="n"/>
      <c r="J206" s="170">
        <f>IF(OR(H206="",E206="",P206=""),"",H206/(P206-E206+1))</f>
        <v/>
      </c>
      <c r="K206" s="165" t="n"/>
      <c r="L206" s="172">
        <f>IF(B206="","",IF(AF206&lt;=0,"Đã phân bổ",IF(P206&lt;=EDATE('Thiết lập'!$B$4,12),"Ngắn hạn","Dài hạn")))</f>
        <v/>
      </c>
      <c r="M206" s="165" t="n"/>
      <c r="N206" s="165" t="n"/>
      <c r="O206" s="165" t="n"/>
      <c r="P206" s="173">
        <f>IF(OR(E206="",I206=""),"",EDATE(E206,I206)-1)</f>
        <v/>
      </c>
      <c r="Q206" s="170">
        <f>IF(OR(B206="",E206="",P206=""),0,MIN(H206,MAX(0,MIN(P206,DATE('Thiết lập'!$B$3-1,12,31))-E206+1)*J206))</f>
        <v/>
      </c>
      <c r="R206" s="170">
        <f>IF(OR($B206="",R$4&gt;$P206,EOMONTH(R$4,0)&lt;$E206),0,MIN($H206,MAX(0,MIN(EOMONTH(R$4,0),$P206)-MAX(R$4,$E206)+1)*$J206))</f>
        <v/>
      </c>
      <c r="S206" s="170">
        <f>IF(OR($B206="",S$4&gt;$P206,EOMONTH(S$4,0)&lt;$E206),0,MIN($H206,MAX(0,MIN(EOMONTH(S$4,0),$P206)-MAX(S$4,$E206)+1)*$J206))</f>
        <v/>
      </c>
      <c r="T206" s="170">
        <f>IF(OR($B206="",T$4&gt;$P206,EOMONTH(T$4,0)&lt;$E206),0,MIN($H206,MAX(0,MIN(EOMONTH(T$4,0),$P206)-MAX(T$4,$E206)+1)*$J206))</f>
        <v/>
      </c>
      <c r="U206" s="170">
        <f>IF(OR($B206="",U$4&gt;$P206,EOMONTH(U$4,0)&lt;$E206),0,MIN($H206,MAX(0,MIN(EOMONTH(U$4,0),$P206)-MAX(U$4,$E206)+1)*$J206))</f>
        <v/>
      </c>
      <c r="V206" s="170">
        <f>IF(OR($B206="",V$4&gt;$P206,EOMONTH(V$4,0)&lt;$E206),0,MIN($H206,MAX(0,MIN(EOMONTH(V$4,0),$P206)-MAX(V$4,$E206)+1)*$J206))</f>
        <v/>
      </c>
      <c r="W206" s="170">
        <f>IF(OR($B206="",W$4&gt;$P206,EOMONTH(W$4,0)&lt;$E206),0,MIN($H206,MAX(0,MIN(EOMONTH(W$4,0),$P206)-MAX(W$4,$E206)+1)*$J206))</f>
        <v/>
      </c>
      <c r="X206" s="170">
        <f>IF(OR($B206="",X$4&gt;$P206,EOMONTH(X$4,0)&lt;$E206),0,MIN($H206,MAX(0,MIN(EOMONTH(X$4,0),$P206)-MAX(X$4,$E206)+1)*$J206))</f>
        <v/>
      </c>
      <c r="Y206" s="170">
        <f>IF(OR($B206="",Y$4&gt;$P206,EOMONTH(Y$4,0)&lt;$E206),0,MIN($H206,MAX(0,MIN(EOMONTH(Y$4,0),$P206)-MAX(Y$4,$E206)+1)*$J206))</f>
        <v/>
      </c>
      <c r="Z206" s="170">
        <f>IF(OR($B206="",Z$4&gt;$P206,EOMONTH(Z$4,0)&lt;$E206),0,MIN($H206,MAX(0,MIN(EOMONTH(Z$4,0),$P206)-MAX(Z$4,$E206)+1)*$J206))</f>
        <v/>
      </c>
      <c r="AA206" s="170">
        <f>IF(OR($B206="",AA$4&gt;$P206,EOMONTH(AA$4,0)&lt;$E206),0,MIN($H206,MAX(0,MIN(EOMONTH(AA$4,0),$P206)-MAX(AA$4,$E206)+1)*$J206))</f>
        <v/>
      </c>
      <c r="AB206" s="170">
        <f>IF(OR($B206="",AB$4&gt;$P206,EOMONTH(AB$4,0)&lt;$E206),0,MIN($H206,MAX(0,MIN(EOMONTH(AB$4,0),$P206)-MAX(AB$4,$E206)+1)*$J206))</f>
        <v/>
      </c>
      <c r="AC206" s="170">
        <f>IF(OR($B206="",AC$4&gt;$P206,EOMONTH(AC$4,0)&lt;$E206),0,MIN($H206,MAX(0,MIN(EOMONTH(AC$4,0),$P206)-MAX(AC$4,$E206)+1)*$J206))</f>
        <v/>
      </c>
      <c r="AD206" s="170">
        <f>IF(B206="","",ROUND(SUM(R206:AC206),0))</f>
        <v/>
      </c>
      <c r="AE206" s="170">
        <f>IF(B206="","",MIN(H206,ROUND(Q206+SUM(R206:AC206),0)))</f>
        <v/>
      </c>
      <c r="AF206" s="170">
        <f>IF(B206="","",MAX(H206-AE206,0))</f>
        <v/>
      </c>
      <c r="AG206" s="172">
        <f>IF(B206="","",IF('Thiết lập'!$B$4&lt;E206,"Chưa phân bổ",IF(P206&lt;='Thiết lập'!$B$4,"Đã phân bổ","Đang phân bổ")))</f>
        <v/>
      </c>
      <c r="AH206" s="166" t="n"/>
      <c r="AI206" s="174">
        <f>IF(B206="","",IF(AND(C206&lt;&gt;"",D206&lt;&gt;"",E206&lt;&gt;"",E206&gt;=D206,F206&gt;0,G206&gt;0,I206&gt;0,COUNTIF($B$7:$B$306,B206)=1),"OK",IF(C206="","Thiếu tên; ","")&amp;IF(D206="","Thiếu ngày tăng; ","")&amp;IF(E206="","Thiếu ngày bắt đầu; ","")&amp;IF(AND(D206&lt;&gt;"",E206&lt;&gt;"",E206&lt;D206),"Ngày bắt đầu &lt; ngày tăng; ","")&amp;IF(OR(F206="",F206&lt;=0),"Số lượng không hợp lệ; ","")&amp;IF(OR(G206="",G206&lt;=0),"Đơn giá không hợp lệ; ","")&amp;IF(OR(I206="",I206&lt;=0),"Số tháng không hợp lệ; ","")&amp;IF(COUNTIF($B$7:$B$306,B206)&gt;1,"Trùng mã CPTT; ","")))</f>
        <v/>
      </c>
    </row>
    <row r="207" ht="19.5" customHeight="1" s="98">
      <c r="A207" s="164">
        <f>IF(B207="","",ROW()-6)</f>
        <v/>
      </c>
      <c r="B207" s="165" t="n"/>
      <c r="C207" s="166" t="n"/>
      <c r="D207" s="167" t="n"/>
      <c r="E207" s="167" t="n"/>
      <c r="F207" s="168" t="n"/>
      <c r="G207" s="169" t="n"/>
      <c r="H207" s="170">
        <f>IF(OR(F207="",G207=""),"",F207*G207)</f>
        <v/>
      </c>
      <c r="I207" s="171" t="n"/>
      <c r="J207" s="170">
        <f>IF(OR(H207="",E207="",P207=""),"",H207/(P207-E207+1))</f>
        <v/>
      </c>
      <c r="K207" s="165" t="n"/>
      <c r="L207" s="172">
        <f>IF(B207="","",IF(AF207&lt;=0,"Đã phân bổ",IF(P207&lt;=EDATE('Thiết lập'!$B$4,12),"Ngắn hạn","Dài hạn")))</f>
        <v/>
      </c>
      <c r="M207" s="165" t="n"/>
      <c r="N207" s="165" t="n"/>
      <c r="O207" s="165" t="n"/>
      <c r="P207" s="173">
        <f>IF(OR(E207="",I207=""),"",EDATE(E207,I207)-1)</f>
        <v/>
      </c>
      <c r="Q207" s="170">
        <f>IF(OR(B207="",E207="",P207=""),0,MIN(H207,MAX(0,MIN(P207,DATE('Thiết lập'!$B$3-1,12,31))-E207+1)*J207))</f>
        <v/>
      </c>
      <c r="R207" s="170">
        <f>IF(OR($B207="",R$4&gt;$P207,EOMONTH(R$4,0)&lt;$E207),0,MIN($H207,MAX(0,MIN(EOMONTH(R$4,0),$P207)-MAX(R$4,$E207)+1)*$J207))</f>
        <v/>
      </c>
      <c r="S207" s="170">
        <f>IF(OR($B207="",S$4&gt;$P207,EOMONTH(S$4,0)&lt;$E207),0,MIN($H207,MAX(0,MIN(EOMONTH(S$4,0),$P207)-MAX(S$4,$E207)+1)*$J207))</f>
        <v/>
      </c>
      <c r="T207" s="170">
        <f>IF(OR($B207="",T$4&gt;$P207,EOMONTH(T$4,0)&lt;$E207),0,MIN($H207,MAX(0,MIN(EOMONTH(T$4,0),$P207)-MAX(T$4,$E207)+1)*$J207))</f>
        <v/>
      </c>
      <c r="U207" s="170">
        <f>IF(OR($B207="",U$4&gt;$P207,EOMONTH(U$4,0)&lt;$E207),0,MIN($H207,MAX(0,MIN(EOMONTH(U$4,0),$P207)-MAX(U$4,$E207)+1)*$J207))</f>
        <v/>
      </c>
      <c r="V207" s="170">
        <f>IF(OR($B207="",V$4&gt;$P207,EOMONTH(V$4,0)&lt;$E207),0,MIN($H207,MAX(0,MIN(EOMONTH(V$4,0),$P207)-MAX(V$4,$E207)+1)*$J207))</f>
        <v/>
      </c>
      <c r="W207" s="170">
        <f>IF(OR($B207="",W$4&gt;$P207,EOMONTH(W$4,0)&lt;$E207),0,MIN($H207,MAX(0,MIN(EOMONTH(W$4,0),$P207)-MAX(W$4,$E207)+1)*$J207))</f>
        <v/>
      </c>
      <c r="X207" s="170">
        <f>IF(OR($B207="",X$4&gt;$P207,EOMONTH(X$4,0)&lt;$E207),0,MIN($H207,MAX(0,MIN(EOMONTH(X$4,0),$P207)-MAX(X$4,$E207)+1)*$J207))</f>
        <v/>
      </c>
      <c r="Y207" s="170">
        <f>IF(OR($B207="",Y$4&gt;$P207,EOMONTH(Y$4,0)&lt;$E207),0,MIN($H207,MAX(0,MIN(EOMONTH(Y$4,0),$P207)-MAX(Y$4,$E207)+1)*$J207))</f>
        <v/>
      </c>
      <c r="Z207" s="170">
        <f>IF(OR($B207="",Z$4&gt;$P207,EOMONTH(Z$4,0)&lt;$E207),0,MIN($H207,MAX(0,MIN(EOMONTH(Z$4,0),$P207)-MAX(Z$4,$E207)+1)*$J207))</f>
        <v/>
      </c>
      <c r="AA207" s="170">
        <f>IF(OR($B207="",AA$4&gt;$P207,EOMONTH(AA$4,0)&lt;$E207),0,MIN($H207,MAX(0,MIN(EOMONTH(AA$4,0),$P207)-MAX(AA$4,$E207)+1)*$J207))</f>
        <v/>
      </c>
      <c r="AB207" s="170">
        <f>IF(OR($B207="",AB$4&gt;$P207,EOMONTH(AB$4,0)&lt;$E207),0,MIN($H207,MAX(0,MIN(EOMONTH(AB$4,0),$P207)-MAX(AB$4,$E207)+1)*$J207))</f>
        <v/>
      </c>
      <c r="AC207" s="170">
        <f>IF(OR($B207="",AC$4&gt;$P207,EOMONTH(AC$4,0)&lt;$E207),0,MIN($H207,MAX(0,MIN(EOMONTH(AC$4,0),$P207)-MAX(AC$4,$E207)+1)*$J207))</f>
        <v/>
      </c>
      <c r="AD207" s="170">
        <f>IF(B207="","",ROUND(SUM(R207:AC207),0))</f>
        <v/>
      </c>
      <c r="AE207" s="170">
        <f>IF(B207="","",MIN(H207,ROUND(Q207+SUM(R207:AC207),0)))</f>
        <v/>
      </c>
      <c r="AF207" s="170">
        <f>IF(B207="","",MAX(H207-AE207,0))</f>
        <v/>
      </c>
      <c r="AG207" s="172">
        <f>IF(B207="","",IF('Thiết lập'!$B$4&lt;E207,"Chưa phân bổ",IF(P207&lt;='Thiết lập'!$B$4,"Đã phân bổ","Đang phân bổ")))</f>
        <v/>
      </c>
      <c r="AH207" s="166" t="n"/>
      <c r="AI207" s="174">
        <f>IF(B207="","",IF(AND(C207&lt;&gt;"",D207&lt;&gt;"",E207&lt;&gt;"",E207&gt;=D207,F207&gt;0,G207&gt;0,I207&gt;0,COUNTIF($B$7:$B$306,B207)=1),"OK",IF(C207="","Thiếu tên; ","")&amp;IF(D207="","Thiếu ngày tăng; ","")&amp;IF(E207="","Thiếu ngày bắt đầu; ","")&amp;IF(AND(D207&lt;&gt;"",E207&lt;&gt;"",E207&lt;D207),"Ngày bắt đầu &lt; ngày tăng; ","")&amp;IF(OR(F207="",F207&lt;=0),"Số lượng không hợp lệ; ","")&amp;IF(OR(G207="",G207&lt;=0),"Đơn giá không hợp lệ; ","")&amp;IF(OR(I207="",I207&lt;=0),"Số tháng không hợp lệ; ","")&amp;IF(COUNTIF($B$7:$B$306,B207)&gt;1,"Trùng mã CPTT; ","")))</f>
        <v/>
      </c>
    </row>
    <row r="208" ht="19.5" customHeight="1" s="98">
      <c r="A208" s="164">
        <f>IF(B208="","",ROW()-6)</f>
        <v/>
      </c>
      <c r="B208" s="165" t="n"/>
      <c r="C208" s="166" t="n"/>
      <c r="D208" s="167" t="n"/>
      <c r="E208" s="167" t="n"/>
      <c r="F208" s="168" t="n"/>
      <c r="G208" s="169" t="n"/>
      <c r="H208" s="170">
        <f>IF(OR(F208="",G208=""),"",F208*G208)</f>
        <v/>
      </c>
      <c r="I208" s="171" t="n"/>
      <c r="J208" s="170">
        <f>IF(OR(H208="",E208="",P208=""),"",H208/(P208-E208+1))</f>
        <v/>
      </c>
      <c r="K208" s="165" t="n"/>
      <c r="L208" s="172">
        <f>IF(B208="","",IF(AF208&lt;=0,"Đã phân bổ",IF(P208&lt;=EDATE('Thiết lập'!$B$4,12),"Ngắn hạn","Dài hạn")))</f>
        <v/>
      </c>
      <c r="M208" s="165" t="n"/>
      <c r="N208" s="165" t="n"/>
      <c r="O208" s="165" t="n"/>
      <c r="P208" s="173">
        <f>IF(OR(E208="",I208=""),"",EDATE(E208,I208)-1)</f>
        <v/>
      </c>
      <c r="Q208" s="170">
        <f>IF(OR(B208="",E208="",P208=""),0,MIN(H208,MAX(0,MIN(P208,DATE('Thiết lập'!$B$3-1,12,31))-E208+1)*J208))</f>
        <v/>
      </c>
      <c r="R208" s="170">
        <f>IF(OR($B208="",R$4&gt;$P208,EOMONTH(R$4,0)&lt;$E208),0,MIN($H208,MAX(0,MIN(EOMONTH(R$4,0),$P208)-MAX(R$4,$E208)+1)*$J208))</f>
        <v/>
      </c>
      <c r="S208" s="170">
        <f>IF(OR($B208="",S$4&gt;$P208,EOMONTH(S$4,0)&lt;$E208),0,MIN($H208,MAX(0,MIN(EOMONTH(S$4,0),$P208)-MAX(S$4,$E208)+1)*$J208))</f>
        <v/>
      </c>
      <c r="T208" s="170">
        <f>IF(OR($B208="",T$4&gt;$P208,EOMONTH(T$4,0)&lt;$E208),0,MIN($H208,MAX(0,MIN(EOMONTH(T$4,0),$P208)-MAX(T$4,$E208)+1)*$J208))</f>
        <v/>
      </c>
      <c r="U208" s="170">
        <f>IF(OR($B208="",U$4&gt;$P208,EOMONTH(U$4,0)&lt;$E208),0,MIN($H208,MAX(0,MIN(EOMONTH(U$4,0),$P208)-MAX(U$4,$E208)+1)*$J208))</f>
        <v/>
      </c>
      <c r="V208" s="170">
        <f>IF(OR($B208="",V$4&gt;$P208,EOMONTH(V$4,0)&lt;$E208),0,MIN($H208,MAX(0,MIN(EOMONTH(V$4,0),$P208)-MAX(V$4,$E208)+1)*$J208))</f>
        <v/>
      </c>
      <c r="W208" s="170">
        <f>IF(OR($B208="",W$4&gt;$P208,EOMONTH(W$4,0)&lt;$E208),0,MIN($H208,MAX(0,MIN(EOMONTH(W$4,0),$P208)-MAX(W$4,$E208)+1)*$J208))</f>
        <v/>
      </c>
      <c r="X208" s="170">
        <f>IF(OR($B208="",X$4&gt;$P208,EOMONTH(X$4,0)&lt;$E208),0,MIN($H208,MAX(0,MIN(EOMONTH(X$4,0),$P208)-MAX(X$4,$E208)+1)*$J208))</f>
        <v/>
      </c>
      <c r="Y208" s="170">
        <f>IF(OR($B208="",Y$4&gt;$P208,EOMONTH(Y$4,0)&lt;$E208),0,MIN($H208,MAX(0,MIN(EOMONTH(Y$4,0),$P208)-MAX(Y$4,$E208)+1)*$J208))</f>
        <v/>
      </c>
      <c r="Z208" s="170">
        <f>IF(OR($B208="",Z$4&gt;$P208,EOMONTH(Z$4,0)&lt;$E208),0,MIN($H208,MAX(0,MIN(EOMONTH(Z$4,0),$P208)-MAX(Z$4,$E208)+1)*$J208))</f>
        <v/>
      </c>
      <c r="AA208" s="170">
        <f>IF(OR($B208="",AA$4&gt;$P208,EOMONTH(AA$4,0)&lt;$E208),0,MIN($H208,MAX(0,MIN(EOMONTH(AA$4,0),$P208)-MAX(AA$4,$E208)+1)*$J208))</f>
        <v/>
      </c>
      <c r="AB208" s="170">
        <f>IF(OR($B208="",AB$4&gt;$P208,EOMONTH(AB$4,0)&lt;$E208),0,MIN($H208,MAX(0,MIN(EOMONTH(AB$4,0),$P208)-MAX(AB$4,$E208)+1)*$J208))</f>
        <v/>
      </c>
      <c r="AC208" s="170">
        <f>IF(OR($B208="",AC$4&gt;$P208,EOMONTH(AC$4,0)&lt;$E208),0,MIN($H208,MAX(0,MIN(EOMONTH(AC$4,0),$P208)-MAX(AC$4,$E208)+1)*$J208))</f>
        <v/>
      </c>
      <c r="AD208" s="170">
        <f>IF(B208="","",ROUND(SUM(R208:AC208),0))</f>
        <v/>
      </c>
      <c r="AE208" s="170">
        <f>IF(B208="","",MIN(H208,ROUND(Q208+SUM(R208:AC208),0)))</f>
        <v/>
      </c>
      <c r="AF208" s="170">
        <f>IF(B208="","",MAX(H208-AE208,0))</f>
        <v/>
      </c>
      <c r="AG208" s="172">
        <f>IF(B208="","",IF('Thiết lập'!$B$4&lt;E208,"Chưa phân bổ",IF(P208&lt;='Thiết lập'!$B$4,"Đã phân bổ","Đang phân bổ")))</f>
        <v/>
      </c>
      <c r="AH208" s="166" t="n"/>
      <c r="AI208" s="174">
        <f>IF(B208="","",IF(AND(C208&lt;&gt;"",D208&lt;&gt;"",E208&lt;&gt;"",E208&gt;=D208,F208&gt;0,G208&gt;0,I208&gt;0,COUNTIF($B$7:$B$306,B208)=1),"OK",IF(C208="","Thiếu tên; ","")&amp;IF(D208="","Thiếu ngày tăng; ","")&amp;IF(E208="","Thiếu ngày bắt đầu; ","")&amp;IF(AND(D208&lt;&gt;"",E208&lt;&gt;"",E208&lt;D208),"Ngày bắt đầu &lt; ngày tăng; ","")&amp;IF(OR(F208="",F208&lt;=0),"Số lượng không hợp lệ; ","")&amp;IF(OR(G208="",G208&lt;=0),"Đơn giá không hợp lệ; ","")&amp;IF(OR(I208="",I208&lt;=0),"Số tháng không hợp lệ; ","")&amp;IF(COUNTIF($B$7:$B$306,B208)&gt;1,"Trùng mã CPTT; ","")))</f>
        <v/>
      </c>
    </row>
    <row r="209" ht="19.5" customHeight="1" s="98">
      <c r="A209" s="164">
        <f>IF(B209="","",ROW()-6)</f>
        <v/>
      </c>
      <c r="B209" s="165" t="n"/>
      <c r="C209" s="166" t="n"/>
      <c r="D209" s="167" t="n"/>
      <c r="E209" s="167" t="n"/>
      <c r="F209" s="168" t="n"/>
      <c r="G209" s="169" t="n"/>
      <c r="H209" s="170">
        <f>IF(OR(F209="",G209=""),"",F209*G209)</f>
        <v/>
      </c>
      <c r="I209" s="171" t="n"/>
      <c r="J209" s="170">
        <f>IF(OR(H209="",E209="",P209=""),"",H209/(P209-E209+1))</f>
        <v/>
      </c>
      <c r="K209" s="165" t="n"/>
      <c r="L209" s="172">
        <f>IF(B209="","",IF(AF209&lt;=0,"Đã phân bổ",IF(P209&lt;=EDATE('Thiết lập'!$B$4,12),"Ngắn hạn","Dài hạn")))</f>
        <v/>
      </c>
      <c r="M209" s="165" t="n"/>
      <c r="N209" s="165" t="n"/>
      <c r="O209" s="165" t="n"/>
      <c r="P209" s="173">
        <f>IF(OR(E209="",I209=""),"",EDATE(E209,I209)-1)</f>
        <v/>
      </c>
      <c r="Q209" s="170">
        <f>IF(OR(B209="",E209="",P209=""),0,MIN(H209,MAX(0,MIN(P209,DATE('Thiết lập'!$B$3-1,12,31))-E209+1)*J209))</f>
        <v/>
      </c>
      <c r="R209" s="170">
        <f>IF(OR($B209="",R$4&gt;$P209,EOMONTH(R$4,0)&lt;$E209),0,MIN($H209,MAX(0,MIN(EOMONTH(R$4,0),$P209)-MAX(R$4,$E209)+1)*$J209))</f>
        <v/>
      </c>
      <c r="S209" s="170">
        <f>IF(OR($B209="",S$4&gt;$P209,EOMONTH(S$4,0)&lt;$E209),0,MIN($H209,MAX(0,MIN(EOMONTH(S$4,0),$P209)-MAX(S$4,$E209)+1)*$J209))</f>
        <v/>
      </c>
      <c r="T209" s="170">
        <f>IF(OR($B209="",T$4&gt;$P209,EOMONTH(T$4,0)&lt;$E209),0,MIN($H209,MAX(0,MIN(EOMONTH(T$4,0),$P209)-MAX(T$4,$E209)+1)*$J209))</f>
        <v/>
      </c>
      <c r="U209" s="170">
        <f>IF(OR($B209="",U$4&gt;$P209,EOMONTH(U$4,0)&lt;$E209),0,MIN($H209,MAX(0,MIN(EOMONTH(U$4,0),$P209)-MAX(U$4,$E209)+1)*$J209))</f>
        <v/>
      </c>
      <c r="V209" s="170">
        <f>IF(OR($B209="",V$4&gt;$P209,EOMONTH(V$4,0)&lt;$E209),0,MIN($H209,MAX(0,MIN(EOMONTH(V$4,0),$P209)-MAX(V$4,$E209)+1)*$J209))</f>
        <v/>
      </c>
      <c r="W209" s="170">
        <f>IF(OR($B209="",W$4&gt;$P209,EOMONTH(W$4,0)&lt;$E209),0,MIN($H209,MAX(0,MIN(EOMONTH(W$4,0),$P209)-MAX(W$4,$E209)+1)*$J209))</f>
        <v/>
      </c>
      <c r="X209" s="170">
        <f>IF(OR($B209="",X$4&gt;$P209,EOMONTH(X$4,0)&lt;$E209),0,MIN($H209,MAX(0,MIN(EOMONTH(X$4,0),$P209)-MAX(X$4,$E209)+1)*$J209))</f>
        <v/>
      </c>
      <c r="Y209" s="170">
        <f>IF(OR($B209="",Y$4&gt;$P209,EOMONTH(Y$4,0)&lt;$E209),0,MIN($H209,MAX(0,MIN(EOMONTH(Y$4,0),$P209)-MAX(Y$4,$E209)+1)*$J209))</f>
        <v/>
      </c>
      <c r="Z209" s="170">
        <f>IF(OR($B209="",Z$4&gt;$P209,EOMONTH(Z$4,0)&lt;$E209),0,MIN($H209,MAX(0,MIN(EOMONTH(Z$4,0),$P209)-MAX(Z$4,$E209)+1)*$J209))</f>
        <v/>
      </c>
      <c r="AA209" s="170">
        <f>IF(OR($B209="",AA$4&gt;$P209,EOMONTH(AA$4,0)&lt;$E209),0,MIN($H209,MAX(0,MIN(EOMONTH(AA$4,0),$P209)-MAX(AA$4,$E209)+1)*$J209))</f>
        <v/>
      </c>
      <c r="AB209" s="170">
        <f>IF(OR($B209="",AB$4&gt;$P209,EOMONTH(AB$4,0)&lt;$E209),0,MIN($H209,MAX(0,MIN(EOMONTH(AB$4,0),$P209)-MAX(AB$4,$E209)+1)*$J209))</f>
        <v/>
      </c>
      <c r="AC209" s="170">
        <f>IF(OR($B209="",AC$4&gt;$P209,EOMONTH(AC$4,0)&lt;$E209),0,MIN($H209,MAX(0,MIN(EOMONTH(AC$4,0),$P209)-MAX(AC$4,$E209)+1)*$J209))</f>
        <v/>
      </c>
      <c r="AD209" s="170">
        <f>IF(B209="","",ROUND(SUM(R209:AC209),0))</f>
        <v/>
      </c>
      <c r="AE209" s="170">
        <f>IF(B209="","",MIN(H209,ROUND(Q209+SUM(R209:AC209),0)))</f>
        <v/>
      </c>
      <c r="AF209" s="170">
        <f>IF(B209="","",MAX(H209-AE209,0))</f>
        <v/>
      </c>
      <c r="AG209" s="172">
        <f>IF(B209="","",IF('Thiết lập'!$B$4&lt;E209,"Chưa phân bổ",IF(P209&lt;='Thiết lập'!$B$4,"Đã phân bổ","Đang phân bổ")))</f>
        <v/>
      </c>
      <c r="AH209" s="166" t="n"/>
      <c r="AI209" s="174">
        <f>IF(B209="","",IF(AND(C209&lt;&gt;"",D209&lt;&gt;"",E209&lt;&gt;"",E209&gt;=D209,F209&gt;0,G209&gt;0,I209&gt;0,COUNTIF($B$7:$B$306,B209)=1),"OK",IF(C209="","Thiếu tên; ","")&amp;IF(D209="","Thiếu ngày tăng; ","")&amp;IF(E209="","Thiếu ngày bắt đầu; ","")&amp;IF(AND(D209&lt;&gt;"",E209&lt;&gt;"",E209&lt;D209),"Ngày bắt đầu &lt; ngày tăng; ","")&amp;IF(OR(F209="",F209&lt;=0),"Số lượng không hợp lệ; ","")&amp;IF(OR(G209="",G209&lt;=0),"Đơn giá không hợp lệ; ","")&amp;IF(OR(I209="",I209&lt;=0),"Số tháng không hợp lệ; ","")&amp;IF(COUNTIF($B$7:$B$306,B209)&gt;1,"Trùng mã CPTT; ","")))</f>
        <v/>
      </c>
    </row>
    <row r="210" ht="19.5" customHeight="1" s="98">
      <c r="A210" s="164">
        <f>IF(B210="","",ROW()-6)</f>
        <v/>
      </c>
      <c r="B210" s="165" t="n"/>
      <c r="C210" s="166" t="n"/>
      <c r="D210" s="167" t="n"/>
      <c r="E210" s="167" t="n"/>
      <c r="F210" s="168" t="n"/>
      <c r="G210" s="169" t="n"/>
      <c r="H210" s="170">
        <f>IF(OR(F210="",G210=""),"",F210*G210)</f>
        <v/>
      </c>
      <c r="I210" s="171" t="n"/>
      <c r="J210" s="170">
        <f>IF(OR(H210="",E210="",P210=""),"",H210/(P210-E210+1))</f>
        <v/>
      </c>
      <c r="K210" s="165" t="n"/>
      <c r="L210" s="172">
        <f>IF(B210="","",IF(AF210&lt;=0,"Đã phân bổ",IF(P210&lt;=EDATE('Thiết lập'!$B$4,12),"Ngắn hạn","Dài hạn")))</f>
        <v/>
      </c>
      <c r="M210" s="165" t="n"/>
      <c r="N210" s="165" t="n"/>
      <c r="O210" s="165" t="n"/>
      <c r="P210" s="173">
        <f>IF(OR(E210="",I210=""),"",EDATE(E210,I210)-1)</f>
        <v/>
      </c>
      <c r="Q210" s="170">
        <f>IF(OR(B210="",E210="",P210=""),0,MIN(H210,MAX(0,MIN(P210,DATE('Thiết lập'!$B$3-1,12,31))-E210+1)*J210))</f>
        <v/>
      </c>
      <c r="R210" s="170">
        <f>IF(OR($B210="",R$4&gt;$P210,EOMONTH(R$4,0)&lt;$E210),0,MIN($H210,MAX(0,MIN(EOMONTH(R$4,0),$P210)-MAX(R$4,$E210)+1)*$J210))</f>
        <v/>
      </c>
      <c r="S210" s="170">
        <f>IF(OR($B210="",S$4&gt;$P210,EOMONTH(S$4,0)&lt;$E210),0,MIN($H210,MAX(0,MIN(EOMONTH(S$4,0),$P210)-MAX(S$4,$E210)+1)*$J210))</f>
        <v/>
      </c>
      <c r="T210" s="170">
        <f>IF(OR($B210="",T$4&gt;$P210,EOMONTH(T$4,0)&lt;$E210),0,MIN($H210,MAX(0,MIN(EOMONTH(T$4,0),$P210)-MAX(T$4,$E210)+1)*$J210))</f>
        <v/>
      </c>
      <c r="U210" s="170">
        <f>IF(OR($B210="",U$4&gt;$P210,EOMONTH(U$4,0)&lt;$E210),0,MIN($H210,MAX(0,MIN(EOMONTH(U$4,0),$P210)-MAX(U$4,$E210)+1)*$J210))</f>
        <v/>
      </c>
      <c r="V210" s="170">
        <f>IF(OR($B210="",V$4&gt;$P210,EOMONTH(V$4,0)&lt;$E210),0,MIN($H210,MAX(0,MIN(EOMONTH(V$4,0),$P210)-MAX(V$4,$E210)+1)*$J210))</f>
        <v/>
      </c>
      <c r="W210" s="170">
        <f>IF(OR($B210="",W$4&gt;$P210,EOMONTH(W$4,0)&lt;$E210),0,MIN($H210,MAX(0,MIN(EOMONTH(W$4,0),$P210)-MAX(W$4,$E210)+1)*$J210))</f>
        <v/>
      </c>
      <c r="X210" s="170">
        <f>IF(OR($B210="",X$4&gt;$P210,EOMONTH(X$4,0)&lt;$E210),0,MIN($H210,MAX(0,MIN(EOMONTH(X$4,0),$P210)-MAX(X$4,$E210)+1)*$J210))</f>
        <v/>
      </c>
      <c r="Y210" s="170">
        <f>IF(OR($B210="",Y$4&gt;$P210,EOMONTH(Y$4,0)&lt;$E210),0,MIN($H210,MAX(0,MIN(EOMONTH(Y$4,0),$P210)-MAX(Y$4,$E210)+1)*$J210))</f>
        <v/>
      </c>
      <c r="Z210" s="170">
        <f>IF(OR($B210="",Z$4&gt;$P210,EOMONTH(Z$4,0)&lt;$E210),0,MIN($H210,MAX(0,MIN(EOMONTH(Z$4,0),$P210)-MAX(Z$4,$E210)+1)*$J210))</f>
        <v/>
      </c>
      <c r="AA210" s="170">
        <f>IF(OR($B210="",AA$4&gt;$P210,EOMONTH(AA$4,0)&lt;$E210),0,MIN($H210,MAX(0,MIN(EOMONTH(AA$4,0),$P210)-MAX(AA$4,$E210)+1)*$J210))</f>
        <v/>
      </c>
      <c r="AB210" s="170">
        <f>IF(OR($B210="",AB$4&gt;$P210,EOMONTH(AB$4,0)&lt;$E210),0,MIN($H210,MAX(0,MIN(EOMONTH(AB$4,0),$P210)-MAX(AB$4,$E210)+1)*$J210))</f>
        <v/>
      </c>
      <c r="AC210" s="170">
        <f>IF(OR($B210="",AC$4&gt;$P210,EOMONTH(AC$4,0)&lt;$E210),0,MIN($H210,MAX(0,MIN(EOMONTH(AC$4,0),$P210)-MAX(AC$4,$E210)+1)*$J210))</f>
        <v/>
      </c>
      <c r="AD210" s="170">
        <f>IF(B210="","",ROUND(SUM(R210:AC210),0))</f>
        <v/>
      </c>
      <c r="AE210" s="170">
        <f>IF(B210="","",MIN(H210,ROUND(Q210+SUM(R210:AC210),0)))</f>
        <v/>
      </c>
      <c r="AF210" s="170">
        <f>IF(B210="","",MAX(H210-AE210,0))</f>
        <v/>
      </c>
      <c r="AG210" s="172">
        <f>IF(B210="","",IF('Thiết lập'!$B$4&lt;E210,"Chưa phân bổ",IF(P210&lt;='Thiết lập'!$B$4,"Đã phân bổ","Đang phân bổ")))</f>
        <v/>
      </c>
      <c r="AH210" s="166" t="n"/>
      <c r="AI210" s="174">
        <f>IF(B210="","",IF(AND(C210&lt;&gt;"",D210&lt;&gt;"",E210&lt;&gt;"",E210&gt;=D210,F210&gt;0,G210&gt;0,I210&gt;0,COUNTIF($B$7:$B$306,B210)=1),"OK",IF(C210="","Thiếu tên; ","")&amp;IF(D210="","Thiếu ngày tăng; ","")&amp;IF(E210="","Thiếu ngày bắt đầu; ","")&amp;IF(AND(D210&lt;&gt;"",E210&lt;&gt;"",E210&lt;D210),"Ngày bắt đầu &lt; ngày tăng; ","")&amp;IF(OR(F210="",F210&lt;=0),"Số lượng không hợp lệ; ","")&amp;IF(OR(G210="",G210&lt;=0),"Đơn giá không hợp lệ; ","")&amp;IF(OR(I210="",I210&lt;=0),"Số tháng không hợp lệ; ","")&amp;IF(COUNTIF($B$7:$B$306,B210)&gt;1,"Trùng mã CPTT; ","")))</f>
        <v/>
      </c>
    </row>
    <row r="211" ht="19.5" customHeight="1" s="98">
      <c r="A211" s="164">
        <f>IF(B211="","",ROW()-6)</f>
        <v/>
      </c>
      <c r="B211" s="165" t="n"/>
      <c r="C211" s="166" t="n"/>
      <c r="D211" s="167" t="n"/>
      <c r="E211" s="167" t="n"/>
      <c r="F211" s="168" t="n"/>
      <c r="G211" s="169" t="n"/>
      <c r="H211" s="170">
        <f>IF(OR(F211="",G211=""),"",F211*G211)</f>
        <v/>
      </c>
      <c r="I211" s="171" t="n"/>
      <c r="J211" s="170">
        <f>IF(OR(H211="",E211="",P211=""),"",H211/(P211-E211+1))</f>
        <v/>
      </c>
      <c r="K211" s="165" t="n"/>
      <c r="L211" s="172">
        <f>IF(B211="","",IF(AF211&lt;=0,"Đã phân bổ",IF(P211&lt;=EDATE('Thiết lập'!$B$4,12),"Ngắn hạn","Dài hạn")))</f>
        <v/>
      </c>
      <c r="M211" s="165" t="n"/>
      <c r="N211" s="165" t="n"/>
      <c r="O211" s="165" t="n"/>
      <c r="P211" s="173">
        <f>IF(OR(E211="",I211=""),"",EDATE(E211,I211)-1)</f>
        <v/>
      </c>
      <c r="Q211" s="170">
        <f>IF(OR(B211="",E211="",P211=""),0,MIN(H211,MAX(0,MIN(P211,DATE('Thiết lập'!$B$3-1,12,31))-E211+1)*J211))</f>
        <v/>
      </c>
      <c r="R211" s="170">
        <f>IF(OR($B211="",R$4&gt;$P211,EOMONTH(R$4,0)&lt;$E211),0,MIN($H211,MAX(0,MIN(EOMONTH(R$4,0),$P211)-MAX(R$4,$E211)+1)*$J211))</f>
        <v/>
      </c>
      <c r="S211" s="170">
        <f>IF(OR($B211="",S$4&gt;$P211,EOMONTH(S$4,0)&lt;$E211),0,MIN($H211,MAX(0,MIN(EOMONTH(S$4,0),$P211)-MAX(S$4,$E211)+1)*$J211))</f>
        <v/>
      </c>
      <c r="T211" s="170">
        <f>IF(OR($B211="",T$4&gt;$P211,EOMONTH(T$4,0)&lt;$E211),0,MIN($H211,MAX(0,MIN(EOMONTH(T$4,0),$P211)-MAX(T$4,$E211)+1)*$J211))</f>
        <v/>
      </c>
      <c r="U211" s="170">
        <f>IF(OR($B211="",U$4&gt;$P211,EOMONTH(U$4,0)&lt;$E211),0,MIN($H211,MAX(0,MIN(EOMONTH(U$4,0),$P211)-MAX(U$4,$E211)+1)*$J211))</f>
        <v/>
      </c>
      <c r="V211" s="170">
        <f>IF(OR($B211="",V$4&gt;$P211,EOMONTH(V$4,0)&lt;$E211),0,MIN($H211,MAX(0,MIN(EOMONTH(V$4,0),$P211)-MAX(V$4,$E211)+1)*$J211))</f>
        <v/>
      </c>
      <c r="W211" s="170">
        <f>IF(OR($B211="",W$4&gt;$P211,EOMONTH(W$4,0)&lt;$E211),0,MIN($H211,MAX(0,MIN(EOMONTH(W$4,0),$P211)-MAX(W$4,$E211)+1)*$J211))</f>
        <v/>
      </c>
      <c r="X211" s="170">
        <f>IF(OR($B211="",X$4&gt;$P211,EOMONTH(X$4,0)&lt;$E211),0,MIN($H211,MAX(0,MIN(EOMONTH(X$4,0),$P211)-MAX(X$4,$E211)+1)*$J211))</f>
        <v/>
      </c>
      <c r="Y211" s="170">
        <f>IF(OR($B211="",Y$4&gt;$P211,EOMONTH(Y$4,0)&lt;$E211),0,MIN($H211,MAX(0,MIN(EOMONTH(Y$4,0),$P211)-MAX(Y$4,$E211)+1)*$J211))</f>
        <v/>
      </c>
      <c r="Z211" s="170">
        <f>IF(OR($B211="",Z$4&gt;$P211,EOMONTH(Z$4,0)&lt;$E211),0,MIN($H211,MAX(0,MIN(EOMONTH(Z$4,0),$P211)-MAX(Z$4,$E211)+1)*$J211))</f>
        <v/>
      </c>
      <c r="AA211" s="170">
        <f>IF(OR($B211="",AA$4&gt;$P211,EOMONTH(AA$4,0)&lt;$E211),0,MIN($H211,MAX(0,MIN(EOMONTH(AA$4,0),$P211)-MAX(AA$4,$E211)+1)*$J211))</f>
        <v/>
      </c>
      <c r="AB211" s="170">
        <f>IF(OR($B211="",AB$4&gt;$P211,EOMONTH(AB$4,0)&lt;$E211),0,MIN($H211,MAX(0,MIN(EOMONTH(AB$4,0),$P211)-MAX(AB$4,$E211)+1)*$J211))</f>
        <v/>
      </c>
      <c r="AC211" s="170">
        <f>IF(OR($B211="",AC$4&gt;$P211,EOMONTH(AC$4,0)&lt;$E211),0,MIN($H211,MAX(0,MIN(EOMONTH(AC$4,0),$P211)-MAX(AC$4,$E211)+1)*$J211))</f>
        <v/>
      </c>
      <c r="AD211" s="170">
        <f>IF(B211="","",ROUND(SUM(R211:AC211),0))</f>
        <v/>
      </c>
      <c r="AE211" s="170">
        <f>IF(B211="","",MIN(H211,ROUND(Q211+SUM(R211:AC211),0)))</f>
        <v/>
      </c>
      <c r="AF211" s="170">
        <f>IF(B211="","",MAX(H211-AE211,0))</f>
        <v/>
      </c>
      <c r="AG211" s="172">
        <f>IF(B211="","",IF('Thiết lập'!$B$4&lt;E211,"Chưa phân bổ",IF(P211&lt;='Thiết lập'!$B$4,"Đã phân bổ","Đang phân bổ")))</f>
        <v/>
      </c>
      <c r="AH211" s="166" t="n"/>
      <c r="AI211" s="174">
        <f>IF(B211="","",IF(AND(C211&lt;&gt;"",D211&lt;&gt;"",E211&lt;&gt;"",E211&gt;=D211,F211&gt;0,G211&gt;0,I211&gt;0,COUNTIF($B$7:$B$306,B211)=1),"OK",IF(C211="","Thiếu tên; ","")&amp;IF(D211="","Thiếu ngày tăng; ","")&amp;IF(E211="","Thiếu ngày bắt đầu; ","")&amp;IF(AND(D211&lt;&gt;"",E211&lt;&gt;"",E211&lt;D211),"Ngày bắt đầu &lt; ngày tăng; ","")&amp;IF(OR(F211="",F211&lt;=0),"Số lượng không hợp lệ; ","")&amp;IF(OR(G211="",G211&lt;=0),"Đơn giá không hợp lệ; ","")&amp;IF(OR(I211="",I211&lt;=0),"Số tháng không hợp lệ; ","")&amp;IF(COUNTIF($B$7:$B$306,B211)&gt;1,"Trùng mã CPTT; ","")))</f>
        <v/>
      </c>
    </row>
    <row r="212" ht="19.5" customHeight="1" s="98">
      <c r="A212" s="164">
        <f>IF(B212="","",ROW()-6)</f>
        <v/>
      </c>
      <c r="B212" s="165" t="n"/>
      <c r="C212" s="166" t="n"/>
      <c r="D212" s="167" t="n"/>
      <c r="E212" s="167" t="n"/>
      <c r="F212" s="168" t="n"/>
      <c r="G212" s="169" t="n"/>
      <c r="H212" s="170">
        <f>IF(OR(F212="",G212=""),"",F212*G212)</f>
        <v/>
      </c>
      <c r="I212" s="171" t="n"/>
      <c r="J212" s="170">
        <f>IF(OR(H212="",E212="",P212=""),"",H212/(P212-E212+1))</f>
        <v/>
      </c>
      <c r="K212" s="165" t="n"/>
      <c r="L212" s="172">
        <f>IF(B212="","",IF(AF212&lt;=0,"Đã phân bổ",IF(P212&lt;=EDATE('Thiết lập'!$B$4,12),"Ngắn hạn","Dài hạn")))</f>
        <v/>
      </c>
      <c r="M212" s="165" t="n"/>
      <c r="N212" s="165" t="n"/>
      <c r="O212" s="165" t="n"/>
      <c r="P212" s="173">
        <f>IF(OR(E212="",I212=""),"",EDATE(E212,I212)-1)</f>
        <v/>
      </c>
      <c r="Q212" s="170">
        <f>IF(OR(B212="",E212="",P212=""),0,MIN(H212,MAX(0,MIN(P212,DATE('Thiết lập'!$B$3-1,12,31))-E212+1)*J212))</f>
        <v/>
      </c>
      <c r="R212" s="170">
        <f>IF(OR($B212="",R$4&gt;$P212,EOMONTH(R$4,0)&lt;$E212),0,MIN($H212,MAX(0,MIN(EOMONTH(R$4,0),$P212)-MAX(R$4,$E212)+1)*$J212))</f>
        <v/>
      </c>
      <c r="S212" s="170">
        <f>IF(OR($B212="",S$4&gt;$P212,EOMONTH(S$4,0)&lt;$E212),0,MIN($H212,MAX(0,MIN(EOMONTH(S$4,0),$P212)-MAX(S$4,$E212)+1)*$J212))</f>
        <v/>
      </c>
      <c r="T212" s="170">
        <f>IF(OR($B212="",T$4&gt;$P212,EOMONTH(T$4,0)&lt;$E212),0,MIN($H212,MAX(0,MIN(EOMONTH(T$4,0),$P212)-MAX(T$4,$E212)+1)*$J212))</f>
        <v/>
      </c>
      <c r="U212" s="170">
        <f>IF(OR($B212="",U$4&gt;$P212,EOMONTH(U$4,0)&lt;$E212),0,MIN($H212,MAX(0,MIN(EOMONTH(U$4,0),$P212)-MAX(U$4,$E212)+1)*$J212))</f>
        <v/>
      </c>
      <c r="V212" s="170">
        <f>IF(OR($B212="",V$4&gt;$P212,EOMONTH(V$4,0)&lt;$E212),0,MIN($H212,MAX(0,MIN(EOMONTH(V$4,0),$P212)-MAX(V$4,$E212)+1)*$J212))</f>
        <v/>
      </c>
      <c r="W212" s="170">
        <f>IF(OR($B212="",W$4&gt;$P212,EOMONTH(W$4,0)&lt;$E212),0,MIN($H212,MAX(0,MIN(EOMONTH(W$4,0),$P212)-MAX(W$4,$E212)+1)*$J212))</f>
        <v/>
      </c>
      <c r="X212" s="170">
        <f>IF(OR($B212="",X$4&gt;$P212,EOMONTH(X$4,0)&lt;$E212),0,MIN($H212,MAX(0,MIN(EOMONTH(X$4,0),$P212)-MAX(X$4,$E212)+1)*$J212))</f>
        <v/>
      </c>
      <c r="Y212" s="170">
        <f>IF(OR($B212="",Y$4&gt;$P212,EOMONTH(Y$4,0)&lt;$E212),0,MIN($H212,MAX(0,MIN(EOMONTH(Y$4,0),$P212)-MAX(Y$4,$E212)+1)*$J212))</f>
        <v/>
      </c>
      <c r="Z212" s="170">
        <f>IF(OR($B212="",Z$4&gt;$P212,EOMONTH(Z$4,0)&lt;$E212),0,MIN($H212,MAX(0,MIN(EOMONTH(Z$4,0),$P212)-MAX(Z$4,$E212)+1)*$J212))</f>
        <v/>
      </c>
      <c r="AA212" s="170">
        <f>IF(OR($B212="",AA$4&gt;$P212,EOMONTH(AA$4,0)&lt;$E212),0,MIN($H212,MAX(0,MIN(EOMONTH(AA$4,0),$P212)-MAX(AA$4,$E212)+1)*$J212))</f>
        <v/>
      </c>
      <c r="AB212" s="170">
        <f>IF(OR($B212="",AB$4&gt;$P212,EOMONTH(AB$4,0)&lt;$E212),0,MIN($H212,MAX(0,MIN(EOMONTH(AB$4,0),$P212)-MAX(AB$4,$E212)+1)*$J212))</f>
        <v/>
      </c>
      <c r="AC212" s="170">
        <f>IF(OR($B212="",AC$4&gt;$P212,EOMONTH(AC$4,0)&lt;$E212),0,MIN($H212,MAX(0,MIN(EOMONTH(AC$4,0),$P212)-MAX(AC$4,$E212)+1)*$J212))</f>
        <v/>
      </c>
      <c r="AD212" s="170">
        <f>IF(B212="","",ROUND(SUM(R212:AC212),0))</f>
        <v/>
      </c>
      <c r="AE212" s="170">
        <f>IF(B212="","",MIN(H212,ROUND(Q212+SUM(R212:AC212),0)))</f>
        <v/>
      </c>
      <c r="AF212" s="170">
        <f>IF(B212="","",MAX(H212-AE212,0))</f>
        <v/>
      </c>
      <c r="AG212" s="172">
        <f>IF(B212="","",IF('Thiết lập'!$B$4&lt;E212,"Chưa phân bổ",IF(P212&lt;='Thiết lập'!$B$4,"Đã phân bổ","Đang phân bổ")))</f>
        <v/>
      </c>
      <c r="AH212" s="166" t="n"/>
      <c r="AI212" s="174">
        <f>IF(B212="","",IF(AND(C212&lt;&gt;"",D212&lt;&gt;"",E212&lt;&gt;"",E212&gt;=D212,F212&gt;0,G212&gt;0,I212&gt;0,COUNTIF($B$7:$B$306,B212)=1),"OK",IF(C212="","Thiếu tên; ","")&amp;IF(D212="","Thiếu ngày tăng; ","")&amp;IF(E212="","Thiếu ngày bắt đầu; ","")&amp;IF(AND(D212&lt;&gt;"",E212&lt;&gt;"",E212&lt;D212),"Ngày bắt đầu &lt; ngày tăng; ","")&amp;IF(OR(F212="",F212&lt;=0),"Số lượng không hợp lệ; ","")&amp;IF(OR(G212="",G212&lt;=0),"Đơn giá không hợp lệ; ","")&amp;IF(OR(I212="",I212&lt;=0),"Số tháng không hợp lệ; ","")&amp;IF(COUNTIF($B$7:$B$306,B212)&gt;1,"Trùng mã CPTT; ","")))</f>
        <v/>
      </c>
    </row>
    <row r="213" ht="19.5" customHeight="1" s="98">
      <c r="A213" s="164">
        <f>IF(B213="","",ROW()-6)</f>
        <v/>
      </c>
      <c r="B213" s="165" t="n"/>
      <c r="C213" s="166" t="n"/>
      <c r="D213" s="167" t="n"/>
      <c r="E213" s="167" t="n"/>
      <c r="F213" s="168" t="n"/>
      <c r="G213" s="169" t="n"/>
      <c r="H213" s="170">
        <f>IF(OR(F213="",G213=""),"",F213*G213)</f>
        <v/>
      </c>
      <c r="I213" s="171" t="n"/>
      <c r="J213" s="170">
        <f>IF(OR(H213="",E213="",P213=""),"",H213/(P213-E213+1))</f>
        <v/>
      </c>
      <c r="K213" s="165" t="n"/>
      <c r="L213" s="172">
        <f>IF(B213="","",IF(AF213&lt;=0,"Đã phân bổ",IF(P213&lt;=EDATE('Thiết lập'!$B$4,12),"Ngắn hạn","Dài hạn")))</f>
        <v/>
      </c>
      <c r="M213" s="165" t="n"/>
      <c r="N213" s="165" t="n"/>
      <c r="O213" s="165" t="n"/>
      <c r="P213" s="173">
        <f>IF(OR(E213="",I213=""),"",EDATE(E213,I213)-1)</f>
        <v/>
      </c>
      <c r="Q213" s="170">
        <f>IF(OR(B213="",E213="",P213=""),0,MIN(H213,MAX(0,MIN(P213,DATE('Thiết lập'!$B$3-1,12,31))-E213+1)*J213))</f>
        <v/>
      </c>
      <c r="R213" s="170">
        <f>IF(OR($B213="",R$4&gt;$P213,EOMONTH(R$4,0)&lt;$E213),0,MIN($H213,MAX(0,MIN(EOMONTH(R$4,0),$P213)-MAX(R$4,$E213)+1)*$J213))</f>
        <v/>
      </c>
      <c r="S213" s="170">
        <f>IF(OR($B213="",S$4&gt;$P213,EOMONTH(S$4,0)&lt;$E213),0,MIN($H213,MAX(0,MIN(EOMONTH(S$4,0),$P213)-MAX(S$4,$E213)+1)*$J213))</f>
        <v/>
      </c>
      <c r="T213" s="170">
        <f>IF(OR($B213="",T$4&gt;$P213,EOMONTH(T$4,0)&lt;$E213),0,MIN($H213,MAX(0,MIN(EOMONTH(T$4,0),$P213)-MAX(T$4,$E213)+1)*$J213))</f>
        <v/>
      </c>
      <c r="U213" s="170">
        <f>IF(OR($B213="",U$4&gt;$P213,EOMONTH(U$4,0)&lt;$E213),0,MIN($H213,MAX(0,MIN(EOMONTH(U$4,0),$P213)-MAX(U$4,$E213)+1)*$J213))</f>
        <v/>
      </c>
      <c r="V213" s="170">
        <f>IF(OR($B213="",V$4&gt;$P213,EOMONTH(V$4,0)&lt;$E213),0,MIN($H213,MAX(0,MIN(EOMONTH(V$4,0),$P213)-MAX(V$4,$E213)+1)*$J213))</f>
        <v/>
      </c>
      <c r="W213" s="170">
        <f>IF(OR($B213="",W$4&gt;$P213,EOMONTH(W$4,0)&lt;$E213),0,MIN($H213,MAX(0,MIN(EOMONTH(W$4,0),$P213)-MAX(W$4,$E213)+1)*$J213))</f>
        <v/>
      </c>
      <c r="X213" s="170">
        <f>IF(OR($B213="",X$4&gt;$P213,EOMONTH(X$4,0)&lt;$E213),0,MIN($H213,MAX(0,MIN(EOMONTH(X$4,0),$P213)-MAX(X$4,$E213)+1)*$J213))</f>
        <v/>
      </c>
      <c r="Y213" s="170">
        <f>IF(OR($B213="",Y$4&gt;$P213,EOMONTH(Y$4,0)&lt;$E213),0,MIN($H213,MAX(0,MIN(EOMONTH(Y$4,0),$P213)-MAX(Y$4,$E213)+1)*$J213))</f>
        <v/>
      </c>
      <c r="Z213" s="170">
        <f>IF(OR($B213="",Z$4&gt;$P213,EOMONTH(Z$4,0)&lt;$E213),0,MIN($H213,MAX(0,MIN(EOMONTH(Z$4,0),$P213)-MAX(Z$4,$E213)+1)*$J213))</f>
        <v/>
      </c>
      <c r="AA213" s="170">
        <f>IF(OR($B213="",AA$4&gt;$P213,EOMONTH(AA$4,0)&lt;$E213),0,MIN($H213,MAX(0,MIN(EOMONTH(AA$4,0),$P213)-MAX(AA$4,$E213)+1)*$J213))</f>
        <v/>
      </c>
      <c r="AB213" s="170">
        <f>IF(OR($B213="",AB$4&gt;$P213,EOMONTH(AB$4,0)&lt;$E213),0,MIN($H213,MAX(0,MIN(EOMONTH(AB$4,0),$P213)-MAX(AB$4,$E213)+1)*$J213))</f>
        <v/>
      </c>
      <c r="AC213" s="170">
        <f>IF(OR($B213="",AC$4&gt;$P213,EOMONTH(AC$4,0)&lt;$E213),0,MIN($H213,MAX(0,MIN(EOMONTH(AC$4,0),$P213)-MAX(AC$4,$E213)+1)*$J213))</f>
        <v/>
      </c>
      <c r="AD213" s="170">
        <f>IF(B213="","",ROUND(SUM(R213:AC213),0))</f>
        <v/>
      </c>
      <c r="AE213" s="170">
        <f>IF(B213="","",MIN(H213,ROUND(Q213+SUM(R213:AC213),0)))</f>
        <v/>
      </c>
      <c r="AF213" s="170">
        <f>IF(B213="","",MAX(H213-AE213,0))</f>
        <v/>
      </c>
      <c r="AG213" s="172">
        <f>IF(B213="","",IF('Thiết lập'!$B$4&lt;E213,"Chưa phân bổ",IF(P213&lt;='Thiết lập'!$B$4,"Đã phân bổ","Đang phân bổ")))</f>
        <v/>
      </c>
      <c r="AH213" s="166" t="n"/>
      <c r="AI213" s="174">
        <f>IF(B213="","",IF(AND(C213&lt;&gt;"",D213&lt;&gt;"",E213&lt;&gt;"",E213&gt;=D213,F213&gt;0,G213&gt;0,I213&gt;0,COUNTIF($B$7:$B$306,B213)=1),"OK",IF(C213="","Thiếu tên; ","")&amp;IF(D213="","Thiếu ngày tăng; ","")&amp;IF(E213="","Thiếu ngày bắt đầu; ","")&amp;IF(AND(D213&lt;&gt;"",E213&lt;&gt;"",E213&lt;D213),"Ngày bắt đầu &lt; ngày tăng; ","")&amp;IF(OR(F213="",F213&lt;=0),"Số lượng không hợp lệ; ","")&amp;IF(OR(G213="",G213&lt;=0),"Đơn giá không hợp lệ; ","")&amp;IF(OR(I213="",I213&lt;=0),"Số tháng không hợp lệ; ","")&amp;IF(COUNTIF($B$7:$B$306,B213)&gt;1,"Trùng mã CPTT; ","")))</f>
        <v/>
      </c>
    </row>
    <row r="214" ht="19.5" customHeight="1" s="98">
      <c r="A214" s="164">
        <f>IF(B214="","",ROW()-6)</f>
        <v/>
      </c>
      <c r="B214" s="165" t="n"/>
      <c r="C214" s="166" t="n"/>
      <c r="D214" s="167" t="n"/>
      <c r="E214" s="167" t="n"/>
      <c r="F214" s="168" t="n"/>
      <c r="G214" s="169" t="n"/>
      <c r="H214" s="170">
        <f>IF(OR(F214="",G214=""),"",F214*G214)</f>
        <v/>
      </c>
      <c r="I214" s="171" t="n"/>
      <c r="J214" s="170">
        <f>IF(OR(H214="",E214="",P214=""),"",H214/(P214-E214+1))</f>
        <v/>
      </c>
      <c r="K214" s="165" t="n"/>
      <c r="L214" s="172">
        <f>IF(B214="","",IF(AF214&lt;=0,"Đã phân bổ",IF(P214&lt;=EDATE('Thiết lập'!$B$4,12),"Ngắn hạn","Dài hạn")))</f>
        <v/>
      </c>
      <c r="M214" s="165" t="n"/>
      <c r="N214" s="165" t="n"/>
      <c r="O214" s="165" t="n"/>
      <c r="P214" s="173">
        <f>IF(OR(E214="",I214=""),"",EDATE(E214,I214)-1)</f>
        <v/>
      </c>
      <c r="Q214" s="170">
        <f>IF(OR(B214="",E214="",P214=""),0,MIN(H214,MAX(0,MIN(P214,DATE('Thiết lập'!$B$3-1,12,31))-E214+1)*J214))</f>
        <v/>
      </c>
      <c r="R214" s="170">
        <f>IF(OR($B214="",R$4&gt;$P214,EOMONTH(R$4,0)&lt;$E214),0,MIN($H214,MAX(0,MIN(EOMONTH(R$4,0),$P214)-MAX(R$4,$E214)+1)*$J214))</f>
        <v/>
      </c>
      <c r="S214" s="170">
        <f>IF(OR($B214="",S$4&gt;$P214,EOMONTH(S$4,0)&lt;$E214),0,MIN($H214,MAX(0,MIN(EOMONTH(S$4,0),$P214)-MAX(S$4,$E214)+1)*$J214))</f>
        <v/>
      </c>
      <c r="T214" s="170">
        <f>IF(OR($B214="",T$4&gt;$P214,EOMONTH(T$4,0)&lt;$E214),0,MIN($H214,MAX(0,MIN(EOMONTH(T$4,0),$P214)-MAX(T$4,$E214)+1)*$J214))</f>
        <v/>
      </c>
      <c r="U214" s="170">
        <f>IF(OR($B214="",U$4&gt;$P214,EOMONTH(U$4,0)&lt;$E214),0,MIN($H214,MAX(0,MIN(EOMONTH(U$4,0),$P214)-MAX(U$4,$E214)+1)*$J214))</f>
        <v/>
      </c>
      <c r="V214" s="170">
        <f>IF(OR($B214="",V$4&gt;$P214,EOMONTH(V$4,0)&lt;$E214),0,MIN($H214,MAX(0,MIN(EOMONTH(V$4,0),$P214)-MAX(V$4,$E214)+1)*$J214))</f>
        <v/>
      </c>
      <c r="W214" s="170">
        <f>IF(OR($B214="",W$4&gt;$P214,EOMONTH(W$4,0)&lt;$E214),0,MIN($H214,MAX(0,MIN(EOMONTH(W$4,0),$P214)-MAX(W$4,$E214)+1)*$J214))</f>
        <v/>
      </c>
      <c r="X214" s="170">
        <f>IF(OR($B214="",X$4&gt;$P214,EOMONTH(X$4,0)&lt;$E214),0,MIN($H214,MAX(0,MIN(EOMONTH(X$4,0),$P214)-MAX(X$4,$E214)+1)*$J214))</f>
        <v/>
      </c>
      <c r="Y214" s="170">
        <f>IF(OR($B214="",Y$4&gt;$P214,EOMONTH(Y$4,0)&lt;$E214),0,MIN($H214,MAX(0,MIN(EOMONTH(Y$4,0),$P214)-MAX(Y$4,$E214)+1)*$J214))</f>
        <v/>
      </c>
      <c r="Z214" s="170">
        <f>IF(OR($B214="",Z$4&gt;$P214,EOMONTH(Z$4,0)&lt;$E214),0,MIN($H214,MAX(0,MIN(EOMONTH(Z$4,0),$P214)-MAX(Z$4,$E214)+1)*$J214))</f>
        <v/>
      </c>
      <c r="AA214" s="170">
        <f>IF(OR($B214="",AA$4&gt;$P214,EOMONTH(AA$4,0)&lt;$E214),0,MIN($H214,MAX(0,MIN(EOMONTH(AA$4,0),$P214)-MAX(AA$4,$E214)+1)*$J214))</f>
        <v/>
      </c>
      <c r="AB214" s="170">
        <f>IF(OR($B214="",AB$4&gt;$P214,EOMONTH(AB$4,0)&lt;$E214),0,MIN($H214,MAX(0,MIN(EOMONTH(AB$4,0),$P214)-MAX(AB$4,$E214)+1)*$J214))</f>
        <v/>
      </c>
      <c r="AC214" s="170">
        <f>IF(OR($B214="",AC$4&gt;$P214,EOMONTH(AC$4,0)&lt;$E214),0,MIN($H214,MAX(0,MIN(EOMONTH(AC$4,0),$P214)-MAX(AC$4,$E214)+1)*$J214))</f>
        <v/>
      </c>
      <c r="AD214" s="170">
        <f>IF(B214="","",ROUND(SUM(R214:AC214),0))</f>
        <v/>
      </c>
      <c r="AE214" s="170">
        <f>IF(B214="","",MIN(H214,ROUND(Q214+SUM(R214:AC214),0)))</f>
        <v/>
      </c>
      <c r="AF214" s="170">
        <f>IF(B214="","",MAX(H214-AE214,0))</f>
        <v/>
      </c>
      <c r="AG214" s="172">
        <f>IF(B214="","",IF('Thiết lập'!$B$4&lt;E214,"Chưa phân bổ",IF(P214&lt;='Thiết lập'!$B$4,"Đã phân bổ","Đang phân bổ")))</f>
        <v/>
      </c>
      <c r="AH214" s="166" t="n"/>
      <c r="AI214" s="174">
        <f>IF(B214="","",IF(AND(C214&lt;&gt;"",D214&lt;&gt;"",E214&lt;&gt;"",E214&gt;=D214,F214&gt;0,G214&gt;0,I214&gt;0,COUNTIF($B$7:$B$306,B214)=1),"OK",IF(C214="","Thiếu tên; ","")&amp;IF(D214="","Thiếu ngày tăng; ","")&amp;IF(E214="","Thiếu ngày bắt đầu; ","")&amp;IF(AND(D214&lt;&gt;"",E214&lt;&gt;"",E214&lt;D214),"Ngày bắt đầu &lt; ngày tăng; ","")&amp;IF(OR(F214="",F214&lt;=0),"Số lượng không hợp lệ; ","")&amp;IF(OR(G214="",G214&lt;=0),"Đơn giá không hợp lệ; ","")&amp;IF(OR(I214="",I214&lt;=0),"Số tháng không hợp lệ; ","")&amp;IF(COUNTIF($B$7:$B$306,B214)&gt;1,"Trùng mã CPTT; ","")))</f>
        <v/>
      </c>
    </row>
    <row r="215" ht="19.5" customHeight="1" s="98">
      <c r="A215" s="164">
        <f>IF(B215="","",ROW()-6)</f>
        <v/>
      </c>
      <c r="B215" s="165" t="n"/>
      <c r="C215" s="166" t="n"/>
      <c r="D215" s="167" t="n"/>
      <c r="E215" s="167" t="n"/>
      <c r="F215" s="168" t="n"/>
      <c r="G215" s="169" t="n"/>
      <c r="H215" s="170">
        <f>IF(OR(F215="",G215=""),"",F215*G215)</f>
        <v/>
      </c>
      <c r="I215" s="171" t="n"/>
      <c r="J215" s="170">
        <f>IF(OR(H215="",E215="",P215=""),"",H215/(P215-E215+1))</f>
        <v/>
      </c>
      <c r="K215" s="165" t="n"/>
      <c r="L215" s="172">
        <f>IF(B215="","",IF(AF215&lt;=0,"Đã phân bổ",IF(P215&lt;=EDATE('Thiết lập'!$B$4,12),"Ngắn hạn","Dài hạn")))</f>
        <v/>
      </c>
      <c r="M215" s="165" t="n"/>
      <c r="N215" s="165" t="n"/>
      <c r="O215" s="165" t="n"/>
      <c r="P215" s="173">
        <f>IF(OR(E215="",I215=""),"",EDATE(E215,I215)-1)</f>
        <v/>
      </c>
      <c r="Q215" s="170">
        <f>IF(OR(B215="",E215="",P215=""),0,MIN(H215,MAX(0,MIN(P215,DATE('Thiết lập'!$B$3-1,12,31))-E215+1)*J215))</f>
        <v/>
      </c>
      <c r="R215" s="170">
        <f>IF(OR($B215="",R$4&gt;$P215,EOMONTH(R$4,0)&lt;$E215),0,MIN($H215,MAX(0,MIN(EOMONTH(R$4,0),$P215)-MAX(R$4,$E215)+1)*$J215))</f>
        <v/>
      </c>
      <c r="S215" s="170">
        <f>IF(OR($B215="",S$4&gt;$P215,EOMONTH(S$4,0)&lt;$E215),0,MIN($H215,MAX(0,MIN(EOMONTH(S$4,0),$P215)-MAX(S$4,$E215)+1)*$J215))</f>
        <v/>
      </c>
      <c r="T215" s="170">
        <f>IF(OR($B215="",T$4&gt;$P215,EOMONTH(T$4,0)&lt;$E215),0,MIN($H215,MAX(0,MIN(EOMONTH(T$4,0),$P215)-MAX(T$4,$E215)+1)*$J215))</f>
        <v/>
      </c>
      <c r="U215" s="170">
        <f>IF(OR($B215="",U$4&gt;$P215,EOMONTH(U$4,0)&lt;$E215),0,MIN($H215,MAX(0,MIN(EOMONTH(U$4,0),$P215)-MAX(U$4,$E215)+1)*$J215))</f>
        <v/>
      </c>
      <c r="V215" s="170">
        <f>IF(OR($B215="",V$4&gt;$P215,EOMONTH(V$4,0)&lt;$E215),0,MIN($H215,MAX(0,MIN(EOMONTH(V$4,0),$P215)-MAX(V$4,$E215)+1)*$J215))</f>
        <v/>
      </c>
      <c r="W215" s="170">
        <f>IF(OR($B215="",W$4&gt;$P215,EOMONTH(W$4,0)&lt;$E215),0,MIN($H215,MAX(0,MIN(EOMONTH(W$4,0),$P215)-MAX(W$4,$E215)+1)*$J215))</f>
        <v/>
      </c>
      <c r="X215" s="170">
        <f>IF(OR($B215="",X$4&gt;$P215,EOMONTH(X$4,0)&lt;$E215),0,MIN($H215,MAX(0,MIN(EOMONTH(X$4,0),$P215)-MAX(X$4,$E215)+1)*$J215))</f>
        <v/>
      </c>
      <c r="Y215" s="170">
        <f>IF(OR($B215="",Y$4&gt;$P215,EOMONTH(Y$4,0)&lt;$E215),0,MIN($H215,MAX(0,MIN(EOMONTH(Y$4,0),$P215)-MAX(Y$4,$E215)+1)*$J215))</f>
        <v/>
      </c>
      <c r="Z215" s="170">
        <f>IF(OR($B215="",Z$4&gt;$P215,EOMONTH(Z$4,0)&lt;$E215),0,MIN($H215,MAX(0,MIN(EOMONTH(Z$4,0),$P215)-MAX(Z$4,$E215)+1)*$J215))</f>
        <v/>
      </c>
      <c r="AA215" s="170">
        <f>IF(OR($B215="",AA$4&gt;$P215,EOMONTH(AA$4,0)&lt;$E215),0,MIN($H215,MAX(0,MIN(EOMONTH(AA$4,0),$P215)-MAX(AA$4,$E215)+1)*$J215))</f>
        <v/>
      </c>
      <c r="AB215" s="170">
        <f>IF(OR($B215="",AB$4&gt;$P215,EOMONTH(AB$4,0)&lt;$E215),0,MIN($H215,MAX(0,MIN(EOMONTH(AB$4,0),$P215)-MAX(AB$4,$E215)+1)*$J215))</f>
        <v/>
      </c>
      <c r="AC215" s="170">
        <f>IF(OR($B215="",AC$4&gt;$P215,EOMONTH(AC$4,0)&lt;$E215),0,MIN($H215,MAX(0,MIN(EOMONTH(AC$4,0),$P215)-MAX(AC$4,$E215)+1)*$J215))</f>
        <v/>
      </c>
      <c r="AD215" s="170">
        <f>IF(B215="","",ROUND(SUM(R215:AC215),0))</f>
        <v/>
      </c>
      <c r="AE215" s="170">
        <f>IF(B215="","",MIN(H215,ROUND(Q215+SUM(R215:AC215),0)))</f>
        <v/>
      </c>
      <c r="AF215" s="170">
        <f>IF(B215="","",MAX(H215-AE215,0))</f>
        <v/>
      </c>
      <c r="AG215" s="172">
        <f>IF(B215="","",IF('Thiết lập'!$B$4&lt;E215,"Chưa phân bổ",IF(P215&lt;='Thiết lập'!$B$4,"Đã phân bổ","Đang phân bổ")))</f>
        <v/>
      </c>
      <c r="AH215" s="166" t="n"/>
      <c r="AI215" s="174">
        <f>IF(B215="","",IF(AND(C215&lt;&gt;"",D215&lt;&gt;"",E215&lt;&gt;"",E215&gt;=D215,F215&gt;0,G215&gt;0,I215&gt;0,COUNTIF($B$7:$B$306,B215)=1),"OK",IF(C215="","Thiếu tên; ","")&amp;IF(D215="","Thiếu ngày tăng; ","")&amp;IF(E215="","Thiếu ngày bắt đầu; ","")&amp;IF(AND(D215&lt;&gt;"",E215&lt;&gt;"",E215&lt;D215),"Ngày bắt đầu &lt; ngày tăng; ","")&amp;IF(OR(F215="",F215&lt;=0),"Số lượng không hợp lệ; ","")&amp;IF(OR(G215="",G215&lt;=0),"Đơn giá không hợp lệ; ","")&amp;IF(OR(I215="",I215&lt;=0),"Số tháng không hợp lệ; ","")&amp;IF(COUNTIF($B$7:$B$306,B215)&gt;1,"Trùng mã CPTT; ","")))</f>
        <v/>
      </c>
    </row>
    <row r="216" ht="19.5" customHeight="1" s="98">
      <c r="A216" s="164">
        <f>IF(B216="","",ROW()-6)</f>
        <v/>
      </c>
      <c r="B216" s="165" t="n"/>
      <c r="C216" s="166" t="n"/>
      <c r="D216" s="167" t="n"/>
      <c r="E216" s="167" t="n"/>
      <c r="F216" s="168" t="n"/>
      <c r="G216" s="169" t="n"/>
      <c r="H216" s="170">
        <f>IF(OR(F216="",G216=""),"",F216*G216)</f>
        <v/>
      </c>
      <c r="I216" s="171" t="n"/>
      <c r="J216" s="170">
        <f>IF(OR(H216="",E216="",P216=""),"",H216/(P216-E216+1))</f>
        <v/>
      </c>
      <c r="K216" s="165" t="n"/>
      <c r="L216" s="172">
        <f>IF(B216="","",IF(AF216&lt;=0,"Đã phân bổ",IF(P216&lt;=EDATE('Thiết lập'!$B$4,12),"Ngắn hạn","Dài hạn")))</f>
        <v/>
      </c>
      <c r="M216" s="165" t="n"/>
      <c r="N216" s="165" t="n"/>
      <c r="O216" s="165" t="n"/>
      <c r="P216" s="173">
        <f>IF(OR(E216="",I216=""),"",EDATE(E216,I216)-1)</f>
        <v/>
      </c>
      <c r="Q216" s="170">
        <f>IF(OR(B216="",E216="",P216=""),0,MIN(H216,MAX(0,MIN(P216,DATE('Thiết lập'!$B$3-1,12,31))-E216+1)*J216))</f>
        <v/>
      </c>
      <c r="R216" s="170">
        <f>IF(OR($B216="",R$4&gt;$P216,EOMONTH(R$4,0)&lt;$E216),0,MIN($H216,MAX(0,MIN(EOMONTH(R$4,0),$P216)-MAX(R$4,$E216)+1)*$J216))</f>
        <v/>
      </c>
      <c r="S216" s="170">
        <f>IF(OR($B216="",S$4&gt;$P216,EOMONTH(S$4,0)&lt;$E216),0,MIN($H216,MAX(0,MIN(EOMONTH(S$4,0),$P216)-MAX(S$4,$E216)+1)*$J216))</f>
        <v/>
      </c>
      <c r="T216" s="170">
        <f>IF(OR($B216="",T$4&gt;$P216,EOMONTH(T$4,0)&lt;$E216),0,MIN($H216,MAX(0,MIN(EOMONTH(T$4,0),$P216)-MAX(T$4,$E216)+1)*$J216))</f>
        <v/>
      </c>
      <c r="U216" s="170">
        <f>IF(OR($B216="",U$4&gt;$P216,EOMONTH(U$4,0)&lt;$E216),0,MIN($H216,MAX(0,MIN(EOMONTH(U$4,0),$P216)-MAX(U$4,$E216)+1)*$J216))</f>
        <v/>
      </c>
      <c r="V216" s="170">
        <f>IF(OR($B216="",V$4&gt;$P216,EOMONTH(V$4,0)&lt;$E216),0,MIN($H216,MAX(0,MIN(EOMONTH(V$4,0),$P216)-MAX(V$4,$E216)+1)*$J216))</f>
        <v/>
      </c>
      <c r="W216" s="170">
        <f>IF(OR($B216="",W$4&gt;$P216,EOMONTH(W$4,0)&lt;$E216),0,MIN($H216,MAX(0,MIN(EOMONTH(W$4,0),$P216)-MAX(W$4,$E216)+1)*$J216))</f>
        <v/>
      </c>
      <c r="X216" s="170">
        <f>IF(OR($B216="",X$4&gt;$P216,EOMONTH(X$4,0)&lt;$E216),0,MIN($H216,MAX(0,MIN(EOMONTH(X$4,0),$P216)-MAX(X$4,$E216)+1)*$J216))</f>
        <v/>
      </c>
      <c r="Y216" s="170">
        <f>IF(OR($B216="",Y$4&gt;$P216,EOMONTH(Y$4,0)&lt;$E216),0,MIN($H216,MAX(0,MIN(EOMONTH(Y$4,0),$P216)-MAX(Y$4,$E216)+1)*$J216))</f>
        <v/>
      </c>
      <c r="Z216" s="170">
        <f>IF(OR($B216="",Z$4&gt;$P216,EOMONTH(Z$4,0)&lt;$E216),0,MIN($H216,MAX(0,MIN(EOMONTH(Z$4,0),$P216)-MAX(Z$4,$E216)+1)*$J216))</f>
        <v/>
      </c>
      <c r="AA216" s="170">
        <f>IF(OR($B216="",AA$4&gt;$P216,EOMONTH(AA$4,0)&lt;$E216),0,MIN($H216,MAX(0,MIN(EOMONTH(AA$4,0),$P216)-MAX(AA$4,$E216)+1)*$J216))</f>
        <v/>
      </c>
      <c r="AB216" s="170">
        <f>IF(OR($B216="",AB$4&gt;$P216,EOMONTH(AB$4,0)&lt;$E216),0,MIN($H216,MAX(0,MIN(EOMONTH(AB$4,0),$P216)-MAX(AB$4,$E216)+1)*$J216))</f>
        <v/>
      </c>
      <c r="AC216" s="170">
        <f>IF(OR($B216="",AC$4&gt;$P216,EOMONTH(AC$4,0)&lt;$E216),0,MIN($H216,MAX(0,MIN(EOMONTH(AC$4,0),$P216)-MAX(AC$4,$E216)+1)*$J216))</f>
        <v/>
      </c>
      <c r="AD216" s="170">
        <f>IF(B216="","",ROUND(SUM(R216:AC216),0))</f>
        <v/>
      </c>
      <c r="AE216" s="170">
        <f>IF(B216="","",MIN(H216,ROUND(Q216+SUM(R216:AC216),0)))</f>
        <v/>
      </c>
      <c r="AF216" s="170">
        <f>IF(B216="","",MAX(H216-AE216,0))</f>
        <v/>
      </c>
      <c r="AG216" s="172">
        <f>IF(B216="","",IF('Thiết lập'!$B$4&lt;E216,"Chưa phân bổ",IF(P216&lt;='Thiết lập'!$B$4,"Đã phân bổ","Đang phân bổ")))</f>
        <v/>
      </c>
      <c r="AH216" s="166" t="n"/>
      <c r="AI216" s="174">
        <f>IF(B216="","",IF(AND(C216&lt;&gt;"",D216&lt;&gt;"",E216&lt;&gt;"",E216&gt;=D216,F216&gt;0,G216&gt;0,I216&gt;0,COUNTIF($B$7:$B$306,B216)=1),"OK",IF(C216="","Thiếu tên; ","")&amp;IF(D216="","Thiếu ngày tăng; ","")&amp;IF(E216="","Thiếu ngày bắt đầu; ","")&amp;IF(AND(D216&lt;&gt;"",E216&lt;&gt;"",E216&lt;D216),"Ngày bắt đầu &lt; ngày tăng; ","")&amp;IF(OR(F216="",F216&lt;=0),"Số lượng không hợp lệ; ","")&amp;IF(OR(G216="",G216&lt;=0),"Đơn giá không hợp lệ; ","")&amp;IF(OR(I216="",I216&lt;=0),"Số tháng không hợp lệ; ","")&amp;IF(COUNTIF($B$7:$B$306,B216)&gt;1,"Trùng mã CPTT; ","")))</f>
        <v/>
      </c>
    </row>
    <row r="217" ht="19.5" customHeight="1" s="98">
      <c r="A217" s="164">
        <f>IF(B217="","",ROW()-6)</f>
        <v/>
      </c>
      <c r="B217" s="165" t="n"/>
      <c r="C217" s="166" t="n"/>
      <c r="D217" s="167" t="n"/>
      <c r="E217" s="167" t="n"/>
      <c r="F217" s="168" t="n"/>
      <c r="G217" s="169" t="n"/>
      <c r="H217" s="170">
        <f>IF(OR(F217="",G217=""),"",F217*G217)</f>
        <v/>
      </c>
      <c r="I217" s="171" t="n"/>
      <c r="J217" s="170">
        <f>IF(OR(H217="",E217="",P217=""),"",H217/(P217-E217+1))</f>
        <v/>
      </c>
      <c r="K217" s="165" t="n"/>
      <c r="L217" s="172">
        <f>IF(B217="","",IF(AF217&lt;=0,"Đã phân bổ",IF(P217&lt;=EDATE('Thiết lập'!$B$4,12),"Ngắn hạn","Dài hạn")))</f>
        <v/>
      </c>
      <c r="M217" s="165" t="n"/>
      <c r="N217" s="165" t="n"/>
      <c r="O217" s="165" t="n"/>
      <c r="P217" s="173">
        <f>IF(OR(E217="",I217=""),"",EDATE(E217,I217)-1)</f>
        <v/>
      </c>
      <c r="Q217" s="170">
        <f>IF(OR(B217="",E217="",P217=""),0,MIN(H217,MAX(0,MIN(P217,DATE('Thiết lập'!$B$3-1,12,31))-E217+1)*J217))</f>
        <v/>
      </c>
      <c r="R217" s="170">
        <f>IF(OR($B217="",R$4&gt;$P217,EOMONTH(R$4,0)&lt;$E217),0,MIN($H217,MAX(0,MIN(EOMONTH(R$4,0),$P217)-MAX(R$4,$E217)+1)*$J217))</f>
        <v/>
      </c>
      <c r="S217" s="170">
        <f>IF(OR($B217="",S$4&gt;$P217,EOMONTH(S$4,0)&lt;$E217),0,MIN($H217,MAX(0,MIN(EOMONTH(S$4,0),$P217)-MAX(S$4,$E217)+1)*$J217))</f>
        <v/>
      </c>
      <c r="T217" s="170">
        <f>IF(OR($B217="",T$4&gt;$P217,EOMONTH(T$4,0)&lt;$E217),0,MIN($H217,MAX(0,MIN(EOMONTH(T$4,0),$P217)-MAX(T$4,$E217)+1)*$J217))</f>
        <v/>
      </c>
      <c r="U217" s="170">
        <f>IF(OR($B217="",U$4&gt;$P217,EOMONTH(U$4,0)&lt;$E217),0,MIN($H217,MAX(0,MIN(EOMONTH(U$4,0),$P217)-MAX(U$4,$E217)+1)*$J217))</f>
        <v/>
      </c>
      <c r="V217" s="170">
        <f>IF(OR($B217="",V$4&gt;$P217,EOMONTH(V$4,0)&lt;$E217),0,MIN($H217,MAX(0,MIN(EOMONTH(V$4,0),$P217)-MAX(V$4,$E217)+1)*$J217))</f>
        <v/>
      </c>
      <c r="W217" s="170">
        <f>IF(OR($B217="",W$4&gt;$P217,EOMONTH(W$4,0)&lt;$E217),0,MIN($H217,MAX(0,MIN(EOMONTH(W$4,0),$P217)-MAX(W$4,$E217)+1)*$J217))</f>
        <v/>
      </c>
      <c r="X217" s="170">
        <f>IF(OR($B217="",X$4&gt;$P217,EOMONTH(X$4,0)&lt;$E217),0,MIN($H217,MAX(0,MIN(EOMONTH(X$4,0),$P217)-MAX(X$4,$E217)+1)*$J217))</f>
        <v/>
      </c>
      <c r="Y217" s="170">
        <f>IF(OR($B217="",Y$4&gt;$P217,EOMONTH(Y$4,0)&lt;$E217),0,MIN($H217,MAX(0,MIN(EOMONTH(Y$4,0),$P217)-MAX(Y$4,$E217)+1)*$J217))</f>
        <v/>
      </c>
      <c r="Z217" s="170">
        <f>IF(OR($B217="",Z$4&gt;$P217,EOMONTH(Z$4,0)&lt;$E217),0,MIN($H217,MAX(0,MIN(EOMONTH(Z$4,0),$P217)-MAX(Z$4,$E217)+1)*$J217))</f>
        <v/>
      </c>
      <c r="AA217" s="170">
        <f>IF(OR($B217="",AA$4&gt;$P217,EOMONTH(AA$4,0)&lt;$E217),0,MIN($H217,MAX(0,MIN(EOMONTH(AA$4,0),$P217)-MAX(AA$4,$E217)+1)*$J217))</f>
        <v/>
      </c>
      <c r="AB217" s="170">
        <f>IF(OR($B217="",AB$4&gt;$P217,EOMONTH(AB$4,0)&lt;$E217),0,MIN($H217,MAX(0,MIN(EOMONTH(AB$4,0),$P217)-MAX(AB$4,$E217)+1)*$J217))</f>
        <v/>
      </c>
      <c r="AC217" s="170">
        <f>IF(OR($B217="",AC$4&gt;$P217,EOMONTH(AC$4,0)&lt;$E217),0,MIN($H217,MAX(0,MIN(EOMONTH(AC$4,0),$P217)-MAX(AC$4,$E217)+1)*$J217))</f>
        <v/>
      </c>
      <c r="AD217" s="170">
        <f>IF(B217="","",ROUND(SUM(R217:AC217),0))</f>
        <v/>
      </c>
      <c r="AE217" s="170">
        <f>IF(B217="","",MIN(H217,ROUND(Q217+SUM(R217:AC217),0)))</f>
        <v/>
      </c>
      <c r="AF217" s="170">
        <f>IF(B217="","",MAX(H217-AE217,0))</f>
        <v/>
      </c>
      <c r="AG217" s="172">
        <f>IF(B217="","",IF('Thiết lập'!$B$4&lt;E217,"Chưa phân bổ",IF(P217&lt;='Thiết lập'!$B$4,"Đã phân bổ","Đang phân bổ")))</f>
        <v/>
      </c>
      <c r="AH217" s="166" t="n"/>
      <c r="AI217" s="174">
        <f>IF(B217="","",IF(AND(C217&lt;&gt;"",D217&lt;&gt;"",E217&lt;&gt;"",E217&gt;=D217,F217&gt;0,G217&gt;0,I217&gt;0,COUNTIF($B$7:$B$306,B217)=1),"OK",IF(C217="","Thiếu tên; ","")&amp;IF(D217="","Thiếu ngày tăng; ","")&amp;IF(E217="","Thiếu ngày bắt đầu; ","")&amp;IF(AND(D217&lt;&gt;"",E217&lt;&gt;"",E217&lt;D217),"Ngày bắt đầu &lt; ngày tăng; ","")&amp;IF(OR(F217="",F217&lt;=0),"Số lượng không hợp lệ; ","")&amp;IF(OR(G217="",G217&lt;=0),"Đơn giá không hợp lệ; ","")&amp;IF(OR(I217="",I217&lt;=0),"Số tháng không hợp lệ; ","")&amp;IF(COUNTIF($B$7:$B$306,B217)&gt;1,"Trùng mã CPTT; ","")))</f>
        <v/>
      </c>
    </row>
    <row r="218" ht="19.5" customHeight="1" s="98">
      <c r="A218" s="164">
        <f>IF(B218="","",ROW()-6)</f>
        <v/>
      </c>
      <c r="B218" s="165" t="n"/>
      <c r="C218" s="166" t="n"/>
      <c r="D218" s="167" t="n"/>
      <c r="E218" s="167" t="n"/>
      <c r="F218" s="168" t="n"/>
      <c r="G218" s="169" t="n"/>
      <c r="H218" s="170">
        <f>IF(OR(F218="",G218=""),"",F218*G218)</f>
        <v/>
      </c>
      <c r="I218" s="171" t="n"/>
      <c r="J218" s="170">
        <f>IF(OR(H218="",E218="",P218=""),"",H218/(P218-E218+1))</f>
        <v/>
      </c>
      <c r="K218" s="165" t="n"/>
      <c r="L218" s="172">
        <f>IF(B218="","",IF(AF218&lt;=0,"Đã phân bổ",IF(P218&lt;=EDATE('Thiết lập'!$B$4,12),"Ngắn hạn","Dài hạn")))</f>
        <v/>
      </c>
      <c r="M218" s="165" t="n"/>
      <c r="N218" s="165" t="n"/>
      <c r="O218" s="165" t="n"/>
      <c r="P218" s="173">
        <f>IF(OR(E218="",I218=""),"",EDATE(E218,I218)-1)</f>
        <v/>
      </c>
      <c r="Q218" s="170">
        <f>IF(OR(B218="",E218="",P218=""),0,MIN(H218,MAX(0,MIN(P218,DATE('Thiết lập'!$B$3-1,12,31))-E218+1)*J218))</f>
        <v/>
      </c>
      <c r="R218" s="170">
        <f>IF(OR($B218="",R$4&gt;$P218,EOMONTH(R$4,0)&lt;$E218),0,MIN($H218,MAX(0,MIN(EOMONTH(R$4,0),$P218)-MAX(R$4,$E218)+1)*$J218))</f>
        <v/>
      </c>
      <c r="S218" s="170">
        <f>IF(OR($B218="",S$4&gt;$P218,EOMONTH(S$4,0)&lt;$E218),0,MIN($H218,MAX(0,MIN(EOMONTH(S$4,0),$P218)-MAX(S$4,$E218)+1)*$J218))</f>
        <v/>
      </c>
      <c r="T218" s="170">
        <f>IF(OR($B218="",T$4&gt;$P218,EOMONTH(T$4,0)&lt;$E218),0,MIN($H218,MAX(0,MIN(EOMONTH(T$4,0),$P218)-MAX(T$4,$E218)+1)*$J218))</f>
        <v/>
      </c>
      <c r="U218" s="170">
        <f>IF(OR($B218="",U$4&gt;$P218,EOMONTH(U$4,0)&lt;$E218),0,MIN($H218,MAX(0,MIN(EOMONTH(U$4,0),$P218)-MAX(U$4,$E218)+1)*$J218))</f>
        <v/>
      </c>
      <c r="V218" s="170">
        <f>IF(OR($B218="",V$4&gt;$P218,EOMONTH(V$4,0)&lt;$E218),0,MIN($H218,MAX(0,MIN(EOMONTH(V$4,0),$P218)-MAX(V$4,$E218)+1)*$J218))</f>
        <v/>
      </c>
      <c r="W218" s="170">
        <f>IF(OR($B218="",W$4&gt;$P218,EOMONTH(W$4,0)&lt;$E218),0,MIN($H218,MAX(0,MIN(EOMONTH(W$4,0),$P218)-MAX(W$4,$E218)+1)*$J218))</f>
        <v/>
      </c>
      <c r="X218" s="170">
        <f>IF(OR($B218="",X$4&gt;$P218,EOMONTH(X$4,0)&lt;$E218),0,MIN($H218,MAX(0,MIN(EOMONTH(X$4,0),$P218)-MAX(X$4,$E218)+1)*$J218))</f>
        <v/>
      </c>
      <c r="Y218" s="170">
        <f>IF(OR($B218="",Y$4&gt;$P218,EOMONTH(Y$4,0)&lt;$E218),0,MIN($H218,MAX(0,MIN(EOMONTH(Y$4,0),$P218)-MAX(Y$4,$E218)+1)*$J218))</f>
        <v/>
      </c>
      <c r="Z218" s="170">
        <f>IF(OR($B218="",Z$4&gt;$P218,EOMONTH(Z$4,0)&lt;$E218),0,MIN($H218,MAX(0,MIN(EOMONTH(Z$4,0),$P218)-MAX(Z$4,$E218)+1)*$J218))</f>
        <v/>
      </c>
      <c r="AA218" s="170">
        <f>IF(OR($B218="",AA$4&gt;$P218,EOMONTH(AA$4,0)&lt;$E218),0,MIN($H218,MAX(0,MIN(EOMONTH(AA$4,0),$P218)-MAX(AA$4,$E218)+1)*$J218))</f>
        <v/>
      </c>
      <c r="AB218" s="170">
        <f>IF(OR($B218="",AB$4&gt;$P218,EOMONTH(AB$4,0)&lt;$E218),0,MIN($H218,MAX(0,MIN(EOMONTH(AB$4,0),$P218)-MAX(AB$4,$E218)+1)*$J218))</f>
        <v/>
      </c>
      <c r="AC218" s="170">
        <f>IF(OR($B218="",AC$4&gt;$P218,EOMONTH(AC$4,0)&lt;$E218),0,MIN($H218,MAX(0,MIN(EOMONTH(AC$4,0),$P218)-MAX(AC$4,$E218)+1)*$J218))</f>
        <v/>
      </c>
      <c r="AD218" s="170">
        <f>IF(B218="","",ROUND(SUM(R218:AC218),0))</f>
        <v/>
      </c>
      <c r="AE218" s="170">
        <f>IF(B218="","",MIN(H218,ROUND(Q218+SUM(R218:AC218),0)))</f>
        <v/>
      </c>
      <c r="AF218" s="170">
        <f>IF(B218="","",MAX(H218-AE218,0))</f>
        <v/>
      </c>
      <c r="AG218" s="172">
        <f>IF(B218="","",IF('Thiết lập'!$B$4&lt;E218,"Chưa phân bổ",IF(P218&lt;='Thiết lập'!$B$4,"Đã phân bổ","Đang phân bổ")))</f>
        <v/>
      </c>
      <c r="AH218" s="166" t="n"/>
      <c r="AI218" s="174">
        <f>IF(B218="","",IF(AND(C218&lt;&gt;"",D218&lt;&gt;"",E218&lt;&gt;"",E218&gt;=D218,F218&gt;0,G218&gt;0,I218&gt;0,COUNTIF($B$7:$B$306,B218)=1),"OK",IF(C218="","Thiếu tên; ","")&amp;IF(D218="","Thiếu ngày tăng; ","")&amp;IF(E218="","Thiếu ngày bắt đầu; ","")&amp;IF(AND(D218&lt;&gt;"",E218&lt;&gt;"",E218&lt;D218),"Ngày bắt đầu &lt; ngày tăng; ","")&amp;IF(OR(F218="",F218&lt;=0),"Số lượng không hợp lệ; ","")&amp;IF(OR(G218="",G218&lt;=0),"Đơn giá không hợp lệ; ","")&amp;IF(OR(I218="",I218&lt;=0),"Số tháng không hợp lệ; ","")&amp;IF(COUNTIF($B$7:$B$306,B218)&gt;1,"Trùng mã CPTT; ","")))</f>
        <v/>
      </c>
    </row>
    <row r="219" ht="19.5" customHeight="1" s="98">
      <c r="A219" s="164">
        <f>IF(B219="","",ROW()-6)</f>
        <v/>
      </c>
      <c r="B219" s="165" t="n"/>
      <c r="C219" s="166" t="n"/>
      <c r="D219" s="167" t="n"/>
      <c r="E219" s="167" t="n"/>
      <c r="F219" s="168" t="n"/>
      <c r="G219" s="169" t="n"/>
      <c r="H219" s="170">
        <f>IF(OR(F219="",G219=""),"",F219*G219)</f>
        <v/>
      </c>
      <c r="I219" s="171" t="n"/>
      <c r="J219" s="170">
        <f>IF(OR(H219="",E219="",P219=""),"",H219/(P219-E219+1))</f>
        <v/>
      </c>
      <c r="K219" s="165" t="n"/>
      <c r="L219" s="172">
        <f>IF(B219="","",IF(AF219&lt;=0,"Đã phân bổ",IF(P219&lt;=EDATE('Thiết lập'!$B$4,12),"Ngắn hạn","Dài hạn")))</f>
        <v/>
      </c>
      <c r="M219" s="165" t="n"/>
      <c r="N219" s="165" t="n"/>
      <c r="O219" s="165" t="n"/>
      <c r="P219" s="173">
        <f>IF(OR(E219="",I219=""),"",EDATE(E219,I219)-1)</f>
        <v/>
      </c>
      <c r="Q219" s="170">
        <f>IF(OR(B219="",E219="",P219=""),0,MIN(H219,MAX(0,MIN(P219,DATE('Thiết lập'!$B$3-1,12,31))-E219+1)*J219))</f>
        <v/>
      </c>
      <c r="R219" s="170">
        <f>IF(OR($B219="",R$4&gt;$P219,EOMONTH(R$4,0)&lt;$E219),0,MIN($H219,MAX(0,MIN(EOMONTH(R$4,0),$P219)-MAX(R$4,$E219)+1)*$J219))</f>
        <v/>
      </c>
      <c r="S219" s="170">
        <f>IF(OR($B219="",S$4&gt;$P219,EOMONTH(S$4,0)&lt;$E219),0,MIN($H219,MAX(0,MIN(EOMONTH(S$4,0),$P219)-MAX(S$4,$E219)+1)*$J219))</f>
        <v/>
      </c>
      <c r="T219" s="170">
        <f>IF(OR($B219="",T$4&gt;$P219,EOMONTH(T$4,0)&lt;$E219),0,MIN($H219,MAX(0,MIN(EOMONTH(T$4,0),$P219)-MAX(T$4,$E219)+1)*$J219))</f>
        <v/>
      </c>
      <c r="U219" s="170">
        <f>IF(OR($B219="",U$4&gt;$P219,EOMONTH(U$4,0)&lt;$E219),0,MIN($H219,MAX(0,MIN(EOMONTH(U$4,0),$P219)-MAX(U$4,$E219)+1)*$J219))</f>
        <v/>
      </c>
      <c r="V219" s="170">
        <f>IF(OR($B219="",V$4&gt;$P219,EOMONTH(V$4,0)&lt;$E219),0,MIN($H219,MAX(0,MIN(EOMONTH(V$4,0),$P219)-MAX(V$4,$E219)+1)*$J219))</f>
        <v/>
      </c>
      <c r="W219" s="170">
        <f>IF(OR($B219="",W$4&gt;$P219,EOMONTH(W$4,0)&lt;$E219),0,MIN($H219,MAX(0,MIN(EOMONTH(W$4,0),$P219)-MAX(W$4,$E219)+1)*$J219))</f>
        <v/>
      </c>
      <c r="X219" s="170">
        <f>IF(OR($B219="",X$4&gt;$P219,EOMONTH(X$4,0)&lt;$E219),0,MIN($H219,MAX(0,MIN(EOMONTH(X$4,0),$P219)-MAX(X$4,$E219)+1)*$J219))</f>
        <v/>
      </c>
      <c r="Y219" s="170">
        <f>IF(OR($B219="",Y$4&gt;$P219,EOMONTH(Y$4,0)&lt;$E219),0,MIN($H219,MAX(0,MIN(EOMONTH(Y$4,0),$P219)-MAX(Y$4,$E219)+1)*$J219))</f>
        <v/>
      </c>
      <c r="Z219" s="170">
        <f>IF(OR($B219="",Z$4&gt;$P219,EOMONTH(Z$4,0)&lt;$E219),0,MIN($H219,MAX(0,MIN(EOMONTH(Z$4,0),$P219)-MAX(Z$4,$E219)+1)*$J219))</f>
        <v/>
      </c>
      <c r="AA219" s="170">
        <f>IF(OR($B219="",AA$4&gt;$P219,EOMONTH(AA$4,0)&lt;$E219),0,MIN($H219,MAX(0,MIN(EOMONTH(AA$4,0),$P219)-MAX(AA$4,$E219)+1)*$J219))</f>
        <v/>
      </c>
      <c r="AB219" s="170">
        <f>IF(OR($B219="",AB$4&gt;$P219,EOMONTH(AB$4,0)&lt;$E219),0,MIN($H219,MAX(0,MIN(EOMONTH(AB$4,0),$P219)-MAX(AB$4,$E219)+1)*$J219))</f>
        <v/>
      </c>
      <c r="AC219" s="170">
        <f>IF(OR($B219="",AC$4&gt;$P219,EOMONTH(AC$4,0)&lt;$E219),0,MIN($H219,MAX(0,MIN(EOMONTH(AC$4,0),$P219)-MAX(AC$4,$E219)+1)*$J219))</f>
        <v/>
      </c>
      <c r="AD219" s="170">
        <f>IF(B219="","",ROUND(SUM(R219:AC219),0))</f>
        <v/>
      </c>
      <c r="AE219" s="170">
        <f>IF(B219="","",MIN(H219,ROUND(Q219+SUM(R219:AC219),0)))</f>
        <v/>
      </c>
      <c r="AF219" s="170">
        <f>IF(B219="","",MAX(H219-AE219,0))</f>
        <v/>
      </c>
      <c r="AG219" s="172">
        <f>IF(B219="","",IF('Thiết lập'!$B$4&lt;E219,"Chưa phân bổ",IF(P219&lt;='Thiết lập'!$B$4,"Đã phân bổ","Đang phân bổ")))</f>
        <v/>
      </c>
      <c r="AH219" s="166" t="n"/>
      <c r="AI219" s="174">
        <f>IF(B219="","",IF(AND(C219&lt;&gt;"",D219&lt;&gt;"",E219&lt;&gt;"",E219&gt;=D219,F219&gt;0,G219&gt;0,I219&gt;0,COUNTIF($B$7:$B$306,B219)=1),"OK",IF(C219="","Thiếu tên; ","")&amp;IF(D219="","Thiếu ngày tăng; ","")&amp;IF(E219="","Thiếu ngày bắt đầu; ","")&amp;IF(AND(D219&lt;&gt;"",E219&lt;&gt;"",E219&lt;D219),"Ngày bắt đầu &lt; ngày tăng; ","")&amp;IF(OR(F219="",F219&lt;=0),"Số lượng không hợp lệ; ","")&amp;IF(OR(G219="",G219&lt;=0),"Đơn giá không hợp lệ; ","")&amp;IF(OR(I219="",I219&lt;=0),"Số tháng không hợp lệ; ","")&amp;IF(COUNTIF($B$7:$B$306,B219)&gt;1,"Trùng mã CPTT; ","")))</f>
        <v/>
      </c>
    </row>
    <row r="220" ht="19.5" customHeight="1" s="98">
      <c r="A220" s="164">
        <f>IF(B220="","",ROW()-6)</f>
        <v/>
      </c>
      <c r="B220" s="165" t="n"/>
      <c r="C220" s="166" t="n"/>
      <c r="D220" s="167" t="n"/>
      <c r="E220" s="167" t="n"/>
      <c r="F220" s="168" t="n"/>
      <c r="G220" s="169" t="n"/>
      <c r="H220" s="170">
        <f>IF(OR(F220="",G220=""),"",F220*G220)</f>
        <v/>
      </c>
      <c r="I220" s="171" t="n"/>
      <c r="J220" s="170">
        <f>IF(OR(H220="",E220="",P220=""),"",H220/(P220-E220+1))</f>
        <v/>
      </c>
      <c r="K220" s="165" t="n"/>
      <c r="L220" s="172">
        <f>IF(B220="","",IF(AF220&lt;=0,"Đã phân bổ",IF(P220&lt;=EDATE('Thiết lập'!$B$4,12),"Ngắn hạn","Dài hạn")))</f>
        <v/>
      </c>
      <c r="M220" s="165" t="n"/>
      <c r="N220" s="165" t="n"/>
      <c r="O220" s="165" t="n"/>
      <c r="P220" s="173">
        <f>IF(OR(E220="",I220=""),"",EDATE(E220,I220)-1)</f>
        <v/>
      </c>
      <c r="Q220" s="170">
        <f>IF(OR(B220="",E220="",P220=""),0,MIN(H220,MAX(0,MIN(P220,DATE('Thiết lập'!$B$3-1,12,31))-E220+1)*J220))</f>
        <v/>
      </c>
      <c r="R220" s="170">
        <f>IF(OR($B220="",R$4&gt;$P220,EOMONTH(R$4,0)&lt;$E220),0,MIN($H220,MAX(0,MIN(EOMONTH(R$4,0),$P220)-MAX(R$4,$E220)+1)*$J220))</f>
        <v/>
      </c>
      <c r="S220" s="170">
        <f>IF(OR($B220="",S$4&gt;$P220,EOMONTH(S$4,0)&lt;$E220),0,MIN($H220,MAX(0,MIN(EOMONTH(S$4,0),$P220)-MAX(S$4,$E220)+1)*$J220))</f>
        <v/>
      </c>
      <c r="T220" s="170">
        <f>IF(OR($B220="",T$4&gt;$P220,EOMONTH(T$4,0)&lt;$E220),0,MIN($H220,MAX(0,MIN(EOMONTH(T$4,0),$P220)-MAX(T$4,$E220)+1)*$J220))</f>
        <v/>
      </c>
      <c r="U220" s="170">
        <f>IF(OR($B220="",U$4&gt;$P220,EOMONTH(U$4,0)&lt;$E220),0,MIN($H220,MAX(0,MIN(EOMONTH(U$4,0),$P220)-MAX(U$4,$E220)+1)*$J220))</f>
        <v/>
      </c>
      <c r="V220" s="170">
        <f>IF(OR($B220="",V$4&gt;$P220,EOMONTH(V$4,0)&lt;$E220),0,MIN($H220,MAX(0,MIN(EOMONTH(V$4,0),$P220)-MAX(V$4,$E220)+1)*$J220))</f>
        <v/>
      </c>
      <c r="W220" s="170">
        <f>IF(OR($B220="",W$4&gt;$P220,EOMONTH(W$4,0)&lt;$E220),0,MIN($H220,MAX(0,MIN(EOMONTH(W$4,0),$P220)-MAX(W$4,$E220)+1)*$J220))</f>
        <v/>
      </c>
      <c r="X220" s="170">
        <f>IF(OR($B220="",X$4&gt;$P220,EOMONTH(X$4,0)&lt;$E220),0,MIN($H220,MAX(0,MIN(EOMONTH(X$4,0),$P220)-MAX(X$4,$E220)+1)*$J220))</f>
        <v/>
      </c>
      <c r="Y220" s="170">
        <f>IF(OR($B220="",Y$4&gt;$P220,EOMONTH(Y$4,0)&lt;$E220),0,MIN($H220,MAX(0,MIN(EOMONTH(Y$4,0),$P220)-MAX(Y$4,$E220)+1)*$J220))</f>
        <v/>
      </c>
      <c r="Z220" s="170">
        <f>IF(OR($B220="",Z$4&gt;$P220,EOMONTH(Z$4,0)&lt;$E220),0,MIN($H220,MAX(0,MIN(EOMONTH(Z$4,0),$P220)-MAX(Z$4,$E220)+1)*$J220))</f>
        <v/>
      </c>
      <c r="AA220" s="170">
        <f>IF(OR($B220="",AA$4&gt;$P220,EOMONTH(AA$4,0)&lt;$E220),0,MIN($H220,MAX(0,MIN(EOMONTH(AA$4,0),$P220)-MAX(AA$4,$E220)+1)*$J220))</f>
        <v/>
      </c>
      <c r="AB220" s="170">
        <f>IF(OR($B220="",AB$4&gt;$P220,EOMONTH(AB$4,0)&lt;$E220),0,MIN($H220,MAX(0,MIN(EOMONTH(AB$4,0),$P220)-MAX(AB$4,$E220)+1)*$J220))</f>
        <v/>
      </c>
      <c r="AC220" s="170">
        <f>IF(OR($B220="",AC$4&gt;$P220,EOMONTH(AC$4,0)&lt;$E220),0,MIN($H220,MAX(0,MIN(EOMONTH(AC$4,0),$P220)-MAX(AC$4,$E220)+1)*$J220))</f>
        <v/>
      </c>
      <c r="AD220" s="170">
        <f>IF(B220="","",ROUND(SUM(R220:AC220),0))</f>
        <v/>
      </c>
      <c r="AE220" s="170">
        <f>IF(B220="","",MIN(H220,ROUND(Q220+SUM(R220:AC220),0)))</f>
        <v/>
      </c>
      <c r="AF220" s="170">
        <f>IF(B220="","",MAX(H220-AE220,0))</f>
        <v/>
      </c>
      <c r="AG220" s="172">
        <f>IF(B220="","",IF('Thiết lập'!$B$4&lt;E220,"Chưa phân bổ",IF(P220&lt;='Thiết lập'!$B$4,"Đã phân bổ","Đang phân bổ")))</f>
        <v/>
      </c>
      <c r="AH220" s="166" t="n"/>
      <c r="AI220" s="174">
        <f>IF(B220="","",IF(AND(C220&lt;&gt;"",D220&lt;&gt;"",E220&lt;&gt;"",E220&gt;=D220,F220&gt;0,G220&gt;0,I220&gt;0,COUNTIF($B$7:$B$306,B220)=1),"OK",IF(C220="","Thiếu tên; ","")&amp;IF(D220="","Thiếu ngày tăng; ","")&amp;IF(E220="","Thiếu ngày bắt đầu; ","")&amp;IF(AND(D220&lt;&gt;"",E220&lt;&gt;"",E220&lt;D220),"Ngày bắt đầu &lt; ngày tăng; ","")&amp;IF(OR(F220="",F220&lt;=0),"Số lượng không hợp lệ; ","")&amp;IF(OR(G220="",G220&lt;=0),"Đơn giá không hợp lệ; ","")&amp;IF(OR(I220="",I220&lt;=0),"Số tháng không hợp lệ; ","")&amp;IF(COUNTIF($B$7:$B$306,B220)&gt;1,"Trùng mã CPTT; ","")))</f>
        <v/>
      </c>
    </row>
    <row r="221" ht="19.5" customHeight="1" s="98">
      <c r="A221" s="164">
        <f>IF(B221="","",ROW()-6)</f>
        <v/>
      </c>
      <c r="B221" s="165" t="n"/>
      <c r="C221" s="166" t="n"/>
      <c r="D221" s="167" t="n"/>
      <c r="E221" s="167" t="n"/>
      <c r="F221" s="168" t="n"/>
      <c r="G221" s="169" t="n"/>
      <c r="H221" s="170">
        <f>IF(OR(F221="",G221=""),"",F221*G221)</f>
        <v/>
      </c>
      <c r="I221" s="171" t="n"/>
      <c r="J221" s="170">
        <f>IF(OR(H221="",E221="",P221=""),"",H221/(P221-E221+1))</f>
        <v/>
      </c>
      <c r="K221" s="165" t="n"/>
      <c r="L221" s="172">
        <f>IF(B221="","",IF(AF221&lt;=0,"Đã phân bổ",IF(P221&lt;=EDATE('Thiết lập'!$B$4,12),"Ngắn hạn","Dài hạn")))</f>
        <v/>
      </c>
      <c r="M221" s="165" t="n"/>
      <c r="N221" s="165" t="n"/>
      <c r="O221" s="165" t="n"/>
      <c r="P221" s="173">
        <f>IF(OR(E221="",I221=""),"",EDATE(E221,I221)-1)</f>
        <v/>
      </c>
      <c r="Q221" s="170">
        <f>IF(OR(B221="",E221="",P221=""),0,MIN(H221,MAX(0,MIN(P221,DATE('Thiết lập'!$B$3-1,12,31))-E221+1)*J221))</f>
        <v/>
      </c>
      <c r="R221" s="170">
        <f>IF(OR($B221="",R$4&gt;$P221,EOMONTH(R$4,0)&lt;$E221),0,MIN($H221,MAX(0,MIN(EOMONTH(R$4,0),$P221)-MAX(R$4,$E221)+1)*$J221))</f>
        <v/>
      </c>
      <c r="S221" s="170">
        <f>IF(OR($B221="",S$4&gt;$P221,EOMONTH(S$4,0)&lt;$E221),0,MIN($H221,MAX(0,MIN(EOMONTH(S$4,0),$P221)-MAX(S$4,$E221)+1)*$J221))</f>
        <v/>
      </c>
      <c r="T221" s="170">
        <f>IF(OR($B221="",T$4&gt;$P221,EOMONTH(T$4,0)&lt;$E221),0,MIN($H221,MAX(0,MIN(EOMONTH(T$4,0),$P221)-MAX(T$4,$E221)+1)*$J221))</f>
        <v/>
      </c>
      <c r="U221" s="170">
        <f>IF(OR($B221="",U$4&gt;$P221,EOMONTH(U$4,0)&lt;$E221),0,MIN($H221,MAX(0,MIN(EOMONTH(U$4,0),$P221)-MAX(U$4,$E221)+1)*$J221))</f>
        <v/>
      </c>
      <c r="V221" s="170">
        <f>IF(OR($B221="",V$4&gt;$P221,EOMONTH(V$4,0)&lt;$E221),0,MIN($H221,MAX(0,MIN(EOMONTH(V$4,0),$P221)-MAX(V$4,$E221)+1)*$J221))</f>
        <v/>
      </c>
      <c r="W221" s="170">
        <f>IF(OR($B221="",W$4&gt;$P221,EOMONTH(W$4,0)&lt;$E221),0,MIN($H221,MAX(0,MIN(EOMONTH(W$4,0),$P221)-MAX(W$4,$E221)+1)*$J221))</f>
        <v/>
      </c>
      <c r="X221" s="170">
        <f>IF(OR($B221="",X$4&gt;$P221,EOMONTH(X$4,0)&lt;$E221),0,MIN($H221,MAX(0,MIN(EOMONTH(X$4,0),$P221)-MAX(X$4,$E221)+1)*$J221))</f>
        <v/>
      </c>
      <c r="Y221" s="170">
        <f>IF(OR($B221="",Y$4&gt;$P221,EOMONTH(Y$4,0)&lt;$E221),0,MIN($H221,MAX(0,MIN(EOMONTH(Y$4,0),$P221)-MAX(Y$4,$E221)+1)*$J221))</f>
        <v/>
      </c>
      <c r="Z221" s="170">
        <f>IF(OR($B221="",Z$4&gt;$P221,EOMONTH(Z$4,0)&lt;$E221),0,MIN($H221,MAX(0,MIN(EOMONTH(Z$4,0),$P221)-MAX(Z$4,$E221)+1)*$J221))</f>
        <v/>
      </c>
      <c r="AA221" s="170">
        <f>IF(OR($B221="",AA$4&gt;$P221,EOMONTH(AA$4,0)&lt;$E221),0,MIN($H221,MAX(0,MIN(EOMONTH(AA$4,0),$P221)-MAX(AA$4,$E221)+1)*$J221))</f>
        <v/>
      </c>
      <c r="AB221" s="170">
        <f>IF(OR($B221="",AB$4&gt;$P221,EOMONTH(AB$4,0)&lt;$E221),0,MIN($H221,MAX(0,MIN(EOMONTH(AB$4,0),$P221)-MAX(AB$4,$E221)+1)*$J221))</f>
        <v/>
      </c>
      <c r="AC221" s="170">
        <f>IF(OR($B221="",AC$4&gt;$P221,EOMONTH(AC$4,0)&lt;$E221),0,MIN($H221,MAX(0,MIN(EOMONTH(AC$4,0),$P221)-MAX(AC$4,$E221)+1)*$J221))</f>
        <v/>
      </c>
      <c r="AD221" s="170">
        <f>IF(B221="","",ROUND(SUM(R221:AC221),0))</f>
        <v/>
      </c>
      <c r="AE221" s="170">
        <f>IF(B221="","",MIN(H221,ROUND(Q221+SUM(R221:AC221),0)))</f>
        <v/>
      </c>
      <c r="AF221" s="170">
        <f>IF(B221="","",MAX(H221-AE221,0))</f>
        <v/>
      </c>
      <c r="AG221" s="172">
        <f>IF(B221="","",IF('Thiết lập'!$B$4&lt;E221,"Chưa phân bổ",IF(P221&lt;='Thiết lập'!$B$4,"Đã phân bổ","Đang phân bổ")))</f>
        <v/>
      </c>
      <c r="AH221" s="166" t="n"/>
      <c r="AI221" s="174">
        <f>IF(B221="","",IF(AND(C221&lt;&gt;"",D221&lt;&gt;"",E221&lt;&gt;"",E221&gt;=D221,F221&gt;0,G221&gt;0,I221&gt;0,COUNTIF($B$7:$B$306,B221)=1),"OK",IF(C221="","Thiếu tên; ","")&amp;IF(D221="","Thiếu ngày tăng; ","")&amp;IF(E221="","Thiếu ngày bắt đầu; ","")&amp;IF(AND(D221&lt;&gt;"",E221&lt;&gt;"",E221&lt;D221),"Ngày bắt đầu &lt; ngày tăng; ","")&amp;IF(OR(F221="",F221&lt;=0),"Số lượng không hợp lệ; ","")&amp;IF(OR(G221="",G221&lt;=0),"Đơn giá không hợp lệ; ","")&amp;IF(OR(I221="",I221&lt;=0),"Số tháng không hợp lệ; ","")&amp;IF(COUNTIF($B$7:$B$306,B221)&gt;1,"Trùng mã CPTT; ","")))</f>
        <v/>
      </c>
    </row>
    <row r="222" ht="19.5" customHeight="1" s="98">
      <c r="A222" s="164">
        <f>IF(B222="","",ROW()-6)</f>
        <v/>
      </c>
      <c r="B222" s="165" t="n"/>
      <c r="C222" s="166" t="n"/>
      <c r="D222" s="167" t="n"/>
      <c r="E222" s="167" t="n"/>
      <c r="F222" s="168" t="n"/>
      <c r="G222" s="169" t="n"/>
      <c r="H222" s="170">
        <f>IF(OR(F222="",G222=""),"",F222*G222)</f>
        <v/>
      </c>
      <c r="I222" s="171" t="n"/>
      <c r="J222" s="170">
        <f>IF(OR(H222="",E222="",P222=""),"",H222/(P222-E222+1))</f>
        <v/>
      </c>
      <c r="K222" s="165" t="n"/>
      <c r="L222" s="172">
        <f>IF(B222="","",IF(AF222&lt;=0,"Đã phân bổ",IF(P222&lt;=EDATE('Thiết lập'!$B$4,12),"Ngắn hạn","Dài hạn")))</f>
        <v/>
      </c>
      <c r="M222" s="165" t="n"/>
      <c r="N222" s="165" t="n"/>
      <c r="O222" s="165" t="n"/>
      <c r="P222" s="173">
        <f>IF(OR(E222="",I222=""),"",EDATE(E222,I222)-1)</f>
        <v/>
      </c>
      <c r="Q222" s="170">
        <f>IF(OR(B222="",E222="",P222=""),0,MIN(H222,MAX(0,MIN(P222,DATE('Thiết lập'!$B$3-1,12,31))-E222+1)*J222))</f>
        <v/>
      </c>
      <c r="R222" s="170">
        <f>IF(OR($B222="",R$4&gt;$P222,EOMONTH(R$4,0)&lt;$E222),0,MIN($H222,MAX(0,MIN(EOMONTH(R$4,0),$P222)-MAX(R$4,$E222)+1)*$J222))</f>
        <v/>
      </c>
      <c r="S222" s="170">
        <f>IF(OR($B222="",S$4&gt;$P222,EOMONTH(S$4,0)&lt;$E222),0,MIN($H222,MAX(0,MIN(EOMONTH(S$4,0),$P222)-MAX(S$4,$E222)+1)*$J222))</f>
        <v/>
      </c>
      <c r="T222" s="170">
        <f>IF(OR($B222="",T$4&gt;$P222,EOMONTH(T$4,0)&lt;$E222),0,MIN($H222,MAX(0,MIN(EOMONTH(T$4,0),$P222)-MAX(T$4,$E222)+1)*$J222))</f>
        <v/>
      </c>
      <c r="U222" s="170">
        <f>IF(OR($B222="",U$4&gt;$P222,EOMONTH(U$4,0)&lt;$E222),0,MIN($H222,MAX(0,MIN(EOMONTH(U$4,0),$P222)-MAX(U$4,$E222)+1)*$J222))</f>
        <v/>
      </c>
      <c r="V222" s="170">
        <f>IF(OR($B222="",V$4&gt;$P222,EOMONTH(V$4,0)&lt;$E222),0,MIN($H222,MAX(0,MIN(EOMONTH(V$4,0),$P222)-MAX(V$4,$E222)+1)*$J222))</f>
        <v/>
      </c>
      <c r="W222" s="170">
        <f>IF(OR($B222="",W$4&gt;$P222,EOMONTH(W$4,0)&lt;$E222),0,MIN($H222,MAX(0,MIN(EOMONTH(W$4,0),$P222)-MAX(W$4,$E222)+1)*$J222))</f>
        <v/>
      </c>
      <c r="X222" s="170">
        <f>IF(OR($B222="",X$4&gt;$P222,EOMONTH(X$4,0)&lt;$E222),0,MIN($H222,MAX(0,MIN(EOMONTH(X$4,0),$P222)-MAX(X$4,$E222)+1)*$J222))</f>
        <v/>
      </c>
      <c r="Y222" s="170">
        <f>IF(OR($B222="",Y$4&gt;$P222,EOMONTH(Y$4,0)&lt;$E222),0,MIN($H222,MAX(0,MIN(EOMONTH(Y$4,0),$P222)-MAX(Y$4,$E222)+1)*$J222))</f>
        <v/>
      </c>
      <c r="Z222" s="170">
        <f>IF(OR($B222="",Z$4&gt;$P222,EOMONTH(Z$4,0)&lt;$E222),0,MIN($H222,MAX(0,MIN(EOMONTH(Z$4,0),$P222)-MAX(Z$4,$E222)+1)*$J222))</f>
        <v/>
      </c>
      <c r="AA222" s="170">
        <f>IF(OR($B222="",AA$4&gt;$P222,EOMONTH(AA$4,0)&lt;$E222),0,MIN($H222,MAX(0,MIN(EOMONTH(AA$4,0),$P222)-MAX(AA$4,$E222)+1)*$J222))</f>
        <v/>
      </c>
      <c r="AB222" s="170">
        <f>IF(OR($B222="",AB$4&gt;$P222,EOMONTH(AB$4,0)&lt;$E222),0,MIN($H222,MAX(0,MIN(EOMONTH(AB$4,0),$P222)-MAX(AB$4,$E222)+1)*$J222))</f>
        <v/>
      </c>
      <c r="AC222" s="170">
        <f>IF(OR($B222="",AC$4&gt;$P222,EOMONTH(AC$4,0)&lt;$E222),0,MIN($H222,MAX(0,MIN(EOMONTH(AC$4,0),$P222)-MAX(AC$4,$E222)+1)*$J222))</f>
        <v/>
      </c>
      <c r="AD222" s="170">
        <f>IF(B222="","",ROUND(SUM(R222:AC222),0))</f>
        <v/>
      </c>
      <c r="AE222" s="170">
        <f>IF(B222="","",MIN(H222,ROUND(Q222+SUM(R222:AC222),0)))</f>
        <v/>
      </c>
      <c r="AF222" s="170">
        <f>IF(B222="","",MAX(H222-AE222,0))</f>
        <v/>
      </c>
      <c r="AG222" s="172">
        <f>IF(B222="","",IF('Thiết lập'!$B$4&lt;E222,"Chưa phân bổ",IF(P222&lt;='Thiết lập'!$B$4,"Đã phân bổ","Đang phân bổ")))</f>
        <v/>
      </c>
      <c r="AH222" s="166" t="n"/>
      <c r="AI222" s="174">
        <f>IF(B222="","",IF(AND(C222&lt;&gt;"",D222&lt;&gt;"",E222&lt;&gt;"",E222&gt;=D222,F222&gt;0,G222&gt;0,I222&gt;0,COUNTIF($B$7:$B$306,B222)=1),"OK",IF(C222="","Thiếu tên; ","")&amp;IF(D222="","Thiếu ngày tăng; ","")&amp;IF(E222="","Thiếu ngày bắt đầu; ","")&amp;IF(AND(D222&lt;&gt;"",E222&lt;&gt;"",E222&lt;D222),"Ngày bắt đầu &lt; ngày tăng; ","")&amp;IF(OR(F222="",F222&lt;=0),"Số lượng không hợp lệ; ","")&amp;IF(OR(G222="",G222&lt;=0),"Đơn giá không hợp lệ; ","")&amp;IF(OR(I222="",I222&lt;=0),"Số tháng không hợp lệ; ","")&amp;IF(COUNTIF($B$7:$B$306,B222)&gt;1,"Trùng mã CPTT; ","")))</f>
        <v/>
      </c>
    </row>
    <row r="223" ht="19.5" customHeight="1" s="98">
      <c r="A223" s="164">
        <f>IF(B223="","",ROW()-6)</f>
        <v/>
      </c>
      <c r="B223" s="165" t="n"/>
      <c r="C223" s="166" t="n"/>
      <c r="D223" s="167" t="n"/>
      <c r="E223" s="167" t="n"/>
      <c r="F223" s="168" t="n"/>
      <c r="G223" s="169" t="n"/>
      <c r="H223" s="170">
        <f>IF(OR(F223="",G223=""),"",F223*G223)</f>
        <v/>
      </c>
      <c r="I223" s="171" t="n"/>
      <c r="J223" s="170">
        <f>IF(OR(H223="",E223="",P223=""),"",H223/(P223-E223+1))</f>
        <v/>
      </c>
      <c r="K223" s="165" t="n"/>
      <c r="L223" s="172">
        <f>IF(B223="","",IF(AF223&lt;=0,"Đã phân bổ",IF(P223&lt;=EDATE('Thiết lập'!$B$4,12),"Ngắn hạn","Dài hạn")))</f>
        <v/>
      </c>
      <c r="M223" s="165" t="n"/>
      <c r="N223" s="165" t="n"/>
      <c r="O223" s="165" t="n"/>
      <c r="P223" s="173">
        <f>IF(OR(E223="",I223=""),"",EDATE(E223,I223)-1)</f>
        <v/>
      </c>
      <c r="Q223" s="170">
        <f>IF(OR(B223="",E223="",P223=""),0,MIN(H223,MAX(0,MIN(P223,DATE('Thiết lập'!$B$3-1,12,31))-E223+1)*J223))</f>
        <v/>
      </c>
      <c r="R223" s="170">
        <f>IF(OR($B223="",R$4&gt;$P223,EOMONTH(R$4,0)&lt;$E223),0,MIN($H223,MAX(0,MIN(EOMONTH(R$4,0),$P223)-MAX(R$4,$E223)+1)*$J223))</f>
        <v/>
      </c>
      <c r="S223" s="170">
        <f>IF(OR($B223="",S$4&gt;$P223,EOMONTH(S$4,0)&lt;$E223),0,MIN($H223,MAX(0,MIN(EOMONTH(S$4,0),$P223)-MAX(S$4,$E223)+1)*$J223))</f>
        <v/>
      </c>
      <c r="T223" s="170">
        <f>IF(OR($B223="",T$4&gt;$P223,EOMONTH(T$4,0)&lt;$E223),0,MIN($H223,MAX(0,MIN(EOMONTH(T$4,0),$P223)-MAX(T$4,$E223)+1)*$J223))</f>
        <v/>
      </c>
      <c r="U223" s="170">
        <f>IF(OR($B223="",U$4&gt;$P223,EOMONTH(U$4,0)&lt;$E223),0,MIN($H223,MAX(0,MIN(EOMONTH(U$4,0),$P223)-MAX(U$4,$E223)+1)*$J223))</f>
        <v/>
      </c>
      <c r="V223" s="170">
        <f>IF(OR($B223="",V$4&gt;$P223,EOMONTH(V$4,0)&lt;$E223),0,MIN($H223,MAX(0,MIN(EOMONTH(V$4,0),$P223)-MAX(V$4,$E223)+1)*$J223))</f>
        <v/>
      </c>
      <c r="W223" s="170">
        <f>IF(OR($B223="",W$4&gt;$P223,EOMONTH(W$4,0)&lt;$E223),0,MIN($H223,MAX(0,MIN(EOMONTH(W$4,0),$P223)-MAX(W$4,$E223)+1)*$J223))</f>
        <v/>
      </c>
      <c r="X223" s="170">
        <f>IF(OR($B223="",X$4&gt;$P223,EOMONTH(X$4,0)&lt;$E223),0,MIN($H223,MAX(0,MIN(EOMONTH(X$4,0),$P223)-MAX(X$4,$E223)+1)*$J223))</f>
        <v/>
      </c>
      <c r="Y223" s="170">
        <f>IF(OR($B223="",Y$4&gt;$P223,EOMONTH(Y$4,0)&lt;$E223),0,MIN($H223,MAX(0,MIN(EOMONTH(Y$4,0),$P223)-MAX(Y$4,$E223)+1)*$J223))</f>
        <v/>
      </c>
      <c r="Z223" s="170">
        <f>IF(OR($B223="",Z$4&gt;$P223,EOMONTH(Z$4,0)&lt;$E223),0,MIN($H223,MAX(0,MIN(EOMONTH(Z$4,0),$P223)-MAX(Z$4,$E223)+1)*$J223))</f>
        <v/>
      </c>
      <c r="AA223" s="170">
        <f>IF(OR($B223="",AA$4&gt;$P223,EOMONTH(AA$4,0)&lt;$E223),0,MIN($H223,MAX(0,MIN(EOMONTH(AA$4,0),$P223)-MAX(AA$4,$E223)+1)*$J223))</f>
        <v/>
      </c>
      <c r="AB223" s="170">
        <f>IF(OR($B223="",AB$4&gt;$P223,EOMONTH(AB$4,0)&lt;$E223),0,MIN($H223,MAX(0,MIN(EOMONTH(AB$4,0),$P223)-MAX(AB$4,$E223)+1)*$J223))</f>
        <v/>
      </c>
      <c r="AC223" s="170">
        <f>IF(OR($B223="",AC$4&gt;$P223,EOMONTH(AC$4,0)&lt;$E223),0,MIN($H223,MAX(0,MIN(EOMONTH(AC$4,0),$P223)-MAX(AC$4,$E223)+1)*$J223))</f>
        <v/>
      </c>
      <c r="AD223" s="170">
        <f>IF(B223="","",ROUND(SUM(R223:AC223),0))</f>
        <v/>
      </c>
      <c r="AE223" s="170">
        <f>IF(B223="","",MIN(H223,ROUND(Q223+SUM(R223:AC223),0)))</f>
        <v/>
      </c>
      <c r="AF223" s="170">
        <f>IF(B223="","",MAX(H223-AE223,0))</f>
        <v/>
      </c>
      <c r="AG223" s="172">
        <f>IF(B223="","",IF('Thiết lập'!$B$4&lt;E223,"Chưa phân bổ",IF(P223&lt;='Thiết lập'!$B$4,"Đã phân bổ","Đang phân bổ")))</f>
        <v/>
      </c>
      <c r="AH223" s="166" t="n"/>
      <c r="AI223" s="174">
        <f>IF(B223="","",IF(AND(C223&lt;&gt;"",D223&lt;&gt;"",E223&lt;&gt;"",E223&gt;=D223,F223&gt;0,G223&gt;0,I223&gt;0,COUNTIF($B$7:$B$306,B223)=1),"OK",IF(C223="","Thiếu tên; ","")&amp;IF(D223="","Thiếu ngày tăng; ","")&amp;IF(E223="","Thiếu ngày bắt đầu; ","")&amp;IF(AND(D223&lt;&gt;"",E223&lt;&gt;"",E223&lt;D223),"Ngày bắt đầu &lt; ngày tăng; ","")&amp;IF(OR(F223="",F223&lt;=0),"Số lượng không hợp lệ; ","")&amp;IF(OR(G223="",G223&lt;=0),"Đơn giá không hợp lệ; ","")&amp;IF(OR(I223="",I223&lt;=0),"Số tháng không hợp lệ; ","")&amp;IF(COUNTIF($B$7:$B$306,B223)&gt;1,"Trùng mã CPTT; ","")))</f>
        <v/>
      </c>
    </row>
    <row r="224" ht="19.5" customHeight="1" s="98">
      <c r="A224" s="164">
        <f>IF(B224="","",ROW()-6)</f>
        <v/>
      </c>
      <c r="B224" s="165" t="n"/>
      <c r="C224" s="166" t="n"/>
      <c r="D224" s="167" t="n"/>
      <c r="E224" s="167" t="n"/>
      <c r="F224" s="168" t="n"/>
      <c r="G224" s="169" t="n"/>
      <c r="H224" s="170">
        <f>IF(OR(F224="",G224=""),"",F224*G224)</f>
        <v/>
      </c>
      <c r="I224" s="171" t="n"/>
      <c r="J224" s="170">
        <f>IF(OR(H224="",E224="",P224=""),"",H224/(P224-E224+1))</f>
        <v/>
      </c>
      <c r="K224" s="165" t="n"/>
      <c r="L224" s="172">
        <f>IF(B224="","",IF(AF224&lt;=0,"Đã phân bổ",IF(P224&lt;=EDATE('Thiết lập'!$B$4,12),"Ngắn hạn","Dài hạn")))</f>
        <v/>
      </c>
      <c r="M224" s="165" t="n"/>
      <c r="N224" s="165" t="n"/>
      <c r="O224" s="165" t="n"/>
      <c r="P224" s="173">
        <f>IF(OR(E224="",I224=""),"",EDATE(E224,I224)-1)</f>
        <v/>
      </c>
      <c r="Q224" s="170">
        <f>IF(OR(B224="",E224="",P224=""),0,MIN(H224,MAX(0,MIN(P224,DATE('Thiết lập'!$B$3-1,12,31))-E224+1)*J224))</f>
        <v/>
      </c>
      <c r="R224" s="170">
        <f>IF(OR($B224="",R$4&gt;$P224,EOMONTH(R$4,0)&lt;$E224),0,MIN($H224,MAX(0,MIN(EOMONTH(R$4,0),$P224)-MAX(R$4,$E224)+1)*$J224))</f>
        <v/>
      </c>
      <c r="S224" s="170">
        <f>IF(OR($B224="",S$4&gt;$P224,EOMONTH(S$4,0)&lt;$E224),0,MIN($H224,MAX(0,MIN(EOMONTH(S$4,0),$P224)-MAX(S$4,$E224)+1)*$J224))</f>
        <v/>
      </c>
      <c r="T224" s="170">
        <f>IF(OR($B224="",T$4&gt;$P224,EOMONTH(T$4,0)&lt;$E224),0,MIN($H224,MAX(0,MIN(EOMONTH(T$4,0),$P224)-MAX(T$4,$E224)+1)*$J224))</f>
        <v/>
      </c>
      <c r="U224" s="170">
        <f>IF(OR($B224="",U$4&gt;$P224,EOMONTH(U$4,0)&lt;$E224),0,MIN($H224,MAX(0,MIN(EOMONTH(U$4,0),$P224)-MAX(U$4,$E224)+1)*$J224))</f>
        <v/>
      </c>
      <c r="V224" s="170">
        <f>IF(OR($B224="",V$4&gt;$P224,EOMONTH(V$4,0)&lt;$E224),0,MIN($H224,MAX(0,MIN(EOMONTH(V$4,0),$P224)-MAX(V$4,$E224)+1)*$J224))</f>
        <v/>
      </c>
      <c r="W224" s="170">
        <f>IF(OR($B224="",W$4&gt;$P224,EOMONTH(W$4,0)&lt;$E224),0,MIN($H224,MAX(0,MIN(EOMONTH(W$4,0),$P224)-MAX(W$4,$E224)+1)*$J224))</f>
        <v/>
      </c>
      <c r="X224" s="170">
        <f>IF(OR($B224="",X$4&gt;$P224,EOMONTH(X$4,0)&lt;$E224),0,MIN($H224,MAX(0,MIN(EOMONTH(X$4,0),$P224)-MAX(X$4,$E224)+1)*$J224))</f>
        <v/>
      </c>
      <c r="Y224" s="170">
        <f>IF(OR($B224="",Y$4&gt;$P224,EOMONTH(Y$4,0)&lt;$E224),0,MIN($H224,MAX(0,MIN(EOMONTH(Y$4,0),$P224)-MAX(Y$4,$E224)+1)*$J224))</f>
        <v/>
      </c>
      <c r="Z224" s="170">
        <f>IF(OR($B224="",Z$4&gt;$P224,EOMONTH(Z$4,0)&lt;$E224),0,MIN($H224,MAX(0,MIN(EOMONTH(Z$4,0),$P224)-MAX(Z$4,$E224)+1)*$J224))</f>
        <v/>
      </c>
      <c r="AA224" s="170">
        <f>IF(OR($B224="",AA$4&gt;$P224,EOMONTH(AA$4,0)&lt;$E224),0,MIN($H224,MAX(0,MIN(EOMONTH(AA$4,0),$P224)-MAX(AA$4,$E224)+1)*$J224))</f>
        <v/>
      </c>
      <c r="AB224" s="170">
        <f>IF(OR($B224="",AB$4&gt;$P224,EOMONTH(AB$4,0)&lt;$E224),0,MIN($H224,MAX(0,MIN(EOMONTH(AB$4,0),$P224)-MAX(AB$4,$E224)+1)*$J224))</f>
        <v/>
      </c>
      <c r="AC224" s="170">
        <f>IF(OR($B224="",AC$4&gt;$P224,EOMONTH(AC$4,0)&lt;$E224),0,MIN($H224,MAX(0,MIN(EOMONTH(AC$4,0),$P224)-MAX(AC$4,$E224)+1)*$J224))</f>
        <v/>
      </c>
      <c r="AD224" s="170">
        <f>IF(B224="","",ROUND(SUM(R224:AC224),0))</f>
        <v/>
      </c>
      <c r="AE224" s="170">
        <f>IF(B224="","",MIN(H224,ROUND(Q224+SUM(R224:AC224),0)))</f>
        <v/>
      </c>
      <c r="AF224" s="170">
        <f>IF(B224="","",MAX(H224-AE224,0))</f>
        <v/>
      </c>
      <c r="AG224" s="172">
        <f>IF(B224="","",IF('Thiết lập'!$B$4&lt;E224,"Chưa phân bổ",IF(P224&lt;='Thiết lập'!$B$4,"Đã phân bổ","Đang phân bổ")))</f>
        <v/>
      </c>
      <c r="AH224" s="166" t="n"/>
      <c r="AI224" s="174">
        <f>IF(B224="","",IF(AND(C224&lt;&gt;"",D224&lt;&gt;"",E224&lt;&gt;"",E224&gt;=D224,F224&gt;0,G224&gt;0,I224&gt;0,COUNTIF($B$7:$B$306,B224)=1),"OK",IF(C224="","Thiếu tên; ","")&amp;IF(D224="","Thiếu ngày tăng; ","")&amp;IF(E224="","Thiếu ngày bắt đầu; ","")&amp;IF(AND(D224&lt;&gt;"",E224&lt;&gt;"",E224&lt;D224),"Ngày bắt đầu &lt; ngày tăng; ","")&amp;IF(OR(F224="",F224&lt;=0),"Số lượng không hợp lệ; ","")&amp;IF(OR(G224="",G224&lt;=0),"Đơn giá không hợp lệ; ","")&amp;IF(OR(I224="",I224&lt;=0),"Số tháng không hợp lệ; ","")&amp;IF(COUNTIF($B$7:$B$306,B224)&gt;1,"Trùng mã CPTT; ","")))</f>
        <v/>
      </c>
    </row>
    <row r="225" ht="19.5" customHeight="1" s="98">
      <c r="A225" s="164">
        <f>IF(B225="","",ROW()-6)</f>
        <v/>
      </c>
      <c r="B225" s="165" t="n"/>
      <c r="C225" s="166" t="n"/>
      <c r="D225" s="167" t="n"/>
      <c r="E225" s="167" t="n"/>
      <c r="F225" s="168" t="n"/>
      <c r="G225" s="169" t="n"/>
      <c r="H225" s="170">
        <f>IF(OR(F225="",G225=""),"",F225*G225)</f>
        <v/>
      </c>
      <c r="I225" s="171" t="n"/>
      <c r="J225" s="170">
        <f>IF(OR(H225="",E225="",P225=""),"",H225/(P225-E225+1))</f>
        <v/>
      </c>
      <c r="K225" s="165" t="n"/>
      <c r="L225" s="172">
        <f>IF(B225="","",IF(AF225&lt;=0,"Đã phân bổ",IF(P225&lt;=EDATE('Thiết lập'!$B$4,12),"Ngắn hạn","Dài hạn")))</f>
        <v/>
      </c>
      <c r="M225" s="165" t="n"/>
      <c r="N225" s="165" t="n"/>
      <c r="O225" s="165" t="n"/>
      <c r="P225" s="173">
        <f>IF(OR(E225="",I225=""),"",EDATE(E225,I225)-1)</f>
        <v/>
      </c>
      <c r="Q225" s="170">
        <f>IF(OR(B225="",E225="",P225=""),0,MIN(H225,MAX(0,MIN(P225,DATE('Thiết lập'!$B$3-1,12,31))-E225+1)*J225))</f>
        <v/>
      </c>
      <c r="R225" s="170">
        <f>IF(OR($B225="",R$4&gt;$P225,EOMONTH(R$4,0)&lt;$E225),0,MIN($H225,MAX(0,MIN(EOMONTH(R$4,0),$P225)-MAX(R$4,$E225)+1)*$J225))</f>
        <v/>
      </c>
      <c r="S225" s="170">
        <f>IF(OR($B225="",S$4&gt;$P225,EOMONTH(S$4,0)&lt;$E225),0,MIN($H225,MAX(0,MIN(EOMONTH(S$4,0),$P225)-MAX(S$4,$E225)+1)*$J225))</f>
        <v/>
      </c>
      <c r="T225" s="170">
        <f>IF(OR($B225="",T$4&gt;$P225,EOMONTH(T$4,0)&lt;$E225),0,MIN($H225,MAX(0,MIN(EOMONTH(T$4,0),$P225)-MAX(T$4,$E225)+1)*$J225))</f>
        <v/>
      </c>
      <c r="U225" s="170">
        <f>IF(OR($B225="",U$4&gt;$P225,EOMONTH(U$4,0)&lt;$E225),0,MIN($H225,MAX(0,MIN(EOMONTH(U$4,0),$P225)-MAX(U$4,$E225)+1)*$J225))</f>
        <v/>
      </c>
      <c r="V225" s="170">
        <f>IF(OR($B225="",V$4&gt;$P225,EOMONTH(V$4,0)&lt;$E225),0,MIN($H225,MAX(0,MIN(EOMONTH(V$4,0),$P225)-MAX(V$4,$E225)+1)*$J225))</f>
        <v/>
      </c>
      <c r="W225" s="170">
        <f>IF(OR($B225="",W$4&gt;$P225,EOMONTH(W$4,0)&lt;$E225),0,MIN($H225,MAX(0,MIN(EOMONTH(W$4,0),$P225)-MAX(W$4,$E225)+1)*$J225))</f>
        <v/>
      </c>
      <c r="X225" s="170">
        <f>IF(OR($B225="",X$4&gt;$P225,EOMONTH(X$4,0)&lt;$E225),0,MIN($H225,MAX(0,MIN(EOMONTH(X$4,0),$P225)-MAX(X$4,$E225)+1)*$J225))</f>
        <v/>
      </c>
      <c r="Y225" s="170">
        <f>IF(OR($B225="",Y$4&gt;$P225,EOMONTH(Y$4,0)&lt;$E225),0,MIN($H225,MAX(0,MIN(EOMONTH(Y$4,0),$P225)-MAX(Y$4,$E225)+1)*$J225))</f>
        <v/>
      </c>
      <c r="Z225" s="170">
        <f>IF(OR($B225="",Z$4&gt;$P225,EOMONTH(Z$4,0)&lt;$E225),0,MIN($H225,MAX(0,MIN(EOMONTH(Z$4,0),$P225)-MAX(Z$4,$E225)+1)*$J225))</f>
        <v/>
      </c>
      <c r="AA225" s="170">
        <f>IF(OR($B225="",AA$4&gt;$P225,EOMONTH(AA$4,0)&lt;$E225),0,MIN($H225,MAX(0,MIN(EOMONTH(AA$4,0),$P225)-MAX(AA$4,$E225)+1)*$J225))</f>
        <v/>
      </c>
      <c r="AB225" s="170">
        <f>IF(OR($B225="",AB$4&gt;$P225,EOMONTH(AB$4,0)&lt;$E225),0,MIN($H225,MAX(0,MIN(EOMONTH(AB$4,0),$P225)-MAX(AB$4,$E225)+1)*$J225))</f>
        <v/>
      </c>
      <c r="AC225" s="170">
        <f>IF(OR($B225="",AC$4&gt;$P225,EOMONTH(AC$4,0)&lt;$E225),0,MIN($H225,MAX(0,MIN(EOMONTH(AC$4,0),$P225)-MAX(AC$4,$E225)+1)*$J225))</f>
        <v/>
      </c>
      <c r="AD225" s="170">
        <f>IF(B225="","",ROUND(SUM(R225:AC225),0))</f>
        <v/>
      </c>
      <c r="AE225" s="170">
        <f>IF(B225="","",MIN(H225,ROUND(Q225+SUM(R225:AC225),0)))</f>
        <v/>
      </c>
      <c r="AF225" s="170">
        <f>IF(B225="","",MAX(H225-AE225,0))</f>
        <v/>
      </c>
      <c r="AG225" s="172">
        <f>IF(B225="","",IF('Thiết lập'!$B$4&lt;E225,"Chưa phân bổ",IF(P225&lt;='Thiết lập'!$B$4,"Đã phân bổ","Đang phân bổ")))</f>
        <v/>
      </c>
      <c r="AH225" s="166" t="n"/>
      <c r="AI225" s="174">
        <f>IF(B225="","",IF(AND(C225&lt;&gt;"",D225&lt;&gt;"",E225&lt;&gt;"",E225&gt;=D225,F225&gt;0,G225&gt;0,I225&gt;0,COUNTIF($B$7:$B$306,B225)=1),"OK",IF(C225="","Thiếu tên; ","")&amp;IF(D225="","Thiếu ngày tăng; ","")&amp;IF(E225="","Thiếu ngày bắt đầu; ","")&amp;IF(AND(D225&lt;&gt;"",E225&lt;&gt;"",E225&lt;D225),"Ngày bắt đầu &lt; ngày tăng; ","")&amp;IF(OR(F225="",F225&lt;=0),"Số lượng không hợp lệ; ","")&amp;IF(OR(G225="",G225&lt;=0),"Đơn giá không hợp lệ; ","")&amp;IF(OR(I225="",I225&lt;=0),"Số tháng không hợp lệ; ","")&amp;IF(COUNTIF($B$7:$B$306,B225)&gt;1,"Trùng mã CPTT; ","")))</f>
        <v/>
      </c>
    </row>
    <row r="226" ht="19.5" customHeight="1" s="98">
      <c r="A226" s="164">
        <f>IF(B226="","",ROW()-6)</f>
        <v/>
      </c>
      <c r="B226" s="165" t="n"/>
      <c r="C226" s="166" t="n"/>
      <c r="D226" s="167" t="n"/>
      <c r="E226" s="167" t="n"/>
      <c r="F226" s="168" t="n"/>
      <c r="G226" s="169" t="n"/>
      <c r="H226" s="170">
        <f>IF(OR(F226="",G226=""),"",F226*G226)</f>
        <v/>
      </c>
      <c r="I226" s="171" t="n"/>
      <c r="J226" s="170">
        <f>IF(OR(H226="",E226="",P226=""),"",H226/(P226-E226+1))</f>
        <v/>
      </c>
      <c r="K226" s="165" t="n"/>
      <c r="L226" s="172">
        <f>IF(B226="","",IF(AF226&lt;=0,"Đã phân bổ",IF(P226&lt;=EDATE('Thiết lập'!$B$4,12),"Ngắn hạn","Dài hạn")))</f>
        <v/>
      </c>
      <c r="M226" s="165" t="n"/>
      <c r="N226" s="165" t="n"/>
      <c r="O226" s="165" t="n"/>
      <c r="P226" s="173">
        <f>IF(OR(E226="",I226=""),"",EDATE(E226,I226)-1)</f>
        <v/>
      </c>
      <c r="Q226" s="170">
        <f>IF(OR(B226="",E226="",P226=""),0,MIN(H226,MAX(0,MIN(P226,DATE('Thiết lập'!$B$3-1,12,31))-E226+1)*J226))</f>
        <v/>
      </c>
      <c r="R226" s="170">
        <f>IF(OR($B226="",R$4&gt;$P226,EOMONTH(R$4,0)&lt;$E226),0,MIN($H226,MAX(0,MIN(EOMONTH(R$4,0),$P226)-MAX(R$4,$E226)+1)*$J226))</f>
        <v/>
      </c>
      <c r="S226" s="170">
        <f>IF(OR($B226="",S$4&gt;$P226,EOMONTH(S$4,0)&lt;$E226),0,MIN($H226,MAX(0,MIN(EOMONTH(S$4,0),$P226)-MAX(S$4,$E226)+1)*$J226))</f>
        <v/>
      </c>
      <c r="T226" s="170">
        <f>IF(OR($B226="",T$4&gt;$P226,EOMONTH(T$4,0)&lt;$E226),0,MIN($H226,MAX(0,MIN(EOMONTH(T$4,0),$P226)-MAX(T$4,$E226)+1)*$J226))</f>
        <v/>
      </c>
      <c r="U226" s="170">
        <f>IF(OR($B226="",U$4&gt;$P226,EOMONTH(U$4,0)&lt;$E226),0,MIN($H226,MAX(0,MIN(EOMONTH(U$4,0),$P226)-MAX(U$4,$E226)+1)*$J226))</f>
        <v/>
      </c>
      <c r="V226" s="170">
        <f>IF(OR($B226="",V$4&gt;$P226,EOMONTH(V$4,0)&lt;$E226),0,MIN($H226,MAX(0,MIN(EOMONTH(V$4,0),$P226)-MAX(V$4,$E226)+1)*$J226))</f>
        <v/>
      </c>
      <c r="W226" s="170">
        <f>IF(OR($B226="",W$4&gt;$P226,EOMONTH(W$4,0)&lt;$E226),0,MIN($H226,MAX(0,MIN(EOMONTH(W$4,0),$P226)-MAX(W$4,$E226)+1)*$J226))</f>
        <v/>
      </c>
      <c r="X226" s="170">
        <f>IF(OR($B226="",X$4&gt;$P226,EOMONTH(X$4,0)&lt;$E226),0,MIN($H226,MAX(0,MIN(EOMONTH(X$4,0),$P226)-MAX(X$4,$E226)+1)*$J226))</f>
        <v/>
      </c>
      <c r="Y226" s="170">
        <f>IF(OR($B226="",Y$4&gt;$P226,EOMONTH(Y$4,0)&lt;$E226),0,MIN($H226,MAX(0,MIN(EOMONTH(Y$4,0),$P226)-MAX(Y$4,$E226)+1)*$J226))</f>
        <v/>
      </c>
      <c r="Z226" s="170">
        <f>IF(OR($B226="",Z$4&gt;$P226,EOMONTH(Z$4,0)&lt;$E226),0,MIN($H226,MAX(0,MIN(EOMONTH(Z$4,0),$P226)-MAX(Z$4,$E226)+1)*$J226))</f>
        <v/>
      </c>
      <c r="AA226" s="170">
        <f>IF(OR($B226="",AA$4&gt;$P226,EOMONTH(AA$4,0)&lt;$E226),0,MIN($H226,MAX(0,MIN(EOMONTH(AA$4,0),$P226)-MAX(AA$4,$E226)+1)*$J226))</f>
        <v/>
      </c>
      <c r="AB226" s="170">
        <f>IF(OR($B226="",AB$4&gt;$P226,EOMONTH(AB$4,0)&lt;$E226),0,MIN($H226,MAX(0,MIN(EOMONTH(AB$4,0),$P226)-MAX(AB$4,$E226)+1)*$J226))</f>
        <v/>
      </c>
      <c r="AC226" s="170">
        <f>IF(OR($B226="",AC$4&gt;$P226,EOMONTH(AC$4,0)&lt;$E226),0,MIN($H226,MAX(0,MIN(EOMONTH(AC$4,0),$P226)-MAX(AC$4,$E226)+1)*$J226))</f>
        <v/>
      </c>
      <c r="AD226" s="170">
        <f>IF(B226="","",ROUND(SUM(R226:AC226),0))</f>
        <v/>
      </c>
      <c r="AE226" s="170">
        <f>IF(B226="","",MIN(H226,ROUND(Q226+SUM(R226:AC226),0)))</f>
        <v/>
      </c>
      <c r="AF226" s="170">
        <f>IF(B226="","",MAX(H226-AE226,0))</f>
        <v/>
      </c>
      <c r="AG226" s="172">
        <f>IF(B226="","",IF('Thiết lập'!$B$4&lt;E226,"Chưa phân bổ",IF(P226&lt;='Thiết lập'!$B$4,"Đã phân bổ","Đang phân bổ")))</f>
        <v/>
      </c>
      <c r="AH226" s="166" t="n"/>
      <c r="AI226" s="174">
        <f>IF(B226="","",IF(AND(C226&lt;&gt;"",D226&lt;&gt;"",E226&lt;&gt;"",E226&gt;=D226,F226&gt;0,G226&gt;0,I226&gt;0,COUNTIF($B$7:$B$306,B226)=1),"OK",IF(C226="","Thiếu tên; ","")&amp;IF(D226="","Thiếu ngày tăng; ","")&amp;IF(E226="","Thiếu ngày bắt đầu; ","")&amp;IF(AND(D226&lt;&gt;"",E226&lt;&gt;"",E226&lt;D226),"Ngày bắt đầu &lt; ngày tăng; ","")&amp;IF(OR(F226="",F226&lt;=0),"Số lượng không hợp lệ; ","")&amp;IF(OR(G226="",G226&lt;=0),"Đơn giá không hợp lệ; ","")&amp;IF(OR(I226="",I226&lt;=0),"Số tháng không hợp lệ; ","")&amp;IF(COUNTIF($B$7:$B$306,B226)&gt;1,"Trùng mã CPTT; ","")))</f>
        <v/>
      </c>
    </row>
    <row r="227" ht="19.5" customHeight="1" s="98">
      <c r="A227" s="164">
        <f>IF(B227="","",ROW()-6)</f>
        <v/>
      </c>
      <c r="B227" s="165" t="n"/>
      <c r="C227" s="166" t="n"/>
      <c r="D227" s="167" t="n"/>
      <c r="E227" s="167" t="n"/>
      <c r="F227" s="168" t="n"/>
      <c r="G227" s="169" t="n"/>
      <c r="H227" s="170">
        <f>IF(OR(F227="",G227=""),"",F227*G227)</f>
        <v/>
      </c>
      <c r="I227" s="171" t="n"/>
      <c r="J227" s="170">
        <f>IF(OR(H227="",E227="",P227=""),"",H227/(P227-E227+1))</f>
        <v/>
      </c>
      <c r="K227" s="165" t="n"/>
      <c r="L227" s="172">
        <f>IF(B227="","",IF(AF227&lt;=0,"Đã phân bổ",IF(P227&lt;=EDATE('Thiết lập'!$B$4,12),"Ngắn hạn","Dài hạn")))</f>
        <v/>
      </c>
      <c r="M227" s="165" t="n"/>
      <c r="N227" s="165" t="n"/>
      <c r="O227" s="165" t="n"/>
      <c r="P227" s="173">
        <f>IF(OR(E227="",I227=""),"",EDATE(E227,I227)-1)</f>
        <v/>
      </c>
      <c r="Q227" s="170">
        <f>IF(OR(B227="",E227="",P227=""),0,MIN(H227,MAX(0,MIN(P227,DATE('Thiết lập'!$B$3-1,12,31))-E227+1)*J227))</f>
        <v/>
      </c>
      <c r="R227" s="170">
        <f>IF(OR($B227="",R$4&gt;$P227,EOMONTH(R$4,0)&lt;$E227),0,MIN($H227,MAX(0,MIN(EOMONTH(R$4,0),$P227)-MAX(R$4,$E227)+1)*$J227))</f>
        <v/>
      </c>
      <c r="S227" s="170">
        <f>IF(OR($B227="",S$4&gt;$P227,EOMONTH(S$4,0)&lt;$E227),0,MIN($H227,MAX(0,MIN(EOMONTH(S$4,0),$P227)-MAX(S$4,$E227)+1)*$J227))</f>
        <v/>
      </c>
      <c r="T227" s="170">
        <f>IF(OR($B227="",T$4&gt;$P227,EOMONTH(T$4,0)&lt;$E227),0,MIN($H227,MAX(0,MIN(EOMONTH(T$4,0),$P227)-MAX(T$4,$E227)+1)*$J227))</f>
        <v/>
      </c>
      <c r="U227" s="170">
        <f>IF(OR($B227="",U$4&gt;$P227,EOMONTH(U$4,0)&lt;$E227),0,MIN($H227,MAX(0,MIN(EOMONTH(U$4,0),$P227)-MAX(U$4,$E227)+1)*$J227))</f>
        <v/>
      </c>
      <c r="V227" s="170">
        <f>IF(OR($B227="",V$4&gt;$P227,EOMONTH(V$4,0)&lt;$E227),0,MIN($H227,MAX(0,MIN(EOMONTH(V$4,0),$P227)-MAX(V$4,$E227)+1)*$J227))</f>
        <v/>
      </c>
      <c r="W227" s="170">
        <f>IF(OR($B227="",W$4&gt;$P227,EOMONTH(W$4,0)&lt;$E227),0,MIN($H227,MAX(0,MIN(EOMONTH(W$4,0),$P227)-MAX(W$4,$E227)+1)*$J227))</f>
        <v/>
      </c>
      <c r="X227" s="170">
        <f>IF(OR($B227="",X$4&gt;$P227,EOMONTH(X$4,0)&lt;$E227),0,MIN($H227,MAX(0,MIN(EOMONTH(X$4,0),$P227)-MAX(X$4,$E227)+1)*$J227))</f>
        <v/>
      </c>
      <c r="Y227" s="170">
        <f>IF(OR($B227="",Y$4&gt;$P227,EOMONTH(Y$4,0)&lt;$E227),0,MIN($H227,MAX(0,MIN(EOMONTH(Y$4,0),$P227)-MAX(Y$4,$E227)+1)*$J227))</f>
        <v/>
      </c>
      <c r="Z227" s="170">
        <f>IF(OR($B227="",Z$4&gt;$P227,EOMONTH(Z$4,0)&lt;$E227),0,MIN($H227,MAX(0,MIN(EOMONTH(Z$4,0),$P227)-MAX(Z$4,$E227)+1)*$J227))</f>
        <v/>
      </c>
      <c r="AA227" s="170">
        <f>IF(OR($B227="",AA$4&gt;$P227,EOMONTH(AA$4,0)&lt;$E227),0,MIN($H227,MAX(0,MIN(EOMONTH(AA$4,0),$P227)-MAX(AA$4,$E227)+1)*$J227))</f>
        <v/>
      </c>
      <c r="AB227" s="170">
        <f>IF(OR($B227="",AB$4&gt;$P227,EOMONTH(AB$4,0)&lt;$E227),0,MIN($H227,MAX(0,MIN(EOMONTH(AB$4,0),$P227)-MAX(AB$4,$E227)+1)*$J227))</f>
        <v/>
      </c>
      <c r="AC227" s="170">
        <f>IF(OR($B227="",AC$4&gt;$P227,EOMONTH(AC$4,0)&lt;$E227),0,MIN($H227,MAX(0,MIN(EOMONTH(AC$4,0),$P227)-MAX(AC$4,$E227)+1)*$J227))</f>
        <v/>
      </c>
      <c r="AD227" s="170">
        <f>IF(B227="","",ROUND(SUM(R227:AC227),0))</f>
        <v/>
      </c>
      <c r="AE227" s="170">
        <f>IF(B227="","",MIN(H227,ROUND(Q227+SUM(R227:AC227),0)))</f>
        <v/>
      </c>
      <c r="AF227" s="170">
        <f>IF(B227="","",MAX(H227-AE227,0))</f>
        <v/>
      </c>
      <c r="AG227" s="172">
        <f>IF(B227="","",IF('Thiết lập'!$B$4&lt;E227,"Chưa phân bổ",IF(P227&lt;='Thiết lập'!$B$4,"Đã phân bổ","Đang phân bổ")))</f>
        <v/>
      </c>
      <c r="AH227" s="166" t="n"/>
      <c r="AI227" s="174">
        <f>IF(B227="","",IF(AND(C227&lt;&gt;"",D227&lt;&gt;"",E227&lt;&gt;"",E227&gt;=D227,F227&gt;0,G227&gt;0,I227&gt;0,COUNTIF($B$7:$B$306,B227)=1),"OK",IF(C227="","Thiếu tên; ","")&amp;IF(D227="","Thiếu ngày tăng; ","")&amp;IF(E227="","Thiếu ngày bắt đầu; ","")&amp;IF(AND(D227&lt;&gt;"",E227&lt;&gt;"",E227&lt;D227),"Ngày bắt đầu &lt; ngày tăng; ","")&amp;IF(OR(F227="",F227&lt;=0),"Số lượng không hợp lệ; ","")&amp;IF(OR(G227="",G227&lt;=0),"Đơn giá không hợp lệ; ","")&amp;IF(OR(I227="",I227&lt;=0),"Số tháng không hợp lệ; ","")&amp;IF(COUNTIF($B$7:$B$306,B227)&gt;1,"Trùng mã CPTT; ","")))</f>
        <v/>
      </c>
    </row>
    <row r="228" ht="19.5" customHeight="1" s="98">
      <c r="A228" s="164">
        <f>IF(B228="","",ROW()-6)</f>
        <v/>
      </c>
      <c r="B228" s="165" t="n"/>
      <c r="C228" s="166" t="n"/>
      <c r="D228" s="167" t="n"/>
      <c r="E228" s="167" t="n"/>
      <c r="F228" s="168" t="n"/>
      <c r="G228" s="169" t="n"/>
      <c r="H228" s="170">
        <f>IF(OR(F228="",G228=""),"",F228*G228)</f>
        <v/>
      </c>
      <c r="I228" s="171" t="n"/>
      <c r="J228" s="170">
        <f>IF(OR(H228="",E228="",P228=""),"",H228/(P228-E228+1))</f>
        <v/>
      </c>
      <c r="K228" s="165" t="n"/>
      <c r="L228" s="172">
        <f>IF(B228="","",IF(AF228&lt;=0,"Đã phân bổ",IF(P228&lt;=EDATE('Thiết lập'!$B$4,12),"Ngắn hạn","Dài hạn")))</f>
        <v/>
      </c>
      <c r="M228" s="165" t="n"/>
      <c r="N228" s="165" t="n"/>
      <c r="O228" s="165" t="n"/>
      <c r="P228" s="173">
        <f>IF(OR(E228="",I228=""),"",EDATE(E228,I228)-1)</f>
        <v/>
      </c>
      <c r="Q228" s="170">
        <f>IF(OR(B228="",E228="",P228=""),0,MIN(H228,MAX(0,MIN(P228,DATE('Thiết lập'!$B$3-1,12,31))-E228+1)*J228))</f>
        <v/>
      </c>
      <c r="R228" s="170">
        <f>IF(OR($B228="",R$4&gt;$P228,EOMONTH(R$4,0)&lt;$E228),0,MIN($H228,MAX(0,MIN(EOMONTH(R$4,0),$P228)-MAX(R$4,$E228)+1)*$J228))</f>
        <v/>
      </c>
      <c r="S228" s="170">
        <f>IF(OR($B228="",S$4&gt;$P228,EOMONTH(S$4,0)&lt;$E228),0,MIN($H228,MAX(0,MIN(EOMONTH(S$4,0),$P228)-MAX(S$4,$E228)+1)*$J228))</f>
        <v/>
      </c>
      <c r="T228" s="170">
        <f>IF(OR($B228="",T$4&gt;$P228,EOMONTH(T$4,0)&lt;$E228),0,MIN($H228,MAX(0,MIN(EOMONTH(T$4,0),$P228)-MAX(T$4,$E228)+1)*$J228))</f>
        <v/>
      </c>
      <c r="U228" s="170">
        <f>IF(OR($B228="",U$4&gt;$P228,EOMONTH(U$4,0)&lt;$E228),0,MIN($H228,MAX(0,MIN(EOMONTH(U$4,0),$P228)-MAX(U$4,$E228)+1)*$J228))</f>
        <v/>
      </c>
      <c r="V228" s="170">
        <f>IF(OR($B228="",V$4&gt;$P228,EOMONTH(V$4,0)&lt;$E228),0,MIN($H228,MAX(0,MIN(EOMONTH(V$4,0),$P228)-MAX(V$4,$E228)+1)*$J228))</f>
        <v/>
      </c>
      <c r="W228" s="170">
        <f>IF(OR($B228="",W$4&gt;$P228,EOMONTH(W$4,0)&lt;$E228),0,MIN($H228,MAX(0,MIN(EOMONTH(W$4,0),$P228)-MAX(W$4,$E228)+1)*$J228))</f>
        <v/>
      </c>
      <c r="X228" s="170">
        <f>IF(OR($B228="",X$4&gt;$P228,EOMONTH(X$4,0)&lt;$E228),0,MIN($H228,MAX(0,MIN(EOMONTH(X$4,0),$P228)-MAX(X$4,$E228)+1)*$J228))</f>
        <v/>
      </c>
      <c r="Y228" s="170">
        <f>IF(OR($B228="",Y$4&gt;$P228,EOMONTH(Y$4,0)&lt;$E228),0,MIN($H228,MAX(0,MIN(EOMONTH(Y$4,0),$P228)-MAX(Y$4,$E228)+1)*$J228))</f>
        <v/>
      </c>
      <c r="Z228" s="170">
        <f>IF(OR($B228="",Z$4&gt;$P228,EOMONTH(Z$4,0)&lt;$E228),0,MIN($H228,MAX(0,MIN(EOMONTH(Z$4,0),$P228)-MAX(Z$4,$E228)+1)*$J228))</f>
        <v/>
      </c>
      <c r="AA228" s="170">
        <f>IF(OR($B228="",AA$4&gt;$P228,EOMONTH(AA$4,0)&lt;$E228),0,MIN($H228,MAX(0,MIN(EOMONTH(AA$4,0),$P228)-MAX(AA$4,$E228)+1)*$J228))</f>
        <v/>
      </c>
      <c r="AB228" s="170">
        <f>IF(OR($B228="",AB$4&gt;$P228,EOMONTH(AB$4,0)&lt;$E228),0,MIN($H228,MAX(0,MIN(EOMONTH(AB$4,0),$P228)-MAX(AB$4,$E228)+1)*$J228))</f>
        <v/>
      </c>
      <c r="AC228" s="170">
        <f>IF(OR($B228="",AC$4&gt;$P228,EOMONTH(AC$4,0)&lt;$E228),0,MIN($H228,MAX(0,MIN(EOMONTH(AC$4,0),$P228)-MAX(AC$4,$E228)+1)*$J228))</f>
        <v/>
      </c>
      <c r="AD228" s="170">
        <f>IF(B228="","",ROUND(SUM(R228:AC228),0))</f>
        <v/>
      </c>
      <c r="AE228" s="170">
        <f>IF(B228="","",MIN(H228,ROUND(Q228+SUM(R228:AC228),0)))</f>
        <v/>
      </c>
      <c r="AF228" s="170">
        <f>IF(B228="","",MAX(H228-AE228,0))</f>
        <v/>
      </c>
      <c r="AG228" s="172">
        <f>IF(B228="","",IF('Thiết lập'!$B$4&lt;E228,"Chưa phân bổ",IF(P228&lt;='Thiết lập'!$B$4,"Đã phân bổ","Đang phân bổ")))</f>
        <v/>
      </c>
      <c r="AH228" s="166" t="n"/>
      <c r="AI228" s="174">
        <f>IF(B228="","",IF(AND(C228&lt;&gt;"",D228&lt;&gt;"",E228&lt;&gt;"",E228&gt;=D228,F228&gt;0,G228&gt;0,I228&gt;0,COUNTIF($B$7:$B$306,B228)=1),"OK",IF(C228="","Thiếu tên; ","")&amp;IF(D228="","Thiếu ngày tăng; ","")&amp;IF(E228="","Thiếu ngày bắt đầu; ","")&amp;IF(AND(D228&lt;&gt;"",E228&lt;&gt;"",E228&lt;D228),"Ngày bắt đầu &lt; ngày tăng; ","")&amp;IF(OR(F228="",F228&lt;=0),"Số lượng không hợp lệ; ","")&amp;IF(OR(G228="",G228&lt;=0),"Đơn giá không hợp lệ; ","")&amp;IF(OR(I228="",I228&lt;=0),"Số tháng không hợp lệ; ","")&amp;IF(COUNTIF($B$7:$B$306,B228)&gt;1,"Trùng mã CPTT; ","")))</f>
        <v/>
      </c>
    </row>
    <row r="229" ht="19.5" customHeight="1" s="98">
      <c r="A229" s="164">
        <f>IF(B229="","",ROW()-6)</f>
        <v/>
      </c>
      <c r="B229" s="165" t="n"/>
      <c r="C229" s="166" t="n"/>
      <c r="D229" s="167" t="n"/>
      <c r="E229" s="167" t="n"/>
      <c r="F229" s="168" t="n"/>
      <c r="G229" s="169" t="n"/>
      <c r="H229" s="170">
        <f>IF(OR(F229="",G229=""),"",F229*G229)</f>
        <v/>
      </c>
      <c r="I229" s="171" t="n"/>
      <c r="J229" s="170">
        <f>IF(OR(H229="",E229="",P229=""),"",H229/(P229-E229+1))</f>
        <v/>
      </c>
      <c r="K229" s="165" t="n"/>
      <c r="L229" s="172">
        <f>IF(B229="","",IF(AF229&lt;=0,"Đã phân bổ",IF(P229&lt;=EDATE('Thiết lập'!$B$4,12),"Ngắn hạn","Dài hạn")))</f>
        <v/>
      </c>
      <c r="M229" s="165" t="n"/>
      <c r="N229" s="165" t="n"/>
      <c r="O229" s="165" t="n"/>
      <c r="P229" s="173">
        <f>IF(OR(E229="",I229=""),"",EDATE(E229,I229)-1)</f>
        <v/>
      </c>
      <c r="Q229" s="170">
        <f>IF(OR(B229="",E229="",P229=""),0,MIN(H229,MAX(0,MIN(P229,DATE('Thiết lập'!$B$3-1,12,31))-E229+1)*J229))</f>
        <v/>
      </c>
      <c r="R229" s="170">
        <f>IF(OR($B229="",R$4&gt;$P229,EOMONTH(R$4,0)&lt;$E229),0,MIN($H229,MAX(0,MIN(EOMONTH(R$4,0),$P229)-MAX(R$4,$E229)+1)*$J229))</f>
        <v/>
      </c>
      <c r="S229" s="170">
        <f>IF(OR($B229="",S$4&gt;$P229,EOMONTH(S$4,0)&lt;$E229),0,MIN($H229,MAX(0,MIN(EOMONTH(S$4,0),$P229)-MAX(S$4,$E229)+1)*$J229))</f>
        <v/>
      </c>
      <c r="T229" s="170">
        <f>IF(OR($B229="",T$4&gt;$P229,EOMONTH(T$4,0)&lt;$E229),0,MIN($H229,MAX(0,MIN(EOMONTH(T$4,0),$P229)-MAX(T$4,$E229)+1)*$J229))</f>
        <v/>
      </c>
      <c r="U229" s="170">
        <f>IF(OR($B229="",U$4&gt;$P229,EOMONTH(U$4,0)&lt;$E229),0,MIN($H229,MAX(0,MIN(EOMONTH(U$4,0),$P229)-MAX(U$4,$E229)+1)*$J229))</f>
        <v/>
      </c>
      <c r="V229" s="170">
        <f>IF(OR($B229="",V$4&gt;$P229,EOMONTH(V$4,0)&lt;$E229),0,MIN($H229,MAX(0,MIN(EOMONTH(V$4,0),$P229)-MAX(V$4,$E229)+1)*$J229))</f>
        <v/>
      </c>
      <c r="W229" s="170">
        <f>IF(OR($B229="",W$4&gt;$P229,EOMONTH(W$4,0)&lt;$E229),0,MIN($H229,MAX(0,MIN(EOMONTH(W$4,0),$P229)-MAX(W$4,$E229)+1)*$J229))</f>
        <v/>
      </c>
      <c r="X229" s="170">
        <f>IF(OR($B229="",X$4&gt;$P229,EOMONTH(X$4,0)&lt;$E229),0,MIN($H229,MAX(0,MIN(EOMONTH(X$4,0),$P229)-MAX(X$4,$E229)+1)*$J229))</f>
        <v/>
      </c>
      <c r="Y229" s="170">
        <f>IF(OR($B229="",Y$4&gt;$P229,EOMONTH(Y$4,0)&lt;$E229),0,MIN($H229,MAX(0,MIN(EOMONTH(Y$4,0),$P229)-MAX(Y$4,$E229)+1)*$J229))</f>
        <v/>
      </c>
      <c r="Z229" s="170">
        <f>IF(OR($B229="",Z$4&gt;$P229,EOMONTH(Z$4,0)&lt;$E229),0,MIN($H229,MAX(0,MIN(EOMONTH(Z$4,0),$P229)-MAX(Z$4,$E229)+1)*$J229))</f>
        <v/>
      </c>
      <c r="AA229" s="170">
        <f>IF(OR($B229="",AA$4&gt;$P229,EOMONTH(AA$4,0)&lt;$E229),0,MIN($H229,MAX(0,MIN(EOMONTH(AA$4,0),$P229)-MAX(AA$4,$E229)+1)*$J229))</f>
        <v/>
      </c>
      <c r="AB229" s="170">
        <f>IF(OR($B229="",AB$4&gt;$P229,EOMONTH(AB$4,0)&lt;$E229),0,MIN($H229,MAX(0,MIN(EOMONTH(AB$4,0),$P229)-MAX(AB$4,$E229)+1)*$J229))</f>
        <v/>
      </c>
      <c r="AC229" s="170">
        <f>IF(OR($B229="",AC$4&gt;$P229,EOMONTH(AC$4,0)&lt;$E229),0,MIN($H229,MAX(0,MIN(EOMONTH(AC$4,0),$P229)-MAX(AC$4,$E229)+1)*$J229))</f>
        <v/>
      </c>
      <c r="AD229" s="170">
        <f>IF(B229="","",ROUND(SUM(R229:AC229),0))</f>
        <v/>
      </c>
      <c r="AE229" s="170">
        <f>IF(B229="","",MIN(H229,ROUND(Q229+SUM(R229:AC229),0)))</f>
        <v/>
      </c>
      <c r="AF229" s="170">
        <f>IF(B229="","",MAX(H229-AE229,0))</f>
        <v/>
      </c>
      <c r="AG229" s="172">
        <f>IF(B229="","",IF('Thiết lập'!$B$4&lt;E229,"Chưa phân bổ",IF(P229&lt;='Thiết lập'!$B$4,"Đã phân bổ","Đang phân bổ")))</f>
        <v/>
      </c>
      <c r="AH229" s="166" t="n"/>
      <c r="AI229" s="174">
        <f>IF(B229="","",IF(AND(C229&lt;&gt;"",D229&lt;&gt;"",E229&lt;&gt;"",E229&gt;=D229,F229&gt;0,G229&gt;0,I229&gt;0,COUNTIF($B$7:$B$306,B229)=1),"OK",IF(C229="","Thiếu tên; ","")&amp;IF(D229="","Thiếu ngày tăng; ","")&amp;IF(E229="","Thiếu ngày bắt đầu; ","")&amp;IF(AND(D229&lt;&gt;"",E229&lt;&gt;"",E229&lt;D229),"Ngày bắt đầu &lt; ngày tăng; ","")&amp;IF(OR(F229="",F229&lt;=0),"Số lượng không hợp lệ; ","")&amp;IF(OR(G229="",G229&lt;=0),"Đơn giá không hợp lệ; ","")&amp;IF(OR(I229="",I229&lt;=0),"Số tháng không hợp lệ; ","")&amp;IF(COUNTIF($B$7:$B$306,B229)&gt;1,"Trùng mã CPTT; ","")))</f>
        <v/>
      </c>
    </row>
    <row r="230" ht="19.5" customHeight="1" s="98">
      <c r="A230" s="164">
        <f>IF(B230="","",ROW()-6)</f>
        <v/>
      </c>
      <c r="B230" s="165" t="n"/>
      <c r="C230" s="166" t="n"/>
      <c r="D230" s="167" t="n"/>
      <c r="E230" s="167" t="n"/>
      <c r="F230" s="168" t="n"/>
      <c r="G230" s="169" t="n"/>
      <c r="H230" s="170">
        <f>IF(OR(F230="",G230=""),"",F230*G230)</f>
        <v/>
      </c>
      <c r="I230" s="171" t="n"/>
      <c r="J230" s="170">
        <f>IF(OR(H230="",E230="",P230=""),"",H230/(P230-E230+1))</f>
        <v/>
      </c>
      <c r="K230" s="165" t="n"/>
      <c r="L230" s="172">
        <f>IF(B230="","",IF(AF230&lt;=0,"Đã phân bổ",IF(P230&lt;=EDATE('Thiết lập'!$B$4,12),"Ngắn hạn","Dài hạn")))</f>
        <v/>
      </c>
      <c r="M230" s="165" t="n"/>
      <c r="N230" s="165" t="n"/>
      <c r="O230" s="165" t="n"/>
      <c r="P230" s="173">
        <f>IF(OR(E230="",I230=""),"",EDATE(E230,I230)-1)</f>
        <v/>
      </c>
      <c r="Q230" s="170">
        <f>IF(OR(B230="",E230="",P230=""),0,MIN(H230,MAX(0,MIN(P230,DATE('Thiết lập'!$B$3-1,12,31))-E230+1)*J230))</f>
        <v/>
      </c>
      <c r="R230" s="170">
        <f>IF(OR($B230="",R$4&gt;$P230,EOMONTH(R$4,0)&lt;$E230),0,MIN($H230,MAX(0,MIN(EOMONTH(R$4,0),$P230)-MAX(R$4,$E230)+1)*$J230))</f>
        <v/>
      </c>
      <c r="S230" s="170">
        <f>IF(OR($B230="",S$4&gt;$P230,EOMONTH(S$4,0)&lt;$E230),0,MIN($H230,MAX(0,MIN(EOMONTH(S$4,0),$P230)-MAX(S$4,$E230)+1)*$J230))</f>
        <v/>
      </c>
      <c r="T230" s="170">
        <f>IF(OR($B230="",T$4&gt;$P230,EOMONTH(T$4,0)&lt;$E230),0,MIN($H230,MAX(0,MIN(EOMONTH(T$4,0),$P230)-MAX(T$4,$E230)+1)*$J230))</f>
        <v/>
      </c>
      <c r="U230" s="170">
        <f>IF(OR($B230="",U$4&gt;$P230,EOMONTH(U$4,0)&lt;$E230),0,MIN($H230,MAX(0,MIN(EOMONTH(U$4,0),$P230)-MAX(U$4,$E230)+1)*$J230))</f>
        <v/>
      </c>
      <c r="V230" s="170">
        <f>IF(OR($B230="",V$4&gt;$P230,EOMONTH(V$4,0)&lt;$E230),0,MIN($H230,MAX(0,MIN(EOMONTH(V$4,0),$P230)-MAX(V$4,$E230)+1)*$J230))</f>
        <v/>
      </c>
      <c r="W230" s="170">
        <f>IF(OR($B230="",W$4&gt;$P230,EOMONTH(W$4,0)&lt;$E230),0,MIN($H230,MAX(0,MIN(EOMONTH(W$4,0),$P230)-MAX(W$4,$E230)+1)*$J230))</f>
        <v/>
      </c>
      <c r="X230" s="170">
        <f>IF(OR($B230="",X$4&gt;$P230,EOMONTH(X$4,0)&lt;$E230),0,MIN($H230,MAX(0,MIN(EOMONTH(X$4,0),$P230)-MAX(X$4,$E230)+1)*$J230))</f>
        <v/>
      </c>
      <c r="Y230" s="170">
        <f>IF(OR($B230="",Y$4&gt;$P230,EOMONTH(Y$4,0)&lt;$E230),0,MIN($H230,MAX(0,MIN(EOMONTH(Y$4,0),$P230)-MAX(Y$4,$E230)+1)*$J230))</f>
        <v/>
      </c>
      <c r="Z230" s="170">
        <f>IF(OR($B230="",Z$4&gt;$P230,EOMONTH(Z$4,0)&lt;$E230),0,MIN($H230,MAX(0,MIN(EOMONTH(Z$4,0),$P230)-MAX(Z$4,$E230)+1)*$J230))</f>
        <v/>
      </c>
      <c r="AA230" s="170">
        <f>IF(OR($B230="",AA$4&gt;$P230,EOMONTH(AA$4,0)&lt;$E230),0,MIN($H230,MAX(0,MIN(EOMONTH(AA$4,0),$P230)-MAX(AA$4,$E230)+1)*$J230))</f>
        <v/>
      </c>
      <c r="AB230" s="170">
        <f>IF(OR($B230="",AB$4&gt;$P230,EOMONTH(AB$4,0)&lt;$E230),0,MIN($H230,MAX(0,MIN(EOMONTH(AB$4,0),$P230)-MAX(AB$4,$E230)+1)*$J230))</f>
        <v/>
      </c>
      <c r="AC230" s="170">
        <f>IF(OR($B230="",AC$4&gt;$P230,EOMONTH(AC$4,0)&lt;$E230),0,MIN($H230,MAX(0,MIN(EOMONTH(AC$4,0),$P230)-MAX(AC$4,$E230)+1)*$J230))</f>
        <v/>
      </c>
      <c r="AD230" s="170">
        <f>IF(B230="","",ROUND(SUM(R230:AC230),0))</f>
        <v/>
      </c>
      <c r="AE230" s="170">
        <f>IF(B230="","",MIN(H230,ROUND(Q230+SUM(R230:AC230),0)))</f>
        <v/>
      </c>
      <c r="AF230" s="170">
        <f>IF(B230="","",MAX(H230-AE230,0))</f>
        <v/>
      </c>
      <c r="AG230" s="172">
        <f>IF(B230="","",IF('Thiết lập'!$B$4&lt;E230,"Chưa phân bổ",IF(P230&lt;='Thiết lập'!$B$4,"Đã phân bổ","Đang phân bổ")))</f>
        <v/>
      </c>
      <c r="AH230" s="166" t="n"/>
      <c r="AI230" s="174">
        <f>IF(B230="","",IF(AND(C230&lt;&gt;"",D230&lt;&gt;"",E230&lt;&gt;"",E230&gt;=D230,F230&gt;0,G230&gt;0,I230&gt;0,COUNTIF($B$7:$B$306,B230)=1),"OK",IF(C230="","Thiếu tên; ","")&amp;IF(D230="","Thiếu ngày tăng; ","")&amp;IF(E230="","Thiếu ngày bắt đầu; ","")&amp;IF(AND(D230&lt;&gt;"",E230&lt;&gt;"",E230&lt;D230),"Ngày bắt đầu &lt; ngày tăng; ","")&amp;IF(OR(F230="",F230&lt;=0),"Số lượng không hợp lệ; ","")&amp;IF(OR(G230="",G230&lt;=0),"Đơn giá không hợp lệ; ","")&amp;IF(OR(I230="",I230&lt;=0),"Số tháng không hợp lệ; ","")&amp;IF(COUNTIF($B$7:$B$306,B230)&gt;1,"Trùng mã CPTT; ","")))</f>
        <v/>
      </c>
    </row>
    <row r="231" ht="19.5" customHeight="1" s="98">
      <c r="A231" s="164">
        <f>IF(B231="","",ROW()-6)</f>
        <v/>
      </c>
      <c r="B231" s="165" t="n"/>
      <c r="C231" s="166" t="n"/>
      <c r="D231" s="167" t="n"/>
      <c r="E231" s="167" t="n"/>
      <c r="F231" s="168" t="n"/>
      <c r="G231" s="169" t="n"/>
      <c r="H231" s="170">
        <f>IF(OR(F231="",G231=""),"",F231*G231)</f>
        <v/>
      </c>
      <c r="I231" s="171" t="n"/>
      <c r="J231" s="170">
        <f>IF(OR(H231="",E231="",P231=""),"",H231/(P231-E231+1))</f>
        <v/>
      </c>
      <c r="K231" s="165" t="n"/>
      <c r="L231" s="172">
        <f>IF(B231="","",IF(AF231&lt;=0,"Đã phân bổ",IF(P231&lt;=EDATE('Thiết lập'!$B$4,12),"Ngắn hạn","Dài hạn")))</f>
        <v/>
      </c>
      <c r="M231" s="165" t="n"/>
      <c r="N231" s="165" t="n"/>
      <c r="O231" s="165" t="n"/>
      <c r="P231" s="173">
        <f>IF(OR(E231="",I231=""),"",EDATE(E231,I231)-1)</f>
        <v/>
      </c>
      <c r="Q231" s="170">
        <f>IF(OR(B231="",E231="",P231=""),0,MIN(H231,MAX(0,MIN(P231,DATE('Thiết lập'!$B$3-1,12,31))-E231+1)*J231))</f>
        <v/>
      </c>
      <c r="R231" s="170">
        <f>IF(OR($B231="",R$4&gt;$P231,EOMONTH(R$4,0)&lt;$E231),0,MIN($H231,MAX(0,MIN(EOMONTH(R$4,0),$P231)-MAX(R$4,$E231)+1)*$J231))</f>
        <v/>
      </c>
      <c r="S231" s="170">
        <f>IF(OR($B231="",S$4&gt;$P231,EOMONTH(S$4,0)&lt;$E231),0,MIN($H231,MAX(0,MIN(EOMONTH(S$4,0),$P231)-MAX(S$4,$E231)+1)*$J231))</f>
        <v/>
      </c>
      <c r="T231" s="170">
        <f>IF(OR($B231="",T$4&gt;$P231,EOMONTH(T$4,0)&lt;$E231),0,MIN($H231,MAX(0,MIN(EOMONTH(T$4,0),$P231)-MAX(T$4,$E231)+1)*$J231))</f>
        <v/>
      </c>
      <c r="U231" s="170">
        <f>IF(OR($B231="",U$4&gt;$P231,EOMONTH(U$4,0)&lt;$E231),0,MIN($H231,MAX(0,MIN(EOMONTH(U$4,0),$P231)-MAX(U$4,$E231)+1)*$J231))</f>
        <v/>
      </c>
      <c r="V231" s="170">
        <f>IF(OR($B231="",V$4&gt;$P231,EOMONTH(V$4,0)&lt;$E231),0,MIN($H231,MAX(0,MIN(EOMONTH(V$4,0),$P231)-MAX(V$4,$E231)+1)*$J231))</f>
        <v/>
      </c>
      <c r="W231" s="170">
        <f>IF(OR($B231="",W$4&gt;$P231,EOMONTH(W$4,0)&lt;$E231),0,MIN($H231,MAX(0,MIN(EOMONTH(W$4,0),$P231)-MAX(W$4,$E231)+1)*$J231))</f>
        <v/>
      </c>
      <c r="X231" s="170">
        <f>IF(OR($B231="",X$4&gt;$P231,EOMONTH(X$4,0)&lt;$E231),0,MIN($H231,MAX(0,MIN(EOMONTH(X$4,0),$P231)-MAX(X$4,$E231)+1)*$J231))</f>
        <v/>
      </c>
      <c r="Y231" s="170">
        <f>IF(OR($B231="",Y$4&gt;$P231,EOMONTH(Y$4,0)&lt;$E231),0,MIN($H231,MAX(0,MIN(EOMONTH(Y$4,0),$P231)-MAX(Y$4,$E231)+1)*$J231))</f>
        <v/>
      </c>
      <c r="Z231" s="170">
        <f>IF(OR($B231="",Z$4&gt;$P231,EOMONTH(Z$4,0)&lt;$E231),0,MIN($H231,MAX(0,MIN(EOMONTH(Z$4,0),$P231)-MAX(Z$4,$E231)+1)*$J231))</f>
        <v/>
      </c>
      <c r="AA231" s="170">
        <f>IF(OR($B231="",AA$4&gt;$P231,EOMONTH(AA$4,0)&lt;$E231),0,MIN($H231,MAX(0,MIN(EOMONTH(AA$4,0),$P231)-MAX(AA$4,$E231)+1)*$J231))</f>
        <v/>
      </c>
      <c r="AB231" s="170">
        <f>IF(OR($B231="",AB$4&gt;$P231,EOMONTH(AB$4,0)&lt;$E231),0,MIN($H231,MAX(0,MIN(EOMONTH(AB$4,0),$P231)-MAX(AB$4,$E231)+1)*$J231))</f>
        <v/>
      </c>
      <c r="AC231" s="170">
        <f>IF(OR($B231="",AC$4&gt;$P231,EOMONTH(AC$4,0)&lt;$E231),0,MIN($H231,MAX(0,MIN(EOMONTH(AC$4,0),$P231)-MAX(AC$4,$E231)+1)*$J231))</f>
        <v/>
      </c>
      <c r="AD231" s="170">
        <f>IF(B231="","",ROUND(SUM(R231:AC231),0))</f>
        <v/>
      </c>
      <c r="AE231" s="170">
        <f>IF(B231="","",MIN(H231,ROUND(Q231+SUM(R231:AC231),0)))</f>
        <v/>
      </c>
      <c r="AF231" s="170">
        <f>IF(B231="","",MAX(H231-AE231,0))</f>
        <v/>
      </c>
      <c r="AG231" s="172">
        <f>IF(B231="","",IF('Thiết lập'!$B$4&lt;E231,"Chưa phân bổ",IF(P231&lt;='Thiết lập'!$B$4,"Đã phân bổ","Đang phân bổ")))</f>
        <v/>
      </c>
      <c r="AH231" s="166" t="n"/>
      <c r="AI231" s="174">
        <f>IF(B231="","",IF(AND(C231&lt;&gt;"",D231&lt;&gt;"",E231&lt;&gt;"",E231&gt;=D231,F231&gt;0,G231&gt;0,I231&gt;0,COUNTIF($B$7:$B$306,B231)=1),"OK",IF(C231="","Thiếu tên; ","")&amp;IF(D231="","Thiếu ngày tăng; ","")&amp;IF(E231="","Thiếu ngày bắt đầu; ","")&amp;IF(AND(D231&lt;&gt;"",E231&lt;&gt;"",E231&lt;D231),"Ngày bắt đầu &lt; ngày tăng; ","")&amp;IF(OR(F231="",F231&lt;=0),"Số lượng không hợp lệ; ","")&amp;IF(OR(G231="",G231&lt;=0),"Đơn giá không hợp lệ; ","")&amp;IF(OR(I231="",I231&lt;=0),"Số tháng không hợp lệ; ","")&amp;IF(COUNTIF($B$7:$B$306,B231)&gt;1,"Trùng mã CPTT; ","")))</f>
        <v/>
      </c>
    </row>
    <row r="232" ht="19.5" customHeight="1" s="98">
      <c r="A232" s="164">
        <f>IF(B232="","",ROW()-6)</f>
        <v/>
      </c>
      <c r="B232" s="165" t="n"/>
      <c r="C232" s="166" t="n"/>
      <c r="D232" s="167" t="n"/>
      <c r="E232" s="167" t="n"/>
      <c r="F232" s="168" t="n"/>
      <c r="G232" s="169" t="n"/>
      <c r="H232" s="170">
        <f>IF(OR(F232="",G232=""),"",F232*G232)</f>
        <v/>
      </c>
      <c r="I232" s="171" t="n"/>
      <c r="J232" s="170">
        <f>IF(OR(H232="",E232="",P232=""),"",H232/(P232-E232+1))</f>
        <v/>
      </c>
      <c r="K232" s="165" t="n"/>
      <c r="L232" s="172">
        <f>IF(B232="","",IF(AF232&lt;=0,"Đã phân bổ",IF(P232&lt;=EDATE('Thiết lập'!$B$4,12),"Ngắn hạn","Dài hạn")))</f>
        <v/>
      </c>
      <c r="M232" s="165" t="n"/>
      <c r="N232" s="165" t="n"/>
      <c r="O232" s="165" t="n"/>
      <c r="P232" s="173">
        <f>IF(OR(E232="",I232=""),"",EDATE(E232,I232)-1)</f>
        <v/>
      </c>
      <c r="Q232" s="170">
        <f>IF(OR(B232="",E232="",P232=""),0,MIN(H232,MAX(0,MIN(P232,DATE('Thiết lập'!$B$3-1,12,31))-E232+1)*J232))</f>
        <v/>
      </c>
      <c r="R232" s="170">
        <f>IF(OR($B232="",R$4&gt;$P232,EOMONTH(R$4,0)&lt;$E232),0,MIN($H232,MAX(0,MIN(EOMONTH(R$4,0),$P232)-MAX(R$4,$E232)+1)*$J232))</f>
        <v/>
      </c>
      <c r="S232" s="170">
        <f>IF(OR($B232="",S$4&gt;$P232,EOMONTH(S$4,0)&lt;$E232),0,MIN($H232,MAX(0,MIN(EOMONTH(S$4,0),$P232)-MAX(S$4,$E232)+1)*$J232))</f>
        <v/>
      </c>
      <c r="T232" s="170">
        <f>IF(OR($B232="",T$4&gt;$P232,EOMONTH(T$4,0)&lt;$E232),0,MIN($H232,MAX(0,MIN(EOMONTH(T$4,0),$P232)-MAX(T$4,$E232)+1)*$J232))</f>
        <v/>
      </c>
      <c r="U232" s="170">
        <f>IF(OR($B232="",U$4&gt;$P232,EOMONTH(U$4,0)&lt;$E232),0,MIN($H232,MAX(0,MIN(EOMONTH(U$4,0),$P232)-MAX(U$4,$E232)+1)*$J232))</f>
        <v/>
      </c>
      <c r="V232" s="170">
        <f>IF(OR($B232="",V$4&gt;$P232,EOMONTH(V$4,0)&lt;$E232),0,MIN($H232,MAX(0,MIN(EOMONTH(V$4,0),$P232)-MAX(V$4,$E232)+1)*$J232))</f>
        <v/>
      </c>
      <c r="W232" s="170">
        <f>IF(OR($B232="",W$4&gt;$P232,EOMONTH(W$4,0)&lt;$E232),0,MIN($H232,MAX(0,MIN(EOMONTH(W$4,0),$P232)-MAX(W$4,$E232)+1)*$J232))</f>
        <v/>
      </c>
      <c r="X232" s="170">
        <f>IF(OR($B232="",X$4&gt;$P232,EOMONTH(X$4,0)&lt;$E232),0,MIN($H232,MAX(0,MIN(EOMONTH(X$4,0),$P232)-MAX(X$4,$E232)+1)*$J232))</f>
        <v/>
      </c>
      <c r="Y232" s="170">
        <f>IF(OR($B232="",Y$4&gt;$P232,EOMONTH(Y$4,0)&lt;$E232),0,MIN($H232,MAX(0,MIN(EOMONTH(Y$4,0),$P232)-MAX(Y$4,$E232)+1)*$J232))</f>
        <v/>
      </c>
      <c r="Z232" s="170">
        <f>IF(OR($B232="",Z$4&gt;$P232,EOMONTH(Z$4,0)&lt;$E232),0,MIN($H232,MAX(0,MIN(EOMONTH(Z$4,0),$P232)-MAX(Z$4,$E232)+1)*$J232))</f>
        <v/>
      </c>
      <c r="AA232" s="170">
        <f>IF(OR($B232="",AA$4&gt;$P232,EOMONTH(AA$4,0)&lt;$E232),0,MIN($H232,MAX(0,MIN(EOMONTH(AA$4,0),$P232)-MAX(AA$4,$E232)+1)*$J232))</f>
        <v/>
      </c>
      <c r="AB232" s="170">
        <f>IF(OR($B232="",AB$4&gt;$P232,EOMONTH(AB$4,0)&lt;$E232),0,MIN($H232,MAX(0,MIN(EOMONTH(AB$4,0),$P232)-MAX(AB$4,$E232)+1)*$J232))</f>
        <v/>
      </c>
      <c r="AC232" s="170">
        <f>IF(OR($B232="",AC$4&gt;$P232,EOMONTH(AC$4,0)&lt;$E232),0,MIN($H232,MAX(0,MIN(EOMONTH(AC$4,0),$P232)-MAX(AC$4,$E232)+1)*$J232))</f>
        <v/>
      </c>
      <c r="AD232" s="170">
        <f>IF(B232="","",ROUND(SUM(R232:AC232),0))</f>
        <v/>
      </c>
      <c r="AE232" s="170">
        <f>IF(B232="","",MIN(H232,ROUND(Q232+SUM(R232:AC232),0)))</f>
        <v/>
      </c>
      <c r="AF232" s="170">
        <f>IF(B232="","",MAX(H232-AE232,0))</f>
        <v/>
      </c>
      <c r="AG232" s="172">
        <f>IF(B232="","",IF('Thiết lập'!$B$4&lt;E232,"Chưa phân bổ",IF(P232&lt;='Thiết lập'!$B$4,"Đã phân bổ","Đang phân bổ")))</f>
        <v/>
      </c>
      <c r="AH232" s="166" t="n"/>
      <c r="AI232" s="174">
        <f>IF(B232="","",IF(AND(C232&lt;&gt;"",D232&lt;&gt;"",E232&lt;&gt;"",E232&gt;=D232,F232&gt;0,G232&gt;0,I232&gt;0,COUNTIF($B$7:$B$306,B232)=1),"OK",IF(C232="","Thiếu tên; ","")&amp;IF(D232="","Thiếu ngày tăng; ","")&amp;IF(E232="","Thiếu ngày bắt đầu; ","")&amp;IF(AND(D232&lt;&gt;"",E232&lt;&gt;"",E232&lt;D232),"Ngày bắt đầu &lt; ngày tăng; ","")&amp;IF(OR(F232="",F232&lt;=0),"Số lượng không hợp lệ; ","")&amp;IF(OR(G232="",G232&lt;=0),"Đơn giá không hợp lệ; ","")&amp;IF(OR(I232="",I232&lt;=0),"Số tháng không hợp lệ; ","")&amp;IF(COUNTIF($B$7:$B$306,B232)&gt;1,"Trùng mã CPTT; ","")))</f>
        <v/>
      </c>
    </row>
    <row r="233" ht="19.5" customHeight="1" s="98">
      <c r="A233" s="164">
        <f>IF(B233="","",ROW()-6)</f>
        <v/>
      </c>
      <c r="B233" s="165" t="n"/>
      <c r="C233" s="166" t="n"/>
      <c r="D233" s="167" t="n"/>
      <c r="E233" s="167" t="n"/>
      <c r="F233" s="168" t="n"/>
      <c r="G233" s="169" t="n"/>
      <c r="H233" s="170">
        <f>IF(OR(F233="",G233=""),"",F233*G233)</f>
        <v/>
      </c>
      <c r="I233" s="171" t="n"/>
      <c r="J233" s="170">
        <f>IF(OR(H233="",E233="",P233=""),"",H233/(P233-E233+1))</f>
        <v/>
      </c>
      <c r="K233" s="165" t="n"/>
      <c r="L233" s="172">
        <f>IF(B233="","",IF(AF233&lt;=0,"Đã phân bổ",IF(P233&lt;=EDATE('Thiết lập'!$B$4,12),"Ngắn hạn","Dài hạn")))</f>
        <v/>
      </c>
      <c r="M233" s="165" t="n"/>
      <c r="N233" s="165" t="n"/>
      <c r="O233" s="165" t="n"/>
      <c r="P233" s="173">
        <f>IF(OR(E233="",I233=""),"",EDATE(E233,I233)-1)</f>
        <v/>
      </c>
      <c r="Q233" s="170">
        <f>IF(OR(B233="",E233="",P233=""),0,MIN(H233,MAX(0,MIN(P233,DATE('Thiết lập'!$B$3-1,12,31))-E233+1)*J233))</f>
        <v/>
      </c>
      <c r="R233" s="170">
        <f>IF(OR($B233="",R$4&gt;$P233,EOMONTH(R$4,0)&lt;$E233),0,MIN($H233,MAX(0,MIN(EOMONTH(R$4,0),$P233)-MAX(R$4,$E233)+1)*$J233))</f>
        <v/>
      </c>
      <c r="S233" s="170">
        <f>IF(OR($B233="",S$4&gt;$P233,EOMONTH(S$4,0)&lt;$E233),0,MIN($H233,MAX(0,MIN(EOMONTH(S$4,0),$P233)-MAX(S$4,$E233)+1)*$J233))</f>
        <v/>
      </c>
      <c r="T233" s="170">
        <f>IF(OR($B233="",T$4&gt;$P233,EOMONTH(T$4,0)&lt;$E233),0,MIN($H233,MAX(0,MIN(EOMONTH(T$4,0),$P233)-MAX(T$4,$E233)+1)*$J233))</f>
        <v/>
      </c>
      <c r="U233" s="170">
        <f>IF(OR($B233="",U$4&gt;$P233,EOMONTH(U$4,0)&lt;$E233),0,MIN($H233,MAX(0,MIN(EOMONTH(U$4,0),$P233)-MAX(U$4,$E233)+1)*$J233))</f>
        <v/>
      </c>
      <c r="V233" s="170">
        <f>IF(OR($B233="",V$4&gt;$P233,EOMONTH(V$4,0)&lt;$E233),0,MIN($H233,MAX(0,MIN(EOMONTH(V$4,0),$P233)-MAX(V$4,$E233)+1)*$J233))</f>
        <v/>
      </c>
      <c r="W233" s="170">
        <f>IF(OR($B233="",W$4&gt;$P233,EOMONTH(W$4,0)&lt;$E233),0,MIN($H233,MAX(0,MIN(EOMONTH(W$4,0),$P233)-MAX(W$4,$E233)+1)*$J233))</f>
        <v/>
      </c>
      <c r="X233" s="170">
        <f>IF(OR($B233="",X$4&gt;$P233,EOMONTH(X$4,0)&lt;$E233),0,MIN($H233,MAX(0,MIN(EOMONTH(X$4,0),$P233)-MAX(X$4,$E233)+1)*$J233))</f>
        <v/>
      </c>
      <c r="Y233" s="170">
        <f>IF(OR($B233="",Y$4&gt;$P233,EOMONTH(Y$4,0)&lt;$E233),0,MIN($H233,MAX(0,MIN(EOMONTH(Y$4,0),$P233)-MAX(Y$4,$E233)+1)*$J233))</f>
        <v/>
      </c>
      <c r="Z233" s="170">
        <f>IF(OR($B233="",Z$4&gt;$P233,EOMONTH(Z$4,0)&lt;$E233),0,MIN($H233,MAX(0,MIN(EOMONTH(Z$4,0),$P233)-MAX(Z$4,$E233)+1)*$J233))</f>
        <v/>
      </c>
      <c r="AA233" s="170">
        <f>IF(OR($B233="",AA$4&gt;$P233,EOMONTH(AA$4,0)&lt;$E233),0,MIN($H233,MAX(0,MIN(EOMONTH(AA$4,0),$P233)-MAX(AA$4,$E233)+1)*$J233))</f>
        <v/>
      </c>
      <c r="AB233" s="170">
        <f>IF(OR($B233="",AB$4&gt;$P233,EOMONTH(AB$4,0)&lt;$E233),0,MIN($H233,MAX(0,MIN(EOMONTH(AB$4,0),$P233)-MAX(AB$4,$E233)+1)*$J233))</f>
        <v/>
      </c>
      <c r="AC233" s="170">
        <f>IF(OR($B233="",AC$4&gt;$P233,EOMONTH(AC$4,0)&lt;$E233),0,MIN($H233,MAX(0,MIN(EOMONTH(AC$4,0),$P233)-MAX(AC$4,$E233)+1)*$J233))</f>
        <v/>
      </c>
      <c r="AD233" s="170">
        <f>IF(B233="","",ROUND(SUM(R233:AC233),0))</f>
        <v/>
      </c>
      <c r="AE233" s="170">
        <f>IF(B233="","",MIN(H233,ROUND(Q233+SUM(R233:AC233),0)))</f>
        <v/>
      </c>
      <c r="AF233" s="170">
        <f>IF(B233="","",MAX(H233-AE233,0))</f>
        <v/>
      </c>
      <c r="AG233" s="172">
        <f>IF(B233="","",IF('Thiết lập'!$B$4&lt;E233,"Chưa phân bổ",IF(P233&lt;='Thiết lập'!$B$4,"Đã phân bổ","Đang phân bổ")))</f>
        <v/>
      </c>
      <c r="AH233" s="166" t="n"/>
      <c r="AI233" s="174">
        <f>IF(B233="","",IF(AND(C233&lt;&gt;"",D233&lt;&gt;"",E233&lt;&gt;"",E233&gt;=D233,F233&gt;0,G233&gt;0,I233&gt;0,COUNTIF($B$7:$B$306,B233)=1),"OK",IF(C233="","Thiếu tên; ","")&amp;IF(D233="","Thiếu ngày tăng; ","")&amp;IF(E233="","Thiếu ngày bắt đầu; ","")&amp;IF(AND(D233&lt;&gt;"",E233&lt;&gt;"",E233&lt;D233),"Ngày bắt đầu &lt; ngày tăng; ","")&amp;IF(OR(F233="",F233&lt;=0),"Số lượng không hợp lệ; ","")&amp;IF(OR(G233="",G233&lt;=0),"Đơn giá không hợp lệ; ","")&amp;IF(OR(I233="",I233&lt;=0),"Số tháng không hợp lệ; ","")&amp;IF(COUNTIF($B$7:$B$306,B233)&gt;1,"Trùng mã CPTT; ","")))</f>
        <v/>
      </c>
    </row>
    <row r="234" ht="19.5" customHeight="1" s="98">
      <c r="A234" s="164">
        <f>IF(B234="","",ROW()-6)</f>
        <v/>
      </c>
      <c r="B234" s="165" t="n"/>
      <c r="C234" s="166" t="n"/>
      <c r="D234" s="167" t="n"/>
      <c r="E234" s="167" t="n"/>
      <c r="F234" s="168" t="n"/>
      <c r="G234" s="169" t="n"/>
      <c r="H234" s="170">
        <f>IF(OR(F234="",G234=""),"",F234*G234)</f>
        <v/>
      </c>
      <c r="I234" s="171" t="n"/>
      <c r="J234" s="170">
        <f>IF(OR(H234="",E234="",P234=""),"",H234/(P234-E234+1))</f>
        <v/>
      </c>
      <c r="K234" s="165" t="n"/>
      <c r="L234" s="172">
        <f>IF(B234="","",IF(AF234&lt;=0,"Đã phân bổ",IF(P234&lt;=EDATE('Thiết lập'!$B$4,12),"Ngắn hạn","Dài hạn")))</f>
        <v/>
      </c>
      <c r="M234" s="165" t="n"/>
      <c r="N234" s="165" t="n"/>
      <c r="O234" s="165" t="n"/>
      <c r="P234" s="173">
        <f>IF(OR(E234="",I234=""),"",EDATE(E234,I234)-1)</f>
        <v/>
      </c>
      <c r="Q234" s="170">
        <f>IF(OR(B234="",E234="",P234=""),0,MIN(H234,MAX(0,MIN(P234,DATE('Thiết lập'!$B$3-1,12,31))-E234+1)*J234))</f>
        <v/>
      </c>
      <c r="R234" s="170">
        <f>IF(OR($B234="",R$4&gt;$P234,EOMONTH(R$4,0)&lt;$E234),0,MIN($H234,MAX(0,MIN(EOMONTH(R$4,0),$P234)-MAX(R$4,$E234)+1)*$J234))</f>
        <v/>
      </c>
      <c r="S234" s="170">
        <f>IF(OR($B234="",S$4&gt;$P234,EOMONTH(S$4,0)&lt;$E234),0,MIN($H234,MAX(0,MIN(EOMONTH(S$4,0),$P234)-MAX(S$4,$E234)+1)*$J234))</f>
        <v/>
      </c>
      <c r="T234" s="170">
        <f>IF(OR($B234="",T$4&gt;$P234,EOMONTH(T$4,0)&lt;$E234),0,MIN($H234,MAX(0,MIN(EOMONTH(T$4,0),$P234)-MAX(T$4,$E234)+1)*$J234))</f>
        <v/>
      </c>
      <c r="U234" s="170">
        <f>IF(OR($B234="",U$4&gt;$P234,EOMONTH(U$4,0)&lt;$E234),0,MIN($H234,MAX(0,MIN(EOMONTH(U$4,0),$P234)-MAX(U$4,$E234)+1)*$J234))</f>
        <v/>
      </c>
      <c r="V234" s="170">
        <f>IF(OR($B234="",V$4&gt;$P234,EOMONTH(V$4,0)&lt;$E234),0,MIN($H234,MAX(0,MIN(EOMONTH(V$4,0),$P234)-MAX(V$4,$E234)+1)*$J234))</f>
        <v/>
      </c>
      <c r="W234" s="170">
        <f>IF(OR($B234="",W$4&gt;$P234,EOMONTH(W$4,0)&lt;$E234),0,MIN($H234,MAX(0,MIN(EOMONTH(W$4,0),$P234)-MAX(W$4,$E234)+1)*$J234))</f>
        <v/>
      </c>
      <c r="X234" s="170">
        <f>IF(OR($B234="",X$4&gt;$P234,EOMONTH(X$4,0)&lt;$E234),0,MIN($H234,MAX(0,MIN(EOMONTH(X$4,0),$P234)-MAX(X$4,$E234)+1)*$J234))</f>
        <v/>
      </c>
      <c r="Y234" s="170">
        <f>IF(OR($B234="",Y$4&gt;$P234,EOMONTH(Y$4,0)&lt;$E234),0,MIN($H234,MAX(0,MIN(EOMONTH(Y$4,0),$P234)-MAX(Y$4,$E234)+1)*$J234))</f>
        <v/>
      </c>
      <c r="Z234" s="170">
        <f>IF(OR($B234="",Z$4&gt;$P234,EOMONTH(Z$4,0)&lt;$E234),0,MIN($H234,MAX(0,MIN(EOMONTH(Z$4,0),$P234)-MAX(Z$4,$E234)+1)*$J234))</f>
        <v/>
      </c>
      <c r="AA234" s="170">
        <f>IF(OR($B234="",AA$4&gt;$P234,EOMONTH(AA$4,0)&lt;$E234),0,MIN($H234,MAX(0,MIN(EOMONTH(AA$4,0),$P234)-MAX(AA$4,$E234)+1)*$J234))</f>
        <v/>
      </c>
      <c r="AB234" s="170">
        <f>IF(OR($B234="",AB$4&gt;$P234,EOMONTH(AB$4,0)&lt;$E234),0,MIN($H234,MAX(0,MIN(EOMONTH(AB$4,0),$P234)-MAX(AB$4,$E234)+1)*$J234))</f>
        <v/>
      </c>
      <c r="AC234" s="170">
        <f>IF(OR($B234="",AC$4&gt;$P234,EOMONTH(AC$4,0)&lt;$E234),0,MIN($H234,MAX(0,MIN(EOMONTH(AC$4,0),$P234)-MAX(AC$4,$E234)+1)*$J234))</f>
        <v/>
      </c>
      <c r="AD234" s="170">
        <f>IF(B234="","",ROUND(SUM(R234:AC234),0))</f>
        <v/>
      </c>
      <c r="AE234" s="170">
        <f>IF(B234="","",MIN(H234,ROUND(Q234+SUM(R234:AC234),0)))</f>
        <v/>
      </c>
      <c r="AF234" s="170">
        <f>IF(B234="","",MAX(H234-AE234,0))</f>
        <v/>
      </c>
      <c r="AG234" s="172">
        <f>IF(B234="","",IF('Thiết lập'!$B$4&lt;E234,"Chưa phân bổ",IF(P234&lt;='Thiết lập'!$B$4,"Đã phân bổ","Đang phân bổ")))</f>
        <v/>
      </c>
      <c r="AH234" s="166" t="n"/>
      <c r="AI234" s="174">
        <f>IF(B234="","",IF(AND(C234&lt;&gt;"",D234&lt;&gt;"",E234&lt;&gt;"",E234&gt;=D234,F234&gt;0,G234&gt;0,I234&gt;0,COUNTIF($B$7:$B$306,B234)=1),"OK",IF(C234="","Thiếu tên; ","")&amp;IF(D234="","Thiếu ngày tăng; ","")&amp;IF(E234="","Thiếu ngày bắt đầu; ","")&amp;IF(AND(D234&lt;&gt;"",E234&lt;&gt;"",E234&lt;D234),"Ngày bắt đầu &lt; ngày tăng; ","")&amp;IF(OR(F234="",F234&lt;=0),"Số lượng không hợp lệ; ","")&amp;IF(OR(G234="",G234&lt;=0),"Đơn giá không hợp lệ; ","")&amp;IF(OR(I234="",I234&lt;=0),"Số tháng không hợp lệ; ","")&amp;IF(COUNTIF($B$7:$B$306,B234)&gt;1,"Trùng mã CPTT; ","")))</f>
        <v/>
      </c>
    </row>
    <row r="235" ht="19.5" customHeight="1" s="98">
      <c r="A235" s="164">
        <f>IF(B235="","",ROW()-6)</f>
        <v/>
      </c>
      <c r="B235" s="165" t="n"/>
      <c r="C235" s="166" t="n"/>
      <c r="D235" s="167" t="n"/>
      <c r="E235" s="167" t="n"/>
      <c r="F235" s="168" t="n"/>
      <c r="G235" s="169" t="n"/>
      <c r="H235" s="170">
        <f>IF(OR(F235="",G235=""),"",F235*G235)</f>
        <v/>
      </c>
      <c r="I235" s="171" t="n"/>
      <c r="J235" s="170">
        <f>IF(OR(H235="",E235="",P235=""),"",H235/(P235-E235+1))</f>
        <v/>
      </c>
      <c r="K235" s="165" t="n"/>
      <c r="L235" s="172">
        <f>IF(B235="","",IF(AF235&lt;=0,"Đã phân bổ",IF(P235&lt;=EDATE('Thiết lập'!$B$4,12),"Ngắn hạn","Dài hạn")))</f>
        <v/>
      </c>
      <c r="M235" s="165" t="n"/>
      <c r="N235" s="165" t="n"/>
      <c r="O235" s="165" t="n"/>
      <c r="P235" s="173">
        <f>IF(OR(E235="",I235=""),"",EDATE(E235,I235)-1)</f>
        <v/>
      </c>
      <c r="Q235" s="170">
        <f>IF(OR(B235="",E235="",P235=""),0,MIN(H235,MAX(0,MIN(P235,DATE('Thiết lập'!$B$3-1,12,31))-E235+1)*J235))</f>
        <v/>
      </c>
      <c r="R235" s="170">
        <f>IF(OR($B235="",R$4&gt;$P235,EOMONTH(R$4,0)&lt;$E235),0,MIN($H235,MAX(0,MIN(EOMONTH(R$4,0),$P235)-MAX(R$4,$E235)+1)*$J235))</f>
        <v/>
      </c>
      <c r="S235" s="170">
        <f>IF(OR($B235="",S$4&gt;$P235,EOMONTH(S$4,0)&lt;$E235),0,MIN($H235,MAX(0,MIN(EOMONTH(S$4,0),$P235)-MAX(S$4,$E235)+1)*$J235))</f>
        <v/>
      </c>
      <c r="T235" s="170">
        <f>IF(OR($B235="",T$4&gt;$P235,EOMONTH(T$4,0)&lt;$E235),0,MIN($H235,MAX(0,MIN(EOMONTH(T$4,0),$P235)-MAX(T$4,$E235)+1)*$J235))</f>
        <v/>
      </c>
      <c r="U235" s="170">
        <f>IF(OR($B235="",U$4&gt;$P235,EOMONTH(U$4,0)&lt;$E235),0,MIN($H235,MAX(0,MIN(EOMONTH(U$4,0),$P235)-MAX(U$4,$E235)+1)*$J235))</f>
        <v/>
      </c>
      <c r="V235" s="170">
        <f>IF(OR($B235="",V$4&gt;$P235,EOMONTH(V$4,0)&lt;$E235),0,MIN($H235,MAX(0,MIN(EOMONTH(V$4,0),$P235)-MAX(V$4,$E235)+1)*$J235))</f>
        <v/>
      </c>
      <c r="W235" s="170">
        <f>IF(OR($B235="",W$4&gt;$P235,EOMONTH(W$4,0)&lt;$E235),0,MIN($H235,MAX(0,MIN(EOMONTH(W$4,0),$P235)-MAX(W$4,$E235)+1)*$J235))</f>
        <v/>
      </c>
      <c r="X235" s="170">
        <f>IF(OR($B235="",X$4&gt;$P235,EOMONTH(X$4,0)&lt;$E235),0,MIN($H235,MAX(0,MIN(EOMONTH(X$4,0),$P235)-MAX(X$4,$E235)+1)*$J235))</f>
        <v/>
      </c>
      <c r="Y235" s="170">
        <f>IF(OR($B235="",Y$4&gt;$P235,EOMONTH(Y$4,0)&lt;$E235),0,MIN($H235,MAX(0,MIN(EOMONTH(Y$4,0),$P235)-MAX(Y$4,$E235)+1)*$J235))</f>
        <v/>
      </c>
      <c r="Z235" s="170">
        <f>IF(OR($B235="",Z$4&gt;$P235,EOMONTH(Z$4,0)&lt;$E235),0,MIN($H235,MAX(0,MIN(EOMONTH(Z$4,0),$P235)-MAX(Z$4,$E235)+1)*$J235))</f>
        <v/>
      </c>
      <c r="AA235" s="170">
        <f>IF(OR($B235="",AA$4&gt;$P235,EOMONTH(AA$4,0)&lt;$E235),0,MIN($H235,MAX(0,MIN(EOMONTH(AA$4,0),$P235)-MAX(AA$4,$E235)+1)*$J235))</f>
        <v/>
      </c>
      <c r="AB235" s="170">
        <f>IF(OR($B235="",AB$4&gt;$P235,EOMONTH(AB$4,0)&lt;$E235),0,MIN($H235,MAX(0,MIN(EOMONTH(AB$4,0),$P235)-MAX(AB$4,$E235)+1)*$J235))</f>
        <v/>
      </c>
      <c r="AC235" s="170">
        <f>IF(OR($B235="",AC$4&gt;$P235,EOMONTH(AC$4,0)&lt;$E235),0,MIN($H235,MAX(0,MIN(EOMONTH(AC$4,0),$P235)-MAX(AC$4,$E235)+1)*$J235))</f>
        <v/>
      </c>
      <c r="AD235" s="170">
        <f>IF(B235="","",ROUND(SUM(R235:AC235),0))</f>
        <v/>
      </c>
      <c r="AE235" s="170">
        <f>IF(B235="","",MIN(H235,ROUND(Q235+SUM(R235:AC235),0)))</f>
        <v/>
      </c>
      <c r="AF235" s="170">
        <f>IF(B235="","",MAX(H235-AE235,0))</f>
        <v/>
      </c>
      <c r="AG235" s="172">
        <f>IF(B235="","",IF('Thiết lập'!$B$4&lt;E235,"Chưa phân bổ",IF(P235&lt;='Thiết lập'!$B$4,"Đã phân bổ","Đang phân bổ")))</f>
        <v/>
      </c>
      <c r="AH235" s="166" t="n"/>
      <c r="AI235" s="174">
        <f>IF(B235="","",IF(AND(C235&lt;&gt;"",D235&lt;&gt;"",E235&lt;&gt;"",E235&gt;=D235,F235&gt;0,G235&gt;0,I235&gt;0,COUNTIF($B$7:$B$306,B235)=1),"OK",IF(C235="","Thiếu tên; ","")&amp;IF(D235="","Thiếu ngày tăng; ","")&amp;IF(E235="","Thiếu ngày bắt đầu; ","")&amp;IF(AND(D235&lt;&gt;"",E235&lt;&gt;"",E235&lt;D235),"Ngày bắt đầu &lt; ngày tăng; ","")&amp;IF(OR(F235="",F235&lt;=0),"Số lượng không hợp lệ; ","")&amp;IF(OR(G235="",G235&lt;=0),"Đơn giá không hợp lệ; ","")&amp;IF(OR(I235="",I235&lt;=0),"Số tháng không hợp lệ; ","")&amp;IF(COUNTIF($B$7:$B$306,B235)&gt;1,"Trùng mã CPTT; ","")))</f>
        <v/>
      </c>
    </row>
    <row r="236" ht="19.5" customHeight="1" s="98">
      <c r="A236" s="164">
        <f>IF(B236="","",ROW()-6)</f>
        <v/>
      </c>
      <c r="B236" s="165" t="n"/>
      <c r="C236" s="166" t="n"/>
      <c r="D236" s="167" t="n"/>
      <c r="E236" s="167" t="n"/>
      <c r="F236" s="168" t="n"/>
      <c r="G236" s="169" t="n"/>
      <c r="H236" s="170">
        <f>IF(OR(F236="",G236=""),"",F236*G236)</f>
        <v/>
      </c>
      <c r="I236" s="171" t="n"/>
      <c r="J236" s="170">
        <f>IF(OR(H236="",E236="",P236=""),"",H236/(P236-E236+1))</f>
        <v/>
      </c>
      <c r="K236" s="165" t="n"/>
      <c r="L236" s="172">
        <f>IF(B236="","",IF(AF236&lt;=0,"Đã phân bổ",IF(P236&lt;=EDATE('Thiết lập'!$B$4,12),"Ngắn hạn","Dài hạn")))</f>
        <v/>
      </c>
      <c r="M236" s="165" t="n"/>
      <c r="N236" s="165" t="n"/>
      <c r="O236" s="165" t="n"/>
      <c r="P236" s="173">
        <f>IF(OR(E236="",I236=""),"",EDATE(E236,I236)-1)</f>
        <v/>
      </c>
      <c r="Q236" s="170">
        <f>IF(OR(B236="",E236="",P236=""),0,MIN(H236,MAX(0,MIN(P236,DATE('Thiết lập'!$B$3-1,12,31))-E236+1)*J236))</f>
        <v/>
      </c>
      <c r="R236" s="170">
        <f>IF(OR($B236="",R$4&gt;$P236,EOMONTH(R$4,0)&lt;$E236),0,MIN($H236,MAX(0,MIN(EOMONTH(R$4,0),$P236)-MAX(R$4,$E236)+1)*$J236))</f>
        <v/>
      </c>
      <c r="S236" s="170">
        <f>IF(OR($B236="",S$4&gt;$P236,EOMONTH(S$4,0)&lt;$E236),0,MIN($H236,MAX(0,MIN(EOMONTH(S$4,0),$P236)-MAX(S$4,$E236)+1)*$J236))</f>
        <v/>
      </c>
      <c r="T236" s="170">
        <f>IF(OR($B236="",T$4&gt;$P236,EOMONTH(T$4,0)&lt;$E236),0,MIN($H236,MAX(0,MIN(EOMONTH(T$4,0),$P236)-MAX(T$4,$E236)+1)*$J236))</f>
        <v/>
      </c>
      <c r="U236" s="170">
        <f>IF(OR($B236="",U$4&gt;$P236,EOMONTH(U$4,0)&lt;$E236),0,MIN($H236,MAX(0,MIN(EOMONTH(U$4,0),$P236)-MAX(U$4,$E236)+1)*$J236))</f>
        <v/>
      </c>
      <c r="V236" s="170">
        <f>IF(OR($B236="",V$4&gt;$P236,EOMONTH(V$4,0)&lt;$E236),0,MIN($H236,MAX(0,MIN(EOMONTH(V$4,0),$P236)-MAX(V$4,$E236)+1)*$J236))</f>
        <v/>
      </c>
      <c r="W236" s="170">
        <f>IF(OR($B236="",W$4&gt;$P236,EOMONTH(W$4,0)&lt;$E236),0,MIN($H236,MAX(0,MIN(EOMONTH(W$4,0),$P236)-MAX(W$4,$E236)+1)*$J236))</f>
        <v/>
      </c>
      <c r="X236" s="170">
        <f>IF(OR($B236="",X$4&gt;$P236,EOMONTH(X$4,0)&lt;$E236),0,MIN($H236,MAX(0,MIN(EOMONTH(X$4,0),$P236)-MAX(X$4,$E236)+1)*$J236))</f>
        <v/>
      </c>
      <c r="Y236" s="170">
        <f>IF(OR($B236="",Y$4&gt;$P236,EOMONTH(Y$4,0)&lt;$E236),0,MIN($H236,MAX(0,MIN(EOMONTH(Y$4,0),$P236)-MAX(Y$4,$E236)+1)*$J236))</f>
        <v/>
      </c>
      <c r="Z236" s="170">
        <f>IF(OR($B236="",Z$4&gt;$P236,EOMONTH(Z$4,0)&lt;$E236),0,MIN($H236,MAX(0,MIN(EOMONTH(Z$4,0),$P236)-MAX(Z$4,$E236)+1)*$J236))</f>
        <v/>
      </c>
      <c r="AA236" s="170">
        <f>IF(OR($B236="",AA$4&gt;$P236,EOMONTH(AA$4,0)&lt;$E236),0,MIN($H236,MAX(0,MIN(EOMONTH(AA$4,0),$P236)-MAX(AA$4,$E236)+1)*$J236))</f>
        <v/>
      </c>
      <c r="AB236" s="170">
        <f>IF(OR($B236="",AB$4&gt;$P236,EOMONTH(AB$4,0)&lt;$E236),0,MIN($H236,MAX(0,MIN(EOMONTH(AB$4,0),$P236)-MAX(AB$4,$E236)+1)*$J236))</f>
        <v/>
      </c>
      <c r="AC236" s="170">
        <f>IF(OR($B236="",AC$4&gt;$P236,EOMONTH(AC$4,0)&lt;$E236),0,MIN($H236,MAX(0,MIN(EOMONTH(AC$4,0),$P236)-MAX(AC$4,$E236)+1)*$J236))</f>
        <v/>
      </c>
      <c r="AD236" s="170">
        <f>IF(B236="","",ROUND(SUM(R236:AC236),0))</f>
        <v/>
      </c>
      <c r="AE236" s="170">
        <f>IF(B236="","",MIN(H236,ROUND(Q236+SUM(R236:AC236),0)))</f>
        <v/>
      </c>
      <c r="AF236" s="170">
        <f>IF(B236="","",MAX(H236-AE236,0))</f>
        <v/>
      </c>
      <c r="AG236" s="172">
        <f>IF(B236="","",IF('Thiết lập'!$B$4&lt;E236,"Chưa phân bổ",IF(P236&lt;='Thiết lập'!$B$4,"Đã phân bổ","Đang phân bổ")))</f>
        <v/>
      </c>
      <c r="AH236" s="166" t="n"/>
      <c r="AI236" s="174">
        <f>IF(B236="","",IF(AND(C236&lt;&gt;"",D236&lt;&gt;"",E236&lt;&gt;"",E236&gt;=D236,F236&gt;0,G236&gt;0,I236&gt;0,COUNTIF($B$7:$B$306,B236)=1),"OK",IF(C236="","Thiếu tên; ","")&amp;IF(D236="","Thiếu ngày tăng; ","")&amp;IF(E236="","Thiếu ngày bắt đầu; ","")&amp;IF(AND(D236&lt;&gt;"",E236&lt;&gt;"",E236&lt;D236),"Ngày bắt đầu &lt; ngày tăng; ","")&amp;IF(OR(F236="",F236&lt;=0),"Số lượng không hợp lệ; ","")&amp;IF(OR(G236="",G236&lt;=0),"Đơn giá không hợp lệ; ","")&amp;IF(OR(I236="",I236&lt;=0),"Số tháng không hợp lệ; ","")&amp;IF(COUNTIF($B$7:$B$306,B236)&gt;1,"Trùng mã CPTT; ","")))</f>
        <v/>
      </c>
    </row>
    <row r="237" ht="19.5" customHeight="1" s="98">
      <c r="A237" s="164">
        <f>IF(B237="","",ROW()-6)</f>
        <v/>
      </c>
      <c r="B237" s="165" t="n"/>
      <c r="C237" s="166" t="n"/>
      <c r="D237" s="167" t="n"/>
      <c r="E237" s="167" t="n"/>
      <c r="F237" s="168" t="n"/>
      <c r="G237" s="169" t="n"/>
      <c r="H237" s="170">
        <f>IF(OR(F237="",G237=""),"",F237*G237)</f>
        <v/>
      </c>
      <c r="I237" s="171" t="n"/>
      <c r="J237" s="170">
        <f>IF(OR(H237="",E237="",P237=""),"",H237/(P237-E237+1))</f>
        <v/>
      </c>
      <c r="K237" s="165" t="n"/>
      <c r="L237" s="172">
        <f>IF(B237="","",IF(AF237&lt;=0,"Đã phân bổ",IF(P237&lt;=EDATE('Thiết lập'!$B$4,12),"Ngắn hạn","Dài hạn")))</f>
        <v/>
      </c>
      <c r="M237" s="165" t="n"/>
      <c r="N237" s="165" t="n"/>
      <c r="O237" s="165" t="n"/>
      <c r="P237" s="173">
        <f>IF(OR(E237="",I237=""),"",EDATE(E237,I237)-1)</f>
        <v/>
      </c>
      <c r="Q237" s="170">
        <f>IF(OR(B237="",E237="",P237=""),0,MIN(H237,MAX(0,MIN(P237,DATE('Thiết lập'!$B$3-1,12,31))-E237+1)*J237))</f>
        <v/>
      </c>
      <c r="R237" s="170">
        <f>IF(OR($B237="",R$4&gt;$P237,EOMONTH(R$4,0)&lt;$E237),0,MIN($H237,MAX(0,MIN(EOMONTH(R$4,0),$P237)-MAX(R$4,$E237)+1)*$J237))</f>
        <v/>
      </c>
      <c r="S237" s="170">
        <f>IF(OR($B237="",S$4&gt;$P237,EOMONTH(S$4,0)&lt;$E237),0,MIN($H237,MAX(0,MIN(EOMONTH(S$4,0),$P237)-MAX(S$4,$E237)+1)*$J237))</f>
        <v/>
      </c>
      <c r="T237" s="170">
        <f>IF(OR($B237="",T$4&gt;$P237,EOMONTH(T$4,0)&lt;$E237),0,MIN($H237,MAX(0,MIN(EOMONTH(T$4,0),$P237)-MAX(T$4,$E237)+1)*$J237))</f>
        <v/>
      </c>
      <c r="U237" s="170">
        <f>IF(OR($B237="",U$4&gt;$P237,EOMONTH(U$4,0)&lt;$E237),0,MIN($H237,MAX(0,MIN(EOMONTH(U$4,0),$P237)-MAX(U$4,$E237)+1)*$J237))</f>
        <v/>
      </c>
      <c r="V237" s="170">
        <f>IF(OR($B237="",V$4&gt;$P237,EOMONTH(V$4,0)&lt;$E237),0,MIN($H237,MAX(0,MIN(EOMONTH(V$4,0),$P237)-MAX(V$4,$E237)+1)*$J237))</f>
        <v/>
      </c>
      <c r="W237" s="170">
        <f>IF(OR($B237="",W$4&gt;$P237,EOMONTH(W$4,0)&lt;$E237),0,MIN($H237,MAX(0,MIN(EOMONTH(W$4,0),$P237)-MAX(W$4,$E237)+1)*$J237))</f>
        <v/>
      </c>
      <c r="X237" s="170">
        <f>IF(OR($B237="",X$4&gt;$P237,EOMONTH(X$4,0)&lt;$E237),0,MIN($H237,MAX(0,MIN(EOMONTH(X$4,0),$P237)-MAX(X$4,$E237)+1)*$J237))</f>
        <v/>
      </c>
      <c r="Y237" s="170">
        <f>IF(OR($B237="",Y$4&gt;$P237,EOMONTH(Y$4,0)&lt;$E237),0,MIN($H237,MAX(0,MIN(EOMONTH(Y$4,0),$P237)-MAX(Y$4,$E237)+1)*$J237))</f>
        <v/>
      </c>
      <c r="Z237" s="170">
        <f>IF(OR($B237="",Z$4&gt;$P237,EOMONTH(Z$4,0)&lt;$E237),0,MIN($H237,MAX(0,MIN(EOMONTH(Z$4,0),$P237)-MAX(Z$4,$E237)+1)*$J237))</f>
        <v/>
      </c>
      <c r="AA237" s="170">
        <f>IF(OR($B237="",AA$4&gt;$P237,EOMONTH(AA$4,0)&lt;$E237),0,MIN($H237,MAX(0,MIN(EOMONTH(AA$4,0),$P237)-MAX(AA$4,$E237)+1)*$J237))</f>
        <v/>
      </c>
      <c r="AB237" s="170">
        <f>IF(OR($B237="",AB$4&gt;$P237,EOMONTH(AB$4,0)&lt;$E237),0,MIN($H237,MAX(0,MIN(EOMONTH(AB$4,0),$P237)-MAX(AB$4,$E237)+1)*$J237))</f>
        <v/>
      </c>
      <c r="AC237" s="170">
        <f>IF(OR($B237="",AC$4&gt;$P237,EOMONTH(AC$4,0)&lt;$E237),0,MIN($H237,MAX(0,MIN(EOMONTH(AC$4,0),$P237)-MAX(AC$4,$E237)+1)*$J237))</f>
        <v/>
      </c>
      <c r="AD237" s="170">
        <f>IF(B237="","",ROUND(SUM(R237:AC237),0))</f>
        <v/>
      </c>
      <c r="AE237" s="170">
        <f>IF(B237="","",MIN(H237,ROUND(Q237+SUM(R237:AC237),0)))</f>
        <v/>
      </c>
      <c r="AF237" s="170">
        <f>IF(B237="","",MAX(H237-AE237,0))</f>
        <v/>
      </c>
      <c r="AG237" s="172">
        <f>IF(B237="","",IF('Thiết lập'!$B$4&lt;E237,"Chưa phân bổ",IF(P237&lt;='Thiết lập'!$B$4,"Đã phân bổ","Đang phân bổ")))</f>
        <v/>
      </c>
      <c r="AH237" s="166" t="n"/>
      <c r="AI237" s="174">
        <f>IF(B237="","",IF(AND(C237&lt;&gt;"",D237&lt;&gt;"",E237&lt;&gt;"",E237&gt;=D237,F237&gt;0,G237&gt;0,I237&gt;0,COUNTIF($B$7:$B$306,B237)=1),"OK",IF(C237="","Thiếu tên; ","")&amp;IF(D237="","Thiếu ngày tăng; ","")&amp;IF(E237="","Thiếu ngày bắt đầu; ","")&amp;IF(AND(D237&lt;&gt;"",E237&lt;&gt;"",E237&lt;D237),"Ngày bắt đầu &lt; ngày tăng; ","")&amp;IF(OR(F237="",F237&lt;=0),"Số lượng không hợp lệ; ","")&amp;IF(OR(G237="",G237&lt;=0),"Đơn giá không hợp lệ; ","")&amp;IF(OR(I237="",I237&lt;=0),"Số tháng không hợp lệ; ","")&amp;IF(COUNTIF($B$7:$B$306,B237)&gt;1,"Trùng mã CPTT; ","")))</f>
        <v/>
      </c>
    </row>
    <row r="238" ht="19.5" customHeight="1" s="98">
      <c r="A238" s="164">
        <f>IF(B238="","",ROW()-6)</f>
        <v/>
      </c>
      <c r="B238" s="165" t="n"/>
      <c r="C238" s="166" t="n"/>
      <c r="D238" s="167" t="n"/>
      <c r="E238" s="167" t="n"/>
      <c r="F238" s="168" t="n"/>
      <c r="G238" s="169" t="n"/>
      <c r="H238" s="170">
        <f>IF(OR(F238="",G238=""),"",F238*G238)</f>
        <v/>
      </c>
      <c r="I238" s="171" t="n"/>
      <c r="J238" s="170">
        <f>IF(OR(H238="",E238="",P238=""),"",H238/(P238-E238+1))</f>
        <v/>
      </c>
      <c r="K238" s="165" t="n"/>
      <c r="L238" s="172">
        <f>IF(B238="","",IF(AF238&lt;=0,"Đã phân bổ",IF(P238&lt;=EDATE('Thiết lập'!$B$4,12),"Ngắn hạn","Dài hạn")))</f>
        <v/>
      </c>
      <c r="M238" s="165" t="n"/>
      <c r="N238" s="165" t="n"/>
      <c r="O238" s="165" t="n"/>
      <c r="P238" s="173">
        <f>IF(OR(E238="",I238=""),"",EDATE(E238,I238)-1)</f>
        <v/>
      </c>
      <c r="Q238" s="170">
        <f>IF(OR(B238="",E238="",P238=""),0,MIN(H238,MAX(0,MIN(P238,DATE('Thiết lập'!$B$3-1,12,31))-E238+1)*J238))</f>
        <v/>
      </c>
      <c r="R238" s="170">
        <f>IF(OR($B238="",R$4&gt;$P238,EOMONTH(R$4,0)&lt;$E238),0,MIN($H238,MAX(0,MIN(EOMONTH(R$4,0),$P238)-MAX(R$4,$E238)+1)*$J238))</f>
        <v/>
      </c>
      <c r="S238" s="170">
        <f>IF(OR($B238="",S$4&gt;$P238,EOMONTH(S$4,0)&lt;$E238),0,MIN($H238,MAX(0,MIN(EOMONTH(S$4,0),$P238)-MAX(S$4,$E238)+1)*$J238))</f>
        <v/>
      </c>
      <c r="T238" s="170">
        <f>IF(OR($B238="",T$4&gt;$P238,EOMONTH(T$4,0)&lt;$E238),0,MIN($H238,MAX(0,MIN(EOMONTH(T$4,0),$P238)-MAX(T$4,$E238)+1)*$J238))</f>
        <v/>
      </c>
      <c r="U238" s="170">
        <f>IF(OR($B238="",U$4&gt;$P238,EOMONTH(U$4,0)&lt;$E238),0,MIN($H238,MAX(0,MIN(EOMONTH(U$4,0),$P238)-MAX(U$4,$E238)+1)*$J238))</f>
        <v/>
      </c>
      <c r="V238" s="170">
        <f>IF(OR($B238="",V$4&gt;$P238,EOMONTH(V$4,0)&lt;$E238),0,MIN($H238,MAX(0,MIN(EOMONTH(V$4,0),$P238)-MAX(V$4,$E238)+1)*$J238))</f>
        <v/>
      </c>
      <c r="W238" s="170">
        <f>IF(OR($B238="",W$4&gt;$P238,EOMONTH(W$4,0)&lt;$E238),0,MIN($H238,MAX(0,MIN(EOMONTH(W$4,0),$P238)-MAX(W$4,$E238)+1)*$J238))</f>
        <v/>
      </c>
      <c r="X238" s="170">
        <f>IF(OR($B238="",X$4&gt;$P238,EOMONTH(X$4,0)&lt;$E238),0,MIN($H238,MAX(0,MIN(EOMONTH(X$4,0),$P238)-MAX(X$4,$E238)+1)*$J238))</f>
        <v/>
      </c>
      <c r="Y238" s="170">
        <f>IF(OR($B238="",Y$4&gt;$P238,EOMONTH(Y$4,0)&lt;$E238),0,MIN($H238,MAX(0,MIN(EOMONTH(Y$4,0),$P238)-MAX(Y$4,$E238)+1)*$J238))</f>
        <v/>
      </c>
      <c r="Z238" s="170">
        <f>IF(OR($B238="",Z$4&gt;$P238,EOMONTH(Z$4,0)&lt;$E238),0,MIN($H238,MAX(0,MIN(EOMONTH(Z$4,0),$P238)-MAX(Z$4,$E238)+1)*$J238))</f>
        <v/>
      </c>
      <c r="AA238" s="170">
        <f>IF(OR($B238="",AA$4&gt;$P238,EOMONTH(AA$4,0)&lt;$E238),0,MIN($H238,MAX(0,MIN(EOMONTH(AA$4,0),$P238)-MAX(AA$4,$E238)+1)*$J238))</f>
        <v/>
      </c>
      <c r="AB238" s="170">
        <f>IF(OR($B238="",AB$4&gt;$P238,EOMONTH(AB$4,0)&lt;$E238),0,MIN($H238,MAX(0,MIN(EOMONTH(AB$4,0),$P238)-MAX(AB$4,$E238)+1)*$J238))</f>
        <v/>
      </c>
      <c r="AC238" s="170">
        <f>IF(OR($B238="",AC$4&gt;$P238,EOMONTH(AC$4,0)&lt;$E238),0,MIN($H238,MAX(0,MIN(EOMONTH(AC$4,0),$P238)-MAX(AC$4,$E238)+1)*$J238))</f>
        <v/>
      </c>
      <c r="AD238" s="170">
        <f>IF(B238="","",ROUND(SUM(R238:AC238),0))</f>
        <v/>
      </c>
      <c r="AE238" s="170">
        <f>IF(B238="","",MIN(H238,ROUND(Q238+SUM(R238:AC238),0)))</f>
        <v/>
      </c>
      <c r="AF238" s="170">
        <f>IF(B238="","",MAX(H238-AE238,0))</f>
        <v/>
      </c>
      <c r="AG238" s="172">
        <f>IF(B238="","",IF('Thiết lập'!$B$4&lt;E238,"Chưa phân bổ",IF(P238&lt;='Thiết lập'!$B$4,"Đã phân bổ","Đang phân bổ")))</f>
        <v/>
      </c>
      <c r="AH238" s="166" t="n"/>
      <c r="AI238" s="174">
        <f>IF(B238="","",IF(AND(C238&lt;&gt;"",D238&lt;&gt;"",E238&lt;&gt;"",E238&gt;=D238,F238&gt;0,G238&gt;0,I238&gt;0,COUNTIF($B$7:$B$306,B238)=1),"OK",IF(C238="","Thiếu tên; ","")&amp;IF(D238="","Thiếu ngày tăng; ","")&amp;IF(E238="","Thiếu ngày bắt đầu; ","")&amp;IF(AND(D238&lt;&gt;"",E238&lt;&gt;"",E238&lt;D238),"Ngày bắt đầu &lt; ngày tăng; ","")&amp;IF(OR(F238="",F238&lt;=0),"Số lượng không hợp lệ; ","")&amp;IF(OR(G238="",G238&lt;=0),"Đơn giá không hợp lệ; ","")&amp;IF(OR(I238="",I238&lt;=0),"Số tháng không hợp lệ; ","")&amp;IF(COUNTIF($B$7:$B$306,B238)&gt;1,"Trùng mã CPTT; ","")))</f>
        <v/>
      </c>
    </row>
    <row r="239" ht="19.5" customHeight="1" s="98">
      <c r="A239" s="164">
        <f>IF(B239="","",ROW()-6)</f>
        <v/>
      </c>
      <c r="B239" s="165" t="n"/>
      <c r="C239" s="166" t="n"/>
      <c r="D239" s="167" t="n"/>
      <c r="E239" s="167" t="n"/>
      <c r="F239" s="168" t="n"/>
      <c r="G239" s="169" t="n"/>
      <c r="H239" s="170">
        <f>IF(OR(F239="",G239=""),"",F239*G239)</f>
        <v/>
      </c>
      <c r="I239" s="171" t="n"/>
      <c r="J239" s="170">
        <f>IF(OR(H239="",E239="",P239=""),"",H239/(P239-E239+1))</f>
        <v/>
      </c>
      <c r="K239" s="165" t="n"/>
      <c r="L239" s="172">
        <f>IF(B239="","",IF(AF239&lt;=0,"Đã phân bổ",IF(P239&lt;=EDATE('Thiết lập'!$B$4,12),"Ngắn hạn","Dài hạn")))</f>
        <v/>
      </c>
      <c r="M239" s="165" t="n"/>
      <c r="N239" s="165" t="n"/>
      <c r="O239" s="165" t="n"/>
      <c r="P239" s="173">
        <f>IF(OR(E239="",I239=""),"",EDATE(E239,I239)-1)</f>
        <v/>
      </c>
      <c r="Q239" s="170">
        <f>IF(OR(B239="",E239="",P239=""),0,MIN(H239,MAX(0,MIN(P239,DATE('Thiết lập'!$B$3-1,12,31))-E239+1)*J239))</f>
        <v/>
      </c>
      <c r="R239" s="170">
        <f>IF(OR($B239="",R$4&gt;$P239,EOMONTH(R$4,0)&lt;$E239),0,MIN($H239,MAX(0,MIN(EOMONTH(R$4,0),$P239)-MAX(R$4,$E239)+1)*$J239))</f>
        <v/>
      </c>
      <c r="S239" s="170">
        <f>IF(OR($B239="",S$4&gt;$P239,EOMONTH(S$4,0)&lt;$E239),0,MIN($H239,MAX(0,MIN(EOMONTH(S$4,0),$P239)-MAX(S$4,$E239)+1)*$J239))</f>
        <v/>
      </c>
      <c r="T239" s="170">
        <f>IF(OR($B239="",T$4&gt;$P239,EOMONTH(T$4,0)&lt;$E239),0,MIN($H239,MAX(0,MIN(EOMONTH(T$4,0),$P239)-MAX(T$4,$E239)+1)*$J239))</f>
        <v/>
      </c>
      <c r="U239" s="170">
        <f>IF(OR($B239="",U$4&gt;$P239,EOMONTH(U$4,0)&lt;$E239),0,MIN($H239,MAX(0,MIN(EOMONTH(U$4,0),$P239)-MAX(U$4,$E239)+1)*$J239))</f>
        <v/>
      </c>
      <c r="V239" s="170">
        <f>IF(OR($B239="",V$4&gt;$P239,EOMONTH(V$4,0)&lt;$E239),0,MIN($H239,MAX(0,MIN(EOMONTH(V$4,0),$P239)-MAX(V$4,$E239)+1)*$J239))</f>
        <v/>
      </c>
      <c r="W239" s="170">
        <f>IF(OR($B239="",W$4&gt;$P239,EOMONTH(W$4,0)&lt;$E239),0,MIN($H239,MAX(0,MIN(EOMONTH(W$4,0),$P239)-MAX(W$4,$E239)+1)*$J239))</f>
        <v/>
      </c>
      <c r="X239" s="170">
        <f>IF(OR($B239="",X$4&gt;$P239,EOMONTH(X$4,0)&lt;$E239),0,MIN($H239,MAX(0,MIN(EOMONTH(X$4,0),$P239)-MAX(X$4,$E239)+1)*$J239))</f>
        <v/>
      </c>
      <c r="Y239" s="170">
        <f>IF(OR($B239="",Y$4&gt;$P239,EOMONTH(Y$4,0)&lt;$E239),0,MIN($H239,MAX(0,MIN(EOMONTH(Y$4,0),$P239)-MAX(Y$4,$E239)+1)*$J239))</f>
        <v/>
      </c>
      <c r="Z239" s="170">
        <f>IF(OR($B239="",Z$4&gt;$P239,EOMONTH(Z$4,0)&lt;$E239),0,MIN($H239,MAX(0,MIN(EOMONTH(Z$4,0),$P239)-MAX(Z$4,$E239)+1)*$J239))</f>
        <v/>
      </c>
      <c r="AA239" s="170">
        <f>IF(OR($B239="",AA$4&gt;$P239,EOMONTH(AA$4,0)&lt;$E239),0,MIN($H239,MAX(0,MIN(EOMONTH(AA$4,0),$P239)-MAX(AA$4,$E239)+1)*$J239))</f>
        <v/>
      </c>
      <c r="AB239" s="170">
        <f>IF(OR($B239="",AB$4&gt;$P239,EOMONTH(AB$4,0)&lt;$E239),0,MIN($H239,MAX(0,MIN(EOMONTH(AB$4,0),$P239)-MAX(AB$4,$E239)+1)*$J239))</f>
        <v/>
      </c>
      <c r="AC239" s="170">
        <f>IF(OR($B239="",AC$4&gt;$P239,EOMONTH(AC$4,0)&lt;$E239),0,MIN($H239,MAX(0,MIN(EOMONTH(AC$4,0),$P239)-MAX(AC$4,$E239)+1)*$J239))</f>
        <v/>
      </c>
      <c r="AD239" s="170">
        <f>IF(B239="","",ROUND(SUM(R239:AC239),0))</f>
        <v/>
      </c>
      <c r="AE239" s="170">
        <f>IF(B239="","",MIN(H239,ROUND(Q239+SUM(R239:AC239),0)))</f>
        <v/>
      </c>
      <c r="AF239" s="170">
        <f>IF(B239="","",MAX(H239-AE239,0))</f>
        <v/>
      </c>
      <c r="AG239" s="172">
        <f>IF(B239="","",IF('Thiết lập'!$B$4&lt;E239,"Chưa phân bổ",IF(P239&lt;='Thiết lập'!$B$4,"Đã phân bổ","Đang phân bổ")))</f>
        <v/>
      </c>
      <c r="AH239" s="166" t="n"/>
      <c r="AI239" s="174">
        <f>IF(B239="","",IF(AND(C239&lt;&gt;"",D239&lt;&gt;"",E239&lt;&gt;"",E239&gt;=D239,F239&gt;0,G239&gt;0,I239&gt;0,COUNTIF($B$7:$B$306,B239)=1),"OK",IF(C239="","Thiếu tên; ","")&amp;IF(D239="","Thiếu ngày tăng; ","")&amp;IF(E239="","Thiếu ngày bắt đầu; ","")&amp;IF(AND(D239&lt;&gt;"",E239&lt;&gt;"",E239&lt;D239),"Ngày bắt đầu &lt; ngày tăng; ","")&amp;IF(OR(F239="",F239&lt;=0),"Số lượng không hợp lệ; ","")&amp;IF(OR(G239="",G239&lt;=0),"Đơn giá không hợp lệ; ","")&amp;IF(OR(I239="",I239&lt;=0),"Số tháng không hợp lệ; ","")&amp;IF(COUNTIF($B$7:$B$306,B239)&gt;1,"Trùng mã CPTT; ","")))</f>
        <v/>
      </c>
    </row>
    <row r="240" ht="19.5" customHeight="1" s="98">
      <c r="A240" s="164">
        <f>IF(B240="","",ROW()-6)</f>
        <v/>
      </c>
      <c r="B240" s="165" t="n"/>
      <c r="C240" s="166" t="n"/>
      <c r="D240" s="167" t="n"/>
      <c r="E240" s="167" t="n"/>
      <c r="F240" s="168" t="n"/>
      <c r="G240" s="169" t="n"/>
      <c r="H240" s="170">
        <f>IF(OR(F240="",G240=""),"",F240*G240)</f>
        <v/>
      </c>
      <c r="I240" s="171" t="n"/>
      <c r="J240" s="170">
        <f>IF(OR(H240="",E240="",P240=""),"",H240/(P240-E240+1))</f>
        <v/>
      </c>
      <c r="K240" s="165" t="n"/>
      <c r="L240" s="172">
        <f>IF(B240="","",IF(AF240&lt;=0,"Đã phân bổ",IF(P240&lt;=EDATE('Thiết lập'!$B$4,12),"Ngắn hạn","Dài hạn")))</f>
        <v/>
      </c>
      <c r="M240" s="165" t="n"/>
      <c r="N240" s="165" t="n"/>
      <c r="O240" s="165" t="n"/>
      <c r="P240" s="173">
        <f>IF(OR(E240="",I240=""),"",EDATE(E240,I240)-1)</f>
        <v/>
      </c>
      <c r="Q240" s="170">
        <f>IF(OR(B240="",E240="",P240=""),0,MIN(H240,MAX(0,MIN(P240,DATE('Thiết lập'!$B$3-1,12,31))-E240+1)*J240))</f>
        <v/>
      </c>
      <c r="R240" s="170">
        <f>IF(OR($B240="",R$4&gt;$P240,EOMONTH(R$4,0)&lt;$E240),0,MIN($H240,MAX(0,MIN(EOMONTH(R$4,0),$P240)-MAX(R$4,$E240)+1)*$J240))</f>
        <v/>
      </c>
      <c r="S240" s="170">
        <f>IF(OR($B240="",S$4&gt;$P240,EOMONTH(S$4,0)&lt;$E240),0,MIN($H240,MAX(0,MIN(EOMONTH(S$4,0),$P240)-MAX(S$4,$E240)+1)*$J240))</f>
        <v/>
      </c>
      <c r="T240" s="170">
        <f>IF(OR($B240="",T$4&gt;$P240,EOMONTH(T$4,0)&lt;$E240),0,MIN($H240,MAX(0,MIN(EOMONTH(T$4,0),$P240)-MAX(T$4,$E240)+1)*$J240))</f>
        <v/>
      </c>
      <c r="U240" s="170">
        <f>IF(OR($B240="",U$4&gt;$P240,EOMONTH(U$4,0)&lt;$E240),0,MIN($H240,MAX(0,MIN(EOMONTH(U$4,0),$P240)-MAX(U$4,$E240)+1)*$J240))</f>
        <v/>
      </c>
      <c r="V240" s="170">
        <f>IF(OR($B240="",V$4&gt;$P240,EOMONTH(V$4,0)&lt;$E240),0,MIN($H240,MAX(0,MIN(EOMONTH(V$4,0),$P240)-MAX(V$4,$E240)+1)*$J240))</f>
        <v/>
      </c>
      <c r="W240" s="170">
        <f>IF(OR($B240="",W$4&gt;$P240,EOMONTH(W$4,0)&lt;$E240),0,MIN($H240,MAX(0,MIN(EOMONTH(W$4,0),$P240)-MAX(W$4,$E240)+1)*$J240))</f>
        <v/>
      </c>
      <c r="X240" s="170">
        <f>IF(OR($B240="",X$4&gt;$P240,EOMONTH(X$4,0)&lt;$E240),0,MIN($H240,MAX(0,MIN(EOMONTH(X$4,0),$P240)-MAX(X$4,$E240)+1)*$J240))</f>
        <v/>
      </c>
      <c r="Y240" s="170">
        <f>IF(OR($B240="",Y$4&gt;$P240,EOMONTH(Y$4,0)&lt;$E240),0,MIN($H240,MAX(0,MIN(EOMONTH(Y$4,0),$P240)-MAX(Y$4,$E240)+1)*$J240))</f>
        <v/>
      </c>
      <c r="Z240" s="170">
        <f>IF(OR($B240="",Z$4&gt;$P240,EOMONTH(Z$4,0)&lt;$E240),0,MIN($H240,MAX(0,MIN(EOMONTH(Z$4,0),$P240)-MAX(Z$4,$E240)+1)*$J240))</f>
        <v/>
      </c>
      <c r="AA240" s="170">
        <f>IF(OR($B240="",AA$4&gt;$P240,EOMONTH(AA$4,0)&lt;$E240),0,MIN($H240,MAX(0,MIN(EOMONTH(AA$4,0),$P240)-MAX(AA$4,$E240)+1)*$J240))</f>
        <v/>
      </c>
      <c r="AB240" s="170">
        <f>IF(OR($B240="",AB$4&gt;$P240,EOMONTH(AB$4,0)&lt;$E240),0,MIN($H240,MAX(0,MIN(EOMONTH(AB$4,0),$P240)-MAX(AB$4,$E240)+1)*$J240))</f>
        <v/>
      </c>
      <c r="AC240" s="170">
        <f>IF(OR($B240="",AC$4&gt;$P240,EOMONTH(AC$4,0)&lt;$E240),0,MIN($H240,MAX(0,MIN(EOMONTH(AC$4,0),$P240)-MAX(AC$4,$E240)+1)*$J240))</f>
        <v/>
      </c>
      <c r="AD240" s="170">
        <f>IF(B240="","",ROUND(SUM(R240:AC240),0))</f>
        <v/>
      </c>
      <c r="AE240" s="170">
        <f>IF(B240="","",MIN(H240,ROUND(Q240+SUM(R240:AC240),0)))</f>
        <v/>
      </c>
      <c r="AF240" s="170">
        <f>IF(B240="","",MAX(H240-AE240,0))</f>
        <v/>
      </c>
      <c r="AG240" s="172">
        <f>IF(B240="","",IF('Thiết lập'!$B$4&lt;E240,"Chưa phân bổ",IF(P240&lt;='Thiết lập'!$B$4,"Đã phân bổ","Đang phân bổ")))</f>
        <v/>
      </c>
      <c r="AH240" s="166" t="n"/>
      <c r="AI240" s="174">
        <f>IF(B240="","",IF(AND(C240&lt;&gt;"",D240&lt;&gt;"",E240&lt;&gt;"",E240&gt;=D240,F240&gt;0,G240&gt;0,I240&gt;0,COUNTIF($B$7:$B$306,B240)=1),"OK",IF(C240="","Thiếu tên; ","")&amp;IF(D240="","Thiếu ngày tăng; ","")&amp;IF(E240="","Thiếu ngày bắt đầu; ","")&amp;IF(AND(D240&lt;&gt;"",E240&lt;&gt;"",E240&lt;D240),"Ngày bắt đầu &lt; ngày tăng; ","")&amp;IF(OR(F240="",F240&lt;=0),"Số lượng không hợp lệ; ","")&amp;IF(OR(G240="",G240&lt;=0),"Đơn giá không hợp lệ; ","")&amp;IF(OR(I240="",I240&lt;=0),"Số tháng không hợp lệ; ","")&amp;IF(COUNTIF($B$7:$B$306,B240)&gt;1,"Trùng mã CPTT; ","")))</f>
        <v/>
      </c>
    </row>
    <row r="241" ht="19.5" customHeight="1" s="98">
      <c r="A241" s="164">
        <f>IF(B241="","",ROW()-6)</f>
        <v/>
      </c>
      <c r="B241" s="165" t="n"/>
      <c r="C241" s="166" t="n"/>
      <c r="D241" s="167" t="n"/>
      <c r="E241" s="167" t="n"/>
      <c r="F241" s="168" t="n"/>
      <c r="G241" s="169" t="n"/>
      <c r="H241" s="170">
        <f>IF(OR(F241="",G241=""),"",F241*G241)</f>
        <v/>
      </c>
      <c r="I241" s="171" t="n"/>
      <c r="J241" s="170">
        <f>IF(OR(H241="",E241="",P241=""),"",H241/(P241-E241+1))</f>
        <v/>
      </c>
      <c r="K241" s="165" t="n"/>
      <c r="L241" s="172">
        <f>IF(B241="","",IF(AF241&lt;=0,"Đã phân bổ",IF(P241&lt;=EDATE('Thiết lập'!$B$4,12),"Ngắn hạn","Dài hạn")))</f>
        <v/>
      </c>
      <c r="M241" s="165" t="n"/>
      <c r="N241" s="165" t="n"/>
      <c r="O241" s="165" t="n"/>
      <c r="P241" s="173">
        <f>IF(OR(E241="",I241=""),"",EDATE(E241,I241)-1)</f>
        <v/>
      </c>
      <c r="Q241" s="170">
        <f>IF(OR(B241="",E241="",P241=""),0,MIN(H241,MAX(0,MIN(P241,DATE('Thiết lập'!$B$3-1,12,31))-E241+1)*J241))</f>
        <v/>
      </c>
      <c r="R241" s="170">
        <f>IF(OR($B241="",R$4&gt;$P241,EOMONTH(R$4,0)&lt;$E241),0,MIN($H241,MAX(0,MIN(EOMONTH(R$4,0),$P241)-MAX(R$4,$E241)+1)*$J241))</f>
        <v/>
      </c>
      <c r="S241" s="170">
        <f>IF(OR($B241="",S$4&gt;$P241,EOMONTH(S$4,0)&lt;$E241),0,MIN($H241,MAX(0,MIN(EOMONTH(S$4,0),$P241)-MAX(S$4,$E241)+1)*$J241))</f>
        <v/>
      </c>
      <c r="T241" s="170">
        <f>IF(OR($B241="",T$4&gt;$P241,EOMONTH(T$4,0)&lt;$E241),0,MIN($H241,MAX(0,MIN(EOMONTH(T$4,0),$P241)-MAX(T$4,$E241)+1)*$J241))</f>
        <v/>
      </c>
      <c r="U241" s="170">
        <f>IF(OR($B241="",U$4&gt;$P241,EOMONTH(U$4,0)&lt;$E241),0,MIN($H241,MAX(0,MIN(EOMONTH(U$4,0),$P241)-MAX(U$4,$E241)+1)*$J241))</f>
        <v/>
      </c>
      <c r="V241" s="170">
        <f>IF(OR($B241="",V$4&gt;$P241,EOMONTH(V$4,0)&lt;$E241),0,MIN($H241,MAX(0,MIN(EOMONTH(V$4,0),$P241)-MAX(V$4,$E241)+1)*$J241))</f>
        <v/>
      </c>
      <c r="W241" s="170">
        <f>IF(OR($B241="",W$4&gt;$P241,EOMONTH(W$4,0)&lt;$E241),0,MIN($H241,MAX(0,MIN(EOMONTH(W$4,0),$P241)-MAX(W$4,$E241)+1)*$J241))</f>
        <v/>
      </c>
      <c r="X241" s="170">
        <f>IF(OR($B241="",X$4&gt;$P241,EOMONTH(X$4,0)&lt;$E241),0,MIN($H241,MAX(0,MIN(EOMONTH(X$4,0),$P241)-MAX(X$4,$E241)+1)*$J241))</f>
        <v/>
      </c>
      <c r="Y241" s="170">
        <f>IF(OR($B241="",Y$4&gt;$P241,EOMONTH(Y$4,0)&lt;$E241),0,MIN($H241,MAX(0,MIN(EOMONTH(Y$4,0),$P241)-MAX(Y$4,$E241)+1)*$J241))</f>
        <v/>
      </c>
      <c r="Z241" s="170">
        <f>IF(OR($B241="",Z$4&gt;$P241,EOMONTH(Z$4,0)&lt;$E241),0,MIN($H241,MAX(0,MIN(EOMONTH(Z$4,0),$P241)-MAX(Z$4,$E241)+1)*$J241))</f>
        <v/>
      </c>
      <c r="AA241" s="170">
        <f>IF(OR($B241="",AA$4&gt;$P241,EOMONTH(AA$4,0)&lt;$E241),0,MIN($H241,MAX(0,MIN(EOMONTH(AA$4,0),$P241)-MAX(AA$4,$E241)+1)*$J241))</f>
        <v/>
      </c>
      <c r="AB241" s="170">
        <f>IF(OR($B241="",AB$4&gt;$P241,EOMONTH(AB$4,0)&lt;$E241),0,MIN($H241,MAX(0,MIN(EOMONTH(AB$4,0),$P241)-MAX(AB$4,$E241)+1)*$J241))</f>
        <v/>
      </c>
      <c r="AC241" s="170">
        <f>IF(OR($B241="",AC$4&gt;$P241,EOMONTH(AC$4,0)&lt;$E241),0,MIN($H241,MAX(0,MIN(EOMONTH(AC$4,0),$P241)-MAX(AC$4,$E241)+1)*$J241))</f>
        <v/>
      </c>
      <c r="AD241" s="170">
        <f>IF(B241="","",ROUND(SUM(R241:AC241),0))</f>
        <v/>
      </c>
      <c r="AE241" s="170">
        <f>IF(B241="","",MIN(H241,ROUND(Q241+SUM(R241:AC241),0)))</f>
        <v/>
      </c>
      <c r="AF241" s="170">
        <f>IF(B241="","",MAX(H241-AE241,0))</f>
        <v/>
      </c>
      <c r="AG241" s="172">
        <f>IF(B241="","",IF('Thiết lập'!$B$4&lt;E241,"Chưa phân bổ",IF(P241&lt;='Thiết lập'!$B$4,"Đã phân bổ","Đang phân bổ")))</f>
        <v/>
      </c>
      <c r="AH241" s="166" t="n"/>
      <c r="AI241" s="174">
        <f>IF(B241="","",IF(AND(C241&lt;&gt;"",D241&lt;&gt;"",E241&lt;&gt;"",E241&gt;=D241,F241&gt;0,G241&gt;0,I241&gt;0,COUNTIF($B$7:$B$306,B241)=1),"OK",IF(C241="","Thiếu tên; ","")&amp;IF(D241="","Thiếu ngày tăng; ","")&amp;IF(E241="","Thiếu ngày bắt đầu; ","")&amp;IF(AND(D241&lt;&gt;"",E241&lt;&gt;"",E241&lt;D241),"Ngày bắt đầu &lt; ngày tăng; ","")&amp;IF(OR(F241="",F241&lt;=0),"Số lượng không hợp lệ; ","")&amp;IF(OR(G241="",G241&lt;=0),"Đơn giá không hợp lệ; ","")&amp;IF(OR(I241="",I241&lt;=0),"Số tháng không hợp lệ; ","")&amp;IF(COUNTIF($B$7:$B$306,B241)&gt;1,"Trùng mã CPTT; ","")))</f>
        <v/>
      </c>
    </row>
    <row r="242" ht="19.5" customHeight="1" s="98">
      <c r="A242" s="164">
        <f>IF(B242="","",ROW()-6)</f>
        <v/>
      </c>
      <c r="B242" s="165" t="n"/>
      <c r="C242" s="166" t="n"/>
      <c r="D242" s="167" t="n"/>
      <c r="E242" s="167" t="n"/>
      <c r="F242" s="168" t="n"/>
      <c r="G242" s="169" t="n"/>
      <c r="H242" s="170">
        <f>IF(OR(F242="",G242=""),"",F242*G242)</f>
        <v/>
      </c>
      <c r="I242" s="171" t="n"/>
      <c r="J242" s="170">
        <f>IF(OR(H242="",E242="",P242=""),"",H242/(P242-E242+1))</f>
        <v/>
      </c>
      <c r="K242" s="165" t="n"/>
      <c r="L242" s="172">
        <f>IF(B242="","",IF(AF242&lt;=0,"Đã phân bổ",IF(P242&lt;=EDATE('Thiết lập'!$B$4,12),"Ngắn hạn","Dài hạn")))</f>
        <v/>
      </c>
      <c r="M242" s="165" t="n"/>
      <c r="N242" s="165" t="n"/>
      <c r="O242" s="165" t="n"/>
      <c r="P242" s="173">
        <f>IF(OR(E242="",I242=""),"",EDATE(E242,I242)-1)</f>
        <v/>
      </c>
      <c r="Q242" s="170">
        <f>IF(OR(B242="",E242="",P242=""),0,MIN(H242,MAX(0,MIN(P242,DATE('Thiết lập'!$B$3-1,12,31))-E242+1)*J242))</f>
        <v/>
      </c>
      <c r="R242" s="170">
        <f>IF(OR($B242="",R$4&gt;$P242,EOMONTH(R$4,0)&lt;$E242),0,MIN($H242,MAX(0,MIN(EOMONTH(R$4,0),$P242)-MAX(R$4,$E242)+1)*$J242))</f>
        <v/>
      </c>
      <c r="S242" s="170">
        <f>IF(OR($B242="",S$4&gt;$P242,EOMONTH(S$4,0)&lt;$E242),0,MIN($H242,MAX(0,MIN(EOMONTH(S$4,0),$P242)-MAX(S$4,$E242)+1)*$J242))</f>
        <v/>
      </c>
      <c r="T242" s="170">
        <f>IF(OR($B242="",T$4&gt;$P242,EOMONTH(T$4,0)&lt;$E242),0,MIN($H242,MAX(0,MIN(EOMONTH(T$4,0),$P242)-MAX(T$4,$E242)+1)*$J242))</f>
        <v/>
      </c>
      <c r="U242" s="170">
        <f>IF(OR($B242="",U$4&gt;$P242,EOMONTH(U$4,0)&lt;$E242),0,MIN($H242,MAX(0,MIN(EOMONTH(U$4,0),$P242)-MAX(U$4,$E242)+1)*$J242))</f>
        <v/>
      </c>
      <c r="V242" s="170">
        <f>IF(OR($B242="",V$4&gt;$P242,EOMONTH(V$4,0)&lt;$E242),0,MIN($H242,MAX(0,MIN(EOMONTH(V$4,0),$P242)-MAX(V$4,$E242)+1)*$J242))</f>
        <v/>
      </c>
      <c r="W242" s="170">
        <f>IF(OR($B242="",W$4&gt;$P242,EOMONTH(W$4,0)&lt;$E242),0,MIN($H242,MAX(0,MIN(EOMONTH(W$4,0),$P242)-MAX(W$4,$E242)+1)*$J242))</f>
        <v/>
      </c>
      <c r="X242" s="170">
        <f>IF(OR($B242="",X$4&gt;$P242,EOMONTH(X$4,0)&lt;$E242),0,MIN($H242,MAX(0,MIN(EOMONTH(X$4,0),$P242)-MAX(X$4,$E242)+1)*$J242))</f>
        <v/>
      </c>
      <c r="Y242" s="170">
        <f>IF(OR($B242="",Y$4&gt;$P242,EOMONTH(Y$4,0)&lt;$E242),0,MIN($H242,MAX(0,MIN(EOMONTH(Y$4,0),$P242)-MAX(Y$4,$E242)+1)*$J242))</f>
        <v/>
      </c>
      <c r="Z242" s="170">
        <f>IF(OR($B242="",Z$4&gt;$P242,EOMONTH(Z$4,0)&lt;$E242),0,MIN($H242,MAX(0,MIN(EOMONTH(Z$4,0),$P242)-MAX(Z$4,$E242)+1)*$J242))</f>
        <v/>
      </c>
      <c r="AA242" s="170">
        <f>IF(OR($B242="",AA$4&gt;$P242,EOMONTH(AA$4,0)&lt;$E242),0,MIN($H242,MAX(0,MIN(EOMONTH(AA$4,0),$P242)-MAX(AA$4,$E242)+1)*$J242))</f>
        <v/>
      </c>
      <c r="AB242" s="170">
        <f>IF(OR($B242="",AB$4&gt;$P242,EOMONTH(AB$4,0)&lt;$E242),0,MIN($H242,MAX(0,MIN(EOMONTH(AB$4,0),$P242)-MAX(AB$4,$E242)+1)*$J242))</f>
        <v/>
      </c>
      <c r="AC242" s="170">
        <f>IF(OR($B242="",AC$4&gt;$P242,EOMONTH(AC$4,0)&lt;$E242),0,MIN($H242,MAX(0,MIN(EOMONTH(AC$4,0),$P242)-MAX(AC$4,$E242)+1)*$J242))</f>
        <v/>
      </c>
      <c r="AD242" s="170">
        <f>IF(B242="","",ROUND(SUM(R242:AC242),0))</f>
        <v/>
      </c>
      <c r="AE242" s="170">
        <f>IF(B242="","",MIN(H242,ROUND(Q242+SUM(R242:AC242),0)))</f>
        <v/>
      </c>
      <c r="AF242" s="170">
        <f>IF(B242="","",MAX(H242-AE242,0))</f>
        <v/>
      </c>
      <c r="AG242" s="172">
        <f>IF(B242="","",IF('Thiết lập'!$B$4&lt;E242,"Chưa phân bổ",IF(P242&lt;='Thiết lập'!$B$4,"Đã phân bổ","Đang phân bổ")))</f>
        <v/>
      </c>
      <c r="AH242" s="166" t="n"/>
      <c r="AI242" s="174">
        <f>IF(B242="","",IF(AND(C242&lt;&gt;"",D242&lt;&gt;"",E242&lt;&gt;"",E242&gt;=D242,F242&gt;0,G242&gt;0,I242&gt;0,COUNTIF($B$7:$B$306,B242)=1),"OK",IF(C242="","Thiếu tên; ","")&amp;IF(D242="","Thiếu ngày tăng; ","")&amp;IF(E242="","Thiếu ngày bắt đầu; ","")&amp;IF(AND(D242&lt;&gt;"",E242&lt;&gt;"",E242&lt;D242),"Ngày bắt đầu &lt; ngày tăng; ","")&amp;IF(OR(F242="",F242&lt;=0),"Số lượng không hợp lệ; ","")&amp;IF(OR(G242="",G242&lt;=0),"Đơn giá không hợp lệ; ","")&amp;IF(OR(I242="",I242&lt;=0),"Số tháng không hợp lệ; ","")&amp;IF(COUNTIF($B$7:$B$306,B242)&gt;1,"Trùng mã CPTT; ","")))</f>
        <v/>
      </c>
    </row>
    <row r="243" ht="19.5" customHeight="1" s="98">
      <c r="A243" s="164">
        <f>IF(B243="","",ROW()-6)</f>
        <v/>
      </c>
      <c r="B243" s="165" t="n"/>
      <c r="C243" s="166" t="n"/>
      <c r="D243" s="167" t="n"/>
      <c r="E243" s="167" t="n"/>
      <c r="F243" s="168" t="n"/>
      <c r="G243" s="169" t="n"/>
      <c r="H243" s="170">
        <f>IF(OR(F243="",G243=""),"",F243*G243)</f>
        <v/>
      </c>
      <c r="I243" s="171" t="n"/>
      <c r="J243" s="170">
        <f>IF(OR(H243="",E243="",P243=""),"",H243/(P243-E243+1))</f>
        <v/>
      </c>
      <c r="K243" s="165" t="n"/>
      <c r="L243" s="172">
        <f>IF(B243="","",IF(AF243&lt;=0,"Đã phân bổ",IF(P243&lt;=EDATE('Thiết lập'!$B$4,12),"Ngắn hạn","Dài hạn")))</f>
        <v/>
      </c>
      <c r="M243" s="165" t="n"/>
      <c r="N243" s="165" t="n"/>
      <c r="O243" s="165" t="n"/>
      <c r="P243" s="173">
        <f>IF(OR(E243="",I243=""),"",EDATE(E243,I243)-1)</f>
        <v/>
      </c>
      <c r="Q243" s="170">
        <f>IF(OR(B243="",E243="",P243=""),0,MIN(H243,MAX(0,MIN(P243,DATE('Thiết lập'!$B$3-1,12,31))-E243+1)*J243))</f>
        <v/>
      </c>
      <c r="R243" s="170">
        <f>IF(OR($B243="",R$4&gt;$P243,EOMONTH(R$4,0)&lt;$E243),0,MIN($H243,MAX(0,MIN(EOMONTH(R$4,0),$P243)-MAX(R$4,$E243)+1)*$J243))</f>
        <v/>
      </c>
      <c r="S243" s="170">
        <f>IF(OR($B243="",S$4&gt;$P243,EOMONTH(S$4,0)&lt;$E243),0,MIN($H243,MAX(0,MIN(EOMONTH(S$4,0),$P243)-MAX(S$4,$E243)+1)*$J243))</f>
        <v/>
      </c>
      <c r="T243" s="170">
        <f>IF(OR($B243="",T$4&gt;$P243,EOMONTH(T$4,0)&lt;$E243),0,MIN($H243,MAX(0,MIN(EOMONTH(T$4,0),$P243)-MAX(T$4,$E243)+1)*$J243))</f>
        <v/>
      </c>
      <c r="U243" s="170">
        <f>IF(OR($B243="",U$4&gt;$P243,EOMONTH(U$4,0)&lt;$E243),0,MIN($H243,MAX(0,MIN(EOMONTH(U$4,0),$P243)-MAX(U$4,$E243)+1)*$J243))</f>
        <v/>
      </c>
      <c r="V243" s="170">
        <f>IF(OR($B243="",V$4&gt;$P243,EOMONTH(V$4,0)&lt;$E243),0,MIN($H243,MAX(0,MIN(EOMONTH(V$4,0),$P243)-MAX(V$4,$E243)+1)*$J243))</f>
        <v/>
      </c>
      <c r="W243" s="170">
        <f>IF(OR($B243="",W$4&gt;$P243,EOMONTH(W$4,0)&lt;$E243),0,MIN($H243,MAX(0,MIN(EOMONTH(W$4,0),$P243)-MAX(W$4,$E243)+1)*$J243))</f>
        <v/>
      </c>
      <c r="X243" s="170">
        <f>IF(OR($B243="",X$4&gt;$P243,EOMONTH(X$4,0)&lt;$E243),0,MIN($H243,MAX(0,MIN(EOMONTH(X$4,0),$P243)-MAX(X$4,$E243)+1)*$J243))</f>
        <v/>
      </c>
      <c r="Y243" s="170">
        <f>IF(OR($B243="",Y$4&gt;$P243,EOMONTH(Y$4,0)&lt;$E243),0,MIN($H243,MAX(0,MIN(EOMONTH(Y$4,0),$P243)-MAX(Y$4,$E243)+1)*$J243))</f>
        <v/>
      </c>
      <c r="Z243" s="170">
        <f>IF(OR($B243="",Z$4&gt;$P243,EOMONTH(Z$4,0)&lt;$E243),0,MIN($H243,MAX(0,MIN(EOMONTH(Z$4,0),$P243)-MAX(Z$4,$E243)+1)*$J243))</f>
        <v/>
      </c>
      <c r="AA243" s="170">
        <f>IF(OR($B243="",AA$4&gt;$P243,EOMONTH(AA$4,0)&lt;$E243),0,MIN($H243,MAX(0,MIN(EOMONTH(AA$4,0),$P243)-MAX(AA$4,$E243)+1)*$J243))</f>
        <v/>
      </c>
      <c r="AB243" s="170">
        <f>IF(OR($B243="",AB$4&gt;$P243,EOMONTH(AB$4,0)&lt;$E243),0,MIN($H243,MAX(0,MIN(EOMONTH(AB$4,0),$P243)-MAX(AB$4,$E243)+1)*$J243))</f>
        <v/>
      </c>
      <c r="AC243" s="170">
        <f>IF(OR($B243="",AC$4&gt;$P243,EOMONTH(AC$4,0)&lt;$E243),0,MIN($H243,MAX(0,MIN(EOMONTH(AC$4,0),$P243)-MAX(AC$4,$E243)+1)*$J243))</f>
        <v/>
      </c>
      <c r="AD243" s="170">
        <f>IF(B243="","",ROUND(SUM(R243:AC243),0))</f>
        <v/>
      </c>
      <c r="AE243" s="170">
        <f>IF(B243="","",MIN(H243,ROUND(Q243+SUM(R243:AC243),0)))</f>
        <v/>
      </c>
      <c r="AF243" s="170">
        <f>IF(B243="","",MAX(H243-AE243,0))</f>
        <v/>
      </c>
      <c r="AG243" s="172">
        <f>IF(B243="","",IF('Thiết lập'!$B$4&lt;E243,"Chưa phân bổ",IF(P243&lt;='Thiết lập'!$B$4,"Đã phân bổ","Đang phân bổ")))</f>
        <v/>
      </c>
      <c r="AH243" s="166" t="n"/>
      <c r="AI243" s="174">
        <f>IF(B243="","",IF(AND(C243&lt;&gt;"",D243&lt;&gt;"",E243&lt;&gt;"",E243&gt;=D243,F243&gt;0,G243&gt;0,I243&gt;0,COUNTIF($B$7:$B$306,B243)=1),"OK",IF(C243="","Thiếu tên; ","")&amp;IF(D243="","Thiếu ngày tăng; ","")&amp;IF(E243="","Thiếu ngày bắt đầu; ","")&amp;IF(AND(D243&lt;&gt;"",E243&lt;&gt;"",E243&lt;D243),"Ngày bắt đầu &lt; ngày tăng; ","")&amp;IF(OR(F243="",F243&lt;=0),"Số lượng không hợp lệ; ","")&amp;IF(OR(G243="",G243&lt;=0),"Đơn giá không hợp lệ; ","")&amp;IF(OR(I243="",I243&lt;=0),"Số tháng không hợp lệ; ","")&amp;IF(COUNTIF($B$7:$B$306,B243)&gt;1,"Trùng mã CPTT; ","")))</f>
        <v/>
      </c>
    </row>
    <row r="244" ht="19.5" customHeight="1" s="98">
      <c r="A244" s="164">
        <f>IF(B244="","",ROW()-6)</f>
        <v/>
      </c>
      <c r="B244" s="165" t="n"/>
      <c r="C244" s="166" t="n"/>
      <c r="D244" s="167" t="n"/>
      <c r="E244" s="167" t="n"/>
      <c r="F244" s="168" t="n"/>
      <c r="G244" s="169" t="n"/>
      <c r="H244" s="170">
        <f>IF(OR(F244="",G244=""),"",F244*G244)</f>
        <v/>
      </c>
      <c r="I244" s="171" t="n"/>
      <c r="J244" s="170">
        <f>IF(OR(H244="",E244="",P244=""),"",H244/(P244-E244+1))</f>
        <v/>
      </c>
      <c r="K244" s="165" t="n"/>
      <c r="L244" s="172">
        <f>IF(B244="","",IF(AF244&lt;=0,"Đã phân bổ",IF(P244&lt;=EDATE('Thiết lập'!$B$4,12),"Ngắn hạn","Dài hạn")))</f>
        <v/>
      </c>
      <c r="M244" s="165" t="n"/>
      <c r="N244" s="165" t="n"/>
      <c r="O244" s="165" t="n"/>
      <c r="P244" s="173">
        <f>IF(OR(E244="",I244=""),"",EDATE(E244,I244)-1)</f>
        <v/>
      </c>
      <c r="Q244" s="170">
        <f>IF(OR(B244="",E244="",P244=""),0,MIN(H244,MAX(0,MIN(P244,DATE('Thiết lập'!$B$3-1,12,31))-E244+1)*J244))</f>
        <v/>
      </c>
      <c r="R244" s="170">
        <f>IF(OR($B244="",R$4&gt;$P244,EOMONTH(R$4,0)&lt;$E244),0,MIN($H244,MAX(0,MIN(EOMONTH(R$4,0),$P244)-MAX(R$4,$E244)+1)*$J244))</f>
        <v/>
      </c>
      <c r="S244" s="170">
        <f>IF(OR($B244="",S$4&gt;$P244,EOMONTH(S$4,0)&lt;$E244),0,MIN($H244,MAX(0,MIN(EOMONTH(S$4,0),$P244)-MAX(S$4,$E244)+1)*$J244))</f>
        <v/>
      </c>
      <c r="T244" s="170">
        <f>IF(OR($B244="",T$4&gt;$P244,EOMONTH(T$4,0)&lt;$E244),0,MIN($H244,MAX(0,MIN(EOMONTH(T$4,0),$P244)-MAX(T$4,$E244)+1)*$J244))</f>
        <v/>
      </c>
      <c r="U244" s="170">
        <f>IF(OR($B244="",U$4&gt;$P244,EOMONTH(U$4,0)&lt;$E244),0,MIN($H244,MAX(0,MIN(EOMONTH(U$4,0),$P244)-MAX(U$4,$E244)+1)*$J244))</f>
        <v/>
      </c>
      <c r="V244" s="170">
        <f>IF(OR($B244="",V$4&gt;$P244,EOMONTH(V$4,0)&lt;$E244),0,MIN($H244,MAX(0,MIN(EOMONTH(V$4,0),$P244)-MAX(V$4,$E244)+1)*$J244))</f>
        <v/>
      </c>
      <c r="W244" s="170">
        <f>IF(OR($B244="",W$4&gt;$P244,EOMONTH(W$4,0)&lt;$E244),0,MIN($H244,MAX(0,MIN(EOMONTH(W$4,0),$P244)-MAX(W$4,$E244)+1)*$J244))</f>
        <v/>
      </c>
      <c r="X244" s="170">
        <f>IF(OR($B244="",X$4&gt;$P244,EOMONTH(X$4,0)&lt;$E244),0,MIN($H244,MAX(0,MIN(EOMONTH(X$4,0),$P244)-MAX(X$4,$E244)+1)*$J244))</f>
        <v/>
      </c>
      <c r="Y244" s="170">
        <f>IF(OR($B244="",Y$4&gt;$P244,EOMONTH(Y$4,0)&lt;$E244),0,MIN($H244,MAX(0,MIN(EOMONTH(Y$4,0),$P244)-MAX(Y$4,$E244)+1)*$J244))</f>
        <v/>
      </c>
      <c r="Z244" s="170">
        <f>IF(OR($B244="",Z$4&gt;$P244,EOMONTH(Z$4,0)&lt;$E244),0,MIN($H244,MAX(0,MIN(EOMONTH(Z$4,0),$P244)-MAX(Z$4,$E244)+1)*$J244))</f>
        <v/>
      </c>
      <c r="AA244" s="170">
        <f>IF(OR($B244="",AA$4&gt;$P244,EOMONTH(AA$4,0)&lt;$E244),0,MIN($H244,MAX(0,MIN(EOMONTH(AA$4,0),$P244)-MAX(AA$4,$E244)+1)*$J244))</f>
        <v/>
      </c>
      <c r="AB244" s="170">
        <f>IF(OR($B244="",AB$4&gt;$P244,EOMONTH(AB$4,0)&lt;$E244),0,MIN($H244,MAX(0,MIN(EOMONTH(AB$4,0),$P244)-MAX(AB$4,$E244)+1)*$J244))</f>
        <v/>
      </c>
      <c r="AC244" s="170">
        <f>IF(OR($B244="",AC$4&gt;$P244,EOMONTH(AC$4,0)&lt;$E244),0,MIN($H244,MAX(0,MIN(EOMONTH(AC$4,0),$P244)-MAX(AC$4,$E244)+1)*$J244))</f>
        <v/>
      </c>
      <c r="AD244" s="170">
        <f>IF(B244="","",ROUND(SUM(R244:AC244),0))</f>
        <v/>
      </c>
      <c r="AE244" s="170">
        <f>IF(B244="","",MIN(H244,ROUND(Q244+SUM(R244:AC244),0)))</f>
        <v/>
      </c>
      <c r="AF244" s="170">
        <f>IF(B244="","",MAX(H244-AE244,0))</f>
        <v/>
      </c>
      <c r="AG244" s="172">
        <f>IF(B244="","",IF('Thiết lập'!$B$4&lt;E244,"Chưa phân bổ",IF(P244&lt;='Thiết lập'!$B$4,"Đã phân bổ","Đang phân bổ")))</f>
        <v/>
      </c>
      <c r="AH244" s="166" t="n"/>
      <c r="AI244" s="174">
        <f>IF(B244="","",IF(AND(C244&lt;&gt;"",D244&lt;&gt;"",E244&lt;&gt;"",E244&gt;=D244,F244&gt;0,G244&gt;0,I244&gt;0,COUNTIF($B$7:$B$306,B244)=1),"OK",IF(C244="","Thiếu tên; ","")&amp;IF(D244="","Thiếu ngày tăng; ","")&amp;IF(E244="","Thiếu ngày bắt đầu; ","")&amp;IF(AND(D244&lt;&gt;"",E244&lt;&gt;"",E244&lt;D244),"Ngày bắt đầu &lt; ngày tăng; ","")&amp;IF(OR(F244="",F244&lt;=0),"Số lượng không hợp lệ; ","")&amp;IF(OR(G244="",G244&lt;=0),"Đơn giá không hợp lệ; ","")&amp;IF(OR(I244="",I244&lt;=0),"Số tháng không hợp lệ; ","")&amp;IF(COUNTIF($B$7:$B$306,B244)&gt;1,"Trùng mã CPTT; ","")))</f>
        <v/>
      </c>
    </row>
    <row r="245" ht="19.5" customHeight="1" s="98">
      <c r="A245" s="164">
        <f>IF(B245="","",ROW()-6)</f>
        <v/>
      </c>
      <c r="B245" s="165" t="n"/>
      <c r="C245" s="166" t="n"/>
      <c r="D245" s="167" t="n"/>
      <c r="E245" s="167" t="n"/>
      <c r="F245" s="168" t="n"/>
      <c r="G245" s="169" t="n"/>
      <c r="H245" s="170">
        <f>IF(OR(F245="",G245=""),"",F245*G245)</f>
        <v/>
      </c>
      <c r="I245" s="171" t="n"/>
      <c r="J245" s="170">
        <f>IF(OR(H245="",E245="",P245=""),"",H245/(P245-E245+1))</f>
        <v/>
      </c>
      <c r="K245" s="165" t="n"/>
      <c r="L245" s="172">
        <f>IF(B245="","",IF(AF245&lt;=0,"Đã phân bổ",IF(P245&lt;=EDATE('Thiết lập'!$B$4,12),"Ngắn hạn","Dài hạn")))</f>
        <v/>
      </c>
      <c r="M245" s="165" t="n"/>
      <c r="N245" s="165" t="n"/>
      <c r="O245" s="165" t="n"/>
      <c r="P245" s="173">
        <f>IF(OR(E245="",I245=""),"",EDATE(E245,I245)-1)</f>
        <v/>
      </c>
      <c r="Q245" s="170">
        <f>IF(OR(B245="",E245="",P245=""),0,MIN(H245,MAX(0,MIN(P245,DATE('Thiết lập'!$B$3-1,12,31))-E245+1)*J245))</f>
        <v/>
      </c>
      <c r="R245" s="170">
        <f>IF(OR($B245="",R$4&gt;$P245,EOMONTH(R$4,0)&lt;$E245),0,MIN($H245,MAX(0,MIN(EOMONTH(R$4,0),$P245)-MAX(R$4,$E245)+1)*$J245))</f>
        <v/>
      </c>
      <c r="S245" s="170">
        <f>IF(OR($B245="",S$4&gt;$P245,EOMONTH(S$4,0)&lt;$E245),0,MIN($H245,MAX(0,MIN(EOMONTH(S$4,0),$P245)-MAX(S$4,$E245)+1)*$J245))</f>
        <v/>
      </c>
      <c r="T245" s="170">
        <f>IF(OR($B245="",T$4&gt;$P245,EOMONTH(T$4,0)&lt;$E245),0,MIN($H245,MAX(0,MIN(EOMONTH(T$4,0),$P245)-MAX(T$4,$E245)+1)*$J245))</f>
        <v/>
      </c>
      <c r="U245" s="170">
        <f>IF(OR($B245="",U$4&gt;$P245,EOMONTH(U$4,0)&lt;$E245),0,MIN($H245,MAX(0,MIN(EOMONTH(U$4,0),$P245)-MAX(U$4,$E245)+1)*$J245))</f>
        <v/>
      </c>
      <c r="V245" s="170">
        <f>IF(OR($B245="",V$4&gt;$P245,EOMONTH(V$4,0)&lt;$E245),0,MIN($H245,MAX(0,MIN(EOMONTH(V$4,0),$P245)-MAX(V$4,$E245)+1)*$J245))</f>
        <v/>
      </c>
      <c r="W245" s="170">
        <f>IF(OR($B245="",W$4&gt;$P245,EOMONTH(W$4,0)&lt;$E245),0,MIN($H245,MAX(0,MIN(EOMONTH(W$4,0),$P245)-MAX(W$4,$E245)+1)*$J245))</f>
        <v/>
      </c>
      <c r="X245" s="170">
        <f>IF(OR($B245="",X$4&gt;$P245,EOMONTH(X$4,0)&lt;$E245),0,MIN($H245,MAX(0,MIN(EOMONTH(X$4,0),$P245)-MAX(X$4,$E245)+1)*$J245))</f>
        <v/>
      </c>
      <c r="Y245" s="170">
        <f>IF(OR($B245="",Y$4&gt;$P245,EOMONTH(Y$4,0)&lt;$E245),0,MIN($H245,MAX(0,MIN(EOMONTH(Y$4,0),$P245)-MAX(Y$4,$E245)+1)*$J245))</f>
        <v/>
      </c>
      <c r="Z245" s="170">
        <f>IF(OR($B245="",Z$4&gt;$P245,EOMONTH(Z$4,0)&lt;$E245),0,MIN($H245,MAX(0,MIN(EOMONTH(Z$4,0),$P245)-MAX(Z$4,$E245)+1)*$J245))</f>
        <v/>
      </c>
      <c r="AA245" s="170">
        <f>IF(OR($B245="",AA$4&gt;$P245,EOMONTH(AA$4,0)&lt;$E245),0,MIN($H245,MAX(0,MIN(EOMONTH(AA$4,0),$P245)-MAX(AA$4,$E245)+1)*$J245))</f>
        <v/>
      </c>
      <c r="AB245" s="170">
        <f>IF(OR($B245="",AB$4&gt;$P245,EOMONTH(AB$4,0)&lt;$E245),0,MIN($H245,MAX(0,MIN(EOMONTH(AB$4,0),$P245)-MAX(AB$4,$E245)+1)*$J245))</f>
        <v/>
      </c>
      <c r="AC245" s="170">
        <f>IF(OR($B245="",AC$4&gt;$P245,EOMONTH(AC$4,0)&lt;$E245),0,MIN($H245,MAX(0,MIN(EOMONTH(AC$4,0),$P245)-MAX(AC$4,$E245)+1)*$J245))</f>
        <v/>
      </c>
      <c r="AD245" s="170">
        <f>IF(B245="","",ROUND(SUM(R245:AC245),0))</f>
        <v/>
      </c>
      <c r="AE245" s="170">
        <f>IF(B245="","",MIN(H245,ROUND(Q245+SUM(R245:AC245),0)))</f>
        <v/>
      </c>
      <c r="AF245" s="170">
        <f>IF(B245="","",MAX(H245-AE245,0))</f>
        <v/>
      </c>
      <c r="AG245" s="172">
        <f>IF(B245="","",IF('Thiết lập'!$B$4&lt;E245,"Chưa phân bổ",IF(P245&lt;='Thiết lập'!$B$4,"Đã phân bổ","Đang phân bổ")))</f>
        <v/>
      </c>
      <c r="AH245" s="166" t="n"/>
      <c r="AI245" s="174">
        <f>IF(B245="","",IF(AND(C245&lt;&gt;"",D245&lt;&gt;"",E245&lt;&gt;"",E245&gt;=D245,F245&gt;0,G245&gt;0,I245&gt;0,COUNTIF($B$7:$B$306,B245)=1),"OK",IF(C245="","Thiếu tên; ","")&amp;IF(D245="","Thiếu ngày tăng; ","")&amp;IF(E245="","Thiếu ngày bắt đầu; ","")&amp;IF(AND(D245&lt;&gt;"",E245&lt;&gt;"",E245&lt;D245),"Ngày bắt đầu &lt; ngày tăng; ","")&amp;IF(OR(F245="",F245&lt;=0),"Số lượng không hợp lệ; ","")&amp;IF(OR(G245="",G245&lt;=0),"Đơn giá không hợp lệ; ","")&amp;IF(OR(I245="",I245&lt;=0),"Số tháng không hợp lệ; ","")&amp;IF(COUNTIF($B$7:$B$306,B245)&gt;1,"Trùng mã CPTT; ","")))</f>
        <v/>
      </c>
    </row>
    <row r="246" ht="19.5" customHeight="1" s="98">
      <c r="A246" s="164">
        <f>IF(B246="","",ROW()-6)</f>
        <v/>
      </c>
      <c r="B246" s="165" t="n"/>
      <c r="C246" s="166" t="n"/>
      <c r="D246" s="167" t="n"/>
      <c r="E246" s="167" t="n"/>
      <c r="F246" s="168" t="n"/>
      <c r="G246" s="169" t="n"/>
      <c r="H246" s="170">
        <f>IF(OR(F246="",G246=""),"",F246*G246)</f>
        <v/>
      </c>
      <c r="I246" s="171" t="n"/>
      <c r="J246" s="170">
        <f>IF(OR(H246="",E246="",P246=""),"",H246/(P246-E246+1))</f>
        <v/>
      </c>
      <c r="K246" s="165" t="n"/>
      <c r="L246" s="172">
        <f>IF(B246="","",IF(AF246&lt;=0,"Đã phân bổ",IF(P246&lt;=EDATE('Thiết lập'!$B$4,12),"Ngắn hạn","Dài hạn")))</f>
        <v/>
      </c>
      <c r="M246" s="165" t="n"/>
      <c r="N246" s="165" t="n"/>
      <c r="O246" s="165" t="n"/>
      <c r="P246" s="173">
        <f>IF(OR(E246="",I246=""),"",EDATE(E246,I246)-1)</f>
        <v/>
      </c>
      <c r="Q246" s="170">
        <f>IF(OR(B246="",E246="",P246=""),0,MIN(H246,MAX(0,MIN(P246,DATE('Thiết lập'!$B$3-1,12,31))-E246+1)*J246))</f>
        <v/>
      </c>
      <c r="R246" s="170">
        <f>IF(OR($B246="",R$4&gt;$P246,EOMONTH(R$4,0)&lt;$E246),0,MIN($H246,MAX(0,MIN(EOMONTH(R$4,0),$P246)-MAX(R$4,$E246)+1)*$J246))</f>
        <v/>
      </c>
      <c r="S246" s="170">
        <f>IF(OR($B246="",S$4&gt;$P246,EOMONTH(S$4,0)&lt;$E246),0,MIN($H246,MAX(0,MIN(EOMONTH(S$4,0),$P246)-MAX(S$4,$E246)+1)*$J246))</f>
        <v/>
      </c>
      <c r="T246" s="170">
        <f>IF(OR($B246="",T$4&gt;$P246,EOMONTH(T$4,0)&lt;$E246),0,MIN($H246,MAX(0,MIN(EOMONTH(T$4,0),$P246)-MAX(T$4,$E246)+1)*$J246))</f>
        <v/>
      </c>
      <c r="U246" s="170">
        <f>IF(OR($B246="",U$4&gt;$P246,EOMONTH(U$4,0)&lt;$E246),0,MIN($H246,MAX(0,MIN(EOMONTH(U$4,0),$P246)-MAX(U$4,$E246)+1)*$J246))</f>
        <v/>
      </c>
      <c r="V246" s="170">
        <f>IF(OR($B246="",V$4&gt;$P246,EOMONTH(V$4,0)&lt;$E246),0,MIN($H246,MAX(0,MIN(EOMONTH(V$4,0),$P246)-MAX(V$4,$E246)+1)*$J246))</f>
        <v/>
      </c>
      <c r="W246" s="170">
        <f>IF(OR($B246="",W$4&gt;$P246,EOMONTH(W$4,0)&lt;$E246),0,MIN($H246,MAX(0,MIN(EOMONTH(W$4,0),$P246)-MAX(W$4,$E246)+1)*$J246))</f>
        <v/>
      </c>
      <c r="X246" s="170">
        <f>IF(OR($B246="",X$4&gt;$P246,EOMONTH(X$4,0)&lt;$E246),0,MIN($H246,MAX(0,MIN(EOMONTH(X$4,0),$P246)-MAX(X$4,$E246)+1)*$J246))</f>
        <v/>
      </c>
      <c r="Y246" s="170">
        <f>IF(OR($B246="",Y$4&gt;$P246,EOMONTH(Y$4,0)&lt;$E246),0,MIN($H246,MAX(0,MIN(EOMONTH(Y$4,0),$P246)-MAX(Y$4,$E246)+1)*$J246))</f>
        <v/>
      </c>
      <c r="Z246" s="170">
        <f>IF(OR($B246="",Z$4&gt;$P246,EOMONTH(Z$4,0)&lt;$E246),0,MIN($H246,MAX(0,MIN(EOMONTH(Z$4,0),$P246)-MAX(Z$4,$E246)+1)*$J246))</f>
        <v/>
      </c>
      <c r="AA246" s="170">
        <f>IF(OR($B246="",AA$4&gt;$P246,EOMONTH(AA$4,0)&lt;$E246),0,MIN($H246,MAX(0,MIN(EOMONTH(AA$4,0),$P246)-MAX(AA$4,$E246)+1)*$J246))</f>
        <v/>
      </c>
      <c r="AB246" s="170">
        <f>IF(OR($B246="",AB$4&gt;$P246,EOMONTH(AB$4,0)&lt;$E246),0,MIN($H246,MAX(0,MIN(EOMONTH(AB$4,0),$P246)-MAX(AB$4,$E246)+1)*$J246))</f>
        <v/>
      </c>
      <c r="AC246" s="170">
        <f>IF(OR($B246="",AC$4&gt;$P246,EOMONTH(AC$4,0)&lt;$E246),0,MIN($H246,MAX(0,MIN(EOMONTH(AC$4,0),$P246)-MAX(AC$4,$E246)+1)*$J246))</f>
        <v/>
      </c>
      <c r="AD246" s="170">
        <f>IF(B246="","",ROUND(SUM(R246:AC246),0))</f>
        <v/>
      </c>
      <c r="AE246" s="170">
        <f>IF(B246="","",MIN(H246,ROUND(Q246+SUM(R246:AC246),0)))</f>
        <v/>
      </c>
      <c r="AF246" s="170">
        <f>IF(B246="","",MAX(H246-AE246,0))</f>
        <v/>
      </c>
      <c r="AG246" s="172">
        <f>IF(B246="","",IF('Thiết lập'!$B$4&lt;E246,"Chưa phân bổ",IF(P246&lt;='Thiết lập'!$B$4,"Đã phân bổ","Đang phân bổ")))</f>
        <v/>
      </c>
      <c r="AH246" s="166" t="n"/>
      <c r="AI246" s="174">
        <f>IF(B246="","",IF(AND(C246&lt;&gt;"",D246&lt;&gt;"",E246&lt;&gt;"",E246&gt;=D246,F246&gt;0,G246&gt;0,I246&gt;0,COUNTIF($B$7:$B$306,B246)=1),"OK",IF(C246="","Thiếu tên; ","")&amp;IF(D246="","Thiếu ngày tăng; ","")&amp;IF(E246="","Thiếu ngày bắt đầu; ","")&amp;IF(AND(D246&lt;&gt;"",E246&lt;&gt;"",E246&lt;D246),"Ngày bắt đầu &lt; ngày tăng; ","")&amp;IF(OR(F246="",F246&lt;=0),"Số lượng không hợp lệ; ","")&amp;IF(OR(G246="",G246&lt;=0),"Đơn giá không hợp lệ; ","")&amp;IF(OR(I246="",I246&lt;=0),"Số tháng không hợp lệ; ","")&amp;IF(COUNTIF($B$7:$B$306,B246)&gt;1,"Trùng mã CPTT; ","")))</f>
        <v/>
      </c>
    </row>
    <row r="247" ht="19.5" customHeight="1" s="98">
      <c r="A247" s="164">
        <f>IF(B247="","",ROW()-6)</f>
        <v/>
      </c>
      <c r="B247" s="165" t="n"/>
      <c r="C247" s="166" t="n"/>
      <c r="D247" s="167" t="n"/>
      <c r="E247" s="167" t="n"/>
      <c r="F247" s="168" t="n"/>
      <c r="G247" s="169" t="n"/>
      <c r="H247" s="170">
        <f>IF(OR(F247="",G247=""),"",F247*G247)</f>
        <v/>
      </c>
      <c r="I247" s="171" t="n"/>
      <c r="J247" s="170">
        <f>IF(OR(H247="",E247="",P247=""),"",H247/(P247-E247+1))</f>
        <v/>
      </c>
      <c r="K247" s="165" t="n"/>
      <c r="L247" s="172">
        <f>IF(B247="","",IF(AF247&lt;=0,"Đã phân bổ",IF(P247&lt;=EDATE('Thiết lập'!$B$4,12),"Ngắn hạn","Dài hạn")))</f>
        <v/>
      </c>
      <c r="M247" s="165" t="n"/>
      <c r="N247" s="165" t="n"/>
      <c r="O247" s="165" t="n"/>
      <c r="P247" s="173">
        <f>IF(OR(E247="",I247=""),"",EDATE(E247,I247)-1)</f>
        <v/>
      </c>
      <c r="Q247" s="170">
        <f>IF(OR(B247="",E247="",P247=""),0,MIN(H247,MAX(0,MIN(P247,DATE('Thiết lập'!$B$3-1,12,31))-E247+1)*J247))</f>
        <v/>
      </c>
      <c r="R247" s="170">
        <f>IF(OR($B247="",R$4&gt;$P247,EOMONTH(R$4,0)&lt;$E247),0,MIN($H247,MAX(0,MIN(EOMONTH(R$4,0),$P247)-MAX(R$4,$E247)+1)*$J247))</f>
        <v/>
      </c>
      <c r="S247" s="170">
        <f>IF(OR($B247="",S$4&gt;$P247,EOMONTH(S$4,0)&lt;$E247),0,MIN($H247,MAX(0,MIN(EOMONTH(S$4,0),$P247)-MAX(S$4,$E247)+1)*$J247))</f>
        <v/>
      </c>
      <c r="T247" s="170">
        <f>IF(OR($B247="",T$4&gt;$P247,EOMONTH(T$4,0)&lt;$E247),0,MIN($H247,MAX(0,MIN(EOMONTH(T$4,0),$P247)-MAX(T$4,$E247)+1)*$J247))</f>
        <v/>
      </c>
      <c r="U247" s="170">
        <f>IF(OR($B247="",U$4&gt;$P247,EOMONTH(U$4,0)&lt;$E247),0,MIN($H247,MAX(0,MIN(EOMONTH(U$4,0),$P247)-MAX(U$4,$E247)+1)*$J247))</f>
        <v/>
      </c>
      <c r="V247" s="170">
        <f>IF(OR($B247="",V$4&gt;$P247,EOMONTH(V$4,0)&lt;$E247),0,MIN($H247,MAX(0,MIN(EOMONTH(V$4,0),$P247)-MAX(V$4,$E247)+1)*$J247))</f>
        <v/>
      </c>
      <c r="W247" s="170">
        <f>IF(OR($B247="",W$4&gt;$P247,EOMONTH(W$4,0)&lt;$E247),0,MIN($H247,MAX(0,MIN(EOMONTH(W$4,0),$P247)-MAX(W$4,$E247)+1)*$J247))</f>
        <v/>
      </c>
      <c r="X247" s="170">
        <f>IF(OR($B247="",X$4&gt;$P247,EOMONTH(X$4,0)&lt;$E247),0,MIN($H247,MAX(0,MIN(EOMONTH(X$4,0),$P247)-MAX(X$4,$E247)+1)*$J247))</f>
        <v/>
      </c>
      <c r="Y247" s="170">
        <f>IF(OR($B247="",Y$4&gt;$P247,EOMONTH(Y$4,0)&lt;$E247),0,MIN($H247,MAX(0,MIN(EOMONTH(Y$4,0),$P247)-MAX(Y$4,$E247)+1)*$J247))</f>
        <v/>
      </c>
      <c r="Z247" s="170">
        <f>IF(OR($B247="",Z$4&gt;$P247,EOMONTH(Z$4,0)&lt;$E247),0,MIN($H247,MAX(0,MIN(EOMONTH(Z$4,0),$P247)-MAX(Z$4,$E247)+1)*$J247))</f>
        <v/>
      </c>
      <c r="AA247" s="170">
        <f>IF(OR($B247="",AA$4&gt;$P247,EOMONTH(AA$4,0)&lt;$E247),0,MIN($H247,MAX(0,MIN(EOMONTH(AA$4,0),$P247)-MAX(AA$4,$E247)+1)*$J247))</f>
        <v/>
      </c>
      <c r="AB247" s="170">
        <f>IF(OR($B247="",AB$4&gt;$P247,EOMONTH(AB$4,0)&lt;$E247),0,MIN($H247,MAX(0,MIN(EOMONTH(AB$4,0),$P247)-MAX(AB$4,$E247)+1)*$J247))</f>
        <v/>
      </c>
      <c r="AC247" s="170">
        <f>IF(OR($B247="",AC$4&gt;$P247,EOMONTH(AC$4,0)&lt;$E247),0,MIN($H247,MAX(0,MIN(EOMONTH(AC$4,0),$P247)-MAX(AC$4,$E247)+1)*$J247))</f>
        <v/>
      </c>
      <c r="AD247" s="170">
        <f>IF(B247="","",ROUND(SUM(R247:AC247),0))</f>
        <v/>
      </c>
      <c r="AE247" s="170">
        <f>IF(B247="","",MIN(H247,ROUND(Q247+SUM(R247:AC247),0)))</f>
        <v/>
      </c>
      <c r="AF247" s="170">
        <f>IF(B247="","",MAX(H247-AE247,0))</f>
        <v/>
      </c>
      <c r="AG247" s="172">
        <f>IF(B247="","",IF('Thiết lập'!$B$4&lt;E247,"Chưa phân bổ",IF(P247&lt;='Thiết lập'!$B$4,"Đã phân bổ","Đang phân bổ")))</f>
        <v/>
      </c>
      <c r="AH247" s="166" t="n"/>
      <c r="AI247" s="174">
        <f>IF(B247="","",IF(AND(C247&lt;&gt;"",D247&lt;&gt;"",E247&lt;&gt;"",E247&gt;=D247,F247&gt;0,G247&gt;0,I247&gt;0,COUNTIF($B$7:$B$306,B247)=1),"OK",IF(C247="","Thiếu tên; ","")&amp;IF(D247="","Thiếu ngày tăng; ","")&amp;IF(E247="","Thiếu ngày bắt đầu; ","")&amp;IF(AND(D247&lt;&gt;"",E247&lt;&gt;"",E247&lt;D247),"Ngày bắt đầu &lt; ngày tăng; ","")&amp;IF(OR(F247="",F247&lt;=0),"Số lượng không hợp lệ; ","")&amp;IF(OR(G247="",G247&lt;=0),"Đơn giá không hợp lệ; ","")&amp;IF(OR(I247="",I247&lt;=0),"Số tháng không hợp lệ; ","")&amp;IF(COUNTIF($B$7:$B$306,B247)&gt;1,"Trùng mã CPTT; ","")))</f>
        <v/>
      </c>
    </row>
    <row r="248" ht="19.5" customHeight="1" s="98">
      <c r="A248" s="164">
        <f>IF(B248="","",ROW()-6)</f>
        <v/>
      </c>
      <c r="B248" s="165" t="n"/>
      <c r="C248" s="166" t="n"/>
      <c r="D248" s="167" t="n"/>
      <c r="E248" s="167" t="n"/>
      <c r="F248" s="168" t="n"/>
      <c r="G248" s="169" t="n"/>
      <c r="H248" s="170">
        <f>IF(OR(F248="",G248=""),"",F248*G248)</f>
        <v/>
      </c>
      <c r="I248" s="171" t="n"/>
      <c r="J248" s="170">
        <f>IF(OR(H248="",E248="",P248=""),"",H248/(P248-E248+1))</f>
        <v/>
      </c>
      <c r="K248" s="165" t="n"/>
      <c r="L248" s="172">
        <f>IF(B248="","",IF(AF248&lt;=0,"Đã phân bổ",IF(P248&lt;=EDATE('Thiết lập'!$B$4,12),"Ngắn hạn","Dài hạn")))</f>
        <v/>
      </c>
      <c r="M248" s="165" t="n"/>
      <c r="N248" s="165" t="n"/>
      <c r="O248" s="165" t="n"/>
      <c r="P248" s="173">
        <f>IF(OR(E248="",I248=""),"",EDATE(E248,I248)-1)</f>
        <v/>
      </c>
      <c r="Q248" s="170">
        <f>IF(OR(B248="",E248="",P248=""),0,MIN(H248,MAX(0,MIN(P248,DATE('Thiết lập'!$B$3-1,12,31))-E248+1)*J248))</f>
        <v/>
      </c>
      <c r="R248" s="170">
        <f>IF(OR($B248="",R$4&gt;$P248,EOMONTH(R$4,0)&lt;$E248),0,MIN($H248,MAX(0,MIN(EOMONTH(R$4,0),$P248)-MAX(R$4,$E248)+1)*$J248))</f>
        <v/>
      </c>
      <c r="S248" s="170">
        <f>IF(OR($B248="",S$4&gt;$P248,EOMONTH(S$4,0)&lt;$E248),0,MIN($H248,MAX(0,MIN(EOMONTH(S$4,0),$P248)-MAX(S$4,$E248)+1)*$J248))</f>
        <v/>
      </c>
      <c r="T248" s="170">
        <f>IF(OR($B248="",T$4&gt;$P248,EOMONTH(T$4,0)&lt;$E248),0,MIN($H248,MAX(0,MIN(EOMONTH(T$4,0),$P248)-MAX(T$4,$E248)+1)*$J248))</f>
        <v/>
      </c>
      <c r="U248" s="170">
        <f>IF(OR($B248="",U$4&gt;$P248,EOMONTH(U$4,0)&lt;$E248),0,MIN($H248,MAX(0,MIN(EOMONTH(U$4,0),$P248)-MAX(U$4,$E248)+1)*$J248))</f>
        <v/>
      </c>
      <c r="V248" s="170">
        <f>IF(OR($B248="",V$4&gt;$P248,EOMONTH(V$4,0)&lt;$E248),0,MIN($H248,MAX(0,MIN(EOMONTH(V$4,0),$P248)-MAX(V$4,$E248)+1)*$J248))</f>
        <v/>
      </c>
      <c r="W248" s="170">
        <f>IF(OR($B248="",W$4&gt;$P248,EOMONTH(W$4,0)&lt;$E248),0,MIN($H248,MAX(0,MIN(EOMONTH(W$4,0),$P248)-MAX(W$4,$E248)+1)*$J248))</f>
        <v/>
      </c>
      <c r="X248" s="170">
        <f>IF(OR($B248="",X$4&gt;$P248,EOMONTH(X$4,0)&lt;$E248),0,MIN($H248,MAX(0,MIN(EOMONTH(X$4,0),$P248)-MAX(X$4,$E248)+1)*$J248))</f>
        <v/>
      </c>
      <c r="Y248" s="170">
        <f>IF(OR($B248="",Y$4&gt;$P248,EOMONTH(Y$4,0)&lt;$E248),0,MIN($H248,MAX(0,MIN(EOMONTH(Y$4,0),$P248)-MAX(Y$4,$E248)+1)*$J248))</f>
        <v/>
      </c>
      <c r="Z248" s="170">
        <f>IF(OR($B248="",Z$4&gt;$P248,EOMONTH(Z$4,0)&lt;$E248),0,MIN($H248,MAX(0,MIN(EOMONTH(Z$4,0),$P248)-MAX(Z$4,$E248)+1)*$J248))</f>
        <v/>
      </c>
      <c r="AA248" s="170">
        <f>IF(OR($B248="",AA$4&gt;$P248,EOMONTH(AA$4,0)&lt;$E248),0,MIN($H248,MAX(0,MIN(EOMONTH(AA$4,0),$P248)-MAX(AA$4,$E248)+1)*$J248))</f>
        <v/>
      </c>
      <c r="AB248" s="170">
        <f>IF(OR($B248="",AB$4&gt;$P248,EOMONTH(AB$4,0)&lt;$E248),0,MIN($H248,MAX(0,MIN(EOMONTH(AB$4,0),$P248)-MAX(AB$4,$E248)+1)*$J248))</f>
        <v/>
      </c>
      <c r="AC248" s="170">
        <f>IF(OR($B248="",AC$4&gt;$P248,EOMONTH(AC$4,0)&lt;$E248),0,MIN($H248,MAX(0,MIN(EOMONTH(AC$4,0),$P248)-MAX(AC$4,$E248)+1)*$J248))</f>
        <v/>
      </c>
      <c r="AD248" s="170">
        <f>IF(B248="","",ROUND(SUM(R248:AC248),0))</f>
        <v/>
      </c>
      <c r="AE248" s="170">
        <f>IF(B248="","",MIN(H248,ROUND(Q248+SUM(R248:AC248),0)))</f>
        <v/>
      </c>
      <c r="AF248" s="170">
        <f>IF(B248="","",MAX(H248-AE248,0))</f>
        <v/>
      </c>
      <c r="AG248" s="172">
        <f>IF(B248="","",IF('Thiết lập'!$B$4&lt;E248,"Chưa phân bổ",IF(P248&lt;='Thiết lập'!$B$4,"Đã phân bổ","Đang phân bổ")))</f>
        <v/>
      </c>
      <c r="AH248" s="166" t="n"/>
      <c r="AI248" s="174">
        <f>IF(B248="","",IF(AND(C248&lt;&gt;"",D248&lt;&gt;"",E248&lt;&gt;"",E248&gt;=D248,F248&gt;0,G248&gt;0,I248&gt;0,COUNTIF($B$7:$B$306,B248)=1),"OK",IF(C248="","Thiếu tên; ","")&amp;IF(D248="","Thiếu ngày tăng; ","")&amp;IF(E248="","Thiếu ngày bắt đầu; ","")&amp;IF(AND(D248&lt;&gt;"",E248&lt;&gt;"",E248&lt;D248),"Ngày bắt đầu &lt; ngày tăng; ","")&amp;IF(OR(F248="",F248&lt;=0),"Số lượng không hợp lệ; ","")&amp;IF(OR(G248="",G248&lt;=0),"Đơn giá không hợp lệ; ","")&amp;IF(OR(I248="",I248&lt;=0),"Số tháng không hợp lệ; ","")&amp;IF(COUNTIF($B$7:$B$306,B248)&gt;1,"Trùng mã CPTT; ","")))</f>
        <v/>
      </c>
    </row>
    <row r="249" ht="19.5" customHeight="1" s="98">
      <c r="A249" s="164">
        <f>IF(B249="","",ROW()-6)</f>
        <v/>
      </c>
      <c r="B249" s="165" t="n"/>
      <c r="C249" s="166" t="n"/>
      <c r="D249" s="167" t="n"/>
      <c r="E249" s="167" t="n"/>
      <c r="F249" s="168" t="n"/>
      <c r="G249" s="169" t="n"/>
      <c r="H249" s="170">
        <f>IF(OR(F249="",G249=""),"",F249*G249)</f>
        <v/>
      </c>
      <c r="I249" s="171" t="n"/>
      <c r="J249" s="170">
        <f>IF(OR(H249="",E249="",P249=""),"",H249/(P249-E249+1))</f>
        <v/>
      </c>
      <c r="K249" s="165" t="n"/>
      <c r="L249" s="172">
        <f>IF(B249="","",IF(AF249&lt;=0,"Đã phân bổ",IF(P249&lt;=EDATE('Thiết lập'!$B$4,12),"Ngắn hạn","Dài hạn")))</f>
        <v/>
      </c>
      <c r="M249" s="165" t="n"/>
      <c r="N249" s="165" t="n"/>
      <c r="O249" s="165" t="n"/>
      <c r="P249" s="173">
        <f>IF(OR(E249="",I249=""),"",EDATE(E249,I249)-1)</f>
        <v/>
      </c>
      <c r="Q249" s="170">
        <f>IF(OR(B249="",E249="",P249=""),0,MIN(H249,MAX(0,MIN(P249,DATE('Thiết lập'!$B$3-1,12,31))-E249+1)*J249))</f>
        <v/>
      </c>
      <c r="R249" s="170">
        <f>IF(OR($B249="",R$4&gt;$P249,EOMONTH(R$4,0)&lt;$E249),0,MIN($H249,MAX(0,MIN(EOMONTH(R$4,0),$P249)-MAX(R$4,$E249)+1)*$J249))</f>
        <v/>
      </c>
      <c r="S249" s="170">
        <f>IF(OR($B249="",S$4&gt;$P249,EOMONTH(S$4,0)&lt;$E249),0,MIN($H249,MAX(0,MIN(EOMONTH(S$4,0),$P249)-MAX(S$4,$E249)+1)*$J249))</f>
        <v/>
      </c>
      <c r="T249" s="170">
        <f>IF(OR($B249="",T$4&gt;$P249,EOMONTH(T$4,0)&lt;$E249),0,MIN($H249,MAX(0,MIN(EOMONTH(T$4,0),$P249)-MAX(T$4,$E249)+1)*$J249))</f>
        <v/>
      </c>
      <c r="U249" s="170">
        <f>IF(OR($B249="",U$4&gt;$P249,EOMONTH(U$4,0)&lt;$E249),0,MIN($H249,MAX(0,MIN(EOMONTH(U$4,0),$P249)-MAX(U$4,$E249)+1)*$J249))</f>
        <v/>
      </c>
      <c r="V249" s="170">
        <f>IF(OR($B249="",V$4&gt;$P249,EOMONTH(V$4,0)&lt;$E249),0,MIN($H249,MAX(0,MIN(EOMONTH(V$4,0),$P249)-MAX(V$4,$E249)+1)*$J249))</f>
        <v/>
      </c>
      <c r="W249" s="170">
        <f>IF(OR($B249="",W$4&gt;$P249,EOMONTH(W$4,0)&lt;$E249),0,MIN($H249,MAX(0,MIN(EOMONTH(W$4,0),$P249)-MAX(W$4,$E249)+1)*$J249))</f>
        <v/>
      </c>
      <c r="X249" s="170">
        <f>IF(OR($B249="",X$4&gt;$P249,EOMONTH(X$4,0)&lt;$E249),0,MIN($H249,MAX(0,MIN(EOMONTH(X$4,0),$P249)-MAX(X$4,$E249)+1)*$J249))</f>
        <v/>
      </c>
      <c r="Y249" s="170">
        <f>IF(OR($B249="",Y$4&gt;$P249,EOMONTH(Y$4,0)&lt;$E249),0,MIN($H249,MAX(0,MIN(EOMONTH(Y$4,0),$P249)-MAX(Y$4,$E249)+1)*$J249))</f>
        <v/>
      </c>
      <c r="Z249" s="170">
        <f>IF(OR($B249="",Z$4&gt;$P249,EOMONTH(Z$4,0)&lt;$E249),0,MIN($H249,MAX(0,MIN(EOMONTH(Z$4,0),$P249)-MAX(Z$4,$E249)+1)*$J249))</f>
        <v/>
      </c>
      <c r="AA249" s="170">
        <f>IF(OR($B249="",AA$4&gt;$P249,EOMONTH(AA$4,0)&lt;$E249),0,MIN($H249,MAX(0,MIN(EOMONTH(AA$4,0),$P249)-MAX(AA$4,$E249)+1)*$J249))</f>
        <v/>
      </c>
      <c r="AB249" s="170">
        <f>IF(OR($B249="",AB$4&gt;$P249,EOMONTH(AB$4,0)&lt;$E249),0,MIN($H249,MAX(0,MIN(EOMONTH(AB$4,0),$P249)-MAX(AB$4,$E249)+1)*$J249))</f>
        <v/>
      </c>
      <c r="AC249" s="170">
        <f>IF(OR($B249="",AC$4&gt;$P249,EOMONTH(AC$4,0)&lt;$E249),0,MIN($H249,MAX(0,MIN(EOMONTH(AC$4,0),$P249)-MAX(AC$4,$E249)+1)*$J249))</f>
        <v/>
      </c>
      <c r="AD249" s="170">
        <f>IF(B249="","",ROUND(SUM(R249:AC249),0))</f>
        <v/>
      </c>
      <c r="AE249" s="170">
        <f>IF(B249="","",MIN(H249,ROUND(Q249+SUM(R249:AC249),0)))</f>
        <v/>
      </c>
      <c r="AF249" s="170">
        <f>IF(B249="","",MAX(H249-AE249,0))</f>
        <v/>
      </c>
      <c r="AG249" s="172">
        <f>IF(B249="","",IF('Thiết lập'!$B$4&lt;E249,"Chưa phân bổ",IF(P249&lt;='Thiết lập'!$B$4,"Đã phân bổ","Đang phân bổ")))</f>
        <v/>
      </c>
      <c r="AH249" s="166" t="n"/>
      <c r="AI249" s="174">
        <f>IF(B249="","",IF(AND(C249&lt;&gt;"",D249&lt;&gt;"",E249&lt;&gt;"",E249&gt;=D249,F249&gt;0,G249&gt;0,I249&gt;0,COUNTIF($B$7:$B$306,B249)=1),"OK",IF(C249="","Thiếu tên; ","")&amp;IF(D249="","Thiếu ngày tăng; ","")&amp;IF(E249="","Thiếu ngày bắt đầu; ","")&amp;IF(AND(D249&lt;&gt;"",E249&lt;&gt;"",E249&lt;D249),"Ngày bắt đầu &lt; ngày tăng; ","")&amp;IF(OR(F249="",F249&lt;=0),"Số lượng không hợp lệ; ","")&amp;IF(OR(G249="",G249&lt;=0),"Đơn giá không hợp lệ; ","")&amp;IF(OR(I249="",I249&lt;=0),"Số tháng không hợp lệ; ","")&amp;IF(COUNTIF($B$7:$B$306,B249)&gt;1,"Trùng mã CPTT; ","")))</f>
        <v/>
      </c>
    </row>
    <row r="250" ht="19.5" customHeight="1" s="98">
      <c r="A250" s="164">
        <f>IF(B250="","",ROW()-6)</f>
        <v/>
      </c>
      <c r="B250" s="165" t="n"/>
      <c r="C250" s="166" t="n"/>
      <c r="D250" s="167" t="n"/>
      <c r="E250" s="167" t="n"/>
      <c r="F250" s="168" t="n"/>
      <c r="G250" s="169" t="n"/>
      <c r="H250" s="170">
        <f>IF(OR(F250="",G250=""),"",F250*G250)</f>
        <v/>
      </c>
      <c r="I250" s="171" t="n"/>
      <c r="J250" s="170">
        <f>IF(OR(H250="",E250="",P250=""),"",H250/(P250-E250+1))</f>
        <v/>
      </c>
      <c r="K250" s="165" t="n"/>
      <c r="L250" s="172">
        <f>IF(B250="","",IF(AF250&lt;=0,"Đã phân bổ",IF(P250&lt;=EDATE('Thiết lập'!$B$4,12),"Ngắn hạn","Dài hạn")))</f>
        <v/>
      </c>
      <c r="M250" s="165" t="n"/>
      <c r="N250" s="165" t="n"/>
      <c r="O250" s="165" t="n"/>
      <c r="P250" s="173">
        <f>IF(OR(E250="",I250=""),"",EDATE(E250,I250)-1)</f>
        <v/>
      </c>
      <c r="Q250" s="170">
        <f>IF(OR(B250="",E250="",P250=""),0,MIN(H250,MAX(0,MIN(P250,DATE('Thiết lập'!$B$3-1,12,31))-E250+1)*J250))</f>
        <v/>
      </c>
      <c r="R250" s="170">
        <f>IF(OR($B250="",R$4&gt;$P250,EOMONTH(R$4,0)&lt;$E250),0,MIN($H250,MAX(0,MIN(EOMONTH(R$4,0),$P250)-MAX(R$4,$E250)+1)*$J250))</f>
        <v/>
      </c>
      <c r="S250" s="170">
        <f>IF(OR($B250="",S$4&gt;$P250,EOMONTH(S$4,0)&lt;$E250),0,MIN($H250,MAX(0,MIN(EOMONTH(S$4,0),$P250)-MAX(S$4,$E250)+1)*$J250))</f>
        <v/>
      </c>
      <c r="T250" s="170">
        <f>IF(OR($B250="",T$4&gt;$P250,EOMONTH(T$4,0)&lt;$E250),0,MIN($H250,MAX(0,MIN(EOMONTH(T$4,0),$P250)-MAX(T$4,$E250)+1)*$J250))</f>
        <v/>
      </c>
      <c r="U250" s="170">
        <f>IF(OR($B250="",U$4&gt;$P250,EOMONTH(U$4,0)&lt;$E250),0,MIN($H250,MAX(0,MIN(EOMONTH(U$4,0),$P250)-MAX(U$4,$E250)+1)*$J250))</f>
        <v/>
      </c>
      <c r="V250" s="170">
        <f>IF(OR($B250="",V$4&gt;$P250,EOMONTH(V$4,0)&lt;$E250),0,MIN($H250,MAX(0,MIN(EOMONTH(V$4,0),$P250)-MAX(V$4,$E250)+1)*$J250))</f>
        <v/>
      </c>
      <c r="W250" s="170">
        <f>IF(OR($B250="",W$4&gt;$P250,EOMONTH(W$4,0)&lt;$E250),0,MIN($H250,MAX(0,MIN(EOMONTH(W$4,0),$P250)-MAX(W$4,$E250)+1)*$J250))</f>
        <v/>
      </c>
      <c r="X250" s="170">
        <f>IF(OR($B250="",X$4&gt;$P250,EOMONTH(X$4,0)&lt;$E250),0,MIN($H250,MAX(0,MIN(EOMONTH(X$4,0),$P250)-MAX(X$4,$E250)+1)*$J250))</f>
        <v/>
      </c>
      <c r="Y250" s="170">
        <f>IF(OR($B250="",Y$4&gt;$P250,EOMONTH(Y$4,0)&lt;$E250),0,MIN($H250,MAX(0,MIN(EOMONTH(Y$4,0),$P250)-MAX(Y$4,$E250)+1)*$J250))</f>
        <v/>
      </c>
      <c r="Z250" s="170">
        <f>IF(OR($B250="",Z$4&gt;$P250,EOMONTH(Z$4,0)&lt;$E250),0,MIN($H250,MAX(0,MIN(EOMONTH(Z$4,0),$P250)-MAX(Z$4,$E250)+1)*$J250))</f>
        <v/>
      </c>
      <c r="AA250" s="170">
        <f>IF(OR($B250="",AA$4&gt;$P250,EOMONTH(AA$4,0)&lt;$E250),0,MIN($H250,MAX(0,MIN(EOMONTH(AA$4,0),$P250)-MAX(AA$4,$E250)+1)*$J250))</f>
        <v/>
      </c>
      <c r="AB250" s="170">
        <f>IF(OR($B250="",AB$4&gt;$P250,EOMONTH(AB$4,0)&lt;$E250),0,MIN($H250,MAX(0,MIN(EOMONTH(AB$4,0),$P250)-MAX(AB$4,$E250)+1)*$J250))</f>
        <v/>
      </c>
      <c r="AC250" s="170">
        <f>IF(OR($B250="",AC$4&gt;$P250,EOMONTH(AC$4,0)&lt;$E250),0,MIN($H250,MAX(0,MIN(EOMONTH(AC$4,0),$P250)-MAX(AC$4,$E250)+1)*$J250))</f>
        <v/>
      </c>
      <c r="AD250" s="170">
        <f>IF(B250="","",ROUND(SUM(R250:AC250),0))</f>
        <v/>
      </c>
      <c r="AE250" s="170">
        <f>IF(B250="","",MIN(H250,ROUND(Q250+SUM(R250:AC250),0)))</f>
        <v/>
      </c>
      <c r="AF250" s="170">
        <f>IF(B250="","",MAX(H250-AE250,0))</f>
        <v/>
      </c>
      <c r="AG250" s="172">
        <f>IF(B250="","",IF('Thiết lập'!$B$4&lt;E250,"Chưa phân bổ",IF(P250&lt;='Thiết lập'!$B$4,"Đã phân bổ","Đang phân bổ")))</f>
        <v/>
      </c>
      <c r="AH250" s="166" t="n"/>
      <c r="AI250" s="174">
        <f>IF(B250="","",IF(AND(C250&lt;&gt;"",D250&lt;&gt;"",E250&lt;&gt;"",E250&gt;=D250,F250&gt;0,G250&gt;0,I250&gt;0,COUNTIF($B$7:$B$306,B250)=1),"OK",IF(C250="","Thiếu tên; ","")&amp;IF(D250="","Thiếu ngày tăng; ","")&amp;IF(E250="","Thiếu ngày bắt đầu; ","")&amp;IF(AND(D250&lt;&gt;"",E250&lt;&gt;"",E250&lt;D250),"Ngày bắt đầu &lt; ngày tăng; ","")&amp;IF(OR(F250="",F250&lt;=0),"Số lượng không hợp lệ; ","")&amp;IF(OR(G250="",G250&lt;=0),"Đơn giá không hợp lệ; ","")&amp;IF(OR(I250="",I250&lt;=0),"Số tháng không hợp lệ; ","")&amp;IF(COUNTIF($B$7:$B$306,B250)&gt;1,"Trùng mã CPTT; ","")))</f>
        <v/>
      </c>
    </row>
    <row r="251" ht="19.5" customHeight="1" s="98">
      <c r="A251" s="164">
        <f>IF(B251="","",ROW()-6)</f>
        <v/>
      </c>
      <c r="B251" s="165" t="n"/>
      <c r="C251" s="166" t="n"/>
      <c r="D251" s="167" t="n"/>
      <c r="E251" s="167" t="n"/>
      <c r="F251" s="168" t="n"/>
      <c r="G251" s="169" t="n"/>
      <c r="H251" s="170">
        <f>IF(OR(F251="",G251=""),"",F251*G251)</f>
        <v/>
      </c>
      <c r="I251" s="171" t="n"/>
      <c r="J251" s="170">
        <f>IF(OR(H251="",E251="",P251=""),"",H251/(P251-E251+1))</f>
        <v/>
      </c>
      <c r="K251" s="165" t="n"/>
      <c r="L251" s="172">
        <f>IF(B251="","",IF(AF251&lt;=0,"Đã phân bổ",IF(P251&lt;=EDATE('Thiết lập'!$B$4,12),"Ngắn hạn","Dài hạn")))</f>
        <v/>
      </c>
      <c r="M251" s="165" t="n"/>
      <c r="N251" s="165" t="n"/>
      <c r="O251" s="165" t="n"/>
      <c r="P251" s="173">
        <f>IF(OR(E251="",I251=""),"",EDATE(E251,I251)-1)</f>
        <v/>
      </c>
      <c r="Q251" s="170">
        <f>IF(OR(B251="",E251="",P251=""),0,MIN(H251,MAX(0,MIN(P251,DATE('Thiết lập'!$B$3-1,12,31))-E251+1)*J251))</f>
        <v/>
      </c>
      <c r="R251" s="170">
        <f>IF(OR($B251="",R$4&gt;$P251,EOMONTH(R$4,0)&lt;$E251),0,MIN($H251,MAX(0,MIN(EOMONTH(R$4,0),$P251)-MAX(R$4,$E251)+1)*$J251))</f>
        <v/>
      </c>
      <c r="S251" s="170">
        <f>IF(OR($B251="",S$4&gt;$P251,EOMONTH(S$4,0)&lt;$E251),0,MIN($H251,MAX(0,MIN(EOMONTH(S$4,0),$P251)-MAX(S$4,$E251)+1)*$J251))</f>
        <v/>
      </c>
      <c r="T251" s="170">
        <f>IF(OR($B251="",T$4&gt;$P251,EOMONTH(T$4,0)&lt;$E251),0,MIN($H251,MAX(0,MIN(EOMONTH(T$4,0),$P251)-MAX(T$4,$E251)+1)*$J251))</f>
        <v/>
      </c>
      <c r="U251" s="170">
        <f>IF(OR($B251="",U$4&gt;$P251,EOMONTH(U$4,0)&lt;$E251),0,MIN($H251,MAX(0,MIN(EOMONTH(U$4,0),$P251)-MAX(U$4,$E251)+1)*$J251))</f>
        <v/>
      </c>
      <c r="V251" s="170">
        <f>IF(OR($B251="",V$4&gt;$P251,EOMONTH(V$4,0)&lt;$E251),0,MIN($H251,MAX(0,MIN(EOMONTH(V$4,0),$P251)-MAX(V$4,$E251)+1)*$J251))</f>
        <v/>
      </c>
      <c r="W251" s="170">
        <f>IF(OR($B251="",W$4&gt;$P251,EOMONTH(W$4,0)&lt;$E251),0,MIN($H251,MAX(0,MIN(EOMONTH(W$4,0),$P251)-MAX(W$4,$E251)+1)*$J251))</f>
        <v/>
      </c>
      <c r="X251" s="170">
        <f>IF(OR($B251="",X$4&gt;$P251,EOMONTH(X$4,0)&lt;$E251),0,MIN($H251,MAX(0,MIN(EOMONTH(X$4,0),$P251)-MAX(X$4,$E251)+1)*$J251))</f>
        <v/>
      </c>
      <c r="Y251" s="170">
        <f>IF(OR($B251="",Y$4&gt;$P251,EOMONTH(Y$4,0)&lt;$E251),0,MIN($H251,MAX(0,MIN(EOMONTH(Y$4,0),$P251)-MAX(Y$4,$E251)+1)*$J251))</f>
        <v/>
      </c>
      <c r="Z251" s="170">
        <f>IF(OR($B251="",Z$4&gt;$P251,EOMONTH(Z$4,0)&lt;$E251),0,MIN($H251,MAX(0,MIN(EOMONTH(Z$4,0),$P251)-MAX(Z$4,$E251)+1)*$J251))</f>
        <v/>
      </c>
      <c r="AA251" s="170">
        <f>IF(OR($B251="",AA$4&gt;$P251,EOMONTH(AA$4,0)&lt;$E251),0,MIN($H251,MAX(0,MIN(EOMONTH(AA$4,0),$P251)-MAX(AA$4,$E251)+1)*$J251))</f>
        <v/>
      </c>
      <c r="AB251" s="170">
        <f>IF(OR($B251="",AB$4&gt;$P251,EOMONTH(AB$4,0)&lt;$E251),0,MIN($H251,MAX(0,MIN(EOMONTH(AB$4,0),$P251)-MAX(AB$4,$E251)+1)*$J251))</f>
        <v/>
      </c>
      <c r="AC251" s="170">
        <f>IF(OR($B251="",AC$4&gt;$P251,EOMONTH(AC$4,0)&lt;$E251),0,MIN($H251,MAX(0,MIN(EOMONTH(AC$4,0),$P251)-MAX(AC$4,$E251)+1)*$J251))</f>
        <v/>
      </c>
      <c r="AD251" s="170">
        <f>IF(B251="","",ROUND(SUM(R251:AC251),0))</f>
        <v/>
      </c>
      <c r="AE251" s="170">
        <f>IF(B251="","",MIN(H251,ROUND(Q251+SUM(R251:AC251),0)))</f>
        <v/>
      </c>
      <c r="AF251" s="170">
        <f>IF(B251="","",MAX(H251-AE251,0))</f>
        <v/>
      </c>
      <c r="AG251" s="172">
        <f>IF(B251="","",IF('Thiết lập'!$B$4&lt;E251,"Chưa phân bổ",IF(P251&lt;='Thiết lập'!$B$4,"Đã phân bổ","Đang phân bổ")))</f>
        <v/>
      </c>
      <c r="AH251" s="166" t="n"/>
      <c r="AI251" s="174">
        <f>IF(B251="","",IF(AND(C251&lt;&gt;"",D251&lt;&gt;"",E251&lt;&gt;"",E251&gt;=D251,F251&gt;0,G251&gt;0,I251&gt;0,COUNTIF($B$7:$B$306,B251)=1),"OK",IF(C251="","Thiếu tên; ","")&amp;IF(D251="","Thiếu ngày tăng; ","")&amp;IF(E251="","Thiếu ngày bắt đầu; ","")&amp;IF(AND(D251&lt;&gt;"",E251&lt;&gt;"",E251&lt;D251),"Ngày bắt đầu &lt; ngày tăng; ","")&amp;IF(OR(F251="",F251&lt;=0),"Số lượng không hợp lệ; ","")&amp;IF(OR(G251="",G251&lt;=0),"Đơn giá không hợp lệ; ","")&amp;IF(OR(I251="",I251&lt;=0),"Số tháng không hợp lệ; ","")&amp;IF(COUNTIF($B$7:$B$306,B251)&gt;1,"Trùng mã CPTT; ","")))</f>
        <v/>
      </c>
    </row>
    <row r="252" ht="19.5" customHeight="1" s="98">
      <c r="A252" s="164">
        <f>IF(B252="","",ROW()-6)</f>
        <v/>
      </c>
      <c r="B252" s="165" t="n"/>
      <c r="C252" s="166" t="n"/>
      <c r="D252" s="167" t="n"/>
      <c r="E252" s="167" t="n"/>
      <c r="F252" s="168" t="n"/>
      <c r="G252" s="169" t="n"/>
      <c r="H252" s="170">
        <f>IF(OR(F252="",G252=""),"",F252*G252)</f>
        <v/>
      </c>
      <c r="I252" s="171" t="n"/>
      <c r="J252" s="170">
        <f>IF(OR(H252="",E252="",P252=""),"",H252/(P252-E252+1))</f>
        <v/>
      </c>
      <c r="K252" s="165" t="n"/>
      <c r="L252" s="172">
        <f>IF(B252="","",IF(AF252&lt;=0,"Đã phân bổ",IF(P252&lt;=EDATE('Thiết lập'!$B$4,12),"Ngắn hạn","Dài hạn")))</f>
        <v/>
      </c>
      <c r="M252" s="165" t="n"/>
      <c r="N252" s="165" t="n"/>
      <c r="O252" s="165" t="n"/>
      <c r="P252" s="173">
        <f>IF(OR(E252="",I252=""),"",EDATE(E252,I252)-1)</f>
        <v/>
      </c>
      <c r="Q252" s="170">
        <f>IF(OR(B252="",E252="",P252=""),0,MIN(H252,MAX(0,MIN(P252,DATE('Thiết lập'!$B$3-1,12,31))-E252+1)*J252))</f>
        <v/>
      </c>
      <c r="R252" s="170">
        <f>IF(OR($B252="",R$4&gt;$P252,EOMONTH(R$4,0)&lt;$E252),0,MIN($H252,MAX(0,MIN(EOMONTH(R$4,0),$P252)-MAX(R$4,$E252)+1)*$J252))</f>
        <v/>
      </c>
      <c r="S252" s="170">
        <f>IF(OR($B252="",S$4&gt;$P252,EOMONTH(S$4,0)&lt;$E252),0,MIN($H252,MAX(0,MIN(EOMONTH(S$4,0),$P252)-MAX(S$4,$E252)+1)*$J252))</f>
        <v/>
      </c>
      <c r="T252" s="170">
        <f>IF(OR($B252="",T$4&gt;$P252,EOMONTH(T$4,0)&lt;$E252),0,MIN($H252,MAX(0,MIN(EOMONTH(T$4,0),$P252)-MAX(T$4,$E252)+1)*$J252))</f>
        <v/>
      </c>
      <c r="U252" s="170">
        <f>IF(OR($B252="",U$4&gt;$P252,EOMONTH(U$4,0)&lt;$E252),0,MIN($H252,MAX(0,MIN(EOMONTH(U$4,0),$P252)-MAX(U$4,$E252)+1)*$J252))</f>
        <v/>
      </c>
      <c r="V252" s="170">
        <f>IF(OR($B252="",V$4&gt;$P252,EOMONTH(V$4,0)&lt;$E252),0,MIN($H252,MAX(0,MIN(EOMONTH(V$4,0),$P252)-MAX(V$4,$E252)+1)*$J252))</f>
        <v/>
      </c>
      <c r="W252" s="170">
        <f>IF(OR($B252="",W$4&gt;$P252,EOMONTH(W$4,0)&lt;$E252),0,MIN($H252,MAX(0,MIN(EOMONTH(W$4,0),$P252)-MAX(W$4,$E252)+1)*$J252))</f>
        <v/>
      </c>
      <c r="X252" s="170">
        <f>IF(OR($B252="",X$4&gt;$P252,EOMONTH(X$4,0)&lt;$E252),0,MIN($H252,MAX(0,MIN(EOMONTH(X$4,0),$P252)-MAX(X$4,$E252)+1)*$J252))</f>
        <v/>
      </c>
      <c r="Y252" s="170">
        <f>IF(OR($B252="",Y$4&gt;$P252,EOMONTH(Y$4,0)&lt;$E252),0,MIN($H252,MAX(0,MIN(EOMONTH(Y$4,0),$P252)-MAX(Y$4,$E252)+1)*$J252))</f>
        <v/>
      </c>
      <c r="Z252" s="170">
        <f>IF(OR($B252="",Z$4&gt;$P252,EOMONTH(Z$4,0)&lt;$E252),0,MIN($H252,MAX(0,MIN(EOMONTH(Z$4,0),$P252)-MAX(Z$4,$E252)+1)*$J252))</f>
        <v/>
      </c>
      <c r="AA252" s="170">
        <f>IF(OR($B252="",AA$4&gt;$P252,EOMONTH(AA$4,0)&lt;$E252),0,MIN($H252,MAX(0,MIN(EOMONTH(AA$4,0),$P252)-MAX(AA$4,$E252)+1)*$J252))</f>
        <v/>
      </c>
      <c r="AB252" s="170">
        <f>IF(OR($B252="",AB$4&gt;$P252,EOMONTH(AB$4,0)&lt;$E252),0,MIN($H252,MAX(0,MIN(EOMONTH(AB$4,0),$P252)-MAX(AB$4,$E252)+1)*$J252))</f>
        <v/>
      </c>
      <c r="AC252" s="170">
        <f>IF(OR($B252="",AC$4&gt;$P252,EOMONTH(AC$4,0)&lt;$E252),0,MIN($H252,MAX(0,MIN(EOMONTH(AC$4,0),$P252)-MAX(AC$4,$E252)+1)*$J252))</f>
        <v/>
      </c>
      <c r="AD252" s="170">
        <f>IF(B252="","",ROUND(SUM(R252:AC252),0))</f>
        <v/>
      </c>
      <c r="AE252" s="170">
        <f>IF(B252="","",MIN(H252,ROUND(Q252+SUM(R252:AC252),0)))</f>
        <v/>
      </c>
      <c r="AF252" s="170">
        <f>IF(B252="","",MAX(H252-AE252,0))</f>
        <v/>
      </c>
      <c r="AG252" s="172">
        <f>IF(B252="","",IF('Thiết lập'!$B$4&lt;E252,"Chưa phân bổ",IF(P252&lt;='Thiết lập'!$B$4,"Đã phân bổ","Đang phân bổ")))</f>
        <v/>
      </c>
      <c r="AH252" s="166" t="n"/>
      <c r="AI252" s="174">
        <f>IF(B252="","",IF(AND(C252&lt;&gt;"",D252&lt;&gt;"",E252&lt;&gt;"",E252&gt;=D252,F252&gt;0,G252&gt;0,I252&gt;0,COUNTIF($B$7:$B$306,B252)=1),"OK",IF(C252="","Thiếu tên; ","")&amp;IF(D252="","Thiếu ngày tăng; ","")&amp;IF(E252="","Thiếu ngày bắt đầu; ","")&amp;IF(AND(D252&lt;&gt;"",E252&lt;&gt;"",E252&lt;D252),"Ngày bắt đầu &lt; ngày tăng; ","")&amp;IF(OR(F252="",F252&lt;=0),"Số lượng không hợp lệ; ","")&amp;IF(OR(G252="",G252&lt;=0),"Đơn giá không hợp lệ; ","")&amp;IF(OR(I252="",I252&lt;=0),"Số tháng không hợp lệ; ","")&amp;IF(COUNTIF($B$7:$B$306,B252)&gt;1,"Trùng mã CPTT; ","")))</f>
        <v/>
      </c>
    </row>
    <row r="253" ht="19.5" customHeight="1" s="98">
      <c r="A253" s="164">
        <f>IF(B253="","",ROW()-6)</f>
        <v/>
      </c>
      <c r="B253" s="165" t="n"/>
      <c r="C253" s="166" t="n"/>
      <c r="D253" s="167" t="n"/>
      <c r="E253" s="167" t="n"/>
      <c r="F253" s="168" t="n"/>
      <c r="G253" s="169" t="n"/>
      <c r="H253" s="170">
        <f>IF(OR(F253="",G253=""),"",F253*G253)</f>
        <v/>
      </c>
      <c r="I253" s="171" t="n"/>
      <c r="J253" s="170">
        <f>IF(OR(H253="",E253="",P253=""),"",H253/(P253-E253+1))</f>
        <v/>
      </c>
      <c r="K253" s="165" t="n"/>
      <c r="L253" s="172">
        <f>IF(B253="","",IF(AF253&lt;=0,"Đã phân bổ",IF(P253&lt;=EDATE('Thiết lập'!$B$4,12),"Ngắn hạn","Dài hạn")))</f>
        <v/>
      </c>
      <c r="M253" s="165" t="n"/>
      <c r="N253" s="165" t="n"/>
      <c r="O253" s="165" t="n"/>
      <c r="P253" s="173">
        <f>IF(OR(E253="",I253=""),"",EDATE(E253,I253)-1)</f>
        <v/>
      </c>
      <c r="Q253" s="170">
        <f>IF(OR(B253="",E253="",P253=""),0,MIN(H253,MAX(0,MIN(P253,DATE('Thiết lập'!$B$3-1,12,31))-E253+1)*J253))</f>
        <v/>
      </c>
      <c r="R253" s="170">
        <f>IF(OR($B253="",R$4&gt;$P253,EOMONTH(R$4,0)&lt;$E253),0,MIN($H253,MAX(0,MIN(EOMONTH(R$4,0),$P253)-MAX(R$4,$E253)+1)*$J253))</f>
        <v/>
      </c>
      <c r="S253" s="170">
        <f>IF(OR($B253="",S$4&gt;$P253,EOMONTH(S$4,0)&lt;$E253),0,MIN($H253,MAX(0,MIN(EOMONTH(S$4,0),$P253)-MAX(S$4,$E253)+1)*$J253))</f>
        <v/>
      </c>
      <c r="T253" s="170">
        <f>IF(OR($B253="",T$4&gt;$P253,EOMONTH(T$4,0)&lt;$E253),0,MIN($H253,MAX(0,MIN(EOMONTH(T$4,0),$P253)-MAX(T$4,$E253)+1)*$J253))</f>
        <v/>
      </c>
      <c r="U253" s="170">
        <f>IF(OR($B253="",U$4&gt;$P253,EOMONTH(U$4,0)&lt;$E253),0,MIN($H253,MAX(0,MIN(EOMONTH(U$4,0),$P253)-MAX(U$4,$E253)+1)*$J253))</f>
        <v/>
      </c>
      <c r="V253" s="170">
        <f>IF(OR($B253="",V$4&gt;$P253,EOMONTH(V$4,0)&lt;$E253),0,MIN($H253,MAX(0,MIN(EOMONTH(V$4,0),$P253)-MAX(V$4,$E253)+1)*$J253))</f>
        <v/>
      </c>
      <c r="W253" s="170">
        <f>IF(OR($B253="",W$4&gt;$P253,EOMONTH(W$4,0)&lt;$E253),0,MIN($H253,MAX(0,MIN(EOMONTH(W$4,0),$P253)-MAX(W$4,$E253)+1)*$J253))</f>
        <v/>
      </c>
      <c r="X253" s="170">
        <f>IF(OR($B253="",X$4&gt;$P253,EOMONTH(X$4,0)&lt;$E253),0,MIN($H253,MAX(0,MIN(EOMONTH(X$4,0),$P253)-MAX(X$4,$E253)+1)*$J253))</f>
        <v/>
      </c>
      <c r="Y253" s="170">
        <f>IF(OR($B253="",Y$4&gt;$P253,EOMONTH(Y$4,0)&lt;$E253),0,MIN($H253,MAX(0,MIN(EOMONTH(Y$4,0),$P253)-MAX(Y$4,$E253)+1)*$J253))</f>
        <v/>
      </c>
      <c r="Z253" s="170">
        <f>IF(OR($B253="",Z$4&gt;$P253,EOMONTH(Z$4,0)&lt;$E253),0,MIN($H253,MAX(0,MIN(EOMONTH(Z$4,0),$P253)-MAX(Z$4,$E253)+1)*$J253))</f>
        <v/>
      </c>
      <c r="AA253" s="170">
        <f>IF(OR($B253="",AA$4&gt;$P253,EOMONTH(AA$4,0)&lt;$E253),0,MIN($H253,MAX(0,MIN(EOMONTH(AA$4,0),$P253)-MAX(AA$4,$E253)+1)*$J253))</f>
        <v/>
      </c>
      <c r="AB253" s="170">
        <f>IF(OR($B253="",AB$4&gt;$P253,EOMONTH(AB$4,0)&lt;$E253),0,MIN($H253,MAX(0,MIN(EOMONTH(AB$4,0),$P253)-MAX(AB$4,$E253)+1)*$J253))</f>
        <v/>
      </c>
      <c r="AC253" s="170">
        <f>IF(OR($B253="",AC$4&gt;$P253,EOMONTH(AC$4,0)&lt;$E253),0,MIN($H253,MAX(0,MIN(EOMONTH(AC$4,0),$P253)-MAX(AC$4,$E253)+1)*$J253))</f>
        <v/>
      </c>
      <c r="AD253" s="170">
        <f>IF(B253="","",ROUND(SUM(R253:AC253),0))</f>
        <v/>
      </c>
      <c r="AE253" s="170">
        <f>IF(B253="","",MIN(H253,ROUND(Q253+SUM(R253:AC253),0)))</f>
        <v/>
      </c>
      <c r="AF253" s="170">
        <f>IF(B253="","",MAX(H253-AE253,0))</f>
        <v/>
      </c>
      <c r="AG253" s="172">
        <f>IF(B253="","",IF('Thiết lập'!$B$4&lt;E253,"Chưa phân bổ",IF(P253&lt;='Thiết lập'!$B$4,"Đã phân bổ","Đang phân bổ")))</f>
        <v/>
      </c>
      <c r="AH253" s="166" t="n"/>
      <c r="AI253" s="174">
        <f>IF(B253="","",IF(AND(C253&lt;&gt;"",D253&lt;&gt;"",E253&lt;&gt;"",E253&gt;=D253,F253&gt;0,G253&gt;0,I253&gt;0,COUNTIF($B$7:$B$306,B253)=1),"OK",IF(C253="","Thiếu tên; ","")&amp;IF(D253="","Thiếu ngày tăng; ","")&amp;IF(E253="","Thiếu ngày bắt đầu; ","")&amp;IF(AND(D253&lt;&gt;"",E253&lt;&gt;"",E253&lt;D253),"Ngày bắt đầu &lt; ngày tăng; ","")&amp;IF(OR(F253="",F253&lt;=0),"Số lượng không hợp lệ; ","")&amp;IF(OR(G253="",G253&lt;=0),"Đơn giá không hợp lệ; ","")&amp;IF(OR(I253="",I253&lt;=0),"Số tháng không hợp lệ; ","")&amp;IF(COUNTIF($B$7:$B$306,B253)&gt;1,"Trùng mã CPTT; ","")))</f>
        <v/>
      </c>
    </row>
    <row r="254" ht="19.5" customHeight="1" s="98">
      <c r="A254" s="164">
        <f>IF(B254="","",ROW()-6)</f>
        <v/>
      </c>
      <c r="B254" s="165" t="n"/>
      <c r="C254" s="166" t="n"/>
      <c r="D254" s="167" t="n"/>
      <c r="E254" s="167" t="n"/>
      <c r="F254" s="168" t="n"/>
      <c r="G254" s="169" t="n"/>
      <c r="H254" s="170">
        <f>IF(OR(F254="",G254=""),"",F254*G254)</f>
        <v/>
      </c>
      <c r="I254" s="171" t="n"/>
      <c r="J254" s="170">
        <f>IF(OR(H254="",E254="",P254=""),"",H254/(P254-E254+1))</f>
        <v/>
      </c>
      <c r="K254" s="165" t="n"/>
      <c r="L254" s="172">
        <f>IF(B254="","",IF(AF254&lt;=0,"Đã phân bổ",IF(P254&lt;=EDATE('Thiết lập'!$B$4,12),"Ngắn hạn","Dài hạn")))</f>
        <v/>
      </c>
      <c r="M254" s="165" t="n"/>
      <c r="N254" s="165" t="n"/>
      <c r="O254" s="165" t="n"/>
      <c r="P254" s="173">
        <f>IF(OR(E254="",I254=""),"",EDATE(E254,I254)-1)</f>
        <v/>
      </c>
      <c r="Q254" s="170">
        <f>IF(OR(B254="",E254="",P254=""),0,MIN(H254,MAX(0,MIN(P254,DATE('Thiết lập'!$B$3-1,12,31))-E254+1)*J254))</f>
        <v/>
      </c>
      <c r="R254" s="170">
        <f>IF(OR($B254="",R$4&gt;$P254,EOMONTH(R$4,0)&lt;$E254),0,MIN($H254,MAX(0,MIN(EOMONTH(R$4,0),$P254)-MAX(R$4,$E254)+1)*$J254))</f>
        <v/>
      </c>
      <c r="S254" s="170">
        <f>IF(OR($B254="",S$4&gt;$P254,EOMONTH(S$4,0)&lt;$E254),0,MIN($H254,MAX(0,MIN(EOMONTH(S$4,0),$P254)-MAX(S$4,$E254)+1)*$J254))</f>
        <v/>
      </c>
      <c r="T254" s="170">
        <f>IF(OR($B254="",T$4&gt;$P254,EOMONTH(T$4,0)&lt;$E254),0,MIN($H254,MAX(0,MIN(EOMONTH(T$4,0),$P254)-MAX(T$4,$E254)+1)*$J254))</f>
        <v/>
      </c>
      <c r="U254" s="170">
        <f>IF(OR($B254="",U$4&gt;$P254,EOMONTH(U$4,0)&lt;$E254),0,MIN($H254,MAX(0,MIN(EOMONTH(U$4,0),$P254)-MAX(U$4,$E254)+1)*$J254))</f>
        <v/>
      </c>
      <c r="V254" s="170">
        <f>IF(OR($B254="",V$4&gt;$P254,EOMONTH(V$4,0)&lt;$E254),0,MIN($H254,MAX(0,MIN(EOMONTH(V$4,0),$P254)-MAX(V$4,$E254)+1)*$J254))</f>
        <v/>
      </c>
      <c r="W254" s="170">
        <f>IF(OR($B254="",W$4&gt;$P254,EOMONTH(W$4,0)&lt;$E254),0,MIN($H254,MAX(0,MIN(EOMONTH(W$4,0),$P254)-MAX(W$4,$E254)+1)*$J254))</f>
        <v/>
      </c>
      <c r="X254" s="170">
        <f>IF(OR($B254="",X$4&gt;$P254,EOMONTH(X$4,0)&lt;$E254),0,MIN($H254,MAX(0,MIN(EOMONTH(X$4,0),$P254)-MAX(X$4,$E254)+1)*$J254))</f>
        <v/>
      </c>
      <c r="Y254" s="170">
        <f>IF(OR($B254="",Y$4&gt;$P254,EOMONTH(Y$4,0)&lt;$E254),0,MIN($H254,MAX(0,MIN(EOMONTH(Y$4,0),$P254)-MAX(Y$4,$E254)+1)*$J254))</f>
        <v/>
      </c>
      <c r="Z254" s="170">
        <f>IF(OR($B254="",Z$4&gt;$P254,EOMONTH(Z$4,0)&lt;$E254),0,MIN($H254,MAX(0,MIN(EOMONTH(Z$4,0),$P254)-MAX(Z$4,$E254)+1)*$J254))</f>
        <v/>
      </c>
      <c r="AA254" s="170">
        <f>IF(OR($B254="",AA$4&gt;$P254,EOMONTH(AA$4,0)&lt;$E254),0,MIN($H254,MAX(0,MIN(EOMONTH(AA$4,0),$P254)-MAX(AA$4,$E254)+1)*$J254))</f>
        <v/>
      </c>
      <c r="AB254" s="170">
        <f>IF(OR($B254="",AB$4&gt;$P254,EOMONTH(AB$4,0)&lt;$E254),0,MIN($H254,MAX(0,MIN(EOMONTH(AB$4,0),$P254)-MAX(AB$4,$E254)+1)*$J254))</f>
        <v/>
      </c>
      <c r="AC254" s="170">
        <f>IF(OR($B254="",AC$4&gt;$P254,EOMONTH(AC$4,0)&lt;$E254),0,MIN($H254,MAX(0,MIN(EOMONTH(AC$4,0),$P254)-MAX(AC$4,$E254)+1)*$J254))</f>
        <v/>
      </c>
      <c r="AD254" s="170">
        <f>IF(B254="","",ROUND(SUM(R254:AC254),0))</f>
        <v/>
      </c>
      <c r="AE254" s="170">
        <f>IF(B254="","",MIN(H254,ROUND(Q254+SUM(R254:AC254),0)))</f>
        <v/>
      </c>
      <c r="AF254" s="170">
        <f>IF(B254="","",MAX(H254-AE254,0))</f>
        <v/>
      </c>
      <c r="AG254" s="172">
        <f>IF(B254="","",IF('Thiết lập'!$B$4&lt;E254,"Chưa phân bổ",IF(P254&lt;='Thiết lập'!$B$4,"Đã phân bổ","Đang phân bổ")))</f>
        <v/>
      </c>
      <c r="AH254" s="166" t="n"/>
      <c r="AI254" s="174">
        <f>IF(B254="","",IF(AND(C254&lt;&gt;"",D254&lt;&gt;"",E254&lt;&gt;"",E254&gt;=D254,F254&gt;0,G254&gt;0,I254&gt;0,COUNTIF($B$7:$B$306,B254)=1),"OK",IF(C254="","Thiếu tên; ","")&amp;IF(D254="","Thiếu ngày tăng; ","")&amp;IF(E254="","Thiếu ngày bắt đầu; ","")&amp;IF(AND(D254&lt;&gt;"",E254&lt;&gt;"",E254&lt;D254),"Ngày bắt đầu &lt; ngày tăng; ","")&amp;IF(OR(F254="",F254&lt;=0),"Số lượng không hợp lệ; ","")&amp;IF(OR(G254="",G254&lt;=0),"Đơn giá không hợp lệ; ","")&amp;IF(OR(I254="",I254&lt;=0),"Số tháng không hợp lệ; ","")&amp;IF(COUNTIF($B$7:$B$306,B254)&gt;1,"Trùng mã CPTT; ","")))</f>
        <v/>
      </c>
    </row>
    <row r="255" ht="19.5" customHeight="1" s="98">
      <c r="A255" s="164">
        <f>IF(B255="","",ROW()-6)</f>
        <v/>
      </c>
      <c r="B255" s="165" t="n"/>
      <c r="C255" s="166" t="n"/>
      <c r="D255" s="167" t="n"/>
      <c r="E255" s="167" t="n"/>
      <c r="F255" s="168" t="n"/>
      <c r="G255" s="169" t="n"/>
      <c r="H255" s="170">
        <f>IF(OR(F255="",G255=""),"",F255*G255)</f>
        <v/>
      </c>
      <c r="I255" s="171" t="n"/>
      <c r="J255" s="170">
        <f>IF(OR(H255="",E255="",P255=""),"",H255/(P255-E255+1))</f>
        <v/>
      </c>
      <c r="K255" s="165" t="n"/>
      <c r="L255" s="172">
        <f>IF(B255="","",IF(AF255&lt;=0,"Đã phân bổ",IF(P255&lt;=EDATE('Thiết lập'!$B$4,12),"Ngắn hạn","Dài hạn")))</f>
        <v/>
      </c>
      <c r="M255" s="165" t="n"/>
      <c r="N255" s="165" t="n"/>
      <c r="O255" s="165" t="n"/>
      <c r="P255" s="173">
        <f>IF(OR(E255="",I255=""),"",EDATE(E255,I255)-1)</f>
        <v/>
      </c>
      <c r="Q255" s="170">
        <f>IF(OR(B255="",E255="",P255=""),0,MIN(H255,MAX(0,MIN(P255,DATE('Thiết lập'!$B$3-1,12,31))-E255+1)*J255))</f>
        <v/>
      </c>
      <c r="R255" s="170">
        <f>IF(OR($B255="",R$4&gt;$P255,EOMONTH(R$4,0)&lt;$E255),0,MIN($H255,MAX(0,MIN(EOMONTH(R$4,0),$P255)-MAX(R$4,$E255)+1)*$J255))</f>
        <v/>
      </c>
      <c r="S255" s="170">
        <f>IF(OR($B255="",S$4&gt;$P255,EOMONTH(S$4,0)&lt;$E255),0,MIN($H255,MAX(0,MIN(EOMONTH(S$4,0),$P255)-MAX(S$4,$E255)+1)*$J255))</f>
        <v/>
      </c>
      <c r="T255" s="170">
        <f>IF(OR($B255="",T$4&gt;$P255,EOMONTH(T$4,0)&lt;$E255),0,MIN($H255,MAX(0,MIN(EOMONTH(T$4,0),$P255)-MAX(T$4,$E255)+1)*$J255))</f>
        <v/>
      </c>
      <c r="U255" s="170">
        <f>IF(OR($B255="",U$4&gt;$P255,EOMONTH(U$4,0)&lt;$E255),0,MIN($H255,MAX(0,MIN(EOMONTH(U$4,0),$P255)-MAX(U$4,$E255)+1)*$J255))</f>
        <v/>
      </c>
      <c r="V255" s="170">
        <f>IF(OR($B255="",V$4&gt;$P255,EOMONTH(V$4,0)&lt;$E255),0,MIN($H255,MAX(0,MIN(EOMONTH(V$4,0),$P255)-MAX(V$4,$E255)+1)*$J255))</f>
        <v/>
      </c>
      <c r="W255" s="170">
        <f>IF(OR($B255="",W$4&gt;$P255,EOMONTH(W$4,0)&lt;$E255),0,MIN($H255,MAX(0,MIN(EOMONTH(W$4,0),$P255)-MAX(W$4,$E255)+1)*$J255))</f>
        <v/>
      </c>
      <c r="X255" s="170">
        <f>IF(OR($B255="",X$4&gt;$P255,EOMONTH(X$4,0)&lt;$E255),0,MIN($H255,MAX(0,MIN(EOMONTH(X$4,0),$P255)-MAX(X$4,$E255)+1)*$J255))</f>
        <v/>
      </c>
      <c r="Y255" s="170">
        <f>IF(OR($B255="",Y$4&gt;$P255,EOMONTH(Y$4,0)&lt;$E255),0,MIN($H255,MAX(0,MIN(EOMONTH(Y$4,0),$P255)-MAX(Y$4,$E255)+1)*$J255))</f>
        <v/>
      </c>
      <c r="Z255" s="170">
        <f>IF(OR($B255="",Z$4&gt;$P255,EOMONTH(Z$4,0)&lt;$E255),0,MIN($H255,MAX(0,MIN(EOMONTH(Z$4,0),$P255)-MAX(Z$4,$E255)+1)*$J255))</f>
        <v/>
      </c>
      <c r="AA255" s="170">
        <f>IF(OR($B255="",AA$4&gt;$P255,EOMONTH(AA$4,0)&lt;$E255),0,MIN($H255,MAX(0,MIN(EOMONTH(AA$4,0),$P255)-MAX(AA$4,$E255)+1)*$J255))</f>
        <v/>
      </c>
      <c r="AB255" s="170">
        <f>IF(OR($B255="",AB$4&gt;$P255,EOMONTH(AB$4,0)&lt;$E255),0,MIN($H255,MAX(0,MIN(EOMONTH(AB$4,0),$P255)-MAX(AB$4,$E255)+1)*$J255))</f>
        <v/>
      </c>
      <c r="AC255" s="170">
        <f>IF(OR($B255="",AC$4&gt;$P255,EOMONTH(AC$4,0)&lt;$E255),0,MIN($H255,MAX(0,MIN(EOMONTH(AC$4,0),$P255)-MAX(AC$4,$E255)+1)*$J255))</f>
        <v/>
      </c>
      <c r="AD255" s="170">
        <f>IF(B255="","",ROUND(SUM(R255:AC255),0))</f>
        <v/>
      </c>
      <c r="AE255" s="170">
        <f>IF(B255="","",MIN(H255,ROUND(Q255+SUM(R255:AC255),0)))</f>
        <v/>
      </c>
      <c r="AF255" s="170">
        <f>IF(B255="","",MAX(H255-AE255,0))</f>
        <v/>
      </c>
      <c r="AG255" s="172">
        <f>IF(B255="","",IF('Thiết lập'!$B$4&lt;E255,"Chưa phân bổ",IF(P255&lt;='Thiết lập'!$B$4,"Đã phân bổ","Đang phân bổ")))</f>
        <v/>
      </c>
      <c r="AH255" s="166" t="n"/>
      <c r="AI255" s="174">
        <f>IF(B255="","",IF(AND(C255&lt;&gt;"",D255&lt;&gt;"",E255&lt;&gt;"",E255&gt;=D255,F255&gt;0,G255&gt;0,I255&gt;0,COUNTIF($B$7:$B$306,B255)=1),"OK",IF(C255="","Thiếu tên; ","")&amp;IF(D255="","Thiếu ngày tăng; ","")&amp;IF(E255="","Thiếu ngày bắt đầu; ","")&amp;IF(AND(D255&lt;&gt;"",E255&lt;&gt;"",E255&lt;D255),"Ngày bắt đầu &lt; ngày tăng; ","")&amp;IF(OR(F255="",F255&lt;=0),"Số lượng không hợp lệ; ","")&amp;IF(OR(G255="",G255&lt;=0),"Đơn giá không hợp lệ; ","")&amp;IF(OR(I255="",I255&lt;=0),"Số tháng không hợp lệ; ","")&amp;IF(COUNTIF($B$7:$B$306,B255)&gt;1,"Trùng mã CPTT; ","")))</f>
        <v/>
      </c>
    </row>
    <row r="256" ht="19.5" customHeight="1" s="98">
      <c r="A256" s="164">
        <f>IF(B256="","",ROW()-6)</f>
        <v/>
      </c>
      <c r="B256" s="165" t="n"/>
      <c r="C256" s="166" t="n"/>
      <c r="D256" s="167" t="n"/>
      <c r="E256" s="167" t="n"/>
      <c r="F256" s="168" t="n"/>
      <c r="G256" s="169" t="n"/>
      <c r="H256" s="170">
        <f>IF(OR(F256="",G256=""),"",F256*G256)</f>
        <v/>
      </c>
      <c r="I256" s="171" t="n"/>
      <c r="J256" s="170">
        <f>IF(OR(H256="",E256="",P256=""),"",H256/(P256-E256+1))</f>
        <v/>
      </c>
      <c r="K256" s="165" t="n"/>
      <c r="L256" s="172">
        <f>IF(B256="","",IF(AF256&lt;=0,"Đã phân bổ",IF(P256&lt;=EDATE('Thiết lập'!$B$4,12),"Ngắn hạn","Dài hạn")))</f>
        <v/>
      </c>
      <c r="M256" s="165" t="n"/>
      <c r="N256" s="165" t="n"/>
      <c r="O256" s="165" t="n"/>
      <c r="P256" s="173">
        <f>IF(OR(E256="",I256=""),"",EDATE(E256,I256)-1)</f>
        <v/>
      </c>
      <c r="Q256" s="170">
        <f>IF(OR(B256="",E256="",P256=""),0,MIN(H256,MAX(0,MIN(P256,DATE('Thiết lập'!$B$3-1,12,31))-E256+1)*J256))</f>
        <v/>
      </c>
      <c r="R256" s="170">
        <f>IF(OR($B256="",R$4&gt;$P256,EOMONTH(R$4,0)&lt;$E256),0,MIN($H256,MAX(0,MIN(EOMONTH(R$4,0),$P256)-MAX(R$4,$E256)+1)*$J256))</f>
        <v/>
      </c>
      <c r="S256" s="170">
        <f>IF(OR($B256="",S$4&gt;$P256,EOMONTH(S$4,0)&lt;$E256),0,MIN($H256,MAX(0,MIN(EOMONTH(S$4,0),$P256)-MAX(S$4,$E256)+1)*$J256))</f>
        <v/>
      </c>
      <c r="T256" s="170">
        <f>IF(OR($B256="",T$4&gt;$P256,EOMONTH(T$4,0)&lt;$E256),0,MIN($H256,MAX(0,MIN(EOMONTH(T$4,0),$P256)-MAX(T$4,$E256)+1)*$J256))</f>
        <v/>
      </c>
      <c r="U256" s="170">
        <f>IF(OR($B256="",U$4&gt;$P256,EOMONTH(U$4,0)&lt;$E256),0,MIN($H256,MAX(0,MIN(EOMONTH(U$4,0),$P256)-MAX(U$4,$E256)+1)*$J256))</f>
        <v/>
      </c>
      <c r="V256" s="170">
        <f>IF(OR($B256="",V$4&gt;$P256,EOMONTH(V$4,0)&lt;$E256),0,MIN($H256,MAX(0,MIN(EOMONTH(V$4,0),$P256)-MAX(V$4,$E256)+1)*$J256))</f>
        <v/>
      </c>
      <c r="W256" s="170">
        <f>IF(OR($B256="",W$4&gt;$P256,EOMONTH(W$4,0)&lt;$E256),0,MIN($H256,MAX(0,MIN(EOMONTH(W$4,0),$P256)-MAX(W$4,$E256)+1)*$J256))</f>
        <v/>
      </c>
      <c r="X256" s="170">
        <f>IF(OR($B256="",X$4&gt;$P256,EOMONTH(X$4,0)&lt;$E256),0,MIN($H256,MAX(0,MIN(EOMONTH(X$4,0),$P256)-MAX(X$4,$E256)+1)*$J256))</f>
        <v/>
      </c>
      <c r="Y256" s="170">
        <f>IF(OR($B256="",Y$4&gt;$P256,EOMONTH(Y$4,0)&lt;$E256),0,MIN($H256,MAX(0,MIN(EOMONTH(Y$4,0),$P256)-MAX(Y$4,$E256)+1)*$J256))</f>
        <v/>
      </c>
      <c r="Z256" s="170">
        <f>IF(OR($B256="",Z$4&gt;$P256,EOMONTH(Z$4,0)&lt;$E256),0,MIN($H256,MAX(0,MIN(EOMONTH(Z$4,0),$P256)-MAX(Z$4,$E256)+1)*$J256))</f>
        <v/>
      </c>
      <c r="AA256" s="170">
        <f>IF(OR($B256="",AA$4&gt;$P256,EOMONTH(AA$4,0)&lt;$E256),0,MIN($H256,MAX(0,MIN(EOMONTH(AA$4,0),$P256)-MAX(AA$4,$E256)+1)*$J256))</f>
        <v/>
      </c>
      <c r="AB256" s="170">
        <f>IF(OR($B256="",AB$4&gt;$P256,EOMONTH(AB$4,0)&lt;$E256),0,MIN($H256,MAX(0,MIN(EOMONTH(AB$4,0),$P256)-MAX(AB$4,$E256)+1)*$J256))</f>
        <v/>
      </c>
      <c r="AC256" s="170">
        <f>IF(OR($B256="",AC$4&gt;$P256,EOMONTH(AC$4,0)&lt;$E256),0,MIN($H256,MAX(0,MIN(EOMONTH(AC$4,0),$P256)-MAX(AC$4,$E256)+1)*$J256))</f>
        <v/>
      </c>
      <c r="AD256" s="170">
        <f>IF(B256="","",ROUND(SUM(R256:AC256),0))</f>
        <v/>
      </c>
      <c r="AE256" s="170">
        <f>IF(B256="","",MIN(H256,ROUND(Q256+SUM(R256:AC256),0)))</f>
        <v/>
      </c>
      <c r="AF256" s="170">
        <f>IF(B256="","",MAX(H256-AE256,0))</f>
        <v/>
      </c>
      <c r="AG256" s="172">
        <f>IF(B256="","",IF('Thiết lập'!$B$4&lt;E256,"Chưa phân bổ",IF(P256&lt;='Thiết lập'!$B$4,"Đã phân bổ","Đang phân bổ")))</f>
        <v/>
      </c>
      <c r="AH256" s="166" t="n"/>
      <c r="AI256" s="174">
        <f>IF(B256="","",IF(AND(C256&lt;&gt;"",D256&lt;&gt;"",E256&lt;&gt;"",E256&gt;=D256,F256&gt;0,G256&gt;0,I256&gt;0,COUNTIF($B$7:$B$306,B256)=1),"OK",IF(C256="","Thiếu tên; ","")&amp;IF(D256="","Thiếu ngày tăng; ","")&amp;IF(E256="","Thiếu ngày bắt đầu; ","")&amp;IF(AND(D256&lt;&gt;"",E256&lt;&gt;"",E256&lt;D256),"Ngày bắt đầu &lt; ngày tăng; ","")&amp;IF(OR(F256="",F256&lt;=0),"Số lượng không hợp lệ; ","")&amp;IF(OR(G256="",G256&lt;=0),"Đơn giá không hợp lệ; ","")&amp;IF(OR(I256="",I256&lt;=0),"Số tháng không hợp lệ; ","")&amp;IF(COUNTIF($B$7:$B$306,B256)&gt;1,"Trùng mã CPTT; ","")))</f>
        <v/>
      </c>
    </row>
    <row r="257" ht="19.5" customHeight="1" s="98">
      <c r="A257" s="164">
        <f>IF(B257="","",ROW()-6)</f>
        <v/>
      </c>
      <c r="B257" s="165" t="n"/>
      <c r="C257" s="166" t="n"/>
      <c r="D257" s="167" t="n"/>
      <c r="E257" s="167" t="n"/>
      <c r="F257" s="168" t="n"/>
      <c r="G257" s="169" t="n"/>
      <c r="H257" s="170">
        <f>IF(OR(F257="",G257=""),"",F257*G257)</f>
        <v/>
      </c>
      <c r="I257" s="171" t="n"/>
      <c r="J257" s="170">
        <f>IF(OR(H257="",E257="",P257=""),"",H257/(P257-E257+1))</f>
        <v/>
      </c>
      <c r="K257" s="165" t="n"/>
      <c r="L257" s="172">
        <f>IF(B257="","",IF(AF257&lt;=0,"Đã phân bổ",IF(P257&lt;=EDATE('Thiết lập'!$B$4,12),"Ngắn hạn","Dài hạn")))</f>
        <v/>
      </c>
      <c r="M257" s="165" t="n"/>
      <c r="N257" s="165" t="n"/>
      <c r="O257" s="165" t="n"/>
      <c r="P257" s="173">
        <f>IF(OR(E257="",I257=""),"",EDATE(E257,I257)-1)</f>
        <v/>
      </c>
      <c r="Q257" s="170">
        <f>IF(OR(B257="",E257="",P257=""),0,MIN(H257,MAX(0,MIN(P257,DATE('Thiết lập'!$B$3-1,12,31))-E257+1)*J257))</f>
        <v/>
      </c>
      <c r="R257" s="170">
        <f>IF(OR($B257="",R$4&gt;$P257,EOMONTH(R$4,0)&lt;$E257),0,MIN($H257,MAX(0,MIN(EOMONTH(R$4,0),$P257)-MAX(R$4,$E257)+1)*$J257))</f>
        <v/>
      </c>
      <c r="S257" s="170">
        <f>IF(OR($B257="",S$4&gt;$P257,EOMONTH(S$4,0)&lt;$E257),0,MIN($H257,MAX(0,MIN(EOMONTH(S$4,0),$P257)-MAX(S$4,$E257)+1)*$J257))</f>
        <v/>
      </c>
      <c r="T257" s="170">
        <f>IF(OR($B257="",T$4&gt;$P257,EOMONTH(T$4,0)&lt;$E257),0,MIN($H257,MAX(0,MIN(EOMONTH(T$4,0),$P257)-MAX(T$4,$E257)+1)*$J257))</f>
        <v/>
      </c>
      <c r="U257" s="170">
        <f>IF(OR($B257="",U$4&gt;$P257,EOMONTH(U$4,0)&lt;$E257),0,MIN($H257,MAX(0,MIN(EOMONTH(U$4,0),$P257)-MAX(U$4,$E257)+1)*$J257))</f>
        <v/>
      </c>
      <c r="V257" s="170">
        <f>IF(OR($B257="",V$4&gt;$P257,EOMONTH(V$4,0)&lt;$E257),0,MIN($H257,MAX(0,MIN(EOMONTH(V$4,0),$P257)-MAX(V$4,$E257)+1)*$J257))</f>
        <v/>
      </c>
      <c r="W257" s="170">
        <f>IF(OR($B257="",W$4&gt;$P257,EOMONTH(W$4,0)&lt;$E257),0,MIN($H257,MAX(0,MIN(EOMONTH(W$4,0),$P257)-MAX(W$4,$E257)+1)*$J257))</f>
        <v/>
      </c>
      <c r="X257" s="170">
        <f>IF(OR($B257="",X$4&gt;$P257,EOMONTH(X$4,0)&lt;$E257),0,MIN($H257,MAX(0,MIN(EOMONTH(X$4,0),$P257)-MAX(X$4,$E257)+1)*$J257))</f>
        <v/>
      </c>
      <c r="Y257" s="170">
        <f>IF(OR($B257="",Y$4&gt;$P257,EOMONTH(Y$4,0)&lt;$E257),0,MIN($H257,MAX(0,MIN(EOMONTH(Y$4,0),$P257)-MAX(Y$4,$E257)+1)*$J257))</f>
        <v/>
      </c>
      <c r="Z257" s="170">
        <f>IF(OR($B257="",Z$4&gt;$P257,EOMONTH(Z$4,0)&lt;$E257),0,MIN($H257,MAX(0,MIN(EOMONTH(Z$4,0),$P257)-MAX(Z$4,$E257)+1)*$J257))</f>
        <v/>
      </c>
      <c r="AA257" s="170">
        <f>IF(OR($B257="",AA$4&gt;$P257,EOMONTH(AA$4,0)&lt;$E257),0,MIN($H257,MAX(0,MIN(EOMONTH(AA$4,0),$P257)-MAX(AA$4,$E257)+1)*$J257))</f>
        <v/>
      </c>
      <c r="AB257" s="170">
        <f>IF(OR($B257="",AB$4&gt;$P257,EOMONTH(AB$4,0)&lt;$E257),0,MIN($H257,MAX(0,MIN(EOMONTH(AB$4,0),$P257)-MAX(AB$4,$E257)+1)*$J257))</f>
        <v/>
      </c>
      <c r="AC257" s="170">
        <f>IF(OR($B257="",AC$4&gt;$P257,EOMONTH(AC$4,0)&lt;$E257),0,MIN($H257,MAX(0,MIN(EOMONTH(AC$4,0),$P257)-MAX(AC$4,$E257)+1)*$J257))</f>
        <v/>
      </c>
      <c r="AD257" s="170">
        <f>IF(B257="","",ROUND(SUM(R257:AC257),0))</f>
        <v/>
      </c>
      <c r="AE257" s="170">
        <f>IF(B257="","",MIN(H257,ROUND(Q257+SUM(R257:AC257),0)))</f>
        <v/>
      </c>
      <c r="AF257" s="170">
        <f>IF(B257="","",MAX(H257-AE257,0))</f>
        <v/>
      </c>
      <c r="AG257" s="172">
        <f>IF(B257="","",IF('Thiết lập'!$B$4&lt;E257,"Chưa phân bổ",IF(P257&lt;='Thiết lập'!$B$4,"Đã phân bổ","Đang phân bổ")))</f>
        <v/>
      </c>
      <c r="AH257" s="166" t="n"/>
      <c r="AI257" s="174">
        <f>IF(B257="","",IF(AND(C257&lt;&gt;"",D257&lt;&gt;"",E257&lt;&gt;"",E257&gt;=D257,F257&gt;0,G257&gt;0,I257&gt;0,COUNTIF($B$7:$B$306,B257)=1),"OK",IF(C257="","Thiếu tên; ","")&amp;IF(D257="","Thiếu ngày tăng; ","")&amp;IF(E257="","Thiếu ngày bắt đầu; ","")&amp;IF(AND(D257&lt;&gt;"",E257&lt;&gt;"",E257&lt;D257),"Ngày bắt đầu &lt; ngày tăng; ","")&amp;IF(OR(F257="",F257&lt;=0),"Số lượng không hợp lệ; ","")&amp;IF(OR(G257="",G257&lt;=0),"Đơn giá không hợp lệ; ","")&amp;IF(OR(I257="",I257&lt;=0),"Số tháng không hợp lệ; ","")&amp;IF(COUNTIF($B$7:$B$306,B257)&gt;1,"Trùng mã CPTT; ","")))</f>
        <v/>
      </c>
    </row>
    <row r="258" ht="19.5" customHeight="1" s="98">
      <c r="A258" s="164">
        <f>IF(B258="","",ROW()-6)</f>
        <v/>
      </c>
      <c r="B258" s="165" t="n"/>
      <c r="C258" s="166" t="n"/>
      <c r="D258" s="167" t="n"/>
      <c r="E258" s="167" t="n"/>
      <c r="F258" s="168" t="n"/>
      <c r="G258" s="169" t="n"/>
      <c r="H258" s="170">
        <f>IF(OR(F258="",G258=""),"",F258*G258)</f>
        <v/>
      </c>
      <c r="I258" s="171" t="n"/>
      <c r="J258" s="170">
        <f>IF(OR(H258="",E258="",P258=""),"",H258/(P258-E258+1))</f>
        <v/>
      </c>
      <c r="K258" s="165" t="n"/>
      <c r="L258" s="172">
        <f>IF(B258="","",IF(AF258&lt;=0,"Đã phân bổ",IF(P258&lt;=EDATE('Thiết lập'!$B$4,12),"Ngắn hạn","Dài hạn")))</f>
        <v/>
      </c>
      <c r="M258" s="165" t="n"/>
      <c r="N258" s="165" t="n"/>
      <c r="O258" s="165" t="n"/>
      <c r="P258" s="173">
        <f>IF(OR(E258="",I258=""),"",EDATE(E258,I258)-1)</f>
        <v/>
      </c>
      <c r="Q258" s="170">
        <f>IF(OR(B258="",E258="",P258=""),0,MIN(H258,MAX(0,MIN(P258,DATE('Thiết lập'!$B$3-1,12,31))-E258+1)*J258))</f>
        <v/>
      </c>
      <c r="R258" s="170">
        <f>IF(OR($B258="",R$4&gt;$P258,EOMONTH(R$4,0)&lt;$E258),0,MIN($H258,MAX(0,MIN(EOMONTH(R$4,0),$P258)-MAX(R$4,$E258)+1)*$J258))</f>
        <v/>
      </c>
      <c r="S258" s="170">
        <f>IF(OR($B258="",S$4&gt;$P258,EOMONTH(S$4,0)&lt;$E258),0,MIN($H258,MAX(0,MIN(EOMONTH(S$4,0),$P258)-MAX(S$4,$E258)+1)*$J258))</f>
        <v/>
      </c>
      <c r="T258" s="170">
        <f>IF(OR($B258="",T$4&gt;$P258,EOMONTH(T$4,0)&lt;$E258),0,MIN($H258,MAX(0,MIN(EOMONTH(T$4,0),$P258)-MAX(T$4,$E258)+1)*$J258))</f>
        <v/>
      </c>
      <c r="U258" s="170">
        <f>IF(OR($B258="",U$4&gt;$P258,EOMONTH(U$4,0)&lt;$E258),0,MIN($H258,MAX(0,MIN(EOMONTH(U$4,0),$P258)-MAX(U$4,$E258)+1)*$J258))</f>
        <v/>
      </c>
      <c r="V258" s="170">
        <f>IF(OR($B258="",V$4&gt;$P258,EOMONTH(V$4,0)&lt;$E258),0,MIN($H258,MAX(0,MIN(EOMONTH(V$4,0),$P258)-MAX(V$4,$E258)+1)*$J258))</f>
        <v/>
      </c>
      <c r="W258" s="170">
        <f>IF(OR($B258="",W$4&gt;$P258,EOMONTH(W$4,0)&lt;$E258),0,MIN($H258,MAX(0,MIN(EOMONTH(W$4,0),$P258)-MAX(W$4,$E258)+1)*$J258))</f>
        <v/>
      </c>
      <c r="X258" s="170">
        <f>IF(OR($B258="",X$4&gt;$P258,EOMONTH(X$4,0)&lt;$E258),0,MIN($H258,MAX(0,MIN(EOMONTH(X$4,0),$P258)-MAX(X$4,$E258)+1)*$J258))</f>
        <v/>
      </c>
      <c r="Y258" s="170">
        <f>IF(OR($B258="",Y$4&gt;$P258,EOMONTH(Y$4,0)&lt;$E258),0,MIN($H258,MAX(0,MIN(EOMONTH(Y$4,0),$P258)-MAX(Y$4,$E258)+1)*$J258))</f>
        <v/>
      </c>
      <c r="Z258" s="170">
        <f>IF(OR($B258="",Z$4&gt;$P258,EOMONTH(Z$4,0)&lt;$E258),0,MIN($H258,MAX(0,MIN(EOMONTH(Z$4,0),$P258)-MAX(Z$4,$E258)+1)*$J258))</f>
        <v/>
      </c>
      <c r="AA258" s="170">
        <f>IF(OR($B258="",AA$4&gt;$P258,EOMONTH(AA$4,0)&lt;$E258),0,MIN($H258,MAX(0,MIN(EOMONTH(AA$4,0),$P258)-MAX(AA$4,$E258)+1)*$J258))</f>
        <v/>
      </c>
      <c r="AB258" s="170">
        <f>IF(OR($B258="",AB$4&gt;$P258,EOMONTH(AB$4,0)&lt;$E258),0,MIN($H258,MAX(0,MIN(EOMONTH(AB$4,0),$P258)-MAX(AB$4,$E258)+1)*$J258))</f>
        <v/>
      </c>
      <c r="AC258" s="170">
        <f>IF(OR($B258="",AC$4&gt;$P258,EOMONTH(AC$4,0)&lt;$E258),0,MIN($H258,MAX(0,MIN(EOMONTH(AC$4,0),$P258)-MAX(AC$4,$E258)+1)*$J258))</f>
        <v/>
      </c>
      <c r="AD258" s="170">
        <f>IF(B258="","",ROUND(SUM(R258:AC258),0))</f>
        <v/>
      </c>
      <c r="AE258" s="170">
        <f>IF(B258="","",MIN(H258,ROUND(Q258+SUM(R258:AC258),0)))</f>
        <v/>
      </c>
      <c r="AF258" s="170">
        <f>IF(B258="","",MAX(H258-AE258,0))</f>
        <v/>
      </c>
      <c r="AG258" s="172">
        <f>IF(B258="","",IF('Thiết lập'!$B$4&lt;E258,"Chưa phân bổ",IF(P258&lt;='Thiết lập'!$B$4,"Đã phân bổ","Đang phân bổ")))</f>
        <v/>
      </c>
      <c r="AH258" s="166" t="n"/>
      <c r="AI258" s="174">
        <f>IF(B258="","",IF(AND(C258&lt;&gt;"",D258&lt;&gt;"",E258&lt;&gt;"",E258&gt;=D258,F258&gt;0,G258&gt;0,I258&gt;0,COUNTIF($B$7:$B$306,B258)=1),"OK",IF(C258="","Thiếu tên; ","")&amp;IF(D258="","Thiếu ngày tăng; ","")&amp;IF(E258="","Thiếu ngày bắt đầu; ","")&amp;IF(AND(D258&lt;&gt;"",E258&lt;&gt;"",E258&lt;D258),"Ngày bắt đầu &lt; ngày tăng; ","")&amp;IF(OR(F258="",F258&lt;=0),"Số lượng không hợp lệ; ","")&amp;IF(OR(G258="",G258&lt;=0),"Đơn giá không hợp lệ; ","")&amp;IF(OR(I258="",I258&lt;=0),"Số tháng không hợp lệ; ","")&amp;IF(COUNTIF($B$7:$B$306,B258)&gt;1,"Trùng mã CPTT; ","")))</f>
        <v/>
      </c>
    </row>
    <row r="259" ht="19.5" customHeight="1" s="98">
      <c r="A259" s="164">
        <f>IF(B259="","",ROW()-6)</f>
        <v/>
      </c>
      <c r="B259" s="165" t="n"/>
      <c r="C259" s="166" t="n"/>
      <c r="D259" s="167" t="n"/>
      <c r="E259" s="167" t="n"/>
      <c r="F259" s="168" t="n"/>
      <c r="G259" s="169" t="n"/>
      <c r="H259" s="170">
        <f>IF(OR(F259="",G259=""),"",F259*G259)</f>
        <v/>
      </c>
      <c r="I259" s="171" t="n"/>
      <c r="J259" s="170">
        <f>IF(OR(H259="",E259="",P259=""),"",H259/(P259-E259+1))</f>
        <v/>
      </c>
      <c r="K259" s="165" t="n"/>
      <c r="L259" s="172">
        <f>IF(B259="","",IF(AF259&lt;=0,"Đã phân bổ",IF(P259&lt;=EDATE('Thiết lập'!$B$4,12),"Ngắn hạn","Dài hạn")))</f>
        <v/>
      </c>
      <c r="M259" s="165" t="n"/>
      <c r="N259" s="165" t="n"/>
      <c r="O259" s="165" t="n"/>
      <c r="P259" s="173">
        <f>IF(OR(E259="",I259=""),"",EDATE(E259,I259)-1)</f>
        <v/>
      </c>
      <c r="Q259" s="170">
        <f>IF(OR(B259="",E259="",P259=""),0,MIN(H259,MAX(0,MIN(P259,DATE('Thiết lập'!$B$3-1,12,31))-E259+1)*J259))</f>
        <v/>
      </c>
      <c r="R259" s="170">
        <f>IF(OR($B259="",R$4&gt;$P259,EOMONTH(R$4,0)&lt;$E259),0,MIN($H259,MAX(0,MIN(EOMONTH(R$4,0),$P259)-MAX(R$4,$E259)+1)*$J259))</f>
        <v/>
      </c>
      <c r="S259" s="170">
        <f>IF(OR($B259="",S$4&gt;$P259,EOMONTH(S$4,0)&lt;$E259),0,MIN($H259,MAX(0,MIN(EOMONTH(S$4,0),$P259)-MAX(S$4,$E259)+1)*$J259))</f>
        <v/>
      </c>
      <c r="T259" s="170">
        <f>IF(OR($B259="",T$4&gt;$P259,EOMONTH(T$4,0)&lt;$E259),0,MIN($H259,MAX(0,MIN(EOMONTH(T$4,0),$P259)-MAX(T$4,$E259)+1)*$J259))</f>
        <v/>
      </c>
      <c r="U259" s="170">
        <f>IF(OR($B259="",U$4&gt;$P259,EOMONTH(U$4,0)&lt;$E259),0,MIN($H259,MAX(0,MIN(EOMONTH(U$4,0),$P259)-MAX(U$4,$E259)+1)*$J259))</f>
        <v/>
      </c>
      <c r="V259" s="170">
        <f>IF(OR($B259="",V$4&gt;$P259,EOMONTH(V$4,0)&lt;$E259),0,MIN($H259,MAX(0,MIN(EOMONTH(V$4,0),$P259)-MAX(V$4,$E259)+1)*$J259))</f>
        <v/>
      </c>
      <c r="W259" s="170">
        <f>IF(OR($B259="",W$4&gt;$P259,EOMONTH(W$4,0)&lt;$E259),0,MIN($H259,MAX(0,MIN(EOMONTH(W$4,0),$P259)-MAX(W$4,$E259)+1)*$J259))</f>
        <v/>
      </c>
      <c r="X259" s="170">
        <f>IF(OR($B259="",X$4&gt;$P259,EOMONTH(X$4,0)&lt;$E259),0,MIN($H259,MAX(0,MIN(EOMONTH(X$4,0),$P259)-MAX(X$4,$E259)+1)*$J259))</f>
        <v/>
      </c>
      <c r="Y259" s="170">
        <f>IF(OR($B259="",Y$4&gt;$P259,EOMONTH(Y$4,0)&lt;$E259),0,MIN($H259,MAX(0,MIN(EOMONTH(Y$4,0),$P259)-MAX(Y$4,$E259)+1)*$J259))</f>
        <v/>
      </c>
      <c r="Z259" s="170">
        <f>IF(OR($B259="",Z$4&gt;$P259,EOMONTH(Z$4,0)&lt;$E259),0,MIN($H259,MAX(0,MIN(EOMONTH(Z$4,0),$P259)-MAX(Z$4,$E259)+1)*$J259))</f>
        <v/>
      </c>
      <c r="AA259" s="170">
        <f>IF(OR($B259="",AA$4&gt;$P259,EOMONTH(AA$4,0)&lt;$E259),0,MIN($H259,MAX(0,MIN(EOMONTH(AA$4,0),$P259)-MAX(AA$4,$E259)+1)*$J259))</f>
        <v/>
      </c>
      <c r="AB259" s="170">
        <f>IF(OR($B259="",AB$4&gt;$P259,EOMONTH(AB$4,0)&lt;$E259),0,MIN($H259,MAX(0,MIN(EOMONTH(AB$4,0),$P259)-MAX(AB$4,$E259)+1)*$J259))</f>
        <v/>
      </c>
      <c r="AC259" s="170">
        <f>IF(OR($B259="",AC$4&gt;$P259,EOMONTH(AC$4,0)&lt;$E259),0,MIN($H259,MAX(0,MIN(EOMONTH(AC$4,0),$P259)-MAX(AC$4,$E259)+1)*$J259))</f>
        <v/>
      </c>
      <c r="AD259" s="170">
        <f>IF(B259="","",ROUND(SUM(R259:AC259),0))</f>
        <v/>
      </c>
      <c r="AE259" s="170">
        <f>IF(B259="","",MIN(H259,ROUND(Q259+SUM(R259:AC259),0)))</f>
        <v/>
      </c>
      <c r="AF259" s="170">
        <f>IF(B259="","",MAX(H259-AE259,0))</f>
        <v/>
      </c>
      <c r="AG259" s="172">
        <f>IF(B259="","",IF('Thiết lập'!$B$4&lt;E259,"Chưa phân bổ",IF(P259&lt;='Thiết lập'!$B$4,"Đã phân bổ","Đang phân bổ")))</f>
        <v/>
      </c>
      <c r="AH259" s="166" t="n"/>
      <c r="AI259" s="174">
        <f>IF(B259="","",IF(AND(C259&lt;&gt;"",D259&lt;&gt;"",E259&lt;&gt;"",E259&gt;=D259,F259&gt;0,G259&gt;0,I259&gt;0,COUNTIF($B$7:$B$306,B259)=1),"OK",IF(C259="","Thiếu tên; ","")&amp;IF(D259="","Thiếu ngày tăng; ","")&amp;IF(E259="","Thiếu ngày bắt đầu; ","")&amp;IF(AND(D259&lt;&gt;"",E259&lt;&gt;"",E259&lt;D259),"Ngày bắt đầu &lt; ngày tăng; ","")&amp;IF(OR(F259="",F259&lt;=0),"Số lượng không hợp lệ; ","")&amp;IF(OR(G259="",G259&lt;=0),"Đơn giá không hợp lệ; ","")&amp;IF(OR(I259="",I259&lt;=0),"Số tháng không hợp lệ; ","")&amp;IF(COUNTIF($B$7:$B$306,B259)&gt;1,"Trùng mã CPTT; ","")))</f>
        <v/>
      </c>
    </row>
    <row r="260" ht="19.5" customHeight="1" s="98">
      <c r="A260" s="164">
        <f>IF(B260="","",ROW()-6)</f>
        <v/>
      </c>
      <c r="B260" s="165" t="n"/>
      <c r="C260" s="166" t="n"/>
      <c r="D260" s="167" t="n"/>
      <c r="E260" s="167" t="n"/>
      <c r="F260" s="168" t="n"/>
      <c r="G260" s="169" t="n"/>
      <c r="H260" s="170">
        <f>IF(OR(F260="",G260=""),"",F260*G260)</f>
        <v/>
      </c>
      <c r="I260" s="171" t="n"/>
      <c r="J260" s="170">
        <f>IF(OR(H260="",E260="",P260=""),"",H260/(P260-E260+1))</f>
        <v/>
      </c>
      <c r="K260" s="165" t="n"/>
      <c r="L260" s="172">
        <f>IF(B260="","",IF(AF260&lt;=0,"Đã phân bổ",IF(P260&lt;=EDATE('Thiết lập'!$B$4,12),"Ngắn hạn","Dài hạn")))</f>
        <v/>
      </c>
      <c r="M260" s="165" t="n"/>
      <c r="N260" s="165" t="n"/>
      <c r="O260" s="165" t="n"/>
      <c r="P260" s="173">
        <f>IF(OR(E260="",I260=""),"",EDATE(E260,I260)-1)</f>
        <v/>
      </c>
      <c r="Q260" s="170">
        <f>IF(OR(B260="",E260="",P260=""),0,MIN(H260,MAX(0,MIN(P260,DATE('Thiết lập'!$B$3-1,12,31))-E260+1)*J260))</f>
        <v/>
      </c>
      <c r="R260" s="170">
        <f>IF(OR($B260="",R$4&gt;$P260,EOMONTH(R$4,0)&lt;$E260),0,MIN($H260,MAX(0,MIN(EOMONTH(R$4,0),$P260)-MAX(R$4,$E260)+1)*$J260))</f>
        <v/>
      </c>
      <c r="S260" s="170">
        <f>IF(OR($B260="",S$4&gt;$P260,EOMONTH(S$4,0)&lt;$E260),0,MIN($H260,MAX(0,MIN(EOMONTH(S$4,0),$P260)-MAX(S$4,$E260)+1)*$J260))</f>
        <v/>
      </c>
      <c r="T260" s="170">
        <f>IF(OR($B260="",T$4&gt;$P260,EOMONTH(T$4,0)&lt;$E260),0,MIN($H260,MAX(0,MIN(EOMONTH(T$4,0),$P260)-MAX(T$4,$E260)+1)*$J260))</f>
        <v/>
      </c>
      <c r="U260" s="170">
        <f>IF(OR($B260="",U$4&gt;$P260,EOMONTH(U$4,0)&lt;$E260),0,MIN($H260,MAX(0,MIN(EOMONTH(U$4,0),$P260)-MAX(U$4,$E260)+1)*$J260))</f>
        <v/>
      </c>
      <c r="V260" s="170">
        <f>IF(OR($B260="",V$4&gt;$P260,EOMONTH(V$4,0)&lt;$E260),0,MIN($H260,MAX(0,MIN(EOMONTH(V$4,0),$P260)-MAX(V$4,$E260)+1)*$J260))</f>
        <v/>
      </c>
      <c r="W260" s="170">
        <f>IF(OR($B260="",W$4&gt;$P260,EOMONTH(W$4,0)&lt;$E260),0,MIN($H260,MAX(0,MIN(EOMONTH(W$4,0),$P260)-MAX(W$4,$E260)+1)*$J260))</f>
        <v/>
      </c>
      <c r="X260" s="170">
        <f>IF(OR($B260="",X$4&gt;$P260,EOMONTH(X$4,0)&lt;$E260),0,MIN($H260,MAX(0,MIN(EOMONTH(X$4,0),$P260)-MAX(X$4,$E260)+1)*$J260))</f>
        <v/>
      </c>
      <c r="Y260" s="170">
        <f>IF(OR($B260="",Y$4&gt;$P260,EOMONTH(Y$4,0)&lt;$E260),0,MIN($H260,MAX(0,MIN(EOMONTH(Y$4,0),$P260)-MAX(Y$4,$E260)+1)*$J260))</f>
        <v/>
      </c>
      <c r="Z260" s="170">
        <f>IF(OR($B260="",Z$4&gt;$P260,EOMONTH(Z$4,0)&lt;$E260),0,MIN($H260,MAX(0,MIN(EOMONTH(Z$4,0),$P260)-MAX(Z$4,$E260)+1)*$J260))</f>
        <v/>
      </c>
      <c r="AA260" s="170">
        <f>IF(OR($B260="",AA$4&gt;$P260,EOMONTH(AA$4,0)&lt;$E260),0,MIN($H260,MAX(0,MIN(EOMONTH(AA$4,0),$P260)-MAX(AA$4,$E260)+1)*$J260))</f>
        <v/>
      </c>
      <c r="AB260" s="170">
        <f>IF(OR($B260="",AB$4&gt;$P260,EOMONTH(AB$4,0)&lt;$E260),0,MIN($H260,MAX(0,MIN(EOMONTH(AB$4,0),$P260)-MAX(AB$4,$E260)+1)*$J260))</f>
        <v/>
      </c>
      <c r="AC260" s="170">
        <f>IF(OR($B260="",AC$4&gt;$P260,EOMONTH(AC$4,0)&lt;$E260),0,MIN($H260,MAX(0,MIN(EOMONTH(AC$4,0),$P260)-MAX(AC$4,$E260)+1)*$J260))</f>
        <v/>
      </c>
      <c r="AD260" s="170">
        <f>IF(B260="","",ROUND(SUM(R260:AC260),0))</f>
        <v/>
      </c>
      <c r="AE260" s="170">
        <f>IF(B260="","",MIN(H260,ROUND(Q260+SUM(R260:AC260),0)))</f>
        <v/>
      </c>
      <c r="AF260" s="170">
        <f>IF(B260="","",MAX(H260-AE260,0))</f>
        <v/>
      </c>
      <c r="AG260" s="172">
        <f>IF(B260="","",IF('Thiết lập'!$B$4&lt;E260,"Chưa phân bổ",IF(P260&lt;='Thiết lập'!$B$4,"Đã phân bổ","Đang phân bổ")))</f>
        <v/>
      </c>
      <c r="AH260" s="166" t="n"/>
      <c r="AI260" s="174">
        <f>IF(B260="","",IF(AND(C260&lt;&gt;"",D260&lt;&gt;"",E260&lt;&gt;"",E260&gt;=D260,F260&gt;0,G260&gt;0,I260&gt;0,COUNTIF($B$7:$B$306,B260)=1),"OK",IF(C260="","Thiếu tên; ","")&amp;IF(D260="","Thiếu ngày tăng; ","")&amp;IF(E260="","Thiếu ngày bắt đầu; ","")&amp;IF(AND(D260&lt;&gt;"",E260&lt;&gt;"",E260&lt;D260),"Ngày bắt đầu &lt; ngày tăng; ","")&amp;IF(OR(F260="",F260&lt;=0),"Số lượng không hợp lệ; ","")&amp;IF(OR(G260="",G260&lt;=0),"Đơn giá không hợp lệ; ","")&amp;IF(OR(I260="",I260&lt;=0),"Số tháng không hợp lệ; ","")&amp;IF(COUNTIF($B$7:$B$306,B260)&gt;1,"Trùng mã CPTT; ","")))</f>
        <v/>
      </c>
    </row>
    <row r="261" ht="19.5" customHeight="1" s="98">
      <c r="A261" s="164">
        <f>IF(B261="","",ROW()-6)</f>
        <v/>
      </c>
      <c r="B261" s="165" t="n"/>
      <c r="C261" s="166" t="n"/>
      <c r="D261" s="167" t="n"/>
      <c r="E261" s="167" t="n"/>
      <c r="F261" s="168" t="n"/>
      <c r="G261" s="169" t="n"/>
      <c r="H261" s="170">
        <f>IF(OR(F261="",G261=""),"",F261*G261)</f>
        <v/>
      </c>
      <c r="I261" s="171" t="n"/>
      <c r="J261" s="170">
        <f>IF(OR(H261="",E261="",P261=""),"",H261/(P261-E261+1))</f>
        <v/>
      </c>
      <c r="K261" s="165" t="n"/>
      <c r="L261" s="172">
        <f>IF(B261="","",IF(AF261&lt;=0,"Đã phân bổ",IF(P261&lt;=EDATE('Thiết lập'!$B$4,12),"Ngắn hạn","Dài hạn")))</f>
        <v/>
      </c>
      <c r="M261" s="165" t="n"/>
      <c r="N261" s="165" t="n"/>
      <c r="O261" s="165" t="n"/>
      <c r="P261" s="173">
        <f>IF(OR(E261="",I261=""),"",EDATE(E261,I261)-1)</f>
        <v/>
      </c>
      <c r="Q261" s="170">
        <f>IF(OR(B261="",E261="",P261=""),0,MIN(H261,MAX(0,MIN(P261,DATE('Thiết lập'!$B$3-1,12,31))-E261+1)*J261))</f>
        <v/>
      </c>
      <c r="R261" s="170">
        <f>IF(OR($B261="",R$4&gt;$P261,EOMONTH(R$4,0)&lt;$E261),0,MIN($H261,MAX(0,MIN(EOMONTH(R$4,0),$P261)-MAX(R$4,$E261)+1)*$J261))</f>
        <v/>
      </c>
      <c r="S261" s="170">
        <f>IF(OR($B261="",S$4&gt;$P261,EOMONTH(S$4,0)&lt;$E261),0,MIN($H261,MAX(0,MIN(EOMONTH(S$4,0),$P261)-MAX(S$4,$E261)+1)*$J261))</f>
        <v/>
      </c>
      <c r="T261" s="170">
        <f>IF(OR($B261="",T$4&gt;$P261,EOMONTH(T$4,0)&lt;$E261),0,MIN($H261,MAX(0,MIN(EOMONTH(T$4,0),$P261)-MAX(T$4,$E261)+1)*$J261))</f>
        <v/>
      </c>
      <c r="U261" s="170">
        <f>IF(OR($B261="",U$4&gt;$P261,EOMONTH(U$4,0)&lt;$E261),0,MIN($H261,MAX(0,MIN(EOMONTH(U$4,0),$P261)-MAX(U$4,$E261)+1)*$J261))</f>
        <v/>
      </c>
      <c r="V261" s="170">
        <f>IF(OR($B261="",V$4&gt;$P261,EOMONTH(V$4,0)&lt;$E261),0,MIN($H261,MAX(0,MIN(EOMONTH(V$4,0),$P261)-MAX(V$4,$E261)+1)*$J261))</f>
        <v/>
      </c>
      <c r="W261" s="170">
        <f>IF(OR($B261="",W$4&gt;$P261,EOMONTH(W$4,0)&lt;$E261),0,MIN($H261,MAX(0,MIN(EOMONTH(W$4,0),$P261)-MAX(W$4,$E261)+1)*$J261))</f>
        <v/>
      </c>
      <c r="X261" s="170">
        <f>IF(OR($B261="",X$4&gt;$P261,EOMONTH(X$4,0)&lt;$E261),0,MIN($H261,MAX(0,MIN(EOMONTH(X$4,0),$P261)-MAX(X$4,$E261)+1)*$J261))</f>
        <v/>
      </c>
      <c r="Y261" s="170">
        <f>IF(OR($B261="",Y$4&gt;$P261,EOMONTH(Y$4,0)&lt;$E261),0,MIN($H261,MAX(0,MIN(EOMONTH(Y$4,0),$P261)-MAX(Y$4,$E261)+1)*$J261))</f>
        <v/>
      </c>
      <c r="Z261" s="170">
        <f>IF(OR($B261="",Z$4&gt;$P261,EOMONTH(Z$4,0)&lt;$E261),0,MIN($H261,MAX(0,MIN(EOMONTH(Z$4,0),$P261)-MAX(Z$4,$E261)+1)*$J261))</f>
        <v/>
      </c>
      <c r="AA261" s="170">
        <f>IF(OR($B261="",AA$4&gt;$P261,EOMONTH(AA$4,0)&lt;$E261),0,MIN($H261,MAX(0,MIN(EOMONTH(AA$4,0),$P261)-MAX(AA$4,$E261)+1)*$J261))</f>
        <v/>
      </c>
      <c r="AB261" s="170">
        <f>IF(OR($B261="",AB$4&gt;$P261,EOMONTH(AB$4,0)&lt;$E261),0,MIN($H261,MAX(0,MIN(EOMONTH(AB$4,0),$P261)-MAX(AB$4,$E261)+1)*$J261))</f>
        <v/>
      </c>
      <c r="AC261" s="170">
        <f>IF(OR($B261="",AC$4&gt;$P261,EOMONTH(AC$4,0)&lt;$E261),0,MIN($H261,MAX(0,MIN(EOMONTH(AC$4,0),$P261)-MAX(AC$4,$E261)+1)*$J261))</f>
        <v/>
      </c>
      <c r="AD261" s="170">
        <f>IF(B261="","",ROUND(SUM(R261:AC261),0))</f>
        <v/>
      </c>
      <c r="AE261" s="170">
        <f>IF(B261="","",MIN(H261,ROUND(Q261+SUM(R261:AC261),0)))</f>
        <v/>
      </c>
      <c r="AF261" s="170">
        <f>IF(B261="","",MAX(H261-AE261,0))</f>
        <v/>
      </c>
      <c r="AG261" s="172">
        <f>IF(B261="","",IF('Thiết lập'!$B$4&lt;E261,"Chưa phân bổ",IF(P261&lt;='Thiết lập'!$B$4,"Đã phân bổ","Đang phân bổ")))</f>
        <v/>
      </c>
      <c r="AH261" s="166" t="n"/>
      <c r="AI261" s="174">
        <f>IF(B261="","",IF(AND(C261&lt;&gt;"",D261&lt;&gt;"",E261&lt;&gt;"",E261&gt;=D261,F261&gt;0,G261&gt;0,I261&gt;0,COUNTIF($B$7:$B$306,B261)=1),"OK",IF(C261="","Thiếu tên; ","")&amp;IF(D261="","Thiếu ngày tăng; ","")&amp;IF(E261="","Thiếu ngày bắt đầu; ","")&amp;IF(AND(D261&lt;&gt;"",E261&lt;&gt;"",E261&lt;D261),"Ngày bắt đầu &lt; ngày tăng; ","")&amp;IF(OR(F261="",F261&lt;=0),"Số lượng không hợp lệ; ","")&amp;IF(OR(G261="",G261&lt;=0),"Đơn giá không hợp lệ; ","")&amp;IF(OR(I261="",I261&lt;=0),"Số tháng không hợp lệ; ","")&amp;IF(COUNTIF($B$7:$B$306,B261)&gt;1,"Trùng mã CPTT; ","")))</f>
        <v/>
      </c>
    </row>
    <row r="262" ht="19.5" customHeight="1" s="98">
      <c r="A262" s="164">
        <f>IF(B262="","",ROW()-6)</f>
        <v/>
      </c>
      <c r="B262" s="165" t="n"/>
      <c r="C262" s="166" t="n"/>
      <c r="D262" s="167" t="n"/>
      <c r="E262" s="167" t="n"/>
      <c r="F262" s="168" t="n"/>
      <c r="G262" s="169" t="n"/>
      <c r="H262" s="170">
        <f>IF(OR(F262="",G262=""),"",F262*G262)</f>
        <v/>
      </c>
      <c r="I262" s="171" t="n"/>
      <c r="J262" s="170">
        <f>IF(OR(H262="",E262="",P262=""),"",H262/(P262-E262+1))</f>
        <v/>
      </c>
      <c r="K262" s="165" t="n"/>
      <c r="L262" s="172">
        <f>IF(B262="","",IF(AF262&lt;=0,"Đã phân bổ",IF(P262&lt;=EDATE('Thiết lập'!$B$4,12),"Ngắn hạn","Dài hạn")))</f>
        <v/>
      </c>
      <c r="M262" s="165" t="n"/>
      <c r="N262" s="165" t="n"/>
      <c r="O262" s="165" t="n"/>
      <c r="P262" s="173">
        <f>IF(OR(E262="",I262=""),"",EDATE(E262,I262)-1)</f>
        <v/>
      </c>
      <c r="Q262" s="170">
        <f>IF(OR(B262="",E262="",P262=""),0,MIN(H262,MAX(0,MIN(P262,DATE('Thiết lập'!$B$3-1,12,31))-E262+1)*J262))</f>
        <v/>
      </c>
      <c r="R262" s="170">
        <f>IF(OR($B262="",R$4&gt;$P262,EOMONTH(R$4,0)&lt;$E262),0,MIN($H262,MAX(0,MIN(EOMONTH(R$4,0),$P262)-MAX(R$4,$E262)+1)*$J262))</f>
        <v/>
      </c>
      <c r="S262" s="170">
        <f>IF(OR($B262="",S$4&gt;$P262,EOMONTH(S$4,0)&lt;$E262),0,MIN($H262,MAX(0,MIN(EOMONTH(S$4,0),$P262)-MAX(S$4,$E262)+1)*$J262))</f>
        <v/>
      </c>
      <c r="T262" s="170">
        <f>IF(OR($B262="",T$4&gt;$P262,EOMONTH(T$4,0)&lt;$E262),0,MIN($H262,MAX(0,MIN(EOMONTH(T$4,0),$P262)-MAX(T$4,$E262)+1)*$J262))</f>
        <v/>
      </c>
      <c r="U262" s="170">
        <f>IF(OR($B262="",U$4&gt;$P262,EOMONTH(U$4,0)&lt;$E262),0,MIN($H262,MAX(0,MIN(EOMONTH(U$4,0),$P262)-MAX(U$4,$E262)+1)*$J262))</f>
        <v/>
      </c>
      <c r="V262" s="170">
        <f>IF(OR($B262="",V$4&gt;$P262,EOMONTH(V$4,0)&lt;$E262),0,MIN($H262,MAX(0,MIN(EOMONTH(V$4,0),$P262)-MAX(V$4,$E262)+1)*$J262))</f>
        <v/>
      </c>
      <c r="W262" s="170">
        <f>IF(OR($B262="",W$4&gt;$P262,EOMONTH(W$4,0)&lt;$E262),0,MIN($H262,MAX(0,MIN(EOMONTH(W$4,0),$P262)-MAX(W$4,$E262)+1)*$J262))</f>
        <v/>
      </c>
      <c r="X262" s="170">
        <f>IF(OR($B262="",X$4&gt;$P262,EOMONTH(X$4,0)&lt;$E262),0,MIN($H262,MAX(0,MIN(EOMONTH(X$4,0),$P262)-MAX(X$4,$E262)+1)*$J262))</f>
        <v/>
      </c>
      <c r="Y262" s="170">
        <f>IF(OR($B262="",Y$4&gt;$P262,EOMONTH(Y$4,0)&lt;$E262),0,MIN($H262,MAX(0,MIN(EOMONTH(Y$4,0),$P262)-MAX(Y$4,$E262)+1)*$J262))</f>
        <v/>
      </c>
      <c r="Z262" s="170">
        <f>IF(OR($B262="",Z$4&gt;$P262,EOMONTH(Z$4,0)&lt;$E262),0,MIN($H262,MAX(0,MIN(EOMONTH(Z$4,0),$P262)-MAX(Z$4,$E262)+1)*$J262))</f>
        <v/>
      </c>
      <c r="AA262" s="170">
        <f>IF(OR($B262="",AA$4&gt;$P262,EOMONTH(AA$4,0)&lt;$E262),0,MIN($H262,MAX(0,MIN(EOMONTH(AA$4,0),$P262)-MAX(AA$4,$E262)+1)*$J262))</f>
        <v/>
      </c>
      <c r="AB262" s="170">
        <f>IF(OR($B262="",AB$4&gt;$P262,EOMONTH(AB$4,0)&lt;$E262),0,MIN($H262,MAX(0,MIN(EOMONTH(AB$4,0),$P262)-MAX(AB$4,$E262)+1)*$J262))</f>
        <v/>
      </c>
      <c r="AC262" s="170">
        <f>IF(OR($B262="",AC$4&gt;$P262,EOMONTH(AC$4,0)&lt;$E262),0,MIN($H262,MAX(0,MIN(EOMONTH(AC$4,0),$P262)-MAX(AC$4,$E262)+1)*$J262))</f>
        <v/>
      </c>
      <c r="AD262" s="170">
        <f>IF(B262="","",ROUND(SUM(R262:AC262),0))</f>
        <v/>
      </c>
      <c r="AE262" s="170">
        <f>IF(B262="","",MIN(H262,ROUND(Q262+SUM(R262:AC262),0)))</f>
        <v/>
      </c>
      <c r="AF262" s="170">
        <f>IF(B262="","",MAX(H262-AE262,0))</f>
        <v/>
      </c>
      <c r="AG262" s="172">
        <f>IF(B262="","",IF('Thiết lập'!$B$4&lt;E262,"Chưa phân bổ",IF(P262&lt;='Thiết lập'!$B$4,"Đã phân bổ","Đang phân bổ")))</f>
        <v/>
      </c>
      <c r="AH262" s="166" t="n"/>
      <c r="AI262" s="174">
        <f>IF(B262="","",IF(AND(C262&lt;&gt;"",D262&lt;&gt;"",E262&lt;&gt;"",E262&gt;=D262,F262&gt;0,G262&gt;0,I262&gt;0,COUNTIF($B$7:$B$306,B262)=1),"OK",IF(C262="","Thiếu tên; ","")&amp;IF(D262="","Thiếu ngày tăng; ","")&amp;IF(E262="","Thiếu ngày bắt đầu; ","")&amp;IF(AND(D262&lt;&gt;"",E262&lt;&gt;"",E262&lt;D262),"Ngày bắt đầu &lt; ngày tăng; ","")&amp;IF(OR(F262="",F262&lt;=0),"Số lượng không hợp lệ; ","")&amp;IF(OR(G262="",G262&lt;=0),"Đơn giá không hợp lệ; ","")&amp;IF(OR(I262="",I262&lt;=0),"Số tháng không hợp lệ; ","")&amp;IF(COUNTIF($B$7:$B$306,B262)&gt;1,"Trùng mã CPTT; ","")))</f>
        <v/>
      </c>
    </row>
    <row r="263" ht="19.5" customHeight="1" s="98">
      <c r="A263" s="164">
        <f>IF(B263="","",ROW()-6)</f>
        <v/>
      </c>
      <c r="B263" s="165" t="n"/>
      <c r="C263" s="166" t="n"/>
      <c r="D263" s="167" t="n"/>
      <c r="E263" s="167" t="n"/>
      <c r="F263" s="168" t="n"/>
      <c r="G263" s="169" t="n"/>
      <c r="H263" s="170">
        <f>IF(OR(F263="",G263=""),"",F263*G263)</f>
        <v/>
      </c>
      <c r="I263" s="171" t="n"/>
      <c r="J263" s="170">
        <f>IF(OR(H263="",E263="",P263=""),"",H263/(P263-E263+1))</f>
        <v/>
      </c>
      <c r="K263" s="165" t="n"/>
      <c r="L263" s="172">
        <f>IF(B263="","",IF(AF263&lt;=0,"Đã phân bổ",IF(P263&lt;=EDATE('Thiết lập'!$B$4,12),"Ngắn hạn","Dài hạn")))</f>
        <v/>
      </c>
      <c r="M263" s="165" t="n"/>
      <c r="N263" s="165" t="n"/>
      <c r="O263" s="165" t="n"/>
      <c r="P263" s="173">
        <f>IF(OR(E263="",I263=""),"",EDATE(E263,I263)-1)</f>
        <v/>
      </c>
      <c r="Q263" s="170">
        <f>IF(OR(B263="",E263="",P263=""),0,MIN(H263,MAX(0,MIN(P263,DATE('Thiết lập'!$B$3-1,12,31))-E263+1)*J263))</f>
        <v/>
      </c>
      <c r="R263" s="170">
        <f>IF(OR($B263="",R$4&gt;$P263,EOMONTH(R$4,0)&lt;$E263),0,MIN($H263,MAX(0,MIN(EOMONTH(R$4,0),$P263)-MAX(R$4,$E263)+1)*$J263))</f>
        <v/>
      </c>
      <c r="S263" s="170">
        <f>IF(OR($B263="",S$4&gt;$P263,EOMONTH(S$4,0)&lt;$E263),0,MIN($H263,MAX(0,MIN(EOMONTH(S$4,0),$P263)-MAX(S$4,$E263)+1)*$J263))</f>
        <v/>
      </c>
      <c r="T263" s="170">
        <f>IF(OR($B263="",T$4&gt;$P263,EOMONTH(T$4,0)&lt;$E263),0,MIN($H263,MAX(0,MIN(EOMONTH(T$4,0),$P263)-MAX(T$4,$E263)+1)*$J263))</f>
        <v/>
      </c>
      <c r="U263" s="170">
        <f>IF(OR($B263="",U$4&gt;$P263,EOMONTH(U$4,0)&lt;$E263),0,MIN($H263,MAX(0,MIN(EOMONTH(U$4,0),$P263)-MAX(U$4,$E263)+1)*$J263))</f>
        <v/>
      </c>
      <c r="V263" s="170">
        <f>IF(OR($B263="",V$4&gt;$P263,EOMONTH(V$4,0)&lt;$E263),0,MIN($H263,MAX(0,MIN(EOMONTH(V$4,0),$P263)-MAX(V$4,$E263)+1)*$J263))</f>
        <v/>
      </c>
      <c r="W263" s="170">
        <f>IF(OR($B263="",W$4&gt;$P263,EOMONTH(W$4,0)&lt;$E263),0,MIN($H263,MAX(0,MIN(EOMONTH(W$4,0),$P263)-MAX(W$4,$E263)+1)*$J263))</f>
        <v/>
      </c>
      <c r="X263" s="170">
        <f>IF(OR($B263="",X$4&gt;$P263,EOMONTH(X$4,0)&lt;$E263),0,MIN($H263,MAX(0,MIN(EOMONTH(X$4,0),$P263)-MAX(X$4,$E263)+1)*$J263))</f>
        <v/>
      </c>
      <c r="Y263" s="170">
        <f>IF(OR($B263="",Y$4&gt;$P263,EOMONTH(Y$4,0)&lt;$E263),0,MIN($H263,MAX(0,MIN(EOMONTH(Y$4,0),$P263)-MAX(Y$4,$E263)+1)*$J263))</f>
        <v/>
      </c>
      <c r="Z263" s="170">
        <f>IF(OR($B263="",Z$4&gt;$P263,EOMONTH(Z$4,0)&lt;$E263),0,MIN($H263,MAX(0,MIN(EOMONTH(Z$4,0),$P263)-MAX(Z$4,$E263)+1)*$J263))</f>
        <v/>
      </c>
      <c r="AA263" s="170">
        <f>IF(OR($B263="",AA$4&gt;$P263,EOMONTH(AA$4,0)&lt;$E263),0,MIN($H263,MAX(0,MIN(EOMONTH(AA$4,0),$P263)-MAX(AA$4,$E263)+1)*$J263))</f>
        <v/>
      </c>
      <c r="AB263" s="170">
        <f>IF(OR($B263="",AB$4&gt;$P263,EOMONTH(AB$4,0)&lt;$E263),0,MIN($H263,MAX(0,MIN(EOMONTH(AB$4,0),$P263)-MAX(AB$4,$E263)+1)*$J263))</f>
        <v/>
      </c>
      <c r="AC263" s="170">
        <f>IF(OR($B263="",AC$4&gt;$P263,EOMONTH(AC$4,0)&lt;$E263),0,MIN($H263,MAX(0,MIN(EOMONTH(AC$4,0),$P263)-MAX(AC$4,$E263)+1)*$J263))</f>
        <v/>
      </c>
      <c r="AD263" s="170">
        <f>IF(B263="","",ROUND(SUM(R263:AC263),0))</f>
        <v/>
      </c>
      <c r="AE263" s="170">
        <f>IF(B263="","",MIN(H263,ROUND(Q263+SUM(R263:AC263),0)))</f>
        <v/>
      </c>
      <c r="AF263" s="170">
        <f>IF(B263="","",MAX(H263-AE263,0))</f>
        <v/>
      </c>
      <c r="AG263" s="172">
        <f>IF(B263="","",IF('Thiết lập'!$B$4&lt;E263,"Chưa phân bổ",IF(P263&lt;='Thiết lập'!$B$4,"Đã phân bổ","Đang phân bổ")))</f>
        <v/>
      </c>
      <c r="AH263" s="166" t="n"/>
      <c r="AI263" s="174">
        <f>IF(B263="","",IF(AND(C263&lt;&gt;"",D263&lt;&gt;"",E263&lt;&gt;"",E263&gt;=D263,F263&gt;0,G263&gt;0,I263&gt;0,COUNTIF($B$7:$B$306,B263)=1),"OK",IF(C263="","Thiếu tên; ","")&amp;IF(D263="","Thiếu ngày tăng; ","")&amp;IF(E263="","Thiếu ngày bắt đầu; ","")&amp;IF(AND(D263&lt;&gt;"",E263&lt;&gt;"",E263&lt;D263),"Ngày bắt đầu &lt; ngày tăng; ","")&amp;IF(OR(F263="",F263&lt;=0),"Số lượng không hợp lệ; ","")&amp;IF(OR(G263="",G263&lt;=0),"Đơn giá không hợp lệ; ","")&amp;IF(OR(I263="",I263&lt;=0),"Số tháng không hợp lệ; ","")&amp;IF(COUNTIF($B$7:$B$306,B263)&gt;1,"Trùng mã CPTT; ","")))</f>
        <v/>
      </c>
    </row>
    <row r="264" ht="19.5" customHeight="1" s="98">
      <c r="A264" s="164">
        <f>IF(B264="","",ROW()-6)</f>
        <v/>
      </c>
      <c r="B264" s="165" t="n"/>
      <c r="C264" s="166" t="n"/>
      <c r="D264" s="167" t="n"/>
      <c r="E264" s="167" t="n"/>
      <c r="F264" s="168" t="n"/>
      <c r="G264" s="169" t="n"/>
      <c r="H264" s="170">
        <f>IF(OR(F264="",G264=""),"",F264*G264)</f>
        <v/>
      </c>
      <c r="I264" s="171" t="n"/>
      <c r="J264" s="170">
        <f>IF(OR(H264="",E264="",P264=""),"",H264/(P264-E264+1))</f>
        <v/>
      </c>
      <c r="K264" s="165" t="n"/>
      <c r="L264" s="172">
        <f>IF(B264="","",IF(AF264&lt;=0,"Đã phân bổ",IF(P264&lt;=EDATE('Thiết lập'!$B$4,12),"Ngắn hạn","Dài hạn")))</f>
        <v/>
      </c>
      <c r="M264" s="165" t="n"/>
      <c r="N264" s="165" t="n"/>
      <c r="O264" s="165" t="n"/>
      <c r="P264" s="173">
        <f>IF(OR(E264="",I264=""),"",EDATE(E264,I264)-1)</f>
        <v/>
      </c>
      <c r="Q264" s="170">
        <f>IF(OR(B264="",E264="",P264=""),0,MIN(H264,MAX(0,MIN(P264,DATE('Thiết lập'!$B$3-1,12,31))-E264+1)*J264))</f>
        <v/>
      </c>
      <c r="R264" s="170">
        <f>IF(OR($B264="",R$4&gt;$P264,EOMONTH(R$4,0)&lt;$E264),0,MIN($H264,MAX(0,MIN(EOMONTH(R$4,0),$P264)-MAX(R$4,$E264)+1)*$J264))</f>
        <v/>
      </c>
      <c r="S264" s="170">
        <f>IF(OR($B264="",S$4&gt;$P264,EOMONTH(S$4,0)&lt;$E264),0,MIN($H264,MAX(0,MIN(EOMONTH(S$4,0),$P264)-MAX(S$4,$E264)+1)*$J264))</f>
        <v/>
      </c>
      <c r="T264" s="170">
        <f>IF(OR($B264="",T$4&gt;$P264,EOMONTH(T$4,0)&lt;$E264),0,MIN($H264,MAX(0,MIN(EOMONTH(T$4,0),$P264)-MAX(T$4,$E264)+1)*$J264))</f>
        <v/>
      </c>
      <c r="U264" s="170">
        <f>IF(OR($B264="",U$4&gt;$P264,EOMONTH(U$4,0)&lt;$E264),0,MIN($H264,MAX(0,MIN(EOMONTH(U$4,0),$P264)-MAX(U$4,$E264)+1)*$J264))</f>
        <v/>
      </c>
      <c r="V264" s="170">
        <f>IF(OR($B264="",V$4&gt;$P264,EOMONTH(V$4,0)&lt;$E264),0,MIN($H264,MAX(0,MIN(EOMONTH(V$4,0),$P264)-MAX(V$4,$E264)+1)*$J264))</f>
        <v/>
      </c>
      <c r="W264" s="170">
        <f>IF(OR($B264="",W$4&gt;$P264,EOMONTH(W$4,0)&lt;$E264),0,MIN($H264,MAX(0,MIN(EOMONTH(W$4,0),$P264)-MAX(W$4,$E264)+1)*$J264))</f>
        <v/>
      </c>
      <c r="X264" s="170">
        <f>IF(OR($B264="",X$4&gt;$P264,EOMONTH(X$4,0)&lt;$E264),0,MIN($H264,MAX(0,MIN(EOMONTH(X$4,0),$P264)-MAX(X$4,$E264)+1)*$J264))</f>
        <v/>
      </c>
      <c r="Y264" s="170">
        <f>IF(OR($B264="",Y$4&gt;$P264,EOMONTH(Y$4,0)&lt;$E264),0,MIN($H264,MAX(0,MIN(EOMONTH(Y$4,0),$P264)-MAX(Y$4,$E264)+1)*$J264))</f>
        <v/>
      </c>
      <c r="Z264" s="170">
        <f>IF(OR($B264="",Z$4&gt;$P264,EOMONTH(Z$4,0)&lt;$E264),0,MIN($H264,MAX(0,MIN(EOMONTH(Z$4,0),$P264)-MAX(Z$4,$E264)+1)*$J264))</f>
        <v/>
      </c>
      <c r="AA264" s="170">
        <f>IF(OR($B264="",AA$4&gt;$P264,EOMONTH(AA$4,0)&lt;$E264),0,MIN($H264,MAX(0,MIN(EOMONTH(AA$4,0),$P264)-MAX(AA$4,$E264)+1)*$J264))</f>
        <v/>
      </c>
      <c r="AB264" s="170">
        <f>IF(OR($B264="",AB$4&gt;$P264,EOMONTH(AB$4,0)&lt;$E264),0,MIN($H264,MAX(0,MIN(EOMONTH(AB$4,0),$P264)-MAX(AB$4,$E264)+1)*$J264))</f>
        <v/>
      </c>
      <c r="AC264" s="170">
        <f>IF(OR($B264="",AC$4&gt;$P264,EOMONTH(AC$4,0)&lt;$E264),0,MIN($H264,MAX(0,MIN(EOMONTH(AC$4,0),$P264)-MAX(AC$4,$E264)+1)*$J264))</f>
        <v/>
      </c>
      <c r="AD264" s="170">
        <f>IF(B264="","",ROUND(SUM(R264:AC264),0))</f>
        <v/>
      </c>
      <c r="AE264" s="170">
        <f>IF(B264="","",MIN(H264,ROUND(Q264+SUM(R264:AC264),0)))</f>
        <v/>
      </c>
      <c r="AF264" s="170">
        <f>IF(B264="","",MAX(H264-AE264,0))</f>
        <v/>
      </c>
      <c r="AG264" s="172">
        <f>IF(B264="","",IF('Thiết lập'!$B$4&lt;E264,"Chưa phân bổ",IF(P264&lt;='Thiết lập'!$B$4,"Đã phân bổ","Đang phân bổ")))</f>
        <v/>
      </c>
      <c r="AH264" s="166" t="n"/>
      <c r="AI264" s="174">
        <f>IF(B264="","",IF(AND(C264&lt;&gt;"",D264&lt;&gt;"",E264&lt;&gt;"",E264&gt;=D264,F264&gt;0,G264&gt;0,I264&gt;0,COUNTIF($B$7:$B$306,B264)=1),"OK",IF(C264="","Thiếu tên; ","")&amp;IF(D264="","Thiếu ngày tăng; ","")&amp;IF(E264="","Thiếu ngày bắt đầu; ","")&amp;IF(AND(D264&lt;&gt;"",E264&lt;&gt;"",E264&lt;D264),"Ngày bắt đầu &lt; ngày tăng; ","")&amp;IF(OR(F264="",F264&lt;=0),"Số lượng không hợp lệ; ","")&amp;IF(OR(G264="",G264&lt;=0),"Đơn giá không hợp lệ; ","")&amp;IF(OR(I264="",I264&lt;=0),"Số tháng không hợp lệ; ","")&amp;IF(COUNTIF($B$7:$B$306,B264)&gt;1,"Trùng mã CPTT; ","")))</f>
        <v/>
      </c>
    </row>
    <row r="265" ht="19.5" customHeight="1" s="98">
      <c r="A265" s="164">
        <f>IF(B265="","",ROW()-6)</f>
        <v/>
      </c>
      <c r="B265" s="165" t="n"/>
      <c r="C265" s="166" t="n"/>
      <c r="D265" s="167" t="n"/>
      <c r="E265" s="167" t="n"/>
      <c r="F265" s="168" t="n"/>
      <c r="G265" s="169" t="n"/>
      <c r="H265" s="170">
        <f>IF(OR(F265="",G265=""),"",F265*G265)</f>
        <v/>
      </c>
      <c r="I265" s="171" t="n"/>
      <c r="J265" s="170">
        <f>IF(OR(H265="",E265="",P265=""),"",H265/(P265-E265+1))</f>
        <v/>
      </c>
      <c r="K265" s="165" t="n"/>
      <c r="L265" s="172">
        <f>IF(B265="","",IF(AF265&lt;=0,"Đã phân bổ",IF(P265&lt;=EDATE('Thiết lập'!$B$4,12),"Ngắn hạn","Dài hạn")))</f>
        <v/>
      </c>
      <c r="M265" s="165" t="n"/>
      <c r="N265" s="165" t="n"/>
      <c r="O265" s="165" t="n"/>
      <c r="P265" s="173">
        <f>IF(OR(E265="",I265=""),"",EDATE(E265,I265)-1)</f>
        <v/>
      </c>
      <c r="Q265" s="170">
        <f>IF(OR(B265="",E265="",P265=""),0,MIN(H265,MAX(0,MIN(P265,DATE('Thiết lập'!$B$3-1,12,31))-E265+1)*J265))</f>
        <v/>
      </c>
      <c r="R265" s="170">
        <f>IF(OR($B265="",R$4&gt;$P265,EOMONTH(R$4,0)&lt;$E265),0,MIN($H265,MAX(0,MIN(EOMONTH(R$4,0),$P265)-MAX(R$4,$E265)+1)*$J265))</f>
        <v/>
      </c>
      <c r="S265" s="170">
        <f>IF(OR($B265="",S$4&gt;$P265,EOMONTH(S$4,0)&lt;$E265),0,MIN($H265,MAX(0,MIN(EOMONTH(S$4,0),$P265)-MAX(S$4,$E265)+1)*$J265))</f>
        <v/>
      </c>
      <c r="T265" s="170">
        <f>IF(OR($B265="",T$4&gt;$P265,EOMONTH(T$4,0)&lt;$E265),0,MIN($H265,MAX(0,MIN(EOMONTH(T$4,0),$P265)-MAX(T$4,$E265)+1)*$J265))</f>
        <v/>
      </c>
      <c r="U265" s="170">
        <f>IF(OR($B265="",U$4&gt;$P265,EOMONTH(U$4,0)&lt;$E265),0,MIN($H265,MAX(0,MIN(EOMONTH(U$4,0),$P265)-MAX(U$4,$E265)+1)*$J265))</f>
        <v/>
      </c>
      <c r="V265" s="170">
        <f>IF(OR($B265="",V$4&gt;$P265,EOMONTH(V$4,0)&lt;$E265),0,MIN($H265,MAX(0,MIN(EOMONTH(V$4,0),$P265)-MAX(V$4,$E265)+1)*$J265))</f>
        <v/>
      </c>
      <c r="W265" s="170">
        <f>IF(OR($B265="",W$4&gt;$P265,EOMONTH(W$4,0)&lt;$E265),0,MIN($H265,MAX(0,MIN(EOMONTH(W$4,0),$P265)-MAX(W$4,$E265)+1)*$J265))</f>
        <v/>
      </c>
      <c r="X265" s="170">
        <f>IF(OR($B265="",X$4&gt;$P265,EOMONTH(X$4,0)&lt;$E265),0,MIN($H265,MAX(0,MIN(EOMONTH(X$4,0),$P265)-MAX(X$4,$E265)+1)*$J265))</f>
        <v/>
      </c>
      <c r="Y265" s="170">
        <f>IF(OR($B265="",Y$4&gt;$P265,EOMONTH(Y$4,0)&lt;$E265),0,MIN($H265,MAX(0,MIN(EOMONTH(Y$4,0),$P265)-MAX(Y$4,$E265)+1)*$J265))</f>
        <v/>
      </c>
      <c r="Z265" s="170">
        <f>IF(OR($B265="",Z$4&gt;$P265,EOMONTH(Z$4,0)&lt;$E265),0,MIN($H265,MAX(0,MIN(EOMONTH(Z$4,0),$P265)-MAX(Z$4,$E265)+1)*$J265))</f>
        <v/>
      </c>
      <c r="AA265" s="170">
        <f>IF(OR($B265="",AA$4&gt;$P265,EOMONTH(AA$4,0)&lt;$E265),0,MIN($H265,MAX(0,MIN(EOMONTH(AA$4,0),$P265)-MAX(AA$4,$E265)+1)*$J265))</f>
        <v/>
      </c>
      <c r="AB265" s="170">
        <f>IF(OR($B265="",AB$4&gt;$P265,EOMONTH(AB$4,0)&lt;$E265),0,MIN($H265,MAX(0,MIN(EOMONTH(AB$4,0),$P265)-MAX(AB$4,$E265)+1)*$J265))</f>
        <v/>
      </c>
      <c r="AC265" s="170">
        <f>IF(OR($B265="",AC$4&gt;$P265,EOMONTH(AC$4,0)&lt;$E265),0,MIN($H265,MAX(0,MIN(EOMONTH(AC$4,0),$P265)-MAX(AC$4,$E265)+1)*$J265))</f>
        <v/>
      </c>
      <c r="AD265" s="170">
        <f>IF(B265="","",ROUND(SUM(R265:AC265),0))</f>
        <v/>
      </c>
      <c r="AE265" s="170">
        <f>IF(B265="","",MIN(H265,ROUND(Q265+SUM(R265:AC265),0)))</f>
        <v/>
      </c>
      <c r="AF265" s="170">
        <f>IF(B265="","",MAX(H265-AE265,0))</f>
        <v/>
      </c>
      <c r="AG265" s="172">
        <f>IF(B265="","",IF('Thiết lập'!$B$4&lt;E265,"Chưa phân bổ",IF(P265&lt;='Thiết lập'!$B$4,"Đã phân bổ","Đang phân bổ")))</f>
        <v/>
      </c>
      <c r="AH265" s="166" t="n"/>
      <c r="AI265" s="174">
        <f>IF(B265="","",IF(AND(C265&lt;&gt;"",D265&lt;&gt;"",E265&lt;&gt;"",E265&gt;=D265,F265&gt;0,G265&gt;0,I265&gt;0,COUNTIF($B$7:$B$306,B265)=1),"OK",IF(C265="","Thiếu tên; ","")&amp;IF(D265="","Thiếu ngày tăng; ","")&amp;IF(E265="","Thiếu ngày bắt đầu; ","")&amp;IF(AND(D265&lt;&gt;"",E265&lt;&gt;"",E265&lt;D265),"Ngày bắt đầu &lt; ngày tăng; ","")&amp;IF(OR(F265="",F265&lt;=0),"Số lượng không hợp lệ; ","")&amp;IF(OR(G265="",G265&lt;=0),"Đơn giá không hợp lệ; ","")&amp;IF(OR(I265="",I265&lt;=0),"Số tháng không hợp lệ; ","")&amp;IF(COUNTIF($B$7:$B$306,B265)&gt;1,"Trùng mã CPTT; ","")))</f>
        <v/>
      </c>
    </row>
    <row r="266" ht="19.5" customHeight="1" s="98">
      <c r="A266" s="164">
        <f>IF(B266="","",ROW()-6)</f>
        <v/>
      </c>
      <c r="B266" s="165" t="n"/>
      <c r="C266" s="166" t="n"/>
      <c r="D266" s="167" t="n"/>
      <c r="E266" s="167" t="n"/>
      <c r="F266" s="168" t="n"/>
      <c r="G266" s="169" t="n"/>
      <c r="H266" s="170">
        <f>IF(OR(F266="",G266=""),"",F266*G266)</f>
        <v/>
      </c>
      <c r="I266" s="171" t="n"/>
      <c r="J266" s="170">
        <f>IF(OR(H266="",E266="",P266=""),"",H266/(P266-E266+1))</f>
        <v/>
      </c>
      <c r="K266" s="165" t="n"/>
      <c r="L266" s="172">
        <f>IF(B266="","",IF(AF266&lt;=0,"Đã phân bổ",IF(P266&lt;=EDATE('Thiết lập'!$B$4,12),"Ngắn hạn","Dài hạn")))</f>
        <v/>
      </c>
      <c r="M266" s="165" t="n"/>
      <c r="N266" s="165" t="n"/>
      <c r="O266" s="165" t="n"/>
      <c r="P266" s="173">
        <f>IF(OR(E266="",I266=""),"",EDATE(E266,I266)-1)</f>
        <v/>
      </c>
      <c r="Q266" s="170">
        <f>IF(OR(B266="",E266="",P266=""),0,MIN(H266,MAX(0,MIN(P266,DATE('Thiết lập'!$B$3-1,12,31))-E266+1)*J266))</f>
        <v/>
      </c>
      <c r="R266" s="170">
        <f>IF(OR($B266="",R$4&gt;$P266,EOMONTH(R$4,0)&lt;$E266),0,MIN($H266,MAX(0,MIN(EOMONTH(R$4,0),$P266)-MAX(R$4,$E266)+1)*$J266))</f>
        <v/>
      </c>
      <c r="S266" s="170">
        <f>IF(OR($B266="",S$4&gt;$P266,EOMONTH(S$4,0)&lt;$E266),0,MIN($H266,MAX(0,MIN(EOMONTH(S$4,0),$P266)-MAX(S$4,$E266)+1)*$J266))</f>
        <v/>
      </c>
      <c r="T266" s="170">
        <f>IF(OR($B266="",T$4&gt;$P266,EOMONTH(T$4,0)&lt;$E266),0,MIN($H266,MAX(0,MIN(EOMONTH(T$4,0),$P266)-MAX(T$4,$E266)+1)*$J266))</f>
        <v/>
      </c>
      <c r="U266" s="170">
        <f>IF(OR($B266="",U$4&gt;$P266,EOMONTH(U$4,0)&lt;$E266),0,MIN($H266,MAX(0,MIN(EOMONTH(U$4,0),$P266)-MAX(U$4,$E266)+1)*$J266))</f>
        <v/>
      </c>
      <c r="V266" s="170">
        <f>IF(OR($B266="",V$4&gt;$P266,EOMONTH(V$4,0)&lt;$E266),0,MIN($H266,MAX(0,MIN(EOMONTH(V$4,0),$P266)-MAX(V$4,$E266)+1)*$J266))</f>
        <v/>
      </c>
      <c r="W266" s="170">
        <f>IF(OR($B266="",W$4&gt;$P266,EOMONTH(W$4,0)&lt;$E266),0,MIN($H266,MAX(0,MIN(EOMONTH(W$4,0),$P266)-MAX(W$4,$E266)+1)*$J266))</f>
        <v/>
      </c>
      <c r="X266" s="170">
        <f>IF(OR($B266="",X$4&gt;$P266,EOMONTH(X$4,0)&lt;$E266),0,MIN($H266,MAX(0,MIN(EOMONTH(X$4,0),$P266)-MAX(X$4,$E266)+1)*$J266))</f>
        <v/>
      </c>
      <c r="Y266" s="170">
        <f>IF(OR($B266="",Y$4&gt;$P266,EOMONTH(Y$4,0)&lt;$E266),0,MIN($H266,MAX(0,MIN(EOMONTH(Y$4,0),$P266)-MAX(Y$4,$E266)+1)*$J266))</f>
        <v/>
      </c>
      <c r="Z266" s="170">
        <f>IF(OR($B266="",Z$4&gt;$P266,EOMONTH(Z$4,0)&lt;$E266),0,MIN($H266,MAX(0,MIN(EOMONTH(Z$4,0),$P266)-MAX(Z$4,$E266)+1)*$J266))</f>
        <v/>
      </c>
      <c r="AA266" s="170">
        <f>IF(OR($B266="",AA$4&gt;$P266,EOMONTH(AA$4,0)&lt;$E266),0,MIN($H266,MAX(0,MIN(EOMONTH(AA$4,0),$P266)-MAX(AA$4,$E266)+1)*$J266))</f>
        <v/>
      </c>
      <c r="AB266" s="170">
        <f>IF(OR($B266="",AB$4&gt;$P266,EOMONTH(AB$4,0)&lt;$E266),0,MIN($H266,MAX(0,MIN(EOMONTH(AB$4,0),$P266)-MAX(AB$4,$E266)+1)*$J266))</f>
        <v/>
      </c>
      <c r="AC266" s="170">
        <f>IF(OR($B266="",AC$4&gt;$P266,EOMONTH(AC$4,0)&lt;$E266),0,MIN($H266,MAX(0,MIN(EOMONTH(AC$4,0),$P266)-MAX(AC$4,$E266)+1)*$J266))</f>
        <v/>
      </c>
      <c r="AD266" s="170">
        <f>IF(B266="","",ROUND(SUM(R266:AC266),0))</f>
        <v/>
      </c>
      <c r="AE266" s="170">
        <f>IF(B266="","",MIN(H266,ROUND(Q266+SUM(R266:AC266),0)))</f>
        <v/>
      </c>
      <c r="AF266" s="170">
        <f>IF(B266="","",MAX(H266-AE266,0))</f>
        <v/>
      </c>
      <c r="AG266" s="172">
        <f>IF(B266="","",IF('Thiết lập'!$B$4&lt;E266,"Chưa phân bổ",IF(P266&lt;='Thiết lập'!$B$4,"Đã phân bổ","Đang phân bổ")))</f>
        <v/>
      </c>
      <c r="AH266" s="166" t="n"/>
      <c r="AI266" s="174">
        <f>IF(B266="","",IF(AND(C266&lt;&gt;"",D266&lt;&gt;"",E266&lt;&gt;"",E266&gt;=D266,F266&gt;0,G266&gt;0,I266&gt;0,COUNTIF($B$7:$B$306,B266)=1),"OK",IF(C266="","Thiếu tên; ","")&amp;IF(D266="","Thiếu ngày tăng; ","")&amp;IF(E266="","Thiếu ngày bắt đầu; ","")&amp;IF(AND(D266&lt;&gt;"",E266&lt;&gt;"",E266&lt;D266),"Ngày bắt đầu &lt; ngày tăng; ","")&amp;IF(OR(F266="",F266&lt;=0),"Số lượng không hợp lệ; ","")&amp;IF(OR(G266="",G266&lt;=0),"Đơn giá không hợp lệ; ","")&amp;IF(OR(I266="",I266&lt;=0),"Số tháng không hợp lệ; ","")&amp;IF(COUNTIF($B$7:$B$306,B266)&gt;1,"Trùng mã CPTT; ","")))</f>
        <v/>
      </c>
    </row>
    <row r="267" ht="19.5" customHeight="1" s="98">
      <c r="A267" s="164">
        <f>IF(B267="","",ROW()-6)</f>
        <v/>
      </c>
      <c r="B267" s="165" t="n"/>
      <c r="C267" s="166" t="n"/>
      <c r="D267" s="167" t="n"/>
      <c r="E267" s="167" t="n"/>
      <c r="F267" s="168" t="n"/>
      <c r="G267" s="169" t="n"/>
      <c r="H267" s="170">
        <f>IF(OR(F267="",G267=""),"",F267*G267)</f>
        <v/>
      </c>
      <c r="I267" s="171" t="n"/>
      <c r="J267" s="170">
        <f>IF(OR(H267="",E267="",P267=""),"",H267/(P267-E267+1))</f>
        <v/>
      </c>
      <c r="K267" s="165" t="n"/>
      <c r="L267" s="172">
        <f>IF(B267="","",IF(AF267&lt;=0,"Đã phân bổ",IF(P267&lt;=EDATE('Thiết lập'!$B$4,12),"Ngắn hạn","Dài hạn")))</f>
        <v/>
      </c>
      <c r="M267" s="165" t="n"/>
      <c r="N267" s="165" t="n"/>
      <c r="O267" s="165" t="n"/>
      <c r="P267" s="173">
        <f>IF(OR(E267="",I267=""),"",EDATE(E267,I267)-1)</f>
        <v/>
      </c>
      <c r="Q267" s="170">
        <f>IF(OR(B267="",E267="",P267=""),0,MIN(H267,MAX(0,MIN(P267,DATE('Thiết lập'!$B$3-1,12,31))-E267+1)*J267))</f>
        <v/>
      </c>
      <c r="R267" s="170">
        <f>IF(OR($B267="",R$4&gt;$P267,EOMONTH(R$4,0)&lt;$E267),0,MIN($H267,MAX(0,MIN(EOMONTH(R$4,0),$P267)-MAX(R$4,$E267)+1)*$J267))</f>
        <v/>
      </c>
      <c r="S267" s="170">
        <f>IF(OR($B267="",S$4&gt;$P267,EOMONTH(S$4,0)&lt;$E267),0,MIN($H267,MAX(0,MIN(EOMONTH(S$4,0),$P267)-MAX(S$4,$E267)+1)*$J267))</f>
        <v/>
      </c>
      <c r="T267" s="170">
        <f>IF(OR($B267="",T$4&gt;$P267,EOMONTH(T$4,0)&lt;$E267),0,MIN($H267,MAX(0,MIN(EOMONTH(T$4,0),$P267)-MAX(T$4,$E267)+1)*$J267))</f>
        <v/>
      </c>
      <c r="U267" s="170">
        <f>IF(OR($B267="",U$4&gt;$P267,EOMONTH(U$4,0)&lt;$E267),0,MIN($H267,MAX(0,MIN(EOMONTH(U$4,0),$P267)-MAX(U$4,$E267)+1)*$J267))</f>
        <v/>
      </c>
      <c r="V267" s="170">
        <f>IF(OR($B267="",V$4&gt;$P267,EOMONTH(V$4,0)&lt;$E267),0,MIN($H267,MAX(0,MIN(EOMONTH(V$4,0),$P267)-MAX(V$4,$E267)+1)*$J267))</f>
        <v/>
      </c>
      <c r="W267" s="170">
        <f>IF(OR($B267="",W$4&gt;$P267,EOMONTH(W$4,0)&lt;$E267),0,MIN($H267,MAX(0,MIN(EOMONTH(W$4,0),$P267)-MAX(W$4,$E267)+1)*$J267))</f>
        <v/>
      </c>
      <c r="X267" s="170">
        <f>IF(OR($B267="",X$4&gt;$P267,EOMONTH(X$4,0)&lt;$E267),0,MIN($H267,MAX(0,MIN(EOMONTH(X$4,0),$P267)-MAX(X$4,$E267)+1)*$J267))</f>
        <v/>
      </c>
      <c r="Y267" s="170">
        <f>IF(OR($B267="",Y$4&gt;$P267,EOMONTH(Y$4,0)&lt;$E267),0,MIN($H267,MAX(0,MIN(EOMONTH(Y$4,0),$P267)-MAX(Y$4,$E267)+1)*$J267))</f>
        <v/>
      </c>
      <c r="Z267" s="170">
        <f>IF(OR($B267="",Z$4&gt;$P267,EOMONTH(Z$4,0)&lt;$E267),0,MIN($H267,MAX(0,MIN(EOMONTH(Z$4,0),$P267)-MAX(Z$4,$E267)+1)*$J267))</f>
        <v/>
      </c>
      <c r="AA267" s="170">
        <f>IF(OR($B267="",AA$4&gt;$P267,EOMONTH(AA$4,0)&lt;$E267),0,MIN($H267,MAX(0,MIN(EOMONTH(AA$4,0),$P267)-MAX(AA$4,$E267)+1)*$J267))</f>
        <v/>
      </c>
      <c r="AB267" s="170">
        <f>IF(OR($B267="",AB$4&gt;$P267,EOMONTH(AB$4,0)&lt;$E267),0,MIN($H267,MAX(0,MIN(EOMONTH(AB$4,0),$P267)-MAX(AB$4,$E267)+1)*$J267))</f>
        <v/>
      </c>
      <c r="AC267" s="170">
        <f>IF(OR($B267="",AC$4&gt;$P267,EOMONTH(AC$4,0)&lt;$E267),0,MIN($H267,MAX(0,MIN(EOMONTH(AC$4,0),$P267)-MAX(AC$4,$E267)+1)*$J267))</f>
        <v/>
      </c>
      <c r="AD267" s="170">
        <f>IF(B267="","",ROUND(SUM(R267:AC267),0))</f>
        <v/>
      </c>
      <c r="AE267" s="170">
        <f>IF(B267="","",MIN(H267,ROUND(Q267+SUM(R267:AC267),0)))</f>
        <v/>
      </c>
      <c r="AF267" s="170">
        <f>IF(B267="","",MAX(H267-AE267,0))</f>
        <v/>
      </c>
      <c r="AG267" s="172">
        <f>IF(B267="","",IF('Thiết lập'!$B$4&lt;E267,"Chưa phân bổ",IF(P267&lt;='Thiết lập'!$B$4,"Đã phân bổ","Đang phân bổ")))</f>
        <v/>
      </c>
      <c r="AH267" s="166" t="n"/>
      <c r="AI267" s="174">
        <f>IF(B267="","",IF(AND(C267&lt;&gt;"",D267&lt;&gt;"",E267&lt;&gt;"",E267&gt;=D267,F267&gt;0,G267&gt;0,I267&gt;0,COUNTIF($B$7:$B$306,B267)=1),"OK",IF(C267="","Thiếu tên; ","")&amp;IF(D267="","Thiếu ngày tăng; ","")&amp;IF(E267="","Thiếu ngày bắt đầu; ","")&amp;IF(AND(D267&lt;&gt;"",E267&lt;&gt;"",E267&lt;D267),"Ngày bắt đầu &lt; ngày tăng; ","")&amp;IF(OR(F267="",F267&lt;=0),"Số lượng không hợp lệ; ","")&amp;IF(OR(G267="",G267&lt;=0),"Đơn giá không hợp lệ; ","")&amp;IF(OR(I267="",I267&lt;=0),"Số tháng không hợp lệ; ","")&amp;IF(COUNTIF($B$7:$B$306,B267)&gt;1,"Trùng mã CPTT; ","")))</f>
        <v/>
      </c>
    </row>
    <row r="268" ht="19.5" customHeight="1" s="98">
      <c r="A268" s="164">
        <f>IF(B268="","",ROW()-6)</f>
        <v/>
      </c>
      <c r="B268" s="165" t="n"/>
      <c r="C268" s="166" t="n"/>
      <c r="D268" s="167" t="n"/>
      <c r="E268" s="167" t="n"/>
      <c r="F268" s="168" t="n"/>
      <c r="G268" s="169" t="n"/>
      <c r="H268" s="170">
        <f>IF(OR(F268="",G268=""),"",F268*G268)</f>
        <v/>
      </c>
      <c r="I268" s="171" t="n"/>
      <c r="J268" s="170">
        <f>IF(OR(H268="",E268="",P268=""),"",H268/(P268-E268+1))</f>
        <v/>
      </c>
      <c r="K268" s="165" t="n"/>
      <c r="L268" s="172">
        <f>IF(B268="","",IF(AF268&lt;=0,"Đã phân bổ",IF(P268&lt;=EDATE('Thiết lập'!$B$4,12),"Ngắn hạn","Dài hạn")))</f>
        <v/>
      </c>
      <c r="M268" s="165" t="n"/>
      <c r="N268" s="165" t="n"/>
      <c r="O268" s="165" t="n"/>
      <c r="P268" s="173">
        <f>IF(OR(E268="",I268=""),"",EDATE(E268,I268)-1)</f>
        <v/>
      </c>
      <c r="Q268" s="170">
        <f>IF(OR(B268="",E268="",P268=""),0,MIN(H268,MAX(0,MIN(P268,DATE('Thiết lập'!$B$3-1,12,31))-E268+1)*J268))</f>
        <v/>
      </c>
      <c r="R268" s="170">
        <f>IF(OR($B268="",R$4&gt;$P268,EOMONTH(R$4,0)&lt;$E268),0,MIN($H268,MAX(0,MIN(EOMONTH(R$4,0),$P268)-MAX(R$4,$E268)+1)*$J268))</f>
        <v/>
      </c>
      <c r="S268" s="170">
        <f>IF(OR($B268="",S$4&gt;$P268,EOMONTH(S$4,0)&lt;$E268),0,MIN($H268,MAX(0,MIN(EOMONTH(S$4,0),$P268)-MAX(S$4,$E268)+1)*$J268))</f>
        <v/>
      </c>
      <c r="T268" s="170">
        <f>IF(OR($B268="",T$4&gt;$P268,EOMONTH(T$4,0)&lt;$E268),0,MIN($H268,MAX(0,MIN(EOMONTH(T$4,0),$P268)-MAX(T$4,$E268)+1)*$J268))</f>
        <v/>
      </c>
      <c r="U268" s="170">
        <f>IF(OR($B268="",U$4&gt;$P268,EOMONTH(U$4,0)&lt;$E268),0,MIN($H268,MAX(0,MIN(EOMONTH(U$4,0),$P268)-MAX(U$4,$E268)+1)*$J268))</f>
        <v/>
      </c>
      <c r="V268" s="170">
        <f>IF(OR($B268="",V$4&gt;$P268,EOMONTH(V$4,0)&lt;$E268),0,MIN($H268,MAX(0,MIN(EOMONTH(V$4,0),$P268)-MAX(V$4,$E268)+1)*$J268))</f>
        <v/>
      </c>
      <c r="W268" s="170">
        <f>IF(OR($B268="",W$4&gt;$P268,EOMONTH(W$4,0)&lt;$E268),0,MIN($H268,MAX(0,MIN(EOMONTH(W$4,0),$P268)-MAX(W$4,$E268)+1)*$J268))</f>
        <v/>
      </c>
      <c r="X268" s="170">
        <f>IF(OR($B268="",X$4&gt;$P268,EOMONTH(X$4,0)&lt;$E268),0,MIN($H268,MAX(0,MIN(EOMONTH(X$4,0),$P268)-MAX(X$4,$E268)+1)*$J268))</f>
        <v/>
      </c>
      <c r="Y268" s="170">
        <f>IF(OR($B268="",Y$4&gt;$P268,EOMONTH(Y$4,0)&lt;$E268),0,MIN($H268,MAX(0,MIN(EOMONTH(Y$4,0),$P268)-MAX(Y$4,$E268)+1)*$J268))</f>
        <v/>
      </c>
      <c r="Z268" s="170">
        <f>IF(OR($B268="",Z$4&gt;$P268,EOMONTH(Z$4,0)&lt;$E268),0,MIN($H268,MAX(0,MIN(EOMONTH(Z$4,0),$P268)-MAX(Z$4,$E268)+1)*$J268))</f>
        <v/>
      </c>
      <c r="AA268" s="170">
        <f>IF(OR($B268="",AA$4&gt;$P268,EOMONTH(AA$4,0)&lt;$E268),0,MIN($H268,MAX(0,MIN(EOMONTH(AA$4,0),$P268)-MAX(AA$4,$E268)+1)*$J268))</f>
        <v/>
      </c>
      <c r="AB268" s="170">
        <f>IF(OR($B268="",AB$4&gt;$P268,EOMONTH(AB$4,0)&lt;$E268),0,MIN($H268,MAX(0,MIN(EOMONTH(AB$4,0),$P268)-MAX(AB$4,$E268)+1)*$J268))</f>
        <v/>
      </c>
      <c r="AC268" s="170">
        <f>IF(OR($B268="",AC$4&gt;$P268,EOMONTH(AC$4,0)&lt;$E268),0,MIN($H268,MAX(0,MIN(EOMONTH(AC$4,0),$P268)-MAX(AC$4,$E268)+1)*$J268))</f>
        <v/>
      </c>
      <c r="AD268" s="170">
        <f>IF(B268="","",ROUND(SUM(R268:AC268),0))</f>
        <v/>
      </c>
      <c r="AE268" s="170">
        <f>IF(B268="","",MIN(H268,ROUND(Q268+SUM(R268:AC268),0)))</f>
        <v/>
      </c>
      <c r="AF268" s="170">
        <f>IF(B268="","",MAX(H268-AE268,0))</f>
        <v/>
      </c>
      <c r="AG268" s="172">
        <f>IF(B268="","",IF('Thiết lập'!$B$4&lt;E268,"Chưa phân bổ",IF(P268&lt;='Thiết lập'!$B$4,"Đã phân bổ","Đang phân bổ")))</f>
        <v/>
      </c>
      <c r="AH268" s="166" t="n"/>
      <c r="AI268" s="174">
        <f>IF(B268="","",IF(AND(C268&lt;&gt;"",D268&lt;&gt;"",E268&lt;&gt;"",E268&gt;=D268,F268&gt;0,G268&gt;0,I268&gt;0,COUNTIF($B$7:$B$306,B268)=1),"OK",IF(C268="","Thiếu tên; ","")&amp;IF(D268="","Thiếu ngày tăng; ","")&amp;IF(E268="","Thiếu ngày bắt đầu; ","")&amp;IF(AND(D268&lt;&gt;"",E268&lt;&gt;"",E268&lt;D268),"Ngày bắt đầu &lt; ngày tăng; ","")&amp;IF(OR(F268="",F268&lt;=0),"Số lượng không hợp lệ; ","")&amp;IF(OR(G268="",G268&lt;=0),"Đơn giá không hợp lệ; ","")&amp;IF(OR(I268="",I268&lt;=0),"Số tháng không hợp lệ; ","")&amp;IF(COUNTIF($B$7:$B$306,B268)&gt;1,"Trùng mã CPTT; ","")))</f>
        <v/>
      </c>
    </row>
    <row r="269" ht="19.5" customHeight="1" s="98">
      <c r="A269" s="164">
        <f>IF(B269="","",ROW()-6)</f>
        <v/>
      </c>
      <c r="B269" s="165" t="n"/>
      <c r="C269" s="166" t="n"/>
      <c r="D269" s="167" t="n"/>
      <c r="E269" s="167" t="n"/>
      <c r="F269" s="168" t="n"/>
      <c r="G269" s="169" t="n"/>
      <c r="H269" s="170">
        <f>IF(OR(F269="",G269=""),"",F269*G269)</f>
        <v/>
      </c>
      <c r="I269" s="171" t="n"/>
      <c r="J269" s="170">
        <f>IF(OR(H269="",E269="",P269=""),"",H269/(P269-E269+1))</f>
        <v/>
      </c>
      <c r="K269" s="165" t="n"/>
      <c r="L269" s="172">
        <f>IF(B269="","",IF(AF269&lt;=0,"Đã phân bổ",IF(P269&lt;=EDATE('Thiết lập'!$B$4,12),"Ngắn hạn","Dài hạn")))</f>
        <v/>
      </c>
      <c r="M269" s="165" t="n"/>
      <c r="N269" s="165" t="n"/>
      <c r="O269" s="165" t="n"/>
      <c r="P269" s="173">
        <f>IF(OR(E269="",I269=""),"",EDATE(E269,I269)-1)</f>
        <v/>
      </c>
      <c r="Q269" s="170">
        <f>IF(OR(B269="",E269="",P269=""),0,MIN(H269,MAX(0,MIN(P269,DATE('Thiết lập'!$B$3-1,12,31))-E269+1)*J269))</f>
        <v/>
      </c>
      <c r="R269" s="170">
        <f>IF(OR($B269="",R$4&gt;$P269,EOMONTH(R$4,0)&lt;$E269),0,MIN($H269,MAX(0,MIN(EOMONTH(R$4,0),$P269)-MAX(R$4,$E269)+1)*$J269))</f>
        <v/>
      </c>
      <c r="S269" s="170">
        <f>IF(OR($B269="",S$4&gt;$P269,EOMONTH(S$4,0)&lt;$E269),0,MIN($H269,MAX(0,MIN(EOMONTH(S$4,0),$P269)-MAX(S$4,$E269)+1)*$J269))</f>
        <v/>
      </c>
      <c r="T269" s="170">
        <f>IF(OR($B269="",T$4&gt;$P269,EOMONTH(T$4,0)&lt;$E269),0,MIN($H269,MAX(0,MIN(EOMONTH(T$4,0),$P269)-MAX(T$4,$E269)+1)*$J269))</f>
        <v/>
      </c>
      <c r="U269" s="170">
        <f>IF(OR($B269="",U$4&gt;$P269,EOMONTH(U$4,0)&lt;$E269),0,MIN($H269,MAX(0,MIN(EOMONTH(U$4,0),$P269)-MAX(U$4,$E269)+1)*$J269))</f>
        <v/>
      </c>
      <c r="V269" s="170">
        <f>IF(OR($B269="",V$4&gt;$P269,EOMONTH(V$4,0)&lt;$E269),0,MIN($H269,MAX(0,MIN(EOMONTH(V$4,0),$P269)-MAX(V$4,$E269)+1)*$J269))</f>
        <v/>
      </c>
      <c r="W269" s="170">
        <f>IF(OR($B269="",W$4&gt;$P269,EOMONTH(W$4,0)&lt;$E269),0,MIN($H269,MAX(0,MIN(EOMONTH(W$4,0),$P269)-MAX(W$4,$E269)+1)*$J269))</f>
        <v/>
      </c>
      <c r="X269" s="170">
        <f>IF(OR($B269="",X$4&gt;$P269,EOMONTH(X$4,0)&lt;$E269),0,MIN($H269,MAX(0,MIN(EOMONTH(X$4,0),$P269)-MAX(X$4,$E269)+1)*$J269))</f>
        <v/>
      </c>
      <c r="Y269" s="170">
        <f>IF(OR($B269="",Y$4&gt;$P269,EOMONTH(Y$4,0)&lt;$E269),0,MIN($H269,MAX(0,MIN(EOMONTH(Y$4,0),$P269)-MAX(Y$4,$E269)+1)*$J269))</f>
        <v/>
      </c>
      <c r="Z269" s="170">
        <f>IF(OR($B269="",Z$4&gt;$P269,EOMONTH(Z$4,0)&lt;$E269),0,MIN($H269,MAX(0,MIN(EOMONTH(Z$4,0),$P269)-MAX(Z$4,$E269)+1)*$J269))</f>
        <v/>
      </c>
      <c r="AA269" s="170">
        <f>IF(OR($B269="",AA$4&gt;$P269,EOMONTH(AA$4,0)&lt;$E269),0,MIN($H269,MAX(0,MIN(EOMONTH(AA$4,0),$P269)-MAX(AA$4,$E269)+1)*$J269))</f>
        <v/>
      </c>
      <c r="AB269" s="170">
        <f>IF(OR($B269="",AB$4&gt;$P269,EOMONTH(AB$4,0)&lt;$E269),0,MIN($H269,MAX(0,MIN(EOMONTH(AB$4,0),$P269)-MAX(AB$4,$E269)+1)*$J269))</f>
        <v/>
      </c>
      <c r="AC269" s="170">
        <f>IF(OR($B269="",AC$4&gt;$P269,EOMONTH(AC$4,0)&lt;$E269),0,MIN($H269,MAX(0,MIN(EOMONTH(AC$4,0),$P269)-MAX(AC$4,$E269)+1)*$J269))</f>
        <v/>
      </c>
      <c r="AD269" s="170">
        <f>IF(B269="","",ROUND(SUM(R269:AC269),0))</f>
        <v/>
      </c>
      <c r="AE269" s="170">
        <f>IF(B269="","",MIN(H269,ROUND(Q269+SUM(R269:AC269),0)))</f>
        <v/>
      </c>
      <c r="AF269" s="170">
        <f>IF(B269="","",MAX(H269-AE269,0))</f>
        <v/>
      </c>
      <c r="AG269" s="172">
        <f>IF(B269="","",IF('Thiết lập'!$B$4&lt;E269,"Chưa phân bổ",IF(P269&lt;='Thiết lập'!$B$4,"Đã phân bổ","Đang phân bổ")))</f>
        <v/>
      </c>
      <c r="AH269" s="166" t="n"/>
      <c r="AI269" s="174">
        <f>IF(B269="","",IF(AND(C269&lt;&gt;"",D269&lt;&gt;"",E269&lt;&gt;"",E269&gt;=D269,F269&gt;0,G269&gt;0,I269&gt;0,COUNTIF($B$7:$B$306,B269)=1),"OK",IF(C269="","Thiếu tên; ","")&amp;IF(D269="","Thiếu ngày tăng; ","")&amp;IF(E269="","Thiếu ngày bắt đầu; ","")&amp;IF(AND(D269&lt;&gt;"",E269&lt;&gt;"",E269&lt;D269),"Ngày bắt đầu &lt; ngày tăng; ","")&amp;IF(OR(F269="",F269&lt;=0),"Số lượng không hợp lệ; ","")&amp;IF(OR(G269="",G269&lt;=0),"Đơn giá không hợp lệ; ","")&amp;IF(OR(I269="",I269&lt;=0),"Số tháng không hợp lệ; ","")&amp;IF(COUNTIF($B$7:$B$306,B269)&gt;1,"Trùng mã CPTT; ","")))</f>
        <v/>
      </c>
    </row>
    <row r="270" ht="19.5" customHeight="1" s="98">
      <c r="A270" s="164">
        <f>IF(B270="","",ROW()-6)</f>
        <v/>
      </c>
      <c r="B270" s="165" t="n"/>
      <c r="C270" s="166" t="n"/>
      <c r="D270" s="167" t="n"/>
      <c r="E270" s="167" t="n"/>
      <c r="F270" s="168" t="n"/>
      <c r="G270" s="169" t="n"/>
      <c r="H270" s="170">
        <f>IF(OR(F270="",G270=""),"",F270*G270)</f>
        <v/>
      </c>
      <c r="I270" s="171" t="n"/>
      <c r="J270" s="170">
        <f>IF(OR(H270="",E270="",P270=""),"",H270/(P270-E270+1))</f>
        <v/>
      </c>
      <c r="K270" s="165" t="n"/>
      <c r="L270" s="172">
        <f>IF(B270="","",IF(AF270&lt;=0,"Đã phân bổ",IF(P270&lt;=EDATE('Thiết lập'!$B$4,12),"Ngắn hạn","Dài hạn")))</f>
        <v/>
      </c>
      <c r="M270" s="165" t="n"/>
      <c r="N270" s="165" t="n"/>
      <c r="O270" s="165" t="n"/>
      <c r="P270" s="173">
        <f>IF(OR(E270="",I270=""),"",EDATE(E270,I270)-1)</f>
        <v/>
      </c>
      <c r="Q270" s="170">
        <f>IF(OR(B270="",E270="",P270=""),0,MIN(H270,MAX(0,MIN(P270,DATE('Thiết lập'!$B$3-1,12,31))-E270+1)*J270))</f>
        <v/>
      </c>
      <c r="R270" s="170">
        <f>IF(OR($B270="",R$4&gt;$P270,EOMONTH(R$4,0)&lt;$E270),0,MIN($H270,MAX(0,MIN(EOMONTH(R$4,0),$P270)-MAX(R$4,$E270)+1)*$J270))</f>
        <v/>
      </c>
      <c r="S270" s="170">
        <f>IF(OR($B270="",S$4&gt;$P270,EOMONTH(S$4,0)&lt;$E270),0,MIN($H270,MAX(0,MIN(EOMONTH(S$4,0),$P270)-MAX(S$4,$E270)+1)*$J270))</f>
        <v/>
      </c>
      <c r="T270" s="170">
        <f>IF(OR($B270="",T$4&gt;$P270,EOMONTH(T$4,0)&lt;$E270),0,MIN($H270,MAX(0,MIN(EOMONTH(T$4,0),$P270)-MAX(T$4,$E270)+1)*$J270))</f>
        <v/>
      </c>
      <c r="U270" s="170">
        <f>IF(OR($B270="",U$4&gt;$P270,EOMONTH(U$4,0)&lt;$E270),0,MIN($H270,MAX(0,MIN(EOMONTH(U$4,0),$P270)-MAX(U$4,$E270)+1)*$J270))</f>
        <v/>
      </c>
      <c r="V270" s="170">
        <f>IF(OR($B270="",V$4&gt;$P270,EOMONTH(V$4,0)&lt;$E270),0,MIN($H270,MAX(0,MIN(EOMONTH(V$4,0),$P270)-MAX(V$4,$E270)+1)*$J270))</f>
        <v/>
      </c>
      <c r="W270" s="170">
        <f>IF(OR($B270="",W$4&gt;$P270,EOMONTH(W$4,0)&lt;$E270),0,MIN($H270,MAX(0,MIN(EOMONTH(W$4,0),$P270)-MAX(W$4,$E270)+1)*$J270))</f>
        <v/>
      </c>
      <c r="X270" s="170">
        <f>IF(OR($B270="",X$4&gt;$P270,EOMONTH(X$4,0)&lt;$E270),0,MIN($H270,MAX(0,MIN(EOMONTH(X$4,0),$P270)-MAX(X$4,$E270)+1)*$J270))</f>
        <v/>
      </c>
      <c r="Y270" s="170">
        <f>IF(OR($B270="",Y$4&gt;$P270,EOMONTH(Y$4,0)&lt;$E270),0,MIN($H270,MAX(0,MIN(EOMONTH(Y$4,0),$P270)-MAX(Y$4,$E270)+1)*$J270))</f>
        <v/>
      </c>
      <c r="Z270" s="170">
        <f>IF(OR($B270="",Z$4&gt;$P270,EOMONTH(Z$4,0)&lt;$E270),0,MIN($H270,MAX(0,MIN(EOMONTH(Z$4,0),$P270)-MAX(Z$4,$E270)+1)*$J270))</f>
        <v/>
      </c>
      <c r="AA270" s="170">
        <f>IF(OR($B270="",AA$4&gt;$P270,EOMONTH(AA$4,0)&lt;$E270),0,MIN($H270,MAX(0,MIN(EOMONTH(AA$4,0),$P270)-MAX(AA$4,$E270)+1)*$J270))</f>
        <v/>
      </c>
      <c r="AB270" s="170">
        <f>IF(OR($B270="",AB$4&gt;$P270,EOMONTH(AB$4,0)&lt;$E270),0,MIN($H270,MAX(0,MIN(EOMONTH(AB$4,0),$P270)-MAX(AB$4,$E270)+1)*$J270))</f>
        <v/>
      </c>
      <c r="AC270" s="170">
        <f>IF(OR($B270="",AC$4&gt;$P270,EOMONTH(AC$4,0)&lt;$E270),0,MIN($H270,MAX(0,MIN(EOMONTH(AC$4,0),$P270)-MAX(AC$4,$E270)+1)*$J270))</f>
        <v/>
      </c>
      <c r="AD270" s="170">
        <f>IF(B270="","",ROUND(SUM(R270:AC270),0))</f>
        <v/>
      </c>
      <c r="AE270" s="170">
        <f>IF(B270="","",MIN(H270,ROUND(Q270+SUM(R270:AC270),0)))</f>
        <v/>
      </c>
      <c r="AF270" s="170">
        <f>IF(B270="","",MAX(H270-AE270,0))</f>
        <v/>
      </c>
      <c r="AG270" s="172">
        <f>IF(B270="","",IF('Thiết lập'!$B$4&lt;E270,"Chưa phân bổ",IF(P270&lt;='Thiết lập'!$B$4,"Đã phân bổ","Đang phân bổ")))</f>
        <v/>
      </c>
      <c r="AH270" s="166" t="n"/>
      <c r="AI270" s="174">
        <f>IF(B270="","",IF(AND(C270&lt;&gt;"",D270&lt;&gt;"",E270&lt;&gt;"",E270&gt;=D270,F270&gt;0,G270&gt;0,I270&gt;0,COUNTIF($B$7:$B$306,B270)=1),"OK",IF(C270="","Thiếu tên; ","")&amp;IF(D270="","Thiếu ngày tăng; ","")&amp;IF(E270="","Thiếu ngày bắt đầu; ","")&amp;IF(AND(D270&lt;&gt;"",E270&lt;&gt;"",E270&lt;D270),"Ngày bắt đầu &lt; ngày tăng; ","")&amp;IF(OR(F270="",F270&lt;=0),"Số lượng không hợp lệ; ","")&amp;IF(OR(G270="",G270&lt;=0),"Đơn giá không hợp lệ; ","")&amp;IF(OR(I270="",I270&lt;=0),"Số tháng không hợp lệ; ","")&amp;IF(COUNTIF($B$7:$B$306,B270)&gt;1,"Trùng mã CPTT; ","")))</f>
        <v/>
      </c>
    </row>
    <row r="271" ht="19.5" customHeight="1" s="98">
      <c r="A271" s="164">
        <f>IF(B271="","",ROW()-6)</f>
        <v/>
      </c>
      <c r="B271" s="165" t="n"/>
      <c r="C271" s="166" t="n"/>
      <c r="D271" s="167" t="n"/>
      <c r="E271" s="167" t="n"/>
      <c r="F271" s="168" t="n"/>
      <c r="G271" s="169" t="n"/>
      <c r="H271" s="170">
        <f>IF(OR(F271="",G271=""),"",F271*G271)</f>
        <v/>
      </c>
      <c r="I271" s="171" t="n"/>
      <c r="J271" s="170">
        <f>IF(OR(H271="",E271="",P271=""),"",H271/(P271-E271+1))</f>
        <v/>
      </c>
      <c r="K271" s="165" t="n"/>
      <c r="L271" s="172">
        <f>IF(B271="","",IF(AF271&lt;=0,"Đã phân bổ",IF(P271&lt;=EDATE('Thiết lập'!$B$4,12),"Ngắn hạn","Dài hạn")))</f>
        <v/>
      </c>
      <c r="M271" s="165" t="n"/>
      <c r="N271" s="165" t="n"/>
      <c r="O271" s="165" t="n"/>
      <c r="P271" s="173">
        <f>IF(OR(E271="",I271=""),"",EDATE(E271,I271)-1)</f>
        <v/>
      </c>
      <c r="Q271" s="170">
        <f>IF(OR(B271="",E271="",P271=""),0,MIN(H271,MAX(0,MIN(P271,DATE('Thiết lập'!$B$3-1,12,31))-E271+1)*J271))</f>
        <v/>
      </c>
      <c r="R271" s="170">
        <f>IF(OR($B271="",R$4&gt;$P271,EOMONTH(R$4,0)&lt;$E271),0,MIN($H271,MAX(0,MIN(EOMONTH(R$4,0),$P271)-MAX(R$4,$E271)+1)*$J271))</f>
        <v/>
      </c>
      <c r="S271" s="170">
        <f>IF(OR($B271="",S$4&gt;$P271,EOMONTH(S$4,0)&lt;$E271),0,MIN($H271,MAX(0,MIN(EOMONTH(S$4,0),$P271)-MAX(S$4,$E271)+1)*$J271))</f>
        <v/>
      </c>
      <c r="T271" s="170">
        <f>IF(OR($B271="",T$4&gt;$P271,EOMONTH(T$4,0)&lt;$E271),0,MIN($H271,MAX(0,MIN(EOMONTH(T$4,0),$P271)-MAX(T$4,$E271)+1)*$J271))</f>
        <v/>
      </c>
      <c r="U271" s="170">
        <f>IF(OR($B271="",U$4&gt;$P271,EOMONTH(U$4,0)&lt;$E271),0,MIN($H271,MAX(0,MIN(EOMONTH(U$4,0),$P271)-MAX(U$4,$E271)+1)*$J271))</f>
        <v/>
      </c>
      <c r="V271" s="170">
        <f>IF(OR($B271="",V$4&gt;$P271,EOMONTH(V$4,0)&lt;$E271),0,MIN($H271,MAX(0,MIN(EOMONTH(V$4,0),$P271)-MAX(V$4,$E271)+1)*$J271))</f>
        <v/>
      </c>
      <c r="W271" s="170">
        <f>IF(OR($B271="",W$4&gt;$P271,EOMONTH(W$4,0)&lt;$E271),0,MIN($H271,MAX(0,MIN(EOMONTH(W$4,0),$P271)-MAX(W$4,$E271)+1)*$J271))</f>
        <v/>
      </c>
      <c r="X271" s="170">
        <f>IF(OR($B271="",X$4&gt;$P271,EOMONTH(X$4,0)&lt;$E271),0,MIN($H271,MAX(0,MIN(EOMONTH(X$4,0),$P271)-MAX(X$4,$E271)+1)*$J271))</f>
        <v/>
      </c>
      <c r="Y271" s="170">
        <f>IF(OR($B271="",Y$4&gt;$P271,EOMONTH(Y$4,0)&lt;$E271),0,MIN($H271,MAX(0,MIN(EOMONTH(Y$4,0),$P271)-MAX(Y$4,$E271)+1)*$J271))</f>
        <v/>
      </c>
      <c r="Z271" s="170">
        <f>IF(OR($B271="",Z$4&gt;$P271,EOMONTH(Z$4,0)&lt;$E271),0,MIN($H271,MAX(0,MIN(EOMONTH(Z$4,0),$P271)-MAX(Z$4,$E271)+1)*$J271))</f>
        <v/>
      </c>
      <c r="AA271" s="170">
        <f>IF(OR($B271="",AA$4&gt;$P271,EOMONTH(AA$4,0)&lt;$E271),0,MIN($H271,MAX(0,MIN(EOMONTH(AA$4,0),$P271)-MAX(AA$4,$E271)+1)*$J271))</f>
        <v/>
      </c>
      <c r="AB271" s="170">
        <f>IF(OR($B271="",AB$4&gt;$P271,EOMONTH(AB$4,0)&lt;$E271),0,MIN($H271,MAX(0,MIN(EOMONTH(AB$4,0),$P271)-MAX(AB$4,$E271)+1)*$J271))</f>
        <v/>
      </c>
      <c r="AC271" s="170">
        <f>IF(OR($B271="",AC$4&gt;$P271,EOMONTH(AC$4,0)&lt;$E271),0,MIN($H271,MAX(0,MIN(EOMONTH(AC$4,0),$P271)-MAX(AC$4,$E271)+1)*$J271))</f>
        <v/>
      </c>
      <c r="AD271" s="170">
        <f>IF(B271="","",ROUND(SUM(R271:AC271),0))</f>
        <v/>
      </c>
      <c r="AE271" s="170">
        <f>IF(B271="","",MIN(H271,ROUND(Q271+SUM(R271:AC271),0)))</f>
        <v/>
      </c>
      <c r="AF271" s="170">
        <f>IF(B271="","",MAX(H271-AE271,0))</f>
        <v/>
      </c>
      <c r="AG271" s="172">
        <f>IF(B271="","",IF('Thiết lập'!$B$4&lt;E271,"Chưa phân bổ",IF(P271&lt;='Thiết lập'!$B$4,"Đã phân bổ","Đang phân bổ")))</f>
        <v/>
      </c>
      <c r="AH271" s="166" t="n"/>
      <c r="AI271" s="174">
        <f>IF(B271="","",IF(AND(C271&lt;&gt;"",D271&lt;&gt;"",E271&lt;&gt;"",E271&gt;=D271,F271&gt;0,G271&gt;0,I271&gt;0,COUNTIF($B$7:$B$306,B271)=1),"OK",IF(C271="","Thiếu tên; ","")&amp;IF(D271="","Thiếu ngày tăng; ","")&amp;IF(E271="","Thiếu ngày bắt đầu; ","")&amp;IF(AND(D271&lt;&gt;"",E271&lt;&gt;"",E271&lt;D271),"Ngày bắt đầu &lt; ngày tăng; ","")&amp;IF(OR(F271="",F271&lt;=0),"Số lượng không hợp lệ; ","")&amp;IF(OR(G271="",G271&lt;=0),"Đơn giá không hợp lệ; ","")&amp;IF(OR(I271="",I271&lt;=0),"Số tháng không hợp lệ; ","")&amp;IF(COUNTIF($B$7:$B$306,B271)&gt;1,"Trùng mã CPTT; ","")))</f>
        <v/>
      </c>
    </row>
    <row r="272" ht="19.5" customHeight="1" s="98">
      <c r="A272" s="164">
        <f>IF(B272="","",ROW()-6)</f>
        <v/>
      </c>
      <c r="B272" s="165" t="n"/>
      <c r="C272" s="166" t="n"/>
      <c r="D272" s="167" t="n"/>
      <c r="E272" s="167" t="n"/>
      <c r="F272" s="168" t="n"/>
      <c r="G272" s="169" t="n"/>
      <c r="H272" s="170">
        <f>IF(OR(F272="",G272=""),"",F272*G272)</f>
        <v/>
      </c>
      <c r="I272" s="171" t="n"/>
      <c r="J272" s="170">
        <f>IF(OR(H272="",E272="",P272=""),"",H272/(P272-E272+1))</f>
        <v/>
      </c>
      <c r="K272" s="165" t="n"/>
      <c r="L272" s="172">
        <f>IF(B272="","",IF(AF272&lt;=0,"Đã phân bổ",IF(P272&lt;=EDATE('Thiết lập'!$B$4,12),"Ngắn hạn","Dài hạn")))</f>
        <v/>
      </c>
      <c r="M272" s="165" t="n"/>
      <c r="N272" s="165" t="n"/>
      <c r="O272" s="165" t="n"/>
      <c r="P272" s="173">
        <f>IF(OR(E272="",I272=""),"",EDATE(E272,I272)-1)</f>
        <v/>
      </c>
      <c r="Q272" s="170">
        <f>IF(OR(B272="",E272="",P272=""),0,MIN(H272,MAX(0,MIN(P272,DATE('Thiết lập'!$B$3-1,12,31))-E272+1)*J272))</f>
        <v/>
      </c>
      <c r="R272" s="170">
        <f>IF(OR($B272="",R$4&gt;$P272,EOMONTH(R$4,0)&lt;$E272),0,MIN($H272,MAX(0,MIN(EOMONTH(R$4,0),$P272)-MAX(R$4,$E272)+1)*$J272))</f>
        <v/>
      </c>
      <c r="S272" s="170">
        <f>IF(OR($B272="",S$4&gt;$P272,EOMONTH(S$4,0)&lt;$E272),0,MIN($H272,MAX(0,MIN(EOMONTH(S$4,0),$P272)-MAX(S$4,$E272)+1)*$J272))</f>
        <v/>
      </c>
      <c r="T272" s="170">
        <f>IF(OR($B272="",T$4&gt;$P272,EOMONTH(T$4,0)&lt;$E272),0,MIN($H272,MAX(0,MIN(EOMONTH(T$4,0),$P272)-MAX(T$4,$E272)+1)*$J272))</f>
        <v/>
      </c>
      <c r="U272" s="170">
        <f>IF(OR($B272="",U$4&gt;$P272,EOMONTH(U$4,0)&lt;$E272),0,MIN($H272,MAX(0,MIN(EOMONTH(U$4,0),$P272)-MAX(U$4,$E272)+1)*$J272))</f>
        <v/>
      </c>
      <c r="V272" s="170">
        <f>IF(OR($B272="",V$4&gt;$P272,EOMONTH(V$4,0)&lt;$E272),0,MIN($H272,MAX(0,MIN(EOMONTH(V$4,0),$P272)-MAX(V$4,$E272)+1)*$J272))</f>
        <v/>
      </c>
      <c r="W272" s="170">
        <f>IF(OR($B272="",W$4&gt;$P272,EOMONTH(W$4,0)&lt;$E272),0,MIN($H272,MAX(0,MIN(EOMONTH(W$4,0),$P272)-MAX(W$4,$E272)+1)*$J272))</f>
        <v/>
      </c>
      <c r="X272" s="170">
        <f>IF(OR($B272="",X$4&gt;$P272,EOMONTH(X$4,0)&lt;$E272),0,MIN($H272,MAX(0,MIN(EOMONTH(X$4,0),$P272)-MAX(X$4,$E272)+1)*$J272))</f>
        <v/>
      </c>
      <c r="Y272" s="170">
        <f>IF(OR($B272="",Y$4&gt;$P272,EOMONTH(Y$4,0)&lt;$E272),0,MIN($H272,MAX(0,MIN(EOMONTH(Y$4,0),$P272)-MAX(Y$4,$E272)+1)*$J272))</f>
        <v/>
      </c>
      <c r="Z272" s="170">
        <f>IF(OR($B272="",Z$4&gt;$P272,EOMONTH(Z$4,0)&lt;$E272),0,MIN($H272,MAX(0,MIN(EOMONTH(Z$4,0),$P272)-MAX(Z$4,$E272)+1)*$J272))</f>
        <v/>
      </c>
      <c r="AA272" s="170">
        <f>IF(OR($B272="",AA$4&gt;$P272,EOMONTH(AA$4,0)&lt;$E272),0,MIN($H272,MAX(0,MIN(EOMONTH(AA$4,0),$P272)-MAX(AA$4,$E272)+1)*$J272))</f>
        <v/>
      </c>
      <c r="AB272" s="170">
        <f>IF(OR($B272="",AB$4&gt;$P272,EOMONTH(AB$4,0)&lt;$E272),0,MIN($H272,MAX(0,MIN(EOMONTH(AB$4,0),$P272)-MAX(AB$4,$E272)+1)*$J272))</f>
        <v/>
      </c>
      <c r="AC272" s="170">
        <f>IF(OR($B272="",AC$4&gt;$P272,EOMONTH(AC$4,0)&lt;$E272),0,MIN($H272,MAX(0,MIN(EOMONTH(AC$4,0),$P272)-MAX(AC$4,$E272)+1)*$J272))</f>
        <v/>
      </c>
      <c r="AD272" s="170">
        <f>IF(B272="","",ROUND(SUM(R272:AC272),0))</f>
        <v/>
      </c>
      <c r="AE272" s="170">
        <f>IF(B272="","",MIN(H272,ROUND(Q272+SUM(R272:AC272),0)))</f>
        <v/>
      </c>
      <c r="AF272" s="170">
        <f>IF(B272="","",MAX(H272-AE272,0))</f>
        <v/>
      </c>
      <c r="AG272" s="172">
        <f>IF(B272="","",IF('Thiết lập'!$B$4&lt;E272,"Chưa phân bổ",IF(P272&lt;='Thiết lập'!$B$4,"Đã phân bổ","Đang phân bổ")))</f>
        <v/>
      </c>
      <c r="AH272" s="166" t="n"/>
      <c r="AI272" s="174">
        <f>IF(B272="","",IF(AND(C272&lt;&gt;"",D272&lt;&gt;"",E272&lt;&gt;"",E272&gt;=D272,F272&gt;0,G272&gt;0,I272&gt;0,COUNTIF($B$7:$B$306,B272)=1),"OK",IF(C272="","Thiếu tên; ","")&amp;IF(D272="","Thiếu ngày tăng; ","")&amp;IF(E272="","Thiếu ngày bắt đầu; ","")&amp;IF(AND(D272&lt;&gt;"",E272&lt;&gt;"",E272&lt;D272),"Ngày bắt đầu &lt; ngày tăng; ","")&amp;IF(OR(F272="",F272&lt;=0),"Số lượng không hợp lệ; ","")&amp;IF(OR(G272="",G272&lt;=0),"Đơn giá không hợp lệ; ","")&amp;IF(OR(I272="",I272&lt;=0),"Số tháng không hợp lệ; ","")&amp;IF(COUNTIF($B$7:$B$306,B272)&gt;1,"Trùng mã CPTT; ","")))</f>
        <v/>
      </c>
    </row>
    <row r="273" ht="19.5" customHeight="1" s="98">
      <c r="A273" s="164">
        <f>IF(B273="","",ROW()-6)</f>
        <v/>
      </c>
      <c r="B273" s="165" t="n"/>
      <c r="C273" s="166" t="n"/>
      <c r="D273" s="167" t="n"/>
      <c r="E273" s="167" t="n"/>
      <c r="F273" s="168" t="n"/>
      <c r="G273" s="169" t="n"/>
      <c r="H273" s="170">
        <f>IF(OR(F273="",G273=""),"",F273*G273)</f>
        <v/>
      </c>
      <c r="I273" s="171" t="n"/>
      <c r="J273" s="170">
        <f>IF(OR(H273="",E273="",P273=""),"",H273/(P273-E273+1))</f>
        <v/>
      </c>
      <c r="K273" s="165" t="n"/>
      <c r="L273" s="172">
        <f>IF(B273="","",IF(AF273&lt;=0,"Đã phân bổ",IF(P273&lt;=EDATE('Thiết lập'!$B$4,12),"Ngắn hạn","Dài hạn")))</f>
        <v/>
      </c>
      <c r="M273" s="165" t="n"/>
      <c r="N273" s="165" t="n"/>
      <c r="O273" s="165" t="n"/>
      <c r="P273" s="173">
        <f>IF(OR(E273="",I273=""),"",EDATE(E273,I273)-1)</f>
        <v/>
      </c>
      <c r="Q273" s="170">
        <f>IF(OR(B273="",E273="",P273=""),0,MIN(H273,MAX(0,MIN(P273,DATE('Thiết lập'!$B$3-1,12,31))-E273+1)*J273))</f>
        <v/>
      </c>
      <c r="R273" s="170">
        <f>IF(OR($B273="",R$4&gt;$P273,EOMONTH(R$4,0)&lt;$E273),0,MIN($H273,MAX(0,MIN(EOMONTH(R$4,0),$P273)-MAX(R$4,$E273)+1)*$J273))</f>
        <v/>
      </c>
      <c r="S273" s="170">
        <f>IF(OR($B273="",S$4&gt;$P273,EOMONTH(S$4,0)&lt;$E273),0,MIN($H273,MAX(0,MIN(EOMONTH(S$4,0),$P273)-MAX(S$4,$E273)+1)*$J273))</f>
        <v/>
      </c>
      <c r="T273" s="170">
        <f>IF(OR($B273="",T$4&gt;$P273,EOMONTH(T$4,0)&lt;$E273),0,MIN($H273,MAX(0,MIN(EOMONTH(T$4,0),$P273)-MAX(T$4,$E273)+1)*$J273))</f>
        <v/>
      </c>
      <c r="U273" s="170">
        <f>IF(OR($B273="",U$4&gt;$P273,EOMONTH(U$4,0)&lt;$E273),0,MIN($H273,MAX(0,MIN(EOMONTH(U$4,0),$P273)-MAX(U$4,$E273)+1)*$J273))</f>
        <v/>
      </c>
      <c r="V273" s="170">
        <f>IF(OR($B273="",V$4&gt;$P273,EOMONTH(V$4,0)&lt;$E273),0,MIN($H273,MAX(0,MIN(EOMONTH(V$4,0),$P273)-MAX(V$4,$E273)+1)*$J273))</f>
        <v/>
      </c>
      <c r="W273" s="170">
        <f>IF(OR($B273="",W$4&gt;$P273,EOMONTH(W$4,0)&lt;$E273),0,MIN($H273,MAX(0,MIN(EOMONTH(W$4,0),$P273)-MAX(W$4,$E273)+1)*$J273))</f>
        <v/>
      </c>
      <c r="X273" s="170">
        <f>IF(OR($B273="",X$4&gt;$P273,EOMONTH(X$4,0)&lt;$E273),0,MIN($H273,MAX(0,MIN(EOMONTH(X$4,0),$P273)-MAX(X$4,$E273)+1)*$J273))</f>
        <v/>
      </c>
      <c r="Y273" s="170">
        <f>IF(OR($B273="",Y$4&gt;$P273,EOMONTH(Y$4,0)&lt;$E273),0,MIN($H273,MAX(0,MIN(EOMONTH(Y$4,0),$P273)-MAX(Y$4,$E273)+1)*$J273))</f>
        <v/>
      </c>
      <c r="Z273" s="170">
        <f>IF(OR($B273="",Z$4&gt;$P273,EOMONTH(Z$4,0)&lt;$E273),0,MIN($H273,MAX(0,MIN(EOMONTH(Z$4,0),$P273)-MAX(Z$4,$E273)+1)*$J273))</f>
        <v/>
      </c>
      <c r="AA273" s="170">
        <f>IF(OR($B273="",AA$4&gt;$P273,EOMONTH(AA$4,0)&lt;$E273),0,MIN($H273,MAX(0,MIN(EOMONTH(AA$4,0),$P273)-MAX(AA$4,$E273)+1)*$J273))</f>
        <v/>
      </c>
      <c r="AB273" s="170">
        <f>IF(OR($B273="",AB$4&gt;$P273,EOMONTH(AB$4,0)&lt;$E273),0,MIN($H273,MAX(0,MIN(EOMONTH(AB$4,0),$P273)-MAX(AB$4,$E273)+1)*$J273))</f>
        <v/>
      </c>
      <c r="AC273" s="170">
        <f>IF(OR($B273="",AC$4&gt;$P273,EOMONTH(AC$4,0)&lt;$E273),0,MIN($H273,MAX(0,MIN(EOMONTH(AC$4,0),$P273)-MAX(AC$4,$E273)+1)*$J273))</f>
        <v/>
      </c>
      <c r="AD273" s="170">
        <f>IF(B273="","",ROUND(SUM(R273:AC273),0))</f>
        <v/>
      </c>
      <c r="AE273" s="170">
        <f>IF(B273="","",MIN(H273,ROUND(Q273+SUM(R273:AC273),0)))</f>
        <v/>
      </c>
      <c r="AF273" s="170">
        <f>IF(B273="","",MAX(H273-AE273,0))</f>
        <v/>
      </c>
      <c r="AG273" s="172">
        <f>IF(B273="","",IF('Thiết lập'!$B$4&lt;E273,"Chưa phân bổ",IF(P273&lt;='Thiết lập'!$B$4,"Đã phân bổ","Đang phân bổ")))</f>
        <v/>
      </c>
      <c r="AH273" s="166" t="n"/>
      <c r="AI273" s="174">
        <f>IF(B273="","",IF(AND(C273&lt;&gt;"",D273&lt;&gt;"",E273&lt;&gt;"",E273&gt;=D273,F273&gt;0,G273&gt;0,I273&gt;0,COUNTIF($B$7:$B$306,B273)=1),"OK",IF(C273="","Thiếu tên; ","")&amp;IF(D273="","Thiếu ngày tăng; ","")&amp;IF(E273="","Thiếu ngày bắt đầu; ","")&amp;IF(AND(D273&lt;&gt;"",E273&lt;&gt;"",E273&lt;D273),"Ngày bắt đầu &lt; ngày tăng; ","")&amp;IF(OR(F273="",F273&lt;=0),"Số lượng không hợp lệ; ","")&amp;IF(OR(G273="",G273&lt;=0),"Đơn giá không hợp lệ; ","")&amp;IF(OR(I273="",I273&lt;=0),"Số tháng không hợp lệ; ","")&amp;IF(COUNTIF($B$7:$B$306,B273)&gt;1,"Trùng mã CPTT; ","")))</f>
        <v/>
      </c>
    </row>
    <row r="274" ht="19.5" customHeight="1" s="98">
      <c r="A274" s="164">
        <f>IF(B274="","",ROW()-6)</f>
        <v/>
      </c>
      <c r="B274" s="165" t="n"/>
      <c r="C274" s="166" t="n"/>
      <c r="D274" s="167" t="n"/>
      <c r="E274" s="167" t="n"/>
      <c r="F274" s="168" t="n"/>
      <c r="G274" s="169" t="n"/>
      <c r="H274" s="170">
        <f>IF(OR(F274="",G274=""),"",F274*G274)</f>
        <v/>
      </c>
      <c r="I274" s="171" t="n"/>
      <c r="J274" s="170">
        <f>IF(OR(H274="",E274="",P274=""),"",H274/(P274-E274+1))</f>
        <v/>
      </c>
      <c r="K274" s="165" t="n"/>
      <c r="L274" s="172">
        <f>IF(B274="","",IF(AF274&lt;=0,"Đã phân bổ",IF(P274&lt;=EDATE('Thiết lập'!$B$4,12),"Ngắn hạn","Dài hạn")))</f>
        <v/>
      </c>
      <c r="M274" s="165" t="n"/>
      <c r="N274" s="165" t="n"/>
      <c r="O274" s="165" t="n"/>
      <c r="P274" s="173">
        <f>IF(OR(E274="",I274=""),"",EDATE(E274,I274)-1)</f>
        <v/>
      </c>
      <c r="Q274" s="170">
        <f>IF(OR(B274="",E274="",P274=""),0,MIN(H274,MAX(0,MIN(P274,DATE('Thiết lập'!$B$3-1,12,31))-E274+1)*J274))</f>
        <v/>
      </c>
      <c r="R274" s="170">
        <f>IF(OR($B274="",R$4&gt;$P274,EOMONTH(R$4,0)&lt;$E274),0,MIN($H274,MAX(0,MIN(EOMONTH(R$4,0),$P274)-MAX(R$4,$E274)+1)*$J274))</f>
        <v/>
      </c>
      <c r="S274" s="170">
        <f>IF(OR($B274="",S$4&gt;$P274,EOMONTH(S$4,0)&lt;$E274),0,MIN($H274,MAX(0,MIN(EOMONTH(S$4,0),$P274)-MAX(S$4,$E274)+1)*$J274))</f>
        <v/>
      </c>
      <c r="T274" s="170">
        <f>IF(OR($B274="",T$4&gt;$P274,EOMONTH(T$4,0)&lt;$E274),0,MIN($H274,MAX(0,MIN(EOMONTH(T$4,0),$P274)-MAX(T$4,$E274)+1)*$J274))</f>
        <v/>
      </c>
      <c r="U274" s="170">
        <f>IF(OR($B274="",U$4&gt;$P274,EOMONTH(U$4,0)&lt;$E274),0,MIN($H274,MAX(0,MIN(EOMONTH(U$4,0),$P274)-MAX(U$4,$E274)+1)*$J274))</f>
        <v/>
      </c>
      <c r="V274" s="170">
        <f>IF(OR($B274="",V$4&gt;$P274,EOMONTH(V$4,0)&lt;$E274),0,MIN($H274,MAX(0,MIN(EOMONTH(V$4,0),$P274)-MAX(V$4,$E274)+1)*$J274))</f>
        <v/>
      </c>
      <c r="W274" s="170">
        <f>IF(OR($B274="",W$4&gt;$P274,EOMONTH(W$4,0)&lt;$E274),0,MIN($H274,MAX(0,MIN(EOMONTH(W$4,0),$P274)-MAX(W$4,$E274)+1)*$J274))</f>
        <v/>
      </c>
      <c r="X274" s="170">
        <f>IF(OR($B274="",X$4&gt;$P274,EOMONTH(X$4,0)&lt;$E274),0,MIN($H274,MAX(0,MIN(EOMONTH(X$4,0),$P274)-MAX(X$4,$E274)+1)*$J274))</f>
        <v/>
      </c>
      <c r="Y274" s="170">
        <f>IF(OR($B274="",Y$4&gt;$P274,EOMONTH(Y$4,0)&lt;$E274),0,MIN($H274,MAX(0,MIN(EOMONTH(Y$4,0),$P274)-MAX(Y$4,$E274)+1)*$J274))</f>
        <v/>
      </c>
      <c r="Z274" s="170">
        <f>IF(OR($B274="",Z$4&gt;$P274,EOMONTH(Z$4,0)&lt;$E274),0,MIN($H274,MAX(0,MIN(EOMONTH(Z$4,0),$P274)-MAX(Z$4,$E274)+1)*$J274))</f>
        <v/>
      </c>
      <c r="AA274" s="170">
        <f>IF(OR($B274="",AA$4&gt;$P274,EOMONTH(AA$4,0)&lt;$E274),0,MIN($H274,MAX(0,MIN(EOMONTH(AA$4,0),$P274)-MAX(AA$4,$E274)+1)*$J274))</f>
        <v/>
      </c>
      <c r="AB274" s="170">
        <f>IF(OR($B274="",AB$4&gt;$P274,EOMONTH(AB$4,0)&lt;$E274),0,MIN($H274,MAX(0,MIN(EOMONTH(AB$4,0),$P274)-MAX(AB$4,$E274)+1)*$J274))</f>
        <v/>
      </c>
      <c r="AC274" s="170">
        <f>IF(OR($B274="",AC$4&gt;$P274,EOMONTH(AC$4,0)&lt;$E274),0,MIN($H274,MAX(0,MIN(EOMONTH(AC$4,0),$P274)-MAX(AC$4,$E274)+1)*$J274))</f>
        <v/>
      </c>
      <c r="AD274" s="170">
        <f>IF(B274="","",ROUND(SUM(R274:AC274),0))</f>
        <v/>
      </c>
      <c r="AE274" s="170">
        <f>IF(B274="","",MIN(H274,ROUND(Q274+SUM(R274:AC274),0)))</f>
        <v/>
      </c>
      <c r="AF274" s="170">
        <f>IF(B274="","",MAX(H274-AE274,0))</f>
        <v/>
      </c>
      <c r="AG274" s="172">
        <f>IF(B274="","",IF('Thiết lập'!$B$4&lt;E274,"Chưa phân bổ",IF(P274&lt;='Thiết lập'!$B$4,"Đã phân bổ","Đang phân bổ")))</f>
        <v/>
      </c>
      <c r="AH274" s="166" t="n"/>
      <c r="AI274" s="174">
        <f>IF(B274="","",IF(AND(C274&lt;&gt;"",D274&lt;&gt;"",E274&lt;&gt;"",E274&gt;=D274,F274&gt;0,G274&gt;0,I274&gt;0,COUNTIF($B$7:$B$306,B274)=1),"OK",IF(C274="","Thiếu tên; ","")&amp;IF(D274="","Thiếu ngày tăng; ","")&amp;IF(E274="","Thiếu ngày bắt đầu; ","")&amp;IF(AND(D274&lt;&gt;"",E274&lt;&gt;"",E274&lt;D274),"Ngày bắt đầu &lt; ngày tăng; ","")&amp;IF(OR(F274="",F274&lt;=0),"Số lượng không hợp lệ; ","")&amp;IF(OR(G274="",G274&lt;=0),"Đơn giá không hợp lệ; ","")&amp;IF(OR(I274="",I274&lt;=0),"Số tháng không hợp lệ; ","")&amp;IF(COUNTIF($B$7:$B$306,B274)&gt;1,"Trùng mã CPTT; ","")))</f>
        <v/>
      </c>
    </row>
    <row r="275" ht="19.5" customHeight="1" s="98">
      <c r="A275" s="164">
        <f>IF(B275="","",ROW()-6)</f>
        <v/>
      </c>
      <c r="B275" s="165" t="n"/>
      <c r="C275" s="166" t="n"/>
      <c r="D275" s="167" t="n"/>
      <c r="E275" s="167" t="n"/>
      <c r="F275" s="168" t="n"/>
      <c r="G275" s="169" t="n"/>
      <c r="H275" s="170">
        <f>IF(OR(F275="",G275=""),"",F275*G275)</f>
        <v/>
      </c>
      <c r="I275" s="171" t="n"/>
      <c r="J275" s="170">
        <f>IF(OR(H275="",E275="",P275=""),"",H275/(P275-E275+1))</f>
        <v/>
      </c>
      <c r="K275" s="165" t="n"/>
      <c r="L275" s="172">
        <f>IF(B275="","",IF(AF275&lt;=0,"Đã phân bổ",IF(P275&lt;=EDATE('Thiết lập'!$B$4,12),"Ngắn hạn","Dài hạn")))</f>
        <v/>
      </c>
      <c r="M275" s="165" t="n"/>
      <c r="N275" s="165" t="n"/>
      <c r="O275" s="165" t="n"/>
      <c r="P275" s="173">
        <f>IF(OR(E275="",I275=""),"",EDATE(E275,I275)-1)</f>
        <v/>
      </c>
      <c r="Q275" s="170">
        <f>IF(OR(B275="",E275="",P275=""),0,MIN(H275,MAX(0,MIN(P275,DATE('Thiết lập'!$B$3-1,12,31))-E275+1)*J275))</f>
        <v/>
      </c>
      <c r="R275" s="170">
        <f>IF(OR($B275="",R$4&gt;$P275,EOMONTH(R$4,0)&lt;$E275),0,MIN($H275,MAX(0,MIN(EOMONTH(R$4,0),$P275)-MAX(R$4,$E275)+1)*$J275))</f>
        <v/>
      </c>
      <c r="S275" s="170">
        <f>IF(OR($B275="",S$4&gt;$P275,EOMONTH(S$4,0)&lt;$E275),0,MIN($H275,MAX(0,MIN(EOMONTH(S$4,0),$P275)-MAX(S$4,$E275)+1)*$J275))</f>
        <v/>
      </c>
      <c r="T275" s="170">
        <f>IF(OR($B275="",T$4&gt;$P275,EOMONTH(T$4,0)&lt;$E275),0,MIN($H275,MAX(0,MIN(EOMONTH(T$4,0),$P275)-MAX(T$4,$E275)+1)*$J275))</f>
        <v/>
      </c>
      <c r="U275" s="170">
        <f>IF(OR($B275="",U$4&gt;$P275,EOMONTH(U$4,0)&lt;$E275),0,MIN($H275,MAX(0,MIN(EOMONTH(U$4,0),$P275)-MAX(U$4,$E275)+1)*$J275))</f>
        <v/>
      </c>
      <c r="V275" s="170">
        <f>IF(OR($B275="",V$4&gt;$P275,EOMONTH(V$4,0)&lt;$E275),0,MIN($H275,MAX(0,MIN(EOMONTH(V$4,0),$P275)-MAX(V$4,$E275)+1)*$J275))</f>
        <v/>
      </c>
      <c r="W275" s="170">
        <f>IF(OR($B275="",W$4&gt;$P275,EOMONTH(W$4,0)&lt;$E275),0,MIN($H275,MAX(0,MIN(EOMONTH(W$4,0),$P275)-MAX(W$4,$E275)+1)*$J275))</f>
        <v/>
      </c>
      <c r="X275" s="170">
        <f>IF(OR($B275="",X$4&gt;$P275,EOMONTH(X$4,0)&lt;$E275),0,MIN($H275,MAX(0,MIN(EOMONTH(X$4,0),$P275)-MAX(X$4,$E275)+1)*$J275))</f>
        <v/>
      </c>
      <c r="Y275" s="170">
        <f>IF(OR($B275="",Y$4&gt;$P275,EOMONTH(Y$4,0)&lt;$E275),0,MIN($H275,MAX(0,MIN(EOMONTH(Y$4,0),$P275)-MAX(Y$4,$E275)+1)*$J275))</f>
        <v/>
      </c>
      <c r="Z275" s="170">
        <f>IF(OR($B275="",Z$4&gt;$P275,EOMONTH(Z$4,0)&lt;$E275),0,MIN($H275,MAX(0,MIN(EOMONTH(Z$4,0),$P275)-MAX(Z$4,$E275)+1)*$J275))</f>
        <v/>
      </c>
      <c r="AA275" s="170">
        <f>IF(OR($B275="",AA$4&gt;$P275,EOMONTH(AA$4,0)&lt;$E275),0,MIN($H275,MAX(0,MIN(EOMONTH(AA$4,0),$P275)-MAX(AA$4,$E275)+1)*$J275))</f>
        <v/>
      </c>
      <c r="AB275" s="170">
        <f>IF(OR($B275="",AB$4&gt;$P275,EOMONTH(AB$4,0)&lt;$E275),0,MIN($H275,MAX(0,MIN(EOMONTH(AB$4,0),$P275)-MAX(AB$4,$E275)+1)*$J275))</f>
        <v/>
      </c>
      <c r="AC275" s="170">
        <f>IF(OR($B275="",AC$4&gt;$P275,EOMONTH(AC$4,0)&lt;$E275),0,MIN($H275,MAX(0,MIN(EOMONTH(AC$4,0),$P275)-MAX(AC$4,$E275)+1)*$J275))</f>
        <v/>
      </c>
      <c r="AD275" s="170">
        <f>IF(B275="","",ROUND(SUM(R275:AC275),0))</f>
        <v/>
      </c>
      <c r="AE275" s="170">
        <f>IF(B275="","",MIN(H275,ROUND(Q275+SUM(R275:AC275),0)))</f>
        <v/>
      </c>
      <c r="AF275" s="170">
        <f>IF(B275="","",MAX(H275-AE275,0))</f>
        <v/>
      </c>
      <c r="AG275" s="172">
        <f>IF(B275="","",IF('Thiết lập'!$B$4&lt;E275,"Chưa phân bổ",IF(P275&lt;='Thiết lập'!$B$4,"Đã phân bổ","Đang phân bổ")))</f>
        <v/>
      </c>
      <c r="AH275" s="166" t="n"/>
      <c r="AI275" s="174">
        <f>IF(B275="","",IF(AND(C275&lt;&gt;"",D275&lt;&gt;"",E275&lt;&gt;"",E275&gt;=D275,F275&gt;0,G275&gt;0,I275&gt;0,COUNTIF($B$7:$B$306,B275)=1),"OK",IF(C275="","Thiếu tên; ","")&amp;IF(D275="","Thiếu ngày tăng; ","")&amp;IF(E275="","Thiếu ngày bắt đầu; ","")&amp;IF(AND(D275&lt;&gt;"",E275&lt;&gt;"",E275&lt;D275),"Ngày bắt đầu &lt; ngày tăng; ","")&amp;IF(OR(F275="",F275&lt;=0),"Số lượng không hợp lệ; ","")&amp;IF(OR(G275="",G275&lt;=0),"Đơn giá không hợp lệ; ","")&amp;IF(OR(I275="",I275&lt;=0),"Số tháng không hợp lệ; ","")&amp;IF(COUNTIF($B$7:$B$306,B275)&gt;1,"Trùng mã CPTT; ","")))</f>
        <v/>
      </c>
    </row>
    <row r="276" ht="19.5" customHeight="1" s="98">
      <c r="A276" s="164">
        <f>IF(B276="","",ROW()-6)</f>
        <v/>
      </c>
      <c r="B276" s="165" t="n"/>
      <c r="C276" s="166" t="n"/>
      <c r="D276" s="167" t="n"/>
      <c r="E276" s="167" t="n"/>
      <c r="F276" s="168" t="n"/>
      <c r="G276" s="169" t="n"/>
      <c r="H276" s="170">
        <f>IF(OR(F276="",G276=""),"",F276*G276)</f>
        <v/>
      </c>
      <c r="I276" s="171" t="n"/>
      <c r="J276" s="170">
        <f>IF(OR(H276="",E276="",P276=""),"",H276/(P276-E276+1))</f>
        <v/>
      </c>
      <c r="K276" s="165" t="n"/>
      <c r="L276" s="172">
        <f>IF(B276="","",IF(AF276&lt;=0,"Đã phân bổ",IF(P276&lt;=EDATE('Thiết lập'!$B$4,12),"Ngắn hạn","Dài hạn")))</f>
        <v/>
      </c>
      <c r="M276" s="165" t="n"/>
      <c r="N276" s="165" t="n"/>
      <c r="O276" s="165" t="n"/>
      <c r="P276" s="173">
        <f>IF(OR(E276="",I276=""),"",EDATE(E276,I276)-1)</f>
        <v/>
      </c>
      <c r="Q276" s="170">
        <f>IF(OR(B276="",E276="",P276=""),0,MIN(H276,MAX(0,MIN(P276,DATE('Thiết lập'!$B$3-1,12,31))-E276+1)*J276))</f>
        <v/>
      </c>
      <c r="R276" s="170">
        <f>IF(OR($B276="",R$4&gt;$P276,EOMONTH(R$4,0)&lt;$E276),0,MIN($H276,MAX(0,MIN(EOMONTH(R$4,0),$P276)-MAX(R$4,$E276)+1)*$J276))</f>
        <v/>
      </c>
      <c r="S276" s="170">
        <f>IF(OR($B276="",S$4&gt;$P276,EOMONTH(S$4,0)&lt;$E276),0,MIN($H276,MAX(0,MIN(EOMONTH(S$4,0),$P276)-MAX(S$4,$E276)+1)*$J276))</f>
        <v/>
      </c>
      <c r="T276" s="170">
        <f>IF(OR($B276="",T$4&gt;$P276,EOMONTH(T$4,0)&lt;$E276),0,MIN($H276,MAX(0,MIN(EOMONTH(T$4,0),$P276)-MAX(T$4,$E276)+1)*$J276))</f>
        <v/>
      </c>
      <c r="U276" s="170">
        <f>IF(OR($B276="",U$4&gt;$P276,EOMONTH(U$4,0)&lt;$E276),0,MIN($H276,MAX(0,MIN(EOMONTH(U$4,0),$P276)-MAX(U$4,$E276)+1)*$J276))</f>
        <v/>
      </c>
      <c r="V276" s="170">
        <f>IF(OR($B276="",V$4&gt;$P276,EOMONTH(V$4,0)&lt;$E276),0,MIN($H276,MAX(0,MIN(EOMONTH(V$4,0),$P276)-MAX(V$4,$E276)+1)*$J276))</f>
        <v/>
      </c>
      <c r="W276" s="170">
        <f>IF(OR($B276="",W$4&gt;$P276,EOMONTH(W$4,0)&lt;$E276),0,MIN($H276,MAX(0,MIN(EOMONTH(W$4,0),$P276)-MAX(W$4,$E276)+1)*$J276))</f>
        <v/>
      </c>
      <c r="X276" s="170">
        <f>IF(OR($B276="",X$4&gt;$P276,EOMONTH(X$4,0)&lt;$E276),0,MIN($H276,MAX(0,MIN(EOMONTH(X$4,0),$P276)-MAX(X$4,$E276)+1)*$J276))</f>
        <v/>
      </c>
      <c r="Y276" s="170">
        <f>IF(OR($B276="",Y$4&gt;$P276,EOMONTH(Y$4,0)&lt;$E276),0,MIN($H276,MAX(0,MIN(EOMONTH(Y$4,0),$P276)-MAX(Y$4,$E276)+1)*$J276))</f>
        <v/>
      </c>
      <c r="Z276" s="170">
        <f>IF(OR($B276="",Z$4&gt;$P276,EOMONTH(Z$4,0)&lt;$E276),0,MIN($H276,MAX(0,MIN(EOMONTH(Z$4,0),$P276)-MAX(Z$4,$E276)+1)*$J276))</f>
        <v/>
      </c>
      <c r="AA276" s="170">
        <f>IF(OR($B276="",AA$4&gt;$P276,EOMONTH(AA$4,0)&lt;$E276),0,MIN($H276,MAX(0,MIN(EOMONTH(AA$4,0),$P276)-MAX(AA$4,$E276)+1)*$J276))</f>
        <v/>
      </c>
      <c r="AB276" s="170">
        <f>IF(OR($B276="",AB$4&gt;$P276,EOMONTH(AB$4,0)&lt;$E276),0,MIN($H276,MAX(0,MIN(EOMONTH(AB$4,0),$P276)-MAX(AB$4,$E276)+1)*$J276))</f>
        <v/>
      </c>
      <c r="AC276" s="170">
        <f>IF(OR($B276="",AC$4&gt;$P276,EOMONTH(AC$4,0)&lt;$E276),0,MIN($H276,MAX(0,MIN(EOMONTH(AC$4,0),$P276)-MAX(AC$4,$E276)+1)*$J276))</f>
        <v/>
      </c>
      <c r="AD276" s="170">
        <f>IF(B276="","",ROUND(SUM(R276:AC276),0))</f>
        <v/>
      </c>
      <c r="AE276" s="170">
        <f>IF(B276="","",MIN(H276,ROUND(Q276+SUM(R276:AC276),0)))</f>
        <v/>
      </c>
      <c r="AF276" s="170">
        <f>IF(B276="","",MAX(H276-AE276,0))</f>
        <v/>
      </c>
      <c r="AG276" s="172">
        <f>IF(B276="","",IF('Thiết lập'!$B$4&lt;E276,"Chưa phân bổ",IF(P276&lt;='Thiết lập'!$B$4,"Đã phân bổ","Đang phân bổ")))</f>
        <v/>
      </c>
      <c r="AH276" s="166" t="n"/>
      <c r="AI276" s="174">
        <f>IF(B276="","",IF(AND(C276&lt;&gt;"",D276&lt;&gt;"",E276&lt;&gt;"",E276&gt;=D276,F276&gt;0,G276&gt;0,I276&gt;0,COUNTIF($B$7:$B$306,B276)=1),"OK",IF(C276="","Thiếu tên; ","")&amp;IF(D276="","Thiếu ngày tăng; ","")&amp;IF(E276="","Thiếu ngày bắt đầu; ","")&amp;IF(AND(D276&lt;&gt;"",E276&lt;&gt;"",E276&lt;D276),"Ngày bắt đầu &lt; ngày tăng; ","")&amp;IF(OR(F276="",F276&lt;=0),"Số lượng không hợp lệ; ","")&amp;IF(OR(G276="",G276&lt;=0),"Đơn giá không hợp lệ; ","")&amp;IF(OR(I276="",I276&lt;=0),"Số tháng không hợp lệ; ","")&amp;IF(COUNTIF($B$7:$B$306,B276)&gt;1,"Trùng mã CPTT; ","")))</f>
        <v/>
      </c>
    </row>
    <row r="277" ht="19.5" customHeight="1" s="98">
      <c r="A277" s="164">
        <f>IF(B277="","",ROW()-6)</f>
        <v/>
      </c>
      <c r="B277" s="165" t="n"/>
      <c r="C277" s="166" t="n"/>
      <c r="D277" s="167" t="n"/>
      <c r="E277" s="167" t="n"/>
      <c r="F277" s="168" t="n"/>
      <c r="G277" s="169" t="n"/>
      <c r="H277" s="170">
        <f>IF(OR(F277="",G277=""),"",F277*G277)</f>
        <v/>
      </c>
      <c r="I277" s="171" t="n"/>
      <c r="J277" s="170">
        <f>IF(OR(H277="",E277="",P277=""),"",H277/(P277-E277+1))</f>
        <v/>
      </c>
      <c r="K277" s="165" t="n"/>
      <c r="L277" s="172">
        <f>IF(B277="","",IF(AF277&lt;=0,"Đã phân bổ",IF(P277&lt;=EDATE('Thiết lập'!$B$4,12),"Ngắn hạn","Dài hạn")))</f>
        <v/>
      </c>
      <c r="M277" s="165" t="n"/>
      <c r="N277" s="165" t="n"/>
      <c r="O277" s="165" t="n"/>
      <c r="P277" s="173">
        <f>IF(OR(E277="",I277=""),"",EDATE(E277,I277)-1)</f>
        <v/>
      </c>
      <c r="Q277" s="170">
        <f>IF(OR(B277="",E277="",P277=""),0,MIN(H277,MAX(0,MIN(P277,DATE('Thiết lập'!$B$3-1,12,31))-E277+1)*J277))</f>
        <v/>
      </c>
      <c r="R277" s="170">
        <f>IF(OR($B277="",R$4&gt;$P277,EOMONTH(R$4,0)&lt;$E277),0,MIN($H277,MAX(0,MIN(EOMONTH(R$4,0),$P277)-MAX(R$4,$E277)+1)*$J277))</f>
        <v/>
      </c>
      <c r="S277" s="170">
        <f>IF(OR($B277="",S$4&gt;$P277,EOMONTH(S$4,0)&lt;$E277),0,MIN($H277,MAX(0,MIN(EOMONTH(S$4,0),$P277)-MAX(S$4,$E277)+1)*$J277))</f>
        <v/>
      </c>
      <c r="T277" s="170">
        <f>IF(OR($B277="",T$4&gt;$P277,EOMONTH(T$4,0)&lt;$E277),0,MIN($H277,MAX(0,MIN(EOMONTH(T$4,0),$P277)-MAX(T$4,$E277)+1)*$J277))</f>
        <v/>
      </c>
      <c r="U277" s="170">
        <f>IF(OR($B277="",U$4&gt;$P277,EOMONTH(U$4,0)&lt;$E277),0,MIN($H277,MAX(0,MIN(EOMONTH(U$4,0),$P277)-MAX(U$4,$E277)+1)*$J277))</f>
        <v/>
      </c>
      <c r="V277" s="170">
        <f>IF(OR($B277="",V$4&gt;$P277,EOMONTH(V$4,0)&lt;$E277),0,MIN($H277,MAX(0,MIN(EOMONTH(V$4,0),$P277)-MAX(V$4,$E277)+1)*$J277))</f>
        <v/>
      </c>
      <c r="W277" s="170">
        <f>IF(OR($B277="",W$4&gt;$P277,EOMONTH(W$4,0)&lt;$E277),0,MIN($H277,MAX(0,MIN(EOMONTH(W$4,0),$P277)-MAX(W$4,$E277)+1)*$J277))</f>
        <v/>
      </c>
      <c r="X277" s="170">
        <f>IF(OR($B277="",X$4&gt;$P277,EOMONTH(X$4,0)&lt;$E277),0,MIN($H277,MAX(0,MIN(EOMONTH(X$4,0),$P277)-MAX(X$4,$E277)+1)*$J277))</f>
        <v/>
      </c>
      <c r="Y277" s="170">
        <f>IF(OR($B277="",Y$4&gt;$P277,EOMONTH(Y$4,0)&lt;$E277),0,MIN($H277,MAX(0,MIN(EOMONTH(Y$4,0),$P277)-MAX(Y$4,$E277)+1)*$J277))</f>
        <v/>
      </c>
      <c r="Z277" s="170">
        <f>IF(OR($B277="",Z$4&gt;$P277,EOMONTH(Z$4,0)&lt;$E277),0,MIN($H277,MAX(0,MIN(EOMONTH(Z$4,0),$P277)-MAX(Z$4,$E277)+1)*$J277))</f>
        <v/>
      </c>
      <c r="AA277" s="170">
        <f>IF(OR($B277="",AA$4&gt;$P277,EOMONTH(AA$4,0)&lt;$E277),0,MIN($H277,MAX(0,MIN(EOMONTH(AA$4,0),$P277)-MAX(AA$4,$E277)+1)*$J277))</f>
        <v/>
      </c>
      <c r="AB277" s="170">
        <f>IF(OR($B277="",AB$4&gt;$P277,EOMONTH(AB$4,0)&lt;$E277),0,MIN($H277,MAX(0,MIN(EOMONTH(AB$4,0),$P277)-MAX(AB$4,$E277)+1)*$J277))</f>
        <v/>
      </c>
      <c r="AC277" s="170">
        <f>IF(OR($B277="",AC$4&gt;$P277,EOMONTH(AC$4,0)&lt;$E277),0,MIN($H277,MAX(0,MIN(EOMONTH(AC$4,0),$P277)-MAX(AC$4,$E277)+1)*$J277))</f>
        <v/>
      </c>
      <c r="AD277" s="170">
        <f>IF(B277="","",ROUND(SUM(R277:AC277),0))</f>
        <v/>
      </c>
      <c r="AE277" s="170">
        <f>IF(B277="","",MIN(H277,ROUND(Q277+SUM(R277:AC277),0)))</f>
        <v/>
      </c>
      <c r="AF277" s="170">
        <f>IF(B277="","",MAX(H277-AE277,0))</f>
        <v/>
      </c>
      <c r="AG277" s="172">
        <f>IF(B277="","",IF('Thiết lập'!$B$4&lt;E277,"Chưa phân bổ",IF(P277&lt;='Thiết lập'!$B$4,"Đã phân bổ","Đang phân bổ")))</f>
        <v/>
      </c>
      <c r="AH277" s="166" t="n"/>
      <c r="AI277" s="174">
        <f>IF(B277="","",IF(AND(C277&lt;&gt;"",D277&lt;&gt;"",E277&lt;&gt;"",E277&gt;=D277,F277&gt;0,G277&gt;0,I277&gt;0,COUNTIF($B$7:$B$306,B277)=1),"OK",IF(C277="","Thiếu tên; ","")&amp;IF(D277="","Thiếu ngày tăng; ","")&amp;IF(E277="","Thiếu ngày bắt đầu; ","")&amp;IF(AND(D277&lt;&gt;"",E277&lt;&gt;"",E277&lt;D277),"Ngày bắt đầu &lt; ngày tăng; ","")&amp;IF(OR(F277="",F277&lt;=0),"Số lượng không hợp lệ; ","")&amp;IF(OR(G277="",G277&lt;=0),"Đơn giá không hợp lệ; ","")&amp;IF(OR(I277="",I277&lt;=0),"Số tháng không hợp lệ; ","")&amp;IF(COUNTIF($B$7:$B$306,B277)&gt;1,"Trùng mã CPTT; ","")))</f>
        <v/>
      </c>
    </row>
    <row r="278" ht="19.5" customHeight="1" s="98">
      <c r="A278" s="164">
        <f>IF(B278="","",ROW()-6)</f>
        <v/>
      </c>
      <c r="B278" s="165" t="n"/>
      <c r="C278" s="166" t="n"/>
      <c r="D278" s="167" t="n"/>
      <c r="E278" s="167" t="n"/>
      <c r="F278" s="168" t="n"/>
      <c r="G278" s="169" t="n"/>
      <c r="H278" s="170">
        <f>IF(OR(F278="",G278=""),"",F278*G278)</f>
        <v/>
      </c>
      <c r="I278" s="171" t="n"/>
      <c r="J278" s="170">
        <f>IF(OR(H278="",E278="",P278=""),"",H278/(P278-E278+1))</f>
        <v/>
      </c>
      <c r="K278" s="165" t="n"/>
      <c r="L278" s="172">
        <f>IF(B278="","",IF(AF278&lt;=0,"Đã phân bổ",IF(P278&lt;=EDATE('Thiết lập'!$B$4,12),"Ngắn hạn","Dài hạn")))</f>
        <v/>
      </c>
      <c r="M278" s="165" t="n"/>
      <c r="N278" s="165" t="n"/>
      <c r="O278" s="165" t="n"/>
      <c r="P278" s="173">
        <f>IF(OR(E278="",I278=""),"",EDATE(E278,I278)-1)</f>
        <v/>
      </c>
      <c r="Q278" s="170">
        <f>IF(OR(B278="",E278="",P278=""),0,MIN(H278,MAX(0,MIN(P278,DATE('Thiết lập'!$B$3-1,12,31))-E278+1)*J278))</f>
        <v/>
      </c>
      <c r="R278" s="170">
        <f>IF(OR($B278="",R$4&gt;$P278,EOMONTH(R$4,0)&lt;$E278),0,MIN($H278,MAX(0,MIN(EOMONTH(R$4,0),$P278)-MAX(R$4,$E278)+1)*$J278))</f>
        <v/>
      </c>
      <c r="S278" s="170">
        <f>IF(OR($B278="",S$4&gt;$P278,EOMONTH(S$4,0)&lt;$E278),0,MIN($H278,MAX(0,MIN(EOMONTH(S$4,0),$P278)-MAX(S$4,$E278)+1)*$J278))</f>
        <v/>
      </c>
      <c r="T278" s="170">
        <f>IF(OR($B278="",T$4&gt;$P278,EOMONTH(T$4,0)&lt;$E278),0,MIN($H278,MAX(0,MIN(EOMONTH(T$4,0),$P278)-MAX(T$4,$E278)+1)*$J278))</f>
        <v/>
      </c>
      <c r="U278" s="170">
        <f>IF(OR($B278="",U$4&gt;$P278,EOMONTH(U$4,0)&lt;$E278),0,MIN($H278,MAX(0,MIN(EOMONTH(U$4,0),$P278)-MAX(U$4,$E278)+1)*$J278))</f>
        <v/>
      </c>
      <c r="V278" s="170">
        <f>IF(OR($B278="",V$4&gt;$P278,EOMONTH(V$4,0)&lt;$E278),0,MIN($H278,MAX(0,MIN(EOMONTH(V$4,0),$P278)-MAX(V$4,$E278)+1)*$J278))</f>
        <v/>
      </c>
      <c r="W278" s="170">
        <f>IF(OR($B278="",W$4&gt;$P278,EOMONTH(W$4,0)&lt;$E278),0,MIN($H278,MAX(0,MIN(EOMONTH(W$4,0),$P278)-MAX(W$4,$E278)+1)*$J278))</f>
        <v/>
      </c>
      <c r="X278" s="170">
        <f>IF(OR($B278="",X$4&gt;$P278,EOMONTH(X$4,0)&lt;$E278),0,MIN($H278,MAX(0,MIN(EOMONTH(X$4,0),$P278)-MAX(X$4,$E278)+1)*$J278))</f>
        <v/>
      </c>
      <c r="Y278" s="170">
        <f>IF(OR($B278="",Y$4&gt;$P278,EOMONTH(Y$4,0)&lt;$E278),0,MIN($H278,MAX(0,MIN(EOMONTH(Y$4,0),$P278)-MAX(Y$4,$E278)+1)*$J278))</f>
        <v/>
      </c>
      <c r="Z278" s="170">
        <f>IF(OR($B278="",Z$4&gt;$P278,EOMONTH(Z$4,0)&lt;$E278),0,MIN($H278,MAX(0,MIN(EOMONTH(Z$4,0),$P278)-MAX(Z$4,$E278)+1)*$J278))</f>
        <v/>
      </c>
      <c r="AA278" s="170">
        <f>IF(OR($B278="",AA$4&gt;$P278,EOMONTH(AA$4,0)&lt;$E278),0,MIN($H278,MAX(0,MIN(EOMONTH(AA$4,0),$P278)-MAX(AA$4,$E278)+1)*$J278))</f>
        <v/>
      </c>
      <c r="AB278" s="170">
        <f>IF(OR($B278="",AB$4&gt;$P278,EOMONTH(AB$4,0)&lt;$E278),0,MIN($H278,MAX(0,MIN(EOMONTH(AB$4,0),$P278)-MAX(AB$4,$E278)+1)*$J278))</f>
        <v/>
      </c>
      <c r="AC278" s="170">
        <f>IF(OR($B278="",AC$4&gt;$P278,EOMONTH(AC$4,0)&lt;$E278),0,MIN($H278,MAX(0,MIN(EOMONTH(AC$4,0),$P278)-MAX(AC$4,$E278)+1)*$J278))</f>
        <v/>
      </c>
      <c r="AD278" s="170">
        <f>IF(B278="","",ROUND(SUM(R278:AC278),0))</f>
        <v/>
      </c>
      <c r="AE278" s="170">
        <f>IF(B278="","",MIN(H278,ROUND(Q278+SUM(R278:AC278),0)))</f>
        <v/>
      </c>
      <c r="AF278" s="170">
        <f>IF(B278="","",MAX(H278-AE278,0))</f>
        <v/>
      </c>
      <c r="AG278" s="172">
        <f>IF(B278="","",IF('Thiết lập'!$B$4&lt;E278,"Chưa phân bổ",IF(P278&lt;='Thiết lập'!$B$4,"Đã phân bổ","Đang phân bổ")))</f>
        <v/>
      </c>
      <c r="AH278" s="166" t="n"/>
      <c r="AI278" s="174">
        <f>IF(B278="","",IF(AND(C278&lt;&gt;"",D278&lt;&gt;"",E278&lt;&gt;"",E278&gt;=D278,F278&gt;0,G278&gt;0,I278&gt;0,COUNTIF($B$7:$B$306,B278)=1),"OK",IF(C278="","Thiếu tên; ","")&amp;IF(D278="","Thiếu ngày tăng; ","")&amp;IF(E278="","Thiếu ngày bắt đầu; ","")&amp;IF(AND(D278&lt;&gt;"",E278&lt;&gt;"",E278&lt;D278),"Ngày bắt đầu &lt; ngày tăng; ","")&amp;IF(OR(F278="",F278&lt;=0),"Số lượng không hợp lệ; ","")&amp;IF(OR(G278="",G278&lt;=0),"Đơn giá không hợp lệ; ","")&amp;IF(OR(I278="",I278&lt;=0),"Số tháng không hợp lệ; ","")&amp;IF(COUNTIF($B$7:$B$306,B278)&gt;1,"Trùng mã CPTT; ","")))</f>
        <v/>
      </c>
    </row>
    <row r="279" ht="19.5" customHeight="1" s="98">
      <c r="A279" s="164">
        <f>IF(B279="","",ROW()-6)</f>
        <v/>
      </c>
      <c r="B279" s="165" t="n"/>
      <c r="C279" s="166" t="n"/>
      <c r="D279" s="167" t="n"/>
      <c r="E279" s="167" t="n"/>
      <c r="F279" s="168" t="n"/>
      <c r="G279" s="169" t="n"/>
      <c r="H279" s="170">
        <f>IF(OR(F279="",G279=""),"",F279*G279)</f>
        <v/>
      </c>
      <c r="I279" s="171" t="n"/>
      <c r="J279" s="170">
        <f>IF(OR(H279="",E279="",P279=""),"",H279/(P279-E279+1))</f>
        <v/>
      </c>
      <c r="K279" s="165" t="n"/>
      <c r="L279" s="172">
        <f>IF(B279="","",IF(AF279&lt;=0,"Đã phân bổ",IF(P279&lt;=EDATE('Thiết lập'!$B$4,12),"Ngắn hạn","Dài hạn")))</f>
        <v/>
      </c>
      <c r="M279" s="165" t="n"/>
      <c r="N279" s="165" t="n"/>
      <c r="O279" s="165" t="n"/>
      <c r="P279" s="173">
        <f>IF(OR(E279="",I279=""),"",EDATE(E279,I279)-1)</f>
        <v/>
      </c>
      <c r="Q279" s="170">
        <f>IF(OR(B279="",E279="",P279=""),0,MIN(H279,MAX(0,MIN(P279,DATE('Thiết lập'!$B$3-1,12,31))-E279+1)*J279))</f>
        <v/>
      </c>
      <c r="R279" s="170">
        <f>IF(OR($B279="",R$4&gt;$P279,EOMONTH(R$4,0)&lt;$E279),0,MIN($H279,MAX(0,MIN(EOMONTH(R$4,0),$P279)-MAX(R$4,$E279)+1)*$J279))</f>
        <v/>
      </c>
      <c r="S279" s="170">
        <f>IF(OR($B279="",S$4&gt;$P279,EOMONTH(S$4,0)&lt;$E279),0,MIN($H279,MAX(0,MIN(EOMONTH(S$4,0),$P279)-MAX(S$4,$E279)+1)*$J279))</f>
        <v/>
      </c>
      <c r="T279" s="170">
        <f>IF(OR($B279="",T$4&gt;$P279,EOMONTH(T$4,0)&lt;$E279),0,MIN($H279,MAX(0,MIN(EOMONTH(T$4,0),$P279)-MAX(T$4,$E279)+1)*$J279))</f>
        <v/>
      </c>
      <c r="U279" s="170">
        <f>IF(OR($B279="",U$4&gt;$P279,EOMONTH(U$4,0)&lt;$E279),0,MIN($H279,MAX(0,MIN(EOMONTH(U$4,0),$P279)-MAX(U$4,$E279)+1)*$J279))</f>
        <v/>
      </c>
      <c r="V279" s="170">
        <f>IF(OR($B279="",V$4&gt;$P279,EOMONTH(V$4,0)&lt;$E279),0,MIN($H279,MAX(0,MIN(EOMONTH(V$4,0),$P279)-MAX(V$4,$E279)+1)*$J279))</f>
        <v/>
      </c>
      <c r="W279" s="170">
        <f>IF(OR($B279="",W$4&gt;$P279,EOMONTH(W$4,0)&lt;$E279),0,MIN($H279,MAX(0,MIN(EOMONTH(W$4,0),$P279)-MAX(W$4,$E279)+1)*$J279))</f>
        <v/>
      </c>
      <c r="X279" s="170">
        <f>IF(OR($B279="",X$4&gt;$P279,EOMONTH(X$4,0)&lt;$E279),0,MIN($H279,MAX(0,MIN(EOMONTH(X$4,0),$P279)-MAX(X$4,$E279)+1)*$J279))</f>
        <v/>
      </c>
      <c r="Y279" s="170">
        <f>IF(OR($B279="",Y$4&gt;$P279,EOMONTH(Y$4,0)&lt;$E279),0,MIN($H279,MAX(0,MIN(EOMONTH(Y$4,0),$P279)-MAX(Y$4,$E279)+1)*$J279))</f>
        <v/>
      </c>
      <c r="Z279" s="170">
        <f>IF(OR($B279="",Z$4&gt;$P279,EOMONTH(Z$4,0)&lt;$E279),0,MIN($H279,MAX(0,MIN(EOMONTH(Z$4,0),$P279)-MAX(Z$4,$E279)+1)*$J279))</f>
        <v/>
      </c>
      <c r="AA279" s="170">
        <f>IF(OR($B279="",AA$4&gt;$P279,EOMONTH(AA$4,0)&lt;$E279),0,MIN($H279,MAX(0,MIN(EOMONTH(AA$4,0),$P279)-MAX(AA$4,$E279)+1)*$J279))</f>
        <v/>
      </c>
      <c r="AB279" s="170">
        <f>IF(OR($B279="",AB$4&gt;$P279,EOMONTH(AB$4,0)&lt;$E279),0,MIN($H279,MAX(0,MIN(EOMONTH(AB$4,0),$P279)-MAX(AB$4,$E279)+1)*$J279))</f>
        <v/>
      </c>
      <c r="AC279" s="170">
        <f>IF(OR($B279="",AC$4&gt;$P279,EOMONTH(AC$4,0)&lt;$E279),0,MIN($H279,MAX(0,MIN(EOMONTH(AC$4,0),$P279)-MAX(AC$4,$E279)+1)*$J279))</f>
        <v/>
      </c>
      <c r="AD279" s="170">
        <f>IF(B279="","",ROUND(SUM(R279:AC279),0))</f>
        <v/>
      </c>
      <c r="AE279" s="170">
        <f>IF(B279="","",MIN(H279,ROUND(Q279+SUM(R279:AC279),0)))</f>
        <v/>
      </c>
      <c r="AF279" s="170">
        <f>IF(B279="","",MAX(H279-AE279,0))</f>
        <v/>
      </c>
      <c r="AG279" s="172">
        <f>IF(B279="","",IF('Thiết lập'!$B$4&lt;E279,"Chưa phân bổ",IF(P279&lt;='Thiết lập'!$B$4,"Đã phân bổ","Đang phân bổ")))</f>
        <v/>
      </c>
      <c r="AH279" s="166" t="n"/>
      <c r="AI279" s="174">
        <f>IF(B279="","",IF(AND(C279&lt;&gt;"",D279&lt;&gt;"",E279&lt;&gt;"",E279&gt;=D279,F279&gt;0,G279&gt;0,I279&gt;0,COUNTIF($B$7:$B$306,B279)=1),"OK",IF(C279="","Thiếu tên; ","")&amp;IF(D279="","Thiếu ngày tăng; ","")&amp;IF(E279="","Thiếu ngày bắt đầu; ","")&amp;IF(AND(D279&lt;&gt;"",E279&lt;&gt;"",E279&lt;D279),"Ngày bắt đầu &lt; ngày tăng; ","")&amp;IF(OR(F279="",F279&lt;=0),"Số lượng không hợp lệ; ","")&amp;IF(OR(G279="",G279&lt;=0),"Đơn giá không hợp lệ; ","")&amp;IF(OR(I279="",I279&lt;=0),"Số tháng không hợp lệ; ","")&amp;IF(COUNTIF($B$7:$B$306,B279)&gt;1,"Trùng mã CPTT; ","")))</f>
        <v/>
      </c>
    </row>
    <row r="280" ht="19.5" customHeight="1" s="98">
      <c r="A280" s="164">
        <f>IF(B280="","",ROW()-6)</f>
        <v/>
      </c>
      <c r="B280" s="165" t="n"/>
      <c r="C280" s="166" t="n"/>
      <c r="D280" s="167" t="n"/>
      <c r="E280" s="167" t="n"/>
      <c r="F280" s="168" t="n"/>
      <c r="G280" s="169" t="n"/>
      <c r="H280" s="170">
        <f>IF(OR(F280="",G280=""),"",F280*G280)</f>
        <v/>
      </c>
      <c r="I280" s="171" t="n"/>
      <c r="J280" s="170">
        <f>IF(OR(H280="",E280="",P280=""),"",H280/(P280-E280+1))</f>
        <v/>
      </c>
      <c r="K280" s="165" t="n"/>
      <c r="L280" s="172">
        <f>IF(B280="","",IF(AF280&lt;=0,"Đã phân bổ",IF(P280&lt;=EDATE('Thiết lập'!$B$4,12),"Ngắn hạn","Dài hạn")))</f>
        <v/>
      </c>
      <c r="M280" s="165" t="n"/>
      <c r="N280" s="165" t="n"/>
      <c r="O280" s="165" t="n"/>
      <c r="P280" s="173">
        <f>IF(OR(E280="",I280=""),"",EDATE(E280,I280)-1)</f>
        <v/>
      </c>
      <c r="Q280" s="170">
        <f>IF(OR(B280="",E280="",P280=""),0,MIN(H280,MAX(0,MIN(P280,DATE('Thiết lập'!$B$3-1,12,31))-E280+1)*J280))</f>
        <v/>
      </c>
      <c r="R280" s="170">
        <f>IF(OR($B280="",R$4&gt;$P280,EOMONTH(R$4,0)&lt;$E280),0,MIN($H280,MAX(0,MIN(EOMONTH(R$4,0),$P280)-MAX(R$4,$E280)+1)*$J280))</f>
        <v/>
      </c>
      <c r="S280" s="170">
        <f>IF(OR($B280="",S$4&gt;$P280,EOMONTH(S$4,0)&lt;$E280),0,MIN($H280,MAX(0,MIN(EOMONTH(S$4,0),$P280)-MAX(S$4,$E280)+1)*$J280))</f>
        <v/>
      </c>
      <c r="T280" s="170">
        <f>IF(OR($B280="",T$4&gt;$P280,EOMONTH(T$4,0)&lt;$E280),0,MIN($H280,MAX(0,MIN(EOMONTH(T$4,0),$P280)-MAX(T$4,$E280)+1)*$J280))</f>
        <v/>
      </c>
      <c r="U280" s="170">
        <f>IF(OR($B280="",U$4&gt;$P280,EOMONTH(U$4,0)&lt;$E280),0,MIN($H280,MAX(0,MIN(EOMONTH(U$4,0),$P280)-MAX(U$4,$E280)+1)*$J280))</f>
        <v/>
      </c>
      <c r="V280" s="170">
        <f>IF(OR($B280="",V$4&gt;$P280,EOMONTH(V$4,0)&lt;$E280),0,MIN($H280,MAX(0,MIN(EOMONTH(V$4,0),$P280)-MAX(V$4,$E280)+1)*$J280))</f>
        <v/>
      </c>
      <c r="W280" s="170">
        <f>IF(OR($B280="",W$4&gt;$P280,EOMONTH(W$4,0)&lt;$E280),0,MIN($H280,MAX(0,MIN(EOMONTH(W$4,0),$P280)-MAX(W$4,$E280)+1)*$J280))</f>
        <v/>
      </c>
      <c r="X280" s="170">
        <f>IF(OR($B280="",X$4&gt;$P280,EOMONTH(X$4,0)&lt;$E280),0,MIN($H280,MAX(0,MIN(EOMONTH(X$4,0),$P280)-MAX(X$4,$E280)+1)*$J280))</f>
        <v/>
      </c>
      <c r="Y280" s="170">
        <f>IF(OR($B280="",Y$4&gt;$P280,EOMONTH(Y$4,0)&lt;$E280),0,MIN($H280,MAX(0,MIN(EOMONTH(Y$4,0),$P280)-MAX(Y$4,$E280)+1)*$J280))</f>
        <v/>
      </c>
      <c r="Z280" s="170">
        <f>IF(OR($B280="",Z$4&gt;$P280,EOMONTH(Z$4,0)&lt;$E280),0,MIN($H280,MAX(0,MIN(EOMONTH(Z$4,0),$P280)-MAX(Z$4,$E280)+1)*$J280))</f>
        <v/>
      </c>
      <c r="AA280" s="170">
        <f>IF(OR($B280="",AA$4&gt;$P280,EOMONTH(AA$4,0)&lt;$E280),0,MIN($H280,MAX(0,MIN(EOMONTH(AA$4,0),$P280)-MAX(AA$4,$E280)+1)*$J280))</f>
        <v/>
      </c>
      <c r="AB280" s="170">
        <f>IF(OR($B280="",AB$4&gt;$P280,EOMONTH(AB$4,0)&lt;$E280),0,MIN($H280,MAX(0,MIN(EOMONTH(AB$4,0),$P280)-MAX(AB$4,$E280)+1)*$J280))</f>
        <v/>
      </c>
      <c r="AC280" s="170">
        <f>IF(OR($B280="",AC$4&gt;$P280,EOMONTH(AC$4,0)&lt;$E280),0,MIN($H280,MAX(0,MIN(EOMONTH(AC$4,0),$P280)-MAX(AC$4,$E280)+1)*$J280))</f>
        <v/>
      </c>
      <c r="AD280" s="170">
        <f>IF(B280="","",ROUND(SUM(R280:AC280),0))</f>
        <v/>
      </c>
      <c r="AE280" s="170">
        <f>IF(B280="","",MIN(H280,ROUND(Q280+SUM(R280:AC280),0)))</f>
        <v/>
      </c>
      <c r="AF280" s="170">
        <f>IF(B280="","",MAX(H280-AE280,0))</f>
        <v/>
      </c>
      <c r="AG280" s="172">
        <f>IF(B280="","",IF('Thiết lập'!$B$4&lt;E280,"Chưa phân bổ",IF(P280&lt;='Thiết lập'!$B$4,"Đã phân bổ","Đang phân bổ")))</f>
        <v/>
      </c>
      <c r="AH280" s="166" t="n"/>
      <c r="AI280" s="174">
        <f>IF(B280="","",IF(AND(C280&lt;&gt;"",D280&lt;&gt;"",E280&lt;&gt;"",E280&gt;=D280,F280&gt;0,G280&gt;0,I280&gt;0,COUNTIF($B$7:$B$306,B280)=1),"OK",IF(C280="","Thiếu tên; ","")&amp;IF(D280="","Thiếu ngày tăng; ","")&amp;IF(E280="","Thiếu ngày bắt đầu; ","")&amp;IF(AND(D280&lt;&gt;"",E280&lt;&gt;"",E280&lt;D280),"Ngày bắt đầu &lt; ngày tăng; ","")&amp;IF(OR(F280="",F280&lt;=0),"Số lượng không hợp lệ; ","")&amp;IF(OR(G280="",G280&lt;=0),"Đơn giá không hợp lệ; ","")&amp;IF(OR(I280="",I280&lt;=0),"Số tháng không hợp lệ; ","")&amp;IF(COUNTIF($B$7:$B$306,B280)&gt;1,"Trùng mã CPTT; ","")))</f>
        <v/>
      </c>
    </row>
    <row r="281" ht="19.5" customHeight="1" s="98">
      <c r="A281" s="164">
        <f>IF(B281="","",ROW()-6)</f>
        <v/>
      </c>
      <c r="B281" s="165" t="n"/>
      <c r="C281" s="166" t="n"/>
      <c r="D281" s="167" t="n"/>
      <c r="E281" s="167" t="n"/>
      <c r="F281" s="168" t="n"/>
      <c r="G281" s="169" t="n"/>
      <c r="H281" s="170">
        <f>IF(OR(F281="",G281=""),"",F281*G281)</f>
        <v/>
      </c>
      <c r="I281" s="171" t="n"/>
      <c r="J281" s="170">
        <f>IF(OR(H281="",E281="",P281=""),"",H281/(P281-E281+1))</f>
        <v/>
      </c>
      <c r="K281" s="165" t="n"/>
      <c r="L281" s="172">
        <f>IF(B281="","",IF(AF281&lt;=0,"Đã phân bổ",IF(P281&lt;=EDATE('Thiết lập'!$B$4,12),"Ngắn hạn","Dài hạn")))</f>
        <v/>
      </c>
      <c r="M281" s="165" t="n"/>
      <c r="N281" s="165" t="n"/>
      <c r="O281" s="165" t="n"/>
      <c r="P281" s="173">
        <f>IF(OR(E281="",I281=""),"",EDATE(E281,I281)-1)</f>
        <v/>
      </c>
      <c r="Q281" s="170">
        <f>IF(OR(B281="",E281="",P281=""),0,MIN(H281,MAX(0,MIN(P281,DATE('Thiết lập'!$B$3-1,12,31))-E281+1)*J281))</f>
        <v/>
      </c>
      <c r="R281" s="170">
        <f>IF(OR($B281="",R$4&gt;$P281,EOMONTH(R$4,0)&lt;$E281),0,MIN($H281,MAX(0,MIN(EOMONTH(R$4,0),$P281)-MAX(R$4,$E281)+1)*$J281))</f>
        <v/>
      </c>
      <c r="S281" s="170">
        <f>IF(OR($B281="",S$4&gt;$P281,EOMONTH(S$4,0)&lt;$E281),0,MIN($H281,MAX(0,MIN(EOMONTH(S$4,0),$P281)-MAX(S$4,$E281)+1)*$J281))</f>
        <v/>
      </c>
      <c r="T281" s="170">
        <f>IF(OR($B281="",T$4&gt;$P281,EOMONTH(T$4,0)&lt;$E281),0,MIN($H281,MAX(0,MIN(EOMONTH(T$4,0),$P281)-MAX(T$4,$E281)+1)*$J281))</f>
        <v/>
      </c>
      <c r="U281" s="170">
        <f>IF(OR($B281="",U$4&gt;$P281,EOMONTH(U$4,0)&lt;$E281),0,MIN($H281,MAX(0,MIN(EOMONTH(U$4,0),$P281)-MAX(U$4,$E281)+1)*$J281))</f>
        <v/>
      </c>
      <c r="V281" s="170">
        <f>IF(OR($B281="",V$4&gt;$P281,EOMONTH(V$4,0)&lt;$E281),0,MIN($H281,MAX(0,MIN(EOMONTH(V$4,0),$P281)-MAX(V$4,$E281)+1)*$J281))</f>
        <v/>
      </c>
      <c r="W281" s="170">
        <f>IF(OR($B281="",W$4&gt;$P281,EOMONTH(W$4,0)&lt;$E281),0,MIN($H281,MAX(0,MIN(EOMONTH(W$4,0),$P281)-MAX(W$4,$E281)+1)*$J281))</f>
        <v/>
      </c>
      <c r="X281" s="170">
        <f>IF(OR($B281="",X$4&gt;$P281,EOMONTH(X$4,0)&lt;$E281),0,MIN($H281,MAX(0,MIN(EOMONTH(X$4,0),$P281)-MAX(X$4,$E281)+1)*$J281))</f>
        <v/>
      </c>
      <c r="Y281" s="170">
        <f>IF(OR($B281="",Y$4&gt;$P281,EOMONTH(Y$4,0)&lt;$E281),0,MIN($H281,MAX(0,MIN(EOMONTH(Y$4,0),$P281)-MAX(Y$4,$E281)+1)*$J281))</f>
        <v/>
      </c>
      <c r="Z281" s="170">
        <f>IF(OR($B281="",Z$4&gt;$P281,EOMONTH(Z$4,0)&lt;$E281),0,MIN($H281,MAX(0,MIN(EOMONTH(Z$4,0),$P281)-MAX(Z$4,$E281)+1)*$J281))</f>
        <v/>
      </c>
      <c r="AA281" s="170">
        <f>IF(OR($B281="",AA$4&gt;$P281,EOMONTH(AA$4,0)&lt;$E281),0,MIN($H281,MAX(0,MIN(EOMONTH(AA$4,0),$P281)-MAX(AA$4,$E281)+1)*$J281))</f>
        <v/>
      </c>
      <c r="AB281" s="170">
        <f>IF(OR($B281="",AB$4&gt;$P281,EOMONTH(AB$4,0)&lt;$E281),0,MIN($H281,MAX(0,MIN(EOMONTH(AB$4,0),$P281)-MAX(AB$4,$E281)+1)*$J281))</f>
        <v/>
      </c>
      <c r="AC281" s="170">
        <f>IF(OR($B281="",AC$4&gt;$P281,EOMONTH(AC$4,0)&lt;$E281),0,MIN($H281,MAX(0,MIN(EOMONTH(AC$4,0),$P281)-MAX(AC$4,$E281)+1)*$J281))</f>
        <v/>
      </c>
      <c r="AD281" s="170">
        <f>IF(B281="","",ROUND(SUM(R281:AC281),0))</f>
        <v/>
      </c>
      <c r="AE281" s="170">
        <f>IF(B281="","",MIN(H281,ROUND(Q281+SUM(R281:AC281),0)))</f>
        <v/>
      </c>
      <c r="AF281" s="170">
        <f>IF(B281="","",MAX(H281-AE281,0))</f>
        <v/>
      </c>
      <c r="AG281" s="172">
        <f>IF(B281="","",IF('Thiết lập'!$B$4&lt;E281,"Chưa phân bổ",IF(P281&lt;='Thiết lập'!$B$4,"Đã phân bổ","Đang phân bổ")))</f>
        <v/>
      </c>
      <c r="AH281" s="166" t="n"/>
      <c r="AI281" s="174">
        <f>IF(B281="","",IF(AND(C281&lt;&gt;"",D281&lt;&gt;"",E281&lt;&gt;"",E281&gt;=D281,F281&gt;0,G281&gt;0,I281&gt;0,COUNTIF($B$7:$B$306,B281)=1),"OK",IF(C281="","Thiếu tên; ","")&amp;IF(D281="","Thiếu ngày tăng; ","")&amp;IF(E281="","Thiếu ngày bắt đầu; ","")&amp;IF(AND(D281&lt;&gt;"",E281&lt;&gt;"",E281&lt;D281),"Ngày bắt đầu &lt; ngày tăng; ","")&amp;IF(OR(F281="",F281&lt;=0),"Số lượng không hợp lệ; ","")&amp;IF(OR(G281="",G281&lt;=0),"Đơn giá không hợp lệ; ","")&amp;IF(OR(I281="",I281&lt;=0),"Số tháng không hợp lệ; ","")&amp;IF(COUNTIF($B$7:$B$306,B281)&gt;1,"Trùng mã CPTT; ","")))</f>
        <v/>
      </c>
    </row>
    <row r="282" ht="19.5" customHeight="1" s="98">
      <c r="A282" s="164">
        <f>IF(B282="","",ROW()-6)</f>
        <v/>
      </c>
      <c r="B282" s="165" t="n"/>
      <c r="C282" s="166" t="n"/>
      <c r="D282" s="167" t="n"/>
      <c r="E282" s="167" t="n"/>
      <c r="F282" s="168" t="n"/>
      <c r="G282" s="169" t="n"/>
      <c r="H282" s="170">
        <f>IF(OR(F282="",G282=""),"",F282*G282)</f>
        <v/>
      </c>
      <c r="I282" s="171" t="n"/>
      <c r="J282" s="170">
        <f>IF(OR(H282="",E282="",P282=""),"",H282/(P282-E282+1))</f>
        <v/>
      </c>
      <c r="K282" s="165" t="n"/>
      <c r="L282" s="172">
        <f>IF(B282="","",IF(AF282&lt;=0,"Đã phân bổ",IF(P282&lt;=EDATE('Thiết lập'!$B$4,12),"Ngắn hạn","Dài hạn")))</f>
        <v/>
      </c>
      <c r="M282" s="165" t="n"/>
      <c r="N282" s="165" t="n"/>
      <c r="O282" s="165" t="n"/>
      <c r="P282" s="173">
        <f>IF(OR(E282="",I282=""),"",EDATE(E282,I282)-1)</f>
        <v/>
      </c>
      <c r="Q282" s="170">
        <f>IF(OR(B282="",E282="",P282=""),0,MIN(H282,MAX(0,MIN(P282,DATE('Thiết lập'!$B$3-1,12,31))-E282+1)*J282))</f>
        <v/>
      </c>
      <c r="R282" s="170">
        <f>IF(OR($B282="",R$4&gt;$P282,EOMONTH(R$4,0)&lt;$E282),0,MIN($H282,MAX(0,MIN(EOMONTH(R$4,0),$P282)-MAX(R$4,$E282)+1)*$J282))</f>
        <v/>
      </c>
      <c r="S282" s="170">
        <f>IF(OR($B282="",S$4&gt;$P282,EOMONTH(S$4,0)&lt;$E282),0,MIN($H282,MAX(0,MIN(EOMONTH(S$4,0),$P282)-MAX(S$4,$E282)+1)*$J282))</f>
        <v/>
      </c>
      <c r="T282" s="170">
        <f>IF(OR($B282="",T$4&gt;$P282,EOMONTH(T$4,0)&lt;$E282),0,MIN($H282,MAX(0,MIN(EOMONTH(T$4,0),$P282)-MAX(T$4,$E282)+1)*$J282))</f>
        <v/>
      </c>
      <c r="U282" s="170">
        <f>IF(OR($B282="",U$4&gt;$P282,EOMONTH(U$4,0)&lt;$E282),0,MIN($H282,MAX(0,MIN(EOMONTH(U$4,0),$P282)-MAX(U$4,$E282)+1)*$J282))</f>
        <v/>
      </c>
      <c r="V282" s="170">
        <f>IF(OR($B282="",V$4&gt;$P282,EOMONTH(V$4,0)&lt;$E282),0,MIN($H282,MAX(0,MIN(EOMONTH(V$4,0),$P282)-MAX(V$4,$E282)+1)*$J282))</f>
        <v/>
      </c>
      <c r="W282" s="170">
        <f>IF(OR($B282="",W$4&gt;$P282,EOMONTH(W$4,0)&lt;$E282),0,MIN($H282,MAX(0,MIN(EOMONTH(W$4,0),$P282)-MAX(W$4,$E282)+1)*$J282))</f>
        <v/>
      </c>
      <c r="X282" s="170">
        <f>IF(OR($B282="",X$4&gt;$P282,EOMONTH(X$4,0)&lt;$E282),0,MIN($H282,MAX(0,MIN(EOMONTH(X$4,0),$P282)-MAX(X$4,$E282)+1)*$J282))</f>
        <v/>
      </c>
      <c r="Y282" s="170">
        <f>IF(OR($B282="",Y$4&gt;$P282,EOMONTH(Y$4,0)&lt;$E282),0,MIN($H282,MAX(0,MIN(EOMONTH(Y$4,0),$P282)-MAX(Y$4,$E282)+1)*$J282))</f>
        <v/>
      </c>
      <c r="Z282" s="170">
        <f>IF(OR($B282="",Z$4&gt;$P282,EOMONTH(Z$4,0)&lt;$E282),0,MIN($H282,MAX(0,MIN(EOMONTH(Z$4,0),$P282)-MAX(Z$4,$E282)+1)*$J282))</f>
        <v/>
      </c>
      <c r="AA282" s="170">
        <f>IF(OR($B282="",AA$4&gt;$P282,EOMONTH(AA$4,0)&lt;$E282),0,MIN($H282,MAX(0,MIN(EOMONTH(AA$4,0),$P282)-MAX(AA$4,$E282)+1)*$J282))</f>
        <v/>
      </c>
      <c r="AB282" s="170">
        <f>IF(OR($B282="",AB$4&gt;$P282,EOMONTH(AB$4,0)&lt;$E282),0,MIN($H282,MAX(0,MIN(EOMONTH(AB$4,0),$P282)-MAX(AB$4,$E282)+1)*$J282))</f>
        <v/>
      </c>
      <c r="AC282" s="170">
        <f>IF(OR($B282="",AC$4&gt;$P282,EOMONTH(AC$4,0)&lt;$E282),0,MIN($H282,MAX(0,MIN(EOMONTH(AC$4,0),$P282)-MAX(AC$4,$E282)+1)*$J282))</f>
        <v/>
      </c>
      <c r="AD282" s="170">
        <f>IF(B282="","",ROUND(SUM(R282:AC282),0))</f>
        <v/>
      </c>
      <c r="AE282" s="170">
        <f>IF(B282="","",MIN(H282,ROUND(Q282+SUM(R282:AC282),0)))</f>
        <v/>
      </c>
      <c r="AF282" s="170">
        <f>IF(B282="","",MAX(H282-AE282,0))</f>
        <v/>
      </c>
      <c r="AG282" s="172">
        <f>IF(B282="","",IF('Thiết lập'!$B$4&lt;E282,"Chưa phân bổ",IF(P282&lt;='Thiết lập'!$B$4,"Đã phân bổ","Đang phân bổ")))</f>
        <v/>
      </c>
      <c r="AH282" s="166" t="n"/>
      <c r="AI282" s="174">
        <f>IF(B282="","",IF(AND(C282&lt;&gt;"",D282&lt;&gt;"",E282&lt;&gt;"",E282&gt;=D282,F282&gt;0,G282&gt;0,I282&gt;0,COUNTIF($B$7:$B$306,B282)=1),"OK",IF(C282="","Thiếu tên; ","")&amp;IF(D282="","Thiếu ngày tăng; ","")&amp;IF(E282="","Thiếu ngày bắt đầu; ","")&amp;IF(AND(D282&lt;&gt;"",E282&lt;&gt;"",E282&lt;D282),"Ngày bắt đầu &lt; ngày tăng; ","")&amp;IF(OR(F282="",F282&lt;=0),"Số lượng không hợp lệ; ","")&amp;IF(OR(G282="",G282&lt;=0),"Đơn giá không hợp lệ; ","")&amp;IF(OR(I282="",I282&lt;=0),"Số tháng không hợp lệ; ","")&amp;IF(COUNTIF($B$7:$B$306,B282)&gt;1,"Trùng mã CPTT; ","")))</f>
        <v/>
      </c>
    </row>
    <row r="283" ht="19.5" customHeight="1" s="98">
      <c r="A283" s="164">
        <f>IF(B283="","",ROW()-6)</f>
        <v/>
      </c>
      <c r="B283" s="165" t="n"/>
      <c r="C283" s="166" t="n"/>
      <c r="D283" s="167" t="n"/>
      <c r="E283" s="167" t="n"/>
      <c r="F283" s="168" t="n"/>
      <c r="G283" s="169" t="n"/>
      <c r="H283" s="170">
        <f>IF(OR(F283="",G283=""),"",F283*G283)</f>
        <v/>
      </c>
      <c r="I283" s="171" t="n"/>
      <c r="J283" s="170">
        <f>IF(OR(H283="",E283="",P283=""),"",H283/(P283-E283+1))</f>
        <v/>
      </c>
      <c r="K283" s="165" t="n"/>
      <c r="L283" s="172">
        <f>IF(B283="","",IF(AF283&lt;=0,"Đã phân bổ",IF(P283&lt;=EDATE('Thiết lập'!$B$4,12),"Ngắn hạn","Dài hạn")))</f>
        <v/>
      </c>
      <c r="M283" s="165" t="n"/>
      <c r="N283" s="165" t="n"/>
      <c r="O283" s="165" t="n"/>
      <c r="P283" s="173">
        <f>IF(OR(E283="",I283=""),"",EDATE(E283,I283)-1)</f>
        <v/>
      </c>
      <c r="Q283" s="170">
        <f>IF(OR(B283="",E283="",P283=""),0,MIN(H283,MAX(0,MIN(P283,DATE('Thiết lập'!$B$3-1,12,31))-E283+1)*J283))</f>
        <v/>
      </c>
      <c r="R283" s="170">
        <f>IF(OR($B283="",R$4&gt;$P283,EOMONTH(R$4,0)&lt;$E283),0,MIN($H283,MAX(0,MIN(EOMONTH(R$4,0),$P283)-MAX(R$4,$E283)+1)*$J283))</f>
        <v/>
      </c>
      <c r="S283" s="170">
        <f>IF(OR($B283="",S$4&gt;$P283,EOMONTH(S$4,0)&lt;$E283),0,MIN($H283,MAX(0,MIN(EOMONTH(S$4,0),$P283)-MAX(S$4,$E283)+1)*$J283))</f>
        <v/>
      </c>
      <c r="T283" s="170">
        <f>IF(OR($B283="",T$4&gt;$P283,EOMONTH(T$4,0)&lt;$E283),0,MIN($H283,MAX(0,MIN(EOMONTH(T$4,0),$P283)-MAX(T$4,$E283)+1)*$J283))</f>
        <v/>
      </c>
      <c r="U283" s="170">
        <f>IF(OR($B283="",U$4&gt;$P283,EOMONTH(U$4,0)&lt;$E283),0,MIN($H283,MAX(0,MIN(EOMONTH(U$4,0),$P283)-MAX(U$4,$E283)+1)*$J283))</f>
        <v/>
      </c>
      <c r="V283" s="170">
        <f>IF(OR($B283="",V$4&gt;$P283,EOMONTH(V$4,0)&lt;$E283),0,MIN($H283,MAX(0,MIN(EOMONTH(V$4,0),$P283)-MAX(V$4,$E283)+1)*$J283))</f>
        <v/>
      </c>
      <c r="W283" s="170">
        <f>IF(OR($B283="",W$4&gt;$P283,EOMONTH(W$4,0)&lt;$E283),0,MIN($H283,MAX(0,MIN(EOMONTH(W$4,0),$P283)-MAX(W$4,$E283)+1)*$J283))</f>
        <v/>
      </c>
      <c r="X283" s="170">
        <f>IF(OR($B283="",X$4&gt;$P283,EOMONTH(X$4,0)&lt;$E283),0,MIN($H283,MAX(0,MIN(EOMONTH(X$4,0),$P283)-MAX(X$4,$E283)+1)*$J283))</f>
        <v/>
      </c>
      <c r="Y283" s="170">
        <f>IF(OR($B283="",Y$4&gt;$P283,EOMONTH(Y$4,0)&lt;$E283),0,MIN($H283,MAX(0,MIN(EOMONTH(Y$4,0),$P283)-MAX(Y$4,$E283)+1)*$J283))</f>
        <v/>
      </c>
      <c r="Z283" s="170">
        <f>IF(OR($B283="",Z$4&gt;$P283,EOMONTH(Z$4,0)&lt;$E283),0,MIN($H283,MAX(0,MIN(EOMONTH(Z$4,0),$P283)-MAX(Z$4,$E283)+1)*$J283))</f>
        <v/>
      </c>
      <c r="AA283" s="170">
        <f>IF(OR($B283="",AA$4&gt;$P283,EOMONTH(AA$4,0)&lt;$E283),0,MIN($H283,MAX(0,MIN(EOMONTH(AA$4,0),$P283)-MAX(AA$4,$E283)+1)*$J283))</f>
        <v/>
      </c>
      <c r="AB283" s="170">
        <f>IF(OR($B283="",AB$4&gt;$P283,EOMONTH(AB$4,0)&lt;$E283),0,MIN($H283,MAX(0,MIN(EOMONTH(AB$4,0),$P283)-MAX(AB$4,$E283)+1)*$J283))</f>
        <v/>
      </c>
      <c r="AC283" s="170">
        <f>IF(OR($B283="",AC$4&gt;$P283,EOMONTH(AC$4,0)&lt;$E283),0,MIN($H283,MAX(0,MIN(EOMONTH(AC$4,0),$P283)-MAX(AC$4,$E283)+1)*$J283))</f>
        <v/>
      </c>
      <c r="AD283" s="170">
        <f>IF(B283="","",ROUND(SUM(R283:AC283),0))</f>
        <v/>
      </c>
      <c r="AE283" s="170">
        <f>IF(B283="","",MIN(H283,ROUND(Q283+SUM(R283:AC283),0)))</f>
        <v/>
      </c>
      <c r="AF283" s="170">
        <f>IF(B283="","",MAX(H283-AE283,0))</f>
        <v/>
      </c>
      <c r="AG283" s="172">
        <f>IF(B283="","",IF('Thiết lập'!$B$4&lt;E283,"Chưa phân bổ",IF(P283&lt;='Thiết lập'!$B$4,"Đã phân bổ","Đang phân bổ")))</f>
        <v/>
      </c>
      <c r="AH283" s="166" t="n"/>
      <c r="AI283" s="174">
        <f>IF(B283="","",IF(AND(C283&lt;&gt;"",D283&lt;&gt;"",E283&lt;&gt;"",E283&gt;=D283,F283&gt;0,G283&gt;0,I283&gt;0,COUNTIF($B$7:$B$306,B283)=1),"OK",IF(C283="","Thiếu tên; ","")&amp;IF(D283="","Thiếu ngày tăng; ","")&amp;IF(E283="","Thiếu ngày bắt đầu; ","")&amp;IF(AND(D283&lt;&gt;"",E283&lt;&gt;"",E283&lt;D283),"Ngày bắt đầu &lt; ngày tăng; ","")&amp;IF(OR(F283="",F283&lt;=0),"Số lượng không hợp lệ; ","")&amp;IF(OR(G283="",G283&lt;=0),"Đơn giá không hợp lệ; ","")&amp;IF(OR(I283="",I283&lt;=0),"Số tháng không hợp lệ; ","")&amp;IF(COUNTIF($B$7:$B$306,B283)&gt;1,"Trùng mã CPTT; ","")))</f>
        <v/>
      </c>
    </row>
    <row r="284" ht="19.5" customHeight="1" s="98">
      <c r="A284" s="164">
        <f>IF(B284="","",ROW()-6)</f>
        <v/>
      </c>
      <c r="B284" s="165" t="n"/>
      <c r="C284" s="166" t="n"/>
      <c r="D284" s="167" t="n"/>
      <c r="E284" s="167" t="n"/>
      <c r="F284" s="168" t="n"/>
      <c r="G284" s="169" t="n"/>
      <c r="H284" s="170">
        <f>IF(OR(F284="",G284=""),"",F284*G284)</f>
        <v/>
      </c>
      <c r="I284" s="171" t="n"/>
      <c r="J284" s="170">
        <f>IF(OR(H284="",E284="",P284=""),"",H284/(P284-E284+1))</f>
        <v/>
      </c>
      <c r="K284" s="165" t="n"/>
      <c r="L284" s="172">
        <f>IF(B284="","",IF(AF284&lt;=0,"Đã phân bổ",IF(P284&lt;=EDATE('Thiết lập'!$B$4,12),"Ngắn hạn","Dài hạn")))</f>
        <v/>
      </c>
      <c r="M284" s="165" t="n"/>
      <c r="N284" s="165" t="n"/>
      <c r="O284" s="165" t="n"/>
      <c r="P284" s="173">
        <f>IF(OR(E284="",I284=""),"",EDATE(E284,I284)-1)</f>
        <v/>
      </c>
      <c r="Q284" s="170">
        <f>IF(OR(B284="",E284="",P284=""),0,MIN(H284,MAX(0,MIN(P284,DATE('Thiết lập'!$B$3-1,12,31))-E284+1)*J284))</f>
        <v/>
      </c>
      <c r="R284" s="170">
        <f>IF(OR($B284="",R$4&gt;$P284,EOMONTH(R$4,0)&lt;$E284),0,MIN($H284,MAX(0,MIN(EOMONTH(R$4,0),$P284)-MAX(R$4,$E284)+1)*$J284))</f>
        <v/>
      </c>
      <c r="S284" s="170">
        <f>IF(OR($B284="",S$4&gt;$P284,EOMONTH(S$4,0)&lt;$E284),0,MIN($H284,MAX(0,MIN(EOMONTH(S$4,0),$P284)-MAX(S$4,$E284)+1)*$J284))</f>
        <v/>
      </c>
      <c r="T284" s="170">
        <f>IF(OR($B284="",T$4&gt;$P284,EOMONTH(T$4,0)&lt;$E284),0,MIN($H284,MAX(0,MIN(EOMONTH(T$4,0),$P284)-MAX(T$4,$E284)+1)*$J284))</f>
        <v/>
      </c>
      <c r="U284" s="170">
        <f>IF(OR($B284="",U$4&gt;$P284,EOMONTH(U$4,0)&lt;$E284),0,MIN($H284,MAX(0,MIN(EOMONTH(U$4,0),$P284)-MAX(U$4,$E284)+1)*$J284))</f>
        <v/>
      </c>
      <c r="V284" s="170">
        <f>IF(OR($B284="",V$4&gt;$P284,EOMONTH(V$4,0)&lt;$E284),0,MIN($H284,MAX(0,MIN(EOMONTH(V$4,0),$P284)-MAX(V$4,$E284)+1)*$J284))</f>
        <v/>
      </c>
      <c r="W284" s="170">
        <f>IF(OR($B284="",W$4&gt;$P284,EOMONTH(W$4,0)&lt;$E284),0,MIN($H284,MAX(0,MIN(EOMONTH(W$4,0),$P284)-MAX(W$4,$E284)+1)*$J284))</f>
        <v/>
      </c>
      <c r="X284" s="170">
        <f>IF(OR($B284="",X$4&gt;$P284,EOMONTH(X$4,0)&lt;$E284),0,MIN($H284,MAX(0,MIN(EOMONTH(X$4,0),$P284)-MAX(X$4,$E284)+1)*$J284))</f>
        <v/>
      </c>
      <c r="Y284" s="170">
        <f>IF(OR($B284="",Y$4&gt;$P284,EOMONTH(Y$4,0)&lt;$E284),0,MIN($H284,MAX(0,MIN(EOMONTH(Y$4,0),$P284)-MAX(Y$4,$E284)+1)*$J284))</f>
        <v/>
      </c>
      <c r="Z284" s="170">
        <f>IF(OR($B284="",Z$4&gt;$P284,EOMONTH(Z$4,0)&lt;$E284),0,MIN($H284,MAX(0,MIN(EOMONTH(Z$4,0),$P284)-MAX(Z$4,$E284)+1)*$J284))</f>
        <v/>
      </c>
      <c r="AA284" s="170">
        <f>IF(OR($B284="",AA$4&gt;$P284,EOMONTH(AA$4,0)&lt;$E284),0,MIN($H284,MAX(0,MIN(EOMONTH(AA$4,0),$P284)-MAX(AA$4,$E284)+1)*$J284))</f>
        <v/>
      </c>
      <c r="AB284" s="170">
        <f>IF(OR($B284="",AB$4&gt;$P284,EOMONTH(AB$4,0)&lt;$E284),0,MIN($H284,MAX(0,MIN(EOMONTH(AB$4,0),$P284)-MAX(AB$4,$E284)+1)*$J284))</f>
        <v/>
      </c>
      <c r="AC284" s="170">
        <f>IF(OR($B284="",AC$4&gt;$P284,EOMONTH(AC$4,0)&lt;$E284),0,MIN($H284,MAX(0,MIN(EOMONTH(AC$4,0),$P284)-MAX(AC$4,$E284)+1)*$J284))</f>
        <v/>
      </c>
      <c r="AD284" s="170">
        <f>IF(B284="","",ROUND(SUM(R284:AC284),0))</f>
        <v/>
      </c>
      <c r="AE284" s="170">
        <f>IF(B284="","",MIN(H284,ROUND(Q284+SUM(R284:AC284),0)))</f>
        <v/>
      </c>
      <c r="AF284" s="170">
        <f>IF(B284="","",MAX(H284-AE284,0))</f>
        <v/>
      </c>
      <c r="AG284" s="172">
        <f>IF(B284="","",IF('Thiết lập'!$B$4&lt;E284,"Chưa phân bổ",IF(P284&lt;='Thiết lập'!$B$4,"Đã phân bổ","Đang phân bổ")))</f>
        <v/>
      </c>
      <c r="AH284" s="166" t="n"/>
      <c r="AI284" s="174">
        <f>IF(B284="","",IF(AND(C284&lt;&gt;"",D284&lt;&gt;"",E284&lt;&gt;"",E284&gt;=D284,F284&gt;0,G284&gt;0,I284&gt;0,COUNTIF($B$7:$B$306,B284)=1),"OK",IF(C284="","Thiếu tên; ","")&amp;IF(D284="","Thiếu ngày tăng; ","")&amp;IF(E284="","Thiếu ngày bắt đầu; ","")&amp;IF(AND(D284&lt;&gt;"",E284&lt;&gt;"",E284&lt;D284),"Ngày bắt đầu &lt; ngày tăng; ","")&amp;IF(OR(F284="",F284&lt;=0),"Số lượng không hợp lệ; ","")&amp;IF(OR(G284="",G284&lt;=0),"Đơn giá không hợp lệ; ","")&amp;IF(OR(I284="",I284&lt;=0),"Số tháng không hợp lệ; ","")&amp;IF(COUNTIF($B$7:$B$306,B284)&gt;1,"Trùng mã CPTT; ","")))</f>
        <v/>
      </c>
    </row>
    <row r="285" ht="19.5" customHeight="1" s="98">
      <c r="A285" s="164">
        <f>IF(B285="","",ROW()-6)</f>
        <v/>
      </c>
      <c r="B285" s="165" t="n"/>
      <c r="C285" s="166" t="n"/>
      <c r="D285" s="167" t="n"/>
      <c r="E285" s="167" t="n"/>
      <c r="F285" s="168" t="n"/>
      <c r="G285" s="169" t="n"/>
      <c r="H285" s="170">
        <f>IF(OR(F285="",G285=""),"",F285*G285)</f>
        <v/>
      </c>
      <c r="I285" s="171" t="n"/>
      <c r="J285" s="170">
        <f>IF(OR(H285="",E285="",P285=""),"",H285/(P285-E285+1))</f>
        <v/>
      </c>
      <c r="K285" s="165" t="n"/>
      <c r="L285" s="172">
        <f>IF(B285="","",IF(AF285&lt;=0,"Đã phân bổ",IF(P285&lt;=EDATE('Thiết lập'!$B$4,12),"Ngắn hạn","Dài hạn")))</f>
        <v/>
      </c>
      <c r="M285" s="165" t="n"/>
      <c r="N285" s="165" t="n"/>
      <c r="O285" s="165" t="n"/>
      <c r="P285" s="173">
        <f>IF(OR(E285="",I285=""),"",EDATE(E285,I285)-1)</f>
        <v/>
      </c>
      <c r="Q285" s="170">
        <f>IF(OR(B285="",E285="",P285=""),0,MIN(H285,MAX(0,MIN(P285,DATE('Thiết lập'!$B$3-1,12,31))-E285+1)*J285))</f>
        <v/>
      </c>
      <c r="R285" s="170">
        <f>IF(OR($B285="",R$4&gt;$P285,EOMONTH(R$4,0)&lt;$E285),0,MIN($H285,MAX(0,MIN(EOMONTH(R$4,0),$P285)-MAX(R$4,$E285)+1)*$J285))</f>
        <v/>
      </c>
      <c r="S285" s="170">
        <f>IF(OR($B285="",S$4&gt;$P285,EOMONTH(S$4,0)&lt;$E285),0,MIN($H285,MAX(0,MIN(EOMONTH(S$4,0),$P285)-MAX(S$4,$E285)+1)*$J285))</f>
        <v/>
      </c>
      <c r="T285" s="170">
        <f>IF(OR($B285="",T$4&gt;$P285,EOMONTH(T$4,0)&lt;$E285),0,MIN($H285,MAX(0,MIN(EOMONTH(T$4,0),$P285)-MAX(T$4,$E285)+1)*$J285))</f>
        <v/>
      </c>
      <c r="U285" s="170">
        <f>IF(OR($B285="",U$4&gt;$P285,EOMONTH(U$4,0)&lt;$E285),0,MIN($H285,MAX(0,MIN(EOMONTH(U$4,0),$P285)-MAX(U$4,$E285)+1)*$J285))</f>
        <v/>
      </c>
      <c r="V285" s="170">
        <f>IF(OR($B285="",V$4&gt;$P285,EOMONTH(V$4,0)&lt;$E285),0,MIN($H285,MAX(0,MIN(EOMONTH(V$4,0),$P285)-MAX(V$4,$E285)+1)*$J285))</f>
        <v/>
      </c>
      <c r="W285" s="170">
        <f>IF(OR($B285="",W$4&gt;$P285,EOMONTH(W$4,0)&lt;$E285),0,MIN($H285,MAX(0,MIN(EOMONTH(W$4,0),$P285)-MAX(W$4,$E285)+1)*$J285))</f>
        <v/>
      </c>
      <c r="X285" s="170">
        <f>IF(OR($B285="",X$4&gt;$P285,EOMONTH(X$4,0)&lt;$E285),0,MIN($H285,MAX(0,MIN(EOMONTH(X$4,0),$P285)-MAX(X$4,$E285)+1)*$J285))</f>
        <v/>
      </c>
      <c r="Y285" s="170">
        <f>IF(OR($B285="",Y$4&gt;$P285,EOMONTH(Y$4,0)&lt;$E285),0,MIN($H285,MAX(0,MIN(EOMONTH(Y$4,0),$P285)-MAX(Y$4,$E285)+1)*$J285))</f>
        <v/>
      </c>
      <c r="Z285" s="170">
        <f>IF(OR($B285="",Z$4&gt;$P285,EOMONTH(Z$4,0)&lt;$E285),0,MIN($H285,MAX(0,MIN(EOMONTH(Z$4,0),$P285)-MAX(Z$4,$E285)+1)*$J285))</f>
        <v/>
      </c>
      <c r="AA285" s="170">
        <f>IF(OR($B285="",AA$4&gt;$P285,EOMONTH(AA$4,0)&lt;$E285),0,MIN($H285,MAX(0,MIN(EOMONTH(AA$4,0),$P285)-MAX(AA$4,$E285)+1)*$J285))</f>
        <v/>
      </c>
      <c r="AB285" s="170">
        <f>IF(OR($B285="",AB$4&gt;$P285,EOMONTH(AB$4,0)&lt;$E285),0,MIN($H285,MAX(0,MIN(EOMONTH(AB$4,0),$P285)-MAX(AB$4,$E285)+1)*$J285))</f>
        <v/>
      </c>
      <c r="AC285" s="170">
        <f>IF(OR($B285="",AC$4&gt;$P285,EOMONTH(AC$4,0)&lt;$E285),0,MIN($H285,MAX(0,MIN(EOMONTH(AC$4,0),$P285)-MAX(AC$4,$E285)+1)*$J285))</f>
        <v/>
      </c>
      <c r="AD285" s="170">
        <f>IF(B285="","",ROUND(SUM(R285:AC285),0))</f>
        <v/>
      </c>
      <c r="AE285" s="170">
        <f>IF(B285="","",MIN(H285,ROUND(Q285+SUM(R285:AC285),0)))</f>
        <v/>
      </c>
      <c r="AF285" s="170">
        <f>IF(B285="","",MAX(H285-AE285,0))</f>
        <v/>
      </c>
      <c r="AG285" s="172">
        <f>IF(B285="","",IF('Thiết lập'!$B$4&lt;E285,"Chưa phân bổ",IF(P285&lt;='Thiết lập'!$B$4,"Đã phân bổ","Đang phân bổ")))</f>
        <v/>
      </c>
      <c r="AH285" s="166" t="n"/>
      <c r="AI285" s="174">
        <f>IF(B285="","",IF(AND(C285&lt;&gt;"",D285&lt;&gt;"",E285&lt;&gt;"",E285&gt;=D285,F285&gt;0,G285&gt;0,I285&gt;0,COUNTIF($B$7:$B$306,B285)=1),"OK",IF(C285="","Thiếu tên; ","")&amp;IF(D285="","Thiếu ngày tăng; ","")&amp;IF(E285="","Thiếu ngày bắt đầu; ","")&amp;IF(AND(D285&lt;&gt;"",E285&lt;&gt;"",E285&lt;D285),"Ngày bắt đầu &lt; ngày tăng; ","")&amp;IF(OR(F285="",F285&lt;=0),"Số lượng không hợp lệ; ","")&amp;IF(OR(G285="",G285&lt;=0),"Đơn giá không hợp lệ; ","")&amp;IF(OR(I285="",I285&lt;=0),"Số tháng không hợp lệ; ","")&amp;IF(COUNTIF($B$7:$B$306,B285)&gt;1,"Trùng mã CPTT; ","")))</f>
        <v/>
      </c>
    </row>
    <row r="286" ht="19.5" customHeight="1" s="98">
      <c r="A286" s="164">
        <f>IF(B286="","",ROW()-6)</f>
        <v/>
      </c>
      <c r="B286" s="165" t="n"/>
      <c r="C286" s="166" t="n"/>
      <c r="D286" s="167" t="n"/>
      <c r="E286" s="167" t="n"/>
      <c r="F286" s="168" t="n"/>
      <c r="G286" s="169" t="n"/>
      <c r="H286" s="170">
        <f>IF(OR(F286="",G286=""),"",F286*G286)</f>
        <v/>
      </c>
      <c r="I286" s="171" t="n"/>
      <c r="J286" s="170">
        <f>IF(OR(H286="",E286="",P286=""),"",H286/(P286-E286+1))</f>
        <v/>
      </c>
      <c r="K286" s="165" t="n"/>
      <c r="L286" s="172">
        <f>IF(B286="","",IF(AF286&lt;=0,"Đã phân bổ",IF(P286&lt;=EDATE('Thiết lập'!$B$4,12),"Ngắn hạn","Dài hạn")))</f>
        <v/>
      </c>
      <c r="M286" s="165" t="n"/>
      <c r="N286" s="165" t="n"/>
      <c r="O286" s="165" t="n"/>
      <c r="P286" s="173">
        <f>IF(OR(E286="",I286=""),"",EDATE(E286,I286)-1)</f>
        <v/>
      </c>
      <c r="Q286" s="170">
        <f>IF(OR(B286="",E286="",P286=""),0,MIN(H286,MAX(0,MIN(P286,DATE('Thiết lập'!$B$3-1,12,31))-E286+1)*J286))</f>
        <v/>
      </c>
      <c r="R286" s="170">
        <f>IF(OR($B286="",R$4&gt;$P286,EOMONTH(R$4,0)&lt;$E286),0,MIN($H286,MAX(0,MIN(EOMONTH(R$4,0),$P286)-MAX(R$4,$E286)+1)*$J286))</f>
        <v/>
      </c>
      <c r="S286" s="170">
        <f>IF(OR($B286="",S$4&gt;$P286,EOMONTH(S$4,0)&lt;$E286),0,MIN($H286,MAX(0,MIN(EOMONTH(S$4,0),$P286)-MAX(S$4,$E286)+1)*$J286))</f>
        <v/>
      </c>
      <c r="T286" s="170">
        <f>IF(OR($B286="",T$4&gt;$P286,EOMONTH(T$4,0)&lt;$E286),0,MIN($H286,MAX(0,MIN(EOMONTH(T$4,0),$P286)-MAX(T$4,$E286)+1)*$J286))</f>
        <v/>
      </c>
      <c r="U286" s="170">
        <f>IF(OR($B286="",U$4&gt;$P286,EOMONTH(U$4,0)&lt;$E286),0,MIN($H286,MAX(0,MIN(EOMONTH(U$4,0),$P286)-MAX(U$4,$E286)+1)*$J286))</f>
        <v/>
      </c>
      <c r="V286" s="170">
        <f>IF(OR($B286="",V$4&gt;$P286,EOMONTH(V$4,0)&lt;$E286),0,MIN($H286,MAX(0,MIN(EOMONTH(V$4,0),$P286)-MAX(V$4,$E286)+1)*$J286))</f>
        <v/>
      </c>
      <c r="W286" s="170">
        <f>IF(OR($B286="",W$4&gt;$P286,EOMONTH(W$4,0)&lt;$E286),0,MIN($H286,MAX(0,MIN(EOMONTH(W$4,0),$P286)-MAX(W$4,$E286)+1)*$J286))</f>
        <v/>
      </c>
      <c r="X286" s="170">
        <f>IF(OR($B286="",X$4&gt;$P286,EOMONTH(X$4,0)&lt;$E286),0,MIN($H286,MAX(0,MIN(EOMONTH(X$4,0),$P286)-MAX(X$4,$E286)+1)*$J286))</f>
        <v/>
      </c>
      <c r="Y286" s="170">
        <f>IF(OR($B286="",Y$4&gt;$P286,EOMONTH(Y$4,0)&lt;$E286),0,MIN($H286,MAX(0,MIN(EOMONTH(Y$4,0),$P286)-MAX(Y$4,$E286)+1)*$J286))</f>
        <v/>
      </c>
      <c r="Z286" s="170">
        <f>IF(OR($B286="",Z$4&gt;$P286,EOMONTH(Z$4,0)&lt;$E286),0,MIN($H286,MAX(0,MIN(EOMONTH(Z$4,0),$P286)-MAX(Z$4,$E286)+1)*$J286))</f>
        <v/>
      </c>
      <c r="AA286" s="170">
        <f>IF(OR($B286="",AA$4&gt;$P286,EOMONTH(AA$4,0)&lt;$E286),0,MIN($H286,MAX(0,MIN(EOMONTH(AA$4,0),$P286)-MAX(AA$4,$E286)+1)*$J286))</f>
        <v/>
      </c>
      <c r="AB286" s="170">
        <f>IF(OR($B286="",AB$4&gt;$P286,EOMONTH(AB$4,0)&lt;$E286),0,MIN($H286,MAX(0,MIN(EOMONTH(AB$4,0),$P286)-MAX(AB$4,$E286)+1)*$J286))</f>
        <v/>
      </c>
      <c r="AC286" s="170">
        <f>IF(OR($B286="",AC$4&gt;$P286,EOMONTH(AC$4,0)&lt;$E286),0,MIN($H286,MAX(0,MIN(EOMONTH(AC$4,0),$P286)-MAX(AC$4,$E286)+1)*$J286))</f>
        <v/>
      </c>
      <c r="AD286" s="170">
        <f>IF(B286="","",ROUND(SUM(R286:AC286),0))</f>
        <v/>
      </c>
      <c r="AE286" s="170">
        <f>IF(B286="","",MIN(H286,ROUND(Q286+SUM(R286:AC286),0)))</f>
        <v/>
      </c>
      <c r="AF286" s="170">
        <f>IF(B286="","",MAX(H286-AE286,0))</f>
        <v/>
      </c>
      <c r="AG286" s="172">
        <f>IF(B286="","",IF('Thiết lập'!$B$4&lt;E286,"Chưa phân bổ",IF(P286&lt;='Thiết lập'!$B$4,"Đã phân bổ","Đang phân bổ")))</f>
        <v/>
      </c>
      <c r="AH286" s="166" t="n"/>
      <c r="AI286" s="174">
        <f>IF(B286="","",IF(AND(C286&lt;&gt;"",D286&lt;&gt;"",E286&lt;&gt;"",E286&gt;=D286,F286&gt;0,G286&gt;0,I286&gt;0,COUNTIF($B$7:$B$306,B286)=1),"OK",IF(C286="","Thiếu tên; ","")&amp;IF(D286="","Thiếu ngày tăng; ","")&amp;IF(E286="","Thiếu ngày bắt đầu; ","")&amp;IF(AND(D286&lt;&gt;"",E286&lt;&gt;"",E286&lt;D286),"Ngày bắt đầu &lt; ngày tăng; ","")&amp;IF(OR(F286="",F286&lt;=0),"Số lượng không hợp lệ; ","")&amp;IF(OR(G286="",G286&lt;=0),"Đơn giá không hợp lệ; ","")&amp;IF(OR(I286="",I286&lt;=0),"Số tháng không hợp lệ; ","")&amp;IF(COUNTIF($B$7:$B$306,B286)&gt;1,"Trùng mã CPTT; ","")))</f>
        <v/>
      </c>
    </row>
    <row r="287" ht="19.5" customHeight="1" s="98">
      <c r="A287" s="164">
        <f>IF(B287="","",ROW()-6)</f>
        <v/>
      </c>
      <c r="B287" s="165" t="n"/>
      <c r="C287" s="166" t="n"/>
      <c r="D287" s="167" t="n"/>
      <c r="E287" s="167" t="n"/>
      <c r="F287" s="168" t="n"/>
      <c r="G287" s="169" t="n"/>
      <c r="H287" s="170">
        <f>IF(OR(F287="",G287=""),"",F287*G287)</f>
        <v/>
      </c>
      <c r="I287" s="171" t="n"/>
      <c r="J287" s="170">
        <f>IF(OR(H287="",E287="",P287=""),"",H287/(P287-E287+1))</f>
        <v/>
      </c>
      <c r="K287" s="165" t="n"/>
      <c r="L287" s="172">
        <f>IF(B287="","",IF(AF287&lt;=0,"Đã phân bổ",IF(P287&lt;=EDATE('Thiết lập'!$B$4,12),"Ngắn hạn","Dài hạn")))</f>
        <v/>
      </c>
      <c r="M287" s="165" t="n"/>
      <c r="N287" s="165" t="n"/>
      <c r="O287" s="165" t="n"/>
      <c r="P287" s="173">
        <f>IF(OR(E287="",I287=""),"",EDATE(E287,I287)-1)</f>
        <v/>
      </c>
      <c r="Q287" s="170">
        <f>IF(OR(B287="",E287="",P287=""),0,MIN(H287,MAX(0,MIN(P287,DATE('Thiết lập'!$B$3-1,12,31))-E287+1)*J287))</f>
        <v/>
      </c>
      <c r="R287" s="170">
        <f>IF(OR($B287="",R$4&gt;$P287,EOMONTH(R$4,0)&lt;$E287),0,MIN($H287,MAX(0,MIN(EOMONTH(R$4,0),$P287)-MAX(R$4,$E287)+1)*$J287))</f>
        <v/>
      </c>
      <c r="S287" s="170">
        <f>IF(OR($B287="",S$4&gt;$P287,EOMONTH(S$4,0)&lt;$E287),0,MIN($H287,MAX(0,MIN(EOMONTH(S$4,0),$P287)-MAX(S$4,$E287)+1)*$J287))</f>
        <v/>
      </c>
      <c r="T287" s="170">
        <f>IF(OR($B287="",T$4&gt;$P287,EOMONTH(T$4,0)&lt;$E287),0,MIN($H287,MAX(0,MIN(EOMONTH(T$4,0),$P287)-MAX(T$4,$E287)+1)*$J287))</f>
        <v/>
      </c>
      <c r="U287" s="170">
        <f>IF(OR($B287="",U$4&gt;$P287,EOMONTH(U$4,0)&lt;$E287),0,MIN($H287,MAX(0,MIN(EOMONTH(U$4,0),$P287)-MAX(U$4,$E287)+1)*$J287))</f>
        <v/>
      </c>
      <c r="V287" s="170">
        <f>IF(OR($B287="",V$4&gt;$P287,EOMONTH(V$4,0)&lt;$E287),0,MIN($H287,MAX(0,MIN(EOMONTH(V$4,0),$P287)-MAX(V$4,$E287)+1)*$J287))</f>
        <v/>
      </c>
      <c r="W287" s="170">
        <f>IF(OR($B287="",W$4&gt;$P287,EOMONTH(W$4,0)&lt;$E287),0,MIN($H287,MAX(0,MIN(EOMONTH(W$4,0),$P287)-MAX(W$4,$E287)+1)*$J287))</f>
        <v/>
      </c>
      <c r="X287" s="170">
        <f>IF(OR($B287="",X$4&gt;$P287,EOMONTH(X$4,0)&lt;$E287),0,MIN($H287,MAX(0,MIN(EOMONTH(X$4,0),$P287)-MAX(X$4,$E287)+1)*$J287))</f>
        <v/>
      </c>
      <c r="Y287" s="170">
        <f>IF(OR($B287="",Y$4&gt;$P287,EOMONTH(Y$4,0)&lt;$E287),0,MIN($H287,MAX(0,MIN(EOMONTH(Y$4,0),$P287)-MAX(Y$4,$E287)+1)*$J287))</f>
        <v/>
      </c>
      <c r="Z287" s="170">
        <f>IF(OR($B287="",Z$4&gt;$P287,EOMONTH(Z$4,0)&lt;$E287),0,MIN($H287,MAX(0,MIN(EOMONTH(Z$4,0),$P287)-MAX(Z$4,$E287)+1)*$J287))</f>
        <v/>
      </c>
      <c r="AA287" s="170">
        <f>IF(OR($B287="",AA$4&gt;$P287,EOMONTH(AA$4,0)&lt;$E287),0,MIN($H287,MAX(0,MIN(EOMONTH(AA$4,0),$P287)-MAX(AA$4,$E287)+1)*$J287))</f>
        <v/>
      </c>
      <c r="AB287" s="170">
        <f>IF(OR($B287="",AB$4&gt;$P287,EOMONTH(AB$4,0)&lt;$E287),0,MIN($H287,MAX(0,MIN(EOMONTH(AB$4,0),$P287)-MAX(AB$4,$E287)+1)*$J287))</f>
        <v/>
      </c>
      <c r="AC287" s="170">
        <f>IF(OR($B287="",AC$4&gt;$P287,EOMONTH(AC$4,0)&lt;$E287),0,MIN($H287,MAX(0,MIN(EOMONTH(AC$4,0),$P287)-MAX(AC$4,$E287)+1)*$J287))</f>
        <v/>
      </c>
      <c r="AD287" s="170">
        <f>IF(B287="","",ROUND(SUM(R287:AC287),0))</f>
        <v/>
      </c>
      <c r="AE287" s="170">
        <f>IF(B287="","",MIN(H287,ROUND(Q287+SUM(R287:AC287),0)))</f>
        <v/>
      </c>
      <c r="AF287" s="170">
        <f>IF(B287="","",MAX(H287-AE287,0))</f>
        <v/>
      </c>
      <c r="AG287" s="172">
        <f>IF(B287="","",IF('Thiết lập'!$B$4&lt;E287,"Chưa phân bổ",IF(P287&lt;='Thiết lập'!$B$4,"Đã phân bổ","Đang phân bổ")))</f>
        <v/>
      </c>
      <c r="AH287" s="166" t="n"/>
      <c r="AI287" s="174">
        <f>IF(B287="","",IF(AND(C287&lt;&gt;"",D287&lt;&gt;"",E287&lt;&gt;"",E287&gt;=D287,F287&gt;0,G287&gt;0,I287&gt;0,COUNTIF($B$7:$B$306,B287)=1),"OK",IF(C287="","Thiếu tên; ","")&amp;IF(D287="","Thiếu ngày tăng; ","")&amp;IF(E287="","Thiếu ngày bắt đầu; ","")&amp;IF(AND(D287&lt;&gt;"",E287&lt;&gt;"",E287&lt;D287),"Ngày bắt đầu &lt; ngày tăng; ","")&amp;IF(OR(F287="",F287&lt;=0),"Số lượng không hợp lệ; ","")&amp;IF(OR(G287="",G287&lt;=0),"Đơn giá không hợp lệ; ","")&amp;IF(OR(I287="",I287&lt;=0),"Số tháng không hợp lệ; ","")&amp;IF(COUNTIF($B$7:$B$306,B287)&gt;1,"Trùng mã CPTT; ","")))</f>
        <v/>
      </c>
    </row>
    <row r="288" ht="19.5" customHeight="1" s="98">
      <c r="A288" s="164">
        <f>IF(B288="","",ROW()-6)</f>
        <v/>
      </c>
      <c r="B288" s="165" t="n"/>
      <c r="C288" s="166" t="n"/>
      <c r="D288" s="167" t="n"/>
      <c r="E288" s="167" t="n"/>
      <c r="F288" s="168" t="n"/>
      <c r="G288" s="169" t="n"/>
      <c r="H288" s="170">
        <f>IF(OR(F288="",G288=""),"",F288*G288)</f>
        <v/>
      </c>
      <c r="I288" s="171" t="n"/>
      <c r="J288" s="170">
        <f>IF(OR(H288="",E288="",P288=""),"",H288/(P288-E288+1))</f>
        <v/>
      </c>
      <c r="K288" s="165" t="n"/>
      <c r="L288" s="172">
        <f>IF(B288="","",IF(AF288&lt;=0,"Đã phân bổ",IF(P288&lt;=EDATE('Thiết lập'!$B$4,12),"Ngắn hạn","Dài hạn")))</f>
        <v/>
      </c>
      <c r="M288" s="165" t="n"/>
      <c r="N288" s="165" t="n"/>
      <c r="O288" s="165" t="n"/>
      <c r="P288" s="173">
        <f>IF(OR(E288="",I288=""),"",EDATE(E288,I288)-1)</f>
        <v/>
      </c>
      <c r="Q288" s="170">
        <f>IF(OR(B288="",E288="",P288=""),0,MIN(H288,MAX(0,MIN(P288,DATE('Thiết lập'!$B$3-1,12,31))-E288+1)*J288))</f>
        <v/>
      </c>
      <c r="R288" s="170">
        <f>IF(OR($B288="",R$4&gt;$P288,EOMONTH(R$4,0)&lt;$E288),0,MIN($H288,MAX(0,MIN(EOMONTH(R$4,0),$P288)-MAX(R$4,$E288)+1)*$J288))</f>
        <v/>
      </c>
      <c r="S288" s="170">
        <f>IF(OR($B288="",S$4&gt;$P288,EOMONTH(S$4,0)&lt;$E288),0,MIN($H288,MAX(0,MIN(EOMONTH(S$4,0),$P288)-MAX(S$4,$E288)+1)*$J288))</f>
        <v/>
      </c>
      <c r="T288" s="170">
        <f>IF(OR($B288="",T$4&gt;$P288,EOMONTH(T$4,0)&lt;$E288),0,MIN($H288,MAX(0,MIN(EOMONTH(T$4,0),$P288)-MAX(T$4,$E288)+1)*$J288))</f>
        <v/>
      </c>
      <c r="U288" s="170">
        <f>IF(OR($B288="",U$4&gt;$P288,EOMONTH(U$4,0)&lt;$E288),0,MIN($H288,MAX(0,MIN(EOMONTH(U$4,0),$P288)-MAX(U$4,$E288)+1)*$J288))</f>
        <v/>
      </c>
      <c r="V288" s="170">
        <f>IF(OR($B288="",V$4&gt;$P288,EOMONTH(V$4,0)&lt;$E288),0,MIN($H288,MAX(0,MIN(EOMONTH(V$4,0),$P288)-MAX(V$4,$E288)+1)*$J288))</f>
        <v/>
      </c>
      <c r="W288" s="170">
        <f>IF(OR($B288="",W$4&gt;$P288,EOMONTH(W$4,0)&lt;$E288),0,MIN($H288,MAX(0,MIN(EOMONTH(W$4,0),$P288)-MAX(W$4,$E288)+1)*$J288))</f>
        <v/>
      </c>
      <c r="X288" s="170">
        <f>IF(OR($B288="",X$4&gt;$P288,EOMONTH(X$4,0)&lt;$E288),0,MIN($H288,MAX(0,MIN(EOMONTH(X$4,0),$P288)-MAX(X$4,$E288)+1)*$J288))</f>
        <v/>
      </c>
      <c r="Y288" s="170">
        <f>IF(OR($B288="",Y$4&gt;$P288,EOMONTH(Y$4,0)&lt;$E288),0,MIN($H288,MAX(0,MIN(EOMONTH(Y$4,0),$P288)-MAX(Y$4,$E288)+1)*$J288))</f>
        <v/>
      </c>
      <c r="Z288" s="170">
        <f>IF(OR($B288="",Z$4&gt;$P288,EOMONTH(Z$4,0)&lt;$E288),0,MIN($H288,MAX(0,MIN(EOMONTH(Z$4,0),$P288)-MAX(Z$4,$E288)+1)*$J288))</f>
        <v/>
      </c>
      <c r="AA288" s="170">
        <f>IF(OR($B288="",AA$4&gt;$P288,EOMONTH(AA$4,0)&lt;$E288),0,MIN($H288,MAX(0,MIN(EOMONTH(AA$4,0),$P288)-MAX(AA$4,$E288)+1)*$J288))</f>
        <v/>
      </c>
      <c r="AB288" s="170">
        <f>IF(OR($B288="",AB$4&gt;$P288,EOMONTH(AB$4,0)&lt;$E288),0,MIN($H288,MAX(0,MIN(EOMONTH(AB$4,0),$P288)-MAX(AB$4,$E288)+1)*$J288))</f>
        <v/>
      </c>
      <c r="AC288" s="170">
        <f>IF(OR($B288="",AC$4&gt;$P288,EOMONTH(AC$4,0)&lt;$E288),0,MIN($H288,MAX(0,MIN(EOMONTH(AC$4,0),$P288)-MAX(AC$4,$E288)+1)*$J288))</f>
        <v/>
      </c>
      <c r="AD288" s="170">
        <f>IF(B288="","",ROUND(SUM(R288:AC288),0))</f>
        <v/>
      </c>
      <c r="AE288" s="170">
        <f>IF(B288="","",MIN(H288,ROUND(Q288+SUM(R288:AC288),0)))</f>
        <v/>
      </c>
      <c r="AF288" s="170">
        <f>IF(B288="","",MAX(H288-AE288,0))</f>
        <v/>
      </c>
      <c r="AG288" s="172">
        <f>IF(B288="","",IF('Thiết lập'!$B$4&lt;E288,"Chưa phân bổ",IF(P288&lt;='Thiết lập'!$B$4,"Đã phân bổ","Đang phân bổ")))</f>
        <v/>
      </c>
      <c r="AH288" s="166" t="n"/>
      <c r="AI288" s="174">
        <f>IF(B288="","",IF(AND(C288&lt;&gt;"",D288&lt;&gt;"",E288&lt;&gt;"",E288&gt;=D288,F288&gt;0,G288&gt;0,I288&gt;0,COUNTIF($B$7:$B$306,B288)=1),"OK",IF(C288="","Thiếu tên; ","")&amp;IF(D288="","Thiếu ngày tăng; ","")&amp;IF(E288="","Thiếu ngày bắt đầu; ","")&amp;IF(AND(D288&lt;&gt;"",E288&lt;&gt;"",E288&lt;D288),"Ngày bắt đầu &lt; ngày tăng; ","")&amp;IF(OR(F288="",F288&lt;=0),"Số lượng không hợp lệ; ","")&amp;IF(OR(G288="",G288&lt;=0),"Đơn giá không hợp lệ; ","")&amp;IF(OR(I288="",I288&lt;=0),"Số tháng không hợp lệ; ","")&amp;IF(COUNTIF($B$7:$B$306,B288)&gt;1,"Trùng mã CPTT; ","")))</f>
        <v/>
      </c>
    </row>
    <row r="289" ht="19.5" customHeight="1" s="98">
      <c r="A289" s="164">
        <f>IF(B289="","",ROW()-6)</f>
        <v/>
      </c>
      <c r="B289" s="165" t="n"/>
      <c r="C289" s="166" t="n"/>
      <c r="D289" s="167" t="n"/>
      <c r="E289" s="167" t="n"/>
      <c r="F289" s="168" t="n"/>
      <c r="G289" s="169" t="n"/>
      <c r="H289" s="170">
        <f>IF(OR(F289="",G289=""),"",F289*G289)</f>
        <v/>
      </c>
      <c r="I289" s="171" t="n"/>
      <c r="J289" s="170">
        <f>IF(OR(H289="",E289="",P289=""),"",H289/(P289-E289+1))</f>
        <v/>
      </c>
      <c r="K289" s="165" t="n"/>
      <c r="L289" s="172">
        <f>IF(B289="","",IF(AF289&lt;=0,"Đã phân bổ",IF(P289&lt;=EDATE('Thiết lập'!$B$4,12),"Ngắn hạn","Dài hạn")))</f>
        <v/>
      </c>
      <c r="M289" s="165" t="n"/>
      <c r="N289" s="165" t="n"/>
      <c r="O289" s="165" t="n"/>
      <c r="P289" s="173">
        <f>IF(OR(E289="",I289=""),"",EDATE(E289,I289)-1)</f>
        <v/>
      </c>
      <c r="Q289" s="170">
        <f>IF(OR(B289="",E289="",P289=""),0,MIN(H289,MAX(0,MIN(P289,DATE('Thiết lập'!$B$3-1,12,31))-E289+1)*J289))</f>
        <v/>
      </c>
      <c r="R289" s="170">
        <f>IF(OR($B289="",R$4&gt;$P289,EOMONTH(R$4,0)&lt;$E289),0,MIN($H289,MAX(0,MIN(EOMONTH(R$4,0),$P289)-MAX(R$4,$E289)+1)*$J289))</f>
        <v/>
      </c>
      <c r="S289" s="170">
        <f>IF(OR($B289="",S$4&gt;$P289,EOMONTH(S$4,0)&lt;$E289),0,MIN($H289,MAX(0,MIN(EOMONTH(S$4,0),$P289)-MAX(S$4,$E289)+1)*$J289))</f>
        <v/>
      </c>
      <c r="T289" s="170">
        <f>IF(OR($B289="",T$4&gt;$P289,EOMONTH(T$4,0)&lt;$E289),0,MIN($H289,MAX(0,MIN(EOMONTH(T$4,0),$P289)-MAX(T$4,$E289)+1)*$J289))</f>
        <v/>
      </c>
      <c r="U289" s="170">
        <f>IF(OR($B289="",U$4&gt;$P289,EOMONTH(U$4,0)&lt;$E289),0,MIN($H289,MAX(0,MIN(EOMONTH(U$4,0),$P289)-MAX(U$4,$E289)+1)*$J289))</f>
        <v/>
      </c>
      <c r="V289" s="170">
        <f>IF(OR($B289="",V$4&gt;$P289,EOMONTH(V$4,0)&lt;$E289),0,MIN($H289,MAX(0,MIN(EOMONTH(V$4,0),$P289)-MAX(V$4,$E289)+1)*$J289))</f>
        <v/>
      </c>
      <c r="W289" s="170">
        <f>IF(OR($B289="",W$4&gt;$P289,EOMONTH(W$4,0)&lt;$E289),0,MIN($H289,MAX(0,MIN(EOMONTH(W$4,0),$P289)-MAX(W$4,$E289)+1)*$J289))</f>
        <v/>
      </c>
      <c r="X289" s="170">
        <f>IF(OR($B289="",X$4&gt;$P289,EOMONTH(X$4,0)&lt;$E289),0,MIN($H289,MAX(0,MIN(EOMONTH(X$4,0),$P289)-MAX(X$4,$E289)+1)*$J289))</f>
        <v/>
      </c>
      <c r="Y289" s="170">
        <f>IF(OR($B289="",Y$4&gt;$P289,EOMONTH(Y$4,0)&lt;$E289),0,MIN($H289,MAX(0,MIN(EOMONTH(Y$4,0),$P289)-MAX(Y$4,$E289)+1)*$J289))</f>
        <v/>
      </c>
      <c r="Z289" s="170">
        <f>IF(OR($B289="",Z$4&gt;$P289,EOMONTH(Z$4,0)&lt;$E289),0,MIN($H289,MAX(0,MIN(EOMONTH(Z$4,0),$P289)-MAX(Z$4,$E289)+1)*$J289))</f>
        <v/>
      </c>
      <c r="AA289" s="170">
        <f>IF(OR($B289="",AA$4&gt;$P289,EOMONTH(AA$4,0)&lt;$E289),0,MIN($H289,MAX(0,MIN(EOMONTH(AA$4,0),$P289)-MAX(AA$4,$E289)+1)*$J289))</f>
        <v/>
      </c>
      <c r="AB289" s="170">
        <f>IF(OR($B289="",AB$4&gt;$P289,EOMONTH(AB$4,0)&lt;$E289),0,MIN($H289,MAX(0,MIN(EOMONTH(AB$4,0),$P289)-MAX(AB$4,$E289)+1)*$J289))</f>
        <v/>
      </c>
      <c r="AC289" s="170">
        <f>IF(OR($B289="",AC$4&gt;$P289,EOMONTH(AC$4,0)&lt;$E289),0,MIN($H289,MAX(0,MIN(EOMONTH(AC$4,0),$P289)-MAX(AC$4,$E289)+1)*$J289))</f>
        <v/>
      </c>
      <c r="AD289" s="170">
        <f>IF(B289="","",ROUND(SUM(R289:AC289),0))</f>
        <v/>
      </c>
      <c r="AE289" s="170">
        <f>IF(B289="","",MIN(H289,ROUND(Q289+SUM(R289:AC289),0)))</f>
        <v/>
      </c>
      <c r="AF289" s="170">
        <f>IF(B289="","",MAX(H289-AE289,0))</f>
        <v/>
      </c>
      <c r="AG289" s="172">
        <f>IF(B289="","",IF('Thiết lập'!$B$4&lt;E289,"Chưa phân bổ",IF(P289&lt;='Thiết lập'!$B$4,"Đã phân bổ","Đang phân bổ")))</f>
        <v/>
      </c>
      <c r="AH289" s="166" t="n"/>
      <c r="AI289" s="174">
        <f>IF(B289="","",IF(AND(C289&lt;&gt;"",D289&lt;&gt;"",E289&lt;&gt;"",E289&gt;=D289,F289&gt;0,G289&gt;0,I289&gt;0,COUNTIF($B$7:$B$306,B289)=1),"OK",IF(C289="","Thiếu tên; ","")&amp;IF(D289="","Thiếu ngày tăng; ","")&amp;IF(E289="","Thiếu ngày bắt đầu; ","")&amp;IF(AND(D289&lt;&gt;"",E289&lt;&gt;"",E289&lt;D289),"Ngày bắt đầu &lt; ngày tăng; ","")&amp;IF(OR(F289="",F289&lt;=0),"Số lượng không hợp lệ; ","")&amp;IF(OR(G289="",G289&lt;=0),"Đơn giá không hợp lệ; ","")&amp;IF(OR(I289="",I289&lt;=0),"Số tháng không hợp lệ; ","")&amp;IF(COUNTIF($B$7:$B$306,B289)&gt;1,"Trùng mã CPTT; ","")))</f>
        <v/>
      </c>
    </row>
    <row r="290" ht="19.5" customHeight="1" s="98">
      <c r="A290" s="164">
        <f>IF(B290="","",ROW()-6)</f>
        <v/>
      </c>
      <c r="B290" s="165" t="n"/>
      <c r="C290" s="166" t="n"/>
      <c r="D290" s="167" t="n"/>
      <c r="E290" s="167" t="n"/>
      <c r="F290" s="168" t="n"/>
      <c r="G290" s="169" t="n"/>
      <c r="H290" s="170">
        <f>IF(OR(F290="",G290=""),"",F290*G290)</f>
        <v/>
      </c>
      <c r="I290" s="171" t="n"/>
      <c r="J290" s="170">
        <f>IF(OR(H290="",E290="",P290=""),"",H290/(P290-E290+1))</f>
        <v/>
      </c>
      <c r="K290" s="165" t="n"/>
      <c r="L290" s="172">
        <f>IF(B290="","",IF(AF290&lt;=0,"Đã phân bổ",IF(P290&lt;=EDATE('Thiết lập'!$B$4,12),"Ngắn hạn","Dài hạn")))</f>
        <v/>
      </c>
      <c r="M290" s="165" t="n"/>
      <c r="N290" s="165" t="n"/>
      <c r="O290" s="165" t="n"/>
      <c r="P290" s="173">
        <f>IF(OR(E290="",I290=""),"",EDATE(E290,I290)-1)</f>
        <v/>
      </c>
      <c r="Q290" s="170">
        <f>IF(OR(B290="",E290="",P290=""),0,MIN(H290,MAX(0,MIN(P290,DATE('Thiết lập'!$B$3-1,12,31))-E290+1)*J290))</f>
        <v/>
      </c>
      <c r="R290" s="170">
        <f>IF(OR($B290="",R$4&gt;$P290,EOMONTH(R$4,0)&lt;$E290),0,MIN($H290,MAX(0,MIN(EOMONTH(R$4,0),$P290)-MAX(R$4,$E290)+1)*$J290))</f>
        <v/>
      </c>
      <c r="S290" s="170">
        <f>IF(OR($B290="",S$4&gt;$P290,EOMONTH(S$4,0)&lt;$E290),0,MIN($H290,MAX(0,MIN(EOMONTH(S$4,0),$P290)-MAX(S$4,$E290)+1)*$J290))</f>
        <v/>
      </c>
      <c r="T290" s="170">
        <f>IF(OR($B290="",T$4&gt;$P290,EOMONTH(T$4,0)&lt;$E290),0,MIN($H290,MAX(0,MIN(EOMONTH(T$4,0),$P290)-MAX(T$4,$E290)+1)*$J290))</f>
        <v/>
      </c>
      <c r="U290" s="170">
        <f>IF(OR($B290="",U$4&gt;$P290,EOMONTH(U$4,0)&lt;$E290),0,MIN($H290,MAX(0,MIN(EOMONTH(U$4,0),$P290)-MAX(U$4,$E290)+1)*$J290))</f>
        <v/>
      </c>
      <c r="V290" s="170">
        <f>IF(OR($B290="",V$4&gt;$P290,EOMONTH(V$4,0)&lt;$E290),0,MIN($H290,MAX(0,MIN(EOMONTH(V$4,0),$P290)-MAX(V$4,$E290)+1)*$J290))</f>
        <v/>
      </c>
      <c r="W290" s="170">
        <f>IF(OR($B290="",W$4&gt;$P290,EOMONTH(W$4,0)&lt;$E290),0,MIN($H290,MAX(0,MIN(EOMONTH(W$4,0),$P290)-MAX(W$4,$E290)+1)*$J290))</f>
        <v/>
      </c>
      <c r="X290" s="170">
        <f>IF(OR($B290="",X$4&gt;$P290,EOMONTH(X$4,0)&lt;$E290),0,MIN($H290,MAX(0,MIN(EOMONTH(X$4,0),$P290)-MAX(X$4,$E290)+1)*$J290))</f>
        <v/>
      </c>
      <c r="Y290" s="170">
        <f>IF(OR($B290="",Y$4&gt;$P290,EOMONTH(Y$4,0)&lt;$E290),0,MIN($H290,MAX(0,MIN(EOMONTH(Y$4,0),$P290)-MAX(Y$4,$E290)+1)*$J290))</f>
        <v/>
      </c>
      <c r="Z290" s="170">
        <f>IF(OR($B290="",Z$4&gt;$P290,EOMONTH(Z$4,0)&lt;$E290),0,MIN($H290,MAX(0,MIN(EOMONTH(Z$4,0),$P290)-MAX(Z$4,$E290)+1)*$J290))</f>
        <v/>
      </c>
      <c r="AA290" s="170">
        <f>IF(OR($B290="",AA$4&gt;$P290,EOMONTH(AA$4,0)&lt;$E290),0,MIN($H290,MAX(0,MIN(EOMONTH(AA$4,0),$P290)-MAX(AA$4,$E290)+1)*$J290))</f>
        <v/>
      </c>
      <c r="AB290" s="170">
        <f>IF(OR($B290="",AB$4&gt;$P290,EOMONTH(AB$4,0)&lt;$E290),0,MIN($H290,MAX(0,MIN(EOMONTH(AB$4,0),$P290)-MAX(AB$4,$E290)+1)*$J290))</f>
        <v/>
      </c>
      <c r="AC290" s="170">
        <f>IF(OR($B290="",AC$4&gt;$P290,EOMONTH(AC$4,0)&lt;$E290),0,MIN($H290,MAX(0,MIN(EOMONTH(AC$4,0),$P290)-MAX(AC$4,$E290)+1)*$J290))</f>
        <v/>
      </c>
      <c r="AD290" s="170">
        <f>IF(B290="","",ROUND(SUM(R290:AC290),0))</f>
        <v/>
      </c>
      <c r="AE290" s="170">
        <f>IF(B290="","",MIN(H290,ROUND(Q290+SUM(R290:AC290),0)))</f>
        <v/>
      </c>
      <c r="AF290" s="170">
        <f>IF(B290="","",MAX(H290-AE290,0))</f>
        <v/>
      </c>
      <c r="AG290" s="172">
        <f>IF(B290="","",IF('Thiết lập'!$B$4&lt;E290,"Chưa phân bổ",IF(P290&lt;='Thiết lập'!$B$4,"Đã phân bổ","Đang phân bổ")))</f>
        <v/>
      </c>
      <c r="AH290" s="166" t="n"/>
      <c r="AI290" s="174">
        <f>IF(B290="","",IF(AND(C290&lt;&gt;"",D290&lt;&gt;"",E290&lt;&gt;"",E290&gt;=D290,F290&gt;0,G290&gt;0,I290&gt;0,COUNTIF($B$7:$B$306,B290)=1),"OK",IF(C290="","Thiếu tên; ","")&amp;IF(D290="","Thiếu ngày tăng; ","")&amp;IF(E290="","Thiếu ngày bắt đầu; ","")&amp;IF(AND(D290&lt;&gt;"",E290&lt;&gt;"",E290&lt;D290),"Ngày bắt đầu &lt; ngày tăng; ","")&amp;IF(OR(F290="",F290&lt;=0),"Số lượng không hợp lệ; ","")&amp;IF(OR(G290="",G290&lt;=0),"Đơn giá không hợp lệ; ","")&amp;IF(OR(I290="",I290&lt;=0),"Số tháng không hợp lệ; ","")&amp;IF(COUNTIF($B$7:$B$306,B290)&gt;1,"Trùng mã CPTT; ","")))</f>
        <v/>
      </c>
    </row>
    <row r="291" ht="19.5" customHeight="1" s="98">
      <c r="A291" s="164">
        <f>IF(B291="","",ROW()-6)</f>
        <v/>
      </c>
      <c r="B291" s="165" t="n"/>
      <c r="C291" s="166" t="n"/>
      <c r="D291" s="167" t="n"/>
      <c r="E291" s="167" t="n"/>
      <c r="F291" s="168" t="n"/>
      <c r="G291" s="169" t="n"/>
      <c r="H291" s="170">
        <f>IF(OR(F291="",G291=""),"",F291*G291)</f>
        <v/>
      </c>
      <c r="I291" s="171" t="n"/>
      <c r="J291" s="170">
        <f>IF(OR(H291="",E291="",P291=""),"",H291/(P291-E291+1))</f>
        <v/>
      </c>
      <c r="K291" s="165" t="n"/>
      <c r="L291" s="172">
        <f>IF(B291="","",IF(AF291&lt;=0,"Đã phân bổ",IF(P291&lt;=EDATE('Thiết lập'!$B$4,12),"Ngắn hạn","Dài hạn")))</f>
        <v/>
      </c>
      <c r="M291" s="165" t="n"/>
      <c r="N291" s="165" t="n"/>
      <c r="O291" s="165" t="n"/>
      <c r="P291" s="173">
        <f>IF(OR(E291="",I291=""),"",EDATE(E291,I291)-1)</f>
        <v/>
      </c>
      <c r="Q291" s="170">
        <f>IF(OR(B291="",E291="",P291=""),0,MIN(H291,MAX(0,MIN(P291,DATE('Thiết lập'!$B$3-1,12,31))-E291+1)*J291))</f>
        <v/>
      </c>
      <c r="R291" s="170">
        <f>IF(OR($B291="",R$4&gt;$P291,EOMONTH(R$4,0)&lt;$E291),0,MIN($H291,MAX(0,MIN(EOMONTH(R$4,0),$P291)-MAX(R$4,$E291)+1)*$J291))</f>
        <v/>
      </c>
      <c r="S291" s="170">
        <f>IF(OR($B291="",S$4&gt;$P291,EOMONTH(S$4,0)&lt;$E291),0,MIN($H291,MAX(0,MIN(EOMONTH(S$4,0),$P291)-MAX(S$4,$E291)+1)*$J291))</f>
        <v/>
      </c>
      <c r="T291" s="170">
        <f>IF(OR($B291="",T$4&gt;$P291,EOMONTH(T$4,0)&lt;$E291),0,MIN($H291,MAX(0,MIN(EOMONTH(T$4,0),$P291)-MAX(T$4,$E291)+1)*$J291))</f>
        <v/>
      </c>
      <c r="U291" s="170">
        <f>IF(OR($B291="",U$4&gt;$P291,EOMONTH(U$4,0)&lt;$E291),0,MIN($H291,MAX(0,MIN(EOMONTH(U$4,0),$P291)-MAX(U$4,$E291)+1)*$J291))</f>
        <v/>
      </c>
      <c r="V291" s="170">
        <f>IF(OR($B291="",V$4&gt;$P291,EOMONTH(V$4,0)&lt;$E291),0,MIN($H291,MAX(0,MIN(EOMONTH(V$4,0),$P291)-MAX(V$4,$E291)+1)*$J291))</f>
        <v/>
      </c>
      <c r="W291" s="170">
        <f>IF(OR($B291="",W$4&gt;$P291,EOMONTH(W$4,0)&lt;$E291),0,MIN($H291,MAX(0,MIN(EOMONTH(W$4,0),$P291)-MAX(W$4,$E291)+1)*$J291))</f>
        <v/>
      </c>
      <c r="X291" s="170">
        <f>IF(OR($B291="",X$4&gt;$P291,EOMONTH(X$4,0)&lt;$E291),0,MIN($H291,MAX(0,MIN(EOMONTH(X$4,0),$P291)-MAX(X$4,$E291)+1)*$J291))</f>
        <v/>
      </c>
      <c r="Y291" s="170">
        <f>IF(OR($B291="",Y$4&gt;$P291,EOMONTH(Y$4,0)&lt;$E291),0,MIN($H291,MAX(0,MIN(EOMONTH(Y$4,0),$P291)-MAX(Y$4,$E291)+1)*$J291))</f>
        <v/>
      </c>
      <c r="Z291" s="170">
        <f>IF(OR($B291="",Z$4&gt;$P291,EOMONTH(Z$4,0)&lt;$E291),0,MIN($H291,MAX(0,MIN(EOMONTH(Z$4,0),$P291)-MAX(Z$4,$E291)+1)*$J291))</f>
        <v/>
      </c>
      <c r="AA291" s="170">
        <f>IF(OR($B291="",AA$4&gt;$P291,EOMONTH(AA$4,0)&lt;$E291),0,MIN($H291,MAX(0,MIN(EOMONTH(AA$4,0),$P291)-MAX(AA$4,$E291)+1)*$J291))</f>
        <v/>
      </c>
      <c r="AB291" s="170">
        <f>IF(OR($B291="",AB$4&gt;$P291,EOMONTH(AB$4,0)&lt;$E291),0,MIN($H291,MAX(0,MIN(EOMONTH(AB$4,0),$P291)-MAX(AB$4,$E291)+1)*$J291))</f>
        <v/>
      </c>
      <c r="AC291" s="170">
        <f>IF(OR($B291="",AC$4&gt;$P291,EOMONTH(AC$4,0)&lt;$E291),0,MIN($H291,MAX(0,MIN(EOMONTH(AC$4,0),$P291)-MAX(AC$4,$E291)+1)*$J291))</f>
        <v/>
      </c>
      <c r="AD291" s="170">
        <f>IF(B291="","",ROUND(SUM(R291:AC291),0))</f>
        <v/>
      </c>
      <c r="AE291" s="170">
        <f>IF(B291="","",MIN(H291,ROUND(Q291+SUM(R291:AC291),0)))</f>
        <v/>
      </c>
      <c r="AF291" s="170">
        <f>IF(B291="","",MAX(H291-AE291,0))</f>
        <v/>
      </c>
      <c r="AG291" s="172">
        <f>IF(B291="","",IF('Thiết lập'!$B$4&lt;E291,"Chưa phân bổ",IF(P291&lt;='Thiết lập'!$B$4,"Đã phân bổ","Đang phân bổ")))</f>
        <v/>
      </c>
      <c r="AH291" s="166" t="n"/>
      <c r="AI291" s="174">
        <f>IF(B291="","",IF(AND(C291&lt;&gt;"",D291&lt;&gt;"",E291&lt;&gt;"",E291&gt;=D291,F291&gt;0,G291&gt;0,I291&gt;0,COUNTIF($B$7:$B$306,B291)=1),"OK",IF(C291="","Thiếu tên; ","")&amp;IF(D291="","Thiếu ngày tăng; ","")&amp;IF(E291="","Thiếu ngày bắt đầu; ","")&amp;IF(AND(D291&lt;&gt;"",E291&lt;&gt;"",E291&lt;D291),"Ngày bắt đầu &lt; ngày tăng; ","")&amp;IF(OR(F291="",F291&lt;=0),"Số lượng không hợp lệ; ","")&amp;IF(OR(G291="",G291&lt;=0),"Đơn giá không hợp lệ; ","")&amp;IF(OR(I291="",I291&lt;=0),"Số tháng không hợp lệ; ","")&amp;IF(COUNTIF($B$7:$B$306,B291)&gt;1,"Trùng mã CPTT; ","")))</f>
        <v/>
      </c>
    </row>
    <row r="292" ht="19.5" customHeight="1" s="98">
      <c r="A292" s="164">
        <f>IF(B292="","",ROW()-6)</f>
        <v/>
      </c>
      <c r="B292" s="165" t="n"/>
      <c r="C292" s="166" t="n"/>
      <c r="D292" s="167" t="n"/>
      <c r="E292" s="167" t="n"/>
      <c r="F292" s="168" t="n"/>
      <c r="G292" s="169" t="n"/>
      <c r="H292" s="170">
        <f>IF(OR(F292="",G292=""),"",F292*G292)</f>
        <v/>
      </c>
      <c r="I292" s="171" t="n"/>
      <c r="J292" s="170">
        <f>IF(OR(H292="",E292="",P292=""),"",H292/(P292-E292+1))</f>
        <v/>
      </c>
      <c r="K292" s="165" t="n"/>
      <c r="L292" s="172">
        <f>IF(B292="","",IF(AF292&lt;=0,"Đã phân bổ",IF(P292&lt;=EDATE('Thiết lập'!$B$4,12),"Ngắn hạn","Dài hạn")))</f>
        <v/>
      </c>
      <c r="M292" s="165" t="n"/>
      <c r="N292" s="165" t="n"/>
      <c r="O292" s="165" t="n"/>
      <c r="P292" s="173">
        <f>IF(OR(E292="",I292=""),"",EDATE(E292,I292)-1)</f>
        <v/>
      </c>
      <c r="Q292" s="170">
        <f>IF(OR(B292="",E292="",P292=""),0,MIN(H292,MAX(0,MIN(P292,DATE('Thiết lập'!$B$3-1,12,31))-E292+1)*J292))</f>
        <v/>
      </c>
      <c r="R292" s="170">
        <f>IF(OR($B292="",R$4&gt;$P292,EOMONTH(R$4,0)&lt;$E292),0,MIN($H292,MAX(0,MIN(EOMONTH(R$4,0),$P292)-MAX(R$4,$E292)+1)*$J292))</f>
        <v/>
      </c>
      <c r="S292" s="170">
        <f>IF(OR($B292="",S$4&gt;$P292,EOMONTH(S$4,0)&lt;$E292),0,MIN($H292,MAX(0,MIN(EOMONTH(S$4,0),$P292)-MAX(S$4,$E292)+1)*$J292))</f>
        <v/>
      </c>
      <c r="T292" s="170">
        <f>IF(OR($B292="",T$4&gt;$P292,EOMONTH(T$4,0)&lt;$E292),0,MIN($H292,MAX(0,MIN(EOMONTH(T$4,0),$P292)-MAX(T$4,$E292)+1)*$J292))</f>
        <v/>
      </c>
      <c r="U292" s="170">
        <f>IF(OR($B292="",U$4&gt;$P292,EOMONTH(U$4,0)&lt;$E292),0,MIN($H292,MAX(0,MIN(EOMONTH(U$4,0),$P292)-MAX(U$4,$E292)+1)*$J292))</f>
        <v/>
      </c>
      <c r="V292" s="170">
        <f>IF(OR($B292="",V$4&gt;$P292,EOMONTH(V$4,0)&lt;$E292),0,MIN($H292,MAX(0,MIN(EOMONTH(V$4,0),$P292)-MAX(V$4,$E292)+1)*$J292))</f>
        <v/>
      </c>
      <c r="W292" s="170">
        <f>IF(OR($B292="",W$4&gt;$P292,EOMONTH(W$4,0)&lt;$E292),0,MIN($H292,MAX(0,MIN(EOMONTH(W$4,0),$P292)-MAX(W$4,$E292)+1)*$J292))</f>
        <v/>
      </c>
      <c r="X292" s="170">
        <f>IF(OR($B292="",X$4&gt;$P292,EOMONTH(X$4,0)&lt;$E292),0,MIN($H292,MAX(0,MIN(EOMONTH(X$4,0),$P292)-MAX(X$4,$E292)+1)*$J292))</f>
        <v/>
      </c>
      <c r="Y292" s="170">
        <f>IF(OR($B292="",Y$4&gt;$P292,EOMONTH(Y$4,0)&lt;$E292),0,MIN($H292,MAX(0,MIN(EOMONTH(Y$4,0),$P292)-MAX(Y$4,$E292)+1)*$J292))</f>
        <v/>
      </c>
      <c r="Z292" s="170">
        <f>IF(OR($B292="",Z$4&gt;$P292,EOMONTH(Z$4,0)&lt;$E292),0,MIN($H292,MAX(0,MIN(EOMONTH(Z$4,0),$P292)-MAX(Z$4,$E292)+1)*$J292))</f>
        <v/>
      </c>
      <c r="AA292" s="170">
        <f>IF(OR($B292="",AA$4&gt;$P292,EOMONTH(AA$4,0)&lt;$E292),0,MIN($H292,MAX(0,MIN(EOMONTH(AA$4,0),$P292)-MAX(AA$4,$E292)+1)*$J292))</f>
        <v/>
      </c>
      <c r="AB292" s="170">
        <f>IF(OR($B292="",AB$4&gt;$P292,EOMONTH(AB$4,0)&lt;$E292),0,MIN($H292,MAX(0,MIN(EOMONTH(AB$4,0),$P292)-MAX(AB$4,$E292)+1)*$J292))</f>
        <v/>
      </c>
      <c r="AC292" s="170">
        <f>IF(OR($B292="",AC$4&gt;$P292,EOMONTH(AC$4,0)&lt;$E292),0,MIN($H292,MAX(0,MIN(EOMONTH(AC$4,0),$P292)-MAX(AC$4,$E292)+1)*$J292))</f>
        <v/>
      </c>
      <c r="AD292" s="170">
        <f>IF(B292="","",ROUND(SUM(R292:AC292),0))</f>
        <v/>
      </c>
      <c r="AE292" s="170">
        <f>IF(B292="","",MIN(H292,ROUND(Q292+SUM(R292:AC292),0)))</f>
        <v/>
      </c>
      <c r="AF292" s="170">
        <f>IF(B292="","",MAX(H292-AE292,0))</f>
        <v/>
      </c>
      <c r="AG292" s="172">
        <f>IF(B292="","",IF('Thiết lập'!$B$4&lt;E292,"Chưa phân bổ",IF(P292&lt;='Thiết lập'!$B$4,"Đã phân bổ","Đang phân bổ")))</f>
        <v/>
      </c>
      <c r="AH292" s="166" t="n"/>
      <c r="AI292" s="174">
        <f>IF(B292="","",IF(AND(C292&lt;&gt;"",D292&lt;&gt;"",E292&lt;&gt;"",E292&gt;=D292,F292&gt;0,G292&gt;0,I292&gt;0,COUNTIF($B$7:$B$306,B292)=1),"OK",IF(C292="","Thiếu tên; ","")&amp;IF(D292="","Thiếu ngày tăng; ","")&amp;IF(E292="","Thiếu ngày bắt đầu; ","")&amp;IF(AND(D292&lt;&gt;"",E292&lt;&gt;"",E292&lt;D292),"Ngày bắt đầu &lt; ngày tăng; ","")&amp;IF(OR(F292="",F292&lt;=0),"Số lượng không hợp lệ; ","")&amp;IF(OR(G292="",G292&lt;=0),"Đơn giá không hợp lệ; ","")&amp;IF(OR(I292="",I292&lt;=0),"Số tháng không hợp lệ; ","")&amp;IF(COUNTIF($B$7:$B$306,B292)&gt;1,"Trùng mã CPTT; ","")))</f>
        <v/>
      </c>
    </row>
    <row r="293" ht="19.5" customHeight="1" s="98">
      <c r="A293" s="164">
        <f>IF(B293="","",ROW()-6)</f>
        <v/>
      </c>
      <c r="B293" s="165" t="n"/>
      <c r="C293" s="166" t="n"/>
      <c r="D293" s="167" t="n"/>
      <c r="E293" s="167" t="n"/>
      <c r="F293" s="168" t="n"/>
      <c r="G293" s="169" t="n"/>
      <c r="H293" s="170">
        <f>IF(OR(F293="",G293=""),"",F293*G293)</f>
        <v/>
      </c>
      <c r="I293" s="171" t="n"/>
      <c r="J293" s="170">
        <f>IF(OR(H293="",E293="",P293=""),"",H293/(P293-E293+1))</f>
        <v/>
      </c>
      <c r="K293" s="165" t="n"/>
      <c r="L293" s="172">
        <f>IF(B293="","",IF(AF293&lt;=0,"Đã phân bổ",IF(P293&lt;=EDATE('Thiết lập'!$B$4,12),"Ngắn hạn","Dài hạn")))</f>
        <v/>
      </c>
      <c r="M293" s="165" t="n"/>
      <c r="N293" s="165" t="n"/>
      <c r="O293" s="165" t="n"/>
      <c r="P293" s="173">
        <f>IF(OR(E293="",I293=""),"",EDATE(E293,I293)-1)</f>
        <v/>
      </c>
      <c r="Q293" s="170">
        <f>IF(OR(B293="",E293="",P293=""),0,MIN(H293,MAX(0,MIN(P293,DATE('Thiết lập'!$B$3-1,12,31))-E293+1)*J293))</f>
        <v/>
      </c>
      <c r="R293" s="170">
        <f>IF(OR($B293="",R$4&gt;$P293,EOMONTH(R$4,0)&lt;$E293),0,MIN($H293,MAX(0,MIN(EOMONTH(R$4,0),$P293)-MAX(R$4,$E293)+1)*$J293))</f>
        <v/>
      </c>
      <c r="S293" s="170">
        <f>IF(OR($B293="",S$4&gt;$P293,EOMONTH(S$4,0)&lt;$E293),0,MIN($H293,MAX(0,MIN(EOMONTH(S$4,0),$P293)-MAX(S$4,$E293)+1)*$J293))</f>
        <v/>
      </c>
      <c r="T293" s="170">
        <f>IF(OR($B293="",T$4&gt;$P293,EOMONTH(T$4,0)&lt;$E293),0,MIN($H293,MAX(0,MIN(EOMONTH(T$4,0),$P293)-MAX(T$4,$E293)+1)*$J293))</f>
        <v/>
      </c>
      <c r="U293" s="170">
        <f>IF(OR($B293="",U$4&gt;$P293,EOMONTH(U$4,0)&lt;$E293),0,MIN($H293,MAX(0,MIN(EOMONTH(U$4,0),$P293)-MAX(U$4,$E293)+1)*$J293))</f>
        <v/>
      </c>
      <c r="V293" s="170">
        <f>IF(OR($B293="",V$4&gt;$P293,EOMONTH(V$4,0)&lt;$E293),0,MIN($H293,MAX(0,MIN(EOMONTH(V$4,0),$P293)-MAX(V$4,$E293)+1)*$J293))</f>
        <v/>
      </c>
      <c r="W293" s="170">
        <f>IF(OR($B293="",W$4&gt;$P293,EOMONTH(W$4,0)&lt;$E293),0,MIN($H293,MAX(0,MIN(EOMONTH(W$4,0),$P293)-MAX(W$4,$E293)+1)*$J293))</f>
        <v/>
      </c>
      <c r="X293" s="170">
        <f>IF(OR($B293="",X$4&gt;$P293,EOMONTH(X$4,0)&lt;$E293),0,MIN($H293,MAX(0,MIN(EOMONTH(X$4,0),$P293)-MAX(X$4,$E293)+1)*$J293))</f>
        <v/>
      </c>
      <c r="Y293" s="170">
        <f>IF(OR($B293="",Y$4&gt;$P293,EOMONTH(Y$4,0)&lt;$E293),0,MIN($H293,MAX(0,MIN(EOMONTH(Y$4,0),$P293)-MAX(Y$4,$E293)+1)*$J293))</f>
        <v/>
      </c>
      <c r="Z293" s="170">
        <f>IF(OR($B293="",Z$4&gt;$P293,EOMONTH(Z$4,0)&lt;$E293),0,MIN($H293,MAX(0,MIN(EOMONTH(Z$4,0),$P293)-MAX(Z$4,$E293)+1)*$J293))</f>
        <v/>
      </c>
      <c r="AA293" s="170">
        <f>IF(OR($B293="",AA$4&gt;$P293,EOMONTH(AA$4,0)&lt;$E293),0,MIN($H293,MAX(0,MIN(EOMONTH(AA$4,0),$P293)-MAX(AA$4,$E293)+1)*$J293))</f>
        <v/>
      </c>
      <c r="AB293" s="170">
        <f>IF(OR($B293="",AB$4&gt;$P293,EOMONTH(AB$4,0)&lt;$E293),0,MIN($H293,MAX(0,MIN(EOMONTH(AB$4,0),$P293)-MAX(AB$4,$E293)+1)*$J293))</f>
        <v/>
      </c>
      <c r="AC293" s="170">
        <f>IF(OR($B293="",AC$4&gt;$P293,EOMONTH(AC$4,0)&lt;$E293),0,MIN($H293,MAX(0,MIN(EOMONTH(AC$4,0),$P293)-MAX(AC$4,$E293)+1)*$J293))</f>
        <v/>
      </c>
      <c r="AD293" s="170">
        <f>IF(B293="","",ROUND(SUM(R293:AC293),0))</f>
        <v/>
      </c>
      <c r="AE293" s="170">
        <f>IF(B293="","",MIN(H293,ROUND(Q293+SUM(R293:AC293),0)))</f>
        <v/>
      </c>
      <c r="AF293" s="170">
        <f>IF(B293="","",MAX(H293-AE293,0))</f>
        <v/>
      </c>
      <c r="AG293" s="172">
        <f>IF(B293="","",IF('Thiết lập'!$B$4&lt;E293,"Chưa phân bổ",IF(P293&lt;='Thiết lập'!$B$4,"Đã phân bổ","Đang phân bổ")))</f>
        <v/>
      </c>
      <c r="AH293" s="166" t="n"/>
      <c r="AI293" s="174">
        <f>IF(B293="","",IF(AND(C293&lt;&gt;"",D293&lt;&gt;"",E293&lt;&gt;"",E293&gt;=D293,F293&gt;0,G293&gt;0,I293&gt;0,COUNTIF($B$7:$B$306,B293)=1),"OK",IF(C293="","Thiếu tên; ","")&amp;IF(D293="","Thiếu ngày tăng; ","")&amp;IF(E293="","Thiếu ngày bắt đầu; ","")&amp;IF(AND(D293&lt;&gt;"",E293&lt;&gt;"",E293&lt;D293),"Ngày bắt đầu &lt; ngày tăng; ","")&amp;IF(OR(F293="",F293&lt;=0),"Số lượng không hợp lệ; ","")&amp;IF(OR(G293="",G293&lt;=0),"Đơn giá không hợp lệ; ","")&amp;IF(OR(I293="",I293&lt;=0),"Số tháng không hợp lệ; ","")&amp;IF(COUNTIF($B$7:$B$306,B293)&gt;1,"Trùng mã CPTT; ","")))</f>
        <v/>
      </c>
    </row>
    <row r="294" ht="19.5" customHeight="1" s="98">
      <c r="A294" s="164">
        <f>IF(B294="","",ROW()-6)</f>
        <v/>
      </c>
      <c r="B294" s="165" t="n"/>
      <c r="C294" s="166" t="n"/>
      <c r="D294" s="167" t="n"/>
      <c r="E294" s="167" t="n"/>
      <c r="F294" s="168" t="n"/>
      <c r="G294" s="169" t="n"/>
      <c r="H294" s="170">
        <f>IF(OR(F294="",G294=""),"",F294*G294)</f>
        <v/>
      </c>
      <c r="I294" s="171" t="n"/>
      <c r="J294" s="170">
        <f>IF(OR(H294="",E294="",P294=""),"",H294/(P294-E294+1))</f>
        <v/>
      </c>
      <c r="K294" s="165" t="n"/>
      <c r="L294" s="172">
        <f>IF(B294="","",IF(AF294&lt;=0,"Đã phân bổ",IF(P294&lt;=EDATE('Thiết lập'!$B$4,12),"Ngắn hạn","Dài hạn")))</f>
        <v/>
      </c>
      <c r="M294" s="165" t="n"/>
      <c r="N294" s="165" t="n"/>
      <c r="O294" s="165" t="n"/>
      <c r="P294" s="173">
        <f>IF(OR(E294="",I294=""),"",EDATE(E294,I294)-1)</f>
        <v/>
      </c>
      <c r="Q294" s="170">
        <f>IF(OR(B294="",E294="",P294=""),0,MIN(H294,MAX(0,MIN(P294,DATE('Thiết lập'!$B$3-1,12,31))-E294+1)*J294))</f>
        <v/>
      </c>
      <c r="R294" s="170">
        <f>IF(OR($B294="",R$4&gt;$P294,EOMONTH(R$4,0)&lt;$E294),0,MIN($H294,MAX(0,MIN(EOMONTH(R$4,0),$P294)-MAX(R$4,$E294)+1)*$J294))</f>
        <v/>
      </c>
      <c r="S294" s="170">
        <f>IF(OR($B294="",S$4&gt;$P294,EOMONTH(S$4,0)&lt;$E294),0,MIN($H294,MAX(0,MIN(EOMONTH(S$4,0),$P294)-MAX(S$4,$E294)+1)*$J294))</f>
        <v/>
      </c>
      <c r="T294" s="170">
        <f>IF(OR($B294="",T$4&gt;$P294,EOMONTH(T$4,0)&lt;$E294),0,MIN($H294,MAX(0,MIN(EOMONTH(T$4,0),$P294)-MAX(T$4,$E294)+1)*$J294))</f>
        <v/>
      </c>
      <c r="U294" s="170">
        <f>IF(OR($B294="",U$4&gt;$P294,EOMONTH(U$4,0)&lt;$E294),0,MIN($H294,MAX(0,MIN(EOMONTH(U$4,0),$P294)-MAX(U$4,$E294)+1)*$J294))</f>
        <v/>
      </c>
      <c r="V294" s="170">
        <f>IF(OR($B294="",V$4&gt;$P294,EOMONTH(V$4,0)&lt;$E294),0,MIN($H294,MAX(0,MIN(EOMONTH(V$4,0),$P294)-MAX(V$4,$E294)+1)*$J294))</f>
        <v/>
      </c>
      <c r="W294" s="170">
        <f>IF(OR($B294="",W$4&gt;$P294,EOMONTH(W$4,0)&lt;$E294),0,MIN($H294,MAX(0,MIN(EOMONTH(W$4,0),$P294)-MAX(W$4,$E294)+1)*$J294))</f>
        <v/>
      </c>
      <c r="X294" s="170">
        <f>IF(OR($B294="",X$4&gt;$P294,EOMONTH(X$4,0)&lt;$E294),0,MIN($H294,MAX(0,MIN(EOMONTH(X$4,0),$P294)-MAX(X$4,$E294)+1)*$J294))</f>
        <v/>
      </c>
      <c r="Y294" s="170">
        <f>IF(OR($B294="",Y$4&gt;$P294,EOMONTH(Y$4,0)&lt;$E294),0,MIN($H294,MAX(0,MIN(EOMONTH(Y$4,0),$P294)-MAX(Y$4,$E294)+1)*$J294))</f>
        <v/>
      </c>
      <c r="Z294" s="170">
        <f>IF(OR($B294="",Z$4&gt;$P294,EOMONTH(Z$4,0)&lt;$E294),0,MIN($H294,MAX(0,MIN(EOMONTH(Z$4,0),$P294)-MAX(Z$4,$E294)+1)*$J294))</f>
        <v/>
      </c>
      <c r="AA294" s="170">
        <f>IF(OR($B294="",AA$4&gt;$P294,EOMONTH(AA$4,0)&lt;$E294),0,MIN($H294,MAX(0,MIN(EOMONTH(AA$4,0),$P294)-MAX(AA$4,$E294)+1)*$J294))</f>
        <v/>
      </c>
      <c r="AB294" s="170">
        <f>IF(OR($B294="",AB$4&gt;$P294,EOMONTH(AB$4,0)&lt;$E294),0,MIN($H294,MAX(0,MIN(EOMONTH(AB$4,0),$P294)-MAX(AB$4,$E294)+1)*$J294))</f>
        <v/>
      </c>
      <c r="AC294" s="170">
        <f>IF(OR($B294="",AC$4&gt;$P294,EOMONTH(AC$4,0)&lt;$E294),0,MIN($H294,MAX(0,MIN(EOMONTH(AC$4,0),$P294)-MAX(AC$4,$E294)+1)*$J294))</f>
        <v/>
      </c>
      <c r="AD294" s="170">
        <f>IF(B294="","",ROUND(SUM(R294:AC294),0))</f>
        <v/>
      </c>
      <c r="AE294" s="170">
        <f>IF(B294="","",MIN(H294,ROUND(Q294+SUM(R294:AC294),0)))</f>
        <v/>
      </c>
      <c r="AF294" s="170">
        <f>IF(B294="","",MAX(H294-AE294,0))</f>
        <v/>
      </c>
      <c r="AG294" s="172">
        <f>IF(B294="","",IF('Thiết lập'!$B$4&lt;E294,"Chưa phân bổ",IF(P294&lt;='Thiết lập'!$B$4,"Đã phân bổ","Đang phân bổ")))</f>
        <v/>
      </c>
      <c r="AH294" s="166" t="n"/>
      <c r="AI294" s="174">
        <f>IF(B294="","",IF(AND(C294&lt;&gt;"",D294&lt;&gt;"",E294&lt;&gt;"",E294&gt;=D294,F294&gt;0,G294&gt;0,I294&gt;0,COUNTIF($B$7:$B$306,B294)=1),"OK",IF(C294="","Thiếu tên; ","")&amp;IF(D294="","Thiếu ngày tăng; ","")&amp;IF(E294="","Thiếu ngày bắt đầu; ","")&amp;IF(AND(D294&lt;&gt;"",E294&lt;&gt;"",E294&lt;D294),"Ngày bắt đầu &lt; ngày tăng; ","")&amp;IF(OR(F294="",F294&lt;=0),"Số lượng không hợp lệ; ","")&amp;IF(OR(G294="",G294&lt;=0),"Đơn giá không hợp lệ; ","")&amp;IF(OR(I294="",I294&lt;=0),"Số tháng không hợp lệ; ","")&amp;IF(COUNTIF($B$7:$B$306,B294)&gt;1,"Trùng mã CPTT; ","")))</f>
        <v/>
      </c>
    </row>
    <row r="295" ht="19.5" customHeight="1" s="98">
      <c r="A295" s="164">
        <f>IF(B295="","",ROW()-6)</f>
        <v/>
      </c>
      <c r="B295" s="165" t="n"/>
      <c r="C295" s="166" t="n"/>
      <c r="D295" s="167" t="n"/>
      <c r="E295" s="167" t="n"/>
      <c r="F295" s="168" t="n"/>
      <c r="G295" s="169" t="n"/>
      <c r="H295" s="170">
        <f>IF(OR(F295="",G295=""),"",F295*G295)</f>
        <v/>
      </c>
      <c r="I295" s="171" t="n"/>
      <c r="J295" s="170">
        <f>IF(OR(H295="",E295="",P295=""),"",H295/(P295-E295+1))</f>
        <v/>
      </c>
      <c r="K295" s="165" t="n"/>
      <c r="L295" s="172">
        <f>IF(B295="","",IF(AF295&lt;=0,"Đã phân bổ",IF(P295&lt;=EDATE('Thiết lập'!$B$4,12),"Ngắn hạn","Dài hạn")))</f>
        <v/>
      </c>
      <c r="M295" s="165" t="n"/>
      <c r="N295" s="165" t="n"/>
      <c r="O295" s="165" t="n"/>
      <c r="P295" s="173">
        <f>IF(OR(E295="",I295=""),"",EDATE(E295,I295)-1)</f>
        <v/>
      </c>
      <c r="Q295" s="170">
        <f>IF(OR(B295="",E295="",P295=""),0,MIN(H295,MAX(0,MIN(P295,DATE('Thiết lập'!$B$3-1,12,31))-E295+1)*J295))</f>
        <v/>
      </c>
      <c r="R295" s="170">
        <f>IF(OR($B295="",R$4&gt;$P295,EOMONTH(R$4,0)&lt;$E295),0,MIN($H295,MAX(0,MIN(EOMONTH(R$4,0),$P295)-MAX(R$4,$E295)+1)*$J295))</f>
        <v/>
      </c>
      <c r="S295" s="170">
        <f>IF(OR($B295="",S$4&gt;$P295,EOMONTH(S$4,0)&lt;$E295),0,MIN($H295,MAX(0,MIN(EOMONTH(S$4,0),$P295)-MAX(S$4,$E295)+1)*$J295))</f>
        <v/>
      </c>
      <c r="T295" s="170">
        <f>IF(OR($B295="",T$4&gt;$P295,EOMONTH(T$4,0)&lt;$E295),0,MIN($H295,MAX(0,MIN(EOMONTH(T$4,0),$P295)-MAX(T$4,$E295)+1)*$J295))</f>
        <v/>
      </c>
      <c r="U295" s="170">
        <f>IF(OR($B295="",U$4&gt;$P295,EOMONTH(U$4,0)&lt;$E295),0,MIN($H295,MAX(0,MIN(EOMONTH(U$4,0),$P295)-MAX(U$4,$E295)+1)*$J295))</f>
        <v/>
      </c>
      <c r="V295" s="170">
        <f>IF(OR($B295="",V$4&gt;$P295,EOMONTH(V$4,0)&lt;$E295),0,MIN($H295,MAX(0,MIN(EOMONTH(V$4,0),$P295)-MAX(V$4,$E295)+1)*$J295))</f>
        <v/>
      </c>
      <c r="W295" s="170">
        <f>IF(OR($B295="",W$4&gt;$P295,EOMONTH(W$4,0)&lt;$E295),0,MIN($H295,MAX(0,MIN(EOMONTH(W$4,0),$P295)-MAX(W$4,$E295)+1)*$J295))</f>
        <v/>
      </c>
      <c r="X295" s="170">
        <f>IF(OR($B295="",X$4&gt;$P295,EOMONTH(X$4,0)&lt;$E295),0,MIN($H295,MAX(0,MIN(EOMONTH(X$4,0),$P295)-MAX(X$4,$E295)+1)*$J295))</f>
        <v/>
      </c>
      <c r="Y295" s="170">
        <f>IF(OR($B295="",Y$4&gt;$P295,EOMONTH(Y$4,0)&lt;$E295),0,MIN($H295,MAX(0,MIN(EOMONTH(Y$4,0),$P295)-MAX(Y$4,$E295)+1)*$J295))</f>
        <v/>
      </c>
      <c r="Z295" s="170">
        <f>IF(OR($B295="",Z$4&gt;$P295,EOMONTH(Z$4,0)&lt;$E295),0,MIN($H295,MAX(0,MIN(EOMONTH(Z$4,0),$P295)-MAX(Z$4,$E295)+1)*$J295))</f>
        <v/>
      </c>
      <c r="AA295" s="170">
        <f>IF(OR($B295="",AA$4&gt;$P295,EOMONTH(AA$4,0)&lt;$E295),0,MIN($H295,MAX(0,MIN(EOMONTH(AA$4,0),$P295)-MAX(AA$4,$E295)+1)*$J295))</f>
        <v/>
      </c>
      <c r="AB295" s="170">
        <f>IF(OR($B295="",AB$4&gt;$P295,EOMONTH(AB$4,0)&lt;$E295),0,MIN($H295,MAX(0,MIN(EOMONTH(AB$4,0),$P295)-MAX(AB$4,$E295)+1)*$J295))</f>
        <v/>
      </c>
      <c r="AC295" s="170">
        <f>IF(OR($B295="",AC$4&gt;$P295,EOMONTH(AC$4,0)&lt;$E295),0,MIN($H295,MAX(0,MIN(EOMONTH(AC$4,0),$P295)-MAX(AC$4,$E295)+1)*$J295))</f>
        <v/>
      </c>
      <c r="AD295" s="170">
        <f>IF(B295="","",ROUND(SUM(R295:AC295),0))</f>
        <v/>
      </c>
      <c r="AE295" s="170">
        <f>IF(B295="","",MIN(H295,ROUND(Q295+SUM(R295:AC295),0)))</f>
        <v/>
      </c>
      <c r="AF295" s="170">
        <f>IF(B295="","",MAX(H295-AE295,0))</f>
        <v/>
      </c>
      <c r="AG295" s="172">
        <f>IF(B295="","",IF('Thiết lập'!$B$4&lt;E295,"Chưa phân bổ",IF(P295&lt;='Thiết lập'!$B$4,"Đã phân bổ","Đang phân bổ")))</f>
        <v/>
      </c>
      <c r="AH295" s="166" t="n"/>
      <c r="AI295" s="174">
        <f>IF(B295="","",IF(AND(C295&lt;&gt;"",D295&lt;&gt;"",E295&lt;&gt;"",E295&gt;=D295,F295&gt;0,G295&gt;0,I295&gt;0,COUNTIF($B$7:$B$306,B295)=1),"OK",IF(C295="","Thiếu tên; ","")&amp;IF(D295="","Thiếu ngày tăng; ","")&amp;IF(E295="","Thiếu ngày bắt đầu; ","")&amp;IF(AND(D295&lt;&gt;"",E295&lt;&gt;"",E295&lt;D295),"Ngày bắt đầu &lt; ngày tăng; ","")&amp;IF(OR(F295="",F295&lt;=0),"Số lượng không hợp lệ; ","")&amp;IF(OR(G295="",G295&lt;=0),"Đơn giá không hợp lệ; ","")&amp;IF(OR(I295="",I295&lt;=0),"Số tháng không hợp lệ; ","")&amp;IF(COUNTIF($B$7:$B$306,B295)&gt;1,"Trùng mã CPTT; ","")))</f>
        <v/>
      </c>
    </row>
    <row r="296" ht="19.5" customHeight="1" s="98">
      <c r="A296" s="164">
        <f>IF(B296="","",ROW()-6)</f>
        <v/>
      </c>
      <c r="B296" s="165" t="n"/>
      <c r="C296" s="166" t="n"/>
      <c r="D296" s="167" t="n"/>
      <c r="E296" s="167" t="n"/>
      <c r="F296" s="168" t="n"/>
      <c r="G296" s="169" t="n"/>
      <c r="H296" s="170">
        <f>IF(OR(F296="",G296=""),"",F296*G296)</f>
        <v/>
      </c>
      <c r="I296" s="171" t="n"/>
      <c r="J296" s="170">
        <f>IF(OR(H296="",E296="",P296=""),"",H296/(P296-E296+1))</f>
        <v/>
      </c>
      <c r="K296" s="165" t="n"/>
      <c r="L296" s="172">
        <f>IF(B296="","",IF(AF296&lt;=0,"Đã phân bổ",IF(P296&lt;=EDATE('Thiết lập'!$B$4,12),"Ngắn hạn","Dài hạn")))</f>
        <v/>
      </c>
      <c r="M296" s="165" t="n"/>
      <c r="N296" s="165" t="n"/>
      <c r="O296" s="165" t="n"/>
      <c r="P296" s="173">
        <f>IF(OR(E296="",I296=""),"",EDATE(E296,I296)-1)</f>
        <v/>
      </c>
      <c r="Q296" s="170">
        <f>IF(OR(B296="",E296="",P296=""),0,MIN(H296,MAX(0,MIN(P296,DATE('Thiết lập'!$B$3-1,12,31))-E296+1)*J296))</f>
        <v/>
      </c>
      <c r="R296" s="170">
        <f>IF(OR($B296="",R$4&gt;$P296,EOMONTH(R$4,0)&lt;$E296),0,MIN($H296,MAX(0,MIN(EOMONTH(R$4,0),$P296)-MAX(R$4,$E296)+1)*$J296))</f>
        <v/>
      </c>
      <c r="S296" s="170">
        <f>IF(OR($B296="",S$4&gt;$P296,EOMONTH(S$4,0)&lt;$E296),0,MIN($H296,MAX(0,MIN(EOMONTH(S$4,0),$P296)-MAX(S$4,$E296)+1)*$J296))</f>
        <v/>
      </c>
      <c r="T296" s="170">
        <f>IF(OR($B296="",T$4&gt;$P296,EOMONTH(T$4,0)&lt;$E296),0,MIN($H296,MAX(0,MIN(EOMONTH(T$4,0),$P296)-MAX(T$4,$E296)+1)*$J296))</f>
        <v/>
      </c>
      <c r="U296" s="170">
        <f>IF(OR($B296="",U$4&gt;$P296,EOMONTH(U$4,0)&lt;$E296),0,MIN($H296,MAX(0,MIN(EOMONTH(U$4,0),$P296)-MAX(U$4,$E296)+1)*$J296))</f>
        <v/>
      </c>
      <c r="V296" s="170">
        <f>IF(OR($B296="",V$4&gt;$P296,EOMONTH(V$4,0)&lt;$E296),0,MIN($H296,MAX(0,MIN(EOMONTH(V$4,0),$P296)-MAX(V$4,$E296)+1)*$J296))</f>
        <v/>
      </c>
      <c r="W296" s="170">
        <f>IF(OR($B296="",W$4&gt;$P296,EOMONTH(W$4,0)&lt;$E296),0,MIN($H296,MAX(0,MIN(EOMONTH(W$4,0),$P296)-MAX(W$4,$E296)+1)*$J296))</f>
        <v/>
      </c>
      <c r="X296" s="170">
        <f>IF(OR($B296="",X$4&gt;$P296,EOMONTH(X$4,0)&lt;$E296),0,MIN($H296,MAX(0,MIN(EOMONTH(X$4,0),$P296)-MAX(X$4,$E296)+1)*$J296))</f>
        <v/>
      </c>
      <c r="Y296" s="170">
        <f>IF(OR($B296="",Y$4&gt;$P296,EOMONTH(Y$4,0)&lt;$E296),0,MIN($H296,MAX(0,MIN(EOMONTH(Y$4,0),$P296)-MAX(Y$4,$E296)+1)*$J296))</f>
        <v/>
      </c>
      <c r="Z296" s="170">
        <f>IF(OR($B296="",Z$4&gt;$P296,EOMONTH(Z$4,0)&lt;$E296),0,MIN($H296,MAX(0,MIN(EOMONTH(Z$4,0),$P296)-MAX(Z$4,$E296)+1)*$J296))</f>
        <v/>
      </c>
      <c r="AA296" s="170">
        <f>IF(OR($B296="",AA$4&gt;$P296,EOMONTH(AA$4,0)&lt;$E296),0,MIN($H296,MAX(0,MIN(EOMONTH(AA$4,0),$P296)-MAX(AA$4,$E296)+1)*$J296))</f>
        <v/>
      </c>
      <c r="AB296" s="170">
        <f>IF(OR($B296="",AB$4&gt;$P296,EOMONTH(AB$4,0)&lt;$E296),0,MIN($H296,MAX(0,MIN(EOMONTH(AB$4,0),$P296)-MAX(AB$4,$E296)+1)*$J296))</f>
        <v/>
      </c>
      <c r="AC296" s="170">
        <f>IF(OR($B296="",AC$4&gt;$P296,EOMONTH(AC$4,0)&lt;$E296),0,MIN($H296,MAX(0,MIN(EOMONTH(AC$4,0),$P296)-MAX(AC$4,$E296)+1)*$J296))</f>
        <v/>
      </c>
      <c r="AD296" s="170">
        <f>IF(B296="","",ROUND(SUM(R296:AC296),0))</f>
        <v/>
      </c>
      <c r="AE296" s="170">
        <f>IF(B296="","",MIN(H296,ROUND(Q296+SUM(R296:AC296),0)))</f>
        <v/>
      </c>
      <c r="AF296" s="170">
        <f>IF(B296="","",MAX(H296-AE296,0))</f>
        <v/>
      </c>
      <c r="AG296" s="172">
        <f>IF(B296="","",IF('Thiết lập'!$B$4&lt;E296,"Chưa phân bổ",IF(P296&lt;='Thiết lập'!$B$4,"Đã phân bổ","Đang phân bổ")))</f>
        <v/>
      </c>
      <c r="AH296" s="166" t="n"/>
      <c r="AI296" s="174">
        <f>IF(B296="","",IF(AND(C296&lt;&gt;"",D296&lt;&gt;"",E296&lt;&gt;"",E296&gt;=D296,F296&gt;0,G296&gt;0,I296&gt;0,COUNTIF($B$7:$B$306,B296)=1),"OK",IF(C296="","Thiếu tên; ","")&amp;IF(D296="","Thiếu ngày tăng; ","")&amp;IF(E296="","Thiếu ngày bắt đầu; ","")&amp;IF(AND(D296&lt;&gt;"",E296&lt;&gt;"",E296&lt;D296),"Ngày bắt đầu &lt; ngày tăng; ","")&amp;IF(OR(F296="",F296&lt;=0),"Số lượng không hợp lệ; ","")&amp;IF(OR(G296="",G296&lt;=0),"Đơn giá không hợp lệ; ","")&amp;IF(OR(I296="",I296&lt;=0),"Số tháng không hợp lệ; ","")&amp;IF(COUNTIF($B$7:$B$306,B296)&gt;1,"Trùng mã CPTT; ","")))</f>
        <v/>
      </c>
    </row>
    <row r="297" ht="19.5" customHeight="1" s="98">
      <c r="A297" s="164">
        <f>IF(B297="","",ROW()-6)</f>
        <v/>
      </c>
      <c r="B297" s="165" t="n"/>
      <c r="C297" s="166" t="n"/>
      <c r="D297" s="167" t="n"/>
      <c r="E297" s="167" t="n"/>
      <c r="F297" s="168" t="n"/>
      <c r="G297" s="169" t="n"/>
      <c r="H297" s="170">
        <f>IF(OR(F297="",G297=""),"",F297*G297)</f>
        <v/>
      </c>
      <c r="I297" s="171" t="n"/>
      <c r="J297" s="170">
        <f>IF(OR(H297="",E297="",P297=""),"",H297/(P297-E297+1))</f>
        <v/>
      </c>
      <c r="K297" s="165" t="n"/>
      <c r="L297" s="172">
        <f>IF(B297="","",IF(AF297&lt;=0,"Đã phân bổ",IF(P297&lt;=EDATE('Thiết lập'!$B$4,12),"Ngắn hạn","Dài hạn")))</f>
        <v/>
      </c>
      <c r="M297" s="165" t="n"/>
      <c r="N297" s="165" t="n"/>
      <c r="O297" s="165" t="n"/>
      <c r="P297" s="173">
        <f>IF(OR(E297="",I297=""),"",EDATE(E297,I297)-1)</f>
        <v/>
      </c>
      <c r="Q297" s="170">
        <f>IF(OR(B297="",E297="",P297=""),0,MIN(H297,MAX(0,MIN(P297,DATE('Thiết lập'!$B$3-1,12,31))-E297+1)*J297))</f>
        <v/>
      </c>
      <c r="R297" s="170">
        <f>IF(OR($B297="",R$4&gt;$P297,EOMONTH(R$4,0)&lt;$E297),0,MIN($H297,MAX(0,MIN(EOMONTH(R$4,0),$P297)-MAX(R$4,$E297)+1)*$J297))</f>
        <v/>
      </c>
      <c r="S297" s="170">
        <f>IF(OR($B297="",S$4&gt;$P297,EOMONTH(S$4,0)&lt;$E297),0,MIN($H297,MAX(0,MIN(EOMONTH(S$4,0),$P297)-MAX(S$4,$E297)+1)*$J297))</f>
        <v/>
      </c>
      <c r="T297" s="170">
        <f>IF(OR($B297="",T$4&gt;$P297,EOMONTH(T$4,0)&lt;$E297),0,MIN($H297,MAX(0,MIN(EOMONTH(T$4,0),$P297)-MAX(T$4,$E297)+1)*$J297))</f>
        <v/>
      </c>
      <c r="U297" s="170">
        <f>IF(OR($B297="",U$4&gt;$P297,EOMONTH(U$4,0)&lt;$E297),0,MIN($H297,MAX(0,MIN(EOMONTH(U$4,0),$P297)-MAX(U$4,$E297)+1)*$J297))</f>
        <v/>
      </c>
      <c r="V297" s="170">
        <f>IF(OR($B297="",V$4&gt;$P297,EOMONTH(V$4,0)&lt;$E297),0,MIN($H297,MAX(0,MIN(EOMONTH(V$4,0),$P297)-MAX(V$4,$E297)+1)*$J297))</f>
        <v/>
      </c>
      <c r="W297" s="170">
        <f>IF(OR($B297="",W$4&gt;$P297,EOMONTH(W$4,0)&lt;$E297),0,MIN($H297,MAX(0,MIN(EOMONTH(W$4,0),$P297)-MAX(W$4,$E297)+1)*$J297))</f>
        <v/>
      </c>
      <c r="X297" s="170">
        <f>IF(OR($B297="",X$4&gt;$P297,EOMONTH(X$4,0)&lt;$E297),0,MIN($H297,MAX(0,MIN(EOMONTH(X$4,0),$P297)-MAX(X$4,$E297)+1)*$J297))</f>
        <v/>
      </c>
      <c r="Y297" s="170">
        <f>IF(OR($B297="",Y$4&gt;$P297,EOMONTH(Y$4,0)&lt;$E297),0,MIN($H297,MAX(0,MIN(EOMONTH(Y$4,0),$P297)-MAX(Y$4,$E297)+1)*$J297))</f>
        <v/>
      </c>
      <c r="Z297" s="170">
        <f>IF(OR($B297="",Z$4&gt;$P297,EOMONTH(Z$4,0)&lt;$E297),0,MIN($H297,MAX(0,MIN(EOMONTH(Z$4,0),$P297)-MAX(Z$4,$E297)+1)*$J297))</f>
        <v/>
      </c>
      <c r="AA297" s="170">
        <f>IF(OR($B297="",AA$4&gt;$P297,EOMONTH(AA$4,0)&lt;$E297),0,MIN($H297,MAX(0,MIN(EOMONTH(AA$4,0),$P297)-MAX(AA$4,$E297)+1)*$J297))</f>
        <v/>
      </c>
      <c r="AB297" s="170">
        <f>IF(OR($B297="",AB$4&gt;$P297,EOMONTH(AB$4,0)&lt;$E297),0,MIN($H297,MAX(0,MIN(EOMONTH(AB$4,0),$P297)-MAX(AB$4,$E297)+1)*$J297))</f>
        <v/>
      </c>
      <c r="AC297" s="170">
        <f>IF(OR($B297="",AC$4&gt;$P297,EOMONTH(AC$4,0)&lt;$E297),0,MIN($H297,MAX(0,MIN(EOMONTH(AC$4,0),$P297)-MAX(AC$4,$E297)+1)*$J297))</f>
        <v/>
      </c>
      <c r="AD297" s="170">
        <f>IF(B297="","",ROUND(SUM(R297:AC297),0))</f>
        <v/>
      </c>
      <c r="AE297" s="170">
        <f>IF(B297="","",MIN(H297,ROUND(Q297+SUM(R297:AC297),0)))</f>
        <v/>
      </c>
      <c r="AF297" s="170">
        <f>IF(B297="","",MAX(H297-AE297,0))</f>
        <v/>
      </c>
      <c r="AG297" s="172">
        <f>IF(B297="","",IF('Thiết lập'!$B$4&lt;E297,"Chưa phân bổ",IF(P297&lt;='Thiết lập'!$B$4,"Đã phân bổ","Đang phân bổ")))</f>
        <v/>
      </c>
      <c r="AH297" s="166" t="n"/>
      <c r="AI297" s="174">
        <f>IF(B297="","",IF(AND(C297&lt;&gt;"",D297&lt;&gt;"",E297&lt;&gt;"",E297&gt;=D297,F297&gt;0,G297&gt;0,I297&gt;0,COUNTIF($B$7:$B$306,B297)=1),"OK",IF(C297="","Thiếu tên; ","")&amp;IF(D297="","Thiếu ngày tăng; ","")&amp;IF(E297="","Thiếu ngày bắt đầu; ","")&amp;IF(AND(D297&lt;&gt;"",E297&lt;&gt;"",E297&lt;D297),"Ngày bắt đầu &lt; ngày tăng; ","")&amp;IF(OR(F297="",F297&lt;=0),"Số lượng không hợp lệ; ","")&amp;IF(OR(G297="",G297&lt;=0),"Đơn giá không hợp lệ; ","")&amp;IF(OR(I297="",I297&lt;=0),"Số tháng không hợp lệ; ","")&amp;IF(COUNTIF($B$7:$B$306,B297)&gt;1,"Trùng mã CPTT; ","")))</f>
        <v/>
      </c>
    </row>
    <row r="298" ht="19.5" customHeight="1" s="98">
      <c r="A298" s="164">
        <f>IF(B298="","",ROW()-6)</f>
        <v/>
      </c>
      <c r="B298" s="165" t="n"/>
      <c r="C298" s="166" t="n"/>
      <c r="D298" s="167" t="n"/>
      <c r="E298" s="167" t="n"/>
      <c r="F298" s="168" t="n"/>
      <c r="G298" s="169" t="n"/>
      <c r="H298" s="170">
        <f>IF(OR(F298="",G298=""),"",F298*G298)</f>
        <v/>
      </c>
      <c r="I298" s="171" t="n"/>
      <c r="J298" s="170">
        <f>IF(OR(H298="",E298="",P298=""),"",H298/(P298-E298+1))</f>
        <v/>
      </c>
      <c r="K298" s="165" t="n"/>
      <c r="L298" s="172">
        <f>IF(B298="","",IF(AF298&lt;=0,"Đã phân bổ",IF(P298&lt;=EDATE('Thiết lập'!$B$4,12),"Ngắn hạn","Dài hạn")))</f>
        <v/>
      </c>
      <c r="M298" s="165" t="n"/>
      <c r="N298" s="165" t="n"/>
      <c r="O298" s="165" t="n"/>
      <c r="P298" s="173">
        <f>IF(OR(E298="",I298=""),"",EDATE(E298,I298)-1)</f>
        <v/>
      </c>
      <c r="Q298" s="170">
        <f>IF(OR(B298="",E298="",P298=""),0,MIN(H298,MAX(0,MIN(P298,DATE('Thiết lập'!$B$3-1,12,31))-E298+1)*J298))</f>
        <v/>
      </c>
      <c r="R298" s="170">
        <f>IF(OR($B298="",R$4&gt;$P298,EOMONTH(R$4,0)&lt;$E298),0,MIN($H298,MAX(0,MIN(EOMONTH(R$4,0),$P298)-MAX(R$4,$E298)+1)*$J298))</f>
        <v/>
      </c>
      <c r="S298" s="170">
        <f>IF(OR($B298="",S$4&gt;$P298,EOMONTH(S$4,0)&lt;$E298),0,MIN($H298,MAX(0,MIN(EOMONTH(S$4,0),$P298)-MAX(S$4,$E298)+1)*$J298))</f>
        <v/>
      </c>
      <c r="T298" s="170">
        <f>IF(OR($B298="",T$4&gt;$P298,EOMONTH(T$4,0)&lt;$E298),0,MIN($H298,MAX(0,MIN(EOMONTH(T$4,0),$P298)-MAX(T$4,$E298)+1)*$J298))</f>
        <v/>
      </c>
      <c r="U298" s="170">
        <f>IF(OR($B298="",U$4&gt;$P298,EOMONTH(U$4,0)&lt;$E298),0,MIN($H298,MAX(0,MIN(EOMONTH(U$4,0),$P298)-MAX(U$4,$E298)+1)*$J298))</f>
        <v/>
      </c>
      <c r="V298" s="170">
        <f>IF(OR($B298="",V$4&gt;$P298,EOMONTH(V$4,0)&lt;$E298),0,MIN($H298,MAX(0,MIN(EOMONTH(V$4,0),$P298)-MAX(V$4,$E298)+1)*$J298))</f>
        <v/>
      </c>
      <c r="W298" s="170">
        <f>IF(OR($B298="",W$4&gt;$P298,EOMONTH(W$4,0)&lt;$E298),0,MIN($H298,MAX(0,MIN(EOMONTH(W$4,0),$P298)-MAX(W$4,$E298)+1)*$J298))</f>
        <v/>
      </c>
      <c r="X298" s="170">
        <f>IF(OR($B298="",X$4&gt;$P298,EOMONTH(X$4,0)&lt;$E298),0,MIN($H298,MAX(0,MIN(EOMONTH(X$4,0),$P298)-MAX(X$4,$E298)+1)*$J298))</f>
        <v/>
      </c>
      <c r="Y298" s="170">
        <f>IF(OR($B298="",Y$4&gt;$P298,EOMONTH(Y$4,0)&lt;$E298),0,MIN($H298,MAX(0,MIN(EOMONTH(Y$4,0),$P298)-MAX(Y$4,$E298)+1)*$J298))</f>
        <v/>
      </c>
      <c r="Z298" s="170">
        <f>IF(OR($B298="",Z$4&gt;$P298,EOMONTH(Z$4,0)&lt;$E298),0,MIN($H298,MAX(0,MIN(EOMONTH(Z$4,0),$P298)-MAX(Z$4,$E298)+1)*$J298))</f>
        <v/>
      </c>
      <c r="AA298" s="170">
        <f>IF(OR($B298="",AA$4&gt;$P298,EOMONTH(AA$4,0)&lt;$E298),0,MIN($H298,MAX(0,MIN(EOMONTH(AA$4,0),$P298)-MAX(AA$4,$E298)+1)*$J298))</f>
        <v/>
      </c>
      <c r="AB298" s="170">
        <f>IF(OR($B298="",AB$4&gt;$P298,EOMONTH(AB$4,0)&lt;$E298),0,MIN($H298,MAX(0,MIN(EOMONTH(AB$4,0),$P298)-MAX(AB$4,$E298)+1)*$J298))</f>
        <v/>
      </c>
      <c r="AC298" s="170">
        <f>IF(OR($B298="",AC$4&gt;$P298,EOMONTH(AC$4,0)&lt;$E298),0,MIN($H298,MAX(0,MIN(EOMONTH(AC$4,0),$P298)-MAX(AC$4,$E298)+1)*$J298))</f>
        <v/>
      </c>
      <c r="AD298" s="170">
        <f>IF(B298="","",ROUND(SUM(R298:AC298),0))</f>
        <v/>
      </c>
      <c r="AE298" s="170">
        <f>IF(B298="","",MIN(H298,ROUND(Q298+SUM(R298:AC298),0)))</f>
        <v/>
      </c>
      <c r="AF298" s="170">
        <f>IF(B298="","",MAX(H298-AE298,0))</f>
        <v/>
      </c>
      <c r="AG298" s="172">
        <f>IF(B298="","",IF('Thiết lập'!$B$4&lt;E298,"Chưa phân bổ",IF(P298&lt;='Thiết lập'!$B$4,"Đã phân bổ","Đang phân bổ")))</f>
        <v/>
      </c>
      <c r="AH298" s="166" t="n"/>
      <c r="AI298" s="174">
        <f>IF(B298="","",IF(AND(C298&lt;&gt;"",D298&lt;&gt;"",E298&lt;&gt;"",E298&gt;=D298,F298&gt;0,G298&gt;0,I298&gt;0,COUNTIF($B$7:$B$306,B298)=1),"OK",IF(C298="","Thiếu tên; ","")&amp;IF(D298="","Thiếu ngày tăng; ","")&amp;IF(E298="","Thiếu ngày bắt đầu; ","")&amp;IF(AND(D298&lt;&gt;"",E298&lt;&gt;"",E298&lt;D298),"Ngày bắt đầu &lt; ngày tăng; ","")&amp;IF(OR(F298="",F298&lt;=0),"Số lượng không hợp lệ; ","")&amp;IF(OR(G298="",G298&lt;=0),"Đơn giá không hợp lệ; ","")&amp;IF(OR(I298="",I298&lt;=0),"Số tháng không hợp lệ; ","")&amp;IF(COUNTIF($B$7:$B$306,B298)&gt;1,"Trùng mã CPTT; ","")))</f>
        <v/>
      </c>
    </row>
    <row r="299" ht="19.5" customHeight="1" s="98">
      <c r="A299" s="164">
        <f>IF(B299="","",ROW()-6)</f>
        <v/>
      </c>
      <c r="B299" s="165" t="n"/>
      <c r="C299" s="166" t="n"/>
      <c r="D299" s="167" t="n"/>
      <c r="E299" s="167" t="n"/>
      <c r="F299" s="168" t="n"/>
      <c r="G299" s="169" t="n"/>
      <c r="H299" s="170">
        <f>IF(OR(F299="",G299=""),"",F299*G299)</f>
        <v/>
      </c>
      <c r="I299" s="171" t="n"/>
      <c r="J299" s="170">
        <f>IF(OR(H299="",E299="",P299=""),"",H299/(P299-E299+1))</f>
        <v/>
      </c>
      <c r="K299" s="165" t="n"/>
      <c r="L299" s="172">
        <f>IF(B299="","",IF(AF299&lt;=0,"Đã phân bổ",IF(P299&lt;=EDATE('Thiết lập'!$B$4,12),"Ngắn hạn","Dài hạn")))</f>
        <v/>
      </c>
      <c r="M299" s="165" t="n"/>
      <c r="N299" s="165" t="n"/>
      <c r="O299" s="165" t="n"/>
      <c r="P299" s="173">
        <f>IF(OR(E299="",I299=""),"",EDATE(E299,I299)-1)</f>
        <v/>
      </c>
      <c r="Q299" s="170">
        <f>IF(OR(B299="",E299="",P299=""),0,MIN(H299,MAX(0,MIN(P299,DATE('Thiết lập'!$B$3-1,12,31))-E299+1)*J299))</f>
        <v/>
      </c>
      <c r="R299" s="170">
        <f>IF(OR($B299="",R$4&gt;$P299,EOMONTH(R$4,0)&lt;$E299),0,MIN($H299,MAX(0,MIN(EOMONTH(R$4,0),$P299)-MAX(R$4,$E299)+1)*$J299))</f>
        <v/>
      </c>
      <c r="S299" s="170">
        <f>IF(OR($B299="",S$4&gt;$P299,EOMONTH(S$4,0)&lt;$E299),0,MIN($H299,MAX(0,MIN(EOMONTH(S$4,0),$P299)-MAX(S$4,$E299)+1)*$J299))</f>
        <v/>
      </c>
      <c r="T299" s="170">
        <f>IF(OR($B299="",T$4&gt;$P299,EOMONTH(T$4,0)&lt;$E299),0,MIN($H299,MAX(0,MIN(EOMONTH(T$4,0),$P299)-MAX(T$4,$E299)+1)*$J299))</f>
        <v/>
      </c>
      <c r="U299" s="170">
        <f>IF(OR($B299="",U$4&gt;$P299,EOMONTH(U$4,0)&lt;$E299),0,MIN($H299,MAX(0,MIN(EOMONTH(U$4,0),$P299)-MAX(U$4,$E299)+1)*$J299))</f>
        <v/>
      </c>
      <c r="V299" s="170">
        <f>IF(OR($B299="",V$4&gt;$P299,EOMONTH(V$4,0)&lt;$E299),0,MIN($H299,MAX(0,MIN(EOMONTH(V$4,0),$P299)-MAX(V$4,$E299)+1)*$J299))</f>
        <v/>
      </c>
      <c r="W299" s="170">
        <f>IF(OR($B299="",W$4&gt;$P299,EOMONTH(W$4,0)&lt;$E299),0,MIN($H299,MAX(0,MIN(EOMONTH(W$4,0),$P299)-MAX(W$4,$E299)+1)*$J299))</f>
        <v/>
      </c>
      <c r="X299" s="170">
        <f>IF(OR($B299="",X$4&gt;$P299,EOMONTH(X$4,0)&lt;$E299),0,MIN($H299,MAX(0,MIN(EOMONTH(X$4,0),$P299)-MAX(X$4,$E299)+1)*$J299))</f>
        <v/>
      </c>
      <c r="Y299" s="170">
        <f>IF(OR($B299="",Y$4&gt;$P299,EOMONTH(Y$4,0)&lt;$E299),0,MIN($H299,MAX(0,MIN(EOMONTH(Y$4,0),$P299)-MAX(Y$4,$E299)+1)*$J299))</f>
        <v/>
      </c>
      <c r="Z299" s="170">
        <f>IF(OR($B299="",Z$4&gt;$P299,EOMONTH(Z$4,0)&lt;$E299),0,MIN($H299,MAX(0,MIN(EOMONTH(Z$4,0),$P299)-MAX(Z$4,$E299)+1)*$J299))</f>
        <v/>
      </c>
      <c r="AA299" s="170">
        <f>IF(OR($B299="",AA$4&gt;$P299,EOMONTH(AA$4,0)&lt;$E299),0,MIN($H299,MAX(0,MIN(EOMONTH(AA$4,0),$P299)-MAX(AA$4,$E299)+1)*$J299))</f>
        <v/>
      </c>
      <c r="AB299" s="170">
        <f>IF(OR($B299="",AB$4&gt;$P299,EOMONTH(AB$4,0)&lt;$E299),0,MIN($H299,MAX(0,MIN(EOMONTH(AB$4,0),$P299)-MAX(AB$4,$E299)+1)*$J299))</f>
        <v/>
      </c>
      <c r="AC299" s="170">
        <f>IF(OR($B299="",AC$4&gt;$P299,EOMONTH(AC$4,0)&lt;$E299),0,MIN($H299,MAX(0,MIN(EOMONTH(AC$4,0),$P299)-MAX(AC$4,$E299)+1)*$J299))</f>
        <v/>
      </c>
      <c r="AD299" s="170">
        <f>IF(B299="","",ROUND(SUM(R299:AC299),0))</f>
        <v/>
      </c>
      <c r="AE299" s="170">
        <f>IF(B299="","",MIN(H299,ROUND(Q299+SUM(R299:AC299),0)))</f>
        <v/>
      </c>
      <c r="AF299" s="170">
        <f>IF(B299="","",MAX(H299-AE299,0))</f>
        <v/>
      </c>
      <c r="AG299" s="172">
        <f>IF(B299="","",IF('Thiết lập'!$B$4&lt;E299,"Chưa phân bổ",IF(P299&lt;='Thiết lập'!$B$4,"Đã phân bổ","Đang phân bổ")))</f>
        <v/>
      </c>
      <c r="AH299" s="166" t="n"/>
      <c r="AI299" s="174">
        <f>IF(B299="","",IF(AND(C299&lt;&gt;"",D299&lt;&gt;"",E299&lt;&gt;"",E299&gt;=D299,F299&gt;0,G299&gt;0,I299&gt;0,COUNTIF($B$7:$B$306,B299)=1),"OK",IF(C299="","Thiếu tên; ","")&amp;IF(D299="","Thiếu ngày tăng; ","")&amp;IF(E299="","Thiếu ngày bắt đầu; ","")&amp;IF(AND(D299&lt;&gt;"",E299&lt;&gt;"",E299&lt;D299),"Ngày bắt đầu &lt; ngày tăng; ","")&amp;IF(OR(F299="",F299&lt;=0),"Số lượng không hợp lệ; ","")&amp;IF(OR(G299="",G299&lt;=0),"Đơn giá không hợp lệ; ","")&amp;IF(OR(I299="",I299&lt;=0),"Số tháng không hợp lệ; ","")&amp;IF(COUNTIF($B$7:$B$306,B299)&gt;1,"Trùng mã CPTT; ","")))</f>
        <v/>
      </c>
    </row>
    <row r="300" ht="19.5" customHeight="1" s="98">
      <c r="A300" s="164">
        <f>IF(B300="","",ROW()-6)</f>
        <v/>
      </c>
      <c r="B300" s="165" t="n"/>
      <c r="C300" s="166" t="n"/>
      <c r="D300" s="167" t="n"/>
      <c r="E300" s="167" t="n"/>
      <c r="F300" s="168" t="n"/>
      <c r="G300" s="169" t="n"/>
      <c r="H300" s="170">
        <f>IF(OR(F300="",G300=""),"",F300*G300)</f>
        <v/>
      </c>
      <c r="I300" s="171" t="n"/>
      <c r="J300" s="170">
        <f>IF(OR(H300="",E300="",P300=""),"",H300/(P300-E300+1))</f>
        <v/>
      </c>
      <c r="K300" s="165" t="n"/>
      <c r="L300" s="172">
        <f>IF(B300="","",IF(AF300&lt;=0,"Đã phân bổ",IF(P300&lt;=EDATE('Thiết lập'!$B$4,12),"Ngắn hạn","Dài hạn")))</f>
        <v/>
      </c>
      <c r="M300" s="165" t="n"/>
      <c r="N300" s="165" t="n"/>
      <c r="O300" s="165" t="n"/>
      <c r="P300" s="173">
        <f>IF(OR(E300="",I300=""),"",EDATE(E300,I300)-1)</f>
        <v/>
      </c>
      <c r="Q300" s="170">
        <f>IF(OR(B300="",E300="",P300=""),0,MIN(H300,MAX(0,MIN(P300,DATE('Thiết lập'!$B$3-1,12,31))-E300+1)*J300))</f>
        <v/>
      </c>
      <c r="R300" s="170">
        <f>IF(OR($B300="",R$4&gt;$P300,EOMONTH(R$4,0)&lt;$E300),0,MIN($H300,MAX(0,MIN(EOMONTH(R$4,0),$P300)-MAX(R$4,$E300)+1)*$J300))</f>
        <v/>
      </c>
      <c r="S300" s="170">
        <f>IF(OR($B300="",S$4&gt;$P300,EOMONTH(S$4,0)&lt;$E300),0,MIN($H300,MAX(0,MIN(EOMONTH(S$4,0),$P300)-MAX(S$4,$E300)+1)*$J300))</f>
        <v/>
      </c>
      <c r="T300" s="170">
        <f>IF(OR($B300="",T$4&gt;$P300,EOMONTH(T$4,0)&lt;$E300),0,MIN($H300,MAX(0,MIN(EOMONTH(T$4,0),$P300)-MAX(T$4,$E300)+1)*$J300))</f>
        <v/>
      </c>
      <c r="U300" s="170">
        <f>IF(OR($B300="",U$4&gt;$P300,EOMONTH(U$4,0)&lt;$E300),0,MIN($H300,MAX(0,MIN(EOMONTH(U$4,0),$P300)-MAX(U$4,$E300)+1)*$J300))</f>
        <v/>
      </c>
      <c r="V300" s="170">
        <f>IF(OR($B300="",V$4&gt;$P300,EOMONTH(V$4,0)&lt;$E300),0,MIN($H300,MAX(0,MIN(EOMONTH(V$4,0),$P300)-MAX(V$4,$E300)+1)*$J300))</f>
        <v/>
      </c>
      <c r="W300" s="170">
        <f>IF(OR($B300="",W$4&gt;$P300,EOMONTH(W$4,0)&lt;$E300),0,MIN($H300,MAX(0,MIN(EOMONTH(W$4,0),$P300)-MAX(W$4,$E300)+1)*$J300))</f>
        <v/>
      </c>
      <c r="X300" s="170">
        <f>IF(OR($B300="",X$4&gt;$P300,EOMONTH(X$4,0)&lt;$E300),0,MIN($H300,MAX(0,MIN(EOMONTH(X$4,0),$P300)-MAX(X$4,$E300)+1)*$J300))</f>
        <v/>
      </c>
      <c r="Y300" s="170">
        <f>IF(OR($B300="",Y$4&gt;$P300,EOMONTH(Y$4,0)&lt;$E300),0,MIN($H300,MAX(0,MIN(EOMONTH(Y$4,0),$P300)-MAX(Y$4,$E300)+1)*$J300))</f>
        <v/>
      </c>
      <c r="Z300" s="170">
        <f>IF(OR($B300="",Z$4&gt;$P300,EOMONTH(Z$4,0)&lt;$E300),0,MIN($H300,MAX(0,MIN(EOMONTH(Z$4,0),$P300)-MAX(Z$4,$E300)+1)*$J300))</f>
        <v/>
      </c>
      <c r="AA300" s="170">
        <f>IF(OR($B300="",AA$4&gt;$P300,EOMONTH(AA$4,0)&lt;$E300),0,MIN($H300,MAX(0,MIN(EOMONTH(AA$4,0),$P300)-MAX(AA$4,$E300)+1)*$J300))</f>
        <v/>
      </c>
      <c r="AB300" s="170">
        <f>IF(OR($B300="",AB$4&gt;$P300,EOMONTH(AB$4,0)&lt;$E300),0,MIN($H300,MAX(0,MIN(EOMONTH(AB$4,0),$P300)-MAX(AB$4,$E300)+1)*$J300))</f>
        <v/>
      </c>
      <c r="AC300" s="170">
        <f>IF(OR($B300="",AC$4&gt;$P300,EOMONTH(AC$4,0)&lt;$E300),0,MIN($H300,MAX(0,MIN(EOMONTH(AC$4,0),$P300)-MAX(AC$4,$E300)+1)*$J300))</f>
        <v/>
      </c>
      <c r="AD300" s="170">
        <f>IF(B300="","",ROUND(SUM(R300:AC300),0))</f>
        <v/>
      </c>
      <c r="AE300" s="170">
        <f>IF(B300="","",MIN(H300,ROUND(Q300+SUM(R300:AC300),0)))</f>
        <v/>
      </c>
      <c r="AF300" s="170">
        <f>IF(B300="","",MAX(H300-AE300,0))</f>
        <v/>
      </c>
      <c r="AG300" s="172">
        <f>IF(B300="","",IF('Thiết lập'!$B$4&lt;E300,"Chưa phân bổ",IF(P300&lt;='Thiết lập'!$B$4,"Đã phân bổ","Đang phân bổ")))</f>
        <v/>
      </c>
      <c r="AH300" s="166" t="n"/>
      <c r="AI300" s="174">
        <f>IF(B300="","",IF(AND(C300&lt;&gt;"",D300&lt;&gt;"",E300&lt;&gt;"",E300&gt;=D300,F300&gt;0,G300&gt;0,I300&gt;0,COUNTIF($B$7:$B$306,B300)=1),"OK",IF(C300="","Thiếu tên; ","")&amp;IF(D300="","Thiếu ngày tăng; ","")&amp;IF(E300="","Thiếu ngày bắt đầu; ","")&amp;IF(AND(D300&lt;&gt;"",E300&lt;&gt;"",E300&lt;D300),"Ngày bắt đầu &lt; ngày tăng; ","")&amp;IF(OR(F300="",F300&lt;=0),"Số lượng không hợp lệ; ","")&amp;IF(OR(G300="",G300&lt;=0),"Đơn giá không hợp lệ; ","")&amp;IF(OR(I300="",I300&lt;=0),"Số tháng không hợp lệ; ","")&amp;IF(COUNTIF($B$7:$B$306,B300)&gt;1,"Trùng mã CPTT; ","")))</f>
        <v/>
      </c>
    </row>
    <row r="301" ht="19.5" customHeight="1" s="98">
      <c r="A301" s="164">
        <f>IF(B301="","",ROW()-6)</f>
        <v/>
      </c>
      <c r="B301" s="165" t="n"/>
      <c r="C301" s="166" t="n"/>
      <c r="D301" s="167" t="n"/>
      <c r="E301" s="167" t="n"/>
      <c r="F301" s="168" t="n"/>
      <c r="G301" s="169" t="n"/>
      <c r="H301" s="170">
        <f>IF(OR(F301="",G301=""),"",F301*G301)</f>
        <v/>
      </c>
      <c r="I301" s="171" t="n"/>
      <c r="J301" s="170">
        <f>IF(OR(H301="",E301="",P301=""),"",H301/(P301-E301+1))</f>
        <v/>
      </c>
      <c r="K301" s="165" t="n"/>
      <c r="L301" s="172">
        <f>IF(B301="","",IF(AF301&lt;=0,"Đã phân bổ",IF(P301&lt;=EDATE('Thiết lập'!$B$4,12),"Ngắn hạn","Dài hạn")))</f>
        <v/>
      </c>
      <c r="M301" s="165" t="n"/>
      <c r="N301" s="165" t="n"/>
      <c r="O301" s="165" t="n"/>
      <c r="P301" s="173">
        <f>IF(OR(E301="",I301=""),"",EDATE(E301,I301)-1)</f>
        <v/>
      </c>
      <c r="Q301" s="170">
        <f>IF(OR(B301="",E301="",P301=""),0,MIN(H301,MAX(0,MIN(P301,DATE('Thiết lập'!$B$3-1,12,31))-E301+1)*J301))</f>
        <v/>
      </c>
      <c r="R301" s="170">
        <f>IF(OR($B301="",R$4&gt;$P301,EOMONTH(R$4,0)&lt;$E301),0,MIN($H301,MAX(0,MIN(EOMONTH(R$4,0),$P301)-MAX(R$4,$E301)+1)*$J301))</f>
        <v/>
      </c>
      <c r="S301" s="170">
        <f>IF(OR($B301="",S$4&gt;$P301,EOMONTH(S$4,0)&lt;$E301),0,MIN($H301,MAX(0,MIN(EOMONTH(S$4,0),$P301)-MAX(S$4,$E301)+1)*$J301))</f>
        <v/>
      </c>
      <c r="T301" s="170">
        <f>IF(OR($B301="",T$4&gt;$P301,EOMONTH(T$4,0)&lt;$E301),0,MIN($H301,MAX(0,MIN(EOMONTH(T$4,0),$P301)-MAX(T$4,$E301)+1)*$J301))</f>
        <v/>
      </c>
      <c r="U301" s="170">
        <f>IF(OR($B301="",U$4&gt;$P301,EOMONTH(U$4,0)&lt;$E301),0,MIN($H301,MAX(0,MIN(EOMONTH(U$4,0),$P301)-MAX(U$4,$E301)+1)*$J301))</f>
        <v/>
      </c>
      <c r="V301" s="170">
        <f>IF(OR($B301="",V$4&gt;$P301,EOMONTH(V$4,0)&lt;$E301),0,MIN($H301,MAX(0,MIN(EOMONTH(V$4,0),$P301)-MAX(V$4,$E301)+1)*$J301))</f>
        <v/>
      </c>
      <c r="W301" s="170">
        <f>IF(OR($B301="",W$4&gt;$P301,EOMONTH(W$4,0)&lt;$E301),0,MIN($H301,MAX(0,MIN(EOMONTH(W$4,0),$P301)-MAX(W$4,$E301)+1)*$J301))</f>
        <v/>
      </c>
      <c r="X301" s="170">
        <f>IF(OR($B301="",X$4&gt;$P301,EOMONTH(X$4,0)&lt;$E301),0,MIN($H301,MAX(0,MIN(EOMONTH(X$4,0),$P301)-MAX(X$4,$E301)+1)*$J301))</f>
        <v/>
      </c>
      <c r="Y301" s="170">
        <f>IF(OR($B301="",Y$4&gt;$P301,EOMONTH(Y$4,0)&lt;$E301),0,MIN($H301,MAX(0,MIN(EOMONTH(Y$4,0),$P301)-MAX(Y$4,$E301)+1)*$J301))</f>
        <v/>
      </c>
      <c r="Z301" s="170">
        <f>IF(OR($B301="",Z$4&gt;$P301,EOMONTH(Z$4,0)&lt;$E301),0,MIN($H301,MAX(0,MIN(EOMONTH(Z$4,0),$P301)-MAX(Z$4,$E301)+1)*$J301))</f>
        <v/>
      </c>
      <c r="AA301" s="170">
        <f>IF(OR($B301="",AA$4&gt;$P301,EOMONTH(AA$4,0)&lt;$E301),0,MIN($H301,MAX(0,MIN(EOMONTH(AA$4,0),$P301)-MAX(AA$4,$E301)+1)*$J301))</f>
        <v/>
      </c>
      <c r="AB301" s="170">
        <f>IF(OR($B301="",AB$4&gt;$P301,EOMONTH(AB$4,0)&lt;$E301),0,MIN($H301,MAX(0,MIN(EOMONTH(AB$4,0),$P301)-MAX(AB$4,$E301)+1)*$J301))</f>
        <v/>
      </c>
      <c r="AC301" s="170">
        <f>IF(OR($B301="",AC$4&gt;$P301,EOMONTH(AC$4,0)&lt;$E301),0,MIN($H301,MAX(0,MIN(EOMONTH(AC$4,0),$P301)-MAX(AC$4,$E301)+1)*$J301))</f>
        <v/>
      </c>
      <c r="AD301" s="170">
        <f>IF(B301="","",ROUND(SUM(R301:AC301),0))</f>
        <v/>
      </c>
      <c r="AE301" s="170">
        <f>IF(B301="","",MIN(H301,ROUND(Q301+SUM(R301:AC301),0)))</f>
        <v/>
      </c>
      <c r="AF301" s="170">
        <f>IF(B301="","",MAX(H301-AE301,0))</f>
        <v/>
      </c>
      <c r="AG301" s="172">
        <f>IF(B301="","",IF('Thiết lập'!$B$4&lt;E301,"Chưa phân bổ",IF(P301&lt;='Thiết lập'!$B$4,"Đã phân bổ","Đang phân bổ")))</f>
        <v/>
      </c>
      <c r="AH301" s="166" t="n"/>
      <c r="AI301" s="174">
        <f>IF(B301="","",IF(AND(C301&lt;&gt;"",D301&lt;&gt;"",E301&lt;&gt;"",E301&gt;=D301,F301&gt;0,G301&gt;0,I301&gt;0,COUNTIF($B$7:$B$306,B301)=1),"OK",IF(C301="","Thiếu tên; ","")&amp;IF(D301="","Thiếu ngày tăng; ","")&amp;IF(E301="","Thiếu ngày bắt đầu; ","")&amp;IF(AND(D301&lt;&gt;"",E301&lt;&gt;"",E301&lt;D301),"Ngày bắt đầu &lt; ngày tăng; ","")&amp;IF(OR(F301="",F301&lt;=0),"Số lượng không hợp lệ; ","")&amp;IF(OR(G301="",G301&lt;=0),"Đơn giá không hợp lệ; ","")&amp;IF(OR(I301="",I301&lt;=0),"Số tháng không hợp lệ; ","")&amp;IF(COUNTIF($B$7:$B$306,B301)&gt;1,"Trùng mã CPTT; ","")))</f>
        <v/>
      </c>
    </row>
    <row r="302" ht="19.5" customHeight="1" s="98">
      <c r="A302" s="164">
        <f>IF(B302="","",ROW()-6)</f>
        <v/>
      </c>
      <c r="B302" s="165" t="n"/>
      <c r="C302" s="166" t="n"/>
      <c r="D302" s="167" t="n"/>
      <c r="E302" s="167" t="n"/>
      <c r="F302" s="168" t="n"/>
      <c r="G302" s="169" t="n"/>
      <c r="H302" s="170">
        <f>IF(OR(F302="",G302=""),"",F302*G302)</f>
        <v/>
      </c>
      <c r="I302" s="171" t="n"/>
      <c r="J302" s="170">
        <f>IF(OR(H302="",E302="",P302=""),"",H302/(P302-E302+1))</f>
        <v/>
      </c>
      <c r="K302" s="165" t="n"/>
      <c r="L302" s="172">
        <f>IF(B302="","",IF(AF302&lt;=0,"Đã phân bổ",IF(P302&lt;=EDATE('Thiết lập'!$B$4,12),"Ngắn hạn","Dài hạn")))</f>
        <v/>
      </c>
      <c r="M302" s="165" t="n"/>
      <c r="N302" s="165" t="n"/>
      <c r="O302" s="165" t="n"/>
      <c r="P302" s="173">
        <f>IF(OR(E302="",I302=""),"",EDATE(E302,I302)-1)</f>
        <v/>
      </c>
      <c r="Q302" s="170">
        <f>IF(OR(B302="",E302="",P302=""),0,MIN(H302,MAX(0,MIN(P302,DATE('Thiết lập'!$B$3-1,12,31))-E302+1)*J302))</f>
        <v/>
      </c>
      <c r="R302" s="170">
        <f>IF(OR($B302="",R$4&gt;$P302,EOMONTH(R$4,0)&lt;$E302),0,MIN($H302,MAX(0,MIN(EOMONTH(R$4,0),$P302)-MAX(R$4,$E302)+1)*$J302))</f>
        <v/>
      </c>
      <c r="S302" s="170">
        <f>IF(OR($B302="",S$4&gt;$P302,EOMONTH(S$4,0)&lt;$E302),0,MIN($H302,MAX(0,MIN(EOMONTH(S$4,0),$P302)-MAX(S$4,$E302)+1)*$J302))</f>
        <v/>
      </c>
      <c r="T302" s="170">
        <f>IF(OR($B302="",T$4&gt;$P302,EOMONTH(T$4,0)&lt;$E302),0,MIN($H302,MAX(0,MIN(EOMONTH(T$4,0),$P302)-MAX(T$4,$E302)+1)*$J302))</f>
        <v/>
      </c>
      <c r="U302" s="170">
        <f>IF(OR($B302="",U$4&gt;$P302,EOMONTH(U$4,0)&lt;$E302),0,MIN($H302,MAX(0,MIN(EOMONTH(U$4,0),$P302)-MAX(U$4,$E302)+1)*$J302))</f>
        <v/>
      </c>
      <c r="V302" s="170">
        <f>IF(OR($B302="",V$4&gt;$P302,EOMONTH(V$4,0)&lt;$E302),0,MIN($H302,MAX(0,MIN(EOMONTH(V$4,0),$P302)-MAX(V$4,$E302)+1)*$J302))</f>
        <v/>
      </c>
      <c r="W302" s="170">
        <f>IF(OR($B302="",W$4&gt;$P302,EOMONTH(W$4,0)&lt;$E302),0,MIN($H302,MAX(0,MIN(EOMONTH(W$4,0),$P302)-MAX(W$4,$E302)+1)*$J302))</f>
        <v/>
      </c>
      <c r="X302" s="170">
        <f>IF(OR($B302="",X$4&gt;$P302,EOMONTH(X$4,0)&lt;$E302),0,MIN($H302,MAX(0,MIN(EOMONTH(X$4,0),$P302)-MAX(X$4,$E302)+1)*$J302))</f>
        <v/>
      </c>
      <c r="Y302" s="170">
        <f>IF(OR($B302="",Y$4&gt;$P302,EOMONTH(Y$4,0)&lt;$E302),0,MIN($H302,MAX(0,MIN(EOMONTH(Y$4,0),$P302)-MAX(Y$4,$E302)+1)*$J302))</f>
        <v/>
      </c>
      <c r="Z302" s="170">
        <f>IF(OR($B302="",Z$4&gt;$P302,EOMONTH(Z$4,0)&lt;$E302),0,MIN($H302,MAX(0,MIN(EOMONTH(Z$4,0),$P302)-MAX(Z$4,$E302)+1)*$J302))</f>
        <v/>
      </c>
      <c r="AA302" s="170">
        <f>IF(OR($B302="",AA$4&gt;$P302,EOMONTH(AA$4,0)&lt;$E302),0,MIN($H302,MAX(0,MIN(EOMONTH(AA$4,0),$P302)-MAX(AA$4,$E302)+1)*$J302))</f>
        <v/>
      </c>
      <c r="AB302" s="170">
        <f>IF(OR($B302="",AB$4&gt;$P302,EOMONTH(AB$4,0)&lt;$E302),0,MIN($H302,MAX(0,MIN(EOMONTH(AB$4,0),$P302)-MAX(AB$4,$E302)+1)*$J302))</f>
        <v/>
      </c>
      <c r="AC302" s="170">
        <f>IF(OR($B302="",AC$4&gt;$P302,EOMONTH(AC$4,0)&lt;$E302),0,MIN($H302,MAX(0,MIN(EOMONTH(AC$4,0),$P302)-MAX(AC$4,$E302)+1)*$J302))</f>
        <v/>
      </c>
      <c r="AD302" s="170">
        <f>IF(B302="","",ROUND(SUM(R302:AC302),0))</f>
        <v/>
      </c>
      <c r="AE302" s="170">
        <f>IF(B302="","",MIN(H302,ROUND(Q302+SUM(R302:AC302),0)))</f>
        <v/>
      </c>
      <c r="AF302" s="170">
        <f>IF(B302="","",MAX(H302-AE302,0))</f>
        <v/>
      </c>
      <c r="AG302" s="172">
        <f>IF(B302="","",IF('Thiết lập'!$B$4&lt;E302,"Chưa phân bổ",IF(P302&lt;='Thiết lập'!$B$4,"Đã phân bổ","Đang phân bổ")))</f>
        <v/>
      </c>
      <c r="AH302" s="166" t="n"/>
      <c r="AI302" s="174">
        <f>IF(B302="","",IF(AND(C302&lt;&gt;"",D302&lt;&gt;"",E302&lt;&gt;"",E302&gt;=D302,F302&gt;0,G302&gt;0,I302&gt;0,COUNTIF($B$7:$B$306,B302)=1),"OK",IF(C302="","Thiếu tên; ","")&amp;IF(D302="","Thiếu ngày tăng; ","")&amp;IF(E302="","Thiếu ngày bắt đầu; ","")&amp;IF(AND(D302&lt;&gt;"",E302&lt;&gt;"",E302&lt;D302),"Ngày bắt đầu &lt; ngày tăng; ","")&amp;IF(OR(F302="",F302&lt;=0),"Số lượng không hợp lệ; ","")&amp;IF(OR(G302="",G302&lt;=0),"Đơn giá không hợp lệ; ","")&amp;IF(OR(I302="",I302&lt;=0),"Số tháng không hợp lệ; ","")&amp;IF(COUNTIF($B$7:$B$306,B302)&gt;1,"Trùng mã CPTT; ","")))</f>
        <v/>
      </c>
    </row>
    <row r="303" ht="19.5" customHeight="1" s="98">
      <c r="A303" s="164">
        <f>IF(B303="","",ROW()-6)</f>
        <v/>
      </c>
      <c r="B303" s="165" t="n"/>
      <c r="C303" s="166" t="n"/>
      <c r="D303" s="167" t="n"/>
      <c r="E303" s="167" t="n"/>
      <c r="F303" s="168" t="n"/>
      <c r="G303" s="169" t="n"/>
      <c r="H303" s="170">
        <f>IF(OR(F303="",G303=""),"",F303*G303)</f>
        <v/>
      </c>
      <c r="I303" s="171" t="n"/>
      <c r="J303" s="170">
        <f>IF(OR(H303="",E303="",P303=""),"",H303/(P303-E303+1))</f>
        <v/>
      </c>
      <c r="K303" s="165" t="n"/>
      <c r="L303" s="172">
        <f>IF(B303="","",IF(AF303&lt;=0,"Đã phân bổ",IF(P303&lt;=EDATE('Thiết lập'!$B$4,12),"Ngắn hạn","Dài hạn")))</f>
        <v/>
      </c>
      <c r="M303" s="165" t="n"/>
      <c r="N303" s="165" t="n"/>
      <c r="O303" s="165" t="n"/>
      <c r="P303" s="173">
        <f>IF(OR(E303="",I303=""),"",EDATE(E303,I303)-1)</f>
        <v/>
      </c>
      <c r="Q303" s="170">
        <f>IF(OR(B303="",E303="",P303=""),0,MIN(H303,MAX(0,MIN(P303,DATE('Thiết lập'!$B$3-1,12,31))-E303+1)*J303))</f>
        <v/>
      </c>
      <c r="R303" s="170">
        <f>IF(OR($B303="",R$4&gt;$P303,EOMONTH(R$4,0)&lt;$E303),0,MIN($H303,MAX(0,MIN(EOMONTH(R$4,0),$P303)-MAX(R$4,$E303)+1)*$J303))</f>
        <v/>
      </c>
      <c r="S303" s="170">
        <f>IF(OR($B303="",S$4&gt;$P303,EOMONTH(S$4,0)&lt;$E303),0,MIN($H303,MAX(0,MIN(EOMONTH(S$4,0),$P303)-MAX(S$4,$E303)+1)*$J303))</f>
        <v/>
      </c>
      <c r="T303" s="170">
        <f>IF(OR($B303="",T$4&gt;$P303,EOMONTH(T$4,0)&lt;$E303),0,MIN($H303,MAX(0,MIN(EOMONTH(T$4,0),$P303)-MAX(T$4,$E303)+1)*$J303))</f>
        <v/>
      </c>
      <c r="U303" s="170">
        <f>IF(OR($B303="",U$4&gt;$P303,EOMONTH(U$4,0)&lt;$E303),0,MIN($H303,MAX(0,MIN(EOMONTH(U$4,0),$P303)-MAX(U$4,$E303)+1)*$J303))</f>
        <v/>
      </c>
      <c r="V303" s="170">
        <f>IF(OR($B303="",V$4&gt;$P303,EOMONTH(V$4,0)&lt;$E303),0,MIN($H303,MAX(0,MIN(EOMONTH(V$4,0),$P303)-MAX(V$4,$E303)+1)*$J303))</f>
        <v/>
      </c>
      <c r="W303" s="170">
        <f>IF(OR($B303="",W$4&gt;$P303,EOMONTH(W$4,0)&lt;$E303),0,MIN($H303,MAX(0,MIN(EOMONTH(W$4,0),$P303)-MAX(W$4,$E303)+1)*$J303))</f>
        <v/>
      </c>
      <c r="X303" s="170">
        <f>IF(OR($B303="",X$4&gt;$P303,EOMONTH(X$4,0)&lt;$E303),0,MIN($H303,MAX(0,MIN(EOMONTH(X$4,0),$P303)-MAX(X$4,$E303)+1)*$J303))</f>
        <v/>
      </c>
      <c r="Y303" s="170">
        <f>IF(OR($B303="",Y$4&gt;$P303,EOMONTH(Y$4,0)&lt;$E303),0,MIN($H303,MAX(0,MIN(EOMONTH(Y$4,0),$P303)-MAX(Y$4,$E303)+1)*$J303))</f>
        <v/>
      </c>
      <c r="Z303" s="170">
        <f>IF(OR($B303="",Z$4&gt;$P303,EOMONTH(Z$4,0)&lt;$E303),0,MIN($H303,MAX(0,MIN(EOMONTH(Z$4,0),$P303)-MAX(Z$4,$E303)+1)*$J303))</f>
        <v/>
      </c>
      <c r="AA303" s="170">
        <f>IF(OR($B303="",AA$4&gt;$P303,EOMONTH(AA$4,0)&lt;$E303),0,MIN($H303,MAX(0,MIN(EOMONTH(AA$4,0),$P303)-MAX(AA$4,$E303)+1)*$J303))</f>
        <v/>
      </c>
      <c r="AB303" s="170">
        <f>IF(OR($B303="",AB$4&gt;$P303,EOMONTH(AB$4,0)&lt;$E303),0,MIN($H303,MAX(0,MIN(EOMONTH(AB$4,0),$P303)-MAX(AB$4,$E303)+1)*$J303))</f>
        <v/>
      </c>
      <c r="AC303" s="170">
        <f>IF(OR($B303="",AC$4&gt;$P303,EOMONTH(AC$4,0)&lt;$E303),0,MIN($H303,MAX(0,MIN(EOMONTH(AC$4,0),$P303)-MAX(AC$4,$E303)+1)*$J303))</f>
        <v/>
      </c>
      <c r="AD303" s="170">
        <f>IF(B303="","",ROUND(SUM(R303:AC303),0))</f>
        <v/>
      </c>
      <c r="AE303" s="170">
        <f>IF(B303="","",MIN(H303,ROUND(Q303+SUM(R303:AC303),0)))</f>
        <v/>
      </c>
      <c r="AF303" s="170">
        <f>IF(B303="","",MAX(H303-AE303,0))</f>
        <v/>
      </c>
      <c r="AG303" s="172">
        <f>IF(B303="","",IF('Thiết lập'!$B$4&lt;E303,"Chưa phân bổ",IF(P303&lt;='Thiết lập'!$B$4,"Đã phân bổ","Đang phân bổ")))</f>
        <v/>
      </c>
      <c r="AH303" s="166" t="n"/>
      <c r="AI303" s="174">
        <f>IF(B303="","",IF(AND(C303&lt;&gt;"",D303&lt;&gt;"",E303&lt;&gt;"",E303&gt;=D303,F303&gt;0,G303&gt;0,I303&gt;0,COUNTIF($B$7:$B$306,B303)=1),"OK",IF(C303="","Thiếu tên; ","")&amp;IF(D303="","Thiếu ngày tăng; ","")&amp;IF(E303="","Thiếu ngày bắt đầu; ","")&amp;IF(AND(D303&lt;&gt;"",E303&lt;&gt;"",E303&lt;D303),"Ngày bắt đầu &lt; ngày tăng; ","")&amp;IF(OR(F303="",F303&lt;=0),"Số lượng không hợp lệ; ","")&amp;IF(OR(G303="",G303&lt;=0),"Đơn giá không hợp lệ; ","")&amp;IF(OR(I303="",I303&lt;=0),"Số tháng không hợp lệ; ","")&amp;IF(COUNTIF($B$7:$B$306,B303)&gt;1,"Trùng mã CPTT; ","")))</f>
        <v/>
      </c>
    </row>
    <row r="304" ht="19.5" customHeight="1" s="98">
      <c r="A304" s="164">
        <f>IF(B304="","",ROW()-6)</f>
        <v/>
      </c>
      <c r="B304" s="165" t="n"/>
      <c r="C304" s="166" t="n"/>
      <c r="D304" s="167" t="n"/>
      <c r="E304" s="167" t="n"/>
      <c r="F304" s="168" t="n"/>
      <c r="G304" s="169" t="n"/>
      <c r="H304" s="170">
        <f>IF(OR(F304="",G304=""),"",F304*G304)</f>
        <v/>
      </c>
      <c r="I304" s="171" t="n"/>
      <c r="J304" s="170">
        <f>IF(OR(H304="",E304="",P304=""),"",H304/(P304-E304+1))</f>
        <v/>
      </c>
      <c r="K304" s="165" t="n"/>
      <c r="L304" s="172">
        <f>IF(B304="","",IF(AF304&lt;=0,"Đã phân bổ",IF(P304&lt;=EDATE('Thiết lập'!$B$4,12),"Ngắn hạn","Dài hạn")))</f>
        <v/>
      </c>
      <c r="M304" s="165" t="n"/>
      <c r="N304" s="165" t="n"/>
      <c r="O304" s="165" t="n"/>
      <c r="P304" s="173">
        <f>IF(OR(E304="",I304=""),"",EDATE(E304,I304)-1)</f>
        <v/>
      </c>
      <c r="Q304" s="170">
        <f>IF(OR(B304="",E304="",P304=""),0,MIN(H304,MAX(0,MIN(P304,DATE('Thiết lập'!$B$3-1,12,31))-E304+1)*J304))</f>
        <v/>
      </c>
      <c r="R304" s="170">
        <f>IF(OR($B304="",R$4&gt;$P304,EOMONTH(R$4,0)&lt;$E304),0,MIN($H304,MAX(0,MIN(EOMONTH(R$4,0),$P304)-MAX(R$4,$E304)+1)*$J304))</f>
        <v/>
      </c>
      <c r="S304" s="170">
        <f>IF(OR($B304="",S$4&gt;$P304,EOMONTH(S$4,0)&lt;$E304),0,MIN($H304,MAX(0,MIN(EOMONTH(S$4,0),$P304)-MAX(S$4,$E304)+1)*$J304))</f>
        <v/>
      </c>
      <c r="T304" s="170">
        <f>IF(OR($B304="",T$4&gt;$P304,EOMONTH(T$4,0)&lt;$E304),0,MIN($H304,MAX(0,MIN(EOMONTH(T$4,0),$P304)-MAX(T$4,$E304)+1)*$J304))</f>
        <v/>
      </c>
      <c r="U304" s="170">
        <f>IF(OR($B304="",U$4&gt;$P304,EOMONTH(U$4,0)&lt;$E304),0,MIN($H304,MAX(0,MIN(EOMONTH(U$4,0),$P304)-MAX(U$4,$E304)+1)*$J304))</f>
        <v/>
      </c>
      <c r="V304" s="170">
        <f>IF(OR($B304="",V$4&gt;$P304,EOMONTH(V$4,0)&lt;$E304),0,MIN($H304,MAX(0,MIN(EOMONTH(V$4,0),$P304)-MAX(V$4,$E304)+1)*$J304))</f>
        <v/>
      </c>
      <c r="W304" s="170">
        <f>IF(OR($B304="",W$4&gt;$P304,EOMONTH(W$4,0)&lt;$E304),0,MIN($H304,MAX(0,MIN(EOMONTH(W$4,0),$P304)-MAX(W$4,$E304)+1)*$J304))</f>
        <v/>
      </c>
      <c r="X304" s="170">
        <f>IF(OR($B304="",X$4&gt;$P304,EOMONTH(X$4,0)&lt;$E304),0,MIN($H304,MAX(0,MIN(EOMONTH(X$4,0),$P304)-MAX(X$4,$E304)+1)*$J304))</f>
        <v/>
      </c>
      <c r="Y304" s="170">
        <f>IF(OR($B304="",Y$4&gt;$P304,EOMONTH(Y$4,0)&lt;$E304),0,MIN($H304,MAX(0,MIN(EOMONTH(Y$4,0),$P304)-MAX(Y$4,$E304)+1)*$J304))</f>
        <v/>
      </c>
      <c r="Z304" s="170">
        <f>IF(OR($B304="",Z$4&gt;$P304,EOMONTH(Z$4,0)&lt;$E304),0,MIN($H304,MAX(0,MIN(EOMONTH(Z$4,0),$P304)-MAX(Z$4,$E304)+1)*$J304))</f>
        <v/>
      </c>
      <c r="AA304" s="170">
        <f>IF(OR($B304="",AA$4&gt;$P304,EOMONTH(AA$4,0)&lt;$E304),0,MIN($H304,MAX(0,MIN(EOMONTH(AA$4,0),$P304)-MAX(AA$4,$E304)+1)*$J304))</f>
        <v/>
      </c>
      <c r="AB304" s="170">
        <f>IF(OR($B304="",AB$4&gt;$P304,EOMONTH(AB$4,0)&lt;$E304),0,MIN($H304,MAX(0,MIN(EOMONTH(AB$4,0),$P304)-MAX(AB$4,$E304)+1)*$J304))</f>
        <v/>
      </c>
      <c r="AC304" s="170">
        <f>IF(OR($B304="",AC$4&gt;$P304,EOMONTH(AC$4,0)&lt;$E304),0,MIN($H304,MAX(0,MIN(EOMONTH(AC$4,0),$P304)-MAX(AC$4,$E304)+1)*$J304))</f>
        <v/>
      </c>
      <c r="AD304" s="170">
        <f>IF(B304="","",ROUND(SUM(R304:AC304),0))</f>
        <v/>
      </c>
      <c r="AE304" s="170">
        <f>IF(B304="","",MIN(H304,ROUND(Q304+SUM(R304:AC304),0)))</f>
        <v/>
      </c>
      <c r="AF304" s="170">
        <f>IF(B304="","",MAX(H304-AE304,0))</f>
        <v/>
      </c>
      <c r="AG304" s="172">
        <f>IF(B304="","",IF('Thiết lập'!$B$4&lt;E304,"Chưa phân bổ",IF(P304&lt;='Thiết lập'!$B$4,"Đã phân bổ","Đang phân bổ")))</f>
        <v/>
      </c>
      <c r="AH304" s="166" t="n"/>
      <c r="AI304" s="174">
        <f>IF(B304="","",IF(AND(C304&lt;&gt;"",D304&lt;&gt;"",E304&lt;&gt;"",E304&gt;=D304,F304&gt;0,G304&gt;0,I304&gt;0,COUNTIF($B$7:$B$306,B304)=1),"OK",IF(C304="","Thiếu tên; ","")&amp;IF(D304="","Thiếu ngày tăng; ","")&amp;IF(E304="","Thiếu ngày bắt đầu; ","")&amp;IF(AND(D304&lt;&gt;"",E304&lt;&gt;"",E304&lt;D304),"Ngày bắt đầu &lt; ngày tăng; ","")&amp;IF(OR(F304="",F304&lt;=0),"Số lượng không hợp lệ; ","")&amp;IF(OR(G304="",G304&lt;=0),"Đơn giá không hợp lệ; ","")&amp;IF(OR(I304="",I304&lt;=0),"Số tháng không hợp lệ; ","")&amp;IF(COUNTIF($B$7:$B$306,B304)&gt;1,"Trùng mã CPTT; ","")))</f>
        <v/>
      </c>
    </row>
    <row r="305" ht="19.5" customHeight="1" s="98">
      <c r="A305" s="164">
        <f>IF(B305="","",ROW()-6)</f>
        <v/>
      </c>
      <c r="B305" s="165" t="n"/>
      <c r="C305" s="166" t="n"/>
      <c r="D305" s="167" t="n"/>
      <c r="E305" s="167" t="n"/>
      <c r="F305" s="168" t="n"/>
      <c r="G305" s="169" t="n"/>
      <c r="H305" s="170">
        <f>IF(OR(F305="",G305=""),"",F305*G305)</f>
        <v/>
      </c>
      <c r="I305" s="171" t="n"/>
      <c r="J305" s="170">
        <f>IF(OR(H305="",E305="",P305=""),"",H305/(P305-E305+1))</f>
        <v/>
      </c>
      <c r="K305" s="165" t="n"/>
      <c r="L305" s="172">
        <f>IF(B305="","",IF(AF305&lt;=0,"Đã phân bổ",IF(P305&lt;=EDATE('Thiết lập'!$B$4,12),"Ngắn hạn","Dài hạn")))</f>
        <v/>
      </c>
      <c r="M305" s="165" t="n"/>
      <c r="N305" s="165" t="n"/>
      <c r="O305" s="165" t="n"/>
      <c r="P305" s="173">
        <f>IF(OR(E305="",I305=""),"",EDATE(E305,I305)-1)</f>
        <v/>
      </c>
      <c r="Q305" s="170">
        <f>IF(OR(B305="",E305="",P305=""),0,MIN(H305,MAX(0,MIN(P305,DATE('Thiết lập'!$B$3-1,12,31))-E305+1)*J305))</f>
        <v/>
      </c>
      <c r="R305" s="170">
        <f>IF(OR($B305="",R$4&gt;$P305,EOMONTH(R$4,0)&lt;$E305),0,MIN($H305,MAX(0,MIN(EOMONTH(R$4,0),$P305)-MAX(R$4,$E305)+1)*$J305))</f>
        <v/>
      </c>
      <c r="S305" s="170">
        <f>IF(OR($B305="",S$4&gt;$P305,EOMONTH(S$4,0)&lt;$E305),0,MIN($H305,MAX(0,MIN(EOMONTH(S$4,0),$P305)-MAX(S$4,$E305)+1)*$J305))</f>
        <v/>
      </c>
      <c r="T305" s="170">
        <f>IF(OR($B305="",T$4&gt;$P305,EOMONTH(T$4,0)&lt;$E305),0,MIN($H305,MAX(0,MIN(EOMONTH(T$4,0),$P305)-MAX(T$4,$E305)+1)*$J305))</f>
        <v/>
      </c>
      <c r="U305" s="170">
        <f>IF(OR($B305="",U$4&gt;$P305,EOMONTH(U$4,0)&lt;$E305),0,MIN($H305,MAX(0,MIN(EOMONTH(U$4,0),$P305)-MAX(U$4,$E305)+1)*$J305))</f>
        <v/>
      </c>
      <c r="V305" s="170">
        <f>IF(OR($B305="",V$4&gt;$P305,EOMONTH(V$4,0)&lt;$E305),0,MIN($H305,MAX(0,MIN(EOMONTH(V$4,0),$P305)-MAX(V$4,$E305)+1)*$J305))</f>
        <v/>
      </c>
      <c r="W305" s="170">
        <f>IF(OR($B305="",W$4&gt;$P305,EOMONTH(W$4,0)&lt;$E305),0,MIN($H305,MAX(0,MIN(EOMONTH(W$4,0),$P305)-MAX(W$4,$E305)+1)*$J305))</f>
        <v/>
      </c>
      <c r="X305" s="170">
        <f>IF(OR($B305="",X$4&gt;$P305,EOMONTH(X$4,0)&lt;$E305),0,MIN($H305,MAX(0,MIN(EOMONTH(X$4,0),$P305)-MAX(X$4,$E305)+1)*$J305))</f>
        <v/>
      </c>
      <c r="Y305" s="170">
        <f>IF(OR($B305="",Y$4&gt;$P305,EOMONTH(Y$4,0)&lt;$E305),0,MIN($H305,MAX(0,MIN(EOMONTH(Y$4,0),$P305)-MAX(Y$4,$E305)+1)*$J305))</f>
        <v/>
      </c>
      <c r="Z305" s="170">
        <f>IF(OR($B305="",Z$4&gt;$P305,EOMONTH(Z$4,0)&lt;$E305),0,MIN($H305,MAX(0,MIN(EOMONTH(Z$4,0),$P305)-MAX(Z$4,$E305)+1)*$J305))</f>
        <v/>
      </c>
      <c r="AA305" s="170">
        <f>IF(OR($B305="",AA$4&gt;$P305,EOMONTH(AA$4,0)&lt;$E305),0,MIN($H305,MAX(0,MIN(EOMONTH(AA$4,0),$P305)-MAX(AA$4,$E305)+1)*$J305))</f>
        <v/>
      </c>
      <c r="AB305" s="170">
        <f>IF(OR($B305="",AB$4&gt;$P305,EOMONTH(AB$4,0)&lt;$E305),0,MIN($H305,MAX(0,MIN(EOMONTH(AB$4,0),$P305)-MAX(AB$4,$E305)+1)*$J305))</f>
        <v/>
      </c>
      <c r="AC305" s="170">
        <f>IF(OR($B305="",AC$4&gt;$P305,EOMONTH(AC$4,0)&lt;$E305),0,MIN($H305,MAX(0,MIN(EOMONTH(AC$4,0),$P305)-MAX(AC$4,$E305)+1)*$J305))</f>
        <v/>
      </c>
      <c r="AD305" s="170">
        <f>IF(B305="","",ROUND(SUM(R305:AC305),0))</f>
        <v/>
      </c>
      <c r="AE305" s="170">
        <f>IF(B305="","",MIN(H305,ROUND(Q305+SUM(R305:AC305),0)))</f>
        <v/>
      </c>
      <c r="AF305" s="170">
        <f>IF(B305="","",MAX(H305-AE305,0))</f>
        <v/>
      </c>
      <c r="AG305" s="172">
        <f>IF(B305="","",IF('Thiết lập'!$B$4&lt;E305,"Chưa phân bổ",IF(P305&lt;='Thiết lập'!$B$4,"Đã phân bổ","Đang phân bổ")))</f>
        <v/>
      </c>
      <c r="AH305" s="166" t="n"/>
      <c r="AI305" s="174">
        <f>IF(B305="","",IF(AND(C305&lt;&gt;"",D305&lt;&gt;"",E305&lt;&gt;"",E305&gt;=D305,F305&gt;0,G305&gt;0,I305&gt;0,COUNTIF($B$7:$B$306,B305)=1),"OK",IF(C305="","Thiếu tên; ","")&amp;IF(D305="","Thiếu ngày tăng; ","")&amp;IF(E305="","Thiếu ngày bắt đầu; ","")&amp;IF(AND(D305&lt;&gt;"",E305&lt;&gt;"",E305&lt;D305),"Ngày bắt đầu &lt; ngày tăng; ","")&amp;IF(OR(F305="",F305&lt;=0),"Số lượng không hợp lệ; ","")&amp;IF(OR(G305="",G305&lt;=0),"Đơn giá không hợp lệ; ","")&amp;IF(OR(I305="",I305&lt;=0),"Số tháng không hợp lệ; ","")&amp;IF(COUNTIF($B$7:$B$306,B305)&gt;1,"Trùng mã CPTT; ","")))</f>
        <v/>
      </c>
    </row>
    <row r="306" ht="19.5" customHeight="1" s="98">
      <c r="A306" s="175">
        <f>IF(B306="","",ROW()-6)</f>
        <v/>
      </c>
      <c r="B306" s="176" t="n"/>
      <c r="C306" s="177" t="n"/>
      <c r="D306" s="178" t="n"/>
      <c r="E306" s="178" t="n"/>
      <c r="F306" s="179" t="n"/>
      <c r="G306" s="180" t="n"/>
      <c r="H306" s="181">
        <f>IF(OR(F306="",G306=""),"",F306*G306)</f>
        <v/>
      </c>
      <c r="I306" s="182" t="n"/>
      <c r="J306" s="181">
        <f>IF(OR(H306="",E306="",P306=""),"",H306/(P306-E306+1))</f>
        <v/>
      </c>
      <c r="K306" s="176" t="n"/>
      <c r="L306" s="183">
        <f>IF(B306="","",IF(AF306&lt;=0,"Đã phân bổ",IF(P306&lt;=EDATE('Thiết lập'!$B$4,12),"Ngắn hạn","Dài hạn")))</f>
        <v/>
      </c>
      <c r="M306" s="176" t="n"/>
      <c r="N306" s="176" t="n"/>
      <c r="O306" s="176" t="n"/>
      <c r="P306" s="184">
        <f>IF(OR(E306="",I306=""),"",EDATE(E306,I306)-1)</f>
        <v/>
      </c>
      <c r="Q306" s="181">
        <f>IF(OR(B306="",E306="",P306=""),0,MIN(H306,MAX(0,MIN(P306,DATE('Thiết lập'!$B$3-1,12,31))-E306+1)*J306))</f>
        <v/>
      </c>
      <c r="R306" s="181">
        <f>IF(OR($B306="",R$4&gt;$P306,EOMONTH(R$4,0)&lt;$E306),0,MIN($H306,MAX(0,MIN(EOMONTH(R$4,0),$P306)-MAX(R$4,$E306)+1)*$J306))</f>
        <v/>
      </c>
      <c r="S306" s="181">
        <f>IF(OR($B306="",S$4&gt;$P306,EOMONTH(S$4,0)&lt;$E306),0,MIN($H306,MAX(0,MIN(EOMONTH(S$4,0),$P306)-MAX(S$4,$E306)+1)*$J306))</f>
        <v/>
      </c>
      <c r="T306" s="181">
        <f>IF(OR($B306="",T$4&gt;$P306,EOMONTH(T$4,0)&lt;$E306),0,MIN($H306,MAX(0,MIN(EOMONTH(T$4,0),$P306)-MAX(T$4,$E306)+1)*$J306))</f>
        <v/>
      </c>
      <c r="U306" s="181">
        <f>IF(OR($B306="",U$4&gt;$P306,EOMONTH(U$4,0)&lt;$E306),0,MIN($H306,MAX(0,MIN(EOMONTH(U$4,0),$P306)-MAX(U$4,$E306)+1)*$J306))</f>
        <v/>
      </c>
      <c r="V306" s="181">
        <f>IF(OR($B306="",V$4&gt;$P306,EOMONTH(V$4,0)&lt;$E306),0,MIN($H306,MAX(0,MIN(EOMONTH(V$4,0),$P306)-MAX(V$4,$E306)+1)*$J306))</f>
        <v/>
      </c>
      <c r="W306" s="181">
        <f>IF(OR($B306="",W$4&gt;$P306,EOMONTH(W$4,0)&lt;$E306),0,MIN($H306,MAX(0,MIN(EOMONTH(W$4,0),$P306)-MAX(W$4,$E306)+1)*$J306))</f>
        <v/>
      </c>
      <c r="X306" s="181">
        <f>IF(OR($B306="",X$4&gt;$P306,EOMONTH(X$4,0)&lt;$E306),0,MIN($H306,MAX(0,MIN(EOMONTH(X$4,0),$P306)-MAX(X$4,$E306)+1)*$J306))</f>
        <v/>
      </c>
      <c r="Y306" s="181">
        <f>IF(OR($B306="",Y$4&gt;$P306,EOMONTH(Y$4,0)&lt;$E306),0,MIN($H306,MAX(0,MIN(EOMONTH(Y$4,0),$P306)-MAX(Y$4,$E306)+1)*$J306))</f>
        <v/>
      </c>
      <c r="Z306" s="181">
        <f>IF(OR($B306="",Z$4&gt;$P306,EOMONTH(Z$4,0)&lt;$E306),0,MIN($H306,MAX(0,MIN(EOMONTH(Z$4,0),$P306)-MAX(Z$4,$E306)+1)*$J306))</f>
        <v/>
      </c>
      <c r="AA306" s="181">
        <f>IF(OR($B306="",AA$4&gt;$P306,EOMONTH(AA$4,0)&lt;$E306),0,MIN($H306,MAX(0,MIN(EOMONTH(AA$4,0),$P306)-MAX(AA$4,$E306)+1)*$J306))</f>
        <v/>
      </c>
      <c r="AB306" s="181">
        <f>IF(OR($B306="",AB$4&gt;$P306,EOMONTH(AB$4,0)&lt;$E306),0,MIN($H306,MAX(0,MIN(EOMONTH(AB$4,0),$P306)-MAX(AB$4,$E306)+1)*$J306))</f>
        <v/>
      </c>
      <c r="AC306" s="181">
        <f>IF(OR($B306="",AC$4&gt;$P306,EOMONTH(AC$4,0)&lt;$E306),0,MIN($H306,MAX(0,MIN(EOMONTH(AC$4,0),$P306)-MAX(AC$4,$E306)+1)*$J306))</f>
        <v/>
      </c>
      <c r="AD306" s="181">
        <f>IF(B306="","",ROUND(SUM(R306:AC306),0))</f>
        <v/>
      </c>
      <c r="AE306" s="181">
        <f>IF(B306="","",MIN(H306,ROUND(Q306+SUM(R306:AC306),0)))</f>
        <v/>
      </c>
      <c r="AF306" s="181">
        <f>IF(B306="","",MAX(H306-AE306,0))</f>
        <v/>
      </c>
      <c r="AG306" s="183">
        <f>IF(B306="","",IF('Thiết lập'!$B$4&lt;E306,"Chưa phân bổ",IF(P306&lt;='Thiết lập'!$B$4,"Đã phân bổ","Đang phân bổ")))</f>
        <v/>
      </c>
      <c r="AH306" s="177" t="n"/>
      <c r="AI306" s="185">
        <f>IF(B306="","",IF(AND(C306&lt;&gt;"",D306&lt;&gt;"",E306&lt;&gt;"",E306&gt;=D306,F306&gt;0,G306&gt;0,I306&gt;0,COUNTIF($B$7:$B$306,B306)=1),"OK",IF(C306="","Thiếu tên; ","")&amp;IF(D306="","Thiếu ngày tăng; ","")&amp;IF(E306="","Thiếu ngày bắt đầu; ","")&amp;IF(AND(D306&lt;&gt;"",E306&lt;&gt;"",E306&lt;D306),"Ngày bắt đầu &lt; ngày tăng; ","")&amp;IF(OR(F306="",F306&lt;=0),"Số lượng không hợp lệ; ","")&amp;IF(OR(G306="",G306&lt;=0),"Đơn giá không hợp lệ; ","")&amp;IF(OR(I306="",I306&lt;=0),"Số tháng không hợp lệ; ","")&amp;IF(COUNTIF($B$7:$B$306,B306)&gt;1,"Trùng mã CPTT; ","")))</f>
        <v/>
      </c>
    </row>
  </sheetData>
  <mergeCells count="5">
    <mergeCell ref="A2:AI2"/>
    <mergeCell ref="A5:P5"/>
    <mergeCell ref="Q5:AC5"/>
    <mergeCell ref="AD5:AI5"/>
    <mergeCell ref="A1:AI1"/>
  </mergeCells>
  <conditionalFormatting sqref="AI7:AI306">
    <cfRule type="expression" rank="0" priority="2" equalAverage="0" aboveAverage="0" dxfId="7" text="" percent="0" bottom="0">
      <formula>AND($B7&lt;&gt;"",$AI7="OK")</formula>
    </cfRule>
    <cfRule type="expression" rank="0" priority="3" equalAverage="0" aboveAverage="0" dxfId="8" text="" percent="0" bottom="0">
      <formula>AND($B7&lt;&gt;"",$AI7&lt;&gt;"OK")</formula>
    </cfRule>
  </conditionalFormatting>
  <conditionalFormatting sqref="AG7:AG306">
    <cfRule type="expression" rank="0" priority="4" equalAverage="0" aboveAverage="0" dxfId="9" text="" percent="0" bottom="0">
      <formula>$AG7="Đang phân bổ"</formula>
    </cfRule>
    <cfRule type="expression" rank="0" priority="5" equalAverage="0" aboveAverage="0" dxfId="10" text="" percent="0" bottom="0">
      <formula>$AG7="Đã phân bổ"</formula>
    </cfRule>
    <cfRule type="expression" rank="0" priority="6" equalAverage="0" aboveAverage="0" dxfId="11" text="" percent="0" bottom="0">
      <formula>$AG7="Chưa phân bổ"</formula>
    </cfRule>
  </conditionalFormatting>
  <conditionalFormatting sqref="AF7:AF306">
    <cfRule type="dataBar" priority="7">
      <dataBar minLength="10" maxLength="90" showValue="1">
        <cfvo type="min" val="0"/>
        <cfvo type="max" val="0"/>
        <color rgb="FFF28C28"/>
      </dataBar>
    </cfRule>
  </conditionalFormatting>
  <dataValidations count="3">
    <dataValidation sqref="M7:M306" showDropDown="0" showInputMessage="0" showErrorMessage="0" allowBlank="0" type="list" errorStyle="stop" operator="between">
      <formula1>'Thiết lập'!$A$8:$A$14</formula1>
      <formula2>0</formula2>
    </dataValidation>
    <dataValidation sqref="N7:N306" showDropDown="0" showInputMessage="0" showErrorMessage="0" allowBlank="0" type="list" errorStyle="stop" operator="between">
      <formula1>'Thiết lập'!$C$8:$C$14</formula1>
      <formula2>0</formula2>
    </dataValidation>
    <dataValidation sqref="O7:O306" showDropDown="0" showInputMessage="0" showErrorMessage="0" allowBlank="0" type="list" errorStyle="stop" operator="between">
      <formula1>'Thiết lập'!$E$8:$E$9</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Q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97" min="1" max="8"/>
    <col width="4" customWidth="1" style="97" min="9" max="10"/>
  </cols>
  <sheetData>
    <row r="1" ht="54" customHeight="1" s="98">
      <c r="A1" s="99" t="inlineStr">
        <is>
          <t>KK HOME     |     Kiểm toán · Kế toán · Tư vấn Thuế
BÁO CÁO TỔNG HỢP CHI PHÍ TRẢ TRƯỚC</t>
        </is>
      </c>
      <c r="B1" s="100" t="n"/>
      <c r="C1" s="100" t="n"/>
      <c r="D1" s="100" t="n"/>
      <c r="E1" s="100" t="n"/>
      <c r="F1" s="100" t="n"/>
      <c r="G1" s="100" t="n"/>
      <c r="H1" s="100" t="n"/>
      <c r="I1" s="100" t="n"/>
      <c r="J1" s="100" t="n"/>
    </row>
    <row r="2" ht="24" customHeight="1" s="98">
      <c r="A2" s="186">
        <f>"Năm "&amp;'Thiết lập'!B3&amp;"  |  Ngày báo cáo: "&amp;TEXT('Thiết lập'!B4,"dd/mm/yyyy")</f>
        <v/>
      </c>
    </row>
    <row r="3"/>
    <row r="4" ht="15" customHeight="1" s="98">
      <c r="A4" s="129" t="inlineStr">
        <is>
          <t>Số mã CPTT</t>
        </is>
      </c>
      <c r="C4" s="129" t="inlineStr">
        <is>
          <t>Tổng giá trị gốc</t>
        </is>
      </c>
      <c r="E4" s="129" t="inlineStr">
        <is>
          <t>Phân bổ trong năm</t>
        </is>
      </c>
      <c r="G4" s="129" t="inlineStr">
        <is>
          <t>Giá trị còn lại</t>
        </is>
      </c>
      <c r="J4" s="187" t="inlineStr">
        <is>
          <t>KHU VỰC PHÂN TÍCH MỞ RỘNG
Có thể bổ sung báo cáo theo bộ phận, mã chi phí hoặc tháng khi doanh nghiệp chốt hệ thống mã quản trị.</t>
        </is>
      </c>
      <c r="K4" s="104" t="n"/>
      <c r="L4" s="104" t="n"/>
      <c r="M4" s="104" t="n"/>
      <c r="N4" s="104" t="n"/>
      <c r="O4" s="104" t="n"/>
      <c r="P4" s="104" t="n"/>
      <c r="Q4" s="105" t="n"/>
    </row>
    <row r="5" ht="15" customHeight="1" s="98">
      <c r="A5" s="188">
        <f>COUNTIF('Phân bổ'!$B$7:$B$306,"&lt;&gt;")</f>
        <v/>
      </c>
      <c r="B5" s="104" t="n"/>
      <c r="C5" s="189">
        <f>SUM('Phân bổ'!$H$7:$H$306)</f>
        <v/>
      </c>
      <c r="D5" s="104" t="n"/>
      <c r="E5" s="189">
        <f>SUM('Phân bổ'!$AD$7:$AD$306)</f>
        <v/>
      </c>
      <c r="F5" s="104" t="n"/>
      <c r="G5" s="190">
        <f>SUM('Phân bổ'!$AF$7:$AF$306)</f>
        <v/>
      </c>
      <c r="H5" s="105" t="n"/>
      <c r="J5" s="191" t="n"/>
      <c r="Q5" s="108" t="n"/>
    </row>
    <row r="6" ht="15" customHeight="1" s="98">
      <c r="A6" s="192" t="n"/>
      <c r="B6" s="113" t="n"/>
      <c r="C6" s="113" t="n"/>
      <c r="D6" s="113" t="n"/>
      <c r="E6" s="113" t="n"/>
      <c r="F6" s="113" t="n"/>
      <c r="G6" s="113" t="n"/>
      <c r="H6" s="114" t="n"/>
      <c r="J6" s="191" t="n"/>
      <c r="Q6" s="108" t="n"/>
    </row>
    <row r="7" ht="15" customHeight="1" s="98">
      <c r="J7" s="191" t="n"/>
      <c r="Q7" s="108" t="n"/>
    </row>
    <row r="8" ht="15" customHeight="1" s="98">
      <c r="A8" s="129" t="inlineStr">
        <is>
          <t>Còn lại ngắn hạn</t>
        </is>
      </c>
      <c r="C8" s="129" t="inlineStr">
        <is>
          <t>Còn lại dài hạn</t>
        </is>
      </c>
      <c r="E8" s="129" t="inlineStr">
        <is>
          <t>Đang phân bổ</t>
        </is>
      </c>
      <c r="G8" s="129" t="inlineStr">
        <is>
          <t>Bản ghi cần kiểm tra</t>
        </is>
      </c>
      <c r="J8" s="191" t="n"/>
      <c r="Q8" s="108" t="n"/>
    </row>
    <row r="9" ht="15" customHeight="1" s="98">
      <c r="A9" s="193">
        <f>SUMIF('Phân bổ'!$L$7:$L$306,"Ngắn hạn",'Phân bổ'!$AF$7:$AF$306)</f>
        <v/>
      </c>
      <c r="B9" s="104" t="n"/>
      <c r="C9" s="194">
        <f>SUMIF('Phân bổ'!$L$7:$L$306,"Dài hạn",'Phân bổ'!$AF$7:$AF$306)</f>
        <v/>
      </c>
      <c r="D9" s="104" t="n"/>
      <c r="E9" s="195">
        <f>COUNTIF('Phân bổ'!$AG$7:$AG$306,"Đang phân bổ")</f>
        <v/>
      </c>
      <c r="F9" s="104" t="n"/>
      <c r="G9" s="196">
        <f>COUNTIFS('Phân bổ'!$B$7:$B$306,"&lt;&gt;",'Phân bổ'!$AI$7:$AI$306,"&lt;&gt;OK")</f>
        <v/>
      </c>
      <c r="H9" s="105" t="n"/>
      <c r="J9" s="191" t="n"/>
      <c r="Q9" s="108" t="n"/>
    </row>
    <row r="10" ht="15" customHeight="1" s="98">
      <c r="A10" s="192" t="n"/>
      <c r="B10" s="113" t="n"/>
      <c r="C10" s="113" t="n"/>
      <c r="D10" s="113" t="n"/>
      <c r="E10" s="113" t="n"/>
      <c r="F10" s="113" t="n"/>
      <c r="G10" s="113" t="n"/>
      <c r="H10" s="114" t="n"/>
      <c r="J10" s="191" t="n"/>
      <c r="Q10" s="108" t="n"/>
    </row>
    <row r="11" ht="15" customHeight="1" s="98">
      <c r="J11" s="191" t="n"/>
      <c r="Q11" s="108" t="n"/>
    </row>
    <row r="12" ht="15" customHeight="1" s="98">
      <c r="A12" s="129" t="inlineStr">
        <is>
          <t>PHÂN BỔ TRONG NĂM THEO TÀI KHOẢN CHI PHÍ</t>
        </is>
      </c>
      <c r="J12" s="191" t="n"/>
      <c r="Q12" s="108" t="n"/>
    </row>
    <row r="13" ht="15" customHeight="1" s="98">
      <c r="A13" s="147" t="inlineStr">
        <is>
          <t>TK chi phí</t>
        </is>
      </c>
      <c r="B13" s="152" t="inlineStr">
        <is>
          <t>Giá trị phân bổ</t>
        </is>
      </c>
      <c r="D13" s="147" t="inlineStr">
        <is>
          <t>Trạng thái</t>
        </is>
      </c>
      <c r="E13" s="152" t="inlineStr">
        <is>
          <t>Số mã</t>
        </is>
      </c>
      <c r="J13" s="191" t="n"/>
      <c r="Q13" s="108" t="n"/>
    </row>
    <row r="14" ht="15" customHeight="1" s="98">
      <c r="A14" s="197" t="inlineStr">
        <is>
          <t>154</t>
        </is>
      </c>
      <c r="B14" s="198">
        <f>SUMIF('Phân bổ'!$N$7:$N$306,A14,'Phân bổ'!$AD$7:$AD$306)</f>
        <v/>
      </c>
      <c r="D14" s="197" t="inlineStr">
        <is>
          <t>Chưa phân bổ</t>
        </is>
      </c>
      <c r="E14" s="124">
        <f>COUNTIF('Phân bổ'!$AG$7:$AG$306,D14)</f>
        <v/>
      </c>
      <c r="J14" s="191" t="n"/>
      <c r="Q14" s="108" t="n"/>
    </row>
    <row r="15" ht="15" customHeight="1" s="98">
      <c r="A15" s="197" t="inlineStr">
        <is>
          <t>627</t>
        </is>
      </c>
      <c r="B15" s="198">
        <f>SUMIF('Phân bổ'!$N$7:$N$306,A15,'Phân bổ'!$AD$7:$AD$306)</f>
        <v/>
      </c>
      <c r="D15" s="197" t="inlineStr">
        <is>
          <t>Đang phân bổ</t>
        </is>
      </c>
      <c r="E15" s="124">
        <f>COUNTIF('Phân bổ'!$AG$7:$AG$306,D15)</f>
        <v/>
      </c>
      <c r="J15" s="191" t="n"/>
      <c r="Q15" s="108" t="n"/>
    </row>
    <row r="16" ht="15" customHeight="1" s="98">
      <c r="A16" s="197" t="inlineStr">
        <is>
          <t>632</t>
        </is>
      </c>
      <c r="B16" s="198">
        <f>SUMIF('Phân bổ'!$N$7:$N$306,A16,'Phân bổ'!$AD$7:$AD$306)</f>
        <v/>
      </c>
      <c r="D16" s="199" t="inlineStr">
        <is>
          <t>Đã phân bổ</t>
        </is>
      </c>
      <c r="E16" s="131">
        <f>COUNTIF('Phân bổ'!$AG$7:$AG$306,D16)</f>
        <v/>
      </c>
      <c r="J16" s="191" t="n"/>
      <c r="Q16" s="108" t="n"/>
    </row>
    <row r="17" ht="15" customHeight="1" s="98">
      <c r="A17" s="197" t="inlineStr">
        <is>
          <t>641</t>
        </is>
      </c>
      <c r="B17" s="198">
        <f>SUMIF('Phân bổ'!$N$7:$N$306,A17,'Phân bổ'!$AD$7:$AD$306)</f>
        <v/>
      </c>
      <c r="J17" s="191" t="n"/>
      <c r="Q17" s="108" t="n"/>
    </row>
    <row r="18" ht="15" customHeight="1" s="98">
      <c r="A18" s="197" t="inlineStr">
        <is>
          <t>642</t>
        </is>
      </c>
      <c r="B18" s="198">
        <f>SUMIF('Phân bổ'!$N$7:$N$306,A18,'Phân bổ'!$AD$7:$AD$306)</f>
        <v/>
      </c>
      <c r="J18" s="191" t="n"/>
      <c r="Q18" s="108" t="n"/>
    </row>
    <row r="19" ht="15" customHeight="1" s="98">
      <c r="A19" s="199" t="inlineStr">
        <is>
          <t>Khác</t>
        </is>
      </c>
      <c r="B19" s="200">
        <f>SUM('Phân bổ'!$AD$7:$AD$306)-SUM(B14:B18)</f>
        <v/>
      </c>
      <c r="J19" s="192" t="n"/>
      <c r="K19" s="113" t="n"/>
      <c r="L19" s="113" t="n"/>
      <c r="M19" s="113" t="n"/>
      <c r="N19" s="113" t="n"/>
      <c r="O19" s="113" t="n"/>
      <c r="P19" s="113" t="n"/>
      <c r="Q19" s="114" t="n"/>
    </row>
    <row r="20"/>
    <row r="21" ht="33.75" customHeight="1" s="98">
      <c r="A21" s="201" t="inlineStr">
        <is>
          <t>Cảnh báo: Nếu “Bản ghi cần kiểm tra” &gt; 0, lọc cột “Kiểm tra dữ liệu” tại sheet Phân bổ trước khi sử dụng số liệu.</t>
        </is>
      </c>
    </row>
    <row r="22"/>
    <row r="23" ht="25.5" customHeight="1" s="98">
      <c r="A23" s="115" t="inlineStr">
        <is>
          <t>KK HOME  ·  Kiểm toán – Kế toán – Tư vấn Thuế  ·  Mẫu theo dõi &amp; phân bổ chi phí trả trước (TK 242)</t>
        </is>
      </c>
      <c r="B23" s="116" t="n"/>
      <c r="C23" s="116" t="n"/>
      <c r="D23" s="116" t="n"/>
      <c r="E23" s="116" t="n"/>
      <c r="F23" s="116" t="n"/>
      <c r="G23" s="116" t="n"/>
      <c r="H23" s="116" t="n"/>
    </row>
  </sheetData>
  <mergeCells count="23">
    <mergeCell ref="D12:G12"/>
    <mergeCell ref="A5:B6"/>
    <mergeCell ref="G5:H6"/>
    <mergeCell ref="G8:H8"/>
    <mergeCell ref="E8:F8"/>
    <mergeCell ref="C4:D4"/>
    <mergeCell ref="E4:F4"/>
    <mergeCell ref="A9:B10"/>
    <mergeCell ref="G9:H10"/>
    <mergeCell ref="A1:J1"/>
    <mergeCell ref="A21:H21"/>
    <mergeCell ref="C5:D6"/>
    <mergeCell ref="E5:F6"/>
    <mergeCell ref="A23:H23"/>
    <mergeCell ref="A8:B8"/>
    <mergeCell ref="C8:D8"/>
    <mergeCell ref="A4:B4"/>
    <mergeCell ref="G4:H4"/>
    <mergeCell ref="J4:Q19"/>
    <mergeCell ref="A12:D12"/>
    <mergeCell ref="A2:J2"/>
    <mergeCell ref="C9:D10"/>
    <mergeCell ref="E9:F10"/>
  </mergeCells>
  <conditionalFormatting sqref="G9:H10">
    <cfRule type="expression" rank="0" priority="2" equalAverage="0" aboveAverage="0" dxfId="12" text="" percent="0" bottom="0">
      <formula>G9&gt;0</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Mr Wick Kiểm toán</dc:creator>
  <dc:title xmlns:dc="http://purl.org/dc/elements/1.1/">Bảng phân bổ chi phí trả trước – Mr Wick Kiểm toán</dc:title>
  <dc:description xmlns:dc="http://purl.org/dc/elements/1.1/">Mẫu theo dõi &amp; phân bổ chi phí trả trước (TK 242) do Mr Wick Kiểm toán biên soạn.</dc:description>
  <dc:language xmlns:dc="http://purl.org/dc/elements/1.1/">en-US</dc:language>
  <dcterms:created xmlns:dcterms="http://purl.org/dc/terms/" xmlns:xsi="http://www.w3.org/2001/XMLSchema-instance" xsi:type="dcterms:W3CDTF">2026-07-21T04:16:59Z</dcterms:created>
  <dcterms:modified xmlns:dcterms="http://purl.org/dc/terms/" xmlns:xsi="http://www.w3.org/2001/XMLSchema-instance" xsi:type="dcterms:W3CDTF">2026-10-25T09:13:44Z</dcterms:modified>
  <cp:lastModifiedBy>Mr Wick Kiểm toán</cp:lastModifiedBy>
  <cp:revision>0</cp:revision>
</cp:coreProperties>
</file>