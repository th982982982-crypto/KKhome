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ướng dẫn" sheetId="1" state="visible" r:id="rId1"/>
    <sheet xmlns:r="http://schemas.openxmlformats.org/officeDocument/2006/relationships" name="Thiết lập" sheetId="2" state="visible" r:id="rId2"/>
    <sheet xmlns:r="http://schemas.openxmlformats.org/officeDocument/2006/relationships" name="Khấu hao" sheetId="3" state="visible" r:id="rId3"/>
    <sheet xmlns:r="http://schemas.openxmlformats.org/officeDocument/2006/relationships" name="Báo cáo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[Red]-#,##0"/>
  </numFmts>
  <fonts count="12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b val="1"/>
      <color rgb="FF1F1F1F"/>
      <sz val="11"/>
    </font>
    <font>
      <name val="Carlito"/>
      <b val="1"/>
      <color rgb="FFFFFFFF"/>
      <sz val="10"/>
    </font>
    <font>
      <name val="Carlito"/>
      <b val="1"/>
      <sz val="11"/>
    </font>
    <font>
      <name val="Carlito"/>
      <b val="1"/>
      <color rgb="FFFFFFFF"/>
      <sz val="9"/>
    </font>
    <font>
      <name val="Carlito"/>
      <i val="1"/>
      <color rgb="FF1F4E78"/>
      <sz val="9"/>
    </font>
    <font>
      <name val="Carlito"/>
      <b val="1"/>
      <color rgb="FF1F4E78"/>
      <sz val="16"/>
    </font>
    <font>
      <name val="Carlito"/>
      <b val="1"/>
      <color rgb="FF1F4E78"/>
      <sz val="14"/>
    </font>
    <font>
      <name val="Carlito"/>
      <b val="1"/>
      <color rgb="FF9C0006"/>
      <sz val="11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822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34">
    <border/>
    <border/>
    <border>
      <left style="thin">
        <color rgb="FFD9E2F3"/>
      </left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top style="thin">
        <color rgb="FFD9E2F3"/>
      </top>
    </border>
    <border>
      <bottom style="thin">
        <color rgb="FFD9E2F3"/>
      </bottom>
    </border>
    <border>
      <top style="thin">
        <color rgb="FFD9E2F3"/>
      </top>
    </border>
    <border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</borders>
  <cellStyleXfs count="1">
    <xf numFmtId="0" fontId="0" fillId="0" borderId="1"/>
  </cellStyleXfs>
  <cellXfs count="47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3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3" fillId="3" borderId="8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3" fillId="3" borderId="10" applyAlignment="1" pivotButton="0" quotePrefix="0" xfId="0">
      <alignment wrapText="1"/>
    </xf>
    <xf numFmtId="0" fontId="2" fillId="3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2" fillId="4" borderId="2" pivotButton="0" quotePrefix="0" xfId="0"/>
    <xf numFmtId="0" fontId="4" fillId="5" borderId="3" applyAlignment="1" pivotButton="0" quotePrefix="0" xfId="0">
      <alignment horizontal="center"/>
    </xf>
    <xf numFmtId="0" fontId="2" fillId="4" borderId="4" pivotButton="0" quotePrefix="0" xfId="0"/>
    <xf numFmtId="164" fontId="4" fillId="5" borderId="5" applyAlignment="1" pivotButton="0" quotePrefix="0" xfId="0">
      <alignment horizontal="center"/>
    </xf>
    <xf numFmtId="0" fontId="2" fillId="4" borderId="6" pivotButton="0" quotePrefix="0" xfId="0"/>
    <xf numFmtId="0" fontId="4" fillId="5" borderId="7" applyAlignment="1" pivotButton="0" quotePrefix="0" xfId="0">
      <alignment horizontal="center"/>
    </xf>
    <xf numFmtId="0" fontId="2" fillId="4" borderId="8" pivotButton="0" quotePrefix="0" xfId="0"/>
    <xf numFmtId="0" fontId="4" fillId="5" borderId="9" applyAlignment="1" pivotButton="0" quotePrefix="0" xfId="0">
      <alignment horizontal="center"/>
    </xf>
    <xf numFmtId="0" fontId="2" fillId="4" borderId="10" pivotButton="0" quotePrefix="0" xfId="0"/>
    <xf numFmtId="164" fontId="4" fillId="5" borderId="11" applyAlignment="1" pivotButton="0" quotePrefix="0" xfId="0">
      <alignment horizontal="center"/>
    </xf>
    <xf numFmtId="0" fontId="2" fillId="4" borderId="12" pivotButton="0" quotePrefix="0" xfId="0"/>
    <xf numFmtId="0" fontId="4" fillId="5" borderId="13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5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7" borderId="6" pivotButton="0" quotePrefix="0" xfId="0"/>
    <xf numFmtId="0" fontId="0" fillId="7" borderId="7" pivotButton="0" quotePrefix="0" xfId="0"/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0" fillId="5" borderId="10" pivotButton="0" quotePrefix="0" xfId="0"/>
    <xf numFmtId="0" fontId="0" fillId="5" borderId="11" pivotButton="0" quotePrefix="0" xfId="0"/>
    <xf numFmtId="0" fontId="0" fillId="6" borderId="10" pivotButton="0" quotePrefix="0" xfId="0"/>
    <xf numFmtId="0" fontId="0" fillId="6" borderId="11" pivotButton="0" quotePrefix="0" xfId="0"/>
    <xf numFmtId="0" fontId="0" fillId="7" borderId="12" pivotButton="0" quotePrefix="0" xfId="0"/>
    <xf numFmtId="0" fontId="0" fillId="7" borderId="13" pivotButton="0" quotePrefix="0" xfId="0"/>
    <xf numFmtId="0" fontId="6" fillId="5" borderId="4" pivotButton="0" quotePrefix="0" xfId="0"/>
    <xf numFmtId="0" fontId="6" fillId="6" borderId="4" pivotButton="0" quotePrefix="0" xfId="0"/>
    <xf numFmtId="0" fontId="6" fillId="7" borderId="6" pivotButton="0" quotePrefix="0" xfId="0"/>
    <xf numFmtId="0" fontId="6" fillId="5" borderId="10" pivotButton="0" quotePrefix="0" xfId="0"/>
    <xf numFmtId="0" fontId="6" fillId="6" borderId="10" pivotButton="0" quotePrefix="0" xfId="0"/>
    <xf numFmtId="0" fontId="6" fillId="7" borderId="12" pivotButton="0" quotePrefix="0" xfId="0"/>
    <xf numFmtId="0" fontId="7" fillId="4" borderId="0" pivotButton="0" quotePrefix="0" xfId="0"/>
    <xf numFmtId="0" fontId="7" fillId="4" borderId="14" pivotButton="0" quotePrefix="0" xfId="0"/>
    <xf numFmtId="0" fontId="7" fillId="4" borderId="15" pivotButton="0" quotePrefix="0" xfId="0"/>
    <xf numFmtId="0" fontId="7" fillId="4" borderId="14" applyAlignment="1" pivotButton="0" quotePrefix="0" xfId="0">
      <alignment wrapText="1"/>
    </xf>
    <xf numFmtId="0" fontId="7" fillId="4" borderId="15" applyAlignment="1" pivotButton="0" quotePrefix="0" xfId="0">
      <alignment wrapText="1"/>
    </xf>
    <xf numFmtId="0" fontId="7" fillId="4" borderId="14" applyAlignment="1" pivotButton="0" quotePrefix="0" xfId="0">
      <alignment horizontal="center" wrapText="1"/>
    </xf>
    <xf numFmtId="0" fontId="7" fillId="4" borderId="15" applyAlignment="1" pivotButton="0" quotePrefix="0" xfId="0">
      <alignment horizont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center" vertical="center" wrapText="1"/>
    </xf>
    <xf numFmtId="0" fontId="7" fillId="4" borderId="1" pivotButton="0" quotePrefix="0" xfId="0"/>
    <xf numFmtId="0" fontId="7" fillId="4" borderId="16" pivotButton="0" quotePrefix="0" xfId="0"/>
    <xf numFmtId="0" fontId="7" fillId="4" borderId="17" pivotButton="0" quotePrefix="0" xfId="0"/>
    <xf numFmtId="0" fontId="7" fillId="4" borderId="16" applyAlignment="1" pivotButton="0" quotePrefix="0" xfId="0">
      <alignment wrapText="1"/>
    </xf>
    <xf numFmtId="0" fontId="7" fillId="4" borderId="17" applyAlignment="1" pivotButton="0" quotePrefix="0" xfId="0">
      <alignment wrapText="1"/>
    </xf>
    <xf numFmtId="0" fontId="7" fillId="4" borderId="16" applyAlignment="1" pivotButton="0" quotePrefix="0" xfId="0">
      <alignment horizontal="center" wrapText="1"/>
    </xf>
    <xf numFmtId="0" fontId="7" fillId="4" borderId="17" applyAlignment="1" pivotButton="0" quotePrefix="0" xfId="0">
      <alignment horizontal="center" wrapText="1"/>
    </xf>
    <xf numFmtId="0" fontId="7" fillId="4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8" borderId="2" pivotButton="0" quotePrefix="0" xfId="0"/>
    <xf numFmtId="0" fontId="0" fillId="8" borderId="3" pivotButton="0" quotePrefix="0" xfId="0"/>
    <xf numFmtId="0" fontId="0" fillId="8" borderId="4" pivotButton="0" quotePrefix="0" xfId="0"/>
    <xf numFmtId="0" fontId="0" fillId="8" borderId="5" pivotButton="0" quotePrefix="0" xfId="0"/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0" fillId="8" borderId="11" pivotButton="0" quotePrefix="0" xfId="0"/>
    <xf numFmtId="0" fontId="0" fillId="8" borderId="12" pivotButton="0" quotePrefix="0" xfId="0"/>
    <xf numFmtId="0" fontId="0" fillId="8" borderId="13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2" applyAlignment="1" pivotButton="0" quotePrefix="0" xfId="0">
      <alignment wrapText="1"/>
    </xf>
    <xf numFmtId="0" fontId="4" fillId="5" borderId="3" applyAlignment="1" pivotButton="0" quotePrefix="0" xfId="0">
      <alignment horizont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wrapText="1"/>
    </xf>
    <xf numFmtId="164" fontId="4" fillId="5" borderId="5" applyAlignment="1" pivotButton="0" quotePrefix="0" xfId="0">
      <alignment horizontal="center" wrapText="1"/>
    </xf>
    <xf numFmtId="0" fontId="6" fillId="5" borderId="4" applyAlignment="1" pivotButton="0" quotePrefix="0" xfId="0">
      <alignment wrapText="1"/>
    </xf>
    <xf numFmtId="0" fontId="0" fillId="5" borderId="5" applyAlignment="1" pivotButton="0" quotePrefix="0" xfId="0">
      <alignment wrapText="1"/>
    </xf>
    <xf numFmtId="0" fontId="2" fillId="4" borderId="6" applyAlignment="1" pivotButton="0" quotePrefix="0" xfId="0">
      <alignment wrapText="1"/>
    </xf>
    <xf numFmtId="0" fontId="4" fillId="5" borderId="7" applyAlignment="1" pivotButton="0" quotePrefix="0" xfId="0">
      <alignment horizontal="center" wrapText="1"/>
    </xf>
    <xf numFmtId="0" fontId="6" fillId="6" borderId="4" applyAlignment="1" pivotButton="0" quotePrefix="0" xfId="0">
      <alignment wrapText="1"/>
    </xf>
    <xf numFmtId="0" fontId="0" fillId="6" borderId="5" applyAlignment="1" pivotButton="0" quotePrefix="0" xfId="0">
      <alignment wrapText="1"/>
    </xf>
    <xf numFmtId="0" fontId="6" fillId="7" borderId="6" applyAlignment="1" pivotButton="0" quotePrefix="0" xfId="0">
      <alignment wrapText="1"/>
    </xf>
    <xf numFmtId="0" fontId="0" fillId="7" borderId="7" applyAlignment="1" pivotButton="0" quotePrefix="0" xfId="0">
      <alignment wrapText="1"/>
    </xf>
    <xf numFmtId="0" fontId="0" fillId="8" borderId="2" applyAlignment="1" pivotButton="0" quotePrefix="0" xfId="0">
      <alignment wrapText="1"/>
    </xf>
    <xf numFmtId="0" fontId="0" fillId="8" borderId="3" applyAlignment="1" pivotButton="0" quotePrefix="0" xfId="0">
      <alignment wrapText="1"/>
    </xf>
    <xf numFmtId="0" fontId="0" fillId="8" borderId="4" applyAlignment="1" pivotButton="0" quotePrefix="0" xfId="0">
      <alignment wrapText="1"/>
    </xf>
    <xf numFmtId="0" fontId="0" fillId="8" borderId="5" applyAlignment="1" pivotButton="0" quotePrefix="0" xfId="0">
      <alignment wrapText="1"/>
    </xf>
    <xf numFmtId="0" fontId="0" fillId="8" borderId="6" applyAlignment="1" pivotButton="0" quotePrefix="0" xfId="0">
      <alignment wrapText="1"/>
    </xf>
    <xf numFmtId="0" fontId="0" fillId="8" borderId="7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8" applyAlignment="1" pivotButton="0" quotePrefix="0" xfId="0">
      <alignment wrapText="1"/>
    </xf>
    <xf numFmtId="0" fontId="4" fillId="5" borderId="9" applyAlignment="1" pivotButton="0" quotePrefix="0" xfId="0">
      <alignment horizontal="center" wrapText="1"/>
    </xf>
    <xf numFmtId="0" fontId="5" fillId="3" borderId="8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wrapText="1"/>
    </xf>
    <xf numFmtId="164" fontId="4" fillId="5" borderId="11" applyAlignment="1" pivotButton="0" quotePrefix="0" xfId="0">
      <alignment horizontal="center" wrapText="1"/>
    </xf>
    <xf numFmtId="0" fontId="6" fillId="5" borderId="10" applyAlignment="1" pivotButton="0" quotePrefix="0" xfId="0">
      <alignment wrapText="1"/>
    </xf>
    <xf numFmtId="0" fontId="0" fillId="5" borderId="11" applyAlignment="1" pivotButton="0" quotePrefix="0" xfId="0">
      <alignment wrapText="1"/>
    </xf>
    <xf numFmtId="0" fontId="2" fillId="4" borderId="12" applyAlignment="1" pivotButton="0" quotePrefix="0" xfId="0">
      <alignment wrapText="1"/>
    </xf>
    <xf numFmtId="0" fontId="4" fillId="5" borderId="13" applyAlignment="1" pivotButton="0" quotePrefix="0" xfId="0">
      <alignment horizontal="center" wrapText="1"/>
    </xf>
    <xf numFmtId="0" fontId="6" fillId="6" borderId="10" applyAlignment="1" pivotButton="0" quotePrefix="0" xfId="0">
      <alignment wrapText="1"/>
    </xf>
    <xf numFmtId="0" fontId="0" fillId="6" borderId="11" applyAlignment="1" pivotButton="0" quotePrefix="0" xfId="0">
      <alignment wrapText="1"/>
    </xf>
    <xf numFmtId="0" fontId="6" fillId="7" borderId="12" applyAlignment="1" pivotButton="0" quotePrefix="0" xfId="0">
      <alignment wrapText="1"/>
    </xf>
    <xf numFmtId="0" fontId="0" fillId="7" borderId="13" applyAlignment="1" pivotButton="0" quotePrefix="0" xfId="0">
      <alignment wrapText="1"/>
    </xf>
    <xf numFmtId="0" fontId="0" fillId="8" borderId="8" applyAlignment="1" pivotButton="0" quotePrefix="0" xfId="0">
      <alignment wrapText="1"/>
    </xf>
    <xf numFmtId="0" fontId="0" fillId="8" borderId="9" applyAlignment="1" pivotButton="0" quotePrefix="0" xfId="0">
      <alignment wrapText="1"/>
    </xf>
    <xf numFmtId="0" fontId="0" fillId="8" borderId="10" applyAlignment="1" pivotButton="0" quotePrefix="0" xfId="0">
      <alignment wrapText="1"/>
    </xf>
    <xf numFmtId="0" fontId="0" fillId="8" borderId="11" applyAlignment="1" pivotButton="0" quotePrefix="0" xfId="0">
      <alignment wrapText="1"/>
    </xf>
    <xf numFmtId="0" fontId="0" fillId="8" borderId="12" applyAlignment="1" pivotButton="0" quotePrefix="0" xfId="0">
      <alignment wrapText="1"/>
    </xf>
    <xf numFmtId="0" fontId="0" fillId="8" borderId="13" applyAlignment="1" pivotButton="0" quotePrefix="0" xfId="0">
      <alignment wrapText="1"/>
    </xf>
    <xf numFmtId="0" fontId="0" fillId="9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left"/>
    </xf>
    <xf numFmtId="0" fontId="8" fillId="9" borderId="0" applyAlignment="1" pivotButton="0" quotePrefix="0" xfId="0">
      <alignment horizontal="left" vertical="center"/>
    </xf>
    <xf numFmtId="0" fontId="0" fillId="9" borderId="1" pivotButton="0" quotePrefix="0" xfId="0"/>
    <xf numFmtId="0" fontId="8" fillId="9" borderId="1" pivotButton="0" quotePrefix="0" xfId="0"/>
    <xf numFmtId="0" fontId="8" fillId="9" borderId="1" applyAlignment="1" pivotButton="0" quotePrefix="0" xfId="0">
      <alignment horizontal="left"/>
    </xf>
    <xf numFmtId="0" fontId="8" fillId="9" borderId="1" applyAlignment="1" pivotButton="0" quotePrefix="0" xfId="0">
      <alignment horizontal="left" vertical="center"/>
    </xf>
    <xf numFmtId="0" fontId="0" fillId="8" borderId="0" pivotButton="0" quotePrefix="0" xfId="0"/>
    <xf numFmtId="0" fontId="3" fillId="8" borderId="0" pivotButton="0" quotePrefix="0" xfId="0"/>
    <xf numFmtId="0" fontId="3" fillId="8" borderId="18" pivotButton="0" quotePrefix="0" xfId="0"/>
    <xf numFmtId="0" fontId="3" fillId="8" borderId="19" pivotButton="0" quotePrefix="0" xfId="0"/>
    <xf numFmtId="0" fontId="3" fillId="8" borderId="20" pivotButton="0" quotePrefix="0" xfId="0"/>
    <xf numFmtId="0" fontId="3" fillId="8" borderId="18" applyAlignment="1" pivotButton="0" quotePrefix="0" xfId="0">
      <alignment horizontal="center"/>
    </xf>
    <xf numFmtId="0" fontId="3" fillId="8" borderId="19" applyAlignment="1" pivotButton="0" quotePrefix="0" xfId="0">
      <alignment horizontal="center"/>
    </xf>
    <xf numFmtId="0" fontId="3" fillId="8" borderId="20" applyAlignment="1" pivotButton="0" quotePrefix="0" xfId="0">
      <alignment horizontal="center"/>
    </xf>
    <xf numFmtId="0" fontId="3" fillId="8" borderId="18" applyAlignment="1" pivotButton="0" quotePrefix="0" xfId="0">
      <alignment horizontal="center" vertical="center"/>
    </xf>
    <xf numFmtId="0" fontId="3" fillId="8" borderId="19" applyAlignment="1" pivotButton="0" quotePrefix="0" xfId="0">
      <alignment horizontal="center" vertical="center"/>
    </xf>
    <xf numFmtId="0" fontId="3" fillId="8" borderId="20" applyAlignment="1" pivotButton="0" quotePrefix="0" xfId="0">
      <alignment horizontal="center" vertical="center"/>
    </xf>
    <xf numFmtId="0" fontId="0" fillId="8" borderId="1" pivotButton="0" quotePrefix="0" xfId="0"/>
    <xf numFmtId="0" fontId="3" fillId="8" borderId="1" pivotButton="0" quotePrefix="0" xfId="0"/>
    <xf numFmtId="0" fontId="3" fillId="8" borderId="21" pivotButton="0" quotePrefix="0" xfId="0"/>
    <xf numFmtId="0" fontId="3" fillId="8" borderId="22" pivotButton="0" quotePrefix="0" xfId="0"/>
    <xf numFmtId="0" fontId="3" fillId="8" borderId="23" pivotButton="0" quotePrefix="0" xfId="0"/>
    <xf numFmtId="0" fontId="3" fillId="8" borderId="21" applyAlignment="1" pivotButton="0" quotePrefix="0" xfId="0">
      <alignment horizontal="center"/>
    </xf>
    <xf numFmtId="0" fontId="3" fillId="8" borderId="22" applyAlignment="1" pivotButton="0" quotePrefix="0" xfId="0">
      <alignment horizontal="center"/>
    </xf>
    <xf numFmtId="0" fontId="3" fillId="8" borderId="23" applyAlignment="1" pivotButton="0" quotePrefix="0" xfId="0">
      <alignment horizontal="center"/>
    </xf>
    <xf numFmtId="0" fontId="3" fillId="8" borderId="21" applyAlignment="1" pivotButton="0" quotePrefix="0" xfId="0">
      <alignment horizontal="center" vertical="center"/>
    </xf>
    <xf numFmtId="0" fontId="3" fillId="8" borderId="22" applyAlignment="1" pivotButton="0" quotePrefix="0" xfId="0">
      <alignment horizontal="center" vertical="center"/>
    </xf>
    <xf numFmtId="0" fontId="3" fillId="8" borderId="23" applyAlignment="1" pivotButton="0" quotePrefix="0" xfId="0">
      <alignment horizontal="center" vertical="center"/>
    </xf>
    <xf numFmtId="164" fontId="3" fillId="8" borderId="19" applyAlignment="1" pivotButton="0" quotePrefix="0" xfId="0">
      <alignment horizontal="center" vertical="center"/>
    </xf>
    <xf numFmtId="164" fontId="3" fillId="8" borderId="20" applyAlignment="1" pivotButton="0" quotePrefix="0" xfId="0">
      <alignment horizontal="center" vertical="center"/>
    </xf>
    <xf numFmtId="164" fontId="3" fillId="8" borderId="22" applyAlignment="1" pivotButton="0" quotePrefix="0" xfId="0">
      <alignment horizontal="center" vertical="center"/>
    </xf>
    <xf numFmtId="164" fontId="3" fillId="8" borderId="23" applyAlignment="1" pivotButton="0" quotePrefix="0" xfId="0">
      <alignment horizontal="center" vertical="center"/>
    </xf>
    <xf numFmtId="0" fontId="7" fillId="4" borderId="24" pivotButton="0" quotePrefix="0" xfId="0"/>
    <xf numFmtId="0" fontId="7" fillId="4" borderId="24" applyAlignment="1" pivotButton="0" quotePrefix="0" xfId="0">
      <alignment wrapText="1"/>
    </xf>
    <xf numFmtId="0" fontId="7" fillId="4" borderId="24" applyAlignment="1" pivotButton="0" quotePrefix="0" xfId="0">
      <alignment horizontal="center" wrapText="1"/>
    </xf>
    <xf numFmtId="0" fontId="7" fillId="4" borderId="24" applyAlignment="1" pivotButton="0" quotePrefix="0" xfId="0">
      <alignment horizontal="center" vertical="center" wrapText="1"/>
    </xf>
    <xf numFmtId="0" fontId="7" fillId="4" borderId="25" pivotButton="0" quotePrefix="0" xfId="0"/>
    <xf numFmtId="0" fontId="7" fillId="4" borderId="25" applyAlignment="1" pivotButton="0" quotePrefix="0" xfId="0">
      <alignment wrapText="1"/>
    </xf>
    <xf numFmtId="0" fontId="7" fillId="4" borderId="25" applyAlignment="1" pivotButton="0" quotePrefix="0" xfId="0">
      <alignment horizontal="center" wrapText="1"/>
    </xf>
    <xf numFmtId="0" fontId="7" fillId="4" borderId="25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5" borderId="26" pivotButton="0" quotePrefix="0" xfId="0"/>
    <xf numFmtId="0" fontId="0" fillId="6" borderId="26" pivotButton="0" quotePrefix="0" xfId="0"/>
    <xf numFmtId="0" fontId="0" fillId="6" borderId="3" pivotButton="0" quotePrefix="0" xfId="0"/>
    <xf numFmtId="0" fontId="0" fillId="6" borderId="6" pivotButton="0" quotePrefix="0" xfId="0"/>
    <xf numFmtId="0" fontId="0" fillId="5" borderId="27" pivotButton="0" quotePrefix="0" xfId="0"/>
    <xf numFmtId="0" fontId="0" fillId="6" borderId="27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5" borderId="28" pivotButton="0" quotePrefix="0" xfId="0"/>
    <xf numFmtId="0" fontId="0" fillId="6" borderId="28" pivotButton="0" quotePrefix="0" xfId="0"/>
    <xf numFmtId="0" fontId="0" fillId="6" borderId="9" pivotButton="0" quotePrefix="0" xfId="0"/>
    <xf numFmtId="0" fontId="0" fillId="6" borderId="12" pivotButton="0" quotePrefix="0" xfId="0"/>
    <xf numFmtId="0" fontId="0" fillId="5" borderId="29" pivotButton="0" quotePrefix="0" xfId="0"/>
    <xf numFmtId="0" fontId="0" fillId="6" borderId="29" pivotButton="0" quotePrefix="0" xfId="0"/>
    <xf numFmtId="0" fontId="0" fillId="6" borderId="13" pivotButton="0" quotePrefix="0" xfId="0"/>
    <xf numFmtId="0" fontId="0" fillId="6" borderId="2" applyAlignment="1" pivotButton="0" quotePrefix="0" xfId="0">
      <alignment vertical="center"/>
    </xf>
    <xf numFmtId="0" fontId="0" fillId="5" borderId="26" applyAlignment="1" pivotButton="0" quotePrefix="0" xfId="0">
      <alignment vertical="center"/>
    </xf>
    <xf numFmtId="0" fontId="0" fillId="6" borderId="26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5" borderId="27" applyAlignment="1" pivotButton="0" quotePrefix="0" xfId="0">
      <alignment vertical="center"/>
    </xf>
    <xf numFmtId="0" fontId="0" fillId="6" borderId="27" applyAlignment="1" pivotButton="0" quotePrefix="0" xfId="0">
      <alignment vertical="center"/>
    </xf>
    <xf numFmtId="0" fontId="0" fillId="6" borderId="7" applyAlignment="1" pivotButton="0" quotePrefix="0" xfId="0">
      <alignment vertical="center"/>
    </xf>
    <xf numFmtId="0" fontId="0" fillId="6" borderId="8" applyAlignment="1" pivotButton="0" quotePrefix="0" xfId="0">
      <alignment vertical="center"/>
    </xf>
    <xf numFmtId="0" fontId="0" fillId="5" borderId="28" applyAlignment="1" pivotButton="0" quotePrefix="0" xfId="0">
      <alignment vertical="center"/>
    </xf>
    <xf numFmtId="0" fontId="0" fillId="6" borderId="28" applyAlignment="1" pivotButton="0" quotePrefix="0" xfId="0">
      <alignment vertical="center"/>
    </xf>
    <xf numFmtId="0" fontId="0" fillId="6" borderId="9" applyAlignment="1" pivotButton="0" quotePrefix="0" xfId="0">
      <alignment vertical="center"/>
    </xf>
    <xf numFmtId="0" fontId="0" fillId="6" borderId="1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1" applyAlignment="1" pivotButton="0" quotePrefix="0" xfId="0">
      <alignment vertical="center"/>
    </xf>
    <xf numFmtId="0" fontId="0" fillId="6" borderId="12" applyAlignment="1" pivotButton="0" quotePrefix="0" xfId="0">
      <alignment vertical="center"/>
    </xf>
    <xf numFmtId="0" fontId="0" fillId="5" borderId="29" applyAlignment="1" pivotButton="0" quotePrefix="0" xfId="0">
      <alignment vertical="center"/>
    </xf>
    <xf numFmtId="0" fontId="0" fillId="6" borderId="29" applyAlignment="1" pivotButton="0" quotePrefix="0" xfId="0">
      <alignment vertical="center"/>
    </xf>
    <xf numFmtId="0" fontId="0" fillId="6" borderId="13" applyAlignment="1" pivotButton="0" quotePrefix="0" xfId="0">
      <alignment vertical="center"/>
    </xf>
    <xf numFmtId="0" fontId="0" fillId="6" borderId="2" applyAlignment="1" pivotButton="0" quotePrefix="0" xfId="0">
      <alignment vertical="center" wrapText="1"/>
    </xf>
    <xf numFmtId="0" fontId="0" fillId="5" borderId="26" applyAlignment="1" pivotButton="0" quotePrefix="0" xfId="0">
      <alignment vertical="center" wrapText="1"/>
    </xf>
    <xf numFmtId="0" fontId="0" fillId="6" borderId="26" applyAlignment="1" pivotButton="0" quotePrefix="0" xfId="0">
      <alignment vertical="center" wrapText="1"/>
    </xf>
    <xf numFmtId="0" fontId="0" fillId="6" borderId="3" applyAlignment="1" pivotButton="0" quotePrefix="0" xfId="0">
      <alignment vertical="center" wrapText="1"/>
    </xf>
    <xf numFmtId="0" fontId="0" fillId="6" borderId="4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5" applyAlignment="1" pivotButton="0" quotePrefix="0" xfId="0">
      <alignment vertical="center" wrapText="1"/>
    </xf>
    <xf numFmtId="0" fontId="0" fillId="6" borderId="6" applyAlignment="1" pivotButton="0" quotePrefix="0" xfId="0">
      <alignment vertical="center" wrapText="1"/>
    </xf>
    <xf numFmtId="0" fontId="0" fillId="5" borderId="27" applyAlignment="1" pivotButton="0" quotePrefix="0" xfId="0">
      <alignment vertical="center" wrapText="1"/>
    </xf>
    <xf numFmtId="0" fontId="0" fillId="6" borderId="27" applyAlignment="1" pivotButton="0" quotePrefix="0" xfId="0">
      <alignment vertical="center" wrapText="1"/>
    </xf>
    <xf numFmtId="0" fontId="0" fillId="6" borderId="7" applyAlignment="1" pivotButton="0" quotePrefix="0" xfId="0">
      <alignment vertical="center" wrapText="1"/>
    </xf>
    <xf numFmtId="0" fontId="0" fillId="6" borderId="8" applyAlignment="1" pivotButton="0" quotePrefix="0" xfId="0">
      <alignment vertical="center" wrapText="1"/>
    </xf>
    <xf numFmtId="0" fontId="0" fillId="5" borderId="28" applyAlignment="1" pivotButton="0" quotePrefix="0" xfId="0">
      <alignment vertical="center" wrapText="1"/>
    </xf>
    <xf numFmtId="0" fontId="0" fillId="6" borderId="28" applyAlignment="1" pivotButton="0" quotePrefix="0" xfId="0">
      <alignment vertical="center" wrapText="1"/>
    </xf>
    <xf numFmtId="0" fontId="0" fillId="6" borderId="9" applyAlignment="1" pivotButton="0" quotePrefix="0" xfId="0">
      <alignment vertical="center" wrapText="1"/>
    </xf>
    <xf numFmtId="0" fontId="0" fillId="6" borderId="10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6" borderId="11" applyAlignment="1" pivotButton="0" quotePrefix="0" xfId="0">
      <alignment vertical="center" wrapText="1"/>
    </xf>
    <xf numFmtId="0" fontId="0" fillId="6" borderId="12" applyAlignment="1" pivotButton="0" quotePrefix="0" xfId="0">
      <alignment vertical="center" wrapText="1"/>
    </xf>
    <xf numFmtId="0" fontId="0" fillId="5" borderId="29" applyAlignment="1" pivotButton="0" quotePrefix="0" xfId="0">
      <alignment vertical="center" wrapText="1"/>
    </xf>
    <xf numFmtId="0" fontId="0" fillId="6" borderId="29" applyAlignment="1" pivotButton="0" quotePrefix="0" xfId="0">
      <alignment vertical="center" wrapText="1"/>
    </xf>
    <xf numFmtId="0" fontId="0" fillId="6" borderId="13" applyAlignment="1" pivotButton="0" quotePrefix="0" xfId="0">
      <alignment vertical="center" wrapText="1"/>
    </xf>
    <xf numFmtId="164" fontId="0" fillId="5" borderId="26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64" fontId="0" fillId="5" borderId="27" applyAlignment="1" pivotButton="0" quotePrefix="0" xfId="0">
      <alignment vertical="center" wrapText="1"/>
    </xf>
    <xf numFmtId="164" fontId="0" fillId="5" borderId="28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4" fontId="0" fillId="5" borderId="29" applyAlignment="1" pivotButton="0" quotePrefix="0" xfId="0">
      <alignment vertical="center" wrapText="1"/>
    </xf>
    <xf numFmtId="164" fontId="0" fillId="6" borderId="26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164" fontId="0" fillId="6" borderId="27" applyAlignment="1" pivotButton="0" quotePrefix="0" xfId="0">
      <alignment vertical="center" wrapText="1"/>
    </xf>
    <xf numFmtId="164" fontId="0" fillId="6" borderId="28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164" fontId="0" fillId="6" borderId="29" applyAlignment="1" pivotButton="0" quotePrefix="0" xfId="0">
      <alignment vertical="center" wrapText="1"/>
    </xf>
    <xf numFmtId="1" fontId="0" fillId="5" borderId="26" applyAlignment="1" pivotButton="0" quotePrefix="0" xfId="0">
      <alignment vertical="center" wrapText="1"/>
    </xf>
    <xf numFmtId="1" fontId="0" fillId="5" borderId="0" applyAlignment="1" pivotButton="0" quotePrefix="0" xfId="0">
      <alignment vertical="center" wrapText="1"/>
    </xf>
    <xf numFmtId="1" fontId="0" fillId="5" borderId="27" applyAlignment="1" pivotButton="0" quotePrefix="0" xfId="0">
      <alignment vertical="center" wrapText="1"/>
    </xf>
    <xf numFmtId="1" fontId="0" fillId="5" borderId="28" applyAlignment="1" pivotButton="0" quotePrefix="0" xfId="0">
      <alignment vertical="center" wrapText="1"/>
    </xf>
    <xf numFmtId="1" fontId="0" fillId="5" borderId="1" applyAlignment="1" pivotButton="0" quotePrefix="0" xfId="0">
      <alignment vertical="center" wrapText="1"/>
    </xf>
    <xf numFmtId="1" fontId="0" fillId="5" borderId="29" applyAlignment="1" pivotButton="0" quotePrefix="0" xfId="0">
      <alignment vertical="center" wrapText="1"/>
    </xf>
    <xf numFmtId="165" fontId="0" fillId="5" borderId="26" applyAlignment="1" pivotButton="0" quotePrefix="0" xfId="0">
      <alignment vertical="center" wrapText="1"/>
    </xf>
    <xf numFmtId="165" fontId="0" fillId="5" borderId="0" applyAlignment="1" pivotButton="0" quotePrefix="0" xfId="0">
      <alignment vertical="center" wrapText="1"/>
    </xf>
    <xf numFmtId="165" fontId="0" fillId="5" borderId="27" applyAlignment="1" pivotButton="0" quotePrefix="0" xfId="0">
      <alignment vertical="center" wrapText="1"/>
    </xf>
    <xf numFmtId="165" fontId="0" fillId="5" borderId="28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5" fontId="0" fillId="5" borderId="29" applyAlignment="1" pivotButton="0" quotePrefix="0" xfId="0">
      <alignment vertical="center" wrapText="1"/>
    </xf>
    <xf numFmtId="165" fontId="0" fillId="6" borderId="26" applyAlignment="1" pivotButton="0" quotePrefix="0" xfId="0">
      <alignment vertical="center" wrapText="1"/>
    </xf>
    <xf numFmtId="165" fontId="0" fillId="6" borderId="0" applyAlignment="1" pivotButton="0" quotePrefix="0" xfId="0">
      <alignment vertical="center" wrapText="1"/>
    </xf>
    <xf numFmtId="165" fontId="0" fillId="6" borderId="27" applyAlignment="1" pivotButton="0" quotePrefix="0" xfId="0">
      <alignment vertical="center" wrapText="1"/>
    </xf>
    <xf numFmtId="165" fontId="0" fillId="6" borderId="28" applyAlignment="1" pivotButton="0" quotePrefix="0" xfId="0">
      <alignment vertical="center" wrapText="1"/>
    </xf>
    <xf numFmtId="165" fontId="0" fillId="6" borderId="1" applyAlignment="1" pivotButton="0" quotePrefix="0" xfId="0">
      <alignment vertical="center" wrapText="1"/>
    </xf>
    <xf numFmtId="165" fontId="0" fillId="6" borderId="29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5" borderId="26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7" applyAlignment="1" pivotButton="0" quotePrefix="0" xfId="0">
      <alignment horizontal="center" vertical="center" wrapText="1"/>
    </xf>
    <xf numFmtId="0" fontId="0" fillId="5" borderId="28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29" applyAlignment="1" pivotButton="0" quotePrefix="0" xfId="0">
      <alignment horizontal="center" vertical="center" wrapText="1"/>
    </xf>
    <xf numFmtId="0" fontId="0" fillId="6" borderId="26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6" borderId="27" applyAlignment="1" pivotButton="0" quotePrefix="0" xfId="0">
      <alignment horizontal="center" vertical="center" wrapText="1"/>
    </xf>
    <xf numFmtId="0" fontId="0" fillId="6" borderId="28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29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0" fillId="6" borderId="1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3" fillId="9" borderId="0" pivotButton="0" quotePrefix="0" xfId="0"/>
    <xf numFmtId="0" fontId="3" fillId="9" borderId="0" applyAlignment="1" pivotButton="0" quotePrefix="0" xfId="0">
      <alignment horizontal="center"/>
    </xf>
    <xf numFmtId="0" fontId="3" fillId="9" borderId="0" applyAlignment="1" pivotButton="0" quotePrefix="0" xfId="0">
      <alignment horizontal="center" vertical="center"/>
    </xf>
    <xf numFmtId="0" fontId="3" fillId="9" borderId="1" pivotButton="0" quotePrefix="0" xfId="0"/>
    <xf numFmtId="0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0" fontId="9" fillId="8" borderId="0" pivotButton="0" quotePrefix="0" xfId="0"/>
    <xf numFmtId="0" fontId="9" fillId="8" borderId="18" pivotButton="0" quotePrefix="0" xfId="0"/>
    <xf numFmtId="0" fontId="9" fillId="8" borderId="20" pivotButton="0" quotePrefix="0" xfId="0"/>
    <xf numFmtId="0" fontId="9" fillId="8" borderId="18" applyAlignment="1" pivotButton="0" quotePrefix="0" xfId="0">
      <alignment horizontal="center"/>
    </xf>
    <xf numFmtId="0" fontId="9" fillId="8" borderId="20" applyAlignment="1" pivotButton="0" quotePrefix="0" xfId="0">
      <alignment horizontal="center"/>
    </xf>
    <xf numFmtId="0" fontId="9" fillId="8" borderId="18" applyAlignment="1" pivotButton="0" quotePrefix="0" xfId="0">
      <alignment horizontal="center" vertical="center"/>
    </xf>
    <xf numFmtId="0" fontId="9" fillId="8" borderId="20" applyAlignment="1" pivotButton="0" quotePrefix="0" xfId="0">
      <alignment horizontal="center" vertical="center"/>
    </xf>
    <xf numFmtId="0" fontId="9" fillId="8" borderId="1" pivotButton="0" quotePrefix="0" xfId="0"/>
    <xf numFmtId="0" fontId="9" fillId="8" borderId="21" pivotButton="0" quotePrefix="0" xfId="0"/>
    <xf numFmtId="0" fontId="9" fillId="8" borderId="23" pivotButton="0" quotePrefix="0" xfId="0"/>
    <xf numFmtId="0" fontId="9" fillId="8" borderId="21" applyAlignment="1" pivotButton="0" quotePrefix="0" xfId="0">
      <alignment horizontal="center"/>
    </xf>
    <xf numFmtId="0" fontId="9" fillId="8" borderId="23" applyAlignment="1" pivotButton="0" quotePrefix="0" xfId="0">
      <alignment horizontal="center"/>
    </xf>
    <xf numFmtId="0" fontId="9" fillId="8" borderId="21" applyAlignment="1" pivotButton="0" quotePrefix="0" xfId="0">
      <alignment horizontal="center" vertical="center"/>
    </xf>
    <xf numFmtId="0" fontId="9" fillId="8" borderId="23" applyAlignment="1" pivotButton="0" quotePrefix="0" xfId="0">
      <alignment horizontal="center" vertical="center"/>
    </xf>
    <xf numFmtId="3" fontId="9" fillId="8" borderId="18" applyAlignment="1" pivotButton="0" quotePrefix="0" xfId="0">
      <alignment horizontal="center" vertical="center"/>
    </xf>
    <xf numFmtId="3" fontId="9" fillId="8" borderId="20" applyAlignment="1" pivotButton="0" quotePrefix="0" xfId="0">
      <alignment horizontal="center" vertical="center"/>
    </xf>
    <xf numFmtId="3" fontId="9" fillId="8" borderId="21" applyAlignment="1" pivotButton="0" quotePrefix="0" xfId="0">
      <alignment horizontal="center" vertical="center"/>
    </xf>
    <xf numFmtId="3" fontId="9" fillId="8" borderId="23" applyAlignment="1" pivotButton="0" quotePrefix="0" xfId="0">
      <alignment horizontal="center" vertical="center"/>
    </xf>
    <xf numFmtId="0" fontId="0" fillId="10" borderId="0" pivotButton="0" quotePrefix="0" xfId="0"/>
    <xf numFmtId="0" fontId="10" fillId="10" borderId="0" pivotButton="0" quotePrefix="0" xfId="0"/>
    <xf numFmtId="0" fontId="10" fillId="10" borderId="18" pivotButton="0" quotePrefix="0" xfId="0"/>
    <xf numFmtId="0" fontId="10" fillId="10" borderId="20" pivotButton="0" quotePrefix="0" xfId="0"/>
    <xf numFmtId="0" fontId="10" fillId="10" borderId="18" applyAlignment="1" pivotButton="0" quotePrefix="0" xfId="0">
      <alignment horizontal="center"/>
    </xf>
    <xf numFmtId="0" fontId="10" fillId="10" borderId="20" applyAlignment="1" pivotButton="0" quotePrefix="0" xfId="0">
      <alignment horizontal="center"/>
    </xf>
    <xf numFmtId="0" fontId="10" fillId="10" borderId="18" applyAlignment="1" pivotButton="0" quotePrefix="0" xfId="0">
      <alignment horizontal="center" vertical="center"/>
    </xf>
    <xf numFmtId="0" fontId="10" fillId="10" borderId="20" applyAlignment="1" pivotButton="0" quotePrefix="0" xfId="0">
      <alignment horizontal="center" vertical="center"/>
    </xf>
    <xf numFmtId="0" fontId="0" fillId="10" borderId="1" pivotButton="0" quotePrefix="0" xfId="0"/>
    <xf numFmtId="0" fontId="10" fillId="10" borderId="1" pivotButton="0" quotePrefix="0" xfId="0"/>
    <xf numFmtId="0" fontId="10" fillId="10" borderId="21" pivotButton="0" quotePrefix="0" xfId="0"/>
    <xf numFmtId="0" fontId="10" fillId="10" borderId="23" pivotButton="0" quotePrefix="0" xfId="0"/>
    <xf numFmtId="0" fontId="10" fillId="10" borderId="21" applyAlignment="1" pivotButton="0" quotePrefix="0" xfId="0">
      <alignment horizontal="center"/>
    </xf>
    <xf numFmtId="0" fontId="10" fillId="10" borderId="23" applyAlignment="1" pivotButton="0" quotePrefix="0" xfId="0">
      <alignment horizontal="center"/>
    </xf>
    <xf numFmtId="0" fontId="10" fillId="10" borderId="21" applyAlignment="1" pivotButton="0" quotePrefix="0" xfId="0">
      <alignment horizontal="center" vertical="center"/>
    </xf>
    <xf numFmtId="0" fontId="10" fillId="10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3" fontId="0" fillId="0" borderId="26" pivotButton="0" quotePrefix="0" xfId="0"/>
    <xf numFmtId="3" fontId="0" fillId="0" borderId="3" pivotButton="0" quotePrefix="0" xfId="0"/>
    <xf numFmtId="3" fontId="0" fillId="0" borderId="0" pivotButton="0" quotePrefix="0" xfId="0"/>
    <xf numFmtId="3" fontId="0" fillId="0" borderId="5" pivotButton="0" quotePrefix="0" xfId="0"/>
    <xf numFmtId="3" fontId="0" fillId="0" borderId="27" pivotButton="0" quotePrefix="0" xfId="0"/>
    <xf numFmtId="3" fontId="0" fillId="0" borderId="7" pivotButton="0" quotePrefix="0" xfId="0"/>
    <xf numFmtId="3" fontId="0" fillId="0" borderId="28" pivotButton="0" quotePrefix="0" xfId="0"/>
    <xf numFmtId="3" fontId="0" fillId="0" borderId="9" pivotButton="0" quotePrefix="0" xfId="0"/>
    <xf numFmtId="3" fontId="0" fillId="0" borderId="1" pivotButton="0" quotePrefix="0" xfId="0"/>
    <xf numFmtId="3" fontId="0" fillId="0" borderId="11" pivotButton="0" quotePrefix="0" xfId="0"/>
    <xf numFmtId="3" fontId="0" fillId="0" borderId="29" pivotButton="0" quotePrefix="0" xfId="0"/>
    <xf numFmtId="3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3" fontId="0" fillId="0" borderId="19" pivotButton="0" quotePrefix="0" xfId="0"/>
    <xf numFmtId="3" fontId="0" fillId="0" borderId="20" pivotButton="0" quotePrefix="0" xfId="0"/>
    <xf numFmtId="3" fontId="0" fillId="0" borderId="22" pivotButton="0" quotePrefix="0" xfId="0"/>
    <xf numFmtId="3" fontId="0" fillId="0" borderId="23" pivotButton="0" quotePrefix="0" xfId="0"/>
    <xf numFmtId="0" fontId="3" fillId="0" borderId="18" pivotButton="0" quotePrefix="0" xfId="0"/>
    <xf numFmtId="0" fontId="3" fillId="0" borderId="21" pivotButton="0" quotePrefix="0" xfId="0"/>
    <xf numFmtId="0" fontId="11" fillId="7" borderId="0" pivotButton="0" quotePrefix="0" xfId="0"/>
    <xf numFmtId="0" fontId="11" fillId="7" borderId="0" applyAlignment="1" pivotButton="0" quotePrefix="0" xfId="0">
      <alignment wrapText="1"/>
    </xf>
    <xf numFmtId="0" fontId="11" fillId="7" borderId="0" applyAlignment="1" pivotButton="0" quotePrefix="0" xfId="0">
      <alignment horizontal="left" wrapText="1"/>
    </xf>
    <xf numFmtId="0" fontId="11" fillId="7" borderId="0" applyAlignment="1" pivotButton="0" quotePrefix="0" xfId="0">
      <alignment horizontal="left" vertical="center" wrapText="1"/>
    </xf>
    <xf numFmtId="0" fontId="11" fillId="7" borderId="1" pivotButton="0" quotePrefix="0" xfId="0"/>
    <xf numFmtId="0" fontId="11" fillId="7" borderId="1" applyAlignment="1" pivotButton="0" quotePrefix="0" xfId="0">
      <alignment wrapText="1"/>
    </xf>
    <xf numFmtId="0" fontId="11" fillId="7" borderId="1" applyAlignment="1" pivotButton="0" quotePrefix="0" xfId="0">
      <alignment horizontal="left" wrapText="1"/>
    </xf>
    <xf numFmtId="0" fontId="11" fillId="7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9" fillId="8" borderId="18" applyAlignment="1" pivotButton="0" quotePrefix="0" xfId="0">
      <alignment horizontal="center" vertical="center" wrapText="1"/>
    </xf>
    <xf numFmtId="0" fontId="9" fillId="8" borderId="20" applyAlignment="1" pivotButton="0" quotePrefix="0" xfId="0">
      <alignment horizontal="center" vertical="center" wrapText="1"/>
    </xf>
    <xf numFmtId="3" fontId="9" fillId="8" borderId="18" applyAlignment="1" pivotButton="0" quotePrefix="0" xfId="0">
      <alignment horizontal="center" vertical="center" wrapText="1"/>
    </xf>
    <xf numFmtId="3" fontId="9" fillId="8" borderId="2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0" fillId="10" borderId="18" applyAlignment="1" pivotButton="0" quotePrefix="0" xfId="0">
      <alignment horizontal="center" vertical="center" wrapText="1"/>
    </xf>
    <xf numFmtId="0" fontId="10" fillId="10" borderId="20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3" fontId="0" fillId="0" borderId="26" applyAlignment="1" pivotButton="0" quotePrefix="0" xfId="0">
      <alignment wrapText="1"/>
    </xf>
    <xf numFmtId="3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3" fontId="0" fillId="0" borderId="27" applyAlignment="1" pivotButton="0" quotePrefix="0" xfId="0">
      <alignment wrapText="1"/>
    </xf>
    <xf numFmtId="3" fontId="0" fillId="0" borderId="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3" fontId="0" fillId="0" borderId="19" applyAlignment="1" pivotButton="0" quotePrefix="0" xfId="0">
      <alignment wrapText="1"/>
    </xf>
    <xf numFmtId="3" fontId="0" fillId="0" borderId="20" applyAlignment="1" pivotButton="0" quotePrefix="0" xfId="0">
      <alignment wrapText="1"/>
    </xf>
    <xf numFmtId="0" fontId="7" fillId="11" borderId="14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wrapText="1"/>
    </xf>
    <xf numFmtId="164" fontId="3" fillId="8" borderId="23" applyAlignment="1" pivotButton="0" quotePrefix="0" xfId="0">
      <alignment horizontal="center" vertical="center"/>
    </xf>
    <xf numFmtId="164" fontId="0" fillId="5" borderId="26" applyAlignment="1" pivotButton="0" quotePrefix="0" xfId="0">
      <alignment vertical="center" wrapText="1"/>
    </xf>
    <xf numFmtId="1" fontId="0" fillId="5" borderId="26" applyAlignment="1" pivotButton="0" quotePrefix="0" xfId="0">
      <alignment vertical="center" wrapText="1"/>
    </xf>
    <xf numFmtId="165" fontId="0" fillId="5" borderId="26" applyAlignment="1" pivotButton="0" quotePrefix="0" xfId="0">
      <alignment vertical="center" wrapText="1"/>
    </xf>
    <xf numFmtId="165" fontId="0" fillId="6" borderId="26" applyAlignment="1" pivotButton="0" quotePrefix="0" xfId="0">
      <alignment vertical="center" wrapText="1"/>
    </xf>
    <xf numFmtId="164" fontId="0" fillId="6" borderId="26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" fontId="0" fillId="5" borderId="0" applyAlignment="1" pivotButton="0" quotePrefix="0" xfId="0">
      <alignment vertical="center" wrapText="1"/>
    </xf>
    <xf numFmtId="165" fontId="0" fillId="5" borderId="0" applyAlignment="1" pivotButton="0" quotePrefix="0" xfId="0">
      <alignment vertical="center" wrapText="1"/>
    </xf>
    <xf numFmtId="165" fontId="0" fillId="6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164" fontId="0" fillId="5" borderId="27" applyAlignment="1" pivotButton="0" quotePrefix="0" xfId="0">
      <alignment vertical="center" wrapText="1"/>
    </xf>
    <xf numFmtId="1" fontId="0" fillId="5" borderId="27" applyAlignment="1" pivotButton="0" quotePrefix="0" xfId="0">
      <alignment vertical="center" wrapText="1"/>
    </xf>
    <xf numFmtId="165" fontId="0" fillId="5" borderId="27" applyAlignment="1" pivotButton="0" quotePrefix="0" xfId="0">
      <alignment vertical="center" wrapText="1"/>
    </xf>
    <xf numFmtId="165" fontId="0" fillId="6" borderId="27" applyAlignment="1" pivotButton="0" quotePrefix="0" xfId="0">
      <alignment vertical="center" wrapText="1"/>
    </xf>
    <xf numFmtId="164" fontId="0" fillId="6" borderId="27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11" borderId="31" applyAlignment="1" pivotButton="0" quotePrefix="0" xfId="0">
      <alignment horizontal="center" vertical="center" wrapText="1"/>
    </xf>
    <xf numFmtId="0" fontId="0" fillId="0" borderId="17" pivotButton="0" quotePrefix="0" xfId="0"/>
    <xf numFmtId="0" fontId="9" fillId="8" borderId="30" applyAlignment="1" pivotButton="0" quotePrefix="0" xfId="0">
      <alignment horizontal="center" vertical="center" wrapText="1"/>
    </xf>
    <xf numFmtId="3" fontId="9" fillId="8" borderId="3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10" borderId="30" applyAlignment="1" pivotButton="0" quotePrefix="0" xfId="0">
      <alignment horizontal="center" vertical="center" wrapText="1"/>
    </xf>
    <xf numFmtId="3" fontId="0" fillId="0" borderId="26" applyAlignment="1" pivotButton="0" quotePrefix="0" xfId="0">
      <alignment wrapText="1"/>
    </xf>
    <xf numFmtId="3" fontId="0" fillId="0" borderId="3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0" fillId="0" borderId="5" applyAlignment="1" pivotButton="0" quotePrefix="0" xfId="0">
      <alignment wrapText="1"/>
    </xf>
    <xf numFmtId="3" fontId="0" fillId="0" borderId="27" applyAlignment="1" pivotButton="0" quotePrefix="0" xfId="0">
      <alignment wrapText="1"/>
    </xf>
    <xf numFmtId="3" fontId="0" fillId="0" borderId="7" applyAlignment="1" pivotButton="0" quotePrefix="0" xfId="0">
      <alignment wrapText="1"/>
    </xf>
    <xf numFmtId="3" fontId="0" fillId="0" borderId="19" applyAlignment="1" pivotButton="0" quotePrefix="0" xfId="0">
      <alignment wrapText="1"/>
    </xf>
    <xf numFmtId="3" fontId="0" fillId="0" borderId="20" applyAlignment="1" pivotButton="0" quotePrefix="0" xfId="0">
      <alignment wrapText="1"/>
    </xf>
  </cellXfs>
  <cellStyles count="1">
    <cellStyle name="Normal" xfId="0"/>
  </cellStyles>
  <dxfs count="5">
    <dxf>
      <font>
        <b val="1"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5700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Nguyên giá và khấu hao theo nhóm TSCĐ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Nguyên giá</v>
          </tx>
          <spPr>
            <a:ln xmlns:a="http://schemas.openxmlformats.org/drawingml/2006/main">
              <a:prstDash val="solid"/>
            </a:ln>
          </spPr>
          <cat>
            <strRef>
              <f>'Báo cáo'!$A$14:$A$19</f>
              <strCache>
                <ptCount val="0"/>
              </strCache>
            </strRef>
          </cat>
          <val>
            <numRef>
              <f>'Báo cáo'!$B$14:$B$19</f>
              <numCache>
                <formatCode>#,##0</formatCode>
                <ptCount val="0"/>
              </numCache>
            </numRef>
          </val>
        </ser>
        <ser>
          <idx val="1"/>
          <order val="1"/>
          <tx>
            <v>Khấu hao trong năm</v>
          </tx>
          <spPr>
            <a:ln xmlns:a="http://schemas.openxmlformats.org/drawingml/2006/main">
              <a:prstDash val="solid"/>
            </a:ln>
          </spPr>
          <cat>
            <strRef>
              <f>'Báo cáo'!$A$14:$A$19</f>
              <strCache>
                <ptCount val="0"/>
              </strCache>
            </strRef>
          </cat>
          <val>
            <numRef>
              <f>'Báo cáo'!$C$14:$C$19</f>
              <numCache>
                <formatCode>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Diễn biến khấu hao theo tháng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T1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cáo'!$B$24</f>
              <numCache>
                <formatCode>#,##0</formatCode>
                <ptCount val="0"/>
              </numCache>
            </numRef>
          </val>
          <smooth val="0"/>
        </ser>
        <ser>
          <idx val="1"/>
          <order val="1"/>
          <tx>
            <v>T2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cáo'!$C$24</f>
              <numCache>
                <formatCode>#,##0</formatCode>
                <ptCount val="0"/>
              </numCache>
            </numRef>
          </val>
          <smooth val="0"/>
        </ser>
        <ser>
          <idx val="2"/>
          <order val="2"/>
          <tx>
            <v>T3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cáo'!$D$24</f>
              <numCache>
                <formatCode>#,##0</formatCode>
                <ptCount val="0"/>
              </numCache>
            </numRef>
          </val>
          <smooth val="0"/>
        </ser>
        <ser>
          <idx val="3"/>
          <order val="3"/>
          <tx>
            <v>T4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cáo'!$E$24</f>
              <numCache>
                <formatCode>#,##0</formatCode>
                <ptCount val="0"/>
              </numCache>
            </numRef>
          </val>
          <smooth val="0"/>
        </ser>
        <ser>
          <idx val="4"/>
          <order val="4"/>
          <tx>
            <v>T5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cáo'!$F$24</f>
              <numCache>
                <formatCode>#,##0</formatCode>
                <ptCount val="0"/>
              </numCache>
            </numRef>
          </val>
          <smooth val="0"/>
        </ser>
        <ser>
          <idx val="5"/>
          <order val="5"/>
          <tx>
            <v>T6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cáo'!$G$24</f>
              <numCache>
                <formatCode>#,##0</formatCode>
                <ptCount val="0"/>
              </numCache>
            </numRef>
          </val>
          <smooth val="0"/>
        </ser>
        <ser>
          <idx val="6"/>
          <order val="6"/>
          <tx>
            <v>T7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cáo'!$H$24</f>
              <numCache>
                <formatCode>#,##0</formatCode>
                <ptCount val="0"/>
              </numCache>
            </numRef>
          </val>
          <smooth val="0"/>
        </ser>
        <ser>
          <idx val="7"/>
          <order val="7"/>
          <tx>
            <v>T8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cáo'!$I$24</f>
              <numCache>
                <formatCode>#,##0</formatCode>
                <ptCount val="0"/>
              </numCache>
            </numRef>
          </val>
          <smooth val="0"/>
        </ser>
        <ser>
          <idx val="8"/>
          <order val="8"/>
          <tx>
            <v>T9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cáo'!$J$24</f>
              <numCache>
                <formatCode>#,##0</formatCode>
                <ptCount val="0"/>
              </numCache>
            </numRef>
          </val>
          <smooth val="0"/>
        </ser>
        <ser>
          <idx val="9"/>
          <order val="9"/>
          <tx>
            <v>T10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cáo'!$K$24</f>
              <numCache>
                <formatCode>#,##0</formatCode>
                <ptCount val="0"/>
              </numCache>
            </numRef>
          </val>
          <smooth val="0"/>
        </ser>
        <ser>
          <idx val="10"/>
          <order val="10"/>
          <tx>
            <v>T11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cáo'!$L$24</f>
              <numCache>
                <formatCode>#,##0</formatCode>
                <ptCount val="0"/>
              </numCache>
            </numRef>
          </val>
          <smooth val="0"/>
        </ser>
        <ser>
          <idx val="11"/>
          <order val="11"/>
          <tx>
            <v>T12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'Báo cáo'!$A$24</f>
              <strCache>
                <ptCount val="0"/>
              </strCache>
            </strRef>
          </cat>
          <val>
            <numRef>
              <f>'Báo cáo'!$M$24</f>
              <numCache>
                <formatCode>#,##0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11</row>
      <rowOff>0</rowOff>
    </from>
    <to>
      <col>14</col>
      <colOff>0</colOff>
      <row>21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21</row>
      <rowOff>0</rowOff>
    </from>
    <to>
      <col>14</col>
      <colOff>0</colOff>
      <row>36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FixedAssetTable" displayName="FixedAssetTable" ref="A6:AO306" headerRowCount="1">
  <tableColumns count="41">
    <tableColumn id="1" name="STT"/>
    <tableColumn id="2" name="Mã TSCĐ"/>
    <tableColumn id="3" name="Tên TSCĐ"/>
    <tableColumn id="4" name="Nhóm TSCĐ"/>
    <tableColumn id="5" name="Bộ phận sử dụng"/>
    <tableColumn id="6" name="Ngày mua"/>
    <tableColumn id="7" name="Ngày ghi tăng"/>
    <tableColumn id="8" name="Ngày bắt đầu khấu hao"/>
    <tableColumn id="9" name="Số lượng"/>
    <tableColumn id="10" name="Đơn giá"/>
    <tableColumn id="11" name="Chi phí trực tiếp khác"/>
    <tableColumn id="12" name="Nguyên giá"/>
    <tableColumn id="13" name="Giá trị thu hồi ước tính"/>
    <tableColumn id="14" name="Giá trị tính khấu hao"/>
    <tableColumn id="15" name="Số tháng khấu hao"/>
    <tableColumn id="16" name="Khấu hao tháng"/>
    <tableColumn id="17" name="Ngày kết thúc khấu hao"/>
    <tableColumn id="18" name="TK TSCĐ"/>
    <tableColumn id="19" name="TK hao mòn"/>
    <tableColumn id="20" name="TK chi phí"/>
    <tableColumn id="21" name="Khấu hao lũy kế đầu năm"/>
    <tableColumn id="22" name="T1"/>
    <tableColumn id="23" name="T2"/>
    <tableColumn id="24" name="T3"/>
    <tableColumn id="25" name="T4"/>
    <tableColumn id="26" name="T5"/>
    <tableColumn id="27" name="T6"/>
    <tableColumn id="28" name="T7"/>
    <tableColumn id="29" name="T8"/>
    <tableColumn id="30" name="T9"/>
    <tableColumn id="31" name="T10"/>
    <tableColumn id="32" name="T11"/>
    <tableColumn id="33" name="T12"/>
    <tableColumn id="34" name="Khấu hao trong năm"/>
    <tableColumn id="35" name="Khấu hao lũy kế cuối năm"/>
    <tableColumn id="36" name="Giá trị còn lại cuối năm"/>
    <tableColumn id="37" name="Trạng thái"/>
    <tableColumn id="38" name="Mã chi phí/ERP"/>
    <tableColumn id="39" name="Số chứng từ"/>
    <tableColumn id="40" name="Ghi chú"/>
    <tableColumn id="41" name="Kiểm tra dữ liệu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style="389" min="1" max="1"/>
    <col width="78" customWidth="1" style="389" min="2" max="2"/>
  </cols>
  <sheetData>
    <row r="1" ht="30" customHeight="1" s="389">
      <c r="A1" s="9" t="inlineStr">
        <is>
          <t>HƯỚNG DẪN SỬ DỤNG – KHẤU HAO TÀI SẢN CỐ ĐỊNH</t>
        </is>
      </c>
      <c r="B1" s="1" t="n"/>
    </row>
    <row r="2" ht="22" customHeight="1" s="389">
      <c r="A2" s="17" t="inlineStr">
        <is>
          <t>KK HOME  •  ĐÀO TẠO KẾ TOÁN CHUYÊN NGHIỆP</t>
        </is>
      </c>
      <c r="B2" s="1" t="n"/>
    </row>
    <row r="3"/>
    <row r="4" ht="24" customHeight="1" s="389">
      <c r="A4" s="30" t="inlineStr">
        <is>
          <t>1. QUY TRÌNH SỬ DỤNG</t>
        </is>
      </c>
      <c r="B4" s="31" t="str"/>
    </row>
    <row r="5" ht="24" customHeight="1" s="389">
      <c r="A5" s="32" t="inlineStr">
        <is>
          <t>Bước 1</t>
        </is>
      </c>
      <c r="B5" s="33" t="inlineStr">
        <is>
          <t>Vào sheet “Thiết lập”, chọn năm lập lịch và kiểm tra danh mục dùng chung.</t>
        </is>
      </c>
    </row>
    <row r="6" ht="24" customHeight="1" s="389">
      <c r="A6" s="32" t="inlineStr">
        <is>
          <t>Bước 2</t>
        </is>
      </c>
      <c r="B6" s="33" t="inlineStr">
        <is>
          <t>Vào sheet “Khấu hao”, chỉ nhập các ô nền vàng. Các ô nền xanh là công thức.</t>
        </is>
      </c>
    </row>
    <row r="7" ht="24" customHeight="1" s="389">
      <c r="A7" s="32" t="inlineStr">
        <is>
          <t>Bước 3</t>
        </is>
      </c>
      <c r="B7" s="33" t="inlineStr">
        <is>
          <t>Nhập số khấu hao lũy kế đầu năm nếu tài sản đã phát sinh trước năm báo cáo.</t>
        </is>
      </c>
    </row>
    <row r="8" ht="24" customHeight="1" s="389">
      <c r="A8" s="32" t="inlineStr">
        <is>
          <t>Bước 4</t>
        </is>
      </c>
      <c r="B8" s="33" t="inlineStr">
        <is>
          <t>Theo dõi nguyên giá, khấu hao, giá trị còn lại và lỗi dữ liệu tại sheet “Báo cáo”.</t>
        </is>
      </c>
    </row>
    <row r="9" ht="24" customHeight="1" s="389">
      <c r="A9" s="32" t="str"/>
      <c r="B9" s="33" t="str"/>
    </row>
    <row r="10" ht="24" customHeight="1" s="389">
      <c r="A10" s="34" t="inlineStr">
        <is>
          <t>2. NGUYÊN TẮC TÍNH TRONG FILE</t>
        </is>
      </c>
      <c r="B10" s="35" t="str"/>
    </row>
    <row r="11" ht="24" customHeight="1" s="389">
      <c r="A11" s="32" t="inlineStr">
        <is>
          <t>Nguyên giá</t>
        </is>
      </c>
      <c r="B11" s="33" t="inlineStr">
        <is>
          <t>Số lượng × Đơn giá + Chi phí trực tiếp khác đưa tài sản vào trạng thái sẵn sàng sử dụng.</t>
        </is>
      </c>
    </row>
    <row r="12" ht="24" customHeight="1" s="389">
      <c r="A12" s="32" t="inlineStr">
        <is>
          <t>Giá trị tính khấu hao</t>
        </is>
      </c>
      <c r="B12" s="33" t="inlineStr">
        <is>
          <t>Nguyên giá − Giá trị thu hồi ước tính.</t>
        </is>
      </c>
    </row>
    <row r="13" ht="24" customHeight="1" s="389">
      <c r="A13" s="32" t="inlineStr">
        <is>
          <t>Khấu hao tháng</t>
        </is>
      </c>
      <c r="B13" s="33" t="inlineStr">
        <is>
          <t>Giá trị tính khấu hao ÷ số tháng khấu hao.</t>
        </is>
      </c>
    </row>
    <row r="14" ht="24" customHeight="1" s="389">
      <c r="A14" s="32" t="inlineStr">
        <is>
          <t>Kỳ khấu hao</t>
        </is>
      </c>
      <c r="B14" s="33" t="inlineStr">
        <is>
          <t>File tính theo tháng tròn, bắt đầu từ tháng của ngày bắt đầu khấu hao.</t>
        </is>
      </c>
    </row>
    <row r="15" ht="24" customHeight="1" s="389">
      <c r="A15" s="32" t="inlineStr">
        <is>
          <t>Giá trị còn lại</t>
        </is>
      </c>
      <c r="B15" s="33" t="inlineStr">
        <is>
          <t>Nguyên giá − khấu hao lũy kế cuối năm.</t>
        </is>
      </c>
    </row>
    <row r="16" ht="24" customHeight="1" s="389">
      <c r="A16" s="32" t="str"/>
      <c r="B16" s="33" t="str"/>
    </row>
    <row r="17" ht="24" customHeight="1" s="389">
      <c r="A17" s="34" t="inlineStr">
        <is>
          <t>3. KIỂM SOÁT DỮ LIỆU</t>
        </is>
      </c>
      <c r="B17" s="35" t="str"/>
    </row>
    <row r="18" ht="24" customHeight="1" s="389">
      <c r="A18" s="32" t="inlineStr">
        <is>
          <t>Mã TSCĐ</t>
        </is>
      </c>
      <c r="B18" s="33" t="inlineStr">
        <is>
          <t>Không để trống và không trùng nhau.</t>
        </is>
      </c>
    </row>
    <row r="19" ht="24" customHeight="1" s="389">
      <c r="A19" s="32" t="inlineStr">
        <is>
          <t>Ngày bắt đầu khấu hao</t>
        </is>
      </c>
      <c r="B19" s="33" t="inlineStr">
        <is>
          <t>Không được trước ngày ghi tăng.</t>
        </is>
      </c>
    </row>
    <row r="20" ht="24" customHeight="1" s="389">
      <c r="A20" s="32" t="inlineStr">
        <is>
          <t>Giá trị thu hồi</t>
        </is>
      </c>
      <c r="B20" s="33" t="inlineStr">
        <is>
          <t>Không được lớn hơn nguyên giá.</t>
        </is>
      </c>
    </row>
    <row r="21" ht="24" customHeight="1" s="389">
      <c r="A21" s="32" t="inlineStr">
        <is>
          <t>Lũy kế đầu năm</t>
        </is>
      </c>
      <c r="B21" s="33" t="inlineStr">
        <is>
          <t>Không được lớn hơn giá trị tính khấu hao.</t>
        </is>
      </c>
    </row>
    <row r="22" ht="24" customHeight="1" s="389">
      <c r="A22" s="32" t="inlineStr">
        <is>
          <t>Cột “Kiểm tra dữ liệu”</t>
        </is>
      </c>
      <c r="B22" s="33" t="inlineStr">
        <is>
          <t>Hiển thị “OK” khi bản ghi đủ điều kiện tính.</t>
        </is>
      </c>
    </row>
    <row r="23" ht="24" customHeight="1" s="389">
      <c r="A23" s="32" t="str"/>
      <c r="B23" s="33" t="str"/>
    </row>
    <row r="24" ht="24" customHeight="1" s="389">
      <c r="A24" s="34" t="inlineStr">
        <is>
          <t>4. HẠCH TOÁN THAM KHẢO</t>
        </is>
      </c>
      <c r="B24" s="35" t="str"/>
    </row>
    <row r="25" ht="24" customHeight="1" s="389">
      <c r="A25" s="32" t="inlineStr">
        <is>
          <t>Ghi tăng TSCĐ</t>
        </is>
      </c>
      <c r="B25" s="33" t="inlineStr">
        <is>
          <t>Nợ 211, 213… / Có 111, 112, 331… tùy chứng từ và phương thức thanh toán.</t>
        </is>
      </c>
    </row>
    <row r="26" ht="24" customHeight="1" s="389">
      <c r="A26" s="32" t="inlineStr">
        <is>
          <t>Trích khấu hao</t>
        </is>
      </c>
      <c r="B26" s="33" t="inlineStr">
        <is>
          <t>Nợ 154, 627, 641, 642… / Có 214.</t>
        </is>
      </c>
    </row>
    <row r="27" ht="24" customHeight="1" s="389">
      <c r="A27" s="32" t="str"/>
      <c r="B27" s="33" t="str"/>
    </row>
    <row r="28" ht="24" customHeight="1" s="389">
      <c r="A28" s="32" t="inlineStr">
        <is>
          <t>5. LƯU Ý KHI SỬ DỤNG</t>
        </is>
      </c>
      <c r="B28" s="33" t="str"/>
    </row>
    <row r="29" ht="24" customHeight="1" s="389">
      <c r="A29" s="34" t="inlineStr">
        <is>
          <t>Phương pháp</t>
        </is>
      </c>
      <c r="B29" s="35" t="inlineStr">
        <is>
          <t>File đang thiết kế cho phương pháp đường thẳng theo tháng. Các phương pháp khác cần bảng tính riêng.</t>
        </is>
      </c>
    </row>
    <row r="30" ht="24" customHeight="1" s="389">
      <c r="A30" s="32" t="inlineStr">
        <is>
          <t>Thay đổi thời gian</t>
        </is>
      </c>
      <c r="B30" s="33" t="inlineStr">
        <is>
          <t>Khi điều chỉnh thời gian sử dụng, cần kiểm tra lại khấu hao lũy kế và phần còn lại trước khi sửa.</t>
        </is>
      </c>
    </row>
    <row r="31" ht="24" customHeight="1" s="389">
      <c r="A31" s="36" t="inlineStr">
        <is>
          <t>Dòng mẫu</t>
        </is>
      </c>
      <c r="B31" s="37" t="inlineStr">
        <is>
          <t>Dòng FA001 là dữ liệu minh họa; có thể sửa hoặc xóa trước khi sử dụng chính thức.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style="389" min="1" max="1"/>
    <col width="14" customWidth="1" style="389" min="2" max="2"/>
    <col width="25" customWidth="1" style="389" min="3" max="3"/>
    <col width="14" customWidth="1" style="389" min="4" max="4"/>
    <col width="25" customWidth="1" style="389" min="5" max="5"/>
    <col width="14" customWidth="1" style="389" min="6" max="6"/>
    <col width="25" customWidth="1" style="389" min="7" max="7"/>
    <col width="14" customWidth="1" style="389" min="8" max="8"/>
    <col width="25" customWidth="1" style="389" min="9" max="9"/>
    <col width="14" customWidth="1" style="389" min="10" max="10"/>
  </cols>
  <sheetData>
    <row r="1" ht="30" customHeight="1" s="389">
      <c r="A1" s="166" t="inlineStr">
        <is>
          <t>THIẾT LẬP VÀ DANH MỤC DÙNG CHUNG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 s="389">
      <c r="A2" s="167" t="inlineStr">
        <is>
          <t>KK HOME  •  ĐÀO TẠO KẾ TOÁN CHUYÊN NGHIỆP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>
      <c r="A4" s="146" t="inlineStr">
        <is>
          <t>Năm lập lịch khấu hao</t>
        </is>
      </c>
      <c r="B4" s="147" t="n">
        <v>2026</v>
      </c>
      <c r="C4" s="25" t="n"/>
      <c r="D4" s="148" t="inlineStr">
        <is>
          <t>Quy ước màu</t>
        </is>
      </c>
      <c r="E4" s="149" t="str"/>
      <c r="F4" s="25" t="n"/>
      <c r="G4" s="25" t="n"/>
      <c r="H4" s="25" t="n"/>
      <c r="I4" s="25" t="n"/>
      <c r="J4" s="25" t="n"/>
    </row>
    <row r="5">
      <c r="A5" s="150" t="inlineStr">
        <is>
          <t>Ngày báo cáo</t>
        </is>
      </c>
      <c r="B5" s="447" t="n">
        <v>46387</v>
      </c>
      <c r="C5" s="25" t="n"/>
      <c r="D5" s="152" t="inlineStr">
        <is>
          <t>Ô nhập liệu</t>
        </is>
      </c>
      <c r="E5" s="153" t="inlineStr">
        <is>
          <t>Nhập/chỉnh sửa</t>
        </is>
      </c>
      <c r="F5" s="25" t="n"/>
      <c r="G5" s="25" t="n"/>
      <c r="H5" s="25" t="n"/>
      <c r="I5" s="25" t="n"/>
      <c r="J5" s="25" t="n"/>
    </row>
    <row r="6">
      <c r="A6" s="154" t="inlineStr">
        <is>
          <t>Phương pháp mặc định</t>
        </is>
      </c>
      <c r="B6" s="155" t="inlineStr">
        <is>
          <t>Đường thẳng theo tháng</t>
        </is>
      </c>
      <c r="C6" s="25" t="n"/>
      <c r="D6" s="156" t="inlineStr">
        <is>
          <t>Ô công thức</t>
        </is>
      </c>
      <c r="E6" s="157" t="inlineStr">
        <is>
          <t>Không ghi đè</t>
        </is>
      </c>
      <c r="F6" s="25" t="n"/>
      <c r="G6" s="25" t="n"/>
      <c r="H6" s="25" t="n"/>
      <c r="I6" s="25" t="n"/>
      <c r="J6" s="25" t="n"/>
    </row>
    <row r="7">
      <c r="A7" s="25" t="n"/>
      <c r="B7" s="25" t="n"/>
      <c r="C7" s="25" t="n"/>
      <c r="D7" s="158" t="inlineStr">
        <is>
          <t>Cảnh báo</t>
        </is>
      </c>
      <c r="E7" s="159" t="inlineStr">
        <is>
          <t>Cần kiểm tra</t>
        </is>
      </c>
      <c r="F7" s="25" t="n"/>
      <c r="G7" s="25" t="n"/>
      <c r="H7" s="25" t="n"/>
      <c r="I7" s="25" t="n"/>
      <c r="J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</row>
    <row r="9">
      <c r="A9" s="109" t="inlineStr">
        <is>
          <t>Bộ phận sử dụng</t>
        </is>
      </c>
      <c r="B9" s="110" t="inlineStr">
        <is>
          <t>Gợi ý</t>
        </is>
      </c>
      <c r="C9" s="109" t="inlineStr">
        <is>
          <t>Nhóm TSCĐ</t>
        </is>
      </c>
      <c r="D9" s="110" t="inlineStr">
        <is>
          <t>Gợi ý</t>
        </is>
      </c>
      <c r="E9" s="109" t="inlineStr">
        <is>
          <t>TK TSCĐ</t>
        </is>
      </c>
      <c r="F9" s="110" t="inlineStr">
        <is>
          <t>Diễn giải</t>
        </is>
      </c>
      <c r="G9" s="109" t="inlineStr">
        <is>
          <t>TK hao mòn</t>
        </is>
      </c>
      <c r="H9" s="110" t="inlineStr">
        <is>
          <t>Diễn giải</t>
        </is>
      </c>
      <c r="I9" s="109" t="inlineStr">
        <is>
          <t>TK chi phí</t>
        </is>
      </c>
      <c r="J9" s="110" t="inlineStr">
        <is>
          <t>Diễn giải</t>
        </is>
      </c>
    </row>
    <row r="10">
      <c r="A10" s="160" t="inlineStr">
        <is>
          <t>Văn phòng</t>
        </is>
      </c>
      <c r="B10" s="161" t="str"/>
      <c r="C10" s="160" t="inlineStr">
        <is>
          <t>Nhà cửa, vật kiến trúc</t>
        </is>
      </c>
      <c r="D10" s="161" t="str"/>
      <c r="E10" s="160" t="inlineStr">
        <is>
          <t>2111</t>
        </is>
      </c>
      <c r="F10" s="161" t="str"/>
      <c r="G10" s="160" t="inlineStr">
        <is>
          <t>2141</t>
        </is>
      </c>
      <c r="H10" s="161" t="str"/>
      <c r="I10" s="160" t="inlineStr">
        <is>
          <t>154</t>
        </is>
      </c>
      <c r="J10" s="161" t="str"/>
    </row>
    <row r="11">
      <c r="A11" s="162" t="inlineStr">
        <is>
          <t>Sản xuất</t>
        </is>
      </c>
      <c r="B11" s="163" t="str"/>
      <c r="C11" s="162" t="inlineStr">
        <is>
          <t>Máy móc, thiết bị</t>
        </is>
      </c>
      <c r="D11" s="163" t="str"/>
      <c r="E11" s="162" t="inlineStr">
        <is>
          <t>2112</t>
        </is>
      </c>
      <c r="F11" s="163" t="str"/>
      <c r="G11" s="162" t="inlineStr">
        <is>
          <t>2142</t>
        </is>
      </c>
      <c r="H11" s="163" t="str"/>
      <c r="I11" s="162" t="inlineStr">
        <is>
          <t>627</t>
        </is>
      </c>
      <c r="J11" s="163" t="str"/>
    </row>
    <row r="12">
      <c r="A12" s="162" t="inlineStr">
        <is>
          <t>Bán hàng</t>
        </is>
      </c>
      <c r="B12" s="163" t="str"/>
      <c r="C12" s="162" t="inlineStr">
        <is>
          <t>Phương tiện vận tải</t>
        </is>
      </c>
      <c r="D12" s="163" t="str"/>
      <c r="E12" s="162" t="inlineStr">
        <is>
          <t>2113</t>
        </is>
      </c>
      <c r="F12" s="163" t="str"/>
      <c r="G12" s="162" t="inlineStr">
        <is>
          <t>2143</t>
        </is>
      </c>
      <c r="H12" s="163" t="str"/>
      <c r="I12" s="162" t="inlineStr">
        <is>
          <t>632</t>
        </is>
      </c>
      <c r="J12" s="163" t="str"/>
    </row>
    <row r="13">
      <c r="A13" s="162" t="inlineStr">
        <is>
          <t>Quản lý</t>
        </is>
      </c>
      <c r="B13" s="163" t="str"/>
      <c r="C13" s="162" t="inlineStr">
        <is>
          <t>Thiết bị, dụng cụ quản lý</t>
        </is>
      </c>
      <c r="D13" s="163" t="str"/>
      <c r="E13" s="162" t="inlineStr">
        <is>
          <t>2114</t>
        </is>
      </c>
      <c r="F13" s="163" t="str"/>
      <c r="G13" s="164" t="inlineStr">
        <is>
          <t>2147</t>
        </is>
      </c>
      <c r="H13" s="165" t="str"/>
      <c r="I13" s="162" t="inlineStr">
        <is>
          <t>641</t>
        </is>
      </c>
      <c r="J13" s="163" t="str"/>
    </row>
    <row r="14">
      <c r="A14" s="162" t="inlineStr">
        <is>
          <t>Dự án</t>
        </is>
      </c>
      <c r="B14" s="163" t="str"/>
      <c r="C14" s="162" t="inlineStr">
        <is>
          <t>TSCĐ vô hình</t>
        </is>
      </c>
      <c r="D14" s="163" t="str"/>
      <c r="E14" s="162" t="inlineStr">
        <is>
          <t>2115</t>
        </is>
      </c>
      <c r="F14" s="163" t="str"/>
      <c r="G14" s="25" t="n"/>
      <c r="H14" s="25" t="n"/>
      <c r="I14" s="162" t="inlineStr">
        <is>
          <t>642</t>
        </is>
      </c>
      <c r="J14" s="163" t="str"/>
    </row>
    <row r="15">
      <c r="A15" s="162" t="inlineStr">
        <is>
          <t>Chi nhánh</t>
        </is>
      </c>
      <c r="B15" s="163" t="str"/>
      <c r="C15" s="164" t="inlineStr">
        <is>
          <t>TSCĐ khác</t>
        </is>
      </c>
      <c r="D15" s="165" t="str"/>
      <c r="E15" s="162" t="inlineStr">
        <is>
          <t>2118</t>
        </is>
      </c>
      <c r="F15" s="163" t="str"/>
      <c r="G15" s="25" t="n"/>
      <c r="H15" s="25" t="n"/>
      <c r="I15" s="162" t="inlineStr">
        <is>
          <t>811</t>
        </is>
      </c>
      <c r="J15" s="163" t="str"/>
    </row>
    <row r="16">
      <c r="A16" s="164" t="inlineStr">
        <is>
          <t>Khác</t>
        </is>
      </c>
      <c r="B16" s="165" t="str"/>
      <c r="C16" s="25" t="n"/>
      <c r="D16" s="25" t="n"/>
      <c r="E16" s="164" t="inlineStr">
        <is>
          <t>213</t>
        </is>
      </c>
      <c r="F16" s="165" t="str"/>
      <c r="G16" s="25" t="n"/>
      <c r="H16" s="25" t="n"/>
      <c r="I16" s="164" t="inlineStr">
        <is>
          <t>Khác</t>
        </is>
      </c>
      <c r="J16" s="165" t="str"/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06"/>
  <sheetViews>
    <sheetView workbookViewId="0">
      <selection activeCell="A1" sqref="A1"/>
    </sheetView>
  </sheetViews>
  <sheetFormatPr baseColWidth="8" defaultRowHeight="15"/>
  <cols>
    <col width="6" customWidth="1" style="389" min="1" max="1"/>
    <col width="14" customWidth="1" style="389" min="2" max="2"/>
    <col width="30" customWidth="1" style="389" min="3" max="3"/>
    <col width="25" customWidth="1" style="389" min="4" max="4"/>
    <col width="18" customWidth="1" style="389" min="5" max="5"/>
    <col width="12" customWidth="1" style="389" min="6" max="6"/>
    <col width="12" customWidth="1" style="389" min="7" max="7"/>
    <col width="15" customWidth="1" style="389" min="8" max="8"/>
    <col width="9" customWidth="1" style="389" min="9" max="9"/>
    <col width="16" customWidth="1" style="389" min="10" max="10"/>
    <col width="16" customWidth="1" style="389" min="11" max="11"/>
    <col width="16" customWidth="1" style="389" min="12" max="12"/>
    <col width="16" customWidth="1" style="389" min="13" max="13"/>
    <col width="16" customWidth="1" style="389" min="14" max="14"/>
    <col width="12" customWidth="1" style="389" min="15" max="15"/>
    <col width="15" customWidth="1" style="389" min="16" max="16"/>
    <col width="15" customWidth="1" style="389" min="17" max="17"/>
    <col width="10" customWidth="1" style="389" min="18" max="18"/>
    <col width="11" customWidth="1" style="389" min="19" max="19"/>
    <col width="10" customWidth="1" style="389" min="20" max="20"/>
    <col width="18" customWidth="1" style="389" min="21" max="21"/>
    <col width="12" customWidth="1" style="389" min="22" max="22"/>
    <col width="12" customWidth="1" style="389" min="23" max="23"/>
    <col width="12" customWidth="1" style="389" min="24" max="24"/>
    <col width="12" customWidth="1" style="389" min="25" max="25"/>
    <col width="12" customWidth="1" style="389" min="26" max="26"/>
    <col width="12" customWidth="1" style="389" min="27" max="27"/>
    <col width="12" customWidth="1" style="389" min="28" max="28"/>
    <col width="12" customWidth="1" style="389" min="29" max="29"/>
    <col width="12" customWidth="1" style="389" min="30" max="30"/>
    <col width="12" customWidth="1" style="389" min="31" max="31"/>
    <col width="12" customWidth="1" style="389" min="32" max="32"/>
    <col width="12" customWidth="1" style="389" min="33" max="33"/>
    <col width="17" customWidth="1" style="389" min="34" max="34"/>
    <col width="18" customWidth="1" style="389" min="35" max="35"/>
    <col width="18" customWidth="1" style="389" min="36" max="36"/>
    <col width="16" customWidth="1" style="389" min="37" max="37"/>
    <col width="16" customWidth="1" style="389" min="38" max="38"/>
    <col width="14" customWidth="1" style="389" min="39" max="39"/>
    <col width="28" customWidth="1" style="389" min="40" max="40"/>
    <col width="28" customWidth="1" style="389" min="41" max="41"/>
  </cols>
  <sheetData>
    <row r="1" ht="30" customHeight="1" s="389">
      <c r="A1" s="9" t="inlineStr">
        <is>
          <t>SỔ THEO DÕI VÀ KHẤU HAO TÀI SẢN CỐ ĐỊNH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22" customHeight="1" s="389">
      <c r="A2" s="17" t="inlineStr">
        <is>
          <t>KK HOME  •  ĐÀO TẠO KẾ TOÁN CHUYÊN NGHIỆP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20" customHeight="1" s="389">
      <c r="A3" s="195" t="inlineStr">
        <is>
          <t>Chỉ nhập các ô nền vàng. Cột công thức tự động tính theo năm tại sheet Thiết lập.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215" t="inlineStr">
        <is>
          <t>Năm lập lịch khấu hao</t>
        </is>
      </c>
      <c r="B4" s="409" t="n"/>
      <c r="C4" s="409" t="n"/>
      <c r="D4" s="409" t="n"/>
      <c r="E4" s="409" t="n"/>
      <c r="F4" s="409" t="n"/>
      <c r="G4" s="409" t="n"/>
      <c r="H4" s="216">
        <f>'Thiết lập'!B4</f>
        <v/>
      </c>
      <c r="I4" s="409" t="n"/>
      <c r="J4" s="409" t="n"/>
      <c r="K4" s="216" t="inlineStr">
        <is>
          <t>Ngày báo cáo</t>
        </is>
      </c>
      <c r="L4" s="409" t="n"/>
      <c r="M4" s="409" t="n"/>
      <c r="N4" s="409" t="n"/>
      <c r="O4" s="409" t="n"/>
      <c r="P4" s="409" t="n"/>
      <c r="Q4" s="409" t="n"/>
      <c r="R4" s="448">
        <f>'Thiết lập'!B5</f>
        <v/>
      </c>
      <c r="S4" s="409" t="n"/>
      <c r="T4" s="410" t="n"/>
    </row>
    <row r="5" ht="22" customHeight="1" s="389">
      <c r="A5" s="75" t="inlineStr">
        <is>
          <t>THÔNG TIN TÀI SẢN VÀ KHẤU HAO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75" t="inlineStr">
        <is>
          <t>LỊCH KHẤU HAO THEO NĂM</t>
        </is>
      </c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75" t="inlineStr">
        <is>
          <t>TỔNG HỢP VÀ KIỂM SOÁT</t>
        </is>
      </c>
      <c r="AI5" s="1" t="n"/>
      <c r="AJ5" s="1" t="n"/>
      <c r="AK5" s="1" t="n"/>
      <c r="AL5" s="1" t="n"/>
      <c r="AM5" s="1" t="n"/>
      <c r="AN5" s="1" t="n"/>
      <c r="AO5" s="1" t="n"/>
    </row>
    <row r="6" ht="44" customHeight="1" s="389">
      <c r="A6" s="109" t="inlineStr">
        <is>
          <t>STT</t>
        </is>
      </c>
      <c r="B6" s="225" t="inlineStr">
        <is>
          <t>Mã TSCĐ</t>
        </is>
      </c>
      <c r="C6" s="225" t="inlineStr">
        <is>
          <t>Tên TSCĐ</t>
        </is>
      </c>
      <c r="D6" s="225" t="inlineStr">
        <is>
          <t>Nhóm TSCĐ</t>
        </is>
      </c>
      <c r="E6" s="225" t="inlineStr">
        <is>
          <t>Bộ phận sử dụng</t>
        </is>
      </c>
      <c r="F6" s="225" t="inlineStr">
        <is>
          <t>Ngày mua</t>
        </is>
      </c>
      <c r="G6" s="225" t="inlineStr">
        <is>
          <t>Ngày ghi tăng</t>
        </is>
      </c>
      <c r="H6" s="225" t="inlineStr">
        <is>
          <t>Ngày bắt đầu khấu hao</t>
        </is>
      </c>
      <c r="I6" s="225" t="inlineStr">
        <is>
          <t>Số lượng</t>
        </is>
      </c>
      <c r="J6" s="225" t="inlineStr">
        <is>
          <t>Đơn giá</t>
        </is>
      </c>
      <c r="K6" s="225" t="inlineStr">
        <is>
          <t>Chi phí trực tiếp khác</t>
        </is>
      </c>
      <c r="L6" s="225" t="inlineStr">
        <is>
          <t>Nguyên giá</t>
        </is>
      </c>
      <c r="M6" s="225" t="inlineStr">
        <is>
          <t>Giá trị thu hồi ước tính</t>
        </is>
      </c>
      <c r="N6" s="225" t="inlineStr">
        <is>
          <t>Giá trị tính khấu hao</t>
        </is>
      </c>
      <c r="O6" s="225" t="inlineStr">
        <is>
          <t>Số tháng khấu hao</t>
        </is>
      </c>
      <c r="P6" s="225" t="inlineStr">
        <is>
          <t>Khấu hao tháng</t>
        </is>
      </c>
      <c r="Q6" s="225" t="inlineStr">
        <is>
          <t>Ngày kết thúc khấu hao</t>
        </is>
      </c>
      <c r="R6" s="225" t="inlineStr">
        <is>
          <t>TK TSCĐ</t>
        </is>
      </c>
      <c r="S6" s="225" t="inlineStr">
        <is>
          <t>TK hao mòn</t>
        </is>
      </c>
      <c r="T6" s="225" t="inlineStr">
        <is>
          <t>TK chi phí</t>
        </is>
      </c>
      <c r="U6" s="225" t="inlineStr">
        <is>
          <t>Khấu hao lũy kế đầu năm</t>
        </is>
      </c>
      <c r="V6" s="225" t="inlineStr">
        <is>
          <t>T1</t>
        </is>
      </c>
      <c r="W6" s="225" t="inlineStr">
        <is>
          <t>T2</t>
        </is>
      </c>
      <c r="X6" s="225" t="inlineStr">
        <is>
          <t>T3</t>
        </is>
      </c>
      <c r="Y6" s="225" t="inlineStr">
        <is>
          <t>T4</t>
        </is>
      </c>
      <c r="Z6" s="225" t="inlineStr">
        <is>
          <t>T5</t>
        </is>
      </c>
      <c r="AA6" s="225" t="inlineStr">
        <is>
          <t>T6</t>
        </is>
      </c>
      <c r="AB6" s="225" t="inlineStr">
        <is>
          <t>T7</t>
        </is>
      </c>
      <c r="AC6" s="225" t="inlineStr">
        <is>
          <t>T8</t>
        </is>
      </c>
      <c r="AD6" s="225" t="inlineStr">
        <is>
          <t>T9</t>
        </is>
      </c>
      <c r="AE6" s="225" t="inlineStr">
        <is>
          <t>T10</t>
        </is>
      </c>
      <c r="AF6" s="225" t="inlineStr">
        <is>
          <t>T11</t>
        </is>
      </c>
      <c r="AG6" s="225" t="inlineStr">
        <is>
          <t>T12</t>
        </is>
      </c>
      <c r="AH6" s="225" t="inlineStr">
        <is>
          <t>Khấu hao trong năm</t>
        </is>
      </c>
      <c r="AI6" s="225" t="inlineStr">
        <is>
          <t>Khấu hao lũy kế cuối năm</t>
        </is>
      </c>
      <c r="AJ6" s="225" t="inlineStr">
        <is>
          <t>Giá trị còn lại cuối năm</t>
        </is>
      </c>
      <c r="AK6" s="225" t="inlineStr">
        <is>
          <t>Trạng thái</t>
        </is>
      </c>
      <c r="AL6" s="225" t="inlineStr">
        <is>
          <t>Mã chi phí/ERP</t>
        </is>
      </c>
      <c r="AM6" s="225" t="inlineStr">
        <is>
          <t>Số chứng từ</t>
        </is>
      </c>
      <c r="AN6" s="225" t="inlineStr">
        <is>
          <t>Ghi chú</t>
        </is>
      </c>
      <c r="AO6" s="110" t="inlineStr">
        <is>
          <t>Kiểm tra dữ liệu</t>
        </is>
      </c>
    </row>
    <row r="7" ht="20" customHeight="1" s="389">
      <c r="A7" s="324">
        <f>IF(B7="","",ROW()-6)</f>
        <v/>
      </c>
      <c r="B7" s="271" t="inlineStr">
        <is>
          <t>FA001</t>
        </is>
      </c>
      <c r="C7" s="271" t="inlineStr">
        <is>
          <t>Máy in văn phòng</t>
        </is>
      </c>
      <c r="D7" s="330" t="inlineStr">
        <is>
          <t>Thiết bị, dụng cụ quản lý</t>
        </is>
      </c>
      <c r="E7" s="330" t="inlineStr">
        <is>
          <t>Văn phòng</t>
        </is>
      </c>
      <c r="F7" s="449" t="n">
        <v>45292</v>
      </c>
      <c r="G7" s="449" t="n">
        <v>45292</v>
      </c>
      <c r="H7" s="449" t="n">
        <v>45292</v>
      </c>
      <c r="I7" s="450" t="n">
        <v>1</v>
      </c>
      <c r="J7" s="451" t="n">
        <v>120000000</v>
      </c>
      <c r="K7" s="451" t="n">
        <v>0</v>
      </c>
      <c r="L7" s="452">
        <f>IF(B7="","",IF(OR(I7="",J7=""),"",I7*J7+IF(K7="",0,K7)))</f>
        <v/>
      </c>
      <c r="M7" s="451" t="n">
        <v>0</v>
      </c>
      <c r="N7" s="452">
        <f>IF(L7="","",MAX(0,L7-IF(M7="",0,M7)))</f>
        <v/>
      </c>
      <c r="O7" s="450" t="n">
        <v>60</v>
      </c>
      <c r="P7" s="452">
        <f>IF(OR(N7="",O7&lt;=0),"",ROUND(N7/O7,0))</f>
        <v/>
      </c>
      <c r="Q7" s="453">
        <f>IF(OR(H7="",O7&lt;=0),"",EOMONTH(H7,O7-1))</f>
        <v/>
      </c>
      <c r="R7" s="330" t="inlineStr">
        <is>
          <t>2114</t>
        </is>
      </c>
      <c r="S7" s="330" t="inlineStr">
        <is>
          <t>2141</t>
        </is>
      </c>
      <c r="T7" s="330" t="inlineStr">
        <is>
          <t>642</t>
        </is>
      </c>
      <c r="U7" s="451" t="n">
        <v>48000000</v>
      </c>
      <c r="V7" s="452">
        <f>IF($AO7&lt;&gt;"OK",0,IF(AND(DATE('Thiết lập'!$B$4,1,1)&gt;=DATE(YEAR($H7),MONTH($H7),1),DATE('Thiết lập'!$B$4,1,1)&lt;EDATE(DATE(YEAR($H7),MONTH($H7),1),$O7)),MIN($P7,MAX(0,$N7-$U7-0)),0))</f>
        <v/>
      </c>
      <c r="W7" s="452">
        <f>IF($AO7&lt;&gt;"OK",0,IF(AND(DATE('Thiết lập'!$B$4,2,1)&gt;=DATE(YEAR($H7),MONTH($H7),1),DATE('Thiết lập'!$B$4,2,1)&lt;EDATE(DATE(YEAR($H7),MONTH($H7),1),$O7)),MIN($P7,MAX(0,$N7-$U7-SUM($V7:V7))),0))</f>
        <v/>
      </c>
      <c r="X7" s="452">
        <f>IF($AO7&lt;&gt;"OK",0,IF(AND(DATE('Thiết lập'!$B$4,3,1)&gt;=DATE(YEAR($H7),MONTH($H7),1),DATE('Thiết lập'!$B$4,3,1)&lt;EDATE(DATE(YEAR($H7),MONTH($H7),1),$O7)),MIN($P7,MAX(0,$N7-$U7-SUM($V7:W7))),0))</f>
        <v/>
      </c>
      <c r="Y7" s="452">
        <f>IF($AO7&lt;&gt;"OK",0,IF(AND(DATE('Thiết lập'!$B$4,4,1)&gt;=DATE(YEAR($H7),MONTH($H7),1),DATE('Thiết lập'!$B$4,4,1)&lt;EDATE(DATE(YEAR($H7),MONTH($H7),1),$O7)),MIN($P7,MAX(0,$N7-$U7-SUM($V7:X7))),0))</f>
        <v/>
      </c>
      <c r="Z7" s="452">
        <f>IF($AO7&lt;&gt;"OK",0,IF(AND(DATE('Thiết lập'!$B$4,5,1)&gt;=DATE(YEAR($H7),MONTH($H7),1),DATE('Thiết lập'!$B$4,5,1)&lt;EDATE(DATE(YEAR($H7),MONTH($H7),1),$O7)),MIN($P7,MAX(0,$N7-$U7-SUM($V7:Y7))),0))</f>
        <v/>
      </c>
      <c r="AA7" s="452">
        <f>IF($AO7&lt;&gt;"OK",0,IF(AND(DATE('Thiết lập'!$B$4,6,1)&gt;=DATE(YEAR($H7),MONTH($H7),1),DATE('Thiết lập'!$B$4,6,1)&lt;EDATE(DATE(YEAR($H7),MONTH($H7),1),$O7)),MIN($P7,MAX(0,$N7-$U7-SUM($V7:Z7))),0))</f>
        <v/>
      </c>
      <c r="AB7" s="452">
        <f>IF($AO7&lt;&gt;"OK",0,IF(AND(DATE('Thiết lập'!$B$4,7,1)&gt;=DATE(YEAR($H7),MONTH($H7),1),DATE('Thiết lập'!$B$4,7,1)&lt;EDATE(DATE(YEAR($H7),MONTH($H7),1),$O7)),MIN($P7,MAX(0,$N7-$U7-SUM($V7:AA7))),0))</f>
        <v/>
      </c>
      <c r="AC7" s="452">
        <f>IF($AO7&lt;&gt;"OK",0,IF(AND(DATE('Thiết lập'!$B$4,8,1)&gt;=DATE(YEAR($H7),MONTH($H7),1),DATE('Thiết lập'!$B$4,8,1)&lt;EDATE(DATE(YEAR($H7),MONTH($H7),1),$O7)),MIN($P7,MAX(0,$N7-$U7-SUM($V7:AB7))),0))</f>
        <v/>
      </c>
      <c r="AD7" s="452">
        <f>IF($AO7&lt;&gt;"OK",0,IF(AND(DATE('Thiết lập'!$B$4,9,1)&gt;=DATE(YEAR($H7),MONTH($H7),1),DATE('Thiết lập'!$B$4,9,1)&lt;EDATE(DATE(YEAR($H7),MONTH($H7),1),$O7)),MIN($P7,MAX(0,$N7-$U7-SUM($V7:AC7))),0))</f>
        <v/>
      </c>
      <c r="AE7" s="452">
        <f>IF($AO7&lt;&gt;"OK",0,IF(AND(DATE('Thiết lập'!$B$4,10,1)&gt;=DATE(YEAR($H7),MONTH($H7),1),DATE('Thiết lập'!$B$4,10,1)&lt;EDATE(DATE(YEAR($H7),MONTH($H7),1),$O7)),MIN($P7,MAX(0,$N7-$U7-SUM($V7:AD7))),0))</f>
        <v/>
      </c>
      <c r="AF7" s="452">
        <f>IF($AO7&lt;&gt;"OK",0,IF(AND(DATE('Thiết lập'!$B$4,11,1)&gt;=DATE(YEAR($H7),MONTH($H7),1),DATE('Thiết lập'!$B$4,11,1)&lt;EDATE(DATE(YEAR($H7),MONTH($H7),1),$O7)),MIN($P7,MAX(0,$N7-$U7-SUM($V7:AE7))),0))</f>
        <v/>
      </c>
      <c r="AG7" s="452">
        <f>IF($AO7&lt;&gt;"OK",0,IF(AND(DATE('Thiết lập'!$B$4,12,1)&gt;=DATE(YEAR($H7),MONTH($H7),1),DATE('Thiết lập'!$B$4,12,1)&lt;EDATE(DATE(YEAR($H7),MONTH($H7),1),$O7)),MIN($P7,MAX(0,$N7-$U7-SUM($V7:AF7))),0))</f>
        <v/>
      </c>
      <c r="AH7" s="452">
        <f>IF(B7="","",SUM(V7:AG7))</f>
        <v/>
      </c>
      <c r="AI7" s="452">
        <f>IF(B7="","",MIN(N7,IF(U7="",0,U7)+AH7))</f>
        <v/>
      </c>
      <c r="AJ7" s="452">
        <f>IF(B7="","",MAX(0,L7-AI7))</f>
        <v/>
      </c>
      <c r="AK7" s="336">
        <f>IF(B7="","",IF(H7&gt;'Thiết lập'!$B$5,"Chưa khấu hao",IF(AJ7&lt;=IF(M7="",0,M7),"Đã hết khấu hao","Đang khấu hao")))</f>
        <v/>
      </c>
      <c r="AL7" s="271" t="inlineStr">
        <is>
          <t>CP642-FA001</t>
        </is>
      </c>
      <c r="AM7" s="271" t="inlineStr">
        <is>
          <t>CT-001</t>
        </is>
      </c>
      <c r="AN7" s="271" t="inlineStr">
        <is>
          <t>Dữ liệu minh họa – có thể thay thế</t>
        </is>
      </c>
      <c r="AO7" s="342">
        <f>IF(B7="","",IF(COUNTIF($B$7:$B$306,B7)&gt;1,"Trùng mã TSCĐ",IF(C7="","Thiếu tên TSCĐ",IF(H7="","Thiếu ngày bắt đầu",IF(OR(I7&lt;=0,L7&lt;=0,O7&lt;=0),"Kiểm tra số lượng/nguyên giá/thời gian",IF(AND(G7&lt;&gt;"",H7&lt;G7),"Ngày KH trước ngày ghi tăng",IF(M7&gt;L7,"Giá trị thu hồi vượt nguyên giá",IF(IF(U7="",0,U7)&gt;N7,"Lũy kế đầu năm vượt GTKH","OK"))))))))</f>
        <v/>
      </c>
    </row>
    <row r="8" ht="20" customHeight="1" s="389">
      <c r="A8" s="325">
        <f>IF(B8="","",ROW()-6)</f>
        <v/>
      </c>
      <c r="B8" s="275" t="n"/>
      <c r="C8" s="275" t="n"/>
      <c r="D8" s="331" t="n"/>
      <c r="E8" s="331" t="n"/>
      <c r="F8" s="454" t="n"/>
      <c r="G8" s="454" t="n"/>
      <c r="H8" s="454" t="n"/>
      <c r="I8" s="455" t="n"/>
      <c r="J8" s="456" t="n"/>
      <c r="K8" s="456" t="n"/>
      <c r="L8" s="457">
        <f>IF(B8="","",IF(OR(I8="",J8=""),"",I8*J8+IF(K8="",0,K8)))</f>
        <v/>
      </c>
      <c r="M8" s="456" t="n"/>
      <c r="N8" s="457">
        <f>IF(L8="","",MAX(0,L8-IF(M8="",0,M8)))</f>
        <v/>
      </c>
      <c r="O8" s="455" t="n"/>
      <c r="P8" s="457">
        <f>IF(OR(N8="",O8&lt;=0),"",ROUND(N8/O8,0))</f>
        <v/>
      </c>
      <c r="Q8" s="458">
        <f>IF(OR(H8="",O8&lt;=0),"",EOMONTH(H8,O8-1))</f>
        <v/>
      </c>
      <c r="R8" s="331" t="n"/>
      <c r="S8" s="331" t="n"/>
      <c r="T8" s="331" t="n"/>
      <c r="U8" s="456" t="n"/>
      <c r="V8" s="457">
        <f>IF($AO8&lt;&gt;"OK",0,IF(AND(DATE('Thiết lập'!$B$4,1,1)&gt;=DATE(YEAR($H8),MONTH($H8),1),DATE('Thiết lập'!$B$4,1,1)&lt;EDATE(DATE(YEAR($H8),MONTH($H8),1),$O8)),MIN($P8,MAX(0,$N8-$U8-0)),0))</f>
        <v/>
      </c>
      <c r="W8" s="457">
        <f>IF($AO8&lt;&gt;"OK",0,IF(AND(DATE('Thiết lập'!$B$4,2,1)&gt;=DATE(YEAR($H8),MONTH($H8),1),DATE('Thiết lập'!$B$4,2,1)&lt;EDATE(DATE(YEAR($H8),MONTH($H8),1),$O8)),MIN($P8,MAX(0,$N8-$U8-SUM($V8:V8))),0))</f>
        <v/>
      </c>
      <c r="X8" s="457">
        <f>IF($AO8&lt;&gt;"OK",0,IF(AND(DATE('Thiết lập'!$B$4,3,1)&gt;=DATE(YEAR($H8),MONTH($H8),1),DATE('Thiết lập'!$B$4,3,1)&lt;EDATE(DATE(YEAR($H8),MONTH($H8),1),$O8)),MIN($P8,MAX(0,$N8-$U8-SUM($V8:W8))),0))</f>
        <v/>
      </c>
      <c r="Y8" s="457">
        <f>IF($AO8&lt;&gt;"OK",0,IF(AND(DATE('Thiết lập'!$B$4,4,1)&gt;=DATE(YEAR($H8),MONTH($H8),1),DATE('Thiết lập'!$B$4,4,1)&lt;EDATE(DATE(YEAR($H8),MONTH($H8),1),$O8)),MIN($P8,MAX(0,$N8-$U8-SUM($V8:X8))),0))</f>
        <v/>
      </c>
      <c r="Z8" s="457">
        <f>IF($AO8&lt;&gt;"OK",0,IF(AND(DATE('Thiết lập'!$B$4,5,1)&gt;=DATE(YEAR($H8),MONTH($H8),1),DATE('Thiết lập'!$B$4,5,1)&lt;EDATE(DATE(YEAR($H8),MONTH($H8),1),$O8)),MIN($P8,MAX(0,$N8-$U8-SUM($V8:Y8))),0))</f>
        <v/>
      </c>
      <c r="AA8" s="457">
        <f>IF($AO8&lt;&gt;"OK",0,IF(AND(DATE('Thiết lập'!$B$4,6,1)&gt;=DATE(YEAR($H8),MONTH($H8),1),DATE('Thiết lập'!$B$4,6,1)&lt;EDATE(DATE(YEAR($H8),MONTH($H8),1),$O8)),MIN($P8,MAX(0,$N8-$U8-SUM($V8:Z8))),0))</f>
        <v/>
      </c>
      <c r="AB8" s="457">
        <f>IF($AO8&lt;&gt;"OK",0,IF(AND(DATE('Thiết lập'!$B$4,7,1)&gt;=DATE(YEAR($H8),MONTH($H8),1),DATE('Thiết lập'!$B$4,7,1)&lt;EDATE(DATE(YEAR($H8),MONTH($H8),1),$O8)),MIN($P8,MAX(0,$N8-$U8-SUM($V8:AA8))),0))</f>
        <v/>
      </c>
      <c r="AC8" s="457">
        <f>IF($AO8&lt;&gt;"OK",0,IF(AND(DATE('Thiết lập'!$B$4,8,1)&gt;=DATE(YEAR($H8),MONTH($H8),1),DATE('Thiết lập'!$B$4,8,1)&lt;EDATE(DATE(YEAR($H8),MONTH($H8),1),$O8)),MIN($P8,MAX(0,$N8-$U8-SUM($V8:AB8))),0))</f>
        <v/>
      </c>
      <c r="AD8" s="457">
        <f>IF($AO8&lt;&gt;"OK",0,IF(AND(DATE('Thiết lập'!$B$4,9,1)&gt;=DATE(YEAR($H8),MONTH($H8),1),DATE('Thiết lập'!$B$4,9,1)&lt;EDATE(DATE(YEAR($H8),MONTH($H8),1),$O8)),MIN($P8,MAX(0,$N8-$U8-SUM($V8:AC8))),0))</f>
        <v/>
      </c>
      <c r="AE8" s="457">
        <f>IF($AO8&lt;&gt;"OK",0,IF(AND(DATE('Thiết lập'!$B$4,10,1)&gt;=DATE(YEAR($H8),MONTH($H8),1),DATE('Thiết lập'!$B$4,10,1)&lt;EDATE(DATE(YEAR($H8),MONTH($H8),1),$O8)),MIN($P8,MAX(0,$N8-$U8-SUM($V8:AD8))),0))</f>
        <v/>
      </c>
      <c r="AF8" s="457">
        <f>IF($AO8&lt;&gt;"OK",0,IF(AND(DATE('Thiết lập'!$B$4,11,1)&gt;=DATE(YEAR($H8),MONTH($H8),1),DATE('Thiết lập'!$B$4,11,1)&lt;EDATE(DATE(YEAR($H8),MONTH($H8),1),$O8)),MIN($P8,MAX(0,$N8-$U8-SUM($V8:AE8))),0))</f>
        <v/>
      </c>
      <c r="AG8" s="457">
        <f>IF($AO8&lt;&gt;"OK",0,IF(AND(DATE('Thiết lập'!$B$4,12,1)&gt;=DATE(YEAR($H8),MONTH($H8),1),DATE('Thiết lập'!$B$4,12,1)&lt;EDATE(DATE(YEAR($H8),MONTH($H8),1),$O8)),MIN($P8,MAX(0,$N8-$U8-SUM($V8:AF8))),0))</f>
        <v/>
      </c>
      <c r="AH8" s="457">
        <f>IF(B8="","",SUM(V8:AG8))</f>
        <v/>
      </c>
      <c r="AI8" s="457">
        <f>IF(B8="","",MIN(N8,IF(U8="",0,U8)+AH8))</f>
        <v/>
      </c>
      <c r="AJ8" s="457">
        <f>IF(B8="","",MAX(0,L8-AI8))</f>
        <v/>
      </c>
      <c r="AK8" s="337">
        <f>IF(B8="","",IF(H8&gt;'Thiết lập'!$B$5,"Chưa khấu hao",IF(AJ8&lt;=IF(M8="",0,M8),"Đã hết khấu hao","Đang khấu hao")))</f>
        <v/>
      </c>
      <c r="AL8" s="275" t="n"/>
      <c r="AM8" s="275" t="n"/>
      <c r="AN8" s="275" t="n"/>
      <c r="AO8" s="343">
        <f>IF(B8="","",IF(COUNTIF($B$7:$B$306,B8)&gt;1,"Trùng mã TSCĐ",IF(C8="","Thiếu tên TSCĐ",IF(H8="","Thiếu ngày bắt đầu",IF(OR(I8&lt;=0,L8&lt;=0,O8&lt;=0),"Kiểm tra số lượng/nguyên giá/thời gian",IF(AND(G8&lt;&gt;"",H8&lt;G8),"Ngày KH trước ngày ghi tăng",IF(M8&gt;L8,"Giá trị thu hồi vượt nguyên giá",IF(IF(U8="",0,U8)&gt;N8,"Lũy kế đầu năm vượt GTKH","OK"))))))))</f>
        <v/>
      </c>
    </row>
    <row r="9" ht="20" customHeight="1" s="389">
      <c r="A9" s="325">
        <f>IF(B9="","",ROW()-6)</f>
        <v/>
      </c>
      <c r="B9" s="275" t="n"/>
      <c r="C9" s="275" t="n"/>
      <c r="D9" s="331" t="n"/>
      <c r="E9" s="331" t="n"/>
      <c r="F9" s="454" t="n"/>
      <c r="G9" s="454" t="n"/>
      <c r="H9" s="454" t="n"/>
      <c r="I9" s="455" t="n"/>
      <c r="J9" s="456" t="n"/>
      <c r="K9" s="456" t="n"/>
      <c r="L9" s="457">
        <f>IF(B9="","",IF(OR(I9="",J9=""),"",I9*J9+IF(K9="",0,K9)))</f>
        <v/>
      </c>
      <c r="M9" s="456" t="n"/>
      <c r="N9" s="457">
        <f>IF(L9="","",MAX(0,L9-IF(M9="",0,M9)))</f>
        <v/>
      </c>
      <c r="O9" s="455" t="n"/>
      <c r="P9" s="457">
        <f>IF(OR(N9="",O9&lt;=0),"",ROUND(N9/O9,0))</f>
        <v/>
      </c>
      <c r="Q9" s="458">
        <f>IF(OR(H9="",O9&lt;=0),"",EOMONTH(H9,O9-1))</f>
        <v/>
      </c>
      <c r="R9" s="331" t="n"/>
      <c r="S9" s="331" t="n"/>
      <c r="T9" s="331" t="n"/>
      <c r="U9" s="456" t="n"/>
      <c r="V9" s="457">
        <f>IF($AO9&lt;&gt;"OK",0,IF(AND(DATE('Thiết lập'!$B$4,1,1)&gt;=DATE(YEAR($H9),MONTH($H9),1),DATE('Thiết lập'!$B$4,1,1)&lt;EDATE(DATE(YEAR($H9),MONTH($H9),1),$O9)),MIN($P9,MAX(0,$N9-$U9-0)),0))</f>
        <v/>
      </c>
      <c r="W9" s="457">
        <f>IF($AO9&lt;&gt;"OK",0,IF(AND(DATE('Thiết lập'!$B$4,2,1)&gt;=DATE(YEAR($H9),MONTH($H9),1),DATE('Thiết lập'!$B$4,2,1)&lt;EDATE(DATE(YEAR($H9),MONTH($H9),1),$O9)),MIN($P9,MAX(0,$N9-$U9-SUM($V9:V9))),0))</f>
        <v/>
      </c>
      <c r="X9" s="457">
        <f>IF($AO9&lt;&gt;"OK",0,IF(AND(DATE('Thiết lập'!$B$4,3,1)&gt;=DATE(YEAR($H9),MONTH($H9),1),DATE('Thiết lập'!$B$4,3,1)&lt;EDATE(DATE(YEAR($H9),MONTH($H9),1),$O9)),MIN($P9,MAX(0,$N9-$U9-SUM($V9:W9))),0))</f>
        <v/>
      </c>
      <c r="Y9" s="457">
        <f>IF($AO9&lt;&gt;"OK",0,IF(AND(DATE('Thiết lập'!$B$4,4,1)&gt;=DATE(YEAR($H9),MONTH($H9),1),DATE('Thiết lập'!$B$4,4,1)&lt;EDATE(DATE(YEAR($H9),MONTH($H9),1),$O9)),MIN($P9,MAX(0,$N9-$U9-SUM($V9:X9))),0))</f>
        <v/>
      </c>
      <c r="Z9" s="457">
        <f>IF($AO9&lt;&gt;"OK",0,IF(AND(DATE('Thiết lập'!$B$4,5,1)&gt;=DATE(YEAR($H9),MONTH($H9),1),DATE('Thiết lập'!$B$4,5,1)&lt;EDATE(DATE(YEAR($H9),MONTH($H9),1),$O9)),MIN($P9,MAX(0,$N9-$U9-SUM($V9:Y9))),0))</f>
        <v/>
      </c>
      <c r="AA9" s="457">
        <f>IF($AO9&lt;&gt;"OK",0,IF(AND(DATE('Thiết lập'!$B$4,6,1)&gt;=DATE(YEAR($H9),MONTH($H9),1),DATE('Thiết lập'!$B$4,6,1)&lt;EDATE(DATE(YEAR($H9),MONTH($H9),1),$O9)),MIN($P9,MAX(0,$N9-$U9-SUM($V9:Z9))),0))</f>
        <v/>
      </c>
      <c r="AB9" s="457">
        <f>IF($AO9&lt;&gt;"OK",0,IF(AND(DATE('Thiết lập'!$B$4,7,1)&gt;=DATE(YEAR($H9),MONTH($H9),1),DATE('Thiết lập'!$B$4,7,1)&lt;EDATE(DATE(YEAR($H9),MONTH($H9),1),$O9)),MIN($P9,MAX(0,$N9-$U9-SUM($V9:AA9))),0))</f>
        <v/>
      </c>
      <c r="AC9" s="457">
        <f>IF($AO9&lt;&gt;"OK",0,IF(AND(DATE('Thiết lập'!$B$4,8,1)&gt;=DATE(YEAR($H9),MONTH($H9),1),DATE('Thiết lập'!$B$4,8,1)&lt;EDATE(DATE(YEAR($H9),MONTH($H9),1),$O9)),MIN($P9,MAX(0,$N9-$U9-SUM($V9:AB9))),0))</f>
        <v/>
      </c>
      <c r="AD9" s="457">
        <f>IF($AO9&lt;&gt;"OK",0,IF(AND(DATE('Thiết lập'!$B$4,9,1)&gt;=DATE(YEAR($H9),MONTH($H9),1),DATE('Thiết lập'!$B$4,9,1)&lt;EDATE(DATE(YEAR($H9),MONTH($H9),1),$O9)),MIN($P9,MAX(0,$N9-$U9-SUM($V9:AC9))),0))</f>
        <v/>
      </c>
      <c r="AE9" s="457">
        <f>IF($AO9&lt;&gt;"OK",0,IF(AND(DATE('Thiết lập'!$B$4,10,1)&gt;=DATE(YEAR($H9),MONTH($H9),1),DATE('Thiết lập'!$B$4,10,1)&lt;EDATE(DATE(YEAR($H9),MONTH($H9),1),$O9)),MIN($P9,MAX(0,$N9-$U9-SUM($V9:AD9))),0))</f>
        <v/>
      </c>
      <c r="AF9" s="457">
        <f>IF($AO9&lt;&gt;"OK",0,IF(AND(DATE('Thiết lập'!$B$4,11,1)&gt;=DATE(YEAR($H9),MONTH($H9),1),DATE('Thiết lập'!$B$4,11,1)&lt;EDATE(DATE(YEAR($H9),MONTH($H9),1),$O9)),MIN($P9,MAX(0,$N9-$U9-SUM($V9:AE9))),0))</f>
        <v/>
      </c>
      <c r="AG9" s="457">
        <f>IF($AO9&lt;&gt;"OK",0,IF(AND(DATE('Thiết lập'!$B$4,12,1)&gt;=DATE(YEAR($H9),MONTH($H9),1),DATE('Thiết lập'!$B$4,12,1)&lt;EDATE(DATE(YEAR($H9),MONTH($H9),1),$O9)),MIN($P9,MAX(0,$N9-$U9-SUM($V9:AF9))),0))</f>
        <v/>
      </c>
      <c r="AH9" s="457">
        <f>IF(B9="","",SUM(V9:AG9))</f>
        <v/>
      </c>
      <c r="AI9" s="457">
        <f>IF(B9="","",MIN(N9,IF(U9="",0,U9)+AH9))</f>
        <v/>
      </c>
      <c r="AJ9" s="457">
        <f>IF(B9="","",MAX(0,L9-AI9))</f>
        <v/>
      </c>
      <c r="AK9" s="337">
        <f>IF(B9="","",IF(H9&gt;'Thiết lập'!$B$5,"Chưa khấu hao",IF(AJ9&lt;=IF(M9="",0,M9),"Đã hết khấu hao","Đang khấu hao")))</f>
        <v/>
      </c>
      <c r="AL9" s="275" t="n"/>
      <c r="AM9" s="275" t="n"/>
      <c r="AN9" s="275" t="n"/>
      <c r="AO9" s="343">
        <f>IF(B9="","",IF(COUNTIF($B$7:$B$306,B9)&gt;1,"Trùng mã TSCĐ",IF(C9="","Thiếu tên TSCĐ",IF(H9="","Thiếu ngày bắt đầu",IF(OR(I9&lt;=0,L9&lt;=0,O9&lt;=0),"Kiểm tra số lượng/nguyên giá/thời gian",IF(AND(G9&lt;&gt;"",H9&lt;G9),"Ngày KH trước ngày ghi tăng",IF(M9&gt;L9,"Giá trị thu hồi vượt nguyên giá",IF(IF(U9="",0,U9)&gt;N9,"Lũy kế đầu năm vượt GTKH","OK"))))))))</f>
        <v/>
      </c>
    </row>
    <row r="10" ht="20" customHeight="1" s="389">
      <c r="A10" s="325">
        <f>IF(B10="","",ROW()-6)</f>
        <v/>
      </c>
      <c r="B10" s="275" t="n"/>
      <c r="C10" s="275" t="n"/>
      <c r="D10" s="331" t="n"/>
      <c r="E10" s="331" t="n"/>
      <c r="F10" s="454" t="n"/>
      <c r="G10" s="454" t="n"/>
      <c r="H10" s="454" t="n"/>
      <c r="I10" s="455" t="n"/>
      <c r="J10" s="456" t="n"/>
      <c r="K10" s="456" t="n"/>
      <c r="L10" s="457">
        <f>IF(B10="","",IF(OR(I10="",J10=""),"",I10*J10+IF(K10="",0,K10)))</f>
        <v/>
      </c>
      <c r="M10" s="456" t="n"/>
      <c r="N10" s="457">
        <f>IF(L10="","",MAX(0,L10-IF(M10="",0,M10)))</f>
        <v/>
      </c>
      <c r="O10" s="455" t="n"/>
      <c r="P10" s="457">
        <f>IF(OR(N10="",O10&lt;=0),"",ROUND(N10/O10,0))</f>
        <v/>
      </c>
      <c r="Q10" s="458">
        <f>IF(OR(H10="",O10&lt;=0),"",EOMONTH(H10,O10-1))</f>
        <v/>
      </c>
      <c r="R10" s="331" t="n"/>
      <c r="S10" s="331" t="n"/>
      <c r="T10" s="331" t="n"/>
      <c r="U10" s="456" t="n"/>
      <c r="V10" s="457">
        <f>IF($AO10&lt;&gt;"OK",0,IF(AND(DATE('Thiết lập'!$B$4,1,1)&gt;=DATE(YEAR($H10),MONTH($H10),1),DATE('Thiết lập'!$B$4,1,1)&lt;EDATE(DATE(YEAR($H10),MONTH($H10),1),$O10)),MIN($P10,MAX(0,$N10-$U10-0)),0))</f>
        <v/>
      </c>
      <c r="W10" s="457">
        <f>IF($AO10&lt;&gt;"OK",0,IF(AND(DATE('Thiết lập'!$B$4,2,1)&gt;=DATE(YEAR($H10),MONTH($H10),1),DATE('Thiết lập'!$B$4,2,1)&lt;EDATE(DATE(YEAR($H10),MONTH($H10),1),$O10)),MIN($P10,MAX(0,$N10-$U10-SUM($V10:V10))),0))</f>
        <v/>
      </c>
      <c r="X10" s="457">
        <f>IF($AO10&lt;&gt;"OK",0,IF(AND(DATE('Thiết lập'!$B$4,3,1)&gt;=DATE(YEAR($H10),MONTH($H10),1),DATE('Thiết lập'!$B$4,3,1)&lt;EDATE(DATE(YEAR($H10),MONTH($H10),1),$O10)),MIN($P10,MAX(0,$N10-$U10-SUM($V10:W10))),0))</f>
        <v/>
      </c>
      <c r="Y10" s="457">
        <f>IF($AO10&lt;&gt;"OK",0,IF(AND(DATE('Thiết lập'!$B$4,4,1)&gt;=DATE(YEAR($H10),MONTH($H10),1),DATE('Thiết lập'!$B$4,4,1)&lt;EDATE(DATE(YEAR($H10),MONTH($H10),1),$O10)),MIN($P10,MAX(0,$N10-$U10-SUM($V10:X10))),0))</f>
        <v/>
      </c>
      <c r="Z10" s="457">
        <f>IF($AO10&lt;&gt;"OK",0,IF(AND(DATE('Thiết lập'!$B$4,5,1)&gt;=DATE(YEAR($H10),MONTH($H10),1),DATE('Thiết lập'!$B$4,5,1)&lt;EDATE(DATE(YEAR($H10),MONTH($H10),1),$O10)),MIN($P10,MAX(0,$N10-$U10-SUM($V10:Y10))),0))</f>
        <v/>
      </c>
      <c r="AA10" s="457">
        <f>IF($AO10&lt;&gt;"OK",0,IF(AND(DATE('Thiết lập'!$B$4,6,1)&gt;=DATE(YEAR($H10),MONTH($H10),1),DATE('Thiết lập'!$B$4,6,1)&lt;EDATE(DATE(YEAR($H10),MONTH($H10),1),$O10)),MIN($P10,MAX(0,$N10-$U10-SUM($V10:Z10))),0))</f>
        <v/>
      </c>
      <c r="AB10" s="457">
        <f>IF($AO10&lt;&gt;"OK",0,IF(AND(DATE('Thiết lập'!$B$4,7,1)&gt;=DATE(YEAR($H10),MONTH($H10),1),DATE('Thiết lập'!$B$4,7,1)&lt;EDATE(DATE(YEAR($H10),MONTH($H10),1),$O10)),MIN($P10,MAX(0,$N10-$U10-SUM($V10:AA10))),0))</f>
        <v/>
      </c>
      <c r="AC10" s="457">
        <f>IF($AO10&lt;&gt;"OK",0,IF(AND(DATE('Thiết lập'!$B$4,8,1)&gt;=DATE(YEAR($H10),MONTH($H10),1),DATE('Thiết lập'!$B$4,8,1)&lt;EDATE(DATE(YEAR($H10),MONTH($H10),1),$O10)),MIN($P10,MAX(0,$N10-$U10-SUM($V10:AB10))),0))</f>
        <v/>
      </c>
      <c r="AD10" s="457">
        <f>IF($AO10&lt;&gt;"OK",0,IF(AND(DATE('Thiết lập'!$B$4,9,1)&gt;=DATE(YEAR($H10),MONTH($H10),1),DATE('Thiết lập'!$B$4,9,1)&lt;EDATE(DATE(YEAR($H10),MONTH($H10),1),$O10)),MIN($P10,MAX(0,$N10-$U10-SUM($V10:AC10))),0))</f>
        <v/>
      </c>
      <c r="AE10" s="457">
        <f>IF($AO10&lt;&gt;"OK",0,IF(AND(DATE('Thiết lập'!$B$4,10,1)&gt;=DATE(YEAR($H10),MONTH($H10),1),DATE('Thiết lập'!$B$4,10,1)&lt;EDATE(DATE(YEAR($H10),MONTH($H10),1),$O10)),MIN($P10,MAX(0,$N10-$U10-SUM($V10:AD10))),0))</f>
        <v/>
      </c>
      <c r="AF10" s="457">
        <f>IF($AO10&lt;&gt;"OK",0,IF(AND(DATE('Thiết lập'!$B$4,11,1)&gt;=DATE(YEAR($H10),MONTH($H10),1),DATE('Thiết lập'!$B$4,11,1)&lt;EDATE(DATE(YEAR($H10),MONTH($H10),1),$O10)),MIN($P10,MAX(0,$N10-$U10-SUM($V10:AE10))),0))</f>
        <v/>
      </c>
      <c r="AG10" s="457">
        <f>IF($AO10&lt;&gt;"OK",0,IF(AND(DATE('Thiết lập'!$B$4,12,1)&gt;=DATE(YEAR($H10),MONTH($H10),1),DATE('Thiết lập'!$B$4,12,1)&lt;EDATE(DATE(YEAR($H10),MONTH($H10),1),$O10)),MIN($P10,MAX(0,$N10-$U10-SUM($V10:AF10))),0))</f>
        <v/>
      </c>
      <c r="AH10" s="457">
        <f>IF(B10="","",SUM(V10:AG10))</f>
        <v/>
      </c>
      <c r="AI10" s="457">
        <f>IF(B10="","",MIN(N10,IF(U10="",0,U10)+AH10))</f>
        <v/>
      </c>
      <c r="AJ10" s="457">
        <f>IF(B10="","",MAX(0,L10-AI10))</f>
        <v/>
      </c>
      <c r="AK10" s="337">
        <f>IF(B10="","",IF(H10&gt;'Thiết lập'!$B$5,"Chưa khấu hao",IF(AJ10&lt;=IF(M10="",0,M10),"Đã hết khấu hao","Đang khấu hao")))</f>
        <v/>
      </c>
      <c r="AL10" s="275" t="n"/>
      <c r="AM10" s="275" t="n"/>
      <c r="AN10" s="275" t="n"/>
      <c r="AO10" s="343">
        <f>IF(B10="","",IF(COUNTIF($B$7:$B$306,B10)&gt;1,"Trùng mã TSCĐ",IF(C10="","Thiếu tên TSCĐ",IF(H10="","Thiếu ngày bắt đầu",IF(OR(I10&lt;=0,L10&lt;=0,O10&lt;=0),"Kiểm tra số lượng/nguyên giá/thời gian",IF(AND(G10&lt;&gt;"",H10&lt;G10),"Ngày KH trước ngày ghi tăng",IF(M10&gt;L10,"Giá trị thu hồi vượt nguyên giá",IF(IF(U10="",0,U10)&gt;N10,"Lũy kế đầu năm vượt GTKH","OK"))))))))</f>
        <v/>
      </c>
    </row>
    <row r="11" ht="20" customHeight="1" s="389">
      <c r="A11" s="325">
        <f>IF(B11="","",ROW()-6)</f>
        <v/>
      </c>
      <c r="B11" s="275" t="n"/>
      <c r="C11" s="275" t="n"/>
      <c r="D11" s="331" t="n"/>
      <c r="E11" s="331" t="n"/>
      <c r="F11" s="454" t="n"/>
      <c r="G11" s="454" t="n"/>
      <c r="H11" s="454" t="n"/>
      <c r="I11" s="455" t="n"/>
      <c r="J11" s="456" t="n"/>
      <c r="K11" s="456" t="n"/>
      <c r="L11" s="457">
        <f>IF(B11="","",IF(OR(I11="",J11=""),"",I11*J11+IF(K11="",0,K11)))</f>
        <v/>
      </c>
      <c r="M11" s="456" t="n"/>
      <c r="N11" s="457">
        <f>IF(L11="","",MAX(0,L11-IF(M11="",0,M11)))</f>
        <v/>
      </c>
      <c r="O11" s="455" t="n"/>
      <c r="P11" s="457">
        <f>IF(OR(N11="",O11&lt;=0),"",ROUND(N11/O11,0))</f>
        <v/>
      </c>
      <c r="Q11" s="458">
        <f>IF(OR(H11="",O11&lt;=0),"",EOMONTH(H11,O11-1))</f>
        <v/>
      </c>
      <c r="R11" s="331" t="n"/>
      <c r="S11" s="331" t="n"/>
      <c r="T11" s="331" t="n"/>
      <c r="U11" s="456" t="n"/>
      <c r="V11" s="457">
        <f>IF($AO11&lt;&gt;"OK",0,IF(AND(DATE('Thiết lập'!$B$4,1,1)&gt;=DATE(YEAR($H11),MONTH($H11),1),DATE('Thiết lập'!$B$4,1,1)&lt;EDATE(DATE(YEAR($H11),MONTH($H11),1),$O11)),MIN($P11,MAX(0,$N11-$U11-0)),0))</f>
        <v/>
      </c>
      <c r="W11" s="457">
        <f>IF($AO11&lt;&gt;"OK",0,IF(AND(DATE('Thiết lập'!$B$4,2,1)&gt;=DATE(YEAR($H11),MONTH($H11),1),DATE('Thiết lập'!$B$4,2,1)&lt;EDATE(DATE(YEAR($H11),MONTH($H11),1),$O11)),MIN($P11,MAX(0,$N11-$U11-SUM($V11:V11))),0))</f>
        <v/>
      </c>
      <c r="X11" s="457">
        <f>IF($AO11&lt;&gt;"OK",0,IF(AND(DATE('Thiết lập'!$B$4,3,1)&gt;=DATE(YEAR($H11),MONTH($H11),1),DATE('Thiết lập'!$B$4,3,1)&lt;EDATE(DATE(YEAR($H11),MONTH($H11),1),$O11)),MIN($P11,MAX(0,$N11-$U11-SUM($V11:W11))),0))</f>
        <v/>
      </c>
      <c r="Y11" s="457">
        <f>IF($AO11&lt;&gt;"OK",0,IF(AND(DATE('Thiết lập'!$B$4,4,1)&gt;=DATE(YEAR($H11),MONTH($H11),1),DATE('Thiết lập'!$B$4,4,1)&lt;EDATE(DATE(YEAR($H11),MONTH($H11),1),$O11)),MIN($P11,MAX(0,$N11-$U11-SUM($V11:X11))),0))</f>
        <v/>
      </c>
      <c r="Z11" s="457">
        <f>IF($AO11&lt;&gt;"OK",0,IF(AND(DATE('Thiết lập'!$B$4,5,1)&gt;=DATE(YEAR($H11),MONTH($H11),1),DATE('Thiết lập'!$B$4,5,1)&lt;EDATE(DATE(YEAR($H11),MONTH($H11),1),$O11)),MIN($P11,MAX(0,$N11-$U11-SUM($V11:Y11))),0))</f>
        <v/>
      </c>
      <c r="AA11" s="457">
        <f>IF($AO11&lt;&gt;"OK",0,IF(AND(DATE('Thiết lập'!$B$4,6,1)&gt;=DATE(YEAR($H11),MONTH($H11),1),DATE('Thiết lập'!$B$4,6,1)&lt;EDATE(DATE(YEAR($H11),MONTH($H11),1),$O11)),MIN($P11,MAX(0,$N11-$U11-SUM($V11:Z11))),0))</f>
        <v/>
      </c>
      <c r="AB11" s="457">
        <f>IF($AO11&lt;&gt;"OK",0,IF(AND(DATE('Thiết lập'!$B$4,7,1)&gt;=DATE(YEAR($H11),MONTH($H11),1),DATE('Thiết lập'!$B$4,7,1)&lt;EDATE(DATE(YEAR($H11),MONTH($H11),1),$O11)),MIN($P11,MAX(0,$N11-$U11-SUM($V11:AA11))),0))</f>
        <v/>
      </c>
      <c r="AC11" s="457">
        <f>IF($AO11&lt;&gt;"OK",0,IF(AND(DATE('Thiết lập'!$B$4,8,1)&gt;=DATE(YEAR($H11),MONTH($H11),1),DATE('Thiết lập'!$B$4,8,1)&lt;EDATE(DATE(YEAR($H11),MONTH($H11),1),$O11)),MIN($P11,MAX(0,$N11-$U11-SUM($V11:AB11))),0))</f>
        <v/>
      </c>
      <c r="AD11" s="457">
        <f>IF($AO11&lt;&gt;"OK",0,IF(AND(DATE('Thiết lập'!$B$4,9,1)&gt;=DATE(YEAR($H11),MONTH($H11),1),DATE('Thiết lập'!$B$4,9,1)&lt;EDATE(DATE(YEAR($H11),MONTH($H11),1),$O11)),MIN($P11,MAX(0,$N11-$U11-SUM($V11:AC11))),0))</f>
        <v/>
      </c>
      <c r="AE11" s="457">
        <f>IF($AO11&lt;&gt;"OK",0,IF(AND(DATE('Thiết lập'!$B$4,10,1)&gt;=DATE(YEAR($H11),MONTH($H11),1),DATE('Thiết lập'!$B$4,10,1)&lt;EDATE(DATE(YEAR($H11),MONTH($H11),1),$O11)),MIN($P11,MAX(0,$N11-$U11-SUM($V11:AD11))),0))</f>
        <v/>
      </c>
      <c r="AF11" s="457">
        <f>IF($AO11&lt;&gt;"OK",0,IF(AND(DATE('Thiết lập'!$B$4,11,1)&gt;=DATE(YEAR($H11),MONTH($H11),1),DATE('Thiết lập'!$B$4,11,1)&lt;EDATE(DATE(YEAR($H11),MONTH($H11),1),$O11)),MIN($P11,MAX(0,$N11-$U11-SUM($V11:AE11))),0))</f>
        <v/>
      </c>
      <c r="AG11" s="457">
        <f>IF($AO11&lt;&gt;"OK",0,IF(AND(DATE('Thiết lập'!$B$4,12,1)&gt;=DATE(YEAR($H11),MONTH($H11),1),DATE('Thiết lập'!$B$4,12,1)&lt;EDATE(DATE(YEAR($H11),MONTH($H11),1),$O11)),MIN($P11,MAX(0,$N11-$U11-SUM($V11:AF11))),0))</f>
        <v/>
      </c>
      <c r="AH11" s="457">
        <f>IF(B11="","",SUM(V11:AG11))</f>
        <v/>
      </c>
      <c r="AI11" s="457">
        <f>IF(B11="","",MIN(N11,IF(U11="",0,U11)+AH11))</f>
        <v/>
      </c>
      <c r="AJ11" s="457">
        <f>IF(B11="","",MAX(0,L11-AI11))</f>
        <v/>
      </c>
      <c r="AK11" s="337">
        <f>IF(B11="","",IF(H11&gt;'Thiết lập'!$B$5,"Chưa khấu hao",IF(AJ11&lt;=IF(M11="",0,M11),"Đã hết khấu hao","Đang khấu hao")))</f>
        <v/>
      </c>
      <c r="AL11" s="275" t="n"/>
      <c r="AM11" s="275" t="n"/>
      <c r="AN11" s="275" t="n"/>
      <c r="AO11" s="343">
        <f>IF(B11="","",IF(COUNTIF($B$7:$B$306,B11)&gt;1,"Trùng mã TSCĐ",IF(C11="","Thiếu tên TSCĐ",IF(H11="","Thiếu ngày bắt đầu",IF(OR(I11&lt;=0,L11&lt;=0,O11&lt;=0),"Kiểm tra số lượng/nguyên giá/thời gian",IF(AND(G11&lt;&gt;"",H11&lt;G11),"Ngày KH trước ngày ghi tăng",IF(M11&gt;L11,"Giá trị thu hồi vượt nguyên giá",IF(IF(U11="",0,U11)&gt;N11,"Lũy kế đầu năm vượt GTKH","OK"))))))))</f>
        <v/>
      </c>
    </row>
    <row r="12" ht="20" customHeight="1" s="389">
      <c r="A12" s="325">
        <f>IF(B12="","",ROW()-6)</f>
        <v/>
      </c>
      <c r="B12" s="275" t="n"/>
      <c r="C12" s="275" t="n"/>
      <c r="D12" s="331" t="n"/>
      <c r="E12" s="331" t="n"/>
      <c r="F12" s="454" t="n"/>
      <c r="G12" s="454" t="n"/>
      <c r="H12" s="454" t="n"/>
      <c r="I12" s="455" t="n"/>
      <c r="J12" s="456" t="n"/>
      <c r="K12" s="456" t="n"/>
      <c r="L12" s="457">
        <f>IF(B12="","",IF(OR(I12="",J12=""),"",I12*J12+IF(K12="",0,K12)))</f>
        <v/>
      </c>
      <c r="M12" s="456" t="n"/>
      <c r="N12" s="457">
        <f>IF(L12="","",MAX(0,L12-IF(M12="",0,M12)))</f>
        <v/>
      </c>
      <c r="O12" s="455" t="n"/>
      <c r="P12" s="457">
        <f>IF(OR(N12="",O12&lt;=0),"",ROUND(N12/O12,0))</f>
        <v/>
      </c>
      <c r="Q12" s="458">
        <f>IF(OR(H12="",O12&lt;=0),"",EOMONTH(H12,O12-1))</f>
        <v/>
      </c>
      <c r="R12" s="331" t="n"/>
      <c r="S12" s="331" t="n"/>
      <c r="T12" s="331" t="n"/>
      <c r="U12" s="456" t="n"/>
      <c r="V12" s="457">
        <f>IF($AO12&lt;&gt;"OK",0,IF(AND(DATE('Thiết lập'!$B$4,1,1)&gt;=DATE(YEAR($H12),MONTH($H12),1),DATE('Thiết lập'!$B$4,1,1)&lt;EDATE(DATE(YEAR($H12),MONTH($H12),1),$O12)),MIN($P12,MAX(0,$N12-$U12-0)),0))</f>
        <v/>
      </c>
      <c r="W12" s="457">
        <f>IF($AO12&lt;&gt;"OK",0,IF(AND(DATE('Thiết lập'!$B$4,2,1)&gt;=DATE(YEAR($H12),MONTH($H12),1),DATE('Thiết lập'!$B$4,2,1)&lt;EDATE(DATE(YEAR($H12),MONTH($H12),1),$O12)),MIN($P12,MAX(0,$N12-$U12-SUM($V12:V12))),0))</f>
        <v/>
      </c>
      <c r="X12" s="457">
        <f>IF($AO12&lt;&gt;"OK",0,IF(AND(DATE('Thiết lập'!$B$4,3,1)&gt;=DATE(YEAR($H12),MONTH($H12),1),DATE('Thiết lập'!$B$4,3,1)&lt;EDATE(DATE(YEAR($H12),MONTH($H12),1),$O12)),MIN($P12,MAX(0,$N12-$U12-SUM($V12:W12))),0))</f>
        <v/>
      </c>
      <c r="Y12" s="457">
        <f>IF($AO12&lt;&gt;"OK",0,IF(AND(DATE('Thiết lập'!$B$4,4,1)&gt;=DATE(YEAR($H12),MONTH($H12),1),DATE('Thiết lập'!$B$4,4,1)&lt;EDATE(DATE(YEAR($H12),MONTH($H12),1),$O12)),MIN($P12,MAX(0,$N12-$U12-SUM($V12:X12))),0))</f>
        <v/>
      </c>
      <c r="Z12" s="457">
        <f>IF($AO12&lt;&gt;"OK",0,IF(AND(DATE('Thiết lập'!$B$4,5,1)&gt;=DATE(YEAR($H12),MONTH($H12),1),DATE('Thiết lập'!$B$4,5,1)&lt;EDATE(DATE(YEAR($H12),MONTH($H12),1),$O12)),MIN($P12,MAX(0,$N12-$U12-SUM($V12:Y12))),0))</f>
        <v/>
      </c>
      <c r="AA12" s="457">
        <f>IF($AO12&lt;&gt;"OK",0,IF(AND(DATE('Thiết lập'!$B$4,6,1)&gt;=DATE(YEAR($H12),MONTH($H12),1),DATE('Thiết lập'!$B$4,6,1)&lt;EDATE(DATE(YEAR($H12),MONTH($H12),1),$O12)),MIN($P12,MAX(0,$N12-$U12-SUM($V12:Z12))),0))</f>
        <v/>
      </c>
      <c r="AB12" s="457">
        <f>IF($AO12&lt;&gt;"OK",0,IF(AND(DATE('Thiết lập'!$B$4,7,1)&gt;=DATE(YEAR($H12),MONTH($H12),1),DATE('Thiết lập'!$B$4,7,1)&lt;EDATE(DATE(YEAR($H12),MONTH($H12),1),$O12)),MIN($P12,MAX(0,$N12-$U12-SUM($V12:AA12))),0))</f>
        <v/>
      </c>
      <c r="AC12" s="457">
        <f>IF($AO12&lt;&gt;"OK",0,IF(AND(DATE('Thiết lập'!$B$4,8,1)&gt;=DATE(YEAR($H12),MONTH($H12),1),DATE('Thiết lập'!$B$4,8,1)&lt;EDATE(DATE(YEAR($H12),MONTH($H12),1),$O12)),MIN($P12,MAX(0,$N12-$U12-SUM($V12:AB12))),0))</f>
        <v/>
      </c>
      <c r="AD12" s="457">
        <f>IF($AO12&lt;&gt;"OK",0,IF(AND(DATE('Thiết lập'!$B$4,9,1)&gt;=DATE(YEAR($H12),MONTH($H12),1),DATE('Thiết lập'!$B$4,9,1)&lt;EDATE(DATE(YEAR($H12),MONTH($H12),1),$O12)),MIN($P12,MAX(0,$N12-$U12-SUM($V12:AC12))),0))</f>
        <v/>
      </c>
      <c r="AE12" s="457">
        <f>IF($AO12&lt;&gt;"OK",0,IF(AND(DATE('Thiết lập'!$B$4,10,1)&gt;=DATE(YEAR($H12),MONTH($H12),1),DATE('Thiết lập'!$B$4,10,1)&lt;EDATE(DATE(YEAR($H12),MONTH($H12),1),$O12)),MIN($P12,MAX(0,$N12-$U12-SUM($V12:AD12))),0))</f>
        <v/>
      </c>
      <c r="AF12" s="457">
        <f>IF($AO12&lt;&gt;"OK",0,IF(AND(DATE('Thiết lập'!$B$4,11,1)&gt;=DATE(YEAR($H12),MONTH($H12),1),DATE('Thiết lập'!$B$4,11,1)&lt;EDATE(DATE(YEAR($H12),MONTH($H12),1),$O12)),MIN($P12,MAX(0,$N12-$U12-SUM($V12:AE12))),0))</f>
        <v/>
      </c>
      <c r="AG12" s="457">
        <f>IF($AO12&lt;&gt;"OK",0,IF(AND(DATE('Thiết lập'!$B$4,12,1)&gt;=DATE(YEAR($H12),MONTH($H12),1),DATE('Thiết lập'!$B$4,12,1)&lt;EDATE(DATE(YEAR($H12),MONTH($H12),1),$O12)),MIN($P12,MAX(0,$N12-$U12-SUM($V12:AF12))),0))</f>
        <v/>
      </c>
      <c r="AH12" s="457">
        <f>IF(B12="","",SUM(V12:AG12))</f>
        <v/>
      </c>
      <c r="AI12" s="457">
        <f>IF(B12="","",MIN(N12,IF(U12="",0,U12)+AH12))</f>
        <v/>
      </c>
      <c r="AJ12" s="457">
        <f>IF(B12="","",MAX(0,L12-AI12))</f>
        <v/>
      </c>
      <c r="AK12" s="337">
        <f>IF(B12="","",IF(H12&gt;'Thiết lập'!$B$5,"Chưa khấu hao",IF(AJ12&lt;=IF(M12="",0,M12),"Đã hết khấu hao","Đang khấu hao")))</f>
        <v/>
      </c>
      <c r="AL12" s="275" t="n"/>
      <c r="AM12" s="275" t="n"/>
      <c r="AN12" s="275" t="n"/>
      <c r="AO12" s="343">
        <f>IF(B12="","",IF(COUNTIF($B$7:$B$306,B12)&gt;1,"Trùng mã TSCĐ",IF(C12="","Thiếu tên TSCĐ",IF(H12="","Thiếu ngày bắt đầu",IF(OR(I12&lt;=0,L12&lt;=0,O12&lt;=0),"Kiểm tra số lượng/nguyên giá/thời gian",IF(AND(G12&lt;&gt;"",H12&lt;G12),"Ngày KH trước ngày ghi tăng",IF(M12&gt;L12,"Giá trị thu hồi vượt nguyên giá",IF(IF(U12="",0,U12)&gt;N12,"Lũy kế đầu năm vượt GTKH","OK"))))))))</f>
        <v/>
      </c>
    </row>
    <row r="13" ht="20" customHeight="1" s="389">
      <c r="A13" s="325">
        <f>IF(B13="","",ROW()-6)</f>
        <v/>
      </c>
      <c r="B13" s="275" t="n"/>
      <c r="C13" s="275" t="n"/>
      <c r="D13" s="331" t="n"/>
      <c r="E13" s="331" t="n"/>
      <c r="F13" s="454" t="n"/>
      <c r="G13" s="454" t="n"/>
      <c r="H13" s="454" t="n"/>
      <c r="I13" s="455" t="n"/>
      <c r="J13" s="456" t="n"/>
      <c r="K13" s="456" t="n"/>
      <c r="L13" s="457">
        <f>IF(B13="","",IF(OR(I13="",J13=""),"",I13*J13+IF(K13="",0,K13)))</f>
        <v/>
      </c>
      <c r="M13" s="456" t="n"/>
      <c r="N13" s="457">
        <f>IF(L13="","",MAX(0,L13-IF(M13="",0,M13)))</f>
        <v/>
      </c>
      <c r="O13" s="455" t="n"/>
      <c r="P13" s="457">
        <f>IF(OR(N13="",O13&lt;=0),"",ROUND(N13/O13,0))</f>
        <v/>
      </c>
      <c r="Q13" s="458">
        <f>IF(OR(H13="",O13&lt;=0),"",EOMONTH(H13,O13-1))</f>
        <v/>
      </c>
      <c r="R13" s="331" t="n"/>
      <c r="S13" s="331" t="n"/>
      <c r="T13" s="331" t="n"/>
      <c r="U13" s="456" t="n"/>
      <c r="V13" s="457">
        <f>IF($AO13&lt;&gt;"OK",0,IF(AND(DATE('Thiết lập'!$B$4,1,1)&gt;=DATE(YEAR($H13),MONTH($H13),1),DATE('Thiết lập'!$B$4,1,1)&lt;EDATE(DATE(YEAR($H13),MONTH($H13),1),$O13)),MIN($P13,MAX(0,$N13-$U13-0)),0))</f>
        <v/>
      </c>
      <c r="W13" s="457">
        <f>IF($AO13&lt;&gt;"OK",0,IF(AND(DATE('Thiết lập'!$B$4,2,1)&gt;=DATE(YEAR($H13),MONTH($H13),1),DATE('Thiết lập'!$B$4,2,1)&lt;EDATE(DATE(YEAR($H13),MONTH($H13),1),$O13)),MIN($P13,MAX(0,$N13-$U13-SUM($V13:V13))),0))</f>
        <v/>
      </c>
      <c r="X13" s="457">
        <f>IF($AO13&lt;&gt;"OK",0,IF(AND(DATE('Thiết lập'!$B$4,3,1)&gt;=DATE(YEAR($H13),MONTH($H13),1),DATE('Thiết lập'!$B$4,3,1)&lt;EDATE(DATE(YEAR($H13),MONTH($H13),1),$O13)),MIN($P13,MAX(0,$N13-$U13-SUM($V13:W13))),0))</f>
        <v/>
      </c>
      <c r="Y13" s="457">
        <f>IF($AO13&lt;&gt;"OK",0,IF(AND(DATE('Thiết lập'!$B$4,4,1)&gt;=DATE(YEAR($H13),MONTH($H13),1),DATE('Thiết lập'!$B$4,4,1)&lt;EDATE(DATE(YEAR($H13),MONTH($H13),1),$O13)),MIN($P13,MAX(0,$N13-$U13-SUM($V13:X13))),0))</f>
        <v/>
      </c>
      <c r="Z13" s="457">
        <f>IF($AO13&lt;&gt;"OK",0,IF(AND(DATE('Thiết lập'!$B$4,5,1)&gt;=DATE(YEAR($H13),MONTH($H13),1),DATE('Thiết lập'!$B$4,5,1)&lt;EDATE(DATE(YEAR($H13),MONTH($H13),1),$O13)),MIN($P13,MAX(0,$N13-$U13-SUM($V13:Y13))),0))</f>
        <v/>
      </c>
      <c r="AA13" s="457">
        <f>IF($AO13&lt;&gt;"OK",0,IF(AND(DATE('Thiết lập'!$B$4,6,1)&gt;=DATE(YEAR($H13),MONTH($H13),1),DATE('Thiết lập'!$B$4,6,1)&lt;EDATE(DATE(YEAR($H13),MONTH($H13),1),$O13)),MIN($P13,MAX(0,$N13-$U13-SUM($V13:Z13))),0))</f>
        <v/>
      </c>
      <c r="AB13" s="457">
        <f>IF($AO13&lt;&gt;"OK",0,IF(AND(DATE('Thiết lập'!$B$4,7,1)&gt;=DATE(YEAR($H13),MONTH($H13),1),DATE('Thiết lập'!$B$4,7,1)&lt;EDATE(DATE(YEAR($H13),MONTH($H13),1),$O13)),MIN($P13,MAX(0,$N13-$U13-SUM($V13:AA13))),0))</f>
        <v/>
      </c>
      <c r="AC13" s="457">
        <f>IF($AO13&lt;&gt;"OK",0,IF(AND(DATE('Thiết lập'!$B$4,8,1)&gt;=DATE(YEAR($H13),MONTH($H13),1),DATE('Thiết lập'!$B$4,8,1)&lt;EDATE(DATE(YEAR($H13),MONTH($H13),1),$O13)),MIN($P13,MAX(0,$N13-$U13-SUM($V13:AB13))),0))</f>
        <v/>
      </c>
      <c r="AD13" s="457">
        <f>IF($AO13&lt;&gt;"OK",0,IF(AND(DATE('Thiết lập'!$B$4,9,1)&gt;=DATE(YEAR($H13),MONTH($H13),1),DATE('Thiết lập'!$B$4,9,1)&lt;EDATE(DATE(YEAR($H13),MONTH($H13),1),$O13)),MIN($P13,MAX(0,$N13-$U13-SUM($V13:AC13))),0))</f>
        <v/>
      </c>
      <c r="AE13" s="457">
        <f>IF($AO13&lt;&gt;"OK",0,IF(AND(DATE('Thiết lập'!$B$4,10,1)&gt;=DATE(YEAR($H13),MONTH($H13),1),DATE('Thiết lập'!$B$4,10,1)&lt;EDATE(DATE(YEAR($H13),MONTH($H13),1),$O13)),MIN($P13,MAX(0,$N13-$U13-SUM($V13:AD13))),0))</f>
        <v/>
      </c>
      <c r="AF13" s="457">
        <f>IF($AO13&lt;&gt;"OK",0,IF(AND(DATE('Thiết lập'!$B$4,11,1)&gt;=DATE(YEAR($H13),MONTH($H13),1),DATE('Thiết lập'!$B$4,11,1)&lt;EDATE(DATE(YEAR($H13),MONTH($H13),1),$O13)),MIN($P13,MAX(0,$N13-$U13-SUM($V13:AE13))),0))</f>
        <v/>
      </c>
      <c r="AG13" s="457">
        <f>IF($AO13&lt;&gt;"OK",0,IF(AND(DATE('Thiết lập'!$B$4,12,1)&gt;=DATE(YEAR($H13),MONTH($H13),1),DATE('Thiết lập'!$B$4,12,1)&lt;EDATE(DATE(YEAR($H13),MONTH($H13),1),$O13)),MIN($P13,MAX(0,$N13-$U13-SUM($V13:AF13))),0))</f>
        <v/>
      </c>
      <c r="AH13" s="457">
        <f>IF(B13="","",SUM(V13:AG13))</f>
        <v/>
      </c>
      <c r="AI13" s="457">
        <f>IF(B13="","",MIN(N13,IF(U13="",0,U13)+AH13))</f>
        <v/>
      </c>
      <c r="AJ13" s="457">
        <f>IF(B13="","",MAX(0,L13-AI13))</f>
        <v/>
      </c>
      <c r="AK13" s="337">
        <f>IF(B13="","",IF(H13&gt;'Thiết lập'!$B$5,"Chưa khấu hao",IF(AJ13&lt;=IF(M13="",0,M13),"Đã hết khấu hao","Đang khấu hao")))</f>
        <v/>
      </c>
      <c r="AL13" s="275" t="n"/>
      <c r="AM13" s="275" t="n"/>
      <c r="AN13" s="275" t="n"/>
      <c r="AO13" s="343">
        <f>IF(B13="","",IF(COUNTIF($B$7:$B$306,B13)&gt;1,"Trùng mã TSCĐ",IF(C13="","Thiếu tên TSCĐ",IF(H13="","Thiếu ngày bắt đầu",IF(OR(I13&lt;=0,L13&lt;=0,O13&lt;=0),"Kiểm tra số lượng/nguyên giá/thời gian",IF(AND(G13&lt;&gt;"",H13&lt;G13),"Ngày KH trước ngày ghi tăng",IF(M13&gt;L13,"Giá trị thu hồi vượt nguyên giá",IF(IF(U13="",0,U13)&gt;N13,"Lũy kế đầu năm vượt GTKH","OK"))))))))</f>
        <v/>
      </c>
    </row>
    <row r="14" ht="20" customHeight="1" s="389">
      <c r="A14" s="325">
        <f>IF(B14="","",ROW()-6)</f>
        <v/>
      </c>
      <c r="B14" s="275" t="n"/>
      <c r="C14" s="275" t="n"/>
      <c r="D14" s="331" t="n"/>
      <c r="E14" s="331" t="n"/>
      <c r="F14" s="454" t="n"/>
      <c r="G14" s="454" t="n"/>
      <c r="H14" s="454" t="n"/>
      <c r="I14" s="455" t="n"/>
      <c r="J14" s="456" t="n"/>
      <c r="K14" s="456" t="n"/>
      <c r="L14" s="457">
        <f>IF(B14="","",IF(OR(I14="",J14=""),"",I14*J14+IF(K14="",0,K14)))</f>
        <v/>
      </c>
      <c r="M14" s="456" t="n"/>
      <c r="N14" s="457">
        <f>IF(L14="","",MAX(0,L14-IF(M14="",0,M14)))</f>
        <v/>
      </c>
      <c r="O14" s="455" t="n"/>
      <c r="P14" s="457">
        <f>IF(OR(N14="",O14&lt;=0),"",ROUND(N14/O14,0))</f>
        <v/>
      </c>
      <c r="Q14" s="458">
        <f>IF(OR(H14="",O14&lt;=0),"",EOMONTH(H14,O14-1))</f>
        <v/>
      </c>
      <c r="R14" s="331" t="n"/>
      <c r="S14" s="331" t="n"/>
      <c r="T14" s="331" t="n"/>
      <c r="U14" s="456" t="n"/>
      <c r="V14" s="457">
        <f>IF($AO14&lt;&gt;"OK",0,IF(AND(DATE('Thiết lập'!$B$4,1,1)&gt;=DATE(YEAR($H14),MONTH($H14),1),DATE('Thiết lập'!$B$4,1,1)&lt;EDATE(DATE(YEAR($H14),MONTH($H14),1),$O14)),MIN($P14,MAX(0,$N14-$U14-0)),0))</f>
        <v/>
      </c>
      <c r="W14" s="457">
        <f>IF($AO14&lt;&gt;"OK",0,IF(AND(DATE('Thiết lập'!$B$4,2,1)&gt;=DATE(YEAR($H14),MONTH($H14),1),DATE('Thiết lập'!$B$4,2,1)&lt;EDATE(DATE(YEAR($H14),MONTH($H14),1),$O14)),MIN($P14,MAX(0,$N14-$U14-SUM($V14:V14))),0))</f>
        <v/>
      </c>
      <c r="X14" s="457">
        <f>IF($AO14&lt;&gt;"OK",0,IF(AND(DATE('Thiết lập'!$B$4,3,1)&gt;=DATE(YEAR($H14),MONTH($H14),1),DATE('Thiết lập'!$B$4,3,1)&lt;EDATE(DATE(YEAR($H14),MONTH($H14),1),$O14)),MIN($P14,MAX(0,$N14-$U14-SUM($V14:W14))),0))</f>
        <v/>
      </c>
      <c r="Y14" s="457">
        <f>IF($AO14&lt;&gt;"OK",0,IF(AND(DATE('Thiết lập'!$B$4,4,1)&gt;=DATE(YEAR($H14),MONTH($H14),1),DATE('Thiết lập'!$B$4,4,1)&lt;EDATE(DATE(YEAR($H14),MONTH($H14),1),$O14)),MIN($P14,MAX(0,$N14-$U14-SUM($V14:X14))),0))</f>
        <v/>
      </c>
      <c r="Z14" s="457">
        <f>IF($AO14&lt;&gt;"OK",0,IF(AND(DATE('Thiết lập'!$B$4,5,1)&gt;=DATE(YEAR($H14),MONTH($H14),1),DATE('Thiết lập'!$B$4,5,1)&lt;EDATE(DATE(YEAR($H14),MONTH($H14),1),$O14)),MIN($P14,MAX(0,$N14-$U14-SUM($V14:Y14))),0))</f>
        <v/>
      </c>
      <c r="AA14" s="457">
        <f>IF($AO14&lt;&gt;"OK",0,IF(AND(DATE('Thiết lập'!$B$4,6,1)&gt;=DATE(YEAR($H14),MONTH($H14),1),DATE('Thiết lập'!$B$4,6,1)&lt;EDATE(DATE(YEAR($H14),MONTH($H14),1),$O14)),MIN($P14,MAX(0,$N14-$U14-SUM($V14:Z14))),0))</f>
        <v/>
      </c>
      <c r="AB14" s="457">
        <f>IF($AO14&lt;&gt;"OK",0,IF(AND(DATE('Thiết lập'!$B$4,7,1)&gt;=DATE(YEAR($H14),MONTH($H14),1),DATE('Thiết lập'!$B$4,7,1)&lt;EDATE(DATE(YEAR($H14),MONTH($H14),1),$O14)),MIN($P14,MAX(0,$N14-$U14-SUM($V14:AA14))),0))</f>
        <v/>
      </c>
      <c r="AC14" s="457">
        <f>IF($AO14&lt;&gt;"OK",0,IF(AND(DATE('Thiết lập'!$B$4,8,1)&gt;=DATE(YEAR($H14),MONTH($H14),1),DATE('Thiết lập'!$B$4,8,1)&lt;EDATE(DATE(YEAR($H14),MONTH($H14),1),$O14)),MIN($P14,MAX(0,$N14-$U14-SUM($V14:AB14))),0))</f>
        <v/>
      </c>
      <c r="AD14" s="457">
        <f>IF($AO14&lt;&gt;"OK",0,IF(AND(DATE('Thiết lập'!$B$4,9,1)&gt;=DATE(YEAR($H14),MONTH($H14),1),DATE('Thiết lập'!$B$4,9,1)&lt;EDATE(DATE(YEAR($H14),MONTH($H14),1),$O14)),MIN($P14,MAX(0,$N14-$U14-SUM($V14:AC14))),0))</f>
        <v/>
      </c>
      <c r="AE14" s="457">
        <f>IF($AO14&lt;&gt;"OK",0,IF(AND(DATE('Thiết lập'!$B$4,10,1)&gt;=DATE(YEAR($H14),MONTH($H14),1),DATE('Thiết lập'!$B$4,10,1)&lt;EDATE(DATE(YEAR($H14),MONTH($H14),1),$O14)),MIN($P14,MAX(0,$N14-$U14-SUM($V14:AD14))),0))</f>
        <v/>
      </c>
      <c r="AF14" s="457">
        <f>IF($AO14&lt;&gt;"OK",0,IF(AND(DATE('Thiết lập'!$B$4,11,1)&gt;=DATE(YEAR($H14),MONTH($H14),1),DATE('Thiết lập'!$B$4,11,1)&lt;EDATE(DATE(YEAR($H14),MONTH($H14),1),$O14)),MIN($P14,MAX(0,$N14-$U14-SUM($V14:AE14))),0))</f>
        <v/>
      </c>
      <c r="AG14" s="457">
        <f>IF($AO14&lt;&gt;"OK",0,IF(AND(DATE('Thiết lập'!$B$4,12,1)&gt;=DATE(YEAR($H14),MONTH($H14),1),DATE('Thiết lập'!$B$4,12,1)&lt;EDATE(DATE(YEAR($H14),MONTH($H14),1),$O14)),MIN($P14,MAX(0,$N14-$U14-SUM($V14:AF14))),0))</f>
        <v/>
      </c>
      <c r="AH14" s="457">
        <f>IF(B14="","",SUM(V14:AG14))</f>
        <v/>
      </c>
      <c r="AI14" s="457">
        <f>IF(B14="","",MIN(N14,IF(U14="",0,U14)+AH14))</f>
        <v/>
      </c>
      <c r="AJ14" s="457">
        <f>IF(B14="","",MAX(0,L14-AI14))</f>
        <v/>
      </c>
      <c r="AK14" s="337">
        <f>IF(B14="","",IF(H14&gt;'Thiết lập'!$B$5,"Chưa khấu hao",IF(AJ14&lt;=IF(M14="",0,M14),"Đã hết khấu hao","Đang khấu hao")))</f>
        <v/>
      </c>
      <c r="AL14" s="275" t="n"/>
      <c r="AM14" s="275" t="n"/>
      <c r="AN14" s="275" t="n"/>
      <c r="AO14" s="343">
        <f>IF(B14="","",IF(COUNTIF($B$7:$B$306,B14)&gt;1,"Trùng mã TSCĐ",IF(C14="","Thiếu tên TSCĐ",IF(H14="","Thiếu ngày bắt đầu",IF(OR(I14&lt;=0,L14&lt;=0,O14&lt;=0),"Kiểm tra số lượng/nguyên giá/thời gian",IF(AND(G14&lt;&gt;"",H14&lt;G14),"Ngày KH trước ngày ghi tăng",IF(M14&gt;L14,"Giá trị thu hồi vượt nguyên giá",IF(IF(U14="",0,U14)&gt;N14,"Lũy kế đầu năm vượt GTKH","OK"))))))))</f>
        <v/>
      </c>
    </row>
    <row r="15" ht="20" customHeight="1" s="389">
      <c r="A15" s="325">
        <f>IF(B15="","",ROW()-6)</f>
        <v/>
      </c>
      <c r="B15" s="275" t="n"/>
      <c r="C15" s="275" t="n"/>
      <c r="D15" s="331" t="n"/>
      <c r="E15" s="331" t="n"/>
      <c r="F15" s="454" t="n"/>
      <c r="G15" s="454" t="n"/>
      <c r="H15" s="454" t="n"/>
      <c r="I15" s="455" t="n"/>
      <c r="J15" s="456" t="n"/>
      <c r="K15" s="456" t="n"/>
      <c r="L15" s="457">
        <f>IF(B15="","",IF(OR(I15="",J15=""),"",I15*J15+IF(K15="",0,K15)))</f>
        <v/>
      </c>
      <c r="M15" s="456" t="n"/>
      <c r="N15" s="457">
        <f>IF(L15="","",MAX(0,L15-IF(M15="",0,M15)))</f>
        <v/>
      </c>
      <c r="O15" s="455" t="n"/>
      <c r="P15" s="457">
        <f>IF(OR(N15="",O15&lt;=0),"",ROUND(N15/O15,0))</f>
        <v/>
      </c>
      <c r="Q15" s="458">
        <f>IF(OR(H15="",O15&lt;=0),"",EOMONTH(H15,O15-1))</f>
        <v/>
      </c>
      <c r="R15" s="331" t="n"/>
      <c r="S15" s="331" t="n"/>
      <c r="T15" s="331" t="n"/>
      <c r="U15" s="456" t="n"/>
      <c r="V15" s="457">
        <f>IF($AO15&lt;&gt;"OK",0,IF(AND(DATE('Thiết lập'!$B$4,1,1)&gt;=DATE(YEAR($H15),MONTH($H15),1),DATE('Thiết lập'!$B$4,1,1)&lt;EDATE(DATE(YEAR($H15),MONTH($H15),1),$O15)),MIN($P15,MAX(0,$N15-$U15-0)),0))</f>
        <v/>
      </c>
      <c r="W15" s="457">
        <f>IF($AO15&lt;&gt;"OK",0,IF(AND(DATE('Thiết lập'!$B$4,2,1)&gt;=DATE(YEAR($H15),MONTH($H15),1),DATE('Thiết lập'!$B$4,2,1)&lt;EDATE(DATE(YEAR($H15),MONTH($H15),1),$O15)),MIN($P15,MAX(0,$N15-$U15-SUM($V15:V15))),0))</f>
        <v/>
      </c>
      <c r="X15" s="457">
        <f>IF($AO15&lt;&gt;"OK",0,IF(AND(DATE('Thiết lập'!$B$4,3,1)&gt;=DATE(YEAR($H15),MONTH($H15),1),DATE('Thiết lập'!$B$4,3,1)&lt;EDATE(DATE(YEAR($H15),MONTH($H15),1),$O15)),MIN($P15,MAX(0,$N15-$U15-SUM($V15:W15))),0))</f>
        <v/>
      </c>
      <c r="Y15" s="457">
        <f>IF($AO15&lt;&gt;"OK",0,IF(AND(DATE('Thiết lập'!$B$4,4,1)&gt;=DATE(YEAR($H15),MONTH($H15),1),DATE('Thiết lập'!$B$4,4,1)&lt;EDATE(DATE(YEAR($H15),MONTH($H15),1),$O15)),MIN($P15,MAX(0,$N15-$U15-SUM($V15:X15))),0))</f>
        <v/>
      </c>
      <c r="Z15" s="457">
        <f>IF($AO15&lt;&gt;"OK",0,IF(AND(DATE('Thiết lập'!$B$4,5,1)&gt;=DATE(YEAR($H15),MONTH($H15),1),DATE('Thiết lập'!$B$4,5,1)&lt;EDATE(DATE(YEAR($H15),MONTH($H15),1),$O15)),MIN($P15,MAX(0,$N15-$U15-SUM($V15:Y15))),0))</f>
        <v/>
      </c>
      <c r="AA15" s="457">
        <f>IF($AO15&lt;&gt;"OK",0,IF(AND(DATE('Thiết lập'!$B$4,6,1)&gt;=DATE(YEAR($H15),MONTH($H15),1),DATE('Thiết lập'!$B$4,6,1)&lt;EDATE(DATE(YEAR($H15),MONTH($H15),1),$O15)),MIN($P15,MAX(0,$N15-$U15-SUM($V15:Z15))),0))</f>
        <v/>
      </c>
      <c r="AB15" s="457">
        <f>IF($AO15&lt;&gt;"OK",0,IF(AND(DATE('Thiết lập'!$B$4,7,1)&gt;=DATE(YEAR($H15),MONTH($H15),1),DATE('Thiết lập'!$B$4,7,1)&lt;EDATE(DATE(YEAR($H15),MONTH($H15),1),$O15)),MIN($P15,MAX(0,$N15-$U15-SUM($V15:AA15))),0))</f>
        <v/>
      </c>
      <c r="AC15" s="457">
        <f>IF($AO15&lt;&gt;"OK",0,IF(AND(DATE('Thiết lập'!$B$4,8,1)&gt;=DATE(YEAR($H15),MONTH($H15),1),DATE('Thiết lập'!$B$4,8,1)&lt;EDATE(DATE(YEAR($H15),MONTH($H15),1),$O15)),MIN($P15,MAX(0,$N15-$U15-SUM($V15:AB15))),0))</f>
        <v/>
      </c>
      <c r="AD15" s="457">
        <f>IF($AO15&lt;&gt;"OK",0,IF(AND(DATE('Thiết lập'!$B$4,9,1)&gt;=DATE(YEAR($H15),MONTH($H15),1),DATE('Thiết lập'!$B$4,9,1)&lt;EDATE(DATE(YEAR($H15),MONTH($H15),1),$O15)),MIN($P15,MAX(0,$N15-$U15-SUM($V15:AC15))),0))</f>
        <v/>
      </c>
      <c r="AE15" s="457">
        <f>IF($AO15&lt;&gt;"OK",0,IF(AND(DATE('Thiết lập'!$B$4,10,1)&gt;=DATE(YEAR($H15),MONTH($H15),1),DATE('Thiết lập'!$B$4,10,1)&lt;EDATE(DATE(YEAR($H15),MONTH($H15),1),$O15)),MIN($P15,MAX(0,$N15-$U15-SUM($V15:AD15))),0))</f>
        <v/>
      </c>
      <c r="AF15" s="457">
        <f>IF($AO15&lt;&gt;"OK",0,IF(AND(DATE('Thiết lập'!$B$4,11,1)&gt;=DATE(YEAR($H15),MONTH($H15),1),DATE('Thiết lập'!$B$4,11,1)&lt;EDATE(DATE(YEAR($H15),MONTH($H15),1),$O15)),MIN($P15,MAX(0,$N15-$U15-SUM($V15:AE15))),0))</f>
        <v/>
      </c>
      <c r="AG15" s="457">
        <f>IF($AO15&lt;&gt;"OK",0,IF(AND(DATE('Thiết lập'!$B$4,12,1)&gt;=DATE(YEAR($H15),MONTH($H15),1),DATE('Thiết lập'!$B$4,12,1)&lt;EDATE(DATE(YEAR($H15),MONTH($H15),1),$O15)),MIN($P15,MAX(0,$N15-$U15-SUM($V15:AF15))),0))</f>
        <v/>
      </c>
      <c r="AH15" s="457">
        <f>IF(B15="","",SUM(V15:AG15))</f>
        <v/>
      </c>
      <c r="AI15" s="457">
        <f>IF(B15="","",MIN(N15,IF(U15="",0,U15)+AH15))</f>
        <v/>
      </c>
      <c r="AJ15" s="457">
        <f>IF(B15="","",MAX(0,L15-AI15))</f>
        <v/>
      </c>
      <c r="AK15" s="337">
        <f>IF(B15="","",IF(H15&gt;'Thiết lập'!$B$5,"Chưa khấu hao",IF(AJ15&lt;=IF(M15="",0,M15),"Đã hết khấu hao","Đang khấu hao")))</f>
        <v/>
      </c>
      <c r="AL15" s="275" t="n"/>
      <c r="AM15" s="275" t="n"/>
      <c r="AN15" s="275" t="n"/>
      <c r="AO15" s="343">
        <f>IF(B15="","",IF(COUNTIF($B$7:$B$306,B15)&gt;1,"Trùng mã TSCĐ",IF(C15="","Thiếu tên TSCĐ",IF(H15="","Thiếu ngày bắt đầu",IF(OR(I15&lt;=0,L15&lt;=0,O15&lt;=0),"Kiểm tra số lượng/nguyên giá/thời gian",IF(AND(G15&lt;&gt;"",H15&lt;G15),"Ngày KH trước ngày ghi tăng",IF(M15&gt;L15,"Giá trị thu hồi vượt nguyên giá",IF(IF(U15="",0,U15)&gt;N15,"Lũy kế đầu năm vượt GTKH","OK"))))))))</f>
        <v/>
      </c>
    </row>
    <row r="16" ht="20" customHeight="1" s="389">
      <c r="A16" s="325">
        <f>IF(B16="","",ROW()-6)</f>
        <v/>
      </c>
      <c r="B16" s="275" t="n"/>
      <c r="C16" s="275" t="n"/>
      <c r="D16" s="331" t="n"/>
      <c r="E16" s="331" t="n"/>
      <c r="F16" s="454" t="n"/>
      <c r="G16" s="454" t="n"/>
      <c r="H16" s="454" t="n"/>
      <c r="I16" s="455" t="n"/>
      <c r="J16" s="456" t="n"/>
      <c r="K16" s="456" t="n"/>
      <c r="L16" s="457">
        <f>IF(B16="","",IF(OR(I16="",J16=""),"",I16*J16+IF(K16="",0,K16)))</f>
        <v/>
      </c>
      <c r="M16" s="456" t="n"/>
      <c r="N16" s="457">
        <f>IF(L16="","",MAX(0,L16-IF(M16="",0,M16)))</f>
        <v/>
      </c>
      <c r="O16" s="455" t="n"/>
      <c r="P16" s="457">
        <f>IF(OR(N16="",O16&lt;=0),"",ROUND(N16/O16,0))</f>
        <v/>
      </c>
      <c r="Q16" s="458">
        <f>IF(OR(H16="",O16&lt;=0),"",EOMONTH(H16,O16-1))</f>
        <v/>
      </c>
      <c r="R16" s="331" t="n"/>
      <c r="S16" s="331" t="n"/>
      <c r="T16" s="331" t="n"/>
      <c r="U16" s="456" t="n"/>
      <c r="V16" s="457">
        <f>IF($AO16&lt;&gt;"OK",0,IF(AND(DATE('Thiết lập'!$B$4,1,1)&gt;=DATE(YEAR($H16),MONTH($H16),1),DATE('Thiết lập'!$B$4,1,1)&lt;EDATE(DATE(YEAR($H16),MONTH($H16),1),$O16)),MIN($P16,MAX(0,$N16-$U16-0)),0))</f>
        <v/>
      </c>
      <c r="W16" s="457">
        <f>IF($AO16&lt;&gt;"OK",0,IF(AND(DATE('Thiết lập'!$B$4,2,1)&gt;=DATE(YEAR($H16),MONTH($H16),1),DATE('Thiết lập'!$B$4,2,1)&lt;EDATE(DATE(YEAR($H16),MONTH($H16),1),$O16)),MIN($P16,MAX(0,$N16-$U16-SUM($V16:V16))),0))</f>
        <v/>
      </c>
      <c r="X16" s="457">
        <f>IF($AO16&lt;&gt;"OK",0,IF(AND(DATE('Thiết lập'!$B$4,3,1)&gt;=DATE(YEAR($H16),MONTH($H16),1),DATE('Thiết lập'!$B$4,3,1)&lt;EDATE(DATE(YEAR($H16),MONTH($H16),1),$O16)),MIN($P16,MAX(0,$N16-$U16-SUM($V16:W16))),0))</f>
        <v/>
      </c>
      <c r="Y16" s="457">
        <f>IF($AO16&lt;&gt;"OK",0,IF(AND(DATE('Thiết lập'!$B$4,4,1)&gt;=DATE(YEAR($H16),MONTH($H16),1),DATE('Thiết lập'!$B$4,4,1)&lt;EDATE(DATE(YEAR($H16),MONTH($H16),1),$O16)),MIN($P16,MAX(0,$N16-$U16-SUM($V16:X16))),0))</f>
        <v/>
      </c>
      <c r="Z16" s="457">
        <f>IF($AO16&lt;&gt;"OK",0,IF(AND(DATE('Thiết lập'!$B$4,5,1)&gt;=DATE(YEAR($H16),MONTH($H16),1),DATE('Thiết lập'!$B$4,5,1)&lt;EDATE(DATE(YEAR($H16),MONTH($H16),1),$O16)),MIN($P16,MAX(0,$N16-$U16-SUM($V16:Y16))),0))</f>
        <v/>
      </c>
      <c r="AA16" s="457">
        <f>IF($AO16&lt;&gt;"OK",0,IF(AND(DATE('Thiết lập'!$B$4,6,1)&gt;=DATE(YEAR($H16),MONTH($H16),1),DATE('Thiết lập'!$B$4,6,1)&lt;EDATE(DATE(YEAR($H16),MONTH($H16),1),$O16)),MIN($P16,MAX(0,$N16-$U16-SUM($V16:Z16))),0))</f>
        <v/>
      </c>
      <c r="AB16" s="457">
        <f>IF($AO16&lt;&gt;"OK",0,IF(AND(DATE('Thiết lập'!$B$4,7,1)&gt;=DATE(YEAR($H16),MONTH($H16),1),DATE('Thiết lập'!$B$4,7,1)&lt;EDATE(DATE(YEAR($H16),MONTH($H16),1),$O16)),MIN($P16,MAX(0,$N16-$U16-SUM($V16:AA16))),0))</f>
        <v/>
      </c>
      <c r="AC16" s="457">
        <f>IF($AO16&lt;&gt;"OK",0,IF(AND(DATE('Thiết lập'!$B$4,8,1)&gt;=DATE(YEAR($H16),MONTH($H16),1),DATE('Thiết lập'!$B$4,8,1)&lt;EDATE(DATE(YEAR($H16),MONTH($H16),1),$O16)),MIN($P16,MAX(0,$N16-$U16-SUM($V16:AB16))),0))</f>
        <v/>
      </c>
      <c r="AD16" s="457">
        <f>IF($AO16&lt;&gt;"OK",0,IF(AND(DATE('Thiết lập'!$B$4,9,1)&gt;=DATE(YEAR($H16),MONTH($H16),1),DATE('Thiết lập'!$B$4,9,1)&lt;EDATE(DATE(YEAR($H16),MONTH($H16),1),$O16)),MIN($P16,MAX(0,$N16-$U16-SUM($V16:AC16))),0))</f>
        <v/>
      </c>
      <c r="AE16" s="457">
        <f>IF($AO16&lt;&gt;"OK",0,IF(AND(DATE('Thiết lập'!$B$4,10,1)&gt;=DATE(YEAR($H16),MONTH($H16),1),DATE('Thiết lập'!$B$4,10,1)&lt;EDATE(DATE(YEAR($H16),MONTH($H16),1),$O16)),MIN($P16,MAX(0,$N16-$U16-SUM($V16:AD16))),0))</f>
        <v/>
      </c>
      <c r="AF16" s="457">
        <f>IF($AO16&lt;&gt;"OK",0,IF(AND(DATE('Thiết lập'!$B$4,11,1)&gt;=DATE(YEAR($H16),MONTH($H16),1),DATE('Thiết lập'!$B$4,11,1)&lt;EDATE(DATE(YEAR($H16),MONTH($H16),1),$O16)),MIN($P16,MAX(0,$N16-$U16-SUM($V16:AE16))),0))</f>
        <v/>
      </c>
      <c r="AG16" s="457">
        <f>IF($AO16&lt;&gt;"OK",0,IF(AND(DATE('Thiết lập'!$B$4,12,1)&gt;=DATE(YEAR($H16),MONTH($H16),1),DATE('Thiết lập'!$B$4,12,1)&lt;EDATE(DATE(YEAR($H16),MONTH($H16),1),$O16)),MIN($P16,MAX(0,$N16-$U16-SUM($V16:AF16))),0))</f>
        <v/>
      </c>
      <c r="AH16" s="457">
        <f>IF(B16="","",SUM(V16:AG16))</f>
        <v/>
      </c>
      <c r="AI16" s="457">
        <f>IF(B16="","",MIN(N16,IF(U16="",0,U16)+AH16))</f>
        <v/>
      </c>
      <c r="AJ16" s="457">
        <f>IF(B16="","",MAX(0,L16-AI16))</f>
        <v/>
      </c>
      <c r="AK16" s="337">
        <f>IF(B16="","",IF(H16&gt;'Thiết lập'!$B$5,"Chưa khấu hao",IF(AJ16&lt;=IF(M16="",0,M16),"Đã hết khấu hao","Đang khấu hao")))</f>
        <v/>
      </c>
      <c r="AL16" s="275" t="n"/>
      <c r="AM16" s="275" t="n"/>
      <c r="AN16" s="275" t="n"/>
      <c r="AO16" s="343">
        <f>IF(B16="","",IF(COUNTIF($B$7:$B$306,B16)&gt;1,"Trùng mã TSCĐ",IF(C16="","Thiếu tên TSCĐ",IF(H16="","Thiếu ngày bắt đầu",IF(OR(I16&lt;=0,L16&lt;=0,O16&lt;=0),"Kiểm tra số lượng/nguyên giá/thời gian",IF(AND(G16&lt;&gt;"",H16&lt;G16),"Ngày KH trước ngày ghi tăng",IF(M16&gt;L16,"Giá trị thu hồi vượt nguyên giá",IF(IF(U16="",0,U16)&gt;N16,"Lũy kế đầu năm vượt GTKH","OK"))))))))</f>
        <v/>
      </c>
    </row>
    <row r="17" ht="20" customHeight="1" s="389">
      <c r="A17" s="325">
        <f>IF(B17="","",ROW()-6)</f>
        <v/>
      </c>
      <c r="B17" s="275" t="n"/>
      <c r="C17" s="275" t="n"/>
      <c r="D17" s="331" t="n"/>
      <c r="E17" s="331" t="n"/>
      <c r="F17" s="454" t="n"/>
      <c r="G17" s="454" t="n"/>
      <c r="H17" s="454" t="n"/>
      <c r="I17" s="455" t="n"/>
      <c r="J17" s="456" t="n"/>
      <c r="K17" s="456" t="n"/>
      <c r="L17" s="457">
        <f>IF(B17="","",IF(OR(I17="",J17=""),"",I17*J17+IF(K17="",0,K17)))</f>
        <v/>
      </c>
      <c r="M17" s="456" t="n"/>
      <c r="N17" s="457">
        <f>IF(L17="","",MAX(0,L17-IF(M17="",0,M17)))</f>
        <v/>
      </c>
      <c r="O17" s="455" t="n"/>
      <c r="P17" s="457">
        <f>IF(OR(N17="",O17&lt;=0),"",ROUND(N17/O17,0))</f>
        <v/>
      </c>
      <c r="Q17" s="458">
        <f>IF(OR(H17="",O17&lt;=0),"",EOMONTH(H17,O17-1))</f>
        <v/>
      </c>
      <c r="R17" s="331" t="n"/>
      <c r="S17" s="331" t="n"/>
      <c r="T17" s="331" t="n"/>
      <c r="U17" s="456" t="n"/>
      <c r="V17" s="457">
        <f>IF($AO17&lt;&gt;"OK",0,IF(AND(DATE('Thiết lập'!$B$4,1,1)&gt;=DATE(YEAR($H17),MONTH($H17),1),DATE('Thiết lập'!$B$4,1,1)&lt;EDATE(DATE(YEAR($H17),MONTH($H17),1),$O17)),MIN($P17,MAX(0,$N17-$U17-0)),0))</f>
        <v/>
      </c>
      <c r="W17" s="457">
        <f>IF($AO17&lt;&gt;"OK",0,IF(AND(DATE('Thiết lập'!$B$4,2,1)&gt;=DATE(YEAR($H17),MONTH($H17),1),DATE('Thiết lập'!$B$4,2,1)&lt;EDATE(DATE(YEAR($H17),MONTH($H17),1),$O17)),MIN($P17,MAX(0,$N17-$U17-SUM($V17:V17))),0))</f>
        <v/>
      </c>
      <c r="X17" s="457">
        <f>IF($AO17&lt;&gt;"OK",0,IF(AND(DATE('Thiết lập'!$B$4,3,1)&gt;=DATE(YEAR($H17),MONTH($H17),1),DATE('Thiết lập'!$B$4,3,1)&lt;EDATE(DATE(YEAR($H17),MONTH($H17),1),$O17)),MIN($P17,MAX(0,$N17-$U17-SUM($V17:W17))),0))</f>
        <v/>
      </c>
      <c r="Y17" s="457">
        <f>IF($AO17&lt;&gt;"OK",0,IF(AND(DATE('Thiết lập'!$B$4,4,1)&gt;=DATE(YEAR($H17),MONTH($H17),1),DATE('Thiết lập'!$B$4,4,1)&lt;EDATE(DATE(YEAR($H17),MONTH($H17),1),$O17)),MIN($P17,MAX(0,$N17-$U17-SUM($V17:X17))),0))</f>
        <v/>
      </c>
      <c r="Z17" s="457">
        <f>IF($AO17&lt;&gt;"OK",0,IF(AND(DATE('Thiết lập'!$B$4,5,1)&gt;=DATE(YEAR($H17),MONTH($H17),1),DATE('Thiết lập'!$B$4,5,1)&lt;EDATE(DATE(YEAR($H17),MONTH($H17),1),$O17)),MIN($P17,MAX(0,$N17-$U17-SUM($V17:Y17))),0))</f>
        <v/>
      </c>
      <c r="AA17" s="457">
        <f>IF($AO17&lt;&gt;"OK",0,IF(AND(DATE('Thiết lập'!$B$4,6,1)&gt;=DATE(YEAR($H17),MONTH($H17),1),DATE('Thiết lập'!$B$4,6,1)&lt;EDATE(DATE(YEAR($H17),MONTH($H17),1),$O17)),MIN($P17,MAX(0,$N17-$U17-SUM($V17:Z17))),0))</f>
        <v/>
      </c>
      <c r="AB17" s="457">
        <f>IF($AO17&lt;&gt;"OK",0,IF(AND(DATE('Thiết lập'!$B$4,7,1)&gt;=DATE(YEAR($H17),MONTH($H17),1),DATE('Thiết lập'!$B$4,7,1)&lt;EDATE(DATE(YEAR($H17),MONTH($H17),1),$O17)),MIN($P17,MAX(0,$N17-$U17-SUM($V17:AA17))),0))</f>
        <v/>
      </c>
      <c r="AC17" s="457">
        <f>IF($AO17&lt;&gt;"OK",0,IF(AND(DATE('Thiết lập'!$B$4,8,1)&gt;=DATE(YEAR($H17),MONTH($H17),1),DATE('Thiết lập'!$B$4,8,1)&lt;EDATE(DATE(YEAR($H17),MONTH($H17),1),$O17)),MIN($P17,MAX(0,$N17-$U17-SUM($V17:AB17))),0))</f>
        <v/>
      </c>
      <c r="AD17" s="457">
        <f>IF($AO17&lt;&gt;"OK",0,IF(AND(DATE('Thiết lập'!$B$4,9,1)&gt;=DATE(YEAR($H17),MONTH($H17),1),DATE('Thiết lập'!$B$4,9,1)&lt;EDATE(DATE(YEAR($H17),MONTH($H17),1),$O17)),MIN($P17,MAX(0,$N17-$U17-SUM($V17:AC17))),0))</f>
        <v/>
      </c>
      <c r="AE17" s="457">
        <f>IF($AO17&lt;&gt;"OK",0,IF(AND(DATE('Thiết lập'!$B$4,10,1)&gt;=DATE(YEAR($H17),MONTH($H17),1),DATE('Thiết lập'!$B$4,10,1)&lt;EDATE(DATE(YEAR($H17),MONTH($H17),1),$O17)),MIN($P17,MAX(0,$N17-$U17-SUM($V17:AD17))),0))</f>
        <v/>
      </c>
      <c r="AF17" s="457">
        <f>IF($AO17&lt;&gt;"OK",0,IF(AND(DATE('Thiết lập'!$B$4,11,1)&gt;=DATE(YEAR($H17),MONTH($H17),1),DATE('Thiết lập'!$B$4,11,1)&lt;EDATE(DATE(YEAR($H17),MONTH($H17),1),$O17)),MIN($P17,MAX(0,$N17-$U17-SUM($V17:AE17))),0))</f>
        <v/>
      </c>
      <c r="AG17" s="457">
        <f>IF($AO17&lt;&gt;"OK",0,IF(AND(DATE('Thiết lập'!$B$4,12,1)&gt;=DATE(YEAR($H17),MONTH($H17),1),DATE('Thiết lập'!$B$4,12,1)&lt;EDATE(DATE(YEAR($H17),MONTH($H17),1),$O17)),MIN($P17,MAX(0,$N17-$U17-SUM($V17:AF17))),0))</f>
        <v/>
      </c>
      <c r="AH17" s="457">
        <f>IF(B17="","",SUM(V17:AG17))</f>
        <v/>
      </c>
      <c r="AI17" s="457">
        <f>IF(B17="","",MIN(N17,IF(U17="",0,U17)+AH17))</f>
        <v/>
      </c>
      <c r="AJ17" s="457">
        <f>IF(B17="","",MAX(0,L17-AI17))</f>
        <v/>
      </c>
      <c r="AK17" s="337">
        <f>IF(B17="","",IF(H17&gt;'Thiết lập'!$B$5,"Chưa khấu hao",IF(AJ17&lt;=IF(M17="",0,M17),"Đã hết khấu hao","Đang khấu hao")))</f>
        <v/>
      </c>
      <c r="AL17" s="275" t="n"/>
      <c r="AM17" s="275" t="n"/>
      <c r="AN17" s="275" t="n"/>
      <c r="AO17" s="343">
        <f>IF(B17="","",IF(COUNTIF($B$7:$B$306,B17)&gt;1,"Trùng mã TSCĐ",IF(C17="","Thiếu tên TSCĐ",IF(H17="","Thiếu ngày bắt đầu",IF(OR(I17&lt;=0,L17&lt;=0,O17&lt;=0),"Kiểm tra số lượng/nguyên giá/thời gian",IF(AND(G17&lt;&gt;"",H17&lt;G17),"Ngày KH trước ngày ghi tăng",IF(M17&gt;L17,"Giá trị thu hồi vượt nguyên giá",IF(IF(U17="",0,U17)&gt;N17,"Lũy kế đầu năm vượt GTKH","OK"))))))))</f>
        <v/>
      </c>
    </row>
    <row r="18" ht="20" customHeight="1" s="389">
      <c r="A18" s="325">
        <f>IF(B18="","",ROW()-6)</f>
        <v/>
      </c>
      <c r="B18" s="275" t="n"/>
      <c r="C18" s="275" t="n"/>
      <c r="D18" s="331" t="n"/>
      <c r="E18" s="331" t="n"/>
      <c r="F18" s="454" t="n"/>
      <c r="G18" s="454" t="n"/>
      <c r="H18" s="454" t="n"/>
      <c r="I18" s="455" t="n"/>
      <c r="J18" s="456" t="n"/>
      <c r="K18" s="456" t="n"/>
      <c r="L18" s="457">
        <f>IF(B18="","",IF(OR(I18="",J18=""),"",I18*J18+IF(K18="",0,K18)))</f>
        <v/>
      </c>
      <c r="M18" s="456" t="n"/>
      <c r="N18" s="457">
        <f>IF(L18="","",MAX(0,L18-IF(M18="",0,M18)))</f>
        <v/>
      </c>
      <c r="O18" s="455" t="n"/>
      <c r="P18" s="457">
        <f>IF(OR(N18="",O18&lt;=0),"",ROUND(N18/O18,0))</f>
        <v/>
      </c>
      <c r="Q18" s="458">
        <f>IF(OR(H18="",O18&lt;=0),"",EOMONTH(H18,O18-1))</f>
        <v/>
      </c>
      <c r="R18" s="331" t="n"/>
      <c r="S18" s="331" t="n"/>
      <c r="T18" s="331" t="n"/>
      <c r="U18" s="456" t="n"/>
      <c r="V18" s="457">
        <f>IF($AO18&lt;&gt;"OK",0,IF(AND(DATE('Thiết lập'!$B$4,1,1)&gt;=DATE(YEAR($H18),MONTH($H18),1),DATE('Thiết lập'!$B$4,1,1)&lt;EDATE(DATE(YEAR($H18),MONTH($H18),1),$O18)),MIN($P18,MAX(0,$N18-$U18-0)),0))</f>
        <v/>
      </c>
      <c r="W18" s="457">
        <f>IF($AO18&lt;&gt;"OK",0,IF(AND(DATE('Thiết lập'!$B$4,2,1)&gt;=DATE(YEAR($H18),MONTH($H18),1),DATE('Thiết lập'!$B$4,2,1)&lt;EDATE(DATE(YEAR($H18),MONTH($H18),1),$O18)),MIN($P18,MAX(0,$N18-$U18-SUM($V18:V18))),0))</f>
        <v/>
      </c>
      <c r="X18" s="457">
        <f>IF($AO18&lt;&gt;"OK",0,IF(AND(DATE('Thiết lập'!$B$4,3,1)&gt;=DATE(YEAR($H18),MONTH($H18),1),DATE('Thiết lập'!$B$4,3,1)&lt;EDATE(DATE(YEAR($H18),MONTH($H18),1),$O18)),MIN($P18,MAX(0,$N18-$U18-SUM($V18:W18))),0))</f>
        <v/>
      </c>
      <c r="Y18" s="457">
        <f>IF($AO18&lt;&gt;"OK",0,IF(AND(DATE('Thiết lập'!$B$4,4,1)&gt;=DATE(YEAR($H18),MONTH($H18),1),DATE('Thiết lập'!$B$4,4,1)&lt;EDATE(DATE(YEAR($H18),MONTH($H18),1),$O18)),MIN($P18,MAX(0,$N18-$U18-SUM($V18:X18))),0))</f>
        <v/>
      </c>
      <c r="Z18" s="457">
        <f>IF($AO18&lt;&gt;"OK",0,IF(AND(DATE('Thiết lập'!$B$4,5,1)&gt;=DATE(YEAR($H18),MONTH($H18),1),DATE('Thiết lập'!$B$4,5,1)&lt;EDATE(DATE(YEAR($H18),MONTH($H18),1),$O18)),MIN($P18,MAX(0,$N18-$U18-SUM($V18:Y18))),0))</f>
        <v/>
      </c>
      <c r="AA18" s="457">
        <f>IF($AO18&lt;&gt;"OK",0,IF(AND(DATE('Thiết lập'!$B$4,6,1)&gt;=DATE(YEAR($H18),MONTH($H18),1),DATE('Thiết lập'!$B$4,6,1)&lt;EDATE(DATE(YEAR($H18),MONTH($H18),1),$O18)),MIN($P18,MAX(0,$N18-$U18-SUM($V18:Z18))),0))</f>
        <v/>
      </c>
      <c r="AB18" s="457">
        <f>IF($AO18&lt;&gt;"OK",0,IF(AND(DATE('Thiết lập'!$B$4,7,1)&gt;=DATE(YEAR($H18),MONTH($H18),1),DATE('Thiết lập'!$B$4,7,1)&lt;EDATE(DATE(YEAR($H18),MONTH($H18),1),$O18)),MIN($P18,MAX(0,$N18-$U18-SUM($V18:AA18))),0))</f>
        <v/>
      </c>
      <c r="AC18" s="457">
        <f>IF($AO18&lt;&gt;"OK",0,IF(AND(DATE('Thiết lập'!$B$4,8,1)&gt;=DATE(YEAR($H18),MONTH($H18),1),DATE('Thiết lập'!$B$4,8,1)&lt;EDATE(DATE(YEAR($H18),MONTH($H18),1),$O18)),MIN($P18,MAX(0,$N18-$U18-SUM($V18:AB18))),0))</f>
        <v/>
      </c>
      <c r="AD18" s="457">
        <f>IF($AO18&lt;&gt;"OK",0,IF(AND(DATE('Thiết lập'!$B$4,9,1)&gt;=DATE(YEAR($H18),MONTH($H18),1),DATE('Thiết lập'!$B$4,9,1)&lt;EDATE(DATE(YEAR($H18),MONTH($H18),1),$O18)),MIN($P18,MAX(0,$N18-$U18-SUM($V18:AC18))),0))</f>
        <v/>
      </c>
      <c r="AE18" s="457">
        <f>IF($AO18&lt;&gt;"OK",0,IF(AND(DATE('Thiết lập'!$B$4,10,1)&gt;=DATE(YEAR($H18),MONTH($H18),1),DATE('Thiết lập'!$B$4,10,1)&lt;EDATE(DATE(YEAR($H18),MONTH($H18),1),$O18)),MIN($P18,MAX(0,$N18-$U18-SUM($V18:AD18))),0))</f>
        <v/>
      </c>
      <c r="AF18" s="457">
        <f>IF($AO18&lt;&gt;"OK",0,IF(AND(DATE('Thiết lập'!$B$4,11,1)&gt;=DATE(YEAR($H18),MONTH($H18),1),DATE('Thiết lập'!$B$4,11,1)&lt;EDATE(DATE(YEAR($H18),MONTH($H18),1),$O18)),MIN($P18,MAX(0,$N18-$U18-SUM($V18:AE18))),0))</f>
        <v/>
      </c>
      <c r="AG18" s="457">
        <f>IF($AO18&lt;&gt;"OK",0,IF(AND(DATE('Thiết lập'!$B$4,12,1)&gt;=DATE(YEAR($H18),MONTH($H18),1),DATE('Thiết lập'!$B$4,12,1)&lt;EDATE(DATE(YEAR($H18),MONTH($H18),1),$O18)),MIN($P18,MAX(0,$N18-$U18-SUM($V18:AF18))),0))</f>
        <v/>
      </c>
      <c r="AH18" s="457">
        <f>IF(B18="","",SUM(V18:AG18))</f>
        <v/>
      </c>
      <c r="AI18" s="457">
        <f>IF(B18="","",MIN(N18,IF(U18="",0,U18)+AH18))</f>
        <v/>
      </c>
      <c r="AJ18" s="457">
        <f>IF(B18="","",MAX(0,L18-AI18))</f>
        <v/>
      </c>
      <c r="AK18" s="337">
        <f>IF(B18="","",IF(H18&gt;'Thiết lập'!$B$5,"Chưa khấu hao",IF(AJ18&lt;=IF(M18="",0,M18),"Đã hết khấu hao","Đang khấu hao")))</f>
        <v/>
      </c>
      <c r="AL18" s="275" t="n"/>
      <c r="AM18" s="275" t="n"/>
      <c r="AN18" s="275" t="n"/>
      <c r="AO18" s="343">
        <f>IF(B18="","",IF(COUNTIF($B$7:$B$306,B18)&gt;1,"Trùng mã TSCĐ",IF(C18="","Thiếu tên TSCĐ",IF(H18="","Thiếu ngày bắt đầu",IF(OR(I18&lt;=0,L18&lt;=0,O18&lt;=0),"Kiểm tra số lượng/nguyên giá/thời gian",IF(AND(G18&lt;&gt;"",H18&lt;G18),"Ngày KH trước ngày ghi tăng",IF(M18&gt;L18,"Giá trị thu hồi vượt nguyên giá",IF(IF(U18="",0,U18)&gt;N18,"Lũy kế đầu năm vượt GTKH","OK"))))))))</f>
        <v/>
      </c>
    </row>
    <row r="19" ht="20" customHeight="1" s="389">
      <c r="A19" s="325">
        <f>IF(B19="","",ROW()-6)</f>
        <v/>
      </c>
      <c r="B19" s="275" t="n"/>
      <c r="C19" s="275" t="n"/>
      <c r="D19" s="331" t="n"/>
      <c r="E19" s="331" t="n"/>
      <c r="F19" s="454" t="n"/>
      <c r="G19" s="454" t="n"/>
      <c r="H19" s="454" t="n"/>
      <c r="I19" s="455" t="n"/>
      <c r="J19" s="456" t="n"/>
      <c r="K19" s="456" t="n"/>
      <c r="L19" s="457">
        <f>IF(B19="","",IF(OR(I19="",J19=""),"",I19*J19+IF(K19="",0,K19)))</f>
        <v/>
      </c>
      <c r="M19" s="456" t="n"/>
      <c r="N19" s="457">
        <f>IF(L19="","",MAX(0,L19-IF(M19="",0,M19)))</f>
        <v/>
      </c>
      <c r="O19" s="455" t="n"/>
      <c r="P19" s="457">
        <f>IF(OR(N19="",O19&lt;=0),"",ROUND(N19/O19,0))</f>
        <v/>
      </c>
      <c r="Q19" s="458">
        <f>IF(OR(H19="",O19&lt;=0),"",EOMONTH(H19,O19-1))</f>
        <v/>
      </c>
      <c r="R19" s="331" t="n"/>
      <c r="S19" s="331" t="n"/>
      <c r="T19" s="331" t="n"/>
      <c r="U19" s="456" t="n"/>
      <c r="V19" s="457">
        <f>IF($AO19&lt;&gt;"OK",0,IF(AND(DATE('Thiết lập'!$B$4,1,1)&gt;=DATE(YEAR($H19),MONTH($H19),1),DATE('Thiết lập'!$B$4,1,1)&lt;EDATE(DATE(YEAR($H19),MONTH($H19),1),$O19)),MIN($P19,MAX(0,$N19-$U19-0)),0))</f>
        <v/>
      </c>
      <c r="W19" s="457">
        <f>IF($AO19&lt;&gt;"OK",0,IF(AND(DATE('Thiết lập'!$B$4,2,1)&gt;=DATE(YEAR($H19),MONTH($H19),1),DATE('Thiết lập'!$B$4,2,1)&lt;EDATE(DATE(YEAR($H19),MONTH($H19),1),$O19)),MIN($P19,MAX(0,$N19-$U19-SUM($V19:V19))),0))</f>
        <v/>
      </c>
      <c r="X19" s="457">
        <f>IF($AO19&lt;&gt;"OK",0,IF(AND(DATE('Thiết lập'!$B$4,3,1)&gt;=DATE(YEAR($H19),MONTH($H19),1),DATE('Thiết lập'!$B$4,3,1)&lt;EDATE(DATE(YEAR($H19),MONTH($H19),1),$O19)),MIN($P19,MAX(0,$N19-$U19-SUM($V19:W19))),0))</f>
        <v/>
      </c>
      <c r="Y19" s="457">
        <f>IF($AO19&lt;&gt;"OK",0,IF(AND(DATE('Thiết lập'!$B$4,4,1)&gt;=DATE(YEAR($H19),MONTH($H19),1),DATE('Thiết lập'!$B$4,4,1)&lt;EDATE(DATE(YEAR($H19),MONTH($H19),1),$O19)),MIN($P19,MAX(0,$N19-$U19-SUM($V19:X19))),0))</f>
        <v/>
      </c>
      <c r="Z19" s="457">
        <f>IF($AO19&lt;&gt;"OK",0,IF(AND(DATE('Thiết lập'!$B$4,5,1)&gt;=DATE(YEAR($H19),MONTH($H19),1),DATE('Thiết lập'!$B$4,5,1)&lt;EDATE(DATE(YEAR($H19),MONTH($H19),1),$O19)),MIN($P19,MAX(0,$N19-$U19-SUM($V19:Y19))),0))</f>
        <v/>
      </c>
      <c r="AA19" s="457">
        <f>IF($AO19&lt;&gt;"OK",0,IF(AND(DATE('Thiết lập'!$B$4,6,1)&gt;=DATE(YEAR($H19),MONTH($H19),1),DATE('Thiết lập'!$B$4,6,1)&lt;EDATE(DATE(YEAR($H19),MONTH($H19),1),$O19)),MIN($P19,MAX(0,$N19-$U19-SUM($V19:Z19))),0))</f>
        <v/>
      </c>
      <c r="AB19" s="457">
        <f>IF($AO19&lt;&gt;"OK",0,IF(AND(DATE('Thiết lập'!$B$4,7,1)&gt;=DATE(YEAR($H19),MONTH($H19),1),DATE('Thiết lập'!$B$4,7,1)&lt;EDATE(DATE(YEAR($H19),MONTH($H19),1),$O19)),MIN($P19,MAX(0,$N19-$U19-SUM($V19:AA19))),0))</f>
        <v/>
      </c>
      <c r="AC19" s="457">
        <f>IF($AO19&lt;&gt;"OK",0,IF(AND(DATE('Thiết lập'!$B$4,8,1)&gt;=DATE(YEAR($H19),MONTH($H19),1),DATE('Thiết lập'!$B$4,8,1)&lt;EDATE(DATE(YEAR($H19),MONTH($H19),1),$O19)),MIN($P19,MAX(0,$N19-$U19-SUM($V19:AB19))),0))</f>
        <v/>
      </c>
      <c r="AD19" s="457">
        <f>IF($AO19&lt;&gt;"OK",0,IF(AND(DATE('Thiết lập'!$B$4,9,1)&gt;=DATE(YEAR($H19),MONTH($H19),1),DATE('Thiết lập'!$B$4,9,1)&lt;EDATE(DATE(YEAR($H19),MONTH($H19),1),$O19)),MIN($P19,MAX(0,$N19-$U19-SUM($V19:AC19))),0))</f>
        <v/>
      </c>
      <c r="AE19" s="457">
        <f>IF($AO19&lt;&gt;"OK",0,IF(AND(DATE('Thiết lập'!$B$4,10,1)&gt;=DATE(YEAR($H19),MONTH($H19),1),DATE('Thiết lập'!$B$4,10,1)&lt;EDATE(DATE(YEAR($H19),MONTH($H19),1),$O19)),MIN($P19,MAX(0,$N19-$U19-SUM($V19:AD19))),0))</f>
        <v/>
      </c>
      <c r="AF19" s="457">
        <f>IF($AO19&lt;&gt;"OK",0,IF(AND(DATE('Thiết lập'!$B$4,11,1)&gt;=DATE(YEAR($H19),MONTH($H19),1),DATE('Thiết lập'!$B$4,11,1)&lt;EDATE(DATE(YEAR($H19),MONTH($H19),1),$O19)),MIN($P19,MAX(0,$N19-$U19-SUM($V19:AE19))),0))</f>
        <v/>
      </c>
      <c r="AG19" s="457">
        <f>IF($AO19&lt;&gt;"OK",0,IF(AND(DATE('Thiết lập'!$B$4,12,1)&gt;=DATE(YEAR($H19),MONTH($H19),1),DATE('Thiết lập'!$B$4,12,1)&lt;EDATE(DATE(YEAR($H19),MONTH($H19),1),$O19)),MIN($P19,MAX(0,$N19-$U19-SUM($V19:AF19))),0))</f>
        <v/>
      </c>
      <c r="AH19" s="457">
        <f>IF(B19="","",SUM(V19:AG19))</f>
        <v/>
      </c>
      <c r="AI19" s="457">
        <f>IF(B19="","",MIN(N19,IF(U19="",0,U19)+AH19))</f>
        <v/>
      </c>
      <c r="AJ19" s="457">
        <f>IF(B19="","",MAX(0,L19-AI19))</f>
        <v/>
      </c>
      <c r="AK19" s="337">
        <f>IF(B19="","",IF(H19&gt;'Thiết lập'!$B$5,"Chưa khấu hao",IF(AJ19&lt;=IF(M19="",0,M19),"Đã hết khấu hao","Đang khấu hao")))</f>
        <v/>
      </c>
      <c r="AL19" s="275" t="n"/>
      <c r="AM19" s="275" t="n"/>
      <c r="AN19" s="275" t="n"/>
      <c r="AO19" s="343">
        <f>IF(B19="","",IF(COUNTIF($B$7:$B$306,B19)&gt;1,"Trùng mã TSCĐ",IF(C19="","Thiếu tên TSCĐ",IF(H19="","Thiếu ngày bắt đầu",IF(OR(I19&lt;=0,L19&lt;=0,O19&lt;=0),"Kiểm tra số lượng/nguyên giá/thời gian",IF(AND(G19&lt;&gt;"",H19&lt;G19),"Ngày KH trước ngày ghi tăng",IF(M19&gt;L19,"Giá trị thu hồi vượt nguyên giá",IF(IF(U19="",0,U19)&gt;N19,"Lũy kế đầu năm vượt GTKH","OK"))))))))</f>
        <v/>
      </c>
    </row>
    <row r="20" ht="20" customHeight="1" s="389">
      <c r="A20" s="325">
        <f>IF(B20="","",ROW()-6)</f>
        <v/>
      </c>
      <c r="B20" s="275" t="n"/>
      <c r="C20" s="275" t="n"/>
      <c r="D20" s="331" t="n"/>
      <c r="E20" s="331" t="n"/>
      <c r="F20" s="454" t="n"/>
      <c r="G20" s="454" t="n"/>
      <c r="H20" s="454" t="n"/>
      <c r="I20" s="455" t="n"/>
      <c r="J20" s="456" t="n"/>
      <c r="K20" s="456" t="n"/>
      <c r="L20" s="457">
        <f>IF(B20="","",IF(OR(I20="",J20=""),"",I20*J20+IF(K20="",0,K20)))</f>
        <v/>
      </c>
      <c r="M20" s="456" t="n"/>
      <c r="N20" s="457">
        <f>IF(L20="","",MAX(0,L20-IF(M20="",0,M20)))</f>
        <v/>
      </c>
      <c r="O20" s="455" t="n"/>
      <c r="P20" s="457">
        <f>IF(OR(N20="",O20&lt;=0),"",ROUND(N20/O20,0))</f>
        <v/>
      </c>
      <c r="Q20" s="458">
        <f>IF(OR(H20="",O20&lt;=0),"",EOMONTH(H20,O20-1))</f>
        <v/>
      </c>
      <c r="R20" s="331" t="n"/>
      <c r="S20" s="331" t="n"/>
      <c r="T20" s="331" t="n"/>
      <c r="U20" s="456" t="n"/>
      <c r="V20" s="457">
        <f>IF($AO20&lt;&gt;"OK",0,IF(AND(DATE('Thiết lập'!$B$4,1,1)&gt;=DATE(YEAR($H20),MONTH($H20),1),DATE('Thiết lập'!$B$4,1,1)&lt;EDATE(DATE(YEAR($H20),MONTH($H20),1),$O20)),MIN($P20,MAX(0,$N20-$U20-0)),0))</f>
        <v/>
      </c>
      <c r="W20" s="457">
        <f>IF($AO20&lt;&gt;"OK",0,IF(AND(DATE('Thiết lập'!$B$4,2,1)&gt;=DATE(YEAR($H20),MONTH($H20),1),DATE('Thiết lập'!$B$4,2,1)&lt;EDATE(DATE(YEAR($H20),MONTH($H20),1),$O20)),MIN($P20,MAX(0,$N20-$U20-SUM($V20:V20))),0))</f>
        <v/>
      </c>
      <c r="X20" s="457">
        <f>IF($AO20&lt;&gt;"OK",0,IF(AND(DATE('Thiết lập'!$B$4,3,1)&gt;=DATE(YEAR($H20),MONTH($H20),1),DATE('Thiết lập'!$B$4,3,1)&lt;EDATE(DATE(YEAR($H20),MONTH($H20),1),$O20)),MIN($P20,MAX(0,$N20-$U20-SUM($V20:W20))),0))</f>
        <v/>
      </c>
      <c r="Y20" s="457">
        <f>IF($AO20&lt;&gt;"OK",0,IF(AND(DATE('Thiết lập'!$B$4,4,1)&gt;=DATE(YEAR($H20),MONTH($H20),1),DATE('Thiết lập'!$B$4,4,1)&lt;EDATE(DATE(YEAR($H20),MONTH($H20),1),$O20)),MIN($P20,MAX(0,$N20-$U20-SUM($V20:X20))),0))</f>
        <v/>
      </c>
      <c r="Z20" s="457">
        <f>IF($AO20&lt;&gt;"OK",0,IF(AND(DATE('Thiết lập'!$B$4,5,1)&gt;=DATE(YEAR($H20),MONTH($H20),1),DATE('Thiết lập'!$B$4,5,1)&lt;EDATE(DATE(YEAR($H20),MONTH($H20),1),$O20)),MIN($P20,MAX(0,$N20-$U20-SUM($V20:Y20))),0))</f>
        <v/>
      </c>
      <c r="AA20" s="457">
        <f>IF($AO20&lt;&gt;"OK",0,IF(AND(DATE('Thiết lập'!$B$4,6,1)&gt;=DATE(YEAR($H20),MONTH($H20),1),DATE('Thiết lập'!$B$4,6,1)&lt;EDATE(DATE(YEAR($H20),MONTH($H20),1),$O20)),MIN($P20,MAX(0,$N20-$U20-SUM($V20:Z20))),0))</f>
        <v/>
      </c>
      <c r="AB20" s="457">
        <f>IF($AO20&lt;&gt;"OK",0,IF(AND(DATE('Thiết lập'!$B$4,7,1)&gt;=DATE(YEAR($H20),MONTH($H20),1),DATE('Thiết lập'!$B$4,7,1)&lt;EDATE(DATE(YEAR($H20),MONTH($H20),1),$O20)),MIN($P20,MAX(0,$N20-$U20-SUM($V20:AA20))),0))</f>
        <v/>
      </c>
      <c r="AC20" s="457">
        <f>IF($AO20&lt;&gt;"OK",0,IF(AND(DATE('Thiết lập'!$B$4,8,1)&gt;=DATE(YEAR($H20),MONTH($H20),1),DATE('Thiết lập'!$B$4,8,1)&lt;EDATE(DATE(YEAR($H20),MONTH($H20),1),$O20)),MIN($P20,MAX(0,$N20-$U20-SUM($V20:AB20))),0))</f>
        <v/>
      </c>
      <c r="AD20" s="457">
        <f>IF($AO20&lt;&gt;"OK",0,IF(AND(DATE('Thiết lập'!$B$4,9,1)&gt;=DATE(YEAR($H20),MONTH($H20),1),DATE('Thiết lập'!$B$4,9,1)&lt;EDATE(DATE(YEAR($H20),MONTH($H20),1),$O20)),MIN($P20,MAX(0,$N20-$U20-SUM($V20:AC20))),0))</f>
        <v/>
      </c>
      <c r="AE20" s="457">
        <f>IF($AO20&lt;&gt;"OK",0,IF(AND(DATE('Thiết lập'!$B$4,10,1)&gt;=DATE(YEAR($H20),MONTH($H20),1),DATE('Thiết lập'!$B$4,10,1)&lt;EDATE(DATE(YEAR($H20),MONTH($H20),1),$O20)),MIN($P20,MAX(0,$N20-$U20-SUM($V20:AD20))),0))</f>
        <v/>
      </c>
      <c r="AF20" s="457">
        <f>IF($AO20&lt;&gt;"OK",0,IF(AND(DATE('Thiết lập'!$B$4,11,1)&gt;=DATE(YEAR($H20),MONTH($H20),1),DATE('Thiết lập'!$B$4,11,1)&lt;EDATE(DATE(YEAR($H20),MONTH($H20),1),$O20)),MIN($P20,MAX(0,$N20-$U20-SUM($V20:AE20))),0))</f>
        <v/>
      </c>
      <c r="AG20" s="457">
        <f>IF($AO20&lt;&gt;"OK",0,IF(AND(DATE('Thiết lập'!$B$4,12,1)&gt;=DATE(YEAR($H20),MONTH($H20),1),DATE('Thiết lập'!$B$4,12,1)&lt;EDATE(DATE(YEAR($H20),MONTH($H20),1),$O20)),MIN($P20,MAX(0,$N20-$U20-SUM($V20:AF20))),0))</f>
        <v/>
      </c>
      <c r="AH20" s="457">
        <f>IF(B20="","",SUM(V20:AG20))</f>
        <v/>
      </c>
      <c r="AI20" s="457">
        <f>IF(B20="","",MIN(N20,IF(U20="",0,U20)+AH20))</f>
        <v/>
      </c>
      <c r="AJ20" s="457">
        <f>IF(B20="","",MAX(0,L20-AI20))</f>
        <v/>
      </c>
      <c r="AK20" s="337">
        <f>IF(B20="","",IF(H20&gt;'Thiết lập'!$B$5,"Chưa khấu hao",IF(AJ20&lt;=IF(M20="",0,M20),"Đã hết khấu hao","Đang khấu hao")))</f>
        <v/>
      </c>
      <c r="AL20" s="275" t="n"/>
      <c r="AM20" s="275" t="n"/>
      <c r="AN20" s="275" t="n"/>
      <c r="AO20" s="343">
        <f>IF(B20="","",IF(COUNTIF($B$7:$B$306,B20)&gt;1,"Trùng mã TSCĐ",IF(C20="","Thiếu tên TSCĐ",IF(H20="","Thiếu ngày bắt đầu",IF(OR(I20&lt;=0,L20&lt;=0,O20&lt;=0),"Kiểm tra số lượng/nguyên giá/thời gian",IF(AND(G20&lt;&gt;"",H20&lt;G20),"Ngày KH trước ngày ghi tăng",IF(M20&gt;L20,"Giá trị thu hồi vượt nguyên giá",IF(IF(U20="",0,U20)&gt;N20,"Lũy kế đầu năm vượt GTKH","OK"))))))))</f>
        <v/>
      </c>
    </row>
    <row r="21" ht="20" customHeight="1" s="389">
      <c r="A21" s="325">
        <f>IF(B21="","",ROW()-6)</f>
        <v/>
      </c>
      <c r="B21" s="275" t="n"/>
      <c r="C21" s="275" t="n"/>
      <c r="D21" s="331" t="n"/>
      <c r="E21" s="331" t="n"/>
      <c r="F21" s="454" t="n"/>
      <c r="G21" s="454" t="n"/>
      <c r="H21" s="454" t="n"/>
      <c r="I21" s="455" t="n"/>
      <c r="J21" s="456" t="n"/>
      <c r="K21" s="456" t="n"/>
      <c r="L21" s="457">
        <f>IF(B21="","",IF(OR(I21="",J21=""),"",I21*J21+IF(K21="",0,K21)))</f>
        <v/>
      </c>
      <c r="M21" s="456" t="n"/>
      <c r="N21" s="457">
        <f>IF(L21="","",MAX(0,L21-IF(M21="",0,M21)))</f>
        <v/>
      </c>
      <c r="O21" s="455" t="n"/>
      <c r="P21" s="457">
        <f>IF(OR(N21="",O21&lt;=0),"",ROUND(N21/O21,0))</f>
        <v/>
      </c>
      <c r="Q21" s="458">
        <f>IF(OR(H21="",O21&lt;=0),"",EOMONTH(H21,O21-1))</f>
        <v/>
      </c>
      <c r="R21" s="331" t="n"/>
      <c r="S21" s="331" t="n"/>
      <c r="T21" s="331" t="n"/>
      <c r="U21" s="456" t="n"/>
      <c r="V21" s="457">
        <f>IF($AO21&lt;&gt;"OK",0,IF(AND(DATE('Thiết lập'!$B$4,1,1)&gt;=DATE(YEAR($H21),MONTH($H21),1),DATE('Thiết lập'!$B$4,1,1)&lt;EDATE(DATE(YEAR($H21),MONTH($H21),1),$O21)),MIN($P21,MAX(0,$N21-$U21-0)),0))</f>
        <v/>
      </c>
      <c r="W21" s="457">
        <f>IF($AO21&lt;&gt;"OK",0,IF(AND(DATE('Thiết lập'!$B$4,2,1)&gt;=DATE(YEAR($H21),MONTH($H21),1),DATE('Thiết lập'!$B$4,2,1)&lt;EDATE(DATE(YEAR($H21),MONTH($H21),1),$O21)),MIN($P21,MAX(0,$N21-$U21-SUM($V21:V21))),0))</f>
        <v/>
      </c>
      <c r="X21" s="457">
        <f>IF($AO21&lt;&gt;"OK",0,IF(AND(DATE('Thiết lập'!$B$4,3,1)&gt;=DATE(YEAR($H21),MONTH($H21),1),DATE('Thiết lập'!$B$4,3,1)&lt;EDATE(DATE(YEAR($H21),MONTH($H21),1),$O21)),MIN($P21,MAX(0,$N21-$U21-SUM($V21:W21))),0))</f>
        <v/>
      </c>
      <c r="Y21" s="457">
        <f>IF($AO21&lt;&gt;"OK",0,IF(AND(DATE('Thiết lập'!$B$4,4,1)&gt;=DATE(YEAR($H21),MONTH($H21),1),DATE('Thiết lập'!$B$4,4,1)&lt;EDATE(DATE(YEAR($H21),MONTH($H21),1),$O21)),MIN($P21,MAX(0,$N21-$U21-SUM($V21:X21))),0))</f>
        <v/>
      </c>
      <c r="Z21" s="457">
        <f>IF($AO21&lt;&gt;"OK",0,IF(AND(DATE('Thiết lập'!$B$4,5,1)&gt;=DATE(YEAR($H21),MONTH($H21),1),DATE('Thiết lập'!$B$4,5,1)&lt;EDATE(DATE(YEAR($H21),MONTH($H21),1),$O21)),MIN($P21,MAX(0,$N21-$U21-SUM($V21:Y21))),0))</f>
        <v/>
      </c>
      <c r="AA21" s="457">
        <f>IF($AO21&lt;&gt;"OK",0,IF(AND(DATE('Thiết lập'!$B$4,6,1)&gt;=DATE(YEAR($H21),MONTH($H21),1),DATE('Thiết lập'!$B$4,6,1)&lt;EDATE(DATE(YEAR($H21),MONTH($H21),1),$O21)),MIN($P21,MAX(0,$N21-$U21-SUM($V21:Z21))),0))</f>
        <v/>
      </c>
      <c r="AB21" s="457">
        <f>IF($AO21&lt;&gt;"OK",0,IF(AND(DATE('Thiết lập'!$B$4,7,1)&gt;=DATE(YEAR($H21),MONTH($H21),1),DATE('Thiết lập'!$B$4,7,1)&lt;EDATE(DATE(YEAR($H21),MONTH($H21),1),$O21)),MIN($P21,MAX(0,$N21-$U21-SUM($V21:AA21))),0))</f>
        <v/>
      </c>
      <c r="AC21" s="457">
        <f>IF($AO21&lt;&gt;"OK",0,IF(AND(DATE('Thiết lập'!$B$4,8,1)&gt;=DATE(YEAR($H21),MONTH($H21),1),DATE('Thiết lập'!$B$4,8,1)&lt;EDATE(DATE(YEAR($H21),MONTH($H21),1),$O21)),MIN($P21,MAX(0,$N21-$U21-SUM($V21:AB21))),0))</f>
        <v/>
      </c>
      <c r="AD21" s="457">
        <f>IF($AO21&lt;&gt;"OK",0,IF(AND(DATE('Thiết lập'!$B$4,9,1)&gt;=DATE(YEAR($H21),MONTH($H21),1),DATE('Thiết lập'!$B$4,9,1)&lt;EDATE(DATE(YEAR($H21),MONTH($H21),1),$O21)),MIN($P21,MAX(0,$N21-$U21-SUM($V21:AC21))),0))</f>
        <v/>
      </c>
      <c r="AE21" s="457">
        <f>IF($AO21&lt;&gt;"OK",0,IF(AND(DATE('Thiết lập'!$B$4,10,1)&gt;=DATE(YEAR($H21),MONTH($H21),1),DATE('Thiết lập'!$B$4,10,1)&lt;EDATE(DATE(YEAR($H21),MONTH($H21),1),$O21)),MIN($P21,MAX(0,$N21-$U21-SUM($V21:AD21))),0))</f>
        <v/>
      </c>
      <c r="AF21" s="457">
        <f>IF($AO21&lt;&gt;"OK",0,IF(AND(DATE('Thiết lập'!$B$4,11,1)&gt;=DATE(YEAR($H21),MONTH($H21),1),DATE('Thiết lập'!$B$4,11,1)&lt;EDATE(DATE(YEAR($H21),MONTH($H21),1),$O21)),MIN($P21,MAX(0,$N21-$U21-SUM($V21:AE21))),0))</f>
        <v/>
      </c>
      <c r="AG21" s="457">
        <f>IF($AO21&lt;&gt;"OK",0,IF(AND(DATE('Thiết lập'!$B$4,12,1)&gt;=DATE(YEAR($H21),MONTH($H21),1),DATE('Thiết lập'!$B$4,12,1)&lt;EDATE(DATE(YEAR($H21),MONTH($H21),1),$O21)),MIN($P21,MAX(0,$N21-$U21-SUM($V21:AF21))),0))</f>
        <v/>
      </c>
      <c r="AH21" s="457">
        <f>IF(B21="","",SUM(V21:AG21))</f>
        <v/>
      </c>
      <c r="AI21" s="457">
        <f>IF(B21="","",MIN(N21,IF(U21="",0,U21)+AH21))</f>
        <v/>
      </c>
      <c r="AJ21" s="457">
        <f>IF(B21="","",MAX(0,L21-AI21))</f>
        <v/>
      </c>
      <c r="AK21" s="337">
        <f>IF(B21="","",IF(H21&gt;'Thiết lập'!$B$5,"Chưa khấu hao",IF(AJ21&lt;=IF(M21="",0,M21),"Đã hết khấu hao","Đang khấu hao")))</f>
        <v/>
      </c>
      <c r="AL21" s="275" t="n"/>
      <c r="AM21" s="275" t="n"/>
      <c r="AN21" s="275" t="n"/>
      <c r="AO21" s="343">
        <f>IF(B21="","",IF(COUNTIF($B$7:$B$306,B21)&gt;1,"Trùng mã TSCĐ",IF(C21="","Thiếu tên TSCĐ",IF(H21="","Thiếu ngày bắt đầu",IF(OR(I21&lt;=0,L21&lt;=0,O21&lt;=0),"Kiểm tra số lượng/nguyên giá/thời gian",IF(AND(G21&lt;&gt;"",H21&lt;G21),"Ngày KH trước ngày ghi tăng",IF(M21&gt;L21,"Giá trị thu hồi vượt nguyên giá",IF(IF(U21="",0,U21)&gt;N21,"Lũy kế đầu năm vượt GTKH","OK"))))))))</f>
        <v/>
      </c>
    </row>
    <row r="22" ht="20" customHeight="1" s="389">
      <c r="A22" s="325">
        <f>IF(B22="","",ROW()-6)</f>
        <v/>
      </c>
      <c r="B22" s="275" t="n"/>
      <c r="C22" s="275" t="n"/>
      <c r="D22" s="331" t="n"/>
      <c r="E22" s="331" t="n"/>
      <c r="F22" s="454" t="n"/>
      <c r="G22" s="454" t="n"/>
      <c r="H22" s="454" t="n"/>
      <c r="I22" s="455" t="n"/>
      <c r="J22" s="456" t="n"/>
      <c r="K22" s="456" t="n"/>
      <c r="L22" s="457">
        <f>IF(B22="","",IF(OR(I22="",J22=""),"",I22*J22+IF(K22="",0,K22)))</f>
        <v/>
      </c>
      <c r="M22" s="456" t="n"/>
      <c r="N22" s="457">
        <f>IF(L22="","",MAX(0,L22-IF(M22="",0,M22)))</f>
        <v/>
      </c>
      <c r="O22" s="455" t="n"/>
      <c r="P22" s="457">
        <f>IF(OR(N22="",O22&lt;=0),"",ROUND(N22/O22,0))</f>
        <v/>
      </c>
      <c r="Q22" s="458">
        <f>IF(OR(H22="",O22&lt;=0),"",EOMONTH(H22,O22-1))</f>
        <v/>
      </c>
      <c r="R22" s="331" t="n"/>
      <c r="S22" s="331" t="n"/>
      <c r="T22" s="331" t="n"/>
      <c r="U22" s="456" t="n"/>
      <c r="V22" s="457">
        <f>IF($AO22&lt;&gt;"OK",0,IF(AND(DATE('Thiết lập'!$B$4,1,1)&gt;=DATE(YEAR($H22),MONTH($H22),1),DATE('Thiết lập'!$B$4,1,1)&lt;EDATE(DATE(YEAR($H22),MONTH($H22),1),$O22)),MIN($P22,MAX(0,$N22-$U22-0)),0))</f>
        <v/>
      </c>
      <c r="W22" s="457">
        <f>IF($AO22&lt;&gt;"OK",0,IF(AND(DATE('Thiết lập'!$B$4,2,1)&gt;=DATE(YEAR($H22),MONTH($H22),1),DATE('Thiết lập'!$B$4,2,1)&lt;EDATE(DATE(YEAR($H22),MONTH($H22),1),$O22)),MIN($P22,MAX(0,$N22-$U22-SUM($V22:V22))),0))</f>
        <v/>
      </c>
      <c r="X22" s="457">
        <f>IF($AO22&lt;&gt;"OK",0,IF(AND(DATE('Thiết lập'!$B$4,3,1)&gt;=DATE(YEAR($H22),MONTH($H22),1),DATE('Thiết lập'!$B$4,3,1)&lt;EDATE(DATE(YEAR($H22),MONTH($H22),1),$O22)),MIN($P22,MAX(0,$N22-$U22-SUM($V22:W22))),0))</f>
        <v/>
      </c>
      <c r="Y22" s="457">
        <f>IF($AO22&lt;&gt;"OK",0,IF(AND(DATE('Thiết lập'!$B$4,4,1)&gt;=DATE(YEAR($H22),MONTH($H22),1),DATE('Thiết lập'!$B$4,4,1)&lt;EDATE(DATE(YEAR($H22),MONTH($H22),1),$O22)),MIN($P22,MAX(0,$N22-$U22-SUM($V22:X22))),0))</f>
        <v/>
      </c>
      <c r="Z22" s="457">
        <f>IF($AO22&lt;&gt;"OK",0,IF(AND(DATE('Thiết lập'!$B$4,5,1)&gt;=DATE(YEAR($H22),MONTH($H22),1),DATE('Thiết lập'!$B$4,5,1)&lt;EDATE(DATE(YEAR($H22),MONTH($H22),1),$O22)),MIN($P22,MAX(0,$N22-$U22-SUM($V22:Y22))),0))</f>
        <v/>
      </c>
      <c r="AA22" s="457">
        <f>IF($AO22&lt;&gt;"OK",0,IF(AND(DATE('Thiết lập'!$B$4,6,1)&gt;=DATE(YEAR($H22),MONTH($H22),1),DATE('Thiết lập'!$B$4,6,1)&lt;EDATE(DATE(YEAR($H22),MONTH($H22),1),$O22)),MIN($P22,MAX(0,$N22-$U22-SUM($V22:Z22))),0))</f>
        <v/>
      </c>
      <c r="AB22" s="457">
        <f>IF($AO22&lt;&gt;"OK",0,IF(AND(DATE('Thiết lập'!$B$4,7,1)&gt;=DATE(YEAR($H22),MONTH($H22),1),DATE('Thiết lập'!$B$4,7,1)&lt;EDATE(DATE(YEAR($H22),MONTH($H22),1),$O22)),MIN($P22,MAX(0,$N22-$U22-SUM($V22:AA22))),0))</f>
        <v/>
      </c>
      <c r="AC22" s="457">
        <f>IF($AO22&lt;&gt;"OK",0,IF(AND(DATE('Thiết lập'!$B$4,8,1)&gt;=DATE(YEAR($H22),MONTH($H22),1),DATE('Thiết lập'!$B$4,8,1)&lt;EDATE(DATE(YEAR($H22),MONTH($H22),1),$O22)),MIN($P22,MAX(0,$N22-$U22-SUM($V22:AB22))),0))</f>
        <v/>
      </c>
      <c r="AD22" s="457">
        <f>IF($AO22&lt;&gt;"OK",0,IF(AND(DATE('Thiết lập'!$B$4,9,1)&gt;=DATE(YEAR($H22),MONTH($H22),1),DATE('Thiết lập'!$B$4,9,1)&lt;EDATE(DATE(YEAR($H22),MONTH($H22),1),$O22)),MIN($P22,MAX(0,$N22-$U22-SUM($V22:AC22))),0))</f>
        <v/>
      </c>
      <c r="AE22" s="457">
        <f>IF($AO22&lt;&gt;"OK",0,IF(AND(DATE('Thiết lập'!$B$4,10,1)&gt;=DATE(YEAR($H22),MONTH($H22),1),DATE('Thiết lập'!$B$4,10,1)&lt;EDATE(DATE(YEAR($H22),MONTH($H22),1),$O22)),MIN($P22,MAX(0,$N22-$U22-SUM($V22:AD22))),0))</f>
        <v/>
      </c>
      <c r="AF22" s="457">
        <f>IF($AO22&lt;&gt;"OK",0,IF(AND(DATE('Thiết lập'!$B$4,11,1)&gt;=DATE(YEAR($H22),MONTH($H22),1),DATE('Thiết lập'!$B$4,11,1)&lt;EDATE(DATE(YEAR($H22),MONTH($H22),1),$O22)),MIN($P22,MAX(0,$N22-$U22-SUM($V22:AE22))),0))</f>
        <v/>
      </c>
      <c r="AG22" s="457">
        <f>IF($AO22&lt;&gt;"OK",0,IF(AND(DATE('Thiết lập'!$B$4,12,1)&gt;=DATE(YEAR($H22),MONTH($H22),1),DATE('Thiết lập'!$B$4,12,1)&lt;EDATE(DATE(YEAR($H22),MONTH($H22),1),$O22)),MIN($P22,MAX(0,$N22-$U22-SUM($V22:AF22))),0))</f>
        <v/>
      </c>
      <c r="AH22" s="457">
        <f>IF(B22="","",SUM(V22:AG22))</f>
        <v/>
      </c>
      <c r="AI22" s="457">
        <f>IF(B22="","",MIN(N22,IF(U22="",0,U22)+AH22))</f>
        <v/>
      </c>
      <c r="AJ22" s="457">
        <f>IF(B22="","",MAX(0,L22-AI22))</f>
        <v/>
      </c>
      <c r="AK22" s="337">
        <f>IF(B22="","",IF(H22&gt;'Thiết lập'!$B$5,"Chưa khấu hao",IF(AJ22&lt;=IF(M22="",0,M22),"Đã hết khấu hao","Đang khấu hao")))</f>
        <v/>
      </c>
      <c r="AL22" s="275" t="n"/>
      <c r="AM22" s="275" t="n"/>
      <c r="AN22" s="275" t="n"/>
      <c r="AO22" s="343">
        <f>IF(B22="","",IF(COUNTIF($B$7:$B$306,B22)&gt;1,"Trùng mã TSCĐ",IF(C22="","Thiếu tên TSCĐ",IF(H22="","Thiếu ngày bắt đầu",IF(OR(I22&lt;=0,L22&lt;=0,O22&lt;=0),"Kiểm tra số lượng/nguyên giá/thời gian",IF(AND(G22&lt;&gt;"",H22&lt;G22),"Ngày KH trước ngày ghi tăng",IF(M22&gt;L22,"Giá trị thu hồi vượt nguyên giá",IF(IF(U22="",0,U22)&gt;N22,"Lũy kế đầu năm vượt GTKH","OK"))))))))</f>
        <v/>
      </c>
    </row>
    <row r="23" ht="20" customHeight="1" s="389">
      <c r="A23" s="325">
        <f>IF(B23="","",ROW()-6)</f>
        <v/>
      </c>
      <c r="B23" s="275" t="n"/>
      <c r="C23" s="275" t="n"/>
      <c r="D23" s="331" t="n"/>
      <c r="E23" s="331" t="n"/>
      <c r="F23" s="454" t="n"/>
      <c r="G23" s="454" t="n"/>
      <c r="H23" s="454" t="n"/>
      <c r="I23" s="455" t="n"/>
      <c r="J23" s="456" t="n"/>
      <c r="K23" s="456" t="n"/>
      <c r="L23" s="457">
        <f>IF(B23="","",IF(OR(I23="",J23=""),"",I23*J23+IF(K23="",0,K23)))</f>
        <v/>
      </c>
      <c r="M23" s="456" t="n"/>
      <c r="N23" s="457">
        <f>IF(L23="","",MAX(0,L23-IF(M23="",0,M23)))</f>
        <v/>
      </c>
      <c r="O23" s="455" t="n"/>
      <c r="P23" s="457">
        <f>IF(OR(N23="",O23&lt;=0),"",ROUND(N23/O23,0))</f>
        <v/>
      </c>
      <c r="Q23" s="458">
        <f>IF(OR(H23="",O23&lt;=0),"",EOMONTH(H23,O23-1))</f>
        <v/>
      </c>
      <c r="R23" s="331" t="n"/>
      <c r="S23" s="331" t="n"/>
      <c r="T23" s="331" t="n"/>
      <c r="U23" s="456" t="n"/>
      <c r="V23" s="457">
        <f>IF($AO23&lt;&gt;"OK",0,IF(AND(DATE('Thiết lập'!$B$4,1,1)&gt;=DATE(YEAR($H23),MONTH($H23),1),DATE('Thiết lập'!$B$4,1,1)&lt;EDATE(DATE(YEAR($H23),MONTH($H23),1),$O23)),MIN($P23,MAX(0,$N23-$U23-0)),0))</f>
        <v/>
      </c>
      <c r="W23" s="457">
        <f>IF($AO23&lt;&gt;"OK",0,IF(AND(DATE('Thiết lập'!$B$4,2,1)&gt;=DATE(YEAR($H23),MONTH($H23),1),DATE('Thiết lập'!$B$4,2,1)&lt;EDATE(DATE(YEAR($H23),MONTH($H23),1),$O23)),MIN($P23,MAX(0,$N23-$U23-SUM($V23:V23))),0))</f>
        <v/>
      </c>
      <c r="X23" s="457">
        <f>IF($AO23&lt;&gt;"OK",0,IF(AND(DATE('Thiết lập'!$B$4,3,1)&gt;=DATE(YEAR($H23),MONTH($H23),1),DATE('Thiết lập'!$B$4,3,1)&lt;EDATE(DATE(YEAR($H23),MONTH($H23),1),$O23)),MIN($P23,MAX(0,$N23-$U23-SUM($V23:W23))),0))</f>
        <v/>
      </c>
      <c r="Y23" s="457">
        <f>IF($AO23&lt;&gt;"OK",0,IF(AND(DATE('Thiết lập'!$B$4,4,1)&gt;=DATE(YEAR($H23),MONTH($H23),1),DATE('Thiết lập'!$B$4,4,1)&lt;EDATE(DATE(YEAR($H23),MONTH($H23),1),$O23)),MIN($P23,MAX(0,$N23-$U23-SUM($V23:X23))),0))</f>
        <v/>
      </c>
      <c r="Z23" s="457">
        <f>IF($AO23&lt;&gt;"OK",0,IF(AND(DATE('Thiết lập'!$B$4,5,1)&gt;=DATE(YEAR($H23),MONTH($H23),1),DATE('Thiết lập'!$B$4,5,1)&lt;EDATE(DATE(YEAR($H23),MONTH($H23),1),$O23)),MIN($P23,MAX(0,$N23-$U23-SUM($V23:Y23))),0))</f>
        <v/>
      </c>
      <c r="AA23" s="457">
        <f>IF($AO23&lt;&gt;"OK",0,IF(AND(DATE('Thiết lập'!$B$4,6,1)&gt;=DATE(YEAR($H23),MONTH($H23),1),DATE('Thiết lập'!$B$4,6,1)&lt;EDATE(DATE(YEAR($H23),MONTH($H23),1),$O23)),MIN($P23,MAX(0,$N23-$U23-SUM($V23:Z23))),0))</f>
        <v/>
      </c>
      <c r="AB23" s="457">
        <f>IF($AO23&lt;&gt;"OK",0,IF(AND(DATE('Thiết lập'!$B$4,7,1)&gt;=DATE(YEAR($H23),MONTH($H23),1),DATE('Thiết lập'!$B$4,7,1)&lt;EDATE(DATE(YEAR($H23),MONTH($H23),1),$O23)),MIN($P23,MAX(0,$N23-$U23-SUM($V23:AA23))),0))</f>
        <v/>
      </c>
      <c r="AC23" s="457">
        <f>IF($AO23&lt;&gt;"OK",0,IF(AND(DATE('Thiết lập'!$B$4,8,1)&gt;=DATE(YEAR($H23),MONTH($H23),1),DATE('Thiết lập'!$B$4,8,1)&lt;EDATE(DATE(YEAR($H23),MONTH($H23),1),$O23)),MIN($P23,MAX(0,$N23-$U23-SUM($V23:AB23))),0))</f>
        <v/>
      </c>
      <c r="AD23" s="457">
        <f>IF($AO23&lt;&gt;"OK",0,IF(AND(DATE('Thiết lập'!$B$4,9,1)&gt;=DATE(YEAR($H23),MONTH($H23),1),DATE('Thiết lập'!$B$4,9,1)&lt;EDATE(DATE(YEAR($H23),MONTH($H23),1),$O23)),MIN($P23,MAX(0,$N23-$U23-SUM($V23:AC23))),0))</f>
        <v/>
      </c>
      <c r="AE23" s="457">
        <f>IF($AO23&lt;&gt;"OK",0,IF(AND(DATE('Thiết lập'!$B$4,10,1)&gt;=DATE(YEAR($H23),MONTH($H23),1),DATE('Thiết lập'!$B$4,10,1)&lt;EDATE(DATE(YEAR($H23),MONTH($H23),1),$O23)),MIN($P23,MAX(0,$N23-$U23-SUM($V23:AD23))),0))</f>
        <v/>
      </c>
      <c r="AF23" s="457">
        <f>IF($AO23&lt;&gt;"OK",0,IF(AND(DATE('Thiết lập'!$B$4,11,1)&gt;=DATE(YEAR($H23),MONTH($H23),1),DATE('Thiết lập'!$B$4,11,1)&lt;EDATE(DATE(YEAR($H23),MONTH($H23),1),$O23)),MIN($P23,MAX(0,$N23-$U23-SUM($V23:AE23))),0))</f>
        <v/>
      </c>
      <c r="AG23" s="457">
        <f>IF($AO23&lt;&gt;"OK",0,IF(AND(DATE('Thiết lập'!$B$4,12,1)&gt;=DATE(YEAR($H23),MONTH($H23),1),DATE('Thiết lập'!$B$4,12,1)&lt;EDATE(DATE(YEAR($H23),MONTH($H23),1),$O23)),MIN($P23,MAX(0,$N23-$U23-SUM($V23:AF23))),0))</f>
        <v/>
      </c>
      <c r="AH23" s="457">
        <f>IF(B23="","",SUM(V23:AG23))</f>
        <v/>
      </c>
      <c r="AI23" s="457">
        <f>IF(B23="","",MIN(N23,IF(U23="",0,U23)+AH23))</f>
        <v/>
      </c>
      <c r="AJ23" s="457">
        <f>IF(B23="","",MAX(0,L23-AI23))</f>
        <v/>
      </c>
      <c r="AK23" s="337">
        <f>IF(B23="","",IF(H23&gt;'Thiết lập'!$B$5,"Chưa khấu hao",IF(AJ23&lt;=IF(M23="",0,M23),"Đã hết khấu hao","Đang khấu hao")))</f>
        <v/>
      </c>
      <c r="AL23" s="275" t="n"/>
      <c r="AM23" s="275" t="n"/>
      <c r="AN23" s="275" t="n"/>
      <c r="AO23" s="343">
        <f>IF(B23="","",IF(COUNTIF($B$7:$B$306,B23)&gt;1,"Trùng mã TSCĐ",IF(C23="","Thiếu tên TSCĐ",IF(H23="","Thiếu ngày bắt đầu",IF(OR(I23&lt;=0,L23&lt;=0,O23&lt;=0),"Kiểm tra số lượng/nguyên giá/thời gian",IF(AND(G23&lt;&gt;"",H23&lt;G23),"Ngày KH trước ngày ghi tăng",IF(M23&gt;L23,"Giá trị thu hồi vượt nguyên giá",IF(IF(U23="",0,U23)&gt;N23,"Lũy kế đầu năm vượt GTKH","OK"))))))))</f>
        <v/>
      </c>
    </row>
    <row r="24" ht="20" customHeight="1" s="389">
      <c r="A24" s="325">
        <f>IF(B24="","",ROW()-6)</f>
        <v/>
      </c>
      <c r="B24" s="275" t="n"/>
      <c r="C24" s="275" t="n"/>
      <c r="D24" s="331" t="n"/>
      <c r="E24" s="331" t="n"/>
      <c r="F24" s="454" t="n"/>
      <c r="G24" s="454" t="n"/>
      <c r="H24" s="454" t="n"/>
      <c r="I24" s="455" t="n"/>
      <c r="J24" s="456" t="n"/>
      <c r="K24" s="456" t="n"/>
      <c r="L24" s="457">
        <f>IF(B24="","",IF(OR(I24="",J24=""),"",I24*J24+IF(K24="",0,K24)))</f>
        <v/>
      </c>
      <c r="M24" s="456" t="n"/>
      <c r="N24" s="457">
        <f>IF(L24="","",MAX(0,L24-IF(M24="",0,M24)))</f>
        <v/>
      </c>
      <c r="O24" s="455" t="n"/>
      <c r="P24" s="457">
        <f>IF(OR(N24="",O24&lt;=0),"",ROUND(N24/O24,0))</f>
        <v/>
      </c>
      <c r="Q24" s="458">
        <f>IF(OR(H24="",O24&lt;=0),"",EOMONTH(H24,O24-1))</f>
        <v/>
      </c>
      <c r="R24" s="331" t="n"/>
      <c r="S24" s="331" t="n"/>
      <c r="T24" s="331" t="n"/>
      <c r="U24" s="456" t="n"/>
      <c r="V24" s="457">
        <f>IF($AO24&lt;&gt;"OK",0,IF(AND(DATE('Thiết lập'!$B$4,1,1)&gt;=DATE(YEAR($H24),MONTH($H24),1),DATE('Thiết lập'!$B$4,1,1)&lt;EDATE(DATE(YEAR($H24),MONTH($H24),1),$O24)),MIN($P24,MAX(0,$N24-$U24-0)),0))</f>
        <v/>
      </c>
      <c r="W24" s="457">
        <f>IF($AO24&lt;&gt;"OK",0,IF(AND(DATE('Thiết lập'!$B$4,2,1)&gt;=DATE(YEAR($H24),MONTH($H24),1),DATE('Thiết lập'!$B$4,2,1)&lt;EDATE(DATE(YEAR($H24),MONTH($H24),1),$O24)),MIN($P24,MAX(0,$N24-$U24-SUM($V24:V24))),0))</f>
        <v/>
      </c>
      <c r="X24" s="457">
        <f>IF($AO24&lt;&gt;"OK",0,IF(AND(DATE('Thiết lập'!$B$4,3,1)&gt;=DATE(YEAR($H24),MONTH($H24),1),DATE('Thiết lập'!$B$4,3,1)&lt;EDATE(DATE(YEAR($H24),MONTH($H24),1),$O24)),MIN($P24,MAX(0,$N24-$U24-SUM($V24:W24))),0))</f>
        <v/>
      </c>
      <c r="Y24" s="457">
        <f>IF($AO24&lt;&gt;"OK",0,IF(AND(DATE('Thiết lập'!$B$4,4,1)&gt;=DATE(YEAR($H24),MONTH($H24),1),DATE('Thiết lập'!$B$4,4,1)&lt;EDATE(DATE(YEAR($H24),MONTH($H24),1),$O24)),MIN($P24,MAX(0,$N24-$U24-SUM($V24:X24))),0))</f>
        <v/>
      </c>
      <c r="Z24" s="457">
        <f>IF($AO24&lt;&gt;"OK",0,IF(AND(DATE('Thiết lập'!$B$4,5,1)&gt;=DATE(YEAR($H24),MONTH($H24),1),DATE('Thiết lập'!$B$4,5,1)&lt;EDATE(DATE(YEAR($H24),MONTH($H24),1),$O24)),MIN($P24,MAX(0,$N24-$U24-SUM($V24:Y24))),0))</f>
        <v/>
      </c>
      <c r="AA24" s="457">
        <f>IF($AO24&lt;&gt;"OK",0,IF(AND(DATE('Thiết lập'!$B$4,6,1)&gt;=DATE(YEAR($H24),MONTH($H24),1),DATE('Thiết lập'!$B$4,6,1)&lt;EDATE(DATE(YEAR($H24),MONTH($H24),1),$O24)),MIN($P24,MAX(0,$N24-$U24-SUM($V24:Z24))),0))</f>
        <v/>
      </c>
      <c r="AB24" s="457">
        <f>IF($AO24&lt;&gt;"OK",0,IF(AND(DATE('Thiết lập'!$B$4,7,1)&gt;=DATE(YEAR($H24),MONTH($H24),1),DATE('Thiết lập'!$B$4,7,1)&lt;EDATE(DATE(YEAR($H24),MONTH($H24),1),$O24)),MIN($P24,MAX(0,$N24-$U24-SUM($V24:AA24))),0))</f>
        <v/>
      </c>
      <c r="AC24" s="457">
        <f>IF($AO24&lt;&gt;"OK",0,IF(AND(DATE('Thiết lập'!$B$4,8,1)&gt;=DATE(YEAR($H24),MONTH($H24),1),DATE('Thiết lập'!$B$4,8,1)&lt;EDATE(DATE(YEAR($H24),MONTH($H24),1),$O24)),MIN($P24,MAX(0,$N24-$U24-SUM($V24:AB24))),0))</f>
        <v/>
      </c>
      <c r="AD24" s="457">
        <f>IF($AO24&lt;&gt;"OK",0,IF(AND(DATE('Thiết lập'!$B$4,9,1)&gt;=DATE(YEAR($H24),MONTH($H24),1),DATE('Thiết lập'!$B$4,9,1)&lt;EDATE(DATE(YEAR($H24),MONTH($H24),1),$O24)),MIN($P24,MAX(0,$N24-$U24-SUM($V24:AC24))),0))</f>
        <v/>
      </c>
      <c r="AE24" s="457">
        <f>IF($AO24&lt;&gt;"OK",0,IF(AND(DATE('Thiết lập'!$B$4,10,1)&gt;=DATE(YEAR($H24),MONTH($H24),1),DATE('Thiết lập'!$B$4,10,1)&lt;EDATE(DATE(YEAR($H24),MONTH($H24),1),$O24)),MIN($P24,MAX(0,$N24-$U24-SUM($V24:AD24))),0))</f>
        <v/>
      </c>
      <c r="AF24" s="457">
        <f>IF($AO24&lt;&gt;"OK",0,IF(AND(DATE('Thiết lập'!$B$4,11,1)&gt;=DATE(YEAR($H24),MONTH($H24),1),DATE('Thiết lập'!$B$4,11,1)&lt;EDATE(DATE(YEAR($H24),MONTH($H24),1),$O24)),MIN($P24,MAX(0,$N24-$U24-SUM($V24:AE24))),0))</f>
        <v/>
      </c>
      <c r="AG24" s="457">
        <f>IF($AO24&lt;&gt;"OK",0,IF(AND(DATE('Thiết lập'!$B$4,12,1)&gt;=DATE(YEAR($H24),MONTH($H24),1),DATE('Thiết lập'!$B$4,12,1)&lt;EDATE(DATE(YEAR($H24),MONTH($H24),1),$O24)),MIN($P24,MAX(0,$N24-$U24-SUM($V24:AF24))),0))</f>
        <v/>
      </c>
      <c r="AH24" s="457">
        <f>IF(B24="","",SUM(V24:AG24))</f>
        <v/>
      </c>
      <c r="AI24" s="457">
        <f>IF(B24="","",MIN(N24,IF(U24="",0,U24)+AH24))</f>
        <v/>
      </c>
      <c r="AJ24" s="457">
        <f>IF(B24="","",MAX(0,L24-AI24))</f>
        <v/>
      </c>
      <c r="AK24" s="337">
        <f>IF(B24="","",IF(H24&gt;'Thiết lập'!$B$5,"Chưa khấu hao",IF(AJ24&lt;=IF(M24="",0,M24),"Đã hết khấu hao","Đang khấu hao")))</f>
        <v/>
      </c>
      <c r="AL24" s="275" t="n"/>
      <c r="AM24" s="275" t="n"/>
      <c r="AN24" s="275" t="n"/>
      <c r="AO24" s="343">
        <f>IF(B24="","",IF(COUNTIF($B$7:$B$306,B24)&gt;1,"Trùng mã TSCĐ",IF(C24="","Thiếu tên TSCĐ",IF(H24="","Thiếu ngày bắt đầu",IF(OR(I24&lt;=0,L24&lt;=0,O24&lt;=0),"Kiểm tra số lượng/nguyên giá/thời gian",IF(AND(G24&lt;&gt;"",H24&lt;G24),"Ngày KH trước ngày ghi tăng",IF(M24&gt;L24,"Giá trị thu hồi vượt nguyên giá",IF(IF(U24="",0,U24)&gt;N24,"Lũy kế đầu năm vượt GTKH","OK"))))))))</f>
        <v/>
      </c>
    </row>
    <row r="25" ht="20" customHeight="1" s="389">
      <c r="A25" s="325">
        <f>IF(B25="","",ROW()-6)</f>
        <v/>
      </c>
      <c r="B25" s="275" t="n"/>
      <c r="C25" s="275" t="n"/>
      <c r="D25" s="331" t="n"/>
      <c r="E25" s="331" t="n"/>
      <c r="F25" s="454" t="n"/>
      <c r="G25" s="454" t="n"/>
      <c r="H25" s="454" t="n"/>
      <c r="I25" s="455" t="n"/>
      <c r="J25" s="456" t="n"/>
      <c r="K25" s="456" t="n"/>
      <c r="L25" s="457">
        <f>IF(B25="","",IF(OR(I25="",J25=""),"",I25*J25+IF(K25="",0,K25)))</f>
        <v/>
      </c>
      <c r="M25" s="456" t="n"/>
      <c r="N25" s="457">
        <f>IF(L25="","",MAX(0,L25-IF(M25="",0,M25)))</f>
        <v/>
      </c>
      <c r="O25" s="455" t="n"/>
      <c r="P25" s="457">
        <f>IF(OR(N25="",O25&lt;=0),"",ROUND(N25/O25,0))</f>
        <v/>
      </c>
      <c r="Q25" s="458">
        <f>IF(OR(H25="",O25&lt;=0),"",EOMONTH(H25,O25-1))</f>
        <v/>
      </c>
      <c r="R25" s="331" t="n"/>
      <c r="S25" s="331" t="n"/>
      <c r="T25" s="331" t="n"/>
      <c r="U25" s="456" t="n"/>
      <c r="V25" s="457">
        <f>IF($AO25&lt;&gt;"OK",0,IF(AND(DATE('Thiết lập'!$B$4,1,1)&gt;=DATE(YEAR($H25),MONTH($H25),1),DATE('Thiết lập'!$B$4,1,1)&lt;EDATE(DATE(YEAR($H25),MONTH($H25),1),$O25)),MIN($P25,MAX(0,$N25-$U25-0)),0))</f>
        <v/>
      </c>
      <c r="W25" s="457">
        <f>IF($AO25&lt;&gt;"OK",0,IF(AND(DATE('Thiết lập'!$B$4,2,1)&gt;=DATE(YEAR($H25),MONTH($H25),1),DATE('Thiết lập'!$B$4,2,1)&lt;EDATE(DATE(YEAR($H25),MONTH($H25),1),$O25)),MIN($P25,MAX(0,$N25-$U25-SUM($V25:V25))),0))</f>
        <v/>
      </c>
      <c r="X25" s="457">
        <f>IF($AO25&lt;&gt;"OK",0,IF(AND(DATE('Thiết lập'!$B$4,3,1)&gt;=DATE(YEAR($H25),MONTH($H25),1),DATE('Thiết lập'!$B$4,3,1)&lt;EDATE(DATE(YEAR($H25),MONTH($H25),1),$O25)),MIN($P25,MAX(0,$N25-$U25-SUM($V25:W25))),0))</f>
        <v/>
      </c>
      <c r="Y25" s="457">
        <f>IF($AO25&lt;&gt;"OK",0,IF(AND(DATE('Thiết lập'!$B$4,4,1)&gt;=DATE(YEAR($H25),MONTH($H25),1),DATE('Thiết lập'!$B$4,4,1)&lt;EDATE(DATE(YEAR($H25),MONTH($H25),1),$O25)),MIN($P25,MAX(0,$N25-$U25-SUM($V25:X25))),0))</f>
        <v/>
      </c>
      <c r="Z25" s="457">
        <f>IF($AO25&lt;&gt;"OK",0,IF(AND(DATE('Thiết lập'!$B$4,5,1)&gt;=DATE(YEAR($H25),MONTH($H25),1),DATE('Thiết lập'!$B$4,5,1)&lt;EDATE(DATE(YEAR($H25),MONTH($H25),1),$O25)),MIN($P25,MAX(0,$N25-$U25-SUM($V25:Y25))),0))</f>
        <v/>
      </c>
      <c r="AA25" s="457">
        <f>IF($AO25&lt;&gt;"OK",0,IF(AND(DATE('Thiết lập'!$B$4,6,1)&gt;=DATE(YEAR($H25),MONTH($H25),1),DATE('Thiết lập'!$B$4,6,1)&lt;EDATE(DATE(YEAR($H25),MONTH($H25),1),$O25)),MIN($P25,MAX(0,$N25-$U25-SUM($V25:Z25))),0))</f>
        <v/>
      </c>
      <c r="AB25" s="457">
        <f>IF($AO25&lt;&gt;"OK",0,IF(AND(DATE('Thiết lập'!$B$4,7,1)&gt;=DATE(YEAR($H25),MONTH($H25),1),DATE('Thiết lập'!$B$4,7,1)&lt;EDATE(DATE(YEAR($H25),MONTH($H25),1),$O25)),MIN($P25,MAX(0,$N25-$U25-SUM($V25:AA25))),0))</f>
        <v/>
      </c>
      <c r="AC25" s="457">
        <f>IF($AO25&lt;&gt;"OK",0,IF(AND(DATE('Thiết lập'!$B$4,8,1)&gt;=DATE(YEAR($H25),MONTH($H25),1),DATE('Thiết lập'!$B$4,8,1)&lt;EDATE(DATE(YEAR($H25),MONTH($H25),1),$O25)),MIN($P25,MAX(0,$N25-$U25-SUM($V25:AB25))),0))</f>
        <v/>
      </c>
      <c r="AD25" s="457">
        <f>IF($AO25&lt;&gt;"OK",0,IF(AND(DATE('Thiết lập'!$B$4,9,1)&gt;=DATE(YEAR($H25),MONTH($H25),1),DATE('Thiết lập'!$B$4,9,1)&lt;EDATE(DATE(YEAR($H25),MONTH($H25),1),$O25)),MIN($P25,MAX(0,$N25-$U25-SUM($V25:AC25))),0))</f>
        <v/>
      </c>
      <c r="AE25" s="457">
        <f>IF($AO25&lt;&gt;"OK",0,IF(AND(DATE('Thiết lập'!$B$4,10,1)&gt;=DATE(YEAR($H25),MONTH($H25),1),DATE('Thiết lập'!$B$4,10,1)&lt;EDATE(DATE(YEAR($H25),MONTH($H25),1),$O25)),MIN($P25,MAX(0,$N25-$U25-SUM($V25:AD25))),0))</f>
        <v/>
      </c>
      <c r="AF25" s="457">
        <f>IF($AO25&lt;&gt;"OK",0,IF(AND(DATE('Thiết lập'!$B$4,11,1)&gt;=DATE(YEAR($H25),MONTH($H25),1),DATE('Thiết lập'!$B$4,11,1)&lt;EDATE(DATE(YEAR($H25),MONTH($H25),1),$O25)),MIN($P25,MAX(0,$N25-$U25-SUM($V25:AE25))),0))</f>
        <v/>
      </c>
      <c r="AG25" s="457">
        <f>IF($AO25&lt;&gt;"OK",0,IF(AND(DATE('Thiết lập'!$B$4,12,1)&gt;=DATE(YEAR($H25),MONTH($H25),1),DATE('Thiết lập'!$B$4,12,1)&lt;EDATE(DATE(YEAR($H25),MONTH($H25),1),$O25)),MIN($P25,MAX(0,$N25-$U25-SUM($V25:AF25))),0))</f>
        <v/>
      </c>
      <c r="AH25" s="457">
        <f>IF(B25="","",SUM(V25:AG25))</f>
        <v/>
      </c>
      <c r="AI25" s="457">
        <f>IF(B25="","",MIN(N25,IF(U25="",0,U25)+AH25))</f>
        <v/>
      </c>
      <c r="AJ25" s="457">
        <f>IF(B25="","",MAX(0,L25-AI25))</f>
        <v/>
      </c>
      <c r="AK25" s="337">
        <f>IF(B25="","",IF(H25&gt;'Thiết lập'!$B$5,"Chưa khấu hao",IF(AJ25&lt;=IF(M25="",0,M25),"Đã hết khấu hao","Đang khấu hao")))</f>
        <v/>
      </c>
      <c r="AL25" s="275" t="n"/>
      <c r="AM25" s="275" t="n"/>
      <c r="AN25" s="275" t="n"/>
      <c r="AO25" s="343">
        <f>IF(B25="","",IF(COUNTIF($B$7:$B$306,B25)&gt;1,"Trùng mã TSCĐ",IF(C25="","Thiếu tên TSCĐ",IF(H25="","Thiếu ngày bắt đầu",IF(OR(I25&lt;=0,L25&lt;=0,O25&lt;=0),"Kiểm tra số lượng/nguyên giá/thời gian",IF(AND(G25&lt;&gt;"",H25&lt;G25),"Ngày KH trước ngày ghi tăng",IF(M25&gt;L25,"Giá trị thu hồi vượt nguyên giá",IF(IF(U25="",0,U25)&gt;N25,"Lũy kế đầu năm vượt GTKH","OK"))))))))</f>
        <v/>
      </c>
    </row>
    <row r="26" ht="20" customHeight="1" s="389">
      <c r="A26" s="325">
        <f>IF(B26="","",ROW()-6)</f>
        <v/>
      </c>
      <c r="B26" s="275" t="n"/>
      <c r="C26" s="275" t="n"/>
      <c r="D26" s="331" t="n"/>
      <c r="E26" s="331" t="n"/>
      <c r="F26" s="454" t="n"/>
      <c r="G26" s="454" t="n"/>
      <c r="H26" s="454" t="n"/>
      <c r="I26" s="455" t="n"/>
      <c r="J26" s="456" t="n"/>
      <c r="K26" s="456" t="n"/>
      <c r="L26" s="457">
        <f>IF(B26="","",IF(OR(I26="",J26=""),"",I26*J26+IF(K26="",0,K26)))</f>
        <v/>
      </c>
      <c r="M26" s="456" t="n"/>
      <c r="N26" s="457">
        <f>IF(L26="","",MAX(0,L26-IF(M26="",0,M26)))</f>
        <v/>
      </c>
      <c r="O26" s="455" t="n"/>
      <c r="P26" s="457">
        <f>IF(OR(N26="",O26&lt;=0),"",ROUND(N26/O26,0))</f>
        <v/>
      </c>
      <c r="Q26" s="458">
        <f>IF(OR(H26="",O26&lt;=0),"",EOMONTH(H26,O26-1))</f>
        <v/>
      </c>
      <c r="R26" s="331" t="n"/>
      <c r="S26" s="331" t="n"/>
      <c r="T26" s="331" t="n"/>
      <c r="U26" s="456" t="n"/>
      <c r="V26" s="457">
        <f>IF($AO26&lt;&gt;"OK",0,IF(AND(DATE('Thiết lập'!$B$4,1,1)&gt;=DATE(YEAR($H26),MONTH($H26),1),DATE('Thiết lập'!$B$4,1,1)&lt;EDATE(DATE(YEAR($H26),MONTH($H26),1),$O26)),MIN($P26,MAX(0,$N26-$U26-0)),0))</f>
        <v/>
      </c>
      <c r="W26" s="457">
        <f>IF($AO26&lt;&gt;"OK",0,IF(AND(DATE('Thiết lập'!$B$4,2,1)&gt;=DATE(YEAR($H26),MONTH($H26),1),DATE('Thiết lập'!$B$4,2,1)&lt;EDATE(DATE(YEAR($H26),MONTH($H26),1),$O26)),MIN($P26,MAX(0,$N26-$U26-SUM($V26:V26))),0))</f>
        <v/>
      </c>
      <c r="X26" s="457">
        <f>IF($AO26&lt;&gt;"OK",0,IF(AND(DATE('Thiết lập'!$B$4,3,1)&gt;=DATE(YEAR($H26),MONTH($H26),1),DATE('Thiết lập'!$B$4,3,1)&lt;EDATE(DATE(YEAR($H26),MONTH($H26),1),$O26)),MIN($P26,MAX(0,$N26-$U26-SUM($V26:W26))),0))</f>
        <v/>
      </c>
      <c r="Y26" s="457">
        <f>IF($AO26&lt;&gt;"OK",0,IF(AND(DATE('Thiết lập'!$B$4,4,1)&gt;=DATE(YEAR($H26),MONTH($H26),1),DATE('Thiết lập'!$B$4,4,1)&lt;EDATE(DATE(YEAR($H26),MONTH($H26),1),$O26)),MIN($P26,MAX(0,$N26-$U26-SUM($V26:X26))),0))</f>
        <v/>
      </c>
      <c r="Z26" s="457">
        <f>IF($AO26&lt;&gt;"OK",0,IF(AND(DATE('Thiết lập'!$B$4,5,1)&gt;=DATE(YEAR($H26),MONTH($H26),1),DATE('Thiết lập'!$B$4,5,1)&lt;EDATE(DATE(YEAR($H26),MONTH($H26),1),$O26)),MIN($P26,MAX(0,$N26-$U26-SUM($V26:Y26))),0))</f>
        <v/>
      </c>
      <c r="AA26" s="457">
        <f>IF($AO26&lt;&gt;"OK",0,IF(AND(DATE('Thiết lập'!$B$4,6,1)&gt;=DATE(YEAR($H26),MONTH($H26),1),DATE('Thiết lập'!$B$4,6,1)&lt;EDATE(DATE(YEAR($H26),MONTH($H26),1),$O26)),MIN($P26,MAX(0,$N26-$U26-SUM($V26:Z26))),0))</f>
        <v/>
      </c>
      <c r="AB26" s="457">
        <f>IF($AO26&lt;&gt;"OK",0,IF(AND(DATE('Thiết lập'!$B$4,7,1)&gt;=DATE(YEAR($H26),MONTH($H26),1),DATE('Thiết lập'!$B$4,7,1)&lt;EDATE(DATE(YEAR($H26),MONTH($H26),1),$O26)),MIN($P26,MAX(0,$N26-$U26-SUM($V26:AA26))),0))</f>
        <v/>
      </c>
      <c r="AC26" s="457">
        <f>IF($AO26&lt;&gt;"OK",0,IF(AND(DATE('Thiết lập'!$B$4,8,1)&gt;=DATE(YEAR($H26),MONTH($H26),1),DATE('Thiết lập'!$B$4,8,1)&lt;EDATE(DATE(YEAR($H26),MONTH($H26),1),$O26)),MIN($P26,MAX(0,$N26-$U26-SUM($V26:AB26))),0))</f>
        <v/>
      </c>
      <c r="AD26" s="457">
        <f>IF($AO26&lt;&gt;"OK",0,IF(AND(DATE('Thiết lập'!$B$4,9,1)&gt;=DATE(YEAR($H26),MONTH($H26),1),DATE('Thiết lập'!$B$4,9,1)&lt;EDATE(DATE(YEAR($H26),MONTH($H26),1),$O26)),MIN($P26,MAX(0,$N26-$U26-SUM($V26:AC26))),0))</f>
        <v/>
      </c>
      <c r="AE26" s="457">
        <f>IF($AO26&lt;&gt;"OK",0,IF(AND(DATE('Thiết lập'!$B$4,10,1)&gt;=DATE(YEAR($H26),MONTH($H26),1),DATE('Thiết lập'!$B$4,10,1)&lt;EDATE(DATE(YEAR($H26),MONTH($H26),1),$O26)),MIN($P26,MAX(0,$N26-$U26-SUM($V26:AD26))),0))</f>
        <v/>
      </c>
      <c r="AF26" s="457">
        <f>IF($AO26&lt;&gt;"OK",0,IF(AND(DATE('Thiết lập'!$B$4,11,1)&gt;=DATE(YEAR($H26),MONTH($H26),1),DATE('Thiết lập'!$B$4,11,1)&lt;EDATE(DATE(YEAR($H26),MONTH($H26),1),$O26)),MIN($P26,MAX(0,$N26-$U26-SUM($V26:AE26))),0))</f>
        <v/>
      </c>
      <c r="AG26" s="457">
        <f>IF($AO26&lt;&gt;"OK",0,IF(AND(DATE('Thiết lập'!$B$4,12,1)&gt;=DATE(YEAR($H26),MONTH($H26),1),DATE('Thiết lập'!$B$4,12,1)&lt;EDATE(DATE(YEAR($H26),MONTH($H26),1),$O26)),MIN($P26,MAX(0,$N26-$U26-SUM($V26:AF26))),0))</f>
        <v/>
      </c>
      <c r="AH26" s="457">
        <f>IF(B26="","",SUM(V26:AG26))</f>
        <v/>
      </c>
      <c r="AI26" s="457">
        <f>IF(B26="","",MIN(N26,IF(U26="",0,U26)+AH26))</f>
        <v/>
      </c>
      <c r="AJ26" s="457">
        <f>IF(B26="","",MAX(0,L26-AI26))</f>
        <v/>
      </c>
      <c r="AK26" s="337">
        <f>IF(B26="","",IF(H26&gt;'Thiết lập'!$B$5,"Chưa khấu hao",IF(AJ26&lt;=IF(M26="",0,M26),"Đã hết khấu hao","Đang khấu hao")))</f>
        <v/>
      </c>
      <c r="AL26" s="275" t="n"/>
      <c r="AM26" s="275" t="n"/>
      <c r="AN26" s="275" t="n"/>
      <c r="AO26" s="343">
        <f>IF(B26="","",IF(COUNTIF($B$7:$B$306,B26)&gt;1,"Trùng mã TSCĐ",IF(C26="","Thiếu tên TSCĐ",IF(H26="","Thiếu ngày bắt đầu",IF(OR(I26&lt;=0,L26&lt;=0,O26&lt;=0),"Kiểm tra số lượng/nguyên giá/thời gian",IF(AND(G26&lt;&gt;"",H26&lt;G26),"Ngày KH trước ngày ghi tăng",IF(M26&gt;L26,"Giá trị thu hồi vượt nguyên giá",IF(IF(U26="",0,U26)&gt;N26,"Lũy kế đầu năm vượt GTKH","OK"))))))))</f>
        <v/>
      </c>
    </row>
    <row r="27" ht="20" customHeight="1" s="389">
      <c r="A27" s="325">
        <f>IF(B27="","",ROW()-6)</f>
        <v/>
      </c>
      <c r="B27" s="275" t="n"/>
      <c r="C27" s="275" t="n"/>
      <c r="D27" s="331" t="n"/>
      <c r="E27" s="331" t="n"/>
      <c r="F27" s="454" t="n"/>
      <c r="G27" s="454" t="n"/>
      <c r="H27" s="454" t="n"/>
      <c r="I27" s="455" t="n"/>
      <c r="J27" s="456" t="n"/>
      <c r="K27" s="456" t="n"/>
      <c r="L27" s="457">
        <f>IF(B27="","",IF(OR(I27="",J27=""),"",I27*J27+IF(K27="",0,K27)))</f>
        <v/>
      </c>
      <c r="M27" s="456" t="n"/>
      <c r="N27" s="457">
        <f>IF(L27="","",MAX(0,L27-IF(M27="",0,M27)))</f>
        <v/>
      </c>
      <c r="O27" s="455" t="n"/>
      <c r="P27" s="457">
        <f>IF(OR(N27="",O27&lt;=0),"",ROUND(N27/O27,0))</f>
        <v/>
      </c>
      <c r="Q27" s="458">
        <f>IF(OR(H27="",O27&lt;=0),"",EOMONTH(H27,O27-1))</f>
        <v/>
      </c>
      <c r="R27" s="331" t="n"/>
      <c r="S27" s="331" t="n"/>
      <c r="T27" s="331" t="n"/>
      <c r="U27" s="456" t="n"/>
      <c r="V27" s="457">
        <f>IF($AO27&lt;&gt;"OK",0,IF(AND(DATE('Thiết lập'!$B$4,1,1)&gt;=DATE(YEAR($H27),MONTH($H27),1),DATE('Thiết lập'!$B$4,1,1)&lt;EDATE(DATE(YEAR($H27),MONTH($H27),1),$O27)),MIN($P27,MAX(0,$N27-$U27-0)),0))</f>
        <v/>
      </c>
      <c r="W27" s="457">
        <f>IF($AO27&lt;&gt;"OK",0,IF(AND(DATE('Thiết lập'!$B$4,2,1)&gt;=DATE(YEAR($H27),MONTH($H27),1),DATE('Thiết lập'!$B$4,2,1)&lt;EDATE(DATE(YEAR($H27),MONTH($H27),1),$O27)),MIN($P27,MAX(0,$N27-$U27-SUM($V27:V27))),0))</f>
        <v/>
      </c>
      <c r="X27" s="457">
        <f>IF($AO27&lt;&gt;"OK",0,IF(AND(DATE('Thiết lập'!$B$4,3,1)&gt;=DATE(YEAR($H27),MONTH($H27),1),DATE('Thiết lập'!$B$4,3,1)&lt;EDATE(DATE(YEAR($H27),MONTH($H27),1),$O27)),MIN($P27,MAX(0,$N27-$U27-SUM($V27:W27))),0))</f>
        <v/>
      </c>
      <c r="Y27" s="457">
        <f>IF($AO27&lt;&gt;"OK",0,IF(AND(DATE('Thiết lập'!$B$4,4,1)&gt;=DATE(YEAR($H27),MONTH($H27),1),DATE('Thiết lập'!$B$4,4,1)&lt;EDATE(DATE(YEAR($H27),MONTH($H27),1),$O27)),MIN($P27,MAX(0,$N27-$U27-SUM($V27:X27))),0))</f>
        <v/>
      </c>
      <c r="Z27" s="457">
        <f>IF($AO27&lt;&gt;"OK",0,IF(AND(DATE('Thiết lập'!$B$4,5,1)&gt;=DATE(YEAR($H27),MONTH($H27),1),DATE('Thiết lập'!$B$4,5,1)&lt;EDATE(DATE(YEAR($H27),MONTH($H27),1),$O27)),MIN($P27,MAX(0,$N27-$U27-SUM($V27:Y27))),0))</f>
        <v/>
      </c>
      <c r="AA27" s="457">
        <f>IF($AO27&lt;&gt;"OK",0,IF(AND(DATE('Thiết lập'!$B$4,6,1)&gt;=DATE(YEAR($H27),MONTH($H27),1),DATE('Thiết lập'!$B$4,6,1)&lt;EDATE(DATE(YEAR($H27),MONTH($H27),1),$O27)),MIN($P27,MAX(0,$N27-$U27-SUM($V27:Z27))),0))</f>
        <v/>
      </c>
      <c r="AB27" s="457">
        <f>IF($AO27&lt;&gt;"OK",0,IF(AND(DATE('Thiết lập'!$B$4,7,1)&gt;=DATE(YEAR($H27),MONTH($H27),1),DATE('Thiết lập'!$B$4,7,1)&lt;EDATE(DATE(YEAR($H27),MONTH($H27),1),$O27)),MIN($P27,MAX(0,$N27-$U27-SUM($V27:AA27))),0))</f>
        <v/>
      </c>
      <c r="AC27" s="457">
        <f>IF($AO27&lt;&gt;"OK",0,IF(AND(DATE('Thiết lập'!$B$4,8,1)&gt;=DATE(YEAR($H27),MONTH($H27),1),DATE('Thiết lập'!$B$4,8,1)&lt;EDATE(DATE(YEAR($H27),MONTH($H27),1),$O27)),MIN($P27,MAX(0,$N27-$U27-SUM($V27:AB27))),0))</f>
        <v/>
      </c>
      <c r="AD27" s="457">
        <f>IF($AO27&lt;&gt;"OK",0,IF(AND(DATE('Thiết lập'!$B$4,9,1)&gt;=DATE(YEAR($H27),MONTH($H27),1),DATE('Thiết lập'!$B$4,9,1)&lt;EDATE(DATE(YEAR($H27),MONTH($H27),1),$O27)),MIN($P27,MAX(0,$N27-$U27-SUM($V27:AC27))),0))</f>
        <v/>
      </c>
      <c r="AE27" s="457">
        <f>IF($AO27&lt;&gt;"OK",0,IF(AND(DATE('Thiết lập'!$B$4,10,1)&gt;=DATE(YEAR($H27),MONTH($H27),1),DATE('Thiết lập'!$B$4,10,1)&lt;EDATE(DATE(YEAR($H27),MONTH($H27),1),$O27)),MIN($P27,MAX(0,$N27-$U27-SUM($V27:AD27))),0))</f>
        <v/>
      </c>
      <c r="AF27" s="457">
        <f>IF($AO27&lt;&gt;"OK",0,IF(AND(DATE('Thiết lập'!$B$4,11,1)&gt;=DATE(YEAR($H27),MONTH($H27),1),DATE('Thiết lập'!$B$4,11,1)&lt;EDATE(DATE(YEAR($H27),MONTH($H27),1),$O27)),MIN($P27,MAX(0,$N27-$U27-SUM($V27:AE27))),0))</f>
        <v/>
      </c>
      <c r="AG27" s="457">
        <f>IF($AO27&lt;&gt;"OK",0,IF(AND(DATE('Thiết lập'!$B$4,12,1)&gt;=DATE(YEAR($H27),MONTH($H27),1),DATE('Thiết lập'!$B$4,12,1)&lt;EDATE(DATE(YEAR($H27),MONTH($H27),1),$O27)),MIN($P27,MAX(0,$N27-$U27-SUM($V27:AF27))),0))</f>
        <v/>
      </c>
      <c r="AH27" s="457">
        <f>IF(B27="","",SUM(V27:AG27))</f>
        <v/>
      </c>
      <c r="AI27" s="457">
        <f>IF(B27="","",MIN(N27,IF(U27="",0,U27)+AH27))</f>
        <v/>
      </c>
      <c r="AJ27" s="457">
        <f>IF(B27="","",MAX(0,L27-AI27))</f>
        <v/>
      </c>
      <c r="AK27" s="337">
        <f>IF(B27="","",IF(H27&gt;'Thiết lập'!$B$5,"Chưa khấu hao",IF(AJ27&lt;=IF(M27="",0,M27),"Đã hết khấu hao","Đang khấu hao")))</f>
        <v/>
      </c>
      <c r="AL27" s="275" t="n"/>
      <c r="AM27" s="275" t="n"/>
      <c r="AN27" s="275" t="n"/>
      <c r="AO27" s="343">
        <f>IF(B27="","",IF(COUNTIF($B$7:$B$306,B27)&gt;1,"Trùng mã TSCĐ",IF(C27="","Thiếu tên TSCĐ",IF(H27="","Thiếu ngày bắt đầu",IF(OR(I27&lt;=0,L27&lt;=0,O27&lt;=0),"Kiểm tra số lượng/nguyên giá/thời gian",IF(AND(G27&lt;&gt;"",H27&lt;G27),"Ngày KH trước ngày ghi tăng",IF(M27&gt;L27,"Giá trị thu hồi vượt nguyên giá",IF(IF(U27="",0,U27)&gt;N27,"Lũy kế đầu năm vượt GTKH","OK"))))))))</f>
        <v/>
      </c>
    </row>
    <row r="28" ht="20" customHeight="1" s="389">
      <c r="A28" s="325">
        <f>IF(B28="","",ROW()-6)</f>
        <v/>
      </c>
      <c r="B28" s="275" t="n"/>
      <c r="C28" s="275" t="n"/>
      <c r="D28" s="331" t="n"/>
      <c r="E28" s="331" t="n"/>
      <c r="F28" s="454" t="n"/>
      <c r="G28" s="454" t="n"/>
      <c r="H28" s="454" t="n"/>
      <c r="I28" s="455" t="n"/>
      <c r="J28" s="456" t="n"/>
      <c r="K28" s="456" t="n"/>
      <c r="L28" s="457">
        <f>IF(B28="","",IF(OR(I28="",J28=""),"",I28*J28+IF(K28="",0,K28)))</f>
        <v/>
      </c>
      <c r="M28" s="456" t="n"/>
      <c r="N28" s="457">
        <f>IF(L28="","",MAX(0,L28-IF(M28="",0,M28)))</f>
        <v/>
      </c>
      <c r="O28" s="455" t="n"/>
      <c r="P28" s="457">
        <f>IF(OR(N28="",O28&lt;=0),"",ROUND(N28/O28,0))</f>
        <v/>
      </c>
      <c r="Q28" s="458">
        <f>IF(OR(H28="",O28&lt;=0),"",EOMONTH(H28,O28-1))</f>
        <v/>
      </c>
      <c r="R28" s="331" t="n"/>
      <c r="S28" s="331" t="n"/>
      <c r="T28" s="331" t="n"/>
      <c r="U28" s="456" t="n"/>
      <c r="V28" s="457">
        <f>IF($AO28&lt;&gt;"OK",0,IF(AND(DATE('Thiết lập'!$B$4,1,1)&gt;=DATE(YEAR($H28),MONTH($H28),1),DATE('Thiết lập'!$B$4,1,1)&lt;EDATE(DATE(YEAR($H28),MONTH($H28),1),$O28)),MIN($P28,MAX(0,$N28-$U28-0)),0))</f>
        <v/>
      </c>
      <c r="W28" s="457">
        <f>IF($AO28&lt;&gt;"OK",0,IF(AND(DATE('Thiết lập'!$B$4,2,1)&gt;=DATE(YEAR($H28),MONTH($H28),1),DATE('Thiết lập'!$B$4,2,1)&lt;EDATE(DATE(YEAR($H28),MONTH($H28),1),$O28)),MIN($P28,MAX(0,$N28-$U28-SUM($V28:V28))),0))</f>
        <v/>
      </c>
      <c r="X28" s="457">
        <f>IF($AO28&lt;&gt;"OK",0,IF(AND(DATE('Thiết lập'!$B$4,3,1)&gt;=DATE(YEAR($H28),MONTH($H28),1),DATE('Thiết lập'!$B$4,3,1)&lt;EDATE(DATE(YEAR($H28),MONTH($H28),1),$O28)),MIN($P28,MAX(0,$N28-$U28-SUM($V28:W28))),0))</f>
        <v/>
      </c>
      <c r="Y28" s="457">
        <f>IF($AO28&lt;&gt;"OK",0,IF(AND(DATE('Thiết lập'!$B$4,4,1)&gt;=DATE(YEAR($H28),MONTH($H28),1),DATE('Thiết lập'!$B$4,4,1)&lt;EDATE(DATE(YEAR($H28),MONTH($H28),1),$O28)),MIN($P28,MAX(0,$N28-$U28-SUM($V28:X28))),0))</f>
        <v/>
      </c>
      <c r="Z28" s="457">
        <f>IF($AO28&lt;&gt;"OK",0,IF(AND(DATE('Thiết lập'!$B$4,5,1)&gt;=DATE(YEAR($H28),MONTH($H28),1),DATE('Thiết lập'!$B$4,5,1)&lt;EDATE(DATE(YEAR($H28),MONTH($H28),1),$O28)),MIN($P28,MAX(0,$N28-$U28-SUM($V28:Y28))),0))</f>
        <v/>
      </c>
      <c r="AA28" s="457">
        <f>IF($AO28&lt;&gt;"OK",0,IF(AND(DATE('Thiết lập'!$B$4,6,1)&gt;=DATE(YEAR($H28),MONTH($H28),1),DATE('Thiết lập'!$B$4,6,1)&lt;EDATE(DATE(YEAR($H28),MONTH($H28),1),$O28)),MIN($P28,MAX(0,$N28-$U28-SUM($V28:Z28))),0))</f>
        <v/>
      </c>
      <c r="AB28" s="457">
        <f>IF($AO28&lt;&gt;"OK",0,IF(AND(DATE('Thiết lập'!$B$4,7,1)&gt;=DATE(YEAR($H28),MONTH($H28),1),DATE('Thiết lập'!$B$4,7,1)&lt;EDATE(DATE(YEAR($H28),MONTH($H28),1),$O28)),MIN($P28,MAX(0,$N28-$U28-SUM($V28:AA28))),0))</f>
        <v/>
      </c>
      <c r="AC28" s="457">
        <f>IF($AO28&lt;&gt;"OK",0,IF(AND(DATE('Thiết lập'!$B$4,8,1)&gt;=DATE(YEAR($H28),MONTH($H28),1),DATE('Thiết lập'!$B$4,8,1)&lt;EDATE(DATE(YEAR($H28),MONTH($H28),1),$O28)),MIN($P28,MAX(0,$N28-$U28-SUM($V28:AB28))),0))</f>
        <v/>
      </c>
      <c r="AD28" s="457">
        <f>IF($AO28&lt;&gt;"OK",0,IF(AND(DATE('Thiết lập'!$B$4,9,1)&gt;=DATE(YEAR($H28),MONTH($H28),1),DATE('Thiết lập'!$B$4,9,1)&lt;EDATE(DATE(YEAR($H28),MONTH($H28),1),$O28)),MIN($P28,MAX(0,$N28-$U28-SUM($V28:AC28))),0))</f>
        <v/>
      </c>
      <c r="AE28" s="457">
        <f>IF($AO28&lt;&gt;"OK",0,IF(AND(DATE('Thiết lập'!$B$4,10,1)&gt;=DATE(YEAR($H28),MONTH($H28),1),DATE('Thiết lập'!$B$4,10,1)&lt;EDATE(DATE(YEAR($H28),MONTH($H28),1),$O28)),MIN($P28,MAX(0,$N28-$U28-SUM($V28:AD28))),0))</f>
        <v/>
      </c>
      <c r="AF28" s="457">
        <f>IF($AO28&lt;&gt;"OK",0,IF(AND(DATE('Thiết lập'!$B$4,11,1)&gt;=DATE(YEAR($H28),MONTH($H28),1),DATE('Thiết lập'!$B$4,11,1)&lt;EDATE(DATE(YEAR($H28),MONTH($H28),1),$O28)),MIN($P28,MAX(0,$N28-$U28-SUM($V28:AE28))),0))</f>
        <v/>
      </c>
      <c r="AG28" s="457">
        <f>IF($AO28&lt;&gt;"OK",0,IF(AND(DATE('Thiết lập'!$B$4,12,1)&gt;=DATE(YEAR($H28),MONTH($H28),1),DATE('Thiết lập'!$B$4,12,1)&lt;EDATE(DATE(YEAR($H28),MONTH($H28),1),$O28)),MIN($P28,MAX(0,$N28-$U28-SUM($V28:AF28))),0))</f>
        <v/>
      </c>
      <c r="AH28" s="457">
        <f>IF(B28="","",SUM(V28:AG28))</f>
        <v/>
      </c>
      <c r="AI28" s="457">
        <f>IF(B28="","",MIN(N28,IF(U28="",0,U28)+AH28))</f>
        <v/>
      </c>
      <c r="AJ28" s="457">
        <f>IF(B28="","",MAX(0,L28-AI28))</f>
        <v/>
      </c>
      <c r="AK28" s="337">
        <f>IF(B28="","",IF(H28&gt;'Thiết lập'!$B$5,"Chưa khấu hao",IF(AJ28&lt;=IF(M28="",0,M28),"Đã hết khấu hao","Đang khấu hao")))</f>
        <v/>
      </c>
      <c r="AL28" s="275" t="n"/>
      <c r="AM28" s="275" t="n"/>
      <c r="AN28" s="275" t="n"/>
      <c r="AO28" s="343">
        <f>IF(B28="","",IF(COUNTIF($B$7:$B$306,B28)&gt;1,"Trùng mã TSCĐ",IF(C28="","Thiếu tên TSCĐ",IF(H28="","Thiếu ngày bắt đầu",IF(OR(I28&lt;=0,L28&lt;=0,O28&lt;=0),"Kiểm tra số lượng/nguyên giá/thời gian",IF(AND(G28&lt;&gt;"",H28&lt;G28),"Ngày KH trước ngày ghi tăng",IF(M28&gt;L28,"Giá trị thu hồi vượt nguyên giá",IF(IF(U28="",0,U28)&gt;N28,"Lũy kế đầu năm vượt GTKH","OK"))))))))</f>
        <v/>
      </c>
    </row>
    <row r="29" ht="20" customHeight="1" s="389">
      <c r="A29" s="325">
        <f>IF(B29="","",ROW()-6)</f>
        <v/>
      </c>
      <c r="B29" s="275" t="n"/>
      <c r="C29" s="275" t="n"/>
      <c r="D29" s="331" t="n"/>
      <c r="E29" s="331" t="n"/>
      <c r="F29" s="454" t="n"/>
      <c r="G29" s="454" t="n"/>
      <c r="H29" s="454" t="n"/>
      <c r="I29" s="455" t="n"/>
      <c r="J29" s="456" t="n"/>
      <c r="K29" s="456" t="n"/>
      <c r="L29" s="457">
        <f>IF(B29="","",IF(OR(I29="",J29=""),"",I29*J29+IF(K29="",0,K29)))</f>
        <v/>
      </c>
      <c r="M29" s="456" t="n"/>
      <c r="N29" s="457">
        <f>IF(L29="","",MAX(0,L29-IF(M29="",0,M29)))</f>
        <v/>
      </c>
      <c r="O29" s="455" t="n"/>
      <c r="P29" s="457">
        <f>IF(OR(N29="",O29&lt;=0),"",ROUND(N29/O29,0))</f>
        <v/>
      </c>
      <c r="Q29" s="458">
        <f>IF(OR(H29="",O29&lt;=0),"",EOMONTH(H29,O29-1))</f>
        <v/>
      </c>
      <c r="R29" s="331" t="n"/>
      <c r="S29" s="331" t="n"/>
      <c r="T29" s="331" t="n"/>
      <c r="U29" s="456" t="n"/>
      <c r="V29" s="457">
        <f>IF($AO29&lt;&gt;"OK",0,IF(AND(DATE('Thiết lập'!$B$4,1,1)&gt;=DATE(YEAR($H29),MONTH($H29),1),DATE('Thiết lập'!$B$4,1,1)&lt;EDATE(DATE(YEAR($H29),MONTH($H29),1),$O29)),MIN($P29,MAX(0,$N29-$U29-0)),0))</f>
        <v/>
      </c>
      <c r="W29" s="457">
        <f>IF($AO29&lt;&gt;"OK",0,IF(AND(DATE('Thiết lập'!$B$4,2,1)&gt;=DATE(YEAR($H29),MONTH($H29),1),DATE('Thiết lập'!$B$4,2,1)&lt;EDATE(DATE(YEAR($H29),MONTH($H29),1),$O29)),MIN($P29,MAX(0,$N29-$U29-SUM($V29:V29))),0))</f>
        <v/>
      </c>
      <c r="X29" s="457">
        <f>IF($AO29&lt;&gt;"OK",0,IF(AND(DATE('Thiết lập'!$B$4,3,1)&gt;=DATE(YEAR($H29),MONTH($H29),1),DATE('Thiết lập'!$B$4,3,1)&lt;EDATE(DATE(YEAR($H29),MONTH($H29),1),$O29)),MIN($P29,MAX(0,$N29-$U29-SUM($V29:W29))),0))</f>
        <v/>
      </c>
      <c r="Y29" s="457">
        <f>IF($AO29&lt;&gt;"OK",0,IF(AND(DATE('Thiết lập'!$B$4,4,1)&gt;=DATE(YEAR($H29),MONTH($H29),1),DATE('Thiết lập'!$B$4,4,1)&lt;EDATE(DATE(YEAR($H29),MONTH($H29),1),$O29)),MIN($P29,MAX(0,$N29-$U29-SUM($V29:X29))),0))</f>
        <v/>
      </c>
      <c r="Z29" s="457">
        <f>IF($AO29&lt;&gt;"OK",0,IF(AND(DATE('Thiết lập'!$B$4,5,1)&gt;=DATE(YEAR($H29),MONTH($H29),1),DATE('Thiết lập'!$B$4,5,1)&lt;EDATE(DATE(YEAR($H29),MONTH($H29),1),$O29)),MIN($P29,MAX(0,$N29-$U29-SUM($V29:Y29))),0))</f>
        <v/>
      </c>
      <c r="AA29" s="457">
        <f>IF($AO29&lt;&gt;"OK",0,IF(AND(DATE('Thiết lập'!$B$4,6,1)&gt;=DATE(YEAR($H29),MONTH($H29),1),DATE('Thiết lập'!$B$4,6,1)&lt;EDATE(DATE(YEAR($H29),MONTH($H29),1),$O29)),MIN($P29,MAX(0,$N29-$U29-SUM($V29:Z29))),0))</f>
        <v/>
      </c>
      <c r="AB29" s="457">
        <f>IF($AO29&lt;&gt;"OK",0,IF(AND(DATE('Thiết lập'!$B$4,7,1)&gt;=DATE(YEAR($H29),MONTH($H29),1),DATE('Thiết lập'!$B$4,7,1)&lt;EDATE(DATE(YEAR($H29),MONTH($H29),1),$O29)),MIN($P29,MAX(0,$N29-$U29-SUM($V29:AA29))),0))</f>
        <v/>
      </c>
      <c r="AC29" s="457">
        <f>IF($AO29&lt;&gt;"OK",0,IF(AND(DATE('Thiết lập'!$B$4,8,1)&gt;=DATE(YEAR($H29),MONTH($H29),1),DATE('Thiết lập'!$B$4,8,1)&lt;EDATE(DATE(YEAR($H29),MONTH($H29),1),$O29)),MIN($P29,MAX(0,$N29-$U29-SUM($V29:AB29))),0))</f>
        <v/>
      </c>
      <c r="AD29" s="457">
        <f>IF($AO29&lt;&gt;"OK",0,IF(AND(DATE('Thiết lập'!$B$4,9,1)&gt;=DATE(YEAR($H29),MONTH($H29),1),DATE('Thiết lập'!$B$4,9,1)&lt;EDATE(DATE(YEAR($H29),MONTH($H29),1),$O29)),MIN($P29,MAX(0,$N29-$U29-SUM($V29:AC29))),0))</f>
        <v/>
      </c>
      <c r="AE29" s="457">
        <f>IF($AO29&lt;&gt;"OK",0,IF(AND(DATE('Thiết lập'!$B$4,10,1)&gt;=DATE(YEAR($H29),MONTH($H29),1),DATE('Thiết lập'!$B$4,10,1)&lt;EDATE(DATE(YEAR($H29),MONTH($H29),1),$O29)),MIN($P29,MAX(0,$N29-$U29-SUM($V29:AD29))),0))</f>
        <v/>
      </c>
      <c r="AF29" s="457">
        <f>IF($AO29&lt;&gt;"OK",0,IF(AND(DATE('Thiết lập'!$B$4,11,1)&gt;=DATE(YEAR($H29),MONTH($H29),1),DATE('Thiết lập'!$B$4,11,1)&lt;EDATE(DATE(YEAR($H29),MONTH($H29),1),$O29)),MIN($P29,MAX(0,$N29-$U29-SUM($V29:AE29))),0))</f>
        <v/>
      </c>
      <c r="AG29" s="457">
        <f>IF($AO29&lt;&gt;"OK",0,IF(AND(DATE('Thiết lập'!$B$4,12,1)&gt;=DATE(YEAR($H29),MONTH($H29),1),DATE('Thiết lập'!$B$4,12,1)&lt;EDATE(DATE(YEAR($H29),MONTH($H29),1),$O29)),MIN($P29,MAX(0,$N29-$U29-SUM($V29:AF29))),0))</f>
        <v/>
      </c>
      <c r="AH29" s="457">
        <f>IF(B29="","",SUM(V29:AG29))</f>
        <v/>
      </c>
      <c r="AI29" s="457">
        <f>IF(B29="","",MIN(N29,IF(U29="",0,U29)+AH29))</f>
        <v/>
      </c>
      <c r="AJ29" s="457">
        <f>IF(B29="","",MAX(0,L29-AI29))</f>
        <v/>
      </c>
      <c r="AK29" s="337">
        <f>IF(B29="","",IF(H29&gt;'Thiết lập'!$B$5,"Chưa khấu hao",IF(AJ29&lt;=IF(M29="",0,M29),"Đã hết khấu hao","Đang khấu hao")))</f>
        <v/>
      </c>
      <c r="AL29" s="275" t="n"/>
      <c r="AM29" s="275" t="n"/>
      <c r="AN29" s="275" t="n"/>
      <c r="AO29" s="343">
        <f>IF(B29="","",IF(COUNTIF($B$7:$B$306,B29)&gt;1,"Trùng mã TSCĐ",IF(C29="","Thiếu tên TSCĐ",IF(H29="","Thiếu ngày bắt đầu",IF(OR(I29&lt;=0,L29&lt;=0,O29&lt;=0),"Kiểm tra số lượng/nguyên giá/thời gian",IF(AND(G29&lt;&gt;"",H29&lt;G29),"Ngày KH trước ngày ghi tăng",IF(M29&gt;L29,"Giá trị thu hồi vượt nguyên giá",IF(IF(U29="",0,U29)&gt;N29,"Lũy kế đầu năm vượt GTKH","OK"))))))))</f>
        <v/>
      </c>
    </row>
    <row r="30" ht="20" customHeight="1" s="389">
      <c r="A30" s="325">
        <f>IF(B30="","",ROW()-6)</f>
        <v/>
      </c>
      <c r="B30" s="275" t="n"/>
      <c r="C30" s="275" t="n"/>
      <c r="D30" s="331" t="n"/>
      <c r="E30" s="331" t="n"/>
      <c r="F30" s="454" t="n"/>
      <c r="G30" s="454" t="n"/>
      <c r="H30" s="454" t="n"/>
      <c r="I30" s="455" t="n"/>
      <c r="J30" s="456" t="n"/>
      <c r="K30" s="456" t="n"/>
      <c r="L30" s="457">
        <f>IF(B30="","",IF(OR(I30="",J30=""),"",I30*J30+IF(K30="",0,K30)))</f>
        <v/>
      </c>
      <c r="M30" s="456" t="n"/>
      <c r="N30" s="457">
        <f>IF(L30="","",MAX(0,L30-IF(M30="",0,M30)))</f>
        <v/>
      </c>
      <c r="O30" s="455" t="n"/>
      <c r="P30" s="457">
        <f>IF(OR(N30="",O30&lt;=0),"",ROUND(N30/O30,0))</f>
        <v/>
      </c>
      <c r="Q30" s="458">
        <f>IF(OR(H30="",O30&lt;=0),"",EOMONTH(H30,O30-1))</f>
        <v/>
      </c>
      <c r="R30" s="331" t="n"/>
      <c r="S30" s="331" t="n"/>
      <c r="T30" s="331" t="n"/>
      <c r="U30" s="456" t="n"/>
      <c r="V30" s="457">
        <f>IF($AO30&lt;&gt;"OK",0,IF(AND(DATE('Thiết lập'!$B$4,1,1)&gt;=DATE(YEAR($H30),MONTH($H30),1),DATE('Thiết lập'!$B$4,1,1)&lt;EDATE(DATE(YEAR($H30),MONTH($H30),1),$O30)),MIN($P30,MAX(0,$N30-$U30-0)),0))</f>
        <v/>
      </c>
      <c r="W30" s="457">
        <f>IF($AO30&lt;&gt;"OK",0,IF(AND(DATE('Thiết lập'!$B$4,2,1)&gt;=DATE(YEAR($H30),MONTH($H30),1),DATE('Thiết lập'!$B$4,2,1)&lt;EDATE(DATE(YEAR($H30),MONTH($H30),1),$O30)),MIN($P30,MAX(0,$N30-$U30-SUM($V30:V30))),0))</f>
        <v/>
      </c>
      <c r="X30" s="457">
        <f>IF($AO30&lt;&gt;"OK",0,IF(AND(DATE('Thiết lập'!$B$4,3,1)&gt;=DATE(YEAR($H30),MONTH($H30),1),DATE('Thiết lập'!$B$4,3,1)&lt;EDATE(DATE(YEAR($H30),MONTH($H30),1),$O30)),MIN($P30,MAX(0,$N30-$U30-SUM($V30:W30))),0))</f>
        <v/>
      </c>
      <c r="Y30" s="457">
        <f>IF($AO30&lt;&gt;"OK",0,IF(AND(DATE('Thiết lập'!$B$4,4,1)&gt;=DATE(YEAR($H30),MONTH($H30),1),DATE('Thiết lập'!$B$4,4,1)&lt;EDATE(DATE(YEAR($H30),MONTH($H30),1),$O30)),MIN($P30,MAX(0,$N30-$U30-SUM($V30:X30))),0))</f>
        <v/>
      </c>
      <c r="Z30" s="457">
        <f>IF($AO30&lt;&gt;"OK",0,IF(AND(DATE('Thiết lập'!$B$4,5,1)&gt;=DATE(YEAR($H30),MONTH($H30),1),DATE('Thiết lập'!$B$4,5,1)&lt;EDATE(DATE(YEAR($H30),MONTH($H30),1),$O30)),MIN($P30,MAX(0,$N30-$U30-SUM($V30:Y30))),0))</f>
        <v/>
      </c>
      <c r="AA30" s="457">
        <f>IF($AO30&lt;&gt;"OK",0,IF(AND(DATE('Thiết lập'!$B$4,6,1)&gt;=DATE(YEAR($H30),MONTH($H30),1),DATE('Thiết lập'!$B$4,6,1)&lt;EDATE(DATE(YEAR($H30),MONTH($H30),1),$O30)),MIN($P30,MAX(0,$N30-$U30-SUM($V30:Z30))),0))</f>
        <v/>
      </c>
      <c r="AB30" s="457">
        <f>IF($AO30&lt;&gt;"OK",0,IF(AND(DATE('Thiết lập'!$B$4,7,1)&gt;=DATE(YEAR($H30),MONTH($H30),1),DATE('Thiết lập'!$B$4,7,1)&lt;EDATE(DATE(YEAR($H30),MONTH($H30),1),$O30)),MIN($P30,MAX(0,$N30-$U30-SUM($V30:AA30))),0))</f>
        <v/>
      </c>
      <c r="AC30" s="457">
        <f>IF($AO30&lt;&gt;"OK",0,IF(AND(DATE('Thiết lập'!$B$4,8,1)&gt;=DATE(YEAR($H30),MONTH($H30),1),DATE('Thiết lập'!$B$4,8,1)&lt;EDATE(DATE(YEAR($H30),MONTH($H30),1),$O30)),MIN($P30,MAX(0,$N30-$U30-SUM($V30:AB30))),0))</f>
        <v/>
      </c>
      <c r="AD30" s="457">
        <f>IF($AO30&lt;&gt;"OK",0,IF(AND(DATE('Thiết lập'!$B$4,9,1)&gt;=DATE(YEAR($H30),MONTH($H30),1),DATE('Thiết lập'!$B$4,9,1)&lt;EDATE(DATE(YEAR($H30),MONTH($H30),1),$O30)),MIN($P30,MAX(0,$N30-$U30-SUM($V30:AC30))),0))</f>
        <v/>
      </c>
      <c r="AE30" s="457">
        <f>IF($AO30&lt;&gt;"OK",0,IF(AND(DATE('Thiết lập'!$B$4,10,1)&gt;=DATE(YEAR($H30),MONTH($H30),1),DATE('Thiết lập'!$B$4,10,1)&lt;EDATE(DATE(YEAR($H30),MONTH($H30),1),$O30)),MIN($P30,MAX(0,$N30-$U30-SUM($V30:AD30))),0))</f>
        <v/>
      </c>
      <c r="AF30" s="457">
        <f>IF($AO30&lt;&gt;"OK",0,IF(AND(DATE('Thiết lập'!$B$4,11,1)&gt;=DATE(YEAR($H30),MONTH($H30),1),DATE('Thiết lập'!$B$4,11,1)&lt;EDATE(DATE(YEAR($H30),MONTH($H30),1),$O30)),MIN($P30,MAX(0,$N30-$U30-SUM($V30:AE30))),0))</f>
        <v/>
      </c>
      <c r="AG30" s="457">
        <f>IF($AO30&lt;&gt;"OK",0,IF(AND(DATE('Thiết lập'!$B$4,12,1)&gt;=DATE(YEAR($H30),MONTH($H30),1),DATE('Thiết lập'!$B$4,12,1)&lt;EDATE(DATE(YEAR($H30),MONTH($H30),1),$O30)),MIN($P30,MAX(0,$N30-$U30-SUM($V30:AF30))),0))</f>
        <v/>
      </c>
      <c r="AH30" s="457">
        <f>IF(B30="","",SUM(V30:AG30))</f>
        <v/>
      </c>
      <c r="AI30" s="457">
        <f>IF(B30="","",MIN(N30,IF(U30="",0,U30)+AH30))</f>
        <v/>
      </c>
      <c r="AJ30" s="457">
        <f>IF(B30="","",MAX(0,L30-AI30))</f>
        <v/>
      </c>
      <c r="AK30" s="337">
        <f>IF(B30="","",IF(H30&gt;'Thiết lập'!$B$5,"Chưa khấu hao",IF(AJ30&lt;=IF(M30="",0,M30),"Đã hết khấu hao","Đang khấu hao")))</f>
        <v/>
      </c>
      <c r="AL30" s="275" t="n"/>
      <c r="AM30" s="275" t="n"/>
      <c r="AN30" s="275" t="n"/>
      <c r="AO30" s="343">
        <f>IF(B30="","",IF(COUNTIF($B$7:$B$306,B30)&gt;1,"Trùng mã TSCĐ",IF(C30="","Thiếu tên TSCĐ",IF(H30="","Thiếu ngày bắt đầu",IF(OR(I30&lt;=0,L30&lt;=0,O30&lt;=0),"Kiểm tra số lượng/nguyên giá/thời gian",IF(AND(G30&lt;&gt;"",H30&lt;G30),"Ngày KH trước ngày ghi tăng",IF(M30&gt;L30,"Giá trị thu hồi vượt nguyên giá",IF(IF(U30="",0,U30)&gt;N30,"Lũy kế đầu năm vượt GTKH","OK"))))))))</f>
        <v/>
      </c>
    </row>
    <row r="31" ht="20" customHeight="1" s="389">
      <c r="A31" s="325">
        <f>IF(B31="","",ROW()-6)</f>
        <v/>
      </c>
      <c r="B31" s="275" t="n"/>
      <c r="C31" s="275" t="n"/>
      <c r="D31" s="331" t="n"/>
      <c r="E31" s="331" t="n"/>
      <c r="F31" s="454" t="n"/>
      <c r="G31" s="454" t="n"/>
      <c r="H31" s="454" t="n"/>
      <c r="I31" s="455" t="n"/>
      <c r="J31" s="456" t="n"/>
      <c r="K31" s="456" t="n"/>
      <c r="L31" s="457">
        <f>IF(B31="","",IF(OR(I31="",J31=""),"",I31*J31+IF(K31="",0,K31)))</f>
        <v/>
      </c>
      <c r="M31" s="456" t="n"/>
      <c r="N31" s="457">
        <f>IF(L31="","",MAX(0,L31-IF(M31="",0,M31)))</f>
        <v/>
      </c>
      <c r="O31" s="455" t="n"/>
      <c r="P31" s="457">
        <f>IF(OR(N31="",O31&lt;=0),"",ROUND(N31/O31,0))</f>
        <v/>
      </c>
      <c r="Q31" s="458">
        <f>IF(OR(H31="",O31&lt;=0),"",EOMONTH(H31,O31-1))</f>
        <v/>
      </c>
      <c r="R31" s="331" t="n"/>
      <c r="S31" s="331" t="n"/>
      <c r="T31" s="331" t="n"/>
      <c r="U31" s="456" t="n"/>
      <c r="V31" s="457">
        <f>IF($AO31&lt;&gt;"OK",0,IF(AND(DATE('Thiết lập'!$B$4,1,1)&gt;=DATE(YEAR($H31),MONTH($H31),1),DATE('Thiết lập'!$B$4,1,1)&lt;EDATE(DATE(YEAR($H31),MONTH($H31),1),$O31)),MIN($P31,MAX(0,$N31-$U31-0)),0))</f>
        <v/>
      </c>
      <c r="W31" s="457">
        <f>IF($AO31&lt;&gt;"OK",0,IF(AND(DATE('Thiết lập'!$B$4,2,1)&gt;=DATE(YEAR($H31),MONTH($H31),1),DATE('Thiết lập'!$B$4,2,1)&lt;EDATE(DATE(YEAR($H31),MONTH($H31),1),$O31)),MIN($P31,MAX(0,$N31-$U31-SUM($V31:V31))),0))</f>
        <v/>
      </c>
      <c r="X31" s="457">
        <f>IF($AO31&lt;&gt;"OK",0,IF(AND(DATE('Thiết lập'!$B$4,3,1)&gt;=DATE(YEAR($H31),MONTH($H31),1),DATE('Thiết lập'!$B$4,3,1)&lt;EDATE(DATE(YEAR($H31),MONTH($H31),1),$O31)),MIN($P31,MAX(0,$N31-$U31-SUM($V31:W31))),0))</f>
        <v/>
      </c>
      <c r="Y31" s="457">
        <f>IF($AO31&lt;&gt;"OK",0,IF(AND(DATE('Thiết lập'!$B$4,4,1)&gt;=DATE(YEAR($H31),MONTH($H31),1),DATE('Thiết lập'!$B$4,4,1)&lt;EDATE(DATE(YEAR($H31),MONTH($H31),1),$O31)),MIN($P31,MAX(0,$N31-$U31-SUM($V31:X31))),0))</f>
        <v/>
      </c>
      <c r="Z31" s="457">
        <f>IF($AO31&lt;&gt;"OK",0,IF(AND(DATE('Thiết lập'!$B$4,5,1)&gt;=DATE(YEAR($H31),MONTH($H31),1),DATE('Thiết lập'!$B$4,5,1)&lt;EDATE(DATE(YEAR($H31),MONTH($H31),1),$O31)),MIN($P31,MAX(0,$N31-$U31-SUM($V31:Y31))),0))</f>
        <v/>
      </c>
      <c r="AA31" s="457">
        <f>IF($AO31&lt;&gt;"OK",0,IF(AND(DATE('Thiết lập'!$B$4,6,1)&gt;=DATE(YEAR($H31),MONTH($H31),1),DATE('Thiết lập'!$B$4,6,1)&lt;EDATE(DATE(YEAR($H31),MONTH($H31),1),$O31)),MIN($P31,MAX(0,$N31-$U31-SUM($V31:Z31))),0))</f>
        <v/>
      </c>
      <c r="AB31" s="457">
        <f>IF($AO31&lt;&gt;"OK",0,IF(AND(DATE('Thiết lập'!$B$4,7,1)&gt;=DATE(YEAR($H31),MONTH($H31),1),DATE('Thiết lập'!$B$4,7,1)&lt;EDATE(DATE(YEAR($H31),MONTH($H31),1),$O31)),MIN($P31,MAX(0,$N31-$U31-SUM($V31:AA31))),0))</f>
        <v/>
      </c>
      <c r="AC31" s="457">
        <f>IF($AO31&lt;&gt;"OK",0,IF(AND(DATE('Thiết lập'!$B$4,8,1)&gt;=DATE(YEAR($H31),MONTH($H31),1),DATE('Thiết lập'!$B$4,8,1)&lt;EDATE(DATE(YEAR($H31),MONTH($H31),1),$O31)),MIN($P31,MAX(0,$N31-$U31-SUM($V31:AB31))),0))</f>
        <v/>
      </c>
      <c r="AD31" s="457">
        <f>IF($AO31&lt;&gt;"OK",0,IF(AND(DATE('Thiết lập'!$B$4,9,1)&gt;=DATE(YEAR($H31),MONTH($H31),1),DATE('Thiết lập'!$B$4,9,1)&lt;EDATE(DATE(YEAR($H31),MONTH($H31),1),$O31)),MIN($P31,MAX(0,$N31-$U31-SUM($V31:AC31))),0))</f>
        <v/>
      </c>
      <c r="AE31" s="457">
        <f>IF($AO31&lt;&gt;"OK",0,IF(AND(DATE('Thiết lập'!$B$4,10,1)&gt;=DATE(YEAR($H31),MONTH($H31),1),DATE('Thiết lập'!$B$4,10,1)&lt;EDATE(DATE(YEAR($H31),MONTH($H31),1),$O31)),MIN($P31,MAX(0,$N31-$U31-SUM($V31:AD31))),0))</f>
        <v/>
      </c>
      <c r="AF31" s="457">
        <f>IF($AO31&lt;&gt;"OK",0,IF(AND(DATE('Thiết lập'!$B$4,11,1)&gt;=DATE(YEAR($H31),MONTH($H31),1),DATE('Thiết lập'!$B$4,11,1)&lt;EDATE(DATE(YEAR($H31),MONTH($H31),1),$O31)),MIN($P31,MAX(0,$N31-$U31-SUM($V31:AE31))),0))</f>
        <v/>
      </c>
      <c r="AG31" s="457">
        <f>IF($AO31&lt;&gt;"OK",0,IF(AND(DATE('Thiết lập'!$B$4,12,1)&gt;=DATE(YEAR($H31),MONTH($H31),1),DATE('Thiết lập'!$B$4,12,1)&lt;EDATE(DATE(YEAR($H31),MONTH($H31),1),$O31)),MIN($P31,MAX(0,$N31-$U31-SUM($V31:AF31))),0))</f>
        <v/>
      </c>
      <c r="AH31" s="457">
        <f>IF(B31="","",SUM(V31:AG31))</f>
        <v/>
      </c>
      <c r="AI31" s="457">
        <f>IF(B31="","",MIN(N31,IF(U31="",0,U31)+AH31))</f>
        <v/>
      </c>
      <c r="AJ31" s="457">
        <f>IF(B31="","",MAX(0,L31-AI31))</f>
        <v/>
      </c>
      <c r="AK31" s="337">
        <f>IF(B31="","",IF(H31&gt;'Thiết lập'!$B$5,"Chưa khấu hao",IF(AJ31&lt;=IF(M31="",0,M31),"Đã hết khấu hao","Đang khấu hao")))</f>
        <v/>
      </c>
      <c r="AL31" s="275" t="n"/>
      <c r="AM31" s="275" t="n"/>
      <c r="AN31" s="275" t="n"/>
      <c r="AO31" s="343">
        <f>IF(B31="","",IF(COUNTIF($B$7:$B$306,B31)&gt;1,"Trùng mã TSCĐ",IF(C31="","Thiếu tên TSCĐ",IF(H31="","Thiếu ngày bắt đầu",IF(OR(I31&lt;=0,L31&lt;=0,O31&lt;=0),"Kiểm tra số lượng/nguyên giá/thời gian",IF(AND(G31&lt;&gt;"",H31&lt;G31),"Ngày KH trước ngày ghi tăng",IF(M31&gt;L31,"Giá trị thu hồi vượt nguyên giá",IF(IF(U31="",0,U31)&gt;N31,"Lũy kế đầu năm vượt GTKH","OK"))))))))</f>
        <v/>
      </c>
    </row>
    <row r="32" ht="20" customHeight="1" s="389">
      <c r="A32" s="325">
        <f>IF(B32="","",ROW()-6)</f>
        <v/>
      </c>
      <c r="B32" s="275" t="n"/>
      <c r="C32" s="275" t="n"/>
      <c r="D32" s="331" t="n"/>
      <c r="E32" s="331" t="n"/>
      <c r="F32" s="454" t="n"/>
      <c r="G32" s="454" t="n"/>
      <c r="H32" s="454" t="n"/>
      <c r="I32" s="455" t="n"/>
      <c r="J32" s="456" t="n"/>
      <c r="K32" s="456" t="n"/>
      <c r="L32" s="457">
        <f>IF(B32="","",IF(OR(I32="",J32=""),"",I32*J32+IF(K32="",0,K32)))</f>
        <v/>
      </c>
      <c r="M32" s="456" t="n"/>
      <c r="N32" s="457">
        <f>IF(L32="","",MAX(0,L32-IF(M32="",0,M32)))</f>
        <v/>
      </c>
      <c r="O32" s="455" t="n"/>
      <c r="P32" s="457">
        <f>IF(OR(N32="",O32&lt;=0),"",ROUND(N32/O32,0))</f>
        <v/>
      </c>
      <c r="Q32" s="458">
        <f>IF(OR(H32="",O32&lt;=0),"",EOMONTH(H32,O32-1))</f>
        <v/>
      </c>
      <c r="R32" s="331" t="n"/>
      <c r="S32" s="331" t="n"/>
      <c r="T32" s="331" t="n"/>
      <c r="U32" s="456" t="n"/>
      <c r="V32" s="457">
        <f>IF($AO32&lt;&gt;"OK",0,IF(AND(DATE('Thiết lập'!$B$4,1,1)&gt;=DATE(YEAR($H32),MONTH($H32),1),DATE('Thiết lập'!$B$4,1,1)&lt;EDATE(DATE(YEAR($H32),MONTH($H32),1),$O32)),MIN($P32,MAX(0,$N32-$U32-0)),0))</f>
        <v/>
      </c>
      <c r="W32" s="457">
        <f>IF($AO32&lt;&gt;"OK",0,IF(AND(DATE('Thiết lập'!$B$4,2,1)&gt;=DATE(YEAR($H32),MONTH($H32),1),DATE('Thiết lập'!$B$4,2,1)&lt;EDATE(DATE(YEAR($H32),MONTH($H32),1),$O32)),MIN($P32,MAX(0,$N32-$U32-SUM($V32:V32))),0))</f>
        <v/>
      </c>
      <c r="X32" s="457">
        <f>IF($AO32&lt;&gt;"OK",0,IF(AND(DATE('Thiết lập'!$B$4,3,1)&gt;=DATE(YEAR($H32),MONTH($H32),1),DATE('Thiết lập'!$B$4,3,1)&lt;EDATE(DATE(YEAR($H32),MONTH($H32),1),$O32)),MIN($P32,MAX(0,$N32-$U32-SUM($V32:W32))),0))</f>
        <v/>
      </c>
      <c r="Y32" s="457">
        <f>IF($AO32&lt;&gt;"OK",0,IF(AND(DATE('Thiết lập'!$B$4,4,1)&gt;=DATE(YEAR($H32),MONTH($H32),1),DATE('Thiết lập'!$B$4,4,1)&lt;EDATE(DATE(YEAR($H32),MONTH($H32),1),$O32)),MIN($P32,MAX(0,$N32-$U32-SUM($V32:X32))),0))</f>
        <v/>
      </c>
      <c r="Z32" s="457">
        <f>IF($AO32&lt;&gt;"OK",0,IF(AND(DATE('Thiết lập'!$B$4,5,1)&gt;=DATE(YEAR($H32),MONTH($H32),1),DATE('Thiết lập'!$B$4,5,1)&lt;EDATE(DATE(YEAR($H32),MONTH($H32),1),$O32)),MIN($P32,MAX(0,$N32-$U32-SUM($V32:Y32))),0))</f>
        <v/>
      </c>
      <c r="AA32" s="457">
        <f>IF($AO32&lt;&gt;"OK",0,IF(AND(DATE('Thiết lập'!$B$4,6,1)&gt;=DATE(YEAR($H32),MONTH($H32),1),DATE('Thiết lập'!$B$4,6,1)&lt;EDATE(DATE(YEAR($H32),MONTH($H32),1),$O32)),MIN($P32,MAX(0,$N32-$U32-SUM($V32:Z32))),0))</f>
        <v/>
      </c>
      <c r="AB32" s="457">
        <f>IF($AO32&lt;&gt;"OK",0,IF(AND(DATE('Thiết lập'!$B$4,7,1)&gt;=DATE(YEAR($H32),MONTH($H32),1),DATE('Thiết lập'!$B$4,7,1)&lt;EDATE(DATE(YEAR($H32),MONTH($H32),1),$O32)),MIN($P32,MAX(0,$N32-$U32-SUM($V32:AA32))),0))</f>
        <v/>
      </c>
      <c r="AC32" s="457">
        <f>IF($AO32&lt;&gt;"OK",0,IF(AND(DATE('Thiết lập'!$B$4,8,1)&gt;=DATE(YEAR($H32),MONTH($H32),1),DATE('Thiết lập'!$B$4,8,1)&lt;EDATE(DATE(YEAR($H32),MONTH($H32),1),$O32)),MIN($P32,MAX(0,$N32-$U32-SUM($V32:AB32))),0))</f>
        <v/>
      </c>
      <c r="AD32" s="457">
        <f>IF($AO32&lt;&gt;"OK",0,IF(AND(DATE('Thiết lập'!$B$4,9,1)&gt;=DATE(YEAR($H32),MONTH($H32),1),DATE('Thiết lập'!$B$4,9,1)&lt;EDATE(DATE(YEAR($H32),MONTH($H32),1),$O32)),MIN($P32,MAX(0,$N32-$U32-SUM($V32:AC32))),0))</f>
        <v/>
      </c>
      <c r="AE32" s="457">
        <f>IF($AO32&lt;&gt;"OK",0,IF(AND(DATE('Thiết lập'!$B$4,10,1)&gt;=DATE(YEAR($H32),MONTH($H32),1),DATE('Thiết lập'!$B$4,10,1)&lt;EDATE(DATE(YEAR($H32),MONTH($H32),1),$O32)),MIN($P32,MAX(0,$N32-$U32-SUM($V32:AD32))),0))</f>
        <v/>
      </c>
      <c r="AF32" s="457">
        <f>IF($AO32&lt;&gt;"OK",0,IF(AND(DATE('Thiết lập'!$B$4,11,1)&gt;=DATE(YEAR($H32),MONTH($H32),1),DATE('Thiết lập'!$B$4,11,1)&lt;EDATE(DATE(YEAR($H32),MONTH($H32),1),$O32)),MIN($P32,MAX(0,$N32-$U32-SUM($V32:AE32))),0))</f>
        <v/>
      </c>
      <c r="AG32" s="457">
        <f>IF($AO32&lt;&gt;"OK",0,IF(AND(DATE('Thiết lập'!$B$4,12,1)&gt;=DATE(YEAR($H32),MONTH($H32),1),DATE('Thiết lập'!$B$4,12,1)&lt;EDATE(DATE(YEAR($H32),MONTH($H32),1),$O32)),MIN($P32,MAX(0,$N32-$U32-SUM($V32:AF32))),0))</f>
        <v/>
      </c>
      <c r="AH32" s="457">
        <f>IF(B32="","",SUM(V32:AG32))</f>
        <v/>
      </c>
      <c r="AI32" s="457">
        <f>IF(B32="","",MIN(N32,IF(U32="",0,U32)+AH32))</f>
        <v/>
      </c>
      <c r="AJ32" s="457">
        <f>IF(B32="","",MAX(0,L32-AI32))</f>
        <v/>
      </c>
      <c r="AK32" s="337">
        <f>IF(B32="","",IF(H32&gt;'Thiết lập'!$B$5,"Chưa khấu hao",IF(AJ32&lt;=IF(M32="",0,M32),"Đã hết khấu hao","Đang khấu hao")))</f>
        <v/>
      </c>
      <c r="AL32" s="275" t="n"/>
      <c r="AM32" s="275" t="n"/>
      <c r="AN32" s="275" t="n"/>
      <c r="AO32" s="343">
        <f>IF(B32="","",IF(COUNTIF($B$7:$B$306,B32)&gt;1,"Trùng mã TSCĐ",IF(C32="","Thiếu tên TSCĐ",IF(H32="","Thiếu ngày bắt đầu",IF(OR(I32&lt;=0,L32&lt;=0,O32&lt;=0),"Kiểm tra số lượng/nguyên giá/thời gian",IF(AND(G32&lt;&gt;"",H32&lt;G32),"Ngày KH trước ngày ghi tăng",IF(M32&gt;L32,"Giá trị thu hồi vượt nguyên giá",IF(IF(U32="",0,U32)&gt;N32,"Lũy kế đầu năm vượt GTKH","OK"))))))))</f>
        <v/>
      </c>
    </row>
    <row r="33" ht="20" customHeight="1" s="389">
      <c r="A33" s="325">
        <f>IF(B33="","",ROW()-6)</f>
        <v/>
      </c>
      <c r="B33" s="275" t="n"/>
      <c r="C33" s="275" t="n"/>
      <c r="D33" s="331" t="n"/>
      <c r="E33" s="331" t="n"/>
      <c r="F33" s="454" t="n"/>
      <c r="G33" s="454" t="n"/>
      <c r="H33" s="454" t="n"/>
      <c r="I33" s="455" t="n"/>
      <c r="J33" s="456" t="n"/>
      <c r="K33" s="456" t="n"/>
      <c r="L33" s="457">
        <f>IF(B33="","",IF(OR(I33="",J33=""),"",I33*J33+IF(K33="",0,K33)))</f>
        <v/>
      </c>
      <c r="M33" s="456" t="n"/>
      <c r="N33" s="457">
        <f>IF(L33="","",MAX(0,L33-IF(M33="",0,M33)))</f>
        <v/>
      </c>
      <c r="O33" s="455" t="n"/>
      <c r="P33" s="457">
        <f>IF(OR(N33="",O33&lt;=0),"",ROUND(N33/O33,0))</f>
        <v/>
      </c>
      <c r="Q33" s="458">
        <f>IF(OR(H33="",O33&lt;=0),"",EOMONTH(H33,O33-1))</f>
        <v/>
      </c>
      <c r="R33" s="331" t="n"/>
      <c r="S33" s="331" t="n"/>
      <c r="T33" s="331" t="n"/>
      <c r="U33" s="456" t="n"/>
      <c r="V33" s="457">
        <f>IF($AO33&lt;&gt;"OK",0,IF(AND(DATE('Thiết lập'!$B$4,1,1)&gt;=DATE(YEAR($H33),MONTH($H33),1),DATE('Thiết lập'!$B$4,1,1)&lt;EDATE(DATE(YEAR($H33),MONTH($H33),1),$O33)),MIN($P33,MAX(0,$N33-$U33-0)),0))</f>
        <v/>
      </c>
      <c r="W33" s="457">
        <f>IF($AO33&lt;&gt;"OK",0,IF(AND(DATE('Thiết lập'!$B$4,2,1)&gt;=DATE(YEAR($H33),MONTH($H33),1),DATE('Thiết lập'!$B$4,2,1)&lt;EDATE(DATE(YEAR($H33),MONTH($H33),1),$O33)),MIN($P33,MAX(0,$N33-$U33-SUM($V33:V33))),0))</f>
        <v/>
      </c>
      <c r="X33" s="457">
        <f>IF($AO33&lt;&gt;"OK",0,IF(AND(DATE('Thiết lập'!$B$4,3,1)&gt;=DATE(YEAR($H33),MONTH($H33),1),DATE('Thiết lập'!$B$4,3,1)&lt;EDATE(DATE(YEAR($H33),MONTH($H33),1),$O33)),MIN($P33,MAX(0,$N33-$U33-SUM($V33:W33))),0))</f>
        <v/>
      </c>
      <c r="Y33" s="457">
        <f>IF($AO33&lt;&gt;"OK",0,IF(AND(DATE('Thiết lập'!$B$4,4,1)&gt;=DATE(YEAR($H33),MONTH($H33),1),DATE('Thiết lập'!$B$4,4,1)&lt;EDATE(DATE(YEAR($H33),MONTH($H33),1),$O33)),MIN($P33,MAX(0,$N33-$U33-SUM($V33:X33))),0))</f>
        <v/>
      </c>
      <c r="Z33" s="457">
        <f>IF($AO33&lt;&gt;"OK",0,IF(AND(DATE('Thiết lập'!$B$4,5,1)&gt;=DATE(YEAR($H33),MONTH($H33),1),DATE('Thiết lập'!$B$4,5,1)&lt;EDATE(DATE(YEAR($H33),MONTH($H33),1),$O33)),MIN($P33,MAX(0,$N33-$U33-SUM($V33:Y33))),0))</f>
        <v/>
      </c>
      <c r="AA33" s="457">
        <f>IF($AO33&lt;&gt;"OK",0,IF(AND(DATE('Thiết lập'!$B$4,6,1)&gt;=DATE(YEAR($H33),MONTH($H33),1),DATE('Thiết lập'!$B$4,6,1)&lt;EDATE(DATE(YEAR($H33),MONTH($H33),1),$O33)),MIN($P33,MAX(0,$N33-$U33-SUM($V33:Z33))),0))</f>
        <v/>
      </c>
      <c r="AB33" s="457">
        <f>IF($AO33&lt;&gt;"OK",0,IF(AND(DATE('Thiết lập'!$B$4,7,1)&gt;=DATE(YEAR($H33),MONTH($H33),1),DATE('Thiết lập'!$B$4,7,1)&lt;EDATE(DATE(YEAR($H33),MONTH($H33),1),$O33)),MIN($P33,MAX(0,$N33-$U33-SUM($V33:AA33))),0))</f>
        <v/>
      </c>
      <c r="AC33" s="457">
        <f>IF($AO33&lt;&gt;"OK",0,IF(AND(DATE('Thiết lập'!$B$4,8,1)&gt;=DATE(YEAR($H33),MONTH($H33),1),DATE('Thiết lập'!$B$4,8,1)&lt;EDATE(DATE(YEAR($H33),MONTH($H33),1),$O33)),MIN($P33,MAX(0,$N33-$U33-SUM($V33:AB33))),0))</f>
        <v/>
      </c>
      <c r="AD33" s="457">
        <f>IF($AO33&lt;&gt;"OK",0,IF(AND(DATE('Thiết lập'!$B$4,9,1)&gt;=DATE(YEAR($H33),MONTH($H33),1),DATE('Thiết lập'!$B$4,9,1)&lt;EDATE(DATE(YEAR($H33),MONTH($H33),1),$O33)),MIN($P33,MAX(0,$N33-$U33-SUM($V33:AC33))),0))</f>
        <v/>
      </c>
      <c r="AE33" s="457">
        <f>IF($AO33&lt;&gt;"OK",0,IF(AND(DATE('Thiết lập'!$B$4,10,1)&gt;=DATE(YEAR($H33),MONTH($H33),1),DATE('Thiết lập'!$B$4,10,1)&lt;EDATE(DATE(YEAR($H33),MONTH($H33),1),$O33)),MIN($P33,MAX(0,$N33-$U33-SUM($V33:AD33))),0))</f>
        <v/>
      </c>
      <c r="AF33" s="457">
        <f>IF($AO33&lt;&gt;"OK",0,IF(AND(DATE('Thiết lập'!$B$4,11,1)&gt;=DATE(YEAR($H33),MONTH($H33),1),DATE('Thiết lập'!$B$4,11,1)&lt;EDATE(DATE(YEAR($H33),MONTH($H33),1),$O33)),MIN($P33,MAX(0,$N33-$U33-SUM($V33:AE33))),0))</f>
        <v/>
      </c>
      <c r="AG33" s="457">
        <f>IF($AO33&lt;&gt;"OK",0,IF(AND(DATE('Thiết lập'!$B$4,12,1)&gt;=DATE(YEAR($H33),MONTH($H33),1),DATE('Thiết lập'!$B$4,12,1)&lt;EDATE(DATE(YEAR($H33),MONTH($H33),1),$O33)),MIN($P33,MAX(0,$N33-$U33-SUM($V33:AF33))),0))</f>
        <v/>
      </c>
      <c r="AH33" s="457">
        <f>IF(B33="","",SUM(V33:AG33))</f>
        <v/>
      </c>
      <c r="AI33" s="457">
        <f>IF(B33="","",MIN(N33,IF(U33="",0,U33)+AH33))</f>
        <v/>
      </c>
      <c r="AJ33" s="457">
        <f>IF(B33="","",MAX(0,L33-AI33))</f>
        <v/>
      </c>
      <c r="AK33" s="337">
        <f>IF(B33="","",IF(H33&gt;'Thiết lập'!$B$5,"Chưa khấu hao",IF(AJ33&lt;=IF(M33="",0,M33),"Đã hết khấu hao","Đang khấu hao")))</f>
        <v/>
      </c>
      <c r="AL33" s="275" t="n"/>
      <c r="AM33" s="275" t="n"/>
      <c r="AN33" s="275" t="n"/>
      <c r="AO33" s="343">
        <f>IF(B33="","",IF(COUNTIF($B$7:$B$306,B33)&gt;1,"Trùng mã TSCĐ",IF(C33="","Thiếu tên TSCĐ",IF(H33="","Thiếu ngày bắt đầu",IF(OR(I33&lt;=0,L33&lt;=0,O33&lt;=0),"Kiểm tra số lượng/nguyên giá/thời gian",IF(AND(G33&lt;&gt;"",H33&lt;G33),"Ngày KH trước ngày ghi tăng",IF(M33&gt;L33,"Giá trị thu hồi vượt nguyên giá",IF(IF(U33="",0,U33)&gt;N33,"Lũy kế đầu năm vượt GTKH","OK"))))))))</f>
        <v/>
      </c>
    </row>
    <row r="34" ht="20" customHeight="1" s="389">
      <c r="A34" s="325">
        <f>IF(B34="","",ROW()-6)</f>
        <v/>
      </c>
      <c r="B34" s="275" t="n"/>
      <c r="C34" s="275" t="n"/>
      <c r="D34" s="331" t="n"/>
      <c r="E34" s="331" t="n"/>
      <c r="F34" s="454" t="n"/>
      <c r="G34" s="454" t="n"/>
      <c r="H34" s="454" t="n"/>
      <c r="I34" s="455" t="n"/>
      <c r="J34" s="456" t="n"/>
      <c r="K34" s="456" t="n"/>
      <c r="L34" s="457">
        <f>IF(B34="","",IF(OR(I34="",J34=""),"",I34*J34+IF(K34="",0,K34)))</f>
        <v/>
      </c>
      <c r="M34" s="456" t="n"/>
      <c r="N34" s="457">
        <f>IF(L34="","",MAX(0,L34-IF(M34="",0,M34)))</f>
        <v/>
      </c>
      <c r="O34" s="455" t="n"/>
      <c r="P34" s="457">
        <f>IF(OR(N34="",O34&lt;=0),"",ROUND(N34/O34,0))</f>
        <v/>
      </c>
      <c r="Q34" s="458">
        <f>IF(OR(H34="",O34&lt;=0),"",EOMONTH(H34,O34-1))</f>
        <v/>
      </c>
      <c r="R34" s="331" t="n"/>
      <c r="S34" s="331" t="n"/>
      <c r="T34" s="331" t="n"/>
      <c r="U34" s="456" t="n"/>
      <c r="V34" s="457">
        <f>IF($AO34&lt;&gt;"OK",0,IF(AND(DATE('Thiết lập'!$B$4,1,1)&gt;=DATE(YEAR($H34),MONTH($H34),1),DATE('Thiết lập'!$B$4,1,1)&lt;EDATE(DATE(YEAR($H34),MONTH($H34),1),$O34)),MIN($P34,MAX(0,$N34-$U34-0)),0))</f>
        <v/>
      </c>
      <c r="W34" s="457">
        <f>IF($AO34&lt;&gt;"OK",0,IF(AND(DATE('Thiết lập'!$B$4,2,1)&gt;=DATE(YEAR($H34),MONTH($H34),1),DATE('Thiết lập'!$B$4,2,1)&lt;EDATE(DATE(YEAR($H34),MONTH($H34),1),$O34)),MIN($P34,MAX(0,$N34-$U34-SUM($V34:V34))),0))</f>
        <v/>
      </c>
      <c r="X34" s="457">
        <f>IF($AO34&lt;&gt;"OK",0,IF(AND(DATE('Thiết lập'!$B$4,3,1)&gt;=DATE(YEAR($H34),MONTH($H34),1),DATE('Thiết lập'!$B$4,3,1)&lt;EDATE(DATE(YEAR($H34),MONTH($H34),1),$O34)),MIN($P34,MAX(0,$N34-$U34-SUM($V34:W34))),0))</f>
        <v/>
      </c>
      <c r="Y34" s="457">
        <f>IF($AO34&lt;&gt;"OK",0,IF(AND(DATE('Thiết lập'!$B$4,4,1)&gt;=DATE(YEAR($H34),MONTH($H34),1),DATE('Thiết lập'!$B$4,4,1)&lt;EDATE(DATE(YEAR($H34),MONTH($H34),1),$O34)),MIN($P34,MAX(0,$N34-$U34-SUM($V34:X34))),0))</f>
        <v/>
      </c>
      <c r="Z34" s="457">
        <f>IF($AO34&lt;&gt;"OK",0,IF(AND(DATE('Thiết lập'!$B$4,5,1)&gt;=DATE(YEAR($H34),MONTH($H34),1),DATE('Thiết lập'!$B$4,5,1)&lt;EDATE(DATE(YEAR($H34),MONTH($H34),1),$O34)),MIN($P34,MAX(0,$N34-$U34-SUM($V34:Y34))),0))</f>
        <v/>
      </c>
      <c r="AA34" s="457">
        <f>IF($AO34&lt;&gt;"OK",0,IF(AND(DATE('Thiết lập'!$B$4,6,1)&gt;=DATE(YEAR($H34),MONTH($H34),1),DATE('Thiết lập'!$B$4,6,1)&lt;EDATE(DATE(YEAR($H34),MONTH($H34),1),$O34)),MIN($P34,MAX(0,$N34-$U34-SUM($V34:Z34))),0))</f>
        <v/>
      </c>
      <c r="AB34" s="457">
        <f>IF($AO34&lt;&gt;"OK",0,IF(AND(DATE('Thiết lập'!$B$4,7,1)&gt;=DATE(YEAR($H34),MONTH($H34),1),DATE('Thiết lập'!$B$4,7,1)&lt;EDATE(DATE(YEAR($H34),MONTH($H34),1),$O34)),MIN($P34,MAX(0,$N34-$U34-SUM($V34:AA34))),0))</f>
        <v/>
      </c>
      <c r="AC34" s="457">
        <f>IF($AO34&lt;&gt;"OK",0,IF(AND(DATE('Thiết lập'!$B$4,8,1)&gt;=DATE(YEAR($H34),MONTH($H34),1),DATE('Thiết lập'!$B$4,8,1)&lt;EDATE(DATE(YEAR($H34),MONTH($H34),1),$O34)),MIN($P34,MAX(0,$N34-$U34-SUM($V34:AB34))),0))</f>
        <v/>
      </c>
      <c r="AD34" s="457">
        <f>IF($AO34&lt;&gt;"OK",0,IF(AND(DATE('Thiết lập'!$B$4,9,1)&gt;=DATE(YEAR($H34),MONTH($H34),1),DATE('Thiết lập'!$B$4,9,1)&lt;EDATE(DATE(YEAR($H34),MONTH($H34),1),$O34)),MIN($P34,MAX(0,$N34-$U34-SUM($V34:AC34))),0))</f>
        <v/>
      </c>
      <c r="AE34" s="457">
        <f>IF($AO34&lt;&gt;"OK",0,IF(AND(DATE('Thiết lập'!$B$4,10,1)&gt;=DATE(YEAR($H34),MONTH($H34),1),DATE('Thiết lập'!$B$4,10,1)&lt;EDATE(DATE(YEAR($H34),MONTH($H34),1),$O34)),MIN($P34,MAX(0,$N34-$U34-SUM($V34:AD34))),0))</f>
        <v/>
      </c>
      <c r="AF34" s="457">
        <f>IF($AO34&lt;&gt;"OK",0,IF(AND(DATE('Thiết lập'!$B$4,11,1)&gt;=DATE(YEAR($H34),MONTH($H34),1),DATE('Thiết lập'!$B$4,11,1)&lt;EDATE(DATE(YEAR($H34),MONTH($H34),1),$O34)),MIN($P34,MAX(0,$N34-$U34-SUM($V34:AE34))),0))</f>
        <v/>
      </c>
      <c r="AG34" s="457">
        <f>IF($AO34&lt;&gt;"OK",0,IF(AND(DATE('Thiết lập'!$B$4,12,1)&gt;=DATE(YEAR($H34),MONTH($H34),1),DATE('Thiết lập'!$B$4,12,1)&lt;EDATE(DATE(YEAR($H34),MONTH($H34),1),$O34)),MIN($P34,MAX(0,$N34-$U34-SUM($V34:AF34))),0))</f>
        <v/>
      </c>
      <c r="AH34" s="457">
        <f>IF(B34="","",SUM(V34:AG34))</f>
        <v/>
      </c>
      <c r="AI34" s="457">
        <f>IF(B34="","",MIN(N34,IF(U34="",0,U34)+AH34))</f>
        <v/>
      </c>
      <c r="AJ34" s="457">
        <f>IF(B34="","",MAX(0,L34-AI34))</f>
        <v/>
      </c>
      <c r="AK34" s="337">
        <f>IF(B34="","",IF(H34&gt;'Thiết lập'!$B$5,"Chưa khấu hao",IF(AJ34&lt;=IF(M34="",0,M34),"Đã hết khấu hao","Đang khấu hao")))</f>
        <v/>
      </c>
      <c r="AL34" s="275" t="n"/>
      <c r="AM34" s="275" t="n"/>
      <c r="AN34" s="275" t="n"/>
      <c r="AO34" s="343">
        <f>IF(B34="","",IF(COUNTIF($B$7:$B$306,B34)&gt;1,"Trùng mã TSCĐ",IF(C34="","Thiếu tên TSCĐ",IF(H34="","Thiếu ngày bắt đầu",IF(OR(I34&lt;=0,L34&lt;=0,O34&lt;=0),"Kiểm tra số lượng/nguyên giá/thời gian",IF(AND(G34&lt;&gt;"",H34&lt;G34),"Ngày KH trước ngày ghi tăng",IF(M34&gt;L34,"Giá trị thu hồi vượt nguyên giá",IF(IF(U34="",0,U34)&gt;N34,"Lũy kế đầu năm vượt GTKH","OK"))))))))</f>
        <v/>
      </c>
    </row>
    <row r="35" ht="20" customHeight="1" s="389">
      <c r="A35" s="325">
        <f>IF(B35="","",ROW()-6)</f>
        <v/>
      </c>
      <c r="B35" s="275" t="n"/>
      <c r="C35" s="275" t="n"/>
      <c r="D35" s="331" t="n"/>
      <c r="E35" s="331" t="n"/>
      <c r="F35" s="454" t="n"/>
      <c r="G35" s="454" t="n"/>
      <c r="H35" s="454" t="n"/>
      <c r="I35" s="455" t="n"/>
      <c r="J35" s="456" t="n"/>
      <c r="K35" s="456" t="n"/>
      <c r="L35" s="457">
        <f>IF(B35="","",IF(OR(I35="",J35=""),"",I35*J35+IF(K35="",0,K35)))</f>
        <v/>
      </c>
      <c r="M35" s="456" t="n"/>
      <c r="N35" s="457">
        <f>IF(L35="","",MAX(0,L35-IF(M35="",0,M35)))</f>
        <v/>
      </c>
      <c r="O35" s="455" t="n"/>
      <c r="P35" s="457">
        <f>IF(OR(N35="",O35&lt;=0),"",ROUND(N35/O35,0))</f>
        <v/>
      </c>
      <c r="Q35" s="458">
        <f>IF(OR(H35="",O35&lt;=0),"",EOMONTH(H35,O35-1))</f>
        <v/>
      </c>
      <c r="R35" s="331" t="n"/>
      <c r="S35" s="331" t="n"/>
      <c r="T35" s="331" t="n"/>
      <c r="U35" s="456" t="n"/>
      <c r="V35" s="457">
        <f>IF($AO35&lt;&gt;"OK",0,IF(AND(DATE('Thiết lập'!$B$4,1,1)&gt;=DATE(YEAR($H35),MONTH($H35),1),DATE('Thiết lập'!$B$4,1,1)&lt;EDATE(DATE(YEAR($H35),MONTH($H35),1),$O35)),MIN($P35,MAX(0,$N35-$U35-0)),0))</f>
        <v/>
      </c>
      <c r="W35" s="457">
        <f>IF($AO35&lt;&gt;"OK",0,IF(AND(DATE('Thiết lập'!$B$4,2,1)&gt;=DATE(YEAR($H35),MONTH($H35),1),DATE('Thiết lập'!$B$4,2,1)&lt;EDATE(DATE(YEAR($H35),MONTH($H35),1),$O35)),MIN($P35,MAX(0,$N35-$U35-SUM($V35:V35))),0))</f>
        <v/>
      </c>
      <c r="X35" s="457">
        <f>IF($AO35&lt;&gt;"OK",0,IF(AND(DATE('Thiết lập'!$B$4,3,1)&gt;=DATE(YEAR($H35),MONTH($H35),1),DATE('Thiết lập'!$B$4,3,1)&lt;EDATE(DATE(YEAR($H35),MONTH($H35),1),$O35)),MIN($P35,MAX(0,$N35-$U35-SUM($V35:W35))),0))</f>
        <v/>
      </c>
      <c r="Y35" s="457">
        <f>IF($AO35&lt;&gt;"OK",0,IF(AND(DATE('Thiết lập'!$B$4,4,1)&gt;=DATE(YEAR($H35),MONTH($H35),1),DATE('Thiết lập'!$B$4,4,1)&lt;EDATE(DATE(YEAR($H35),MONTH($H35),1),$O35)),MIN($P35,MAX(0,$N35-$U35-SUM($V35:X35))),0))</f>
        <v/>
      </c>
      <c r="Z35" s="457">
        <f>IF($AO35&lt;&gt;"OK",0,IF(AND(DATE('Thiết lập'!$B$4,5,1)&gt;=DATE(YEAR($H35),MONTH($H35),1),DATE('Thiết lập'!$B$4,5,1)&lt;EDATE(DATE(YEAR($H35),MONTH($H35),1),$O35)),MIN($P35,MAX(0,$N35-$U35-SUM($V35:Y35))),0))</f>
        <v/>
      </c>
      <c r="AA35" s="457">
        <f>IF($AO35&lt;&gt;"OK",0,IF(AND(DATE('Thiết lập'!$B$4,6,1)&gt;=DATE(YEAR($H35),MONTH($H35),1),DATE('Thiết lập'!$B$4,6,1)&lt;EDATE(DATE(YEAR($H35),MONTH($H35),1),$O35)),MIN($P35,MAX(0,$N35-$U35-SUM($V35:Z35))),0))</f>
        <v/>
      </c>
      <c r="AB35" s="457">
        <f>IF($AO35&lt;&gt;"OK",0,IF(AND(DATE('Thiết lập'!$B$4,7,1)&gt;=DATE(YEAR($H35),MONTH($H35),1),DATE('Thiết lập'!$B$4,7,1)&lt;EDATE(DATE(YEAR($H35),MONTH($H35),1),$O35)),MIN($P35,MAX(0,$N35-$U35-SUM($V35:AA35))),0))</f>
        <v/>
      </c>
      <c r="AC35" s="457">
        <f>IF($AO35&lt;&gt;"OK",0,IF(AND(DATE('Thiết lập'!$B$4,8,1)&gt;=DATE(YEAR($H35),MONTH($H35),1),DATE('Thiết lập'!$B$4,8,1)&lt;EDATE(DATE(YEAR($H35),MONTH($H35),1),$O35)),MIN($P35,MAX(0,$N35-$U35-SUM($V35:AB35))),0))</f>
        <v/>
      </c>
      <c r="AD35" s="457">
        <f>IF($AO35&lt;&gt;"OK",0,IF(AND(DATE('Thiết lập'!$B$4,9,1)&gt;=DATE(YEAR($H35),MONTH($H35),1),DATE('Thiết lập'!$B$4,9,1)&lt;EDATE(DATE(YEAR($H35),MONTH($H35),1),$O35)),MIN($P35,MAX(0,$N35-$U35-SUM($V35:AC35))),0))</f>
        <v/>
      </c>
      <c r="AE35" s="457">
        <f>IF($AO35&lt;&gt;"OK",0,IF(AND(DATE('Thiết lập'!$B$4,10,1)&gt;=DATE(YEAR($H35),MONTH($H35),1),DATE('Thiết lập'!$B$4,10,1)&lt;EDATE(DATE(YEAR($H35),MONTH($H35),1),$O35)),MIN($P35,MAX(0,$N35-$U35-SUM($V35:AD35))),0))</f>
        <v/>
      </c>
      <c r="AF35" s="457">
        <f>IF($AO35&lt;&gt;"OK",0,IF(AND(DATE('Thiết lập'!$B$4,11,1)&gt;=DATE(YEAR($H35),MONTH($H35),1),DATE('Thiết lập'!$B$4,11,1)&lt;EDATE(DATE(YEAR($H35),MONTH($H35),1),$O35)),MIN($P35,MAX(0,$N35-$U35-SUM($V35:AE35))),0))</f>
        <v/>
      </c>
      <c r="AG35" s="457">
        <f>IF($AO35&lt;&gt;"OK",0,IF(AND(DATE('Thiết lập'!$B$4,12,1)&gt;=DATE(YEAR($H35),MONTH($H35),1),DATE('Thiết lập'!$B$4,12,1)&lt;EDATE(DATE(YEAR($H35),MONTH($H35),1),$O35)),MIN($P35,MAX(0,$N35-$U35-SUM($V35:AF35))),0))</f>
        <v/>
      </c>
      <c r="AH35" s="457">
        <f>IF(B35="","",SUM(V35:AG35))</f>
        <v/>
      </c>
      <c r="AI35" s="457">
        <f>IF(B35="","",MIN(N35,IF(U35="",0,U35)+AH35))</f>
        <v/>
      </c>
      <c r="AJ35" s="457">
        <f>IF(B35="","",MAX(0,L35-AI35))</f>
        <v/>
      </c>
      <c r="AK35" s="337">
        <f>IF(B35="","",IF(H35&gt;'Thiết lập'!$B$5,"Chưa khấu hao",IF(AJ35&lt;=IF(M35="",0,M35),"Đã hết khấu hao","Đang khấu hao")))</f>
        <v/>
      </c>
      <c r="AL35" s="275" t="n"/>
      <c r="AM35" s="275" t="n"/>
      <c r="AN35" s="275" t="n"/>
      <c r="AO35" s="343">
        <f>IF(B35="","",IF(COUNTIF($B$7:$B$306,B35)&gt;1,"Trùng mã TSCĐ",IF(C35="","Thiếu tên TSCĐ",IF(H35="","Thiếu ngày bắt đầu",IF(OR(I35&lt;=0,L35&lt;=0,O35&lt;=0),"Kiểm tra số lượng/nguyên giá/thời gian",IF(AND(G35&lt;&gt;"",H35&lt;G35),"Ngày KH trước ngày ghi tăng",IF(M35&gt;L35,"Giá trị thu hồi vượt nguyên giá",IF(IF(U35="",0,U35)&gt;N35,"Lũy kế đầu năm vượt GTKH","OK"))))))))</f>
        <v/>
      </c>
    </row>
    <row r="36" ht="20" customHeight="1" s="389">
      <c r="A36" s="325">
        <f>IF(B36="","",ROW()-6)</f>
        <v/>
      </c>
      <c r="B36" s="275" t="n"/>
      <c r="C36" s="275" t="n"/>
      <c r="D36" s="331" t="n"/>
      <c r="E36" s="331" t="n"/>
      <c r="F36" s="454" t="n"/>
      <c r="G36" s="454" t="n"/>
      <c r="H36" s="454" t="n"/>
      <c r="I36" s="455" t="n"/>
      <c r="J36" s="456" t="n"/>
      <c r="K36" s="456" t="n"/>
      <c r="L36" s="457">
        <f>IF(B36="","",IF(OR(I36="",J36=""),"",I36*J36+IF(K36="",0,K36)))</f>
        <v/>
      </c>
      <c r="M36" s="456" t="n"/>
      <c r="N36" s="457">
        <f>IF(L36="","",MAX(0,L36-IF(M36="",0,M36)))</f>
        <v/>
      </c>
      <c r="O36" s="455" t="n"/>
      <c r="P36" s="457">
        <f>IF(OR(N36="",O36&lt;=0),"",ROUND(N36/O36,0))</f>
        <v/>
      </c>
      <c r="Q36" s="458">
        <f>IF(OR(H36="",O36&lt;=0),"",EOMONTH(H36,O36-1))</f>
        <v/>
      </c>
      <c r="R36" s="331" t="n"/>
      <c r="S36" s="331" t="n"/>
      <c r="T36" s="331" t="n"/>
      <c r="U36" s="456" t="n"/>
      <c r="V36" s="457">
        <f>IF($AO36&lt;&gt;"OK",0,IF(AND(DATE('Thiết lập'!$B$4,1,1)&gt;=DATE(YEAR($H36),MONTH($H36),1),DATE('Thiết lập'!$B$4,1,1)&lt;EDATE(DATE(YEAR($H36),MONTH($H36),1),$O36)),MIN($P36,MAX(0,$N36-$U36-0)),0))</f>
        <v/>
      </c>
      <c r="W36" s="457">
        <f>IF($AO36&lt;&gt;"OK",0,IF(AND(DATE('Thiết lập'!$B$4,2,1)&gt;=DATE(YEAR($H36),MONTH($H36),1),DATE('Thiết lập'!$B$4,2,1)&lt;EDATE(DATE(YEAR($H36),MONTH($H36),1),$O36)),MIN($P36,MAX(0,$N36-$U36-SUM($V36:V36))),0))</f>
        <v/>
      </c>
      <c r="X36" s="457">
        <f>IF($AO36&lt;&gt;"OK",0,IF(AND(DATE('Thiết lập'!$B$4,3,1)&gt;=DATE(YEAR($H36),MONTH($H36),1),DATE('Thiết lập'!$B$4,3,1)&lt;EDATE(DATE(YEAR($H36),MONTH($H36),1),$O36)),MIN($P36,MAX(0,$N36-$U36-SUM($V36:W36))),0))</f>
        <v/>
      </c>
      <c r="Y36" s="457">
        <f>IF($AO36&lt;&gt;"OK",0,IF(AND(DATE('Thiết lập'!$B$4,4,1)&gt;=DATE(YEAR($H36),MONTH($H36),1),DATE('Thiết lập'!$B$4,4,1)&lt;EDATE(DATE(YEAR($H36),MONTH($H36),1),$O36)),MIN($P36,MAX(0,$N36-$U36-SUM($V36:X36))),0))</f>
        <v/>
      </c>
      <c r="Z36" s="457">
        <f>IF($AO36&lt;&gt;"OK",0,IF(AND(DATE('Thiết lập'!$B$4,5,1)&gt;=DATE(YEAR($H36),MONTH($H36),1),DATE('Thiết lập'!$B$4,5,1)&lt;EDATE(DATE(YEAR($H36),MONTH($H36),1),$O36)),MIN($P36,MAX(0,$N36-$U36-SUM($V36:Y36))),0))</f>
        <v/>
      </c>
      <c r="AA36" s="457">
        <f>IF($AO36&lt;&gt;"OK",0,IF(AND(DATE('Thiết lập'!$B$4,6,1)&gt;=DATE(YEAR($H36),MONTH($H36),1),DATE('Thiết lập'!$B$4,6,1)&lt;EDATE(DATE(YEAR($H36),MONTH($H36),1),$O36)),MIN($P36,MAX(0,$N36-$U36-SUM($V36:Z36))),0))</f>
        <v/>
      </c>
      <c r="AB36" s="457">
        <f>IF($AO36&lt;&gt;"OK",0,IF(AND(DATE('Thiết lập'!$B$4,7,1)&gt;=DATE(YEAR($H36),MONTH($H36),1),DATE('Thiết lập'!$B$4,7,1)&lt;EDATE(DATE(YEAR($H36),MONTH($H36),1),$O36)),MIN($P36,MAX(0,$N36-$U36-SUM($V36:AA36))),0))</f>
        <v/>
      </c>
      <c r="AC36" s="457">
        <f>IF($AO36&lt;&gt;"OK",0,IF(AND(DATE('Thiết lập'!$B$4,8,1)&gt;=DATE(YEAR($H36),MONTH($H36),1),DATE('Thiết lập'!$B$4,8,1)&lt;EDATE(DATE(YEAR($H36),MONTH($H36),1),$O36)),MIN($P36,MAX(0,$N36-$U36-SUM($V36:AB36))),0))</f>
        <v/>
      </c>
      <c r="AD36" s="457">
        <f>IF($AO36&lt;&gt;"OK",0,IF(AND(DATE('Thiết lập'!$B$4,9,1)&gt;=DATE(YEAR($H36),MONTH($H36),1),DATE('Thiết lập'!$B$4,9,1)&lt;EDATE(DATE(YEAR($H36),MONTH($H36),1),$O36)),MIN($P36,MAX(0,$N36-$U36-SUM($V36:AC36))),0))</f>
        <v/>
      </c>
      <c r="AE36" s="457">
        <f>IF($AO36&lt;&gt;"OK",0,IF(AND(DATE('Thiết lập'!$B$4,10,1)&gt;=DATE(YEAR($H36),MONTH($H36),1),DATE('Thiết lập'!$B$4,10,1)&lt;EDATE(DATE(YEAR($H36),MONTH($H36),1),$O36)),MIN($P36,MAX(0,$N36-$U36-SUM($V36:AD36))),0))</f>
        <v/>
      </c>
      <c r="AF36" s="457">
        <f>IF($AO36&lt;&gt;"OK",0,IF(AND(DATE('Thiết lập'!$B$4,11,1)&gt;=DATE(YEAR($H36),MONTH($H36),1),DATE('Thiết lập'!$B$4,11,1)&lt;EDATE(DATE(YEAR($H36),MONTH($H36),1),$O36)),MIN($P36,MAX(0,$N36-$U36-SUM($V36:AE36))),0))</f>
        <v/>
      </c>
      <c r="AG36" s="457">
        <f>IF($AO36&lt;&gt;"OK",0,IF(AND(DATE('Thiết lập'!$B$4,12,1)&gt;=DATE(YEAR($H36),MONTH($H36),1),DATE('Thiết lập'!$B$4,12,1)&lt;EDATE(DATE(YEAR($H36),MONTH($H36),1),$O36)),MIN($P36,MAX(0,$N36-$U36-SUM($V36:AF36))),0))</f>
        <v/>
      </c>
      <c r="AH36" s="457">
        <f>IF(B36="","",SUM(V36:AG36))</f>
        <v/>
      </c>
      <c r="AI36" s="457">
        <f>IF(B36="","",MIN(N36,IF(U36="",0,U36)+AH36))</f>
        <v/>
      </c>
      <c r="AJ36" s="457">
        <f>IF(B36="","",MAX(0,L36-AI36))</f>
        <v/>
      </c>
      <c r="AK36" s="337">
        <f>IF(B36="","",IF(H36&gt;'Thiết lập'!$B$5,"Chưa khấu hao",IF(AJ36&lt;=IF(M36="",0,M36),"Đã hết khấu hao","Đang khấu hao")))</f>
        <v/>
      </c>
      <c r="AL36" s="275" t="n"/>
      <c r="AM36" s="275" t="n"/>
      <c r="AN36" s="275" t="n"/>
      <c r="AO36" s="343">
        <f>IF(B36="","",IF(COUNTIF($B$7:$B$306,B36)&gt;1,"Trùng mã TSCĐ",IF(C36="","Thiếu tên TSCĐ",IF(H36="","Thiếu ngày bắt đầu",IF(OR(I36&lt;=0,L36&lt;=0,O36&lt;=0),"Kiểm tra số lượng/nguyên giá/thời gian",IF(AND(G36&lt;&gt;"",H36&lt;G36),"Ngày KH trước ngày ghi tăng",IF(M36&gt;L36,"Giá trị thu hồi vượt nguyên giá",IF(IF(U36="",0,U36)&gt;N36,"Lũy kế đầu năm vượt GTKH","OK"))))))))</f>
        <v/>
      </c>
    </row>
    <row r="37" ht="20" customHeight="1" s="389">
      <c r="A37" s="325">
        <f>IF(B37="","",ROW()-6)</f>
        <v/>
      </c>
      <c r="B37" s="275" t="n"/>
      <c r="C37" s="275" t="n"/>
      <c r="D37" s="331" t="n"/>
      <c r="E37" s="331" t="n"/>
      <c r="F37" s="454" t="n"/>
      <c r="G37" s="454" t="n"/>
      <c r="H37" s="454" t="n"/>
      <c r="I37" s="455" t="n"/>
      <c r="J37" s="456" t="n"/>
      <c r="K37" s="456" t="n"/>
      <c r="L37" s="457">
        <f>IF(B37="","",IF(OR(I37="",J37=""),"",I37*J37+IF(K37="",0,K37)))</f>
        <v/>
      </c>
      <c r="M37" s="456" t="n"/>
      <c r="N37" s="457">
        <f>IF(L37="","",MAX(0,L37-IF(M37="",0,M37)))</f>
        <v/>
      </c>
      <c r="O37" s="455" t="n"/>
      <c r="P37" s="457">
        <f>IF(OR(N37="",O37&lt;=0),"",ROUND(N37/O37,0))</f>
        <v/>
      </c>
      <c r="Q37" s="458">
        <f>IF(OR(H37="",O37&lt;=0),"",EOMONTH(H37,O37-1))</f>
        <v/>
      </c>
      <c r="R37" s="331" t="n"/>
      <c r="S37" s="331" t="n"/>
      <c r="T37" s="331" t="n"/>
      <c r="U37" s="456" t="n"/>
      <c r="V37" s="457">
        <f>IF($AO37&lt;&gt;"OK",0,IF(AND(DATE('Thiết lập'!$B$4,1,1)&gt;=DATE(YEAR($H37),MONTH($H37),1),DATE('Thiết lập'!$B$4,1,1)&lt;EDATE(DATE(YEAR($H37),MONTH($H37),1),$O37)),MIN($P37,MAX(0,$N37-$U37-0)),0))</f>
        <v/>
      </c>
      <c r="W37" s="457">
        <f>IF($AO37&lt;&gt;"OK",0,IF(AND(DATE('Thiết lập'!$B$4,2,1)&gt;=DATE(YEAR($H37),MONTH($H37),1),DATE('Thiết lập'!$B$4,2,1)&lt;EDATE(DATE(YEAR($H37),MONTH($H37),1),$O37)),MIN($P37,MAX(0,$N37-$U37-SUM($V37:V37))),0))</f>
        <v/>
      </c>
      <c r="X37" s="457">
        <f>IF($AO37&lt;&gt;"OK",0,IF(AND(DATE('Thiết lập'!$B$4,3,1)&gt;=DATE(YEAR($H37),MONTH($H37),1),DATE('Thiết lập'!$B$4,3,1)&lt;EDATE(DATE(YEAR($H37),MONTH($H37),1),$O37)),MIN($P37,MAX(0,$N37-$U37-SUM($V37:W37))),0))</f>
        <v/>
      </c>
      <c r="Y37" s="457">
        <f>IF($AO37&lt;&gt;"OK",0,IF(AND(DATE('Thiết lập'!$B$4,4,1)&gt;=DATE(YEAR($H37),MONTH($H37),1),DATE('Thiết lập'!$B$4,4,1)&lt;EDATE(DATE(YEAR($H37),MONTH($H37),1),$O37)),MIN($P37,MAX(0,$N37-$U37-SUM($V37:X37))),0))</f>
        <v/>
      </c>
      <c r="Z37" s="457">
        <f>IF($AO37&lt;&gt;"OK",0,IF(AND(DATE('Thiết lập'!$B$4,5,1)&gt;=DATE(YEAR($H37),MONTH($H37),1),DATE('Thiết lập'!$B$4,5,1)&lt;EDATE(DATE(YEAR($H37),MONTH($H37),1),$O37)),MIN($P37,MAX(0,$N37-$U37-SUM($V37:Y37))),0))</f>
        <v/>
      </c>
      <c r="AA37" s="457">
        <f>IF($AO37&lt;&gt;"OK",0,IF(AND(DATE('Thiết lập'!$B$4,6,1)&gt;=DATE(YEAR($H37),MONTH($H37),1),DATE('Thiết lập'!$B$4,6,1)&lt;EDATE(DATE(YEAR($H37),MONTH($H37),1),$O37)),MIN($P37,MAX(0,$N37-$U37-SUM($V37:Z37))),0))</f>
        <v/>
      </c>
      <c r="AB37" s="457">
        <f>IF($AO37&lt;&gt;"OK",0,IF(AND(DATE('Thiết lập'!$B$4,7,1)&gt;=DATE(YEAR($H37),MONTH($H37),1),DATE('Thiết lập'!$B$4,7,1)&lt;EDATE(DATE(YEAR($H37),MONTH($H37),1),$O37)),MIN($P37,MAX(0,$N37-$U37-SUM($V37:AA37))),0))</f>
        <v/>
      </c>
      <c r="AC37" s="457">
        <f>IF($AO37&lt;&gt;"OK",0,IF(AND(DATE('Thiết lập'!$B$4,8,1)&gt;=DATE(YEAR($H37),MONTH($H37),1),DATE('Thiết lập'!$B$4,8,1)&lt;EDATE(DATE(YEAR($H37),MONTH($H37),1),$O37)),MIN($P37,MAX(0,$N37-$U37-SUM($V37:AB37))),0))</f>
        <v/>
      </c>
      <c r="AD37" s="457">
        <f>IF($AO37&lt;&gt;"OK",0,IF(AND(DATE('Thiết lập'!$B$4,9,1)&gt;=DATE(YEAR($H37),MONTH($H37),1),DATE('Thiết lập'!$B$4,9,1)&lt;EDATE(DATE(YEAR($H37),MONTH($H37),1),$O37)),MIN($P37,MAX(0,$N37-$U37-SUM($V37:AC37))),0))</f>
        <v/>
      </c>
      <c r="AE37" s="457">
        <f>IF($AO37&lt;&gt;"OK",0,IF(AND(DATE('Thiết lập'!$B$4,10,1)&gt;=DATE(YEAR($H37),MONTH($H37),1),DATE('Thiết lập'!$B$4,10,1)&lt;EDATE(DATE(YEAR($H37),MONTH($H37),1),$O37)),MIN($P37,MAX(0,$N37-$U37-SUM($V37:AD37))),0))</f>
        <v/>
      </c>
      <c r="AF37" s="457">
        <f>IF($AO37&lt;&gt;"OK",0,IF(AND(DATE('Thiết lập'!$B$4,11,1)&gt;=DATE(YEAR($H37),MONTH($H37),1),DATE('Thiết lập'!$B$4,11,1)&lt;EDATE(DATE(YEAR($H37),MONTH($H37),1),$O37)),MIN($P37,MAX(0,$N37-$U37-SUM($V37:AE37))),0))</f>
        <v/>
      </c>
      <c r="AG37" s="457">
        <f>IF($AO37&lt;&gt;"OK",0,IF(AND(DATE('Thiết lập'!$B$4,12,1)&gt;=DATE(YEAR($H37),MONTH($H37),1),DATE('Thiết lập'!$B$4,12,1)&lt;EDATE(DATE(YEAR($H37),MONTH($H37),1),$O37)),MIN($P37,MAX(0,$N37-$U37-SUM($V37:AF37))),0))</f>
        <v/>
      </c>
      <c r="AH37" s="457">
        <f>IF(B37="","",SUM(V37:AG37))</f>
        <v/>
      </c>
      <c r="AI37" s="457">
        <f>IF(B37="","",MIN(N37,IF(U37="",0,U37)+AH37))</f>
        <v/>
      </c>
      <c r="AJ37" s="457">
        <f>IF(B37="","",MAX(0,L37-AI37))</f>
        <v/>
      </c>
      <c r="AK37" s="337">
        <f>IF(B37="","",IF(H37&gt;'Thiết lập'!$B$5,"Chưa khấu hao",IF(AJ37&lt;=IF(M37="",0,M37),"Đã hết khấu hao","Đang khấu hao")))</f>
        <v/>
      </c>
      <c r="AL37" s="275" t="n"/>
      <c r="AM37" s="275" t="n"/>
      <c r="AN37" s="275" t="n"/>
      <c r="AO37" s="343">
        <f>IF(B37="","",IF(COUNTIF($B$7:$B$306,B37)&gt;1,"Trùng mã TSCĐ",IF(C37="","Thiếu tên TSCĐ",IF(H37="","Thiếu ngày bắt đầu",IF(OR(I37&lt;=0,L37&lt;=0,O37&lt;=0),"Kiểm tra số lượng/nguyên giá/thời gian",IF(AND(G37&lt;&gt;"",H37&lt;G37),"Ngày KH trước ngày ghi tăng",IF(M37&gt;L37,"Giá trị thu hồi vượt nguyên giá",IF(IF(U37="",0,U37)&gt;N37,"Lũy kế đầu năm vượt GTKH","OK"))))))))</f>
        <v/>
      </c>
    </row>
    <row r="38" ht="20" customHeight="1" s="389">
      <c r="A38" s="325">
        <f>IF(B38="","",ROW()-6)</f>
        <v/>
      </c>
      <c r="B38" s="275" t="n"/>
      <c r="C38" s="275" t="n"/>
      <c r="D38" s="331" t="n"/>
      <c r="E38" s="331" t="n"/>
      <c r="F38" s="454" t="n"/>
      <c r="G38" s="454" t="n"/>
      <c r="H38" s="454" t="n"/>
      <c r="I38" s="455" t="n"/>
      <c r="J38" s="456" t="n"/>
      <c r="K38" s="456" t="n"/>
      <c r="L38" s="457">
        <f>IF(B38="","",IF(OR(I38="",J38=""),"",I38*J38+IF(K38="",0,K38)))</f>
        <v/>
      </c>
      <c r="M38" s="456" t="n"/>
      <c r="N38" s="457">
        <f>IF(L38="","",MAX(0,L38-IF(M38="",0,M38)))</f>
        <v/>
      </c>
      <c r="O38" s="455" t="n"/>
      <c r="P38" s="457">
        <f>IF(OR(N38="",O38&lt;=0),"",ROUND(N38/O38,0))</f>
        <v/>
      </c>
      <c r="Q38" s="458">
        <f>IF(OR(H38="",O38&lt;=0),"",EOMONTH(H38,O38-1))</f>
        <v/>
      </c>
      <c r="R38" s="331" t="n"/>
      <c r="S38" s="331" t="n"/>
      <c r="T38" s="331" t="n"/>
      <c r="U38" s="456" t="n"/>
      <c r="V38" s="457">
        <f>IF($AO38&lt;&gt;"OK",0,IF(AND(DATE('Thiết lập'!$B$4,1,1)&gt;=DATE(YEAR($H38),MONTH($H38),1),DATE('Thiết lập'!$B$4,1,1)&lt;EDATE(DATE(YEAR($H38),MONTH($H38),1),$O38)),MIN($P38,MAX(0,$N38-$U38-0)),0))</f>
        <v/>
      </c>
      <c r="W38" s="457">
        <f>IF($AO38&lt;&gt;"OK",0,IF(AND(DATE('Thiết lập'!$B$4,2,1)&gt;=DATE(YEAR($H38),MONTH($H38),1),DATE('Thiết lập'!$B$4,2,1)&lt;EDATE(DATE(YEAR($H38),MONTH($H38),1),$O38)),MIN($P38,MAX(0,$N38-$U38-SUM($V38:V38))),0))</f>
        <v/>
      </c>
      <c r="X38" s="457">
        <f>IF($AO38&lt;&gt;"OK",0,IF(AND(DATE('Thiết lập'!$B$4,3,1)&gt;=DATE(YEAR($H38),MONTH($H38),1),DATE('Thiết lập'!$B$4,3,1)&lt;EDATE(DATE(YEAR($H38),MONTH($H38),1),$O38)),MIN($P38,MAX(0,$N38-$U38-SUM($V38:W38))),0))</f>
        <v/>
      </c>
      <c r="Y38" s="457">
        <f>IF($AO38&lt;&gt;"OK",0,IF(AND(DATE('Thiết lập'!$B$4,4,1)&gt;=DATE(YEAR($H38),MONTH($H38),1),DATE('Thiết lập'!$B$4,4,1)&lt;EDATE(DATE(YEAR($H38),MONTH($H38),1),$O38)),MIN($P38,MAX(0,$N38-$U38-SUM($V38:X38))),0))</f>
        <v/>
      </c>
      <c r="Z38" s="457">
        <f>IF($AO38&lt;&gt;"OK",0,IF(AND(DATE('Thiết lập'!$B$4,5,1)&gt;=DATE(YEAR($H38),MONTH($H38),1),DATE('Thiết lập'!$B$4,5,1)&lt;EDATE(DATE(YEAR($H38),MONTH($H38),1),$O38)),MIN($P38,MAX(0,$N38-$U38-SUM($V38:Y38))),0))</f>
        <v/>
      </c>
      <c r="AA38" s="457">
        <f>IF($AO38&lt;&gt;"OK",0,IF(AND(DATE('Thiết lập'!$B$4,6,1)&gt;=DATE(YEAR($H38),MONTH($H38),1),DATE('Thiết lập'!$B$4,6,1)&lt;EDATE(DATE(YEAR($H38),MONTH($H38),1),$O38)),MIN($P38,MAX(0,$N38-$U38-SUM($V38:Z38))),0))</f>
        <v/>
      </c>
      <c r="AB38" s="457">
        <f>IF($AO38&lt;&gt;"OK",0,IF(AND(DATE('Thiết lập'!$B$4,7,1)&gt;=DATE(YEAR($H38),MONTH($H38),1),DATE('Thiết lập'!$B$4,7,1)&lt;EDATE(DATE(YEAR($H38),MONTH($H38),1),$O38)),MIN($P38,MAX(0,$N38-$U38-SUM($V38:AA38))),0))</f>
        <v/>
      </c>
      <c r="AC38" s="457">
        <f>IF($AO38&lt;&gt;"OK",0,IF(AND(DATE('Thiết lập'!$B$4,8,1)&gt;=DATE(YEAR($H38),MONTH($H38),1),DATE('Thiết lập'!$B$4,8,1)&lt;EDATE(DATE(YEAR($H38),MONTH($H38),1),$O38)),MIN($P38,MAX(0,$N38-$U38-SUM($V38:AB38))),0))</f>
        <v/>
      </c>
      <c r="AD38" s="457">
        <f>IF($AO38&lt;&gt;"OK",0,IF(AND(DATE('Thiết lập'!$B$4,9,1)&gt;=DATE(YEAR($H38),MONTH($H38),1),DATE('Thiết lập'!$B$4,9,1)&lt;EDATE(DATE(YEAR($H38),MONTH($H38),1),$O38)),MIN($P38,MAX(0,$N38-$U38-SUM($V38:AC38))),0))</f>
        <v/>
      </c>
      <c r="AE38" s="457">
        <f>IF($AO38&lt;&gt;"OK",0,IF(AND(DATE('Thiết lập'!$B$4,10,1)&gt;=DATE(YEAR($H38),MONTH($H38),1),DATE('Thiết lập'!$B$4,10,1)&lt;EDATE(DATE(YEAR($H38),MONTH($H38),1),$O38)),MIN($P38,MAX(0,$N38-$U38-SUM($V38:AD38))),0))</f>
        <v/>
      </c>
      <c r="AF38" s="457">
        <f>IF($AO38&lt;&gt;"OK",0,IF(AND(DATE('Thiết lập'!$B$4,11,1)&gt;=DATE(YEAR($H38),MONTH($H38),1),DATE('Thiết lập'!$B$4,11,1)&lt;EDATE(DATE(YEAR($H38),MONTH($H38),1),$O38)),MIN($P38,MAX(0,$N38-$U38-SUM($V38:AE38))),0))</f>
        <v/>
      </c>
      <c r="AG38" s="457">
        <f>IF($AO38&lt;&gt;"OK",0,IF(AND(DATE('Thiết lập'!$B$4,12,1)&gt;=DATE(YEAR($H38),MONTH($H38),1),DATE('Thiết lập'!$B$4,12,1)&lt;EDATE(DATE(YEAR($H38),MONTH($H38),1),$O38)),MIN($P38,MAX(0,$N38-$U38-SUM($V38:AF38))),0))</f>
        <v/>
      </c>
      <c r="AH38" s="457">
        <f>IF(B38="","",SUM(V38:AG38))</f>
        <v/>
      </c>
      <c r="AI38" s="457">
        <f>IF(B38="","",MIN(N38,IF(U38="",0,U38)+AH38))</f>
        <v/>
      </c>
      <c r="AJ38" s="457">
        <f>IF(B38="","",MAX(0,L38-AI38))</f>
        <v/>
      </c>
      <c r="AK38" s="337">
        <f>IF(B38="","",IF(H38&gt;'Thiết lập'!$B$5,"Chưa khấu hao",IF(AJ38&lt;=IF(M38="",0,M38),"Đã hết khấu hao","Đang khấu hao")))</f>
        <v/>
      </c>
      <c r="AL38" s="275" t="n"/>
      <c r="AM38" s="275" t="n"/>
      <c r="AN38" s="275" t="n"/>
      <c r="AO38" s="343">
        <f>IF(B38="","",IF(COUNTIF($B$7:$B$306,B38)&gt;1,"Trùng mã TSCĐ",IF(C38="","Thiếu tên TSCĐ",IF(H38="","Thiếu ngày bắt đầu",IF(OR(I38&lt;=0,L38&lt;=0,O38&lt;=0),"Kiểm tra số lượng/nguyên giá/thời gian",IF(AND(G38&lt;&gt;"",H38&lt;G38),"Ngày KH trước ngày ghi tăng",IF(M38&gt;L38,"Giá trị thu hồi vượt nguyên giá",IF(IF(U38="",0,U38)&gt;N38,"Lũy kế đầu năm vượt GTKH","OK"))))))))</f>
        <v/>
      </c>
    </row>
    <row r="39" ht="20" customHeight="1" s="389">
      <c r="A39" s="325">
        <f>IF(B39="","",ROW()-6)</f>
        <v/>
      </c>
      <c r="B39" s="275" t="n"/>
      <c r="C39" s="275" t="n"/>
      <c r="D39" s="331" t="n"/>
      <c r="E39" s="331" t="n"/>
      <c r="F39" s="454" t="n"/>
      <c r="G39" s="454" t="n"/>
      <c r="H39" s="454" t="n"/>
      <c r="I39" s="455" t="n"/>
      <c r="J39" s="456" t="n"/>
      <c r="K39" s="456" t="n"/>
      <c r="L39" s="457">
        <f>IF(B39="","",IF(OR(I39="",J39=""),"",I39*J39+IF(K39="",0,K39)))</f>
        <v/>
      </c>
      <c r="M39" s="456" t="n"/>
      <c r="N39" s="457">
        <f>IF(L39="","",MAX(0,L39-IF(M39="",0,M39)))</f>
        <v/>
      </c>
      <c r="O39" s="455" t="n"/>
      <c r="P39" s="457">
        <f>IF(OR(N39="",O39&lt;=0),"",ROUND(N39/O39,0))</f>
        <v/>
      </c>
      <c r="Q39" s="458">
        <f>IF(OR(H39="",O39&lt;=0),"",EOMONTH(H39,O39-1))</f>
        <v/>
      </c>
      <c r="R39" s="331" t="n"/>
      <c r="S39" s="331" t="n"/>
      <c r="T39" s="331" t="n"/>
      <c r="U39" s="456" t="n"/>
      <c r="V39" s="457">
        <f>IF($AO39&lt;&gt;"OK",0,IF(AND(DATE('Thiết lập'!$B$4,1,1)&gt;=DATE(YEAR($H39),MONTH($H39),1),DATE('Thiết lập'!$B$4,1,1)&lt;EDATE(DATE(YEAR($H39),MONTH($H39),1),$O39)),MIN($P39,MAX(0,$N39-$U39-0)),0))</f>
        <v/>
      </c>
      <c r="W39" s="457">
        <f>IF($AO39&lt;&gt;"OK",0,IF(AND(DATE('Thiết lập'!$B$4,2,1)&gt;=DATE(YEAR($H39),MONTH($H39),1),DATE('Thiết lập'!$B$4,2,1)&lt;EDATE(DATE(YEAR($H39),MONTH($H39),1),$O39)),MIN($P39,MAX(0,$N39-$U39-SUM($V39:V39))),0))</f>
        <v/>
      </c>
      <c r="X39" s="457">
        <f>IF($AO39&lt;&gt;"OK",0,IF(AND(DATE('Thiết lập'!$B$4,3,1)&gt;=DATE(YEAR($H39),MONTH($H39),1),DATE('Thiết lập'!$B$4,3,1)&lt;EDATE(DATE(YEAR($H39),MONTH($H39),1),$O39)),MIN($P39,MAX(0,$N39-$U39-SUM($V39:W39))),0))</f>
        <v/>
      </c>
      <c r="Y39" s="457">
        <f>IF($AO39&lt;&gt;"OK",0,IF(AND(DATE('Thiết lập'!$B$4,4,1)&gt;=DATE(YEAR($H39),MONTH($H39),1),DATE('Thiết lập'!$B$4,4,1)&lt;EDATE(DATE(YEAR($H39),MONTH($H39),1),$O39)),MIN($P39,MAX(0,$N39-$U39-SUM($V39:X39))),0))</f>
        <v/>
      </c>
      <c r="Z39" s="457">
        <f>IF($AO39&lt;&gt;"OK",0,IF(AND(DATE('Thiết lập'!$B$4,5,1)&gt;=DATE(YEAR($H39),MONTH($H39),1),DATE('Thiết lập'!$B$4,5,1)&lt;EDATE(DATE(YEAR($H39),MONTH($H39),1),$O39)),MIN($P39,MAX(0,$N39-$U39-SUM($V39:Y39))),0))</f>
        <v/>
      </c>
      <c r="AA39" s="457">
        <f>IF($AO39&lt;&gt;"OK",0,IF(AND(DATE('Thiết lập'!$B$4,6,1)&gt;=DATE(YEAR($H39),MONTH($H39),1),DATE('Thiết lập'!$B$4,6,1)&lt;EDATE(DATE(YEAR($H39),MONTH($H39),1),$O39)),MIN($P39,MAX(0,$N39-$U39-SUM($V39:Z39))),0))</f>
        <v/>
      </c>
      <c r="AB39" s="457">
        <f>IF($AO39&lt;&gt;"OK",0,IF(AND(DATE('Thiết lập'!$B$4,7,1)&gt;=DATE(YEAR($H39),MONTH($H39),1),DATE('Thiết lập'!$B$4,7,1)&lt;EDATE(DATE(YEAR($H39),MONTH($H39),1),$O39)),MIN($P39,MAX(0,$N39-$U39-SUM($V39:AA39))),0))</f>
        <v/>
      </c>
      <c r="AC39" s="457">
        <f>IF($AO39&lt;&gt;"OK",0,IF(AND(DATE('Thiết lập'!$B$4,8,1)&gt;=DATE(YEAR($H39),MONTH($H39),1),DATE('Thiết lập'!$B$4,8,1)&lt;EDATE(DATE(YEAR($H39),MONTH($H39),1),$O39)),MIN($P39,MAX(0,$N39-$U39-SUM($V39:AB39))),0))</f>
        <v/>
      </c>
      <c r="AD39" s="457">
        <f>IF($AO39&lt;&gt;"OK",0,IF(AND(DATE('Thiết lập'!$B$4,9,1)&gt;=DATE(YEAR($H39),MONTH($H39),1),DATE('Thiết lập'!$B$4,9,1)&lt;EDATE(DATE(YEAR($H39),MONTH($H39),1),$O39)),MIN($P39,MAX(0,$N39-$U39-SUM($V39:AC39))),0))</f>
        <v/>
      </c>
      <c r="AE39" s="457">
        <f>IF($AO39&lt;&gt;"OK",0,IF(AND(DATE('Thiết lập'!$B$4,10,1)&gt;=DATE(YEAR($H39),MONTH($H39),1),DATE('Thiết lập'!$B$4,10,1)&lt;EDATE(DATE(YEAR($H39),MONTH($H39),1),$O39)),MIN($P39,MAX(0,$N39-$U39-SUM($V39:AD39))),0))</f>
        <v/>
      </c>
      <c r="AF39" s="457">
        <f>IF($AO39&lt;&gt;"OK",0,IF(AND(DATE('Thiết lập'!$B$4,11,1)&gt;=DATE(YEAR($H39),MONTH($H39),1),DATE('Thiết lập'!$B$4,11,1)&lt;EDATE(DATE(YEAR($H39),MONTH($H39),1),$O39)),MIN($P39,MAX(0,$N39-$U39-SUM($V39:AE39))),0))</f>
        <v/>
      </c>
      <c r="AG39" s="457">
        <f>IF($AO39&lt;&gt;"OK",0,IF(AND(DATE('Thiết lập'!$B$4,12,1)&gt;=DATE(YEAR($H39),MONTH($H39),1),DATE('Thiết lập'!$B$4,12,1)&lt;EDATE(DATE(YEAR($H39),MONTH($H39),1),$O39)),MIN($P39,MAX(0,$N39-$U39-SUM($V39:AF39))),0))</f>
        <v/>
      </c>
      <c r="AH39" s="457">
        <f>IF(B39="","",SUM(V39:AG39))</f>
        <v/>
      </c>
      <c r="AI39" s="457">
        <f>IF(B39="","",MIN(N39,IF(U39="",0,U39)+AH39))</f>
        <v/>
      </c>
      <c r="AJ39" s="457">
        <f>IF(B39="","",MAX(0,L39-AI39))</f>
        <v/>
      </c>
      <c r="AK39" s="337">
        <f>IF(B39="","",IF(H39&gt;'Thiết lập'!$B$5,"Chưa khấu hao",IF(AJ39&lt;=IF(M39="",0,M39),"Đã hết khấu hao","Đang khấu hao")))</f>
        <v/>
      </c>
      <c r="AL39" s="275" t="n"/>
      <c r="AM39" s="275" t="n"/>
      <c r="AN39" s="275" t="n"/>
      <c r="AO39" s="343">
        <f>IF(B39="","",IF(COUNTIF($B$7:$B$306,B39)&gt;1,"Trùng mã TSCĐ",IF(C39="","Thiếu tên TSCĐ",IF(H39="","Thiếu ngày bắt đầu",IF(OR(I39&lt;=0,L39&lt;=0,O39&lt;=0),"Kiểm tra số lượng/nguyên giá/thời gian",IF(AND(G39&lt;&gt;"",H39&lt;G39),"Ngày KH trước ngày ghi tăng",IF(M39&gt;L39,"Giá trị thu hồi vượt nguyên giá",IF(IF(U39="",0,U39)&gt;N39,"Lũy kế đầu năm vượt GTKH","OK"))))))))</f>
        <v/>
      </c>
    </row>
    <row r="40" ht="20" customHeight="1" s="389">
      <c r="A40" s="325">
        <f>IF(B40="","",ROW()-6)</f>
        <v/>
      </c>
      <c r="B40" s="275" t="n"/>
      <c r="C40" s="275" t="n"/>
      <c r="D40" s="331" t="n"/>
      <c r="E40" s="331" t="n"/>
      <c r="F40" s="454" t="n"/>
      <c r="G40" s="454" t="n"/>
      <c r="H40" s="454" t="n"/>
      <c r="I40" s="455" t="n"/>
      <c r="J40" s="456" t="n"/>
      <c r="K40" s="456" t="n"/>
      <c r="L40" s="457">
        <f>IF(B40="","",IF(OR(I40="",J40=""),"",I40*J40+IF(K40="",0,K40)))</f>
        <v/>
      </c>
      <c r="M40" s="456" t="n"/>
      <c r="N40" s="457">
        <f>IF(L40="","",MAX(0,L40-IF(M40="",0,M40)))</f>
        <v/>
      </c>
      <c r="O40" s="455" t="n"/>
      <c r="P40" s="457">
        <f>IF(OR(N40="",O40&lt;=0),"",ROUND(N40/O40,0))</f>
        <v/>
      </c>
      <c r="Q40" s="458">
        <f>IF(OR(H40="",O40&lt;=0),"",EOMONTH(H40,O40-1))</f>
        <v/>
      </c>
      <c r="R40" s="331" t="n"/>
      <c r="S40" s="331" t="n"/>
      <c r="T40" s="331" t="n"/>
      <c r="U40" s="456" t="n"/>
      <c r="V40" s="457">
        <f>IF($AO40&lt;&gt;"OK",0,IF(AND(DATE('Thiết lập'!$B$4,1,1)&gt;=DATE(YEAR($H40),MONTH($H40),1),DATE('Thiết lập'!$B$4,1,1)&lt;EDATE(DATE(YEAR($H40),MONTH($H40),1),$O40)),MIN($P40,MAX(0,$N40-$U40-0)),0))</f>
        <v/>
      </c>
      <c r="W40" s="457">
        <f>IF($AO40&lt;&gt;"OK",0,IF(AND(DATE('Thiết lập'!$B$4,2,1)&gt;=DATE(YEAR($H40),MONTH($H40),1),DATE('Thiết lập'!$B$4,2,1)&lt;EDATE(DATE(YEAR($H40),MONTH($H40),1),$O40)),MIN($P40,MAX(0,$N40-$U40-SUM($V40:V40))),0))</f>
        <v/>
      </c>
      <c r="X40" s="457">
        <f>IF($AO40&lt;&gt;"OK",0,IF(AND(DATE('Thiết lập'!$B$4,3,1)&gt;=DATE(YEAR($H40),MONTH($H40),1),DATE('Thiết lập'!$B$4,3,1)&lt;EDATE(DATE(YEAR($H40),MONTH($H40),1),$O40)),MIN($P40,MAX(0,$N40-$U40-SUM($V40:W40))),0))</f>
        <v/>
      </c>
      <c r="Y40" s="457">
        <f>IF($AO40&lt;&gt;"OK",0,IF(AND(DATE('Thiết lập'!$B$4,4,1)&gt;=DATE(YEAR($H40),MONTH($H40),1),DATE('Thiết lập'!$B$4,4,1)&lt;EDATE(DATE(YEAR($H40),MONTH($H40),1),$O40)),MIN($P40,MAX(0,$N40-$U40-SUM($V40:X40))),0))</f>
        <v/>
      </c>
      <c r="Z40" s="457">
        <f>IF($AO40&lt;&gt;"OK",0,IF(AND(DATE('Thiết lập'!$B$4,5,1)&gt;=DATE(YEAR($H40),MONTH($H40),1),DATE('Thiết lập'!$B$4,5,1)&lt;EDATE(DATE(YEAR($H40),MONTH($H40),1),$O40)),MIN($P40,MAX(0,$N40-$U40-SUM($V40:Y40))),0))</f>
        <v/>
      </c>
      <c r="AA40" s="457">
        <f>IF($AO40&lt;&gt;"OK",0,IF(AND(DATE('Thiết lập'!$B$4,6,1)&gt;=DATE(YEAR($H40),MONTH($H40),1),DATE('Thiết lập'!$B$4,6,1)&lt;EDATE(DATE(YEAR($H40),MONTH($H40),1),$O40)),MIN($P40,MAX(0,$N40-$U40-SUM($V40:Z40))),0))</f>
        <v/>
      </c>
      <c r="AB40" s="457">
        <f>IF($AO40&lt;&gt;"OK",0,IF(AND(DATE('Thiết lập'!$B$4,7,1)&gt;=DATE(YEAR($H40),MONTH($H40),1),DATE('Thiết lập'!$B$4,7,1)&lt;EDATE(DATE(YEAR($H40),MONTH($H40),1),$O40)),MIN($P40,MAX(0,$N40-$U40-SUM($V40:AA40))),0))</f>
        <v/>
      </c>
      <c r="AC40" s="457">
        <f>IF($AO40&lt;&gt;"OK",0,IF(AND(DATE('Thiết lập'!$B$4,8,1)&gt;=DATE(YEAR($H40),MONTH($H40),1),DATE('Thiết lập'!$B$4,8,1)&lt;EDATE(DATE(YEAR($H40),MONTH($H40),1),$O40)),MIN($P40,MAX(0,$N40-$U40-SUM($V40:AB40))),0))</f>
        <v/>
      </c>
      <c r="AD40" s="457">
        <f>IF($AO40&lt;&gt;"OK",0,IF(AND(DATE('Thiết lập'!$B$4,9,1)&gt;=DATE(YEAR($H40),MONTH($H40),1),DATE('Thiết lập'!$B$4,9,1)&lt;EDATE(DATE(YEAR($H40),MONTH($H40),1),$O40)),MIN($P40,MAX(0,$N40-$U40-SUM($V40:AC40))),0))</f>
        <v/>
      </c>
      <c r="AE40" s="457">
        <f>IF($AO40&lt;&gt;"OK",0,IF(AND(DATE('Thiết lập'!$B$4,10,1)&gt;=DATE(YEAR($H40),MONTH($H40),1),DATE('Thiết lập'!$B$4,10,1)&lt;EDATE(DATE(YEAR($H40),MONTH($H40),1),$O40)),MIN($P40,MAX(0,$N40-$U40-SUM($V40:AD40))),0))</f>
        <v/>
      </c>
      <c r="AF40" s="457">
        <f>IF($AO40&lt;&gt;"OK",0,IF(AND(DATE('Thiết lập'!$B$4,11,1)&gt;=DATE(YEAR($H40),MONTH($H40),1),DATE('Thiết lập'!$B$4,11,1)&lt;EDATE(DATE(YEAR($H40),MONTH($H40),1),$O40)),MIN($P40,MAX(0,$N40-$U40-SUM($V40:AE40))),0))</f>
        <v/>
      </c>
      <c r="AG40" s="457">
        <f>IF($AO40&lt;&gt;"OK",0,IF(AND(DATE('Thiết lập'!$B$4,12,1)&gt;=DATE(YEAR($H40),MONTH($H40),1),DATE('Thiết lập'!$B$4,12,1)&lt;EDATE(DATE(YEAR($H40),MONTH($H40),1),$O40)),MIN($P40,MAX(0,$N40-$U40-SUM($V40:AF40))),0))</f>
        <v/>
      </c>
      <c r="AH40" s="457">
        <f>IF(B40="","",SUM(V40:AG40))</f>
        <v/>
      </c>
      <c r="AI40" s="457">
        <f>IF(B40="","",MIN(N40,IF(U40="",0,U40)+AH40))</f>
        <v/>
      </c>
      <c r="AJ40" s="457">
        <f>IF(B40="","",MAX(0,L40-AI40))</f>
        <v/>
      </c>
      <c r="AK40" s="337">
        <f>IF(B40="","",IF(H40&gt;'Thiết lập'!$B$5,"Chưa khấu hao",IF(AJ40&lt;=IF(M40="",0,M40),"Đã hết khấu hao","Đang khấu hao")))</f>
        <v/>
      </c>
      <c r="AL40" s="275" t="n"/>
      <c r="AM40" s="275" t="n"/>
      <c r="AN40" s="275" t="n"/>
      <c r="AO40" s="343">
        <f>IF(B40="","",IF(COUNTIF($B$7:$B$306,B40)&gt;1,"Trùng mã TSCĐ",IF(C40="","Thiếu tên TSCĐ",IF(H40="","Thiếu ngày bắt đầu",IF(OR(I40&lt;=0,L40&lt;=0,O40&lt;=0),"Kiểm tra số lượng/nguyên giá/thời gian",IF(AND(G40&lt;&gt;"",H40&lt;G40),"Ngày KH trước ngày ghi tăng",IF(M40&gt;L40,"Giá trị thu hồi vượt nguyên giá",IF(IF(U40="",0,U40)&gt;N40,"Lũy kế đầu năm vượt GTKH","OK"))))))))</f>
        <v/>
      </c>
    </row>
    <row r="41" ht="20" customHeight="1" s="389">
      <c r="A41" s="325">
        <f>IF(B41="","",ROW()-6)</f>
        <v/>
      </c>
      <c r="B41" s="275" t="n"/>
      <c r="C41" s="275" t="n"/>
      <c r="D41" s="331" t="n"/>
      <c r="E41" s="331" t="n"/>
      <c r="F41" s="454" t="n"/>
      <c r="G41" s="454" t="n"/>
      <c r="H41" s="454" t="n"/>
      <c r="I41" s="455" t="n"/>
      <c r="J41" s="456" t="n"/>
      <c r="K41" s="456" t="n"/>
      <c r="L41" s="457">
        <f>IF(B41="","",IF(OR(I41="",J41=""),"",I41*J41+IF(K41="",0,K41)))</f>
        <v/>
      </c>
      <c r="M41" s="456" t="n"/>
      <c r="N41" s="457">
        <f>IF(L41="","",MAX(0,L41-IF(M41="",0,M41)))</f>
        <v/>
      </c>
      <c r="O41" s="455" t="n"/>
      <c r="P41" s="457">
        <f>IF(OR(N41="",O41&lt;=0),"",ROUND(N41/O41,0))</f>
        <v/>
      </c>
      <c r="Q41" s="458">
        <f>IF(OR(H41="",O41&lt;=0),"",EOMONTH(H41,O41-1))</f>
        <v/>
      </c>
      <c r="R41" s="331" t="n"/>
      <c r="S41" s="331" t="n"/>
      <c r="T41" s="331" t="n"/>
      <c r="U41" s="456" t="n"/>
      <c r="V41" s="457">
        <f>IF($AO41&lt;&gt;"OK",0,IF(AND(DATE('Thiết lập'!$B$4,1,1)&gt;=DATE(YEAR($H41),MONTH($H41),1),DATE('Thiết lập'!$B$4,1,1)&lt;EDATE(DATE(YEAR($H41),MONTH($H41),1),$O41)),MIN($P41,MAX(0,$N41-$U41-0)),0))</f>
        <v/>
      </c>
      <c r="W41" s="457">
        <f>IF($AO41&lt;&gt;"OK",0,IF(AND(DATE('Thiết lập'!$B$4,2,1)&gt;=DATE(YEAR($H41),MONTH($H41),1),DATE('Thiết lập'!$B$4,2,1)&lt;EDATE(DATE(YEAR($H41),MONTH($H41),1),$O41)),MIN($P41,MAX(0,$N41-$U41-SUM($V41:V41))),0))</f>
        <v/>
      </c>
      <c r="X41" s="457">
        <f>IF($AO41&lt;&gt;"OK",0,IF(AND(DATE('Thiết lập'!$B$4,3,1)&gt;=DATE(YEAR($H41),MONTH($H41),1),DATE('Thiết lập'!$B$4,3,1)&lt;EDATE(DATE(YEAR($H41),MONTH($H41),1),$O41)),MIN($P41,MAX(0,$N41-$U41-SUM($V41:W41))),0))</f>
        <v/>
      </c>
      <c r="Y41" s="457">
        <f>IF($AO41&lt;&gt;"OK",0,IF(AND(DATE('Thiết lập'!$B$4,4,1)&gt;=DATE(YEAR($H41),MONTH($H41),1),DATE('Thiết lập'!$B$4,4,1)&lt;EDATE(DATE(YEAR($H41),MONTH($H41),1),$O41)),MIN($P41,MAX(0,$N41-$U41-SUM($V41:X41))),0))</f>
        <v/>
      </c>
      <c r="Z41" s="457">
        <f>IF($AO41&lt;&gt;"OK",0,IF(AND(DATE('Thiết lập'!$B$4,5,1)&gt;=DATE(YEAR($H41),MONTH($H41),1),DATE('Thiết lập'!$B$4,5,1)&lt;EDATE(DATE(YEAR($H41),MONTH($H41),1),$O41)),MIN($P41,MAX(0,$N41-$U41-SUM($V41:Y41))),0))</f>
        <v/>
      </c>
      <c r="AA41" s="457">
        <f>IF($AO41&lt;&gt;"OK",0,IF(AND(DATE('Thiết lập'!$B$4,6,1)&gt;=DATE(YEAR($H41),MONTH($H41),1),DATE('Thiết lập'!$B$4,6,1)&lt;EDATE(DATE(YEAR($H41),MONTH($H41),1),$O41)),MIN($P41,MAX(0,$N41-$U41-SUM($V41:Z41))),0))</f>
        <v/>
      </c>
      <c r="AB41" s="457">
        <f>IF($AO41&lt;&gt;"OK",0,IF(AND(DATE('Thiết lập'!$B$4,7,1)&gt;=DATE(YEAR($H41),MONTH($H41),1),DATE('Thiết lập'!$B$4,7,1)&lt;EDATE(DATE(YEAR($H41),MONTH($H41),1),$O41)),MIN($P41,MAX(0,$N41-$U41-SUM($V41:AA41))),0))</f>
        <v/>
      </c>
      <c r="AC41" s="457">
        <f>IF($AO41&lt;&gt;"OK",0,IF(AND(DATE('Thiết lập'!$B$4,8,1)&gt;=DATE(YEAR($H41),MONTH($H41),1),DATE('Thiết lập'!$B$4,8,1)&lt;EDATE(DATE(YEAR($H41),MONTH($H41),1),$O41)),MIN($P41,MAX(0,$N41-$U41-SUM($V41:AB41))),0))</f>
        <v/>
      </c>
      <c r="AD41" s="457">
        <f>IF($AO41&lt;&gt;"OK",0,IF(AND(DATE('Thiết lập'!$B$4,9,1)&gt;=DATE(YEAR($H41),MONTH($H41),1),DATE('Thiết lập'!$B$4,9,1)&lt;EDATE(DATE(YEAR($H41),MONTH($H41),1),$O41)),MIN($P41,MAX(0,$N41-$U41-SUM($V41:AC41))),0))</f>
        <v/>
      </c>
      <c r="AE41" s="457">
        <f>IF($AO41&lt;&gt;"OK",0,IF(AND(DATE('Thiết lập'!$B$4,10,1)&gt;=DATE(YEAR($H41),MONTH($H41),1),DATE('Thiết lập'!$B$4,10,1)&lt;EDATE(DATE(YEAR($H41),MONTH($H41),1),$O41)),MIN($P41,MAX(0,$N41-$U41-SUM($V41:AD41))),0))</f>
        <v/>
      </c>
      <c r="AF41" s="457">
        <f>IF($AO41&lt;&gt;"OK",0,IF(AND(DATE('Thiết lập'!$B$4,11,1)&gt;=DATE(YEAR($H41),MONTH($H41),1),DATE('Thiết lập'!$B$4,11,1)&lt;EDATE(DATE(YEAR($H41),MONTH($H41),1),$O41)),MIN($P41,MAX(0,$N41-$U41-SUM($V41:AE41))),0))</f>
        <v/>
      </c>
      <c r="AG41" s="457">
        <f>IF($AO41&lt;&gt;"OK",0,IF(AND(DATE('Thiết lập'!$B$4,12,1)&gt;=DATE(YEAR($H41),MONTH($H41),1),DATE('Thiết lập'!$B$4,12,1)&lt;EDATE(DATE(YEAR($H41),MONTH($H41),1),$O41)),MIN($P41,MAX(0,$N41-$U41-SUM($V41:AF41))),0))</f>
        <v/>
      </c>
      <c r="AH41" s="457">
        <f>IF(B41="","",SUM(V41:AG41))</f>
        <v/>
      </c>
      <c r="AI41" s="457">
        <f>IF(B41="","",MIN(N41,IF(U41="",0,U41)+AH41))</f>
        <v/>
      </c>
      <c r="AJ41" s="457">
        <f>IF(B41="","",MAX(0,L41-AI41))</f>
        <v/>
      </c>
      <c r="AK41" s="337">
        <f>IF(B41="","",IF(H41&gt;'Thiết lập'!$B$5,"Chưa khấu hao",IF(AJ41&lt;=IF(M41="",0,M41),"Đã hết khấu hao","Đang khấu hao")))</f>
        <v/>
      </c>
      <c r="AL41" s="275" t="n"/>
      <c r="AM41" s="275" t="n"/>
      <c r="AN41" s="275" t="n"/>
      <c r="AO41" s="343">
        <f>IF(B41="","",IF(COUNTIF($B$7:$B$306,B41)&gt;1,"Trùng mã TSCĐ",IF(C41="","Thiếu tên TSCĐ",IF(H41="","Thiếu ngày bắt đầu",IF(OR(I41&lt;=0,L41&lt;=0,O41&lt;=0),"Kiểm tra số lượng/nguyên giá/thời gian",IF(AND(G41&lt;&gt;"",H41&lt;G41),"Ngày KH trước ngày ghi tăng",IF(M41&gt;L41,"Giá trị thu hồi vượt nguyên giá",IF(IF(U41="",0,U41)&gt;N41,"Lũy kế đầu năm vượt GTKH","OK"))))))))</f>
        <v/>
      </c>
    </row>
    <row r="42" ht="20" customHeight="1" s="389">
      <c r="A42" s="325">
        <f>IF(B42="","",ROW()-6)</f>
        <v/>
      </c>
      <c r="B42" s="275" t="n"/>
      <c r="C42" s="275" t="n"/>
      <c r="D42" s="331" t="n"/>
      <c r="E42" s="331" t="n"/>
      <c r="F42" s="454" t="n"/>
      <c r="G42" s="454" t="n"/>
      <c r="H42" s="454" t="n"/>
      <c r="I42" s="455" t="n"/>
      <c r="J42" s="456" t="n"/>
      <c r="K42" s="456" t="n"/>
      <c r="L42" s="457">
        <f>IF(B42="","",IF(OR(I42="",J42=""),"",I42*J42+IF(K42="",0,K42)))</f>
        <v/>
      </c>
      <c r="M42" s="456" t="n"/>
      <c r="N42" s="457">
        <f>IF(L42="","",MAX(0,L42-IF(M42="",0,M42)))</f>
        <v/>
      </c>
      <c r="O42" s="455" t="n"/>
      <c r="P42" s="457">
        <f>IF(OR(N42="",O42&lt;=0),"",ROUND(N42/O42,0))</f>
        <v/>
      </c>
      <c r="Q42" s="458">
        <f>IF(OR(H42="",O42&lt;=0),"",EOMONTH(H42,O42-1))</f>
        <v/>
      </c>
      <c r="R42" s="331" t="n"/>
      <c r="S42" s="331" t="n"/>
      <c r="T42" s="331" t="n"/>
      <c r="U42" s="456" t="n"/>
      <c r="V42" s="457">
        <f>IF($AO42&lt;&gt;"OK",0,IF(AND(DATE('Thiết lập'!$B$4,1,1)&gt;=DATE(YEAR($H42),MONTH($H42),1),DATE('Thiết lập'!$B$4,1,1)&lt;EDATE(DATE(YEAR($H42),MONTH($H42),1),$O42)),MIN($P42,MAX(0,$N42-$U42-0)),0))</f>
        <v/>
      </c>
      <c r="W42" s="457">
        <f>IF($AO42&lt;&gt;"OK",0,IF(AND(DATE('Thiết lập'!$B$4,2,1)&gt;=DATE(YEAR($H42),MONTH($H42),1),DATE('Thiết lập'!$B$4,2,1)&lt;EDATE(DATE(YEAR($H42),MONTH($H42),1),$O42)),MIN($P42,MAX(0,$N42-$U42-SUM($V42:V42))),0))</f>
        <v/>
      </c>
      <c r="X42" s="457">
        <f>IF($AO42&lt;&gt;"OK",0,IF(AND(DATE('Thiết lập'!$B$4,3,1)&gt;=DATE(YEAR($H42),MONTH($H42),1),DATE('Thiết lập'!$B$4,3,1)&lt;EDATE(DATE(YEAR($H42),MONTH($H42),1),$O42)),MIN($P42,MAX(0,$N42-$U42-SUM($V42:W42))),0))</f>
        <v/>
      </c>
      <c r="Y42" s="457">
        <f>IF($AO42&lt;&gt;"OK",0,IF(AND(DATE('Thiết lập'!$B$4,4,1)&gt;=DATE(YEAR($H42),MONTH($H42),1),DATE('Thiết lập'!$B$4,4,1)&lt;EDATE(DATE(YEAR($H42),MONTH($H42),1),$O42)),MIN($P42,MAX(0,$N42-$U42-SUM($V42:X42))),0))</f>
        <v/>
      </c>
      <c r="Z42" s="457">
        <f>IF($AO42&lt;&gt;"OK",0,IF(AND(DATE('Thiết lập'!$B$4,5,1)&gt;=DATE(YEAR($H42),MONTH($H42),1),DATE('Thiết lập'!$B$4,5,1)&lt;EDATE(DATE(YEAR($H42),MONTH($H42),1),$O42)),MIN($P42,MAX(0,$N42-$U42-SUM($V42:Y42))),0))</f>
        <v/>
      </c>
      <c r="AA42" s="457">
        <f>IF($AO42&lt;&gt;"OK",0,IF(AND(DATE('Thiết lập'!$B$4,6,1)&gt;=DATE(YEAR($H42),MONTH($H42),1),DATE('Thiết lập'!$B$4,6,1)&lt;EDATE(DATE(YEAR($H42),MONTH($H42),1),$O42)),MIN($P42,MAX(0,$N42-$U42-SUM($V42:Z42))),0))</f>
        <v/>
      </c>
      <c r="AB42" s="457">
        <f>IF($AO42&lt;&gt;"OK",0,IF(AND(DATE('Thiết lập'!$B$4,7,1)&gt;=DATE(YEAR($H42),MONTH($H42),1),DATE('Thiết lập'!$B$4,7,1)&lt;EDATE(DATE(YEAR($H42),MONTH($H42),1),$O42)),MIN($P42,MAX(0,$N42-$U42-SUM($V42:AA42))),0))</f>
        <v/>
      </c>
      <c r="AC42" s="457">
        <f>IF($AO42&lt;&gt;"OK",0,IF(AND(DATE('Thiết lập'!$B$4,8,1)&gt;=DATE(YEAR($H42),MONTH($H42),1),DATE('Thiết lập'!$B$4,8,1)&lt;EDATE(DATE(YEAR($H42),MONTH($H42),1),$O42)),MIN($P42,MAX(0,$N42-$U42-SUM($V42:AB42))),0))</f>
        <v/>
      </c>
      <c r="AD42" s="457">
        <f>IF($AO42&lt;&gt;"OK",0,IF(AND(DATE('Thiết lập'!$B$4,9,1)&gt;=DATE(YEAR($H42),MONTH($H42),1),DATE('Thiết lập'!$B$4,9,1)&lt;EDATE(DATE(YEAR($H42),MONTH($H42),1),$O42)),MIN($P42,MAX(0,$N42-$U42-SUM($V42:AC42))),0))</f>
        <v/>
      </c>
      <c r="AE42" s="457">
        <f>IF($AO42&lt;&gt;"OK",0,IF(AND(DATE('Thiết lập'!$B$4,10,1)&gt;=DATE(YEAR($H42),MONTH($H42),1),DATE('Thiết lập'!$B$4,10,1)&lt;EDATE(DATE(YEAR($H42),MONTH($H42),1),$O42)),MIN($P42,MAX(0,$N42-$U42-SUM($V42:AD42))),0))</f>
        <v/>
      </c>
      <c r="AF42" s="457">
        <f>IF($AO42&lt;&gt;"OK",0,IF(AND(DATE('Thiết lập'!$B$4,11,1)&gt;=DATE(YEAR($H42),MONTH($H42),1),DATE('Thiết lập'!$B$4,11,1)&lt;EDATE(DATE(YEAR($H42),MONTH($H42),1),$O42)),MIN($P42,MAX(0,$N42-$U42-SUM($V42:AE42))),0))</f>
        <v/>
      </c>
      <c r="AG42" s="457">
        <f>IF($AO42&lt;&gt;"OK",0,IF(AND(DATE('Thiết lập'!$B$4,12,1)&gt;=DATE(YEAR($H42),MONTH($H42),1),DATE('Thiết lập'!$B$4,12,1)&lt;EDATE(DATE(YEAR($H42),MONTH($H42),1),$O42)),MIN($P42,MAX(0,$N42-$U42-SUM($V42:AF42))),0))</f>
        <v/>
      </c>
      <c r="AH42" s="457">
        <f>IF(B42="","",SUM(V42:AG42))</f>
        <v/>
      </c>
      <c r="AI42" s="457">
        <f>IF(B42="","",MIN(N42,IF(U42="",0,U42)+AH42))</f>
        <v/>
      </c>
      <c r="AJ42" s="457">
        <f>IF(B42="","",MAX(0,L42-AI42))</f>
        <v/>
      </c>
      <c r="AK42" s="337">
        <f>IF(B42="","",IF(H42&gt;'Thiết lập'!$B$5,"Chưa khấu hao",IF(AJ42&lt;=IF(M42="",0,M42),"Đã hết khấu hao","Đang khấu hao")))</f>
        <v/>
      </c>
      <c r="AL42" s="275" t="n"/>
      <c r="AM42" s="275" t="n"/>
      <c r="AN42" s="275" t="n"/>
      <c r="AO42" s="343">
        <f>IF(B42="","",IF(COUNTIF($B$7:$B$306,B42)&gt;1,"Trùng mã TSCĐ",IF(C42="","Thiếu tên TSCĐ",IF(H42="","Thiếu ngày bắt đầu",IF(OR(I42&lt;=0,L42&lt;=0,O42&lt;=0),"Kiểm tra số lượng/nguyên giá/thời gian",IF(AND(G42&lt;&gt;"",H42&lt;G42),"Ngày KH trước ngày ghi tăng",IF(M42&gt;L42,"Giá trị thu hồi vượt nguyên giá",IF(IF(U42="",0,U42)&gt;N42,"Lũy kế đầu năm vượt GTKH","OK"))))))))</f>
        <v/>
      </c>
    </row>
    <row r="43" ht="20" customHeight="1" s="389">
      <c r="A43" s="325">
        <f>IF(B43="","",ROW()-6)</f>
        <v/>
      </c>
      <c r="B43" s="275" t="n"/>
      <c r="C43" s="275" t="n"/>
      <c r="D43" s="331" t="n"/>
      <c r="E43" s="331" t="n"/>
      <c r="F43" s="454" t="n"/>
      <c r="G43" s="454" t="n"/>
      <c r="H43" s="454" t="n"/>
      <c r="I43" s="455" t="n"/>
      <c r="J43" s="456" t="n"/>
      <c r="K43" s="456" t="n"/>
      <c r="L43" s="457">
        <f>IF(B43="","",IF(OR(I43="",J43=""),"",I43*J43+IF(K43="",0,K43)))</f>
        <v/>
      </c>
      <c r="M43" s="456" t="n"/>
      <c r="N43" s="457">
        <f>IF(L43="","",MAX(0,L43-IF(M43="",0,M43)))</f>
        <v/>
      </c>
      <c r="O43" s="455" t="n"/>
      <c r="P43" s="457">
        <f>IF(OR(N43="",O43&lt;=0),"",ROUND(N43/O43,0))</f>
        <v/>
      </c>
      <c r="Q43" s="458">
        <f>IF(OR(H43="",O43&lt;=0),"",EOMONTH(H43,O43-1))</f>
        <v/>
      </c>
      <c r="R43" s="331" t="n"/>
      <c r="S43" s="331" t="n"/>
      <c r="T43" s="331" t="n"/>
      <c r="U43" s="456" t="n"/>
      <c r="V43" s="457">
        <f>IF($AO43&lt;&gt;"OK",0,IF(AND(DATE('Thiết lập'!$B$4,1,1)&gt;=DATE(YEAR($H43),MONTH($H43),1),DATE('Thiết lập'!$B$4,1,1)&lt;EDATE(DATE(YEAR($H43),MONTH($H43),1),$O43)),MIN($P43,MAX(0,$N43-$U43-0)),0))</f>
        <v/>
      </c>
      <c r="W43" s="457">
        <f>IF($AO43&lt;&gt;"OK",0,IF(AND(DATE('Thiết lập'!$B$4,2,1)&gt;=DATE(YEAR($H43),MONTH($H43),1),DATE('Thiết lập'!$B$4,2,1)&lt;EDATE(DATE(YEAR($H43),MONTH($H43),1),$O43)),MIN($P43,MAX(0,$N43-$U43-SUM($V43:V43))),0))</f>
        <v/>
      </c>
      <c r="X43" s="457">
        <f>IF($AO43&lt;&gt;"OK",0,IF(AND(DATE('Thiết lập'!$B$4,3,1)&gt;=DATE(YEAR($H43),MONTH($H43),1),DATE('Thiết lập'!$B$4,3,1)&lt;EDATE(DATE(YEAR($H43),MONTH($H43),1),$O43)),MIN($P43,MAX(0,$N43-$U43-SUM($V43:W43))),0))</f>
        <v/>
      </c>
      <c r="Y43" s="457">
        <f>IF($AO43&lt;&gt;"OK",0,IF(AND(DATE('Thiết lập'!$B$4,4,1)&gt;=DATE(YEAR($H43),MONTH($H43),1),DATE('Thiết lập'!$B$4,4,1)&lt;EDATE(DATE(YEAR($H43),MONTH($H43),1),$O43)),MIN($P43,MAX(0,$N43-$U43-SUM($V43:X43))),0))</f>
        <v/>
      </c>
      <c r="Z43" s="457">
        <f>IF($AO43&lt;&gt;"OK",0,IF(AND(DATE('Thiết lập'!$B$4,5,1)&gt;=DATE(YEAR($H43),MONTH($H43),1),DATE('Thiết lập'!$B$4,5,1)&lt;EDATE(DATE(YEAR($H43),MONTH($H43),1),$O43)),MIN($P43,MAX(0,$N43-$U43-SUM($V43:Y43))),0))</f>
        <v/>
      </c>
      <c r="AA43" s="457">
        <f>IF($AO43&lt;&gt;"OK",0,IF(AND(DATE('Thiết lập'!$B$4,6,1)&gt;=DATE(YEAR($H43),MONTH($H43),1),DATE('Thiết lập'!$B$4,6,1)&lt;EDATE(DATE(YEAR($H43),MONTH($H43),1),$O43)),MIN($P43,MAX(0,$N43-$U43-SUM($V43:Z43))),0))</f>
        <v/>
      </c>
      <c r="AB43" s="457">
        <f>IF($AO43&lt;&gt;"OK",0,IF(AND(DATE('Thiết lập'!$B$4,7,1)&gt;=DATE(YEAR($H43),MONTH($H43),1),DATE('Thiết lập'!$B$4,7,1)&lt;EDATE(DATE(YEAR($H43),MONTH($H43),1),$O43)),MIN($P43,MAX(0,$N43-$U43-SUM($V43:AA43))),0))</f>
        <v/>
      </c>
      <c r="AC43" s="457">
        <f>IF($AO43&lt;&gt;"OK",0,IF(AND(DATE('Thiết lập'!$B$4,8,1)&gt;=DATE(YEAR($H43),MONTH($H43),1),DATE('Thiết lập'!$B$4,8,1)&lt;EDATE(DATE(YEAR($H43),MONTH($H43),1),$O43)),MIN($P43,MAX(0,$N43-$U43-SUM($V43:AB43))),0))</f>
        <v/>
      </c>
      <c r="AD43" s="457">
        <f>IF($AO43&lt;&gt;"OK",0,IF(AND(DATE('Thiết lập'!$B$4,9,1)&gt;=DATE(YEAR($H43),MONTH($H43),1),DATE('Thiết lập'!$B$4,9,1)&lt;EDATE(DATE(YEAR($H43),MONTH($H43),1),$O43)),MIN($P43,MAX(0,$N43-$U43-SUM($V43:AC43))),0))</f>
        <v/>
      </c>
      <c r="AE43" s="457">
        <f>IF($AO43&lt;&gt;"OK",0,IF(AND(DATE('Thiết lập'!$B$4,10,1)&gt;=DATE(YEAR($H43),MONTH($H43),1),DATE('Thiết lập'!$B$4,10,1)&lt;EDATE(DATE(YEAR($H43),MONTH($H43),1),$O43)),MIN($P43,MAX(0,$N43-$U43-SUM($V43:AD43))),0))</f>
        <v/>
      </c>
      <c r="AF43" s="457">
        <f>IF($AO43&lt;&gt;"OK",0,IF(AND(DATE('Thiết lập'!$B$4,11,1)&gt;=DATE(YEAR($H43),MONTH($H43),1),DATE('Thiết lập'!$B$4,11,1)&lt;EDATE(DATE(YEAR($H43),MONTH($H43),1),$O43)),MIN($P43,MAX(0,$N43-$U43-SUM($V43:AE43))),0))</f>
        <v/>
      </c>
      <c r="AG43" s="457">
        <f>IF($AO43&lt;&gt;"OK",0,IF(AND(DATE('Thiết lập'!$B$4,12,1)&gt;=DATE(YEAR($H43),MONTH($H43),1),DATE('Thiết lập'!$B$4,12,1)&lt;EDATE(DATE(YEAR($H43),MONTH($H43),1),$O43)),MIN($P43,MAX(0,$N43-$U43-SUM($V43:AF43))),0))</f>
        <v/>
      </c>
      <c r="AH43" s="457">
        <f>IF(B43="","",SUM(V43:AG43))</f>
        <v/>
      </c>
      <c r="AI43" s="457">
        <f>IF(B43="","",MIN(N43,IF(U43="",0,U43)+AH43))</f>
        <v/>
      </c>
      <c r="AJ43" s="457">
        <f>IF(B43="","",MAX(0,L43-AI43))</f>
        <v/>
      </c>
      <c r="AK43" s="337">
        <f>IF(B43="","",IF(H43&gt;'Thiết lập'!$B$5,"Chưa khấu hao",IF(AJ43&lt;=IF(M43="",0,M43),"Đã hết khấu hao","Đang khấu hao")))</f>
        <v/>
      </c>
      <c r="AL43" s="275" t="n"/>
      <c r="AM43" s="275" t="n"/>
      <c r="AN43" s="275" t="n"/>
      <c r="AO43" s="343">
        <f>IF(B43="","",IF(COUNTIF($B$7:$B$306,B43)&gt;1,"Trùng mã TSCĐ",IF(C43="","Thiếu tên TSCĐ",IF(H43="","Thiếu ngày bắt đầu",IF(OR(I43&lt;=0,L43&lt;=0,O43&lt;=0),"Kiểm tra số lượng/nguyên giá/thời gian",IF(AND(G43&lt;&gt;"",H43&lt;G43),"Ngày KH trước ngày ghi tăng",IF(M43&gt;L43,"Giá trị thu hồi vượt nguyên giá",IF(IF(U43="",0,U43)&gt;N43,"Lũy kế đầu năm vượt GTKH","OK"))))))))</f>
        <v/>
      </c>
    </row>
    <row r="44" ht="20" customHeight="1" s="389">
      <c r="A44" s="325">
        <f>IF(B44="","",ROW()-6)</f>
        <v/>
      </c>
      <c r="B44" s="275" t="n"/>
      <c r="C44" s="275" t="n"/>
      <c r="D44" s="331" t="n"/>
      <c r="E44" s="331" t="n"/>
      <c r="F44" s="454" t="n"/>
      <c r="G44" s="454" t="n"/>
      <c r="H44" s="454" t="n"/>
      <c r="I44" s="455" t="n"/>
      <c r="J44" s="456" t="n"/>
      <c r="K44" s="456" t="n"/>
      <c r="L44" s="457">
        <f>IF(B44="","",IF(OR(I44="",J44=""),"",I44*J44+IF(K44="",0,K44)))</f>
        <v/>
      </c>
      <c r="M44" s="456" t="n"/>
      <c r="N44" s="457">
        <f>IF(L44="","",MAX(0,L44-IF(M44="",0,M44)))</f>
        <v/>
      </c>
      <c r="O44" s="455" t="n"/>
      <c r="P44" s="457">
        <f>IF(OR(N44="",O44&lt;=0),"",ROUND(N44/O44,0))</f>
        <v/>
      </c>
      <c r="Q44" s="458">
        <f>IF(OR(H44="",O44&lt;=0),"",EOMONTH(H44,O44-1))</f>
        <v/>
      </c>
      <c r="R44" s="331" t="n"/>
      <c r="S44" s="331" t="n"/>
      <c r="T44" s="331" t="n"/>
      <c r="U44" s="456" t="n"/>
      <c r="V44" s="457">
        <f>IF($AO44&lt;&gt;"OK",0,IF(AND(DATE('Thiết lập'!$B$4,1,1)&gt;=DATE(YEAR($H44),MONTH($H44),1),DATE('Thiết lập'!$B$4,1,1)&lt;EDATE(DATE(YEAR($H44),MONTH($H44),1),$O44)),MIN($P44,MAX(0,$N44-$U44-0)),0))</f>
        <v/>
      </c>
      <c r="W44" s="457">
        <f>IF($AO44&lt;&gt;"OK",0,IF(AND(DATE('Thiết lập'!$B$4,2,1)&gt;=DATE(YEAR($H44),MONTH($H44),1),DATE('Thiết lập'!$B$4,2,1)&lt;EDATE(DATE(YEAR($H44),MONTH($H44),1),$O44)),MIN($P44,MAX(0,$N44-$U44-SUM($V44:V44))),0))</f>
        <v/>
      </c>
      <c r="X44" s="457">
        <f>IF($AO44&lt;&gt;"OK",0,IF(AND(DATE('Thiết lập'!$B$4,3,1)&gt;=DATE(YEAR($H44),MONTH($H44),1),DATE('Thiết lập'!$B$4,3,1)&lt;EDATE(DATE(YEAR($H44),MONTH($H44),1),$O44)),MIN($P44,MAX(0,$N44-$U44-SUM($V44:W44))),0))</f>
        <v/>
      </c>
      <c r="Y44" s="457">
        <f>IF($AO44&lt;&gt;"OK",0,IF(AND(DATE('Thiết lập'!$B$4,4,1)&gt;=DATE(YEAR($H44),MONTH($H44),1),DATE('Thiết lập'!$B$4,4,1)&lt;EDATE(DATE(YEAR($H44),MONTH($H44),1),$O44)),MIN($P44,MAX(0,$N44-$U44-SUM($V44:X44))),0))</f>
        <v/>
      </c>
      <c r="Z44" s="457">
        <f>IF($AO44&lt;&gt;"OK",0,IF(AND(DATE('Thiết lập'!$B$4,5,1)&gt;=DATE(YEAR($H44),MONTH($H44),1),DATE('Thiết lập'!$B$4,5,1)&lt;EDATE(DATE(YEAR($H44),MONTH($H44),1),$O44)),MIN($P44,MAX(0,$N44-$U44-SUM($V44:Y44))),0))</f>
        <v/>
      </c>
      <c r="AA44" s="457">
        <f>IF($AO44&lt;&gt;"OK",0,IF(AND(DATE('Thiết lập'!$B$4,6,1)&gt;=DATE(YEAR($H44),MONTH($H44),1),DATE('Thiết lập'!$B$4,6,1)&lt;EDATE(DATE(YEAR($H44),MONTH($H44),1),$O44)),MIN($P44,MAX(0,$N44-$U44-SUM($V44:Z44))),0))</f>
        <v/>
      </c>
      <c r="AB44" s="457">
        <f>IF($AO44&lt;&gt;"OK",0,IF(AND(DATE('Thiết lập'!$B$4,7,1)&gt;=DATE(YEAR($H44),MONTH($H44),1),DATE('Thiết lập'!$B$4,7,1)&lt;EDATE(DATE(YEAR($H44),MONTH($H44),1),$O44)),MIN($P44,MAX(0,$N44-$U44-SUM($V44:AA44))),0))</f>
        <v/>
      </c>
      <c r="AC44" s="457">
        <f>IF($AO44&lt;&gt;"OK",0,IF(AND(DATE('Thiết lập'!$B$4,8,1)&gt;=DATE(YEAR($H44),MONTH($H44),1),DATE('Thiết lập'!$B$4,8,1)&lt;EDATE(DATE(YEAR($H44),MONTH($H44),1),$O44)),MIN($P44,MAX(0,$N44-$U44-SUM($V44:AB44))),0))</f>
        <v/>
      </c>
      <c r="AD44" s="457">
        <f>IF($AO44&lt;&gt;"OK",0,IF(AND(DATE('Thiết lập'!$B$4,9,1)&gt;=DATE(YEAR($H44),MONTH($H44),1),DATE('Thiết lập'!$B$4,9,1)&lt;EDATE(DATE(YEAR($H44),MONTH($H44),1),$O44)),MIN($P44,MAX(0,$N44-$U44-SUM($V44:AC44))),0))</f>
        <v/>
      </c>
      <c r="AE44" s="457">
        <f>IF($AO44&lt;&gt;"OK",0,IF(AND(DATE('Thiết lập'!$B$4,10,1)&gt;=DATE(YEAR($H44),MONTH($H44),1),DATE('Thiết lập'!$B$4,10,1)&lt;EDATE(DATE(YEAR($H44),MONTH($H44),1),$O44)),MIN($P44,MAX(0,$N44-$U44-SUM($V44:AD44))),0))</f>
        <v/>
      </c>
      <c r="AF44" s="457">
        <f>IF($AO44&lt;&gt;"OK",0,IF(AND(DATE('Thiết lập'!$B$4,11,1)&gt;=DATE(YEAR($H44),MONTH($H44),1),DATE('Thiết lập'!$B$4,11,1)&lt;EDATE(DATE(YEAR($H44),MONTH($H44),1),$O44)),MIN($P44,MAX(0,$N44-$U44-SUM($V44:AE44))),0))</f>
        <v/>
      </c>
      <c r="AG44" s="457">
        <f>IF($AO44&lt;&gt;"OK",0,IF(AND(DATE('Thiết lập'!$B$4,12,1)&gt;=DATE(YEAR($H44),MONTH($H44),1),DATE('Thiết lập'!$B$4,12,1)&lt;EDATE(DATE(YEAR($H44),MONTH($H44),1),$O44)),MIN($P44,MAX(0,$N44-$U44-SUM($V44:AF44))),0))</f>
        <v/>
      </c>
      <c r="AH44" s="457">
        <f>IF(B44="","",SUM(V44:AG44))</f>
        <v/>
      </c>
      <c r="AI44" s="457">
        <f>IF(B44="","",MIN(N44,IF(U44="",0,U44)+AH44))</f>
        <v/>
      </c>
      <c r="AJ44" s="457">
        <f>IF(B44="","",MAX(0,L44-AI44))</f>
        <v/>
      </c>
      <c r="AK44" s="337">
        <f>IF(B44="","",IF(H44&gt;'Thiết lập'!$B$5,"Chưa khấu hao",IF(AJ44&lt;=IF(M44="",0,M44),"Đã hết khấu hao","Đang khấu hao")))</f>
        <v/>
      </c>
      <c r="AL44" s="275" t="n"/>
      <c r="AM44" s="275" t="n"/>
      <c r="AN44" s="275" t="n"/>
      <c r="AO44" s="343">
        <f>IF(B44="","",IF(COUNTIF($B$7:$B$306,B44)&gt;1,"Trùng mã TSCĐ",IF(C44="","Thiếu tên TSCĐ",IF(H44="","Thiếu ngày bắt đầu",IF(OR(I44&lt;=0,L44&lt;=0,O44&lt;=0),"Kiểm tra số lượng/nguyên giá/thời gian",IF(AND(G44&lt;&gt;"",H44&lt;G44),"Ngày KH trước ngày ghi tăng",IF(M44&gt;L44,"Giá trị thu hồi vượt nguyên giá",IF(IF(U44="",0,U44)&gt;N44,"Lũy kế đầu năm vượt GTKH","OK"))))))))</f>
        <v/>
      </c>
    </row>
    <row r="45" ht="20" customHeight="1" s="389">
      <c r="A45" s="325">
        <f>IF(B45="","",ROW()-6)</f>
        <v/>
      </c>
      <c r="B45" s="275" t="n"/>
      <c r="C45" s="275" t="n"/>
      <c r="D45" s="331" t="n"/>
      <c r="E45" s="331" t="n"/>
      <c r="F45" s="454" t="n"/>
      <c r="G45" s="454" t="n"/>
      <c r="H45" s="454" t="n"/>
      <c r="I45" s="455" t="n"/>
      <c r="J45" s="456" t="n"/>
      <c r="K45" s="456" t="n"/>
      <c r="L45" s="457">
        <f>IF(B45="","",IF(OR(I45="",J45=""),"",I45*J45+IF(K45="",0,K45)))</f>
        <v/>
      </c>
      <c r="M45" s="456" t="n"/>
      <c r="N45" s="457">
        <f>IF(L45="","",MAX(0,L45-IF(M45="",0,M45)))</f>
        <v/>
      </c>
      <c r="O45" s="455" t="n"/>
      <c r="P45" s="457">
        <f>IF(OR(N45="",O45&lt;=0),"",ROUND(N45/O45,0))</f>
        <v/>
      </c>
      <c r="Q45" s="458">
        <f>IF(OR(H45="",O45&lt;=0),"",EOMONTH(H45,O45-1))</f>
        <v/>
      </c>
      <c r="R45" s="331" t="n"/>
      <c r="S45" s="331" t="n"/>
      <c r="T45" s="331" t="n"/>
      <c r="U45" s="456" t="n"/>
      <c r="V45" s="457">
        <f>IF($AO45&lt;&gt;"OK",0,IF(AND(DATE('Thiết lập'!$B$4,1,1)&gt;=DATE(YEAR($H45),MONTH($H45),1),DATE('Thiết lập'!$B$4,1,1)&lt;EDATE(DATE(YEAR($H45),MONTH($H45),1),$O45)),MIN($P45,MAX(0,$N45-$U45-0)),0))</f>
        <v/>
      </c>
      <c r="W45" s="457">
        <f>IF($AO45&lt;&gt;"OK",0,IF(AND(DATE('Thiết lập'!$B$4,2,1)&gt;=DATE(YEAR($H45),MONTH($H45),1),DATE('Thiết lập'!$B$4,2,1)&lt;EDATE(DATE(YEAR($H45),MONTH($H45),1),$O45)),MIN($P45,MAX(0,$N45-$U45-SUM($V45:V45))),0))</f>
        <v/>
      </c>
      <c r="X45" s="457">
        <f>IF($AO45&lt;&gt;"OK",0,IF(AND(DATE('Thiết lập'!$B$4,3,1)&gt;=DATE(YEAR($H45),MONTH($H45),1),DATE('Thiết lập'!$B$4,3,1)&lt;EDATE(DATE(YEAR($H45),MONTH($H45),1),$O45)),MIN($P45,MAX(0,$N45-$U45-SUM($V45:W45))),0))</f>
        <v/>
      </c>
      <c r="Y45" s="457">
        <f>IF($AO45&lt;&gt;"OK",0,IF(AND(DATE('Thiết lập'!$B$4,4,1)&gt;=DATE(YEAR($H45),MONTH($H45),1),DATE('Thiết lập'!$B$4,4,1)&lt;EDATE(DATE(YEAR($H45),MONTH($H45),1),$O45)),MIN($P45,MAX(0,$N45-$U45-SUM($V45:X45))),0))</f>
        <v/>
      </c>
      <c r="Z45" s="457">
        <f>IF($AO45&lt;&gt;"OK",0,IF(AND(DATE('Thiết lập'!$B$4,5,1)&gt;=DATE(YEAR($H45),MONTH($H45),1),DATE('Thiết lập'!$B$4,5,1)&lt;EDATE(DATE(YEAR($H45),MONTH($H45),1),$O45)),MIN($P45,MAX(0,$N45-$U45-SUM($V45:Y45))),0))</f>
        <v/>
      </c>
      <c r="AA45" s="457">
        <f>IF($AO45&lt;&gt;"OK",0,IF(AND(DATE('Thiết lập'!$B$4,6,1)&gt;=DATE(YEAR($H45),MONTH($H45),1),DATE('Thiết lập'!$B$4,6,1)&lt;EDATE(DATE(YEAR($H45),MONTH($H45),1),$O45)),MIN($P45,MAX(0,$N45-$U45-SUM($V45:Z45))),0))</f>
        <v/>
      </c>
      <c r="AB45" s="457">
        <f>IF($AO45&lt;&gt;"OK",0,IF(AND(DATE('Thiết lập'!$B$4,7,1)&gt;=DATE(YEAR($H45),MONTH($H45),1),DATE('Thiết lập'!$B$4,7,1)&lt;EDATE(DATE(YEAR($H45),MONTH($H45),1),$O45)),MIN($P45,MAX(0,$N45-$U45-SUM($V45:AA45))),0))</f>
        <v/>
      </c>
      <c r="AC45" s="457">
        <f>IF($AO45&lt;&gt;"OK",0,IF(AND(DATE('Thiết lập'!$B$4,8,1)&gt;=DATE(YEAR($H45),MONTH($H45),1),DATE('Thiết lập'!$B$4,8,1)&lt;EDATE(DATE(YEAR($H45),MONTH($H45),1),$O45)),MIN($P45,MAX(0,$N45-$U45-SUM($V45:AB45))),0))</f>
        <v/>
      </c>
      <c r="AD45" s="457">
        <f>IF($AO45&lt;&gt;"OK",0,IF(AND(DATE('Thiết lập'!$B$4,9,1)&gt;=DATE(YEAR($H45),MONTH($H45),1),DATE('Thiết lập'!$B$4,9,1)&lt;EDATE(DATE(YEAR($H45),MONTH($H45),1),$O45)),MIN($P45,MAX(0,$N45-$U45-SUM($V45:AC45))),0))</f>
        <v/>
      </c>
      <c r="AE45" s="457">
        <f>IF($AO45&lt;&gt;"OK",0,IF(AND(DATE('Thiết lập'!$B$4,10,1)&gt;=DATE(YEAR($H45),MONTH($H45),1),DATE('Thiết lập'!$B$4,10,1)&lt;EDATE(DATE(YEAR($H45),MONTH($H45),1),$O45)),MIN($P45,MAX(0,$N45-$U45-SUM($V45:AD45))),0))</f>
        <v/>
      </c>
      <c r="AF45" s="457">
        <f>IF($AO45&lt;&gt;"OK",0,IF(AND(DATE('Thiết lập'!$B$4,11,1)&gt;=DATE(YEAR($H45),MONTH($H45),1),DATE('Thiết lập'!$B$4,11,1)&lt;EDATE(DATE(YEAR($H45),MONTH($H45),1),$O45)),MIN($P45,MAX(0,$N45-$U45-SUM($V45:AE45))),0))</f>
        <v/>
      </c>
      <c r="AG45" s="457">
        <f>IF($AO45&lt;&gt;"OK",0,IF(AND(DATE('Thiết lập'!$B$4,12,1)&gt;=DATE(YEAR($H45),MONTH($H45),1),DATE('Thiết lập'!$B$4,12,1)&lt;EDATE(DATE(YEAR($H45),MONTH($H45),1),$O45)),MIN($P45,MAX(0,$N45-$U45-SUM($V45:AF45))),0))</f>
        <v/>
      </c>
      <c r="AH45" s="457">
        <f>IF(B45="","",SUM(V45:AG45))</f>
        <v/>
      </c>
      <c r="AI45" s="457">
        <f>IF(B45="","",MIN(N45,IF(U45="",0,U45)+AH45))</f>
        <v/>
      </c>
      <c r="AJ45" s="457">
        <f>IF(B45="","",MAX(0,L45-AI45))</f>
        <v/>
      </c>
      <c r="AK45" s="337">
        <f>IF(B45="","",IF(H45&gt;'Thiết lập'!$B$5,"Chưa khấu hao",IF(AJ45&lt;=IF(M45="",0,M45),"Đã hết khấu hao","Đang khấu hao")))</f>
        <v/>
      </c>
      <c r="AL45" s="275" t="n"/>
      <c r="AM45" s="275" t="n"/>
      <c r="AN45" s="275" t="n"/>
      <c r="AO45" s="343">
        <f>IF(B45="","",IF(COUNTIF($B$7:$B$306,B45)&gt;1,"Trùng mã TSCĐ",IF(C45="","Thiếu tên TSCĐ",IF(H45="","Thiếu ngày bắt đầu",IF(OR(I45&lt;=0,L45&lt;=0,O45&lt;=0),"Kiểm tra số lượng/nguyên giá/thời gian",IF(AND(G45&lt;&gt;"",H45&lt;G45),"Ngày KH trước ngày ghi tăng",IF(M45&gt;L45,"Giá trị thu hồi vượt nguyên giá",IF(IF(U45="",0,U45)&gt;N45,"Lũy kế đầu năm vượt GTKH","OK"))))))))</f>
        <v/>
      </c>
    </row>
    <row r="46" ht="20" customHeight="1" s="389">
      <c r="A46" s="325">
        <f>IF(B46="","",ROW()-6)</f>
        <v/>
      </c>
      <c r="B46" s="275" t="n"/>
      <c r="C46" s="275" t="n"/>
      <c r="D46" s="331" t="n"/>
      <c r="E46" s="331" t="n"/>
      <c r="F46" s="454" t="n"/>
      <c r="G46" s="454" t="n"/>
      <c r="H46" s="454" t="n"/>
      <c r="I46" s="455" t="n"/>
      <c r="J46" s="456" t="n"/>
      <c r="K46" s="456" t="n"/>
      <c r="L46" s="457">
        <f>IF(B46="","",IF(OR(I46="",J46=""),"",I46*J46+IF(K46="",0,K46)))</f>
        <v/>
      </c>
      <c r="M46" s="456" t="n"/>
      <c r="N46" s="457">
        <f>IF(L46="","",MAX(0,L46-IF(M46="",0,M46)))</f>
        <v/>
      </c>
      <c r="O46" s="455" t="n"/>
      <c r="P46" s="457">
        <f>IF(OR(N46="",O46&lt;=0),"",ROUND(N46/O46,0))</f>
        <v/>
      </c>
      <c r="Q46" s="458">
        <f>IF(OR(H46="",O46&lt;=0),"",EOMONTH(H46,O46-1))</f>
        <v/>
      </c>
      <c r="R46" s="331" t="n"/>
      <c r="S46" s="331" t="n"/>
      <c r="T46" s="331" t="n"/>
      <c r="U46" s="456" t="n"/>
      <c r="V46" s="457">
        <f>IF($AO46&lt;&gt;"OK",0,IF(AND(DATE('Thiết lập'!$B$4,1,1)&gt;=DATE(YEAR($H46),MONTH($H46),1),DATE('Thiết lập'!$B$4,1,1)&lt;EDATE(DATE(YEAR($H46),MONTH($H46),1),$O46)),MIN($P46,MAX(0,$N46-$U46-0)),0))</f>
        <v/>
      </c>
      <c r="W46" s="457">
        <f>IF($AO46&lt;&gt;"OK",0,IF(AND(DATE('Thiết lập'!$B$4,2,1)&gt;=DATE(YEAR($H46),MONTH($H46),1),DATE('Thiết lập'!$B$4,2,1)&lt;EDATE(DATE(YEAR($H46),MONTH($H46),1),$O46)),MIN($P46,MAX(0,$N46-$U46-SUM($V46:V46))),0))</f>
        <v/>
      </c>
      <c r="X46" s="457">
        <f>IF($AO46&lt;&gt;"OK",0,IF(AND(DATE('Thiết lập'!$B$4,3,1)&gt;=DATE(YEAR($H46),MONTH($H46),1),DATE('Thiết lập'!$B$4,3,1)&lt;EDATE(DATE(YEAR($H46),MONTH($H46),1),$O46)),MIN($P46,MAX(0,$N46-$U46-SUM($V46:W46))),0))</f>
        <v/>
      </c>
      <c r="Y46" s="457">
        <f>IF($AO46&lt;&gt;"OK",0,IF(AND(DATE('Thiết lập'!$B$4,4,1)&gt;=DATE(YEAR($H46),MONTH($H46),1),DATE('Thiết lập'!$B$4,4,1)&lt;EDATE(DATE(YEAR($H46),MONTH($H46),1),$O46)),MIN($P46,MAX(0,$N46-$U46-SUM($V46:X46))),0))</f>
        <v/>
      </c>
      <c r="Z46" s="457">
        <f>IF($AO46&lt;&gt;"OK",0,IF(AND(DATE('Thiết lập'!$B$4,5,1)&gt;=DATE(YEAR($H46),MONTH($H46),1),DATE('Thiết lập'!$B$4,5,1)&lt;EDATE(DATE(YEAR($H46),MONTH($H46),1),$O46)),MIN($P46,MAX(0,$N46-$U46-SUM($V46:Y46))),0))</f>
        <v/>
      </c>
      <c r="AA46" s="457">
        <f>IF($AO46&lt;&gt;"OK",0,IF(AND(DATE('Thiết lập'!$B$4,6,1)&gt;=DATE(YEAR($H46),MONTH($H46),1),DATE('Thiết lập'!$B$4,6,1)&lt;EDATE(DATE(YEAR($H46),MONTH($H46),1),$O46)),MIN($P46,MAX(0,$N46-$U46-SUM($V46:Z46))),0))</f>
        <v/>
      </c>
      <c r="AB46" s="457">
        <f>IF($AO46&lt;&gt;"OK",0,IF(AND(DATE('Thiết lập'!$B$4,7,1)&gt;=DATE(YEAR($H46),MONTH($H46),1),DATE('Thiết lập'!$B$4,7,1)&lt;EDATE(DATE(YEAR($H46),MONTH($H46),1),$O46)),MIN($P46,MAX(0,$N46-$U46-SUM($V46:AA46))),0))</f>
        <v/>
      </c>
      <c r="AC46" s="457">
        <f>IF($AO46&lt;&gt;"OK",0,IF(AND(DATE('Thiết lập'!$B$4,8,1)&gt;=DATE(YEAR($H46),MONTH($H46),1),DATE('Thiết lập'!$B$4,8,1)&lt;EDATE(DATE(YEAR($H46),MONTH($H46),1),$O46)),MIN($P46,MAX(0,$N46-$U46-SUM($V46:AB46))),0))</f>
        <v/>
      </c>
      <c r="AD46" s="457">
        <f>IF($AO46&lt;&gt;"OK",0,IF(AND(DATE('Thiết lập'!$B$4,9,1)&gt;=DATE(YEAR($H46),MONTH($H46),1),DATE('Thiết lập'!$B$4,9,1)&lt;EDATE(DATE(YEAR($H46),MONTH($H46),1),$O46)),MIN($P46,MAX(0,$N46-$U46-SUM($V46:AC46))),0))</f>
        <v/>
      </c>
      <c r="AE46" s="457">
        <f>IF($AO46&lt;&gt;"OK",0,IF(AND(DATE('Thiết lập'!$B$4,10,1)&gt;=DATE(YEAR($H46),MONTH($H46),1),DATE('Thiết lập'!$B$4,10,1)&lt;EDATE(DATE(YEAR($H46),MONTH($H46),1),$O46)),MIN($P46,MAX(0,$N46-$U46-SUM($V46:AD46))),0))</f>
        <v/>
      </c>
      <c r="AF46" s="457">
        <f>IF($AO46&lt;&gt;"OK",0,IF(AND(DATE('Thiết lập'!$B$4,11,1)&gt;=DATE(YEAR($H46),MONTH($H46),1),DATE('Thiết lập'!$B$4,11,1)&lt;EDATE(DATE(YEAR($H46),MONTH($H46),1),$O46)),MIN($P46,MAX(0,$N46-$U46-SUM($V46:AE46))),0))</f>
        <v/>
      </c>
      <c r="AG46" s="457">
        <f>IF($AO46&lt;&gt;"OK",0,IF(AND(DATE('Thiết lập'!$B$4,12,1)&gt;=DATE(YEAR($H46),MONTH($H46),1),DATE('Thiết lập'!$B$4,12,1)&lt;EDATE(DATE(YEAR($H46),MONTH($H46),1),$O46)),MIN($P46,MAX(0,$N46-$U46-SUM($V46:AF46))),0))</f>
        <v/>
      </c>
      <c r="AH46" s="457">
        <f>IF(B46="","",SUM(V46:AG46))</f>
        <v/>
      </c>
      <c r="AI46" s="457">
        <f>IF(B46="","",MIN(N46,IF(U46="",0,U46)+AH46))</f>
        <v/>
      </c>
      <c r="AJ46" s="457">
        <f>IF(B46="","",MAX(0,L46-AI46))</f>
        <v/>
      </c>
      <c r="AK46" s="337">
        <f>IF(B46="","",IF(H46&gt;'Thiết lập'!$B$5,"Chưa khấu hao",IF(AJ46&lt;=IF(M46="",0,M46),"Đã hết khấu hao","Đang khấu hao")))</f>
        <v/>
      </c>
      <c r="AL46" s="275" t="n"/>
      <c r="AM46" s="275" t="n"/>
      <c r="AN46" s="275" t="n"/>
      <c r="AO46" s="343">
        <f>IF(B46="","",IF(COUNTIF($B$7:$B$306,B46)&gt;1,"Trùng mã TSCĐ",IF(C46="","Thiếu tên TSCĐ",IF(H46="","Thiếu ngày bắt đầu",IF(OR(I46&lt;=0,L46&lt;=0,O46&lt;=0),"Kiểm tra số lượng/nguyên giá/thời gian",IF(AND(G46&lt;&gt;"",H46&lt;G46),"Ngày KH trước ngày ghi tăng",IF(M46&gt;L46,"Giá trị thu hồi vượt nguyên giá",IF(IF(U46="",0,U46)&gt;N46,"Lũy kế đầu năm vượt GTKH","OK"))))))))</f>
        <v/>
      </c>
    </row>
    <row r="47" ht="20" customHeight="1" s="389">
      <c r="A47" s="325">
        <f>IF(B47="","",ROW()-6)</f>
        <v/>
      </c>
      <c r="B47" s="275" t="n"/>
      <c r="C47" s="275" t="n"/>
      <c r="D47" s="331" t="n"/>
      <c r="E47" s="331" t="n"/>
      <c r="F47" s="454" t="n"/>
      <c r="G47" s="454" t="n"/>
      <c r="H47" s="454" t="n"/>
      <c r="I47" s="455" t="n"/>
      <c r="J47" s="456" t="n"/>
      <c r="K47" s="456" t="n"/>
      <c r="L47" s="457">
        <f>IF(B47="","",IF(OR(I47="",J47=""),"",I47*J47+IF(K47="",0,K47)))</f>
        <v/>
      </c>
      <c r="M47" s="456" t="n"/>
      <c r="N47" s="457">
        <f>IF(L47="","",MAX(0,L47-IF(M47="",0,M47)))</f>
        <v/>
      </c>
      <c r="O47" s="455" t="n"/>
      <c r="P47" s="457">
        <f>IF(OR(N47="",O47&lt;=0),"",ROUND(N47/O47,0))</f>
        <v/>
      </c>
      <c r="Q47" s="458">
        <f>IF(OR(H47="",O47&lt;=0),"",EOMONTH(H47,O47-1))</f>
        <v/>
      </c>
      <c r="R47" s="331" t="n"/>
      <c r="S47" s="331" t="n"/>
      <c r="T47" s="331" t="n"/>
      <c r="U47" s="456" t="n"/>
      <c r="V47" s="457">
        <f>IF($AO47&lt;&gt;"OK",0,IF(AND(DATE('Thiết lập'!$B$4,1,1)&gt;=DATE(YEAR($H47),MONTH($H47),1),DATE('Thiết lập'!$B$4,1,1)&lt;EDATE(DATE(YEAR($H47),MONTH($H47),1),$O47)),MIN($P47,MAX(0,$N47-$U47-0)),0))</f>
        <v/>
      </c>
      <c r="W47" s="457">
        <f>IF($AO47&lt;&gt;"OK",0,IF(AND(DATE('Thiết lập'!$B$4,2,1)&gt;=DATE(YEAR($H47),MONTH($H47),1),DATE('Thiết lập'!$B$4,2,1)&lt;EDATE(DATE(YEAR($H47),MONTH($H47),1),$O47)),MIN($P47,MAX(0,$N47-$U47-SUM($V47:V47))),0))</f>
        <v/>
      </c>
      <c r="X47" s="457">
        <f>IF($AO47&lt;&gt;"OK",0,IF(AND(DATE('Thiết lập'!$B$4,3,1)&gt;=DATE(YEAR($H47),MONTH($H47),1),DATE('Thiết lập'!$B$4,3,1)&lt;EDATE(DATE(YEAR($H47),MONTH($H47),1),$O47)),MIN($P47,MAX(0,$N47-$U47-SUM($V47:W47))),0))</f>
        <v/>
      </c>
      <c r="Y47" s="457">
        <f>IF($AO47&lt;&gt;"OK",0,IF(AND(DATE('Thiết lập'!$B$4,4,1)&gt;=DATE(YEAR($H47),MONTH($H47),1),DATE('Thiết lập'!$B$4,4,1)&lt;EDATE(DATE(YEAR($H47),MONTH($H47),1),$O47)),MIN($P47,MAX(0,$N47-$U47-SUM($V47:X47))),0))</f>
        <v/>
      </c>
      <c r="Z47" s="457">
        <f>IF($AO47&lt;&gt;"OK",0,IF(AND(DATE('Thiết lập'!$B$4,5,1)&gt;=DATE(YEAR($H47),MONTH($H47),1),DATE('Thiết lập'!$B$4,5,1)&lt;EDATE(DATE(YEAR($H47),MONTH($H47),1),$O47)),MIN($P47,MAX(0,$N47-$U47-SUM($V47:Y47))),0))</f>
        <v/>
      </c>
      <c r="AA47" s="457">
        <f>IF($AO47&lt;&gt;"OK",0,IF(AND(DATE('Thiết lập'!$B$4,6,1)&gt;=DATE(YEAR($H47),MONTH($H47),1),DATE('Thiết lập'!$B$4,6,1)&lt;EDATE(DATE(YEAR($H47),MONTH($H47),1),$O47)),MIN($P47,MAX(0,$N47-$U47-SUM($V47:Z47))),0))</f>
        <v/>
      </c>
      <c r="AB47" s="457">
        <f>IF($AO47&lt;&gt;"OK",0,IF(AND(DATE('Thiết lập'!$B$4,7,1)&gt;=DATE(YEAR($H47),MONTH($H47),1),DATE('Thiết lập'!$B$4,7,1)&lt;EDATE(DATE(YEAR($H47),MONTH($H47),1),$O47)),MIN($P47,MAX(0,$N47-$U47-SUM($V47:AA47))),0))</f>
        <v/>
      </c>
      <c r="AC47" s="457">
        <f>IF($AO47&lt;&gt;"OK",0,IF(AND(DATE('Thiết lập'!$B$4,8,1)&gt;=DATE(YEAR($H47),MONTH($H47),1),DATE('Thiết lập'!$B$4,8,1)&lt;EDATE(DATE(YEAR($H47),MONTH($H47),1),$O47)),MIN($P47,MAX(0,$N47-$U47-SUM($V47:AB47))),0))</f>
        <v/>
      </c>
      <c r="AD47" s="457">
        <f>IF($AO47&lt;&gt;"OK",0,IF(AND(DATE('Thiết lập'!$B$4,9,1)&gt;=DATE(YEAR($H47),MONTH($H47),1),DATE('Thiết lập'!$B$4,9,1)&lt;EDATE(DATE(YEAR($H47),MONTH($H47),1),$O47)),MIN($P47,MAX(0,$N47-$U47-SUM($V47:AC47))),0))</f>
        <v/>
      </c>
      <c r="AE47" s="457">
        <f>IF($AO47&lt;&gt;"OK",0,IF(AND(DATE('Thiết lập'!$B$4,10,1)&gt;=DATE(YEAR($H47),MONTH($H47),1),DATE('Thiết lập'!$B$4,10,1)&lt;EDATE(DATE(YEAR($H47),MONTH($H47),1),$O47)),MIN($P47,MAX(0,$N47-$U47-SUM($V47:AD47))),0))</f>
        <v/>
      </c>
      <c r="AF47" s="457">
        <f>IF($AO47&lt;&gt;"OK",0,IF(AND(DATE('Thiết lập'!$B$4,11,1)&gt;=DATE(YEAR($H47),MONTH($H47),1),DATE('Thiết lập'!$B$4,11,1)&lt;EDATE(DATE(YEAR($H47),MONTH($H47),1),$O47)),MIN($P47,MAX(0,$N47-$U47-SUM($V47:AE47))),0))</f>
        <v/>
      </c>
      <c r="AG47" s="457">
        <f>IF($AO47&lt;&gt;"OK",0,IF(AND(DATE('Thiết lập'!$B$4,12,1)&gt;=DATE(YEAR($H47),MONTH($H47),1),DATE('Thiết lập'!$B$4,12,1)&lt;EDATE(DATE(YEAR($H47),MONTH($H47),1),$O47)),MIN($P47,MAX(0,$N47-$U47-SUM($V47:AF47))),0))</f>
        <v/>
      </c>
      <c r="AH47" s="457">
        <f>IF(B47="","",SUM(V47:AG47))</f>
        <v/>
      </c>
      <c r="AI47" s="457">
        <f>IF(B47="","",MIN(N47,IF(U47="",0,U47)+AH47))</f>
        <v/>
      </c>
      <c r="AJ47" s="457">
        <f>IF(B47="","",MAX(0,L47-AI47))</f>
        <v/>
      </c>
      <c r="AK47" s="337">
        <f>IF(B47="","",IF(H47&gt;'Thiết lập'!$B$5,"Chưa khấu hao",IF(AJ47&lt;=IF(M47="",0,M47),"Đã hết khấu hao","Đang khấu hao")))</f>
        <v/>
      </c>
      <c r="AL47" s="275" t="n"/>
      <c r="AM47" s="275" t="n"/>
      <c r="AN47" s="275" t="n"/>
      <c r="AO47" s="343">
        <f>IF(B47="","",IF(COUNTIF($B$7:$B$306,B47)&gt;1,"Trùng mã TSCĐ",IF(C47="","Thiếu tên TSCĐ",IF(H47="","Thiếu ngày bắt đầu",IF(OR(I47&lt;=0,L47&lt;=0,O47&lt;=0),"Kiểm tra số lượng/nguyên giá/thời gian",IF(AND(G47&lt;&gt;"",H47&lt;G47),"Ngày KH trước ngày ghi tăng",IF(M47&gt;L47,"Giá trị thu hồi vượt nguyên giá",IF(IF(U47="",0,U47)&gt;N47,"Lũy kế đầu năm vượt GTKH","OK"))))))))</f>
        <v/>
      </c>
    </row>
    <row r="48" ht="20" customHeight="1" s="389">
      <c r="A48" s="325">
        <f>IF(B48="","",ROW()-6)</f>
        <v/>
      </c>
      <c r="B48" s="275" t="n"/>
      <c r="C48" s="275" t="n"/>
      <c r="D48" s="331" t="n"/>
      <c r="E48" s="331" t="n"/>
      <c r="F48" s="454" t="n"/>
      <c r="G48" s="454" t="n"/>
      <c r="H48" s="454" t="n"/>
      <c r="I48" s="455" t="n"/>
      <c r="J48" s="456" t="n"/>
      <c r="K48" s="456" t="n"/>
      <c r="L48" s="457">
        <f>IF(B48="","",IF(OR(I48="",J48=""),"",I48*J48+IF(K48="",0,K48)))</f>
        <v/>
      </c>
      <c r="M48" s="456" t="n"/>
      <c r="N48" s="457">
        <f>IF(L48="","",MAX(0,L48-IF(M48="",0,M48)))</f>
        <v/>
      </c>
      <c r="O48" s="455" t="n"/>
      <c r="P48" s="457">
        <f>IF(OR(N48="",O48&lt;=0),"",ROUND(N48/O48,0))</f>
        <v/>
      </c>
      <c r="Q48" s="458">
        <f>IF(OR(H48="",O48&lt;=0),"",EOMONTH(H48,O48-1))</f>
        <v/>
      </c>
      <c r="R48" s="331" t="n"/>
      <c r="S48" s="331" t="n"/>
      <c r="T48" s="331" t="n"/>
      <c r="U48" s="456" t="n"/>
      <c r="V48" s="457">
        <f>IF($AO48&lt;&gt;"OK",0,IF(AND(DATE('Thiết lập'!$B$4,1,1)&gt;=DATE(YEAR($H48),MONTH($H48),1),DATE('Thiết lập'!$B$4,1,1)&lt;EDATE(DATE(YEAR($H48),MONTH($H48),1),$O48)),MIN($P48,MAX(0,$N48-$U48-0)),0))</f>
        <v/>
      </c>
      <c r="W48" s="457">
        <f>IF($AO48&lt;&gt;"OK",0,IF(AND(DATE('Thiết lập'!$B$4,2,1)&gt;=DATE(YEAR($H48),MONTH($H48),1),DATE('Thiết lập'!$B$4,2,1)&lt;EDATE(DATE(YEAR($H48),MONTH($H48),1),$O48)),MIN($P48,MAX(0,$N48-$U48-SUM($V48:V48))),0))</f>
        <v/>
      </c>
      <c r="X48" s="457">
        <f>IF($AO48&lt;&gt;"OK",0,IF(AND(DATE('Thiết lập'!$B$4,3,1)&gt;=DATE(YEAR($H48),MONTH($H48),1),DATE('Thiết lập'!$B$4,3,1)&lt;EDATE(DATE(YEAR($H48),MONTH($H48),1),$O48)),MIN($P48,MAX(0,$N48-$U48-SUM($V48:W48))),0))</f>
        <v/>
      </c>
      <c r="Y48" s="457">
        <f>IF($AO48&lt;&gt;"OK",0,IF(AND(DATE('Thiết lập'!$B$4,4,1)&gt;=DATE(YEAR($H48),MONTH($H48),1),DATE('Thiết lập'!$B$4,4,1)&lt;EDATE(DATE(YEAR($H48),MONTH($H48),1),$O48)),MIN($P48,MAX(0,$N48-$U48-SUM($V48:X48))),0))</f>
        <v/>
      </c>
      <c r="Z48" s="457">
        <f>IF($AO48&lt;&gt;"OK",0,IF(AND(DATE('Thiết lập'!$B$4,5,1)&gt;=DATE(YEAR($H48),MONTH($H48),1),DATE('Thiết lập'!$B$4,5,1)&lt;EDATE(DATE(YEAR($H48),MONTH($H48),1),$O48)),MIN($P48,MAX(0,$N48-$U48-SUM($V48:Y48))),0))</f>
        <v/>
      </c>
      <c r="AA48" s="457">
        <f>IF($AO48&lt;&gt;"OK",0,IF(AND(DATE('Thiết lập'!$B$4,6,1)&gt;=DATE(YEAR($H48),MONTH($H48),1),DATE('Thiết lập'!$B$4,6,1)&lt;EDATE(DATE(YEAR($H48),MONTH($H48),1),$O48)),MIN($P48,MAX(0,$N48-$U48-SUM($V48:Z48))),0))</f>
        <v/>
      </c>
      <c r="AB48" s="457">
        <f>IF($AO48&lt;&gt;"OK",0,IF(AND(DATE('Thiết lập'!$B$4,7,1)&gt;=DATE(YEAR($H48),MONTH($H48),1),DATE('Thiết lập'!$B$4,7,1)&lt;EDATE(DATE(YEAR($H48),MONTH($H48),1),$O48)),MIN($P48,MAX(0,$N48-$U48-SUM($V48:AA48))),0))</f>
        <v/>
      </c>
      <c r="AC48" s="457">
        <f>IF($AO48&lt;&gt;"OK",0,IF(AND(DATE('Thiết lập'!$B$4,8,1)&gt;=DATE(YEAR($H48),MONTH($H48),1),DATE('Thiết lập'!$B$4,8,1)&lt;EDATE(DATE(YEAR($H48),MONTH($H48),1),$O48)),MIN($P48,MAX(0,$N48-$U48-SUM($V48:AB48))),0))</f>
        <v/>
      </c>
      <c r="AD48" s="457">
        <f>IF($AO48&lt;&gt;"OK",0,IF(AND(DATE('Thiết lập'!$B$4,9,1)&gt;=DATE(YEAR($H48),MONTH($H48),1),DATE('Thiết lập'!$B$4,9,1)&lt;EDATE(DATE(YEAR($H48),MONTH($H48),1),$O48)),MIN($P48,MAX(0,$N48-$U48-SUM($V48:AC48))),0))</f>
        <v/>
      </c>
      <c r="AE48" s="457">
        <f>IF($AO48&lt;&gt;"OK",0,IF(AND(DATE('Thiết lập'!$B$4,10,1)&gt;=DATE(YEAR($H48),MONTH($H48),1),DATE('Thiết lập'!$B$4,10,1)&lt;EDATE(DATE(YEAR($H48),MONTH($H48),1),$O48)),MIN($P48,MAX(0,$N48-$U48-SUM($V48:AD48))),0))</f>
        <v/>
      </c>
      <c r="AF48" s="457">
        <f>IF($AO48&lt;&gt;"OK",0,IF(AND(DATE('Thiết lập'!$B$4,11,1)&gt;=DATE(YEAR($H48),MONTH($H48),1),DATE('Thiết lập'!$B$4,11,1)&lt;EDATE(DATE(YEAR($H48),MONTH($H48),1),$O48)),MIN($P48,MAX(0,$N48-$U48-SUM($V48:AE48))),0))</f>
        <v/>
      </c>
      <c r="AG48" s="457">
        <f>IF($AO48&lt;&gt;"OK",0,IF(AND(DATE('Thiết lập'!$B$4,12,1)&gt;=DATE(YEAR($H48),MONTH($H48),1),DATE('Thiết lập'!$B$4,12,1)&lt;EDATE(DATE(YEAR($H48),MONTH($H48),1),$O48)),MIN($P48,MAX(0,$N48-$U48-SUM($V48:AF48))),0))</f>
        <v/>
      </c>
      <c r="AH48" s="457">
        <f>IF(B48="","",SUM(V48:AG48))</f>
        <v/>
      </c>
      <c r="AI48" s="457">
        <f>IF(B48="","",MIN(N48,IF(U48="",0,U48)+AH48))</f>
        <v/>
      </c>
      <c r="AJ48" s="457">
        <f>IF(B48="","",MAX(0,L48-AI48))</f>
        <v/>
      </c>
      <c r="AK48" s="337">
        <f>IF(B48="","",IF(H48&gt;'Thiết lập'!$B$5,"Chưa khấu hao",IF(AJ48&lt;=IF(M48="",0,M48),"Đã hết khấu hao","Đang khấu hao")))</f>
        <v/>
      </c>
      <c r="AL48" s="275" t="n"/>
      <c r="AM48" s="275" t="n"/>
      <c r="AN48" s="275" t="n"/>
      <c r="AO48" s="343">
        <f>IF(B48="","",IF(COUNTIF($B$7:$B$306,B48)&gt;1,"Trùng mã TSCĐ",IF(C48="","Thiếu tên TSCĐ",IF(H48="","Thiếu ngày bắt đầu",IF(OR(I48&lt;=0,L48&lt;=0,O48&lt;=0),"Kiểm tra số lượng/nguyên giá/thời gian",IF(AND(G48&lt;&gt;"",H48&lt;G48),"Ngày KH trước ngày ghi tăng",IF(M48&gt;L48,"Giá trị thu hồi vượt nguyên giá",IF(IF(U48="",0,U48)&gt;N48,"Lũy kế đầu năm vượt GTKH","OK"))))))))</f>
        <v/>
      </c>
    </row>
    <row r="49" ht="20" customHeight="1" s="389">
      <c r="A49" s="325">
        <f>IF(B49="","",ROW()-6)</f>
        <v/>
      </c>
      <c r="B49" s="275" t="n"/>
      <c r="C49" s="275" t="n"/>
      <c r="D49" s="331" t="n"/>
      <c r="E49" s="331" t="n"/>
      <c r="F49" s="454" t="n"/>
      <c r="G49" s="454" t="n"/>
      <c r="H49" s="454" t="n"/>
      <c r="I49" s="455" t="n"/>
      <c r="J49" s="456" t="n"/>
      <c r="K49" s="456" t="n"/>
      <c r="L49" s="457">
        <f>IF(B49="","",IF(OR(I49="",J49=""),"",I49*J49+IF(K49="",0,K49)))</f>
        <v/>
      </c>
      <c r="M49" s="456" t="n"/>
      <c r="N49" s="457">
        <f>IF(L49="","",MAX(0,L49-IF(M49="",0,M49)))</f>
        <v/>
      </c>
      <c r="O49" s="455" t="n"/>
      <c r="P49" s="457">
        <f>IF(OR(N49="",O49&lt;=0),"",ROUND(N49/O49,0))</f>
        <v/>
      </c>
      <c r="Q49" s="458">
        <f>IF(OR(H49="",O49&lt;=0),"",EOMONTH(H49,O49-1))</f>
        <v/>
      </c>
      <c r="R49" s="331" t="n"/>
      <c r="S49" s="331" t="n"/>
      <c r="T49" s="331" t="n"/>
      <c r="U49" s="456" t="n"/>
      <c r="V49" s="457">
        <f>IF($AO49&lt;&gt;"OK",0,IF(AND(DATE('Thiết lập'!$B$4,1,1)&gt;=DATE(YEAR($H49),MONTH($H49),1),DATE('Thiết lập'!$B$4,1,1)&lt;EDATE(DATE(YEAR($H49),MONTH($H49),1),$O49)),MIN($P49,MAX(0,$N49-$U49-0)),0))</f>
        <v/>
      </c>
      <c r="W49" s="457">
        <f>IF($AO49&lt;&gt;"OK",0,IF(AND(DATE('Thiết lập'!$B$4,2,1)&gt;=DATE(YEAR($H49),MONTH($H49),1),DATE('Thiết lập'!$B$4,2,1)&lt;EDATE(DATE(YEAR($H49),MONTH($H49),1),$O49)),MIN($P49,MAX(0,$N49-$U49-SUM($V49:V49))),0))</f>
        <v/>
      </c>
      <c r="X49" s="457">
        <f>IF($AO49&lt;&gt;"OK",0,IF(AND(DATE('Thiết lập'!$B$4,3,1)&gt;=DATE(YEAR($H49),MONTH($H49),1),DATE('Thiết lập'!$B$4,3,1)&lt;EDATE(DATE(YEAR($H49),MONTH($H49),1),$O49)),MIN($P49,MAX(0,$N49-$U49-SUM($V49:W49))),0))</f>
        <v/>
      </c>
      <c r="Y49" s="457">
        <f>IF($AO49&lt;&gt;"OK",0,IF(AND(DATE('Thiết lập'!$B$4,4,1)&gt;=DATE(YEAR($H49),MONTH($H49),1),DATE('Thiết lập'!$B$4,4,1)&lt;EDATE(DATE(YEAR($H49),MONTH($H49),1),$O49)),MIN($P49,MAX(0,$N49-$U49-SUM($V49:X49))),0))</f>
        <v/>
      </c>
      <c r="Z49" s="457">
        <f>IF($AO49&lt;&gt;"OK",0,IF(AND(DATE('Thiết lập'!$B$4,5,1)&gt;=DATE(YEAR($H49),MONTH($H49),1),DATE('Thiết lập'!$B$4,5,1)&lt;EDATE(DATE(YEAR($H49),MONTH($H49),1),$O49)),MIN($P49,MAX(0,$N49-$U49-SUM($V49:Y49))),0))</f>
        <v/>
      </c>
      <c r="AA49" s="457">
        <f>IF($AO49&lt;&gt;"OK",0,IF(AND(DATE('Thiết lập'!$B$4,6,1)&gt;=DATE(YEAR($H49),MONTH($H49),1),DATE('Thiết lập'!$B$4,6,1)&lt;EDATE(DATE(YEAR($H49),MONTH($H49),1),$O49)),MIN($P49,MAX(0,$N49-$U49-SUM($V49:Z49))),0))</f>
        <v/>
      </c>
      <c r="AB49" s="457">
        <f>IF($AO49&lt;&gt;"OK",0,IF(AND(DATE('Thiết lập'!$B$4,7,1)&gt;=DATE(YEAR($H49),MONTH($H49),1),DATE('Thiết lập'!$B$4,7,1)&lt;EDATE(DATE(YEAR($H49),MONTH($H49),1),$O49)),MIN($P49,MAX(0,$N49-$U49-SUM($V49:AA49))),0))</f>
        <v/>
      </c>
      <c r="AC49" s="457">
        <f>IF($AO49&lt;&gt;"OK",0,IF(AND(DATE('Thiết lập'!$B$4,8,1)&gt;=DATE(YEAR($H49),MONTH($H49),1),DATE('Thiết lập'!$B$4,8,1)&lt;EDATE(DATE(YEAR($H49),MONTH($H49),1),$O49)),MIN($P49,MAX(0,$N49-$U49-SUM($V49:AB49))),0))</f>
        <v/>
      </c>
      <c r="AD49" s="457">
        <f>IF($AO49&lt;&gt;"OK",0,IF(AND(DATE('Thiết lập'!$B$4,9,1)&gt;=DATE(YEAR($H49),MONTH($H49),1),DATE('Thiết lập'!$B$4,9,1)&lt;EDATE(DATE(YEAR($H49),MONTH($H49),1),$O49)),MIN($P49,MAX(0,$N49-$U49-SUM($V49:AC49))),0))</f>
        <v/>
      </c>
      <c r="AE49" s="457">
        <f>IF($AO49&lt;&gt;"OK",0,IF(AND(DATE('Thiết lập'!$B$4,10,1)&gt;=DATE(YEAR($H49),MONTH($H49),1),DATE('Thiết lập'!$B$4,10,1)&lt;EDATE(DATE(YEAR($H49),MONTH($H49),1),$O49)),MIN($P49,MAX(0,$N49-$U49-SUM($V49:AD49))),0))</f>
        <v/>
      </c>
      <c r="AF49" s="457">
        <f>IF($AO49&lt;&gt;"OK",0,IF(AND(DATE('Thiết lập'!$B$4,11,1)&gt;=DATE(YEAR($H49),MONTH($H49),1),DATE('Thiết lập'!$B$4,11,1)&lt;EDATE(DATE(YEAR($H49),MONTH($H49),1),$O49)),MIN($P49,MAX(0,$N49-$U49-SUM($V49:AE49))),0))</f>
        <v/>
      </c>
      <c r="AG49" s="457">
        <f>IF($AO49&lt;&gt;"OK",0,IF(AND(DATE('Thiết lập'!$B$4,12,1)&gt;=DATE(YEAR($H49),MONTH($H49),1),DATE('Thiết lập'!$B$4,12,1)&lt;EDATE(DATE(YEAR($H49),MONTH($H49),1),$O49)),MIN($P49,MAX(0,$N49-$U49-SUM($V49:AF49))),0))</f>
        <v/>
      </c>
      <c r="AH49" s="457">
        <f>IF(B49="","",SUM(V49:AG49))</f>
        <v/>
      </c>
      <c r="AI49" s="457">
        <f>IF(B49="","",MIN(N49,IF(U49="",0,U49)+AH49))</f>
        <v/>
      </c>
      <c r="AJ49" s="457">
        <f>IF(B49="","",MAX(0,L49-AI49))</f>
        <v/>
      </c>
      <c r="AK49" s="337">
        <f>IF(B49="","",IF(H49&gt;'Thiết lập'!$B$5,"Chưa khấu hao",IF(AJ49&lt;=IF(M49="",0,M49),"Đã hết khấu hao","Đang khấu hao")))</f>
        <v/>
      </c>
      <c r="AL49" s="275" t="n"/>
      <c r="AM49" s="275" t="n"/>
      <c r="AN49" s="275" t="n"/>
      <c r="AO49" s="343">
        <f>IF(B49="","",IF(COUNTIF($B$7:$B$306,B49)&gt;1,"Trùng mã TSCĐ",IF(C49="","Thiếu tên TSCĐ",IF(H49="","Thiếu ngày bắt đầu",IF(OR(I49&lt;=0,L49&lt;=0,O49&lt;=0),"Kiểm tra số lượng/nguyên giá/thời gian",IF(AND(G49&lt;&gt;"",H49&lt;G49),"Ngày KH trước ngày ghi tăng",IF(M49&gt;L49,"Giá trị thu hồi vượt nguyên giá",IF(IF(U49="",0,U49)&gt;N49,"Lũy kế đầu năm vượt GTKH","OK"))))))))</f>
        <v/>
      </c>
    </row>
    <row r="50" ht="20" customHeight="1" s="389">
      <c r="A50" s="325">
        <f>IF(B50="","",ROW()-6)</f>
        <v/>
      </c>
      <c r="B50" s="275" t="n"/>
      <c r="C50" s="275" t="n"/>
      <c r="D50" s="331" t="n"/>
      <c r="E50" s="331" t="n"/>
      <c r="F50" s="454" t="n"/>
      <c r="G50" s="454" t="n"/>
      <c r="H50" s="454" t="n"/>
      <c r="I50" s="455" t="n"/>
      <c r="J50" s="456" t="n"/>
      <c r="K50" s="456" t="n"/>
      <c r="L50" s="457">
        <f>IF(B50="","",IF(OR(I50="",J50=""),"",I50*J50+IF(K50="",0,K50)))</f>
        <v/>
      </c>
      <c r="M50" s="456" t="n"/>
      <c r="N50" s="457">
        <f>IF(L50="","",MAX(0,L50-IF(M50="",0,M50)))</f>
        <v/>
      </c>
      <c r="O50" s="455" t="n"/>
      <c r="P50" s="457">
        <f>IF(OR(N50="",O50&lt;=0),"",ROUND(N50/O50,0))</f>
        <v/>
      </c>
      <c r="Q50" s="458">
        <f>IF(OR(H50="",O50&lt;=0),"",EOMONTH(H50,O50-1))</f>
        <v/>
      </c>
      <c r="R50" s="331" t="n"/>
      <c r="S50" s="331" t="n"/>
      <c r="T50" s="331" t="n"/>
      <c r="U50" s="456" t="n"/>
      <c r="V50" s="457">
        <f>IF($AO50&lt;&gt;"OK",0,IF(AND(DATE('Thiết lập'!$B$4,1,1)&gt;=DATE(YEAR($H50),MONTH($H50),1),DATE('Thiết lập'!$B$4,1,1)&lt;EDATE(DATE(YEAR($H50),MONTH($H50),1),$O50)),MIN($P50,MAX(0,$N50-$U50-0)),0))</f>
        <v/>
      </c>
      <c r="W50" s="457">
        <f>IF($AO50&lt;&gt;"OK",0,IF(AND(DATE('Thiết lập'!$B$4,2,1)&gt;=DATE(YEAR($H50),MONTH($H50),1),DATE('Thiết lập'!$B$4,2,1)&lt;EDATE(DATE(YEAR($H50),MONTH($H50),1),$O50)),MIN($P50,MAX(0,$N50-$U50-SUM($V50:V50))),0))</f>
        <v/>
      </c>
      <c r="X50" s="457">
        <f>IF($AO50&lt;&gt;"OK",0,IF(AND(DATE('Thiết lập'!$B$4,3,1)&gt;=DATE(YEAR($H50),MONTH($H50),1),DATE('Thiết lập'!$B$4,3,1)&lt;EDATE(DATE(YEAR($H50),MONTH($H50),1),$O50)),MIN($P50,MAX(0,$N50-$U50-SUM($V50:W50))),0))</f>
        <v/>
      </c>
      <c r="Y50" s="457">
        <f>IF($AO50&lt;&gt;"OK",0,IF(AND(DATE('Thiết lập'!$B$4,4,1)&gt;=DATE(YEAR($H50),MONTH($H50),1),DATE('Thiết lập'!$B$4,4,1)&lt;EDATE(DATE(YEAR($H50),MONTH($H50),1),$O50)),MIN($P50,MAX(0,$N50-$U50-SUM($V50:X50))),0))</f>
        <v/>
      </c>
      <c r="Z50" s="457">
        <f>IF($AO50&lt;&gt;"OK",0,IF(AND(DATE('Thiết lập'!$B$4,5,1)&gt;=DATE(YEAR($H50),MONTH($H50),1),DATE('Thiết lập'!$B$4,5,1)&lt;EDATE(DATE(YEAR($H50),MONTH($H50),1),$O50)),MIN($P50,MAX(0,$N50-$U50-SUM($V50:Y50))),0))</f>
        <v/>
      </c>
      <c r="AA50" s="457">
        <f>IF($AO50&lt;&gt;"OK",0,IF(AND(DATE('Thiết lập'!$B$4,6,1)&gt;=DATE(YEAR($H50),MONTH($H50),1),DATE('Thiết lập'!$B$4,6,1)&lt;EDATE(DATE(YEAR($H50),MONTH($H50),1),$O50)),MIN($P50,MAX(0,$N50-$U50-SUM($V50:Z50))),0))</f>
        <v/>
      </c>
      <c r="AB50" s="457">
        <f>IF($AO50&lt;&gt;"OK",0,IF(AND(DATE('Thiết lập'!$B$4,7,1)&gt;=DATE(YEAR($H50),MONTH($H50),1),DATE('Thiết lập'!$B$4,7,1)&lt;EDATE(DATE(YEAR($H50),MONTH($H50),1),$O50)),MIN($P50,MAX(0,$N50-$U50-SUM($V50:AA50))),0))</f>
        <v/>
      </c>
      <c r="AC50" s="457">
        <f>IF($AO50&lt;&gt;"OK",0,IF(AND(DATE('Thiết lập'!$B$4,8,1)&gt;=DATE(YEAR($H50),MONTH($H50),1),DATE('Thiết lập'!$B$4,8,1)&lt;EDATE(DATE(YEAR($H50),MONTH($H50),1),$O50)),MIN($P50,MAX(0,$N50-$U50-SUM($V50:AB50))),0))</f>
        <v/>
      </c>
      <c r="AD50" s="457">
        <f>IF($AO50&lt;&gt;"OK",0,IF(AND(DATE('Thiết lập'!$B$4,9,1)&gt;=DATE(YEAR($H50),MONTH($H50),1),DATE('Thiết lập'!$B$4,9,1)&lt;EDATE(DATE(YEAR($H50),MONTH($H50),1),$O50)),MIN($P50,MAX(0,$N50-$U50-SUM($V50:AC50))),0))</f>
        <v/>
      </c>
      <c r="AE50" s="457">
        <f>IF($AO50&lt;&gt;"OK",0,IF(AND(DATE('Thiết lập'!$B$4,10,1)&gt;=DATE(YEAR($H50),MONTH($H50),1),DATE('Thiết lập'!$B$4,10,1)&lt;EDATE(DATE(YEAR($H50),MONTH($H50),1),$O50)),MIN($P50,MAX(0,$N50-$U50-SUM($V50:AD50))),0))</f>
        <v/>
      </c>
      <c r="AF50" s="457">
        <f>IF($AO50&lt;&gt;"OK",0,IF(AND(DATE('Thiết lập'!$B$4,11,1)&gt;=DATE(YEAR($H50),MONTH($H50),1),DATE('Thiết lập'!$B$4,11,1)&lt;EDATE(DATE(YEAR($H50),MONTH($H50),1),$O50)),MIN($P50,MAX(0,$N50-$U50-SUM($V50:AE50))),0))</f>
        <v/>
      </c>
      <c r="AG50" s="457">
        <f>IF($AO50&lt;&gt;"OK",0,IF(AND(DATE('Thiết lập'!$B$4,12,1)&gt;=DATE(YEAR($H50),MONTH($H50),1),DATE('Thiết lập'!$B$4,12,1)&lt;EDATE(DATE(YEAR($H50),MONTH($H50),1),$O50)),MIN($P50,MAX(0,$N50-$U50-SUM($V50:AF50))),0))</f>
        <v/>
      </c>
      <c r="AH50" s="457">
        <f>IF(B50="","",SUM(V50:AG50))</f>
        <v/>
      </c>
      <c r="AI50" s="457">
        <f>IF(B50="","",MIN(N50,IF(U50="",0,U50)+AH50))</f>
        <v/>
      </c>
      <c r="AJ50" s="457">
        <f>IF(B50="","",MAX(0,L50-AI50))</f>
        <v/>
      </c>
      <c r="AK50" s="337">
        <f>IF(B50="","",IF(H50&gt;'Thiết lập'!$B$5,"Chưa khấu hao",IF(AJ50&lt;=IF(M50="",0,M50),"Đã hết khấu hao","Đang khấu hao")))</f>
        <v/>
      </c>
      <c r="AL50" s="275" t="n"/>
      <c r="AM50" s="275" t="n"/>
      <c r="AN50" s="275" t="n"/>
      <c r="AO50" s="343">
        <f>IF(B50="","",IF(COUNTIF($B$7:$B$306,B50)&gt;1,"Trùng mã TSCĐ",IF(C50="","Thiếu tên TSCĐ",IF(H50="","Thiếu ngày bắt đầu",IF(OR(I50&lt;=0,L50&lt;=0,O50&lt;=0),"Kiểm tra số lượng/nguyên giá/thời gian",IF(AND(G50&lt;&gt;"",H50&lt;G50),"Ngày KH trước ngày ghi tăng",IF(M50&gt;L50,"Giá trị thu hồi vượt nguyên giá",IF(IF(U50="",0,U50)&gt;N50,"Lũy kế đầu năm vượt GTKH","OK"))))))))</f>
        <v/>
      </c>
    </row>
    <row r="51" ht="20" customHeight="1" s="389">
      <c r="A51" s="325">
        <f>IF(B51="","",ROW()-6)</f>
        <v/>
      </c>
      <c r="B51" s="275" t="n"/>
      <c r="C51" s="275" t="n"/>
      <c r="D51" s="331" t="n"/>
      <c r="E51" s="331" t="n"/>
      <c r="F51" s="454" t="n"/>
      <c r="G51" s="454" t="n"/>
      <c r="H51" s="454" t="n"/>
      <c r="I51" s="455" t="n"/>
      <c r="J51" s="456" t="n"/>
      <c r="K51" s="456" t="n"/>
      <c r="L51" s="457">
        <f>IF(B51="","",IF(OR(I51="",J51=""),"",I51*J51+IF(K51="",0,K51)))</f>
        <v/>
      </c>
      <c r="M51" s="456" t="n"/>
      <c r="N51" s="457">
        <f>IF(L51="","",MAX(0,L51-IF(M51="",0,M51)))</f>
        <v/>
      </c>
      <c r="O51" s="455" t="n"/>
      <c r="P51" s="457">
        <f>IF(OR(N51="",O51&lt;=0),"",ROUND(N51/O51,0))</f>
        <v/>
      </c>
      <c r="Q51" s="458">
        <f>IF(OR(H51="",O51&lt;=0),"",EOMONTH(H51,O51-1))</f>
        <v/>
      </c>
      <c r="R51" s="331" t="n"/>
      <c r="S51" s="331" t="n"/>
      <c r="T51" s="331" t="n"/>
      <c r="U51" s="456" t="n"/>
      <c r="V51" s="457">
        <f>IF($AO51&lt;&gt;"OK",0,IF(AND(DATE('Thiết lập'!$B$4,1,1)&gt;=DATE(YEAR($H51),MONTH($H51),1),DATE('Thiết lập'!$B$4,1,1)&lt;EDATE(DATE(YEAR($H51),MONTH($H51),1),$O51)),MIN($P51,MAX(0,$N51-$U51-0)),0))</f>
        <v/>
      </c>
      <c r="W51" s="457">
        <f>IF($AO51&lt;&gt;"OK",0,IF(AND(DATE('Thiết lập'!$B$4,2,1)&gt;=DATE(YEAR($H51),MONTH($H51),1),DATE('Thiết lập'!$B$4,2,1)&lt;EDATE(DATE(YEAR($H51),MONTH($H51),1),$O51)),MIN($P51,MAX(0,$N51-$U51-SUM($V51:V51))),0))</f>
        <v/>
      </c>
      <c r="X51" s="457">
        <f>IF($AO51&lt;&gt;"OK",0,IF(AND(DATE('Thiết lập'!$B$4,3,1)&gt;=DATE(YEAR($H51),MONTH($H51),1),DATE('Thiết lập'!$B$4,3,1)&lt;EDATE(DATE(YEAR($H51),MONTH($H51),1),$O51)),MIN($P51,MAX(0,$N51-$U51-SUM($V51:W51))),0))</f>
        <v/>
      </c>
      <c r="Y51" s="457">
        <f>IF($AO51&lt;&gt;"OK",0,IF(AND(DATE('Thiết lập'!$B$4,4,1)&gt;=DATE(YEAR($H51),MONTH($H51),1),DATE('Thiết lập'!$B$4,4,1)&lt;EDATE(DATE(YEAR($H51),MONTH($H51),1),$O51)),MIN($P51,MAX(0,$N51-$U51-SUM($V51:X51))),0))</f>
        <v/>
      </c>
      <c r="Z51" s="457">
        <f>IF($AO51&lt;&gt;"OK",0,IF(AND(DATE('Thiết lập'!$B$4,5,1)&gt;=DATE(YEAR($H51),MONTH($H51),1),DATE('Thiết lập'!$B$4,5,1)&lt;EDATE(DATE(YEAR($H51),MONTH($H51),1),$O51)),MIN($P51,MAX(0,$N51-$U51-SUM($V51:Y51))),0))</f>
        <v/>
      </c>
      <c r="AA51" s="457">
        <f>IF($AO51&lt;&gt;"OK",0,IF(AND(DATE('Thiết lập'!$B$4,6,1)&gt;=DATE(YEAR($H51),MONTH($H51),1),DATE('Thiết lập'!$B$4,6,1)&lt;EDATE(DATE(YEAR($H51),MONTH($H51),1),$O51)),MIN($P51,MAX(0,$N51-$U51-SUM($V51:Z51))),0))</f>
        <v/>
      </c>
      <c r="AB51" s="457">
        <f>IF($AO51&lt;&gt;"OK",0,IF(AND(DATE('Thiết lập'!$B$4,7,1)&gt;=DATE(YEAR($H51),MONTH($H51),1),DATE('Thiết lập'!$B$4,7,1)&lt;EDATE(DATE(YEAR($H51),MONTH($H51),1),$O51)),MIN($P51,MAX(0,$N51-$U51-SUM($V51:AA51))),0))</f>
        <v/>
      </c>
      <c r="AC51" s="457">
        <f>IF($AO51&lt;&gt;"OK",0,IF(AND(DATE('Thiết lập'!$B$4,8,1)&gt;=DATE(YEAR($H51),MONTH($H51),1),DATE('Thiết lập'!$B$4,8,1)&lt;EDATE(DATE(YEAR($H51),MONTH($H51),1),$O51)),MIN($P51,MAX(0,$N51-$U51-SUM($V51:AB51))),0))</f>
        <v/>
      </c>
      <c r="AD51" s="457">
        <f>IF($AO51&lt;&gt;"OK",0,IF(AND(DATE('Thiết lập'!$B$4,9,1)&gt;=DATE(YEAR($H51),MONTH($H51),1),DATE('Thiết lập'!$B$4,9,1)&lt;EDATE(DATE(YEAR($H51),MONTH($H51),1),$O51)),MIN($P51,MAX(0,$N51-$U51-SUM($V51:AC51))),0))</f>
        <v/>
      </c>
      <c r="AE51" s="457">
        <f>IF($AO51&lt;&gt;"OK",0,IF(AND(DATE('Thiết lập'!$B$4,10,1)&gt;=DATE(YEAR($H51),MONTH($H51),1),DATE('Thiết lập'!$B$4,10,1)&lt;EDATE(DATE(YEAR($H51),MONTH($H51),1),$O51)),MIN($P51,MAX(0,$N51-$U51-SUM($V51:AD51))),0))</f>
        <v/>
      </c>
      <c r="AF51" s="457">
        <f>IF($AO51&lt;&gt;"OK",0,IF(AND(DATE('Thiết lập'!$B$4,11,1)&gt;=DATE(YEAR($H51),MONTH($H51),1),DATE('Thiết lập'!$B$4,11,1)&lt;EDATE(DATE(YEAR($H51),MONTH($H51),1),$O51)),MIN($P51,MAX(0,$N51-$U51-SUM($V51:AE51))),0))</f>
        <v/>
      </c>
      <c r="AG51" s="457">
        <f>IF($AO51&lt;&gt;"OK",0,IF(AND(DATE('Thiết lập'!$B$4,12,1)&gt;=DATE(YEAR($H51),MONTH($H51),1),DATE('Thiết lập'!$B$4,12,1)&lt;EDATE(DATE(YEAR($H51),MONTH($H51),1),$O51)),MIN($P51,MAX(0,$N51-$U51-SUM($V51:AF51))),0))</f>
        <v/>
      </c>
      <c r="AH51" s="457">
        <f>IF(B51="","",SUM(V51:AG51))</f>
        <v/>
      </c>
      <c r="AI51" s="457">
        <f>IF(B51="","",MIN(N51,IF(U51="",0,U51)+AH51))</f>
        <v/>
      </c>
      <c r="AJ51" s="457">
        <f>IF(B51="","",MAX(0,L51-AI51))</f>
        <v/>
      </c>
      <c r="AK51" s="337">
        <f>IF(B51="","",IF(H51&gt;'Thiết lập'!$B$5,"Chưa khấu hao",IF(AJ51&lt;=IF(M51="",0,M51),"Đã hết khấu hao","Đang khấu hao")))</f>
        <v/>
      </c>
      <c r="AL51" s="275" t="n"/>
      <c r="AM51" s="275" t="n"/>
      <c r="AN51" s="275" t="n"/>
      <c r="AO51" s="343">
        <f>IF(B51="","",IF(COUNTIF($B$7:$B$306,B51)&gt;1,"Trùng mã TSCĐ",IF(C51="","Thiếu tên TSCĐ",IF(H51="","Thiếu ngày bắt đầu",IF(OR(I51&lt;=0,L51&lt;=0,O51&lt;=0),"Kiểm tra số lượng/nguyên giá/thời gian",IF(AND(G51&lt;&gt;"",H51&lt;G51),"Ngày KH trước ngày ghi tăng",IF(M51&gt;L51,"Giá trị thu hồi vượt nguyên giá",IF(IF(U51="",0,U51)&gt;N51,"Lũy kế đầu năm vượt GTKH","OK"))))))))</f>
        <v/>
      </c>
    </row>
    <row r="52" ht="20" customHeight="1" s="389">
      <c r="A52" s="325">
        <f>IF(B52="","",ROW()-6)</f>
        <v/>
      </c>
      <c r="B52" s="275" t="n"/>
      <c r="C52" s="275" t="n"/>
      <c r="D52" s="331" t="n"/>
      <c r="E52" s="331" t="n"/>
      <c r="F52" s="454" t="n"/>
      <c r="G52" s="454" t="n"/>
      <c r="H52" s="454" t="n"/>
      <c r="I52" s="455" t="n"/>
      <c r="J52" s="456" t="n"/>
      <c r="K52" s="456" t="n"/>
      <c r="L52" s="457">
        <f>IF(B52="","",IF(OR(I52="",J52=""),"",I52*J52+IF(K52="",0,K52)))</f>
        <v/>
      </c>
      <c r="M52" s="456" t="n"/>
      <c r="N52" s="457">
        <f>IF(L52="","",MAX(0,L52-IF(M52="",0,M52)))</f>
        <v/>
      </c>
      <c r="O52" s="455" t="n"/>
      <c r="P52" s="457">
        <f>IF(OR(N52="",O52&lt;=0),"",ROUND(N52/O52,0))</f>
        <v/>
      </c>
      <c r="Q52" s="458">
        <f>IF(OR(H52="",O52&lt;=0),"",EOMONTH(H52,O52-1))</f>
        <v/>
      </c>
      <c r="R52" s="331" t="n"/>
      <c r="S52" s="331" t="n"/>
      <c r="T52" s="331" t="n"/>
      <c r="U52" s="456" t="n"/>
      <c r="V52" s="457">
        <f>IF($AO52&lt;&gt;"OK",0,IF(AND(DATE('Thiết lập'!$B$4,1,1)&gt;=DATE(YEAR($H52),MONTH($H52),1),DATE('Thiết lập'!$B$4,1,1)&lt;EDATE(DATE(YEAR($H52),MONTH($H52),1),$O52)),MIN($P52,MAX(0,$N52-$U52-0)),0))</f>
        <v/>
      </c>
      <c r="W52" s="457">
        <f>IF($AO52&lt;&gt;"OK",0,IF(AND(DATE('Thiết lập'!$B$4,2,1)&gt;=DATE(YEAR($H52),MONTH($H52),1),DATE('Thiết lập'!$B$4,2,1)&lt;EDATE(DATE(YEAR($H52),MONTH($H52),1),$O52)),MIN($P52,MAX(0,$N52-$U52-SUM($V52:V52))),0))</f>
        <v/>
      </c>
      <c r="X52" s="457">
        <f>IF($AO52&lt;&gt;"OK",0,IF(AND(DATE('Thiết lập'!$B$4,3,1)&gt;=DATE(YEAR($H52),MONTH($H52),1),DATE('Thiết lập'!$B$4,3,1)&lt;EDATE(DATE(YEAR($H52),MONTH($H52),1),$O52)),MIN($P52,MAX(0,$N52-$U52-SUM($V52:W52))),0))</f>
        <v/>
      </c>
      <c r="Y52" s="457">
        <f>IF($AO52&lt;&gt;"OK",0,IF(AND(DATE('Thiết lập'!$B$4,4,1)&gt;=DATE(YEAR($H52),MONTH($H52),1),DATE('Thiết lập'!$B$4,4,1)&lt;EDATE(DATE(YEAR($H52),MONTH($H52),1),$O52)),MIN($P52,MAX(0,$N52-$U52-SUM($V52:X52))),0))</f>
        <v/>
      </c>
      <c r="Z52" s="457">
        <f>IF($AO52&lt;&gt;"OK",0,IF(AND(DATE('Thiết lập'!$B$4,5,1)&gt;=DATE(YEAR($H52),MONTH($H52),1),DATE('Thiết lập'!$B$4,5,1)&lt;EDATE(DATE(YEAR($H52),MONTH($H52),1),$O52)),MIN($P52,MAX(0,$N52-$U52-SUM($V52:Y52))),0))</f>
        <v/>
      </c>
      <c r="AA52" s="457">
        <f>IF($AO52&lt;&gt;"OK",0,IF(AND(DATE('Thiết lập'!$B$4,6,1)&gt;=DATE(YEAR($H52),MONTH($H52),1),DATE('Thiết lập'!$B$4,6,1)&lt;EDATE(DATE(YEAR($H52),MONTH($H52),1),$O52)),MIN($P52,MAX(0,$N52-$U52-SUM($V52:Z52))),0))</f>
        <v/>
      </c>
      <c r="AB52" s="457">
        <f>IF($AO52&lt;&gt;"OK",0,IF(AND(DATE('Thiết lập'!$B$4,7,1)&gt;=DATE(YEAR($H52),MONTH($H52),1),DATE('Thiết lập'!$B$4,7,1)&lt;EDATE(DATE(YEAR($H52),MONTH($H52),1),$O52)),MIN($P52,MAX(0,$N52-$U52-SUM($V52:AA52))),0))</f>
        <v/>
      </c>
      <c r="AC52" s="457">
        <f>IF($AO52&lt;&gt;"OK",0,IF(AND(DATE('Thiết lập'!$B$4,8,1)&gt;=DATE(YEAR($H52),MONTH($H52),1),DATE('Thiết lập'!$B$4,8,1)&lt;EDATE(DATE(YEAR($H52),MONTH($H52),1),$O52)),MIN($P52,MAX(0,$N52-$U52-SUM($V52:AB52))),0))</f>
        <v/>
      </c>
      <c r="AD52" s="457">
        <f>IF($AO52&lt;&gt;"OK",0,IF(AND(DATE('Thiết lập'!$B$4,9,1)&gt;=DATE(YEAR($H52),MONTH($H52),1),DATE('Thiết lập'!$B$4,9,1)&lt;EDATE(DATE(YEAR($H52),MONTH($H52),1),$O52)),MIN($P52,MAX(0,$N52-$U52-SUM($V52:AC52))),0))</f>
        <v/>
      </c>
      <c r="AE52" s="457">
        <f>IF($AO52&lt;&gt;"OK",0,IF(AND(DATE('Thiết lập'!$B$4,10,1)&gt;=DATE(YEAR($H52),MONTH($H52),1),DATE('Thiết lập'!$B$4,10,1)&lt;EDATE(DATE(YEAR($H52),MONTH($H52),1),$O52)),MIN($P52,MAX(0,$N52-$U52-SUM($V52:AD52))),0))</f>
        <v/>
      </c>
      <c r="AF52" s="457">
        <f>IF($AO52&lt;&gt;"OK",0,IF(AND(DATE('Thiết lập'!$B$4,11,1)&gt;=DATE(YEAR($H52),MONTH($H52),1),DATE('Thiết lập'!$B$4,11,1)&lt;EDATE(DATE(YEAR($H52),MONTH($H52),1),$O52)),MIN($P52,MAX(0,$N52-$U52-SUM($V52:AE52))),0))</f>
        <v/>
      </c>
      <c r="AG52" s="457">
        <f>IF($AO52&lt;&gt;"OK",0,IF(AND(DATE('Thiết lập'!$B$4,12,1)&gt;=DATE(YEAR($H52),MONTH($H52),1),DATE('Thiết lập'!$B$4,12,1)&lt;EDATE(DATE(YEAR($H52),MONTH($H52),1),$O52)),MIN($P52,MAX(0,$N52-$U52-SUM($V52:AF52))),0))</f>
        <v/>
      </c>
      <c r="AH52" s="457">
        <f>IF(B52="","",SUM(V52:AG52))</f>
        <v/>
      </c>
      <c r="AI52" s="457">
        <f>IF(B52="","",MIN(N52,IF(U52="",0,U52)+AH52))</f>
        <v/>
      </c>
      <c r="AJ52" s="457">
        <f>IF(B52="","",MAX(0,L52-AI52))</f>
        <v/>
      </c>
      <c r="AK52" s="337">
        <f>IF(B52="","",IF(H52&gt;'Thiết lập'!$B$5,"Chưa khấu hao",IF(AJ52&lt;=IF(M52="",0,M52),"Đã hết khấu hao","Đang khấu hao")))</f>
        <v/>
      </c>
      <c r="AL52" s="275" t="n"/>
      <c r="AM52" s="275" t="n"/>
      <c r="AN52" s="275" t="n"/>
      <c r="AO52" s="343">
        <f>IF(B52="","",IF(COUNTIF($B$7:$B$306,B52)&gt;1,"Trùng mã TSCĐ",IF(C52="","Thiếu tên TSCĐ",IF(H52="","Thiếu ngày bắt đầu",IF(OR(I52&lt;=0,L52&lt;=0,O52&lt;=0),"Kiểm tra số lượng/nguyên giá/thời gian",IF(AND(G52&lt;&gt;"",H52&lt;G52),"Ngày KH trước ngày ghi tăng",IF(M52&gt;L52,"Giá trị thu hồi vượt nguyên giá",IF(IF(U52="",0,U52)&gt;N52,"Lũy kế đầu năm vượt GTKH","OK"))))))))</f>
        <v/>
      </c>
    </row>
    <row r="53" ht="20" customHeight="1" s="389">
      <c r="A53" s="325">
        <f>IF(B53="","",ROW()-6)</f>
        <v/>
      </c>
      <c r="B53" s="275" t="n"/>
      <c r="C53" s="275" t="n"/>
      <c r="D53" s="331" t="n"/>
      <c r="E53" s="331" t="n"/>
      <c r="F53" s="454" t="n"/>
      <c r="G53" s="454" t="n"/>
      <c r="H53" s="454" t="n"/>
      <c r="I53" s="455" t="n"/>
      <c r="J53" s="456" t="n"/>
      <c r="K53" s="456" t="n"/>
      <c r="L53" s="457">
        <f>IF(B53="","",IF(OR(I53="",J53=""),"",I53*J53+IF(K53="",0,K53)))</f>
        <v/>
      </c>
      <c r="M53" s="456" t="n"/>
      <c r="N53" s="457">
        <f>IF(L53="","",MAX(0,L53-IF(M53="",0,M53)))</f>
        <v/>
      </c>
      <c r="O53" s="455" t="n"/>
      <c r="P53" s="457">
        <f>IF(OR(N53="",O53&lt;=0),"",ROUND(N53/O53,0))</f>
        <v/>
      </c>
      <c r="Q53" s="458">
        <f>IF(OR(H53="",O53&lt;=0),"",EOMONTH(H53,O53-1))</f>
        <v/>
      </c>
      <c r="R53" s="331" t="n"/>
      <c r="S53" s="331" t="n"/>
      <c r="T53" s="331" t="n"/>
      <c r="U53" s="456" t="n"/>
      <c r="V53" s="457">
        <f>IF($AO53&lt;&gt;"OK",0,IF(AND(DATE('Thiết lập'!$B$4,1,1)&gt;=DATE(YEAR($H53),MONTH($H53),1),DATE('Thiết lập'!$B$4,1,1)&lt;EDATE(DATE(YEAR($H53),MONTH($H53),1),$O53)),MIN($P53,MAX(0,$N53-$U53-0)),0))</f>
        <v/>
      </c>
      <c r="W53" s="457">
        <f>IF($AO53&lt;&gt;"OK",0,IF(AND(DATE('Thiết lập'!$B$4,2,1)&gt;=DATE(YEAR($H53),MONTH($H53),1),DATE('Thiết lập'!$B$4,2,1)&lt;EDATE(DATE(YEAR($H53),MONTH($H53),1),$O53)),MIN($P53,MAX(0,$N53-$U53-SUM($V53:V53))),0))</f>
        <v/>
      </c>
      <c r="X53" s="457">
        <f>IF($AO53&lt;&gt;"OK",0,IF(AND(DATE('Thiết lập'!$B$4,3,1)&gt;=DATE(YEAR($H53),MONTH($H53),1),DATE('Thiết lập'!$B$4,3,1)&lt;EDATE(DATE(YEAR($H53),MONTH($H53),1),$O53)),MIN($P53,MAX(0,$N53-$U53-SUM($V53:W53))),0))</f>
        <v/>
      </c>
      <c r="Y53" s="457">
        <f>IF($AO53&lt;&gt;"OK",0,IF(AND(DATE('Thiết lập'!$B$4,4,1)&gt;=DATE(YEAR($H53),MONTH($H53),1),DATE('Thiết lập'!$B$4,4,1)&lt;EDATE(DATE(YEAR($H53),MONTH($H53),1),$O53)),MIN($P53,MAX(0,$N53-$U53-SUM($V53:X53))),0))</f>
        <v/>
      </c>
      <c r="Z53" s="457">
        <f>IF($AO53&lt;&gt;"OK",0,IF(AND(DATE('Thiết lập'!$B$4,5,1)&gt;=DATE(YEAR($H53),MONTH($H53),1),DATE('Thiết lập'!$B$4,5,1)&lt;EDATE(DATE(YEAR($H53),MONTH($H53),1),$O53)),MIN($P53,MAX(0,$N53-$U53-SUM($V53:Y53))),0))</f>
        <v/>
      </c>
      <c r="AA53" s="457">
        <f>IF($AO53&lt;&gt;"OK",0,IF(AND(DATE('Thiết lập'!$B$4,6,1)&gt;=DATE(YEAR($H53),MONTH($H53),1),DATE('Thiết lập'!$B$4,6,1)&lt;EDATE(DATE(YEAR($H53),MONTH($H53),1),$O53)),MIN($P53,MAX(0,$N53-$U53-SUM($V53:Z53))),0))</f>
        <v/>
      </c>
      <c r="AB53" s="457">
        <f>IF($AO53&lt;&gt;"OK",0,IF(AND(DATE('Thiết lập'!$B$4,7,1)&gt;=DATE(YEAR($H53),MONTH($H53),1),DATE('Thiết lập'!$B$4,7,1)&lt;EDATE(DATE(YEAR($H53),MONTH($H53),1),$O53)),MIN($P53,MAX(0,$N53-$U53-SUM($V53:AA53))),0))</f>
        <v/>
      </c>
      <c r="AC53" s="457">
        <f>IF($AO53&lt;&gt;"OK",0,IF(AND(DATE('Thiết lập'!$B$4,8,1)&gt;=DATE(YEAR($H53),MONTH($H53),1),DATE('Thiết lập'!$B$4,8,1)&lt;EDATE(DATE(YEAR($H53),MONTH($H53),1),$O53)),MIN($P53,MAX(0,$N53-$U53-SUM($V53:AB53))),0))</f>
        <v/>
      </c>
      <c r="AD53" s="457">
        <f>IF($AO53&lt;&gt;"OK",0,IF(AND(DATE('Thiết lập'!$B$4,9,1)&gt;=DATE(YEAR($H53),MONTH($H53),1),DATE('Thiết lập'!$B$4,9,1)&lt;EDATE(DATE(YEAR($H53),MONTH($H53),1),$O53)),MIN($P53,MAX(0,$N53-$U53-SUM($V53:AC53))),0))</f>
        <v/>
      </c>
      <c r="AE53" s="457">
        <f>IF($AO53&lt;&gt;"OK",0,IF(AND(DATE('Thiết lập'!$B$4,10,1)&gt;=DATE(YEAR($H53),MONTH($H53),1),DATE('Thiết lập'!$B$4,10,1)&lt;EDATE(DATE(YEAR($H53),MONTH($H53),1),$O53)),MIN($P53,MAX(0,$N53-$U53-SUM($V53:AD53))),0))</f>
        <v/>
      </c>
      <c r="AF53" s="457">
        <f>IF($AO53&lt;&gt;"OK",0,IF(AND(DATE('Thiết lập'!$B$4,11,1)&gt;=DATE(YEAR($H53),MONTH($H53),1),DATE('Thiết lập'!$B$4,11,1)&lt;EDATE(DATE(YEAR($H53),MONTH($H53),1),$O53)),MIN($P53,MAX(0,$N53-$U53-SUM($V53:AE53))),0))</f>
        <v/>
      </c>
      <c r="AG53" s="457">
        <f>IF($AO53&lt;&gt;"OK",0,IF(AND(DATE('Thiết lập'!$B$4,12,1)&gt;=DATE(YEAR($H53),MONTH($H53),1),DATE('Thiết lập'!$B$4,12,1)&lt;EDATE(DATE(YEAR($H53),MONTH($H53),1),$O53)),MIN($P53,MAX(0,$N53-$U53-SUM($V53:AF53))),0))</f>
        <v/>
      </c>
      <c r="AH53" s="457">
        <f>IF(B53="","",SUM(V53:AG53))</f>
        <v/>
      </c>
      <c r="AI53" s="457">
        <f>IF(B53="","",MIN(N53,IF(U53="",0,U53)+AH53))</f>
        <v/>
      </c>
      <c r="AJ53" s="457">
        <f>IF(B53="","",MAX(0,L53-AI53))</f>
        <v/>
      </c>
      <c r="AK53" s="337">
        <f>IF(B53="","",IF(H53&gt;'Thiết lập'!$B$5,"Chưa khấu hao",IF(AJ53&lt;=IF(M53="",0,M53),"Đã hết khấu hao","Đang khấu hao")))</f>
        <v/>
      </c>
      <c r="AL53" s="275" t="n"/>
      <c r="AM53" s="275" t="n"/>
      <c r="AN53" s="275" t="n"/>
      <c r="AO53" s="343">
        <f>IF(B53="","",IF(COUNTIF($B$7:$B$306,B53)&gt;1,"Trùng mã TSCĐ",IF(C53="","Thiếu tên TSCĐ",IF(H53="","Thiếu ngày bắt đầu",IF(OR(I53&lt;=0,L53&lt;=0,O53&lt;=0),"Kiểm tra số lượng/nguyên giá/thời gian",IF(AND(G53&lt;&gt;"",H53&lt;G53),"Ngày KH trước ngày ghi tăng",IF(M53&gt;L53,"Giá trị thu hồi vượt nguyên giá",IF(IF(U53="",0,U53)&gt;N53,"Lũy kế đầu năm vượt GTKH","OK"))))))))</f>
        <v/>
      </c>
    </row>
    <row r="54" ht="20" customHeight="1" s="389">
      <c r="A54" s="325">
        <f>IF(B54="","",ROW()-6)</f>
        <v/>
      </c>
      <c r="B54" s="275" t="n"/>
      <c r="C54" s="275" t="n"/>
      <c r="D54" s="331" t="n"/>
      <c r="E54" s="331" t="n"/>
      <c r="F54" s="454" t="n"/>
      <c r="G54" s="454" t="n"/>
      <c r="H54" s="454" t="n"/>
      <c r="I54" s="455" t="n"/>
      <c r="J54" s="456" t="n"/>
      <c r="K54" s="456" t="n"/>
      <c r="L54" s="457">
        <f>IF(B54="","",IF(OR(I54="",J54=""),"",I54*J54+IF(K54="",0,K54)))</f>
        <v/>
      </c>
      <c r="M54" s="456" t="n"/>
      <c r="N54" s="457">
        <f>IF(L54="","",MAX(0,L54-IF(M54="",0,M54)))</f>
        <v/>
      </c>
      <c r="O54" s="455" t="n"/>
      <c r="P54" s="457">
        <f>IF(OR(N54="",O54&lt;=0),"",ROUND(N54/O54,0))</f>
        <v/>
      </c>
      <c r="Q54" s="458">
        <f>IF(OR(H54="",O54&lt;=0),"",EOMONTH(H54,O54-1))</f>
        <v/>
      </c>
      <c r="R54" s="331" t="n"/>
      <c r="S54" s="331" t="n"/>
      <c r="T54" s="331" t="n"/>
      <c r="U54" s="456" t="n"/>
      <c r="V54" s="457">
        <f>IF($AO54&lt;&gt;"OK",0,IF(AND(DATE('Thiết lập'!$B$4,1,1)&gt;=DATE(YEAR($H54),MONTH($H54),1),DATE('Thiết lập'!$B$4,1,1)&lt;EDATE(DATE(YEAR($H54),MONTH($H54),1),$O54)),MIN($P54,MAX(0,$N54-$U54-0)),0))</f>
        <v/>
      </c>
      <c r="W54" s="457">
        <f>IF($AO54&lt;&gt;"OK",0,IF(AND(DATE('Thiết lập'!$B$4,2,1)&gt;=DATE(YEAR($H54),MONTH($H54),1),DATE('Thiết lập'!$B$4,2,1)&lt;EDATE(DATE(YEAR($H54),MONTH($H54),1),$O54)),MIN($P54,MAX(0,$N54-$U54-SUM($V54:V54))),0))</f>
        <v/>
      </c>
      <c r="X54" s="457">
        <f>IF($AO54&lt;&gt;"OK",0,IF(AND(DATE('Thiết lập'!$B$4,3,1)&gt;=DATE(YEAR($H54),MONTH($H54),1),DATE('Thiết lập'!$B$4,3,1)&lt;EDATE(DATE(YEAR($H54),MONTH($H54),1),$O54)),MIN($P54,MAX(0,$N54-$U54-SUM($V54:W54))),0))</f>
        <v/>
      </c>
      <c r="Y54" s="457">
        <f>IF($AO54&lt;&gt;"OK",0,IF(AND(DATE('Thiết lập'!$B$4,4,1)&gt;=DATE(YEAR($H54),MONTH($H54),1),DATE('Thiết lập'!$B$4,4,1)&lt;EDATE(DATE(YEAR($H54),MONTH($H54),1),$O54)),MIN($P54,MAX(0,$N54-$U54-SUM($V54:X54))),0))</f>
        <v/>
      </c>
      <c r="Z54" s="457">
        <f>IF($AO54&lt;&gt;"OK",0,IF(AND(DATE('Thiết lập'!$B$4,5,1)&gt;=DATE(YEAR($H54),MONTH($H54),1),DATE('Thiết lập'!$B$4,5,1)&lt;EDATE(DATE(YEAR($H54),MONTH($H54),1),$O54)),MIN($P54,MAX(0,$N54-$U54-SUM($V54:Y54))),0))</f>
        <v/>
      </c>
      <c r="AA54" s="457">
        <f>IF($AO54&lt;&gt;"OK",0,IF(AND(DATE('Thiết lập'!$B$4,6,1)&gt;=DATE(YEAR($H54),MONTH($H54),1),DATE('Thiết lập'!$B$4,6,1)&lt;EDATE(DATE(YEAR($H54),MONTH($H54),1),$O54)),MIN($P54,MAX(0,$N54-$U54-SUM($V54:Z54))),0))</f>
        <v/>
      </c>
      <c r="AB54" s="457">
        <f>IF($AO54&lt;&gt;"OK",0,IF(AND(DATE('Thiết lập'!$B$4,7,1)&gt;=DATE(YEAR($H54),MONTH($H54),1),DATE('Thiết lập'!$B$4,7,1)&lt;EDATE(DATE(YEAR($H54),MONTH($H54),1),$O54)),MIN($P54,MAX(0,$N54-$U54-SUM($V54:AA54))),0))</f>
        <v/>
      </c>
      <c r="AC54" s="457">
        <f>IF($AO54&lt;&gt;"OK",0,IF(AND(DATE('Thiết lập'!$B$4,8,1)&gt;=DATE(YEAR($H54),MONTH($H54),1),DATE('Thiết lập'!$B$4,8,1)&lt;EDATE(DATE(YEAR($H54),MONTH($H54),1),$O54)),MIN($P54,MAX(0,$N54-$U54-SUM($V54:AB54))),0))</f>
        <v/>
      </c>
      <c r="AD54" s="457">
        <f>IF($AO54&lt;&gt;"OK",0,IF(AND(DATE('Thiết lập'!$B$4,9,1)&gt;=DATE(YEAR($H54),MONTH($H54),1),DATE('Thiết lập'!$B$4,9,1)&lt;EDATE(DATE(YEAR($H54),MONTH($H54),1),$O54)),MIN($P54,MAX(0,$N54-$U54-SUM($V54:AC54))),0))</f>
        <v/>
      </c>
      <c r="AE54" s="457">
        <f>IF($AO54&lt;&gt;"OK",0,IF(AND(DATE('Thiết lập'!$B$4,10,1)&gt;=DATE(YEAR($H54),MONTH($H54),1),DATE('Thiết lập'!$B$4,10,1)&lt;EDATE(DATE(YEAR($H54),MONTH($H54),1),$O54)),MIN($P54,MAX(0,$N54-$U54-SUM($V54:AD54))),0))</f>
        <v/>
      </c>
      <c r="AF54" s="457">
        <f>IF($AO54&lt;&gt;"OK",0,IF(AND(DATE('Thiết lập'!$B$4,11,1)&gt;=DATE(YEAR($H54),MONTH($H54),1),DATE('Thiết lập'!$B$4,11,1)&lt;EDATE(DATE(YEAR($H54),MONTH($H54),1),$O54)),MIN($P54,MAX(0,$N54-$U54-SUM($V54:AE54))),0))</f>
        <v/>
      </c>
      <c r="AG54" s="457">
        <f>IF($AO54&lt;&gt;"OK",0,IF(AND(DATE('Thiết lập'!$B$4,12,1)&gt;=DATE(YEAR($H54),MONTH($H54),1),DATE('Thiết lập'!$B$4,12,1)&lt;EDATE(DATE(YEAR($H54),MONTH($H54),1),$O54)),MIN($P54,MAX(0,$N54-$U54-SUM($V54:AF54))),0))</f>
        <v/>
      </c>
      <c r="AH54" s="457">
        <f>IF(B54="","",SUM(V54:AG54))</f>
        <v/>
      </c>
      <c r="AI54" s="457">
        <f>IF(B54="","",MIN(N54,IF(U54="",0,U54)+AH54))</f>
        <v/>
      </c>
      <c r="AJ54" s="457">
        <f>IF(B54="","",MAX(0,L54-AI54))</f>
        <v/>
      </c>
      <c r="AK54" s="337">
        <f>IF(B54="","",IF(H54&gt;'Thiết lập'!$B$5,"Chưa khấu hao",IF(AJ54&lt;=IF(M54="",0,M54),"Đã hết khấu hao","Đang khấu hao")))</f>
        <v/>
      </c>
      <c r="AL54" s="275" t="n"/>
      <c r="AM54" s="275" t="n"/>
      <c r="AN54" s="275" t="n"/>
      <c r="AO54" s="343">
        <f>IF(B54="","",IF(COUNTIF($B$7:$B$306,B54)&gt;1,"Trùng mã TSCĐ",IF(C54="","Thiếu tên TSCĐ",IF(H54="","Thiếu ngày bắt đầu",IF(OR(I54&lt;=0,L54&lt;=0,O54&lt;=0),"Kiểm tra số lượng/nguyên giá/thời gian",IF(AND(G54&lt;&gt;"",H54&lt;G54),"Ngày KH trước ngày ghi tăng",IF(M54&gt;L54,"Giá trị thu hồi vượt nguyên giá",IF(IF(U54="",0,U54)&gt;N54,"Lũy kế đầu năm vượt GTKH","OK"))))))))</f>
        <v/>
      </c>
    </row>
    <row r="55" ht="20" customHeight="1" s="389">
      <c r="A55" s="325">
        <f>IF(B55="","",ROW()-6)</f>
        <v/>
      </c>
      <c r="B55" s="275" t="n"/>
      <c r="C55" s="275" t="n"/>
      <c r="D55" s="331" t="n"/>
      <c r="E55" s="331" t="n"/>
      <c r="F55" s="454" t="n"/>
      <c r="G55" s="454" t="n"/>
      <c r="H55" s="454" t="n"/>
      <c r="I55" s="455" t="n"/>
      <c r="J55" s="456" t="n"/>
      <c r="K55" s="456" t="n"/>
      <c r="L55" s="457">
        <f>IF(B55="","",IF(OR(I55="",J55=""),"",I55*J55+IF(K55="",0,K55)))</f>
        <v/>
      </c>
      <c r="M55" s="456" t="n"/>
      <c r="N55" s="457">
        <f>IF(L55="","",MAX(0,L55-IF(M55="",0,M55)))</f>
        <v/>
      </c>
      <c r="O55" s="455" t="n"/>
      <c r="P55" s="457">
        <f>IF(OR(N55="",O55&lt;=0),"",ROUND(N55/O55,0))</f>
        <v/>
      </c>
      <c r="Q55" s="458">
        <f>IF(OR(H55="",O55&lt;=0),"",EOMONTH(H55,O55-1))</f>
        <v/>
      </c>
      <c r="R55" s="331" t="n"/>
      <c r="S55" s="331" t="n"/>
      <c r="T55" s="331" t="n"/>
      <c r="U55" s="456" t="n"/>
      <c r="V55" s="457">
        <f>IF($AO55&lt;&gt;"OK",0,IF(AND(DATE('Thiết lập'!$B$4,1,1)&gt;=DATE(YEAR($H55),MONTH($H55),1),DATE('Thiết lập'!$B$4,1,1)&lt;EDATE(DATE(YEAR($H55),MONTH($H55),1),$O55)),MIN($P55,MAX(0,$N55-$U55-0)),0))</f>
        <v/>
      </c>
      <c r="W55" s="457">
        <f>IF($AO55&lt;&gt;"OK",0,IF(AND(DATE('Thiết lập'!$B$4,2,1)&gt;=DATE(YEAR($H55),MONTH($H55),1),DATE('Thiết lập'!$B$4,2,1)&lt;EDATE(DATE(YEAR($H55),MONTH($H55),1),$O55)),MIN($P55,MAX(0,$N55-$U55-SUM($V55:V55))),0))</f>
        <v/>
      </c>
      <c r="X55" s="457">
        <f>IF($AO55&lt;&gt;"OK",0,IF(AND(DATE('Thiết lập'!$B$4,3,1)&gt;=DATE(YEAR($H55),MONTH($H55),1),DATE('Thiết lập'!$B$4,3,1)&lt;EDATE(DATE(YEAR($H55),MONTH($H55),1),$O55)),MIN($P55,MAX(0,$N55-$U55-SUM($V55:W55))),0))</f>
        <v/>
      </c>
      <c r="Y55" s="457">
        <f>IF($AO55&lt;&gt;"OK",0,IF(AND(DATE('Thiết lập'!$B$4,4,1)&gt;=DATE(YEAR($H55),MONTH($H55),1),DATE('Thiết lập'!$B$4,4,1)&lt;EDATE(DATE(YEAR($H55),MONTH($H55),1),$O55)),MIN($P55,MAX(0,$N55-$U55-SUM($V55:X55))),0))</f>
        <v/>
      </c>
      <c r="Z55" s="457">
        <f>IF($AO55&lt;&gt;"OK",0,IF(AND(DATE('Thiết lập'!$B$4,5,1)&gt;=DATE(YEAR($H55),MONTH($H55),1),DATE('Thiết lập'!$B$4,5,1)&lt;EDATE(DATE(YEAR($H55),MONTH($H55),1),$O55)),MIN($P55,MAX(0,$N55-$U55-SUM($V55:Y55))),0))</f>
        <v/>
      </c>
      <c r="AA55" s="457">
        <f>IF($AO55&lt;&gt;"OK",0,IF(AND(DATE('Thiết lập'!$B$4,6,1)&gt;=DATE(YEAR($H55),MONTH($H55),1),DATE('Thiết lập'!$B$4,6,1)&lt;EDATE(DATE(YEAR($H55),MONTH($H55),1),$O55)),MIN($P55,MAX(0,$N55-$U55-SUM($V55:Z55))),0))</f>
        <v/>
      </c>
      <c r="AB55" s="457">
        <f>IF($AO55&lt;&gt;"OK",0,IF(AND(DATE('Thiết lập'!$B$4,7,1)&gt;=DATE(YEAR($H55),MONTH($H55),1),DATE('Thiết lập'!$B$4,7,1)&lt;EDATE(DATE(YEAR($H55),MONTH($H55),1),$O55)),MIN($P55,MAX(0,$N55-$U55-SUM($V55:AA55))),0))</f>
        <v/>
      </c>
      <c r="AC55" s="457">
        <f>IF($AO55&lt;&gt;"OK",0,IF(AND(DATE('Thiết lập'!$B$4,8,1)&gt;=DATE(YEAR($H55),MONTH($H55),1),DATE('Thiết lập'!$B$4,8,1)&lt;EDATE(DATE(YEAR($H55),MONTH($H55),1),$O55)),MIN($P55,MAX(0,$N55-$U55-SUM($V55:AB55))),0))</f>
        <v/>
      </c>
      <c r="AD55" s="457">
        <f>IF($AO55&lt;&gt;"OK",0,IF(AND(DATE('Thiết lập'!$B$4,9,1)&gt;=DATE(YEAR($H55),MONTH($H55),1),DATE('Thiết lập'!$B$4,9,1)&lt;EDATE(DATE(YEAR($H55),MONTH($H55),1),$O55)),MIN($P55,MAX(0,$N55-$U55-SUM($V55:AC55))),0))</f>
        <v/>
      </c>
      <c r="AE55" s="457">
        <f>IF($AO55&lt;&gt;"OK",0,IF(AND(DATE('Thiết lập'!$B$4,10,1)&gt;=DATE(YEAR($H55),MONTH($H55),1),DATE('Thiết lập'!$B$4,10,1)&lt;EDATE(DATE(YEAR($H55),MONTH($H55),1),$O55)),MIN($P55,MAX(0,$N55-$U55-SUM($V55:AD55))),0))</f>
        <v/>
      </c>
      <c r="AF55" s="457">
        <f>IF($AO55&lt;&gt;"OK",0,IF(AND(DATE('Thiết lập'!$B$4,11,1)&gt;=DATE(YEAR($H55),MONTH($H55),1),DATE('Thiết lập'!$B$4,11,1)&lt;EDATE(DATE(YEAR($H55),MONTH($H55),1),$O55)),MIN($P55,MAX(0,$N55-$U55-SUM($V55:AE55))),0))</f>
        <v/>
      </c>
      <c r="AG55" s="457">
        <f>IF($AO55&lt;&gt;"OK",0,IF(AND(DATE('Thiết lập'!$B$4,12,1)&gt;=DATE(YEAR($H55),MONTH($H55),1),DATE('Thiết lập'!$B$4,12,1)&lt;EDATE(DATE(YEAR($H55),MONTH($H55),1),$O55)),MIN($P55,MAX(0,$N55-$U55-SUM($V55:AF55))),0))</f>
        <v/>
      </c>
      <c r="AH55" s="457">
        <f>IF(B55="","",SUM(V55:AG55))</f>
        <v/>
      </c>
      <c r="AI55" s="457">
        <f>IF(B55="","",MIN(N55,IF(U55="",0,U55)+AH55))</f>
        <v/>
      </c>
      <c r="AJ55" s="457">
        <f>IF(B55="","",MAX(0,L55-AI55))</f>
        <v/>
      </c>
      <c r="AK55" s="337">
        <f>IF(B55="","",IF(H55&gt;'Thiết lập'!$B$5,"Chưa khấu hao",IF(AJ55&lt;=IF(M55="",0,M55),"Đã hết khấu hao","Đang khấu hao")))</f>
        <v/>
      </c>
      <c r="AL55" s="275" t="n"/>
      <c r="AM55" s="275" t="n"/>
      <c r="AN55" s="275" t="n"/>
      <c r="AO55" s="343">
        <f>IF(B55="","",IF(COUNTIF($B$7:$B$306,B55)&gt;1,"Trùng mã TSCĐ",IF(C55="","Thiếu tên TSCĐ",IF(H55="","Thiếu ngày bắt đầu",IF(OR(I55&lt;=0,L55&lt;=0,O55&lt;=0),"Kiểm tra số lượng/nguyên giá/thời gian",IF(AND(G55&lt;&gt;"",H55&lt;G55),"Ngày KH trước ngày ghi tăng",IF(M55&gt;L55,"Giá trị thu hồi vượt nguyên giá",IF(IF(U55="",0,U55)&gt;N55,"Lũy kế đầu năm vượt GTKH","OK"))))))))</f>
        <v/>
      </c>
    </row>
    <row r="56" ht="20" customHeight="1" s="389">
      <c r="A56" s="325">
        <f>IF(B56="","",ROW()-6)</f>
        <v/>
      </c>
      <c r="B56" s="275" t="n"/>
      <c r="C56" s="275" t="n"/>
      <c r="D56" s="331" t="n"/>
      <c r="E56" s="331" t="n"/>
      <c r="F56" s="454" t="n"/>
      <c r="G56" s="454" t="n"/>
      <c r="H56" s="454" t="n"/>
      <c r="I56" s="455" t="n"/>
      <c r="J56" s="456" t="n"/>
      <c r="K56" s="456" t="n"/>
      <c r="L56" s="457">
        <f>IF(B56="","",IF(OR(I56="",J56=""),"",I56*J56+IF(K56="",0,K56)))</f>
        <v/>
      </c>
      <c r="M56" s="456" t="n"/>
      <c r="N56" s="457">
        <f>IF(L56="","",MAX(0,L56-IF(M56="",0,M56)))</f>
        <v/>
      </c>
      <c r="O56" s="455" t="n"/>
      <c r="P56" s="457">
        <f>IF(OR(N56="",O56&lt;=0),"",ROUND(N56/O56,0))</f>
        <v/>
      </c>
      <c r="Q56" s="458">
        <f>IF(OR(H56="",O56&lt;=0),"",EOMONTH(H56,O56-1))</f>
        <v/>
      </c>
      <c r="R56" s="331" t="n"/>
      <c r="S56" s="331" t="n"/>
      <c r="T56" s="331" t="n"/>
      <c r="U56" s="456" t="n"/>
      <c r="V56" s="457">
        <f>IF($AO56&lt;&gt;"OK",0,IF(AND(DATE('Thiết lập'!$B$4,1,1)&gt;=DATE(YEAR($H56),MONTH($H56),1),DATE('Thiết lập'!$B$4,1,1)&lt;EDATE(DATE(YEAR($H56),MONTH($H56),1),$O56)),MIN($P56,MAX(0,$N56-$U56-0)),0))</f>
        <v/>
      </c>
      <c r="W56" s="457">
        <f>IF($AO56&lt;&gt;"OK",0,IF(AND(DATE('Thiết lập'!$B$4,2,1)&gt;=DATE(YEAR($H56),MONTH($H56),1),DATE('Thiết lập'!$B$4,2,1)&lt;EDATE(DATE(YEAR($H56),MONTH($H56),1),$O56)),MIN($P56,MAX(0,$N56-$U56-SUM($V56:V56))),0))</f>
        <v/>
      </c>
      <c r="X56" s="457">
        <f>IF($AO56&lt;&gt;"OK",0,IF(AND(DATE('Thiết lập'!$B$4,3,1)&gt;=DATE(YEAR($H56),MONTH($H56),1),DATE('Thiết lập'!$B$4,3,1)&lt;EDATE(DATE(YEAR($H56),MONTH($H56),1),$O56)),MIN($P56,MAX(0,$N56-$U56-SUM($V56:W56))),0))</f>
        <v/>
      </c>
      <c r="Y56" s="457">
        <f>IF($AO56&lt;&gt;"OK",0,IF(AND(DATE('Thiết lập'!$B$4,4,1)&gt;=DATE(YEAR($H56),MONTH($H56),1),DATE('Thiết lập'!$B$4,4,1)&lt;EDATE(DATE(YEAR($H56),MONTH($H56),1),$O56)),MIN($P56,MAX(0,$N56-$U56-SUM($V56:X56))),0))</f>
        <v/>
      </c>
      <c r="Z56" s="457">
        <f>IF($AO56&lt;&gt;"OK",0,IF(AND(DATE('Thiết lập'!$B$4,5,1)&gt;=DATE(YEAR($H56),MONTH($H56),1),DATE('Thiết lập'!$B$4,5,1)&lt;EDATE(DATE(YEAR($H56),MONTH($H56),1),$O56)),MIN($P56,MAX(0,$N56-$U56-SUM($V56:Y56))),0))</f>
        <v/>
      </c>
      <c r="AA56" s="457">
        <f>IF($AO56&lt;&gt;"OK",0,IF(AND(DATE('Thiết lập'!$B$4,6,1)&gt;=DATE(YEAR($H56),MONTH($H56),1),DATE('Thiết lập'!$B$4,6,1)&lt;EDATE(DATE(YEAR($H56),MONTH($H56),1),$O56)),MIN($P56,MAX(0,$N56-$U56-SUM($V56:Z56))),0))</f>
        <v/>
      </c>
      <c r="AB56" s="457">
        <f>IF($AO56&lt;&gt;"OK",0,IF(AND(DATE('Thiết lập'!$B$4,7,1)&gt;=DATE(YEAR($H56),MONTH($H56),1),DATE('Thiết lập'!$B$4,7,1)&lt;EDATE(DATE(YEAR($H56),MONTH($H56),1),$O56)),MIN($P56,MAX(0,$N56-$U56-SUM($V56:AA56))),0))</f>
        <v/>
      </c>
      <c r="AC56" s="457">
        <f>IF($AO56&lt;&gt;"OK",0,IF(AND(DATE('Thiết lập'!$B$4,8,1)&gt;=DATE(YEAR($H56),MONTH($H56),1),DATE('Thiết lập'!$B$4,8,1)&lt;EDATE(DATE(YEAR($H56),MONTH($H56),1),$O56)),MIN($P56,MAX(0,$N56-$U56-SUM($V56:AB56))),0))</f>
        <v/>
      </c>
      <c r="AD56" s="457">
        <f>IF($AO56&lt;&gt;"OK",0,IF(AND(DATE('Thiết lập'!$B$4,9,1)&gt;=DATE(YEAR($H56),MONTH($H56),1),DATE('Thiết lập'!$B$4,9,1)&lt;EDATE(DATE(YEAR($H56),MONTH($H56),1),$O56)),MIN($P56,MAX(0,$N56-$U56-SUM($V56:AC56))),0))</f>
        <v/>
      </c>
      <c r="AE56" s="457">
        <f>IF($AO56&lt;&gt;"OK",0,IF(AND(DATE('Thiết lập'!$B$4,10,1)&gt;=DATE(YEAR($H56),MONTH($H56),1),DATE('Thiết lập'!$B$4,10,1)&lt;EDATE(DATE(YEAR($H56),MONTH($H56),1),$O56)),MIN($P56,MAX(0,$N56-$U56-SUM($V56:AD56))),0))</f>
        <v/>
      </c>
      <c r="AF56" s="457">
        <f>IF($AO56&lt;&gt;"OK",0,IF(AND(DATE('Thiết lập'!$B$4,11,1)&gt;=DATE(YEAR($H56),MONTH($H56),1),DATE('Thiết lập'!$B$4,11,1)&lt;EDATE(DATE(YEAR($H56),MONTH($H56),1),$O56)),MIN($P56,MAX(0,$N56-$U56-SUM($V56:AE56))),0))</f>
        <v/>
      </c>
      <c r="AG56" s="457">
        <f>IF($AO56&lt;&gt;"OK",0,IF(AND(DATE('Thiết lập'!$B$4,12,1)&gt;=DATE(YEAR($H56),MONTH($H56),1),DATE('Thiết lập'!$B$4,12,1)&lt;EDATE(DATE(YEAR($H56),MONTH($H56),1),$O56)),MIN($P56,MAX(0,$N56-$U56-SUM($V56:AF56))),0))</f>
        <v/>
      </c>
      <c r="AH56" s="457">
        <f>IF(B56="","",SUM(V56:AG56))</f>
        <v/>
      </c>
      <c r="AI56" s="457">
        <f>IF(B56="","",MIN(N56,IF(U56="",0,U56)+AH56))</f>
        <v/>
      </c>
      <c r="AJ56" s="457">
        <f>IF(B56="","",MAX(0,L56-AI56))</f>
        <v/>
      </c>
      <c r="AK56" s="337">
        <f>IF(B56="","",IF(H56&gt;'Thiết lập'!$B$5,"Chưa khấu hao",IF(AJ56&lt;=IF(M56="",0,M56),"Đã hết khấu hao","Đang khấu hao")))</f>
        <v/>
      </c>
      <c r="AL56" s="275" t="n"/>
      <c r="AM56" s="275" t="n"/>
      <c r="AN56" s="275" t="n"/>
      <c r="AO56" s="343">
        <f>IF(B56="","",IF(COUNTIF($B$7:$B$306,B56)&gt;1,"Trùng mã TSCĐ",IF(C56="","Thiếu tên TSCĐ",IF(H56="","Thiếu ngày bắt đầu",IF(OR(I56&lt;=0,L56&lt;=0,O56&lt;=0),"Kiểm tra số lượng/nguyên giá/thời gian",IF(AND(G56&lt;&gt;"",H56&lt;G56),"Ngày KH trước ngày ghi tăng",IF(M56&gt;L56,"Giá trị thu hồi vượt nguyên giá",IF(IF(U56="",0,U56)&gt;N56,"Lũy kế đầu năm vượt GTKH","OK"))))))))</f>
        <v/>
      </c>
    </row>
    <row r="57" ht="20" customHeight="1" s="389">
      <c r="A57" s="325">
        <f>IF(B57="","",ROW()-6)</f>
        <v/>
      </c>
      <c r="B57" s="275" t="n"/>
      <c r="C57" s="275" t="n"/>
      <c r="D57" s="331" t="n"/>
      <c r="E57" s="331" t="n"/>
      <c r="F57" s="454" t="n"/>
      <c r="G57" s="454" t="n"/>
      <c r="H57" s="454" t="n"/>
      <c r="I57" s="455" t="n"/>
      <c r="J57" s="456" t="n"/>
      <c r="K57" s="456" t="n"/>
      <c r="L57" s="457">
        <f>IF(B57="","",IF(OR(I57="",J57=""),"",I57*J57+IF(K57="",0,K57)))</f>
        <v/>
      </c>
      <c r="M57" s="456" t="n"/>
      <c r="N57" s="457">
        <f>IF(L57="","",MAX(0,L57-IF(M57="",0,M57)))</f>
        <v/>
      </c>
      <c r="O57" s="455" t="n"/>
      <c r="P57" s="457">
        <f>IF(OR(N57="",O57&lt;=0),"",ROUND(N57/O57,0))</f>
        <v/>
      </c>
      <c r="Q57" s="458">
        <f>IF(OR(H57="",O57&lt;=0),"",EOMONTH(H57,O57-1))</f>
        <v/>
      </c>
      <c r="R57" s="331" t="n"/>
      <c r="S57" s="331" t="n"/>
      <c r="T57" s="331" t="n"/>
      <c r="U57" s="456" t="n"/>
      <c r="V57" s="457">
        <f>IF($AO57&lt;&gt;"OK",0,IF(AND(DATE('Thiết lập'!$B$4,1,1)&gt;=DATE(YEAR($H57),MONTH($H57),1),DATE('Thiết lập'!$B$4,1,1)&lt;EDATE(DATE(YEAR($H57),MONTH($H57),1),$O57)),MIN($P57,MAX(0,$N57-$U57-0)),0))</f>
        <v/>
      </c>
      <c r="W57" s="457">
        <f>IF($AO57&lt;&gt;"OK",0,IF(AND(DATE('Thiết lập'!$B$4,2,1)&gt;=DATE(YEAR($H57),MONTH($H57),1),DATE('Thiết lập'!$B$4,2,1)&lt;EDATE(DATE(YEAR($H57),MONTH($H57),1),$O57)),MIN($P57,MAX(0,$N57-$U57-SUM($V57:V57))),0))</f>
        <v/>
      </c>
      <c r="X57" s="457">
        <f>IF($AO57&lt;&gt;"OK",0,IF(AND(DATE('Thiết lập'!$B$4,3,1)&gt;=DATE(YEAR($H57),MONTH($H57),1),DATE('Thiết lập'!$B$4,3,1)&lt;EDATE(DATE(YEAR($H57),MONTH($H57),1),$O57)),MIN($P57,MAX(0,$N57-$U57-SUM($V57:W57))),0))</f>
        <v/>
      </c>
      <c r="Y57" s="457">
        <f>IF($AO57&lt;&gt;"OK",0,IF(AND(DATE('Thiết lập'!$B$4,4,1)&gt;=DATE(YEAR($H57),MONTH($H57),1),DATE('Thiết lập'!$B$4,4,1)&lt;EDATE(DATE(YEAR($H57),MONTH($H57),1),$O57)),MIN($P57,MAX(0,$N57-$U57-SUM($V57:X57))),0))</f>
        <v/>
      </c>
      <c r="Z57" s="457">
        <f>IF($AO57&lt;&gt;"OK",0,IF(AND(DATE('Thiết lập'!$B$4,5,1)&gt;=DATE(YEAR($H57),MONTH($H57),1),DATE('Thiết lập'!$B$4,5,1)&lt;EDATE(DATE(YEAR($H57),MONTH($H57),1),$O57)),MIN($P57,MAX(0,$N57-$U57-SUM($V57:Y57))),0))</f>
        <v/>
      </c>
      <c r="AA57" s="457">
        <f>IF($AO57&lt;&gt;"OK",0,IF(AND(DATE('Thiết lập'!$B$4,6,1)&gt;=DATE(YEAR($H57),MONTH($H57),1),DATE('Thiết lập'!$B$4,6,1)&lt;EDATE(DATE(YEAR($H57),MONTH($H57),1),$O57)),MIN($P57,MAX(0,$N57-$U57-SUM($V57:Z57))),0))</f>
        <v/>
      </c>
      <c r="AB57" s="457">
        <f>IF($AO57&lt;&gt;"OK",0,IF(AND(DATE('Thiết lập'!$B$4,7,1)&gt;=DATE(YEAR($H57),MONTH($H57),1),DATE('Thiết lập'!$B$4,7,1)&lt;EDATE(DATE(YEAR($H57),MONTH($H57),1),$O57)),MIN($P57,MAX(0,$N57-$U57-SUM($V57:AA57))),0))</f>
        <v/>
      </c>
      <c r="AC57" s="457">
        <f>IF($AO57&lt;&gt;"OK",0,IF(AND(DATE('Thiết lập'!$B$4,8,1)&gt;=DATE(YEAR($H57),MONTH($H57),1),DATE('Thiết lập'!$B$4,8,1)&lt;EDATE(DATE(YEAR($H57),MONTH($H57),1),$O57)),MIN($P57,MAX(0,$N57-$U57-SUM($V57:AB57))),0))</f>
        <v/>
      </c>
      <c r="AD57" s="457">
        <f>IF($AO57&lt;&gt;"OK",0,IF(AND(DATE('Thiết lập'!$B$4,9,1)&gt;=DATE(YEAR($H57),MONTH($H57),1),DATE('Thiết lập'!$B$4,9,1)&lt;EDATE(DATE(YEAR($H57),MONTH($H57),1),$O57)),MIN($P57,MAX(0,$N57-$U57-SUM($V57:AC57))),0))</f>
        <v/>
      </c>
      <c r="AE57" s="457">
        <f>IF($AO57&lt;&gt;"OK",0,IF(AND(DATE('Thiết lập'!$B$4,10,1)&gt;=DATE(YEAR($H57),MONTH($H57),1),DATE('Thiết lập'!$B$4,10,1)&lt;EDATE(DATE(YEAR($H57),MONTH($H57),1),$O57)),MIN($P57,MAX(0,$N57-$U57-SUM($V57:AD57))),0))</f>
        <v/>
      </c>
      <c r="AF57" s="457">
        <f>IF($AO57&lt;&gt;"OK",0,IF(AND(DATE('Thiết lập'!$B$4,11,1)&gt;=DATE(YEAR($H57),MONTH($H57),1),DATE('Thiết lập'!$B$4,11,1)&lt;EDATE(DATE(YEAR($H57),MONTH($H57),1),$O57)),MIN($P57,MAX(0,$N57-$U57-SUM($V57:AE57))),0))</f>
        <v/>
      </c>
      <c r="AG57" s="457">
        <f>IF($AO57&lt;&gt;"OK",0,IF(AND(DATE('Thiết lập'!$B$4,12,1)&gt;=DATE(YEAR($H57),MONTH($H57),1),DATE('Thiết lập'!$B$4,12,1)&lt;EDATE(DATE(YEAR($H57),MONTH($H57),1),$O57)),MIN($P57,MAX(0,$N57-$U57-SUM($V57:AF57))),0))</f>
        <v/>
      </c>
      <c r="AH57" s="457">
        <f>IF(B57="","",SUM(V57:AG57))</f>
        <v/>
      </c>
      <c r="AI57" s="457">
        <f>IF(B57="","",MIN(N57,IF(U57="",0,U57)+AH57))</f>
        <v/>
      </c>
      <c r="AJ57" s="457">
        <f>IF(B57="","",MAX(0,L57-AI57))</f>
        <v/>
      </c>
      <c r="AK57" s="337">
        <f>IF(B57="","",IF(H57&gt;'Thiết lập'!$B$5,"Chưa khấu hao",IF(AJ57&lt;=IF(M57="",0,M57),"Đã hết khấu hao","Đang khấu hao")))</f>
        <v/>
      </c>
      <c r="AL57" s="275" t="n"/>
      <c r="AM57" s="275" t="n"/>
      <c r="AN57" s="275" t="n"/>
      <c r="AO57" s="343">
        <f>IF(B57="","",IF(COUNTIF($B$7:$B$306,B57)&gt;1,"Trùng mã TSCĐ",IF(C57="","Thiếu tên TSCĐ",IF(H57="","Thiếu ngày bắt đầu",IF(OR(I57&lt;=0,L57&lt;=0,O57&lt;=0),"Kiểm tra số lượng/nguyên giá/thời gian",IF(AND(G57&lt;&gt;"",H57&lt;G57),"Ngày KH trước ngày ghi tăng",IF(M57&gt;L57,"Giá trị thu hồi vượt nguyên giá",IF(IF(U57="",0,U57)&gt;N57,"Lũy kế đầu năm vượt GTKH","OK"))))))))</f>
        <v/>
      </c>
    </row>
    <row r="58" ht="20" customHeight="1" s="389">
      <c r="A58" s="325">
        <f>IF(B58="","",ROW()-6)</f>
        <v/>
      </c>
      <c r="B58" s="275" t="n"/>
      <c r="C58" s="275" t="n"/>
      <c r="D58" s="331" t="n"/>
      <c r="E58" s="331" t="n"/>
      <c r="F58" s="454" t="n"/>
      <c r="G58" s="454" t="n"/>
      <c r="H58" s="454" t="n"/>
      <c r="I58" s="455" t="n"/>
      <c r="J58" s="456" t="n"/>
      <c r="K58" s="456" t="n"/>
      <c r="L58" s="457">
        <f>IF(B58="","",IF(OR(I58="",J58=""),"",I58*J58+IF(K58="",0,K58)))</f>
        <v/>
      </c>
      <c r="M58" s="456" t="n"/>
      <c r="N58" s="457">
        <f>IF(L58="","",MAX(0,L58-IF(M58="",0,M58)))</f>
        <v/>
      </c>
      <c r="O58" s="455" t="n"/>
      <c r="P58" s="457">
        <f>IF(OR(N58="",O58&lt;=0),"",ROUND(N58/O58,0))</f>
        <v/>
      </c>
      <c r="Q58" s="458">
        <f>IF(OR(H58="",O58&lt;=0),"",EOMONTH(H58,O58-1))</f>
        <v/>
      </c>
      <c r="R58" s="331" t="n"/>
      <c r="S58" s="331" t="n"/>
      <c r="T58" s="331" t="n"/>
      <c r="U58" s="456" t="n"/>
      <c r="V58" s="457">
        <f>IF($AO58&lt;&gt;"OK",0,IF(AND(DATE('Thiết lập'!$B$4,1,1)&gt;=DATE(YEAR($H58),MONTH($H58),1),DATE('Thiết lập'!$B$4,1,1)&lt;EDATE(DATE(YEAR($H58),MONTH($H58),1),$O58)),MIN($P58,MAX(0,$N58-$U58-0)),0))</f>
        <v/>
      </c>
      <c r="W58" s="457">
        <f>IF($AO58&lt;&gt;"OK",0,IF(AND(DATE('Thiết lập'!$B$4,2,1)&gt;=DATE(YEAR($H58),MONTH($H58),1),DATE('Thiết lập'!$B$4,2,1)&lt;EDATE(DATE(YEAR($H58),MONTH($H58),1),$O58)),MIN($P58,MAX(0,$N58-$U58-SUM($V58:V58))),0))</f>
        <v/>
      </c>
      <c r="X58" s="457">
        <f>IF($AO58&lt;&gt;"OK",0,IF(AND(DATE('Thiết lập'!$B$4,3,1)&gt;=DATE(YEAR($H58),MONTH($H58),1),DATE('Thiết lập'!$B$4,3,1)&lt;EDATE(DATE(YEAR($H58),MONTH($H58),1),$O58)),MIN($P58,MAX(0,$N58-$U58-SUM($V58:W58))),0))</f>
        <v/>
      </c>
      <c r="Y58" s="457">
        <f>IF($AO58&lt;&gt;"OK",0,IF(AND(DATE('Thiết lập'!$B$4,4,1)&gt;=DATE(YEAR($H58),MONTH($H58),1),DATE('Thiết lập'!$B$4,4,1)&lt;EDATE(DATE(YEAR($H58),MONTH($H58),1),$O58)),MIN($P58,MAX(0,$N58-$U58-SUM($V58:X58))),0))</f>
        <v/>
      </c>
      <c r="Z58" s="457">
        <f>IF($AO58&lt;&gt;"OK",0,IF(AND(DATE('Thiết lập'!$B$4,5,1)&gt;=DATE(YEAR($H58),MONTH($H58),1),DATE('Thiết lập'!$B$4,5,1)&lt;EDATE(DATE(YEAR($H58),MONTH($H58),1),$O58)),MIN($P58,MAX(0,$N58-$U58-SUM($V58:Y58))),0))</f>
        <v/>
      </c>
      <c r="AA58" s="457">
        <f>IF($AO58&lt;&gt;"OK",0,IF(AND(DATE('Thiết lập'!$B$4,6,1)&gt;=DATE(YEAR($H58),MONTH($H58),1),DATE('Thiết lập'!$B$4,6,1)&lt;EDATE(DATE(YEAR($H58),MONTH($H58),1),$O58)),MIN($P58,MAX(0,$N58-$U58-SUM($V58:Z58))),0))</f>
        <v/>
      </c>
      <c r="AB58" s="457">
        <f>IF($AO58&lt;&gt;"OK",0,IF(AND(DATE('Thiết lập'!$B$4,7,1)&gt;=DATE(YEAR($H58),MONTH($H58),1),DATE('Thiết lập'!$B$4,7,1)&lt;EDATE(DATE(YEAR($H58),MONTH($H58),1),$O58)),MIN($P58,MAX(0,$N58-$U58-SUM($V58:AA58))),0))</f>
        <v/>
      </c>
      <c r="AC58" s="457">
        <f>IF($AO58&lt;&gt;"OK",0,IF(AND(DATE('Thiết lập'!$B$4,8,1)&gt;=DATE(YEAR($H58),MONTH($H58),1),DATE('Thiết lập'!$B$4,8,1)&lt;EDATE(DATE(YEAR($H58),MONTH($H58),1),$O58)),MIN($P58,MAX(0,$N58-$U58-SUM($V58:AB58))),0))</f>
        <v/>
      </c>
      <c r="AD58" s="457">
        <f>IF($AO58&lt;&gt;"OK",0,IF(AND(DATE('Thiết lập'!$B$4,9,1)&gt;=DATE(YEAR($H58),MONTH($H58),1),DATE('Thiết lập'!$B$4,9,1)&lt;EDATE(DATE(YEAR($H58),MONTH($H58),1),$O58)),MIN($P58,MAX(0,$N58-$U58-SUM($V58:AC58))),0))</f>
        <v/>
      </c>
      <c r="AE58" s="457">
        <f>IF($AO58&lt;&gt;"OK",0,IF(AND(DATE('Thiết lập'!$B$4,10,1)&gt;=DATE(YEAR($H58),MONTH($H58),1),DATE('Thiết lập'!$B$4,10,1)&lt;EDATE(DATE(YEAR($H58),MONTH($H58),1),$O58)),MIN($P58,MAX(0,$N58-$U58-SUM($V58:AD58))),0))</f>
        <v/>
      </c>
      <c r="AF58" s="457">
        <f>IF($AO58&lt;&gt;"OK",0,IF(AND(DATE('Thiết lập'!$B$4,11,1)&gt;=DATE(YEAR($H58),MONTH($H58),1),DATE('Thiết lập'!$B$4,11,1)&lt;EDATE(DATE(YEAR($H58),MONTH($H58),1),$O58)),MIN($P58,MAX(0,$N58-$U58-SUM($V58:AE58))),0))</f>
        <v/>
      </c>
      <c r="AG58" s="457">
        <f>IF($AO58&lt;&gt;"OK",0,IF(AND(DATE('Thiết lập'!$B$4,12,1)&gt;=DATE(YEAR($H58),MONTH($H58),1),DATE('Thiết lập'!$B$4,12,1)&lt;EDATE(DATE(YEAR($H58),MONTH($H58),1),$O58)),MIN($P58,MAX(0,$N58-$U58-SUM($V58:AF58))),0))</f>
        <v/>
      </c>
      <c r="AH58" s="457">
        <f>IF(B58="","",SUM(V58:AG58))</f>
        <v/>
      </c>
      <c r="AI58" s="457">
        <f>IF(B58="","",MIN(N58,IF(U58="",0,U58)+AH58))</f>
        <v/>
      </c>
      <c r="AJ58" s="457">
        <f>IF(B58="","",MAX(0,L58-AI58))</f>
        <v/>
      </c>
      <c r="AK58" s="337">
        <f>IF(B58="","",IF(H58&gt;'Thiết lập'!$B$5,"Chưa khấu hao",IF(AJ58&lt;=IF(M58="",0,M58),"Đã hết khấu hao","Đang khấu hao")))</f>
        <v/>
      </c>
      <c r="AL58" s="275" t="n"/>
      <c r="AM58" s="275" t="n"/>
      <c r="AN58" s="275" t="n"/>
      <c r="AO58" s="343">
        <f>IF(B58="","",IF(COUNTIF($B$7:$B$306,B58)&gt;1,"Trùng mã TSCĐ",IF(C58="","Thiếu tên TSCĐ",IF(H58="","Thiếu ngày bắt đầu",IF(OR(I58&lt;=0,L58&lt;=0,O58&lt;=0),"Kiểm tra số lượng/nguyên giá/thời gian",IF(AND(G58&lt;&gt;"",H58&lt;G58),"Ngày KH trước ngày ghi tăng",IF(M58&gt;L58,"Giá trị thu hồi vượt nguyên giá",IF(IF(U58="",0,U58)&gt;N58,"Lũy kế đầu năm vượt GTKH","OK"))))))))</f>
        <v/>
      </c>
    </row>
    <row r="59" ht="20" customHeight="1" s="389">
      <c r="A59" s="325">
        <f>IF(B59="","",ROW()-6)</f>
        <v/>
      </c>
      <c r="B59" s="275" t="n"/>
      <c r="C59" s="275" t="n"/>
      <c r="D59" s="331" t="n"/>
      <c r="E59" s="331" t="n"/>
      <c r="F59" s="454" t="n"/>
      <c r="G59" s="454" t="n"/>
      <c r="H59" s="454" t="n"/>
      <c r="I59" s="455" t="n"/>
      <c r="J59" s="456" t="n"/>
      <c r="K59" s="456" t="n"/>
      <c r="L59" s="457">
        <f>IF(B59="","",IF(OR(I59="",J59=""),"",I59*J59+IF(K59="",0,K59)))</f>
        <v/>
      </c>
      <c r="M59" s="456" t="n"/>
      <c r="N59" s="457">
        <f>IF(L59="","",MAX(0,L59-IF(M59="",0,M59)))</f>
        <v/>
      </c>
      <c r="O59" s="455" t="n"/>
      <c r="P59" s="457">
        <f>IF(OR(N59="",O59&lt;=0),"",ROUND(N59/O59,0))</f>
        <v/>
      </c>
      <c r="Q59" s="458">
        <f>IF(OR(H59="",O59&lt;=0),"",EOMONTH(H59,O59-1))</f>
        <v/>
      </c>
      <c r="R59" s="331" t="n"/>
      <c r="S59" s="331" t="n"/>
      <c r="T59" s="331" t="n"/>
      <c r="U59" s="456" t="n"/>
      <c r="V59" s="457">
        <f>IF($AO59&lt;&gt;"OK",0,IF(AND(DATE('Thiết lập'!$B$4,1,1)&gt;=DATE(YEAR($H59),MONTH($H59),1),DATE('Thiết lập'!$B$4,1,1)&lt;EDATE(DATE(YEAR($H59),MONTH($H59),1),$O59)),MIN($P59,MAX(0,$N59-$U59-0)),0))</f>
        <v/>
      </c>
      <c r="W59" s="457">
        <f>IF($AO59&lt;&gt;"OK",0,IF(AND(DATE('Thiết lập'!$B$4,2,1)&gt;=DATE(YEAR($H59),MONTH($H59),1),DATE('Thiết lập'!$B$4,2,1)&lt;EDATE(DATE(YEAR($H59),MONTH($H59),1),$O59)),MIN($P59,MAX(0,$N59-$U59-SUM($V59:V59))),0))</f>
        <v/>
      </c>
      <c r="X59" s="457">
        <f>IF($AO59&lt;&gt;"OK",0,IF(AND(DATE('Thiết lập'!$B$4,3,1)&gt;=DATE(YEAR($H59),MONTH($H59),1),DATE('Thiết lập'!$B$4,3,1)&lt;EDATE(DATE(YEAR($H59),MONTH($H59),1),$O59)),MIN($P59,MAX(0,$N59-$U59-SUM($V59:W59))),0))</f>
        <v/>
      </c>
      <c r="Y59" s="457">
        <f>IF($AO59&lt;&gt;"OK",0,IF(AND(DATE('Thiết lập'!$B$4,4,1)&gt;=DATE(YEAR($H59),MONTH($H59),1),DATE('Thiết lập'!$B$4,4,1)&lt;EDATE(DATE(YEAR($H59),MONTH($H59),1),$O59)),MIN($P59,MAX(0,$N59-$U59-SUM($V59:X59))),0))</f>
        <v/>
      </c>
      <c r="Z59" s="457">
        <f>IF($AO59&lt;&gt;"OK",0,IF(AND(DATE('Thiết lập'!$B$4,5,1)&gt;=DATE(YEAR($H59),MONTH($H59),1),DATE('Thiết lập'!$B$4,5,1)&lt;EDATE(DATE(YEAR($H59),MONTH($H59),1),$O59)),MIN($P59,MAX(0,$N59-$U59-SUM($V59:Y59))),0))</f>
        <v/>
      </c>
      <c r="AA59" s="457">
        <f>IF($AO59&lt;&gt;"OK",0,IF(AND(DATE('Thiết lập'!$B$4,6,1)&gt;=DATE(YEAR($H59),MONTH($H59),1),DATE('Thiết lập'!$B$4,6,1)&lt;EDATE(DATE(YEAR($H59),MONTH($H59),1),$O59)),MIN($P59,MAX(0,$N59-$U59-SUM($V59:Z59))),0))</f>
        <v/>
      </c>
      <c r="AB59" s="457">
        <f>IF($AO59&lt;&gt;"OK",0,IF(AND(DATE('Thiết lập'!$B$4,7,1)&gt;=DATE(YEAR($H59),MONTH($H59),1),DATE('Thiết lập'!$B$4,7,1)&lt;EDATE(DATE(YEAR($H59),MONTH($H59),1),$O59)),MIN($P59,MAX(0,$N59-$U59-SUM($V59:AA59))),0))</f>
        <v/>
      </c>
      <c r="AC59" s="457">
        <f>IF($AO59&lt;&gt;"OK",0,IF(AND(DATE('Thiết lập'!$B$4,8,1)&gt;=DATE(YEAR($H59),MONTH($H59),1),DATE('Thiết lập'!$B$4,8,1)&lt;EDATE(DATE(YEAR($H59),MONTH($H59),1),$O59)),MIN($P59,MAX(0,$N59-$U59-SUM($V59:AB59))),0))</f>
        <v/>
      </c>
      <c r="AD59" s="457">
        <f>IF($AO59&lt;&gt;"OK",0,IF(AND(DATE('Thiết lập'!$B$4,9,1)&gt;=DATE(YEAR($H59),MONTH($H59),1),DATE('Thiết lập'!$B$4,9,1)&lt;EDATE(DATE(YEAR($H59),MONTH($H59),1),$O59)),MIN($P59,MAX(0,$N59-$U59-SUM($V59:AC59))),0))</f>
        <v/>
      </c>
      <c r="AE59" s="457">
        <f>IF($AO59&lt;&gt;"OK",0,IF(AND(DATE('Thiết lập'!$B$4,10,1)&gt;=DATE(YEAR($H59),MONTH($H59),1),DATE('Thiết lập'!$B$4,10,1)&lt;EDATE(DATE(YEAR($H59),MONTH($H59),1),$O59)),MIN($P59,MAX(0,$N59-$U59-SUM($V59:AD59))),0))</f>
        <v/>
      </c>
      <c r="AF59" s="457">
        <f>IF($AO59&lt;&gt;"OK",0,IF(AND(DATE('Thiết lập'!$B$4,11,1)&gt;=DATE(YEAR($H59),MONTH($H59),1),DATE('Thiết lập'!$B$4,11,1)&lt;EDATE(DATE(YEAR($H59),MONTH($H59),1),$O59)),MIN($P59,MAX(0,$N59-$U59-SUM($V59:AE59))),0))</f>
        <v/>
      </c>
      <c r="AG59" s="457">
        <f>IF($AO59&lt;&gt;"OK",0,IF(AND(DATE('Thiết lập'!$B$4,12,1)&gt;=DATE(YEAR($H59),MONTH($H59),1),DATE('Thiết lập'!$B$4,12,1)&lt;EDATE(DATE(YEAR($H59),MONTH($H59),1),$O59)),MIN($P59,MAX(0,$N59-$U59-SUM($V59:AF59))),0))</f>
        <v/>
      </c>
      <c r="AH59" s="457">
        <f>IF(B59="","",SUM(V59:AG59))</f>
        <v/>
      </c>
      <c r="AI59" s="457">
        <f>IF(B59="","",MIN(N59,IF(U59="",0,U59)+AH59))</f>
        <v/>
      </c>
      <c r="AJ59" s="457">
        <f>IF(B59="","",MAX(0,L59-AI59))</f>
        <v/>
      </c>
      <c r="AK59" s="337">
        <f>IF(B59="","",IF(H59&gt;'Thiết lập'!$B$5,"Chưa khấu hao",IF(AJ59&lt;=IF(M59="",0,M59),"Đã hết khấu hao","Đang khấu hao")))</f>
        <v/>
      </c>
      <c r="AL59" s="275" t="n"/>
      <c r="AM59" s="275" t="n"/>
      <c r="AN59" s="275" t="n"/>
      <c r="AO59" s="343">
        <f>IF(B59="","",IF(COUNTIF($B$7:$B$306,B59)&gt;1,"Trùng mã TSCĐ",IF(C59="","Thiếu tên TSCĐ",IF(H59="","Thiếu ngày bắt đầu",IF(OR(I59&lt;=0,L59&lt;=0,O59&lt;=0),"Kiểm tra số lượng/nguyên giá/thời gian",IF(AND(G59&lt;&gt;"",H59&lt;G59),"Ngày KH trước ngày ghi tăng",IF(M59&gt;L59,"Giá trị thu hồi vượt nguyên giá",IF(IF(U59="",0,U59)&gt;N59,"Lũy kế đầu năm vượt GTKH","OK"))))))))</f>
        <v/>
      </c>
    </row>
    <row r="60" ht="20" customHeight="1" s="389">
      <c r="A60" s="325">
        <f>IF(B60="","",ROW()-6)</f>
        <v/>
      </c>
      <c r="B60" s="275" t="n"/>
      <c r="C60" s="275" t="n"/>
      <c r="D60" s="331" t="n"/>
      <c r="E60" s="331" t="n"/>
      <c r="F60" s="454" t="n"/>
      <c r="G60" s="454" t="n"/>
      <c r="H60" s="454" t="n"/>
      <c r="I60" s="455" t="n"/>
      <c r="J60" s="456" t="n"/>
      <c r="K60" s="456" t="n"/>
      <c r="L60" s="457">
        <f>IF(B60="","",IF(OR(I60="",J60=""),"",I60*J60+IF(K60="",0,K60)))</f>
        <v/>
      </c>
      <c r="M60" s="456" t="n"/>
      <c r="N60" s="457">
        <f>IF(L60="","",MAX(0,L60-IF(M60="",0,M60)))</f>
        <v/>
      </c>
      <c r="O60" s="455" t="n"/>
      <c r="P60" s="457">
        <f>IF(OR(N60="",O60&lt;=0),"",ROUND(N60/O60,0))</f>
        <v/>
      </c>
      <c r="Q60" s="458">
        <f>IF(OR(H60="",O60&lt;=0),"",EOMONTH(H60,O60-1))</f>
        <v/>
      </c>
      <c r="R60" s="331" t="n"/>
      <c r="S60" s="331" t="n"/>
      <c r="T60" s="331" t="n"/>
      <c r="U60" s="456" t="n"/>
      <c r="V60" s="457">
        <f>IF($AO60&lt;&gt;"OK",0,IF(AND(DATE('Thiết lập'!$B$4,1,1)&gt;=DATE(YEAR($H60),MONTH($H60),1),DATE('Thiết lập'!$B$4,1,1)&lt;EDATE(DATE(YEAR($H60),MONTH($H60),1),$O60)),MIN($P60,MAX(0,$N60-$U60-0)),0))</f>
        <v/>
      </c>
      <c r="W60" s="457">
        <f>IF($AO60&lt;&gt;"OK",0,IF(AND(DATE('Thiết lập'!$B$4,2,1)&gt;=DATE(YEAR($H60),MONTH($H60),1),DATE('Thiết lập'!$B$4,2,1)&lt;EDATE(DATE(YEAR($H60),MONTH($H60),1),$O60)),MIN($P60,MAX(0,$N60-$U60-SUM($V60:V60))),0))</f>
        <v/>
      </c>
      <c r="X60" s="457">
        <f>IF($AO60&lt;&gt;"OK",0,IF(AND(DATE('Thiết lập'!$B$4,3,1)&gt;=DATE(YEAR($H60),MONTH($H60),1),DATE('Thiết lập'!$B$4,3,1)&lt;EDATE(DATE(YEAR($H60),MONTH($H60),1),$O60)),MIN($P60,MAX(0,$N60-$U60-SUM($V60:W60))),0))</f>
        <v/>
      </c>
      <c r="Y60" s="457">
        <f>IF($AO60&lt;&gt;"OK",0,IF(AND(DATE('Thiết lập'!$B$4,4,1)&gt;=DATE(YEAR($H60),MONTH($H60),1),DATE('Thiết lập'!$B$4,4,1)&lt;EDATE(DATE(YEAR($H60),MONTH($H60),1),$O60)),MIN($P60,MAX(0,$N60-$U60-SUM($V60:X60))),0))</f>
        <v/>
      </c>
      <c r="Z60" s="457">
        <f>IF($AO60&lt;&gt;"OK",0,IF(AND(DATE('Thiết lập'!$B$4,5,1)&gt;=DATE(YEAR($H60),MONTH($H60),1),DATE('Thiết lập'!$B$4,5,1)&lt;EDATE(DATE(YEAR($H60),MONTH($H60),1),$O60)),MIN($P60,MAX(0,$N60-$U60-SUM($V60:Y60))),0))</f>
        <v/>
      </c>
      <c r="AA60" s="457">
        <f>IF($AO60&lt;&gt;"OK",0,IF(AND(DATE('Thiết lập'!$B$4,6,1)&gt;=DATE(YEAR($H60),MONTH($H60),1),DATE('Thiết lập'!$B$4,6,1)&lt;EDATE(DATE(YEAR($H60),MONTH($H60),1),$O60)),MIN($P60,MAX(0,$N60-$U60-SUM($V60:Z60))),0))</f>
        <v/>
      </c>
      <c r="AB60" s="457">
        <f>IF($AO60&lt;&gt;"OK",0,IF(AND(DATE('Thiết lập'!$B$4,7,1)&gt;=DATE(YEAR($H60),MONTH($H60),1),DATE('Thiết lập'!$B$4,7,1)&lt;EDATE(DATE(YEAR($H60),MONTH($H60),1),$O60)),MIN($P60,MAX(0,$N60-$U60-SUM($V60:AA60))),0))</f>
        <v/>
      </c>
      <c r="AC60" s="457">
        <f>IF($AO60&lt;&gt;"OK",0,IF(AND(DATE('Thiết lập'!$B$4,8,1)&gt;=DATE(YEAR($H60),MONTH($H60),1),DATE('Thiết lập'!$B$4,8,1)&lt;EDATE(DATE(YEAR($H60),MONTH($H60),1),$O60)),MIN($P60,MAX(0,$N60-$U60-SUM($V60:AB60))),0))</f>
        <v/>
      </c>
      <c r="AD60" s="457">
        <f>IF($AO60&lt;&gt;"OK",0,IF(AND(DATE('Thiết lập'!$B$4,9,1)&gt;=DATE(YEAR($H60),MONTH($H60),1),DATE('Thiết lập'!$B$4,9,1)&lt;EDATE(DATE(YEAR($H60),MONTH($H60),1),$O60)),MIN($P60,MAX(0,$N60-$U60-SUM($V60:AC60))),0))</f>
        <v/>
      </c>
      <c r="AE60" s="457">
        <f>IF($AO60&lt;&gt;"OK",0,IF(AND(DATE('Thiết lập'!$B$4,10,1)&gt;=DATE(YEAR($H60),MONTH($H60),1),DATE('Thiết lập'!$B$4,10,1)&lt;EDATE(DATE(YEAR($H60),MONTH($H60),1),$O60)),MIN($P60,MAX(0,$N60-$U60-SUM($V60:AD60))),0))</f>
        <v/>
      </c>
      <c r="AF60" s="457">
        <f>IF($AO60&lt;&gt;"OK",0,IF(AND(DATE('Thiết lập'!$B$4,11,1)&gt;=DATE(YEAR($H60),MONTH($H60),1),DATE('Thiết lập'!$B$4,11,1)&lt;EDATE(DATE(YEAR($H60),MONTH($H60),1),$O60)),MIN($P60,MAX(0,$N60-$U60-SUM($V60:AE60))),0))</f>
        <v/>
      </c>
      <c r="AG60" s="457">
        <f>IF($AO60&lt;&gt;"OK",0,IF(AND(DATE('Thiết lập'!$B$4,12,1)&gt;=DATE(YEAR($H60),MONTH($H60),1),DATE('Thiết lập'!$B$4,12,1)&lt;EDATE(DATE(YEAR($H60),MONTH($H60),1),$O60)),MIN($P60,MAX(0,$N60-$U60-SUM($V60:AF60))),0))</f>
        <v/>
      </c>
      <c r="AH60" s="457">
        <f>IF(B60="","",SUM(V60:AG60))</f>
        <v/>
      </c>
      <c r="AI60" s="457">
        <f>IF(B60="","",MIN(N60,IF(U60="",0,U60)+AH60))</f>
        <v/>
      </c>
      <c r="AJ60" s="457">
        <f>IF(B60="","",MAX(0,L60-AI60))</f>
        <v/>
      </c>
      <c r="AK60" s="337">
        <f>IF(B60="","",IF(H60&gt;'Thiết lập'!$B$5,"Chưa khấu hao",IF(AJ60&lt;=IF(M60="",0,M60),"Đã hết khấu hao","Đang khấu hao")))</f>
        <v/>
      </c>
      <c r="AL60" s="275" t="n"/>
      <c r="AM60" s="275" t="n"/>
      <c r="AN60" s="275" t="n"/>
      <c r="AO60" s="343">
        <f>IF(B60="","",IF(COUNTIF($B$7:$B$306,B60)&gt;1,"Trùng mã TSCĐ",IF(C60="","Thiếu tên TSCĐ",IF(H60="","Thiếu ngày bắt đầu",IF(OR(I60&lt;=0,L60&lt;=0,O60&lt;=0),"Kiểm tra số lượng/nguyên giá/thời gian",IF(AND(G60&lt;&gt;"",H60&lt;G60),"Ngày KH trước ngày ghi tăng",IF(M60&gt;L60,"Giá trị thu hồi vượt nguyên giá",IF(IF(U60="",0,U60)&gt;N60,"Lũy kế đầu năm vượt GTKH","OK"))))))))</f>
        <v/>
      </c>
    </row>
    <row r="61" ht="20" customHeight="1" s="389">
      <c r="A61" s="325">
        <f>IF(B61="","",ROW()-6)</f>
        <v/>
      </c>
      <c r="B61" s="275" t="n"/>
      <c r="C61" s="275" t="n"/>
      <c r="D61" s="331" t="n"/>
      <c r="E61" s="331" t="n"/>
      <c r="F61" s="454" t="n"/>
      <c r="G61" s="454" t="n"/>
      <c r="H61" s="454" t="n"/>
      <c r="I61" s="455" t="n"/>
      <c r="J61" s="456" t="n"/>
      <c r="K61" s="456" t="n"/>
      <c r="L61" s="457">
        <f>IF(B61="","",IF(OR(I61="",J61=""),"",I61*J61+IF(K61="",0,K61)))</f>
        <v/>
      </c>
      <c r="M61" s="456" t="n"/>
      <c r="N61" s="457">
        <f>IF(L61="","",MAX(0,L61-IF(M61="",0,M61)))</f>
        <v/>
      </c>
      <c r="O61" s="455" t="n"/>
      <c r="P61" s="457">
        <f>IF(OR(N61="",O61&lt;=0),"",ROUND(N61/O61,0))</f>
        <v/>
      </c>
      <c r="Q61" s="458">
        <f>IF(OR(H61="",O61&lt;=0),"",EOMONTH(H61,O61-1))</f>
        <v/>
      </c>
      <c r="R61" s="331" t="n"/>
      <c r="S61" s="331" t="n"/>
      <c r="T61" s="331" t="n"/>
      <c r="U61" s="456" t="n"/>
      <c r="V61" s="457">
        <f>IF($AO61&lt;&gt;"OK",0,IF(AND(DATE('Thiết lập'!$B$4,1,1)&gt;=DATE(YEAR($H61),MONTH($H61),1),DATE('Thiết lập'!$B$4,1,1)&lt;EDATE(DATE(YEAR($H61),MONTH($H61),1),$O61)),MIN($P61,MAX(0,$N61-$U61-0)),0))</f>
        <v/>
      </c>
      <c r="W61" s="457">
        <f>IF($AO61&lt;&gt;"OK",0,IF(AND(DATE('Thiết lập'!$B$4,2,1)&gt;=DATE(YEAR($H61),MONTH($H61),1),DATE('Thiết lập'!$B$4,2,1)&lt;EDATE(DATE(YEAR($H61),MONTH($H61),1),$O61)),MIN($P61,MAX(0,$N61-$U61-SUM($V61:V61))),0))</f>
        <v/>
      </c>
      <c r="X61" s="457">
        <f>IF($AO61&lt;&gt;"OK",0,IF(AND(DATE('Thiết lập'!$B$4,3,1)&gt;=DATE(YEAR($H61),MONTH($H61),1),DATE('Thiết lập'!$B$4,3,1)&lt;EDATE(DATE(YEAR($H61),MONTH($H61),1),$O61)),MIN($P61,MAX(0,$N61-$U61-SUM($V61:W61))),0))</f>
        <v/>
      </c>
      <c r="Y61" s="457">
        <f>IF($AO61&lt;&gt;"OK",0,IF(AND(DATE('Thiết lập'!$B$4,4,1)&gt;=DATE(YEAR($H61),MONTH($H61),1),DATE('Thiết lập'!$B$4,4,1)&lt;EDATE(DATE(YEAR($H61),MONTH($H61),1),$O61)),MIN($P61,MAX(0,$N61-$U61-SUM($V61:X61))),0))</f>
        <v/>
      </c>
      <c r="Z61" s="457">
        <f>IF($AO61&lt;&gt;"OK",0,IF(AND(DATE('Thiết lập'!$B$4,5,1)&gt;=DATE(YEAR($H61),MONTH($H61),1),DATE('Thiết lập'!$B$4,5,1)&lt;EDATE(DATE(YEAR($H61),MONTH($H61),1),$O61)),MIN($P61,MAX(0,$N61-$U61-SUM($V61:Y61))),0))</f>
        <v/>
      </c>
      <c r="AA61" s="457">
        <f>IF($AO61&lt;&gt;"OK",0,IF(AND(DATE('Thiết lập'!$B$4,6,1)&gt;=DATE(YEAR($H61),MONTH($H61),1),DATE('Thiết lập'!$B$4,6,1)&lt;EDATE(DATE(YEAR($H61),MONTH($H61),1),$O61)),MIN($P61,MAX(0,$N61-$U61-SUM($V61:Z61))),0))</f>
        <v/>
      </c>
      <c r="AB61" s="457">
        <f>IF($AO61&lt;&gt;"OK",0,IF(AND(DATE('Thiết lập'!$B$4,7,1)&gt;=DATE(YEAR($H61),MONTH($H61),1),DATE('Thiết lập'!$B$4,7,1)&lt;EDATE(DATE(YEAR($H61),MONTH($H61),1),$O61)),MIN($P61,MAX(0,$N61-$U61-SUM($V61:AA61))),0))</f>
        <v/>
      </c>
      <c r="AC61" s="457">
        <f>IF($AO61&lt;&gt;"OK",0,IF(AND(DATE('Thiết lập'!$B$4,8,1)&gt;=DATE(YEAR($H61),MONTH($H61),1),DATE('Thiết lập'!$B$4,8,1)&lt;EDATE(DATE(YEAR($H61),MONTH($H61),1),$O61)),MIN($P61,MAX(0,$N61-$U61-SUM($V61:AB61))),0))</f>
        <v/>
      </c>
      <c r="AD61" s="457">
        <f>IF($AO61&lt;&gt;"OK",0,IF(AND(DATE('Thiết lập'!$B$4,9,1)&gt;=DATE(YEAR($H61),MONTH($H61),1),DATE('Thiết lập'!$B$4,9,1)&lt;EDATE(DATE(YEAR($H61),MONTH($H61),1),$O61)),MIN($P61,MAX(0,$N61-$U61-SUM($V61:AC61))),0))</f>
        <v/>
      </c>
      <c r="AE61" s="457">
        <f>IF($AO61&lt;&gt;"OK",0,IF(AND(DATE('Thiết lập'!$B$4,10,1)&gt;=DATE(YEAR($H61),MONTH($H61),1),DATE('Thiết lập'!$B$4,10,1)&lt;EDATE(DATE(YEAR($H61),MONTH($H61),1),$O61)),MIN($P61,MAX(0,$N61-$U61-SUM($V61:AD61))),0))</f>
        <v/>
      </c>
      <c r="AF61" s="457">
        <f>IF($AO61&lt;&gt;"OK",0,IF(AND(DATE('Thiết lập'!$B$4,11,1)&gt;=DATE(YEAR($H61),MONTH($H61),1),DATE('Thiết lập'!$B$4,11,1)&lt;EDATE(DATE(YEAR($H61),MONTH($H61),1),$O61)),MIN($P61,MAX(0,$N61-$U61-SUM($V61:AE61))),0))</f>
        <v/>
      </c>
      <c r="AG61" s="457">
        <f>IF($AO61&lt;&gt;"OK",0,IF(AND(DATE('Thiết lập'!$B$4,12,1)&gt;=DATE(YEAR($H61),MONTH($H61),1),DATE('Thiết lập'!$B$4,12,1)&lt;EDATE(DATE(YEAR($H61),MONTH($H61),1),$O61)),MIN($P61,MAX(0,$N61-$U61-SUM($V61:AF61))),0))</f>
        <v/>
      </c>
      <c r="AH61" s="457">
        <f>IF(B61="","",SUM(V61:AG61))</f>
        <v/>
      </c>
      <c r="AI61" s="457">
        <f>IF(B61="","",MIN(N61,IF(U61="",0,U61)+AH61))</f>
        <v/>
      </c>
      <c r="AJ61" s="457">
        <f>IF(B61="","",MAX(0,L61-AI61))</f>
        <v/>
      </c>
      <c r="AK61" s="337">
        <f>IF(B61="","",IF(H61&gt;'Thiết lập'!$B$5,"Chưa khấu hao",IF(AJ61&lt;=IF(M61="",0,M61),"Đã hết khấu hao","Đang khấu hao")))</f>
        <v/>
      </c>
      <c r="AL61" s="275" t="n"/>
      <c r="AM61" s="275" t="n"/>
      <c r="AN61" s="275" t="n"/>
      <c r="AO61" s="343">
        <f>IF(B61="","",IF(COUNTIF($B$7:$B$306,B61)&gt;1,"Trùng mã TSCĐ",IF(C61="","Thiếu tên TSCĐ",IF(H61="","Thiếu ngày bắt đầu",IF(OR(I61&lt;=0,L61&lt;=0,O61&lt;=0),"Kiểm tra số lượng/nguyên giá/thời gian",IF(AND(G61&lt;&gt;"",H61&lt;G61),"Ngày KH trước ngày ghi tăng",IF(M61&gt;L61,"Giá trị thu hồi vượt nguyên giá",IF(IF(U61="",0,U61)&gt;N61,"Lũy kế đầu năm vượt GTKH","OK"))))))))</f>
        <v/>
      </c>
    </row>
    <row r="62" ht="20" customHeight="1" s="389">
      <c r="A62" s="325">
        <f>IF(B62="","",ROW()-6)</f>
        <v/>
      </c>
      <c r="B62" s="275" t="n"/>
      <c r="C62" s="275" t="n"/>
      <c r="D62" s="331" t="n"/>
      <c r="E62" s="331" t="n"/>
      <c r="F62" s="454" t="n"/>
      <c r="G62" s="454" t="n"/>
      <c r="H62" s="454" t="n"/>
      <c r="I62" s="455" t="n"/>
      <c r="J62" s="456" t="n"/>
      <c r="K62" s="456" t="n"/>
      <c r="L62" s="457">
        <f>IF(B62="","",IF(OR(I62="",J62=""),"",I62*J62+IF(K62="",0,K62)))</f>
        <v/>
      </c>
      <c r="M62" s="456" t="n"/>
      <c r="N62" s="457">
        <f>IF(L62="","",MAX(0,L62-IF(M62="",0,M62)))</f>
        <v/>
      </c>
      <c r="O62" s="455" t="n"/>
      <c r="P62" s="457">
        <f>IF(OR(N62="",O62&lt;=0),"",ROUND(N62/O62,0))</f>
        <v/>
      </c>
      <c r="Q62" s="458">
        <f>IF(OR(H62="",O62&lt;=0),"",EOMONTH(H62,O62-1))</f>
        <v/>
      </c>
      <c r="R62" s="331" t="n"/>
      <c r="S62" s="331" t="n"/>
      <c r="T62" s="331" t="n"/>
      <c r="U62" s="456" t="n"/>
      <c r="V62" s="457">
        <f>IF($AO62&lt;&gt;"OK",0,IF(AND(DATE('Thiết lập'!$B$4,1,1)&gt;=DATE(YEAR($H62),MONTH($H62),1),DATE('Thiết lập'!$B$4,1,1)&lt;EDATE(DATE(YEAR($H62),MONTH($H62),1),$O62)),MIN($P62,MAX(0,$N62-$U62-0)),0))</f>
        <v/>
      </c>
      <c r="W62" s="457">
        <f>IF($AO62&lt;&gt;"OK",0,IF(AND(DATE('Thiết lập'!$B$4,2,1)&gt;=DATE(YEAR($H62),MONTH($H62),1),DATE('Thiết lập'!$B$4,2,1)&lt;EDATE(DATE(YEAR($H62),MONTH($H62),1),$O62)),MIN($P62,MAX(0,$N62-$U62-SUM($V62:V62))),0))</f>
        <v/>
      </c>
      <c r="X62" s="457">
        <f>IF($AO62&lt;&gt;"OK",0,IF(AND(DATE('Thiết lập'!$B$4,3,1)&gt;=DATE(YEAR($H62),MONTH($H62),1),DATE('Thiết lập'!$B$4,3,1)&lt;EDATE(DATE(YEAR($H62),MONTH($H62),1),$O62)),MIN($P62,MAX(0,$N62-$U62-SUM($V62:W62))),0))</f>
        <v/>
      </c>
      <c r="Y62" s="457">
        <f>IF($AO62&lt;&gt;"OK",0,IF(AND(DATE('Thiết lập'!$B$4,4,1)&gt;=DATE(YEAR($H62),MONTH($H62),1),DATE('Thiết lập'!$B$4,4,1)&lt;EDATE(DATE(YEAR($H62),MONTH($H62),1),$O62)),MIN($P62,MAX(0,$N62-$U62-SUM($V62:X62))),0))</f>
        <v/>
      </c>
      <c r="Z62" s="457">
        <f>IF($AO62&lt;&gt;"OK",0,IF(AND(DATE('Thiết lập'!$B$4,5,1)&gt;=DATE(YEAR($H62),MONTH($H62),1),DATE('Thiết lập'!$B$4,5,1)&lt;EDATE(DATE(YEAR($H62),MONTH($H62),1),$O62)),MIN($P62,MAX(0,$N62-$U62-SUM($V62:Y62))),0))</f>
        <v/>
      </c>
      <c r="AA62" s="457">
        <f>IF($AO62&lt;&gt;"OK",0,IF(AND(DATE('Thiết lập'!$B$4,6,1)&gt;=DATE(YEAR($H62),MONTH($H62),1),DATE('Thiết lập'!$B$4,6,1)&lt;EDATE(DATE(YEAR($H62),MONTH($H62),1),$O62)),MIN($P62,MAX(0,$N62-$U62-SUM($V62:Z62))),0))</f>
        <v/>
      </c>
      <c r="AB62" s="457">
        <f>IF($AO62&lt;&gt;"OK",0,IF(AND(DATE('Thiết lập'!$B$4,7,1)&gt;=DATE(YEAR($H62),MONTH($H62),1),DATE('Thiết lập'!$B$4,7,1)&lt;EDATE(DATE(YEAR($H62),MONTH($H62),1),$O62)),MIN($P62,MAX(0,$N62-$U62-SUM($V62:AA62))),0))</f>
        <v/>
      </c>
      <c r="AC62" s="457">
        <f>IF($AO62&lt;&gt;"OK",0,IF(AND(DATE('Thiết lập'!$B$4,8,1)&gt;=DATE(YEAR($H62),MONTH($H62),1),DATE('Thiết lập'!$B$4,8,1)&lt;EDATE(DATE(YEAR($H62),MONTH($H62),1),$O62)),MIN($P62,MAX(0,$N62-$U62-SUM($V62:AB62))),0))</f>
        <v/>
      </c>
      <c r="AD62" s="457">
        <f>IF($AO62&lt;&gt;"OK",0,IF(AND(DATE('Thiết lập'!$B$4,9,1)&gt;=DATE(YEAR($H62),MONTH($H62),1),DATE('Thiết lập'!$B$4,9,1)&lt;EDATE(DATE(YEAR($H62),MONTH($H62),1),$O62)),MIN($P62,MAX(0,$N62-$U62-SUM($V62:AC62))),0))</f>
        <v/>
      </c>
      <c r="AE62" s="457">
        <f>IF($AO62&lt;&gt;"OK",0,IF(AND(DATE('Thiết lập'!$B$4,10,1)&gt;=DATE(YEAR($H62),MONTH($H62),1),DATE('Thiết lập'!$B$4,10,1)&lt;EDATE(DATE(YEAR($H62),MONTH($H62),1),$O62)),MIN($P62,MAX(0,$N62-$U62-SUM($V62:AD62))),0))</f>
        <v/>
      </c>
      <c r="AF62" s="457">
        <f>IF($AO62&lt;&gt;"OK",0,IF(AND(DATE('Thiết lập'!$B$4,11,1)&gt;=DATE(YEAR($H62),MONTH($H62),1),DATE('Thiết lập'!$B$4,11,1)&lt;EDATE(DATE(YEAR($H62),MONTH($H62),1),$O62)),MIN($P62,MAX(0,$N62-$U62-SUM($V62:AE62))),0))</f>
        <v/>
      </c>
      <c r="AG62" s="457">
        <f>IF($AO62&lt;&gt;"OK",0,IF(AND(DATE('Thiết lập'!$B$4,12,1)&gt;=DATE(YEAR($H62),MONTH($H62),1),DATE('Thiết lập'!$B$4,12,1)&lt;EDATE(DATE(YEAR($H62),MONTH($H62),1),$O62)),MIN($P62,MAX(0,$N62-$U62-SUM($V62:AF62))),0))</f>
        <v/>
      </c>
      <c r="AH62" s="457">
        <f>IF(B62="","",SUM(V62:AG62))</f>
        <v/>
      </c>
      <c r="AI62" s="457">
        <f>IF(B62="","",MIN(N62,IF(U62="",0,U62)+AH62))</f>
        <v/>
      </c>
      <c r="AJ62" s="457">
        <f>IF(B62="","",MAX(0,L62-AI62))</f>
        <v/>
      </c>
      <c r="AK62" s="337">
        <f>IF(B62="","",IF(H62&gt;'Thiết lập'!$B$5,"Chưa khấu hao",IF(AJ62&lt;=IF(M62="",0,M62),"Đã hết khấu hao","Đang khấu hao")))</f>
        <v/>
      </c>
      <c r="AL62" s="275" t="n"/>
      <c r="AM62" s="275" t="n"/>
      <c r="AN62" s="275" t="n"/>
      <c r="AO62" s="343">
        <f>IF(B62="","",IF(COUNTIF($B$7:$B$306,B62)&gt;1,"Trùng mã TSCĐ",IF(C62="","Thiếu tên TSCĐ",IF(H62="","Thiếu ngày bắt đầu",IF(OR(I62&lt;=0,L62&lt;=0,O62&lt;=0),"Kiểm tra số lượng/nguyên giá/thời gian",IF(AND(G62&lt;&gt;"",H62&lt;G62),"Ngày KH trước ngày ghi tăng",IF(M62&gt;L62,"Giá trị thu hồi vượt nguyên giá",IF(IF(U62="",0,U62)&gt;N62,"Lũy kế đầu năm vượt GTKH","OK"))))))))</f>
        <v/>
      </c>
    </row>
    <row r="63" ht="20" customHeight="1" s="389">
      <c r="A63" s="325">
        <f>IF(B63="","",ROW()-6)</f>
        <v/>
      </c>
      <c r="B63" s="275" t="n"/>
      <c r="C63" s="275" t="n"/>
      <c r="D63" s="331" t="n"/>
      <c r="E63" s="331" t="n"/>
      <c r="F63" s="454" t="n"/>
      <c r="G63" s="454" t="n"/>
      <c r="H63" s="454" t="n"/>
      <c r="I63" s="455" t="n"/>
      <c r="J63" s="456" t="n"/>
      <c r="K63" s="456" t="n"/>
      <c r="L63" s="457">
        <f>IF(B63="","",IF(OR(I63="",J63=""),"",I63*J63+IF(K63="",0,K63)))</f>
        <v/>
      </c>
      <c r="M63" s="456" t="n"/>
      <c r="N63" s="457">
        <f>IF(L63="","",MAX(0,L63-IF(M63="",0,M63)))</f>
        <v/>
      </c>
      <c r="O63" s="455" t="n"/>
      <c r="P63" s="457">
        <f>IF(OR(N63="",O63&lt;=0),"",ROUND(N63/O63,0))</f>
        <v/>
      </c>
      <c r="Q63" s="458">
        <f>IF(OR(H63="",O63&lt;=0),"",EOMONTH(H63,O63-1))</f>
        <v/>
      </c>
      <c r="R63" s="331" t="n"/>
      <c r="S63" s="331" t="n"/>
      <c r="T63" s="331" t="n"/>
      <c r="U63" s="456" t="n"/>
      <c r="V63" s="457">
        <f>IF($AO63&lt;&gt;"OK",0,IF(AND(DATE('Thiết lập'!$B$4,1,1)&gt;=DATE(YEAR($H63),MONTH($H63),1),DATE('Thiết lập'!$B$4,1,1)&lt;EDATE(DATE(YEAR($H63),MONTH($H63),1),$O63)),MIN($P63,MAX(0,$N63-$U63-0)),0))</f>
        <v/>
      </c>
      <c r="W63" s="457">
        <f>IF($AO63&lt;&gt;"OK",0,IF(AND(DATE('Thiết lập'!$B$4,2,1)&gt;=DATE(YEAR($H63),MONTH($H63),1),DATE('Thiết lập'!$B$4,2,1)&lt;EDATE(DATE(YEAR($H63),MONTH($H63),1),$O63)),MIN($P63,MAX(0,$N63-$U63-SUM($V63:V63))),0))</f>
        <v/>
      </c>
      <c r="X63" s="457">
        <f>IF($AO63&lt;&gt;"OK",0,IF(AND(DATE('Thiết lập'!$B$4,3,1)&gt;=DATE(YEAR($H63),MONTH($H63),1),DATE('Thiết lập'!$B$4,3,1)&lt;EDATE(DATE(YEAR($H63),MONTH($H63),1),$O63)),MIN($P63,MAX(0,$N63-$U63-SUM($V63:W63))),0))</f>
        <v/>
      </c>
      <c r="Y63" s="457">
        <f>IF($AO63&lt;&gt;"OK",0,IF(AND(DATE('Thiết lập'!$B$4,4,1)&gt;=DATE(YEAR($H63),MONTH($H63),1),DATE('Thiết lập'!$B$4,4,1)&lt;EDATE(DATE(YEAR($H63),MONTH($H63),1),$O63)),MIN($P63,MAX(0,$N63-$U63-SUM($V63:X63))),0))</f>
        <v/>
      </c>
      <c r="Z63" s="457">
        <f>IF($AO63&lt;&gt;"OK",0,IF(AND(DATE('Thiết lập'!$B$4,5,1)&gt;=DATE(YEAR($H63),MONTH($H63),1),DATE('Thiết lập'!$B$4,5,1)&lt;EDATE(DATE(YEAR($H63),MONTH($H63),1),$O63)),MIN($P63,MAX(0,$N63-$U63-SUM($V63:Y63))),0))</f>
        <v/>
      </c>
      <c r="AA63" s="457">
        <f>IF($AO63&lt;&gt;"OK",0,IF(AND(DATE('Thiết lập'!$B$4,6,1)&gt;=DATE(YEAR($H63),MONTH($H63),1),DATE('Thiết lập'!$B$4,6,1)&lt;EDATE(DATE(YEAR($H63),MONTH($H63),1),$O63)),MIN($P63,MAX(0,$N63-$U63-SUM($V63:Z63))),0))</f>
        <v/>
      </c>
      <c r="AB63" s="457">
        <f>IF($AO63&lt;&gt;"OK",0,IF(AND(DATE('Thiết lập'!$B$4,7,1)&gt;=DATE(YEAR($H63),MONTH($H63),1),DATE('Thiết lập'!$B$4,7,1)&lt;EDATE(DATE(YEAR($H63),MONTH($H63),1),$O63)),MIN($P63,MAX(0,$N63-$U63-SUM($V63:AA63))),0))</f>
        <v/>
      </c>
      <c r="AC63" s="457">
        <f>IF($AO63&lt;&gt;"OK",0,IF(AND(DATE('Thiết lập'!$B$4,8,1)&gt;=DATE(YEAR($H63),MONTH($H63),1),DATE('Thiết lập'!$B$4,8,1)&lt;EDATE(DATE(YEAR($H63),MONTH($H63),1),$O63)),MIN($P63,MAX(0,$N63-$U63-SUM($V63:AB63))),0))</f>
        <v/>
      </c>
      <c r="AD63" s="457">
        <f>IF($AO63&lt;&gt;"OK",0,IF(AND(DATE('Thiết lập'!$B$4,9,1)&gt;=DATE(YEAR($H63),MONTH($H63),1),DATE('Thiết lập'!$B$4,9,1)&lt;EDATE(DATE(YEAR($H63),MONTH($H63),1),$O63)),MIN($P63,MAX(0,$N63-$U63-SUM($V63:AC63))),0))</f>
        <v/>
      </c>
      <c r="AE63" s="457">
        <f>IF($AO63&lt;&gt;"OK",0,IF(AND(DATE('Thiết lập'!$B$4,10,1)&gt;=DATE(YEAR($H63),MONTH($H63),1),DATE('Thiết lập'!$B$4,10,1)&lt;EDATE(DATE(YEAR($H63),MONTH($H63),1),$O63)),MIN($P63,MAX(0,$N63-$U63-SUM($V63:AD63))),0))</f>
        <v/>
      </c>
      <c r="AF63" s="457">
        <f>IF($AO63&lt;&gt;"OK",0,IF(AND(DATE('Thiết lập'!$B$4,11,1)&gt;=DATE(YEAR($H63),MONTH($H63),1),DATE('Thiết lập'!$B$4,11,1)&lt;EDATE(DATE(YEAR($H63),MONTH($H63),1),$O63)),MIN($P63,MAX(0,$N63-$U63-SUM($V63:AE63))),0))</f>
        <v/>
      </c>
      <c r="AG63" s="457">
        <f>IF($AO63&lt;&gt;"OK",0,IF(AND(DATE('Thiết lập'!$B$4,12,1)&gt;=DATE(YEAR($H63),MONTH($H63),1),DATE('Thiết lập'!$B$4,12,1)&lt;EDATE(DATE(YEAR($H63),MONTH($H63),1),$O63)),MIN($P63,MAX(0,$N63-$U63-SUM($V63:AF63))),0))</f>
        <v/>
      </c>
      <c r="AH63" s="457">
        <f>IF(B63="","",SUM(V63:AG63))</f>
        <v/>
      </c>
      <c r="AI63" s="457">
        <f>IF(B63="","",MIN(N63,IF(U63="",0,U63)+AH63))</f>
        <v/>
      </c>
      <c r="AJ63" s="457">
        <f>IF(B63="","",MAX(0,L63-AI63))</f>
        <v/>
      </c>
      <c r="AK63" s="337">
        <f>IF(B63="","",IF(H63&gt;'Thiết lập'!$B$5,"Chưa khấu hao",IF(AJ63&lt;=IF(M63="",0,M63),"Đã hết khấu hao","Đang khấu hao")))</f>
        <v/>
      </c>
      <c r="AL63" s="275" t="n"/>
      <c r="AM63" s="275" t="n"/>
      <c r="AN63" s="275" t="n"/>
      <c r="AO63" s="343">
        <f>IF(B63="","",IF(COUNTIF($B$7:$B$306,B63)&gt;1,"Trùng mã TSCĐ",IF(C63="","Thiếu tên TSCĐ",IF(H63="","Thiếu ngày bắt đầu",IF(OR(I63&lt;=0,L63&lt;=0,O63&lt;=0),"Kiểm tra số lượng/nguyên giá/thời gian",IF(AND(G63&lt;&gt;"",H63&lt;G63),"Ngày KH trước ngày ghi tăng",IF(M63&gt;L63,"Giá trị thu hồi vượt nguyên giá",IF(IF(U63="",0,U63)&gt;N63,"Lũy kế đầu năm vượt GTKH","OK"))))))))</f>
        <v/>
      </c>
    </row>
    <row r="64" ht="20" customHeight="1" s="389">
      <c r="A64" s="325">
        <f>IF(B64="","",ROW()-6)</f>
        <v/>
      </c>
      <c r="B64" s="275" t="n"/>
      <c r="C64" s="275" t="n"/>
      <c r="D64" s="331" t="n"/>
      <c r="E64" s="331" t="n"/>
      <c r="F64" s="454" t="n"/>
      <c r="G64" s="454" t="n"/>
      <c r="H64" s="454" t="n"/>
      <c r="I64" s="455" t="n"/>
      <c r="J64" s="456" t="n"/>
      <c r="K64" s="456" t="n"/>
      <c r="L64" s="457">
        <f>IF(B64="","",IF(OR(I64="",J64=""),"",I64*J64+IF(K64="",0,K64)))</f>
        <v/>
      </c>
      <c r="M64" s="456" t="n"/>
      <c r="N64" s="457">
        <f>IF(L64="","",MAX(0,L64-IF(M64="",0,M64)))</f>
        <v/>
      </c>
      <c r="O64" s="455" t="n"/>
      <c r="P64" s="457">
        <f>IF(OR(N64="",O64&lt;=0),"",ROUND(N64/O64,0))</f>
        <v/>
      </c>
      <c r="Q64" s="458">
        <f>IF(OR(H64="",O64&lt;=0),"",EOMONTH(H64,O64-1))</f>
        <v/>
      </c>
      <c r="R64" s="331" t="n"/>
      <c r="S64" s="331" t="n"/>
      <c r="T64" s="331" t="n"/>
      <c r="U64" s="456" t="n"/>
      <c r="V64" s="457">
        <f>IF($AO64&lt;&gt;"OK",0,IF(AND(DATE('Thiết lập'!$B$4,1,1)&gt;=DATE(YEAR($H64),MONTH($H64),1),DATE('Thiết lập'!$B$4,1,1)&lt;EDATE(DATE(YEAR($H64),MONTH($H64),1),$O64)),MIN($P64,MAX(0,$N64-$U64-0)),0))</f>
        <v/>
      </c>
      <c r="W64" s="457">
        <f>IF($AO64&lt;&gt;"OK",0,IF(AND(DATE('Thiết lập'!$B$4,2,1)&gt;=DATE(YEAR($H64),MONTH($H64),1),DATE('Thiết lập'!$B$4,2,1)&lt;EDATE(DATE(YEAR($H64),MONTH($H64),1),$O64)),MIN($P64,MAX(0,$N64-$U64-SUM($V64:V64))),0))</f>
        <v/>
      </c>
      <c r="X64" s="457">
        <f>IF($AO64&lt;&gt;"OK",0,IF(AND(DATE('Thiết lập'!$B$4,3,1)&gt;=DATE(YEAR($H64),MONTH($H64),1),DATE('Thiết lập'!$B$4,3,1)&lt;EDATE(DATE(YEAR($H64),MONTH($H64),1),$O64)),MIN($P64,MAX(0,$N64-$U64-SUM($V64:W64))),0))</f>
        <v/>
      </c>
      <c r="Y64" s="457">
        <f>IF($AO64&lt;&gt;"OK",0,IF(AND(DATE('Thiết lập'!$B$4,4,1)&gt;=DATE(YEAR($H64),MONTH($H64),1),DATE('Thiết lập'!$B$4,4,1)&lt;EDATE(DATE(YEAR($H64),MONTH($H64),1),$O64)),MIN($P64,MAX(0,$N64-$U64-SUM($V64:X64))),0))</f>
        <v/>
      </c>
      <c r="Z64" s="457">
        <f>IF($AO64&lt;&gt;"OK",0,IF(AND(DATE('Thiết lập'!$B$4,5,1)&gt;=DATE(YEAR($H64),MONTH($H64),1),DATE('Thiết lập'!$B$4,5,1)&lt;EDATE(DATE(YEAR($H64),MONTH($H64),1),$O64)),MIN($P64,MAX(0,$N64-$U64-SUM($V64:Y64))),0))</f>
        <v/>
      </c>
      <c r="AA64" s="457">
        <f>IF($AO64&lt;&gt;"OK",0,IF(AND(DATE('Thiết lập'!$B$4,6,1)&gt;=DATE(YEAR($H64),MONTH($H64),1),DATE('Thiết lập'!$B$4,6,1)&lt;EDATE(DATE(YEAR($H64),MONTH($H64),1),$O64)),MIN($P64,MAX(0,$N64-$U64-SUM($V64:Z64))),0))</f>
        <v/>
      </c>
      <c r="AB64" s="457">
        <f>IF($AO64&lt;&gt;"OK",0,IF(AND(DATE('Thiết lập'!$B$4,7,1)&gt;=DATE(YEAR($H64),MONTH($H64),1),DATE('Thiết lập'!$B$4,7,1)&lt;EDATE(DATE(YEAR($H64),MONTH($H64),1),$O64)),MIN($P64,MAX(0,$N64-$U64-SUM($V64:AA64))),0))</f>
        <v/>
      </c>
      <c r="AC64" s="457">
        <f>IF($AO64&lt;&gt;"OK",0,IF(AND(DATE('Thiết lập'!$B$4,8,1)&gt;=DATE(YEAR($H64),MONTH($H64),1),DATE('Thiết lập'!$B$4,8,1)&lt;EDATE(DATE(YEAR($H64),MONTH($H64),1),$O64)),MIN($P64,MAX(0,$N64-$U64-SUM($V64:AB64))),0))</f>
        <v/>
      </c>
      <c r="AD64" s="457">
        <f>IF($AO64&lt;&gt;"OK",0,IF(AND(DATE('Thiết lập'!$B$4,9,1)&gt;=DATE(YEAR($H64),MONTH($H64),1),DATE('Thiết lập'!$B$4,9,1)&lt;EDATE(DATE(YEAR($H64),MONTH($H64),1),$O64)),MIN($P64,MAX(0,$N64-$U64-SUM($V64:AC64))),0))</f>
        <v/>
      </c>
      <c r="AE64" s="457">
        <f>IF($AO64&lt;&gt;"OK",0,IF(AND(DATE('Thiết lập'!$B$4,10,1)&gt;=DATE(YEAR($H64),MONTH($H64),1),DATE('Thiết lập'!$B$4,10,1)&lt;EDATE(DATE(YEAR($H64),MONTH($H64),1),$O64)),MIN($P64,MAX(0,$N64-$U64-SUM($V64:AD64))),0))</f>
        <v/>
      </c>
      <c r="AF64" s="457">
        <f>IF($AO64&lt;&gt;"OK",0,IF(AND(DATE('Thiết lập'!$B$4,11,1)&gt;=DATE(YEAR($H64),MONTH($H64),1),DATE('Thiết lập'!$B$4,11,1)&lt;EDATE(DATE(YEAR($H64),MONTH($H64),1),$O64)),MIN($P64,MAX(0,$N64-$U64-SUM($V64:AE64))),0))</f>
        <v/>
      </c>
      <c r="AG64" s="457">
        <f>IF($AO64&lt;&gt;"OK",0,IF(AND(DATE('Thiết lập'!$B$4,12,1)&gt;=DATE(YEAR($H64),MONTH($H64),1),DATE('Thiết lập'!$B$4,12,1)&lt;EDATE(DATE(YEAR($H64),MONTH($H64),1),$O64)),MIN($P64,MAX(0,$N64-$U64-SUM($V64:AF64))),0))</f>
        <v/>
      </c>
      <c r="AH64" s="457">
        <f>IF(B64="","",SUM(V64:AG64))</f>
        <v/>
      </c>
      <c r="AI64" s="457">
        <f>IF(B64="","",MIN(N64,IF(U64="",0,U64)+AH64))</f>
        <v/>
      </c>
      <c r="AJ64" s="457">
        <f>IF(B64="","",MAX(0,L64-AI64))</f>
        <v/>
      </c>
      <c r="AK64" s="337">
        <f>IF(B64="","",IF(H64&gt;'Thiết lập'!$B$5,"Chưa khấu hao",IF(AJ64&lt;=IF(M64="",0,M64),"Đã hết khấu hao","Đang khấu hao")))</f>
        <v/>
      </c>
      <c r="AL64" s="275" t="n"/>
      <c r="AM64" s="275" t="n"/>
      <c r="AN64" s="275" t="n"/>
      <c r="AO64" s="343">
        <f>IF(B64="","",IF(COUNTIF($B$7:$B$306,B64)&gt;1,"Trùng mã TSCĐ",IF(C64="","Thiếu tên TSCĐ",IF(H64="","Thiếu ngày bắt đầu",IF(OR(I64&lt;=0,L64&lt;=0,O64&lt;=0),"Kiểm tra số lượng/nguyên giá/thời gian",IF(AND(G64&lt;&gt;"",H64&lt;G64),"Ngày KH trước ngày ghi tăng",IF(M64&gt;L64,"Giá trị thu hồi vượt nguyên giá",IF(IF(U64="",0,U64)&gt;N64,"Lũy kế đầu năm vượt GTKH","OK"))))))))</f>
        <v/>
      </c>
    </row>
    <row r="65" ht="20" customHeight="1" s="389">
      <c r="A65" s="325">
        <f>IF(B65="","",ROW()-6)</f>
        <v/>
      </c>
      <c r="B65" s="275" t="n"/>
      <c r="C65" s="275" t="n"/>
      <c r="D65" s="331" t="n"/>
      <c r="E65" s="331" t="n"/>
      <c r="F65" s="454" t="n"/>
      <c r="G65" s="454" t="n"/>
      <c r="H65" s="454" t="n"/>
      <c r="I65" s="455" t="n"/>
      <c r="J65" s="456" t="n"/>
      <c r="K65" s="456" t="n"/>
      <c r="L65" s="457">
        <f>IF(B65="","",IF(OR(I65="",J65=""),"",I65*J65+IF(K65="",0,K65)))</f>
        <v/>
      </c>
      <c r="M65" s="456" t="n"/>
      <c r="N65" s="457">
        <f>IF(L65="","",MAX(0,L65-IF(M65="",0,M65)))</f>
        <v/>
      </c>
      <c r="O65" s="455" t="n"/>
      <c r="P65" s="457">
        <f>IF(OR(N65="",O65&lt;=0),"",ROUND(N65/O65,0))</f>
        <v/>
      </c>
      <c r="Q65" s="458">
        <f>IF(OR(H65="",O65&lt;=0),"",EOMONTH(H65,O65-1))</f>
        <v/>
      </c>
      <c r="R65" s="331" t="n"/>
      <c r="S65" s="331" t="n"/>
      <c r="T65" s="331" t="n"/>
      <c r="U65" s="456" t="n"/>
      <c r="V65" s="457">
        <f>IF($AO65&lt;&gt;"OK",0,IF(AND(DATE('Thiết lập'!$B$4,1,1)&gt;=DATE(YEAR($H65),MONTH($H65),1),DATE('Thiết lập'!$B$4,1,1)&lt;EDATE(DATE(YEAR($H65),MONTH($H65),1),$O65)),MIN($P65,MAX(0,$N65-$U65-0)),0))</f>
        <v/>
      </c>
      <c r="W65" s="457">
        <f>IF($AO65&lt;&gt;"OK",0,IF(AND(DATE('Thiết lập'!$B$4,2,1)&gt;=DATE(YEAR($H65),MONTH($H65),1),DATE('Thiết lập'!$B$4,2,1)&lt;EDATE(DATE(YEAR($H65),MONTH($H65),1),$O65)),MIN($P65,MAX(0,$N65-$U65-SUM($V65:V65))),0))</f>
        <v/>
      </c>
      <c r="X65" s="457">
        <f>IF($AO65&lt;&gt;"OK",0,IF(AND(DATE('Thiết lập'!$B$4,3,1)&gt;=DATE(YEAR($H65),MONTH($H65),1),DATE('Thiết lập'!$B$4,3,1)&lt;EDATE(DATE(YEAR($H65),MONTH($H65),1),$O65)),MIN($P65,MAX(0,$N65-$U65-SUM($V65:W65))),0))</f>
        <v/>
      </c>
      <c r="Y65" s="457">
        <f>IF($AO65&lt;&gt;"OK",0,IF(AND(DATE('Thiết lập'!$B$4,4,1)&gt;=DATE(YEAR($H65),MONTH($H65),1),DATE('Thiết lập'!$B$4,4,1)&lt;EDATE(DATE(YEAR($H65),MONTH($H65),1),$O65)),MIN($P65,MAX(0,$N65-$U65-SUM($V65:X65))),0))</f>
        <v/>
      </c>
      <c r="Z65" s="457">
        <f>IF($AO65&lt;&gt;"OK",0,IF(AND(DATE('Thiết lập'!$B$4,5,1)&gt;=DATE(YEAR($H65),MONTH($H65),1),DATE('Thiết lập'!$B$4,5,1)&lt;EDATE(DATE(YEAR($H65),MONTH($H65),1),$O65)),MIN($P65,MAX(0,$N65-$U65-SUM($V65:Y65))),0))</f>
        <v/>
      </c>
      <c r="AA65" s="457">
        <f>IF($AO65&lt;&gt;"OK",0,IF(AND(DATE('Thiết lập'!$B$4,6,1)&gt;=DATE(YEAR($H65),MONTH($H65),1),DATE('Thiết lập'!$B$4,6,1)&lt;EDATE(DATE(YEAR($H65),MONTH($H65),1),$O65)),MIN($P65,MAX(0,$N65-$U65-SUM($V65:Z65))),0))</f>
        <v/>
      </c>
      <c r="AB65" s="457">
        <f>IF($AO65&lt;&gt;"OK",0,IF(AND(DATE('Thiết lập'!$B$4,7,1)&gt;=DATE(YEAR($H65),MONTH($H65),1),DATE('Thiết lập'!$B$4,7,1)&lt;EDATE(DATE(YEAR($H65),MONTH($H65),1),$O65)),MIN($P65,MAX(0,$N65-$U65-SUM($V65:AA65))),0))</f>
        <v/>
      </c>
      <c r="AC65" s="457">
        <f>IF($AO65&lt;&gt;"OK",0,IF(AND(DATE('Thiết lập'!$B$4,8,1)&gt;=DATE(YEAR($H65),MONTH($H65),1),DATE('Thiết lập'!$B$4,8,1)&lt;EDATE(DATE(YEAR($H65),MONTH($H65),1),$O65)),MIN($P65,MAX(0,$N65-$U65-SUM($V65:AB65))),0))</f>
        <v/>
      </c>
      <c r="AD65" s="457">
        <f>IF($AO65&lt;&gt;"OK",0,IF(AND(DATE('Thiết lập'!$B$4,9,1)&gt;=DATE(YEAR($H65),MONTH($H65),1),DATE('Thiết lập'!$B$4,9,1)&lt;EDATE(DATE(YEAR($H65),MONTH($H65),1),$O65)),MIN($P65,MAX(0,$N65-$U65-SUM($V65:AC65))),0))</f>
        <v/>
      </c>
      <c r="AE65" s="457">
        <f>IF($AO65&lt;&gt;"OK",0,IF(AND(DATE('Thiết lập'!$B$4,10,1)&gt;=DATE(YEAR($H65),MONTH($H65),1),DATE('Thiết lập'!$B$4,10,1)&lt;EDATE(DATE(YEAR($H65),MONTH($H65),1),$O65)),MIN($P65,MAX(0,$N65-$U65-SUM($V65:AD65))),0))</f>
        <v/>
      </c>
      <c r="AF65" s="457">
        <f>IF($AO65&lt;&gt;"OK",0,IF(AND(DATE('Thiết lập'!$B$4,11,1)&gt;=DATE(YEAR($H65),MONTH($H65),1),DATE('Thiết lập'!$B$4,11,1)&lt;EDATE(DATE(YEAR($H65),MONTH($H65),1),$O65)),MIN($P65,MAX(0,$N65-$U65-SUM($V65:AE65))),0))</f>
        <v/>
      </c>
      <c r="AG65" s="457">
        <f>IF($AO65&lt;&gt;"OK",0,IF(AND(DATE('Thiết lập'!$B$4,12,1)&gt;=DATE(YEAR($H65),MONTH($H65),1),DATE('Thiết lập'!$B$4,12,1)&lt;EDATE(DATE(YEAR($H65),MONTH($H65),1),$O65)),MIN($P65,MAX(0,$N65-$U65-SUM($V65:AF65))),0))</f>
        <v/>
      </c>
      <c r="AH65" s="457">
        <f>IF(B65="","",SUM(V65:AG65))</f>
        <v/>
      </c>
      <c r="AI65" s="457">
        <f>IF(B65="","",MIN(N65,IF(U65="",0,U65)+AH65))</f>
        <v/>
      </c>
      <c r="AJ65" s="457">
        <f>IF(B65="","",MAX(0,L65-AI65))</f>
        <v/>
      </c>
      <c r="AK65" s="337">
        <f>IF(B65="","",IF(H65&gt;'Thiết lập'!$B$5,"Chưa khấu hao",IF(AJ65&lt;=IF(M65="",0,M65),"Đã hết khấu hao","Đang khấu hao")))</f>
        <v/>
      </c>
      <c r="AL65" s="275" t="n"/>
      <c r="AM65" s="275" t="n"/>
      <c r="AN65" s="275" t="n"/>
      <c r="AO65" s="343">
        <f>IF(B65="","",IF(COUNTIF($B$7:$B$306,B65)&gt;1,"Trùng mã TSCĐ",IF(C65="","Thiếu tên TSCĐ",IF(H65="","Thiếu ngày bắt đầu",IF(OR(I65&lt;=0,L65&lt;=0,O65&lt;=0),"Kiểm tra số lượng/nguyên giá/thời gian",IF(AND(G65&lt;&gt;"",H65&lt;G65),"Ngày KH trước ngày ghi tăng",IF(M65&gt;L65,"Giá trị thu hồi vượt nguyên giá",IF(IF(U65="",0,U65)&gt;N65,"Lũy kế đầu năm vượt GTKH","OK"))))))))</f>
        <v/>
      </c>
    </row>
    <row r="66" ht="20" customHeight="1" s="389">
      <c r="A66" s="325">
        <f>IF(B66="","",ROW()-6)</f>
        <v/>
      </c>
      <c r="B66" s="275" t="n"/>
      <c r="C66" s="275" t="n"/>
      <c r="D66" s="331" t="n"/>
      <c r="E66" s="331" t="n"/>
      <c r="F66" s="454" t="n"/>
      <c r="G66" s="454" t="n"/>
      <c r="H66" s="454" t="n"/>
      <c r="I66" s="455" t="n"/>
      <c r="J66" s="456" t="n"/>
      <c r="K66" s="456" t="n"/>
      <c r="L66" s="457">
        <f>IF(B66="","",IF(OR(I66="",J66=""),"",I66*J66+IF(K66="",0,K66)))</f>
        <v/>
      </c>
      <c r="M66" s="456" t="n"/>
      <c r="N66" s="457">
        <f>IF(L66="","",MAX(0,L66-IF(M66="",0,M66)))</f>
        <v/>
      </c>
      <c r="O66" s="455" t="n"/>
      <c r="P66" s="457">
        <f>IF(OR(N66="",O66&lt;=0),"",ROUND(N66/O66,0))</f>
        <v/>
      </c>
      <c r="Q66" s="458">
        <f>IF(OR(H66="",O66&lt;=0),"",EOMONTH(H66,O66-1))</f>
        <v/>
      </c>
      <c r="R66" s="331" t="n"/>
      <c r="S66" s="331" t="n"/>
      <c r="T66" s="331" t="n"/>
      <c r="U66" s="456" t="n"/>
      <c r="V66" s="457">
        <f>IF($AO66&lt;&gt;"OK",0,IF(AND(DATE('Thiết lập'!$B$4,1,1)&gt;=DATE(YEAR($H66),MONTH($H66),1),DATE('Thiết lập'!$B$4,1,1)&lt;EDATE(DATE(YEAR($H66),MONTH($H66),1),$O66)),MIN($P66,MAX(0,$N66-$U66-0)),0))</f>
        <v/>
      </c>
      <c r="W66" s="457">
        <f>IF($AO66&lt;&gt;"OK",0,IF(AND(DATE('Thiết lập'!$B$4,2,1)&gt;=DATE(YEAR($H66),MONTH($H66),1),DATE('Thiết lập'!$B$4,2,1)&lt;EDATE(DATE(YEAR($H66),MONTH($H66),1),$O66)),MIN($P66,MAX(0,$N66-$U66-SUM($V66:V66))),0))</f>
        <v/>
      </c>
      <c r="X66" s="457">
        <f>IF($AO66&lt;&gt;"OK",0,IF(AND(DATE('Thiết lập'!$B$4,3,1)&gt;=DATE(YEAR($H66),MONTH($H66),1),DATE('Thiết lập'!$B$4,3,1)&lt;EDATE(DATE(YEAR($H66),MONTH($H66),1),$O66)),MIN($P66,MAX(0,$N66-$U66-SUM($V66:W66))),0))</f>
        <v/>
      </c>
      <c r="Y66" s="457">
        <f>IF($AO66&lt;&gt;"OK",0,IF(AND(DATE('Thiết lập'!$B$4,4,1)&gt;=DATE(YEAR($H66),MONTH($H66),1),DATE('Thiết lập'!$B$4,4,1)&lt;EDATE(DATE(YEAR($H66),MONTH($H66),1),$O66)),MIN($P66,MAX(0,$N66-$U66-SUM($V66:X66))),0))</f>
        <v/>
      </c>
      <c r="Z66" s="457">
        <f>IF($AO66&lt;&gt;"OK",0,IF(AND(DATE('Thiết lập'!$B$4,5,1)&gt;=DATE(YEAR($H66),MONTH($H66),1),DATE('Thiết lập'!$B$4,5,1)&lt;EDATE(DATE(YEAR($H66),MONTH($H66),1),$O66)),MIN($P66,MAX(0,$N66-$U66-SUM($V66:Y66))),0))</f>
        <v/>
      </c>
      <c r="AA66" s="457">
        <f>IF($AO66&lt;&gt;"OK",0,IF(AND(DATE('Thiết lập'!$B$4,6,1)&gt;=DATE(YEAR($H66),MONTH($H66),1),DATE('Thiết lập'!$B$4,6,1)&lt;EDATE(DATE(YEAR($H66),MONTH($H66),1),$O66)),MIN($P66,MAX(0,$N66-$U66-SUM($V66:Z66))),0))</f>
        <v/>
      </c>
      <c r="AB66" s="457">
        <f>IF($AO66&lt;&gt;"OK",0,IF(AND(DATE('Thiết lập'!$B$4,7,1)&gt;=DATE(YEAR($H66),MONTH($H66),1),DATE('Thiết lập'!$B$4,7,1)&lt;EDATE(DATE(YEAR($H66),MONTH($H66),1),$O66)),MIN($P66,MAX(0,$N66-$U66-SUM($V66:AA66))),0))</f>
        <v/>
      </c>
      <c r="AC66" s="457">
        <f>IF($AO66&lt;&gt;"OK",0,IF(AND(DATE('Thiết lập'!$B$4,8,1)&gt;=DATE(YEAR($H66),MONTH($H66),1),DATE('Thiết lập'!$B$4,8,1)&lt;EDATE(DATE(YEAR($H66),MONTH($H66),1),$O66)),MIN($P66,MAX(0,$N66-$U66-SUM($V66:AB66))),0))</f>
        <v/>
      </c>
      <c r="AD66" s="457">
        <f>IF($AO66&lt;&gt;"OK",0,IF(AND(DATE('Thiết lập'!$B$4,9,1)&gt;=DATE(YEAR($H66),MONTH($H66),1),DATE('Thiết lập'!$B$4,9,1)&lt;EDATE(DATE(YEAR($H66),MONTH($H66),1),$O66)),MIN($P66,MAX(0,$N66-$U66-SUM($V66:AC66))),0))</f>
        <v/>
      </c>
      <c r="AE66" s="457">
        <f>IF($AO66&lt;&gt;"OK",0,IF(AND(DATE('Thiết lập'!$B$4,10,1)&gt;=DATE(YEAR($H66),MONTH($H66),1),DATE('Thiết lập'!$B$4,10,1)&lt;EDATE(DATE(YEAR($H66),MONTH($H66),1),$O66)),MIN($P66,MAX(0,$N66-$U66-SUM($V66:AD66))),0))</f>
        <v/>
      </c>
      <c r="AF66" s="457">
        <f>IF($AO66&lt;&gt;"OK",0,IF(AND(DATE('Thiết lập'!$B$4,11,1)&gt;=DATE(YEAR($H66),MONTH($H66),1),DATE('Thiết lập'!$B$4,11,1)&lt;EDATE(DATE(YEAR($H66),MONTH($H66),1),$O66)),MIN($P66,MAX(0,$N66-$U66-SUM($V66:AE66))),0))</f>
        <v/>
      </c>
      <c r="AG66" s="457">
        <f>IF($AO66&lt;&gt;"OK",0,IF(AND(DATE('Thiết lập'!$B$4,12,1)&gt;=DATE(YEAR($H66),MONTH($H66),1),DATE('Thiết lập'!$B$4,12,1)&lt;EDATE(DATE(YEAR($H66),MONTH($H66),1),$O66)),MIN($P66,MAX(0,$N66-$U66-SUM($V66:AF66))),0))</f>
        <v/>
      </c>
      <c r="AH66" s="457">
        <f>IF(B66="","",SUM(V66:AG66))</f>
        <v/>
      </c>
      <c r="AI66" s="457">
        <f>IF(B66="","",MIN(N66,IF(U66="",0,U66)+AH66))</f>
        <v/>
      </c>
      <c r="AJ66" s="457">
        <f>IF(B66="","",MAX(0,L66-AI66))</f>
        <v/>
      </c>
      <c r="AK66" s="337">
        <f>IF(B66="","",IF(H66&gt;'Thiết lập'!$B$5,"Chưa khấu hao",IF(AJ66&lt;=IF(M66="",0,M66),"Đã hết khấu hao","Đang khấu hao")))</f>
        <v/>
      </c>
      <c r="AL66" s="275" t="n"/>
      <c r="AM66" s="275" t="n"/>
      <c r="AN66" s="275" t="n"/>
      <c r="AO66" s="343">
        <f>IF(B66="","",IF(COUNTIF($B$7:$B$306,B66)&gt;1,"Trùng mã TSCĐ",IF(C66="","Thiếu tên TSCĐ",IF(H66="","Thiếu ngày bắt đầu",IF(OR(I66&lt;=0,L66&lt;=0,O66&lt;=0),"Kiểm tra số lượng/nguyên giá/thời gian",IF(AND(G66&lt;&gt;"",H66&lt;G66),"Ngày KH trước ngày ghi tăng",IF(M66&gt;L66,"Giá trị thu hồi vượt nguyên giá",IF(IF(U66="",0,U66)&gt;N66,"Lũy kế đầu năm vượt GTKH","OK"))))))))</f>
        <v/>
      </c>
    </row>
    <row r="67" ht="20" customHeight="1" s="389">
      <c r="A67" s="325">
        <f>IF(B67="","",ROW()-6)</f>
        <v/>
      </c>
      <c r="B67" s="275" t="n"/>
      <c r="C67" s="275" t="n"/>
      <c r="D67" s="331" t="n"/>
      <c r="E67" s="331" t="n"/>
      <c r="F67" s="454" t="n"/>
      <c r="G67" s="454" t="n"/>
      <c r="H67" s="454" t="n"/>
      <c r="I67" s="455" t="n"/>
      <c r="J67" s="456" t="n"/>
      <c r="K67" s="456" t="n"/>
      <c r="L67" s="457">
        <f>IF(B67="","",IF(OR(I67="",J67=""),"",I67*J67+IF(K67="",0,K67)))</f>
        <v/>
      </c>
      <c r="M67" s="456" t="n"/>
      <c r="N67" s="457">
        <f>IF(L67="","",MAX(0,L67-IF(M67="",0,M67)))</f>
        <v/>
      </c>
      <c r="O67" s="455" t="n"/>
      <c r="P67" s="457">
        <f>IF(OR(N67="",O67&lt;=0),"",ROUND(N67/O67,0))</f>
        <v/>
      </c>
      <c r="Q67" s="458">
        <f>IF(OR(H67="",O67&lt;=0),"",EOMONTH(H67,O67-1))</f>
        <v/>
      </c>
      <c r="R67" s="331" t="n"/>
      <c r="S67" s="331" t="n"/>
      <c r="T67" s="331" t="n"/>
      <c r="U67" s="456" t="n"/>
      <c r="V67" s="457">
        <f>IF($AO67&lt;&gt;"OK",0,IF(AND(DATE('Thiết lập'!$B$4,1,1)&gt;=DATE(YEAR($H67),MONTH($H67),1),DATE('Thiết lập'!$B$4,1,1)&lt;EDATE(DATE(YEAR($H67),MONTH($H67),1),$O67)),MIN($P67,MAX(0,$N67-$U67-0)),0))</f>
        <v/>
      </c>
      <c r="W67" s="457">
        <f>IF($AO67&lt;&gt;"OK",0,IF(AND(DATE('Thiết lập'!$B$4,2,1)&gt;=DATE(YEAR($H67),MONTH($H67),1),DATE('Thiết lập'!$B$4,2,1)&lt;EDATE(DATE(YEAR($H67),MONTH($H67),1),$O67)),MIN($P67,MAX(0,$N67-$U67-SUM($V67:V67))),0))</f>
        <v/>
      </c>
      <c r="X67" s="457">
        <f>IF($AO67&lt;&gt;"OK",0,IF(AND(DATE('Thiết lập'!$B$4,3,1)&gt;=DATE(YEAR($H67),MONTH($H67),1),DATE('Thiết lập'!$B$4,3,1)&lt;EDATE(DATE(YEAR($H67),MONTH($H67),1),$O67)),MIN($P67,MAX(0,$N67-$U67-SUM($V67:W67))),0))</f>
        <v/>
      </c>
      <c r="Y67" s="457">
        <f>IF($AO67&lt;&gt;"OK",0,IF(AND(DATE('Thiết lập'!$B$4,4,1)&gt;=DATE(YEAR($H67),MONTH($H67),1),DATE('Thiết lập'!$B$4,4,1)&lt;EDATE(DATE(YEAR($H67),MONTH($H67),1),$O67)),MIN($P67,MAX(0,$N67-$U67-SUM($V67:X67))),0))</f>
        <v/>
      </c>
      <c r="Z67" s="457">
        <f>IF($AO67&lt;&gt;"OK",0,IF(AND(DATE('Thiết lập'!$B$4,5,1)&gt;=DATE(YEAR($H67),MONTH($H67),1),DATE('Thiết lập'!$B$4,5,1)&lt;EDATE(DATE(YEAR($H67),MONTH($H67),1),$O67)),MIN($P67,MAX(0,$N67-$U67-SUM($V67:Y67))),0))</f>
        <v/>
      </c>
      <c r="AA67" s="457">
        <f>IF($AO67&lt;&gt;"OK",0,IF(AND(DATE('Thiết lập'!$B$4,6,1)&gt;=DATE(YEAR($H67),MONTH($H67),1),DATE('Thiết lập'!$B$4,6,1)&lt;EDATE(DATE(YEAR($H67),MONTH($H67),1),$O67)),MIN($P67,MAX(0,$N67-$U67-SUM($V67:Z67))),0))</f>
        <v/>
      </c>
      <c r="AB67" s="457">
        <f>IF($AO67&lt;&gt;"OK",0,IF(AND(DATE('Thiết lập'!$B$4,7,1)&gt;=DATE(YEAR($H67),MONTH($H67),1),DATE('Thiết lập'!$B$4,7,1)&lt;EDATE(DATE(YEAR($H67),MONTH($H67),1),$O67)),MIN($P67,MAX(0,$N67-$U67-SUM($V67:AA67))),0))</f>
        <v/>
      </c>
      <c r="AC67" s="457">
        <f>IF($AO67&lt;&gt;"OK",0,IF(AND(DATE('Thiết lập'!$B$4,8,1)&gt;=DATE(YEAR($H67),MONTH($H67),1),DATE('Thiết lập'!$B$4,8,1)&lt;EDATE(DATE(YEAR($H67),MONTH($H67),1),$O67)),MIN($P67,MAX(0,$N67-$U67-SUM($V67:AB67))),0))</f>
        <v/>
      </c>
      <c r="AD67" s="457">
        <f>IF($AO67&lt;&gt;"OK",0,IF(AND(DATE('Thiết lập'!$B$4,9,1)&gt;=DATE(YEAR($H67),MONTH($H67),1),DATE('Thiết lập'!$B$4,9,1)&lt;EDATE(DATE(YEAR($H67),MONTH($H67),1),$O67)),MIN($P67,MAX(0,$N67-$U67-SUM($V67:AC67))),0))</f>
        <v/>
      </c>
      <c r="AE67" s="457">
        <f>IF($AO67&lt;&gt;"OK",0,IF(AND(DATE('Thiết lập'!$B$4,10,1)&gt;=DATE(YEAR($H67),MONTH($H67),1),DATE('Thiết lập'!$B$4,10,1)&lt;EDATE(DATE(YEAR($H67),MONTH($H67),1),$O67)),MIN($P67,MAX(0,$N67-$U67-SUM($V67:AD67))),0))</f>
        <v/>
      </c>
      <c r="AF67" s="457">
        <f>IF($AO67&lt;&gt;"OK",0,IF(AND(DATE('Thiết lập'!$B$4,11,1)&gt;=DATE(YEAR($H67),MONTH($H67),1),DATE('Thiết lập'!$B$4,11,1)&lt;EDATE(DATE(YEAR($H67),MONTH($H67),1),$O67)),MIN($P67,MAX(0,$N67-$U67-SUM($V67:AE67))),0))</f>
        <v/>
      </c>
      <c r="AG67" s="457">
        <f>IF($AO67&lt;&gt;"OK",0,IF(AND(DATE('Thiết lập'!$B$4,12,1)&gt;=DATE(YEAR($H67),MONTH($H67),1),DATE('Thiết lập'!$B$4,12,1)&lt;EDATE(DATE(YEAR($H67),MONTH($H67),1),$O67)),MIN($P67,MAX(0,$N67-$U67-SUM($V67:AF67))),0))</f>
        <v/>
      </c>
      <c r="AH67" s="457">
        <f>IF(B67="","",SUM(V67:AG67))</f>
        <v/>
      </c>
      <c r="AI67" s="457">
        <f>IF(B67="","",MIN(N67,IF(U67="",0,U67)+AH67))</f>
        <v/>
      </c>
      <c r="AJ67" s="457">
        <f>IF(B67="","",MAX(0,L67-AI67))</f>
        <v/>
      </c>
      <c r="AK67" s="337">
        <f>IF(B67="","",IF(H67&gt;'Thiết lập'!$B$5,"Chưa khấu hao",IF(AJ67&lt;=IF(M67="",0,M67),"Đã hết khấu hao","Đang khấu hao")))</f>
        <v/>
      </c>
      <c r="AL67" s="275" t="n"/>
      <c r="AM67" s="275" t="n"/>
      <c r="AN67" s="275" t="n"/>
      <c r="AO67" s="343">
        <f>IF(B67="","",IF(COUNTIF($B$7:$B$306,B67)&gt;1,"Trùng mã TSCĐ",IF(C67="","Thiếu tên TSCĐ",IF(H67="","Thiếu ngày bắt đầu",IF(OR(I67&lt;=0,L67&lt;=0,O67&lt;=0),"Kiểm tra số lượng/nguyên giá/thời gian",IF(AND(G67&lt;&gt;"",H67&lt;G67),"Ngày KH trước ngày ghi tăng",IF(M67&gt;L67,"Giá trị thu hồi vượt nguyên giá",IF(IF(U67="",0,U67)&gt;N67,"Lũy kế đầu năm vượt GTKH","OK"))))))))</f>
        <v/>
      </c>
    </row>
    <row r="68" ht="20" customHeight="1" s="389">
      <c r="A68" s="325">
        <f>IF(B68="","",ROW()-6)</f>
        <v/>
      </c>
      <c r="B68" s="275" t="n"/>
      <c r="C68" s="275" t="n"/>
      <c r="D68" s="331" t="n"/>
      <c r="E68" s="331" t="n"/>
      <c r="F68" s="454" t="n"/>
      <c r="G68" s="454" t="n"/>
      <c r="H68" s="454" t="n"/>
      <c r="I68" s="455" t="n"/>
      <c r="J68" s="456" t="n"/>
      <c r="K68" s="456" t="n"/>
      <c r="L68" s="457">
        <f>IF(B68="","",IF(OR(I68="",J68=""),"",I68*J68+IF(K68="",0,K68)))</f>
        <v/>
      </c>
      <c r="M68" s="456" t="n"/>
      <c r="N68" s="457">
        <f>IF(L68="","",MAX(0,L68-IF(M68="",0,M68)))</f>
        <v/>
      </c>
      <c r="O68" s="455" t="n"/>
      <c r="P68" s="457">
        <f>IF(OR(N68="",O68&lt;=0),"",ROUND(N68/O68,0))</f>
        <v/>
      </c>
      <c r="Q68" s="458">
        <f>IF(OR(H68="",O68&lt;=0),"",EOMONTH(H68,O68-1))</f>
        <v/>
      </c>
      <c r="R68" s="331" t="n"/>
      <c r="S68" s="331" t="n"/>
      <c r="T68" s="331" t="n"/>
      <c r="U68" s="456" t="n"/>
      <c r="V68" s="457">
        <f>IF($AO68&lt;&gt;"OK",0,IF(AND(DATE('Thiết lập'!$B$4,1,1)&gt;=DATE(YEAR($H68),MONTH($H68),1),DATE('Thiết lập'!$B$4,1,1)&lt;EDATE(DATE(YEAR($H68),MONTH($H68),1),$O68)),MIN($P68,MAX(0,$N68-$U68-0)),0))</f>
        <v/>
      </c>
      <c r="W68" s="457">
        <f>IF($AO68&lt;&gt;"OK",0,IF(AND(DATE('Thiết lập'!$B$4,2,1)&gt;=DATE(YEAR($H68),MONTH($H68),1),DATE('Thiết lập'!$B$4,2,1)&lt;EDATE(DATE(YEAR($H68),MONTH($H68),1),$O68)),MIN($P68,MAX(0,$N68-$U68-SUM($V68:V68))),0))</f>
        <v/>
      </c>
      <c r="X68" s="457">
        <f>IF($AO68&lt;&gt;"OK",0,IF(AND(DATE('Thiết lập'!$B$4,3,1)&gt;=DATE(YEAR($H68),MONTH($H68),1),DATE('Thiết lập'!$B$4,3,1)&lt;EDATE(DATE(YEAR($H68),MONTH($H68),1),$O68)),MIN($P68,MAX(0,$N68-$U68-SUM($V68:W68))),0))</f>
        <v/>
      </c>
      <c r="Y68" s="457">
        <f>IF($AO68&lt;&gt;"OK",0,IF(AND(DATE('Thiết lập'!$B$4,4,1)&gt;=DATE(YEAR($H68),MONTH($H68),1),DATE('Thiết lập'!$B$4,4,1)&lt;EDATE(DATE(YEAR($H68),MONTH($H68),1),$O68)),MIN($P68,MAX(0,$N68-$U68-SUM($V68:X68))),0))</f>
        <v/>
      </c>
      <c r="Z68" s="457">
        <f>IF($AO68&lt;&gt;"OK",0,IF(AND(DATE('Thiết lập'!$B$4,5,1)&gt;=DATE(YEAR($H68),MONTH($H68),1),DATE('Thiết lập'!$B$4,5,1)&lt;EDATE(DATE(YEAR($H68),MONTH($H68),1),$O68)),MIN($P68,MAX(0,$N68-$U68-SUM($V68:Y68))),0))</f>
        <v/>
      </c>
      <c r="AA68" s="457">
        <f>IF($AO68&lt;&gt;"OK",0,IF(AND(DATE('Thiết lập'!$B$4,6,1)&gt;=DATE(YEAR($H68),MONTH($H68),1),DATE('Thiết lập'!$B$4,6,1)&lt;EDATE(DATE(YEAR($H68),MONTH($H68),1),$O68)),MIN($P68,MAX(0,$N68-$U68-SUM($V68:Z68))),0))</f>
        <v/>
      </c>
      <c r="AB68" s="457">
        <f>IF($AO68&lt;&gt;"OK",0,IF(AND(DATE('Thiết lập'!$B$4,7,1)&gt;=DATE(YEAR($H68),MONTH($H68),1),DATE('Thiết lập'!$B$4,7,1)&lt;EDATE(DATE(YEAR($H68),MONTH($H68),1),$O68)),MIN($P68,MAX(0,$N68-$U68-SUM($V68:AA68))),0))</f>
        <v/>
      </c>
      <c r="AC68" s="457">
        <f>IF($AO68&lt;&gt;"OK",0,IF(AND(DATE('Thiết lập'!$B$4,8,1)&gt;=DATE(YEAR($H68),MONTH($H68),1),DATE('Thiết lập'!$B$4,8,1)&lt;EDATE(DATE(YEAR($H68),MONTH($H68),1),$O68)),MIN($P68,MAX(0,$N68-$U68-SUM($V68:AB68))),0))</f>
        <v/>
      </c>
      <c r="AD68" s="457">
        <f>IF($AO68&lt;&gt;"OK",0,IF(AND(DATE('Thiết lập'!$B$4,9,1)&gt;=DATE(YEAR($H68),MONTH($H68),1),DATE('Thiết lập'!$B$4,9,1)&lt;EDATE(DATE(YEAR($H68),MONTH($H68),1),$O68)),MIN($P68,MAX(0,$N68-$U68-SUM($V68:AC68))),0))</f>
        <v/>
      </c>
      <c r="AE68" s="457">
        <f>IF($AO68&lt;&gt;"OK",0,IF(AND(DATE('Thiết lập'!$B$4,10,1)&gt;=DATE(YEAR($H68),MONTH($H68),1),DATE('Thiết lập'!$B$4,10,1)&lt;EDATE(DATE(YEAR($H68),MONTH($H68),1),$O68)),MIN($P68,MAX(0,$N68-$U68-SUM($V68:AD68))),0))</f>
        <v/>
      </c>
      <c r="AF68" s="457">
        <f>IF($AO68&lt;&gt;"OK",0,IF(AND(DATE('Thiết lập'!$B$4,11,1)&gt;=DATE(YEAR($H68),MONTH($H68),1),DATE('Thiết lập'!$B$4,11,1)&lt;EDATE(DATE(YEAR($H68),MONTH($H68),1),$O68)),MIN($P68,MAX(0,$N68-$U68-SUM($V68:AE68))),0))</f>
        <v/>
      </c>
      <c r="AG68" s="457">
        <f>IF($AO68&lt;&gt;"OK",0,IF(AND(DATE('Thiết lập'!$B$4,12,1)&gt;=DATE(YEAR($H68),MONTH($H68),1),DATE('Thiết lập'!$B$4,12,1)&lt;EDATE(DATE(YEAR($H68),MONTH($H68),1),$O68)),MIN($P68,MAX(0,$N68-$U68-SUM($V68:AF68))),0))</f>
        <v/>
      </c>
      <c r="AH68" s="457">
        <f>IF(B68="","",SUM(V68:AG68))</f>
        <v/>
      </c>
      <c r="AI68" s="457">
        <f>IF(B68="","",MIN(N68,IF(U68="",0,U68)+AH68))</f>
        <v/>
      </c>
      <c r="AJ68" s="457">
        <f>IF(B68="","",MAX(0,L68-AI68))</f>
        <v/>
      </c>
      <c r="AK68" s="337">
        <f>IF(B68="","",IF(H68&gt;'Thiết lập'!$B$5,"Chưa khấu hao",IF(AJ68&lt;=IF(M68="",0,M68),"Đã hết khấu hao","Đang khấu hao")))</f>
        <v/>
      </c>
      <c r="AL68" s="275" t="n"/>
      <c r="AM68" s="275" t="n"/>
      <c r="AN68" s="275" t="n"/>
      <c r="AO68" s="343">
        <f>IF(B68="","",IF(COUNTIF($B$7:$B$306,B68)&gt;1,"Trùng mã TSCĐ",IF(C68="","Thiếu tên TSCĐ",IF(H68="","Thiếu ngày bắt đầu",IF(OR(I68&lt;=0,L68&lt;=0,O68&lt;=0),"Kiểm tra số lượng/nguyên giá/thời gian",IF(AND(G68&lt;&gt;"",H68&lt;G68),"Ngày KH trước ngày ghi tăng",IF(M68&gt;L68,"Giá trị thu hồi vượt nguyên giá",IF(IF(U68="",0,U68)&gt;N68,"Lũy kế đầu năm vượt GTKH","OK"))))))))</f>
        <v/>
      </c>
    </row>
    <row r="69" ht="20" customHeight="1" s="389">
      <c r="A69" s="325">
        <f>IF(B69="","",ROW()-6)</f>
        <v/>
      </c>
      <c r="B69" s="275" t="n"/>
      <c r="C69" s="275" t="n"/>
      <c r="D69" s="331" t="n"/>
      <c r="E69" s="331" t="n"/>
      <c r="F69" s="454" t="n"/>
      <c r="G69" s="454" t="n"/>
      <c r="H69" s="454" t="n"/>
      <c r="I69" s="455" t="n"/>
      <c r="J69" s="456" t="n"/>
      <c r="K69" s="456" t="n"/>
      <c r="L69" s="457">
        <f>IF(B69="","",IF(OR(I69="",J69=""),"",I69*J69+IF(K69="",0,K69)))</f>
        <v/>
      </c>
      <c r="M69" s="456" t="n"/>
      <c r="N69" s="457">
        <f>IF(L69="","",MAX(0,L69-IF(M69="",0,M69)))</f>
        <v/>
      </c>
      <c r="O69" s="455" t="n"/>
      <c r="P69" s="457">
        <f>IF(OR(N69="",O69&lt;=0),"",ROUND(N69/O69,0))</f>
        <v/>
      </c>
      <c r="Q69" s="458">
        <f>IF(OR(H69="",O69&lt;=0),"",EOMONTH(H69,O69-1))</f>
        <v/>
      </c>
      <c r="R69" s="331" t="n"/>
      <c r="S69" s="331" t="n"/>
      <c r="T69" s="331" t="n"/>
      <c r="U69" s="456" t="n"/>
      <c r="V69" s="457">
        <f>IF($AO69&lt;&gt;"OK",0,IF(AND(DATE('Thiết lập'!$B$4,1,1)&gt;=DATE(YEAR($H69),MONTH($H69),1),DATE('Thiết lập'!$B$4,1,1)&lt;EDATE(DATE(YEAR($H69),MONTH($H69),1),$O69)),MIN($P69,MAX(0,$N69-$U69-0)),0))</f>
        <v/>
      </c>
      <c r="W69" s="457">
        <f>IF($AO69&lt;&gt;"OK",0,IF(AND(DATE('Thiết lập'!$B$4,2,1)&gt;=DATE(YEAR($H69),MONTH($H69),1),DATE('Thiết lập'!$B$4,2,1)&lt;EDATE(DATE(YEAR($H69),MONTH($H69),1),$O69)),MIN($P69,MAX(0,$N69-$U69-SUM($V69:V69))),0))</f>
        <v/>
      </c>
      <c r="X69" s="457">
        <f>IF($AO69&lt;&gt;"OK",0,IF(AND(DATE('Thiết lập'!$B$4,3,1)&gt;=DATE(YEAR($H69),MONTH($H69),1),DATE('Thiết lập'!$B$4,3,1)&lt;EDATE(DATE(YEAR($H69),MONTH($H69),1),$O69)),MIN($P69,MAX(0,$N69-$U69-SUM($V69:W69))),0))</f>
        <v/>
      </c>
      <c r="Y69" s="457">
        <f>IF($AO69&lt;&gt;"OK",0,IF(AND(DATE('Thiết lập'!$B$4,4,1)&gt;=DATE(YEAR($H69),MONTH($H69),1),DATE('Thiết lập'!$B$4,4,1)&lt;EDATE(DATE(YEAR($H69),MONTH($H69),1),$O69)),MIN($P69,MAX(0,$N69-$U69-SUM($V69:X69))),0))</f>
        <v/>
      </c>
      <c r="Z69" s="457">
        <f>IF($AO69&lt;&gt;"OK",0,IF(AND(DATE('Thiết lập'!$B$4,5,1)&gt;=DATE(YEAR($H69),MONTH($H69),1),DATE('Thiết lập'!$B$4,5,1)&lt;EDATE(DATE(YEAR($H69),MONTH($H69),1),$O69)),MIN($P69,MAX(0,$N69-$U69-SUM($V69:Y69))),0))</f>
        <v/>
      </c>
      <c r="AA69" s="457">
        <f>IF($AO69&lt;&gt;"OK",0,IF(AND(DATE('Thiết lập'!$B$4,6,1)&gt;=DATE(YEAR($H69),MONTH($H69),1),DATE('Thiết lập'!$B$4,6,1)&lt;EDATE(DATE(YEAR($H69),MONTH($H69),1),$O69)),MIN($P69,MAX(0,$N69-$U69-SUM($V69:Z69))),0))</f>
        <v/>
      </c>
      <c r="AB69" s="457">
        <f>IF($AO69&lt;&gt;"OK",0,IF(AND(DATE('Thiết lập'!$B$4,7,1)&gt;=DATE(YEAR($H69),MONTH($H69),1),DATE('Thiết lập'!$B$4,7,1)&lt;EDATE(DATE(YEAR($H69),MONTH($H69),1),$O69)),MIN($P69,MAX(0,$N69-$U69-SUM($V69:AA69))),0))</f>
        <v/>
      </c>
      <c r="AC69" s="457">
        <f>IF($AO69&lt;&gt;"OK",0,IF(AND(DATE('Thiết lập'!$B$4,8,1)&gt;=DATE(YEAR($H69),MONTH($H69),1),DATE('Thiết lập'!$B$4,8,1)&lt;EDATE(DATE(YEAR($H69),MONTH($H69),1),$O69)),MIN($P69,MAX(0,$N69-$U69-SUM($V69:AB69))),0))</f>
        <v/>
      </c>
      <c r="AD69" s="457">
        <f>IF($AO69&lt;&gt;"OK",0,IF(AND(DATE('Thiết lập'!$B$4,9,1)&gt;=DATE(YEAR($H69),MONTH($H69),1),DATE('Thiết lập'!$B$4,9,1)&lt;EDATE(DATE(YEAR($H69),MONTH($H69),1),$O69)),MIN($P69,MAX(0,$N69-$U69-SUM($V69:AC69))),0))</f>
        <v/>
      </c>
      <c r="AE69" s="457">
        <f>IF($AO69&lt;&gt;"OK",0,IF(AND(DATE('Thiết lập'!$B$4,10,1)&gt;=DATE(YEAR($H69),MONTH($H69),1),DATE('Thiết lập'!$B$4,10,1)&lt;EDATE(DATE(YEAR($H69),MONTH($H69),1),$O69)),MIN($P69,MAX(0,$N69-$U69-SUM($V69:AD69))),0))</f>
        <v/>
      </c>
      <c r="AF69" s="457">
        <f>IF($AO69&lt;&gt;"OK",0,IF(AND(DATE('Thiết lập'!$B$4,11,1)&gt;=DATE(YEAR($H69),MONTH($H69),1),DATE('Thiết lập'!$B$4,11,1)&lt;EDATE(DATE(YEAR($H69),MONTH($H69),1),$O69)),MIN($P69,MAX(0,$N69-$U69-SUM($V69:AE69))),0))</f>
        <v/>
      </c>
      <c r="AG69" s="457">
        <f>IF($AO69&lt;&gt;"OK",0,IF(AND(DATE('Thiết lập'!$B$4,12,1)&gt;=DATE(YEAR($H69),MONTH($H69),1),DATE('Thiết lập'!$B$4,12,1)&lt;EDATE(DATE(YEAR($H69),MONTH($H69),1),$O69)),MIN($P69,MAX(0,$N69-$U69-SUM($V69:AF69))),0))</f>
        <v/>
      </c>
      <c r="AH69" s="457">
        <f>IF(B69="","",SUM(V69:AG69))</f>
        <v/>
      </c>
      <c r="AI69" s="457">
        <f>IF(B69="","",MIN(N69,IF(U69="",0,U69)+AH69))</f>
        <v/>
      </c>
      <c r="AJ69" s="457">
        <f>IF(B69="","",MAX(0,L69-AI69))</f>
        <v/>
      </c>
      <c r="AK69" s="337">
        <f>IF(B69="","",IF(H69&gt;'Thiết lập'!$B$5,"Chưa khấu hao",IF(AJ69&lt;=IF(M69="",0,M69),"Đã hết khấu hao","Đang khấu hao")))</f>
        <v/>
      </c>
      <c r="AL69" s="275" t="n"/>
      <c r="AM69" s="275" t="n"/>
      <c r="AN69" s="275" t="n"/>
      <c r="AO69" s="343">
        <f>IF(B69="","",IF(COUNTIF($B$7:$B$306,B69)&gt;1,"Trùng mã TSCĐ",IF(C69="","Thiếu tên TSCĐ",IF(H69="","Thiếu ngày bắt đầu",IF(OR(I69&lt;=0,L69&lt;=0,O69&lt;=0),"Kiểm tra số lượng/nguyên giá/thời gian",IF(AND(G69&lt;&gt;"",H69&lt;G69),"Ngày KH trước ngày ghi tăng",IF(M69&gt;L69,"Giá trị thu hồi vượt nguyên giá",IF(IF(U69="",0,U69)&gt;N69,"Lũy kế đầu năm vượt GTKH","OK"))))))))</f>
        <v/>
      </c>
    </row>
    <row r="70" ht="20" customHeight="1" s="389">
      <c r="A70" s="325">
        <f>IF(B70="","",ROW()-6)</f>
        <v/>
      </c>
      <c r="B70" s="275" t="n"/>
      <c r="C70" s="275" t="n"/>
      <c r="D70" s="331" t="n"/>
      <c r="E70" s="331" t="n"/>
      <c r="F70" s="454" t="n"/>
      <c r="G70" s="454" t="n"/>
      <c r="H70" s="454" t="n"/>
      <c r="I70" s="455" t="n"/>
      <c r="J70" s="456" t="n"/>
      <c r="K70" s="456" t="n"/>
      <c r="L70" s="457">
        <f>IF(B70="","",IF(OR(I70="",J70=""),"",I70*J70+IF(K70="",0,K70)))</f>
        <v/>
      </c>
      <c r="M70" s="456" t="n"/>
      <c r="N70" s="457">
        <f>IF(L70="","",MAX(0,L70-IF(M70="",0,M70)))</f>
        <v/>
      </c>
      <c r="O70" s="455" t="n"/>
      <c r="P70" s="457">
        <f>IF(OR(N70="",O70&lt;=0),"",ROUND(N70/O70,0))</f>
        <v/>
      </c>
      <c r="Q70" s="458">
        <f>IF(OR(H70="",O70&lt;=0),"",EOMONTH(H70,O70-1))</f>
        <v/>
      </c>
      <c r="R70" s="331" t="n"/>
      <c r="S70" s="331" t="n"/>
      <c r="T70" s="331" t="n"/>
      <c r="U70" s="456" t="n"/>
      <c r="V70" s="457">
        <f>IF($AO70&lt;&gt;"OK",0,IF(AND(DATE('Thiết lập'!$B$4,1,1)&gt;=DATE(YEAR($H70),MONTH($H70),1),DATE('Thiết lập'!$B$4,1,1)&lt;EDATE(DATE(YEAR($H70),MONTH($H70),1),$O70)),MIN($P70,MAX(0,$N70-$U70-0)),0))</f>
        <v/>
      </c>
      <c r="W70" s="457">
        <f>IF($AO70&lt;&gt;"OK",0,IF(AND(DATE('Thiết lập'!$B$4,2,1)&gt;=DATE(YEAR($H70),MONTH($H70),1),DATE('Thiết lập'!$B$4,2,1)&lt;EDATE(DATE(YEAR($H70),MONTH($H70),1),$O70)),MIN($P70,MAX(0,$N70-$U70-SUM($V70:V70))),0))</f>
        <v/>
      </c>
      <c r="X70" s="457">
        <f>IF($AO70&lt;&gt;"OK",0,IF(AND(DATE('Thiết lập'!$B$4,3,1)&gt;=DATE(YEAR($H70),MONTH($H70),1),DATE('Thiết lập'!$B$4,3,1)&lt;EDATE(DATE(YEAR($H70),MONTH($H70),1),$O70)),MIN($P70,MAX(0,$N70-$U70-SUM($V70:W70))),0))</f>
        <v/>
      </c>
      <c r="Y70" s="457">
        <f>IF($AO70&lt;&gt;"OK",0,IF(AND(DATE('Thiết lập'!$B$4,4,1)&gt;=DATE(YEAR($H70),MONTH($H70),1),DATE('Thiết lập'!$B$4,4,1)&lt;EDATE(DATE(YEAR($H70),MONTH($H70),1),$O70)),MIN($P70,MAX(0,$N70-$U70-SUM($V70:X70))),0))</f>
        <v/>
      </c>
      <c r="Z70" s="457">
        <f>IF($AO70&lt;&gt;"OK",0,IF(AND(DATE('Thiết lập'!$B$4,5,1)&gt;=DATE(YEAR($H70),MONTH($H70),1),DATE('Thiết lập'!$B$4,5,1)&lt;EDATE(DATE(YEAR($H70),MONTH($H70),1),$O70)),MIN($P70,MAX(0,$N70-$U70-SUM($V70:Y70))),0))</f>
        <v/>
      </c>
      <c r="AA70" s="457">
        <f>IF($AO70&lt;&gt;"OK",0,IF(AND(DATE('Thiết lập'!$B$4,6,1)&gt;=DATE(YEAR($H70),MONTH($H70),1),DATE('Thiết lập'!$B$4,6,1)&lt;EDATE(DATE(YEAR($H70),MONTH($H70),1),$O70)),MIN($P70,MAX(0,$N70-$U70-SUM($V70:Z70))),0))</f>
        <v/>
      </c>
      <c r="AB70" s="457">
        <f>IF($AO70&lt;&gt;"OK",0,IF(AND(DATE('Thiết lập'!$B$4,7,1)&gt;=DATE(YEAR($H70),MONTH($H70),1),DATE('Thiết lập'!$B$4,7,1)&lt;EDATE(DATE(YEAR($H70),MONTH($H70),1),$O70)),MIN($P70,MAX(0,$N70-$U70-SUM($V70:AA70))),0))</f>
        <v/>
      </c>
      <c r="AC70" s="457">
        <f>IF($AO70&lt;&gt;"OK",0,IF(AND(DATE('Thiết lập'!$B$4,8,1)&gt;=DATE(YEAR($H70),MONTH($H70),1),DATE('Thiết lập'!$B$4,8,1)&lt;EDATE(DATE(YEAR($H70),MONTH($H70),1),$O70)),MIN($P70,MAX(0,$N70-$U70-SUM($V70:AB70))),0))</f>
        <v/>
      </c>
      <c r="AD70" s="457">
        <f>IF($AO70&lt;&gt;"OK",0,IF(AND(DATE('Thiết lập'!$B$4,9,1)&gt;=DATE(YEAR($H70),MONTH($H70),1),DATE('Thiết lập'!$B$4,9,1)&lt;EDATE(DATE(YEAR($H70),MONTH($H70),1),$O70)),MIN($P70,MAX(0,$N70-$U70-SUM($V70:AC70))),0))</f>
        <v/>
      </c>
      <c r="AE70" s="457">
        <f>IF($AO70&lt;&gt;"OK",0,IF(AND(DATE('Thiết lập'!$B$4,10,1)&gt;=DATE(YEAR($H70),MONTH($H70),1),DATE('Thiết lập'!$B$4,10,1)&lt;EDATE(DATE(YEAR($H70),MONTH($H70),1),$O70)),MIN($P70,MAX(0,$N70-$U70-SUM($V70:AD70))),0))</f>
        <v/>
      </c>
      <c r="AF70" s="457">
        <f>IF($AO70&lt;&gt;"OK",0,IF(AND(DATE('Thiết lập'!$B$4,11,1)&gt;=DATE(YEAR($H70),MONTH($H70),1),DATE('Thiết lập'!$B$4,11,1)&lt;EDATE(DATE(YEAR($H70),MONTH($H70),1),$O70)),MIN($P70,MAX(0,$N70-$U70-SUM($V70:AE70))),0))</f>
        <v/>
      </c>
      <c r="AG70" s="457">
        <f>IF($AO70&lt;&gt;"OK",0,IF(AND(DATE('Thiết lập'!$B$4,12,1)&gt;=DATE(YEAR($H70),MONTH($H70),1),DATE('Thiết lập'!$B$4,12,1)&lt;EDATE(DATE(YEAR($H70),MONTH($H70),1),$O70)),MIN($P70,MAX(0,$N70-$U70-SUM($V70:AF70))),0))</f>
        <v/>
      </c>
      <c r="AH70" s="457">
        <f>IF(B70="","",SUM(V70:AG70))</f>
        <v/>
      </c>
      <c r="AI70" s="457">
        <f>IF(B70="","",MIN(N70,IF(U70="",0,U70)+AH70))</f>
        <v/>
      </c>
      <c r="AJ70" s="457">
        <f>IF(B70="","",MAX(0,L70-AI70))</f>
        <v/>
      </c>
      <c r="AK70" s="337">
        <f>IF(B70="","",IF(H70&gt;'Thiết lập'!$B$5,"Chưa khấu hao",IF(AJ70&lt;=IF(M70="",0,M70),"Đã hết khấu hao","Đang khấu hao")))</f>
        <v/>
      </c>
      <c r="AL70" s="275" t="n"/>
      <c r="AM70" s="275" t="n"/>
      <c r="AN70" s="275" t="n"/>
      <c r="AO70" s="343">
        <f>IF(B70="","",IF(COUNTIF($B$7:$B$306,B70)&gt;1,"Trùng mã TSCĐ",IF(C70="","Thiếu tên TSCĐ",IF(H70="","Thiếu ngày bắt đầu",IF(OR(I70&lt;=0,L70&lt;=0,O70&lt;=0),"Kiểm tra số lượng/nguyên giá/thời gian",IF(AND(G70&lt;&gt;"",H70&lt;G70),"Ngày KH trước ngày ghi tăng",IF(M70&gt;L70,"Giá trị thu hồi vượt nguyên giá",IF(IF(U70="",0,U70)&gt;N70,"Lũy kế đầu năm vượt GTKH","OK"))))))))</f>
        <v/>
      </c>
    </row>
    <row r="71" ht="20" customHeight="1" s="389">
      <c r="A71" s="325">
        <f>IF(B71="","",ROW()-6)</f>
        <v/>
      </c>
      <c r="B71" s="275" t="n"/>
      <c r="C71" s="275" t="n"/>
      <c r="D71" s="331" t="n"/>
      <c r="E71" s="331" t="n"/>
      <c r="F71" s="454" t="n"/>
      <c r="G71" s="454" t="n"/>
      <c r="H71" s="454" t="n"/>
      <c r="I71" s="455" t="n"/>
      <c r="J71" s="456" t="n"/>
      <c r="K71" s="456" t="n"/>
      <c r="L71" s="457">
        <f>IF(B71="","",IF(OR(I71="",J71=""),"",I71*J71+IF(K71="",0,K71)))</f>
        <v/>
      </c>
      <c r="M71" s="456" t="n"/>
      <c r="N71" s="457">
        <f>IF(L71="","",MAX(0,L71-IF(M71="",0,M71)))</f>
        <v/>
      </c>
      <c r="O71" s="455" t="n"/>
      <c r="P71" s="457">
        <f>IF(OR(N71="",O71&lt;=0),"",ROUND(N71/O71,0))</f>
        <v/>
      </c>
      <c r="Q71" s="458">
        <f>IF(OR(H71="",O71&lt;=0),"",EOMONTH(H71,O71-1))</f>
        <v/>
      </c>
      <c r="R71" s="331" t="n"/>
      <c r="S71" s="331" t="n"/>
      <c r="T71" s="331" t="n"/>
      <c r="U71" s="456" t="n"/>
      <c r="V71" s="457">
        <f>IF($AO71&lt;&gt;"OK",0,IF(AND(DATE('Thiết lập'!$B$4,1,1)&gt;=DATE(YEAR($H71),MONTH($H71),1),DATE('Thiết lập'!$B$4,1,1)&lt;EDATE(DATE(YEAR($H71),MONTH($H71),1),$O71)),MIN($P71,MAX(0,$N71-$U71-0)),0))</f>
        <v/>
      </c>
      <c r="W71" s="457">
        <f>IF($AO71&lt;&gt;"OK",0,IF(AND(DATE('Thiết lập'!$B$4,2,1)&gt;=DATE(YEAR($H71),MONTH($H71),1),DATE('Thiết lập'!$B$4,2,1)&lt;EDATE(DATE(YEAR($H71),MONTH($H71),1),$O71)),MIN($P71,MAX(0,$N71-$U71-SUM($V71:V71))),0))</f>
        <v/>
      </c>
      <c r="X71" s="457">
        <f>IF($AO71&lt;&gt;"OK",0,IF(AND(DATE('Thiết lập'!$B$4,3,1)&gt;=DATE(YEAR($H71),MONTH($H71),1),DATE('Thiết lập'!$B$4,3,1)&lt;EDATE(DATE(YEAR($H71),MONTH($H71),1),$O71)),MIN($P71,MAX(0,$N71-$U71-SUM($V71:W71))),0))</f>
        <v/>
      </c>
      <c r="Y71" s="457">
        <f>IF($AO71&lt;&gt;"OK",0,IF(AND(DATE('Thiết lập'!$B$4,4,1)&gt;=DATE(YEAR($H71),MONTH($H71),1),DATE('Thiết lập'!$B$4,4,1)&lt;EDATE(DATE(YEAR($H71),MONTH($H71),1),$O71)),MIN($P71,MAX(0,$N71-$U71-SUM($V71:X71))),0))</f>
        <v/>
      </c>
      <c r="Z71" s="457">
        <f>IF($AO71&lt;&gt;"OK",0,IF(AND(DATE('Thiết lập'!$B$4,5,1)&gt;=DATE(YEAR($H71),MONTH($H71),1),DATE('Thiết lập'!$B$4,5,1)&lt;EDATE(DATE(YEAR($H71),MONTH($H71),1),$O71)),MIN($P71,MAX(0,$N71-$U71-SUM($V71:Y71))),0))</f>
        <v/>
      </c>
      <c r="AA71" s="457">
        <f>IF($AO71&lt;&gt;"OK",0,IF(AND(DATE('Thiết lập'!$B$4,6,1)&gt;=DATE(YEAR($H71),MONTH($H71),1),DATE('Thiết lập'!$B$4,6,1)&lt;EDATE(DATE(YEAR($H71),MONTH($H71),1),$O71)),MIN($P71,MAX(0,$N71-$U71-SUM($V71:Z71))),0))</f>
        <v/>
      </c>
      <c r="AB71" s="457">
        <f>IF($AO71&lt;&gt;"OK",0,IF(AND(DATE('Thiết lập'!$B$4,7,1)&gt;=DATE(YEAR($H71),MONTH($H71),1),DATE('Thiết lập'!$B$4,7,1)&lt;EDATE(DATE(YEAR($H71),MONTH($H71),1),$O71)),MIN($P71,MAX(0,$N71-$U71-SUM($V71:AA71))),0))</f>
        <v/>
      </c>
      <c r="AC71" s="457">
        <f>IF($AO71&lt;&gt;"OK",0,IF(AND(DATE('Thiết lập'!$B$4,8,1)&gt;=DATE(YEAR($H71),MONTH($H71),1),DATE('Thiết lập'!$B$4,8,1)&lt;EDATE(DATE(YEAR($H71),MONTH($H71),1),$O71)),MIN($P71,MAX(0,$N71-$U71-SUM($V71:AB71))),0))</f>
        <v/>
      </c>
      <c r="AD71" s="457">
        <f>IF($AO71&lt;&gt;"OK",0,IF(AND(DATE('Thiết lập'!$B$4,9,1)&gt;=DATE(YEAR($H71),MONTH($H71),1),DATE('Thiết lập'!$B$4,9,1)&lt;EDATE(DATE(YEAR($H71),MONTH($H71),1),$O71)),MIN($P71,MAX(0,$N71-$U71-SUM($V71:AC71))),0))</f>
        <v/>
      </c>
      <c r="AE71" s="457">
        <f>IF($AO71&lt;&gt;"OK",0,IF(AND(DATE('Thiết lập'!$B$4,10,1)&gt;=DATE(YEAR($H71),MONTH($H71),1),DATE('Thiết lập'!$B$4,10,1)&lt;EDATE(DATE(YEAR($H71),MONTH($H71),1),$O71)),MIN($P71,MAX(0,$N71-$U71-SUM($V71:AD71))),0))</f>
        <v/>
      </c>
      <c r="AF71" s="457">
        <f>IF($AO71&lt;&gt;"OK",0,IF(AND(DATE('Thiết lập'!$B$4,11,1)&gt;=DATE(YEAR($H71),MONTH($H71),1),DATE('Thiết lập'!$B$4,11,1)&lt;EDATE(DATE(YEAR($H71),MONTH($H71),1),$O71)),MIN($P71,MAX(0,$N71-$U71-SUM($V71:AE71))),0))</f>
        <v/>
      </c>
      <c r="AG71" s="457">
        <f>IF($AO71&lt;&gt;"OK",0,IF(AND(DATE('Thiết lập'!$B$4,12,1)&gt;=DATE(YEAR($H71),MONTH($H71),1),DATE('Thiết lập'!$B$4,12,1)&lt;EDATE(DATE(YEAR($H71),MONTH($H71),1),$O71)),MIN($P71,MAX(0,$N71-$U71-SUM($V71:AF71))),0))</f>
        <v/>
      </c>
      <c r="AH71" s="457">
        <f>IF(B71="","",SUM(V71:AG71))</f>
        <v/>
      </c>
      <c r="AI71" s="457">
        <f>IF(B71="","",MIN(N71,IF(U71="",0,U71)+AH71))</f>
        <v/>
      </c>
      <c r="AJ71" s="457">
        <f>IF(B71="","",MAX(0,L71-AI71))</f>
        <v/>
      </c>
      <c r="AK71" s="337">
        <f>IF(B71="","",IF(H71&gt;'Thiết lập'!$B$5,"Chưa khấu hao",IF(AJ71&lt;=IF(M71="",0,M71),"Đã hết khấu hao","Đang khấu hao")))</f>
        <v/>
      </c>
      <c r="AL71" s="275" t="n"/>
      <c r="AM71" s="275" t="n"/>
      <c r="AN71" s="275" t="n"/>
      <c r="AO71" s="343">
        <f>IF(B71="","",IF(COUNTIF($B$7:$B$306,B71)&gt;1,"Trùng mã TSCĐ",IF(C71="","Thiếu tên TSCĐ",IF(H71="","Thiếu ngày bắt đầu",IF(OR(I71&lt;=0,L71&lt;=0,O71&lt;=0),"Kiểm tra số lượng/nguyên giá/thời gian",IF(AND(G71&lt;&gt;"",H71&lt;G71),"Ngày KH trước ngày ghi tăng",IF(M71&gt;L71,"Giá trị thu hồi vượt nguyên giá",IF(IF(U71="",0,U71)&gt;N71,"Lũy kế đầu năm vượt GTKH","OK"))))))))</f>
        <v/>
      </c>
    </row>
    <row r="72" ht="20" customHeight="1" s="389">
      <c r="A72" s="325">
        <f>IF(B72="","",ROW()-6)</f>
        <v/>
      </c>
      <c r="B72" s="275" t="n"/>
      <c r="C72" s="275" t="n"/>
      <c r="D72" s="331" t="n"/>
      <c r="E72" s="331" t="n"/>
      <c r="F72" s="454" t="n"/>
      <c r="G72" s="454" t="n"/>
      <c r="H72" s="454" t="n"/>
      <c r="I72" s="455" t="n"/>
      <c r="J72" s="456" t="n"/>
      <c r="K72" s="456" t="n"/>
      <c r="L72" s="457">
        <f>IF(B72="","",IF(OR(I72="",J72=""),"",I72*J72+IF(K72="",0,K72)))</f>
        <v/>
      </c>
      <c r="M72" s="456" t="n"/>
      <c r="N72" s="457">
        <f>IF(L72="","",MAX(0,L72-IF(M72="",0,M72)))</f>
        <v/>
      </c>
      <c r="O72" s="455" t="n"/>
      <c r="P72" s="457">
        <f>IF(OR(N72="",O72&lt;=0),"",ROUND(N72/O72,0))</f>
        <v/>
      </c>
      <c r="Q72" s="458">
        <f>IF(OR(H72="",O72&lt;=0),"",EOMONTH(H72,O72-1))</f>
        <v/>
      </c>
      <c r="R72" s="331" t="n"/>
      <c r="S72" s="331" t="n"/>
      <c r="T72" s="331" t="n"/>
      <c r="U72" s="456" t="n"/>
      <c r="V72" s="457">
        <f>IF($AO72&lt;&gt;"OK",0,IF(AND(DATE('Thiết lập'!$B$4,1,1)&gt;=DATE(YEAR($H72),MONTH($H72),1),DATE('Thiết lập'!$B$4,1,1)&lt;EDATE(DATE(YEAR($H72),MONTH($H72),1),$O72)),MIN($P72,MAX(0,$N72-$U72-0)),0))</f>
        <v/>
      </c>
      <c r="W72" s="457">
        <f>IF($AO72&lt;&gt;"OK",0,IF(AND(DATE('Thiết lập'!$B$4,2,1)&gt;=DATE(YEAR($H72),MONTH($H72),1),DATE('Thiết lập'!$B$4,2,1)&lt;EDATE(DATE(YEAR($H72),MONTH($H72),1),$O72)),MIN($P72,MAX(0,$N72-$U72-SUM($V72:V72))),0))</f>
        <v/>
      </c>
      <c r="X72" s="457">
        <f>IF($AO72&lt;&gt;"OK",0,IF(AND(DATE('Thiết lập'!$B$4,3,1)&gt;=DATE(YEAR($H72),MONTH($H72),1),DATE('Thiết lập'!$B$4,3,1)&lt;EDATE(DATE(YEAR($H72),MONTH($H72),1),$O72)),MIN($P72,MAX(0,$N72-$U72-SUM($V72:W72))),0))</f>
        <v/>
      </c>
      <c r="Y72" s="457">
        <f>IF($AO72&lt;&gt;"OK",0,IF(AND(DATE('Thiết lập'!$B$4,4,1)&gt;=DATE(YEAR($H72),MONTH($H72),1),DATE('Thiết lập'!$B$4,4,1)&lt;EDATE(DATE(YEAR($H72),MONTH($H72),1),$O72)),MIN($P72,MAX(0,$N72-$U72-SUM($V72:X72))),0))</f>
        <v/>
      </c>
      <c r="Z72" s="457">
        <f>IF($AO72&lt;&gt;"OK",0,IF(AND(DATE('Thiết lập'!$B$4,5,1)&gt;=DATE(YEAR($H72),MONTH($H72),1),DATE('Thiết lập'!$B$4,5,1)&lt;EDATE(DATE(YEAR($H72),MONTH($H72),1),$O72)),MIN($P72,MAX(0,$N72-$U72-SUM($V72:Y72))),0))</f>
        <v/>
      </c>
      <c r="AA72" s="457">
        <f>IF($AO72&lt;&gt;"OK",0,IF(AND(DATE('Thiết lập'!$B$4,6,1)&gt;=DATE(YEAR($H72),MONTH($H72),1),DATE('Thiết lập'!$B$4,6,1)&lt;EDATE(DATE(YEAR($H72),MONTH($H72),1),$O72)),MIN($P72,MAX(0,$N72-$U72-SUM($V72:Z72))),0))</f>
        <v/>
      </c>
      <c r="AB72" s="457">
        <f>IF($AO72&lt;&gt;"OK",0,IF(AND(DATE('Thiết lập'!$B$4,7,1)&gt;=DATE(YEAR($H72),MONTH($H72),1),DATE('Thiết lập'!$B$4,7,1)&lt;EDATE(DATE(YEAR($H72),MONTH($H72),1),$O72)),MIN($P72,MAX(0,$N72-$U72-SUM($V72:AA72))),0))</f>
        <v/>
      </c>
      <c r="AC72" s="457">
        <f>IF($AO72&lt;&gt;"OK",0,IF(AND(DATE('Thiết lập'!$B$4,8,1)&gt;=DATE(YEAR($H72),MONTH($H72),1),DATE('Thiết lập'!$B$4,8,1)&lt;EDATE(DATE(YEAR($H72),MONTH($H72),1),$O72)),MIN($P72,MAX(0,$N72-$U72-SUM($V72:AB72))),0))</f>
        <v/>
      </c>
      <c r="AD72" s="457">
        <f>IF($AO72&lt;&gt;"OK",0,IF(AND(DATE('Thiết lập'!$B$4,9,1)&gt;=DATE(YEAR($H72),MONTH($H72),1),DATE('Thiết lập'!$B$4,9,1)&lt;EDATE(DATE(YEAR($H72),MONTH($H72),1),$O72)),MIN($P72,MAX(0,$N72-$U72-SUM($V72:AC72))),0))</f>
        <v/>
      </c>
      <c r="AE72" s="457">
        <f>IF($AO72&lt;&gt;"OK",0,IF(AND(DATE('Thiết lập'!$B$4,10,1)&gt;=DATE(YEAR($H72),MONTH($H72),1),DATE('Thiết lập'!$B$4,10,1)&lt;EDATE(DATE(YEAR($H72),MONTH($H72),1),$O72)),MIN($P72,MAX(0,$N72-$U72-SUM($V72:AD72))),0))</f>
        <v/>
      </c>
      <c r="AF72" s="457">
        <f>IF($AO72&lt;&gt;"OK",0,IF(AND(DATE('Thiết lập'!$B$4,11,1)&gt;=DATE(YEAR($H72),MONTH($H72),1),DATE('Thiết lập'!$B$4,11,1)&lt;EDATE(DATE(YEAR($H72),MONTH($H72),1),$O72)),MIN($P72,MAX(0,$N72-$U72-SUM($V72:AE72))),0))</f>
        <v/>
      </c>
      <c r="AG72" s="457">
        <f>IF($AO72&lt;&gt;"OK",0,IF(AND(DATE('Thiết lập'!$B$4,12,1)&gt;=DATE(YEAR($H72),MONTH($H72),1),DATE('Thiết lập'!$B$4,12,1)&lt;EDATE(DATE(YEAR($H72),MONTH($H72),1),$O72)),MIN($P72,MAX(0,$N72-$U72-SUM($V72:AF72))),0))</f>
        <v/>
      </c>
      <c r="AH72" s="457">
        <f>IF(B72="","",SUM(V72:AG72))</f>
        <v/>
      </c>
      <c r="AI72" s="457">
        <f>IF(B72="","",MIN(N72,IF(U72="",0,U72)+AH72))</f>
        <v/>
      </c>
      <c r="AJ72" s="457">
        <f>IF(B72="","",MAX(0,L72-AI72))</f>
        <v/>
      </c>
      <c r="AK72" s="337">
        <f>IF(B72="","",IF(H72&gt;'Thiết lập'!$B$5,"Chưa khấu hao",IF(AJ72&lt;=IF(M72="",0,M72),"Đã hết khấu hao","Đang khấu hao")))</f>
        <v/>
      </c>
      <c r="AL72" s="275" t="n"/>
      <c r="AM72" s="275" t="n"/>
      <c r="AN72" s="275" t="n"/>
      <c r="AO72" s="343">
        <f>IF(B72="","",IF(COUNTIF($B$7:$B$306,B72)&gt;1,"Trùng mã TSCĐ",IF(C72="","Thiếu tên TSCĐ",IF(H72="","Thiếu ngày bắt đầu",IF(OR(I72&lt;=0,L72&lt;=0,O72&lt;=0),"Kiểm tra số lượng/nguyên giá/thời gian",IF(AND(G72&lt;&gt;"",H72&lt;G72),"Ngày KH trước ngày ghi tăng",IF(M72&gt;L72,"Giá trị thu hồi vượt nguyên giá",IF(IF(U72="",0,U72)&gt;N72,"Lũy kế đầu năm vượt GTKH","OK"))))))))</f>
        <v/>
      </c>
    </row>
    <row r="73" ht="20" customHeight="1" s="389">
      <c r="A73" s="325">
        <f>IF(B73="","",ROW()-6)</f>
        <v/>
      </c>
      <c r="B73" s="275" t="n"/>
      <c r="C73" s="275" t="n"/>
      <c r="D73" s="331" t="n"/>
      <c r="E73" s="331" t="n"/>
      <c r="F73" s="454" t="n"/>
      <c r="G73" s="454" t="n"/>
      <c r="H73" s="454" t="n"/>
      <c r="I73" s="455" t="n"/>
      <c r="J73" s="456" t="n"/>
      <c r="K73" s="456" t="n"/>
      <c r="L73" s="457">
        <f>IF(B73="","",IF(OR(I73="",J73=""),"",I73*J73+IF(K73="",0,K73)))</f>
        <v/>
      </c>
      <c r="M73" s="456" t="n"/>
      <c r="N73" s="457">
        <f>IF(L73="","",MAX(0,L73-IF(M73="",0,M73)))</f>
        <v/>
      </c>
      <c r="O73" s="455" t="n"/>
      <c r="P73" s="457">
        <f>IF(OR(N73="",O73&lt;=0),"",ROUND(N73/O73,0))</f>
        <v/>
      </c>
      <c r="Q73" s="458">
        <f>IF(OR(H73="",O73&lt;=0),"",EOMONTH(H73,O73-1))</f>
        <v/>
      </c>
      <c r="R73" s="331" t="n"/>
      <c r="S73" s="331" t="n"/>
      <c r="T73" s="331" t="n"/>
      <c r="U73" s="456" t="n"/>
      <c r="V73" s="457">
        <f>IF($AO73&lt;&gt;"OK",0,IF(AND(DATE('Thiết lập'!$B$4,1,1)&gt;=DATE(YEAR($H73),MONTH($H73),1),DATE('Thiết lập'!$B$4,1,1)&lt;EDATE(DATE(YEAR($H73),MONTH($H73),1),$O73)),MIN($P73,MAX(0,$N73-$U73-0)),0))</f>
        <v/>
      </c>
      <c r="W73" s="457">
        <f>IF($AO73&lt;&gt;"OK",0,IF(AND(DATE('Thiết lập'!$B$4,2,1)&gt;=DATE(YEAR($H73),MONTH($H73),1),DATE('Thiết lập'!$B$4,2,1)&lt;EDATE(DATE(YEAR($H73),MONTH($H73),1),$O73)),MIN($P73,MAX(0,$N73-$U73-SUM($V73:V73))),0))</f>
        <v/>
      </c>
      <c r="X73" s="457">
        <f>IF($AO73&lt;&gt;"OK",0,IF(AND(DATE('Thiết lập'!$B$4,3,1)&gt;=DATE(YEAR($H73),MONTH($H73),1),DATE('Thiết lập'!$B$4,3,1)&lt;EDATE(DATE(YEAR($H73),MONTH($H73),1),$O73)),MIN($P73,MAX(0,$N73-$U73-SUM($V73:W73))),0))</f>
        <v/>
      </c>
      <c r="Y73" s="457">
        <f>IF($AO73&lt;&gt;"OK",0,IF(AND(DATE('Thiết lập'!$B$4,4,1)&gt;=DATE(YEAR($H73),MONTH($H73),1),DATE('Thiết lập'!$B$4,4,1)&lt;EDATE(DATE(YEAR($H73),MONTH($H73),1),$O73)),MIN($P73,MAX(0,$N73-$U73-SUM($V73:X73))),0))</f>
        <v/>
      </c>
      <c r="Z73" s="457">
        <f>IF($AO73&lt;&gt;"OK",0,IF(AND(DATE('Thiết lập'!$B$4,5,1)&gt;=DATE(YEAR($H73),MONTH($H73),1),DATE('Thiết lập'!$B$4,5,1)&lt;EDATE(DATE(YEAR($H73),MONTH($H73),1),$O73)),MIN($P73,MAX(0,$N73-$U73-SUM($V73:Y73))),0))</f>
        <v/>
      </c>
      <c r="AA73" s="457">
        <f>IF($AO73&lt;&gt;"OK",0,IF(AND(DATE('Thiết lập'!$B$4,6,1)&gt;=DATE(YEAR($H73),MONTH($H73),1),DATE('Thiết lập'!$B$4,6,1)&lt;EDATE(DATE(YEAR($H73),MONTH($H73),1),$O73)),MIN($P73,MAX(0,$N73-$U73-SUM($V73:Z73))),0))</f>
        <v/>
      </c>
      <c r="AB73" s="457">
        <f>IF($AO73&lt;&gt;"OK",0,IF(AND(DATE('Thiết lập'!$B$4,7,1)&gt;=DATE(YEAR($H73),MONTH($H73),1),DATE('Thiết lập'!$B$4,7,1)&lt;EDATE(DATE(YEAR($H73),MONTH($H73),1),$O73)),MIN($P73,MAX(0,$N73-$U73-SUM($V73:AA73))),0))</f>
        <v/>
      </c>
      <c r="AC73" s="457">
        <f>IF($AO73&lt;&gt;"OK",0,IF(AND(DATE('Thiết lập'!$B$4,8,1)&gt;=DATE(YEAR($H73),MONTH($H73),1),DATE('Thiết lập'!$B$4,8,1)&lt;EDATE(DATE(YEAR($H73),MONTH($H73),1),$O73)),MIN($P73,MAX(0,$N73-$U73-SUM($V73:AB73))),0))</f>
        <v/>
      </c>
      <c r="AD73" s="457">
        <f>IF($AO73&lt;&gt;"OK",0,IF(AND(DATE('Thiết lập'!$B$4,9,1)&gt;=DATE(YEAR($H73),MONTH($H73),1),DATE('Thiết lập'!$B$4,9,1)&lt;EDATE(DATE(YEAR($H73),MONTH($H73),1),$O73)),MIN($P73,MAX(0,$N73-$U73-SUM($V73:AC73))),0))</f>
        <v/>
      </c>
      <c r="AE73" s="457">
        <f>IF($AO73&lt;&gt;"OK",0,IF(AND(DATE('Thiết lập'!$B$4,10,1)&gt;=DATE(YEAR($H73),MONTH($H73),1),DATE('Thiết lập'!$B$4,10,1)&lt;EDATE(DATE(YEAR($H73),MONTH($H73),1),$O73)),MIN($P73,MAX(0,$N73-$U73-SUM($V73:AD73))),0))</f>
        <v/>
      </c>
      <c r="AF73" s="457">
        <f>IF($AO73&lt;&gt;"OK",0,IF(AND(DATE('Thiết lập'!$B$4,11,1)&gt;=DATE(YEAR($H73),MONTH($H73),1),DATE('Thiết lập'!$B$4,11,1)&lt;EDATE(DATE(YEAR($H73),MONTH($H73),1),$O73)),MIN($P73,MAX(0,$N73-$U73-SUM($V73:AE73))),0))</f>
        <v/>
      </c>
      <c r="AG73" s="457">
        <f>IF($AO73&lt;&gt;"OK",0,IF(AND(DATE('Thiết lập'!$B$4,12,1)&gt;=DATE(YEAR($H73),MONTH($H73),1),DATE('Thiết lập'!$B$4,12,1)&lt;EDATE(DATE(YEAR($H73),MONTH($H73),1),$O73)),MIN($P73,MAX(0,$N73-$U73-SUM($V73:AF73))),0))</f>
        <v/>
      </c>
      <c r="AH73" s="457">
        <f>IF(B73="","",SUM(V73:AG73))</f>
        <v/>
      </c>
      <c r="AI73" s="457">
        <f>IF(B73="","",MIN(N73,IF(U73="",0,U73)+AH73))</f>
        <v/>
      </c>
      <c r="AJ73" s="457">
        <f>IF(B73="","",MAX(0,L73-AI73))</f>
        <v/>
      </c>
      <c r="AK73" s="337">
        <f>IF(B73="","",IF(H73&gt;'Thiết lập'!$B$5,"Chưa khấu hao",IF(AJ73&lt;=IF(M73="",0,M73),"Đã hết khấu hao","Đang khấu hao")))</f>
        <v/>
      </c>
      <c r="AL73" s="275" t="n"/>
      <c r="AM73" s="275" t="n"/>
      <c r="AN73" s="275" t="n"/>
      <c r="AO73" s="343">
        <f>IF(B73="","",IF(COUNTIF($B$7:$B$306,B73)&gt;1,"Trùng mã TSCĐ",IF(C73="","Thiếu tên TSCĐ",IF(H73="","Thiếu ngày bắt đầu",IF(OR(I73&lt;=0,L73&lt;=0,O73&lt;=0),"Kiểm tra số lượng/nguyên giá/thời gian",IF(AND(G73&lt;&gt;"",H73&lt;G73),"Ngày KH trước ngày ghi tăng",IF(M73&gt;L73,"Giá trị thu hồi vượt nguyên giá",IF(IF(U73="",0,U73)&gt;N73,"Lũy kế đầu năm vượt GTKH","OK"))))))))</f>
        <v/>
      </c>
    </row>
    <row r="74" ht="20" customHeight="1" s="389">
      <c r="A74" s="325">
        <f>IF(B74="","",ROW()-6)</f>
        <v/>
      </c>
      <c r="B74" s="275" t="n"/>
      <c r="C74" s="275" t="n"/>
      <c r="D74" s="331" t="n"/>
      <c r="E74" s="331" t="n"/>
      <c r="F74" s="454" t="n"/>
      <c r="G74" s="454" t="n"/>
      <c r="H74" s="454" t="n"/>
      <c r="I74" s="455" t="n"/>
      <c r="J74" s="456" t="n"/>
      <c r="K74" s="456" t="n"/>
      <c r="L74" s="457">
        <f>IF(B74="","",IF(OR(I74="",J74=""),"",I74*J74+IF(K74="",0,K74)))</f>
        <v/>
      </c>
      <c r="M74" s="456" t="n"/>
      <c r="N74" s="457">
        <f>IF(L74="","",MAX(0,L74-IF(M74="",0,M74)))</f>
        <v/>
      </c>
      <c r="O74" s="455" t="n"/>
      <c r="P74" s="457">
        <f>IF(OR(N74="",O74&lt;=0),"",ROUND(N74/O74,0))</f>
        <v/>
      </c>
      <c r="Q74" s="458">
        <f>IF(OR(H74="",O74&lt;=0),"",EOMONTH(H74,O74-1))</f>
        <v/>
      </c>
      <c r="R74" s="331" t="n"/>
      <c r="S74" s="331" t="n"/>
      <c r="T74" s="331" t="n"/>
      <c r="U74" s="456" t="n"/>
      <c r="V74" s="457">
        <f>IF($AO74&lt;&gt;"OK",0,IF(AND(DATE('Thiết lập'!$B$4,1,1)&gt;=DATE(YEAR($H74),MONTH($H74),1),DATE('Thiết lập'!$B$4,1,1)&lt;EDATE(DATE(YEAR($H74),MONTH($H74),1),$O74)),MIN($P74,MAX(0,$N74-$U74-0)),0))</f>
        <v/>
      </c>
      <c r="W74" s="457">
        <f>IF($AO74&lt;&gt;"OK",0,IF(AND(DATE('Thiết lập'!$B$4,2,1)&gt;=DATE(YEAR($H74),MONTH($H74),1),DATE('Thiết lập'!$B$4,2,1)&lt;EDATE(DATE(YEAR($H74),MONTH($H74),1),$O74)),MIN($P74,MAX(0,$N74-$U74-SUM($V74:V74))),0))</f>
        <v/>
      </c>
      <c r="X74" s="457">
        <f>IF($AO74&lt;&gt;"OK",0,IF(AND(DATE('Thiết lập'!$B$4,3,1)&gt;=DATE(YEAR($H74),MONTH($H74),1),DATE('Thiết lập'!$B$4,3,1)&lt;EDATE(DATE(YEAR($H74),MONTH($H74),1),$O74)),MIN($P74,MAX(0,$N74-$U74-SUM($V74:W74))),0))</f>
        <v/>
      </c>
      <c r="Y74" s="457">
        <f>IF($AO74&lt;&gt;"OK",0,IF(AND(DATE('Thiết lập'!$B$4,4,1)&gt;=DATE(YEAR($H74),MONTH($H74),1),DATE('Thiết lập'!$B$4,4,1)&lt;EDATE(DATE(YEAR($H74),MONTH($H74),1),$O74)),MIN($P74,MAX(0,$N74-$U74-SUM($V74:X74))),0))</f>
        <v/>
      </c>
      <c r="Z74" s="457">
        <f>IF($AO74&lt;&gt;"OK",0,IF(AND(DATE('Thiết lập'!$B$4,5,1)&gt;=DATE(YEAR($H74),MONTH($H74),1),DATE('Thiết lập'!$B$4,5,1)&lt;EDATE(DATE(YEAR($H74),MONTH($H74),1),$O74)),MIN($P74,MAX(0,$N74-$U74-SUM($V74:Y74))),0))</f>
        <v/>
      </c>
      <c r="AA74" s="457">
        <f>IF($AO74&lt;&gt;"OK",0,IF(AND(DATE('Thiết lập'!$B$4,6,1)&gt;=DATE(YEAR($H74),MONTH($H74),1),DATE('Thiết lập'!$B$4,6,1)&lt;EDATE(DATE(YEAR($H74),MONTH($H74),1),$O74)),MIN($P74,MAX(0,$N74-$U74-SUM($V74:Z74))),0))</f>
        <v/>
      </c>
      <c r="AB74" s="457">
        <f>IF($AO74&lt;&gt;"OK",0,IF(AND(DATE('Thiết lập'!$B$4,7,1)&gt;=DATE(YEAR($H74),MONTH($H74),1),DATE('Thiết lập'!$B$4,7,1)&lt;EDATE(DATE(YEAR($H74),MONTH($H74),1),$O74)),MIN($P74,MAX(0,$N74-$U74-SUM($V74:AA74))),0))</f>
        <v/>
      </c>
      <c r="AC74" s="457">
        <f>IF($AO74&lt;&gt;"OK",0,IF(AND(DATE('Thiết lập'!$B$4,8,1)&gt;=DATE(YEAR($H74),MONTH($H74),1),DATE('Thiết lập'!$B$4,8,1)&lt;EDATE(DATE(YEAR($H74),MONTH($H74),1),$O74)),MIN($P74,MAX(0,$N74-$U74-SUM($V74:AB74))),0))</f>
        <v/>
      </c>
      <c r="AD74" s="457">
        <f>IF($AO74&lt;&gt;"OK",0,IF(AND(DATE('Thiết lập'!$B$4,9,1)&gt;=DATE(YEAR($H74),MONTH($H74),1),DATE('Thiết lập'!$B$4,9,1)&lt;EDATE(DATE(YEAR($H74),MONTH($H74),1),$O74)),MIN($P74,MAX(0,$N74-$U74-SUM($V74:AC74))),0))</f>
        <v/>
      </c>
      <c r="AE74" s="457">
        <f>IF($AO74&lt;&gt;"OK",0,IF(AND(DATE('Thiết lập'!$B$4,10,1)&gt;=DATE(YEAR($H74),MONTH($H74),1),DATE('Thiết lập'!$B$4,10,1)&lt;EDATE(DATE(YEAR($H74),MONTH($H74),1),$O74)),MIN($P74,MAX(0,$N74-$U74-SUM($V74:AD74))),0))</f>
        <v/>
      </c>
      <c r="AF74" s="457">
        <f>IF($AO74&lt;&gt;"OK",0,IF(AND(DATE('Thiết lập'!$B$4,11,1)&gt;=DATE(YEAR($H74),MONTH($H74),1),DATE('Thiết lập'!$B$4,11,1)&lt;EDATE(DATE(YEAR($H74),MONTH($H74),1),$O74)),MIN($P74,MAX(0,$N74-$U74-SUM($V74:AE74))),0))</f>
        <v/>
      </c>
      <c r="AG74" s="457">
        <f>IF($AO74&lt;&gt;"OK",0,IF(AND(DATE('Thiết lập'!$B$4,12,1)&gt;=DATE(YEAR($H74),MONTH($H74),1),DATE('Thiết lập'!$B$4,12,1)&lt;EDATE(DATE(YEAR($H74),MONTH($H74),1),$O74)),MIN($P74,MAX(0,$N74-$U74-SUM($V74:AF74))),0))</f>
        <v/>
      </c>
      <c r="AH74" s="457">
        <f>IF(B74="","",SUM(V74:AG74))</f>
        <v/>
      </c>
      <c r="AI74" s="457">
        <f>IF(B74="","",MIN(N74,IF(U74="",0,U74)+AH74))</f>
        <v/>
      </c>
      <c r="AJ74" s="457">
        <f>IF(B74="","",MAX(0,L74-AI74))</f>
        <v/>
      </c>
      <c r="AK74" s="337">
        <f>IF(B74="","",IF(H74&gt;'Thiết lập'!$B$5,"Chưa khấu hao",IF(AJ74&lt;=IF(M74="",0,M74),"Đã hết khấu hao","Đang khấu hao")))</f>
        <v/>
      </c>
      <c r="AL74" s="275" t="n"/>
      <c r="AM74" s="275" t="n"/>
      <c r="AN74" s="275" t="n"/>
      <c r="AO74" s="343">
        <f>IF(B74="","",IF(COUNTIF($B$7:$B$306,B74)&gt;1,"Trùng mã TSCĐ",IF(C74="","Thiếu tên TSCĐ",IF(H74="","Thiếu ngày bắt đầu",IF(OR(I74&lt;=0,L74&lt;=0,O74&lt;=0),"Kiểm tra số lượng/nguyên giá/thời gian",IF(AND(G74&lt;&gt;"",H74&lt;G74),"Ngày KH trước ngày ghi tăng",IF(M74&gt;L74,"Giá trị thu hồi vượt nguyên giá",IF(IF(U74="",0,U74)&gt;N74,"Lũy kế đầu năm vượt GTKH","OK"))))))))</f>
        <v/>
      </c>
    </row>
    <row r="75" ht="20" customHeight="1" s="389">
      <c r="A75" s="325">
        <f>IF(B75="","",ROW()-6)</f>
        <v/>
      </c>
      <c r="B75" s="275" t="n"/>
      <c r="C75" s="275" t="n"/>
      <c r="D75" s="331" t="n"/>
      <c r="E75" s="331" t="n"/>
      <c r="F75" s="454" t="n"/>
      <c r="G75" s="454" t="n"/>
      <c r="H75" s="454" t="n"/>
      <c r="I75" s="455" t="n"/>
      <c r="J75" s="456" t="n"/>
      <c r="K75" s="456" t="n"/>
      <c r="L75" s="457">
        <f>IF(B75="","",IF(OR(I75="",J75=""),"",I75*J75+IF(K75="",0,K75)))</f>
        <v/>
      </c>
      <c r="M75" s="456" t="n"/>
      <c r="N75" s="457">
        <f>IF(L75="","",MAX(0,L75-IF(M75="",0,M75)))</f>
        <v/>
      </c>
      <c r="O75" s="455" t="n"/>
      <c r="P75" s="457">
        <f>IF(OR(N75="",O75&lt;=0),"",ROUND(N75/O75,0))</f>
        <v/>
      </c>
      <c r="Q75" s="458">
        <f>IF(OR(H75="",O75&lt;=0),"",EOMONTH(H75,O75-1))</f>
        <v/>
      </c>
      <c r="R75" s="331" t="n"/>
      <c r="S75" s="331" t="n"/>
      <c r="T75" s="331" t="n"/>
      <c r="U75" s="456" t="n"/>
      <c r="V75" s="457">
        <f>IF($AO75&lt;&gt;"OK",0,IF(AND(DATE('Thiết lập'!$B$4,1,1)&gt;=DATE(YEAR($H75),MONTH($H75),1),DATE('Thiết lập'!$B$4,1,1)&lt;EDATE(DATE(YEAR($H75),MONTH($H75),1),$O75)),MIN($P75,MAX(0,$N75-$U75-0)),0))</f>
        <v/>
      </c>
      <c r="W75" s="457">
        <f>IF($AO75&lt;&gt;"OK",0,IF(AND(DATE('Thiết lập'!$B$4,2,1)&gt;=DATE(YEAR($H75),MONTH($H75),1),DATE('Thiết lập'!$B$4,2,1)&lt;EDATE(DATE(YEAR($H75),MONTH($H75),1),$O75)),MIN($P75,MAX(0,$N75-$U75-SUM($V75:V75))),0))</f>
        <v/>
      </c>
      <c r="X75" s="457">
        <f>IF($AO75&lt;&gt;"OK",0,IF(AND(DATE('Thiết lập'!$B$4,3,1)&gt;=DATE(YEAR($H75),MONTH($H75),1),DATE('Thiết lập'!$B$4,3,1)&lt;EDATE(DATE(YEAR($H75),MONTH($H75),1),$O75)),MIN($P75,MAX(0,$N75-$U75-SUM($V75:W75))),0))</f>
        <v/>
      </c>
      <c r="Y75" s="457">
        <f>IF($AO75&lt;&gt;"OK",0,IF(AND(DATE('Thiết lập'!$B$4,4,1)&gt;=DATE(YEAR($H75),MONTH($H75),1),DATE('Thiết lập'!$B$4,4,1)&lt;EDATE(DATE(YEAR($H75),MONTH($H75),1),$O75)),MIN($P75,MAX(0,$N75-$U75-SUM($V75:X75))),0))</f>
        <v/>
      </c>
      <c r="Z75" s="457">
        <f>IF($AO75&lt;&gt;"OK",0,IF(AND(DATE('Thiết lập'!$B$4,5,1)&gt;=DATE(YEAR($H75),MONTH($H75),1),DATE('Thiết lập'!$B$4,5,1)&lt;EDATE(DATE(YEAR($H75),MONTH($H75),1),$O75)),MIN($P75,MAX(0,$N75-$U75-SUM($V75:Y75))),0))</f>
        <v/>
      </c>
      <c r="AA75" s="457">
        <f>IF($AO75&lt;&gt;"OK",0,IF(AND(DATE('Thiết lập'!$B$4,6,1)&gt;=DATE(YEAR($H75),MONTH($H75),1),DATE('Thiết lập'!$B$4,6,1)&lt;EDATE(DATE(YEAR($H75),MONTH($H75),1),$O75)),MIN($P75,MAX(0,$N75-$U75-SUM($V75:Z75))),0))</f>
        <v/>
      </c>
      <c r="AB75" s="457">
        <f>IF($AO75&lt;&gt;"OK",0,IF(AND(DATE('Thiết lập'!$B$4,7,1)&gt;=DATE(YEAR($H75),MONTH($H75),1),DATE('Thiết lập'!$B$4,7,1)&lt;EDATE(DATE(YEAR($H75),MONTH($H75),1),$O75)),MIN($P75,MAX(0,$N75-$U75-SUM($V75:AA75))),0))</f>
        <v/>
      </c>
      <c r="AC75" s="457">
        <f>IF($AO75&lt;&gt;"OK",0,IF(AND(DATE('Thiết lập'!$B$4,8,1)&gt;=DATE(YEAR($H75),MONTH($H75),1),DATE('Thiết lập'!$B$4,8,1)&lt;EDATE(DATE(YEAR($H75),MONTH($H75),1),$O75)),MIN($P75,MAX(0,$N75-$U75-SUM($V75:AB75))),0))</f>
        <v/>
      </c>
      <c r="AD75" s="457">
        <f>IF($AO75&lt;&gt;"OK",0,IF(AND(DATE('Thiết lập'!$B$4,9,1)&gt;=DATE(YEAR($H75),MONTH($H75),1),DATE('Thiết lập'!$B$4,9,1)&lt;EDATE(DATE(YEAR($H75),MONTH($H75),1),$O75)),MIN($P75,MAX(0,$N75-$U75-SUM($V75:AC75))),0))</f>
        <v/>
      </c>
      <c r="AE75" s="457">
        <f>IF($AO75&lt;&gt;"OK",0,IF(AND(DATE('Thiết lập'!$B$4,10,1)&gt;=DATE(YEAR($H75),MONTH($H75),1),DATE('Thiết lập'!$B$4,10,1)&lt;EDATE(DATE(YEAR($H75),MONTH($H75),1),$O75)),MIN($P75,MAX(0,$N75-$U75-SUM($V75:AD75))),0))</f>
        <v/>
      </c>
      <c r="AF75" s="457">
        <f>IF($AO75&lt;&gt;"OK",0,IF(AND(DATE('Thiết lập'!$B$4,11,1)&gt;=DATE(YEAR($H75),MONTH($H75),1),DATE('Thiết lập'!$B$4,11,1)&lt;EDATE(DATE(YEAR($H75),MONTH($H75),1),$O75)),MIN($P75,MAX(0,$N75-$U75-SUM($V75:AE75))),0))</f>
        <v/>
      </c>
      <c r="AG75" s="457">
        <f>IF($AO75&lt;&gt;"OK",0,IF(AND(DATE('Thiết lập'!$B$4,12,1)&gt;=DATE(YEAR($H75),MONTH($H75),1),DATE('Thiết lập'!$B$4,12,1)&lt;EDATE(DATE(YEAR($H75),MONTH($H75),1),$O75)),MIN($P75,MAX(0,$N75-$U75-SUM($V75:AF75))),0))</f>
        <v/>
      </c>
      <c r="AH75" s="457">
        <f>IF(B75="","",SUM(V75:AG75))</f>
        <v/>
      </c>
      <c r="AI75" s="457">
        <f>IF(B75="","",MIN(N75,IF(U75="",0,U75)+AH75))</f>
        <v/>
      </c>
      <c r="AJ75" s="457">
        <f>IF(B75="","",MAX(0,L75-AI75))</f>
        <v/>
      </c>
      <c r="AK75" s="337">
        <f>IF(B75="","",IF(H75&gt;'Thiết lập'!$B$5,"Chưa khấu hao",IF(AJ75&lt;=IF(M75="",0,M75),"Đã hết khấu hao","Đang khấu hao")))</f>
        <v/>
      </c>
      <c r="AL75" s="275" t="n"/>
      <c r="AM75" s="275" t="n"/>
      <c r="AN75" s="275" t="n"/>
      <c r="AO75" s="343">
        <f>IF(B75="","",IF(COUNTIF($B$7:$B$306,B75)&gt;1,"Trùng mã TSCĐ",IF(C75="","Thiếu tên TSCĐ",IF(H75="","Thiếu ngày bắt đầu",IF(OR(I75&lt;=0,L75&lt;=0,O75&lt;=0),"Kiểm tra số lượng/nguyên giá/thời gian",IF(AND(G75&lt;&gt;"",H75&lt;G75),"Ngày KH trước ngày ghi tăng",IF(M75&gt;L75,"Giá trị thu hồi vượt nguyên giá",IF(IF(U75="",0,U75)&gt;N75,"Lũy kế đầu năm vượt GTKH","OK"))))))))</f>
        <v/>
      </c>
    </row>
    <row r="76" ht="20" customHeight="1" s="389">
      <c r="A76" s="325">
        <f>IF(B76="","",ROW()-6)</f>
        <v/>
      </c>
      <c r="B76" s="275" t="n"/>
      <c r="C76" s="275" t="n"/>
      <c r="D76" s="331" t="n"/>
      <c r="E76" s="331" t="n"/>
      <c r="F76" s="454" t="n"/>
      <c r="G76" s="454" t="n"/>
      <c r="H76" s="454" t="n"/>
      <c r="I76" s="455" t="n"/>
      <c r="J76" s="456" t="n"/>
      <c r="K76" s="456" t="n"/>
      <c r="L76" s="457">
        <f>IF(B76="","",IF(OR(I76="",J76=""),"",I76*J76+IF(K76="",0,K76)))</f>
        <v/>
      </c>
      <c r="M76" s="456" t="n"/>
      <c r="N76" s="457">
        <f>IF(L76="","",MAX(0,L76-IF(M76="",0,M76)))</f>
        <v/>
      </c>
      <c r="O76" s="455" t="n"/>
      <c r="P76" s="457">
        <f>IF(OR(N76="",O76&lt;=0),"",ROUND(N76/O76,0))</f>
        <v/>
      </c>
      <c r="Q76" s="458">
        <f>IF(OR(H76="",O76&lt;=0),"",EOMONTH(H76,O76-1))</f>
        <v/>
      </c>
      <c r="R76" s="331" t="n"/>
      <c r="S76" s="331" t="n"/>
      <c r="T76" s="331" t="n"/>
      <c r="U76" s="456" t="n"/>
      <c r="V76" s="457">
        <f>IF($AO76&lt;&gt;"OK",0,IF(AND(DATE('Thiết lập'!$B$4,1,1)&gt;=DATE(YEAR($H76),MONTH($H76),1),DATE('Thiết lập'!$B$4,1,1)&lt;EDATE(DATE(YEAR($H76),MONTH($H76),1),$O76)),MIN($P76,MAX(0,$N76-$U76-0)),0))</f>
        <v/>
      </c>
      <c r="W76" s="457">
        <f>IF($AO76&lt;&gt;"OK",0,IF(AND(DATE('Thiết lập'!$B$4,2,1)&gt;=DATE(YEAR($H76),MONTH($H76),1),DATE('Thiết lập'!$B$4,2,1)&lt;EDATE(DATE(YEAR($H76),MONTH($H76),1),$O76)),MIN($P76,MAX(0,$N76-$U76-SUM($V76:V76))),0))</f>
        <v/>
      </c>
      <c r="X76" s="457">
        <f>IF($AO76&lt;&gt;"OK",0,IF(AND(DATE('Thiết lập'!$B$4,3,1)&gt;=DATE(YEAR($H76),MONTH($H76),1),DATE('Thiết lập'!$B$4,3,1)&lt;EDATE(DATE(YEAR($H76),MONTH($H76),1),$O76)),MIN($P76,MAX(0,$N76-$U76-SUM($V76:W76))),0))</f>
        <v/>
      </c>
      <c r="Y76" s="457">
        <f>IF($AO76&lt;&gt;"OK",0,IF(AND(DATE('Thiết lập'!$B$4,4,1)&gt;=DATE(YEAR($H76),MONTH($H76),1),DATE('Thiết lập'!$B$4,4,1)&lt;EDATE(DATE(YEAR($H76),MONTH($H76),1),$O76)),MIN($P76,MAX(0,$N76-$U76-SUM($V76:X76))),0))</f>
        <v/>
      </c>
      <c r="Z76" s="457">
        <f>IF($AO76&lt;&gt;"OK",0,IF(AND(DATE('Thiết lập'!$B$4,5,1)&gt;=DATE(YEAR($H76),MONTH($H76),1),DATE('Thiết lập'!$B$4,5,1)&lt;EDATE(DATE(YEAR($H76),MONTH($H76),1),$O76)),MIN($P76,MAX(0,$N76-$U76-SUM($V76:Y76))),0))</f>
        <v/>
      </c>
      <c r="AA76" s="457">
        <f>IF($AO76&lt;&gt;"OK",0,IF(AND(DATE('Thiết lập'!$B$4,6,1)&gt;=DATE(YEAR($H76),MONTH($H76),1),DATE('Thiết lập'!$B$4,6,1)&lt;EDATE(DATE(YEAR($H76),MONTH($H76),1),$O76)),MIN($P76,MAX(0,$N76-$U76-SUM($V76:Z76))),0))</f>
        <v/>
      </c>
      <c r="AB76" s="457">
        <f>IF($AO76&lt;&gt;"OK",0,IF(AND(DATE('Thiết lập'!$B$4,7,1)&gt;=DATE(YEAR($H76),MONTH($H76),1),DATE('Thiết lập'!$B$4,7,1)&lt;EDATE(DATE(YEAR($H76),MONTH($H76),1),$O76)),MIN($P76,MAX(0,$N76-$U76-SUM($V76:AA76))),0))</f>
        <v/>
      </c>
      <c r="AC76" s="457">
        <f>IF($AO76&lt;&gt;"OK",0,IF(AND(DATE('Thiết lập'!$B$4,8,1)&gt;=DATE(YEAR($H76),MONTH($H76),1),DATE('Thiết lập'!$B$4,8,1)&lt;EDATE(DATE(YEAR($H76),MONTH($H76),1),$O76)),MIN($P76,MAX(0,$N76-$U76-SUM($V76:AB76))),0))</f>
        <v/>
      </c>
      <c r="AD76" s="457">
        <f>IF($AO76&lt;&gt;"OK",0,IF(AND(DATE('Thiết lập'!$B$4,9,1)&gt;=DATE(YEAR($H76),MONTH($H76),1),DATE('Thiết lập'!$B$4,9,1)&lt;EDATE(DATE(YEAR($H76),MONTH($H76),1),$O76)),MIN($P76,MAX(0,$N76-$U76-SUM($V76:AC76))),0))</f>
        <v/>
      </c>
      <c r="AE76" s="457">
        <f>IF($AO76&lt;&gt;"OK",0,IF(AND(DATE('Thiết lập'!$B$4,10,1)&gt;=DATE(YEAR($H76),MONTH($H76),1),DATE('Thiết lập'!$B$4,10,1)&lt;EDATE(DATE(YEAR($H76),MONTH($H76),1),$O76)),MIN($P76,MAX(0,$N76-$U76-SUM($V76:AD76))),0))</f>
        <v/>
      </c>
      <c r="AF76" s="457">
        <f>IF($AO76&lt;&gt;"OK",0,IF(AND(DATE('Thiết lập'!$B$4,11,1)&gt;=DATE(YEAR($H76),MONTH($H76),1),DATE('Thiết lập'!$B$4,11,1)&lt;EDATE(DATE(YEAR($H76),MONTH($H76),1),$O76)),MIN($P76,MAX(0,$N76-$U76-SUM($V76:AE76))),0))</f>
        <v/>
      </c>
      <c r="AG76" s="457">
        <f>IF($AO76&lt;&gt;"OK",0,IF(AND(DATE('Thiết lập'!$B$4,12,1)&gt;=DATE(YEAR($H76),MONTH($H76),1),DATE('Thiết lập'!$B$4,12,1)&lt;EDATE(DATE(YEAR($H76),MONTH($H76),1),$O76)),MIN($P76,MAX(0,$N76-$U76-SUM($V76:AF76))),0))</f>
        <v/>
      </c>
      <c r="AH76" s="457">
        <f>IF(B76="","",SUM(V76:AG76))</f>
        <v/>
      </c>
      <c r="AI76" s="457">
        <f>IF(B76="","",MIN(N76,IF(U76="",0,U76)+AH76))</f>
        <v/>
      </c>
      <c r="AJ76" s="457">
        <f>IF(B76="","",MAX(0,L76-AI76))</f>
        <v/>
      </c>
      <c r="AK76" s="337">
        <f>IF(B76="","",IF(H76&gt;'Thiết lập'!$B$5,"Chưa khấu hao",IF(AJ76&lt;=IF(M76="",0,M76),"Đã hết khấu hao","Đang khấu hao")))</f>
        <v/>
      </c>
      <c r="AL76" s="275" t="n"/>
      <c r="AM76" s="275" t="n"/>
      <c r="AN76" s="275" t="n"/>
      <c r="AO76" s="343">
        <f>IF(B76="","",IF(COUNTIF($B$7:$B$306,B76)&gt;1,"Trùng mã TSCĐ",IF(C76="","Thiếu tên TSCĐ",IF(H76="","Thiếu ngày bắt đầu",IF(OR(I76&lt;=0,L76&lt;=0,O76&lt;=0),"Kiểm tra số lượng/nguyên giá/thời gian",IF(AND(G76&lt;&gt;"",H76&lt;G76),"Ngày KH trước ngày ghi tăng",IF(M76&gt;L76,"Giá trị thu hồi vượt nguyên giá",IF(IF(U76="",0,U76)&gt;N76,"Lũy kế đầu năm vượt GTKH","OK"))))))))</f>
        <v/>
      </c>
    </row>
    <row r="77" ht="20" customHeight="1" s="389">
      <c r="A77" s="325">
        <f>IF(B77="","",ROW()-6)</f>
        <v/>
      </c>
      <c r="B77" s="275" t="n"/>
      <c r="C77" s="275" t="n"/>
      <c r="D77" s="331" t="n"/>
      <c r="E77" s="331" t="n"/>
      <c r="F77" s="454" t="n"/>
      <c r="G77" s="454" t="n"/>
      <c r="H77" s="454" t="n"/>
      <c r="I77" s="455" t="n"/>
      <c r="J77" s="456" t="n"/>
      <c r="K77" s="456" t="n"/>
      <c r="L77" s="457">
        <f>IF(B77="","",IF(OR(I77="",J77=""),"",I77*J77+IF(K77="",0,K77)))</f>
        <v/>
      </c>
      <c r="M77" s="456" t="n"/>
      <c r="N77" s="457">
        <f>IF(L77="","",MAX(0,L77-IF(M77="",0,M77)))</f>
        <v/>
      </c>
      <c r="O77" s="455" t="n"/>
      <c r="P77" s="457">
        <f>IF(OR(N77="",O77&lt;=0),"",ROUND(N77/O77,0))</f>
        <v/>
      </c>
      <c r="Q77" s="458">
        <f>IF(OR(H77="",O77&lt;=0),"",EOMONTH(H77,O77-1))</f>
        <v/>
      </c>
      <c r="R77" s="331" t="n"/>
      <c r="S77" s="331" t="n"/>
      <c r="T77" s="331" t="n"/>
      <c r="U77" s="456" t="n"/>
      <c r="V77" s="457">
        <f>IF($AO77&lt;&gt;"OK",0,IF(AND(DATE('Thiết lập'!$B$4,1,1)&gt;=DATE(YEAR($H77),MONTH($H77),1),DATE('Thiết lập'!$B$4,1,1)&lt;EDATE(DATE(YEAR($H77),MONTH($H77),1),$O77)),MIN($P77,MAX(0,$N77-$U77-0)),0))</f>
        <v/>
      </c>
      <c r="W77" s="457">
        <f>IF($AO77&lt;&gt;"OK",0,IF(AND(DATE('Thiết lập'!$B$4,2,1)&gt;=DATE(YEAR($H77),MONTH($H77),1),DATE('Thiết lập'!$B$4,2,1)&lt;EDATE(DATE(YEAR($H77),MONTH($H77),1),$O77)),MIN($P77,MAX(0,$N77-$U77-SUM($V77:V77))),0))</f>
        <v/>
      </c>
      <c r="X77" s="457">
        <f>IF($AO77&lt;&gt;"OK",0,IF(AND(DATE('Thiết lập'!$B$4,3,1)&gt;=DATE(YEAR($H77),MONTH($H77),1),DATE('Thiết lập'!$B$4,3,1)&lt;EDATE(DATE(YEAR($H77),MONTH($H77),1),$O77)),MIN($P77,MAX(0,$N77-$U77-SUM($V77:W77))),0))</f>
        <v/>
      </c>
      <c r="Y77" s="457">
        <f>IF($AO77&lt;&gt;"OK",0,IF(AND(DATE('Thiết lập'!$B$4,4,1)&gt;=DATE(YEAR($H77),MONTH($H77),1),DATE('Thiết lập'!$B$4,4,1)&lt;EDATE(DATE(YEAR($H77),MONTH($H77),1),$O77)),MIN($P77,MAX(0,$N77-$U77-SUM($V77:X77))),0))</f>
        <v/>
      </c>
      <c r="Z77" s="457">
        <f>IF($AO77&lt;&gt;"OK",0,IF(AND(DATE('Thiết lập'!$B$4,5,1)&gt;=DATE(YEAR($H77),MONTH($H77),1),DATE('Thiết lập'!$B$4,5,1)&lt;EDATE(DATE(YEAR($H77),MONTH($H77),1),$O77)),MIN($P77,MAX(0,$N77-$U77-SUM($V77:Y77))),0))</f>
        <v/>
      </c>
      <c r="AA77" s="457">
        <f>IF($AO77&lt;&gt;"OK",0,IF(AND(DATE('Thiết lập'!$B$4,6,1)&gt;=DATE(YEAR($H77),MONTH($H77),1),DATE('Thiết lập'!$B$4,6,1)&lt;EDATE(DATE(YEAR($H77),MONTH($H77),1),$O77)),MIN($P77,MAX(0,$N77-$U77-SUM($V77:Z77))),0))</f>
        <v/>
      </c>
      <c r="AB77" s="457">
        <f>IF($AO77&lt;&gt;"OK",0,IF(AND(DATE('Thiết lập'!$B$4,7,1)&gt;=DATE(YEAR($H77),MONTH($H77),1),DATE('Thiết lập'!$B$4,7,1)&lt;EDATE(DATE(YEAR($H77),MONTH($H77),1),$O77)),MIN($P77,MAX(0,$N77-$U77-SUM($V77:AA77))),0))</f>
        <v/>
      </c>
      <c r="AC77" s="457">
        <f>IF($AO77&lt;&gt;"OK",0,IF(AND(DATE('Thiết lập'!$B$4,8,1)&gt;=DATE(YEAR($H77),MONTH($H77),1),DATE('Thiết lập'!$B$4,8,1)&lt;EDATE(DATE(YEAR($H77),MONTH($H77),1),$O77)),MIN($P77,MAX(0,$N77-$U77-SUM($V77:AB77))),0))</f>
        <v/>
      </c>
      <c r="AD77" s="457">
        <f>IF($AO77&lt;&gt;"OK",0,IF(AND(DATE('Thiết lập'!$B$4,9,1)&gt;=DATE(YEAR($H77),MONTH($H77),1),DATE('Thiết lập'!$B$4,9,1)&lt;EDATE(DATE(YEAR($H77),MONTH($H77),1),$O77)),MIN($P77,MAX(0,$N77-$U77-SUM($V77:AC77))),0))</f>
        <v/>
      </c>
      <c r="AE77" s="457">
        <f>IF($AO77&lt;&gt;"OK",0,IF(AND(DATE('Thiết lập'!$B$4,10,1)&gt;=DATE(YEAR($H77),MONTH($H77),1),DATE('Thiết lập'!$B$4,10,1)&lt;EDATE(DATE(YEAR($H77),MONTH($H77),1),$O77)),MIN($P77,MAX(0,$N77-$U77-SUM($V77:AD77))),0))</f>
        <v/>
      </c>
      <c r="AF77" s="457">
        <f>IF($AO77&lt;&gt;"OK",0,IF(AND(DATE('Thiết lập'!$B$4,11,1)&gt;=DATE(YEAR($H77),MONTH($H77),1),DATE('Thiết lập'!$B$4,11,1)&lt;EDATE(DATE(YEAR($H77),MONTH($H77),1),$O77)),MIN($P77,MAX(0,$N77-$U77-SUM($V77:AE77))),0))</f>
        <v/>
      </c>
      <c r="AG77" s="457">
        <f>IF($AO77&lt;&gt;"OK",0,IF(AND(DATE('Thiết lập'!$B$4,12,1)&gt;=DATE(YEAR($H77),MONTH($H77),1),DATE('Thiết lập'!$B$4,12,1)&lt;EDATE(DATE(YEAR($H77),MONTH($H77),1),$O77)),MIN($P77,MAX(0,$N77-$U77-SUM($V77:AF77))),0))</f>
        <v/>
      </c>
      <c r="AH77" s="457">
        <f>IF(B77="","",SUM(V77:AG77))</f>
        <v/>
      </c>
      <c r="AI77" s="457">
        <f>IF(B77="","",MIN(N77,IF(U77="",0,U77)+AH77))</f>
        <v/>
      </c>
      <c r="AJ77" s="457">
        <f>IF(B77="","",MAX(0,L77-AI77))</f>
        <v/>
      </c>
      <c r="AK77" s="337">
        <f>IF(B77="","",IF(H77&gt;'Thiết lập'!$B$5,"Chưa khấu hao",IF(AJ77&lt;=IF(M77="",0,M77),"Đã hết khấu hao","Đang khấu hao")))</f>
        <v/>
      </c>
      <c r="AL77" s="275" t="n"/>
      <c r="AM77" s="275" t="n"/>
      <c r="AN77" s="275" t="n"/>
      <c r="AO77" s="343">
        <f>IF(B77="","",IF(COUNTIF($B$7:$B$306,B77)&gt;1,"Trùng mã TSCĐ",IF(C77="","Thiếu tên TSCĐ",IF(H77="","Thiếu ngày bắt đầu",IF(OR(I77&lt;=0,L77&lt;=0,O77&lt;=0),"Kiểm tra số lượng/nguyên giá/thời gian",IF(AND(G77&lt;&gt;"",H77&lt;G77),"Ngày KH trước ngày ghi tăng",IF(M77&gt;L77,"Giá trị thu hồi vượt nguyên giá",IF(IF(U77="",0,U77)&gt;N77,"Lũy kế đầu năm vượt GTKH","OK"))))))))</f>
        <v/>
      </c>
    </row>
    <row r="78" ht="20" customHeight="1" s="389">
      <c r="A78" s="325">
        <f>IF(B78="","",ROW()-6)</f>
        <v/>
      </c>
      <c r="B78" s="275" t="n"/>
      <c r="C78" s="275" t="n"/>
      <c r="D78" s="331" t="n"/>
      <c r="E78" s="331" t="n"/>
      <c r="F78" s="454" t="n"/>
      <c r="G78" s="454" t="n"/>
      <c r="H78" s="454" t="n"/>
      <c r="I78" s="455" t="n"/>
      <c r="J78" s="456" t="n"/>
      <c r="K78" s="456" t="n"/>
      <c r="L78" s="457">
        <f>IF(B78="","",IF(OR(I78="",J78=""),"",I78*J78+IF(K78="",0,K78)))</f>
        <v/>
      </c>
      <c r="M78" s="456" t="n"/>
      <c r="N78" s="457">
        <f>IF(L78="","",MAX(0,L78-IF(M78="",0,M78)))</f>
        <v/>
      </c>
      <c r="O78" s="455" t="n"/>
      <c r="P78" s="457">
        <f>IF(OR(N78="",O78&lt;=0),"",ROUND(N78/O78,0))</f>
        <v/>
      </c>
      <c r="Q78" s="458">
        <f>IF(OR(H78="",O78&lt;=0),"",EOMONTH(H78,O78-1))</f>
        <v/>
      </c>
      <c r="R78" s="331" t="n"/>
      <c r="S78" s="331" t="n"/>
      <c r="T78" s="331" t="n"/>
      <c r="U78" s="456" t="n"/>
      <c r="V78" s="457">
        <f>IF($AO78&lt;&gt;"OK",0,IF(AND(DATE('Thiết lập'!$B$4,1,1)&gt;=DATE(YEAR($H78),MONTH($H78),1),DATE('Thiết lập'!$B$4,1,1)&lt;EDATE(DATE(YEAR($H78),MONTH($H78),1),$O78)),MIN($P78,MAX(0,$N78-$U78-0)),0))</f>
        <v/>
      </c>
      <c r="W78" s="457">
        <f>IF($AO78&lt;&gt;"OK",0,IF(AND(DATE('Thiết lập'!$B$4,2,1)&gt;=DATE(YEAR($H78),MONTH($H78),1),DATE('Thiết lập'!$B$4,2,1)&lt;EDATE(DATE(YEAR($H78),MONTH($H78),1),$O78)),MIN($P78,MAX(0,$N78-$U78-SUM($V78:V78))),0))</f>
        <v/>
      </c>
      <c r="X78" s="457">
        <f>IF($AO78&lt;&gt;"OK",0,IF(AND(DATE('Thiết lập'!$B$4,3,1)&gt;=DATE(YEAR($H78),MONTH($H78),1),DATE('Thiết lập'!$B$4,3,1)&lt;EDATE(DATE(YEAR($H78),MONTH($H78),1),$O78)),MIN($P78,MAX(0,$N78-$U78-SUM($V78:W78))),0))</f>
        <v/>
      </c>
      <c r="Y78" s="457">
        <f>IF($AO78&lt;&gt;"OK",0,IF(AND(DATE('Thiết lập'!$B$4,4,1)&gt;=DATE(YEAR($H78),MONTH($H78),1),DATE('Thiết lập'!$B$4,4,1)&lt;EDATE(DATE(YEAR($H78),MONTH($H78),1),$O78)),MIN($P78,MAX(0,$N78-$U78-SUM($V78:X78))),0))</f>
        <v/>
      </c>
      <c r="Z78" s="457">
        <f>IF($AO78&lt;&gt;"OK",0,IF(AND(DATE('Thiết lập'!$B$4,5,1)&gt;=DATE(YEAR($H78),MONTH($H78),1),DATE('Thiết lập'!$B$4,5,1)&lt;EDATE(DATE(YEAR($H78),MONTH($H78),1),$O78)),MIN($P78,MAX(0,$N78-$U78-SUM($V78:Y78))),0))</f>
        <v/>
      </c>
      <c r="AA78" s="457">
        <f>IF($AO78&lt;&gt;"OK",0,IF(AND(DATE('Thiết lập'!$B$4,6,1)&gt;=DATE(YEAR($H78),MONTH($H78),1),DATE('Thiết lập'!$B$4,6,1)&lt;EDATE(DATE(YEAR($H78),MONTH($H78),1),$O78)),MIN($P78,MAX(0,$N78-$U78-SUM($V78:Z78))),0))</f>
        <v/>
      </c>
      <c r="AB78" s="457">
        <f>IF($AO78&lt;&gt;"OK",0,IF(AND(DATE('Thiết lập'!$B$4,7,1)&gt;=DATE(YEAR($H78),MONTH($H78),1),DATE('Thiết lập'!$B$4,7,1)&lt;EDATE(DATE(YEAR($H78),MONTH($H78),1),$O78)),MIN($P78,MAX(0,$N78-$U78-SUM($V78:AA78))),0))</f>
        <v/>
      </c>
      <c r="AC78" s="457">
        <f>IF($AO78&lt;&gt;"OK",0,IF(AND(DATE('Thiết lập'!$B$4,8,1)&gt;=DATE(YEAR($H78),MONTH($H78),1),DATE('Thiết lập'!$B$4,8,1)&lt;EDATE(DATE(YEAR($H78),MONTH($H78),1),$O78)),MIN($P78,MAX(0,$N78-$U78-SUM($V78:AB78))),0))</f>
        <v/>
      </c>
      <c r="AD78" s="457">
        <f>IF($AO78&lt;&gt;"OK",0,IF(AND(DATE('Thiết lập'!$B$4,9,1)&gt;=DATE(YEAR($H78),MONTH($H78),1),DATE('Thiết lập'!$B$4,9,1)&lt;EDATE(DATE(YEAR($H78),MONTH($H78),1),$O78)),MIN($P78,MAX(0,$N78-$U78-SUM($V78:AC78))),0))</f>
        <v/>
      </c>
      <c r="AE78" s="457">
        <f>IF($AO78&lt;&gt;"OK",0,IF(AND(DATE('Thiết lập'!$B$4,10,1)&gt;=DATE(YEAR($H78),MONTH($H78),1),DATE('Thiết lập'!$B$4,10,1)&lt;EDATE(DATE(YEAR($H78),MONTH($H78),1),$O78)),MIN($P78,MAX(0,$N78-$U78-SUM($V78:AD78))),0))</f>
        <v/>
      </c>
      <c r="AF78" s="457">
        <f>IF($AO78&lt;&gt;"OK",0,IF(AND(DATE('Thiết lập'!$B$4,11,1)&gt;=DATE(YEAR($H78),MONTH($H78),1),DATE('Thiết lập'!$B$4,11,1)&lt;EDATE(DATE(YEAR($H78),MONTH($H78),1),$O78)),MIN($P78,MAX(0,$N78-$U78-SUM($V78:AE78))),0))</f>
        <v/>
      </c>
      <c r="AG78" s="457">
        <f>IF($AO78&lt;&gt;"OK",0,IF(AND(DATE('Thiết lập'!$B$4,12,1)&gt;=DATE(YEAR($H78),MONTH($H78),1),DATE('Thiết lập'!$B$4,12,1)&lt;EDATE(DATE(YEAR($H78),MONTH($H78),1),$O78)),MIN($P78,MAX(0,$N78-$U78-SUM($V78:AF78))),0))</f>
        <v/>
      </c>
      <c r="AH78" s="457">
        <f>IF(B78="","",SUM(V78:AG78))</f>
        <v/>
      </c>
      <c r="AI78" s="457">
        <f>IF(B78="","",MIN(N78,IF(U78="",0,U78)+AH78))</f>
        <v/>
      </c>
      <c r="AJ78" s="457">
        <f>IF(B78="","",MAX(0,L78-AI78))</f>
        <v/>
      </c>
      <c r="AK78" s="337">
        <f>IF(B78="","",IF(H78&gt;'Thiết lập'!$B$5,"Chưa khấu hao",IF(AJ78&lt;=IF(M78="",0,M78),"Đã hết khấu hao","Đang khấu hao")))</f>
        <v/>
      </c>
      <c r="AL78" s="275" t="n"/>
      <c r="AM78" s="275" t="n"/>
      <c r="AN78" s="275" t="n"/>
      <c r="AO78" s="343">
        <f>IF(B78="","",IF(COUNTIF($B$7:$B$306,B78)&gt;1,"Trùng mã TSCĐ",IF(C78="","Thiếu tên TSCĐ",IF(H78="","Thiếu ngày bắt đầu",IF(OR(I78&lt;=0,L78&lt;=0,O78&lt;=0),"Kiểm tra số lượng/nguyên giá/thời gian",IF(AND(G78&lt;&gt;"",H78&lt;G78),"Ngày KH trước ngày ghi tăng",IF(M78&gt;L78,"Giá trị thu hồi vượt nguyên giá",IF(IF(U78="",0,U78)&gt;N78,"Lũy kế đầu năm vượt GTKH","OK"))))))))</f>
        <v/>
      </c>
    </row>
    <row r="79" ht="20" customHeight="1" s="389">
      <c r="A79" s="325">
        <f>IF(B79="","",ROW()-6)</f>
        <v/>
      </c>
      <c r="B79" s="275" t="n"/>
      <c r="C79" s="275" t="n"/>
      <c r="D79" s="331" t="n"/>
      <c r="E79" s="331" t="n"/>
      <c r="F79" s="454" t="n"/>
      <c r="G79" s="454" t="n"/>
      <c r="H79" s="454" t="n"/>
      <c r="I79" s="455" t="n"/>
      <c r="J79" s="456" t="n"/>
      <c r="K79" s="456" t="n"/>
      <c r="L79" s="457">
        <f>IF(B79="","",IF(OR(I79="",J79=""),"",I79*J79+IF(K79="",0,K79)))</f>
        <v/>
      </c>
      <c r="M79" s="456" t="n"/>
      <c r="N79" s="457">
        <f>IF(L79="","",MAX(0,L79-IF(M79="",0,M79)))</f>
        <v/>
      </c>
      <c r="O79" s="455" t="n"/>
      <c r="P79" s="457">
        <f>IF(OR(N79="",O79&lt;=0),"",ROUND(N79/O79,0))</f>
        <v/>
      </c>
      <c r="Q79" s="458">
        <f>IF(OR(H79="",O79&lt;=0),"",EOMONTH(H79,O79-1))</f>
        <v/>
      </c>
      <c r="R79" s="331" t="n"/>
      <c r="S79" s="331" t="n"/>
      <c r="T79" s="331" t="n"/>
      <c r="U79" s="456" t="n"/>
      <c r="V79" s="457">
        <f>IF($AO79&lt;&gt;"OK",0,IF(AND(DATE('Thiết lập'!$B$4,1,1)&gt;=DATE(YEAR($H79),MONTH($H79),1),DATE('Thiết lập'!$B$4,1,1)&lt;EDATE(DATE(YEAR($H79),MONTH($H79),1),$O79)),MIN($P79,MAX(0,$N79-$U79-0)),0))</f>
        <v/>
      </c>
      <c r="W79" s="457">
        <f>IF($AO79&lt;&gt;"OK",0,IF(AND(DATE('Thiết lập'!$B$4,2,1)&gt;=DATE(YEAR($H79),MONTH($H79),1),DATE('Thiết lập'!$B$4,2,1)&lt;EDATE(DATE(YEAR($H79),MONTH($H79),1),$O79)),MIN($P79,MAX(0,$N79-$U79-SUM($V79:V79))),0))</f>
        <v/>
      </c>
      <c r="X79" s="457">
        <f>IF($AO79&lt;&gt;"OK",0,IF(AND(DATE('Thiết lập'!$B$4,3,1)&gt;=DATE(YEAR($H79),MONTH($H79),1),DATE('Thiết lập'!$B$4,3,1)&lt;EDATE(DATE(YEAR($H79),MONTH($H79),1),$O79)),MIN($P79,MAX(0,$N79-$U79-SUM($V79:W79))),0))</f>
        <v/>
      </c>
      <c r="Y79" s="457">
        <f>IF($AO79&lt;&gt;"OK",0,IF(AND(DATE('Thiết lập'!$B$4,4,1)&gt;=DATE(YEAR($H79),MONTH($H79),1),DATE('Thiết lập'!$B$4,4,1)&lt;EDATE(DATE(YEAR($H79),MONTH($H79),1),$O79)),MIN($P79,MAX(0,$N79-$U79-SUM($V79:X79))),0))</f>
        <v/>
      </c>
      <c r="Z79" s="457">
        <f>IF($AO79&lt;&gt;"OK",0,IF(AND(DATE('Thiết lập'!$B$4,5,1)&gt;=DATE(YEAR($H79),MONTH($H79),1),DATE('Thiết lập'!$B$4,5,1)&lt;EDATE(DATE(YEAR($H79),MONTH($H79),1),$O79)),MIN($P79,MAX(0,$N79-$U79-SUM($V79:Y79))),0))</f>
        <v/>
      </c>
      <c r="AA79" s="457">
        <f>IF($AO79&lt;&gt;"OK",0,IF(AND(DATE('Thiết lập'!$B$4,6,1)&gt;=DATE(YEAR($H79),MONTH($H79),1),DATE('Thiết lập'!$B$4,6,1)&lt;EDATE(DATE(YEAR($H79),MONTH($H79),1),$O79)),MIN($P79,MAX(0,$N79-$U79-SUM($V79:Z79))),0))</f>
        <v/>
      </c>
      <c r="AB79" s="457">
        <f>IF($AO79&lt;&gt;"OK",0,IF(AND(DATE('Thiết lập'!$B$4,7,1)&gt;=DATE(YEAR($H79),MONTH($H79),1),DATE('Thiết lập'!$B$4,7,1)&lt;EDATE(DATE(YEAR($H79),MONTH($H79),1),$O79)),MIN($P79,MAX(0,$N79-$U79-SUM($V79:AA79))),0))</f>
        <v/>
      </c>
      <c r="AC79" s="457">
        <f>IF($AO79&lt;&gt;"OK",0,IF(AND(DATE('Thiết lập'!$B$4,8,1)&gt;=DATE(YEAR($H79),MONTH($H79),1),DATE('Thiết lập'!$B$4,8,1)&lt;EDATE(DATE(YEAR($H79),MONTH($H79),1),$O79)),MIN($P79,MAX(0,$N79-$U79-SUM($V79:AB79))),0))</f>
        <v/>
      </c>
      <c r="AD79" s="457">
        <f>IF($AO79&lt;&gt;"OK",0,IF(AND(DATE('Thiết lập'!$B$4,9,1)&gt;=DATE(YEAR($H79),MONTH($H79),1),DATE('Thiết lập'!$B$4,9,1)&lt;EDATE(DATE(YEAR($H79),MONTH($H79),1),$O79)),MIN($P79,MAX(0,$N79-$U79-SUM($V79:AC79))),0))</f>
        <v/>
      </c>
      <c r="AE79" s="457">
        <f>IF($AO79&lt;&gt;"OK",0,IF(AND(DATE('Thiết lập'!$B$4,10,1)&gt;=DATE(YEAR($H79),MONTH($H79),1),DATE('Thiết lập'!$B$4,10,1)&lt;EDATE(DATE(YEAR($H79),MONTH($H79),1),$O79)),MIN($P79,MAX(0,$N79-$U79-SUM($V79:AD79))),0))</f>
        <v/>
      </c>
      <c r="AF79" s="457">
        <f>IF($AO79&lt;&gt;"OK",0,IF(AND(DATE('Thiết lập'!$B$4,11,1)&gt;=DATE(YEAR($H79),MONTH($H79),1),DATE('Thiết lập'!$B$4,11,1)&lt;EDATE(DATE(YEAR($H79),MONTH($H79),1),$O79)),MIN($P79,MAX(0,$N79-$U79-SUM($V79:AE79))),0))</f>
        <v/>
      </c>
      <c r="AG79" s="457">
        <f>IF($AO79&lt;&gt;"OK",0,IF(AND(DATE('Thiết lập'!$B$4,12,1)&gt;=DATE(YEAR($H79),MONTH($H79),1),DATE('Thiết lập'!$B$4,12,1)&lt;EDATE(DATE(YEAR($H79),MONTH($H79),1),$O79)),MIN($P79,MAX(0,$N79-$U79-SUM($V79:AF79))),0))</f>
        <v/>
      </c>
      <c r="AH79" s="457">
        <f>IF(B79="","",SUM(V79:AG79))</f>
        <v/>
      </c>
      <c r="AI79" s="457">
        <f>IF(B79="","",MIN(N79,IF(U79="",0,U79)+AH79))</f>
        <v/>
      </c>
      <c r="AJ79" s="457">
        <f>IF(B79="","",MAX(0,L79-AI79))</f>
        <v/>
      </c>
      <c r="AK79" s="337">
        <f>IF(B79="","",IF(H79&gt;'Thiết lập'!$B$5,"Chưa khấu hao",IF(AJ79&lt;=IF(M79="",0,M79),"Đã hết khấu hao","Đang khấu hao")))</f>
        <v/>
      </c>
      <c r="AL79" s="275" t="n"/>
      <c r="AM79" s="275" t="n"/>
      <c r="AN79" s="275" t="n"/>
      <c r="AO79" s="343">
        <f>IF(B79="","",IF(COUNTIF($B$7:$B$306,B79)&gt;1,"Trùng mã TSCĐ",IF(C79="","Thiếu tên TSCĐ",IF(H79="","Thiếu ngày bắt đầu",IF(OR(I79&lt;=0,L79&lt;=0,O79&lt;=0),"Kiểm tra số lượng/nguyên giá/thời gian",IF(AND(G79&lt;&gt;"",H79&lt;G79),"Ngày KH trước ngày ghi tăng",IF(M79&gt;L79,"Giá trị thu hồi vượt nguyên giá",IF(IF(U79="",0,U79)&gt;N79,"Lũy kế đầu năm vượt GTKH","OK"))))))))</f>
        <v/>
      </c>
    </row>
    <row r="80" ht="20" customHeight="1" s="389">
      <c r="A80" s="325">
        <f>IF(B80="","",ROW()-6)</f>
        <v/>
      </c>
      <c r="B80" s="275" t="n"/>
      <c r="C80" s="275" t="n"/>
      <c r="D80" s="331" t="n"/>
      <c r="E80" s="331" t="n"/>
      <c r="F80" s="454" t="n"/>
      <c r="G80" s="454" t="n"/>
      <c r="H80" s="454" t="n"/>
      <c r="I80" s="455" t="n"/>
      <c r="J80" s="456" t="n"/>
      <c r="K80" s="456" t="n"/>
      <c r="L80" s="457">
        <f>IF(B80="","",IF(OR(I80="",J80=""),"",I80*J80+IF(K80="",0,K80)))</f>
        <v/>
      </c>
      <c r="M80" s="456" t="n"/>
      <c r="N80" s="457">
        <f>IF(L80="","",MAX(0,L80-IF(M80="",0,M80)))</f>
        <v/>
      </c>
      <c r="O80" s="455" t="n"/>
      <c r="P80" s="457">
        <f>IF(OR(N80="",O80&lt;=0),"",ROUND(N80/O80,0))</f>
        <v/>
      </c>
      <c r="Q80" s="458">
        <f>IF(OR(H80="",O80&lt;=0),"",EOMONTH(H80,O80-1))</f>
        <v/>
      </c>
      <c r="R80" s="331" t="n"/>
      <c r="S80" s="331" t="n"/>
      <c r="T80" s="331" t="n"/>
      <c r="U80" s="456" t="n"/>
      <c r="V80" s="457">
        <f>IF($AO80&lt;&gt;"OK",0,IF(AND(DATE('Thiết lập'!$B$4,1,1)&gt;=DATE(YEAR($H80),MONTH($H80),1),DATE('Thiết lập'!$B$4,1,1)&lt;EDATE(DATE(YEAR($H80),MONTH($H80),1),$O80)),MIN($P80,MAX(0,$N80-$U80-0)),0))</f>
        <v/>
      </c>
      <c r="W80" s="457">
        <f>IF($AO80&lt;&gt;"OK",0,IF(AND(DATE('Thiết lập'!$B$4,2,1)&gt;=DATE(YEAR($H80),MONTH($H80),1),DATE('Thiết lập'!$B$4,2,1)&lt;EDATE(DATE(YEAR($H80),MONTH($H80),1),$O80)),MIN($P80,MAX(0,$N80-$U80-SUM($V80:V80))),0))</f>
        <v/>
      </c>
      <c r="X80" s="457">
        <f>IF($AO80&lt;&gt;"OK",0,IF(AND(DATE('Thiết lập'!$B$4,3,1)&gt;=DATE(YEAR($H80),MONTH($H80),1),DATE('Thiết lập'!$B$4,3,1)&lt;EDATE(DATE(YEAR($H80),MONTH($H80),1),$O80)),MIN($P80,MAX(0,$N80-$U80-SUM($V80:W80))),0))</f>
        <v/>
      </c>
      <c r="Y80" s="457">
        <f>IF($AO80&lt;&gt;"OK",0,IF(AND(DATE('Thiết lập'!$B$4,4,1)&gt;=DATE(YEAR($H80),MONTH($H80),1),DATE('Thiết lập'!$B$4,4,1)&lt;EDATE(DATE(YEAR($H80),MONTH($H80),1),$O80)),MIN($P80,MAX(0,$N80-$U80-SUM($V80:X80))),0))</f>
        <v/>
      </c>
      <c r="Z80" s="457">
        <f>IF($AO80&lt;&gt;"OK",0,IF(AND(DATE('Thiết lập'!$B$4,5,1)&gt;=DATE(YEAR($H80),MONTH($H80),1),DATE('Thiết lập'!$B$4,5,1)&lt;EDATE(DATE(YEAR($H80),MONTH($H80),1),$O80)),MIN($P80,MAX(0,$N80-$U80-SUM($V80:Y80))),0))</f>
        <v/>
      </c>
      <c r="AA80" s="457">
        <f>IF($AO80&lt;&gt;"OK",0,IF(AND(DATE('Thiết lập'!$B$4,6,1)&gt;=DATE(YEAR($H80),MONTH($H80),1),DATE('Thiết lập'!$B$4,6,1)&lt;EDATE(DATE(YEAR($H80),MONTH($H80),1),$O80)),MIN($P80,MAX(0,$N80-$U80-SUM($V80:Z80))),0))</f>
        <v/>
      </c>
      <c r="AB80" s="457">
        <f>IF($AO80&lt;&gt;"OK",0,IF(AND(DATE('Thiết lập'!$B$4,7,1)&gt;=DATE(YEAR($H80),MONTH($H80),1),DATE('Thiết lập'!$B$4,7,1)&lt;EDATE(DATE(YEAR($H80),MONTH($H80),1),$O80)),MIN($P80,MAX(0,$N80-$U80-SUM($V80:AA80))),0))</f>
        <v/>
      </c>
      <c r="AC80" s="457">
        <f>IF($AO80&lt;&gt;"OK",0,IF(AND(DATE('Thiết lập'!$B$4,8,1)&gt;=DATE(YEAR($H80),MONTH($H80),1),DATE('Thiết lập'!$B$4,8,1)&lt;EDATE(DATE(YEAR($H80),MONTH($H80),1),$O80)),MIN($P80,MAX(0,$N80-$U80-SUM($V80:AB80))),0))</f>
        <v/>
      </c>
      <c r="AD80" s="457">
        <f>IF($AO80&lt;&gt;"OK",0,IF(AND(DATE('Thiết lập'!$B$4,9,1)&gt;=DATE(YEAR($H80),MONTH($H80),1),DATE('Thiết lập'!$B$4,9,1)&lt;EDATE(DATE(YEAR($H80),MONTH($H80),1),$O80)),MIN($P80,MAX(0,$N80-$U80-SUM($V80:AC80))),0))</f>
        <v/>
      </c>
      <c r="AE80" s="457">
        <f>IF($AO80&lt;&gt;"OK",0,IF(AND(DATE('Thiết lập'!$B$4,10,1)&gt;=DATE(YEAR($H80),MONTH($H80),1),DATE('Thiết lập'!$B$4,10,1)&lt;EDATE(DATE(YEAR($H80),MONTH($H80),1),$O80)),MIN($P80,MAX(0,$N80-$U80-SUM($V80:AD80))),0))</f>
        <v/>
      </c>
      <c r="AF80" s="457">
        <f>IF($AO80&lt;&gt;"OK",0,IF(AND(DATE('Thiết lập'!$B$4,11,1)&gt;=DATE(YEAR($H80),MONTH($H80),1),DATE('Thiết lập'!$B$4,11,1)&lt;EDATE(DATE(YEAR($H80),MONTH($H80),1),$O80)),MIN($P80,MAX(0,$N80-$U80-SUM($V80:AE80))),0))</f>
        <v/>
      </c>
      <c r="AG80" s="457">
        <f>IF($AO80&lt;&gt;"OK",0,IF(AND(DATE('Thiết lập'!$B$4,12,1)&gt;=DATE(YEAR($H80),MONTH($H80),1),DATE('Thiết lập'!$B$4,12,1)&lt;EDATE(DATE(YEAR($H80),MONTH($H80),1),$O80)),MIN($P80,MAX(0,$N80-$U80-SUM($V80:AF80))),0))</f>
        <v/>
      </c>
      <c r="AH80" s="457">
        <f>IF(B80="","",SUM(V80:AG80))</f>
        <v/>
      </c>
      <c r="AI80" s="457">
        <f>IF(B80="","",MIN(N80,IF(U80="",0,U80)+AH80))</f>
        <v/>
      </c>
      <c r="AJ80" s="457">
        <f>IF(B80="","",MAX(0,L80-AI80))</f>
        <v/>
      </c>
      <c r="AK80" s="337">
        <f>IF(B80="","",IF(H80&gt;'Thiết lập'!$B$5,"Chưa khấu hao",IF(AJ80&lt;=IF(M80="",0,M80),"Đã hết khấu hao","Đang khấu hao")))</f>
        <v/>
      </c>
      <c r="AL80" s="275" t="n"/>
      <c r="AM80" s="275" t="n"/>
      <c r="AN80" s="275" t="n"/>
      <c r="AO80" s="343">
        <f>IF(B80="","",IF(COUNTIF($B$7:$B$306,B80)&gt;1,"Trùng mã TSCĐ",IF(C80="","Thiếu tên TSCĐ",IF(H80="","Thiếu ngày bắt đầu",IF(OR(I80&lt;=0,L80&lt;=0,O80&lt;=0),"Kiểm tra số lượng/nguyên giá/thời gian",IF(AND(G80&lt;&gt;"",H80&lt;G80),"Ngày KH trước ngày ghi tăng",IF(M80&gt;L80,"Giá trị thu hồi vượt nguyên giá",IF(IF(U80="",0,U80)&gt;N80,"Lũy kế đầu năm vượt GTKH","OK"))))))))</f>
        <v/>
      </c>
    </row>
    <row r="81" ht="20" customHeight="1" s="389">
      <c r="A81" s="325">
        <f>IF(B81="","",ROW()-6)</f>
        <v/>
      </c>
      <c r="B81" s="275" t="n"/>
      <c r="C81" s="275" t="n"/>
      <c r="D81" s="331" t="n"/>
      <c r="E81" s="331" t="n"/>
      <c r="F81" s="454" t="n"/>
      <c r="G81" s="454" t="n"/>
      <c r="H81" s="454" t="n"/>
      <c r="I81" s="455" t="n"/>
      <c r="J81" s="456" t="n"/>
      <c r="K81" s="456" t="n"/>
      <c r="L81" s="457">
        <f>IF(B81="","",IF(OR(I81="",J81=""),"",I81*J81+IF(K81="",0,K81)))</f>
        <v/>
      </c>
      <c r="M81" s="456" t="n"/>
      <c r="N81" s="457">
        <f>IF(L81="","",MAX(0,L81-IF(M81="",0,M81)))</f>
        <v/>
      </c>
      <c r="O81" s="455" t="n"/>
      <c r="P81" s="457">
        <f>IF(OR(N81="",O81&lt;=0),"",ROUND(N81/O81,0))</f>
        <v/>
      </c>
      <c r="Q81" s="458">
        <f>IF(OR(H81="",O81&lt;=0),"",EOMONTH(H81,O81-1))</f>
        <v/>
      </c>
      <c r="R81" s="331" t="n"/>
      <c r="S81" s="331" t="n"/>
      <c r="T81" s="331" t="n"/>
      <c r="U81" s="456" t="n"/>
      <c r="V81" s="457">
        <f>IF($AO81&lt;&gt;"OK",0,IF(AND(DATE('Thiết lập'!$B$4,1,1)&gt;=DATE(YEAR($H81),MONTH($H81),1),DATE('Thiết lập'!$B$4,1,1)&lt;EDATE(DATE(YEAR($H81),MONTH($H81),1),$O81)),MIN($P81,MAX(0,$N81-$U81-0)),0))</f>
        <v/>
      </c>
      <c r="W81" s="457">
        <f>IF($AO81&lt;&gt;"OK",0,IF(AND(DATE('Thiết lập'!$B$4,2,1)&gt;=DATE(YEAR($H81),MONTH($H81),1),DATE('Thiết lập'!$B$4,2,1)&lt;EDATE(DATE(YEAR($H81),MONTH($H81),1),$O81)),MIN($P81,MAX(0,$N81-$U81-SUM($V81:V81))),0))</f>
        <v/>
      </c>
      <c r="X81" s="457">
        <f>IF($AO81&lt;&gt;"OK",0,IF(AND(DATE('Thiết lập'!$B$4,3,1)&gt;=DATE(YEAR($H81),MONTH($H81),1),DATE('Thiết lập'!$B$4,3,1)&lt;EDATE(DATE(YEAR($H81),MONTH($H81),1),$O81)),MIN($P81,MAX(0,$N81-$U81-SUM($V81:W81))),0))</f>
        <v/>
      </c>
      <c r="Y81" s="457">
        <f>IF($AO81&lt;&gt;"OK",0,IF(AND(DATE('Thiết lập'!$B$4,4,1)&gt;=DATE(YEAR($H81),MONTH($H81),1),DATE('Thiết lập'!$B$4,4,1)&lt;EDATE(DATE(YEAR($H81),MONTH($H81),1),$O81)),MIN($P81,MAX(0,$N81-$U81-SUM($V81:X81))),0))</f>
        <v/>
      </c>
      <c r="Z81" s="457">
        <f>IF($AO81&lt;&gt;"OK",0,IF(AND(DATE('Thiết lập'!$B$4,5,1)&gt;=DATE(YEAR($H81),MONTH($H81),1),DATE('Thiết lập'!$B$4,5,1)&lt;EDATE(DATE(YEAR($H81),MONTH($H81),1),$O81)),MIN($P81,MAX(0,$N81-$U81-SUM($V81:Y81))),0))</f>
        <v/>
      </c>
      <c r="AA81" s="457">
        <f>IF($AO81&lt;&gt;"OK",0,IF(AND(DATE('Thiết lập'!$B$4,6,1)&gt;=DATE(YEAR($H81),MONTH($H81),1),DATE('Thiết lập'!$B$4,6,1)&lt;EDATE(DATE(YEAR($H81),MONTH($H81),1),$O81)),MIN($P81,MAX(0,$N81-$U81-SUM($V81:Z81))),0))</f>
        <v/>
      </c>
      <c r="AB81" s="457">
        <f>IF($AO81&lt;&gt;"OK",0,IF(AND(DATE('Thiết lập'!$B$4,7,1)&gt;=DATE(YEAR($H81),MONTH($H81),1),DATE('Thiết lập'!$B$4,7,1)&lt;EDATE(DATE(YEAR($H81),MONTH($H81),1),$O81)),MIN($P81,MAX(0,$N81-$U81-SUM($V81:AA81))),0))</f>
        <v/>
      </c>
      <c r="AC81" s="457">
        <f>IF($AO81&lt;&gt;"OK",0,IF(AND(DATE('Thiết lập'!$B$4,8,1)&gt;=DATE(YEAR($H81),MONTH($H81),1),DATE('Thiết lập'!$B$4,8,1)&lt;EDATE(DATE(YEAR($H81),MONTH($H81),1),$O81)),MIN($P81,MAX(0,$N81-$U81-SUM($V81:AB81))),0))</f>
        <v/>
      </c>
      <c r="AD81" s="457">
        <f>IF($AO81&lt;&gt;"OK",0,IF(AND(DATE('Thiết lập'!$B$4,9,1)&gt;=DATE(YEAR($H81),MONTH($H81),1),DATE('Thiết lập'!$B$4,9,1)&lt;EDATE(DATE(YEAR($H81),MONTH($H81),1),$O81)),MIN($P81,MAX(0,$N81-$U81-SUM($V81:AC81))),0))</f>
        <v/>
      </c>
      <c r="AE81" s="457">
        <f>IF($AO81&lt;&gt;"OK",0,IF(AND(DATE('Thiết lập'!$B$4,10,1)&gt;=DATE(YEAR($H81),MONTH($H81),1),DATE('Thiết lập'!$B$4,10,1)&lt;EDATE(DATE(YEAR($H81),MONTH($H81),1),$O81)),MIN($P81,MAX(0,$N81-$U81-SUM($V81:AD81))),0))</f>
        <v/>
      </c>
      <c r="AF81" s="457">
        <f>IF($AO81&lt;&gt;"OK",0,IF(AND(DATE('Thiết lập'!$B$4,11,1)&gt;=DATE(YEAR($H81),MONTH($H81),1),DATE('Thiết lập'!$B$4,11,1)&lt;EDATE(DATE(YEAR($H81),MONTH($H81),1),$O81)),MIN($P81,MAX(0,$N81-$U81-SUM($V81:AE81))),0))</f>
        <v/>
      </c>
      <c r="AG81" s="457">
        <f>IF($AO81&lt;&gt;"OK",0,IF(AND(DATE('Thiết lập'!$B$4,12,1)&gt;=DATE(YEAR($H81),MONTH($H81),1),DATE('Thiết lập'!$B$4,12,1)&lt;EDATE(DATE(YEAR($H81),MONTH($H81),1),$O81)),MIN($P81,MAX(0,$N81-$U81-SUM($V81:AF81))),0))</f>
        <v/>
      </c>
      <c r="AH81" s="457">
        <f>IF(B81="","",SUM(V81:AG81))</f>
        <v/>
      </c>
      <c r="AI81" s="457">
        <f>IF(B81="","",MIN(N81,IF(U81="",0,U81)+AH81))</f>
        <v/>
      </c>
      <c r="AJ81" s="457">
        <f>IF(B81="","",MAX(0,L81-AI81))</f>
        <v/>
      </c>
      <c r="AK81" s="337">
        <f>IF(B81="","",IF(H81&gt;'Thiết lập'!$B$5,"Chưa khấu hao",IF(AJ81&lt;=IF(M81="",0,M81),"Đã hết khấu hao","Đang khấu hao")))</f>
        <v/>
      </c>
      <c r="AL81" s="275" t="n"/>
      <c r="AM81" s="275" t="n"/>
      <c r="AN81" s="275" t="n"/>
      <c r="AO81" s="343">
        <f>IF(B81="","",IF(COUNTIF($B$7:$B$306,B81)&gt;1,"Trùng mã TSCĐ",IF(C81="","Thiếu tên TSCĐ",IF(H81="","Thiếu ngày bắt đầu",IF(OR(I81&lt;=0,L81&lt;=0,O81&lt;=0),"Kiểm tra số lượng/nguyên giá/thời gian",IF(AND(G81&lt;&gt;"",H81&lt;G81),"Ngày KH trước ngày ghi tăng",IF(M81&gt;L81,"Giá trị thu hồi vượt nguyên giá",IF(IF(U81="",0,U81)&gt;N81,"Lũy kế đầu năm vượt GTKH","OK"))))))))</f>
        <v/>
      </c>
    </row>
    <row r="82" ht="20" customHeight="1" s="389">
      <c r="A82" s="325">
        <f>IF(B82="","",ROW()-6)</f>
        <v/>
      </c>
      <c r="B82" s="275" t="n"/>
      <c r="C82" s="275" t="n"/>
      <c r="D82" s="331" t="n"/>
      <c r="E82" s="331" t="n"/>
      <c r="F82" s="454" t="n"/>
      <c r="G82" s="454" t="n"/>
      <c r="H82" s="454" t="n"/>
      <c r="I82" s="455" t="n"/>
      <c r="J82" s="456" t="n"/>
      <c r="K82" s="456" t="n"/>
      <c r="L82" s="457">
        <f>IF(B82="","",IF(OR(I82="",J82=""),"",I82*J82+IF(K82="",0,K82)))</f>
        <v/>
      </c>
      <c r="M82" s="456" t="n"/>
      <c r="N82" s="457">
        <f>IF(L82="","",MAX(0,L82-IF(M82="",0,M82)))</f>
        <v/>
      </c>
      <c r="O82" s="455" t="n"/>
      <c r="P82" s="457">
        <f>IF(OR(N82="",O82&lt;=0),"",ROUND(N82/O82,0))</f>
        <v/>
      </c>
      <c r="Q82" s="458">
        <f>IF(OR(H82="",O82&lt;=0),"",EOMONTH(H82,O82-1))</f>
        <v/>
      </c>
      <c r="R82" s="331" t="n"/>
      <c r="S82" s="331" t="n"/>
      <c r="T82" s="331" t="n"/>
      <c r="U82" s="456" t="n"/>
      <c r="V82" s="457">
        <f>IF($AO82&lt;&gt;"OK",0,IF(AND(DATE('Thiết lập'!$B$4,1,1)&gt;=DATE(YEAR($H82),MONTH($H82),1),DATE('Thiết lập'!$B$4,1,1)&lt;EDATE(DATE(YEAR($H82),MONTH($H82),1),$O82)),MIN($P82,MAX(0,$N82-$U82-0)),0))</f>
        <v/>
      </c>
      <c r="W82" s="457">
        <f>IF($AO82&lt;&gt;"OK",0,IF(AND(DATE('Thiết lập'!$B$4,2,1)&gt;=DATE(YEAR($H82),MONTH($H82),1),DATE('Thiết lập'!$B$4,2,1)&lt;EDATE(DATE(YEAR($H82),MONTH($H82),1),$O82)),MIN($P82,MAX(0,$N82-$U82-SUM($V82:V82))),0))</f>
        <v/>
      </c>
      <c r="X82" s="457">
        <f>IF($AO82&lt;&gt;"OK",0,IF(AND(DATE('Thiết lập'!$B$4,3,1)&gt;=DATE(YEAR($H82),MONTH($H82),1),DATE('Thiết lập'!$B$4,3,1)&lt;EDATE(DATE(YEAR($H82),MONTH($H82),1),$O82)),MIN($P82,MAX(0,$N82-$U82-SUM($V82:W82))),0))</f>
        <v/>
      </c>
      <c r="Y82" s="457">
        <f>IF($AO82&lt;&gt;"OK",0,IF(AND(DATE('Thiết lập'!$B$4,4,1)&gt;=DATE(YEAR($H82),MONTH($H82),1),DATE('Thiết lập'!$B$4,4,1)&lt;EDATE(DATE(YEAR($H82),MONTH($H82),1),$O82)),MIN($P82,MAX(0,$N82-$U82-SUM($V82:X82))),0))</f>
        <v/>
      </c>
      <c r="Z82" s="457">
        <f>IF($AO82&lt;&gt;"OK",0,IF(AND(DATE('Thiết lập'!$B$4,5,1)&gt;=DATE(YEAR($H82),MONTH($H82),1),DATE('Thiết lập'!$B$4,5,1)&lt;EDATE(DATE(YEAR($H82),MONTH($H82),1),$O82)),MIN($P82,MAX(0,$N82-$U82-SUM($V82:Y82))),0))</f>
        <v/>
      </c>
      <c r="AA82" s="457">
        <f>IF($AO82&lt;&gt;"OK",0,IF(AND(DATE('Thiết lập'!$B$4,6,1)&gt;=DATE(YEAR($H82),MONTH($H82),1),DATE('Thiết lập'!$B$4,6,1)&lt;EDATE(DATE(YEAR($H82),MONTH($H82),1),$O82)),MIN($P82,MAX(0,$N82-$U82-SUM($V82:Z82))),0))</f>
        <v/>
      </c>
      <c r="AB82" s="457">
        <f>IF($AO82&lt;&gt;"OK",0,IF(AND(DATE('Thiết lập'!$B$4,7,1)&gt;=DATE(YEAR($H82),MONTH($H82),1),DATE('Thiết lập'!$B$4,7,1)&lt;EDATE(DATE(YEAR($H82),MONTH($H82),1),$O82)),MIN($P82,MAX(0,$N82-$U82-SUM($V82:AA82))),0))</f>
        <v/>
      </c>
      <c r="AC82" s="457">
        <f>IF($AO82&lt;&gt;"OK",0,IF(AND(DATE('Thiết lập'!$B$4,8,1)&gt;=DATE(YEAR($H82),MONTH($H82),1),DATE('Thiết lập'!$B$4,8,1)&lt;EDATE(DATE(YEAR($H82),MONTH($H82),1),$O82)),MIN($P82,MAX(0,$N82-$U82-SUM($V82:AB82))),0))</f>
        <v/>
      </c>
      <c r="AD82" s="457">
        <f>IF($AO82&lt;&gt;"OK",0,IF(AND(DATE('Thiết lập'!$B$4,9,1)&gt;=DATE(YEAR($H82),MONTH($H82),1),DATE('Thiết lập'!$B$4,9,1)&lt;EDATE(DATE(YEAR($H82),MONTH($H82),1),$O82)),MIN($P82,MAX(0,$N82-$U82-SUM($V82:AC82))),0))</f>
        <v/>
      </c>
      <c r="AE82" s="457">
        <f>IF($AO82&lt;&gt;"OK",0,IF(AND(DATE('Thiết lập'!$B$4,10,1)&gt;=DATE(YEAR($H82),MONTH($H82),1),DATE('Thiết lập'!$B$4,10,1)&lt;EDATE(DATE(YEAR($H82),MONTH($H82),1),$O82)),MIN($P82,MAX(0,$N82-$U82-SUM($V82:AD82))),0))</f>
        <v/>
      </c>
      <c r="AF82" s="457">
        <f>IF($AO82&lt;&gt;"OK",0,IF(AND(DATE('Thiết lập'!$B$4,11,1)&gt;=DATE(YEAR($H82),MONTH($H82),1),DATE('Thiết lập'!$B$4,11,1)&lt;EDATE(DATE(YEAR($H82),MONTH($H82),1),$O82)),MIN($P82,MAX(0,$N82-$U82-SUM($V82:AE82))),0))</f>
        <v/>
      </c>
      <c r="AG82" s="457">
        <f>IF($AO82&lt;&gt;"OK",0,IF(AND(DATE('Thiết lập'!$B$4,12,1)&gt;=DATE(YEAR($H82),MONTH($H82),1),DATE('Thiết lập'!$B$4,12,1)&lt;EDATE(DATE(YEAR($H82),MONTH($H82),1),$O82)),MIN($P82,MAX(0,$N82-$U82-SUM($V82:AF82))),0))</f>
        <v/>
      </c>
      <c r="AH82" s="457">
        <f>IF(B82="","",SUM(V82:AG82))</f>
        <v/>
      </c>
      <c r="AI82" s="457">
        <f>IF(B82="","",MIN(N82,IF(U82="",0,U82)+AH82))</f>
        <v/>
      </c>
      <c r="AJ82" s="457">
        <f>IF(B82="","",MAX(0,L82-AI82))</f>
        <v/>
      </c>
      <c r="AK82" s="337">
        <f>IF(B82="","",IF(H82&gt;'Thiết lập'!$B$5,"Chưa khấu hao",IF(AJ82&lt;=IF(M82="",0,M82),"Đã hết khấu hao","Đang khấu hao")))</f>
        <v/>
      </c>
      <c r="AL82" s="275" t="n"/>
      <c r="AM82" s="275" t="n"/>
      <c r="AN82" s="275" t="n"/>
      <c r="AO82" s="343">
        <f>IF(B82="","",IF(COUNTIF($B$7:$B$306,B82)&gt;1,"Trùng mã TSCĐ",IF(C82="","Thiếu tên TSCĐ",IF(H82="","Thiếu ngày bắt đầu",IF(OR(I82&lt;=0,L82&lt;=0,O82&lt;=0),"Kiểm tra số lượng/nguyên giá/thời gian",IF(AND(G82&lt;&gt;"",H82&lt;G82),"Ngày KH trước ngày ghi tăng",IF(M82&gt;L82,"Giá trị thu hồi vượt nguyên giá",IF(IF(U82="",0,U82)&gt;N82,"Lũy kế đầu năm vượt GTKH","OK"))))))))</f>
        <v/>
      </c>
    </row>
    <row r="83" ht="20" customHeight="1" s="389">
      <c r="A83" s="325">
        <f>IF(B83="","",ROW()-6)</f>
        <v/>
      </c>
      <c r="B83" s="275" t="n"/>
      <c r="C83" s="275" t="n"/>
      <c r="D83" s="331" t="n"/>
      <c r="E83" s="331" t="n"/>
      <c r="F83" s="454" t="n"/>
      <c r="G83" s="454" t="n"/>
      <c r="H83" s="454" t="n"/>
      <c r="I83" s="455" t="n"/>
      <c r="J83" s="456" t="n"/>
      <c r="K83" s="456" t="n"/>
      <c r="L83" s="457">
        <f>IF(B83="","",IF(OR(I83="",J83=""),"",I83*J83+IF(K83="",0,K83)))</f>
        <v/>
      </c>
      <c r="M83" s="456" t="n"/>
      <c r="N83" s="457">
        <f>IF(L83="","",MAX(0,L83-IF(M83="",0,M83)))</f>
        <v/>
      </c>
      <c r="O83" s="455" t="n"/>
      <c r="P83" s="457">
        <f>IF(OR(N83="",O83&lt;=0),"",ROUND(N83/O83,0))</f>
        <v/>
      </c>
      <c r="Q83" s="458">
        <f>IF(OR(H83="",O83&lt;=0),"",EOMONTH(H83,O83-1))</f>
        <v/>
      </c>
      <c r="R83" s="331" t="n"/>
      <c r="S83" s="331" t="n"/>
      <c r="T83" s="331" t="n"/>
      <c r="U83" s="456" t="n"/>
      <c r="V83" s="457">
        <f>IF($AO83&lt;&gt;"OK",0,IF(AND(DATE('Thiết lập'!$B$4,1,1)&gt;=DATE(YEAR($H83),MONTH($H83),1),DATE('Thiết lập'!$B$4,1,1)&lt;EDATE(DATE(YEAR($H83),MONTH($H83),1),$O83)),MIN($P83,MAX(0,$N83-$U83-0)),0))</f>
        <v/>
      </c>
      <c r="W83" s="457">
        <f>IF($AO83&lt;&gt;"OK",0,IF(AND(DATE('Thiết lập'!$B$4,2,1)&gt;=DATE(YEAR($H83),MONTH($H83),1),DATE('Thiết lập'!$B$4,2,1)&lt;EDATE(DATE(YEAR($H83),MONTH($H83),1),$O83)),MIN($P83,MAX(0,$N83-$U83-SUM($V83:V83))),0))</f>
        <v/>
      </c>
      <c r="X83" s="457">
        <f>IF($AO83&lt;&gt;"OK",0,IF(AND(DATE('Thiết lập'!$B$4,3,1)&gt;=DATE(YEAR($H83),MONTH($H83),1),DATE('Thiết lập'!$B$4,3,1)&lt;EDATE(DATE(YEAR($H83),MONTH($H83),1),$O83)),MIN($P83,MAX(0,$N83-$U83-SUM($V83:W83))),0))</f>
        <v/>
      </c>
      <c r="Y83" s="457">
        <f>IF($AO83&lt;&gt;"OK",0,IF(AND(DATE('Thiết lập'!$B$4,4,1)&gt;=DATE(YEAR($H83),MONTH($H83),1),DATE('Thiết lập'!$B$4,4,1)&lt;EDATE(DATE(YEAR($H83),MONTH($H83),1),$O83)),MIN($P83,MAX(0,$N83-$U83-SUM($V83:X83))),0))</f>
        <v/>
      </c>
      <c r="Z83" s="457">
        <f>IF($AO83&lt;&gt;"OK",0,IF(AND(DATE('Thiết lập'!$B$4,5,1)&gt;=DATE(YEAR($H83),MONTH($H83),1),DATE('Thiết lập'!$B$4,5,1)&lt;EDATE(DATE(YEAR($H83),MONTH($H83),1),$O83)),MIN($P83,MAX(0,$N83-$U83-SUM($V83:Y83))),0))</f>
        <v/>
      </c>
      <c r="AA83" s="457">
        <f>IF($AO83&lt;&gt;"OK",0,IF(AND(DATE('Thiết lập'!$B$4,6,1)&gt;=DATE(YEAR($H83),MONTH($H83),1),DATE('Thiết lập'!$B$4,6,1)&lt;EDATE(DATE(YEAR($H83),MONTH($H83),1),$O83)),MIN($P83,MAX(0,$N83-$U83-SUM($V83:Z83))),0))</f>
        <v/>
      </c>
      <c r="AB83" s="457">
        <f>IF($AO83&lt;&gt;"OK",0,IF(AND(DATE('Thiết lập'!$B$4,7,1)&gt;=DATE(YEAR($H83),MONTH($H83),1),DATE('Thiết lập'!$B$4,7,1)&lt;EDATE(DATE(YEAR($H83),MONTH($H83),1),$O83)),MIN($P83,MAX(0,$N83-$U83-SUM($V83:AA83))),0))</f>
        <v/>
      </c>
      <c r="AC83" s="457">
        <f>IF($AO83&lt;&gt;"OK",0,IF(AND(DATE('Thiết lập'!$B$4,8,1)&gt;=DATE(YEAR($H83),MONTH($H83),1),DATE('Thiết lập'!$B$4,8,1)&lt;EDATE(DATE(YEAR($H83),MONTH($H83),1),$O83)),MIN($P83,MAX(0,$N83-$U83-SUM($V83:AB83))),0))</f>
        <v/>
      </c>
      <c r="AD83" s="457">
        <f>IF($AO83&lt;&gt;"OK",0,IF(AND(DATE('Thiết lập'!$B$4,9,1)&gt;=DATE(YEAR($H83),MONTH($H83),1),DATE('Thiết lập'!$B$4,9,1)&lt;EDATE(DATE(YEAR($H83),MONTH($H83),1),$O83)),MIN($P83,MAX(0,$N83-$U83-SUM($V83:AC83))),0))</f>
        <v/>
      </c>
      <c r="AE83" s="457">
        <f>IF($AO83&lt;&gt;"OK",0,IF(AND(DATE('Thiết lập'!$B$4,10,1)&gt;=DATE(YEAR($H83),MONTH($H83),1),DATE('Thiết lập'!$B$4,10,1)&lt;EDATE(DATE(YEAR($H83),MONTH($H83),1),$O83)),MIN($P83,MAX(0,$N83-$U83-SUM($V83:AD83))),0))</f>
        <v/>
      </c>
      <c r="AF83" s="457">
        <f>IF($AO83&lt;&gt;"OK",0,IF(AND(DATE('Thiết lập'!$B$4,11,1)&gt;=DATE(YEAR($H83),MONTH($H83),1),DATE('Thiết lập'!$B$4,11,1)&lt;EDATE(DATE(YEAR($H83),MONTH($H83),1),$O83)),MIN($P83,MAX(0,$N83-$U83-SUM($V83:AE83))),0))</f>
        <v/>
      </c>
      <c r="AG83" s="457">
        <f>IF($AO83&lt;&gt;"OK",0,IF(AND(DATE('Thiết lập'!$B$4,12,1)&gt;=DATE(YEAR($H83),MONTH($H83),1),DATE('Thiết lập'!$B$4,12,1)&lt;EDATE(DATE(YEAR($H83),MONTH($H83),1),$O83)),MIN($P83,MAX(0,$N83-$U83-SUM($V83:AF83))),0))</f>
        <v/>
      </c>
      <c r="AH83" s="457">
        <f>IF(B83="","",SUM(V83:AG83))</f>
        <v/>
      </c>
      <c r="AI83" s="457">
        <f>IF(B83="","",MIN(N83,IF(U83="",0,U83)+AH83))</f>
        <v/>
      </c>
      <c r="AJ83" s="457">
        <f>IF(B83="","",MAX(0,L83-AI83))</f>
        <v/>
      </c>
      <c r="AK83" s="337">
        <f>IF(B83="","",IF(H83&gt;'Thiết lập'!$B$5,"Chưa khấu hao",IF(AJ83&lt;=IF(M83="",0,M83),"Đã hết khấu hao","Đang khấu hao")))</f>
        <v/>
      </c>
      <c r="AL83" s="275" t="n"/>
      <c r="AM83" s="275" t="n"/>
      <c r="AN83" s="275" t="n"/>
      <c r="AO83" s="343">
        <f>IF(B83="","",IF(COUNTIF($B$7:$B$306,B83)&gt;1,"Trùng mã TSCĐ",IF(C83="","Thiếu tên TSCĐ",IF(H83="","Thiếu ngày bắt đầu",IF(OR(I83&lt;=0,L83&lt;=0,O83&lt;=0),"Kiểm tra số lượng/nguyên giá/thời gian",IF(AND(G83&lt;&gt;"",H83&lt;G83),"Ngày KH trước ngày ghi tăng",IF(M83&gt;L83,"Giá trị thu hồi vượt nguyên giá",IF(IF(U83="",0,U83)&gt;N83,"Lũy kế đầu năm vượt GTKH","OK"))))))))</f>
        <v/>
      </c>
    </row>
    <row r="84" ht="20" customHeight="1" s="389">
      <c r="A84" s="325">
        <f>IF(B84="","",ROW()-6)</f>
        <v/>
      </c>
      <c r="B84" s="275" t="n"/>
      <c r="C84" s="275" t="n"/>
      <c r="D84" s="331" t="n"/>
      <c r="E84" s="331" t="n"/>
      <c r="F84" s="454" t="n"/>
      <c r="G84" s="454" t="n"/>
      <c r="H84" s="454" t="n"/>
      <c r="I84" s="455" t="n"/>
      <c r="J84" s="456" t="n"/>
      <c r="K84" s="456" t="n"/>
      <c r="L84" s="457">
        <f>IF(B84="","",IF(OR(I84="",J84=""),"",I84*J84+IF(K84="",0,K84)))</f>
        <v/>
      </c>
      <c r="M84" s="456" t="n"/>
      <c r="N84" s="457">
        <f>IF(L84="","",MAX(0,L84-IF(M84="",0,M84)))</f>
        <v/>
      </c>
      <c r="O84" s="455" t="n"/>
      <c r="P84" s="457">
        <f>IF(OR(N84="",O84&lt;=0),"",ROUND(N84/O84,0))</f>
        <v/>
      </c>
      <c r="Q84" s="458">
        <f>IF(OR(H84="",O84&lt;=0),"",EOMONTH(H84,O84-1))</f>
        <v/>
      </c>
      <c r="R84" s="331" t="n"/>
      <c r="S84" s="331" t="n"/>
      <c r="T84" s="331" t="n"/>
      <c r="U84" s="456" t="n"/>
      <c r="V84" s="457">
        <f>IF($AO84&lt;&gt;"OK",0,IF(AND(DATE('Thiết lập'!$B$4,1,1)&gt;=DATE(YEAR($H84),MONTH($H84),1),DATE('Thiết lập'!$B$4,1,1)&lt;EDATE(DATE(YEAR($H84),MONTH($H84),1),$O84)),MIN($P84,MAX(0,$N84-$U84-0)),0))</f>
        <v/>
      </c>
      <c r="W84" s="457">
        <f>IF($AO84&lt;&gt;"OK",0,IF(AND(DATE('Thiết lập'!$B$4,2,1)&gt;=DATE(YEAR($H84),MONTH($H84),1),DATE('Thiết lập'!$B$4,2,1)&lt;EDATE(DATE(YEAR($H84),MONTH($H84),1),$O84)),MIN($P84,MAX(0,$N84-$U84-SUM($V84:V84))),0))</f>
        <v/>
      </c>
      <c r="X84" s="457">
        <f>IF($AO84&lt;&gt;"OK",0,IF(AND(DATE('Thiết lập'!$B$4,3,1)&gt;=DATE(YEAR($H84),MONTH($H84),1),DATE('Thiết lập'!$B$4,3,1)&lt;EDATE(DATE(YEAR($H84),MONTH($H84),1),$O84)),MIN($P84,MAX(0,$N84-$U84-SUM($V84:W84))),0))</f>
        <v/>
      </c>
      <c r="Y84" s="457">
        <f>IF($AO84&lt;&gt;"OK",0,IF(AND(DATE('Thiết lập'!$B$4,4,1)&gt;=DATE(YEAR($H84),MONTH($H84),1),DATE('Thiết lập'!$B$4,4,1)&lt;EDATE(DATE(YEAR($H84),MONTH($H84),1),$O84)),MIN($P84,MAX(0,$N84-$U84-SUM($V84:X84))),0))</f>
        <v/>
      </c>
      <c r="Z84" s="457">
        <f>IF($AO84&lt;&gt;"OK",0,IF(AND(DATE('Thiết lập'!$B$4,5,1)&gt;=DATE(YEAR($H84),MONTH($H84),1),DATE('Thiết lập'!$B$4,5,1)&lt;EDATE(DATE(YEAR($H84),MONTH($H84),1),$O84)),MIN($P84,MAX(0,$N84-$U84-SUM($V84:Y84))),0))</f>
        <v/>
      </c>
      <c r="AA84" s="457">
        <f>IF($AO84&lt;&gt;"OK",0,IF(AND(DATE('Thiết lập'!$B$4,6,1)&gt;=DATE(YEAR($H84),MONTH($H84),1),DATE('Thiết lập'!$B$4,6,1)&lt;EDATE(DATE(YEAR($H84),MONTH($H84),1),$O84)),MIN($P84,MAX(0,$N84-$U84-SUM($V84:Z84))),0))</f>
        <v/>
      </c>
      <c r="AB84" s="457">
        <f>IF($AO84&lt;&gt;"OK",0,IF(AND(DATE('Thiết lập'!$B$4,7,1)&gt;=DATE(YEAR($H84),MONTH($H84),1),DATE('Thiết lập'!$B$4,7,1)&lt;EDATE(DATE(YEAR($H84),MONTH($H84),1),$O84)),MIN($P84,MAX(0,$N84-$U84-SUM($V84:AA84))),0))</f>
        <v/>
      </c>
      <c r="AC84" s="457">
        <f>IF($AO84&lt;&gt;"OK",0,IF(AND(DATE('Thiết lập'!$B$4,8,1)&gt;=DATE(YEAR($H84),MONTH($H84),1),DATE('Thiết lập'!$B$4,8,1)&lt;EDATE(DATE(YEAR($H84),MONTH($H84),1),$O84)),MIN($P84,MAX(0,$N84-$U84-SUM($V84:AB84))),0))</f>
        <v/>
      </c>
      <c r="AD84" s="457">
        <f>IF($AO84&lt;&gt;"OK",0,IF(AND(DATE('Thiết lập'!$B$4,9,1)&gt;=DATE(YEAR($H84),MONTH($H84),1),DATE('Thiết lập'!$B$4,9,1)&lt;EDATE(DATE(YEAR($H84),MONTH($H84),1),$O84)),MIN($P84,MAX(0,$N84-$U84-SUM($V84:AC84))),0))</f>
        <v/>
      </c>
      <c r="AE84" s="457">
        <f>IF($AO84&lt;&gt;"OK",0,IF(AND(DATE('Thiết lập'!$B$4,10,1)&gt;=DATE(YEAR($H84),MONTH($H84),1),DATE('Thiết lập'!$B$4,10,1)&lt;EDATE(DATE(YEAR($H84),MONTH($H84),1),$O84)),MIN($P84,MAX(0,$N84-$U84-SUM($V84:AD84))),0))</f>
        <v/>
      </c>
      <c r="AF84" s="457">
        <f>IF($AO84&lt;&gt;"OK",0,IF(AND(DATE('Thiết lập'!$B$4,11,1)&gt;=DATE(YEAR($H84),MONTH($H84),1),DATE('Thiết lập'!$B$4,11,1)&lt;EDATE(DATE(YEAR($H84),MONTH($H84),1),$O84)),MIN($P84,MAX(0,$N84-$U84-SUM($V84:AE84))),0))</f>
        <v/>
      </c>
      <c r="AG84" s="457">
        <f>IF($AO84&lt;&gt;"OK",0,IF(AND(DATE('Thiết lập'!$B$4,12,1)&gt;=DATE(YEAR($H84),MONTH($H84),1),DATE('Thiết lập'!$B$4,12,1)&lt;EDATE(DATE(YEAR($H84),MONTH($H84),1),$O84)),MIN($P84,MAX(0,$N84-$U84-SUM($V84:AF84))),0))</f>
        <v/>
      </c>
      <c r="AH84" s="457">
        <f>IF(B84="","",SUM(V84:AG84))</f>
        <v/>
      </c>
      <c r="AI84" s="457">
        <f>IF(B84="","",MIN(N84,IF(U84="",0,U84)+AH84))</f>
        <v/>
      </c>
      <c r="AJ84" s="457">
        <f>IF(B84="","",MAX(0,L84-AI84))</f>
        <v/>
      </c>
      <c r="AK84" s="337">
        <f>IF(B84="","",IF(H84&gt;'Thiết lập'!$B$5,"Chưa khấu hao",IF(AJ84&lt;=IF(M84="",0,M84),"Đã hết khấu hao","Đang khấu hao")))</f>
        <v/>
      </c>
      <c r="AL84" s="275" t="n"/>
      <c r="AM84" s="275" t="n"/>
      <c r="AN84" s="275" t="n"/>
      <c r="AO84" s="343">
        <f>IF(B84="","",IF(COUNTIF($B$7:$B$306,B84)&gt;1,"Trùng mã TSCĐ",IF(C84="","Thiếu tên TSCĐ",IF(H84="","Thiếu ngày bắt đầu",IF(OR(I84&lt;=0,L84&lt;=0,O84&lt;=0),"Kiểm tra số lượng/nguyên giá/thời gian",IF(AND(G84&lt;&gt;"",H84&lt;G84),"Ngày KH trước ngày ghi tăng",IF(M84&gt;L84,"Giá trị thu hồi vượt nguyên giá",IF(IF(U84="",0,U84)&gt;N84,"Lũy kế đầu năm vượt GTKH","OK"))))))))</f>
        <v/>
      </c>
    </row>
    <row r="85" ht="20" customHeight="1" s="389">
      <c r="A85" s="325">
        <f>IF(B85="","",ROW()-6)</f>
        <v/>
      </c>
      <c r="B85" s="275" t="n"/>
      <c r="C85" s="275" t="n"/>
      <c r="D85" s="331" t="n"/>
      <c r="E85" s="331" t="n"/>
      <c r="F85" s="454" t="n"/>
      <c r="G85" s="454" t="n"/>
      <c r="H85" s="454" t="n"/>
      <c r="I85" s="455" t="n"/>
      <c r="J85" s="456" t="n"/>
      <c r="K85" s="456" t="n"/>
      <c r="L85" s="457">
        <f>IF(B85="","",IF(OR(I85="",J85=""),"",I85*J85+IF(K85="",0,K85)))</f>
        <v/>
      </c>
      <c r="M85" s="456" t="n"/>
      <c r="N85" s="457">
        <f>IF(L85="","",MAX(0,L85-IF(M85="",0,M85)))</f>
        <v/>
      </c>
      <c r="O85" s="455" t="n"/>
      <c r="P85" s="457">
        <f>IF(OR(N85="",O85&lt;=0),"",ROUND(N85/O85,0))</f>
        <v/>
      </c>
      <c r="Q85" s="458">
        <f>IF(OR(H85="",O85&lt;=0),"",EOMONTH(H85,O85-1))</f>
        <v/>
      </c>
      <c r="R85" s="331" t="n"/>
      <c r="S85" s="331" t="n"/>
      <c r="T85" s="331" t="n"/>
      <c r="U85" s="456" t="n"/>
      <c r="V85" s="457">
        <f>IF($AO85&lt;&gt;"OK",0,IF(AND(DATE('Thiết lập'!$B$4,1,1)&gt;=DATE(YEAR($H85),MONTH($H85),1),DATE('Thiết lập'!$B$4,1,1)&lt;EDATE(DATE(YEAR($H85),MONTH($H85),1),$O85)),MIN($P85,MAX(0,$N85-$U85-0)),0))</f>
        <v/>
      </c>
      <c r="W85" s="457">
        <f>IF($AO85&lt;&gt;"OK",0,IF(AND(DATE('Thiết lập'!$B$4,2,1)&gt;=DATE(YEAR($H85),MONTH($H85),1),DATE('Thiết lập'!$B$4,2,1)&lt;EDATE(DATE(YEAR($H85),MONTH($H85),1),$O85)),MIN($P85,MAX(0,$N85-$U85-SUM($V85:V85))),0))</f>
        <v/>
      </c>
      <c r="X85" s="457">
        <f>IF($AO85&lt;&gt;"OK",0,IF(AND(DATE('Thiết lập'!$B$4,3,1)&gt;=DATE(YEAR($H85),MONTH($H85),1),DATE('Thiết lập'!$B$4,3,1)&lt;EDATE(DATE(YEAR($H85),MONTH($H85),1),$O85)),MIN($P85,MAX(0,$N85-$U85-SUM($V85:W85))),0))</f>
        <v/>
      </c>
      <c r="Y85" s="457">
        <f>IF($AO85&lt;&gt;"OK",0,IF(AND(DATE('Thiết lập'!$B$4,4,1)&gt;=DATE(YEAR($H85),MONTH($H85),1),DATE('Thiết lập'!$B$4,4,1)&lt;EDATE(DATE(YEAR($H85),MONTH($H85),1),$O85)),MIN($P85,MAX(0,$N85-$U85-SUM($V85:X85))),0))</f>
        <v/>
      </c>
      <c r="Z85" s="457">
        <f>IF($AO85&lt;&gt;"OK",0,IF(AND(DATE('Thiết lập'!$B$4,5,1)&gt;=DATE(YEAR($H85),MONTH($H85),1),DATE('Thiết lập'!$B$4,5,1)&lt;EDATE(DATE(YEAR($H85),MONTH($H85),1),$O85)),MIN($P85,MAX(0,$N85-$U85-SUM($V85:Y85))),0))</f>
        <v/>
      </c>
      <c r="AA85" s="457">
        <f>IF($AO85&lt;&gt;"OK",0,IF(AND(DATE('Thiết lập'!$B$4,6,1)&gt;=DATE(YEAR($H85),MONTH($H85),1),DATE('Thiết lập'!$B$4,6,1)&lt;EDATE(DATE(YEAR($H85),MONTH($H85),1),$O85)),MIN($P85,MAX(0,$N85-$U85-SUM($V85:Z85))),0))</f>
        <v/>
      </c>
      <c r="AB85" s="457">
        <f>IF($AO85&lt;&gt;"OK",0,IF(AND(DATE('Thiết lập'!$B$4,7,1)&gt;=DATE(YEAR($H85),MONTH($H85),1),DATE('Thiết lập'!$B$4,7,1)&lt;EDATE(DATE(YEAR($H85),MONTH($H85),1),$O85)),MIN($P85,MAX(0,$N85-$U85-SUM($V85:AA85))),0))</f>
        <v/>
      </c>
      <c r="AC85" s="457">
        <f>IF($AO85&lt;&gt;"OK",0,IF(AND(DATE('Thiết lập'!$B$4,8,1)&gt;=DATE(YEAR($H85),MONTH($H85),1),DATE('Thiết lập'!$B$4,8,1)&lt;EDATE(DATE(YEAR($H85),MONTH($H85),1),$O85)),MIN($P85,MAX(0,$N85-$U85-SUM($V85:AB85))),0))</f>
        <v/>
      </c>
      <c r="AD85" s="457">
        <f>IF($AO85&lt;&gt;"OK",0,IF(AND(DATE('Thiết lập'!$B$4,9,1)&gt;=DATE(YEAR($H85),MONTH($H85),1),DATE('Thiết lập'!$B$4,9,1)&lt;EDATE(DATE(YEAR($H85),MONTH($H85),1),$O85)),MIN($P85,MAX(0,$N85-$U85-SUM($V85:AC85))),0))</f>
        <v/>
      </c>
      <c r="AE85" s="457">
        <f>IF($AO85&lt;&gt;"OK",0,IF(AND(DATE('Thiết lập'!$B$4,10,1)&gt;=DATE(YEAR($H85),MONTH($H85),1),DATE('Thiết lập'!$B$4,10,1)&lt;EDATE(DATE(YEAR($H85),MONTH($H85),1),$O85)),MIN($P85,MAX(0,$N85-$U85-SUM($V85:AD85))),0))</f>
        <v/>
      </c>
      <c r="AF85" s="457">
        <f>IF($AO85&lt;&gt;"OK",0,IF(AND(DATE('Thiết lập'!$B$4,11,1)&gt;=DATE(YEAR($H85),MONTH($H85),1),DATE('Thiết lập'!$B$4,11,1)&lt;EDATE(DATE(YEAR($H85),MONTH($H85),1),$O85)),MIN($P85,MAX(0,$N85-$U85-SUM($V85:AE85))),0))</f>
        <v/>
      </c>
      <c r="AG85" s="457">
        <f>IF($AO85&lt;&gt;"OK",0,IF(AND(DATE('Thiết lập'!$B$4,12,1)&gt;=DATE(YEAR($H85),MONTH($H85),1),DATE('Thiết lập'!$B$4,12,1)&lt;EDATE(DATE(YEAR($H85),MONTH($H85),1),$O85)),MIN($P85,MAX(0,$N85-$U85-SUM($V85:AF85))),0))</f>
        <v/>
      </c>
      <c r="AH85" s="457">
        <f>IF(B85="","",SUM(V85:AG85))</f>
        <v/>
      </c>
      <c r="AI85" s="457">
        <f>IF(B85="","",MIN(N85,IF(U85="",0,U85)+AH85))</f>
        <v/>
      </c>
      <c r="AJ85" s="457">
        <f>IF(B85="","",MAX(0,L85-AI85))</f>
        <v/>
      </c>
      <c r="AK85" s="337">
        <f>IF(B85="","",IF(H85&gt;'Thiết lập'!$B$5,"Chưa khấu hao",IF(AJ85&lt;=IF(M85="",0,M85),"Đã hết khấu hao","Đang khấu hao")))</f>
        <v/>
      </c>
      <c r="AL85" s="275" t="n"/>
      <c r="AM85" s="275" t="n"/>
      <c r="AN85" s="275" t="n"/>
      <c r="AO85" s="343">
        <f>IF(B85="","",IF(COUNTIF($B$7:$B$306,B85)&gt;1,"Trùng mã TSCĐ",IF(C85="","Thiếu tên TSCĐ",IF(H85="","Thiếu ngày bắt đầu",IF(OR(I85&lt;=0,L85&lt;=0,O85&lt;=0),"Kiểm tra số lượng/nguyên giá/thời gian",IF(AND(G85&lt;&gt;"",H85&lt;G85),"Ngày KH trước ngày ghi tăng",IF(M85&gt;L85,"Giá trị thu hồi vượt nguyên giá",IF(IF(U85="",0,U85)&gt;N85,"Lũy kế đầu năm vượt GTKH","OK"))))))))</f>
        <v/>
      </c>
    </row>
    <row r="86" ht="20" customHeight="1" s="389">
      <c r="A86" s="325">
        <f>IF(B86="","",ROW()-6)</f>
        <v/>
      </c>
      <c r="B86" s="275" t="n"/>
      <c r="C86" s="275" t="n"/>
      <c r="D86" s="331" t="n"/>
      <c r="E86" s="331" t="n"/>
      <c r="F86" s="454" t="n"/>
      <c r="G86" s="454" t="n"/>
      <c r="H86" s="454" t="n"/>
      <c r="I86" s="455" t="n"/>
      <c r="J86" s="456" t="n"/>
      <c r="K86" s="456" t="n"/>
      <c r="L86" s="457">
        <f>IF(B86="","",IF(OR(I86="",J86=""),"",I86*J86+IF(K86="",0,K86)))</f>
        <v/>
      </c>
      <c r="M86" s="456" t="n"/>
      <c r="N86" s="457">
        <f>IF(L86="","",MAX(0,L86-IF(M86="",0,M86)))</f>
        <v/>
      </c>
      <c r="O86" s="455" t="n"/>
      <c r="P86" s="457">
        <f>IF(OR(N86="",O86&lt;=0),"",ROUND(N86/O86,0))</f>
        <v/>
      </c>
      <c r="Q86" s="458">
        <f>IF(OR(H86="",O86&lt;=0),"",EOMONTH(H86,O86-1))</f>
        <v/>
      </c>
      <c r="R86" s="331" t="n"/>
      <c r="S86" s="331" t="n"/>
      <c r="T86" s="331" t="n"/>
      <c r="U86" s="456" t="n"/>
      <c r="V86" s="457">
        <f>IF($AO86&lt;&gt;"OK",0,IF(AND(DATE('Thiết lập'!$B$4,1,1)&gt;=DATE(YEAR($H86),MONTH($H86),1),DATE('Thiết lập'!$B$4,1,1)&lt;EDATE(DATE(YEAR($H86),MONTH($H86),1),$O86)),MIN($P86,MAX(0,$N86-$U86-0)),0))</f>
        <v/>
      </c>
      <c r="W86" s="457">
        <f>IF($AO86&lt;&gt;"OK",0,IF(AND(DATE('Thiết lập'!$B$4,2,1)&gt;=DATE(YEAR($H86),MONTH($H86),1),DATE('Thiết lập'!$B$4,2,1)&lt;EDATE(DATE(YEAR($H86),MONTH($H86),1),$O86)),MIN($P86,MAX(0,$N86-$U86-SUM($V86:V86))),0))</f>
        <v/>
      </c>
      <c r="X86" s="457">
        <f>IF($AO86&lt;&gt;"OK",0,IF(AND(DATE('Thiết lập'!$B$4,3,1)&gt;=DATE(YEAR($H86),MONTH($H86),1),DATE('Thiết lập'!$B$4,3,1)&lt;EDATE(DATE(YEAR($H86),MONTH($H86),1),$O86)),MIN($P86,MAX(0,$N86-$U86-SUM($V86:W86))),0))</f>
        <v/>
      </c>
      <c r="Y86" s="457">
        <f>IF($AO86&lt;&gt;"OK",0,IF(AND(DATE('Thiết lập'!$B$4,4,1)&gt;=DATE(YEAR($H86),MONTH($H86),1),DATE('Thiết lập'!$B$4,4,1)&lt;EDATE(DATE(YEAR($H86),MONTH($H86),1),$O86)),MIN($P86,MAX(0,$N86-$U86-SUM($V86:X86))),0))</f>
        <v/>
      </c>
      <c r="Z86" s="457">
        <f>IF($AO86&lt;&gt;"OK",0,IF(AND(DATE('Thiết lập'!$B$4,5,1)&gt;=DATE(YEAR($H86),MONTH($H86),1),DATE('Thiết lập'!$B$4,5,1)&lt;EDATE(DATE(YEAR($H86),MONTH($H86),1),$O86)),MIN($P86,MAX(0,$N86-$U86-SUM($V86:Y86))),0))</f>
        <v/>
      </c>
      <c r="AA86" s="457">
        <f>IF($AO86&lt;&gt;"OK",0,IF(AND(DATE('Thiết lập'!$B$4,6,1)&gt;=DATE(YEAR($H86),MONTH($H86),1),DATE('Thiết lập'!$B$4,6,1)&lt;EDATE(DATE(YEAR($H86),MONTH($H86),1),$O86)),MIN($P86,MAX(0,$N86-$U86-SUM($V86:Z86))),0))</f>
        <v/>
      </c>
      <c r="AB86" s="457">
        <f>IF($AO86&lt;&gt;"OK",0,IF(AND(DATE('Thiết lập'!$B$4,7,1)&gt;=DATE(YEAR($H86),MONTH($H86),1),DATE('Thiết lập'!$B$4,7,1)&lt;EDATE(DATE(YEAR($H86),MONTH($H86),1),$O86)),MIN($P86,MAX(0,$N86-$U86-SUM($V86:AA86))),0))</f>
        <v/>
      </c>
      <c r="AC86" s="457">
        <f>IF($AO86&lt;&gt;"OK",0,IF(AND(DATE('Thiết lập'!$B$4,8,1)&gt;=DATE(YEAR($H86),MONTH($H86),1),DATE('Thiết lập'!$B$4,8,1)&lt;EDATE(DATE(YEAR($H86),MONTH($H86),1),$O86)),MIN($P86,MAX(0,$N86-$U86-SUM($V86:AB86))),0))</f>
        <v/>
      </c>
      <c r="AD86" s="457">
        <f>IF($AO86&lt;&gt;"OK",0,IF(AND(DATE('Thiết lập'!$B$4,9,1)&gt;=DATE(YEAR($H86),MONTH($H86),1),DATE('Thiết lập'!$B$4,9,1)&lt;EDATE(DATE(YEAR($H86),MONTH($H86),1),$O86)),MIN($P86,MAX(0,$N86-$U86-SUM($V86:AC86))),0))</f>
        <v/>
      </c>
      <c r="AE86" s="457">
        <f>IF($AO86&lt;&gt;"OK",0,IF(AND(DATE('Thiết lập'!$B$4,10,1)&gt;=DATE(YEAR($H86),MONTH($H86),1),DATE('Thiết lập'!$B$4,10,1)&lt;EDATE(DATE(YEAR($H86),MONTH($H86),1),$O86)),MIN($P86,MAX(0,$N86-$U86-SUM($V86:AD86))),0))</f>
        <v/>
      </c>
      <c r="AF86" s="457">
        <f>IF($AO86&lt;&gt;"OK",0,IF(AND(DATE('Thiết lập'!$B$4,11,1)&gt;=DATE(YEAR($H86),MONTH($H86),1),DATE('Thiết lập'!$B$4,11,1)&lt;EDATE(DATE(YEAR($H86),MONTH($H86),1),$O86)),MIN($P86,MAX(0,$N86-$U86-SUM($V86:AE86))),0))</f>
        <v/>
      </c>
      <c r="AG86" s="457">
        <f>IF($AO86&lt;&gt;"OK",0,IF(AND(DATE('Thiết lập'!$B$4,12,1)&gt;=DATE(YEAR($H86),MONTH($H86),1),DATE('Thiết lập'!$B$4,12,1)&lt;EDATE(DATE(YEAR($H86),MONTH($H86),1),$O86)),MIN($P86,MAX(0,$N86-$U86-SUM($V86:AF86))),0))</f>
        <v/>
      </c>
      <c r="AH86" s="457">
        <f>IF(B86="","",SUM(V86:AG86))</f>
        <v/>
      </c>
      <c r="AI86" s="457">
        <f>IF(B86="","",MIN(N86,IF(U86="",0,U86)+AH86))</f>
        <v/>
      </c>
      <c r="AJ86" s="457">
        <f>IF(B86="","",MAX(0,L86-AI86))</f>
        <v/>
      </c>
      <c r="AK86" s="337">
        <f>IF(B86="","",IF(H86&gt;'Thiết lập'!$B$5,"Chưa khấu hao",IF(AJ86&lt;=IF(M86="",0,M86),"Đã hết khấu hao","Đang khấu hao")))</f>
        <v/>
      </c>
      <c r="AL86" s="275" t="n"/>
      <c r="AM86" s="275" t="n"/>
      <c r="AN86" s="275" t="n"/>
      <c r="AO86" s="343">
        <f>IF(B86="","",IF(COUNTIF($B$7:$B$306,B86)&gt;1,"Trùng mã TSCĐ",IF(C86="","Thiếu tên TSCĐ",IF(H86="","Thiếu ngày bắt đầu",IF(OR(I86&lt;=0,L86&lt;=0,O86&lt;=0),"Kiểm tra số lượng/nguyên giá/thời gian",IF(AND(G86&lt;&gt;"",H86&lt;G86),"Ngày KH trước ngày ghi tăng",IF(M86&gt;L86,"Giá trị thu hồi vượt nguyên giá",IF(IF(U86="",0,U86)&gt;N86,"Lũy kế đầu năm vượt GTKH","OK"))))))))</f>
        <v/>
      </c>
    </row>
    <row r="87" ht="20" customHeight="1" s="389">
      <c r="A87" s="325">
        <f>IF(B87="","",ROW()-6)</f>
        <v/>
      </c>
      <c r="B87" s="275" t="n"/>
      <c r="C87" s="275" t="n"/>
      <c r="D87" s="331" t="n"/>
      <c r="E87" s="331" t="n"/>
      <c r="F87" s="454" t="n"/>
      <c r="G87" s="454" t="n"/>
      <c r="H87" s="454" t="n"/>
      <c r="I87" s="455" t="n"/>
      <c r="J87" s="456" t="n"/>
      <c r="K87" s="456" t="n"/>
      <c r="L87" s="457">
        <f>IF(B87="","",IF(OR(I87="",J87=""),"",I87*J87+IF(K87="",0,K87)))</f>
        <v/>
      </c>
      <c r="M87" s="456" t="n"/>
      <c r="N87" s="457">
        <f>IF(L87="","",MAX(0,L87-IF(M87="",0,M87)))</f>
        <v/>
      </c>
      <c r="O87" s="455" t="n"/>
      <c r="P87" s="457">
        <f>IF(OR(N87="",O87&lt;=0),"",ROUND(N87/O87,0))</f>
        <v/>
      </c>
      <c r="Q87" s="458">
        <f>IF(OR(H87="",O87&lt;=0),"",EOMONTH(H87,O87-1))</f>
        <v/>
      </c>
      <c r="R87" s="331" t="n"/>
      <c r="S87" s="331" t="n"/>
      <c r="T87" s="331" t="n"/>
      <c r="U87" s="456" t="n"/>
      <c r="V87" s="457">
        <f>IF($AO87&lt;&gt;"OK",0,IF(AND(DATE('Thiết lập'!$B$4,1,1)&gt;=DATE(YEAR($H87),MONTH($H87),1),DATE('Thiết lập'!$B$4,1,1)&lt;EDATE(DATE(YEAR($H87),MONTH($H87),1),$O87)),MIN($P87,MAX(0,$N87-$U87-0)),0))</f>
        <v/>
      </c>
      <c r="W87" s="457">
        <f>IF($AO87&lt;&gt;"OK",0,IF(AND(DATE('Thiết lập'!$B$4,2,1)&gt;=DATE(YEAR($H87),MONTH($H87),1),DATE('Thiết lập'!$B$4,2,1)&lt;EDATE(DATE(YEAR($H87),MONTH($H87),1),$O87)),MIN($P87,MAX(0,$N87-$U87-SUM($V87:V87))),0))</f>
        <v/>
      </c>
      <c r="X87" s="457">
        <f>IF($AO87&lt;&gt;"OK",0,IF(AND(DATE('Thiết lập'!$B$4,3,1)&gt;=DATE(YEAR($H87),MONTH($H87),1),DATE('Thiết lập'!$B$4,3,1)&lt;EDATE(DATE(YEAR($H87),MONTH($H87),1),$O87)),MIN($P87,MAX(0,$N87-$U87-SUM($V87:W87))),0))</f>
        <v/>
      </c>
      <c r="Y87" s="457">
        <f>IF($AO87&lt;&gt;"OK",0,IF(AND(DATE('Thiết lập'!$B$4,4,1)&gt;=DATE(YEAR($H87),MONTH($H87),1),DATE('Thiết lập'!$B$4,4,1)&lt;EDATE(DATE(YEAR($H87),MONTH($H87),1),$O87)),MIN($P87,MAX(0,$N87-$U87-SUM($V87:X87))),0))</f>
        <v/>
      </c>
      <c r="Z87" s="457">
        <f>IF($AO87&lt;&gt;"OK",0,IF(AND(DATE('Thiết lập'!$B$4,5,1)&gt;=DATE(YEAR($H87),MONTH($H87),1),DATE('Thiết lập'!$B$4,5,1)&lt;EDATE(DATE(YEAR($H87),MONTH($H87),1),$O87)),MIN($P87,MAX(0,$N87-$U87-SUM($V87:Y87))),0))</f>
        <v/>
      </c>
      <c r="AA87" s="457">
        <f>IF($AO87&lt;&gt;"OK",0,IF(AND(DATE('Thiết lập'!$B$4,6,1)&gt;=DATE(YEAR($H87),MONTH($H87),1),DATE('Thiết lập'!$B$4,6,1)&lt;EDATE(DATE(YEAR($H87),MONTH($H87),1),$O87)),MIN($P87,MAX(0,$N87-$U87-SUM($V87:Z87))),0))</f>
        <v/>
      </c>
      <c r="AB87" s="457">
        <f>IF($AO87&lt;&gt;"OK",0,IF(AND(DATE('Thiết lập'!$B$4,7,1)&gt;=DATE(YEAR($H87),MONTH($H87),1),DATE('Thiết lập'!$B$4,7,1)&lt;EDATE(DATE(YEAR($H87),MONTH($H87),1),$O87)),MIN($P87,MAX(0,$N87-$U87-SUM($V87:AA87))),0))</f>
        <v/>
      </c>
      <c r="AC87" s="457">
        <f>IF($AO87&lt;&gt;"OK",0,IF(AND(DATE('Thiết lập'!$B$4,8,1)&gt;=DATE(YEAR($H87),MONTH($H87),1),DATE('Thiết lập'!$B$4,8,1)&lt;EDATE(DATE(YEAR($H87),MONTH($H87),1),$O87)),MIN($P87,MAX(0,$N87-$U87-SUM($V87:AB87))),0))</f>
        <v/>
      </c>
      <c r="AD87" s="457">
        <f>IF($AO87&lt;&gt;"OK",0,IF(AND(DATE('Thiết lập'!$B$4,9,1)&gt;=DATE(YEAR($H87),MONTH($H87),1),DATE('Thiết lập'!$B$4,9,1)&lt;EDATE(DATE(YEAR($H87),MONTH($H87),1),$O87)),MIN($P87,MAX(0,$N87-$U87-SUM($V87:AC87))),0))</f>
        <v/>
      </c>
      <c r="AE87" s="457">
        <f>IF($AO87&lt;&gt;"OK",0,IF(AND(DATE('Thiết lập'!$B$4,10,1)&gt;=DATE(YEAR($H87),MONTH($H87),1),DATE('Thiết lập'!$B$4,10,1)&lt;EDATE(DATE(YEAR($H87),MONTH($H87),1),$O87)),MIN($P87,MAX(0,$N87-$U87-SUM($V87:AD87))),0))</f>
        <v/>
      </c>
      <c r="AF87" s="457">
        <f>IF($AO87&lt;&gt;"OK",0,IF(AND(DATE('Thiết lập'!$B$4,11,1)&gt;=DATE(YEAR($H87),MONTH($H87),1),DATE('Thiết lập'!$B$4,11,1)&lt;EDATE(DATE(YEAR($H87),MONTH($H87),1),$O87)),MIN($P87,MAX(0,$N87-$U87-SUM($V87:AE87))),0))</f>
        <v/>
      </c>
      <c r="AG87" s="457">
        <f>IF($AO87&lt;&gt;"OK",0,IF(AND(DATE('Thiết lập'!$B$4,12,1)&gt;=DATE(YEAR($H87),MONTH($H87),1),DATE('Thiết lập'!$B$4,12,1)&lt;EDATE(DATE(YEAR($H87),MONTH($H87),1),$O87)),MIN($P87,MAX(0,$N87-$U87-SUM($V87:AF87))),0))</f>
        <v/>
      </c>
      <c r="AH87" s="457">
        <f>IF(B87="","",SUM(V87:AG87))</f>
        <v/>
      </c>
      <c r="AI87" s="457">
        <f>IF(B87="","",MIN(N87,IF(U87="",0,U87)+AH87))</f>
        <v/>
      </c>
      <c r="AJ87" s="457">
        <f>IF(B87="","",MAX(0,L87-AI87))</f>
        <v/>
      </c>
      <c r="AK87" s="337">
        <f>IF(B87="","",IF(H87&gt;'Thiết lập'!$B$5,"Chưa khấu hao",IF(AJ87&lt;=IF(M87="",0,M87),"Đã hết khấu hao","Đang khấu hao")))</f>
        <v/>
      </c>
      <c r="AL87" s="275" t="n"/>
      <c r="AM87" s="275" t="n"/>
      <c r="AN87" s="275" t="n"/>
      <c r="AO87" s="343">
        <f>IF(B87="","",IF(COUNTIF($B$7:$B$306,B87)&gt;1,"Trùng mã TSCĐ",IF(C87="","Thiếu tên TSCĐ",IF(H87="","Thiếu ngày bắt đầu",IF(OR(I87&lt;=0,L87&lt;=0,O87&lt;=0),"Kiểm tra số lượng/nguyên giá/thời gian",IF(AND(G87&lt;&gt;"",H87&lt;G87),"Ngày KH trước ngày ghi tăng",IF(M87&gt;L87,"Giá trị thu hồi vượt nguyên giá",IF(IF(U87="",0,U87)&gt;N87,"Lũy kế đầu năm vượt GTKH","OK"))))))))</f>
        <v/>
      </c>
    </row>
    <row r="88" ht="20" customHeight="1" s="389">
      <c r="A88" s="325">
        <f>IF(B88="","",ROW()-6)</f>
        <v/>
      </c>
      <c r="B88" s="275" t="n"/>
      <c r="C88" s="275" t="n"/>
      <c r="D88" s="331" t="n"/>
      <c r="E88" s="331" t="n"/>
      <c r="F88" s="454" t="n"/>
      <c r="G88" s="454" t="n"/>
      <c r="H88" s="454" t="n"/>
      <c r="I88" s="455" t="n"/>
      <c r="J88" s="456" t="n"/>
      <c r="K88" s="456" t="n"/>
      <c r="L88" s="457">
        <f>IF(B88="","",IF(OR(I88="",J88=""),"",I88*J88+IF(K88="",0,K88)))</f>
        <v/>
      </c>
      <c r="M88" s="456" t="n"/>
      <c r="N88" s="457">
        <f>IF(L88="","",MAX(0,L88-IF(M88="",0,M88)))</f>
        <v/>
      </c>
      <c r="O88" s="455" t="n"/>
      <c r="P88" s="457">
        <f>IF(OR(N88="",O88&lt;=0),"",ROUND(N88/O88,0))</f>
        <v/>
      </c>
      <c r="Q88" s="458">
        <f>IF(OR(H88="",O88&lt;=0),"",EOMONTH(H88,O88-1))</f>
        <v/>
      </c>
      <c r="R88" s="331" t="n"/>
      <c r="S88" s="331" t="n"/>
      <c r="T88" s="331" t="n"/>
      <c r="U88" s="456" t="n"/>
      <c r="V88" s="457">
        <f>IF($AO88&lt;&gt;"OK",0,IF(AND(DATE('Thiết lập'!$B$4,1,1)&gt;=DATE(YEAR($H88),MONTH($H88),1),DATE('Thiết lập'!$B$4,1,1)&lt;EDATE(DATE(YEAR($H88),MONTH($H88),1),$O88)),MIN($P88,MAX(0,$N88-$U88-0)),0))</f>
        <v/>
      </c>
      <c r="W88" s="457">
        <f>IF($AO88&lt;&gt;"OK",0,IF(AND(DATE('Thiết lập'!$B$4,2,1)&gt;=DATE(YEAR($H88),MONTH($H88),1),DATE('Thiết lập'!$B$4,2,1)&lt;EDATE(DATE(YEAR($H88),MONTH($H88),1),$O88)),MIN($P88,MAX(0,$N88-$U88-SUM($V88:V88))),0))</f>
        <v/>
      </c>
      <c r="X88" s="457">
        <f>IF($AO88&lt;&gt;"OK",0,IF(AND(DATE('Thiết lập'!$B$4,3,1)&gt;=DATE(YEAR($H88),MONTH($H88),1),DATE('Thiết lập'!$B$4,3,1)&lt;EDATE(DATE(YEAR($H88),MONTH($H88),1),$O88)),MIN($P88,MAX(0,$N88-$U88-SUM($V88:W88))),0))</f>
        <v/>
      </c>
      <c r="Y88" s="457">
        <f>IF($AO88&lt;&gt;"OK",0,IF(AND(DATE('Thiết lập'!$B$4,4,1)&gt;=DATE(YEAR($H88),MONTH($H88),1),DATE('Thiết lập'!$B$4,4,1)&lt;EDATE(DATE(YEAR($H88),MONTH($H88),1),$O88)),MIN($P88,MAX(0,$N88-$U88-SUM($V88:X88))),0))</f>
        <v/>
      </c>
      <c r="Z88" s="457">
        <f>IF($AO88&lt;&gt;"OK",0,IF(AND(DATE('Thiết lập'!$B$4,5,1)&gt;=DATE(YEAR($H88),MONTH($H88),1),DATE('Thiết lập'!$B$4,5,1)&lt;EDATE(DATE(YEAR($H88),MONTH($H88),1),$O88)),MIN($P88,MAX(0,$N88-$U88-SUM($V88:Y88))),0))</f>
        <v/>
      </c>
      <c r="AA88" s="457">
        <f>IF($AO88&lt;&gt;"OK",0,IF(AND(DATE('Thiết lập'!$B$4,6,1)&gt;=DATE(YEAR($H88),MONTH($H88),1),DATE('Thiết lập'!$B$4,6,1)&lt;EDATE(DATE(YEAR($H88),MONTH($H88),1),$O88)),MIN($P88,MAX(0,$N88-$U88-SUM($V88:Z88))),0))</f>
        <v/>
      </c>
      <c r="AB88" s="457">
        <f>IF($AO88&lt;&gt;"OK",0,IF(AND(DATE('Thiết lập'!$B$4,7,1)&gt;=DATE(YEAR($H88),MONTH($H88),1),DATE('Thiết lập'!$B$4,7,1)&lt;EDATE(DATE(YEAR($H88),MONTH($H88),1),$O88)),MIN($P88,MAX(0,$N88-$U88-SUM($V88:AA88))),0))</f>
        <v/>
      </c>
      <c r="AC88" s="457">
        <f>IF($AO88&lt;&gt;"OK",0,IF(AND(DATE('Thiết lập'!$B$4,8,1)&gt;=DATE(YEAR($H88),MONTH($H88),1),DATE('Thiết lập'!$B$4,8,1)&lt;EDATE(DATE(YEAR($H88),MONTH($H88),1),$O88)),MIN($P88,MAX(0,$N88-$U88-SUM($V88:AB88))),0))</f>
        <v/>
      </c>
      <c r="AD88" s="457">
        <f>IF($AO88&lt;&gt;"OK",0,IF(AND(DATE('Thiết lập'!$B$4,9,1)&gt;=DATE(YEAR($H88),MONTH($H88),1),DATE('Thiết lập'!$B$4,9,1)&lt;EDATE(DATE(YEAR($H88),MONTH($H88),1),$O88)),MIN($P88,MAX(0,$N88-$U88-SUM($V88:AC88))),0))</f>
        <v/>
      </c>
      <c r="AE88" s="457">
        <f>IF($AO88&lt;&gt;"OK",0,IF(AND(DATE('Thiết lập'!$B$4,10,1)&gt;=DATE(YEAR($H88),MONTH($H88),1),DATE('Thiết lập'!$B$4,10,1)&lt;EDATE(DATE(YEAR($H88),MONTH($H88),1),$O88)),MIN($P88,MAX(0,$N88-$U88-SUM($V88:AD88))),0))</f>
        <v/>
      </c>
      <c r="AF88" s="457">
        <f>IF($AO88&lt;&gt;"OK",0,IF(AND(DATE('Thiết lập'!$B$4,11,1)&gt;=DATE(YEAR($H88),MONTH($H88),1),DATE('Thiết lập'!$B$4,11,1)&lt;EDATE(DATE(YEAR($H88),MONTH($H88),1),$O88)),MIN($P88,MAX(0,$N88-$U88-SUM($V88:AE88))),0))</f>
        <v/>
      </c>
      <c r="AG88" s="457">
        <f>IF($AO88&lt;&gt;"OK",0,IF(AND(DATE('Thiết lập'!$B$4,12,1)&gt;=DATE(YEAR($H88),MONTH($H88),1),DATE('Thiết lập'!$B$4,12,1)&lt;EDATE(DATE(YEAR($H88),MONTH($H88),1),$O88)),MIN($P88,MAX(0,$N88-$U88-SUM($V88:AF88))),0))</f>
        <v/>
      </c>
      <c r="AH88" s="457">
        <f>IF(B88="","",SUM(V88:AG88))</f>
        <v/>
      </c>
      <c r="AI88" s="457">
        <f>IF(B88="","",MIN(N88,IF(U88="",0,U88)+AH88))</f>
        <v/>
      </c>
      <c r="AJ88" s="457">
        <f>IF(B88="","",MAX(0,L88-AI88))</f>
        <v/>
      </c>
      <c r="AK88" s="337">
        <f>IF(B88="","",IF(H88&gt;'Thiết lập'!$B$5,"Chưa khấu hao",IF(AJ88&lt;=IF(M88="",0,M88),"Đã hết khấu hao","Đang khấu hao")))</f>
        <v/>
      </c>
      <c r="AL88" s="275" t="n"/>
      <c r="AM88" s="275" t="n"/>
      <c r="AN88" s="275" t="n"/>
      <c r="AO88" s="343">
        <f>IF(B88="","",IF(COUNTIF($B$7:$B$306,B88)&gt;1,"Trùng mã TSCĐ",IF(C88="","Thiếu tên TSCĐ",IF(H88="","Thiếu ngày bắt đầu",IF(OR(I88&lt;=0,L88&lt;=0,O88&lt;=0),"Kiểm tra số lượng/nguyên giá/thời gian",IF(AND(G88&lt;&gt;"",H88&lt;G88),"Ngày KH trước ngày ghi tăng",IF(M88&gt;L88,"Giá trị thu hồi vượt nguyên giá",IF(IF(U88="",0,U88)&gt;N88,"Lũy kế đầu năm vượt GTKH","OK"))))))))</f>
        <v/>
      </c>
    </row>
    <row r="89" ht="20" customHeight="1" s="389">
      <c r="A89" s="325">
        <f>IF(B89="","",ROW()-6)</f>
        <v/>
      </c>
      <c r="B89" s="275" t="n"/>
      <c r="C89" s="275" t="n"/>
      <c r="D89" s="331" t="n"/>
      <c r="E89" s="331" t="n"/>
      <c r="F89" s="454" t="n"/>
      <c r="G89" s="454" t="n"/>
      <c r="H89" s="454" t="n"/>
      <c r="I89" s="455" t="n"/>
      <c r="J89" s="456" t="n"/>
      <c r="K89" s="456" t="n"/>
      <c r="L89" s="457">
        <f>IF(B89="","",IF(OR(I89="",J89=""),"",I89*J89+IF(K89="",0,K89)))</f>
        <v/>
      </c>
      <c r="M89" s="456" t="n"/>
      <c r="N89" s="457">
        <f>IF(L89="","",MAX(0,L89-IF(M89="",0,M89)))</f>
        <v/>
      </c>
      <c r="O89" s="455" t="n"/>
      <c r="P89" s="457">
        <f>IF(OR(N89="",O89&lt;=0),"",ROUND(N89/O89,0))</f>
        <v/>
      </c>
      <c r="Q89" s="458">
        <f>IF(OR(H89="",O89&lt;=0),"",EOMONTH(H89,O89-1))</f>
        <v/>
      </c>
      <c r="R89" s="331" t="n"/>
      <c r="S89" s="331" t="n"/>
      <c r="T89" s="331" t="n"/>
      <c r="U89" s="456" t="n"/>
      <c r="V89" s="457">
        <f>IF($AO89&lt;&gt;"OK",0,IF(AND(DATE('Thiết lập'!$B$4,1,1)&gt;=DATE(YEAR($H89),MONTH($H89),1),DATE('Thiết lập'!$B$4,1,1)&lt;EDATE(DATE(YEAR($H89),MONTH($H89),1),$O89)),MIN($P89,MAX(0,$N89-$U89-0)),0))</f>
        <v/>
      </c>
      <c r="W89" s="457">
        <f>IF($AO89&lt;&gt;"OK",0,IF(AND(DATE('Thiết lập'!$B$4,2,1)&gt;=DATE(YEAR($H89),MONTH($H89),1),DATE('Thiết lập'!$B$4,2,1)&lt;EDATE(DATE(YEAR($H89),MONTH($H89),1),$O89)),MIN($P89,MAX(0,$N89-$U89-SUM($V89:V89))),0))</f>
        <v/>
      </c>
      <c r="X89" s="457">
        <f>IF($AO89&lt;&gt;"OK",0,IF(AND(DATE('Thiết lập'!$B$4,3,1)&gt;=DATE(YEAR($H89),MONTH($H89),1),DATE('Thiết lập'!$B$4,3,1)&lt;EDATE(DATE(YEAR($H89),MONTH($H89),1),$O89)),MIN($P89,MAX(0,$N89-$U89-SUM($V89:W89))),0))</f>
        <v/>
      </c>
      <c r="Y89" s="457">
        <f>IF($AO89&lt;&gt;"OK",0,IF(AND(DATE('Thiết lập'!$B$4,4,1)&gt;=DATE(YEAR($H89),MONTH($H89),1),DATE('Thiết lập'!$B$4,4,1)&lt;EDATE(DATE(YEAR($H89),MONTH($H89),1),$O89)),MIN($P89,MAX(0,$N89-$U89-SUM($V89:X89))),0))</f>
        <v/>
      </c>
      <c r="Z89" s="457">
        <f>IF($AO89&lt;&gt;"OK",0,IF(AND(DATE('Thiết lập'!$B$4,5,1)&gt;=DATE(YEAR($H89),MONTH($H89),1),DATE('Thiết lập'!$B$4,5,1)&lt;EDATE(DATE(YEAR($H89),MONTH($H89),1),$O89)),MIN($P89,MAX(0,$N89-$U89-SUM($V89:Y89))),0))</f>
        <v/>
      </c>
      <c r="AA89" s="457">
        <f>IF($AO89&lt;&gt;"OK",0,IF(AND(DATE('Thiết lập'!$B$4,6,1)&gt;=DATE(YEAR($H89),MONTH($H89),1),DATE('Thiết lập'!$B$4,6,1)&lt;EDATE(DATE(YEAR($H89),MONTH($H89),1),$O89)),MIN($P89,MAX(0,$N89-$U89-SUM($V89:Z89))),0))</f>
        <v/>
      </c>
      <c r="AB89" s="457">
        <f>IF($AO89&lt;&gt;"OK",0,IF(AND(DATE('Thiết lập'!$B$4,7,1)&gt;=DATE(YEAR($H89),MONTH($H89),1),DATE('Thiết lập'!$B$4,7,1)&lt;EDATE(DATE(YEAR($H89),MONTH($H89),1),$O89)),MIN($P89,MAX(0,$N89-$U89-SUM($V89:AA89))),0))</f>
        <v/>
      </c>
      <c r="AC89" s="457">
        <f>IF($AO89&lt;&gt;"OK",0,IF(AND(DATE('Thiết lập'!$B$4,8,1)&gt;=DATE(YEAR($H89),MONTH($H89),1),DATE('Thiết lập'!$B$4,8,1)&lt;EDATE(DATE(YEAR($H89),MONTH($H89),1),$O89)),MIN($P89,MAX(0,$N89-$U89-SUM($V89:AB89))),0))</f>
        <v/>
      </c>
      <c r="AD89" s="457">
        <f>IF($AO89&lt;&gt;"OK",0,IF(AND(DATE('Thiết lập'!$B$4,9,1)&gt;=DATE(YEAR($H89),MONTH($H89),1),DATE('Thiết lập'!$B$4,9,1)&lt;EDATE(DATE(YEAR($H89),MONTH($H89),1),$O89)),MIN($P89,MAX(0,$N89-$U89-SUM($V89:AC89))),0))</f>
        <v/>
      </c>
      <c r="AE89" s="457">
        <f>IF($AO89&lt;&gt;"OK",0,IF(AND(DATE('Thiết lập'!$B$4,10,1)&gt;=DATE(YEAR($H89),MONTH($H89),1),DATE('Thiết lập'!$B$4,10,1)&lt;EDATE(DATE(YEAR($H89),MONTH($H89),1),$O89)),MIN($P89,MAX(0,$N89-$U89-SUM($V89:AD89))),0))</f>
        <v/>
      </c>
      <c r="AF89" s="457">
        <f>IF($AO89&lt;&gt;"OK",0,IF(AND(DATE('Thiết lập'!$B$4,11,1)&gt;=DATE(YEAR($H89),MONTH($H89),1),DATE('Thiết lập'!$B$4,11,1)&lt;EDATE(DATE(YEAR($H89),MONTH($H89),1),$O89)),MIN($P89,MAX(0,$N89-$U89-SUM($V89:AE89))),0))</f>
        <v/>
      </c>
      <c r="AG89" s="457">
        <f>IF($AO89&lt;&gt;"OK",0,IF(AND(DATE('Thiết lập'!$B$4,12,1)&gt;=DATE(YEAR($H89),MONTH($H89),1),DATE('Thiết lập'!$B$4,12,1)&lt;EDATE(DATE(YEAR($H89),MONTH($H89),1),$O89)),MIN($P89,MAX(0,$N89-$U89-SUM($V89:AF89))),0))</f>
        <v/>
      </c>
      <c r="AH89" s="457">
        <f>IF(B89="","",SUM(V89:AG89))</f>
        <v/>
      </c>
      <c r="AI89" s="457">
        <f>IF(B89="","",MIN(N89,IF(U89="",0,U89)+AH89))</f>
        <v/>
      </c>
      <c r="AJ89" s="457">
        <f>IF(B89="","",MAX(0,L89-AI89))</f>
        <v/>
      </c>
      <c r="AK89" s="337">
        <f>IF(B89="","",IF(H89&gt;'Thiết lập'!$B$5,"Chưa khấu hao",IF(AJ89&lt;=IF(M89="",0,M89),"Đã hết khấu hao","Đang khấu hao")))</f>
        <v/>
      </c>
      <c r="AL89" s="275" t="n"/>
      <c r="AM89" s="275" t="n"/>
      <c r="AN89" s="275" t="n"/>
      <c r="AO89" s="343">
        <f>IF(B89="","",IF(COUNTIF($B$7:$B$306,B89)&gt;1,"Trùng mã TSCĐ",IF(C89="","Thiếu tên TSCĐ",IF(H89="","Thiếu ngày bắt đầu",IF(OR(I89&lt;=0,L89&lt;=0,O89&lt;=0),"Kiểm tra số lượng/nguyên giá/thời gian",IF(AND(G89&lt;&gt;"",H89&lt;G89),"Ngày KH trước ngày ghi tăng",IF(M89&gt;L89,"Giá trị thu hồi vượt nguyên giá",IF(IF(U89="",0,U89)&gt;N89,"Lũy kế đầu năm vượt GTKH","OK"))))))))</f>
        <v/>
      </c>
    </row>
    <row r="90" ht="20" customHeight="1" s="389">
      <c r="A90" s="325">
        <f>IF(B90="","",ROW()-6)</f>
        <v/>
      </c>
      <c r="B90" s="275" t="n"/>
      <c r="C90" s="275" t="n"/>
      <c r="D90" s="331" t="n"/>
      <c r="E90" s="331" t="n"/>
      <c r="F90" s="454" t="n"/>
      <c r="G90" s="454" t="n"/>
      <c r="H90" s="454" t="n"/>
      <c r="I90" s="455" t="n"/>
      <c r="J90" s="456" t="n"/>
      <c r="K90" s="456" t="n"/>
      <c r="L90" s="457">
        <f>IF(B90="","",IF(OR(I90="",J90=""),"",I90*J90+IF(K90="",0,K90)))</f>
        <v/>
      </c>
      <c r="M90" s="456" t="n"/>
      <c r="N90" s="457">
        <f>IF(L90="","",MAX(0,L90-IF(M90="",0,M90)))</f>
        <v/>
      </c>
      <c r="O90" s="455" t="n"/>
      <c r="P90" s="457">
        <f>IF(OR(N90="",O90&lt;=0),"",ROUND(N90/O90,0))</f>
        <v/>
      </c>
      <c r="Q90" s="458">
        <f>IF(OR(H90="",O90&lt;=0),"",EOMONTH(H90,O90-1))</f>
        <v/>
      </c>
      <c r="R90" s="331" t="n"/>
      <c r="S90" s="331" t="n"/>
      <c r="T90" s="331" t="n"/>
      <c r="U90" s="456" t="n"/>
      <c r="V90" s="457">
        <f>IF($AO90&lt;&gt;"OK",0,IF(AND(DATE('Thiết lập'!$B$4,1,1)&gt;=DATE(YEAR($H90),MONTH($H90),1),DATE('Thiết lập'!$B$4,1,1)&lt;EDATE(DATE(YEAR($H90),MONTH($H90),1),$O90)),MIN($P90,MAX(0,$N90-$U90-0)),0))</f>
        <v/>
      </c>
      <c r="W90" s="457">
        <f>IF($AO90&lt;&gt;"OK",0,IF(AND(DATE('Thiết lập'!$B$4,2,1)&gt;=DATE(YEAR($H90),MONTH($H90),1),DATE('Thiết lập'!$B$4,2,1)&lt;EDATE(DATE(YEAR($H90),MONTH($H90),1),$O90)),MIN($P90,MAX(0,$N90-$U90-SUM($V90:V90))),0))</f>
        <v/>
      </c>
      <c r="X90" s="457">
        <f>IF($AO90&lt;&gt;"OK",0,IF(AND(DATE('Thiết lập'!$B$4,3,1)&gt;=DATE(YEAR($H90),MONTH($H90),1),DATE('Thiết lập'!$B$4,3,1)&lt;EDATE(DATE(YEAR($H90),MONTH($H90),1),$O90)),MIN($P90,MAX(0,$N90-$U90-SUM($V90:W90))),0))</f>
        <v/>
      </c>
      <c r="Y90" s="457">
        <f>IF($AO90&lt;&gt;"OK",0,IF(AND(DATE('Thiết lập'!$B$4,4,1)&gt;=DATE(YEAR($H90),MONTH($H90),1),DATE('Thiết lập'!$B$4,4,1)&lt;EDATE(DATE(YEAR($H90),MONTH($H90),1),$O90)),MIN($P90,MAX(0,$N90-$U90-SUM($V90:X90))),0))</f>
        <v/>
      </c>
      <c r="Z90" s="457">
        <f>IF($AO90&lt;&gt;"OK",0,IF(AND(DATE('Thiết lập'!$B$4,5,1)&gt;=DATE(YEAR($H90),MONTH($H90),1),DATE('Thiết lập'!$B$4,5,1)&lt;EDATE(DATE(YEAR($H90),MONTH($H90),1),$O90)),MIN($P90,MAX(0,$N90-$U90-SUM($V90:Y90))),0))</f>
        <v/>
      </c>
      <c r="AA90" s="457">
        <f>IF($AO90&lt;&gt;"OK",0,IF(AND(DATE('Thiết lập'!$B$4,6,1)&gt;=DATE(YEAR($H90),MONTH($H90),1),DATE('Thiết lập'!$B$4,6,1)&lt;EDATE(DATE(YEAR($H90),MONTH($H90),1),$O90)),MIN($P90,MAX(0,$N90-$U90-SUM($V90:Z90))),0))</f>
        <v/>
      </c>
      <c r="AB90" s="457">
        <f>IF($AO90&lt;&gt;"OK",0,IF(AND(DATE('Thiết lập'!$B$4,7,1)&gt;=DATE(YEAR($H90),MONTH($H90),1),DATE('Thiết lập'!$B$4,7,1)&lt;EDATE(DATE(YEAR($H90),MONTH($H90),1),$O90)),MIN($P90,MAX(0,$N90-$U90-SUM($V90:AA90))),0))</f>
        <v/>
      </c>
      <c r="AC90" s="457">
        <f>IF($AO90&lt;&gt;"OK",0,IF(AND(DATE('Thiết lập'!$B$4,8,1)&gt;=DATE(YEAR($H90),MONTH($H90),1),DATE('Thiết lập'!$B$4,8,1)&lt;EDATE(DATE(YEAR($H90),MONTH($H90),1),$O90)),MIN($P90,MAX(0,$N90-$U90-SUM($V90:AB90))),0))</f>
        <v/>
      </c>
      <c r="AD90" s="457">
        <f>IF($AO90&lt;&gt;"OK",0,IF(AND(DATE('Thiết lập'!$B$4,9,1)&gt;=DATE(YEAR($H90),MONTH($H90),1),DATE('Thiết lập'!$B$4,9,1)&lt;EDATE(DATE(YEAR($H90),MONTH($H90),1),$O90)),MIN($P90,MAX(0,$N90-$U90-SUM($V90:AC90))),0))</f>
        <v/>
      </c>
      <c r="AE90" s="457">
        <f>IF($AO90&lt;&gt;"OK",0,IF(AND(DATE('Thiết lập'!$B$4,10,1)&gt;=DATE(YEAR($H90),MONTH($H90),1),DATE('Thiết lập'!$B$4,10,1)&lt;EDATE(DATE(YEAR($H90),MONTH($H90),1),$O90)),MIN($P90,MAX(0,$N90-$U90-SUM($V90:AD90))),0))</f>
        <v/>
      </c>
      <c r="AF90" s="457">
        <f>IF($AO90&lt;&gt;"OK",0,IF(AND(DATE('Thiết lập'!$B$4,11,1)&gt;=DATE(YEAR($H90),MONTH($H90),1),DATE('Thiết lập'!$B$4,11,1)&lt;EDATE(DATE(YEAR($H90),MONTH($H90),1),$O90)),MIN($P90,MAX(0,$N90-$U90-SUM($V90:AE90))),0))</f>
        <v/>
      </c>
      <c r="AG90" s="457">
        <f>IF($AO90&lt;&gt;"OK",0,IF(AND(DATE('Thiết lập'!$B$4,12,1)&gt;=DATE(YEAR($H90),MONTH($H90),1),DATE('Thiết lập'!$B$4,12,1)&lt;EDATE(DATE(YEAR($H90),MONTH($H90),1),$O90)),MIN($P90,MAX(0,$N90-$U90-SUM($V90:AF90))),0))</f>
        <v/>
      </c>
      <c r="AH90" s="457">
        <f>IF(B90="","",SUM(V90:AG90))</f>
        <v/>
      </c>
      <c r="AI90" s="457">
        <f>IF(B90="","",MIN(N90,IF(U90="",0,U90)+AH90))</f>
        <v/>
      </c>
      <c r="AJ90" s="457">
        <f>IF(B90="","",MAX(0,L90-AI90))</f>
        <v/>
      </c>
      <c r="AK90" s="337">
        <f>IF(B90="","",IF(H90&gt;'Thiết lập'!$B$5,"Chưa khấu hao",IF(AJ90&lt;=IF(M90="",0,M90),"Đã hết khấu hao","Đang khấu hao")))</f>
        <v/>
      </c>
      <c r="AL90" s="275" t="n"/>
      <c r="AM90" s="275" t="n"/>
      <c r="AN90" s="275" t="n"/>
      <c r="AO90" s="343">
        <f>IF(B90="","",IF(COUNTIF($B$7:$B$306,B90)&gt;1,"Trùng mã TSCĐ",IF(C90="","Thiếu tên TSCĐ",IF(H90="","Thiếu ngày bắt đầu",IF(OR(I90&lt;=0,L90&lt;=0,O90&lt;=0),"Kiểm tra số lượng/nguyên giá/thời gian",IF(AND(G90&lt;&gt;"",H90&lt;G90),"Ngày KH trước ngày ghi tăng",IF(M90&gt;L90,"Giá trị thu hồi vượt nguyên giá",IF(IF(U90="",0,U90)&gt;N90,"Lũy kế đầu năm vượt GTKH","OK"))))))))</f>
        <v/>
      </c>
    </row>
    <row r="91" ht="20" customHeight="1" s="389">
      <c r="A91" s="325">
        <f>IF(B91="","",ROW()-6)</f>
        <v/>
      </c>
      <c r="B91" s="275" t="n"/>
      <c r="C91" s="275" t="n"/>
      <c r="D91" s="331" t="n"/>
      <c r="E91" s="331" t="n"/>
      <c r="F91" s="454" t="n"/>
      <c r="G91" s="454" t="n"/>
      <c r="H91" s="454" t="n"/>
      <c r="I91" s="455" t="n"/>
      <c r="J91" s="456" t="n"/>
      <c r="K91" s="456" t="n"/>
      <c r="L91" s="457">
        <f>IF(B91="","",IF(OR(I91="",J91=""),"",I91*J91+IF(K91="",0,K91)))</f>
        <v/>
      </c>
      <c r="M91" s="456" t="n"/>
      <c r="N91" s="457">
        <f>IF(L91="","",MAX(0,L91-IF(M91="",0,M91)))</f>
        <v/>
      </c>
      <c r="O91" s="455" t="n"/>
      <c r="P91" s="457">
        <f>IF(OR(N91="",O91&lt;=0),"",ROUND(N91/O91,0))</f>
        <v/>
      </c>
      <c r="Q91" s="458">
        <f>IF(OR(H91="",O91&lt;=0),"",EOMONTH(H91,O91-1))</f>
        <v/>
      </c>
      <c r="R91" s="331" t="n"/>
      <c r="S91" s="331" t="n"/>
      <c r="T91" s="331" t="n"/>
      <c r="U91" s="456" t="n"/>
      <c r="V91" s="457">
        <f>IF($AO91&lt;&gt;"OK",0,IF(AND(DATE('Thiết lập'!$B$4,1,1)&gt;=DATE(YEAR($H91),MONTH($H91),1),DATE('Thiết lập'!$B$4,1,1)&lt;EDATE(DATE(YEAR($H91),MONTH($H91),1),$O91)),MIN($P91,MAX(0,$N91-$U91-0)),0))</f>
        <v/>
      </c>
      <c r="W91" s="457">
        <f>IF($AO91&lt;&gt;"OK",0,IF(AND(DATE('Thiết lập'!$B$4,2,1)&gt;=DATE(YEAR($H91),MONTH($H91),1),DATE('Thiết lập'!$B$4,2,1)&lt;EDATE(DATE(YEAR($H91),MONTH($H91),1),$O91)),MIN($P91,MAX(0,$N91-$U91-SUM($V91:V91))),0))</f>
        <v/>
      </c>
      <c r="X91" s="457">
        <f>IF($AO91&lt;&gt;"OK",0,IF(AND(DATE('Thiết lập'!$B$4,3,1)&gt;=DATE(YEAR($H91),MONTH($H91),1),DATE('Thiết lập'!$B$4,3,1)&lt;EDATE(DATE(YEAR($H91),MONTH($H91),1),$O91)),MIN($P91,MAX(0,$N91-$U91-SUM($V91:W91))),0))</f>
        <v/>
      </c>
      <c r="Y91" s="457">
        <f>IF($AO91&lt;&gt;"OK",0,IF(AND(DATE('Thiết lập'!$B$4,4,1)&gt;=DATE(YEAR($H91),MONTH($H91),1),DATE('Thiết lập'!$B$4,4,1)&lt;EDATE(DATE(YEAR($H91),MONTH($H91),1),$O91)),MIN($P91,MAX(0,$N91-$U91-SUM($V91:X91))),0))</f>
        <v/>
      </c>
      <c r="Z91" s="457">
        <f>IF($AO91&lt;&gt;"OK",0,IF(AND(DATE('Thiết lập'!$B$4,5,1)&gt;=DATE(YEAR($H91),MONTH($H91),1),DATE('Thiết lập'!$B$4,5,1)&lt;EDATE(DATE(YEAR($H91),MONTH($H91),1),$O91)),MIN($P91,MAX(0,$N91-$U91-SUM($V91:Y91))),0))</f>
        <v/>
      </c>
      <c r="AA91" s="457">
        <f>IF($AO91&lt;&gt;"OK",0,IF(AND(DATE('Thiết lập'!$B$4,6,1)&gt;=DATE(YEAR($H91),MONTH($H91),1),DATE('Thiết lập'!$B$4,6,1)&lt;EDATE(DATE(YEAR($H91),MONTH($H91),1),$O91)),MIN($P91,MAX(0,$N91-$U91-SUM($V91:Z91))),0))</f>
        <v/>
      </c>
      <c r="AB91" s="457">
        <f>IF($AO91&lt;&gt;"OK",0,IF(AND(DATE('Thiết lập'!$B$4,7,1)&gt;=DATE(YEAR($H91),MONTH($H91),1),DATE('Thiết lập'!$B$4,7,1)&lt;EDATE(DATE(YEAR($H91),MONTH($H91),1),$O91)),MIN($P91,MAX(0,$N91-$U91-SUM($V91:AA91))),0))</f>
        <v/>
      </c>
      <c r="AC91" s="457">
        <f>IF($AO91&lt;&gt;"OK",0,IF(AND(DATE('Thiết lập'!$B$4,8,1)&gt;=DATE(YEAR($H91),MONTH($H91),1),DATE('Thiết lập'!$B$4,8,1)&lt;EDATE(DATE(YEAR($H91),MONTH($H91),1),$O91)),MIN($P91,MAX(0,$N91-$U91-SUM($V91:AB91))),0))</f>
        <v/>
      </c>
      <c r="AD91" s="457">
        <f>IF($AO91&lt;&gt;"OK",0,IF(AND(DATE('Thiết lập'!$B$4,9,1)&gt;=DATE(YEAR($H91),MONTH($H91),1),DATE('Thiết lập'!$B$4,9,1)&lt;EDATE(DATE(YEAR($H91),MONTH($H91),1),$O91)),MIN($P91,MAX(0,$N91-$U91-SUM($V91:AC91))),0))</f>
        <v/>
      </c>
      <c r="AE91" s="457">
        <f>IF($AO91&lt;&gt;"OK",0,IF(AND(DATE('Thiết lập'!$B$4,10,1)&gt;=DATE(YEAR($H91),MONTH($H91),1),DATE('Thiết lập'!$B$4,10,1)&lt;EDATE(DATE(YEAR($H91),MONTH($H91),1),$O91)),MIN($P91,MAX(0,$N91-$U91-SUM($V91:AD91))),0))</f>
        <v/>
      </c>
      <c r="AF91" s="457">
        <f>IF($AO91&lt;&gt;"OK",0,IF(AND(DATE('Thiết lập'!$B$4,11,1)&gt;=DATE(YEAR($H91),MONTH($H91),1),DATE('Thiết lập'!$B$4,11,1)&lt;EDATE(DATE(YEAR($H91),MONTH($H91),1),$O91)),MIN($P91,MAX(0,$N91-$U91-SUM($V91:AE91))),0))</f>
        <v/>
      </c>
      <c r="AG91" s="457">
        <f>IF($AO91&lt;&gt;"OK",0,IF(AND(DATE('Thiết lập'!$B$4,12,1)&gt;=DATE(YEAR($H91),MONTH($H91),1),DATE('Thiết lập'!$B$4,12,1)&lt;EDATE(DATE(YEAR($H91),MONTH($H91),1),$O91)),MIN($P91,MAX(0,$N91-$U91-SUM($V91:AF91))),0))</f>
        <v/>
      </c>
      <c r="AH91" s="457">
        <f>IF(B91="","",SUM(V91:AG91))</f>
        <v/>
      </c>
      <c r="AI91" s="457">
        <f>IF(B91="","",MIN(N91,IF(U91="",0,U91)+AH91))</f>
        <v/>
      </c>
      <c r="AJ91" s="457">
        <f>IF(B91="","",MAX(0,L91-AI91))</f>
        <v/>
      </c>
      <c r="AK91" s="337">
        <f>IF(B91="","",IF(H91&gt;'Thiết lập'!$B$5,"Chưa khấu hao",IF(AJ91&lt;=IF(M91="",0,M91),"Đã hết khấu hao","Đang khấu hao")))</f>
        <v/>
      </c>
      <c r="AL91" s="275" t="n"/>
      <c r="AM91" s="275" t="n"/>
      <c r="AN91" s="275" t="n"/>
      <c r="AO91" s="343">
        <f>IF(B91="","",IF(COUNTIF($B$7:$B$306,B91)&gt;1,"Trùng mã TSCĐ",IF(C91="","Thiếu tên TSCĐ",IF(H91="","Thiếu ngày bắt đầu",IF(OR(I91&lt;=0,L91&lt;=0,O91&lt;=0),"Kiểm tra số lượng/nguyên giá/thời gian",IF(AND(G91&lt;&gt;"",H91&lt;G91),"Ngày KH trước ngày ghi tăng",IF(M91&gt;L91,"Giá trị thu hồi vượt nguyên giá",IF(IF(U91="",0,U91)&gt;N91,"Lũy kế đầu năm vượt GTKH","OK"))))))))</f>
        <v/>
      </c>
    </row>
    <row r="92" ht="20" customHeight="1" s="389">
      <c r="A92" s="325">
        <f>IF(B92="","",ROW()-6)</f>
        <v/>
      </c>
      <c r="B92" s="275" t="n"/>
      <c r="C92" s="275" t="n"/>
      <c r="D92" s="331" t="n"/>
      <c r="E92" s="331" t="n"/>
      <c r="F92" s="454" t="n"/>
      <c r="G92" s="454" t="n"/>
      <c r="H92" s="454" t="n"/>
      <c r="I92" s="455" t="n"/>
      <c r="J92" s="456" t="n"/>
      <c r="K92" s="456" t="n"/>
      <c r="L92" s="457">
        <f>IF(B92="","",IF(OR(I92="",J92=""),"",I92*J92+IF(K92="",0,K92)))</f>
        <v/>
      </c>
      <c r="M92" s="456" t="n"/>
      <c r="N92" s="457">
        <f>IF(L92="","",MAX(0,L92-IF(M92="",0,M92)))</f>
        <v/>
      </c>
      <c r="O92" s="455" t="n"/>
      <c r="P92" s="457">
        <f>IF(OR(N92="",O92&lt;=0),"",ROUND(N92/O92,0))</f>
        <v/>
      </c>
      <c r="Q92" s="458">
        <f>IF(OR(H92="",O92&lt;=0),"",EOMONTH(H92,O92-1))</f>
        <v/>
      </c>
      <c r="R92" s="331" t="n"/>
      <c r="S92" s="331" t="n"/>
      <c r="T92" s="331" t="n"/>
      <c r="U92" s="456" t="n"/>
      <c r="V92" s="457">
        <f>IF($AO92&lt;&gt;"OK",0,IF(AND(DATE('Thiết lập'!$B$4,1,1)&gt;=DATE(YEAR($H92),MONTH($H92),1),DATE('Thiết lập'!$B$4,1,1)&lt;EDATE(DATE(YEAR($H92),MONTH($H92),1),$O92)),MIN($P92,MAX(0,$N92-$U92-0)),0))</f>
        <v/>
      </c>
      <c r="W92" s="457">
        <f>IF($AO92&lt;&gt;"OK",0,IF(AND(DATE('Thiết lập'!$B$4,2,1)&gt;=DATE(YEAR($H92),MONTH($H92),1),DATE('Thiết lập'!$B$4,2,1)&lt;EDATE(DATE(YEAR($H92),MONTH($H92),1),$O92)),MIN($P92,MAX(0,$N92-$U92-SUM($V92:V92))),0))</f>
        <v/>
      </c>
      <c r="X92" s="457">
        <f>IF($AO92&lt;&gt;"OK",0,IF(AND(DATE('Thiết lập'!$B$4,3,1)&gt;=DATE(YEAR($H92),MONTH($H92),1),DATE('Thiết lập'!$B$4,3,1)&lt;EDATE(DATE(YEAR($H92),MONTH($H92),1),$O92)),MIN($P92,MAX(0,$N92-$U92-SUM($V92:W92))),0))</f>
        <v/>
      </c>
      <c r="Y92" s="457">
        <f>IF($AO92&lt;&gt;"OK",0,IF(AND(DATE('Thiết lập'!$B$4,4,1)&gt;=DATE(YEAR($H92),MONTH($H92),1),DATE('Thiết lập'!$B$4,4,1)&lt;EDATE(DATE(YEAR($H92),MONTH($H92),1),$O92)),MIN($P92,MAX(0,$N92-$U92-SUM($V92:X92))),0))</f>
        <v/>
      </c>
      <c r="Z92" s="457">
        <f>IF($AO92&lt;&gt;"OK",0,IF(AND(DATE('Thiết lập'!$B$4,5,1)&gt;=DATE(YEAR($H92),MONTH($H92),1),DATE('Thiết lập'!$B$4,5,1)&lt;EDATE(DATE(YEAR($H92),MONTH($H92),1),$O92)),MIN($P92,MAX(0,$N92-$U92-SUM($V92:Y92))),0))</f>
        <v/>
      </c>
      <c r="AA92" s="457">
        <f>IF($AO92&lt;&gt;"OK",0,IF(AND(DATE('Thiết lập'!$B$4,6,1)&gt;=DATE(YEAR($H92),MONTH($H92),1),DATE('Thiết lập'!$B$4,6,1)&lt;EDATE(DATE(YEAR($H92),MONTH($H92),1),$O92)),MIN($P92,MAX(0,$N92-$U92-SUM($V92:Z92))),0))</f>
        <v/>
      </c>
      <c r="AB92" s="457">
        <f>IF($AO92&lt;&gt;"OK",0,IF(AND(DATE('Thiết lập'!$B$4,7,1)&gt;=DATE(YEAR($H92),MONTH($H92),1),DATE('Thiết lập'!$B$4,7,1)&lt;EDATE(DATE(YEAR($H92),MONTH($H92),1),$O92)),MIN($P92,MAX(0,$N92-$U92-SUM($V92:AA92))),0))</f>
        <v/>
      </c>
      <c r="AC92" s="457">
        <f>IF($AO92&lt;&gt;"OK",0,IF(AND(DATE('Thiết lập'!$B$4,8,1)&gt;=DATE(YEAR($H92),MONTH($H92),1),DATE('Thiết lập'!$B$4,8,1)&lt;EDATE(DATE(YEAR($H92),MONTH($H92),1),$O92)),MIN($P92,MAX(0,$N92-$U92-SUM($V92:AB92))),0))</f>
        <v/>
      </c>
      <c r="AD92" s="457">
        <f>IF($AO92&lt;&gt;"OK",0,IF(AND(DATE('Thiết lập'!$B$4,9,1)&gt;=DATE(YEAR($H92),MONTH($H92),1),DATE('Thiết lập'!$B$4,9,1)&lt;EDATE(DATE(YEAR($H92),MONTH($H92),1),$O92)),MIN($P92,MAX(0,$N92-$U92-SUM($V92:AC92))),0))</f>
        <v/>
      </c>
      <c r="AE92" s="457">
        <f>IF($AO92&lt;&gt;"OK",0,IF(AND(DATE('Thiết lập'!$B$4,10,1)&gt;=DATE(YEAR($H92),MONTH($H92),1),DATE('Thiết lập'!$B$4,10,1)&lt;EDATE(DATE(YEAR($H92),MONTH($H92),1),$O92)),MIN($P92,MAX(0,$N92-$U92-SUM($V92:AD92))),0))</f>
        <v/>
      </c>
      <c r="AF92" s="457">
        <f>IF($AO92&lt;&gt;"OK",0,IF(AND(DATE('Thiết lập'!$B$4,11,1)&gt;=DATE(YEAR($H92),MONTH($H92),1),DATE('Thiết lập'!$B$4,11,1)&lt;EDATE(DATE(YEAR($H92),MONTH($H92),1),$O92)),MIN($P92,MAX(0,$N92-$U92-SUM($V92:AE92))),0))</f>
        <v/>
      </c>
      <c r="AG92" s="457">
        <f>IF($AO92&lt;&gt;"OK",0,IF(AND(DATE('Thiết lập'!$B$4,12,1)&gt;=DATE(YEAR($H92),MONTH($H92),1),DATE('Thiết lập'!$B$4,12,1)&lt;EDATE(DATE(YEAR($H92),MONTH($H92),1),$O92)),MIN($P92,MAX(0,$N92-$U92-SUM($V92:AF92))),0))</f>
        <v/>
      </c>
      <c r="AH92" s="457">
        <f>IF(B92="","",SUM(V92:AG92))</f>
        <v/>
      </c>
      <c r="AI92" s="457">
        <f>IF(B92="","",MIN(N92,IF(U92="",0,U92)+AH92))</f>
        <v/>
      </c>
      <c r="AJ92" s="457">
        <f>IF(B92="","",MAX(0,L92-AI92))</f>
        <v/>
      </c>
      <c r="AK92" s="337">
        <f>IF(B92="","",IF(H92&gt;'Thiết lập'!$B$5,"Chưa khấu hao",IF(AJ92&lt;=IF(M92="",0,M92),"Đã hết khấu hao","Đang khấu hao")))</f>
        <v/>
      </c>
      <c r="AL92" s="275" t="n"/>
      <c r="AM92" s="275" t="n"/>
      <c r="AN92" s="275" t="n"/>
      <c r="AO92" s="343">
        <f>IF(B92="","",IF(COUNTIF($B$7:$B$306,B92)&gt;1,"Trùng mã TSCĐ",IF(C92="","Thiếu tên TSCĐ",IF(H92="","Thiếu ngày bắt đầu",IF(OR(I92&lt;=0,L92&lt;=0,O92&lt;=0),"Kiểm tra số lượng/nguyên giá/thời gian",IF(AND(G92&lt;&gt;"",H92&lt;G92),"Ngày KH trước ngày ghi tăng",IF(M92&gt;L92,"Giá trị thu hồi vượt nguyên giá",IF(IF(U92="",0,U92)&gt;N92,"Lũy kế đầu năm vượt GTKH","OK"))))))))</f>
        <v/>
      </c>
    </row>
    <row r="93" ht="20" customHeight="1" s="389">
      <c r="A93" s="325">
        <f>IF(B93="","",ROW()-6)</f>
        <v/>
      </c>
      <c r="B93" s="275" t="n"/>
      <c r="C93" s="275" t="n"/>
      <c r="D93" s="331" t="n"/>
      <c r="E93" s="331" t="n"/>
      <c r="F93" s="454" t="n"/>
      <c r="G93" s="454" t="n"/>
      <c r="H93" s="454" t="n"/>
      <c r="I93" s="455" t="n"/>
      <c r="J93" s="456" t="n"/>
      <c r="K93" s="456" t="n"/>
      <c r="L93" s="457">
        <f>IF(B93="","",IF(OR(I93="",J93=""),"",I93*J93+IF(K93="",0,K93)))</f>
        <v/>
      </c>
      <c r="M93" s="456" t="n"/>
      <c r="N93" s="457">
        <f>IF(L93="","",MAX(0,L93-IF(M93="",0,M93)))</f>
        <v/>
      </c>
      <c r="O93" s="455" t="n"/>
      <c r="P93" s="457">
        <f>IF(OR(N93="",O93&lt;=0),"",ROUND(N93/O93,0))</f>
        <v/>
      </c>
      <c r="Q93" s="458">
        <f>IF(OR(H93="",O93&lt;=0),"",EOMONTH(H93,O93-1))</f>
        <v/>
      </c>
      <c r="R93" s="331" t="n"/>
      <c r="S93" s="331" t="n"/>
      <c r="T93" s="331" t="n"/>
      <c r="U93" s="456" t="n"/>
      <c r="V93" s="457">
        <f>IF($AO93&lt;&gt;"OK",0,IF(AND(DATE('Thiết lập'!$B$4,1,1)&gt;=DATE(YEAR($H93),MONTH($H93),1),DATE('Thiết lập'!$B$4,1,1)&lt;EDATE(DATE(YEAR($H93),MONTH($H93),1),$O93)),MIN($P93,MAX(0,$N93-$U93-0)),0))</f>
        <v/>
      </c>
      <c r="W93" s="457">
        <f>IF($AO93&lt;&gt;"OK",0,IF(AND(DATE('Thiết lập'!$B$4,2,1)&gt;=DATE(YEAR($H93),MONTH($H93),1),DATE('Thiết lập'!$B$4,2,1)&lt;EDATE(DATE(YEAR($H93),MONTH($H93),1),$O93)),MIN($P93,MAX(0,$N93-$U93-SUM($V93:V93))),0))</f>
        <v/>
      </c>
      <c r="X93" s="457">
        <f>IF($AO93&lt;&gt;"OK",0,IF(AND(DATE('Thiết lập'!$B$4,3,1)&gt;=DATE(YEAR($H93),MONTH($H93),1),DATE('Thiết lập'!$B$4,3,1)&lt;EDATE(DATE(YEAR($H93),MONTH($H93),1),$O93)),MIN($P93,MAX(0,$N93-$U93-SUM($V93:W93))),0))</f>
        <v/>
      </c>
      <c r="Y93" s="457">
        <f>IF($AO93&lt;&gt;"OK",0,IF(AND(DATE('Thiết lập'!$B$4,4,1)&gt;=DATE(YEAR($H93),MONTH($H93),1),DATE('Thiết lập'!$B$4,4,1)&lt;EDATE(DATE(YEAR($H93),MONTH($H93),1),$O93)),MIN($P93,MAX(0,$N93-$U93-SUM($V93:X93))),0))</f>
        <v/>
      </c>
      <c r="Z93" s="457">
        <f>IF($AO93&lt;&gt;"OK",0,IF(AND(DATE('Thiết lập'!$B$4,5,1)&gt;=DATE(YEAR($H93),MONTH($H93),1),DATE('Thiết lập'!$B$4,5,1)&lt;EDATE(DATE(YEAR($H93),MONTH($H93),1),$O93)),MIN($P93,MAX(0,$N93-$U93-SUM($V93:Y93))),0))</f>
        <v/>
      </c>
      <c r="AA93" s="457">
        <f>IF($AO93&lt;&gt;"OK",0,IF(AND(DATE('Thiết lập'!$B$4,6,1)&gt;=DATE(YEAR($H93),MONTH($H93),1),DATE('Thiết lập'!$B$4,6,1)&lt;EDATE(DATE(YEAR($H93),MONTH($H93),1),$O93)),MIN($P93,MAX(0,$N93-$U93-SUM($V93:Z93))),0))</f>
        <v/>
      </c>
      <c r="AB93" s="457">
        <f>IF($AO93&lt;&gt;"OK",0,IF(AND(DATE('Thiết lập'!$B$4,7,1)&gt;=DATE(YEAR($H93),MONTH($H93),1),DATE('Thiết lập'!$B$4,7,1)&lt;EDATE(DATE(YEAR($H93),MONTH($H93),1),$O93)),MIN($P93,MAX(0,$N93-$U93-SUM($V93:AA93))),0))</f>
        <v/>
      </c>
      <c r="AC93" s="457">
        <f>IF($AO93&lt;&gt;"OK",0,IF(AND(DATE('Thiết lập'!$B$4,8,1)&gt;=DATE(YEAR($H93),MONTH($H93),1),DATE('Thiết lập'!$B$4,8,1)&lt;EDATE(DATE(YEAR($H93),MONTH($H93),1),$O93)),MIN($P93,MAX(0,$N93-$U93-SUM($V93:AB93))),0))</f>
        <v/>
      </c>
      <c r="AD93" s="457">
        <f>IF($AO93&lt;&gt;"OK",0,IF(AND(DATE('Thiết lập'!$B$4,9,1)&gt;=DATE(YEAR($H93),MONTH($H93),1),DATE('Thiết lập'!$B$4,9,1)&lt;EDATE(DATE(YEAR($H93),MONTH($H93),1),$O93)),MIN($P93,MAX(0,$N93-$U93-SUM($V93:AC93))),0))</f>
        <v/>
      </c>
      <c r="AE93" s="457">
        <f>IF($AO93&lt;&gt;"OK",0,IF(AND(DATE('Thiết lập'!$B$4,10,1)&gt;=DATE(YEAR($H93),MONTH($H93),1),DATE('Thiết lập'!$B$4,10,1)&lt;EDATE(DATE(YEAR($H93),MONTH($H93),1),$O93)),MIN($P93,MAX(0,$N93-$U93-SUM($V93:AD93))),0))</f>
        <v/>
      </c>
      <c r="AF93" s="457">
        <f>IF($AO93&lt;&gt;"OK",0,IF(AND(DATE('Thiết lập'!$B$4,11,1)&gt;=DATE(YEAR($H93),MONTH($H93),1),DATE('Thiết lập'!$B$4,11,1)&lt;EDATE(DATE(YEAR($H93),MONTH($H93),1),$O93)),MIN($P93,MAX(0,$N93-$U93-SUM($V93:AE93))),0))</f>
        <v/>
      </c>
      <c r="AG93" s="457">
        <f>IF($AO93&lt;&gt;"OK",0,IF(AND(DATE('Thiết lập'!$B$4,12,1)&gt;=DATE(YEAR($H93),MONTH($H93),1),DATE('Thiết lập'!$B$4,12,1)&lt;EDATE(DATE(YEAR($H93),MONTH($H93),1),$O93)),MIN($P93,MAX(0,$N93-$U93-SUM($V93:AF93))),0))</f>
        <v/>
      </c>
      <c r="AH93" s="457">
        <f>IF(B93="","",SUM(V93:AG93))</f>
        <v/>
      </c>
      <c r="AI93" s="457">
        <f>IF(B93="","",MIN(N93,IF(U93="",0,U93)+AH93))</f>
        <v/>
      </c>
      <c r="AJ93" s="457">
        <f>IF(B93="","",MAX(0,L93-AI93))</f>
        <v/>
      </c>
      <c r="AK93" s="337">
        <f>IF(B93="","",IF(H93&gt;'Thiết lập'!$B$5,"Chưa khấu hao",IF(AJ93&lt;=IF(M93="",0,M93),"Đã hết khấu hao","Đang khấu hao")))</f>
        <v/>
      </c>
      <c r="AL93" s="275" t="n"/>
      <c r="AM93" s="275" t="n"/>
      <c r="AN93" s="275" t="n"/>
      <c r="AO93" s="343">
        <f>IF(B93="","",IF(COUNTIF($B$7:$B$306,B93)&gt;1,"Trùng mã TSCĐ",IF(C93="","Thiếu tên TSCĐ",IF(H93="","Thiếu ngày bắt đầu",IF(OR(I93&lt;=0,L93&lt;=0,O93&lt;=0),"Kiểm tra số lượng/nguyên giá/thời gian",IF(AND(G93&lt;&gt;"",H93&lt;G93),"Ngày KH trước ngày ghi tăng",IF(M93&gt;L93,"Giá trị thu hồi vượt nguyên giá",IF(IF(U93="",0,U93)&gt;N93,"Lũy kế đầu năm vượt GTKH","OK"))))))))</f>
        <v/>
      </c>
    </row>
    <row r="94" ht="20" customHeight="1" s="389">
      <c r="A94" s="325">
        <f>IF(B94="","",ROW()-6)</f>
        <v/>
      </c>
      <c r="B94" s="275" t="n"/>
      <c r="C94" s="275" t="n"/>
      <c r="D94" s="331" t="n"/>
      <c r="E94" s="331" t="n"/>
      <c r="F94" s="454" t="n"/>
      <c r="G94" s="454" t="n"/>
      <c r="H94" s="454" t="n"/>
      <c r="I94" s="455" t="n"/>
      <c r="J94" s="456" t="n"/>
      <c r="K94" s="456" t="n"/>
      <c r="L94" s="457">
        <f>IF(B94="","",IF(OR(I94="",J94=""),"",I94*J94+IF(K94="",0,K94)))</f>
        <v/>
      </c>
      <c r="M94" s="456" t="n"/>
      <c r="N94" s="457">
        <f>IF(L94="","",MAX(0,L94-IF(M94="",0,M94)))</f>
        <v/>
      </c>
      <c r="O94" s="455" t="n"/>
      <c r="P94" s="457">
        <f>IF(OR(N94="",O94&lt;=0),"",ROUND(N94/O94,0))</f>
        <v/>
      </c>
      <c r="Q94" s="458">
        <f>IF(OR(H94="",O94&lt;=0),"",EOMONTH(H94,O94-1))</f>
        <v/>
      </c>
      <c r="R94" s="331" t="n"/>
      <c r="S94" s="331" t="n"/>
      <c r="T94" s="331" t="n"/>
      <c r="U94" s="456" t="n"/>
      <c r="V94" s="457">
        <f>IF($AO94&lt;&gt;"OK",0,IF(AND(DATE('Thiết lập'!$B$4,1,1)&gt;=DATE(YEAR($H94),MONTH($H94),1),DATE('Thiết lập'!$B$4,1,1)&lt;EDATE(DATE(YEAR($H94),MONTH($H94),1),$O94)),MIN($P94,MAX(0,$N94-$U94-0)),0))</f>
        <v/>
      </c>
      <c r="W94" s="457">
        <f>IF($AO94&lt;&gt;"OK",0,IF(AND(DATE('Thiết lập'!$B$4,2,1)&gt;=DATE(YEAR($H94),MONTH($H94),1),DATE('Thiết lập'!$B$4,2,1)&lt;EDATE(DATE(YEAR($H94),MONTH($H94),1),$O94)),MIN($P94,MAX(0,$N94-$U94-SUM($V94:V94))),0))</f>
        <v/>
      </c>
      <c r="X94" s="457">
        <f>IF($AO94&lt;&gt;"OK",0,IF(AND(DATE('Thiết lập'!$B$4,3,1)&gt;=DATE(YEAR($H94),MONTH($H94),1),DATE('Thiết lập'!$B$4,3,1)&lt;EDATE(DATE(YEAR($H94),MONTH($H94),1),$O94)),MIN($P94,MAX(0,$N94-$U94-SUM($V94:W94))),0))</f>
        <v/>
      </c>
      <c r="Y94" s="457">
        <f>IF($AO94&lt;&gt;"OK",0,IF(AND(DATE('Thiết lập'!$B$4,4,1)&gt;=DATE(YEAR($H94),MONTH($H94),1),DATE('Thiết lập'!$B$4,4,1)&lt;EDATE(DATE(YEAR($H94),MONTH($H94),1),$O94)),MIN($P94,MAX(0,$N94-$U94-SUM($V94:X94))),0))</f>
        <v/>
      </c>
      <c r="Z94" s="457">
        <f>IF($AO94&lt;&gt;"OK",0,IF(AND(DATE('Thiết lập'!$B$4,5,1)&gt;=DATE(YEAR($H94),MONTH($H94),1),DATE('Thiết lập'!$B$4,5,1)&lt;EDATE(DATE(YEAR($H94),MONTH($H94),1),$O94)),MIN($P94,MAX(0,$N94-$U94-SUM($V94:Y94))),0))</f>
        <v/>
      </c>
      <c r="AA94" s="457">
        <f>IF($AO94&lt;&gt;"OK",0,IF(AND(DATE('Thiết lập'!$B$4,6,1)&gt;=DATE(YEAR($H94),MONTH($H94),1),DATE('Thiết lập'!$B$4,6,1)&lt;EDATE(DATE(YEAR($H94),MONTH($H94),1),$O94)),MIN($P94,MAX(0,$N94-$U94-SUM($V94:Z94))),0))</f>
        <v/>
      </c>
      <c r="AB94" s="457">
        <f>IF($AO94&lt;&gt;"OK",0,IF(AND(DATE('Thiết lập'!$B$4,7,1)&gt;=DATE(YEAR($H94),MONTH($H94),1),DATE('Thiết lập'!$B$4,7,1)&lt;EDATE(DATE(YEAR($H94),MONTH($H94),1),$O94)),MIN($P94,MAX(0,$N94-$U94-SUM($V94:AA94))),0))</f>
        <v/>
      </c>
      <c r="AC94" s="457">
        <f>IF($AO94&lt;&gt;"OK",0,IF(AND(DATE('Thiết lập'!$B$4,8,1)&gt;=DATE(YEAR($H94),MONTH($H94),1),DATE('Thiết lập'!$B$4,8,1)&lt;EDATE(DATE(YEAR($H94),MONTH($H94),1),$O94)),MIN($P94,MAX(0,$N94-$U94-SUM($V94:AB94))),0))</f>
        <v/>
      </c>
      <c r="AD94" s="457">
        <f>IF($AO94&lt;&gt;"OK",0,IF(AND(DATE('Thiết lập'!$B$4,9,1)&gt;=DATE(YEAR($H94),MONTH($H94),1),DATE('Thiết lập'!$B$4,9,1)&lt;EDATE(DATE(YEAR($H94),MONTH($H94),1),$O94)),MIN($P94,MAX(0,$N94-$U94-SUM($V94:AC94))),0))</f>
        <v/>
      </c>
      <c r="AE94" s="457">
        <f>IF($AO94&lt;&gt;"OK",0,IF(AND(DATE('Thiết lập'!$B$4,10,1)&gt;=DATE(YEAR($H94),MONTH($H94),1),DATE('Thiết lập'!$B$4,10,1)&lt;EDATE(DATE(YEAR($H94),MONTH($H94),1),$O94)),MIN($P94,MAX(0,$N94-$U94-SUM($V94:AD94))),0))</f>
        <v/>
      </c>
      <c r="AF94" s="457">
        <f>IF($AO94&lt;&gt;"OK",0,IF(AND(DATE('Thiết lập'!$B$4,11,1)&gt;=DATE(YEAR($H94),MONTH($H94),1),DATE('Thiết lập'!$B$4,11,1)&lt;EDATE(DATE(YEAR($H94),MONTH($H94),1),$O94)),MIN($P94,MAX(0,$N94-$U94-SUM($V94:AE94))),0))</f>
        <v/>
      </c>
      <c r="AG94" s="457">
        <f>IF($AO94&lt;&gt;"OK",0,IF(AND(DATE('Thiết lập'!$B$4,12,1)&gt;=DATE(YEAR($H94),MONTH($H94),1),DATE('Thiết lập'!$B$4,12,1)&lt;EDATE(DATE(YEAR($H94),MONTH($H94),1),$O94)),MIN($P94,MAX(0,$N94-$U94-SUM($V94:AF94))),0))</f>
        <v/>
      </c>
      <c r="AH94" s="457">
        <f>IF(B94="","",SUM(V94:AG94))</f>
        <v/>
      </c>
      <c r="AI94" s="457">
        <f>IF(B94="","",MIN(N94,IF(U94="",0,U94)+AH94))</f>
        <v/>
      </c>
      <c r="AJ94" s="457">
        <f>IF(B94="","",MAX(0,L94-AI94))</f>
        <v/>
      </c>
      <c r="AK94" s="337">
        <f>IF(B94="","",IF(H94&gt;'Thiết lập'!$B$5,"Chưa khấu hao",IF(AJ94&lt;=IF(M94="",0,M94),"Đã hết khấu hao","Đang khấu hao")))</f>
        <v/>
      </c>
      <c r="AL94" s="275" t="n"/>
      <c r="AM94" s="275" t="n"/>
      <c r="AN94" s="275" t="n"/>
      <c r="AO94" s="343">
        <f>IF(B94="","",IF(COUNTIF($B$7:$B$306,B94)&gt;1,"Trùng mã TSCĐ",IF(C94="","Thiếu tên TSCĐ",IF(H94="","Thiếu ngày bắt đầu",IF(OR(I94&lt;=0,L94&lt;=0,O94&lt;=0),"Kiểm tra số lượng/nguyên giá/thời gian",IF(AND(G94&lt;&gt;"",H94&lt;G94),"Ngày KH trước ngày ghi tăng",IF(M94&gt;L94,"Giá trị thu hồi vượt nguyên giá",IF(IF(U94="",0,U94)&gt;N94,"Lũy kế đầu năm vượt GTKH","OK"))))))))</f>
        <v/>
      </c>
    </row>
    <row r="95" ht="20" customHeight="1" s="389">
      <c r="A95" s="325">
        <f>IF(B95="","",ROW()-6)</f>
        <v/>
      </c>
      <c r="B95" s="275" t="n"/>
      <c r="C95" s="275" t="n"/>
      <c r="D95" s="331" t="n"/>
      <c r="E95" s="331" t="n"/>
      <c r="F95" s="454" t="n"/>
      <c r="G95" s="454" t="n"/>
      <c r="H95" s="454" t="n"/>
      <c r="I95" s="455" t="n"/>
      <c r="J95" s="456" t="n"/>
      <c r="K95" s="456" t="n"/>
      <c r="L95" s="457">
        <f>IF(B95="","",IF(OR(I95="",J95=""),"",I95*J95+IF(K95="",0,K95)))</f>
        <v/>
      </c>
      <c r="M95" s="456" t="n"/>
      <c r="N95" s="457">
        <f>IF(L95="","",MAX(0,L95-IF(M95="",0,M95)))</f>
        <v/>
      </c>
      <c r="O95" s="455" t="n"/>
      <c r="P95" s="457">
        <f>IF(OR(N95="",O95&lt;=0),"",ROUND(N95/O95,0))</f>
        <v/>
      </c>
      <c r="Q95" s="458">
        <f>IF(OR(H95="",O95&lt;=0),"",EOMONTH(H95,O95-1))</f>
        <v/>
      </c>
      <c r="R95" s="331" t="n"/>
      <c r="S95" s="331" t="n"/>
      <c r="T95" s="331" t="n"/>
      <c r="U95" s="456" t="n"/>
      <c r="V95" s="457">
        <f>IF($AO95&lt;&gt;"OK",0,IF(AND(DATE('Thiết lập'!$B$4,1,1)&gt;=DATE(YEAR($H95),MONTH($H95),1),DATE('Thiết lập'!$B$4,1,1)&lt;EDATE(DATE(YEAR($H95),MONTH($H95),1),$O95)),MIN($P95,MAX(0,$N95-$U95-0)),0))</f>
        <v/>
      </c>
      <c r="W95" s="457">
        <f>IF($AO95&lt;&gt;"OK",0,IF(AND(DATE('Thiết lập'!$B$4,2,1)&gt;=DATE(YEAR($H95),MONTH($H95),1),DATE('Thiết lập'!$B$4,2,1)&lt;EDATE(DATE(YEAR($H95),MONTH($H95),1),$O95)),MIN($P95,MAX(0,$N95-$U95-SUM($V95:V95))),0))</f>
        <v/>
      </c>
      <c r="X95" s="457">
        <f>IF($AO95&lt;&gt;"OK",0,IF(AND(DATE('Thiết lập'!$B$4,3,1)&gt;=DATE(YEAR($H95),MONTH($H95),1),DATE('Thiết lập'!$B$4,3,1)&lt;EDATE(DATE(YEAR($H95),MONTH($H95),1),$O95)),MIN($P95,MAX(0,$N95-$U95-SUM($V95:W95))),0))</f>
        <v/>
      </c>
      <c r="Y95" s="457">
        <f>IF($AO95&lt;&gt;"OK",0,IF(AND(DATE('Thiết lập'!$B$4,4,1)&gt;=DATE(YEAR($H95),MONTH($H95),1),DATE('Thiết lập'!$B$4,4,1)&lt;EDATE(DATE(YEAR($H95),MONTH($H95),1),$O95)),MIN($P95,MAX(0,$N95-$U95-SUM($V95:X95))),0))</f>
        <v/>
      </c>
      <c r="Z95" s="457">
        <f>IF($AO95&lt;&gt;"OK",0,IF(AND(DATE('Thiết lập'!$B$4,5,1)&gt;=DATE(YEAR($H95),MONTH($H95),1),DATE('Thiết lập'!$B$4,5,1)&lt;EDATE(DATE(YEAR($H95),MONTH($H95),1),$O95)),MIN($P95,MAX(0,$N95-$U95-SUM($V95:Y95))),0))</f>
        <v/>
      </c>
      <c r="AA95" s="457">
        <f>IF($AO95&lt;&gt;"OK",0,IF(AND(DATE('Thiết lập'!$B$4,6,1)&gt;=DATE(YEAR($H95),MONTH($H95),1),DATE('Thiết lập'!$B$4,6,1)&lt;EDATE(DATE(YEAR($H95),MONTH($H95),1),$O95)),MIN($P95,MAX(0,$N95-$U95-SUM($V95:Z95))),0))</f>
        <v/>
      </c>
      <c r="AB95" s="457">
        <f>IF($AO95&lt;&gt;"OK",0,IF(AND(DATE('Thiết lập'!$B$4,7,1)&gt;=DATE(YEAR($H95),MONTH($H95),1),DATE('Thiết lập'!$B$4,7,1)&lt;EDATE(DATE(YEAR($H95),MONTH($H95),1),$O95)),MIN($P95,MAX(0,$N95-$U95-SUM($V95:AA95))),0))</f>
        <v/>
      </c>
      <c r="AC95" s="457">
        <f>IF($AO95&lt;&gt;"OK",0,IF(AND(DATE('Thiết lập'!$B$4,8,1)&gt;=DATE(YEAR($H95),MONTH($H95),1),DATE('Thiết lập'!$B$4,8,1)&lt;EDATE(DATE(YEAR($H95),MONTH($H95),1),$O95)),MIN($P95,MAX(0,$N95-$U95-SUM($V95:AB95))),0))</f>
        <v/>
      </c>
      <c r="AD95" s="457">
        <f>IF($AO95&lt;&gt;"OK",0,IF(AND(DATE('Thiết lập'!$B$4,9,1)&gt;=DATE(YEAR($H95),MONTH($H95),1),DATE('Thiết lập'!$B$4,9,1)&lt;EDATE(DATE(YEAR($H95),MONTH($H95),1),$O95)),MIN($P95,MAX(0,$N95-$U95-SUM($V95:AC95))),0))</f>
        <v/>
      </c>
      <c r="AE95" s="457">
        <f>IF($AO95&lt;&gt;"OK",0,IF(AND(DATE('Thiết lập'!$B$4,10,1)&gt;=DATE(YEAR($H95),MONTH($H95),1),DATE('Thiết lập'!$B$4,10,1)&lt;EDATE(DATE(YEAR($H95),MONTH($H95),1),$O95)),MIN($P95,MAX(0,$N95-$U95-SUM($V95:AD95))),0))</f>
        <v/>
      </c>
      <c r="AF95" s="457">
        <f>IF($AO95&lt;&gt;"OK",0,IF(AND(DATE('Thiết lập'!$B$4,11,1)&gt;=DATE(YEAR($H95),MONTH($H95),1),DATE('Thiết lập'!$B$4,11,1)&lt;EDATE(DATE(YEAR($H95),MONTH($H95),1),$O95)),MIN($P95,MAX(0,$N95-$U95-SUM($V95:AE95))),0))</f>
        <v/>
      </c>
      <c r="AG95" s="457">
        <f>IF($AO95&lt;&gt;"OK",0,IF(AND(DATE('Thiết lập'!$B$4,12,1)&gt;=DATE(YEAR($H95),MONTH($H95),1),DATE('Thiết lập'!$B$4,12,1)&lt;EDATE(DATE(YEAR($H95),MONTH($H95),1),$O95)),MIN($P95,MAX(0,$N95-$U95-SUM($V95:AF95))),0))</f>
        <v/>
      </c>
      <c r="AH95" s="457">
        <f>IF(B95="","",SUM(V95:AG95))</f>
        <v/>
      </c>
      <c r="AI95" s="457">
        <f>IF(B95="","",MIN(N95,IF(U95="",0,U95)+AH95))</f>
        <v/>
      </c>
      <c r="AJ95" s="457">
        <f>IF(B95="","",MAX(0,L95-AI95))</f>
        <v/>
      </c>
      <c r="AK95" s="337">
        <f>IF(B95="","",IF(H95&gt;'Thiết lập'!$B$5,"Chưa khấu hao",IF(AJ95&lt;=IF(M95="",0,M95),"Đã hết khấu hao","Đang khấu hao")))</f>
        <v/>
      </c>
      <c r="AL95" s="275" t="n"/>
      <c r="AM95" s="275" t="n"/>
      <c r="AN95" s="275" t="n"/>
      <c r="AO95" s="343">
        <f>IF(B95="","",IF(COUNTIF($B$7:$B$306,B95)&gt;1,"Trùng mã TSCĐ",IF(C95="","Thiếu tên TSCĐ",IF(H95="","Thiếu ngày bắt đầu",IF(OR(I95&lt;=0,L95&lt;=0,O95&lt;=0),"Kiểm tra số lượng/nguyên giá/thời gian",IF(AND(G95&lt;&gt;"",H95&lt;G95),"Ngày KH trước ngày ghi tăng",IF(M95&gt;L95,"Giá trị thu hồi vượt nguyên giá",IF(IF(U95="",0,U95)&gt;N95,"Lũy kế đầu năm vượt GTKH","OK"))))))))</f>
        <v/>
      </c>
    </row>
    <row r="96" ht="20" customHeight="1" s="389">
      <c r="A96" s="325">
        <f>IF(B96="","",ROW()-6)</f>
        <v/>
      </c>
      <c r="B96" s="275" t="n"/>
      <c r="C96" s="275" t="n"/>
      <c r="D96" s="331" t="n"/>
      <c r="E96" s="331" t="n"/>
      <c r="F96" s="454" t="n"/>
      <c r="G96" s="454" t="n"/>
      <c r="H96" s="454" t="n"/>
      <c r="I96" s="455" t="n"/>
      <c r="J96" s="456" t="n"/>
      <c r="K96" s="456" t="n"/>
      <c r="L96" s="457">
        <f>IF(B96="","",IF(OR(I96="",J96=""),"",I96*J96+IF(K96="",0,K96)))</f>
        <v/>
      </c>
      <c r="M96" s="456" t="n"/>
      <c r="N96" s="457">
        <f>IF(L96="","",MAX(0,L96-IF(M96="",0,M96)))</f>
        <v/>
      </c>
      <c r="O96" s="455" t="n"/>
      <c r="P96" s="457">
        <f>IF(OR(N96="",O96&lt;=0),"",ROUND(N96/O96,0))</f>
        <v/>
      </c>
      <c r="Q96" s="458">
        <f>IF(OR(H96="",O96&lt;=0),"",EOMONTH(H96,O96-1))</f>
        <v/>
      </c>
      <c r="R96" s="331" t="n"/>
      <c r="S96" s="331" t="n"/>
      <c r="T96" s="331" t="n"/>
      <c r="U96" s="456" t="n"/>
      <c r="V96" s="457">
        <f>IF($AO96&lt;&gt;"OK",0,IF(AND(DATE('Thiết lập'!$B$4,1,1)&gt;=DATE(YEAR($H96),MONTH($H96),1),DATE('Thiết lập'!$B$4,1,1)&lt;EDATE(DATE(YEAR($H96),MONTH($H96),1),$O96)),MIN($P96,MAX(0,$N96-$U96-0)),0))</f>
        <v/>
      </c>
      <c r="W96" s="457">
        <f>IF($AO96&lt;&gt;"OK",0,IF(AND(DATE('Thiết lập'!$B$4,2,1)&gt;=DATE(YEAR($H96),MONTH($H96),1),DATE('Thiết lập'!$B$4,2,1)&lt;EDATE(DATE(YEAR($H96),MONTH($H96),1),$O96)),MIN($P96,MAX(0,$N96-$U96-SUM($V96:V96))),0))</f>
        <v/>
      </c>
      <c r="X96" s="457">
        <f>IF($AO96&lt;&gt;"OK",0,IF(AND(DATE('Thiết lập'!$B$4,3,1)&gt;=DATE(YEAR($H96),MONTH($H96),1),DATE('Thiết lập'!$B$4,3,1)&lt;EDATE(DATE(YEAR($H96),MONTH($H96),1),$O96)),MIN($P96,MAX(0,$N96-$U96-SUM($V96:W96))),0))</f>
        <v/>
      </c>
      <c r="Y96" s="457">
        <f>IF($AO96&lt;&gt;"OK",0,IF(AND(DATE('Thiết lập'!$B$4,4,1)&gt;=DATE(YEAR($H96),MONTH($H96),1),DATE('Thiết lập'!$B$4,4,1)&lt;EDATE(DATE(YEAR($H96),MONTH($H96),1),$O96)),MIN($P96,MAX(0,$N96-$U96-SUM($V96:X96))),0))</f>
        <v/>
      </c>
      <c r="Z96" s="457">
        <f>IF($AO96&lt;&gt;"OK",0,IF(AND(DATE('Thiết lập'!$B$4,5,1)&gt;=DATE(YEAR($H96),MONTH($H96),1),DATE('Thiết lập'!$B$4,5,1)&lt;EDATE(DATE(YEAR($H96),MONTH($H96),1),$O96)),MIN($P96,MAX(0,$N96-$U96-SUM($V96:Y96))),0))</f>
        <v/>
      </c>
      <c r="AA96" s="457">
        <f>IF($AO96&lt;&gt;"OK",0,IF(AND(DATE('Thiết lập'!$B$4,6,1)&gt;=DATE(YEAR($H96),MONTH($H96),1),DATE('Thiết lập'!$B$4,6,1)&lt;EDATE(DATE(YEAR($H96),MONTH($H96),1),$O96)),MIN($P96,MAX(0,$N96-$U96-SUM($V96:Z96))),0))</f>
        <v/>
      </c>
      <c r="AB96" s="457">
        <f>IF($AO96&lt;&gt;"OK",0,IF(AND(DATE('Thiết lập'!$B$4,7,1)&gt;=DATE(YEAR($H96),MONTH($H96),1),DATE('Thiết lập'!$B$4,7,1)&lt;EDATE(DATE(YEAR($H96),MONTH($H96),1),$O96)),MIN($P96,MAX(0,$N96-$U96-SUM($V96:AA96))),0))</f>
        <v/>
      </c>
      <c r="AC96" s="457">
        <f>IF($AO96&lt;&gt;"OK",0,IF(AND(DATE('Thiết lập'!$B$4,8,1)&gt;=DATE(YEAR($H96),MONTH($H96),1),DATE('Thiết lập'!$B$4,8,1)&lt;EDATE(DATE(YEAR($H96),MONTH($H96),1),$O96)),MIN($P96,MAX(0,$N96-$U96-SUM($V96:AB96))),0))</f>
        <v/>
      </c>
      <c r="AD96" s="457">
        <f>IF($AO96&lt;&gt;"OK",0,IF(AND(DATE('Thiết lập'!$B$4,9,1)&gt;=DATE(YEAR($H96),MONTH($H96),1),DATE('Thiết lập'!$B$4,9,1)&lt;EDATE(DATE(YEAR($H96),MONTH($H96),1),$O96)),MIN($P96,MAX(0,$N96-$U96-SUM($V96:AC96))),0))</f>
        <v/>
      </c>
      <c r="AE96" s="457">
        <f>IF($AO96&lt;&gt;"OK",0,IF(AND(DATE('Thiết lập'!$B$4,10,1)&gt;=DATE(YEAR($H96),MONTH($H96),1),DATE('Thiết lập'!$B$4,10,1)&lt;EDATE(DATE(YEAR($H96),MONTH($H96),1),$O96)),MIN($P96,MAX(0,$N96-$U96-SUM($V96:AD96))),0))</f>
        <v/>
      </c>
      <c r="AF96" s="457">
        <f>IF($AO96&lt;&gt;"OK",0,IF(AND(DATE('Thiết lập'!$B$4,11,1)&gt;=DATE(YEAR($H96),MONTH($H96),1),DATE('Thiết lập'!$B$4,11,1)&lt;EDATE(DATE(YEAR($H96),MONTH($H96),1),$O96)),MIN($P96,MAX(0,$N96-$U96-SUM($V96:AE96))),0))</f>
        <v/>
      </c>
      <c r="AG96" s="457">
        <f>IF($AO96&lt;&gt;"OK",0,IF(AND(DATE('Thiết lập'!$B$4,12,1)&gt;=DATE(YEAR($H96),MONTH($H96),1),DATE('Thiết lập'!$B$4,12,1)&lt;EDATE(DATE(YEAR($H96),MONTH($H96),1),$O96)),MIN($P96,MAX(0,$N96-$U96-SUM($V96:AF96))),0))</f>
        <v/>
      </c>
      <c r="AH96" s="457">
        <f>IF(B96="","",SUM(V96:AG96))</f>
        <v/>
      </c>
      <c r="AI96" s="457">
        <f>IF(B96="","",MIN(N96,IF(U96="",0,U96)+AH96))</f>
        <v/>
      </c>
      <c r="AJ96" s="457">
        <f>IF(B96="","",MAX(0,L96-AI96))</f>
        <v/>
      </c>
      <c r="AK96" s="337">
        <f>IF(B96="","",IF(H96&gt;'Thiết lập'!$B$5,"Chưa khấu hao",IF(AJ96&lt;=IF(M96="",0,M96),"Đã hết khấu hao","Đang khấu hao")))</f>
        <v/>
      </c>
      <c r="AL96" s="275" t="n"/>
      <c r="AM96" s="275" t="n"/>
      <c r="AN96" s="275" t="n"/>
      <c r="AO96" s="343">
        <f>IF(B96="","",IF(COUNTIF($B$7:$B$306,B96)&gt;1,"Trùng mã TSCĐ",IF(C96="","Thiếu tên TSCĐ",IF(H96="","Thiếu ngày bắt đầu",IF(OR(I96&lt;=0,L96&lt;=0,O96&lt;=0),"Kiểm tra số lượng/nguyên giá/thời gian",IF(AND(G96&lt;&gt;"",H96&lt;G96),"Ngày KH trước ngày ghi tăng",IF(M96&gt;L96,"Giá trị thu hồi vượt nguyên giá",IF(IF(U96="",0,U96)&gt;N96,"Lũy kế đầu năm vượt GTKH","OK"))))))))</f>
        <v/>
      </c>
    </row>
    <row r="97" ht="20" customHeight="1" s="389">
      <c r="A97" s="325">
        <f>IF(B97="","",ROW()-6)</f>
        <v/>
      </c>
      <c r="B97" s="275" t="n"/>
      <c r="C97" s="275" t="n"/>
      <c r="D97" s="331" t="n"/>
      <c r="E97" s="331" t="n"/>
      <c r="F97" s="454" t="n"/>
      <c r="G97" s="454" t="n"/>
      <c r="H97" s="454" t="n"/>
      <c r="I97" s="455" t="n"/>
      <c r="J97" s="456" t="n"/>
      <c r="K97" s="456" t="n"/>
      <c r="L97" s="457">
        <f>IF(B97="","",IF(OR(I97="",J97=""),"",I97*J97+IF(K97="",0,K97)))</f>
        <v/>
      </c>
      <c r="M97" s="456" t="n"/>
      <c r="N97" s="457">
        <f>IF(L97="","",MAX(0,L97-IF(M97="",0,M97)))</f>
        <v/>
      </c>
      <c r="O97" s="455" t="n"/>
      <c r="P97" s="457">
        <f>IF(OR(N97="",O97&lt;=0),"",ROUND(N97/O97,0))</f>
        <v/>
      </c>
      <c r="Q97" s="458">
        <f>IF(OR(H97="",O97&lt;=0),"",EOMONTH(H97,O97-1))</f>
        <v/>
      </c>
      <c r="R97" s="331" t="n"/>
      <c r="S97" s="331" t="n"/>
      <c r="T97" s="331" t="n"/>
      <c r="U97" s="456" t="n"/>
      <c r="V97" s="457">
        <f>IF($AO97&lt;&gt;"OK",0,IF(AND(DATE('Thiết lập'!$B$4,1,1)&gt;=DATE(YEAR($H97),MONTH($H97),1),DATE('Thiết lập'!$B$4,1,1)&lt;EDATE(DATE(YEAR($H97),MONTH($H97),1),$O97)),MIN($P97,MAX(0,$N97-$U97-0)),0))</f>
        <v/>
      </c>
      <c r="W97" s="457">
        <f>IF($AO97&lt;&gt;"OK",0,IF(AND(DATE('Thiết lập'!$B$4,2,1)&gt;=DATE(YEAR($H97),MONTH($H97),1),DATE('Thiết lập'!$B$4,2,1)&lt;EDATE(DATE(YEAR($H97),MONTH($H97),1),$O97)),MIN($P97,MAX(0,$N97-$U97-SUM($V97:V97))),0))</f>
        <v/>
      </c>
      <c r="X97" s="457">
        <f>IF($AO97&lt;&gt;"OK",0,IF(AND(DATE('Thiết lập'!$B$4,3,1)&gt;=DATE(YEAR($H97),MONTH($H97),1),DATE('Thiết lập'!$B$4,3,1)&lt;EDATE(DATE(YEAR($H97),MONTH($H97),1),$O97)),MIN($P97,MAX(0,$N97-$U97-SUM($V97:W97))),0))</f>
        <v/>
      </c>
      <c r="Y97" s="457">
        <f>IF($AO97&lt;&gt;"OK",0,IF(AND(DATE('Thiết lập'!$B$4,4,1)&gt;=DATE(YEAR($H97),MONTH($H97),1),DATE('Thiết lập'!$B$4,4,1)&lt;EDATE(DATE(YEAR($H97),MONTH($H97),1),$O97)),MIN($P97,MAX(0,$N97-$U97-SUM($V97:X97))),0))</f>
        <v/>
      </c>
      <c r="Z97" s="457">
        <f>IF($AO97&lt;&gt;"OK",0,IF(AND(DATE('Thiết lập'!$B$4,5,1)&gt;=DATE(YEAR($H97),MONTH($H97),1),DATE('Thiết lập'!$B$4,5,1)&lt;EDATE(DATE(YEAR($H97),MONTH($H97),1),$O97)),MIN($P97,MAX(0,$N97-$U97-SUM($V97:Y97))),0))</f>
        <v/>
      </c>
      <c r="AA97" s="457">
        <f>IF($AO97&lt;&gt;"OK",0,IF(AND(DATE('Thiết lập'!$B$4,6,1)&gt;=DATE(YEAR($H97),MONTH($H97),1),DATE('Thiết lập'!$B$4,6,1)&lt;EDATE(DATE(YEAR($H97),MONTH($H97),1),$O97)),MIN($P97,MAX(0,$N97-$U97-SUM($V97:Z97))),0))</f>
        <v/>
      </c>
      <c r="AB97" s="457">
        <f>IF($AO97&lt;&gt;"OK",0,IF(AND(DATE('Thiết lập'!$B$4,7,1)&gt;=DATE(YEAR($H97),MONTH($H97),1),DATE('Thiết lập'!$B$4,7,1)&lt;EDATE(DATE(YEAR($H97),MONTH($H97),1),$O97)),MIN($P97,MAX(0,$N97-$U97-SUM($V97:AA97))),0))</f>
        <v/>
      </c>
      <c r="AC97" s="457">
        <f>IF($AO97&lt;&gt;"OK",0,IF(AND(DATE('Thiết lập'!$B$4,8,1)&gt;=DATE(YEAR($H97),MONTH($H97),1),DATE('Thiết lập'!$B$4,8,1)&lt;EDATE(DATE(YEAR($H97),MONTH($H97),1),$O97)),MIN($P97,MAX(0,$N97-$U97-SUM($V97:AB97))),0))</f>
        <v/>
      </c>
      <c r="AD97" s="457">
        <f>IF($AO97&lt;&gt;"OK",0,IF(AND(DATE('Thiết lập'!$B$4,9,1)&gt;=DATE(YEAR($H97),MONTH($H97),1),DATE('Thiết lập'!$B$4,9,1)&lt;EDATE(DATE(YEAR($H97),MONTH($H97),1),$O97)),MIN($P97,MAX(0,$N97-$U97-SUM($V97:AC97))),0))</f>
        <v/>
      </c>
      <c r="AE97" s="457">
        <f>IF($AO97&lt;&gt;"OK",0,IF(AND(DATE('Thiết lập'!$B$4,10,1)&gt;=DATE(YEAR($H97),MONTH($H97),1),DATE('Thiết lập'!$B$4,10,1)&lt;EDATE(DATE(YEAR($H97),MONTH($H97),1),$O97)),MIN($P97,MAX(0,$N97-$U97-SUM($V97:AD97))),0))</f>
        <v/>
      </c>
      <c r="AF97" s="457">
        <f>IF($AO97&lt;&gt;"OK",0,IF(AND(DATE('Thiết lập'!$B$4,11,1)&gt;=DATE(YEAR($H97),MONTH($H97),1),DATE('Thiết lập'!$B$4,11,1)&lt;EDATE(DATE(YEAR($H97),MONTH($H97),1),$O97)),MIN($P97,MAX(0,$N97-$U97-SUM($V97:AE97))),0))</f>
        <v/>
      </c>
      <c r="AG97" s="457">
        <f>IF($AO97&lt;&gt;"OK",0,IF(AND(DATE('Thiết lập'!$B$4,12,1)&gt;=DATE(YEAR($H97),MONTH($H97),1),DATE('Thiết lập'!$B$4,12,1)&lt;EDATE(DATE(YEAR($H97),MONTH($H97),1),$O97)),MIN($P97,MAX(0,$N97-$U97-SUM($V97:AF97))),0))</f>
        <v/>
      </c>
      <c r="AH97" s="457">
        <f>IF(B97="","",SUM(V97:AG97))</f>
        <v/>
      </c>
      <c r="AI97" s="457">
        <f>IF(B97="","",MIN(N97,IF(U97="",0,U97)+AH97))</f>
        <v/>
      </c>
      <c r="AJ97" s="457">
        <f>IF(B97="","",MAX(0,L97-AI97))</f>
        <v/>
      </c>
      <c r="AK97" s="337">
        <f>IF(B97="","",IF(H97&gt;'Thiết lập'!$B$5,"Chưa khấu hao",IF(AJ97&lt;=IF(M97="",0,M97),"Đã hết khấu hao","Đang khấu hao")))</f>
        <v/>
      </c>
      <c r="AL97" s="275" t="n"/>
      <c r="AM97" s="275" t="n"/>
      <c r="AN97" s="275" t="n"/>
      <c r="AO97" s="343">
        <f>IF(B97="","",IF(COUNTIF($B$7:$B$306,B97)&gt;1,"Trùng mã TSCĐ",IF(C97="","Thiếu tên TSCĐ",IF(H97="","Thiếu ngày bắt đầu",IF(OR(I97&lt;=0,L97&lt;=0,O97&lt;=0),"Kiểm tra số lượng/nguyên giá/thời gian",IF(AND(G97&lt;&gt;"",H97&lt;G97),"Ngày KH trước ngày ghi tăng",IF(M97&gt;L97,"Giá trị thu hồi vượt nguyên giá",IF(IF(U97="",0,U97)&gt;N97,"Lũy kế đầu năm vượt GTKH","OK"))))))))</f>
        <v/>
      </c>
    </row>
    <row r="98" ht="20" customHeight="1" s="389">
      <c r="A98" s="325">
        <f>IF(B98="","",ROW()-6)</f>
        <v/>
      </c>
      <c r="B98" s="275" t="n"/>
      <c r="C98" s="275" t="n"/>
      <c r="D98" s="331" t="n"/>
      <c r="E98" s="331" t="n"/>
      <c r="F98" s="454" t="n"/>
      <c r="G98" s="454" t="n"/>
      <c r="H98" s="454" t="n"/>
      <c r="I98" s="455" t="n"/>
      <c r="J98" s="456" t="n"/>
      <c r="K98" s="456" t="n"/>
      <c r="L98" s="457">
        <f>IF(B98="","",IF(OR(I98="",J98=""),"",I98*J98+IF(K98="",0,K98)))</f>
        <v/>
      </c>
      <c r="M98" s="456" t="n"/>
      <c r="N98" s="457">
        <f>IF(L98="","",MAX(0,L98-IF(M98="",0,M98)))</f>
        <v/>
      </c>
      <c r="O98" s="455" t="n"/>
      <c r="P98" s="457">
        <f>IF(OR(N98="",O98&lt;=0),"",ROUND(N98/O98,0))</f>
        <v/>
      </c>
      <c r="Q98" s="458">
        <f>IF(OR(H98="",O98&lt;=0),"",EOMONTH(H98,O98-1))</f>
        <v/>
      </c>
      <c r="R98" s="331" t="n"/>
      <c r="S98" s="331" t="n"/>
      <c r="T98" s="331" t="n"/>
      <c r="U98" s="456" t="n"/>
      <c r="V98" s="457">
        <f>IF($AO98&lt;&gt;"OK",0,IF(AND(DATE('Thiết lập'!$B$4,1,1)&gt;=DATE(YEAR($H98),MONTH($H98),1),DATE('Thiết lập'!$B$4,1,1)&lt;EDATE(DATE(YEAR($H98),MONTH($H98),1),$O98)),MIN($P98,MAX(0,$N98-$U98-0)),0))</f>
        <v/>
      </c>
      <c r="W98" s="457">
        <f>IF($AO98&lt;&gt;"OK",0,IF(AND(DATE('Thiết lập'!$B$4,2,1)&gt;=DATE(YEAR($H98),MONTH($H98),1),DATE('Thiết lập'!$B$4,2,1)&lt;EDATE(DATE(YEAR($H98),MONTH($H98),1),$O98)),MIN($P98,MAX(0,$N98-$U98-SUM($V98:V98))),0))</f>
        <v/>
      </c>
      <c r="X98" s="457">
        <f>IF($AO98&lt;&gt;"OK",0,IF(AND(DATE('Thiết lập'!$B$4,3,1)&gt;=DATE(YEAR($H98),MONTH($H98),1),DATE('Thiết lập'!$B$4,3,1)&lt;EDATE(DATE(YEAR($H98),MONTH($H98),1),$O98)),MIN($P98,MAX(0,$N98-$U98-SUM($V98:W98))),0))</f>
        <v/>
      </c>
      <c r="Y98" s="457">
        <f>IF($AO98&lt;&gt;"OK",0,IF(AND(DATE('Thiết lập'!$B$4,4,1)&gt;=DATE(YEAR($H98),MONTH($H98),1),DATE('Thiết lập'!$B$4,4,1)&lt;EDATE(DATE(YEAR($H98),MONTH($H98),1),$O98)),MIN($P98,MAX(0,$N98-$U98-SUM($V98:X98))),0))</f>
        <v/>
      </c>
      <c r="Z98" s="457">
        <f>IF($AO98&lt;&gt;"OK",0,IF(AND(DATE('Thiết lập'!$B$4,5,1)&gt;=DATE(YEAR($H98),MONTH($H98),1),DATE('Thiết lập'!$B$4,5,1)&lt;EDATE(DATE(YEAR($H98),MONTH($H98),1),$O98)),MIN($P98,MAX(0,$N98-$U98-SUM($V98:Y98))),0))</f>
        <v/>
      </c>
      <c r="AA98" s="457">
        <f>IF($AO98&lt;&gt;"OK",0,IF(AND(DATE('Thiết lập'!$B$4,6,1)&gt;=DATE(YEAR($H98),MONTH($H98),1),DATE('Thiết lập'!$B$4,6,1)&lt;EDATE(DATE(YEAR($H98),MONTH($H98),1),$O98)),MIN($P98,MAX(0,$N98-$U98-SUM($V98:Z98))),0))</f>
        <v/>
      </c>
      <c r="AB98" s="457">
        <f>IF($AO98&lt;&gt;"OK",0,IF(AND(DATE('Thiết lập'!$B$4,7,1)&gt;=DATE(YEAR($H98),MONTH($H98),1),DATE('Thiết lập'!$B$4,7,1)&lt;EDATE(DATE(YEAR($H98),MONTH($H98),1),$O98)),MIN($P98,MAX(0,$N98-$U98-SUM($V98:AA98))),0))</f>
        <v/>
      </c>
      <c r="AC98" s="457">
        <f>IF($AO98&lt;&gt;"OK",0,IF(AND(DATE('Thiết lập'!$B$4,8,1)&gt;=DATE(YEAR($H98),MONTH($H98),1),DATE('Thiết lập'!$B$4,8,1)&lt;EDATE(DATE(YEAR($H98),MONTH($H98),1),$O98)),MIN($P98,MAX(0,$N98-$U98-SUM($V98:AB98))),0))</f>
        <v/>
      </c>
      <c r="AD98" s="457">
        <f>IF($AO98&lt;&gt;"OK",0,IF(AND(DATE('Thiết lập'!$B$4,9,1)&gt;=DATE(YEAR($H98),MONTH($H98),1),DATE('Thiết lập'!$B$4,9,1)&lt;EDATE(DATE(YEAR($H98),MONTH($H98),1),$O98)),MIN($P98,MAX(0,$N98-$U98-SUM($V98:AC98))),0))</f>
        <v/>
      </c>
      <c r="AE98" s="457">
        <f>IF($AO98&lt;&gt;"OK",0,IF(AND(DATE('Thiết lập'!$B$4,10,1)&gt;=DATE(YEAR($H98),MONTH($H98),1),DATE('Thiết lập'!$B$4,10,1)&lt;EDATE(DATE(YEAR($H98),MONTH($H98),1),$O98)),MIN($P98,MAX(0,$N98-$U98-SUM($V98:AD98))),0))</f>
        <v/>
      </c>
      <c r="AF98" s="457">
        <f>IF($AO98&lt;&gt;"OK",0,IF(AND(DATE('Thiết lập'!$B$4,11,1)&gt;=DATE(YEAR($H98),MONTH($H98),1),DATE('Thiết lập'!$B$4,11,1)&lt;EDATE(DATE(YEAR($H98),MONTH($H98),1),$O98)),MIN($P98,MAX(0,$N98-$U98-SUM($V98:AE98))),0))</f>
        <v/>
      </c>
      <c r="AG98" s="457">
        <f>IF($AO98&lt;&gt;"OK",0,IF(AND(DATE('Thiết lập'!$B$4,12,1)&gt;=DATE(YEAR($H98),MONTH($H98),1),DATE('Thiết lập'!$B$4,12,1)&lt;EDATE(DATE(YEAR($H98),MONTH($H98),1),$O98)),MIN($P98,MAX(0,$N98-$U98-SUM($V98:AF98))),0))</f>
        <v/>
      </c>
      <c r="AH98" s="457">
        <f>IF(B98="","",SUM(V98:AG98))</f>
        <v/>
      </c>
      <c r="AI98" s="457">
        <f>IF(B98="","",MIN(N98,IF(U98="",0,U98)+AH98))</f>
        <v/>
      </c>
      <c r="AJ98" s="457">
        <f>IF(B98="","",MAX(0,L98-AI98))</f>
        <v/>
      </c>
      <c r="AK98" s="337">
        <f>IF(B98="","",IF(H98&gt;'Thiết lập'!$B$5,"Chưa khấu hao",IF(AJ98&lt;=IF(M98="",0,M98),"Đã hết khấu hao","Đang khấu hao")))</f>
        <v/>
      </c>
      <c r="AL98" s="275" t="n"/>
      <c r="AM98" s="275" t="n"/>
      <c r="AN98" s="275" t="n"/>
      <c r="AO98" s="343">
        <f>IF(B98="","",IF(COUNTIF($B$7:$B$306,B98)&gt;1,"Trùng mã TSCĐ",IF(C98="","Thiếu tên TSCĐ",IF(H98="","Thiếu ngày bắt đầu",IF(OR(I98&lt;=0,L98&lt;=0,O98&lt;=0),"Kiểm tra số lượng/nguyên giá/thời gian",IF(AND(G98&lt;&gt;"",H98&lt;G98),"Ngày KH trước ngày ghi tăng",IF(M98&gt;L98,"Giá trị thu hồi vượt nguyên giá",IF(IF(U98="",0,U98)&gt;N98,"Lũy kế đầu năm vượt GTKH","OK"))))))))</f>
        <v/>
      </c>
    </row>
    <row r="99" ht="20" customHeight="1" s="389">
      <c r="A99" s="325">
        <f>IF(B99="","",ROW()-6)</f>
        <v/>
      </c>
      <c r="B99" s="275" t="n"/>
      <c r="C99" s="275" t="n"/>
      <c r="D99" s="331" t="n"/>
      <c r="E99" s="331" t="n"/>
      <c r="F99" s="454" t="n"/>
      <c r="G99" s="454" t="n"/>
      <c r="H99" s="454" t="n"/>
      <c r="I99" s="455" t="n"/>
      <c r="J99" s="456" t="n"/>
      <c r="K99" s="456" t="n"/>
      <c r="L99" s="457">
        <f>IF(B99="","",IF(OR(I99="",J99=""),"",I99*J99+IF(K99="",0,K99)))</f>
        <v/>
      </c>
      <c r="M99" s="456" t="n"/>
      <c r="N99" s="457">
        <f>IF(L99="","",MAX(0,L99-IF(M99="",0,M99)))</f>
        <v/>
      </c>
      <c r="O99" s="455" t="n"/>
      <c r="P99" s="457">
        <f>IF(OR(N99="",O99&lt;=0),"",ROUND(N99/O99,0))</f>
        <v/>
      </c>
      <c r="Q99" s="458">
        <f>IF(OR(H99="",O99&lt;=0),"",EOMONTH(H99,O99-1))</f>
        <v/>
      </c>
      <c r="R99" s="331" t="n"/>
      <c r="S99" s="331" t="n"/>
      <c r="T99" s="331" t="n"/>
      <c r="U99" s="456" t="n"/>
      <c r="V99" s="457">
        <f>IF($AO99&lt;&gt;"OK",0,IF(AND(DATE('Thiết lập'!$B$4,1,1)&gt;=DATE(YEAR($H99),MONTH($H99),1),DATE('Thiết lập'!$B$4,1,1)&lt;EDATE(DATE(YEAR($H99),MONTH($H99),1),$O99)),MIN($P99,MAX(0,$N99-$U99-0)),0))</f>
        <v/>
      </c>
      <c r="W99" s="457">
        <f>IF($AO99&lt;&gt;"OK",0,IF(AND(DATE('Thiết lập'!$B$4,2,1)&gt;=DATE(YEAR($H99),MONTH($H99),1),DATE('Thiết lập'!$B$4,2,1)&lt;EDATE(DATE(YEAR($H99),MONTH($H99),1),$O99)),MIN($P99,MAX(0,$N99-$U99-SUM($V99:V99))),0))</f>
        <v/>
      </c>
      <c r="X99" s="457">
        <f>IF($AO99&lt;&gt;"OK",0,IF(AND(DATE('Thiết lập'!$B$4,3,1)&gt;=DATE(YEAR($H99),MONTH($H99),1),DATE('Thiết lập'!$B$4,3,1)&lt;EDATE(DATE(YEAR($H99),MONTH($H99),1),$O99)),MIN($P99,MAX(0,$N99-$U99-SUM($V99:W99))),0))</f>
        <v/>
      </c>
      <c r="Y99" s="457">
        <f>IF($AO99&lt;&gt;"OK",0,IF(AND(DATE('Thiết lập'!$B$4,4,1)&gt;=DATE(YEAR($H99),MONTH($H99),1),DATE('Thiết lập'!$B$4,4,1)&lt;EDATE(DATE(YEAR($H99),MONTH($H99),1),$O99)),MIN($P99,MAX(0,$N99-$U99-SUM($V99:X99))),0))</f>
        <v/>
      </c>
      <c r="Z99" s="457">
        <f>IF($AO99&lt;&gt;"OK",0,IF(AND(DATE('Thiết lập'!$B$4,5,1)&gt;=DATE(YEAR($H99),MONTH($H99),1),DATE('Thiết lập'!$B$4,5,1)&lt;EDATE(DATE(YEAR($H99),MONTH($H99),1),$O99)),MIN($P99,MAX(0,$N99-$U99-SUM($V99:Y99))),0))</f>
        <v/>
      </c>
      <c r="AA99" s="457">
        <f>IF($AO99&lt;&gt;"OK",0,IF(AND(DATE('Thiết lập'!$B$4,6,1)&gt;=DATE(YEAR($H99),MONTH($H99),1),DATE('Thiết lập'!$B$4,6,1)&lt;EDATE(DATE(YEAR($H99),MONTH($H99),1),$O99)),MIN($P99,MAX(0,$N99-$U99-SUM($V99:Z99))),0))</f>
        <v/>
      </c>
      <c r="AB99" s="457">
        <f>IF($AO99&lt;&gt;"OK",0,IF(AND(DATE('Thiết lập'!$B$4,7,1)&gt;=DATE(YEAR($H99),MONTH($H99),1),DATE('Thiết lập'!$B$4,7,1)&lt;EDATE(DATE(YEAR($H99),MONTH($H99),1),$O99)),MIN($P99,MAX(0,$N99-$U99-SUM($V99:AA99))),0))</f>
        <v/>
      </c>
      <c r="AC99" s="457">
        <f>IF($AO99&lt;&gt;"OK",0,IF(AND(DATE('Thiết lập'!$B$4,8,1)&gt;=DATE(YEAR($H99),MONTH($H99),1),DATE('Thiết lập'!$B$4,8,1)&lt;EDATE(DATE(YEAR($H99),MONTH($H99),1),$O99)),MIN($P99,MAX(0,$N99-$U99-SUM($V99:AB99))),0))</f>
        <v/>
      </c>
      <c r="AD99" s="457">
        <f>IF($AO99&lt;&gt;"OK",0,IF(AND(DATE('Thiết lập'!$B$4,9,1)&gt;=DATE(YEAR($H99),MONTH($H99),1),DATE('Thiết lập'!$B$4,9,1)&lt;EDATE(DATE(YEAR($H99),MONTH($H99),1),$O99)),MIN($P99,MAX(0,$N99-$U99-SUM($V99:AC99))),0))</f>
        <v/>
      </c>
      <c r="AE99" s="457">
        <f>IF($AO99&lt;&gt;"OK",0,IF(AND(DATE('Thiết lập'!$B$4,10,1)&gt;=DATE(YEAR($H99),MONTH($H99),1),DATE('Thiết lập'!$B$4,10,1)&lt;EDATE(DATE(YEAR($H99),MONTH($H99),1),$O99)),MIN($P99,MAX(0,$N99-$U99-SUM($V99:AD99))),0))</f>
        <v/>
      </c>
      <c r="AF99" s="457">
        <f>IF($AO99&lt;&gt;"OK",0,IF(AND(DATE('Thiết lập'!$B$4,11,1)&gt;=DATE(YEAR($H99),MONTH($H99),1),DATE('Thiết lập'!$B$4,11,1)&lt;EDATE(DATE(YEAR($H99),MONTH($H99),1),$O99)),MIN($P99,MAX(0,$N99-$U99-SUM($V99:AE99))),0))</f>
        <v/>
      </c>
      <c r="AG99" s="457">
        <f>IF($AO99&lt;&gt;"OK",0,IF(AND(DATE('Thiết lập'!$B$4,12,1)&gt;=DATE(YEAR($H99),MONTH($H99),1),DATE('Thiết lập'!$B$4,12,1)&lt;EDATE(DATE(YEAR($H99),MONTH($H99),1),$O99)),MIN($P99,MAX(0,$N99-$U99-SUM($V99:AF99))),0))</f>
        <v/>
      </c>
      <c r="AH99" s="457">
        <f>IF(B99="","",SUM(V99:AG99))</f>
        <v/>
      </c>
      <c r="AI99" s="457">
        <f>IF(B99="","",MIN(N99,IF(U99="",0,U99)+AH99))</f>
        <v/>
      </c>
      <c r="AJ99" s="457">
        <f>IF(B99="","",MAX(0,L99-AI99))</f>
        <v/>
      </c>
      <c r="AK99" s="337">
        <f>IF(B99="","",IF(H99&gt;'Thiết lập'!$B$5,"Chưa khấu hao",IF(AJ99&lt;=IF(M99="",0,M99),"Đã hết khấu hao","Đang khấu hao")))</f>
        <v/>
      </c>
      <c r="AL99" s="275" t="n"/>
      <c r="AM99" s="275" t="n"/>
      <c r="AN99" s="275" t="n"/>
      <c r="AO99" s="343">
        <f>IF(B99="","",IF(COUNTIF($B$7:$B$306,B99)&gt;1,"Trùng mã TSCĐ",IF(C99="","Thiếu tên TSCĐ",IF(H99="","Thiếu ngày bắt đầu",IF(OR(I99&lt;=0,L99&lt;=0,O99&lt;=0),"Kiểm tra số lượng/nguyên giá/thời gian",IF(AND(G99&lt;&gt;"",H99&lt;G99),"Ngày KH trước ngày ghi tăng",IF(M99&gt;L99,"Giá trị thu hồi vượt nguyên giá",IF(IF(U99="",0,U99)&gt;N99,"Lũy kế đầu năm vượt GTKH","OK"))))))))</f>
        <v/>
      </c>
    </row>
    <row r="100" ht="20" customHeight="1" s="389">
      <c r="A100" s="325">
        <f>IF(B100="","",ROW()-6)</f>
        <v/>
      </c>
      <c r="B100" s="275" t="n"/>
      <c r="C100" s="275" t="n"/>
      <c r="D100" s="331" t="n"/>
      <c r="E100" s="331" t="n"/>
      <c r="F100" s="454" t="n"/>
      <c r="G100" s="454" t="n"/>
      <c r="H100" s="454" t="n"/>
      <c r="I100" s="455" t="n"/>
      <c r="J100" s="456" t="n"/>
      <c r="K100" s="456" t="n"/>
      <c r="L100" s="457">
        <f>IF(B100="","",IF(OR(I100="",J100=""),"",I100*J100+IF(K100="",0,K100)))</f>
        <v/>
      </c>
      <c r="M100" s="456" t="n"/>
      <c r="N100" s="457">
        <f>IF(L100="","",MAX(0,L100-IF(M100="",0,M100)))</f>
        <v/>
      </c>
      <c r="O100" s="455" t="n"/>
      <c r="P100" s="457">
        <f>IF(OR(N100="",O100&lt;=0),"",ROUND(N100/O100,0))</f>
        <v/>
      </c>
      <c r="Q100" s="458">
        <f>IF(OR(H100="",O100&lt;=0),"",EOMONTH(H100,O100-1))</f>
        <v/>
      </c>
      <c r="R100" s="331" t="n"/>
      <c r="S100" s="331" t="n"/>
      <c r="T100" s="331" t="n"/>
      <c r="U100" s="456" t="n"/>
      <c r="V100" s="457">
        <f>IF($AO100&lt;&gt;"OK",0,IF(AND(DATE('Thiết lập'!$B$4,1,1)&gt;=DATE(YEAR($H100),MONTH($H100),1),DATE('Thiết lập'!$B$4,1,1)&lt;EDATE(DATE(YEAR($H100),MONTH($H100),1),$O100)),MIN($P100,MAX(0,$N100-$U100-0)),0))</f>
        <v/>
      </c>
      <c r="W100" s="457">
        <f>IF($AO100&lt;&gt;"OK",0,IF(AND(DATE('Thiết lập'!$B$4,2,1)&gt;=DATE(YEAR($H100),MONTH($H100),1),DATE('Thiết lập'!$B$4,2,1)&lt;EDATE(DATE(YEAR($H100),MONTH($H100),1),$O100)),MIN($P100,MAX(0,$N100-$U100-SUM($V100:V100))),0))</f>
        <v/>
      </c>
      <c r="X100" s="457">
        <f>IF($AO100&lt;&gt;"OK",0,IF(AND(DATE('Thiết lập'!$B$4,3,1)&gt;=DATE(YEAR($H100),MONTH($H100),1),DATE('Thiết lập'!$B$4,3,1)&lt;EDATE(DATE(YEAR($H100),MONTH($H100),1),$O100)),MIN($P100,MAX(0,$N100-$U100-SUM($V100:W100))),0))</f>
        <v/>
      </c>
      <c r="Y100" s="457">
        <f>IF($AO100&lt;&gt;"OK",0,IF(AND(DATE('Thiết lập'!$B$4,4,1)&gt;=DATE(YEAR($H100),MONTH($H100),1),DATE('Thiết lập'!$B$4,4,1)&lt;EDATE(DATE(YEAR($H100),MONTH($H100),1),$O100)),MIN($P100,MAX(0,$N100-$U100-SUM($V100:X100))),0))</f>
        <v/>
      </c>
      <c r="Z100" s="457">
        <f>IF($AO100&lt;&gt;"OK",0,IF(AND(DATE('Thiết lập'!$B$4,5,1)&gt;=DATE(YEAR($H100),MONTH($H100),1),DATE('Thiết lập'!$B$4,5,1)&lt;EDATE(DATE(YEAR($H100),MONTH($H100),1),$O100)),MIN($P100,MAX(0,$N100-$U100-SUM($V100:Y100))),0))</f>
        <v/>
      </c>
      <c r="AA100" s="457">
        <f>IF($AO100&lt;&gt;"OK",0,IF(AND(DATE('Thiết lập'!$B$4,6,1)&gt;=DATE(YEAR($H100),MONTH($H100),1),DATE('Thiết lập'!$B$4,6,1)&lt;EDATE(DATE(YEAR($H100),MONTH($H100),1),$O100)),MIN($P100,MAX(0,$N100-$U100-SUM($V100:Z100))),0))</f>
        <v/>
      </c>
      <c r="AB100" s="457">
        <f>IF($AO100&lt;&gt;"OK",0,IF(AND(DATE('Thiết lập'!$B$4,7,1)&gt;=DATE(YEAR($H100),MONTH($H100),1),DATE('Thiết lập'!$B$4,7,1)&lt;EDATE(DATE(YEAR($H100),MONTH($H100),1),$O100)),MIN($P100,MAX(0,$N100-$U100-SUM($V100:AA100))),0))</f>
        <v/>
      </c>
      <c r="AC100" s="457">
        <f>IF($AO100&lt;&gt;"OK",0,IF(AND(DATE('Thiết lập'!$B$4,8,1)&gt;=DATE(YEAR($H100),MONTH($H100),1),DATE('Thiết lập'!$B$4,8,1)&lt;EDATE(DATE(YEAR($H100),MONTH($H100),1),$O100)),MIN($P100,MAX(0,$N100-$U100-SUM($V100:AB100))),0))</f>
        <v/>
      </c>
      <c r="AD100" s="457">
        <f>IF($AO100&lt;&gt;"OK",0,IF(AND(DATE('Thiết lập'!$B$4,9,1)&gt;=DATE(YEAR($H100),MONTH($H100),1),DATE('Thiết lập'!$B$4,9,1)&lt;EDATE(DATE(YEAR($H100),MONTH($H100),1),$O100)),MIN($P100,MAX(0,$N100-$U100-SUM($V100:AC100))),0))</f>
        <v/>
      </c>
      <c r="AE100" s="457">
        <f>IF($AO100&lt;&gt;"OK",0,IF(AND(DATE('Thiết lập'!$B$4,10,1)&gt;=DATE(YEAR($H100),MONTH($H100),1),DATE('Thiết lập'!$B$4,10,1)&lt;EDATE(DATE(YEAR($H100),MONTH($H100),1),$O100)),MIN($P100,MAX(0,$N100-$U100-SUM($V100:AD100))),0))</f>
        <v/>
      </c>
      <c r="AF100" s="457">
        <f>IF($AO100&lt;&gt;"OK",0,IF(AND(DATE('Thiết lập'!$B$4,11,1)&gt;=DATE(YEAR($H100),MONTH($H100),1),DATE('Thiết lập'!$B$4,11,1)&lt;EDATE(DATE(YEAR($H100),MONTH($H100),1),$O100)),MIN($P100,MAX(0,$N100-$U100-SUM($V100:AE100))),0))</f>
        <v/>
      </c>
      <c r="AG100" s="457">
        <f>IF($AO100&lt;&gt;"OK",0,IF(AND(DATE('Thiết lập'!$B$4,12,1)&gt;=DATE(YEAR($H100),MONTH($H100),1),DATE('Thiết lập'!$B$4,12,1)&lt;EDATE(DATE(YEAR($H100),MONTH($H100),1),$O100)),MIN($P100,MAX(0,$N100-$U100-SUM($V100:AF100))),0))</f>
        <v/>
      </c>
      <c r="AH100" s="457">
        <f>IF(B100="","",SUM(V100:AG100))</f>
        <v/>
      </c>
      <c r="AI100" s="457">
        <f>IF(B100="","",MIN(N100,IF(U100="",0,U100)+AH100))</f>
        <v/>
      </c>
      <c r="AJ100" s="457">
        <f>IF(B100="","",MAX(0,L100-AI100))</f>
        <v/>
      </c>
      <c r="AK100" s="337">
        <f>IF(B100="","",IF(H100&gt;'Thiết lập'!$B$5,"Chưa khấu hao",IF(AJ100&lt;=IF(M100="",0,M100),"Đã hết khấu hao","Đang khấu hao")))</f>
        <v/>
      </c>
      <c r="AL100" s="275" t="n"/>
      <c r="AM100" s="275" t="n"/>
      <c r="AN100" s="275" t="n"/>
      <c r="AO100" s="343">
        <f>IF(B100="","",IF(COUNTIF($B$7:$B$306,B100)&gt;1,"Trùng mã TSCĐ",IF(C100="","Thiếu tên TSCĐ",IF(H100="","Thiếu ngày bắt đầu",IF(OR(I100&lt;=0,L100&lt;=0,O100&lt;=0),"Kiểm tra số lượng/nguyên giá/thời gian",IF(AND(G100&lt;&gt;"",H100&lt;G100),"Ngày KH trước ngày ghi tăng",IF(M100&gt;L100,"Giá trị thu hồi vượt nguyên giá",IF(IF(U100="",0,U100)&gt;N100,"Lũy kế đầu năm vượt GTKH","OK"))))))))</f>
        <v/>
      </c>
    </row>
    <row r="101" ht="20" customHeight="1" s="389">
      <c r="A101" s="325">
        <f>IF(B101="","",ROW()-6)</f>
        <v/>
      </c>
      <c r="B101" s="275" t="n"/>
      <c r="C101" s="275" t="n"/>
      <c r="D101" s="331" t="n"/>
      <c r="E101" s="331" t="n"/>
      <c r="F101" s="454" t="n"/>
      <c r="G101" s="454" t="n"/>
      <c r="H101" s="454" t="n"/>
      <c r="I101" s="455" t="n"/>
      <c r="J101" s="456" t="n"/>
      <c r="K101" s="456" t="n"/>
      <c r="L101" s="457">
        <f>IF(B101="","",IF(OR(I101="",J101=""),"",I101*J101+IF(K101="",0,K101)))</f>
        <v/>
      </c>
      <c r="M101" s="456" t="n"/>
      <c r="N101" s="457">
        <f>IF(L101="","",MAX(0,L101-IF(M101="",0,M101)))</f>
        <v/>
      </c>
      <c r="O101" s="455" t="n"/>
      <c r="P101" s="457">
        <f>IF(OR(N101="",O101&lt;=0),"",ROUND(N101/O101,0))</f>
        <v/>
      </c>
      <c r="Q101" s="458">
        <f>IF(OR(H101="",O101&lt;=0),"",EOMONTH(H101,O101-1))</f>
        <v/>
      </c>
      <c r="R101" s="331" t="n"/>
      <c r="S101" s="331" t="n"/>
      <c r="T101" s="331" t="n"/>
      <c r="U101" s="456" t="n"/>
      <c r="V101" s="457">
        <f>IF($AO101&lt;&gt;"OK",0,IF(AND(DATE('Thiết lập'!$B$4,1,1)&gt;=DATE(YEAR($H101),MONTH($H101),1),DATE('Thiết lập'!$B$4,1,1)&lt;EDATE(DATE(YEAR($H101),MONTH($H101),1),$O101)),MIN($P101,MAX(0,$N101-$U101-0)),0))</f>
        <v/>
      </c>
      <c r="W101" s="457">
        <f>IF($AO101&lt;&gt;"OK",0,IF(AND(DATE('Thiết lập'!$B$4,2,1)&gt;=DATE(YEAR($H101),MONTH($H101),1),DATE('Thiết lập'!$B$4,2,1)&lt;EDATE(DATE(YEAR($H101),MONTH($H101),1),$O101)),MIN($P101,MAX(0,$N101-$U101-SUM($V101:V101))),0))</f>
        <v/>
      </c>
      <c r="X101" s="457">
        <f>IF($AO101&lt;&gt;"OK",0,IF(AND(DATE('Thiết lập'!$B$4,3,1)&gt;=DATE(YEAR($H101),MONTH($H101),1),DATE('Thiết lập'!$B$4,3,1)&lt;EDATE(DATE(YEAR($H101),MONTH($H101),1),$O101)),MIN($P101,MAX(0,$N101-$U101-SUM($V101:W101))),0))</f>
        <v/>
      </c>
      <c r="Y101" s="457">
        <f>IF($AO101&lt;&gt;"OK",0,IF(AND(DATE('Thiết lập'!$B$4,4,1)&gt;=DATE(YEAR($H101),MONTH($H101),1),DATE('Thiết lập'!$B$4,4,1)&lt;EDATE(DATE(YEAR($H101),MONTH($H101),1),$O101)),MIN($P101,MAX(0,$N101-$U101-SUM($V101:X101))),0))</f>
        <v/>
      </c>
      <c r="Z101" s="457">
        <f>IF($AO101&lt;&gt;"OK",0,IF(AND(DATE('Thiết lập'!$B$4,5,1)&gt;=DATE(YEAR($H101),MONTH($H101),1),DATE('Thiết lập'!$B$4,5,1)&lt;EDATE(DATE(YEAR($H101),MONTH($H101),1),$O101)),MIN($P101,MAX(0,$N101-$U101-SUM($V101:Y101))),0))</f>
        <v/>
      </c>
      <c r="AA101" s="457">
        <f>IF($AO101&lt;&gt;"OK",0,IF(AND(DATE('Thiết lập'!$B$4,6,1)&gt;=DATE(YEAR($H101),MONTH($H101),1),DATE('Thiết lập'!$B$4,6,1)&lt;EDATE(DATE(YEAR($H101),MONTH($H101),1),$O101)),MIN($P101,MAX(0,$N101-$U101-SUM($V101:Z101))),0))</f>
        <v/>
      </c>
      <c r="AB101" s="457">
        <f>IF($AO101&lt;&gt;"OK",0,IF(AND(DATE('Thiết lập'!$B$4,7,1)&gt;=DATE(YEAR($H101),MONTH($H101),1),DATE('Thiết lập'!$B$4,7,1)&lt;EDATE(DATE(YEAR($H101),MONTH($H101),1),$O101)),MIN($P101,MAX(0,$N101-$U101-SUM($V101:AA101))),0))</f>
        <v/>
      </c>
      <c r="AC101" s="457">
        <f>IF($AO101&lt;&gt;"OK",0,IF(AND(DATE('Thiết lập'!$B$4,8,1)&gt;=DATE(YEAR($H101),MONTH($H101),1),DATE('Thiết lập'!$B$4,8,1)&lt;EDATE(DATE(YEAR($H101),MONTH($H101),1),$O101)),MIN($P101,MAX(0,$N101-$U101-SUM($V101:AB101))),0))</f>
        <v/>
      </c>
      <c r="AD101" s="457">
        <f>IF($AO101&lt;&gt;"OK",0,IF(AND(DATE('Thiết lập'!$B$4,9,1)&gt;=DATE(YEAR($H101),MONTH($H101),1),DATE('Thiết lập'!$B$4,9,1)&lt;EDATE(DATE(YEAR($H101),MONTH($H101),1),$O101)),MIN($P101,MAX(0,$N101-$U101-SUM($V101:AC101))),0))</f>
        <v/>
      </c>
      <c r="AE101" s="457">
        <f>IF($AO101&lt;&gt;"OK",0,IF(AND(DATE('Thiết lập'!$B$4,10,1)&gt;=DATE(YEAR($H101),MONTH($H101),1),DATE('Thiết lập'!$B$4,10,1)&lt;EDATE(DATE(YEAR($H101),MONTH($H101),1),$O101)),MIN($P101,MAX(0,$N101-$U101-SUM($V101:AD101))),0))</f>
        <v/>
      </c>
      <c r="AF101" s="457">
        <f>IF($AO101&lt;&gt;"OK",0,IF(AND(DATE('Thiết lập'!$B$4,11,1)&gt;=DATE(YEAR($H101),MONTH($H101),1),DATE('Thiết lập'!$B$4,11,1)&lt;EDATE(DATE(YEAR($H101),MONTH($H101),1),$O101)),MIN($P101,MAX(0,$N101-$U101-SUM($V101:AE101))),0))</f>
        <v/>
      </c>
      <c r="AG101" s="457">
        <f>IF($AO101&lt;&gt;"OK",0,IF(AND(DATE('Thiết lập'!$B$4,12,1)&gt;=DATE(YEAR($H101),MONTH($H101),1),DATE('Thiết lập'!$B$4,12,1)&lt;EDATE(DATE(YEAR($H101),MONTH($H101),1),$O101)),MIN($P101,MAX(0,$N101-$U101-SUM($V101:AF101))),0))</f>
        <v/>
      </c>
      <c r="AH101" s="457">
        <f>IF(B101="","",SUM(V101:AG101))</f>
        <v/>
      </c>
      <c r="AI101" s="457">
        <f>IF(B101="","",MIN(N101,IF(U101="",0,U101)+AH101))</f>
        <v/>
      </c>
      <c r="AJ101" s="457">
        <f>IF(B101="","",MAX(0,L101-AI101))</f>
        <v/>
      </c>
      <c r="AK101" s="337">
        <f>IF(B101="","",IF(H101&gt;'Thiết lập'!$B$5,"Chưa khấu hao",IF(AJ101&lt;=IF(M101="",0,M101),"Đã hết khấu hao","Đang khấu hao")))</f>
        <v/>
      </c>
      <c r="AL101" s="275" t="n"/>
      <c r="AM101" s="275" t="n"/>
      <c r="AN101" s="275" t="n"/>
      <c r="AO101" s="343">
        <f>IF(B101="","",IF(COUNTIF($B$7:$B$306,B101)&gt;1,"Trùng mã TSCĐ",IF(C101="","Thiếu tên TSCĐ",IF(H101="","Thiếu ngày bắt đầu",IF(OR(I101&lt;=0,L101&lt;=0,O101&lt;=0),"Kiểm tra số lượng/nguyên giá/thời gian",IF(AND(G101&lt;&gt;"",H101&lt;G101),"Ngày KH trước ngày ghi tăng",IF(M101&gt;L101,"Giá trị thu hồi vượt nguyên giá",IF(IF(U101="",0,U101)&gt;N101,"Lũy kế đầu năm vượt GTKH","OK"))))))))</f>
        <v/>
      </c>
    </row>
    <row r="102" ht="20" customHeight="1" s="389">
      <c r="A102" s="325">
        <f>IF(B102="","",ROW()-6)</f>
        <v/>
      </c>
      <c r="B102" s="275" t="n"/>
      <c r="C102" s="275" t="n"/>
      <c r="D102" s="331" t="n"/>
      <c r="E102" s="331" t="n"/>
      <c r="F102" s="454" t="n"/>
      <c r="G102" s="454" t="n"/>
      <c r="H102" s="454" t="n"/>
      <c r="I102" s="455" t="n"/>
      <c r="J102" s="456" t="n"/>
      <c r="K102" s="456" t="n"/>
      <c r="L102" s="457">
        <f>IF(B102="","",IF(OR(I102="",J102=""),"",I102*J102+IF(K102="",0,K102)))</f>
        <v/>
      </c>
      <c r="M102" s="456" t="n"/>
      <c r="N102" s="457">
        <f>IF(L102="","",MAX(0,L102-IF(M102="",0,M102)))</f>
        <v/>
      </c>
      <c r="O102" s="455" t="n"/>
      <c r="P102" s="457">
        <f>IF(OR(N102="",O102&lt;=0),"",ROUND(N102/O102,0))</f>
        <v/>
      </c>
      <c r="Q102" s="458">
        <f>IF(OR(H102="",O102&lt;=0),"",EOMONTH(H102,O102-1))</f>
        <v/>
      </c>
      <c r="R102" s="331" t="n"/>
      <c r="S102" s="331" t="n"/>
      <c r="T102" s="331" t="n"/>
      <c r="U102" s="456" t="n"/>
      <c r="V102" s="457">
        <f>IF($AO102&lt;&gt;"OK",0,IF(AND(DATE('Thiết lập'!$B$4,1,1)&gt;=DATE(YEAR($H102),MONTH($H102),1),DATE('Thiết lập'!$B$4,1,1)&lt;EDATE(DATE(YEAR($H102),MONTH($H102),1),$O102)),MIN($P102,MAX(0,$N102-$U102-0)),0))</f>
        <v/>
      </c>
      <c r="W102" s="457">
        <f>IF($AO102&lt;&gt;"OK",0,IF(AND(DATE('Thiết lập'!$B$4,2,1)&gt;=DATE(YEAR($H102),MONTH($H102),1),DATE('Thiết lập'!$B$4,2,1)&lt;EDATE(DATE(YEAR($H102),MONTH($H102),1),$O102)),MIN($P102,MAX(0,$N102-$U102-SUM($V102:V102))),0))</f>
        <v/>
      </c>
      <c r="X102" s="457">
        <f>IF($AO102&lt;&gt;"OK",0,IF(AND(DATE('Thiết lập'!$B$4,3,1)&gt;=DATE(YEAR($H102),MONTH($H102),1),DATE('Thiết lập'!$B$4,3,1)&lt;EDATE(DATE(YEAR($H102),MONTH($H102),1),$O102)),MIN($P102,MAX(0,$N102-$U102-SUM($V102:W102))),0))</f>
        <v/>
      </c>
      <c r="Y102" s="457">
        <f>IF($AO102&lt;&gt;"OK",0,IF(AND(DATE('Thiết lập'!$B$4,4,1)&gt;=DATE(YEAR($H102),MONTH($H102),1),DATE('Thiết lập'!$B$4,4,1)&lt;EDATE(DATE(YEAR($H102),MONTH($H102),1),$O102)),MIN($P102,MAX(0,$N102-$U102-SUM($V102:X102))),0))</f>
        <v/>
      </c>
      <c r="Z102" s="457">
        <f>IF($AO102&lt;&gt;"OK",0,IF(AND(DATE('Thiết lập'!$B$4,5,1)&gt;=DATE(YEAR($H102),MONTH($H102),1),DATE('Thiết lập'!$B$4,5,1)&lt;EDATE(DATE(YEAR($H102),MONTH($H102),1),$O102)),MIN($P102,MAX(0,$N102-$U102-SUM($V102:Y102))),0))</f>
        <v/>
      </c>
      <c r="AA102" s="457">
        <f>IF($AO102&lt;&gt;"OK",0,IF(AND(DATE('Thiết lập'!$B$4,6,1)&gt;=DATE(YEAR($H102),MONTH($H102),1),DATE('Thiết lập'!$B$4,6,1)&lt;EDATE(DATE(YEAR($H102),MONTH($H102),1),$O102)),MIN($P102,MAX(0,$N102-$U102-SUM($V102:Z102))),0))</f>
        <v/>
      </c>
      <c r="AB102" s="457">
        <f>IF($AO102&lt;&gt;"OK",0,IF(AND(DATE('Thiết lập'!$B$4,7,1)&gt;=DATE(YEAR($H102),MONTH($H102),1),DATE('Thiết lập'!$B$4,7,1)&lt;EDATE(DATE(YEAR($H102),MONTH($H102),1),$O102)),MIN($P102,MAX(0,$N102-$U102-SUM($V102:AA102))),0))</f>
        <v/>
      </c>
      <c r="AC102" s="457">
        <f>IF($AO102&lt;&gt;"OK",0,IF(AND(DATE('Thiết lập'!$B$4,8,1)&gt;=DATE(YEAR($H102),MONTH($H102),1),DATE('Thiết lập'!$B$4,8,1)&lt;EDATE(DATE(YEAR($H102),MONTH($H102),1),$O102)),MIN($P102,MAX(0,$N102-$U102-SUM($V102:AB102))),0))</f>
        <v/>
      </c>
      <c r="AD102" s="457">
        <f>IF($AO102&lt;&gt;"OK",0,IF(AND(DATE('Thiết lập'!$B$4,9,1)&gt;=DATE(YEAR($H102),MONTH($H102),1),DATE('Thiết lập'!$B$4,9,1)&lt;EDATE(DATE(YEAR($H102),MONTH($H102),1),$O102)),MIN($P102,MAX(0,$N102-$U102-SUM($V102:AC102))),0))</f>
        <v/>
      </c>
      <c r="AE102" s="457">
        <f>IF($AO102&lt;&gt;"OK",0,IF(AND(DATE('Thiết lập'!$B$4,10,1)&gt;=DATE(YEAR($H102),MONTH($H102),1),DATE('Thiết lập'!$B$4,10,1)&lt;EDATE(DATE(YEAR($H102),MONTH($H102),1),$O102)),MIN($P102,MAX(0,$N102-$U102-SUM($V102:AD102))),0))</f>
        <v/>
      </c>
      <c r="AF102" s="457">
        <f>IF($AO102&lt;&gt;"OK",0,IF(AND(DATE('Thiết lập'!$B$4,11,1)&gt;=DATE(YEAR($H102),MONTH($H102),1),DATE('Thiết lập'!$B$4,11,1)&lt;EDATE(DATE(YEAR($H102),MONTH($H102),1),$O102)),MIN($P102,MAX(0,$N102-$U102-SUM($V102:AE102))),0))</f>
        <v/>
      </c>
      <c r="AG102" s="457">
        <f>IF($AO102&lt;&gt;"OK",0,IF(AND(DATE('Thiết lập'!$B$4,12,1)&gt;=DATE(YEAR($H102),MONTH($H102),1),DATE('Thiết lập'!$B$4,12,1)&lt;EDATE(DATE(YEAR($H102),MONTH($H102),1),$O102)),MIN($P102,MAX(0,$N102-$U102-SUM($V102:AF102))),0))</f>
        <v/>
      </c>
      <c r="AH102" s="457">
        <f>IF(B102="","",SUM(V102:AG102))</f>
        <v/>
      </c>
      <c r="AI102" s="457">
        <f>IF(B102="","",MIN(N102,IF(U102="",0,U102)+AH102))</f>
        <v/>
      </c>
      <c r="AJ102" s="457">
        <f>IF(B102="","",MAX(0,L102-AI102))</f>
        <v/>
      </c>
      <c r="AK102" s="337">
        <f>IF(B102="","",IF(H102&gt;'Thiết lập'!$B$5,"Chưa khấu hao",IF(AJ102&lt;=IF(M102="",0,M102),"Đã hết khấu hao","Đang khấu hao")))</f>
        <v/>
      </c>
      <c r="AL102" s="275" t="n"/>
      <c r="AM102" s="275" t="n"/>
      <c r="AN102" s="275" t="n"/>
      <c r="AO102" s="343">
        <f>IF(B102="","",IF(COUNTIF($B$7:$B$306,B102)&gt;1,"Trùng mã TSCĐ",IF(C102="","Thiếu tên TSCĐ",IF(H102="","Thiếu ngày bắt đầu",IF(OR(I102&lt;=0,L102&lt;=0,O102&lt;=0),"Kiểm tra số lượng/nguyên giá/thời gian",IF(AND(G102&lt;&gt;"",H102&lt;G102),"Ngày KH trước ngày ghi tăng",IF(M102&gt;L102,"Giá trị thu hồi vượt nguyên giá",IF(IF(U102="",0,U102)&gt;N102,"Lũy kế đầu năm vượt GTKH","OK"))))))))</f>
        <v/>
      </c>
    </row>
    <row r="103" ht="20" customHeight="1" s="389">
      <c r="A103" s="325">
        <f>IF(B103="","",ROW()-6)</f>
        <v/>
      </c>
      <c r="B103" s="275" t="n"/>
      <c r="C103" s="275" t="n"/>
      <c r="D103" s="331" t="n"/>
      <c r="E103" s="331" t="n"/>
      <c r="F103" s="454" t="n"/>
      <c r="G103" s="454" t="n"/>
      <c r="H103" s="454" t="n"/>
      <c r="I103" s="455" t="n"/>
      <c r="J103" s="456" t="n"/>
      <c r="K103" s="456" t="n"/>
      <c r="L103" s="457">
        <f>IF(B103="","",IF(OR(I103="",J103=""),"",I103*J103+IF(K103="",0,K103)))</f>
        <v/>
      </c>
      <c r="M103" s="456" t="n"/>
      <c r="N103" s="457">
        <f>IF(L103="","",MAX(0,L103-IF(M103="",0,M103)))</f>
        <v/>
      </c>
      <c r="O103" s="455" t="n"/>
      <c r="P103" s="457">
        <f>IF(OR(N103="",O103&lt;=0),"",ROUND(N103/O103,0))</f>
        <v/>
      </c>
      <c r="Q103" s="458">
        <f>IF(OR(H103="",O103&lt;=0),"",EOMONTH(H103,O103-1))</f>
        <v/>
      </c>
      <c r="R103" s="331" t="n"/>
      <c r="S103" s="331" t="n"/>
      <c r="T103" s="331" t="n"/>
      <c r="U103" s="456" t="n"/>
      <c r="V103" s="457">
        <f>IF($AO103&lt;&gt;"OK",0,IF(AND(DATE('Thiết lập'!$B$4,1,1)&gt;=DATE(YEAR($H103),MONTH($H103),1),DATE('Thiết lập'!$B$4,1,1)&lt;EDATE(DATE(YEAR($H103),MONTH($H103),1),$O103)),MIN($P103,MAX(0,$N103-$U103-0)),0))</f>
        <v/>
      </c>
      <c r="W103" s="457">
        <f>IF($AO103&lt;&gt;"OK",0,IF(AND(DATE('Thiết lập'!$B$4,2,1)&gt;=DATE(YEAR($H103),MONTH($H103),1),DATE('Thiết lập'!$B$4,2,1)&lt;EDATE(DATE(YEAR($H103),MONTH($H103),1),$O103)),MIN($P103,MAX(0,$N103-$U103-SUM($V103:V103))),0))</f>
        <v/>
      </c>
      <c r="X103" s="457">
        <f>IF($AO103&lt;&gt;"OK",0,IF(AND(DATE('Thiết lập'!$B$4,3,1)&gt;=DATE(YEAR($H103),MONTH($H103),1),DATE('Thiết lập'!$B$4,3,1)&lt;EDATE(DATE(YEAR($H103),MONTH($H103),1),$O103)),MIN($P103,MAX(0,$N103-$U103-SUM($V103:W103))),0))</f>
        <v/>
      </c>
      <c r="Y103" s="457">
        <f>IF($AO103&lt;&gt;"OK",0,IF(AND(DATE('Thiết lập'!$B$4,4,1)&gt;=DATE(YEAR($H103),MONTH($H103),1),DATE('Thiết lập'!$B$4,4,1)&lt;EDATE(DATE(YEAR($H103),MONTH($H103),1),$O103)),MIN($P103,MAX(0,$N103-$U103-SUM($V103:X103))),0))</f>
        <v/>
      </c>
      <c r="Z103" s="457">
        <f>IF($AO103&lt;&gt;"OK",0,IF(AND(DATE('Thiết lập'!$B$4,5,1)&gt;=DATE(YEAR($H103),MONTH($H103),1),DATE('Thiết lập'!$B$4,5,1)&lt;EDATE(DATE(YEAR($H103),MONTH($H103),1),$O103)),MIN($P103,MAX(0,$N103-$U103-SUM($V103:Y103))),0))</f>
        <v/>
      </c>
      <c r="AA103" s="457">
        <f>IF($AO103&lt;&gt;"OK",0,IF(AND(DATE('Thiết lập'!$B$4,6,1)&gt;=DATE(YEAR($H103),MONTH($H103),1),DATE('Thiết lập'!$B$4,6,1)&lt;EDATE(DATE(YEAR($H103),MONTH($H103),1),$O103)),MIN($P103,MAX(0,$N103-$U103-SUM($V103:Z103))),0))</f>
        <v/>
      </c>
      <c r="AB103" s="457">
        <f>IF($AO103&lt;&gt;"OK",0,IF(AND(DATE('Thiết lập'!$B$4,7,1)&gt;=DATE(YEAR($H103),MONTH($H103),1),DATE('Thiết lập'!$B$4,7,1)&lt;EDATE(DATE(YEAR($H103),MONTH($H103),1),$O103)),MIN($P103,MAX(0,$N103-$U103-SUM($V103:AA103))),0))</f>
        <v/>
      </c>
      <c r="AC103" s="457">
        <f>IF($AO103&lt;&gt;"OK",0,IF(AND(DATE('Thiết lập'!$B$4,8,1)&gt;=DATE(YEAR($H103),MONTH($H103),1),DATE('Thiết lập'!$B$4,8,1)&lt;EDATE(DATE(YEAR($H103),MONTH($H103),1),$O103)),MIN($P103,MAX(0,$N103-$U103-SUM($V103:AB103))),0))</f>
        <v/>
      </c>
      <c r="AD103" s="457">
        <f>IF($AO103&lt;&gt;"OK",0,IF(AND(DATE('Thiết lập'!$B$4,9,1)&gt;=DATE(YEAR($H103),MONTH($H103),1),DATE('Thiết lập'!$B$4,9,1)&lt;EDATE(DATE(YEAR($H103),MONTH($H103),1),$O103)),MIN($P103,MAX(0,$N103-$U103-SUM($V103:AC103))),0))</f>
        <v/>
      </c>
      <c r="AE103" s="457">
        <f>IF($AO103&lt;&gt;"OK",0,IF(AND(DATE('Thiết lập'!$B$4,10,1)&gt;=DATE(YEAR($H103),MONTH($H103),1),DATE('Thiết lập'!$B$4,10,1)&lt;EDATE(DATE(YEAR($H103),MONTH($H103),1),$O103)),MIN($P103,MAX(0,$N103-$U103-SUM($V103:AD103))),0))</f>
        <v/>
      </c>
      <c r="AF103" s="457">
        <f>IF($AO103&lt;&gt;"OK",0,IF(AND(DATE('Thiết lập'!$B$4,11,1)&gt;=DATE(YEAR($H103),MONTH($H103),1),DATE('Thiết lập'!$B$4,11,1)&lt;EDATE(DATE(YEAR($H103),MONTH($H103),1),$O103)),MIN($P103,MAX(0,$N103-$U103-SUM($V103:AE103))),0))</f>
        <v/>
      </c>
      <c r="AG103" s="457">
        <f>IF($AO103&lt;&gt;"OK",0,IF(AND(DATE('Thiết lập'!$B$4,12,1)&gt;=DATE(YEAR($H103),MONTH($H103),1),DATE('Thiết lập'!$B$4,12,1)&lt;EDATE(DATE(YEAR($H103),MONTH($H103),1),$O103)),MIN($P103,MAX(0,$N103-$U103-SUM($V103:AF103))),0))</f>
        <v/>
      </c>
      <c r="AH103" s="457">
        <f>IF(B103="","",SUM(V103:AG103))</f>
        <v/>
      </c>
      <c r="AI103" s="457">
        <f>IF(B103="","",MIN(N103,IF(U103="",0,U103)+AH103))</f>
        <v/>
      </c>
      <c r="AJ103" s="457">
        <f>IF(B103="","",MAX(0,L103-AI103))</f>
        <v/>
      </c>
      <c r="AK103" s="337">
        <f>IF(B103="","",IF(H103&gt;'Thiết lập'!$B$5,"Chưa khấu hao",IF(AJ103&lt;=IF(M103="",0,M103),"Đã hết khấu hao","Đang khấu hao")))</f>
        <v/>
      </c>
      <c r="AL103" s="275" t="n"/>
      <c r="AM103" s="275" t="n"/>
      <c r="AN103" s="275" t="n"/>
      <c r="AO103" s="343">
        <f>IF(B103="","",IF(COUNTIF($B$7:$B$306,B103)&gt;1,"Trùng mã TSCĐ",IF(C103="","Thiếu tên TSCĐ",IF(H103="","Thiếu ngày bắt đầu",IF(OR(I103&lt;=0,L103&lt;=0,O103&lt;=0),"Kiểm tra số lượng/nguyên giá/thời gian",IF(AND(G103&lt;&gt;"",H103&lt;G103),"Ngày KH trước ngày ghi tăng",IF(M103&gt;L103,"Giá trị thu hồi vượt nguyên giá",IF(IF(U103="",0,U103)&gt;N103,"Lũy kế đầu năm vượt GTKH","OK"))))))))</f>
        <v/>
      </c>
    </row>
    <row r="104" ht="20" customHeight="1" s="389">
      <c r="A104" s="325">
        <f>IF(B104="","",ROW()-6)</f>
        <v/>
      </c>
      <c r="B104" s="275" t="n"/>
      <c r="C104" s="275" t="n"/>
      <c r="D104" s="331" t="n"/>
      <c r="E104" s="331" t="n"/>
      <c r="F104" s="454" t="n"/>
      <c r="G104" s="454" t="n"/>
      <c r="H104" s="454" t="n"/>
      <c r="I104" s="455" t="n"/>
      <c r="J104" s="456" t="n"/>
      <c r="K104" s="456" t="n"/>
      <c r="L104" s="457">
        <f>IF(B104="","",IF(OR(I104="",J104=""),"",I104*J104+IF(K104="",0,K104)))</f>
        <v/>
      </c>
      <c r="M104" s="456" t="n"/>
      <c r="N104" s="457">
        <f>IF(L104="","",MAX(0,L104-IF(M104="",0,M104)))</f>
        <v/>
      </c>
      <c r="O104" s="455" t="n"/>
      <c r="P104" s="457">
        <f>IF(OR(N104="",O104&lt;=0),"",ROUND(N104/O104,0))</f>
        <v/>
      </c>
      <c r="Q104" s="458">
        <f>IF(OR(H104="",O104&lt;=0),"",EOMONTH(H104,O104-1))</f>
        <v/>
      </c>
      <c r="R104" s="331" t="n"/>
      <c r="S104" s="331" t="n"/>
      <c r="T104" s="331" t="n"/>
      <c r="U104" s="456" t="n"/>
      <c r="V104" s="457">
        <f>IF($AO104&lt;&gt;"OK",0,IF(AND(DATE('Thiết lập'!$B$4,1,1)&gt;=DATE(YEAR($H104),MONTH($H104),1),DATE('Thiết lập'!$B$4,1,1)&lt;EDATE(DATE(YEAR($H104),MONTH($H104),1),$O104)),MIN($P104,MAX(0,$N104-$U104-0)),0))</f>
        <v/>
      </c>
      <c r="W104" s="457">
        <f>IF($AO104&lt;&gt;"OK",0,IF(AND(DATE('Thiết lập'!$B$4,2,1)&gt;=DATE(YEAR($H104),MONTH($H104),1),DATE('Thiết lập'!$B$4,2,1)&lt;EDATE(DATE(YEAR($H104),MONTH($H104),1),$O104)),MIN($P104,MAX(0,$N104-$U104-SUM($V104:V104))),0))</f>
        <v/>
      </c>
      <c r="X104" s="457">
        <f>IF($AO104&lt;&gt;"OK",0,IF(AND(DATE('Thiết lập'!$B$4,3,1)&gt;=DATE(YEAR($H104),MONTH($H104),1),DATE('Thiết lập'!$B$4,3,1)&lt;EDATE(DATE(YEAR($H104),MONTH($H104),1),$O104)),MIN($P104,MAX(0,$N104-$U104-SUM($V104:W104))),0))</f>
        <v/>
      </c>
      <c r="Y104" s="457">
        <f>IF($AO104&lt;&gt;"OK",0,IF(AND(DATE('Thiết lập'!$B$4,4,1)&gt;=DATE(YEAR($H104),MONTH($H104),1),DATE('Thiết lập'!$B$4,4,1)&lt;EDATE(DATE(YEAR($H104),MONTH($H104),1),$O104)),MIN($P104,MAX(0,$N104-$U104-SUM($V104:X104))),0))</f>
        <v/>
      </c>
      <c r="Z104" s="457">
        <f>IF($AO104&lt;&gt;"OK",0,IF(AND(DATE('Thiết lập'!$B$4,5,1)&gt;=DATE(YEAR($H104),MONTH($H104),1),DATE('Thiết lập'!$B$4,5,1)&lt;EDATE(DATE(YEAR($H104),MONTH($H104),1),$O104)),MIN($P104,MAX(0,$N104-$U104-SUM($V104:Y104))),0))</f>
        <v/>
      </c>
      <c r="AA104" s="457">
        <f>IF($AO104&lt;&gt;"OK",0,IF(AND(DATE('Thiết lập'!$B$4,6,1)&gt;=DATE(YEAR($H104),MONTH($H104),1),DATE('Thiết lập'!$B$4,6,1)&lt;EDATE(DATE(YEAR($H104),MONTH($H104),1),$O104)),MIN($P104,MAX(0,$N104-$U104-SUM($V104:Z104))),0))</f>
        <v/>
      </c>
      <c r="AB104" s="457">
        <f>IF($AO104&lt;&gt;"OK",0,IF(AND(DATE('Thiết lập'!$B$4,7,1)&gt;=DATE(YEAR($H104),MONTH($H104),1),DATE('Thiết lập'!$B$4,7,1)&lt;EDATE(DATE(YEAR($H104),MONTH($H104),1),$O104)),MIN($P104,MAX(0,$N104-$U104-SUM($V104:AA104))),0))</f>
        <v/>
      </c>
      <c r="AC104" s="457">
        <f>IF($AO104&lt;&gt;"OK",0,IF(AND(DATE('Thiết lập'!$B$4,8,1)&gt;=DATE(YEAR($H104),MONTH($H104),1),DATE('Thiết lập'!$B$4,8,1)&lt;EDATE(DATE(YEAR($H104),MONTH($H104),1),$O104)),MIN($P104,MAX(0,$N104-$U104-SUM($V104:AB104))),0))</f>
        <v/>
      </c>
      <c r="AD104" s="457">
        <f>IF($AO104&lt;&gt;"OK",0,IF(AND(DATE('Thiết lập'!$B$4,9,1)&gt;=DATE(YEAR($H104),MONTH($H104),1),DATE('Thiết lập'!$B$4,9,1)&lt;EDATE(DATE(YEAR($H104),MONTH($H104),1),$O104)),MIN($P104,MAX(0,$N104-$U104-SUM($V104:AC104))),0))</f>
        <v/>
      </c>
      <c r="AE104" s="457">
        <f>IF($AO104&lt;&gt;"OK",0,IF(AND(DATE('Thiết lập'!$B$4,10,1)&gt;=DATE(YEAR($H104),MONTH($H104),1),DATE('Thiết lập'!$B$4,10,1)&lt;EDATE(DATE(YEAR($H104),MONTH($H104),1),$O104)),MIN($P104,MAX(0,$N104-$U104-SUM($V104:AD104))),0))</f>
        <v/>
      </c>
      <c r="AF104" s="457">
        <f>IF($AO104&lt;&gt;"OK",0,IF(AND(DATE('Thiết lập'!$B$4,11,1)&gt;=DATE(YEAR($H104),MONTH($H104),1),DATE('Thiết lập'!$B$4,11,1)&lt;EDATE(DATE(YEAR($H104),MONTH($H104),1),$O104)),MIN($P104,MAX(0,$N104-$U104-SUM($V104:AE104))),0))</f>
        <v/>
      </c>
      <c r="AG104" s="457">
        <f>IF($AO104&lt;&gt;"OK",0,IF(AND(DATE('Thiết lập'!$B$4,12,1)&gt;=DATE(YEAR($H104),MONTH($H104),1),DATE('Thiết lập'!$B$4,12,1)&lt;EDATE(DATE(YEAR($H104),MONTH($H104),1),$O104)),MIN($P104,MAX(0,$N104-$U104-SUM($V104:AF104))),0))</f>
        <v/>
      </c>
      <c r="AH104" s="457">
        <f>IF(B104="","",SUM(V104:AG104))</f>
        <v/>
      </c>
      <c r="AI104" s="457">
        <f>IF(B104="","",MIN(N104,IF(U104="",0,U104)+AH104))</f>
        <v/>
      </c>
      <c r="AJ104" s="457">
        <f>IF(B104="","",MAX(0,L104-AI104))</f>
        <v/>
      </c>
      <c r="AK104" s="337">
        <f>IF(B104="","",IF(H104&gt;'Thiết lập'!$B$5,"Chưa khấu hao",IF(AJ104&lt;=IF(M104="",0,M104),"Đã hết khấu hao","Đang khấu hao")))</f>
        <v/>
      </c>
      <c r="AL104" s="275" t="n"/>
      <c r="AM104" s="275" t="n"/>
      <c r="AN104" s="275" t="n"/>
      <c r="AO104" s="343">
        <f>IF(B104="","",IF(COUNTIF($B$7:$B$306,B104)&gt;1,"Trùng mã TSCĐ",IF(C104="","Thiếu tên TSCĐ",IF(H104="","Thiếu ngày bắt đầu",IF(OR(I104&lt;=0,L104&lt;=0,O104&lt;=0),"Kiểm tra số lượng/nguyên giá/thời gian",IF(AND(G104&lt;&gt;"",H104&lt;G104),"Ngày KH trước ngày ghi tăng",IF(M104&gt;L104,"Giá trị thu hồi vượt nguyên giá",IF(IF(U104="",0,U104)&gt;N104,"Lũy kế đầu năm vượt GTKH","OK"))))))))</f>
        <v/>
      </c>
    </row>
    <row r="105" ht="20" customHeight="1" s="389">
      <c r="A105" s="325">
        <f>IF(B105="","",ROW()-6)</f>
        <v/>
      </c>
      <c r="B105" s="275" t="n"/>
      <c r="C105" s="275" t="n"/>
      <c r="D105" s="331" t="n"/>
      <c r="E105" s="331" t="n"/>
      <c r="F105" s="454" t="n"/>
      <c r="G105" s="454" t="n"/>
      <c r="H105" s="454" t="n"/>
      <c r="I105" s="455" t="n"/>
      <c r="J105" s="456" t="n"/>
      <c r="K105" s="456" t="n"/>
      <c r="L105" s="457">
        <f>IF(B105="","",IF(OR(I105="",J105=""),"",I105*J105+IF(K105="",0,K105)))</f>
        <v/>
      </c>
      <c r="M105" s="456" t="n"/>
      <c r="N105" s="457">
        <f>IF(L105="","",MAX(0,L105-IF(M105="",0,M105)))</f>
        <v/>
      </c>
      <c r="O105" s="455" t="n"/>
      <c r="P105" s="457">
        <f>IF(OR(N105="",O105&lt;=0),"",ROUND(N105/O105,0))</f>
        <v/>
      </c>
      <c r="Q105" s="458">
        <f>IF(OR(H105="",O105&lt;=0),"",EOMONTH(H105,O105-1))</f>
        <v/>
      </c>
      <c r="R105" s="331" t="n"/>
      <c r="S105" s="331" t="n"/>
      <c r="T105" s="331" t="n"/>
      <c r="U105" s="456" t="n"/>
      <c r="V105" s="457">
        <f>IF($AO105&lt;&gt;"OK",0,IF(AND(DATE('Thiết lập'!$B$4,1,1)&gt;=DATE(YEAR($H105),MONTH($H105),1),DATE('Thiết lập'!$B$4,1,1)&lt;EDATE(DATE(YEAR($H105),MONTH($H105),1),$O105)),MIN($P105,MAX(0,$N105-$U105-0)),0))</f>
        <v/>
      </c>
      <c r="W105" s="457">
        <f>IF($AO105&lt;&gt;"OK",0,IF(AND(DATE('Thiết lập'!$B$4,2,1)&gt;=DATE(YEAR($H105),MONTH($H105),1),DATE('Thiết lập'!$B$4,2,1)&lt;EDATE(DATE(YEAR($H105),MONTH($H105),1),$O105)),MIN($P105,MAX(0,$N105-$U105-SUM($V105:V105))),0))</f>
        <v/>
      </c>
      <c r="X105" s="457">
        <f>IF($AO105&lt;&gt;"OK",0,IF(AND(DATE('Thiết lập'!$B$4,3,1)&gt;=DATE(YEAR($H105),MONTH($H105),1),DATE('Thiết lập'!$B$4,3,1)&lt;EDATE(DATE(YEAR($H105),MONTH($H105),1),$O105)),MIN($P105,MAX(0,$N105-$U105-SUM($V105:W105))),0))</f>
        <v/>
      </c>
      <c r="Y105" s="457">
        <f>IF($AO105&lt;&gt;"OK",0,IF(AND(DATE('Thiết lập'!$B$4,4,1)&gt;=DATE(YEAR($H105),MONTH($H105),1),DATE('Thiết lập'!$B$4,4,1)&lt;EDATE(DATE(YEAR($H105),MONTH($H105),1),$O105)),MIN($P105,MAX(0,$N105-$U105-SUM($V105:X105))),0))</f>
        <v/>
      </c>
      <c r="Z105" s="457">
        <f>IF($AO105&lt;&gt;"OK",0,IF(AND(DATE('Thiết lập'!$B$4,5,1)&gt;=DATE(YEAR($H105),MONTH($H105),1),DATE('Thiết lập'!$B$4,5,1)&lt;EDATE(DATE(YEAR($H105),MONTH($H105),1),$O105)),MIN($P105,MAX(0,$N105-$U105-SUM($V105:Y105))),0))</f>
        <v/>
      </c>
      <c r="AA105" s="457">
        <f>IF($AO105&lt;&gt;"OK",0,IF(AND(DATE('Thiết lập'!$B$4,6,1)&gt;=DATE(YEAR($H105),MONTH($H105),1),DATE('Thiết lập'!$B$4,6,1)&lt;EDATE(DATE(YEAR($H105),MONTH($H105),1),$O105)),MIN($P105,MAX(0,$N105-$U105-SUM($V105:Z105))),0))</f>
        <v/>
      </c>
      <c r="AB105" s="457">
        <f>IF($AO105&lt;&gt;"OK",0,IF(AND(DATE('Thiết lập'!$B$4,7,1)&gt;=DATE(YEAR($H105),MONTH($H105),1),DATE('Thiết lập'!$B$4,7,1)&lt;EDATE(DATE(YEAR($H105),MONTH($H105),1),$O105)),MIN($P105,MAX(0,$N105-$U105-SUM($V105:AA105))),0))</f>
        <v/>
      </c>
      <c r="AC105" s="457">
        <f>IF($AO105&lt;&gt;"OK",0,IF(AND(DATE('Thiết lập'!$B$4,8,1)&gt;=DATE(YEAR($H105),MONTH($H105),1),DATE('Thiết lập'!$B$4,8,1)&lt;EDATE(DATE(YEAR($H105),MONTH($H105),1),$O105)),MIN($P105,MAX(0,$N105-$U105-SUM($V105:AB105))),0))</f>
        <v/>
      </c>
      <c r="AD105" s="457">
        <f>IF($AO105&lt;&gt;"OK",0,IF(AND(DATE('Thiết lập'!$B$4,9,1)&gt;=DATE(YEAR($H105),MONTH($H105),1),DATE('Thiết lập'!$B$4,9,1)&lt;EDATE(DATE(YEAR($H105),MONTH($H105),1),$O105)),MIN($P105,MAX(0,$N105-$U105-SUM($V105:AC105))),0))</f>
        <v/>
      </c>
      <c r="AE105" s="457">
        <f>IF($AO105&lt;&gt;"OK",0,IF(AND(DATE('Thiết lập'!$B$4,10,1)&gt;=DATE(YEAR($H105),MONTH($H105),1),DATE('Thiết lập'!$B$4,10,1)&lt;EDATE(DATE(YEAR($H105),MONTH($H105),1),$O105)),MIN($P105,MAX(0,$N105-$U105-SUM($V105:AD105))),0))</f>
        <v/>
      </c>
      <c r="AF105" s="457">
        <f>IF($AO105&lt;&gt;"OK",0,IF(AND(DATE('Thiết lập'!$B$4,11,1)&gt;=DATE(YEAR($H105),MONTH($H105),1),DATE('Thiết lập'!$B$4,11,1)&lt;EDATE(DATE(YEAR($H105),MONTH($H105),1),$O105)),MIN($P105,MAX(0,$N105-$U105-SUM($V105:AE105))),0))</f>
        <v/>
      </c>
      <c r="AG105" s="457">
        <f>IF($AO105&lt;&gt;"OK",0,IF(AND(DATE('Thiết lập'!$B$4,12,1)&gt;=DATE(YEAR($H105),MONTH($H105),1),DATE('Thiết lập'!$B$4,12,1)&lt;EDATE(DATE(YEAR($H105),MONTH($H105),1),$O105)),MIN($P105,MAX(0,$N105-$U105-SUM($V105:AF105))),0))</f>
        <v/>
      </c>
      <c r="AH105" s="457">
        <f>IF(B105="","",SUM(V105:AG105))</f>
        <v/>
      </c>
      <c r="AI105" s="457">
        <f>IF(B105="","",MIN(N105,IF(U105="",0,U105)+AH105))</f>
        <v/>
      </c>
      <c r="AJ105" s="457">
        <f>IF(B105="","",MAX(0,L105-AI105))</f>
        <v/>
      </c>
      <c r="AK105" s="337">
        <f>IF(B105="","",IF(H105&gt;'Thiết lập'!$B$5,"Chưa khấu hao",IF(AJ105&lt;=IF(M105="",0,M105),"Đã hết khấu hao","Đang khấu hao")))</f>
        <v/>
      </c>
      <c r="AL105" s="275" t="n"/>
      <c r="AM105" s="275" t="n"/>
      <c r="AN105" s="275" t="n"/>
      <c r="AO105" s="343">
        <f>IF(B105="","",IF(COUNTIF($B$7:$B$306,B105)&gt;1,"Trùng mã TSCĐ",IF(C105="","Thiếu tên TSCĐ",IF(H105="","Thiếu ngày bắt đầu",IF(OR(I105&lt;=0,L105&lt;=0,O105&lt;=0),"Kiểm tra số lượng/nguyên giá/thời gian",IF(AND(G105&lt;&gt;"",H105&lt;G105),"Ngày KH trước ngày ghi tăng",IF(M105&gt;L105,"Giá trị thu hồi vượt nguyên giá",IF(IF(U105="",0,U105)&gt;N105,"Lũy kế đầu năm vượt GTKH","OK"))))))))</f>
        <v/>
      </c>
    </row>
    <row r="106" ht="20" customHeight="1" s="389">
      <c r="A106" s="325">
        <f>IF(B106="","",ROW()-6)</f>
        <v/>
      </c>
      <c r="B106" s="275" t="n"/>
      <c r="C106" s="275" t="n"/>
      <c r="D106" s="331" t="n"/>
      <c r="E106" s="331" t="n"/>
      <c r="F106" s="454" t="n"/>
      <c r="G106" s="454" t="n"/>
      <c r="H106" s="454" t="n"/>
      <c r="I106" s="455" t="n"/>
      <c r="J106" s="456" t="n"/>
      <c r="K106" s="456" t="n"/>
      <c r="L106" s="457">
        <f>IF(B106="","",IF(OR(I106="",J106=""),"",I106*J106+IF(K106="",0,K106)))</f>
        <v/>
      </c>
      <c r="M106" s="456" t="n"/>
      <c r="N106" s="457">
        <f>IF(L106="","",MAX(0,L106-IF(M106="",0,M106)))</f>
        <v/>
      </c>
      <c r="O106" s="455" t="n"/>
      <c r="P106" s="457">
        <f>IF(OR(N106="",O106&lt;=0),"",ROUND(N106/O106,0))</f>
        <v/>
      </c>
      <c r="Q106" s="458">
        <f>IF(OR(H106="",O106&lt;=0),"",EOMONTH(H106,O106-1))</f>
        <v/>
      </c>
      <c r="R106" s="331" t="n"/>
      <c r="S106" s="331" t="n"/>
      <c r="T106" s="331" t="n"/>
      <c r="U106" s="456" t="n"/>
      <c r="V106" s="457">
        <f>IF($AO106&lt;&gt;"OK",0,IF(AND(DATE('Thiết lập'!$B$4,1,1)&gt;=DATE(YEAR($H106),MONTH($H106),1),DATE('Thiết lập'!$B$4,1,1)&lt;EDATE(DATE(YEAR($H106),MONTH($H106),1),$O106)),MIN($P106,MAX(0,$N106-$U106-0)),0))</f>
        <v/>
      </c>
      <c r="W106" s="457">
        <f>IF($AO106&lt;&gt;"OK",0,IF(AND(DATE('Thiết lập'!$B$4,2,1)&gt;=DATE(YEAR($H106),MONTH($H106),1),DATE('Thiết lập'!$B$4,2,1)&lt;EDATE(DATE(YEAR($H106),MONTH($H106),1),$O106)),MIN($P106,MAX(0,$N106-$U106-SUM($V106:V106))),0))</f>
        <v/>
      </c>
      <c r="X106" s="457">
        <f>IF($AO106&lt;&gt;"OK",0,IF(AND(DATE('Thiết lập'!$B$4,3,1)&gt;=DATE(YEAR($H106),MONTH($H106),1),DATE('Thiết lập'!$B$4,3,1)&lt;EDATE(DATE(YEAR($H106),MONTH($H106),1),$O106)),MIN($P106,MAX(0,$N106-$U106-SUM($V106:W106))),0))</f>
        <v/>
      </c>
      <c r="Y106" s="457">
        <f>IF($AO106&lt;&gt;"OK",0,IF(AND(DATE('Thiết lập'!$B$4,4,1)&gt;=DATE(YEAR($H106),MONTH($H106),1),DATE('Thiết lập'!$B$4,4,1)&lt;EDATE(DATE(YEAR($H106),MONTH($H106),1),$O106)),MIN($P106,MAX(0,$N106-$U106-SUM($V106:X106))),0))</f>
        <v/>
      </c>
      <c r="Z106" s="457">
        <f>IF($AO106&lt;&gt;"OK",0,IF(AND(DATE('Thiết lập'!$B$4,5,1)&gt;=DATE(YEAR($H106),MONTH($H106),1),DATE('Thiết lập'!$B$4,5,1)&lt;EDATE(DATE(YEAR($H106),MONTH($H106),1),$O106)),MIN($P106,MAX(0,$N106-$U106-SUM($V106:Y106))),0))</f>
        <v/>
      </c>
      <c r="AA106" s="457">
        <f>IF($AO106&lt;&gt;"OK",0,IF(AND(DATE('Thiết lập'!$B$4,6,1)&gt;=DATE(YEAR($H106),MONTH($H106),1),DATE('Thiết lập'!$B$4,6,1)&lt;EDATE(DATE(YEAR($H106),MONTH($H106),1),$O106)),MIN($P106,MAX(0,$N106-$U106-SUM($V106:Z106))),0))</f>
        <v/>
      </c>
      <c r="AB106" s="457">
        <f>IF($AO106&lt;&gt;"OK",0,IF(AND(DATE('Thiết lập'!$B$4,7,1)&gt;=DATE(YEAR($H106),MONTH($H106),1),DATE('Thiết lập'!$B$4,7,1)&lt;EDATE(DATE(YEAR($H106),MONTH($H106),1),$O106)),MIN($P106,MAX(0,$N106-$U106-SUM($V106:AA106))),0))</f>
        <v/>
      </c>
      <c r="AC106" s="457">
        <f>IF($AO106&lt;&gt;"OK",0,IF(AND(DATE('Thiết lập'!$B$4,8,1)&gt;=DATE(YEAR($H106),MONTH($H106),1),DATE('Thiết lập'!$B$4,8,1)&lt;EDATE(DATE(YEAR($H106),MONTH($H106),1),$O106)),MIN($P106,MAX(0,$N106-$U106-SUM($V106:AB106))),0))</f>
        <v/>
      </c>
      <c r="AD106" s="457">
        <f>IF($AO106&lt;&gt;"OK",0,IF(AND(DATE('Thiết lập'!$B$4,9,1)&gt;=DATE(YEAR($H106),MONTH($H106),1),DATE('Thiết lập'!$B$4,9,1)&lt;EDATE(DATE(YEAR($H106),MONTH($H106),1),$O106)),MIN($P106,MAX(0,$N106-$U106-SUM($V106:AC106))),0))</f>
        <v/>
      </c>
      <c r="AE106" s="457">
        <f>IF($AO106&lt;&gt;"OK",0,IF(AND(DATE('Thiết lập'!$B$4,10,1)&gt;=DATE(YEAR($H106),MONTH($H106),1),DATE('Thiết lập'!$B$4,10,1)&lt;EDATE(DATE(YEAR($H106),MONTH($H106),1),$O106)),MIN($P106,MAX(0,$N106-$U106-SUM($V106:AD106))),0))</f>
        <v/>
      </c>
      <c r="AF106" s="457">
        <f>IF($AO106&lt;&gt;"OK",0,IF(AND(DATE('Thiết lập'!$B$4,11,1)&gt;=DATE(YEAR($H106),MONTH($H106),1),DATE('Thiết lập'!$B$4,11,1)&lt;EDATE(DATE(YEAR($H106),MONTH($H106),1),$O106)),MIN($P106,MAX(0,$N106-$U106-SUM($V106:AE106))),0))</f>
        <v/>
      </c>
      <c r="AG106" s="457">
        <f>IF($AO106&lt;&gt;"OK",0,IF(AND(DATE('Thiết lập'!$B$4,12,1)&gt;=DATE(YEAR($H106),MONTH($H106),1),DATE('Thiết lập'!$B$4,12,1)&lt;EDATE(DATE(YEAR($H106),MONTH($H106),1),$O106)),MIN($P106,MAX(0,$N106-$U106-SUM($V106:AF106))),0))</f>
        <v/>
      </c>
      <c r="AH106" s="457">
        <f>IF(B106="","",SUM(V106:AG106))</f>
        <v/>
      </c>
      <c r="AI106" s="457">
        <f>IF(B106="","",MIN(N106,IF(U106="",0,U106)+AH106))</f>
        <v/>
      </c>
      <c r="AJ106" s="457">
        <f>IF(B106="","",MAX(0,L106-AI106))</f>
        <v/>
      </c>
      <c r="AK106" s="337">
        <f>IF(B106="","",IF(H106&gt;'Thiết lập'!$B$5,"Chưa khấu hao",IF(AJ106&lt;=IF(M106="",0,M106),"Đã hết khấu hao","Đang khấu hao")))</f>
        <v/>
      </c>
      <c r="AL106" s="275" t="n"/>
      <c r="AM106" s="275" t="n"/>
      <c r="AN106" s="275" t="n"/>
      <c r="AO106" s="343">
        <f>IF(B106="","",IF(COUNTIF($B$7:$B$306,B106)&gt;1,"Trùng mã TSCĐ",IF(C106="","Thiếu tên TSCĐ",IF(H106="","Thiếu ngày bắt đầu",IF(OR(I106&lt;=0,L106&lt;=0,O106&lt;=0),"Kiểm tra số lượng/nguyên giá/thời gian",IF(AND(G106&lt;&gt;"",H106&lt;G106),"Ngày KH trước ngày ghi tăng",IF(M106&gt;L106,"Giá trị thu hồi vượt nguyên giá",IF(IF(U106="",0,U106)&gt;N106,"Lũy kế đầu năm vượt GTKH","OK"))))))))</f>
        <v/>
      </c>
    </row>
    <row r="107" ht="20" customHeight="1" s="389">
      <c r="A107" s="325">
        <f>IF(B107="","",ROW()-6)</f>
        <v/>
      </c>
      <c r="B107" s="275" t="n"/>
      <c r="C107" s="275" t="n"/>
      <c r="D107" s="331" t="n"/>
      <c r="E107" s="331" t="n"/>
      <c r="F107" s="454" t="n"/>
      <c r="G107" s="454" t="n"/>
      <c r="H107" s="454" t="n"/>
      <c r="I107" s="455" t="n"/>
      <c r="J107" s="456" t="n"/>
      <c r="K107" s="456" t="n"/>
      <c r="L107" s="457">
        <f>IF(B107="","",IF(OR(I107="",J107=""),"",I107*J107+IF(K107="",0,K107)))</f>
        <v/>
      </c>
      <c r="M107" s="456" t="n"/>
      <c r="N107" s="457">
        <f>IF(L107="","",MAX(0,L107-IF(M107="",0,M107)))</f>
        <v/>
      </c>
      <c r="O107" s="455" t="n"/>
      <c r="P107" s="457">
        <f>IF(OR(N107="",O107&lt;=0),"",ROUND(N107/O107,0))</f>
        <v/>
      </c>
      <c r="Q107" s="458">
        <f>IF(OR(H107="",O107&lt;=0),"",EOMONTH(H107,O107-1))</f>
        <v/>
      </c>
      <c r="R107" s="331" t="n"/>
      <c r="S107" s="331" t="n"/>
      <c r="T107" s="331" t="n"/>
      <c r="U107" s="456" t="n"/>
      <c r="V107" s="457">
        <f>IF($AO107&lt;&gt;"OK",0,IF(AND(DATE('Thiết lập'!$B$4,1,1)&gt;=DATE(YEAR($H107),MONTH($H107),1),DATE('Thiết lập'!$B$4,1,1)&lt;EDATE(DATE(YEAR($H107),MONTH($H107),1),$O107)),MIN($P107,MAX(0,$N107-$U107-0)),0))</f>
        <v/>
      </c>
      <c r="W107" s="457">
        <f>IF($AO107&lt;&gt;"OK",0,IF(AND(DATE('Thiết lập'!$B$4,2,1)&gt;=DATE(YEAR($H107),MONTH($H107),1),DATE('Thiết lập'!$B$4,2,1)&lt;EDATE(DATE(YEAR($H107),MONTH($H107),1),$O107)),MIN($P107,MAX(0,$N107-$U107-SUM($V107:V107))),0))</f>
        <v/>
      </c>
      <c r="X107" s="457">
        <f>IF($AO107&lt;&gt;"OK",0,IF(AND(DATE('Thiết lập'!$B$4,3,1)&gt;=DATE(YEAR($H107),MONTH($H107),1),DATE('Thiết lập'!$B$4,3,1)&lt;EDATE(DATE(YEAR($H107),MONTH($H107),1),$O107)),MIN($P107,MAX(0,$N107-$U107-SUM($V107:W107))),0))</f>
        <v/>
      </c>
      <c r="Y107" s="457">
        <f>IF($AO107&lt;&gt;"OK",0,IF(AND(DATE('Thiết lập'!$B$4,4,1)&gt;=DATE(YEAR($H107),MONTH($H107),1),DATE('Thiết lập'!$B$4,4,1)&lt;EDATE(DATE(YEAR($H107),MONTH($H107),1),$O107)),MIN($P107,MAX(0,$N107-$U107-SUM($V107:X107))),0))</f>
        <v/>
      </c>
      <c r="Z107" s="457">
        <f>IF($AO107&lt;&gt;"OK",0,IF(AND(DATE('Thiết lập'!$B$4,5,1)&gt;=DATE(YEAR($H107),MONTH($H107),1),DATE('Thiết lập'!$B$4,5,1)&lt;EDATE(DATE(YEAR($H107),MONTH($H107),1),$O107)),MIN($P107,MAX(0,$N107-$U107-SUM($V107:Y107))),0))</f>
        <v/>
      </c>
      <c r="AA107" s="457">
        <f>IF($AO107&lt;&gt;"OK",0,IF(AND(DATE('Thiết lập'!$B$4,6,1)&gt;=DATE(YEAR($H107),MONTH($H107),1),DATE('Thiết lập'!$B$4,6,1)&lt;EDATE(DATE(YEAR($H107),MONTH($H107),1),$O107)),MIN($P107,MAX(0,$N107-$U107-SUM($V107:Z107))),0))</f>
        <v/>
      </c>
      <c r="AB107" s="457">
        <f>IF($AO107&lt;&gt;"OK",0,IF(AND(DATE('Thiết lập'!$B$4,7,1)&gt;=DATE(YEAR($H107),MONTH($H107),1),DATE('Thiết lập'!$B$4,7,1)&lt;EDATE(DATE(YEAR($H107),MONTH($H107),1),$O107)),MIN($P107,MAX(0,$N107-$U107-SUM($V107:AA107))),0))</f>
        <v/>
      </c>
      <c r="AC107" s="457">
        <f>IF($AO107&lt;&gt;"OK",0,IF(AND(DATE('Thiết lập'!$B$4,8,1)&gt;=DATE(YEAR($H107),MONTH($H107),1),DATE('Thiết lập'!$B$4,8,1)&lt;EDATE(DATE(YEAR($H107),MONTH($H107),1),$O107)),MIN($P107,MAX(0,$N107-$U107-SUM($V107:AB107))),0))</f>
        <v/>
      </c>
      <c r="AD107" s="457">
        <f>IF($AO107&lt;&gt;"OK",0,IF(AND(DATE('Thiết lập'!$B$4,9,1)&gt;=DATE(YEAR($H107),MONTH($H107),1),DATE('Thiết lập'!$B$4,9,1)&lt;EDATE(DATE(YEAR($H107),MONTH($H107),1),$O107)),MIN($P107,MAX(0,$N107-$U107-SUM($V107:AC107))),0))</f>
        <v/>
      </c>
      <c r="AE107" s="457">
        <f>IF($AO107&lt;&gt;"OK",0,IF(AND(DATE('Thiết lập'!$B$4,10,1)&gt;=DATE(YEAR($H107),MONTH($H107),1),DATE('Thiết lập'!$B$4,10,1)&lt;EDATE(DATE(YEAR($H107),MONTH($H107),1),$O107)),MIN($P107,MAX(0,$N107-$U107-SUM($V107:AD107))),0))</f>
        <v/>
      </c>
      <c r="AF107" s="457">
        <f>IF($AO107&lt;&gt;"OK",0,IF(AND(DATE('Thiết lập'!$B$4,11,1)&gt;=DATE(YEAR($H107),MONTH($H107),1),DATE('Thiết lập'!$B$4,11,1)&lt;EDATE(DATE(YEAR($H107),MONTH($H107),1),$O107)),MIN($P107,MAX(0,$N107-$U107-SUM($V107:AE107))),0))</f>
        <v/>
      </c>
      <c r="AG107" s="457">
        <f>IF($AO107&lt;&gt;"OK",0,IF(AND(DATE('Thiết lập'!$B$4,12,1)&gt;=DATE(YEAR($H107),MONTH($H107),1),DATE('Thiết lập'!$B$4,12,1)&lt;EDATE(DATE(YEAR($H107),MONTH($H107),1),$O107)),MIN($P107,MAX(0,$N107-$U107-SUM($V107:AF107))),0))</f>
        <v/>
      </c>
      <c r="AH107" s="457">
        <f>IF(B107="","",SUM(V107:AG107))</f>
        <v/>
      </c>
      <c r="AI107" s="457">
        <f>IF(B107="","",MIN(N107,IF(U107="",0,U107)+AH107))</f>
        <v/>
      </c>
      <c r="AJ107" s="457">
        <f>IF(B107="","",MAX(0,L107-AI107))</f>
        <v/>
      </c>
      <c r="AK107" s="337">
        <f>IF(B107="","",IF(H107&gt;'Thiết lập'!$B$5,"Chưa khấu hao",IF(AJ107&lt;=IF(M107="",0,M107),"Đã hết khấu hao","Đang khấu hao")))</f>
        <v/>
      </c>
      <c r="AL107" s="275" t="n"/>
      <c r="AM107" s="275" t="n"/>
      <c r="AN107" s="275" t="n"/>
      <c r="AO107" s="343">
        <f>IF(B107="","",IF(COUNTIF($B$7:$B$306,B107)&gt;1,"Trùng mã TSCĐ",IF(C107="","Thiếu tên TSCĐ",IF(H107="","Thiếu ngày bắt đầu",IF(OR(I107&lt;=0,L107&lt;=0,O107&lt;=0),"Kiểm tra số lượng/nguyên giá/thời gian",IF(AND(G107&lt;&gt;"",H107&lt;G107),"Ngày KH trước ngày ghi tăng",IF(M107&gt;L107,"Giá trị thu hồi vượt nguyên giá",IF(IF(U107="",0,U107)&gt;N107,"Lũy kế đầu năm vượt GTKH","OK"))))))))</f>
        <v/>
      </c>
    </row>
    <row r="108" ht="20" customHeight="1" s="389">
      <c r="A108" s="325">
        <f>IF(B108="","",ROW()-6)</f>
        <v/>
      </c>
      <c r="B108" s="275" t="n"/>
      <c r="C108" s="275" t="n"/>
      <c r="D108" s="331" t="n"/>
      <c r="E108" s="331" t="n"/>
      <c r="F108" s="454" t="n"/>
      <c r="G108" s="454" t="n"/>
      <c r="H108" s="454" t="n"/>
      <c r="I108" s="455" t="n"/>
      <c r="J108" s="456" t="n"/>
      <c r="K108" s="456" t="n"/>
      <c r="L108" s="457">
        <f>IF(B108="","",IF(OR(I108="",J108=""),"",I108*J108+IF(K108="",0,K108)))</f>
        <v/>
      </c>
      <c r="M108" s="456" t="n"/>
      <c r="N108" s="457">
        <f>IF(L108="","",MAX(0,L108-IF(M108="",0,M108)))</f>
        <v/>
      </c>
      <c r="O108" s="455" t="n"/>
      <c r="P108" s="457">
        <f>IF(OR(N108="",O108&lt;=0),"",ROUND(N108/O108,0))</f>
        <v/>
      </c>
      <c r="Q108" s="458">
        <f>IF(OR(H108="",O108&lt;=0),"",EOMONTH(H108,O108-1))</f>
        <v/>
      </c>
      <c r="R108" s="331" t="n"/>
      <c r="S108" s="331" t="n"/>
      <c r="T108" s="331" t="n"/>
      <c r="U108" s="456" t="n"/>
      <c r="V108" s="457">
        <f>IF($AO108&lt;&gt;"OK",0,IF(AND(DATE('Thiết lập'!$B$4,1,1)&gt;=DATE(YEAR($H108),MONTH($H108),1),DATE('Thiết lập'!$B$4,1,1)&lt;EDATE(DATE(YEAR($H108),MONTH($H108),1),$O108)),MIN($P108,MAX(0,$N108-$U108-0)),0))</f>
        <v/>
      </c>
      <c r="W108" s="457">
        <f>IF($AO108&lt;&gt;"OK",0,IF(AND(DATE('Thiết lập'!$B$4,2,1)&gt;=DATE(YEAR($H108),MONTH($H108),1),DATE('Thiết lập'!$B$4,2,1)&lt;EDATE(DATE(YEAR($H108),MONTH($H108),1),$O108)),MIN($P108,MAX(0,$N108-$U108-SUM($V108:V108))),0))</f>
        <v/>
      </c>
      <c r="X108" s="457">
        <f>IF($AO108&lt;&gt;"OK",0,IF(AND(DATE('Thiết lập'!$B$4,3,1)&gt;=DATE(YEAR($H108),MONTH($H108),1),DATE('Thiết lập'!$B$4,3,1)&lt;EDATE(DATE(YEAR($H108),MONTH($H108),1),$O108)),MIN($P108,MAX(0,$N108-$U108-SUM($V108:W108))),0))</f>
        <v/>
      </c>
      <c r="Y108" s="457">
        <f>IF($AO108&lt;&gt;"OK",0,IF(AND(DATE('Thiết lập'!$B$4,4,1)&gt;=DATE(YEAR($H108),MONTH($H108),1),DATE('Thiết lập'!$B$4,4,1)&lt;EDATE(DATE(YEAR($H108),MONTH($H108),1),$O108)),MIN($P108,MAX(0,$N108-$U108-SUM($V108:X108))),0))</f>
        <v/>
      </c>
      <c r="Z108" s="457">
        <f>IF($AO108&lt;&gt;"OK",0,IF(AND(DATE('Thiết lập'!$B$4,5,1)&gt;=DATE(YEAR($H108),MONTH($H108),1),DATE('Thiết lập'!$B$4,5,1)&lt;EDATE(DATE(YEAR($H108),MONTH($H108),1),$O108)),MIN($P108,MAX(0,$N108-$U108-SUM($V108:Y108))),0))</f>
        <v/>
      </c>
      <c r="AA108" s="457">
        <f>IF($AO108&lt;&gt;"OK",0,IF(AND(DATE('Thiết lập'!$B$4,6,1)&gt;=DATE(YEAR($H108),MONTH($H108),1),DATE('Thiết lập'!$B$4,6,1)&lt;EDATE(DATE(YEAR($H108),MONTH($H108),1),$O108)),MIN($P108,MAX(0,$N108-$U108-SUM($V108:Z108))),0))</f>
        <v/>
      </c>
      <c r="AB108" s="457">
        <f>IF($AO108&lt;&gt;"OK",0,IF(AND(DATE('Thiết lập'!$B$4,7,1)&gt;=DATE(YEAR($H108),MONTH($H108),1),DATE('Thiết lập'!$B$4,7,1)&lt;EDATE(DATE(YEAR($H108),MONTH($H108),1),$O108)),MIN($P108,MAX(0,$N108-$U108-SUM($V108:AA108))),0))</f>
        <v/>
      </c>
      <c r="AC108" s="457">
        <f>IF($AO108&lt;&gt;"OK",0,IF(AND(DATE('Thiết lập'!$B$4,8,1)&gt;=DATE(YEAR($H108),MONTH($H108),1),DATE('Thiết lập'!$B$4,8,1)&lt;EDATE(DATE(YEAR($H108),MONTH($H108),1),$O108)),MIN($P108,MAX(0,$N108-$U108-SUM($V108:AB108))),0))</f>
        <v/>
      </c>
      <c r="AD108" s="457">
        <f>IF($AO108&lt;&gt;"OK",0,IF(AND(DATE('Thiết lập'!$B$4,9,1)&gt;=DATE(YEAR($H108),MONTH($H108),1),DATE('Thiết lập'!$B$4,9,1)&lt;EDATE(DATE(YEAR($H108),MONTH($H108),1),$O108)),MIN($P108,MAX(0,$N108-$U108-SUM($V108:AC108))),0))</f>
        <v/>
      </c>
      <c r="AE108" s="457">
        <f>IF($AO108&lt;&gt;"OK",0,IF(AND(DATE('Thiết lập'!$B$4,10,1)&gt;=DATE(YEAR($H108),MONTH($H108),1),DATE('Thiết lập'!$B$4,10,1)&lt;EDATE(DATE(YEAR($H108),MONTH($H108),1),$O108)),MIN($P108,MAX(0,$N108-$U108-SUM($V108:AD108))),0))</f>
        <v/>
      </c>
      <c r="AF108" s="457">
        <f>IF($AO108&lt;&gt;"OK",0,IF(AND(DATE('Thiết lập'!$B$4,11,1)&gt;=DATE(YEAR($H108),MONTH($H108),1),DATE('Thiết lập'!$B$4,11,1)&lt;EDATE(DATE(YEAR($H108),MONTH($H108),1),$O108)),MIN($P108,MAX(0,$N108-$U108-SUM($V108:AE108))),0))</f>
        <v/>
      </c>
      <c r="AG108" s="457">
        <f>IF($AO108&lt;&gt;"OK",0,IF(AND(DATE('Thiết lập'!$B$4,12,1)&gt;=DATE(YEAR($H108),MONTH($H108),1),DATE('Thiết lập'!$B$4,12,1)&lt;EDATE(DATE(YEAR($H108),MONTH($H108),1),$O108)),MIN($P108,MAX(0,$N108-$U108-SUM($V108:AF108))),0))</f>
        <v/>
      </c>
      <c r="AH108" s="457">
        <f>IF(B108="","",SUM(V108:AG108))</f>
        <v/>
      </c>
      <c r="AI108" s="457">
        <f>IF(B108="","",MIN(N108,IF(U108="",0,U108)+AH108))</f>
        <v/>
      </c>
      <c r="AJ108" s="457">
        <f>IF(B108="","",MAX(0,L108-AI108))</f>
        <v/>
      </c>
      <c r="AK108" s="337">
        <f>IF(B108="","",IF(H108&gt;'Thiết lập'!$B$5,"Chưa khấu hao",IF(AJ108&lt;=IF(M108="",0,M108),"Đã hết khấu hao","Đang khấu hao")))</f>
        <v/>
      </c>
      <c r="AL108" s="275" t="n"/>
      <c r="AM108" s="275" t="n"/>
      <c r="AN108" s="275" t="n"/>
      <c r="AO108" s="343">
        <f>IF(B108="","",IF(COUNTIF($B$7:$B$306,B108)&gt;1,"Trùng mã TSCĐ",IF(C108="","Thiếu tên TSCĐ",IF(H108="","Thiếu ngày bắt đầu",IF(OR(I108&lt;=0,L108&lt;=0,O108&lt;=0),"Kiểm tra số lượng/nguyên giá/thời gian",IF(AND(G108&lt;&gt;"",H108&lt;G108),"Ngày KH trước ngày ghi tăng",IF(M108&gt;L108,"Giá trị thu hồi vượt nguyên giá",IF(IF(U108="",0,U108)&gt;N108,"Lũy kế đầu năm vượt GTKH","OK"))))))))</f>
        <v/>
      </c>
    </row>
    <row r="109" ht="20" customHeight="1" s="389">
      <c r="A109" s="325">
        <f>IF(B109="","",ROW()-6)</f>
        <v/>
      </c>
      <c r="B109" s="275" t="n"/>
      <c r="C109" s="275" t="n"/>
      <c r="D109" s="331" t="n"/>
      <c r="E109" s="331" t="n"/>
      <c r="F109" s="454" t="n"/>
      <c r="G109" s="454" t="n"/>
      <c r="H109" s="454" t="n"/>
      <c r="I109" s="455" t="n"/>
      <c r="J109" s="456" t="n"/>
      <c r="K109" s="456" t="n"/>
      <c r="L109" s="457">
        <f>IF(B109="","",IF(OR(I109="",J109=""),"",I109*J109+IF(K109="",0,K109)))</f>
        <v/>
      </c>
      <c r="M109" s="456" t="n"/>
      <c r="N109" s="457">
        <f>IF(L109="","",MAX(0,L109-IF(M109="",0,M109)))</f>
        <v/>
      </c>
      <c r="O109" s="455" t="n"/>
      <c r="P109" s="457">
        <f>IF(OR(N109="",O109&lt;=0),"",ROUND(N109/O109,0))</f>
        <v/>
      </c>
      <c r="Q109" s="458">
        <f>IF(OR(H109="",O109&lt;=0),"",EOMONTH(H109,O109-1))</f>
        <v/>
      </c>
      <c r="R109" s="331" t="n"/>
      <c r="S109" s="331" t="n"/>
      <c r="T109" s="331" t="n"/>
      <c r="U109" s="456" t="n"/>
      <c r="V109" s="457">
        <f>IF($AO109&lt;&gt;"OK",0,IF(AND(DATE('Thiết lập'!$B$4,1,1)&gt;=DATE(YEAR($H109),MONTH($H109),1),DATE('Thiết lập'!$B$4,1,1)&lt;EDATE(DATE(YEAR($H109),MONTH($H109),1),$O109)),MIN($P109,MAX(0,$N109-$U109-0)),0))</f>
        <v/>
      </c>
      <c r="W109" s="457">
        <f>IF($AO109&lt;&gt;"OK",0,IF(AND(DATE('Thiết lập'!$B$4,2,1)&gt;=DATE(YEAR($H109),MONTH($H109),1),DATE('Thiết lập'!$B$4,2,1)&lt;EDATE(DATE(YEAR($H109),MONTH($H109),1),$O109)),MIN($P109,MAX(0,$N109-$U109-SUM($V109:V109))),0))</f>
        <v/>
      </c>
      <c r="X109" s="457">
        <f>IF($AO109&lt;&gt;"OK",0,IF(AND(DATE('Thiết lập'!$B$4,3,1)&gt;=DATE(YEAR($H109),MONTH($H109),1),DATE('Thiết lập'!$B$4,3,1)&lt;EDATE(DATE(YEAR($H109),MONTH($H109),1),$O109)),MIN($P109,MAX(0,$N109-$U109-SUM($V109:W109))),0))</f>
        <v/>
      </c>
      <c r="Y109" s="457">
        <f>IF($AO109&lt;&gt;"OK",0,IF(AND(DATE('Thiết lập'!$B$4,4,1)&gt;=DATE(YEAR($H109),MONTH($H109),1),DATE('Thiết lập'!$B$4,4,1)&lt;EDATE(DATE(YEAR($H109),MONTH($H109),1),$O109)),MIN($P109,MAX(0,$N109-$U109-SUM($V109:X109))),0))</f>
        <v/>
      </c>
      <c r="Z109" s="457">
        <f>IF($AO109&lt;&gt;"OK",0,IF(AND(DATE('Thiết lập'!$B$4,5,1)&gt;=DATE(YEAR($H109),MONTH($H109),1),DATE('Thiết lập'!$B$4,5,1)&lt;EDATE(DATE(YEAR($H109),MONTH($H109),1),$O109)),MIN($P109,MAX(0,$N109-$U109-SUM($V109:Y109))),0))</f>
        <v/>
      </c>
      <c r="AA109" s="457">
        <f>IF($AO109&lt;&gt;"OK",0,IF(AND(DATE('Thiết lập'!$B$4,6,1)&gt;=DATE(YEAR($H109),MONTH($H109),1),DATE('Thiết lập'!$B$4,6,1)&lt;EDATE(DATE(YEAR($H109),MONTH($H109),1),$O109)),MIN($P109,MAX(0,$N109-$U109-SUM($V109:Z109))),0))</f>
        <v/>
      </c>
      <c r="AB109" s="457">
        <f>IF($AO109&lt;&gt;"OK",0,IF(AND(DATE('Thiết lập'!$B$4,7,1)&gt;=DATE(YEAR($H109),MONTH($H109),1),DATE('Thiết lập'!$B$4,7,1)&lt;EDATE(DATE(YEAR($H109),MONTH($H109),1),$O109)),MIN($P109,MAX(0,$N109-$U109-SUM($V109:AA109))),0))</f>
        <v/>
      </c>
      <c r="AC109" s="457">
        <f>IF($AO109&lt;&gt;"OK",0,IF(AND(DATE('Thiết lập'!$B$4,8,1)&gt;=DATE(YEAR($H109),MONTH($H109),1),DATE('Thiết lập'!$B$4,8,1)&lt;EDATE(DATE(YEAR($H109),MONTH($H109),1),$O109)),MIN($P109,MAX(0,$N109-$U109-SUM($V109:AB109))),0))</f>
        <v/>
      </c>
      <c r="AD109" s="457">
        <f>IF($AO109&lt;&gt;"OK",0,IF(AND(DATE('Thiết lập'!$B$4,9,1)&gt;=DATE(YEAR($H109),MONTH($H109),1),DATE('Thiết lập'!$B$4,9,1)&lt;EDATE(DATE(YEAR($H109),MONTH($H109),1),$O109)),MIN($P109,MAX(0,$N109-$U109-SUM($V109:AC109))),0))</f>
        <v/>
      </c>
      <c r="AE109" s="457">
        <f>IF($AO109&lt;&gt;"OK",0,IF(AND(DATE('Thiết lập'!$B$4,10,1)&gt;=DATE(YEAR($H109),MONTH($H109),1),DATE('Thiết lập'!$B$4,10,1)&lt;EDATE(DATE(YEAR($H109),MONTH($H109),1),$O109)),MIN($P109,MAX(0,$N109-$U109-SUM($V109:AD109))),0))</f>
        <v/>
      </c>
      <c r="AF109" s="457">
        <f>IF($AO109&lt;&gt;"OK",0,IF(AND(DATE('Thiết lập'!$B$4,11,1)&gt;=DATE(YEAR($H109),MONTH($H109),1),DATE('Thiết lập'!$B$4,11,1)&lt;EDATE(DATE(YEAR($H109),MONTH($H109),1),$O109)),MIN($P109,MAX(0,$N109-$U109-SUM($V109:AE109))),0))</f>
        <v/>
      </c>
      <c r="AG109" s="457">
        <f>IF($AO109&lt;&gt;"OK",0,IF(AND(DATE('Thiết lập'!$B$4,12,1)&gt;=DATE(YEAR($H109),MONTH($H109),1),DATE('Thiết lập'!$B$4,12,1)&lt;EDATE(DATE(YEAR($H109),MONTH($H109),1),$O109)),MIN($P109,MAX(0,$N109-$U109-SUM($V109:AF109))),0))</f>
        <v/>
      </c>
      <c r="AH109" s="457">
        <f>IF(B109="","",SUM(V109:AG109))</f>
        <v/>
      </c>
      <c r="AI109" s="457">
        <f>IF(B109="","",MIN(N109,IF(U109="",0,U109)+AH109))</f>
        <v/>
      </c>
      <c r="AJ109" s="457">
        <f>IF(B109="","",MAX(0,L109-AI109))</f>
        <v/>
      </c>
      <c r="AK109" s="337">
        <f>IF(B109="","",IF(H109&gt;'Thiết lập'!$B$5,"Chưa khấu hao",IF(AJ109&lt;=IF(M109="",0,M109),"Đã hết khấu hao","Đang khấu hao")))</f>
        <v/>
      </c>
      <c r="AL109" s="275" t="n"/>
      <c r="AM109" s="275" t="n"/>
      <c r="AN109" s="275" t="n"/>
      <c r="AO109" s="343">
        <f>IF(B109="","",IF(COUNTIF($B$7:$B$306,B109)&gt;1,"Trùng mã TSCĐ",IF(C109="","Thiếu tên TSCĐ",IF(H109="","Thiếu ngày bắt đầu",IF(OR(I109&lt;=0,L109&lt;=0,O109&lt;=0),"Kiểm tra số lượng/nguyên giá/thời gian",IF(AND(G109&lt;&gt;"",H109&lt;G109),"Ngày KH trước ngày ghi tăng",IF(M109&gt;L109,"Giá trị thu hồi vượt nguyên giá",IF(IF(U109="",0,U109)&gt;N109,"Lũy kế đầu năm vượt GTKH","OK"))))))))</f>
        <v/>
      </c>
    </row>
    <row r="110" ht="20" customHeight="1" s="389">
      <c r="A110" s="325">
        <f>IF(B110="","",ROW()-6)</f>
        <v/>
      </c>
      <c r="B110" s="275" t="n"/>
      <c r="C110" s="275" t="n"/>
      <c r="D110" s="331" t="n"/>
      <c r="E110" s="331" t="n"/>
      <c r="F110" s="454" t="n"/>
      <c r="G110" s="454" t="n"/>
      <c r="H110" s="454" t="n"/>
      <c r="I110" s="455" t="n"/>
      <c r="J110" s="456" t="n"/>
      <c r="K110" s="456" t="n"/>
      <c r="L110" s="457">
        <f>IF(B110="","",IF(OR(I110="",J110=""),"",I110*J110+IF(K110="",0,K110)))</f>
        <v/>
      </c>
      <c r="M110" s="456" t="n"/>
      <c r="N110" s="457">
        <f>IF(L110="","",MAX(0,L110-IF(M110="",0,M110)))</f>
        <v/>
      </c>
      <c r="O110" s="455" t="n"/>
      <c r="P110" s="457">
        <f>IF(OR(N110="",O110&lt;=0),"",ROUND(N110/O110,0))</f>
        <v/>
      </c>
      <c r="Q110" s="458">
        <f>IF(OR(H110="",O110&lt;=0),"",EOMONTH(H110,O110-1))</f>
        <v/>
      </c>
      <c r="R110" s="331" t="n"/>
      <c r="S110" s="331" t="n"/>
      <c r="T110" s="331" t="n"/>
      <c r="U110" s="456" t="n"/>
      <c r="V110" s="457">
        <f>IF($AO110&lt;&gt;"OK",0,IF(AND(DATE('Thiết lập'!$B$4,1,1)&gt;=DATE(YEAR($H110),MONTH($H110),1),DATE('Thiết lập'!$B$4,1,1)&lt;EDATE(DATE(YEAR($H110),MONTH($H110),1),$O110)),MIN($P110,MAX(0,$N110-$U110-0)),0))</f>
        <v/>
      </c>
      <c r="W110" s="457">
        <f>IF($AO110&lt;&gt;"OK",0,IF(AND(DATE('Thiết lập'!$B$4,2,1)&gt;=DATE(YEAR($H110),MONTH($H110),1),DATE('Thiết lập'!$B$4,2,1)&lt;EDATE(DATE(YEAR($H110),MONTH($H110),1),$O110)),MIN($P110,MAX(0,$N110-$U110-SUM($V110:V110))),0))</f>
        <v/>
      </c>
      <c r="X110" s="457">
        <f>IF($AO110&lt;&gt;"OK",0,IF(AND(DATE('Thiết lập'!$B$4,3,1)&gt;=DATE(YEAR($H110),MONTH($H110),1),DATE('Thiết lập'!$B$4,3,1)&lt;EDATE(DATE(YEAR($H110),MONTH($H110),1),$O110)),MIN($P110,MAX(0,$N110-$U110-SUM($V110:W110))),0))</f>
        <v/>
      </c>
      <c r="Y110" s="457">
        <f>IF($AO110&lt;&gt;"OK",0,IF(AND(DATE('Thiết lập'!$B$4,4,1)&gt;=DATE(YEAR($H110),MONTH($H110),1),DATE('Thiết lập'!$B$4,4,1)&lt;EDATE(DATE(YEAR($H110),MONTH($H110),1),$O110)),MIN($P110,MAX(0,$N110-$U110-SUM($V110:X110))),0))</f>
        <v/>
      </c>
      <c r="Z110" s="457">
        <f>IF($AO110&lt;&gt;"OK",0,IF(AND(DATE('Thiết lập'!$B$4,5,1)&gt;=DATE(YEAR($H110),MONTH($H110),1),DATE('Thiết lập'!$B$4,5,1)&lt;EDATE(DATE(YEAR($H110),MONTH($H110),1),$O110)),MIN($P110,MAX(0,$N110-$U110-SUM($V110:Y110))),0))</f>
        <v/>
      </c>
      <c r="AA110" s="457">
        <f>IF($AO110&lt;&gt;"OK",0,IF(AND(DATE('Thiết lập'!$B$4,6,1)&gt;=DATE(YEAR($H110),MONTH($H110),1),DATE('Thiết lập'!$B$4,6,1)&lt;EDATE(DATE(YEAR($H110),MONTH($H110),1),$O110)),MIN($P110,MAX(0,$N110-$U110-SUM($V110:Z110))),0))</f>
        <v/>
      </c>
      <c r="AB110" s="457">
        <f>IF($AO110&lt;&gt;"OK",0,IF(AND(DATE('Thiết lập'!$B$4,7,1)&gt;=DATE(YEAR($H110),MONTH($H110),1),DATE('Thiết lập'!$B$4,7,1)&lt;EDATE(DATE(YEAR($H110),MONTH($H110),1),$O110)),MIN($P110,MAX(0,$N110-$U110-SUM($V110:AA110))),0))</f>
        <v/>
      </c>
      <c r="AC110" s="457">
        <f>IF($AO110&lt;&gt;"OK",0,IF(AND(DATE('Thiết lập'!$B$4,8,1)&gt;=DATE(YEAR($H110),MONTH($H110),1),DATE('Thiết lập'!$B$4,8,1)&lt;EDATE(DATE(YEAR($H110),MONTH($H110),1),$O110)),MIN($P110,MAX(0,$N110-$U110-SUM($V110:AB110))),0))</f>
        <v/>
      </c>
      <c r="AD110" s="457">
        <f>IF($AO110&lt;&gt;"OK",0,IF(AND(DATE('Thiết lập'!$B$4,9,1)&gt;=DATE(YEAR($H110),MONTH($H110),1),DATE('Thiết lập'!$B$4,9,1)&lt;EDATE(DATE(YEAR($H110),MONTH($H110),1),$O110)),MIN($P110,MAX(0,$N110-$U110-SUM($V110:AC110))),0))</f>
        <v/>
      </c>
      <c r="AE110" s="457">
        <f>IF($AO110&lt;&gt;"OK",0,IF(AND(DATE('Thiết lập'!$B$4,10,1)&gt;=DATE(YEAR($H110),MONTH($H110),1),DATE('Thiết lập'!$B$4,10,1)&lt;EDATE(DATE(YEAR($H110),MONTH($H110),1),$O110)),MIN($P110,MAX(0,$N110-$U110-SUM($V110:AD110))),0))</f>
        <v/>
      </c>
      <c r="AF110" s="457">
        <f>IF($AO110&lt;&gt;"OK",0,IF(AND(DATE('Thiết lập'!$B$4,11,1)&gt;=DATE(YEAR($H110),MONTH($H110),1),DATE('Thiết lập'!$B$4,11,1)&lt;EDATE(DATE(YEAR($H110),MONTH($H110),1),$O110)),MIN($P110,MAX(0,$N110-$U110-SUM($V110:AE110))),0))</f>
        <v/>
      </c>
      <c r="AG110" s="457">
        <f>IF($AO110&lt;&gt;"OK",0,IF(AND(DATE('Thiết lập'!$B$4,12,1)&gt;=DATE(YEAR($H110),MONTH($H110),1),DATE('Thiết lập'!$B$4,12,1)&lt;EDATE(DATE(YEAR($H110),MONTH($H110),1),$O110)),MIN($P110,MAX(0,$N110-$U110-SUM($V110:AF110))),0))</f>
        <v/>
      </c>
      <c r="AH110" s="457">
        <f>IF(B110="","",SUM(V110:AG110))</f>
        <v/>
      </c>
      <c r="AI110" s="457">
        <f>IF(B110="","",MIN(N110,IF(U110="",0,U110)+AH110))</f>
        <v/>
      </c>
      <c r="AJ110" s="457">
        <f>IF(B110="","",MAX(0,L110-AI110))</f>
        <v/>
      </c>
      <c r="AK110" s="337">
        <f>IF(B110="","",IF(H110&gt;'Thiết lập'!$B$5,"Chưa khấu hao",IF(AJ110&lt;=IF(M110="",0,M110),"Đã hết khấu hao","Đang khấu hao")))</f>
        <v/>
      </c>
      <c r="AL110" s="275" t="n"/>
      <c r="AM110" s="275" t="n"/>
      <c r="AN110" s="275" t="n"/>
      <c r="AO110" s="343">
        <f>IF(B110="","",IF(COUNTIF($B$7:$B$306,B110)&gt;1,"Trùng mã TSCĐ",IF(C110="","Thiếu tên TSCĐ",IF(H110="","Thiếu ngày bắt đầu",IF(OR(I110&lt;=0,L110&lt;=0,O110&lt;=0),"Kiểm tra số lượng/nguyên giá/thời gian",IF(AND(G110&lt;&gt;"",H110&lt;G110),"Ngày KH trước ngày ghi tăng",IF(M110&gt;L110,"Giá trị thu hồi vượt nguyên giá",IF(IF(U110="",0,U110)&gt;N110,"Lũy kế đầu năm vượt GTKH","OK"))))))))</f>
        <v/>
      </c>
    </row>
    <row r="111" ht="20" customHeight="1" s="389">
      <c r="A111" s="325">
        <f>IF(B111="","",ROW()-6)</f>
        <v/>
      </c>
      <c r="B111" s="275" t="n"/>
      <c r="C111" s="275" t="n"/>
      <c r="D111" s="331" t="n"/>
      <c r="E111" s="331" t="n"/>
      <c r="F111" s="454" t="n"/>
      <c r="G111" s="454" t="n"/>
      <c r="H111" s="454" t="n"/>
      <c r="I111" s="455" t="n"/>
      <c r="J111" s="456" t="n"/>
      <c r="K111" s="456" t="n"/>
      <c r="L111" s="457">
        <f>IF(B111="","",IF(OR(I111="",J111=""),"",I111*J111+IF(K111="",0,K111)))</f>
        <v/>
      </c>
      <c r="M111" s="456" t="n"/>
      <c r="N111" s="457">
        <f>IF(L111="","",MAX(0,L111-IF(M111="",0,M111)))</f>
        <v/>
      </c>
      <c r="O111" s="455" t="n"/>
      <c r="P111" s="457">
        <f>IF(OR(N111="",O111&lt;=0),"",ROUND(N111/O111,0))</f>
        <v/>
      </c>
      <c r="Q111" s="458">
        <f>IF(OR(H111="",O111&lt;=0),"",EOMONTH(H111,O111-1))</f>
        <v/>
      </c>
      <c r="R111" s="331" t="n"/>
      <c r="S111" s="331" t="n"/>
      <c r="T111" s="331" t="n"/>
      <c r="U111" s="456" t="n"/>
      <c r="V111" s="457">
        <f>IF($AO111&lt;&gt;"OK",0,IF(AND(DATE('Thiết lập'!$B$4,1,1)&gt;=DATE(YEAR($H111),MONTH($H111),1),DATE('Thiết lập'!$B$4,1,1)&lt;EDATE(DATE(YEAR($H111),MONTH($H111),1),$O111)),MIN($P111,MAX(0,$N111-$U111-0)),0))</f>
        <v/>
      </c>
      <c r="W111" s="457">
        <f>IF($AO111&lt;&gt;"OK",0,IF(AND(DATE('Thiết lập'!$B$4,2,1)&gt;=DATE(YEAR($H111),MONTH($H111),1),DATE('Thiết lập'!$B$4,2,1)&lt;EDATE(DATE(YEAR($H111),MONTH($H111),1),$O111)),MIN($P111,MAX(0,$N111-$U111-SUM($V111:V111))),0))</f>
        <v/>
      </c>
      <c r="X111" s="457">
        <f>IF($AO111&lt;&gt;"OK",0,IF(AND(DATE('Thiết lập'!$B$4,3,1)&gt;=DATE(YEAR($H111),MONTH($H111),1),DATE('Thiết lập'!$B$4,3,1)&lt;EDATE(DATE(YEAR($H111),MONTH($H111),1),$O111)),MIN($P111,MAX(0,$N111-$U111-SUM($V111:W111))),0))</f>
        <v/>
      </c>
      <c r="Y111" s="457">
        <f>IF($AO111&lt;&gt;"OK",0,IF(AND(DATE('Thiết lập'!$B$4,4,1)&gt;=DATE(YEAR($H111),MONTH($H111),1),DATE('Thiết lập'!$B$4,4,1)&lt;EDATE(DATE(YEAR($H111),MONTH($H111),1),$O111)),MIN($P111,MAX(0,$N111-$U111-SUM($V111:X111))),0))</f>
        <v/>
      </c>
      <c r="Z111" s="457">
        <f>IF($AO111&lt;&gt;"OK",0,IF(AND(DATE('Thiết lập'!$B$4,5,1)&gt;=DATE(YEAR($H111),MONTH($H111),1),DATE('Thiết lập'!$B$4,5,1)&lt;EDATE(DATE(YEAR($H111),MONTH($H111),1),$O111)),MIN($P111,MAX(0,$N111-$U111-SUM($V111:Y111))),0))</f>
        <v/>
      </c>
      <c r="AA111" s="457">
        <f>IF($AO111&lt;&gt;"OK",0,IF(AND(DATE('Thiết lập'!$B$4,6,1)&gt;=DATE(YEAR($H111),MONTH($H111),1),DATE('Thiết lập'!$B$4,6,1)&lt;EDATE(DATE(YEAR($H111),MONTH($H111),1),$O111)),MIN($P111,MAX(0,$N111-$U111-SUM($V111:Z111))),0))</f>
        <v/>
      </c>
      <c r="AB111" s="457">
        <f>IF($AO111&lt;&gt;"OK",0,IF(AND(DATE('Thiết lập'!$B$4,7,1)&gt;=DATE(YEAR($H111),MONTH($H111),1),DATE('Thiết lập'!$B$4,7,1)&lt;EDATE(DATE(YEAR($H111),MONTH($H111),1),$O111)),MIN($P111,MAX(0,$N111-$U111-SUM($V111:AA111))),0))</f>
        <v/>
      </c>
      <c r="AC111" s="457">
        <f>IF($AO111&lt;&gt;"OK",0,IF(AND(DATE('Thiết lập'!$B$4,8,1)&gt;=DATE(YEAR($H111),MONTH($H111),1),DATE('Thiết lập'!$B$4,8,1)&lt;EDATE(DATE(YEAR($H111),MONTH($H111),1),$O111)),MIN($P111,MAX(0,$N111-$U111-SUM($V111:AB111))),0))</f>
        <v/>
      </c>
      <c r="AD111" s="457">
        <f>IF($AO111&lt;&gt;"OK",0,IF(AND(DATE('Thiết lập'!$B$4,9,1)&gt;=DATE(YEAR($H111),MONTH($H111),1),DATE('Thiết lập'!$B$4,9,1)&lt;EDATE(DATE(YEAR($H111),MONTH($H111),1),$O111)),MIN($P111,MAX(0,$N111-$U111-SUM($V111:AC111))),0))</f>
        <v/>
      </c>
      <c r="AE111" s="457">
        <f>IF($AO111&lt;&gt;"OK",0,IF(AND(DATE('Thiết lập'!$B$4,10,1)&gt;=DATE(YEAR($H111),MONTH($H111),1),DATE('Thiết lập'!$B$4,10,1)&lt;EDATE(DATE(YEAR($H111),MONTH($H111),1),$O111)),MIN($P111,MAX(0,$N111-$U111-SUM($V111:AD111))),0))</f>
        <v/>
      </c>
      <c r="AF111" s="457">
        <f>IF($AO111&lt;&gt;"OK",0,IF(AND(DATE('Thiết lập'!$B$4,11,1)&gt;=DATE(YEAR($H111),MONTH($H111),1),DATE('Thiết lập'!$B$4,11,1)&lt;EDATE(DATE(YEAR($H111),MONTH($H111),1),$O111)),MIN($P111,MAX(0,$N111-$U111-SUM($V111:AE111))),0))</f>
        <v/>
      </c>
      <c r="AG111" s="457">
        <f>IF($AO111&lt;&gt;"OK",0,IF(AND(DATE('Thiết lập'!$B$4,12,1)&gt;=DATE(YEAR($H111),MONTH($H111),1),DATE('Thiết lập'!$B$4,12,1)&lt;EDATE(DATE(YEAR($H111),MONTH($H111),1),$O111)),MIN($P111,MAX(0,$N111-$U111-SUM($V111:AF111))),0))</f>
        <v/>
      </c>
      <c r="AH111" s="457">
        <f>IF(B111="","",SUM(V111:AG111))</f>
        <v/>
      </c>
      <c r="AI111" s="457">
        <f>IF(B111="","",MIN(N111,IF(U111="",0,U111)+AH111))</f>
        <v/>
      </c>
      <c r="AJ111" s="457">
        <f>IF(B111="","",MAX(0,L111-AI111))</f>
        <v/>
      </c>
      <c r="AK111" s="337">
        <f>IF(B111="","",IF(H111&gt;'Thiết lập'!$B$5,"Chưa khấu hao",IF(AJ111&lt;=IF(M111="",0,M111),"Đã hết khấu hao","Đang khấu hao")))</f>
        <v/>
      </c>
      <c r="AL111" s="275" t="n"/>
      <c r="AM111" s="275" t="n"/>
      <c r="AN111" s="275" t="n"/>
      <c r="AO111" s="343">
        <f>IF(B111="","",IF(COUNTIF($B$7:$B$306,B111)&gt;1,"Trùng mã TSCĐ",IF(C111="","Thiếu tên TSCĐ",IF(H111="","Thiếu ngày bắt đầu",IF(OR(I111&lt;=0,L111&lt;=0,O111&lt;=0),"Kiểm tra số lượng/nguyên giá/thời gian",IF(AND(G111&lt;&gt;"",H111&lt;G111),"Ngày KH trước ngày ghi tăng",IF(M111&gt;L111,"Giá trị thu hồi vượt nguyên giá",IF(IF(U111="",0,U111)&gt;N111,"Lũy kế đầu năm vượt GTKH","OK"))))))))</f>
        <v/>
      </c>
    </row>
    <row r="112" ht="20" customHeight="1" s="389">
      <c r="A112" s="325">
        <f>IF(B112="","",ROW()-6)</f>
        <v/>
      </c>
      <c r="B112" s="275" t="n"/>
      <c r="C112" s="275" t="n"/>
      <c r="D112" s="331" t="n"/>
      <c r="E112" s="331" t="n"/>
      <c r="F112" s="454" t="n"/>
      <c r="G112" s="454" t="n"/>
      <c r="H112" s="454" t="n"/>
      <c r="I112" s="455" t="n"/>
      <c r="J112" s="456" t="n"/>
      <c r="K112" s="456" t="n"/>
      <c r="L112" s="457">
        <f>IF(B112="","",IF(OR(I112="",J112=""),"",I112*J112+IF(K112="",0,K112)))</f>
        <v/>
      </c>
      <c r="M112" s="456" t="n"/>
      <c r="N112" s="457">
        <f>IF(L112="","",MAX(0,L112-IF(M112="",0,M112)))</f>
        <v/>
      </c>
      <c r="O112" s="455" t="n"/>
      <c r="P112" s="457">
        <f>IF(OR(N112="",O112&lt;=0),"",ROUND(N112/O112,0))</f>
        <v/>
      </c>
      <c r="Q112" s="458">
        <f>IF(OR(H112="",O112&lt;=0),"",EOMONTH(H112,O112-1))</f>
        <v/>
      </c>
      <c r="R112" s="331" t="n"/>
      <c r="S112" s="331" t="n"/>
      <c r="T112" s="331" t="n"/>
      <c r="U112" s="456" t="n"/>
      <c r="V112" s="457">
        <f>IF($AO112&lt;&gt;"OK",0,IF(AND(DATE('Thiết lập'!$B$4,1,1)&gt;=DATE(YEAR($H112),MONTH($H112),1),DATE('Thiết lập'!$B$4,1,1)&lt;EDATE(DATE(YEAR($H112),MONTH($H112),1),$O112)),MIN($P112,MAX(0,$N112-$U112-0)),0))</f>
        <v/>
      </c>
      <c r="W112" s="457">
        <f>IF($AO112&lt;&gt;"OK",0,IF(AND(DATE('Thiết lập'!$B$4,2,1)&gt;=DATE(YEAR($H112),MONTH($H112),1),DATE('Thiết lập'!$B$4,2,1)&lt;EDATE(DATE(YEAR($H112),MONTH($H112),1),$O112)),MIN($P112,MAX(0,$N112-$U112-SUM($V112:V112))),0))</f>
        <v/>
      </c>
      <c r="X112" s="457">
        <f>IF($AO112&lt;&gt;"OK",0,IF(AND(DATE('Thiết lập'!$B$4,3,1)&gt;=DATE(YEAR($H112),MONTH($H112),1),DATE('Thiết lập'!$B$4,3,1)&lt;EDATE(DATE(YEAR($H112),MONTH($H112),1),$O112)),MIN($P112,MAX(0,$N112-$U112-SUM($V112:W112))),0))</f>
        <v/>
      </c>
      <c r="Y112" s="457">
        <f>IF($AO112&lt;&gt;"OK",0,IF(AND(DATE('Thiết lập'!$B$4,4,1)&gt;=DATE(YEAR($H112),MONTH($H112),1),DATE('Thiết lập'!$B$4,4,1)&lt;EDATE(DATE(YEAR($H112),MONTH($H112),1),$O112)),MIN($P112,MAX(0,$N112-$U112-SUM($V112:X112))),0))</f>
        <v/>
      </c>
      <c r="Z112" s="457">
        <f>IF($AO112&lt;&gt;"OK",0,IF(AND(DATE('Thiết lập'!$B$4,5,1)&gt;=DATE(YEAR($H112),MONTH($H112),1),DATE('Thiết lập'!$B$4,5,1)&lt;EDATE(DATE(YEAR($H112),MONTH($H112),1),$O112)),MIN($P112,MAX(0,$N112-$U112-SUM($V112:Y112))),0))</f>
        <v/>
      </c>
      <c r="AA112" s="457">
        <f>IF($AO112&lt;&gt;"OK",0,IF(AND(DATE('Thiết lập'!$B$4,6,1)&gt;=DATE(YEAR($H112),MONTH($H112),1),DATE('Thiết lập'!$B$4,6,1)&lt;EDATE(DATE(YEAR($H112),MONTH($H112),1),$O112)),MIN($P112,MAX(0,$N112-$U112-SUM($V112:Z112))),0))</f>
        <v/>
      </c>
      <c r="AB112" s="457">
        <f>IF($AO112&lt;&gt;"OK",0,IF(AND(DATE('Thiết lập'!$B$4,7,1)&gt;=DATE(YEAR($H112),MONTH($H112),1),DATE('Thiết lập'!$B$4,7,1)&lt;EDATE(DATE(YEAR($H112),MONTH($H112),1),$O112)),MIN($P112,MAX(0,$N112-$U112-SUM($V112:AA112))),0))</f>
        <v/>
      </c>
      <c r="AC112" s="457">
        <f>IF($AO112&lt;&gt;"OK",0,IF(AND(DATE('Thiết lập'!$B$4,8,1)&gt;=DATE(YEAR($H112),MONTH($H112),1),DATE('Thiết lập'!$B$4,8,1)&lt;EDATE(DATE(YEAR($H112),MONTH($H112),1),$O112)),MIN($P112,MAX(0,$N112-$U112-SUM($V112:AB112))),0))</f>
        <v/>
      </c>
      <c r="AD112" s="457">
        <f>IF($AO112&lt;&gt;"OK",0,IF(AND(DATE('Thiết lập'!$B$4,9,1)&gt;=DATE(YEAR($H112),MONTH($H112),1),DATE('Thiết lập'!$B$4,9,1)&lt;EDATE(DATE(YEAR($H112),MONTH($H112),1),$O112)),MIN($P112,MAX(0,$N112-$U112-SUM($V112:AC112))),0))</f>
        <v/>
      </c>
      <c r="AE112" s="457">
        <f>IF($AO112&lt;&gt;"OK",0,IF(AND(DATE('Thiết lập'!$B$4,10,1)&gt;=DATE(YEAR($H112),MONTH($H112),1),DATE('Thiết lập'!$B$4,10,1)&lt;EDATE(DATE(YEAR($H112),MONTH($H112),1),$O112)),MIN($P112,MAX(0,$N112-$U112-SUM($V112:AD112))),0))</f>
        <v/>
      </c>
      <c r="AF112" s="457">
        <f>IF($AO112&lt;&gt;"OK",0,IF(AND(DATE('Thiết lập'!$B$4,11,1)&gt;=DATE(YEAR($H112),MONTH($H112),1),DATE('Thiết lập'!$B$4,11,1)&lt;EDATE(DATE(YEAR($H112),MONTH($H112),1),$O112)),MIN($P112,MAX(0,$N112-$U112-SUM($V112:AE112))),0))</f>
        <v/>
      </c>
      <c r="AG112" s="457">
        <f>IF($AO112&lt;&gt;"OK",0,IF(AND(DATE('Thiết lập'!$B$4,12,1)&gt;=DATE(YEAR($H112),MONTH($H112),1),DATE('Thiết lập'!$B$4,12,1)&lt;EDATE(DATE(YEAR($H112),MONTH($H112),1),$O112)),MIN($P112,MAX(0,$N112-$U112-SUM($V112:AF112))),0))</f>
        <v/>
      </c>
      <c r="AH112" s="457">
        <f>IF(B112="","",SUM(V112:AG112))</f>
        <v/>
      </c>
      <c r="AI112" s="457">
        <f>IF(B112="","",MIN(N112,IF(U112="",0,U112)+AH112))</f>
        <v/>
      </c>
      <c r="AJ112" s="457">
        <f>IF(B112="","",MAX(0,L112-AI112))</f>
        <v/>
      </c>
      <c r="AK112" s="337">
        <f>IF(B112="","",IF(H112&gt;'Thiết lập'!$B$5,"Chưa khấu hao",IF(AJ112&lt;=IF(M112="",0,M112),"Đã hết khấu hao","Đang khấu hao")))</f>
        <v/>
      </c>
      <c r="AL112" s="275" t="n"/>
      <c r="AM112" s="275" t="n"/>
      <c r="AN112" s="275" t="n"/>
      <c r="AO112" s="343">
        <f>IF(B112="","",IF(COUNTIF($B$7:$B$306,B112)&gt;1,"Trùng mã TSCĐ",IF(C112="","Thiếu tên TSCĐ",IF(H112="","Thiếu ngày bắt đầu",IF(OR(I112&lt;=0,L112&lt;=0,O112&lt;=0),"Kiểm tra số lượng/nguyên giá/thời gian",IF(AND(G112&lt;&gt;"",H112&lt;G112),"Ngày KH trước ngày ghi tăng",IF(M112&gt;L112,"Giá trị thu hồi vượt nguyên giá",IF(IF(U112="",0,U112)&gt;N112,"Lũy kế đầu năm vượt GTKH","OK"))))))))</f>
        <v/>
      </c>
    </row>
    <row r="113" ht="20" customHeight="1" s="389">
      <c r="A113" s="325">
        <f>IF(B113="","",ROW()-6)</f>
        <v/>
      </c>
      <c r="B113" s="275" t="n"/>
      <c r="C113" s="275" t="n"/>
      <c r="D113" s="331" t="n"/>
      <c r="E113" s="331" t="n"/>
      <c r="F113" s="454" t="n"/>
      <c r="G113" s="454" t="n"/>
      <c r="H113" s="454" t="n"/>
      <c r="I113" s="455" t="n"/>
      <c r="J113" s="456" t="n"/>
      <c r="K113" s="456" t="n"/>
      <c r="L113" s="457">
        <f>IF(B113="","",IF(OR(I113="",J113=""),"",I113*J113+IF(K113="",0,K113)))</f>
        <v/>
      </c>
      <c r="M113" s="456" t="n"/>
      <c r="N113" s="457">
        <f>IF(L113="","",MAX(0,L113-IF(M113="",0,M113)))</f>
        <v/>
      </c>
      <c r="O113" s="455" t="n"/>
      <c r="P113" s="457">
        <f>IF(OR(N113="",O113&lt;=0),"",ROUND(N113/O113,0))</f>
        <v/>
      </c>
      <c r="Q113" s="458">
        <f>IF(OR(H113="",O113&lt;=0),"",EOMONTH(H113,O113-1))</f>
        <v/>
      </c>
      <c r="R113" s="331" t="n"/>
      <c r="S113" s="331" t="n"/>
      <c r="T113" s="331" t="n"/>
      <c r="U113" s="456" t="n"/>
      <c r="V113" s="457">
        <f>IF($AO113&lt;&gt;"OK",0,IF(AND(DATE('Thiết lập'!$B$4,1,1)&gt;=DATE(YEAR($H113),MONTH($H113),1),DATE('Thiết lập'!$B$4,1,1)&lt;EDATE(DATE(YEAR($H113),MONTH($H113),1),$O113)),MIN($P113,MAX(0,$N113-$U113-0)),0))</f>
        <v/>
      </c>
      <c r="W113" s="457">
        <f>IF($AO113&lt;&gt;"OK",0,IF(AND(DATE('Thiết lập'!$B$4,2,1)&gt;=DATE(YEAR($H113),MONTH($H113),1),DATE('Thiết lập'!$B$4,2,1)&lt;EDATE(DATE(YEAR($H113),MONTH($H113),1),$O113)),MIN($P113,MAX(0,$N113-$U113-SUM($V113:V113))),0))</f>
        <v/>
      </c>
      <c r="X113" s="457">
        <f>IF($AO113&lt;&gt;"OK",0,IF(AND(DATE('Thiết lập'!$B$4,3,1)&gt;=DATE(YEAR($H113),MONTH($H113),1),DATE('Thiết lập'!$B$4,3,1)&lt;EDATE(DATE(YEAR($H113),MONTH($H113),1),$O113)),MIN($P113,MAX(0,$N113-$U113-SUM($V113:W113))),0))</f>
        <v/>
      </c>
      <c r="Y113" s="457">
        <f>IF($AO113&lt;&gt;"OK",0,IF(AND(DATE('Thiết lập'!$B$4,4,1)&gt;=DATE(YEAR($H113),MONTH($H113),1),DATE('Thiết lập'!$B$4,4,1)&lt;EDATE(DATE(YEAR($H113),MONTH($H113),1),$O113)),MIN($P113,MAX(0,$N113-$U113-SUM($V113:X113))),0))</f>
        <v/>
      </c>
      <c r="Z113" s="457">
        <f>IF($AO113&lt;&gt;"OK",0,IF(AND(DATE('Thiết lập'!$B$4,5,1)&gt;=DATE(YEAR($H113),MONTH($H113),1),DATE('Thiết lập'!$B$4,5,1)&lt;EDATE(DATE(YEAR($H113),MONTH($H113),1),$O113)),MIN($P113,MAX(0,$N113-$U113-SUM($V113:Y113))),0))</f>
        <v/>
      </c>
      <c r="AA113" s="457">
        <f>IF($AO113&lt;&gt;"OK",0,IF(AND(DATE('Thiết lập'!$B$4,6,1)&gt;=DATE(YEAR($H113),MONTH($H113),1),DATE('Thiết lập'!$B$4,6,1)&lt;EDATE(DATE(YEAR($H113),MONTH($H113),1),$O113)),MIN($P113,MAX(0,$N113-$U113-SUM($V113:Z113))),0))</f>
        <v/>
      </c>
      <c r="AB113" s="457">
        <f>IF($AO113&lt;&gt;"OK",0,IF(AND(DATE('Thiết lập'!$B$4,7,1)&gt;=DATE(YEAR($H113),MONTH($H113),1),DATE('Thiết lập'!$B$4,7,1)&lt;EDATE(DATE(YEAR($H113),MONTH($H113),1),$O113)),MIN($P113,MAX(0,$N113-$U113-SUM($V113:AA113))),0))</f>
        <v/>
      </c>
      <c r="AC113" s="457">
        <f>IF($AO113&lt;&gt;"OK",0,IF(AND(DATE('Thiết lập'!$B$4,8,1)&gt;=DATE(YEAR($H113),MONTH($H113),1),DATE('Thiết lập'!$B$4,8,1)&lt;EDATE(DATE(YEAR($H113),MONTH($H113),1),$O113)),MIN($P113,MAX(0,$N113-$U113-SUM($V113:AB113))),0))</f>
        <v/>
      </c>
      <c r="AD113" s="457">
        <f>IF($AO113&lt;&gt;"OK",0,IF(AND(DATE('Thiết lập'!$B$4,9,1)&gt;=DATE(YEAR($H113),MONTH($H113),1),DATE('Thiết lập'!$B$4,9,1)&lt;EDATE(DATE(YEAR($H113),MONTH($H113),1),$O113)),MIN($P113,MAX(0,$N113-$U113-SUM($V113:AC113))),0))</f>
        <v/>
      </c>
      <c r="AE113" s="457">
        <f>IF($AO113&lt;&gt;"OK",0,IF(AND(DATE('Thiết lập'!$B$4,10,1)&gt;=DATE(YEAR($H113),MONTH($H113),1),DATE('Thiết lập'!$B$4,10,1)&lt;EDATE(DATE(YEAR($H113),MONTH($H113),1),$O113)),MIN($P113,MAX(0,$N113-$U113-SUM($V113:AD113))),0))</f>
        <v/>
      </c>
      <c r="AF113" s="457">
        <f>IF($AO113&lt;&gt;"OK",0,IF(AND(DATE('Thiết lập'!$B$4,11,1)&gt;=DATE(YEAR($H113),MONTH($H113),1),DATE('Thiết lập'!$B$4,11,1)&lt;EDATE(DATE(YEAR($H113),MONTH($H113),1),$O113)),MIN($P113,MAX(0,$N113-$U113-SUM($V113:AE113))),0))</f>
        <v/>
      </c>
      <c r="AG113" s="457">
        <f>IF($AO113&lt;&gt;"OK",0,IF(AND(DATE('Thiết lập'!$B$4,12,1)&gt;=DATE(YEAR($H113),MONTH($H113),1),DATE('Thiết lập'!$B$4,12,1)&lt;EDATE(DATE(YEAR($H113),MONTH($H113),1),$O113)),MIN($P113,MAX(0,$N113-$U113-SUM($V113:AF113))),0))</f>
        <v/>
      </c>
      <c r="AH113" s="457">
        <f>IF(B113="","",SUM(V113:AG113))</f>
        <v/>
      </c>
      <c r="AI113" s="457">
        <f>IF(B113="","",MIN(N113,IF(U113="",0,U113)+AH113))</f>
        <v/>
      </c>
      <c r="AJ113" s="457">
        <f>IF(B113="","",MAX(0,L113-AI113))</f>
        <v/>
      </c>
      <c r="AK113" s="337">
        <f>IF(B113="","",IF(H113&gt;'Thiết lập'!$B$5,"Chưa khấu hao",IF(AJ113&lt;=IF(M113="",0,M113),"Đã hết khấu hao","Đang khấu hao")))</f>
        <v/>
      </c>
      <c r="AL113" s="275" t="n"/>
      <c r="AM113" s="275" t="n"/>
      <c r="AN113" s="275" t="n"/>
      <c r="AO113" s="343">
        <f>IF(B113="","",IF(COUNTIF($B$7:$B$306,B113)&gt;1,"Trùng mã TSCĐ",IF(C113="","Thiếu tên TSCĐ",IF(H113="","Thiếu ngày bắt đầu",IF(OR(I113&lt;=0,L113&lt;=0,O113&lt;=0),"Kiểm tra số lượng/nguyên giá/thời gian",IF(AND(G113&lt;&gt;"",H113&lt;G113),"Ngày KH trước ngày ghi tăng",IF(M113&gt;L113,"Giá trị thu hồi vượt nguyên giá",IF(IF(U113="",0,U113)&gt;N113,"Lũy kế đầu năm vượt GTKH","OK"))))))))</f>
        <v/>
      </c>
    </row>
    <row r="114" ht="20" customHeight="1" s="389">
      <c r="A114" s="325">
        <f>IF(B114="","",ROW()-6)</f>
        <v/>
      </c>
      <c r="B114" s="275" t="n"/>
      <c r="C114" s="275" t="n"/>
      <c r="D114" s="331" t="n"/>
      <c r="E114" s="331" t="n"/>
      <c r="F114" s="454" t="n"/>
      <c r="G114" s="454" t="n"/>
      <c r="H114" s="454" t="n"/>
      <c r="I114" s="455" t="n"/>
      <c r="J114" s="456" t="n"/>
      <c r="K114" s="456" t="n"/>
      <c r="L114" s="457">
        <f>IF(B114="","",IF(OR(I114="",J114=""),"",I114*J114+IF(K114="",0,K114)))</f>
        <v/>
      </c>
      <c r="M114" s="456" t="n"/>
      <c r="N114" s="457">
        <f>IF(L114="","",MAX(0,L114-IF(M114="",0,M114)))</f>
        <v/>
      </c>
      <c r="O114" s="455" t="n"/>
      <c r="P114" s="457">
        <f>IF(OR(N114="",O114&lt;=0),"",ROUND(N114/O114,0))</f>
        <v/>
      </c>
      <c r="Q114" s="458">
        <f>IF(OR(H114="",O114&lt;=0),"",EOMONTH(H114,O114-1))</f>
        <v/>
      </c>
      <c r="R114" s="331" t="n"/>
      <c r="S114" s="331" t="n"/>
      <c r="T114" s="331" t="n"/>
      <c r="U114" s="456" t="n"/>
      <c r="V114" s="457">
        <f>IF($AO114&lt;&gt;"OK",0,IF(AND(DATE('Thiết lập'!$B$4,1,1)&gt;=DATE(YEAR($H114),MONTH($H114),1),DATE('Thiết lập'!$B$4,1,1)&lt;EDATE(DATE(YEAR($H114),MONTH($H114),1),$O114)),MIN($P114,MAX(0,$N114-$U114-0)),0))</f>
        <v/>
      </c>
      <c r="W114" s="457">
        <f>IF($AO114&lt;&gt;"OK",0,IF(AND(DATE('Thiết lập'!$B$4,2,1)&gt;=DATE(YEAR($H114),MONTH($H114),1),DATE('Thiết lập'!$B$4,2,1)&lt;EDATE(DATE(YEAR($H114),MONTH($H114),1),$O114)),MIN($P114,MAX(0,$N114-$U114-SUM($V114:V114))),0))</f>
        <v/>
      </c>
      <c r="X114" s="457">
        <f>IF($AO114&lt;&gt;"OK",0,IF(AND(DATE('Thiết lập'!$B$4,3,1)&gt;=DATE(YEAR($H114),MONTH($H114),1),DATE('Thiết lập'!$B$4,3,1)&lt;EDATE(DATE(YEAR($H114),MONTH($H114),1),$O114)),MIN($P114,MAX(0,$N114-$U114-SUM($V114:W114))),0))</f>
        <v/>
      </c>
      <c r="Y114" s="457">
        <f>IF($AO114&lt;&gt;"OK",0,IF(AND(DATE('Thiết lập'!$B$4,4,1)&gt;=DATE(YEAR($H114),MONTH($H114),1),DATE('Thiết lập'!$B$4,4,1)&lt;EDATE(DATE(YEAR($H114),MONTH($H114),1),$O114)),MIN($P114,MAX(0,$N114-$U114-SUM($V114:X114))),0))</f>
        <v/>
      </c>
      <c r="Z114" s="457">
        <f>IF($AO114&lt;&gt;"OK",0,IF(AND(DATE('Thiết lập'!$B$4,5,1)&gt;=DATE(YEAR($H114),MONTH($H114),1),DATE('Thiết lập'!$B$4,5,1)&lt;EDATE(DATE(YEAR($H114),MONTH($H114),1),$O114)),MIN($P114,MAX(0,$N114-$U114-SUM($V114:Y114))),0))</f>
        <v/>
      </c>
      <c r="AA114" s="457">
        <f>IF($AO114&lt;&gt;"OK",0,IF(AND(DATE('Thiết lập'!$B$4,6,1)&gt;=DATE(YEAR($H114),MONTH($H114),1),DATE('Thiết lập'!$B$4,6,1)&lt;EDATE(DATE(YEAR($H114),MONTH($H114),1),$O114)),MIN($P114,MAX(0,$N114-$U114-SUM($V114:Z114))),0))</f>
        <v/>
      </c>
      <c r="AB114" s="457">
        <f>IF($AO114&lt;&gt;"OK",0,IF(AND(DATE('Thiết lập'!$B$4,7,1)&gt;=DATE(YEAR($H114),MONTH($H114),1),DATE('Thiết lập'!$B$4,7,1)&lt;EDATE(DATE(YEAR($H114),MONTH($H114),1),$O114)),MIN($P114,MAX(0,$N114-$U114-SUM($V114:AA114))),0))</f>
        <v/>
      </c>
      <c r="AC114" s="457">
        <f>IF($AO114&lt;&gt;"OK",0,IF(AND(DATE('Thiết lập'!$B$4,8,1)&gt;=DATE(YEAR($H114),MONTH($H114),1),DATE('Thiết lập'!$B$4,8,1)&lt;EDATE(DATE(YEAR($H114),MONTH($H114),1),$O114)),MIN($P114,MAX(0,$N114-$U114-SUM($V114:AB114))),0))</f>
        <v/>
      </c>
      <c r="AD114" s="457">
        <f>IF($AO114&lt;&gt;"OK",0,IF(AND(DATE('Thiết lập'!$B$4,9,1)&gt;=DATE(YEAR($H114),MONTH($H114),1),DATE('Thiết lập'!$B$4,9,1)&lt;EDATE(DATE(YEAR($H114),MONTH($H114),1),$O114)),MIN($P114,MAX(0,$N114-$U114-SUM($V114:AC114))),0))</f>
        <v/>
      </c>
      <c r="AE114" s="457">
        <f>IF($AO114&lt;&gt;"OK",0,IF(AND(DATE('Thiết lập'!$B$4,10,1)&gt;=DATE(YEAR($H114),MONTH($H114),1),DATE('Thiết lập'!$B$4,10,1)&lt;EDATE(DATE(YEAR($H114),MONTH($H114),1),$O114)),MIN($P114,MAX(0,$N114-$U114-SUM($V114:AD114))),0))</f>
        <v/>
      </c>
      <c r="AF114" s="457">
        <f>IF($AO114&lt;&gt;"OK",0,IF(AND(DATE('Thiết lập'!$B$4,11,1)&gt;=DATE(YEAR($H114),MONTH($H114),1),DATE('Thiết lập'!$B$4,11,1)&lt;EDATE(DATE(YEAR($H114),MONTH($H114),1),$O114)),MIN($P114,MAX(0,$N114-$U114-SUM($V114:AE114))),0))</f>
        <v/>
      </c>
      <c r="AG114" s="457">
        <f>IF($AO114&lt;&gt;"OK",0,IF(AND(DATE('Thiết lập'!$B$4,12,1)&gt;=DATE(YEAR($H114),MONTH($H114),1),DATE('Thiết lập'!$B$4,12,1)&lt;EDATE(DATE(YEAR($H114),MONTH($H114),1),$O114)),MIN($P114,MAX(0,$N114-$U114-SUM($V114:AF114))),0))</f>
        <v/>
      </c>
      <c r="AH114" s="457">
        <f>IF(B114="","",SUM(V114:AG114))</f>
        <v/>
      </c>
      <c r="AI114" s="457">
        <f>IF(B114="","",MIN(N114,IF(U114="",0,U114)+AH114))</f>
        <v/>
      </c>
      <c r="AJ114" s="457">
        <f>IF(B114="","",MAX(0,L114-AI114))</f>
        <v/>
      </c>
      <c r="AK114" s="337">
        <f>IF(B114="","",IF(H114&gt;'Thiết lập'!$B$5,"Chưa khấu hao",IF(AJ114&lt;=IF(M114="",0,M114),"Đã hết khấu hao","Đang khấu hao")))</f>
        <v/>
      </c>
      <c r="AL114" s="275" t="n"/>
      <c r="AM114" s="275" t="n"/>
      <c r="AN114" s="275" t="n"/>
      <c r="AO114" s="343">
        <f>IF(B114="","",IF(COUNTIF($B$7:$B$306,B114)&gt;1,"Trùng mã TSCĐ",IF(C114="","Thiếu tên TSCĐ",IF(H114="","Thiếu ngày bắt đầu",IF(OR(I114&lt;=0,L114&lt;=0,O114&lt;=0),"Kiểm tra số lượng/nguyên giá/thời gian",IF(AND(G114&lt;&gt;"",H114&lt;G114),"Ngày KH trước ngày ghi tăng",IF(M114&gt;L114,"Giá trị thu hồi vượt nguyên giá",IF(IF(U114="",0,U114)&gt;N114,"Lũy kế đầu năm vượt GTKH","OK"))))))))</f>
        <v/>
      </c>
    </row>
    <row r="115" ht="20" customHeight="1" s="389">
      <c r="A115" s="325">
        <f>IF(B115="","",ROW()-6)</f>
        <v/>
      </c>
      <c r="B115" s="275" t="n"/>
      <c r="C115" s="275" t="n"/>
      <c r="D115" s="331" t="n"/>
      <c r="E115" s="331" t="n"/>
      <c r="F115" s="454" t="n"/>
      <c r="G115" s="454" t="n"/>
      <c r="H115" s="454" t="n"/>
      <c r="I115" s="455" t="n"/>
      <c r="J115" s="456" t="n"/>
      <c r="K115" s="456" t="n"/>
      <c r="L115" s="457">
        <f>IF(B115="","",IF(OR(I115="",J115=""),"",I115*J115+IF(K115="",0,K115)))</f>
        <v/>
      </c>
      <c r="M115" s="456" t="n"/>
      <c r="N115" s="457">
        <f>IF(L115="","",MAX(0,L115-IF(M115="",0,M115)))</f>
        <v/>
      </c>
      <c r="O115" s="455" t="n"/>
      <c r="P115" s="457">
        <f>IF(OR(N115="",O115&lt;=0),"",ROUND(N115/O115,0))</f>
        <v/>
      </c>
      <c r="Q115" s="458">
        <f>IF(OR(H115="",O115&lt;=0),"",EOMONTH(H115,O115-1))</f>
        <v/>
      </c>
      <c r="R115" s="331" t="n"/>
      <c r="S115" s="331" t="n"/>
      <c r="T115" s="331" t="n"/>
      <c r="U115" s="456" t="n"/>
      <c r="V115" s="457">
        <f>IF($AO115&lt;&gt;"OK",0,IF(AND(DATE('Thiết lập'!$B$4,1,1)&gt;=DATE(YEAR($H115),MONTH($H115),1),DATE('Thiết lập'!$B$4,1,1)&lt;EDATE(DATE(YEAR($H115),MONTH($H115),1),$O115)),MIN($P115,MAX(0,$N115-$U115-0)),0))</f>
        <v/>
      </c>
      <c r="W115" s="457">
        <f>IF($AO115&lt;&gt;"OK",0,IF(AND(DATE('Thiết lập'!$B$4,2,1)&gt;=DATE(YEAR($H115),MONTH($H115),1),DATE('Thiết lập'!$B$4,2,1)&lt;EDATE(DATE(YEAR($H115),MONTH($H115),1),$O115)),MIN($P115,MAX(0,$N115-$U115-SUM($V115:V115))),0))</f>
        <v/>
      </c>
      <c r="X115" s="457">
        <f>IF($AO115&lt;&gt;"OK",0,IF(AND(DATE('Thiết lập'!$B$4,3,1)&gt;=DATE(YEAR($H115),MONTH($H115),1),DATE('Thiết lập'!$B$4,3,1)&lt;EDATE(DATE(YEAR($H115),MONTH($H115),1),$O115)),MIN($P115,MAX(0,$N115-$U115-SUM($V115:W115))),0))</f>
        <v/>
      </c>
      <c r="Y115" s="457">
        <f>IF($AO115&lt;&gt;"OK",0,IF(AND(DATE('Thiết lập'!$B$4,4,1)&gt;=DATE(YEAR($H115),MONTH($H115),1),DATE('Thiết lập'!$B$4,4,1)&lt;EDATE(DATE(YEAR($H115),MONTH($H115),1),$O115)),MIN($P115,MAX(0,$N115-$U115-SUM($V115:X115))),0))</f>
        <v/>
      </c>
      <c r="Z115" s="457">
        <f>IF($AO115&lt;&gt;"OK",0,IF(AND(DATE('Thiết lập'!$B$4,5,1)&gt;=DATE(YEAR($H115),MONTH($H115),1),DATE('Thiết lập'!$B$4,5,1)&lt;EDATE(DATE(YEAR($H115),MONTH($H115),1),$O115)),MIN($P115,MAX(0,$N115-$U115-SUM($V115:Y115))),0))</f>
        <v/>
      </c>
      <c r="AA115" s="457">
        <f>IF($AO115&lt;&gt;"OK",0,IF(AND(DATE('Thiết lập'!$B$4,6,1)&gt;=DATE(YEAR($H115),MONTH($H115),1),DATE('Thiết lập'!$B$4,6,1)&lt;EDATE(DATE(YEAR($H115),MONTH($H115),1),$O115)),MIN($P115,MAX(0,$N115-$U115-SUM($V115:Z115))),0))</f>
        <v/>
      </c>
      <c r="AB115" s="457">
        <f>IF($AO115&lt;&gt;"OK",0,IF(AND(DATE('Thiết lập'!$B$4,7,1)&gt;=DATE(YEAR($H115),MONTH($H115),1),DATE('Thiết lập'!$B$4,7,1)&lt;EDATE(DATE(YEAR($H115),MONTH($H115),1),$O115)),MIN($P115,MAX(0,$N115-$U115-SUM($V115:AA115))),0))</f>
        <v/>
      </c>
      <c r="AC115" s="457">
        <f>IF($AO115&lt;&gt;"OK",0,IF(AND(DATE('Thiết lập'!$B$4,8,1)&gt;=DATE(YEAR($H115),MONTH($H115),1),DATE('Thiết lập'!$B$4,8,1)&lt;EDATE(DATE(YEAR($H115),MONTH($H115),1),$O115)),MIN($P115,MAX(0,$N115-$U115-SUM($V115:AB115))),0))</f>
        <v/>
      </c>
      <c r="AD115" s="457">
        <f>IF($AO115&lt;&gt;"OK",0,IF(AND(DATE('Thiết lập'!$B$4,9,1)&gt;=DATE(YEAR($H115),MONTH($H115),1),DATE('Thiết lập'!$B$4,9,1)&lt;EDATE(DATE(YEAR($H115),MONTH($H115),1),$O115)),MIN($P115,MAX(0,$N115-$U115-SUM($V115:AC115))),0))</f>
        <v/>
      </c>
      <c r="AE115" s="457">
        <f>IF($AO115&lt;&gt;"OK",0,IF(AND(DATE('Thiết lập'!$B$4,10,1)&gt;=DATE(YEAR($H115),MONTH($H115),1),DATE('Thiết lập'!$B$4,10,1)&lt;EDATE(DATE(YEAR($H115),MONTH($H115),1),$O115)),MIN($P115,MAX(0,$N115-$U115-SUM($V115:AD115))),0))</f>
        <v/>
      </c>
      <c r="AF115" s="457">
        <f>IF($AO115&lt;&gt;"OK",0,IF(AND(DATE('Thiết lập'!$B$4,11,1)&gt;=DATE(YEAR($H115),MONTH($H115),1),DATE('Thiết lập'!$B$4,11,1)&lt;EDATE(DATE(YEAR($H115),MONTH($H115),1),$O115)),MIN($P115,MAX(0,$N115-$U115-SUM($V115:AE115))),0))</f>
        <v/>
      </c>
      <c r="AG115" s="457">
        <f>IF($AO115&lt;&gt;"OK",0,IF(AND(DATE('Thiết lập'!$B$4,12,1)&gt;=DATE(YEAR($H115),MONTH($H115),1),DATE('Thiết lập'!$B$4,12,1)&lt;EDATE(DATE(YEAR($H115),MONTH($H115),1),$O115)),MIN($P115,MAX(0,$N115-$U115-SUM($V115:AF115))),0))</f>
        <v/>
      </c>
      <c r="AH115" s="457">
        <f>IF(B115="","",SUM(V115:AG115))</f>
        <v/>
      </c>
      <c r="AI115" s="457">
        <f>IF(B115="","",MIN(N115,IF(U115="",0,U115)+AH115))</f>
        <v/>
      </c>
      <c r="AJ115" s="457">
        <f>IF(B115="","",MAX(0,L115-AI115))</f>
        <v/>
      </c>
      <c r="AK115" s="337">
        <f>IF(B115="","",IF(H115&gt;'Thiết lập'!$B$5,"Chưa khấu hao",IF(AJ115&lt;=IF(M115="",0,M115),"Đã hết khấu hao","Đang khấu hao")))</f>
        <v/>
      </c>
      <c r="AL115" s="275" t="n"/>
      <c r="AM115" s="275" t="n"/>
      <c r="AN115" s="275" t="n"/>
      <c r="AO115" s="343">
        <f>IF(B115="","",IF(COUNTIF($B$7:$B$306,B115)&gt;1,"Trùng mã TSCĐ",IF(C115="","Thiếu tên TSCĐ",IF(H115="","Thiếu ngày bắt đầu",IF(OR(I115&lt;=0,L115&lt;=0,O115&lt;=0),"Kiểm tra số lượng/nguyên giá/thời gian",IF(AND(G115&lt;&gt;"",H115&lt;G115),"Ngày KH trước ngày ghi tăng",IF(M115&gt;L115,"Giá trị thu hồi vượt nguyên giá",IF(IF(U115="",0,U115)&gt;N115,"Lũy kế đầu năm vượt GTKH","OK"))))))))</f>
        <v/>
      </c>
    </row>
    <row r="116" ht="20" customHeight="1" s="389">
      <c r="A116" s="325">
        <f>IF(B116="","",ROW()-6)</f>
        <v/>
      </c>
      <c r="B116" s="275" t="n"/>
      <c r="C116" s="275" t="n"/>
      <c r="D116" s="331" t="n"/>
      <c r="E116" s="331" t="n"/>
      <c r="F116" s="454" t="n"/>
      <c r="G116" s="454" t="n"/>
      <c r="H116" s="454" t="n"/>
      <c r="I116" s="455" t="n"/>
      <c r="J116" s="456" t="n"/>
      <c r="K116" s="456" t="n"/>
      <c r="L116" s="457">
        <f>IF(B116="","",IF(OR(I116="",J116=""),"",I116*J116+IF(K116="",0,K116)))</f>
        <v/>
      </c>
      <c r="M116" s="456" t="n"/>
      <c r="N116" s="457">
        <f>IF(L116="","",MAX(0,L116-IF(M116="",0,M116)))</f>
        <v/>
      </c>
      <c r="O116" s="455" t="n"/>
      <c r="P116" s="457">
        <f>IF(OR(N116="",O116&lt;=0),"",ROUND(N116/O116,0))</f>
        <v/>
      </c>
      <c r="Q116" s="458">
        <f>IF(OR(H116="",O116&lt;=0),"",EOMONTH(H116,O116-1))</f>
        <v/>
      </c>
      <c r="R116" s="331" t="n"/>
      <c r="S116" s="331" t="n"/>
      <c r="T116" s="331" t="n"/>
      <c r="U116" s="456" t="n"/>
      <c r="V116" s="457">
        <f>IF($AO116&lt;&gt;"OK",0,IF(AND(DATE('Thiết lập'!$B$4,1,1)&gt;=DATE(YEAR($H116),MONTH($H116),1),DATE('Thiết lập'!$B$4,1,1)&lt;EDATE(DATE(YEAR($H116),MONTH($H116),1),$O116)),MIN($P116,MAX(0,$N116-$U116-0)),0))</f>
        <v/>
      </c>
      <c r="W116" s="457">
        <f>IF($AO116&lt;&gt;"OK",0,IF(AND(DATE('Thiết lập'!$B$4,2,1)&gt;=DATE(YEAR($H116),MONTH($H116),1),DATE('Thiết lập'!$B$4,2,1)&lt;EDATE(DATE(YEAR($H116),MONTH($H116),1),$O116)),MIN($P116,MAX(0,$N116-$U116-SUM($V116:V116))),0))</f>
        <v/>
      </c>
      <c r="X116" s="457">
        <f>IF($AO116&lt;&gt;"OK",0,IF(AND(DATE('Thiết lập'!$B$4,3,1)&gt;=DATE(YEAR($H116),MONTH($H116),1),DATE('Thiết lập'!$B$4,3,1)&lt;EDATE(DATE(YEAR($H116),MONTH($H116),1),$O116)),MIN($P116,MAX(0,$N116-$U116-SUM($V116:W116))),0))</f>
        <v/>
      </c>
      <c r="Y116" s="457">
        <f>IF($AO116&lt;&gt;"OK",0,IF(AND(DATE('Thiết lập'!$B$4,4,1)&gt;=DATE(YEAR($H116),MONTH($H116),1),DATE('Thiết lập'!$B$4,4,1)&lt;EDATE(DATE(YEAR($H116),MONTH($H116),1),$O116)),MIN($P116,MAX(0,$N116-$U116-SUM($V116:X116))),0))</f>
        <v/>
      </c>
      <c r="Z116" s="457">
        <f>IF($AO116&lt;&gt;"OK",0,IF(AND(DATE('Thiết lập'!$B$4,5,1)&gt;=DATE(YEAR($H116),MONTH($H116),1),DATE('Thiết lập'!$B$4,5,1)&lt;EDATE(DATE(YEAR($H116),MONTH($H116),1),$O116)),MIN($P116,MAX(0,$N116-$U116-SUM($V116:Y116))),0))</f>
        <v/>
      </c>
      <c r="AA116" s="457">
        <f>IF($AO116&lt;&gt;"OK",0,IF(AND(DATE('Thiết lập'!$B$4,6,1)&gt;=DATE(YEAR($H116),MONTH($H116),1),DATE('Thiết lập'!$B$4,6,1)&lt;EDATE(DATE(YEAR($H116),MONTH($H116),1),$O116)),MIN($P116,MAX(0,$N116-$U116-SUM($V116:Z116))),0))</f>
        <v/>
      </c>
      <c r="AB116" s="457">
        <f>IF($AO116&lt;&gt;"OK",0,IF(AND(DATE('Thiết lập'!$B$4,7,1)&gt;=DATE(YEAR($H116),MONTH($H116),1),DATE('Thiết lập'!$B$4,7,1)&lt;EDATE(DATE(YEAR($H116),MONTH($H116),1),$O116)),MIN($P116,MAX(0,$N116-$U116-SUM($V116:AA116))),0))</f>
        <v/>
      </c>
      <c r="AC116" s="457">
        <f>IF($AO116&lt;&gt;"OK",0,IF(AND(DATE('Thiết lập'!$B$4,8,1)&gt;=DATE(YEAR($H116),MONTH($H116),1),DATE('Thiết lập'!$B$4,8,1)&lt;EDATE(DATE(YEAR($H116),MONTH($H116),1),$O116)),MIN($P116,MAX(0,$N116-$U116-SUM($V116:AB116))),0))</f>
        <v/>
      </c>
      <c r="AD116" s="457">
        <f>IF($AO116&lt;&gt;"OK",0,IF(AND(DATE('Thiết lập'!$B$4,9,1)&gt;=DATE(YEAR($H116),MONTH($H116),1),DATE('Thiết lập'!$B$4,9,1)&lt;EDATE(DATE(YEAR($H116),MONTH($H116),1),$O116)),MIN($P116,MAX(0,$N116-$U116-SUM($V116:AC116))),0))</f>
        <v/>
      </c>
      <c r="AE116" s="457">
        <f>IF($AO116&lt;&gt;"OK",0,IF(AND(DATE('Thiết lập'!$B$4,10,1)&gt;=DATE(YEAR($H116),MONTH($H116),1),DATE('Thiết lập'!$B$4,10,1)&lt;EDATE(DATE(YEAR($H116),MONTH($H116),1),$O116)),MIN($P116,MAX(0,$N116-$U116-SUM($V116:AD116))),0))</f>
        <v/>
      </c>
      <c r="AF116" s="457">
        <f>IF($AO116&lt;&gt;"OK",0,IF(AND(DATE('Thiết lập'!$B$4,11,1)&gt;=DATE(YEAR($H116),MONTH($H116),1),DATE('Thiết lập'!$B$4,11,1)&lt;EDATE(DATE(YEAR($H116),MONTH($H116),1),$O116)),MIN($P116,MAX(0,$N116-$U116-SUM($V116:AE116))),0))</f>
        <v/>
      </c>
      <c r="AG116" s="457">
        <f>IF($AO116&lt;&gt;"OK",0,IF(AND(DATE('Thiết lập'!$B$4,12,1)&gt;=DATE(YEAR($H116),MONTH($H116),1),DATE('Thiết lập'!$B$4,12,1)&lt;EDATE(DATE(YEAR($H116),MONTH($H116),1),$O116)),MIN($P116,MAX(0,$N116-$U116-SUM($V116:AF116))),0))</f>
        <v/>
      </c>
      <c r="AH116" s="457">
        <f>IF(B116="","",SUM(V116:AG116))</f>
        <v/>
      </c>
      <c r="AI116" s="457">
        <f>IF(B116="","",MIN(N116,IF(U116="",0,U116)+AH116))</f>
        <v/>
      </c>
      <c r="AJ116" s="457">
        <f>IF(B116="","",MAX(0,L116-AI116))</f>
        <v/>
      </c>
      <c r="AK116" s="337">
        <f>IF(B116="","",IF(H116&gt;'Thiết lập'!$B$5,"Chưa khấu hao",IF(AJ116&lt;=IF(M116="",0,M116),"Đã hết khấu hao","Đang khấu hao")))</f>
        <v/>
      </c>
      <c r="AL116" s="275" t="n"/>
      <c r="AM116" s="275" t="n"/>
      <c r="AN116" s="275" t="n"/>
      <c r="AO116" s="343">
        <f>IF(B116="","",IF(COUNTIF($B$7:$B$306,B116)&gt;1,"Trùng mã TSCĐ",IF(C116="","Thiếu tên TSCĐ",IF(H116="","Thiếu ngày bắt đầu",IF(OR(I116&lt;=0,L116&lt;=0,O116&lt;=0),"Kiểm tra số lượng/nguyên giá/thời gian",IF(AND(G116&lt;&gt;"",H116&lt;G116),"Ngày KH trước ngày ghi tăng",IF(M116&gt;L116,"Giá trị thu hồi vượt nguyên giá",IF(IF(U116="",0,U116)&gt;N116,"Lũy kế đầu năm vượt GTKH","OK"))))))))</f>
        <v/>
      </c>
    </row>
    <row r="117" ht="20" customHeight="1" s="389">
      <c r="A117" s="325">
        <f>IF(B117="","",ROW()-6)</f>
        <v/>
      </c>
      <c r="B117" s="275" t="n"/>
      <c r="C117" s="275" t="n"/>
      <c r="D117" s="331" t="n"/>
      <c r="E117" s="331" t="n"/>
      <c r="F117" s="454" t="n"/>
      <c r="G117" s="454" t="n"/>
      <c r="H117" s="454" t="n"/>
      <c r="I117" s="455" t="n"/>
      <c r="J117" s="456" t="n"/>
      <c r="K117" s="456" t="n"/>
      <c r="L117" s="457">
        <f>IF(B117="","",IF(OR(I117="",J117=""),"",I117*J117+IF(K117="",0,K117)))</f>
        <v/>
      </c>
      <c r="M117" s="456" t="n"/>
      <c r="N117" s="457">
        <f>IF(L117="","",MAX(0,L117-IF(M117="",0,M117)))</f>
        <v/>
      </c>
      <c r="O117" s="455" t="n"/>
      <c r="P117" s="457">
        <f>IF(OR(N117="",O117&lt;=0),"",ROUND(N117/O117,0))</f>
        <v/>
      </c>
      <c r="Q117" s="458">
        <f>IF(OR(H117="",O117&lt;=0),"",EOMONTH(H117,O117-1))</f>
        <v/>
      </c>
      <c r="R117" s="331" t="n"/>
      <c r="S117" s="331" t="n"/>
      <c r="T117" s="331" t="n"/>
      <c r="U117" s="456" t="n"/>
      <c r="V117" s="457">
        <f>IF($AO117&lt;&gt;"OK",0,IF(AND(DATE('Thiết lập'!$B$4,1,1)&gt;=DATE(YEAR($H117),MONTH($H117),1),DATE('Thiết lập'!$B$4,1,1)&lt;EDATE(DATE(YEAR($H117),MONTH($H117),1),$O117)),MIN($P117,MAX(0,$N117-$U117-0)),0))</f>
        <v/>
      </c>
      <c r="W117" s="457">
        <f>IF($AO117&lt;&gt;"OK",0,IF(AND(DATE('Thiết lập'!$B$4,2,1)&gt;=DATE(YEAR($H117),MONTH($H117),1),DATE('Thiết lập'!$B$4,2,1)&lt;EDATE(DATE(YEAR($H117),MONTH($H117),1),$O117)),MIN($P117,MAX(0,$N117-$U117-SUM($V117:V117))),0))</f>
        <v/>
      </c>
      <c r="X117" s="457">
        <f>IF($AO117&lt;&gt;"OK",0,IF(AND(DATE('Thiết lập'!$B$4,3,1)&gt;=DATE(YEAR($H117),MONTH($H117),1),DATE('Thiết lập'!$B$4,3,1)&lt;EDATE(DATE(YEAR($H117),MONTH($H117),1),$O117)),MIN($P117,MAX(0,$N117-$U117-SUM($V117:W117))),0))</f>
        <v/>
      </c>
      <c r="Y117" s="457">
        <f>IF($AO117&lt;&gt;"OK",0,IF(AND(DATE('Thiết lập'!$B$4,4,1)&gt;=DATE(YEAR($H117),MONTH($H117),1),DATE('Thiết lập'!$B$4,4,1)&lt;EDATE(DATE(YEAR($H117),MONTH($H117),1),$O117)),MIN($P117,MAX(0,$N117-$U117-SUM($V117:X117))),0))</f>
        <v/>
      </c>
      <c r="Z117" s="457">
        <f>IF($AO117&lt;&gt;"OK",0,IF(AND(DATE('Thiết lập'!$B$4,5,1)&gt;=DATE(YEAR($H117),MONTH($H117),1),DATE('Thiết lập'!$B$4,5,1)&lt;EDATE(DATE(YEAR($H117),MONTH($H117),1),$O117)),MIN($P117,MAX(0,$N117-$U117-SUM($V117:Y117))),0))</f>
        <v/>
      </c>
      <c r="AA117" s="457">
        <f>IF($AO117&lt;&gt;"OK",0,IF(AND(DATE('Thiết lập'!$B$4,6,1)&gt;=DATE(YEAR($H117),MONTH($H117),1),DATE('Thiết lập'!$B$4,6,1)&lt;EDATE(DATE(YEAR($H117),MONTH($H117),1),$O117)),MIN($P117,MAX(0,$N117-$U117-SUM($V117:Z117))),0))</f>
        <v/>
      </c>
      <c r="AB117" s="457">
        <f>IF($AO117&lt;&gt;"OK",0,IF(AND(DATE('Thiết lập'!$B$4,7,1)&gt;=DATE(YEAR($H117),MONTH($H117),1),DATE('Thiết lập'!$B$4,7,1)&lt;EDATE(DATE(YEAR($H117),MONTH($H117),1),$O117)),MIN($P117,MAX(0,$N117-$U117-SUM($V117:AA117))),0))</f>
        <v/>
      </c>
      <c r="AC117" s="457">
        <f>IF($AO117&lt;&gt;"OK",0,IF(AND(DATE('Thiết lập'!$B$4,8,1)&gt;=DATE(YEAR($H117),MONTH($H117),1),DATE('Thiết lập'!$B$4,8,1)&lt;EDATE(DATE(YEAR($H117),MONTH($H117),1),$O117)),MIN($P117,MAX(0,$N117-$U117-SUM($V117:AB117))),0))</f>
        <v/>
      </c>
      <c r="AD117" s="457">
        <f>IF($AO117&lt;&gt;"OK",0,IF(AND(DATE('Thiết lập'!$B$4,9,1)&gt;=DATE(YEAR($H117),MONTH($H117),1),DATE('Thiết lập'!$B$4,9,1)&lt;EDATE(DATE(YEAR($H117),MONTH($H117),1),$O117)),MIN($P117,MAX(0,$N117-$U117-SUM($V117:AC117))),0))</f>
        <v/>
      </c>
      <c r="AE117" s="457">
        <f>IF($AO117&lt;&gt;"OK",0,IF(AND(DATE('Thiết lập'!$B$4,10,1)&gt;=DATE(YEAR($H117),MONTH($H117),1),DATE('Thiết lập'!$B$4,10,1)&lt;EDATE(DATE(YEAR($H117),MONTH($H117),1),$O117)),MIN($P117,MAX(0,$N117-$U117-SUM($V117:AD117))),0))</f>
        <v/>
      </c>
      <c r="AF117" s="457">
        <f>IF($AO117&lt;&gt;"OK",0,IF(AND(DATE('Thiết lập'!$B$4,11,1)&gt;=DATE(YEAR($H117),MONTH($H117),1),DATE('Thiết lập'!$B$4,11,1)&lt;EDATE(DATE(YEAR($H117),MONTH($H117),1),$O117)),MIN($P117,MAX(0,$N117-$U117-SUM($V117:AE117))),0))</f>
        <v/>
      </c>
      <c r="AG117" s="457">
        <f>IF($AO117&lt;&gt;"OK",0,IF(AND(DATE('Thiết lập'!$B$4,12,1)&gt;=DATE(YEAR($H117),MONTH($H117),1),DATE('Thiết lập'!$B$4,12,1)&lt;EDATE(DATE(YEAR($H117),MONTH($H117),1),$O117)),MIN($P117,MAX(0,$N117-$U117-SUM($V117:AF117))),0))</f>
        <v/>
      </c>
      <c r="AH117" s="457">
        <f>IF(B117="","",SUM(V117:AG117))</f>
        <v/>
      </c>
      <c r="AI117" s="457">
        <f>IF(B117="","",MIN(N117,IF(U117="",0,U117)+AH117))</f>
        <v/>
      </c>
      <c r="AJ117" s="457">
        <f>IF(B117="","",MAX(0,L117-AI117))</f>
        <v/>
      </c>
      <c r="AK117" s="337">
        <f>IF(B117="","",IF(H117&gt;'Thiết lập'!$B$5,"Chưa khấu hao",IF(AJ117&lt;=IF(M117="",0,M117),"Đã hết khấu hao","Đang khấu hao")))</f>
        <v/>
      </c>
      <c r="AL117" s="275" t="n"/>
      <c r="AM117" s="275" t="n"/>
      <c r="AN117" s="275" t="n"/>
      <c r="AO117" s="343">
        <f>IF(B117="","",IF(COUNTIF($B$7:$B$306,B117)&gt;1,"Trùng mã TSCĐ",IF(C117="","Thiếu tên TSCĐ",IF(H117="","Thiếu ngày bắt đầu",IF(OR(I117&lt;=0,L117&lt;=0,O117&lt;=0),"Kiểm tra số lượng/nguyên giá/thời gian",IF(AND(G117&lt;&gt;"",H117&lt;G117),"Ngày KH trước ngày ghi tăng",IF(M117&gt;L117,"Giá trị thu hồi vượt nguyên giá",IF(IF(U117="",0,U117)&gt;N117,"Lũy kế đầu năm vượt GTKH","OK"))))))))</f>
        <v/>
      </c>
    </row>
    <row r="118" ht="20" customHeight="1" s="389">
      <c r="A118" s="325">
        <f>IF(B118="","",ROW()-6)</f>
        <v/>
      </c>
      <c r="B118" s="275" t="n"/>
      <c r="C118" s="275" t="n"/>
      <c r="D118" s="331" t="n"/>
      <c r="E118" s="331" t="n"/>
      <c r="F118" s="454" t="n"/>
      <c r="G118" s="454" t="n"/>
      <c r="H118" s="454" t="n"/>
      <c r="I118" s="455" t="n"/>
      <c r="J118" s="456" t="n"/>
      <c r="K118" s="456" t="n"/>
      <c r="L118" s="457">
        <f>IF(B118="","",IF(OR(I118="",J118=""),"",I118*J118+IF(K118="",0,K118)))</f>
        <v/>
      </c>
      <c r="M118" s="456" t="n"/>
      <c r="N118" s="457">
        <f>IF(L118="","",MAX(0,L118-IF(M118="",0,M118)))</f>
        <v/>
      </c>
      <c r="O118" s="455" t="n"/>
      <c r="P118" s="457">
        <f>IF(OR(N118="",O118&lt;=0),"",ROUND(N118/O118,0))</f>
        <v/>
      </c>
      <c r="Q118" s="458">
        <f>IF(OR(H118="",O118&lt;=0),"",EOMONTH(H118,O118-1))</f>
        <v/>
      </c>
      <c r="R118" s="331" t="n"/>
      <c r="S118" s="331" t="n"/>
      <c r="T118" s="331" t="n"/>
      <c r="U118" s="456" t="n"/>
      <c r="V118" s="457">
        <f>IF($AO118&lt;&gt;"OK",0,IF(AND(DATE('Thiết lập'!$B$4,1,1)&gt;=DATE(YEAR($H118),MONTH($H118),1),DATE('Thiết lập'!$B$4,1,1)&lt;EDATE(DATE(YEAR($H118),MONTH($H118),1),$O118)),MIN($P118,MAX(0,$N118-$U118-0)),0))</f>
        <v/>
      </c>
      <c r="W118" s="457">
        <f>IF($AO118&lt;&gt;"OK",0,IF(AND(DATE('Thiết lập'!$B$4,2,1)&gt;=DATE(YEAR($H118),MONTH($H118),1),DATE('Thiết lập'!$B$4,2,1)&lt;EDATE(DATE(YEAR($H118),MONTH($H118),1),$O118)),MIN($P118,MAX(0,$N118-$U118-SUM($V118:V118))),0))</f>
        <v/>
      </c>
      <c r="X118" s="457">
        <f>IF($AO118&lt;&gt;"OK",0,IF(AND(DATE('Thiết lập'!$B$4,3,1)&gt;=DATE(YEAR($H118),MONTH($H118),1),DATE('Thiết lập'!$B$4,3,1)&lt;EDATE(DATE(YEAR($H118),MONTH($H118),1),$O118)),MIN($P118,MAX(0,$N118-$U118-SUM($V118:W118))),0))</f>
        <v/>
      </c>
      <c r="Y118" s="457">
        <f>IF($AO118&lt;&gt;"OK",0,IF(AND(DATE('Thiết lập'!$B$4,4,1)&gt;=DATE(YEAR($H118),MONTH($H118),1),DATE('Thiết lập'!$B$4,4,1)&lt;EDATE(DATE(YEAR($H118),MONTH($H118),1),$O118)),MIN($P118,MAX(0,$N118-$U118-SUM($V118:X118))),0))</f>
        <v/>
      </c>
      <c r="Z118" s="457">
        <f>IF($AO118&lt;&gt;"OK",0,IF(AND(DATE('Thiết lập'!$B$4,5,1)&gt;=DATE(YEAR($H118),MONTH($H118),1),DATE('Thiết lập'!$B$4,5,1)&lt;EDATE(DATE(YEAR($H118),MONTH($H118),1),$O118)),MIN($P118,MAX(0,$N118-$U118-SUM($V118:Y118))),0))</f>
        <v/>
      </c>
      <c r="AA118" s="457">
        <f>IF($AO118&lt;&gt;"OK",0,IF(AND(DATE('Thiết lập'!$B$4,6,1)&gt;=DATE(YEAR($H118),MONTH($H118),1),DATE('Thiết lập'!$B$4,6,1)&lt;EDATE(DATE(YEAR($H118),MONTH($H118),1),$O118)),MIN($P118,MAX(0,$N118-$U118-SUM($V118:Z118))),0))</f>
        <v/>
      </c>
      <c r="AB118" s="457">
        <f>IF($AO118&lt;&gt;"OK",0,IF(AND(DATE('Thiết lập'!$B$4,7,1)&gt;=DATE(YEAR($H118),MONTH($H118),1),DATE('Thiết lập'!$B$4,7,1)&lt;EDATE(DATE(YEAR($H118),MONTH($H118),1),$O118)),MIN($P118,MAX(0,$N118-$U118-SUM($V118:AA118))),0))</f>
        <v/>
      </c>
      <c r="AC118" s="457">
        <f>IF($AO118&lt;&gt;"OK",0,IF(AND(DATE('Thiết lập'!$B$4,8,1)&gt;=DATE(YEAR($H118),MONTH($H118),1),DATE('Thiết lập'!$B$4,8,1)&lt;EDATE(DATE(YEAR($H118),MONTH($H118),1),$O118)),MIN($P118,MAX(0,$N118-$U118-SUM($V118:AB118))),0))</f>
        <v/>
      </c>
      <c r="AD118" s="457">
        <f>IF($AO118&lt;&gt;"OK",0,IF(AND(DATE('Thiết lập'!$B$4,9,1)&gt;=DATE(YEAR($H118),MONTH($H118),1),DATE('Thiết lập'!$B$4,9,1)&lt;EDATE(DATE(YEAR($H118),MONTH($H118),1),$O118)),MIN($P118,MAX(0,$N118-$U118-SUM($V118:AC118))),0))</f>
        <v/>
      </c>
      <c r="AE118" s="457">
        <f>IF($AO118&lt;&gt;"OK",0,IF(AND(DATE('Thiết lập'!$B$4,10,1)&gt;=DATE(YEAR($H118),MONTH($H118),1),DATE('Thiết lập'!$B$4,10,1)&lt;EDATE(DATE(YEAR($H118),MONTH($H118),1),$O118)),MIN($P118,MAX(0,$N118-$U118-SUM($V118:AD118))),0))</f>
        <v/>
      </c>
      <c r="AF118" s="457">
        <f>IF($AO118&lt;&gt;"OK",0,IF(AND(DATE('Thiết lập'!$B$4,11,1)&gt;=DATE(YEAR($H118),MONTH($H118),1),DATE('Thiết lập'!$B$4,11,1)&lt;EDATE(DATE(YEAR($H118),MONTH($H118),1),$O118)),MIN($P118,MAX(0,$N118-$U118-SUM($V118:AE118))),0))</f>
        <v/>
      </c>
      <c r="AG118" s="457">
        <f>IF($AO118&lt;&gt;"OK",0,IF(AND(DATE('Thiết lập'!$B$4,12,1)&gt;=DATE(YEAR($H118),MONTH($H118),1),DATE('Thiết lập'!$B$4,12,1)&lt;EDATE(DATE(YEAR($H118),MONTH($H118),1),$O118)),MIN($P118,MAX(0,$N118-$U118-SUM($V118:AF118))),0))</f>
        <v/>
      </c>
      <c r="AH118" s="457">
        <f>IF(B118="","",SUM(V118:AG118))</f>
        <v/>
      </c>
      <c r="AI118" s="457">
        <f>IF(B118="","",MIN(N118,IF(U118="",0,U118)+AH118))</f>
        <v/>
      </c>
      <c r="AJ118" s="457">
        <f>IF(B118="","",MAX(0,L118-AI118))</f>
        <v/>
      </c>
      <c r="AK118" s="337">
        <f>IF(B118="","",IF(H118&gt;'Thiết lập'!$B$5,"Chưa khấu hao",IF(AJ118&lt;=IF(M118="",0,M118),"Đã hết khấu hao","Đang khấu hao")))</f>
        <v/>
      </c>
      <c r="AL118" s="275" t="n"/>
      <c r="AM118" s="275" t="n"/>
      <c r="AN118" s="275" t="n"/>
      <c r="AO118" s="343">
        <f>IF(B118="","",IF(COUNTIF($B$7:$B$306,B118)&gt;1,"Trùng mã TSCĐ",IF(C118="","Thiếu tên TSCĐ",IF(H118="","Thiếu ngày bắt đầu",IF(OR(I118&lt;=0,L118&lt;=0,O118&lt;=0),"Kiểm tra số lượng/nguyên giá/thời gian",IF(AND(G118&lt;&gt;"",H118&lt;G118),"Ngày KH trước ngày ghi tăng",IF(M118&gt;L118,"Giá trị thu hồi vượt nguyên giá",IF(IF(U118="",0,U118)&gt;N118,"Lũy kế đầu năm vượt GTKH","OK"))))))))</f>
        <v/>
      </c>
    </row>
    <row r="119" ht="20" customHeight="1" s="389">
      <c r="A119" s="325">
        <f>IF(B119="","",ROW()-6)</f>
        <v/>
      </c>
      <c r="B119" s="275" t="n"/>
      <c r="C119" s="275" t="n"/>
      <c r="D119" s="331" t="n"/>
      <c r="E119" s="331" t="n"/>
      <c r="F119" s="454" t="n"/>
      <c r="G119" s="454" t="n"/>
      <c r="H119" s="454" t="n"/>
      <c r="I119" s="455" t="n"/>
      <c r="J119" s="456" t="n"/>
      <c r="K119" s="456" t="n"/>
      <c r="L119" s="457">
        <f>IF(B119="","",IF(OR(I119="",J119=""),"",I119*J119+IF(K119="",0,K119)))</f>
        <v/>
      </c>
      <c r="M119" s="456" t="n"/>
      <c r="N119" s="457">
        <f>IF(L119="","",MAX(0,L119-IF(M119="",0,M119)))</f>
        <v/>
      </c>
      <c r="O119" s="455" t="n"/>
      <c r="P119" s="457">
        <f>IF(OR(N119="",O119&lt;=0),"",ROUND(N119/O119,0))</f>
        <v/>
      </c>
      <c r="Q119" s="458">
        <f>IF(OR(H119="",O119&lt;=0),"",EOMONTH(H119,O119-1))</f>
        <v/>
      </c>
      <c r="R119" s="331" t="n"/>
      <c r="S119" s="331" t="n"/>
      <c r="T119" s="331" t="n"/>
      <c r="U119" s="456" t="n"/>
      <c r="V119" s="457">
        <f>IF($AO119&lt;&gt;"OK",0,IF(AND(DATE('Thiết lập'!$B$4,1,1)&gt;=DATE(YEAR($H119),MONTH($H119),1),DATE('Thiết lập'!$B$4,1,1)&lt;EDATE(DATE(YEAR($H119),MONTH($H119),1),$O119)),MIN($P119,MAX(0,$N119-$U119-0)),0))</f>
        <v/>
      </c>
      <c r="W119" s="457">
        <f>IF($AO119&lt;&gt;"OK",0,IF(AND(DATE('Thiết lập'!$B$4,2,1)&gt;=DATE(YEAR($H119),MONTH($H119),1),DATE('Thiết lập'!$B$4,2,1)&lt;EDATE(DATE(YEAR($H119),MONTH($H119),1),$O119)),MIN($P119,MAX(0,$N119-$U119-SUM($V119:V119))),0))</f>
        <v/>
      </c>
      <c r="X119" s="457">
        <f>IF($AO119&lt;&gt;"OK",0,IF(AND(DATE('Thiết lập'!$B$4,3,1)&gt;=DATE(YEAR($H119),MONTH($H119),1),DATE('Thiết lập'!$B$4,3,1)&lt;EDATE(DATE(YEAR($H119),MONTH($H119),1),$O119)),MIN($P119,MAX(0,$N119-$U119-SUM($V119:W119))),0))</f>
        <v/>
      </c>
      <c r="Y119" s="457">
        <f>IF($AO119&lt;&gt;"OK",0,IF(AND(DATE('Thiết lập'!$B$4,4,1)&gt;=DATE(YEAR($H119),MONTH($H119),1),DATE('Thiết lập'!$B$4,4,1)&lt;EDATE(DATE(YEAR($H119),MONTH($H119),1),$O119)),MIN($P119,MAX(0,$N119-$U119-SUM($V119:X119))),0))</f>
        <v/>
      </c>
      <c r="Z119" s="457">
        <f>IF($AO119&lt;&gt;"OK",0,IF(AND(DATE('Thiết lập'!$B$4,5,1)&gt;=DATE(YEAR($H119),MONTH($H119),1),DATE('Thiết lập'!$B$4,5,1)&lt;EDATE(DATE(YEAR($H119),MONTH($H119),1),$O119)),MIN($P119,MAX(0,$N119-$U119-SUM($V119:Y119))),0))</f>
        <v/>
      </c>
      <c r="AA119" s="457">
        <f>IF($AO119&lt;&gt;"OK",0,IF(AND(DATE('Thiết lập'!$B$4,6,1)&gt;=DATE(YEAR($H119),MONTH($H119),1),DATE('Thiết lập'!$B$4,6,1)&lt;EDATE(DATE(YEAR($H119),MONTH($H119),1),$O119)),MIN($P119,MAX(0,$N119-$U119-SUM($V119:Z119))),0))</f>
        <v/>
      </c>
      <c r="AB119" s="457">
        <f>IF($AO119&lt;&gt;"OK",0,IF(AND(DATE('Thiết lập'!$B$4,7,1)&gt;=DATE(YEAR($H119),MONTH($H119),1),DATE('Thiết lập'!$B$4,7,1)&lt;EDATE(DATE(YEAR($H119),MONTH($H119),1),$O119)),MIN($P119,MAX(0,$N119-$U119-SUM($V119:AA119))),0))</f>
        <v/>
      </c>
      <c r="AC119" s="457">
        <f>IF($AO119&lt;&gt;"OK",0,IF(AND(DATE('Thiết lập'!$B$4,8,1)&gt;=DATE(YEAR($H119),MONTH($H119),1),DATE('Thiết lập'!$B$4,8,1)&lt;EDATE(DATE(YEAR($H119),MONTH($H119),1),$O119)),MIN($P119,MAX(0,$N119-$U119-SUM($V119:AB119))),0))</f>
        <v/>
      </c>
      <c r="AD119" s="457">
        <f>IF($AO119&lt;&gt;"OK",0,IF(AND(DATE('Thiết lập'!$B$4,9,1)&gt;=DATE(YEAR($H119),MONTH($H119),1),DATE('Thiết lập'!$B$4,9,1)&lt;EDATE(DATE(YEAR($H119),MONTH($H119),1),$O119)),MIN($P119,MAX(0,$N119-$U119-SUM($V119:AC119))),0))</f>
        <v/>
      </c>
      <c r="AE119" s="457">
        <f>IF($AO119&lt;&gt;"OK",0,IF(AND(DATE('Thiết lập'!$B$4,10,1)&gt;=DATE(YEAR($H119),MONTH($H119),1),DATE('Thiết lập'!$B$4,10,1)&lt;EDATE(DATE(YEAR($H119),MONTH($H119),1),$O119)),MIN($P119,MAX(0,$N119-$U119-SUM($V119:AD119))),0))</f>
        <v/>
      </c>
      <c r="AF119" s="457">
        <f>IF($AO119&lt;&gt;"OK",0,IF(AND(DATE('Thiết lập'!$B$4,11,1)&gt;=DATE(YEAR($H119),MONTH($H119),1),DATE('Thiết lập'!$B$4,11,1)&lt;EDATE(DATE(YEAR($H119),MONTH($H119),1),$O119)),MIN($P119,MAX(0,$N119-$U119-SUM($V119:AE119))),0))</f>
        <v/>
      </c>
      <c r="AG119" s="457">
        <f>IF($AO119&lt;&gt;"OK",0,IF(AND(DATE('Thiết lập'!$B$4,12,1)&gt;=DATE(YEAR($H119),MONTH($H119),1),DATE('Thiết lập'!$B$4,12,1)&lt;EDATE(DATE(YEAR($H119),MONTH($H119),1),$O119)),MIN($P119,MAX(0,$N119-$U119-SUM($V119:AF119))),0))</f>
        <v/>
      </c>
      <c r="AH119" s="457">
        <f>IF(B119="","",SUM(V119:AG119))</f>
        <v/>
      </c>
      <c r="AI119" s="457">
        <f>IF(B119="","",MIN(N119,IF(U119="",0,U119)+AH119))</f>
        <v/>
      </c>
      <c r="AJ119" s="457">
        <f>IF(B119="","",MAX(0,L119-AI119))</f>
        <v/>
      </c>
      <c r="AK119" s="337">
        <f>IF(B119="","",IF(H119&gt;'Thiết lập'!$B$5,"Chưa khấu hao",IF(AJ119&lt;=IF(M119="",0,M119),"Đã hết khấu hao","Đang khấu hao")))</f>
        <v/>
      </c>
      <c r="AL119" s="275" t="n"/>
      <c r="AM119" s="275" t="n"/>
      <c r="AN119" s="275" t="n"/>
      <c r="AO119" s="343">
        <f>IF(B119="","",IF(COUNTIF($B$7:$B$306,B119)&gt;1,"Trùng mã TSCĐ",IF(C119="","Thiếu tên TSCĐ",IF(H119="","Thiếu ngày bắt đầu",IF(OR(I119&lt;=0,L119&lt;=0,O119&lt;=0),"Kiểm tra số lượng/nguyên giá/thời gian",IF(AND(G119&lt;&gt;"",H119&lt;G119),"Ngày KH trước ngày ghi tăng",IF(M119&gt;L119,"Giá trị thu hồi vượt nguyên giá",IF(IF(U119="",0,U119)&gt;N119,"Lũy kế đầu năm vượt GTKH","OK"))))))))</f>
        <v/>
      </c>
    </row>
    <row r="120" ht="20" customHeight="1" s="389">
      <c r="A120" s="325">
        <f>IF(B120="","",ROW()-6)</f>
        <v/>
      </c>
      <c r="B120" s="275" t="n"/>
      <c r="C120" s="275" t="n"/>
      <c r="D120" s="331" t="n"/>
      <c r="E120" s="331" t="n"/>
      <c r="F120" s="454" t="n"/>
      <c r="G120" s="454" t="n"/>
      <c r="H120" s="454" t="n"/>
      <c r="I120" s="455" t="n"/>
      <c r="J120" s="456" t="n"/>
      <c r="K120" s="456" t="n"/>
      <c r="L120" s="457">
        <f>IF(B120="","",IF(OR(I120="",J120=""),"",I120*J120+IF(K120="",0,K120)))</f>
        <v/>
      </c>
      <c r="M120" s="456" t="n"/>
      <c r="N120" s="457">
        <f>IF(L120="","",MAX(0,L120-IF(M120="",0,M120)))</f>
        <v/>
      </c>
      <c r="O120" s="455" t="n"/>
      <c r="P120" s="457">
        <f>IF(OR(N120="",O120&lt;=0),"",ROUND(N120/O120,0))</f>
        <v/>
      </c>
      <c r="Q120" s="458">
        <f>IF(OR(H120="",O120&lt;=0),"",EOMONTH(H120,O120-1))</f>
        <v/>
      </c>
      <c r="R120" s="331" t="n"/>
      <c r="S120" s="331" t="n"/>
      <c r="T120" s="331" t="n"/>
      <c r="U120" s="456" t="n"/>
      <c r="V120" s="457">
        <f>IF($AO120&lt;&gt;"OK",0,IF(AND(DATE('Thiết lập'!$B$4,1,1)&gt;=DATE(YEAR($H120),MONTH($H120),1),DATE('Thiết lập'!$B$4,1,1)&lt;EDATE(DATE(YEAR($H120),MONTH($H120),1),$O120)),MIN($P120,MAX(0,$N120-$U120-0)),0))</f>
        <v/>
      </c>
      <c r="W120" s="457">
        <f>IF($AO120&lt;&gt;"OK",0,IF(AND(DATE('Thiết lập'!$B$4,2,1)&gt;=DATE(YEAR($H120),MONTH($H120),1),DATE('Thiết lập'!$B$4,2,1)&lt;EDATE(DATE(YEAR($H120),MONTH($H120),1),$O120)),MIN($P120,MAX(0,$N120-$U120-SUM($V120:V120))),0))</f>
        <v/>
      </c>
      <c r="X120" s="457">
        <f>IF($AO120&lt;&gt;"OK",0,IF(AND(DATE('Thiết lập'!$B$4,3,1)&gt;=DATE(YEAR($H120),MONTH($H120),1),DATE('Thiết lập'!$B$4,3,1)&lt;EDATE(DATE(YEAR($H120),MONTH($H120),1),$O120)),MIN($P120,MAX(0,$N120-$U120-SUM($V120:W120))),0))</f>
        <v/>
      </c>
      <c r="Y120" s="457">
        <f>IF($AO120&lt;&gt;"OK",0,IF(AND(DATE('Thiết lập'!$B$4,4,1)&gt;=DATE(YEAR($H120),MONTH($H120),1),DATE('Thiết lập'!$B$4,4,1)&lt;EDATE(DATE(YEAR($H120),MONTH($H120),1),$O120)),MIN($P120,MAX(0,$N120-$U120-SUM($V120:X120))),0))</f>
        <v/>
      </c>
      <c r="Z120" s="457">
        <f>IF($AO120&lt;&gt;"OK",0,IF(AND(DATE('Thiết lập'!$B$4,5,1)&gt;=DATE(YEAR($H120),MONTH($H120),1),DATE('Thiết lập'!$B$4,5,1)&lt;EDATE(DATE(YEAR($H120),MONTH($H120),1),$O120)),MIN($P120,MAX(0,$N120-$U120-SUM($V120:Y120))),0))</f>
        <v/>
      </c>
      <c r="AA120" s="457">
        <f>IF($AO120&lt;&gt;"OK",0,IF(AND(DATE('Thiết lập'!$B$4,6,1)&gt;=DATE(YEAR($H120),MONTH($H120),1),DATE('Thiết lập'!$B$4,6,1)&lt;EDATE(DATE(YEAR($H120),MONTH($H120),1),$O120)),MIN($P120,MAX(0,$N120-$U120-SUM($V120:Z120))),0))</f>
        <v/>
      </c>
      <c r="AB120" s="457">
        <f>IF($AO120&lt;&gt;"OK",0,IF(AND(DATE('Thiết lập'!$B$4,7,1)&gt;=DATE(YEAR($H120),MONTH($H120),1),DATE('Thiết lập'!$B$4,7,1)&lt;EDATE(DATE(YEAR($H120),MONTH($H120),1),$O120)),MIN($P120,MAX(0,$N120-$U120-SUM($V120:AA120))),0))</f>
        <v/>
      </c>
      <c r="AC120" s="457">
        <f>IF($AO120&lt;&gt;"OK",0,IF(AND(DATE('Thiết lập'!$B$4,8,1)&gt;=DATE(YEAR($H120),MONTH($H120),1),DATE('Thiết lập'!$B$4,8,1)&lt;EDATE(DATE(YEAR($H120),MONTH($H120),1),$O120)),MIN($P120,MAX(0,$N120-$U120-SUM($V120:AB120))),0))</f>
        <v/>
      </c>
      <c r="AD120" s="457">
        <f>IF($AO120&lt;&gt;"OK",0,IF(AND(DATE('Thiết lập'!$B$4,9,1)&gt;=DATE(YEAR($H120),MONTH($H120),1),DATE('Thiết lập'!$B$4,9,1)&lt;EDATE(DATE(YEAR($H120),MONTH($H120),1),$O120)),MIN($P120,MAX(0,$N120-$U120-SUM($V120:AC120))),0))</f>
        <v/>
      </c>
      <c r="AE120" s="457">
        <f>IF($AO120&lt;&gt;"OK",0,IF(AND(DATE('Thiết lập'!$B$4,10,1)&gt;=DATE(YEAR($H120),MONTH($H120),1),DATE('Thiết lập'!$B$4,10,1)&lt;EDATE(DATE(YEAR($H120),MONTH($H120),1),$O120)),MIN($P120,MAX(0,$N120-$U120-SUM($V120:AD120))),0))</f>
        <v/>
      </c>
      <c r="AF120" s="457">
        <f>IF($AO120&lt;&gt;"OK",0,IF(AND(DATE('Thiết lập'!$B$4,11,1)&gt;=DATE(YEAR($H120),MONTH($H120),1),DATE('Thiết lập'!$B$4,11,1)&lt;EDATE(DATE(YEAR($H120),MONTH($H120),1),$O120)),MIN($P120,MAX(0,$N120-$U120-SUM($V120:AE120))),0))</f>
        <v/>
      </c>
      <c r="AG120" s="457">
        <f>IF($AO120&lt;&gt;"OK",0,IF(AND(DATE('Thiết lập'!$B$4,12,1)&gt;=DATE(YEAR($H120),MONTH($H120),1),DATE('Thiết lập'!$B$4,12,1)&lt;EDATE(DATE(YEAR($H120),MONTH($H120),1),$O120)),MIN($P120,MAX(0,$N120-$U120-SUM($V120:AF120))),0))</f>
        <v/>
      </c>
      <c r="AH120" s="457">
        <f>IF(B120="","",SUM(V120:AG120))</f>
        <v/>
      </c>
      <c r="AI120" s="457">
        <f>IF(B120="","",MIN(N120,IF(U120="",0,U120)+AH120))</f>
        <v/>
      </c>
      <c r="AJ120" s="457">
        <f>IF(B120="","",MAX(0,L120-AI120))</f>
        <v/>
      </c>
      <c r="AK120" s="337">
        <f>IF(B120="","",IF(H120&gt;'Thiết lập'!$B$5,"Chưa khấu hao",IF(AJ120&lt;=IF(M120="",0,M120),"Đã hết khấu hao","Đang khấu hao")))</f>
        <v/>
      </c>
      <c r="AL120" s="275" t="n"/>
      <c r="AM120" s="275" t="n"/>
      <c r="AN120" s="275" t="n"/>
      <c r="AO120" s="343">
        <f>IF(B120="","",IF(COUNTIF($B$7:$B$306,B120)&gt;1,"Trùng mã TSCĐ",IF(C120="","Thiếu tên TSCĐ",IF(H120="","Thiếu ngày bắt đầu",IF(OR(I120&lt;=0,L120&lt;=0,O120&lt;=0),"Kiểm tra số lượng/nguyên giá/thời gian",IF(AND(G120&lt;&gt;"",H120&lt;G120),"Ngày KH trước ngày ghi tăng",IF(M120&gt;L120,"Giá trị thu hồi vượt nguyên giá",IF(IF(U120="",0,U120)&gt;N120,"Lũy kế đầu năm vượt GTKH","OK"))))))))</f>
        <v/>
      </c>
    </row>
    <row r="121" ht="20" customHeight="1" s="389">
      <c r="A121" s="325">
        <f>IF(B121="","",ROW()-6)</f>
        <v/>
      </c>
      <c r="B121" s="275" t="n"/>
      <c r="C121" s="275" t="n"/>
      <c r="D121" s="331" t="n"/>
      <c r="E121" s="331" t="n"/>
      <c r="F121" s="454" t="n"/>
      <c r="G121" s="454" t="n"/>
      <c r="H121" s="454" t="n"/>
      <c r="I121" s="455" t="n"/>
      <c r="J121" s="456" t="n"/>
      <c r="K121" s="456" t="n"/>
      <c r="L121" s="457">
        <f>IF(B121="","",IF(OR(I121="",J121=""),"",I121*J121+IF(K121="",0,K121)))</f>
        <v/>
      </c>
      <c r="M121" s="456" t="n"/>
      <c r="N121" s="457">
        <f>IF(L121="","",MAX(0,L121-IF(M121="",0,M121)))</f>
        <v/>
      </c>
      <c r="O121" s="455" t="n"/>
      <c r="P121" s="457">
        <f>IF(OR(N121="",O121&lt;=0),"",ROUND(N121/O121,0))</f>
        <v/>
      </c>
      <c r="Q121" s="458">
        <f>IF(OR(H121="",O121&lt;=0),"",EOMONTH(H121,O121-1))</f>
        <v/>
      </c>
      <c r="R121" s="331" t="n"/>
      <c r="S121" s="331" t="n"/>
      <c r="T121" s="331" t="n"/>
      <c r="U121" s="456" t="n"/>
      <c r="V121" s="457">
        <f>IF($AO121&lt;&gt;"OK",0,IF(AND(DATE('Thiết lập'!$B$4,1,1)&gt;=DATE(YEAR($H121),MONTH($H121),1),DATE('Thiết lập'!$B$4,1,1)&lt;EDATE(DATE(YEAR($H121),MONTH($H121),1),$O121)),MIN($P121,MAX(0,$N121-$U121-0)),0))</f>
        <v/>
      </c>
      <c r="W121" s="457">
        <f>IF($AO121&lt;&gt;"OK",0,IF(AND(DATE('Thiết lập'!$B$4,2,1)&gt;=DATE(YEAR($H121),MONTH($H121),1),DATE('Thiết lập'!$B$4,2,1)&lt;EDATE(DATE(YEAR($H121),MONTH($H121),1),$O121)),MIN($P121,MAX(0,$N121-$U121-SUM($V121:V121))),0))</f>
        <v/>
      </c>
      <c r="X121" s="457">
        <f>IF($AO121&lt;&gt;"OK",0,IF(AND(DATE('Thiết lập'!$B$4,3,1)&gt;=DATE(YEAR($H121),MONTH($H121),1),DATE('Thiết lập'!$B$4,3,1)&lt;EDATE(DATE(YEAR($H121),MONTH($H121),1),$O121)),MIN($P121,MAX(0,$N121-$U121-SUM($V121:W121))),0))</f>
        <v/>
      </c>
      <c r="Y121" s="457">
        <f>IF($AO121&lt;&gt;"OK",0,IF(AND(DATE('Thiết lập'!$B$4,4,1)&gt;=DATE(YEAR($H121),MONTH($H121),1),DATE('Thiết lập'!$B$4,4,1)&lt;EDATE(DATE(YEAR($H121),MONTH($H121),1),$O121)),MIN($P121,MAX(0,$N121-$U121-SUM($V121:X121))),0))</f>
        <v/>
      </c>
      <c r="Z121" s="457">
        <f>IF($AO121&lt;&gt;"OK",0,IF(AND(DATE('Thiết lập'!$B$4,5,1)&gt;=DATE(YEAR($H121),MONTH($H121),1),DATE('Thiết lập'!$B$4,5,1)&lt;EDATE(DATE(YEAR($H121),MONTH($H121),1),$O121)),MIN($P121,MAX(0,$N121-$U121-SUM($V121:Y121))),0))</f>
        <v/>
      </c>
      <c r="AA121" s="457">
        <f>IF($AO121&lt;&gt;"OK",0,IF(AND(DATE('Thiết lập'!$B$4,6,1)&gt;=DATE(YEAR($H121),MONTH($H121),1),DATE('Thiết lập'!$B$4,6,1)&lt;EDATE(DATE(YEAR($H121),MONTH($H121),1),$O121)),MIN($P121,MAX(0,$N121-$U121-SUM($V121:Z121))),0))</f>
        <v/>
      </c>
      <c r="AB121" s="457">
        <f>IF($AO121&lt;&gt;"OK",0,IF(AND(DATE('Thiết lập'!$B$4,7,1)&gt;=DATE(YEAR($H121),MONTH($H121),1),DATE('Thiết lập'!$B$4,7,1)&lt;EDATE(DATE(YEAR($H121),MONTH($H121),1),$O121)),MIN($P121,MAX(0,$N121-$U121-SUM($V121:AA121))),0))</f>
        <v/>
      </c>
      <c r="AC121" s="457">
        <f>IF($AO121&lt;&gt;"OK",0,IF(AND(DATE('Thiết lập'!$B$4,8,1)&gt;=DATE(YEAR($H121),MONTH($H121),1),DATE('Thiết lập'!$B$4,8,1)&lt;EDATE(DATE(YEAR($H121),MONTH($H121),1),$O121)),MIN($P121,MAX(0,$N121-$U121-SUM($V121:AB121))),0))</f>
        <v/>
      </c>
      <c r="AD121" s="457">
        <f>IF($AO121&lt;&gt;"OK",0,IF(AND(DATE('Thiết lập'!$B$4,9,1)&gt;=DATE(YEAR($H121),MONTH($H121),1),DATE('Thiết lập'!$B$4,9,1)&lt;EDATE(DATE(YEAR($H121),MONTH($H121),1),$O121)),MIN($P121,MAX(0,$N121-$U121-SUM($V121:AC121))),0))</f>
        <v/>
      </c>
      <c r="AE121" s="457">
        <f>IF($AO121&lt;&gt;"OK",0,IF(AND(DATE('Thiết lập'!$B$4,10,1)&gt;=DATE(YEAR($H121),MONTH($H121),1),DATE('Thiết lập'!$B$4,10,1)&lt;EDATE(DATE(YEAR($H121),MONTH($H121),1),$O121)),MIN($P121,MAX(0,$N121-$U121-SUM($V121:AD121))),0))</f>
        <v/>
      </c>
      <c r="AF121" s="457">
        <f>IF($AO121&lt;&gt;"OK",0,IF(AND(DATE('Thiết lập'!$B$4,11,1)&gt;=DATE(YEAR($H121),MONTH($H121),1),DATE('Thiết lập'!$B$4,11,1)&lt;EDATE(DATE(YEAR($H121),MONTH($H121),1),$O121)),MIN($P121,MAX(0,$N121-$U121-SUM($V121:AE121))),0))</f>
        <v/>
      </c>
      <c r="AG121" s="457">
        <f>IF($AO121&lt;&gt;"OK",0,IF(AND(DATE('Thiết lập'!$B$4,12,1)&gt;=DATE(YEAR($H121),MONTH($H121),1),DATE('Thiết lập'!$B$4,12,1)&lt;EDATE(DATE(YEAR($H121),MONTH($H121),1),$O121)),MIN($P121,MAX(0,$N121-$U121-SUM($V121:AF121))),0))</f>
        <v/>
      </c>
      <c r="AH121" s="457">
        <f>IF(B121="","",SUM(V121:AG121))</f>
        <v/>
      </c>
      <c r="AI121" s="457">
        <f>IF(B121="","",MIN(N121,IF(U121="",0,U121)+AH121))</f>
        <v/>
      </c>
      <c r="AJ121" s="457">
        <f>IF(B121="","",MAX(0,L121-AI121))</f>
        <v/>
      </c>
      <c r="AK121" s="337">
        <f>IF(B121="","",IF(H121&gt;'Thiết lập'!$B$5,"Chưa khấu hao",IF(AJ121&lt;=IF(M121="",0,M121),"Đã hết khấu hao","Đang khấu hao")))</f>
        <v/>
      </c>
      <c r="AL121" s="275" t="n"/>
      <c r="AM121" s="275" t="n"/>
      <c r="AN121" s="275" t="n"/>
      <c r="AO121" s="343">
        <f>IF(B121="","",IF(COUNTIF($B$7:$B$306,B121)&gt;1,"Trùng mã TSCĐ",IF(C121="","Thiếu tên TSCĐ",IF(H121="","Thiếu ngày bắt đầu",IF(OR(I121&lt;=0,L121&lt;=0,O121&lt;=0),"Kiểm tra số lượng/nguyên giá/thời gian",IF(AND(G121&lt;&gt;"",H121&lt;G121),"Ngày KH trước ngày ghi tăng",IF(M121&gt;L121,"Giá trị thu hồi vượt nguyên giá",IF(IF(U121="",0,U121)&gt;N121,"Lũy kế đầu năm vượt GTKH","OK"))))))))</f>
        <v/>
      </c>
    </row>
    <row r="122" ht="20" customHeight="1" s="389">
      <c r="A122" s="325">
        <f>IF(B122="","",ROW()-6)</f>
        <v/>
      </c>
      <c r="B122" s="275" t="n"/>
      <c r="C122" s="275" t="n"/>
      <c r="D122" s="331" t="n"/>
      <c r="E122" s="331" t="n"/>
      <c r="F122" s="454" t="n"/>
      <c r="G122" s="454" t="n"/>
      <c r="H122" s="454" t="n"/>
      <c r="I122" s="455" t="n"/>
      <c r="J122" s="456" t="n"/>
      <c r="K122" s="456" t="n"/>
      <c r="L122" s="457">
        <f>IF(B122="","",IF(OR(I122="",J122=""),"",I122*J122+IF(K122="",0,K122)))</f>
        <v/>
      </c>
      <c r="M122" s="456" t="n"/>
      <c r="N122" s="457">
        <f>IF(L122="","",MAX(0,L122-IF(M122="",0,M122)))</f>
        <v/>
      </c>
      <c r="O122" s="455" t="n"/>
      <c r="P122" s="457">
        <f>IF(OR(N122="",O122&lt;=0),"",ROUND(N122/O122,0))</f>
        <v/>
      </c>
      <c r="Q122" s="458">
        <f>IF(OR(H122="",O122&lt;=0),"",EOMONTH(H122,O122-1))</f>
        <v/>
      </c>
      <c r="R122" s="331" t="n"/>
      <c r="S122" s="331" t="n"/>
      <c r="T122" s="331" t="n"/>
      <c r="U122" s="456" t="n"/>
      <c r="V122" s="457">
        <f>IF($AO122&lt;&gt;"OK",0,IF(AND(DATE('Thiết lập'!$B$4,1,1)&gt;=DATE(YEAR($H122),MONTH($H122),1),DATE('Thiết lập'!$B$4,1,1)&lt;EDATE(DATE(YEAR($H122),MONTH($H122),1),$O122)),MIN($P122,MAX(0,$N122-$U122-0)),0))</f>
        <v/>
      </c>
      <c r="W122" s="457">
        <f>IF($AO122&lt;&gt;"OK",0,IF(AND(DATE('Thiết lập'!$B$4,2,1)&gt;=DATE(YEAR($H122),MONTH($H122),1),DATE('Thiết lập'!$B$4,2,1)&lt;EDATE(DATE(YEAR($H122),MONTH($H122),1),$O122)),MIN($P122,MAX(0,$N122-$U122-SUM($V122:V122))),0))</f>
        <v/>
      </c>
      <c r="X122" s="457">
        <f>IF($AO122&lt;&gt;"OK",0,IF(AND(DATE('Thiết lập'!$B$4,3,1)&gt;=DATE(YEAR($H122),MONTH($H122),1),DATE('Thiết lập'!$B$4,3,1)&lt;EDATE(DATE(YEAR($H122),MONTH($H122),1),$O122)),MIN($P122,MAX(0,$N122-$U122-SUM($V122:W122))),0))</f>
        <v/>
      </c>
      <c r="Y122" s="457">
        <f>IF($AO122&lt;&gt;"OK",0,IF(AND(DATE('Thiết lập'!$B$4,4,1)&gt;=DATE(YEAR($H122),MONTH($H122),1),DATE('Thiết lập'!$B$4,4,1)&lt;EDATE(DATE(YEAR($H122),MONTH($H122),1),$O122)),MIN($P122,MAX(0,$N122-$U122-SUM($V122:X122))),0))</f>
        <v/>
      </c>
      <c r="Z122" s="457">
        <f>IF($AO122&lt;&gt;"OK",0,IF(AND(DATE('Thiết lập'!$B$4,5,1)&gt;=DATE(YEAR($H122),MONTH($H122),1),DATE('Thiết lập'!$B$4,5,1)&lt;EDATE(DATE(YEAR($H122),MONTH($H122),1),$O122)),MIN($P122,MAX(0,$N122-$U122-SUM($V122:Y122))),0))</f>
        <v/>
      </c>
      <c r="AA122" s="457">
        <f>IF($AO122&lt;&gt;"OK",0,IF(AND(DATE('Thiết lập'!$B$4,6,1)&gt;=DATE(YEAR($H122),MONTH($H122),1),DATE('Thiết lập'!$B$4,6,1)&lt;EDATE(DATE(YEAR($H122),MONTH($H122),1),$O122)),MIN($P122,MAX(0,$N122-$U122-SUM($V122:Z122))),0))</f>
        <v/>
      </c>
      <c r="AB122" s="457">
        <f>IF($AO122&lt;&gt;"OK",0,IF(AND(DATE('Thiết lập'!$B$4,7,1)&gt;=DATE(YEAR($H122),MONTH($H122),1),DATE('Thiết lập'!$B$4,7,1)&lt;EDATE(DATE(YEAR($H122),MONTH($H122),1),$O122)),MIN($P122,MAX(0,$N122-$U122-SUM($V122:AA122))),0))</f>
        <v/>
      </c>
      <c r="AC122" s="457">
        <f>IF($AO122&lt;&gt;"OK",0,IF(AND(DATE('Thiết lập'!$B$4,8,1)&gt;=DATE(YEAR($H122),MONTH($H122),1),DATE('Thiết lập'!$B$4,8,1)&lt;EDATE(DATE(YEAR($H122),MONTH($H122),1),$O122)),MIN($P122,MAX(0,$N122-$U122-SUM($V122:AB122))),0))</f>
        <v/>
      </c>
      <c r="AD122" s="457">
        <f>IF($AO122&lt;&gt;"OK",0,IF(AND(DATE('Thiết lập'!$B$4,9,1)&gt;=DATE(YEAR($H122),MONTH($H122),1),DATE('Thiết lập'!$B$4,9,1)&lt;EDATE(DATE(YEAR($H122),MONTH($H122),1),$O122)),MIN($P122,MAX(0,$N122-$U122-SUM($V122:AC122))),0))</f>
        <v/>
      </c>
      <c r="AE122" s="457">
        <f>IF($AO122&lt;&gt;"OK",0,IF(AND(DATE('Thiết lập'!$B$4,10,1)&gt;=DATE(YEAR($H122),MONTH($H122),1),DATE('Thiết lập'!$B$4,10,1)&lt;EDATE(DATE(YEAR($H122),MONTH($H122),1),$O122)),MIN($P122,MAX(0,$N122-$U122-SUM($V122:AD122))),0))</f>
        <v/>
      </c>
      <c r="AF122" s="457">
        <f>IF($AO122&lt;&gt;"OK",0,IF(AND(DATE('Thiết lập'!$B$4,11,1)&gt;=DATE(YEAR($H122),MONTH($H122),1),DATE('Thiết lập'!$B$4,11,1)&lt;EDATE(DATE(YEAR($H122),MONTH($H122),1),$O122)),MIN($P122,MAX(0,$N122-$U122-SUM($V122:AE122))),0))</f>
        <v/>
      </c>
      <c r="AG122" s="457">
        <f>IF($AO122&lt;&gt;"OK",0,IF(AND(DATE('Thiết lập'!$B$4,12,1)&gt;=DATE(YEAR($H122),MONTH($H122),1),DATE('Thiết lập'!$B$4,12,1)&lt;EDATE(DATE(YEAR($H122),MONTH($H122),1),$O122)),MIN($P122,MAX(0,$N122-$U122-SUM($V122:AF122))),0))</f>
        <v/>
      </c>
      <c r="AH122" s="457">
        <f>IF(B122="","",SUM(V122:AG122))</f>
        <v/>
      </c>
      <c r="AI122" s="457">
        <f>IF(B122="","",MIN(N122,IF(U122="",0,U122)+AH122))</f>
        <v/>
      </c>
      <c r="AJ122" s="457">
        <f>IF(B122="","",MAX(0,L122-AI122))</f>
        <v/>
      </c>
      <c r="AK122" s="337">
        <f>IF(B122="","",IF(H122&gt;'Thiết lập'!$B$5,"Chưa khấu hao",IF(AJ122&lt;=IF(M122="",0,M122),"Đã hết khấu hao","Đang khấu hao")))</f>
        <v/>
      </c>
      <c r="AL122" s="275" t="n"/>
      <c r="AM122" s="275" t="n"/>
      <c r="AN122" s="275" t="n"/>
      <c r="AO122" s="343">
        <f>IF(B122="","",IF(COUNTIF($B$7:$B$306,B122)&gt;1,"Trùng mã TSCĐ",IF(C122="","Thiếu tên TSCĐ",IF(H122="","Thiếu ngày bắt đầu",IF(OR(I122&lt;=0,L122&lt;=0,O122&lt;=0),"Kiểm tra số lượng/nguyên giá/thời gian",IF(AND(G122&lt;&gt;"",H122&lt;G122),"Ngày KH trước ngày ghi tăng",IF(M122&gt;L122,"Giá trị thu hồi vượt nguyên giá",IF(IF(U122="",0,U122)&gt;N122,"Lũy kế đầu năm vượt GTKH","OK"))))))))</f>
        <v/>
      </c>
    </row>
    <row r="123" ht="20" customHeight="1" s="389">
      <c r="A123" s="325">
        <f>IF(B123="","",ROW()-6)</f>
        <v/>
      </c>
      <c r="B123" s="275" t="n"/>
      <c r="C123" s="275" t="n"/>
      <c r="D123" s="331" t="n"/>
      <c r="E123" s="331" t="n"/>
      <c r="F123" s="454" t="n"/>
      <c r="G123" s="454" t="n"/>
      <c r="H123" s="454" t="n"/>
      <c r="I123" s="455" t="n"/>
      <c r="J123" s="456" t="n"/>
      <c r="K123" s="456" t="n"/>
      <c r="L123" s="457">
        <f>IF(B123="","",IF(OR(I123="",J123=""),"",I123*J123+IF(K123="",0,K123)))</f>
        <v/>
      </c>
      <c r="M123" s="456" t="n"/>
      <c r="N123" s="457">
        <f>IF(L123="","",MAX(0,L123-IF(M123="",0,M123)))</f>
        <v/>
      </c>
      <c r="O123" s="455" t="n"/>
      <c r="P123" s="457">
        <f>IF(OR(N123="",O123&lt;=0),"",ROUND(N123/O123,0))</f>
        <v/>
      </c>
      <c r="Q123" s="458">
        <f>IF(OR(H123="",O123&lt;=0),"",EOMONTH(H123,O123-1))</f>
        <v/>
      </c>
      <c r="R123" s="331" t="n"/>
      <c r="S123" s="331" t="n"/>
      <c r="T123" s="331" t="n"/>
      <c r="U123" s="456" t="n"/>
      <c r="V123" s="457">
        <f>IF($AO123&lt;&gt;"OK",0,IF(AND(DATE('Thiết lập'!$B$4,1,1)&gt;=DATE(YEAR($H123),MONTH($H123),1),DATE('Thiết lập'!$B$4,1,1)&lt;EDATE(DATE(YEAR($H123),MONTH($H123),1),$O123)),MIN($P123,MAX(0,$N123-$U123-0)),0))</f>
        <v/>
      </c>
      <c r="W123" s="457">
        <f>IF($AO123&lt;&gt;"OK",0,IF(AND(DATE('Thiết lập'!$B$4,2,1)&gt;=DATE(YEAR($H123),MONTH($H123),1),DATE('Thiết lập'!$B$4,2,1)&lt;EDATE(DATE(YEAR($H123),MONTH($H123),1),$O123)),MIN($P123,MAX(0,$N123-$U123-SUM($V123:V123))),0))</f>
        <v/>
      </c>
      <c r="X123" s="457">
        <f>IF($AO123&lt;&gt;"OK",0,IF(AND(DATE('Thiết lập'!$B$4,3,1)&gt;=DATE(YEAR($H123),MONTH($H123),1),DATE('Thiết lập'!$B$4,3,1)&lt;EDATE(DATE(YEAR($H123),MONTH($H123),1),$O123)),MIN($P123,MAX(0,$N123-$U123-SUM($V123:W123))),0))</f>
        <v/>
      </c>
      <c r="Y123" s="457">
        <f>IF($AO123&lt;&gt;"OK",0,IF(AND(DATE('Thiết lập'!$B$4,4,1)&gt;=DATE(YEAR($H123),MONTH($H123),1),DATE('Thiết lập'!$B$4,4,1)&lt;EDATE(DATE(YEAR($H123),MONTH($H123),1),$O123)),MIN($P123,MAX(0,$N123-$U123-SUM($V123:X123))),0))</f>
        <v/>
      </c>
      <c r="Z123" s="457">
        <f>IF($AO123&lt;&gt;"OK",0,IF(AND(DATE('Thiết lập'!$B$4,5,1)&gt;=DATE(YEAR($H123),MONTH($H123),1),DATE('Thiết lập'!$B$4,5,1)&lt;EDATE(DATE(YEAR($H123),MONTH($H123),1),$O123)),MIN($P123,MAX(0,$N123-$U123-SUM($V123:Y123))),0))</f>
        <v/>
      </c>
      <c r="AA123" s="457">
        <f>IF($AO123&lt;&gt;"OK",0,IF(AND(DATE('Thiết lập'!$B$4,6,1)&gt;=DATE(YEAR($H123),MONTH($H123),1),DATE('Thiết lập'!$B$4,6,1)&lt;EDATE(DATE(YEAR($H123),MONTH($H123),1),$O123)),MIN($P123,MAX(0,$N123-$U123-SUM($V123:Z123))),0))</f>
        <v/>
      </c>
      <c r="AB123" s="457">
        <f>IF($AO123&lt;&gt;"OK",0,IF(AND(DATE('Thiết lập'!$B$4,7,1)&gt;=DATE(YEAR($H123),MONTH($H123),1),DATE('Thiết lập'!$B$4,7,1)&lt;EDATE(DATE(YEAR($H123),MONTH($H123),1),$O123)),MIN($P123,MAX(0,$N123-$U123-SUM($V123:AA123))),0))</f>
        <v/>
      </c>
      <c r="AC123" s="457">
        <f>IF($AO123&lt;&gt;"OK",0,IF(AND(DATE('Thiết lập'!$B$4,8,1)&gt;=DATE(YEAR($H123),MONTH($H123),1),DATE('Thiết lập'!$B$4,8,1)&lt;EDATE(DATE(YEAR($H123),MONTH($H123),1),$O123)),MIN($P123,MAX(0,$N123-$U123-SUM($V123:AB123))),0))</f>
        <v/>
      </c>
      <c r="AD123" s="457">
        <f>IF($AO123&lt;&gt;"OK",0,IF(AND(DATE('Thiết lập'!$B$4,9,1)&gt;=DATE(YEAR($H123),MONTH($H123),1),DATE('Thiết lập'!$B$4,9,1)&lt;EDATE(DATE(YEAR($H123),MONTH($H123),1),$O123)),MIN($P123,MAX(0,$N123-$U123-SUM($V123:AC123))),0))</f>
        <v/>
      </c>
      <c r="AE123" s="457">
        <f>IF($AO123&lt;&gt;"OK",0,IF(AND(DATE('Thiết lập'!$B$4,10,1)&gt;=DATE(YEAR($H123),MONTH($H123),1),DATE('Thiết lập'!$B$4,10,1)&lt;EDATE(DATE(YEAR($H123),MONTH($H123),1),$O123)),MIN($P123,MAX(0,$N123-$U123-SUM($V123:AD123))),0))</f>
        <v/>
      </c>
      <c r="AF123" s="457">
        <f>IF($AO123&lt;&gt;"OK",0,IF(AND(DATE('Thiết lập'!$B$4,11,1)&gt;=DATE(YEAR($H123),MONTH($H123),1),DATE('Thiết lập'!$B$4,11,1)&lt;EDATE(DATE(YEAR($H123),MONTH($H123),1),$O123)),MIN($P123,MAX(0,$N123-$U123-SUM($V123:AE123))),0))</f>
        <v/>
      </c>
      <c r="AG123" s="457">
        <f>IF($AO123&lt;&gt;"OK",0,IF(AND(DATE('Thiết lập'!$B$4,12,1)&gt;=DATE(YEAR($H123),MONTH($H123),1),DATE('Thiết lập'!$B$4,12,1)&lt;EDATE(DATE(YEAR($H123),MONTH($H123),1),$O123)),MIN($P123,MAX(0,$N123-$U123-SUM($V123:AF123))),0))</f>
        <v/>
      </c>
      <c r="AH123" s="457">
        <f>IF(B123="","",SUM(V123:AG123))</f>
        <v/>
      </c>
      <c r="AI123" s="457">
        <f>IF(B123="","",MIN(N123,IF(U123="",0,U123)+AH123))</f>
        <v/>
      </c>
      <c r="AJ123" s="457">
        <f>IF(B123="","",MAX(0,L123-AI123))</f>
        <v/>
      </c>
      <c r="AK123" s="337">
        <f>IF(B123="","",IF(H123&gt;'Thiết lập'!$B$5,"Chưa khấu hao",IF(AJ123&lt;=IF(M123="",0,M123),"Đã hết khấu hao","Đang khấu hao")))</f>
        <v/>
      </c>
      <c r="AL123" s="275" t="n"/>
      <c r="AM123" s="275" t="n"/>
      <c r="AN123" s="275" t="n"/>
      <c r="AO123" s="343">
        <f>IF(B123="","",IF(COUNTIF($B$7:$B$306,B123)&gt;1,"Trùng mã TSCĐ",IF(C123="","Thiếu tên TSCĐ",IF(H123="","Thiếu ngày bắt đầu",IF(OR(I123&lt;=0,L123&lt;=0,O123&lt;=0),"Kiểm tra số lượng/nguyên giá/thời gian",IF(AND(G123&lt;&gt;"",H123&lt;G123),"Ngày KH trước ngày ghi tăng",IF(M123&gt;L123,"Giá trị thu hồi vượt nguyên giá",IF(IF(U123="",0,U123)&gt;N123,"Lũy kế đầu năm vượt GTKH","OK"))))))))</f>
        <v/>
      </c>
    </row>
    <row r="124" ht="20" customHeight="1" s="389">
      <c r="A124" s="325">
        <f>IF(B124="","",ROW()-6)</f>
        <v/>
      </c>
      <c r="B124" s="275" t="n"/>
      <c r="C124" s="275" t="n"/>
      <c r="D124" s="331" t="n"/>
      <c r="E124" s="331" t="n"/>
      <c r="F124" s="454" t="n"/>
      <c r="G124" s="454" t="n"/>
      <c r="H124" s="454" t="n"/>
      <c r="I124" s="455" t="n"/>
      <c r="J124" s="456" t="n"/>
      <c r="K124" s="456" t="n"/>
      <c r="L124" s="457">
        <f>IF(B124="","",IF(OR(I124="",J124=""),"",I124*J124+IF(K124="",0,K124)))</f>
        <v/>
      </c>
      <c r="M124" s="456" t="n"/>
      <c r="N124" s="457">
        <f>IF(L124="","",MAX(0,L124-IF(M124="",0,M124)))</f>
        <v/>
      </c>
      <c r="O124" s="455" t="n"/>
      <c r="P124" s="457">
        <f>IF(OR(N124="",O124&lt;=0),"",ROUND(N124/O124,0))</f>
        <v/>
      </c>
      <c r="Q124" s="458">
        <f>IF(OR(H124="",O124&lt;=0),"",EOMONTH(H124,O124-1))</f>
        <v/>
      </c>
      <c r="R124" s="331" t="n"/>
      <c r="S124" s="331" t="n"/>
      <c r="T124" s="331" t="n"/>
      <c r="U124" s="456" t="n"/>
      <c r="V124" s="457">
        <f>IF($AO124&lt;&gt;"OK",0,IF(AND(DATE('Thiết lập'!$B$4,1,1)&gt;=DATE(YEAR($H124),MONTH($H124),1),DATE('Thiết lập'!$B$4,1,1)&lt;EDATE(DATE(YEAR($H124),MONTH($H124),1),$O124)),MIN($P124,MAX(0,$N124-$U124-0)),0))</f>
        <v/>
      </c>
      <c r="W124" s="457">
        <f>IF($AO124&lt;&gt;"OK",0,IF(AND(DATE('Thiết lập'!$B$4,2,1)&gt;=DATE(YEAR($H124),MONTH($H124),1),DATE('Thiết lập'!$B$4,2,1)&lt;EDATE(DATE(YEAR($H124),MONTH($H124),1),$O124)),MIN($P124,MAX(0,$N124-$U124-SUM($V124:V124))),0))</f>
        <v/>
      </c>
      <c r="X124" s="457">
        <f>IF($AO124&lt;&gt;"OK",0,IF(AND(DATE('Thiết lập'!$B$4,3,1)&gt;=DATE(YEAR($H124),MONTH($H124),1),DATE('Thiết lập'!$B$4,3,1)&lt;EDATE(DATE(YEAR($H124),MONTH($H124),1),$O124)),MIN($P124,MAX(0,$N124-$U124-SUM($V124:W124))),0))</f>
        <v/>
      </c>
      <c r="Y124" s="457">
        <f>IF($AO124&lt;&gt;"OK",0,IF(AND(DATE('Thiết lập'!$B$4,4,1)&gt;=DATE(YEAR($H124),MONTH($H124),1),DATE('Thiết lập'!$B$4,4,1)&lt;EDATE(DATE(YEAR($H124),MONTH($H124),1),$O124)),MIN($P124,MAX(0,$N124-$U124-SUM($V124:X124))),0))</f>
        <v/>
      </c>
      <c r="Z124" s="457">
        <f>IF($AO124&lt;&gt;"OK",0,IF(AND(DATE('Thiết lập'!$B$4,5,1)&gt;=DATE(YEAR($H124),MONTH($H124),1),DATE('Thiết lập'!$B$4,5,1)&lt;EDATE(DATE(YEAR($H124),MONTH($H124),1),$O124)),MIN($P124,MAX(0,$N124-$U124-SUM($V124:Y124))),0))</f>
        <v/>
      </c>
      <c r="AA124" s="457">
        <f>IF($AO124&lt;&gt;"OK",0,IF(AND(DATE('Thiết lập'!$B$4,6,1)&gt;=DATE(YEAR($H124),MONTH($H124),1),DATE('Thiết lập'!$B$4,6,1)&lt;EDATE(DATE(YEAR($H124),MONTH($H124),1),$O124)),MIN($P124,MAX(0,$N124-$U124-SUM($V124:Z124))),0))</f>
        <v/>
      </c>
      <c r="AB124" s="457">
        <f>IF($AO124&lt;&gt;"OK",0,IF(AND(DATE('Thiết lập'!$B$4,7,1)&gt;=DATE(YEAR($H124),MONTH($H124),1),DATE('Thiết lập'!$B$4,7,1)&lt;EDATE(DATE(YEAR($H124),MONTH($H124),1),$O124)),MIN($P124,MAX(0,$N124-$U124-SUM($V124:AA124))),0))</f>
        <v/>
      </c>
      <c r="AC124" s="457">
        <f>IF($AO124&lt;&gt;"OK",0,IF(AND(DATE('Thiết lập'!$B$4,8,1)&gt;=DATE(YEAR($H124),MONTH($H124),1),DATE('Thiết lập'!$B$4,8,1)&lt;EDATE(DATE(YEAR($H124),MONTH($H124),1),$O124)),MIN($P124,MAX(0,$N124-$U124-SUM($V124:AB124))),0))</f>
        <v/>
      </c>
      <c r="AD124" s="457">
        <f>IF($AO124&lt;&gt;"OK",0,IF(AND(DATE('Thiết lập'!$B$4,9,1)&gt;=DATE(YEAR($H124),MONTH($H124),1),DATE('Thiết lập'!$B$4,9,1)&lt;EDATE(DATE(YEAR($H124),MONTH($H124),1),$O124)),MIN($P124,MAX(0,$N124-$U124-SUM($V124:AC124))),0))</f>
        <v/>
      </c>
      <c r="AE124" s="457">
        <f>IF($AO124&lt;&gt;"OK",0,IF(AND(DATE('Thiết lập'!$B$4,10,1)&gt;=DATE(YEAR($H124),MONTH($H124),1),DATE('Thiết lập'!$B$4,10,1)&lt;EDATE(DATE(YEAR($H124),MONTH($H124),1),$O124)),MIN($P124,MAX(0,$N124-$U124-SUM($V124:AD124))),0))</f>
        <v/>
      </c>
      <c r="AF124" s="457">
        <f>IF($AO124&lt;&gt;"OK",0,IF(AND(DATE('Thiết lập'!$B$4,11,1)&gt;=DATE(YEAR($H124),MONTH($H124),1),DATE('Thiết lập'!$B$4,11,1)&lt;EDATE(DATE(YEAR($H124),MONTH($H124),1),$O124)),MIN($P124,MAX(0,$N124-$U124-SUM($V124:AE124))),0))</f>
        <v/>
      </c>
      <c r="AG124" s="457">
        <f>IF($AO124&lt;&gt;"OK",0,IF(AND(DATE('Thiết lập'!$B$4,12,1)&gt;=DATE(YEAR($H124),MONTH($H124),1),DATE('Thiết lập'!$B$4,12,1)&lt;EDATE(DATE(YEAR($H124),MONTH($H124),1),$O124)),MIN($P124,MAX(0,$N124-$U124-SUM($V124:AF124))),0))</f>
        <v/>
      </c>
      <c r="AH124" s="457">
        <f>IF(B124="","",SUM(V124:AG124))</f>
        <v/>
      </c>
      <c r="AI124" s="457">
        <f>IF(B124="","",MIN(N124,IF(U124="",0,U124)+AH124))</f>
        <v/>
      </c>
      <c r="AJ124" s="457">
        <f>IF(B124="","",MAX(0,L124-AI124))</f>
        <v/>
      </c>
      <c r="AK124" s="337">
        <f>IF(B124="","",IF(H124&gt;'Thiết lập'!$B$5,"Chưa khấu hao",IF(AJ124&lt;=IF(M124="",0,M124),"Đã hết khấu hao","Đang khấu hao")))</f>
        <v/>
      </c>
      <c r="AL124" s="275" t="n"/>
      <c r="AM124" s="275" t="n"/>
      <c r="AN124" s="275" t="n"/>
      <c r="AO124" s="343">
        <f>IF(B124="","",IF(COUNTIF($B$7:$B$306,B124)&gt;1,"Trùng mã TSCĐ",IF(C124="","Thiếu tên TSCĐ",IF(H124="","Thiếu ngày bắt đầu",IF(OR(I124&lt;=0,L124&lt;=0,O124&lt;=0),"Kiểm tra số lượng/nguyên giá/thời gian",IF(AND(G124&lt;&gt;"",H124&lt;G124),"Ngày KH trước ngày ghi tăng",IF(M124&gt;L124,"Giá trị thu hồi vượt nguyên giá",IF(IF(U124="",0,U124)&gt;N124,"Lũy kế đầu năm vượt GTKH","OK"))))))))</f>
        <v/>
      </c>
    </row>
    <row r="125" ht="20" customHeight="1" s="389">
      <c r="A125" s="325">
        <f>IF(B125="","",ROW()-6)</f>
        <v/>
      </c>
      <c r="B125" s="275" t="n"/>
      <c r="C125" s="275" t="n"/>
      <c r="D125" s="331" t="n"/>
      <c r="E125" s="331" t="n"/>
      <c r="F125" s="454" t="n"/>
      <c r="G125" s="454" t="n"/>
      <c r="H125" s="454" t="n"/>
      <c r="I125" s="455" t="n"/>
      <c r="J125" s="456" t="n"/>
      <c r="K125" s="456" t="n"/>
      <c r="L125" s="457">
        <f>IF(B125="","",IF(OR(I125="",J125=""),"",I125*J125+IF(K125="",0,K125)))</f>
        <v/>
      </c>
      <c r="M125" s="456" t="n"/>
      <c r="N125" s="457">
        <f>IF(L125="","",MAX(0,L125-IF(M125="",0,M125)))</f>
        <v/>
      </c>
      <c r="O125" s="455" t="n"/>
      <c r="P125" s="457">
        <f>IF(OR(N125="",O125&lt;=0),"",ROUND(N125/O125,0))</f>
        <v/>
      </c>
      <c r="Q125" s="458">
        <f>IF(OR(H125="",O125&lt;=0),"",EOMONTH(H125,O125-1))</f>
        <v/>
      </c>
      <c r="R125" s="331" t="n"/>
      <c r="S125" s="331" t="n"/>
      <c r="T125" s="331" t="n"/>
      <c r="U125" s="456" t="n"/>
      <c r="V125" s="457">
        <f>IF($AO125&lt;&gt;"OK",0,IF(AND(DATE('Thiết lập'!$B$4,1,1)&gt;=DATE(YEAR($H125),MONTH($H125),1),DATE('Thiết lập'!$B$4,1,1)&lt;EDATE(DATE(YEAR($H125),MONTH($H125),1),$O125)),MIN($P125,MAX(0,$N125-$U125-0)),0))</f>
        <v/>
      </c>
      <c r="W125" s="457">
        <f>IF($AO125&lt;&gt;"OK",0,IF(AND(DATE('Thiết lập'!$B$4,2,1)&gt;=DATE(YEAR($H125),MONTH($H125),1),DATE('Thiết lập'!$B$4,2,1)&lt;EDATE(DATE(YEAR($H125),MONTH($H125),1),$O125)),MIN($P125,MAX(0,$N125-$U125-SUM($V125:V125))),0))</f>
        <v/>
      </c>
      <c r="X125" s="457">
        <f>IF($AO125&lt;&gt;"OK",0,IF(AND(DATE('Thiết lập'!$B$4,3,1)&gt;=DATE(YEAR($H125),MONTH($H125),1),DATE('Thiết lập'!$B$4,3,1)&lt;EDATE(DATE(YEAR($H125),MONTH($H125),1),$O125)),MIN($P125,MAX(0,$N125-$U125-SUM($V125:W125))),0))</f>
        <v/>
      </c>
      <c r="Y125" s="457">
        <f>IF($AO125&lt;&gt;"OK",0,IF(AND(DATE('Thiết lập'!$B$4,4,1)&gt;=DATE(YEAR($H125),MONTH($H125),1),DATE('Thiết lập'!$B$4,4,1)&lt;EDATE(DATE(YEAR($H125),MONTH($H125),1),$O125)),MIN($P125,MAX(0,$N125-$U125-SUM($V125:X125))),0))</f>
        <v/>
      </c>
      <c r="Z125" s="457">
        <f>IF($AO125&lt;&gt;"OK",0,IF(AND(DATE('Thiết lập'!$B$4,5,1)&gt;=DATE(YEAR($H125),MONTH($H125),1),DATE('Thiết lập'!$B$4,5,1)&lt;EDATE(DATE(YEAR($H125),MONTH($H125),1),$O125)),MIN($P125,MAX(0,$N125-$U125-SUM($V125:Y125))),0))</f>
        <v/>
      </c>
      <c r="AA125" s="457">
        <f>IF($AO125&lt;&gt;"OK",0,IF(AND(DATE('Thiết lập'!$B$4,6,1)&gt;=DATE(YEAR($H125),MONTH($H125),1),DATE('Thiết lập'!$B$4,6,1)&lt;EDATE(DATE(YEAR($H125),MONTH($H125),1),$O125)),MIN($P125,MAX(0,$N125-$U125-SUM($V125:Z125))),0))</f>
        <v/>
      </c>
      <c r="AB125" s="457">
        <f>IF($AO125&lt;&gt;"OK",0,IF(AND(DATE('Thiết lập'!$B$4,7,1)&gt;=DATE(YEAR($H125),MONTH($H125),1),DATE('Thiết lập'!$B$4,7,1)&lt;EDATE(DATE(YEAR($H125),MONTH($H125),1),$O125)),MIN($P125,MAX(0,$N125-$U125-SUM($V125:AA125))),0))</f>
        <v/>
      </c>
      <c r="AC125" s="457">
        <f>IF($AO125&lt;&gt;"OK",0,IF(AND(DATE('Thiết lập'!$B$4,8,1)&gt;=DATE(YEAR($H125),MONTH($H125),1),DATE('Thiết lập'!$B$4,8,1)&lt;EDATE(DATE(YEAR($H125),MONTH($H125),1),$O125)),MIN($P125,MAX(0,$N125-$U125-SUM($V125:AB125))),0))</f>
        <v/>
      </c>
      <c r="AD125" s="457">
        <f>IF($AO125&lt;&gt;"OK",0,IF(AND(DATE('Thiết lập'!$B$4,9,1)&gt;=DATE(YEAR($H125),MONTH($H125),1),DATE('Thiết lập'!$B$4,9,1)&lt;EDATE(DATE(YEAR($H125),MONTH($H125),1),$O125)),MIN($P125,MAX(0,$N125-$U125-SUM($V125:AC125))),0))</f>
        <v/>
      </c>
      <c r="AE125" s="457">
        <f>IF($AO125&lt;&gt;"OK",0,IF(AND(DATE('Thiết lập'!$B$4,10,1)&gt;=DATE(YEAR($H125),MONTH($H125),1),DATE('Thiết lập'!$B$4,10,1)&lt;EDATE(DATE(YEAR($H125),MONTH($H125),1),$O125)),MIN($P125,MAX(0,$N125-$U125-SUM($V125:AD125))),0))</f>
        <v/>
      </c>
      <c r="AF125" s="457">
        <f>IF($AO125&lt;&gt;"OK",0,IF(AND(DATE('Thiết lập'!$B$4,11,1)&gt;=DATE(YEAR($H125),MONTH($H125),1),DATE('Thiết lập'!$B$4,11,1)&lt;EDATE(DATE(YEAR($H125),MONTH($H125),1),$O125)),MIN($P125,MAX(0,$N125-$U125-SUM($V125:AE125))),0))</f>
        <v/>
      </c>
      <c r="AG125" s="457">
        <f>IF($AO125&lt;&gt;"OK",0,IF(AND(DATE('Thiết lập'!$B$4,12,1)&gt;=DATE(YEAR($H125),MONTH($H125),1),DATE('Thiết lập'!$B$4,12,1)&lt;EDATE(DATE(YEAR($H125),MONTH($H125),1),$O125)),MIN($P125,MAX(0,$N125-$U125-SUM($V125:AF125))),0))</f>
        <v/>
      </c>
      <c r="AH125" s="457">
        <f>IF(B125="","",SUM(V125:AG125))</f>
        <v/>
      </c>
      <c r="AI125" s="457">
        <f>IF(B125="","",MIN(N125,IF(U125="",0,U125)+AH125))</f>
        <v/>
      </c>
      <c r="AJ125" s="457">
        <f>IF(B125="","",MAX(0,L125-AI125))</f>
        <v/>
      </c>
      <c r="AK125" s="337">
        <f>IF(B125="","",IF(H125&gt;'Thiết lập'!$B$5,"Chưa khấu hao",IF(AJ125&lt;=IF(M125="",0,M125),"Đã hết khấu hao","Đang khấu hao")))</f>
        <v/>
      </c>
      <c r="AL125" s="275" t="n"/>
      <c r="AM125" s="275" t="n"/>
      <c r="AN125" s="275" t="n"/>
      <c r="AO125" s="343">
        <f>IF(B125="","",IF(COUNTIF($B$7:$B$306,B125)&gt;1,"Trùng mã TSCĐ",IF(C125="","Thiếu tên TSCĐ",IF(H125="","Thiếu ngày bắt đầu",IF(OR(I125&lt;=0,L125&lt;=0,O125&lt;=0),"Kiểm tra số lượng/nguyên giá/thời gian",IF(AND(G125&lt;&gt;"",H125&lt;G125),"Ngày KH trước ngày ghi tăng",IF(M125&gt;L125,"Giá trị thu hồi vượt nguyên giá",IF(IF(U125="",0,U125)&gt;N125,"Lũy kế đầu năm vượt GTKH","OK"))))))))</f>
        <v/>
      </c>
    </row>
    <row r="126" ht="20" customHeight="1" s="389">
      <c r="A126" s="325">
        <f>IF(B126="","",ROW()-6)</f>
        <v/>
      </c>
      <c r="B126" s="275" t="n"/>
      <c r="C126" s="275" t="n"/>
      <c r="D126" s="331" t="n"/>
      <c r="E126" s="331" t="n"/>
      <c r="F126" s="454" t="n"/>
      <c r="G126" s="454" t="n"/>
      <c r="H126" s="454" t="n"/>
      <c r="I126" s="455" t="n"/>
      <c r="J126" s="456" t="n"/>
      <c r="K126" s="456" t="n"/>
      <c r="L126" s="457">
        <f>IF(B126="","",IF(OR(I126="",J126=""),"",I126*J126+IF(K126="",0,K126)))</f>
        <v/>
      </c>
      <c r="M126" s="456" t="n"/>
      <c r="N126" s="457">
        <f>IF(L126="","",MAX(0,L126-IF(M126="",0,M126)))</f>
        <v/>
      </c>
      <c r="O126" s="455" t="n"/>
      <c r="P126" s="457">
        <f>IF(OR(N126="",O126&lt;=0),"",ROUND(N126/O126,0))</f>
        <v/>
      </c>
      <c r="Q126" s="458">
        <f>IF(OR(H126="",O126&lt;=0),"",EOMONTH(H126,O126-1))</f>
        <v/>
      </c>
      <c r="R126" s="331" t="n"/>
      <c r="S126" s="331" t="n"/>
      <c r="T126" s="331" t="n"/>
      <c r="U126" s="456" t="n"/>
      <c r="V126" s="457">
        <f>IF($AO126&lt;&gt;"OK",0,IF(AND(DATE('Thiết lập'!$B$4,1,1)&gt;=DATE(YEAR($H126),MONTH($H126),1),DATE('Thiết lập'!$B$4,1,1)&lt;EDATE(DATE(YEAR($H126),MONTH($H126),1),$O126)),MIN($P126,MAX(0,$N126-$U126-0)),0))</f>
        <v/>
      </c>
      <c r="W126" s="457">
        <f>IF($AO126&lt;&gt;"OK",0,IF(AND(DATE('Thiết lập'!$B$4,2,1)&gt;=DATE(YEAR($H126),MONTH($H126),1),DATE('Thiết lập'!$B$4,2,1)&lt;EDATE(DATE(YEAR($H126),MONTH($H126),1),$O126)),MIN($P126,MAX(0,$N126-$U126-SUM($V126:V126))),0))</f>
        <v/>
      </c>
      <c r="X126" s="457">
        <f>IF($AO126&lt;&gt;"OK",0,IF(AND(DATE('Thiết lập'!$B$4,3,1)&gt;=DATE(YEAR($H126),MONTH($H126),1),DATE('Thiết lập'!$B$4,3,1)&lt;EDATE(DATE(YEAR($H126),MONTH($H126),1),$O126)),MIN($P126,MAX(0,$N126-$U126-SUM($V126:W126))),0))</f>
        <v/>
      </c>
      <c r="Y126" s="457">
        <f>IF($AO126&lt;&gt;"OK",0,IF(AND(DATE('Thiết lập'!$B$4,4,1)&gt;=DATE(YEAR($H126),MONTH($H126),1),DATE('Thiết lập'!$B$4,4,1)&lt;EDATE(DATE(YEAR($H126),MONTH($H126),1),$O126)),MIN($P126,MAX(0,$N126-$U126-SUM($V126:X126))),0))</f>
        <v/>
      </c>
      <c r="Z126" s="457">
        <f>IF($AO126&lt;&gt;"OK",0,IF(AND(DATE('Thiết lập'!$B$4,5,1)&gt;=DATE(YEAR($H126),MONTH($H126),1),DATE('Thiết lập'!$B$4,5,1)&lt;EDATE(DATE(YEAR($H126),MONTH($H126),1),$O126)),MIN($P126,MAX(0,$N126-$U126-SUM($V126:Y126))),0))</f>
        <v/>
      </c>
      <c r="AA126" s="457">
        <f>IF($AO126&lt;&gt;"OK",0,IF(AND(DATE('Thiết lập'!$B$4,6,1)&gt;=DATE(YEAR($H126),MONTH($H126),1),DATE('Thiết lập'!$B$4,6,1)&lt;EDATE(DATE(YEAR($H126),MONTH($H126),1),$O126)),MIN($P126,MAX(0,$N126-$U126-SUM($V126:Z126))),0))</f>
        <v/>
      </c>
      <c r="AB126" s="457">
        <f>IF($AO126&lt;&gt;"OK",0,IF(AND(DATE('Thiết lập'!$B$4,7,1)&gt;=DATE(YEAR($H126),MONTH($H126),1),DATE('Thiết lập'!$B$4,7,1)&lt;EDATE(DATE(YEAR($H126),MONTH($H126),1),$O126)),MIN($P126,MAX(0,$N126-$U126-SUM($V126:AA126))),0))</f>
        <v/>
      </c>
      <c r="AC126" s="457">
        <f>IF($AO126&lt;&gt;"OK",0,IF(AND(DATE('Thiết lập'!$B$4,8,1)&gt;=DATE(YEAR($H126),MONTH($H126),1),DATE('Thiết lập'!$B$4,8,1)&lt;EDATE(DATE(YEAR($H126),MONTH($H126),1),$O126)),MIN($P126,MAX(0,$N126-$U126-SUM($V126:AB126))),0))</f>
        <v/>
      </c>
      <c r="AD126" s="457">
        <f>IF($AO126&lt;&gt;"OK",0,IF(AND(DATE('Thiết lập'!$B$4,9,1)&gt;=DATE(YEAR($H126),MONTH($H126),1),DATE('Thiết lập'!$B$4,9,1)&lt;EDATE(DATE(YEAR($H126),MONTH($H126),1),$O126)),MIN($P126,MAX(0,$N126-$U126-SUM($V126:AC126))),0))</f>
        <v/>
      </c>
      <c r="AE126" s="457">
        <f>IF($AO126&lt;&gt;"OK",0,IF(AND(DATE('Thiết lập'!$B$4,10,1)&gt;=DATE(YEAR($H126),MONTH($H126),1),DATE('Thiết lập'!$B$4,10,1)&lt;EDATE(DATE(YEAR($H126),MONTH($H126),1),$O126)),MIN($P126,MAX(0,$N126-$U126-SUM($V126:AD126))),0))</f>
        <v/>
      </c>
      <c r="AF126" s="457">
        <f>IF($AO126&lt;&gt;"OK",0,IF(AND(DATE('Thiết lập'!$B$4,11,1)&gt;=DATE(YEAR($H126),MONTH($H126),1),DATE('Thiết lập'!$B$4,11,1)&lt;EDATE(DATE(YEAR($H126),MONTH($H126),1),$O126)),MIN($P126,MAX(0,$N126-$U126-SUM($V126:AE126))),0))</f>
        <v/>
      </c>
      <c r="AG126" s="457">
        <f>IF($AO126&lt;&gt;"OK",0,IF(AND(DATE('Thiết lập'!$B$4,12,1)&gt;=DATE(YEAR($H126),MONTH($H126),1),DATE('Thiết lập'!$B$4,12,1)&lt;EDATE(DATE(YEAR($H126),MONTH($H126),1),$O126)),MIN($P126,MAX(0,$N126-$U126-SUM($V126:AF126))),0))</f>
        <v/>
      </c>
      <c r="AH126" s="457">
        <f>IF(B126="","",SUM(V126:AG126))</f>
        <v/>
      </c>
      <c r="AI126" s="457">
        <f>IF(B126="","",MIN(N126,IF(U126="",0,U126)+AH126))</f>
        <v/>
      </c>
      <c r="AJ126" s="457">
        <f>IF(B126="","",MAX(0,L126-AI126))</f>
        <v/>
      </c>
      <c r="AK126" s="337">
        <f>IF(B126="","",IF(H126&gt;'Thiết lập'!$B$5,"Chưa khấu hao",IF(AJ126&lt;=IF(M126="",0,M126),"Đã hết khấu hao","Đang khấu hao")))</f>
        <v/>
      </c>
      <c r="AL126" s="275" t="n"/>
      <c r="AM126" s="275" t="n"/>
      <c r="AN126" s="275" t="n"/>
      <c r="AO126" s="343">
        <f>IF(B126="","",IF(COUNTIF($B$7:$B$306,B126)&gt;1,"Trùng mã TSCĐ",IF(C126="","Thiếu tên TSCĐ",IF(H126="","Thiếu ngày bắt đầu",IF(OR(I126&lt;=0,L126&lt;=0,O126&lt;=0),"Kiểm tra số lượng/nguyên giá/thời gian",IF(AND(G126&lt;&gt;"",H126&lt;G126),"Ngày KH trước ngày ghi tăng",IF(M126&gt;L126,"Giá trị thu hồi vượt nguyên giá",IF(IF(U126="",0,U126)&gt;N126,"Lũy kế đầu năm vượt GTKH","OK"))))))))</f>
        <v/>
      </c>
    </row>
    <row r="127" ht="20" customHeight="1" s="389">
      <c r="A127" s="325">
        <f>IF(B127="","",ROW()-6)</f>
        <v/>
      </c>
      <c r="B127" s="275" t="n"/>
      <c r="C127" s="275" t="n"/>
      <c r="D127" s="331" t="n"/>
      <c r="E127" s="331" t="n"/>
      <c r="F127" s="454" t="n"/>
      <c r="G127" s="454" t="n"/>
      <c r="H127" s="454" t="n"/>
      <c r="I127" s="455" t="n"/>
      <c r="J127" s="456" t="n"/>
      <c r="K127" s="456" t="n"/>
      <c r="L127" s="457">
        <f>IF(B127="","",IF(OR(I127="",J127=""),"",I127*J127+IF(K127="",0,K127)))</f>
        <v/>
      </c>
      <c r="M127" s="456" t="n"/>
      <c r="N127" s="457">
        <f>IF(L127="","",MAX(0,L127-IF(M127="",0,M127)))</f>
        <v/>
      </c>
      <c r="O127" s="455" t="n"/>
      <c r="P127" s="457">
        <f>IF(OR(N127="",O127&lt;=0),"",ROUND(N127/O127,0))</f>
        <v/>
      </c>
      <c r="Q127" s="458">
        <f>IF(OR(H127="",O127&lt;=0),"",EOMONTH(H127,O127-1))</f>
        <v/>
      </c>
      <c r="R127" s="331" t="n"/>
      <c r="S127" s="331" t="n"/>
      <c r="T127" s="331" t="n"/>
      <c r="U127" s="456" t="n"/>
      <c r="V127" s="457">
        <f>IF($AO127&lt;&gt;"OK",0,IF(AND(DATE('Thiết lập'!$B$4,1,1)&gt;=DATE(YEAR($H127),MONTH($H127),1),DATE('Thiết lập'!$B$4,1,1)&lt;EDATE(DATE(YEAR($H127),MONTH($H127),1),$O127)),MIN($P127,MAX(0,$N127-$U127-0)),0))</f>
        <v/>
      </c>
      <c r="W127" s="457">
        <f>IF($AO127&lt;&gt;"OK",0,IF(AND(DATE('Thiết lập'!$B$4,2,1)&gt;=DATE(YEAR($H127),MONTH($H127),1),DATE('Thiết lập'!$B$4,2,1)&lt;EDATE(DATE(YEAR($H127),MONTH($H127),1),$O127)),MIN($P127,MAX(0,$N127-$U127-SUM($V127:V127))),0))</f>
        <v/>
      </c>
      <c r="X127" s="457">
        <f>IF($AO127&lt;&gt;"OK",0,IF(AND(DATE('Thiết lập'!$B$4,3,1)&gt;=DATE(YEAR($H127),MONTH($H127),1),DATE('Thiết lập'!$B$4,3,1)&lt;EDATE(DATE(YEAR($H127),MONTH($H127),1),$O127)),MIN($P127,MAX(0,$N127-$U127-SUM($V127:W127))),0))</f>
        <v/>
      </c>
      <c r="Y127" s="457">
        <f>IF($AO127&lt;&gt;"OK",0,IF(AND(DATE('Thiết lập'!$B$4,4,1)&gt;=DATE(YEAR($H127),MONTH($H127),1),DATE('Thiết lập'!$B$4,4,1)&lt;EDATE(DATE(YEAR($H127),MONTH($H127),1),$O127)),MIN($P127,MAX(0,$N127-$U127-SUM($V127:X127))),0))</f>
        <v/>
      </c>
      <c r="Z127" s="457">
        <f>IF($AO127&lt;&gt;"OK",0,IF(AND(DATE('Thiết lập'!$B$4,5,1)&gt;=DATE(YEAR($H127),MONTH($H127),1),DATE('Thiết lập'!$B$4,5,1)&lt;EDATE(DATE(YEAR($H127),MONTH($H127),1),$O127)),MIN($P127,MAX(0,$N127-$U127-SUM($V127:Y127))),0))</f>
        <v/>
      </c>
      <c r="AA127" s="457">
        <f>IF($AO127&lt;&gt;"OK",0,IF(AND(DATE('Thiết lập'!$B$4,6,1)&gt;=DATE(YEAR($H127),MONTH($H127),1),DATE('Thiết lập'!$B$4,6,1)&lt;EDATE(DATE(YEAR($H127),MONTH($H127),1),$O127)),MIN($P127,MAX(0,$N127-$U127-SUM($V127:Z127))),0))</f>
        <v/>
      </c>
      <c r="AB127" s="457">
        <f>IF($AO127&lt;&gt;"OK",0,IF(AND(DATE('Thiết lập'!$B$4,7,1)&gt;=DATE(YEAR($H127),MONTH($H127),1),DATE('Thiết lập'!$B$4,7,1)&lt;EDATE(DATE(YEAR($H127),MONTH($H127),1),$O127)),MIN($P127,MAX(0,$N127-$U127-SUM($V127:AA127))),0))</f>
        <v/>
      </c>
      <c r="AC127" s="457">
        <f>IF($AO127&lt;&gt;"OK",0,IF(AND(DATE('Thiết lập'!$B$4,8,1)&gt;=DATE(YEAR($H127),MONTH($H127),1),DATE('Thiết lập'!$B$4,8,1)&lt;EDATE(DATE(YEAR($H127),MONTH($H127),1),$O127)),MIN($P127,MAX(0,$N127-$U127-SUM($V127:AB127))),0))</f>
        <v/>
      </c>
      <c r="AD127" s="457">
        <f>IF($AO127&lt;&gt;"OK",0,IF(AND(DATE('Thiết lập'!$B$4,9,1)&gt;=DATE(YEAR($H127),MONTH($H127),1),DATE('Thiết lập'!$B$4,9,1)&lt;EDATE(DATE(YEAR($H127),MONTH($H127),1),$O127)),MIN($P127,MAX(0,$N127-$U127-SUM($V127:AC127))),0))</f>
        <v/>
      </c>
      <c r="AE127" s="457">
        <f>IF($AO127&lt;&gt;"OK",0,IF(AND(DATE('Thiết lập'!$B$4,10,1)&gt;=DATE(YEAR($H127),MONTH($H127),1),DATE('Thiết lập'!$B$4,10,1)&lt;EDATE(DATE(YEAR($H127),MONTH($H127),1),$O127)),MIN($P127,MAX(0,$N127-$U127-SUM($V127:AD127))),0))</f>
        <v/>
      </c>
      <c r="AF127" s="457">
        <f>IF($AO127&lt;&gt;"OK",0,IF(AND(DATE('Thiết lập'!$B$4,11,1)&gt;=DATE(YEAR($H127),MONTH($H127),1),DATE('Thiết lập'!$B$4,11,1)&lt;EDATE(DATE(YEAR($H127),MONTH($H127),1),$O127)),MIN($P127,MAX(0,$N127-$U127-SUM($V127:AE127))),0))</f>
        <v/>
      </c>
      <c r="AG127" s="457">
        <f>IF($AO127&lt;&gt;"OK",0,IF(AND(DATE('Thiết lập'!$B$4,12,1)&gt;=DATE(YEAR($H127),MONTH($H127),1),DATE('Thiết lập'!$B$4,12,1)&lt;EDATE(DATE(YEAR($H127),MONTH($H127),1),$O127)),MIN($P127,MAX(0,$N127-$U127-SUM($V127:AF127))),0))</f>
        <v/>
      </c>
      <c r="AH127" s="457">
        <f>IF(B127="","",SUM(V127:AG127))</f>
        <v/>
      </c>
      <c r="AI127" s="457">
        <f>IF(B127="","",MIN(N127,IF(U127="",0,U127)+AH127))</f>
        <v/>
      </c>
      <c r="AJ127" s="457">
        <f>IF(B127="","",MAX(0,L127-AI127))</f>
        <v/>
      </c>
      <c r="AK127" s="337">
        <f>IF(B127="","",IF(H127&gt;'Thiết lập'!$B$5,"Chưa khấu hao",IF(AJ127&lt;=IF(M127="",0,M127),"Đã hết khấu hao","Đang khấu hao")))</f>
        <v/>
      </c>
      <c r="AL127" s="275" t="n"/>
      <c r="AM127" s="275" t="n"/>
      <c r="AN127" s="275" t="n"/>
      <c r="AO127" s="343">
        <f>IF(B127="","",IF(COUNTIF($B$7:$B$306,B127)&gt;1,"Trùng mã TSCĐ",IF(C127="","Thiếu tên TSCĐ",IF(H127="","Thiếu ngày bắt đầu",IF(OR(I127&lt;=0,L127&lt;=0,O127&lt;=0),"Kiểm tra số lượng/nguyên giá/thời gian",IF(AND(G127&lt;&gt;"",H127&lt;G127),"Ngày KH trước ngày ghi tăng",IF(M127&gt;L127,"Giá trị thu hồi vượt nguyên giá",IF(IF(U127="",0,U127)&gt;N127,"Lũy kế đầu năm vượt GTKH","OK"))))))))</f>
        <v/>
      </c>
    </row>
    <row r="128" ht="20" customHeight="1" s="389">
      <c r="A128" s="325">
        <f>IF(B128="","",ROW()-6)</f>
        <v/>
      </c>
      <c r="B128" s="275" t="n"/>
      <c r="C128" s="275" t="n"/>
      <c r="D128" s="331" t="n"/>
      <c r="E128" s="331" t="n"/>
      <c r="F128" s="454" t="n"/>
      <c r="G128" s="454" t="n"/>
      <c r="H128" s="454" t="n"/>
      <c r="I128" s="455" t="n"/>
      <c r="J128" s="456" t="n"/>
      <c r="K128" s="456" t="n"/>
      <c r="L128" s="457">
        <f>IF(B128="","",IF(OR(I128="",J128=""),"",I128*J128+IF(K128="",0,K128)))</f>
        <v/>
      </c>
      <c r="M128" s="456" t="n"/>
      <c r="N128" s="457">
        <f>IF(L128="","",MAX(0,L128-IF(M128="",0,M128)))</f>
        <v/>
      </c>
      <c r="O128" s="455" t="n"/>
      <c r="P128" s="457">
        <f>IF(OR(N128="",O128&lt;=0),"",ROUND(N128/O128,0))</f>
        <v/>
      </c>
      <c r="Q128" s="458">
        <f>IF(OR(H128="",O128&lt;=0),"",EOMONTH(H128,O128-1))</f>
        <v/>
      </c>
      <c r="R128" s="331" t="n"/>
      <c r="S128" s="331" t="n"/>
      <c r="T128" s="331" t="n"/>
      <c r="U128" s="456" t="n"/>
      <c r="V128" s="457">
        <f>IF($AO128&lt;&gt;"OK",0,IF(AND(DATE('Thiết lập'!$B$4,1,1)&gt;=DATE(YEAR($H128),MONTH($H128),1),DATE('Thiết lập'!$B$4,1,1)&lt;EDATE(DATE(YEAR($H128),MONTH($H128),1),$O128)),MIN($P128,MAX(0,$N128-$U128-0)),0))</f>
        <v/>
      </c>
      <c r="W128" s="457">
        <f>IF($AO128&lt;&gt;"OK",0,IF(AND(DATE('Thiết lập'!$B$4,2,1)&gt;=DATE(YEAR($H128),MONTH($H128),1),DATE('Thiết lập'!$B$4,2,1)&lt;EDATE(DATE(YEAR($H128),MONTH($H128),1),$O128)),MIN($P128,MAX(0,$N128-$U128-SUM($V128:V128))),0))</f>
        <v/>
      </c>
      <c r="X128" s="457">
        <f>IF($AO128&lt;&gt;"OK",0,IF(AND(DATE('Thiết lập'!$B$4,3,1)&gt;=DATE(YEAR($H128),MONTH($H128),1),DATE('Thiết lập'!$B$4,3,1)&lt;EDATE(DATE(YEAR($H128),MONTH($H128),1),$O128)),MIN($P128,MAX(0,$N128-$U128-SUM($V128:W128))),0))</f>
        <v/>
      </c>
      <c r="Y128" s="457">
        <f>IF($AO128&lt;&gt;"OK",0,IF(AND(DATE('Thiết lập'!$B$4,4,1)&gt;=DATE(YEAR($H128),MONTH($H128),1),DATE('Thiết lập'!$B$4,4,1)&lt;EDATE(DATE(YEAR($H128),MONTH($H128),1),$O128)),MIN($P128,MAX(0,$N128-$U128-SUM($V128:X128))),0))</f>
        <v/>
      </c>
      <c r="Z128" s="457">
        <f>IF($AO128&lt;&gt;"OK",0,IF(AND(DATE('Thiết lập'!$B$4,5,1)&gt;=DATE(YEAR($H128),MONTH($H128),1),DATE('Thiết lập'!$B$4,5,1)&lt;EDATE(DATE(YEAR($H128),MONTH($H128),1),$O128)),MIN($P128,MAX(0,$N128-$U128-SUM($V128:Y128))),0))</f>
        <v/>
      </c>
      <c r="AA128" s="457">
        <f>IF($AO128&lt;&gt;"OK",0,IF(AND(DATE('Thiết lập'!$B$4,6,1)&gt;=DATE(YEAR($H128),MONTH($H128),1),DATE('Thiết lập'!$B$4,6,1)&lt;EDATE(DATE(YEAR($H128),MONTH($H128),1),$O128)),MIN($P128,MAX(0,$N128-$U128-SUM($V128:Z128))),0))</f>
        <v/>
      </c>
      <c r="AB128" s="457">
        <f>IF($AO128&lt;&gt;"OK",0,IF(AND(DATE('Thiết lập'!$B$4,7,1)&gt;=DATE(YEAR($H128),MONTH($H128),1),DATE('Thiết lập'!$B$4,7,1)&lt;EDATE(DATE(YEAR($H128),MONTH($H128),1),$O128)),MIN($P128,MAX(0,$N128-$U128-SUM($V128:AA128))),0))</f>
        <v/>
      </c>
      <c r="AC128" s="457">
        <f>IF($AO128&lt;&gt;"OK",0,IF(AND(DATE('Thiết lập'!$B$4,8,1)&gt;=DATE(YEAR($H128),MONTH($H128),1),DATE('Thiết lập'!$B$4,8,1)&lt;EDATE(DATE(YEAR($H128),MONTH($H128),1),$O128)),MIN($P128,MAX(0,$N128-$U128-SUM($V128:AB128))),0))</f>
        <v/>
      </c>
      <c r="AD128" s="457">
        <f>IF($AO128&lt;&gt;"OK",0,IF(AND(DATE('Thiết lập'!$B$4,9,1)&gt;=DATE(YEAR($H128),MONTH($H128),1),DATE('Thiết lập'!$B$4,9,1)&lt;EDATE(DATE(YEAR($H128),MONTH($H128),1),$O128)),MIN($P128,MAX(0,$N128-$U128-SUM($V128:AC128))),0))</f>
        <v/>
      </c>
      <c r="AE128" s="457">
        <f>IF($AO128&lt;&gt;"OK",0,IF(AND(DATE('Thiết lập'!$B$4,10,1)&gt;=DATE(YEAR($H128),MONTH($H128),1),DATE('Thiết lập'!$B$4,10,1)&lt;EDATE(DATE(YEAR($H128),MONTH($H128),1),$O128)),MIN($P128,MAX(0,$N128-$U128-SUM($V128:AD128))),0))</f>
        <v/>
      </c>
      <c r="AF128" s="457">
        <f>IF($AO128&lt;&gt;"OK",0,IF(AND(DATE('Thiết lập'!$B$4,11,1)&gt;=DATE(YEAR($H128),MONTH($H128),1),DATE('Thiết lập'!$B$4,11,1)&lt;EDATE(DATE(YEAR($H128),MONTH($H128),1),$O128)),MIN($P128,MAX(0,$N128-$U128-SUM($V128:AE128))),0))</f>
        <v/>
      </c>
      <c r="AG128" s="457">
        <f>IF($AO128&lt;&gt;"OK",0,IF(AND(DATE('Thiết lập'!$B$4,12,1)&gt;=DATE(YEAR($H128),MONTH($H128),1),DATE('Thiết lập'!$B$4,12,1)&lt;EDATE(DATE(YEAR($H128),MONTH($H128),1),$O128)),MIN($P128,MAX(0,$N128-$U128-SUM($V128:AF128))),0))</f>
        <v/>
      </c>
      <c r="AH128" s="457">
        <f>IF(B128="","",SUM(V128:AG128))</f>
        <v/>
      </c>
      <c r="AI128" s="457">
        <f>IF(B128="","",MIN(N128,IF(U128="",0,U128)+AH128))</f>
        <v/>
      </c>
      <c r="AJ128" s="457">
        <f>IF(B128="","",MAX(0,L128-AI128))</f>
        <v/>
      </c>
      <c r="AK128" s="337">
        <f>IF(B128="","",IF(H128&gt;'Thiết lập'!$B$5,"Chưa khấu hao",IF(AJ128&lt;=IF(M128="",0,M128),"Đã hết khấu hao","Đang khấu hao")))</f>
        <v/>
      </c>
      <c r="AL128" s="275" t="n"/>
      <c r="AM128" s="275" t="n"/>
      <c r="AN128" s="275" t="n"/>
      <c r="AO128" s="343">
        <f>IF(B128="","",IF(COUNTIF($B$7:$B$306,B128)&gt;1,"Trùng mã TSCĐ",IF(C128="","Thiếu tên TSCĐ",IF(H128="","Thiếu ngày bắt đầu",IF(OR(I128&lt;=0,L128&lt;=0,O128&lt;=0),"Kiểm tra số lượng/nguyên giá/thời gian",IF(AND(G128&lt;&gt;"",H128&lt;G128),"Ngày KH trước ngày ghi tăng",IF(M128&gt;L128,"Giá trị thu hồi vượt nguyên giá",IF(IF(U128="",0,U128)&gt;N128,"Lũy kế đầu năm vượt GTKH","OK"))))))))</f>
        <v/>
      </c>
    </row>
    <row r="129" ht="20" customHeight="1" s="389">
      <c r="A129" s="325">
        <f>IF(B129="","",ROW()-6)</f>
        <v/>
      </c>
      <c r="B129" s="275" t="n"/>
      <c r="C129" s="275" t="n"/>
      <c r="D129" s="331" t="n"/>
      <c r="E129" s="331" t="n"/>
      <c r="F129" s="454" t="n"/>
      <c r="G129" s="454" t="n"/>
      <c r="H129" s="454" t="n"/>
      <c r="I129" s="455" t="n"/>
      <c r="J129" s="456" t="n"/>
      <c r="K129" s="456" t="n"/>
      <c r="L129" s="457">
        <f>IF(B129="","",IF(OR(I129="",J129=""),"",I129*J129+IF(K129="",0,K129)))</f>
        <v/>
      </c>
      <c r="M129" s="456" t="n"/>
      <c r="N129" s="457">
        <f>IF(L129="","",MAX(0,L129-IF(M129="",0,M129)))</f>
        <v/>
      </c>
      <c r="O129" s="455" t="n"/>
      <c r="P129" s="457">
        <f>IF(OR(N129="",O129&lt;=0),"",ROUND(N129/O129,0))</f>
        <v/>
      </c>
      <c r="Q129" s="458">
        <f>IF(OR(H129="",O129&lt;=0),"",EOMONTH(H129,O129-1))</f>
        <v/>
      </c>
      <c r="R129" s="331" t="n"/>
      <c r="S129" s="331" t="n"/>
      <c r="T129" s="331" t="n"/>
      <c r="U129" s="456" t="n"/>
      <c r="V129" s="457">
        <f>IF($AO129&lt;&gt;"OK",0,IF(AND(DATE('Thiết lập'!$B$4,1,1)&gt;=DATE(YEAR($H129),MONTH($H129),1),DATE('Thiết lập'!$B$4,1,1)&lt;EDATE(DATE(YEAR($H129),MONTH($H129),1),$O129)),MIN($P129,MAX(0,$N129-$U129-0)),0))</f>
        <v/>
      </c>
      <c r="W129" s="457">
        <f>IF($AO129&lt;&gt;"OK",0,IF(AND(DATE('Thiết lập'!$B$4,2,1)&gt;=DATE(YEAR($H129),MONTH($H129),1),DATE('Thiết lập'!$B$4,2,1)&lt;EDATE(DATE(YEAR($H129),MONTH($H129),1),$O129)),MIN($P129,MAX(0,$N129-$U129-SUM($V129:V129))),0))</f>
        <v/>
      </c>
      <c r="X129" s="457">
        <f>IF($AO129&lt;&gt;"OK",0,IF(AND(DATE('Thiết lập'!$B$4,3,1)&gt;=DATE(YEAR($H129),MONTH($H129),1),DATE('Thiết lập'!$B$4,3,1)&lt;EDATE(DATE(YEAR($H129),MONTH($H129),1),$O129)),MIN($P129,MAX(0,$N129-$U129-SUM($V129:W129))),0))</f>
        <v/>
      </c>
      <c r="Y129" s="457">
        <f>IF($AO129&lt;&gt;"OK",0,IF(AND(DATE('Thiết lập'!$B$4,4,1)&gt;=DATE(YEAR($H129),MONTH($H129),1),DATE('Thiết lập'!$B$4,4,1)&lt;EDATE(DATE(YEAR($H129),MONTH($H129),1),$O129)),MIN($P129,MAX(0,$N129-$U129-SUM($V129:X129))),0))</f>
        <v/>
      </c>
      <c r="Z129" s="457">
        <f>IF($AO129&lt;&gt;"OK",0,IF(AND(DATE('Thiết lập'!$B$4,5,1)&gt;=DATE(YEAR($H129),MONTH($H129),1),DATE('Thiết lập'!$B$4,5,1)&lt;EDATE(DATE(YEAR($H129),MONTH($H129),1),$O129)),MIN($P129,MAX(0,$N129-$U129-SUM($V129:Y129))),0))</f>
        <v/>
      </c>
      <c r="AA129" s="457">
        <f>IF($AO129&lt;&gt;"OK",0,IF(AND(DATE('Thiết lập'!$B$4,6,1)&gt;=DATE(YEAR($H129),MONTH($H129),1),DATE('Thiết lập'!$B$4,6,1)&lt;EDATE(DATE(YEAR($H129),MONTH($H129),1),$O129)),MIN($P129,MAX(0,$N129-$U129-SUM($V129:Z129))),0))</f>
        <v/>
      </c>
      <c r="AB129" s="457">
        <f>IF($AO129&lt;&gt;"OK",0,IF(AND(DATE('Thiết lập'!$B$4,7,1)&gt;=DATE(YEAR($H129),MONTH($H129),1),DATE('Thiết lập'!$B$4,7,1)&lt;EDATE(DATE(YEAR($H129),MONTH($H129),1),$O129)),MIN($P129,MAX(0,$N129-$U129-SUM($V129:AA129))),0))</f>
        <v/>
      </c>
      <c r="AC129" s="457">
        <f>IF($AO129&lt;&gt;"OK",0,IF(AND(DATE('Thiết lập'!$B$4,8,1)&gt;=DATE(YEAR($H129),MONTH($H129),1),DATE('Thiết lập'!$B$4,8,1)&lt;EDATE(DATE(YEAR($H129),MONTH($H129),1),$O129)),MIN($P129,MAX(0,$N129-$U129-SUM($V129:AB129))),0))</f>
        <v/>
      </c>
      <c r="AD129" s="457">
        <f>IF($AO129&lt;&gt;"OK",0,IF(AND(DATE('Thiết lập'!$B$4,9,1)&gt;=DATE(YEAR($H129),MONTH($H129),1),DATE('Thiết lập'!$B$4,9,1)&lt;EDATE(DATE(YEAR($H129),MONTH($H129),1),$O129)),MIN($P129,MAX(0,$N129-$U129-SUM($V129:AC129))),0))</f>
        <v/>
      </c>
      <c r="AE129" s="457">
        <f>IF($AO129&lt;&gt;"OK",0,IF(AND(DATE('Thiết lập'!$B$4,10,1)&gt;=DATE(YEAR($H129),MONTH($H129),1),DATE('Thiết lập'!$B$4,10,1)&lt;EDATE(DATE(YEAR($H129),MONTH($H129),1),$O129)),MIN($P129,MAX(0,$N129-$U129-SUM($V129:AD129))),0))</f>
        <v/>
      </c>
      <c r="AF129" s="457">
        <f>IF($AO129&lt;&gt;"OK",0,IF(AND(DATE('Thiết lập'!$B$4,11,1)&gt;=DATE(YEAR($H129),MONTH($H129),1),DATE('Thiết lập'!$B$4,11,1)&lt;EDATE(DATE(YEAR($H129),MONTH($H129),1),$O129)),MIN($P129,MAX(0,$N129-$U129-SUM($V129:AE129))),0))</f>
        <v/>
      </c>
      <c r="AG129" s="457">
        <f>IF($AO129&lt;&gt;"OK",0,IF(AND(DATE('Thiết lập'!$B$4,12,1)&gt;=DATE(YEAR($H129),MONTH($H129),1),DATE('Thiết lập'!$B$4,12,1)&lt;EDATE(DATE(YEAR($H129),MONTH($H129),1),$O129)),MIN($P129,MAX(0,$N129-$U129-SUM($V129:AF129))),0))</f>
        <v/>
      </c>
      <c r="AH129" s="457">
        <f>IF(B129="","",SUM(V129:AG129))</f>
        <v/>
      </c>
      <c r="AI129" s="457">
        <f>IF(B129="","",MIN(N129,IF(U129="",0,U129)+AH129))</f>
        <v/>
      </c>
      <c r="AJ129" s="457">
        <f>IF(B129="","",MAX(0,L129-AI129))</f>
        <v/>
      </c>
      <c r="AK129" s="337">
        <f>IF(B129="","",IF(H129&gt;'Thiết lập'!$B$5,"Chưa khấu hao",IF(AJ129&lt;=IF(M129="",0,M129),"Đã hết khấu hao","Đang khấu hao")))</f>
        <v/>
      </c>
      <c r="AL129" s="275" t="n"/>
      <c r="AM129" s="275" t="n"/>
      <c r="AN129" s="275" t="n"/>
      <c r="AO129" s="343">
        <f>IF(B129="","",IF(COUNTIF($B$7:$B$306,B129)&gt;1,"Trùng mã TSCĐ",IF(C129="","Thiếu tên TSCĐ",IF(H129="","Thiếu ngày bắt đầu",IF(OR(I129&lt;=0,L129&lt;=0,O129&lt;=0),"Kiểm tra số lượng/nguyên giá/thời gian",IF(AND(G129&lt;&gt;"",H129&lt;G129),"Ngày KH trước ngày ghi tăng",IF(M129&gt;L129,"Giá trị thu hồi vượt nguyên giá",IF(IF(U129="",0,U129)&gt;N129,"Lũy kế đầu năm vượt GTKH","OK"))))))))</f>
        <v/>
      </c>
    </row>
    <row r="130" ht="20" customHeight="1" s="389">
      <c r="A130" s="325">
        <f>IF(B130="","",ROW()-6)</f>
        <v/>
      </c>
      <c r="B130" s="275" t="n"/>
      <c r="C130" s="275" t="n"/>
      <c r="D130" s="331" t="n"/>
      <c r="E130" s="331" t="n"/>
      <c r="F130" s="454" t="n"/>
      <c r="G130" s="454" t="n"/>
      <c r="H130" s="454" t="n"/>
      <c r="I130" s="455" t="n"/>
      <c r="J130" s="456" t="n"/>
      <c r="K130" s="456" t="n"/>
      <c r="L130" s="457">
        <f>IF(B130="","",IF(OR(I130="",J130=""),"",I130*J130+IF(K130="",0,K130)))</f>
        <v/>
      </c>
      <c r="M130" s="456" t="n"/>
      <c r="N130" s="457">
        <f>IF(L130="","",MAX(0,L130-IF(M130="",0,M130)))</f>
        <v/>
      </c>
      <c r="O130" s="455" t="n"/>
      <c r="P130" s="457">
        <f>IF(OR(N130="",O130&lt;=0),"",ROUND(N130/O130,0))</f>
        <v/>
      </c>
      <c r="Q130" s="458">
        <f>IF(OR(H130="",O130&lt;=0),"",EOMONTH(H130,O130-1))</f>
        <v/>
      </c>
      <c r="R130" s="331" t="n"/>
      <c r="S130" s="331" t="n"/>
      <c r="T130" s="331" t="n"/>
      <c r="U130" s="456" t="n"/>
      <c r="V130" s="457">
        <f>IF($AO130&lt;&gt;"OK",0,IF(AND(DATE('Thiết lập'!$B$4,1,1)&gt;=DATE(YEAR($H130),MONTH($H130),1),DATE('Thiết lập'!$B$4,1,1)&lt;EDATE(DATE(YEAR($H130),MONTH($H130),1),$O130)),MIN($P130,MAX(0,$N130-$U130-0)),0))</f>
        <v/>
      </c>
      <c r="W130" s="457">
        <f>IF($AO130&lt;&gt;"OK",0,IF(AND(DATE('Thiết lập'!$B$4,2,1)&gt;=DATE(YEAR($H130),MONTH($H130),1),DATE('Thiết lập'!$B$4,2,1)&lt;EDATE(DATE(YEAR($H130),MONTH($H130),1),$O130)),MIN($P130,MAX(0,$N130-$U130-SUM($V130:V130))),0))</f>
        <v/>
      </c>
      <c r="X130" s="457">
        <f>IF($AO130&lt;&gt;"OK",0,IF(AND(DATE('Thiết lập'!$B$4,3,1)&gt;=DATE(YEAR($H130),MONTH($H130),1),DATE('Thiết lập'!$B$4,3,1)&lt;EDATE(DATE(YEAR($H130),MONTH($H130),1),$O130)),MIN($P130,MAX(0,$N130-$U130-SUM($V130:W130))),0))</f>
        <v/>
      </c>
      <c r="Y130" s="457">
        <f>IF($AO130&lt;&gt;"OK",0,IF(AND(DATE('Thiết lập'!$B$4,4,1)&gt;=DATE(YEAR($H130),MONTH($H130),1),DATE('Thiết lập'!$B$4,4,1)&lt;EDATE(DATE(YEAR($H130),MONTH($H130),1),$O130)),MIN($P130,MAX(0,$N130-$U130-SUM($V130:X130))),0))</f>
        <v/>
      </c>
      <c r="Z130" s="457">
        <f>IF($AO130&lt;&gt;"OK",0,IF(AND(DATE('Thiết lập'!$B$4,5,1)&gt;=DATE(YEAR($H130),MONTH($H130),1),DATE('Thiết lập'!$B$4,5,1)&lt;EDATE(DATE(YEAR($H130),MONTH($H130),1),$O130)),MIN($P130,MAX(0,$N130-$U130-SUM($V130:Y130))),0))</f>
        <v/>
      </c>
      <c r="AA130" s="457">
        <f>IF($AO130&lt;&gt;"OK",0,IF(AND(DATE('Thiết lập'!$B$4,6,1)&gt;=DATE(YEAR($H130),MONTH($H130),1),DATE('Thiết lập'!$B$4,6,1)&lt;EDATE(DATE(YEAR($H130),MONTH($H130),1),$O130)),MIN($P130,MAX(0,$N130-$U130-SUM($V130:Z130))),0))</f>
        <v/>
      </c>
      <c r="AB130" s="457">
        <f>IF($AO130&lt;&gt;"OK",0,IF(AND(DATE('Thiết lập'!$B$4,7,1)&gt;=DATE(YEAR($H130),MONTH($H130),1),DATE('Thiết lập'!$B$4,7,1)&lt;EDATE(DATE(YEAR($H130),MONTH($H130),1),$O130)),MIN($P130,MAX(0,$N130-$U130-SUM($V130:AA130))),0))</f>
        <v/>
      </c>
      <c r="AC130" s="457">
        <f>IF($AO130&lt;&gt;"OK",0,IF(AND(DATE('Thiết lập'!$B$4,8,1)&gt;=DATE(YEAR($H130),MONTH($H130),1),DATE('Thiết lập'!$B$4,8,1)&lt;EDATE(DATE(YEAR($H130),MONTH($H130),1),$O130)),MIN($P130,MAX(0,$N130-$U130-SUM($V130:AB130))),0))</f>
        <v/>
      </c>
      <c r="AD130" s="457">
        <f>IF($AO130&lt;&gt;"OK",0,IF(AND(DATE('Thiết lập'!$B$4,9,1)&gt;=DATE(YEAR($H130),MONTH($H130),1),DATE('Thiết lập'!$B$4,9,1)&lt;EDATE(DATE(YEAR($H130),MONTH($H130),1),$O130)),MIN($P130,MAX(0,$N130-$U130-SUM($V130:AC130))),0))</f>
        <v/>
      </c>
      <c r="AE130" s="457">
        <f>IF($AO130&lt;&gt;"OK",0,IF(AND(DATE('Thiết lập'!$B$4,10,1)&gt;=DATE(YEAR($H130),MONTH($H130),1),DATE('Thiết lập'!$B$4,10,1)&lt;EDATE(DATE(YEAR($H130),MONTH($H130),1),$O130)),MIN($P130,MAX(0,$N130-$U130-SUM($V130:AD130))),0))</f>
        <v/>
      </c>
      <c r="AF130" s="457">
        <f>IF($AO130&lt;&gt;"OK",0,IF(AND(DATE('Thiết lập'!$B$4,11,1)&gt;=DATE(YEAR($H130),MONTH($H130),1),DATE('Thiết lập'!$B$4,11,1)&lt;EDATE(DATE(YEAR($H130),MONTH($H130),1),$O130)),MIN($P130,MAX(0,$N130-$U130-SUM($V130:AE130))),0))</f>
        <v/>
      </c>
      <c r="AG130" s="457">
        <f>IF($AO130&lt;&gt;"OK",0,IF(AND(DATE('Thiết lập'!$B$4,12,1)&gt;=DATE(YEAR($H130),MONTH($H130),1),DATE('Thiết lập'!$B$4,12,1)&lt;EDATE(DATE(YEAR($H130),MONTH($H130),1),$O130)),MIN($P130,MAX(0,$N130-$U130-SUM($V130:AF130))),0))</f>
        <v/>
      </c>
      <c r="AH130" s="457">
        <f>IF(B130="","",SUM(V130:AG130))</f>
        <v/>
      </c>
      <c r="AI130" s="457">
        <f>IF(B130="","",MIN(N130,IF(U130="",0,U130)+AH130))</f>
        <v/>
      </c>
      <c r="AJ130" s="457">
        <f>IF(B130="","",MAX(0,L130-AI130))</f>
        <v/>
      </c>
      <c r="AK130" s="337">
        <f>IF(B130="","",IF(H130&gt;'Thiết lập'!$B$5,"Chưa khấu hao",IF(AJ130&lt;=IF(M130="",0,M130),"Đã hết khấu hao","Đang khấu hao")))</f>
        <v/>
      </c>
      <c r="AL130" s="275" t="n"/>
      <c r="AM130" s="275" t="n"/>
      <c r="AN130" s="275" t="n"/>
      <c r="AO130" s="343">
        <f>IF(B130="","",IF(COUNTIF($B$7:$B$306,B130)&gt;1,"Trùng mã TSCĐ",IF(C130="","Thiếu tên TSCĐ",IF(H130="","Thiếu ngày bắt đầu",IF(OR(I130&lt;=0,L130&lt;=0,O130&lt;=0),"Kiểm tra số lượng/nguyên giá/thời gian",IF(AND(G130&lt;&gt;"",H130&lt;G130),"Ngày KH trước ngày ghi tăng",IF(M130&gt;L130,"Giá trị thu hồi vượt nguyên giá",IF(IF(U130="",0,U130)&gt;N130,"Lũy kế đầu năm vượt GTKH","OK"))))))))</f>
        <v/>
      </c>
    </row>
    <row r="131" ht="20" customHeight="1" s="389">
      <c r="A131" s="325">
        <f>IF(B131="","",ROW()-6)</f>
        <v/>
      </c>
      <c r="B131" s="275" t="n"/>
      <c r="C131" s="275" t="n"/>
      <c r="D131" s="331" t="n"/>
      <c r="E131" s="331" t="n"/>
      <c r="F131" s="454" t="n"/>
      <c r="G131" s="454" t="n"/>
      <c r="H131" s="454" t="n"/>
      <c r="I131" s="455" t="n"/>
      <c r="J131" s="456" t="n"/>
      <c r="K131" s="456" t="n"/>
      <c r="L131" s="457">
        <f>IF(B131="","",IF(OR(I131="",J131=""),"",I131*J131+IF(K131="",0,K131)))</f>
        <v/>
      </c>
      <c r="M131" s="456" t="n"/>
      <c r="N131" s="457">
        <f>IF(L131="","",MAX(0,L131-IF(M131="",0,M131)))</f>
        <v/>
      </c>
      <c r="O131" s="455" t="n"/>
      <c r="P131" s="457">
        <f>IF(OR(N131="",O131&lt;=0),"",ROUND(N131/O131,0))</f>
        <v/>
      </c>
      <c r="Q131" s="458">
        <f>IF(OR(H131="",O131&lt;=0),"",EOMONTH(H131,O131-1))</f>
        <v/>
      </c>
      <c r="R131" s="331" t="n"/>
      <c r="S131" s="331" t="n"/>
      <c r="T131" s="331" t="n"/>
      <c r="U131" s="456" t="n"/>
      <c r="V131" s="457">
        <f>IF($AO131&lt;&gt;"OK",0,IF(AND(DATE('Thiết lập'!$B$4,1,1)&gt;=DATE(YEAR($H131),MONTH($H131),1),DATE('Thiết lập'!$B$4,1,1)&lt;EDATE(DATE(YEAR($H131),MONTH($H131),1),$O131)),MIN($P131,MAX(0,$N131-$U131-0)),0))</f>
        <v/>
      </c>
      <c r="W131" s="457">
        <f>IF($AO131&lt;&gt;"OK",0,IF(AND(DATE('Thiết lập'!$B$4,2,1)&gt;=DATE(YEAR($H131),MONTH($H131),1),DATE('Thiết lập'!$B$4,2,1)&lt;EDATE(DATE(YEAR($H131),MONTH($H131),1),$O131)),MIN($P131,MAX(0,$N131-$U131-SUM($V131:V131))),0))</f>
        <v/>
      </c>
      <c r="X131" s="457">
        <f>IF($AO131&lt;&gt;"OK",0,IF(AND(DATE('Thiết lập'!$B$4,3,1)&gt;=DATE(YEAR($H131),MONTH($H131),1),DATE('Thiết lập'!$B$4,3,1)&lt;EDATE(DATE(YEAR($H131),MONTH($H131),1),$O131)),MIN($P131,MAX(0,$N131-$U131-SUM($V131:W131))),0))</f>
        <v/>
      </c>
      <c r="Y131" s="457">
        <f>IF($AO131&lt;&gt;"OK",0,IF(AND(DATE('Thiết lập'!$B$4,4,1)&gt;=DATE(YEAR($H131),MONTH($H131),1),DATE('Thiết lập'!$B$4,4,1)&lt;EDATE(DATE(YEAR($H131),MONTH($H131),1),$O131)),MIN($P131,MAX(0,$N131-$U131-SUM($V131:X131))),0))</f>
        <v/>
      </c>
      <c r="Z131" s="457">
        <f>IF($AO131&lt;&gt;"OK",0,IF(AND(DATE('Thiết lập'!$B$4,5,1)&gt;=DATE(YEAR($H131),MONTH($H131),1),DATE('Thiết lập'!$B$4,5,1)&lt;EDATE(DATE(YEAR($H131),MONTH($H131),1),$O131)),MIN($P131,MAX(0,$N131-$U131-SUM($V131:Y131))),0))</f>
        <v/>
      </c>
      <c r="AA131" s="457">
        <f>IF($AO131&lt;&gt;"OK",0,IF(AND(DATE('Thiết lập'!$B$4,6,1)&gt;=DATE(YEAR($H131),MONTH($H131),1),DATE('Thiết lập'!$B$4,6,1)&lt;EDATE(DATE(YEAR($H131),MONTH($H131),1),$O131)),MIN($P131,MAX(0,$N131-$U131-SUM($V131:Z131))),0))</f>
        <v/>
      </c>
      <c r="AB131" s="457">
        <f>IF($AO131&lt;&gt;"OK",0,IF(AND(DATE('Thiết lập'!$B$4,7,1)&gt;=DATE(YEAR($H131),MONTH($H131),1),DATE('Thiết lập'!$B$4,7,1)&lt;EDATE(DATE(YEAR($H131),MONTH($H131),1),$O131)),MIN($P131,MAX(0,$N131-$U131-SUM($V131:AA131))),0))</f>
        <v/>
      </c>
      <c r="AC131" s="457">
        <f>IF($AO131&lt;&gt;"OK",0,IF(AND(DATE('Thiết lập'!$B$4,8,1)&gt;=DATE(YEAR($H131),MONTH($H131),1),DATE('Thiết lập'!$B$4,8,1)&lt;EDATE(DATE(YEAR($H131),MONTH($H131),1),$O131)),MIN($P131,MAX(0,$N131-$U131-SUM($V131:AB131))),0))</f>
        <v/>
      </c>
      <c r="AD131" s="457">
        <f>IF($AO131&lt;&gt;"OK",0,IF(AND(DATE('Thiết lập'!$B$4,9,1)&gt;=DATE(YEAR($H131),MONTH($H131),1),DATE('Thiết lập'!$B$4,9,1)&lt;EDATE(DATE(YEAR($H131),MONTH($H131),1),$O131)),MIN($P131,MAX(0,$N131-$U131-SUM($V131:AC131))),0))</f>
        <v/>
      </c>
      <c r="AE131" s="457">
        <f>IF($AO131&lt;&gt;"OK",0,IF(AND(DATE('Thiết lập'!$B$4,10,1)&gt;=DATE(YEAR($H131),MONTH($H131),1),DATE('Thiết lập'!$B$4,10,1)&lt;EDATE(DATE(YEAR($H131),MONTH($H131),1),$O131)),MIN($P131,MAX(0,$N131-$U131-SUM($V131:AD131))),0))</f>
        <v/>
      </c>
      <c r="AF131" s="457">
        <f>IF($AO131&lt;&gt;"OK",0,IF(AND(DATE('Thiết lập'!$B$4,11,1)&gt;=DATE(YEAR($H131),MONTH($H131),1),DATE('Thiết lập'!$B$4,11,1)&lt;EDATE(DATE(YEAR($H131),MONTH($H131),1),$O131)),MIN($P131,MAX(0,$N131-$U131-SUM($V131:AE131))),0))</f>
        <v/>
      </c>
      <c r="AG131" s="457">
        <f>IF($AO131&lt;&gt;"OK",0,IF(AND(DATE('Thiết lập'!$B$4,12,1)&gt;=DATE(YEAR($H131),MONTH($H131),1),DATE('Thiết lập'!$B$4,12,1)&lt;EDATE(DATE(YEAR($H131),MONTH($H131),1),$O131)),MIN($P131,MAX(0,$N131-$U131-SUM($V131:AF131))),0))</f>
        <v/>
      </c>
      <c r="AH131" s="457">
        <f>IF(B131="","",SUM(V131:AG131))</f>
        <v/>
      </c>
      <c r="AI131" s="457">
        <f>IF(B131="","",MIN(N131,IF(U131="",0,U131)+AH131))</f>
        <v/>
      </c>
      <c r="AJ131" s="457">
        <f>IF(B131="","",MAX(0,L131-AI131))</f>
        <v/>
      </c>
      <c r="AK131" s="337">
        <f>IF(B131="","",IF(H131&gt;'Thiết lập'!$B$5,"Chưa khấu hao",IF(AJ131&lt;=IF(M131="",0,M131),"Đã hết khấu hao","Đang khấu hao")))</f>
        <v/>
      </c>
      <c r="AL131" s="275" t="n"/>
      <c r="AM131" s="275" t="n"/>
      <c r="AN131" s="275" t="n"/>
      <c r="AO131" s="343">
        <f>IF(B131="","",IF(COUNTIF($B$7:$B$306,B131)&gt;1,"Trùng mã TSCĐ",IF(C131="","Thiếu tên TSCĐ",IF(H131="","Thiếu ngày bắt đầu",IF(OR(I131&lt;=0,L131&lt;=0,O131&lt;=0),"Kiểm tra số lượng/nguyên giá/thời gian",IF(AND(G131&lt;&gt;"",H131&lt;G131),"Ngày KH trước ngày ghi tăng",IF(M131&gt;L131,"Giá trị thu hồi vượt nguyên giá",IF(IF(U131="",0,U131)&gt;N131,"Lũy kế đầu năm vượt GTKH","OK"))))))))</f>
        <v/>
      </c>
    </row>
    <row r="132" ht="20" customHeight="1" s="389">
      <c r="A132" s="325">
        <f>IF(B132="","",ROW()-6)</f>
        <v/>
      </c>
      <c r="B132" s="275" t="n"/>
      <c r="C132" s="275" t="n"/>
      <c r="D132" s="331" t="n"/>
      <c r="E132" s="331" t="n"/>
      <c r="F132" s="454" t="n"/>
      <c r="G132" s="454" t="n"/>
      <c r="H132" s="454" t="n"/>
      <c r="I132" s="455" t="n"/>
      <c r="J132" s="456" t="n"/>
      <c r="K132" s="456" t="n"/>
      <c r="L132" s="457">
        <f>IF(B132="","",IF(OR(I132="",J132=""),"",I132*J132+IF(K132="",0,K132)))</f>
        <v/>
      </c>
      <c r="M132" s="456" t="n"/>
      <c r="N132" s="457">
        <f>IF(L132="","",MAX(0,L132-IF(M132="",0,M132)))</f>
        <v/>
      </c>
      <c r="O132" s="455" t="n"/>
      <c r="P132" s="457">
        <f>IF(OR(N132="",O132&lt;=0),"",ROUND(N132/O132,0))</f>
        <v/>
      </c>
      <c r="Q132" s="458">
        <f>IF(OR(H132="",O132&lt;=0),"",EOMONTH(H132,O132-1))</f>
        <v/>
      </c>
      <c r="R132" s="331" t="n"/>
      <c r="S132" s="331" t="n"/>
      <c r="T132" s="331" t="n"/>
      <c r="U132" s="456" t="n"/>
      <c r="V132" s="457">
        <f>IF($AO132&lt;&gt;"OK",0,IF(AND(DATE('Thiết lập'!$B$4,1,1)&gt;=DATE(YEAR($H132),MONTH($H132),1),DATE('Thiết lập'!$B$4,1,1)&lt;EDATE(DATE(YEAR($H132),MONTH($H132),1),$O132)),MIN($P132,MAX(0,$N132-$U132-0)),0))</f>
        <v/>
      </c>
      <c r="W132" s="457">
        <f>IF($AO132&lt;&gt;"OK",0,IF(AND(DATE('Thiết lập'!$B$4,2,1)&gt;=DATE(YEAR($H132),MONTH($H132),1),DATE('Thiết lập'!$B$4,2,1)&lt;EDATE(DATE(YEAR($H132),MONTH($H132),1),$O132)),MIN($P132,MAX(0,$N132-$U132-SUM($V132:V132))),0))</f>
        <v/>
      </c>
      <c r="X132" s="457">
        <f>IF($AO132&lt;&gt;"OK",0,IF(AND(DATE('Thiết lập'!$B$4,3,1)&gt;=DATE(YEAR($H132),MONTH($H132),1),DATE('Thiết lập'!$B$4,3,1)&lt;EDATE(DATE(YEAR($H132),MONTH($H132),1),$O132)),MIN($P132,MAX(0,$N132-$U132-SUM($V132:W132))),0))</f>
        <v/>
      </c>
      <c r="Y132" s="457">
        <f>IF($AO132&lt;&gt;"OK",0,IF(AND(DATE('Thiết lập'!$B$4,4,1)&gt;=DATE(YEAR($H132),MONTH($H132),1),DATE('Thiết lập'!$B$4,4,1)&lt;EDATE(DATE(YEAR($H132),MONTH($H132),1),$O132)),MIN($P132,MAX(0,$N132-$U132-SUM($V132:X132))),0))</f>
        <v/>
      </c>
      <c r="Z132" s="457">
        <f>IF($AO132&lt;&gt;"OK",0,IF(AND(DATE('Thiết lập'!$B$4,5,1)&gt;=DATE(YEAR($H132),MONTH($H132),1),DATE('Thiết lập'!$B$4,5,1)&lt;EDATE(DATE(YEAR($H132),MONTH($H132),1),$O132)),MIN($P132,MAX(0,$N132-$U132-SUM($V132:Y132))),0))</f>
        <v/>
      </c>
      <c r="AA132" s="457">
        <f>IF($AO132&lt;&gt;"OK",0,IF(AND(DATE('Thiết lập'!$B$4,6,1)&gt;=DATE(YEAR($H132),MONTH($H132),1),DATE('Thiết lập'!$B$4,6,1)&lt;EDATE(DATE(YEAR($H132),MONTH($H132),1),$O132)),MIN($P132,MAX(0,$N132-$U132-SUM($V132:Z132))),0))</f>
        <v/>
      </c>
      <c r="AB132" s="457">
        <f>IF($AO132&lt;&gt;"OK",0,IF(AND(DATE('Thiết lập'!$B$4,7,1)&gt;=DATE(YEAR($H132),MONTH($H132),1),DATE('Thiết lập'!$B$4,7,1)&lt;EDATE(DATE(YEAR($H132),MONTH($H132),1),$O132)),MIN($P132,MAX(0,$N132-$U132-SUM($V132:AA132))),0))</f>
        <v/>
      </c>
      <c r="AC132" s="457">
        <f>IF($AO132&lt;&gt;"OK",0,IF(AND(DATE('Thiết lập'!$B$4,8,1)&gt;=DATE(YEAR($H132),MONTH($H132),1),DATE('Thiết lập'!$B$4,8,1)&lt;EDATE(DATE(YEAR($H132),MONTH($H132),1),$O132)),MIN($P132,MAX(0,$N132-$U132-SUM($V132:AB132))),0))</f>
        <v/>
      </c>
      <c r="AD132" s="457">
        <f>IF($AO132&lt;&gt;"OK",0,IF(AND(DATE('Thiết lập'!$B$4,9,1)&gt;=DATE(YEAR($H132),MONTH($H132),1),DATE('Thiết lập'!$B$4,9,1)&lt;EDATE(DATE(YEAR($H132),MONTH($H132),1),$O132)),MIN($P132,MAX(0,$N132-$U132-SUM($V132:AC132))),0))</f>
        <v/>
      </c>
      <c r="AE132" s="457">
        <f>IF($AO132&lt;&gt;"OK",0,IF(AND(DATE('Thiết lập'!$B$4,10,1)&gt;=DATE(YEAR($H132),MONTH($H132),1),DATE('Thiết lập'!$B$4,10,1)&lt;EDATE(DATE(YEAR($H132),MONTH($H132),1),$O132)),MIN($P132,MAX(0,$N132-$U132-SUM($V132:AD132))),0))</f>
        <v/>
      </c>
      <c r="AF132" s="457">
        <f>IF($AO132&lt;&gt;"OK",0,IF(AND(DATE('Thiết lập'!$B$4,11,1)&gt;=DATE(YEAR($H132),MONTH($H132),1),DATE('Thiết lập'!$B$4,11,1)&lt;EDATE(DATE(YEAR($H132),MONTH($H132),1),$O132)),MIN($P132,MAX(0,$N132-$U132-SUM($V132:AE132))),0))</f>
        <v/>
      </c>
      <c r="AG132" s="457">
        <f>IF($AO132&lt;&gt;"OK",0,IF(AND(DATE('Thiết lập'!$B$4,12,1)&gt;=DATE(YEAR($H132),MONTH($H132),1),DATE('Thiết lập'!$B$4,12,1)&lt;EDATE(DATE(YEAR($H132),MONTH($H132),1),$O132)),MIN($P132,MAX(0,$N132-$U132-SUM($V132:AF132))),0))</f>
        <v/>
      </c>
      <c r="AH132" s="457">
        <f>IF(B132="","",SUM(V132:AG132))</f>
        <v/>
      </c>
      <c r="AI132" s="457">
        <f>IF(B132="","",MIN(N132,IF(U132="",0,U132)+AH132))</f>
        <v/>
      </c>
      <c r="AJ132" s="457">
        <f>IF(B132="","",MAX(0,L132-AI132))</f>
        <v/>
      </c>
      <c r="AK132" s="337">
        <f>IF(B132="","",IF(H132&gt;'Thiết lập'!$B$5,"Chưa khấu hao",IF(AJ132&lt;=IF(M132="",0,M132),"Đã hết khấu hao","Đang khấu hao")))</f>
        <v/>
      </c>
      <c r="AL132" s="275" t="n"/>
      <c r="AM132" s="275" t="n"/>
      <c r="AN132" s="275" t="n"/>
      <c r="AO132" s="343">
        <f>IF(B132="","",IF(COUNTIF($B$7:$B$306,B132)&gt;1,"Trùng mã TSCĐ",IF(C132="","Thiếu tên TSCĐ",IF(H132="","Thiếu ngày bắt đầu",IF(OR(I132&lt;=0,L132&lt;=0,O132&lt;=0),"Kiểm tra số lượng/nguyên giá/thời gian",IF(AND(G132&lt;&gt;"",H132&lt;G132),"Ngày KH trước ngày ghi tăng",IF(M132&gt;L132,"Giá trị thu hồi vượt nguyên giá",IF(IF(U132="",0,U132)&gt;N132,"Lũy kế đầu năm vượt GTKH","OK"))))))))</f>
        <v/>
      </c>
    </row>
    <row r="133" ht="20" customHeight="1" s="389">
      <c r="A133" s="325">
        <f>IF(B133="","",ROW()-6)</f>
        <v/>
      </c>
      <c r="B133" s="275" t="n"/>
      <c r="C133" s="275" t="n"/>
      <c r="D133" s="331" t="n"/>
      <c r="E133" s="331" t="n"/>
      <c r="F133" s="454" t="n"/>
      <c r="G133" s="454" t="n"/>
      <c r="H133" s="454" t="n"/>
      <c r="I133" s="455" t="n"/>
      <c r="J133" s="456" t="n"/>
      <c r="K133" s="456" t="n"/>
      <c r="L133" s="457">
        <f>IF(B133="","",IF(OR(I133="",J133=""),"",I133*J133+IF(K133="",0,K133)))</f>
        <v/>
      </c>
      <c r="M133" s="456" t="n"/>
      <c r="N133" s="457">
        <f>IF(L133="","",MAX(0,L133-IF(M133="",0,M133)))</f>
        <v/>
      </c>
      <c r="O133" s="455" t="n"/>
      <c r="P133" s="457">
        <f>IF(OR(N133="",O133&lt;=0),"",ROUND(N133/O133,0))</f>
        <v/>
      </c>
      <c r="Q133" s="458">
        <f>IF(OR(H133="",O133&lt;=0),"",EOMONTH(H133,O133-1))</f>
        <v/>
      </c>
      <c r="R133" s="331" t="n"/>
      <c r="S133" s="331" t="n"/>
      <c r="T133" s="331" t="n"/>
      <c r="U133" s="456" t="n"/>
      <c r="V133" s="457">
        <f>IF($AO133&lt;&gt;"OK",0,IF(AND(DATE('Thiết lập'!$B$4,1,1)&gt;=DATE(YEAR($H133),MONTH($H133),1),DATE('Thiết lập'!$B$4,1,1)&lt;EDATE(DATE(YEAR($H133),MONTH($H133),1),$O133)),MIN($P133,MAX(0,$N133-$U133-0)),0))</f>
        <v/>
      </c>
      <c r="W133" s="457">
        <f>IF($AO133&lt;&gt;"OK",0,IF(AND(DATE('Thiết lập'!$B$4,2,1)&gt;=DATE(YEAR($H133),MONTH($H133),1),DATE('Thiết lập'!$B$4,2,1)&lt;EDATE(DATE(YEAR($H133),MONTH($H133),1),$O133)),MIN($P133,MAX(0,$N133-$U133-SUM($V133:V133))),0))</f>
        <v/>
      </c>
      <c r="X133" s="457">
        <f>IF($AO133&lt;&gt;"OK",0,IF(AND(DATE('Thiết lập'!$B$4,3,1)&gt;=DATE(YEAR($H133),MONTH($H133),1),DATE('Thiết lập'!$B$4,3,1)&lt;EDATE(DATE(YEAR($H133),MONTH($H133),1),$O133)),MIN($P133,MAX(0,$N133-$U133-SUM($V133:W133))),0))</f>
        <v/>
      </c>
      <c r="Y133" s="457">
        <f>IF($AO133&lt;&gt;"OK",0,IF(AND(DATE('Thiết lập'!$B$4,4,1)&gt;=DATE(YEAR($H133),MONTH($H133),1),DATE('Thiết lập'!$B$4,4,1)&lt;EDATE(DATE(YEAR($H133),MONTH($H133),1),$O133)),MIN($P133,MAX(0,$N133-$U133-SUM($V133:X133))),0))</f>
        <v/>
      </c>
      <c r="Z133" s="457">
        <f>IF($AO133&lt;&gt;"OK",0,IF(AND(DATE('Thiết lập'!$B$4,5,1)&gt;=DATE(YEAR($H133),MONTH($H133),1),DATE('Thiết lập'!$B$4,5,1)&lt;EDATE(DATE(YEAR($H133),MONTH($H133),1),$O133)),MIN($P133,MAX(0,$N133-$U133-SUM($V133:Y133))),0))</f>
        <v/>
      </c>
      <c r="AA133" s="457">
        <f>IF($AO133&lt;&gt;"OK",0,IF(AND(DATE('Thiết lập'!$B$4,6,1)&gt;=DATE(YEAR($H133),MONTH($H133),1),DATE('Thiết lập'!$B$4,6,1)&lt;EDATE(DATE(YEAR($H133),MONTH($H133),1),$O133)),MIN($P133,MAX(0,$N133-$U133-SUM($V133:Z133))),0))</f>
        <v/>
      </c>
      <c r="AB133" s="457">
        <f>IF($AO133&lt;&gt;"OK",0,IF(AND(DATE('Thiết lập'!$B$4,7,1)&gt;=DATE(YEAR($H133),MONTH($H133),1),DATE('Thiết lập'!$B$4,7,1)&lt;EDATE(DATE(YEAR($H133),MONTH($H133),1),$O133)),MIN($P133,MAX(0,$N133-$U133-SUM($V133:AA133))),0))</f>
        <v/>
      </c>
      <c r="AC133" s="457">
        <f>IF($AO133&lt;&gt;"OK",0,IF(AND(DATE('Thiết lập'!$B$4,8,1)&gt;=DATE(YEAR($H133),MONTH($H133),1),DATE('Thiết lập'!$B$4,8,1)&lt;EDATE(DATE(YEAR($H133),MONTH($H133),1),$O133)),MIN($P133,MAX(0,$N133-$U133-SUM($V133:AB133))),0))</f>
        <v/>
      </c>
      <c r="AD133" s="457">
        <f>IF($AO133&lt;&gt;"OK",0,IF(AND(DATE('Thiết lập'!$B$4,9,1)&gt;=DATE(YEAR($H133),MONTH($H133),1),DATE('Thiết lập'!$B$4,9,1)&lt;EDATE(DATE(YEAR($H133),MONTH($H133),1),$O133)),MIN($P133,MAX(0,$N133-$U133-SUM($V133:AC133))),0))</f>
        <v/>
      </c>
      <c r="AE133" s="457">
        <f>IF($AO133&lt;&gt;"OK",0,IF(AND(DATE('Thiết lập'!$B$4,10,1)&gt;=DATE(YEAR($H133),MONTH($H133),1),DATE('Thiết lập'!$B$4,10,1)&lt;EDATE(DATE(YEAR($H133),MONTH($H133),1),$O133)),MIN($P133,MAX(0,$N133-$U133-SUM($V133:AD133))),0))</f>
        <v/>
      </c>
      <c r="AF133" s="457">
        <f>IF($AO133&lt;&gt;"OK",0,IF(AND(DATE('Thiết lập'!$B$4,11,1)&gt;=DATE(YEAR($H133),MONTH($H133),1),DATE('Thiết lập'!$B$4,11,1)&lt;EDATE(DATE(YEAR($H133),MONTH($H133),1),$O133)),MIN($P133,MAX(0,$N133-$U133-SUM($V133:AE133))),0))</f>
        <v/>
      </c>
      <c r="AG133" s="457">
        <f>IF($AO133&lt;&gt;"OK",0,IF(AND(DATE('Thiết lập'!$B$4,12,1)&gt;=DATE(YEAR($H133),MONTH($H133),1),DATE('Thiết lập'!$B$4,12,1)&lt;EDATE(DATE(YEAR($H133),MONTH($H133),1),$O133)),MIN($P133,MAX(0,$N133-$U133-SUM($V133:AF133))),0))</f>
        <v/>
      </c>
      <c r="AH133" s="457">
        <f>IF(B133="","",SUM(V133:AG133))</f>
        <v/>
      </c>
      <c r="AI133" s="457">
        <f>IF(B133="","",MIN(N133,IF(U133="",0,U133)+AH133))</f>
        <v/>
      </c>
      <c r="AJ133" s="457">
        <f>IF(B133="","",MAX(0,L133-AI133))</f>
        <v/>
      </c>
      <c r="AK133" s="337">
        <f>IF(B133="","",IF(H133&gt;'Thiết lập'!$B$5,"Chưa khấu hao",IF(AJ133&lt;=IF(M133="",0,M133),"Đã hết khấu hao","Đang khấu hao")))</f>
        <v/>
      </c>
      <c r="AL133" s="275" t="n"/>
      <c r="AM133" s="275" t="n"/>
      <c r="AN133" s="275" t="n"/>
      <c r="AO133" s="343">
        <f>IF(B133="","",IF(COUNTIF($B$7:$B$306,B133)&gt;1,"Trùng mã TSCĐ",IF(C133="","Thiếu tên TSCĐ",IF(H133="","Thiếu ngày bắt đầu",IF(OR(I133&lt;=0,L133&lt;=0,O133&lt;=0),"Kiểm tra số lượng/nguyên giá/thời gian",IF(AND(G133&lt;&gt;"",H133&lt;G133),"Ngày KH trước ngày ghi tăng",IF(M133&gt;L133,"Giá trị thu hồi vượt nguyên giá",IF(IF(U133="",0,U133)&gt;N133,"Lũy kế đầu năm vượt GTKH","OK"))))))))</f>
        <v/>
      </c>
    </row>
    <row r="134" ht="20" customHeight="1" s="389">
      <c r="A134" s="325">
        <f>IF(B134="","",ROW()-6)</f>
        <v/>
      </c>
      <c r="B134" s="275" t="n"/>
      <c r="C134" s="275" t="n"/>
      <c r="D134" s="331" t="n"/>
      <c r="E134" s="331" t="n"/>
      <c r="F134" s="454" t="n"/>
      <c r="G134" s="454" t="n"/>
      <c r="H134" s="454" t="n"/>
      <c r="I134" s="455" t="n"/>
      <c r="J134" s="456" t="n"/>
      <c r="K134" s="456" t="n"/>
      <c r="L134" s="457">
        <f>IF(B134="","",IF(OR(I134="",J134=""),"",I134*J134+IF(K134="",0,K134)))</f>
        <v/>
      </c>
      <c r="M134" s="456" t="n"/>
      <c r="N134" s="457">
        <f>IF(L134="","",MAX(0,L134-IF(M134="",0,M134)))</f>
        <v/>
      </c>
      <c r="O134" s="455" t="n"/>
      <c r="P134" s="457">
        <f>IF(OR(N134="",O134&lt;=0),"",ROUND(N134/O134,0))</f>
        <v/>
      </c>
      <c r="Q134" s="458">
        <f>IF(OR(H134="",O134&lt;=0),"",EOMONTH(H134,O134-1))</f>
        <v/>
      </c>
      <c r="R134" s="331" t="n"/>
      <c r="S134" s="331" t="n"/>
      <c r="T134" s="331" t="n"/>
      <c r="U134" s="456" t="n"/>
      <c r="V134" s="457">
        <f>IF($AO134&lt;&gt;"OK",0,IF(AND(DATE('Thiết lập'!$B$4,1,1)&gt;=DATE(YEAR($H134),MONTH($H134),1),DATE('Thiết lập'!$B$4,1,1)&lt;EDATE(DATE(YEAR($H134),MONTH($H134),1),$O134)),MIN($P134,MAX(0,$N134-$U134-0)),0))</f>
        <v/>
      </c>
      <c r="W134" s="457">
        <f>IF($AO134&lt;&gt;"OK",0,IF(AND(DATE('Thiết lập'!$B$4,2,1)&gt;=DATE(YEAR($H134),MONTH($H134),1),DATE('Thiết lập'!$B$4,2,1)&lt;EDATE(DATE(YEAR($H134),MONTH($H134),1),$O134)),MIN($P134,MAX(0,$N134-$U134-SUM($V134:V134))),0))</f>
        <v/>
      </c>
      <c r="X134" s="457">
        <f>IF($AO134&lt;&gt;"OK",0,IF(AND(DATE('Thiết lập'!$B$4,3,1)&gt;=DATE(YEAR($H134),MONTH($H134),1),DATE('Thiết lập'!$B$4,3,1)&lt;EDATE(DATE(YEAR($H134),MONTH($H134),1),$O134)),MIN($P134,MAX(0,$N134-$U134-SUM($V134:W134))),0))</f>
        <v/>
      </c>
      <c r="Y134" s="457">
        <f>IF($AO134&lt;&gt;"OK",0,IF(AND(DATE('Thiết lập'!$B$4,4,1)&gt;=DATE(YEAR($H134),MONTH($H134),1),DATE('Thiết lập'!$B$4,4,1)&lt;EDATE(DATE(YEAR($H134),MONTH($H134),1),$O134)),MIN($P134,MAX(0,$N134-$U134-SUM($V134:X134))),0))</f>
        <v/>
      </c>
      <c r="Z134" s="457">
        <f>IF($AO134&lt;&gt;"OK",0,IF(AND(DATE('Thiết lập'!$B$4,5,1)&gt;=DATE(YEAR($H134),MONTH($H134),1),DATE('Thiết lập'!$B$4,5,1)&lt;EDATE(DATE(YEAR($H134),MONTH($H134),1),$O134)),MIN($P134,MAX(0,$N134-$U134-SUM($V134:Y134))),0))</f>
        <v/>
      </c>
      <c r="AA134" s="457">
        <f>IF($AO134&lt;&gt;"OK",0,IF(AND(DATE('Thiết lập'!$B$4,6,1)&gt;=DATE(YEAR($H134),MONTH($H134),1),DATE('Thiết lập'!$B$4,6,1)&lt;EDATE(DATE(YEAR($H134),MONTH($H134),1),$O134)),MIN($P134,MAX(0,$N134-$U134-SUM($V134:Z134))),0))</f>
        <v/>
      </c>
      <c r="AB134" s="457">
        <f>IF($AO134&lt;&gt;"OK",0,IF(AND(DATE('Thiết lập'!$B$4,7,1)&gt;=DATE(YEAR($H134),MONTH($H134),1),DATE('Thiết lập'!$B$4,7,1)&lt;EDATE(DATE(YEAR($H134),MONTH($H134),1),$O134)),MIN($P134,MAX(0,$N134-$U134-SUM($V134:AA134))),0))</f>
        <v/>
      </c>
      <c r="AC134" s="457">
        <f>IF($AO134&lt;&gt;"OK",0,IF(AND(DATE('Thiết lập'!$B$4,8,1)&gt;=DATE(YEAR($H134),MONTH($H134),1),DATE('Thiết lập'!$B$4,8,1)&lt;EDATE(DATE(YEAR($H134),MONTH($H134),1),$O134)),MIN($P134,MAX(0,$N134-$U134-SUM($V134:AB134))),0))</f>
        <v/>
      </c>
      <c r="AD134" s="457">
        <f>IF($AO134&lt;&gt;"OK",0,IF(AND(DATE('Thiết lập'!$B$4,9,1)&gt;=DATE(YEAR($H134),MONTH($H134),1),DATE('Thiết lập'!$B$4,9,1)&lt;EDATE(DATE(YEAR($H134),MONTH($H134),1),$O134)),MIN($P134,MAX(0,$N134-$U134-SUM($V134:AC134))),0))</f>
        <v/>
      </c>
      <c r="AE134" s="457">
        <f>IF($AO134&lt;&gt;"OK",0,IF(AND(DATE('Thiết lập'!$B$4,10,1)&gt;=DATE(YEAR($H134),MONTH($H134),1),DATE('Thiết lập'!$B$4,10,1)&lt;EDATE(DATE(YEAR($H134),MONTH($H134),1),$O134)),MIN($P134,MAX(0,$N134-$U134-SUM($V134:AD134))),0))</f>
        <v/>
      </c>
      <c r="AF134" s="457">
        <f>IF($AO134&lt;&gt;"OK",0,IF(AND(DATE('Thiết lập'!$B$4,11,1)&gt;=DATE(YEAR($H134),MONTH($H134),1),DATE('Thiết lập'!$B$4,11,1)&lt;EDATE(DATE(YEAR($H134),MONTH($H134),1),$O134)),MIN($P134,MAX(0,$N134-$U134-SUM($V134:AE134))),0))</f>
        <v/>
      </c>
      <c r="AG134" s="457">
        <f>IF($AO134&lt;&gt;"OK",0,IF(AND(DATE('Thiết lập'!$B$4,12,1)&gt;=DATE(YEAR($H134),MONTH($H134),1),DATE('Thiết lập'!$B$4,12,1)&lt;EDATE(DATE(YEAR($H134),MONTH($H134),1),$O134)),MIN($P134,MAX(0,$N134-$U134-SUM($V134:AF134))),0))</f>
        <v/>
      </c>
      <c r="AH134" s="457">
        <f>IF(B134="","",SUM(V134:AG134))</f>
        <v/>
      </c>
      <c r="AI134" s="457">
        <f>IF(B134="","",MIN(N134,IF(U134="",0,U134)+AH134))</f>
        <v/>
      </c>
      <c r="AJ134" s="457">
        <f>IF(B134="","",MAX(0,L134-AI134))</f>
        <v/>
      </c>
      <c r="AK134" s="337">
        <f>IF(B134="","",IF(H134&gt;'Thiết lập'!$B$5,"Chưa khấu hao",IF(AJ134&lt;=IF(M134="",0,M134),"Đã hết khấu hao","Đang khấu hao")))</f>
        <v/>
      </c>
      <c r="AL134" s="275" t="n"/>
      <c r="AM134" s="275" t="n"/>
      <c r="AN134" s="275" t="n"/>
      <c r="AO134" s="343">
        <f>IF(B134="","",IF(COUNTIF($B$7:$B$306,B134)&gt;1,"Trùng mã TSCĐ",IF(C134="","Thiếu tên TSCĐ",IF(H134="","Thiếu ngày bắt đầu",IF(OR(I134&lt;=0,L134&lt;=0,O134&lt;=0),"Kiểm tra số lượng/nguyên giá/thời gian",IF(AND(G134&lt;&gt;"",H134&lt;G134),"Ngày KH trước ngày ghi tăng",IF(M134&gt;L134,"Giá trị thu hồi vượt nguyên giá",IF(IF(U134="",0,U134)&gt;N134,"Lũy kế đầu năm vượt GTKH","OK"))))))))</f>
        <v/>
      </c>
    </row>
    <row r="135" ht="20" customHeight="1" s="389">
      <c r="A135" s="325">
        <f>IF(B135="","",ROW()-6)</f>
        <v/>
      </c>
      <c r="B135" s="275" t="n"/>
      <c r="C135" s="275" t="n"/>
      <c r="D135" s="331" t="n"/>
      <c r="E135" s="331" t="n"/>
      <c r="F135" s="454" t="n"/>
      <c r="G135" s="454" t="n"/>
      <c r="H135" s="454" t="n"/>
      <c r="I135" s="455" t="n"/>
      <c r="J135" s="456" t="n"/>
      <c r="K135" s="456" t="n"/>
      <c r="L135" s="457">
        <f>IF(B135="","",IF(OR(I135="",J135=""),"",I135*J135+IF(K135="",0,K135)))</f>
        <v/>
      </c>
      <c r="M135" s="456" t="n"/>
      <c r="N135" s="457">
        <f>IF(L135="","",MAX(0,L135-IF(M135="",0,M135)))</f>
        <v/>
      </c>
      <c r="O135" s="455" t="n"/>
      <c r="P135" s="457">
        <f>IF(OR(N135="",O135&lt;=0),"",ROUND(N135/O135,0))</f>
        <v/>
      </c>
      <c r="Q135" s="458">
        <f>IF(OR(H135="",O135&lt;=0),"",EOMONTH(H135,O135-1))</f>
        <v/>
      </c>
      <c r="R135" s="331" t="n"/>
      <c r="S135" s="331" t="n"/>
      <c r="T135" s="331" t="n"/>
      <c r="U135" s="456" t="n"/>
      <c r="V135" s="457">
        <f>IF($AO135&lt;&gt;"OK",0,IF(AND(DATE('Thiết lập'!$B$4,1,1)&gt;=DATE(YEAR($H135),MONTH($H135),1),DATE('Thiết lập'!$B$4,1,1)&lt;EDATE(DATE(YEAR($H135),MONTH($H135),1),$O135)),MIN($P135,MAX(0,$N135-$U135-0)),0))</f>
        <v/>
      </c>
      <c r="W135" s="457">
        <f>IF($AO135&lt;&gt;"OK",0,IF(AND(DATE('Thiết lập'!$B$4,2,1)&gt;=DATE(YEAR($H135),MONTH($H135),1),DATE('Thiết lập'!$B$4,2,1)&lt;EDATE(DATE(YEAR($H135),MONTH($H135),1),$O135)),MIN($P135,MAX(0,$N135-$U135-SUM($V135:V135))),0))</f>
        <v/>
      </c>
      <c r="X135" s="457">
        <f>IF($AO135&lt;&gt;"OK",0,IF(AND(DATE('Thiết lập'!$B$4,3,1)&gt;=DATE(YEAR($H135),MONTH($H135),1),DATE('Thiết lập'!$B$4,3,1)&lt;EDATE(DATE(YEAR($H135),MONTH($H135),1),$O135)),MIN($P135,MAX(0,$N135-$U135-SUM($V135:W135))),0))</f>
        <v/>
      </c>
      <c r="Y135" s="457">
        <f>IF($AO135&lt;&gt;"OK",0,IF(AND(DATE('Thiết lập'!$B$4,4,1)&gt;=DATE(YEAR($H135),MONTH($H135),1),DATE('Thiết lập'!$B$4,4,1)&lt;EDATE(DATE(YEAR($H135),MONTH($H135),1),$O135)),MIN($P135,MAX(0,$N135-$U135-SUM($V135:X135))),0))</f>
        <v/>
      </c>
      <c r="Z135" s="457">
        <f>IF($AO135&lt;&gt;"OK",0,IF(AND(DATE('Thiết lập'!$B$4,5,1)&gt;=DATE(YEAR($H135),MONTH($H135),1),DATE('Thiết lập'!$B$4,5,1)&lt;EDATE(DATE(YEAR($H135),MONTH($H135),1),$O135)),MIN($P135,MAX(0,$N135-$U135-SUM($V135:Y135))),0))</f>
        <v/>
      </c>
      <c r="AA135" s="457">
        <f>IF($AO135&lt;&gt;"OK",0,IF(AND(DATE('Thiết lập'!$B$4,6,1)&gt;=DATE(YEAR($H135),MONTH($H135),1),DATE('Thiết lập'!$B$4,6,1)&lt;EDATE(DATE(YEAR($H135),MONTH($H135),1),$O135)),MIN($P135,MAX(0,$N135-$U135-SUM($V135:Z135))),0))</f>
        <v/>
      </c>
      <c r="AB135" s="457">
        <f>IF($AO135&lt;&gt;"OK",0,IF(AND(DATE('Thiết lập'!$B$4,7,1)&gt;=DATE(YEAR($H135),MONTH($H135),1),DATE('Thiết lập'!$B$4,7,1)&lt;EDATE(DATE(YEAR($H135),MONTH($H135),1),$O135)),MIN($P135,MAX(0,$N135-$U135-SUM($V135:AA135))),0))</f>
        <v/>
      </c>
      <c r="AC135" s="457">
        <f>IF($AO135&lt;&gt;"OK",0,IF(AND(DATE('Thiết lập'!$B$4,8,1)&gt;=DATE(YEAR($H135),MONTH($H135),1),DATE('Thiết lập'!$B$4,8,1)&lt;EDATE(DATE(YEAR($H135),MONTH($H135),1),$O135)),MIN($P135,MAX(0,$N135-$U135-SUM($V135:AB135))),0))</f>
        <v/>
      </c>
      <c r="AD135" s="457">
        <f>IF($AO135&lt;&gt;"OK",0,IF(AND(DATE('Thiết lập'!$B$4,9,1)&gt;=DATE(YEAR($H135),MONTH($H135),1),DATE('Thiết lập'!$B$4,9,1)&lt;EDATE(DATE(YEAR($H135),MONTH($H135),1),$O135)),MIN($P135,MAX(0,$N135-$U135-SUM($V135:AC135))),0))</f>
        <v/>
      </c>
      <c r="AE135" s="457">
        <f>IF($AO135&lt;&gt;"OK",0,IF(AND(DATE('Thiết lập'!$B$4,10,1)&gt;=DATE(YEAR($H135),MONTH($H135),1),DATE('Thiết lập'!$B$4,10,1)&lt;EDATE(DATE(YEAR($H135),MONTH($H135),1),$O135)),MIN($P135,MAX(0,$N135-$U135-SUM($V135:AD135))),0))</f>
        <v/>
      </c>
      <c r="AF135" s="457">
        <f>IF($AO135&lt;&gt;"OK",0,IF(AND(DATE('Thiết lập'!$B$4,11,1)&gt;=DATE(YEAR($H135),MONTH($H135),1),DATE('Thiết lập'!$B$4,11,1)&lt;EDATE(DATE(YEAR($H135),MONTH($H135),1),$O135)),MIN($P135,MAX(0,$N135-$U135-SUM($V135:AE135))),0))</f>
        <v/>
      </c>
      <c r="AG135" s="457">
        <f>IF($AO135&lt;&gt;"OK",0,IF(AND(DATE('Thiết lập'!$B$4,12,1)&gt;=DATE(YEAR($H135),MONTH($H135),1),DATE('Thiết lập'!$B$4,12,1)&lt;EDATE(DATE(YEAR($H135),MONTH($H135),1),$O135)),MIN($P135,MAX(0,$N135-$U135-SUM($V135:AF135))),0))</f>
        <v/>
      </c>
      <c r="AH135" s="457">
        <f>IF(B135="","",SUM(V135:AG135))</f>
        <v/>
      </c>
      <c r="AI135" s="457">
        <f>IF(B135="","",MIN(N135,IF(U135="",0,U135)+AH135))</f>
        <v/>
      </c>
      <c r="AJ135" s="457">
        <f>IF(B135="","",MAX(0,L135-AI135))</f>
        <v/>
      </c>
      <c r="AK135" s="337">
        <f>IF(B135="","",IF(H135&gt;'Thiết lập'!$B$5,"Chưa khấu hao",IF(AJ135&lt;=IF(M135="",0,M135),"Đã hết khấu hao","Đang khấu hao")))</f>
        <v/>
      </c>
      <c r="AL135" s="275" t="n"/>
      <c r="AM135" s="275" t="n"/>
      <c r="AN135" s="275" t="n"/>
      <c r="AO135" s="343">
        <f>IF(B135="","",IF(COUNTIF($B$7:$B$306,B135)&gt;1,"Trùng mã TSCĐ",IF(C135="","Thiếu tên TSCĐ",IF(H135="","Thiếu ngày bắt đầu",IF(OR(I135&lt;=0,L135&lt;=0,O135&lt;=0),"Kiểm tra số lượng/nguyên giá/thời gian",IF(AND(G135&lt;&gt;"",H135&lt;G135),"Ngày KH trước ngày ghi tăng",IF(M135&gt;L135,"Giá trị thu hồi vượt nguyên giá",IF(IF(U135="",0,U135)&gt;N135,"Lũy kế đầu năm vượt GTKH","OK"))))))))</f>
        <v/>
      </c>
    </row>
    <row r="136" ht="20" customHeight="1" s="389">
      <c r="A136" s="325">
        <f>IF(B136="","",ROW()-6)</f>
        <v/>
      </c>
      <c r="B136" s="275" t="n"/>
      <c r="C136" s="275" t="n"/>
      <c r="D136" s="331" t="n"/>
      <c r="E136" s="331" t="n"/>
      <c r="F136" s="454" t="n"/>
      <c r="G136" s="454" t="n"/>
      <c r="H136" s="454" t="n"/>
      <c r="I136" s="455" t="n"/>
      <c r="J136" s="456" t="n"/>
      <c r="K136" s="456" t="n"/>
      <c r="L136" s="457">
        <f>IF(B136="","",IF(OR(I136="",J136=""),"",I136*J136+IF(K136="",0,K136)))</f>
        <v/>
      </c>
      <c r="M136" s="456" t="n"/>
      <c r="N136" s="457">
        <f>IF(L136="","",MAX(0,L136-IF(M136="",0,M136)))</f>
        <v/>
      </c>
      <c r="O136" s="455" t="n"/>
      <c r="P136" s="457">
        <f>IF(OR(N136="",O136&lt;=0),"",ROUND(N136/O136,0))</f>
        <v/>
      </c>
      <c r="Q136" s="458">
        <f>IF(OR(H136="",O136&lt;=0),"",EOMONTH(H136,O136-1))</f>
        <v/>
      </c>
      <c r="R136" s="331" t="n"/>
      <c r="S136" s="331" t="n"/>
      <c r="T136" s="331" t="n"/>
      <c r="U136" s="456" t="n"/>
      <c r="V136" s="457">
        <f>IF($AO136&lt;&gt;"OK",0,IF(AND(DATE('Thiết lập'!$B$4,1,1)&gt;=DATE(YEAR($H136),MONTH($H136),1),DATE('Thiết lập'!$B$4,1,1)&lt;EDATE(DATE(YEAR($H136),MONTH($H136),1),$O136)),MIN($P136,MAX(0,$N136-$U136-0)),0))</f>
        <v/>
      </c>
      <c r="W136" s="457">
        <f>IF($AO136&lt;&gt;"OK",0,IF(AND(DATE('Thiết lập'!$B$4,2,1)&gt;=DATE(YEAR($H136),MONTH($H136),1),DATE('Thiết lập'!$B$4,2,1)&lt;EDATE(DATE(YEAR($H136),MONTH($H136),1),$O136)),MIN($P136,MAX(0,$N136-$U136-SUM($V136:V136))),0))</f>
        <v/>
      </c>
      <c r="X136" s="457">
        <f>IF($AO136&lt;&gt;"OK",0,IF(AND(DATE('Thiết lập'!$B$4,3,1)&gt;=DATE(YEAR($H136),MONTH($H136),1),DATE('Thiết lập'!$B$4,3,1)&lt;EDATE(DATE(YEAR($H136),MONTH($H136),1),$O136)),MIN($P136,MAX(0,$N136-$U136-SUM($V136:W136))),0))</f>
        <v/>
      </c>
      <c r="Y136" s="457">
        <f>IF($AO136&lt;&gt;"OK",0,IF(AND(DATE('Thiết lập'!$B$4,4,1)&gt;=DATE(YEAR($H136),MONTH($H136),1),DATE('Thiết lập'!$B$4,4,1)&lt;EDATE(DATE(YEAR($H136),MONTH($H136),1),$O136)),MIN($P136,MAX(0,$N136-$U136-SUM($V136:X136))),0))</f>
        <v/>
      </c>
      <c r="Z136" s="457">
        <f>IF($AO136&lt;&gt;"OK",0,IF(AND(DATE('Thiết lập'!$B$4,5,1)&gt;=DATE(YEAR($H136),MONTH($H136),1),DATE('Thiết lập'!$B$4,5,1)&lt;EDATE(DATE(YEAR($H136),MONTH($H136),1),$O136)),MIN($P136,MAX(0,$N136-$U136-SUM($V136:Y136))),0))</f>
        <v/>
      </c>
      <c r="AA136" s="457">
        <f>IF($AO136&lt;&gt;"OK",0,IF(AND(DATE('Thiết lập'!$B$4,6,1)&gt;=DATE(YEAR($H136),MONTH($H136),1),DATE('Thiết lập'!$B$4,6,1)&lt;EDATE(DATE(YEAR($H136),MONTH($H136),1),$O136)),MIN($P136,MAX(0,$N136-$U136-SUM($V136:Z136))),0))</f>
        <v/>
      </c>
      <c r="AB136" s="457">
        <f>IF($AO136&lt;&gt;"OK",0,IF(AND(DATE('Thiết lập'!$B$4,7,1)&gt;=DATE(YEAR($H136),MONTH($H136),1),DATE('Thiết lập'!$B$4,7,1)&lt;EDATE(DATE(YEAR($H136),MONTH($H136),1),$O136)),MIN($P136,MAX(0,$N136-$U136-SUM($V136:AA136))),0))</f>
        <v/>
      </c>
      <c r="AC136" s="457">
        <f>IF($AO136&lt;&gt;"OK",0,IF(AND(DATE('Thiết lập'!$B$4,8,1)&gt;=DATE(YEAR($H136),MONTH($H136),1),DATE('Thiết lập'!$B$4,8,1)&lt;EDATE(DATE(YEAR($H136),MONTH($H136),1),$O136)),MIN($P136,MAX(0,$N136-$U136-SUM($V136:AB136))),0))</f>
        <v/>
      </c>
      <c r="AD136" s="457">
        <f>IF($AO136&lt;&gt;"OK",0,IF(AND(DATE('Thiết lập'!$B$4,9,1)&gt;=DATE(YEAR($H136),MONTH($H136),1),DATE('Thiết lập'!$B$4,9,1)&lt;EDATE(DATE(YEAR($H136),MONTH($H136),1),$O136)),MIN($P136,MAX(0,$N136-$U136-SUM($V136:AC136))),0))</f>
        <v/>
      </c>
      <c r="AE136" s="457">
        <f>IF($AO136&lt;&gt;"OK",0,IF(AND(DATE('Thiết lập'!$B$4,10,1)&gt;=DATE(YEAR($H136),MONTH($H136),1),DATE('Thiết lập'!$B$4,10,1)&lt;EDATE(DATE(YEAR($H136),MONTH($H136),1),$O136)),MIN($P136,MAX(0,$N136-$U136-SUM($V136:AD136))),0))</f>
        <v/>
      </c>
      <c r="AF136" s="457">
        <f>IF($AO136&lt;&gt;"OK",0,IF(AND(DATE('Thiết lập'!$B$4,11,1)&gt;=DATE(YEAR($H136),MONTH($H136),1),DATE('Thiết lập'!$B$4,11,1)&lt;EDATE(DATE(YEAR($H136),MONTH($H136),1),$O136)),MIN($P136,MAX(0,$N136-$U136-SUM($V136:AE136))),0))</f>
        <v/>
      </c>
      <c r="AG136" s="457">
        <f>IF($AO136&lt;&gt;"OK",0,IF(AND(DATE('Thiết lập'!$B$4,12,1)&gt;=DATE(YEAR($H136),MONTH($H136),1),DATE('Thiết lập'!$B$4,12,1)&lt;EDATE(DATE(YEAR($H136),MONTH($H136),1),$O136)),MIN($P136,MAX(0,$N136-$U136-SUM($V136:AF136))),0))</f>
        <v/>
      </c>
      <c r="AH136" s="457">
        <f>IF(B136="","",SUM(V136:AG136))</f>
        <v/>
      </c>
      <c r="AI136" s="457">
        <f>IF(B136="","",MIN(N136,IF(U136="",0,U136)+AH136))</f>
        <v/>
      </c>
      <c r="AJ136" s="457">
        <f>IF(B136="","",MAX(0,L136-AI136))</f>
        <v/>
      </c>
      <c r="AK136" s="337">
        <f>IF(B136="","",IF(H136&gt;'Thiết lập'!$B$5,"Chưa khấu hao",IF(AJ136&lt;=IF(M136="",0,M136),"Đã hết khấu hao","Đang khấu hao")))</f>
        <v/>
      </c>
      <c r="AL136" s="275" t="n"/>
      <c r="AM136" s="275" t="n"/>
      <c r="AN136" s="275" t="n"/>
      <c r="AO136" s="343">
        <f>IF(B136="","",IF(COUNTIF($B$7:$B$306,B136)&gt;1,"Trùng mã TSCĐ",IF(C136="","Thiếu tên TSCĐ",IF(H136="","Thiếu ngày bắt đầu",IF(OR(I136&lt;=0,L136&lt;=0,O136&lt;=0),"Kiểm tra số lượng/nguyên giá/thời gian",IF(AND(G136&lt;&gt;"",H136&lt;G136),"Ngày KH trước ngày ghi tăng",IF(M136&gt;L136,"Giá trị thu hồi vượt nguyên giá",IF(IF(U136="",0,U136)&gt;N136,"Lũy kế đầu năm vượt GTKH","OK"))))))))</f>
        <v/>
      </c>
    </row>
    <row r="137" ht="20" customHeight="1" s="389">
      <c r="A137" s="325">
        <f>IF(B137="","",ROW()-6)</f>
        <v/>
      </c>
      <c r="B137" s="275" t="n"/>
      <c r="C137" s="275" t="n"/>
      <c r="D137" s="331" t="n"/>
      <c r="E137" s="331" t="n"/>
      <c r="F137" s="454" t="n"/>
      <c r="G137" s="454" t="n"/>
      <c r="H137" s="454" t="n"/>
      <c r="I137" s="455" t="n"/>
      <c r="J137" s="456" t="n"/>
      <c r="K137" s="456" t="n"/>
      <c r="L137" s="457">
        <f>IF(B137="","",IF(OR(I137="",J137=""),"",I137*J137+IF(K137="",0,K137)))</f>
        <v/>
      </c>
      <c r="M137" s="456" t="n"/>
      <c r="N137" s="457">
        <f>IF(L137="","",MAX(0,L137-IF(M137="",0,M137)))</f>
        <v/>
      </c>
      <c r="O137" s="455" t="n"/>
      <c r="P137" s="457">
        <f>IF(OR(N137="",O137&lt;=0),"",ROUND(N137/O137,0))</f>
        <v/>
      </c>
      <c r="Q137" s="458">
        <f>IF(OR(H137="",O137&lt;=0),"",EOMONTH(H137,O137-1))</f>
        <v/>
      </c>
      <c r="R137" s="331" t="n"/>
      <c r="S137" s="331" t="n"/>
      <c r="T137" s="331" t="n"/>
      <c r="U137" s="456" t="n"/>
      <c r="V137" s="457">
        <f>IF($AO137&lt;&gt;"OK",0,IF(AND(DATE('Thiết lập'!$B$4,1,1)&gt;=DATE(YEAR($H137),MONTH($H137),1),DATE('Thiết lập'!$B$4,1,1)&lt;EDATE(DATE(YEAR($H137),MONTH($H137),1),$O137)),MIN($P137,MAX(0,$N137-$U137-0)),0))</f>
        <v/>
      </c>
      <c r="W137" s="457">
        <f>IF($AO137&lt;&gt;"OK",0,IF(AND(DATE('Thiết lập'!$B$4,2,1)&gt;=DATE(YEAR($H137),MONTH($H137),1),DATE('Thiết lập'!$B$4,2,1)&lt;EDATE(DATE(YEAR($H137),MONTH($H137),1),$O137)),MIN($P137,MAX(0,$N137-$U137-SUM($V137:V137))),0))</f>
        <v/>
      </c>
      <c r="X137" s="457">
        <f>IF($AO137&lt;&gt;"OK",0,IF(AND(DATE('Thiết lập'!$B$4,3,1)&gt;=DATE(YEAR($H137),MONTH($H137),1),DATE('Thiết lập'!$B$4,3,1)&lt;EDATE(DATE(YEAR($H137),MONTH($H137),1),$O137)),MIN($P137,MAX(0,$N137-$U137-SUM($V137:W137))),0))</f>
        <v/>
      </c>
      <c r="Y137" s="457">
        <f>IF($AO137&lt;&gt;"OK",0,IF(AND(DATE('Thiết lập'!$B$4,4,1)&gt;=DATE(YEAR($H137),MONTH($H137),1),DATE('Thiết lập'!$B$4,4,1)&lt;EDATE(DATE(YEAR($H137),MONTH($H137),1),$O137)),MIN($P137,MAX(0,$N137-$U137-SUM($V137:X137))),0))</f>
        <v/>
      </c>
      <c r="Z137" s="457">
        <f>IF($AO137&lt;&gt;"OK",0,IF(AND(DATE('Thiết lập'!$B$4,5,1)&gt;=DATE(YEAR($H137),MONTH($H137),1),DATE('Thiết lập'!$B$4,5,1)&lt;EDATE(DATE(YEAR($H137),MONTH($H137),1),$O137)),MIN($P137,MAX(0,$N137-$U137-SUM($V137:Y137))),0))</f>
        <v/>
      </c>
      <c r="AA137" s="457">
        <f>IF($AO137&lt;&gt;"OK",0,IF(AND(DATE('Thiết lập'!$B$4,6,1)&gt;=DATE(YEAR($H137),MONTH($H137),1),DATE('Thiết lập'!$B$4,6,1)&lt;EDATE(DATE(YEAR($H137),MONTH($H137),1),$O137)),MIN($P137,MAX(0,$N137-$U137-SUM($V137:Z137))),0))</f>
        <v/>
      </c>
      <c r="AB137" s="457">
        <f>IF($AO137&lt;&gt;"OK",0,IF(AND(DATE('Thiết lập'!$B$4,7,1)&gt;=DATE(YEAR($H137),MONTH($H137),1),DATE('Thiết lập'!$B$4,7,1)&lt;EDATE(DATE(YEAR($H137),MONTH($H137),1),$O137)),MIN($P137,MAX(0,$N137-$U137-SUM($V137:AA137))),0))</f>
        <v/>
      </c>
      <c r="AC137" s="457">
        <f>IF($AO137&lt;&gt;"OK",0,IF(AND(DATE('Thiết lập'!$B$4,8,1)&gt;=DATE(YEAR($H137),MONTH($H137),1),DATE('Thiết lập'!$B$4,8,1)&lt;EDATE(DATE(YEAR($H137),MONTH($H137),1),$O137)),MIN($P137,MAX(0,$N137-$U137-SUM($V137:AB137))),0))</f>
        <v/>
      </c>
      <c r="AD137" s="457">
        <f>IF($AO137&lt;&gt;"OK",0,IF(AND(DATE('Thiết lập'!$B$4,9,1)&gt;=DATE(YEAR($H137),MONTH($H137),1),DATE('Thiết lập'!$B$4,9,1)&lt;EDATE(DATE(YEAR($H137),MONTH($H137),1),$O137)),MIN($P137,MAX(0,$N137-$U137-SUM($V137:AC137))),0))</f>
        <v/>
      </c>
      <c r="AE137" s="457">
        <f>IF($AO137&lt;&gt;"OK",0,IF(AND(DATE('Thiết lập'!$B$4,10,1)&gt;=DATE(YEAR($H137),MONTH($H137),1),DATE('Thiết lập'!$B$4,10,1)&lt;EDATE(DATE(YEAR($H137),MONTH($H137),1),$O137)),MIN($P137,MAX(0,$N137-$U137-SUM($V137:AD137))),0))</f>
        <v/>
      </c>
      <c r="AF137" s="457">
        <f>IF($AO137&lt;&gt;"OK",0,IF(AND(DATE('Thiết lập'!$B$4,11,1)&gt;=DATE(YEAR($H137),MONTH($H137),1),DATE('Thiết lập'!$B$4,11,1)&lt;EDATE(DATE(YEAR($H137),MONTH($H137),1),$O137)),MIN($P137,MAX(0,$N137-$U137-SUM($V137:AE137))),0))</f>
        <v/>
      </c>
      <c r="AG137" s="457">
        <f>IF($AO137&lt;&gt;"OK",0,IF(AND(DATE('Thiết lập'!$B$4,12,1)&gt;=DATE(YEAR($H137),MONTH($H137),1),DATE('Thiết lập'!$B$4,12,1)&lt;EDATE(DATE(YEAR($H137),MONTH($H137),1),$O137)),MIN($P137,MAX(0,$N137-$U137-SUM($V137:AF137))),0))</f>
        <v/>
      </c>
      <c r="AH137" s="457">
        <f>IF(B137="","",SUM(V137:AG137))</f>
        <v/>
      </c>
      <c r="AI137" s="457">
        <f>IF(B137="","",MIN(N137,IF(U137="",0,U137)+AH137))</f>
        <v/>
      </c>
      <c r="AJ137" s="457">
        <f>IF(B137="","",MAX(0,L137-AI137))</f>
        <v/>
      </c>
      <c r="AK137" s="337">
        <f>IF(B137="","",IF(H137&gt;'Thiết lập'!$B$5,"Chưa khấu hao",IF(AJ137&lt;=IF(M137="",0,M137),"Đã hết khấu hao","Đang khấu hao")))</f>
        <v/>
      </c>
      <c r="AL137" s="275" t="n"/>
      <c r="AM137" s="275" t="n"/>
      <c r="AN137" s="275" t="n"/>
      <c r="AO137" s="343">
        <f>IF(B137="","",IF(COUNTIF($B$7:$B$306,B137)&gt;1,"Trùng mã TSCĐ",IF(C137="","Thiếu tên TSCĐ",IF(H137="","Thiếu ngày bắt đầu",IF(OR(I137&lt;=0,L137&lt;=0,O137&lt;=0),"Kiểm tra số lượng/nguyên giá/thời gian",IF(AND(G137&lt;&gt;"",H137&lt;G137),"Ngày KH trước ngày ghi tăng",IF(M137&gt;L137,"Giá trị thu hồi vượt nguyên giá",IF(IF(U137="",0,U137)&gt;N137,"Lũy kế đầu năm vượt GTKH","OK"))))))))</f>
        <v/>
      </c>
    </row>
    <row r="138" ht="20" customHeight="1" s="389">
      <c r="A138" s="325">
        <f>IF(B138="","",ROW()-6)</f>
        <v/>
      </c>
      <c r="B138" s="275" t="n"/>
      <c r="C138" s="275" t="n"/>
      <c r="D138" s="331" t="n"/>
      <c r="E138" s="331" t="n"/>
      <c r="F138" s="454" t="n"/>
      <c r="G138" s="454" t="n"/>
      <c r="H138" s="454" t="n"/>
      <c r="I138" s="455" t="n"/>
      <c r="J138" s="456" t="n"/>
      <c r="K138" s="456" t="n"/>
      <c r="L138" s="457">
        <f>IF(B138="","",IF(OR(I138="",J138=""),"",I138*J138+IF(K138="",0,K138)))</f>
        <v/>
      </c>
      <c r="M138" s="456" t="n"/>
      <c r="N138" s="457">
        <f>IF(L138="","",MAX(0,L138-IF(M138="",0,M138)))</f>
        <v/>
      </c>
      <c r="O138" s="455" t="n"/>
      <c r="P138" s="457">
        <f>IF(OR(N138="",O138&lt;=0),"",ROUND(N138/O138,0))</f>
        <v/>
      </c>
      <c r="Q138" s="458">
        <f>IF(OR(H138="",O138&lt;=0),"",EOMONTH(H138,O138-1))</f>
        <v/>
      </c>
      <c r="R138" s="331" t="n"/>
      <c r="S138" s="331" t="n"/>
      <c r="T138" s="331" t="n"/>
      <c r="U138" s="456" t="n"/>
      <c r="V138" s="457">
        <f>IF($AO138&lt;&gt;"OK",0,IF(AND(DATE('Thiết lập'!$B$4,1,1)&gt;=DATE(YEAR($H138),MONTH($H138),1),DATE('Thiết lập'!$B$4,1,1)&lt;EDATE(DATE(YEAR($H138),MONTH($H138),1),$O138)),MIN($P138,MAX(0,$N138-$U138-0)),0))</f>
        <v/>
      </c>
      <c r="W138" s="457">
        <f>IF($AO138&lt;&gt;"OK",0,IF(AND(DATE('Thiết lập'!$B$4,2,1)&gt;=DATE(YEAR($H138),MONTH($H138),1),DATE('Thiết lập'!$B$4,2,1)&lt;EDATE(DATE(YEAR($H138),MONTH($H138),1),$O138)),MIN($P138,MAX(0,$N138-$U138-SUM($V138:V138))),0))</f>
        <v/>
      </c>
      <c r="X138" s="457">
        <f>IF($AO138&lt;&gt;"OK",0,IF(AND(DATE('Thiết lập'!$B$4,3,1)&gt;=DATE(YEAR($H138),MONTH($H138),1),DATE('Thiết lập'!$B$4,3,1)&lt;EDATE(DATE(YEAR($H138),MONTH($H138),1),$O138)),MIN($P138,MAX(0,$N138-$U138-SUM($V138:W138))),0))</f>
        <v/>
      </c>
      <c r="Y138" s="457">
        <f>IF($AO138&lt;&gt;"OK",0,IF(AND(DATE('Thiết lập'!$B$4,4,1)&gt;=DATE(YEAR($H138),MONTH($H138),1),DATE('Thiết lập'!$B$4,4,1)&lt;EDATE(DATE(YEAR($H138),MONTH($H138),1),$O138)),MIN($P138,MAX(0,$N138-$U138-SUM($V138:X138))),0))</f>
        <v/>
      </c>
      <c r="Z138" s="457">
        <f>IF($AO138&lt;&gt;"OK",0,IF(AND(DATE('Thiết lập'!$B$4,5,1)&gt;=DATE(YEAR($H138),MONTH($H138),1),DATE('Thiết lập'!$B$4,5,1)&lt;EDATE(DATE(YEAR($H138),MONTH($H138),1),$O138)),MIN($P138,MAX(0,$N138-$U138-SUM($V138:Y138))),0))</f>
        <v/>
      </c>
      <c r="AA138" s="457">
        <f>IF($AO138&lt;&gt;"OK",0,IF(AND(DATE('Thiết lập'!$B$4,6,1)&gt;=DATE(YEAR($H138),MONTH($H138),1),DATE('Thiết lập'!$B$4,6,1)&lt;EDATE(DATE(YEAR($H138),MONTH($H138),1),$O138)),MIN($P138,MAX(0,$N138-$U138-SUM($V138:Z138))),0))</f>
        <v/>
      </c>
      <c r="AB138" s="457">
        <f>IF($AO138&lt;&gt;"OK",0,IF(AND(DATE('Thiết lập'!$B$4,7,1)&gt;=DATE(YEAR($H138),MONTH($H138),1),DATE('Thiết lập'!$B$4,7,1)&lt;EDATE(DATE(YEAR($H138),MONTH($H138),1),$O138)),MIN($P138,MAX(0,$N138-$U138-SUM($V138:AA138))),0))</f>
        <v/>
      </c>
      <c r="AC138" s="457">
        <f>IF($AO138&lt;&gt;"OK",0,IF(AND(DATE('Thiết lập'!$B$4,8,1)&gt;=DATE(YEAR($H138),MONTH($H138),1),DATE('Thiết lập'!$B$4,8,1)&lt;EDATE(DATE(YEAR($H138),MONTH($H138),1),$O138)),MIN($P138,MAX(0,$N138-$U138-SUM($V138:AB138))),0))</f>
        <v/>
      </c>
      <c r="AD138" s="457">
        <f>IF($AO138&lt;&gt;"OK",0,IF(AND(DATE('Thiết lập'!$B$4,9,1)&gt;=DATE(YEAR($H138),MONTH($H138),1),DATE('Thiết lập'!$B$4,9,1)&lt;EDATE(DATE(YEAR($H138),MONTH($H138),1),$O138)),MIN($P138,MAX(0,$N138-$U138-SUM($V138:AC138))),0))</f>
        <v/>
      </c>
      <c r="AE138" s="457">
        <f>IF($AO138&lt;&gt;"OK",0,IF(AND(DATE('Thiết lập'!$B$4,10,1)&gt;=DATE(YEAR($H138),MONTH($H138),1),DATE('Thiết lập'!$B$4,10,1)&lt;EDATE(DATE(YEAR($H138),MONTH($H138),1),$O138)),MIN($P138,MAX(0,$N138-$U138-SUM($V138:AD138))),0))</f>
        <v/>
      </c>
      <c r="AF138" s="457">
        <f>IF($AO138&lt;&gt;"OK",0,IF(AND(DATE('Thiết lập'!$B$4,11,1)&gt;=DATE(YEAR($H138),MONTH($H138),1),DATE('Thiết lập'!$B$4,11,1)&lt;EDATE(DATE(YEAR($H138),MONTH($H138),1),$O138)),MIN($P138,MAX(0,$N138-$U138-SUM($V138:AE138))),0))</f>
        <v/>
      </c>
      <c r="AG138" s="457">
        <f>IF($AO138&lt;&gt;"OK",0,IF(AND(DATE('Thiết lập'!$B$4,12,1)&gt;=DATE(YEAR($H138),MONTH($H138),1),DATE('Thiết lập'!$B$4,12,1)&lt;EDATE(DATE(YEAR($H138),MONTH($H138),1),$O138)),MIN($P138,MAX(0,$N138-$U138-SUM($V138:AF138))),0))</f>
        <v/>
      </c>
      <c r="AH138" s="457">
        <f>IF(B138="","",SUM(V138:AG138))</f>
        <v/>
      </c>
      <c r="AI138" s="457">
        <f>IF(B138="","",MIN(N138,IF(U138="",0,U138)+AH138))</f>
        <v/>
      </c>
      <c r="AJ138" s="457">
        <f>IF(B138="","",MAX(0,L138-AI138))</f>
        <v/>
      </c>
      <c r="AK138" s="337">
        <f>IF(B138="","",IF(H138&gt;'Thiết lập'!$B$5,"Chưa khấu hao",IF(AJ138&lt;=IF(M138="",0,M138),"Đã hết khấu hao","Đang khấu hao")))</f>
        <v/>
      </c>
      <c r="AL138" s="275" t="n"/>
      <c r="AM138" s="275" t="n"/>
      <c r="AN138" s="275" t="n"/>
      <c r="AO138" s="343">
        <f>IF(B138="","",IF(COUNTIF($B$7:$B$306,B138)&gt;1,"Trùng mã TSCĐ",IF(C138="","Thiếu tên TSCĐ",IF(H138="","Thiếu ngày bắt đầu",IF(OR(I138&lt;=0,L138&lt;=0,O138&lt;=0),"Kiểm tra số lượng/nguyên giá/thời gian",IF(AND(G138&lt;&gt;"",H138&lt;G138),"Ngày KH trước ngày ghi tăng",IF(M138&gt;L138,"Giá trị thu hồi vượt nguyên giá",IF(IF(U138="",0,U138)&gt;N138,"Lũy kế đầu năm vượt GTKH","OK"))))))))</f>
        <v/>
      </c>
    </row>
    <row r="139" ht="20" customHeight="1" s="389">
      <c r="A139" s="325">
        <f>IF(B139="","",ROW()-6)</f>
        <v/>
      </c>
      <c r="B139" s="275" t="n"/>
      <c r="C139" s="275" t="n"/>
      <c r="D139" s="331" t="n"/>
      <c r="E139" s="331" t="n"/>
      <c r="F139" s="454" t="n"/>
      <c r="G139" s="454" t="n"/>
      <c r="H139" s="454" t="n"/>
      <c r="I139" s="455" t="n"/>
      <c r="J139" s="456" t="n"/>
      <c r="K139" s="456" t="n"/>
      <c r="L139" s="457">
        <f>IF(B139="","",IF(OR(I139="",J139=""),"",I139*J139+IF(K139="",0,K139)))</f>
        <v/>
      </c>
      <c r="M139" s="456" t="n"/>
      <c r="N139" s="457">
        <f>IF(L139="","",MAX(0,L139-IF(M139="",0,M139)))</f>
        <v/>
      </c>
      <c r="O139" s="455" t="n"/>
      <c r="P139" s="457">
        <f>IF(OR(N139="",O139&lt;=0),"",ROUND(N139/O139,0))</f>
        <v/>
      </c>
      <c r="Q139" s="458">
        <f>IF(OR(H139="",O139&lt;=0),"",EOMONTH(H139,O139-1))</f>
        <v/>
      </c>
      <c r="R139" s="331" t="n"/>
      <c r="S139" s="331" t="n"/>
      <c r="T139" s="331" t="n"/>
      <c r="U139" s="456" t="n"/>
      <c r="V139" s="457">
        <f>IF($AO139&lt;&gt;"OK",0,IF(AND(DATE('Thiết lập'!$B$4,1,1)&gt;=DATE(YEAR($H139),MONTH($H139),1),DATE('Thiết lập'!$B$4,1,1)&lt;EDATE(DATE(YEAR($H139),MONTH($H139),1),$O139)),MIN($P139,MAX(0,$N139-$U139-0)),0))</f>
        <v/>
      </c>
      <c r="W139" s="457">
        <f>IF($AO139&lt;&gt;"OK",0,IF(AND(DATE('Thiết lập'!$B$4,2,1)&gt;=DATE(YEAR($H139),MONTH($H139),1),DATE('Thiết lập'!$B$4,2,1)&lt;EDATE(DATE(YEAR($H139),MONTH($H139),1),$O139)),MIN($P139,MAX(0,$N139-$U139-SUM($V139:V139))),0))</f>
        <v/>
      </c>
      <c r="X139" s="457">
        <f>IF($AO139&lt;&gt;"OK",0,IF(AND(DATE('Thiết lập'!$B$4,3,1)&gt;=DATE(YEAR($H139),MONTH($H139),1),DATE('Thiết lập'!$B$4,3,1)&lt;EDATE(DATE(YEAR($H139),MONTH($H139),1),$O139)),MIN($P139,MAX(0,$N139-$U139-SUM($V139:W139))),0))</f>
        <v/>
      </c>
      <c r="Y139" s="457">
        <f>IF($AO139&lt;&gt;"OK",0,IF(AND(DATE('Thiết lập'!$B$4,4,1)&gt;=DATE(YEAR($H139),MONTH($H139),1),DATE('Thiết lập'!$B$4,4,1)&lt;EDATE(DATE(YEAR($H139),MONTH($H139),1),$O139)),MIN($P139,MAX(0,$N139-$U139-SUM($V139:X139))),0))</f>
        <v/>
      </c>
      <c r="Z139" s="457">
        <f>IF($AO139&lt;&gt;"OK",0,IF(AND(DATE('Thiết lập'!$B$4,5,1)&gt;=DATE(YEAR($H139),MONTH($H139),1),DATE('Thiết lập'!$B$4,5,1)&lt;EDATE(DATE(YEAR($H139),MONTH($H139),1),$O139)),MIN($P139,MAX(0,$N139-$U139-SUM($V139:Y139))),0))</f>
        <v/>
      </c>
      <c r="AA139" s="457">
        <f>IF($AO139&lt;&gt;"OK",0,IF(AND(DATE('Thiết lập'!$B$4,6,1)&gt;=DATE(YEAR($H139),MONTH($H139),1),DATE('Thiết lập'!$B$4,6,1)&lt;EDATE(DATE(YEAR($H139),MONTH($H139),1),$O139)),MIN($P139,MAX(0,$N139-$U139-SUM($V139:Z139))),0))</f>
        <v/>
      </c>
      <c r="AB139" s="457">
        <f>IF($AO139&lt;&gt;"OK",0,IF(AND(DATE('Thiết lập'!$B$4,7,1)&gt;=DATE(YEAR($H139),MONTH($H139),1),DATE('Thiết lập'!$B$4,7,1)&lt;EDATE(DATE(YEAR($H139),MONTH($H139),1),$O139)),MIN($P139,MAX(0,$N139-$U139-SUM($V139:AA139))),0))</f>
        <v/>
      </c>
      <c r="AC139" s="457">
        <f>IF($AO139&lt;&gt;"OK",0,IF(AND(DATE('Thiết lập'!$B$4,8,1)&gt;=DATE(YEAR($H139),MONTH($H139),1),DATE('Thiết lập'!$B$4,8,1)&lt;EDATE(DATE(YEAR($H139),MONTH($H139),1),$O139)),MIN($P139,MAX(0,$N139-$U139-SUM($V139:AB139))),0))</f>
        <v/>
      </c>
      <c r="AD139" s="457">
        <f>IF($AO139&lt;&gt;"OK",0,IF(AND(DATE('Thiết lập'!$B$4,9,1)&gt;=DATE(YEAR($H139),MONTH($H139),1),DATE('Thiết lập'!$B$4,9,1)&lt;EDATE(DATE(YEAR($H139),MONTH($H139),1),$O139)),MIN($P139,MAX(0,$N139-$U139-SUM($V139:AC139))),0))</f>
        <v/>
      </c>
      <c r="AE139" s="457">
        <f>IF($AO139&lt;&gt;"OK",0,IF(AND(DATE('Thiết lập'!$B$4,10,1)&gt;=DATE(YEAR($H139),MONTH($H139),1),DATE('Thiết lập'!$B$4,10,1)&lt;EDATE(DATE(YEAR($H139),MONTH($H139),1),$O139)),MIN($P139,MAX(0,$N139-$U139-SUM($V139:AD139))),0))</f>
        <v/>
      </c>
      <c r="AF139" s="457">
        <f>IF($AO139&lt;&gt;"OK",0,IF(AND(DATE('Thiết lập'!$B$4,11,1)&gt;=DATE(YEAR($H139),MONTH($H139),1),DATE('Thiết lập'!$B$4,11,1)&lt;EDATE(DATE(YEAR($H139),MONTH($H139),1),$O139)),MIN($P139,MAX(0,$N139-$U139-SUM($V139:AE139))),0))</f>
        <v/>
      </c>
      <c r="AG139" s="457">
        <f>IF($AO139&lt;&gt;"OK",0,IF(AND(DATE('Thiết lập'!$B$4,12,1)&gt;=DATE(YEAR($H139),MONTH($H139),1),DATE('Thiết lập'!$B$4,12,1)&lt;EDATE(DATE(YEAR($H139),MONTH($H139),1),$O139)),MIN($P139,MAX(0,$N139-$U139-SUM($V139:AF139))),0))</f>
        <v/>
      </c>
      <c r="AH139" s="457">
        <f>IF(B139="","",SUM(V139:AG139))</f>
        <v/>
      </c>
      <c r="AI139" s="457">
        <f>IF(B139="","",MIN(N139,IF(U139="",0,U139)+AH139))</f>
        <v/>
      </c>
      <c r="AJ139" s="457">
        <f>IF(B139="","",MAX(0,L139-AI139))</f>
        <v/>
      </c>
      <c r="AK139" s="337">
        <f>IF(B139="","",IF(H139&gt;'Thiết lập'!$B$5,"Chưa khấu hao",IF(AJ139&lt;=IF(M139="",0,M139),"Đã hết khấu hao","Đang khấu hao")))</f>
        <v/>
      </c>
      <c r="AL139" s="275" t="n"/>
      <c r="AM139" s="275" t="n"/>
      <c r="AN139" s="275" t="n"/>
      <c r="AO139" s="343">
        <f>IF(B139="","",IF(COUNTIF($B$7:$B$306,B139)&gt;1,"Trùng mã TSCĐ",IF(C139="","Thiếu tên TSCĐ",IF(H139="","Thiếu ngày bắt đầu",IF(OR(I139&lt;=0,L139&lt;=0,O139&lt;=0),"Kiểm tra số lượng/nguyên giá/thời gian",IF(AND(G139&lt;&gt;"",H139&lt;G139),"Ngày KH trước ngày ghi tăng",IF(M139&gt;L139,"Giá trị thu hồi vượt nguyên giá",IF(IF(U139="",0,U139)&gt;N139,"Lũy kế đầu năm vượt GTKH","OK"))))))))</f>
        <v/>
      </c>
    </row>
    <row r="140" ht="20" customHeight="1" s="389">
      <c r="A140" s="325">
        <f>IF(B140="","",ROW()-6)</f>
        <v/>
      </c>
      <c r="B140" s="275" t="n"/>
      <c r="C140" s="275" t="n"/>
      <c r="D140" s="331" t="n"/>
      <c r="E140" s="331" t="n"/>
      <c r="F140" s="454" t="n"/>
      <c r="G140" s="454" t="n"/>
      <c r="H140" s="454" t="n"/>
      <c r="I140" s="455" t="n"/>
      <c r="J140" s="456" t="n"/>
      <c r="K140" s="456" t="n"/>
      <c r="L140" s="457">
        <f>IF(B140="","",IF(OR(I140="",J140=""),"",I140*J140+IF(K140="",0,K140)))</f>
        <v/>
      </c>
      <c r="M140" s="456" t="n"/>
      <c r="N140" s="457">
        <f>IF(L140="","",MAX(0,L140-IF(M140="",0,M140)))</f>
        <v/>
      </c>
      <c r="O140" s="455" t="n"/>
      <c r="P140" s="457">
        <f>IF(OR(N140="",O140&lt;=0),"",ROUND(N140/O140,0))</f>
        <v/>
      </c>
      <c r="Q140" s="458">
        <f>IF(OR(H140="",O140&lt;=0),"",EOMONTH(H140,O140-1))</f>
        <v/>
      </c>
      <c r="R140" s="331" t="n"/>
      <c r="S140" s="331" t="n"/>
      <c r="T140" s="331" t="n"/>
      <c r="U140" s="456" t="n"/>
      <c r="V140" s="457">
        <f>IF($AO140&lt;&gt;"OK",0,IF(AND(DATE('Thiết lập'!$B$4,1,1)&gt;=DATE(YEAR($H140),MONTH($H140),1),DATE('Thiết lập'!$B$4,1,1)&lt;EDATE(DATE(YEAR($H140),MONTH($H140),1),$O140)),MIN($P140,MAX(0,$N140-$U140-0)),0))</f>
        <v/>
      </c>
      <c r="W140" s="457">
        <f>IF($AO140&lt;&gt;"OK",0,IF(AND(DATE('Thiết lập'!$B$4,2,1)&gt;=DATE(YEAR($H140),MONTH($H140),1),DATE('Thiết lập'!$B$4,2,1)&lt;EDATE(DATE(YEAR($H140),MONTH($H140),1),$O140)),MIN($P140,MAX(0,$N140-$U140-SUM($V140:V140))),0))</f>
        <v/>
      </c>
      <c r="X140" s="457">
        <f>IF($AO140&lt;&gt;"OK",0,IF(AND(DATE('Thiết lập'!$B$4,3,1)&gt;=DATE(YEAR($H140),MONTH($H140),1),DATE('Thiết lập'!$B$4,3,1)&lt;EDATE(DATE(YEAR($H140),MONTH($H140),1),$O140)),MIN($P140,MAX(0,$N140-$U140-SUM($V140:W140))),0))</f>
        <v/>
      </c>
      <c r="Y140" s="457">
        <f>IF($AO140&lt;&gt;"OK",0,IF(AND(DATE('Thiết lập'!$B$4,4,1)&gt;=DATE(YEAR($H140),MONTH($H140),1),DATE('Thiết lập'!$B$4,4,1)&lt;EDATE(DATE(YEAR($H140),MONTH($H140),1),$O140)),MIN($P140,MAX(0,$N140-$U140-SUM($V140:X140))),0))</f>
        <v/>
      </c>
      <c r="Z140" s="457">
        <f>IF($AO140&lt;&gt;"OK",0,IF(AND(DATE('Thiết lập'!$B$4,5,1)&gt;=DATE(YEAR($H140),MONTH($H140),1),DATE('Thiết lập'!$B$4,5,1)&lt;EDATE(DATE(YEAR($H140),MONTH($H140),1),$O140)),MIN($P140,MAX(0,$N140-$U140-SUM($V140:Y140))),0))</f>
        <v/>
      </c>
      <c r="AA140" s="457">
        <f>IF($AO140&lt;&gt;"OK",0,IF(AND(DATE('Thiết lập'!$B$4,6,1)&gt;=DATE(YEAR($H140),MONTH($H140),1),DATE('Thiết lập'!$B$4,6,1)&lt;EDATE(DATE(YEAR($H140),MONTH($H140),1),$O140)),MIN($P140,MAX(0,$N140-$U140-SUM($V140:Z140))),0))</f>
        <v/>
      </c>
      <c r="AB140" s="457">
        <f>IF($AO140&lt;&gt;"OK",0,IF(AND(DATE('Thiết lập'!$B$4,7,1)&gt;=DATE(YEAR($H140),MONTH($H140),1),DATE('Thiết lập'!$B$4,7,1)&lt;EDATE(DATE(YEAR($H140),MONTH($H140),1),$O140)),MIN($P140,MAX(0,$N140-$U140-SUM($V140:AA140))),0))</f>
        <v/>
      </c>
      <c r="AC140" s="457">
        <f>IF($AO140&lt;&gt;"OK",0,IF(AND(DATE('Thiết lập'!$B$4,8,1)&gt;=DATE(YEAR($H140),MONTH($H140),1),DATE('Thiết lập'!$B$4,8,1)&lt;EDATE(DATE(YEAR($H140),MONTH($H140),1),$O140)),MIN($P140,MAX(0,$N140-$U140-SUM($V140:AB140))),0))</f>
        <v/>
      </c>
      <c r="AD140" s="457">
        <f>IF($AO140&lt;&gt;"OK",0,IF(AND(DATE('Thiết lập'!$B$4,9,1)&gt;=DATE(YEAR($H140),MONTH($H140),1),DATE('Thiết lập'!$B$4,9,1)&lt;EDATE(DATE(YEAR($H140),MONTH($H140),1),$O140)),MIN($P140,MAX(0,$N140-$U140-SUM($V140:AC140))),0))</f>
        <v/>
      </c>
      <c r="AE140" s="457">
        <f>IF($AO140&lt;&gt;"OK",0,IF(AND(DATE('Thiết lập'!$B$4,10,1)&gt;=DATE(YEAR($H140),MONTH($H140),1),DATE('Thiết lập'!$B$4,10,1)&lt;EDATE(DATE(YEAR($H140),MONTH($H140),1),$O140)),MIN($P140,MAX(0,$N140-$U140-SUM($V140:AD140))),0))</f>
        <v/>
      </c>
      <c r="AF140" s="457">
        <f>IF($AO140&lt;&gt;"OK",0,IF(AND(DATE('Thiết lập'!$B$4,11,1)&gt;=DATE(YEAR($H140),MONTH($H140),1),DATE('Thiết lập'!$B$4,11,1)&lt;EDATE(DATE(YEAR($H140),MONTH($H140),1),$O140)),MIN($P140,MAX(0,$N140-$U140-SUM($V140:AE140))),0))</f>
        <v/>
      </c>
      <c r="AG140" s="457">
        <f>IF($AO140&lt;&gt;"OK",0,IF(AND(DATE('Thiết lập'!$B$4,12,1)&gt;=DATE(YEAR($H140),MONTH($H140),1),DATE('Thiết lập'!$B$4,12,1)&lt;EDATE(DATE(YEAR($H140),MONTH($H140),1),$O140)),MIN($P140,MAX(0,$N140-$U140-SUM($V140:AF140))),0))</f>
        <v/>
      </c>
      <c r="AH140" s="457">
        <f>IF(B140="","",SUM(V140:AG140))</f>
        <v/>
      </c>
      <c r="AI140" s="457">
        <f>IF(B140="","",MIN(N140,IF(U140="",0,U140)+AH140))</f>
        <v/>
      </c>
      <c r="AJ140" s="457">
        <f>IF(B140="","",MAX(0,L140-AI140))</f>
        <v/>
      </c>
      <c r="AK140" s="337">
        <f>IF(B140="","",IF(H140&gt;'Thiết lập'!$B$5,"Chưa khấu hao",IF(AJ140&lt;=IF(M140="",0,M140),"Đã hết khấu hao","Đang khấu hao")))</f>
        <v/>
      </c>
      <c r="AL140" s="275" t="n"/>
      <c r="AM140" s="275" t="n"/>
      <c r="AN140" s="275" t="n"/>
      <c r="AO140" s="343">
        <f>IF(B140="","",IF(COUNTIF($B$7:$B$306,B140)&gt;1,"Trùng mã TSCĐ",IF(C140="","Thiếu tên TSCĐ",IF(H140="","Thiếu ngày bắt đầu",IF(OR(I140&lt;=0,L140&lt;=0,O140&lt;=0),"Kiểm tra số lượng/nguyên giá/thời gian",IF(AND(G140&lt;&gt;"",H140&lt;G140),"Ngày KH trước ngày ghi tăng",IF(M140&gt;L140,"Giá trị thu hồi vượt nguyên giá",IF(IF(U140="",0,U140)&gt;N140,"Lũy kế đầu năm vượt GTKH","OK"))))))))</f>
        <v/>
      </c>
    </row>
    <row r="141" ht="20" customHeight="1" s="389">
      <c r="A141" s="325">
        <f>IF(B141="","",ROW()-6)</f>
        <v/>
      </c>
      <c r="B141" s="275" t="n"/>
      <c r="C141" s="275" t="n"/>
      <c r="D141" s="331" t="n"/>
      <c r="E141" s="331" t="n"/>
      <c r="F141" s="454" t="n"/>
      <c r="G141" s="454" t="n"/>
      <c r="H141" s="454" t="n"/>
      <c r="I141" s="455" t="n"/>
      <c r="J141" s="456" t="n"/>
      <c r="K141" s="456" t="n"/>
      <c r="L141" s="457">
        <f>IF(B141="","",IF(OR(I141="",J141=""),"",I141*J141+IF(K141="",0,K141)))</f>
        <v/>
      </c>
      <c r="M141" s="456" t="n"/>
      <c r="N141" s="457">
        <f>IF(L141="","",MAX(0,L141-IF(M141="",0,M141)))</f>
        <v/>
      </c>
      <c r="O141" s="455" t="n"/>
      <c r="P141" s="457">
        <f>IF(OR(N141="",O141&lt;=0),"",ROUND(N141/O141,0))</f>
        <v/>
      </c>
      <c r="Q141" s="458">
        <f>IF(OR(H141="",O141&lt;=0),"",EOMONTH(H141,O141-1))</f>
        <v/>
      </c>
      <c r="R141" s="331" t="n"/>
      <c r="S141" s="331" t="n"/>
      <c r="T141" s="331" t="n"/>
      <c r="U141" s="456" t="n"/>
      <c r="V141" s="457">
        <f>IF($AO141&lt;&gt;"OK",0,IF(AND(DATE('Thiết lập'!$B$4,1,1)&gt;=DATE(YEAR($H141),MONTH($H141),1),DATE('Thiết lập'!$B$4,1,1)&lt;EDATE(DATE(YEAR($H141),MONTH($H141),1),$O141)),MIN($P141,MAX(0,$N141-$U141-0)),0))</f>
        <v/>
      </c>
      <c r="W141" s="457">
        <f>IF($AO141&lt;&gt;"OK",0,IF(AND(DATE('Thiết lập'!$B$4,2,1)&gt;=DATE(YEAR($H141),MONTH($H141),1),DATE('Thiết lập'!$B$4,2,1)&lt;EDATE(DATE(YEAR($H141),MONTH($H141),1),$O141)),MIN($P141,MAX(0,$N141-$U141-SUM($V141:V141))),0))</f>
        <v/>
      </c>
      <c r="X141" s="457">
        <f>IF($AO141&lt;&gt;"OK",0,IF(AND(DATE('Thiết lập'!$B$4,3,1)&gt;=DATE(YEAR($H141),MONTH($H141),1),DATE('Thiết lập'!$B$4,3,1)&lt;EDATE(DATE(YEAR($H141),MONTH($H141),1),$O141)),MIN($P141,MAX(0,$N141-$U141-SUM($V141:W141))),0))</f>
        <v/>
      </c>
      <c r="Y141" s="457">
        <f>IF($AO141&lt;&gt;"OK",0,IF(AND(DATE('Thiết lập'!$B$4,4,1)&gt;=DATE(YEAR($H141),MONTH($H141),1),DATE('Thiết lập'!$B$4,4,1)&lt;EDATE(DATE(YEAR($H141),MONTH($H141),1),$O141)),MIN($P141,MAX(0,$N141-$U141-SUM($V141:X141))),0))</f>
        <v/>
      </c>
      <c r="Z141" s="457">
        <f>IF($AO141&lt;&gt;"OK",0,IF(AND(DATE('Thiết lập'!$B$4,5,1)&gt;=DATE(YEAR($H141),MONTH($H141),1),DATE('Thiết lập'!$B$4,5,1)&lt;EDATE(DATE(YEAR($H141),MONTH($H141),1),$O141)),MIN($P141,MAX(0,$N141-$U141-SUM($V141:Y141))),0))</f>
        <v/>
      </c>
      <c r="AA141" s="457">
        <f>IF($AO141&lt;&gt;"OK",0,IF(AND(DATE('Thiết lập'!$B$4,6,1)&gt;=DATE(YEAR($H141),MONTH($H141),1),DATE('Thiết lập'!$B$4,6,1)&lt;EDATE(DATE(YEAR($H141),MONTH($H141),1),$O141)),MIN($P141,MAX(0,$N141-$U141-SUM($V141:Z141))),0))</f>
        <v/>
      </c>
      <c r="AB141" s="457">
        <f>IF($AO141&lt;&gt;"OK",0,IF(AND(DATE('Thiết lập'!$B$4,7,1)&gt;=DATE(YEAR($H141),MONTH($H141),1),DATE('Thiết lập'!$B$4,7,1)&lt;EDATE(DATE(YEAR($H141),MONTH($H141),1),$O141)),MIN($P141,MAX(0,$N141-$U141-SUM($V141:AA141))),0))</f>
        <v/>
      </c>
      <c r="AC141" s="457">
        <f>IF($AO141&lt;&gt;"OK",0,IF(AND(DATE('Thiết lập'!$B$4,8,1)&gt;=DATE(YEAR($H141),MONTH($H141),1),DATE('Thiết lập'!$B$4,8,1)&lt;EDATE(DATE(YEAR($H141),MONTH($H141),1),$O141)),MIN($P141,MAX(0,$N141-$U141-SUM($V141:AB141))),0))</f>
        <v/>
      </c>
      <c r="AD141" s="457">
        <f>IF($AO141&lt;&gt;"OK",0,IF(AND(DATE('Thiết lập'!$B$4,9,1)&gt;=DATE(YEAR($H141),MONTH($H141),1),DATE('Thiết lập'!$B$4,9,1)&lt;EDATE(DATE(YEAR($H141),MONTH($H141),1),$O141)),MIN($P141,MAX(0,$N141-$U141-SUM($V141:AC141))),0))</f>
        <v/>
      </c>
      <c r="AE141" s="457">
        <f>IF($AO141&lt;&gt;"OK",0,IF(AND(DATE('Thiết lập'!$B$4,10,1)&gt;=DATE(YEAR($H141),MONTH($H141),1),DATE('Thiết lập'!$B$4,10,1)&lt;EDATE(DATE(YEAR($H141),MONTH($H141),1),$O141)),MIN($P141,MAX(0,$N141-$U141-SUM($V141:AD141))),0))</f>
        <v/>
      </c>
      <c r="AF141" s="457">
        <f>IF($AO141&lt;&gt;"OK",0,IF(AND(DATE('Thiết lập'!$B$4,11,1)&gt;=DATE(YEAR($H141),MONTH($H141),1),DATE('Thiết lập'!$B$4,11,1)&lt;EDATE(DATE(YEAR($H141),MONTH($H141),1),$O141)),MIN($P141,MAX(0,$N141-$U141-SUM($V141:AE141))),0))</f>
        <v/>
      </c>
      <c r="AG141" s="457">
        <f>IF($AO141&lt;&gt;"OK",0,IF(AND(DATE('Thiết lập'!$B$4,12,1)&gt;=DATE(YEAR($H141),MONTH($H141),1),DATE('Thiết lập'!$B$4,12,1)&lt;EDATE(DATE(YEAR($H141),MONTH($H141),1),$O141)),MIN($P141,MAX(0,$N141-$U141-SUM($V141:AF141))),0))</f>
        <v/>
      </c>
      <c r="AH141" s="457">
        <f>IF(B141="","",SUM(V141:AG141))</f>
        <v/>
      </c>
      <c r="AI141" s="457">
        <f>IF(B141="","",MIN(N141,IF(U141="",0,U141)+AH141))</f>
        <v/>
      </c>
      <c r="AJ141" s="457">
        <f>IF(B141="","",MAX(0,L141-AI141))</f>
        <v/>
      </c>
      <c r="AK141" s="337">
        <f>IF(B141="","",IF(H141&gt;'Thiết lập'!$B$5,"Chưa khấu hao",IF(AJ141&lt;=IF(M141="",0,M141),"Đã hết khấu hao","Đang khấu hao")))</f>
        <v/>
      </c>
      <c r="AL141" s="275" t="n"/>
      <c r="AM141" s="275" t="n"/>
      <c r="AN141" s="275" t="n"/>
      <c r="AO141" s="343">
        <f>IF(B141="","",IF(COUNTIF($B$7:$B$306,B141)&gt;1,"Trùng mã TSCĐ",IF(C141="","Thiếu tên TSCĐ",IF(H141="","Thiếu ngày bắt đầu",IF(OR(I141&lt;=0,L141&lt;=0,O141&lt;=0),"Kiểm tra số lượng/nguyên giá/thời gian",IF(AND(G141&lt;&gt;"",H141&lt;G141),"Ngày KH trước ngày ghi tăng",IF(M141&gt;L141,"Giá trị thu hồi vượt nguyên giá",IF(IF(U141="",0,U141)&gt;N141,"Lũy kế đầu năm vượt GTKH","OK"))))))))</f>
        <v/>
      </c>
    </row>
    <row r="142" ht="20" customHeight="1" s="389">
      <c r="A142" s="325">
        <f>IF(B142="","",ROW()-6)</f>
        <v/>
      </c>
      <c r="B142" s="275" t="n"/>
      <c r="C142" s="275" t="n"/>
      <c r="D142" s="331" t="n"/>
      <c r="E142" s="331" t="n"/>
      <c r="F142" s="454" t="n"/>
      <c r="G142" s="454" t="n"/>
      <c r="H142" s="454" t="n"/>
      <c r="I142" s="455" t="n"/>
      <c r="J142" s="456" t="n"/>
      <c r="K142" s="456" t="n"/>
      <c r="L142" s="457">
        <f>IF(B142="","",IF(OR(I142="",J142=""),"",I142*J142+IF(K142="",0,K142)))</f>
        <v/>
      </c>
      <c r="M142" s="456" t="n"/>
      <c r="N142" s="457">
        <f>IF(L142="","",MAX(0,L142-IF(M142="",0,M142)))</f>
        <v/>
      </c>
      <c r="O142" s="455" t="n"/>
      <c r="P142" s="457">
        <f>IF(OR(N142="",O142&lt;=0),"",ROUND(N142/O142,0))</f>
        <v/>
      </c>
      <c r="Q142" s="458">
        <f>IF(OR(H142="",O142&lt;=0),"",EOMONTH(H142,O142-1))</f>
        <v/>
      </c>
      <c r="R142" s="331" t="n"/>
      <c r="S142" s="331" t="n"/>
      <c r="T142" s="331" t="n"/>
      <c r="U142" s="456" t="n"/>
      <c r="V142" s="457">
        <f>IF($AO142&lt;&gt;"OK",0,IF(AND(DATE('Thiết lập'!$B$4,1,1)&gt;=DATE(YEAR($H142),MONTH($H142),1),DATE('Thiết lập'!$B$4,1,1)&lt;EDATE(DATE(YEAR($H142),MONTH($H142),1),$O142)),MIN($P142,MAX(0,$N142-$U142-0)),0))</f>
        <v/>
      </c>
      <c r="W142" s="457">
        <f>IF($AO142&lt;&gt;"OK",0,IF(AND(DATE('Thiết lập'!$B$4,2,1)&gt;=DATE(YEAR($H142),MONTH($H142),1),DATE('Thiết lập'!$B$4,2,1)&lt;EDATE(DATE(YEAR($H142),MONTH($H142),1),$O142)),MIN($P142,MAX(0,$N142-$U142-SUM($V142:V142))),0))</f>
        <v/>
      </c>
      <c r="X142" s="457">
        <f>IF($AO142&lt;&gt;"OK",0,IF(AND(DATE('Thiết lập'!$B$4,3,1)&gt;=DATE(YEAR($H142),MONTH($H142),1),DATE('Thiết lập'!$B$4,3,1)&lt;EDATE(DATE(YEAR($H142),MONTH($H142),1),$O142)),MIN($P142,MAX(0,$N142-$U142-SUM($V142:W142))),0))</f>
        <v/>
      </c>
      <c r="Y142" s="457">
        <f>IF($AO142&lt;&gt;"OK",0,IF(AND(DATE('Thiết lập'!$B$4,4,1)&gt;=DATE(YEAR($H142),MONTH($H142),1),DATE('Thiết lập'!$B$4,4,1)&lt;EDATE(DATE(YEAR($H142),MONTH($H142),1),$O142)),MIN($P142,MAX(0,$N142-$U142-SUM($V142:X142))),0))</f>
        <v/>
      </c>
      <c r="Z142" s="457">
        <f>IF($AO142&lt;&gt;"OK",0,IF(AND(DATE('Thiết lập'!$B$4,5,1)&gt;=DATE(YEAR($H142),MONTH($H142),1),DATE('Thiết lập'!$B$4,5,1)&lt;EDATE(DATE(YEAR($H142),MONTH($H142),1),$O142)),MIN($P142,MAX(0,$N142-$U142-SUM($V142:Y142))),0))</f>
        <v/>
      </c>
      <c r="AA142" s="457">
        <f>IF($AO142&lt;&gt;"OK",0,IF(AND(DATE('Thiết lập'!$B$4,6,1)&gt;=DATE(YEAR($H142),MONTH($H142),1),DATE('Thiết lập'!$B$4,6,1)&lt;EDATE(DATE(YEAR($H142),MONTH($H142),1),$O142)),MIN($P142,MAX(0,$N142-$U142-SUM($V142:Z142))),0))</f>
        <v/>
      </c>
      <c r="AB142" s="457">
        <f>IF($AO142&lt;&gt;"OK",0,IF(AND(DATE('Thiết lập'!$B$4,7,1)&gt;=DATE(YEAR($H142),MONTH($H142),1),DATE('Thiết lập'!$B$4,7,1)&lt;EDATE(DATE(YEAR($H142),MONTH($H142),1),$O142)),MIN($P142,MAX(0,$N142-$U142-SUM($V142:AA142))),0))</f>
        <v/>
      </c>
      <c r="AC142" s="457">
        <f>IF($AO142&lt;&gt;"OK",0,IF(AND(DATE('Thiết lập'!$B$4,8,1)&gt;=DATE(YEAR($H142),MONTH($H142),1),DATE('Thiết lập'!$B$4,8,1)&lt;EDATE(DATE(YEAR($H142),MONTH($H142),1),$O142)),MIN($P142,MAX(0,$N142-$U142-SUM($V142:AB142))),0))</f>
        <v/>
      </c>
      <c r="AD142" s="457">
        <f>IF($AO142&lt;&gt;"OK",0,IF(AND(DATE('Thiết lập'!$B$4,9,1)&gt;=DATE(YEAR($H142),MONTH($H142),1),DATE('Thiết lập'!$B$4,9,1)&lt;EDATE(DATE(YEAR($H142),MONTH($H142),1),$O142)),MIN($P142,MAX(0,$N142-$U142-SUM($V142:AC142))),0))</f>
        <v/>
      </c>
      <c r="AE142" s="457">
        <f>IF($AO142&lt;&gt;"OK",0,IF(AND(DATE('Thiết lập'!$B$4,10,1)&gt;=DATE(YEAR($H142),MONTH($H142),1),DATE('Thiết lập'!$B$4,10,1)&lt;EDATE(DATE(YEAR($H142),MONTH($H142),1),$O142)),MIN($P142,MAX(0,$N142-$U142-SUM($V142:AD142))),0))</f>
        <v/>
      </c>
      <c r="AF142" s="457">
        <f>IF($AO142&lt;&gt;"OK",0,IF(AND(DATE('Thiết lập'!$B$4,11,1)&gt;=DATE(YEAR($H142),MONTH($H142),1),DATE('Thiết lập'!$B$4,11,1)&lt;EDATE(DATE(YEAR($H142),MONTH($H142),1),$O142)),MIN($P142,MAX(0,$N142-$U142-SUM($V142:AE142))),0))</f>
        <v/>
      </c>
      <c r="AG142" s="457">
        <f>IF($AO142&lt;&gt;"OK",0,IF(AND(DATE('Thiết lập'!$B$4,12,1)&gt;=DATE(YEAR($H142),MONTH($H142),1),DATE('Thiết lập'!$B$4,12,1)&lt;EDATE(DATE(YEAR($H142),MONTH($H142),1),$O142)),MIN($P142,MAX(0,$N142-$U142-SUM($V142:AF142))),0))</f>
        <v/>
      </c>
      <c r="AH142" s="457">
        <f>IF(B142="","",SUM(V142:AG142))</f>
        <v/>
      </c>
      <c r="AI142" s="457">
        <f>IF(B142="","",MIN(N142,IF(U142="",0,U142)+AH142))</f>
        <v/>
      </c>
      <c r="AJ142" s="457">
        <f>IF(B142="","",MAX(0,L142-AI142))</f>
        <v/>
      </c>
      <c r="AK142" s="337">
        <f>IF(B142="","",IF(H142&gt;'Thiết lập'!$B$5,"Chưa khấu hao",IF(AJ142&lt;=IF(M142="",0,M142),"Đã hết khấu hao","Đang khấu hao")))</f>
        <v/>
      </c>
      <c r="AL142" s="275" t="n"/>
      <c r="AM142" s="275" t="n"/>
      <c r="AN142" s="275" t="n"/>
      <c r="AO142" s="343">
        <f>IF(B142="","",IF(COUNTIF($B$7:$B$306,B142)&gt;1,"Trùng mã TSCĐ",IF(C142="","Thiếu tên TSCĐ",IF(H142="","Thiếu ngày bắt đầu",IF(OR(I142&lt;=0,L142&lt;=0,O142&lt;=0),"Kiểm tra số lượng/nguyên giá/thời gian",IF(AND(G142&lt;&gt;"",H142&lt;G142),"Ngày KH trước ngày ghi tăng",IF(M142&gt;L142,"Giá trị thu hồi vượt nguyên giá",IF(IF(U142="",0,U142)&gt;N142,"Lũy kế đầu năm vượt GTKH","OK"))))))))</f>
        <v/>
      </c>
    </row>
    <row r="143" ht="20" customHeight="1" s="389">
      <c r="A143" s="325">
        <f>IF(B143="","",ROW()-6)</f>
        <v/>
      </c>
      <c r="B143" s="275" t="n"/>
      <c r="C143" s="275" t="n"/>
      <c r="D143" s="331" t="n"/>
      <c r="E143" s="331" t="n"/>
      <c r="F143" s="454" t="n"/>
      <c r="G143" s="454" t="n"/>
      <c r="H143" s="454" t="n"/>
      <c r="I143" s="455" t="n"/>
      <c r="J143" s="456" t="n"/>
      <c r="K143" s="456" t="n"/>
      <c r="L143" s="457">
        <f>IF(B143="","",IF(OR(I143="",J143=""),"",I143*J143+IF(K143="",0,K143)))</f>
        <v/>
      </c>
      <c r="M143" s="456" t="n"/>
      <c r="N143" s="457">
        <f>IF(L143="","",MAX(0,L143-IF(M143="",0,M143)))</f>
        <v/>
      </c>
      <c r="O143" s="455" t="n"/>
      <c r="P143" s="457">
        <f>IF(OR(N143="",O143&lt;=0),"",ROUND(N143/O143,0))</f>
        <v/>
      </c>
      <c r="Q143" s="458">
        <f>IF(OR(H143="",O143&lt;=0),"",EOMONTH(H143,O143-1))</f>
        <v/>
      </c>
      <c r="R143" s="331" t="n"/>
      <c r="S143" s="331" t="n"/>
      <c r="T143" s="331" t="n"/>
      <c r="U143" s="456" t="n"/>
      <c r="V143" s="457">
        <f>IF($AO143&lt;&gt;"OK",0,IF(AND(DATE('Thiết lập'!$B$4,1,1)&gt;=DATE(YEAR($H143),MONTH($H143),1),DATE('Thiết lập'!$B$4,1,1)&lt;EDATE(DATE(YEAR($H143),MONTH($H143),1),$O143)),MIN($P143,MAX(0,$N143-$U143-0)),0))</f>
        <v/>
      </c>
      <c r="W143" s="457">
        <f>IF($AO143&lt;&gt;"OK",0,IF(AND(DATE('Thiết lập'!$B$4,2,1)&gt;=DATE(YEAR($H143),MONTH($H143),1),DATE('Thiết lập'!$B$4,2,1)&lt;EDATE(DATE(YEAR($H143),MONTH($H143),1),$O143)),MIN($P143,MAX(0,$N143-$U143-SUM($V143:V143))),0))</f>
        <v/>
      </c>
      <c r="X143" s="457">
        <f>IF($AO143&lt;&gt;"OK",0,IF(AND(DATE('Thiết lập'!$B$4,3,1)&gt;=DATE(YEAR($H143),MONTH($H143),1),DATE('Thiết lập'!$B$4,3,1)&lt;EDATE(DATE(YEAR($H143),MONTH($H143),1),$O143)),MIN($P143,MAX(0,$N143-$U143-SUM($V143:W143))),0))</f>
        <v/>
      </c>
      <c r="Y143" s="457">
        <f>IF($AO143&lt;&gt;"OK",0,IF(AND(DATE('Thiết lập'!$B$4,4,1)&gt;=DATE(YEAR($H143),MONTH($H143),1),DATE('Thiết lập'!$B$4,4,1)&lt;EDATE(DATE(YEAR($H143),MONTH($H143),1),$O143)),MIN($P143,MAX(0,$N143-$U143-SUM($V143:X143))),0))</f>
        <v/>
      </c>
      <c r="Z143" s="457">
        <f>IF($AO143&lt;&gt;"OK",0,IF(AND(DATE('Thiết lập'!$B$4,5,1)&gt;=DATE(YEAR($H143),MONTH($H143),1),DATE('Thiết lập'!$B$4,5,1)&lt;EDATE(DATE(YEAR($H143),MONTH($H143),1),$O143)),MIN($P143,MAX(0,$N143-$U143-SUM($V143:Y143))),0))</f>
        <v/>
      </c>
      <c r="AA143" s="457">
        <f>IF($AO143&lt;&gt;"OK",0,IF(AND(DATE('Thiết lập'!$B$4,6,1)&gt;=DATE(YEAR($H143),MONTH($H143),1),DATE('Thiết lập'!$B$4,6,1)&lt;EDATE(DATE(YEAR($H143),MONTH($H143),1),$O143)),MIN($P143,MAX(0,$N143-$U143-SUM($V143:Z143))),0))</f>
        <v/>
      </c>
      <c r="AB143" s="457">
        <f>IF($AO143&lt;&gt;"OK",0,IF(AND(DATE('Thiết lập'!$B$4,7,1)&gt;=DATE(YEAR($H143),MONTH($H143),1),DATE('Thiết lập'!$B$4,7,1)&lt;EDATE(DATE(YEAR($H143),MONTH($H143),1),$O143)),MIN($P143,MAX(0,$N143-$U143-SUM($V143:AA143))),0))</f>
        <v/>
      </c>
      <c r="AC143" s="457">
        <f>IF($AO143&lt;&gt;"OK",0,IF(AND(DATE('Thiết lập'!$B$4,8,1)&gt;=DATE(YEAR($H143),MONTH($H143),1),DATE('Thiết lập'!$B$4,8,1)&lt;EDATE(DATE(YEAR($H143),MONTH($H143),1),$O143)),MIN($P143,MAX(0,$N143-$U143-SUM($V143:AB143))),0))</f>
        <v/>
      </c>
      <c r="AD143" s="457">
        <f>IF($AO143&lt;&gt;"OK",0,IF(AND(DATE('Thiết lập'!$B$4,9,1)&gt;=DATE(YEAR($H143),MONTH($H143),1),DATE('Thiết lập'!$B$4,9,1)&lt;EDATE(DATE(YEAR($H143),MONTH($H143),1),$O143)),MIN($P143,MAX(0,$N143-$U143-SUM($V143:AC143))),0))</f>
        <v/>
      </c>
      <c r="AE143" s="457">
        <f>IF($AO143&lt;&gt;"OK",0,IF(AND(DATE('Thiết lập'!$B$4,10,1)&gt;=DATE(YEAR($H143),MONTH($H143),1),DATE('Thiết lập'!$B$4,10,1)&lt;EDATE(DATE(YEAR($H143),MONTH($H143),1),$O143)),MIN($P143,MAX(0,$N143-$U143-SUM($V143:AD143))),0))</f>
        <v/>
      </c>
      <c r="AF143" s="457">
        <f>IF($AO143&lt;&gt;"OK",0,IF(AND(DATE('Thiết lập'!$B$4,11,1)&gt;=DATE(YEAR($H143),MONTH($H143),1),DATE('Thiết lập'!$B$4,11,1)&lt;EDATE(DATE(YEAR($H143),MONTH($H143),1),$O143)),MIN($P143,MAX(0,$N143-$U143-SUM($V143:AE143))),0))</f>
        <v/>
      </c>
      <c r="AG143" s="457">
        <f>IF($AO143&lt;&gt;"OK",0,IF(AND(DATE('Thiết lập'!$B$4,12,1)&gt;=DATE(YEAR($H143),MONTH($H143),1),DATE('Thiết lập'!$B$4,12,1)&lt;EDATE(DATE(YEAR($H143),MONTH($H143),1),$O143)),MIN($P143,MAX(0,$N143-$U143-SUM($V143:AF143))),0))</f>
        <v/>
      </c>
      <c r="AH143" s="457">
        <f>IF(B143="","",SUM(V143:AG143))</f>
        <v/>
      </c>
      <c r="AI143" s="457">
        <f>IF(B143="","",MIN(N143,IF(U143="",0,U143)+AH143))</f>
        <v/>
      </c>
      <c r="AJ143" s="457">
        <f>IF(B143="","",MAX(0,L143-AI143))</f>
        <v/>
      </c>
      <c r="AK143" s="337">
        <f>IF(B143="","",IF(H143&gt;'Thiết lập'!$B$5,"Chưa khấu hao",IF(AJ143&lt;=IF(M143="",0,M143),"Đã hết khấu hao","Đang khấu hao")))</f>
        <v/>
      </c>
      <c r="AL143" s="275" t="n"/>
      <c r="AM143" s="275" t="n"/>
      <c r="AN143" s="275" t="n"/>
      <c r="AO143" s="343">
        <f>IF(B143="","",IF(COUNTIF($B$7:$B$306,B143)&gt;1,"Trùng mã TSCĐ",IF(C143="","Thiếu tên TSCĐ",IF(H143="","Thiếu ngày bắt đầu",IF(OR(I143&lt;=0,L143&lt;=0,O143&lt;=0),"Kiểm tra số lượng/nguyên giá/thời gian",IF(AND(G143&lt;&gt;"",H143&lt;G143),"Ngày KH trước ngày ghi tăng",IF(M143&gt;L143,"Giá trị thu hồi vượt nguyên giá",IF(IF(U143="",0,U143)&gt;N143,"Lũy kế đầu năm vượt GTKH","OK"))))))))</f>
        <v/>
      </c>
    </row>
    <row r="144" ht="20" customHeight="1" s="389">
      <c r="A144" s="325">
        <f>IF(B144="","",ROW()-6)</f>
        <v/>
      </c>
      <c r="B144" s="275" t="n"/>
      <c r="C144" s="275" t="n"/>
      <c r="D144" s="331" t="n"/>
      <c r="E144" s="331" t="n"/>
      <c r="F144" s="454" t="n"/>
      <c r="G144" s="454" t="n"/>
      <c r="H144" s="454" t="n"/>
      <c r="I144" s="455" t="n"/>
      <c r="J144" s="456" t="n"/>
      <c r="K144" s="456" t="n"/>
      <c r="L144" s="457">
        <f>IF(B144="","",IF(OR(I144="",J144=""),"",I144*J144+IF(K144="",0,K144)))</f>
        <v/>
      </c>
      <c r="M144" s="456" t="n"/>
      <c r="N144" s="457">
        <f>IF(L144="","",MAX(0,L144-IF(M144="",0,M144)))</f>
        <v/>
      </c>
      <c r="O144" s="455" t="n"/>
      <c r="P144" s="457">
        <f>IF(OR(N144="",O144&lt;=0),"",ROUND(N144/O144,0))</f>
        <v/>
      </c>
      <c r="Q144" s="458">
        <f>IF(OR(H144="",O144&lt;=0),"",EOMONTH(H144,O144-1))</f>
        <v/>
      </c>
      <c r="R144" s="331" t="n"/>
      <c r="S144" s="331" t="n"/>
      <c r="T144" s="331" t="n"/>
      <c r="U144" s="456" t="n"/>
      <c r="V144" s="457">
        <f>IF($AO144&lt;&gt;"OK",0,IF(AND(DATE('Thiết lập'!$B$4,1,1)&gt;=DATE(YEAR($H144),MONTH($H144),1),DATE('Thiết lập'!$B$4,1,1)&lt;EDATE(DATE(YEAR($H144),MONTH($H144),1),$O144)),MIN($P144,MAX(0,$N144-$U144-0)),0))</f>
        <v/>
      </c>
      <c r="W144" s="457">
        <f>IF($AO144&lt;&gt;"OK",0,IF(AND(DATE('Thiết lập'!$B$4,2,1)&gt;=DATE(YEAR($H144),MONTH($H144),1),DATE('Thiết lập'!$B$4,2,1)&lt;EDATE(DATE(YEAR($H144),MONTH($H144),1),$O144)),MIN($P144,MAX(0,$N144-$U144-SUM($V144:V144))),0))</f>
        <v/>
      </c>
      <c r="X144" s="457">
        <f>IF($AO144&lt;&gt;"OK",0,IF(AND(DATE('Thiết lập'!$B$4,3,1)&gt;=DATE(YEAR($H144),MONTH($H144),1),DATE('Thiết lập'!$B$4,3,1)&lt;EDATE(DATE(YEAR($H144),MONTH($H144),1),$O144)),MIN($P144,MAX(0,$N144-$U144-SUM($V144:W144))),0))</f>
        <v/>
      </c>
      <c r="Y144" s="457">
        <f>IF($AO144&lt;&gt;"OK",0,IF(AND(DATE('Thiết lập'!$B$4,4,1)&gt;=DATE(YEAR($H144),MONTH($H144),1),DATE('Thiết lập'!$B$4,4,1)&lt;EDATE(DATE(YEAR($H144),MONTH($H144),1),$O144)),MIN($P144,MAX(0,$N144-$U144-SUM($V144:X144))),0))</f>
        <v/>
      </c>
      <c r="Z144" s="457">
        <f>IF($AO144&lt;&gt;"OK",0,IF(AND(DATE('Thiết lập'!$B$4,5,1)&gt;=DATE(YEAR($H144),MONTH($H144),1),DATE('Thiết lập'!$B$4,5,1)&lt;EDATE(DATE(YEAR($H144),MONTH($H144),1),$O144)),MIN($P144,MAX(0,$N144-$U144-SUM($V144:Y144))),0))</f>
        <v/>
      </c>
      <c r="AA144" s="457">
        <f>IF($AO144&lt;&gt;"OK",0,IF(AND(DATE('Thiết lập'!$B$4,6,1)&gt;=DATE(YEAR($H144),MONTH($H144),1),DATE('Thiết lập'!$B$4,6,1)&lt;EDATE(DATE(YEAR($H144),MONTH($H144),1),$O144)),MIN($P144,MAX(0,$N144-$U144-SUM($V144:Z144))),0))</f>
        <v/>
      </c>
      <c r="AB144" s="457">
        <f>IF($AO144&lt;&gt;"OK",0,IF(AND(DATE('Thiết lập'!$B$4,7,1)&gt;=DATE(YEAR($H144),MONTH($H144),1),DATE('Thiết lập'!$B$4,7,1)&lt;EDATE(DATE(YEAR($H144),MONTH($H144),1),$O144)),MIN($P144,MAX(0,$N144-$U144-SUM($V144:AA144))),0))</f>
        <v/>
      </c>
      <c r="AC144" s="457">
        <f>IF($AO144&lt;&gt;"OK",0,IF(AND(DATE('Thiết lập'!$B$4,8,1)&gt;=DATE(YEAR($H144),MONTH($H144),1),DATE('Thiết lập'!$B$4,8,1)&lt;EDATE(DATE(YEAR($H144),MONTH($H144),1),$O144)),MIN($P144,MAX(0,$N144-$U144-SUM($V144:AB144))),0))</f>
        <v/>
      </c>
      <c r="AD144" s="457">
        <f>IF($AO144&lt;&gt;"OK",0,IF(AND(DATE('Thiết lập'!$B$4,9,1)&gt;=DATE(YEAR($H144),MONTH($H144),1),DATE('Thiết lập'!$B$4,9,1)&lt;EDATE(DATE(YEAR($H144),MONTH($H144),1),$O144)),MIN($P144,MAX(0,$N144-$U144-SUM($V144:AC144))),0))</f>
        <v/>
      </c>
      <c r="AE144" s="457">
        <f>IF($AO144&lt;&gt;"OK",0,IF(AND(DATE('Thiết lập'!$B$4,10,1)&gt;=DATE(YEAR($H144),MONTH($H144),1),DATE('Thiết lập'!$B$4,10,1)&lt;EDATE(DATE(YEAR($H144),MONTH($H144),1),$O144)),MIN($P144,MAX(0,$N144-$U144-SUM($V144:AD144))),0))</f>
        <v/>
      </c>
      <c r="AF144" s="457">
        <f>IF($AO144&lt;&gt;"OK",0,IF(AND(DATE('Thiết lập'!$B$4,11,1)&gt;=DATE(YEAR($H144),MONTH($H144),1),DATE('Thiết lập'!$B$4,11,1)&lt;EDATE(DATE(YEAR($H144),MONTH($H144),1),$O144)),MIN($P144,MAX(0,$N144-$U144-SUM($V144:AE144))),0))</f>
        <v/>
      </c>
      <c r="AG144" s="457">
        <f>IF($AO144&lt;&gt;"OK",0,IF(AND(DATE('Thiết lập'!$B$4,12,1)&gt;=DATE(YEAR($H144),MONTH($H144),1),DATE('Thiết lập'!$B$4,12,1)&lt;EDATE(DATE(YEAR($H144),MONTH($H144),1),$O144)),MIN($P144,MAX(0,$N144-$U144-SUM($V144:AF144))),0))</f>
        <v/>
      </c>
      <c r="AH144" s="457">
        <f>IF(B144="","",SUM(V144:AG144))</f>
        <v/>
      </c>
      <c r="AI144" s="457">
        <f>IF(B144="","",MIN(N144,IF(U144="",0,U144)+AH144))</f>
        <v/>
      </c>
      <c r="AJ144" s="457">
        <f>IF(B144="","",MAX(0,L144-AI144))</f>
        <v/>
      </c>
      <c r="AK144" s="337">
        <f>IF(B144="","",IF(H144&gt;'Thiết lập'!$B$5,"Chưa khấu hao",IF(AJ144&lt;=IF(M144="",0,M144),"Đã hết khấu hao","Đang khấu hao")))</f>
        <v/>
      </c>
      <c r="AL144" s="275" t="n"/>
      <c r="AM144" s="275" t="n"/>
      <c r="AN144" s="275" t="n"/>
      <c r="AO144" s="343">
        <f>IF(B144="","",IF(COUNTIF($B$7:$B$306,B144)&gt;1,"Trùng mã TSCĐ",IF(C144="","Thiếu tên TSCĐ",IF(H144="","Thiếu ngày bắt đầu",IF(OR(I144&lt;=0,L144&lt;=0,O144&lt;=0),"Kiểm tra số lượng/nguyên giá/thời gian",IF(AND(G144&lt;&gt;"",H144&lt;G144),"Ngày KH trước ngày ghi tăng",IF(M144&gt;L144,"Giá trị thu hồi vượt nguyên giá",IF(IF(U144="",0,U144)&gt;N144,"Lũy kế đầu năm vượt GTKH","OK"))))))))</f>
        <v/>
      </c>
    </row>
    <row r="145" ht="20" customHeight="1" s="389">
      <c r="A145" s="325">
        <f>IF(B145="","",ROW()-6)</f>
        <v/>
      </c>
      <c r="B145" s="275" t="n"/>
      <c r="C145" s="275" t="n"/>
      <c r="D145" s="331" t="n"/>
      <c r="E145" s="331" t="n"/>
      <c r="F145" s="454" t="n"/>
      <c r="G145" s="454" t="n"/>
      <c r="H145" s="454" t="n"/>
      <c r="I145" s="455" t="n"/>
      <c r="J145" s="456" t="n"/>
      <c r="K145" s="456" t="n"/>
      <c r="L145" s="457">
        <f>IF(B145="","",IF(OR(I145="",J145=""),"",I145*J145+IF(K145="",0,K145)))</f>
        <v/>
      </c>
      <c r="M145" s="456" t="n"/>
      <c r="N145" s="457">
        <f>IF(L145="","",MAX(0,L145-IF(M145="",0,M145)))</f>
        <v/>
      </c>
      <c r="O145" s="455" t="n"/>
      <c r="P145" s="457">
        <f>IF(OR(N145="",O145&lt;=0),"",ROUND(N145/O145,0))</f>
        <v/>
      </c>
      <c r="Q145" s="458">
        <f>IF(OR(H145="",O145&lt;=0),"",EOMONTH(H145,O145-1))</f>
        <v/>
      </c>
      <c r="R145" s="331" t="n"/>
      <c r="S145" s="331" t="n"/>
      <c r="T145" s="331" t="n"/>
      <c r="U145" s="456" t="n"/>
      <c r="V145" s="457">
        <f>IF($AO145&lt;&gt;"OK",0,IF(AND(DATE('Thiết lập'!$B$4,1,1)&gt;=DATE(YEAR($H145),MONTH($H145),1),DATE('Thiết lập'!$B$4,1,1)&lt;EDATE(DATE(YEAR($H145),MONTH($H145),1),$O145)),MIN($P145,MAX(0,$N145-$U145-0)),0))</f>
        <v/>
      </c>
      <c r="W145" s="457">
        <f>IF($AO145&lt;&gt;"OK",0,IF(AND(DATE('Thiết lập'!$B$4,2,1)&gt;=DATE(YEAR($H145),MONTH($H145),1),DATE('Thiết lập'!$B$4,2,1)&lt;EDATE(DATE(YEAR($H145),MONTH($H145),1),$O145)),MIN($P145,MAX(0,$N145-$U145-SUM($V145:V145))),0))</f>
        <v/>
      </c>
      <c r="X145" s="457">
        <f>IF($AO145&lt;&gt;"OK",0,IF(AND(DATE('Thiết lập'!$B$4,3,1)&gt;=DATE(YEAR($H145),MONTH($H145),1),DATE('Thiết lập'!$B$4,3,1)&lt;EDATE(DATE(YEAR($H145),MONTH($H145),1),$O145)),MIN($P145,MAX(0,$N145-$U145-SUM($V145:W145))),0))</f>
        <v/>
      </c>
      <c r="Y145" s="457">
        <f>IF($AO145&lt;&gt;"OK",0,IF(AND(DATE('Thiết lập'!$B$4,4,1)&gt;=DATE(YEAR($H145),MONTH($H145),1),DATE('Thiết lập'!$B$4,4,1)&lt;EDATE(DATE(YEAR($H145),MONTH($H145),1),$O145)),MIN($P145,MAX(0,$N145-$U145-SUM($V145:X145))),0))</f>
        <v/>
      </c>
      <c r="Z145" s="457">
        <f>IF($AO145&lt;&gt;"OK",0,IF(AND(DATE('Thiết lập'!$B$4,5,1)&gt;=DATE(YEAR($H145),MONTH($H145),1),DATE('Thiết lập'!$B$4,5,1)&lt;EDATE(DATE(YEAR($H145),MONTH($H145),1),$O145)),MIN($P145,MAX(0,$N145-$U145-SUM($V145:Y145))),0))</f>
        <v/>
      </c>
      <c r="AA145" s="457">
        <f>IF($AO145&lt;&gt;"OK",0,IF(AND(DATE('Thiết lập'!$B$4,6,1)&gt;=DATE(YEAR($H145),MONTH($H145),1),DATE('Thiết lập'!$B$4,6,1)&lt;EDATE(DATE(YEAR($H145),MONTH($H145),1),$O145)),MIN($P145,MAX(0,$N145-$U145-SUM($V145:Z145))),0))</f>
        <v/>
      </c>
      <c r="AB145" s="457">
        <f>IF($AO145&lt;&gt;"OK",0,IF(AND(DATE('Thiết lập'!$B$4,7,1)&gt;=DATE(YEAR($H145),MONTH($H145),1),DATE('Thiết lập'!$B$4,7,1)&lt;EDATE(DATE(YEAR($H145),MONTH($H145),1),$O145)),MIN($P145,MAX(0,$N145-$U145-SUM($V145:AA145))),0))</f>
        <v/>
      </c>
      <c r="AC145" s="457">
        <f>IF($AO145&lt;&gt;"OK",0,IF(AND(DATE('Thiết lập'!$B$4,8,1)&gt;=DATE(YEAR($H145),MONTH($H145),1),DATE('Thiết lập'!$B$4,8,1)&lt;EDATE(DATE(YEAR($H145),MONTH($H145),1),$O145)),MIN($P145,MAX(0,$N145-$U145-SUM($V145:AB145))),0))</f>
        <v/>
      </c>
      <c r="AD145" s="457">
        <f>IF($AO145&lt;&gt;"OK",0,IF(AND(DATE('Thiết lập'!$B$4,9,1)&gt;=DATE(YEAR($H145),MONTH($H145),1),DATE('Thiết lập'!$B$4,9,1)&lt;EDATE(DATE(YEAR($H145),MONTH($H145),1),$O145)),MIN($P145,MAX(0,$N145-$U145-SUM($V145:AC145))),0))</f>
        <v/>
      </c>
      <c r="AE145" s="457">
        <f>IF($AO145&lt;&gt;"OK",0,IF(AND(DATE('Thiết lập'!$B$4,10,1)&gt;=DATE(YEAR($H145),MONTH($H145),1),DATE('Thiết lập'!$B$4,10,1)&lt;EDATE(DATE(YEAR($H145),MONTH($H145),1),$O145)),MIN($P145,MAX(0,$N145-$U145-SUM($V145:AD145))),0))</f>
        <v/>
      </c>
      <c r="AF145" s="457">
        <f>IF($AO145&lt;&gt;"OK",0,IF(AND(DATE('Thiết lập'!$B$4,11,1)&gt;=DATE(YEAR($H145),MONTH($H145),1),DATE('Thiết lập'!$B$4,11,1)&lt;EDATE(DATE(YEAR($H145),MONTH($H145),1),$O145)),MIN($P145,MAX(0,$N145-$U145-SUM($V145:AE145))),0))</f>
        <v/>
      </c>
      <c r="AG145" s="457">
        <f>IF($AO145&lt;&gt;"OK",0,IF(AND(DATE('Thiết lập'!$B$4,12,1)&gt;=DATE(YEAR($H145),MONTH($H145),1),DATE('Thiết lập'!$B$4,12,1)&lt;EDATE(DATE(YEAR($H145),MONTH($H145),1),$O145)),MIN($P145,MAX(0,$N145-$U145-SUM($V145:AF145))),0))</f>
        <v/>
      </c>
      <c r="AH145" s="457">
        <f>IF(B145="","",SUM(V145:AG145))</f>
        <v/>
      </c>
      <c r="AI145" s="457">
        <f>IF(B145="","",MIN(N145,IF(U145="",0,U145)+AH145))</f>
        <v/>
      </c>
      <c r="AJ145" s="457">
        <f>IF(B145="","",MAX(0,L145-AI145))</f>
        <v/>
      </c>
      <c r="AK145" s="337">
        <f>IF(B145="","",IF(H145&gt;'Thiết lập'!$B$5,"Chưa khấu hao",IF(AJ145&lt;=IF(M145="",0,M145),"Đã hết khấu hao","Đang khấu hao")))</f>
        <v/>
      </c>
      <c r="AL145" s="275" t="n"/>
      <c r="AM145" s="275" t="n"/>
      <c r="AN145" s="275" t="n"/>
      <c r="AO145" s="343">
        <f>IF(B145="","",IF(COUNTIF($B$7:$B$306,B145)&gt;1,"Trùng mã TSCĐ",IF(C145="","Thiếu tên TSCĐ",IF(H145="","Thiếu ngày bắt đầu",IF(OR(I145&lt;=0,L145&lt;=0,O145&lt;=0),"Kiểm tra số lượng/nguyên giá/thời gian",IF(AND(G145&lt;&gt;"",H145&lt;G145),"Ngày KH trước ngày ghi tăng",IF(M145&gt;L145,"Giá trị thu hồi vượt nguyên giá",IF(IF(U145="",0,U145)&gt;N145,"Lũy kế đầu năm vượt GTKH","OK"))))))))</f>
        <v/>
      </c>
    </row>
    <row r="146" ht="20" customHeight="1" s="389">
      <c r="A146" s="325">
        <f>IF(B146="","",ROW()-6)</f>
        <v/>
      </c>
      <c r="B146" s="275" t="n"/>
      <c r="C146" s="275" t="n"/>
      <c r="D146" s="331" t="n"/>
      <c r="E146" s="331" t="n"/>
      <c r="F146" s="454" t="n"/>
      <c r="G146" s="454" t="n"/>
      <c r="H146" s="454" t="n"/>
      <c r="I146" s="455" t="n"/>
      <c r="J146" s="456" t="n"/>
      <c r="K146" s="456" t="n"/>
      <c r="L146" s="457">
        <f>IF(B146="","",IF(OR(I146="",J146=""),"",I146*J146+IF(K146="",0,K146)))</f>
        <v/>
      </c>
      <c r="M146" s="456" t="n"/>
      <c r="N146" s="457">
        <f>IF(L146="","",MAX(0,L146-IF(M146="",0,M146)))</f>
        <v/>
      </c>
      <c r="O146" s="455" t="n"/>
      <c r="P146" s="457">
        <f>IF(OR(N146="",O146&lt;=0),"",ROUND(N146/O146,0))</f>
        <v/>
      </c>
      <c r="Q146" s="458">
        <f>IF(OR(H146="",O146&lt;=0),"",EOMONTH(H146,O146-1))</f>
        <v/>
      </c>
      <c r="R146" s="331" t="n"/>
      <c r="S146" s="331" t="n"/>
      <c r="T146" s="331" t="n"/>
      <c r="U146" s="456" t="n"/>
      <c r="V146" s="457">
        <f>IF($AO146&lt;&gt;"OK",0,IF(AND(DATE('Thiết lập'!$B$4,1,1)&gt;=DATE(YEAR($H146),MONTH($H146),1),DATE('Thiết lập'!$B$4,1,1)&lt;EDATE(DATE(YEAR($H146),MONTH($H146),1),$O146)),MIN($P146,MAX(0,$N146-$U146-0)),0))</f>
        <v/>
      </c>
      <c r="W146" s="457">
        <f>IF($AO146&lt;&gt;"OK",0,IF(AND(DATE('Thiết lập'!$B$4,2,1)&gt;=DATE(YEAR($H146),MONTH($H146),1),DATE('Thiết lập'!$B$4,2,1)&lt;EDATE(DATE(YEAR($H146),MONTH($H146),1),$O146)),MIN($P146,MAX(0,$N146-$U146-SUM($V146:V146))),0))</f>
        <v/>
      </c>
      <c r="X146" s="457">
        <f>IF($AO146&lt;&gt;"OK",0,IF(AND(DATE('Thiết lập'!$B$4,3,1)&gt;=DATE(YEAR($H146),MONTH($H146),1),DATE('Thiết lập'!$B$4,3,1)&lt;EDATE(DATE(YEAR($H146),MONTH($H146),1),$O146)),MIN($P146,MAX(0,$N146-$U146-SUM($V146:W146))),0))</f>
        <v/>
      </c>
      <c r="Y146" s="457">
        <f>IF($AO146&lt;&gt;"OK",0,IF(AND(DATE('Thiết lập'!$B$4,4,1)&gt;=DATE(YEAR($H146),MONTH($H146),1),DATE('Thiết lập'!$B$4,4,1)&lt;EDATE(DATE(YEAR($H146),MONTH($H146),1),$O146)),MIN($P146,MAX(0,$N146-$U146-SUM($V146:X146))),0))</f>
        <v/>
      </c>
      <c r="Z146" s="457">
        <f>IF($AO146&lt;&gt;"OK",0,IF(AND(DATE('Thiết lập'!$B$4,5,1)&gt;=DATE(YEAR($H146),MONTH($H146),1),DATE('Thiết lập'!$B$4,5,1)&lt;EDATE(DATE(YEAR($H146),MONTH($H146),1),$O146)),MIN($P146,MAX(0,$N146-$U146-SUM($V146:Y146))),0))</f>
        <v/>
      </c>
      <c r="AA146" s="457">
        <f>IF($AO146&lt;&gt;"OK",0,IF(AND(DATE('Thiết lập'!$B$4,6,1)&gt;=DATE(YEAR($H146),MONTH($H146),1),DATE('Thiết lập'!$B$4,6,1)&lt;EDATE(DATE(YEAR($H146),MONTH($H146),1),$O146)),MIN($P146,MAX(0,$N146-$U146-SUM($V146:Z146))),0))</f>
        <v/>
      </c>
      <c r="AB146" s="457">
        <f>IF($AO146&lt;&gt;"OK",0,IF(AND(DATE('Thiết lập'!$B$4,7,1)&gt;=DATE(YEAR($H146),MONTH($H146),1),DATE('Thiết lập'!$B$4,7,1)&lt;EDATE(DATE(YEAR($H146),MONTH($H146),1),$O146)),MIN($P146,MAX(0,$N146-$U146-SUM($V146:AA146))),0))</f>
        <v/>
      </c>
      <c r="AC146" s="457">
        <f>IF($AO146&lt;&gt;"OK",0,IF(AND(DATE('Thiết lập'!$B$4,8,1)&gt;=DATE(YEAR($H146),MONTH($H146),1),DATE('Thiết lập'!$B$4,8,1)&lt;EDATE(DATE(YEAR($H146),MONTH($H146),1),$O146)),MIN($P146,MAX(0,$N146-$U146-SUM($V146:AB146))),0))</f>
        <v/>
      </c>
      <c r="AD146" s="457">
        <f>IF($AO146&lt;&gt;"OK",0,IF(AND(DATE('Thiết lập'!$B$4,9,1)&gt;=DATE(YEAR($H146),MONTH($H146),1),DATE('Thiết lập'!$B$4,9,1)&lt;EDATE(DATE(YEAR($H146),MONTH($H146),1),$O146)),MIN($P146,MAX(0,$N146-$U146-SUM($V146:AC146))),0))</f>
        <v/>
      </c>
      <c r="AE146" s="457">
        <f>IF($AO146&lt;&gt;"OK",0,IF(AND(DATE('Thiết lập'!$B$4,10,1)&gt;=DATE(YEAR($H146),MONTH($H146),1),DATE('Thiết lập'!$B$4,10,1)&lt;EDATE(DATE(YEAR($H146),MONTH($H146),1),$O146)),MIN($P146,MAX(0,$N146-$U146-SUM($V146:AD146))),0))</f>
        <v/>
      </c>
      <c r="AF146" s="457">
        <f>IF($AO146&lt;&gt;"OK",0,IF(AND(DATE('Thiết lập'!$B$4,11,1)&gt;=DATE(YEAR($H146),MONTH($H146),1),DATE('Thiết lập'!$B$4,11,1)&lt;EDATE(DATE(YEAR($H146),MONTH($H146),1),$O146)),MIN($P146,MAX(0,$N146-$U146-SUM($V146:AE146))),0))</f>
        <v/>
      </c>
      <c r="AG146" s="457">
        <f>IF($AO146&lt;&gt;"OK",0,IF(AND(DATE('Thiết lập'!$B$4,12,1)&gt;=DATE(YEAR($H146),MONTH($H146),1),DATE('Thiết lập'!$B$4,12,1)&lt;EDATE(DATE(YEAR($H146),MONTH($H146),1),$O146)),MIN($P146,MAX(0,$N146-$U146-SUM($V146:AF146))),0))</f>
        <v/>
      </c>
      <c r="AH146" s="457">
        <f>IF(B146="","",SUM(V146:AG146))</f>
        <v/>
      </c>
      <c r="AI146" s="457">
        <f>IF(B146="","",MIN(N146,IF(U146="",0,U146)+AH146))</f>
        <v/>
      </c>
      <c r="AJ146" s="457">
        <f>IF(B146="","",MAX(0,L146-AI146))</f>
        <v/>
      </c>
      <c r="AK146" s="337">
        <f>IF(B146="","",IF(H146&gt;'Thiết lập'!$B$5,"Chưa khấu hao",IF(AJ146&lt;=IF(M146="",0,M146),"Đã hết khấu hao","Đang khấu hao")))</f>
        <v/>
      </c>
      <c r="AL146" s="275" t="n"/>
      <c r="AM146" s="275" t="n"/>
      <c r="AN146" s="275" t="n"/>
      <c r="AO146" s="343">
        <f>IF(B146="","",IF(COUNTIF($B$7:$B$306,B146)&gt;1,"Trùng mã TSCĐ",IF(C146="","Thiếu tên TSCĐ",IF(H146="","Thiếu ngày bắt đầu",IF(OR(I146&lt;=0,L146&lt;=0,O146&lt;=0),"Kiểm tra số lượng/nguyên giá/thời gian",IF(AND(G146&lt;&gt;"",H146&lt;G146),"Ngày KH trước ngày ghi tăng",IF(M146&gt;L146,"Giá trị thu hồi vượt nguyên giá",IF(IF(U146="",0,U146)&gt;N146,"Lũy kế đầu năm vượt GTKH","OK"))))))))</f>
        <v/>
      </c>
    </row>
    <row r="147" ht="20" customHeight="1" s="389">
      <c r="A147" s="325">
        <f>IF(B147="","",ROW()-6)</f>
        <v/>
      </c>
      <c r="B147" s="275" t="n"/>
      <c r="C147" s="275" t="n"/>
      <c r="D147" s="331" t="n"/>
      <c r="E147" s="331" t="n"/>
      <c r="F147" s="454" t="n"/>
      <c r="G147" s="454" t="n"/>
      <c r="H147" s="454" t="n"/>
      <c r="I147" s="455" t="n"/>
      <c r="J147" s="456" t="n"/>
      <c r="K147" s="456" t="n"/>
      <c r="L147" s="457">
        <f>IF(B147="","",IF(OR(I147="",J147=""),"",I147*J147+IF(K147="",0,K147)))</f>
        <v/>
      </c>
      <c r="M147" s="456" t="n"/>
      <c r="N147" s="457">
        <f>IF(L147="","",MAX(0,L147-IF(M147="",0,M147)))</f>
        <v/>
      </c>
      <c r="O147" s="455" t="n"/>
      <c r="P147" s="457">
        <f>IF(OR(N147="",O147&lt;=0),"",ROUND(N147/O147,0))</f>
        <v/>
      </c>
      <c r="Q147" s="458">
        <f>IF(OR(H147="",O147&lt;=0),"",EOMONTH(H147,O147-1))</f>
        <v/>
      </c>
      <c r="R147" s="331" t="n"/>
      <c r="S147" s="331" t="n"/>
      <c r="T147" s="331" t="n"/>
      <c r="U147" s="456" t="n"/>
      <c r="V147" s="457">
        <f>IF($AO147&lt;&gt;"OK",0,IF(AND(DATE('Thiết lập'!$B$4,1,1)&gt;=DATE(YEAR($H147),MONTH($H147),1),DATE('Thiết lập'!$B$4,1,1)&lt;EDATE(DATE(YEAR($H147),MONTH($H147),1),$O147)),MIN($P147,MAX(0,$N147-$U147-0)),0))</f>
        <v/>
      </c>
      <c r="W147" s="457">
        <f>IF($AO147&lt;&gt;"OK",0,IF(AND(DATE('Thiết lập'!$B$4,2,1)&gt;=DATE(YEAR($H147),MONTH($H147),1),DATE('Thiết lập'!$B$4,2,1)&lt;EDATE(DATE(YEAR($H147),MONTH($H147),1),$O147)),MIN($P147,MAX(0,$N147-$U147-SUM($V147:V147))),0))</f>
        <v/>
      </c>
      <c r="X147" s="457">
        <f>IF($AO147&lt;&gt;"OK",0,IF(AND(DATE('Thiết lập'!$B$4,3,1)&gt;=DATE(YEAR($H147),MONTH($H147),1),DATE('Thiết lập'!$B$4,3,1)&lt;EDATE(DATE(YEAR($H147),MONTH($H147),1),$O147)),MIN($P147,MAX(0,$N147-$U147-SUM($V147:W147))),0))</f>
        <v/>
      </c>
      <c r="Y147" s="457">
        <f>IF($AO147&lt;&gt;"OK",0,IF(AND(DATE('Thiết lập'!$B$4,4,1)&gt;=DATE(YEAR($H147),MONTH($H147),1),DATE('Thiết lập'!$B$4,4,1)&lt;EDATE(DATE(YEAR($H147),MONTH($H147),1),$O147)),MIN($P147,MAX(0,$N147-$U147-SUM($V147:X147))),0))</f>
        <v/>
      </c>
      <c r="Z147" s="457">
        <f>IF($AO147&lt;&gt;"OK",0,IF(AND(DATE('Thiết lập'!$B$4,5,1)&gt;=DATE(YEAR($H147),MONTH($H147),1),DATE('Thiết lập'!$B$4,5,1)&lt;EDATE(DATE(YEAR($H147),MONTH($H147),1),$O147)),MIN($P147,MAX(0,$N147-$U147-SUM($V147:Y147))),0))</f>
        <v/>
      </c>
      <c r="AA147" s="457">
        <f>IF($AO147&lt;&gt;"OK",0,IF(AND(DATE('Thiết lập'!$B$4,6,1)&gt;=DATE(YEAR($H147),MONTH($H147),1),DATE('Thiết lập'!$B$4,6,1)&lt;EDATE(DATE(YEAR($H147),MONTH($H147),1),$O147)),MIN($P147,MAX(0,$N147-$U147-SUM($V147:Z147))),0))</f>
        <v/>
      </c>
      <c r="AB147" s="457">
        <f>IF($AO147&lt;&gt;"OK",0,IF(AND(DATE('Thiết lập'!$B$4,7,1)&gt;=DATE(YEAR($H147),MONTH($H147),1),DATE('Thiết lập'!$B$4,7,1)&lt;EDATE(DATE(YEAR($H147),MONTH($H147),1),$O147)),MIN($P147,MAX(0,$N147-$U147-SUM($V147:AA147))),0))</f>
        <v/>
      </c>
      <c r="AC147" s="457">
        <f>IF($AO147&lt;&gt;"OK",0,IF(AND(DATE('Thiết lập'!$B$4,8,1)&gt;=DATE(YEAR($H147),MONTH($H147),1),DATE('Thiết lập'!$B$4,8,1)&lt;EDATE(DATE(YEAR($H147),MONTH($H147),1),$O147)),MIN($P147,MAX(0,$N147-$U147-SUM($V147:AB147))),0))</f>
        <v/>
      </c>
      <c r="AD147" s="457">
        <f>IF($AO147&lt;&gt;"OK",0,IF(AND(DATE('Thiết lập'!$B$4,9,1)&gt;=DATE(YEAR($H147),MONTH($H147),1),DATE('Thiết lập'!$B$4,9,1)&lt;EDATE(DATE(YEAR($H147),MONTH($H147),1),$O147)),MIN($P147,MAX(0,$N147-$U147-SUM($V147:AC147))),0))</f>
        <v/>
      </c>
      <c r="AE147" s="457">
        <f>IF($AO147&lt;&gt;"OK",0,IF(AND(DATE('Thiết lập'!$B$4,10,1)&gt;=DATE(YEAR($H147),MONTH($H147),1),DATE('Thiết lập'!$B$4,10,1)&lt;EDATE(DATE(YEAR($H147),MONTH($H147),1),$O147)),MIN($P147,MAX(0,$N147-$U147-SUM($V147:AD147))),0))</f>
        <v/>
      </c>
      <c r="AF147" s="457">
        <f>IF($AO147&lt;&gt;"OK",0,IF(AND(DATE('Thiết lập'!$B$4,11,1)&gt;=DATE(YEAR($H147),MONTH($H147),1),DATE('Thiết lập'!$B$4,11,1)&lt;EDATE(DATE(YEAR($H147),MONTH($H147),1),$O147)),MIN($P147,MAX(0,$N147-$U147-SUM($V147:AE147))),0))</f>
        <v/>
      </c>
      <c r="AG147" s="457">
        <f>IF($AO147&lt;&gt;"OK",0,IF(AND(DATE('Thiết lập'!$B$4,12,1)&gt;=DATE(YEAR($H147),MONTH($H147),1),DATE('Thiết lập'!$B$4,12,1)&lt;EDATE(DATE(YEAR($H147),MONTH($H147),1),$O147)),MIN($P147,MAX(0,$N147-$U147-SUM($V147:AF147))),0))</f>
        <v/>
      </c>
      <c r="AH147" s="457">
        <f>IF(B147="","",SUM(V147:AG147))</f>
        <v/>
      </c>
      <c r="AI147" s="457">
        <f>IF(B147="","",MIN(N147,IF(U147="",0,U147)+AH147))</f>
        <v/>
      </c>
      <c r="AJ147" s="457">
        <f>IF(B147="","",MAX(0,L147-AI147))</f>
        <v/>
      </c>
      <c r="AK147" s="337">
        <f>IF(B147="","",IF(H147&gt;'Thiết lập'!$B$5,"Chưa khấu hao",IF(AJ147&lt;=IF(M147="",0,M147),"Đã hết khấu hao","Đang khấu hao")))</f>
        <v/>
      </c>
      <c r="AL147" s="275" t="n"/>
      <c r="AM147" s="275" t="n"/>
      <c r="AN147" s="275" t="n"/>
      <c r="AO147" s="343">
        <f>IF(B147="","",IF(COUNTIF($B$7:$B$306,B147)&gt;1,"Trùng mã TSCĐ",IF(C147="","Thiếu tên TSCĐ",IF(H147="","Thiếu ngày bắt đầu",IF(OR(I147&lt;=0,L147&lt;=0,O147&lt;=0),"Kiểm tra số lượng/nguyên giá/thời gian",IF(AND(G147&lt;&gt;"",H147&lt;G147),"Ngày KH trước ngày ghi tăng",IF(M147&gt;L147,"Giá trị thu hồi vượt nguyên giá",IF(IF(U147="",0,U147)&gt;N147,"Lũy kế đầu năm vượt GTKH","OK"))))))))</f>
        <v/>
      </c>
    </row>
    <row r="148" ht="20" customHeight="1" s="389">
      <c r="A148" s="325">
        <f>IF(B148="","",ROW()-6)</f>
        <v/>
      </c>
      <c r="B148" s="275" t="n"/>
      <c r="C148" s="275" t="n"/>
      <c r="D148" s="331" t="n"/>
      <c r="E148" s="331" t="n"/>
      <c r="F148" s="454" t="n"/>
      <c r="G148" s="454" t="n"/>
      <c r="H148" s="454" t="n"/>
      <c r="I148" s="455" t="n"/>
      <c r="J148" s="456" t="n"/>
      <c r="K148" s="456" t="n"/>
      <c r="L148" s="457">
        <f>IF(B148="","",IF(OR(I148="",J148=""),"",I148*J148+IF(K148="",0,K148)))</f>
        <v/>
      </c>
      <c r="M148" s="456" t="n"/>
      <c r="N148" s="457">
        <f>IF(L148="","",MAX(0,L148-IF(M148="",0,M148)))</f>
        <v/>
      </c>
      <c r="O148" s="455" t="n"/>
      <c r="P148" s="457">
        <f>IF(OR(N148="",O148&lt;=0),"",ROUND(N148/O148,0))</f>
        <v/>
      </c>
      <c r="Q148" s="458">
        <f>IF(OR(H148="",O148&lt;=0),"",EOMONTH(H148,O148-1))</f>
        <v/>
      </c>
      <c r="R148" s="331" t="n"/>
      <c r="S148" s="331" t="n"/>
      <c r="T148" s="331" t="n"/>
      <c r="U148" s="456" t="n"/>
      <c r="V148" s="457">
        <f>IF($AO148&lt;&gt;"OK",0,IF(AND(DATE('Thiết lập'!$B$4,1,1)&gt;=DATE(YEAR($H148),MONTH($H148),1),DATE('Thiết lập'!$B$4,1,1)&lt;EDATE(DATE(YEAR($H148),MONTH($H148),1),$O148)),MIN($P148,MAX(0,$N148-$U148-0)),0))</f>
        <v/>
      </c>
      <c r="W148" s="457">
        <f>IF($AO148&lt;&gt;"OK",0,IF(AND(DATE('Thiết lập'!$B$4,2,1)&gt;=DATE(YEAR($H148),MONTH($H148),1),DATE('Thiết lập'!$B$4,2,1)&lt;EDATE(DATE(YEAR($H148),MONTH($H148),1),$O148)),MIN($P148,MAX(0,$N148-$U148-SUM($V148:V148))),0))</f>
        <v/>
      </c>
      <c r="X148" s="457">
        <f>IF($AO148&lt;&gt;"OK",0,IF(AND(DATE('Thiết lập'!$B$4,3,1)&gt;=DATE(YEAR($H148),MONTH($H148),1),DATE('Thiết lập'!$B$4,3,1)&lt;EDATE(DATE(YEAR($H148),MONTH($H148),1),$O148)),MIN($P148,MAX(0,$N148-$U148-SUM($V148:W148))),0))</f>
        <v/>
      </c>
      <c r="Y148" s="457">
        <f>IF($AO148&lt;&gt;"OK",0,IF(AND(DATE('Thiết lập'!$B$4,4,1)&gt;=DATE(YEAR($H148),MONTH($H148),1),DATE('Thiết lập'!$B$4,4,1)&lt;EDATE(DATE(YEAR($H148),MONTH($H148),1),$O148)),MIN($P148,MAX(0,$N148-$U148-SUM($V148:X148))),0))</f>
        <v/>
      </c>
      <c r="Z148" s="457">
        <f>IF($AO148&lt;&gt;"OK",0,IF(AND(DATE('Thiết lập'!$B$4,5,1)&gt;=DATE(YEAR($H148),MONTH($H148),1),DATE('Thiết lập'!$B$4,5,1)&lt;EDATE(DATE(YEAR($H148),MONTH($H148),1),$O148)),MIN($P148,MAX(0,$N148-$U148-SUM($V148:Y148))),0))</f>
        <v/>
      </c>
      <c r="AA148" s="457">
        <f>IF($AO148&lt;&gt;"OK",0,IF(AND(DATE('Thiết lập'!$B$4,6,1)&gt;=DATE(YEAR($H148),MONTH($H148),1),DATE('Thiết lập'!$B$4,6,1)&lt;EDATE(DATE(YEAR($H148),MONTH($H148),1),$O148)),MIN($P148,MAX(0,$N148-$U148-SUM($V148:Z148))),0))</f>
        <v/>
      </c>
      <c r="AB148" s="457">
        <f>IF($AO148&lt;&gt;"OK",0,IF(AND(DATE('Thiết lập'!$B$4,7,1)&gt;=DATE(YEAR($H148),MONTH($H148),1),DATE('Thiết lập'!$B$4,7,1)&lt;EDATE(DATE(YEAR($H148),MONTH($H148),1),$O148)),MIN($P148,MAX(0,$N148-$U148-SUM($V148:AA148))),0))</f>
        <v/>
      </c>
      <c r="AC148" s="457">
        <f>IF($AO148&lt;&gt;"OK",0,IF(AND(DATE('Thiết lập'!$B$4,8,1)&gt;=DATE(YEAR($H148),MONTH($H148),1),DATE('Thiết lập'!$B$4,8,1)&lt;EDATE(DATE(YEAR($H148),MONTH($H148),1),$O148)),MIN($P148,MAX(0,$N148-$U148-SUM($V148:AB148))),0))</f>
        <v/>
      </c>
      <c r="AD148" s="457">
        <f>IF($AO148&lt;&gt;"OK",0,IF(AND(DATE('Thiết lập'!$B$4,9,1)&gt;=DATE(YEAR($H148),MONTH($H148),1),DATE('Thiết lập'!$B$4,9,1)&lt;EDATE(DATE(YEAR($H148),MONTH($H148),1),$O148)),MIN($P148,MAX(0,$N148-$U148-SUM($V148:AC148))),0))</f>
        <v/>
      </c>
      <c r="AE148" s="457">
        <f>IF($AO148&lt;&gt;"OK",0,IF(AND(DATE('Thiết lập'!$B$4,10,1)&gt;=DATE(YEAR($H148),MONTH($H148),1),DATE('Thiết lập'!$B$4,10,1)&lt;EDATE(DATE(YEAR($H148),MONTH($H148),1),$O148)),MIN($P148,MAX(0,$N148-$U148-SUM($V148:AD148))),0))</f>
        <v/>
      </c>
      <c r="AF148" s="457">
        <f>IF($AO148&lt;&gt;"OK",0,IF(AND(DATE('Thiết lập'!$B$4,11,1)&gt;=DATE(YEAR($H148),MONTH($H148),1),DATE('Thiết lập'!$B$4,11,1)&lt;EDATE(DATE(YEAR($H148),MONTH($H148),1),$O148)),MIN($P148,MAX(0,$N148-$U148-SUM($V148:AE148))),0))</f>
        <v/>
      </c>
      <c r="AG148" s="457">
        <f>IF($AO148&lt;&gt;"OK",0,IF(AND(DATE('Thiết lập'!$B$4,12,1)&gt;=DATE(YEAR($H148),MONTH($H148),1),DATE('Thiết lập'!$B$4,12,1)&lt;EDATE(DATE(YEAR($H148),MONTH($H148),1),$O148)),MIN($P148,MAX(0,$N148-$U148-SUM($V148:AF148))),0))</f>
        <v/>
      </c>
      <c r="AH148" s="457">
        <f>IF(B148="","",SUM(V148:AG148))</f>
        <v/>
      </c>
      <c r="AI148" s="457">
        <f>IF(B148="","",MIN(N148,IF(U148="",0,U148)+AH148))</f>
        <v/>
      </c>
      <c r="AJ148" s="457">
        <f>IF(B148="","",MAX(0,L148-AI148))</f>
        <v/>
      </c>
      <c r="AK148" s="337">
        <f>IF(B148="","",IF(H148&gt;'Thiết lập'!$B$5,"Chưa khấu hao",IF(AJ148&lt;=IF(M148="",0,M148),"Đã hết khấu hao","Đang khấu hao")))</f>
        <v/>
      </c>
      <c r="AL148" s="275" t="n"/>
      <c r="AM148" s="275" t="n"/>
      <c r="AN148" s="275" t="n"/>
      <c r="AO148" s="343">
        <f>IF(B148="","",IF(COUNTIF($B$7:$B$306,B148)&gt;1,"Trùng mã TSCĐ",IF(C148="","Thiếu tên TSCĐ",IF(H148="","Thiếu ngày bắt đầu",IF(OR(I148&lt;=0,L148&lt;=0,O148&lt;=0),"Kiểm tra số lượng/nguyên giá/thời gian",IF(AND(G148&lt;&gt;"",H148&lt;G148),"Ngày KH trước ngày ghi tăng",IF(M148&gt;L148,"Giá trị thu hồi vượt nguyên giá",IF(IF(U148="",0,U148)&gt;N148,"Lũy kế đầu năm vượt GTKH","OK"))))))))</f>
        <v/>
      </c>
    </row>
    <row r="149" ht="20" customHeight="1" s="389">
      <c r="A149" s="325">
        <f>IF(B149="","",ROW()-6)</f>
        <v/>
      </c>
      <c r="B149" s="275" t="n"/>
      <c r="C149" s="275" t="n"/>
      <c r="D149" s="331" t="n"/>
      <c r="E149" s="331" t="n"/>
      <c r="F149" s="454" t="n"/>
      <c r="G149" s="454" t="n"/>
      <c r="H149" s="454" t="n"/>
      <c r="I149" s="455" t="n"/>
      <c r="J149" s="456" t="n"/>
      <c r="K149" s="456" t="n"/>
      <c r="L149" s="457">
        <f>IF(B149="","",IF(OR(I149="",J149=""),"",I149*J149+IF(K149="",0,K149)))</f>
        <v/>
      </c>
      <c r="M149" s="456" t="n"/>
      <c r="N149" s="457">
        <f>IF(L149="","",MAX(0,L149-IF(M149="",0,M149)))</f>
        <v/>
      </c>
      <c r="O149" s="455" t="n"/>
      <c r="P149" s="457">
        <f>IF(OR(N149="",O149&lt;=0),"",ROUND(N149/O149,0))</f>
        <v/>
      </c>
      <c r="Q149" s="458">
        <f>IF(OR(H149="",O149&lt;=0),"",EOMONTH(H149,O149-1))</f>
        <v/>
      </c>
      <c r="R149" s="331" t="n"/>
      <c r="S149" s="331" t="n"/>
      <c r="T149" s="331" t="n"/>
      <c r="U149" s="456" t="n"/>
      <c r="V149" s="457">
        <f>IF($AO149&lt;&gt;"OK",0,IF(AND(DATE('Thiết lập'!$B$4,1,1)&gt;=DATE(YEAR($H149),MONTH($H149),1),DATE('Thiết lập'!$B$4,1,1)&lt;EDATE(DATE(YEAR($H149),MONTH($H149),1),$O149)),MIN($P149,MAX(0,$N149-$U149-0)),0))</f>
        <v/>
      </c>
      <c r="W149" s="457">
        <f>IF($AO149&lt;&gt;"OK",0,IF(AND(DATE('Thiết lập'!$B$4,2,1)&gt;=DATE(YEAR($H149),MONTH($H149),1),DATE('Thiết lập'!$B$4,2,1)&lt;EDATE(DATE(YEAR($H149),MONTH($H149),1),$O149)),MIN($P149,MAX(0,$N149-$U149-SUM($V149:V149))),0))</f>
        <v/>
      </c>
      <c r="X149" s="457">
        <f>IF($AO149&lt;&gt;"OK",0,IF(AND(DATE('Thiết lập'!$B$4,3,1)&gt;=DATE(YEAR($H149),MONTH($H149),1),DATE('Thiết lập'!$B$4,3,1)&lt;EDATE(DATE(YEAR($H149),MONTH($H149),1),$O149)),MIN($P149,MAX(0,$N149-$U149-SUM($V149:W149))),0))</f>
        <v/>
      </c>
      <c r="Y149" s="457">
        <f>IF($AO149&lt;&gt;"OK",0,IF(AND(DATE('Thiết lập'!$B$4,4,1)&gt;=DATE(YEAR($H149),MONTH($H149),1),DATE('Thiết lập'!$B$4,4,1)&lt;EDATE(DATE(YEAR($H149),MONTH($H149),1),$O149)),MIN($P149,MAX(0,$N149-$U149-SUM($V149:X149))),0))</f>
        <v/>
      </c>
      <c r="Z149" s="457">
        <f>IF($AO149&lt;&gt;"OK",0,IF(AND(DATE('Thiết lập'!$B$4,5,1)&gt;=DATE(YEAR($H149),MONTH($H149),1),DATE('Thiết lập'!$B$4,5,1)&lt;EDATE(DATE(YEAR($H149),MONTH($H149),1),$O149)),MIN($P149,MAX(0,$N149-$U149-SUM($V149:Y149))),0))</f>
        <v/>
      </c>
      <c r="AA149" s="457">
        <f>IF($AO149&lt;&gt;"OK",0,IF(AND(DATE('Thiết lập'!$B$4,6,1)&gt;=DATE(YEAR($H149),MONTH($H149),1),DATE('Thiết lập'!$B$4,6,1)&lt;EDATE(DATE(YEAR($H149),MONTH($H149),1),$O149)),MIN($P149,MAX(0,$N149-$U149-SUM($V149:Z149))),0))</f>
        <v/>
      </c>
      <c r="AB149" s="457">
        <f>IF($AO149&lt;&gt;"OK",0,IF(AND(DATE('Thiết lập'!$B$4,7,1)&gt;=DATE(YEAR($H149),MONTH($H149),1),DATE('Thiết lập'!$B$4,7,1)&lt;EDATE(DATE(YEAR($H149),MONTH($H149),1),$O149)),MIN($P149,MAX(0,$N149-$U149-SUM($V149:AA149))),0))</f>
        <v/>
      </c>
      <c r="AC149" s="457">
        <f>IF($AO149&lt;&gt;"OK",0,IF(AND(DATE('Thiết lập'!$B$4,8,1)&gt;=DATE(YEAR($H149),MONTH($H149),1),DATE('Thiết lập'!$B$4,8,1)&lt;EDATE(DATE(YEAR($H149),MONTH($H149),1),$O149)),MIN($P149,MAX(0,$N149-$U149-SUM($V149:AB149))),0))</f>
        <v/>
      </c>
      <c r="AD149" s="457">
        <f>IF($AO149&lt;&gt;"OK",0,IF(AND(DATE('Thiết lập'!$B$4,9,1)&gt;=DATE(YEAR($H149),MONTH($H149),1),DATE('Thiết lập'!$B$4,9,1)&lt;EDATE(DATE(YEAR($H149),MONTH($H149),1),$O149)),MIN($P149,MAX(0,$N149-$U149-SUM($V149:AC149))),0))</f>
        <v/>
      </c>
      <c r="AE149" s="457">
        <f>IF($AO149&lt;&gt;"OK",0,IF(AND(DATE('Thiết lập'!$B$4,10,1)&gt;=DATE(YEAR($H149),MONTH($H149),1),DATE('Thiết lập'!$B$4,10,1)&lt;EDATE(DATE(YEAR($H149),MONTH($H149),1),$O149)),MIN($P149,MAX(0,$N149-$U149-SUM($V149:AD149))),0))</f>
        <v/>
      </c>
      <c r="AF149" s="457">
        <f>IF($AO149&lt;&gt;"OK",0,IF(AND(DATE('Thiết lập'!$B$4,11,1)&gt;=DATE(YEAR($H149),MONTH($H149),1),DATE('Thiết lập'!$B$4,11,1)&lt;EDATE(DATE(YEAR($H149),MONTH($H149),1),$O149)),MIN($P149,MAX(0,$N149-$U149-SUM($V149:AE149))),0))</f>
        <v/>
      </c>
      <c r="AG149" s="457">
        <f>IF($AO149&lt;&gt;"OK",0,IF(AND(DATE('Thiết lập'!$B$4,12,1)&gt;=DATE(YEAR($H149),MONTH($H149),1),DATE('Thiết lập'!$B$4,12,1)&lt;EDATE(DATE(YEAR($H149),MONTH($H149),1),$O149)),MIN($P149,MAX(0,$N149-$U149-SUM($V149:AF149))),0))</f>
        <v/>
      </c>
      <c r="AH149" s="457">
        <f>IF(B149="","",SUM(V149:AG149))</f>
        <v/>
      </c>
      <c r="AI149" s="457">
        <f>IF(B149="","",MIN(N149,IF(U149="",0,U149)+AH149))</f>
        <v/>
      </c>
      <c r="AJ149" s="457">
        <f>IF(B149="","",MAX(0,L149-AI149))</f>
        <v/>
      </c>
      <c r="AK149" s="337">
        <f>IF(B149="","",IF(H149&gt;'Thiết lập'!$B$5,"Chưa khấu hao",IF(AJ149&lt;=IF(M149="",0,M149),"Đã hết khấu hao","Đang khấu hao")))</f>
        <v/>
      </c>
      <c r="AL149" s="275" t="n"/>
      <c r="AM149" s="275" t="n"/>
      <c r="AN149" s="275" t="n"/>
      <c r="AO149" s="343">
        <f>IF(B149="","",IF(COUNTIF($B$7:$B$306,B149)&gt;1,"Trùng mã TSCĐ",IF(C149="","Thiếu tên TSCĐ",IF(H149="","Thiếu ngày bắt đầu",IF(OR(I149&lt;=0,L149&lt;=0,O149&lt;=0),"Kiểm tra số lượng/nguyên giá/thời gian",IF(AND(G149&lt;&gt;"",H149&lt;G149),"Ngày KH trước ngày ghi tăng",IF(M149&gt;L149,"Giá trị thu hồi vượt nguyên giá",IF(IF(U149="",0,U149)&gt;N149,"Lũy kế đầu năm vượt GTKH","OK"))))))))</f>
        <v/>
      </c>
    </row>
    <row r="150" ht="20" customHeight="1" s="389">
      <c r="A150" s="325">
        <f>IF(B150="","",ROW()-6)</f>
        <v/>
      </c>
      <c r="B150" s="275" t="n"/>
      <c r="C150" s="275" t="n"/>
      <c r="D150" s="331" t="n"/>
      <c r="E150" s="331" t="n"/>
      <c r="F150" s="454" t="n"/>
      <c r="G150" s="454" t="n"/>
      <c r="H150" s="454" t="n"/>
      <c r="I150" s="455" t="n"/>
      <c r="J150" s="456" t="n"/>
      <c r="K150" s="456" t="n"/>
      <c r="L150" s="457">
        <f>IF(B150="","",IF(OR(I150="",J150=""),"",I150*J150+IF(K150="",0,K150)))</f>
        <v/>
      </c>
      <c r="M150" s="456" t="n"/>
      <c r="N150" s="457">
        <f>IF(L150="","",MAX(0,L150-IF(M150="",0,M150)))</f>
        <v/>
      </c>
      <c r="O150" s="455" t="n"/>
      <c r="P150" s="457">
        <f>IF(OR(N150="",O150&lt;=0),"",ROUND(N150/O150,0))</f>
        <v/>
      </c>
      <c r="Q150" s="458">
        <f>IF(OR(H150="",O150&lt;=0),"",EOMONTH(H150,O150-1))</f>
        <v/>
      </c>
      <c r="R150" s="331" t="n"/>
      <c r="S150" s="331" t="n"/>
      <c r="T150" s="331" t="n"/>
      <c r="U150" s="456" t="n"/>
      <c r="V150" s="457">
        <f>IF($AO150&lt;&gt;"OK",0,IF(AND(DATE('Thiết lập'!$B$4,1,1)&gt;=DATE(YEAR($H150),MONTH($H150),1),DATE('Thiết lập'!$B$4,1,1)&lt;EDATE(DATE(YEAR($H150),MONTH($H150),1),$O150)),MIN($P150,MAX(0,$N150-$U150-0)),0))</f>
        <v/>
      </c>
      <c r="W150" s="457">
        <f>IF($AO150&lt;&gt;"OK",0,IF(AND(DATE('Thiết lập'!$B$4,2,1)&gt;=DATE(YEAR($H150),MONTH($H150),1),DATE('Thiết lập'!$B$4,2,1)&lt;EDATE(DATE(YEAR($H150),MONTH($H150),1),$O150)),MIN($P150,MAX(0,$N150-$U150-SUM($V150:V150))),0))</f>
        <v/>
      </c>
      <c r="X150" s="457">
        <f>IF($AO150&lt;&gt;"OK",0,IF(AND(DATE('Thiết lập'!$B$4,3,1)&gt;=DATE(YEAR($H150),MONTH($H150),1),DATE('Thiết lập'!$B$4,3,1)&lt;EDATE(DATE(YEAR($H150),MONTH($H150),1),$O150)),MIN($P150,MAX(0,$N150-$U150-SUM($V150:W150))),0))</f>
        <v/>
      </c>
      <c r="Y150" s="457">
        <f>IF($AO150&lt;&gt;"OK",0,IF(AND(DATE('Thiết lập'!$B$4,4,1)&gt;=DATE(YEAR($H150),MONTH($H150),1),DATE('Thiết lập'!$B$4,4,1)&lt;EDATE(DATE(YEAR($H150),MONTH($H150),1),$O150)),MIN($P150,MAX(0,$N150-$U150-SUM($V150:X150))),0))</f>
        <v/>
      </c>
      <c r="Z150" s="457">
        <f>IF($AO150&lt;&gt;"OK",0,IF(AND(DATE('Thiết lập'!$B$4,5,1)&gt;=DATE(YEAR($H150),MONTH($H150),1),DATE('Thiết lập'!$B$4,5,1)&lt;EDATE(DATE(YEAR($H150),MONTH($H150),1),$O150)),MIN($P150,MAX(0,$N150-$U150-SUM($V150:Y150))),0))</f>
        <v/>
      </c>
      <c r="AA150" s="457">
        <f>IF($AO150&lt;&gt;"OK",0,IF(AND(DATE('Thiết lập'!$B$4,6,1)&gt;=DATE(YEAR($H150),MONTH($H150),1),DATE('Thiết lập'!$B$4,6,1)&lt;EDATE(DATE(YEAR($H150),MONTH($H150),1),$O150)),MIN($P150,MAX(0,$N150-$U150-SUM($V150:Z150))),0))</f>
        <v/>
      </c>
      <c r="AB150" s="457">
        <f>IF($AO150&lt;&gt;"OK",0,IF(AND(DATE('Thiết lập'!$B$4,7,1)&gt;=DATE(YEAR($H150),MONTH($H150),1),DATE('Thiết lập'!$B$4,7,1)&lt;EDATE(DATE(YEAR($H150),MONTH($H150),1),$O150)),MIN($P150,MAX(0,$N150-$U150-SUM($V150:AA150))),0))</f>
        <v/>
      </c>
      <c r="AC150" s="457">
        <f>IF($AO150&lt;&gt;"OK",0,IF(AND(DATE('Thiết lập'!$B$4,8,1)&gt;=DATE(YEAR($H150),MONTH($H150),1),DATE('Thiết lập'!$B$4,8,1)&lt;EDATE(DATE(YEAR($H150),MONTH($H150),1),$O150)),MIN($P150,MAX(0,$N150-$U150-SUM($V150:AB150))),0))</f>
        <v/>
      </c>
      <c r="AD150" s="457">
        <f>IF($AO150&lt;&gt;"OK",0,IF(AND(DATE('Thiết lập'!$B$4,9,1)&gt;=DATE(YEAR($H150),MONTH($H150),1),DATE('Thiết lập'!$B$4,9,1)&lt;EDATE(DATE(YEAR($H150),MONTH($H150),1),$O150)),MIN($P150,MAX(0,$N150-$U150-SUM($V150:AC150))),0))</f>
        <v/>
      </c>
      <c r="AE150" s="457">
        <f>IF($AO150&lt;&gt;"OK",0,IF(AND(DATE('Thiết lập'!$B$4,10,1)&gt;=DATE(YEAR($H150),MONTH($H150),1),DATE('Thiết lập'!$B$4,10,1)&lt;EDATE(DATE(YEAR($H150),MONTH($H150),1),$O150)),MIN($P150,MAX(0,$N150-$U150-SUM($V150:AD150))),0))</f>
        <v/>
      </c>
      <c r="AF150" s="457">
        <f>IF($AO150&lt;&gt;"OK",0,IF(AND(DATE('Thiết lập'!$B$4,11,1)&gt;=DATE(YEAR($H150),MONTH($H150),1),DATE('Thiết lập'!$B$4,11,1)&lt;EDATE(DATE(YEAR($H150),MONTH($H150),1),$O150)),MIN($P150,MAX(0,$N150-$U150-SUM($V150:AE150))),0))</f>
        <v/>
      </c>
      <c r="AG150" s="457">
        <f>IF($AO150&lt;&gt;"OK",0,IF(AND(DATE('Thiết lập'!$B$4,12,1)&gt;=DATE(YEAR($H150),MONTH($H150),1),DATE('Thiết lập'!$B$4,12,1)&lt;EDATE(DATE(YEAR($H150),MONTH($H150),1),$O150)),MIN($P150,MAX(0,$N150-$U150-SUM($V150:AF150))),0))</f>
        <v/>
      </c>
      <c r="AH150" s="457">
        <f>IF(B150="","",SUM(V150:AG150))</f>
        <v/>
      </c>
      <c r="AI150" s="457">
        <f>IF(B150="","",MIN(N150,IF(U150="",0,U150)+AH150))</f>
        <v/>
      </c>
      <c r="AJ150" s="457">
        <f>IF(B150="","",MAX(0,L150-AI150))</f>
        <v/>
      </c>
      <c r="AK150" s="337">
        <f>IF(B150="","",IF(H150&gt;'Thiết lập'!$B$5,"Chưa khấu hao",IF(AJ150&lt;=IF(M150="",0,M150),"Đã hết khấu hao","Đang khấu hao")))</f>
        <v/>
      </c>
      <c r="AL150" s="275" t="n"/>
      <c r="AM150" s="275" t="n"/>
      <c r="AN150" s="275" t="n"/>
      <c r="AO150" s="343">
        <f>IF(B150="","",IF(COUNTIF($B$7:$B$306,B150)&gt;1,"Trùng mã TSCĐ",IF(C150="","Thiếu tên TSCĐ",IF(H150="","Thiếu ngày bắt đầu",IF(OR(I150&lt;=0,L150&lt;=0,O150&lt;=0),"Kiểm tra số lượng/nguyên giá/thời gian",IF(AND(G150&lt;&gt;"",H150&lt;G150),"Ngày KH trước ngày ghi tăng",IF(M150&gt;L150,"Giá trị thu hồi vượt nguyên giá",IF(IF(U150="",0,U150)&gt;N150,"Lũy kế đầu năm vượt GTKH","OK"))))))))</f>
        <v/>
      </c>
    </row>
    <row r="151" ht="20" customHeight="1" s="389">
      <c r="A151" s="325">
        <f>IF(B151="","",ROW()-6)</f>
        <v/>
      </c>
      <c r="B151" s="275" t="n"/>
      <c r="C151" s="275" t="n"/>
      <c r="D151" s="331" t="n"/>
      <c r="E151" s="331" t="n"/>
      <c r="F151" s="454" t="n"/>
      <c r="G151" s="454" t="n"/>
      <c r="H151" s="454" t="n"/>
      <c r="I151" s="455" t="n"/>
      <c r="J151" s="456" t="n"/>
      <c r="K151" s="456" t="n"/>
      <c r="L151" s="457">
        <f>IF(B151="","",IF(OR(I151="",J151=""),"",I151*J151+IF(K151="",0,K151)))</f>
        <v/>
      </c>
      <c r="M151" s="456" t="n"/>
      <c r="N151" s="457">
        <f>IF(L151="","",MAX(0,L151-IF(M151="",0,M151)))</f>
        <v/>
      </c>
      <c r="O151" s="455" t="n"/>
      <c r="P151" s="457">
        <f>IF(OR(N151="",O151&lt;=0),"",ROUND(N151/O151,0))</f>
        <v/>
      </c>
      <c r="Q151" s="458">
        <f>IF(OR(H151="",O151&lt;=0),"",EOMONTH(H151,O151-1))</f>
        <v/>
      </c>
      <c r="R151" s="331" t="n"/>
      <c r="S151" s="331" t="n"/>
      <c r="T151" s="331" t="n"/>
      <c r="U151" s="456" t="n"/>
      <c r="V151" s="457">
        <f>IF($AO151&lt;&gt;"OK",0,IF(AND(DATE('Thiết lập'!$B$4,1,1)&gt;=DATE(YEAR($H151),MONTH($H151),1),DATE('Thiết lập'!$B$4,1,1)&lt;EDATE(DATE(YEAR($H151),MONTH($H151),1),$O151)),MIN($P151,MAX(0,$N151-$U151-0)),0))</f>
        <v/>
      </c>
      <c r="W151" s="457">
        <f>IF($AO151&lt;&gt;"OK",0,IF(AND(DATE('Thiết lập'!$B$4,2,1)&gt;=DATE(YEAR($H151),MONTH($H151),1),DATE('Thiết lập'!$B$4,2,1)&lt;EDATE(DATE(YEAR($H151),MONTH($H151),1),$O151)),MIN($P151,MAX(0,$N151-$U151-SUM($V151:V151))),0))</f>
        <v/>
      </c>
      <c r="X151" s="457">
        <f>IF($AO151&lt;&gt;"OK",0,IF(AND(DATE('Thiết lập'!$B$4,3,1)&gt;=DATE(YEAR($H151),MONTH($H151),1),DATE('Thiết lập'!$B$4,3,1)&lt;EDATE(DATE(YEAR($H151),MONTH($H151),1),$O151)),MIN($P151,MAX(0,$N151-$U151-SUM($V151:W151))),0))</f>
        <v/>
      </c>
      <c r="Y151" s="457">
        <f>IF($AO151&lt;&gt;"OK",0,IF(AND(DATE('Thiết lập'!$B$4,4,1)&gt;=DATE(YEAR($H151),MONTH($H151),1),DATE('Thiết lập'!$B$4,4,1)&lt;EDATE(DATE(YEAR($H151),MONTH($H151),1),$O151)),MIN($P151,MAX(0,$N151-$U151-SUM($V151:X151))),0))</f>
        <v/>
      </c>
      <c r="Z151" s="457">
        <f>IF($AO151&lt;&gt;"OK",0,IF(AND(DATE('Thiết lập'!$B$4,5,1)&gt;=DATE(YEAR($H151),MONTH($H151),1),DATE('Thiết lập'!$B$4,5,1)&lt;EDATE(DATE(YEAR($H151),MONTH($H151),1),$O151)),MIN($P151,MAX(0,$N151-$U151-SUM($V151:Y151))),0))</f>
        <v/>
      </c>
      <c r="AA151" s="457">
        <f>IF($AO151&lt;&gt;"OK",0,IF(AND(DATE('Thiết lập'!$B$4,6,1)&gt;=DATE(YEAR($H151),MONTH($H151),1),DATE('Thiết lập'!$B$4,6,1)&lt;EDATE(DATE(YEAR($H151),MONTH($H151),1),$O151)),MIN($P151,MAX(0,$N151-$U151-SUM($V151:Z151))),0))</f>
        <v/>
      </c>
      <c r="AB151" s="457">
        <f>IF($AO151&lt;&gt;"OK",0,IF(AND(DATE('Thiết lập'!$B$4,7,1)&gt;=DATE(YEAR($H151),MONTH($H151),1),DATE('Thiết lập'!$B$4,7,1)&lt;EDATE(DATE(YEAR($H151),MONTH($H151),1),$O151)),MIN($P151,MAX(0,$N151-$U151-SUM($V151:AA151))),0))</f>
        <v/>
      </c>
      <c r="AC151" s="457">
        <f>IF($AO151&lt;&gt;"OK",0,IF(AND(DATE('Thiết lập'!$B$4,8,1)&gt;=DATE(YEAR($H151),MONTH($H151),1),DATE('Thiết lập'!$B$4,8,1)&lt;EDATE(DATE(YEAR($H151),MONTH($H151),1),$O151)),MIN($P151,MAX(0,$N151-$U151-SUM($V151:AB151))),0))</f>
        <v/>
      </c>
      <c r="AD151" s="457">
        <f>IF($AO151&lt;&gt;"OK",0,IF(AND(DATE('Thiết lập'!$B$4,9,1)&gt;=DATE(YEAR($H151),MONTH($H151),1),DATE('Thiết lập'!$B$4,9,1)&lt;EDATE(DATE(YEAR($H151),MONTH($H151),1),$O151)),MIN($P151,MAX(0,$N151-$U151-SUM($V151:AC151))),0))</f>
        <v/>
      </c>
      <c r="AE151" s="457">
        <f>IF($AO151&lt;&gt;"OK",0,IF(AND(DATE('Thiết lập'!$B$4,10,1)&gt;=DATE(YEAR($H151),MONTH($H151),1),DATE('Thiết lập'!$B$4,10,1)&lt;EDATE(DATE(YEAR($H151),MONTH($H151),1),$O151)),MIN($P151,MAX(0,$N151-$U151-SUM($V151:AD151))),0))</f>
        <v/>
      </c>
      <c r="AF151" s="457">
        <f>IF($AO151&lt;&gt;"OK",0,IF(AND(DATE('Thiết lập'!$B$4,11,1)&gt;=DATE(YEAR($H151),MONTH($H151),1),DATE('Thiết lập'!$B$4,11,1)&lt;EDATE(DATE(YEAR($H151),MONTH($H151),1),$O151)),MIN($P151,MAX(0,$N151-$U151-SUM($V151:AE151))),0))</f>
        <v/>
      </c>
      <c r="AG151" s="457">
        <f>IF($AO151&lt;&gt;"OK",0,IF(AND(DATE('Thiết lập'!$B$4,12,1)&gt;=DATE(YEAR($H151),MONTH($H151),1),DATE('Thiết lập'!$B$4,12,1)&lt;EDATE(DATE(YEAR($H151),MONTH($H151),1),$O151)),MIN($P151,MAX(0,$N151-$U151-SUM($V151:AF151))),0))</f>
        <v/>
      </c>
      <c r="AH151" s="457">
        <f>IF(B151="","",SUM(V151:AG151))</f>
        <v/>
      </c>
      <c r="AI151" s="457">
        <f>IF(B151="","",MIN(N151,IF(U151="",0,U151)+AH151))</f>
        <v/>
      </c>
      <c r="AJ151" s="457">
        <f>IF(B151="","",MAX(0,L151-AI151))</f>
        <v/>
      </c>
      <c r="AK151" s="337">
        <f>IF(B151="","",IF(H151&gt;'Thiết lập'!$B$5,"Chưa khấu hao",IF(AJ151&lt;=IF(M151="",0,M151),"Đã hết khấu hao","Đang khấu hao")))</f>
        <v/>
      </c>
      <c r="AL151" s="275" t="n"/>
      <c r="AM151" s="275" t="n"/>
      <c r="AN151" s="275" t="n"/>
      <c r="AO151" s="343">
        <f>IF(B151="","",IF(COUNTIF($B$7:$B$306,B151)&gt;1,"Trùng mã TSCĐ",IF(C151="","Thiếu tên TSCĐ",IF(H151="","Thiếu ngày bắt đầu",IF(OR(I151&lt;=0,L151&lt;=0,O151&lt;=0),"Kiểm tra số lượng/nguyên giá/thời gian",IF(AND(G151&lt;&gt;"",H151&lt;G151),"Ngày KH trước ngày ghi tăng",IF(M151&gt;L151,"Giá trị thu hồi vượt nguyên giá",IF(IF(U151="",0,U151)&gt;N151,"Lũy kế đầu năm vượt GTKH","OK"))))))))</f>
        <v/>
      </c>
    </row>
    <row r="152" ht="20" customHeight="1" s="389">
      <c r="A152" s="325">
        <f>IF(B152="","",ROW()-6)</f>
        <v/>
      </c>
      <c r="B152" s="275" t="n"/>
      <c r="C152" s="275" t="n"/>
      <c r="D152" s="331" t="n"/>
      <c r="E152" s="331" t="n"/>
      <c r="F152" s="454" t="n"/>
      <c r="G152" s="454" t="n"/>
      <c r="H152" s="454" t="n"/>
      <c r="I152" s="455" t="n"/>
      <c r="J152" s="456" t="n"/>
      <c r="K152" s="456" t="n"/>
      <c r="L152" s="457">
        <f>IF(B152="","",IF(OR(I152="",J152=""),"",I152*J152+IF(K152="",0,K152)))</f>
        <v/>
      </c>
      <c r="M152" s="456" t="n"/>
      <c r="N152" s="457">
        <f>IF(L152="","",MAX(0,L152-IF(M152="",0,M152)))</f>
        <v/>
      </c>
      <c r="O152" s="455" t="n"/>
      <c r="P152" s="457">
        <f>IF(OR(N152="",O152&lt;=0),"",ROUND(N152/O152,0))</f>
        <v/>
      </c>
      <c r="Q152" s="458">
        <f>IF(OR(H152="",O152&lt;=0),"",EOMONTH(H152,O152-1))</f>
        <v/>
      </c>
      <c r="R152" s="331" t="n"/>
      <c r="S152" s="331" t="n"/>
      <c r="T152" s="331" t="n"/>
      <c r="U152" s="456" t="n"/>
      <c r="V152" s="457">
        <f>IF($AO152&lt;&gt;"OK",0,IF(AND(DATE('Thiết lập'!$B$4,1,1)&gt;=DATE(YEAR($H152),MONTH($H152),1),DATE('Thiết lập'!$B$4,1,1)&lt;EDATE(DATE(YEAR($H152),MONTH($H152),1),$O152)),MIN($P152,MAX(0,$N152-$U152-0)),0))</f>
        <v/>
      </c>
      <c r="W152" s="457">
        <f>IF($AO152&lt;&gt;"OK",0,IF(AND(DATE('Thiết lập'!$B$4,2,1)&gt;=DATE(YEAR($H152),MONTH($H152),1),DATE('Thiết lập'!$B$4,2,1)&lt;EDATE(DATE(YEAR($H152),MONTH($H152),1),$O152)),MIN($P152,MAX(0,$N152-$U152-SUM($V152:V152))),0))</f>
        <v/>
      </c>
      <c r="X152" s="457">
        <f>IF($AO152&lt;&gt;"OK",0,IF(AND(DATE('Thiết lập'!$B$4,3,1)&gt;=DATE(YEAR($H152),MONTH($H152),1),DATE('Thiết lập'!$B$4,3,1)&lt;EDATE(DATE(YEAR($H152),MONTH($H152),1),$O152)),MIN($P152,MAX(0,$N152-$U152-SUM($V152:W152))),0))</f>
        <v/>
      </c>
      <c r="Y152" s="457">
        <f>IF($AO152&lt;&gt;"OK",0,IF(AND(DATE('Thiết lập'!$B$4,4,1)&gt;=DATE(YEAR($H152),MONTH($H152),1),DATE('Thiết lập'!$B$4,4,1)&lt;EDATE(DATE(YEAR($H152),MONTH($H152),1),$O152)),MIN($P152,MAX(0,$N152-$U152-SUM($V152:X152))),0))</f>
        <v/>
      </c>
      <c r="Z152" s="457">
        <f>IF($AO152&lt;&gt;"OK",0,IF(AND(DATE('Thiết lập'!$B$4,5,1)&gt;=DATE(YEAR($H152),MONTH($H152),1),DATE('Thiết lập'!$B$4,5,1)&lt;EDATE(DATE(YEAR($H152),MONTH($H152),1),$O152)),MIN($P152,MAX(0,$N152-$U152-SUM($V152:Y152))),0))</f>
        <v/>
      </c>
      <c r="AA152" s="457">
        <f>IF($AO152&lt;&gt;"OK",0,IF(AND(DATE('Thiết lập'!$B$4,6,1)&gt;=DATE(YEAR($H152),MONTH($H152),1),DATE('Thiết lập'!$B$4,6,1)&lt;EDATE(DATE(YEAR($H152),MONTH($H152),1),$O152)),MIN($P152,MAX(0,$N152-$U152-SUM($V152:Z152))),0))</f>
        <v/>
      </c>
      <c r="AB152" s="457">
        <f>IF($AO152&lt;&gt;"OK",0,IF(AND(DATE('Thiết lập'!$B$4,7,1)&gt;=DATE(YEAR($H152),MONTH($H152),1),DATE('Thiết lập'!$B$4,7,1)&lt;EDATE(DATE(YEAR($H152),MONTH($H152),1),$O152)),MIN($P152,MAX(0,$N152-$U152-SUM($V152:AA152))),0))</f>
        <v/>
      </c>
      <c r="AC152" s="457">
        <f>IF($AO152&lt;&gt;"OK",0,IF(AND(DATE('Thiết lập'!$B$4,8,1)&gt;=DATE(YEAR($H152),MONTH($H152),1),DATE('Thiết lập'!$B$4,8,1)&lt;EDATE(DATE(YEAR($H152),MONTH($H152),1),$O152)),MIN($P152,MAX(0,$N152-$U152-SUM($V152:AB152))),0))</f>
        <v/>
      </c>
      <c r="AD152" s="457">
        <f>IF($AO152&lt;&gt;"OK",0,IF(AND(DATE('Thiết lập'!$B$4,9,1)&gt;=DATE(YEAR($H152),MONTH($H152),1),DATE('Thiết lập'!$B$4,9,1)&lt;EDATE(DATE(YEAR($H152),MONTH($H152),1),$O152)),MIN($P152,MAX(0,$N152-$U152-SUM($V152:AC152))),0))</f>
        <v/>
      </c>
      <c r="AE152" s="457">
        <f>IF($AO152&lt;&gt;"OK",0,IF(AND(DATE('Thiết lập'!$B$4,10,1)&gt;=DATE(YEAR($H152),MONTH($H152),1),DATE('Thiết lập'!$B$4,10,1)&lt;EDATE(DATE(YEAR($H152),MONTH($H152),1),$O152)),MIN($P152,MAX(0,$N152-$U152-SUM($V152:AD152))),0))</f>
        <v/>
      </c>
      <c r="AF152" s="457">
        <f>IF($AO152&lt;&gt;"OK",0,IF(AND(DATE('Thiết lập'!$B$4,11,1)&gt;=DATE(YEAR($H152),MONTH($H152),1),DATE('Thiết lập'!$B$4,11,1)&lt;EDATE(DATE(YEAR($H152),MONTH($H152),1),$O152)),MIN($P152,MAX(0,$N152-$U152-SUM($V152:AE152))),0))</f>
        <v/>
      </c>
      <c r="AG152" s="457">
        <f>IF($AO152&lt;&gt;"OK",0,IF(AND(DATE('Thiết lập'!$B$4,12,1)&gt;=DATE(YEAR($H152),MONTH($H152),1),DATE('Thiết lập'!$B$4,12,1)&lt;EDATE(DATE(YEAR($H152),MONTH($H152),1),$O152)),MIN($P152,MAX(0,$N152-$U152-SUM($V152:AF152))),0))</f>
        <v/>
      </c>
      <c r="AH152" s="457">
        <f>IF(B152="","",SUM(V152:AG152))</f>
        <v/>
      </c>
      <c r="AI152" s="457">
        <f>IF(B152="","",MIN(N152,IF(U152="",0,U152)+AH152))</f>
        <v/>
      </c>
      <c r="AJ152" s="457">
        <f>IF(B152="","",MAX(0,L152-AI152))</f>
        <v/>
      </c>
      <c r="AK152" s="337">
        <f>IF(B152="","",IF(H152&gt;'Thiết lập'!$B$5,"Chưa khấu hao",IF(AJ152&lt;=IF(M152="",0,M152),"Đã hết khấu hao","Đang khấu hao")))</f>
        <v/>
      </c>
      <c r="AL152" s="275" t="n"/>
      <c r="AM152" s="275" t="n"/>
      <c r="AN152" s="275" t="n"/>
      <c r="AO152" s="343">
        <f>IF(B152="","",IF(COUNTIF($B$7:$B$306,B152)&gt;1,"Trùng mã TSCĐ",IF(C152="","Thiếu tên TSCĐ",IF(H152="","Thiếu ngày bắt đầu",IF(OR(I152&lt;=0,L152&lt;=0,O152&lt;=0),"Kiểm tra số lượng/nguyên giá/thời gian",IF(AND(G152&lt;&gt;"",H152&lt;G152),"Ngày KH trước ngày ghi tăng",IF(M152&gt;L152,"Giá trị thu hồi vượt nguyên giá",IF(IF(U152="",0,U152)&gt;N152,"Lũy kế đầu năm vượt GTKH","OK"))))))))</f>
        <v/>
      </c>
    </row>
    <row r="153" ht="20" customHeight="1" s="389">
      <c r="A153" s="325">
        <f>IF(B153="","",ROW()-6)</f>
        <v/>
      </c>
      <c r="B153" s="275" t="n"/>
      <c r="C153" s="275" t="n"/>
      <c r="D153" s="331" t="n"/>
      <c r="E153" s="331" t="n"/>
      <c r="F153" s="454" t="n"/>
      <c r="G153" s="454" t="n"/>
      <c r="H153" s="454" t="n"/>
      <c r="I153" s="455" t="n"/>
      <c r="J153" s="456" t="n"/>
      <c r="K153" s="456" t="n"/>
      <c r="L153" s="457">
        <f>IF(B153="","",IF(OR(I153="",J153=""),"",I153*J153+IF(K153="",0,K153)))</f>
        <v/>
      </c>
      <c r="M153" s="456" t="n"/>
      <c r="N153" s="457">
        <f>IF(L153="","",MAX(0,L153-IF(M153="",0,M153)))</f>
        <v/>
      </c>
      <c r="O153" s="455" t="n"/>
      <c r="P153" s="457">
        <f>IF(OR(N153="",O153&lt;=0),"",ROUND(N153/O153,0))</f>
        <v/>
      </c>
      <c r="Q153" s="458">
        <f>IF(OR(H153="",O153&lt;=0),"",EOMONTH(H153,O153-1))</f>
        <v/>
      </c>
      <c r="R153" s="331" t="n"/>
      <c r="S153" s="331" t="n"/>
      <c r="T153" s="331" t="n"/>
      <c r="U153" s="456" t="n"/>
      <c r="V153" s="457">
        <f>IF($AO153&lt;&gt;"OK",0,IF(AND(DATE('Thiết lập'!$B$4,1,1)&gt;=DATE(YEAR($H153),MONTH($H153),1),DATE('Thiết lập'!$B$4,1,1)&lt;EDATE(DATE(YEAR($H153),MONTH($H153),1),$O153)),MIN($P153,MAX(0,$N153-$U153-0)),0))</f>
        <v/>
      </c>
      <c r="W153" s="457">
        <f>IF($AO153&lt;&gt;"OK",0,IF(AND(DATE('Thiết lập'!$B$4,2,1)&gt;=DATE(YEAR($H153),MONTH($H153),1),DATE('Thiết lập'!$B$4,2,1)&lt;EDATE(DATE(YEAR($H153),MONTH($H153),1),$O153)),MIN($P153,MAX(0,$N153-$U153-SUM($V153:V153))),0))</f>
        <v/>
      </c>
      <c r="X153" s="457">
        <f>IF($AO153&lt;&gt;"OK",0,IF(AND(DATE('Thiết lập'!$B$4,3,1)&gt;=DATE(YEAR($H153),MONTH($H153),1),DATE('Thiết lập'!$B$4,3,1)&lt;EDATE(DATE(YEAR($H153),MONTH($H153),1),$O153)),MIN($P153,MAX(0,$N153-$U153-SUM($V153:W153))),0))</f>
        <v/>
      </c>
      <c r="Y153" s="457">
        <f>IF($AO153&lt;&gt;"OK",0,IF(AND(DATE('Thiết lập'!$B$4,4,1)&gt;=DATE(YEAR($H153),MONTH($H153),1),DATE('Thiết lập'!$B$4,4,1)&lt;EDATE(DATE(YEAR($H153),MONTH($H153),1),$O153)),MIN($P153,MAX(0,$N153-$U153-SUM($V153:X153))),0))</f>
        <v/>
      </c>
      <c r="Z153" s="457">
        <f>IF($AO153&lt;&gt;"OK",0,IF(AND(DATE('Thiết lập'!$B$4,5,1)&gt;=DATE(YEAR($H153),MONTH($H153),1),DATE('Thiết lập'!$B$4,5,1)&lt;EDATE(DATE(YEAR($H153),MONTH($H153),1),$O153)),MIN($P153,MAX(0,$N153-$U153-SUM($V153:Y153))),0))</f>
        <v/>
      </c>
      <c r="AA153" s="457">
        <f>IF($AO153&lt;&gt;"OK",0,IF(AND(DATE('Thiết lập'!$B$4,6,1)&gt;=DATE(YEAR($H153),MONTH($H153),1),DATE('Thiết lập'!$B$4,6,1)&lt;EDATE(DATE(YEAR($H153),MONTH($H153),1),$O153)),MIN($P153,MAX(0,$N153-$U153-SUM($V153:Z153))),0))</f>
        <v/>
      </c>
      <c r="AB153" s="457">
        <f>IF($AO153&lt;&gt;"OK",0,IF(AND(DATE('Thiết lập'!$B$4,7,1)&gt;=DATE(YEAR($H153),MONTH($H153),1),DATE('Thiết lập'!$B$4,7,1)&lt;EDATE(DATE(YEAR($H153),MONTH($H153),1),$O153)),MIN($P153,MAX(0,$N153-$U153-SUM($V153:AA153))),0))</f>
        <v/>
      </c>
      <c r="AC153" s="457">
        <f>IF($AO153&lt;&gt;"OK",0,IF(AND(DATE('Thiết lập'!$B$4,8,1)&gt;=DATE(YEAR($H153),MONTH($H153),1),DATE('Thiết lập'!$B$4,8,1)&lt;EDATE(DATE(YEAR($H153),MONTH($H153),1),$O153)),MIN($P153,MAX(0,$N153-$U153-SUM($V153:AB153))),0))</f>
        <v/>
      </c>
      <c r="AD153" s="457">
        <f>IF($AO153&lt;&gt;"OK",0,IF(AND(DATE('Thiết lập'!$B$4,9,1)&gt;=DATE(YEAR($H153),MONTH($H153),1),DATE('Thiết lập'!$B$4,9,1)&lt;EDATE(DATE(YEAR($H153),MONTH($H153),1),$O153)),MIN($P153,MAX(0,$N153-$U153-SUM($V153:AC153))),0))</f>
        <v/>
      </c>
      <c r="AE153" s="457">
        <f>IF($AO153&lt;&gt;"OK",0,IF(AND(DATE('Thiết lập'!$B$4,10,1)&gt;=DATE(YEAR($H153),MONTH($H153),1),DATE('Thiết lập'!$B$4,10,1)&lt;EDATE(DATE(YEAR($H153),MONTH($H153),1),$O153)),MIN($P153,MAX(0,$N153-$U153-SUM($V153:AD153))),0))</f>
        <v/>
      </c>
      <c r="AF153" s="457">
        <f>IF($AO153&lt;&gt;"OK",0,IF(AND(DATE('Thiết lập'!$B$4,11,1)&gt;=DATE(YEAR($H153),MONTH($H153),1),DATE('Thiết lập'!$B$4,11,1)&lt;EDATE(DATE(YEAR($H153),MONTH($H153),1),$O153)),MIN($P153,MAX(0,$N153-$U153-SUM($V153:AE153))),0))</f>
        <v/>
      </c>
      <c r="AG153" s="457">
        <f>IF($AO153&lt;&gt;"OK",0,IF(AND(DATE('Thiết lập'!$B$4,12,1)&gt;=DATE(YEAR($H153),MONTH($H153),1),DATE('Thiết lập'!$B$4,12,1)&lt;EDATE(DATE(YEAR($H153),MONTH($H153),1),$O153)),MIN($P153,MAX(0,$N153-$U153-SUM($V153:AF153))),0))</f>
        <v/>
      </c>
      <c r="AH153" s="457">
        <f>IF(B153="","",SUM(V153:AG153))</f>
        <v/>
      </c>
      <c r="AI153" s="457">
        <f>IF(B153="","",MIN(N153,IF(U153="",0,U153)+AH153))</f>
        <v/>
      </c>
      <c r="AJ153" s="457">
        <f>IF(B153="","",MAX(0,L153-AI153))</f>
        <v/>
      </c>
      <c r="AK153" s="337">
        <f>IF(B153="","",IF(H153&gt;'Thiết lập'!$B$5,"Chưa khấu hao",IF(AJ153&lt;=IF(M153="",0,M153),"Đã hết khấu hao","Đang khấu hao")))</f>
        <v/>
      </c>
      <c r="AL153" s="275" t="n"/>
      <c r="AM153" s="275" t="n"/>
      <c r="AN153" s="275" t="n"/>
      <c r="AO153" s="343">
        <f>IF(B153="","",IF(COUNTIF($B$7:$B$306,B153)&gt;1,"Trùng mã TSCĐ",IF(C153="","Thiếu tên TSCĐ",IF(H153="","Thiếu ngày bắt đầu",IF(OR(I153&lt;=0,L153&lt;=0,O153&lt;=0),"Kiểm tra số lượng/nguyên giá/thời gian",IF(AND(G153&lt;&gt;"",H153&lt;G153),"Ngày KH trước ngày ghi tăng",IF(M153&gt;L153,"Giá trị thu hồi vượt nguyên giá",IF(IF(U153="",0,U153)&gt;N153,"Lũy kế đầu năm vượt GTKH","OK"))))))))</f>
        <v/>
      </c>
    </row>
    <row r="154" ht="20" customHeight="1" s="389">
      <c r="A154" s="325">
        <f>IF(B154="","",ROW()-6)</f>
        <v/>
      </c>
      <c r="B154" s="275" t="n"/>
      <c r="C154" s="275" t="n"/>
      <c r="D154" s="331" t="n"/>
      <c r="E154" s="331" t="n"/>
      <c r="F154" s="454" t="n"/>
      <c r="G154" s="454" t="n"/>
      <c r="H154" s="454" t="n"/>
      <c r="I154" s="455" t="n"/>
      <c r="J154" s="456" t="n"/>
      <c r="K154" s="456" t="n"/>
      <c r="L154" s="457">
        <f>IF(B154="","",IF(OR(I154="",J154=""),"",I154*J154+IF(K154="",0,K154)))</f>
        <v/>
      </c>
      <c r="M154" s="456" t="n"/>
      <c r="N154" s="457">
        <f>IF(L154="","",MAX(0,L154-IF(M154="",0,M154)))</f>
        <v/>
      </c>
      <c r="O154" s="455" t="n"/>
      <c r="P154" s="457">
        <f>IF(OR(N154="",O154&lt;=0),"",ROUND(N154/O154,0))</f>
        <v/>
      </c>
      <c r="Q154" s="458">
        <f>IF(OR(H154="",O154&lt;=0),"",EOMONTH(H154,O154-1))</f>
        <v/>
      </c>
      <c r="R154" s="331" t="n"/>
      <c r="S154" s="331" t="n"/>
      <c r="T154" s="331" t="n"/>
      <c r="U154" s="456" t="n"/>
      <c r="V154" s="457">
        <f>IF($AO154&lt;&gt;"OK",0,IF(AND(DATE('Thiết lập'!$B$4,1,1)&gt;=DATE(YEAR($H154),MONTH($H154),1),DATE('Thiết lập'!$B$4,1,1)&lt;EDATE(DATE(YEAR($H154),MONTH($H154),1),$O154)),MIN($P154,MAX(0,$N154-$U154-0)),0))</f>
        <v/>
      </c>
      <c r="W154" s="457">
        <f>IF($AO154&lt;&gt;"OK",0,IF(AND(DATE('Thiết lập'!$B$4,2,1)&gt;=DATE(YEAR($H154),MONTH($H154),1),DATE('Thiết lập'!$B$4,2,1)&lt;EDATE(DATE(YEAR($H154),MONTH($H154),1),$O154)),MIN($P154,MAX(0,$N154-$U154-SUM($V154:V154))),0))</f>
        <v/>
      </c>
      <c r="X154" s="457">
        <f>IF($AO154&lt;&gt;"OK",0,IF(AND(DATE('Thiết lập'!$B$4,3,1)&gt;=DATE(YEAR($H154),MONTH($H154),1),DATE('Thiết lập'!$B$4,3,1)&lt;EDATE(DATE(YEAR($H154),MONTH($H154),1),$O154)),MIN($P154,MAX(0,$N154-$U154-SUM($V154:W154))),0))</f>
        <v/>
      </c>
      <c r="Y154" s="457">
        <f>IF($AO154&lt;&gt;"OK",0,IF(AND(DATE('Thiết lập'!$B$4,4,1)&gt;=DATE(YEAR($H154),MONTH($H154),1),DATE('Thiết lập'!$B$4,4,1)&lt;EDATE(DATE(YEAR($H154),MONTH($H154),1),$O154)),MIN($P154,MAX(0,$N154-$U154-SUM($V154:X154))),0))</f>
        <v/>
      </c>
      <c r="Z154" s="457">
        <f>IF($AO154&lt;&gt;"OK",0,IF(AND(DATE('Thiết lập'!$B$4,5,1)&gt;=DATE(YEAR($H154),MONTH($H154),1),DATE('Thiết lập'!$B$4,5,1)&lt;EDATE(DATE(YEAR($H154),MONTH($H154),1),$O154)),MIN($P154,MAX(0,$N154-$U154-SUM($V154:Y154))),0))</f>
        <v/>
      </c>
      <c r="AA154" s="457">
        <f>IF($AO154&lt;&gt;"OK",0,IF(AND(DATE('Thiết lập'!$B$4,6,1)&gt;=DATE(YEAR($H154),MONTH($H154),1),DATE('Thiết lập'!$B$4,6,1)&lt;EDATE(DATE(YEAR($H154),MONTH($H154),1),$O154)),MIN($P154,MAX(0,$N154-$U154-SUM($V154:Z154))),0))</f>
        <v/>
      </c>
      <c r="AB154" s="457">
        <f>IF($AO154&lt;&gt;"OK",0,IF(AND(DATE('Thiết lập'!$B$4,7,1)&gt;=DATE(YEAR($H154),MONTH($H154),1),DATE('Thiết lập'!$B$4,7,1)&lt;EDATE(DATE(YEAR($H154),MONTH($H154),1),$O154)),MIN($P154,MAX(0,$N154-$U154-SUM($V154:AA154))),0))</f>
        <v/>
      </c>
      <c r="AC154" s="457">
        <f>IF($AO154&lt;&gt;"OK",0,IF(AND(DATE('Thiết lập'!$B$4,8,1)&gt;=DATE(YEAR($H154),MONTH($H154),1),DATE('Thiết lập'!$B$4,8,1)&lt;EDATE(DATE(YEAR($H154),MONTH($H154),1),$O154)),MIN($P154,MAX(0,$N154-$U154-SUM($V154:AB154))),0))</f>
        <v/>
      </c>
      <c r="AD154" s="457">
        <f>IF($AO154&lt;&gt;"OK",0,IF(AND(DATE('Thiết lập'!$B$4,9,1)&gt;=DATE(YEAR($H154),MONTH($H154),1),DATE('Thiết lập'!$B$4,9,1)&lt;EDATE(DATE(YEAR($H154),MONTH($H154),1),$O154)),MIN($P154,MAX(0,$N154-$U154-SUM($V154:AC154))),0))</f>
        <v/>
      </c>
      <c r="AE154" s="457">
        <f>IF($AO154&lt;&gt;"OK",0,IF(AND(DATE('Thiết lập'!$B$4,10,1)&gt;=DATE(YEAR($H154),MONTH($H154),1),DATE('Thiết lập'!$B$4,10,1)&lt;EDATE(DATE(YEAR($H154),MONTH($H154),1),$O154)),MIN($P154,MAX(0,$N154-$U154-SUM($V154:AD154))),0))</f>
        <v/>
      </c>
      <c r="AF154" s="457">
        <f>IF($AO154&lt;&gt;"OK",0,IF(AND(DATE('Thiết lập'!$B$4,11,1)&gt;=DATE(YEAR($H154),MONTH($H154),1),DATE('Thiết lập'!$B$4,11,1)&lt;EDATE(DATE(YEAR($H154),MONTH($H154),1),$O154)),MIN($P154,MAX(0,$N154-$U154-SUM($V154:AE154))),0))</f>
        <v/>
      </c>
      <c r="AG154" s="457">
        <f>IF($AO154&lt;&gt;"OK",0,IF(AND(DATE('Thiết lập'!$B$4,12,1)&gt;=DATE(YEAR($H154),MONTH($H154),1),DATE('Thiết lập'!$B$4,12,1)&lt;EDATE(DATE(YEAR($H154),MONTH($H154),1),$O154)),MIN($P154,MAX(0,$N154-$U154-SUM($V154:AF154))),0))</f>
        <v/>
      </c>
      <c r="AH154" s="457">
        <f>IF(B154="","",SUM(V154:AG154))</f>
        <v/>
      </c>
      <c r="AI154" s="457">
        <f>IF(B154="","",MIN(N154,IF(U154="",0,U154)+AH154))</f>
        <v/>
      </c>
      <c r="AJ154" s="457">
        <f>IF(B154="","",MAX(0,L154-AI154))</f>
        <v/>
      </c>
      <c r="AK154" s="337">
        <f>IF(B154="","",IF(H154&gt;'Thiết lập'!$B$5,"Chưa khấu hao",IF(AJ154&lt;=IF(M154="",0,M154),"Đã hết khấu hao","Đang khấu hao")))</f>
        <v/>
      </c>
      <c r="AL154" s="275" t="n"/>
      <c r="AM154" s="275" t="n"/>
      <c r="AN154" s="275" t="n"/>
      <c r="AO154" s="343">
        <f>IF(B154="","",IF(COUNTIF($B$7:$B$306,B154)&gt;1,"Trùng mã TSCĐ",IF(C154="","Thiếu tên TSCĐ",IF(H154="","Thiếu ngày bắt đầu",IF(OR(I154&lt;=0,L154&lt;=0,O154&lt;=0),"Kiểm tra số lượng/nguyên giá/thời gian",IF(AND(G154&lt;&gt;"",H154&lt;G154),"Ngày KH trước ngày ghi tăng",IF(M154&gt;L154,"Giá trị thu hồi vượt nguyên giá",IF(IF(U154="",0,U154)&gt;N154,"Lũy kế đầu năm vượt GTKH","OK"))))))))</f>
        <v/>
      </c>
    </row>
    <row r="155" ht="20" customHeight="1" s="389">
      <c r="A155" s="325">
        <f>IF(B155="","",ROW()-6)</f>
        <v/>
      </c>
      <c r="B155" s="275" t="n"/>
      <c r="C155" s="275" t="n"/>
      <c r="D155" s="331" t="n"/>
      <c r="E155" s="331" t="n"/>
      <c r="F155" s="454" t="n"/>
      <c r="G155" s="454" t="n"/>
      <c r="H155" s="454" t="n"/>
      <c r="I155" s="455" t="n"/>
      <c r="J155" s="456" t="n"/>
      <c r="K155" s="456" t="n"/>
      <c r="L155" s="457">
        <f>IF(B155="","",IF(OR(I155="",J155=""),"",I155*J155+IF(K155="",0,K155)))</f>
        <v/>
      </c>
      <c r="M155" s="456" t="n"/>
      <c r="N155" s="457">
        <f>IF(L155="","",MAX(0,L155-IF(M155="",0,M155)))</f>
        <v/>
      </c>
      <c r="O155" s="455" t="n"/>
      <c r="P155" s="457">
        <f>IF(OR(N155="",O155&lt;=0),"",ROUND(N155/O155,0))</f>
        <v/>
      </c>
      <c r="Q155" s="458">
        <f>IF(OR(H155="",O155&lt;=0),"",EOMONTH(H155,O155-1))</f>
        <v/>
      </c>
      <c r="R155" s="331" t="n"/>
      <c r="S155" s="331" t="n"/>
      <c r="T155" s="331" t="n"/>
      <c r="U155" s="456" t="n"/>
      <c r="V155" s="457">
        <f>IF($AO155&lt;&gt;"OK",0,IF(AND(DATE('Thiết lập'!$B$4,1,1)&gt;=DATE(YEAR($H155),MONTH($H155),1),DATE('Thiết lập'!$B$4,1,1)&lt;EDATE(DATE(YEAR($H155),MONTH($H155),1),$O155)),MIN($P155,MAX(0,$N155-$U155-0)),0))</f>
        <v/>
      </c>
      <c r="W155" s="457">
        <f>IF($AO155&lt;&gt;"OK",0,IF(AND(DATE('Thiết lập'!$B$4,2,1)&gt;=DATE(YEAR($H155),MONTH($H155),1),DATE('Thiết lập'!$B$4,2,1)&lt;EDATE(DATE(YEAR($H155),MONTH($H155),1),$O155)),MIN($P155,MAX(0,$N155-$U155-SUM($V155:V155))),0))</f>
        <v/>
      </c>
      <c r="X155" s="457">
        <f>IF($AO155&lt;&gt;"OK",0,IF(AND(DATE('Thiết lập'!$B$4,3,1)&gt;=DATE(YEAR($H155),MONTH($H155),1),DATE('Thiết lập'!$B$4,3,1)&lt;EDATE(DATE(YEAR($H155),MONTH($H155),1),$O155)),MIN($P155,MAX(0,$N155-$U155-SUM($V155:W155))),0))</f>
        <v/>
      </c>
      <c r="Y155" s="457">
        <f>IF($AO155&lt;&gt;"OK",0,IF(AND(DATE('Thiết lập'!$B$4,4,1)&gt;=DATE(YEAR($H155),MONTH($H155),1),DATE('Thiết lập'!$B$4,4,1)&lt;EDATE(DATE(YEAR($H155),MONTH($H155),1),$O155)),MIN($P155,MAX(0,$N155-$U155-SUM($V155:X155))),0))</f>
        <v/>
      </c>
      <c r="Z155" s="457">
        <f>IF($AO155&lt;&gt;"OK",0,IF(AND(DATE('Thiết lập'!$B$4,5,1)&gt;=DATE(YEAR($H155),MONTH($H155),1),DATE('Thiết lập'!$B$4,5,1)&lt;EDATE(DATE(YEAR($H155),MONTH($H155),1),$O155)),MIN($P155,MAX(0,$N155-$U155-SUM($V155:Y155))),0))</f>
        <v/>
      </c>
      <c r="AA155" s="457">
        <f>IF($AO155&lt;&gt;"OK",0,IF(AND(DATE('Thiết lập'!$B$4,6,1)&gt;=DATE(YEAR($H155),MONTH($H155),1),DATE('Thiết lập'!$B$4,6,1)&lt;EDATE(DATE(YEAR($H155),MONTH($H155),1),$O155)),MIN($P155,MAX(0,$N155-$U155-SUM($V155:Z155))),0))</f>
        <v/>
      </c>
      <c r="AB155" s="457">
        <f>IF($AO155&lt;&gt;"OK",0,IF(AND(DATE('Thiết lập'!$B$4,7,1)&gt;=DATE(YEAR($H155),MONTH($H155),1),DATE('Thiết lập'!$B$4,7,1)&lt;EDATE(DATE(YEAR($H155),MONTH($H155),1),$O155)),MIN($P155,MAX(0,$N155-$U155-SUM($V155:AA155))),0))</f>
        <v/>
      </c>
      <c r="AC155" s="457">
        <f>IF($AO155&lt;&gt;"OK",0,IF(AND(DATE('Thiết lập'!$B$4,8,1)&gt;=DATE(YEAR($H155),MONTH($H155),1),DATE('Thiết lập'!$B$4,8,1)&lt;EDATE(DATE(YEAR($H155),MONTH($H155),1),$O155)),MIN($P155,MAX(0,$N155-$U155-SUM($V155:AB155))),0))</f>
        <v/>
      </c>
      <c r="AD155" s="457">
        <f>IF($AO155&lt;&gt;"OK",0,IF(AND(DATE('Thiết lập'!$B$4,9,1)&gt;=DATE(YEAR($H155),MONTH($H155),1),DATE('Thiết lập'!$B$4,9,1)&lt;EDATE(DATE(YEAR($H155),MONTH($H155),1),$O155)),MIN($P155,MAX(0,$N155-$U155-SUM($V155:AC155))),0))</f>
        <v/>
      </c>
      <c r="AE155" s="457">
        <f>IF($AO155&lt;&gt;"OK",0,IF(AND(DATE('Thiết lập'!$B$4,10,1)&gt;=DATE(YEAR($H155),MONTH($H155),1),DATE('Thiết lập'!$B$4,10,1)&lt;EDATE(DATE(YEAR($H155),MONTH($H155),1),$O155)),MIN($P155,MAX(0,$N155-$U155-SUM($V155:AD155))),0))</f>
        <v/>
      </c>
      <c r="AF155" s="457">
        <f>IF($AO155&lt;&gt;"OK",0,IF(AND(DATE('Thiết lập'!$B$4,11,1)&gt;=DATE(YEAR($H155),MONTH($H155),1),DATE('Thiết lập'!$B$4,11,1)&lt;EDATE(DATE(YEAR($H155),MONTH($H155),1),$O155)),MIN($P155,MAX(0,$N155-$U155-SUM($V155:AE155))),0))</f>
        <v/>
      </c>
      <c r="AG155" s="457">
        <f>IF($AO155&lt;&gt;"OK",0,IF(AND(DATE('Thiết lập'!$B$4,12,1)&gt;=DATE(YEAR($H155),MONTH($H155),1),DATE('Thiết lập'!$B$4,12,1)&lt;EDATE(DATE(YEAR($H155),MONTH($H155),1),$O155)),MIN($P155,MAX(0,$N155-$U155-SUM($V155:AF155))),0))</f>
        <v/>
      </c>
      <c r="AH155" s="457">
        <f>IF(B155="","",SUM(V155:AG155))</f>
        <v/>
      </c>
      <c r="AI155" s="457">
        <f>IF(B155="","",MIN(N155,IF(U155="",0,U155)+AH155))</f>
        <v/>
      </c>
      <c r="AJ155" s="457">
        <f>IF(B155="","",MAX(0,L155-AI155))</f>
        <v/>
      </c>
      <c r="AK155" s="337">
        <f>IF(B155="","",IF(H155&gt;'Thiết lập'!$B$5,"Chưa khấu hao",IF(AJ155&lt;=IF(M155="",0,M155),"Đã hết khấu hao","Đang khấu hao")))</f>
        <v/>
      </c>
      <c r="AL155" s="275" t="n"/>
      <c r="AM155" s="275" t="n"/>
      <c r="AN155" s="275" t="n"/>
      <c r="AO155" s="343">
        <f>IF(B155="","",IF(COUNTIF($B$7:$B$306,B155)&gt;1,"Trùng mã TSCĐ",IF(C155="","Thiếu tên TSCĐ",IF(H155="","Thiếu ngày bắt đầu",IF(OR(I155&lt;=0,L155&lt;=0,O155&lt;=0),"Kiểm tra số lượng/nguyên giá/thời gian",IF(AND(G155&lt;&gt;"",H155&lt;G155),"Ngày KH trước ngày ghi tăng",IF(M155&gt;L155,"Giá trị thu hồi vượt nguyên giá",IF(IF(U155="",0,U155)&gt;N155,"Lũy kế đầu năm vượt GTKH","OK"))))))))</f>
        <v/>
      </c>
    </row>
    <row r="156" ht="20" customHeight="1" s="389">
      <c r="A156" s="325">
        <f>IF(B156="","",ROW()-6)</f>
        <v/>
      </c>
      <c r="B156" s="275" t="n"/>
      <c r="C156" s="275" t="n"/>
      <c r="D156" s="331" t="n"/>
      <c r="E156" s="331" t="n"/>
      <c r="F156" s="454" t="n"/>
      <c r="G156" s="454" t="n"/>
      <c r="H156" s="454" t="n"/>
      <c r="I156" s="455" t="n"/>
      <c r="J156" s="456" t="n"/>
      <c r="K156" s="456" t="n"/>
      <c r="L156" s="457">
        <f>IF(B156="","",IF(OR(I156="",J156=""),"",I156*J156+IF(K156="",0,K156)))</f>
        <v/>
      </c>
      <c r="M156" s="456" t="n"/>
      <c r="N156" s="457">
        <f>IF(L156="","",MAX(0,L156-IF(M156="",0,M156)))</f>
        <v/>
      </c>
      <c r="O156" s="455" t="n"/>
      <c r="P156" s="457">
        <f>IF(OR(N156="",O156&lt;=0),"",ROUND(N156/O156,0))</f>
        <v/>
      </c>
      <c r="Q156" s="458">
        <f>IF(OR(H156="",O156&lt;=0),"",EOMONTH(H156,O156-1))</f>
        <v/>
      </c>
      <c r="R156" s="331" t="n"/>
      <c r="S156" s="331" t="n"/>
      <c r="T156" s="331" t="n"/>
      <c r="U156" s="456" t="n"/>
      <c r="V156" s="457">
        <f>IF($AO156&lt;&gt;"OK",0,IF(AND(DATE('Thiết lập'!$B$4,1,1)&gt;=DATE(YEAR($H156),MONTH($H156),1),DATE('Thiết lập'!$B$4,1,1)&lt;EDATE(DATE(YEAR($H156),MONTH($H156),1),$O156)),MIN($P156,MAX(0,$N156-$U156-0)),0))</f>
        <v/>
      </c>
      <c r="W156" s="457">
        <f>IF($AO156&lt;&gt;"OK",0,IF(AND(DATE('Thiết lập'!$B$4,2,1)&gt;=DATE(YEAR($H156),MONTH($H156),1),DATE('Thiết lập'!$B$4,2,1)&lt;EDATE(DATE(YEAR($H156),MONTH($H156),1),$O156)),MIN($P156,MAX(0,$N156-$U156-SUM($V156:V156))),0))</f>
        <v/>
      </c>
      <c r="X156" s="457">
        <f>IF($AO156&lt;&gt;"OK",0,IF(AND(DATE('Thiết lập'!$B$4,3,1)&gt;=DATE(YEAR($H156),MONTH($H156),1),DATE('Thiết lập'!$B$4,3,1)&lt;EDATE(DATE(YEAR($H156),MONTH($H156),1),$O156)),MIN($P156,MAX(0,$N156-$U156-SUM($V156:W156))),0))</f>
        <v/>
      </c>
      <c r="Y156" s="457">
        <f>IF($AO156&lt;&gt;"OK",0,IF(AND(DATE('Thiết lập'!$B$4,4,1)&gt;=DATE(YEAR($H156),MONTH($H156),1),DATE('Thiết lập'!$B$4,4,1)&lt;EDATE(DATE(YEAR($H156),MONTH($H156),1),$O156)),MIN($P156,MAX(0,$N156-$U156-SUM($V156:X156))),0))</f>
        <v/>
      </c>
      <c r="Z156" s="457">
        <f>IF($AO156&lt;&gt;"OK",0,IF(AND(DATE('Thiết lập'!$B$4,5,1)&gt;=DATE(YEAR($H156),MONTH($H156),1),DATE('Thiết lập'!$B$4,5,1)&lt;EDATE(DATE(YEAR($H156),MONTH($H156),1),$O156)),MIN($P156,MAX(0,$N156-$U156-SUM($V156:Y156))),0))</f>
        <v/>
      </c>
      <c r="AA156" s="457">
        <f>IF($AO156&lt;&gt;"OK",0,IF(AND(DATE('Thiết lập'!$B$4,6,1)&gt;=DATE(YEAR($H156),MONTH($H156),1),DATE('Thiết lập'!$B$4,6,1)&lt;EDATE(DATE(YEAR($H156),MONTH($H156),1),$O156)),MIN($P156,MAX(0,$N156-$U156-SUM($V156:Z156))),0))</f>
        <v/>
      </c>
      <c r="AB156" s="457">
        <f>IF($AO156&lt;&gt;"OK",0,IF(AND(DATE('Thiết lập'!$B$4,7,1)&gt;=DATE(YEAR($H156),MONTH($H156),1),DATE('Thiết lập'!$B$4,7,1)&lt;EDATE(DATE(YEAR($H156),MONTH($H156),1),$O156)),MIN($P156,MAX(0,$N156-$U156-SUM($V156:AA156))),0))</f>
        <v/>
      </c>
      <c r="AC156" s="457">
        <f>IF($AO156&lt;&gt;"OK",0,IF(AND(DATE('Thiết lập'!$B$4,8,1)&gt;=DATE(YEAR($H156),MONTH($H156),1),DATE('Thiết lập'!$B$4,8,1)&lt;EDATE(DATE(YEAR($H156),MONTH($H156),1),$O156)),MIN($P156,MAX(0,$N156-$U156-SUM($V156:AB156))),0))</f>
        <v/>
      </c>
      <c r="AD156" s="457">
        <f>IF($AO156&lt;&gt;"OK",0,IF(AND(DATE('Thiết lập'!$B$4,9,1)&gt;=DATE(YEAR($H156),MONTH($H156),1),DATE('Thiết lập'!$B$4,9,1)&lt;EDATE(DATE(YEAR($H156),MONTH($H156),1),$O156)),MIN($P156,MAX(0,$N156-$U156-SUM($V156:AC156))),0))</f>
        <v/>
      </c>
      <c r="AE156" s="457">
        <f>IF($AO156&lt;&gt;"OK",0,IF(AND(DATE('Thiết lập'!$B$4,10,1)&gt;=DATE(YEAR($H156),MONTH($H156),1),DATE('Thiết lập'!$B$4,10,1)&lt;EDATE(DATE(YEAR($H156),MONTH($H156),1),$O156)),MIN($P156,MAX(0,$N156-$U156-SUM($V156:AD156))),0))</f>
        <v/>
      </c>
      <c r="AF156" s="457">
        <f>IF($AO156&lt;&gt;"OK",0,IF(AND(DATE('Thiết lập'!$B$4,11,1)&gt;=DATE(YEAR($H156),MONTH($H156),1),DATE('Thiết lập'!$B$4,11,1)&lt;EDATE(DATE(YEAR($H156),MONTH($H156),1),$O156)),MIN($P156,MAX(0,$N156-$U156-SUM($V156:AE156))),0))</f>
        <v/>
      </c>
      <c r="AG156" s="457">
        <f>IF($AO156&lt;&gt;"OK",0,IF(AND(DATE('Thiết lập'!$B$4,12,1)&gt;=DATE(YEAR($H156),MONTH($H156),1),DATE('Thiết lập'!$B$4,12,1)&lt;EDATE(DATE(YEAR($H156),MONTH($H156),1),$O156)),MIN($P156,MAX(0,$N156-$U156-SUM($V156:AF156))),0))</f>
        <v/>
      </c>
      <c r="AH156" s="457">
        <f>IF(B156="","",SUM(V156:AG156))</f>
        <v/>
      </c>
      <c r="AI156" s="457">
        <f>IF(B156="","",MIN(N156,IF(U156="",0,U156)+AH156))</f>
        <v/>
      </c>
      <c r="AJ156" s="457">
        <f>IF(B156="","",MAX(0,L156-AI156))</f>
        <v/>
      </c>
      <c r="AK156" s="337">
        <f>IF(B156="","",IF(H156&gt;'Thiết lập'!$B$5,"Chưa khấu hao",IF(AJ156&lt;=IF(M156="",0,M156),"Đã hết khấu hao","Đang khấu hao")))</f>
        <v/>
      </c>
      <c r="AL156" s="275" t="n"/>
      <c r="AM156" s="275" t="n"/>
      <c r="AN156" s="275" t="n"/>
      <c r="AO156" s="343">
        <f>IF(B156="","",IF(COUNTIF($B$7:$B$306,B156)&gt;1,"Trùng mã TSCĐ",IF(C156="","Thiếu tên TSCĐ",IF(H156="","Thiếu ngày bắt đầu",IF(OR(I156&lt;=0,L156&lt;=0,O156&lt;=0),"Kiểm tra số lượng/nguyên giá/thời gian",IF(AND(G156&lt;&gt;"",H156&lt;G156),"Ngày KH trước ngày ghi tăng",IF(M156&gt;L156,"Giá trị thu hồi vượt nguyên giá",IF(IF(U156="",0,U156)&gt;N156,"Lũy kế đầu năm vượt GTKH","OK"))))))))</f>
        <v/>
      </c>
    </row>
    <row r="157" ht="20" customHeight="1" s="389">
      <c r="A157" s="325">
        <f>IF(B157="","",ROW()-6)</f>
        <v/>
      </c>
      <c r="B157" s="275" t="n"/>
      <c r="C157" s="275" t="n"/>
      <c r="D157" s="331" t="n"/>
      <c r="E157" s="331" t="n"/>
      <c r="F157" s="454" t="n"/>
      <c r="G157" s="454" t="n"/>
      <c r="H157" s="454" t="n"/>
      <c r="I157" s="455" t="n"/>
      <c r="J157" s="456" t="n"/>
      <c r="K157" s="456" t="n"/>
      <c r="L157" s="457">
        <f>IF(B157="","",IF(OR(I157="",J157=""),"",I157*J157+IF(K157="",0,K157)))</f>
        <v/>
      </c>
      <c r="M157" s="456" t="n"/>
      <c r="N157" s="457">
        <f>IF(L157="","",MAX(0,L157-IF(M157="",0,M157)))</f>
        <v/>
      </c>
      <c r="O157" s="455" t="n"/>
      <c r="P157" s="457">
        <f>IF(OR(N157="",O157&lt;=0),"",ROUND(N157/O157,0))</f>
        <v/>
      </c>
      <c r="Q157" s="458">
        <f>IF(OR(H157="",O157&lt;=0),"",EOMONTH(H157,O157-1))</f>
        <v/>
      </c>
      <c r="R157" s="331" t="n"/>
      <c r="S157" s="331" t="n"/>
      <c r="T157" s="331" t="n"/>
      <c r="U157" s="456" t="n"/>
      <c r="V157" s="457">
        <f>IF($AO157&lt;&gt;"OK",0,IF(AND(DATE('Thiết lập'!$B$4,1,1)&gt;=DATE(YEAR($H157),MONTH($H157),1),DATE('Thiết lập'!$B$4,1,1)&lt;EDATE(DATE(YEAR($H157),MONTH($H157),1),$O157)),MIN($P157,MAX(0,$N157-$U157-0)),0))</f>
        <v/>
      </c>
      <c r="W157" s="457">
        <f>IF($AO157&lt;&gt;"OK",0,IF(AND(DATE('Thiết lập'!$B$4,2,1)&gt;=DATE(YEAR($H157),MONTH($H157),1),DATE('Thiết lập'!$B$4,2,1)&lt;EDATE(DATE(YEAR($H157),MONTH($H157),1),$O157)),MIN($P157,MAX(0,$N157-$U157-SUM($V157:V157))),0))</f>
        <v/>
      </c>
      <c r="X157" s="457">
        <f>IF($AO157&lt;&gt;"OK",0,IF(AND(DATE('Thiết lập'!$B$4,3,1)&gt;=DATE(YEAR($H157),MONTH($H157),1),DATE('Thiết lập'!$B$4,3,1)&lt;EDATE(DATE(YEAR($H157),MONTH($H157),1),$O157)),MIN($P157,MAX(0,$N157-$U157-SUM($V157:W157))),0))</f>
        <v/>
      </c>
      <c r="Y157" s="457">
        <f>IF($AO157&lt;&gt;"OK",0,IF(AND(DATE('Thiết lập'!$B$4,4,1)&gt;=DATE(YEAR($H157),MONTH($H157),1),DATE('Thiết lập'!$B$4,4,1)&lt;EDATE(DATE(YEAR($H157),MONTH($H157),1),$O157)),MIN($P157,MAX(0,$N157-$U157-SUM($V157:X157))),0))</f>
        <v/>
      </c>
      <c r="Z157" s="457">
        <f>IF($AO157&lt;&gt;"OK",0,IF(AND(DATE('Thiết lập'!$B$4,5,1)&gt;=DATE(YEAR($H157),MONTH($H157),1),DATE('Thiết lập'!$B$4,5,1)&lt;EDATE(DATE(YEAR($H157),MONTH($H157),1),$O157)),MIN($P157,MAX(0,$N157-$U157-SUM($V157:Y157))),0))</f>
        <v/>
      </c>
      <c r="AA157" s="457">
        <f>IF($AO157&lt;&gt;"OK",0,IF(AND(DATE('Thiết lập'!$B$4,6,1)&gt;=DATE(YEAR($H157),MONTH($H157),1),DATE('Thiết lập'!$B$4,6,1)&lt;EDATE(DATE(YEAR($H157),MONTH($H157),1),$O157)),MIN($P157,MAX(0,$N157-$U157-SUM($V157:Z157))),0))</f>
        <v/>
      </c>
      <c r="AB157" s="457">
        <f>IF($AO157&lt;&gt;"OK",0,IF(AND(DATE('Thiết lập'!$B$4,7,1)&gt;=DATE(YEAR($H157),MONTH($H157),1),DATE('Thiết lập'!$B$4,7,1)&lt;EDATE(DATE(YEAR($H157),MONTH($H157),1),$O157)),MIN($P157,MAX(0,$N157-$U157-SUM($V157:AA157))),0))</f>
        <v/>
      </c>
      <c r="AC157" s="457">
        <f>IF($AO157&lt;&gt;"OK",0,IF(AND(DATE('Thiết lập'!$B$4,8,1)&gt;=DATE(YEAR($H157),MONTH($H157),1),DATE('Thiết lập'!$B$4,8,1)&lt;EDATE(DATE(YEAR($H157),MONTH($H157),1),$O157)),MIN($P157,MAX(0,$N157-$U157-SUM($V157:AB157))),0))</f>
        <v/>
      </c>
      <c r="AD157" s="457">
        <f>IF($AO157&lt;&gt;"OK",0,IF(AND(DATE('Thiết lập'!$B$4,9,1)&gt;=DATE(YEAR($H157),MONTH($H157),1),DATE('Thiết lập'!$B$4,9,1)&lt;EDATE(DATE(YEAR($H157),MONTH($H157),1),$O157)),MIN($P157,MAX(0,$N157-$U157-SUM($V157:AC157))),0))</f>
        <v/>
      </c>
      <c r="AE157" s="457">
        <f>IF($AO157&lt;&gt;"OK",0,IF(AND(DATE('Thiết lập'!$B$4,10,1)&gt;=DATE(YEAR($H157),MONTH($H157),1),DATE('Thiết lập'!$B$4,10,1)&lt;EDATE(DATE(YEAR($H157),MONTH($H157),1),$O157)),MIN($P157,MAX(0,$N157-$U157-SUM($V157:AD157))),0))</f>
        <v/>
      </c>
      <c r="AF157" s="457">
        <f>IF($AO157&lt;&gt;"OK",0,IF(AND(DATE('Thiết lập'!$B$4,11,1)&gt;=DATE(YEAR($H157),MONTH($H157),1),DATE('Thiết lập'!$B$4,11,1)&lt;EDATE(DATE(YEAR($H157),MONTH($H157),1),$O157)),MIN($P157,MAX(0,$N157-$U157-SUM($V157:AE157))),0))</f>
        <v/>
      </c>
      <c r="AG157" s="457">
        <f>IF($AO157&lt;&gt;"OK",0,IF(AND(DATE('Thiết lập'!$B$4,12,1)&gt;=DATE(YEAR($H157),MONTH($H157),1),DATE('Thiết lập'!$B$4,12,1)&lt;EDATE(DATE(YEAR($H157),MONTH($H157),1),$O157)),MIN($P157,MAX(0,$N157-$U157-SUM($V157:AF157))),0))</f>
        <v/>
      </c>
      <c r="AH157" s="457">
        <f>IF(B157="","",SUM(V157:AG157))</f>
        <v/>
      </c>
      <c r="AI157" s="457">
        <f>IF(B157="","",MIN(N157,IF(U157="",0,U157)+AH157))</f>
        <v/>
      </c>
      <c r="AJ157" s="457">
        <f>IF(B157="","",MAX(0,L157-AI157))</f>
        <v/>
      </c>
      <c r="AK157" s="337">
        <f>IF(B157="","",IF(H157&gt;'Thiết lập'!$B$5,"Chưa khấu hao",IF(AJ157&lt;=IF(M157="",0,M157),"Đã hết khấu hao","Đang khấu hao")))</f>
        <v/>
      </c>
      <c r="AL157" s="275" t="n"/>
      <c r="AM157" s="275" t="n"/>
      <c r="AN157" s="275" t="n"/>
      <c r="AO157" s="343">
        <f>IF(B157="","",IF(COUNTIF($B$7:$B$306,B157)&gt;1,"Trùng mã TSCĐ",IF(C157="","Thiếu tên TSCĐ",IF(H157="","Thiếu ngày bắt đầu",IF(OR(I157&lt;=0,L157&lt;=0,O157&lt;=0),"Kiểm tra số lượng/nguyên giá/thời gian",IF(AND(G157&lt;&gt;"",H157&lt;G157),"Ngày KH trước ngày ghi tăng",IF(M157&gt;L157,"Giá trị thu hồi vượt nguyên giá",IF(IF(U157="",0,U157)&gt;N157,"Lũy kế đầu năm vượt GTKH","OK"))))))))</f>
        <v/>
      </c>
    </row>
    <row r="158" ht="20" customHeight="1" s="389">
      <c r="A158" s="325">
        <f>IF(B158="","",ROW()-6)</f>
        <v/>
      </c>
      <c r="B158" s="275" t="n"/>
      <c r="C158" s="275" t="n"/>
      <c r="D158" s="331" t="n"/>
      <c r="E158" s="331" t="n"/>
      <c r="F158" s="454" t="n"/>
      <c r="G158" s="454" t="n"/>
      <c r="H158" s="454" t="n"/>
      <c r="I158" s="455" t="n"/>
      <c r="J158" s="456" t="n"/>
      <c r="K158" s="456" t="n"/>
      <c r="L158" s="457">
        <f>IF(B158="","",IF(OR(I158="",J158=""),"",I158*J158+IF(K158="",0,K158)))</f>
        <v/>
      </c>
      <c r="M158" s="456" t="n"/>
      <c r="N158" s="457">
        <f>IF(L158="","",MAX(0,L158-IF(M158="",0,M158)))</f>
        <v/>
      </c>
      <c r="O158" s="455" t="n"/>
      <c r="P158" s="457">
        <f>IF(OR(N158="",O158&lt;=0),"",ROUND(N158/O158,0))</f>
        <v/>
      </c>
      <c r="Q158" s="458">
        <f>IF(OR(H158="",O158&lt;=0),"",EOMONTH(H158,O158-1))</f>
        <v/>
      </c>
      <c r="R158" s="331" t="n"/>
      <c r="S158" s="331" t="n"/>
      <c r="T158" s="331" t="n"/>
      <c r="U158" s="456" t="n"/>
      <c r="V158" s="457">
        <f>IF($AO158&lt;&gt;"OK",0,IF(AND(DATE('Thiết lập'!$B$4,1,1)&gt;=DATE(YEAR($H158),MONTH($H158),1),DATE('Thiết lập'!$B$4,1,1)&lt;EDATE(DATE(YEAR($H158),MONTH($H158),1),$O158)),MIN($P158,MAX(0,$N158-$U158-0)),0))</f>
        <v/>
      </c>
      <c r="W158" s="457">
        <f>IF($AO158&lt;&gt;"OK",0,IF(AND(DATE('Thiết lập'!$B$4,2,1)&gt;=DATE(YEAR($H158),MONTH($H158),1),DATE('Thiết lập'!$B$4,2,1)&lt;EDATE(DATE(YEAR($H158),MONTH($H158),1),$O158)),MIN($P158,MAX(0,$N158-$U158-SUM($V158:V158))),0))</f>
        <v/>
      </c>
      <c r="X158" s="457">
        <f>IF($AO158&lt;&gt;"OK",0,IF(AND(DATE('Thiết lập'!$B$4,3,1)&gt;=DATE(YEAR($H158),MONTH($H158),1),DATE('Thiết lập'!$B$4,3,1)&lt;EDATE(DATE(YEAR($H158),MONTH($H158),1),$O158)),MIN($P158,MAX(0,$N158-$U158-SUM($V158:W158))),0))</f>
        <v/>
      </c>
      <c r="Y158" s="457">
        <f>IF($AO158&lt;&gt;"OK",0,IF(AND(DATE('Thiết lập'!$B$4,4,1)&gt;=DATE(YEAR($H158),MONTH($H158),1),DATE('Thiết lập'!$B$4,4,1)&lt;EDATE(DATE(YEAR($H158),MONTH($H158),1),$O158)),MIN($P158,MAX(0,$N158-$U158-SUM($V158:X158))),0))</f>
        <v/>
      </c>
      <c r="Z158" s="457">
        <f>IF($AO158&lt;&gt;"OK",0,IF(AND(DATE('Thiết lập'!$B$4,5,1)&gt;=DATE(YEAR($H158),MONTH($H158),1),DATE('Thiết lập'!$B$4,5,1)&lt;EDATE(DATE(YEAR($H158),MONTH($H158),1),$O158)),MIN($P158,MAX(0,$N158-$U158-SUM($V158:Y158))),0))</f>
        <v/>
      </c>
      <c r="AA158" s="457">
        <f>IF($AO158&lt;&gt;"OK",0,IF(AND(DATE('Thiết lập'!$B$4,6,1)&gt;=DATE(YEAR($H158),MONTH($H158),1),DATE('Thiết lập'!$B$4,6,1)&lt;EDATE(DATE(YEAR($H158),MONTH($H158),1),$O158)),MIN($P158,MAX(0,$N158-$U158-SUM($V158:Z158))),0))</f>
        <v/>
      </c>
      <c r="AB158" s="457">
        <f>IF($AO158&lt;&gt;"OK",0,IF(AND(DATE('Thiết lập'!$B$4,7,1)&gt;=DATE(YEAR($H158),MONTH($H158),1),DATE('Thiết lập'!$B$4,7,1)&lt;EDATE(DATE(YEAR($H158),MONTH($H158),1),$O158)),MIN($P158,MAX(0,$N158-$U158-SUM($V158:AA158))),0))</f>
        <v/>
      </c>
      <c r="AC158" s="457">
        <f>IF($AO158&lt;&gt;"OK",0,IF(AND(DATE('Thiết lập'!$B$4,8,1)&gt;=DATE(YEAR($H158),MONTH($H158),1),DATE('Thiết lập'!$B$4,8,1)&lt;EDATE(DATE(YEAR($H158),MONTH($H158),1),$O158)),MIN($P158,MAX(0,$N158-$U158-SUM($V158:AB158))),0))</f>
        <v/>
      </c>
      <c r="AD158" s="457">
        <f>IF($AO158&lt;&gt;"OK",0,IF(AND(DATE('Thiết lập'!$B$4,9,1)&gt;=DATE(YEAR($H158),MONTH($H158),1),DATE('Thiết lập'!$B$4,9,1)&lt;EDATE(DATE(YEAR($H158),MONTH($H158),1),$O158)),MIN($P158,MAX(0,$N158-$U158-SUM($V158:AC158))),0))</f>
        <v/>
      </c>
      <c r="AE158" s="457">
        <f>IF($AO158&lt;&gt;"OK",0,IF(AND(DATE('Thiết lập'!$B$4,10,1)&gt;=DATE(YEAR($H158),MONTH($H158),1),DATE('Thiết lập'!$B$4,10,1)&lt;EDATE(DATE(YEAR($H158),MONTH($H158),1),$O158)),MIN($P158,MAX(0,$N158-$U158-SUM($V158:AD158))),0))</f>
        <v/>
      </c>
      <c r="AF158" s="457">
        <f>IF($AO158&lt;&gt;"OK",0,IF(AND(DATE('Thiết lập'!$B$4,11,1)&gt;=DATE(YEAR($H158),MONTH($H158),1),DATE('Thiết lập'!$B$4,11,1)&lt;EDATE(DATE(YEAR($H158),MONTH($H158),1),$O158)),MIN($P158,MAX(0,$N158-$U158-SUM($V158:AE158))),0))</f>
        <v/>
      </c>
      <c r="AG158" s="457">
        <f>IF($AO158&lt;&gt;"OK",0,IF(AND(DATE('Thiết lập'!$B$4,12,1)&gt;=DATE(YEAR($H158),MONTH($H158),1),DATE('Thiết lập'!$B$4,12,1)&lt;EDATE(DATE(YEAR($H158),MONTH($H158),1),$O158)),MIN($P158,MAX(0,$N158-$U158-SUM($V158:AF158))),0))</f>
        <v/>
      </c>
      <c r="AH158" s="457">
        <f>IF(B158="","",SUM(V158:AG158))</f>
        <v/>
      </c>
      <c r="AI158" s="457">
        <f>IF(B158="","",MIN(N158,IF(U158="",0,U158)+AH158))</f>
        <v/>
      </c>
      <c r="AJ158" s="457">
        <f>IF(B158="","",MAX(0,L158-AI158))</f>
        <v/>
      </c>
      <c r="AK158" s="337">
        <f>IF(B158="","",IF(H158&gt;'Thiết lập'!$B$5,"Chưa khấu hao",IF(AJ158&lt;=IF(M158="",0,M158),"Đã hết khấu hao","Đang khấu hao")))</f>
        <v/>
      </c>
      <c r="AL158" s="275" t="n"/>
      <c r="AM158" s="275" t="n"/>
      <c r="AN158" s="275" t="n"/>
      <c r="AO158" s="343">
        <f>IF(B158="","",IF(COUNTIF($B$7:$B$306,B158)&gt;1,"Trùng mã TSCĐ",IF(C158="","Thiếu tên TSCĐ",IF(H158="","Thiếu ngày bắt đầu",IF(OR(I158&lt;=0,L158&lt;=0,O158&lt;=0),"Kiểm tra số lượng/nguyên giá/thời gian",IF(AND(G158&lt;&gt;"",H158&lt;G158),"Ngày KH trước ngày ghi tăng",IF(M158&gt;L158,"Giá trị thu hồi vượt nguyên giá",IF(IF(U158="",0,U158)&gt;N158,"Lũy kế đầu năm vượt GTKH","OK"))))))))</f>
        <v/>
      </c>
    </row>
    <row r="159" ht="20" customHeight="1" s="389">
      <c r="A159" s="325">
        <f>IF(B159="","",ROW()-6)</f>
        <v/>
      </c>
      <c r="B159" s="275" t="n"/>
      <c r="C159" s="275" t="n"/>
      <c r="D159" s="331" t="n"/>
      <c r="E159" s="331" t="n"/>
      <c r="F159" s="454" t="n"/>
      <c r="G159" s="454" t="n"/>
      <c r="H159" s="454" t="n"/>
      <c r="I159" s="455" t="n"/>
      <c r="J159" s="456" t="n"/>
      <c r="K159" s="456" t="n"/>
      <c r="L159" s="457">
        <f>IF(B159="","",IF(OR(I159="",J159=""),"",I159*J159+IF(K159="",0,K159)))</f>
        <v/>
      </c>
      <c r="M159" s="456" t="n"/>
      <c r="N159" s="457">
        <f>IF(L159="","",MAX(0,L159-IF(M159="",0,M159)))</f>
        <v/>
      </c>
      <c r="O159" s="455" t="n"/>
      <c r="P159" s="457">
        <f>IF(OR(N159="",O159&lt;=0),"",ROUND(N159/O159,0))</f>
        <v/>
      </c>
      <c r="Q159" s="458">
        <f>IF(OR(H159="",O159&lt;=0),"",EOMONTH(H159,O159-1))</f>
        <v/>
      </c>
      <c r="R159" s="331" t="n"/>
      <c r="S159" s="331" t="n"/>
      <c r="T159" s="331" t="n"/>
      <c r="U159" s="456" t="n"/>
      <c r="V159" s="457">
        <f>IF($AO159&lt;&gt;"OK",0,IF(AND(DATE('Thiết lập'!$B$4,1,1)&gt;=DATE(YEAR($H159),MONTH($H159),1),DATE('Thiết lập'!$B$4,1,1)&lt;EDATE(DATE(YEAR($H159),MONTH($H159),1),$O159)),MIN($P159,MAX(0,$N159-$U159-0)),0))</f>
        <v/>
      </c>
      <c r="W159" s="457">
        <f>IF($AO159&lt;&gt;"OK",0,IF(AND(DATE('Thiết lập'!$B$4,2,1)&gt;=DATE(YEAR($H159),MONTH($H159),1),DATE('Thiết lập'!$B$4,2,1)&lt;EDATE(DATE(YEAR($H159),MONTH($H159),1),$O159)),MIN($P159,MAX(0,$N159-$U159-SUM($V159:V159))),0))</f>
        <v/>
      </c>
      <c r="X159" s="457">
        <f>IF($AO159&lt;&gt;"OK",0,IF(AND(DATE('Thiết lập'!$B$4,3,1)&gt;=DATE(YEAR($H159),MONTH($H159),1),DATE('Thiết lập'!$B$4,3,1)&lt;EDATE(DATE(YEAR($H159),MONTH($H159),1),$O159)),MIN($P159,MAX(0,$N159-$U159-SUM($V159:W159))),0))</f>
        <v/>
      </c>
      <c r="Y159" s="457">
        <f>IF($AO159&lt;&gt;"OK",0,IF(AND(DATE('Thiết lập'!$B$4,4,1)&gt;=DATE(YEAR($H159),MONTH($H159),1),DATE('Thiết lập'!$B$4,4,1)&lt;EDATE(DATE(YEAR($H159),MONTH($H159),1),$O159)),MIN($P159,MAX(0,$N159-$U159-SUM($V159:X159))),0))</f>
        <v/>
      </c>
      <c r="Z159" s="457">
        <f>IF($AO159&lt;&gt;"OK",0,IF(AND(DATE('Thiết lập'!$B$4,5,1)&gt;=DATE(YEAR($H159),MONTH($H159),1),DATE('Thiết lập'!$B$4,5,1)&lt;EDATE(DATE(YEAR($H159),MONTH($H159),1),$O159)),MIN($P159,MAX(0,$N159-$U159-SUM($V159:Y159))),0))</f>
        <v/>
      </c>
      <c r="AA159" s="457">
        <f>IF($AO159&lt;&gt;"OK",0,IF(AND(DATE('Thiết lập'!$B$4,6,1)&gt;=DATE(YEAR($H159),MONTH($H159),1),DATE('Thiết lập'!$B$4,6,1)&lt;EDATE(DATE(YEAR($H159),MONTH($H159),1),$O159)),MIN($P159,MAX(0,$N159-$U159-SUM($V159:Z159))),0))</f>
        <v/>
      </c>
      <c r="AB159" s="457">
        <f>IF($AO159&lt;&gt;"OK",0,IF(AND(DATE('Thiết lập'!$B$4,7,1)&gt;=DATE(YEAR($H159),MONTH($H159),1),DATE('Thiết lập'!$B$4,7,1)&lt;EDATE(DATE(YEAR($H159),MONTH($H159),1),$O159)),MIN($P159,MAX(0,$N159-$U159-SUM($V159:AA159))),0))</f>
        <v/>
      </c>
      <c r="AC159" s="457">
        <f>IF($AO159&lt;&gt;"OK",0,IF(AND(DATE('Thiết lập'!$B$4,8,1)&gt;=DATE(YEAR($H159),MONTH($H159),1),DATE('Thiết lập'!$B$4,8,1)&lt;EDATE(DATE(YEAR($H159),MONTH($H159),1),$O159)),MIN($P159,MAX(0,$N159-$U159-SUM($V159:AB159))),0))</f>
        <v/>
      </c>
      <c r="AD159" s="457">
        <f>IF($AO159&lt;&gt;"OK",0,IF(AND(DATE('Thiết lập'!$B$4,9,1)&gt;=DATE(YEAR($H159),MONTH($H159),1),DATE('Thiết lập'!$B$4,9,1)&lt;EDATE(DATE(YEAR($H159),MONTH($H159),1),$O159)),MIN($P159,MAX(0,$N159-$U159-SUM($V159:AC159))),0))</f>
        <v/>
      </c>
      <c r="AE159" s="457">
        <f>IF($AO159&lt;&gt;"OK",0,IF(AND(DATE('Thiết lập'!$B$4,10,1)&gt;=DATE(YEAR($H159),MONTH($H159),1),DATE('Thiết lập'!$B$4,10,1)&lt;EDATE(DATE(YEAR($H159),MONTH($H159),1),$O159)),MIN($P159,MAX(0,$N159-$U159-SUM($V159:AD159))),0))</f>
        <v/>
      </c>
      <c r="AF159" s="457">
        <f>IF($AO159&lt;&gt;"OK",0,IF(AND(DATE('Thiết lập'!$B$4,11,1)&gt;=DATE(YEAR($H159),MONTH($H159),1),DATE('Thiết lập'!$B$4,11,1)&lt;EDATE(DATE(YEAR($H159),MONTH($H159),1),$O159)),MIN($P159,MAX(0,$N159-$U159-SUM($V159:AE159))),0))</f>
        <v/>
      </c>
      <c r="AG159" s="457">
        <f>IF($AO159&lt;&gt;"OK",0,IF(AND(DATE('Thiết lập'!$B$4,12,1)&gt;=DATE(YEAR($H159),MONTH($H159),1),DATE('Thiết lập'!$B$4,12,1)&lt;EDATE(DATE(YEAR($H159),MONTH($H159),1),$O159)),MIN($P159,MAX(0,$N159-$U159-SUM($V159:AF159))),0))</f>
        <v/>
      </c>
      <c r="AH159" s="457">
        <f>IF(B159="","",SUM(V159:AG159))</f>
        <v/>
      </c>
      <c r="AI159" s="457">
        <f>IF(B159="","",MIN(N159,IF(U159="",0,U159)+AH159))</f>
        <v/>
      </c>
      <c r="AJ159" s="457">
        <f>IF(B159="","",MAX(0,L159-AI159))</f>
        <v/>
      </c>
      <c r="AK159" s="337">
        <f>IF(B159="","",IF(H159&gt;'Thiết lập'!$B$5,"Chưa khấu hao",IF(AJ159&lt;=IF(M159="",0,M159),"Đã hết khấu hao","Đang khấu hao")))</f>
        <v/>
      </c>
      <c r="AL159" s="275" t="n"/>
      <c r="AM159" s="275" t="n"/>
      <c r="AN159" s="275" t="n"/>
      <c r="AO159" s="343">
        <f>IF(B159="","",IF(COUNTIF($B$7:$B$306,B159)&gt;1,"Trùng mã TSCĐ",IF(C159="","Thiếu tên TSCĐ",IF(H159="","Thiếu ngày bắt đầu",IF(OR(I159&lt;=0,L159&lt;=0,O159&lt;=0),"Kiểm tra số lượng/nguyên giá/thời gian",IF(AND(G159&lt;&gt;"",H159&lt;G159),"Ngày KH trước ngày ghi tăng",IF(M159&gt;L159,"Giá trị thu hồi vượt nguyên giá",IF(IF(U159="",0,U159)&gt;N159,"Lũy kế đầu năm vượt GTKH","OK"))))))))</f>
        <v/>
      </c>
    </row>
    <row r="160" ht="20" customHeight="1" s="389">
      <c r="A160" s="325">
        <f>IF(B160="","",ROW()-6)</f>
        <v/>
      </c>
      <c r="B160" s="275" t="n"/>
      <c r="C160" s="275" t="n"/>
      <c r="D160" s="331" t="n"/>
      <c r="E160" s="331" t="n"/>
      <c r="F160" s="454" t="n"/>
      <c r="G160" s="454" t="n"/>
      <c r="H160" s="454" t="n"/>
      <c r="I160" s="455" t="n"/>
      <c r="J160" s="456" t="n"/>
      <c r="K160" s="456" t="n"/>
      <c r="L160" s="457">
        <f>IF(B160="","",IF(OR(I160="",J160=""),"",I160*J160+IF(K160="",0,K160)))</f>
        <v/>
      </c>
      <c r="M160" s="456" t="n"/>
      <c r="N160" s="457">
        <f>IF(L160="","",MAX(0,L160-IF(M160="",0,M160)))</f>
        <v/>
      </c>
      <c r="O160" s="455" t="n"/>
      <c r="P160" s="457">
        <f>IF(OR(N160="",O160&lt;=0),"",ROUND(N160/O160,0))</f>
        <v/>
      </c>
      <c r="Q160" s="458">
        <f>IF(OR(H160="",O160&lt;=0),"",EOMONTH(H160,O160-1))</f>
        <v/>
      </c>
      <c r="R160" s="331" t="n"/>
      <c r="S160" s="331" t="n"/>
      <c r="T160" s="331" t="n"/>
      <c r="U160" s="456" t="n"/>
      <c r="V160" s="457">
        <f>IF($AO160&lt;&gt;"OK",0,IF(AND(DATE('Thiết lập'!$B$4,1,1)&gt;=DATE(YEAR($H160),MONTH($H160),1),DATE('Thiết lập'!$B$4,1,1)&lt;EDATE(DATE(YEAR($H160),MONTH($H160),1),$O160)),MIN($P160,MAX(0,$N160-$U160-0)),0))</f>
        <v/>
      </c>
      <c r="W160" s="457">
        <f>IF($AO160&lt;&gt;"OK",0,IF(AND(DATE('Thiết lập'!$B$4,2,1)&gt;=DATE(YEAR($H160),MONTH($H160),1),DATE('Thiết lập'!$B$4,2,1)&lt;EDATE(DATE(YEAR($H160),MONTH($H160),1),$O160)),MIN($P160,MAX(0,$N160-$U160-SUM($V160:V160))),0))</f>
        <v/>
      </c>
      <c r="X160" s="457">
        <f>IF($AO160&lt;&gt;"OK",0,IF(AND(DATE('Thiết lập'!$B$4,3,1)&gt;=DATE(YEAR($H160),MONTH($H160),1),DATE('Thiết lập'!$B$4,3,1)&lt;EDATE(DATE(YEAR($H160),MONTH($H160),1),$O160)),MIN($P160,MAX(0,$N160-$U160-SUM($V160:W160))),0))</f>
        <v/>
      </c>
      <c r="Y160" s="457">
        <f>IF($AO160&lt;&gt;"OK",0,IF(AND(DATE('Thiết lập'!$B$4,4,1)&gt;=DATE(YEAR($H160),MONTH($H160),1),DATE('Thiết lập'!$B$4,4,1)&lt;EDATE(DATE(YEAR($H160),MONTH($H160),1),$O160)),MIN($P160,MAX(0,$N160-$U160-SUM($V160:X160))),0))</f>
        <v/>
      </c>
      <c r="Z160" s="457">
        <f>IF($AO160&lt;&gt;"OK",0,IF(AND(DATE('Thiết lập'!$B$4,5,1)&gt;=DATE(YEAR($H160),MONTH($H160),1),DATE('Thiết lập'!$B$4,5,1)&lt;EDATE(DATE(YEAR($H160),MONTH($H160),1),$O160)),MIN($P160,MAX(0,$N160-$U160-SUM($V160:Y160))),0))</f>
        <v/>
      </c>
      <c r="AA160" s="457">
        <f>IF($AO160&lt;&gt;"OK",0,IF(AND(DATE('Thiết lập'!$B$4,6,1)&gt;=DATE(YEAR($H160),MONTH($H160),1),DATE('Thiết lập'!$B$4,6,1)&lt;EDATE(DATE(YEAR($H160),MONTH($H160),1),$O160)),MIN($P160,MAX(0,$N160-$U160-SUM($V160:Z160))),0))</f>
        <v/>
      </c>
      <c r="AB160" s="457">
        <f>IF($AO160&lt;&gt;"OK",0,IF(AND(DATE('Thiết lập'!$B$4,7,1)&gt;=DATE(YEAR($H160),MONTH($H160),1),DATE('Thiết lập'!$B$4,7,1)&lt;EDATE(DATE(YEAR($H160),MONTH($H160),1),$O160)),MIN($P160,MAX(0,$N160-$U160-SUM($V160:AA160))),0))</f>
        <v/>
      </c>
      <c r="AC160" s="457">
        <f>IF($AO160&lt;&gt;"OK",0,IF(AND(DATE('Thiết lập'!$B$4,8,1)&gt;=DATE(YEAR($H160),MONTH($H160),1),DATE('Thiết lập'!$B$4,8,1)&lt;EDATE(DATE(YEAR($H160),MONTH($H160),1),$O160)),MIN($P160,MAX(0,$N160-$U160-SUM($V160:AB160))),0))</f>
        <v/>
      </c>
      <c r="AD160" s="457">
        <f>IF($AO160&lt;&gt;"OK",0,IF(AND(DATE('Thiết lập'!$B$4,9,1)&gt;=DATE(YEAR($H160),MONTH($H160),1),DATE('Thiết lập'!$B$4,9,1)&lt;EDATE(DATE(YEAR($H160),MONTH($H160),1),$O160)),MIN($P160,MAX(0,$N160-$U160-SUM($V160:AC160))),0))</f>
        <v/>
      </c>
      <c r="AE160" s="457">
        <f>IF($AO160&lt;&gt;"OK",0,IF(AND(DATE('Thiết lập'!$B$4,10,1)&gt;=DATE(YEAR($H160),MONTH($H160),1),DATE('Thiết lập'!$B$4,10,1)&lt;EDATE(DATE(YEAR($H160),MONTH($H160),1),$O160)),MIN($P160,MAX(0,$N160-$U160-SUM($V160:AD160))),0))</f>
        <v/>
      </c>
      <c r="AF160" s="457">
        <f>IF($AO160&lt;&gt;"OK",0,IF(AND(DATE('Thiết lập'!$B$4,11,1)&gt;=DATE(YEAR($H160),MONTH($H160),1),DATE('Thiết lập'!$B$4,11,1)&lt;EDATE(DATE(YEAR($H160),MONTH($H160),1),$O160)),MIN($P160,MAX(0,$N160-$U160-SUM($V160:AE160))),0))</f>
        <v/>
      </c>
      <c r="AG160" s="457">
        <f>IF($AO160&lt;&gt;"OK",0,IF(AND(DATE('Thiết lập'!$B$4,12,1)&gt;=DATE(YEAR($H160),MONTH($H160),1),DATE('Thiết lập'!$B$4,12,1)&lt;EDATE(DATE(YEAR($H160),MONTH($H160),1),$O160)),MIN($P160,MAX(0,$N160-$U160-SUM($V160:AF160))),0))</f>
        <v/>
      </c>
      <c r="AH160" s="457">
        <f>IF(B160="","",SUM(V160:AG160))</f>
        <v/>
      </c>
      <c r="AI160" s="457">
        <f>IF(B160="","",MIN(N160,IF(U160="",0,U160)+AH160))</f>
        <v/>
      </c>
      <c r="AJ160" s="457">
        <f>IF(B160="","",MAX(0,L160-AI160))</f>
        <v/>
      </c>
      <c r="AK160" s="337">
        <f>IF(B160="","",IF(H160&gt;'Thiết lập'!$B$5,"Chưa khấu hao",IF(AJ160&lt;=IF(M160="",0,M160),"Đã hết khấu hao","Đang khấu hao")))</f>
        <v/>
      </c>
      <c r="AL160" s="275" t="n"/>
      <c r="AM160" s="275" t="n"/>
      <c r="AN160" s="275" t="n"/>
      <c r="AO160" s="343">
        <f>IF(B160="","",IF(COUNTIF($B$7:$B$306,B160)&gt;1,"Trùng mã TSCĐ",IF(C160="","Thiếu tên TSCĐ",IF(H160="","Thiếu ngày bắt đầu",IF(OR(I160&lt;=0,L160&lt;=0,O160&lt;=0),"Kiểm tra số lượng/nguyên giá/thời gian",IF(AND(G160&lt;&gt;"",H160&lt;G160),"Ngày KH trước ngày ghi tăng",IF(M160&gt;L160,"Giá trị thu hồi vượt nguyên giá",IF(IF(U160="",0,U160)&gt;N160,"Lũy kế đầu năm vượt GTKH","OK"))))))))</f>
        <v/>
      </c>
    </row>
    <row r="161" ht="20" customHeight="1" s="389">
      <c r="A161" s="325">
        <f>IF(B161="","",ROW()-6)</f>
        <v/>
      </c>
      <c r="B161" s="275" t="n"/>
      <c r="C161" s="275" t="n"/>
      <c r="D161" s="331" t="n"/>
      <c r="E161" s="331" t="n"/>
      <c r="F161" s="454" t="n"/>
      <c r="G161" s="454" t="n"/>
      <c r="H161" s="454" t="n"/>
      <c r="I161" s="455" t="n"/>
      <c r="J161" s="456" t="n"/>
      <c r="K161" s="456" t="n"/>
      <c r="L161" s="457">
        <f>IF(B161="","",IF(OR(I161="",J161=""),"",I161*J161+IF(K161="",0,K161)))</f>
        <v/>
      </c>
      <c r="M161" s="456" t="n"/>
      <c r="N161" s="457">
        <f>IF(L161="","",MAX(0,L161-IF(M161="",0,M161)))</f>
        <v/>
      </c>
      <c r="O161" s="455" t="n"/>
      <c r="P161" s="457">
        <f>IF(OR(N161="",O161&lt;=0),"",ROUND(N161/O161,0))</f>
        <v/>
      </c>
      <c r="Q161" s="458">
        <f>IF(OR(H161="",O161&lt;=0),"",EOMONTH(H161,O161-1))</f>
        <v/>
      </c>
      <c r="R161" s="331" t="n"/>
      <c r="S161" s="331" t="n"/>
      <c r="T161" s="331" t="n"/>
      <c r="U161" s="456" t="n"/>
      <c r="V161" s="457">
        <f>IF($AO161&lt;&gt;"OK",0,IF(AND(DATE('Thiết lập'!$B$4,1,1)&gt;=DATE(YEAR($H161),MONTH($H161),1),DATE('Thiết lập'!$B$4,1,1)&lt;EDATE(DATE(YEAR($H161),MONTH($H161),1),$O161)),MIN($P161,MAX(0,$N161-$U161-0)),0))</f>
        <v/>
      </c>
      <c r="W161" s="457">
        <f>IF($AO161&lt;&gt;"OK",0,IF(AND(DATE('Thiết lập'!$B$4,2,1)&gt;=DATE(YEAR($H161),MONTH($H161),1),DATE('Thiết lập'!$B$4,2,1)&lt;EDATE(DATE(YEAR($H161),MONTH($H161),1),$O161)),MIN($P161,MAX(0,$N161-$U161-SUM($V161:V161))),0))</f>
        <v/>
      </c>
      <c r="X161" s="457">
        <f>IF($AO161&lt;&gt;"OK",0,IF(AND(DATE('Thiết lập'!$B$4,3,1)&gt;=DATE(YEAR($H161),MONTH($H161),1),DATE('Thiết lập'!$B$4,3,1)&lt;EDATE(DATE(YEAR($H161),MONTH($H161),1),$O161)),MIN($P161,MAX(0,$N161-$U161-SUM($V161:W161))),0))</f>
        <v/>
      </c>
      <c r="Y161" s="457">
        <f>IF($AO161&lt;&gt;"OK",0,IF(AND(DATE('Thiết lập'!$B$4,4,1)&gt;=DATE(YEAR($H161),MONTH($H161),1),DATE('Thiết lập'!$B$4,4,1)&lt;EDATE(DATE(YEAR($H161),MONTH($H161),1),$O161)),MIN($P161,MAX(0,$N161-$U161-SUM($V161:X161))),0))</f>
        <v/>
      </c>
      <c r="Z161" s="457">
        <f>IF($AO161&lt;&gt;"OK",0,IF(AND(DATE('Thiết lập'!$B$4,5,1)&gt;=DATE(YEAR($H161),MONTH($H161),1),DATE('Thiết lập'!$B$4,5,1)&lt;EDATE(DATE(YEAR($H161),MONTH($H161),1),$O161)),MIN($P161,MAX(0,$N161-$U161-SUM($V161:Y161))),0))</f>
        <v/>
      </c>
      <c r="AA161" s="457">
        <f>IF($AO161&lt;&gt;"OK",0,IF(AND(DATE('Thiết lập'!$B$4,6,1)&gt;=DATE(YEAR($H161),MONTH($H161),1),DATE('Thiết lập'!$B$4,6,1)&lt;EDATE(DATE(YEAR($H161),MONTH($H161),1),$O161)),MIN($P161,MAX(0,$N161-$U161-SUM($V161:Z161))),0))</f>
        <v/>
      </c>
      <c r="AB161" s="457">
        <f>IF($AO161&lt;&gt;"OK",0,IF(AND(DATE('Thiết lập'!$B$4,7,1)&gt;=DATE(YEAR($H161),MONTH($H161),1),DATE('Thiết lập'!$B$4,7,1)&lt;EDATE(DATE(YEAR($H161),MONTH($H161),1),$O161)),MIN($P161,MAX(0,$N161-$U161-SUM($V161:AA161))),0))</f>
        <v/>
      </c>
      <c r="AC161" s="457">
        <f>IF($AO161&lt;&gt;"OK",0,IF(AND(DATE('Thiết lập'!$B$4,8,1)&gt;=DATE(YEAR($H161),MONTH($H161),1),DATE('Thiết lập'!$B$4,8,1)&lt;EDATE(DATE(YEAR($H161),MONTH($H161),1),$O161)),MIN($P161,MAX(0,$N161-$U161-SUM($V161:AB161))),0))</f>
        <v/>
      </c>
      <c r="AD161" s="457">
        <f>IF($AO161&lt;&gt;"OK",0,IF(AND(DATE('Thiết lập'!$B$4,9,1)&gt;=DATE(YEAR($H161),MONTH($H161),1),DATE('Thiết lập'!$B$4,9,1)&lt;EDATE(DATE(YEAR($H161),MONTH($H161),1),$O161)),MIN($P161,MAX(0,$N161-$U161-SUM($V161:AC161))),0))</f>
        <v/>
      </c>
      <c r="AE161" s="457">
        <f>IF($AO161&lt;&gt;"OK",0,IF(AND(DATE('Thiết lập'!$B$4,10,1)&gt;=DATE(YEAR($H161),MONTH($H161),1),DATE('Thiết lập'!$B$4,10,1)&lt;EDATE(DATE(YEAR($H161),MONTH($H161),1),$O161)),MIN($P161,MAX(0,$N161-$U161-SUM($V161:AD161))),0))</f>
        <v/>
      </c>
      <c r="AF161" s="457">
        <f>IF($AO161&lt;&gt;"OK",0,IF(AND(DATE('Thiết lập'!$B$4,11,1)&gt;=DATE(YEAR($H161),MONTH($H161),1),DATE('Thiết lập'!$B$4,11,1)&lt;EDATE(DATE(YEAR($H161),MONTH($H161),1),$O161)),MIN($P161,MAX(0,$N161-$U161-SUM($V161:AE161))),0))</f>
        <v/>
      </c>
      <c r="AG161" s="457">
        <f>IF($AO161&lt;&gt;"OK",0,IF(AND(DATE('Thiết lập'!$B$4,12,1)&gt;=DATE(YEAR($H161),MONTH($H161),1),DATE('Thiết lập'!$B$4,12,1)&lt;EDATE(DATE(YEAR($H161),MONTH($H161),1),$O161)),MIN($P161,MAX(0,$N161-$U161-SUM($V161:AF161))),0))</f>
        <v/>
      </c>
      <c r="AH161" s="457">
        <f>IF(B161="","",SUM(V161:AG161))</f>
        <v/>
      </c>
      <c r="AI161" s="457">
        <f>IF(B161="","",MIN(N161,IF(U161="",0,U161)+AH161))</f>
        <v/>
      </c>
      <c r="AJ161" s="457">
        <f>IF(B161="","",MAX(0,L161-AI161))</f>
        <v/>
      </c>
      <c r="AK161" s="337">
        <f>IF(B161="","",IF(H161&gt;'Thiết lập'!$B$5,"Chưa khấu hao",IF(AJ161&lt;=IF(M161="",0,M161),"Đã hết khấu hao","Đang khấu hao")))</f>
        <v/>
      </c>
      <c r="AL161" s="275" t="n"/>
      <c r="AM161" s="275" t="n"/>
      <c r="AN161" s="275" t="n"/>
      <c r="AO161" s="343">
        <f>IF(B161="","",IF(COUNTIF($B$7:$B$306,B161)&gt;1,"Trùng mã TSCĐ",IF(C161="","Thiếu tên TSCĐ",IF(H161="","Thiếu ngày bắt đầu",IF(OR(I161&lt;=0,L161&lt;=0,O161&lt;=0),"Kiểm tra số lượng/nguyên giá/thời gian",IF(AND(G161&lt;&gt;"",H161&lt;G161),"Ngày KH trước ngày ghi tăng",IF(M161&gt;L161,"Giá trị thu hồi vượt nguyên giá",IF(IF(U161="",0,U161)&gt;N161,"Lũy kế đầu năm vượt GTKH","OK"))))))))</f>
        <v/>
      </c>
    </row>
    <row r="162" ht="20" customHeight="1" s="389">
      <c r="A162" s="325">
        <f>IF(B162="","",ROW()-6)</f>
        <v/>
      </c>
      <c r="B162" s="275" t="n"/>
      <c r="C162" s="275" t="n"/>
      <c r="D162" s="331" t="n"/>
      <c r="E162" s="331" t="n"/>
      <c r="F162" s="454" t="n"/>
      <c r="G162" s="454" t="n"/>
      <c r="H162" s="454" t="n"/>
      <c r="I162" s="455" t="n"/>
      <c r="J162" s="456" t="n"/>
      <c r="K162" s="456" t="n"/>
      <c r="L162" s="457">
        <f>IF(B162="","",IF(OR(I162="",J162=""),"",I162*J162+IF(K162="",0,K162)))</f>
        <v/>
      </c>
      <c r="M162" s="456" t="n"/>
      <c r="N162" s="457">
        <f>IF(L162="","",MAX(0,L162-IF(M162="",0,M162)))</f>
        <v/>
      </c>
      <c r="O162" s="455" t="n"/>
      <c r="P162" s="457">
        <f>IF(OR(N162="",O162&lt;=0),"",ROUND(N162/O162,0))</f>
        <v/>
      </c>
      <c r="Q162" s="458">
        <f>IF(OR(H162="",O162&lt;=0),"",EOMONTH(H162,O162-1))</f>
        <v/>
      </c>
      <c r="R162" s="331" t="n"/>
      <c r="S162" s="331" t="n"/>
      <c r="T162" s="331" t="n"/>
      <c r="U162" s="456" t="n"/>
      <c r="V162" s="457">
        <f>IF($AO162&lt;&gt;"OK",0,IF(AND(DATE('Thiết lập'!$B$4,1,1)&gt;=DATE(YEAR($H162),MONTH($H162),1),DATE('Thiết lập'!$B$4,1,1)&lt;EDATE(DATE(YEAR($H162),MONTH($H162),1),$O162)),MIN($P162,MAX(0,$N162-$U162-0)),0))</f>
        <v/>
      </c>
      <c r="W162" s="457">
        <f>IF($AO162&lt;&gt;"OK",0,IF(AND(DATE('Thiết lập'!$B$4,2,1)&gt;=DATE(YEAR($H162),MONTH($H162),1),DATE('Thiết lập'!$B$4,2,1)&lt;EDATE(DATE(YEAR($H162),MONTH($H162),1),$O162)),MIN($P162,MAX(0,$N162-$U162-SUM($V162:V162))),0))</f>
        <v/>
      </c>
      <c r="X162" s="457">
        <f>IF($AO162&lt;&gt;"OK",0,IF(AND(DATE('Thiết lập'!$B$4,3,1)&gt;=DATE(YEAR($H162),MONTH($H162),1),DATE('Thiết lập'!$B$4,3,1)&lt;EDATE(DATE(YEAR($H162),MONTH($H162),1),$O162)),MIN($P162,MAX(0,$N162-$U162-SUM($V162:W162))),0))</f>
        <v/>
      </c>
      <c r="Y162" s="457">
        <f>IF($AO162&lt;&gt;"OK",0,IF(AND(DATE('Thiết lập'!$B$4,4,1)&gt;=DATE(YEAR($H162),MONTH($H162),1),DATE('Thiết lập'!$B$4,4,1)&lt;EDATE(DATE(YEAR($H162),MONTH($H162),1),$O162)),MIN($P162,MAX(0,$N162-$U162-SUM($V162:X162))),0))</f>
        <v/>
      </c>
      <c r="Z162" s="457">
        <f>IF($AO162&lt;&gt;"OK",0,IF(AND(DATE('Thiết lập'!$B$4,5,1)&gt;=DATE(YEAR($H162),MONTH($H162),1),DATE('Thiết lập'!$B$4,5,1)&lt;EDATE(DATE(YEAR($H162),MONTH($H162),1),$O162)),MIN($P162,MAX(0,$N162-$U162-SUM($V162:Y162))),0))</f>
        <v/>
      </c>
      <c r="AA162" s="457">
        <f>IF($AO162&lt;&gt;"OK",0,IF(AND(DATE('Thiết lập'!$B$4,6,1)&gt;=DATE(YEAR($H162),MONTH($H162),1),DATE('Thiết lập'!$B$4,6,1)&lt;EDATE(DATE(YEAR($H162),MONTH($H162),1),$O162)),MIN($P162,MAX(0,$N162-$U162-SUM($V162:Z162))),0))</f>
        <v/>
      </c>
      <c r="AB162" s="457">
        <f>IF($AO162&lt;&gt;"OK",0,IF(AND(DATE('Thiết lập'!$B$4,7,1)&gt;=DATE(YEAR($H162),MONTH($H162),1),DATE('Thiết lập'!$B$4,7,1)&lt;EDATE(DATE(YEAR($H162),MONTH($H162),1),$O162)),MIN($P162,MAX(0,$N162-$U162-SUM($V162:AA162))),0))</f>
        <v/>
      </c>
      <c r="AC162" s="457">
        <f>IF($AO162&lt;&gt;"OK",0,IF(AND(DATE('Thiết lập'!$B$4,8,1)&gt;=DATE(YEAR($H162),MONTH($H162),1),DATE('Thiết lập'!$B$4,8,1)&lt;EDATE(DATE(YEAR($H162),MONTH($H162),1),$O162)),MIN($P162,MAX(0,$N162-$U162-SUM($V162:AB162))),0))</f>
        <v/>
      </c>
      <c r="AD162" s="457">
        <f>IF($AO162&lt;&gt;"OK",0,IF(AND(DATE('Thiết lập'!$B$4,9,1)&gt;=DATE(YEAR($H162),MONTH($H162),1),DATE('Thiết lập'!$B$4,9,1)&lt;EDATE(DATE(YEAR($H162),MONTH($H162),1),$O162)),MIN($P162,MAX(0,$N162-$U162-SUM($V162:AC162))),0))</f>
        <v/>
      </c>
      <c r="AE162" s="457">
        <f>IF($AO162&lt;&gt;"OK",0,IF(AND(DATE('Thiết lập'!$B$4,10,1)&gt;=DATE(YEAR($H162),MONTH($H162),1),DATE('Thiết lập'!$B$4,10,1)&lt;EDATE(DATE(YEAR($H162),MONTH($H162),1),$O162)),MIN($P162,MAX(0,$N162-$U162-SUM($V162:AD162))),0))</f>
        <v/>
      </c>
      <c r="AF162" s="457">
        <f>IF($AO162&lt;&gt;"OK",0,IF(AND(DATE('Thiết lập'!$B$4,11,1)&gt;=DATE(YEAR($H162),MONTH($H162),1),DATE('Thiết lập'!$B$4,11,1)&lt;EDATE(DATE(YEAR($H162),MONTH($H162),1),$O162)),MIN($P162,MAX(0,$N162-$U162-SUM($V162:AE162))),0))</f>
        <v/>
      </c>
      <c r="AG162" s="457">
        <f>IF($AO162&lt;&gt;"OK",0,IF(AND(DATE('Thiết lập'!$B$4,12,1)&gt;=DATE(YEAR($H162),MONTH($H162),1),DATE('Thiết lập'!$B$4,12,1)&lt;EDATE(DATE(YEAR($H162),MONTH($H162),1),$O162)),MIN($P162,MAX(0,$N162-$U162-SUM($V162:AF162))),0))</f>
        <v/>
      </c>
      <c r="AH162" s="457">
        <f>IF(B162="","",SUM(V162:AG162))</f>
        <v/>
      </c>
      <c r="AI162" s="457">
        <f>IF(B162="","",MIN(N162,IF(U162="",0,U162)+AH162))</f>
        <v/>
      </c>
      <c r="AJ162" s="457">
        <f>IF(B162="","",MAX(0,L162-AI162))</f>
        <v/>
      </c>
      <c r="AK162" s="337">
        <f>IF(B162="","",IF(H162&gt;'Thiết lập'!$B$5,"Chưa khấu hao",IF(AJ162&lt;=IF(M162="",0,M162),"Đã hết khấu hao","Đang khấu hao")))</f>
        <v/>
      </c>
      <c r="AL162" s="275" t="n"/>
      <c r="AM162" s="275" t="n"/>
      <c r="AN162" s="275" t="n"/>
      <c r="AO162" s="343">
        <f>IF(B162="","",IF(COUNTIF($B$7:$B$306,B162)&gt;1,"Trùng mã TSCĐ",IF(C162="","Thiếu tên TSCĐ",IF(H162="","Thiếu ngày bắt đầu",IF(OR(I162&lt;=0,L162&lt;=0,O162&lt;=0),"Kiểm tra số lượng/nguyên giá/thời gian",IF(AND(G162&lt;&gt;"",H162&lt;G162),"Ngày KH trước ngày ghi tăng",IF(M162&gt;L162,"Giá trị thu hồi vượt nguyên giá",IF(IF(U162="",0,U162)&gt;N162,"Lũy kế đầu năm vượt GTKH","OK"))))))))</f>
        <v/>
      </c>
    </row>
    <row r="163" ht="20" customHeight="1" s="389">
      <c r="A163" s="325">
        <f>IF(B163="","",ROW()-6)</f>
        <v/>
      </c>
      <c r="B163" s="275" t="n"/>
      <c r="C163" s="275" t="n"/>
      <c r="D163" s="331" t="n"/>
      <c r="E163" s="331" t="n"/>
      <c r="F163" s="454" t="n"/>
      <c r="G163" s="454" t="n"/>
      <c r="H163" s="454" t="n"/>
      <c r="I163" s="455" t="n"/>
      <c r="J163" s="456" t="n"/>
      <c r="K163" s="456" t="n"/>
      <c r="L163" s="457">
        <f>IF(B163="","",IF(OR(I163="",J163=""),"",I163*J163+IF(K163="",0,K163)))</f>
        <v/>
      </c>
      <c r="M163" s="456" t="n"/>
      <c r="N163" s="457">
        <f>IF(L163="","",MAX(0,L163-IF(M163="",0,M163)))</f>
        <v/>
      </c>
      <c r="O163" s="455" t="n"/>
      <c r="P163" s="457">
        <f>IF(OR(N163="",O163&lt;=0),"",ROUND(N163/O163,0))</f>
        <v/>
      </c>
      <c r="Q163" s="458">
        <f>IF(OR(H163="",O163&lt;=0),"",EOMONTH(H163,O163-1))</f>
        <v/>
      </c>
      <c r="R163" s="331" t="n"/>
      <c r="S163" s="331" t="n"/>
      <c r="T163" s="331" t="n"/>
      <c r="U163" s="456" t="n"/>
      <c r="V163" s="457">
        <f>IF($AO163&lt;&gt;"OK",0,IF(AND(DATE('Thiết lập'!$B$4,1,1)&gt;=DATE(YEAR($H163),MONTH($H163),1),DATE('Thiết lập'!$B$4,1,1)&lt;EDATE(DATE(YEAR($H163),MONTH($H163),1),$O163)),MIN($P163,MAX(0,$N163-$U163-0)),0))</f>
        <v/>
      </c>
      <c r="W163" s="457">
        <f>IF($AO163&lt;&gt;"OK",0,IF(AND(DATE('Thiết lập'!$B$4,2,1)&gt;=DATE(YEAR($H163),MONTH($H163),1),DATE('Thiết lập'!$B$4,2,1)&lt;EDATE(DATE(YEAR($H163),MONTH($H163),1),$O163)),MIN($P163,MAX(0,$N163-$U163-SUM($V163:V163))),0))</f>
        <v/>
      </c>
      <c r="X163" s="457">
        <f>IF($AO163&lt;&gt;"OK",0,IF(AND(DATE('Thiết lập'!$B$4,3,1)&gt;=DATE(YEAR($H163),MONTH($H163),1),DATE('Thiết lập'!$B$4,3,1)&lt;EDATE(DATE(YEAR($H163),MONTH($H163),1),$O163)),MIN($P163,MAX(0,$N163-$U163-SUM($V163:W163))),0))</f>
        <v/>
      </c>
      <c r="Y163" s="457">
        <f>IF($AO163&lt;&gt;"OK",0,IF(AND(DATE('Thiết lập'!$B$4,4,1)&gt;=DATE(YEAR($H163),MONTH($H163),1),DATE('Thiết lập'!$B$4,4,1)&lt;EDATE(DATE(YEAR($H163),MONTH($H163),1),$O163)),MIN($P163,MAX(0,$N163-$U163-SUM($V163:X163))),0))</f>
        <v/>
      </c>
      <c r="Z163" s="457">
        <f>IF($AO163&lt;&gt;"OK",0,IF(AND(DATE('Thiết lập'!$B$4,5,1)&gt;=DATE(YEAR($H163),MONTH($H163),1),DATE('Thiết lập'!$B$4,5,1)&lt;EDATE(DATE(YEAR($H163),MONTH($H163),1),$O163)),MIN($P163,MAX(0,$N163-$U163-SUM($V163:Y163))),0))</f>
        <v/>
      </c>
      <c r="AA163" s="457">
        <f>IF($AO163&lt;&gt;"OK",0,IF(AND(DATE('Thiết lập'!$B$4,6,1)&gt;=DATE(YEAR($H163),MONTH($H163),1),DATE('Thiết lập'!$B$4,6,1)&lt;EDATE(DATE(YEAR($H163),MONTH($H163),1),$O163)),MIN($P163,MAX(0,$N163-$U163-SUM($V163:Z163))),0))</f>
        <v/>
      </c>
      <c r="AB163" s="457">
        <f>IF($AO163&lt;&gt;"OK",0,IF(AND(DATE('Thiết lập'!$B$4,7,1)&gt;=DATE(YEAR($H163),MONTH($H163),1),DATE('Thiết lập'!$B$4,7,1)&lt;EDATE(DATE(YEAR($H163),MONTH($H163),1),$O163)),MIN($P163,MAX(0,$N163-$U163-SUM($V163:AA163))),0))</f>
        <v/>
      </c>
      <c r="AC163" s="457">
        <f>IF($AO163&lt;&gt;"OK",0,IF(AND(DATE('Thiết lập'!$B$4,8,1)&gt;=DATE(YEAR($H163),MONTH($H163),1),DATE('Thiết lập'!$B$4,8,1)&lt;EDATE(DATE(YEAR($H163),MONTH($H163),1),$O163)),MIN($P163,MAX(0,$N163-$U163-SUM($V163:AB163))),0))</f>
        <v/>
      </c>
      <c r="AD163" s="457">
        <f>IF($AO163&lt;&gt;"OK",0,IF(AND(DATE('Thiết lập'!$B$4,9,1)&gt;=DATE(YEAR($H163),MONTH($H163),1),DATE('Thiết lập'!$B$4,9,1)&lt;EDATE(DATE(YEAR($H163),MONTH($H163),1),$O163)),MIN($P163,MAX(0,$N163-$U163-SUM($V163:AC163))),0))</f>
        <v/>
      </c>
      <c r="AE163" s="457">
        <f>IF($AO163&lt;&gt;"OK",0,IF(AND(DATE('Thiết lập'!$B$4,10,1)&gt;=DATE(YEAR($H163),MONTH($H163),1),DATE('Thiết lập'!$B$4,10,1)&lt;EDATE(DATE(YEAR($H163),MONTH($H163),1),$O163)),MIN($P163,MAX(0,$N163-$U163-SUM($V163:AD163))),0))</f>
        <v/>
      </c>
      <c r="AF163" s="457">
        <f>IF($AO163&lt;&gt;"OK",0,IF(AND(DATE('Thiết lập'!$B$4,11,1)&gt;=DATE(YEAR($H163),MONTH($H163),1),DATE('Thiết lập'!$B$4,11,1)&lt;EDATE(DATE(YEAR($H163),MONTH($H163),1),$O163)),MIN($P163,MAX(0,$N163-$U163-SUM($V163:AE163))),0))</f>
        <v/>
      </c>
      <c r="AG163" s="457">
        <f>IF($AO163&lt;&gt;"OK",0,IF(AND(DATE('Thiết lập'!$B$4,12,1)&gt;=DATE(YEAR($H163),MONTH($H163),1),DATE('Thiết lập'!$B$4,12,1)&lt;EDATE(DATE(YEAR($H163),MONTH($H163),1),$O163)),MIN($P163,MAX(0,$N163-$U163-SUM($V163:AF163))),0))</f>
        <v/>
      </c>
      <c r="AH163" s="457">
        <f>IF(B163="","",SUM(V163:AG163))</f>
        <v/>
      </c>
      <c r="AI163" s="457">
        <f>IF(B163="","",MIN(N163,IF(U163="",0,U163)+AH163))</f>
        <v/>
      </c>
      <c r="AJ163" s="457">
        <f>IF(B163="","",MAX(0,L163-AI163))</f>
        <v/>
      </c>
      <c r="AK163" s="337">
        <f>IF(B163="","",IF(H163&gt;'Thiết lập'!$B$5,"Chưa khấu hao",IF(AJ163&lt;=IF(M163="",0,M163),"Đã hết khấu hao","Đang khấu hao")))</f>
        <v/>
      </c>
      <c r="AL163" s="275" t="n"/>
      <c r="AM163" s="275" t="n"/>
      <c r="AN163" s="275" t="n"/>
      <c r="AO163" s="343">
        <f>IF(B163="","",IF(COUNTIF($B$7:$B$306,B163)&gt;1,"Trùng mã TSCĐ",IF(C163="","Thiếu tên TSCĐ",IF(H163="","Thiếu ngày bắt đầu",IF(OR(I163&lt;=0,L163&lt;=0,O163&lt;=0),"Kiểm tra số lượng/nguyên giá/thời gian",IF(AND(G163&lt;&gt;"",H163&lt;G163),"Ngày KH trước ngày ghi tăng",IF(M163&gt;L163,"Giá trị thu hồi vượt nguyên giá",IF(IF(U163="",0,U163)&gt;N163,"Lũy kế đầu năm vượt GTKH","OK"))))))))</f>
        <v/>
      </c>
    </row>
    <row r="164" ht="20" customHeight="1" s="389">
      <c r="A164" s="325">
        <f>IF(B164="","",ROW()-6)</f>
        <v/>
      </c>
      <c r="B164" s="275" t="n"/>
      <c r="C164" s="275" t="n"/>
      <c r="D164" s="331" t="n"/>
      <c r="E164" s="331" t="n"/>
      <c r="F164" s="454" t="n"/>
      <c r="G164" s="454" t="n"/>
      <c r="H164" s="454" t="n"/>
      <c r="I164" s="455" t="n"/>
      <c r="J164" s="456" t="n"/>
      <c r="K164" s="456" t="n"/>
      <c r="L164" s="457">
        <f>IF(B164="","",IF(OR(I164="",J164=""),"",I164*J164+IF(K164="",0,K164)))</f>
        <v/>
      </c>
      <c r="M164" s="456" t="n"/>
      <c r="N164" s="457">
        <f>IF(L164="","",MAX(0,L164-IF(M164="",0,M164)))</f>
        <v/>
      </c>
      <c r="O164" s="455" t="n"/>
      <c r="P164" s="457">
        <f>IF(OR(N164="",O164&lt;=0),"",ROUND(N164/O164,0))</f>
        <v/>
      </c>
      <c r="Q164" s="458">
        <f>IF(OR(H164="",O164&lt;=0),"",EOMONTH(H164,O164-1))</f>
        <v/>
      </c>
      <c r="R164" s="331" t="n"/>
      <c r="S164" s="331" t="n"/>
      <c r="T164" s="331" t="n"/>
      <c r="U164" s="456" t="n"/>
      <c r="V164" s="457">
        <f>IF($AO164&lt;&gt;"OK",0,IF(AND(DATE('Thiết lập'!$B$4,1,1)&gt;=DATE(YEAR($H164),MONTH($H164),1),DATE('Thiết lập'!$B$4,1,1)&lt;EDATE(DATE(YEAR($H164),MONTH($H164),1),$O164)),MIN($P164,MAX(0,$N164-$U164-0)),0))</f>
        <v/>
      </c>
      <c r="W164" s="457">
        <f>IF($AO164&lt;&gt;"OK",0,IF(AND(DATE('Thiết lập'!$B$4,2,1)&gt;=DATE(YEAR($H164),MONTH($H164),1),DATE('Thiết lập'!$B$4,2,1)&lt;EDATE(DATE(YEAR($H164),MONTH($H164),1),$O164)),MIN($P164,MAX(0,$N164-$U164-SUM($V164:V164))),0))</f>
        <v/>
      </c>
      <c r="X164" s="457">
        <f>IF($AO164&lt;&gt;"OK",0,IF(AND(DATE('Thiết lập'!$B$4,3,1)&gt;=DATE(YEAR($H164),MONTH($H164),1),DATE('Thiết lập'!$B$4,3,1)&lt;EDATE(DATE(YEAR($H164),MONTH($H164),1),$O164)),MIN($P164,MAX(0,$N164-$U164-SUM($V164:W164))),0))</f>
        <v/>
      </c>
      <c r="Y164" s="457">
        <f>IF($AO164&lt;&gt;"OK",0,IF(AND(DATE('Thiết lập'!$B$4,4,1)&gt;=DATE(YEAR($H164),MONTH($H164),1),DATE('Thiết lập'!$B$4,4,1)&lt;EDATE(DATE(YEAR($H164),MONTH($H164),1),$O164)),MIN($P164,MAX(0,$N164-$U164-SUM($V164:X164))),0))</f>
        <v/>
      </c>
      <c r="Z164" s="457">
        <f>IF($AO164&lt;&gt;"OK",0,IF(AND(DATE('Thiết lập'!$B$4,5,1)&gt;=DATE(YEAR($H164),MONTH($H164),1),DATE('Thiết lập'!$B$4,5,1)&lt;EDATE(DATE(YEAR($H164),MONTH($H164),1),$O164)),MIN($P164,MAX(0,$N164-$U164-SUM($V164:Y164))),0))</f>
        <v/>
      </c>
      <c r="AA164" s="457">
        <f>IF($AO164&lt;&gt;"OK",0,IF(AND(DATE('Thiết lập'!$B$4,6,1)&gt;=DATE(YEAR($H164),MONTH($H164),1),DATE('Thiết lập'!$B$4,6,1)&lt;EDATE(DATE(YEAR($H164),MONTH($H164),1),$O164)),MIN($P164,MAX(0,$N164-$U164-SUM($V164:Z164))),0))</f>
        <v/>
      </c>
      <c r="AB164" s="457">
        <f>IF($AO164&lt;&gt;"OK",0,IF(AND(DATE('Thiết lập'!$B$4,7,1)&gt;=DATE(YEAR($H164),MONTH($H164),1),DATE('Thiết lập'!$B$4,7,1)&lt;EDATE(DATE(YEAR($H164),MONTH($H164),1),$O164)),MIN($P164,MAX(0,$N164-$U164-SUM($V164:AA164))),0))</f>
        <v/>
      </c>
      <c r="AC164" s="457">
        <f>IF($AO164&lt;&gt;"OK",0,IF(AND(DATE('Thiết lập'!$B$4,8,1)&gt;=DATE(YEAR($H164),MONTH($H164),1),DATE('Thiết lập'!$B$4,8,1)&lt;EDATE(DATE(YEAR($H164),MONTH($H164),1),$O164)),MIN($P164,MAX(0,$N164-$U164-SUM($V164:AB164))),0))</f>
        <v/>
      </c>
      <c r="AD164" s="457">
        <f>IF($AO164&lt;&gt;"OK",0,IF(AND(DATE('Thiết lập'!$B$4,9,1)&gt;=DATE(YEAR($H164),MONTH($H164),1),DATE('Thiết lập'!$B$4,9,1)&lt;EDATE(DATE(YEAR($H164),MONTH($H164),1),$O164)),MIN($P164,MAX(0,$N164-$U164-SUM($V164:AC164))),0))</f>
        <v/>
      </c>
      <c r="AE164" s="457">
        <f>IF($AO164&lt;&gt;"OK",0,IF(AND(DATE('Thiết lập'!$B$4,10,1)&gt;=DATE(YEAR($H164),MONTH($H164),1),DATE('Thiết lập'!$B$4,10,1)&lt;EDATE(DATE(YEAR($H164),MONTH($H164),1),$O164)),MIN($P164,MAX(0,$N164-$U164-SUM($V164:AD164))),0))</f>
        <v/>
      </c>
      <c r="AF164" s="457">
        <f>IF($AO164&lt;&gt;"OK",0,IF(AND(DATE('Thiết lập'!$B$4,11,1)&gt;=DATE(YEAR($H164),MONTH($H164),1),DATE('Thiết lập'!$B$4,11,1)&lt;EDATE(DATE(YEAR($H164),MONTH($H164),1),$O164)),MIN($P164,MAX(0,$N164-$U164-SUM($V164:AE164))),0))</f>
        <v/>
      </c>
      <c r="AG164" s="457">
        <f>IF($AO164&lt;&gt;"OK",0,IF(AND(DATE('Thiết lập'!$B$4,12,1)&gt;=DATE(YEAR($H164),MONTH($H164),1),DATE('Thiết lập'!$B$4,12,1)&lt;EDATE(DATE(YEAR($H164),MONTH($H164),1),$O164)),MIN($P164,MAX(0,$N164-$U164-SUM($V164:AF164))),0))</f>
        <v/>
      </c>
      <c r="AH164" s="457">
        <f>IF(B164="","",SUM(V164:AG164))</f>
        <v/>
      </c>
      <c r="AI164" s="457">
        <f>IF(B164="","",MIN(N164,IF(U164="",0,U164)+AH164))</f>
        <v/>
      </c>
      <c r="AJ164" s="457">
        <f>IF(B164="","",MAX(0,L164-AI164))</f>
        <v/>
      </c>
      <c r="AK164" s="337">
        <f>IF(B164="","",IF(H164&gt;'Thiết lập'!$B$5,"Chưa khấu hao",IF(AJ164&lt;=IF(M164="",0,M164),"Đã hết khấu hao","Đang khấu hao")))</f>
        <v/>
      </c>
      <c r="AL164" s="275" t="n"/>
      <c r="AM164" s="275" t="n"/>
      <c r="AN164" s="275" t="n"/>
      <c r="AO164" s="343">
        <f>IF(B164="","",IF(COUNTIF($B$7:$B$306,B164)&gt;1,"Trùng mã TSCĐ",IF(C164="","Thiếu tên TSCĐ",IF(H164="","Thiếu ngày bắt đầu",IF(OR(I164&lt;=0,L164&lt;=0,O164&lt;=0),"Kiểm tra số lượng/nguyên giá/thời gian",IF(AND(G164&lt;&gt;"",H164&lt;G164),"Ngày KH trước ngày ghi tăng",IF(M164&gt;L164,"Giá trị thu hồi vượt nguyên giá",IF(IF(U164="",0,U164)&gt;N164,"Lũy kế đầu năm vượt GTKH","OK"))))))))</f>
        <v/>
      </c>
    </row>
    <row r="165" ht="20" customHeight="1" s="389">
      <c r="A165" s="325">
        <f>IF(B165="","",ROW()-6)</f>
        <v/>
      </c>
      <c r="B165" s="275" t="n"/>
      <c r="C165" s="275" t="n"/>
      <c r="D165" s="331" t="n"/>
      <c r="E165" s="331" t="n"/>
      <c r="F165" s="454" t="n"/>
      <c r="G165" s="454" t="n"/>
      <c r="H165" s="454" t="n"/>
      <c r="I165" s="455" t="n"/>
      <c r="J165" s="456" t="n"/>
      <c r="K165" s="456" t="n"/>
      <c r="L165" s="457">
        <f>IF(B165="","",IF(OR(I165="",J165=""),"",I165*J165+IF(K165="",0,K165)))</f>
        <v/>
      </c>
      <c r="M165" s="456" t="n"/>
      <c r="N165" s="457">
        <f>IF(L165="","",MAX(0,L165-IF(M165="",0,M165)))</f>
        <v/>
      </c>
      <c r="O165" s="455" t="n"/>
      <c r="P165" s="457">
        <f>IF(OR(N165="",O165&lt;=0),"",ROUND(N165/O165,0))</f>
        <v/>
      </c>
      <c r="Q165" s="458">
        <f>IF(OR(H165="",O165&lt;=0),"",EOMONTH(H165,O165-1))</f>
        <v/>
      </c>
      <c r="R165" s="331" t="n"/>
      <c r="S165" s="331" t="n"/>
      <c r="T165" s="331" t="n"/>
      <c r="U165" s="456" t="n"/>
      <c r="V165" s="457">
        <f>IF($AO165&lt;&gt;"OK",0,IF(AND(DATE('Thiết lập'!$B$4,1,1)&gt;=DATE(YEAR($H165),MONTH($H165),1),DATE('Thiết lập'!$B$4,1,1)&lt;EDATE(DATE(YEAR($H165),MONTH($H165),1),$O165)),MIN($P165,MAX(0,$N165-$U165-0)),0))</f>
        <v/>
      </c>
      <c r="W165" s="457">
        <f>IF($AO165&lt;&gt;"OK",0,IF(AND(DATE('Thiết lập'!$B$4,2,1)&gt;=DATE(YEAR($H165),MONTH($H165),1),DATE('Thiết lập'!$B$4,2,1)&lt;EDATE(DATE(YEAR($H165),MONTH($H165),1),$O165)),MIN($P165,MAX(0,$N165-$U165-SUM($V165:V165))),0))</f>
        <v/>
      </c>
      <c r="X165" s="457">
        <f>IF($AO165&lt;&gt;"OK",0,IF(AND(DATE('Thiết lập'!$B$4,3,1)&gt;=DATE(YEAR($H165),MONTH($H165),1),DATE('Thiết lập'!$B$4,3,1)&lt;EDATE(DATE(YEAR($H165),MONTH($H165),1),$O165)),MIN($P165,MAX(0,$N165-$U165-SUM($V165:W165))),0))</f>
        <v/>
      </c>
      <c r="Y165" s="457">
        <f>IF($AO165&lt;&gt;"OK",0,IF(AND(DATE('Thiết lập'!$B$4,4,1)&gt;=DATE(YEAR($H165),MONTH($H165),1),DATE('Thiết lập'!$B$4,4,1)&lt;EDATE(DATE(YEAR($H165),MONTH($H165),1),$O165)),MIN($P165,MAX(0,$N165-$U165-SUM($V165:X165))),0))</f>
        <v/>
      </c>
      <c r="Z165" s="457">
        <f>IF($AO165&lt;&gt;"OK",0,IF(AND(DATE('Thiết lập'!$B$4,5,1)&gt;=DATE(YEAR($H165),MONTH($H165),1),DATE('Thiết lập'!$B$4,5,1)&lt;EDATE(DATE(YEAR($H165),MONTH($H165),1),$O165)),MIN($P165,MAX(0,$N165-$U165-SUM($V165:Y165))),0))</f>
        <v/>
      </c>
      <c r="AA165" s="457">
        <f>IF($AO165&lt;&gt;"OK",0,IF(AND(DATE('Thiết lập'!$B$4,6,1)&gt;=DATE(YEAR($H165),MONTH($H165),1),DATE('Thiết lập'!$B$4,6,1)&lt;EDATE(DATE(YEAR($H165),MONTH($H165),1),$O165)),MIN($P165,MAX(0,$N165-$U165-SUM($V165:Z165))),0))</f>
        <v/>
      </c>
      <c r="AB165" s="457">
        <f>IF($AO165&lt;&gt;"OK",0,IF(AND(DATE('Thiết lập'!$B$4,7,1)&gt;=DATE(YEAR($H165),MONTH($H165),1),DATE('Thiết lập'!$B$4,7,1)&lt;EDATE(DATE(YEAR($H165),MONTH($H165),1),$O165)),MIN($P165,MAX(0,$N165-$U165-SUM($V165:AA165))),0))</f>
        <v/>
      </c>
      <c r="AC165" s="457">
        <f>IF($AO165&lt;&gt;"OK",0,IF(AND(DATE('Thiết lập'!$B$4,8,1)&gt;=DATE(YEAR($H165),MONTH($H165),1),DATE('Thiết lập'!$B$4,8,1)&lt;EDATE(DATE(YEAR($H165),MONTH($H165),1),$O165)),MIN($P165,MAX(0,$N165-$U165-SUM($V165:AB165))),0))</f>
        <v/>
      </c>
      <c r="AD165" s="457">
        <f>IF($AO165&lt;&gt;"OK",0,IF(AND(DATE('Thiết lập'!$B$4,9,1)&gt;=DATE(YEAR($H165),MONTH($H165),1),DATE('Thiết lập'!$B$4,9,1)&lt;EDATE(DATE(YEAR($H165),MONTH($H165),1),$O165)),MIN($P165,MAX(0,$N165-$U165-SUM($V165:AC165))),0))</f>
        <v/>
      </c>
      <c r="AE165" s="457">
        <f>IF($AO165&lt;&gt;"OK",0,IF(AND(DATE('Thiết lập'!$B$4,10,1)&gt;=DATE(YEAR($H165),MONTH($H165),1),DATE('Thiết lập'!$B$4,10,1)&lt;EDATE(DATE(YEAR($H165),MONTH($H165),1),$O165)),MIN($P165,MAX(0,$N165-$U165-SUM($V165:AD165))),0))</f>
        <v/>
      </c>
      <c r="AF165" s="457">
        <f>IF($AO165&lt;&gt;"OK",0,IF(AND(DATE('Thiết lập'!$B$4,11,1)&gt;=DATE(YEAR($H165),MONTH($H165),1),DATE('Thiết lập'!$B$4,11,1)&lt;EDATE(DATE(YEAR($H165),MONTH($H165),1),$O165)),MIN($P165,MAX(0,$N165-$U165-SUM($V165:AE165))),0))</f>
        <v/>
      </c>
      <c r="AG165" s="457">
        <f>IF($AO165&lt;&gt;"OK",0,IF(AND(DATE('Thiết lập'!$B$4,12,1)&gt;=DATE(YEAR($H165),MONTH($H165),1),DATE('Thiết lập'!$B$4,12,1)&lt;EDATE(DATE(YEAR($H165),MONTH($H165),1),$O165)),MIN($P165,MAX(0,$N165-$U165-SUM($V165:AF165))),0))</f>
        <v/>
      </c>
      <c r="AH165" s="457">
        <f>IF(B165="","",SUM(V165:AG165))</f>
        <v/>
      </c>
      <c r="AI165" s="457">
        <f>IF(B165="","",MIN(N165,IF(U165="",0,U165)+AH165))</f>
        <v/>
      </c>
      <c r="AJ165" s="457">
        <f>IF(B165="","",MAX(0,L165-AI165))</f>
        <v/>
      </c>
      <c r="AK165" s="337">
        <f>IF(B165="","",IF(H165&gt;'Thiết lập'!$B$5,"Chưa khấu hao",IF(AJ165&lt;=IF(M165="",0,M165),"Đã hết khấu hao","Đang khấu hao")))</f>
        <v/>
      </c>
      <c r="AL165" s="275" t="n"/>
      <c r="AM165" s="275" t="n"/>
      <c r="AN165" s="275" t="n"/>
      <c r="AO165" s="343">
        <f>IF(B165="","",IF(COUNTIF($B$7:$B$306,B165)&gt;1,"Trùng mã TSCĐ",IF(C165="","Thiếu tên TSCĐ",IF(H165="","Thiếu ngày bắt đầu",IF(OR(I165&lt;=0,L165&lt;=0,O165&lt;=0),"Kiểm tra số lượng/nguyên giá/thời gian",IF(AND(G165&lt;&gt;"",H165&lt;G165),"Ngày KH trước ngày ghi tăng",IF(M165&gt;L165,"Giá trị thu hồi vượt nguyên giá",IF(IF(U165="",0,U165)&gt;N165,"Lũy kế đầu năm vượt GTKH","OK"))))))))</f>
        <v/>
      </c>
    </row>
    <row r="166" ht="20" customHeight="1" s="389">
      <c r="A166" s="325">
        <f>IF(B166="","",ROW()-6)</f>
        <v/>
      </c>
      <c r="B166" s="275" t="n"/>
      <c r="C166" s="275" t="n"/>
      <c r="D166" s="331" t="n"/>
      <c r="E166" s="331" t="n"/>
      <c r="F166" s="454" t="n"/>
      <c r="G166" s="454" t="n"/>
      <c r="H166" s="454" t="n"/>
      <c r="I166" s="455" t="n"/>
      <c r="J166" s="456" t="n"/>
      <c r="K166" s="456" t="n"/>
      <c r="L166" s="457">
        <f>IF(B166="","",IF(OR(I166="",J166=""),"",I166*J166+IF(K166="",0,K166)))</f>
        <v/>
      </c>
      <c r="M166" s="456" t="n"/>
      <c r="N166" s="457">
        <f>IF(L166="","",MAX(0,L166-IF(M166="",0,M166)))</f>
        <v/>
      </c>
      <c r="O166" s="455" t="n"/>
      <c r="P166" s="457">
        <f>IF(OR(N166="",O166&lt;=0),"",ROUND(N166/O166,0))</f>
        <v/>
      </c>
      <c r="Q166" s="458">
        <f>IF(OR(H166="",O166&lt;=0),"",EOMONTH(H166,O166-1))</f>
        <v/>
      </c>
      <c r="R166" s="331" t="n"/>
      <c r="S166" s="331" t="n"/>
      <c r="T166" s="331" t="n"/>
      <c r="U166" s="456" t="n"/>
      <c r="V166" s="457">
        <f>IF($AO166&lt;&gt;"OK",0,IF(AND(DATE('Thiết lập'!$B$4,1,1)&gt;=DATE(YEAR($H166),MONTH($H166),1),DATE('Thiết lập'!$B$4,1,1)&lt;EDATE(DATE(YEAR($H166),MONTH($H166),1),$O166)),MIN($P166,MAX(0,$N166-$U166-0)),0))</f>
        <v/>
      </c>
      <c r="W166" s="457">
        <f>IF($AO166&lt;&gt;"OK",0,IF(AND(DATE('Thiết lập'!$B$4,2,1)&gt;=DATE(YEAR($H166),MONTH($H166),1),DATE('Thiết lập'!$B$4,2,1)&lt;EDATE(DATE(YEAR($H166),MONTH($H166),1),$O166)),MIN($P166,MAX(0,$N166-$U166-SUM($V166:V166))),0))</f>
        <v/>
      </c>
      <c r="X166" s="457">
        <f>IF($AO166&lt;&gt;"OK",0,IF(AND(DATE('Thiết lập'!$B$4,3,1)&gt;=DATE(YEAR($H166),MONTH($H166),1),DATE('Thiết lập'!$B$4,3,1)&lt;EDATE(DATE(YEAR($H166),MONTH($H166),1),$O166)),MIN($P166,MAX(0,$N166-$U166-SUM($V166:W166))),0))</f>
        <v/>
      </c>
      <c r="Y166" s="457">
        <f>IF($AO166&lt;&gt;"OK",0,IF(AND(DATE('Thiết lập'!$B$4,4,1)&gt;=DATE(YEAR($H166),MONTH($H166),1),DATE('Thiết lập'!$B$4,4,1)&lt;EDATE(DATE(YEAR($H166),MONTH($H166),1),$O166)),MIN($P166,MAX(0,$N166-$U166-SUM($V166:X166))),0))</f>
        <v/>
      </c>
      <c r="Z166" s="457">
        <f>IF($AO166&lt;&gt;"OK",0,IF(AND(DATE('Thiết lập'!$B$4,5,1)&gt;=DATE(YEAR($H166),MONTH($H166),1),DATE('Thiết lập'!$B$4,5,1)&lt;EDATE(DATE(YEAR($H166),MONTH($H166),1),$O166)),MIN($P166,MAX(0,$N166-$U166-SUM($V166:Y166))),0))</f>
        <v/>
      </c>
      <c r="AA166" s="457">
        <f>IF($AO166&lt;&gt;"OK",0,IF(AND(DATE('Thiết lập'!$B$4,6,1)&gt;=DATE(YEAR($H166),MONTH($H166),1),DATE('Thiết lập'!$B$4,6,1)&lt;EDATE(DATE(YEAR($H166),MONTH($H166),1),$O166)),MIN($P166,MAX(0,$N166-$U166-SUM($V166:Z166))),0))</f>
        <v/>
      </c>
      <c r="AB166" s="457">
        <f>IF($AO166&lt;&gt;"OK",0,IF(AND(DATE('Thiết lập'!$B$4,7,1)&gt;=DATE(YEAR($H166),MONTH($H166),1),DATE('Thiết lập'!$B$4,7,1)&lt;EDATE(DATE(YEAR($H166),MONTH($H166),1),$O166)),MIN($P166,MAX(0,$N166-$U166-SUM($V166:AA166))),0))</f>
        <v/>
      </c>
      <c r="AC166" s="457">
        <f>IF($AO166&lt;&gt;"OK",0,IF(AND(DATE('Thiết lập'!$B$4,8,1)&gt;=DATE(YEAR($H166),MONTH($H166),1),DATE('Thiết lập'!$B$4,8,1)&lt;EDATE(DATE(YEAR($H166),MONTH($H166),1),$O166)),MIN($P166,MAX(0,$N166-$U166-SUM($V166:AB166))),0))</f>
        <v/>
      </c>
      <c r="AD166" s="457">
        <f>IF($AO166&lt;&gt;"OK",0,IF(AND(DATE('Thiết lập'!$B$4,9,1)&gt;=DATE(YEAR($H166),MONTH($H166),1),DATE('Thiết lập'!$B$4,9,1)&lt;EDATE(DATE(YEAR($H166),MONTH($H166),1),$O166)),MIN($P166,MAX(0,$N166-$U166-SUM($V166:AC166))),0))</f>
        <v/>
      </c>
      <c r="AE166" s="457">
        <f>IF($AO166&lt;&gt;"OK",0,IF(AND(DATE('Thiết lập'!$B$4,10,1)&gt;=DATE(YEAR($H166),MONTH($H166),1),DATE('Thiết lập'!$B$4,10,1)&lt;EDATE(DATE(YEAR($H166),MONTH($H166),1),$O166)),MIN($P166,MAX(0,$N166-$U166-SUM($V166:AD166))),0))</f>
        <v/>
      </c>
      <c r="AF166" s="457">
        <f>IF($AO166&lt;&gt;"OK",0,IF(AND(DATE('Thiết lập'!$B$4,11,1)&gt;=DATE(YEAR($H166),MONTH($H166),1),DATE('Thiết lập'!$B$4,11,1)&lt;EDATE(DATE(YEAR($H166),MONTH($H166),1),$O166)),MIN($P166,MAX(0,$N166-$U166-SUM($V166:AE166))),0))</f>
        <v/>
      </c>
      <c r="AG166" s="457">
        <f>IF($AO166&lt;&gt;"OK",0,IF(AND(DATE('Thiết lập'!$B$4,12,1)&gt;=DATE(YEAR($H166),MONTH($H166),1),DATE('Thiết lập'!$B$4,12,1)&lt;EDATE(DATE(YEAR($H166),MONTH($H166),1),$O166)),MIN($P166,MAX(0,$N166-$U166-SUM($V166:AF166))),0))</f>
        <v/>
      </c>
      <c r="AH166" s="457">
        <f>IF(B166="","",SUM(V166:AG166))</f>
        <v/>
      </c>
      <c r="AI166" s="457">
        <f>IF(B166="","",MIN(N166,IF(U166="",0,U166)+AH166))</f>
        <v/>
      </c>
      <c r="AJ166" s="457">
        <f>IF(B166="","",MAX(0,L166-AI166))</f>
        <v/>
      </c>
      <c r="AK166" s="337">
        <f>IF(B166="","",IF(H166&gt;'Thiết lập'!$B$5,"Chưa khấu hao",IF(AJ166&lt;=IF(M166="",0,M166),"Đã hết khấu hao","Đang khấu hao")))</f>
        <v/>
      </c>
      <c r="AL166" s="275" t="n"/>
      <c r="AM166" s="275" t="n"/>
      <c r="AN166" s="275" t="n"/>
      <c r="AO166" s="343">
        <f>IF(B166="","",IF(COUNTIF($B$7:$B$306,B166)&gt;1,"Trùng mã TSCĐ",IF(C166="","Thiếu tên TSCĐ",IF(H166="","Thiếu ngày bắt đầu",IF(OR(I166&lt;=0,L166&lt;=0,O166&lt;=0),"Kiểm tra số lượng/nguyên giá/thời gian",IF(AND(G166&lt;&gt;"",H166&lt;G166),"Ngày KH trước ngày ghi tăng",IF(M166&gt;L166,"Giá trị thu hồi vượt nguyên giá",IF(IF(U166="",0,U166)&gt;N166,"Lũy kế đầu năm vượt GTKH","OK"))))))))</f>
        <v/>
      </c>
    </row>
    <row r="167" ht="20" customHeight="1" s="389">
      <c r="A167" s="325">
        <f>IF(B167="","",ROW()-6)</f>
        <v/>
      </c>
      <c r="B167" s="275" t="n"/>
      <c r="C167" s="275" t="n"/>
      <c r="D167" s="331" t="n"/>
      <c r="E167" s="331" t="n"/>
      <c r="F167" s="454" t="n"/>
      <c r="G167" s="454" t="n"/>
      <c r="H167" s="454" t="n"/>
      <c r="I167" s="455" t="n"/>
      <c r="J167" s="456" t="n"/>
      <c r="K167" s="456" t="n"/>
      <c r="L167" s="457">
        <f>IF(B167="","",IF(OR(I167="",J167=""),"",I167*J167+IF(K167="",0,K167)))</f>
        <v/>
      </c>
      <c r="M167" s="456" t="n"/>
      <c r="N167" s="457">
        <f>IF(L167="","",MAX(0,L167-IF(M167="",0,M167)))</f>
        <v/>
      </c>
      <c r="O167" s="455" t="n"/>
      <c r="P167" s="457">
        <f>IF(OR(N167="",O167&lt;=0),"",ROUND(N167/O167,0))</f>
        <v/>
      </c>
      <c r="Q167" s="458">
        <f>IF(OR(H167="",O167&lt;=0),"",EOMONTH(H167,O167-1))</f>
        <v/>
      </c>
      <c r="R167" s="331" t="n"/>
      <c r="S167" s="331" t="n"/>
      <c r="T167" s="331" t="n"/>
      <c r="U167" s="456" t="n"/>
      <c r="V167" s="457">
        <f>IF($AO167&lt;&gt;"OK",0,IF(AND(DATE('Thiết lập'!$B$4,1,1)&gt;=DATE(YEAR($H167),MONTH($H167),1),DATE('Thiết lập'!$B$4,1,1)&lt;EDATE(DATE(YEAR($H167),MONTH($H167),1),$O167)),MIN($P167,MAX(0,$N167-$U167-0)),0))</f>
        <v/>
      </c>
      <c r="W167" s="457">
        <f>IF($AO167&lt;&gt;"OK",0,IF(AND(DATE('Thiết lập'!$B$4,2,1)&gt;=DATE(YEAR($H167),MONTH($H167),1),DATE('Thiết lập'!$B$4,2,1)&lt;EDATE(DATE(YEAR($H167),MONTH($H167),1),$O167)),MIN($P167,MAX(0,$N167-$U167-SUM($V167:V167))),0))</f>
        <v/>
      </c>
      <c r="X167" s="457">
        <f>IF($AO167&lt;&gt;"OK",0,IF(AND(DATE('Thiết lập'!$B$4,3,1)&gt;=DATE(YEAR($H167),MONTH($H167),1),DATE('Thiết lập'!$B$4,3,1)&lt;EDATE(DATE(YEAR($H167),MONTH($H167),1),$O167)),MIN($P167,MAX(0,$N167-$U167-SUM($V167:W167))),0))</f>
        <v/>
      </c>
      <c r="Y167" s="457">
        <f>IF($AO167&lt;&gt;"OK",0,IF(AND(DATE('Thiết lập'!$B$4,4,1)&gt;=DATE(YEAR($H167),MONTH($H167),1),DATE('Thiết lập'!$B$4,4,1)&lt;EDATE(DATE(YEAR($H167),MONTH($H167),1),$O167)),MIN($P167,MAX(0,$N167-$U167-SUM($V167:X167))),0))</f>
        <v/>
      </c>
      <c r="Z167" s="457">
        <f>IF($AO167&lt;&gt;"OK",0,IF(AND(DATE('Thiết lập'!$B$4,5,1)&gt;=DATE(YEAR($H167),MONTH($H167),1),DATE('Thiết lập'!$B$4,5,1)&lt;EDATE(DATE(YEAR($H167),MONTH($H167),1),$O167)),MIN($P167,MAX(0,$N167-$U167-SUM($V167:Y167))),0))</f>
        <v/>
      </c>
      <c r="AA167" s="457">
        <f>IF($AO167&lt;&gt;"OK",0,IF(AND(DATE('Thiết lập'!$B$4,6,1)&gt;=DATE(YEAR($H167),MONTH($H167),1),DATE('Thiết lập'!$B$4,6,1)&lt;EDATE(DATE(YEAR($H167),MONTH($H167),1),$O167)),MIN($P167,MAX(0,$N167-$U167-SUM($V167:Z167))),0))</f>
        <v/>
      </c>
      <c r="AB167" s="457">
        <f>IF($AO167&lt;&gt;"OK",0,IF(AND(DATE('Thiết lập'!$B$4,7,1)&gt;=DATE(YEAR($H167),MONTH($H167),1),DATE('Thiết lập'!$B$4,7,1)&lt;EDATE(DATE(YEAR($H167),MONTH($H167),1),$O167)),MIN($P167,MAX(0,$N167-$U167-SUM($V167:AA167))),0))</f>
        <v/>
      </c>
      <c r="AC167" s="457">
        <f>IF($AO167&lt;&gt;"OK",0,IF(AND(DATE('Thiết lập'!$B$4,8,1)&gt;=DATE(YEAR($H167),MONTH($H167),1),DATE('Thiết lập'!$B$4,8,1)&lt;EDATE(DATE(YEAR($H167),MONTH($H167),1),$O167)),MIN($P167,MAX(0,$N167-$U167-SUM($V167:AB167))),0))</f>
        <v/>
      </c>
      <c r="AD167" s="457">
        <f>IF($AO167&lt;&gt;"OK",0,IF(AND(DATE('Thiết lập'!$B$4,9,1)&gt;=DATE(YEAR($H167),MONTH($H167),1),DATE('Thiết lập'!$B$4,9,1)&lt;EDATE(DATE(YEAR($H167),MONTH($H167),1),$O167)),MIN($P167,MAX(0,$N167-$U167-SUM($V167:AC167))),0))</f>
        <v/>
      </c>
      <c r="AE167" s="457">
        <f>IF($AO167&lt;&gt;"OK",0,IF(AND(DATE('Thiết lập'!$B$4,10,1)&gt;=DATE(YEAR($H167),MONTH($H167),1),DATE('Thiết lập'!$B$4,10,1)&lt;EDATE(DATE(YEAR($H167),MONTH($H167),1),$O167)),MIN($P167,MAX(0,$N167-$U167-SUM($V167:AD167))),0))</f>
        <v/>
      </c>
      <c r="AF167" s="457">
        <f>IF($AO167&lt;&gt;"OK",0,IF(AND(DATE('Thiết lập'!$B$4,11,1)&gt;=DATE(YEAR($H167),MONTH($H167),1),DATE('Thiết lập'!$B$4,11,1)&lt;EDATE(DATE(YEAR($H167),MONTH($H167),1),$O167)),MIN($P167,MAX(0,$N167-$U167-SUM($V167:AE167))),0))</f>
        <v/>
      </c>
      <c r="AG167" s="457">
        <f>IF($AO167&lt;&gt;"OK",0,IF(AND(DATE('Thiết lập'!$B$4,12,1)&gt;=DATE(YEAR($H167),MONTH($H167),1),DATE('Thiết lập'!$B$4,12,1)&lt;EDATE(DATE(YEAR($H167),MONTH($H167),1),$O167)),MIN($P167,MAX(0,$N167-$U167-SUM($V167:AF167))),0))</f>
        <v/>
      </c>
      <c r="AH167" s="457">
        <f>IF(B167="","",SUM(V167:AG167))</f>
        <v/>
      </c>
      <c r="AI167" s="457">
        <f>IF(B167="","",MIN(N167,IF(U167="",0,U167)+AH167))</f>
        <v/>
      </c>
      <c r="AJ167" s="457">
        <f>IF(B167="","",MAX(0,L167-AI167))</f>
        <v/>
      </c>
      <c r="AK167" s="337">
        <f>IF(B167="","",IF(H167&gt;'Thiết lập'!$B$5,"Chưa khấu hao",IF(AJ167&lt;=IF(M167="",0,M167),"Đã hết khấu hao","Đang khấu hao")))</f>
        <v/>
      </c>
      <c r="AL167" s="275" t="n"/>
      <c r="AM167" s="275" t="n"/>
      <c r="AN167" s="275" t="n"/>
      <c r="AO167" s="343">
        <f>IF(B167="","",IF(COUNTIF($B$7:$B$306,B167)&gt;1,"Trùng mã TSCĐ",IF(C167="","Thiếu tên TSCĐ",IF(H167="","Thiếu ngày bắt đầu",IF(OR(I167&lt;=0,L167&lt;=0,O167&lt;=0),"Kiểm tra số lượng/nguyên giá/thời gian",IF(AND(G167&lt;&gt;"",H167&lt;G167),"Ngày KH trước ngày ghi tăng",IF(M167&gt;L167,"Giá trị thu hồi vượt nguyên giá",IF(IF(U167="",0,U167)&gt;N167,"Lũy kế đầu năm vượt GTKH","OK"))))))))</f>
        <v/>
      </c>
    </row>
    <row r="168" ht="20" customHeight="1" s="389">
      <c r="A168" s="325">
        <f>IF(B168="","",ROW()-6)</f>
        <v/>
      </c>
      <c r="B168" s="275" t="n"/>
      <c r="C168" s="275" t="n"/>
      <c r="D168" s="331" t="n"/>
      <c r="E168" s="331" t="n"/>
      <c r="F168" s="454" t="n"/>
      <c r="G168" s="454" t="n"/>
      <c r="H168" s="454" t="n"/>
      <c r="I168" s="455" t="n"/>
      <c r="J168" s="456" t="n"/>
      <c r="K168" s="456" t="n"/>
      <c r="L168" s="457">
        <f>IF(B168="","",IF(OR(I168="",J168=""),"",I168*J168+IF(K168="",0,K168)))</f>
        <v/>
      </c>
      <c r="M168" s="456" t="n"/>
      <c r="N168" s="457">
        <f>IF(L168="","",MAX(0,L168-IF(M168="",0,M168)))</f>
        <v/>
      </c>
      <c r="O168" s="455" t="n"/>
      <c r="P168" s="457">
        <f>IF(OR(N168="",O168&lt;=0),"",ROUND(N168/O168,0))</f>
        <v/>
      </c>
      <c r="Q168" s="458">
        <f>IF(OR(H168="",O168&lt;=0),"",EOMONTH(H168,O168-1))</f>
        <v/>
      </c>
      <c r="R168" s="331" t="n"/>
      <c r="S168" s="331" t="n"/>
      <c r="T168" s="331" t="n"/>
      <c r="U168" s="456" t="n"/>
      <c r="V168" s="457">
        <f>IF($AO168&lt;&gt;"OK",0,IF(AND(DATE('Thiết lập'!$B$4,1,1)&gt;=DATE(YEAR($H168),MONTH($H168),1),DATE('Thiết lập'!$B$4,1,1)&lt;EDATE(DATE(YEAR($H168),MONTH($H168),1),$O168)),MIN($P168,MAX(0,$N168-$U168-0)),0))</f>
        <v/>
      </c>
      <c r="W168" s="457">
        <f>IF($AO168&lt;&gt;"OK",0,IF(AND(DATE('Thiết lập'!$B$4,2,1)&gt;=DATE(YEAR($H168),MONTH($H168),1),DATE('Thiết lập'!$B$4,2,1)&lt;EDATE(DATE(YEAR($H168),MONTH($H168),1),$O168)),MIN($P168,MAX(0,$N168-$U168-SUM($V168:V168))),0))</f>
        <v/>
      </c>
      <c r="X168" s="457">
        <f>IF($AO168&lt;&gt;"OK",0,IF(AND(DATE('Thiết lập'!$B$4,3,1)&gt;=DATE(YEAR($H168),MONTH($H168),1),DATE('Thiết lập'!$B$4,3,1)&lt;EDATE(DATE(YEAR($H168),MONTH($H168),1),$O168)),MIN($P168,MAX(0,$N168-$U168-SUM($V168:W168))),0))</f>
        <v/>
      </c>
      <c r="Y168" s="457">
        <f>IF($AO168&lt;&gt;"OK",0,IF(AND(DATE('Thiết lập'!$B$4,4,1)&gt;=DATE(YEAR($H168),MONTH($H168),1),DATE('Thiết lập'!$B$4,4,1)&lt;EDATE(DATE(YEAR($H168),MONTH($H168),1),$O168)),MIN($P168,MAX(0,$N168-$U168-SUM($V168:X168))),0))</f>
        <v/>
      </c>
      <c r="Z168" s="457">
        <f>IF($AO168&lt;&gt;"OK",0,IF(AND(DATE('Thiết lập'!$B$4,5,1)&gt;=DATE(YEAR($H168),MONTH($H168),1),DATE('Thiết lập'!$B$4,5,1)&lt;EDATE(DATE(YEAR($H168),MONTH($H168),1),$O168)),MIN($P168,MAX(0,$N168-$U168-SUM($V168:Y168))),0))</f>
        <v/>
      </c>
      <c r="AA168" s="457">
        <f>IF($AO168&lt;&gt;"OK",0,IF(AND(DATE('Thiết lập'!$B$4,6,1)&gt;=DATE(YEAR($H168),MONTH($H168),1),DATE('Thiết lập'!$B$4,6,1)&lt;EDATE(DATE(YEAR($H168),MONTH($H168),1),$O168)),MIN($P168,MAX(0,$N168-$U168-SUM($V168:Z168))),0))</f>
        <v/>
      </c>
      <c r="AB168" s="457">
        <f>IF($AO168&lt;&gt;"OK",0,IF(AND(DATE('Thiết lập'!$B$4,7,1)&gt;=DATE(YEAR($H168),MONTH($H168),1),DATE('Thiết lập'!$B$4,7,1)&lt;EDATE(DATE(YEAR($H168),MONTH($H168),1),$O168)),MIN($P168,MAX(0,$N168-$U168-SUM($V168:AA168))),0))</f>
        <v/>
      </c>
      <c r="AC168" s="457">
        <f>IF($AO168&lt;&gt;"OK",0,IF(AND(DATE('Thiết lập'!$B$4,8,1)&gt;=DATE(YEAR($H168),MONTH($H168),1),DATE('Thiết lập'!$B$4,8,1)&lt;EDATE(DATE(YEAR($H168),MONTH($H168),1),$O168)),MIN($P168,MAX(0,$N168-$U168-SUM($V168:AB168))),0))</f>
        <v/>
      </c>
      <c r="AD168" s="457">
        <f>IF($AO168&lt;&gt;"OK",0,IF(AND(DATE('Thiết lập'!$B$4,9,1)&gt;=DATE(YEAR($H168),MONTH($H168),1),DATE('Thiết lập'!$B$4,9,1)&lt;EDATE(DATE(YEAR($H168),MONTH($H168),1),$O168)),MIN($P168,MAX(0,$N168-$U168-SUM($V168:AC168))),0))</f>
        <v/>
      </c>
      <c r="AE168" s="457">
        <f>IF($AO168&lt;&gt;"OK",0,IF(AND(DATE('Thiết lập'!$B$4,10,1)&gt;=DATE(YEAR($H168),MONTH($H168),1),DATE('Thiết lập'!$B$4,10,1)&lt;EDATE(DATE(YEAR($H168),MONTH($H168),1),$O168)),MIN($P168,MAX(0,$N168-$U168-SUM($V168:AD168))),0))</f>
        <v/>
      </c>
      <c r="AF168" s="457">
        <f>IF($AO168&lt;&gt;"OK",0,IF(AND(DATE('Thiết lập'!$B$4,11,1)&gt;=DATE(YEAR($H168),MONTH($H168),1),DATE('Thiết lập'!$B$4,11,1)&lt;EDATE(DATE(YEAR($H168),MONTH($H168),1),$O168)),MIN($P168,MAX(0,$N168-$U168-SUM($V168:AE168))),0))</f>
        <v/>
      </c>
      <c r="AG168" s="457">
        <f>IF($AO168&lt;&gt;"OK",0,IF(AND(DATE('Thiết lập'!$B$4,12,1)&gt;=DATE(YEAR($H168),MONTH($H168),1),DATE('Thiết lập'!$B$4,12,1)&lt;EDATE(DATE(YEAR($H168),MONTH($H168),1),$O168)),MIN($P168,MAX(0,$N168-$U168-SUM($V168:AF168))),0))</f>
        <v/>
      </c>
      <c r="AH168" s="457">
        <f>IF(B168="","",SUM(V168:AG168))</f>
        <v/>
      </c>
      <c r="AI168" s="457">
        <f>IF(B168="","",MIN(N168,IF(U168="",0,U168)+AH168))</f>
        <v/>
      </c>
      <c r="AJ168" s="457">
        <f>IF(B168="","",MAX(0,L168-AI168))</f>
        <v/>
      </c>
      <c r="AK168" s="337">
        <f>IF(B168="","",IF(H168&gt;'Thiết lập'!$B$5,"Chưa khấu hao",IF(AJ168&lt;=IF(M168="",0,M168),"Đã hết khấu hao","Đang khấu hao")))</f>
        <v/>
      </c>
      <c r="AL168" s="275" t="n"/>
      <c r="AM168" s="275" t="n"/>
      <c r="AN168" s="275" t="n"/>
      <c r="AO168" s="343">
        <f>IF(B168="","",IF(COUNTIF($B$7:$B$306,B168)&gt;1,"Trùng mã TSCĐ",IF(C168="","Thiếu tên TSCĐ",IF(H168="","Thiếu ngày bắt đầu",IF(OR(I168&lt;=0,L168&lt;=0,O168&lt;=0),"Kiểm tra số lượng/nguyên giá/thời gian",IF(AND(G168&lt;&gt;"",H168&lt;G168),"Ngày KH trước ngày ghi tăng",IF(M168&gt;L168,"Giá trị thu hồi vượt nguyên giá",IF(IF(U168="",0,U168)&gt;N168,"Lũy kế đầu năm vượt GTKH","OK"))))))))</f>
        <v/>
      </c>
    </row>
    <row r="169" ht="20" customHeight="1" s="389">
      <c r="A169" s="325">
        <f>IF(B169="","",ROW()-6)</f>
        <v/>
      </c>
      <c r="B169" s="275" t="n"/>
      <c r="C169" s="275" t="n"/>
      <c r="D169" s="331" t="n"/>
      <c r="E169" s="331" t="n"/>
      <c r="F169" s="454" t="n"/>
      <c r="G169" s="454" t="n"/>
      <c r="H169" s="454" t="n"/>
      <c r="I169" s="455" t="n"/>
      <c r="J169" s="456" t="n"/>
      <c r="K169" s="456" t="n"/>
      <c r="L169" s="457">
        <f>IF(B169="","",IF(OR(I169="",J169=""),"",I169*J169+IF(K169="",0,K169)))</f>
        <v/>
      </c>
      <c r="M169" s="456" t="n"/>
      <c r="N169" s="457">
        <f>IF(L169="","",MAX(0,L169-IF(M169="",0,M169)))</f>
        <v/>
      </c>
      <c r="O169" s="455" t="n"/>
      <c r="P169" s="457">
        <f>IF(OR(N169="",O169&lt;=0),"",ROUND(N169/O169,0))</f>
        <v/>
      </c>
      <c r="Q169" s="458">
        <f>IF(OR(H169="",O169&lt;=0),"",EOMONTH(H169,O169-1))</f>
        <v/>
      </c>
      <c r="R169" s="331" t="n"/>
      <c r="S169" s="331" t="n"/>
      <c r="T169" s="331" t="n"/>
      <c r="U169" s="456" t="n"/>
      <c r="V169" s="457">
        <f>IF($AO169&lt;&gt;"OK",0,IF(AND(DATE('Thiết lập'!$B$4,1,1)&gt;=DATE(YEAR($H169),MONTH($H169),1),DATE('Thiết lập'!$B$4,1,1)&lt;EDATE(DATE(YEAR($H169),MONTH($H169),1),$O169)),MIN($P169,MAX(0,$N169-$U169-0)),0))</f>
        <v/>
      </c>
      <c r="W169" s="457">
        <f>IF($AO169&lt;&gt;"OK",0,IF(AND(DATE('Thiết lập'!$B$4,2,1)&gt;=DATE(YEAR($H169),MONTH($H169),1),DATE('Thiết lập'!$B$4,2,1)&lt;EDATE(DATE(YEAR($H169),MONTH($H169),1),$O169)),MIN($P169,MAX(0,$N169-$U169-SUM($V169:V169))),0))</f>
        <v/>
      </c>
      <c r="X169" s="457">
        <f>IF($AO169&lt;&gt;"OK",0,IF(AND(DATE('Thiết lập'!$B$4,3,1)&gt;=DATE(YEAR($H169),MONTH($H169),1),DATE('Thiết lập'!$B$4,3,1)&lt;EDATE(DATE(YEAR($H169),MONTH($H169),1),$O169)),MIN($P169,MAX(0,$N169-$U169-SUM($V169:W169))),0))</f>
        <v/>
      </c>
      <c r="Y169" s="457">
        <f>IF($AO169&lt;&gt;"OK",0,IF(AND(DATE('Thiết lập'!$B$4,4,1)&gt;=DATE(YEAR($H169),MONTH($H169),1),DATE('Thiết lập'!$B$4,4,1)&lt;EDATE(DATE(YEAR($H169),MONTH($H169),1),$O169)),MIN($P169,MAX(0,$N169-$U169-SUM($V169:X169))),0))</f>
        <v/>
      </c>
      <c r="Z169" s="457">
        <f>IF($AO169&lt;&gt;"OK",0,IF(AND(DATE('Thiết lập'!$B$4,5,1)&gt;=DATE(YEAR($H169),MONTH($H169),1),DATE('Thiết lập'!$B$4,5,1)&lt;EDATE(DATE(YEAR($H169),MONTH($H169),1),$O169)),MIN($P169,MAX(0,$N169-$U169-SUM($V169:Y169))),0))</f>
        <v/>
      </c>
      <c r="AA169" s="457">
        <f>IF($AO169&lt;&gt;"OK",0,IF(AND(DATE('Thiết lập'!$B$4,6,1)&gt;=DATE(YEAR($H169),MONTH($H169),1),DATE('Thiết lập'!$B$4,6,1)&lt;EDATE(DATE(YEAR($H169),MONTH($H169),1),$O169)),MIN($P169,MAX(0,$N169-$U169-SUM($V169:Z169))),0))</f>
        <v/>
      </c>
      <c r="AB169" s="457">
        <f>IF($AO169&lt;&gt;"OK",0,IF(AND(DATE('Thiết lập'!$B$4,7,1)&gt;=DATE(YEAR($H169),MONTH($H169),1),DATE('Thiết lập'!$B$4,7,1)&lt;EDATE(DATE(YEAR($H169),MONTH($H169),1),$O169)),MIN($P169,MAX(0,$N169-$U169-SUM($V169:AA169))),0))</f>
        <v/>
      </c>
      <c r="AC169" s="457">
        <f>IF($AO169&lt;&gt;"OK",0,IF(AND(DATE('Thiết lập'!$B$4,8,1)&gt;=DATE(YEAR($H169),MONTH($H169),1),DATE('Thiết lập'!$B$4,8,1)&lt;EDATE(DATE(YEAR($H169),MONTH($H169),1),$O169)),MIN($P169,MAX(0,$N169-$U169-SUM($V169:AB169))),0))</f>
        <v/>
      </c>
      <c r="AD169" s="457">
        <f>IF($AO169&lt;&gt;"OK",0,IF(AND(DATE('Thiết lập'!$B$4,9,1)&gt;=DATE(YEAR($H169),MONTH($H169),1),DATE('Thiết lập'!$B$4,9,1)&lt;EDATE(DATE(YEAR($H169),MONTH($H169),1),$O169)),MIN($P169,MAX(0,$N169-$U169-SUM($V169:AC169))),0))</f>
        <v/>
      </c>
      <c r="AE169" s="457">
        <f>IF($AO169&lt;&gt;"OK",0,IF(AND(DATE('Thiết lập'!$B$4,10,1)&gt;=DATE(YEAR($H169),MONTH($H169),1),DATE('Thiết lập'!$B$4,10,1)&lt;EDATE(DATE(YEAR($H169),MONTH($H169),1),$O169)),MIN($P169,MAX(0,$N169-$U169-SUM($V169:AD169))),0))</f>
        <v/>
      </c>
      <c r="AF169" s="457">
        <f>IF($AO169&lt;&gt;"OK",0,IF(AND(DATE('Thiết lập'!$B$4,11,1)&gt;=DATE(YEAR($H169),MONTH($H169),1),DATE('Thiết lập'!$B$4,11,1)&lt;EDATE(DATE(YEAR($H169),MONTH($H169),1),$O169)),MIN($P169,MAX(0,$N169-$U169-SUM($V169:AE169))),0))</f>
        <v/>
      </c>
      <c r="AG169" s="457">
        <f>IF($AO169&lt;&gt;"OK",0,IF(AND(DATE('Thiết lập'!$B$4,12,1)&gt;=DATE(YEAR($H169),MONTH($H169),1),DATE('Thiết lập'!$B$4,12,1)&lt;EDATE(DATE(YEAR($H169),MONTH($H169),1),$O169)),MIN($P169,MAX(0,$N169-$U169-SUM($V169:AF169))),0))</f>
        <v/>
      </c>
      <c r="AH169" s="457">
        <f>IF(B169="","",SUM(V169:AG169))</f>
        <v/>
      </c>
      <c r="AI169" s="457">
        <f>IF(B169="","",MIN(N169,IF(U169="",0,U169)+AH169))</f>
        <v/>
      </c>
      <c r="AJ169" s="457">
        <f>IF(B169="","",MAX(0,L169-AI169))</f>
        <v/>
      </c>
      <c r="AK169" s="337">
        <f>IF(B169="","",IF(H169&gt;'Thiết lập'!$B$5,"Chưa khấu hao",IF(AJ169&lt;=IF(M169="",0,M169),"Đã hết khấu hao","Đang khấu hao")))</f>
        <v/>
      </c>
      <c r="AL169" s="275" t="n"/>
      <c r="AM169" s="275" t="n"/>
      <c r="AN169" s="275" t="n"/>
      <c r="AO169" s="343">
        <f>IF(B169="","",IF(COUNTIF($B$7:$B$306,B169)&gt;1,"Trùng mã TSCĐ",IF(C169="","Thiếu tên TSCĐ",IF(H169="","Thiếu ngày bắt đầu",IF(OR(I169&lt;=0,L169&lt;=0,O169&lt;=0),"Kiểm tra số lượng/nguyên giá/thời gian",IF(AND(G169&lt;&gt;"",H169&lt;G169),"Ngày KH trước ngày ghi tăng",IF(M169&gt;L169,"Giá trị thu hồi vượt nguyên giá",IF(IF(U169="",0,U169)&gt;N169,"Lũy kế đầu năm vượt GTKH","OK"))))))))</f>
        <v/>
      </c>
    </row>
    <row r="170" ht="20" customHeight="1" s="389">
      <c r="A170" s="325">
        <f>IF(B170="","",ROW()-6)</f>
        <v/>
      </c>
      <c r="B170" s="275" t="n"/>
      <c r="C170" s="275" t="n"/>
      <c r="D170" s="331" t="n"/>
      <c r="E170" s="331" t="n"/>
      <c r="F170" s="454" t="n"/>
      <c r="G170" s="454" t="n"/>
      <c r="H170" s="454" t="n"/>
      <c r="I170" s="455" t="n"/>
      <c r="J170" s="456" t="n"/>
      <c r="K170" s="456" t="n"/>
      <c r="L170" s="457">
        <f>IF(B170="","",IF(OR(I170="",J170=""),"",I170*J170+IF(K170="",0,K170)))</f>
        <v/>
      </c>
      <c r="M170" s="456" t="n"/>
      <c r="N170" s="457">
        <f>IF(L170="","",MAX(0,L170-IF(M170="",0,M170)))</f>
        <v/>
      </c>
      <c r="O170" s="455" t="n"/>
      <c r="P170" s="457">
        <f>IF(OR(N170="",O170&lt;=0),"",ROUND(N170/O170,0))</f>
        <v/>
      </c>
      <c r="Q170" s="458">
        <f>IF(OR(H170="",O170&lt;=0),"",EOMONTH(H170,O170-1))</f>
        <v/>
      </c>
      <c r="R170" s="331" t="n"/>
      <c r="S170" s="331" t="n"/>
      <c r="T170" s="331" t="n"/>
      <c r="U170" s="456" t="n"/>
      <c r="V170" s="457">
        <f>IF($AO170&lt;&gt;"OK",0,IF(AND(DATE('Thiết lập'!$B$4,1,1)&gt;=DATE(YEAR($H170),MONTH($H170),1),DATE('Thiết lập'!$B$4,1,1)&lt;EDATE(DATE(YEAR($H170),MONTH($H170),1),$O170)),MIN($P170,MAX(0,$N170-$U170-0)),0))</f>
        <v/>
      </c>
      <c r="W170" s="457">
        <f>IF($AO170&lt;&gt;"OK",0,IF(AND(DATE('Thiết lập'!$B$4,2,1)&gt;=DATE(YEAR($H170),MONTH($H170),1),DATE('Thiết lập'!$B$4,2,1)&lt;EDATE(DATE(YEAR($H170),MONTH($H170),1),$O170)),MIN($P170,MAX(0,$N170-$U170-SUM($V170:V170))),0))</f>
        <v/>
      </c>
      <c r="X170" s="457">
        <f>IF($AO170&lt;&gt;"OK",0,IF(AND(DATE('Thiết lập'!$B$4,3,1)&gt;=DATE(YEAR($H170),MONTH($H170),1),DATE('Thiết lập'!$B$4,3,1)&lt;EDATE(DATE(YEAR($H170),MONTH($H170),1),$O170)),MIN($P170,MAX(0,$N170-$U170-SUM($V170:W170))),0))</f>
        <v/>
      </c>
      <c r="Y170" s="457">
        <f>IF($AO170&lt;&gt;"OK",0,IF(AND(DATE('Thiết lập'!$B$4,4,1)&gt;=DATE(YEAR($H170),MONTH($H170),1),DATE('Thiết lập'!$B$4,4,1)&lt;EDATE(DATE(YEAR($H170),MONTH($H170),1),$O170)),MIN($P170,MAX(0,$N170-$U170-SUM($V170:X170))),0))</f>
        <v/>
      </c>
      <c r="Z170" s="457">
        <f>IF($AO170&lt;&gt;"OK",0,IF(AND(DATE('Thiết lập'!$B$4,5,1)&gt;=DATE(YEAR($H170),MONTH($H170),1),DATE('Thiết lập'!$B$4,5,1)&lt;EDATE(DATE(YEAR($H170),MONTH($H170),1),$O170)),MIN($P170,MAX(0,$N170-$U170-SUM($V170:Y170))),0))</f>
        <v/>
      </c>
      <c r="AA170" s="457">
        <f>IF($AO170&lt;&gt;"OK",0,IF(AND(DATE('Thiết lập'!$B$4,6,1)&gt;=DATE(YEAR($H170),MONTH($H170),1),DATE('Thiết lập'!$B$4,6,1)&lt;EDATE(DATE(YEAR($H170),MONTH($H170),1),$O170)),MIN($P170,MAX(0,$N170-$U170-SUM($V170:Z170))),0))</f>
        <v/>
      </c>
      <c r="AB170" s="457">
        <f>IF($AO170&lt;&gt;"OK",0,IF(AND(DATE('Thiết lập'!$B$4,7,1)&gt;=DATE(YEAR($H170),MONTH($H170),1),DATE('Thiết lập'!$B$4,7,1)&lt;EDATE(DATE(YEAR($H170),MONTH($H170),1),$O170)),MIN($P170,MAX(0,$N170-$U170-SUM($V170:AA170))),0))</f>
        <v/>
      </c>
      <c r="AC170" s="457">
        <f>IF($AO170&lt;&gt;"OK",0,IF(AND(DATE('Thiết lập'!$B$4,8,1)&gt;=DATE(YEAR($H170),MONTH($H170),1),DATE('Thiết lập'!$B$4,8,1)&lt;EDATE(DATE(YEAR($H170),MONTH($H170),1),$O170)),MIN($P170,MAX(0,$N170-$U170-SUM($V170:AB170))),0))</f>
        <v/>
      </c>
      <c r="AD170" s="457">
        <f>IF($AO170&lt;&gt;"OK",0,IF(AND(DATE('Thiết lập'!$B$4,9,1)&gt;=DATE(YEAR($H170),MONTH($H170),1),DATE('Thiết lập'!$B$4,9,1)&lt;EDATE(DATE(YEAR($H170),MONTH($H170),1),$O170)),MIN($P170,MAX(0,$N170-$U170-SUM($V170:AC170))),0))</f>
        <v/>
      </c>
      <c r="AE170" s="457">
        <f>IF($AO170&lt;&gt;"OK",0,IF(AND(DATE('Thiết lập'!$B$4,10,1)&gt;=DATE(YEAR($H170),MONTH($H170),1),DATE('Thiết lập'!$B$4,10,1)&lt;EDATE(DATE(YEAR($H170),MONTH($H170),1),$O170)),MIN($P170,MAX(0,$N170-$U170-SUM($V170:AD170))),0))</f>
        <v/>
      </c>
      <c r="AF170" s="457">
        <f>IF($AO170&lt;&gt;"OK",0,IF(AND(DATE('Thiết lập'!$B$4,11,1)&gt;=DATE(YEAR($H170),MONTH($H170),1),DATE('Thiết lập'!$B$4,11,1)&lt;EDATE(DATE(YEAR($H170),MONTH($H170),1),$O170)),MIN($P170,MAX(0,$N170-$U170-SUM($V170:AE170))),0))</f>
        <v/>
      </c>
      <c r="AG170" s="457">
        <f>IF($AO170&lt;&gt;"OK",0,IF(AND(DATE('Thiết lập'!$B$4,12,1)&gt;=DATE(YEAR($H170),MONTH($H170),1),DATE('Thiết lập'!$B$4,12,1)&lt;EDATE(DATE(YEAR($H170),MONTH($H170),1),$O170)),MIN($P170,MAX(0,$N170-$U170-SUM($V170:AF170))),0))</f>
        <v/>
      </c>
      <c r="AH170" s="457">
        <f>IF(B170="","",SUM(V170:AG170))</f>
        <v/>
      </c>
      <c r="AI170" s="457">
        <f>IF(B170="","",MIN(N170,IF(U170="",0,U170)+AH170))</f>
        <v/>
      </c>
      <c r="AJ170" s="457">
        <f>IF(B170="","",MAX(0,L170-AI170))</f>
        <v/>
      </c>
      <c r="AK170" s="337">
        <f>IF(B170="","",IF(H170&gt;'Thiết lập'!$B$5,"Chưa khấu hao",IF(AJ170&lt;=IF(M170="",0,M170),"Đã hết khấu hao","Đang khấu hao")))</f>
        <v/>
      </c>
      <c r="AL170" s="275" t="n"/>
      <c r="AM170" s="275" t="n"/>
      <c r="AN170" s="275" t="n"/>
      <c r="AO170" s="343">
        <f>IF(B170="","",IF(COUNTIF($B$7:$B$306,B170)&gt;1,"Trùng mã TSCĐ",IF(C170="","Thiếu tên TSCĐ",IF(H170="","Thiếu ngày bắt đầu",IF(OR(I170&lt;=0,L170&lt;=0,O170&lt;=0),"Kiểm tra số lượng/nguyên giá/thời gian",IF(AND(G170&lt;&gt;"",H170&lt;G170),"Ngày KH trước ngày ghi tăng",IF(M170&gt;L170,"Giá trị thu hồi vượt nguyên giá",IF(IF(U170="",0,U170)&gt;N170,"Lũy kế đầu năm vượt GTKH","OK"))))))))</f>
        <v/>
      </c>
    </row>
    <row r="171" ht="20" customHeight="1" s="389">
      <c r="A171" s="325">
        <f>IF(B171="","",ROW()-6)</f>
        <v/>
      </c>
      <c r="B171" s="275" t="n"/>
      <c r="C171" s="275" t="n"/>
      <c r="D171" s="331" t="n"/>
      <c r="E171" s="331" t="n"/>
      <c r="F171" s="454" t="n"/>
      <c r="G171" s="454" t="n"/>
      <c r="H171" s="454" t="n"/>
      <c r="I171" s="455" t="n"/>
      <c r="J171" s="456" t="n"/>
      <c r="K171" s="456" t="n"/>
      <c r="L171" s="457">
        <f>IF(B171="","",IF(OR(I171="",J171=""),"",I171*J171+IF(K171="",0,K171)))</f>
        <v/>
      </c>
      <c r="M171" s="456" t="n"/>
      <c r="N171" s="457">
        <f>IF(L171="","",MAX(0,L171-IF(M171="",0,M171)))</f>
        <v/>
      </c>
      <c r="O171" s="455" t="n"/>
      <c r="P171" s="457">
        <f>IF(OR(N171="",O171&lt;=0),"",ROUND(N171/O171,0))</f>
        <v/>
      </c>
      <c r="Q171" s="458">
        <f>IF(OR(H171="",O171&lt;=0),"",EOMONTH(H171,O171-1))</f>
        <v/>
      </c>
      <c r="R171" s="331" t="n"/>
      <c r="S171" s="331" t="n"/>
      <c r="T171" s="331" t="n"/>
      <c r="U171" s="456" t="n"/>
      <c r="V171" s="457">
        <f>IF($AO171&lt;&gt;"OK",0,IF(AND(DATE('Thiết lập'!$B$4,1,1)&gt;=DATE(YEAR($H171),MONTH($H171),1),DATE('Thiết lập'!$B$4,1,1)&lt;EDATE(DATE(YEAR($H171),MONTH($H171),1),$O171)),MIN($P171,MAX(0,$N171-$U171-0)),0))</f>
        <v/>
      </c>
      <c r="W171" s="457">
        <f>IF($AO171&lt;&gt;"OK",0,IF(AND(DATE('Thiết lập'!$B$4,2,1)&gt;=DATE(YEAR($H171),MONTH($H171),1),DATE('Thiết lập'!$B$4,2,1)&lt;EDATE(DATE(YEAR($H171),MONTH($H171),1),$O171)),MIN($P171,MAX(0,$N171-$U171-SUM($V171:V171))),0))</f>
        <v/>
      </c>
      <c r="X171" s="457">
        <f>IF($AO171&lt;&gt;"OK",0,IF(AND(DATE('Thiết lập'!$B$4,3,1)&gt;=DATE(YEAR($H171),MONTH($H171),1),DATE('Thiết lập'!$B$4,3,1)&lt;EDATE(DATE(YEAR($H171),MONTH($H171),1),$O171)),MIN($P171,MAX(0,$N171-$U171-SUM($V171:W171))),0))</f>
        <v/>
      </c>
      <c r="Y171" s="457">
        <f>IF($AO171&lt;&gt;"OK",0,IF(AND(DATE('Thiết lập'!$B$4,4,1)&gt;=DATE(YEAR($H171),MONTH($H171),1),DATE('Thiết lập'!$B$4,4,1)&lt;EDATE(DATE(YEAR($H171),MONTH($H171),1),$O171)),MIN($P171,MAX(0,$N171-$U171-SUM($V171:X171))),0))</f>
        <v/>
      </c>
      <c r="Z171" s="457">
        <f>IF($AO171&lt;&gt;"OK",0,IF(AND(DATE('Thiết lập'!$B$4,5,1)&gt;=DATE(YEAR($H171),MONTH($H171),1),DATE('Thiết lập'!$B$4,5,1)&lt;EDATE(DATE(YEAR($H171),MONTH($H171),1),$O171)),MIN($P171,MAX(0,$N171-$U171-SUM($V171:Y171))),0))</f>
        <v/>
      </c>
      <c r="AA171" s="457">
        <f>IF($AO171&lt;&gt;"OK",0,IF(AND(DATE('Thiết lập'!$B$4,6,1)&gt;=DATE(YEAR($H171),MONTH($H171),1),DATE('Thiết lập'!$B$4,6,1)&lt;EDATE(DATE(YEAR($H171),MONTH($H171),1),$O171)),MIN($P171,MAX(0,$N171-$U171-SUM($V171:Z171))),0))</f>
        <v/>
      </c>
      <c r="AB171" s="457">
        <f>IF($AO171&lt;&gt;"OK",0,IF(AND(DATE('Thiết lập'!$B$4,7,1)&gt;=DATE(YEAR($H171),MONTH($H171),1),DATE('Thiết lập'!$B$4,7,1)&lt;EDATE(DATE(YEAR($H171),MONTH($H171),1),$O171)),MIN($P171,MAX(0,$N171-$U171-SUM($V171:AA171))),0))</f>
        <v/>
      </c>
      <c r="AC171" s="457">
        <f>IF($AO171&lt;&gt;"OK",0,IF(AND(DATE('Thiết lập'!$B$4,8,1)&gt;=DATE(YEAR($H171),MONTH($H171),1),DATE('Thiết lập'!$B$4,8,1)&lt;EDATE(DATE(YEAR($H171),MONTH($H171),1),$O171)),MIN($P171,MAX(0,$N171-$U171-SUM($V171:AB171))),0))</f>
        <v/>
      </c>
      <c r="AD171" s="457">
        <f>IF($AO171&lt;&gt;"OK",0,IF(AND(DATE('Thiết lập'!$B$4,9,1)&gt;=DATE(YEAR($H171),MONTH($H171),1),DATE('Thiết lập'!$B$4,9,1)&lt;EDATE(DATE(YEAR($H171),MONTH($H171),1),$O171)),MIN($P171,MAX(0,$N171-$U171-SUM($V171:AC171))),0))</f>
        <v/>
      </c>
      <c r="AE171" s="457">
        <f>IF($AO171&lt;&gt;"OK",0,IF(AND(DATE('Thiết lập'!$B$4,10,1)&gt;=DATE(YEAR($H171),MONTH($H171),1),DATE('Thiết lập'!$B$4,10,1)&lt;EDATE(DATE(YEAR($H171),MONTH($H171),1),$O171)),MIN($P171,MAX(0,$N171-$U171-SUM($V171:AD171))),0))</f>
        <v/>
      </c>
      <c r="AF171" s="457">
        <f>IF($AO171&lt;&gt;"OK",0,IF(AND(DATE('Thiết lập'!$B$4,11,1)&gt;=DATE(YEAR($H171),MONTH($H171),1),DATE('Thiết lập'!$B$4,11,1)&lt;EDATE(DATE(YEAR($H171),MONTH($H171),1),$O171)),MIN($P171,MAX(0,$N171-$U171-SUM($V171:AE171))),0))</f>
        <v/>
      </c>
      <c r="AG171" s="457">
        <f>IF($AO171&lt;&gt;"OK",0,IF(AND(DATE('Thiết lập'!$B$4,12,1)&gt;=DATE(YEAR($H171),MONTH($H171),1),DATE('Thiết lập'!$B$4,12,1)&lt;EDATE(DATE(YEAR($H171),MONTH($H171),1),$O171)),MIN($P171,MAX(0,$N171-$U171-SUM($V171:AF171))),0))</f>
        <v/>
      </c>
      <c r="AH171" s="457">
        <f>IF(B171="","",SUM(V171:AG171))</f>
        <v/>
      </c>
      <c r="AI171" s="457">
        <f>IF(B171="","",MIN(N171,IF(U171="",0,U171)+AH171))</f>
        <v/>
      </c>
      <c r="AJ171" s="457">
        <f>IF(B171="","",MAX(0,L171-AI171))</f>
        <v/>
      </c>
      <c r="AK171" s="337">
        <f>IF(B171="","",IF(H171&gt;'Thiết lập'!$B$5,"Chưa khấu hao",IF(AJ171&lt;=IF(M171="",0,M171),"Đã hết khấu hao","Đang khấu hao")))</f>
        <v/>
      </c>
      <c r="AL171" s="275" t="n"/>
      <c r="AM171" s="275" t="n"/>
      <c r="AN171" s="275" t="n"/>
      <c r="AO171" s="343">
        <f>IF(B171="","",IF(COUNTIF($B$7:$B$306,B171)&gt;1,"Trùng mã TSCĐ",IF(C171="","Thiếu tên TSCĐ",IF(H171="","Thiếu ngày bắt đầu",IF(OR(I171&lt;=0,L171&lt;=0,O171&lt;=0),"Kiểm tra số lượng/nguyên giá/thời gian",IF(AND(G171&lt;&gt;"",H171&lt;G171),"Ngày KH trước ngày ghi tăng",IF(M171&gt;L171,"Giá trị thu hồi vượt nguyên giá",IF(IF(U171="",0,U171)&gt;N171,"Lũy kế đầu năm vượt GTKH","OK"))))))))</f>
        <v/>
      </c>
    </row>
    <row r="172" ht="20" customHeight="1" s="389">
      <c r="A172" s="325">
        <f>IF(B172="","",ROW()-6)</f>
        <v/>
      </c>
      <c r="B172" s="275" t="n"/>
      <c r="C172" s="275" t="n"/>
      <c r="D172" s="331" t="n"/>
      <c r="E172" s="331" t="n"/>
      <c r="F172" s="454" t="n"/>
      <c r="G172" s="454" t="n"/>
      <c r="H172" s="454" t="n"/>
      <c r="I172" s="455" t="n"/>
      <c r="J172" s="456" t="n"/>
      <c r="K172" s="456" t="n"/>
      <c r="L172" s="457">
        <f>IF(B172="","",IF(OR(I172="",J172=""),"",I172*J172+IF(K172="",0,K172)))</f>
        <v/>
      </c>
      <c r="M172" s="456" t="n"/>
      <c r="N172" s="457">
        <f>IF(L172="","",MAX(0,L172-IF(M172="",0,M172)))</f>
        <v/>
      </c>
      <c r="O172" s="455" t="n"/>
      <c r="P172" s="457">
        <f>IF(OR(N172="",O172&lt;=0),"",ROUND(N172/O172,0))</f>
        <v/>
      </c>
      <c r="Q172" s="458">
        <f>IF(OR(H172="",O172&lt;=0),"",EOMONTH(H172,O172-1))</f>
        <v/>
      </c>
      <c r="R172" s="331" t="n"/>
      <c r="S172" s="331" t="n"/>
      <c r="T172" s="331" t="n"/>
      <c r="U172" s="456" t="n"/>
      <c r="V172" s="457">
        <f>IF($AO172&lt;&gt;"OK",0,IF(AND(DATE('Thiết lập'!$B$4,1,1)&gt;=DATE(YEAR($H172),MONTH($H172),1),DATE('Thiết lập'!$B$4,1,1)&lt;EDATE(DATE(YEAR($H172),MONTH($H172),1),$O172)),MIN($P172,MAX(0,$N172-$U172-0)),0))</f>
        <v/>
      </c>
      <c r="W172" s="457">
        <f>IF($AO172&lt;&gt;"OK",0,IF(AND(DATE('Thiết lập'!$B$4,2,1)&gt;=DATE(YEAR($H172),MONTH($H172),1),DATE('Thiết lập'!$B$4,2,1)&lt;EDATE(DATE(YEAR($H172),MONTH($H172),1),$O172)),MIN($P172,MAX(0,$N172-$U172-SUM($V172:V172))),0))</f>
        <v/>
      </c>
      <c r="X172" s="457">
        <f>IF($AO172&lt;&gt;"OK",0,IF(AND(DATE('Thiết lập'!$B$4,3,1)&gt;=DATE(YEAR($H172),MONTH($H172),1),DATE('Thiết lập'!$B$4,3,1)&lt;EDATE(DATE(YEAR($H172),MONTH($H172),1),$O172)),MIN($P172,MAX(0,$N172-$U172-SUM($V172:W172))),0))</f>
        <v/>
      </c>
      <c r="Y172" s="457">
        <f>IF($AO172&lt;&gt;"OK",0,IF(AND(DATE('Thiết lập'!$B$4,4,1)&gt;=DATE(YEAR($H172),MONTH($H172),1),DATE('Thiết lập'!$B$4,4,1)&lt;EDATE(DATE(YEAR($H172),MONTH($H172),1),$O172)),MIN($P172,MAX(0,$N172-$U172-SUM($V172:X172))),0))</f>
        <v/>
      </c>
      <c r="Z172" s="457">
        <f>IF($AO172&lt;&gt;"OK",0,IF(AND(DATE('Thiết lập'!$B$4,5,1)&gt;=DATE(YEAR($H172),MONTH($H172),1),DATE('Thiết lập'!$B$4,5,1)&lt;EDATE(DATE(YEAR($H172),MONTH($H172),1),$O172)),MIN($P172,MAX(0,$N172-$U172-SUM($V172:Y172))),0))</f>
        <v/>
      </c>
      <c r="AA172" s="457">
        <f>IF($AO172&lt;&gt;"OK",0,IF(AND(DATE('Thiết lập'!$B$4,6,1)&gt;=DATE(YEAR($H172),MONTH($H172),1),DATE('Thiết lập'!$B$4,6,1)&lt;EDATE(DATE(YEAR($H172),MONTH($H172),1),$O172)),MIN($P172,MAX(0,$N172-$U172-SUM($V172:Z172))),0))</f>
        <v/>
      </c>
      <c r="AB172" s="457">
        <f>IF($AO172&lt;&gt;"OK",0,IF(AND(DATE('Thiết lập'!$B$4,7,1)&gt;=DATE(YEAR($H172),MONTH($H172),1),DATE('Thiết lập'!$B$4,7,1)&lt;EDATE(DATE(YEAR($H172),MONTH($H172),1),$O172)),MIN($P172,MAX(0,$N172-$U172-SUM($V172:AA172))),0))</f>
        <v/>
      </c>
      <c r="AC172" s="457">
        <f>IF($AO172&lt;&gt;"OK",0,IF(AND(DATE('Thiết lập'!$B$4,8,1)&gt;=DATE(YEAR($H172),MONTH($H172),1),DATE('Thiết lập'!$B$4,8,1)&lt;EDATE(DATE(YEAR($H172),MONTH($H172),1),$O172)),MIN($P172,MAX(0,$N172-$U172-SUM($V172:AB172))),0))</f>
        <v/>
      </c>
      <c r="AD172" s="457">
        <f>IF($AO172&lt;&gt;"OK",0,IF(AND(DATE('Thiết lập'!$B$4,9,1)&gt;=DATE(YEAR($H172),MONTH($H172),1),DATE('Thiết lập'!$B$4,9,1)&lt;EDATE(DATE(YEAR($H172),MONTH($H172),1),$O172)),MIN($P172,MAX(0,$N172-$U172-SUM($V172:AC172))),0))</f>
        <v/>
      </c>
      <c r="AE172" s="457">
        <f>IF($AO172&lt;&gt;"OK",0,IF(AND(DATE('Thiết lập'!$B$4,10,1)&gt;=DATE(YEAR($H172),MONTH($H172),1),DATE('Thiết lập'!$B$4,10,1)&lt;EDATE(DATE(YEAR($H172),MONTH($H172),1),$O172)),MIN($P172,MAX(0,$N172-$U172-SUM($V172:AD172))),0))</f>
        <v/>
      </c>
      <c r="AF172" s="457">
        <f>IF($AO172&lt;&gt;"OK",0,IF(AND(DATE('Thiết lập'!$B$4,11,1)&gt;=DATE(YEAR($H172),MONTH($H172),1),DATE('Thiết lập'!$B$4,11,1)&lt;EDATE(DATE(YEAR($H172),MONTH($H172),1),$O172)),MIN($P172,MAX(0,$N172-$U172-SUM($V172:AE172))),0))</f>
        <v/>
      </c>
      <c r="AG172" s="457">
        <f>IF($AO172&lt;&gt;"OK",0,IF(AND(DATE('Thiết lập'!$B$4,12,1)&gt;=DATE(YEAR($H172),MONTH($H172),1),DATE('Thiết lập'!$B$4,12,1)&lt;EDATE(DATE(YEAR($H172),MONTH($H172),1),$O172)),MIN($P172,MAX(0,$N172-$U172-SUM($V172:AF172))),0))</f>
        <v/>
      </c>
      <c r="AH172" s="457">
        <f>IF(B172="","",SUM(V172:AG172))</f>
        <v/>
      </c>
      <c r="AI172" s="457">
        <f>IF(B172="","",MIN(N172,IF(U172="",0,U172)+AH172))</f>
        <v/>
      </c>
      <c r="AJ172" s="457">
        <f>IF(B172="","",MAX(0,L172-AI172))</f>
        <v/>
      </c>
      <c r="AK172" s="337">
        <f>IF(B172="","",IF(H172&gt;'Thiết lập'!$B$5,"Chưa khấu hao",IF(AJ172&lt;=IF(M172="",0,M172),"Đã hết khấu hao","Đang khấu hao")))</f>
        <v/>
      </c>
      <c r="AL172" s="275" t="n"/>
      <c r="AM172" s="275" t="n"/>
      <c r="AN172" s="275" t="n"/>
      <c r="AO172" s="343">
        <f>IF(B172="","",IF(COUNTIF($B$7:$B$306,B172)&gt;1,"Trùng mã TSCĐ",IF(C172="","Thiếu tên TSCĐ",IF(H172="","Thiếu ngày bắt đầu",IF(OR(I172&lt;=0,L172&lt;=0,O172&lt;=0),"Kiểm tra số lượng/nguyên giá/thời gian",IF(AND(G172&lt;&gt;"",H172&lt;G172),"Ngày KH trước ngày ghi tăng",IF(M172&gt;L172,"Giá trị thu hồi vượt nguyên giá",IF(IF(U172="",0,U172)&gt;N172,"Lũy kế đầu năm vượt GTKH","OK"))))))))</f>
        <v/>
      </c>
    </row>
    <row r="173" ht="20" customHeight="1" s="389">
      <c r="A173" s="325">
        <f>IF(B173="","",ROW()-6)</f>
        <v/>
      </c>
      <c r="B173" s="275" t="n"/>
      <c r="C173" s="275" t="n"/>
      <c r="D173" s="331" t="n"/>
      <c r="E173" s="331" t="n"/>
      <c r="F173" s="454" t="n"/>
      <c r="G173" s="454" t="n"/>
      <c r="H173" s="454" t="n"/>
      <c r="I173" s="455" t="n"/>
      <c r="J173" s="456" t="n"/>
      <c r="K173" s="456" t="n"/>
      <c r="L173" s="457">
        <f>IF(B173="","",IF(OR(I173="",J173=""),"",I173*J173+IF(K173="",0,K173)))</f>
        <v/>
      </c>
      <c r="M173" s="456" t="n"/>
      <c r="N173" s="457">
        <f>IF(L173="","",MAX(0,L173-IF(M173="",0,M173)))</f>
        <v/>
      </c>
      <c r="O173" s="455" t="n"/>
      <c r="P173" s="457">
        <f>IF(OR(N173="",O173&lt;=0),"",ROUND(N173/O173,0))</f>
        <v/>
      </c>
      <c r="Q173" s="458">
        <f>IF(OR(H173="",O173&lt;=0),"",EOMONTH(H173,O173-1))</f>
        <v/>
      </c>
      <c r="R173" s="331" t="n"/>
      <c r="S173" s="331" t="n"/>
      <c r="T173" s="331" t="n"/>
      <c r="U173" s="456" t="n"/>
      <c r="V173" s="457">
        <f>IF($AO173&lt;&gt;"OK",0,IF(AND(DATE('Thiết lập'!$B$4,1,1)&gt;=DATE(YEAR($H173),MONTH($H173),1),DATE('Thiết lập'!$B$4,1,1)&lt;EDATE(DATE(YEAR($H173),MONTH($H173),1),$O173)),MIN($P173,MAX(0,$N173-$U173-0)),0))</f>
        <v/>
      </c>
      <c r="W173" s="457">
        <f>IF($AO173&lt;&gt;"OK",0,IF(AND(DATE('Thiết lập'!$B$4,2,1)&gt;=DATE(YEAR($H173),MONTH($H173),1),DATE('Thiết lập'!$B$4,2,1)&lt;EDATE(DATE(YEAR($H173),MONTH($H173),1),$O173)),MIN($P173,MAX(0,$N173-$U173-SUM($V173:V173))),0))</f>
        <v/>
      </c>
      <c r="X173" s="457">
        <f>IF($AO173&lt;&gt;"OK",0,IF(AND(DATE('Thiết lập'!$B$4,3,1)&gt;=DATE(YEAR($H173),MONTH($H173),1),DATE('Thiết lập'!$B$4,3,1)&lt;EDATE(DATE(YEAR($H173),MONTH($H173),1),$O173)),MIN($P173,MAX(0,$N173-$U173-SUM($V173:W173))),0))</f>
        <v/>
      </c>
      <c r="Y173" s="457">
        <f>IF($AO173&lt;&gt;"OK",0,IF(AND(DATE('Thiết lập'!$B$4,4,1)&gt;=DATE(YEAR($H173),MONTH($H173),1),DATE('Thiết lập'!$B$4,4,1)&lt;EDATE(DATE(YEAR($H173),MONTH($H173),1),$O173)),MIN($P173,MAX(0,$N173-$U173-SUM($V173:X173))),0))</f>
        <v/>
      </c>
      <c r="Z173" s="457">
        <f>IF($AO173&lt;&gt;"OK",0,IF(AND(DATE('Thiết lập'!$B$4,5,1)&gt;=DATE(YEAR($H173),MONTH($H173),1),DATE('Thiết lập'!$B$4,5,1)&lt;EDATE(DATE(YEAR($H173),MONTH($H173),1),$O173)),MIN($P173,MAX(0,$N173-$U173-SUM($V173:Y173))),0))</f>
        <v/>
      </c>
      <c r="AA173" s="457">
        <f>IF($AO173&lt;&gt;"OK",0,IF(AND(DATE('Thiết lập'!$B$4,6,1)&gt;=DATE(YEAR($H173),MONTH($H173),1),DATE('Thiết lập'!$B$4,6,1)&lt;EDATE(DATE(YEAR($H173),MONTH($H173),1),$O173)),MIN($P173,MAX(0,$N173-$U173-SUM($V173:Z173))),0))</f>
        <v/>
      </c>
      <c r="AB173" s="457">
        <f>IF($AO173&lt;&gt;"OK",0,IF(AND(DATE('Thiết lập'!$B$4,7,1)&gt;=DATE(YEAR($H173),MONTH($H173),1),DATE('Thiết lập'!$B$4,7,1)&lt;EDATE(DATE(YEAR($H173),MONTH($H173),1),$O173)),MIN($P173,MAX(0,$N173-$U173-SUM($V173:AA173))),0))</f>
        <v/>
      </c>
      <c r="AC173" s="457">
        <f>IF($AO173&lt;&gt;"OK",0,IF(AND(DATE('Thiết lập'!$B$4,8,1)&gt;=DATE(YEAR($H173),MONTH($H173),1),DATE('Thiết lập'!$B$4,8,1)&lt;EDATE(DATE(YEAR($H173),MONTH($H173),1),$O173)),MIN($P173,MAX(0,$N173-$U173-SUM($V173:AB173))),0))</f>
        <v/>
      </c>
      <c r="AD173" s="457">
        <f>IF($AO173&lt;&gt;"OK",0,IF(AND(DATE('Thiết lập'!$B$4,9,1)&gt;=DATE(YEAR($H173),MONTH($H173),1),DATE('Thiết lập'!$B$4,9,1)&lt;EDATE(DATE(YEAR($H173),MONTH($H173),1),$O173)),MIN($P173,MAX(0,$N173-$U173-SUM($V173:AC173))),0))</f>
        <v/>
      </c>
      <c r="AE173" s="457">
        <f>IF($AO173&lt;&gt;"OK",0,IF(AND(DATE('Thiết lập'!$B$4,10,1)&gt;=DATE(YEAR($H173),MONTH($H173),1),DATE('Thiết lập'!$B$4,10,1)&lt;EDATE(DATE(YEAR($H173),MONTH($H173),1),$O173)),MIN($P173,MAX(0,$N173-$U173-SUM($V173:AD173))),0))</f>
        <v/>
      </c>
      <c r="AF173" s="457">
        <f>IF($AO173&lt;&gt;"OK",0,IF(AND(DATE('Thiết lập'!$B$4,11,1)&gt;=DATE(YEAR($H173),MONTH($H173),1),DATE('Thiết lập'!$B$4,11,1)&lt;EDATE(DATE(YEAR($H173),MONTH($H173),1),$O173)),MIN($P173,MAX(0,$N173-$U173-SUM($V173:AE173))),0))</f>
        <v/>
      </c>
      <c r="AG173" s="457">
        <f>IF($AO173&lt;&gt;"OK",0,IF(AND(DATE('Thiết lập'!$B$4,12,1)&gt;=DATE(YEAR($H173),MONTH($H173),1),DATE('Thiết lập'!$B$4,12,1)&lt;EDATE(DATE(YEAR($H173),MONTH($H173),1),$O173)),MIN($P173,MAX(0,$N173-$U173-SUM($V173:AF173))),0))</f>
        <v/>
      </c>
      <c r="AH173" s="457">
        <f>IF(B173="","",SUM(V173:AG173))</f>
        <v/>
      </c>
      <c r="AI173" s="457">
        <f>IF(B173="","",MIN(N173,IF(U173="",0,U173)+AH173))</f>
        <v/>
      </c>
      <c r="AJ173" s="457">
        <f>IF(B173="","",MAX(0,L173-AI173))</f>
        <v/>
      </c>
      <c r="AK173" s="337">
        <f>IF(B173="","",IF(H173&gt;'Thiết lập'!$B$5,"Chưa khấu hao",IF(AJ173&lt;=IF(M173="",0,M173),"Đã hết khấu hao","Đang khấu hao")))</f>
        <v/>
      </c>
      <c r="AL173" s="275" t="n"/>
      <c r="AM173" s="275" t="n"/>
      <c r="AN173" s="275" t="n"/>
      <c r="AO173" s="343">
        <f>IF(B173="","",IF(COUNTIF($B$7:$B$306,B173)&gt;1,"Trùng mã TSCĐ",IF(C173="","Thiếu tên TSCĐ",IF(H173="","Thiếu ngày bắt đầu",IF(OR(I173&lt;=0,L173&lt;=0,O173&lt;=0),"Kiểm tra số lượng/nguyên giá/thời gian",IF(AND(G173&lt;&gt;"",H173&lt;G173),"Ngày KH trước ngày ghi tăng",IF(M173&gt;L173,"Giá trị thu hồi vượt nguyên giá",IF(IF(U173="",0,U173)&gt;N173,"Lũy kế đầu năm vượt GTKH","OK"))))))))</f>
        <v/>
      </c>
    </row>
    <row r="174" ht="20" customHeight="1" s="389">
      <c r="A174" s="325">
        <f>IF(B174="","",ROW()-6)</f>
        <v/>
      </c>
      <c r="B174" s="275" t="n"/>
      <c r="C174" s="275" t="n"/>
      <c r="D174" s="331" t="n"/>
      <c r="E174" s="331" t="n"/>
      <c r="F174" s="454" t="n"/>
      <c r="G174" s="454" t="n"/>
      <c r="H174" s="454" t="n"/>
      <c r="I174" s="455" t="n"/>
      <c r="J174" s="456" t="n"/>
      <c r="K174" s="456" t="n"/>
      <c r="L174" s="457">
        <f>IF(B174="","",IF(OR(I174="",J174=""),"",I174*J174+IF(K174="",0,K174)))</f>
        <v/>
      </c>
      <c r="M174" s="456" t="n"/>
      <c r="N174" s="457">
        <f>IF(L174="","",MAX(0,L174-IF(M174="",0,M174)))</f>
        <v/>
      </c>
      <c r="O174" s="455" t="n"/>
      <c r="P174" s="457">
        <f>IF(OR(N174="",O174&lt;=0),"",ROUND(N174/O174,0))</f>
        <v/>
      </c>
      <c r="Q174" s="458">
        <f>IF(OR(H174="",O174&lt;=0),"",EOMONTH(H174,O174-1))</f>
        <v/>
      </c>
      <c r="R174" s="331" t="n"/>
      <c r="S174" s="331" t="n"/>
      <c r="T174" s="331" t="n"/>
      <c r="U174" s="456" t="n"/>
      <c r="V174" s="457">
        <f>IF($AO174&lt;&gt;"OK",0,IF(AND(DATE('Thiết lập'!$B$4,1,1)&gt;=DATE(YEAR($H174),MONTH($H174),1),DATE('Thiết lập'!$B$4,1,1)&lt;EDATE(DATE(YEAR($H174),MONTH($H174),1),$O174)),MIN($P174,MAX(0,$N174-$U174-0)),0))</f>
        <v/>
      </c>
      <c r="W174" s="457">
        <f>IF($AO174&lt;&gt;"OK",0,IF(AND(DATE('Thiết lập'!$B$4,2,1)&gt;=DATE(YEAR($H174),MONTH($H174),1),DATE('Thiết lập'!$B$4,2,1)&lt;EDATE(DATE(YEAR($H174),MONTH($H174),1),$O174)),MIN($P174,MAX(0,$N174-$U174-SUM($V174:V174))),0))</f>
        <v/>
      </c>
      <c r="X174" s="457">
        <f>IF($AO174&lt;&gt;"OK",0,IF(AND(DATE('Thiết lập'!$B$4,3,1)&gt;=DATE(YEAR($H174),MONTH($H174),1),DATE('Thiết lập'!$B$4,3,1)&lt;EDATE(DATE(YEAR($H174),MONTH($H174),1),$O174)),MIN($P174,MAX(0,$N174-$U174-SUM($V174:W174))),0))</f>
        <v/>
      </c>
      <c r="Y174" s="457">
        <f>IF($AO174&lt;&gt;"OK",0,IF(AND(DATE('Thiết lập'!$B$4,4,1)&gt;=DATE(YEAR($H174),MONTH($H174),1),DATE('Thiết lập'!$B$4,4,1)&lt;EDATE(DATE(YEAR($H174),MONTH($H174),1),$O174)),MIN($P174,MAX(0,$N174-$U174-SUM($V174:X174))),0))</f>
        <v/>
      </c>
      <c r="Z174" s="457">
        <f>IF($AO174&lt;&gt;"OK",0,IF(AND(DATE('Thiết lập'!$B$4,5,1)&gt;=DATE(YEAR($H174),MONTH($H174),1),DATE('Thiết lập'!$B$4,5,1)&lt;EDATE(DATE(YEAR($H174),MONTH($H174),1),$O174)),MIN($P174,MAX(0,$N174-$U174-SUM($V174:Y174))),0))</f>
        <v/>
      </c>
      <c r="AA174" s="457">
        <f>IF($AO174&lt;&gt;"OK",0,IF(AND(DATE('Thiết lập'!$B$4,6,1)&gt;=DATE(YEAR($H174),MONTH($H174),1),DATE('Thiết lập'!$B$4,6,1)&lt;EDATE(DATE(YEAR($H174),MONTH($H174),1),$O174)),MIN($P174,MAX(0,$N174-$U174-SUM($V174:Z174))),0))</f>
        <v/>
      </c>
      <c r="AB174" s="457">
        <f>IF($AO174&lt;&gt;"OK",0,IF(AND(DATE('Thiết lập'!$B$4,7,1)&gt;=DATE(YEAR($H174),MONTH($H174),1),DATE('Thiết lập'!$B$4,7,1)&lt;EDATE(DATE(YEAR($H174),MONTH($H174),1),$O174)),MIN($P174,MAX(0,$N174-$U174-SUM($V174:AA174))),0))</f>
        <v/>
      </c>
      <c r="AC174" s="457">
        <f>IF($AO174&lt;&gt;"OK",0,IF(AND(DATE('Thiết lập'!$B$4,8,1)&gt;=DATE(YEAR($H174),MONTH($H174),1),DATE('Thiết lập'!$B$4,8,1)&lt;EDATE(DATE(YEAR($H174),MONTH($H174),1),$O174)),MIN($P174,MAX(0,$N174-$U174-SUM($V174:AB174))),0))</f>
        <v/>
      </c>
      <c r="AD174" s="457">
        <f>IF($AO174&lt;&gt;"OK",0,IF(AND(DATE('Thiết lập'!$B$4,9,1)&gt;=DATE(YEAR($H174),MONTH($H174),1),DATE('Thiết lập'!$B$4,9,1)&lt;EDATE(DATE(YEAR($H174),MONTH($H174),1),$O174)),MIN($P174,MAX(0,$N174-$U174-SUM($V174:AC174))),0))</f>
        <v/>
      </c>
      <c r="AE174" s="457">
        <f>IF($AO174&lt;&gt;"OK",0,IF(AND(DATE('Thiết lập'!$B$4,10,1)&gt;=DATE(YEAR($H174),MONTH($H174),1),DATE('Thiết lập'!$B$4,10,1)&lt;EDATE(DATE(YEAR($H174),MONTH($H174),1),$O174)),MIN($P174,MAX(0,$N174-$U174-SUM($V174:AD174))),0))</f>
        <v/>
      </c>
      <c r="AF174" s="457">
        <f>IF($AO174&lt;&gt;"OK",0,IF(AND(DATE('Thiết lập'!$B$4,11,1)&gt;=DATE(YEAR($H174),MONTH($H174),1),DATE('Thiết lập'!$B$4,11,1)&lt;EDATE(DATE(YEAR($H174),MONTH($H174),1),$O174)),MIN($P174,MAX(0,$N174-$U174-SUM($V174:AE174))),0))</f>
        <v/>
      </c>
      <c r="AG174" s="457">
        <f>IF($AO174&lt;&gt;"OK",0,IF(AND(DATE('Thiết lập'!$B$4,12,1)&gt;=DATE(YEAR($H174),MONTH($H174),1),DATE('Thiết lập'!$B$4,12,1)&lt;EDATE(DATE(YEAR($H174),MONTH($H174),1),$O174)),MIN($P174,MAX(0,$N174-$U174-SUM($V174:AF174))),0))</f>
        <v/>
      </c>
      <c r="AH174" s="457">
        <f>IF(B174="","",SUM(V174:AG174))</f>
        <v/>
      </c>
      <c r="AI174" s="457">
        <f>IF(B174="","",MIN(N174,IF(U174="",0,U174)+AH174))</f>
        <v/>
      </c>
      <c r="AJ174" s="457">
        <f>IF(B174="","",MAX(0,L174-AI174))</f>
        <v/>
      </c>
      <c r="AK174" s="337">
        <f>IF(B174="","",IF(H174&gt;'Thiết lập'!$B$5,"Chưa khấu hao",IF(AJ174&lt;=IF(M174="",0,M174),"Đã hết khấu hao","Đang khấu hao")))</f>
        <v/>
      </c>
      <c r="AL174" s="275" t="n"/>
      <c r="AM174" s="275" t="n"/>
      <c r="AN174" s="275" t="n"/>
      <c r="AO174" s="343">
        <f>IF(B174="","",IF(COUNTIF($B$7:$B$306,B174)&gt;1,"Trùng mã TSCĐ",IF(C174="","Thiếu tên TSCĐ",IF(H174="","Thiếu ngày bắt đầu",IF(OR(I174&lt;=0,L174&lt;=0,O174&lt;=0),"Kiểm tra số lượng/nguyên giá/thời gian",IF(AND(G174&lt;&gt;"",H174&lt;G174),"Ngày KH trước ngày ghi tăng",IF(M174&gt;L174,"Giá trị thu hồi vượt nguyên giá",IF(IF(U174="",0,U174)&gt;N174,"Lũy kế đầu năm vượt GTKH","OK"))))))))</f>
        <v/>
      </c>
    </row>
    <row r="175" ht="20" customHeight="1" s="389">
      <c r="A175" s="325">
        <f>IF(B175="","",ROW()-6)</f>
        <v/>
      </c>
      <c r="B175" s="275" t="n"/>
      <c r="C175" s="275" t="n"/>
      <c r="D175" s="331" t="n"/>
      <c r="E175" s="331" t="n"/>
      <c r="F175" s="454" t="n"/>
      <c r="G175" s="454" t="n"/>
      <c r="H175" s="454" t="n"/>
      <c r="I175" s="455" t="n"/>
      <c r="J175" s="456" t="n"/>
      <c r="K175" s="456" t="n"/>
      <c r="L175" s="457">
        <f>IF(B175="","",IF(OR(I175="",J175=""),"",I175*J175+IF(K175="",0,K175)))</f>
        <v/>
      </c>
      <c r="M175" s="456" t="n"/>
      <c r="N175" s="457">
        <f>IF(L175="","",MAX(0,L175-IF(M175="",0,M175)))</f>
        <v/>
      </c>
      <c r="O175" s="455" t="n"/>
      <c r="P175" s="457">
        <f>IF(OR(N175="",O175&lt;=0),"",ROUND(N175/O175,0))</f>
        <v/>
      </c>
      <c r="Q175" s="458">
        <f>IF(OR(H175="",O175&lt;=0),"",EOMONTH(H175,O175-1))</f>
        <v/>
      </c>
      <c r="R175" s="331" t="n"/>
      <c r="S175" s="331" t="n"/>
      <c r="T175" s="331" t="n"/>
      <c r="U175" s="456" t="n"/>
      <c r="V175" s="457">
        <f>IF($AO175&lt;&gt;"OK",0,IF(AND(DATE('Thiết lập'!$B$4,1,1)&gt;=DATE(YEAR($H175),MONTH($H175),1),DATE('Thiết lập'!$B$4,1,1)&lt;EDATE(DATE(YEAR($H175),MONTH($H175),1),$O175)),MIN($P175,MAX(0,$N175-$U175-0)),0))</f>
        <v/>
      </c>
      <c r="W175" s="457">
        <f>IF($AO175&lt;&gt;"OK",0,IF(AND(DATE('Thiết lập'!$B$4,2,1)&gt;=DATE(YEAR($H175),MONTH($H175),1),DATE('Thiết lập'!$B$4,2,1)&lt;EDATE(DATE(YEAR($H175),MONTH($H175),1),$O175)),MIN($P175,MAX(0,$N175-$U175-SUM($V175:V175))),0))</f>
        <v/>
      </c>
      <c r="X175" s="457">
        <f>IF($AO175&lt;&gt;"OK",0,IF(AND(DATE('Thiết lập'!$B$4,3,1)&gt;=DATE(YEAR($H175),MONTH($H175),1),DATE('Thiết lập'!$B$4,3,1)&lt;EDATE(DATE(YEAR($H175),MONTH($H175),1),$O175)),MIN($P175,MAX(0,$N175-$U175-SUM($V175:W175))),0))</f>
        <v/>
      </c>
      <c r="Y175" s="457">
        <f>IF($AO175&lt;&gt;"OK",0,IF(AND(DATE('Thiết lập'!$B$4,4,1)&gt;=DATE(YEAR($H175),MONTH($H175),1),DATE('Thiết lập'!$B$4,4,1)&lt;EDATE(DATE(YEAR($H175),MONTH($H175),1),$O175)),MIN($P175,MAX(0,$N175-$U175-SUM($V175:X175))),0))</f>
        <v/>
      </c>
      <c r="Z175" s="457">
        <f>IF($AO175&lt;&gt;"OK",0,IF(AND(DATE('Thiết lập'!$B$4,5,1)&gt;=DATE(YEAR($H175),MONTH($H175),1),DATE('Thiết lập'!$B$4,5,1)&lt;EDATE(DATE(YEAR($H175),MONTH($H175),1),$O175)),MIN($P175,MAX(0,$N175-$U175-SUM($V175:Y175))),0))</f>
        <v/>
      </c>
      <c r="AA175" s="457">
        <f>IF($AO175&lt;&gt;"OK",0,IF(AND(DATE('Thiết lập'!$B$4,6,1)&gt;=DATE(YEAR($H175),MONTH($H175),1),DATE('Thiết lập'!$B$4,6,1)&lt;EDATE(DATE(YEAR($H175),MONTH($H175),1),$O175)),MIN($P175,MAX(0,$N175-$U175-SUM($V175:Z175))),0))</f>
        <v/>
      </c>
      <c r="AB175" s="457">
        <f>IF($AO175&lt;&gt;"OK",0,IF(AND(DATE('Thiết lập'!$B$4,7,1)&gt;=DATE(YEAR($H175),MONTH($H175),1),DATE('Thiết lập'!$B$4,7,1)&lt;EDATE(DATE(YEAR($H175),MONTH($H175),1),$O175)),MIN($P175,MAX(0,$N175-$U175-SUM($V175:AA175))),0))</f>
        <v/>
      </c>
      <c r="AC175" s="457">
        <f>IF($AO175&lt;&gt;"OK",0,IF(AND(DATE('Thiết lập'!$B$4,8,1)&gt;=DATE(YEAR($H175),MONTH($H175),1),DATE('Thiết lập'!$B$4,8,1)&lt;EDATE(DATE(YEAR($H175),MONTH($H175),1),$O175)),MIN($P175,MAX(0,$N175-$U175-SUM($V175:AB175))),0))</f>
        <v/>
      </c>
      <c r="AD175" s="457">
        <f>IF($AO175&lt;&gt;"OK",0,IF(AND(DATE('Thiết lập'!$B$4,9,1)&gt;=DATE(YEAR($H175),MONTH($H175),1),DATE('Thiết lập'!$B$4,9,1)&lt;EDATE(DATE(YEAR($H175),MONTH($H175),1),$O175)),MIN($P175,MAX(0,$N175-$U175-SUM($V175:AC175))),0))</f>
        <v/>
      </c>
      <c r="AE175" s="457">
        <f>IF($AO175&lt;&gt;"OK",0,IF(AND(DATE('Thiết lập'!$B$4,10,1)&gt;=DATE(YEAR($H175),MONTH($H175),1),DATE('Thiết lập'!$B$4,10,1)&lt;EDATE(DATE(YEAR($H175),MONTH($H175),1),$O175)),MIN($P175,MAX(0,$N175-$U175-SUM($V175:AD175))),0))</f>
        <v/>
      </c>
      <c r="AF175" s="457">
        <f>IF($AO175&lt;&gt;"OK",0,IF(AND(DATE('Thiết lập'!$B$4,11,1)&gt;=DATE(YEAR($H175),MONTH($H175),1),DATE('Thiết lập'!$B$4,11,1)&lt;EDATE(DATE(YEAR($H175),MONTH($H175),1),$O175)),MIN($P175,MAX(0,$N175-$U175-SUM($V175:AE175))),0))</f>
        <v/>
      </c>
      <c r="AG175" s="457">
        <f>IF($AO175&lt;&gt;"OK",0,IF(AND(DATE('Thiết lập'!$B$4,12,1)&gt;=DATE(YEAR($H175),MONTH($H175),1),DATE('Thiết lập'!$B$4,12,1)&lt;EDATE(DATE(YEAR($H175),MONTH($H175),1),$O175)),MIN($P175,MAX(0,$N175-$U175-SUM($V175:AF175))),0))</f>
        <v/>
      </c>
      <c r="AH175" s="457">
        <f>IF(B175="","",SUM(V175:AG175))</f>
        <v/>
      </c>
      <c r="AI175" s="457">
        <f>IF(B175="","",MIN(N175,IF(U175="",0,U175)+AH175))</f>
        <v/>
      </c>
      <c r="AJ175" s="457">
        <f>IF(B175="","",MAX(0,L175-AI175))</f>
        <v/>
      </c>
      <c r="AK175" s="337">
        <f>IF(B175="","",IF(H175&gt;'Thiết lập'!$B$5,"Chưa khấu hao",IF(AJ175&lt;=IF(M175="",0,M175),"Đã hết khấu hao","Đang khấu hao")))</f>
        <v/>
      </c>
      <c r="AL175" s="275" t="n"/>
      <c r="AM175" s="275" t="n"/>
      <c r="AN175" s="275" t="n"/>
      <c r="AO175" s="343">
        <f>IF(B175="","",IF(COUNTIF($B$7:$B$306,B175)&gt;1,"Trùng mã TSCĐ",IF(C175="","Thiếu tên TSCĐ",IF(H175="","Thiếu ngày bắt đầu",IF(OR(I175&lt;=0,L175&lt;=0,O175&lt;=0),"Kiểm tra số lượng/nguyên giá/thời gian",IF(AND(G175&lt;&gt;"",H175&lt;G175),"Ngày KH trước ngày ghi tăng",IF(M175&gt;L175,"Giá trị thu hồi vượt nguyên giá",IF(IF(U175="",0,U175)&gt;N175,"Lũy kế đầu năm vượt GTKH","OK"))))))))</f>
        <v/>
      </c>
    </row>
    <row r="176" ht="20" customHeight="1" s="389">
      <c r="A176" s="325">
        <f>IF(B176="","",ROW()-6)</f>
        <v/>
      </c>
      <c r="B176" s="275" t="n"/>
      <c r="C176" s="275" t="n"/>
      <c r="D176" s="331" t="n"/>
      <c r="E176" s="331" t="n"/>
      <c r="F176" s="454" t="n"/>
      <c r="G176" s="454" t="n"/>
      <c r="H176" s="454" t="n"/>
      <c r="I176" s="455" t="n"/>
      <c r="J176" s="456" t="n"/>
      <c r="K176" s="456" t="n"/>
      <c r="L176" s="457">
        <f>IF(B176="","",IF(OR(I176="",J176=""),"",I176*J176+IF(K176="",0,K176)))</f>
        <v/>
      </c>
      <c r="M176" s="456" t="n"/>
      <c r="N176" s="457">
        <f>IF(L176="","",MAX(0,L176-IF(M176="",0,M176)))</f>
        <v/>
      </c>
      <c r="O176" s="455" t="n"/>
      <c r="P176" s="457">
        <f>IF(OR(N176="",O176&lt;=0),"",ROUND(N176/O176,0))</f>
        <v/>
      </c>
      <c r="Q176" s="458">
        <f>IF(OR(H176="",O176&lt;=0),"",EOMONTH(H176,O176-1))</f>
        <v/>
      </c>
      <c r="R176" s="331" t="n"/>
      <c r="S176" s="331" t="n"/>
      <c r="T176" s="331" t="n"/>
      <c r="U176" s="456" t="n"/>
      <c r="V176" s="457">
        <f>IF($AO176&lt;&gt;"OK",0,IF(AND(DATE('Thiết lập'!$B$4,1,1)&gt;=DATE(YEAR($H176),MONTH($H176),1),DATE('Thiết lập'!$B$4,1,1)&lt;EDATE(DATE(YEAR($H176),MONTH($H176),1),$O176)),MIN($P176,MAX(0,$N176-$U176-0)),0))</f>
        <v/>
      </c>
      <c r="W176" s="457">
        <f>IF($AO176&lt;&gt;"OK",0,IF(AND(DATE('Thiết lập'!$B$4,2,1)&gt;=DATE(YEAR($H176),MONTH($H176),1),DATE('Thiết lập'!$B$4,2,1)&lt;EDATE(DATE(YEAR($H176),MONTH($H176),1),$O176)),MIN($P176,MAX(0,$N176-$U176-SUM($V176:V176))),0))</f>
        <v/>
      </c>
      <c r="X176" s="457">
        <f>IF($AO176&lt;&gt;"OK",0,IF(AND(DATE('Thiết lập'!$B$4,3,1)&gt;=DATE(YEAR($H176),MONTH($H176),1),DATE('Thiết lập'!$B$4,3,1)&lt;EDATE(DATE(YEAR($H176),MONTH($H176),1),$O176)),MIN($P176,MAX(0,$N176-$U176-SUM($V176:W176))),0))</f>
        <v/>
      </c>
      <c r="Y176" s="457">
        <f>IF($AO176&lt;&gt;"OK",0,IF(AND(DATE('Thiết lập'!$B$4,4,1)&gt;=DATE(YEAR($H176),MONTH($H176),1),DATE('Thiết lập'!$B$4,4,1)&lt;EDATE(DATE(YEAR($H176),MONTH($H176),1),$O176)),MIN($P176,MAX(0,$N176-$U176-SUM($V176:X176))),0))</f>
        <v/>
      </c>
      <c r="Z176" s="457">
        <f>IF($AO176&lt;&gt;"OK",0,IF(AND(DATE('Thiết lập'!$B$4,5,1)&gt;=DATE(YEAR($H176),MONTH($H176),1),DATE('Thiết lập'!$B$4,5,1)&lt;EDATE(DATE(YEAR($H176),MONTH($H176),1),$O176)),MIN($P176,MAX(0,$N176-$U176-SUM($V176:Y176))),0))</f>
        <v/>
      </c>
      <c r="AA176" s="457">
        <f>IF($AO176&lt;&gt;"OK",0,IF(AND(DATE('Thiết lập'!$B$4,6,1)&gt;=DATE(YEAR($H176),MONTH($H176),1),DATE('Thiết lập'!$B$4,6,1)&lt;EDATE(DATE(YEAR($H176),MONTH($H176),1),$O176)),MIN($P176,MAX(0,$N176-$U176-SUM($V176:Z176))),0))</f>
        <v/>
      </c>
      <c r="AB176" s="457">
        <f>IF($AO176&lt;&gt;"OK",0,IF(AND(DATE('Thiết lập'!$B$4,7,1)&gt;=DATE(YEAR($H176),MONTH($H176),1),DATE('Thiết lập'!$B$4,7,1)&lt;EDATE(DATE(YEAR($H176),MONTH($H176),1),$O176)),MIN($P176,MAX(0,$N176-$U176-SUM($V176:AA176))),0))</f>
        <v/>
      </c>
      <c r="AC176" s="457">
        <f>IF($AO176&lt;&gt;"OK",0,IF(AND(DATE('Thiết lập'!$B$4,8,1)&gt;=DATE(YEAR($H176),MONTH($H176),1),DATE('Thiết lập'!$B$4,8,1)&lt;EDATE(DATE(YEAR($H176),MONTH($H176),1),$O176)),MIN($P176,MAX(0,$N176-$U176-SUM($V176:AB176))),0))</f>
        <v/>
      </c>
      <c r="AD176" s="457">
        <f>IF($AO176&lt;&gt;"OK",0,IF(AND(DATE('Thiết lập'!$B$4,9,1)&gt;=DATE(YEAR($H176),MONTH($H176),1),DATE('Thiết lập'!$B$4,9,1)&lt;EDATE(DATE(YEAR($H176),MONTH($H176),1),$O176)),MIN($P176,MAX(0,$N176-$U176-SUM($V176:AC176))),0))</f>
        <v/>
      </c>
      <c r="AE176" s="457">
        <f>IF($AO176&lt;&gt;"OK",0,IF(AND(DATE('Thiết lập'!$B$4,10,1)&gt;=DATE(YEAR($H176),MONTH($H176),1),DATE('Thiết lập'!$B$4,10,1)&lt;EDATE(DATE(YEAR($H176),MONTH($H176),1),$O176)),MIN($P176,MAX(0,$N176-$U176-SUM($V176:AD176))),0))</f>
        <v/>
      </c>
      <c r="AF176" s="457">
        <f>IF($AO176&lt;&gt;"OK",0,IF(AND(DATE('Thiết lập'!$B$4,11,1)&gt;=DATE(YEAR($H176),MONTH($H176),1),DATE('Thiết lập'!$B$4,11,1)&lt;EDATE(DATE(YEAR($H176),MONTH($H176),1),$O176)),MIN($P176,MAX(0,$N176-$U176-SUM($V176:AE176))),0))</f>
        <v/>
      </c>
      <c r="AG176" s="457">
        <f>IF($AO176&lt;&gt;"OK",0,IF(AND(DATE('Thiết lập'!$B$4,12,1)&gt;=DATE(YEAR($H176),MONTH($H176),1),DATE('Thiết lập'!$B$4,12,1)&lt;EDATE(DATE(YEAR($H176),MONTH($H176),1),$O176)),MIN($P176,MAX(0,$N176-$U176-SUM($V176:AF176))),0))</f>
        <v/>
      </c>
      <c r="AH176" s="457">
        <f>IF(B176="","",SUM(V176:AG176))</f>
        <v/>
      </c>
      <c r="AI176" s="457">
        <f>IF(B176="","",MIN(N176,IF(U176="",0,U176)+AH176))</f>
        <v/>
      </c>
      <c r="AJ176" s="457">
        <f>IF(B176="","",MAX(0,L176-AI176))</f>
        <v/>
      </c>
      <c r="AK176" s="337">
        <f>IF(B176="","",IF(H176&gt;'Thiết lập'!$B$5,"Chưa khấu hao",IF(AJ176&lt;=IF(M176="",0,M176),"Đã hết khấu hao","Đang khấu hao")))</f>
        <v/>
      </c>
      <c r="AL176" s="275" t="n"/>
      <c r="AM176" s="275" t="n"/>
      <c r="AN176" s="275" t="n"/>
      <c r="AO176" s="343">
        <f>IF(B176="","",IF(COUNTIF($B$7:$B$306,B176)&gt;1,"Trùng mã TSCĐ",IF(C176="","Thiếu tên TSCĐ",IF(H176="","Thiếu ngày bắt đầu",IF(OR(I176&lt;=0,L176&lt;=0,O176&lt;=0),"Kiểm tra số lượng/nguyên giá/thời gian",IF(AND(G176&lt;&gt;"",H176&lt;G176),"Ngày KH trước ngày ghi tăng",IF(M176&gt;L176,"Giá trị thu hồi vượt nguyên giá",IF(IF(U176="",0,U176)&gt;N176,"Lũy kế đầu năm vượt GTKH","OK"))))))))</f>
        <v/>
      </c>
    </row>
    <row r="177" ht="20" customHeight="1" s="389">
      <c r="A177" s="325">
        <f>IF(B177="","",ROW()-6)</f>
        <v/>
      </c>
      <c r="B177" s="275" t="n"/>
      <c r="C177" s="275" t="n"/>
      <c r="D177" s="331" t="n"/>
      <c r="E177" s="331" t="n"/>
      <c r="F177" s="454" t="n"/>
      <c r="G177" s="454" t="n"/>
      <c r="H177" s="454" t="n"/>
      <c r="I177" s="455" t="n"/>
      <c r="J177" s="456" t="n"/>
      <c r="K177" s="456" t="n"/>
      <c r="L177" s="457">
        <f>IF(B177="","",IF(OR(I177="",J177=""),"",I177*J177+IF(K177="",0,K177)))</f>
        <v/>
      </c>
      <c r="M177" s="456" t="n"/>
      <c r="N177" s="457">
        <f>IF(L177="","",MAX(0,L177-IF(M177="",0,M177)))</f>
        <v/>
      </c>
      <c r="O177" s="455" t="n"/>
      <c r="P177" s="457">
        <f>IF(OR(N177="",O177&lt;=0),"",ROUND(N177/O177,0))</f>
        <v/>
      </c>
      <c r="Q177" s="458">
        <f>IF(OR(H177="",O177&lt;=0),"",EOMONTH(H177,O177-1))</f>
        <v/>
      </c>
      <c r="R177" s="331" t="n"/>
      <c r="S177" s="331" t="n"/>
      <c r="T177" s="331" t="n"/>
      <c r="U177" s="456" t="n"/>
      <c r="V177" s="457">
        <f>IF($AO177&lt;&gt;"OK",0,IF(AND(DATE('Thiết lập'!$B$4,1,1)&gt;=DATE(YEAR($H177),MONTH($H177),1),DATE('Thiết lập'!$B$4,1,1)&lt;EDATE(DATE(YEAR($H177),MONTH($H177),1),$O177)),MIN($P177,MAX(0,$N177-$U177-0)),0))</f>
        <v/>
      </c>
      <c r="W177" s="457">
        <f>IF($AO177&lt;&gt;"OK",0,IF(AND(DATE('Thiết lập'!$B$4,2,1)&gt;=DATE(YEAR($H177),MONTH($H177),1),DATE('Thiết lập'!$B$4,2,1)&lt;EDATE(DATE(YEAR($H177),MONTH($H177),1),$O177)),MIN($P177,MAX(0,$N177-$U177-SUM($V177:V177))),0))</f>
        <v/>
      </c>
      <c r="X177" s="457">
        <f>IF($AO177&lt;&gt;"OK",0,IF(AND(DATE('Thiết lập'!$B$4,3,1)&gt;=DATE(YEAR($H177),MONTH($H177),1),DATE('Thiết lập'!$B$4,3,1)&lt;EDATE(DATE(YEAR($H177),MONTH($H177),1),$O177)),MIN($P177,MAX(0,$N177-$U177-SUM($V177:W177))),0))</f>
        <v/>
      </c>
      <c r="Y177" s="457">
        <f>IF($AO177&lt;&gt;"OK",0,IF(AND(DATE('Thiết lập'!$B$4,4,1)&gt;=DATE(YEAR($H177),MONTH($H177),1),DATE('Thiết lập'!$B$4,4,1)&lt;EDATE(DATE(YEAR($H177),MONTH($H177),1),$O177)),MIN($P177,MAX(0,$N177-$U177-SUM($V177:X177))),0))</f>
        <v/>
      </c>
      <c r="Z177" s="457">
        <f>IF($AO177&lt;&gt;"OK",0,IF(AND(DATE('Thiết lập'!$B$4,5,1)&gt;=DATE(YEAR($H177),MONTH($H177),1),DATE('Thiết lập'!$B$4,5,1)&lt;EDATE(DATE(YEAR($H177),MONTH($H177),1),$O177)),MIN($P177,MAX(0,$N177-$U177-SUM($V177:Y177))),0))</f>
        <v/>
      </c>
      <c r="AA177" s="457">
        <f>IF($AO177&lt;&gt;"OK",0,IF(AND(DATE('Thiết lập'!$B$4,6,1)&gt;=DATE(YEAR($H177),MONTH($H177),1),DATE('Thiết lập'!$B$4,6,1)&lt;EDATE(DATE(YEAR($H177),MONTH($H177),1),$O177)),MIN($P177,MAX(0,$N177-$U177-SUM($V177:Z177))),0))</f>
        <v/>
      </c>
      <c r="AB177" s="457">
        <f>IF($AO177&lt;&gt;"OK",0,IF(AND(DATE('Thiết lập'!$B$4,7,1)&gt;=DATE(YEAR($H177),MONTH($H177),1),DATE('Thiết lập'!$B$4,7,1)&lt;EDATE(DATE(YEAR($H177),MONTH($H177),1),$O177)),MIN($P177,MAX(0,$N177-$U177-SUM($V177:AA177))),0))</f>
        <v/>
      </c>
      <c r="AC177" s="457">
        <f>IF($AO177&lt;&gt;"OK",0,IF(AND(DATE('Thiết lập'!$B$4,8,1)&gt;=DATE(YEAR($H177),MONTH($H177),1),DATE('Thiết lập'!$B$4,8,1)&lt;EDATE(DATE(YEAR($H177),MONTH($H177),1),$O177)),MIN($P177,MAX(0,$N177-$U177-SUM($V177:AB177))),0))</f>
        <v/>
      </c>
      <c r="AD177" s="457">
        <f>IF($AO177&lt;&gt;"OK",0,IF(AND(DATE('Thiết lập'!$B$4,9,1)&gt;=DATE(YEAR($H177),MONTH($H177),1),DATE('Thiết lập'!$B$4,9,1)&lt;EDATE(DATE(YEAR($H177),MONTH($H177),1),$O177)),MIN($P177,MAX(0,$N177-$U177-SUM($V177:AC177))),0))</f>
        <v/>
      </c>
      <c r="AE177" s="457">
        <f>IF($AO177&lt;&gt;"OK",0,IF(AND(DATE('Thiết lập'!$B$4,10,1)&gt;=DATE(YEAR($H177),MONTH($H177),1),DATE('Thiết lập'!$B$4,10,1)&lt;EDATE(DATE(YEAR($H177),MONTH($H177),1),$O177)),MIN($P177,MAX(0,$N177-$U177-SUM($V177:AD177))),0))</f>
        <v/>
      </c>
      <c r="AF177" s="457">
        <f>IF($AO177&lt;&gt;"OK",0,IF(AND(DATE('Thiết lập'!$B$4,11,1)&gt;=DATE(YEAR($H177),MONTH($H177),1),DATE('Thiết lập'!$B$4,11,1)&lt;EDATE(DATE(YEAR($H177),MONTH($H177),1),$O177)),MIN($P177,MAX(0,$N177-$U177-SUM($V177:AE177))),0))</f>
        <v/>
      </c>
      <c r="AG177" s="457">
        <f>IF($AO177&lt;&gt;"OK",0,IF(AND(DATE('Thiết lập'!$B$4,12,1)&gt;=DATE(YEAR($H177),MONTH($H177),1),DATE('Thiết lập'!$B$4,12,1)&lt;EDATE(DATE(YEAR($H177),MONTH($H177),1),$O177)),MIN($P177,MAX(0,$N177-$U177-SUM($V177:AF177))),0))</f>
        <v/>
      </c>
      <c r="AH177" s="457">
        <f>IF(B177="","",SUM(V177:AG177))</f>
        <v/>
      </c>
      <c r="AI177" s="457">
        <f>IF(B177="","",MIN(N177,IF(U177="",0,U177)+AH177))</f>
        <v/>
      </c>
      <c r="AJ177" s="457">
        <f>IF(B177="","",MAX(0,L177-AI177))</f>
        <v/>
      </c>
      <c r="AK177" s="337">
        <f>IF(B177="","",IF(H177&gt;'Thiết lập'!$B$5,"Chưa khấu hao",IF(AJ177&lt;=IF(M177="",0,M177),"Đã hết khấu hao","Đang khấu hao")))</f>
        <v/>
      </c>
      <c r="AL177" s="275" t="n"/>
      <c r="AM177" s="275" t="n"/>
      <c r="AN177" s="275" t="n"/>
      <c r="AO177" s="343">
        <f>IF(B177="","",IF(COUNTIF($B$7:$B$306,B177)&gt;1,"Trùng mã TSCĐ",IF(C177="","Thiếu tên TSCĐ",IF(H177="","Thiếu ngày bắt đầu",IF(OR(I177&lt;=0,L177&lt;=0,O177&lt;=0),"Kiểm tra số lượng/nguyên giá/thời gian",IF(AND(G177&lt;&gt;"",H177&lt;G177),"Ngày KH trước ngày ghi tăng",IF(M177&gt;L177,"Giá trị thu hồi vượt nguyên giá",IF(IF(U177="",0,U177)&gt;N177,"Lũy kế đầu năm vượt GTKH","OK"))))))))</f>
        <v/>
      </c>
    </row>
    <row r="178" ht="20" customHeight="1" s="389">
      <c r="A178" s="325">
        <f>IF(B178="","",ROW()-6)</f>
        <v/>
      </c>
      <c r="B178" s="275" t="n"/>
      <c r="C178" s="275" t="n"/>
      <c r="D178" s="331" t="n"/>
      <c r="E178" s="331" t="n"/>
      <c r="F178" s="454" t="n"/>
      <c r="G178" s="454" t="n"/>
      <c r="H178" s="454" t="n"/>
      <c r="I178" s="455" t="n"/>
      <c r="J178" s="456" t="n"/>
      <c r="K178" s="456" t="n"/>
      <c r="L178" s="457">
        <f>IF(B178="","",IF(OR(I178="",J178=""),"",I178*J178+IF(K178="",0,K178)))</f>
        <v/>
      </c>
      <c r="M178" s="456" t="n"/>
      <c r="N178" s="457">
        <f>IF(L178="","",MAX(0,L178-IF(M178="",0,M178)))</f>
        <v/>
      </c>
      <c r="O178" s="455" t="n"/>
      <c r="P178" s="457">
        <f>IF(OR(N178="",O178&lt;=0),"",ROUND(N178/O178,0))</f>
        <v/>
      </c>
      <c r="Q178" s="458">
        <f>IF(OR(H178="",O178&lt;=0),"",EOMONTH(H178,O178-1))</f>
        <v/>
      </c>
      <c r="R178" s="331" t="n"/>
      <c r="S178" s="331" t="n"/>
      <c r="T178" s="331" t="n"/>
      <c r="U178" s="456" t="n"/>
      <c r="V178" s="457">
        <f>IF($AO178&lt;&gt;"OK",0,IF(AND(DATE('Thiết lập'!$B$4,1,1)&gt;=DATE(YEAR($H178),MONTH($H178),1),DATE('Thiết lập'!$B$4,1,1)&lt;EDATE(DATE(YEAR($H178),MONTH($H178),1),$O178)),MIN($P178,MAX(0,$N178-$U178-0)),0))</f>
        <v/>
      </c>
      <c r="W178" s="457">
        <f>IF($AO178&lt;&gt;"OK",0,IF(AND(DATE('Thiết lập'!$B$4,2,1)&gt;=DATE(YEAR($H178),MONTH($H178),1),DATE('Thiết lập'!$B$4,2,1)&lt;EDATE(DATE(YEAR($H178),MONTH($H178),1),$O178)),MIN($P178,MAX(0,$N178-$U178-SUM($V178:V178))),0))</f>
        <v/>
      </c>
      <c r="X178" s="457">
        <f>IF($AO178&lt;&gt;"OK",0,IF(AND(DATE('Thiết lập'!$B$4,3,1)&gt;=DATE(YEAR($H178),MONTH($H178),1),DATE('Thiết lập'!$B$4,3,1)&lt;EDATE(DATE(YEAR($H178),MONTH($H178),1),$O178)),MIN($P178,MAX(0,$N178-$U178-SUM($V178:W178))),0))</f>
        <v/>
      </c>
      <c r="Y178" s="457">
        <f>IF($AO178&lt;&gt;"OK",0,IF(AND(DATE('Thiết lập'!$B$4,4,1)&gt;=DATE(YEAR($H178),MONTH($H178),1),DATE('Thiết lập'!$B$4,4,1)&lt;EDATE(DATE(YEAR($H178),MONTH($H178),1),$O178)),MIN($P178,MAX(0,$N178-$U178-SUM($V178:X178))),0))</f>
        <v/>
      </c>
      <c r="Z178" s="457">
        <f>IF($AO178&lt;&gt;"OK",0,IF(AND(DATE('Thiết lập'!$B$4,5,1)&gt;=DATE(YEAR($H178),MONTH($H178),1),DATE('Thiết lập'!$B$4,5,1)&lt;EDATE(DATE(YEAR($H178),MONTH($H178),1),$O178)),MIN($P178,MAX(0,$N178-$U178-SUM($V178:Y178))),0))</f>
        <v/>
      </c>
      <c r="AA178" s="457">
        <f>IF($AO178&lt;&gt;"OK",0,IF(AND(DATE('Thiết lập'!$B$4,6,1)&gt;=DATE(YEAR($H178),MONTH($H178),1),DATE('Thiết lập'!$B$4,6,1)&lt;EDATE(DATE(YEAR($H178),MONTH($H178),1),$O178)),MIN($P178,MAX(0,$N178-$U178-SUM($V178:Z178))),0))</f>
        <v/>
      </c>
      <c r="AB178" s="457">
        <f>IF($AO178&lt;&gt;"OK",0,IF(AND(DATE('Thiết lập'!$B$4,7,1)&gt;=DATE(YEAR($H178),MONTH($H178),1),DATE('Thiết lập'!$B$4,7,1)&lt;EDATE(DATE(YEAR($H178),MONTH($H178),1),$O178)),MIN($P178,MAX(0,$N178-$U178-SUM($V178:AA178))),0))</f>
        <v/>
      </c>
      <c r="AC178" s="457">
        <f>IF($AO178&lt;&gt;"OK",0,IF(AND(DATE('Thiết lập'!$B$4,8,1)&gt;=DATE(YEAR($H178),MONTH($H178),1),DATE('Thiết lập'!$B$4,8,1)&lt;EDATE(DATE(YEAR($H178),MONTH($H178),1),$O178)),MIN($P178,MAX(0,$N178-$U178-SUM($V178:AB178))),0))</f>
        <v/>
      </c>
      <c r="AD178" s="457">
        <f>IF($AO178&lt;&gt;"OK",0,IF(AND(DATE('Thiết lập'!$B$4,9,1)&gt;=DATE(YEAR($H178),MONTH($H178),1),DATE('Thiết lập'!$B$4,9,1)&lt;EDATE(DATE(YEAR($H178),MONTH($H178),1),$O178)),MIN($P178,MAX(0,$N178-$U178-SUM($V178:AC178))),0))</f>
        <v/>
      </c>
      <c r="AE178" s="457">
        <f>IF($AO178&lt;&gt;"OK",0,IF(AND(DATE('Thiết lập'!$B$4,10,1)&gt;=DATE(YEAR($H178),MONTH($H178),1),DATE('Thiết lập'!$B$4,10,1)&lt;EDATE(DATE(YEAR($H178),MONTH($H178),1),$O178)),MIN($P178,MAX(0,$N178-$U178-SUM($V178:AD178))),0))</f>
        <v/>
      </c>
      <c r="AF178" s="457">
        <f>IF($AO178&lt;&gt;"OK",0,IF(AND(DATE('Thiết lập'!$B$4,11,1)&gt;=DATE(YEAR($H178),MONTH($H178),1),DATE('Thiết lập'!$B$4,11,1)&lt;EDATE(DATE(YEAR($H178),MONTH($H178),1),$O178)),MIN($P178,MAX(0,$N178-$U178-SUM($V178:AE178))),0))</f>
        <v/>
      </c>
      <c r="AG178" s="457">
        <f>IF($AO178&lt;&gt;"OK",0,IF(AND(DATE('Thiết lập'!$B$4,12,1)&gt;=DATE(YEAR($H178),MONTH($H178),1),DATE('Thiết lập'!$B$4,12,1)&lt;EDATE(DATE(YEAR($H178),MONTH($H178),1),$O178)),MIN($P178,MAX(0,$N178-$U178-SUM($V178:AF178))),0))</f>
        <v/>
      </c>
      <c r="AH178" s="457">
        <f>IF(B178="","",SUM(V178:AG178))</f>
        <v/>
      </c>
      <c r="AI178" s="457">
        <f>IF(B178="","",MIN(N178,IF(U178="",0,U178)+AH178))</f>
        <v/>
      </c>
      <c r="AJ178" s="457">
        <f>IF(B178="","",MAX(0,L178-AI178))</f>
        <v/>
      </c>
      <c r="AK178" s="337">
        <f>IF(B178="","",IF(H178&gt;'Thiết lập'!$B$5,"Chưa khấu hao",IF(AJ178&lt;=IF(M178="",0,M178),"Đã hết khấu hao","Đang khấu hao")))</f>
        <v/>
      </c>
      <c r="AL178" s="275" t="n"/>
      <c r="AM178" s="275" t="n"/>
      <c r="AN178" s="275" t="n"/>
      <c r="AO178" s="343">
        <f>IF(B178="","",IF(COUNTIF($B$7:$B$306,B178)&gt;1,"Trùng mã TSCĐ",IF(C178="","Thiếu tên TSCĐ",IF(H178="","Thiếu ngày bắt đầu",IF(OR(I178&lt;=0,L178&lt;=0,O178&lt;=0),"Kiểm tra số lượng/nguyên giá/thời gian",IF(AND(G178&lt;&gt;"",H178&lt;G178),"Ngày KH trước ngày ghi tăng",IF(M178&gt;L178,"Giá trị thu hồi vượt nguyên giá",IF(IF(U178="",0,U178)&gt;N178,"Lũy kế đầu năm vượt GTKH","OK"))))))))</f>
        <v/>
      </c>
    </row>
    <row r="179" ht="20" customHeight="1" s="389">
      <c r="A179" s="325">
        <f>IF(B179="","",ROW()-6)</f>
        <v/>
      </c>
      <c r="B179" s="275" t="n"/>
      <c r="C179" s="275" t="n"/>
      <c r="D179" s="331" t="n"/>
      <c r="E179" s="331" t="n"/>
      <c r="F179" s="454" t="n"/>
      <c r="G179" s="454" t="n"/>
      <c r="H179" s="454" t="n"/>
      <c r="I179" s="455" t="n"/>
      <c r="J179" s="456" t="n"/>
      <c r="K179" s="456" t="n"/>
      <c r="L179" s="457">
        <f>IF(B179="","",IF(OR(I179="",J179=""),"",I179*J179+IF(K179="",0,K179)))</f>
        <v/>
      </c>
      <c r="M179" s="456" t="n"/>
      <c r="N179" s="457">
        <f>IF(L179="","",MAX(0,L179-IF(M179="",0,M179)))</f>
        <v/>
      </c>
      <c r="O179" s="455" t="n"/>
      <c r="P179" s="457">
        <f>IF(OR(N179="",O179&lt;=0),"",ROUND(N179/O179,0))</f>
        <v/>
      </c>
      <c r="Q179" s="458">
        <f>IF(OR(H179="",O179&lt;=0),"",EOMONTH(H179,O179-1))</f>
        <v/>
      </c>
      <c r="R179" s="331" t="n"/>
      <c r="S179" s="331" t="n"/>
      <c r="T179" s="331" t="n"/>
      <c r="U179" s="456" t="n"/>
      <c r="V179" s="457">
        <f>IF($AO179&lt;&gt;"OK",0,IF(AND(DATE('Thiết lập'!$B$4,1,1)&gt;=DATE(YEAR($H179),MONTH($H179),1),DATE('Thiết lập'!$B$4,1,1)&lt;EDATE(DATE(YEAR($H179),MONTH($H179),1),$O179)),MIN($P179,MAX(0,$N179-$U179-0)),0))</f>
        <v/>
      </c>
      <c r="W179" s="457">
        <f>IF($AO179&lt;&gt;"OK",0,IF(AND(DATE('Thiết lập'!$B$4,2,1)&gt;=DATE(YEAR($H179),MONTH($H179),1),DATE('Thiết lập'!$B$4,2,1)&lt;EDATE(DATE(YEAR($H179),MONTH($H179),1),$O179)),MIN($P179,MAX(0,$N179-$U179-SUM($V179:V179))),0))</f>
        <v/>
      </c>
      <c r="X179" s="457">
        <f>IF($AO179&lt;&gt;"OK",0,IF(AND(DATE('Thiết lập'!$B$4,3,1)&gt;=DATE(YEAR($H179),MONTH($H179),1),DATE('Thiết lập'!$B$4,3,1)&lt;EDATE(DATE(YEAR($H179),MONTH($H179),1),$O179)),MIN($P179,MAX(0,$N179-$U179-SUM($V179:W179))),0))</f>
        <v/>
      </c>
      <c r="Y179" s="457">
        <f>IF($AO179&lt;&gt;"OK",0,IF(AND(DATE('Thiết lập'!$B$4,4,1)&gt;=DATE(YEAR($H179),MONTH($H179),1),DATE('Thiết lập'!$B$4,4,1)&lt;EDATE(DATE(YEAR($H179),MONTH($H179),1),$O179)),MIN($P179,MAX(0,$N179-$U179-SUM($V179:X179))),0))</f>
        <v/>
      </c>
      <c r="Z179" s="457">
        <f>IF($AO179&lt;&gt;"OK",0,IF(AND(DATE('Thiết lập'!$B$4,5,1)&gt;=DATE(YEAR($H179),MONTH($H179),1),DATE('Thiết lập'!$B$4,5,1)&lt;EDATE(DATE(YEAR($H179),MONTH($H179),1),$O179)),MIN($P179,MAX(0,$N179-$U179-SUM($V179:Y179))),0))</f>
        <v/>
      </c>
      <c r="AA179" s="457">
        <f>IF($AO179&lt;&gt;"OK",0,IF(AND(DATE('Thiết lập'!$B$4,6,1)&gt;=DATE(YEAR($H179),MONTH($H179),1),DATE('Thiết lập'!$B$4,6,1)&lt;EDATE(DATE(YEAR($H179),MONTH($H179),1),$O179)),MIN($P179,MAX(0,$N179-$U179-SUM($V179:Z179))),0))</f>
        <v/>
      </c>
      <c r="AB179" s="457">
        <f>IF($AO179&lt;&gt;"OK",0,IF(AND(DATE('Thiết lập'!$B$4,7,1)&gt;=DATE(YEAR($H179),MONTH($H179),1),DATE('Thiết lập'!$B$4,7,1)&lt;EDATE(DATE(YEAR($H179),MONTH($H179),1),$O179)),MIN($P179,MAX(0,$N179-$U179-SUM($V179:AA179))),0))</f>
        <v/>
      </c>
      <c r="AC179" s="457">
        <f>IF($AO179&lt;&gt;"OK",0,IF(AND(DATE('Thiết lập'!$B$4,8,1)&gt;=DATE(YEAR($H179),MONTH($H179),1),DATE('Thiết lập'!$B$4,8,1)&lt;EDATE(DATE(YEAR($H179),MONTH($H179),1),$O179)),MIN($P179,MAX(0,$N179-$U179-SUM($V179:AB179))),0))</f>
        <v/>
      </c>
      <c r="AD179" s="457">
        <f>IF($AO179&lt;&gt;"OK",0,IF(AND(DATE('Thiết lập'!$B$4,9,1)&gt;=DATE(YEAR($H179),MONTH($H179),1),DATE('Thiết lập'!$B$4,9,1)&lt;EDATE(DATE(YEAR($H179),MONTH($H179),1),$O179)),MIN($P179,MAX(0,$N179-$U179-SUM($V179:AC179))),0))</f>
        <v/>
      </c>
      <c r="AE179" s="457">
        <f>IF($AO179&lt;&gt;"OK",0,IF(AND(DATE('Thiết lập'!$B$4,10,1)&gt;=DATE(YEAR($H179),MONTH($H179),1),DATE('Thiết lập'!$B$4,10,1)&lt;EDATE(DATE(YEAR($H179),MONTH($H179),1),$O179)),MIN($P179,MAX(0,$N179-$U179-SUM($V179:AD179))),0))</f>
        <v/>
      </c>
      <c r="AF179" s="457">
        <f>IF($AO179&lt;&gt;"OK",0,IF(AND(DATE('Thiết lập'!$B$4,11,1)&gt;=DATE(YEAR($H179),MONTH($H179),1),DATE('Thiết lập'!$B$4,11,1)&lt;EDATE(DATE(YEAR($H179),MONTH($H179),1),$O179)),MIN($P179,MAX(0,$N179-$U179-SUM($V179:AE179))),0))</f>
        <v/>
      </c>
      <c r="AG179" s="457">
        <f>IF($AO179&lt;&gt;"OK",0,IF(AND(DATE('Thiết lập'!$B$4,12,1)&gt;=DATE(YEAR($H179),MONTH($H179),1),DATE('Thiết lập'!$B$4,12,1)&lt;EDATE(DATE(YEAR($H179),MONTH($H179),1),$O179)),MIN($P179,MAX(0,$N179-$U179-SUM($V179:AF179))),0))</f>
        <v/>
      </c>
      <c r="AH179" s="457">
        <f>IF(B179="","",SUM(V179:AG179))</f>
        <v/>
      </c>
      <c r="AI179" s="457">
        <f>IF(B179="","",MIN(N179,IF(U179="",0,U179)+AH179))</f>
        <v/>
      </c>
      <c r="AJ179" s="457">
        <f>IF(B179="","",MAX(0,L179-AI179))</f>
        <v/>
      </c>
      <c r="AK179" s="337">
        <f>IF(B179="","",IF(H179&gt;'Thiết lập'!$B$5,"Chưa khấu hao",IF(AJ179&lt;=IF(M179="",0,M179),"Đã hết khấu hao","Đang khấu hao")))</f>
        <v/>
      </c>
      <c r="AL179" s="275" t="n"/>
      <c r="AM179" s="275" t="n"/>
      <c r="AN179" s="275" t="n"/>
      <c r="AO179" s="343">
        <f>IF(B179="","",IF(COUNTIF($B$7:$B$306,B179)&gt;1,"Trùng mã TSCĐ",IF(C179="","Thiếu tên TSCĐ",IF(H179="","Thiếu ngày bắt đầu",IF(OR(I179&lt;=0,L179&lt;=0,O179&lt;=0),"Kiểm tra số lượng/nguyên giá/thời gian",IF(AND(G179&lt;&gt;"",H179&lt;G179),"Ngày KH trước ngày ghi tăng",IF(M179&gt;L179,"Giá trị thu hồi vượt nguyên giá",IF(IF(U179="",0,U179)&gt;N179,"Lũy kế đầu năm vượt GTKH","OK"))))))))</f>
        <v/>
      </c>
    </row>
    <row r="180" ht="20" customHeight="1" s="389">
      <c r="A180" s="325">
        <f>IF(B180="","",ROW()-6)</f>
        <v/>
      </c>
      <c r="B180" s="275" t="n"/>
      <c r="C180" s="275" t="n"/>
      <c r="D180" s="331" t="n"/>
      <c r="E180" s="331" t="n"/>
      <c r="F180" s="454" t="n"/>
      <c r="G180" s="454" t="n"/>
      <c r="H180" s="454" t="n"/>
      <c r="I180" s="455" t="n"/>
      <c r="J180" s="456" t="n"/>
      <c r="K180" s="456" t="n"/>
      <c r="L180" s="457">
        <f>IF(B180="","",IF(OR(I180="",J180=""),"",I180*J180+IF(K180="",0,K180)))</f>
        <v/>
      </c>
      <c r="M180" s="456" t="n"/>
      <c r="N180" s="457">
        <f>IF(L180="","",MAX(0,L180-IF(M180="",0,M180)))</f>
        <v/>
      </c>
      <c r="O180" s="455" t="n"/>
      <c r="P180" s="457">
        <f>IF(OR(N180="",O180&lt;=0),"",ROUND(N180/O180,0))</f>
        <v/>
      </c>
      <c r="Q180" s="458">
        <f>IF(OR(H180="",O180&lt;=0),"",EOMONTH(H180,O180-1))</f>
        <v/>
      </c>
      <c r="R180" s="331" t="n"/>
      <c r="S180" s="331" t="n"/>
      <c r="T180" s="331" t="n"/>
      <c r="U180" s="456" t="n"/>
      <c r="V180" s="457">
        <f>IF($AO180&lt;&gt;"OK",0,IF(AND(DATE('Thiết lập'!$B$4,1,1)&gt;=DATE(YEAR($H180),MONTH($H180),1),DATE('Thiết lập'!$B$4,1,1)&lt;EDATE(DATE(YEAR($H180),MONTH($H180),1),$O180)),MIN($P180,MAX(0,$N180-$U180-0)),0))</f>
        <v/>
      </c>
      <c r="W180" s="457">
        <f>IF($AO180&lt;&gt;"OK",0,IF(AND(DATE('Thiết lập'!$B$4,2,1)&gt;=DATE(YEAR($H180),MONTH($H180),1),DATE('Thiết lập'!$B$4,2,1)&lt;EDATE(DATE(YEAR($H180),MONTH($H180),1),$O180)),MIN($P180,MAX(0,$N180-$U180-SUM($V180:V180))),0))</f>
        <v/>
      </c>
      <c r="X180" s="457">
        <f>IF($AO180&lt;&gt;"OK",0,IF(AND(DATE('Thiết lập'!$B$4,3,1)&gt;=DATE(YEAR($H180),MONTH($H180),1),DATE('Thiết lập'!$B$4,3,1)&lt;EDATE(DATE(YEAR($H180),MONTH($H180),1),$O180)),MIN($P180,MAX(0,$N180-$U180-SUM($V180:W180))),0))</f>
        <v/>
      </c>
      <c r="Y180" s="457">
        <f>IF($AO180&lt;&gt;"OK",0,IF(AND(DATE('Thiết lập'!$B$4,4,1)&gt;=DATE(YEAR($H180),MONTH($H180),1),DATE('Thiết lập'!$B$4,4,1)&lt;EDATE(DATE(YEAR($H180),MONTH($H180),1),$O180)),MIN($P180,MAX(0,$N180-$U180-SUM($V180:X180))),0))</f>
        <v/>
      </c>
      <c r="Z180" s="457">
        <f>IF($AO180&lt;&gt;"OK",0,IF(AND(DATE('Thiết lập'!$B$4,5,1)&gt;=DATE(YEAR($H180),MONTH($H180),1),DATE('Thiết lập'!$B$4,5,1)&lt;EDATE(DATE(YEAR($H180),MONTH($H180),1),$O180)),MIN($P180,MAX(0,$N180-$U180-SUM($V180:Y180))),0))</f>
        <v/>
      </c>
      <c r="AA180" s="457">
        <f>IF($AO180&lt;&gt;"OK",0,IF(AND(DATE('Thiết lập'!$B$4,6,1)&gt;=DATE(YEAR($H180),MONTH($H180),1),DATE('Thiết lập'!$B$4,6,1)&lt;EDATE(DATE(YEAR($H180),MONTH($H180),1),$O180)),MIN($P180,MAX(0,$N180-$U180-SUM($V180:Z180))),0))</f>
        <v/>
      </c>
      <c r="AB180" s="457">
        <f>IF($AO180&lt;&gt;"OK",0,IF(AND(DATE('Thiết lập'!$B$4,7,1)&gt;=DATE(YEAR($H180),MONTH($H180),1),DATE('Thiết lập'!$B$4,7,1)&lt;EDATE(DATE(YEAR($H180),MONTH($H180),1),$O180)),MIN($P180,MAX(0,$N180-$U180-SUM($V180:AA180))),0))</f>
        <v/>
      </c>
      <c r="AC180" s="457">
        <f>IF($AO180&lt;&gt;"OK",0,IF(AND(DATE('Thiết lập'!$B$4,8,1)&gt;=DATE(YEAR($H180),MONTH($H180),1),DATE('Thiết lập'!$B$4,8,1)&lt;EDATE(DATE(YEAR($H180),MONTH($H180),1),$O180)),MIN($P180,MAX(0,$N180-$U180-SUM($V180:AB180))),0))</f>
        <v/>
      </c>
      <c r="AD180" s="457">
        <f>IF($AO180&lt;&gt;"OK",0,IF(AND(DATE('Thiết lập'!$B$4,9,1)&gt;=DATE(YEAR($H180),MONTH($H180),1),DATE('Thiết lập'!$B$4,9,1)&lt;EDATE(DATE(YEAR($H180),MONTH($H180),1),$O180)),MIN($P180,MAX(0,$N180-$U180-SUM($V180:AC180))),0))</f>
        <v/>
      </c>
      <c r="AE180" s="457">
        <f>IF($AO180&lt;&gt;"OK",0,IF(AND(DATE('Thiết lập'!$B$4,10,1)&gt;=DATE(YEAR($H180),MONTH($H180),1),DATE('Thiết lập'!$B$4,10,1)&lt;EDATE(DATE(YEAR($H180),MONTH($H180),1),$O180)),MIN($P180,MAX(0,$N180-$U180-SUM($V180:AD180))),0))</f>
        <v/>
      </c>
      <c r="AF180" s="457">
        <f>IF($AO180&lt;&gt;"OK",0,IF(AND(DATE('Thiết lập'!$B$4,11,1)&gt;=DATE(YEAR($H180),MONTH($H180),1),DATE('Thiết lập'!$B$4,11,1)&lt;EDATE(DATE(YEAR($H180),MONTH($H180),1),$O180)),MIN($P180,MAX(0,$N180-$U180-SUM($V180:AE180))),0))</f>
        <v/>
      </c>
      <c r="AG180" s="457">
        <f>IF($AO180&lt;&gt;"OK",0,IF(AND(DATE('Thiết lập'!$B$4,12,1)&gt;=DATE(YEAR($H180),MONTH($H180),1),DATE('Thiết lập'!$B$4,12,1)&lt;EDATE(DATE(YEAR($H180),MONTH($H180),1),$O180)),MIN($P180,MAX(0,$N180-$U180-SUM($V180:AF180))),0))</f>
        <v/>
      </c>
      <c r="AH180" s="457">
        <f>IF(B180="","",SUM(V180:AG180))</f>
        <v/>
      </c>
      <c r="AI180" s="457">
        <f>IF(B180="","",MIN(N180,IF(U180="",0,U180)+AH180))</f>
        <v/>
      </c>
      <c r="AJ180" s="457">
        <f>IF(B180="","",MAX(0,L180-AI180))</f>
        <v/>
      </c>
      <c r="AK180" s="337">
        <f>IF(B180="","",IF(H180&gt;'Thiết lập'!$B$5,"Chưa khấu hao",IF(AJ180&lt;=IF(M180="",0,M180),"Đã hết khấu hao","Đang khấu hao")))</f>
        <v/>
      </c>
      <c r="AL180" s="275" t="n"/>
      <c r="AM180" s="275" t="n"/>
      <c r="AN180" s="275" t="n"/>
      <c r="AO180" s="343">
        <f>IF(B180="","",IF(COUNTIF($B$7:$B$306,B180)&gt;1,"Trùng mã TSCĐ",IF(C180="","Thiếu tên TSCĐ",IF(H180="","Thiếu ngày bắt đầu",IF(OR(I180&lt;=0,L180&lt;=0,O180&lt;=0),"Kiểm tra số lượng/nguyên giá/thời gian",IF(AND(G180&lt;&gt;"",H180&lt;G180),"Ngày KH trước ngày ghi tăng",IF(M180&gt;L180,"Giá trị thu hồi vượt nguyên giá",IF(IF(U180="",0,U180)&gt;N180,"Lũy kế đầu năm vượt GTKH","OK"))))))))</f>
        <v/>
      </c>
    </row>
    <row r="181" ht="20" customHeight="1" s="389">
      <c r="A181" s="325">
        <f>IF(B181="","",ROW()-6)</f>
        <v/>
      </c>
      <c r="B181" s="275" t="n"/>
      <c r="C181" s="275" t="n"/>
      <c r="D181" s="331" t="n"/>
      <c r="E181" s="331" t="n"/>
      <c r="F181" s="454" t="n"/>
      <c r="G181" s="454" t="n"/>
      <c r="H181" s="454" t="n"/>
      <c r="I181" s="455" t="n"/>
      <c r="J181" s="456" t="n"/>
      <c r="K181" s="456" t="n"/>
      <c r="L181" s="457">
        <f>IF(B181="","",IF(OR(I181="",J181=""),"",I181*J181+IF(K181="",0,K181)))</f>
        <v/>
      </c>
      <c r="M181" s="456" t="n"/>
      <c r="N181" s="457">
        <f>IF(L181="","",MAX(0,L181-IF(M181="",0,M181)))</f>
        <v/>
      </c>
      <c r="O181" s="455" t="n"/>
      <c r="P181" s="457">
        <f>IF(OR(N181="",O181&lt;=0),"",ROUND(N181/O181,0))</f>
        <v/>
      </c>
      <c r="Q181" s="458">
        <f>IF(OR(H181="",O181&lt;=0),"",EOMONTH(H181,O181-1))</f>
        <v/>
      </c>
      <c r="R181" s="331" t="n"/>
      <c r="S181" s="331" t="n"/>
      <c r="T181" s="331" t="n"/>
      <c r="U181" s="456" t="n"/>
      <c r="V181" s="457">
        <f>IF($AO181&lt;&gt;"OK",0,IF(AND(DATE('Thiết lập'!$B$4,1,1)&gt;=DATE(YEAR($H181),MONTH($H181),1),DATE('Thiết lập'!$B$4,1,1)&lt;EDATE(DATE(YEAR($H181),MONTH($H181),1),$O181)),MIN($P181,MAX(0,$N181-$U181-0)),0))</f>
        <v/>
      </c>
      <c r="W181" s="457">
        <f>IF($AO181&lt;&gt;"OK",0,IF(AND(DATE('Thiết lập'!$B$4,2,1)&gt;=DATE(YEAR($H181),MONTH($H181),1),DATE('Thiết lập'!$B$4,2,1)&lt;EDATE(DATE(YEAR($H181),MONTH($H181),1),$O181)),MIN($P181,MAX(0,$N181-$U181-SUM($V181:V181))),0))</f>
        <v/>
      </c>
      <c r="X181" s="457">
        <f>IF($AO181&lt;&gt;"OK",0,IF(AND(DATE('Thiết lập'!$B$4,3,1)&gt;=DATE(YEAR($H181),MONTH($H181),1),DATE('Thiết lập'!$B$4,3,1)&lt;EDATE(DATE(YEAR($H181),MONTH($H181),1),$O181)),MIN($P181,MAX(0,$N181-$U181-SUM($V181:W181))),0))</f>
        <v/>
      </c>
      <c r="Y181" s="457">
        <f>IF($AO181&lt;&gt;"OK",0,IF(AND(DATE('Thiết lập'!$B$4,4,1)&gt;=DATE(YEAR($H181),MONTH($H181),1),DATE('Thiết lập'!$B$4,4,1)&lt;EDATE(DATE(YEAR($H181),MONTH($H181),1),$O181)),MIN($P181,MAX(0,$N181-$U181-SUM($V181:X181))),0))</f>
        <v/>
      </c>
      <c r="Z181" s="457">
        <f>IF($AO181&lt;&gt;"OK",0,IF(AND(DATE('Thiết lập'!$B$4,5,1)&gt;=DATE(YEAR($H181),MONTH($H181),1),DATE('Thiết lập'!$B$4,5,1)&lt;EDATE(DATE(YEAR($H181),MONTH($H181),1),$O181)),MIN($P181,MAX(0,$N181-$U181-SUM($V181:Y181))),0))</f>
        <v/>
      </c>
      <c r="AA181" s="457">
        <f>IF($AO181&lt;&gt;"OK",0,IF(AND(DATE('Thiết lập'!$B$4,6,1)&gt;=DATE(YEAR($H181),MONTH($H181),1),DATE('Thiết lập'!$B$4,6,1)&lt;EDATE(DATE(YEAR($H181),MONTH($H181),1),$O181)),MIN($P181,MAX(0,$N181-$U181-SUM($V181:Z181))),0))</f>
        <v/>
      </c>
      <c r="AB181" s="457">
        <f>IF($AO181&lt;&gt;"OK",0,IF(AND(DATE('Thiết lập'!$B$4,7,1)&gt;=DATE(YEAR($H181),MONTH($H181),1),DATE('Thiết lập'!$B$4,7,1)&lt;EDATE(DATE(YEAR($H181),MONTH($H181),1),$O181)),MIN($P181,MAX(0,$N181-$U181-SUM($V181:AA181))),0))</f>
        <v/>
      </c>
      <c r="AC181" s="457">
        <f>IF($AO181&lt;&gt;"OK",0,IF(AND(DATE('Thiết lập'!$B$4,8,1)&gt;=DATE(YEAR($H181),MONTH($H181),1),DATE('Thiết lập'!$B$4,8,1)&lt;EDATE(DATE(YEAR($H181),MONTH($H181),1),$O181)),MIN($P181,MAX(0,$N181-$U181-SUM($V181:AB181))),0))</f>
        <v/>
      </c>
      <c r="AD181" s="457">
        <f>IF($AO181&lt;&gt;"OK",0,IF(AND(DATE('Thiết lập'!$B$4,9,1)&gt;=DATE(YEAR($H181),MONTH($H181),1),DATE('Thiết lập'!$B$4,9,1)&lt;EDATE(DATE(YEAR($H181),MONTH($H181),1),$O181)),MIN($P181,MAX(0,$N181-$U181-SUM($V181:AC181))),0))</f>
        <v/>
      </c>
      <c r="AE181" s="457">
        <f>IF($AO181&lt;&gt;"OK",0,IF(AND(DATE('Thiết lập'!$B$4,10,1)&gt;=DATE(YEAR($H181),MONTH($H181),1),DATE('Thiết lập'!$B$4,10,1)&lt;EDATE(DATE(YEAR($H181),MONTH($H181),1),$O181)),MIN($P181,MAX(0,$N181-$U181-SUM($V181:AD181))),0))</f>
        <v/>
      </c>
      <c r="AF181" s="457">
        <f>IF($AO181&lt;&gt;"OK",0,IF(AND(DATE('Thiết lập'!$B$4,11,1)&gt;=DATE(YEAR($H181),MONTH($H181),1),DATE('Thiết lập'!$B$4,11,1)&lt;EDATE(DATE(YEAR($H181),MONTH($H181),1),$O181)),MIN($P181,MAX(0,$N181-$U181-SUM($V181:AE181))),0))</f>
        <v/>
      </c>
      <c r="AG181" s="457">
        <f>IF($AO181&lt;&gt;"OK",0,IF(AND(DATE('Thiết lập'!$B$4,12,1)&gt;=DATE(YEAR($H181),MONTH($H181),1),DATE('Thiết lập'!$B$4,12,1)&lt;EDATE(DATE(YEAR($H181),MONTH($H181),1),$O181)),MIN($P181,MAX(0,$N181-$U181-SUM($V181:AF181))),0))</f>
        <v/>
      </c>
      <c r="AH181" s="457">
        <f>IF(B181="","",SUM(V181:AG181))</f>
        <v/>
      </c>
      <c r="AI181" s="457">
        <f>IF(B181="","",MIN(N181,IF(U181="",0,U181)+AH181))</f>
        <v/>
      </c>
      <c r="AJ181" s="457">
        <f>IF(B181="","",MAX(0,L181-AI181))</f>
        <v/>
      </c>
      <c r="AK181" s="337">
        <f>IF(B181="","",IF(H181&gt;'Thiết lập'!$B$5,"Chưa khấu hao",IF(AJ181&lt;=IF(M181="",0,M181),"Đã hết khấu hao","Đang khấu hao")))</f>
        <v/>
      </c>
      <c r="AL181" s="275" t="n"/>
      <c r="AM181" s="275" t="n"/>
      <c r="AN181" s="275" t="n"/>
      <c r="AO181" s="343">
        <f>IF(B181="","",IF(COUNTIF($B$7:$B$306,B181)&gt;1,"Trùng mã TSCĐ",IF(C181="","Thiếu tên TSCĐ",IF(H181="","Thiếu ngày bắt đầu",IF(OR(I181&lt;=0,L181&lt;=0,O181&lt;=0),"Kiểm tra số lượng/nguyên giá/thời gian",IF(AND(G181&lt;&gt;"",H181&lt;G181),"Ngày KH trước ngày ghi tăng",IF(M181&gt;L181,"Giá trị thu hồi vượt nguyên giá",IF(IF(U181="",0,U181)&gt;N181,"Lũy kế đầu năm vượt GTKH","OK"))))))))</f>
        <v/>
      </c>
    </row>
    <row r="182" ht="20" customHeight="1" s="389">
      <c r="A182" s="325">
        <f>IF(B182="","",ROW()-6)</f>
        <v/>
      </c>
      <c r="B182" s="275" t="n"/>
      <c r="C182" s="275" t="n"/>
      <c r="D182" s="331" t="n"/>
      <c r="E182" s="331" t="n"/>
      <c r="F182" s="454" t="n"/>
      <c r="G182" s="454" t="n"/>
      <c r="H182" s="454" t="n"/>
      <c r="I182" s="455" t="n"/>
      <c r="J182" s="456" t="n"/>
      <c r="K182" s="456" t="n"/>
      <c r="L182" s="457">
        <f>IF(B182="","",IF(OR(I182="",J182=""),"",I182*J182+IF(K182="",0,K182)))</f>
        <v/>
      </c>
      <c r="M182" s="456" t="n"/>
      <c r="N182" s="457">
        <f>IF(L182="","",MAX(0,L182-IF(M182="",0,M182)))</f>
        <v/>
      </c>
      <c r="O182" s="455" t="n"/>
      <c r="P182" s="457">
        <f>IF(OR(N182="",O182&lt;=0),"",ROUND(N182/O182,0))</f>
        <v/>
      </c>
      <c r="Q182" s="458">
        <f>IF(OR(H182="",O182&lt;=0),"",EOMONTH(H182,O182-1))</f>
        <v/>
      </c>
      <c r="R182" s="331" t="n"/>
      <c r="S182" s="331" t="n"/>
      <c r="T182" s="331" t="n"/>
      <c r="U182" s="456" t="n"/>
      <c r="V182" s="457">
        <f>IF($AO182&lt;&gt;"OK",0,IF(AND(DATE('Thiết lập'!$B$4,1,1)&gt;=DATE(YEAR($H182),MONTH($H182),1),DATE('Thiết lập'!$B$4,1,1)&lt;EDATE(DATE(YEAR($H182),MONTH($H182),1),$O182)),MIN($P182,MAX(0,$N182-$U182-0)),0))</f>
        <v/>
      </c>
      <c r="W182" s="457">
        <f>IF($AO182&lt;&gt;"OK",0,IF(AND(DATE('Thiết lập'!$B$4,2,1)&gt;=DATE(YEAR($H182),MONTH($H182),1),DATE('Thiết lập'!$B$4,2,1)&lt;EDATE(DATE(YEAR($H182),MONTH($H182),1),$O182)),MIN($P182,MAX(0,$N182-$U182-SUM($V182:V182))),0))</f>
        <v/>
      </c>
      <c r="X182" s="457">
        <f>IF($AO182&lt;&gt;"OK",0,IF(AND(DATE('Thiết lập'!$B$4,3,1)&gt;=DATE(YEAR($H182),MONTH($H182),1),DATE('Thiết lập'!$B$4,3,1)&lt;EDATE(DATE(YEAR($H182),MONTH($H182),1),$O182)),MIN($P182,MAX(0,$N182-$U182-SUM($V182:W182))),0))</f>
        <v/>
      </c>
      <c r="Y182" s="457">
        <f>IF($AO182&lt;&gt;"OK",0,IF(AND(DATE('Thiết lập'!$B$4,4,1)&gt;=DATE(YEAR($H182),MONTH($H182),1),DATE('Thiết lập'!$B$4,4,1)&lt;EDATE(DATE(YEAR($H182),MONTH($H182),1),$O182)),MIN($P182,MAX(0,$N182-$U182-SUM($V182:X182))),0))</f>
        <v/>
      </c>
      <c r="Z182" s="457">
        <f>IF($AO182&lt;&gt;"OK",0,IF(AND(DATE('Thiết lập'!$B$4,5,1)&gt;=DATE(YEAR($H182),MONTH($H182),1),DATE('Thiết lập'!$B$4,5,1)&lt;EDATE(DATE(YEAR($H182),MONTH($H182),1),$O182)),MIN($P182,MAX(0,$N182-$U182-SUM($V182:Y182))),0))</f>
        <v/>
      </c>
      <c r="AA182" s="457">
        <f>IF($AO182&lt;&gt;"OK",0,IF(AND(DATE('Thiết lập'!$B$4,6,1)&gt;=DATE(YEAR($H182),MONTH($H182),1),DATE('Thiết lập'!$B$4,6,1)&lt;EDATE(DATE(YEAR($H182),MONTH($H182),1),$O182)),MIN($P182,MAX(0,$N182-$U182-SUM($V182:Z182))),0))</f>
        <v/>
      </c>
      <c r="AB182" s="457">
        <f>IF($AO182&lt;&gt;"OK",0,IF(AND(DATE('Thiết lập'!$B$4,7,1)&gt;=DATE(YEAR($H182),MONTH($H182),1),DATE('Thiết lập'!$B$4,7,1)&lt;EDATE(DATE(YEAR($H182),MONTH($H182),1),$O182)),MIN($P182,MAX(0,$N182-$U182-SUM($V182:AA182))),0))</f>
        <v/>
      </c>
      <c r="AC182" s="457">
        <f>IF($AO182&lt;&gt;"OK",0,IF(AND(DATE('Thiết lập'!$B$4,8,1)&gt;=DATE(YEAR($H182),MONTH($H182),1),DATE('Thiết lập'!$B$4,8,1)&lt;EDATE(DATE(YEAR($H182),MONTH($H182),1),$O182)),MIN($P182,MAX(0,$N182-$U182-SUM($V182:AB182))),0))</f>
        <v/>
      </c>
      <c r="AD182" s="457">
        <f>IF($AO182&lt;&gt;"OK",0,IF(AND(DATE('Thiết lập'!$B$4,9,1)&gt;=DATE(YEAR($H182),MONTH($H182),1),DATE('Thiết lập'!$B$4,9,1)&lt;EDATE(DATE(YEAR($H182),MONTH($H182),1),$O182)),MIN($P182,MAX(0,$N182-$U182-SUM($V182:AC182))),0))</f>
        <v/>
      </c>
      <c r="AE182" s="457">
        <f>IF($AO182&lt;&gt;"OK",0,IF(AND(DATE('Thiết lập'!$B$4,10,1)&gt;=DATE(YEAR($H182),MONTH($H182),1),DATE('Thiết lập'!$B$4,10,1)&lt;EDATE(DATE(YEAR($H182),MONTH($H182),1),$O182)),MIN($P182,MAX(0,$N182-$U182-SUM($V182:AD182))),0))</f>
        <v/>
      </c>
      <c r="AF182" s="457">
        <f>IF($AO182&lt;&gt;"OK",0,IF(AND(DATE('Thiết lập'!$B$4,11,1)&gt;=DATE(YEAR($H182),MONTH($H182),1),DATE('Thiết lập'!$B$4,11,1)&lt;EDATE(DATE(YEAR($H182),MONTH($H182),1),$O182)),MIN($P182,MAX(0,$N182-$U182-SUM($V182:AE182))),0))</f>
        <v/>
      </c>
      <c r="AG182" s="457">
        <f>IF($AO182&lt;&gt;"OK",0,IF(AND(DATE('Thiết lập'!$B$4,12,1)&gt;=DATE(YEAR($H182),MONTH($H182),1),DATE('Thiết lập'!$B$4,12,1)&lt;EDATE(DATE(YEAR($H182),MONTH($H182),1),$O182)),MIN($P182,MAX(0,$N182-$U182-SUM($V182:AF182))),0))</f>
        <v/>
      </c>
      <c r="AH182" s="457">
        <f>IF(B182="","",SUM(V182:AG182))</f>
        <v/>
      </c>
      <c r="AI182" s="457">
        <f>IF(B182="","",MIN(N182,IF(U182="",0,U182)+AH182))</f>
        <v/>
      </c>
      <c r="AJ182" s="457">
        <f>IF(B182="","",MAX(0,L182-AI182))</f>
        <v/>
      </c>
      <c r="AK182" s="337">
        <f>IF(B182="","",IF(H182&gt;'Thiết lập'!$B$5,"Chưa khấu hao",IF(AJ182&lt;=IF(M182="",0,M182),"Đã hết khấu hao","Đang khấu hao")))</f>
        <v/>
      </c>
      <c r="AL182" s="275" t="n"/>
      <c r="AM182" s="275" t="n"/>
      <c r="AN182" s="275" t="n"/>
      <c r="AO182" s="343">
        <f>IF(B182="","",IF(COUNTIF($B$7:$B$306,B182)&gt;1,"Trùng mã TSCĐ",IF(C182="","Thiếu tên TSCĐ",IF(H182="","Thiếu ngày bắt đầu",IF(OR(I182&lt;=0,L182&lt;=0,O182&lt;=0),"Kiểm tra số lượng/nguyên giá/thời gian",IF(AND(G182&lt;&gt;"",H182&lt;G182),"Ngày KH trước ngày ghi tăng",IF(M182&gt;L182,"Giá trị thu hồi vượt nguyên giá",IF(IF(U182="",0,U182)&gt;N182,"Lũy kế đầu năm vượt GTKH","OK"))))))))</f>
        <v/>
      </c>
    </row>
    <row r="183" ht="20" customHeight="1" s="389">
      <c r="A183" s="325">
        <f>IF(B183="","",ROW()-6)</f>
        <v/>
      </c>
      <c r="B183" s="275" t="n"/>
      <c r="C183" s="275" t="n"/>
      <c r="D183" s="331" t="n"/>
      <c r="E183" s="331" t="n"/>
      <c r="F183" s="454" t="n"/>
      <c r="G183" s="454" t="n"/>
      <c r="H183" s="454" t="n"/>
      <c r="I183" s="455" t="n"/>
      <c r="J183" s="456" t="n"/>
      <c r="K183" s="456" t="n"/>
      <c r="L183" s="457">
        <f>IF(B183="","",IF(OR(I183="",J183=""),"",I183*J183+IF(K183="",0,K183)))</f>
        <v/>
      </c>
      <c r="M183" s="456" t="n"/>
      <c r="N183" s="457">
        <f>IF(L183="","",MAX(0,L183-IF(M183="",0,M183)))</f>
        <v/>
      </c>
      <c r="O183" s="455" t="n"/>
      <c r="P183" s="457">
        <f>IF(OR(N183="",O183&lt;=0),"",ROUND(N183/O183,0))</f>
        <v/>
      </c>
      <c r="Q183" s="458">
        <f>IF(OR(H183="",O183&lt;=0),"",EOMONTH(H183,O183-1))</f>
        <v/>
      </c>
      <c r="R183" s="331" t="n"/>
      <c r="S183" s="331" t="n"/>
      <c r="T183" s="331" t="n"/>
      <c r="U183" s="456" t="n"/>
      <c r="V183" s="457">
        <f>IF($AO183&lt;&gt;"OK",0,IF(AND(DATE('Thiết lập'!$B$4,1,1)&gt;=DATE(YEAR($H183),MONTH($H183),1),DATE('Thiết lập'!$B$4,1,1)&lt;EDATE(DATE(YEAR($H183),MONTH($H183),1),$O183)),MIN($P183,MAX(0,$N183-$U183-0)),0))</f>
        <v/>
      </c>
      <c r="W183" s="457">
        <f>IF($AO183&lt;&gt;"OK",0,IF(AND(DATE('Thiết lập'!$B$4,2,1)&gt;=DATE(YEAR($H183),MONTH($H183),1),DATE('Thiết lập'!$B$4,2,1)&lt;EDATE(DATE(YEAR($H183),MONTH($H183),1),$O183)),MIN($P183,MAX(0,$N183-$U183-SUM($V183:V183))),0))</f>
        <v/>
      </c>
      <c r="X183" s="457">
        <f>IF($AO183&lt;&gt;"OK",0,IF(AND(DATE('Thiết lập'!$B$4,3,1)&gt;=DATE(YEAR($H183),MONTH($H183),1),DATE('Thiết lập'!$B$4,3,1)&lt;EDATE(DATE(YEAR($H183),MONTH($H183),1),$O183)),MIN($P183,MAX(0,$N183-$U183-SUM($V183:W183))),0))</f>
        <v/>
      </c>
      <c r="Y183" s="457">
        <f>IF($AO183&lt;&gt;"OK",0,IF(AND(DATE('Thiết lập'!$B$4,4,1)&gt;=DATE(YEAR($H183),MONTH($H183),1),DATE('Thiết lập'!$B$4,4,1)&lt;EDATE(DATE(YEAR($H183),MONTH($H183),1),$O183)),MIN($P183,MAX(0,$N183-$U183-SUM($V183:X183))),0))</f>
        <v/>
      </c>
      <c r="Z183" s="457">
        <f>IF($AO183&lt;&gt;"OK",0,IF(AND(DATE('Thiết lập'!$B$4,5,1)&gt;=DATE(YEAR($H183),MONTH($H183),1),DATE('Thiết lập'!$B$4,5,1)&lt;EDATE(DATE(YEAR($H183),MONTH($H183),1),$O183)),MIN($P183,MAX(0,$N183-$U183-SUM($V183:Y183))),0))</f>
        <v/>
      </c>
      <c r="AA183" s="457">
        <f>IF($AO183&lt;&gt;"OK",0,IF(AND(DATE('Thiết lập'!$B$4,6,1)&gt;=DATE(YEAR($H183),MONTH($H183),1),DATE('Thiết lập'!$B$4,6,1)&lt;EDATE(DATE(YEAR($H183),MONTH($H183),1),$O183)),MIN($P183,MAX(0,$N183-$U183-SUM($V183:Z183))),0))</f>
        <v/>
      </c>
      <c r="AB183" s="457">
        <f>IF($AO183&lt;&gt;"OK",0,IF(AND(DATE('Thiết lập'!$B$4,7,1)&gt;=DATE(YEAR($H183),MONTH($H183),1),DATE('Thiết lập'!$B$4,7,1)&lt;EDATE(DATE(YEAR($H183),MONTH($H183),1),$O183)),MIN($P183,MAX(0,$N183-$U183-SUM($V183:AA183))),0))</f>
        <v/>
      </c>
      <c r="AC183" s="457">
        <f>IF($AO183&lt;&gt;"OK",0,IF(AND(DATE('Thiết lập'!$B$4,8,1)&gt;=DATE(YEAR($H183),MONTH($H183),1),DATE('Thiết lập'!$B$4,8,1)&lt;EDATE(DATE(YEAR($H183),MONTH($H183),1),$O183)),MIN($P183,MAX(0,$N183-$U183-SUM($V183:AB183))),0))</f>
        <v/>
      </c>
      <c r="AD183" s="457">
        <f>IF($AO183&lt;&gt;"OK",0,IF(AND(DATE('Thiết lập'!$B$4,9,1)&gt;=DATE(YEAR($H183),MONTH($H183),1),DATE('Thiết lập'!$B$4,9,1)&lt;EDATE(DATE(YEAR($H183),MONTH($H183),1),$O183)),MIN($P183,MAX(0,$N183-$U183-SUM($V183:AC183))),0))</f>
        <v/>
      </c>
      <c r="AE183" s="457">
        <f>IF($AO183&lt;&gt;"OK",0,IF(AND(DATE('Thiết lập'!$B$4,10,1)&gt;=DATE(YEAR($H183),MONTH($H183),1),DATE('Thiết lập'!$B$4,10,1)&lt;EDATE(DATE(YEAR($H183),MONTH($H183),1),$O183)),MIN($P183,MAX(0,$N183-$U183-SUM($V183:AD183))),0))</f>
        <v/>
      </c>
      <c r="AF183" s="457">
        <f>IF($AO183&lt;&gt;"OK",0,IF(AND(DATE('Thiết lập'!$B$4,11,1)&gt;=DATE(YEAR($H183),MONTH($H183),1),DATE('Thiết lập'!$B$4,11,1)&lt;EDATE(DATE(YEAR($H183),MONTH($H183),1),$O183)),MIN($P183,MAX(0,$N183-$U183-SUM($V183:AE183))),0))</f>
        <v/>
      </c>
      <c r="AG183" s="457">
        <f>IF($AO183&lt;&gt;"OK",0,IF(AND(DATE('Thiết lập'!$B$4,12,1)&gt;=DATE(YEAR($H183),MONTH($H183),1),DATE('Thiết lập'!$B$4,12,1)&lt;EDATE(DATE(YEAR($H183),MONTH($H183),1),$O183)),MIN($P183,MAX(0,$N183-$U183-SUM($V183:AF183))),0))</f>
        <v/>
      </c>
      <c r="AH183" s="457">
        <f>IF(B183="","",SUM(V183:AG183))</f>
        <v/>
      </c>
      <c r="AI183" s="457">
        <f>IF(B183="","",MIN(N183,IF(U183="",0,U183)+AH183))</f>
        <v/>
      </c>
      <c r="AJ183" s="457">
        <f>IF(B183="","",MAX(0,L183-AI183))</f>
        <v/>
      </c>
      <c r="AK183" s="337">
        <f>IF(B183="","",IF(H183&gt;'Thiết lập'!$B$5,"Chưa khấu hao",IF(AJ183&lt;=IF(M183="",0,M183),"Đã hết khấu hao","Đang khấu hao")))</f>
        <v/>
      </c>
      <c r="AL183" s="275" t="n"/>
      <c r="AM183" s="275" t="n"/>
      <c r="AN183" s="275" t="n"/>
      <c r="AO183" s="343">
        <f>IF(B183="","",IF(COUNTIF($B$7:$B$306,B183)&gt;1,"Trùng mã TSCĐ",IF(C183="","Thiếu tên TSCĐ",IF(H183="","Thiếu ngày bắt đầu",IF(OR(I183&lt;=0,L183&lt;=0,O183&lt;=0),"Kiểm tra số lượng/nguyên giá/thời gian",IF(AND(G183&lt;&gt;"",H183&lt;G183),"Ngày KH trước ngày ghi tăng",IF(M183&gt;L183,"Giá trị thu hồi vượt nguyên giá",IF(IF(U183="",0,U183)&gt;N183,"Lũy kế đầu năm vượt GTKH","OK"))))))))</f>
        <v/>
      </c>
    </row>
    <row r="184" ht="20" customHeight="1" s="389">
      <c r="A184" s="325">
        <f>IF(B184="","",ROW()-6)</f>
        <v/>
      </c>
      <c r="B184" s="275" t="n"/>
      <c r="C184" s="275" t="n"/>
      <c r="D184" s="331" t="n"/>
      <c r="E184" s="331" t="n"/>
      <c r="F184" s="454" t="n"/>
      <c r="G184" s="454" t="n"/>
      <c r="H184" s="454" t="n"/>
      <c r="I184" s="455" t="n"/>
      <c r="J184" s="456" t="n"/>
      <c r="K184" s="456" t="n"/>
      <c r="L184" s="457">
        <f>IF(B184="","",IF(OR(I184="",J184=""),"",I184*J184+IF(K184="",0,K184)))</f>
        <v/>
      </c>
      <c r="M184" s="456" t="n"/>
      <c r="N184" s="457">
        <f>IF(L184="","",MAX(0,L184-IF(M184="",0,M184)))</f>
        <v/>
      </c>
      <c r="O184" s="455" t="n"/>
      <c r="P184" s="457">
        <f>IF(OR(N184="",O184&lt;=0),"",ROUND(N184/O184,0))</f>
        <v/>
      </c>
      <c r="Q184" s="458">
        <f>IF(OR(H184="",O184&lt;=0),"",EOMONTH(H184,O184-1))</f>
        <v/>
      </c>
      <c r="R184" s="331" t="n"/>
      <c r="S184" s="331" t="n"/>
      <c r="T184" s="331" t="n"/>
      <c r="U184" s="456" t="n"/>
      <c r="V184" s="457">
        <f>IF($AO184&lt;&gt;"OK",0,IF(AND(DATE('Thiết lập'!$B$4,1,1)&gt;=DATE(YEAR($H184),MONTH($H184),1),DATE('Thiết lập'!$B$4,1,1)&lt;EDATE(DATE(YEAR($H184),MONTH($H184),1),$O184)),MIN($P184,MAX(0,$N184-$U184-0)),0))</f>
        <v/>
      </c>
      <c r="W184" s="457">
        <f>IF($AO184&lt;&gt;"OK",0,IF(AND(DATE('Thiết lập'!$B$4,2,1)&gt;=DATE(YEAR($H184),MONTH($H184),1),DATE('Thiết lập'!$B$4,2,1)&lt;EDATE(DATE(YEAR($H184),MONTH($H184),1),$O184)),MIN($P184,MAX(0,$N184-$U184-SUM($V184:V184))),0))</f>
        <v/>
      </c>
      <c r="X184" s="457">
        <f>IF($AO184&lt;&gt;"OK",0,IF(AND(DATE('Thiết lập'!$B$4,3,1)&gt;=DATE(YEAR($H184),MONTH($H184),1),DATE('Thiết lập'!$B$4,3,1)&lt;EDATE(DATE(YEAR($H184),MONTH($H184),1),$O184)),MIN($P184,MAX(0,$N184-$U184-SUM($V184:W184))),0))</f>
        <v/>
      </c>
      <c r="Y184" s="457">
        <f>IF($AO184&lt;&gt;"OK",0,IF(AND(DATE('Thiết lập'!$B$4,4,1)&gt;=DATE(YEAR($H184),MONTH($H184),1),DATE('Thiết lập'!$B$4,4,1)&lt;EDATE(DATE(YEAR($H184),MONTH($H184),1),$O184)),MIN($P184,MAX(0,$N184-$U184-SUM($V184:X184))),0))</f>
        <v/>
      </c>
      <c r="Z184" s="457">
        <f>IF($AO184&lt;&gt;"OK",0,IF(AND(DATE('Thiết lập'!$B$4,5,1)&gt;=DATE(YEAR($H184),MONTH($H184),1),DATE('Thiết lập'!$B$4,5,1)&lt;EDATE(DATE(YEAR($H184),MONTH($H184),1),$O184)),MIN($P184,MAX(0,$N184-$U184-SUM($V184:Y184))),0))</f>
        <v/>
      </c>
      <c r="AA184" s="457">
        <f>IF($AO184&lt;&gt;"OK",0,IF(AND(DATE('Thiết lập'!$B$4,6,1)&gt;=DATE(YEAR($H184),MONTH($H184),1),DATE('Thiết lập'!$B$4,6,1)&lt;EDATE(DATE(YEAR($H184),MONTH($H184),1),$O184)),MIN($P184,MAX(0,$N184-$U184-SUM($V184:Z184))),0))</f>
        <v/>
      </c>
      <c r="AB184" s="457">
        <f>IF($AO184&lt;&gt;"OK",0,IF(AND(DATE('Thiết lập'!$B$4,7,1)&gt;=DATE(YEAR($H184),MONTH($H184),1),DATE('Thiết lập'!$B$4,7,1)&lt;EDATE(DATE(YEAR($H184),MONTH($H184),1),$O184)),MIN($P184,MAX(0,$N184-$U184-SUM($V184:AA184))),0))</f>
        <v/>
      </c>
      <c r="AC184" s="457">
        <f>IF($AO184&lt;&gt;"OK",0,IF(AND(DATE('Thiết lập'!$B$4,8,1)&gt;=DATE(YEAR($H184),MONTH($H184),1),DATE('Thiết lập'!$B$4,8,1)&lt;EDATE(DATE(YEAR($H184),MONTH($H184),1),$O184)),MIN($P184,MAX(0,$N184-$U184-SUM($V184:AB184))),0))</f>
        <v/>
      </c>
      <c r="AD184" s="457">
        <f>IF($AO184&lt;&gt;"OK",0,IF(AND(DATE('Thiết lập'!$B$4,9,1)&gt;=DATE(YEAR($H184),MONTH($H184),1),DATE('Thiết lập'!$B$4,9,1)&lt;EDATE(DATE(YEAR($H184),MONTH($H184),1),$O184)),MIN($P184,MAX(0,$N184-$U184-SUM($V184:AC184))),0))</f>
        <v/>
      </c>
      <c r="AE184" s="457">
        <f>IF($AO184&lt;&gt;"OK",0,IF(AND(DATE('Thiết lập'!$B$4,10,1)&gt;=DATE(YEAR($H184),MONTH($H184),1),DATE('Thiết lập'!$B$4,10,1)&lt;EDATE(DATE(YEAR($H184),MONTH($H184),1),$O184)),MIN($P184,MAX(0,$N184-$U184-SUM($V184:AD184))),0))</f>
        <v/>
      </c>
      <c r="AF184" s="457">
        <f>IF($AO184&lt;&gt;"OK",0,IF(AND(DATE('Thiết lập'!$B$4,11,1)&gt;=DATE(YEAR($H184),MONTH($H184),1),DATE('Thiết lập'!$B$4,11,1)&lt;EDATE(DATE(YEAR($H184),MONTH($H184),1),$O184)),MIN($P184,MAX(0,$N184-$U184-SUM($V184:AE184))),0))</f>
        <v/>
      </c>
      <c r="AG184" s="457">
        <f>IF($AO184&lt;&gt;"OK",0,IF(AND(DATE('Thiết lập'!$B$4,12,1)&gt;=DATE(YEAR($H184),MONTH($H184),1),DATE('Thiết lập'!$B$4,12,1)&lt;EDATE(DATE(YEAR($H184),MONTH($H184),1),$O184)),MIN($P184,MAX(0,$N184-$U184-SUM($V184:AF184))),0))</f>
        <v/>
      </c>
      <c r="AH184" s="457">
        <f>IF(B184="","",SUM(V184:AG184))</f>
        <v/>
      </c>
      <c r="AI184" s="457">
        <f>IF(B184="","",MIN(N184,IF(U184="",0,U184)+AH184))</f>
        <v/>
      </c>
      <c r="AJ184" s="457">
        <f>IF(B184="","",MAX(0,L184-AI184))</f>
        <v/>
      </c>
      <c r="AK184" s="337">
        <f>IF(B184="","",IF(H184&gt;'Thiết lập'!$B$5,"Chưa khấu hao",IF(AJ184&lt;=IF(M184="",0,M184),"Đã hết khấu hao","Đang khấu hao")))</f>
        <v/>
      </c>
      <c r="AL184" s="275" t="n"/>
      <c r="AM184" s="275" t="n"/>
      <c r="AN184" s="275" t="n"/>
      <c r="AO184" s="343">
        <f>IF(B184="","",IF(COUNTIF($B$7:$B$306,B184)&gt;1,"Trùng mã TSCĐ",IF(C184="","Thiếu tên TSCĐ",IF(H184="","Thiếu ngày bắt đầu",IF(OR(I184&lt;=0,L184&lt;=0,O184&lt;=0),"Kiểm tra số lượng/nguyên giá/thời gian",IF(AND(G184&lt;&gt;"",H184&lt;G184),"Ngày KH trước ngày ghi tăng",IF(M184&gt;L184,"Giá trị thu hồi vượt nguyên giá",IF(IF(U184="",0,U184)&gt;N184,"Lũy kế đầu năm vượt GTKH","OK"))))))))</f>
        <v/>
      </c>
    </row>
    <row r="185" ht="20" customHeight="1" s="389">
      <c r="A185" s="325">
        <f>IF(B185="","",ROW()-6)</f>
        <v/>
      </c>
      <c r="B185" s="275" t="n"/>
      <c r="C185" s="275" t="n"/>
      <c r="D185" s="331" t="n"/>
      <c r="E185" s="331" t="n"/>
      <c r="F185" s="454" t="n"/>
      <c r="G185" s="454" t="n"/>
      <c r="H185" s="454" t="n"/>
      <c r="I185" s="455" t="n"/>
      <c r="J185" s="456" t="n"/>
      <c r="K185" s="456" t="n"/>
      <c r="L185" s="457">
        <f>IF(B185="","",IF(OR(I185="",J185=""),"",I185*J185+IF(K185="",0,K185)))</f>
        <v/>
      </c>
      <c r="M185" s="456" t="n"/>
      <c r="N185" s="457">
        <f>IF(L185="","",MAX(0,L185-IF(M185="",0,M185)))</f>
        <v/>
      </c>
      <c r="O185" s="455" t="n"/>
      <c r="P185" s="457">
        <f>IF(OR(N185="",O185&lt;=0),"",ROUND(N185/O185,0))</f>
        <v/>
      </c>
      <c r="Q185" s="458">
        <f>IF(OR(H185="",O185&lt;=0),"",EOMONTH(H185,O185-1))</f>
        <v/>
      </c>
      <c r="R185" s="331" t="n"/>
      <c r="S185" s="331" t="n"/>
      <c r="T185" s="331" t="n"/>
      <c r="U185" s="456" t="n"/>
      <c r="V185" s="457">
        <f>IF($AO185&lt;&gt;"OK",0,IF(AND(DATE('Thiết lập'!$B$4,1,1)&gt;=DATE(YEAR($H185),MONTH($H185),1),DATE('Thiết lập'!$B$4,1,1)&lt;EDATE(DATE(YEAR($H185),MONTH($H185),1),$O185)),MIN($P185,MAX(0,$N185-$U185-0)),0))</f>
        <v/>
      </c>
      <c r="W185" s="457">
        <f>IF($AO185&lt;&gt;"OK",0,IF(AND(DATE('Thiết lập'!$B$4,2,1)&gt;=DATE(YEAR($H185),MONTH($H185),1),DATE('Thiết lập'!$B$4,2,1)&lt;EDATE(DATE(YEAR($H185),MONTH($H185),1),$O185)),MIN($P185,MAX(0,$N185-$U185-SUM($V185:V185))),0))</f>
        <v/>
      </c>
      <c r="X185" s="457">
        <f>IF($AO185&lt;&gt;"OK",0,IF(AND(DATE('Thiết lập'!$B$4,3,1)&gt;=DATE(YEAR($H185),MONTH($H185),1),DATE('Thiết lập'!$B$4,3,1)&lt;EDATE(DATE(YEAR($H185),MONTH($H185),1),$O185)),MIN($P185,MAX(0,$N185-$U185-SUM($V185:W185))),0))</f>
        <v/>
      </c>
      <c r="Y185" s="457">
        <f>IF($AO185&lt;&gt;"OK",0,IF(AND(DATE('Thiết lập'!$B$4,4,1)&gt;=DATE(YEAR($H185),MONTH($H185),1),DATE('Thiết lập'!$B$4,4,1)&lt;EDATE(DATE(YEAR($H185),MONTH($H185),1),$O185)),MIN($P185,MAX(0,$N185-$U185-SUM($V185:X185))),0))</f>
        <v/>
      </c>
      <c r="Z185" s="457">
        <f>IF($AO185&lt;&gt;"OK",0,IF(AND(DATE('Thiết lập'!$B$4,5,1)&gt;=DATE(YEAR($H185),MONTH($H185),1),DATE('Thiết lập'!$B$4,5,1)&lt;EDATE(DATE(YEAR($H185),MONTH($H185),1),$O185)),MIN($P185,MAX(0,$N185-$U185-SUM($V185:Y185))),0))</f>
        <v/>
      </c>
      <c r="AA185" s="457">
        <f>IF($AO185&lt;&gt;"OK",0,IF(AND(DATE('Thiết lập'!$B$4,6,1)&gt;=DATE(YEAR($H185),MONTH($H185),1),DATE('Thiết lập'!$B$4,6,1)&lt;EDATE(DATE(YEAR($H185),MONTH($H185),1),$O185)),MIN($P185,MAX(0,$N185-$U185-SUM($V185:Z185))),0))</f>
        <v/>
      </c>
      <c r="AB185" s="457">
        <f>IF($AO185&lt;&gt;"OK",0,IF(AND(DATE('Thiết lập'!$B$4,7,1)&gt;=DATE(YEAR($H185),MONTH($H185),1),DATE('Thiết lập'!$B$4,7,1)&lt;EDATE(DATE(YEAR($H185),MONTH($H185),1),$O185)),MIN($P185,MAX(0,$N185-$U185-SUM($V185:AA185))),0))</f>
        <v/>
      </c>
      <c r="AC185" s="457">
        <f>IF($AO185&lt;&gt;"OK",0,IF(AND(DATE('Thiết lập'!$B$4,8,1)&gt;=DATE(YEAR($H185),MONTH($H185),1),DATE('Thiết lập'!$B$4,8,1)&lt;EDATE(DATE(YEAR($H185),MONTH($H185),1),$O185)),MIN($P185,MAX(0,$N185-$U185-SUM($V185:AB185))),0))</f>
        <v/>
      </c>
      <c r="AD185" s="457">
        <f>IF($AO185&lt;&gt;"OK",0,IF(AND(DATE('Thiết lập'!$B$4,9,1)&gt;=DATE(YEAR($H185),MONTH($H185),1),DATE('Thiết lập'!$B$4,9,1)&lt;EDATE(DATE(YEAR($H185),MONTH($H185),1),$O185)),MIN($P185,MAX(0,$N185-$U185-SUM($V185:AC185))),0))</f>
        <v/>
      </c>
      <c r="AE185" s="457">
        <f>IF($AO185&lt;&gt;"OK",0,IF(AND(DATE('Thiết lập'!$B$4,10,1)&gt;=DATE(YEAR($H185),MONTH($H185),1),DATE('Thiết lập'!$B$4,10,1)&lt;EDATE(DATE(YEAR($H185),MONTH($H185),1),$O185)),MIN($P185,MAX(0,$N185-$U185-SUM($V185:AD185))),0))</f>
        <v/>
      </c>
      <c r="AF185" s="457">
        <f>IF($AO185&lt;&gt;"OK",0,IF(AND(DATE('Thiết lập'!$B$4,11,1)&gt;=DATE(YEAR($H185),MONTH($H185),1),DATE('Thiết lập'!$B$4,11,1)&lt;EDATE(DATE(YEAR($H185),MONTH($H185),1),$O185)),MIN($P185,MAX(0,$N185-$U185-SUM($V185:AE185))),0))</f>
        <v/>
      </c>
      <c r="AG185" s="457">
        <f>IF($AO185&lt;&gt;"OK",0,IF(AND(DATE('Thiết lập'!$B$4,12,1)&gt;=DATE(YEAR($H185),MONTH($H185),1),DATE('Thiết lập'!$B$4,12,1)&lt;EDATE(DATE(YEAR($H185),MONTH($H185),1),$O185)),MIN($P185,MAX(0,$N185-$U185-SUM($V185:AF185))),0))</f>
        <v/>
      </c>
      <c r="AH185" s="457">
        <f>IF(B185="","",SUM(V185:AG185))</f>
        <v/>
      </c>
      <c r="AI185" s="457">
        <f>IF(B185="","",MIN(N185,IF(U185="",0,U185)+AH185))</f>
        <v/>
      </c>
      <c r="AJ185" s="457">
        <f>IF(B185="","",MAX(0,L185-AI185))</f>
        <v/>
      </c>
      <c r="AK185" s="337">
        <f>IF(B185="","",IF(H185&gt;'Thiết lập'!$B$5,"Chưa khấu hao",IF(AJ185&lt;=IF(M185="",0,M185),"Đã hết khấu hao","Đang khấu hao")))</f>
        <v/>
      </c>
      <c r="AL185" s="275" t="n"/>
      <c r="AM185" s="275" t="n"/>
      <c r="AN185" s="275" t="n"/>
      <c r="AO185" s="343">
        <f>IF(B185="","",IF(COUNTIF($B$7:$B$306,B185)&gt;1,"Trùng mã TSCĐ",IF(C185="","Thiếu tên TSCĐ",IF(H185="","Thiếu ngày bắt đầu",IF(OR(I185&lt;=0,L185&lt;=0,O185&lt;=0),"Kiểm tra số lượng/nguyên giá/thời gian",IF(AND(G185&lt;&gt;"",H185&lt;G185),"Ngày KH trước ngày ghi tăng",IF(M185&gt;L185,"Giá trị thu hồi vượt nguyên giá",IF(IF(U185="",0,U185)&gt;N185,"Lũy kế đầu năm vượt GTKH","OK"))))))))</f>
        <v/>
      </c>
    </row>
    <row r="186" ht="20" customHeight="1" s="389">
      <c r="A186" s="325">
        <f>IF(B186="","",ROW()-6)</f>
        <v/>
      </c>
      <c r="B186" s="275" t="n"/>
      <c r="C186" s="275" t="n"/>
      <c r="D186" s="331" t="n"/>
      <c r="E186" s="331" t="n"/>
      <c r="F186" s="454" t="n"/>
      <c r="G186" s="454" t="n"/>
      <c r="H186" s="454" t="n"/>
      <c r="I186" s="455" t="n"/>
      <c r="J186" s="456" t="n"/>
      <c r="K186" s="456" t="n"/>
      <c r="L186" s="457">
        <f>IF(B186="","",IF(OR(I186="",J186=""),"",I186*J186+IF(K186="",0,K186)))</f>
        <v/>
      </c>
      <c r="M186" s="456" t="n"/>
      <c r="N186" s="457">
        <f>IF(L186="","",MAX(0,L186-IF(M186="",0,M186)))</f>
        <v/>
      </c>
      <c r="O186" s="455" t="n"/>
      <c r="P186" s="457">
        <f>IF(OR(N186="",O186&lt;=0),"",ROUND(N186/O186,0))</f>
        <v/>
      </c>
      <c r="Q186" s="458">
        <f>IF(OR(H186="",O186&lt;=0),"",EOMONTH(H186,O186-1))</f>
        <v/>
      </c>
      <c r="R186" s="331" t="n"/>
      <c r="S186" s="331" t="n"/>
      <c r="T186" s="331" t="n"/>
      <c r="U186" s="456" t="n"/>
      <c r="V186" s="457">
        <f>IF($AO186&lt;&gt;"OK",0,IF(AND(DATE('Thiết lập'!$B$4,1,1)&gt;=DATE(YEAR($H186),MONTH($H186),1),DATE('Thiết lập'!$B$4,1,1)&lt;EDATE(DATE(YEAR($H186),MONTH($H186),1),$O186)),MIN($P186,MAX(0,$N186-$U186-0)),0))</f>
        <v/>
      </c>
      <c r="W186" s="457">
        <f>IF($AO186&lt;&gt;"OK",0,IF(AND(DATE('Thiết lập'!$B$4,2,1)&gt;=DATE(YEAR($H186),MONTH($H186),1),DATE('Thiết lập'!$B$4,2,1)&lt;EDATE(DATE(YEAR($H186),MONTH($H186),1),$O186)),MIN($P186,MAX(0,$N186-$U186-SUM($V186:V186))),0))</f>
        <v/>
      </c>
      <c r="X186" s="457">
        <f>IF($AO186&lt;&gt;"OK",0,IF(AND(DATE('Thiết lập'!$B$4,3,1)&gt;=DATE(YEAR($H186),MONTH($H186),1),DATE('Thiết lập'!$B$4,3,1)&lt;EDATE(DATE(YEAR($H186),MONTH($H186),1),$O186)),MIN($P186,MAX(0,$N186-$U186-SUM($V186:W186))),0))</f>
        <v/>
      </c>
      <c r="Y186" s="457">
        <f>IF($AO186&lt;&gt;"OK",0,IF(AND(DATE('Thiết lập'!$B$4,4,1)&gt;=DATE(YEAR($H186),MONTH($H186),1),DATE('Thiết lập'!$B$4,4,1)&lt;EDATE(DATE(YEAR($H186),MONTH($H186),1),$O186)),MIN($P186,MAX(0,$N186-$U186-SUM($V186:X186))),0))</f>
        <v/>
      </c>
      <c r="Z186" s="457">
        <f>IF($AO186&lt;&gt;"OK",0,IF(AND(DATE('Thiết lập'!$B$4,5,1)&gt;=DATE(YEAR($H186),MONTH($H186),1),DATE('Thiết lập'!$B$4,5,1)&lt;EDATE(DATE(YEAR($H186),MONTH($H186),1),$O186)),MIN($P186,MAX(0,$N186-$U186-SUM($V186:Y186))),0))</f>
        <v/>
      </c>
      <c r="AA186" s="457">
        <f>IF($AO186&lt;&gt;"OK",0,IF(AND(DATE('Thiết lập'!$B$4,6,1)&gt;=DATE(YEAR($H186),MONTH($H186),1),DATE('Thiết lập'!$B$4,6,1)&lt;EDATE(DATE(YEAR($H186),MONTH($H186),1),$O186)),MIN($P186,MAX(0,$N186-$U186-SUM($V186:Z186))),0))</f>
        <v/>
      </c>
      <c r="AB186" s="457">
        <f>IF($AO186&lt;&gt;"OK",0,IF(AND(DATE('Thiết lập'!$B$4,7,1)&gt;=DATE(YEAR($H186),MONTH($H186),1),DATE('Thiết lập'!$B$4,7,1)&lt;EDATE(DATE(YEAR($H186),MONTH($H186),1),$O186)),MIN($P186,MAX(0,$N186-$U186-SUM($V186:AA186))),0))</f>
        <v/>
      </c>
      <c r="AC186" s="457">
        <f>IF($AO186&lt;&gt;"OK",0,IF(AND(DATE('Thiết lập'!$B$4,8,1)&gt;=DATE(YEAR($H186),MONTH($H186),1),DATE('Thiết lập'!$B$4,8,1)&lt;EDATE(DATE(YEAR($H186),MONTH($H186),1),$O186)),MIN($P186,MAX(0,$N186-$U186-SUM($V186:AB186))),0))</f>
        <v/>
      </c>
      <c r="AD186" s="457">
        <f>IF($AO186&lt;&gt;"OK",0,IF(AND(DATE('Thiết lập'!$B$4,9,1)&gt;=DATE(YEAR($H186),MONTH($H186),1),DATE('Thiết lập'!$B$4,9,1)&lt;EDATE(DATE(YEAR($H186),MONTH($H186),1),$O186)),MIN($P186,MAX(0,$N186-$U186-SUM($V186:AC186))),0))</f>
        <v/>
      </c>
      <c r="AE186" s="457">
        <f>IF($AO186&lt;&gt;"OK",0,IF(AND(DATE('Thiết lập'!$B$4,10,1)&gt;=DATE(YEAR($H186),MONTH($H186),1),DATE('Thiết lập'!$B$4,10,1)&lt;EDATE(DATE(YEAR($H186),MONTH($H186),1),$O186)),MIN($P186,MAX(0,$N186-$U186-SUM($V186:AD186))),0))</f>
        <v/>
      </c>
      <c r="AF186" s="457">
        <f>IF($AO186&lt;&gt;"OK",0,IF(AND(DATE('Thiết lập'!$B$4,11,1)&gt;=DATE(YEAR($H186),MONTH($H186),1),DATE('Thiết lập'!$B$4,11,1)&lt;EDATE(DATE(YEAR($H186),MONTH($H186),1),$O186)),MIN($P186,MAX(0,$N186-$U186-SUM($V186:AE186))),0))</f>
        <v/>
      </c>
      <c r="AG186" s="457">
        <f>IF($AO186&lt;&gt;"OK",0,IF(AND(DATE('Thiết lập'!$B$4,12,1)&gt;=DATE(YEAR($H186),MONTH($H186),1),DATE('Thiết lập'!$B$4,12,1)&lt;EDATE(DATE(YEAR($H186),MONTH($H186),1),$O186)),MIN($P186,MAX(0,$N186-$U186-SUM($V186:AF186))),0))</f>
        <v/>
      </c>
      <c r="AH186" s="457">
        <f>IF(B186="","",SUM(V186:AG186))</f>
        <v/>
      </c>
      <c r="AI186" s="457">
        <f>IF(B186="","",MIN(N186,IF(U186="",0,U186)+AH186))</f>
        <v/>
      </c>
      <c r="AJ186" s="457">
        <f>IF(B186="","",MAX(0,L186-AI186))</f>
        <v/>
      </c>
      <c r="AK186" s="337">
        <f>IF(B186="","",IF(H186&gt;'Thiết lập'!$B$5,"Chưa khấu hao",IF(AJ186&lt;=IF(M186="",0,M186),"Đã hết khấu hao","Đang khấu hao")))</f>
        <v/>
      </c>
      <c r="AL186" s="275" t="n"/>
      <c r="AM186" s="275" t="n"/>
      <c r="AN186" s="275" t="n"/>
      <c r="AO186" s="343">
        <f>IF(B186="","",IF(COUNTIF($B$7:$B$306,B186)&gt;1,"Trùng mã TSCĐ",IF(C186="","Thiếu tên TSCĐ",IF(H186="","Thiếu ngày bắt đầu",IF(OR(I186&lt;=0,L186&lt;=0,O186&lt;=0),"Kiểm tra số lượng/nguyên giá/thời gian",IF(AND(G186&lt;&gt;"",H186&lt;G186),"Ngày KH trước ngày ghi tăng",IF(M186&gt;L186,"Giá trị thu hồi vượt nguyên giá",IF(IF(U186="",0,U186)&gt;N186,"Lũy kế đầu năm vượt GTKH","OK"))))))))</f>
        <v/>
      </c>
    </row>
    <row r="187" ht="20" customHeight="1" s="389">
      <c r="A187" s="325">
        <f>IF(B187="","",ROW()-6)</f>
        <v/>
      </c>
      <c r="B187" s="275" t="n"/>
      <c r="C187" s="275" t="n"/>
      <c r="D187" s="331" t="n"/>
      <c r="E187" s="331" t="n"/>
      <c r="F187" s="454" t="n"/>
      <c r="G187" s="454" t="n"/>
      <c r="H187" s="454" t="n"/>
      <c r="I187" s="455" t="n"/>
      <c r="J187" s="456" t="n"/>
      <c r="K187" s="456" t="n"/>
      <c r="L187" s="457">
        <f>IF(B187="","",IF(OR(I187="",J187=""),"",I187*J187+IF(K187="",0,K187)))</f>
        <v/>
      </c>
      <c r="M187" s="456" t="n"/>
      <c r="N187" s="457">
        <f>IF(L187="","",MAX(0,L187-IF(M187="",0,M187)))</f>
        <v/>
      </c>
      <c r="O187" s="455" t="n"/>
      <c r="P187" s="457">
        <f>IF(OR(N187="",O187&lt;=0),"",ROUND(N187/O187,0))</f>
        <v/>
      </c>
      <c r="Q187" s="458">
        <f>IF(OR(H187="",O187&lt;=0),"",EOMONTH(H187,O187-1))</f>
        <v/>
      </c>
      <c r="R187" s="331" t="n"/>
      <c r="S187" s="331" t="n"/>
      <c r="T187" s="331" t="n"/>
      <c r="U187" s="456" t="n"/>
      <c r="V187" s="457">
        <f>IF($AO187&lt;&gt;"OK",0,IF(AND(DATE('Thiết lập'!$B$4,1,1)&gt;=DATE(YEAR($H187),MONTH($H187),1),DATE('Thiết lập'!$B$4,1,1)&lt;EDATE(DATE(YEAR($H187),MONTH($H187),1),$O187)),MIN($P187,MAX(0,$N187-$U187-0)),0))</f>
        <v/>
      </c>
      <c r="W187" s="457">
        <f>IF($AO187&lt;&gt;"OK",0,IF(AND(DATE('Thiết lập'!$B$4,2,1)&gt;=DATE(YEAR($H187),MONTH($H187),1),DATE('Thiết lập'!$B$4,2,1)&lt;EDATE(DATE(YEAR($H187),MONTH($H187),1),$O187)),MIN($P187,MAX(0,$N187-$U187-SUM($V187:V187))),0))</f>
        <v/>
      </c>
      <c r="X187" s="457">
        <f>IF($AO187&lt;&gt;"OK",0,IF(AND(DATE('Thiết lập'!$B$4,3,1)&gt;=DATE(YEAR($H187),MONTH($H187),1),DATE('Thiết lập'!$B$4,3,1)&lt;EDATE(DATE(YEAR($H187),MONTH($H187),1),$O187)),MIN($P187,MAX(0,$N187-$U187-SUM($V187:W187))),0))</f>
        <v/>
      </c>
      <c r="Y187" s="457">
        <f>IF($AO187&lt;&gt;"OK",0,IF(AND(DATE('Thiết lập'!$B$4,4,1)&gt;=DATE(YEAR($H187),MONTH($H187),1),DATE('Thiết lập'!$B$4,4,1)&lt;EDATE(DATE(YEAR($H187),MONTH($H187),1),$O187)),MIN($P187,MAX(0,$N187-$U187-SUM($V187:X187))),0))</f>
        <v/>
      </c>
      <c r="Z187" s="457">
        <f>IF($AO187&lt;&gt;"OK",0,IF(AND(DATE('Thiết lập'!$B$4,5,1)&gt;=DATE(YEAR($H187),MONTH($H187),1),DATE('Thiết lập'!$B$4,5,1)&lt;EDATE(DATE(YEAR($H187),MONTH($H187),1),$O187)),MIN($P187,MAX(0,$N187-$U187-SUM($V187:Y187))),0))</f>
        <v/>
      </c>
      <c r="AA187" s="457">
        <f>IF($AO187&lt;&gt;"OK",0,IF(AND(DATE('Thiết lập'!$B$4,6,1)&gt;=DATE(YEAR($H187),MONTH($H187),1),DATE('Thiết lập'!$B$4,6,1)&lt;EDATE(DATE(YEAR($H187),MONTH($H187),1),$O187)),MIN($P187,MAX(0,$N187-$U187-SUM($V187:Z187))),0))</f>
        <v/>
      </c>
      <c r="AB187" s="457">
        <f>IF($AO187&lt;&gt;"OK",0,IF(AND(DATE('Thiết lập'!$B$4,7,1)&gt;=DATE(YEAR($H187),MONTH($H187),1),DATE('Thiết lập'!$B$4,7,1)&lt;EDATE(DATE(YEAR($H187),MONTH($H187),1),$O187)),MIN($P187,MAX(0,$N187-$U187-SUM($V187:AA187))),0))</f>
        <v/>
      </c>
      <c r="AC187" s="457">
        <f>IF($AO187&lt;&gt;"OK",0,IF(AND(DATE('Thiết lập'!$B$4,8,1)&gt;=DATE(YEAR($H187),MONTH($H187),1),DATE('Thiết lập'!$B$4,8,1)&lt;EDATE(DATE(YEAR($H187),MONTH($H187),1),$O187)),MIN($P187,MAX(0,$N187-$U187-SUM($V187:AB187))),0))</f>
        <v/>
      </c>
      <c r="AD187" s="457">
        <f>IF($AO187&lt;&gt;"OK",0,IF(AND(DATE('Thiết lập'!$B$4,9,1)&gt;=DATE(YEAR($H187),MONTH($H187),1),DATE('Thiết lập'!$B$4,9,1)&lt;EDATE(DATE(YEAR($H187),MONTH($H187),1),$O187)),MIN($P187,MAX(0,$N187-$U187-SUM($V187:AC187))),0))</f>
        <v/>
      </c>
      <c r="AE187" s="457">
        <f>IF($AO187&lt;&gt;"OK",0,IF(AND(DATE('Thiết lập'!$B$4,10,1)&gt;=DATE(YEAR($H187),MONTH($H187),1),DATE('Thiết lập'!$B$4,10,1)&lt;EDATE(DATE(YEAR($H187),MONTH($H187),1),$O187)),MIN($P187,MAX(0,$N187-$U187-SUM($V187:AD187))),0))</f>
        <v/>
      </c>
      <c r="AF187" s="457">
        <f>IF($AO187&lt;&gt;"OK",0,IF(AND(DATE('Thiết lập'!$B$4,11,1)&gt;=DATE(YEAR($H187),MONTH($H187),1),DATE('Thiết lập'!$B$4,11,1)&lt;EDATE(DATE(YEAR($H187),MONTH($H187),1),$O187)),MIN($P187,MAX(0,$N187-$U187-SUM($V187:AE187))),0))</f>
        <v/>
      </c>
      <c r="AG187" s="457">
        <f>IF($AO187&lt;&gt;"OK",0,IF(AND(DATE('Thiết lập'!$B$4,12,1)&gt;=DATE(YEAR($H187),MONTH($H187),1),DATE('Thiết lập'!$B$4,12,1)&lt;EDATE(DATE(YEAR($H187),MONTH($H187),1),$O187)),MIN($P187,MAX(0,$N187-$U187-SUM($V187:AF187))),0))</f>
        <v/>
      </c>
      <c r="AH187" s="457">
        <f>IF(B187="","",SUM(V187:AG187))</f>
        <v/>
      </c>
      <c r="AI187" s="457">
        <f>IF(B187="","",MIN(N187,IF(U187="",0,U187)+AH187))</f>
        <v/>
      </c>
      <c r="AJ187" s="457">
        <f>IF(B187="","",MAX(0,L187-AI187))</f>
        <v/>
      </c>
      <c r="AK187" s="337">
        <f>IF(B187="","",IF(H187&gt;'Thiết lập'!$B$5,"Chưa khấu hao",IF(AJ187&lt;=IF(M187="",0,M187),"Đã hết khấu hao","Đang khấu hao")))</f>
        <v/>
      </c>
      <c r="AL187" s="275" t="n"/>
      <c r="AM187" s="275" t="n"/>
      <c r="AN187" s="275" t="n"/>
      <c r="AO187" s="343">
        <f>IF(B187="","",IF(COUNTIF($B$7:$B$306,B187)&gt;1,"Trùng mã TSCĐ",IF(C187="","Thiếu tên TSCĐ",IF(H187="","Thiếu ngày bắt đầu",IF(OR(I187&lt;=0,L187&lt;=0,O187&lt;=0),"Kiểm tra số lượng/nguyên giá/thời gian",IF(AND(G187&lt;&gt;"",H187&lt;G187),"Ngày KH trước ngày ghi tăng",IF(M187&gt;L187,"Giá trị thu hồi vượt nguyên giá",IF(IF(U187="",0,U187)&gt;N187,"Lũy kế đầu năm vượt GTKH","OK"))))))))</f>
        <v/>
      </c>
    </row>
    <row r="188" ht="20" customHeight="1" s="389">
      <c r="A188" s="325">
        <f>IF(B188="","",ROW()-6)</f>
        <v/>
      </c>
      <c r="B188" s="275" t="n"/>
      <c r="C188" s="275" t="n"/>
      <c r="D188" s="331" t="n"/>
      <c r="E188" s="331" t="n"/>
      <c r="F188" s="454" t="n"/>
      <c r="G188" s="454" t="n"/>
      <c r="H188" s="454" t="n"/>
      <c r="I188" s="455" t="n"/>
      <c r="J188" s="456" t="n"/>
      <c r="K188" s="456" t="n"/>
      <c r="L188" s="457">
        <f>IF(B188="","",IF(OR(I188="",J188=""),"",I188*J188+IF(K188="",0,K188)))</f>
        <v/>
      </c>
      <c r="M188" s="456" t="n"/>
      <c r="N188" s="457">
        <f>IF(L188="","",MAX(0,L188-IF(M188="",0,M188)))</f>
        <v/>
      </c>
      <c r="O188" s="455" t="n"/>
      <c r="P188" s="457">
        <f>IF(OR(N188="",O188&lt;=0),"",ROUND(N188/O188,0))</f>
        <v/>
      </c>
      <c r="Q188" s="458">
        <f>IF(OR(H188="",O188&lt;=0),"",EOMONTH(H188,O188-1))</f>
        <v/>
      </c>
      <c r="R188" s="331" t="n"/>
      <c r="S188" s="331" t="n"/>
      <c r="T188" s="331" t="n"/>
      <c r="U188" s="456" t="n"/>
      <c r="V188" s="457">
        <f>IF($AO188&lt;&gt;"OK",0,IF(AND(DATE('Thiết lập'!$B$4,1,1)&gt;=DATE(YEAR($H188),MONTH($H188),1),DATE('Thiết lập'!$B$4,1,1)&lt;EDATE(DATE(YEAR($H188),MONTH($H188),1),$O188)),MIN($P188,MAX(0,$N188-$U188-0)),0))</f>
        <v/>
      </c>
      <c r="W188" s="457">
        <f>IF($AO188&lt;&gt;"OK",0,IF(AND(DATE('Thiết lập'!$B$4,2,1)&gt;=DATE(YEAR($H188),MONTH($H188),1),DATE('Thiết lập'!$B$4,2,1)&lt;EDATE(DATE(YEAR($H188),MONTH($H188),1),$O188)),MIN($P188,MAX(0,$N188-$U188-SUM($V188:V188))),0))</f>
        <v/>
      </c>
      <c r="X188" s="457">
        <f>IF($AO188&lt;&gt;"OK",0,IF(AND(DATE('Thiết lập'!$B$4,3,1)&gt;=DATE(YEAR($H188),MONTH($H188),1),DATE('Thiết lập'!$B$4,3,1)&lt;EDATE(DATE(YEAR($H188),MONTH($H188),1),$O188)),MIN($P188,MAX(0,$N188-$U188-SUM($V188:W188))),0))</f>
        <v/>
      </c>
      <c r="Y188" s="457">
        <f>IF($AO188&lt;&gt;"OK",0,IF(AND(DATE('Thiết lập'!$B$4,4,1)&gt;=DATE(YEAR($H188),MONTH($H188),1),DATE('Thiết lập'!$B$4,4,1)&lt;EDATE(DATE(YEAR($H188),MONTH($H188),1),$O188)),MIN($P188,MAX(0,$N188-$U188-SUM($V188:X188))),0))</f>
        <v/>
      </c>
      <c r="Z188" s="457">
        <f>IF($AO188&lt;&gt;"OK",0,IF(AND(DATE('Thiết lập'!$B$4,5,1)&gt;=DATE(YEAR($H188),MONTH($H188),1),DATE('Thiết lập'!$B$4,5,1)&lt;EDATE(DATE(YEAR($H188),MONTH($H188),1),$O188)),MIN($P188,MAX(0,$N188-$U188-SUM($V188:Y188))),0))</f>
        <v/>
      </c>
      <c r="AA188" s="457">
        <f>IF($AO188&lt;&gt;"OK",0,IF(AND(DATE('Thiết lập'!$B$4,6,1)&gt;=DATE(YEAR($H188),MONTH($H188),1),DATE('Thiết lập'!$B$4,6,1)&lt;EDATE(DATE(YEAR($H188),MONTH($H188),1),$O188)),MIN($P188,MAX(0,$N188-$U188-SUM($V188:Z188))),0))</f>
        <v/>
      </c>
      <c r="AB188" s="457">
        <f>IF($AO188&lt;&gt;"OK",0,IF(AND(DATE('Thiết lập'!$B$4,7,1)&gt;=DATE(YEAR($H188),MONTH($H188),1),DATE('Thiết lập'!$B$4,7,1)&lt;EDATE(DATE(YEAR($H188),MONTH($H188),1),$O188)),MIN($P188,MAX(0,$N188-$U188-SUM($V188:AA188))),0))</f>
        <v/>
      </c>
      <c r="AC188" s="457">
        <f>IF($AO188&lt;&gt;"OK",0,IF(AND(DATE('Thiết lập'!$B$4,8,1)&gt;=DATE(YEAR($H188),MONTH($H188),1),DATE('Thiết lập'!$B$4,8,1)&lt;EDATE(DATE(YEAR($H188),MONTH($H188),1),$O188)),MIN($P188,MAX(0,$N188-$U188-SUM($V188:AB188))),0))</f>
        <v/>
      </c>
      <c r="AD188" s="457">
        <f>IF($AO188&lt;&gt;"OK",0,IF(AND(DATE('Thiết lập'!$B$4,9,1)&gt;=DATE(YEAR($H188),MONTH($H188),1),DATE('Thiết lập'!$B$4,9,1)&lt;EDATE(DATE(YEAR($H188),MONTH($H188),1),$O188)),MIN($P188,MAX(0,$N188-$U188-SUM($V188:AC188))),0))</f>
        <v/>
      </c>
      <c r="AE188" s="457">
        <f>IF($AO188&lt;&gt;"OK",0,IF(AND(DATE('Thiết lập'!$B$4,10,1)&gt;=DATE(YEAR($H188),MONTH($H188),1),DATE('Thiết lập'!$B$4,10,1)&lt;EDATE(DATE(YEAR($H188),MONTH($H188),1),$O188)),MIN($P188,MAX(0,$N188-$U188-SUM($V188:AD188))),0))</f>
        <v/>
      </c>
      <c r="AF188" s="457">
        <f>IF($AO188&lt;&gt;"OK",0,IF(AND(DATE('Thiết lập'!$B$4,11,1)&gt;=DATE(YEAR($H188),MONTH($H188),1),DATE('Thiết lập'!$B$4,11,1)&lt;EDATE(DATE(YEAR($H188),MONTH($H188),1),$O188)),MIN($P188,MAX(0,$N188-$U188-SUM($V188:AE188))),0))</f>
        <v/>
      </c>
      <c r="AG188" s="457">
        <f>IF($AO188&lt;&gt;"OK",0,IF(AND(DATE('Thiết lập'!$B$4,12,1)&gt;=DATE(YEAR($H188),MONTH($H188),1),DATE('Thiết lập'!$B$4,12,1)&lt;EDATE(DATE(YEAR($H188),MONTH($H188),1),$O188)),MIN($P188,MAX(0,$N188-$U188-SUM($V188:AF188))),0))</f>
        <v/>
      </c>
      <c r="AH188" s="457">
        <f>IF(B188="","",SUM(V188:AG188))</f>
        <v/>
      </c>
      <c r="AI188" s="457">
        <f>IF(B188="","",MIN(N188,IF(U188="",0,U188)+AH188))</f>
        <v/>
      </c>
      <c r="AJ188" s="457">
        <f>IF(B188="","",MAX(0,L188-AI188))</f>
        <v/>
      </c>
      <c r="AK188" s="337">
        <f>IF(B188="","",IF(H188&gt;'Thiết lập'!$B$5,"Chưa khấu hao",IF(AJ188&lt;=IF(M188="",0,M188),"Đã hết khấu hao","Đang khấu hao")))</f>
        <v/>
      </c>
      <c r="AL188" s="275" t="n"/>
      <c r="AM188" s="275" t="n"/>
      <c r="AN188" s="275" t="n"/>
      <c r="AO188" s="343">
        <f>IF(B188="","",IF(COUNTIF($B$7:$B$306,B188)&gt;1,"Trùng mã TSCĐ",IF(C188="","Thiếu tên TSCĐ",IF(H188="","Thiếu ngày bắt đầu",IF(OR(I188&lt;=0,L188&lt;=0,O188&lt;=0),"Kiểm tra số lượng/nguyên giá/thời gian",IF(AND(G188&lt;&gt;"",H188&lt;G188),"Ngày KH trước ngày ghi tăng",IF(M188&gt;L188,"Giá trị thu hồi vượt nguyên giá",IF(IF(U188="",0,U188)&gt;N188,"Lũy kế đầu năm vượt GTKH","OK"))))))))</f>
        <v/>
      </c>
    </row>
    <row r="189" ht="20" customHeight="1" s="389">
      <c r="A189" s="325">
        <f>IF(B189="","",ROW()-6)</f>
        <v/>
      </c>
      <c r="B189" s="275" t="n"/>
      <c r="C189" s="275" t="n"/>
      <c r="D189" s="331" t="n"/>
      <c r="E189" s="331" t="n"/>
      <c r="F189" s="454" t="n"/>
      <c r="G189" s="454" t="n"/>
      <c r="H189" s="454" t="n"/>
      <c r="I189" s="455" t="n"/>
      <c r="J189" s="456" t="n"/>
      <c r="K189" s="456" t="n"/>
      <c r="L189" s="457">
        <f>IF(B189="","",IF(OR(I189="",J189=""),"",I189*J189+IF(K189="",0,K189)))</f>
        <v/>
      </c>
      <c r="M189" s="456" t="n"/>
      <c r="N189" s="457">
        <f>IF(L189="","",MAX(0,L189-IF(M189="",0,M189)))</f>
        <v/>
      </c>
      <c r="O189" s="455" t="n"/>
      <c r="P189" s="457">
        <f>IF(OR(N189="",O189&lt;=0),"",ROUND(N189/O189,0))</f>
        <v/>
      </c>
      <c r="Q189" s="458">
        <f>IF(OR(H189="",O189&lt;=0),"",EOMONTH(H189,O189-1))</f>
        <v/>
      </c>
      <c r="R189" s="331" t="n"/>
      <c r="S189" s="331" t="n"/>
      <c r="T189" s="331" t="n"/>
      <c r="U189" s="456" t="n"/>
      <c r="V189" s="457">
        <f>IF($AO189&lt;&gt;"OK",0,IF(AND(DATE('Thiết lập'!$B$4,1,1)&gt;=DATE(YEAR($H189),MONTH($H189),1),DATE('Thiết lập'!$B$4,1,1)&lt;EDATE(DATE(YEAR($H189),MONTH($H189),1),$O189)),MIN($P189,MAX(0,$N189-$U189-0)),0))</f>
        <v/>
      </c>
      <c r="W189" s="457">
        <f>IF($AO189&lt;&gt;"OK",0,IF(AND(DATE('Thiết lập'!$B$4,2,1)&gt;=DATE(YEAR($H189),MONTH($H189),1),DATE('Thiết lập'!$B$4,2,1)&lt;EDATE(DATE(YEAR($H189),MONTH($H189),1),$O189)),MIN($P189,MAX(0,$N189-$U189-SUM($V189:V189))),0))</f>
        <v/>
      </c>
      <c r="X189" s="457">
        <f>IF($AO189&lt;&gt;"OK",0,IF(AND(DATE('Thiết lập'!$B$4,3,1)&gt;=DATE(YEAR($H189),MONTH($H189),1),DATE('Thiết lập'!$B$4,3,1)&lt;EDATE(DATE(YEAR($H189),MONTH($H189),1),$O189)),MIN($P189,MAX(0,$N189-$U189-SUM($V189:W189))),0))</f>
        <v/>
      </c>
      <c r="Y189" s="457">
        <f>IF($AO189&lt;&gt;"OK",0,IF(AND(DATE('Thiết lập'!$B$4,4,1)&gt;=DATE(YEAR($H189),MONTH($H189),1),DATE('Thiết lập'!$B$4,4,1)&lt;EDATE(DATE(YEAR($H189),MONTH($H189),1),$O189)),MIN($P189,MAX(0,$N189-$U189-SUM($V189:X189))),0))</f>
        <v/>
      </c>
      <c r="Z189" s="457">
        <f>IF($AO189&lt;&gt;"OK",0,IF(AND(DATE('Thiết lập'!$B$4,5,1)&gt;=DATE(YEAR($H189),MONTH($H189),1),DATE('Thiết lập'!$B$4,5,1)&lt;EDATE(DATE(YEAR($H189),MONTH($H189),1),$O189)),MIN($P189,MAX(0,$N189-$U189-SUM($V189:Y189))),0))</f>
        <v/>
      </c>
      <c r="AA189" s="457">
        <f>IF($AO189&lt;&gt;"OK",0,IF(AND(DATE('Thiết lập'!$B$4,6,1)&gt;=DATE(YEAR($H189),MONTH($H189),1),DATE('Thiết lập'!$B$4,6,1)&lt;EDATE(DATE(YEAR($H189),MONTH($H189),1),$O189)),MIN($P189,MAX(0,$N189-$U189-SUM($V189:Z189))),0))</f>
        <v/>
      </c>
      <c r="AB189" s="457">
        <f>IF($AO189&lt;&gt;"OK",0,IF(AND(DATE('Thiết lập'!$B$4,7,1)&gt;=DATE(YEAR($H189),MONTH($H189),1),DATE('Thiết lập'!$B$4,7,1)&lt;EDATE(DATE(YEAR($H189),MONTH($H189),1),$O189)),MIN($P189,MAX(0,$N189-$U189-SUM($V189:AA189))),0))</f>
        <v/>
      </c>
      <c r="AC189" s="457">
        <f>IF($AO189&lt;&gt;"OK",0,IF(AND(DATE('Thiết lập'!$B$4,8,1)&gt;=DATE(YEAR($H189),MONTH($H189),1),DATE('Thiết lập'!$B$4,8,1)&lt;EDATE(DATE(YEAR($H189),MONTH($H189),1),$O189)),MIN($P189,MAX(0,$N189-$U189-SUM($V189:AB189))),0))</f>
        <v/>
      </c>
      <c r="AD189" s="457">
        <f>IF($AO189&lt;&gt;"OK",0,IF(AND(DATE('Thiết lập'!$B$4,9,1)&gt;=DATE(YEAR($H189),MONTH($H189),1),DATE('Thiết lập'!$B$4,9,1)&lt;EDATE(DATE(YEAR($H189),MONTH($H189),1),$O189)),MIN($P189,MAX(0,$N189-$U189-SUM($V189:AC189))),0))</f>
        <v/>
      </c>
      <c r="AE189" s="457">
        <f>IF($AO189&lt;&gt;"OK",0,IF(AND(DATE('Thiết lập'!$B$4,10,1)&gt;=DATE(YEAR($H189),MONTH($H189),1),DATE('Thiết lập'!$B$4,10,1)&lt;EDATE(DATE(YEAR($H189),MONTH($H189),1),$O189)),MIN($P189,MAX(0,$N189-$U189-SUM($V189:AD189))),0))</f>
        <v/>
      </c>
      <c r="AF189" s="457">
        <f>IF($AO189&lt;&gt;"OK",0,IF(AND(DATE('Thiết lập'!$B$4,11,1)&gt;=DATE(YEAR($H189),MONTH($H189),1),DATE('Thiết lập'!$B$4,11,1)&lt;EDATE(DATE(YEAR($H189),MONTH($H189),1),$O189)),MIN($P189,MAX(0,$N189-$U189-SUM($V189:AE189))),0))</f>
        <v/>
      </c>
      <c r="AG189" s="457">
        <f>IF($AO189&lt;&gt;"OK",0,IF(AND(DATE('Thiết lập'!$B$4,12,1)&gt;=DATE(YEAR($H189),MONTH($H189),1),DATE('Thiết lập'!$B$4,12,1)&lt;EDATE(DATE(YEAR($H189),MONTH($H189),1),$O189)),MIN($P189,MAX(0,$N189-$U189-SUM($V189:AF189))),0))</f>
        <v/>
      </c>
      <c r="AH189" s="457">
        <f>IF(B189="","",SUM(V189:AG189))</f>
        <v/>
      </c>
      <c r="AI189" s="457">
        <f>IF(B189="","",MIN(N189,IF(U189="",0,U189)+AH189))</f>
        <v/>
      </c>
      <c r="AJ189" s="457">
        <f>IF(B189="","",MAX(0,L189-AI189))</f>
        <v/>
      </c>
      <c r="AK189" s="337">
        <f>IF(B189="","",IF(H189&gt;'Thiết lập'!$B$5,"Chưa khấu hao",IF(AJ189&lt;=IF(M189="",0,M189),"Đã hết khấu hao","Đang khấu hao")))</f>
        <v/>
      </c>
      <c r="AL189" s="275" t="n"/>
      <c r="AM189" s="275" t="n"/>
      <c r="AN189" s="275" t="n"/>
      <c r="AO189" s="343">
        <f>IF(B189="","",IF(COUNTIF($B$7:$B$306,B189)&gt;1,"Trùng mã TSCĐ",IF(C189="","Thiếu tên TSCĐ",IF(H189="","Thiếu ngày bắt đầu",IF(OR(I189&lt;=0,L189&lt;=0,O189&lt;=0),"Kiểm tra số lượng/nguyên giá/thời gian",IF(AND(G189&lt;&gt;"",H189&lt;G189),"Ngày KH trước ngày ghi tăng",IF(M189&gt;L189,"Giá trị thu hồi vượt nguyên giá",IF(IF(U189="",0,U189)&gt;N189,"Lũy kế đầu năm vượt GTKH","OK"))))))))</f>
        <v/>
      </c>
    </row>
    <row r="190" ht="20" customHeight="1" s="389">
      <c r="A190" s="325">
        <f>IF(B190="","",ROW()-6)</f>
        <v/>
      </c>
      <c r="B190" s="275" t="n"/>
      <c r="C190" s="275" t="n"/>
      <c r="D190" s="331" t="n"/>
      <c r="E190" s="331" t="n"/>
      <c r="F190" s="454" t="n"/>
      <c r="G190" s="454" t="n"/>
      <c r="H190" s="454" t="n"/>
      <c r="I190" s="455" t="n"/>
      <c r="J190" s="456" t="n"/>
      <c r="K190" s="456" t="n"/>
      <c r="L190" s="457">
        <f>IF(B190="","",IF(OR(I190="",J190=""),"",I190*J190+IF(K190="",0,K190)))</f>
        <v/>
      </c>
      <c r="M190" s="456" t="n"/>
      <c r="N190" s="457">
        <f>IF(L190="","",MAX(0,L190-IF(M190="",0,M190)))</f>
        <v/>
      </c>
      <c r="O190" s="455" t="n"/>
      <c r="P190" s="457">
        <f>IF(OR(N190="",O190&lt;=0),"",ROUND(N190/O190,0))</f>
        <v/>
      </c>
      <c r="Q190" s="458">
        <f>IF(OR(H190="",O190&lt;=0),"",EOMONTH(H190,O190-1))</f>
        <v/>
      </c>
      <c r="R190" s="331" t="n"/>
      <c r="S190" s="331" t="n"/>
      <c r="T190" s="331" t="n"/>
      <c r="U190" s="456" t="n"/>
      <c r="V190" s="457">
        <f>IF($AO190&lt;&gt;"OK",0,IF(AND(DATE('Thiết lập'!$B$4,1,1)&gt;=DATE(YEAR($H190),MONTH($H190),1),DATE('Thiết lập'!$B$4,1,1)&lt;EDATE(DATE(YEAR($H190),MONTH($H190),1),$O190)),MIN($P190,MAX(0,$N190-$U190-0)),0))</f>
        <v/>
      </c>
      <c r="W190" s="457">
        <f>IF($AO190&lt;&gt;"OK",0,IF(AND(DATE('Thiết lập'!$B$4,2,1)&gt;=DATE(YEAR($H190),MONTH($H190),1),DATE('Thiết lập'!$B$4,2,1)&lt;EDATE(DATE(YEAR($H190),MONTH($H190),1),$O190)),MIN($P190,MAX(0,$N190-$U190-SUM($V190:V190))),0))</f>
        <v/>
      </c>
      <c r="X190" s="457">
        <f>IF($AO190&lt;&gt;"OK",0,IF(AND(DATE('Thiết lập'!$B$4,3,1)&gt;=DATE(YEAR($H190),MONTH($H190),1),DATE('Thiết lập'!$B$4,3,1)&lt;EDATE(DATE(YEAR($H190),MONTH($H190),1),$O190)),MIN($P190,MAX(0,$N190-$U190-SUM($V190:W190))),0))</f>
        <v/>
      </c>
      <c r="Y190" s="457">
        <f>IF($AO190&lt;&gt;"OK",0,IF(AND(DATE('Thiết lập'!$B$4,4,1)&gt;=DATE(YEAR($H190),MONTH($H190),1),DATE('Thiết lập'!$B$4,4,1)&lt;EDATE(DATE(YEAR($H190),MONTH($H190),1),$O190)),MIN($P190,MAX(0,$N190-$U190-SUM($V190:X190))),0))</f>
        <v/>
      </c>
      <c r="Z190" s="457">
        <f>IF($AO190&lt;&gt;"OK",0,IF(AND(DATE('Thiết lập'!$B$4,5,1)&gt;=DATE(YEAR($H190),MONTH($H190),1),DATE('Thiết lập'!$B$4,5,1)&lt;EDATE(DATE(YEAR($H190),MONTH($H190),1),$O190)),MIN($P190,MAX(0,$N190-$U190-SUM($V190:Y190))),0))</f>
        <v/>
      </c>
      <c r="AA190" s="457">
        <f>IF($AO190&lt;&gt;"OK",0,IF(AND(DATE('Thiết lập'!$B$4,6,1)&gt;=DATE(YEAR($H190),MONTH($H190),1),DATE('Thiết lập'!$B$4,6,1)&lt;EDATE(DATE(YEAR($H190),MONTH($H190),1),$O190)),MIN($P190,MAX(0,$N190-$U190-SUM($V190:Z190))),0))</f>
        <v/>
      </c>
      <c r="AB190" s="457">
        <f>IF($AO190&lt;&gt;"OK",0,IF(AND(DATE('Thiết lập'!$B$4,7,1)&gt;=DATE(YEAR($H190),MONTH($H190),1),DATE('Thiết lập'!$B$4,7,1)&lt;EDATE(DATE(YEAR($H190),MONTH($H190),1),$O190)),MIN($P190,MAX(0,$N190-$U190-SUM($V190:AA190))),0))</f>
        <v/>
      </c>
      <c r="AC190" s="457">
        <f>IF($AO190&lt;&gt;"OK",0,IF(AND(DATE('Thiết lập'!$B$4,8,1)&gt;=DATE(YEAR($H190),MONTH($H190),1),DATE('Thiết lập'!$B$4,8,1)&lt;EDATE(DATE(YEAR($H190),MONTH($H190),1),$O190)),MIN($P190,MAX(0,$N190-$U190-SUM($V190:AB190))),0))</f>
        <v/>
      </c>
      <c r="AD190" s="457">
        <f>IF($AO190&lt;&gt;"OK",0,IF(AND(DATE('Thiết lập'!$B$4,9,1)&gt;=DATE(YEAR($H190),MONTH($H190),1),DATE('Thiết lập'!$B$4,9,1)&lt;EDATE(DATE(YEAR($H190),MONTH($H190),1),$O190)),MIN($P190,MAX(0,$N190-$U190-SUM($V190:AC190))),0))</f>
        <v/>
      </c>
      <c r="AE190" s="457">
        <f>IF($AO190&lt;&gt;"OK",0,IF(AND(DATE('Thiết lập'!$B$4,10,1)&gt;=DATE(YEAR($H190),MONTH($H190),1),DATE('Thiết lập'!$B$4,10,1)&lt;EDATE(DATE(YEAR($H190),MONTH($H190),1),$O190)),MIN($P190,MAX(0,$N190-$U190-SUM($V190:AD190))),0))</f>
        <v/>
      </c>
      <c r="AF190" s="457">
        <f>IF($AO190&lt;&gt;"OK",0,IF(AND(DATE('Thiết lập'!$B$4,11,1)&gt;=DATE(YEAR($H190),MONTH($H190),1),DATE('Thiết lập'!$B$4,11,1)&lt;EDATE(DATE(YEAR($H190),MONTH($H190),1),$O190)),MIN($P190,MAX(0,$N190-$U190-SUM($V190:AE190))),0))</f>
        <v/>
      </c>
      <c r="AG190" s="457">
        <f>IF($AO190&lt;&gt;"OK",0,IF(AND(DATE('Thiết lập'!$B$4,12,1)&gt;=DATE(YEAR($H190),MONTH($H190),1),DATE('Thiết lập'!$B$4,12,1)&lt;EDATE(DATE(YEAR($H190),MONTH($H190),1),$O190)),MIN($P190,MAX(0,$N190-$U190-SUM($V190:AF190))),0))</f>
        <v/>
      </c>
      <c r="AH190" s="457">
        <f>IF(B190="","",SUM(V190:AG190))</f>
        <v/>
      </c>
      <c r="AI190" s="457">
        <f>IF(B190="","",MIN(N190,IF(U190="",0,U190)+AH190))</f>
        <v/>
      </c>
      <c r="AJ190" s="457">
        <f>IF(B190="","",MAX(0,L190-AI190))</f>
        <v/>
      </c>
      <c r="AK190" s="337">
        <f>IF(B190="","",IF(H190&gt;'Thiết lập'!$B$5,"Chưa khấu hao",IF(AJ190&lt;=IF(M190="",0,M190),"Đã hết khấu hao","Đang khấu hao")))</f>
        <v/>
      </c>
      <c r="AL190" s="275" t="n"/>
      <c r="AM190" s="275" t="n"/>
      <c r="AN190" s="275" t="n"/>
      <c r="AO190" s="343">
        <f>IF(B190="","",IF(COUNTIF($B$7:$B$306,B190)&gt;1,"Trùng mã TSCĐ",IF(C190="","Thiếu tên TSCĐ",IF(H190="","Thiếu ngày bắt đầu",IF(OR(I190&lt;=0,L190&lt;=0,O190&lt;=0),"Kiểm tra số lượng/nguyên giá/thời gian",IF(AND(G190&lt;&gt;"",H190&lt;G190),"Ngày KH trước ngày ghi tăng",IF(M190&gt;L190,"Giá trị thu hồi vượt nguyên giá",IF(IF(U190="",0,U190)&gt;N190,"Lũy kế đầu năm vượt GTKH","OK"))))))))</f>
        <v/>
      </c>
    </row>
    <row r="191" ht="20" customHeight="1" s="389">
      <c r="A191" s="325">
        <f>IF(B191="","",ROW()-6)</f>
        <v/>
      </c>
      <c r="B191" s="275" t="n"/>
      <c r="C191" s="275" t="n"/>
      <c r="D191" s="331" t="n"/>
      <c r="E191" s="331" t="n"/>
      <c r="F191" s="454" t="n"/>
      <c r="G191" s="454" t="n"/>
      <c r="H191" s="454" t="n"/>
      <c r="I191" s="455" t="n"/>
      <c r="J191" s="456" t="n"/>
      <c r="K191" s="456" t="n"/>
      <c r="L191" s="457">
        <f>IF(B191="","",IF(OR(I191="",J191=""),"",I191*J191+IF(K191="",0,K191)))</f>
        <v/>
      </c>
      <c r="M191" s="456" t="n"/>
      <c r="N191" s="457">
        <f>IF(L191="","",MAX(0,L191-IF(M191="",0,M191)))</f>
        <v/>
      </c>
      <c r="O191" s="455" t="n"/>
      <c r="P191" s="457">
        <f>IF(OR(N191="",O191&lt;=0),"",ROUND(N191/O191,0))</f>
        <v/>
      </c>
      <c r="Q191" s="458">
        <f>IF(OR(H191="",O191&lt;=0),"",EOMONTH(H191,O191-1))</f>
        <v/>
      </c>
      <c r="R191" s="331" t="n"/>
      <c r="S191" s="331" t="n"/>
      <c r="T191" s="331" t="n"/>
      <c r="U191" s="456" t="n"/>
      <c r="V191" s="457">
        <f>IF($AO191&lt;&gt;"OK",0,IF(AND(DATE('Thiết lập'!$B$4,1,1)&gt;=DATE(YEAR($H191),MONTH($H191),1),DATE('Thiết lập'!$B$4,1,1)&lt;EDATE(DATE(YEAR($H191),MONTH($H191),1),$O191)),MIN($P191,MAX(0,$N191-$U191-0)),0))</f>
        <v/>
      </c>
      <c r="W191" s="457">
        <f>IF($AO191&lt;&gt;"OK",0,IF(AND(DATE('Thiết lập'!$B$4,2,1)&gt;=DATE(YEAR($H191),MONTH($H191),1),DATE('Thiết lập'!$B$4,2,1)&lt;EDATE(DATE(YEAR($H191),MONTH($H191),1),$O191)),MIN($P191,MAX(0,$N191-$U191-SUM($V191:V191))),0))</f>
        <v/>
      </c>
      <c r="X191" s="457">
        <f>IF($AO191&lt;&gt;"OK",0,IF(AND(DATE('Thiết lập'!$B$4,3,1)&gt;=DATE(YEAR($H191),MONTH($H191),1),DATE('Thiết lập'!$B$4,3,1)&lt;EDATE(DATE(YEAR($H191),MONTH($H191),1),$O191)),MIN($P191,MAX(0,$N191-$U191-SUM($V191:W191))),0))</f>
        <v/>
      </c>
      <c r="Y191" s="457">
        <f>IF($AO191&lt;&gt;"OK",0,IF(AND(DATE('Thiết lập'!$B$4,4,1)&gt;=DATE(YEAR($H191),MONTH($H191),1),DATE('Thiết lập'!$B$4,4,1)&lt;EDATE(DATE(YEAR($H191),MONTH($H191),1),$O191)),MIN($P191,MAX(0,$N191-$U191-SUM($V191:X191))),0))</f>
        <v/>
      </c>
      <c r="Z191" s="457">
        <f>IF($AO191&lt;&gt;"OK",0,IF(AND(DATE('Thiết lập'!$B$4,5,1)&gt;=DATE(YEAR($H191),MONTH($H191),1),DATE('Thiết lập'!$B$4,5,1)&lt;EDATE(DATE(YEAR($H191),MONTH($H191),1),$O191)),MIN($P191,MAX(0,$N191-$U191-SUM($V191:Y191))),0))</f>
        <v/>
      </c>
      <c r="AA191" s="457">
        <f>IF($AO191&lt;&gt;"OK",0,IF(AND(DATE('Thiết lập'!$B$4,6,1)&gt;=DATE(YEAR($H191),MONTH($H191),1),DATE('Thiết lập'!$B$4,6,1)&lt;EDATE(DATE(YEAR($H191),MONTH($H191),1),$O191)),MIN($P191,MAX(0,$N191-$U191-SUM($V191:Z191))),0))</f>
        <v/>
      </c>
      <c r="AB191" s="457">
        <f>IF($AO191&lt;&gt;"OK",0,IF(AND(DATE('Thiết lập'!$B$4,7,1)&gt;=DATE(YEAR($H191),MONTH($H191),1),DATE('Thiết lập'!$B$4,7,1)&lt;EDATE(DATE(YEAR($H191),MONTH($H191),1),$O191)),MIN($P191,MAX(0,$N191-$U191-SUM($V191:AA191))),0))</f>
        <v/>
      </c>
      <c r="AC191" s="457">
        <f>IF($AO191&lt;&gt;"OK",0,IF(AND(DATE('Thiết lập'!$B$4,8,1)&gt;=DATE(YEAR($H191),MONTH($H191),1),DATE('Thiết lập'!$B$4,8,1)&lt;EDATE(DATE(YEAR($H191),MONTH($H191),1),$O191)),MIN($P191,MAX(0,$N191-$U191-SUM($V191:AB191))),0))</f>
        <v/>
      </c>
      <c r="AD191" s="457">
        <f>IF($AO191&lt;&gt;"OK",0,IF(AND(DATE('Thiết lập'!$B$4,9,1)&gt;=DATE(YEAR($H191),MONTH($H191),1),DATE('Thiết lập'!$B$4,9,1)&lt;EDATE(DATE(YEAR($H191),MONTH($H191),1),$O191)),MIN($P191,MAX(0,$N191-$U191-SUM($V191:AC191))),0))</f>
        <v/>
      </c>
      <c r="AE191" s="457">
        <f>IF($AO191&lt;&gt;"OK",0,IF(AND(DATE('Thiết lập'!$B$4,10,1)&gt;=DATE(YEAR($H191),MONTH($H191),1),DATE('Thiết lập'!$B$4,10,1)&lt;EDATE(DATE(YEAR($H191),MONTH($H191),1),$O191)),MIN($P191,MAX(0,$N191-$U191-SUM($V191:AD191))),0))</f>
        <v/>
      </c>
      <c r="AF191" s="457">
        <f>IF($AO191&lt;&gt;"OK",0,IF(AND(DATE('Thiết lập'!$B$4,11,1)&gt;=DATE(YEAR($H191),MONTH($H191),1),DATE('Thiết lập'!$B$4,11,1)&lt;EDATE(DATE(YEAR($H191),MONTH($H191),1),$O191)),MIN($P191,MAX(0,$N191-$U191-SUM($V191:AE191))),0))</f>
        <v/>
      </c>
      <c r="AG191" s="457">
        <f>IF($AO191&lt;&gt;"OK",0,IF(AND(DATE('Thiết lập'!$B$4,12,1)&gt;=DATE(YEAR($H191),MONTH($H191),1),DATE('Thiết lập'!$B$4,12,1)&lt;EDATE(DATE(YEAR($H191),MONTH($H191),1),$O191)),MIN($P191,MAX(0,$N191-$U191-SUM($V191:AF191))),0))</f>
        <v/>
      </c>
      <c r="AH191" s="457">
        <f>IF(B191="","",SUM(V191:AG191))</f>
        <v/>
      </c>
      <c r="AI191" s="457">
        <f>IF(B191="","",MIN(N191,IF(U191="",0,U191)+AH191))</f>
        <v/>
      </c>
      <c r="AJ191" s="457">
        <f>IF(B191="","",MAX(0,L191-AI191))</f>
        <v/>
      </c>
      <c r="AK191" s="337">
        <f>IF(B191="","",IF(H191&gt;'Thiết lập'!$B$5,"Chưa khấu hao",IF(AJ191&lt;=IF(M191="",0,M191),"Đã hết khấu hao","Đang khấu hao")))</f>
        <v/>
      </c>
      <c r="AL191" s="275" t="n"/>
      <c r="AM191" s="275" t="n"/>
      <c r="AN191" s="275" t="n"/>
      <c r="AO191" s="343">
        <f>IF(B191="","",IF(COUNTIF($B$7:$B$306,B191)&gt;1,"Trùng mã TSCĐ",IF(C191="","Thiếu tên TSCĐ",IF(H191="","Thiếu ngày bắt đầu",IF(OR(I191&lt;=0,L191&lt;=0,O191&lt;=0),"Kiểm tra số lượng/nguyên giá/thời gian",IF(AND(G191&lt;&gt;"",H191&lt;G191),"Ngày KH trước ngày ghi tăng",IF(M191&gt;L191,"Giá trị thu hồi vượt nguyên giá",IF(IF(U191="",0,U191)&gt;N191,"Lũy kế đầu năm vượt GTKH","OK"))))))))</f>
        <v/>
      </c>
    </row>
    <row r="192" ht="20" customHeight="1" s="389">
      <c r="A192" s="325">
        <f>IF(B192="","",ROW()-6)</f>
        <v/>
      </c>
      <c r="B192" s="275" t="n"/>
      <c r="C192" s="275" t="n"/>
      <c r="D192" s="331" t="n"/>
      <c r="E192" s="331" t="n"/>
      <c r="F192" s="454" t="n"/>
      <c r="G192" s="454" t="n"/>
      <c r="H192" s="454" t="n"/>
      <c r="I192" s="455" t="n"/>
      <c r="J192" s="456" t="n"/>
      <c r="K192" s="456" t="n"/>
      <c r="L192" s="457">
        <f>IF(B192="","",IF(OR(I192="",J192=""),"",I192*J192+IF(K192="",0,K192)))</f>
        <v/>
      </c>
      <c r="M192" s="456" t="n"/>
      <c r="N192" s="457">
        <f>IF(L192="","",MAX(0,L192-IF(M192="",0,M192)))</f>
        <v/>
      </c>
      <c r="O192" s="455" t="n"/>
      <c r="P192" s="457">
        <f>IF(OR(N192="",O192&lt;=0),"",ROUND(N192/O192,0))</f>
        <v/>
      </c>
      <c r="Q192" s="458">
        <f>IF(OR(H192="",O192&lt;=0),"",EOMONTH(H192,O192-1))</f>
        <v/>
      </c>
      <c r="R192" s="331" t="n"/>
      <c r="S192" s="331" t="n"/>
      <c r="T192" s="331" t="n"/>
      <c r="U192" s="456" t="n"/>
      <c r="V192" s="457">
        <f>IF($AO192&lt;&gt;"OK",0,IF(AND(DATE('Thiết lập'!$B$4,1,1)&gt;=DATE(YEAR($H192),MONTH($H192),1),DATE('Thiết lập'!$B$4,1,1)&lt;EDATE(DATE(YEAR($H192),MONTH($H192),1),$O192)),MIN($P192,MAX(0,$N192-$U192-0)),0))</f>
        <v/>
      </c>
      <c r="W192" s="457">
        <f>IF($AO192&lt;&gt;"OK",0,IF(AND(DATE('Thiết lập'!$B$4,2,1)&gt;=DATE(YEAR($H192),MONTH($H192),1),DATE('Thiết lập'!$B$4,2,1)&lt;EDATE(DATE(YEAR($H192),MONTH($H192),1),$O192)),MIN($P192,MAX(0,$N192-$U192-SUM($V192:V192))),0))</f>
        <v/>
      </c>
      <c r="X192" s="457">
        <f>IF($AO192&lt;&gt;"OK",0,IF(AND(DATE('Thiết lập'!$B$4,3,1)&gt;=DATE(YEAR($H192),MONTH($H192),1),DATE('Thiết lập'!$B$4,3,1)&lt;EDATE(DATE(YEAR($H192),MONTH($H192),1),$O192)),MIN($P192,MAX(0,$N192-$U192-SUM($V192:W192))),0))</f>
        <v/>
      </c>
      <c r="Y192" s="457">
        <f>IF($AO192&lt;&gt;"OK",0,IF(AND(DATE('Thiết lập'!$B$4,4,1)&gt;=DATE(YEAR($H192),MONTH($H192),1),DATE('Thiết lập'!$B$4,4,1)&lt;EDATE(DATE(YEAR($H192),MONTH($H192),1),$O192)),MIN($P192,MAX(0,$N192-$U192-SUM($V192:X192))),0))</f>
        <v/>
      </c>
      <c r="Z192" s="457">
        <f>IF($AO192&lt;&gt;"OK",0,IF(AND(DATE('Thiết lập'!$B$4,5,1)&gt;=DATE(YEAR($H192),MONTH($H192),1),DATE('Thiết lập'!$B$4,5,1)&lt;EDATE(DATE(YEAR($H192),MONTH($H192),1),$O192)),MIN($P192,MAX(0,$N192-$U192-SUM($V192:Y192))),0))</f>
        <v/>
      </c>
      <c r="AA192" s="457">
        <f>IF($AO192&lt;&gt;"OK",0,IF(AND(DATE('Thiết lập'!$B$4,6,1)&gt;=DATE(YEAR($H192),MONTH($H192),1),DATE('Thiết lập'!$B$4,6,1)&lt;EDATE(DATE(YEAR($H192),MONTH($H192),1),$O192)),MIN($P192,MAX(0,$N192-$U192-SUM($V192:Z192))),0))</f>
        <v/>
      </c>
      <c r="AB192" s="457">
        <f>IF($AO192&lt;&gt;"OK",0,IF(AND(DATE('Thiết lập'!$B$4,7,1)&gt;=DATE(YEAR($H192),MONTH($H192),1),DATE('Thiết lập'!$B$4,7,1)&lt;EDATE(DATE(YEAR($H192),MONTH($H192),1),$O192)),MIN($P192,MAX(0,$N192-$U192-SUM($V192:AA192))),0))</f>
        <v/>
      </c>
      <c r="AC192" s="457">
        <f>IF($AO192&lt;&gt;"OK",0,IF(AND(DATE('Thiết lập'!$B$4,8,1)&gt;=DATE(YEAR($H192),MONTH($H192),1),DATE('Thiết lập'!$B$4,8,1)&lt;EDATE(DATE(YEAR($H192),MONTH($H192),1),$O192)),MIN($P192,MAX(0,$N192-$U192-SUM($V192:AB192))),0))</f>
        <v/>
      </c>
      <c r="AD192" s="457">
        <f>IF($AO192&lt;&gt;"OK",0,IF(AND(DATE('Thiết lập'!$B$4,9,1)&gt;=DATE(YEAR($H192),MONTH($H192),1),DATE('Thiết lập'!$B$4,9,1)&lt;EDATE(DATE(YEAR($H192),MONTH($H192),1),$O192)),MIN($P192,MAX(0,$N192-$U192-SUM($V192:AC192))),0))</f>
        <v/>
      </c>
      <c r="AE192" s="457">
        <f>IF($AO192&lt;&gt;"OK",0,IF(AND(DATE('Thiết lập'!$B$4,10,1)&gt;=DATE(YEAR($H192),MONTH($H192),1),DATE('Thiết lập'!$B$4,10,1)&lt;EDATE(DATE(YEAR($H192),MONTH($H192),1),$O192)),MIN($P192,MAX(0,$N192-$U192-SUM($V192:AD192))),0))</f>
        <v/>
      </c>
      <c r="AF192" s="457">
        <f>IF($AO192&lt;&gt;"OK",0,IF(AND(DATE('Thiết lập'!$B$4,11,1)&gt;=DATE(YEAR($H192),MONTH($H192),1),DATE('Thiết lập'!$B$4,11,1)&lt;EDATE(DATE(YEAR($H192),MONTH($H192),1),$O192)),MIN($P192,MAX(0,$N192-$U192-SUM($V192:AE192))),0))</f>
        <v/>
      </c>
      <c r="AG192" s="457">
        <f>IF($AO192&lt;&gt;"OK",0,IF(AND(DATE('Thiết lập'!$B$4,12,1)&gt;=DATE(YEAR($H192),MONTH($H192),1),DATE('Thiết lập'!$B$4,12,1)&lt;EDATE(DATE(YEAR($H192),MONTH($H192),1),$O192)),MIN($P192,MAX(0,$N192-$U192-SUM($V192:AF192))),0))</f>
        <v/>
      </c>
      <c r="AH192" s="457">
        <f>IF(B192="","",SUM(V192:AG192))</f>
        <v/>
      </c>
      <c r="AI192" s="457">
        <f>IF(B192="","",MIN(N192,IF(U192="",0,U192)+AH192))</f>
        <v/>
      </c>
      <c r="AJ192" s="457">
        <f>IF(B192="","",MAX(0,L192-AI192))</f>
        <v/>
      </c>
      <c r="AK192" s="337">
        <f>IF(B192="","",IF(H192&gt;'Thiết lập'!$B$5,"Chưa khấu hao",IF(AJ192&lt;=IF(M192="",0,M192),"Đã hết khấu hao","Đang khấu hao")))</f>
        <v/>
      </c>
      <c r="AL192" s="275" t="n"/>
      <c r="AM192" s="275" t="n"/>
      <c r="AN192" s="275" t="n"/>
      <c r="AO192" s="343">
        <f>IF(B192="","",IF(COUNTIF($B$7:$B$306,B192)&gt;1,"Trùng mã TSCĐ",IF(C192="","Thiếu tên TSCĐ",IF(H192="","Thiếu ngày bắt đầu",IF(OR(I192&lt;=0,L192&lt;=0,O192&lt;=0),"Kiểm tra số lượng/nguyên giá/thời gian",IF(AND(G192&lt;&gt;"",H192&lt;G192),"Ngày KH trước ngày ghi tăng",IF(M192&gt;L192,"Giá trị thu hồi vượt nguyên giá",IF(IF(U192="",0,U192)&gt;N192,"Lũy kế đầu năm vượt GTKH","OK"))))))))</f>
        <v/>
      </c>
    </row>
    <row r="193" ht="20" customHeight="1" s="389">
      <c r="A193" s="325">
        <f>IF(B193="","",ROW()-6)</f>
        <v/>
      </c>
      <c r="B193" s="275" t="n"/>
      <c r="C193" s="275" t="n"/>
      <c r="D193" s="331" t="n"/>
      <c r="E193" s="331" t="n"/>
      <c r="F193" s="454" t="n"/>
      <c r="G193" s="454" t="n"/>
      <c r="H193" s="454" t="n"/>
      <c r="I193" s="455" t="n"/>
      <c r="J193" s="456" t="n"/>
      <c r="K193" s="456" t="n"/>
      <c r="L193" s="457">
        <f>IF(B193="","",IF(OR(I193="",J193=""),"",I193*J193+IF(K193="",0,K193)))</f>
        <v/>
      </c>
      <c r="M193" s="456" t="n"/>
      <c r="N193" s="457">
        <f>IF(L193="","",MAX(0,L193-IF(M193="",0,M193)))</f>
        <v/>
      </c>
      <c r="O193" s="455" t="n"/>
      <c r="P193" s="457">
        <f>IF(OR(N193="",O193&lt;=0),"",ROUND(N193/O193,0))</f>
        <v/>
      </c>
      <c r="Q193" s="458">
        <f>IF(OR(H193="",O193&lt;=0),"",EOMONTH(H193,O193-1))</f>
        <v/>
      </c>
      <c r="R193" s="331" t="n"/>
      <c r="S193" s="331" t="n"/>
      <c r="T193" s="331" t="n"/>
      <c r="U193" s="456" t="n"/>
      <c r="V193" s="457">
        <f>IF($AO193&lt;&gt;"OK",0,IF(AND(DATE('Thiết lập'!$B$4,1,1)&gt;=DATE(YEAR($H193),MONTH($H193),1),DATE('Thiết lập'!$B$4,1,1)&lt;EDATE(DATE(YEAR($H193),MONTH($H193),1),$O193)),MIN($P193,MAX(0,$N193-$U193-0)),0))</f>
        <v/>
      </c>
      <c r="W193" s="457">
        <f>IF($AO193&lt;&gt;"OK",0,IF(AND(DATE('Thiết lập'!$B$4,2,1)&gt;=DATE(YEAR($H193),MONTH($H193),1),DATE('Thiết lập'!$B$4,2,1)&lt;EDATE(DATE(YEAR($H193),MONTH($H193),1),$O193)),MIN($P193,MAX(0,$N193-$U193-SUM($V193:V193))),0))</f>
        <v/>
      </c>
      <c r="X193" s="457">
        <f>IF($AO193&lt;&gt;"OK",0,IF(AND(DATE('Thiết lập'!$B$4,3,1)&gt;=DATE(YEAR($H193),MONTH($H193),1),DATE('Thiết lập'!$B$4,3,1)&lt;EDATE(DATE(YEAR($H193),MONTH($H193),1),$O193)),MIN($P193,MAX(0,$N193-$U193-SUM($V193:W193))),0))</f>
        <v/>
      </c>
      <c r="Y193" s="457">
        <f>IF($AO193&lt;&gt;"OK",0,IF(AND(DATE('Thiết lập'!$B$4,4,1)&gt;=DATE(YEAR($H193),MONTH($H193),1),DATE('Thiết lập'!$B$4,4,1)&lt;EDATE(DATE(YEAR($H193),MONTH($H193),1),$O193)),MIN($P193,MAX(0,$N193-$U193-SUM($V193:X193))),0))</f>
        <v/>
      </c>
      <c r="Z193" s="457">
        <f>IF($AO193&lt;&gt;"OK",0,IF(AND(DATE('Thiết lập'!$B$4,5,1)&gt;=DATE(YEAR($H193),MONTH($H193),1),DATE('Thiết lập'!$B$4,5,1)&lt;EDATE(DATE(YEAR($H193),MONTH($H193),1),$O193)),MIN($P193,MAX(0,$N193-$U193-SUM($V193:Y193))),0))</f>
        <v/>
      </c>
      <c r="AA193" s="457">
        <f>IF($AO193&lt;&gt;"OK",0,IF(AND(DATE('Thiết lập'!$B$4,6,1)&gt;=DATE(YEAR($H193),MONTH($H193),1),DATE('Thiết lập'!$B$4,6,1)&lt;EDATE(DATE(YEAR($H193),MONTH($H193),1),$O193)),MIN($P193,MAX(0,$N193-$U193-SUM($V193:Z193))),0))</f>
        <v/>
      </c>
      <c r="AB193" s="457">
        <f>IF($AO193&lt;&gt;"OK",0,IF(AND(DATE('Thiết lập'!$B$4,7,1)&gt;=DATE(YEAR($H193),MONTH($H193),1),DATE('Thiết lập'!$B$4,7,1)&lt;EDATE(DATE(YEAR($H193),MONTH($H193),1),$O193)),MIN($P193,MAX(0,$N193-$U193-SUM($V193:AA193))),0))</f>
        <v/>
      </c>
      <c r="AC193" s="457">
        <f>IF($AO193&lt;&gt;"OK",0,IF(AND(DATE('Thiết lập'!$B$4,8,1)&gt;=DATE(YEAR($H193),MONTH($H193),1),DATE('Thiết lập'!$B$4,8,1)&lt;EDATE(DATE(YEAR($H193),MONTH($H193),1),$O193)),MIN($P193,MAX(0,$N193-$U193-SUM($V193:AB193))),0))</f>
        <v/>
      </c>
      <c r="AD193" s="457">
        <f>IF($AO193&lt;&gt;"OK",0,IF(AND(DATE('Thiết lập'!$B$4,9,1)&gt;=DATE(YEAR($H193),MONTH($H193),1),DATE('Thiết lập'!$B$4,9,1)&lt;EDATE(DATE(YEAR($H193),MONTH($H193),1),$O193)),MIN($P193,MAX(0,$N193-$U193-SUM($V193:AC193))),0))</f>
        <v/>
      </c>
      <c r="AE193" s="457">
        <f>IF($AO193&lt;&gt;"OK",0,IF(AND(DATE('Thiết lập'!$B$4,10,1)&gt;=DATE(YEAR($H193),MONTH($H193),1),DATE('Thiết lập'!$B$4,10,1)&lt;EDATE(DATE(YEAR($H193),MONTH($H193),1),$O193)),MIN($P193,MAX(0,$N193-$U193-SUM($V193:AD193))),0))</f>
        <v/>
      </c>
      <c r="AF193" s="457">
        <f>IF($AO193&lt;&gt;"OK",0,IF(AND(DATE('Thiết lập'!$B$4,11,1)&gt;=DATE(YEAR($H193),MONTH($H193),1),DATE('Thiết lập'!$B$4,11,1)&lt;EDATE(DATE(YEAR($H193),MONTH($H193),1),$O193)),MIN($P193,MAX(0,$N193-$U193-SUM($V193:AE193))),0))</f>
        <v/>
      </c>
      <c r="AG193" s="457">
        <f>IF($AO193&lt;&gt;"OK",0,IF(AND(DATE('Thiết lập'!$B$4,12,1)&gt;=DATE(YEAR($H193),MONTH($H193),1),DATE('Thiết lập'!$B$4,12,1)&lt;EDATE(DATE(YEAR($H193),MONTH($H193),1),$O193)),MIN($P193,MAX(0,$N193-$U193-SUM($V193:AF193))),0))</f>
        <v/>
      </c>
      <c r="AH193" s="457">
        <f>IF(B193="","",SUM(V193:AG193))</f>
        <v/>
      </c>
      <c r="AI193" s="457">
        <f>IF(B193="","",MIN(N193,IF(U193="",0,U193)+AH193))</f>
        <v/>
      </c>
      <c r="AJ193" s="457">
        <f>IF(B193="","",MAX(0,L193-AI193))</f>
        <v/>
      </c>
      <c r="AK193" s="337">
        <f>IF(B193="","",IF(H193&gt;'Thiết lập'!$B$5,"Chưa khấu hao",IF(AJ193&lt;=IF(M193="",0,M193),"Đã hết khấu hao","Đang khấu hao")))</f>
        <v/>
      </c>
      <c r="AL193" s="275" t="n"/>
      <c r="AM193" s="275" t="n"/>
      <c r="AN193" s="275" t="n"/>
      <c r="AO193" s="343">
        <f>IF(B193="","",IF(COUNTIF($B$7:$B$306,B193)&gt;1,"Trùng mã TSCĐ",IF(C193="","Thiếu tên TSCĐ",IF(H193="","Thiếu ngày bắt đầu",IF(OR(I193&lt;=0,L193&lt;=0,O193&lt;=0),"Kiểm tra số lượng/nguyên giá/thời gian",IF(AND(G193&lt;&gt;"",H193&lt;G193),"Ngày KH trước ngày ghi tăng",IF(M193&gt;L193,"Giá trị thu hồi vượt nguyên giá",IF(IF(U193="",0,U193)&gt;N193,"Lũy kế đầu năm vượt GTKH","OK"))))))))</f>
        <v/>
      </c>
    </row>
    <row r="194" ht="20" customHeight="1" s="389">
      <c r="A194" s="325">
        <f>IF(B194="","",ROW()-6)</f>
        <v/>
      </c>
      <c r="B194" s="275" t="n"/>
      <c r="C194" s="275" t="n"/>
      <c r="D194" s="331" t="n"/>
      <c r="E194" s="331" t="n"/>
      <c r="F194" s="454" t="n"/>
      <c r="G194" s="454" t="n"/>
      <c r="H194" s="454" t="n"/>
      <c r="I194" s="455" t="n"/>
      <c r="J194" s="456" t="n"/>
      <c r="K194" s="456" t="n"/>
      <c r="L194" s="457">
        <f>IF(B194="","",IF(OR(I194="",J194=""),"",I194*J194+IF(K194="",0,K194)))</f>
        <v/>
      </c>
      <c r="M194" s="456" t="n"/>
      <c r="N194" s="457">
        <f>IF(L194="","",MAX(0,L194-IF(M194="",0,M194)))</f>
        <v/>
      </c>
      <c r="O194" s="455" t="n"/>
      <c r="P194" s="457">
        <f>IF(OR(N194="",O194&lt;=0),"",ROUND(N194/O194,0))</f>
        <v/>
      </c>
      <c r="Q194" s="458">
        <f>IF(OR(H194="",O194&lt;=0),"",EOMONTH(H194,O194-1))</f>
        <v/>
      </c>
      <c r="R194" s="331" t="n"/>
      <c r="S194" s="331" t="n"/>
      <c r="T194" s="331" t="n"/>
      <c r="U194" s="456" t="n"/>
      <c r="V194" s="457">
        <f>IF($AO194&lt;&gt;"OK",0,IF(AND(DATE('Thiết lập'!$B$4,1,1)&gt;=DATE(YEAR($H194),MONTH($H194),1),DATE('Thiết lập'!$B$4,1,1)&lt;EDATE(DATE(YEAR($H194),MONTH($H194),1),$O194)),MIN($P194,MAX(0,$N194-$U194-0)),0))</f>
        <v/>
      </c>
      <c r="W194" s="457">
        <f>IF($AO194&lt;&gt;"OK",0,IF(AND(DATE('Thiết lập'!$B$4,2,1)&gt;=DATE(YEAR($H194),MONTH($H194),1),DATE('Thiết lập'!$B$4,2,1)&lt;EDATE(DATE(YEAR($H194),MONTH($H194),1),$O194)),MIN($P194,MAX(0,$N194-$U194-SUM($V194:V194))),0))</f>
        <v/>
      </c>
      <c r="X194" s="457">
        <f>IF($AO194&lt;&gt;"OK",0,IF(AND(DATE('Thiết lập'!$B$4,3,1)&gt;=DATE(YEAR($H194),MONTH($H194),1),DATE('Thiết lập'!$B$4,3,1)&lt;EDATE(DATE(YEAR($H194),MONTH($H194),1),$O194)),MIN($P194,MAX(0,$N194-$U194-SUM($V194:W194))),0))</f>
        <v/>
      </c>
      <c r="Y194" s="457">
        <f>IF($AO194&lt;&gt;"OK",0,IF(AND(DATE('Thiết lập'!$B$4,4,1)&gt;=DATE(YEAR($H194),MONTH($H194),1),DATE('Thiết lập'!$B$4,4,1)&lt;EDATE(DATE(YEAR($H194),MONTH($H194),1),$O194)),MIN($P194,MAX(0,$N194-$U194-SUM($V194:X194))),0))</f>
        <v/>
      </c>
      <c r="Z194" s="457">
        <f>IF($AO194&lt;&gt;"OK",0,IF(AND(DATE('Thiết lập'!$B$4,5,1)&gt;=DATE(YEAR($H194),MONTH($H194),1),DATE('Thiết lập'!$B$4,5,1)&lt;EDATE(DATE(YEAR($H194),MONTH($H194),1),$O194)),MIN($P194,MAX(0,$N194-$U194-SUM($V194:Y194))),0))</f>
        <v/>
      </c>
      <c r="AA194" s="457">
        <f>IF($AO194&lt;&gt;"OK",0,IF(AND(DATE('Thiết lập'!$B$4,6,1)&gt;=DATE(YEAR($H194),MONTH($H194),1),DATE('Thiết lập'!$B$4,6,1)&lt;EDATE(DATE(YEAR($H194),MONTH($H194),1),$O194)),MIN($P194,MAX(0,$N194-$U194-SUM($V194:Z194))),0))</f>
        <v/>
      </c>
      <c r="AB194" s="457">
        <f>IF($AO194&lt;&gt;"OK",0,IF(AND(DATE('Thiết lập'!$B$4,7,1)&gt;=DATE(YEAR($H194),MONTH($H194),1),DATE('Thiết lập'!$B$4,7,1)&lt;EDATE(DATE(YEAR($H194),MONTH($H194),1),$O194)),MIN($P194,MAX(0,$N194-$U194-SUM($V194:AA194))),0))</f>
        <v/>
      </c>
      <c r="AC194" s="457">
        <f>IF($AO194&lt;&gt;"OK",0,IF(AND(DATE('Thiết lập'!$B$4,8,1)&gt;=DATE(YEAR($H194),MONTH($H194),1),DATE('Thiết lập'!$B$4,8,1)&lt;EDATE(DATE(YEAR($H194),MONTH($H194),1),$O194)),MIN($P194,MAX(0,$N194-$U194-SUM($V194:AB194))),0))</f>
        <v/>
      </c>
      <c r="AD194" s="457">
        <f>IF($AO194&lt;&gt;"OK",0,IF(AND(DATE('Thiết lập'!$B$4,9,1)&gt;=DATE(YEAR($H194),MONTH($H194),1),DATE('Thiết lập'!$B$4,9,1)&lt;EDATE(DATE(YEAR($H194),MONTH($H194),1),$O194)),MIN($P194,MAX(0,$N194-$U194-SUM($V194:AC194))),0))</f>
        <v/>
      </c>
      <c r="AE194" s="457">
        <f>IF($AO194&lt;&gt;"OK",0,IF(AND(DATE('Thiết lập'!$B$4,10,1)&gt;=DATE(YEAR($H194),MONTH($H194),1),DATE('Thiết lập'!$B$4,10,1)&lt;EDATE(DATE(YEAR($H194),MONTH($H194),1),$O194)),MIN($P194,MAX(0,$N194-$U194-SUM($V194:AD194))),0))</f>
        <v/>
      </c>
      <c r="AF194" s="457">
        <f>IF($AO194&lt;&gt;"OK",0,IF(AND(DATE('Thiết lập'!$B$4,11,1)&gt;=DATE(YEAR($H194),MONTH($H194),1),DATE('Thiết lập'!$B$4,11,1)&lt;EDATE(DATE(YEAR($H194),MONTH($H194),1),$O194)),MIN($P194,MAX(0,$N194-$U194-SUM($V194:AE194))),0))</f>
        <v/>
      </c>
      <c r="AG194" s="457">
        <f>IF($AO194&lt;&gt;"OK",0,IF(AND(DATE('Thiết lập'!$B$4,12,1)&gt;=DATE(YEAR($H194),MONTH($H194),1),DATE('Thiết lập'!$B$4,12,1)&lt;EDATE(DATE(YEAR($H194),MONTH($H194),1),$O194)),MIN($P194,MAX(0,$N194-$U194-SUM($V194:AF194))),0))</f>
        <v/>
      </c>
      <c r="AH194" s="457">
        <f>IF(B194="","",SUM(V194:AG194))</f>
        <v/>
      </c>
      <c r="AI194" s="457">
        <f>IF(B194="","",MIN(N194,IF(U194="",0,U194)+AH194))</f>
        <v/>
      </c>
      <c r="AJ194" s="457">
        <f>IF(B194="","",MAX(0,L194-AI194))</f>
        <v/>
      </c>
      <c r="AK194" s="337">
        <f>IF(B194="","",IF(H194&gt;'Thiết lập'!$B$5,"Chưa khấu hao",IF(AJ194&lt;=IF(M194="",0,M194),"Đã hết khấu hao","Đang khấu hao")))</f>
        <v/>
      </c>
      <c r="AL194" s="275" t="n"/>
      <c r="AM194" s="275" t="n"/>
      <c r="AN194" s="275" t="n"/>
      <c r="AO194" s="343">
        <f>IF(B194="","",IF(COUNTIF($B$7:$B$306,B194)&gt;1,"Trùng mã TSCĐ",IF(C194="","Thiếu tên TSCĐ",IF(H194="","Thiếu ngày bắt đầu",IF(OR(I194&lt;=0,L194&lt;=0,O194&lt;=0),"Kiểm tra số lượng/nguyên giá/thời gian",IF(AND(G194&lt;&gt;"",H194&lt;G194),"Ngày KH trước ngày ghi tăng",IF(M194&gt;L194,"Giá trị thu hồi vượt nguyên giá",IF(IF(U194="",0,U194)&gt;N194,"Lũy kế đầu năm vượt GTKH","OK"))))))))</f>
        <v/>
      </c>
    </row>
    <row r="195" ht="20" customHeight="1" s="389">
      <c r="A195" s="325">
        <f>IF(B195="","",ROW()-6)</f>
        <v/>
      </c>
      <c r="B195" s="275" t="n"/>
      <c r="C195" s="275" t="n"/>
      <c r="D195" s="331" t="n"/>
      <c r="E195" s="331" t="n"/>
      <c r="F195" s="454" t="n"/>
      <c r="G195" s="454" t="n"/>
      <c r="H195" s="454" t="n"/>
      <c r="I195" s="455" t="n"/>
      <c r="J195" s="456" t="n"/>
      <c r="K195" s="456" t="n"/>
      <c r="L195" s="457">
        <f>IF(B195="","",IF(OR(I195="",J195=""),"",I195*J195+IF(K195="",0,K195)))</f>
        <v/>
      </c>
      <c r="M195" s="456" t="n"/>
      <c r="N195" s="457">
        <f>IF(L195="","",MAX(0,L195-IF(M195="",0,M195)))</f>
        <v/>
      </c>
      <c r="O195" s="455" t="n"/>
      <c r="P195" s="457">
        <f>IF(OR(N195="",O195&lt;=0),"",ROUND(N195/O195,0))</f>
        <v/>
      </c>
      <c r="Q195" s="458">
        <f>IF(OR(H195="",O195&lt;=0),"",EOMONTH(H195,O195-1))</f>
        <v/>
      </c>
      <c r="R195" s="331" t="n"/>
      <c r="S195" s="331" t="n"/>
      <c r="T195" s="331" t="n"/>
      <c r="U195" s="456" t="n"/>
      <c r="V195" s="457">
        <f>IF($AO195&lt;&gt;"OK",0,IF(AND(DATE('Thiết lập'!$B$4,1,1)&gt;=DATE(YEAR($H195),MONTH($H195),1),DATE('Thiết lập'!$B$4,1,1)&lt;EDATE(DATE(YEAR($H195),MONTH($H195),1),$O195)),MIN($P195,MAX(0,$N195-$U195-0)),0))</f>
        <v/>
      </c>
      <c r="W195" s="457">
        <f>IF($AO195&lt;&gt;"OK",0,IF(AND(DATE('Thiết lập'!$B$4,2,1)&gt;=DATE(YEAR($H195),MONTH($H195),1),DATE('Thiết lập'!$B$4,2,1)&lt;EDATE(DATE(YEAR($H195),MONTH($H195),1),$O195)),MIN($P195,MAX(0,$N195-$U195-SUM($V195:V195))),0))</f>
        <v/>
      </c>
      <c r="X195" s="457">
        <f>IF($AO195&lt;&gt;"OK",0,IF(AND(DATE('Thiết lập'!$B$4,3,1)&gt;=DATE(YEAR($H195),MONTH($H195),1),DATE('Thiết lập'!$B$4,3,1)&lt;EDATE(DATE(YEAR($H195),MONTH($H195),1),$O195)),MIN($P195,MAX(0,$N195-$U195-SUM($V195:W195))),0))</f>
        <v/>
      </c>
      <c r="Y195" s="457">
        <f>IF($AO195&lt;&gt;"OK",0,IF(AND(DATE('Thiết lập'!$B$4,4,1)&gt;=DATE(YEAR($H195),MONTH($H195),1),DATE('Thiết lập'!$B$4,4,1)&lt;EDATE(DATE(YEAR($H195),MONTH($H195),1),$O195)),MIN($P195,MAX(0,$N195-$U195-SUM($V195:X195))),0))</f>
        <v/>
      </c>
      <c r="Z195" s="457">
        <f>IF($AO195&lt;&gt;"OK",0,IF(AND(DATE('Thiết lập'!$B$4,5,1)&gt;=DATE(YEAR($H195),MONTH($H195),1),DATE('Thiết lập'!$B$4,5,1)&lt;EDATE(DATE(YEAR($H195),MONTH($H195),1),$O195)),MIN($P195,MAX(0,$N195-$U195-SUM($V195:Y195))),0))</f>
        <v/>
      </c>
      <c r="AA195" s="457">
        <f>IF($AO195&lt;&gt;"OK",0,IF(AND(DATE('Thiết lập'!$B$4,6,1)&gt;=DATE(YEAR($H195),MONTH($H195),1),DATE('Thiết lập'!$B$4,6,1)&lt;EDATE(DATE(YEAR($H195),MONTH($H195),1),$O195)),MIN($P195,MAX(0,$N195-$U195-SUM($V195:Z195))),0))</f>
        <v/>
      </c>
      <c r="AB195" s="457">
        <f>IF($AO195&lt;&gt;"OK",0,IF(AND(DATE('Thiết lập'!$B$4,7,1)&gt;=DATE(YEAR($H195),MONTH($H195),1),DATE('Thiết lập'!$B$4,7,1)&lt;EDATE(DATE(YEAR($H195),MONTH($H195),1),$O195)),MIN($P195,MAX(0,$N195-$U195-SUM($V195:AA195))),0))</f>
        <v/>
      </c>
      <c r="AC195" s="457">
        <f>IF($AO195&lt;&gt;"OK",0,IF(AND(DATE('Thiết lập'!$B$4,8,1)&gt;=DATE(YEAR($H195),MONTH($H195),1),DATE('Thiết lập'!$B$4,8,1)&lt;EDATE(DATE(YEAR($H195),MONTH($H195),1),$O195)),MIN($P195,MAX(0,$N195-$U195-SUM($V195:AB195))),0))</f>
        <v/>
      </c>
      <c r="AD195" s="457">
        <f>IF($AO195&lt;&gt;"OK",0,IF(AND(DATE('Thiết lập'!$B$4,9,1)&gt;=DATE(YEAR($H195),MONTH($H195),1),DATE('Thiết lập'!$B$4,9,1)&lt;EDATE(DATE(YEAR($H195),MONTH($H195),1),$O195)),MIN($P195,MAX(0,$N195-$U195-SUM($V195:AC195))),0))</f>
        <v/>
      </c>
      <c r="AE195" s="457">
        <f>IF($AO195&lt;&gt;"OK",0,IF(AND(DATE('Thiết lập'!$B$4,10,1)&gt;=DATE(YEAR($H195),MONTH($H195),1),DATE('Thiết lập'!$B$4,10,1)&lt;EDATE(DATE(YEAR($H195),MONTH($H195),1),$O195)),MIN($P195,MAX(0,$N195-$U195-SUM($V195:AD195))),0))</f>
        <v/>
      </c>
      <c r="AF195" s="457">
        <f>IF($AO195&lt;&gt;"OK",0,IF(AND(DATE('Thiết lập'!$B$4,11,1)&gt;=DATE(YEAR($H195),MONTH($H195),1),DATE('Thiết lập'!$B$4,11,1)&lt;EDATE(DATE(YEAR($H195),MONTH($H195),1),$O195)),MIN($P195,MAX(0,$N195-$U195-SUM($V195:AE195))),0))</f>
        <v/>
      </c>
      <c r="AG195" s="457">
        <f>IF($AO195&lt;&gt;"OK",0,IF(AND(DATE('Thiết lập'!$B$4,12,1)&gt;=DATE(YEAR($H195),MONTH($H195),1),DATE('Thiết lập'!$B$4,12,1)&lt;EDATE(DATE(YEAR($H195),MONTH($H195),1),$O195)),MIN($P195,MAX(0,$N195-$U195-SUM($V195:AF195))),0))</f>
        <v/>
      </c>
      <c r="AH195" s="457">
        <f>IF(B195="","",SUM(V195:AG195))</f>
        <v/>
      </c>
      <c r="AI195" s="457">
        <f>IF(B195="","",MIN(N195,IF(U195="",0,U195)+AH195))</f>
        <v/>
      </c>
      <c r="AJ195" s="457">
        <f>IF(B195="","",MAX(0,L195-AI195))</f>
        <v/>
      </c>
      <c r="AK195" s="337">
        <f>IF(B195="","",IF(H195&gt;'Thiết lập'!$B$5,"Chưa khấu hao",IF(AJ195&lt;=IF(M195="",0,M195),"Đã hết khấu hao","Đang khấu hao")))</f>
        <v/>
      </c>
      <c r="AL195" s="275" t="n"/>
      <c r="AM195" s="275" t="n"/>
      <c r="AN195" s="275" t="n"/>
      <c r="AO195" s="343">
        <f>IF(B195="","",IF(COUNTIF($B$7:$B$306,B195)&gt;1,"Trùng mã TSCĐ",IF(C195="","Thiếu tên TSCĐ",IF(H195="","Thiếu ngày bắt đầu",IF(OR(I195&lt;=0,L195&lt;=0,O195&lt;=0),"Kiểm tra số lượng/nguyên giá/thời gian",IF(AND(G195&lt;&gt;"",H195&lt;G195),"Ngày KH trước ngày ghi tăng",IF(M195&gt;L195,"Giá trị thu hồi vượt nguyên giá",IF(IF(U195="",0,U195)&gt;N195,"Lũy kế đầu năm vượt GTKH","OK"))))))))</f>
        <v/>
      </c>
    </row>
    <row r="196" ht="20" customHeight="1" s="389">
      <c r="A196" s="325">
        <f>IF(B196="","",ROW()-6)</f>
        <v/>
      </c>
      <c r="B196" s="275" t="n"/>
      <c r="C196" s="275" t="n"/>
      <c r="D196" s="331" t="n"/>
      <c r="E196" s="331" t="n"/>
      <c r="F196" s="454" t="n"/>
      <c r="G196" s="454" t="n"/>
      <c r="H196" s="454" t="n"/>
      <c r="I196" s="455" t="n"/>
      <c r="J196" s="456" t="n"/>
      <c r="K196" s="456" t="n"/>
      <c r="L196" s="457">
        <f>IF(B196="","",IF(OR(I196="",J196=""),"",I196*J196+IF(K196="",0,K196)))</f>
        <v/>
      </c>
      <c r="M196" s="456" t="n"/>
      <c r="N196" s="457">
        <f>IF(L196="","",MAX(0,L196-IF(M196="",0,M196)))</f>
        <v/>
      </c>
      <c r="O196" s="455" t="n"/>
      <c r="P196" s="457">
        <f>IF(OR(N196="",O196&lt;=0),"",ROUND(N196/O196,0))</f>
        <v/>
      </c>
      <c r="Q196" s="458">
        <f>IF(OR(H196="",O196&lt;=0),"",EOMONTH(H196,O196-1))</f>
        <v/>
      </c>
      <c r="R196" s="331" t="n"/>
      <c r="S196" s="331" t="n"/>
      <c r="T196" s="331" t="n"/>
      <c r="U196" s="456" t="n"/>
      <c r="V196" s="457">
        <f>IF($AO196&lt;&gt;"OK",0,IF(AND(DATE('Thiết lập'!$B$4,1,1)&gt;=DATE(YEAR($H196),MONTH($H196),1),DATE('Thiết lập'!$B$4,1,1)&lt;EDATE(DATE(YEAR($H196),MONTH($H196),1),$O196)),MIN($P196,MAX(0,$N196-$U196-0)),0))</f>
        <v/>
      </c>
      <c r="W196" s="457">
        <f>IF($AO196&lt;&gt;"OK",0,IF(AND(DATE('Thiết lập'!$B$4,2,1)&gt;=DATE(YEAR($H196),MONTH($H196),1),DATE('Thiết lập'!$B$4,2,1)&lt;EDATE(DATE(YEAR($H196),MONTH($H196),1),$O196)),MIN($P196,MAX(0,$N196-$U196-SUM($V196:V196))),0))</f>
        <v/>
      </c>
      <c r="X196" s="457">
        <f>IF($AO196&lt;&gt;"OK",0,IF(AND(DATE('Thiết lập'!$B$4,3,1)&gt;=DATE(YEAR($H196),MONTH($H196),1),DATE('Thiết lập'!$B$4,3,1)&lt;EDATE(DATE(YEAR($H196),MONTH($H196),1),$O196)),MIN($P196,MAX(0,$N196-$U196-SUM($V196:W196))),0))</f>
        <v/>
      </c>
      <c r="Y196" s="457">
        <f>IF($AO196&lt;&gt;"OK",0,IF(AND(DATE('Thiết lập'!$B$4,4,1)&gt;=DATE(YEAR($H196),MONTH($H196),1),DATE('Thiết lập'!$B$4,4,1)&lt;EDATE(DATE(YEAR($H196),MONTH($H196),1),$O196)),MIN($P196,MAX(0,$N196-$U196-SUM($V196:X196))),0))</f>
        <v/>
      </c>
      <c r="Z196" s="457">
        <f>IF($AO196&lt;&gt;"OK",0,IF(AND(DATE('Thiết lập'!$B$4,5,1)&gt;=DATE(YEAR($H196),MONTH($H196),1),DATE('Thiết lập'!$B$4,5,1)&lt;EDATE(DATE(YEAR($H196),MONTH($H196),1),$O196)),MIN($P196,MAX(0,$N196-$U196-SUM($V196:Y196))),0))</f>
        <v/>
      </c>
      <c r="AA196" s="457">
        <f>IF($AO196&lt;&gt;"OK",0,IF(AND(DATE('Thiết lập'!$B$4,6,1)&gt;=DATE(YEAR($H196),MONTH($H196),1),DATE('Thiết lập'!$B$4,6,1)&lt;EDATE(DATE(YEAR($H196),MONTH($H196),1),$O196)),MIN($P196,MAX(0,$N196-$U196-SUM($V196:Z196))),0))</f>
        <v/>
      </c>
      <c r="AB196" s="457">
        <f>IF($AO196&lt;&gt;"OK",0,IF(AND(DATE('Thiết lập'!$B$4,7,1)&gt;=DATE(YEAR($H196),MONTH($H196),1),DATE('Thiết lập'!$B$4,7,1)&lt;EDATE(DATE(YEAR($H196),MONTH($H196),1),$O196)),MIN($P196,MAX(0,$N196-$U196-SUM($V196:AA196))),0))</f>
        <v/>
      </c>
      <c r="AC196" s="457">
        <f>IF($AO196&lt;&gt;"OK",0,IF(AND(DATE('Thiết lập'!$B$4,8,1)&gt;=DATE(YEAR($H196),MONTH($H196),1),DATE('Thiết lập'!$B$4,8,1)&lt;EDATE(DATE(YEAR($H196),MONTH($H196),1),$O196)),MIN($P196,MAX(0,$N196-$U196-SUM($V196:AB196))),0))</f>
        <v/>
      </c>
      <c r="AD196" s="457">
        <f>IF($AO196&lt;&gt;"OK",0,IF(AND(DATE('Thiết lập'!$B$4,9,1)&gt;=DATE(YEAR($H196),MONTH($H196),1),DATE('Thiết lập'!$B$4,9,1)&lt;EDATE(DATE(YEAR($H196),MONTH($H196),1),$O196)),MIN($P196,MAX(0,$N196-$U196-SUM($V196:AC196))),0))</f>
        <v/>
      </c>
      <c r="AE196" s="457">
        <f>IF($AO196&lt;&gt;"OK",0,IF(AND(DATE('Thiết lập'!$B$4,10,1)&gt;=DATE(YEAR($H196),MONTH($H196),1),DATE('Thiết lập'!$B$4,10,1)&lt;EDATE(DATE(YEAR($H196),MONTH($H196),1),$O196)),MIN($P196,MAX(0,$N196-$U196-SUM($V196:AD196))),0))</f>
        <v/>
      </c>
      <c r="AF196" s="457">
        <f>IF($AO196&lt;&gt;"OK",0,IF(AND(DATE('Thiết lập'!$B$4,11,1)&gt;=DATE(YEAR($H196),MONTH($H196),1),DATE('Thiết lập'!$B$4,11,1)&lt;EDATE(DATE(YEAR($H196),MONTH($H196),1),$O196)),MIN($P196,MAX(0,$N196-$U196-SUM($V196:AE196))),0))</f>
        <v/>
      </c>
      <c r="AG196" s="457">
        <f>IF($AO196&lt;&gt;"OK",0,IF(AND(DATE('Thiết lập'!$B$4,12,1)&gt;=DATE(YEAR($H196),MONTH($H196),1),DATE('Thiết lập'!$B$4,12,1)&lt;EDATE(DATE(YEAR($H196),MONTH($H196),1),$O196)),MIN($P196,MAX(0,$N196-$U196-SUM($V196:AF196))),0))</f>
        <v/>
      </c>
      <c r="AH196" s="457">
        <f>IF(B196="","",SUM(V196:AG196))</f>
        <v/>
      </c>
      <c r="AI196" s="457">
        <f>IF(B196="","",MIN(N196,IF(U196="",0,U196)+AH196))</f>
        <v/>
      </c>
      <c r="AJ196" s="457">
        <f>IF(B196="","",MAX(0,L196-AI196))</f>
        <v/>
      </c>
      <c r="AK196" s="337">
        <f>IF(B196="","",IF(H196&gt;'Thiết lập'!$B$5,"Chưa khấu hao",IF(AJ196&lt;=IF(M196="",0,M196),"Đã hết khấu hao","Đang khấu hao")))</f>
        <v/>
      </c>
      <c r="AL196" s="275" t="n"/>
      <c r="AM196" s="275" t="n"/>
      <c r="AN196" s="275" t="n"/>
      <c r="AO196" s="343">
        <f>IF(B196="","",IF(COUNTIF($B$7:$B$306,B196)&gt;1,"Trùng mã TSCĐ",IF(C196="","Thiếu tên TSCĐ",IF(H196="","Thiếu ngày bắt đầu",IF(OR(I196&lt;=0,L196&lt;=0,O196&lt;=0),"Kiểm tra số lượng/nguyên giá/thời gian",IF(AND(G196&lt;&gt;"",H196&lt;G196),"Ngày KH trước ngày ghi tăng",IF(M196&gt;L196,"Giá trị thu hồi vượt nguyên giá",IF(IF(U196="",0,U196)&gt;N196,"Lũy kế đầu năm vượt GTKH","OK"))))))))</f>
        <v/>
      </c>
    </row>
    <row r="197" ht="20" customHeight="1" s="389">
      <c r="A197" s="325">
        <f>IF(B197="","",ROW()-6)</f>
        <v/>
      </c>
      <c r="B197" s="275" t="n"/>
      <c r="C197" s="275" t="n"/>
      <c r="D197" s="331" t="n"/>
      <c r="E197" s="331" t="n"/>
      <c r="F197" s="454" t="n"/>
      <c r="G197" s="454" t="n"/>
      <c r="H197" s="454" t="n"/>
      <c r="I197" s="455" t="n"/>
      <c r="J197" s="456" t="n"/>
      <c r="K197" s="456" t="n"/>
      <c r="L197" s="457">
        <f>IF(B197="","",IF(OR(I197="",J197=""),"",I197*J197+IF(K197="",0,K197)))</f>
        <v/>
      </c>
      <c r="M197" s="456" t="n"/>
      <c r="N197" s="457">
        <f>IF(L197="","",MAX(0,L197-IF(M197="",0,M197)))</f>
        <v/>
      </c>
      <c r="O197" s="455" t="n"/>
      <c r="P197" s="457">
        <f>IF(OR(N197="",O197&lt;=0),"",ROUND(N197/O197,0))</f>
        <v/>
      </c>
      <c r="Q197" s="458">
        <f>IF(OR(H197="",O197&lt;=0),"",EOMONTH(H197,O197-1))</f>
        <v/>
      </c>
      <c r="R197" s="331" t="n"/>
      <c r="S197" s="331" t="n"/>
      <c r="T197" s="331" t="n"/>
      <c r="U197" s="456" t="n"/>
      <c r="V197" s="457">
        <f>IF($AO197&lt;&gt;"OK",0,IF(AND(DATE('Thiết lập'!$B$4,1,1)&gt;=DATE(YEAR($H197),MONTH($H197),1),DATE('Thiết lập'!$B$4,1,1)&lt;EDATE(DATE(YEAR($H197),MONTH($H197),1),$O197)),MIN($P197,MAX(0,$N197-$U197-0)),0))</f>
        <v/>
      </c>
      <c r="W197" s="457">
        <f>IF($AO197&lt;&gt;"OK",0,IF(AND(DATE('Thiết lập'!$B$4,2,1)&gt;=DATE(YEAR($H197),MONTH($H197),1),DATE('Thiết lập'!$B$4,2,1)&lt;EDATE(DATE(YEAR($H197),MONTH($H197),1),$O197)),MIN($P197,MAX(0,$N197-$U197-SUM($V197:V197))),0))</f>
        <v/>
      </c>
      <c r="X197" s="457">
        <f>IF($AO197&lt;&gt;"OK",0,IF(AND(DATE('Thiết lập'!$B$4,3,1)&gt;=DATE(YEAR($H197),MONTH($H197),1),DATE('Thiết lập'!$B$4,3,1)&lt;EDATE(DATE(YEAR($H197),MONTH($H197),1),$O197)),MIN($P197,MAX(0,$N197-$U197-SUM($V197:W197))),0))</f>
        <v/>
      </c>
      <c r="Y197" s="457">
        <f>IF($AO197&lt;&gt;"OK",0,IF(AND(DATE('Thiết lập'!$B$4,4,1)&gt;=DATE(YEAR($H197),MONTH($H197),1),DATE('Thiết lập'!$B$4,4,1)&lt;EDATE(DATE(YEAR($H197),MONTH($H197),1),$O197)),MIN($P197,MAX(0,$N197-$U197-SUM($V197:X197))),0))</f>
        <v/>
      </c>
      <c r="Z197" s="457">
        <f>IF($AO197&lt;&gt;"OK",0,IF(AND(DATE('Thiết lập'!$B$4,5,1)&gt;=DATE(YEAR($H197),MONTH($H197),1),DATE('Thiết lập'!$B$4,5,1)&lt;EDATE(DATE(YEAR($H197),MONTH($H197),1),$O197)),MIN($P197,MAX(0,$N197-$U197-SUM($V197:Y197))),0))</f>
        <v/>
      </c>
      <c r="AA197" s="457">
        <f>IF($AO197&lt;&gt;"OK",0,IF(AND(DATE('Thiết lập'!$B$4,6,1)&gt;=DATE(YEAR($H197),MONTH($H197),1),DATE('Thiết lập'!$B$4,6,1)&lt;EDATE(DATE(YEAR($H197),MONTH($H197),1),$O197)),MIN($P197,MAX(0,$N197-$U197-SUM($V197:Z197))),0))</f>
        <v/>
      </c>
      <c r="AB197" s="457">
        <f>IF($AO197&lt;&gt;"OK",0,IF(AND(DATE('Thiết lập'!$B$4,7,1)&gt;=DATE(YEAR($H197),MONTH($H197),1),DATE('Thiết lập'!$B$4,7,1)&lt;EDATE(DATE(YEAR($H197),MONTH($H197),1),$O197)),MIN($P197,MAX(0,$N197-$U197-SUM($V197:AA197))),0))</f>
        <v/>
      </c>
      <c r="AC197" s="457">
        <f>IF($AO197&lt;&gt;"OK",0,IF(AND(DATE('Thiết lập'!$B$4,8,1)&gt;=DATE(YEAR($H197),MONTH($H197),1),DATE('Thiết lập'!$B$4,8,1)&lt;EDATE(DATE(YEAR($H197),MONTH($H197),1),$O197)),MIN($P197,MAX(0,$N197-$U197-SUM($V197:AB197))),0))</f>
        <v/>
      </c>
      <c r="AD197" s="457">
        <f>IF($AO197&lt;&gt;"OK",0,IF(AND(DATE('Thiết lập'!$B$4,9,1)&gt;=DATE(YEAR($H197),MONTH($H197),1),DATE('Thiết lập'!$B$4,9,1)&lt;EDATE(DATE(YEAR($H197),MONTH($H197),1),$O197)),MIN($P197,MAX(0,$N197-$U197-SUM($V197:AC197))),0))</f>
        <v/>
      </c>
      <c r="AE197" s="457">
        <f>IF($AO197&lt;&gt;"OK",0,IF(AND(DATE('Thiết lập'!$B$4,10,1)&gt;=DATE(YEAR($H197),MONTH($H197),1),DATE('Thiết lập'!$B$4,10,1)&lt;EDATE(DATE(YEAR($H197),MONTH($H197),1),$O197)),MIN($P197,MAX(0,$N197-$U197-SUM($V197:AD197))),0))</f>
        <v/>
      </c>
      <c r="AF197" s="457">
        <f>IF($AO197&lt;&gt;"OK",0,IF(AND(DATE('Thiết lập'!$B$4,11,1)&gt;=DATE(YEAR($H197),MONTH($H197),1),DATE('Thiết lập'!$B$4,11,1)&lt;EDATE(DATE(YEAR($H197),MONTH($H197),1),$O197)),MIN($P197,MAX(0,$N197-$U197-SUM($V197:AE197))),0))</f>
        <v/>
      </c>
      <c r="AG197" s="457">
        <f>IF($AO197&lt;&gt;"OK",0,IF(AND(DATE('Thiết lập'!$B$4,12,1)&gt;=DATE(YEAR($H197),MONTH($H197),1),DATE('Thiết lập'!$B$4,12,1)&lt;EDATE(DATE(YEAR($H197),MONTH($H197),1),$O197)),MIN($P197,MAX(0,$N197-$U197-SUM($V197:AF197))),0))</f>
        <v/>
      </c>
      <c r="AH197" s="457">
        <f>IF(B197="","",SUM(V197:AG197))</f>
        <v/>
      </c>
      <c r="AI197" s="457">
        <f>IF(B197="","",MIN(N197,IF(U197="",0,U197)+AH197))</f>
        <v/>
      </c>
      <c r="AJ197" s="457">
        <f>IF(B197="","",MAX(0,L197-AI197))</f>
        <v/>
      </c>
      <c r="AK197" s="337">
        <f>IF(B197="","",IF(H197&gt;'Thiết lập'!$B$5,"Chưa khấu hao",IF(AJ197&lt;=IF(M197="",0,M197),"Đã hết khấu hao","Đang khấu hao")))</f>
        <v/>
      </c>
      <c r="AL197" s="275" t="n"/>
      <c r="AM197" s="275" t="n"/>
      <c r="AN197" s="275" t="n"/>
      <c r="AO197" s="343">
        <f>IF(B197="","",IF(COUNTIF($B$7:$B$306,B197)&gt;1,"Trùng mã TSCĐ",IF(C197="","Thiếu tên TSCĐ",IF(H197="","Thiếu ngày bắt đầu",IF(OR(I197&lt;=0,L197&lt;=0,O197&lt;=0),"Kiểm tra số lượng/nguyên giá/thời gian",IF(AND(G197&lt;&gt;"",H197&lt;G197),"Ngày KH trước ngày ghi tăng",IF(M197&gt;L197,"Giá trị thu hồi vượt nguyên giá",IF(IF(U197="",0,U197)&gt;N197,"Lũy kế đầu năm vượt GTKH","OK"))))))))</f>
        <v/>
      </c>
    </row>
    <row r="198" ht="20" customHeight="1" s="389">
      <c r="A198" s="325">
        <f>IF(B198="","",ROW()-6)</f>
        <v/>
      </c>
      <c r="B198" s="275" t="n"/>
      <c r="C198" s="275" t="n"/>
      <c r="D198" s="331" t="n"/>
      <c r="E198" s="331" t="n"/>
      <c r="F198" s="454" t="n"/>
      <c r="G198" s="454" t="n"/>
      <c r="H198" s="454" t="n"/>
      <c r="I198" s="455" t="n"/>
      <c r="J198" s="456" t="n"/>
      <c r="K198" s="456" t="n"/>
      <c r="L198" s="457">
        <f>IF(B198="","",IF(OR(I198="",J198=""),"",I198*J198+IF(K198="",0,K198)))</f>
        <v/>
      </c>
      <c r="M198" s="456" t="n"/>
      <c r="N198" s="457">
        <f>IF(L198="","",MAX(0,L198-IF(M198="",0,M198)))</f>
        <v/>
      </c>
      <c r="O198" s="455" t="n"/>
      <c r="P198" s="457">
        <f>IF(OR(N198="",O198&lt;=0),"",ROUND(N198/O198,0))</f>
        <v/>
      </c>
      <c r="Q198" s="458">
        <f>IF(OR(H198="",O198&lt;=0),"",EOMONTH(H198,O198-1))</f>
        <v/>
      </c>
      <c r="R198" s="331" t="n"/>
      <c r="S198" s="331" t="n"/>
      <c r="T198" s="331" t="n"/>
      <c r="U198" s="456" t="n"/>
      <c r="V198" s="457">
        <f>IF($AO198&lt;&gt;"OK",0,IF(AND(DATE('Thiết lập'!$B$4,1,1)&gt;=DATE(YEAR($H198),MONTH($H198),1),DATE('Thiết lập'!$B$4,1,1)&lt;EDATE(DATE(YEAR($H198),MONTH($H198),1),$O198)),MIN($P198,MAX(0,$N198-$U198-0)),0))</f>
        <v/>
      </c>
      <c r="W198" s="457">
        <f>IF($AO198&lt;&gt;"OK",0,IF(AND(DATE('Thiết lập'!$B$4,2,1)&gt;=DATE(YEAR($H198),MONTH($H198),1),DATE('Thiết lập'!$B$4,2,1)&lt;EDATE(DATE(YEAR($H198),MONTH($H198),1),$O198)),MIN($P198,MAX(0,$N198-$U198-SUM($V198:V198))),0))</f>
        <v/>
      </c>
      <c r="X198" s="457">
        <f>IF($AO198&lt;&gt;"OK",0,IF(AND(DATE('Thiết lập'!$B$4,3,1)&gt;=DATE(YEAR($H198),MONTH($H198),1),DATE('Thiết lập'!$B$4,3,1)&lt;EDATE(DATE(YEAR($H198),MONTH($H198),1),$O198)),MIN($P198,MAX(0,$N198-$U198-SUM($V198:W198))),0))</f>
        <v/>
      </c>
      <c r="Y198" s="457">
        <f>IF($AO198&lt;&gt;"OK",0,IF(AND(DATE('Thiết lập'!$B$4,4,1)&gt;=DATE(YEAR($H198),MONTH($H198),1),DATE('Thiết lập'!$B$4,4,1)&lt;EDATE(DATE(YEAR($H198),MONTH($H198),1),$O198)),MIN($P198,MAX(0,$N198-$U198-SUM($V198:X198))),0))</f>
        <v/>
      </c>
      <c r="Z198" s="457">
        <f>IF($AO198&lt;&gt;"OK",0,IF(AND(DATE('Thiết lập'!$B$4,5,1)&gt;=DATE(YEAR($H198),MONTH($H198),1),DATE('Thiết lập'!$B$4,5,1)&lt;EDATE(DATE(YEAR($H198),MONTH($H198),1),$O198)),MIN($P198,MAX(0,$N198-$U198-SUM($V198:Y198))),0))</f>
        <v/>
      </c>
      <c r="AA198" s="457">
        <f>IF($AO198&lt;&gt;"OK",0,IF(AND(DATE('Thiết lập'!$B$4,6,1)&gt;=DATE(YEAR($H198),MONTH($H198),1),DATE('Thiết lập'!$B$4,6,1)&lt;EDATE(DATE(YEAR($H198),MONTH($H198),1),$O198)),MIN($P198,MAX(0,$N198-$U198-SUM($V198:Z198))),0))</f>
        <v/>
      </c>
      <c r="AB198" s="457">
        <f>IF($AO198&lt;&gt;"OK",0,IF(AND(DATE('Thiết lập'!$B$4,7,1)&gt;=DATE(YEAR($H198),MONTH($H198),1),DATE('Thiết lập'!$B$4,7,1)&lt;EDATE(DATE(YEAR($H198),MONTH($H198),1),$O198)),MIN($P198,MAX(0,$N198-$U198-SUM($V198:AA198))),0))</f>
        <v/>
      </c>
      <c r="AC198" s="457">
        <f>IF($AO198&lt;&gt;"OK",0,IF(AND(DATE('Thiết lập'!$B$4,8,1)&gt;=DATE(YEAR($H198),MONTH($H198),1),DATE('Thiết lập'!$B$4,8,1)&lt;EDATE(DATE(YEAR($H198),MONTH($H198),1),$O198)),MIN($P198,MAX(0,$N198-$U198-SUM($V198:AB198))),0))</f>
        <v/>
      </c>
      <c r="AD198" s="457">
        <f>IF($AO198&lt;&gt;"OK",0,IF(AND(DATE('Thiết lập'!$B$4,9,1)&gt;=DATE(YEAR($H198),MONTH($H198),1),DATE('Thiết lập'!$B$4,9,1)&lt;EDATE(DATE(YEAR($H198),MONTH($H198),1),$O198)),MIN($P198,MAX(0,$N198-$U198-SUM($V198:AC198))),0))</f>
        <v/>
      </c>
      <c r="AE198" s="457">
        <f>IF($AO198&lt;&gt;"OK",0,IF(AND(DATE('Thiết lập'!$B$4,10,1)&gt;=DATE(YEAR($H198),MONTH($H198),1),DATE('Thiết lập'!$B$4,10,1)&lt;EDATE(DATE(YEAR($H198),MONTH($H198),1),$O198)),MIN($P198,MAX(0,$N198-$U198-SUM($V198:AD198))),0))</f>
        <v/>
      </c>
      <c r="AF198" s="457">
        <f>IF($AO198&lt;&gt;"OK",0,IF(AND(DATE('Thiết lập'!$B$4,11,1)&gt;=DATE(YEAR($H198),MONTH($H198),1),DATE('Thiết lập'!$B$4,11,1)&lt;EDATE(DATE(YEAR($H198),MONTH($H198),1),$O198)),MIN($P198,MAX(0,$N198-$U198-SUM($V198:AE198))),0))</f>
        <v/>
      </c>
      <c r="AG198" s="457">
        <f>IF($AO198&lt;&gt;"OK",0,IF(AND(DATE('Thiết lập'!$B$4,12,1)&gt;=DATE(YEAR($H198),MONTH($H198),1),DATE('Thiết lập'!$B$4,12,1)&lt;EDATE(DATE(YEAR($H198),MONTH($H198),1),$O198)),MIN($P198,MAX(0,$N198-$U198-SUM($V198:AF198))),0))</f>
        <v/>
      </c>
      <c r="AH198" s="457">
        <f>IF(B198="","",SUM(V198:AG198))</f>
        <v/>
      </c>
      <c r="AI198" s="457">
        <f>IF(B198="","",MIN(N198,IF(U198="",0,U198)+AH198))</f>
        <v/>
      </c>
      <c r="AJ198" s="457">
        <f>IF(B198="","",MAX(0,L198-AI198))</f>
        <v/>
      </c>
      <c r="AK198" s="337">
        <f>IF(B198="","",IF(H198&gt;'Thiết lập'!$B$5,"Chưa khấu hao",IF(AJ198&lt;=IF(M198="",0,M198),"Đã hết khấu hao","Đang khấu hao")))</f>
        <v/>
      </c>
      <c r="AL198" s="275" t="n"/>
      <c r="AM198" s="275" t="n"/>
      <c r="AN198" s="275" t="n"/>
      <c r="AO198" s="343">
        <f>IF(B198="","",IF(COUNTIF($B$7:$B$306,B198)&gt;1,"Trùng mã TSCĐ",IF(C198="","Thiếu tên TSCĐ",IF(H198="","Thiếu ngày bắt đầu",IF(OR(I198&lt;=0,L198&lt;=0,O198&lt;=0),"Kiểm tra số lượng/nguyên giá/thời gian",IF(AND(G198&lt;&gt;"",H198&lt;G198),"Ngày KH trước ngày ghi tăng",IF(M198&gt;L198,"Giá trị thu hồi vượt nguyên giá",IF(IF(U198="",0,U198)&gt;N198,"Lũy kế đầu năm vượt GTKH","OK"))))))))</f>
        <v/>
      </c>
    </row>
    <row r="199" ht="20" customHeight="1" s="389">
      <c r="A199" s="325">
        <f>IF(B199="","",ROW()-6)</f>
        <v/>
      </c>
      <c r="B199" s="275" t="n"/>
      <c r="C199" s="275" t="n"/>
      <c r="D199" s="331" t="n"/>
      <c r="E199" s="331" t="n"/>
      <c r="F199" s="454" t="n"/>
      <c r="G199" s="454" t="n"/>
      <c r="H199" s="454" t="n"/>
      <c r="I199" s="455" t="n"/>
      <c r="J199" s="456" t="n"/>
      <c r="K199" s="456" t="n"/>
      <c r="L199" s="457">
        <f>IF(B199="","",IF(OR(I199="",J199=""),"",I199*J199+IF(K199="",0,K199)))</f>
        <v/>
      </c>
      <c r="M199" s="456" t="n"/>
      <c r="N199" s="457">
        <f>IF(L199="","",MAX(0,L199-IF(M199="",0,M199)))</f>
        <v/>
      </c>
      <c r="O199" s="455" t="n"/>
      <c r="P199" s="457">
        <f>IF(OR(N199="",O199&lt;=0),"",ROUND(N199/O199,0))</f>
        <v/>
      </c>
      <c r="Q199" s="458">
        <f>IF(OR(H199="",O199&lt;=0),"",EOMONTH(H199,O199-1))</f>
        <v/>
      </c>
      <c r="R199" s="331" t="n"/>
      <c r="S199" s="331" t="n"/>
      <c r="T199" s="331" t="n"/>
      <c r="U199" s="456" t="n"/>
      <c r="V199" s="457">
        <f>IF($AO199&lt;&gt;"OK",0,IF(AND(DATE('Thiết lập'!$B$4,1,1)&gt;=DATE(YEAR($H199),MONTH($H199),1),DATE('Thiết lập'!$B$4,1,1)&lt;EDATE(DATE(YEAR($H199),MONTH($H199),1),$O199)),MIN($P199,MAX(0,$N199-$U199-0)),0))</f>
        <v/>
      </c>
      <c r="W199" s="457">
        <f>IF($AO199&lt;&gt;"OK",0,IF(AND(DATE('Thiết lập'!$B$4,2,1)&gt;=DATE(YEAR($H199),MONTH($H199),1),DATE('Thiết lập'!$B$4,2,1)&lt;EDATE(DATE(YEAR($H199),MONTH($H199),1),$O199)),MIN($P199,MAX(0,$N199-$U199-SUM($V199:V199))),0))</f>
        <v/>
      </c>
      <c r="X199" s="457">
        <f>IF($AO199&lt;&gt;"OK",0,IF(AND(DATE('Thiết lập'!$B$4,3,1)&gt;=DATE(YEAR($H199),MONTH($H199),1),DATE('Thiết lập'!$B$4,3,1)&lt;EDATE(DATE(YEAR($H199),MONTH($H199),1),$O199)),MIN($P199,MAX(0,$N199-$U199-SUM($V199:W199))),0))</f>
        <v/>
      </c>
      <c r="Y199" s="457">
        <f>IF($AO199&lt;&gt;"OK",0,IF(AND(DATE('Thiết lập'!$B$4,4,1)&gt;=DATE(YEAR($H199),MONTH($H199),1),DATE('Thiết lập'!$B$4,4,1)&lt;EDATE(DATE(YEAR($H199),MONTH($H199),1),$O199)),MIN($P199,MAX(0,$N199-$U199-SUM($V199:X199))),0))</f>
        <v/>
      </c>
      <c r="Z199" s="457">
        <f>IF($AO199&lt;&gt;"OK",0,IF(AND(DATE('Thiết lập'!$B$4,5,1)&gt;=DATE(YEAR($H199),MONTH($H199),1),DATE('Thiết lập'!$B$4,5,1)&lt;EDATE(DATE(YEAR($H199),MONTH($H199),1),$O199)),MIN($P199,MAX(0,$N199-$U199-SUM($V199:Y199))),0))</f>
        <v/>
      </c>
      <c r="AA199" s="457">
        <f>IF($AO199&lt;&gt;"OK",0,IF(AND(DATE('Thiết lập'!$B$4,6,1)&gt;=DATE(YEAR($H199),MONTH($H199),1),DATE('Thiết lập'!$B$4,6,1)&lt;EDATE(DATE(YEAR($H199),MONTH($H199),1),$O199)),MIN($P199,MAX(0,$N199-$U199-SUM($V199:Z199))),0))</f>
        <v/>
      </c>
      <c r="AB199" s="457">
        <f>IF($AO199&lt;&gt;"OK",0,IF(AND(DATE('Thiết lập'!$B$4,7,1)&gt;=DATE(YEAR($H199),MONTH($H199),1),DATE('Thiết lập'!$B$4,7,1)&lt;EDATE(DATE(YEAR($H199),MONTH($H199),1),$O199)),MIN($P199,MAX(0,$N199-$U199-SUM($V199:AA199))),0))</f>
        <v/>
      </c>
      <c r="AC199" s="457">
        <f>IF($AO199&lt;&gt;"OK",0,IF(AND(DATE('Thiết lập'!$B$4,8,1)&gt;=DATE(YEAR($H199),MONTH($H199),1),DATE('Thiết lập'!$B$4,8,1)&lt;EDATE(DATE(YEAR($H199),MONTH($H199),1),$O199)),MIN($P199,MAX(0,$N199-$U199-SUM($V199:AB199))),0))</f>
        <v/>
      </c>
      <c r="AD199" s="457">
        <f>IF($AO199&lt;&gt;"OK",0,IF(AND(DATE('Thiết lập'!$B$4,9,1)&gt;=DATE(YEAR($H199),MONTH($H199),1),DATE('Thiết lập'!$B$4,9,1)&lt;EDATE(DATE(YEAR($H199),MONTH($H199),1),$O199)),MIN($P199,MAX(0,$N199-$U199-SUM($V199:AC199))),0))</f>
        <v/>
      </c>
      <c r="AE199" s="457">
        <f>IF($AO199&lt;&gt;"OK",0,IF(AND(DATE('Thiết lập'!$B$4,10,1)&gt;=DATE(YEAR($H199),MONTH($H199),1),DATE('Thiết lập'!$B$4,10,1)&lt;EDATE(DATE(YEAR($H199),MONTH($H199),1),$O199)),MIN($P199,MAX(0,$N199-$U199-SUM($V199:AD199))),0))</f>
        <v/>
      </c>
      <c r="AF199" s="457">
        <f>IF($AO199&lt;&gt;"OK",0,IF(AND(DATE('Thiết lập'!$B$4,11,1)&gt;=DATE(YEAR($H199),MONTH($H199),1),DATE('Thiết lập'!$B$4,11,1)&lt;EDATE(DATE(YEAR($H199),MONTH($H199),1),$O199)),MIN($P199,MAX(0,$N199-$U199-SUM($V199:AE199))),0))</f>
        <v/>
      </c>
      <c r="AG199" s="457">
        <f>IF($AO199&lt;&gt;"OK",0,IF(AND(DATE('Thiết lập'!$B$4,12,1)&gt;=DATE(YEAR($H199),MONTH($H199),1),DATE('Thiết lập'!$B$4,12,1)&lt;EDATE(DATE(YEAR($H199),MONTH($H199),1),$O199)),MIN($P199,MAX(0,$N199-$U199-SUM($V199:AF199))),0))</f>
        <v/>
      </c>
      <c r="AH199" s="457">
        <f>IF(B199="","",SUM(V199:AG199))</f>
        <v/>
      </c>
      <c r="AI199" s="457">
        <f>IF(B199="","",MIN(N199,IF(U199="",0,U199)+AH199))</f>
        <v/>
      </c>
      <c r="AJ199" s="457">
        <f>IF(B199="","",MAX(0,L199-AI199))</f>
        <v/>
      </c>
      <c r="AK199" s="337">
        <f>IF(B199="","",IF(H199&gt;'Thiết lập'!$B$5,"Chưa khấu hao",IF(AJ199&lt;=IF(M199="",0,M199),"Đã hết khấu hao","Đang khấu hao")))</f>
        <v/>
      </c>
      <c r="AL199" s="275" t="n"/>
      <c r="AM199" s="275" t="n"/>
      <c r="AN199" s="275" t="n"/>
      <c r="AO199" s="343">
        <f>IF(B199="","",IF(COUNTIF($B$7:$B$306,B199)&gt;1,"Trùng mã TSCĐ",IF(C199="","Thiếu tên TSCĐ",IF(H199="","Thiếu ngày bắt đầu",IF(OR(I199&lt;=0,L199&lt;=0,O199&lt;=0),"Kiểm tra số lượng/nguyên giá/thời gian",IF(AND(G199&lt;&gt;"",H199&lt;G199),"Ngày KH trước ngày ghi tăng",IF(M199&gt;L199,"Giá trị thu hồi vượt nguyên giá",IF(IF(U199="",0,U199)&gt;N199,"Lũy kế đầu năm vượt GTKH","OK"))))))))</f>
        <v/>
      </c>
    </row>
    <row r="200" ht="20" customHeight="1" s="389">
      <c r="A200" s="325">
        <f>IF(B200="","",ROW()-6)</f>
        <v/>
      </c>
      <c r="B200" s="275" t="n"/>
      <c r="C200" s="275" t="n"/>
      <c r="D200" s="331" t="n"/>
      <c r="E200" s="331" t="n"/>
      <c r="F200" s="454" t="n"/>
      <c r="G200" s="454" t="n"/>
      <c r="H200" s="454" t="n"/>
      <c r="I200" s="455" t="n"/>
      <c r="J200" s="456" t="n"/>
      <c r="K200" s="456" t="n"/>
      <c r="L200" s="457">
        <f>IF(B200="","",IF(OR(I200="",J200=""),"",I200*J200+IF(K200="",0,K200)))</f>
        <v/>
      </c>
      <c r="M200" s="456" t="n"/>
      <c r="N200" s="457">
        <f>IF(L200="","",MAX(0,L200-IF(M200="",0,M200)))</f>
        <v/>
      </c>
      <c r="O200" s="455" t="n"/>
      <c r="P200" s="457">
        <f>IF(OR(N200="",O200&lt;=0),"",ROUND(N200/O200,0))</f>
        <v/>
      </c>
      <c r="Q200" s="458">
        <f>IF(OR(H200="",O200&lt;=0),"",EOMONTH(H200,O200-1))</f>
        <v/>
      </c>
      <c r="R200" s="331" t="n"/>
      <c r="S200" s="331" t="n"/>
      <c r="T200" s="331" t="n"/>
      <c r="U200" s="456" t="n"/>
      <c r="V200" s="457">
        <f>IF($AO200&lt;&gt;"OK",0,IF(AND(DATE('Thiết lập'!$B$4,1,1)&gt;=DATE(YEAR($H200),MONTH($H200),1),DATE('Thiết lập'!$B$4,1,1)&lt;EDATE(DATE(YEAR($H200),MONTH($H200),1),$O200)),MIN($P200,MAX(0,$N200-$U200-0)),0))</f>
        <v/>
      </c>
      <c r="W200" s="457">
        <f>IF($AO200&lt;&gt;"OK",0,IF(AND(DATE('Thiết lập'!$B$4,2,1)&gt;=DATE(YEAR($H200),MONTH($H200),1),DATE('Thiết lập'!$B$4,2,1)&lt;EDATE(DATE(YEAR($H200),MONTH($H200),1),$O200)),MIN($P200,MAX(0,$N200-$U200-SUM($V200:V200))),0))</f>
        <v/>
      </c>
      <c r="X200" s="457">
        <f>IF($AO200&lt;&gt;"OK",0,IF(AND(DATE('Thiết lập'!$B$4,3,1)&gt;=DATE(YEAR($H200),MONTH($H200),1),DATE('Thiết lập'!$B$4,3,1)&lt;EDATE(DATE(YEAR($H200),MONTH($H200),1),$O200)),MIN($P200,MAX(0,$N200-$U200-SUM($V200:W200))),0))</f>
        <v/>
      </c>
      <c r="Y200" s="457">
        <f>IF($AO200&lt;&gt;"OK",0,IF(AND(DATE('Thiết lập'!$B$4,4,1)&gt;=DATE(YEAR($H200),MONTH($H200),1),DATE('Thiết lập'!$B$4,4,1)&lt;EDATE(DATE(YEAR($H200),MONTH($H200),1),$O200)),MIN($P200,MAX(0,$N200-$U200-SUM($V200:X200))),0))</f>
        <v/>
      </c>
      <c r="Z200" s="457">
        <f>IF($AO200&lt;&gt;"OK",0,IF(AND(DATE('Thiết lập'!$B$4,5,1)&gt;=DATE(YEAR($H200),MONTH($H200),1),DATE('Thiết lập'!$B$4,5,1)&lt;EDATE(DATE(YEAR($H200),MONTH($H200),1),$O200)),MIN($P200,MAX(0,$N200-$U200-SUM($V200:Y200))),0))</f>
        <v/>
      </c>
      <c r="AA200" s="457">
        <f>IF($AO200&lt;&gt;"OK",0,IF(AND(DATE('Thiết lập'!$B$4,6,1)&gt;=DATE(YEAR($H200),MONTH($H200),1),DATE('Thiết lập'!$B$4,6,1)&lt;EDATE(DATE(YEAR($H200),MONTH($H200),1),$O200)),MIN($P200,MAX(0,$N200-$U200-SUM($V200:Z200))),0))</f>
        <v/>
      </c>
      <c r="AB200" s="457">
        <f>IF($AO200&lt;&gt;"OK",0,IF(AND(DATE('Thiết lập'!$B$4,7,1)&gt;=DATE(YEAR($H200),MONTH($H200),1),DATE('Thiết lập'!$B$4,7,1)&lt;EDATE(DATE(YEAR($H200),MONTH($H200),1),$O200)),MIN($P200,MAX(0,$N200-$U200-SUM($V200:AA200))),0))</f>
        <v/>
      </c>
      <c r="AC200" s="457">
        <f>IF($AO200&lt;&gt;"OK",0,IF(AND(DATE('Thiết lập'!$B$4,8,1)&gt;=DATE(YEAR($H200),MONTH($H200),1),DATE('Thiết lập'!$B$4,8,1)&lt;EDATE(DATE(YEAR($H200),MONTH($H200),1),$O200)),MIN($P200,MAX(0,$N200-$U200-SUM($V200:AB200))),0))</f>
        <v/>
      </c>
      <c r="AD200" s="457">
        <f>IF($AO200&lt;&gt;"OK",0,IF(AND(DATE('Thiết lập'!$B$4,9,1)&gt;=DATE(YEAR($H200),MONTH($H200),1),DATE('Thiết lập'!$B$4,9,1)&lt;EDATE(DATE(YEAR($H200),MONTH($H200),1),$O200)),MIN($P200,MAX(0,$N200-$U200-SUM($V200:AC200))),0))</f>
        <v/>
      </c>
      <c r="AE200" s="457">
        <f>IF($AO200&lt;&gt;"OK",0,IF(AND(DATE('Thiết lập'!$B$4,10,1)&gt;=DATE(YEAR($H200),MONTH($H200),1),DATE('Thiết lập'!$B$4,10,1)&lt;EDATE(DATE(YEAR($H200),MONTH($H200),1),$O200)),MIN($P200,MAX(0,$N200-$U200-SUM($V200:AD200))),0))</f>
        <v/>
      </c>
      <c r="AF200" s="457">
        <f>IF($AO200&lt;&gt;"OK",0,IF(AND(DATE('Thiết lập'!$B$4,11,1)&gt;=DATE(YEAR($H200),MONTH($H200),1),DATE('Thiết lập'!$B$4,11,1)&lt;EDATE(DATE(YEAR($H200),MONTH($H200),1),$O200)),MIN($P200,MAX(0,$N200-$U200-SUM($V200:AE200))),0))</f>
        <v/>
      </c>
      <c r="AG200" s="457">
        <f>IF($AO200&lt;&gt;"OK",0,IF(AND(DATE('Thiết lập'!$B$4,12,1)&gt;=DATE(YEAR($H200),MONTH($H200),1),DATE('Thiết lập'!$B$4,12,1)&lt;EDATE(DATE(YEAR($H200),MONTH($H200),1),$O200)),MIN($P200,MAX(0,$N200-$U200-SUM($V200:AF200))),0))</f>
        <v/>
      </c>
      <c r="AH200" s="457">
        <f>IF(B200="","",SUM(V200:AG200))</f>
        <v/>
      </c>
      <c r="AI200" s="457">
        <f>IF(B200="","",MIN(N200,IF(U200="",0,U200)+AH200))</f>
        <v/>
      </c>
      <c r="AJ200" s="457">
        <f>IF(B200="","",MAX(0,L200-AI200))</f>
        <v/>
      </c>
      <c r="AK200" s="337">
        <f>IF(B200="","",IF(H200&gt;'Thiết lập'!$B$5,"Chưa khấu hao",IF(AJ200&lt;=IF(M200="",0,M200),"Đã hết khấu hao","Đang khấu hao")))</f>
        <v/>
      </c>
      <c r="AL200" s="275" t="n"/>
      <c r="AM200" s="275" t="n"/>
      <c r="AN200" s="275" t="n"/>
      <c r="AO200" s="343">
        <f>IF(B200="","",IF(COUNTIF($B$7:$B$306,B200)&gt;1,"Trùng mã TSCĐ",IF(C200="","Thiếu tên TSCĐ",IF(H200="","Thiếu ngày bắt đầu",IF(OR(I200&lt;=0,L200&lt;=0,O200&lt;=0),"Kiểm tra số lượng/nguyên giá/thời gian",IF(AND(G200&lt;&gt;"",H200&lt;G200),"Ngày KH trước ngày ghi tăng",IF(M200&gt;L200,"Giá trị thu hồi vượt nguyên giá",IF(IF(U200="",0,U200)&gt;N200,"Lũy kế đầu năm vượt GTKH","OK"))))))))</f>
        <v/>
      </c>
    </row>
    <row r="201" ht="20" customHeight="1" s="389">
      <c r="A201" s="325">
        <f>IF(B201="","",ROW()-6)</f>
        <v/>
      </c>
      <c r="B201" s="275" t="n"/>
      <c r="C201" s="275" t="n"/>
      <c r="D201" s="331" t="n"/>
      <c r="E201" s="331" t="n"/>
      <c r="F201" s="454" t="n"/>
      <c r="G201" s="454" t="n"/>
      <c r="H201" s="454" t="n"/>
      <c r="I201" s="455" t="n"/>
      <c r="J201" s="456" t="n"/>
      <c r="K201" s="456" t="n"/>
      <c r="L201" s="457">
        <f>IF(B201="","",IF(OR(I201="",J201=""),"",I201*J201+IF(K201="",0,K201)))</f>
        <v/>
      </c>
      <c r="M201" s="456" t="n"/>
      <c r="N201" s="457">
        <f>IF(L201="","",MAX(0,L201-IF(M201="",0,M201)))</f>
        <v/>
      </c>
      <c r="O201" s="455" t="n"/>
      <c r="P201" s="457">
        <f>IF(OR(N201="",O201&lt;=0),"",ROUND(N201/O201,0))</f>
        <v/>
      </c>
      <c r="Q201" s="458">
        <f>IF(OR(H201="",O201&lt;=0),"",EOMONTH(H201,O201-1))</f>
        <v/>
      </c>
      <c r="R201" s="331" t="n"/>
      <c r="S201" s="331" t="n"/>
      <c r="T201" s="331" t="n"/>
      <c r="U201" s="456" t="n"/>
      <c r="V201" s="457">
        <f>IF($AO201&lt;&gt;"OK",0,IF(AND(DATE('Thiết lập'!$B$4,1,1)&gt;=DATE(YEAR($H201),MONTH($H201),1),DATE('Thiết lập'!$B$4,1,1)&lt;EDATE(DATE(YEAR($H201),MONTH($H201),1),$O201)),MIN($P201,MAX(0,$N201-$U201-0)),0))</f>
        <v/>
      </c>
      <c r="W201" s="457">
        <f>IF($AO201&lt;&gt;"OK",0,IF(AND(DATE('Thiết lập'!$B$4,2,1)&gt;=DATE(YEAR($H201),MONTH($H201),1),DATE('Thiết lập'!$B$4,2,1)&lt;EDATE(DATE(YEAR($H201),MONTH($H201),1),$O201)),MIN($P201,MAX(0,$N201-$U201-SUM($V201:V201))),0))</f>
        <v/>
      </c>
      <c r="X201" s="457">
        <f>IF($AO201&lt;&gt;"OK",0,IF(AND(DATE('Thiết lập'!$B$4,3,1)&gt;=DATE(YEAR($H201),MONTH($H201),1),DATE('Thiết lập'!$B$4,3,1)&lt;EDATE(DATE(YEAR($H201),MONTH($H201),1),$O201)),MIN($P201,MAX(0,$N201-$U201-SUM($V201:W201))),0))</f>
        <v/>
      </c>
      <c r="Y201" s="457">
        <f>IF($AO201&lt;&gt;"OK",0,IF(AND(DATE('Thiết lập'!$B$4,4,1)&gt;=DATE(YEAR($H201),MONTH($H201),1),DATE('Thiết lập'!$B$4,4,1)&lt;EDATE(DATE(YEAR($H201),MONTH($H201),1),$O201)),MIN($P201,MAX(0,$N201-$U201-SUM($V201:X201))),0))</f>
        <v/>
      </c>
      <c r="Z201" s="457">
        <f>IF($AO201&lt;&gt;"OK",0,IF(AND(DATE('Thiết lập'!$B$4,5,1)&gt;=DATE(YEAR($H201),MONTH($H201),1),DATE('Thiết lập'!$B$4,5,1)&lt;EDATE(DATE(YEAR($H201),MONTH($H201),1),$O201)),MIN($P201,MAX(0,$N201-$U201-SUM($V201:Y201))),0))</f>
        <v/>
      </c>
      <c r="AA201" s="457">
        <f>IF($AO201&lt;&gt;"OK",0,IF(AND(DATE('Thiết lập'!$B$4,6,1)&gt;=DATE(YEAR($H201),MONTH($H201),1),DATE('Thiết lập'!$B$4,6,1)&lt;EDATE(DATE(YEAR($H201),MONTH($H201),1),$O201)),MIN($P201,MAX(0,$N201-$U201-SUM($V201:Z201))),0))</f>
        <v/>
      </c>
      <c r="AB201" s="457">
        <f>IF($AO201&lt;&gt;"OK",0,IF(AND(DATE('Thiết lập'!$B$4,7,1)&gt;=DATE(YEAR($H201),MONTH($H201),1),DATE('Thiết lập'!$B$4,7,1)&lt;EDATE(DATE(YEAR($H201),MONTH($H201),1),$O201)),MIN($P201,MAX(0,$N201-$U201-SUM($V201:AA201))),0))</f>
        <v/>
      </c>
      <c r="AC201" s="457">
        <f>IF($AO201&lt;&gt;"OK",0,IF(AND(DATE('Thiết lập'!$B$4,8,1)&gt;=DATE(YEAR($H201),MONTH($H201),1),DATE('Thiết lập'!$B$4,8,1)&lt;EDATE(DATE(YEAR($H201),MONTH($H201),1),$O201)),MIN($P201,MAX(0,$N201-$U201-SUM($V201:AB201))),0))</f>
        <v/>
      </c>
      <c r="AD201" s="457">
        <f>IF($AO201&lt;&gt;"OK",0,IF(AND(DATE('Thiết lập'!$B$4,9,1)&gt;=DATE(YEAR($H201),MONTH($H201),1),DATE('Thiết lập'!$B$4,9,1)&lt;EDATE(DATE(YEAR($H201),MONTH($H201),1),$O201)),MIN($P201,MAX(0,$N201-$U201-SUM($V201:AC201))),0))</f>
        <v/>
      </c>
      <c r="AE201" s="457">
        <f>IF($AO201&lt;&gt;"OK",0,IF(AND(DATE('Thiết lập'!$B$4,10,1)&gt;=DATE(YEAR($H201),MONTH($H201),1),DATE('Thiết lập'!$B$4,10,1)&lt;EDATE(DATE(YEAR($H201),MONTH($H201),1),$O201)),MIN($P201,MAX(0,$N201-$U201-SUM($V201:AD201))),0))</f>
        <v/>
      </c>
      <c r="AF201" s="457">
        <f>IF($AO201&lt;&gt;"OK",0,IF(AND(DATE('Thiết lập'!$B$4,11,1)&gt;=DATE(YEAR($H201),MONTH($H201),1),DATE('Thiết lập'!$B$4,11,1)&lt;EDATE(DATE(YEAR($H201),MONTH($H201),1),$O201)),MIN($P201,MAX(0,$N201-$U201-SUM($V201:AE201))),0))</f>
        <v/>
      </c>
      <c r="AG201" s="457">
        <f>IF($AO201&lt;&gt;"OK",0,IF(AND(DATE('Thiết lập'!$B$4,12,1)&gt;=DATE(YEAR($H201),MONTH($H201),1),DATE('Thiết lập'!$B$4,12,1)&lt;EDATE(DATE(YEAR($H201),MONTH($H201),1),$O201)),MIN($P201,MAX(0,$N201-$U201-SUM($V201:AF201))),0))</f>
        <v/>
      </c>
      <c r="AH201" s="457">
        <f>IF(B201="","",SUM(V201:AG201))</f>
        <v/>
      </c>
      <c r="AI201" s="457">
        <f>IF(B201="","",MIN(N201,IF(U201="",0,U201)+AH201))</f>
        <v/>
      </c>
      <c r="AJ201" s="457">
        <f>IF(B201="","",MAX(0,L201-AI201))</f>
        <v/>
      </c>
      <c r="AK201" s="337">
        <f>IF(B201="","",IF(H201&gt;'Thiết lập'!$B$5,"Chưa khấu hao",IF(AJ201&lt;=IF(M201="",0,M201),"Đã hết khấu hao","Đang khấu hao")))</f>
        <v/>
      </c>
      <c r="AL201" s="275" t="n"/>
      <c r="AM201" s="275" t="n"/>
      <c r="AN201" s="275" t="n"/>
      <c r="AO201" s="343">
        <f>IF(B201="","",IF(COUNTIF($B$7:$B$306,B201)&gt;1,"Trùng mã TSCĐ",IF(C201="","Thiếu tên TSCĐ",IF(H201="","Thiếu ngày bắt đầu",IF(OR(I201&lt;=0,L201&lt;=0,O201&lt;=0),"Kiểm tra số lượng/nguyên giá/thời gian",IF(AND(G201&lt;&gt;"",H201&lt;G201),"Ngày KH trước ngày ghi tăng",IF(M201&gt;L201,"Giá trị thu hồi vượt nguyên giá",IF(IF(U201="",0,U201)&gt;N201,"Lũy kế đầu năm vượt GTKH","OK"))))))))</f>
        <v/>
      </c>
    </row>
    <row r="202" ht="20" customHeight="1" s="389">
      <c r="A202" s="325">
        <f>IF(B202="","",ROW()-6)</f>
        <v/>
      </c>
      <c r="B202" s="275" t="n"/>
      <c r="C202" s="275" t="n"/>
      <c r="D202" s="331" t="n"/>
      <c r="E202" s="331" t="n"/>
      <c r="F202" s="454" t="n"/>
      <c r="G202" s="454" t="n"/>
      <c r="H202" s="454" t="n"/>
      <c r="I202" s="455" t="n"/>
      <c r="J202" s="456" t="n"/>
      <c r="K202" s="456" t="n"/>
      <c r="L202" s="457">
        <f>IF(B202="","",IF(OR(I202="",J202=""),"",I202*J202+IF(K202="",0,K202)))</f>
        <v/>
      </c>
      <c r="M202" s="456" t="n"/>
      <c r="N202" s="457">
        <f>IF(L202="","",MAX(0,L202-IF(M202="",0,M202)))</f>
        <v/>
      </c>
      <c r="O202" s="455" t="n"/>
      <c r="P202" s="457">
        <f>IF(OR(N202="",O202&lt;=0),"",ROUND(N202/O202,0))</f>
        <v/>
      </c>
      <c r="Q202" s="458">
        <f>IF(OR(H202="",O202&lt;=0),"",EOMONTH(H202,O202-1))</f>
        <v/>
      </c>
      <c r="R202" s="331" t="n"/>
      <c r="S202" s="331" t="n"/>
      <c r="T202" s="331" t="n"/>
      <c r="U202" s="456" t="n"/>
      <c r="V202" s="457">
        <f>IF($AO202&lt;&gt;"OK",0,IF(AND(DATE('Thiết lập'!$B$4,1,1)&gt;=DATE(YEAR($H202),MONTH($H202),1),DATE('Thiết lập'!$B$4,1,1)&lt;EDATE(DATE(YEAR($H202),MONTH($H202),1),$O202)),MIN($P202,MAX(0,$N202-$U202-0)),0))</f>
        <v/>
      </c>
      <c r="W202" s="457">
        <f>IF($AO202&lt;&gt;"OK",0,IF(AND(DATE('Thiết lập'!$B$4,2,1)&gt;=DATE(YEAR($H202),MONTH($H202),1),DATE('Thiết lập'!$B$4,2,1)&lt;EDATE(DATE(YEAR($H202),MONTH($H202),1),$O202)),MIN($P202,MAX(0,$N202-$U202-SUM($V202:V202))),0))</f>
        <v/>
      </c>
      <c r="X202" s="457">
        <f>IF($AO202&lt;&gt;"OK",0,IF(AND(DATE('Thiết lập'!$B$4,3,1)&gt;=DATE(YEAR($H202),MONTH($H202),1),DATE('Thiết lập'!$B$4,3,1)&lt;EDATE(DATE(YEAR($H202),MONTH($H202),1),$O202)),MIN($P202,MAX(0,$N202-$U202-SUM($V202:W202))),0))</f>
        <v/>
      </c>
      <c r="Y202" s="457">
        <f>IF($AO202&lt;&gt;"OK",0,IF(AND(DATE('Thiết lập'!$B$4,4,1)&gt;=DATE(YEAR($H202),MONTH($H202),1),DATE('Thiết lập'!$B$4,4,1)&lt;EDATE(DATE(YEAR($H202),MONTH($H202),1),$O202)),MIN($P202,MAX(0,$N202-$U202-SUM($V202:X202))),0))</f>
        <v/>
      </c>
      <c r="Z202" s="457">
        <f>IF($AO202&lt;&gt;"OK",0,IF(AND(DATE('Thiết lập'!$B$4,5,1)&gt;=DATE(YEAR($H202),MONTH($H202),1),DATE('Thiết lập'!$B$4,5,1)&lt;EDATE(DATE(YEAR($H202),MONTH($H202),1),$O202)),MIN($P202,MAX(0,$N202-$U202-SUM($V202:Y202))),0))</f>
        <v/>
      </c>
      <c r="AA202" s="457">
        <f>IF($AO202&lt;&gt;"OK",0,IF(AND(DATE('Thiết lập'!$B$4,6,1)&gt;=DATE(YEAR($H202),MONTH($H202),1),DATE('Thiết lập'!$B$4,6,1)&lt;EDATE(DATE(YEAR($H202),MONTH($H202),1),$O202)),MIN($P202,MAX(0,$N202-$U202-SUM($V202:Z202))),0))</f>
        <v/>
      </c>
      <c r="AB202" s="457">
        <f>IF($AO202&lt;&gt;"OK",0,IF(AND(DATE('Thiết lập'!$B$4,7,1)&gt;=DATE(YEAR($H202),MONTH($H202),1),DATE('Thiết lập'!$B$4,7,1)&lt;EDATE(DATE(YEAR($H202),MONTH($H202),1),$O202)),MIN($P202,MAX(0,$N202-$U202-SUM($V202:AA202))),0))</f>
        <v/>
      </c>
      <c r="AC202" s="457">
        <f>IF($AO202&lt;&gt;"OK",0,IF(AND(DATE('Thiết lập'!$B$4,8,1)&gt;=DATE(YEAR($H202),MONTH($H202),1),DATE('Thiết lập'!$B$4,8,1)&lt;EDATE(DATE(YEAR($H202),MONTH($H202),1),$O202)),MIN($P202,MAX(0,$N202-$U202-SUM($V202:AB202))),0))</f>
        <v/>
      </c>
      <c r="AD202" s="457">
        <f>IF($AO202&lt;&gt;"OK",0,IF(AND(DATE('Thiết lập'!$B$4,9,1)&gt;=DATE(YEAR($H202),MONTH($H202),1),DATE('Thiết lập'!$B$4,9,1)&lt;EDATE(DATE(YEAR($H202),MONTH($H202),1),$O202)),MIN($P202,MAX(0,$N202-$U202-SUM($V202:AC202))),0))</f>
        <v/>
      </c>
      <c r="AE202" s="457">
        <f>IF($AO202&lt;&gt;"OK",0,IF(AND(DATE('Thiết lập'!$B$4,10,1)&gt;=DATE(YEAR($H202),MONTH($H202),1),DATE('Thiết lập'!$B$4,10,1)&lt;EDATE(DATE(YEAR($H202),MONTH($H202),1),$O202)),MIN($P202,MAX(0,$N202-$U202-SUM($V202:AD202))),0))</f>
        <v/>
      </c>
      <c r="AF202" s="457">
        <f>IF($AO202&lt;&gt;"OK",0,IF(AND(DATE('Thiết lập'!$B$4,11,1)&gt;=DATE(YEAR($H202),MONTH($H202),1),DATE('Thiết lập'!$B$4,11,1)&lt;EDATE(DATE(YEAR($H202),MONTH($H202),1),$O202)),MIN($P202,MAX(0,$N202-$U202-SUM($V202:AE202))),0))</f>
        <v/>
      </c>
      <c r="AG202" s="457">
        <f>IF($AO202&lt;&gt;"OK",0,IF(AND(DATE('Thiết lập'!$B$4,12,1)&gt;=DATE(YEAR($H202),MONTH($H202),1),DATE('Thiết lập'!$B$4,12,1)&lt;EDATE(DATE(YEAR($H202),MONTH($H202),1),$O202)),MIN($P202,MAX(0,$N202-$U202-SUM($V202:AF202))),0))</f>
        <v/>
      </c>
      <c r="AH202" s="457">
        <f>IF(B202="","",SUM(V202:AG202))</f>
        <v/>
      </c>
      <c r="AI202" s="457">
        <f>IF(B202="","",MIN(N202,IF(U202="",0,U202)+AH202))</f>
        <v/>
      </c>
      <c r="AJ202" s="457">
        <f>IF(B202="","",MAX(0,L202-AI202))</f>
        <v/>
      </c>
      <c r="AK202" s="337">
        <f>IF(B202="","",IF(H202&gt;'Thiết lập'!$B$5,"Chưa khấu hao",IF(AJ202&lt;=IF(M202="",0,M202),"Đã hết khấu hao","Đang khấu hao")))</f>
        <v/>
      </c>
      <c r="AL202" s="275" t="n"/>
      <c r="AM202" s="275" t="n"/>
      <c r="AN202" s="275" t="n"/>
      <c r="AO202" s="343">
        <f>IF(B202="","",IF(COUNTIF($B$7:$B$306,B202)&gt;1,"Trùng mã TSCĐ",IF(C202="","Thiếu tên TSCĐ",IF(H202="","Thiếu ngày bắt đầu",IF(OR(I202&lt;=0,L202&lt;=0,O202&lt;=0),"Kiểm tra số lượng/nguyên giá/thời gian",IF(AND(G202&lt;&gt;"",H202&lt;G202),"Ngày KH trước ngày ghi tăng",IF(M202&gt;L202,"Giá trị thu hồi vượt nguyên giá",IF(IF(U202="",0,U202)&gt;N202,"Lũy kế đầu năm vượt GTKH","OK"))))))))</f>
        <v/>
      </c>
    </row>
    <row r="203" ht="20" customHeight="1" s="389">
      <c r="A203" s="325">
        <f>IF(B203="","",ROW()-6)</f>
        <v/>
      </c>
      <c r="B203" s="275" t="n"/>
      <c r="C203" s="275" t="n"/>
      <c r="D203" s="331" t="n"/>
      <c r="E203" s="331" t="n"/>
      <c r="F203" s="454" t="n"/>
      <c r="G203" s="454" t="n"/>
      <c r="H203" s="454" t="n"/>
      <c r="I203" s="455" t="n"/>
      <c r="J203" s="456" t="n"/>
      <c r="K203" s="456" t="n"/>
      <c r="L203" s="457">
        <f>IF(B203="","",IF(OR(I203="",J203=""),"",I203*J203+IF(K203="",0,K203)))</f>
        <v/>
      </c>
      <c r="M203" s="456" t="n"/>
      <c r="N203" s="457">
        <f>IF(L203="","",MAX(0,L203-IF(M203="",0,M203)))</f>
        <v/>
      </c>
      <c r="O203" s="455" t="n"/>
      <c r="P203" s="457">
        <f>IF(OR(N203="",O203&lt;=0),"",ROUND(N203/O203,0))</f>
        <v/>
      </c>
      <c r="Q203" s="458">
        <f>IF(OR(H203="",O203&lt;=0),"",EOMONTH(H203,O203-1))</f>
        <v/>
      </c>
      <c r="R203" s="331" t="n"/>
      <c r="S203" s="331" t="n"/>
      <c r="T203" s="331" t="n"/>
      <c r="U203" s="456" t="n"/>
      <c r="V203" s="457">
        <f>IF($AO203&lt;&gt;"OK",0,IF(AND(DATE('Thiết lập'!$B$4,1,1)&gt;=DATE(YEAR($H203),MONTH($H203),1),DATE('Thiết lập'!$B$4,1,1)&lt;EDATE(DATE(YEAR($H203),MONTH($H203),1),$O203)),MIN($P203,MAX(0,$N203-$U203-0)),0))</f>
        <v/>
      </c>
      <c r="W203" s="457">
        <f>IF($AO203&lt;&gt;"OK",0,IF(AND(DATE('Thiết lập'!$B$4,2,1)&gt;=DATE(YEAR($H203),MONTH($H203),1),DATE('Thiết lập'!$B$4,2,1)&lt;EDATE(DATE(YEAR($H203),MONTH($H203),1),$O203)),MIN($P203,MAX(0,$N203-$U203-SUM($V203:V203))),0))</f>
        <v/>
      </c>
      <c r="X203" s="457">
        <f>IF($AO203&lt;&gt;"OK",0,IF(AND(DATE('Thiết lập'!$B$4,3,1)&gt;=DATE(YEAR($H203),MONTH($H203),1),DATE('Thiết lập'!$B$4,3,1)&lt;EDATE(DATE(YEAR($H203),MONTH($H203),1),$O203)),MIN($P203,MAX(0,$N203-$U203-SUM($V203:W203))),0))</f>
        <v/>
      </c>
      <c r="Y203" s="457">
        <f>IF($AO203&lt;&gt;"OK",0,IF(AND(DATE('Thiết lập'!$B$4,4,1)&gt;=DATE(YEAR($H203),MONTH($H203),1),DATE('Thiết lập'!$B$4,4,1)&lt;EDATE(DATE(YEAR($H203),MONTH($H203),1),$O203)),MIN($P203,MAX(0,$N203-$U203-SUM($V203:X203))),0))</f>
        <v/>
      </c>
      <c r="Z203" s="457">
        <f>IF($AO203&lt;&gt;"OK",0,IF(AND(DATE('Thiết lập'!$B$4,5,1)&gt;=DATE(YEAR($H203),MONTH($H203),1),DATE('Thiết lập'!$B$4,5,1)&lt;EDATE(DATE(YEAR($H203),MONTH($H203),1),$O203)),MIN($P203,MAX(0,$N203-$U203-SUM($V203:Y203))),0))</f>
        <v/>
      </c>
      <c r="AA203" s="457">
        <f>IF($AO203&lt;&gt;"OK",0,IF(AND(DATE('Thiết lập'!$B$4,6,1)&gt;=DATE(YEAR($H203),MONTH($H203),1),DATE('Thiết lập'!$B$4,6,1)&lt;EDATE(DATE(YEAR($H203),MONTH($H203),1),$O203)),MIN($P203,MAX(0,$N203-$U203-SUM($V203:Z203))),0))</f>
        <v/>
      </c>
      <c r="AB203" s="457">
        <f>IF($AO203&lt;&gt;"OK",0,IF(AND(DATE('Thiết lập'!$B$4,7,1)&gt;=DATE(YEAR($H203),MONTH($H203),1),DATE('Thiết lập'!$B$4,7,1)&lt;EDATE(DATE(YEAR($H203),MONTH($H203),1),$O203)),MIN($P203,MAX(0,$N203-$U203-SUM($V203:AA203))),0))</f>
        <v/>
      </c>
      <c r="AC203" s="457">
        <f>IF($AO203&lt;&gt;"OK",0,IF(AND(DATE('Thiết lập'!$B$4,8,1)&gt;=DATE(YEAR($H203),MONTH($H203),1),DATE('Thiết lập'!$B$4,8,1)&lt;EDATE(DATE(YEAR($H203),MONTH($H203),1),$O203)),MIN($P203,MAX(0,$N203-$U203-SUM($V203:AB203))),0))</f>
        <v/>
      </c>
      <c r="AD203" s="457">
        <f>IF($AO203&lt;&gt;"OK",0,IF(AND(DATE('Thiết lập'!$B$4,9,1)&gt;=DATE(YEAR($H203),MONTH($H203),1),DATE('Thiết lập'!$B$4,9,1)&lt;EDATE(DATE(YEAR($H203),MONTH($H203),1),$O203)),MIN($P203,MAX(0,$N203-$U203-SUM($V203:AC203))),0))</f>
        <v/>
      </c>
      <c r="AE203" s="457">
        <f>IF($AO203&lt;&gt;"OK",0,IF(AND(DATE('Thiết lập'!$B$4,10,1)&gt;=DATE(YEAR($H203),MONTH($H203),1),DATE('Thiết lập'!$B$4,10,1)&lt;EDATE(DATE(YEAR($H203),MONTH($H203),1),$O203)),MIN($P203,MAX(0,$N203-$U203-SUM($V203:AD203))),0))</f>
        <v/>
      </c>
      <c r="AF203" s="457">
        <f>IF($AO203&lt;&gt;"OK",0,IF(AND(DATE('Thiết lập'!$B$4,11,1)&gt;=DATE(YEAR($H203),MONTH($H203),1),DATE('Thiết lập'!$B$4,11,1)&lt;EDATE(DATE(YEAR($H203),MONTH($H203),1),$O203)),MIN($P203,MAX(0,$N203-$U203-SUM($V203:AE203))),0))</f>
        <v/>
      </c>
      <c r="AG203" s="457">
        <f>IF($AO203&lt;&gt;"OK",0,IF(AND(DATE('Thiết lập'!$B$4,12,1)&gt;=DATE(YEAR($H203),MONTH($H203),1),DATE('Thiết lập'!$B$4,12,1)&lt;EDATE(DATE(YEAR($H203),MONTH($H203),1),$O203)),MIN($P203,MAX(0,$N203-$U203-SUM($V203:AF203))),0))</f>
        <v/>
      </c>
      <c r="AH203" s="457">
        <f>IF(B203="","",SUM(V203:AG203))</f>
        <v/>
      </c>
      <c r="AI203" s="457">
        <f>IF(B203="","",MIN(N203,IF(U203="",0,U203)+AH203))</f>
        <v/>
      </c>
      <c r="AJ203" s="457">
        <f>IF(B203="","",MAX(0,L203-AI203))</f>
        <v/>
      </c>
      <c r="AK203" s="337">
        <f>IF(B203="","",IF(H203&gt;'Thiết lập'!$B$5,"Chưa khấu hao",IF(AJ203&lt;=IF(M203="",0,M203),"Đã hết khấu hao","Đang khấu hao")))</f>
        <v/>
      </c>
      <c r="AL203" s="275" t="n"/>
      <c r="AM203" s="275" t="n"/>
      <c r="AN203" s="275" t="n"/>
      <c r="AO203" s="343">
        <f>IF(B203="","",IF(COUNTIF($B$7:$B$306,B203)&gt;1,"Trùng mã TSCĐ",IF(C203="","Thiếu tên TSCĐ",IF(H203="","Thiếu ngày bắt đầu",IF(OR(I203&lt;=0,L203&lt;=0,O203&lt;=0),"Kiểm tra số lượng/nguyên giá/thời gian",IF(AND(G203&lt;&gt;"",H203&lt;G203),"Ngày KH trước ngày ghi tăng",IF(M203&gt;L203,"Giá trị thu hồi vượt nguyên giá",IF(IF(U203="",0,U203)&gt;N203,"Lũy kế đầu năm vượt GTKH","OK"))))))))</f>
        <v/>
      </c>
    </row>
    <row r="204" ht="20" customHeight="1" s="389">
      <c r="A204" s="325">
        <f>IF(B204="","",ROW()-6)</f>
        <v/>
      </c>
      <c r="B204" s="275" t="n"/>
      <c r="C204" s="275" t="n"/>
      <c r="D204" s="331" t="n"/>
      <c r="E204" s="331" t="n"/>
      <c r="F204" s="454" t="n"/>
      <c r="G204" s="454" t="n"/>
      <c r="H204" s="454" t="n"/>
      <c r="I204" s="455" t="n"/>
      <c r="J204" s="456" t="n"/>
      <c r="K204" s="456" t="n"/>
      <c r="L204" s="457">
        <f>IF(B204="","",IF(OR(I204="",J204=""),"",I204*J204+IF(K204="",0,K204)))</f>
        <v/>
      </c>
      <c r="M204" s="456" t="n"/>
      <c r="N204" s="457">
        <f>IF(L204="","",MAX(0,L204-IF(M204="",0,M204)))</f>
        <v/>
      </c>
      <c r="O204" s="455" t="n"/>
      <c r="P204" s="457">
        <f>IF(OR(N204="",O204&lt;=0),"",ROUND(N204/O204,0))</f>
        <v/>
      </c>
      <c r="Q204" s="458">
        <f>IF(OR(H204="",O204&lt;=0),"",EOMONTH(H204,O204-1))</f>
        <v/>
      </c>
      <c r="R204" s="331" t="n"/>
      <c r="S204" s="331" t="n"/>
      <c r="T204" s="331" t="n"/>
      <c r="U204" s="456" t="n"/>
      <c r="V204" s="457">
        <f>IF($AO204&lt;&gt;"OK",0,IF(AND(DATE('Thiết lập'!$B$4,1,1)&gt;=DATE(YEAR($H204),MONTH($H204),1),DATE('Thiết lập'!$B$4,1,1)&lt;EDATE(DATE(YEAR($H204),MONTH($H204),1),$O204)),MIN($P204,MAX(0,$N204-$U204-0)),0))</f>
        <v/>
      </c>
      <c r="W204" s="457">
        <f>IF($AO204&lt;&gt;"OK",0,IF(AND(DATE('Thiết lập'!$B$4,2,1)&gt;=DATE(YEAR($H204),MONTH($H204),1),DATE('Thiết lập'!$B$4,2,1)&lt;EDATE(DATE(YEAR($H204),MONTH($H204),1),$O204)),MIN($P204,MAX(0,$N204-$U204-SUM($V204:V204))),0))</f>
        <v/>
      </c>
      <c r="X204" s="457">
        <f>IF($AO204&lt;&gt;"OK",0,IF(AND(DATE('Thiết lập'!$B$4,3,1)&gt;=DATE(YEAR($H204),MONTH($H204),1),DATE('Thiết lập'!$B$4,3,1)&lt;EDATE(DATE(YEAR($H204),MONTH($H204),1),$O204)),MIN($P204,MAX(0,$N204-$U204-SUM($V204:W204))),0))</f>
        <v/>
      </c>
      <c r="Y204" s="457">
        <f>IF($AO204&lt;&gt;"OK",0,IF(AND(DATE('Thiết lập'!$B$4,4,1)&gt;=DATE(YEAR($H204),MONTH($H204),1),DATE('Thiết lập'!$B$4,4,1)&lt;EDATE(DATE(YEAR($H204),MONTH($H204),1),$O204)),MIN($P204,MAX(0,$N204-$U204-SUM($V204:X204))),0))</f>
        <v/>
      </c>
      <c r="Z204" s="457">
        <f>IF($AO204&lt;&gt;"OK",0,IF(AND(DATE('Thiết lập'!$B$4,5,1)&gt;=DATE(YEAR($H204),MONTH($H204),1),DATE('Thiết lập'!$B$4,5,1)&lt;EDATE(DATE(YEAR($H204),MONTH($H204),1),$O204)),MIN($P204,MAX(0,$N204-$U204-SUM($V204:Y204))),0))</f>
        <v/>
      </c>
      <c r="AA204" s="457">
        <f>IF($AO204&lt;&gt;"OK",0,IF(AND(DATE('Thiết lập'!$B$4,6,1)&gt;=DATE(YEAR($H204),MONTH($H204),1),DATE('Thiết lập'!$B$4,6,1)&lt;EDATE(DATE(YEAR($H204),MONTH($H204),1),$O204)),MIN($P204,MAX(0,$N204-$U204-SUM($V204:Z204))),0))</f>
        <v/>
      </c>
      <c r="AB204" s="457">
        <f>IF($AO204&lt;&gt;"OK",0,IF(AND(DATE('Thiết lập'!$B$4,7,1)&gt;=DATE(YEAR($H204),MONTH($H204),1),DATE('Thiết lập'!$B$4,7,1)&lt;EDATE(DATE(YEAR($H204),MONTH($H204),1),$O204)),MIN($P204,MAX(0,$N204-$U204-SUM($V204:AA204))),0))</f>
        <v/>
      </c>
      <c r="AC204" s="457">
        <f>IF($AO204&lt;&gt;"OK",0,IF(AND(DATE('Thiết lập'!$B$4,8,1)&gt;=DATE(YEAR($H204),MONTH($H204),1),DATE('Thiết lập'!$B$4,8,1)&lt;EDATE(DATE(YEAR($H204),MONTH($H204),1),$O204)),MIN($P204,MAX(0,$N204-$U204-SUM($V204:AB204))),0))</f>
        <v/>
      </c>
      <c r="AD204" s="457">
        <f>IF($AO204&lt;&gt;"OK",0,IF(AND(DATE('Thiết lập'!$B$4,9,1)&gt;=DATE(YEAR($H204),MONTH($H204),1),DATE('Thiết lập'!$B$4,9,1)&lt;EDATE(DATE(YEAR($H204),MONTH($H204),1),$O204)),MIN($P204,MAX(0,$N204-$U204-SUM($V204:AC204))),0))</f>
        <v/>
      </c>
      <c r="AE204" s="457">
        <f>IF($AO204&lt;&gt;"OK",0,IF(AND(DATE('Thiết lập'!$B$4,10,1)&gt;=DATE(YEAR($H204),MONTH($H204),1),DATE('Thiết lập'!$B$4,10,1)&lt;EDATE(DATE(YEAR($H204),MONTH($H204),1),$O204)),MIN($P204,MAX(0,$N204-$U204-SUM($V204:AD204))),0))</f>
        <v/>
      </c>
      <c r="AF204" s="457">
        <f>IF($AO204&lt;&gt;"OK",0,IF(AND(DATE('Thiết lập'!$B$4,11,1)&gt;=DATE(YEAR($H204),MONTH($H204),1),DATE('Thiết lập'!$B$4,11,1)&lt;EDATE(DATE(YEAR($H204),MONTH($H204),1),$O204)),MIN($P204,MAX(0,$N204-$U204-SUM($V204:AE204))),0))</f>
        <v/>
      </c>
      <c r="AG204" s="457">
        <f>IF($AO204&lt;&gt;"OK",0,IF(AND(DATE('Thiết lập'!$B$4,12,1)&gt;=DATE(YEAR($H204),MONTH($H204),1),DATE('Thiết lập'!$B$4,12,1)&lt;EDATE(DATE(YEAR($H204),MONTH($H204),1),$O204)),MIN($P204,MAX(0,$N204-$U204-SUM($V204:AF204))),0))</f>
        <v/>
      </c>
      <c r="AH204" s="457">
        <f>IF(B204="","",SUM(V204:AG204))</f>
        <v/>
      </c>
      <c r="AI204" s="457">
        <f>IF(B204="","",MIN(N204,IF(U204="",0,U204)+AH204))</f>
        <v/>
      </c>
      <c r="AJ204" s="457">
        <f>IF(B204="","",MAX(0,L204-AI204))</f>
        <v/>
      </c>
      <c r="AK204" s="337">
        <f>IF(B204="","",IF(H204&gt;'Thiết lập'!$B$5,"Chưa khấu hao",IF(AJ204&lt;=IF(M204="",0,M204),"Đã hết khấu hao","Đang khấu hao")))</f>
        <v/>
      </c>
      <c r="AL204" s="275" t="n"/>
      <c r="AM204" s="275" t="n"/>
      <c r="AN204" s="275" t="n"/>
      <c r="AO204" s="343">
        <f>IF(B204="","",IF(COUNTIF($B$7:$B$306,B204)&gt;1,"Trùng mã TSCĐ",IF(C204="","Thiếu tên TSCĐ",IF(H204="","Thiếu ngày bắt đầu",IF(OR(I204&lt;=0,L204&lt;=0,O204&lt;=0),"Kiểm tra số lượng/nguyên giá/thời gian",IF(AND(G204&lt;&gt;"",H204&lt;G204),"Ngày KH trước ngày ghi tăng",IF(M204&gt;L204,"Giá trị thu hồi vượt nguyên giá",IF(IF(U204="",0,U204)&gt;N204,"Lũy kế đầu năm vượt GTKH","OK"))))))))</f>
        <v/>
      </c>
    </row>
    <row r="205" ht="20" customHeight="1" s="389">
      <c r="A205" s="325">
        <f>IF(B205="","",ROW()-6)</f>
        <v/>
      </c>
      <c r="B205" s="275" t="n"/>
      <c r="C205" s="275" t="n"/>
      <c r="D205" s="331" t="n"/>
      <c r="E205" s="331" t="n"/>
      <c r="F205" s="454" t="n"/>
      <c r="G205" s="454" t="n"/>
      <c r="H205" s="454" t="n"/>
      <c r="I205" s="455" t="n"/>
      <c r="J205" s="456" t="n"/>
      <c r="K205" s="456" t="n"/>
      <c r="L205" s="457">
        <f>IF(B205="","",IF(OR(I205="",J205=""),"",I205*J205+IF(K205="",0,K205)))</f>
        <v/>
      </c>
      <c r="M205" s="456" t="n"/>
      <c r="N205" s="457">
        <f>IF(L205="","",MAX(0,L205-IF(M205="",0,M205)))</f>
        <v/>
      </c>
      <c r="O205" s="455" t="n"/>
      <c r="P205" s="457">
        <f>IF(OR(N205="",O205&lt;=0),"",ROUND(N205/O205,0))</f>
        <v/>
      </c>
      <c r="Q205" s="458">
        <f>IF(OR(H205="",O205&lt;=0),"",EOMONTH(H205,O205-1))</f>
        <v/>
      </c>
      <c r="R205" s="331" t="n"/>
      <c r="S205" s="331" t="n"/>
      <c r="T205" s="331" t="n"/>
      <c r="U205" s="456" t="n"/>
      <c r="V205" s="457">
        <f>IF($AO205&lt;&gt;"OK",0,IF(AND(DATE('Thiết lập'!$B$4,1,1)&gt;=DATE(YEAR($H205),MONTH($H205),1),DATE('Thiết lập'!$B$4,1,1)&lt;EDATE(DATE(YEAR($H205),MONTH($H205),1),$O205)),MIN($P205,MAX(0,$N205-$U205-0)),0))</f>
        <v/>
      </c>
      <c r="W205" s="457">
        <f>IF($AO205&lt;&gt;"OK",0,IF(AND(DATE('Thiết lập'!$B$4,2,1)&gt;=DATE(YEAR($H205),MONTH($H205),1),DATE('Thiết lập'!$B$4,2,1)&lt;EDATE(DATE(YEAR($H205),MONTH($H205),1),$O205)),MIN($P205,MAX(0,$N205-$U205-SUM($V205:V205))),0))</f>
        <v/>
      </c>
      <c r="X205" s="457">
        <f>IF($AO205&lt;&gt;"OK",0,IF(AND(DATE('Thiết lập'!$B$4,3,1)&gt;=DATE(YEAR($H205),MONTH($H205),1),DATE('Thiết lập'!$B$4,3,1)&lt;EDATE(DATE(YEAR($H205),MONTH($H205),1),$O205)),MIN($P205,MAX(0,$N205-$U205-SUM($V205:W205))),0))</f>
        <v/>
      </c>
      <c r="Y205" s="457">
        <f>IF($AO205&lt;&gt;"OK",0,IF(AND(DATE('Thiết lập'!$B$4,4,1)&gt;=DATE(YEAR($H205),MONTH($H205),1),DATE('Thiết lập'!$B$4,4,1)&lt;EDATE(DATE(YEAR($H205),MONTH($H205),1),$O205)),MIN($P205,MAX(0,$N205-$U205-SUM($V205:X205))),0))</f>
        <v/>
      </c>
      <c r="Z205" s="457">
        <f>IF($AO205&lt;&gt;"OK",0,IF(AND(DATE('Thiết lập'!$B$4,5,1)&gt;=DATE(YEAR($H205),MONTH($H205),1),DATE('Thiết lập'!$B$4,5,1)&lt;EDATE(DATE(YEAR($H205),MONTH($H205),1),$O205)),MIN($P205,MAX(0,$N205-$U205-SUM($V205:Y205))),0))</f>
        <v/>
      </c>
      <c r="AA205" s="457">
        <f>IF($AO205&lt;&gt;"OK",0,IF(AND(DATE('Thiết lập'!$B$4,6,1)&gt;=DATE(YEAR($H205),MONTH($H205),1),DATE('Thiết lập'!$B$4,6,1)&lt;EDATE(DATE(YEAR($H205),MONTH($H205),1),$O205)),MIN($P205,MAX(0,$N205-$U205-SUM($V205:Z205))),0))</f>
        <v/>
      </c>
      <c r="AB205" s="457">
        <f>IF($AO205&lt;&gt;"OK",0,IF(AND(DATE('Thiết lập'!$B$4,7,1)&gt;=DATE(YEAR($H205),MONTH($H205),1),DATE('Thiết lập'!$B$4,7,1)&lt;EDATE(DATE(YEAR($H205),MONTH($H205),1),$O205)),MIN($P205,MAX(0,$N205-$U205-SUM($V205:AA205))),0))</f>
        <v/>
      </c>
      <c r="AC205" s="457">
        <f>IF($AO205&lt;&gt;"OK",0,IF(AND(DATE('Thiết lập'!$B$4,8,1)&gt;=DATE(YEAR($H205),MONTH($H205),1),DATE('Thiết lập'!$B$4,8,1)&lt;EDATE(DATE(YEAR($H205),MONTH($H205),1),$O205)),MIN($P205,MAX(0,$N205-$U205-SUM($V205:AB205))),0))</f>
        <v/>
      </c>
      <c r="AD205" s="457">
        <f>IF($AO205&lt;&gt;"OK",0,IF(AND(DATE('Thiết lập'!$B$4,9,1)&gt;=DATE(YEAR($H205),MONTH($H205),1),DATE('Thiết lập'!$B$4,9,1)&lt;EDATE(DATE(YEAR($H205),MONTH($H205),1),$O205)),MIN($P205,MAX(0,$N205-$U205-SUM($V205:AC205))),0))</f>
        <v/>
      </c>
      <c r="AE205" s="457">
        <f>IF($AO205&lt;&gt;"OK",0,IF(AND(DATE('Thiết lập'!$B$4,10,1)&gt;=DATE(YEAR($H205),MONTH($H205),1),DATE('Thiết lập'!$B$4,10,1)&lt;EDATE(DATE(YEAR($H205),MONTH($H205),1),$O205)),MIN($P205,MAX(0,$N205-$U205-SUM($V205:AD205))),0))</f>
        <v/>
      </c>
      <c r="AF205" s="457">
        <f>IF($AO205&lt;&gt;"OK",0,IF(AND(DATE('Thiết lập'!$B$4,11,1)&gt;=DATE(YEAR($H205),MONTH($H205),1),DATE('Thiết lập'!$B$4,11,1)&lt;EDATE(DATE(YEAR($H205),MONTH($H205),1),$O205)),MIN($P205,MAX(0,$N205-$U205-SUM($V205:AE205))),0))</f>
        <v/>
      </c>
      <c r="AG205" s="457">
        <f>IF($AO205&lt;&gt;"OK",0,IF(AND(DATE('Thiết lập'!$B$4,12,1)&gt;=DATE(YEAR($H205),MONTH($H205),1),DATE('Thiết lập'!$B$4,12,1)&lt;EDATE(DATE(YEAR($H205),MONTH($H205),1),$O205)),MIN($P205,MAX(0,$N205-$U205-SUM($V205:AF205))),0))</f>
        <v/>
      </c>
      <c r="AH205" s="457">
        <f>IF(B205="","",SUM(V205:AG205))</f>
        <v/>
      </c>
      <c r="AI205" s="457">
        <f>IF(B205="","",MIN(N205,IF(U205="",0,U205)+AH205))</f>
        <v/>
      </c>
      <c r="AJ205" s="457">
        <f>IF(B205="","",MAX(0,L205-AI205))</f>
        <v/>
      </c>
      <c r="AK205" s="337">
        <f>IF(B205="","",IF(H205&gt;'Thiết lập'!$B$5,"Chưa khấu hao",IF(AJ205&lt;=IF(M205="",0,M205),"Đã hết khấu hao","Đang khấu hao")))</f>
        <v/>
      </c>
      <c r="AL205" s="275" t="n"/>
      <c r="AM205" s="275" t="n"/>
      <c r="AN205" s="275" t="n"/>
      <c r="AO205" s="343">
        <f>IF(B205="","",IF(COUNTIF($B$7:$B$306,B205)&gt;1,"Trùng mã TSCĐ",IF(C205="","Thiếu tên TSCĐ",IF(H205="","Thiếu ngày bắt đầu",IF(OR(I205&lt;=0,L205&lt;=0,O205&lt;=0),"Kiểm tra số lượng/nguyên giá/thời gian",IF(AND(G205&lt;&gt;"",H205&lt;G205),"Ngày KH trước ngày ghi tăng",IF(M205&gt;L205,"Giá trị thu hồi vượt nguyên giá",IF(IF(U205="",0,U205)&gt;N205,"Lũy kế đầu năm vượt GTKH","OK"))))))))</f>
        <v/>
      </c>
    </row>
    <row r="206" ht="20" customHeight="1" s="389">
      <c r="A206" s="325">
        <f>IF(B206="","",ROW()-6)</f>
        <v/>
      </c>
      <c r="B206" s="275" t="n"/>
      <c r="C206" s="275" t="n"/>
      <c r="D206" s="331" t="n"/>
      <c r="E206" s="331" t="n"/>
      <c r="F206" s="454" t="n"/>
      <c r="G206" s="454" t="n"/>
      <c r="H206" s="454" t="n"/>
      <c r="I206" s="455" t="n"/>
      <c r="J206" s="456" t="n"/>
      <c r="K206" s="456" t="n"/>
      <c r="L206" s="457">
        <f>IF(B206="","",IF(OR(I206="",J206=""),"",I206*J206+IF(K206="",0,K206)))</f>
        <v/>
      </c>
      <c r="M206" s="456" t="n"/>
      <c r="N206" s="457">
        <f>IF(L206="","",MAX(0,L206-IF(M206="",0,M206)))</f>
        <v/>
      </c>
      <c r="O206" s="455" t="n"/>
      <c r="P206" s="457">
        <f>IF(OR(N206="",O206&lt;=0),"",ROUND(N206/O206,0))</f>
        <v/>
      </c>
      <c r="Q206" s="458">
        <f>IF(OR(H206="",O206&lt;=0),"",EOMONTH(H206,O206-1))</f>
        <v/>
      </c>
      <c r="R206" s="331" t="n"/>
      <c r="S206" s="331" t="n"/>
      <c r="T206" s="331" t="n"/>
      <c r="U206" s="456" t="n"/>
      <c r="V206" s="457">
        <f>IF($AO206&lt;&gt;"OK",0,IF(AND(DATE('Thiết lập'!$B$4,1,1)&gt;=DATE(YEAR($H206),MONTH($H206),1),DATE('Thiết lập'!$B$4,1,1)&lt;EDATE(DATE(YEAR($H206),MONTH($H206),1),$O206)),MIN($P206,MAX(0,$N206-$U206-0)),0))</f>
        <v/>
      </c>
      <c r="W206" s="457">
        <f>IF($AO206&lt;&gt;"OK",0,IF(AND(DATE('Thiết lập'!$B$4,2,1)&gt;=DATE(YEAR($H206),MONTH($H206),1),DATE('Thiết lập'!$B$4,2,1)&lt;EDATE(DATE(YEAR($H206),MONTH($H206),1),$O206)),MIN($P206,MAX(0,$N206-$U206-SUM($V206:V206))),0))</f>
        <v/>
      </c>
      <c r="X206" s="457">
        <f>IF($AO206&lt;&gt;"OK",0,IF(AND(DATE('Thiết lập'!$B$4,3,1)&gt;=DATE(YEAR($H206),MONTH($H206),1),DATE('Thiết lập'!$B$4,3,1)&lt;EDATE(DATE(YEAR($H206),MONTH($H206),1),$O206)),MIN($P206,MAX(0,$N206-$U206-SUM($V206:W206))),0))</f>
        <v/>
      </c>
      <c r="Y206" s="457">
        <f>IF($AO206&lt;&gt;"OK",0,IF(AND(DATE('Thiết lập'!$B$4,4,1)&gt;=DATE(YEAR($H206),MONTH($H206),1),DATE('Thiết lập'!$B$4,4,1)&lt;EDATE(DATE(YEAR($H206),MONTH($H206),1),$O206)),MIN($P206,MAX(0,$N206-$U206-SUM($V206:X206))),0))</f>
        <v/>
      </c>
      <c r="Z206" s="457">
        <f>IF($AO206&lt;&gt;"OK",0,IF(AND(DATE('Thiết lập'!$B$4,5,1)&gt;=DATE(YEAR($H206),MONTH($H206),1),DATE('Thiết lập'!$B$4,5,1)&lt;EDATE(DATE(YEAR($H206),MONTH($H206),1),$O206)),MIN($P206,MAX(0,$N206-$U206-SUM($V206:Y206))),0))</f>
        <v/>
      </c>
      <c r="AA206" s="457">
        <f>IF($AO206&lt;&gt;"OK",0,IF(AND(DATE('Thiết lập'!$B$4,6,1)&gt;=DATE(YEAR($H206),MONTH($H206),1),DATE('Thiết lập'!$B$4,6,1)&lt;EDATE(DATE(YEAR($H206),MONTH($H206),1),$O206)),MIN($P206,MAX(0,$N206-$U206-SUM($V206:Z206))),0))</f>
        <v/>
      </c>
      <c r="AB206" s="457">
        <f>IF($AO206&lt;&gt;"OK",0,IF(AND(DATE('Thiết lập'!$B$4,7,1)&gt;=DATE(YEAR($H206),MONTH($H206),1),DATE('Thiết lập'!$B$4,7,1)&lt;EDATE(DATE(YEAR($H206),MONTH($H206),1),$O206)),MIN($P206,MAX(0,$N206-$U206-SUM($V206:AA206))),0))</f>
        <v/>
      </c>
      <c r="AC206" s="457">
        <f>IF($AO206&lt;&gt;"OK",0,IF(AND(DATE('Thiết lập'!$B$4,8,1)&gt;=DATE(YEAR($H206),MONTH($H206),1),DATE('Thiết lập'!$B$4,8,1)&lt;EDATE(DATE(YEAR($H206),MONTH($H206),1),$O206)),MIN($P206,MAX(0,$N206-$U206-SUM($V206:AB206))),0))</f>
        <v/>
      </c>
      <c r="AD206" s="457">
        <f>IF($AO206&lt;&gt;"OK",0,IF(AND(DATE('Thiết lập'!$B$4,9,1)&gt;=DATE(YEAR($H206),MONTH($H206),1),DATE('Thiết lập'!$B$4,9,1)&lt;EDATE(DATE(YEAR($H206),MONTH($H206),1),$O206)),MIN($P206,MAX(0,$N206-$U206-SUM($V206:AC206))),0))</f>
        <v/>
      </c>
      <c r="AE206" s="457">
        <f>IF($AO206&lt;&gt;"OK",0,IF(AND(DATE('Thiết lập'!$B$4,10,1)&gt;=DATE(YEAR($H206),MONTH($H206),1),DATE('Thiết lập'!$B$4,10,1)&lt;EDATE(DATE(YEAR($H206),MONTH($H206),1),$O206)),MIN($P206,MAX(0,$N206-$U206-SUM($V206:AD206))),0))</f>
        <v/>
      </c>
      <c r="AF206" s="457">
        <f>IF($AO206&lt;&gt;"OK",0,IF(AND(DATE('Thiết lập'!$B$4,11,1)&gt;=DATE(YEAR($H206),MONTH($H206),1),DATE('Thiết lập'!$B$4,11,1)&lt;EDATE(DATE(YEAR($H206),MONTH($H206),1),$O206)),MIN($P206,MAX(0,$N206-$U206-SUM($V206:AE206))),0))</f>
        <v/>
      </c>
      <c r="AG206" s="457">
        <f>IF($AO206&lt;&gt;"OK",0,IF(AND(DATE('Thiết lập'!$B$4,12,1)&gt;=DATE(YEAR($H206),MONTH($H206),1),DATE('Thiết lập'!$B$4,12,1)&lt;EDATE(DATE(YEAR($H206),MONTH($H206),1),$O206)),MIN($P206,MAX(0,$N206-$U206-SUM($V206:AF206))),0))</f>
        <v/>
      </c>
      <c r="AH206" s="457">
        <f>IF(B206="","",SUM(V206:AG206))</f>
        <v/>
      </c>
      <c r="AI206" s="457">
        <f>IF(B206="","",MIN(N206,IF(U206="",0,U206)+AH206))</f>
        <v/>
      </c>
      <c r="AJ206" s="457">
        <f>IF(B206="","",MAX(0,L206-AI206))</f>
        <v/>
      </c>
      <c r="AK206" s="337">
        <f>IF(B206="","",IF(H206&gt;'Thiết lập'!$B$5,"Chưa khấu hao",IF(AJ206&lt;=IF(M206="",0,M206),"Đã hết khấu hao","Đang khấu hao")))</f>
        <v/>
      </c>
      <c r="AL206" s="275" t="n"/>
      <c r="AM206" s="275" t="n"/>
      <c r="AN206" s="275" t="n"/>
      <c r="AO206" s="343">
        <f>IF(B206="","",IF(COUNTIF($B$7:$B$306,B206)&gt;1,"Trùng mã TSCĐ",IF(C206="","Thiếu tên TSCĐ",IF(H206="","Thiếu ngày bắt đầu",IF(OR(I206&lt;=0,L206&lt;=0,O206&lt;=0),"Kiểm tra số lượng/nguyên giá/thời gian",IF(AND(G206&lt;&gt;"",H206&lt;G206),"Ngày KH trước ngày ghi tăng",IF(M206&gt;L206,"Giá trị thu hồi vượt nguyên giá",IF(IF(U206="",0,U206)&gt;N206,"Lũy kế đầu năm vượt GTKH","OK"))))))))</f>
        <v/>
      </c>
    </row>
    <row r="207" ht="20" customHeight="1" s="389">
      <c r="A207" s="325">
        <f>IF(B207="","",ROW()-6)</f>
        <v/>
      </c>
      <c r="B207" s="275" t="n"/>
      <c r="C207" s="275" t="n"/>
      <c r="D207" s="331" t="n"/>
      <c r="E207" s="331" t="n"/>
      <c r="F207" s="454" t="n"/>
      <c r="G207" s="454" t="n"/>
      <c r="H207" s="454" t="n"/>
      <c r="I207" s="455" t="n"/>
      <c r="J207" s="456" t="n"/>
      <c r="K207" s="456" t="n"/>
      <c r="L207" s="457">
        <f>IF(B207="","",IF(OR(I207="",J207=""),"",I207*J207+IF(K207="",0,K207)))</f>
        <v/>
      </c>
      <c r="M207" s="456" t="n"/>
      <c r="N207" s="457">
        <f>IF(L207="","",MAX(0,L207-IF(M207="",0,M207)))</f>
        <v/>
      </c>
      <c r="O207" s="455" t="n"/>
      <c r="P207" s="457">
        <f>IF(OR(N207="",O207&lt;=0),"",ROUND(N207/O207,0))</f>
        <v/>
      </c>
      <c r="Q207" s="458">
        <f>IF(OR(H207="",O207&lt;=0),"",EOMONTH(H207,O207-1))</f>
        <v/>
      </c>
      <c r="R207" s="331" t="n"/>
      <c r="S207" s="331" t="n"/>
      <c r="T207" s="331" t="n"/>
      <c r="U207" s="456" t="n"/>
      <c r="V207" s="457">
        <f>IF($AO207&lt;&gt;"OK",0,IF(AND(DATE('Thiết lập'!$B$4,1,1)&gt;=DATE(YEAR($H207),MONTH($H207),1),DATE('Thiết lập'!$B$4,1,1)&lt;EDATE(DATE(YEAR($H207),MONTH($H207),1),$O207)),MIN($P207,MAX(0,$N207-$U207-0)),0))</f>
        <v/>
      </c>
      <c r="W207" s="457">
        <f>IF($AO207&lt;&gt;"OK",0,IF(AND(DATE('Thiết lập'!$B$4,2,1)&gt;=DATE(YEAR($H207),MONTH($H207),1),DATE('Thiết lập'!$B$4,2,1)&lt;EDATE(DATE(YEAR($H207),MONTH($H207),1),$O207)),MIN($P207,MAX(0,$N207-$U207-SUM($V207:V207))),0))</f>
        <v/>
      </c>
      <c r="X207" s="457">
        <f>IF($AO207&lt;&gt;"OK",0,IF(AND(DATE('Thiết lập'!$B$4,3,1)&gt;=DATE(YEAR($H207),MONTH($H207),1),DATE('Thiết lập'!$B$4,3,1)&lt;EDATE(DATE(YEAR($H207),MONTH($H207),1),$O207)),MIN($P207,MAX(0,$N207-$U207-SUM($V207:W207))),0))</f>
        <v/>
      </c>
      <c r="Y207" s="457">
        <f>IF($AO207&lt;&gt;"OK",0,IF(AND(DATE('Thiết lập'!$B$4,4,1)&gt;=DATE(YEAR($H207),MONTH($H207),1),DATE('Thiết lập'!$B$4,4,1)&lt;EDATE(DATE(YEAR($H207),MONTH($H207),1),$O207)),MIN($P207,MAX(0,$N207-$U207-SUM($V207:X207))),0))</f>
        <v/>
      </c>
      <c r="Z207" s="457">
        <f>IF($AO207&lt;&gt;"OK",0,IF(AND(DATE('Thiết lập'!$B$4,5,1)&gt;=DATE(YEAR($H207),MONTH($H207),1),DATE('Thiết lập'!$B$4,5,1)&lt;EDATE(DATE(YEAR($H207),MONTH($H207),1),$O207)),MIN($P207,MAX(0,$N207-$U207-SUM($V207:Y207))),0))</f>
        <v/>
      </c>
      <c r="AA207" s="457">
        <f>IF($AO207&lt;&gt;"OK",0,IF(AND(DATE('Thiết lập'!$B$4,6,1)&gt;=DATE(YEAR($H207),MONTH($H207),1),DATE('Thiết lập'!$B$4,6,1)&lt;EDATE(DATE(YEAR($H207),MONTH($H207),1),$O207)),MIN($P207,MAX(0,$N207-$U207-SUM($V207:Z207))),0))</f>
        <v/>
      </c>
      <c r="AB207" s="457">
        <f>IF($AO207&lt;&gt;"OK",0,IF(AND(DATE('Thiết lập'!$B$4,7,1)&gt;=DATE(YEAR($H207),MONTH($H207),1),DATE('Thiết lập'!$B$4,7,1)&lt;EDATE(DATE(YEAR($H207),MONTH($H207),1),$O207)),MIN($P207,MAX(0,$N207-$U207-SUM($V207:AA207))),0))</f>
        <v/>
      </c>
      <c r="AC207" s="457">
        <f>IF($AO207&lt;&gt;"OK",0,IF(AND(DATE('Thiết lập'!$B$4,8,1)&gt;=DATE(YEAR($H207),MONTH($H207),1),DATE('Thiết lập'!$B$4,8,1)&lt;EDATE(DATE(YEAR($H207),MONTH($H207),1),$O207)),MIN($P207,MAX(0,$N207-$U207-SUM($V207:AB207))),0))</f>
        <v/>
      </c>
      <c r="AD207" s="457">
        <f>IF($AO207&lt;&gt;"OK",0,IF(AND(DATE('Thiết lập'!$B$4,9,1)&gt;=DATE(YEAR($H207),MONTH($H207),1),DATE('Thiết lập'!$B$4,9,1)&lt;EDATE(DATE(YEAR($H207),MONTH($H207),1),$O207)),MIN($P207,MAX(0,$N207-$U207-SUM($V207:AC207))),0))</f>
        <v/>
      </c>
      <c r="AE207" s="457">
        <f>IF($AO207&lt;&gt;"OK",0,IF(AND(DATE('Thiết lập'!$B$4,10,1)&gt;=DATE(YEAR($H207),MONTH($H207),1),DATE('Thiết lập'!$B$4,10,1)&lt;EDATE(DATE(YEAR($H207),MONTH($H207),1),$O207)),MIN($P207,MAX(0,$N207-$U207-SUM($V207:AD207))),0))</f>
        <v/>
      </c>
      <c r="AF207" s="457">
        <f>IF($AO207&lt;&gt;"OK",0,IF(AND(DATE('Thiết lập'!$B$4,11,1)&gt;=DATE(YEAR($H207),MONTH($H207),1),DATE('Thiết lập'!$B$4,11,1)&lt;EDATE(DATE(YEAR($H207),MONTH($H207),1),$O207)),MIN($P207,MAX(0,$N207-$U207-SUM($V207:AE207))),0))</f>
        <v/>
      </c>
      <c r="AG207" s="457">
        <f>IF($AO207&lt;&gt;"OK",0,IF(AND(DATE('Thiết lập'!$B$4,12,1)&gt;=DATE(YEAR($H207),MONTH($H207),1),DATE('Thiết lập'!$B$4,12,1)&lt;EDATE(DATE(YEAR($H207),MONTH($H207),1),$O207)),MIN($P207,MAX(0,$N207-$U207-SUM($V207:AF207))),0))</f>
        <v/>
      </c>
      <c r="AH207" s="457">
        <f>IF(B207="","",SUM(V207:AG207))</f>
        <v/>
      </c>
      <c r="AI207" s="457">
        <f>IF(B207="","",MIN(N207,IF(U207="",0,U207)+AH207))</f>
        <v/>
      </c>
      <c r="AJ207" s="457">
        <f>IF(B207="","",MAX(0,L207-AI207))</f>
        <v/>
      </c>
      <c r="AK207" s="337">
        <f>IF(B207="","",IF(H207&gt;'Thiết lập'!$B$5,"Chưa khấu hao",IF(AJ207&lt;=IF(M207="",0,M207),"Đã hết khấu hao","Đang khấu hao")))</f>
        <v/>
      </c>
      <c r="AL207" s="275" t="n"/>
      <c r="AM207" s="275" t="n"/>
      <c r="AN207" s="275" t="n"/>
      <c r="AO207" s="343">
        <f>IF(B207="","",IF(COUNTIF($B$7:$B$306,B207)&gt;1,"Trùng mã TSCĐ",IF(C207="","Thiếu tên TSCĐ",IF(H207="","Thiếu ngày bắt đầu",IF(OR(I207&lt;=0,L207&lt;=0,O207&lt;=0),"Kiểm tra số lượng/nguyên giá/thời gian",IF(AND(G207&lt;&gt;"",H207&lt;G207),"Ngày KH trước ngày ghi tăng",IF(M207&gt;L207,"Giá trị thu hồi vượt nguyên giá",IF(IF(U207="",0,U207)&gt;N207,"Lũy kế đầu năm vượt GTKH","OK"))))))))</f>
        <v/>
      </c>
    </row>
    <row r="208" ht="20" customHeight="1" s="389">
      <c r="A208" s="325">
        <f>IF(B208="","",ROW()-6)</f>
        <v/>
      </c>
      <c r="B208" s="275" t="n"/>
      <c r="C208" s="275" t="n"/>
      <c r="D208" s="331" t="n"/>
      <c r="E208" s="331" t="n"/>
      <c r="F208" s="454" t="n"/>
      <c r="G208" s="454" t="n"/>
      <c r="H208" s="454" t="n"/>
      <c r="I208" s="455" t="n"/>
      <c r="J208" s="456" t="n"/>
      <c r="K208" s="456" t="n"/>
      <c r="L208" s="457">
        <f>IF(B208="","",IF(OR(I208="",J208=""),"",I208*J208+IF(K208="",0,K208)))</f>
        <v/>
      </c>
      <c r="M208" s="456" t="n"/>
      <c r="N208" s="457">
        <f>IF(L208="","",MAX(0,L208-IF(M208="",0,M208)))</f>
        <v/>
      </c>
      <c r="O208" s="455" t="n"/>
      <c r="P208" s="457">
        <f>IF(OR(N208="",O208&lt;=0),"",ROUND(N208/O208,0))</f>
        <v/>
      </c>
      <c r="Q208" s="458">
        <f>IF(OR(H208="",O208&lt;=0),"",EOMONTH(H208,O208-1))</f>
        <v/>
      </c>
      <c r="R208" s="331" t="n"/>
      <c r="S208" s="331" t="n"/>
      <c r="T208" s="331" t="n"/>
      <c r="U208" s="456" t="n"/>
      <c r="V208" s="457">
        <f>IF($AO208&lt;&gt;"OK",0,IF(AND(DATE('Thiết lập'!$B$4,1,1)&gt;=DATE(YEAR($H208),MONTH($H208),1),DATE('Thiết lập'!$B$4,1,1)&lt;EDATE(DATE(YEAR($H208),MONTH($H208),1),$O208)),MIN($P208,MAX(0,$N208-$U208-0)),0))</f>
        <v/>
      </c>
      <c r="W208" s="457">
        <f>IF($AO208&lt;&gt;"OK",0,IF(AND(DATE('Thiết lập'!$B$4,2,1)&gt;=DATE(YEAR($H208),MONTH($H208),1),DATE('Thiết lập'!$B$4,2,1)&lt;EDATE(DATE(YEAR($H208),MONTH($H208),1),$O208)),MIN($P208,MAX(0,$N208-$U208-SUM($V208:V208))),0))</f>
        <v/>
      </c>
      <c r="X208" s="457">
        <f>IF($AO208&lt;&gt;"OK",0,IF(AND(DATE('Thiết lập'!$B$4,3,1)&gt;=DATE(YEAR($H208),MONTH($H208),1),DATE('Thiết lập'!$B$4,3,1)&lt;EDATE(DATE(YEAR($H208),MONTH($H208),1),$O208)),MIN($P208,MAX(0,$N208-$U208-SUM($V208:W208))),0))</f>
        <v/>
      </c>
      <c r="Y208" s="457">
        <f>IF($AO208&lt;&gt;"OK",0,IF(AND(DATE('Thiết lập'!$B$4,4,1)&gt;=DATE(YEAR($H208),MONTH($H208),1),DATE('Thiết lập'!$B$4,4,1)&lt;EDATE(DATE(YEAR($H208),MONTH($H208),1),$O208)),MIN($P208,MAX(0,$N208-$U208-SUM($V208:X208))),0))</f>
        <v/>
      </c>
      <c r="Z208" s="457">
        <f>IF($AO208&lt;&gt;"OK",0,IF(AND(DATE('Thiết lập'!$B$4,5,1)&gt;=DATE(YEAR($H208),MONTH($H208),1),DATE('Thiết lập'!$B$4,5,1)&lt;EDATE(DATE(YEAR($H208),MONTH($H208),1),$O208)),MIN($P208,MAX(0,$N208-$U208-SUM($V208:Y208))),0))</f>
        <v/>
      </c>
      <c r="AA208" s="457">
        <f>IF($AO208&lt;&gt;"OK",0,IF(AND(DATE('Thiết lập'!$B$4,6,1)&gt;=DATE(YEAR($H208),MONTH($H208),1),DATE('Thiết lập'!$B$4,6,1)&lt;EDATE(DATE(YEAR($H208),MONTH($H208),1),$O208)),MIN($P208,MAX(0,$N208-$U208-SUM($V208:Z208))),0))</f>
        <v/>
      </c>
      <c r="AB208" s="457">
        <f>IF($AO208&lt;&gt;"OK",0,IF(AND(DATE('Thiết lập'!$B$4,7,1)&gt;=DATE(YEAR($H208),MONTH($H208),1),DATE('Thiết lập'!$B$4,7,1)&lt;EDATE(DATE(YEAR($H208),MONTH($H208),1),$O208)),MIN($P208,MAX(0,$N208-$U208-SUM($V208:AA208))),0))</f>
        <v/>
      </c>
      <c r="AC208" s="457">
        <f>IF($AO208&lt;&gt;"OK",0,IF(AND(DATE('Thiết lập'!$B$4,8,1)&gt;=DATE(YEAR($H208),MONTH($H208),1),DATE('Thiết lập'!$B$4,8,1)&lt;EDATE(DATE(YEAR($H208),MONTH($H208),1),$O208)),MIN($P208,MAX(0,$N208-$U208-SUM($V208:AB208))),0))</f>
        <v/>
      </c>
      <c r="AD208" s="457">
        <f>IF($AO208&lt;&gt;"OK",0,IF(AND(DATE('Thiết lập'!$B$4,9,1)&gt;=DATE(YEAR($H208),MONTH($H208),1),DATE('Thiết lập'!$B$4,9,1)&lt;EDATE(DATE(YEAR($H208),MONTH($H208),1),$O208)),MIN($P208,MAX(0,$N208-$U208-SUM($V208:AC208))),0))</f>
        <v/>
      </c>
      <c r="AE208" s="457">
        <f>IF($AO208&lt;&gt;"OK",0,IF(AND(DATE('Thiết lập'!$B$4,10,1)&gt;=DATE(YEAR($H208),MONTH($H208),1),DATE('Thiết lập'!$B$4,10,1)&lt;EDATE(DATE(YEAR($H208),MONTH($H208),1),$O208)),MIN($P208,MAX(0,$N208-$U208-SUM($V208:AD208))),0))</f>
        <v/>
      </c>
      <c r="AF208" s="457">
        <f>IF($AO208&lt;&gt;"OK",0,IF(AND(DATE('Thiết lập'!$B$4,11,1)&gt;=DATE(YEAR($H208),MONTH($H208),1),DATE('Thiết lập'!$B$4,11,1)&lt;EDATE(DATE(YEAR($H208),MONTH($H208),1),$O208)),MIN($P208,MAX(0,$N208-$U208-SUM($V208:AE208))),0))</f>
        <v/>
      </c>
      <c r="AG208" s="457">
        <f>IF($AO208&lt;&gt;"OK",0,IF(AND(DATE('Thiết lập'!$B$4,12,1)&gt;=DATE(YEAR($H208),MONTH($H208),1),DATE('Thiết lập'!$B$4,12,1)&lt;EDATE(DATE(YEAR($H208),MONTH($H208),1),$O208)),MIN($P208,MAX(0,$N208-$U208-SUM($V208:AF208))),0))</f>
        <v/>
      </c>
      <c r="AH208" s="457">
        <f>IF(B208="","",SUM(V208:AG208))</f>
        <v/>
      </c>
      <c r="AI208" s="457">
        <f>IF(B208="","",MIN(N208,IF(U208="",0,U208)+AH208))</f>
        <v/>
      </c>
      <c r="AJ208" s="457">
        <f>IF(B208="","",MAX(0,L208-AI208))</f>
        <v/>
      </c>
      <c r="AK208" s="337">
        <f>IF(B208="","",IF(H208&gt;'Thiết lập'!$B$5,"Chưa khấu hao",IF(AJ208&lt;=IF(M208="",0,M208),"Đã hết khấu hao","Đang khấu hao")))</f>
        <v/>
      </c>
      <c r="AL208" s="275" t="n"/>
      <c r="AM208" s="275" t="n"/>
      <c r="AN208" s="275" t="n"/>
      <c r="AO208" s="343">
        <f>IF(B208="","",IF(COUNTIF($B$7:$B$306,B208)&gt;1,"Trùng mã TSCĐ",IF(C208="","Thiếu tên TSCĐ",IF(H208="","Thiếu ngày bắt đầu",IF(OR(I208&lt;=0,L208&lt;=0,O208&lt;=0),"Kiểm tra số lượng/nguyên giá/thời gian",IF(AND(G208&lt;&gt;"",H208&lt;G208),"Ngày KH trước ngày ghi tăng",IF(M208&gt;L208,"Giá trị thu hồi vượt nguyên giá",IF(IF(U208="",0,U208)&gt;N208,"Lũy kế đầu năm vượt GTKH","OK"))))))))</f>
        <v/>
      </c>
    </row>
    <row r="209" ht="20" customHeight="1" s="389">
      <c r="A209" s="325">
        <f>IF(B209="","",ROW()-6)</f>
        <v/>
      </c>
      <c r="B209" s="275" t="n"/>
      <c r="C209" s="275" t="n"/>
      <c r="D209" s="331" t="n"/>
      <c r="E209" s="331" t="n"/>
      <c r="F209" s="454" t="n"/>
      <c r="G209" s="454" t="n"/>
      <c r="H209" s="454" t="n"/>
      <c r="I209" s="455" t="n"/>
      <c r="J209" s="456" t="n"/>
      <c r="K209" s="456" t="n"/>
      <c r="L209" s="457">
        <f>IF(B209="","",IF(OR(I209="",J209=""),"",I209*J209+IF(K209="",0,K209)))</f>
        <v/>
      </c>
      <c r="M209" s="456" t="n"/>
      <c r="N209" s="457">
        <f>IF(L209="","",MAX(0,L209-IF(M209="",0,M209)))</f>
        <v/>
      </c>
      <c r="O209" s="455" t="n"/>
      <c r="P209" s="457">
        <f>IF(OR(N209="",O209&lt;=0),"",ROUND(N209/O209,0))</f>
        <v/>
      </c>
      <c r="Q209" s="458">
        <f>IF(OR(H209="",O209&lt;=0),"",EOMONTH(H209,O209-1))</f>
        <v/>
      </c>
      <c r="R209" s="331" t="n"/>
      <c r="S209" s="331" t="n"/>
      <c r="T209" s="331" t="n"/>
      <c r="U209" s="456" t="n"/>
      <c r="V209" s="457">
        <f>IF($AO209&lt;&gt;"OK",0,IF(AND(DATE('Thiết lập'!$B$4,1,1)&gt;=DATE(YEAR($H209),MONTH($H209),1),DATE('Thiết lập'!$B$4,1,1)&lt;EDATE(DATE(YEAR($H209),MONTH($H209),1),$O209)),MIN($P209,MAX(0,$N209-$U209-0)),0))</f>
        <v/>
      </c>
      <c r="W209" s="457">
        <f>IF($AO209&lt;&gt;"OK",0,IF(AND(DATE('Thiết lập'!$B$4,2,1)&gt;=DATE(YEAR($H209),MONTH($H209),1),DATE('Thiết lập'!$B$4,2,1)&lt;EDATE(DATE(YEAR($H209),MONTH($H209),1),$O209)),MIN($P209,MAX(0,$N209-$U209-SUM($V209:V209))),0))</f>
        <v/>
      </c>
      <c r="X209" s="457">
        <f>IF($AO209&lt;&gt;"OK",0,IF(AND(DATE('Thiết lập'!$B$4,3,1)&gt;=DATE(YEAR($H209),MONTH($H209),1),DATE('Thiết lập'!$B$4,3,1)&lt;EDATE(DATE(YEAR($H209),MONTH($H209),1),$O209)),MIN($P209,MAX(0,$N209-$U209-SUM($V209:W209))),0))</f>
        <v/>
      </c>
      <c r="Y209" s="457">
        <f>IF($AO209&lt;&gt;"OK",0,IF(AND(DATE('Thiết lập'!$B$4,4,1)&gt;=DATE(YEAR($H209),MONTH($H209),1),DATE('Thiết lập'!$B$4,4,1)&lt;EDATE(DATE(YEAR($H209),MONTH($H209),1),$O209)),MIN($P209,MAX(0,$N209-$U209-SUM($V209:X209))),0))</f>
        <v/>
      </c>
      <c r="Z209" s="457">
        <f>IF($AO209&lt;&gt;"OK",0,IF(AND(DATE('Thiết lập'!$B$4,5,1)&gt;=DATE(YEAR($H209),MONTH($H209),1),DATE('Thiết lập'!$B$4,5,1)&lt;EDATE(DATE(YEAR($H209),MONTH($H209),1),$O209)),MIN($P209,MAX(0,$N209-$U209-SUM($V209:Y209))),0))</f>
        <v/>
      </c>
      <c r="AA209" s="457">
        <f>IF($AO209&lt;&gt;"OK",0,IF(AND(DATE('Thiết lập'!$B$4,6,1)&gt;=DATE(YEAR($H209),MONTH($H209),1),DATE('Thiết lập'!$B$4,6,1)&lt;EDATE(DATE(YEAR($H209),MONTH($H209),1),$O209)),MIN($P209,MAX(0,$N209-$U209-SUM($V209:Z209))),0))</f>
        <v/>
      </c>
      <c r="AB209" s="457">
        <f>IF($AO209&lt;&gt;"OK",0,IF(AND(DATE('Thiết lập'!$B$4,7,1)&gt;=DATE(YEAR($H209),MONTH($H209),1),DATE('Thiết lập'!$B$4,7,1)&lt;EDATE(DATE(YEAR($H209),MONTH($H209),1),$O209)),MIN($P209,MAX(0,$N209-$U209-SUM($V209:AA209))),0))</f>
        <v/>
      </c>
      <c r="AC209" s="457">
        <f>IF($AO209&lt;&gt;"OK",0,IF(AND(DATE('Thiết lập'!$B$4,8,1)&gt;=DATE(YEAR($H209),MONTH($H209),1),DATE('Thiết lập'!$B$4,8,1)&lt;EDATE(DATE(YEAR($H209),MONTH($H209),1),$O209)),MIN($P209,MAX(0,$N209-$U209-SUM($V209:AB209))),0))</f>
        <v/>
      </c>
      <c r="AD209" s="457">
        <f>IF($AO209&lt;&gt;"OK",0,IF(AND(DATE('Thiết lập'!$B$4,9,1)&gt;=DATE(YEAR($H209),MONTH($H209),1),DATE('Thiết lập'!$B$4,9,1)&lt;EDATE(DATE(YEAR($H209),MONTH($H209),1),$O209)),MIN($P209,MAX(0,$N209-$U209-SUM($V209:AC209))),0))</f>
        <v/>
      </c>
      <c r="AE209" s="457">
        <f>IF($AO209&lt;&gt;"OK",0,IF(AND(DATE('Thiết lập'!$B$4,10,1)&gt;=DATE(YEAR($H209),MONTH($H209),1),DATE('Thiết lập'!$B$4,10,1)&lt;EDATE(DATE(YEAR($H209),MONTH($H209),1),$O209)),MIN($P209,MAX(0,$N209-$U209-SUM($V209:AD209))),0))</f>
        <v/>
      </c>
      <c r="AF209" s="457">
        <f>IF($AO209&lt;&gt;"OK",0,IF(AND(DATE('Thiết lập'!$B$4,11,1)&gt;=DATE(YEAR($H209),MONTH($H209),1),DATE('Thiết lập'!$B$4,11,1)&lt;EDATE(DATE(YEAR($H209),MONTH($H209),1),$O209)),MIN($P209,MAX(0,$N209-$U209-SUM($V209:AE209))),0))</f>
        <v/>
      </c>
      <c r="AG209" s="457">
        <f>IF($AO209&lt;&gt;"OK",0,IF(AND(DATE('Thiết lập'!$B$4,12,1)&gt;=DATE(YEAR($H209),MONTH($H209),1),DATE('Thiết lập'!$B$4,12,1)&lt;EDATE(DATE(YEAR($H209),MONTH($H209),1),$O209)),MIN($P209,MAX(0,$N209-$U209-SUM($V209:AF209))),0))</f>
        <v/>
      </c>
      <c r="AH209" s="457">
        <f>IF(B209="","",SUM(V209:AG209))</f>
        <v/>
      </c>
      <c r="AI209" s="457">
        <f>IF(B209="","",MIN(N209,IF(U209="",0,U209)+AH209))</f>
        <v/>
      </c>
      <c r="AJ209" s="457">
        <f>IF(B209="","",MAX(0,L209-AI209))</f>
        <v/>
      </c>
      <c r="AK209" s="337">
        <f>IF(B209="","",IF(H209&gt;'Thiết lập'!$B$5,"Chưa khấu hao",IF(AJ209&lt;=IF(M209="",0,M209),"Đã hết khấu hao","Đang khấu hao")))</f>
        <v/>
      </c>
      <c r="AL209" s="275" t="n"/>
      <c r="AM209" s="275" t="n"/>
      <c r="AN209" s="275" t="n"/>
      <c r="AO209" s="343">
        <f>IF(B209="","",IF(COUNTIF($B$7:$B$306,B209)&gt;1,"Trùng mã TSCĐ",IF(C209="","Thiếu tên TSCĐ",IF(H209="","Thiếu ngày bắt đầu",IF(OR(I209&lt;=0,L209&lt;=0,O209&lt;=0),"Kiểm tra số lượng/nguyên giá/thời gian",IF(AND(G209&lt;&gt;"",H209&lt;G209),"Ngày KH trước ngày ghi tăng",IF(M209&gt;L209,"Giá trị thu hồi vượt nguyên giá",IF(IF(U209="",0,U209)&gt;N209,"Lũy kế đầu năm vượt GTKH","OK"))))))))</f>
        <v/>
      </c>
    </row>
    <row r="210" ht="20" customHeight="1" s="389">
      <c r="A210" s="325">
        <f>IF(B210="","",ROW()-6)</f>
        <v/>
      </c>
      <c r="B210" s="275" t="n"/>
      <c r="C210" s="275" t="n"/>
      <c r="D210" s="331" t="n"/>
      <c r="E210" s="331" t="n"/>
      <c r="F210" s="454" t="n"/>
      <c r="G210" s="454" t="n"/>
      <c r="H210" s="454" t="n"/>
      <c r="I210" s="455" t="n"/>
      <c r="J210" s="456" t="n"/>
      <c r="K210" s="456" t="n"/>
      <c r="L210" s="457">
        <f>IF(B210="","",IF(OR(I210="",J210=""),"",I210*J210+IF(K210="",0,K210)))</f>
        <v/>
      </c>
      <c r="M210" s="456" t="n"/>
      <c r="N210" s="457">
        <f>IF(L210="","",MAX(0,L210-IF(M210="",0,M210)))</f>
        <v/>
      </c>
      <c r="O210" s="455" t="n"/>
      <c r="P210" s="457">
        <f>IF(OR(N210="",O210&lt;=0),"",ROUND(N210/O210,0))</f>
        <v/>
      </c>
      <c r="Q210" s="458">
        <f>IF(OR(H210="",O210&lt;=0),"",EOMONTH(H210,O210-1))</f>
        <v/>
      </c>
      <c r="R210" s="331" t="n"/>
      <c r="S210" s="331" t="n"/>
      <c r="T210" s="331" t="n"/>
      <c r="U210" s="456" t="n"/>
      <c r="V210" s="457">
        <f>IF($AO210&lt;&gt;"OK",0,IF(AND(DATE('Thiết lập'!$B$4,1,1)&gt;=DATE(YEAR($H210),MONTH($H210),1),DATE('Thiết lập'!$B$4,1,1)&lt;EDATE(DATE(YEAR($H210),MONTH($H210),1),$O210)),MIN($P210,MAX(0,$N210-$U210-0)),0))</f>
        <v/>
      </c>
      <c r="W210" s="457">
        <f>IF($AO210&lt;&gt;"OK",0,IF(AND(DATE('Thiết lập'!$B$4,2,1)&gt;=DATE(YEAR($H210),MONTH($H210),1),DATE('Thiết lập'!$B$4,2,1)&lt;EDATE(DATE(YEAR($H210),MONTH($H210),1),$O210)),MIN($P210,MAX(0,$N210-$U210-SUM($V210:V210))),0))</f>
        <v/>
      </c>
      <c r="X210" s="457">
        <f>IF($AO210&lt;&gt;"OK",0,IF(AND(DATE('Thiết lập'!$B$4,3,1)&gt;=DATE(YEAR($H210),MONTH($H210),1),DATE('Thiết lập'!$B$4,3,1)&lt;EDATE(DATE(YEAR($H210),MONTH($H210),1),$O210)),MIN($P210,MAX(0,$N210-$U210-SUM($V210:W210))),0))</f>
        <v/>
      </c>
      <c r="Y210" s="457">
        <f>IF($AO210&lt;&gt;"OK",0,IF(AND(DATE('Thiết lập'!$B$4,4,1)&gt;=DATE(YEAR($H210),MONTH($H210),1),DATE('Thiết lập'!$B$4,4,1)&lt;EDATE(DATE(YEAR($H210),MONTH($H210),1),$O210)),MIN($P210,MAX(0,$N210-$U210-SUM($V210:X210))),0))</f>
        <v/>
      </c>
      <c r="Z210" s="457">
        <f>IF($AO210&lt;&gt;"OK",0,IF(AND(DATE('Thiết lập'!$B$4,5,1)&gt;=DATE(YEAR($H210),MONTH($H210),1),DATE('Thiết lập'!$B$4,5,1)&lt;EDATE(DATE(YEAR($H210),MONTH($H210),1),$O210)),MIN($P210,MAX(0,$N210-$U210-SUM($V210:Y210))),0))</f>
        <v/>
      </c>
      <c r="AA210" s="457">
        <f>IF($AO210&lt;&gt;"OK",0,IF(AND(DATE('Thiết lập'!$B$4,6,1)&gt;=DATE(YEAR($H210),MONTH($H210),1),DATE('Thiết lập'!$B$4,6,1)&lt;EDATE(DATE(YEAR($H210),MONTH($H210),1),$O210)),MIN($P210,MAX(0,$N210-$U210-SUM($V210:Z210))),0))</f>
        <v/>
      </c>
      <c r="AB210" s="457">
        <f>IF($AO210&lt;&gt;"OK",0,IF(AND(DATE('Thiết lập'!$B$4,7,1)&gt;=DATE(YEAR($H210),MONTH($H210),1),DATE('Thiết lập'!$B$4,7,1)&lt;EDATE(DATE(YEAR($H210),MONTH($H210),1),$O210)),MIN($P210,MAX(0,$N210-$U210-SUM($V210:AA210))),0))</f>
        <v/>
      </c>
      <c r="AC210" s="457">
        <f>IF($AO210&lt;&gt;"OK",0,IF(AND(DATE('Thiết lập'!$B$4,8,1)&gt;=DATE(YEAR($H210),MONTH($H210),1),DATE('Thiết lập'!$B$4,8,1)&lt;EDATE(DATE(YEAR($H210),MONTH($H210),1),$O210)),MIN($P210,MAX(0,$N210-$U210-SUM($V210:AB210))),0))</f>
        <v/>
      </c>
      <c r="AD210" s="457">
        <f>IF($AO210&lt;&gt;"OK",0,IF(AND(DATE('Thiết lập'!$B$4,9,1)&gt;=DATE(YEAR($H210),MONTH($H210),1),DATE('Thiết lập'!$B$4,9,1)&lt;EDATE(DATE(YEAR($H210),MONTH($H210),1),$O210)),MIN($P210,MAX(0,$N210-$U210-SUM($V210:AC210))),0))</f>
        <v/>
      </c>
      <c r="AE210" s="457">
        <f>IF($AO210&lt;&gt;"OK",0,IF(AND(DATE('Thiết lập'!$B$4,10,1)&gt;=DATE(YEAR($H210),MONTH($H210),1),DATE('Thiết lập'!$B$4,10,1)&lt;EDATE(DATE(YEAR($H210),MONTH($H210),1),$O210)),MIN($P210,MAX(0,$N210-$U210-SUM($V210:AD210))),0))</f>
        <v/>
      </c>
      <c r="AF210" s="457">
        <f>IF($AO210&lt;&gt;"OK",0,IF(AND(DATE('Thiết lập'!$B$4,11,1)&gt;=DATE(YEAR($H210),MONTH($H210),1),DATE('Thiết lập'!$B$4,11,1)&lt;EDATE(DATE(YEAR($H210),MONTH($H210),1),$O210)),MIN($P210,MAX(0,$N210-$U210-SUM($V210:AE210))),0))</f>
        <v/>
      </c>
      <c r="AG210" s="457">
        <f>IF($AO210&lt;&gt;"OK",0,IF(AND(DATE('Thiết lập'!$B$4,12,1)&gt;=DATE(YEAR($H210),MONTH($H210),1),DATE('Thiết lập'!$B$4,12,1)&lt;EDATE(DATE(YEAR($H210),MONTH($H210),1),$O210)),MIN($P210,MAX(0,$N210-$U210-SUM($V210:AF210))),0))</f>
        <v/>
      </c>
      <c r="AH210" s="457">
        <f>IF(B210="","",SUM(V210:AG210))</f>
        <v/>
      </c>
      <c r="AI210" s="457">
        <f>IF(B210="","",MIN(N210,IF(U210="",0,U210)+AH210))</f>
        <v/>
      </c>
      <c r="AJ210" s="457">
        <f>IF(B210="","",MAX(0,L210-AI210))</f>
        <v/>
      </c>
      <c r="AK210" s="337">
        <f>IF(B210="","",IF(H210&gt;'Thiết lập'!$B$5,"Chưa khấu hao",IF(AJ210&lt;=IF(M210="",0,M210),"Đã hết khấu hao","Đang khấu hao")))</f>
        <v/>
      </c>
      <c r="AL210" s="275" t="n"/>
      <c r="AM210" s="275" t="n"/>
      <c r="AN210" s="275" t="n"/>
      <c r="AO210" s="343">
        <f>IF(B210="","",IF(COUNTIF($B$7:$B$306,B210)&gt;1,"Trùng mã TSCĐ",IF(C210="","Thiếu tên TSCĐ",IF(H210="","Thiếu ngày bắt đầu",IF(OR(I210&lt;=0,L210&lt;=0,O210&lt;=0),"Kiểm tra số lượng/nguyên giá/thời gian",IF(AND(G210&lt;&gt;"",H210&lt;G210),"Ngày KH trước ngày ghi tăng",IF(M210&gt;L210,"Giá trị thu hồi vượt nguyên giá",IF(IF(U210="",0,U210)&gt;N210,"Lũy kế đầu năm vượt GTKH","OK"))))))))</f>
        <v/>
      </c>
    </row>
    <row r="211" ht="20" customHeight="1" s="389">
      <c r="A211" s="325">
        <f>IF(B211="","",ROW()-6)</f>
        <v/>
      </c>
      <c r="B211" s="275" t="n"/>
      <c r="C211" s="275" t="n"/>
      <c r="D211" s="331" t="n"/>
      <c r="E211" s="331" t="n"/>
      <c r="F211" s="454" t="n"/>
      <c r="G211" s="454" t="n"/>
      <c r="H211" s="454" t="n"/>
      <c r="I211" s="455" t="n"/>
      <c r="J211" s="456" t="n"/>
      <c r="K211" s="456" t="n"/>
      <c r="L211" s="457">
        <f>IF(B211="","",IF(OR(I211="",J211=""),"",I211*J211+IF(K211="",0,K211)))</f>
        <v/>
      </c>
      <c r="M211" s="456" t="n"/>
      <c r="N211" s="457">
        <f>IF(L211="","",MAX(0,L211-IF(M211="",0,M211)))</f>
        <v/>
      </c>
      <c r="O211" s="455" t="n"/>
      <c r="P211" s="457">
        <f>IF(OR(N211="",O211&lt;=0),"",ROUND(N211/O211,0))</f>
        <v/>
      </c>
      <c r="Q211" s="458">
        <f>IF(OR(H211="",O211&lt;=0),"",EOMONTH(H211,O211-1))</f>
        <v/>
      </c>
      <c r="R211" s="331" t="n"/>
      <c r="S211" s="331" t="n"/>
      <c r="T211" s="331" t="n"/>
      <c r="U211" s="456" t="n"/>
      <c r="V211" s="457">
        <f>IF($AO211&lt;&gt;"OK",0,IF(AND(DATE('Thiết lập'!$B$4,1,1)&gt;=DATE(YEAR($H211),MONTH($H211),1),DATE('Thiết lập'!$B$4,1,1)&lt;EDATE(DATE(YEAR($H211),MONTH($H211),1),$O211)),MIN($P211,MAX(0,$N211-$U211-0)),0))</f>
        <v/>
      </c>
      <c r="W211" s="457">
        <f>IF($AO211&lt;&gt;"OK",0,IF(AND(DATE('Thiết lập'!$B$4,2,1)&gt;=DATE(YEAR($H211),MONTH($H211),1),DATE('Thiết lập'!$B$4,2,1)&lt;EDATE(DATE(YEAR($H211),MONTH($H211),1),$O211)),MIN($P211,MAX(0,$N211-$U211-SUM($V211:V211))),0))</f>
        <v/>
      </c>
      <c r="X211" s="457">
        <f>IF($AO211&lt;&gt;"OK",0,IF(AND(DATE('Thiết lập'!$B$4,3,1)&gt;=DATE(YEAR($H211),MONTH($H211),1),DATE('Thiết lập'!$B$4,3,1)&lt;EDATE(DATE(YEAR($H211),MONTH($H211),1),$O211)),MIN($P211,MAX(0,$N211-$U211-SUM($V211:W211))),0))</f>
        <v/>
      </c>
      <c r="Y211" s="457">
        <f>IF($AO211&lt;&gt;"OK",0,IF(AND(DATE('Thiết lập'!$B$4,4,1)&gt;=DATE(YEAR($H211),MONTH($H211),1),DATE('Thiết lập'!$B$4,4,1)&lt;EDATE(DATE(YEAR($H211),MONTH($H211),1),$O211)),MIN($P211,MAX(0,$N211-$U211-SUM($V211:X211))),0))</f>
        <v/>
      </c>
      <c r="Z211" s="457">
        <f>IF($AO211&lt;&gt;"OK",0,IF(AND(DATE('Thiết lập'!$B$4,5,1)&gt;=DATE(YEAR($H211),MONTH($H211),1),DATE('Thiết lập'!$B$4,5,1)&lt;EDATE(DATE(YEAR($H211),MONTH($H211),1),$O211)),MIN($P211,MAX(0,$N211-$U211-SUM($V211:Y211))),0))</f>
        <v/>
      </c>
      <c r="AA211" s="457">
        <f>IF($AO211&lt;&gt;"OK",0,IF(AND(DATE('Thiết lập'!$B$4,6,1)&gt;=DATE(YEAR($H211),MONTH($H211),1),DATE('Thiết lập'!$B$4,6,1)&lt;EDATE(DATE(YEAR($H211),MONTH($H211),1),$O211)),MIN($P211,MAX(0,$N211-$U211-SUM($V211:Z211))),0))</f>
        <v/>
      </c>
      <c r="AB211" s="457">
        <f>IF($AO211&lt;&gt;"OK",0,IF(AND(DATE('Thiết lập'!$B$4,7,1)&gt;=DATE(YEAR($H211),MONTH($H211),1),DATE('Thiết lập'!$B$4,7,1)&lt;EDATE(DATE(YEAR($H211),MONTH($H211),1),$O211)),MIN($P211,MAX(0,$N211-$U211-SUM($V211:AA211))),0))</f>
        <v/>
      </c>
      <c r="AC211" s="457">
        <f>IF($AO211&lt;&gt;"OK",0,IF(AND(DATE('Thiết lập'!$B$4,8,1)&gt;=DATE(YEAR($H211),MONTH($H211),1),DATE('Thiết lập'!$B$4,8,1)&lt;EDATE(DATE(YEAR($H211),MONTH($H211),1),$O211)),MIN($P211,MAX(0,$N211-$U211-SUM($V211:AB211))),0))</f>
        <v/>
      </c>
      <c r="AD211" s="457">
        <f>IF($AO211&lt;&gt;"OK",0,IF(AND(DATE('Thiết lập'!$B$4,9,1)&gt;=DATE(YEAR($H211),MONTH($H211),1),DATE('Thiết lập'!$B$4,9,1)&lt;EDATE(DATE(YEAR($H211),MONTH($H211),1),$O211)),MIN($P211,MAX(0,$N211-$U211-SUM($V211:AC211))),0))</f>
        <v/>
      </c>
      <c r="AE211" s="457">
        <f>IF($AO211&lt;&gt;"OK",0,IF(AND(DATE('Thiết lập'!$B$4,10,1)&gt;=DATE(YEAR($H211),MONTH($H211),1),DATE('Thiết lập'!$B$4,10,1)&lt;EDATE(DATE(YEAR($H211),MONTH($H211),1),$O211)),MIN($P211,MAX(0,$N211-$U211-SUM($V211:AD211))),0))</f>
        <v/>
      </c>
      <c r="AF211" s="457">
        <f>IF($AO211&lt;&gt;"OK",0,IF(AND(DATE('Thiết lập'!$B$4,11,1)&gt;=DATE(YEAR($H211),MONTH($H211),1),DATE('Thiết lập'!$B$4,11,1)&lt;EDATE(DATE(YEAR($H211),MONTH($H211),1),$O211)),MIN($P211,MAX(0,$N211-$U211-SUM($V211:AE211))),0))</f>
        <v/>
      </c>
      <c r="AG211" s="457">
        <f>IF($AO211&lt;&gt;"OK",0,IF(AND(DATE('Thiết lập'!$B$4,12,1)&gt;=DATE(YEAR($H211),MONTH($H211),1),DATE('Thiết lập'!$B$4,12,1)&lt;EDATE(DATE(YEAR($H211),MONTH($H211),1),$O211)),MIN($P211,MAX(0,$N211-$U211-SUM($V211:AF211))),0))</f>
        <v/>
      </c>
      <c r="AH211" s="457">
        <f>IF(B211="","",SUM(V211:AG211))</f>
        <v/>
      </c>
      <c r="AI211" s="457">
        <f>IF(B211="","",MIN(N211,IF(U211="",0,U211)+AH211))</f>
        <v/>
      </c>
      <c r="AJ211" s="457">
        <f>IF(B211="","",MAX(0,L211-AI211))</f>
        <v/>
      </c>
      <c r="AK211" s="337">
        <f>IF(B211="","",IF(H211&gt;'Thiết lập'!$B$5,"Chưa khấu hao",IF(AJ211&lt;=IF(M211="",0,M211),"Đã hết khấu hao","Đang khấu hao")))</f>
        <v/>
      </c>
      <c r="AL211" s="275" t="n"/>
      <c r="AM211" s="275" t="n"/>
      <c r="AN211" s="275" t="n"/>
      <c r="AO211" s="343">
        <f>IF(B211="","",IF(COUNTIF($B$7:$B$306,B211)&gt;1,"Trùng mã TSCĐ",IF(C211="","Thiếu tên TSCĐ",IF(H211="","Thiếu ngày bắt đầu",IF(OR(I211&lt;=0,L211&lt;=0,O211&lt;=0),"Kiểm tra số lượng/nguyên giá/thời gian",IF(AND(G211&lt;&gt;"",H211&lt;G211),"Ngày KH trước ngày ghi tăng",IF(M211&gt;L211,"Giá trị thu hồi vượt nguyên giá",IF(IF(U211="",0,U211)&gt;N211,"Lũy kế đầu năm vượt GTKH","OK"))))))))</f>
        <v/>
      </c>
    </row>
    <row r="212" ht="20" customHeight="1" s="389">
      <c r="A212" s="325">
        <f>IF(B212="","",ROW()-6)</f>
        <v/>
      </c>
      <c r="B212" s="275" t="n"/>
      <c r="C212" s="275" t="n"/>
      <c r="D212" s="331" t="n"/>
      <c r="E212" s="331" t="n"/>
      <c r="F212" s="454" t="n"/>
      <c r="G212" s="454" t="n"/>
      <c r="H212" s="454" t="n"/>
      <c r="I212" s="455" t="n"/>
      <c r="J212" s="456" t="n"/>
      <c r="K212" s="456" t="n"/>
      <c r="L212" s="457">
        <f>IF(B212="","",IF(OR(I212="",J212=""),"",I212*J212+IF(K212="",0,K212)))</f>
        <v/>
      </c>
      <c r="M212" s="456" t="n"/>
      <c r="N212" s="457">
        <f>IF(L212="","",MAX(0,L212-IF(M212="",0,M212)))</f>
        <v/>
      </c>
      <c r="O212" s="455" t="n"/>
      <c r="P212" s="457">
        <f>IF(OR(N212="",O212&lt;=0),"",ROUND(N212/O212,0))</f>
        <v/>
      </c>
      <c r="Q212" s="458">
        <f>IF(OR(H212="",O212&lt;=0),"",EOMONTH(H212,O212-1))</f>
        <v/>
      </c>
      <c r="R212" s="331" t="n"/>
      <c r="S212" s="331" t="n"/>
      <c r="T212" s="331" t="n"/>
      <c r="U212" s="456" t="n"/>
      <c r="V212" s="457">
        <f>IF($AO212&lt;&gt;"OK",0,IF(AND(DATE('Thiết lập'!$B$4,1,1)&gt;=DATE(YEAR($H212),MONTH($H212),1),DATE('Thiết lập'!$B$4,1,1)&lt;EDATE(DATE(YEAR($H212),MONTH($H212),1),$O212)),MIN($P212,MAX(0,$N212-$U212-0)),0))</f>
        <v/>
      </c>
      <c r="W212" s="457">
        <f>IF($AO212&lt;&gt;"OK",0,IF(AND(DATE('Thiết lập'!$B$4,2,1)&gt;=DATE(YEAR($H212),MONTH($H212),1),DATE('Thiết lập'!$B$4,2,1)&lt;EDATE(DATE(YEAR($H212),MONTH($H212),1),$O212)),MIN($P212,MAX(0,$N212-$U212-SUM($V212:V212))),0))</f>
        <v/>
      </c>
      <c r="X212" s="457">
        <f>IF($AO212&lt;&gt;"OK",0,IF(AND(DATE('Thiết lập'!$B$4,3,1)&gt;=DATE(YEAR($H212),MONTH($H212),1),DATE('Thiết lập'!$B$4,3,1)&lt;EDATE(DATE(YEAR($H212),MONTH($H212),1),$O212)),MIN($P212,MAX(0,$N212-$U212-SUM($V212:W212))),0))</f>
        <v/>
      </c>
      <c r="Y212" s="457">
        <f>IF($AO212&lt;&gt;"OK",0,IF(AND(DATE('Thiết lập'!$B$4,4,1)&gt;=DATE(YEAR($H212),MONTH($H212),1),DATE('Thiết lập'!$B$4,4,1)&lt;EDATE(DATE(YEAR($H212),MONTH($H212),1),$O212)),MIN($P212,MAX(0,$N212-$U212-SUM($V212:X212))),0))</f>
        <v/>
      </c>
      <c r="Z212" s="457">
        <f>IF($AO212&lt;&gt;"OK",0,IF(AND(DATE('Thiết lập'!$B$4,5,1)&gt;=DATE(YEAR($H212),MONTH($H212),1),DATE('Thiết lập'!$B$4,5,1)&lt;EDATE(DATE(YEAR($H212),MONTH($H212),1),$O212)),MIN($P212,MAX(0,$N212-$U212-SUM($V212:Y212))),0))</f>
        <v/>
      </c>
      <c r="AA212" s="457">
        <f>IF($AO212&lt;&gt;"OK",0,IF(AND(DATE('Thiết lập'!$B$4,6,1)&gt;=DATE(YEAR($H212),MONTH($H212),1),DATE('Thiết lập'!$B$4,6,1)&lt;EDATE(DATE(YEAR($H212),MONTH($H212),1),$O212)),MIN($P212,MAX(0,$N212-$U212-SUM($V212:Z212))),0))</f>
        <v/>
      </c>
      <c r="AB212" s="457">
        <f>IF($AO212&lt;&gt;"OK",0,IF(AND(DATE('Thiết lập'!$B$4,7,1)&gt;=DATE(YEAR($H212),MONTH($H212),1),DATE('Thiết lập'!$B$4,7,1)&lt;EDATE(DATE(YEAR($H212),MONTH($H212),1),$O212)),MIN($P212,MAX(0,$N212-$U212-SUM($V212:AA212))),0))</f>
        <v/>
      </c>
      <c r="AC212" s="457">
        <f>IF($AO212&lt;&gt;"OK",0,IF(AND(DATE('Thiết lập'!$B$4,8,1)&gt;=DATE(YEAR($H212),MONTH($H212),1),DATE('Thiết lập'!$B$4,8,1)&lt;EDATE(DATE(YEAR($H212),MONTH($H212),1),$O212)),MIN($P212,MAX(0,$N212-$U212-SUM($V212:AB212))),0))</f>
        <v/>
      </c>
      <c r="AD212" s="457">
        <f>IF($AO212&lt;&gt;"OK",0,IF(AND(DATE('Thiết lập'!$B$4,9,1)&gt;=DATE(YEAR($H212),MONTH($H212),1),DATE('Thiết lập'!$B$4,9,1)&lt;EDATE(DATE(YEAR($H212),MONTH($H212),1),$O212)),MIN($P212,MAX(0,$N212-$U212-SUM($V212:AC212))),0))</f>
        <v/>
      </c>
      <c r="AE212" s="457">
        <f>IF($AO212&lt;&gt;"OK",0,IF(AND(DATE('Thiết lập'!$B$4,10,1)&gt;=DATE(YEAR($H212),MONTH($H212),1),DATE('Thiết lập'!$B$4,10,1)&lt;EDATE(DATE(YEAR($H212),MONTH($H212),1),$O212)),MIN($P212,MAX(0,$N212-$U212-SUM($V212:AD212))),0))</f>
        <v/>
      </c>
      <c r="AF212" s="457">
        <f>IF($AO212&lt;&gt;"OK",0,IF(AND(DATE('Thiết lập'!$B$4,11,1)&gt;=DATE(YEAR($H212),MONTH($H212),1),DATE('Thiết lập'!$B$4,11,1)&lt;EDATE(DATE(YEAR($H212),MONTH($H212),1),$O212)),MIN($P212,MAX(0,$N212-$U212-SUM($V212:AE212))),0))</f>
        <v/>
      </c>
      <c r="AG212" s="457">
        <f>IF($AO212&lt;&gt;"OK",0,IF(AND(DATE('Thiết lập'!$B$4,12,1)&gt;=DATE(YEAR($H212),MONTH($H212),1),DATE('Thiết lập'!$B$4,12,1)&lt;EDATE(DATE(YEAR($H212),MONTH($H212),1),$O212)),MIN($P212,MAX(0,$N212-$U212-SUM($V212:AF212))),0))</f>
        <v/>
      </c>
      <c r="AH212" s="457">
        <f>IF(B212="","",SUM(V212:AG212))</f>
        <v/>
      </c>
      <c r="AI212" s="457">
        <f>IF(B212="","",MIN(N212,IF(U212="",0,U212)+AH212))</f>
        <v/>
      </c>
      <c r="AJ212" s="457">
        <f>IF(B212="","",MAX(0,L212-AI212))</f>
        <v/>
      </c>
      <c r="AK212" s="337">
        <f>IF(B212="","",IF(H212&gt;'Thiết lập'!$B$5,"Chưa khấu hao",IF(AJ212&lt;=IF(M212="",0,M212),"Đã hết khấu hao","Đang khấu hao")))</f>
        <v/>
      </c>
      <c r="AL212" s="275" t="n"/>
      <c r="AM212" s="275" t="n"/>
      <c r="AN212" s="275" t="n"/>
      <c r="AO212" s="343">
        <f>IF(B212="","",IF(COUNTIF($B$7:$B$306,B212)&gt;1,"Trùng mã TSCĐ",IF(C212="","Thiếu tên TSCĐ",IF(H212="","Thiếu ngày bắt đầu",IF(OR(I212&lt;=0,L212&lt;=0,O212&lt;=0),"Kiểm tra số lượng/nguyên giá/thời gian",IF(AND(G212&lt;&gt;"",H212&lt;G212),"Ngày KH trước ngày ghi tăng",IF(M212&gt;L212,"Giá trị thu hồi vượt nguyên giá",IF(IF(U212="",0,U212)&gt;N212,"Lũy kế đầu năm vượt GTKH","OK"))))))))</f>
        <v/>
      </c>
    </row>
    <row r="213" ht="20" customHeight="1" s="389">
      <c r="A213" s="325">
        <f>IF(B213="","",ROW()-6)</f>
        <v/>
      </c>
      <c r="B213" s="275" t="n"/>
      <c r="C213" s="275" t="n"/>
      <c r="D213" s="331" t="n"/>
      <c r="E213" s="331" t="n"/>
      <c r="F213" s="454" t="n"/>
      <c r="G213" s="454" t="n"/>
      <c r="H213" s="454" t="n"/>
      <c r="I213" s="455" t="n"/>
      <c r="J213" s="456" t="n"/>
      <c r="K213" s="456" t="n"/>
      <c r="L213" s="457">
        <f>IF(B213="","",IF(OR(I213="",J213=""),"",I213*J213+IF(K213="",0,K213)))</f>
        <v/>
      </c>
      <c r="M213" s="456" t="n"/>
      <c r="N213" s="457">
        <f>IF(L213="","",MAX(0,L213-IF(M213="",0,M213)))</f>
        <v/>
      </c>
      <c r="O213" s="455" t="n"/>
      <c r="P213" s="457">
        <f>IF(OR(N213="",O213&lt;=0),"",ROUND(N213/O213,0))</f>
        <v/>
      </c>
      <c r="Q213" s="458">
        <f>IF(OR(H213="",O213&lt;=0),"",EOMONTH(H213,O213-1))</f>
        <v/>
      </c>
      <c r="R213" s="331" t="n"/>
      <c r="S213" s="331" t="n"/>
      <c r="T213" s="331" t="n"/>
      <c r="U213" s="456" t="n"/>
      <c r="V213" s="457">
        <f>IF($AO213&lt;&gt;"OK",0,IF(AND(DATE('Thiết lập'!$B$4,1,1)&gt;=DATE(YEAR($H213),MONTH($H213),1),DATE('Thiết lập'!$B$4,1,1)&lt;EDATE(DATE(YEAR($H213),MONTH($H213),1),$O213)),MIN($P213,MAX(0,$N213-$U213-0)),0))</f>
        <v/>
      </c>
      <c r="W213" s="457">
        <f>IF($AO213&lt;&gt;"OK",0,IF(AND(DATE('Thiết lập'!$B$4,2,1)&gt;=DATE(YEAR($H213),MONTH($H213),1),DATE('Thiết lập'!$B$4,2,1)&lt;EDATE(DATE(YEAR($H213),MONTH($H213),1),$O213)),MIN($P213,MAX(0,$N213-$U213-SUM($V213:V213))),0))</f>
        <v/>
      </c>
      <c r="X213" s="457">
        <f>IF($AO213&lt;&gt;"OK",0,IF(AND(DATE('Thiết lập'!$B$4,3,1)&gt;=DATE(YEAR($H213),MONTH($H213),1),DATE('Thiết lập'!$B$4,3,1)&lt;EDATE(DATE(YEAR($H213),MONTH($H213),1),$O213)),MIN($P213,MAX(0,$N213-$U213-SUM($V213:W213))),0))</f>
        <v/>
      </c>
      <c r="Y213" s="457">
        <f>IF($AO213&lt;&gt;"OK",0,IF(AND(DATE('Thiết lập'!$B$4,4,1)&gt;=DATE(YEAR($H213),MONTH($H213),1),DATE('Thiết lập'!$B$4,4,1)&lt;EDATE(DATE(YEAR($H213),MONTH($H213),1),$O213)),MIN($P213,MAX(0,$N213-$U213-SUM($V213:X213))),0))</f>
        <v/>
      </c>
      <c r="Z213" s="457">
        <f>IF($AO213&lt;&gt;"OK",0,IF(AND(DATE('Thiết lập'!$B$4,5,1)&gt;=DATE(YEAR($H213),MONTH($H213),1),DATE('Thiết lập'!$B$4,5,1)&lt;EDATE(DATE(YEAR($H213),MONTH($H213),1),$O213)),MIN($P213,MAX(0,$N213-$U213-SUM($V213:Y213))),0))</f>
        <v/>
      </c>
      <c r="AA213" s="457">
        <f>IF($AO213&lt;&gt;"OK",0,IF(AND(DATE('Thiết lập'!$B$4,6,1)&gt;=DATE(YEAR($H213),MONTH($H213),1),DATE('Thiết lập'!$B$4,6,1)&lt;EDATE(DATE(YEAR($H213),MONTH($H213),1),$O213)),MIN($P213,MAX(0,$N213-$U213-SUM($V213:Z213))),0))</f>
        <v/>
      </c>
      <c r="AB213" s="457">
        <f>IF($AO213&lt;&gt;"OK",0,IF(AND(DATE('Thiết lập'!$B$4,7,1)&gt;=DATE(YEAR($H213),MONTH($H213),1),DATE('Thiết lập'!$B$4,7,1)&lt;EDATE(DATE(YEAR($H213),MONTH($H213),1),$O213)),MIN($P213,MAX(0,$N213-$U213-SUM($V213:AA213))),0))</f>
        <v/>
      </c>
      <c r="AC213" s="457">
        <f>IF($AO213&lt;&gt;"OK",0,IF(AND(DATE('Thiết lập'!$B$4,8,1)&gt;=DATE(YEAR($H213),MONTH($H213),1),DATE('Thiết lập'!$B$4,8,1)&lt;EDATE(DATE(YEAR($H213),MONTH($H213),1),$O213)),MIN($P213,MAX(0,$N213-$U213-SUM($V213:AB213))),0))</f>
        <v/>
      </c>
      <c r="AD213" s="457">
        <f>IF($AO213&lt;&gt;"OK",0,IF(AND(DATE('Thiết lập'!$B$4,9,1)&gt;=DATE(YEAR($H213),MONTH($H213),1),DATE('Thiết lập'!$B$4,9,1)&lt;EDATE(DATE(YEAR($H213),MONTH($H213),1),$O213)),MIN($P213,MAX(0,$N213-$U213-SUM($V213:AC213))),0))</f>
        <v/>
      </c>
      <c r="AE213" s="457">
        <f>IF($AO213&lt;&gt;"OK",0,IF(AND(DATE('Thiết lập'!$B$4,10,1)&gt;=DATE(YEAR($H213),MONTH($H213),1),DATE('Thiết lập'!$B$4,10,1)&lt;EDATE(DATE(YEAR($H213),MONTH($H213),1),$O213)),MIN($P213,MAX(0,$N213-$U213-SUM($V213:AD213))),0))</f>
        <v/>
      </c>
      <c r="AF213" s="457">
        <f>IF($AO213&lt;&gt;"OK",0,IF(AND(DATE('Thiết lập'!$B$4,11,1)&gt;=DATE(YEAR($H213),MONTH($H213),1),DATE('Thiết lập'!$B$4,11,1)&lt;EDATE(DATE(YEAR($H213),MONTH($H213),1),$O213)),MIN($P213,MAX(0,$N213-$U213-SUM($V213:AE213))),0))</f>
        <v/>
      </c>
      <c r="AG213" s="457">
        <f>IF($AO213&lt;&gt;"OK",0,IF(AND(DATE('Thiết lập'!$B$4,12,1)&gt;=DATE(YEAR($H213),MONTH($H213),1),DATE('Thiết lập'!$B$4,12,1)&lt;EDATE(DATE(YEAR($H213),MONTH($H213),1),$O213)),MIN($P213,MAX(0,$N213-$U213-SUM($V213:AF213))),0))</f>
        <v/>
      </c>
      <c r="AH213" s="457">
        <f>IF(B213="","",SUM(V213:AG213))</f>
        <v/>
      </c>
      <c r="AI213" s="457">
        <f>IF(B213="","",MIN(N213,IF(U213="",0,U213)+AH213))</f>
        <v/>
      </c>
      <c r="AJ213" s="457">
        <f>IF(B213="","",MAX(0,L213-AI213))</f>
        <v/>
      </c>
      <c r="AK213" s="337">
        <f>IF(B213="","",IF(H213&gt;'Thiết lập'!$B$5,"Chưa khấu hao",IF(AJ213&lt;=IF(M213="",0,M213),"Đã hết khấu hao","Đang khấu hao")))</f>
        <v/>
      </c>
      <c r="AL213" s="275" t="n"/>
      <c r="AM213" s="275" t="n"/>
      <c r="AN213" s="275" t="n"/>
      <c r="AO213" s="343">
        <f>IF(B213="","",IF(COUNTIF($B$7:$B$306,B213)&gt;1,"Trùng mã TSCĐ",IF(C213="","Thiếu tên TSCĐ",IF(H213="","Thiếu ngày bắt đầu",IF(OR(I213&lt;=0,L213&lt;=0,O213&lt;=0),"Kiểm tra số lượng/nguyên giá/thời gian",IF(AND(G213&lt;&gt;"",H213&lt;G213),"Ngày KH trước ngày ghi tăng",IF(M213&gt;L213,"Giá trị thu hồi vượt nguyên giá",IF(IF(U213="",0,U213)&gt;N213,"Lũy kế đầu năm vượt GTKH","OK"))))))))</f>
        <v/>
      </c>
    </row>
    <row r="214" ht="20" customHeight="1" s="389">
      <c r="A214" s="325">
        <f>IF(B214="","",ROW()-6)</f>
        <v/>
      </c>
      <c r="B214" s="275" t="n"/>
      <c r="C214" s="275" t="n"/>
      <c r="D214" s="331" t="n"/>
      <c r="E214" s="331" t="n"/>
      <c r="F214" s="454" t="n"/>
      <c r="G214" s="454" t="n"/>
      <c r="H214" s="454" t="n"/>
      <c r="I214" s="455" t="n"/>
      <c r="J214" s="456" t="n"/>
      <c r="K214" s="456" t="n"/>
      <c r="L214" s="457">
        <f>IF(B214="","",IF(OR(I214="",J214=""),"",I214*J214+IF(K214="",0,K214)))</f>
        <v/>
      </c>
      <c r="M214" s="456" t="n"/>
      <c r="N214" s="457">
        <f>IF(L214="","",MAX(0,L214-IF(M214="",0,M214)))</f>
        <v/>
      </c>
      <c r="O214" s="455" t="n"/>
      <c r="P214" s="457">
        <f>IF(OR(N214="",O214&lt;=0),"",ROUND(N214/O214,0))</f>
        <v/>
      </c>
      <c r="Q214" s="458">
        <f>IF(OR(H214="",O214&lt;=0),"",EOMONTH(H214,O214-1))</f>
        <v/>
      </c>
      <c r="R214" s="331" t="n"/>
      <c r="S214" s="331" t="n"/>
      <c r="T214" s="331" t="n"/>
      <c r="U214" s="456" t="n"/>
      <c r="V214" s="457">
        <f>IF($AO214&lt;&gt;"OK",0,IF(AND(DATE('Thiết lập'!$B$4,1,1)&gt;=DATE(YEAR($H214),MONTH($H214),1),DATE('Thiết lập'!$B$4,1,1)&lt;EDATE(DATE(YEAR($H214),MONTH($H214),1),$O214)),MIN($P214,MAX(0,$N214-$U214-0)),0))</f>
        <v/>
      </c>
      <c r="W214" s="457">
        <f>IF($AO214&lt;&gt;"OK",0,IF(AND(DATE('Thiết lập'!$B$4,2,1)&gt;=DATE(YEAR($H214),MONTH($H214),1),DATE('Thiết lập'!$B$4,2,1)&lt;EDATE(DATE(YEAR($H214),MONTH($H214),1),$O214)),MIN($P214,MAX(0,$N214-$U214-SUM($V214:V214))),0))</f>
        <v/>
      </c>
      <c r="X214" s="457">
        <f>IF($AO214&lt;&gt;"OK",0,IF(AND(DATE('Thiết lập'!$B$4,3,1)&gt;=DATE(YEAR($H214),MONTH($H214),1),DATE('Thiết lập'!$B$4,3,1)&lt;EDATE(DATE(YEAR($H214),MONTH($H214),1),$O214)),MIN($P214,MAX(0,$N214-$U214-SUM($V214:W214))),0))</f>
        <v/>
      </c>
      <c r="Y214" s="457">
        <f>IF($AO214&lt;&gt;"OK",0,IF(AND(DATE('Thiết lập'!$B$4,4,1)&gt;=DATE(YEAR($H214),MONTH($H214),1),DATE('Thiết lập'!$B$4,4,1)&lt;EDATE(DATE(YEAR($H214),MONTH($H214),1),$O214)),MIN($P214,MAX(0,$N214-$U214-SUM($V214:X214))),0))</f>
        <v/>
      </c>
      <c r="Z214" s="457">
        <f>IF($AO214&lt;&gt;"OK",0,IF(AND(DATE('Thiết lập'!$B$4,5,1)&gt;=DATE(YEAR($H214),MONTH($H214),1),DATE('Thiết lập'!$B$4,5,1)&lt;EDATE(DATE(YEAR($H214),MONTH($H214),1),$O214)),MIN($P214,MAX(0,$N214-$U214-SUM($V214:Y214))),0))</f>
        <v/>
      </c>
      <c r="AA214" s="457">
        <f>IF($AO214&lt;&gt;"OK",0,IF(AND(DATE('Thiết lập'!$B$4,6,1)&gt;=DATE(YEAR($H214),MONTH($H214),1),DATE('Thiết lập'!$B$4,6,1)&lt;EDATE(DATE(YEAR($H214),MONTH($H214),1),$O214)),MIN($P214,MAX(0,$N214-$U214-SUM($V214:Z214))),0))</f>
        <v/>
      </c>
      <c r="AB214" s="457">
        <f>IF($AO214&lt;&gt;"OK",0,IF(AND(DATE('Thiết lập'!$B$4,7,1)&gt;=DATE(YEAR($H214),MONTH($H214),1),DATE('Thiết lập'!$B$4,7,1)&lt;EDATE(DATE(YEAR($H214),MONTH($H214),1),$O214)),MIN($P214,MAX(0,$N214-$U214-SUM($V214:AA214))),0))</f>
        <v/>
      </c>
      <c r="AC214" s="457">
        <f>IF($AO214&lt;&gt;"OK",0,IF(AND(DATE('Thiết lập'!$B$4,8,1)&gt;=DATE(YEAR($H214),MONTH($H214),1),DATE('Thiết lập'!$B$4,8,1)&lt;EDATE(DATE(YEAR($H214),MONTH($H214),1),$O214)),MIN($P214,MAX(0,$N214-$U214-SUM($V214:AB214))),0))</f>
        <v/>
      </c>
      <c r="AD214" s="457">
        <f>IF($AO214&lt;&gt;"OK",0,IF(AND(DATE('Thiết lập'!$B$4,9,1)&gt;=DATE(YEAR($H214),MONTH($H214),1),DATE('Thiết lập'!$B$4,9,1)&lt;EDATE(DATE(YEAR($H214),MONTH($H214),1),$O214)),MIN($P214,MAX(0,$N214-$U214-SUM($V214:AC214))),0))</f>
        <v/>
      </c>
      <c r="AE214" s="457">
        <f>IF($AO214&lt;&gt;"OK",0,IF(AND(DATE('Thiết lập'!$B$4,10,1)&gt;=DATE(YEAR($H214),MONTH($H214),1),DATE('Thiết lập'!$B$4,10,1)&lt;EDATE(DATE(YEAR($H214),MONTH($H214),1),$O214)),MIN($P214,MAX(0,$N214-$U214-SUM($V214:AD214))),0))</f>
        <v/>
      </c>
      <c r="AF214" s="457">
        <f>IF($AO214&lt;&gt;"OK",0,IF(AND(DATE('Thiết lập'!$B$4,11,1)&gt;=DATE(YEAR($H214),MONTH($H214),1),DATE('Thiết lập'!$B$4,11,1)&lt;EDATE(DATE(YEAR($H214),MONTH($H214),1),$O214)),MIN($P214,MAX(0,$N214-$U214-SUM($V214:AE214))),0))</f>
        <v/>
      </c>
      <c r="AG214" s="457">
        <f>IF($AO214&lt;&gt;"OK",0,IF(AND(DATE('Thiết lập'!$B$4,12,1)&gt;=DATE(YEAR($H214),MONTH($H214),1),DATE('Thiết lập'!$B$4,12,1)&lt;EDATE(DATE(YEAR($H214),MONTH($H214),1),$O214)),MIN($P214,MAX(0,$N214-$U214-SUM($V214:AF214))),0))</f>
        <v/>
      </c>
      <c r="AH214" s="457">
        <f>IF(B214="","",SUM(V214:AG214))</f>
        <v/>
      </c>
      <c r="AI214" s="457">
        <f>IF(B214="","",MIN(N214,IF(U214="",0,U214)+AH214))</f>
        <v/>
      </c>
      <c r="AJ214" s="457">
        <f>IF(B214="","",MAX(0,L214-AI214))</f>
        <v/>
      </c>
      <c r="AK214" s="337">
        <f>IF(B214="","",IF(H214&gt;'Thiết lập'!$B$5,"Chưa khấu hao",IF(AJ214&lt;=IF(M214="",0,M214),"Đã hết khấu hao","Đang khấu hao")))</f>
        <v/>
      </c>
      <c r="AL214" s="275" t="n"/>
      <c r="AM214" s="275" t="n"/>
      <c r="AN214" s="275" t="n"/>
      <c r="AO214" s="343">
        <f>IF(B214="","",IF(COUNTIF($B$7:$B$306,B214)&gt;1,"Trùng mã TSCĐ",IF(C214="","Thiếu tên TSCĐ",IF(H214="","Thiếu ngày bắt đầu",IF(OR(I214&lt;=0,L214&lt;=0,O214&lt;=0),"Kiểm tra số lượng/nguyên giá/thời gian",IF(AND(G214&lt;&gt;"",H214&lt;G214),"Ngày KH trước ngày ghi tăng",IF(M214&gt;L214,"Giá trị thu hồi vượt nguyên giá",IF(IF(U214="",0,U214)&gt;N214,"Lũy kế đầu năm vượt GTKH","OK"))))))))</f>
        <v/>
      </c>
    </row>
    <row r="215" ht="20" customHeight="1" s="389">
      <c r="A215" s="325">
        <f>IF(B215="","",ROW()-6)</f>
        <v/>
      </c>
      <c r="B215" s="275" t="n"/>
      <c r="C215" s="275" t="n"/>
      <c r="D215" s="331" t="n"/>
      <c r="E215" s="331" t="n"/>
      <c r="F215" s="454" t="n"/>
      <c r="G215" s="454" t="n"/>
      <c r="H215" s="454" t="n"/>
      <c r="I215" s="455" t="n"/>
      <c r="J215" s="456" t="n"/>
      <c r="K215" s="456" t="n"/>
      <c r="L215" s="457">
        <f>IF(B215="","",IF(OR(I215="",J215=""),"",I215*J215+IF(K215="",0,K215)))</f>
        <v/>
      </c>
      <c r="M215" s="456" t="n"/>
      <c r="N215" s="457">
        <f>IF(L215="","",MAX(0,L215-IF(M215="",0,M215)))</f>
        <v/>
      </c>
      <c r="O215" s="455" t="n"/>
      <c r="P215" s="457">
        <f>IF(OR(N215="",O215&lt;=0),"",ROUND(N215/O215,0))</f>
        <v/>
      </c>
      <c r="Q215" s="458">
        <f>IF(OR(H215="",O215&lt;=0),"",EOMONTH(H215,O215-1))</f>
        <v/>
      </c>
      <c r="R215" s="331" t="n"/>
      <c r="S215" s="331" t="n"/>
      <c r="T215" s="331" t="n"/>
      <c r="U215" s="456" t="n"/>
      <c r="V215" s="457">
        <f>IF($AO215&lt;&gt;"OK",0,IF(AND(DATE('Thiết lập'!$B$4,1,1)&gt;=DATE(YEAR($H215),MONTH($H215),1),DATE('Thiết lập'!$B$4,1,1)&lt;EDATE(DATE(YEAR($H215),MONTH($H215),1),$O215)),MIN($P215,MAX(0,$N215-$U215-0)),0))</f>
        <v/>
      </c>
      <c r="W215" s="457">
        <f>IF($AO215&lt;&gt;"OK",0,IF(AND(DATE('Thiết lập'!$B$4,2,1)&gt;=DATE(YEAR($H215),MONTH($H215),1),DATE('Thiết lập'!$B$4,2,1)&lt;EDATE(DATE(YEAR($H215),MONTH($H215),1),$O215)),MIN($P215,MAX(0,$N215-$U215-SUM($V215:V215))),0))</f>
        <v/>
      </c>
      <c r="X215" s="457">
        <f>IF($AO215&lt;&gt;"OK",0,IF(AND(DATE('Thiết lập'!$B$4,3,1)&gt;=DATE(YEAR($H215),MONTH($H215),1),DATE('Thiết lập'!$B$4,3,1)&lt;EDATE(DATE(YEAR($H215),MONTH($H215),1),$O215)),MIN($P215,MAX(0,$N215-$U215-SUM($V215:W215))),0))</f>
        <v/>
      </c>
      <c r="Y215" s="457">
        <f>IF($AO215&lt;&gt;"OK",0,IF(AND(DATE('Thiết lập'!$B$4,4,1)&gt;=DATE(YEAR($H215),MONTH($H215),1),DATE('Thiết lập'!$B$4,4,1)&lt;EDATE(DATE(YEAR($H215),MONTH($H215),1),$O215)),MIN($P215,MAX(0,$N215-$U215-SUM($V215:X215))),0))</f>
        <v/>
      </c>
      <c r="Z215" s="457">
        <f>IF($AO215&lt;&gt;"OK",0,IF(AND(DATE('Thiết lập'!$B$4,5,1)&gt;=DATE(YEAR($H215),MONTH($H215),1),DATE('Thiết lập'!$B$4,5,1)&lt;EDATE(DATE(YEAR($H215),MONTH($H215),1),$O215)),MIN($P215,MAX(0,$N215-$U215-SUM($V215:Y215))),0))</f>
        <v/>
      </c>
      <c r="AA215" s="457">
        <f>IF($AO215&lt;&gt;"OK",0,IF(AND(DATE('Thiết lập'!$B$4,6,1)&gt;=DATE(YEAR($H215),MONTH($H215),1),DATE('Thiết lập'!$B$4,6,1)&lt;EDATE(DATE(YEAR($H215),MONTH($H215),1),$O215)),MIN($P215,MAX(0,$N215-$U215-SUM($V215:Z215))),0))</f>
        <v/>
      </c>
      <c r="AB215" s="457">
        <f>IF($AO215&lt;&gt;"OK",0,IF(AND(DATE('Thiết lập'!$B$4,7,1)&gt;=DATE(YEAR($H215),MONTH($H215),1),DATE('Thiết lập'!$B$4,7,1)&lt;EDATE(DATE(YEAR($H215),MONTH($H215),1),$O215)),MIN($P215,MAX(0,$N215-$U215-SUM($V215:AA215))),0))</f>
        <v/>
      </c>
      <c r="AC215" s="457">
        <f>IF($AO215&lt;&gt;"OK",0,IF(AND(DATE('Thiết lập'!$B$4,8,1)&gt;=DATE(YEAR($H215),MONTH($H215),1),DATE('Thiết lập'!$B$4,8,1)&lt;EDATE(DATE(YEAR($H215),MONTH($H215),1),$O215)),MIN($P215,MAX(0,$N215-$U215-SUM($V215:AB215))),0))</f>
        <v/>
      </c>
      <c r="AD215" s="457">
        <f>IF($AO215&lt;&gt;"OK",0,IF(AND(DATE('Thiết lập'!$B$4,9,1)&gt;=DATE(YEAR($H215),MONTH($H215),1),DATE('Thiết lập'!$B$4,9,1)&lt;EDATE(DATE(YEAR($H215),MONTH($H215),1),$O215)),MIN($P215,MAX(0,$N215-$U215-SUM($V215:AC215))),0))</f>
        <v/>
      </c>
      <c r="AE215" s="457">
        <f>IF($AO215&lt;&gt;"OK",0,IF(AND(DATE('Thiết lập'!$B$4,10,1)&gt;=DATE(YEAR($H215),MONTH($H215),1),DATE('Thiết lập'!$B$4,10,1)&lt;EDATE(DATE(YEAR($H215),MONTH($H215),1),$O215)),MIN($P215,MAX(0,$N215-$U215-SUM($V215:AD215))),0))</f>
        <v/>
      </c>
      <c r="AF215" s="457">
        <f>IF($AO215&lt;&gt;"OK",0,IF(AND(DATE('Thiết lập'!$B$4,11,1)&gt;=DATE(YEAR($H215),MONTH($H215),1),DATE('Thiết lập'!$B$4,11,1)&lt;EDATE(DATE(YEAR($H215),MONTH($H215),1),$O215)),MIN($P215,MAX(0,$N215-$U215-SUM($V215:AE215))),0))</f>
        <v/>
      </c>
      <c r="AG215" s="457">
        <f>IF($AO215&lt;&gt;"OK",0,IF(AND(DATE('Thiết lập'!$B$4,12,1)&gt;=DATE(YEAR($H215),MONTH($H215),1),DATE('Thiết lập'!$B$4,12,1)&lt;EDATE(DATE(YEAR($H215),MONTH($H215),1),$O215)),MIN($P215,MAX(0,$N215-$U215-SUM($V215:AF215))),0))</f>
        <v/>
      </c>
      <c r="AH215" s="457">
        <f>IF(B215="","",SUM(V215:AG215))</f>
        <v/>
      </c>
      <c r="AI215" s="457">
        <f>IF(B215="","",MIN(N215,IF(U215="",0,U215)+AH215))</f>
        <v/>
      </c>
      <c r="AJ215" s="457">
        <f>IF(B215="","",MAX(0,L215-AI215))</f>
        <v/>
      </c>
      <c r="AK215" s="337">
        <f>IF(B215="","",IF(H215&gt;'Thiết lập'!$B$5,"Chưa khấu hao",IF(AJ215&lt;=IF(M215="",0,M215),"Đã hết khấu hao","Đang khấu hao")))</f>
        <v/>
      </c>
      <c r="AL215" s="275" t="n"/>
      <c r="AM215" s="275" t="n"/>
      <c r="AN215" s="275" t="n"/>
      <c r="AO215" s="343">
        <f>IF(B215="","",IF(COUNTIF($B$7:$B$306,B215)&gt;1,"Trùng mã TSCĐ",IF(C215="","Thiếu tên TSCĐ",IF(H215="","Thiếu ngày bắt đầu",IF(OR(I215&lt;=0,L215&lt;=0,O215&lt;=0),"Kiểm tra số lượng/nguyên giá/thời gian",IF(AND(G215&lt;&gt;"",H215&lt;G215),"Ngày KH trước ngày ghi tăng",IF(M215&gt;L215,"Giá trị thu hồi vượt nguyên giá",IF(IF(U215="",0,U215)&gt;N215,"Lũy kế đầu năm vượt GTKH","OK"))))))))</f>
        <v/>
      </c>
    </row>
    <row r="216" ht="20" customHeight="1" s="389">
      <c r="A216" s="325">
        <f>IF(B216="","",ROW()-6)</f>
        <v/>
      </c>
      <c r="B216" s="275" t="n"/>
      <c r="C216" s="275" t="n"/>
      <c r="D216" s="331" t="n"/>
      <c r="E216" s="331" t="n"/>
      <c r="F216" s="454" t="n"/>
      <c r="G216" s="454" t="n"/>
      <c r="H216" s="454" t="n"/>
      <c r="I216" s="455" t="n"/>
      <c r="J216" s="456" t="n"/>
      <c r="K216" s="456" t="n"/>
      <c r="L216" s="457">
        <f>IF(B216="","",IF(OR(I216="",J216=""),"",I216*J216+IF(K216="",0,K216)))</f>
        <v/>
      </c>
      <c r="M216" s="456" t="n"/>
      <c r="N216" s="457">
        <f>IF(L216="","",MAX(0,L216-IF(M216="",0,M216)))</f>
        <v/>
      </c>
      <c r="O216" s="455" t="n"/>
      <c r="P216" s="457">
        <f>IF(OR(N216="",O216&lt;=0),"",ROUND(N216/O216,0))</f>
        <v/>
      </c>
      <c r="Q216" s="458">
        <f>IF(OR(H216="",O216&lt;=0),"",EOMONTH(H216,O216-1))</f>
        <v/>
      </c>
      <c r="R216" s="331" t="n"/>
      <c r="S216" s="331" t="n"/>
      <c r="T216" s="331" t="n"/>
      <c r="U216" s="456" t="n"/>
      <c r="V216" s="457">
        <f>IF($AO216&lt;&gt;"OK",0,IF(AND(DATE('Thiết lập'!$B$4,1,1)&gt;=DATE(YEAR($H216),MONTH($H216),1),DATE('Thiết lập'!$B$4,1,1)&lt;EDATE(DATE(YEAR($H216),MONTH($H216),1),$O216)),MIN($P216,MAX(0,$N216-$U216-0)),0))</f>
        <v/>
      </c>
      <c r="W216" s="457">
        <f>IF($AO216&lt;&gt;"OK",0,IF(AND(DATE('Thiết lập'!$B$4,2,1)&gt;=DATE(YEAR($H216),MONTH($H216),1),DATE('Thiết lập'!$B$4,2,1)&lt;EDATE(DATE(YEAR($H216),MONTH($H216),1),$O216)),MIN($P216,MAX(0,$N216-$U216-SUM($V216:V216))),0))</f>
        <v/>
      </c>
      <c r="X216" s="457">
        <f>IF($AO216&lt;&gt;"OK",0,IF(AND(DATE('Thiết lập'!$B$4,3,1)&gt;=DATE(YEAR($H216),MONTH($H216),1),DATE('Thiết lập'!$B$4,3,1)&lt;EDATE(DATE(YEAR($H216),MONTH($H216),1),$O216)),MIN($P216,MAX(0,$N216-$U216-SUM($V216:W216))),0))</f>
        <v/>
      </c>
      <c r="Y216" s="457">
        <f>IF($AO216&lt;&gt;"OK",0,IF(AND(DATE('Thiết lập'!$B$4,4,1)&gt;=DATE(YEAR($H216),MONTH($H216),1),DATE('Thiết lập'!$B$4,4,1)&lt;EDATE(DATE(YEAR($H216),MONTH($H216),1),$O216)),MIN($P216,MAX(0,$N216-$U216-SUM($V216:X216))),0))</f>
        <v/>
      </c>
      <c r="Z216" s="457">
        <f>IF($AO216&lt;&gt;"OK",0,IF(AND(DATE('Thiết lập'!$B$4,5,1)&gt;=DATE(YEAR($H216),MONTH($H216),1),DATE('Thiết lập'!$B$4,5,1)&lt;EDATE(DATE(YEAR($H216),MONTH($H216),1),$O216)),MIN($P216,MAX(0,$N216-$U216-SUM($V216:Y216))),0))</f>
        <v/>
      </c>
      <c r="AA216" s="457">
        <f>IF($AO216&lt;&gt;"OK",0,IF(AND(DATE('Thiết lập'!$B$4,6,1)&gt;=DATE(YEAR($H216),MONTH($H216),1),DATE('Thiết lập'!$B$4,6,1)&lt;EDATE(DATE(YEAR($H216),MONTH($H216),1),$O216)),MIN($P216,MAX(0,$N216-$U216-SUM($V216:Z216))),0))</f>
        <v/>
      </c>
      <c r="AB216" s="457">
        <f>IF($AO216&lt;&gt;"OK",0,IF(AND(DATE('Thiết lập'!$B$4,7,1)&gt;=DATE(YEAR($H216),MONTH($H216),1),DATE('Thiết lập'!$B$4,7,1)&lt;EDATE(DATE(YEAR($H216),MONTH($H216),1),$O216)),MIN($P216,MAX(0,$N216-$U216-SUM($V216:AA216))),0))</f>
        <v/>
      </c>
      <c r="AC216" s="457">
        <f>IF($AO216&lt;&gt;"OK",0,IF(AND(DATE('Thiết lập'!$B$4,8,1)&gt;=DATE(YEAR($H216),MONTH($H216),1),DATE('Thiết lập'!$B$4,8,1)&lt;EDATE(DATE(YEAR($H216),MONTH($H216),1),$O216)),MIN($P216,MAX(0,$N216-$U216-SUM($V216:AB216))),0))</f>
        <v/>
      </c>
      <c r="AD216" s="457">
        <f>IF($AO216&lt;&gt;"OK",0,IF(AND(DATE('Thiết lập'!$B$4,9,1)&gt;=DATE(YEAR($H216),MONTH($H216),1),DATE('Thiết lập'!$B$4,9,1)&lt;EDATE(DATE(YEAR($H216),MONTH($H216),1),$O216)),MIN($P216,MAX(0,$N216-$U216-SUM($V216:AC216))),0))</f>
        <v/>
      </c>
      <c r="AE216" s="457">
        <f>IF($AO216&lt;&gt;"OK",0,IF(AND(DATE('Thiết lập'!$B$4,10,1)&gt;=DATE(YEAR($H216),MONTH($H216),1),DATE('Thiết lập'!$B$4,10,1)&lt;EDATE(DATE(YEAR($H216),MONTH($H216),1),$O216)),MIN($P216,MAX(0,$N216-$U216-SUM($V216:AD216))),0))</f>
        <v/>
      </c>
      <c r="AF216" s="457">
        <f>IF($AO216&lt;&gt;"OK",0,IF(AND(DATE('Thiết lập'!$B$4,11,1)&gt;=DATE(YEAR($H216),MONTH($H216),1),DATE('Thiết lập'!$B$4,11,1)&lt;EDATE(DATE(YEAR($H216),MONTH($H216),1),$O216)),MIN($P216,MAX(0,$N216-$U216-SUM($V216:AE216))),0))</f>
        <v/>
      </c>
      <c r="AG216" s="457">
        <f>IF($AO216&lt;&gt;"OK",0,IF(AND(DATE('Thiết lập'!$B$4,12,1)&gt;=DATE(YEAR($H216),MONTH($H216),1),DATE('Thiết lập'!$B$4,12,1)&lt;EDATE(DATE(YEAR($H216),MONTH($H216),1),$O216)),MIN($P216,MAX(0,$N216-$U216-SUM($V216:AF216))),0))</f>
        <v/>
      </c>
      <c r="AH216" s="457">
        <f>IF(B216="","",SUM(V216:AG216))</f>
        <v/>
      </c>
      <c r="AI216" s="457">
        <f>IF(B216="","",MIN(N216,IF(U216="",0,U216)+AH216))</f>
        <v/>
      </c>
      <c r="AJ216" s="457">
        <f>IF(B216="","",MAX(0,L216-AI216))</f>
        <v/>
      </c>
      <c r="AK216" s="337">
        <f>IF(B216="","",IF(H216&gt;'Thiết lập'!$B$5,"Chưa khấu hao",IF(AJ216&lt;=IF(M216="",0,M216),"Đã hết khấu hao","Đang khấu hao")))</f>
        <v/>
      </c>
      <c r="AL216" s="275" t="n"/>
      <c r="AM216" s="275" t="n"/>
      <c r="AN216" s="275" t="n"/>
      <c r="AO216" s="343">
        <f>IF(B216="","",IF(COUNTIF($B$7:$B$306,B216)&gt;1,"Trùng mã TSCĐ",IF(C216="","Thiếu tên TSCĐ",IF(H216="","Thiếu ngày bắt đầu",IF(OR(I216&lt;=0,L216&lt;=0,O216&lt;=0),"Kiểm tra số lượng/nguyên giá/thời gian",IF(AND(G216&lt;&gt;"",H216&lt;G216),"Ngày KH trước ngày ghi tăng",IF(M216&gt;L216,"Giá trị thu hồi vượt nguyên giá",IF(IF(U216="",0,U216)&gt;N216,"Lũy kế đầu năm vượt GTKH","OK"))))))))</f>
        <v/>
      </c>
    </row>
    <row r="217" ht="20" customHeight="1" s="389">
      <c r="A217" s="325">
        <f>IF(B217="","",ROW()-6)</f>
        <v/>
      </c>
      <c r="B217" s="275" t="n"/>
      <c r="C217" s="275" t="n"/>
      <c r="D217" s="331" t="n"/>
      <c r="E217" s="331" t="n"/>
      <c r="F217" s="454" t="n"/>
      <c r="G217" s="454" t="n"/>
      <c r="H217" s="454" t="n"/>
      <c r="I217" s="455" t="n"/>
      <c r="J217" s="456" t="n"/>
      <c r="K217" s="456" t="n"/>
      <c r="L217" s="457">
        <f>IF(B217="","",IF(OR(I217="",J217=""),"",I217*J217+IF(K217="",0,K217)))</f>
        <v/>
      </c>
      <c r="M217" s="456" t="n"/>
      <c r="N217" s="457">
        <f>IF(L217="","",MAX(0,L217-IF(M217="",0,M217)))</f>
        <v/>
      </c>
      <c r="O217" s="455" t="n"/>
      <c r="P217" s="457">
        <f>IF(OR(N217="",O217&lt;=0),"",ROUND(N217/O217,0))</f>
        <v/>
      </c>
      <c r="Q217" s="458">
        <f>IF(OR(H217="",O217&lt;=0),"",EOMONTH(H217,O217-1))</f>
        <v/>
      </c>
      <c r="R217" s="331" t="n"/>
      <c r="S217" s="331" t="n"/>
      <c r="T217" s="331" t="n"/>
      <c r="U217" s="456" t="n"/>
      <c r="V217" s="457">
        <f>IF($AO217&lt;&gt;"OK",0,IF(AND(DATE('Thiết lập'!$B$4,1,1)&gt;=DATE(YEAR($H217),MONTH($H217),1),DATE('Thiết lập'!$B$4,1,1)&lt;EDATE(DATE(YEAR($H217),MONTH($H217),1),$O217)),MIN($P217,MAX(0,$N217-$U217-0)),0))</f>
        <v/>
      </c>
      <c r="W217" s="457">
        <f>IF($AO217&lt;&gt;"OK",0,IF(AND(DATE('Thiết lập'!$B$4,2,1)&gt;=DATE(YEAR($H217),MONTH($H217),1),DATE('Thiết lập'!$B$4,2,1)&lt;EDATE(DATE(YEAR($H217),MONTH($H217),1),$O217)),MIN($P217,MAX(0,$N217-$U217-SUM($V217:V217))),0))</f>
        <v/>
      </c>
      <c r="X217" s="457">
        <f>IF($AO217&lt;&gt;"OK",0,IF(AND(DATE('Thiết lập'!$B$4,3,1)&gt;=DATE(YEAR($H217),MONTH($H217),1),DATE('Thiết lập'!$B$4,3,1)&lt;EDATE(DATE(YEAR($H217),MONTH($H217),1),$O217)),MIN($P217,MAX(0,$N217-$U217-SUM($V217:W217))),0))</f>
        <v/>
      </c>
      <c r="Y217" s="457">
        <f>IF($AO217&lt;&gt;"OK",0,IF(AND(DATE('Thiết lập'!$B$4,4,1)&gt;=DATE(YEAR($H217),MONTH($H217),1),DATE('Thiết lập'!$B$4,4,1)&lt;EDATE(DATE(YEAR($H217),MONTH($H217),1),$O217)),MIN($P217,MAX(0,$N217-$U217-SUM($V217:X217))),0))</f>
        <v/>
      </c>
      <c r="Z217" s="457">
        <f>IF($AO217&lt;&gt;"OK",0,IF(AND(DATE('Thiết lập'!$B$4,5,1)&gt;=DATE(YEAR($H217),MONTH($H217),1),DATE('Thiết lập'!$B$4,5,1)&lt;EDATE(DATE(YEAR($H217),MONTH($H217),1),$O217)),MIN($P217,MAX(0,$N217-$U217-SUM($V217:Y217))),0))</f>
        <v/>
      </c>
      <c r="AA217" s="457">
        <f>IF($AO217&lt;&gt;"OK",0,IF(AND(DATE('Thiết lập'!$B$4,6,1)&gt;=DATE(YEAR($H217),MONTH($H217),1),DATE('Thiết lập'!$B$4,6,1)&lt;EDATE(DATE(YEAR($H217),MONTH($H217),1),$O217)),MIN($P217,MAX(0,$N217-$U217-SUM($V217:Z217))),0))</f>
        <v/>
      </c>
      <c r="AB217" s="457">
        <f>IF($AO217&lt;&gt;"OK",0,IF(AND(DATE('Thiết lập'!$B$4,7,1)&gt;=DATE(YEAR($H217),MONTH($H217),1),DATE('Thiết lập'!$B$4,7,1)&lt;EDATE(DATE(YEAR($H217),MONTH($H217),1),$O217)),MIN($P217,MAX(0,$N217-$U217-SUM($V217:AA217))),0))</f>
        <v/>
      </c>
      <c r="AC217" s="457">
        <f>IF($AO217&lt;&gt;"OK",0,IF(AND(DATE('Thiết lập'!$B$4,8,1)&gt;=DATE(YEAR($H217),MONTH($H217),1),DATE('Thiết lập'!$B$4,8,1)&lt;EDATE(DATE(YEAR($H217),MONTH($H217),1),$O217)),MIN($P217,MAX(0,$N217-$U217-SUM($V217:AB217))),0))</f>
        <v/>
      </c>
      <c r="AD217" s="457">
        <f>IF($AO217&lt;&gt;"OK",0,IF(AND(DATE('Thiết lập'!$B$4,9,1)&gt;=DATE(YEAR($H217),MONTH($H217),1),DATE('Thiết lập'!$B$4,9,1)&lt;EDATE(DATE(YEAR($H217),MONTH($H217),1),$O217)),MIN($P217,MAX(0,$N217-$U217-SUM($V217:AC217))),0))</f>
        <v/>
      </c>
      <c r="AE217" s="457">
        <f>IF($AO217&lt;&gt;"OK",0,IF(AND(DATE('Thiết lập'!$B$4,10,1)&gt;=DATE(YEAR($H217),MONTH($H217),1),DATE('Thiết lập'!$B$4,10,1)&lt;EDATE(DATE(YEAR($H217),MONTH($H217),1),$O217)),MIN($P217,MAX(0,$N217-$U217-SUM($V217:AD217))),0))</f>
        <v/>
      </c>
      <c r="AF217" s="457">
        <f>IF($AO217&lt;&gt;"OK",0,IF(AND(DATE('Thiết lập'!$B$4,11,1)&gt;=DATE(YEAR($H217),MONTH($H217),1),DATE('Thiết lập'!$B$4,11,1)&lt;EDATE(DATE(YEAR($H217),MONTH($H217),1),$O217)),MIN($P217,MAX(0,$N217-$U217-SUM($V217:AE217))),0))</f>
        <v/>
      </c>
      <c r="AG217" s="457">
        <f>IF($AO217&lt;&gt;"OK",0,IF(AND(DATE('Thiết lập'!$B$4,12,1)&gt;=DATE(YEAR($H217),MONTH($H217),1),DATE('Thiết lập'!$B$4,12,1)&lt;EDATE(DATE(YEAR($H217),MONTH($H217),1),$O217)),MIN($P217,MAX(0,$N217-$U217-SUM($V217:AF217))),0))</f>
        <v/>
      </c>
      <c r="AH217" s="457">
        <f>IF(B217="","",SUM(V217:AG217))</f>
        <v/>
      </c>
      <c r="AI217" s="457">
        <f>IF(B217="","",MIN(N217,IF(U217="",0,U217)+AH217))</f>
        <v/>
      </c>
      <c r="AJ217" s="457">
        <f>IF(B217="","",MAX(0,L217-AI217))</f>
        <v/>
      </c>
      <c r="AK217" s="337">
        <f>IF(B217="","",IF(H217&gt;'Thiết lập'!$B$5,"Chưa khấu hao",IF(AJ217&lt;=IF(M217="",0,M217),"Đã hết khấu hao","Đang khấu hao")))</f>
        <v/>
      </c>
      <c r="AL217" s="275" t="n"/>
      <c r="AM217" s="275" t="n"/>
      <c r="AN217" s="275" t="n"/>
      <c r="AO217" s="343">
        <f>IF(B217="","",IF(COUNTIF($B$7:$B$306,B217)&gt;1,"Trùng mã TSCĐ",IF(C217="","Thiếu tên TSCĐ",IF(H217="","Thiếu ngày bắt đầu",IF(OR(I217&lt;=0,L217&lt;=0,O217&lt;=0),"Kiểm tra số lượng/nguyên giá/thời gian",IF(AND(G217&lt;&gt;"",H217&lt;G217),"Ngày KH trước ngày ghi tăng",IF(M217&gt;L217,"Giá trị thu hồi vượt nguyên giá",IF(IF(U217="",0,U217)&gt;N217,"Lũy kế đầu năm vượt GTKH","OK"))))))))</f>
        <v/>
      </c>
    </row>
    <row r="218" ht="20" customHeight="1" s="389">
      <c r="A218" s="325">
        <f>IF(B218="","",ROW()-6)</f>
        <v/>
      </c>
      <c r="B218" s="275" t="n"/>
      <c r="C218" s="275" t="n"/>
      <c r="D218" s="331" t="n"/>
      <c r="E218" s="331" t="n"/>
      <c r="F218" s="454" t="n"/>
      <c r="G218" s="454" t="n"/>
      <c r="H218" s="454" t="n"/>
      <c r="I218" s="455" t="n"/>
      <c r="J218" s="456" t="n"/>
      <c r="K218" s="456" t="n"/>
      <c r="L218" s="457">
        <f>IF(B218="","",IF(OR(I218="",J218=""),"",I218*J218+IF(K218="",0,K218)))</f>
        <v/>
      </c>
      <c r="M218" s="456" t="n"/>
      <c r="N218" s="457">
        <f>IF(L218="","",MAX(0,L218-IF(M218="",0,M218)))</f>
        <v/>
      </c>
      <c r="O218" s="455" t="n"/>
      <c r="P218" s="457">
        <f>IF(OR(N218="",O218&lt;=0),"",ROUND(N218/O218,0))</f>
        <v/>
      </c>
      <c r="Q218" s="458">
        <f>IF(OR(H218="",O218&lt;=0),"",EOMONTH(H218,O218-1))</f>
        <v/>
      </c>
      <c r="R218" s="331" t="n"/>
      <c r="S218" s="331" t="n"/>
      <c r="T218" s="331" t="n"/>
      <c r="U218" s="456" t="n"/>
      <c r="V218" s="457">
        <f>IF($AO218&lt;&gt;"OK",0,IF(AND(DATE('Thiết lập'!$B$4,1,1)&gt;=DATE(YEAR($H218),MONTH($H218),1),DATE('Thiết lập'!$B$4,1,1)&lt;EDATE(DATE(YEAR($H218),MONTH($H218),1),$O218)),MIN($P218,MAX(0,$N218-$U218-0)),0))</f>
        <v/>
      </c>
      <c r="W218" s="457">
        <f>IF($AO218&lt;&gt;"OK",0,IF(AND(DATE('Thiết lập'!$B$4,2,1)&gt;=DATE(YEAR($H218),MONTH($H218),1),DATE('Thiết lập'!$B$4,2,1)&lt;EDATE(DATE(YEAR($H218),MONTH($H218),1),$O218)),MIN($P218,MAX(0,$N218-$U218-SUM($V218:V218))),0))</f>
        <v/>
      </c>
      <c r="X218" s="457">
        <f>IF($AO218&lt;&gt;"OK",0,IF(AND(DATE('Thiết lập'!$B$4,3,1)&gt;=DATE(YEAR($H218),MONTH($H218),1),DATE('Thiết lập'!$B$4,3,1)&lt;EDATE(DATE(YEAR($H218),MONTH($H218),1),$O218)),MIN($P218,MAX(0,$N218-$U218-SUM($V218:W218))),0))</f>
        <v/>
      </c>
      <c r="Y218" s="457">
        <f>IF($AO218&lt;&gt;"OK",0,IF(AND(DATE('Thiết lập'!$B$4,4,1)&gt;=DATE(YEAR($H218),MONTH($H218),1),DATE('Thiết lập'!$B$4,4,1)&lt;EDATE(DATE(YEAR($H218),MONTH($H218),1),$O218)),MIN($P218,MAX(0,$N218-$U218-SUM($V218:X218))),0))</f>
        <v/>
      </c>
      <c r="Z218" s="457">
        <f>IF($AO218&lt;&gt;"OK",0,IF(AND(DATE('Thiết lập'!$B$4,5,1)&gt;=DATE(YEAR($H218),MONTH($H218),1),DATE('Thiết lập'!$B$4,5,1)&lt;EDATE(DATE(YEAR($H218),MONTH($H218),1),$O218)),MIN($P218,MAX(0,$N218-$U218-SUM($V218:Y218))),0))</f>
        <v/>
      </c>
      <c r="AA218" s="457">
        <f>IF($AO218&lt;&gt;"OK",0,IF(AND(DATE('Thiết lập'!$B$4,6,1)&gt;=DATE(YEAR($H218),MONTH($H218),1),DATE('Thiết lập'!$B$4,6,1)&lt;EDATE(DATE(YEAR($H218),MONTH($H218),1),$O218)),MIN($P218,MAX(0,$N218-$U218-SUM($V218:Z218))),0))</f>
        <v/>
      </c>
      <c r="AB218" s="457">
        <f>IF($AO218&lt;&gt;"OK",0,IF(AND(DATE('Thiết lập'!$B$4,7,1)&gt;=DATE(YEAR($H218),MONTH($H218),1),DATE('Thiết lập'!$B$4,7,1)&lt;EDATE(DATE(YEAR($H218),MONTH($H218),1),$O218)),MIN($P218,MAX(0,$N218-$U218-SUM($V218:AA218))),0))</f>
        <v/>
      </c>
      <c r="AC218" s="457">
        <f>IF($AO218&lt;&gt;"OK",0,IF(AND(DATE('Thiết lập'!$B$4,8,1)&gt;=DATE(YEAR($H218),MONTH($H218),1),DATE('Thiết lập'!$B$4,8,1)&lt;EDATE(DATE(YEAR($H218),MONTH($H218),1),$O218)),MIN($P218,MAX(0,$N218-$U218-SUM($V218:AB218))),0))</f>
        <v/>
      </c>
      <c r="AD218" s="457">
        <f>IF($AO218&lt;&gt;"OK",0,IF(AND(DATE('Thiết lập'!$B$4,9,1)&gt;=DATE(YEAR($H218),MONTH($H218),1),DATE('Thiết lập'!$B$4,9,1)&lt;EDATE(DATE(YEAR($H218),MONTH($H218),1),$O218)),MIN($P218,MAX(0,$N218-$U218-SUM($V218:AC218))),0))</f>
        <v/>
      </c>
      <c r="AE218" s="457">
        <f>IF($AO218&lt;&gt;"OK",0,IF(AND(DATE('Thiết lập'!$B$4,10,1)&gt;=DATE(YEAR($H218),MONTH($H218),1),DATE('Thiết lập'!$B$4,10,1)&lt;EDATE(DATE(YEAR($H218),MONTH($H218),1),$O218)),MIN($P218,MAX(0,$N218-$U218-SUM($V218:AD218))),0))</f>
        <v/>
      </c>
      <c r="AF218" s="457">
        <f>IF($AO218&lt;&gt;"OK",0,IF(AND(DATE('Thiết lập'!$B$4,11,1)&gt;=DATE(YEAR($H218),MONTH($H218),1),DATE('Thiết lập'!$B$4,11,1)&lt;EDATE(DATE(YEAR($H218),MONTH($H218),1),$O218)),MIN($P218,MAX(0,$N218-$U218-SUM($V218:AE218))),0))</f>
        <v/>
      </c>
      <c r="AG218" s="457">
        <f>IF($AO218&lt;&gt;"OK",0,IF(AND(DATE('Thiết lập'!$B$4,12,1)&gt;=DATE(YEAR($H218),MONTH($H218),1),DATE('Thiết lập'!$B$4,12,1)&lt;EDATE(DATE(YEAR($H218),MONTH($H218),1),$O218)),MIN($P218,MAX(0,$N218-$U218-SUM($V218:AF218))),0))</f>
        <v/>
      </c>
      <c r="AH218" s="457">
        <f>IF(B218="","",SUM(V218:AG218))</f>
        <v/>
      </c>
      <c r="AI218" s="457">
        <f>IF(B218="","",MIN(N218,IF(U218="",0,U218)+AH218))</f>
        <v/>
      </c>
      <c r="AJ218" s="457">
        <f>IF(B218="","",MAX(0,L218-AI218))</f>
        <v/>
      </c>
      <c r="AK218" s="337">
        <f>IF(B218="","",IF(H218&gt;'Thiết lập'!$B$5,"Chưa khấu hao",IF(AJ218&lt;=IF(M218="",0,M218),"Đã hết khấu hao","Đang khấu hao")))</f>
        <v/>
      </c>
      <c r="AL218" s="275" t="n"/>
      <c r="AM218" s="275" t="n"/>
      <c r="AN218" s="275" t="n"/>
      <c r="AO218" s="343">
        <f>IF(B218="","",IF(COUNTIF($B$7:$B$306,B218)&gt;1,"Trùng mã TSCĐ",IF(C218="","Thiếu tên TSCĐ",IF(H218="","Thiếu ngày bắt đầu",IF(OR(I218&lt;=0,L218&lt;=0,O218&lt;=0),"Kiểm tra số lượng/nguyên giá/thời gian",IF(AND(G218&lt;&gt;"",H218&lt;G218),"Ngày KH trước ngày ghi tăng",IF(M218&gt;L218,"Giá trị thu hồi vượt nguyên giá",IF(IF(U218="",0,U218)&gt;N218,"Lũy kế đầu năm vượt GTKH","OK"))))))))</f>
        <v/>
      </c>
    </row>
    <row r="219" ht="20" customHeight="1" s="389">
      <c r="A219" s="325">
        <f>IF(B219="","",ROW()-6)</f>
        <v/>
      </c>
      <c r="B219" s="275" t="n"/>
      <c r="C219" s="275" t="n"/>
      <c r="D219" s="331" t="n"/>
      <c r="E219" s="331" t="n"/>
      <c r="F219" s="454" t="n"/>
      <c r="G219" s="454" t="n"/>
      <c r="H219" s="454" t="n"/>
      <c r="I219" s="455" t="n"/>
      <c r="J219" s="456" t="n"/>
      <c r="K219" s="456" t="n"/>
      <c r="L219" s="457">
        <f>IF(B219="","",IF(OR(I219="",J219=""),"",I219*J219+IF(K219="",0,K219)))</f>
        <v/>
      </c>
      <c r="M219" s="456" t="n"/>
      <c r="N219" s="457">
        <f>IF(L219="","",MAX(0,L219-IF(M219="",0,M219)))</f>
        <v/>
      </c>
      <c r="O219" s="455" t="n"/>
      <c r="P219" s="457">
        <f>IF(OR(N219="",O219&lt;=0),"",ROUND(N219/O219,0))</f>
        <v/>
      </c>
      <c r="Q219" s="458">
        <f>IF(OR(H219="",O219&lt;=0),"",EOMONTH(H219,O219-1))</f>
        <v/>
      </c>
      <c r="R219" s="331" t="n"/>
      <c r="S219" s="331" t="n"/>
      <c r="T219" s="331" t="n"/>
      <c r="U219" s="456" t="n"/>
      <c r="V219" s="457">
        <f>IF($AO219&lt;&gt;"OK",0,IF(AND(DATE('Thiết lập'!$B$4,1,1)&gt;=DATE(YEAR($H219),MONTH($H219),1),DATE('Thiết lập'!$B$4,1,1)&lt;EDATE(DATE(YEAR($H219),MONTH($H219),1),$O219)),MIN($P219,MAX(0,$N219-$U219-0)),0))</f>
        <v/>
      </c>
      <c r="W219" s="457">
        <f>IF($AO219&lt;&gt;"OK",0,IF(AND(DATE('Thiết lập'!$B$4,2,1)&gt;=DATE(YEAR($H219),MONTH($H219),1),DATE('Thiết lập'!$B$4,2,1)&lt;EDATE(DATE(YEAR($H219),MONTH($H219),1),$O219)),MIN($P219,MAX(0,$N219-$U219-SUM($V219:V219))),0))</f>
        <v/>
      </c>
      <c r="X219" s="457">
        <f>IF($AO219&lt;&gt;"OK",0,IF(AND(DATE('Thiết lập'!$B$4,3,1)&gt;=DATE(YEAR($H219),MONTH($H219),1),DATE('Thiết lập'!$B$4,3,1)&lt;EDATE(DATE(YEAR($H219),MONTH($H219),1),$O219)),MIN($P219,MAX(0,$N219-$U219-SUM($V219:W219))),0))</f>
        <v/>
      </c>
      <c r="Y219" s="457">
        <f>IF($AO219&lt;&gt;"OK",0,IF(AND(DATE('Thiết lập'!$B$4,4,1)&gt;=DATE(YEAR($H219),MONTH($H219),1),DATE('Thiết lập'!$B$4,4,1)&lt;EDATE(DATE(YEAR($H219),MONTH($H219),1),$O219)),MIN($P219,MAX(0,$N219-$U219-SUM($V219:X219))),0))</f>
        <v/>
      </c>
      <c r="Z219" s="457">
        <f>IF($AO219&lt;&gt;"OK",0,IF(AND(DATE('Thiết lập'!$B$4,5,1)&gt;=DATE(YEAR($H219),MONTH($H219),1),DATE('Thiết lập'!$B$4,5,1)&lt;EDATE(DATE(YEAR($H219),MONTH($H219),1),$O219)),MIN($P219,MAX(0,$N219-$U219-SUM($V219:Y219))),0))</f>
        <v/>
      </c>
      <c r="AA219" s="457">
        <f>IF($AO219&lt;&gt;"OK",0,IF(AND(DATE('Thiết lập'!$B$4,6,1)&gt;=DATE(YEAR($H219),MONTH($H219),1),DATE('Thiết lập'!$B$4,6,1)&lt;EDATE(DATE(YEAR($H219),MONTH($H219),1),$O219)),MIN($P219,MAX(0,$N219-$U219-SUM($V219:Z219))),0))</f>
        <v/>
      </c>
      <c r="AB219" s="457">
        <f>IF($AO219&lt;&gt;"OK",0,IF(AND(DATE('Thiết lập'!$B$4,7,1)&gt;=DATE(YEAR($H219),MONTH($H219),1),DATE('Thiết lập'!$B$4,7,1)&lt;EDATE(DATE(YEAR($H219),MONTH($H219),1),$O219)),MIN($P219,MAX(0,$N219-$U219-SUM($V219:AA219))),0))</f>
        <v/>
      </c>
      <c r="AC219" s="457">
        <f>IF($AO219&lt;&gt;"OK",0,IF(AND(DATE('Thiết lập'!$B$4,8,1)&gt;=DATE(YEAR($H219),MONTH($H219),1),DATE('Thiết lập'!$B$4,8,1)&lt;EDATE(DATE(YEAR($H219),MONTH($H219),1),$O219)),MIN($P219,MAX(0,$N219-$U219-SUM($V219:AB219))),0))</f>
        <v/>
      </c>
      <c r="AD219" s="457">
        <f>IF($AO219&lt;&gt;"OK",0,IF(AND(DATE('Thiết lập'!$B$4,9,1)&gt;=DATE(YEAR($H219),MONTH($H219),1),DATE('Thiết lập'!$B$4,9,1)&lt;EDATE(DATE(YEAR($H219),MONTH($H219),1),$O219)),MIN($P219,MAX(0,$N219-$U219-SUM($V219:AC219))),0))</f>
        <v/>
      </c>
      <c r="AE219" s="457">
        <f>IF($AO219&lt;&gt;"OK",0,IF(AND(DATE('Thiết lập'!$B$4,10,1)&gt;=DATE(YEAR($H219),MONTH($H219),1),DATE('Thiết lập'!$B$4,10,1)&lt;EDATE(DATE(YEAR($H219),MONTH($H219),1),$O219)),MIN($P219,MAX(0,$N219-$U219-SUM($V219:AD219))),0))</f>
        <v/>
      </c>
      <c r="AF219" s="457">
        <f>IF($AO219&lt;&gt;"OK",0,IF(AND(DATE('Thiết lập'!$B$4,11,1)&gt;=DATE(YEAR($H219),MONTH($H219),1),DATE('Thiết lập'!$B$4,11,1)&lt;EDATE(DATE(YEAR($H219),MONTH($H219),1),$O219)),MIN($P219,MAX(0,$N219-$U219-SUM($V219:AE219))),0))</f>
        <v/>
      </c>
      <c r="AG219" s="457">
        <f>IF($AO219&lt;&gt;"OK",0,IF(AND(DATE('Thiết lập'!$B$4,12,1)&gt;=DATE(YEAR($H219),MONTH($H219),1),DATE('Thiết lập'!$B$4,12,1)&lt;EDATE(DATE(YEAR($H219),MONTH($H219),1),$O219)),MIN($P219,MAX(0,$N219-$U219-SUM($V219:AF219))),0))</f>
        <v/>
      </c>
      <c r="AH219" s="457">
        <f>IF(B219="","",SUM(V219:AG219))</f>
        <v/>
      </c>
      <c r="AI219" s="457">
        <f>IF(B219="","",MIN(N219,IF(U219="",0,U219)+AH219))</f>
        <v/>
      </c>
      <c r="AJ219" s="457">
        <f>IF(B219="","",MAX(0,L219-AI219))</f>
        <v/>
      </c>
      <c r="AK219" s="337">
        <f>IF(B219="","",IF(H219&gt;'Thiết lập'!$B$5,"Chưa khấu hao",IF(AJ219&lt;=IF(M219="",0,M219),"Đã hết khấu hao","Đang khấu hao")))</f>
        <v/>
      </c>
      <c r="AL219" s="275" t="n"/>
      <c r="AM219" s="275" t="n"/>
      <c r="AN219" s="275" t="n"/>
      <c r="AO219" s="343">
        <f>IF(B219="","",IF(COUNTIF($B$7:$B$306,B219)&gt;1,"Trùng mã TSCĐ",IF(C219="","Thiếu tên TSCĐ",IF(H219="","Thiếu ngày bắt đầu",IF(OR(I219&lt;=0,L219&lt;=0,O219&lt;=0),"Kiểm tra số lượng/nguyên giá/thời gian",IF(AND(G219&lt;&gt;"",H219&lt;G219),"Ngày KH trước ngày ghi tăng",IF(M219&gt;L219,"Giá trị thu hồi vượt nguyên giá",IF(IF(U219="",0,U219)&gt;N219,"Lũy kế đầu năm vượt GTKH","OK"))))))))</f>
        <v/>
      </c>
    </row>
    <row r="220" ht="20" customHeight="1" s="389">
      <c r="A220" s="325">
        <f>IF(B220="","",ROW()-6)</f>
        <v/>
      </c>
      <c r="B220" s="275" t="n"/>
      <c r="C220" s="275" t="n"/>
      <c r="D220" s="331" t="n"/>
      <c r="E220" s="331" t="n"/>
      <c r="F220" s="454" t="n"/>
      <c r="G220" s="454" t="n"/>
      <c r="H220" s="454" t="n"/>
      <c r="I220" s="455" t="n"/>
      <c r="J220" s="456" t="n"/>
      <c r="K220" s="456" t="n"/>
      <c r="L220" s="457">
        <f>IF(B220="","",IF(OR(I220="",J220=""),"",I220*J220+IF(K220="",0,K220)))</f>
        <v/>
      </c>
      <c r="M220" s="456" t="n"/>
      <c r="N220" s="457">
        <f>IF(L220="","",MAX(0,L220-IF(M220="",0,M220)))</f>
        <v/>
      </c>
      <c r="O220" s="455" t="n"/>
      <c r="P220" s="457">
        <f>IF(OR(N220="",O220&lt;=0),"",ROUND(N220/O220,0))</f>
        <v/>
      </c>
      <c r="Q220" s="458">
        <f>IF(OR(H220="",O220&lt;=0),"",EOMONTH(H220,O220-1))</f>
        <v/>
      </c>
      <c r="R220" s="331" t="n"/>
      <c r="S220" s="331" t="n"/>
      <c r="T220" s="331" t="n"/>
      <c r="U220" s="456" t="n"/>
      <c r="V220" s="457">
        <f>IF($AO220&lt;&gt;"OK",0,IF(AND(DATE('Thiết lập'!$B$4,1,1)&gt;=DATE(YEAR($H220),MONTH($H220),1),DATE('Thiết lập'!$B$4,1,1)&lt;EDATE(DATE(YEAR($H220),MONTH($H220),1),$O220)),MIN($P220,MAX(0,$N220-$U220-0)),0))</f>
        <v/>
      </c>
      <c r="W220" s="457">
        <f>IF($AO220&lt;&gt;"OK",0,IF(AND(DATE('Thiết lập'!$B$4,2,1)&gt;=DATE(YEAR($H220),MONTH($H220),1),DATE('Thiết lập'!$B$4,2,1)&lt;EDATE(DATE(YEAR($H220),MONTH($H220),1),$O220)),MIN($P220,MAX(0,$N220-$U220-SUM($V220:V220))),0))</f>
        <v/>
      </c>
      <c r="X220" s="457">
        <f>IF($AO220&lt;&gt;"OK",0,IF(AND(DATE('Thiết lập'!$B$4,3,1)&gt;=DATE(YEAR($H220),MONTH($H220),1),DATE('Thiết lập'!$B$4,3,1)&lt;EDATE(DATE(YEAR($H220),MONTH($H220),1),$O220)),MIN($P220,MAX(0,$N220-$U220-SUM($V220:W220))),0))</f>
        <v/>
      </c>
      <c r="Y220" s="457">
        <f>IF($AO220&lt;&gt;"OK",0,IF(AND(DATE('Thiết lập'!$B$4,4,1)&gt;=DATE(YEAR($H220),MONTH($H220),1),DATE('Thiết lập'!$B$4,4,1)&lt;EDATE(DATE(YEAR($H220),MONTH($H220),1),$O220)),MIN($P220,MAX(0,$N220-$U220-SUM($V220:X220))),0))</f>
        <v/>
      </c>
      <c r="Z220" s="457">
        <f>IF($AO220&lt;&gt;"OK",0,IF(AND(DATE('Thiết lập'!$B$4,5,1)&gt;=DATE(YEAR($H220),MONTH($H220),1),DATE('Thiết lập'!$B$4,5,1)&lt;EDATE(DATE(YEAR($H220),MONTH($H220),1),$O220)),MIN($P220,MAX(0,$N220-$U220-SUM($V220:Y220))),0))</f>
        <v/>
      </c>
      <c r="AA220" s="457">
        <f>IF($AO220&lt;&gt;"OK",0,IF(AND(DATE('Thiết lập'!$B$4,6,1)&gt;=DATE(YEAR($H220),MONTH($H220),1),DATE('Thiết lập'!$B$4,6,1)&lt;EDATE(DATE(YEAR($H220),MONTH($H220),1),$O220)),MIN($P220,MAX(0,$N220-$U220-SUM($V220:Z220))),0))</f>
        <v/>
      </c>
      <c r="AB220" s="457">
        <f>IF($AO220&lt;&gt;"OK",0,IF(AND(DATE('Thiết lập'!$B$4,7,1)&gt;=DATE(YEAR($H220),MONTH($H220),1),DATE('Thiết lập'!$B$4,7,1)&lt;EDATE(DATE(YEAR($H220),MONTH($H220),1),$O220)),MIN($P220,MAX(0,$N220-$U220-SUM($V220:AA220))),0))</f>
        <v/>
      </c>
      <c r="AC220" s="457">
        <f>IF($AO220&lt;&gt;"OK",0,IF(AND(DATE('Thiết lập'!$B$4,8,1)&gt;=DATE(YEAR($H220),MONTH($H220),1),DATE('Thiết lập'!$B$4,8,1)&lt;EDATE(DATE(YEAR($H220),MONTH($H220),1),$O220)),MIN($P220,MAX(0,$N220-$U220-SUM($V220:AB220))),0))</f>
        <v/>
      </c>
      <c r="AD220" s="457">
        <f>IF($AO220&lt;&gt;"OK",0,IF(AND(DATE('Thiết lập'!$B$4,9,1)&gt;=DATE(YEAR($H220),MONTH($H220),1),DATE('Thiết lập'!$B$4,9,1)&lt;EDATE(DATE(YEAR($H220),MONTH($H220),1),$O220)),MIN($P220,MAX(0,$N220-$U220-SUM($V220:AC220))),0))</f>
        <v/>
      </c>
      <c r="AE220" s="457">
        <f>IF($AO220&lt;&gt;"OK",0,IF(AND(DATE('Thiết lập'!$B$4,10,1)&gt;=DATE(YEAR($H220),MONTH($H220),1),DATE('Thiết lập'!$B$4,10,1)&lt;EDATE(DATE(YEAR($H220),MONTH($H220),1),$O220)),MIN($P220,MAX(0,$N220-$U220-SUM($V220:AD220))),0))</f>
        <v/>
      </c>
      <c r="AF220" s="457">
        <f>IF($AO220&lt;&gt;"OK",0,IF(AND(DATE('Thiết lập'!$B$4,11,1)&gt;=DATE(YEAR($H220),MONTH($H220),1),DATE('Thiết lập'!$B$4,11,1)&lt;EDATE(DATE(YEAR($H220),MONTH($H220),1),$O220)),MIN($P220,MAX(0,$N220-$U220-SUM($V220:AE220))),0))</f>
        <v/>
      </c>
      <c r="AG220" s="457">
        <f>IF($AO220&lt;&gt;"OK",0,IF(AND(DATE('Thiết lập'!$B$4,12,1)&gt;=DATE(YEAR($H220),MONTH($H220),1),DATE('Thiết lập'!$B$4,12,1)&lt;EDATE(DATE(YEAR($H220),MONTH($H220),1),$O220)),MIN($P220,MAX(0,$N220-$U220-SUM($V220:AF220))),0))</f>
        <v/>
      </c>
      <c r="AH220" s="457">
        <f>IF(B220="","",SUM(V220:AG220))</f>
        <v/>
      </c>
      <c r="AI220" s="457">
        <f>IF(B220="","",MIN(N220,IF(U220="",0,U220)+AH220))</f>
        <v/>
      </c>
      <c r="AJ220" s="457">
        <f>IF(B220="","",MAX(0,L220-AI220))</f>
        <v/>
      </c>
      <c r="AK220" s="337">
        <f>IF(B220="","",IF(H220&gt;'Thiết lập'!$B$5,"Chưa khấu hao",IF(AJ220&lt;=IF(M220="",0,M220),"Đã hết khấu hao","Đang khấu hao")))</f>
        <v/>
      </c>
      <c r="AL220" s="275" t="n"/>
      <c r="AM220" s="275" t="n"/>
      <c r="AN220" s="275" t="n"/>
      <c r="AO220" s="343">
        <f>IF(B220="","",IF(COUNTIF($B$7:$B$306,B220)&gt;1,"Trùng mã TSCĐ",IF(C220="","Thiếu tên TSCĐ",IF(H220="","Thiếu ngày bắt đầu",IF(OR(I220&lt;=0,L220&lt;=0,O220&lt;=0),"Kiểm tra số lượng/nguyên giá/thời gian",IF(AND(G220&lt;&gt;"",H220&lt;G220),"Ngày KH trước ngày ghi tăng",IF(M220&gt;L220,"Giá trị thu hồi vượt nguyên giá",IF(IF(U220="",0,U220)&gt;N220,"Lũy kế đầu năm vượt GTKH","OK"))))))))</f>
        <v/>
      </c>
    </row>
    <row r="221" ht="20" customHeight="1" s="389">
      <c r="A221" s="325">
        <f>IF(B221="","",ROW()-6)</f>
        <v/>
      </c>
      <c r="B221" s="275" t="n"/>
      <c r="C221" s="275" t="n"/>
      <c r="D221" s="331" t="n"/>
      <c r="E221" s="331" t="n"/>
      <c r="F221" s="454" t="n"/>
      <c r="G221" s="454" t="n"/>
      <c r="H221" s="454" t="n"/>
      <c r="I221" s="455" t="n"/>
      <c r="J221" s="456" t="n"/>
      <c r="K221" s="456" t="n"/>
      <c r="L221" s="457">
        <f>IF(B221="","",IF(OR(I221="",J221=""),"",I221*J221+IF(K221="",0,K221)))</f>
        <v/>
      </c>
      <c r="M221" s="456" t="n"/>
      <c r="N221" s="457">
        <f>IF(L221="","",MAX(0,L221-IF(M221="",0,M221)))</f>
        <v/>
      </c>
      <c r="O221" s="455" t="n"/>
      <c r="P221" s="457">
        <f>IF(OR(N221="",O221&lt;=0),"",ROUND(N221/O221,0))</f>
        <v/>
      </c>
      <c r="Q221" s="458">
        <f>IF(OR(H221="",O221&lt;=0),"",EOMONTH(H221,O221-1))</f>
        <v/>
      </c>
      <c r="R221" s="331" t="n"/>
      <c r="S221" s="331" t="n"/>
      <c r="T221" s="331" t="n"/>
      <c r="U221" s="456" t="n"/>
      <c r="V221" s="457">
        <f>IF($AO221&lt;&gt;"OK",0,IF(AND(DATE('Thiết lập'!$B$4,1,1)&gt;=DATE(YEAR($H221),MONTH($H221),1),DATE('Thiết lập'!$B$4,1,1)&lt;EDATE(DATE(YEAR($H221),MONTH($H221),1),$O221)),MIN($P221,MAX(0,$N221-$U221-0)),0))</f>
        <v/>
      </c>
      <c r="W221" s="457">
        <f>IF($AO221&lt;&gt;"OK",0,IF(AND(DATE('Thiết lập'!$B$4,2,1)&gt;=DATE(YEAR($H221),MONTH($H221),1),DATE('Thiết lập'!$B$4,2,1)&lt;EDATE(DATE(YEAR($H221),MONTH($H221),1),$O221)),MIN($P221,MAX(0,$N221-$U221-SUM($V221:V221))),0))</f>
        <v/>
      </c>
      <c r="X221" s="457">
        <f>IF($AO221&lt;&gt;"OK",0,IF(AND(DATE('Thiết lập'!$B$4,3,1)&gt;=DATE(YEAR($H221),MONTH($H221),1),DATE('Thiết lập'!$B$4,3,1)&lt;EDATE(DATE(YEAR($H221),MONTH($H221),1),$O221)),MIN($P221,MAX(0,$N221-$U221-SUM($V221:W221))),0))</f>
        <v/>
      </c>
      <c r="Y221" s="457">
        <f>IF($AO221&lt;&gt;"OK",0,IF(AND(DATE('Thiết lập'!$B$4,4,1)&gt;=DATE(YEAR($H221),MONTH($H221),1),DATE('Thiết lập'!$B$4,4,1)&lt;EDATE(DATE(YEAR($H221),MONTH($H221),1),$O221)),MIN($P221,MAX(0,$N221-$U221-SUM($V221:X221))),0))</f>
        <v/>
      </c>
      <c r="Z221" s="457">
        <f>IF($AO221&lt;&gt;"OK",0,IF(AND(DATE('Thiết lập'!$B$4,5,1)&gt;=DATE(YEAR($H221),MONTH($H221),1),DATE('Thiết lập'!$B$4,5,1)&lt;EDATE(DATE(YEAR($H221),MONTH($H221),1),$O221)),MIN($P221,MAX(0,$N221-$U221-SUM($V221:Y221))),0))</f>
        <v/>
      </c>
      <c r="AA221" s="457">
        <f>IF($AO221&lt;&gt;"OK",0,IF(AND(DATE('Thiết lập'!$B$4,6,1)&gt;=DATE(YEAR($H221),MONTH($H221),1),DATE('Thiết lập'!$B$4,6,1)&lt;EDATE(DATE(YEAR($H221),MONTH($H221),1),$O221)),MIN($P221,MAX(0,$N221-$U221-SUM($V221:Z221))),0))</f>
        <v/>
      </c>
      <c r="AB221" s="457">
        <f>IF($AO221&lt;&gt;"OK",0,IF(AND(DATE('Thiết lập'!$B$4,7,1)&gt;=DATE(YEAR($H221),MONTH($H221),1),DATE('Thiết lập'!$B$4,7,1)&lt;EDATE(DATE(YEAR($H221),MONTH($H221),1),$O221)),MIN($P221,MAX(0,$N221-$U221-SUM($V221:AA221))),0))</f>
        <v/>
      </c>
      <c r="AC221" s="457">
        <f>IF($AO221&lt;&gt;"OK",0,IF(AND(DATE('Thiết lập'!$B$4,8,1)&gt;=DATE(YEAR($H221),MONTH($H221),1),DATE('Thiết lập'!$B$4,8,1)&lt;EDATE(DATE(YEAR($H221),MONTH($H221),1),$O221)),MIN($P221,MAX(0,$N221-$U221-SUM($V221:AB221))),0))</f>
        <v/>
      </c>
      <c r="AD221" s="457">
        <f>IF($AO221&lt;&gt;"OK",0,IF(AND(DATE('Thiết lập'!$B$4,9,1)&gt;=DATE(YEAR($H221),MONTH($H221),1),DATE('Thiết lập'!$B$4,9,1)&lt;EDATE(DATE(YEAR($H221),MONTH($H221),1),$O221)),MIN($P221,MAX(0,$N221-$U221-SUM($V221:AC221))),0))</f>
        <v/>
      </c>
      <c r="AE221" s="457">
        <f>IF($AO221&lt;&gt;"OK",0,IF(AND(DATE('Thiết lập'!$B$4,10,1)&gt;=DATE(YEAR($H221),MONTH($H221),1),DATE('Thiết lập'!$B$4,10,1)&lt;EDATE(DATE(YEAR($H221),MONTH($H221),1),$O221)),MIN($P221,MAX(0,$N221-$U221-SUM($V221:AD221))),0))</f>
        <v/>
      </c>
      <c r="AF221" s="457">
        <f>IF($AO221&lt;&gt;"OK",0,IF(AND(DATE('Thiết lập'!$B$4,11,1)&gt;=DATE(YEAR($H221),MONTH($H221),1),DATE('Thiết lập'!$B$4,11,1)&lt;EDATE(DATE(YEAR($H221),MONTH($H221),1),$O221)),MIN($P221,MAX(0,$N221-$U221-SUM($V221:AE221))),0))</f>
        <v/>
      </c>
      <c r="AG221" s="457">
        <f>IF($AO221&lt;&gt;"OK",0,IF(AND(DATE('Thiết lập'!$B$4,12,1)&gt;=DATE(YEAR($H221),MONTH($H221),1),DATE('Thiết lập'!$B$4,12,1)&lt;EDATE(DATE(YEAR($H221),MONTH($H221),1),$O221)),MIN($P221,MAX(0,$N221-$U221-SUM($V221:AF221))),0))</f>
        <v/>
      </c>
      <c r="AH221" s="457">
        <f>IF(B221="","",SUM(V221:AG221))</f>
        <v/>
      </c>
      <c r="AI221" s="457">
        <f>IF(B221="","",MIN(N221,IF(U221="",0,U221)+AH221))</f>
        <v/>
      </c>
      <c r="AJ221" s="457">
        <f>IF(B221="","",MAX(0,L221-AI221))</f>
        <v/>
      </c>
      <c r="AK221" s="337">
        <f>IF(B221="","",IF(H221&gt;'Thiết lập'!$B$5,"Chưa khấu hao",IF(AJ221&lt;=IF(M221="",0,M221),"Đã hết khấu hao","Đang khấu hao")))</f>
        <v/>
      </c>
      <c r="AL221" s="275" t="n"/>
      <c r="AM221" s="275" t="n"/>
      <c r="AN221" s="275" t="n"/>
      <c r="AO221" s="343">
        <f>IF(B221="","",IF(COUNTIF($B$7:$B$306,B221)&gt;1,"Trùng mã TSCĐ",IF(C221="","Thiếu tên TSCĐ",IF(H221="","Thiếu ngày bắt đầu",IF(OR(I221&lt;=0,L221&lt;=0,O221&lt;=0),"Kiểm tra số lượng/nguyên giá/thời gian",IF(AND(G221&lt;&gt;"",H221&lt;G221),"Ngày KH trước ngày ghi tăng",IF(M221&gt;L221,"Giá trị thu hồi vượt nguyên giá",IF(IF(U221="",0,U221)&gt;N221,"Lũy kế đầu năm vượt GTKH","OK"))))))))</f>
        <v/>
      </c>
    </row>
    <row r="222" ht="20" customHeight="1" s="389">
      <c r="A222" s="325">
        <f>IF(B222="","",ROW()-6)</f>
        <v/>
      </c>
      <c r="B222" s="275" t="n"/>
      <c r="C222" s="275" t="n"/>
      <c r="D222" s="331" t="n"/>
      <c r="E222" s="331" t="n"/>
      <c r="F222" s="454" t="n"/>
      <c r="G222" s="454" t="n"/>
      <c r="H222" s="454" t="n"/>
      <c r="I222" s="455" t="n"/>
      <c r="J222" s="456" t="n"/>
      <c r="K222" s="456" t="n"/>
      <c r="L222" s="457">
        <f>IF(B222="","",IF(OR(I222="",J222=""),"",I222*J222+IF(K222="",0,K222)))</f>
        <v/>
      </c>
      <c r="M222" s="456" t="n"/>
      <c r="N222" s="457">
        <f>IF(L222="","",MAX(0,L222-IF(M222="",0,M222)))</f>
        <v/>
      </c>
      <c r="O222" s="455" t="n"/>
      <c r="P222" s="457">
        <f>IF(OR(N222="",O222&lt;=0),"",ROUND(N222/O222,0))</f>
        <v/>
      </c>
      <c r="Q222" s="458">
        <f>IF(OR(H222="",O222&lt;=0),"",EOMONTH(H222,O222-1))</f>
        <v/>
      </c>
      <c r="R222" s="331" t="n"/>
      <c r="S222" s="331" t="n"/>
      <c r="T222" s="331" t="n"/>
      <c r="U222" s="456" t="n"/>
      <c r="V222" s="457">
        <f>IF($AO222&lt;&gt;"OK",0,IF(AND(DATE('Thiết lập'!$B$4,1,1)&gt;=DATE(YEAR($H222),MONTH($H222),1),DATE('Thiết lập'!$B$4,1,1)&lt;EDATE(DATE(YEAR($H222),MONTH($H222),1),$O222)),MIN($P222,MAX(0,$N222-$U222-0)),0))</f>
        <v/>
      </c>
      <c r="W222" s="457">
        <f>IF($AO222&lt;&gt;"OK",0,IF(AND(DATE('Thiết lập'!$B$4,2,1)&gt;=DATE(YEAR($H222),MONTH($H222),1),DATE('Thiết lập'!$B$4,2,1)&lt;EDATE(DATE(YEAR($H222),MONTH($H222),1),$O222)),MIN($P222,MAX(0,$N222-$U222-SUM($V222:V222))),0))</f>
        <v/>
      </c>
      <c r="X222" s="457">
        <f>IF($AO222&lt;&gt;"OK",0,IF(AND(DATE('Thiết lập'!$B$4,3,1)&gt;=DATE(YEAR($H222),MONTH($H222),1),DATE('Thiết lập'!$B$4,3,1)&lt;EDATE(DATE(YEAR($H222),MONTH($H222),1),$O222)),MIN($P222,MAX(0,$N222-$U222-SUM($V222:W222))),0))</f>
        <v/>
      </c>
      <c r="Y222" s="457">
        <f>IF($AO222&lt;&gt;"OK",0,IF(AND(DATE('Thiết lập'!$B$4,4,1)&gt;=DATE(YEAR($H222),MONTH($H222),1),DATE('Thiết lập'!$B$4,4,1)&lt;EDATE(DATE(YEAR($H222),MONTH($H222),1),$O222)),MIN($P222,MAX(0,$N222-$U222-SUM($V222:X222))),0))</f>
        <v/>
      </c>
      <c r="Z222" s="457">
        <f>IF($AO222&lt;&gt;"OK",0,IF(AND(DATE('Thiết lập'!$B$4,5,1)&gt;=DATE(YEAR($H222),MONTH($H222),1),DATE('Thiết lập'!$B$4,5,1)&lt;EDATE(DATE(YEAR($H222),MONTH($H222),1),$O222)),MIN($P222,MAX(0,$N222-$U222-SUM($V222:Y222))),0))</f>
        <v/>
      </c>
      <c r="AA222" s="457">
        <f>IF($AO222&lt;&gt;"OK",0,IF(AND(DATE('Thiết lập'!$B$4,6,1)&gt;=DATE(YEAR($H222),MONTH($H222),1),DATE('Thiết lập'!$B$4,6,1)&lt;EDATE(DATE(YEAR($H222),MONTH($H222),1),$O222)),MIN($P222,MAX(0,$N222-$U222-SUM($V222:Z222))),0))</f>
        <v/>
      </c>
      <c r="AB222" s="457">
        <f>IF($AO222&lt;&gt;"OK",0,IF(AND(DATE('Thiết lập'!$B$4,7,1)&gt;=DATE(YEAR($H222),MONTH($H222),1),DATE('Thiết lập'!$B$4,7,1)&lt;EDATE(DATE(YEAR($H222),MONTH($H222),1),$O222)),MIN($P222,MAX(0,$N222-$U222-SUM($V222:AA222))),0))</f>
        <v/>
      </c>
      <c r="AC222" s="457">
        <f>IF($AO222&lt;&gt;"OK",0,IF(AND(DATE('Thiết lập'!$B$4,8,1)&gt;=DATE(YEAR($H222),MONTH($H222),1),DATE('Thiết lập'!$B$4,8,1)&lt;EDATE(DATE(YEAR($H222),MONTH($H222),1),$O222)),MIN($P222,MAX(0,$N222-$U222-SUM($V222:AB222))),0))</f>
        <v/>
      </c>
      <c r="AD222" s="457">
        <f>IF($AO222&lt;&gt;"OK",0,IF(AND(DATE('Thiết lập'!$B$4,9,1)&gt;=DATE(YEAR($H222),MONTH($H222),1),DATE('Thiết lập'!$B$4,9,1)&lt;EDATE(DATE(YEAR($H222),MONTH($H222),1),$O222)),MIN($P222,MAX(0,$N222-$U222-SUM($V222:AC222))),0))</f>
        <v/>
      </c>
      <c r="AE222" s="457">
        <f>IF($AO222&lt;&gt;"OK",0,IF(AND(DATE('Thiết lập'!$B$4,10,1)&gt;=DATE(YEAR($H222),MONTH($H222),1),DATE('Thiết lập'!$B$4,10,1)&lt;EDATE(DATE(YEAR($H222),MONTH($H222),1),$O222)),MIN($P222,MAX(0,$N222-$U222-SUM($V222:AD222))),0))</f>
        <v/>
      </c>
      <c r="AF222" s="457">
        <f>IF($AO222&lt;&gt;"OK",0,IF(AND(DATE('Thiết lập'!$B$4,11,1)&gt;=DATE(YEAR($H222),MONTH($H222),1),DATE('Thiết lập'!$B$4,11,1)&lt;EDATE(DATE(YEAR($H222),MONTH($H222),1),$O222)),MIN($P222,MAX(0,$N222-$U222-SUM($V222:AE222))),0))</f>
        <v/>
      </c>
      <c r="AG222" s="457">
        <f>IF($AO222&lt;&gt;"OK",0,IF(AND(DATE('Thiết lập'!$B$4,12,1)&gt;=DATE(YEAR($H222),MONTH($H222),1),DATE('Thiết lập'!$B$4,12,1)&lt;EDATE(DATE(YEAR($H222),MONTH($H222),1),$O222)),MIN($P222,MAX(0,$N222-$U222-SUM($V222:AF222))),0))</f>
        <v/>
      </c>
      <c r="AH222" s="457">
        <f>IF(B222="","",SUM(V222:AG222))</f>
        <v/>
      </c>
      <c r="AI222" s="457">
        <f>IF(B222="","",MIN(N222,IF(U222="",0,U222)+AH222))</f>
        <v/>
      </c>
      <c r="AJ222" s="457">
        <f>IF(B222="","",MAX(0,L222-AI222))</f>
        <v/>
      </c>
      <c r="AK222" s="337">
        <f>IF(B222="","",IF(H222&gt;'Thiết lập'!$B$5,"Chưa khấu hao",IF(AJ222&lt;=IF(M222="",0,M222),"Đã hết khấu hao","Đang khấu hao")))</f>
        <v/>
      </c>
      <c r="AL222" s="275" t="n"/>
      <c r="AM222" s="275" t="n"/>
      <c r="AN222" s="275" t="n"/>
      <c r="AO222" s="343">
        <f>IF(B222="","",IF(COUNTIF($B$7:$B$306,B222)&gt;1,"Trùng mã TSCĐ",IF(C222="","Thiếu tên TSCĐ",IF(H222="","Thiếu ngày bắt đầu",IF(OR(I222&lt;=0,L222&lt;=0,O222&lt;=0),"Kiểm tra số lượng/nguyên giá/thời gian",IF(AND(G222&lt;&gt;"",H222&lt;G222),"Ngày KH trước ngày ghi tăng",IF(M222&gt;L222,"Giá trị thu hồi vượt nguyên giá",IF(IF(U222="",0,U222)&gt;N222,"Lũy kế đầu năm vượt GTKH","OK"))))))))</f>
        <v/>
      </c>
    </row>
    <row r="223" ht="20" customHeight="1" s="389">
      <c r="A223" s="325">
        <f>IF(B223="","",ROW()-6)</f>
        <v/>
      </c>
      <c r="B223" s="275" t="n"/>
      <c r="C223" s="275" t="n"/>
      <c r="D223" s="331" t="n"/>
      <c r="E223" s="331" t="n"/>
      <c r="F223" s="454" t="n"/>
      <c r="G223" s="454" t="n"/>
      <c r="H223" s="454" t="n"/>
      <c r="I223" s="455" t="n"/>
      <c r="J223" s="456" t="n"/>
      <c r="K223" s="456" t="n"/>
      <c r="L223" s="457">
        <f>IF(B223="","",IF(OR(I223="",J223=""),"",I223*J223+IF(K223="",0,K223)))</f>
        <v/>
      </c>
      <c r="M223" s="456" t="n"/>
      <c r="N223" s="457">
        <f>IF(L223="","",MAX(0,L223-IF(M223="",0,M223)))</f>
        <v/>
      </c>
      <c r="O223" s="455" t="n"/>
      <c r="P223" s="457">
        <f>IF(OR(N223="",O223&lt;=0),"",ROUND(N223/O223,0))</f>
        <v/>
      </c>
      <c r="Q223" s="458">
        <f>IF(OR(H223="",O223&lt;=0),"",EOMONTH(H223,O223-1))</f>
        <v/>
      </c>
      <c r="R223" s="331" t="n"/>
      <c r="S223" s="331" t="n"/>
      <c r="T223" s="331" t="n"/>
      <c r="U223" s="456" t="n"/>
      <c r="V223" s="457">
        <f>IF($AO223&lt;&gt;"OK",0,IF(AND(DATE('Thiết lập'!$B$4,1,1)&gt;=DATE(YEAR($H223),MONTH($H223),1),DATE('Thiết lập'!$B$4,1,1)&lt;EDATE(DATE(YEAR($H223),MONTH($H223),1),$O223)),MIN($P223,MAX(0,$N223-$U223-0)),0))</f>
        <v/>
      </c>
      <c r="W223" s="457">
        <f>IF($AO223&lt;&gt;"OK",0,IF(AND(DATE('Thiết lập'!$B$4,2,1)&gt;=DATE(YEAR($H223),MONTH($H223),1),DATE('Thiết lập'!$B$4,2,1)&lt;EDATE(DATE(YEAR($H223),MONTH($H223),1),$O223)),MIN($P223,MAX(0,$N223-$U223-SUM($V223:V223))),0))</f>
        <v/>
      </c>
      <c r="X223" s="457">
        <f>IF($AO223&lt;&gt;"OK",0,IF(AND(DATE('Thiết lập'!$B$4,3,1)&gt;=DATE(YEAR($H223),MONTH($H223),1),DATE('Thiết lập'!$B$4,3,1)&lt;EDATE(DATE(YEAR($H223),MONTH($H223),1),$O223)),MIN($P223,MAX(0,$N223-$U223-SUM($V223:W223))),0))</f>
        <v/>
      </c>
      <c r="Y223" s="457">
        <f>IF($AO223&lt;&gt;"OK",0,IF(AND(DATE('Thiết lập'!$B$4,4,1)&gt;=DATE(YEAR($H223),MONTH($H223),1),DATE('Thiết lập'!$B$4,4,1)&lt;EDATE(DATE(YEAR($H223),MONTH($H223),1),$O223)),MIN($P223,MAX(0,$N223-$U223-SUM($V223:X223))),0))</f>
        <v/>
      </c>
      <c r="Z223" s="457">
        <f>IF($AO223&lt;&gt;"OK",0,IF(AND(DATE('Thiết lập'!$B$4,5,1)&gt;=DATE(YEAR($H223),MONTH($H223),1),DATE('Thiết lập'!$B$4,5,1)&lt;EDATE(DATE(YEAR($H223),MONTH($H223),1),$O223)),MIN($P223,MAX(0,$N223-$U223-SUM($V223:Y223))),0))</f>
        <v/>
      </c>
      <c r="AA223" s="457">
        <f>IF($AO223&lt;&gt;"OK",0,IF(AND(DATE('Thiết lập'!$B$4,6,1)&gt;=DATE(YEAR($H223),MONTH($H223),1),DATE('Thiết lập'!$B$4,6,1)&lt;EDATE(DATE(YEAR($H223),MONTH($H223),1),$O223)),MIN($P223,MAX(0,$N223-$U223-SUM($V223:Z223))),0))</f>
        <v/>
      </c>
      <c r="AB223" s="457">
        <f>IF($AO223&lt;&gt;"OK",0,IF(AND(DATE('Thiết lập'!$B$4,7,1)&gt;=DATE(YEAR($H223),MONTH($H223),1),DATE('Thiết lập'!$B$4,7,1)&lt;EDATE(DATE(YEAR($H223),MONTH($H223),1),$O223)),MIN($P223,MAX(0,$N223-$U223-SUM($V223:AA223))),0))</f>
        <v/>
      </c>
      <c r="AC223" s="457">
        <f>IF($AO223&lt;&gt;"OK",0,IF(AND(DATE('Thiết lập'!$B$4,8,1)&gt;=DATE(YEAR($H223),MONTH($H223),1),DATE('Thiết lập'!$B$4,8,1)&lt;EDATE(DATE(YEAR($H223),MONTH($H223),1),$O223)),MIN($P223,MAX(0,$N223-$U223-SUM($V223:AB223))),0))</f>
        <v/>
      </c>
      <c r="AD223" s="457">
        <f>IF($AO223&lt;&gt;"OK",0,IF(AND(DATE('Thiết lập'!$B$4,9,1)&gt;=DATE(YEAR($H223),MONTH($H223),1),DATE('Thiết lập'!$B$4,9,1)&lt;EDATE(DATE(YEAR($H223),MONTH($H223),1),$O223)),MIN($P223,MAX(0,$N223-$U223-SUM($V223:AC223))),0))</f>
        <v/>
      </c>
      <c r="AE223" s="457">
        <f>IF($AO223&lt;&gt;"OK",0,IF(AND(DATE('Thiết lập'!$B$4,10,1)&gt;=DATE(YEAR($H223),MONTH($H223),1),DATE('Thiết lập'!$B$4,10,1)&lt;EDATE(DATE(YEAR($H223),MONTH($H223),1),$O223)),MIN($P223,MAX(0,$N223-$U223-SUM($V223:AD223))),0))</f>
        <v/>
      </c>
      <c r="AF223" s="457">
        <f>IF($AO223&lt;&gt;"OK",0,IF(AND(DATE('Thiết lập'!$B$4,11,1)&gt;=DATE(YEAR($H223),MONTH($H223),1),DATE('Thiết lập'!$B$4,11,1)&lt;EDATE(DATE(YEAR($H223),MONTH($H223),1),$O223)),MIN($P223,MAX(0,$N223-$U223-SUM($V223:AE223))),0))</f>
        <v/>
      </c>
      <c r="AG223" s="457">
        <f>IF($AO223&lt;&gt;"OK",0,IF(AND(DATE('Thiết lập'!$B$4,12,1)&gt;=DATE(YEAR($H223),MONTH($H223),1),DATE('Thiết lập'!$B$4,12,1)&lt;EDATE(DATE(YEAR($H223),MONTH($H223),1),$O223)),MIN($P223,MAX(0,$N223-$U223-SUM($V223:AF223))),0))</f>
        <v/>
      </c>
      <c r="AH223" s="457">
        <f>IF(B223="","",SUM(V223:AG223))</f>
        <v/>
      </c>
      <c r="AI223" s="457">
        <f>IF(B223="","",MIN(N223,IF(U223="",0,U223)+AH223))</f>
        <v/>
      </c>
      <c r="AJ223" s="457">
        <f>IF(B223="","",MAX(0,L223-AI223))</f>
        <v/>
      </c>
      <c r="AK223" s="337">
        <f>IF(B223="","",IF(H223&gt;'Thiết lập'!$B$5,"Chưa khấu hao",IF(AJ223&lt;=IF(M223="",0,M223),"Đã hết khấu hao","Đang khấu hao")))</f>
        <v/>
      </c>
      <c r="AL223" s="275" t="n"/>
      <c r="AM223" s="275" t="n"/>
      <c r="AN223" s="275" t="n"/>
      <c r="AO223" s="343">
        <f>IF(B223="","",IF(COUNTIF($B$7:$B$306,B223)&gt;1,"Trùng mã TSCĐ",IF(C223="","Thiếu tên TSCĐ",IF(H223="","Thiếu ngày bắt đầu",IF(OR(I223&lt;=0,L223&lt;=0,O223&lt;=0),"Kiểm tra số lượng/nguyên giá/thời gian",IF(AND(G223&lt;&gt;"",H223&lt;G223),"Ngày KH trước ngày ghi tăng",IF(M223&gt;L223,"Giá trị thu hồi vượt nguyên giá",IF(IF(U223="",0,U223)&gt;N223,"Lũy kế đầu năm vượt GTKH","OK"))))))))</f>
        <v/>
      </c>
    </row>
    <row r="224" ht="20" customHeight="1" s="389">
      <c r="A224" s="325">
        <f>IF(B224="","",ROW()-6)</f>
        <v/>
      </c>
      <c r="B224" s="275" t="n"/>
      <c r="C224" s="275" t="n"/>
      <c r="D224" s="331" t="n"/>
      <c r="E224" s="331" t="n"/>
      <c r="F224" s="454" t="n"/>
      <c r="G224" s="454" t="n"/>
      <c r="H224" s="454" t="n"/>
      <c r="I224" s="455" t="n"/>
      <c r="J224" s="456" t="n"/>
      <c r="K224" s="456" t="n"/>
      <c r="L224" s="457">
        <f>IF(B224="","",IF(OR(I224="",J224=""),"",I224*J224+IF(K224="",0,K224)))</f>
        <v/>
      </c>
      <c r="M224" s="456" t="n"/>
      <c r="N224" s="457">
        <f>IF(L224="","",MAX(0,L224-IF(M224="",0,M224)))</f>
        <v/>
      </c>
      <c r="O224" s="455" t="n"/>
      <c r="P224" s="457">
        <f>IF(OR(N224="",O224&lt;=0),"",ROUND(N224/O224,0))</f>
        <v/>
      </c>
      <c r="Q224" s="458">
        <f>IF(OR(H224="",O224&lt;=0),"",EOMONTH(H224,O224-1))</f>
        <v/>
      </c>
      <c r="R224" s="331" t="n"/>
      <c r="S224" s="331" t="n"/>
      <c r="T224" s="331" t="n"/>
      <c r="U224" s="456" t="n"/>
      <c r="V224" s="457">
        <f>IF($AO224&lt;&gt;"OK",0,IF(AND(DATE('Thiết lập'!$B$4,1,1)&gt;=DATE(YEAR($H224),MONTH($H224),1),DATE('Thiết lập'!$B$4,1,1)&lt;EDATE(DATE(YEAR($H224),MONTH($H224),1),$O224)),MIN($P224,MAX(0,$N224-$U224-0)),0))</f>
        <v/>
      </c>
      <c r="W224" s="457">
        <f>IF($AO224&lt;&gt;"OK",0,IF(AND(DATE('Thiết lập'!$B$4,2,1)&gt;=DATE(YEAR($H224),MONTH($H224),1),DATE('Thiết lập'!$B$4,2,1)&lt;EDATE(DATE(YEAR($H224),MONTH($H224),1),$O224)),MIN($P224,MAX(0,$N224-$U224-SUM($V224:V224))),0))</f>
        <v/>
      </c>
      <c r="X224" s="457">
        <f>IF($AO224&lt;&gt;"OK",0,IF(AND(DATE('Thiết lập'!$B$4,3,1)&gt;=DATE(YEAR($H224),MONTH($H224),1),DATE('Thiết lập'!$B$4,3,1)&lt;EDATE(DATE(YEAR($H224),MONTH($H224),1),$O224)),MIN($P224,MAX(0,$N224-$U224-SUM($V224:W224))),0))</f>
        <v/>
      </c>
      <c r="Y224" s="457">
        <f>IF($AO224&lt;&gt;"OK",0,IF(AND(DATE('Thiết lập'!$B$4,4,1)&gt;=DATE(YEAR($H224),MONTH($H224),1),DATE('Thiết lập'!$B$4,4,1)&lt;EDATE(DATE(YEAR($H224),MONTH($H224),1),$O224)),MIN($P224,MAX(0,$N224-$U224-SUM($V224:X224))),0))</f>
        <v/>
      </c>
      <c r="Z224" s="457">
        <f>IF($AO224&lt;&gt;"OK",0,IF(AND(DATE('Thiết lập'!$B$4,5,1)&gt;=DATE(YEAR($H224),MONTH($H224),1),DATE('Thiết lập'!$B$4,5,1)&lt;EDATE(DATE(YEAR($H224),MONTH($H224),1),$O224)),MIN($P224,MAX(0,$N224-$U224-SUM($V224:Y224))),0))</f>
        <v/>
      </c>
      <c r="AA224" s="457">
        <f>IF($AO224&lt;&gt;"OK",0,IF(AND(DATE('Thiết lập'!$B$4,6,1)&gt;=DATE(YEAR($H224),MONTH($H224),1),DATE('Thiết lập'!$B$4,6,1)&lt;EDATE(DATE(YEAR($H224),MONTH($H224),1),$O224)),MIN($P224,MAX(0,$N224-$U224-SUM($V224:Z224))),0))</f>
        <v/>
      </c>
      <c r="AB224" s="457">
        <f>IF($AO224&lt;&gt;"OK",0,IF(AND(DATE('Thiết lập'!$B$4,7,1)&gt;=DATE(YEAR($H224),MONTH($H224),1),DATE('Thiết lập'!$B$4,7,1)&lt;EDATE(DATE(YEAR($H224),MONTH($H224),1),$O224)),MIN($P224,MAX(0,$N224-$U224-SUM($V224:AA224))),0))</f>
        <v/>
      </c>
      <c r="AC224" s="457">
        <f>IF($AO224&lt;&gt;"OK",0,IF(AND(DATE('Thiết lập'!$B$4,8,1)&gt;=DATE(YEAR($H224),MONTH($H224),1),DATE('Thiết lập'!$B$4,8,1)&lt;EDATE(DATE(YEAR($H224),MONTH($H224),1),$O224)),MIN($P224,MAX(0,$N224-$U224-SUM($V224:AB224))),0))</f>
        <v/>
      </c>
      <c r="AD224" s="457">
        <f>IF($AO224&lt;&gt;"OK",0,IF(AND(DATE('Thiết lập'!$B$4,9,1)&gt;=DATE(YEAR($H224),MONTH($H224),1),DATE('Thiết lập'!$B$4,9,1)&lt;EDATE(DATE(YEAR($H224),MONTH($H224),1),$O224)),MIN($P224,MAX(0,$N224-$U224-SUM($V224:AC224))),0))</f>
        <v/>
      </c>
      <c r="AE224" s="457">
        <f>IF($AO224&lt;&gt;"OK",0,IF(AND(DATE('Thiết lập'!$B$4,10,1)&gt;=DATE(YEAR($H224),MONTH($H224),1),DATE('Thiết lập'!$B$4,10,1)&lt;EDATE(DATE(YEAR($H224),MONTH($H224),1),$O224)),MIN($P224,MAX(0,$N224-$U224-SUM($V224:AD224))),0))</f>
        <v/>
      </c>
      <c r="AF224" s="457">
        <f>IF($AO224&lt;&gt;"OK",0,IF(AND(DATE('Thiết lập'!$B$4,11,1)&gt;=DATE(YEAR($H224),MONTH($H224),1),DATE('Thiết lập'!$B$4,11,1)&lt;EDATE(DATE(YEAR($H224),MONTH($H224),1),$O224)),MIN($P224,MAX(0,$N224-$U224-SUM($V224:AE224))),0))</f>
        <v/>
      </c>
      <c r="AG224" s="457">
        <f>IF($AO224&lt;&gt;"OK",0,IF(AND(DATE('Thiết lập'!$B$4,12,1)&gt;=DATE(YEAR($H224),MONTH($H224),1),DATE('Thiết lập'!$B$4,12,1)&lt;EDATE(DATE(YEAR($H224),MONTH($H224),1),$O224)),MIN($P224,MAX(0,$N224-$U224-SUM($V224:AF224))),0))</f>
        <v/>
      </c>
      <c r="AH224" s="457">
        <f>IF(B224="","",SUM(V224:AG224))</f>
        <v/>
      </c>
      <c r="AI224" s="457">
        <f>IF(B224="","",MIN(N224,IF(U224="",0,U224)+AH224))</f>
        <v/>
      </c>
      <c r="AJ224" s="457">
        <f>IF(B224="","",MAX(0,L224-AI224))</f>
        <v/>
      </c>
      <c r="AK224" s="337">
        <f>IF(B224="","",IF(H224&gt;'Thiết lập'!$B$5,"Chưa khấu hao",IF(AJ224&lt;=IF(M224="",0,M224),"Đã hết khấu hao","Đang khấu hao")))</f>
        <v/>
      </c>
      <c r="AL224" s="275" t="n"/>
      <c r="AM224" s="275" t="n"/>
      <c r="AN224" s="275" t="n"/>
      <c r="AO224" s="343">
        <f>IF(B224="","",IF(COUNTIF($B$7:$B$306,B224)&gt;1,"Trùng mã TSCĐ",IF(C224="","Thiếu tên TSCĐ",IF(H224="","Thiếu ngày bắt đầu",IF(OR(I224&lt;=0,L224&lt;=0,O224&lt;=0),"Kiểm tra số lượng/nguyên giá/thời gian",IF(AND(G224&lt;&gt;"",H224&lt;G224),"Ngày KH trước ngày ghi tăng",IF(M224&gt;L224,"Giá trị thu hồi vượt nguyên giá",IF(IF(U224="",0,U224)&gt;N224,"Lũy kế đầu năm vượt GTKH","OK"))))))))</f>
        <v/>
      </c>
    </row>
    <row r="225" ht="20" customHeight="1" s="389">
      <c r="A225" s="325">
        <f>IF(B225="","",ROW()-6)</f>
        <v/>
      </c>
      <c r="B225" s="275" t="n"/>
      <c r="C225" s="275" t="n"/>
      <c r="D225" s="331" t="n"/>
      <c r="E225" s="331" t="n"/>
      <c r="F225" s="454" t="n"/>
      <c r="G225" s="454" t="n"/>
      <c r="H225" s="454" t="n"/>
      <c r="I225" s="455" t="n"/>
      <c r="J225" s="456" t="n"/>
      <c r="K225" s="456" t="n"/>
      <c r="L225" s="457">
        <f>IF(B225="","",IF(OR(I225="",J225=""),"",I225*J225+IF(K225="",0,K225)))</f>
        <v/>
      </c>
      <c r="M225" s="456" t="n"/>
      <c r="N225" s="457">
        <f>IF(L225="","",MAX(0,L225-IF(M225="",0,M225)))</f>
        <v/>
      </c>
      <c r="O225" s="455" t="n"/>
      <c r="P225" s="457">
        <f>IF(OR(N225="",O225&lt;=0),"",ROUND(N225/O225,0))</f>
        <v/>
      </c>
      <c r="Q225" s="458">
        <f>IF(OR(H225="",O225&lt;=0),"",EOMONTH(H225,O225-1))</f>
        <v/>
      </c>
      <c r="R225" s="331" t="n"/>
      <c r="S225" s="331" t="n"/>
      <c r="T225" s="331" t="n"/>
      <c r="U225" s="456" t="n"/>
      <c r="V225" s="457">
        <f>IF($AO225&lt;&gt;"OK",0,IF(AND(DATE('Thiết lập'!$B$4,1,1)&gt;=DATE(YEAR($H225),MONTH($H225),1),DATE('Thiết lập'!$B$4,1,1)&lt;EDATE(DATE(YEAR($H225),MONTH($H225),1),$O225)),MIN($P225,MAX(0,$N225-$U225-0)),0))</f>
        <v/>
      </c>
      <c r="W225" s="457">
        <f>IF($AO225&lt;&gt;"OK",0,IF(AND(DATE('Thiết lập'!$B$4,2,1)&gt;=DATE(YEAR($H225),MONTH($H225),1),DATE('Thiết lập'!$B$4,2,1)&lt;EDATE(DATE(YEAR($H225),MONTH($H225),1),$O225)),MIN($P225,MAX(0,$N225-$U225-SUM($V225:V225))),0))</f>
        <v/>
      </c>
      <c r="X225" s="457">
        <f>IF($AO225&lt;&gt;"OK",0,IF(AND(DATE('Thiết lập'!$B$4,3,1)&gt;=DATE(YEAR($H225),MONTH($H225),1),DATE('Thiết lập'!$B$4,3,1)&lt;EDATE(DATE(YEAR($H225),MONTH($H225),1),$O225)),MIN($P225,MAX(0,$N225-$U225-SUM($V225:W225))),0))</f>
        <v/>
      </c>
      <c r="Y225" s="457">
        <f>IF($AO225&lt;&gt;"OK",0,IF(AND(DATE('Thiết lập'!$B$4,4,1)&gt;=DATE(YEAR($H225),MONTH($H225),1),DATE('Thiết lập'!$B$4,4,1)&lt;EDATE(DATE(YEAR($H225),MONTH($H225),1),$O225)),MIN($P225,MAX(0,$N225-$U225-SUM($V225:X225))),0))</f>
        <v/>
      </c>
      <c r="Z225" s="457">
        <f>IF($AO225&lt;&gt;"OK",0,IF(AND(DATE('Thiết lập'!$B$4,5,1)&gt;=DATE(YEAR($H225),MONTH($H225),1),DATE('Thiết lập'!$B$4,5,1)&lt;EDATE(DATE(YEAR($H225),MONTH($H225),1),$O225)),MIN($P225,MAX(0,$N225-$U225-SUM($V225:Y225))),0))</f>
        <v/>
      </c>
      <c r="AA225" s="457">
        <f>IF($AO225&lt;&gt;"OK",0,IF(AND(DATE('Thiết lập'!$B$4,6,1)&gt;=DATE(YEAR($H225),MONTH($H225),1),DATE('Thiết lập'!$B$4,6,1)&lt;EDATE(DATE(YEAR($H225),MONTH($H225),1),$O225)),MIN($P225,MAX(0,$N225-$U225-SUM($V225:Z225))),0))</f>
        <v/>
      </c>
      <c r="AB225" s="457">
        <f>IF($AO225&lt;&gt;"OK",0,IF(AND(DATE('Thiết lập'!$B$4,7,1)&gt;=DATE(YEAR($H225),MONTH($H225),1),DATE('Thiết lập'!$B$4,7,1)&lt;EDATE(DATE(YEAR($H225),MONTH($H225),1),$O225)),MIN($P225,MAX(0,$N225-$U225-SUM($V225:AA225))),0))</f>
        <v/>
      </c>
      <c r="AC225" s="457">
        <f>IF($AO225&lt;&gt;"OK",0,IF(AND(DATE('Thiết lập'!$B$4,8,1)&gt;=DATE(YEAR($H225),MONTH($H225),1),DATE('Thiết lập'!$B$4,8,1)&lt;EDATE(DATE(YEAR($H225),MONTH($H225),1),$O225)),MIN($P225,MAX(0,$N225-$U225-SUM($V225:AB225))),0))</f>
        <v/>
      </c>
      <c r="AD225" s="457">
        <f>IF($AO225&lt;&gt;"OK",0,IF(AND(DATE('Thiết lập'!$B$4,9,1)&gt;=DATE(YEAR($H225),MONTH($H225),1),DATE('Thiết lập'!$B$4,9,1)&lt;EDATE(DATE(YEAR($H225),MONTH($H225),1),$O225)),MIN($P225,MAX(0,$N225-$U225-SUM($V225:AC225))),0))</f>
        <v/>
      </c>
      <c r="AE225" s="457">
        <f>IF($AO225&lt;&gt;"OK",0,IF(AND(DATE('Thiết lập'!$B$4,10,1)&gt;=DATE(YEAR($H225),MONTH($H225),1),DATE('Thiết lập'!$B$4,10,1)&lt;EDATE(DATE(YEAR($H225),MONTH($H225),1),$O225)),MIN($P225,MAX(0,$N225-$U225-SUM($V225:AD225))),0))</f>
        <v/>
      </c>
      <c r="AF225" s="457">
        <f>IF($AO225&lt;&gt;"OK",0,IF(AND(DATE('Thiết lập'!$B$4,11,1)&gt;=DATE(YEAR($H225),MONTH($H225),1),DATE('Thiết lập'!$B$4,11,1)&lt;EDATE(DATE(YEAR($H225),MONTH($H225),1),$O225)),MIN($P225,MAX(0,$N225-$U225-SUM($V225:AE225))),0))</f>
        <v/>
      </c>
      <c r="AG225" s="457">
        <f>IF($AO225&lt;&gt;"OK",0,IF(AND(DATE('Thiết lập'!$B$4,12,1)&gt;=DATE(YEAR($H225),MONTH($H225),1),DATE('Thiết lập'!$B$4,12,1)&lt;EDATE(DATE(YEAR($H225),MONTH($H225),1),$O225)),MIN($P225,MAX(0,$N225-$U225-SUM($V225:AF225))),0))</f>
        <v/>
      </c>
      <c r="AH225" s="457">
        <f>IF(B225="","",SUM(V225:AG225))</f>
        <v/>
      </c>
      <c r="AI225" s="457">
        <f>IF(B225="","",MIN(N225,IF(U225="",0,U225)+AH225))</f>
        <v/>
      </c>
      <c r="AJ225" s="457">
        <f>IF(B225="","",MAX(0,L225-AI225))</f>
        <v/>
      </c>
      <c r="AK225" s="337">
        <f>IF(B225="","",IF(H225&gt;'Thiết lập'!$B$5,"Chưa khấu hao",IF(AJ225&lt;=IF(M225="",0,M225),"Đã hết khấu hao","Đang khấu hao")))</f>
        <v/>
      </c>
      <c r="AL225" s="275" t="n"/>
      <c r="AM225" s="275" t="n"/>
      <c r="AN225" s="275" t="n"/>
      <c r="AO225" s="343">
        <f>IF(B225="","",IF(COUNTIF($B$7:$B$306,B225)&gt;1,"Trùng mã TSCĐ",IF(C225="","Thiếu tên TSCĐ",IF(H225="","Thiếu ngày bắt đầu",IF(OR(I225&lt;=0,L225&lt;=0,O225&lt;=0),"Kiểm tra số lượng/nguyên giá/thời gian",IF(AND(G225&lt;&gt;"",H225&lt;G225),"Ngày KH trước ngày ghi tăng",IF(M225&gt;L225,"Giá trị thu hồi vượt nguyên giá",IF(IF(U225="",0,U225)&gt;N225,"Lũy kế đầu năm vượt GTKH","OK"))))))))</f>
        <v/>
      </c>
    </row>
    <row r="226" ht="20" customHeight="1" s="389">
      <c r="A226" s="325">
        <f>IF(B226="","",ROW()-6)</f>
        <v/>
      </c>
      <c r="B226" s="275" t="n"/>
      <c r="C226" s="275" t="n"/>
      <c r="D226" s="331" t="n"/>
      <c r="E226" s="331" t="n"/>
      <c r="F226" s="454" t="n"/>
      <c r="G226" s="454" t="n"/>
      <c r="H226" s="454" t="n"/>
      <c r="I226" s="455" t="n"/>
      <c r="J226" s="456" t="n"/>
      <c r="K226" s="456" t="n"/>
      <c r="L226" s="457">
        <f>IF(B226="","",IF(OR(I226="",J226=""),"",I226*J226+IF(K226="",0,K226)))</f>
        <v/>
      </c>
      <c r="M226" s="456" t="n"/>
      <c r="N226" s="457">
        <f>IF(L226="","",MAX(0,L226-IF(M226="",0,M226)))</f>
        <v/>
      </c>
      <c r="O226" s="455" t="n"/>
      <c r="P226" s="457">
        <f>IF(OR(N226="",O226&lt;=0),"",ROUND(N226/O226,0))</f>
        <v/>
      </c>
      <c r="Q226" s="458">
        <f>IF(OR(H226="",O226&lt;=0),"",EOMONTH(H226,O226-1))</f>
        <v/>
      </c>
      <c r="R226" s="331" t="n"/>
      <c r="S226" s="331" t="n"/>
      <c r="T226" s="331" t="n"/>
      <c r="U226" s="456" t="n"/>
      <c r="V226" s="457">
        <f>IF($AO226&lt;&gt;"OK",0,IF(AND(DATE('Thiết lập'!$B$4,1,1)&gt;=DATE(YEAR($H226),MONTH($H226),1),DATE('Thiết lập'!$B$4,1,1)&lt;EDATE(DATE(YEAR($H226),MONTH($H226),1),$O226)),MIN($P226,MAX(0,$N226-$U226-0)),0))</f>
        <v/>
      </c>
      <c r="W226" s="457">
        <f>IF($AO226&lt;&gt;"OK",0,IF(AND(DATE('Thiết lập'!$B$4,2,1)&gt;=DATE(YEAR($H226),MONTH($H226),1),DATE('Thiết lập'!$B$4,2,1)&lt;EDATE(DATE(YEAR($H226),MONTH($H226),1),$O226)),MIN($P226,MAX(0,$N226-$U226-SUM($V226:V226))),0))</f>
        <v/>
      </c>
      <c r="X226" s="457">
        <f>IF($AO226&lt;&gt;"OK",0,IF(AND(DATE('Thiết lập'!$B$4,3,1)&gt;=DATE(YEAR($H226),MONTH($H226),1),DATE('Thiết lập'!$B$4,3,1)&lt;EDATE(DATE(YEAR($H226),MONTH($H226),1),$O226)),MIN($P226,MAX(0,$N226-$U226-SUM($V226:W226))),0))</f>
        <v/>
      </c>
      <c r="Y226" s="457">
        <f>IF($AO226&lt;&gt;"OK",0,IF(AND(DATE('Thiết lập'!$B$4,4,1)&gt;=DATE(YEAR($H226),MONTH($H226),1),DATE('Thiết lập'!$B$4,4,1)&lt;EDATE(DATE(YEAR($H226),MONTH($H226),1),$O226)),MIN($P226,MAX(0,$N226-$U226-SUM($V226:X226))),0))</f>
        <v/>
      </c>
      <c r="Z226" s="457">
        <f>IF($AO226&lt;&gt;"OK",0,IF(AND(DATE('Thiết lập'!$B$4,5,1)&gt;=DATE(YEAR($H226),MONTH($H226),1),DATE('Thiết lập'!$B$4,5,1)&lt;EDATE(DATE(YEAR($H226),MONTH($H226),1),$O226)),MIN($P226,MAX(0,$N226-$U226-SUM($V226:Y226))),0))</f>
        <v/>
      </c>
      <c r="AA226" s="457">
        <f>IF($AO226&lt;&gt;"OK",0,IF(AND(DATE('Thiết lập'!$B$4,6,1)&gt;=DATE(YEAR($H226),MONTH($H226),1),DATE('Thiết lập'!$B$4,6,1)&lt;EDATE(DATE(YEAR($H226),MONTH($H226),1),$O226)),MIN($P226,MAX(0,$N226-$U226-SUM($V226:Z226))),0))</f>
        <v/>
      </c>
      <c r="AB226" s="457">
        <f>IF($AO226&lt;&gt;"OK",0,IF(AND(DATE('Thiết lập'!$B$4,7,1)&gt;=DATE(YEAR($H226),MONTH($H226),1),DATE('Thiết lập'!$B$4,7,1)&lt;EDATE(DATE(YEAR($H226),MONTH($H226),1),$O226)),MIN($P226,MAX(0,$N226-$U226-SUM($V226:AA226))),0))</f>
        <v/>
      </c>
      <c r="AC226" s="457">
        <f>IF($AO226&lt;&gt;"OK",0,IF(AND(DATE('Thiết lập'!$B$4,8,1)&gt;=DATE(YEAR($H226),MONTH($H226),1),DATE('Thiết lập'!$B$4,8,1)&lt;EDATE(DATE(YEAR($H226),MONTH($H226),1),$O226)),MIN($P226,MAX(0,$N226-$U226-SUM($V226:AB226))),0))</f>
        <v/>
      </c>
      <c r="AD226" s="457">
        <f>IF($AO226&lt;&gt;"OK",0,IF(AND(DATE('Thiết lập'!$B$4,9,1)&gt;=DATE(YEAR($H226),MONTH($H226),1),DATE('Thiết lập'!$B$4,9,1)&lt;EDATE(DATE(YEAR($H226),MONTH($H226),1),$O226)),MIN($P226,MAX(0,$N226-$U226-SUM($V226:AC226))),0))</f>
        <v/>
      </c>
      <c r="AE226" s="457">
        <f>IF($AO226&lt;&gt;"OK",0,IF(AND(DATE('Thiết lập'!$B$4,10,1)&gt;=DATE(YEAR($H226),MONTH($H226),1),DATE('Thiết lập'!$B$4,10,1)&lt;EDATE(DATE(YEAR($H226),MONTH($H226),1),$O226)),MIN($P226,MAX(0,$N226-$U226-SUM($V226:AD226))),0))</f>
        <v/>
      </c>
      <c r="AF226" s="457">
        <f>IF($AO226&lt;&gt;"OK",0,IF(AND(DATE('Thiết lập'!$B$4,11,1)&gt;=DATE(YEAR($H226),MONTH($H226),1),DATE('Thiết lập'!$B$4,11,1)&lt;EDATE(DATE(YEAR($H226),MONTH($H226),1),$O226)),MIN($P226,MAX(0,$N226-$U226-SUM($V226:AE226))),0))</f>
        <v/>
      </c>
      <c r="AG226" s="457">
        <f>IF($AO226&lt;&gt;"OK",0,IF(AND(DATE('Thiết lập'!$B$4,12,1)&gt;=DATE(YEAR($H226),MONTH($H226),1),DATE('Thiết lập'!$B$4,12,1)&lt;EDATE(DATE(YEAR($H226),MONTH($H226),1),$O226)),MIN($P226,MAX(0,$N226-$U226-SUM($V226:AF226))),0))</f>
        <v/>
      </c>
      <c r="AH226" s="457">
        <f>IF(B226="","",SUM(V226:AG226))</f>
        <v/>
      </c>
      <c r="AI226" s="457">
        <f>IF(B226="","",MIN(N226,IF(U226="",0,U226)+AH226))</f>
        <v/>
      </c>
      <c r="AJ226" s="457">
        <f>IF(B226="","",MAX(0,L226-AI226))</f>
        <v/>
      </c>
      <c r="AK226" s="337">
        <f>IF(B226="","",IF(H226&gt;'Thiết lập'!$B$5,"Chưa khấu hao",IF(AJ226&lt;=IF(M226="",0,M226),"Đã hết khấu hao","Đang khấu hao")))</f>
        <v/>
      </c>
      <c r="AL226" s="275" t="n"/>
      <c r="AM226" s="275" t="n"/>
      <c r="AN226" s="275" t="n"/>
      <c r="AO226" s="343">
        <f>IF(B226="","",IF(COUNTIF($B$7:$B$306,B226)&gt;1,"Trùng mã TSCĐ",IF(C226="","Thiếu tên TSCĐ",IF(H226="","Thiếu ngày bắt đầu",IF(OR(I226&lt;=0,L226&lt;=0,O226&lt;=0),"Kiểm tra số lượng/nguyên giá/thời gian",IF(AND(G226&lt;&gt;"",H226&lt;G226),"Ngày KH trước ngày ghi tăng",IF(M226&gt;L226,"Giá trị thu hồi vượt nguyên giá",IF(IF(U226="",0,U226)&gt;N226,"Lũy kế đầu năm vượt GTKH","OK"))))))))</f>
        <v/>
      </c>
    </row>
    <row r="227" ht="20" customHeight="1" s="389">
      <c r="A227" s="325">
        <f>IF(B227="","",ROW()-6)</f>
        <v/>
      </c>
      <c r="B227" s="275" t="n"/>
      <c r="C227" s="275" t="n"/>
      <c r="D227" s="331" t="n"/>
      <c r="E227" s="331" t="n"/>
      <c r="F227" s="454" t="n"/>
      <c r="G227" s="454" t="n"/>
      <c r="H227" s="454" t="n"/>
      <c r="I227" s="455" t="n"/>
      <c r="J227" s="456" t="n"/>
      <c r="K227" s="456" t="n"/>
      <c r="L227" s="457">
        <f>IF(B227="","",IF(OR(I227="",J227=""),"",I227*J227+IF(K227="",0,K227)))</f>
        <v/>
      </c>
      <c r="M227" s="456" t="n"/>
      <c r="N227" s="457">
        <f>IF(L227="","",MAX(0,L227-IF(M227="",0,M227)))</f>
        <v/>
      </c>
      <c r="O227" s="455" t="n"/>
      <c r="P227" s="457">
        <f>IF(OR(N227="",O227&lt;=0),"",ROUND(N227/O227,0))</f>
        <v/>
      </c>
      <c r="Q227" s="458">
        <f>IF(OR(H227="",O227&lt;=0),"",EOMONTH(H227,O227-1))</f>
        <v/>
      </c>
      <c r="R227" s="331" t="n"/>
      <c r="S227" s="331" t="n"/>
      <c r="T227" s="331" t="n"/>
      <c r="U227" s="456" t="n"/>
      <c r="V227" s="457">
        <f>IF($AO227&lt;&gt;"OK",0,IF(AND(DATE('Thiết lập'!$B$4,1,1)&gt;=DATE(YEAR($H227),MONTH($H227),1),DATE('Thiết lập'!$B$4,1,1)&lt;EDATE(DATE(YEAR($H227),MONTH($H227),1),$O227)),MIN($P227,MAX(0,$N227-$U227-0)),0))</f>
        <v/>
      </c>
      <c r="W227" s="457">
        <f>IF($AO227&lt;&gt;"OK",0,IF(AND(DATE('Thiết lập'!$B$4,2,1)&gt;=DATE(YEAR($H227),MONTH($H227),1),DATE('Thiết lập'!$B$4,2,1)&lt;EDATE(DATE(YEAR($H227),MONTH($H227),1),$O227)),MIN($P227,MAX(0,$N227-$U227-SUM($V227:V227))),0))</f>
        <v/>
      </c>
      <c r="X227" s="457">
        <f>IF($AO227&lt;&gt;"OK",0,IF(AND(DATE('Thiết lập'!$B$4,3,1)&gt;=DATE(YEAR($H227),MONTH($H227),1),DATE('Thiết lập'!$B$4,3,1)&lt;EDATE(DATE(YEAR($H227),MONTH($H227),1),$O227)),MIN($P227,MAX(0,$N227-$U227-SUM($V227:W227))),0))</f>
        <v/>
      </c>
      <c r="Y227" s="457">
        <f>IF($AO227&lt;&gt;"OK",0,IF(AND(DATE('Thiết lập'!$B$4,4,1)&gt;=DATE(YEAR($H227),MONTH($H227),1),DATE('Thiết lập'!$B$4,4,1)&lt;EDATE(DATE(YEAR($H227),MONTH($H227),1),$O227)),MIN($P227,MAX(0,$N227-$U227-SUM($V227:X227))),0))</f>
        <v/>
      </c>
      <c r="Z227" s="457">
        <f>IF($AO227&lt;&gt;"OK",0,IF(AND(DATE('Thiết lập'!$B$4,5,1)&gt;=DATE(YEAR($H227),MONTH($H227),1),DATE('Thiết lập'!$B$4,5,1)&lt;EDATE(DATE(YEAR($H227),MONTH($H227),1),$O227)),MIN($P227,MAX(0,$N227-$U227-SUM($V227:Y227))),0))</f>
        <v/>
      </c>
      <c r="AA227" s="457">
        <f>IF($AO227&lt;&gt;"OK",0,IF(AND(DATE('Thiết lập'!$B$4,6,1)&gt;=DATE(YEAR($H227),MONTH($H227),1),DATE('Thiết lập'!$B$4,6,1)&lt;EDATE(DATE(YEAR($H227),MONTH($H227),1),$O227)),MIN($P227,MAX(0,$N227-$U227-SUM($V227:Z227))),0))</f>
        <v/>
      </c>
      <c r="AB227" s="457">
        <f>IF($AO227&lt;&gt;"OK",0,IF(AND(DATE('Thiết lập'!$B$4,7,1)&gt;=DATE(YEAR($H227),MONTH($H227),1),DATE('Thiết lập'!$B$4,7,1)&lt;EDATE(DATE(YEAR($H227),MONTH($H227),1),$O227)),MIN($P227,MAX(0,$N227-$U227-SUM($V227:AA227))),0))</f>
        <v/>
      </c>
      <c r="AC227" s="457">
        <f>IF($AO227&lt;&gt;"OK",0,IF(AND(DATE('Thiết lập'!$B$4,8,1)&gt;=DATE(YEAR($H227),MONTH($H227),1),DATE('Thiết lập'!$B$4,8,1)&lt;EDATE(DATE(YEAR($H227),MONTH($H227),1),$O227)),MIN($P227,MAX(0,$N227-$U227-SUM($V227:AB227))),0))</f>
        <v/>
      </c>
      <c r="AD227" s="457">
        <f>IF($AO227&lt;&gt;"OK",0,IF(AND(DATE('Thiết lập'!$B$4,9,1)&gt;=DATE(YEAR($H227),MONTH($H227),1),DATE('Thiết lập'!$B$4,9,1)&lt;EDATE(DATE(YEAR($H227),MONTH($H227),1),$O227)),MIN($P227,MAX(0,$N227-$U227-SUM($V227:AC227))),0))</f>
        <v/>
      </c>
      <c r="AE227" s="457">
        <f>IF($AO227&lt;&gt;"OK",0,IF(AND(DATE('Thiết lập'!$B$4,10,1)&gt;=DATE(YEAR($H227),MONTH($H227),1),DATE('Thiết lập'!$B$4,10,1)&lt;EDATE(DATE(YEAR($H227),MONTH($H227),1),$O227)),MIN($P227,MAX(0,$N227-$U227-SUM($V227:AD227))),0))</f>
        <v/>
      </c>
      <c r="AF227" s="457">
        <f>IF($AO227&lt;&gt;"OK",0,IF(AND(DATE('Thiết lập'!$B$4,11,1)&gt;=DATE(YEAR($H227),MONTH($H227),1),DATE('Thiết lập'!$B$4,11,1)&lt;EDATE(DATE(YEAR($H227),MONTH($H227),1),$O227)),MIN($P227,MAX(0,$N227-$U227-SUM($V227:AE227))),0))</f>
        <v/>
      </c>
      <c r="AG227" s="457">
        <f>IF($AO227&lt;&gt;"OK",0,IF(AND(DATE('Thiết lập'!$B$4,12,1)&gt;=DATE(YEAR($H227),MONTH($H227),1),DATE('Thiết lập'!$B$4,12,1)&lt;EDATE(DATE(YEAR($H227),MONTH($H227),1),$O227)),MIN($P227,MAX(0,$N227-$U227-SUM($V227:AF227))),0))</f>
        <v/>
      </c>
      <c r="AH227" s="457">
        <f>IF(B227="","",SUM(V227:AG227))</f>
        <v/>
      </c>
      <c r="AI227" s="457">
        <f>IF(B227="","",MIN(N227,IF(U227="",0,U227)+AH227))</f>
        <v/>
      </c>
      <c r="AJ227" s="457">
        <f>IF(B227="","",MAX(0,L227-AI227))</f>
        <v/>
      </c>
      <c r="AK227" s="337">
        <f>IF(B227="","",IF(H227&gt;'Thiết lập'!$B$5,"Chưa khấu hao",IF(AJ227&lt;=IF(M227="",0,M227),"Đã hết khấu hao","Đang khấu hao")))</f>
        <v/>
      </c>
      <c r="AL227" s="275" t="n"/>
      <c r="AM227" s="275" t="n"/>
      <c r="AN227" s="275" t="n"/>
      <c r="AO227" s="343">
        <f>IF(B227="","",IF(COUNTIF($B$7:$B$306,B227)&gt;1,"Trùng mã TSCĐ",IF(C227="","Thiếu tên TSCĐ",IF(H227="","Thiếu ngày bắt đầu",IF(OR(I227&lt;=0,L227&lt;=0,O227&lt;=0),"Kiểm tra số lượng/nguyên giá/thời gian",IF(AND(G227&lt;&gt;"",H227&lt;G227),"Ngày KH trước ngày ghi tăng",IF(M227&gt;L227,"Giá trị thu hồi vượt nguyên giá",IF(IF(U227="",0,U227)&gt;N227,"Lũy kế đầu năm vượt GTKH","OK"))))))))</f>
        <v/>
      </c>
    </row>
    <row r="228" ht="20" customHeight="1" s="389">
      <c r="A228" s="325">
        <f>IF(B228="","",ROW()-6)</f>
        <v/>
      </c>
      <c r="B228" s="275" t="n"/>
      <c r="C228" s="275" t="n"/>
      <c r="D228" s="331" t="n"/>
      <c r="E228" s="331" t="n"/>
      <c r="F228" s="454" t="n"/>
      <c r="G228" s="454" t="n"/>
      <c r="H228" s="454" t="n"/>
      <c r="I228" s="455" t="n"/>
      <c r="J228" s="456" t="n"/>
      <c r="K228" s="456" t="n"/>
      <c r="L228" s="457">
        <f>IF(B228="","",IF(OR(I228="",J228=""),"",I228*J228+IF(K228="",0,K228)))</f>
        <v/>
      </c>
      <c r="M228" s="456" t="n"/>
      <c r="N228" s="457">
        <f>IF(L228="","",MAX(0,L228-IF(M228="",0,M228)))</f>
        <v/>
      </c>
      <c r="O228" s="455" t="n"/>
      <c r="P228" s="457">
        <f>IF(OR(N228="",O228&lt;=0),"",ROUND(N228/O228,0))</f>
        <v/>
      </c>
      <c r="Q228" s="458">
        <f>IF(OR(H228="",O228&lt;=0),"",EOMONTH(H228,O228-1))</f>
        <v/>
      </c>
      <c r="R228" s="331" t="n"/>
      <c r="S228" s="331" t="n"/>
      <c r="T228" s="331" t="n"/>
      <c r="U228" s="456" t="n"/>
      <c r="V228" s="457">
        <f>IF($AO228&lt;&gt;"OK",0,IF(AND(DATE('Thiết lập'!$B$4,1,1)&gt;=DATE(YEAR($H228),MONTH($H228),1),DATE('Thiết lập'!$B$4,1,1)&lt;EDATE(DATE(YEAR($H228),MONTH($H228),1),$O228)),MIN($P228,MAX(0,$N228-$U228-0)),0))</f>
        <v/>
      </c>
      <c r="W228" s="457">
        <f>IF($AO228&lt;&gt;"OK",0,IF(AND(DATE('Thiết lập'!$B$4,2,1)&gt;=DATE(YEAR($H228),MONTH($H228),1),DATE('Thiết lập'!$B$4,2,1)&lt;EDATE(DATE(YEAR($H228),MONTH($H228),1),$O228)),MIN($P228,MAX(0,$N228-$U228-SUM($V228:V228))),0))</f>
        <v/>
      </c>
      <c r="X228" s="457">
        <f>IF($AO228&lt;&gt;"OK",0,IF(AND(DATE('Thiết lập'!$B$4,3,1)&gt;=DATE(YEAR($H228),MONTH($H228),1),DATE('Thiết lập'!$B$4,3,1)&lt;EDATE(DATE(YEAR($H228),MONTH($H228),1),$O228)),MIN($P228,MAX(0,$N228-$U228-SUM($V228:W228))),0))</f>
        <v/>
      </c>
      <c r="Y228" s="457">
        <f>IF($AO228&lt;&gt;"OK",0,IF(AND(DATE('Thiết lập'!$B$4,4,1)&gt;=DATE(YEAR($H228),MONTH($H228),1),DATE('Thiết lập'!$B$4,4,1)&lt;EDATE(DATE(YEAR($H228),MONTH($H228),1),$O228)),MIN($P228,MAX(0,$N228-$U228-SUM($V228:X228))),0))</f>
        <v/>
      </c>
      <c r="Z228" s="457">
        <f>IF($AO228&lt;&gt;"OK",0,IF(AND(DATE('Thiết lập'!$B$4,5,1)&gt;=DATE(YEAR($H228),MONTH($H228),1),DATE('Thiết lập'!$B$4,5,1)&lt;EDATE(DATE(YEAR($H228),MONTH($H228),1),$O228)),MIN($P228,MAX(0,$N228-$U228-SUM($V228:Y228))),0))</f>
        <v/>
      </c>
      <c r="AA228" s="457">
        <f>IF($AO228&lt;&gt;"OK",0,IF(AND(DATE('Thiết lập'!$B$4,6,1)&gt;=DATE(YEAR($H228),MONTH($H228),1),DATE('Thiết lập'!$B$4,6,1)&lt;EDATE(DATE(YEAR($H228),MONTH($H228),1),$O228)),MIN($P228,MAX(0,$N228-$U228-SUM($V228:Z228))),0))</f>
        <v/>
      </c>
      <c r="AB228" s="457">
        <f>IF($AO228&lt;&gt;"OK",0,IF(AND(DATE('Thiết lập'!$B$4,7,1)&gt;=DATE(YEAR($H228),MONTH($H228),1),DATE('Thiết lập'!$B$4,7,1)&lt;EDATE(DATE(YEAR($H228),MONTH($H228),1),$O228)),MIN($P228,MAX(0,$N228-$U228-SUM($V228:AA228))),0))</f>
        <v/>
      </c>
      <c r="AC228" s="457">
        <f>IF($AO228&lt;&gt;"OK",0,IF(AND(DATE('Thiết lập'!$B$4,8,1)&gt;=DATE(YEAR($H228),MONTH($H228),1),DATE('Thiết lập'!$B$4,8,1)&lt;EDATE(DATE(YEAR($H228),MONTH($H228),1),$O228)),MIN($P228,MAX(0,$N228-$U228-SUM($V228:AB228))),0))</f>
        <v/>
      </c>
      <c r="AD228" s="457">
        <f>IF($AO228&lt;&gt;"OK",0,IF(AND(DATE('Thiết lập'!$B$4,9,1)&gt;=DATE(YEAR($H228),MONTH($H228),1),DATE('Thiết lập'!$B$4,9,1)&lt;EDATE(DATE(YEAR($H228),MONTH($H228),1),$O228)),MIN($P228,MAX(0,$N228-$U228-SUM($V228:AC228))),0))</f>
        <v/>
      </c>
      <c r="AE228" s="457">
        <f>IF($AO228&lt;&gt;"OK",0,IF(AND(DATE('Thiết lập'!$B$4,10,1)&gt;=DATE(YEAR($H228),MONTH($H228),1),DATE('Thiết lập'!$B$4,10,1)&lt;EDATE(DATE(YEAR($H228),MONTH($H228),1),$O228)),MIN($P228,MAX(0,$N228-$U228-SUM($V228:AD228))),0))</f>
        <v/>
      </c>
      <c r="AF228" s="457">
        <f>IF($AO228&lt;&gt;"OK",0,IF(AND(DATE('Thiết lập'!$B$4,11,1)&gt;=DATE(YEAR($H228),MONTH($H228),1),DATE('Thiết lập'!$B$4,11,1)&lt;EDATE(DATE(YEAR($H228),MONTH($H228),1),$O228)),MIN($P228,MAX(0,$N228-$U228-SUM($V228:AE228))),0))</f>
        <v/>
      </c>
      <c r="AG228" s="457">
        <f>IF($AO228&lt;&gt;"OK",0,IF(AND(DATE('Thiết lập'!$B$4,12,1)&gt;=DATE(YEAR($H228),MONTH($H228),1),DATE('Thiết lập'!$B$4,12,1)&lt;EDATE(DATE(YEAR($H228),MONTH($H228),1),$O228)),MIN($P228,MAX(0,$N228-$U228-SUM($V228:AF228))),0))</f>
        <v/>
      </c>
      <c r="AH228" s="457">
        <f>IF(B228="","",SUM(V228:AG228))</f>
        <v/>
      </c>
      <c r="AI228" s="457">
        <f>IF(B228="","",MIN(N228,IF(U228="",0,U228)+AH228))</f>
        <v/>
      </c>
      <c r="AJ228" s="457">
        <f>IF(B228="","",MAX(0,L228-AI228))</f>
        <v/>
      </c>
      <c r="AK228" s="337">
        <f>IF(B228="","",IF(H228&gt;'Thiết lập'!$B$5,"Chưa khấu hao",IF(AJ228&lt;=IF(M228="",0,M228),"Đã hết khấu hao","Đang khấu hao")))</f>
        <v/>
      </c>
      <c r="AL228" s="275" t="n"/>
      <c r="AM228" s="275" t="n"/>
      <c r="AN228" s="275" t="n"/>
      <c r="AO228" s="343">
        <f>IF(B228="","",IF(COUNTIF($B$7:$B$306,B228)&gt;1,"Trùng mã TSCĐ",IF(C228="","Thiếu tên TSCĐ",IF(H228="","Thiếu ngày bắt đầu",IF(OR(I228&lt;=0,L228&lt;=0,O228&lt;=0),"Kiểm tra số lượng/nguyên giá/thời gian",IF(AND(G228&lt;&gt;"",H228&lt;G228),"Ngày KH trước ngày ghi tăng",IF(M228&gt;L228,"Giá trị thu hồi vượt nguyên giá",IF(IF(U228="",0,U228)&gt;N228,"Lũy kế đầu năm vượt GTKH","OK"))))))))</f>
        <v/>
      </c>
    </row>
    <row r="229" ht="20" customHeight="1" s="389">
      <c r="A229" s="325">
        <f>IF(B229="","",ROW()-6)</f>
        <v/>
      </c>
      <c r="B229" s="275" t="n"/>
      <c r="C229" s="275" t="n"/>
      <c r="D229" s="331" t="n"/>
      <c r="E229" s="331" t="n"/>
      <c r="F229" s="454" t="n"/>
      <c r="G229" s="454" t="n"/>
      <c r="H229" s="454" t="n"/>
      <c r="I229" s="455" t="n"/>
      <c r="J229" s="456" t="n"/>
      <c r="K229" s="456" t="n"/>
      <c r="L229" s="457">
        <f>IF(B229="","",IF(OR(I229="",J229=""),"",I229*J229+IF(K229="",0,K229)))</f>
        <v/>
      </c>
      <c r="M229" s="456" t="n"/>
      <c r="N229" s="457">
        <f>IF(L229="","",MAX(0,L229-IF(M229="",0,M229)))</f>
        <v/>
      </c>
      <c r="O229" s="455" t="n"/>
      <c r="P229" s="457">
        <f>IF(OR(N229="",O229&lt;=0),"",ROUND(N229/O229,0))</f>
        <v/>
      </c>
      <c r="Q229" s="458">
        <f>IF(OR(H229="",O229&lt;=0),"",EOMONTH(H229,O229-1))</f>
        <v/>
      </c>
      <c r="R229" s="331" t="n"/>
      <c r="S229" s="331" t="n"/>
      <c r="T229" s="331" t="n"/>
      <c r="U229" s="456" t="n"/>
      <c r="V229" s="457">
        <f>IF($AO229&lt;&gt;"OK",0,IF(AND(DATE('Thiết lập'!$B$4,1,1)&gt;=DATE(YEAR($H229),MONTH($H229),1),DATE('Thiết lập'!$B$4,1,1)&lt;EDATE(DATE(YEAR($H229),MONTH($H229),1),$O229)),MIN($P229,MAX(0,$N229-$U229-0)),0))</f>
        <v/>
      </c>
      <c r="W229" s="457">
        <f>IF($AO229&lt;&gt;"OK",0,IF(AND(DATE('Thiết lập'!$B$4,2,1)&gt;=DATE(YEAR($H229),MONTH($H229),1),DATE('Thiết lập'!$B$4,2,1)&lt;EDATE(DATE(YEAR($H229),MONTH($H229),1),$O229)),MIN($P229,MAX(0,$N229-$U229-SUM($V229:V229))),0))</f>
        <v/>
      </c>
      <c r="X229" s="457">
        <f>IF($AO229&lt;&gt;"OK",0,IF(AND(DATE('Thiết lập'!$B$4,3,1)&gt;=DATE(YEAR($H229),MONTH($H229),1),DATE('Thiết lập'!$B$4,3,1)&lt;EDATE(DATE(YEAR($H229),MONTH($H229),1),$O229)),MIN($P229,MAX(0,$N229-$U229-SUM($V229:W229))),0))</f>
        <v/>
      </c>
      <c r="Y229" s="457">
        <f>IF($AO229&lt;&gt;"OK",0,IF(AND(DATE('Thiết lập'!$B$4,4,1)&gt;=DATE(YEAR($H229),MONTH($H229),1),DATE('Thiết lập'!$B$4,4,1)&lt;EDATE(DATE(YEAR($H229),MONTH($H229),1),$O229)),MIN($P229,MAX(0,$N229-$U229-SUM($V229:X229))),0))</f>
        <v/>
      </c>
      <c r="Z229" s="457">
        <f>IF($AO229&lt;&gt;"OK",0,IF(AND(DATE('Thiết lập'!$B$4,5,1)&gt;=DATE(YEAR($H229),MONTH($H229),1),DATE('Thiết lập'!$B$4,5,1)&lt;EDATE(DATE(YEAR($H229),MONTH($H229),1),$O229)),MIN($P229,MAX(0,$N229-$U229-SUM($V229:Y229))),0))</f>
        <v/>
      </c>
      <c r="AA229" s="457">
        <f>IF($AO229&lt;&gt;"OK",0,IF(AND(DATE('Thiết lập'!$B$4,6,1)&gt;=DATE(YEAR($H229),MONTH($H229),1),DATE('Thiết lập'!$B$4,6,1)&lt;EDATE(DATE(YEAR($H229),MONTH($H229),1),$O229)),MIN($P229,MAX(0,$N229-$U229-SUM($V229:Z229))),0))</f>
        <v/>
      </c>
      <c r="AB229" s="457">
        <f>IF($AO229&lt;&gt;"OK",0,IF(AND(DATE('Thiết lập'!$B$4,7,1)&gt;=DATE(YEAR($H229),MONTH($H229),1),DATE('Thiết lập'!$B$4,7,1)&lt;EDATE(DATE(YEAR($H229),MONTH($H229),1),$O229)),MIN($P229,MAX(0,$N229-$U229-SUM($V229:AA229))),0))</f>
        <v/>
      </c>
      <c r="AC229" s="457">
        <f>IF($AO229&lt;&gt;"OK",0,IF(AND(DATE('Thiết lập'!$B$4,8,1)&gt;=DATE(YEAR($H229),MONTH($H229),1),DATE('Thiết lập'!$B$4,8,1)&lt;EDATE(DATE(YEAR($H229),MONTH($H229),1),$O229)),MIN($P229,MAX(0,$N229-$U229-SUM($V229:AB229))),0))</f>
        <v/>
      </c>
      <c r="AD229" s="457">
        <f>IF($AO229&lt;&gt;"OK",0,IF(AND(DATE('Thiết lập'!$B$4,9,1)&gt;=DATE(YEAR($H229),MONTH($H229),1),DATE('Thiết lập'!$B$4,9,1)&lt;EDATE(DATE(YEAR($H229),MONTH($H229),1),$O229)),MIN($P229,MAX(0,$N229-$U229-SUM($V229:AC229))),0))</f>
        <v/>
      </c>
      <c r="AE229" s="457">
        <f>IF($AO229&lt;&gt;"OK",0,IF(AND(DATE('Thiết lập'!$B$4,10,1)&gt;=DATE(YEAR($H229),MONTH($H229),1),DATE('Thiết lập'!$B$4,10,1)&lt;EDATE(DATE(YEAR($H229),MONTH($H229),1),$O229)),MIN($P229,MAX(0,$N229-$U229-SUM($V229:AD229))),0))</f>
        <v/>
      </c>
      <c r="AF229" s="457">
        <f>IF($AO229&lt;&gt;"OK",0,IF(AND(DATE('Thiết lập'!$B$4,11,1)&gt;=DATE(YEAR($H229),MONTH($H229),1),DATE('Thiết lập'!$B$4,11,1)&lt;EDATE(DATE(YEAR($H229),MONTH($H229),1),$O229)),MIN($P229,MAX(0,$N229-$U229-SUM($V229:AE229))),0))</f>
        <v/>
      </c>
      <c r="AG229" s="457">
        <f>IF($AO229&lt;&gt;"OK",0,IF(AND(DATE('Thiết lập'!$B$4,12,1)&gt;=DATE(YEAR($H229),MONTH($H229),1),DATE('Thiết lập'!$B$4,12,1)&lt;EDATE(DATE(YEAR($H229),MONTH($H229),1),$O229)),MIN($P229,MAX(0,$N229-$U229-SUM($V229:AF229))),0))</f>
        <v/>
      </c>
      <c r="AH229" s="457">
        <f>IF(B229="","",SUM(V229:AG229))</f>
        <v/>
      </c>
      <c r="AI229" s="457">
        <f>IF(B229="","",MIN(N229,IF(U229="",0,U229)+AH229))</f>
        <v/>
      </c>
      <c r="AJ229" s="457">
        <f>IF(B229="","",MAX(0,L229-AI229))</f>
        <v/>
      </c>
      <c r="AK229" s="337">
        <f>IF(B229="","",IF(H229&gt;'Thiết lập'!$B$5,"Chưa khấu hao",IF(AJ229&lt;=IF(M229="",0,M229),"Đã hết khấu hao","Đang khấu hao")))</f>
        <v/>
      </c>
      <c r="AL229" s="275" t="n"/>
      <c r="AM229" s="275" t="n"/>
      <c r="AN229" s="275" t="n"/>
      <c r="AO229" s="343">
        <f>IF(B229="","",IF(COUNTIF($B$7:$B$306,B229)&gt;1,"Trùng mã TSCĐ",IF(C229="","Thiếu tên TSCĐ",IF(H229="","Thiếu ngày bắt đầu",IF(OR(I229&lt;=0,L229&lt;=0,O229&lt;=0),"Kiểm tra số lượng/nguyên giá/thời gian",IF(AND(G229&lt;&gt;"",H229&lt;G229),"Ngày KH trước ngày ghi tăng",IF(M229&gt;L229,"Giá trị thu hồi vượt nguyên giá",IF(IF(U229="",0,U229)&gt;N229,"Lũy kế đầu năm vượt GTKH","OK"))))))))</f>
        <v/>
      </c>
    </row>
    <row r="230" ht="20" customHeight="1" s="389">
      <c r="A230" s="325">
        <f>IF(B230="","",ROW()-6)</f>
        <v/>
      </c>
      <c r="B230" s="275" t="n"/>
      <c r="C230" s="275" t="n"/>
      <c r="D230" s="331" t="n"/>
      <c r="E230" s="331" t="n"/>
      <c r="F230" s="454" t="n"/>
      <c r="G230" s="454" t="n"/>
      <c r="H230" s="454" t="n"/>
      <c r="I230" s="455" t="n"/>
      <c r="J230" s="456" t="n"/>
      <c r="K230" s="456" t="n"/>
      <c r="L230" s="457">
        <f>IF(B230="","",IF(OR(I230="",J230=""),"",I230*J230+IF(K230="",0,K230)))</f>
        <v/>
      </c>
      <c r="M230" s="456" t="n"/>
      <c r="N230" s="457">
        <f>IF(L230="","",MAX(0,L230-IF(M230="",0,M230)))</f>
        <v/>
      </c>
      <c r="O230" s="455" t="n"/>
      <c r="P230" s="457">
        <f>IF(OR(N230="",O230&lt;=0),"",ROUND(N230/O230,0))</f>
        <v/>
      </c>
      <c r="Q230" s="458">
        <f>IF(OR(H230="",O230&lt;=0),"",EOMONTH(H230,O230-1))</f>
        <v/>
      </c>
      <c r="R230" s="331" t="n"/>
      <c r="S230" s="331" t="n"/>
      <c r="T230" s="331" t="n"/>
      <c r="U230" s="456" t="n"/>
      <c r="V230" s="457">
        <f>IF($AO230&lt;&gt;"OK",0,IF(AND(DATE('Thiết lập'!$B$4,1,1)&gt;=DATE(YEAR($H230),MONTH($H230),1),DATE('Thiết lập'!$B$4,1,1)&lt;EDATE(DATE(YEAR($H230),MONTH($H230),1),$O230)),MIN($P230,MAX(0,$N230-$U230-0)),0))</f>
        <v/>
      </c>
      <c r="W230" s="457">
        <f>IF($AO230&lt;&gt;"OK",0,IF(AND(DATE('Thiết lập'!$B$4,2,1)&gt;=DATE(YEAR($H230),MONTH($H230),1),DATE('Thiết lập'!$B$4,2,1)&lt;EDATE(DATE(YEAR($H230),MONTH($H230),1),$O230)),MIN($P230,MAX(0,$N230-$U230-SUM($V230:V230))),0))</f>
        <v/>
      </c>
      <c r="X230" s="457">
        <f>IF($AO230&lt;&gt;"OK",0,IF(AND(DATE('Thiết lập'!$B$4,3,1)&gt;=DATE(YEAR($H230),MONTH($H230),1),DATE('Thiết lập'!$B$4,3,1)&lt;EDATE(DATE(YEAR($H230),MONTH($H230),1),$O230)),MIN($P230,MAX(0,$N230-$U230-SUM($V230:W230))),0))</f>
        <v/>
      </c>
      <c r="Y230" s="457">
        <f>IF($AO230&lt;&gt;"OK",0,IF(AND(DATE('Thiết lập'!$B$4,4,1)&gt;=DATE(YEAR($H230),MONTH($H230),1),DATE('Thiết lập'!$B$4,4,1)&lt;EDATE(DATE(YEAR($H230),MONTH($H230),1),$O230)),MIN($P230,MAX(0,$N230-$U230-SUM($V230:X230))),0))</f>
        <v/>
      </c>
      <c r="Z230" s="457">
        <f>IF($AO230&lt;&gt;"OK",0,IF(AND(DATE('Thiết lập'!$B$4,5,1)&gt;=DATE(YEAR($H230),MONTH($H230),1),DATE('Thiết lập'!$B$4,5,1)&lt;EDATE(DATE(YEAR($H230),MONTH($H230),1),$O230)),MIN($P230,MAX(0,$N230-$U230-SUM($V230:Y230))),0))</f>
        <v/>
      </c>
      <c r="AA230" s="457">
        <f>IF($AO230&lt;&gt;"OK",0,IF(AND(DATE('Thiết lập'!$B$4,6,1)&gt;=DATE(YEAR($H230),MONTH($H230),1),DATE('Thiết lập'!$B$4,6,1)&lt;EDATE(DATE(YEAR($H230),MONTH($H230),1),$O230)),MIN($P230,MAX(0,$N230-$U230-SUM($V230:Z230))),0))</f>
        <v/>
      </c>
      <c r="AB230" s="457">
        <f>IF($AO230&lt;&gt;"OK",0,IF(AND(DATE('Thiết lập'!$B$4,7,1)&gt;=DATE(YEAR($H230),MONTH($H230),1),DATE('Thiết lập'!$B$4,7,1)&lt;EDATE(DATE(YEAR($H230),MONTH($H230),1),$O230)),MIN($P230,MAX(0,$N230-$U230-SUM($V230:AA230))),0))</f>
        <v/>
      </c>
      <c r="AC230" s="457">
        <f>IF($AO230&lt;&gt;"OK",0,IF(AND(DATE('Thiết lập'!$B$4,8,1)&gt;=DATE(YEAR($H230),MONTH($H230),1),DATE('Thiết lập'!$B$4,8,1)&lt;EDATE(DATE(YEAR($H230),MONTH($H230),1),$O230)),MIN($P230,MAX(0,$N230-$U230-SUM($V230:AB230))),0))</f>
        <v/>
      </c>
      <c r="AD230" s="457">
        <f>IF($AO230&lt;&gt;"OK",0,IF(AND(DATE('Thiết lập'!$B$4,9,1)&gt;=DATE(YEAR($H230),MONTH($H230),1),DATE('Thiết lập'!$B$4,9,1)&lt;EDATE(DATE(YEAR($H230),MONTH($H230),1),$O230)),MIN($P230,MAX(0,$N230-$U230-SUM($V230:AC230))),0))</f>
        <v/>
      </c>
      <c r="AE230" s="457">
        <f>IF($AO230&lt;&gt;"OK",0,IF(AND(DATE('Thiết lập'!$B$4,10,1)&gt;=DATE(YEAR($H230),MONTH($H230),1),DATE('Thiết lập'!$B$4,10,1)&lt;EDATE(DATE(YEAR($H230),MONTH($H230),1),$O230)),MIN($P230,MAX(0,$N230-$U230-SUM($V230:AD230))),0))</f>
        <v/>
      </c>
      <c r="AF230" s="457">
        <f>IF($AO230&lt;&gt;"OK",0,IF(AND(DATE('Thiết lập'!$B$4,11,1)&gt;=DATE(YEAR($H230),MONTH($H230),1),DATE('Thiết lập'!$B$4,11,1)&lt;EDATE(DATE(YEAR($H230),MONTH($H230),1),$O230)),MIN($P230,MAX(0,$N230-$U230-SUM($V230:AE230))),0))</f>
        <v/>
      </c>
      <c r="AG230" s="457">
        <f>IF($AO230&lt;&gt;"OK",0,IF(AND(DATE('Thiết lập'!$B$4,12,1)&gt;=DATE(YEAR($H230),MONTH($H230),1),DATE('Thiết lập'!$B$4,12,1)&lt;EDATE(DATE(YEAR($H230),MONTH($H230),1),$O230)),MIN($P230,MAX(0,$N230-$U230-SUM($V230:AF230))),0))</f>
        <v/>
      </c>
      <c r="AH230" s="457">
        <f>IF(B230="","",SUM(V230:AG230))</f>
        <v/>
      </c>
      <c r="AI230" s="457">
        <f>IF(B230="","",MIN(N230,IF(U230="",0,U230)+AH230))</f>
        <v/>
      </c>
      <c r="AJ230" s="457">
        <f>IF(B230="","",MAX(0,L230-AI230))</f>
        <v/>
      </c>
      <c r="AK230" s="337">
        <f>IF(B230="","",IF(H230&gt;'Thiết lập'!$B$5,"Chưa khấu hao",IF(AJ230&lt;=IF(M230="",0,M230),"Đã hết khấu hao","Đang khấu hao")))</f>
        <v/>
      </c>
      <c r="AL230" s="275" t="n"/>
      <c r="AM230" s="275" t="n"/>
      <c r="AN230" s="275" t="n"/>
      <c r="AO230" s="343">
        <f>IF(B230="","",IF(COUNTIF($B$7:$B$306,B230)&gt;1,"Trùng mã TSCĐ",IF(C230="","Thiếu tên TSCĐ",IF(H230="","Thiếu ngày bắt đầu",IF(OR(I230&lt;=0,L230&lt;=0,O230&lt;=0),"Kiểm tra số lượng/nguyên giá/thời gian",IF(AND(G230&lt;&gt;"",H230&lt;G230),"Ngày KH trước ngày ghi tăng",IF(M230&gt;L230,"Giá trị thu hồi vượt nguyên giá",IF(IF(U230="",0,U230)&gt;N230,"Lũy kế đầu năm vượt GTKH","OK"))))))))</f>
        <v/>
      </c>
    </row>
    <row r="231" ht="20" customHeight="1" s="389">
      <c r="A231" s="325">
        <f>IF(B231="","",ROW()-6)</f>
        <v/>
      </c>
      <c r="B231" s="275" t="n"/>
      <c r="C231" s="275" t="n"/>
      <c r="D231" s="331" t="n"/>
      <c r="E231" s="331" t="n"/>
      <c r="F231" s="454" t="n"/>
      <c r="G231" s="454" t="n"/>
      <c r="H231" s="454" t="n"/>
      <c r="I231" s="455" t="n"/>
      <c r="J231" s="456" t="n"/>
      <c r="K231" s="456" t="n"/>
      <c r="L231" s="457">
        <f>IF(B231="","",IF(OR(I231="",J231=""),"",I231*J231+IF(K231="",0,K231)))</f>
        <v/>
      </c>
      <c r="M231" s="456" t="n"/>
      <c r="N231" s="457">
        <f>IF(L231="","",MAX(0,L231-IF(M231="",0,M231)))</f>
        <v/>
      </c>
      <c r="O231" s="455" t="n"/>
      <c r="P231" s="457">
        <f>IF(OR(N231="",O231&lt;=0),"",ROUND(N231/O231,0))</f>
        <v/>
      </c>
      <c r="Q231" s="458">
        <f>IF(OR(H231="",O231&lt;=0),"",EOMONTH(H231,O231-1))</f>
        <v/>
      </c>
      <c r="R231" s="331" t="n"/>
      <c r="S231" s="331" t="n"/>
      <c r="T231" s="331" t="n"/>
      <c r="U231" s="456" t="n"/>
      <c r="V231" s="457">
        <f>IF($AO231&lt;&gt;"OK",0,IF(AND(DATE('Thiết lập'!$B$4,1,1)&gt;=DATE(YEAR($H231),MONTH($H231),1),DATE('Thiết lập'!$B$4,1,1)&lt;EDATE(DATE(YEAR($H231),MONTH($H231),1),$O231)),MIN($P231,MAX(0,$N231-$U231-0)),0))</f>
        <v/>
      </c>
      <c r="W231" s="457">
        <f>IF($AO231&lt;&gt;"OK",0,IF(AND(DATE('Thiết lập'!$B$4,2,1)&gt;=DATE(YEAR($H231),MONTH($H231),1),DATE('Thiết lập'!$B$4,2,1)&lt;EDATE(DATE(YEAR($H231),MONTH($H231),1),$O231)),MIN($P231,MAX(0,$N231-$U231-SUM($V231:V231))),0))</f>
        <v/>
      </c>
      <c r="X231" s="457">
        <f>IF($AO231&lt;&gt;"OK",0,IF(AND(DATE('Thiết lập'!$B$4,3,1)&gt;=DATE(YEAR($H231),MONTH($H231),1),DATE('Thiết lập'!$B$4,3,1)&lt;EDATE(DATE(YEAR($H231),MONTH($H231),1),$O231)),MIN($P231,MAX(0,$N231-$U231-SUM($V231:W231))),0))</f>
        <v/>
      </c>
      <c r="Y231" s="457">
        <f>IF($AO231&lt;&gt;"OK",0,IF(AND(DATE('Thiết lập'!$B$4,4,1)&gt;=DATE(YEAR($H231),MONTH($H231),1),DATE('Thiết lập'!$B$4,4,1)&lt;EDATE(DATE(YEAR($H231),MONTH($H231),1),$O231)),MIN($P231,MAX(0,$N231-$U231-SUM($V231:X231))),0))</f>
        <v/>
      </c>
      <c r="Z231" s="457">
        <f>IF($AO231&lt;&gt;"OK",0,IF(AND(DATE('Thiết lập'!$B$4,5,1)&gt;=DATE(YEAR($H231),MONTH($H231),1),DATE('Thiết lập'!$B$4,5,1)&lt;EDATE(DATE(YEAR($H231),MONTH($H231),1),$O231)),MIN($P231,MAX(0,$N231-$U231-SUM($V231:Y231))),0))</f>
        <v/>
      </c>
      <c r="AA231" s="457">
        <f>IF($AO231&lt;&gt;"OK",0,IF(AND(DATE('Thiết lập'!$B$4,6,1)&gt;=DATE(YEAR($H231),MONTH($H231),1),DATE('Thiết lập'!$B$4,6,1)&lt;EDATE(DATE(YEAR($H231),MONTH($H231),1),$O231)),MIN($P231,MAX(0,$N231-$U231-SUM($V231:Z231))),0))</f>
        <v/>
      </c>
      <c r="AB231" s="457">
        <f>IF($AO231&lt;&gt;"OK",0,IF(AND(DATE('Thiết lập'!$B$4,7,1)&gt;=DATE(YEAR($H231),MONTH($H231),1),DATE('Thiết lập'!$B$4,7,1)&lt;EDATE(DATE(YEAR($H231),MONTH($H231),1),$O231)),MIN($P231,MAX(0,$N231-$U231-SUM($V231:AA231))),0))</f>
        <v/>
      </c>
      <c r="AC231" s="457">
        <f>IF($AO231&lt;&gt;"OK",0,IF(AND(DATE('Thiết lập'!$B$4,8,1)&gt;=DATE(YEAR($H231),MONTH($H231),1),DATE('Thiết lập'!$B$4,8,1)&lt;EDATE(DATE(YEAR($H231),MONTH($H231),1),$O231)),MIN($P231,MAX(0,$N231-$U231-SUM($V231:AB231))),0))</f>
        <v/>
      </c>
      <c r="AD231" s="457">
        <f>IF($AO231&lt;&gt;"OK",0,IF(AND(DATE('Thiết lập'!$B$4,9,1)&gt;=DATE(YEAR($H231),MONTH($H231),1),DATE('Thiết lập'!$B$4,9,1)&lt;EDATE(DATE(YEAR($H231),MONTH($H231),1),$O231)),MIN($P231,MAX(0,$N231-$U231-SUM($V231:AC231))),0))</f>
        <v/>
      </c>
      <c r="AE231" s="457">
        <f>IF($AO231&lt;&gt;"OK",0,IF(AND(DATE('Thiết lập'!$B$4,10,1)&gt;=DATE(YEAR($H231),MONTH($H231),1),DATE('Thiết lập'!$B$4,10,1)&lt;EDATE(DATE(YEAR($H231),MONTH($H231),1),$O231)),MIN($P231,MAX(0,$N231-$U231-SUM($V231:AD231))),0))</f>
        <v/>
      </c>
      <c r="AF231" s="457">
        <f>IF($AO231&lt;&gt;"OK",0,IF(AND(DATE('Thiết lập'!$B$4,11,1)&gt;=DATE(YEAR($H231),MONTH($H231),1),DATE('Thiết lập'!$B$4,11,1)&lt;EDATE(DATE(YEAR($H231),MONTH($H231),1),$O231)),MIN($P231,MAX(0,$N231-$U231-SUM($V231:AE231))),0))</f>
        <v/>
      </c>
      <c r="AG231" s="457">
        <f>IF($AO231&lt;&gt;"OK",0,IF(AND(DATE('Thiết lập'!$B$4,12,1)&gt;=DATE(YEAR($H231),MONTH($H231),1),DATE('Thiết lập'!$B$4,12,1)&lt;EDATE(DATE(YEAR($H231),MONTH($H231),1),$O231)),MIN($P231,MAX(0,$N231-$U231-SUM($V231:AF231))),0))</f>
        <v/>
      </c>
      <c r="AH231" s="457">
        <f>IF(B231="","",SUM(V231:AG231))</f>
        <v/>
      </c>
      <c r="AI231" s="457">
        <f>IF(B231="","",MIN(N231,IF(U231="",0,U231)+AH231))</f>
        <v/>
      </c>
      <c r="AJ231" s="457">
        <f>IF(B231="","",MAX(0,L231-AI231))</f>
        <v/>
      </c>
      <c r="AK231" s="337">
        <f>IF(B231="","",IF(H231&gt;'Thiết lập'!$B$5,"Chưa khấu hao",IF(AJ231&lt;=IF(M231="",0,M231),"Đã hết khấu hao","Đang khấu hao")))</f>
        <v/>
      </c>
      <c r="AL231" s="275" t="n"/>
      <c r="AM231" s="275" t="n"/>
      <c r="AN231" s="275" t="n"/>
      <c r="AO231" s="343">
        <f>IF(B231="","",IF(COUNTIF($B$7:$B$306,B231)&gt;1,"Trùng mã TSCĐ",IF(C231="","Thiếu tên TSCĐ",IF(H231="","Thiếu ngày bắt đầu",IF(OR(I231&lt;=0,L231&lt;=0,O231&lt;=0),"Kiểm tra số lượng/nguyên giá/thời gian",IF(AND(G231&lt;&gt;"",H231&lt;G231),"Ngày KH trước ngày ghi tăng",IF(M231&gt;L231,"Giá trị thu hồi vượt nguyên giá",IF(IF(U231="",0,U231)&gt;N231,"Lũy kế đầu năm vượt GTKH","OK"))))))))</f>
        <v/>
      </c>
    </row>
    <row r="232" ht="20" customHeight="1" s="389">
      <c r="A232" s="325">
        <f>IF(B232="","",ROW()-6)</f>
        <v/>
      </c>
      <c r="B232" s="275" t="n"/>
      <c r="C232" s="275" t="n"/>
      <c r="D232" s="331" t="n"/>
      <c r="E232" s="331" t="n"/>
      <c r="F232" s="454" t="n"/>
      <c r="G232" s="454" t="n"/>
      <c r="H232" s="454" t="n"/>
      <c r="I232" s="455" t="n"/>
      <c r="J232" s="456" t="n"/>
      <c r="K232" s="456" t="n"/>
      <c r="L232" s="457">
        <f>IF(B232="","",IF(OR(I232="",J232=""),"",I232*J232+IF(K232="",0,K232)))</f>
        <v/>
      </c>
      <c r="M232" s="456" t="n"/>
      <c r="N232" s="457">
        <f>IF(L232="","",MAX(0,L232-IF(M232="",0,M232)))</f>
        <v/>
      </c>
      <c r="O232" s="455" t="n"/>
      <c r="P232" s="457">
        <f>IF(OR(N232="",O232&lt;=0),"",ROUND(N232/O232,0))</f>
        <v/>
      </c>
      <c r="Q232" s="458">
        <f>IF(OR(H232="",O232&lt;=0),"",EOMONTH(H232,O232-1))</f>
        <v/>
      </c>
      <c r="R232" s="331" t="n"/>
      <c r="S232" s="331" t="n"/>
      <c r="T232" s="331" t="n"/>
      <c r="U232" s="456" t="n"/>
      <c r="V232" s="457">
        <f>IF($AO232&lt;&gt;"OK",0,IF(AND(DATE('Thiết lập'!$B$4,1,1)&gt;=DATE(YEAR($H232),MONTH($H232),1),DATE('Thiết lập'!$B$4,1,1)&lt;EDATE(DATE(YEAR($H232),MONTH($H232),1),$O232)),MIN($P232,MAX(0,$N232-$U232-0)),0))</f>
        <v/>
      </c>
      <c r="W232" s="457">
        <f>IF($AO232&lt;&gt;"OK",0,IF(AND(DATE('Thiết lập'!$B$4,2,1)&gt;=DATE(YEAR($H232),MONTH($H232),1),DATE('Thiết lập'!$B$4,2,1)&lt;EDATE(DATE(YEAR($H232),MONTH($H232),1),$O232)),MIN($P232,MAX(0,$N232-$U232-SUM($V232:V232))),0))</f>
        <v/>
      </c>
      <c r="X232" s="457">
        <f>IF($AO232&lt;&gt;"OK",0,IF(AND(DATE('Thiết lập'!$B$4,3,1)&gt;=DATE(YEAR($H232),MONTH($H232),1),DATE('Thiết lập'!$B$4,3,1)&lt;EDATE(DATE(YEAR($H232),MONTH($H232),1),$O232)),MIN($P232,MAX(0,$N232-$U232-SUM($V232:W232))),0))</f>
        <v/>
      </c>
      <c r="Y232" s="457">
        <f>IF($AO232&lt;&gt;"OK",0,IF(AND(DATE('Thiết lập'!$B$4,4,1)&gt;=DATE(YEAR($H232),MONTH($H232),1),DATE('Thiết lập'!$B$4,4,1)&lt;EDATE(DATE(YEAR($H232),MONTH($H232),1),$O232)),MIN($P232,MAX(0,$N232-$U232-SUM($V232:X232))),0))</f>
        <v/>
      </c>
      <c r="Z232" s="457">
        <f>IF($AO232&lt;&gt;"OK",0,IF(AND(DATE('Thiết lập'!$B$4,5,1)&gt;=DATE(YEAR($H232),MONTH($H232),1),DATE('Thiết lập'!$B$4,5,1)&lt;EDATE(DATE(YEAR($H232),MONTH($H232),1),$O232)),MIN($P232,MAX(0,$N232-$U232-SUM($V232:Y232))),0))</f>
        <v/>
      </c>
      <c r="AA232" s="457">
        <f>IF($AO232&lt;&gt;"OK",0,IF(AND(DATE('Thiết lập'!$B$4,6,1)&gt;=DATE(YEAR($H232),MONTH($H232),1),DATE('Thiết lập'!$B$4,6,1)&lt;EDATE(DATE(YEAR($H232),MONTH($H232),1),$O232)),MIN($P232,MAX(0,$N232-$U232-SUM($V232:Z232))),0))</f>
        <v/>
      </c>
      <c r="AB232" s="457">
        <f>IF($AO232&lt;&gt;"OK",0,IF(AND(DATE('Thiết lập'!$B$4,7,1)&gt;=DATE(YEAR($H232),MONTH($H232),1),DATE('Thiết lập'!$B$4,7,1)&lt;EDATE(DATE(YEAR($H232),MONTH($H232),1),$O232)),MIN($P232,MAX(0,$N232-$U232-SUM($V232:AA232))),0))</f>
        <v/>
      </c>
      <c r="AC232" s="457">
        <f>IF($AO232&lt;&gt;"OK",0,IF(AND(DATE('Thiết lập'!$B$4,8,1)&gt;=DATE(YEAR($H232),MONTH($H232),1),DATE('Thiết lập'!$B$4,8,1)&lt;EDATE(DATE(YEAR($H232),MONTH($H232),1),$O232)),MIN($P232,MAX(0,$N232-$U232-SUM($V232:AB232))),0))</f>
        <v/>
      </c>
      <c r="AD232" s="457">
        <f>IF($AO232&lt;&gt;"OK",0,IF(AND(DATE('Thiết lập'!$B$4,9,1)&gt;=DATE(YEAR($H232),MONTH($H232),1),DATE('Thiết lập'!$B$4,9,1)&lt;EDATE(DATE(YEAR($H232),MONTH($H232),1),$O232)),MIN($P232,MAX(0,$N232-$U232-SUM($V232:AC232))),0))</f>
        <v/>
      </c>
      <c r="AE232" s="457">
        <f>IF($AO232&lt;&gt;"OK",0,IF(AND(DATE('Thiết lập'!$B$4,10,1)&gt;=DATE(YEAR($H232),MONTH($H232),1),DATE('Thiết lập'!$B$4,10,1)&lt;EDATE(DATE(YEAR($H232),MONTH($H232),1),$O232)),MIN($P232,MAX(0,$N232-$U232-SUM($V232:AD232))),0))</f>
        <v/>
      </c>
      <c r="AF232" s="457">
        <f>IF($AO232&lt;&gt;"OK",0,IF(AND(DATE('Thiết lập'!$B$4,11,1)&gt;=DATE(YEAR($H232),MONTH($H232),1),DATE('Thiết lập'!$B$4,11,1)&lt;EDATE(DATE(YEAR($H232),MONTH($H232),1),$O232)),MIN($P232,MAX(0,$N232-$U232-SUM($V232:AE232))),0))</f>
        <v/>
      </c>
      <c r="AG232" s="457">
        <f>IF($AO232&lt;&gt;"OK",0,IF(AND(DATE('Thiết lập'!$B$4,12,1)&gt;=DATE(YEAR($H232),MONTH($H232),1),DATE('Thiết lập'!$B$4,12,1)&lt;EDATE(DATE(YEAR($H232),MONTH($H232),1),$O232)),MIN($P232,MAX(0,$N232-$U232-SUM($V232:AF232))),0))</f>
        <v/>
      </c>
      <c r="AH232" s="457">
        <f>IF(B232="","",SUM(V232:AG232))</f>
        <v/>
      </c>
      <c r="AI232" s="457">
        <f>IF(B232="","",MIN(N232,IF(U232="",0,U232)+AH232))</f>
        <v/>
      </c>
      <c r="AJ232" s="457">
        <f>IF(B232="","",MAX(0,L232-AI232))</f>
        <v/>
      </c>
      <c r="AK232" s="337">
        <f>IF(B232="","",IF(H232&gt;'Thiết lập'!$B$5,"Chưa khấu hao",IF(AJ232&lt;=IF(M232="",0,M232),"Đã hết khấu hao","Đang khấu hao")))</f>
        <v/>
      </c>
      <c r="AL232" s="275" t="n"/>
      <c r="AM232" s="275" t="n"/>
      <c r="AN232" s="275" t="n"/>
      <c r="AO232" s="343">
        <f>IF(B232="","",IF(COUNTIF($B$7:$B$306,B232)&gt;1,"Trùng mã TSCĐ",IF(C232="","Thiếu tên TSCĐ",IF(H232="","Thiếu ngày bắt đầu",IF(OR(I232&lt;=0,L232&lt;=0,O232&lt;=0),"Kiểm tra số lượng/nguyên giá/thời gian",IF(AND(G232&lt;&gt;"",H232&lt;G232),"Ngày KH trước ngày ghi tăng",IF(M232&gt;L232,"Giá trị thu hồi vượt nguyên giá",IF(IF(U232="",0,U232)&gt;N232,"Lũy kế đầu năm vượt GTKH","OK"))))))))</f>
        <v/>
      </c>
    </row>
    <row r="233" ht="20" customHeight="1" s="389">
      <c r="A233" s="325">
        <f>IF(B233="","",ROW()-6)</f>
        <v/>
      </c>
      <c r="B233" s="275" t="n"/>
      <c r="C233" s="275" t="n"/>
      <c r="D233" s="331" t="n"/>
      <c r="E233" s="331" t="n"/>
      <c r="F233" s="454" t="n"/>
      <c r="G233" s="454" t="n"/>
      <c r="H233" s="454" t="n"/>
      <c r="I233" s="455" t="n"/>
      <c r="J233" s="456" t="n"/>
      <c r="K233" s="456" t="n"/>
      <c r="L233" s="457">
        <f>IF(B233="","",IF(OR(I233="",J233=""),"",I233*J233+IF(K233="",0,K233)))</f>
        <v/>
      </c>
      <c r="M233" s="456" t="n"/>
      <c r="N233" s="457">
        <f>IF(L233="","",MAX(0,L233-IF(M233="",0,M233)))</f>
        <v/>
      </c>
      <c r="O233" s="455" t="n"/>
      <c r="P233" s="457">
        <f>IF(OR(N233="",O233&lt;=0),"",ROUND(N233/O233,0))</f>
        <v/>
      </c>
      <c r="Q233" s="458">
        <f>IF(OR(H233="",O233&lt;=0),"",EOMONTH(H233,O233-1))</f>
        <v/>
      </c>
      <c r="R233" s="331" t="n"/>
      <c r="S233" s="331" t="n"/>
      <c r="T233" s="331" t="n"/>
      <c r="U233" s="456" t="n"/>
      <c r="V233" s="457">
        <f>IF($AO233&lt;&gt;"OK",0,IF(AND(DATE('Thiết lập'!$B$4,1,1)&gt;=DATE(YEAR($H233),MONTH($H233),1),DATE('Thiết lập'!$B$4,1,1)&lt;EDATE(DATE(YEAR($H233),MONTH($H233),1),$O233)),MIN($P233,MAX(0,$N233-$U233-0)),0))</f>
        <v/>
      </c>
      <c r="W233" s="457">
        <f>IF($AO233&lt;&gt;"OK",0,IF(AND(DATE('Thiết lập'!$B$4,2,1)&gt;=DATE(YEAR($H233),MONTH($H233),1),DATE('Thiết lập'!$B$4,2,1)&lt;EDATE(DATE(YEAR($H233),MONTH($H233),1),$O233)),MIN($P233,MAX(0,$N233-$U233-SUM($V233:V233))),0))</f>
        <v/>
      </c>
      <c r="X233" s="457">
        <f>IF($AO233&lt;&gt;"OK",0,IF(AND(DATE('Thiết lập'!$B$4,3,1)&gt;=DATE(YEAR($H233),MONTH($H233),1),DATE('Thiết lập'!$B$4,3,1)&lt;EDATE(DATE(YEAR($H233),MONTH($H233),1),$O233)),MIN($P233,MAX(0,$N233-$U233-SUM($V233:W233))),0))</f>
        <v/>
      </c>
      <c r="Y233" s="457">
        <f>IF($AO233&lt;&gt;"OK",0,IF(AND(DATE('Thiết lập'!$B$4,4,1)&gt;=DATE(YEAR($H233),MONTH($H233),1),DATE('Thiết lập'!$B$4,4,1)&lt;EDATE(DATE(YEAR($H233),MONTH($H233),1),$O233)),MIN($P233,MAX(0,$N233-$U233-SUM($V233:X233))),0))</f>
        <v/>
      </c>
      <c r="Z233" s="457">
        <f>IF($AO233&lt;&gt;"OK",0,IF(AND(DATE('Thiết lập'!$B$4,5,1)&gt;=DATE(YEAR($H233),MONTH($H233),1),DATE('Thiết lập'!$B$4,5,1)&lt;EDATE(DATE(YEAR($H233),MONTH($H233),1),$O233)),MIN($P233,MAX(0,$N233-$U233-SUM($V233:Y233))),0))</f>
        <v/>
      </c>
      <c r="AA233" s="457">
        <f>IF($AO233&lt;&gt;"OK",0,IF(AND(DATE('Thiết lập'!$B$4,6,1)&gt;=DATE(YEAR($H233),MONTH($H233),1),DATE('Thiết lập'!$B$4,6,1)&lt;EDATE(DATE(YEAR($H233),MONTH($H233),1),$O233)),MIN($P233,MAX(0,$N233-$U233-SUM($V233:Z233))),0))</f>
        <v/>
      </c>
      <c r="AB233" s="457">
        <f>IF($AO233&lt;&gt;"OK",0,IF(AND(DATE('Thiết lập'!$B$4,7,1)&gt;=DATE(YEAR($H233),MONTH($H233),1),DATE('Thiết lập'!$B$4,7,1)&lt;EDATE(DATE(YEAR($H233),MONTH($H233),1),$O233)),MIN($P233,MAX(0,$N233-$U233-SUM($V233:AA233))),0))</f>
        <v/>
      </c>
      <c r="AC233" s="457">
        <f>IF($AO233&lt;&gt;"OK",0,IF(AND(DATE('Thiết lập'!$B$4,8,1)&gt;=DATE(YEAR($H233),MONTH($H233),1),DATE('Thiết lập'!$B$4,8,1)&lt;EDATE(DATE(YEAR($H233),MONTH($H233),1),$O233)),MIN($P233,MAX(0,$N233-$U233-SUM($V233:AB233))),0))</f>
        <v/>
      </c>
      <c r="AD233" s="457">
        <f>IF($AO233&lt;&gt;"OK",0,IF(AND(DATE('Thiết lập'!$B$4,9,1)&gt;=DATE(YEAR($H233),MONTH($H233),1),DATE('Thiết lập'!$B$4,9,1)&lt;EDATE(DATE(YEAR($H233),MONTH($H233),1),$O233)),MIN($P233,MAX(0,$N233-$U233-SUM($V233:AC233))),0))</f>
        <v/>
      </c>
      <c r="AE233" s="457">
        <f>IF($AO233&lt;&gt;"OK",0,IF(AND(DATE('Thiết lập'!$B$4,10,1)&gt;=DATE(YEAR($H233),MONTH($H233),1),DATE('Thiết lập'!$B$4,10,1)&lt;EDATE(DATE(YEAR($H233),MONTH($H233),1),$O233)),MIN($P233,MAX(0,$N233-$U233-SUM($V233:AD233))),0))</f>
        <v/>
      </c>
      <c r="AF233" s="457">
        <f>IF($AO233&lt;&gt;"OK",0,IF(AND(DATE('Thiết lập'!$B$4,11,1)&gt;=DATE(YEAR($H233),MONTH($H233),1),DATE('Thiết lập'!$B$4,11,1)&lt;EDATE(DATE(YEAR($H233),MONTH($H233),1),$O233)),MIN($P233,MAX(0,$N233-$U233-SUM($V233:AE233))),0))</f>
        <v/>
      </c>
      <c r="AG233" s="457">
        <f>IF($AO233&lt;&gt;"OK",0,IF(AND(DATE('Thiết lập'!$B$4,12,1)&gt;=DATE(YEAR($H233),MONTH($H233),1),DATE('Thiết lập'!$B$4,12,1)&lt;EDATE(DATE(YEAR($H233),MONTH($H233),1),$O233)),MIN($P233,MAX(0,$N233-$U233-SUM($V233:AF233))),0))</f>
        <v/>
      </c>
      <c r="AH233" s="457">
        <f>IF(B233="","",SUM(V233:AG233))</f>
        <v/>
      </c>
      <c r="AI233" s="457">
        <f>IF(B233="","",MIN(N233,IF(U233="",0,U233)+AH233))</f>
        <v/>
      </c>
      <c r="AJ233" s="457">
        <f>IF(B233="","",MAX(0,L233-AI233))</f>
        <v/>
      </c>
      <c r="AK233" s="337">
        <f>IF(B233="","",IF(H233&gt;'Thiết lập'!$B$5,"Chưa khấu hao",IF(AJ233&lt;=IF(M233="",0,M233),"Đã hết khấu hao","Đang khấu hao")))</f>
        <v/>
      </c>
      <c r="AL233" s="275" t="n"/>
      <c r="AM233" s="275" t="n"/>
      <c r="AN233" s="275" t="n"/>
      <c r="AO233" s="343">
        <f>IF(B233="","",IF(COUNTIF($B$7:$B$306,B233)&gt;1,"Trùng mã TSCĐ",IF(C233="","Thiếu tên TSCĐ",IF(H233="","Thiếu ngày bắt đầu",IF(OR(I233&lt;=0,L233&lt;=0,O233&lt;=0),"Kiểm tra số lượng/nguyên giá/thời gian",IF(AND(G233&lt;&gt;"",H233&lt;G233),"Ngày KH trước ngày ghi tăng",IF(M233&gt;L233,"Giá trị thu hồi vượt nguyên giá",IF(IF(U233="",0,U233)&gt;N233,"Lũy kế đầu năm vượt GTKH","OK"))))))))</f>
        <v/>
      </c>
    </row>
    <row r="234" ht="20" customHeight="1" s="389">
      <c r="A234" s="325">
        <f>IF(B234="","",ROW()-6)</f>
        <v/>
      </c>
      <c r="B234" s="275" t="n"/>
      <c r="C234" s="275" t="n"/>
      <c r="D234" s="331" t="n"/>
      <c r="E234" s="331" t="n"/>
      <c r="F234" s="454" t="n"/>
      <c r="G234" s="454" t="n"/>
      <c r="H234" s="454" t="n"/>
      <c r="I234" s="455" t="n"/>
      <c r="J234" s="456" t="n"/>
      <c r="K234" s="456" t="n"/>
      <c r="L234" s="457">
        <f>IF(B234="","",IF(OR(I234="",J234=""),"",I234*J234+IF(K234="",0,K234)))</f>
        <v/>
      </c>
      <c r="M234" s="456" t="n"/>
      <c r="N234" s="457">
        <f>IF(L234="","",MAX(0,L234-IF(M234="",0,M234)))</f>
        <v/>
      </c>
      <c r="O234" s="455" t="n"/>
      <c r="P234" s="457">
        <f>IF(OR(N234="",O234&lt;=0),"",ROUND(N234/O234,0))</f>
        <v/>
      </c>
      <c r="Q234" s="458">
        <f>IF(OR(H234="",O234&lt;=0),"",EOMONTH(H234,O234-1))</f>
        <v/>
      </c>
      <c r="R234" s="331" t="n"/>
      <c r="S234" s="331" t="n"/>
      <c r="T234" s="331" t="n"/>
      <c r="U234" s="456" t="n"/>
      <c r="V234" s="457">
        <f>IF($AO234&lt;&gt;"OK",0,IF(AND(DATE('Thiết lập'!$B$4,1,1)&gt;=DATE(YEAR($H234),MONTH($H234),1),DATE('Thiết lập'!$B$4,1,1)&lt;EDATE(DATE(YEAR($H234),MONTH($H234),1),$O234)),MIN($P234,MAX(0,$N234-$U234-0)),0))</f>
        <v/>
      </c>
      <c r="W234" s="457">
        <f>IF($AO234&lt;&gt;"OK",0,IF(AND(DATE('Thiết lập'!$B$4,2,1)&gt;=DATE(YEAR($H234),MONTH($H234),1),DATE('Thiết lập'!$B$4,2,1)&lt;EDATE(DATE(YEAR($H234),MONTH($H234),1),$O234)),MIN($P234,MAX(0,$N234-$U234-SUM($V234:V234))),0))</f>
        <v/>
      </c>
      <c r="X234" s="457">
        <f>IF($AO234&lt;&gt;"OK",0,IF(AND(DATE('Thiết lập'!$B$4,3,1)&gt;=DATE(YEAR($H234),MONTH($H234),1),DATE('Thiết lập'!$B$4,3,1)&lt;EDATE(DATE(YEAR($H234),MONTH($H234),1),$O234)),MIN($P234,MAX(0,$N234-$U234-SUM($V234:W234))),0))</f>
        <v/>
      </c>
      <c r="Y234" s="457">
        <f>IF($AO234&lt;&gt;"OK",0,IF(AND(DATE('Thiết lập'!$B$4,4,1)&gt;=DATE(YEAR($H234),MONTH($H234),1),DATE('Thiết lập'!$B$4,4,1)&lt;EDATE(DATE(YEAR($H234),MONTH($H234),1),$O234)),MIN($P234,MAX(0,$N234-$U234-SUM($V234:X234))),0))</f>
        <v/>
      </c>
      <c r="Z234" s="457">
        <f>IF($AO234&lt;&gt;"OK",0,IF(AND(DATE('Thiết lập'!$B$4,5,1)&gt;=DATE(YEAR($H234),MONTH($H234),1),DATE('Thiết lập'!$B$4,5,1)&lt;EDATE(DATE(YEAR($H234),MONTH($H234),1),$O234)),MIN($P234,MAX(0,$N234-$U234-SUM($V234:Y234))),0))</f>
        <v/>
      </c>
      <c r="AA234" s="457">
        <f>IF($AO234&lt;&gt;"OK",0,IF(AND(DATE('Thiết lập'!$B$4,6,1)&gt;=DATE(YEAR($H234),MONTH($H234),1),DATE('Thiết lập'!$B$4,6,1)&lt;EDATE(DATE(YEAR($H234),MONTH($H234),1),$O234)),MIN($P234,MAX(0,$N234-$U234-SUM($V234:Z234))),0))</f>
        <v/>
      </c>
      <c r="AB234" s="457">
        <f>IF($AO234&lt;&gt;"OK",0,IF(AND(DATE('Thiết lập'!$B$4,7,1)&gt;=DATE(YEAR($H234),MONTH($H234),1),DATE('Thiết lập'!$B$4,7,1)&lt;EDATE(DATE(YEAR($H234),MONTH($H234),1),$O234)),MIN($P234,MAX(0,$N234-$U234-SUM($V234:AA234))),0))</f>
        <v/>
      </c>
      <c r="AC234" s="457">
        <f>IF($AO234&lt;&gt;"OK",0,IF(AND(DATE('Thiết lập'!$B$4,8,1)&gt;=DATE(YEAR($H234),MONTH($H234),1),DATE('Thiết lập'!$B$4,8,1)&lt;EDATE(DATE(YEAR($H234),MONTH($H234),1),$O234)),MIN($P234,MAX(0,$N234-$U234-SUM($V234:AB234))),0))</f>
        <v/>
      </c>
      <c r="AD234" s="457">
        <f>IF($AO234&lt;&gt;"OK",0,IF(AND(DATE('Thiết lập'!$B$4,9,1)&gt;=DATE(YEAR($H234),MONTH($H234),1),DATE('Thiết lập'!$B$4,9,1)&lt;EDATE(DATE(YEAR($H234),MONTH($H234),1),$O234)),MIN($P234,MAX(0,$N234-$U234-SUM($V234:AC234))),0))</f>
        <v/>
      </c>
      <c r="AE234" s="457">
        <f>IF($AO234&lt;&gt;"OK",0,IF(AND(DATE('Thiết lập'!$B$4,10,1)&gt;=DATE(YEAR($H234),MONTH($H234),1),DATE('Thiết lập'!$B$4,10,1)&lt;EDATE(DATE(YEAR($H234),MONTH($H234),1),$O234)),MIN($P234,MAX(0,$N234-$U234-SUM($V234:AD234))),0))</f>
        <v/>
      </c>
      <c r="AF234" s="457">
        <f>IF($AO234&lt;&gt;"OK",0,IF(AND(DATE('Thiết lập'!$B$4,11,1)&gt;=DATE(YEAR($H234),MONTH($H234),1),DATE('Thiết lập'!$B$4,11,1)&lt;EDATE(DATE(YEAR($H234),MONTH($H234),1),$O234)),MIN($P234,MAX(0,$N234-$U234-SUM($V234:AE234))),0))</f>
        <v/>
      </c>
      <c r="AG234" s="457">
        <f>IF($AO234&lt;&gt;"OK",0,IF(AND(DATE('Thiết lập'!$B$4,12,1)&gt;=DATE(YEAR($H234),MONTH($H234),1),DATE('Thiết lập'!$B$4,12,1)&lt;EDATE(DATE(YEAR($H234),MONTH($H234),1),$O234)),MIN($P234,MAX(0,$N234-$U234-SUM($V234:AF234))),0))</f>
        <v/>
      </c>
      <c r="AH234" s="457">
        <f>IF(B234="","",SUM(V234:AG234))</f>
        <v/>
      </c>
      <c r="AI234" s="457">
        <f>IF(B234="","",MIN(N234,IF(U234="",0,U234)+AH234))</f>
        <v/>
      </c>
      <c r="AJ234" s="457">
        <f>IF(B234="","",MAX(0,L234-AI234))</f>
        <v/>
      </c>
      <c r="AK234" s="337">
        <f>IF(B234="","",IF(H234&gt;'Thiết lập'!$B$5,"Chưa khấu hao",IF(AJ234&lt;=IF(M234="",0,M234),"Đã hết khấu hao","Đang khấu hao")))</f>
        <v/>
      </c>
      <c r="AL234" s="275" t="n"/>
      <c r="AM234" s="275" t="n"/>
      <c r="AN234" s="275" t="n"/>
      <c r="AO234" s="343">
        <f>IF(B234="","",IF(COUNTIF($B$7:$B$306,B234)&gt;1,"Trùng mã TSCĐ",IF(C234="","Thiếu tên TSCĐ",IF(H234="","Thiếu ngày bắt đầu",IF(OR(I234&lt;=0,L234&lt;=0,O234&lt;=0),"Kiểm tra số lượng/nguyên giá/thời gian",IF(AND(G234&lt;&gt;"",H234&lt;G234),"Ngày KH trước ngày ghi tăng",IF(M234&gt;L234,"Giá trị thu hồi vượt nguyên giá",IF(IF(U234="",0,U234)&gt;N234,"Lũy kế đầu năm vượt GTKH","OK"))))))))</f>
        <v/>
      </c>
    </row>
    <row r="235" ht="20" customHeight="1" s="389">
      <c r="A235" s="325">
        <f>IF(B235="","",ROW()-6)</f>
        <v/>
      </c>
      <c r="B235" s="275" t="n"/>
      <c r="C235" s="275" t="n"/>
      <c r="D235" s="331" t="n"/>
      <c r="E235" s="331" t="n"/>
      <c r="F235" s="454" t="n"/>
      <c r="G235" s="454" t="n"/>
      <c r="H235" s="454" t="n"/>
      <c r="I235" s="455" t="n"/>
      <c r="J235" s="456" t="n"/>
      <c r="K235" s="456" t="n"/>
      <c r="L235" s="457">
        <f>IF(B235="","",IF(OR(I235="",J235=""),"",I235*J235+IF(K235="",0,K235)))</f>
        <v/>
      </c>
      <c r="M235" s="456" t="n"/>
      <c r="N235" s="457">
        <f>IF(L235="","",MAX(0,L235-IF(M235="",0,M235)))</f>
        <v/>
      </c>
      <c r="O235" s="455" t="n"/>
      <c r="P235" s="457">
        <f>IF(OR(N235="",O235&lt;=0),"",ROUND(N235/O235,0))</f>
        <v/>
      </c>
      <c r="Q235" s="458">
        <f>IF(OR(H235="",O235&lt;=0),"",EOMONTH(H235,O235-1))</f>
        <v/>
      </c>
      <c r="R235" s="331" t="n"/>
      <c r="S235" s="331" t="n"/>
      <c r="T235" s="331" t="n"/>
      <c r="U235" s="456" t="n"/>
      <c r="V235" s="457">
        <f>IF($AO235&lt;&gt;"OK",0,IF(AND(DATE('Thiết lập'!$B$4,1,1)&gt;=DATE(YEAR($H235),MONTH($H235),1),DATE('Thiết lập'!$B$4,1,1)&lt;EDATE(DATE(YEAR($H235),MONTH($H235),1),$O235)),MIN($P235,MAX(0,$N235-$U235-0)),0))</f>
        <v/>
      </c>
      <c r="W235" s="457">
        <f>IF($AO235&lt;&gt;"OK",0,IF(AND(DATE('Thiết lập'!$B$4,2,1)&gt;=DATE(YEAR($H235),MONTH($H235),1),DATE('Thiết lập'!$B$4,2,1)&lt;EDATE(DATE(YEAR($H235),MONTH($H235),1),$O235)),MIN($P235,MAX(0,$N235-$U235-SUM($V235:V235))),0))</f>
        <v/>
      </c>
      <c r="X235" s="457">
        <f>IF($AO235&lt;&gt;"OK",0,IF(AND(DATE('Thiết lập'!$B$4,3,1)&gt;=DATE(YEAR($H235),MONTH($H235),1),DATE('Thiết lập'!$B$4,3,1)&lt;EDATE(DATE(YEAR($H235),MONTH($H235),1),$O235)),MIN($P235,MAX(0,$N235-$U235-SUM($V235:W235))),0))</f>
        <v/>
      </c>
      <c r="Y235" s="457">
        <f>IF($AO235&lt;&gt;"OK",0,IF(AND(DATE('Thiết lập'!$B$4,4,1)&gt;=DATE(YEAR($H235),MONTH($H235),1),DATE('Thiết lập'!$B$4,4,1)&lt;EDATE(DATE(YEAR($H235),MONTH($H235),1),$O235)),MIN($P235,MAX(0,$N235-$U235-SUM($V235:X235))),0))</f>
        <v/>
      </c>
      <c r="Z235" s="457">
        <f>IF($AO235&lt;&gt;"OK",0,IF(AND(DATE('Thiết lập'!$B$4,5,1)&gt;=DATE(YEAR($H235),MONTH($H235),1),DATE('Thiết lập'!$B$4,5,1)&lt;EDATE(DATE(YEAR($H235),MONTH($H235),1),$O235)),MIN($P235,MAX(0,$N235-$U235-SUM($V235:Y235))),0))</f>
        <v/>
      </c>
      <c r="AA235" s="457">
        <f>IF($AO235&lt;&gt;"OK",0,IF(AND(DATE('Thiết lập'!$B$4,6,1)&gt;=DATE(YEAR($H235),MONTH($H235),1),DATE('Thiết lập'!$B$4,6,1)&lt;EDATE(DATE(YEAR($H235),MONTH($H235),1),$O235)),MIN($P235,MAX(0,$N235-$U235-SUM($V235:Z235))),0))</f>
        <v/>
      </c>
      <c r="AB235" s="457">
        <f>IF($AO235&lt;&gt;"OK",0,IF(AND(DATE('Thiết lập'!$B$4,7,1)&gt;=DATE(YEAR($H235),MONTH($H235),1),DATE('Thiết lập'!$B$4,7,1)&lt;EDATE(DATE(YEAR($H235),MONTH($H235),1),$O235)),MIN($P235,MAX(0,$N235-$U235-SUM($V235:AA235))),0))</f>
        <v/>
      </c>
      <c r="AC235" s="457">
        <f>IF($AO235&lt;&gt;"OK",0,IF(AND(DATE('Thiết lập'!$B$4,8,1)&gt;=DATE(YEAR($H235),MONTH($H235),1),DATE('Thiết lập'!$B$4,8,1)&lt;EDATE(DATE(YEAR($H235),MONTH($H235),1),$O235)),MIN($P235,MAX(0,$N235-$U235-SUM($V235:AB235))),0))</f>
        <v/>
      </c>
      <c r="AD235" s="457">
        <f>IF($AO235&lt;&gt;"OK",0,IF(AND(DATE('Thiết lập'!$B$4,9,1)&gt;=DATE(YEAR($H235),MONTH($H235),1),DATE('Thiết lập'!$B$4,9,1)&lt;EDATE(DATE(YEAR($H235),MONTH($H235),1),$O235)),MIN($P235,MAX(0,$N235-$U235-SUM($V235:AC235))),0))</f>
        <v/>
      </c>
      <c r="AE235" s="457">
        <f>IF($AO235&lt;&gt;"OK",0,IF(AND(DATE('Thiết lập'!$B$4,10,1)&gt;=DATE(YEAR($H235),MONTH($H235),1),DATE('Thiết lập'!$B$4,10,1)&lt;EDATE(DATE(YEAR($H235),MONTH($H235),1),$O235)),MIN($P235,MAX(0,$N235-$U235-SUM($V235:AD235))),0))</f>
        <v/>
      </c>
      <c r="AF235" s="457">
        <f>IF($AO235&lt;&gt;"OK",0,IF(AND(DATE('Thiết lập'!$B$4,11,1)&gt;=DATE(YEAR($H235),MONTH($H235),1),DATE('Thiết lập'!$B$4,11,1)&lt;EDATE(DATE(YEAR($H235),MONTH($H235),1),$O235)),MIN($P235,MAX(0,$N235-$U235-SUM($V235:AE235))),0))</f>
        <v/>
      </c>
      <c r="AG235" s="457">
        <f>IF($AO235&lt;&gt;"OK",0,IF(AND(DATE('Thiết lập'!$B$4,12,1)&gt;=DATE(YEAR($H235),MONTH($H235),1),DATE('Thiết lập'!$B$4,12,1)&lt;EDATE(DATE(YEAR($H235),MONTH($H235),1),$O235)),MIN($P235,MAX(0,$N235-$U235-SUM($V235:AF235))),0))</f>
        <v/>
      </c>
      <c r="AH235" s="457">
        <f>IF(B235="","",SUM(V235:AG235))</f>
        <v/>
      </c>
      <c r="AI235" s="457">
        <f>IF(B235="","",MIN(N235,IF(U235="",0,U235)+AH235))</f>
        <v/>
      </c>
      <c r="AJ235" s="457">
        <f>IF(B235="","",MAX(0,L235-AI235))</f>
        <v/>
      </c>
      <c r="AK235" s="337">
        <f>IF(B235="","",IF(H235&gt;'Thiết lập'!$B$5,"Chưa khấu hao",IF(AJ235&lt;=IF(M235="",0,M235),"Đã hết khấu hao","Đang khấu hao")))</f>
        <v/>
      </c>
      <c r="AL235" s="275" t="n"/>
      <c r="AM235" s="275" t="n"/>
      <c r="AN235" s="275" t="n"/>
      <c r="AO235" s="343">
        <f>IF(B235="","",IF(COUNTIF($B$7:$B$306,B235)&gt;1,"Trùng mã TSCĐ",IF(C235="","Thiếu tên TSCĐ",IF(H235="","Thiếu ngày bắt đầu",IF(OR(I235&lt;=0,L235&lt;=0,O235&lt;=0),"Kiểm tra số lượng/nguyên giá/thời gian",IF(AND(G235&lt;&gt;"",H235&lt;G235),"Ngày KH trước ngày ghi tăng",IF(M235&gt;L235,"Giá trị thu hồi vượt nguyên giá",IF(IF(U235="",0,U235)&gt;N235,"Lũy kế đầu năm vượt GTKH","OK"))))))))</f>
        <v/>
      </c>
    </row>
    <row r="236" ht="20" customHeight="1" s="389">
      <c r="A236" s="325">
        <f>IF(B236="","",ROW()-6)</f>
        <v/>
      </c>
      <c r="B236" s="275" t="n"/>
      <c r="C236" s="275" t="n"/>
      <c r="D236" s="331" t="n"/>
      <c r="E236" s="331" t="n"/>
      <c r="F236" s="454" t="n"/>
      <c r="G236" s="454" t="n"/>
      <c r="H236" s="454" t="n"/>
      <c r="I236" s="455" t="n"/>
      <c r="J236" s="456" t="n"/>
      <c r="K236" s="456" t="n"/>
      <c r="L236" s="457">
        <f>IF(B236="","",IF(OR(I236="",J236=""),"",I236*J236+IF(K236="",0,K236)))</f>
        <v/>
      </c>
      <c r="M236" s="456" t="n"/>
      <c r="N236" s="457">
        <f>IF(L236="","",MAX(0,L236-IF(M236="",0,M236)))</f>
        <v/>
      </c>
      <c r="O236" s="455" t="n"/>
      <c r="P236" s="457">
        <f>IF(OR(N236="",O236&lt;=0),"",ROUND(N236/O236,0))</f>
        <v/>
      </c>
      <c r="Q236" s="458">
        <f>IF(OR(H236="",O236&lt;=0),"",EOMONTH(H236,O236-1))</f>
        <v/>
      </c>
      <c r="R236" s="331" t="n"/>
      <c r="S236" s="331" t="n"/>
      <c r="T236" s="331" t="n"/>
      <c r="U236" s="456" t="n"/>
      <c r="V236" s="457">
        <f>IF($AO236&lt;&gt;"OK",0,IF(AND(DATE('Thiết lập'!$B$4,1,1)&gt;=DATE(YEAR($H236),MONTH($H236),1),DATE('Thiết lập'!$B$4,1,1)&lt;EDATE(DATE(YEAR($H236),MONTH($H236),1),$O236)),MIN($P236,MAX(0,$N236-$U236-0)),0))</f>
        <v/>
      </c>
      <c r="W236" s="457">
        <f>IF($AO236&lt;&gt;"OK",0,IF(AND(DATE('Thiết lập'!$B$4,2,1)&gt;=DATE(YEAR($H236),MONTH($H236),1),DATE('Thiết lập'!$B$4,2,1)&lt;EDATE(DATE(YEAR($H236),MONTH($H236),1),$O236)),MIN($P236,MAX(0,$N236-$U236-SUM($V236:V236))),0))</f>
        <v/>
      </c>
      <c r="X236" s="457">
        <f>IF($AO236&lt;&gt;"OK",0,IF(AND(DATE('Thiết lập'!$B$4,3,1)&gt;=DATE(YEAR($H236),MONTH($H236),1),DATE('Thiết lập'!$B$4,3,1)&lt;EDATE(DATE(YEAR($H236),MONTH($H236),1),$O236)),MIN($P236,MAX(0,$N236-$U236-SUM($V236:W236))),0))</f>
        <v/>
      </c>
      <c r="Y236" s="457">
        <f>IF($AO236&lt;&gt;"OK",0,IF(AND(DATE('Thiết lập'!$B$4,4,1)&gt;=DATE(YEAR($H236),MONTH($H236),1),DATE('Thiết lập'!$B$4,4,1)&lt;EDATE(DATE(YEAR($H236),MONTH($H236),1),$O236)),MIN($P236,MAX(0,$N236-$U236-SUM($V236:X236))),0))</f>
        <v/>
      </c>
      <c r="Z236" s="457">
        <f>IF($AO236&lt;&gt;"OK",0,IF(AND(DATE('Thiết lập'!$B$4,5,1)&gt;=DATE(YEAR($H236),MONTH($H236),1),DATE('Thiết lập'!$B$4,5,1)&lt;EDATE(DATE(YEAR($H236),MONTH($H236),1),$O236)),MIN($P236,MAX(0,$N236-$U236-SUM($V236:Y236))),0))</f>
        <v/>
      </c>
      <c r="AA236" s="457">
        <f>IF($AO236&lt;&gt;"OK",0,IF(AND(DATE('Thiết lập'!$B$4,6,1)&gt;=DATE(YEAR($H236),MONTH($H236),1),DATE('Thiết lập'!$B$4,6,1)&lt;EDATE(DATE(YEAR($H236),MONTH($H236),1),$O236)),MIN($P236,MAX(0,$N236-$U236-SUM($V236:Z236))),0))</f>
        <v/>
      </c>
      <c r="AB236" s="457">
        <f>IF($AO236&lt;&gt;"OK",0,IF(AND(DATE('Thiết lập'!$B$4,7,1)&gt;=DATE(YEAR($H236),MONTH($H236),1),DATE('Thiết lập'!$B$4,7,1)&lt;EDATE(DATE(YEAR($H236),MONTH($H236),1),$O236)),MIN($P236,MAX(0,$N236-$U236-SUM($V236:AA236))),0))</f>
        <v/>
      </c>
      <c r="AC236" s="457">
        <f>IF($AO236&lt;&gt;"OK",0,IF(AND(DATE('Thiết lập'!$B$4,8,1)&gt;=DATE(YEAR($H236),MONTH($H236),1),DATE('Thiết lập'!$B$4,8,1)&lt;EDATE(DATE(YEAR($H236),MONTH($H236),1),$O236)),MIN($P236,MAX(0,$N236-$U236-SUM($V236:AB236))),0))</f>
        <v/>
      </c>
      <c r="AD236" s="457">
        <f>IF($AO236&lt;&gt;"OK",0,IF(AND(DATE('Thiết lập'!$B$4,9,1)&gt;=DATE(YEAR($H236),MONTH($H236),1),DATE('Thiết lập'!$B$4,9,1)&lt;EDATE(DATE(YEAR($H236),MONTH($H236),1),$O236)),MIN($P236,MAX(0,$N236-$U236-SUM($V236:AC236))),0))</f>
        <v/>
      </c>
      <c r="AE236" s="457">
        <f>IF($AO236&lt;&gt;"OK",0,IF(AND(DATE('Thiết lập'!$B$4,10,1)&gt;=DATE(YEAR($H236),MONTH($H236),1),DATE('Thiết lập'!$B$4,10,1)&lt;EDATE(DATE(YEAR($H236),MONTH($H236),1),$O236)),MIN($P236,MAX(0,$N236-$U236-SUM($V236:AD236))),0))</f>
        <v/>
      </c>
      <c r="AF236" s="457">
        <f>IF($AO236&lt;&gt;"OK",0,IF(AND(DATE('Thiết lập'!$B$4,11,1)&gt;=DATE(YEAR($H236),MONTH($H236),1),DATE('Thiết lập'!$B$4,11,1)&lt;EDATE(DATE(YEAR($H236),MONTH($H236),1),$O236)),MIN($P236,MAX(0,$N236-$U236-SUM($V236:AE236))),0))</f>
        <v/>
      </c>
      <c r="AG236" s="457">
        <f>IF($AO236&lt;&gt;"OK",0,IF(AND(DATE('Thiết lập'!$B$4,12,1)&gt;=DATE(YEAR($H236),MONTH($H236),1),DATE('Thiết lập'!$B$4,12,1)&lt;EDATE(DATE(YEAR($H236),MONTH($H236),1),$O236)),MIN($P236,MAX(0,$N236-$U236-SUM($V236:AF236))),0))</f>
        <v/>
      </c>
      <c r="AH236" s="457">
        <f>IF(B236="","",SUM(V236:AG236))</f>
        <v/>
      </c>
      <c r="AI236" s="457">
        <f>IF(B236="","",MIN(N236,IF(U236="",0,U236)+AH236))</f>
        <v/>
      </c>
      <c r="AJ236" s="457">
        <f>IF(B236="","",MAX(0,L236-AI236))</f>
        <v/>
      </c>
      <c r="AK236" s="337">
        <f>IF(B236="","",IF(H236&gt;'Thiết lập'!$B$5,"Chưa khấu hao",IF(AJ236&lt;=IF(M236="",0,M236),"Đã hết khấu hao","Đang khấu hao")))</f>
        <v/>
      </c>
      <c r="AL236" s="275" t="n"/>
      <c r="AM236" s="275" t="n"/>
      <c r="AN236" s="275" t="n"/>
      <c r="AO236" s="343">
        <f>IF(B236="","",IF(COUNTIF($B$7:$B$306,B236)&gt;1,"Trùng mã TSCĐ",IF(C236="","Thiếu tên TSCĐ",IF(H236="","Thiếu ngày bắt đầu",IF(OR(I236&lt;=0,L236&lt;=0,O236&lt;=0),"Kiểm tra số lượng/nguyên giá/thời gian",IF(AND(G236&lt;&gt;"",H236&lt;G236),"Ngày KH trước ngày ghi tăng",IF(M236&gt;L236,"Giá trị thu hồi vượt nguyên giá",IF(IF(U236="",0,U236)&gt;N236,"Lũy kế đầu năm vượt GTKH","OK"))))))))</f>
        <v/>
      </c>
    </row>
    <row r="237" ht="20" customHeight="1" s="389">
      <c r="A237" s="325">
        <f>IF(B237="","",ROW()-6)</f>
        <v/>
      </c>
      <c r="B237" s="275" t="n"/>
      <c r="C237" s="275" t="n"/>
      <c r="D237" s="331" t="n"/>
      <c r="E237" s="331" t="n"/>
      <c r="F237" s="454" t="n"/>
      <c r="G237" s="454" t="n"/>
      <c r="H237" s="454" t="n"/>
      <c r="I237" s="455" t="n"/>
      <c r="J237" s="456" t="n"/>
      <c r="K237" s="456" t="n"/>
      <c r="L237" s="457">
        <f>IF(B237="","",IF(OR(I237="",J237=""),"",I237*J237+IF(K237="",0,K237)))</f>
        <v/>
      </c>
      <c r="M237" s="456" t="n"/>
      <c r="N237" s="457">
        <f>IF(L237="","",MAX(0,L237-IF(M237="",0,M237)))</f>
        <v/>
      </c>
      <c r="O237" s="455" t="n"/>
      <c r="P237" s="457">
        <f>IF(OR(N237="",O237&lt;=0),"",ROUND(N237/O237,0))</f>
        <v/>
      </c>
      <c r="Q237" s="458">
        <f>IF(OR(H237="",O237&lt;=0),"",EOMONTH(H237,O237-1))</f>
        <v/>
      </c>
      <c r="R237" s="331" t="n"/>
      <c r="S237" s="331" t="n"/>
      <c r="T237" s="331" t="n"/>
      <c r="U237" s="456" t="n"/>
      <c r="V237" s="457">
        <f>IF($AO237&lt;&gt;"OK",0,IF(AND(DATE('Thiết lập'!$B$4,1,1)&gt;=DATE(YEAR($H237),MONTH($H237),1),DATE('Thiết lập'!$B$4,1,1)&lt;EDATE(DATE(YEAR($H237),MONTH($H237),1),$O237)),MIN($P237,MAX(0,$N237-$U237-0)),0))</f>
        <v/>
      </c>
      <c r="W237" s="457">
        <f>IF($AO237&lt;&gt;"OK",0,IF(AND(DATE('Thiết lập'!$B$4,2,1)&gt;=DATE(YEAR($H237),MONTH($H237),1),DATE('Thiết lập'!$B$4,2,1)&lt;EDATE(DATE(YEAR($H237),MONTH($H237),1),$O237)),MIN($P237,MAX(0,$N237-$U237-SUM($V237:V237))),0))</f>
        <v/>
      </c>
      <c r="X237" s="457">
        <f>IF($AO237&lt;&gt;"OK",0,IF(AND(DATE('Thiết lập'!$B$4,3,1)&gt;=DATE(YEAR($H237),MONTH($H237),1),DATE('Thiết lập'!$B$4,3,1)&lt;EDATE(DATE(YEAR($H237),MONTH($H237),1),$O237)),MIN($P237,MAX(0,$N237-$U237-SUM($V237:W237))),0))</f>
        <v/>
      </c>
      <c r="Y237" s="457">
        <f>IF($AO237&lt;&gt;"OK",0,IF(AND(DATE('Thiết lập'!$B$4,4,1)&gt;=DATE(YEAR($H237),MONTH($H237),1),DATE('Thiết lập'!$B$4,4,1)&lt;EDATE(DATE(YEAR($H237),MONTH($H237),1),$O237)),MIN($P237,MAX(0,$N237-$U237-SUM($V237:X237))),0))</f>
        <v/>
      </c>
      <c r="Z237" s="457">
        <f>IF($AO237&lt;&gt;"OK",0,IF(AND(DATE('Thiết lập'!$B$4,5,1)&gt;=DATE(YEAR($H237),MONTH($H237),1),DATE('Thiết lập'!$B$4,5,1)&lt;EDATE(DATE(YEAR($H237),MONTH($H237),1),$O237)),MIN($P237,MAX(0,$N237-$U237-SUM($V237:Y237))),0))</f>
        <v/>
      </c>
      <c r="AA237" s="457">
        <f>IF($AO237&lt;&gt;"OK",0,IF(AND(DATE('Thiết lập'!$B$4,6,1)&gt;=DATE(YEAR($H237),MONTH($H237),1),DATE('Thiết lập'!$B$4,6,1)&lt;EDATE(DATE(YEAR($H237),MONTH($H237),1),$O237)),MIN($P237,MAX(0,$N237-$U237-SUM($V237:Z237))),0))</f>
        <v/>
      </c>
      <c r="AB237" s="457">
        <f>IF($AO237&lt;&gt;"OK",0,IF(AND(DATE('Thiết lập'!$B$4,7,1)&gt;=DATE(YEAR($H237),MONTH($H237),1),DATE('Thiết lập'!$B$4,7,1)&lt;EDATE(DATE(YEAR($H237),MONTH($H237),1),$O237)),MIN($P237,MAX(0,$N237-$U237-SUM($V237:AA237))),0))</f>
        <v/>
      </c>
      <c r="AC237" s="457">
        <f>IF($AO237&lt;&gt;"OK",0,IF(AND(DATE('Thiết lập'!$B$4,8,1)&gt;=DATE(YEAR($H237),MONTH($H237),1),DATE('Thiết lập'!$B$4,8,1)&lt;EDATE(DATE(YEAR($H237),MONTH($H237),1),$O237)),MIN($P237,MAX(0,$N237-$U237-SUM($V237:AB237))),0))</f>
        <v/>
      </c>
      <c r="AD237" s="457">
        <f>IF($AO237&lt;&gt;"OK",0,IF(AND(DATE('Thiết lập'!$B$4,9,1)&gt;=DATE(YEAR($H237),MONTH($H237),1),DATE('Thiết lập'!$B$4,9,1)&lt;EDATE(DATE(YEAR($H237),MONTH($H237),1),$O237)),MIN($P237,MAX(0,$N237-$U237-SUM($V237:AC237))),0))</f>
        <v/>
      </c>
      <c r="AE237" s="457">
        <f>IF($AO237&lt;&gt;"OK",0,IF(AND(DATE('Thiết lập'!$B$4,10,1)&gt;=DATE(YEAR($H237),MONTH($H237),1),DATE('Thiết lập'!$B$4,10,1)&lt;EDATE(DATE(YEAR($H237),MONTH($H237),1),$O237)),MIN($P237,MAX(0,$N237-$U237-SUM($V237:AD237))),0))</f>
        <v/>
      </c>
      <c r="AF237" s="457">
        <f>IF($AO237&lt;&gt;"OK",0,IF(AND(DATE('Thiết lập'!$B$4,11,1)&gt;=DATE(YEAR($H237),MONTH($H237),1),DATE('Thiết lập'!$B$4,11,1)&lt;EDATE(DATE(YEAR($H237),MONTH($H237),1),$O237)),MIN($P237,MAX(0,$N237-$U237-SUM($V237:AE237))),0))</f>
        <v/>
      </c>
      <c r="AG237" s="457">
        <f>IF($AO237&lt;&gt;"OK",0,IF(AND(DATE('Thiết lập'!$B$4,12,1)&gt;=DATE(YEAR($H237),MONTH($H237),1),DATE('Thiết lập'!$B$4,12,1)&lt;EDATE(DATE(YEAR($H237),MONTH($H237),1),$O237)),MIN($P237,MAX(0,$N237-$U237-SUM($V237:AF237))),0))</f>
        <v/>
      </c>
      <c r="AH237" s="457">
        <f>IF(B237="","",SUM(V237:AG237))</f>
        <v/>
      </c>
      <c r="AI237" s="457">
        <f>IF(B237="","",MIN(N237,IF(U237="",0,U237)+AH237))</f>
        <v/>
      </c>
      <c r="AJ237" s="457">
        <f>IF(B237="","",MAX(0,L237-AI237))</f>
        <v/>
      </c>
      <c r="AK237" s="337">
        <f>IF(B237="","",IF(H237&gt;'Thiết lập'!$B$5,"Chưa khấu hao",IF(AJ237&lt;=IF(M237="",0,M237),"Đã hết khấu hao","Đang khấu hao")))</f>
        <v/>
      </c>
      <c r="AL237" s="275" t="n"/>
      <c r="AM237" s="275" t="n"/>
      <c r="AN237" s="275" t="n"/>
      <c r="AO237" s="343">
        <f>IF(B237="","",IF(COUNTIF($B$7:$B$306,B237)&gt;1,"Trùng mã TSCĐ",IF(C237="","Thiếu tên TSCĐ",IF(H237="","Thiếu ngày bắt đầu",IF(OR(I237&lt;=0,L237&lt;=0,O237&lt;=0),"Kiểm tra số lượng/nguyên giá/thời gian",IF(AND(G237&lt;&gt;"",H237&lt;G237),"Ngày KH trước ngày ghi tăng",IF(M237&gt;L237,"Giá trị thu hồi vượt nguyên giá",IF(IF(U237="",0,U237)&gt;N237,"Lũy kế đầu năm vượt GTKH","OK"))))))))</f>
        <v/>
      </c>
    </row>
    <row r="238" ht="20" customHeight="1" s="389">
      <c r="A238" s="325">
        <f>IF(B238="","",ROW()-6)</f>
        <v/>
      </c>
      <c r="B238" s="275" t="n"/>
      <c r="C238" s="275" t="n"/>
      <c r="D238" s="331" t="n"/>
      <c r="E238" s="331" t="n"/>
      <c r="F238" s="454" t="n"/>
      <c r="G238" s="454" t="n"/>
      <c r="H238" s="454" t="n"/>
      <c r="I238" s="455" t="n"/>
      <c r="J238" s="456" t="n"/>
      <c r="K238" s="456" t="n"/>
      <c r="L238" s="457">
        <f>IF(B238="","",IF(OR(I238="",J238=""),"",I238*J238+IF(K238="",0,K238)))</f>
        <v/>
      </c>
      <c r="M238" s="456" t="n"/>
      <c r="N238" s="457">
        <f>IF(L238="","",MAX(0,L238-IF(M238="",0,M238)))</f>
        <v/>
      </c>
      <c r="O238" s="455" t="n"/>
      <c r="P238" s="457">
        <f>IF(OR(N238="",O238&lt;=0),"",ROUND(N238/O238,0))</f>
        <v/>
      </c>
      <c r="Q238" s="458">
        <f>IF(OR(H238="",O238&lt;=0),"",EOMONTH(H238,O238-1))</f>
        <v/>
      </c>
      <c r="R238" s="331" t="n"/>
      <c r="S238" s="331" t="n"/>
      <c r="T238" s="331" t="n"/>
      <c r="U238" s="456" t="n"/>
      <c r="V238" s="457">
        <f>IF($AO238&lt;&gt;"OK",0,IF(AND(DATE('Thiết lập'!$B$4,1,1)&gt;=DATE(YEAR($H238),MONTH($H238),1),DATE('Thiết lập'!$B$4,1,1)&lt;EDATE(DATE(YEAR($H238),MONTH($H238),1),$O238)),MIN($P238,MAX(0,$N238-$U238-0)),0))</f>
        <v/>
      </c>
      <c r="W238" s="457">
        <f>IF($AO238&lt;&gt;"OK",0,IF(AND(DATE('Thiết lập'!$B$4,2,1)&gt;=DATE(YEAR($H238),MONTH($H238),1),DATE('Thiết lập'!$B$4,2,1)&lt;EDATE(DATE(YEAR($H238),MONTH($H238),1),$O238)),MIN($P238,MAX(0,$N238-$U238-SUM($V238:V238))),0))</f>
        <v/>
      </c>
      <c r="X238" s="457">
        <f>IF($AO238&lt;&gt;"OK",0,IF(AND(DATE('Thiết lập'!$B$4,3,1)&gt;=DATE(YEAR($H238),MONTH($H238),1),DATE('Thiết lập'!$B$4,3,1)&lt;EDATE(DATE(YEAR($H238),MONTH($H238),1),$O238)),MIN($P238,MAX(0,$N238-$U238-SUM($V238:W238))),0))</f>
        <v/>
      </c>
      <c r="Y238" s="457">
        <f>IF($AO238&lt;&gt;"OK",0,IF(AND(DATE('Thiết lập'!$B$4,4,1)&gt;=DATE(YEAR($H238),MONTH($H238),1),DATE('Thiết lập'!$B$4,4,1)&lt;EDATE(DATE(YEAR($H238),MONTH($H238),1),$O238)),MIN($P238,MAX(0,$N238-$U238-SUM($V238:X238))),0))</f>
        <v/>
      </c>
      <c r="Z238" s="457">
        <f>IF($AO238&lt;&gt;"OK",0,IF(AND(DATE('Thiết lập'!$B$4,5,1)&gt;=DATE(YEAR($H238),MONTH($H238),1),DATE('Thiết lập'!$B$4,5,1)&lt;EDATE(DATE(YEAR($H238),MONTH($H238),1),$O238)),MIN($P238,MAX(0,$N238-$U238-SUM($V238:Y238))),0))</f>
        <v/>
      </c>
      <c r="AA238" s="457">
        <f>IF($AO238&lt;&gt;"OK",0,IF(AND(DATE('Thiết lập'!$B$4,6,1)&gt;=DATE(YEAR($H238),MONTH($H238),1),DATE('Thiết lập'!$B$4,6,1)&lt;EDATE(DATE(YEAR($H238),MONTH($H238),1),$O238)),MIN($P238,MAX(0,$N238-$U238-SUM($V238:Z238))),0))</f>
        <v/>
      </c>
      <c r="AB238" s="457">
        <f>IF($AO238&lt;&gt;"OK",0,IF(AND(DATE('Thiết lập'!$B$4,7,1)&gt;=DATE(YEAR($H238),MONTH($H238),1),DATE('Thiết lập'!$B$4,7,1)&lt;EDATE(DATE(YEAR($H238),MONTH($H238),1),$O238)),MIN($P238,MAX(0,$N238-$U238-SUM($V238:AA238))),0))</f>
        <v/>
      </c>
      <c r="AC238" s="457">
        <f>IF($AO238&lt;&gt;"OK",0,IF(AND(DATE('Thiết lập'!$B$4,8,1)&gt;=DATE(YEAR($H238),MONTH($H238),1),DATE('Thiết lập'!$B$4,8,1)&lt;EDATE(DATE(YEAR($H238),MONTH($H238),1),$O238)),MIN($P238,MAX(0,$N238-$U238-SUM($V238:AB238))),0))</f>
        <v/>
      </c>
      <c r="AD238" s="457">
        <f>IF($AO238&lt;&gt;"OK",0,IF(AND(DATE('Thiết lập'!$B$4,9,1)&gt;=DATE(YEAR($H238),MONTH($H238),1),DATE('Thiết lập'!$B$4,9,1)&lt;EDATE(DATE(YEAR($H238),MONTH($H238),1),$O238)),MIN($P238,MAX(0,$N238-$U238-SUM($V238:AC238))),0))</f>
        <v/>
      </c>
      <c r="AE238" s="457">
        <f>IF($AO238&lt;&gt;"OK",0,IF(AND(DATE('Thiết lập'!$B$4,10,1)&gt;=DATE(YEAR($H238),MONTH($H238),1),DATE('Thiết lập'!$B$4,10,1)&lt;EDATE(DATE(YEAR($H238),MONTH($H238),1),$O238)),MIN($P238,MAX(0,$N238-$U238-SUM($V238:AD238))),0))</f>
        <v/>
      </c>
      <c r="AF238" s="457">
        <f>IF($AO238&lt;&gt;"OK",0,IF(AND(DATE('Thiết lập'!$B$4,11,1)&gt;=DATE(YEAR($H238),MONTH($H238),1),DATE('Thiết lập'!$B$4,11,1)&lt;EDATE(DATE(YEAR($H238),MONTH($H238),1),$O238)),MIN($P238,MAX(0,$N238-$U238-SUM($V238:AE238))),0))</f>
        <v/>
      </c>
      <c r="AG238" s="457">
        <f>IF($AO238&lt;&gt;"OK",0,IF(AND(DATE('Thiết lập'!$B$4,12,1)&gt;=DATE(YEAR($H238),MONTH($H238),1),DATE('Thiết lập'!$B$4,12,1)&lt;EDATE(DATE(YEAR($H238),MONTH($H238),1),$O238)),MIN($P238,MAX(0,$N238-$U238-SUM($V238:AF238))),0))</f>
        <v/>
      </c>
      <c r="AH238" s="457">
        <f>IF(B238="","",SUM(V238:AG238))</f>
        <v/>
      </c>
      <c r="AI238" s="457">
        <f>IF(B238="","",MIN(N238,IF(U238="",0,U238)+AH238))</f>
        <v/>
      </c>
      <c r="AJ238" s="457">
        <f>IF(B238="","",MAX(0,L238-AI238))</f>
        <v/>
      </c>
      <c r="AK238" s="337">
        <f>IF(B238="","",IF(H238&gt;'Thiết lập'!$B$5,"Chưa khấu hao",IF(AJ238&lt;=IF(M238="",0,M238),"Đã hết khấu hao","Đang khấu hao")))</f>
        <v/>
      </c>
      <c r="AL238" s="275" t="n"/>
      <c r="AM238" s="275" t="n"/>
      <c r="AN238" s="275" t="n"/>
      <c r="AO238" s="343">
        <f>IF(B238="","",IF(COUNTIF($B$7:$B$306,B238)&gt;1,"Trùng mã TSCĐ",IF(C238="","Thiếu tên TSCĐ",IF(H238="","Thiếu ngày bắt đầu",IF(OR(I238&lt;=0,L238&lt;=0,O238&lt;=0),"Kiểm tra số lượng/nguyên giá/thời gian",IF(AND(G238&lt;&gt;"",H238&lt;G238),"Ngày KH trước ngày ghi tăng",IF(M238&gt;L238,"Giá trị thu hồi vượt nguyên giá",IF(IF(U238="",0,U238)&gt;N238,"Lũy kế đầu năm vượt GTKH","OK"))))))))</f>
        <v/>
      </c>
    </row>
    <row r="239" ht="20" customHeight="1" s="389">
      <c r="A239" s="325">
        <f>IF(B239="","",ROW()-6)</f>
        <v/>
      </c>
      <c r="B239" s="275" t="n"/>
      <c r="C239" s="275" t="n"/>
      <c r="D239" s="331" t="n"/>
      <c r="E239" s="331" t="n"/>
      <c r="F239" s="454" t="n"/>
      <c r="G239" s="454" t="n"/>
      <c r="H239" s="454" t="n"/>
      <c r="I239" s="455" t="n"/>
      <c r="J239" s="456" t="n"/>
      <c r="K239" s="456" t="n"/>
      <c r="L239" s="457">
        <f>IF(B239="","",IF(OR(I239="",J239=""),"",I239*J239+IF(K239="",0,K239)))</f>
        <v/>
      </c>
      <c r="M239" s="456" t="n"/>
      <c r="N239" s="457">
        <f>IF(L239="","",MAX(0,L239-IF(M239="",0,M239)))</f>
        <v/>
      </c>
      <c r="O239" s="455" t="n"/>
      <c r="P239" s="457">
        <f>IF(OR(N239="",O239&lt;=0),"",ROUND(N239/O239,0))</f>
        <v/>
      </c>
      <c r="Q239" s="458">
        <f>IF(OR(H239="",O239&lt;=0),"",EOMONTH(H239,O239-1))</f>
        <v/>
      </c>
      <c r="R239" s="331" t="n"/>
      <c r="S239" s="331" t="n"/>
      <c r="T239" s="331" t="n"/>
      <c r="U239" s="456" t="n"/>
      <c r="V239" s="457">
        <f>IF($AO239&lt;&gt;"OK",0,IF(AND(DATE('Thiết lập'!$B$4,1,1)&gt;=DATE(YEAR($H239),MONTH($H239),1),DATE('Thiết lập'!$B$4,1,1)&lt;EDATE(DATE(YEAR($H239),MONTH($H239),1),$O239)),MIN($P239,MAX(0,$N239-$U239-0)),0))</f>
        <v/>
      </c>
      <c r="W239" s="457">
        <f>IF($AO239&lt;&gt;"OK",0,IF(AND(DATE('Thiết lập'!$B$4,2,1)&gt;=DATE(YEAR($H239),MONTH($H239),1),DATE('Thiết lập'!$B$4,2,1)&lt;EDATE(DATE(YEAR($H239),MONTH($H239),1),$O239)),MIN($P239,MAX(0,$N239-$U239-SUM($V239:V239))),0))</f>
        <v/>
      </c>
      <c r="X239" s="457">
        <f>IF($AO239&lt;&gt;"OK",0,IF(AND(DATE('Thiết lập'!$B$4,3,1)&gt;=DATE(YEAR($H239),MONTH($H239),1),DATE('Thiết lập'!$B$4,3,1)&lt;EDATE(DATE(YEAR($H239),MONTH($H239),1),$O239)),MIN($P239,MAX(0,$N239-$U239-SUM($V239:W239))),0))</f>
        <v/>
      </c>
      <c r="Y239" s="457">
        <f>IF($AO239&lt;&gt;"OK",0,IF(AND(DATE('Thiết lập'!$B$4,4,1)&gt;=DATE(YEAR($H239),MONTH($H239),1),DATE('Thiết lập'!$B$4,4,1)&lt;EDATE(DATE(YEAR($H239),MONTH($H239),1),$O239)),MIN($P239,MAX(0,$N239-$U239-SUM($V239:X239))),0))</f>
        <v/>
      </c>
      <c r="Z239" s="457">
        <f>IF($AO239&lt;&gt;"OK",0,IF(AND(DATE('Thiết lập'!$B$4,5,1)&gt;=DATE(YEAR($H239),MONTH($H239),1),DATE('Thiết lập'!$B$4,5,1)&lt;EDATE(DATE(YEAR($H239),MONTH($H239),1),$O239)),MIN($P239,MAX(0,$N239-$U239-SUM($V239:Y239))),0))</f>
        <v/>
      </c>
      <c r="AA239" s="457">
        <f>IF($AO239&lt;&gt;"OK",0,IF(AND(DATE('Thiết lập'!$B$4,6,1)&gt;=DATE(YEAR($H239),MONTH($H239),1),DATE('Thiết lập'!$B$4,6,1)&lt;EDATE(DATE(YEAR($H239),MONTH($H239),1),$O239)),MIN($P239,MAX(0,$N239-$U239-SUM($V239:Z239))),0))</f>
        <v/>
      </c>
      <c r="AB239" s="457">
        <f>IF($AO239&lt;&gt;"OK",0,IF(AND(DATE('Thiết lập'!$B$4,7,1)&gt;=DATE(YEAR($H239),MONTH($H239),1),DATE('Thiết lập'!$B$4,7,1)&lt;EDATE(DATE(YEAR($H239),MONTH($H239),1),$O239)),MIN($P239,MAX(0,$N239-$U239-SUM($V239:AA239))),0))</f>
        <v/>
      </c>
      <c r="AC239" s="457">
        <f>IF($AO239&lt;&gt;"OK",0,IF(AND(DATE('Thiết lập'!$B$4,8,1)&gt;=DATE(YEAR($H239),MONTH($H239),1),DATE('Thiết lập'!$B$4,8,1)&lt;EDATE(DATE(YEAR($H239),MONTH($H239),1),$O239)),MIN($P239,MAX(0,$N239-$U239-SUM($V239:AB239))),0))</f>
        <v/>
      </c>
      <c r="AD239" s="457">
        <f>IF($AO239&lt;&gt;"OK",0,IF(AND(DATE('Thiết lập'!$B$4,9,1)&gt;=DATE(YEAR($H239),MONTH($H239),1),DATE('Thiết lập'!$B$4,9,1)&lt;EDATE(DATE(YEAR($H239),MONTH($H239),1),$O239)),MIN($P239,MAX(0,$N239-$U239-SUM($V239:AC239))),0))</f>
        <v/>
      </c>
      <c r="AE239" s="457">
        <f>IF($AO239&lt;&gt;"OK",0,IF(AND(DATE('Thiết lập'!$B$4,10,1)&gt;=DATE(YEAR($H239),MONTH($H239),1),DATE('Thiết lập'!$B$4,10,1)&lt;EDATE(DATE(YEAR($H239),MONTH($H239),1),$O239)),MIN($P239,MAX(0,$N239-$U239-SUM($V239:AD239))),0))</f>
        <v/>
      </c>
      <c r="AF239" s="457">
        <f>IF($AO239&lt;&gt;"OK",0,IF(AND(DATE('Thiết lập'!$B$4,11,1)&gt;=DATE(YEAR($H239),MONTH($H239),1),DATE('Thiết lập'!$B$4,11,1)&lt;EDATE(DATE(YEAR($H239),MONTH($H239),1),$O239)),MIN($P239,MAX(0,$N239-$U239-SUM($V239:AE239))),0))</f>
        <v/>
      </c>
      <c r="AG239" s="457">
        <f>IF($AO239&lt;&gt;"OK",0,IF(AND(DATE('Thiết lập'!$B$4,12,1)&gt;=DATE(YEAR($H239),MONTH($H239),1),DATE('Thiết lập'!$B$4,12,1)&lt;EDATE(DATE(YEAR($H239),MONTH($H239),1),$O239)),MIN($P239,MAX(0,$N239-$U239-SUM($V239:AF239))),0))</f>
        <v/>
      </c>
      <c r="AH239" s="457">
        <f>IF(B239="","",SUM(V239:AG239))</f>
        <v/>
      </c>
      <c r="AI239" s="457">
        <f>IF(B239="","",MIN(N239,IF(U239="",0,U239)+AH239))</f>
        <v/>
      </c>
      <c r="AJ239" s="457">
        <f>IF(B239="","",MAX(0,L239-AI239))</f>
        <v/>
      </c>
      <c r="AK239" s="337">
        <f>IF(B239="","",IF(H239&gt;'Thiết lập'!$B$5,"Chưa khấu hao",IF(AJ239&lt;=IF(M239="",0,M239),"Đã hết khấu hao","Đang khấu hao")))</f>
        <v/>
      </c>
      <c r="AL239" s="275" t="n"/>
      <c r="AM239" s="275" t="n"/>
      <c r="AN239" s="275" t="n"/>
      <c r="AO239" s="343">
        <f>IF(B239="","",IF(COUNTIF($B$7:$B$306,B239)&gt;1,"Trùng mã TSCĐ",IF(C239="","Thiếu tên TSCĐ",IF(H239="","Thiếu ngày bắt đầu",IF(OR(I239&lt;=0,L239&lt;=0,O239&lt;=0),"Kiểm tra số lượng/nguyên giá/thời gian",IF(AND(G239&lt;&gt;"",H239&lt;G239),"Ngày KH trước ngày ghi tăng",IF(M239&gt;L239,"Giá trị thu hồi vượt nguyên giá",IF(IF(U239="",0,U239)&gt;N239,"Lũy kế đầu năm vượt GTKH","OK"))))))))</f>
        <v/>
      </c>
    </row>
    <row r="240" ht="20" customHeight="1" s="389">
      <c r="A240" s="325">
        <f>IF(B240="","",ROW()-6)</f>
        <v/>
      </c>
      <c r="B240" s="275" t="n"/>
      <c r="C240" s="275" t="n"/>
      <c r="D240" s="331" t="n"/>
      <c r="E240" s="331" t="n"/>
      <c r="F240" s="454" t="n"/>
      <c r="G240" s="454" t="n"/>
      <c r="H240" s="454" t="n"/>
      <c r="I240" s="455" t="n"/>
      <c r="J240" s="456" t="n"/>
      <c r="K240" s="456" t="n"/>
      <c r="L240" s="457">
        <f>IF(B240="","",IF(OR(I240="",J240=""),"",I240*J240+IF(K240="",0,K240)))</f>
        <v/>
      </c>
      <c r="M240" s="456" t="n"/>
      <c r="N240" s="457">
        <f>IF(L240="","",MAX(0,L240-IF(M240="",0,M240)))</f>
        <v/>
      </c>
      <c r="O240" s="455" t="n"/>
      <c r="P240" s="457">
        <f>IF(OR(N240="",O240&lt;=0),"",ROUND(N240/O240,0))</f>
        <v/>
      </c>
      <c r="Q240" s="458">
        <f>IF(OR(H240="",O240&lt;=0),"",EOMONTH(H240,O240-1))</f>
        <v/>
      </c>
      <c r="R240" s="331" t="n"/>
      <c r="S240" s="331" t="n"/>
      <c r="T240" s="331" t="n"/>
      <c r="U240" s="456" t="n"/>
      <c r="V240" s="457">
        <f>IF($AO240&lt;&gt;"OK",0,IF(AND(DATE('Thiết lập'!$B$4,1,1)&gt;=DATE(YEAR($H240),MONTH($H240),1),DATE('Thiết lập'!$B$4,1,1)&lt;EDATE(DATE(YEAR($H240),MONTH($H240),1),$O240)),MIN($P240,MAX(0,$N240-$U240-0)),0))</f>
        <v/>
      </c>
      <c r="W240" s="457">
        <f>IF($AO240&lt;&gt;"OK",0,IF(AND(DATE('Thiết lập'!$B$4,2,1)&gt;=DATE(YEAR($H240),MONTH($H240),1),DATE('Thiết lập'!$B$4,2,1)&lt;EDATE(DATE(YEAR($H240),MONTH($H240),1),$O240)),MIN($P240,MAX(0,$N240-$U240-SUM($V240:V240))),0))</f>
        <v/>
      </c>
      <c r="X240" s="457">
        <f>IF($AO240&lt;&gt;"OK",0,IF(AND(DATE('Thiết lập'!$B$4,3,1)&gt;=DATE(YEAR($H240),MONTH($H240),1),DATE('Thiết lập'!$B$4,3,1)&lt;EDATE(DATE(YEAR($H240),MONTH($H240),1),$O240)),MIN($P240,MAX(0,$N240-$U240-SUM($V240:W240))),0))</f>
        <v/>
      </c>
      <c r="Y240" s="457">
        <f>IF($AO240&lt;&gt;"OK",0,IF(AND(DATE('Thiết lập'!$B$4,4,1)&gt;=DATE(YEAR($H240),MONTH($H240),1),DATE('Thiết lập'!$B$4,4,1)&lt;EDATE(DATE(YEAR($H240),MONTH($H240),1),$O240)),MIN($P240,MAX(0,$N240-$U240-SUM($V240:X240))),0))</f>
        <v/>
      </c>
      <c r="Z240" s="457">
        <f>IF($AO240&lt;&gt;"OK",0,IF(AND(DATE('Thiết lập'!$B$4,5,1)&gt;=DATE(YEAR($H240),MONTH($H240),1),DATE('Thiết lập'!$B$4,5,1)&lt;EDATE(DATE(YEAR($H240),MONTH($H240),1),$O240)),MIN($P240,MAX(0,$N240-$U240-SUM($V240:Y240))),0))</f>
        <v/>
      </c>
      <c r="AA240" s="457">
        <f>IF($AO240&lt;&gt;"OK",0,IF(AND(DATE('Thiết lập'!$B$4,6,1)&gt;=DATE(YEAR($H240),MONTH($H240),1),DATE('Thiết lập'!$B$4,6,1)&lt;EDATE(DATE(YEAR($H240),MONTH($H240),1),$O240)),MIN($P240,MAX(0,$N240-$U240-SUM($V240:Z240))),0))</f>
        <v/>
      </c>
      <c r="AB240" s="457">
        <f>IF($AO240&lt;&gt;"OK",0,IF(AND(DATE('Thiết lập'!$B$4,7,1)&gt;=DATE(YEAR($H240),MONTH($H240),1),DATE('Thiết lập'!$B$4,7,1)&lt;EDATE(DATE(YEAR($H240),MONTH($H240),1),$O240)),MIN($P240,MAX(0,$N240-$U240-SUM($V240:AA240))),0))</f>
        <v/>
      </c>
      <c r="AC240" s="457">
        <f>IF($AO240&lt;&gt;"OK",0,IF(AND(DATE('Thiết lập'!$B$4,8,1)&gt;=DATE(YEAR($H240),MONTH($H240),1),DATE('Thiết lập'!$B$4,8,1)&lt;EDATE(DATE(YEAR($H240),MONTH($H240),1),$O240)),MIN($P240,MAX(0,$N240-$U240-SUM($V240:AB240))),0))</f>
        <v/>
      </c>
      <c r="AD240" s="457">
        <f>IF($AO240&lt;&gt;"OK",0,IF(AND(DATE('Thiết lập'!$B$4,9,1)&gt;=DATE(YEAR($H240),MONTH($H240),1),DATE('Thiết lập'!$B$4,9,1)&lt;EDATE(DATE(YEAR($H240),MONTH($H240),1),$O240)),MIN($P240,MAX(0,$N240-$U240-SUM($V240:AC240))),0))</f>
        <v/>
      </c>
      <c r="AE240" s="457">
        <f>IF($AO240&lt;&gt;"OK",0,IF(AND(DATE('Thiết lập'!$B$4,10,1)&gt;=DATE(YEAR($H240),MONTH($H240),1),DATE('Thiết lập'!$B$4,10,1)&lt;EDATE(DATE(YEAR($H240),MONTH($H240),1),$O240)),MIN($P240,MAX(0,$N240-$U240-SUM($V240:AD240))),0))</f>
        <v/>
      </c>
      <c r="AF240" s="457">
        <f>IF($AO240&lt;&gt;"OK",0,IF(AND(DATE('Thiết lập'!$B$4,11,1)&gt;=DATE(YEAR($H240),MONTH($H240),1),DATE('Thiết lập'!$B$4,11,1)&lt;EDATE(DATE(YEAR($H240),MONTH($H240),1),$O240)),MIN($P240,MAX(0,$N240-$U240-SUM($V240:AE240))),0))</f>
        <v/>
      </c>
      <c r="AG240" s="457">
        <f>IF($AO240&lt;&gt;"OK",0,IF(AND(DATE('Thiết lập'!$B$4,12,1)&gt;=DATE(YEAR($H240),MONTH($H240),1),DATE('Thiết lập'!$B$4,12,1)&lt;EDATE(DATE(YEAR($H240),MONTH($H240),1),$O240)),MIN($P240,MAX(0,$N240-$U240-SUM($V240:AF240))),0))</f>
        <v/>
      </c>
      <c r="AH240" s="457">
        <f>IF(B240="","",SUM(V240:AG240))</f>
        <v/>
      </c>
      <c r="AI240" s="457">
        <f>IF(B240="","",MIN(N240,IF(U240="",0,U240)+AH240))</f>
        <v/>
      </c>
      <c r="AJ240" s="457">
        <f>IF(B240="","",MAX(0,L240-AI240))</f>
        <v/>
      </c>
      <c r="AK240" s="337">
        <f>IF(B240="","",IF(H240&gt;'Thiết lập'!$B$5,"Chưa khấu hao",IF(AJ240&lt;=IF(M240="",0,M240),"Đã hết khấu hao","Đang khấu hao")))</f>
        <v/>
      </c>
      <c r="AL240" s="275" t="n"/>
      <c r="AM240" s="275" t="n"/>
      <c r="AN240" s="275" t="n"/>
      <c r="AO240" s="343">
        <f>IF(B240="","",IF(COUNTIF($B$7:$B$306,B240)&gt;1,"Trùng mã TSCĐ",IF(C240="","Thiếu tên TSCĐ",IF(H240="","Thiếu ngày bắt đầu",IF(OR(I240&lt;=0,L240&lt;=0,O240&lt;=0),"Kiểm tra số lượng/nguyên giá/thời gian",IF(AND(G240&lt;&gt;"",H240&lt;G240),"Ngày KH trước ngày ghi tăng",IF(M240&gt;L240,"Giá trị thu hồi vượt nguyên giá",IF(IF(U240="",0,U240)&gt;N240,"Lũy kế đầu năm vượt GTKH","OK"))))))))</f>
        <v/>
      </c>
    </row>
    <row r="241" ht="20" customHeight="1" s="389">
      <c r="A241" s="325">
        <f>IF(B241="","",ROW()-6)</f>
        <v/>
      </c>
      <c r="B241" s="275" t="n"/>
      <c r="C241" s="275" t="n"/>
      <c r="D241" s="331" t="n"/>
      <c r="E241" s="331" t="n"/>
      <c r="F241" s="454" t="n"/>
      <c r="G241" s="454" t="n"/>
      <c r="H241" s="454" t="n"/>
      <c r="I241" s="455" t="n"/>
      <c r="J241" s="456" t="n"/>
      <c r="K241" s="456" t="n"/>
      <c r="L241" s="457">
        <f>IF(B241="","",IF(OR(I241="",J241=""),"",I241*J241+IF(K241="",0,K241)))</f>
        <v/>
      </c>
      <c r="M241" s="456" t="n"/>
      <c r="N241" s="457">
        <f>IF(L241="","",MAX(0,L241-IF(M241="",0,M241)))</f>
        <v/>
      </c>
      <c r="O241" s="455" t="n"/>
      <c r="P241" s="457">
        <f>IF(OR(N241="",O241&lt;=0),"",ROUND(N241/O241,0))</f>
        <v/>
      </c>
      <c r="Q241" s="458">
        <f>IF(OR(H241="",O241&lt;=0),"",EOMONTH(H241,O241-1))</f>
        <v/>
      </c>
      <c r="R241" s="331" t="n"/>
      <c r="S241" s="331" t="n"/>
      <c r="T241" s="331" t="n"/>
      <c r="U241" s="456" t="n"/>
      <c r="V241" s="457">
        <f>IF($AO241&lt;&gt;"OK",0,IF(AND(DATE('Thiết lập'!$B$4,1,1)&gt;=DATE(YEAR($H241),MONTH($H241),1),DATE('Thiết lập'!$B$4,1,1)&lt;EDATE(DATE(YEAR($H241),MONTH($H241),1),$O241)),MIN($P241,MAX(0,$N241-$U241-0)),0))</f>
        <v/>
      </c>
      <c r="W241" s="457">
        <f>IF($AO241&lt;&gt;"OK",0,IF(AND(DATE('Thiết lập'!$B$4,2,1)&gt;=DATE(YEAR($H241),MONTH($H241),1),DATE('Thiết lập'!$B$4,2,1)&lt;EDATE(DATE(YEAR($H241),MONTH($H241),1),$O241)),MIN($P241,MAX(0,$N241-$U241-SUM($V241:V241))),0))</f>
        <v/>
      </c>
      <c r="X241" s="457">
        <f>IF($AO241&lt;&gt;"OK",0,IF(AND(DATE('Thiết lập'!$B$4,3,1)&gt;=DATE(YEAR($H241),MONTH($H241),1),DATE('Thiết lập'!$B$4,3,1)&lt;EDATE(DATE(YEAR($H241),MONTH($H241),1),$O241)),MIN($P241,MAX(0,$N241-$U241-SUM($V241:W241))),0))</f>
        <v/>
      </c>
      <c r="Y241" s="457">
        <f>IF($AO241&lt;&gt;"OK",0,IF(AND(DATE('Thiết lập'!$B$4,4,1)&gt;=DATE(YEAR($H241),MONTH($H241),1),DATE('Thiết lập'!$B$4,4,1)&lt;EDATE(DATE(YEAR($H241),MONTH($H241),1),$O241)),MIN($P241,MAX(0,$N241-$U241-SUM($V241:X241))),0))</f>
        <v/>
      </c>
      <c r="Z241" s="457">
        <f>IF($AO241&lt;&gt;"OK",0,IF(AND(DATE('Thiết lập'!$B$4,5,1)&gt;=DATE(YEAR($H241),MONTH($H241),1),DATE('Thiết lập'!$B$4,5,1)&lt;EDATE(DATE(YEAR($H241),MONTH($H241),1),$O241)),MIN($P241,MAX(0,$N241-$U241-SUM($V241:Y241))),0))</f>
        <v/>
      </c>
      <c r="AA241" s="457">
        <f>IF($AO241&lt;&gt;"OK",0,IF(AND(DATE('Thiết lập'!$B$4,6,1)&gt;=DATE(YEAR($H241),MONTH($H241),1),DATE('Thiết lập'!$B$4,6,1)&lt;EDATE(DATE(YEAR($H241),MONTH($H241),1),$O241)),MIN($P241,MAX(0,$N241-$U241-SUM($V241:Z241))),0))</f>
        <v/>
      </c>
      <c r="AB241" s="457">
        <f>IF($AO241&lt;&gt;"OK",0,IF(AND(DATE('Thiết lập'!$B$4,7,1)&gt;=DATE(YEAR($H241),MONTH($H241),1),DATE('Thiết lập'!$B$4,7,1)&lt;EDATE(DATE(YEAR($H241),MONTH($H241),1),$O241)),MIN($P241,MAX(0,$N241-$U241-SUM($V241:AA241))),0))</f>
        <v/>
      </c>
      <c r="AC241" s="457">
        <f>IF($AO241&lt;&gt;"OK",0,IF(AND(DATE('Thiết lập'!$B$4,8,1)&gt;=DATE(YEAR($H241),MONTH($H241),1),DATE('Thiết lập'!$B$4,8,1)&lt;EDATE(DATE(YEAR($H241),MONTH($H241),1),$O241)),MIN($P241,MAX(0,$N241-$U241-SUM($V241:AB241))),0))</f>
        <v/>
      </c>
      <c r="AD241" s="457">
        <f>IF($AO241&lt;&gt;"OK",0,IF(AND(DATE('Thiết lập'!$B$4,9,1)&gt;=DATE(YEAR($H241),MONTH($H241),1),DATE('Thiết lập'!$B$4,9,1)&lt;EDATE(DATE(YEAR($H241),MONTH($H241),1),$O241)),MIN($P241,MAX(0,$N241-$U241-SUM($V241:AC241))),0))</f>
        <v/>
      </c>
      <c r="AE241" s="457">
        <f>IF($AO241&lt;&gt;"OK",0,IF(AND(DATE('Thiết lập'!$B$4,10,1)&gt;=DATE(YEAR($H241),MONTH($H241),1),DATE('Thiết lập'!$B$4,10,1)&lt;EDATE(DATE(YEAR($H241),MONTH($H241),1),$O241)),MIN($P241,MAX(0,$N241-$U241-SUM($V241:AD241))),0))</f>
        <v/>
      </c>
      <c r="AF241" s="457">
        <f>IF($AO241&lt;&gt;"OK",0,IF(AND(DATE('Thiết lập'!$B$4,11,1)&gt;=DATE(YEAR($H241),MONTH($H241),1),DATE('Thiết lập'!$B$4,11,1)&lt;EDATE(DATE(YEAR($H241),MONTH($H241),1),$O241)),MIN($P241,MAX(0,$N241-$U241-SUM($V241:AE241))),0))</f>
        <v/>
      </c>
      <c r="AG241" s="457">
        <f>IF($AO241&lt;&gt;"OK",0,IF(AND(DATE('Thiết lập'!$B$4,12,1)&gt;=DATE(YEAR($H241),MONTH($H241),1),DATE('Thiết lập'!$B$4,12,1)&lt;EDATE(DATE(YEAR($H241),MONTH($H241),1),$O241)),MIN($P241,MAX(0,$N241-$U241-SUM($V241:AF241))),0))</f>
        <v/>
      </c>
      <c r="AH241" s="457">
        <f>IF(B241="","",SUM(V241:AG241))</f>
        <v/>
      </c>
      <c r="AI241" s="457">
        <f>IF(B241="","",MIN(N241,IF(U241="",0,U241)+AH241))</f>
        <v/>
      </c>
      <c r="AJ241" s="457">
        <f>IF(B241="","",MAX(0,L241-AI241))</f>
        <v/>
      </c>
      <c r="AK241" s="337">
        <f>IF(B241="","",IF(H241&gt;'Thiết lập'!$B$5,"Chưa khấu hao",IF(AJ241&lt;=IF(M241="",0,M241),"Đã hết khấu hao","Đang khấu hao")))</f>
        <v/>
      </c>
      <c r="AL241" s="275" t="n"/>
      <c r="AM241" s="275" t="n"/>
      <c r="AN241" s="275" t="n"/>
      <c r="AO241" s="343">
        <f>IF(B241="","",IF(COUNTIF($B$7:$B$306,B241)&gt;1,"Trùng mã TSCĐ",IF(C241="","Thiếu tên TSCĐ",IF(H241="","Thiếu ngày bắt đầu",IF(OR(I241&lt;=0,L241&lt;=0,O241&lt;=0),"Kiểm tra số lượng/nguyên giá/thời gian",IF(AND(G241&lt;&gt;"",H241&lt;G241),"Ngày KH trước ngày ghi tăng",IF(M241&gt;L241,"Giá trị thu hồi vượt nguyên giá",IF(IF(U241="",0,U241)&gt;N241,"Lũy kế đầu năm vượt GTKH","OK"))))))))</f>
        <v/>
      </c>
    </row>
    <row r="242" ht="20" customHeight="1" s="389">
      <c r="A242" s="325">
        <f>IF(B242="","",ROW()-6)</f>
        <v/>
      </c>
      <c r="B242" s="275" t="n"/>
      <c r="C242" s="275" t="n"/>
      <c r="D242" s="331" t="n"/>
      <c r="E242" s="331" t="n"/>
      <c r="F242" s="454" t="n"/>
      <c r="G242" s="454" t="n"/>
      <c r="H242" s="454" t="n"/>
      <c r="I242" s="455" t="n"/>
      <c r="J242" s="456" t="n"/>
      <c r="K242" s="456" t="n"/>
      <c r="L242" s="457">
        <f>IF(B242="","",IF(OR(I242="",J242=""),"",I242*J242+IF(K242="",0,K242)))</f>
        <v/>
      </c>
      <c r="M242" s="456" t="n"/>
      <c r="N242" s="457">
        <f>IF(L242="","",MAX(0,L242-IF(M242="",0,M242)))</f>
        <v/>
      </c>
      <c r="O242" s="455" t="n"/>
      <c r="P242" s="457">
        <f>IF(OR(N242="",O242&lt;=0),"",ROUND(N242/O242,0))</f>
        <v/>
      </c>
      <c r="Q242" s="458">
        <f>IF(OR(H242="",O242&lt;=0),"",EOMONTH(H242,O242-1))</f>
        <v/>
      </c>
      <c r="R242" s="331" t="n"/>
      <c r="S242" s="331" t="n"/>
      <c r="T242" s="331" t="n"/>
      <c r="U242" s="456" t="n"/>
      <c r="V242" s="457">
        <f>IF($AO242&lt;&gt;"OK",0,IF(AND(DATE('Thiết lập'!$B$4,1,1)&gt;=DATE(YEAR($H242),MONTH($H242),1),DATE('Thiết lập'!$B$4,1,1)&lt;EDATE(DATE(YEAR($H242),MONTH($H242),1),$O242)),MIN($P242,MAX(0,$N242-$U242-0)),0))</f>
        <v/>
      </c>
      <c r="W242" s="457">
        <f>IF($AO242&lt;&gt;"OK",0,IF(AND(DATE('Thiết lập'!$B$4,2,1)&gt;=DATE(YEAR($H242),MONTH($H242),1),DATE('Thiết lập'!$B$4,2,1)&lt;EDATE(DATE(YEAR($H242),MONTH($H242),1),$O242)),MIN($P242,MAX(0,$N242-$U242-SUM($V242:V242))),0))</f>
        <v/>
      </c>
      <c r="X242" s="457">
        <f>IF($AO242&lt;&gt;"OK",0,IF(AND(DATE('Thiết lập'!$B$4,3,1)&gt;=DATE(YEAR($H242),MONTH($H242),1),DATE('Thiết lập'!$B$4,3,1)&lt;EDATE(DATE(YEAR($H242),MONTH($H242),1),$O242)),MIN($P242,MAX(0,$N242-$U242-SUM($V242:W242))),0))</f>
        <v/>
      </c>
      <c r="Y242" s="457">
        <f>IF($AO242&lt;&gt;"OK",0,IF(AND(DATE('Thiết lập'!$B$4,4,1)&gt;=DATE(YEAR($H242),MONTH($H242),1),DATE('Thiết lập'!$B$4,4,1)&lt;EDATE(DATE(YEAR($H242),MONTH($H242),1),$O242)),MIN($P242,MAX(0,$N242-$U242-SUM($V242:X242))),0))</f>
        <v/>
      </c>
      <c r="Z242" s="457">
        <f>IF($AO242&lt;&gt;"OK",0,IF(AND(DATE('Thiết lập'!$B$4,5,1)&gt;=DATE(YEAR($H242),MONTH($H242),1),DATE('Thiết lập'!$B$4,5,1)&lt;EDATE(DATE(YEAR($H242),MONTH($H242),1),$O242)),MIN($P242,MAX(0,$N242-$U242-SUM($V242:Y242))),0))</f>
        <v/>
      </c>
      <c r="AA242" s="457">
        <f>IF($AO242&lt;&gt;"OK",0,IF(AND(DATE('Thiết lập'!$B$4,6,1)&gt;=DATE(YEAR($H242),MONTH($H242),1),DATE('Thiết lập'!$B$4,6,1)&lt;EDATE(DATE(YEAR($H242),MONTH($H242),1),$O242)),MIN($P242,MAX(0,$N242-$U242-SUM($V242:Z242))),0))</f>
        <v/>
      </c>
      <c r="AB242" s="457">
        <f>IF($AO242&lt;&gt;"OK",0,IF(AND(DATE('Thiết lập'!$B$4,7,1)&gt;=DATE(YEAR($H242),MONTH($H242),1),DATE('Thiết lập'!$B$4,7,1)&lt;EDATE(DATE(YEAR($H242),MONTH($H242),1),$O242)),MIN($P242,MAX(0,$N242-$U242-SUM($V242:AA242))),0))</f>
        <v/>
      </c>
      <c r="AC242" s="457">
        <f>IF($AO242&lt;&gt;"OK",0,IF(AND(DATE('Thiết lập'!$B$4,8,1)&gt;=DATE(YEAR($H242),MONTH($H242),1),DATE('Thiết lập'!$B$4,8,1)&lt;EDATE(DATE(YEAR($H242),MONTH($H242),1),$O242)),MIN($P242,MAX(0,$N242-$U242-SUM($V242:AB242))),0))</f>
        <v/>
      </c>
      <c r="AD242" s="457">
        <f>IF($AO242&lt;&gt;"OK",0,IF(AND(DATE('Thiết lập'!$B$4,9,1)&gt;=DATE(YEAR($H242),MONTH($H242),1),DATE('Thiết lập'!$B$4,9,1)&lt;EDATE(DATE(YEAR($H242),MONTH($H242),1),$O242)),MIN($P242,MAX(0,$N242-$U242-SUM($V242:AC242))),0))</f>
        <v/>
      </c>
      <c r="AE242" s="457">
        <f>IF($AO242&lt;&gt;"OK",0,IF(AND(DATE('Thiết lập'!$B$4,10,1)&gt;=DATE(YEAR($H242),MONTH($H242),1),DATE('Thiết lập'!$B$4,10,1)&lt;EDATE(DATE(YEAR($H242),MONTH($H242),1),$O242)),MIN($P242,MAX(0,$N242-$U242-SUM($V242:AD242))),0))</f>
        <v/>
      </c>
      <c r="AF242" s="457">
        <f>IF($AO242&lt;&gt;"OK",0,IF(AND(DATE('Thiết lập'!$B$4,11,1)&gt;=DATE(YEAR($H242),MONTH($H242),1),DATE('Thiết lập'!$B$4,11,1)&lt;EDATE(DATE(YEAR($H242),MONTH($H242),1),$O242)),MIN($P242,MAX(0,$N242-$U242-SUM($V242:AE242))),0))</f>
        <v/>
      </c>
      <c r="AG242" s="457">
        <f>IF($AO242&lt;&gt;"OK",0,IF(AND(DATE('Thiết lập'!$B$4,12,1)&gt;=DATE(YEAR($H242),MONTH($H242),1),DATE('Thiết lập'!$B$4,12,1)&lt;EDATE(DATE(YEAR($H242),MONTH($H242),1),$O242)),MIN($P242,MAX(0,$N242-$U242-SUM($V242:AF242))),0))</f>
        <v/>
      </c>
      <c r="AH242" s="457">
        <f>IF(B242="","",SUM(V242:AG242))</f>
        <v/>
      </c>
      <c r="AI242" s="457">
        <f>IF(B242="","",MIN(N242,IF(U242="",0,U242)+AH242))</f>
        <v/>
      </c>
      <c r="AJ242" s="457">
        <f>IF(B242="","",MAX(0,L242-AI242))</f>
        <v/>
      </c>
      <c r="AK242" s="337">
        <f>IF(B242="","",IF(H242&gt;'Thiết lập'!$B$5,"Chưa khấu hao",IF(AJ242&lt;=IF(M242="",0,M242),"Đã hết khấu hao","Đang khấu hao")))</f>
        <v/>
      </c>
      <c r="AL242" s="275" t="n"/>
      <c r="AM242" s="275" t="n"/>
      <c r="AN242" s="275" t="n"/>
      <c r="AO242" s="343">
        <f>IF(B242="","",IF(COUNTIF($B$7:$B$306,B242)&gt;1,"Trùng mã TSCĐ",IF(C242="","Thiếu tên TSCĐ",IF(H242="","Thiếu ngày bắt đầu",IF(OR(I242&lt;=0,L242&lt;=0,O242&lt;=0),"Kiểm tra số lượng/nguyên giá/thời gian",IF(AND(G242&lt;&gt;"",H242&lt;G242),"Ngày KH trước ngày ghi tăng",IF(M242&gt;L242,"Giá trị thu hồi vượt nguyên giá",IF(IF(U242="",0,U242)&gt;N242,"Lũy kế đầu năm vượt GTKH","OK"))))))))</f>
        <v/>
      </c>
    </row>
    <row r="243" ht="20" customHeight="1" s="389">
      <c r="A243" s="325">
        <f>IF(B243="","",ROW()-6)</f>
        <v/>
      </c>
      <c r="B243" s="275" t="n"/>
      <c r="C243" s="275" t="n"/>
      <c r="D243" s="331" t="n"/>
      <c r="E243" s="331" t="n"/>
      <c r="F243" s="454" t="n"/>
      <c r="G243" s="454" t="n"/>
      <c r="H243" s="454" t="n"/>
      <c r="I243" s="455" t="n"/>
      <c r="J243" s="456" t="n"/>
      <c r="K243" s="456" t="n"/>
      <c r="L243" s="457">
        <f>IF(B243="","",IF(OR(I243="",J243=""),"",I243*J243+IF(K243="",0,K243)))</f>
        <v/>
      </c>
      <c r="M243" s="456" t="n"/>
      <c r="N243" s="457">
        <f>IF(L243="","",MAX(0,L243-IF(M243="",0,M243)))</f>
        <v/>
      </c>
      <c r="O243" s="455" t="n"/>
      <c r="P243" s="457">
        <f>IF(OR(N243="",O243&lt;=0),"",ROUND(N243/O243,0))</f>
        <v/>
      </c>
      <c r="Q243" s="458">
        <f>IF(OR(H243="",O243&lt;=0),"",EOMONTH(H243,O243-1))</f>
        <v/>
      </c>
      <c r="R243" s="331" t="n"/>
      <c r="S243" s="331" t="n"/>
      <c r="T243" s="331" t="n"/>
      <c r="U243" s="456" t="n"/>
      <c r="V243" s="457">
        <f>IF($AO243&lt;&gt;"OK",0,IF(AND(DATE('Thiết lập'!$B$4,1,1)&gt;=DATE(YEAR($H243),MONTH($H243),1),DATE('Thiết lập'!$B$4,1,1)&lt;EDATE(DATE(YEAR($H243),MONTH($H243),1),$O243)),MIN($P243,MAX(0,$N243-$U243-0)),0))</f>
        <v/>
      </c>
      <c r="W243" s="457">
        <f>IF($AO243&lt;&gt;"OK",0,IF(AND(DATE('Thiết lập'!$B$4,2,1)&gt;=DATE(YEAR($H243),MONTH($H243),1),DATE('Thiết lập'!$B$4,2,1)&lt;EDATE(DATE(YEAR($H243),MONTH($H243),1),$O243)),MIN($P243,MAX(0,$N243-$U243-SUM($V243:V243))),0))</f>
        <v/>
      </c>
      <c r="X243" s="457">
        <f>IF($AO243&lt;&gt;"OK",0,IF(AND(DATE('Thiết lập'!$B$4,3,1)&gt;=DATE(YEAR($H243),MONTH($H243),1),DATE('Thiết lập'!$B$4,3,1)&lt;EDATE(DATE(YEAR($H243),MONTH($H243),1),$O243)),MIN($P243,MAX(0,$N243-$U243-SUM($V243:W243))),0))</f>
        <v/>
      </c>
      <c r="Y243" s="457">
        <f>IF($AO243&lt;&gt;"OK",0,IF(AND(DATE('Thiết lập'!$B$4,4,1)&gt;=DATE(YEAR($H243),MONTH($H243),1),DATE('Thiết lập'!$B$4,4,1)&lt;EDATE(DATE(YEAR($H243),MONTH($H243),1),$O243)),MIN($P243,MAX(0,$N243-$U243-SUM($V243:X243))),0))</f>
        <v/>
      </c>
      <c r="Z243" s="457">
        <f>IF($AO243&lt;&gt;"OK",0,IF(AND(DATE('Thiết lập'!$B$4,5,1)&gt;=DATE(YEAR($H243),MONTH($H243),1),DATE('Thiết lập'!$B$4,5,1)&lt;EDATE(DATE(YEAR($H243),MONTH($H243),1),$O243)),MIN($P243,MAX(0,$N243-$U243-SUM($V243:Y243))),0))</f>
        <v/>
      </c>
      <c r="AA243" s="457">
        <f>IF($AO243&lt;&gt;"OK",0,IF(AND(DATE('Thiết lập'!$B$4,6,1)&gt;=DATE(YEAR($H243),MONTH($H243),1),DATE('Thiết lập'!$B$4,6,1)&lt;EDATE(DATE(YEAR($H243),MONTH($H243),1),$O243)),MIN($P243,MAX(0,$N243-$U243-SUM($V243:Z243))),0))</f>
        <v/>
      </c>
      <c r="AB243" s="457">
        <f>IF($AO243&lt;&gt;"OK",0,IF(AND(DATE('Thiết lập'!$B$4,7,1)&gt;=DATE(YEAR($H243),MONTH($H243),1),DATE('Thiết lập'!$B$4,7,1)&lt;EDATE(DATE(YEAR($H243),MONTH($H243),1),$O243)),MIN($P243,MAX(0,$N243-$U243-SUM($V243:AA243))),0))</f>
        <v/>
      </c>
      <c r="AC243" s="457">
        <f>IF($AO243&lt;&gt;"OK",0,IF(AND(DATE('Thiết lập'!$B$4,8,1)&gt;=DATE(YEAR($H243),MONTH($H243),1),DATE('Thiết lập'!$B$4,8,1)&lt;EDATE(DATE(YEAR($H243),MONTH($H243),1),$O243)),MIN($P243,MAX(0,$N243-$U243-SUM($V243:AB243))),0))</f>
        <v/>
      </c>
      <c r="AD243" s="457">
        <f>IF($AO243&lt;&gt;"OK",0,IF(AND(DATE('Thiết lập'!$B$4,9,1)&gt;=DATE(YEAR($H243),MONTH($H243),1),DATE('Thiết lập'!$B$4,9,1)&lt;EDATE(DATE(YEAR($H243),MONTH($H243),1),$O243)),MIN($P243,MAX(0,$N243-$U243-SUM($V243:AC243))),0))</f>
        <v/>
      </c>
      <c r="AE243" s="457">
        <f>IF($AO243&lt;&gt;"OK",0,IF(AND(DATE('Thiết lập'!$B$4,10,1)&gt;=DATE(YEAR($H243),MONTH($H243),1),DATE('Thiết lập'!$B$4,10,1)&lt;EDATE(DATE(YEAR($H243),MONTH($H243),1),$O243)),MIN($P243,MAX(0,$N243-$U243-SUM($V243:AD243))),0))</f>
        <v/>
      </c>
      <c r="AF243" s="457">
        <f>IF($AO243&lt;&gt;"OK",0,IF(AND(DATE('Thiết lập'!$B$4,11,1)&gt;=DATE(YEAR($H243),MONTH($H243),1),DATE('Thiết lập'!$B$4,11,1)&lt;EDATE(DATE(YEAR($H243),MONTH($H243),1),$O243)),MIN($P243,MAX(0,$N243-$U243-SUM($V243:AE243))),0))</f>
        <v/>
      </c>
      <c r="AG243" s="457">
        <f>IF($AO243&lt;&gt;"OK",0,IF(AND(DATE('Thiết lập'!$B$4,12,1)&gt;=DATE(YEAR($H243),MONTH($H243),1),DATE('Thiết lập'!$B$4,12,1)&lt;EDATE(DATE(YEAR($H243),MONTH($H243),1),$O243)),MIN($P243,MAX(0,$N243-$U243-SUM($V243:AF243))),0))</f>
        <v/>
      </c>
      <c r="AH243" s="457">
        <f>IF(B243="","",SUM(V243:AG243))</f>
        <v/>
      </c>
      <c r="AI243" s="457">
        <f>IF(B243="","",MIN(N243,IF(U243="",0,U243)+AH243))</f>
        <v/>
      </c>
      <c r="AJ243" s="457">
        <f>IF(B243="","",MAX(0,L243-AI243))</f>
        <v/>
      </c>
      <c r="AK243" s="337">
        <f>IF(B243="","",IF(H243&gt;'Thiết lập'!$B$5,"Chưa khấu hao",IF(AJ243&lt;=IF(M243="",0,M243),"Đã hết khấu hao","Đang khấu hao")))</f>
        <v/>
      </c>
      <c r="AL243" s="275" t="n"/>
      <c r="AM243" s="275" t="n"/>
      <c r="AN243" s="275" t="n"/>
      <c r="AO243" s="343">
        <f>IF(B243="","",IF(COUNTIF($B$7:$B$306,B243)&gt;1,"Trùng mã TSCĐ",IF(C243="","Thiếu tên TSCĐ",IF(H243="","Thiếu ngày bắt đầu",IF(OR(I243&lt;=0,L243&lt;=0,O243&lt;=0),"Kiểm tra số lượng/nguyên giá/thời gian",IF(AND(G243&lt;&gt;"",H243&lt;G243),"Ngày KH trước ngày ghi tăng",IF(M243&gt;L243,"Giá trị thu hồi vượt nguyên giá",IF(IF(U243="",0,U243)&gt;N243,"Lũy kế đầu năm vượt GTKH","OK"))))))))</f>
        <v/>
      </c>
    </row>
    <row r="244" ht="20" customHeight="1" s="389">
      <c r="A244" s="325">
        <f>IF(B244="","",ROW()-6)</f>
        <v/>
      </c>
      <c r="B244" s="275" t="n"/>
      <c r="C244" s="275" t="n"/>
      <c r="D244" s="331" t="n"/>
      <c r="E244" s="331" t="n"/>
      <c r="F244" s="454" t="n"/>
      <c r="G244" s="454" t="n"/>
      <c r="H244" s="454" t="n"/>
      <c r="I244" s="455" t="n"/>
      <c r="J244" s="456" t="n"/>
      <c r="K244" s="456" t="n"/>
      <c r="L244" s="457">
        <f>IF(B244="","",IF(OR(I244="",J244=""),"",I244*J244+IF(K244="",0,K244)))</f>
        <v/>
      </c>
      <c r="M244" s="456" t="n"/>
      <c r="N244" s="457">
        <f>IF(L244="","",MAX(0,L244-IF(M244="",0,M244)))</f>
        <v/>
      </c>
      <c r="O244" s="455" t="n"/>
      <c r="P244" s="457">
        <f>IF(OR(N244="",O244&lt;=0),"",ROUND(N244/O244,0))</f>
        <v/>
      </c>
      <c r="Q244" s="458">
        <f>IF(OR(H244="",O244&lt;=0),"",EOMONTH(H244,O244-1))</f>
        <v/>
      </c>
      <c r="R244" s="331" t="n"/>
      <c r="S244" s="331" t="n"/>
      <c r="T244" s="331" t="n"/>
      <c r="U244" s="456" t="n"/>
      <c r="V244" s="457">
        <f>IF($AO244&lt;&gt;"OK",0,IF(AND(DATE('Thiết lập'!$B$4,1,1)&gt;=DATE(YEAR($H244),MONTH($H244),1),DATE('Thiết lập'!$B$4,1,1)&lt;EDATE(DATE(YEAR($H244),MONTH($H244),1),$O244)),MIN($P244,MAX(0,$N244-$U244-0)),0))</f>
        <v/>
      </c>
      <c r="W244" s="457">
        <f>IF($AO244&lt;&gt;"OK",0,IF(AND(DATE('Thiết lập'!$B$4,2,1)&gt;=DATE(YEAR($H244),MONTH($H244),1),DATE('Thiết lập'!$B$4,2,1)&lt;EDATE(DATE(YEAR($H244),MONTH($H244),1),$O244)),MIN($P244,MAX(0,$N244-$U244-SUM($V244:V244))),0))</f>
        <v/>
      </c>
      <c r="X244" s="457">
        <f>IF($AO244&lt;&gt;"OK",0,IF(AND(DATE('Thiết lập'!$B$4,3,1)&gt;=DATE(YEAR($H244),MONTH($H244),1),DATE('Thiết lập'!$B$4,3,1)&lt;EDATE(DATE(YEAR($H244),MONTH($H244),1),$O244)),MIN($P244,MAX(0,$N244-$U244-SUM($V244:W244))),0))</f>
        <v/>
      </c>
      <c r="Y244" s="457">
        <f>IF($AO244&lt;&gt;"OK",0,IF(AND(DATE('Thiết lập'!$B$4,4,1)&gt;=DATE(YEAR($H244),MONTH($H244),1),DATE('Thiết lập'!$B$4,4,1)&lt;EDATE(DATE(YEAR($H244),MONTH($H244),1),$O244)),MIN($P244,MAX(0,$N244-$U244-SUM($V244:X244))),0))</f>
        <v/>
      </c>
      <c r="Z244" s="457">
        <f>IF($AO244&lt;&gt;"OK",0,IF(AND(DATE('Thiết lập'!$B$4,5,1)&gt;=DATE(YEAR($H244),MONTH($H244),1),DATE('Thiết lập'!$B$4,5,1)&lt;EDATE(DATE(YEAR($H244),MONTH($H244),1),$O244)),MIN($P244,MAX(0,$N244-$U244-SUM($V244:Y244))),0))</f>
        <v/>
      </c>
      <c r="AA244" s="457">
        <f>IF($AO244&lt;&gt;"OK",0,IF(AND(DATE('Thiết lập'!$B$4,6,1)&gt;=DATE(YEAR($H244),MONTH($H244),1),DATE('Thiết lập'!$B$4,6,1)&lt;EDATE(DATE(YEAR($H244),MONTH($H244),1),$O244)),MIN($P244,MAX(0,$N244-$U244-SUM($V244:Z244))),0))</f>
        <v/>
      </c>
      <c r="AB244" s="457">
        <f>IF($AO244&lt;&gt;"OK",0,IF(AND(DATE('Thiết lập'!$B$4,7,1)&gt;=DATE(YEAR($H244),MONTH($H244),1),DATE('Thiết lập'!$B$4,7,1)&lt;EDATE(DATE(YEAR($H244),MONTH($H244),1),$O244)),MIN($P244,MAX(0,$N244-$U244-SUM($V244:AA244))),0))</f>
        <v/>
      </c>
      <c r="AC244" s="457">
        <f>IF($AO244&lt;&gt;"OK",0,IF(AND(DATE('Thiết lập'!$B$4,8,1)&gt;=DATE(YEAR($H244),MONTH($H244),1),DATE('Thiết lập'!$B$4,8,1)&lt;EDATE(DATE(YEAR($H244),MONTH($H244),1),$O244)),MIN($P244,MAX(0,$N244-$U244-SUM($V244:AB244))),0))</f>
        <v/>
      </c>
      <c r="AD244" s="457">
        <f>IF($AO244&lt;&gt;"OK",0,IF(AND(DATE('Thiết lập'!$B$4,9,1)&gt;=DATE(YEAR($H244),MONTH($H244),1),DATE('Thiết lập'!$B$4,9,1)&lt;EDATE(DATE(YEAR($H244),MONTH($H244),1),$O244)),MIN($P244,MAX(0,$N244-$U244-SUM($V244:AC244))),0))</f>
        <v/>
      </c>
      <c r="AE244" s="457">
        <f>IF($AO244&lt;&gt;"OK",0,IF(AND(DATE('Thiết lập'!$B$4,10,1)&gt;=DATE(YEAR($H244),MONTH($H244),1),DATE('Thiết lập'!$B$4,10,1)&lt;EDATE(DATE(YEAR($H244),MONTH($H244),1),$O244)),MIN($P244,MAX(0,$N244-$U244-SUM($V244:AD244))),0))</f>
        <v/>
      </c>
      <c r="AF244" s="457">
        <f>IF($AO244&lt;&gt;"OK",0,IF(AND(DATE('Thiết lập'!$B$4,11,1)&gt;=DATE(YEAR($H244),MONTH($H244),1),DATE('Thiết lập'!$B$4,11,1)&lt;EDATE(DATE(YEAR($H244),MONTH($H244),1),$O244)),MIN($P244,MAX(0,$N244-$U244-SUM($V244:AE244))),0))</f>
        <v/>
      </c>
      <c r="AG244" s="457">
        <f>IF($AO244&lt;&gt;"OK",0,IF(AND(DATE('Thiết lập'!$B$4,12,1)&gt;=DATE(YEAR($H244),MONTH($H244),1),DATE('Thiết lập'!$B$4,12,1)&lt;EDATE(DATE(YEAR($H244),MONTH($H244),1),$O244)),MIN($P244,MAX(0,$N244-$U244-SUM($V244:AF244))),0))</f>
        <v/>
      </c>
      <c r="AH244" s="457">
        <f>IF(B244="","",SUM(V244:AG244))</f>
        <v/>
      </c>
      <c r="AI244" s="457">
        <f>IF(B244="","",MIN(N244,IF(U244="",0,U244)+AH244))</f>
        <v/>
      </c>
      <c r="AJ244" s="457">
        <f>IF(B244="","",MAX(0,L244-AI244))</f>
        <v/>
      </c>
      <c r="AK244" s="337">
        <f>IF(B244="","",IF(H244&gt;'Thiết lập'!$B$5,"Chưa khấu hao",IF(AJ244&lt;=IF(M244="",0,M244),"Đã hết khấu hao","Đang khấu hao")))</f>
        <v/>
      </c>
      <c r="AL244" s="275" t="n"/>
      <c r="AM244" s="275" t="n"/>
      <c r="AN244" s="275" t="n"/>
      <c r="AO244" s="343">
        <f>IF(B244="","",IF(COUNTIF($B$7:$B$306,B244)&gt;1,"Trùng mã TSCĐ",IF(C244="","Thiếu tên TSCĐ",IF(H244="","Thiếu ngày bắt đầu",IF(OR(I244&lt;=0,L244&lt;=0,O244&lt;=0),"Kiểm tra số lượng/nguyên giá/thời gian",IF(AND(G244&lt;&gt;"",H244&lt;G244),"Ngày KH trước ngày ghi tăng",IF(M244&gt;L244,"Giá trị thu hồi vượt nguyên giá",IF(IF(U244="",0,U244)&gt;N244,"Lũy kế đầu năm vượt GTKH","OK"))))))))</f>
        <v/>
      </c>
    </row>
    <row r="245" ht="20" customHeight="1" s="389">
      <c r="A245" s="325">
        <f>IF(B245="","",ROW()-6)</f>
        <v/>
      </c>
      <c r="B245" s="275" t="n"/>
      <c r="C245" s="275" t="n"/>
      <c r="D245" s="331" t="n"/>
      <c r="E245" s="331" t="n"/>
      <c r="F245" s="454" t="n"/>
      <c r="G245" s="454" t="n"/>
      <c r="H245" s="454" t="n"/>
      <c r="I245" s="455" t="n"/>
      <c r="J245" s="456" t="n"/>
      <c r="K245" s="456" t="n"/>
      <c r="L245" s="457">
        <f>IF(B245="","",IF(OR(I245="",J245=""),"",I245*J245+IF(K245="",0,K245)))</f>
        <v/>
      </c>
      <c r="M245" s="456" t="n"/>
      <c r="N245" s="457">
        <f>IF(L245="","",MAX(0,L245-IF(M245="",0,M245)))</f>
        <v/>
      </c>
      <c r="O245" s="455" t="n"/>
      <c r="P245" s="457">
        <f>IF(OR(N245="",O245&lt;=0),"",ROUND(N245/O245,0))</f>
        <v/>
      </c>
      <c r="Q245" s="458">
        <f>IF(OR(H245="",O245&lt;=0),"",EOMONTH(H245,O245-1))</f>
        <v/>
      </c>
      <c r="R245" s="331" t="n"/>
      <c r="S245" s="331" t="n"/>
      <c r="T245" s="331" t="n"/>
      <c r="U245" s="456" t="n"/>
      <c r="V245" s="457">
        <f>IF($AO245&lt;&gt;"OK",0,IF(AND(DATE('Thiết lập'!$B$4,1,1)&gt;=DATE(YEAR($H245),MONTH($H245),1),DATE('Thiết lập'!$B$4,1,1)&lt;EDATE(DATE(YEAR($H245),MONTH($H245),1),$O245)),MIN($P245,MAX(0,$N245-$U245-0)),0))</f>
        <v/>
      </c>
      <c r="W245" s="457">
        <f>IF($AO245&lt;&gt;"OK",0,IF(AND(DATE('Thiết lập'!$B$4,2,1)&gt;=DATE(YEAR($H245),MONTH($H245),1),DATE('Thiết lập'!$B$4,2,1)&lt;EDATE(DATE(YEAR($H245),MONTH($H245),1),$O245)),MIN($P245,MAX(0,$N245-$U245-SUM($V245:V245))),0))</f>
        <v/>
      </c>
      <c r="X245" s="457">
        <f>IF($AO245&lt;&gt;"OK",0,IF(AND(DATE('Thiết lập'!$B$4,3,1)&gt;=DATE(YEAR($H245),MONTH($H245),1),DATE('Thiết lập'!$B$4,3,1)&lt;EDATE(DATE(YEAR($H245),MONTH($H245),1),$O245)),MIN($P245,MAX(0,$N245-$U245-SUM($V245:W245))),0))</f>
        <v/>
      </c>
      <c r="Y245" s="457">
        <f>IF($AO245&lt;&gt;"OK",0,IF(AND(DATE('Thiết lập'!$B$4,4,1)&gt;=DATE(YEAR($H245),MONTH($H245),1),DATE('Thiết lập'!$B$4,4,1)&lt;EDATE(DATE(YEAR($H245),MONTH($H245),1),$O245)),MIN($P245,MAX(0,$N245-$U245-SUM($V245:X245))),0))</f>
        <v/>
      </c>
      <c r="Z245" s="457">
        <f>IF($AO245&lt;&gt;"OK",0,IF(AND(DATE('Thiết lập'!$B$4,5,1)&gt;=DATE(YEAR($H245),MONTH($H245),1),DATE('Thiết lập'!$B$4,5,1)&lt;EDATE(DATE(YEAR($H245),MONTH($H245),1),$O245)),MIN($P245,MAX(0,$N245-$U245-SUM($V245:Y245))),0))</f>
        <v/>
      </c>
      <c r="AA245" s="457">
        <f>IF($AO245&lt;&gt;"OK",0,IF(AND(DATE('Thiết lập'!$B$4,6,1)&gt;=DATE(YEAR($H245),MONTH($H245),1),DATE('Thiết lập'!$B$4,6,1)&lt;EDATE(DATE(YEAR($H245),MONTH($H245),1),$O245)),MIN($P245,MAX(0,$N245-$U245-SUM($V245:Z245))),0))</f>
        <v/>
      </c>
      <c r="AB245" s="457">
        <f>IF($AO245&lt;&gt;"OK",0,IF(AND(DATE('Thiết lập'!$B$4,7,1)&gt;=DATE(YEAR($H245),MONTH($H245),1),DATE('Thiết lập'!$B$4,7,1)&lt;EDATE(DATE(YEAR($H245),MONTH($H245),1),$O245)),MIN($P245,MAX(0,$N245-$U245-SUM($V245:AA245))),0))</f>
        <v/>
      </c>
      <c r="AC245" s="457">
        <f>IF($AO245&lt;&gt;"OK",0,IF(AND(DATE('Thiết lập'!$B$4,8,1)&gt;=DATE(YEAR($H245),MONTH($H245),1),DATE('Thiết lập'!$B$4,8,1)&lt;EDATE(DATE(YEAR($H245),MONTH($H245),1),$O245)),MIN($P245,MAX(0,$N245-$U245-SUM($V245:AB245))),0))</f>
        <v/>
      </c>
      <c r="AD245" s="457">
        <f>IF($AO245&lt;&gt;"OK",0,IF(AND(DATE('Thiết lập'!$B$4,9,1)&gt;=DATE(YEAR($H245),MONTH($H245),1),DATE('Thiết lập'!$B$4,9,1)&lt;EDATE(DATE(YEAR($H245),MONTH($H245),1),$O245)),MIN($P245,MAX(0,$N245-$U245-SUM($V245:AC245))),0))</f>
        <v/>
      </c>
      <c r="AE245" s="457">
        <f>IF($AO245&lt;&gt;"OK",0,IF(AND(DATE('Thiết lập'!$B$4,10,1)&gt;=DATE(YEAR($H245),MONTH($H245),1),DATE('Thiết lập'!$B$4,10,1)&lt;EDATE(DATE(YEAR($H245),MONTH($H245),1),$O245)),MIN($P245,MAX(0,$N245-$U245-SUM($V245:AD245))),0))</f>
        <v/>
      </c>
      <c r="AF245" s="457">
        <f>IF($AO245&lt;&gt;"OK",0,IF(AND(DATE('Thiết lập'!$B$4,11,1)&gt;=DATE(YEAR($H245),MONTH($H245),1),DATE('Thiết lập'!$B$4,11,1)&lt;EDATE(DATE(YEAR($H245),MONTH($H245),1),$O245)),MIN($P245,MAX(0,$N245-$U245-SUM($V245:AE245))),0))</f>
        <v/>
      </c>
      <c r="AG245" s="457">
        <f>IF($AO245&lt;&gt;"OK",0,IF(AND(DATE('Thiết lập'!$B$4,12,1)&gt;=DATE(YEAR($H245),MONTH($H245),1),DATE('Thiết lập'!$B$4,12,1)&lt;EDATE(DATE(YEAR($H245),MONTH($H245),1),$O245)),MIN($P245,MAX(0,$N245-$U245-SUM($V245:AF245))),0))</f>
        <v/>
      </c>
      <c r="AH245" s="457">
        <f>IF(B245="","",SUM(V245:AG245))</f>
        <v/>
      </c>
      <c r="AI245" s="457">
        <f>IF(B245="","",MIN(N245,IF(U245="",0,U245)+AH245))</f>
        <v/>
      </c>
      <c r="AJ245" s="457">
        <f>IF(B245="","",MAX(0,L245-AI245))</f>
        <v/>
      </c>
      <c r="AK245" s="337">
        <f>IF(B245="","",IF(H245&gt;'Thiết lập'!$B$5,"Chưa khấu hao",IF(AJ245&lt;=IF(M245="",0,M245),"Đã hết khấu hao","Đang khấu hao")))</f>
        <v/>
      </c>
      <c r="AL245" s="275" t="n"/>
      <c r="AM245" s="275" t="n"/>
      <c r="AN245" s="275" t="n"/>
      <c r="AO245" s="343">
        <f>IF(B245="","",IF(COUNTIF($B$7:$B$306,B245)&gt;1,"Trùng mã TSCĐ",IF(C245="","Thiếu tên TSCĐ",IF(H245="","Thiếu ngày bắt đầu",IF(OR(I245&lt;=0,L245&lt;=0,O245&lt;=0),"Kiểm tra số lượng/nguyên giá/thời gian",IF(AND(G245&lt;&gt;"",H245&lt;G245),"Ngày KH trước ngày ghi tăng",IF(M245&gt;L245,"Giá trị thu hồi vượt nguyên giá",IF(IF(U245="",0,U245)&gt;N245,"Lũy kế đầu năm vượt GTKH","OK"))))))))</f>
        <v/>
      </c>
    </row>
    <row r="246" ht="20" customHeight="1" s="389">
      <c r="A246" s="325">
        <f>IF(B246="","",ROW()-6)</f>
        <v/>
      </c>
      <c r="B246" s="275" t="n"/>
      <c r="C246" s="275" t="n"/>
      <c r="D246" s="331" t="n"/>
      <c r="E246" s="331" t="n"/>
      <c r="F246" s="454" t="n"/>
      <c r="G246" s="454" t="n"/>
      <c r="H246" s="454" t="n"/>
      <c r="I246" s="455" t="n"/>
      <c r="J246" s="456" t="n"/>
      <c r="K246" s="456" t="n"/>
      <c r="L246" s="457">
        <f>IF(B246="","",IF(OR(I246="",J246=""),"",I246*J246+IF(K246="",0,K246)))</f>
        <v/>
      </c>
      <c r="M246" s="456" t="n"/>
      <c r="N246" s="457">
        <f>IF(L246="","",MAX(0,L246-IF(M246="",0,M246)))</f>
        <v/>
      </c>
      <c r="O246" s="455" t="n"/>
      <c r="P246" s="457">
        <f>IF(OR(N246="",O246&lt;=0),"",ROUND(N246/O246,0))</f>
        <v/>
      </c>
      <c r="Q246" s="458">
        <f>IF(OR(H246="",O246&lt;=0),"",EOMONTH(H246,O246-1))</f>
        <v/>
      </c>
      <c r="R246" s="331" t="n"/>
      <c r="S246" s="331" t="n"/>
      <c r="T246" s="331" t="n"/>
      <c r="U246" s="456" t="n"/>
      <c r="V246" s="457">
        <f>IF($AO246&lt;&gt;"OK",0,IF(AND(DATE('Thiết lập'!$B$4,1,1)&gt;=DATE(YEAR($H246),MONTH($H246),1),DATE('Thiết lập'!$B$4,1,1)&lt;EDATE(DATE(YEAR($H246),MONTH($H246),1),$O246)),MIN($P246,MAX(0,$N246-$U246-0)),0))</f>
        <v/>
      </c>
      <c r="W246" s="457">
        <f>IF($AO246&lt;&gt;"OK",0,IF(AND(DATE('Thiết lập'!$B$4,2,1)&gt;=DATE(YEAR($H246),MONTH($H246),1),DATE('Thiết lập'!$B$4,2,1)&lt;EDATE(DATE(YEAR($H246),MONTH($H246),1),$O246)),MIN($P246,MAX(0,$N246-$U246-SUM($V246:V246))),0))</f>
        <v/>
      </c>
      <c r="X246" s="457">
        <f>IF($AO246&lt;&gt;"OK",0,IF(AND(DATE('Thiết lập'!$B$4,3,1)&gt;=DATE(YEAR($H246),MONTH($H246),1),DATE('Thiết lập'!$B$4,3,1)&lt;EDATE(DATE(YEAR($H246),MONTH($H246),1),$O246)),MIN($P246,MAX(0,$N246-$U246-SUM($V246:W246))),0))</f>
        <v/>
      </c>
      <c r="Y246" s="457">
        <f>IF($AO246&lt;&gt;"OK",0,IF(AND(DATE('Thiết lập'!$B$4,4,1)&gt;=DATE(YEAR($H246),MONTH($H246),1),DATE('Thiết lập'!$B$4,4,1)&lt;EDATE(DATE(YEAR($H246),MONTH($H246),1),$O246)),MIN($P246,MAX(0,$N246-$U246-SUM($V246:X246))),0))</f>
        <v/>
      </c>
      <c r="Z246" s="457">
        <f>IF($AO246&lt;&gt;"OK",0,IF(AND(DATE('Thiết lập'!$B$4,5,1)&gt;=DATE(YEAR($H246),MONTH($H246),1),DATE('Thiết lập'!$B$4,5,1)&lt;EDATE(DATE(YEAR($H246),MONTH($H246),1),$O246)),MIN($P246,MAX(0,$N246-$U246-SUM($V246:Y246))),0))</f>
        <v/>
      </c>
      <c r="AA246" s="457">
        <f>IF($AO246&lt;&gt;"OK",0,IF(AND(DATE('Thiết lập'!$B$4,6,1)&gt;=DATE(YEAR($H246),MONTH($H246),1),DATE('Thiết lập'!$B$4,6,1)&lt;EDATE(DATE(YEAR($H246),MONTH($H246),1),$O246)),MIN($P246,MAX(0,$N246-$U246-SUM($V246:Z246))),0))</f>
        <v/>
      </c>
      <c r="AB246" s="457">
        <f>IF($AO246&lt;&gt;"OK",0,IF(AND(DATE('Thiết lập'!$B$4,7,1)&gt;=DATE(YEAR($H246),MONTH($H246),1),DATE('Thiết lập'!$B$4,7,1)&lt;EDATE(DATE(YEAR($H246),MONTH($H246),1),$O246)),MIN($P246,MAX(0,$N246-$U246-SUM($V246:AA246))),0))</f>
        <v/>
      </c>
      <c r="AC246" s="457">
        <f>IF($AO246&lt;&gt;"OK",0,IF(AND(DATE('Thiết lập'!$B$4,8,1)&gt;=DATE(YEAR($H246),MONTH($H246),1),DATE('Thiết lập'!$B$4,8,1)&lt;EDATE(DATE(YEAR($H246),MONTH($H246),1),$O246)),MIN($P246,MAX(0,$N246-$U246-SUM($V246:AB246))),0))</f>
        <v/>
      </c>
      <c r="AD246" s="457">
        <f>IF($AO246&lt;&gt;"OK",0,IF(AND(DATE('Thiết lập'!$B$4,9,1)&gt;=DATE(YEAR($H246),MONTH($H246),1),DATE('Thiết lập'!$B$4,9,1)&lt;EDATE(DATE(YEAR($H246),MONTH($H246),1),$O246)),MIN($P246,MAX(0,$N246-$U246-SUM($V246:AC246))),0))</f>
        <v/>
      </c>
      <c r="AE246" s="457">
        <f>IF($AO246&lt;&gt;"OK",0,IF(AND(DATE('Thiết lập'!$B$4,10,1)&gt;=DATE(YEAR($H246),MONTH($H246),1),DATE('Thiết lập'!$B$4,10,1)&lt;EDATE(DATE(YEAR($H246),MONTH($H246),1),$O246)),MIN($P246,MAX(0,$N246-$U246-SUM($V246:AD246))),0))</f>
        <v/>
      </c>
      <c r="AF246" s="457">
        <f>IF($AO246&lt;&gt;"OK",0,IF(AND(DATE('Thiết lập'!$B$4,11,1)&gt;=DATE(YEAR($H246),MONTH($H246),1),DATE('Thiết lập'!$B$4,11,1)&lt;EDATE(DATE(YEAR($H246),MONTH($H246),1),$O246)),MIN($P246,MAX(0,$N246-$U246-SUM($V246:AE246))),0))</f>
        <v/>
      </c>
      <c r="AG246" s="457">
        <f>IF($AO246&lt;&gt;"OK",0,IF(AND(DATE('Thiết lập'!$B$4,12,1)&gt;=DATE(YEAR($H246),MONTH($H246),1),DATE('Thiết lập'!$B$4,12,1)&lt;EDATE(DATE(YEAR($H246),MONTH($H246),1),$O246)),MIN($P246,MAX(0,$N246-$U246-SUM($V246:AF246))),0))</f>
        <v/>
      </c>
      <c r="AH246" s="457">
        <f>IF(B246="","",SUM(V246:AG246))</f>
        <v/>
      </c>
      <c r="AI246" s="457">
        <f>IF(B246="","",MIN(N246,IF(U246="",0,U246)+AH246))</f>
        <v/>
      </c>
      <c r="AJ246" s="457">
        <f>IF(B246="","",MAX(0,L246-AI246))</f>
        <v/>
      </c>
      <c r="AK246" s="337">
        <f>IF(B246="","",IF(H246&gt;'Thiết lập'!$B$5,"Chưa khấu hao",IF(AJ246&lt;=IF(M246="",0,M246),"Đã hết khấu hao","Đang khấu hao")))</f>
        <v/>
      </c>
      <c r="AL246" s="275" t="n"/>
      <c r="AM246" s="275" t="n"/>
      <c r="AN246" s="275" t="n"/>
      <c r="AO246" s="343">
        <f>IF(B246="","",IF(COUNTIF($B$7:$B$306,B246)&gt;1,"Trùng mã TSCĐ",IF(C246="","Thiếu tên TSCĐ",IF(H246="","Thiếu ngày bắt đầu",IF(OR(I246&lt;=0,L246&lt;=0,O246&lt;=0),"Kiểm tra số lượng/nguyên giá/thời gian",IF(AND(G246&lt;&gt;"",H246&lt;G246),"Ngày KH trước ngày ghi tăng",IF(M246&gt;L246,"Giá trị thu hồi vượt nguyên giá",IF(IF(U246="",0,U246)&gt;N246,"Lũy kế đầu năm vượt GTKH","OK"))))))))</f>
        <v/>
      </c>
    </row>
    <row r="247" ht="20" customHeight="1" s="389">
      <c r="A247" s="325">
        <f>IF(B247="","",ROW()-6)</f>
        <v/>
      </c>
      <c r="B247" s="275" t="n"/>
      <c r="C247" s="275" t="n"/>
      <c r="D247" s="331" t="n"/>
      <c r="E247" s="331" t="n"/>
      <c r="F247" s="454" t="n"/>
      <c r="G247" s="454" t="n"/>
      <c r="H247" s="454" t="n"/>
      <c r="I247" s="455" t="n"/>
      <c r="J247" s="456" t="n"/>
      <c r="K247" s="456" t="n"/>
      <c r="L247" s="457">
        <f>IF(B247="","",IF(OR(I247="",J247=""),"",I247*J247+IF(K247="",0,K247)))</f>
        <v/>
      </c>
      <c r="M247" s="456" t="n"/>
      <c r="N247" s="457">
        <f>IF(L247="","",MAX(0,L247-IF(M247="",0,M247)))</f>
        <v/>
      </c>
      <c r="O247" s="455" t="n"/>
      <c r="P247" s="457">
        <f>IF(OR(N247="",O247&lt;=0),"",ROUND(N247/O247,0))</f>
        <v/>
      </c>
      <c r="Q247" s="458">
        <f>IF(OR(H247="",O247&lt;=0),"",EOMONTH(H247,O247-1))</f>
        <v/>
      </c>
      <c r="R247" s="331" t="n"/>
      <c r="S247" s="331" t="n"/>
      <c r="T247" s="331" t="n"/>
      <c r="U247" s="456" t="n"/>
      <c r="V247" s="457">
        <f>IF($AO247&lt;&gt;"OK",0,IF(AND(DATE('Thiết lập'!$B$4,1,1)&gt;=DATE(YEAR($H247),MONTH($H247),1),DATE('Thiết lập'!$B$4,1,1)&lt;EDATE(DATE(YEAR($H247),MONTH($H247),1),$O247)),MIN($P247,MAX(0,$N247-$U247-0)),0))</f>
        <v/>
      </c>
      <c r="W247" s="457">
        <f>IF($AO247&lt;&gt;"OK",0,IF(AND(DATE('Thiết lập'!$B$4,2,1)&gt;=DATE(YEAR($H247),MONTH($H247),1),DATE('Thiết lập'!$B$4,2,1)&lt;EDATE(DATE(YEAR($H247),MONTH($H247),1),$O247)),MIN($P247,MAX(0,$N247-$U247-SUM($V247:V247))),0))</f>
        <v/>
      </c>
      <c r="X247" s="457">
        <f>IF($AO247&lt;&gt;"OK",0,IF(AND(DATE('Thiết lập'!$B$4,3,1)&gt;=DATE(YEAR($H247),MONTH($H247),1),DATE('Thiết lập'!$B$4,3,1)&lt;EDATE(DATE(YEAR($H247),MONTH($H247),1),$O247)),MIN($P247,MAX(0,$N247-$U247-SUM($V247:W247))),0))</f>
        <v/>
      </c>
      <c r="Y247" s="457">
        <f>IF($AO247&lt;&gt;"OK",0,IF(AND(DATE('Thiết lập'!$B$4,4,1)&gt;=DATE(YEAR($H247),MONTH($H247),1),DATE('Thiết lập'!$B$4,4,1)&lt;EDATE(DATE(YEAR($H247),MONTH($H247),1),$O247)),MIN($P247,MAX(0,$N247-$U247-SUM($V247:X247))),0))</f>
        <v/>
      </c>
      <c r="Z247" s="457">
        <f>IF($AO247&lt;&gt;"OK",0,IF(AND(DATE('Thiết lập'!$B$4,5,1)&gt;=DATE(YEAR($H247),MONTH($H247),1),DATE('Thiết lập'!$B$4,5,1)&lt;EDATE(DATE(YEAR($H247),MONTH($H247),1),$O247)),MIN($P247,MAX(0,$N247-$U247-SUM($V247:Y247))),0))</f>
        <v/>
      </c>
      <c r="AA247" s="457">
        <f>IF($AO247&lt;&gt;"OK",0,IF(AND(DATE('Thiết lập'!$B$4,6,1)&gt;=DATE(YEAR($H247),MONTH($H247),1),DATE('Thiết lập'!$B$4,6,1)&lt;EDATE(DATE(YEAR($H247),MONTH($H247),1),$O247)),MIN($P247,MAX(0,$N247-$U247-SUM($V247:Z247))),0))</f>
        <v/>
      </c>
      <c r="AB247" s="457">
        <f>IF($AO247&lt;&gt;"OK",0,IF(AND(DATE('Thiết lập'!$B$4,7,1)&gt;=DATE(YEAR($H247),MONTH($H247),1),DATE('Thiết lập'!$B$4,7,1)&lt;EDATE(DATE(YEAR($H247),MONTH($H247),1),$O247)),MIN($P247,MAX(0,$N247-$U247-SUM($V247:AA247))),0))</f>
        <v/>
      </c>
      <c r="AC247" s="457">
        <f>IF($AO247&lt;&gt;"OK",0,IF(AND(DATE('Thiết lập'!$B$4,8,1)&gt;=DATE(YEAR($H247),MONTH($H247),1),DATE('Thiết lập'!$B$4,8,1)&lt;EDATE(DATE(YEAR($H247),MONTH($H247),1),$O247)),MIN($P247,MAX(0,$N247-$U247-SUM($V247:AB247))),0))</f>
        <v/>
      </c>
      <c r="AD247" s="457">
        <f>IF($AO247&lt;&gt;"OK",0,IF(AND(DATE('Thiết lập'!$B$4,9,1)&gt;=DATE(YEAR($H247),MONTH($H247),1),DATE('Thiết lập'!$B$4,9,1)&lt;EDATE(DATE(YEAR($H247),MONTH($H247),1),$O247)),MIN($P247,MAX(0,$N247-$U247-SUM($V247:AC247))),0))</f>
        <v/>
      </c>
      <c r="AE247" s="457">
        <f>IF($AO247&lt;&gt;"OK",0,IF(AND(DATE('Thiết lập'!$B$4,10,1)&gt;=DATE(YEAR($H247),MONTH($H247),1),DATE('Thiết lập'!$B$4,10,1)&lt;EDATE(DATE(YEAR($H247),MONTH($H247),1),$O247)),MIN($P247,MAX(0,$N247-$U247-SUM($V247:AD247))),0))</f>
        <v/>
      </c>
      <c r="AF247" s="457">
        <f>IF($AO247&lt;&gt;"OK",0,IF(AND(DATE('Thiết lập'!$B$4,11,1)&gt;=DATE(YEAR($H247),MONTH($H247),1),DATE('Thiết lập'!$B$4,11,1)&lt;EDATE(DATE(YEAR($H247),MONTH($H247),1),$O247)),MIN($P247,MAX(0,$N247-$U247-SUM($V247:AE247))),0))</f>
        <v/>
      </c>
      <c r="AG247" s="457">
        <f>IF($AO247&lt;&gt;"OK",0,IF(AND(DATE('Thiết lập'!$B$4,12,1)&gt;=DATE(YEAR($H247),MONTH($H247),1),DATE('Thiết lập'!$B$4,12,1)&lt;EDATE(DATE(YEAR($H247),MONTH($H247),1),$O247)),MIN($P247,MAX(0,$N247-$U247-SUM($V247:AF247))),0))</f>
        <v/>
      </c>
      <c r="AH247" s="457">
        <f>IF(B247="","",SUM(V247:AG247))</f>
        <v/>
      </c>
      <c r="AI247" s="457">
        <f>IF(B247="","",MIN(N247,IF(U247="",0,U247)+AH247))</f>
        <v/>
      </c>
      <c r="AJ247" s="457">
        <f>IF(B247="","",MAX(0,L247-AI247))</f>
        <v/>
      </c>
      <c r="AK247" s="337">
        <f>IF(B247="","",IF(H247&gt;'Thiết lập'!$B$5,"Chưa khấu hao",IF(AJ247&lt;=IF(M247="",0,M247),"Đã hết khấu hao","Đang khấu hao")))</f>
        <v/>
      </c>
      <c r="AL247" s="275" t="n"/>
      <c r="AM247" s="275" t="n"/>
      <c r="AN247" s="275" t="n"/>
      <c r="AO247" s="343">
        <f>IF(B247="","",IF(COUNTIF($B$7:$B$306,B247)&gt;1,"Trùng mã TSCĐ",IF(C247="","Thiếu tên TSCĐ",IF(H247="","Thiếu ngày bắt đầu",IF(OR(I247&lt;=0,L247&lt;=0,O247&lt;=0),"Kiểm tra số lượng/nguyên giá/thời gian",IF(AND(G247&lt;&gt;"",H247&lt;G247),"Ngày KH trước ngày ghi tăng",IF(M247&gt;L247,"Giá trị thu hồi vượt nguyên giá",IF(IF(U247="",0,U247)&gt;N247,"Lũy kế đầu năm vượt GTKH","OK"))))))))</f>
        <v/>
      </c>
    </row>
    <row r="248" ht="20" customHeight="1" s="389">
      <c r="A248" s="325">
        <f>IF(B248="","",ROW()-6)</f>
        <v/>
      </c>
      <c r="B248" s="275" t="n"/>
      <c r="C248" s="275" t="n"/>
      <c r="D248" s="331" t="n"/>
      <c r="E248" s="331" t="n"/>
      <c r="F248" s="454" t="n"/>
      <c r="G248" s="454" t="n"/>
      <c r="H248" s="454" t="n"/>
      <c r="I248" s="455" t="n"/>
      <c r="J248" s="456" t="n"/>
      <c r="K248" s="456" t="n"/>
      <c r="L248" s="457">
        <f>IF(B248="","",IF(OR(I248="",J248=""),"",I248*J248+IF(K248="",0,K248)))</f>
        <v/>
      </c>
      <c r="M248" s="456" t="n"/>
      <c r="N248" s="457">
        <f>IF(L248="","",MAX(0,L248-IF(M248="",0,M248)))</f>
        <v/>
      </c>
      <c r="O248" s="455" t="n"/>
      <c r="P248" s="457">
        <f>IF(OR(N248="",O248&lt;=0),"",ROUND(N248/O248,0))</f>
        <v/>
      </c>
      <c r="Q248" s="458">
        <f>IF(OR(H248="",O248&lt;=0),"",EOMONTH(H248,O248-1))</f>
        <v/>
      </c>
      <c r="R248" s="331" t="n"/>
      <c r="S248" s="331" t="n"/>
      <c r="T248" s="331" t="n"/>
      <c r="U248" s="456" t="n"/>
      <c r="V248" s="457">
        <f>IF($AO248&lt;&gt;"OK",0,IF(AND(DATE('Thiết lập'!$B$4,1,1)&gt;=DATE(YEAR($H248),MONTH($H248),1),DATE('Thiết lập'!$B$4,1,1)&lt;EDATE(DATE(YEAR($H248),MONTH($H248),1),$O248)),MIN($P248,MAX(0,$N248-$U248-0)),0))</f>
        <v/>
      </c>
      <c r="W248" s="457">
        <f>IF($AO248&lt;&gt;"OK",0,IF(AND(DATE('Thiết lập'!$B$4,2,1)&gt;=DATE(YEAR($H248),MONTH($H248),1),DATE('Thiết lập'!$B$4,2,1)&lt;EDATE(DATE(YEAR($H248),MONTH($H248),1),$O248)),MIN($P248,MAX(0,$N248-$U248-SUM($V248:V248))),0))</f>
        <v/>
      </c>
      <c r="X248" s="457">
        <f>IF($AO248&lt;&gt;"OK",0,IF(AND(DATE('Thiết lập'!$B$4,3,1)&gt;=DATE(YEAR($H248),MONTH($H248),1),DATE('Thiết lập'!$B$4,3,1)&lt;EDATE(DATE(YEAR($H248),MONTH($H248),1),$O248)),MIN($P248,MAX(0,$N248-$U248-SUM($V248:W248))),0))</f>
        <v/>
      </c>
      <c r="Y248" s="457">
        <f>IF($AO248&lt;&gt;"OK",0,IF(AND(DATE('Thiết lập'!$B$4,4,1)&gt;=DATE(YEAR($H248),MONTH($H248),1),DATE('Thiết lập'!$B$4,4,1)&lt;EDATE(DATE(YEAR($H248),MONTH($H248),1),$O248)),MIN($P248,MAX(0,$N248-$U248-SUM($V248:X248))),0))</f>
        <v/>
      </c>
      <c r="Z248" s="457">
        <f>IF($AO248&lt;&gt;"OK",0,IF(AND(DATE('Thiết lập'!$B$4,5,1)&gt;=DATE(YEAR($H248),MONTH($H248),1),DATE('Thiết lập'!$B$4,5,1)&lt;EDATE(DATE(YEAR($H248),MONTH($H248),1),$O248)),MIN($P248,MAX(0,$N248-$U248-SUM($V248:Y248))),0))</f>
        <v/>
      </c>
      <c r="AA248" s="457">
        <f>IF($AO248&lt;&gt;"OK",0,IF(AND(DATE('Thiết lập'!$B$4,6,1)&gt;=DATE(YEAR($H248),MONTH($H248),1),DATE('Thiết lập'!$B$4,6,1)&lt;EDATE(DATE(YEAR($H248),MONTH($H248),1),$O248)),MIN($P248,MAX(0,$N248-$U248-SUM($V248:Z248))),0))</f>
        <v/>
      </c>
      <c r="AB248" s="457">
        <f>IF($AO248&lt;&gt;"OK",0,IF(AND(DATE('Thiết lập'!$B$4,7,1)&gt;=DATE(YEAR($H248),MONTH($H248),1),DATE('Thiết lập'!$B$4,7,1)&lt;EDATE(DATE(YEAR($H248),MONTH($H248),1),$O248)),MIN($P248,MAX(0,$N248-$U248-SUM($V248:AA248))),0))</f>
        <v/>
      </c>
      <c r="AC248" s="457">
        <f>IF($AO248&lt;&gt;"OK",0,IF(AND(DATE('Thiết lập'!$B$4,8,1)&gt;=DATE(YEAR($H248),MONTH($H248),1),DATE('Thiết lập'!$B$4,8,1)&lt;EDATE(DATE(YEAR($H248),MONTH($H248),1),$O248)),MIN($P248,MAX(0,$N248-$U248-SUM($V248:AB248))),0))</f>
        <v/>
      </c>
      <c r="AD248" s="457">
        <f>IF($AO248&lt;&gt;"OK",0,IF(AND(DATE('Thiết lập'!$B$4,9,1)&gt;=DATE(YEAR($H248),MONTH($H248),1),DATE('Thiết lập'!$B$4,9,1)&lt;EDATE(DATE(YEAR($H248),MONTH($H248),1),$O248)),MIN($P248,MAX(0,$N248-$U248-SUM($V248:AC248))),0))</f>
        <v/>
      </c>
      <c r="AE248" s="457">
        <f>IF($AO248&lt;&gt;"OK",0,IF(AND(DATE('Thiết lập'!$B$4,10,1)&gt;=DATE(YEAR($H248),MONTH($H248),1),DATE('Thiết lập'!$B$4,10,1)&lt;EDATE(DATE(YEAR($H248),MONTH($H248),1),$O248)),MIN($P248,MAX(0,$N248-$U248-SUM($V248:AD248))),0))</f>
        <v/>
      </c>
      <c r="AF248" s="457">
        <f>IF($AO248&lt;&gt;"OK",0,IF(AND(DATE('Thiết lập'!$B$4,11,1)&gt;=DATE(YEAR($H248),MONTH($H248),1),DATE('Thiết lập'!$B$4,11,1)&lt;EDATE(DATE(YEAR($H248),MONTH($H248),1),$O248)),MIN($P248,MAX(0,$N248-$U248-SUM($V248:AE248))),0))</f>
        <v/>
      </c>
      <c r="AG248" s="457">
        <f>IF($AO248&lt;&gt;"OK",0,IF(AND(DATE('Thiết lập'!$B$4,12,1)&gt;=DATE(YEAR($H248),MONTH($H248),1),DATE('Thiết lập'!$B$4,12,1)&lt;EDATE(DATE(YEAR($H248),MONTH($H248),1),$O248)),MIN($P248,MAX(0,$N248-$U248-SUM($V248:AF248))),0))</f>
        <v/>
      </c>
      <c r="AH248" s="457">
        <f>IF(B248="","",SUM(V248:AG248))</f>
        <v/>
      </c>
      <c r="AI248" s="457">
        <f>IF(B248="","",MIN(N248,IF(U248="",0,U248)+AH248))</f>
        <v/>
      </c>
      <c r="AJ248" s="457">
        <f>IF(B248="","",MAX(0,L248-AI248))</f>
        <v/>
      </c>
      <c r="AK248" s="337">
        <f>IF(B248="","",IF(H248&gt;'Thiết lập'!$B$5,"Chưa khấu hao",IF(AJ248&lt;=IF(M248="",0,M248),"Đã hết khấu hao","Đang khấu hao")))</f>
        <v/>
      </c>
      <c r="AL248" s="275" t="n"/>
      <c r="AM248" s="275" t="n"/>
      <c r="AN248" s="275" t="n"/>
      <c r="AO248" s="343">
        <f>IF(B248="","",IF(COUNTIF($B$7:$B$306,B248)&gt;1,"Trùng mã TSCĐ",IF(C248="","Thiếu tên TSCĐ",IF(H248="","Thiếu ngày bắt đầu",IF(OR(I248&lt;=0,L248&lt;=0,O248&lt;=0),"Kiểm tra số lượng/nguyên giá/thời gian",IF(AND(G248&lt;&gt;"",H248&lt;G248),"Ngày KH trước ngày ghi tăng",IF(M248&gt;L248,"Giá trị thu hồi vượt nguyên giá",IF(IF(U248="",0,U248)&gt;N248,"Lũy kế đầu năm vượt GTKH","OK"))))))))</f>
        <v/>
      </c>
    </row>
    <row r="249" ht="20" customHeight="1" s="389">
      <c r="A249" s="325">
        <f>IF(B249="","",ROW()-6)</f>
        <v/>
      </c>
      <c r="B249" s="275" t="n"/>
      <c r="C249" s="275" t="n"/>
      <c r="D249" s="331" t="n"/>
      <c r="E249" s="331" t="n"/>
      <c r="F249" s="454" t="n"/>
      <c r="G249" s="454" t="n"/>
      <c r="H249" s="454" t="n"/>
      <c r="I249" s="455" t="n"/>
      <c r="J249" s="456" t="n"/>
      <c r="K249" s="456" t="n"/>
      <c r="L249" s="457">
        <f>IF(B249="","",IF(OR(I249="",J249=""),"",I249*J249+IF(K249="",0,K249)))</f>
        <v/>
      </c>
      <c r="M249" s="456" t="n"/>
      <c r="N249" s="457">
        <f>IF(L249="","",MAX(0,L249-IF(M249="",0,M249)))</f>
        <v/>
      </c>
      <c r="O249" s="455" t="n"/>
      <c r="P249" s="457">
        <f>IF(OR(N249="",O249&lt;=0),"",ROUND(N249/O249,0))</f>
        <v/>
      </c>
      <c r="Q249" s="458">
        <f>IF(OR(H249="",O249&lt;=0),"",EOMONTH(H249,O249-1))</f>
        <v/>
      </c>
      <c r="R249" s="331" t="n"/>
      <c r="S249" s="331" t="n"/>
      <c r="T249" s="331" t="n"/>
      <c r="U249" s="456" t="n"/>
      <c r="V249" s="457">
        <f>IF($AO249&lt;&gt;"OK",0,IF(AND(DATE('Thiết lập'!$B$4,1,1)&gt;=DATE(YEAR($H249),MONTH($H249),1),DATE('Thiết lập'!$B$4,1,1)&lt;EDATE(DATE(YEAR($H249),MONTH($H249),1),$O249)),MIN($P249,MAX(0,$N249-$U249-0)),0))</f>
        <v/>
      </c>
      <c r="W249" s="457">
        <f>IF($AO249&lt;&gt;"OK",0,IF(AND(DATE('Thiết lập'!$B$4,2,1)&gt;=DATE(YEAR($H249),MONTH($H249),1),DATE('Thiết lập'!$B$4,2,1)&lt;EDATE(DATE(YEAR($H249),MONTH($H249),1),$O249)),MIN($P249,MAX(0,$N249-$U249-SUM($V249:V249))),0))</f>
        <v/>
      </c>
      <c r="X249" s="457">
        <f>IF($AO249&lt;&gt;"OK",0,IF(AND(DATE('Thiết lập'!$B$4,3,1)&gt;=DATE(YEAR($H249),MONTH($H249),1),DATE('Thiết lập'!$B$4,3,1)&lt;EDATE(DATE(YEAR($H249),MONTH($H249),1),$O249)),MIN($P249,MAX(0,$N249-$U249-SUM($V249:W249))),0))</f>
        <v/>
      </c>
      <c r="Y249" s="457">
        <f>IF($AO249&lt;&gt;"OK",0,IF(AND(DATE('Thiết lập'!$B$4,4,1)&gt;=DATE(YEAR($H249),MONTH($H249),1),DATE('Thiết lập'!$B$4,4,1)&lt;EDATE(DATE(YEAR($H249),MONTH($H249),1),$O249)),MIN($P249,MAX(0,$N249-$U249-SUM($V249:X249))),0))</f>
        <v/>
      </c>
      <c r="Z249" s="457">
        <f>IF($AO249&lt;&gt;"OK",0,IF(AND(DATE('Thiết lập'!$B$4,5,1)&gt;=DATE(YEAR($H249),MONTH($H249),1),DATE('Thiết lập'!$B$4,5,1)&lt;EDATE(DATE(YEAR($H249),MONTH($H249),1),$O249)),MIN($P249,MAX(0,$N249-$U249-SUM($V249:Y249))),0))</f>
        <v/>
      </c>
      <c r="AA249" s="457">
        <f>IF($AO249&lt;&gt;"OK",0,IF(AND(DATE('Thiết lập'!$B$4,6,1)&gt;=DATE(YEAR($H249),MONTH($H249),1),DATE('Thiết lập'!$B$4,6,1)&lt;EDATE(DATE(YEAR($H249),MONTH($H249),1),$O249)),MIN($P249,MAX(0,$N249-$U249-SUM($V249:Z249))),0))</f>
        <v/>
      </c>
      <c r="AB249" s="457">
        <f>IF($AO249&lt;&gt;"OK",0,IF(AND(DATE('Thiết lập'!$B$4,7,1)&gt;=DATE(YEAR($H249),MONTH($H249),1),DATE('Thiết lập'!$B$4,7,1)&lt;EDATE(DATE(YEAR($H249),MONTH($H249),1),$O249)),MIN($P249,MAX(0,$N249-$U249-SUM($V249:AA249))),0))</f>
        <v/>
      </c>
      <c r="AC249" s="457">
        <f>IF($AO249&lt;&gt;"OK",0,IF(AND(DATE('Thiết lập'!$B$4,8,1)&gt;=DATE(YEAR($H249),MONTH($H249),1),DATE('Thiết lập'!$B$4,8,1)&lt;EDATE(DATE(YEAR($H249),MONTH($H249),1),$O249)),MIN($P249,MAX(0,$N249-$U249-SUM($V249:AB249))),0))</f>
        <v/>
      </c>
      <c r="AD249" s="457">
        <f>IF($AO249&lt;&gt;"OK",0,IF(AND(DATE('Thiết lập'!$B$4,9,1)&gt;=DATE(YEAR($H249),MONTH($H249),1),DATE('Thiết lập'!$B$4,9,1)&lt;EDATE(DATE(YEAR($H249),MONTH($H249),1),$O249)),MIN($P249,MAX(0,$N249-$U249-SUM($V249:AC249))),0))</f>
        <v/>
      </c>
      <c r="AE249" s="457">
        <f>IF($AO249&lt;&gt;"OK",0,IF(AND(DATE('Thiết lập'!$B$4,10,1)&gt;=DATE(YEAR($H249),MONTH($H249),1),DATE('Thiết lập'!$B$4,10,1)&lt;EDATE(DATE(YEAR($H249),MONTH($H249),1),$O249)),MIN($P249,MAX(0,$N249-$U249-SUM($V249:AD249))),0))</f>
        <v/>
      </c>
      <c r="AF249" s="457">
        <f>IF($AO249&lt;&gt;"OK",0,IF(AND(DATE('Thiết lập'!$B$4,11,1)&gt;=DATE(YEAR($H249),MONTH($H249),1),DATE('Thiết lập'!$B$4,11,1)&lt;EDATE(DATE(YEAR($H249),MONTH($H249),1),$O249)),MIN($P249,MAX(0,$N249-$U249-SUM($V249:AE249))),0))</f>
        <v/>
      </c>
      <c r="AG249" s="457">
        <f>IF($AO249&lt;&gt;"OK",0,IF(AND(DATE('Thiết lập'!$B$4,12,1)&gt;=DATE(YEAR($H249),MONTH($H249),1),DATE('Thiết lập'!$B$4,12,1)&lt;EDATE(DATE(YEAR($H249),MONTH($H249),1),$O249)),MIN($P249,MAX(0,$N249-$U249-SUM($V249:AF249))),0))</f>
        <v/>
      </c>
      <c r="AH249" s="457">
        <f>IF(B249="","",SUM(V249:AG249))</f>
        <v/>
      </c>
      <c r="AI249" s="457">
        <f>IF(B249="","",MIN(N249,IF(U249="",0,U249)+AH249))</f>
        <v/>
      </c>
      <c r="AJ249" s="457">
        <f>IF(B249="","",MAX(0,L249-AI249))</f>
        <v/>
      </c>
      <c r="AK249" s="337">
        <f>IF(B249="","",IF(H249&gt;'Thiết lập'!$B$5,"Chưa khấu hao",IF(AJ249&lt;=IF(M249="",0,M249),"Đã hết khấu hao","Đang khấu hao")))</f>
        <v/>
      </c>
      <c r="AL249" s="275" t="n"/>
      <c r="AM249" s="275" t="n"/>
      <c r="AN249" s="275" t="n"/>
      <c r="AO249" s="343">
        <f>IF(B249="","",IF(COUNTIF($B$7:$B$306,B249)&gt;1,"Trùng mã TSCĐ",IF(C249="","Thiếu tên TSCĐ",IF(H249="","Thiếu ngày bắt đầu",IF(OR(I249&lt;=0,L249&lt;=0,O249&lt;=0),"Kiểm tra số lượng/nguyên giá/thời gian",IF(AND(G249&lt;&gt;"",H249&lt;G249),"Ngày KH trước ngày ghi tăng",IF(M249&gt;L249,"Giá trị thu hồi vượt nguyên giá",IF(IF(U249="",0,U249)&gt;N249,"Lũy kế đầu năm vượt GTKH","OK"))))))))</f>
        <v/>
      </c>
    </row>
    <row r="250" ht="20" customHeight="1" s="389">
      <c r="A250" s="325">
        <f>IF(B250="","",ROW()-6)</f>
        <v/>
      </c>
      <c r="B250" s="275" t="n"/>
      <c r="C250" s="275" t="n"/>
      <c r="D250" s="331" t="n"/>
      <c r="E250" s="331" t="n"/>
      <c r="F250" s="454" t="n"/>
      <c r="G250" s="454" t="n"/>
      <c r="H250" s="454" t="n"/>
      <c r="I250" s="455" t="n"/>
      <c r="J250" s="456" t="n"/>
      <c r="K250" s="456" t="n"/>
      <c r="L250" s="457">
        <f>IF(B250="","",IF(OR(I250="",J250=""),"",I250*J250+IF(K250="",0,K250)))</f>
        <v/>
      </c>
      <c r="M250" s="456" t="n"/>
      <c r="N250" s="457">
        <f>IF(L250="","",MAX(0,L250-IF(M250="",0,M250)))</f>
        <v/>
      </c>
      <c r="O250" s="455" t="n"/>
      <c r="P250" s="457">
        <f>IF(OR(N250="",O250&lt;=0),"",ROUND(N250/O250,0))</f>
        <v/>
      </c>
      <c r="Q250" s="458">
        <f>IF(OR(H250="",O250&lt;=0),"",EOMONTH(H250,O250-1))</f>
        <v/>
      </c>
      <c r="R250" s="331" t="n"/>
      <c r="S250" s="331" t="n"/>
      <c r="T250" s="331" t="n"/>
      <c r="U250" s="456" t="n"/>
      <c r="V250" s="457">
        <f>IF($AO250&lt;&gt;"OK",0,IF(AND(DATE('Thiết lập'!$B$4,1,1)&gt;=DATE(YEAR($H250),MONTH($H250),1),DATE('Thiết lập'!$B$4,1,1)&lt;EDATE(DATE(YEAR($H250),MONTH($H250),1),$O250)),MIN($P250,MAX(0,$N250-$U250-0)),0))</f>
        <v/>
      </c>
      <c r="W250" s="457">
        <f>IF($AO250&lt;&gt;"OK",0,IF(AND(DATE('Thiết lập'!$B$4,2,1)&gt;=DATE(YEAR($H250),MONTH($H250),1),DATE('Thiết lập'!$B$4,2,1)&lt;EDATE(DATE(YEAR($H250),MONTH($H250),1),$O250)),MIN($P250,MAX(0,$N250-$U250-SUM($V250:V250))),0))</f>
        <v/>
      </c>
      <c r="X250" s="457">
        <f>IF($AO250&lt;&gt;"OK",0,IF(AND(DATE('Thiết lập'!$B$4,3,1)&gt;=DATE(YEAR($H250),MONTH($H250),1),DATE('Thiết lập'!$B$4,3,1)&lt;EDATE(DATE(YEAR($H250),MONTH($H250),1),$O250)),MIN($P250,MAX(0,$N250-$U250-SUM($V250:W250))),0))</f>
        <v/>
      </c>
      <c r="Y250" s="457">
        <f>IF($AO250&lt;&gt;"OK",0,IF(AND(DATE('Thiết lập'!$B$4,4,1)&gt;=DATE(YEAR($H250),MONTH($H250),1),DATE('Thiết lập'!$B$4,4,1)&lt;EDATE(DATE(YEAR($H250),MONTH($H250),1),$O250)),MIN($P250,MAX(0,$N250-$U250-SUM($V250:X250))),0))</f>
        <v/>
      </c>
      <c r="Z250" s="457">
        <f>IF($AO250&lt;&gt;"OK",0,IF(AND(DATE('Thiết lập'!$B$4,5,1)&gt;=DATE(YEAR($H250),MONTH($H250),1),DATE('Thiết lập'!$B$4,5,1)&lt;EDATE(DATE(YEAR($H250),MONTH($H250),1),$O250)),MIN($P250,MAX(0,$N250-$U250-SUM($V250:Y250))),0))</f>
        <v/>
      </c>
      <c r="AA250" s="457">
        <f>IF($AO250&lt;&gt;"OK",0,IF(AND(DATE('Thiết lập'!$B$4,6,1)&gt;=DATE(YEAR($H250),MONTH($H250),1),DATE('Thiết lập'!$B$4,6,1)&lt;EDATE(DATE(YEAR($H250),MONTH($H250),1),$O250)),MIN($P250,MAX(0,$N250-$U250-SUM($V250:Z250))),0))</f>
        <v/>
      </c>
      <c r="AB250" s="457">
        <f>IF($AO250&lt;&gt;"OK",0,IF(AND(DATE('Thiết lập'!$B$4,7,1)&gt;=DATE(YEAR($H250),MONTH($H250),1),DATE('Thiết lập'!$B$4,7,1)&lt;EDATE(DATE(YEAR($H250),MONTH($H250),1),$O250)),MIN($P250,MAX(0,$N250-$U250-SUM($V250:AA250))),0))</f>
        <v/>
      </c>
      <c r="AC250" s="457">
        <f>IF($AO250&lt;&gt;"OK",0,IF(AND(DATE('Thiết lập'!$B$4,8,1)&gt;=DATE(YEAR($H250),MONTH($H250),1),DATE('Thiết lập'!$B$4,8,1)&lt;EDATE(DATE(YEAR($H250),MONTH($H250),1),$O250)),MIN($P250,MAX(0,$N250-$U250-SUM($V250:AB250))),0))</f>
        <v/>
      </c>
      <c r="AD250" s="457">
        <f>IF($AO250&lt;&gt;"OK",0,IF(AND(DATE('Thiết lập'!$B$4,9,1)&gt;=DATE(YEAR($H250),MONTH($H250),1),DATE('Thiết lập'!$B$4,9,1)&lt;EDATE(DATE(YEAR($H250),MONTH($H250),1),$O250)),MIN($P250,MAX(0,$N250-$U250-SUM($V250:AC250))),0))</f>
        <v/>
      </c>
      <c r="AE250" s="457">
        <f>IF($AO250&lt;&gt;"OK",0,IF(AND(DATE('Thiết lập'!$B$4,10,1)&gt;=DATE(YEAR($H250),MONTH($H250),1),DATE('Thiết lập'!$B$4,10,1)&lt;EDATE(DATE(YEAR($H250),MONTH($H250),1),$O250)),MIN($P250,MAX(0,$N250-$U250-SUM($V250:AD250))),0))</f>
        <v/>
      </c>
      <c r="AF250" s="457">
        <f>IF($AO250&lt;&gt;"OK",0,IF(AND(DATE('Thiết lập'!$B$4,11,1)&gt;=DATE(YEAR($H250),MONTH($H250),1),DATE('Thiết lập'!$B$4,11,1)&lt;EDATE(DATE(YEAR($H250),MONTH($H250),1),$O250)),MIN($P250,MAX(0,$N250-$U250-SUM($V250:AE250))),0))</f>
        <v/>
      </c>
      <c r="AG250" s="457">
        <f>IF($AO250&lt;&gt;"OK",0,IF(AND(DATE('Thiết lập'!$B$4,12,1)&gt;=DATE(YEAR($H250),MONTH($H250),1),DATE('Thiết lập'!$B$4,12,1)&lt;EDATE(DATE(YEAR($H250),MONTH($H250),1),$O250)),MIN($P250,MAX(0,$N250-$U250-SUM($V250:AF250))),0))</f>
        <v/>
      </c>
      <c r="AH250" s="457">
        <f>IF(B250="","",SUM(V250:AG250))</f>
        <v/>
      </c>
      <c r="AI250" s="457">
        <f>IF(B250="","",MIN(N250,IF(U250="",0,U250)+AH250))</f>
        <v/>
      </c>
      <c r="AJ250" s="457">
        <f>IF(B250="","",MAX(0,L250-AI250))</f>
        <v/>
      </c>
      <c r="AK250" s="337">
        <f>IF(B250="","",IF(H250&gt;'Thiết lập'!$B$5,"Chưa khấu hao",IF(AJ250&lt;=IF(M250="",0,M250),"Đã hết khấu hao","Đang khấu hao")))</f>
        <v/>
      </c>
      <c r="AL250" s="275" t="n"/>
      <c r="AM250" s="275" t="n"/>
      <c r="AN250" s="275" t="n"/>
      <c r="AO250" s="343">
        <f>IF(B250="","",IF(COUNTIF($B$7:$B$306,B250)&gt;1,"Trùng mã TSCĐ",IF(C250="","Thiếu tên TSCĐ",IF(H250="","Thiếu ngày bắt đầu",IF(OR(I250&lt;=0,L250&lt;=0,O250&lt;=0),"Kiểm tra số lượng/nguyên giá/thời gian",IF(AND(G250&lt;&gt;"",H250&lt;G250),"Ngày KH trước ngày ghi tăng",IF(M250&gt;L250,"Giá trị thu hồi vượt nguyên giá",IF(IF(U250="",0,U250)&gt;N250,"Lũy kế đầu năm vượt GTKH","OK"))))))))</f>
        <v/>
      </c>
    </row>
    <row r="251" ht="20" customHeight="1" s="389">
      <c r="A251" s="325">
        <f>IF(B251="","",ROW()-6)</f>
        <v/>
      </c>
      <c r="B251" s="275" t="n"/>
      <c r="C251" s="275" t="n"/>
      <c r="D251" s="331" t="n"/>
      <c r="E251" s="331" t="n"/>
      <c r="F251" s="454" t="n"/>
      <c r="G251" s="454" t="n"/>
      <c r="H251" s="454" t="n"/>
      <c r="I251" s="455" t="n"/>
      <c r="J251" s="456" t="n"/>
      <c r="K251" s="456" t="n"/>
      <c r="L251" s="457">
        <f>IF(B251="","",IF(OR(I251="",J251=""),"",I251*J251+IF(K251="",0,K251)))</f>
        <v/>
      </c>
      <c r="M251" s="456" t="n"/>
      <c r="N251" s="457">
        <f>IF(L251="","",MAX(0,L251-IF(M251="",0,M251)))</f>
        <v/>
      </c>
      <c r="O251" s="455" t="n"/>
      <c r="P251" s="457">
        <f>IF(OR(N251="",O251&lt;=0),"",ROUND(N251/O251,0))</f>
        <v/>
      </c>
      <c r="Q251" s="458">
        <f>IF(OR(H251="",O251&lt;=0),"",EOMONTH(H251,O251-1))</f>
        <v/>
      </c>
      <c r="R251" s="331" t="n"/>
      <c r="S251" s="331" t="n"/>
      <c r="T251" s="331" t="n"/>
      <c r="U251" s="456" t="n"/>
      <c r="V251" s="457">
        <f>IF($AO251&lt;&gt;"OK",0,IF(AND(DATE('Thiết lập'!$B$4,1,1)&gt;=DATE(YEAR($H251),MONTH($H251),1),DATE('Thiết lập'!$B$4,1,1)&lt;EDATE(DATE(YEAR($H251),MONTH($H251),1),$O251)),MIN($P251,MAX(0,$N251-$U251-0)),0))</f>
        <v/>
      </c>
      <c r="W251" s="457">
        <f>IF($AO251&lt;&gt;"OK",0,IF(AND(DATE('Thiết lập'!$B$4,2,1)&gt;=DATE(YEAR($H251),MONTH($H251),1),DATE('Thiết lập'!$B$4,2,1)&lt;EDATE(DATE(YEAR($H251),MONTH($H251),1),$O251)),MIN($P251,MAX(0,$N251-$U251-SUM($V251:V251))),0))</f>
        <v/>
      </c>
      <c r="X251" s="457">
        <f>IF($AO251&lt;&gt;"OK",0,IF(AND(DATE('Thiết lập'!$B$4,3,1)&gt;=DATE(YEAR($H251),MONTH($H251),1),DATE('Thiết lập'!$B$4,3,1)&lt;EDATE(DATE(YEAR($H251),MONTH($H251),1),$O251)),MIN($P251,MAX(0,$N251-$U251-SUM($V251:W251))),0))</f>
        <v/>
      </c>
      <c r="Y251" s="457">
        <f>IF($AO251&lt;&gt;"OK",0,IF(AND(DATE('Thiết lập'!$B$4,4,1)&gt;=DATE(YEAR($H251),MONTH($H251),1),DATE('Thiết lập'!$B$4,4,1)&lt;EDATE(DATE(YEAR($H251),MONTH($H251),1),$O251)),MIN($P251,MAX(0,$N251-$U251-SUM($V251:X251))),0))</f>
        <v/>
      </c>
      <c r="Z251" s="457">
        <f>IF($AO251&lt;&gt;"OK",0,IF(AND(DATE('Thiết lập'!$B$4,5,1)&gt;=DATE(YEAR($H251),MONTH($H251),1),DATE('Thiết lập'!$B$4,5,1)&lt;EDATE(DATE(YEAR($H251),MONTH($H251),1),$O251)),MIN($P251,MAX(0,$N251-$U251-SUM($V251:Y251))),0))</f>
        <v/>
      </c>
      <c r="AA251" s="457">
        <f>IF($AO251&lt;&gt;"OK",0,IF(AND(DATE('Thiết lập'!$B$4,6,1)&gt;=DATE(YEAR($H251),MONTH($H251),1),DATE('Thiết lập'!$B$4,6,1)&lt;EDATE(DATE(YEAR($H251),MONTH($H251),1),$O251)),MIN($P251,MAX(0,$N251-$U251-SUM($V251:Z251))),0))</f>
        <v/>
      </c>
      <c r="AB251" s="457">
        <f>IF($AO251&lt;&gt;"OK",0,IF(AND(DATE('Thiết lập'!$B$4,7,1)&gt;=DATE(YEAR($H251),MONTH($H251),1),DATE('Thiết lập'!$B$4,7,1)&lt;EDATE(DATE(YEAR($H251),MONTH($H251),1),$O251)),MIN($P251,MAX(0,$N251-$U251-SUM($V251:AA251))),0))</f>
        <v/>
      </c>
      <c r="AC251" s="457">
        <f>IF($AO251&lt;&gt;"OK",0,IF(AND(DATE('Thiết lập'!$B$4,8,1)&gt;=DATE(YEAR($H251),MONTH($H251),1),DATE('Thiết lập'!$B$4,8,1)&lt;EDATE(DATE(YEAR($H251),MONTH($H251),1),$O251)),MIN($P251,MAX(0,$N251-$U251-SUM($V251:AB251))),0))</f>
        <v/>
      </c>
      <c r="AD251" s="457">
        <f>IF($AO251&lt;&gt;"OK",0,IF(AND(DATE('Thiết lập'!$B$4,9,1)&gt;=DATE(YEAR($H251),MONTH($H251),1),DATE('Thiết lập'!$B$4,9,1)&lt;EDATE(DATE(YEAR($H251),MONTH($H251),1),$O251)),MIN($P251,MAX(0,$N251-$U251-SUM($V251:AC251))),0))</f>
        <v/>
      </c>
      <c r="AE251" s="457">
        <f>IF($AO251&lt;&gt;"OK",0,IF(AND(DATE('Thiết lập'!$B$4,10,1)&gt;=DATE(YEAR($H251),MONTH($H251),1),DATE('Thiết lập'!$B$4,10,1)&lt;EDATE(DATE(YEAR($H251),MONTH($H251),1),$O251)),MIN($P251,MAX(0,$N251-$U251-SUM($V251:AD251))),0))</f>
        <v/>
      </c>
      <c r="AF251" s="457">
        <f>IF($AO251&lt;&gt;"OK",0,IF(AND(DATE('Thiết lập'!$B$4,11,1)&gt;=DATE(YEAR($H251),MONTH($H251),1),DATE('Thiết lập'!$B$4,11,1)&lt;EDATE(DATE(YEAR($H251),MONTH($H251),1),$O251)),MIN($P251,MAX(0,$N251-$U251-SUM($V251:AE251))),0))</f>
        <v/>
      </c>
      <c r="AG251" s="457">
        <f>IF($AO251&lt;&gt;"OK",0,IF(AND(DATE('Thiết lập'!$B$4,12,1)&gt;=DATE(YEAR($H251),MONTH($H251),1),DATE('Thiết lập'!$B$4,12,1)&lt;EDATE(DATE(YEAR($H251),MONTH($H251),1),$O251)),MIN($P251,MAX(0,$N251-$U251-SUM($V251:AF251))),0))</f>
        <v/>
      </c>
      <c r="AH251" s="457">
        <f>IF(B251="","",SUM(V251:AG251))</f>
        <v/>
      </c>
      <c r="AI251" s="457">
        <f>IF(B251="","",MIN(N251,IF(U251="",0,U251)+AH251))</f>
        <v/>
      </c>
      <c r="AJ251" s="457">
        <f>IF(B251="","",MAX(0,L251-AI251))</f>
        <v/>
      </c>
      <c r="AK251" s="337">
        <f>IF(B251="","",IF(H251&gt;'Thiết lập'!$B$5,"Chưa khấu hao",IF(AJ251&lt;=IF(M251="",0,M251),"Đã hết khấu hao","Đang khấu hao")))</f>
        <v/>
      </c>
      <c r="AL251" s="275" t="n"/>
      <c r="AM251" s="275" t="n"/>
      <c r="AN251" s="275" t="n"/>
      <c r="AO251" s="343">
        <f>IF(B251="","",IF(COUNTIF($B$7:$B$306,B251)&gt;1,"Trùng mã TSCĐ",IF(C251="","Thiếu tên TSCĐ",IF(H251="","Thiếu ngày bắt đầu",IF(OR(I251&lt;=0,L251&lt;=0,O251&lt;=0),"Kiểm tra số lượng/nguyên giá/thời gian",IF(AND(G251&lt;&gt;"",H251&lt;G251),"Ngày KH trước ngày ghi tăng",IF(M251&gt;L251,"Giá trị thu hồi vượt nguyên giá",IF(IF(U251="",0,U251)&gt;N251,"Lũy kế đầu năm vượt GTKH","OK"))))))))</f>
        <v/>
      </c>
    </row>
    <row r="252" ht="20" customHeight="1" s="389">
      <c r="A252" s="325">
        <f>IF(B252="","",ROW()-6)</f>
        <v/>
      </c>
      <c r="B252" s="275" t="n"/>
      <c r="C252" s="275" t="n"/>
      <c r="D252" s="331" t="n"/>
      <c r="E252" s="331" t="n"/>
      <c r="F252" s="454" t="n"/>
      <c r="G252" s="454" t="n"/>
      <c r="H252" s="454" t="n"/>
      <c r="I252" s="455" t="n"/>
      <c r="J252" s="456" t="n"/>
      <c r="K252" s="456" t="n"/>
      <c r="L252" s="457">
        <f>IF(B252="","",IF(OR(I252="",J252=""),"",I252*J252+IF(K252="",0,K252)))</f>
        <v/>
      </c>
      <c r="M252" s="456" t="n"/>
      <c r="N252" s="457">
        <f>IF(L252="","",MAX(0,L252-IF(M252="",0,M252)))</f>
        <v/>
      </c>
      <c r="O252" s="455" t="n"/>
      <c r="P252" s="457">
        <f>IF(OR(N252="",O252&lt;=0),"",ROUND(N252/O252,0))</f>
        <v/>
      </c>
      <c r="Q252" s="458">
        <f>IF(OR(H252="",O252&lt;=0),"",EOMONTH(H252,O252-1))</f>
        <v/>
      </c>
      <c r="R252" s="331" t="n"/>
      <c r="S252" s="331" t="n"/>
      <c r="T252" s="331" t="n"/>
      <c r="U252" s="456" t="n"/>
      <c r="V252" s="457">
        <f>IF($AO252&lt;&gt;"OK",0,IF(AND(DATE('Thiết lập'!$B$4,1,1)&gt;=DATE(YEAR($H252),MONTH($H252),1),DATE('Thiết lập'!$B$4,1,1)&lt;EDATE(DATE(YEAR($H252),MONTH($H252),1),$O252)),MIN($P252,MAX(0,$N252-$U252-0)),0))</f>
        <v/>
      </c>
      <c r="W252" s="457">
        <f>IF($AO252&lt;&gt;"OK",0,IF(AND(DATE('Thiết lập'!$B$4,2,1)&gt;=DATE(YEAR($H252),MONTH($H252),1),DATE('Thiết lập'!$B$4,2,1)&lt;EDATE(DATE(YEAR($H252),MONTH($H252),1),$O252)),MIN($P252,MAX(0,$N252-$U252-SUM($V252:V252))),0))</f>
        <v/>
      </c>
      <c r="X252" s="457">
        <f>IF($AO252&lt;&gt;"OK",0,IF(AND(DATE('Thiết lập'!$B$4,3,1)&gt;=DATE(YEAR($H252),MONTH($H252),1),DATE('Thiết lập'!$B$4,3,1)&lt;EDATE(DATE(YEAR($H252),MONTH($H252),1),$O252)),MIN($P252,MAX(0,$N252-$U252-SUM($V252:W252))),0))</f>
        <v/>
      </c>
      <c r="Y252" s="457">
        <f>IF($AO252&lt;&gt;"OK",0,IF(AND(DATE('Thiết lập'!$B$4,4,1)&gt;=DATE(YEAR($H252),MONTH($H252),1),DATE('Thiết lập'!$B$4,4,1)&lt;EDATE(DATE(YEAR($H252),MONTH($H252),1),$O252)),MIN($P252,MAX(0,$N252-$U252-SUM($V252:X252))),0))</f>
        <v/>
      </c>
      <c r="Z252" s="457">
        <f>IF($AO252&lt;&gt;"OK",0,IF(AND(DATE('Thiết lập'!$B$4,5,1)&gt;=DATE(YEAR($H252),MONTH($H252),1),DATE('Thiết lập'!$B$4,5,1)&lt;EDATE(DATE(YEAR($H252),MONTH($H252),1),$O252)),MIN($P252,MAX(0,$N252-$U252-SUM($V252:Y252))),0))</f>
        <v/>
      </c>
      <c r="AA252" s="457">
        <f>IF($AO252&lt;&gt;"OK",0,IF(AND(DATE('Thiết lập'!$B$4,6,1)&gt;=DATE(YEAR($H252),MONTH($H252),1),DATE('Thiết lập'!$B$4,6,1)&lt;EDATE(DATE(YEAR($H252),MONTH($H252),1),$O252)),MIN($P252,MAX(0,$N252-$U252-SUM($V252:Z252))),0))</f>
        <v/>
      </c>
      <c r="AB252" s="457">
        <f>IF($AO252&lt;&gt;"OK",0,IF(AND(DATE('Thiết lập'!$B$4,7,1)&gt;=DATE(YEAR($H252),MONTH($H252),1),DATE('Thiết lập'!$B$4,7,1)&lt;EDATE(DATE(YEAR($H252),MONTH($H252),1),$O252)),MIN($P252,MAX(0,$N252-$U252-SUM($V252:AA252))),0))</f>
        <v/>
      </c>
      <c r="AC252" s="457">
        <f>IF($AO252&lt;&gt;"OK",0,IF(AND(DATE('Thiết lập'!$B$4,8,1)&gt;=DATE(YEAR($H252),MONTH($H252),1),DATE('Thiết lập'!$B$4,8,1)&lt;EDATE(DATE(YEAR($H252),MONTH($H252),1),$O252)),MIN($P252,MAX(0,$N252-$U252-SUM($V252:AB252))),0))</f>
        <v/>
      </c>
      <c r="AD252" s="457">
        <f>IF($AO252&lt;&gt;"OK",0,IF(AND(DATE('Thiết lập'!$B$4,9,1)&gt;=DATE(YEAR($H252),MONTH($H252),1),DATE('Thiết lập'!$B$4,9,1)&lt;EDATE(DATE(YEAR($H252),MONTH($H252),1),$O252)),MIN($P252,MAX(0,$N252-$U252-SUM($V252:AC252))),0))</f>
        <v/>
      </c>
      <c r="AE252" s="457">
        <f>IF($AO252&lt;&gt;"OK",0,IF(AND(DATE('Thiết lập'!$B$4,10,1)&gt;=DATE(YEAR($H252),MONTH($H252),1),DATE('Thiết lập'!$B$4,10,1)&lt;EDATE(DATE(YEAR($H252),MONTH($H252),1),$O252)),MIN($P252,MAX(0,$N252-$U252-SUM($V252:AD252))),0))</f>
        <v/>
      </c>
      <c r="AF252" s="457">
        <f>IF($AO252&lt;&gt;"OK",0,IF(AND(DATE('Thiết lập'!$B$4,11,1)&gt;=DATE(YEAR($H252),MONTH($H252),1),DATE('Thiết lập'!$B$4,11,1)&lt;EDATE(DATE(YEAR($H252),MONTH($H252),1),$O252)),MIN($P252,MAX(0,$N252-$U252-SUM($V252:AE252))),0))</f>
        <v/>
      </c>
      <c r="AG252" s="457">
        <f>IF($AO252&lt;&gt;"OK",0,IF(AND(DATE('Thiết lập'!$B$4,12,1)&gt;=DATE(YEAR($H252),MONTH($H252),1),DATE('Thiết lập'!$B$4,12,1)&lt;EDATE(DATE(YEAR($H252),MONTH($H252),1),$O252)),MIN($P252,MAX(0,$N252-$U252-SUM($V252:AF252))),0))</f>
        <v/>
      </c>
      <c r="AH252" s="457">
        <f>IF(B252="","",SUM(V252:AG252))</f>
        <v/>
      </c>
      <c r="AI252" s="457">
        <f>IF(B252="","",MIN(N252,IF(U252="",0,U252)+AH252))</f>
        <v/>
      </c>
      <c r="AJ252" s="457">
        <f>IF(B252="","",MAX(0,L252-AI252))</f>
        <v/>
      </c>
      <c r="AK252" s="337">
        <f>IF(B252="","",IF(H252&gt;'Thiết lập'!$B$5,"Chưa khấu hao",IF(AJ252&lt;=IF(M252="",0,M252),"Đã hết khấu hao","Đang khấu hao")))</f>
        <v/>
      </c>
      <c r="AL252" s="275" t="n"/>
      <c r="AM252" s="275" t="n"/>
      <c r="AN252" s="275" t="n"/>
      <c r="AO252" s="343">
        <f>IF(B252="","",IF(COUNTIF($B$7:$B$306,B252)&gt;1,"Trùng mã TSCĐ",IF(C252="","Thiếu tên TSCĐ",IF(H252="","Thiếu ngày bắt đầu",IF(OR(I252&lt;=0,L252&lt;=0,O252&lt;=0),"Kiểm tra số lượng/nguyên giá/thời gian",IF(AND(G252&lt;&gt;"",H252&lt;G252),"Ngày KH trước ngày ghi tăng",IF(M252&gt;L252,"Giá trị thu hồi vượt nguyên giá",IF(IF(U252="",0,U252)&gt;N252,"Lũy kế đầu năm vượt GTKH","OK"))))))))</f>
        <v/>
      </c>
    </row>
    <row r="253" ht="20" customHeight="1" s="389">
      <c r="A253" s="325">
        <f>IF(B253="","",ROW()-6)</f>
        <v/>
      </c>
      <c r="B253" s="275" t="n"/>
      <c r="C253" s="275" t="n"/>
      <c r="D253" s="331" t="n"/>
      <c r="E253" s="331" t="n"/>
      <c r="F253" s="454" t="n"/>
      <c r="G253" s="454" t="n"/>
      <c r="H253" s="454" t="n"/>
      <c r="I253" s="455" t="n"/>
      <c r="J253" s="456" t="n"/>
      <c r="K253" s="456" t="n"/>
      <c r="L253" s="457">
        <f>IF(B253="","",IF(OR(I253="",J253=""),"",I253*J253+IF(K253="",0,K253)))</f>
        <v/>
      </c>
      <c r="M253" s="456" t="n"/>
      <c r="N253" s="457">
        <f>IF(L253="","",MAX(0,L253-IF(M253="",0,M253)))</f>
        <v/>
      </c>
      <c r="O253" s="455" t="n"/>
      <c r="P253" s="457">
        <f>IF(OR(N253="",O253&lt;=0),"",ROUND(N253/O253,0))</f>
        <v/>
      </c>
      <c r="Q253" s="458">
        <f>IF(OR(H253="",O253&lt;=0),"",EOMONTH(H253,O253-1))</f>
        <v/>
      </c>
      <c r="R253" s="331" t="n"/>
      <c r="S253" s="331" t="n"/>
      <c r="T253" s="331" t="n"/>
      <c r="U253" s="456" t="n"/>
      <c r="V253" s="457">
        <f>IF($AO253&lt;&gt;"OK",0,IF(AND(DATE('Thiết lập'!$B$4,1,1)&gt;=DATE(YEAR($H253),MONTH($H253),1),DATE('Thiết lập'!$B$4,1,1)&lt;EDATE(DATE(YEAR($H253),MONTH($H253),1),$O253)),MIN($P253,MAX(0,$N253-$U253-0)),0))</f>
        <v/>
      </c>
      <c r="W253" s="457">
        <f>IF($AO253&lt;&gt;"OK",0,IF(AND(DATE('Thiết lập'!$B$4,2,1)&gt;=DATE(YEAR($H253),MONTH($H253),1),DATE('Thiết lập'!$B$4,2,1)&lt;EDATE(DATE(YEAR($H253),MONTH($H253),1),$O253)),MIN($P253,MAX(0,$N253-$U253-SUM($V253:V253))),0))</f>
        <v/>
      </c>
      <c r="X253" s="457">
        <f>IF($AO253&lt;&gt;"OK",0,IF(AND(DATE('Thiết lập'!$B$4,3,1)&gt;=DATE(YEAR($H253),MONTH($H253),1),DATE('Thiết lập'!$B$4,3,1)&lt;EDATE(DATE(YEAR($H253),MONTH($H253),1),$O253)),MIN($P253,MAX(0,$N253-$U253-SUM($V253:W253))),0))</f>
        <v/>
      </c>
      <c r="Y253" s="457">
        <f>IF($AO253&lt;&gt;"OK",0,IF(AND(DATE('Thiết lập'!$B$4,4,1)&gt;=DATE(YEAR($H253),MONTH($H253),1),DATE('Thiết lập'!$B$4,4,1)&lt;EDATE(DATE(YEAR($H253),MONTH($H253),1),$O253)),MIN($P253,MAX(0,$N253-$U253-SUM($V253:X253))),0))</f>
        <v/>
      </c>
      <c r="Z253" s="457">
        <f>IF($AO253&lt;&gt;"OK",0,IF(AND(DATE('Thiết lập'!$B$4,5,1)&gt;=DATE(YEAR($H253),MONTH($H253),1),DATE('Thiết lập'!$B$4,5,1)&lt;EDATE(DATE(YEAR($H253),MONTH($H253),1),$O253)),MIN($P253,MAX(0,$N253-$U253-SUM($V253:Y253))),0))</f>
        <v/>
      </c>
      <c r="AA253" s="457">
        <f>IF($AO253&lt;&gt;"OK",0,IF(AND(DATE('Thiết lập'!$B$4,6,1)&gt;=DATE(YEAR($H253),MONTH($H253),1),DATE('Thiết lập'!$B$4,6,1)&lt;EDATE(DATE(YEAR($H253),MONTH($H253),1),$O253)),MIN($P253,MAX(0,$N253-$U253-SUM($V253:Z253))),0))</f>
        <v/>
      </c>
      <c r="AB253" s="457">
        <f>IF($AO253&lt;&gt;"OK",0,IF(AND(DATE('Thiết lập'!$B$4,7,1)&gt;=DATE(YEAR($H253),MONTH($H253),1),DATE('Thiết lập'!$B$4,7,1)&lt;EDATE(DATE(YEAR($H253),MONTH($H253),1),$O253)),MIN($P253,MAX(0,$N253-$U253-SUM($V253:AA253))),0))</f>
        <v/>
      </c>
      <c r="AC253" s="457">
        <f>IF($AO253&lt;&gt;"OK",0,IF(AND(DATE('Thiết lập'!$B$4,8,1)&gt;=DATE(YEAR($H253),MONTH($H253),1),DATE('Thiết lập'!$B$4,8,1)&lt;EDATE(DATE(YEAR($H253),MONTH($H253),1),$O253)),MIN($P253,MAX(0,$N253-$U253-SUM($V253:AB253))),0))</f>
        <v/>
      </c>
      <c r="AD253" s="457">
        <f>IF($AO253&lt;&gt;"OK",0,IF(AND(DATE('Thiết lập'!$B$4,9,1)&gt;=DATE(YEAR($H253),MONTH($H253),1),DATE('Thiết lập'!$B$4,9,1)&lt;EDATE(DATE(YEAR($H253),MONTH($H253),1),$O253)),MIN($P253,MAX(0,$N253-$U253-SUM($V253:AC253))),0))</f>
        <v/>
      </c>
      <c r="AE253" s="457">
        <f>IF($AO253&lt;&gt;"OK",0,IF(AND(DATE('Thiết lập'!$B$4,10,1)&gt;=DATE(YEAR($H253),MONTH($H253),1),DATE('Thiết lập'!$B$4,10,1)&lt;EDATE(DATE(YEAR($H253),MONTH($H253),1),$O253)),MIN($P253,MAX(0,$N253-$U253-SUM($V253:AD253))),0))</f>
        <v/>
      </c>
      <c r="AF253" s="457">
        <f>IF($AO253&lt;&gt;"OK",0,IF(AND(DATE('Thiết lập'!$B$4,11,1)&gt;=DATE(YEAR($H253),MONTH($H253),1),DATE('Thiết lập'!$B$4,11,1)&lt;EDATE(DATE(YEAR($H253),MONTH($H253),1),$O253)),MIN($P253,MAX(0,$N253-$U253-SUM($V253:AE253))),0))</f>
        <v/>
      </c>
      <c r="AG253" s="457">
        <f>IF($AO253&lt;&gt;"OK",0,IF(AND(DATE('Thiết lập'!$B$4,12,1)&gt;=DATE(YEAR($H253),MONTH($H253),1),DATE('Thiết lập'!$B$4,12,1)&lt;EDATE(DATE(YEAR($H253),MONTH($H253),1),$O253)),MIN($P253,MAX(0,$N253-$U253-SUM($V253:AF253))),0))</f>
        <v/>
      </c>
      <c r="AH253" s="457">
        <f>IF(B253="","",SUM(V253:AG253))</f>
        <v/>
      </c>
      <c r="AI253" s="457">
        <f>IF(B253="","",MIN(N253,IF(U253="",0,U253)+AH253))</f>
        <v/>
      </c>
      <c r="AJ253" s="457">
        <f>IF(B253="","",MAX(0,L253-AI253))</f>
        <v/>
      </c>
      <c r="AK253" s="337">
        <f>IF(B253="","",IF(H253&gt;'Thiết lập'!$B$5,"Chưa khấu hao",IF(AJ253&lt;=IF(M253="",0,M253),"Đã hết khấu hao","Đang khấu hao")))</f>
        <v/>
      </c>
      <c r="AL253" s="275" t="n"/>
      <c r="AM253" s="275" t="n"/>
      <c r="AN253" s="275" t="n"/>
      <c r="AO253" s="343">
        <f>IF(B253="","",IF(COUNTIF($B$7:$B$306,B253)&gt;1,"Trùng mã TSCĐ",IF(C253="","Thiếu tên TSCĐ",IF(H253="","Thiếu ngày bắt đầu",IF(OR(I253&lt;=0,L253&lt;=0,O253&lt;=0),"Kiểm tra số lượng/nguyên giá/thời gian",IF(AND(G253&lt;&gt;"",H253&lt;G253),"Ngày KH trước ngày ghi tăng",IF(M253&gt;L253,"Giá trị thu hồi vượt nguyên giá",IF(IF(U253="",0,U253)&gt;N253,"Lũy kế đầu năm vượt GTKH","OK"))))))))</f>
        <v/>
      </c>
    </row>
    <row r="254" ht="20" customHeight="1" s="389">
      <c r="A254" s="325">
        <f>IF(B254="","",ROW()-6)</f>
        <v/>
      </c>
      <c r="B254" s="275" t="n"/>
      <c r="C254" s="275" t="n"/>
      <c r="D254" s="331" t="n"/>
      <c r="E254" s="331" t="n"/>
      <c r="F254" s="454" t="n"/>
      <c r="G254" s="454" t="n"/>
      <c r="H254" s="454" t="n"/>
      <c r="I254" s="455" t="n"/>
      <c r="J254" s="456" t="n"/>
      <c r="K254" s="456" t="n"/>
      <c r="L254" s="457">
        <f>IF(B254="","",IF(OR(I254="",J254=""),"",I254*J254+IF(K254="",0,K254)))</f>
        <v/>
      </c>
      <c r="M254" s="456" t="n"/>
      <c r="N254" s="457">
        <f>IF(L254="","",MAX(0,L254-IF(M254="",0,M254)))</f>
        <v/>
      </c>
      <c r="O254" s="455" t="n"/>
      <c r="P254" s="457">
        <f>IF(OR(N254="",O254&lt;=0),"",ROUND(N254/O254,0))</f>
        <v/>
      </c>
      <c r="Q254" s="458">
        <f>IF(OR(H254="",O254&lt;=0),"",EOMONTH(H254,O254-1))</f>
        <v/>
      </c>
      <c r="R254" s="331" t="n"/>
      <c r="S254" s="331" t="n"/>
      <c r="T254" s="331" t="n"/>
      <c r="U254" s="456" t="n"/>
      <c r="V254" s="457">
        <f>IF($AO254&lt;&gt;"OK",0,IF(AND(DATE('Thiết lập'!$B$4,1,1)&gt;=DATE(YEAR($H254),MONTH($H254),1),DATE('Thiết lập'!$B$4,1,1)&lt;EDATE(DATE(YEAR($H254),MONTH($H254),1),$O254)),MIN($P254,MAX(0,$N254-$U254-0)),0))</f>
        <v/>
      </c>
      <c r="W254" s="457">
        <f>IF($AO254&lt;&gt;"OK",0,IF(AND(DATE('Thiết lập'!$B$4,2,1)&gt;=DATE(YEAR($H254),MONTH($H254),1),DATE('Thiết lập'!$B$4,2,1)&lt;EDATE(DATE(YEAR($H254),MONTH($H254),1),$O254)),MIN($P254,MAX(0,$N254-$U254-SUM($V254:V254))),0))</f>
        <v/>
      </c>
      <c r="X254" s="457">
        <f>IF($AO254&lt;&gt;"OK",0,IF(AND(DATE('Thiết lập'!$B$4,3,1)&gt;=DATE(YEAR($H254),MONTH($H254),1),DATE('Thiết lập'!$B$4,3,1)&lt;EDATE(DATE(YEAR($H254),MONTH($H254),1),$O254)),MIN($P254,MAX(0,$N254-$U254-SUM($V254:W254))),0))</f>
        <v/>
      </c>
      <c r="Y254" s="457">
        <f>IF($AO254&lt;&gt;"OK",0,IF(AND(DATE('Thiết lập'!$B$4,4,1)&gt;=DATE(YEAR($H254),MONTH($H254),1),DATE('Thiết lập'!$B$4,4,1)&lt;EDATE(DATE(YEAR($H254),MONTH($H254),1),$O254)),MIN($P254,MAX(0,$N254-$U254-SUM($V254:X254))),0))</f>
        <v/>
      </c>
      <c r="Z254" s="457">
        <f>IF($AO254&lt;&gt;"OK",0,IF(AND(DATE('Thiết lập'!$B$4,5,1)&gt;=DATE(YEAR($H254),MONTH($H254),1),DATE('Thiết lập'!$B$4,5,1)&lt;EDATE(DATE(YEAR($H254),MONTH($H254),1),$O254)),MIN($P254,MAX(0,$N254-$U254-SUM($V254:Y254))),0))</f>
        <v/>
      </c>
      <c r="AA254" s="457">
        <f>IF($AO254&lt;&gt;"OK",0,IF(AND(DATE('Thiết lập'!$B$4,6,1)&gt;=DATE(YEAR($H254),MONTH($H254),1),DATE('Thiết lập'!$B$4,6,1)&lt;EDATE(DATE(YEAR($H254),MONTH($H254),1),$O254)),MIN($P254,MAX(0,$N254-$U254-SUM($V254:Z254))),0))</f>
        <v/>
      </c>
      <c r="AB254" s="457">
        <f>IF($AO254&lt;&gt;"OK",0,IF(AND(DATE('Thiết lập'!$B$4,7,1)&gt;=DATE(YEAR($H254),MONTH($H254),1),DATE('Thiết lập'!$B$4,7,1)&lt;EDATE(DATE(YEAR($H254),MONTH($H254),1),$O254)),MIN($P254,MAX(0,$N254-$U254-SUM($V254:AA254))),0))</f>
        <v/>
      </c>
      <c r="AC254" s="457">
        <f>IF($AO254&lt;&gt;"OK",0,IF(AND(DATE('Thiết lập'!$B$4,8,1)&gt;=DATE(YEAR($H254),MONTH($H254),1),DATE('Thiết lập'!$B$4,8,1)&lt;EDATE(DATE(YEAR($H254),MONTH($H254),1),$O254)),MIN($P254,MAX(0,$N254-$U254-SUM($V254:AB254))),0))</f>
        <v/>
      </c>
      <c r="AD254" s="457">
        <f>IF($AO254&lt;&gt;"OK",0,IF(AND(DATE('Thiết lập'!$B$4,9,1)&gt;=DATE(YEAR($H254),MONTH($H254),1),DATE('Thiết lập'!$B$4,9,1)&lt;EDATE(DATE(YEAR($H254),MONTH($H254),1),$O254)),MIN($P254,MAX(0,$N254-$U254-SUM($V254:AC254))),0))</f>
        <v/>
      </c>
      <c r="AE254" s="457">
        <f>IF($AO254&lt;&gt;"OK",0,IF(AND(DATE('Thiết lập'!$B$4,10,1)&gt;=DATE(YEAR($H254),MONTH($H254),1),DATE('Thiết lập'!$B$4,10,1)&lt;EDATE(DATE(YEAR($H254),MONTH($H254),1),$O254)),MIN($P254,MAX(0,$N254-$U254-SUM($V254:AD254))),0))</f>
        <v/>
      </c>
      <c r="AF254" s="457">
        <f>IF($AO254&lt;&gt;"OK",0,IF(AND(DATE('Thiết lập'!$B$4,11,1)&gt;=DATE(YEAR($H254),MONTH($H254),1),DATE('Thiết lập'!$B$4,11,1)&lt;EDATE(DATE(YEAR($H254),MONTH($H254),1),$O254)),MIN($P254,MAX(0,$N254-$U254-SUM($V254:AE254))),0))</f>
        <v/>
      </c>
      <c r="AG254" s="457">
        <f>IF($AO254&lt;&gt;"OK",0,IF(AND(DATE('Thiết lập'!$B$4,12,1)&gt;=DATE(YEAR($H254),MONTH($H254),1),DATE('Thiết lập'!$B$4,12,1)&lt;EDATE(DATE(YEAR($H254),MONTH($H254),1),$O254)),MIN($P254,MAX(0,$N254-$U254-SUM($V254:AF254))),0))</f>
        <v/>
      </c>
      <c r="AH254" s="457">
        <f>IF(B254="","",SUM(V254:AG254))</f>
        <v/>
      </c>
      <c r="AI254" s="457">
        <f>IF(B254="","",MIN(N254,IF(U254="",0,U254)+AH254))</f>
        <v/>
      </c>
      <c r="AJ254" s="457">
        <f>IF(B254="","",MAX(0,L254-AI254))</f>
        <v/>
      </c>
      <c r="AK254" s="337">
        <f>IF(B254="","",IF(H254&gt;'Thiết lập'!$B$5,"Chưa khấu hao",IF(AJ254&lt;=IF(M254="",0,M254),"Đã hết khấu hao","Đang khấu hao")))</f>
        <v/>
      </c>
      <c r="AL254" s="275" t="n"/>
      <c r="AM254" s="275" t="n"/>
      <c r="AN254" s="275" t="n"/>
      <c r="AO254" s="343">
        <f>IF(B254="","",IF(COUNTIF($B$7:$B$306,B254)&gt;1,"Trùng mã TSCĐ",IF(C254="","Thiếu tên TSCĐ",IF(H254="","Thiếu ngày bắt đầu",IF(OR(I254&lt;=0,L254&lt;=0,O254&lt;=0),"Kiểm tra số lượng/nguyên giá/thời gian",IF(AND(G254&lt;&gt;"",H254&lt;G254),"Ngày KH trước ngày ghi tăng",IF(M254&gt;L254,"Giá trị thu hồi vượt nguyên giá",IF(IF(U254="",0,U254)&gt;N254,"Lũy kế đầu năm vượt GTKH","OK"))))))))</f>
        <v/>
      </c>
    </row>
    <row r="255" ht="20" customHeight="1" s="389">
      <c r="A255" s="325">
        <f>IF(B255="","",ROW()-6)</f>
        <v/>
      </c>
      <c r="B255" s="275" t="n"/>
      <c r="C255" s="275" t="n"/>
      <c r="D255" s="331" t="n"/>
      <c r="E255" s="331" t="n"/>
      <c r="F255" s="454" t="n"/>
      <c r="G255" s="454" t="n"/>
      <c r="H255" s="454" t="n"/>
      <c r="I255" s="455" t="n"/>
      <c r="J255" s="456" t="n"/>
      <c r="K255" s="456" t="n"/>
      <c r="L255" s="457">
        <f>IF(B255="","",IF(OR(I255="",J255=""),"",I255*J255+IF(K255="",0,K255)))</f>
        <v/>
      </c>
      <c r="M255" s="456" t="n"/>
      <c r="N255" s="457">
        <f>IF(L255="","",MAX(0,L255-IF(M255="",0,M255)))</f>
        <v/>
      </c>
      <c r="O255" s="455" t="n"/>
      <c r="P255" s="457">
        <f>IF(OR(N255="",O255&lt;=0),"",ROUND(N255/O255,0))</f>
        <v/>
      </c>
      <c r="Q255" s="458">
        <f>IF(OR(H255="",O255&lt;=0),"",EOMONTH(H255,O255-1))</f>
        <v/>
      </c>
      <c r="R255" s="331" t="n"/>
      <c r="S255" s="331" t="n"/>
      <c r="T255" s="331" t="n"/>
      <c r="U255" s="456" t="n"/>
      <c r="V255" s="457">
        <f>IF($AO255&lt;&gt;"OK",0,IF(AND(DATE('Thiết lập'!$B$4,1,1)&gt;=DATE(YEAR($H255),MONTH($H255),1),DATE('Thiết lập'!$B$4,1,1)&lt;EDATE(DATE(YEAR($H255),MONTH($H255),1),$O255)),MIN($P255,MAX(0,$N255-$U255-0)),0))</f>
        <v/>
      </c>
      <c r="W255" s="457">
        <f>IF($AO255&lt;&gt;"OK",0,IF(AND(DATE('Thiết lập'!$B$4,2,1)&gt;=DATE(YEAR($H255),MONTH($H255),1),DATE('Thiết lập'!$B$4,2,1)&lt;EDATE(DATE(YEAR($H255),MONTH($H255),1),$O255)),MIN($P255,MAX(0,$N255-$U255-SUM($V255:V255))),0))</f>
        <v/>
      </c>
      <c r="X255" s="457">
        <f>IF($AO255&lt;&gt;"OK",0,IF(AND(DATE('Thiết lập'!$B$4,3,1)&gt;=DATE(YEAR($H255),MONTH($H255),1),DATE('Thiết lập'!$B$4,3,1)&lt;EDATE(DATE(YEAR($H255),MONTH($H255),1),$O255)),MIN($P255,MAX(0,$N255-$U255-SUM($V255:W255))),0))</f>
        <v/>
      </c>
      <c r="Y255" s="457">
        <f>IF($AO255&lt;&gt;"OK",0,IF(AND(DATE('Thiết lập'!$B$4,4,1)&gt;=DATE(YEAR($H255),MONTH($H255),1),DATE('Thiết lập'!$B$4,4,1)&lt;EDATE(DATE(YEAR($H255),MONTH($H255),1),$O255)),MIN($P255,MAX(0,$N255-$U255-SUM($V255:X255))),0))</f>
        <v/>
      </c>
      <c r="Z255" s="457">
        <f>IF($AO255&lt;&gt;"OK",0,IF(AND(DATE('Thiết lập'!$B$4,5,1)&gt;=DATE(YEAR($H255),MONTH($H255),1),DATE('Thiết lập'!$B$4,5,1)&lt;EDATE(DATE(YEAR($H255),MONTH($H255),1),$O255)),MIN($P255,MAX(0,$N255-$U255-SUM($V255:Y255))),0))</f>
        <v/>
      </c>
      <c r="AA255" s="457">
        <f>IF($AO255&lt;&gt;"OK",0,IF(AND(DATE('Thiết lập'!$B$4,6,1)&gt;=DATE(YEAR($H255),MONTH($H255),1),DATE('Thiết lập'!$B$4,6,1)&lt;EDATE(DATE(YEAR($H255),MONTH($H255),1),$O255)),MIN($P255,MAX(0,$N255-$U255-SUM($V255:Z255))),0))</f>
        <v/>
      </c>
      <c r="AB255" s="457">
        <f>IF($AO255&lt;&gt;"OK",0,IF(AND(DATE('Thiết lập'!$B$4,7,1)&gt;=DATE(YEAR($H255),MONTH($H255),1),DATE('Thiết lập'!$B$4,7,1)&lt;EDATE(DATE(YEAR($H255),MONTH($H255),1),$O255)),MIN($P255,MAX(0,$N255-$U255-SUM($V255:AA255))),0))</f>
        <v/>
      </c>
      <c r="AC255" s="457">
        <f>IF($AO255&lt;&gt;"OK",0,IF(AND(DATE('Thiết lập'!$B$4,8,1)&gt;=DATE(YEAR($H255),MONTH($H255),1),DATE('Thiết lập'!$B$4,8,1)&lt;EDATE(DATE(YEAR($H255),MONTH($H255),1),$O255)),MIN($P255,MAX(0,$N255-$U255-SUM($V255:AB255))),0))</f>
        <v/>
      </c>
      <c r="AD255" s="457">
        <f>IF($AO255&lt;&gt;"OK",0,IF(AND(DATE('Thiết lập'!$B$4,9,1)&gt;=DATE(YEAR($H255),MONTH($H255),1),DATE('Thiết lập'!$B$4,9,1)&lt;EDATE(DATE(YEAR($H255),MONTH($H255),1),$O255)),MIN($P255,MAX(0,$N255-$U255-SUM($V255:AC255))),0))</f>
        <v/>
      </c>
      <c r="AE255" s="457">
        <f>IF($AO255&lt;&gt;"OK",0,IF(AND(DATE('Thiết lập'!$B$4,10,1)&gt;=DATE(YEAR($H255),MONTH($H255),1),DATE('Thiết lập'!$B$4,10,1)&lt;EDATE(DATE(YEAR($H255),MONTH($H255),1),$O255)),MIN($P255,MAX(0,$N255-$U255-SUM($V255:AD255))),0))</f>
        <v/>
      </c>
      <c r="AF255" s="457">
        <f>IF($AO255&lt;&gt;"OK",0,IF(AND(DATE('Thiết lập'!$B$4,11,1)&gt;=DATE(YEAR($H255),MONTH($H255),1),DATE('Thiết lập'!$B$4,11,1)&lt;EDATE(DATE(YEAR($H255),MONTH($H255),1),$O255)),MIN($P255,MAX(0,$N255-$U255-SUM($V255:AE255))),0))</f>
        <v/>
      </c>
      <c r="AG255" s="457">
        <f>IF($AO255&lt;&gt;"OK",0,IF(AND(DATE('Thiết lập'!$B$4,12,1)&gt;=DATE(YEAR($H255),MONTH($H255),1),DATE('Thiết lập'!$B$4,12,1)&lt;EDATE(DATE(YEAR($H255),MONTH($H255),1),$O255)),MIN($P255,MAX(0,$N255-$U255-SUM($V255:AF255))),0))</f>
        <v/>
      </c>
      <c r="AH255" s="457">
        <f>IF(B255="","",SUM(V255:AG255))</f>
        <v/>
      </c>
      <c r="AI255" s="457">
        <f>IF(B255="","",MIN(N255,IF(U255="",0,U255)+AH255))</f>
        <v/>
      </c>
      <c r="AJ255" s="457">
        <f>IF(B255="","",MAX(0,L255-AI255))</f>
        <v/>
      </c>
      <c r="AK255" s="337">
        <f>IF(B255="","",IF(H255&gt;'Thiết lập'!$B$5,"Chưa khấu hao",IF(AJ255&lt;=IF(M255="",0,M255),"Đã hết khấu hao","Đang khấu hao")))</f>
        <v/>
      </c>
      <c r="AL255" s="275" t="n"/>
      <c r="AM255" s="275" t="n"/>
      <c r="AN255" s="275" t="n"/>
      <c r="AO255" s="343">
        <f>IF(B255="","",IF(COUNTIF($B$7:$B$306,B255)&gt;1,"Trùng mã TSCĐ",IF(C255="","Thiếu tên TSCĐ",IF(H255="","Thiếu ngày bắt đầu",IF(OR(I255&lt;=0,L255&lt;=0,O255&lt;=0),"Kiểm tra số lượng/nguyên giá/thời gian",IF(AND(G255&lt;&gt;"",H255&lt;G255),"Ngày KH trước ngày ghi tăng",IF(M255&gt;L255,"Giá trị thu hồi vượt nguyên giá",IF(IF(U255="",0,U255)&gt;N255,"Lũy kế đầu năm vượt GTKH","OK"))))))))</f>
        <v/>
      </c>
    </row>
    <row r="256" ht="20" customHeight="1" s="389">
      <c r="A256" s="325">
        <f>IF(B256="","",ROW()-6)</f>
        <v/>
      </c>
      <c r="B256" s="275" t="n"/>
      <c r="C256" s="275" t="n"/>
      <c r="D256" s="331" t="n"/>
      <c r="E256" s="331" t="n"/>
      <c r="F256" s="454" t="n"/>
      <c r="G256" s="454" t="n"/>
      <c r="H256" s="454" t="n"/>
      <c r="I256" s="455" t="n"/>
      <c r="J256" s="456" t="n"/>
      <c r="K256" s="456" t="n"/>
      <c r="L256" s="457">
        <f>IF(B256="","",IF(OR(I256="",J256=""),"",I256*J256+IF(K256="",0,K256)))</f>
        <v/>
      </c>
      <c r="M256" s="456" t="n"/>
      <c r="N256" s="457">
        <f>IF(L256="","",MAX(0,L256-IF(M256="",0,M256)))</f>
        <v/>
      </c>
      <c r="O256" s="455" t="n"/>
      <c r="P256" s="457">
        <f>IF(OR(N256="",O256&lt;=0),"",ROUND(N256/O256,0))</f>
        <v/>
      </c>
      <c r="Q256" s="458">
        <f>IF(OR(H256="",O256&lt;=0),"",EOMONTH(H256,O256-1))</f>
        <v/>
      </c>
      <c r="R256" s="331" t="n"/>
      <c r="S256" s="331" t="n"/>
      <c r="T256" s="331" t="n"/>
      <c r="U256" s="456" t="n"/>
      <c r="V256" s="457">
        <f>IF($AO256&lt;&gt;"OK",0,IF(AND(DATE('Thiết lập'!$B$4,1,1)&gt;=DATE(YEAR($H256),MONTH($H256),1),DATE('Thiết lập'!$B$4,1,1)&lt;EDATE(DATE(YEAR($H256),MONTH($H256),1),$O256)),MIN($P256,MAX(0,$N256-$U256-0)),0))</f>
        <v/>
      </c>
      <c r="W256" s="457">
        <f>IF($AO256&lt;&gt;"OK",0,IF(AND(DATE('Thiết lập'!$B$4,2,1)&gt;=DATE(YEAR($H256),MONTH($H256),1),DATE('Thiết lập'!$B$4,2,1)&lt;EDATE(DATE(YEAR($H256),MONTH($H256),1),$O256)),MIN($P256,MAX(0,$N256-$U256-SUM($V256:V256))),0))</f>
        <v/>
      </c>
      <c r="X256" s="457">
        <f>IF($AO256&lt;&gt;"OK",0,IF(AND(DATE('Thiết lập'!$B$4,3,1)&gt;=DATE(YEAR($H256),MONTH($H256),1),DATE('Thiết lập'!$B$4,3,1)&lt;EDATE(DATE(YEAR($H256),MONTH($H256),1),$O256)),MIN($P256,MAX(0,$N256-$U256-SUM($V256:W256))),0))</f>
        <v/>
      </c>
      <c r="Y256" s="457">
        <f>IF($AO256&lt;&gt;"OK",0,IF(AND(DATE('Thiết lập'!$B$4,4,1)&gt;=DATE(YEAR($H256),MONTH($H256),1),DATE('Thiết lập'!$B$4,4,1)&lt;EDATE(DATE(YEAR($H256),MONTH($H256),1),$O256)),MIN($P256,MAX(0,$N256-$U256-SUM($V256:X256))),0))</f>
        <v/>
      </c>
      <c r="Z256" s="457">
        <f>IF($AO256&lt;&gt;"OK",0,IF(AND(DATE('Thiết lập'!$B$4,5,1)&gt;=DATE(YEAR($H256),MONTH($H256),1),DATE('Thiết lập'!$B$4,5,1)&lt;EDATE(DATE(YEAR($H256),MONTH($H256),1),$O256)),MIN($P256,MAX(0,$N256-$U256-SUM($V256:Y256))),0))</f>
        <v/>
      </c>
      <c r="AA256" s="457">
        <f>IF($AO256&lt;&gt;"OK",0,IF(AND(DATE('Thiết lập'!$B$4,6,1)&gt;=DATE(YEAR($H256),MONTH($H256),1),DATE('Thiết lập'!$B$4,6,1)&lt;EDATE(DATE(YEAR($H256),MONTH($H256),1),$O256)),MIN($P256,MAX(0,$N256-$U256-SUM($V256:Z256))),0))</f>
        <v/>
      </c>
      <c r="AB256" s="457">
        <f>IF($AO256&lt;&gt;"OK",0,IF(AND(DATE('Thiết lập'!$B$4,7,1)&gt;=DATE(YEAR($H256),MONTH($H256),1),DATE('Thiết lập'!$B$4,7,1)&lt;EDATE(DATE(YEAR($H256),MONTH($H256),1),$O256)),MIN($P256,MAX(0,$N256-$U256-SUM($V256:AA256))),0))</f>
        <v/>
      </c>
      <c r="AC256" s="457">
        <f>IF($AO256&lt;&gt;"OK",0,IF(AND(DATE('Thiết lập'!$B$4,8,1)&gt;=DATE(YEAR($H256),MONTH($H256),1),DATE('Thiết lập'!$B$4,8,1)&lt;EDATE(DATE(YEAR($H256),MONTH($H256),1),$O256)),MIN($P256,MAX(0,$N256-$U256-SUM($V256:AB256))),0))</f>
        <v/>
      </c>
      <c r="AD256" s="457">
        <f>IF($AO256&lt;&gt;"OK",0,IF(AND(DATE('Thiết lập'!$B$4,9,1)&gt;=DATE(YEAR($H256),MONTH($H256),1),DATE('Thiết lập'!$B$4,9,1)&lt;EDATE(DATE(YEAR($H256),MONTH($H256),1),$O256)),MIN($P256,MAX(0,$N256-$U256-SUM($V256:AC256))),0))</f>
        <v/>
      </c>
      <c r="AE256" s="457">
        <f>IF($AO256&lt;&gt;"OK",0,IF(AND(DATE('Thiết lập'!$B$4,10,1)&gt;=DATE(YEAR($H256),MONTH($H256),1),DATE('Thiết lập'!$B$4,10,1)&lt;EDATE(DATE(YEAR($H256),MONTH($H256),1),$O256)),MIN($P256,MAX(0,$N256-$U256-SUM($V256:AD256))),0))</f>
        <v/>
      </c>
      <c r="AF256" s="457">
        <f>IF($AO256&lt;&gt;"OK",0,IF(AND(DATE('Thiết lập'!$B$4,11,1)&gt;=DATE(YEAR($H256),MONTH($H256),1),DATE('Thiết lập'!$B$4,11,1)&lt;EDATE(DATE(YEAR($H256),MONTH($H256),1),$O256)),MIN($P256,MAX(0,$N256-$U256-SUM($V256:AE256))),0))</f>
        <v/>
      </c>
      <c r="AG256" s="457">
        <f>IF($AO256&lt;&gt;"OK",0,IF(AND(DATE('Thiết lập'!$B$4,12,1)&gt;=DATE(YEAR($H256),MONTH($H256),1),DATE('Thiết lập'!$B$4,12,1)&lt;EDATE(DATE(YEAR($H256),MONTH($H256),1),$O256)),MIN($P256,MAX(0,$N256-$U256-SUM($V256:AF256))),0))</f>
        <v/>
      </c>
      <c r="AH256" s="457">
        <f>IF(B256="","",SUM(V256:AG256))</f>
        <v/>
      </c>
      <c r="AI256" s="457">
        <f>IF(B256="","",MIN(N256,IF(U256="",0,U256)+AH256))</f>
        <v/>
      </c>
      <c r="AJ256" s="457">
        <f>IF(B256="","",MAX(0,L256-AI256))</f>
        <v/>
      </c>
      <c r="AK256" s="337">
        <f>IF(B256="","",IF(H256&gt;'Thiết lập'!$B$5,"Chưa khấu hao",IF(AJ256&lt;=IF(M256="",0,M256),"Đã hết khấu hao","Đang khấu hao")))</f>
        <v/>
      </c>
      <c r="AL256" s="275" t="n"/>
      <c r="AM256" s="275" t="n"/>
      <c r="AN256" s="275" t="n"/>
      <c r="AO256" s="343">
        <f>IF(B256="","",IF(COUNTIF($B$7:$B$306,B256)&gt;1,"Trùng mã TSCĐ",IF(C256="","Thiếu tên TSCĐ",IF(H256="","Thiếu ngày bắt đầu",IF(OR(I256&lt;=0,L256&lt;=0,O256&lt;=0),"Kiểm tra số lượng/nguyên giá/thời gian",IF(AND(G256&lt;&gt;"",H256&lt;G256),"Ngày KH trước ngày ghi tăng",IF(M256&gt;L256,"Giá trị thu hồi vượt nguyên giá",IF(IF(U256="",0,U256)&gt;N256,"Lũy kế đầu năm vượt GTKH","OK"))))))))</f>
        <v/>
      </c>
    </row>
    <row r="257" ht="20" customHeight="1" s="389">
      <c r="A257" s="325">
        <f>IF(B257="","",ROW()-6)</f>
        <v/>
      </c>
      <c r="B257" s="275" t="n"/>
      <c r="C257" s="275" t="n"/>
      <c r="D257" s="331" t="n"/>
      <c r="E257" s="331" t="n"/>
      <c r="F257" s="454" t="n"/>
      <c r="G257" s="454" t="n"/>
      <c r="H257" s="454" t="n"/>
      <c r="I257" s="455" t="n"/>
      <c r="J257" s="456" t="n"/>
      <c r="K257" s="456" t="n"/>
      <c r="L257" s="457">
        <f>IF(B257="","",IF(OR(I257="",J257=""),"",I257*J257+IF(K257="",0,K257)))</f>
        <v/>
      </c>
      <c r="M257" s="456" t="n"/>
      <c r="N257" s="457">
        <f>IF(L257="","",MAX(0,L257-IF(M257="",0,M257)))</f>
        <v/>
      </c>
      <c r="O257" s="455" t="n"/>
      <c r="P257" s="457">
        <f>IF(OR(N257="",O257&lt;=0),"",ROUND(N257/O257,0))</f>
        <v/>
      </c>
      <c r="Q257" s="458">
        <f>IF(OR(H257="",O257&lt;=0),"",EOMONTH(H257,O257-1))</f>
        <v/>
      </c>
      <c r="R257" s="331" t="n"/>
      <c r="S257" s="331" t="n"/>
      <c r="T257" s="331" t="n"/>
      <c r="U257" s="456" t="n"/>
      <c r="V257" s="457">
        <f>IF($AO257&lt;&gt;"OK",0,IF(AND(DATE('Thiết lập'!$B$4,1,1)&gt;=DATE(YEAR($H257),MONTH($H257),1),DATE('Thiết lập'!$B$4,1,1)&lt;EDATE(DATE(YEAR($H257),MONTH($H257),1),$O257)),MIN($P257,MAX(0,$N257-$U257-0)),0))</f>
        <v/>
      </c>
      <c r="W257" s="457">
        <f>IF($AO257&lt;&gt;"OK",0,IF(AND(DATE('Thiết lập'!$B$4,2,1)&gt;=DATE(YEAR($H257),MONTH($H257),1),DATE('Thiết lập'!$B$4,2,1)&lt;EDATE(DATE(YEAR($H257),MONTH($H257),1),$O257)),MIN($P257,MAX(0,$N257-$U257-SUM($V257:V257))),0))</f>
        <v/>
      </c>
      <c r="X257" s="457">
        <f>IF($AO257&lt;&gt;"OK",0,IF(AND(DATE('Thiết lập'!$B$4,3,1)&gt;=DATE(YEAR($H257),MONTH($H257),1),DATE('Thiết lập'!$B$4,3,1)&lt;EDATE(DATE(YEAR($H257),MONTH($H257),1),$O257)),MIN($P257,MAX(0,$N257-$U257-SUM($V257:W257))),0))</f>
        <v/>
      </c>
      <c r="Y257" s="457">
        <f>IF($AO257&lt;&gt;"OK",0,IF(AND(DATE('Thiết lập'!$B$4,4,1)&gt;=DATE(YEAR($H257),MONTH($H257),1),DATE('Thiết lập'!$B$4,4,1)&lt;EDATE(DATE(YEAR($H257),MONTH($H257),1),$O257)),MIN($P257,MAX(0,$N257-$U257-SUM($V257:X257))),0))</f>
        <v/>
      </c>
      <c r="Z257" s="457">
        <f>IF($AO257&lt;&gt;"OK",0,IF(AND(DATE('Thiết lập'!$B$4,5,1)&gt;=DATE(YEAR($H257),MONTH($H257),1),DATE('Thiết lập'!$B$4,5,1)&lt;EDATE(DATE(YEAR($H257),MONTH($H257),1),$O257)),MIN($P257,MAX(0,$N257-$U257-SUM($V257:Y257))),0))</f>
        <v/>
      </c>
      <c r="AA257" s="457">
        <f>IF($AO257&lt;&gt;"OK",0,IF(AND(DATE('Thiết lập'!$B$4,6,1)&gt;=DATE(YEAR($H257),MONTH($H257),1),DATE('Thiết lập'!$B$4,6,1)&lt;EDATE(DATE(YEAR($H257),MONTH($H257),1),$O257)),MIN($P257,MAX(0,$N257-$U257-SUM($V257:Z257))),0))</f>
        <v/>
      </c>
      <c r="AB257" s="457">
        <f>IF($AO257&lt;&gt;"OK",0,IF(AND(DATE('Thiết lập'!$B$4,7,1)&gt;=DATE(YEAR($H257),MONTH($H257),1),DATE('Thiết lập'!$B$4,7,1)&lt;EDATE(DATE(YEAR($H257),MONTH($H257),1),$O257)),MIN($P257,MAX(0,$N257-$U257-SUM($V257:AA257))),0))</f>
        <v/>
      </c>
      <c r="AC257" s="457">
        <f>IF($AO257&lt;&gt;"OK",0,IF(AND(DATE('Thiết lập'!$B$4,8,1)&gt;=DATE(YEAR($H257),MONTH($H257),1),DATE('Thiết lập'!$B$4,8,1)&lt;EDATE(DATE(YEAR($H257),MONTH($H257),1),$O257)),MIN($P257,MAX(0,$N257-$U257-SUM($V257:AB257))),0))</f>
        <v/>
      </c>
      <c r="AD257" s="457">
        <f>IF($AO257&lt;&gt;"OK",0,IF(AND(DATE('Thiết lập'!$B$4,9,1)&gt;=DATE(YEAR($H257),MONTH($H257),1),DATE('Thiết lập'!$B$4,9,1)&lt;EDATE(DATE(YEAR($H257),MONTH($H257),1),$O257)),MIN($P257,MAX(0,$N257-$U257-SUM($V257:AC257))),0))</f>
        <v/>
      </c>
      <c r="AE257" s="457">
        <f>IF($AO257&lt;&gt;"OK",0,IF(AND(DATE('Thiết lập'!$B$4,10,1)&gt;=DATE(YEAR($H257),MONTH($H257),1),DATE('Thiết lập'!$B$4,10,1)&lt;EDATE(DATE(YEAR($H257),MONTH($H257),1),$O257)),MIN($P257,MAX(0,$N257-$U257-SUM($V257:AD257))),0))</f>
        <v/>
      </c>
      <c r="AF257" s="457">
        <f>IF($AO257&lt;&gt;"OK",0,IF(AND(DATE('Thiết lập'!$B$4,11,1)&gt;=DATE(YEAR($H257),MONTH($H257),1),DATE('Thiết lập'!$B$4,11,1)&lt;EDATE(DATE(YEAR($H257),MONTH($H257),1),$O257)),MIN($P257,MAX(0,$N257-$U257-SUM($V257:AE257))),0))</f>
        <v/>
      </c>
      <c r="AG257" s="457">
        <f>IF($AO257&lt;&gt;"OK",0,IF(AND(DATE('Thiết lập'!$B$4,12,1)&gt;=DATE(YEAR($H257),MONTH($H257),1),DATE('Thiết lập'!$B$4,12,1)&lt;EDATE(DATE(YEAR($H257),MONTH($H257),1),$O257)),MIN($P257,MAX(0,$N257-$U257-SUM($V257:AF257))),0))</f>
        <v/>
      </c>
      <c r="AH257" s="457">
        <f>IF(B257="","",SUM(V257:AG257))</f>
        <v/>
      </c>
      <c r="AI257" s="457">
        <f>IF(B257="","",MIN(N257,IF(U257="",0,U257)+AH257))</f>
        <v/>
      </c>
      <c r="AJ257" s="457">
        <f>IF(B257="","",MAX(0,L257-AI257))</f>
        <v/>
      </c>
      <c r="AK257" s="337">
        <f>IF(B257="","",IF(H257&gt;'Thiết lập'!$B$5,"Chưa khấu hao",IF(AJ257&lt;=IF(M257="",0,M257),"Đã hết khấu hao","Đang khấu hao")))</f>
        <v/>
      </c>
      <c r="AL257" s="275" t="n"/>
      <c r="AM257" s="275" t="n"/>
      <c r="AN257" s="275" t="n"/>
      <c r="AO257" s="343">
        <f>IF(B257="","",IF(COUNTIF($B$7:$B$306,B257)&gt;1,"Trùng mã TSCĐ",IF(C257="","Thiếu tên TSCĐ",IF(H257="","Thiếu ngày bắt đầu",IF(OR(I257&lt;=0,L257&lt;=0,O257&lt;=0),"Kiểm tra số lượng/nguyên giá/thời gian",IF(AND(G257&lt;&gt;"",H257&lt;G257),"Ngày KH trước ngày ghi tăng",IF(M257&gt;L257,"Giá trị thu hồi vượt nguyên giá",IF(IF(U257="",0,U257)&gt;N257,"Lũy kế đầu năm vượt GTKH","OK"))))))))</f>
        <v/>
      </c>
    </row>
    <row r="258" ht="20" customHeight="1" s="389">
      <c r="A258" s="325">
        <f>IF(B258="","",ROW()-6)</f>
        <v/>
      </c>
      <c r="B258" s="275" t="n"/>
      <c r="C258" s="275" t="n"/>
      <c r="D258" s="331" t="n"/>
      <c r="E258" s="331" t="n"/>
      <c r="F258" s="454" t="n"/>
      <c r="G258" s="454" t="n"/>
      <c r="H258" s="454" t="n"/>
      <c r="I258" s="455" t="n"/>
      <c r="J258" s="456" t="n"/>
      <c r="K258" s="456" t="n"/>
      <c r="L258" s="457">
        <f>IF(B258="","",IF(OR(I258="",J258=""),"",I258*J258+IF(K258="",0,K258)))</f>
        <v/>
      </c>
      <c r="M258" s="456" t="n"/>
      <c r="N258" s="457">
        <f>IF(L258="","",MAX(0,L258-IF(M258="",0,M258)))</f>
        <v/>
      </c>
      <c r="O258" s="455" t="n"/>
      <c r="P258" s="457">
        <f>IF(OR(N258="",O258&lt;=0),"",ROUND(N258/O258,0))</f>
        <v/>
      </c>
      <c r="Q258" s="458">
        <f>IF(OR(H258="",O258&lt;=0),"",EOMONTH(H258,O258-1))</f>
        <v/>
      </c>
      <c r="R258" s="331" t="n"/>
      <c r="S258" s="331" t="n"/>
      <c r="T258" s="331" t="n"/>
      <c r="U258" s="456" t="n"/>
      <c r="V258" s="457">
        <f>IF($AO258&lt;&gt;"OK",0,IF(AND(DATE('Thiết lập'!$B$4,1,1)&gt;=DATE(YEAR($H258),MONTH($H258),1),DATE('Thiết lập'!$B$4,1,1)&lt;EDATE(DATE(YEAR($H258),MONTH($H258),1),$O258)),MIN($P258,MAX(0,$N258-$U258-0)),0))</f>
        <v/>
      </c>
      <c r="W258" s="457">
        <f>IF($AO258&lt;&gt;"OK",0,IF(AND(DATE('Thiết lập'!$B$4,2,1)&gt;=DATE(YEAR($H258),MONTH($H258),1),DATE('Thiết lập'!$B$4,2,1)&lt;EDATE(DATE(YEAR($H258),MONTH($H258),1),$O258)),MIN($P258,MAX(0,$N258-$U258-SUM($V258:V258))),0))</f>
        <v/>
      </c>
      <c r="X258" s="457">
        <f>IF($AO258&lt;&gt;"OK",0,IF(AND(DATE('Thiết lập'!$B$4,3,1)&gt;=DATE(YEAR($H258),MONTH($H258),1),DATE('Thiết lập'!$B$4,3,1)&lt;EDATE(DATE(YEAR($H258),MONTH($H258),1),$O258)),MIN($P258,MAX(0,$N258-$U258-SUM($V258:W258))),0))</f>
        <v/>
      </c>
      <c r="Y258" s="457">
        <f>IF($AO258&lt;&gt;"OK",0,IF(AND(DATE('Thiết lập'!$B$4,4,1)&gt;=DATE(YEAR($H258),MONTH($H258),1),DATE('Thiết lập'!$B$4,4,1)&lt;EDATE(DATE(YEAR($H258),MONTH($H258),1),$O258)),MIN($P258,MAX(0,$N258-$U258-SUM($V258:X258))),0))</f>
        <v/>
      </c>
      <c r="Z258" s="457">
        <f>IF($AO258&lt;&gt;"OK",0,IF(AND(DATE('Thiết lập'!$B$4,5,1)&gt;=DATE(YEAR($H258),MONTH($H258),1),DATE('Thiết lập'!$B$4,5,1)&lt;EDATE(DATE(YEAR($H258),MONTH($H258),1),$O258)),MIN($P258,MAX(0,$N258-$U258-SUM($V258:Y258))),0))</f>
        <v/>
      </c>
      <c r="AA258" s="457">
        <f>IF($AO258&lt;&gt;"OK",0,IF(AND(DATE('Thiết lập'!$B$4,6,1)&gt;=DATE(YEAR($H258),MONTH($H258),1),DATE('Thiết lập'!$B$4,6,1)&lt;EDATE(DATE(YEAR($H258),MONTH($H258),1),$O258)),MIN($P258,MAX(0,$N258-$U258-SUM($V258:Z258))),0))</f>
        <v/>
      </c>
      <c r="AB258" s="457">
        <f>IF($AO258&lt;&gt;"OK",0,IF(AND(DATE('Thiết lập'!$B$4,7,1)&gt;=DATE(YEAR($H258),MONTH($H258),1),DATE('Thiết lập'!$B$4,7,1)&lt;EDATE(DATE(YEAR($H258),MONTH($H258),1),$O258)),MIN($P258,MAX(0,$N258-$U258-SUM($V258:AA258))),0))</f>
        <v/>
      </c>
      <c r="AC258" s="457">
        <f>IF($AO258&lt;&gt;"OK",0,IF(AND(DATE('Thiết lập'!$B$4,8,1)&gt;=DATE(YEAR($H258),MONTH($H258),1),DATE('Thiết lập'!$B$4,8,1)&lt;EDATE(DATE(YEAR($H258),MONTH($H258),1),$O258)),MIN($P258,MAX(0,$N258-$U258-SUM($V258:AB258))),0))</f>
        <v/>
      </c>
      <c r="AD258" s="457">
        <f>IF($AO258&lt;&gt;"OK",0,IF(AND(DATE('Thiết lập'!$B$4,9,1)&gt;=DATE(YEAR($H258),MONTH($H258),1),DATE('Thiết lập'!$B$4,9,1)&lt;EDATE(DATE(YEAR($H258),MONTH($H258),1),$O258)),MIN($P258,MAX(0,$N258-$U258-SUM($V258:AC258))),0))</f>
        <v/>
      </c>
      <c r="AE258" s="457">
        <f>IF($AO258&lt;&gt;"OK",0,IF(AND(DATE('Thiết lập'!$B$4,10,1)&gt;=DATE(YEAR($H258),MONTH($H258),1),DATE('Thiết lập'!$B$4,10,1)&lt;EDATE(DATE(YEAR($H258),MONTH($H258),1),$O258)),MIN($P258,MAX(0,$N258-$U258-SUM($V258:AD258))),0))</f>
        <v/>
      </c>
      <c r="AF258" s="457">
        <f>IF($AO258&lt;&gt;"OK",0,IF(AND(DATE('Thiết lập'!$B$4,11,1)&gt;=DATE(YEAR($H258),MONTH($H258),1),DATE('Thiết lập'!$B$4,11,1)&lt;EDATE(DATE(YEAR($H258),MONTH($H258),1),$O258)),MIN($P258,MAX(0,$N258-$U258-SUM($V258:AE258))),0))</f>
        <v/>
      </c>
      <c r="AG258" s="457">
        <f>IF($AO258&lt;&gt;"OK",0,IF(AND(DATE('Thiết lập'!$B$4,12,1)&gt;=DATE(YEAR($H258),MONTH($H258),1),DATE('Thiết lập'!$B$4,12,1)&lt;EDATE(DATE(YEAR($H258),MONTH($H258),1),$O258)),MIN($P258,MAX(0,$N258-$U258-SUM($V258:AF258))),0))</f>
        <v/>
      </c>
      <c r="AH258" s="457">
        <f>IF(B258="","",SUM(V258:AG258))</f>
        <v/>
      </c>
      <c r="AI258" s="457">
        <f>IF(B258="","",MIN(N258,IF(U258="",0,U258)+AH258))</f>
        <v/>
      </c>
      <c r="AJ258" s="457">
        <f>IF(B258="","",MAX(0,L258-AI258))</f>
        <v/>
      </c>
      <c r="AK258" s="337">
        <f>IF(B258="","",IF(H258&gt;'Thiết lập'!$B$5,"Chưa khấu hao",IF(AJ258&lt;=IF(M258="",0,M258),"Đã hết khấu hao","Đang khấu hao")))</f>
        <v/>
      </c>
      <c r="AL258" s="275" t="n"/>
      <c r="AM258" s="275" t="n"/>
      <c r="AN258" s="275" t="n"/>
      <c r="AO258" s="343">
        <f>IF(B258="","",IF(COUNTIF($B$7:$B$306,B258)&gt;1,"Trùng mã TSCĐ",IF(C258="","Thiếu tên TSCĐ",IF(H258="","Thiếu ngày bắt đầu",IF(OR(I258&lt;=0,L258&lt;=0,O258&lt;=0),"Kiểm tra số lượng/nguyên giá/thời gian",IF(AND(G258&lt;&gt;"",H258&lt;G258),"Ngày KH trước ngày ghi tăng",IF(M258&gt;L258,"Giá trị thu hồi vượt nguyên giá",IF(IF(U258="",0,U258)&gt;N258,"Lũy kế đầu năm vượt GTKH","OK"))))))))</f>
        <v/>
      </c>
    </row>
    <row r="259" ht="20" customHeight="1" s="389">
      <c r="A259" s="325">
        <f>IF(B259="","",ROW()-6)</f>
        <v/>
      </c>
      <c r="B259" s="275" t="n"/>
      <c r="C259" s="275" t="n"/>
      <c r="D259" s="331" t="n"/>
      <c r="E259" s="331" t="n"/>
      <c r="F259" s="454" t="n"/>
      <c r="G259" s="454" t="n"/>
      <c r="H259" s="454" t="n"/>
      <c r="I259" s="455" t="n"/>
      <c r="J259" s="456" t="n"/>
      <c r="K259" s="456" t="n"/>
      <c r="L259" s="457">
        <f>IF(B259="","",IF(OR(I259="",J259=""),"",I259*J259+IF(K259="",0,K259)))</f>
        <v/>
      </c>
      <c r="M259" s="456" t="n"/>
      <c r="N259" s="457">
        <f>IF(L259="","",MAX(0,L259-IF(M259="",0,M259)))</f>
        <v/>
      </c>
      <c r="O259" s="455" t="n"/>
      <c r="P259" s="457">
        <f>IF(OR(N259="",O259&lt;=0),"",ROUND(N259/O259,0))</f>
        <v/>
      </c>
      <c r="Q259" s="458">
        <f>IF(OR(H259="",O259&lt;=0),"",EOMONTH(H259,O259-1))</f>
        <v/>
      </c>
      <c r="R259" s="331" t="n"/>
      <c r="S259" s="331" t="n"/>
      <c r="T259" s="331" t="n"/>
      <c r="U259" s="456" t="n"/>
      <c r="V259" s="457">
        <f>IF($AO259&lt;&gt;"OK",0,IF(AND(DATE('Thiết lập'!$B$4,1,1)&gt;=DATE(YEAR($H259),MONTH($H259),1),DATE('Thiết lập'!$B$4,1,1)&lt;EDATE(DATE(YEAR($H259),MONTH($H259),1),$O259)),MIN($P259,MAX(0,$N259-$U259-0)),0))</f>
        <v/>
      </c>
      <c r="W259" s="457">
        <f>IF($AO259&lt;&gt;"OK",0,IF(AND(DATE('Thiết lập'!$B$4,2,1)&gt;=DATE(YEAR($H259),MONTH($H259),1),DATE('Thiết lập'!$B$4,2,1)&lt;EDATE(DATE(YEAR($H259),MONTH($H259),1),$O259)),MIN($P259,MAX(0,$N259-$U259-SUM($V259:V259))),0))</f>
        <v/>
      </c>
      <c r="X259" s="457">
        <f>IF($AO259&lt;&gt;"OK",0,IF(AND(DATE('Thiết lập'!$B$4,3,1)&gt;=DATE(YEAR($H259),MONTH($H259),1),DATE('Thiết lập'!$B$4,3,1)&lt;EDATE(DATE(YEAR($H259),MONTH($H259),1),$O259)),MIN($P259,MAX(0,$N259-$U259-SUM($V259:W259))),0))</f>
        <v/>
      </c>
      <c r="Y259" s="457">
        <f>IF($AO259&lt;&gt;"OK",0,IF(AND(DATE('Thiết lập'!$B$4,4,1)&gt;=DATE(YEAR($H259),MONTH($H259),1),DATE('Thiết lập'!$B$4,4,1)&lt;EDATE(DATE(YEAR($H259),MONTH($H259),1),$O259)),MIN($P259,MAX(0,$N259-$U259-SUM($V259:X259))),0))</f>
        <v/>
      </c>
      <c r="Z259" s="457">
        <f>IF($AO259&lt;&gt;"OK",0,IF(AND(DATE('Thiết lập'!$B$4,5,1)&gt;=DATE(YEAR($H259),MONTH($H259),1),DATE('Thiết lập'!$B$4,5,1)&lt;EDATE(DATE(YEAR($H259),MONTH($H259),1),$O259)),MIN($P259,MAX(0,$N259-$U259-SUM($V259:Y259))),0))</f>
        <v/>
      </c>
      <c r="AA259" s="457">
        <f>IF($AO259&lt;&gt;"OK",0,IF(AND(DATE('Thiết lập'!$B$4,6,1)&gt;=DATE(YEAR($H259),MONTH($H259),1),DATE('Thiết lập'!$B$4,6,1)&lt;EDATE(DATE(YEAR($H259),MONTH($H259),1),$O259)),MIN($P259,MAX(0,$N259-$U259-SUM($V259:Z259))),0))</f>
        <v/>
      </c>
      <c r="AB259" s="457">
        <f>IF($AO259&lt;&gt;"OK",0,IF(AND(DATE('Thiết lập'!$B$4,7,1)&gt;=DATE(YEAR($H259),MONTH($H259),1),DATE('Thiết lập'!$B$4,7,1)&lt;EDATE(DATE(YEAR($H259),MONTH($H259),1),$O259)),MIN($P259,MAX(0,$N259-$U259-SUM($V259:AA259))),0))</f>
        <v/>
      </c>
      <c r="AC259" s="457">
        <f>IF($AO259&lt;&gt;"OK",0,IF(AND(DATE('Thiết lập'!$B$4,8,1)&gt;=DATE(YEAR($H259),MONTH($H259),1),DATE('Thiết lập'!$B$4,8,1)&lt;EDATE(DATE(YEAR($H259),MONTH($H259),1),$O259)),MIN($P259,MAX(0,$N259-$U259-SUM($V259:AB259))),0))</f>
        <v/>
      </c>
      <c r="AD259" s="457">
        <f>IF($AO259&lt;&gt;"OK",0,IF(AND(DATE('Thiết lập'!$B$4,9,1)&gt;=DATE(YEAR($H259),MONTH($H259),1),DATE('Thiết lập'!$B$4,9,1)&lt;EDATE(DATE(YEAR($H259),MONTH($H259),1),$O259)),MIN($P259,MAX(0,$N259-$U259-SUM($V259:AC259))),0))</f>
        <v/>
      </c>
      <c r="AE259" s="457">
        <f>IF($AO259&lt;&gt;"OK",0,IF(AND(DATE('Thiết lập'!$B$4,10,1)&gt;=DATE(YEAR($H259),MONTH($H259),1),DATE('Thiết lập'!$B$4,10,1)&lt;EDATE(DATE(YEAR($H259),MONTH($H259),1),$O259)),MIN($P259,MAX(0,$N259-$U259-SUM($V259:AD259))),0))</f>
        <v/>
      </c>
      <c r="AF259" s="457">
        <f>IF($AO259&lt;&gt;"OK",0,IF(AND(DATE('Thiết lập'!$B$4,11,1)&gt;=DATE(YEAR($H259),MONTH($H259),1),DATE('Thiết lập'!$B$4,11,1)&lt;EDATE(DATE(YEAR($H259),MONTH($H259),1),$O259)),MIN($P259,MAX(0,$N259-$U259-SUM($V259:AE259))),0))</f>
        <v/>
      </c>
      <c r="AG259" s="457">
        <f>IF($AO259&lt;&gt;"OK",0,IF(AND(DATE('Thiết lập'!$B$4,12,1)&gt;=DATE(YEAR($H259),MONTH($H259),1),DATE('Thiết lập'!$B$4,12,1)&lt;EDATE(DATE(YEAR($H259),MONTH($H259),1),$O259)),MIN($P259,MAX(0,$N259-$U259-SUM($V259:AF259))),0))</f>
        <v/>
      </c>
      <c r="AH259" s="457">
        <f>IF(B259="","",SUM(V259:AG259))</f>
        <v/>
      </c>
      <c r="AI259" s="457">
        <f>IF(B259="","",MIN(N259,IF(U259="",0,U259)+AH259))</f>
        <v/>
      </c>
      <c r="AJ259" s="457">
        <f>IF(B259="","",MAX(0,L259-AI259))</f>
        <v/>
      </c>
      <c r="AK259" s="337">
        <f>IF(B259="","",IF(H259&gt;'Thiết lập'!$B$5,"Chưa khấu hao",IF(AJ259&lt;=IF(M259="",0,M259),"Đã hết khấu hao","Đang khấu hao")))</f>
        <v/>
      </c>
      <c r="AL259" s="275" t="n"/>
      <c r="AM259" s="275" t="n"/>
      <c r="AN259" s="275" t="n"/>
      <c r="AO259" s="343">
        <f>IF(B259="","",IF(COUNTIF($B$7:$B$306,B259)&gt;1,"Trùng mã TSCĐ",IF(C259="","Thiếu tên TSCĐ",IF(H259="","Thiếu ngày bắt đầu",IF(OR(I259&lt;=0,L259&lt;=0,O259&lt;=0),"Kiểm tra số lượng/nguyên giá/thời gian",IF(AND(G259&lt;&gt;"",H259&lt;G259),"Ngày KH trước ngày ghi tăng",IF(M259&gt;L259,"Giá trị thu hồi vượt nguyên giá",IF(IF(U259="",0,U259)&gt;N259,"Lũy kế đầu năm vượt GTKH","OK"))))))))</f>
        <v/>
      </c>
    </row>
    <row r="260" ht="20" customHeight="1" s="389">
      <c r="A260" s="325">
        <f>IF(B260="","",ROW()-6)</f>
        <v/>
      </c>
      <c r="B260" s="275" t="n"/>
      <c r="C260" s="275" t="n"/>
      <c r="D260" s="331" t="n"/>
      <c r="E260" s="331" t="n"/>
      <c r="F260" s="454" t="n"/>
      <c r="G260" s="454" t="n"/>
      <c r="H260" s="454" t="n"/>
      <c r="I260" s="455" t="n"/>
      <c r="J260" s="456" t="n"/>
      <c r="K260" s="456" t="n"/>
      <c r="L260" s="457">
        <f>IF(B260="","",IF(OR(I260="",J260=""),"",I260*J260+IF(K260="",0,K260)))</f>
        <v/>
      </c>
      <c r="M260" s="456" t="n"/>
      <c r="N260" s="457">
        <f>IF(L260="","",MAX(0,L260-IF(M260="",0,M260)))</f>
        <v/>
      </c>
      <c r="O260" s="455" t="n"/>
      <c r="P260" s="457">
        <f>IF(OR(N260="",O260&lt;=0),"",ROUND(N260/O260,0))</f>
        <v/>
      </c>
      <c r="Q260" s="458">
        <f>IF(OR(H260="",O260&lt;=0),"",EOMONTH(H260,O260-1))</f>
        <v/>
      </c>
      <c r="R260" s="331" t="n"/>
      <c r="S260" s="331" t="n"/>
      <c r="T260" s="331" t="n"/>
      <c r="U260" s="456" t="n"/>
      <c r="V260" s="457">
        <f>IF($AO260&lt;&gt;"OK",0,IF(AND(DATE('Thiết lập'!$B$4,1,1)&gt;=DATE(YEAR($H260),MONTH($H260),1),DATE('Thiết lập'!$B$4,1,1)&lt;EDATE(DATE(YEAR($H260),MONTH($H260),1),$O260)),MIN($P260,MAX(0,$N260-$U260-0)),0))</f>
        <v/>
      </c>
      <c r="W260" s="457">
        <f>IF($AO260&lt;&gt;"OK",0,IF(AND(DATE('Thiết lập'!$B$4,2,1)&gt;=DATE(YEAR($H260),MONTH($H260),1),DATE('Thiết lập'!$B$4,2,1)&lt;EDATE(DATE(YEAR($H260),MONTH($H260),1),$O260)),MIN($P260,MAX(0,$N260-$U260-SUM($V260:V260))),0))</f>
        <v/>
      </c>
      <c r="X260" s="457">
        <f>IF($AO260&lt;&gt;"OK",0,IF(AND(DATE('Thiết lập'!$B$4,3,1)&gt;=DATE(YEAR($H260),MONTH($H260),1),DATE('Thiết lập'!$B$4,3,1)&lt;EDATE(DATE(YEAR($H260),MONTH($H260),1),$O260)),MIN($P260,MAX(0,$N260-$U260-SUM($V260:W260))),0))</f>
        <v/>
      </c>
      <c r="Y260" s="457">
        <f>IF($AO260&lt;&gt;"OK",0,IF(AND(DATE('Thiết lập'!$B$4,4,1)&gt;=DATE(YEAR($H260),MONTH($H260),1),DATE('Thiết lập'!$B$4,4,1)&lt;EDATE(DATE(YEAR($H260),MONTH($H260),1),$O260)),MIN($P260,MAX(0,$N260-$U260-SUM($V260:X260))),0))</f>
        <v/>
      </c>
      <c r="Z260" s="457">
        <f>IF($AO260&lt;&gt;"OK",0,IF(AND(DATE('Thiết lập'!$B$4,5,1)&gt;=DATE(YEAR($H260),MONTH($H260),1),DATE('Thiết lập'!$B$4,5,1)&lt;EDATE(DATE(YEAR($H260),MONTH($H260),1),$O260)),MIN($P260,MAX(0,$N260-$U260-SUM($V260:Y260))),0))</f>
        <v/>
      </c>
      <c r="AA260" s="457">
        <f>IF($AO260&lt;&gt;"OK",0,IF(AND(DATE('Thiết lập'!$B$4,6,1)&gt;=DATE(YEAR($H260),MONTH($H260),1),DATE('Thiết lập'!$B$4,6,1)&lt;EDATE(DATE(YEAR($H260),MONTH($H260),1),$O260)),MIN($P260,MAX(0,$N260-$U260-SUM($V260:Z260))),0))</f>
        <v/>
      </c>
      <c r="AB260" s="457">
        <f>IF($AO260&lt;&gt;"OK",0,IF(AND(DATE('Thiết lập'!$B$4,7,1)&gt;=DATE(YEAR($H260),MONTH($H260),1),DATE('Thiết lập'!$B$4,7,1)&lt;EDATE(DATE(YEAR($H260),MONTH($H260),1),$O260)),MIN($P260,MAX(0,$N260-$U260-SUM($V260:AA260))),0))</f>
        <v/>
      </c>
      <c r="AC260" s="457">
        <f>IF($AO260&lt;&gt;"OK",0,IF(AND(DATE('Thiết lập'!$B$4,8,1)&gt;=DATE(YEAR($H260),MONTH($H260),1),DATE('Thiết lập'!$B$4,8,1)&lt;EDATE(DATE(YEAR($H260),MONTH($H260),1),$O260)),MIN($P260,MAX(0,$N260-$U260-SUM($V260:AB260))),0))</f>
        <v/>
      </c>
      <c r="AD260" s="457">
        <f>IF($AO260&lt;&gt;"OK",0,IF(AND(DATE('Thiết lập'!$B$4,9,1)&gt;=DATE(YEAR($H260),MONTH($H260),1),DATE('Thiết lập'!$B$4,9,1)&lt;EDATE(DATE(YEAR($H260),MONTH($H260),1),$O260)),MIN($P260,MAX(0,$N260-$U260-SUM($V260:AC260))),0))</f>
        <v/>
      </c>
      <c r="AE260" s="457">
        <f>IF($AO260&lt;&gt;"OK",0,IF(AND(DATE('Thiết lập'!$B$4,10,1)&gt;=DATE(YEAR($H260),MONTH($H260),1),DATE('Thiết lập'!$B$4,10,1)&lt;EDATE(DATE(YEAR($H260),MONTH($H260),1),$O260)),MIN($P260,MAX(0,$N260-$U260-SUM($V260:AD260))),0))</f>
        <v/>
      </c>
      <c r="AF260" s="457">
        <f>IF($AO260&lt;&gt;"OK",0,IF(AND(DATE('Thiết lập'!$B$4,11,1)&gt;=DATE(YEAR($H260),MONTH($H260),1),DATE('Thiết lập'!$B$4,11,1)&lt;EDATE(DATE(YEAR($H260),MONTH($H260),1),$O260)),MIN($P260,MAX(0,$N260-$U260-SUM($V260:AE260))),0))</f>
        <v/>
      </c>
      <c r="AG260" s="457">
        <f>IF($AO260&lt;&gt;"OK",0,IF(AND(DATE('Thiết lập'!$B$4,12,1)&gt;=DATE(YEAR($H260),MONTH($H260),1),DATE('Thiết lập'!$B$4,12,1)&lt;EDATE(DATE(YEAR($H260),MONTH($H260),1),$O260)),MIN($P260,MAX(0,$N260-$U260-SUM($V260:AF260))),0))</f>
        <v/>
      </c>
      <c r="AH260" s="457">
        <f>IF(B260="","",SUM(V260:AG260))</f>
        <v/>
      </c>
      <c r="AI260" s="457">
        <f>IF(B260="","",MIN(N260,IF(U260="",0,U260)+AH260))</f>
        <v/>
      </c>
      <c r="AJ260" s="457">
        <f>IF(B260="","",MAX(0,L260-AI260))</f>
        <v/>
      </c>
      <c r="AK260" s="337">
        <f>IF(B260="","",IF(H260&gt;'Thiết lập'!$B$5,"Chưa khấu hao",IF(AJ260&lt;=IF(M260="",0,M260),"Đã hết khấu hao","Đang khấu hao")))</f>
        <v/>
      </c>
      <c r="AL260" s="275" t="n"/>
      <c r="AM260" s="275" t="n"/>
      <c r="AN260" s="275" t="n"/>
      <c r="AO260" s="343">
        <f>IF(B260="","",IF(COUNTIF($B$7:$B$306,B260)&gt;1,"Trùng mã TSCĐ",IF(C260="","Thiếu tên TSCĐ",IF(H260="","Thiếu ngày bắt đầu",IF(OR(I260&lt;=0,L260&lt;=0,O260&lt;=0),"Kiểm tra số lượng/nguyên giá/thời gian",IF(AND(G260&lt;&gt;"",H260&lt;G260),"Ngày KH trước ngày ghi tăng",IF(M260&gt;L260,"Giá trị thu hồi vượt nguyên giá",IF(IF(U260="",0,U260)&gt;N260,"Lũy kế đầu năm vượt GTKH","OK"))))))))</f>
        <v/>
      </c>
    </row>
    <row r="261" ht="20" customHeight="1" s="389">
      <c r="A261" s="325">
        <f>IF(B261="","",ROW()-6)</f>
        <v/>
      </c>
      <c r="B261" s="275" t="n"/>
      <c r="C261" s="275" t="n"/>
      <c r="D261" s="331" t="n"/>
      <c r="E261" s="331" t="n"/>
      <c r="F261" s="454" t="n"/>
      <c r="G261" s="454" t="n"/>
      <c r="H261" s="454" t="n"/>
      <c r="I261" s="455" t="n"/>
      <c r="J261" s="456" t="n"/>
      <c r="K261" s="456" t="n"/>
      <c r="L261" s="457">
        <f>IF(B261="","",IF(OR(I261="",J261=""),"",I261*J261+IF(K261="",0,K261)))</f>
        <v/>
      </c>
      <c r="M261" s="456" t="n"/>
      <c r="N261" s="457">
        <f>IF(L261="","",MAX(0,L261-IF(M261="",0,M261)))</f>
        <v/>
      </c>
      <c r="O261" s="455" t="n"/>
      <c r="P261" s="457">
        <f>IF(OR(N261="",O261&lt;=0),"",ROUND(N261/O261,0))</f>
        <v/>
      </c>
      <c r="Q261" s="458">
        <f>IF(OR(H261="",O261&lt;=0),"",EOMONTH(H261,O261-1))</f>
        <v/>
      </c>
      <c r="R261" s="331" t="n"/>
      <c r="S261" s="331" t="n"/>
      <c r="T261" s="331" t="n"/>
      <c r="U261" s="456" t="n"/>
      <c r="V261" s="457">
        <f>IF($AO261&lt;&gt;"OK",0,IF(AND(DATE('Thiết lập'!$B$4,1,1)&gt;=DATE(YEAR($H261),MONTH($H261),1),DATE('Thiết lập'!$B$4,1,1)&lt;EDATE(DATE(YEAR($H261),MONTH($H261),1),$O261)),MIN($P261,MAX(0,$N261-$U261-0)),0))</f>
        <v/>
      </c>
      <c r="W261" s="457">
        <f>IF($AO261&lt;&gt;"OK",0,IF(AND(DATE('Thiết lập'!$B$4,2,1)&gt;=DATE(YEAR($H261),MONTH($H261),1),DATE('Thiết lập'!$B$4,2,1)&lt;EDATE(DATE(YEAR($H261),MONTH($H261),1),$O261)),MIN($P261,MAX(0,$N261-$U261-SUM($V261:V261))),0))</f>
        <v/>
      </c>
      <c r="X261" s="457">
        <f>IF($AO261&lt;&gt;"OK",0,IF(AND(DATE('Thiết lập'!$B$4,3,1)&gt;=DATE(YEAR($H261),MONTH($H261),1),DATE('Thiết lập'!$B$4,3,1)&lt;EDATE(DATE(YEAR($H261),MONTH($H261),1),$O261)),MIN($P261,MAX(0,$N261-$U261-SUM($V261:W261))),0))</f>
        <v/>
      </c>
      <c r="Y261" s="457">
        <f>IF($AO261&lt;&gt;"OK",0,IF(AND(DATE('Thiết lập'!$B$4,4,1)&gt;=DATE(YEAR($H261),MONTH($H261),1),DATE('Thiết lập'!$B$4,4,1)&lt;EDATE(DATE(YEAR($H261),MONTH($H261),1),$O261)),MIN($P261,MAX(0,$N261-$U261-SUM($V261:X261))),0))</f>
        <v/>
      </c>
      <c r="Z261" s="457">
        <f>IF($AO261&lt;&gt;"OK",0,IF(AND(DATE('Thiết lập'!$B$4,5,1)&gt;=DATE(YEAR($H261),MONTH($H261),1),DATE('Thiết lập'!$B$4,5,1)&lt;EDATE(DATE(YEAR($H261),MONTH($H261),1),$O261)),MIN($P261,MAX(0,$N261-$U261-SUM($V261:Y261))),0))</f>
        <v/>
      </c>
      <c r="AA261" s="457">
        <f>IF($AO261&lt;&gt;"OK",0,IF(AND(DATE('Thiết lập'!$B$4,6,1)&gt;=DATE(YEAR($H261),MONTH($H261),1),DATE('Thiết lập'!$B$4,6,1)&lt;EDATE(DATE(YEAR($H261),MONTH($H261),1),$O261)),MIN($P261,MAX(0,$N261-$U261-SUM($V261:Z261))),0))</f>
        <v/>
      </c>
      <c r="AB261" s="457">
        <f>IF($AO261&lt;&gt;"OK",0,IF(AND(DATE('Thiết lập'!$B$4,7,1)&gt;=DATE(YEAR($H261),MONTH($H261),1),DATE('Thiết lập'!$B$4,7,1)&lt;EDATE(DATE(YEAR($H261),MONTH($H261),1),$O261)),MIN($P261,MAX(0,$N261-$U261-SUM($V261:AA261))),0))</f>
        <v/>
      </c>
      <c r="AC261" s="457">
        <f>IF($AO261&lt;&gt;"OK",0,IF(AND(DATE('Thiết lập'!$B$4,8,1)&gt;=DATE(YEAR($H261),MONTH($H261),1),DATE('Thiết lập'!$B$4,8,1)&lt;EDATE(DATE(YEAR($H261),MONTH($H261),1),$O261)),MIN($P261,MAX(0,$N261-$U261-SUM($V261:AB261))),0))</f>
        <v/>
      </c>
      <c r="AD261" s="457">
        <f>IF($AO261&lt;&gt;"OK",0,IF(AND(DATE('Thiết lập'!$B$4,9,1)&gt;=DATE(YEAR($H261),MONTH($H261),1),DATE('Thiết lập'!$B$4,9,1)&lt;EDATE(DATE(YEAR($H261),MONTH($H261),1),$O261)),MIN($P261,MAX(0,$N261-$U261-SUM($V261:AC261))),0))</f>
        <v/>
      </c>
      <c r="AE261" s="457">
        <f>IF($AO261&lt;&gt;"OK",0,IF(AND(DATE('Thiết lập'!$B$4,10,1)&gt;=DATE(YEAR($H261),MONTH($H261),1),DATE('Thiết lập'!$B$4,10,1)&lt;EDATE(DATE(YEAR($H261),MONTH($H261),1),$O261)),MIN($P261,MAX(0,$N261-$U261-SUM($V261:AD261))),0))</f>
        <v/>
      </c>
      <c r="AF261" s="457">
        <f>IF($AO261&lt;&gt;"OK",0,IF(AND(DATE('Thiết lập'!$B$4,11,1)&gt;=DATE(YEAR($H261),MONTH($H261),1),DATE('Thiết lập'!$B$4,11,1)&lt;EDATE(DATE(YEAR($H261),MONTH($H261),1),$O261)),MIN($P261,MAX(0,$N261-$U261-SUM($V261:AE261))),0))</f>
        <v/>
      </c>
      <c r="AG261" s="457">
        <f>IF($AO261&lt;&gt;"OK",0,IF(AND(DATE('Thiết lập'!$B$4,12,1)&gt;=DATE(YEAR($H261),MONTH($H261),1),DATE('Thiết lập'!$B$4,12,1)&lt;EDATE(DATE(YEAR($H261),MONTH($H261),1),$O261)),MIN($P261,MAX(0,$N261-$U261-SUM($V261:AF261))),0))</f>
        <v/>
      </c>
      <c r="AH261" s="457">
        <f>IF(B261="","",SUM(V261:AG261))</f>
        <v/>
      </c>
      <c r="AI261" s="457">
        <f>IF(B261="","",MIN(N261,IF(U261="",0,U261)+AH261))</f>
        <v/>
      </c>
      <c r="AJ261" s="457">
        <f>IF(B261="","",MAX(0,L261-AI261))</f>
        <v/>
      </c>
      <c r="AK261" s="337">
        <f>IF(B261="","",IF(H261&gt;'Thiết lập'!$B$5,"Chưa khấu hao",IF(AJ261&lt;=IF(M261="",0,M261),"Đã hết khấu hao","Đang khấu hao")))</f>
        <v/>
      </c>
      <c r="AL261" s="275" t="n"/>
      <c r="AM261" s="275" t="n"/>
      <c r="AN261" s="275" t="n"/>
      <c r="AO261" s="343">
        <f>IF(B261="","",IF(COUNTIF($B$7:$B$306,B261)&gt;1,"Trùng mã TSCĐ",IF(C261="","Thiếu tên TSCĐ",IF(H261="","Thiếu ngày bắt đầu",IF(OR(I261&lt;=0,L261&lt;=0,O261&lt;=0),"Kiểm tra số lượng/nguyên giá/thời gian",IF(AND(G261&lt;&gt;"",H261&lt;G261),"Ngày KH trước ngày ghi tăng",IF(M261&gt;L261,"Giá trị thu hồi vượt nguyên giá",IF(IF(U261="",0,U261)&gt;N261,"Lũy kế đầu năm vượt GTKH","OK"))))))))</f>
        <v/>
      </c>
    </row>
    <row r="262" ht="20" customHeight="1" s="389">
      <c r="A262" s="325">
        <f>IF(B262="","",ROW()-6)</f>
        <v/>
      </c>
      <c r="B262" s="275" t="n"/>
      <c r="C262" s="275" t="n"/>
      <c r="D262" s="331" t="n"/>
      <c r="E262" s="331" t="n"/>
      <c r="F262" s="454" t="n"/>
      <c r="G262" s="454" t="n"/>
      <c r="H262" s="454" t="n"/>
      <c r="I262" s="455" t="n"/>
      <c r="J262" s="456" t="n"/>
      <c r="K262" s="456" t="n"/>
      <c r="L262" s="457">
        <f>IF(B262="","",IF(OR(I262="",J262=""),"",I262*J262+IF(K262="",0,K262)))</f>
        <v/>
      </c>
      <c r="M262" s="456" t="n"/>
      <c r="N262" s="457">
        <f>IF(L262="","",MAX(0,L262-IF(M262="",0,M262)))</f>
        <v/>
      </c>
      <c r="O262" s="455" t="n"/>
      <c r="P262" s="457">
        <f>IF(OR(N262="",O262&lt;=0),"",ROUND(N262/O262,0))</f>
        <v/>
      </c>
      <c r="Q262" s="458">
        <f>IF(OR(H262="",O262&lt;=0),"",EOMONTH(H262,O262-1))</f>
        <v/>
      </c>
      <c r="R262" s="331" t="n"/>
      <c r="S262" s="331" t="n"/>
      <c r="T262" s="331" t="n"/>
      <c r="U262" s="456" t="n"/>
      <c r="V262" s="457">
        <f>IF($AO262&lt;&gt;"OK",0,IF(AND(DATE('Thiết lập'!$B$4,1,1)&gt;=DATE(YEAR($H262),MONTH($H262),1),DATE('Thiết lập'!$B$4,1,1)&lt;EDATE(DATE(YEAR($H262),MONTH($H262),1),$O262)),MIN($P262,MAX(0,$N262-$U262-0)),0))</f>
        <v/>
      </c>
      <c r="W262" s="457">
        <f>IF($AO262&lt;&gt;"OK",0,IF(AND(DATE('Thiết lập'!$B$4,2,1)&gt;=DATE(YEAR($H262),MONTH($H262),1),DATE('Thiết lập'!$B$4,2,1)&lt;EDATE(DATE(YEAR($H262),MONTH($H262),1),$O262)),MIN($P262,MAX(0,$N262-$U262-SUM($V262:V262))),0))</f>
        <v/>
      </c>
      <c r="X262" s="457">
        <f>IF($AO262&lt;&gt;"OK",0,IF(AND(DATE('Thiết lập'!$B$4,3,1)&gt;=DATE(YEAR($H262),MONTH($H262),1),DATE('Thiết lập'!$B$4,3,1)&lt;EDATE(DATE(YEAR($H262),MONTH($H262),1),$O262)),MIN($P262,MAX(0,$N262-$U262-SUM($V262:W262))),0))</f>
        <v/>
      </c>
      <c r="Y262" s="457">
        <f>IF($AO262&lt;&gt;"OK",0,IF(AND(DATE('Thiết lập'!$B$4,4,1)&gt;=DATE(YEAR($H262),MONTH($H262),1),DATE('Thiết lập'!$B$4,4,1)&lt;EDATE(DATE(YEAR($H262),MONTH($H262),1),$O262)),MIN($P262,MAX(0,$N262-$U262-SUM($V262:X262))),0))</f>
        <v/>
      </c>
      <c r="Z262" s="457">
        <f>IF($AO262&lt;&gt;"OK",0,IF(AND(DATE('Thiết lập'!$B$4,5,1)&gt;=DATE(YEAR($H262),MONTH($H262),1),DATE('Thiết lập'!$B$4,5,1)&lt;EDATE(DATE(YEAR($H262),MONTH($H262),1),$O262)),MIN($P262,MAX(0,$N262-$U262-SUM($V262:Y262))),0))</f>
        <v/>
      </c>
      <c r="AA262" s="457">
        <f>IF($AO262&lt;&gt;"OK",0,IF(AND(DATE('Thiết lập'!$B$4,6,1)&gt;=DATE(YEAR($H262),MONTH($H262),1),DATE('Thiết lập'!$B$4,6,1)&lt;EDATE(DATE(YEAR($H262),MONTH($H262),1),$O262)),MIN($P262,MAX(0,$N262-$U262-SUM($V262:Z262))),0))</f>
        <v/>
      </c>
      <c r="AB262" s="457">
        <f>IF($AO262&lt;&gt;"OK",0,IF(AND(DATE('Thiết lập'!$B$4,7,1)&gt;=DATE(YEAR($H262),MONTH($H262),1),DATE('Thiết lập'!$B$4,7,1)&lt;EDATE(DATE(YEAR($H262),MONTH($H262),1),$O262)),MIN($P262,MAX(0,$N262-$U262-SUM($V262:AA262))),0))</f>
        <v/>
      </c>
      <c r="AC262" s="457">
        <f>IF($AO262&lt;&gt;"OK",0,IF(AND(DATE('Thiết lập'!$B$4,8,1)&gt;=DATE(YEAR($H262),MONTH($H262),1),DATE('Thiết lập'!$B$4,8,1)&lt;EDATE(DATE(YEAR($H262),MONTH($H262),1),$O262)),MIN($P262,MAX(0,$N262-$U262-SUM($V262:AB262))),0))</f>
        <v/>
      </c>
      <c r="AD262" s="457">
        <f>IF($AO262&lt;&gt;"OK",0,IF(AND(DATE('Thiết lập'!$B$4,9,1)&gt;=DATE(YEAR($H262),MONTH($H262),1),DATE('Thiết lập'!$B$4,9,1)&lt;EDATE(DATE(YEAR($H262),MONTH($H262),1),$O262)),MIN($P262,MAX(0,$N262-$U262-SUM($V262:AC262))),0))</f>
        <v/>
      </c>
      <c r="AE262" s="457">
        <f>IF($AO262&lt;&gt;"OK",0,IF(AND(DATE('Thiết lập'!$B$4,10,1)&gt;=DATE(YEAR($H262),MONTH($H262),1),DATE('Thiết lập'!$B$4,10,1)&lt;EDATE(DATE(YEAR($H262),MONTH($H262),1),$O262)),MIN($P262,MAX(0,$N262-$U262-SUM($V262:AD262))),0))</f>
        <v/>
      </c>
      <c r="AF262" s="457">
        <f>IF($AO262&lt;&gt;"OK",0,IF(AND(DATE('Thiết lập'!$B$4,11,1)&gt;=DATE(YEAR($H262),MONTH($H262),1),DATE('Thiết lập'!$B$4,11,1)&lt;EDATE(DATE(YEAR($H262),MONTH($H262),1),$O262)),MIN($P262,MAX(0,$N262-$U262-SUM($V262:AE262))),0))</f>
        <v/>
      </c>
      <c r="AG262" s="457">
        <f>IF($AO262&lt;&gt;"OK",0,IF(AND(DATE('Thiết lập'!$B$4,12,1)&gt;=DATE(YEAR($H262),MONTH($H262),1),DATE('Thiết lập'!$B$4,12,1)&lt;EDATE(DATE(YEAR($H262),MONTH($H262),1),$O262)),MIN($P262,MAX(0,$N262-$U262-SUM($V262:AF262))),0))</f>
        <v/>
      </c>
      <c r="AH262" s="457">
        <f>IF(B262="","",SUM(V262:AG262))</f>
        <v/>
      </c>
      <c r="AI262" s="457">
        <f>IF(B262="","",MIN(N262,IF(U262="",0,U262)+AH262))</f>
        <v/>
      </c>
      <c r="AJ262" s="457">
        <f>IF(B262="","",MAX(0,L262-AI262))</f>
        <v/>
      </c>
      <c r="AK262" s="337">
        <f>IF(B262="","",IF(H262&gt;'Thiết lập'!$B$5,"Chưa khấu hao",IF(AJ262&lt;=IF(M262="",0,M262),"Đã hết khấu hao","Đang khấu hao")))</f>
        <v/>
      </c>
      <c r="AL262" s="275" t="n"/>
      <c r="AM262" s="275" t="n"/>
      <c r="AN262" s="275" t="n"/>
      <c r="AO262" s="343">
        <f>IF(B262="","",IF(COUNTIF($B$7:$B$306,B262)&gt;1,"Trùng mã TSCĐ",IF(C262="","Thiếu tên TSCĐ",IF(H262="","Thiếu ngày bắt đầu",IF(OR(I262&lt;=0,L262&lt;=0,O262&lt;=0),"Kiểm tra số lượng/nguyên giá/thời gian",IF(AND(G262&lt;&gt;"",H262&lt;G262),"Ngày KH trước ngày ghi tăng",IF(M262&gt;L262,"Giá trị thu hồi vượt nguyên giá",IF(IF(U262="",0,U262)&gt;N262,"Lũy kế đầu năm vượt GTKH","OK"))))))))</f>
        <v/>
      </c>
    </row>
    <row r="263" ht="20" customHeight="1" s="389">
      <c r="A263" s="325">
        <f>IF(B263="","",ROW()-6)</f>
        <v/>
      </c>
      <c r="B263" s="275" t="n"/>
      <c r="C263" s="275" t="n"/>
      <c r="D263" s="331" t="n"/>
      <c r="E263" s="331" t="n"/>
      <c r="F263" s="454" t="n"/>
      <c r="G263" s="454" t="n"/>
      <c r="H263" s="454" t="n"/>
      <c r="I263" s="455" t="n"/>
      <c r="J263" s="456" t="n"/>
      <c r="K263" s="456" t="n"/>
      <c r="L263" s="457">
        <f>IF(B263="","",IF(OR(I263="",J263=""),"",I263*J263+IF(K263="",0,K263)))</f>
        <v/>
      </c>
      <c r="M263" s="456" t="n"/>
      <c r="N263" s="457">
        <f>IF(L263="","",MAX(0,L263-IF(M263="",0,M263)))</f>
        <v/>
      </c>
      <c r="O263" s="455" t="n"/>
      <c r="P263" s="457">
        <f>IF(OR(N263="",O263&lt;=0),"",ROUND(N263/O263,0))</f>
        <v/>
      </c>
      <c r="Q263" s="458">
        <f>IF(OR(H263="",O263&lt;=0),"",EOMONTH(H263,O263-1))</f>
        <v/>
      </c>
      <c r="R263" s="331" t="n"/>
      <c r="S263" s="331" t="n"/>
      <c r="T263" s="331" t="n"/>
      <c r="U263" s="456" t="n"/>
      <c r="V263" s="457">
        <f>IF($AO263&lt;&gt;"OK",0,IF(AND(DATE('Thiết lập'!$B$4,1,1)&gt;=DATE(YEAR($H263),MONTH($H263),1),DATE('Thiết lập'!$B$4,1,1)&lt;EDATE(DATE(YEAR($H263),MONTH($H263),1),$O263)),MIN($P263,MAX(0,$N263-$U263-0)),0))</f>
        <v/>
      </c>
      <c r="W263" s="457">
        <f>IF($AO263&lt;&gt;"OK",0,IF(AND(DATE('Thiết lập'!$B$4,2,1)&gt;=DATE(YEAR($H263),MONTH($H263),1),DATE('Thiết lập'!$B$4,2,1)&lt;EDATE(DATE(YEAR($H263),MONTH($H263),1),$O263)),MIN($P263,MAX(0,$N263-$U263-SUM($V263:V263))),0))</f>
        <v/>
      </c>
      <c r="X263" s="457">
        <f>IF($AO263&lt;&gt;"OK",0,IF(AND(DATE('Thiết lập'!$B$4,3,1)&gt;=DATE(YEAR($H263),MONTH($H263),1),DATE('Thiết lập'!$B$4,3,1)&lt;EDATE(DATE(YEAR($H263),MONTH($H263),1),$O263)),MIN($P263,MAX(0,$N263-$U263-SUM($V263:W263))),0))</f>
        <v/>
      </c>
      <c r="Y263" s="457">
        <f>IF($AO263&lt;&gt;"OK",0,IF(AND(DATE('Thiết lập'!$B$4,4,1)&gt;=DATE(YEAR($H263),MONTH($H263),1),DATE('Thiết lập'!$B$4,4,1)&lt;EDATE(DATE(YEAR($H263),MONTH($H263),1),$O263)),MIN($P263,MAX(0,$N263-$U263-SUM($V263:X263))),0))</f>
        <v/>
      </c>
      <c r="Z263" s="457">
        <f>IF($AO263&lt;&gt;"OK",0,IF(AND(DATE('Thiết lập'!$B$4,5,1)&gt;=DATE(YEAR($H263),MONTH($H263),1),DATE('Thiết lập'!$B$4,5,1)&lt;EDATE(DATE(YEAR($H263),MONTH($H263),1),$O263)),MIN($P263,MAX(0,$N263-$U263-SUM($V263:Y263))),0))</f>
        <v/>
      </c>
      <c r="AA263" s="457">
        <f>IF($AO263&lt;&gt;"OK",0,IF(AND(DATE('Thiết lập'!$B$4,6,1)&gt;=DATE(YEAR($H263),MONTH($H263),1),DATE('Thiết lập'!$B$4,6,1)&lt;EDATE(DATE(YEAR($H263),MONTH($H263),1),$O263)),MIN($P263,MAX(0,$N263-$U263-SUM($V263:Z263))),0))</f>
        <v/>
      </c>
      <c r="AB263" s="457">
        <f>IF($AO263&lt;&gt;"OK",0,IF(AND(DATE('Thiết lập'!$B$4,7,1)&gt;=DATE(YEAR($H263),MONTH($H263),1),DATE('Thiết lập'!$B$4,7,1)&lt;EDATE(DATE(YEAR($H263),MONTH($H263),1),$O263)),MIN($P263,MAX(0,$N263-$U263-SUM($V263:AA263))),0))</f>
        <v/>
      </c>
      <c r="AC263" s="457">
        <f>IF($AO263&lt;&gt;"OK",0,IF(AND(DATE('Thiết lập'!$B$4,8,1)&gt;=DATE(YEAR($H263),MONTH($H263),1),DATE('Thiết lập'!$B$4,8,1)&lt;EDATE(DATE(YEAR($H263),MONTH($H263),1),$O263)),MIN($P263,MAX(0,$N263-$U263-SUM($V263:AB263))),0))</f>
        <v/>
      </c>
      <c r="AD263" s="457">
        <f>IF($AO263&lt;&gt;"OK",0,IF(AND(DATE('Thiết lập'!$B$4,9,1)&gt;=DATE(YEAR($H263),MONTH($H263),1),DATE('Thiết lập'!$B$4,9,1)&lt;EDATE(DATE(YEAR($H263),MONTH($H263),1),$O263)),MIN($P263,MAX(0,$N263-$U263-SUM($V263:AC263))),0))</f>
        <v/>
      </c>
      <c r="AE263" s="457">
        <f>IF($AO263&lt;&gt;"OK",0,IF(AND(DATE('Thiết lập'!$B$4,10,1)&gt;=DATE(YEAR($H263),MONTH($H263),1),DATE('Thiết lập'!$B$4,10,1)&lt;EDATE(DATE(YEAR($H263),MONTH($H263),1),$O263)),MIN($P263,MAX(0,$N263-$U263-SUM($V263:AD263))),0))</f>
        <v/>
      </c>
      <c r="AF263" s="457">
        <f>IF($AO263&lt;&gt;"OK",0,IF(AND(DATE('Thiết lập'!$B$4,11,1)&gt;=DATE(YEAR($H263),MONTH($H263),1),DATE('Thiết lập'!$B$4,11,1)&lt;EDATE(DATE(YEAR($H263),MONTH($H263),1),$O263)),MIN($P263,MAX(0,$N263-$U263-SUM($V263:AE263))),0))</f>
        <v/>
      </c>
      <c r="AG263" s="457">
        <f>IF($AO263&lt;&gt;"OK",0,IF(AND(DATE('Thiết lập'!$B$4,12,1)&gt;=DATE(YEAR($H263),MONTH($H263),1),DATE('Thiết lập'!$B$4,12,1)&lt;EDATE(DATE(YEAR($H263),MONTH($H263),1),$O263)),MIN($P263,MAX(0,$N263-$U263-SUM($V263:AF263))),0))</f>
        <v/>
      </c>
      <c r="AH263" s="457">
        <f>IF(B263="","",SUM(V263:AG263))</f>
        <v/>
      </c>
      <c r="AI263" s="457">
        <f>IF(B263="","",MIN(N263,IF(U263="",0,U263)+AH263))</f>
        <v/>
      </c>
      <c r="AJ263" s="457">
        <f>IF(B263="","",MAX(0,L263-AI263))</f>
        <v/>
      </c>
      <c r="AK263" s="337">
        <f>IF(B263="","",IF(H263&gt;'Thiết lập'!$B$5,"Chưa khấu hao",IF(AJ263&lt;=IF(M263="",0,M263),"Đã hết khấu hao","Đang khấu hao")))</f>
        <v/>
      </c>
      <c r="AL263" s="275" t="n"/>
      <c r="AM263" s="275" t="n"/>
      <c r="AN263" s="275" t="n"/>
      <c r="AO263" s="343">
        <f>IF(B263="","",IF(COUNTIF($B$7:$B$306,B263)&gt;1,"Trùng mã TSCĐ",IF(C263="","Thiếu tên TSCĐ",IF(H263="","Thiếu ngày bắt đầu",IF(OR(I263&lt;=0,L263&lt;=0,O263&lt;=0),"Kiểm tra số lượng/nguyên giá/thời gian",IF(AND(G263&lt;&gt;"",H263&lt;G263),"Ngày KH trước ngày ghi tăng",IF(M263&gt;L263,"Giá trị thu hồi vượt nguyên giá",IF(IF(U263="",0,U263)&gt;N263,"Lũy kế đầu năm vượt GTKH","OK"))))))))</f>
        <v/>
      </c>
    </row>
    <row r="264" ht="20" customHeight="1" s="389">
      <c r="A264" s="325">
        <f>IF(B264="","",ROW()-6)</f>
        <v/>
      </c>
      <c r="B264" s="275" t="n"/>
      <c r="C264" s="275" t="n"/>
      <c r="D264" s="331" t="n"/>
      <c r="E264" s="331" t="n"/>
      <c r="F264" s="454" t="n"/>
      <c r="G264" s="454" t="n"/>
      <c r="H264" s="454" t="n"/>
      <c r="I264" s="455" t="n"/>
      <c r="J264" s="456" t="n"/>
      <c r="K264" s="456" t="n"/>
      <c r="L264" s="457">
        <f>IF(B264="","",IF(OR(I264="",J264=""),"",I264*J264+IF(K264="",0,K264)))</f>
        <v/>
      </c>
      <c r="M264" s="456" t="n"/>
      <c r="N264" s="457">
        <f>IF(L264="","",MAX(0,L264-IF(M264="",0,M264)))</f>
        <v/>
      </c>
      <c r="O264" s="455" t="n"/>
      <c r="P264" s="457">
        <f>IF(OR(N264="",O264&lt;=0),"",ROUND(N264/O264,0))</f>
        <v/>
      </c>
      <c r="Q264" s="458">
        <f>IF(OR(H264="",O264&lt;=0),"",EOMONTH(H264,O264-1))</f>
        <v/>
      </c>
      <c r="R264" s="331" t="n"/>
      <c r="S264" s="331" t="n"/>
      <c r="T264" s="331" t="n"/>
      <c r="U264" s="456" t="n"/>
      <c r="V264" s="457">
        <f>IF($AO264&lt;&gt;"OK",0,IF(AND(DATE('Thiết lập'!$B$4,1,1)&gt;=DATE(YEAR($H264),MONTH($H264),1),DATE('Thiết lập'!$B$4,1,1)&lt;EDATE(DATE(YEAR($H264),MONTH($H264),1),$O264)),MIN($P264,MAX(0,$N264-$U264-0)),0))</f>
        <v/>
      </c>
      <c r="W264" s="457">
        <f>IF($AO264&lt;&gt;"OK",0,IF(AND(DATE('Thiết lập'!$B$4,2,1)&gt;=DATE(YEAR($H264),MONTH($H264),1),DATE('Thiết lập'!$B$4,2,1)&lt;EDATE(DATE(YEAR($H264),MONTH($H264),1),$O264)),MIN($P264,MAX(0,$N264-$U264-SUM($V264:V264))),0))</f>
        <v/>
      </c>
      <c r="X264" s="457">
        <f>IF($AO264&lt;&gt;"OK",0,IF(AND(DATE('Thiết lập'!$B$4,3,1)&gt;=DATE(YEAR($H264),MONTH($H264),1),DATE('Thiết lập'!$B$4,3,1)&lt;EDATE(DATE(YEAR($H264),MONTH($H264),1),$O264)),MIN($P264,MAX(0,$N264-$U264-SUM($V264:W264))),0))</f>
        <v/>
      </c>
      <c r="Y264" s="457">
        <f>IF($AO264&lt;&gt;"OK",0,IF(AND(DATE('Thiết lập'!$B$4,4,1)&gt;=DATE(YEAR($H264),MONTH($H264),1),DATE('Thiết lập'!$B$4,4,1)&lt;EDATE(DATE(YEAR($H264),MONTH($H264),1),$O264)),MIN($P264,MAX(0,$N264-$U264-SUM($V264:X264))),0))</f>
        <v/>
      </c>
      <c r="Z264" s="457">
        <f>IF($AO264&lt;&gt;"OK",0,IF(AND(DATE('Thiết lập'!$B$4,5,1)&gt;=DATE(YEAR($H264),MONTH($H264),1),DATE('Thiết lập'!$B$4,5,1)&lt;EDATE(DATE(YEAR($H264),MONTH($H264),1),$O264)),MIN($P264,MAX(0,$N264-$U264-SUM($V264:Y264))),0))</f>
        <v/>
      </c>
      <c r="AA264" s="457">
        <f>IF($AO264&lt;&gt;"OK",0,IF(AND(DATE('Thiết lập'!$B$4,6,1)&gt;=DATE(YEAR($H264),MONTH($H264),1),DATE('Thiết lập'!$B$4,6,1)&lt;EDATE(DATE(YEAR($H264),MONTH($H264),1),$O264)),MIN($P264,MAX(0,$N264-$U264-SUM($V264:Z264))),0))</f>
        <v/>
      </c>
      <c r="AB264" s="457">
        <f>IF($AO264&lt;&gt;"OK",0,IF(AND(DATE('Thiết lập'!$B$4,7,1)&gt;=DATE(YEAR($H264),MONTH($H264),1),DATE('Thiết lập'!$B$4,7,1)&lt;EDATE(DATE(YEAR($H264),MONTH($H264),1),$O264)),MIN($P264,MAX(0,$N264-$U264-SUM($V264:AA264))),0))</f>
        <v/>
      </c>
      <c r="AC264" s="457">
        <f>IF($AO264&lt;&gt;"OK",0,IF(AND(DATE('Thiết lập'!$B$4,8,1)&gt;=DATE(YEAR($H264),MONTH($H264),1),DATE('Thiết lập'!$B$4,8,1)&lt;EDATE(DATE(YEAR($H264),MONTH($H264),1),$O264)),MIN($P264,MAX(0,$N264-$U264-SUM($V264:AB264))),0))</f>
        <v/>
      </c>
      <c r="AD264" s="457">
        <f>IF($AO264&lt;&gt;"OK",0,IF(AND(DATE('Thiết lập'!$B$4,9,1)&gt;=DATE(YEAR($H264),MONTH($H264),1),DATE('Thiết lập'!$B$4,9,1)&lt;EDATE(DATE(YEAR($H264),MONTH($H264),1),$O264)),MIN($P264,MAX(0,$N264-$U264-SUM($V264:AC264))),0))</f>
        <v/>
      </c>
      <c r="AE264" s="457">
        <f>IF($AO264&lt;&gt;"OK",0,IF(AND(DATE('Thiết lập'!$B$4,10,1)&gt;=DATE(YEAR($H264),MONTH($H264),1),DATE('Thiết lập'!$B$4,10,1)&lt;EDATE(DATE(YEAR($H264),MONTH($H264),1),$O264)),MIN($P264,MAX(0,$N264-$U264-SUM($V264:AD264))),0))</f>
        <v/>
      </c>
      <c r="AF264" s="457">
        <f>IF($AO264&lt;&gt;"OK",0,IF(AND(DATE('Thiết lập'!$B$4,11,1)&gt;=DATE(YEAR($H264),MONTH($H264),1),DATE('Thiết lập'!$B$4,11,1)&lt;EDATE(DATE(YEAR($H264),MONTH($H264),1),$O264)),MIN($P264,MAX(0,$N264-$U264-SUM($V264:AE264))),0))</f>
        <v/>
      </c>
      <c r="AG264" s="457">
        <f>IF($AO264&lt;&gt;"OK",0,IF(AND(DATE('Thiết lập'!$B$4,12,1)&gt;=DATE(YEAR($H264),MONTH($H264),1),DATE('Thiết lập'!$B$4,12,1)&lt;EDATE(DATE(YEAR($H264),MONTH($H264),1),$O264)),MIN($P264,MAX(0,$N264-$U264-SUM($V264:AF264))),0))</f>
        <v/>
      </c>
      <c r="AH264" s="457">
        <f>IF(B264="","",SUM(V264:AG264))</f>
        <v/>
      </c>
      <c r="AI264" s="457">
        <f>IF(B264="","",MIN(N264,IF(U264="",0,U264)+AH264))</f>
        <v/>
      </c>
      <c r="AJ264" s="457">
        <f>IF(B264="","",MAX(0,L264-AI264))</f>
        <v/>
      </c>
      <c r="AK264" s="337">
        <f>IF(B264="","",IF(H264&gt;'Thiết lập'!$B$5,"Chưa khấu hao",IF(AJ264&lt;=IF(M264="",0,M264),"Đã hết khấu hao","Đang khấu hao")))</f>
        <v/>
      </c>
      <c r="AL264" s="275" t="n"/>
      <c r="AM264" s="275" t="n"/>
      <c r="AN264" s="275" t="n"/>
      <c r="AO264" s="343">
        <f>IF(B264="","",IF(COUNTIF($B$7:$B$306,B264)&gt;1,"Trùng mã TSCĐ",IF(C264="","Thiếu tên TSCĐ",IF(H264="","Thiếu ngày bắt đầu",IF(OR(I264&lt;=0,L264&lt;=0,O264&lt;=0),"Kiểm tra số lượng/nguyên giá/thời gian",IF(AND(G264&lt;&gt;"",H264&lt;G264),"Ngày KH trước ngày ghi tăng",IF(M264&gt;L264,"Giá trị thu hồi vượt nguyên giá",IF(IF(U264="",0,U264)&gt;N264,"Lũy kế đầu năm vượt GTKH","OK"))))))))</f>
        <v/>
      </c>
    </row>
    <row r="265" ht="20" customHeight="1" s="389">
      <c r="A265" s="325">
        <f>IF(B265="","",ROW()-6)</f>
        <v/>
      </c>
      <c r="B265" s="275" t="n"/>
      <c r="C265" s="275" t="n"/>
      <c r="D265" s="331" t="n"/>
      <c r="E265" s="331" t="n"/>
      <c r="F265" s="454" t="n"/>
      <c r="G265" s="454" t="n"/>
      <c r="H265" s="454" t="n"/>
      <c r="I265" s="455" t="n"/>
      <c r="J265" s="456" t="n"/>
      <c r="K265" s="456" t="n"/>
      <c r="L265" s="457">
        <f>IF(B265="","",IF(OR(I265="",J265=""),"",I265*J265+IF(K265="",0,K265)))</f>
        <v/>
      </c>
      <c r="M265" s="456" t="n"/>
      <c r="N265" s="457">
        <f>IF(L265="","",MAX(0,L265-IF(M265="",0,M265)))</f>
        <v/>
      </c>
      <c r="O265" s="455" t="n"/>
      <c r="P265" s="457">
        <f>IF(OR(N265="",O265&lt;=0),"",ROUND(N265/O265,0))</f>
        <v/>
      </c>
      <c r="Q265" s="458">
        <f>IF(OR(H265="",O265&lt;=0),"",EOMONTH(H265,O265-1))</f>
        <v/>
      </c>
      <c r="R265" s="331" t="n"/>
      <c r="S265" s="331" t="n"/>
      <c r="T265" s="331" t="n"/>
      <c r="U265" s="456" t="n"/>
      <c r="V265" s="457">
        <f>IF($AO265&lt;&gt;"OK",0,IF(AND(DATE('Thiết lập'!$B$4,1,1)&gt;=DATE(YEAR($H265),MONTH($H265),1),DATE('Thiết lập'!$B$4,1,1)&lt;EDATE(DATE(YEAR($H265),MONTH($H265),1),$O265)),MIN($P265,MAX(0,$N265-$U265-0)),0))</f>
        <v/>
      </c>
      <c r="W265" s="457">
        <f>IF($AO265&lt;&gt;"OK",0,IF(AND(DATE('Thiết lập'!$B$4,2,1)&gt;=DATE(YEAR($H265),MONTH($H265),1),DATE('Thiết lập'!$B$4,2,1)&lt;EDATE(DATE(YEAR($H265),MONTH($H265),1),$O265)),MIN($P265,MAX(0,$N265-$U265-SUM($V265:V265))),0))</f>
        <v/>
      </c>
      <c r="X265" s="457">
        <f>IF($AO265&lt;&gt;"OK",0,IF(AND(DATE('Thiết lập'!$B$4,3,1)&gt;=DATE(YEAR($H265),MONTH($H265),1),DATE('Thiết lập'!$B$4,3,1)&lt;EDATE(DATE(YEAR($H265),MONTH($H265),1),$O265)),MIN($P265,MAX(0,$N265-$U265-SUM($V265:W265))),0))</f>
        <v/>
      </c>
      <c r="Y265" s="457">
        <f>IF($AO265&lt;&gt;"OK",0,IF(AND(DATE('Thiết lập'!$B$4,4,1)&gt;=DATE(YEAR($H265),MONTH($H265),1),DATE('Thiết lập'!$B$4,4,1)&lt;EDATE(DATE(YEAR($H265),MONTH($H265),1),$O265)),MIN($P265,MAX(0,$N265-$U265-SUM($V265:X265))),0))</f>
        <v/>
      </c>
      <c r="Z265" s="457">
        <f>IF($AO265&lt;&gt;"OK",0,IF(AND(DATE('Thiết lập'!$B$4,5,1)&gt;=DATE(YEAR($H265),MONTH($H265),1),DATE('Thiết lập'!$B$4,5,1)&lt;EDATE(DATE(YEAR($H265),MONTH($H265),1),$O265)),MIN($P265,MAX(0,$N265-$U265-SUM($V265:Y265))),0))</f>
        <v/>
      </c>
      <c r="AA265" s="457">
        <f>IF($AO265&lt;&gt;"OK",0,IF(AND(DATE('Thiết lập'!$B$4,6,1)&gt;=DATE(YEAR($H265),MONTH($H265),1),DATE('Thiết lập'!$B$4,6,1)&lt;EDATE(DATE(YEAR($H265),MONTH($H265),1),$O265)),MIN($P265,MAX(0,$N265-$U265-SUM($V265:Z265))),0))</f>
        <v/>
      </c>
      <c r="AB265" s="457">
        <f>IF($AO265&lt;&gt;"OK",0,IF(AND(DATE('Thiết lập'!$B$4,7,1)&gt;=DATE(YEAR($H265),MONTH($H265),1),DATE('Thiết lập'!$B$4,7,1)&lt;EDATE(DATE(YEAR($H265),MONTH($H265),1),$O265)),MIN($P265,MAX(0,$N265-$U265-SUM($V265:AA265))),0))</f>
        <v/>
      </c>
      <c r="AC265" s="457">
        <f>IF($AO265&lt;&gt;"OK",0,IF(AND(DATE('Thiết lập'!$B$4,8,1)&gt;=DATE(YEAR($H265),MONTH($H265),1),DATE('Thiết lập'!$B$4,8,1)&lt;EDATE(DATE(YEAR($H265),MONTH($H265),1),$O265)),MIN($P265,MAX(0,$N265-$U265-SUM($V265:AB265))),0))</f>
        <v/>
      </c>
      <c r="AD265" s="457">
        <f>IF($AO265&lt;&gt;"OK",0,IF(AND(DATE('Thiết lập'!$B$4,9,1)&gt;=DATE(YEAR($H265),MONTH($H265),1),DATE('Thiết lập'!$B$4,9,1)&lt;EDATE(DATE(YEAR($H265),MONTH($H265),1),$O265)),MIN($P265,MAX(0,$N265-$U265-SUM($V265:AC265))),0))</f>
        <v/>
      </c>
      <c r="AE265" s="457">
        <f>IF($AO265&lt;&gt;"OK",0,IF(AND(DATE('Thiết lập'!$B$4,10,1)&gt;=DATE(YEAR($H265),MONTH($H265),1),DATE('Thiết lập'!$B$4,10,1)&lt;EDATE(DATE(YEAR($H265),MONTH($H265),1),$O265)),MIN($P265,MAX(0,$N265-$U265-SUM($V265:AD265))),0))</f>
        <v/>
      </c>
      <c r="AF265" s="457">
        <f>IF($AO265&lt;&gt;"OK",0,IF(AND(DATE('Thiết lập'!$B$4,11,1)&gt;=DATE(YEAR($H265),MONTH($H265),1),DATE('Thiết lập'!$B$4,11,1)&lt;EDATE(DATE(YEAR($H265),MONTH($H265),1),$O265)),MIN($P265,MAX(0,$N265-$U265-SUM($V265:AE265))),0))</f>
        <v/>
      </c>
      <c r="AG265" s="457">
        <f>IF($AO265&lt;&gt;"OK",0,IF(AND(DATE('Thiết lập'!$B$4,12,1)&gt;=DATE(YEAR($H265),MONTH($H265),1),DATE('Thiết lập'!$B$4,12,1)&lt;EDATE(DATE(YEAR($H265),MONTH($H265),1),$O265)),MIN($P265,MAX(0,$N265-$U265-SUM($V265:AF265))),0))</f>
        <v/>
      </c>
      <c r="AH265" s="457">
        <f>IF(B265="","",SUM(V265:AG265))</f>
        <v/>
      </c>
      <c r="AI265" s="457">
        <f>IF(B265="","",MIN(N265,IF(U265="",0,U265)+AH265))</f>
        <v/>
      </c>
      <c r="AJ265" s="457">
        <f>IF(B265="","",MAX(0,L265-AI265))</f>
        <v/>
      </c>
      <c r="AK265" s="337">
        <f>IF(B265="","",IF(H265&gt;'Thiết lập'!$B$5,"Chưa khấu hao",IF(AJ265&lt;=IF(M265="",0,M265),"Đã hết khấu hao","Đang khấu hao")))</f>
        <v/>
      </c>
      <c r="AL265" s="275" t="n"/>
      <c r="AM265" s="275" t="n"/>
      <c r="AN265" s="275" t="n"/>
      <c r="AO265" s="343">
        <f>IF(B265="","",IF(COUNTIF($B$7:$B$306,B265)&gt;1,"Trùng mã TSCĐ",IF(C265="","Thiếu tên TSCĐ",IF(H265="","Thiếu ngày bắt đầu",IF(OR(I265&lt;=0,L265&lt;=0,O265&lt;=0),"Kiểm tra số lượng/nguyên giá/thời gian",IF(AND(G265&lt;&gt;"",H265&lt;G265),"Ngày KH trước ngày ghi tăng",IF(M265&gt;L265,"Giá trị thu hồi vượt nguyên giá",IF(IF(U265="",0,U265)&gt;N265,"Lũy kế đầu năm vượt GTKH","OK"))))))))</f>
        <v/>
      </c>
    </row>
    <row r="266" ht="20" customHeight="1" s="389">
      <c r="A266" s="325">
        <f>IF(B266="","",ROW()-6)</f>
        <v/>
      </c>
      <c r="B266" s="275" t="n"/>
      <c r="C266" s="275" t="n"/>
      <c r="D266" s="331" t="n"/>
      <c r="E266" s="331" t="n"/>
      <c r="F266" s="454" t="n"/>
      <c r="G266" s="454" t="n"/>
      <c r="H266" s="454" t="n"/>
      <c r="I266" s="455" t="n"/>
      <c r="J266" s="456" t="n"/>
      <c r="K266" s="456" t="n"/>
      <c r="L266" s="457">
        <f>IF(B266="","",IF(OR(I266="",J266=""),"",I266*J266+IF(K266="",0,K266)))</f>
        <v/>
      </c>
      <c r="M266" s="456" t="n"/>
      <c r="N266" s="457">
        <f>IF(L266="","",MAX(0,L266-IF(M266="",0,M266)))</f>
        <v/>
      </c>
      <c r="O266" s="455" t="n"/>
      <c r="P266" s="457">
        <f>IF(OR(N266="",O266&lt;=0),"",ROUND(N266/O266,0))</f>
        <v/>
      </c>
      <c r="Q266" s="458">
        <f>IF(OR(H266="",O266&lt;=0),"",EOMONTH(H266,O266-1))</f>
        <v/>
      </c>
      <c r="R266" s="331" t="n"/>
      <c r="S266" s="331" t="n"/>
      <c r="T266" s="331" t="n"/>
      <c r="U266" s="456" t="n"/>
      <c r="V266" s="457">
        <f>IF($AO266&lt;&gt;"OK",0,IF(AND(DATE('Thiết lập'!$B$4,1,1)&gt;=DATE(YEAR($H266),MONTH($H266),1),DATE('Thiết lập'!$B$4,1,1)&lt;EDATE(DATE(YEAR($H266),MONTH($H266),1),$O266)),MIN($P266,MAX(0,$N266-$U266-0)),0))</f>
        <v/>
      </c>
      <c r="W266" s="457">
        <f>IF($AO266&lt;&gt;"OK",0,IF(AND(DATE('Thiết lập'!$B$4,2,1)&gt;=DATE(YEAR($H266),MONTH($H266),1),DATE('Thiết lập'!$B$4,2,1)&lt;EDATE(DATE(YEAR($H266),MONTH($H266),1),$O266)),MIN($P266,MAX(0,$N266-$U266-SUM($V266:V266))),0))</f>
        <v/>
      </c>
      <c r="X266" s="457">
        <f>IF($AO266&lt;&gt;"OK",0,IF(AND(DATE('Thiết lập'!$B$4,3,1)&gt;=DATE(YEAR($H266),MONTH($H266),1),DATE('Thiết lập'!$B$4,3,1)&lt;EDATE(DATE(YEAR($H266),MONTH($H266),1),$O266)),MIN($P266,MAX(0,$N266-$U266-SUM($V266:W266))),0))</f>
        <v/>
      </c>
      <c r="Y266" s="457">
        <f>IF($AO266&lt;&gt;"OK",0,IF(AND(DATE('Thiết lập'!$B$4,4,1)&gt;=DATE(YEAR($H266),MONTH($H266),1),DATE('Thiết lập'!$B$4,4,1)&lt;EDATE(DATE(YEAR($H266),MONTH($H266),1),$O266)),MIN($P266,MAX(0,$N266-$U266-SUM($V266:X266))),0))</f>
        <v/>
      </c>
      <c r="Z266" s="457">
        <f>IF($AO266&lt;&gt;"OK",0,IF(AND(DATE('Thiết lập'!$B$4,5,1)&gt;=DATE(YEAR($H266),MONTH($H266),1),DATE('Thiết lập'!$B$4,5,1)&lt;EDATE(DATE(YEAR($H266),MONTH($H266),1),$O266)),MIN($P266,MAX(0,$N266-$U266-SUM($V266:Y266))),0))</f>
        <v/>
      </c>
      <c r="AA266" s="457">
        <f>IF($AO266&lt;&gt;"OK",0,IF(AND(DATE('Thiết lập'!$B$4,6,1)&gt;=DATE(YEAR($H266),MONTH($H266),1),DATE('Thiết lập'!$B$4,6,1)&lt;EDATE(DATE(YEAR($H266),MONTH($H266),1),$O266)),MIN($P266,MAX(0,$N266-$U266-SUM($V266:Z266))),0))</f>
        <v/>
      </c>
      <c r="AB266" s="457">
        <f>IF($AO266&lt;&gt;"OK",0,IF(AND(DATE('Thiết lập'!$B$4,7,1)&gt;=DATE(YEAR($H266),MONTH($H266),1),DATE('Thiết lập'!$B$4,7,1)&lt;EDATE(DATE(YEAR($H266),MONTH($H266),1),$O266)),MIN($P266,MAX(0,$N266-$U266-SUM($V266:AA266))),0))</f>
        <v/>
      </c>
      <c r="AC266" s="457">
        <f>IF($AO266&lt;&gt;"OK",0,IF(AND(DATE('Thiết lập'!$B$4,8,1)&gt;=DATE(YEAR($H266),MONTH($H266),1),DATE('Thiết lập'!$B$4,8,1)&lt;EDATE(DATE(YEAR($H266),MONTH($H266),1),$O266)),MIN($P266,MAX(0,$N266-$U266-SUM($V266:AB266))),0))</f>
        <v/>
      </c>
      <c r="AD266" s="457">
        <f>IF($AO266&lt;&gt;"OK",0,IF(AND(DATE('Thiết lập'!$B$4,9,1)&gt;=DATE(YEAR($H266),MONTH($H266),1),DATE('Thiết lập'!$B$4,9,1)&lt;EDATE(DATE(YEAR($H266),MONTH($H266),1),$O266)),MIN($P266,MAX(0,$N266-$U266-SUM($V266:AC266))),0))</f>
        <v/>
      </c>
      <c r="AE266" s="457">
        <f>IF($AO266&lt;&gt;"OK",0,IF(AND(DATE('Thiết lập'!$B$4,10,1)&gt;=DATE(YEAR($H266),MONTH($H266),1),DATE('Thiết lập'!$B$4,10,1)&lt;EDATE(DATE(YEAR($H266),MONTH($H266),1),$O266)),MIN($P266,MAX(0,$N266-$U266-SUM($V266:AD266))),0))</f>
        <v/>
      </c>
      <c r="AF266" s="457">
        <f>IF($AO266&lt;&gt;"OK",0,IF(AND(DATE('Thiết lập'!$B$4,11,1)&gt;=DATE(YEAR($H266),MONTH($H266),1),DATE('Thiết lập'!$B$4,11,1)&lt;EDATE(DATE(YEAR($H266),MONTH($H266),1),$O266)),MIN($P266,MAX(0,$N266-$U266-SUM($V266:AE266))),0))</f>
        <v/>
      </c>
      <c r="AG266" s="457">
        <f>IF($AO266&lt;&gt;"OK",0,IF(AND(DATE('Thiết lập'!$B$4,12,1)&gt;=DATE(YEAR($H266),MONTH($H266),1),DATE('Thiết lập'!$B$4,12,1)&lt;EDATE(DATE(YEAR($H266),MONTH($H266),1),$O266)),MIN($P266,MAX(0,$N266-$U266-SUM($V266:AF266))),0))</f>
        <v/>
      </c>
      <c r="AH266" s="457">
        <f>IF(B266="","",SUM(V266:AG266))</f>
        <v/>
      </c>
      <c r="AI266" s="457">
        <f>IF(B266="","",MIN(N266,IF(U266="",0,U266)+AH266))</f>
        <v/>
      </c>
      <c r="AJ266" s="457">
        <f>IF(B266="","",MAX(0,L266-AI266))</f>
        <v/>
      </c>
      <c r="AK266" s="337">
        <f>IF(B266="","",IF(H266&gt;'Thiết lập'!$B$5,"Chưa khấu hao",IF(AJ266&lt;=IF(M266="",0,M266),"Đã hết khấu hao","Đang khấu hao")))</f>
        <v/>
      </c>
      <c r="AL266" s="275" t="n"/>
      <c r="AM266" s="275" t="n"/>
      <c r="AN266" s="275" t="n"/>
      <c r="AO266" s="343">
        <f>IF(B266="","",IF(COUNTIF($B$7:$B$306,B266)&gt;1,"Trùng mã TSCĐ",IF(C266="","Thiếu tên TSCĐ",IF(H266="","Thiếu ngày bắt đầu",IF(OR(I266&lt;=0,L266&lt;=0,O266&lt;=0),"Kiểm tra số lượng/nguyên giá/thời gian",IF(AND(G266&lt;&gt;"",H266&lt;G266),"Ngày KH trước ngày ghi tăng",IF(M266&gt;L266,"Giá trị thu hồi vượt nguyên giá",IF(IF(U266="",0,U266)&gt;N266,"Lũy kế đầu năm vượt GTKH","OK"))))))))</f>
        <v/>
      </c>
    </row>
    <row r="267" ht="20" customHeight="1" s="389">
      <c r="A267" s="325">
        <f>IF(B267="","",ROW()-6)</f>
        <v/>
      </c>
      <c r="B267" s="275" t="n"/>
      <c r="C267" s="275" t="n"/>
      <c r="D267" s="331" t="n"/>
      <c r="E267" s="331" t="n"/>
      <c r="F267" s="454" t="n"/>
      <c r="G267" s="454" t="n"/>
      <c r="H267" s="454" t="n"/>
      <c r="I267" s="455" t="n"/>
      <c r="J267" s="456" t="n"/>
      <c r="K267" s="456" t="n"/>
      <c r="L267" s="457">
        <f>IF(B267="","",IF(OR(I267="",J267=""),"",I267*J267+IF(K267="",0,K267)))</f>
        <v/>
      </c>
      <c r="M267" s="456" t="n"/>
      <c r="N267" s="457">
        <f>IF(L267="","",MAX(0,L267-IF(M267="",0,M267)))</f>
        <v/>
      </c>
      <c r="O267" s="455" t="n"/>
      <c r="P267" s="457">
        <f>IF(OR(N267="",O267&lt;=0),"",ROUND(N267/O267,0))</f>
        <v/>
      </c>
      <c r="Q267" s="458">
        <f>IF(OR(H267="",O267&lt;=0),"",EOMONTH(H267,O267-1))</f>
        <v/>
      </c>
      <c r="R267" s="331" t="n"/>
      <c r="S267" s="331" t="n"/>
      <c r="T267" s="331" t="n"/>
      <c r="U267" s="456" t="n"/>
      <c r="V267" s="457">
        <f>IF($AO267&lt;&gt;"OK",0,IF(AND(DATE('Thiết lập'!$B$4,1,1)&gt;=DATE(YEAR($H267),MONTH($H267),1),DATE('Thiết lập'!$B$4,1,1)&lt;EDATE(DATE(YEAR($H267),MONTH($H267),1),$O267)),MIN($P267,MAX(0,$N267-$U267-0)),0))</f>
        <v/>
      </c>
      <c r="W267" s="457">
        <f>IF($AO267&lt;&gt;"OK",0,IF(AND(DATE('Thiết lập'!$B$4,2,1)&gt;=DATE(YEAR($H267),MONTH($H267),1),DATE('Thiết lập'!$B$4,2,1)&lt;EDATE(DATE(YEAR($H267),MONTH($H267),1),$O267)),MIN($P267,MAX(0,$N267-$U267-SUM($V267:V267))),0))</f>
        <v/>
      </c>
      <c r="X267" s="457">
        <f>IF($AO267&lt;&gt;"OK",0,IF(AND(DATE('Thiết lập'!$B$4,3,1)&gt;=DATE(YEAR($H267),MONTH($H267),1),DATE('Thiết lập'!$B$4,3,1)&lt;EDATE(DATE(YEAR($H267),MONTH($H267),1),$O267)),MIN($P267,MAX(0,$N267-$U267-SUM($V267:W267))),0))</f>
        <v/>
      </c>
      <c r="Y267" s="457">
        <f>IF($AO267&lt;&gt;"OK",0,IF(AND(DATE('Thiết lập'!$B$4,4,1)&gt;=DATE(YEAR($H267),MONTH($H267),1),DATE('Thiết lập'!$B$4,4,1)&lt;EDATE(DATE(YEAR($H267),MONTH($H267),1),$O267)),MIN($P267,MAX(0,$N267-$U267-SUM($V267:X267))),0))</f>
        <v/>
      </c>
      <c r="Z267" s="457">
        <f>IF($AO267&lt;&gt;"OK",0,IF(AND(DATE('Thiết lập'!$B$4,5,1)&gt;=DATE(YEAR($H267),MONTH($H267),1),DATE('Thiết lập'!$B$4,5,1)&lt;EDATE(DATE(YEAR($H267),MONTH($H267),1),$O267)),MIN($P267,MAX(0,$N267-$U267-SUM($V267:Y267))),0))</f>
        <v/>
      </c>
      <c r="AA267" s="457">
        <f>IF($AO267&lt;&gt;"OK",0,IF(AND(DATE('Thiết lập'!$B$4,6,1)&gt;=DATE(YEAR($H267),MONTH($H267),1),DATE('Thiết lập'!$B$4,6,1)&lt;EDATE(DATE(YEAR($H267),MONTH($H267),1),$O267)),MIN($P267,MAX(0,$N267-$U267-SUM($V267:Z267))),0))</f>
        <v/>
      </c>
      <c r="AB267" s="457">
        <f>IF($AO267&lt;&gt;"OK",0,IF(AND(DATE('Thiết lập'!$B$4,7,1)&gt;=DATE(YEAR($H267),MONTH($H267),1),DATE('Thiết lập'!$B$4,7,1)&lt;EDATE(DATE(YEAR($H267),MONTH($H267),1),$O267)),MIN($P267,MAX(0,$N267-$U267-SUM($V267:AA267))),0))</f>
        <v/>
      </c>
      <c r="AC267" s="457">
        <f>IF($AO267&lt;&gt;"OK",0,IF(AND(DATE('Thiết lập'!$B$4,8,1)&gt;=DATE(YEAR($H267),MONTH($H267),1),DATE('Thiết lập'!$B$4,8,1)&lt;EDATE(DATE(YEAR($H267),MONTH($H267),1),$O267)),MIN($P267,MAX(0,$N267-$U267-SUM($V267:AB267))),0))</f>
        <v/>
      </c>
      <c r="AD267" s="457">
        <f>IF($AO267&lt;&gt;"OK",0,IF(AND(DATE('Thiết lập'!$B$4,9,1)&gt;=DATE(YEAR($H267),MONTH($H267),1),DATE('Thiết lập'!$B$4,9,1)&lt;EDATE(DATE(YEAR($H267),MONTH($H267),1),$O267)),MIN($P267,MAX(0,$N267-$U267-SUM($V267:AC267))),0))</f>
        <v/>
      </c>
      <c r="AE267" s="457">
        <f>IF($AO267&lt;&gt;"OK",0,IF(AND(DATE('Thiết lập'!$B$4,10,1)&gt;=DATE(YEAR($H267),MONTH($H267),1),DATE('Thiết lập'!$B$4,10,1)&lt;EDATE(DATE(YEAR($H267),MONTH($H267),1),$O267)),MIN($P267,MAX(0,$N267-$U267-SUM($V267:AD267))),0))</f>
        <v/>
      </c>
      <c r="AF267" s="457">
        <f>IF($AO267&lt;&gt;"OK",0,IF(AND(DATE('Thiết lập'!$B$4,11,1)&gt;=DATE(YEAR($H267),MONTH($H267),1),DATE('Thiết lập'!$B$4,11,1)&lt;EDATE(DATE(YEAR($H267),MONTH($H267),1),$O267)),MIN($P267,MAX(0,$N267-$U267-SUM($V267:AE267))),0))</f>
        <v/>
      </c>
      <c r="AG267" s="457">
        <f>IF($AO267&lt;&gt;"OK",0,IF(AND(DATE('Thiết lập'!$B$4,12,1)&gt;=DATE(YEAR($H267),MONTH($H267),1),DATE('Thiết lập'!$B$4,12,1)&lt;EDATE(DATE(YEAR($H267),MONTH($H267),1),$O267)),MIN($P267,MAX(0,$N267-$U267-SUM($V267:AF267))),0))</f>
        <v/>
      </c>
      <c r="AH267" s="457">
        <f>IF(B267="","",SUM(V267:AG267))</f>
        <v/>
      </c>
      <c r="AI267" s="457">
        <f>IF(B267="","",MIN(N267,IF(U267="",0,U267)+AH267))</f>
        <v/>
      </c>
      <c r="AJ267" s="457">
        <f>IF(B267="","",MAX(0,L267-AI267))</f>
        <v/>
      </c>
      <c r="AK267" s="337">
        <f>IF(B267="","",IF(H267&gt;'Thiết lập'!$B$5,"Chưa khấu hao",IF(AJ267&lt;=IF(M267="",0,M267),"Đã hết khấu hao","Đang khấu hao")))</f>
        <v/>
      </c>
      <c r="AL267" s="275" t="n"/>
      <c r="AM267" s="275" t="n"/>
      <c r="AN267" s="275" t="n"/>
      <c r="AO267" s="343">
        <f>IF(B267="","",IF(COUNTIF($B$7:$B$306,B267)&gt;1,"Trùng mã TSCĐ",IF(C267="","Thiếu tên TSCĐ",IF(H267="","Thiếu ngày bắt đầu",IF(OR(I267&lt;=0,L267&lt;=0,O267&lt;=0),"Kiểm tra số lượng/nguyên giá/thời gian",IF(AND(G267&lt;&gt;"",H267&lt;G267),"Ngày KH trước ngày ghi tăng",IF(M267&gt;L267,"Giá trị thu hồi vượt nguyên giá",IF(IF(U267="",0,U267)&gt;N267,"Lũy kế đầu năm vượt GTKH","OK"))))))))</f>
        <v/>
      </c>
    </row>
    <row r="268" ht="20" customHeight="1" s="389">
      <c r="A268" s="325">
        <f>IF(B268="","",ROW()-6)</f>
        <v/>
      </c>
      <c r="B268" s="275" t="n"/>
      <c r="C268" s="275" t="n"/>
      <c r="D268" s="331" t="n"/>
      <c r="E268" s="331" t="n"/>
      <c r="F268" s="454" t="n"/>
      <c r="G268" s="454" t="n"/>
      <c r="H268" s="454" t="n"/>
      <c r="I268" s="455" t="n"/>
      <c r="J268" s="456" t="n"/>
      <c r="K268" s="456" t="n"/>
      <c r="L268" s="457">
        <f>IF(B268="","",IF(OR(I268="",J268=""),"",I268*J268+IF(K268="",0,K268)))</f>
        <v/>
      </c>
      <c r="M268" s="456" t="n"/>
      <c r="N268" s="457">
        <f>IF(L268="","",MAX(0,L268-IF(M268="",0,M268)))</f>
        <v/>
      </c>
      <c r="O268" s="455" t="n"/>
      <c r="P268" s="457">
        <f>IF(OR(N268="",O268&lt;=0),"",ROUND(N268/O268,0))</f>
        <v/>
      </c>
      <c r="Q268" s="458">
        <f>IF(OR(H268="",O268&lt;=0),"",EOMONTH(H268,O268-1))</f>
        <v/>
      </c>
      <c r="R268" s="331" t="n"/>
      <c r="S268" s="331" t="n"/>
      <c r="T268" s="331" t="n"/>
      <c r="U268" s="456" t="n"/>
      <c r="V268" s="457">
        <f>IF($AO268&lt;&gt;"OK",0,IF(AND(DATE('Thiết lập'!$B$4,1,1)&gt;=DATE(YEAR($H268),MONTH($H268),1),DATE('Thiết lập'!$B$4,1,1)&lt;EDATE(DATE(YEAR($H268),MONTH($H268),1),$O268)),MIN($P268,MAX(0,$N268-$U268-0)),0))</f>
        <v/>
      </c>
      <c r="W268" s="457">
        <f>IF($AO268&lt;&gt;"OK",0,IF(AND(DATE('Thiết lập'!$B$4,2,1)&gt;=DATE(YEAR($H268),MONTH($H268),1),DATE('Thiết lập'!$B$4,2,1)&lt;EDATE(DATE(YEAR($H268),MONTH($H268),1),$O268)),MIN($P268,MAX(0,$N268-$U268-SUM($V268:V268))),0))</f>
        <v/>
      </c>
      <c r="X268" s="457">
        <f>IF($AO268&lt;&gt;"OK",0,IF(AND(DATE('Thiết lập'!$B$4,3,1)&gt;=DATE(YEAR($H268),MONTH($H268),1),DATE('Thiết lập'!$B$4,3,1)&lt;EDATE(DATE(YEAR($H268),MONTH($H268),1),$O268)),MIN($P268,MAX(0,$N268-$U268-SUM($V268:W268))),0))</f>
        <v/>
      </c>
      <c r="Y268" s="457">
        <f>IF($AO268&lt;&gt;"OK",0,IF(AND(DATE('Thiết lập'!$B$4,4,1)&gt;=DATE(YEAR($H268),MONTH($H268),1),DATE('Thiết lập'!$B$4,4,1)&lt;EDATE(DATE(YEAR($H268),MONTH($H268),1),$O268)),MIN($P268,MAX(0,$N268-$U268-SUM($V268:X268))),0))</f>
        <v/>
      </c>
      <c r="Z268" s="457">
        <f>IF($AO268&lt;&gt;"OK",0,IF(AND(DATE('Thiết lập'!$B$4,5,1)&gt;=DATE(YEAR($H268),MONTH($H268),1),DATE('Thiết lập'!$B$4,5,1)&lt;EDATE(DATE(YEAR($H268),MONTH($H268),1),$O268)),MIN($P268,MAX(0,$N268-$U268-SUM($V268:Y268))),0))</f>
        <v/>
      </c>
      <c r="AA268" s="457">
        <f>IF($AO268&lt;&gt;"OK",0,IF(AND(DATE('Thiết lập'!$B$4,6,1)&gt;=DATE(YEAR($H268),MONTH($H268),1),DATE('Thiết lập'!$B$4,6,1)&lt;EDATE(DATE(YEAR($H268),MONTH($H268),1),$O268)),MIN($P268,MAX(0,$N268-$U268-SUM($V268:Z268))),0))</f>
        <v/>
      </c>
      <c r="AB268" s="457">
        <f>IF($AO268&lt;&gt;"OK",0,IF(AND(DATE('Thiết lập'!$B$4,7,1)&gt;=DATE(YEAR($H268),MONTH($H268),1),DATE('Thiết lập'!$B$4,7,1)&lt;EDATE(DATE(YEAR($H268),MONTH($H268),1),$O268)),MIN($P268,MAX(0,$N268-$U268-SUM($V268:AA268))),0))</f>
        <v/>
      </c>
      <c r="AC268" s="457">
        <f>IF($AO268&lt;&gt;"OK",0,IF(AND(DATE('Thiết lập'!$B$4,8,1)&gt;=DATE(YEAR($H268),MONTH($H268),1),DATE('Thiết lập'!$B$4,8,1)&lt;EDATE(DATE(YEAR($H268),MONTH($H268),1),$O268)),MIN($P268,MAX(0,$N268-$U268-SUM($V268:AB268))),0))</f>
        <v/>
      </c>
      <c r="AD268" s="457">
        <f>IF($AO268&lt;&gt;"OK",0,IF(AND(DATE('Thiết lập'!$B$4,9,1)&gt;=DATE(YEAR($H268),MONTH($H268),1),DATE('Thiết lập'!$B$4,9,1)&lt;EDATE(DATE(YEAR($H268),MONTH($H268),1),$O268)),MIN($P268,MAX(0,$N268-$U268-SUM($V268:AC268))),0))</f>
        <v/>
      </c>
      <c r="AE268" s="457">
        <f>IF($AO268&lt;&gt;"OK",0,IF(AND(DATE('Thiết lập'!$B$4,10,1)&gt;=DATE(YEAR($H268),MONTH($H268),1),DATE('Thiết lập'!$B$4,10,1)&lt;EDATE(DATE(YEAR($H268),MONTH($H268),1),$O268)),MIN($P268,MAX(0,$N268-$U268-SUM($V268:AD268))),0))</f>
        <v/>
      </c>
      <c r="AF268" s="457">
        <f>IF($AO268&lt;&gt;"OK",0,IF(AND(DATE('Thiết lập'!$B$4,11,1)&gt;=DATE(YEAR($H268),MONTH($H268),1),DATE('Thiết lập'!$B$4,11,1)&lt;EDATE(DATE(YEAR($H268),MONTH($H268),1),$O268)),MIN($P268,MAX(0,$N268-$U268-SUM($V268:AE268))),0))</f>
        <v/>
      </c>
      <c r="AG268" s="457">
        <f>IF($AO268&lt;&gt;"OK",0,IF(AND(DATE('Thiết lập'!$B$4,12,1)&gt;=DATE(YEAR($H268),MONTH($H268),1),DATE('Thiết lập'!$B$4,12,1)&lt;EDATE(DATE(YEAR($H268),MONTH($H268),1),$O268)),MIN($P268,MAX(0,$N268-$U268-SUM($V268:AF268))),0))</f>
        <v/>
      </c>
      <c r="AH268" s="457">
        <f>IF(B268="","",SUM(V268:AG268))</f>
        <v/>
      </c>
      <c r="AI268" s="457">
        <f>IF(B268="","",MIN(N268,IF(U268="",0,U268)+AH268))</f>
        <v/>
      </c>
      <c r="AJ268" s="457">
        <f>IF(B268="","",MAX(0,L268-AI268))</f>
        <v/>
      </c>
      <c r="AK268" s="337">
        <f>IF(B268="","",IF(H268&gt;'Thiết lập'!$B$5,"Chưa khấu hao",IF(AJ268&lt;=IF(M268="",0,M268),"Đã hết khấu hao","Đang khấu hao")))</f>
        <v/>
      </c>
      <c r="AL268" s="275" t="n"/>
      <c r="AM268" s="275" t="n"/>
      <c r="AN268" s="275" t="n"/>
      <c r="AO268" s="343">
        <f>IF(B268="","",IF(COUNTIF($B$7:$B$306,B268)&gt;1,"Trùng mã TSCĐ",IF(C268="","Thiếu tên TSCĐ",IF(H268="","Thiếu ngày bắt đầu",IF(OR(I268&lt;=0,L268&lt;=0,O268&lt;=0),"Kiểm tra số lượng/nguyên giá/thời gian",IF(AND(G268&lt;&gt;"",H268&lt;G268),"Ngày KH trước ngày ghi tăng",IF(M268&gt;L268,"Giá trị thu hồi vượt nguyên giá",IF(IF(U268="",0,U268)&gt;N268,"Lũy kế đầu năm vượt GTKH","OK"))))))))</f>
        <v/>
      </c>
    </row>
    <row r="269" ht="20" customHeight="1" s="389">
      <c r="A269" s="325">
        <f>IF(B269="","",ROW()-6)</f>
        <v/>
      </c>
      <c r="B269" s="275" t="n"/>
      <c r="C269" s="275" t="n"/>
      <c r="D269" s="331" t="n"/>
      <c r="E269" s="331" t="n"/>
      <c r="F269" s="454" t="n"/>
      <c r="G269" s="454" t="n"/>
      <c r="H269" s="454" t="n"/>
      <c r="I269" s="455" t="n"/>
      <c r="J269" s="456" t="n"/>
      <c r="K269" s="456" t="n"/>
      <c r="L269" s="457">
        <f>IF(B269="","",IF(OR(I269="",J269=""),"",I269*J269+IF(K269="",0,K269)))</f>
        <v/>
      </c>
      <c r="M269" s="456" t="n"/>
      <c r="N269" s="457">
        <f>IF(L269="","",MAX(0,L269-IF(M269="",0,M269)))</f>
        <v/>
      </c>
      <c r="O269" s="455" t="n"/>
      <c r="P269" s="457">
        <f>IF(OR(N269="",O269&lt;=0),"",ROUND(N269/O269,0))</f>
        <v/>
      </c>
      <c r="Q269" s="458">
        <f>IF(OR(H269="",O269&lt;=0),"",EOMONTH(H269,O269-1))</f>
        <v/>
      </c>
      <c r="R269" s="331" t="n"/>
      <c r="S269" s="331" t="n"/>
      <c r="T269" s="331" t="n"/>
      <c r="U269" s="456" t="n"/>
      <c r="V269" s="457">
        <f>IF($AO269&lt;&gt;"OK",0,IF(AND(DATE('Thiết lập'!$B$4,1,1)&gt;=DATE(YEAR($H269),MONTH($H269),1),DATE('Thiết lập'!$B$4,1,1)&lt;EDATE(DATE(YEAR($H269),MONTH($H269),1),$O269)),MIN($P269,MAX(0,$N269-$U269-0)),0))</f>
        <v/>
      </c>
      <c r="W269" s="457">
        <f>IF($AO269&lt;&gt;"OK",0,IF(AND(DATE('Thiết lập'!$B$4,2,1)&gt;=DATE(YEAR($H269),MONTH($H269),1),DATE('Thiết lập'!$B$4,2,1)&lt;EDATE(DATE(YEAR($H269),MONTH($H269),1),$O269)),MIN($P269,MAX(0,$N269-$U269-SUM($V269:V269))),0))</f>
        <v/>
      </c>
      <c r="X269" s="457">
        <f>IF($AO269&lt;&gt;"OK",0,IF(AND(DATE('Thiết lập'!$B$4,3,1)&gt;=DATE(YEAR($H269),MONTH($H269),1),DATE('Thiết lập'!$B$4,3,1)&lt;EDATE(DATE(YEAR($H269),MONTH($H269),1),$O269)),MIN($P269,MAX(0,$N269-$U269-SUM($V269:W269))),0))</f>
        <v/>
      </c>
      <c r="Y269" s="457">
        <f>IF($AO269&lt;&gt;"OK",0,IF(AND(DATE('Thiết lập'!$B$4,4,1)&gt;=DATE(YEAR($H269),MONTH($H269),1),DATE('Thiết lập'!$B$4,4,1)&lt;EDATE(DATE(YEAR($H269),MONTH($H269),1),$O269)),MIN($P269,MAX(0,$N269-$U269-SUM($V269:X269))),0))</f>
        <v/>
      </c>
      <c r="Z269" s="457">
        <f>IF($AO269&lt;&gt;"OK",0,IF(AND(DATE('Thiết lập'!$B$4,5,1)&gt;=DATE(YEAR($H269),MONTH($H269),1),DATE('Thiết lập'!$B$4,5,1)&lt;EDATE(DATE(YEAR($H269),MONTH($H269),1),$O269)),MIN($P269,MAX(0,$N269-$U269-SUM($V269:Y269))),0))</f>
        <v/>
      </c>
      <c r="AA269" s="457">
        <f>IF($AO269&lt;&gt;"OK",0,IF(AND(DATE('Thiết lập'!$B$4,6,1)&gt;=DATE(YEAR($H269),MONTH($H269),1),DATE('Thiết lập'!$B$4,6,1)&lt;EDATE(DATE(YEAR($H269),MONTH($H269),1),$O269)),MIN($P269,MAX(0,$N269-$U269-SUM($V269:Z269))),0))</f>
        <v/>
      </c>
      <c r="AB269" s="457">
        <f>IF($AO269&lt;&gt;"OK",0,IF(AND(DATE('Thiết lập'!$B$4,7,1)&gt;=DATE(YEAR($H269),MONTH($H269),1),DATE('Thiết lập'!$B$4,7,1)&lt;EDATE(DATE(YEAR($H269),MONTH($H269),1),$O269)),MIN($P269,MAX(0,$N269-$U269-SUM($V269:AA269))),0))</f>
        <v/>
      </c>
      <c r="AC269" s="457">
        <f>IF($AO269&lt;&gt;"OK",0,IF(AND(DATE('Thiết lập'!$B$4,8,1)&gt;=DATE(YEAR($H269),MONTH($H269),1),DATE('Thiết lập'!$B$4,8,1)&lt;EDATE(DATE(YEAR($H269),MONTH($H269),1),$O269)),MIN($P269,MAX(0,$N269-$U269-SUM($V269:AB269))),0))</f>
        <v/>
      </c>
      <c r="AD269" s="457">
        <f>IF($AO269&lt;&gt;"OK",0,IF(AND(DATE('Thiết lập'!$B$4,9,1)&gt;=DATE(YEAR($H269),MONTH($H269),1),DATE('Thiết lập'!$B$4,9,1)&lt;EDATE(DATE(YEAR($H269),MONTH($H269),1),$O269)),MIN($P269,MAX(0,$N269-$U269-SUM($V269:AC269))),0))</f>
        <v/>
      </c>
      <c r="AE269" s="457">
        <f>IF($AO269&lt;&gt;"OK",0,IF(AND(DATE('Thiết lập'!$B$4,10,1)&gt;=DATE(YEAR($H269),MONTH($H269),1),DATE('Thiết lập'!$B$4,10,1)&lt;EDATE(DATE(YEAR($H269),MONTH($H269),1),$O269)),MIN($P269,MAX(0,$N269-$U269-SUM($V269:AD269))),0))</f>
        <v/>
      </c>
      <c r="AF269" s="457">
        <f>IF($AO269&lt;&gt;"OK",0,IF(AND(DATE('Thiết lập'!$B$4,11,1)&gt;=DATE(YEAR($H269),MONTH($H269),1),DATE('Thiết lập'!$B$4,11,1)&lt;EDATE(DATE(YEAR($H269),MONTH($H269),1),$O269)),MIN($P269,MAX(0,$N269-$U269-SUM($V269:AE269))),0))</f>
        <v/>
      </c>
      <c r="AG269" s="457">
        <f>IF($AO269&lt;&gt;"OK",0,IF(AND(DATE('Thiết lập'!$B$4,12,1)&gt;=DATE(YEAR($H269),MONTH($H269),1),DATE('Thiết lập'!$B$4,12,1)&lt;EDATE(DATE(YEAR($H269),MONTH($H269),1),$O269)),MIN($P269,MAX(0,$N269-$U269-SUM($V269:AF269))),0))</f>
        <v/>
      </c>
      <c r="AH269" s="457">
        <f>IF(B269="","",SUM(V269:AG269))</f>
        <v/>
      </c>
      <c r="AI269" s="457">
        <f>IF(B269="","",MIN(N269,IF(U269="",0,U269)+AH269))</f>
        <v/>
      </c>
      <c r="AJ269" s="457">
        <f>IF(B269="","",MAX(0,L269-AI269))</f>
        <v/>
      </c>
      <c r="AK269" s="337">
        <f>IF(B269="","",IF(H269&gt;'Thiết lập'!$B$5,"Chưa khấu hao",IF(AJ269&lt;=IF(M269="",0,M269),"Đã hết khấu hao","Đang khấu hao")))</f>
        <v/>
      </c>
      <c r="AL269" s="275" t="n"/>
      <c r="AM269" s="275" t="n"/>
      <c r="AN269" s="275" t="n"/>
      <c r="AO269" s="343">
        <f>IF(B269="","",IF(COUNTIF($B$7:$B$306,B269)&gt;1,"Trùng mã TSCĐ",IF(C269="","Thiếu tên TSCĐ",IF(H269="","Thiếu ngày bắt đầu",IF(OR(I269&lt;=0,L269&lt;=0,O269&lt;=0),"Kiểm tra số lượng/nguyên giá/thời gian",IF(AND(G269&lt;&gt;"",H269&lt;G269),"Ngày KH trước ngày ghi tăng",IF(M269&gt;L269,"Giá trị thu hồi vượt nguyên giá",IF(IF(U269="",0,U269)&gt;N269,"Lũy kế đầu năm vượt GTKH","OK"))))))))</f>
        <v/>
      </c>
    </row>
    <row r="270" ht="20" customHeight="1" s="389">
      <c r="A270" s="325">
        <f>IF(B270="","",ROW()-6)</f>
        <v/>
      </c>
      <c r="B270" s="275" t="n"/>
      <c r="C270" s="275" t="n"/>
      <c r="D270" s="331" t="n"/>
      <c r="E270" s="331" t="n"/>
      <c r="F270" s="454" t="n"/>
      <c r="G270" s="454" t="n"/>
      <c r="H270" s="454" t="n"/>
      <c r="I270" s="455" t="n"/>
      <c r="J270" s="456" t="n"/>
      <c r="K270" s="456" t="n"/>
      <c r="L270" s="457">
        <f>IF(B270="","",IF(OR(I270="",J270=""),"",I270*J270+IF(K270="",0,K270)))</f>
        <v/>
      </c>
      <c r="M270" s="456" t="n"/>
      <c r="N270" s="457">
        <f>IF(L270="","",MAX(0,L270-IF(M270="",0,M270)))</f>
        <v/>
      </c>
      <c r="O270" s="455" t="n"/>
      <c r="P270" s="457">
        <f>IF(OR(N270="",O270&lt;=0),"",ROUND(N270/O270,0))</f>
        <v/>
      </c>
      <c r="Q270" s="458">
        <f>IF(OR(H270="",O270&lt;=0),"",EOMONTH(H270,O270-1))</f>
        <v/>
      </c>
      <c r="R270" s="331" t="n"/>
      <c r="S270" s="331" t="n"/>
      <c r="T270" s="331" t="n"/>
      <c r="U270" s="456" t="n"/>
      <c r="V270" s="457">
        <f>IF($AO270&lt;&gt;"OK",0,IF(AND(DATE('Thiết lập'!$B$4,1,1)&gt;=DATE(YEAR($H270),MONTH($H270),1),DATE('Thiết lập'!$B$4,1,1)&lt;EDATE(DATE(YEAR($H270),MONTH($H270),1),$O270)),MIN($P270,MAX(0,$N270-$U270-0)),0))</f>
        <v/>
      </c>
      <c r="W270" s="457">
        <f>IF($AO270&lt;&gt;"OK",0,IF(AND(DATE('Thiết lập'!$B$4,2,1)&gt;=DATE(YEAR($H270),MONTH($H270),1),DATE('Thiết lập'!$B$4,2,1)&lt;EDATE(DATE(YEAR($H270),MONTH($H270),1),$O270)),MIN($P270,MAX(0,$N270-$U270-SUM($V270:V270))),0))</f>
        <v/>
      </c>
      <c r="X270" s="457">
        <f>IF($AO270&lt;&gt;"OK",0,IF(AND(DATE('Thiết lập'!$B$4,3,1)&gt;=DATE(YEAR($H270),MONTH($H270),1),DATE('Thiết lập'!$B$4,3,1)&lt;EDATE(DATE(YEAR($H270),MONTH($H270),1),$O270)),MIN($P270,MAX(0,$N270-$U270-SUM($V270:W270))),0))</f>
        <v/>
      </c>
      <c r="Y270" s="457">
        <f>IF($AO270&lt;&gt;"OK",0,IF(AND(DATE('Thiết lập'!$B$4,4,1)&gt;=DATE(YEAR($H270),MONTH($H270),1),DATE('Thiết lập'!$B$4,4,1)&lt;EDATE(DATE(YEAR($H270),MONTH($H270),1),$O270)),MIN($P270,MAX(0,$N270-$U270-SUM($V270:X270))),0))</f>
        <v/>
      </c>
      <c r="Z270" s="457">
        <f>IF($AO270&lt;&gt;"OK",0,IF(AND(DATE('Thiết lập'!$B$4,5,1)&gt;=DATE(YEAR($H270),MONTH($H270),1),DATE('Thiết lập'!$B$4,5,1)&lt;EDATE(DATE(YEAR($H270),MONTH($H270),1),$O270)),MIN($P270,MAX(0,$N270-$U270-SUM($V270:Y270))),0))</f>
        <v/>
      </c>
      <c r="AA270" s="457">
        <f>IF($AO270&lt;&gt;"OK",0,IF(AND(DATE('Thiết lập'!$B$4,6,1)&gt;=DATE(YEAR($H270),MONTH($H270),1),DATE('Thiết lập'!$B$4,6,1)&lt;EDATE(DATE(YEAR($H270),MONTH($H270),1),$O270)),MIN($P270,MAX(0,$N270-$U270-SUM($V270:Z270))),0))</f>
        <v/>
      </c>
      <c r="AB270" s="457">
        <f>IF($AO270&lt;&gt;"OK",0,IF(AND(DATE('Thiết lập'!$B$4,7,1)&gt;=DATE(YEAR($H270),MONTH($H270),1),DATE('Thiết lập'!$B$4,7,1)&lt;EDATE(DATE(YEAR($H270),MONTH($H270),1),$O270)),MIN($P270,MAX(0,$N270-$U270-SUM($V270:AA270))),0))</f>
        <v/>
      </c>
      <c r="AC270" s="457">
        <f>IF($AO270&lt;&gt;"OK",0,IF(AND(DATE('Thiết lập'!$B$4,8,1)&gt;=DATE(YEAR($H270),MONTH($H270),1),DATE('Thiết lập'!$B$4,8,1)&lt;EDATE(DATE(YEAR($H270),MONTH($H270),1),$O270)),MIN($P270,MAX(0,$N270-$U270-SUM($V270:AB270))),0))</f>
        <v/>
      </c>
      <c r="AD270" s="457">
        <f>IF($AO270&lt;&gt;"OK",0,IF(AND(DATE('Thiết lập'!$B$4,9,1)&gt;=DATE(YEAR($H270),MONTH($H270),1),DATE('Thiết lập'!$B$4,9,1)&lt;EDATE(DATE(YEAR($H270),MONTH($H270),1),$O270)),MIN($P270,MAX(0,$N270-$U270-SUM($V270:AC270))),0))</f>
        <v/>
      </c>
      <c r="AE270" s="457">
        <f>IF($AO270&lt;&gt;"OK",0,IF(AND(DATE('Thiết lập'!$B$4,10,1)&gt;=DATE(YEAR($H270),MONTH($H270),1),DATE('Thiết lập'!$B$4,10,1)&lt;EDATE(DATE(YEAR($H270),MONTH($H270),1),$O270)),MIN($P270,MAX(0,$N270-$U270-SUM($V270:AD270))),0))</f>
        <v/>
      </c>
      <c r="AF270" s="457">
        <f>IF($AO270&lt;&gt;"OK",0,IF(AND(DATE('Thiết lập'!$B$4,11,1)&gt;=DATE(YEAR($H270),MONTH($H270),1),DATE('Thiết lập'!$B$4,11,1)&lt;EDATE(DATE(YEAR($H270),MONTH($H270),1),$O270)),MIN($P270,MAX(0,$N270-$U270-SUM($V270:AE270))),0))</f>
        <v/>
      </c>
      <c r="AG270" s="457">
        <f>IF($AO270&lt;&gt;"OK",0,IF(AND(DATE('Thiết lập'!$B$4,12,1)&gt;=DATE(YEAR($H270),MONTH($H270),1),DATE('Thiết lập'!$B$4,12,1)&lt;EDATE(DATE(YEAR($H270),MONTH($H270),1),$O270)),MIN($P270,MAX(0,$N270-$U270-SUM($V270:AF270))),0))</f>
        <v/>
      </c>
      <c r="AH270" s="457">
        <f>IF(B270="","",SUM(V270:AG270))</f>
        <v/>
      </c>
      <c r="AI270" s="457">
        <f>IF(B270="","",MIN(N270,IF(U270="",0,U270)+AH270))</f>
        <v/>
      </c>
      <c r="AJ270" s="457">
        <f>IF(B270="","",MAX(0,L270-AI270))</f>
        <v/>
      </c>
      <c r="AK270" s="337">
        <f>IF(B270="","",IF(H270&gt;'Thiết lập'!$B$5,"Chưa khấu hao",IF(AJ270&lt;=IF(M270="",0,M270),"Đã hết khấu hao","Đang khấu hao")))</f>
        <v/>
      </c>
      <c r="AL270" s="275" t="n"/>
      <c r="AM270" s="275" t="n"/>
      <c r="AN270" s="275" t="n"/>
      <c r="AO270" s="343">
        <f>IF(B270="","",IF(COUNTIF($B$7:$B$306,B270)&gt;1,"Trùng mã TSCĐ",IF(C270="","Thiếu tên TSCĐ",IF(H270="","Thiếu ngày bắt đầu",IF(OR(I270&lt;=0,L270&lt;=0,O270&lt;=0),"Kiểm tra số lượng/nguyên giá/thời gian",IF(AND(G270&lt;&gt;"",H270&lt;G270),"Ngày KH trước ngày ghi tăng",IF(M270&gt;L270,"Giá trị thu hồi vượt nguyên giá",IF(IF(U270="",0,U270)&gt;N270,"Lũy kế đầu năm vượt GTKH","OK"))))))))</f>
        <v/>
      </c>
    </row>
    <row r="271" ht="20" customHeight="1" s="389">
      <c r="A271" s="325">
        <f>IF(B271="","",ROW()-6)</f>
        <v/>
      </c>
      <c r="B271" s="275" t="n"/>
      <c r="C271" s="275" t="n"/>
      <c r="D271" s="331" t="n"/>
      <c r="E271" s="331" t="n"/>
      <c r="F271" s="454" t="n"/>
      <c r="G271" s="454" t="n"/>
      <c r="H271" s="454" t="n"/>
      <c r="I271" s="455" t="n"/>
      <c r="J271" s="456" t="n"/>
      <c r="K271" s="456" t="n"/>
      <c r="L271" s="457">
        <f>IF(B271="","",IF(OR(I271="",J271=""),"",I271*J271+IF(K271="",0,K271)))</f>
        <v/>
      </c>
      <c r="M271" s="456" t="n"/>
      <c r="N271" s="457">
        <f>IF(L271="","",MAX(0,L271-IF(M271="",0,M271)))</f>
        <v/>
      </c>
      <c r="O271" s="455" t="n"/>
      <c r="P271" s="457">
        <f>IF(OR(N271="",O271&lt;=0),"",ROUND(N271/O271,0))</f>
        <v/>
      </c>
      <c r="Q271" s="458">
        <f>IF(OR(H271="",O271&lt;=0),"",EOMONTH(H271,O271-1))</f>
        <v/>
      </c>
      <c r="R271" s="331" t="n"/>
      <c r="S271" s="331" t="n"/>
      <c r="T271" s="331" t="n"/>
      <c r="U271" s="456" t="n"/>
      <c r="V271" s="457">
        <f>IF($AO271&lt;&gt;"OK",0,IF(AND(DATE('Thiết lập'!$B$4,1,1)&gt;=DATE(YEAR($H271),MONTH($H271),1),DATE('Thiết lập'!$B$4,1,1)&lt;EDATE(DATE(YEAR($H271),MONTH($H271),1),$O271)),MIN($P271,MAX(0,$N271-$U271-0)),0))</f>
        <v/>
      </c>
      <c r="W271" s="457">
        <f>IF($AO271&lt;&gt;"OK",0,IF(AND(DATE('Thiết lập'!$B$4,2,1)&gt;=DATE(YEAR($H271),MONTH($H271),1),DATE('Thiết lập'!$B$4,2,1)&lt;EDATE(DATE(YEAR($H271),MONTH($H271),1),$O271)),MIN($P271,MAX(0,$N271-$U271-SUM($V271:V271))),0))</f>
        <v/>
      </c>
      <c r="X271" s="457">
        <f>IF($AO271&lt;&gt;"OK",0,IF(AND(DATE('Thiết lập'!$B$4,3,1)&gt;=DATE(YEAR($H271),MONTH($H271),1),DATE('Thiết lập'!$B$4,3,1)&lt;EDATE(DATE(YEAR($H271),MONTH($H271),1),$O271)),MIN($P271,MAX(0,$N271-$U271-SUM($V271:W271))),0))</f>
        <v/>
      </c>
      <c r="Y271" s="457">
        <f>IF($AO271&lt;&gt;"OK",0,IF(AND(DATE('Thiết lập'!$B$4,4,1)&gt;=DATE(YEAR($H271),MONTH($H271),1),DATE('Thiết lập'!$B$4,4,1)&lt;EDATE(DATE(YEAR($H271),MONTH($H271),1),$O271)),MIN($P271,MAX(0,$N271-$U271-SUM($V271:X271))),0))</f>
        <v/>
      </c>
      <c r="Z271" s="457">
        <f>IF($AO271&lt;&gt;"OK",0,IF(AND(DATE('Thiết lập'!$B$4,5,1)&gt;=DATE(YEAR($H271),MONTH($H271),1),DATE('Thiết lập'!$B$4,5,1)&lt;EDATE(DATE(YEAR($H271),MONTH($H271),1),$O271)),MIN($P271,MAX(0,$N271-$U271-SUM($V271:Y271))),0))</f>
        <v/>
      </c>
      <c r="AA271" s="457">
        <f>IF($AO271&lt;&gt;"OK",0,IF(AND(DATE('Thiết lập'!$B$4,6,1)&gt;=DATE(YEAR($H271),MONTH($H271),1),DATE('Thiết lập'!$B$4,6,1)&lt;EDATE(DATE(YEAR($H271),MONTH($H271),1),$O271)),MIN($P271,MAX(0,$N271-$U271-SUM($V271:Z271))),0))</f>
        <v/>
      </c>
      <c r="AB271" s="457">
        <f>IF($AO271&lt;&gt;"OK",0,IF(AND(DATE('Thiết lập'!$B$4,7,1)&gt;=DATE(YEAR($H271),MONTH($H271),1),DATE('Thiết lập'!$B$4,7,1)&lt;EDATE(DATE(YEAR($H271),MONTH($H271),1),$O271)),MIN($P271,MAX(0,$N271-$U271-SUM($V271:AA271))),0))</f>
        <v/>
      </c>
      <c r="AC271" s="457">
        <f>IF($AO271&lt;&gt;"OK",0,IF(AND(DATE('Thiết lập'!$B$4,8,1)&gt;=DATE(YEAR($H271),MONTH($H271),1),DATE('Thiết lập'!$B$4,8,1)&lt;EDATE(DATE(YEAR($H271),MONTH($H271),1),$O271)),MIN($P271,MAX(0,$N271-$U271-SUM($V271:AB271))),0))</f>
        <v/>
      </c>
      <c r="AD271" s="457">
        <f>IF($AO271&lt;&gt;"OK",0,IF(AND(DATE('Thiết lập'!$B$4,9,1)&gt;=DATE(YEAR($H271),MONTH($H271),1),DATE('Thiết lập'!$B$4,9,1)&lt;EDATE(DATE(YEAR($H271),MONTH($H271),1),$O271)),MIN($P271,MAX(0,$N271-$U271-SUM($V271:AC271))),0))</f>
        <v/>
      </c>
      <c r="AE271" s="457">
        <f>IF($AO271&lt;&gt;"OK",0,IF(AND(DATE('Thiết lập'!$B$4,10,1)&gt;=DATE(YEAR($H271),MONTH($H271),1),DATE('Thiết lập'!$B$4,10,1)&lt;EDATE(DATE(YEAR($H271),MONTH($H271),1),$O271)),MIN($P271,MAX(0,$N271-$U271-SUM($V271:AD271))),0))</f>
        <v/>
      </c>
      <c r="AF271" s="457">
        <f>IF($AO271&lt;&gt;"OK",0,IF(AND(DATE('Thiết lập'!$B$4,11,1)&gt;=DATE(YEAR($H271),MONTH($H271),1),DATE('Thiết lập'!$B$4,11,1)&lt;EDATE(DATE(YEAR($H271),MONTH($H271),1),$O271)),MIN($P271,MAX(0,$N271-$U271-SUM($V271:AE271))),0))</f>
        <v/>
      </c>
      <c r="AG271" s="457">
        <f>IF($AO271&lt;&gt;"OK",0,IF(AND(DATE('Thiết lập'!$B$4,12,1)&gt;=DATE(YEAR($H271),MONTH($H271),1),DATE('Thiết lập'!$B$4,12,1)&lt;EDATE(DATE(YEAR($H271),MONTH($H271),1),$O271)),MIN($P271,MAX(0,$N271-$U271-SUM($V271:AF271))),0))</f>
        <v/>
      </c>
      <c r="AH271" s="457">
        <f>IF(B271="","",SUM(V271:AG271))</f>
        <v/>
      </c>
      <c r="AI271" s="457">
        <f>IF(B271="","",MIN(N271,IF(U271="",0,U271)+AH271))</f>
        <v/>
      </c>
      <c r="AJ271" s="457">
        <f>IF(B271="","",MAX(0,L271-AI271))</f>
        <v/>
      </c>
      <c r="AK271" s="337">
        <f>IF(B271="","",IF(H271&gt;'Thiết lập'!$B$5,"Chưa khấu hao",IF(AJ271&lt;=IF(M271="",0,M271),"Đã hết khấu hao","Đang khấu hao")))</f>
        <v/>
      </c>
      <c r="AL271" s="275" t="n"/>
      <c r="AM271" s="275" t="n"/>
      <c r="AN271" s="275" t="n"/>
      <c r="AO271" s="343">
        <f>IF(B271="","",IF(COUNTIF($B$7:$B$306,B271)&gt;1,"Trùng mã TSCĐ",IF(C271="","Thiếu tên TSCĐ",IF(H271="","Thiếu ngày bắt đầu",IF(OR(I271&lt;=0,L271&lt;=0,O271&lt;=0),"Kiểm tra số lượng/nguyên giá/thời gian",IF(AND(G271&lt;&gt;"",H271&lt;G271),"Ngày KH trước ngày ghi tăng",IF(M271&gt;L271,"Giá trị thu hồi vượt nguyên giá",IF(IF(U271="",0,U271)&gt;N271,"Lũy kế đầu năm vượt GTKH","OK"))))))))</f>
        <v/>
      </c>
    </row>
    <row r="272" ht="20" customHeight="1" s="389">
      <c r="A272" s="325">
        <f>IF(B272="","",ROW()-6)</f>
        <v/>
      </c>
      <c r="B272" s="275" t="n"/>
      <c r="C272" s="275" t="n"/>
      <c r="D272" s="331" t="n"/>
      <c r="E272" s="331" t="n"/>
      <c r="F272" s="454" t="n"/>
      <c r="G272" s="454" t="n"/>
      <c r="H272" s="454" t="n"/>
      <c r="I272" s="455" t="n"/>
      <c r="J272" s="456" t="n"/>
      <c r="K272" s="456" t="n"/>
      <c r="L272" s="457">
        <f>IF(B272="","",IF(OR(I272="",J272=""),"",I272*J272+IF(K272="",0,K272)))</f>
        <v/>
      </c>
      <c r="M272" s="456" t="n"/>
      <c r="N272" s="457">
        <f>IF(L272="","",MAX(0,L272-IF(M272="",0,M272)))</f>
        <v/>
      </c>
      <c r="O272" s="455" t="n"/>
      <c r="P272" s="457">
        <f>IF(OR(N272="",O272&lt;=0),"",ROUND(N272/O272,0))</f>
        <v/>
      </c>
      <c r="Q272" s="458">
        <f>IF(OR(H272="",O272&lt;=0),"",EOMONTH(H272,O272-1))</f>
        <v/>
      </c>
      <c r="R272" s="331" t="n"/>
      <c r="S272" s="331" t="n"/>
      <c r="T272" s="331" t="n"/>
      <c r="U272" s="456" t="n"/>
      <c r="V272" s="457">
        <f>IF($AO272&lt;&gt;"OK",0,IF(AND(DATE('Thiết lập'!$B$4,1,1)&gt;=DATE(YEAR($H272),MONTH($H272),1),DATE('Thiết lập'!$B$4,1,1)&lt;EDATE(DATE(YEAR($H272),MONTH($H272),1),$O272)),MIN($P272,MAX(0,$N272-$U272-0)),0))</f>
        <v/>
      </c>
      <c r="W272" s="457">
        <f>IF($AO272&lt;&gt;"OK",0,IF(AND(DATE('Thiết lập'!$B$4,2,1)&gt;=DATE(YEAR($H272),MONTH($H272),1),DATE('Thiết lập'!$B$4,2,1)&lt;EDATE(DATE(YEAR($H272),MONTH($H272),1),$O272)),MIN($P272,MAX(0,$N272-$U272-SUM($V272:V272))),0))</f>
        <v/>
      </c>
      <c r="X272" s="457">
        <f>IF($AO272&lt;&gt;"OK",0,IF(AND(DATE('Thiết lập'!$B$4,3,1)&gt;=DATE(YEAR($H272),MONTH($H272),1),DATE('Thiết lập'!$B$4,3,1)&lt;EDATE(DATE(YEAR($H272),MONTH($H272),1),$O272)),MIN($P272,MAX(0,$N272-$U272-SUM($V272:W272))),0))</f>
        <v/>
      </c>
      <c r="Y272" s="457">
        <f>IF($AO272&lt;&gt;"OK",0,IF(AND(DATE('Thiết lập'!$B$4,4,1)&gt;=DATE(YEAR($H272),MONTH($H272),1),DATE('Thiết lập'!$B$4,4,1)&lt;EDATE(DATE(YEAR($H272),MONTH($H272),1),$O272)),MIN($P272,MAX(0,$N272-$U272-SUM($V272:X272))),0))</f>
        <v/>
      </c>
      <c r="Z272" s="457">
        <f>IF($AO272&lt;&gt;"OK",0,IF(AND(DATE('Thiết lập'!$B$4,5,1)&gt;=DATE(YEAR($H272),MONTH($H272),1),DATE('Thiết lập'!$B$4,5,1)&lt;EDATE(DATE(YEAR($H272),MONTH($H272),1),$O272)),MIN($P272,MAX(0,$N272-$U272-SUM($V272:Y272))),0))</f>
        <v/>
      </c>
      <c r="AA272" s="457">
        <f>IF($AO272&lt;&gt;"OK",0,IF(AND(DATE('Thiết lập'!$B$4,6,1)&gt;=DATE(YEAR($H272),MONTH($H272),1),DATE('Thiết lập'!$B$4,6,1)&lt;EDATE(DATE(YEAR($H272),MONTH($H272),1),$O272)),MIN($P272,MAX(0,$N272-$U272-SUM($V272:Z272))),0))</f>
        <v/>
      </c>
      <c r="AB272" s="457">
        <f>IF($AO272&lt;&gt;"OK",0,IF(AND(DATE('Thiết lập'!$B$4,7,1)&gt;=DATE(YEAR($H272),MONTH($H272),1),DATE('Thiết lập'!$B$4,7,1)&lt;EDATE(DATE(YEAR($H272),MONTH($H272),1),$O272)),MIN($P272,MAX(0,$N272-$U272-SUM($V272:AA272))),0))</f>
        <v/>
      </c>
      <c r="AC272" s="457">
        <f>IF($AO272&lt;&gt;"OK",0,IF(AND(DATE('Thiết lập'!$B$4,8,1)&gt;=DATE(YEAR($H272),MONTH($H272),1),DATE('Thiết lập'!$B$4,8,1)&lt;EDATE(DATE(YEAR($H272),MONTH($H272),1),$O272)),MIN($P272,MAX(0,$N272-$U272-SUM($V272:AB272))),0))</f>
        <v/>
      </c>
      <c r="AD272" s="457">
        <f>IF($AO272&lt;&gt;"OK",0,IF(AND(DATE('Thiết lập'!$B$4,9,1)&gt;=DATE(YEAR($H272),MONTH($H272),1),DATE('Thiết lập'!$B$4,9,1)&lt;EDATE(DATE(YEAR($H272),MONTH($H272),1),$O272)),MIN($P272,MAX(0,$N272-$U272-SUM($V272:AC272))),0))</f>
        <v/>
      </c>
      <c r="AE272" s="457">
        <f>IF($AO272&lt;&gt;"OK",0,IF(AND(DATE('Thiết lập'!$B$4,10,1)&gt;=DATE(YEAR($H272),MONTH($H272),1),DATE('Thiết lập'!$B$4,10,1)&lt;EDATE(DATE(YEAR($H272),MONTH($H272),1),$O272)),MIN($P272,MAX(0,$N272-$U272-SUM($V272:AD272))),0))</f>
        <v/>
      </c>
      <c r="AF272" s="457">
        <f>IF($AO272&lt;&gt;"OK",0,IF(AND(DATE('Thiết lập'!$B$4,11,1)&gt;=DATE(YEAR($H272),MONTH($H272),1),DATE('Thiết lập'!$B$4,11,1)&lt;EDATE(DATE(YEAR($H272),MONTH($H272),1),$O272)),MIN($P272,MAX(0,$N272-$U272-SUM($V272:AE272))),0))</f>
        <v/>
      </c>
      <c r="AG272" s="457">
        <f>IF($AO272&lt;&gt;"OK",0,IF(AND(DATE('Thiết lập'!$B$4,12,1)&gt;=DATE(YEAR($H272),MONTH($H272),1),DATE('Thiết lập'!$B$4,12,1)&lt;EDATE(DATE(YEAR($H272),MONTH($H272),1),$O272)),MIN($P272,MAX(0,$N272-$U272-SUM($V272:AF272))),0))</f>
        <v/>
      </c>
      <c r="AH272" s="457">
        <f>IF(B272="","",SUM(V272:AG272))</f>
        <v/>
      </c>
      <c r="AI272" s="457">
        <f>IF(B272="","",MIN(N272,IF(U272="",0,U272)+AH272))</f>
        <v/>
      </c>
      <c r="AJ272" s="457">
        <f>IF(B272="","",MAX(0,L272-AI272))</f>
        <v/>
      </c>
      <c r="AK272" s="337">
        <f>IF(B272="","",IF(H272&gt;'Thiết lập'!$B$5,"Chưa khấu hao",IF(AJ272&lt;=IF(M272="",0,M272),"Đã hết khấu hao","Đang khấu hao")))</f>
        <v/>
      </c>
      <c r="AL272" s="275" t="n"/>
      <c r="AM272" s="275" t="n"/>
      <c r="AN272" s="275" t="n"/>
      <c r="AO272" s="343">
        <f>IF(B272="","",IF(COUNTIF($B$7:$B$306,B272)&gt;1,"Trùng mã TSCĐ",IF(C272="","Thiếu tên TSCĐ",IF(H272="","Thiếu ngày bắt đầu",IF(OR(I272&lt;=0,L272&lt;=0,O272&lt;=0),"Kiểm tra số lượng/nguyên giá/thời gian",IF(AND(G272&lt;&gt;"",H272&lt;G272),"Ngày KH trước ngày ghi tăng",IF(M272&gt;L272,"Giá trị thu hồi vượt nguyên giá",IF(IF(U272="",0,U272)&gt;N272,"Lũy kế đầu năm vượt GTKH","OK"))))))))</f>
        <v/>
      </c>
    </row>
    <row r="273" ht="20" customHeight="1" s="389">
      <c r="A273" s="325">
        <f>IF(B273="","",ROW()-6)</f>
        <v/>
      </c>
      <c r="B273" s="275" t="n"/>
      <c r="C273" s="275" t="n"/>
      <c r="D273" s="331" t="n"/>
      <c r="E273" s="331" t="n"/>
      <c r="F273" s="454" t="n"/>
      <c r="G273" s="454" t="n"/>
      <c r="H273" s="454" t="n"/>
      <c r="I273" s="455" t="n"/>
      <c r="J273" s="456" t="n"/>
      <c r="K273" s="456" t="n"/>
      <c r="L273" s="457">
        <f>IF(B273="","",IF(OR(I273="",J273=""),"",I273*J273+IF(K273="",0,K273)))</f>
        <v/>
      </c>
      <c r="M273" s="456" t="n"/>
      <c r="N273" s="457">
        <f>IF(L273="","",MAX(0,L273-IF(M273="",0,M273)))</f>
        <v/>
      </c>
      <c r="O273" s="455" t="n"/>
      <c r="P273" s="457">
        <f>IF(OR(N273="",O273&lt;=0),"",ROUND(N273/O273,0))</f>
        <v/>
      </c>
      <c r="Q273" s="458">
        <f>IF(OR(H273="",O273&lt;=0),"",EOMONTH(H273,O273-1))</f>
        <v/>
      </c>
      <c r="R273" s="331" t="n"/>
      <c r="S273" s="331" t="n"/>
      <c r="T273" s="331" t="n"/>
      <c r="U273" s="456" t="n"/>
      <c r="V273" s="457">
        <f>IF($AO273&lt;&gt;"OK",0,IF(AND(DATE('Thiết lập'!$B$4,1,1)&gt;=DATE(YEAR($H273),MONTH($H273),1),DATE('Thiết lập'!$B$4,1,1)&lt;EDATE(DATE(YEAR($H273),MONTH($H273),1),$O273)),MIN($P273,MAX(0,$N273-$U273-0)),0))</f>
        <v/>
      </c>
      <c r="W273" s="457">
        <f>IF($AO273&lt;&gt;"OK",0,IF(AND(DATE('Thiết lập'!$B$4,2,1)&gt;=DATE(YEAR($H273),MONTH($H273),1),DATE('Thiết lập'!$B$4,2,1)&lt;EDATE(DATE(YEAR($H273),MONTH($H273),1),$O273)),MIN($P273,MAX(0,$N273-$U273-SUM($V273:V273))),0))</f>
        <v/>
      </c>
      <c r="X273" s="457">
        <f>IF($AO273&lt;&gt;"OK",0,IF(AND(DATE('Thiết lập'!$B$4,3,1)&gt;=DATE(YEAR($H273),MONTH($H273),1),DATE('Thiết lập'!$B$4,3,1)&lt;EDATE(DATE(YEAR($H273),MONTH($H273),1),$O273)),MIN($P273,MAX(0,$N273-$U273-SUM($V273:W273))),0))</f>
        <v/>
      </c>
      <c r="Y273" s="457">
        <f>IF($AO273&lt;&gt;"OK",0,IF(AND(DATE('Thiết lập'!$B$4,4,1)&gt;=DATE(YEAR($H273),MONTH($H273),1),DATE('Thiết lập'!$B$4,4,1)&lt;EDATE(DATE(YEAR($H273),MONTH($H273),1),$O273)),MIN($P273,MAX(0,$N273-$U273-SUM($V273:X273))),0))</f>
        <v/>
      </c>
      <c r="Z273" s="457">
        <f>IF($AO273&lt;&gt;"OK",0,IF(AND(DATE('Thiết lập'!$B$4,5,1)&gt;=DATE(YEAR($H273),MONTH($H273),1),DATE('Thiết lập'!$B$4,5,1)&lt;EDATE(DATE(YEAR($H273),MONTH($H273),1),$O273)),MIN($P273,MAX(0,$N273-$U273-SUM($V273:Y273))),0))</f>
        <v/>
      </c>
      <c r="AA273" s="457">
        <f>IF($AO273&lt;&gt;"OK",0,IF(AND(DATE('Thiết lập'!$B$4,6,1)&gt;=DATE(YEAR($H273),MONTH($H273),1),DATE('Thiết lập'!$B$4,6,1)&lt;EDATE(DATE(YEAR($H273),MONTH($H273),1),$O273)),MIN($P273,MAX(0,$N273-$U273-SUM($V273:Z273))),0))</f>
        <v/>
      </c>
      <c r="AB273" s="457">
        <f>IF($AO273&lt;&gt;"OK",0,IF(AND(DATE('Thiết lập'!$B$4,7,1)&gt;=DATE(YEAR($H273),MONTH($H273),1),DATE('Thiết lập'!$B$4,7,1)&lt;EDATE(DATE(YEAR($H273),MONTH($H273),1),$O273)),MIN($P273,MAX(0,$N273-$U273-SUM($V273:AA273))),0))</f>
        <v/>
      </c>
      <c r="AC273" s="457">
        <f>IF($AO273&lt;&gt;"OK",0,IF(AND(DATE('Thiết lập'!$B$4,8,1)&gt;=DATE(YEAR($H273),MONTH($H273),1),DATE('Thiết lập'!$B$4,8,1)&lt;EDATE(DATE(YEAR($H273),MONTH($H273),1),$O273)),MIN($P273,MAX(0,$N273-$U273-SUM($V273:AB273))),0))</f>
        <v/>
      </c>
      <c r="AD273" s="457">
        <f>IF($AO273&lt;&gt;"OK",0,IF(AND(DATE('Thiết lập'!$B$4,9,1)&gt;=DATE(YEAR($H273),MONTH($H273),1),DATE('Thiết lập'!$B$4,9,1)&lt;EDATE(DATE(YEAR($H273),MONTH($H273),1),$O273)),MIN($P273,MAX(0,$N273-$U273-SUM($V273:AC273))),0))</f>
        <v/>
      </c>
      <c r="AE273" s="457">
        <f>IF($AO273&lt;&gt;"OK",0,IF(AND(DATE('Thiết lập'!$B$4,10,1)&gt;=DATE(YEAR($H273),MONTH($H273),1),DATE('Thiết lập'!$B$4,10,1)&lt;EDATE(DATE(YEAR($H273),MONTH($H273),1),$O273)),MIN($P273,MAX(0,$N273-$U273-SUM($V273:AD273))),0))</f>
        <v/>
      </c>
      <c r="AF273" s="457">
        <f>IF($AO273&lt;&gt;"OK",0,IF(AND(DATE('Thiết lập'!$B$4,11,1)&gt;=DATE(YEAR($H273),MONTH($H273),1),DATE('Thiết lập'!$B$4,11,1)&lt;EDATE(DATE(YEAR($H273),MONTH($H273),1),$O273)),MIN($P273,MAX(0,$N273-$U273-SUM($V273:AE273))),0))</f>
        <v/>
      </c>
      <c r="AG273" s="457">
        <f>IF($AO273&lt;&gt;"OK",0,IF(AND(DATE('Thiết lập'!$B$4,12,1)&gt;=DATE(YEAR($H273),MONTH($H273),1),DATE('Thiết lập'!$B$4,12,1)&lt;EDATE(DATE(YEAR($H273),MONTH($H273),1),$O273)),MIN($P273,MAX(0,$N273-$U273-SUM($V273:AF273))),0))</f>
        <v/>
      </c>
      <c r="AH273" s="457">
        <f>IF(B273="","",SUM(V273:AG273))</f>
        <v/>
      </c>
      <c r="AI273" s="457">
        <f>IF(B273="","",MIN(N273,IF(U273="",0,U273)+AH273))</f>
        <v/>
      </c>
      <c r="AJ273" s="457">
        <f>IF(B273="","",MAX(0,L273-AI273))</f>
        <v/>
      </c>
      <c r="AK273" s="337">
        <f>IF(B273="","",IF(H273&gt;'Thiết lập'!$B$5,"Chưa khấu hao",IF(AJ273&lt;=IF(M273="",0,M273),"Đã hết khấu hao","Đang khấu hao")))</f>
        <v/>
      </c>
      <c r="AL273" s="275" t="n"/>
      <c r="AM273" s="275" t="n"/>
      <c r="AN273" s="275" t="n"/>
      <c r="AO273" s="343">
        <f>IF(B273="","",IF(COUNTIF($B$7:$B$306,B273)&gt;1,"Trùng mã TSCĐ",IF(C273="","Thiếu tên TSCĐ",IF(H273="","Thiếu ngày bắt đầu",IF(OR(I273&lt;=0,L273&lt;=0,O273&lt;=0),"Kiểm tra số lượng/nguyên giá/thời gian",IF(AND(G273&lt;&gt;"",H273&lt;G273),"Ngày KH trước ngày ghi tăng",IF(M273&gt;L273,"Giá trị thu hồi vượt nguyên giá",IF(IF(U273="",0,U273)&gt;N273,"Lũy kế đầu năm vượt GTKH","OK"))))))))</f>
        <v/>
      </c>
    </row>
    <row r="274" ht="20" customHeight="1" s="389">
      <c r="A274" s="325">
        <f>IF(B274="","",ROW()-6)</f>
        <v/>
      </c>
      <c r="B274" s="275" t="n"/>
      <c r="C274" s="275" t="n"/>
      <c r="D274" s="331" t="n"/>
      <c r="E274" s="331" t="n"/>
      <c r="F274" s="454" t="n"/>
      <c r="G274" s="454" t="n"/>
      <c r="H274" s="454" t="n"/>
      <c r="I274" s="455" t="n"/>
      <c r="J274" s="456" t="n"/>
      <c r="K274" s="456" t="n"/>
      <c r="L274" s="457">
        <f>IF(B274="","",IF(OR(I274="",J274=""),"",I274*J274+IF(K274="",0,K274)))</f>
        <v/>
      </c>
      <c r="M274" s="456" t="n"/>
      <c r="N274" s="457">
        <f>IF(L274="","",MAX(0,L274-IF(M274="",0,M274)))</f>
        <v/>
      </c>
      <c r="O274" s="455" t="n"/>
      <c r="P274" s="457">
        <f>IF(OR(N274="",O274&lt;=0),"",ROUND(N274/O274,0))</f>
        <v/>
      </c>
      <c r="Q274" s="458">
        <f>IF(OR(H274="",O274&lt;=0),"",EOMONTH(H274,O274-1))</f>
        <v/>
      </c>
      <c r="R274" s="331" t="n"/>
      <c r="S274" s="331" t="n"/>
      <c r="T274" s="331" t="n"/>
      <c r="U274" s="456" t="n"/>
      <c r="V274" s="457">
        <f>IF($AO274&lt;&gt;"OK",0,IF(AND(DATE('Thiết lập'!$B$4,1,1)&gt;=DATE(YEAR($H274),MONTH($H274),1),DATE('Thiết lập'!$B$4,1,1)&lt;EDATE(DATE(YEAR($H274),MONTH($H274),1),$O274)),MIN($P274,MAX(0,$N274-$U274-0)),0))</f>
        <v/>
      </c>
      <c r="W274" s="457">
        <f>IF($AO274&lt;&gt;"OK",0,IF(AND(DATE('Thiết lập'!$B$4,2,1)&gt;=DATE(YEAR($H274),MONTH($H274),1),DATE('Thiết lập'!$B$4,2,1)&lt;EDATE(DATE(YEAR($H274),MONTH($H274),1),$O274)),MIN($P274,MAX(0,$N274-$U274-SUM($V274:V274))),0))</f>
        <v/>
      </c>
      <c r="X274" s="457">
        <f>IF($AO274&lt;&gt;"OK",0,IF(AND(DATE('Thiết lập'!$B$4,3,1)&gt;=DATE(YEAR($H274),MONTH($H274),1),DATE('Thiết lập'!$B$4,3,1)&lt;EDATE(DATE(YEAR($H274),MONTH($H274),1),$O274)),MIN($P274,MAX(0,$N274-$U274-SUM($V274:W274))),0))</f>
        <v/>
      </c>
      <c r="Y274" s="457">
        <f>IF($AO274&lt;&gt;"OK",0,IF(AND(DATE('Thiết lập'!$B$4,4,1)&gt;=DATE(YEAR($H274),MONTH($H274),1),DATE('Thiết lập'!$B$4,4,1)&lt;EDATE(DATE(YEAR($H274),MONTH($H274),1),$O274)),MIN($P274,MAX(0,$N274-$U274-SUM($V274:X274))),0))</f>
        <v/>
      </c>
      <c r="Z274" s="457">
        <f>IF($AO274&lt;&gt;"OK",0,IF(AND(DATE('Thiết lập'!$B$4,5,1)&gt;=DATE(YEAR($H274),MONTH($H274),1),DATE('Thiết lập'!$B$4,5,1)&lt;EDATE(DATE(YEAR($H274),MONTH($H274),1),$O274)),MIN($P274,MAX(0,$N274-$U274-SUM($V274:Y274))),0))</f>
        <v/>
      </c>
      <c r="AA274" s="457">
        <f>IF($AO274&lt;&gt;"OK",0,IF(AND(DATE('Thiết lập'!$B$4,6,1)&gt;=DATE(YEAR($H274),MONTH($H274),1),DATE('Thiết lập'!$B$4,6,1)&lt;EDATE(DATE(YEAR($H274),MONTH($H274),1),$O274)),MIN($P274,MAX(0,$N274-$U274-SUM($V274:Z274))),0))</f>
        <v/>
      </c>
      <c r="AB274" s="457">
        <f>IF($AO274&lt;&gt;"OK",0,IF(AND(DATE('Thiết lập'!$B$4,7,1)&gt;=DATE(YEAR($H274),MONTH($H274),1),DATE('Thiết lập'!$B$4,7,1)&lt;EDATE(DATE(YEAR($H274),MONTH($H274),1),$O274)),MIN($P274,MAX(0,$N274-$U274-SUM($V274:AA274))),0))</f>
        <v/>
      </c>
      <c r="AC274" s="457">
        <f>IF($AO274&lt;&gt;"OK",0,IF(AND(DATE('Thiết lập'!$B$4,8,1)&gt;=DATE(YEAR($H274),MONTH($H274),1),DATE('Thiết lập'!$B$4,8,1)&lt;EDATE(DATE(YEAR($H274),MONTH($H274),1),$O274)),MIN($P274,MAX(0,$N274-$U274-SUM($V274:AB274))),0))</f>
        <v/>
      </c>
      <c r="AD274" s="457">
        <f>IF($AO274&lt;&gt;"OK",0,IF(AND(DATE('Thiết lập'!$B$4,9,1)&gt;=DATE(YEAR($H274),MONTH($H274),1),DATE('Thiết lập'!$B$4,9,1)&lt;EDATE(DATE(YEAR($H274),MONTH($H274),1),$O274)),MIN($P274,MAX(0,$N274-$U274-SUM($V274:AC274))),0))</f>
        <v/>
      </c>
      <c r="AE274" s="457">
        <f>IF($AO274&lt;&gt;"OK",0,IF(AND(DATE('Thiết lập'!$B$4,10,1)&gt;=DATE(YEAR($H274),MONTH($H274),1),DATE('Thiết lập'!$B$4,10,1)&lt;EDATE(DATE(YEAR($H274),MONTH($H274),1),$O274)),MIN($P274,MAX(0,$N274-$U274-SUM($V274:AD274))),0))</f>
        <v/>
      </c>
      <c r="AF274" s="457">
        <f>IF($AO274&lt;&gt;"OK",0,IF(AND(DATE('Thiết lập'!$B$4,11,1)&gt;=DATE(YEAR($H274),MONTH($H274),1),DATE('Thiết lập'!$B$4,11,1)&lt;EDATE(DATE(YEAR($H274),MONTH($H274),1),$O274)),MIN($P274,MAX(0,$N274-$U274-SUM($V274:AE274))),0))</f>
        <v/>
      </c>
      <c r="AG274" s="457">
        <f>IF($AO274&lt;&gt;"OK",0,IF(AND(DATE('Thiết lập'!$B$4,12,1)&gt;=DATE(YEAR($H274),MONTH($H274),1),DATE('Thiết lập'!$B$4,12,1)&lt;EDATE(DATE(YEAR($H274),MONTH($H274),1),$O274)),MIN($P274,MAX(0,$N274-$U274-SUM($V274:AF274))),0))</f>
        <v/>
      </c>
      <c r="AH274" s="457">
        <f>IF(B274="","",SUM(V274:AG274))</f>
        <v/>
      </c>
      <c r="AI274" s="457">
        <f>IF(B274="","",MIN(N274,IF(U274="",0,U274)+AH274))</f>
        <v/>
      </c>
      <c r="AJ274" s="457">
        <f>IF(B274="","",MAX(0,L274-AI274))</f>
        <v/>
      </c>
      <c r="AK274" s="337">
        <f>IF(B274="","",IF(H274&gt;'Thiết lập'!$B$5,"Chưa khấu hao",IF(AJ274&lt;=IF(M274="",0,M274),"Đã hết khấu hao","Đang khấu hao")))</f>
        <v/>
      </c>
      <c r="AL274" s="275" t="n"/>
      <c r="AM274" s="275" t="n"/>
      <c r="AN274" s="275" t="n"/>
      <c r="AO274" s="343">
        <f>IF(B274="","",IF(COUNTIF($B$7:$B$306,B274)&gt;1,"Trùng mã TSCĐ",IF(C274="","Thiếu tên TSCĐ",IF(H274="","Thiếu ngày bắt đầu",IF(OR(I274&lt;=0,L274&lt;=0,O274&lt;=0),"Kiểm tra số lượng/nguyên giá/thời gian",IF(AND(G274&lt;&gt;"",H274&lt;G274),"Ngày KH trước ngày ghi tăng",IF(M274&gt;L274,"Giá trị thu hồi vượt nguyên giá",IF(IF(U274="",0,U274)&gt;N274,"Lũy kế đầu năm vượt GTKH","OK"))))))))</f>
        <v/>
      </c>
    </row>
    <row r="275" ht="20" customHeight="1" s="389">
      <c r="A275" s="325">
        <f>IF(B275="","",ROW()-6)</f>
        <v/>
      </c>
      <c r="B275" s="275" t="n"/>
      <c r="C275" s="275" t="n"/>
      <c r="D275" s="331" t="n"/>
      <c r="E275" s="331" t="n"/>
      <c r="F275" s="454" t="n"/>
      <c r="G275" s="454" t="n"/>
      <c r="H275" s="454" t="n"/>
      <c r="I275" s="455" t="n"/>
      <c r="J275" s="456" t="n"/>
      <c r="K275" s="456" t="n"/>
      <c r="L275" s="457">
        <f>IF(B275="","",IF(OR(I275="",J275=""),"",I275*J275+IF(K275="",0,K275)))</f>
        <v/>
      </c>
      <c r="M275" s="456" t="n"/>
      <c r="N275" s="457">
        <f>IF(L275="","",MAX(0,L275-IF(M275="",0,M275)))</f>
        <v/>
      </c>
      <c r="O275" s="455" t="n"/>
      <c r="P275" s="457">
        <f>IF(OR(N275="",O275&lt;=0),"",ROUND(N275/O275,0))</f>
        <v/>
      </c>
      <c r="Q275" s="458">
        <f>IF(OR(H275="",O275&lt;=0),"",EOMONTH(H275,O275-1))</f>
        <v/>
      </c>
      <c r="R275" s="331" t="n"/>
      <c r="S275" s="331" t="n"/>
      <c r="T275" s="331" t="n"/>
      <c r="U275" s="456" t="n"/>
      <c r="V275" s="457">
        <f>IF($AO275&lt;&gt;"OK",0,IF(AND(DATE('Thiết lập'!$B$4,1,1)&gt;=DATE(YEAR($H275),MONTH($H275),1),DATE('Thiết lập'!$B$4,1,1)&lt;EDATE(DATE(YEAR($H275),MONTH($H275),1),$O275)),MIN($P275,MAX(0,$N275-$U275-0)),0))</f>
        <v/>
      </c>
      <c r="W275" s="457">
        <f>IF($AO275&lt;&gt;"OK",0,IF(AND(DATE('Thiết lập'!$B$4,2,1)&gt;=DATE(YEAR($H275),MONTH($H275),1),DATE('Thiết lập'!$B$4,2,1)&lt;EDATE(DATE(YEAR($H275),MONTH($H275),1),$O275)),MIN($P275,MAX(0,$N275-$U275-SUM($V275:V275))),0))</f>
        <v/>
      </c>
      <c r="X275" s="457">
        <f>IF($AO275&lt;&gt;"OK",0,IF(AND(DATE('Thiết lập'!$B$4,3,1)&gt;=DATE(YEAR($H275),MONTH($H275),1),DATE('Thiết lập'!$B$4,3,1)&lt;EDATE(DATE(YEAR($H275),MONTH($H275),1),$O275)),MIN($P275,MAX(0,$N275-$U275-SUM($V275:W275))),0))</f>
        <v/>
      </c>
      <c r="Y275" s="457">
        <f>IF($AO275&lt;&gt;"OK",0,IF(AND(DATE('Thiết lập'!$B$4,4,1)&gt;=DATE(YEAR($H275),MONTH($H275),1),DATE('Thiết lập'!$B$4,4,1)&lt;EDATE(DATE(YEAR($H275),MONTH($H275),1),$O275)),MIN($P275,MAX(0,$N275-$U275-SUM($V275:X275))),0))</f>
        <v/>
      </c>
      <c r="Z275" s="457">
        <f>IF($AO275&lt;&gt;"OK",0,IF(AND(DATE('Thiết lập'!$B$4,5,1)&gt;=DATE(YEAR($H275),MONTH($H275),1),DATE('Thiết lập'!$B$4,5,1)&lt;EDATE(DATE(YEAR($H275),MONTH($H275),1),$O275)),MIN($P275,MAX(0,$N275-$U275-SUM($V275:Y275))),0))</f>
        <v/>
      </c>
      <c r="AA275" s="457">
        <f>IF($AO275&lt;&gt;"OK",0,IF(AND(DATE('Thiết lập'!$B$4,6,1)&gt;=DATE(YEAR($H275),MONTH($H275),1),DATE('Thiết lập'!$B$4,6,1)&lt;EDATE(DATE(YEAR($H275),MONTH($H275),1),$O275)),MIN($P275,MAX(0,$N275-$U275-SUM($V275:Z275))),0))</f>
        <v/>
      </c>
      <c r="AB275" s="457">
        <f>IF($AO275&lt;&gt;"OK",0,IF(AND(DATE('Thiết lập'!$B$4,7,1)&gt;=DATE(YEAR($H275),MONTH($H275),1),DATE('Thiết lập'!$B$4,7,1)&lt;EDATE(DATE(YEAR($H275),MONTH($H275),1),$O275)),MIN($P275,MAX(0,$N275-$U275-SUM($V275:AA275))),0))</f>
        <v/>
      </c>
      <c r="AC275" s="457">
        <f>IF($AO275&lt;&gt;"OK",0,IF(AND(DATE('Thiết lập'!$B$4,8,1)&gt;=DATE(YEAR($H275),MONTH($H275),1),DATE('Thiết lập'!$B$4,8,1)&lt;EDATE(DATE(YEAR($H275),MONTH($H275),1),$O275)),MIN($P275,MAX(0,$N275-$U275-SUM($V275:AB275))),0))</f>
        <v/>
      </c>
      <c r="AD275" s="457">
        <f>IF($AO275&lt;&gt;"OK",0,IF(AND(DATE('Thiết lập'!$B$4,9,1)&gt;=DATE(YEAR($H275),MONTH($H275),1),DATE('Thiết lập'!$B$4,9,1)&lt;EDATE(DATE(YEAR($H275),MONTH($H275),1),$O275)),MIN($P275,MAX(0,$N275-$U275-SUM($V275:AC275))),0))</f>
        <v/>
      </c>
      <c r="AE275" s="457">
        <f>IF($AO275&lt;&gt;"OK",0,IF(AND(DATE('Thiết lập'!$B$4,10,1)&gt;=DATE(YEAR($H275),MONTH($H275),1),DATE('Thiết lập'!$B$4,10,1)&lt;EDATE(DATE(YEAR($H275),MONTH($H275),1),$O275)),MIN($P275,MAX(0,$N275-$U275-SUM($V275:AD275))),0))</f>
        <v/>
      </c>
      <c r="AF275" s="457">
        <f>IF($AO275&lt;&gt;"OK",0,IF(AND(DATE('Thiết lập'!$B$4,11,1)&gt;=DATE(YEAR($H275),MONTH($H275),1),DATE('Thiết lập'!$B$4,11,1)&lt;EDATE(DATE(YEAR($H275),MONTH($H275),1),$O275)),MIN($P275,MAX(0,$N275-$U275-SUM($V275:AE275))),0))</f>
        <v/>
      </c>
      <c r="AG275" s="457">
        <f>IF($AO275&lt;&gt;"OK",0,IF(AND(DATE('Thiết lập'!$B$4,12,1)&gt;=DATE(YEAR($H275),MONTH($H275),1),DATE('Thiết lập'!$B$4,12,1)&lt;EDATE(DATE(YEAR($H275),MONTH($H275),1),$O275)),MIN($P275,MAX(0,$N275-$U275-SUM($V275:AF275))),0))</f>
        <v/>
      </c>
      <c r="AH275" s="457">
        <f>IF(B275="","",SUM(V275:AG275))</f>
        <v/>
      </c>
      <c r="AI275" s="457">
        <f>IF(B275="","",MIN(N275,IF(U275="",0,U275)+AH275))</f>
        <v/>
      </c>
      <c r="AJ275" s="457">
        <f>IF(B275="","",MAX(0,L275-AI275))</f>
        <v/>
      </c>
      <c r="AK275" s="337">
        <f>IF(B275="","",IF(H275&gt;'Thiết lập'!$B$5,"Chưa khấu hao",IF(AJ275&lt;=IF(M275="",0,M275),"Đã hết khấu hao","Đang khấu hao")))</f>
        <v/>
      </c>
      <c r="AL275" s="275" t="n"/>
      <c r="AM275" s="275" t="n"/>
      <c r="AN275" s="275" t="n"/>
      <c r="AO275" s="343">
        <f>IF(B275="","",IF(COUNTIF($B$7:$B$306,B275)&gt;1,"Trùng mã TSCĐ",IF(C275="","Thiếu tên TSCĐ",IF(H275="","Thiếu ngày bắt đầu",IF(OR(I275&lt;=0,L275&lt;=0,O275&lt;=0),"Kiểm tra số lượng/nguyên giá/thời gian",IF(AND(G275&lt;&gt;"",H275&lt;G275),"Ngày KH trước ngày ghi tăng",IF(M275&gt;L275,"Giá trị thu hồi vượt nguyên giá",IF(IF(U275="",0,U275)&gt;N275,"Lũy kế đầu năm vượt GTKH","OK"))))))))</f>
        <v/>
      </c>
    </row>
    <row r="276" ht="20" customHeight="1" s="389">
      <c r="A276" s="325">
        <f>IF(B276="","",ROW()-6)</f>
        <v/>
      </c>
      <c r="B276" s="275" t="n"/>
      <c r="C276" s="275" t="n"/>
      <c r="D276" s="331" t="n"/>
      <c r="E276" s="331" t="n"/>
      <c r="F276" s="454" t="n"/>
      <c r="G276" s="454" t="n"/>
      <c r="H276" s="454" t="n"/>
      <c r="I276" s="455" t="n"/>
      <c r="J276" s="456" t="n"/>
      <c r="K276" s="456" t="n"/>
      <c r="L276" s="457">
        <f>IF(B276="","",IF(OR(I276="",J276=""),"",I276*J276+IF(K276="",0,K276)))</f>
        <v/>
      </c>
      <c r="M276" s="456" t="n"/>
      <c r="N276" s="457">
        <f>IF(L276="","",MAX(0,L276-IF(M276="",0,M276)))</f>
        <v/>
      </c>
      <c r="O276" s="455" t="n"/>
      <c r="P276" s="457">
        <f>IF(OR(N276="",O276&lt;=0),"",ROUND(N276/O276,0))</f>
        <v/>
      </c>
      <c r="Q276" s="458">
        <f>IF(OR(H276="",O276&lt;=0),"",EOMONTH(H276,O276-1))</f>
        <v/>
      </c>
      <c r="R276" s="331" t="n"/>
      <c r="S276" s="331" t="n"/>
      <c r="T276" s="331" t="n"/>
      <c r="U276" s="456" t="n"/>
      <c r="V276" s="457">
        <f>IF($AO276&lt;&gt;"OK",0,IF(AND(DATE('Thiết lập'!$B$4,1,1)&gt;=DATE(YEAR($H276),MONTH($H276),1),DATE('Thiết lập'!$B$4,1,1)&lt;EDATE(DATE(YEAR($H276),MONTH($H276),1),$O276)),MIN($P276,MAX(0,$N276-$U276-0)),0))</f>
        <v/>
      </c>
      <c r="W276" s="457">
        <f>IF($AO276&lt;&gt;"OK",0,IF(AND(DATE('Thiết lập'!$B$4,2,1)&gt;=DATE(YEAR($H276),MONTH($H276),1),DATE('Thiết lập'!$B$4,2,1)&lt;EDATE(DATE(YEAR($H276),MONTH($H276),1),$O276)),MIN($P276,MAX(0,$N276-$U276-SUM($V276:V276))),0))</f>
        <v/>
      </c>
      <c r="X276" s="457">
        <f>IF($AO276&lt;&gt;"OK",0,IF(AND(DATE('Thiết lập'!$B$4,3,1)&gt;=DATE(YEAR($H276),MONTH($H276),1),DATE('Thiết lập'!$B$4,3,1)&lt;EDATE(DATE(YEAR($H276),MONTH($H276),1),$O276)),MIN($P276,MAX(0,$N276-$U276-SUM($V276:W276))),0))</f>
        <v/>
      </c>
      <c r="Y276" s="457">
        <f>IF($AO276&lt;&gt;"OK",0,IF(AND(DATE('Thiết lập'!$B$4,4,1)&gt;=DATE(YEAR($H276),MONTH($H276),1),DATE('Thiết lập'!$B$4,4,1)&lt;EDATE(DATE(YEAR($H276),MONTH($H276),1),$O276)),MIN($P276,MAX(0,$N276-$U276-SUM($V276:X276))),0))</f>
        <v/>
      </c>
      <c r="Z276" s="457">
        <f>IF($AO276&lt;&gt;"OK",0,IF(AND(DATE('Thiết lập'!$B$4,5,1)&gt;=DATE(YEAR($H276),MONTH($H276),1),DATE('Thiết lập'!$B$4,5,1)&lt;EDATE(DATE(YEAR($H276),MONTH($H276),1),$O276)),MIN($P276,MAX(0,$N276-$U276-SUM($V276:Y276))),0))</f>
        <v/>
      </c>
      <c r="AA276" s="457">
        <f>IF($AO276&lt;&gt;"OK",0,IF(AND(DATE('Thiết lập'!$B$4,6,1)&gt;=DATE(YEAR($H276),MONTH($H276),1),DATE('Thiết lập'!$B$4,6,1)&lt;EDATE(DATE(YEAR($H276),MONTH($H276),1),$O276)),MIN($P276,MAX(0,$N276-$U276-SUM($V276:Z276))),0))</f>
        <v/>
      </c>
      <c r="AB276" s="457">
        <f>IF($AO276&lt;&gt;"OK",0,IF(AND(DATE('Thiết lập'!$B$4,7,1)&gt;=DATE(YEAR($H276),MONTH($H276),1),DATE('Thiết lập'!$B$4,7,1)&lt;EDATE(DATE(YEAR($H276),MONTH($H276),1),$O276)),MIN($P276,MAX(0,$N276-$U276-SUM($V276:AA276))),0))</f>
        <v/>
      </c>
      <c r="AC276" s="457">
        <f>IF($AO276&lt;&gt;"OK",0,IF(AND(DATE('Thiết lập'!$B$4,8,1)&gt;=DATE(YEAR($H276),MONTH($H276),1),DATE('Thiết lập'!$B$4,8,1)&lt;EDATE(DATE(YEAR($H276),MONTH($H276),1),$O276)),MIN($P276,MAX(0,$N276-$U276-SUM($V276:AB276))),0))</f>
        <v/>
      </c>
      <c r="AD276" s="457">
        <f>IF($AO276&lt;&gt;"OK",0,IF(AND(DATE('Thiết lập'!$B$4,9,1)&gt;=DATE(YEAR($H276),MONTH($H276),1),DATE('Thiết lập'!$B$4,9,1)&lt;EDATE(DATE(YEAR($H276),MONTH($H276),1),$O276)),MIN($P276,MAX(0,$N276-$U276-SUM($V276:AC276))),0))</f>
        <v/>
      </c>
      <c r="AE276" s="457">
        <f>IF($AO276&lt;&gt;"OK",0,IF(AND(DATE('Thiết lập'!$B$4,10,1)&gt;=DATE(YEAR($H276),MONTH($H276),1),DATE('Thiết lập'!$B$4,10,1)&lt;EDATE(DATE(YEAR($H276),MONTH($H276),1),$O276)),MIN($P276,MAX(0,$N276-$U276-SUM($V276:AD276))),0))</f>
        <v/>
      </c>
      <c r="AF276" s="457">
        <f>IF($AO276&lt;&gt;"OK",0,IF(AND(DATE('Thiết lập'!$B$4,11,1)&gt;=DATE(YEAR($H276),MONTH($H276),1),DATE('Thiết lập'!$B$4,11,1)&lt;EDATE(DATE(YEAR($H276),MONTH($H276),1),$O276)),MIN($P276,MAX(0,$N276-$U276-SUM($V276:AE276))),0))</f>
        <v/>
      </c>
      <c r="AG276" s="457">
        <f>IF($AO276&lt;&gt;"OK",0,IF(AND(DATE('Thiết lập'!$B$4,12,1)&gt;=DATE(YEAR($H276),MONTH($H276),1),DATE('Thiết lập'!$B$4,12,1)&lt;EDATE(DATE(YEAR($H276),MONTH($H276),1),$O276)),MIN($P276,MAX(0,$N276-$U276-SUM($V276:AF276))),0))</f>
        <v/>
      </c>
      <c r="AH276" s="457">
        <f>IF(B276="","",SUM(V276:AG276))</f>
        <v/>
      </c>
      <c r="AI276" s="457">
        <f>IF(B276="","",MIN(N276,IF(U276="",0,U276)+AH276))</f>
        <v/>
      </c>
      <c r="AJ276" s="457">
        <f>IF(B276="","",MAX(0,L276-AI276))</f>
        <v/>
      </c>
      <c r="AK276" s="337">
        <f>IF(B276="","",IF(H276&gt;'Thiết lập'!$B$5,"Chưa khấu hao",IF(AJ276&lt;=IF(M276="",0,M276),"Đã hết khấu hao","Đang khấu hao")))</f>
        <v/>
      </c>
      <c r="AL276" s="275" t="n"/>
      <c r="AM276" s="275" t="n"/>
      <c r="AN276" s="275" t="n"/>
      <c r="AO276" s="343">
        <f>IF(B276="","",IF(COUNTIF($B$7:$B$306,B276)&gt;1,"Trùng mã TSCĐ",IF(C276="","Thiếu tên TSCĐ",IF(H276="","Thiếu ngày bắt đầu",IF(OR(I276&lt;=0,L276&lt;=0,O276&lt;=0),"Kiểm tra số lượng/nguyên giá/thời gian",IF(AND(G276&lt;&gt;"",H276&lt;G276),"Ngày KH trước ngày ghi tăng",IF(M276&gt;L276,"Giá trị thu hồi vượt nguyên giá",IF(IF(U276="",0,U276)&gt;N276,"Lũy kế đầu năm vượt GTKH","OK"))))))))</f>
        <v/>
      </c>
    </row>
    <row r="277" ht="20" customHeight="1" s="389">
      <c r="A277" s="325">
        <f>IF(B277="","",ROW()-6)</f>
        <v/>
      </c>
      <c r="B277" s="275" t="n"/>
      <c r="C277" s="275" t="n"/>
      <c r="D277" s="331" t="n"/>
      <c r="E277" s="331" t="n"/>
      <c r="F277" s="454" t="n"/>
      <c r="G277" s="454" t="n"/>
      <c r="H277" s="454" t="n"/>
      <c r="I277" s="455" t="n"/>
      <c r="J277" s="456" t="n"/>
      <c r="K277" s="456" t="n"/>
      <c r="L277" s="457">
        <f>IF(B277="","",IF(OR(I277="",J277=""),"",I277*J277+IF(K277="",0,K277)))</f>
        <v/>
      </c>
      <c r="M277" s="456" t="n"/>
      <c r="N277" s="457">
        <f>IF(L277="","",MAX(0,L277-IF(M277="",0,M277)))</f>
        <v/>
      </c>
      <c r="O277" s="455" t="n"/>
      <c r="P277" s="457">
        <f>IF(OR(N277="",O277&lt;=0),"",ROUND(N277/O277,0))</f>
        <v/>
      </c>
      <c r="Q277" s="458">
        <f>IF(OR(H277="",O277&lt;=0),"",EOMONTH(H277,O277-1))</f>
        <v/>
      </c>
      <c r="R277" s="331" t="n"/>
      <c r="S277" s="331" t="n"/>
      <c r="T277" s="331" t="n"/>
      <c r="U277" s="456" t="n"/>
      <c r="V277" s="457">
        <f>IF($AO277&lt;&gt;"OK",0,IF(AND(DATE('Thiết lập'!$B$4,1,1)&gt;=DATE(YEAR($H277),MONTH($H277),1),DATE('Thiết lập'!$B$4,1,1)&lt;EDATE(DATE(YEAR($H277),MONTH($H277),1),$O277)),MIN($P277,MAX(0,$N277-$U277-0)),0))</f>
        <v/>
      </c>
      <c r="W277" s="457">
        <f>IF($AO277&lt;&gt;"OK",0,IF(AND(DATE('Thiết lập'!$B$4,2,1)&gt;=DATE(YEAR($H277),MONTH($H277),1),DATE('Thiết lập'!$B$4,2,1)&lt;EDATE(DATE(YEAR($H277),MONTH($H277),1),$O277)),MIN($P277,MAX(0,$N277-$U277-SUM($V277:V277))),0))</f>
        <v/>
      </c>
      <c r="X277" s="457">
        <f>IF($AO277&lt;&gt;"OK",0,IF(AND(DATE('Thiết lập'!$B$4,3,1)&gt;=DATE(YEAR($H277),MONTH($H277),1),DATE('Thiết lập'!$B$4,3,1)&lt;EDATE(DATE(YEAR($H277),MONTH($H277),1),$O277)),MIN($P277,MAX(0,$N277-$U277-SUM($V277:W277))),0))</f>
        <v/>
      </c>
      <c r="Y277" s="457">
        <f>IF($AO277&lt;&gt;"OK",0,IF(AND(DATE('Thiết lập'!$B$4,4,1)&gt;=DATE(YEAR($H277),MONTH($H277),1),DATE('Thiết lập'!$B$4,4,1)&lt;EDATE(DATE(YEAR($H277),MONTH($H277),1),$O277)),MIN($P277,MAX(0,$N277-$U277-SUM($V277:X277))),0))</f>
        <v/>
      </c>
      <c r="Z277" s="457">
        <f>IF($AO277&lt;&gt;"OK",0,IF(AND(DATE('Thiết lập'!$B$4,5,1)&gt;=DATE(YEAR($H277),MONTH($H277),1),DATE('Thiết lập'!$B$4,5,1)&lt;EDATE(DATE(YEAR($H277),MONTH($H277),1),$O277)),MIN($P277,MAX(0,$N277-$U277-SUM($V277:Y277))),0))</f>
        <v/>
      </c>
      <c r="AA277" s="457">
        <f>IF($AO277&lt;&gt;"OK",0,IF(AND(DATE('Thiết lập'!$B$4,6,1)&gt;=DATE(YEAR($H277),MONTH($H277),1),DATE('Thiết lập'!$B$4,6,1)&lt;EDATE(DATE(YEAR($H277),MONTH($H277),1),$O277)),MIN($P277,MAX(0,$N277-$U277-SUM($V277:Z277))),0))</f>
        <v/>
      </c>
      <c r="AB277" s="457">
        <f>IF($AO277&lt;&gt;"OK",0,IF(AND(DATE('Thiết lập'!$B$4,7,1)&gt;=DATE(YEAR($H277),MONTH($H277),1),DATE('Thiết lập'!$B$4,7,1)&lt;EDATE(DATE(YEAR($H277),MONTH($H277),1),$O277)),MIN($P277,MAX(0,$N277-$U277-SUM($V277:AA277))),0))</f>
        <v/>
      </c>
      <c r="AC277" s="457">
        <f>IF($AO277&lt;&gt;"OK",0,IF(AND(DATE('Thiết lập'!$B$4,8,1)&gt;=DATE(YEAR($H277),MONTH($H277),1),DATE('Thiết lập'!$B$4,8,1)&lt;EDATE(DATE(YEAR($H277),MONTH($H277),1),$O277)),MIN($P277,MAX(0,$N277-$U277-SUM($V277:AB277))),0))</f>
        <v/>
      </c>
      <c r="AD277" s="457">
        <f>IF($AO277&lt;&gt;"OK",0,IF(AND(DATE('Thiết lập'!$B$4,9,1)&gt;=DATE(YEAR($H277),MONTH($H277),1),DATE('Thiết lập'!$B$4,9,1)&lt;EDATE(DATE(YEAR($H277),MONTH($H277),1),$O277)),MIN($P277,MAX(0,$N277-$U277-SUM($V277:AC277))),0))</f>
        <v/>
      </c>
      <c r="AE277" s="457">
        <f>IF($AO277&lt;&gt;"OK",0,IF(AND(DATE('Thiết lập'!$B$4,10,1)&gt;=DATE(YEAR($H277),MONTH($H277),1),DATE('Thiết lập'!$B$4,10,1)&lt;EDATE(DATE(YEAR($H277),MONTH($H277),1),$O277)),MIN($P277,MAX(0,$N277-$U277-SUM($V277:AD277))),0))</f>
        <v/>
      </c>
      <c r="AF277" s="457">
        <f>IF($AO277&lt;&gt;"OK",0,IF(AND(DATE('Thiết lập'!$B$4,11,1)&gt;=DATE(YEAR($H277),MONTH($H277),1),DATE('Thiết lập'!$B$4,11,1)&lt;EDATE(DATE(YEAR($H277),MONTH($H277),1),$O277)),MIN($P277,MAX(0,$N277-$U277-SUM($V277:AE277))),0))</f>
        <v/>
      </c>
      <c r="AG277" s="457">
        <f>IF($AO277&lt;&gt;"OK",0,IF(AND(DATE('Thiết lập'!$B$4,12,1)&gt;=DATE(YEAR($H277),MONTH($H277),1),DATE('Thiết lập'!$B$4,12,1)&lt;EDATE(DATE(YEAR($H277),MONTH($H277),1),$O277)),MIN($P277,MAX(0,$N277-$U277-SUM($V277:AF277))),0))</f>
        <v/>
      </c>
      <c r="AH277" s="457">
        <f>IF(B277="","",SUM(V277:AG277))</f>
        <v/>
      </c>
      <c r="AI277" s="457">
        <f>IF(B277="","",MIN(N277,IF(U277="",0,U277)+AH277))</f>
        <v/>
      </c>
      <c r="AJ277" s="457">
        <f>IF(B277="","",MAX(0,L277-AI277))</f>
        <v/>
      </c>
      <c r="AK277" s="337">
        <f>IF(B277="","",IF(H277&gt;'Thiết lập'!$B$5,"Chưa khấu hao",IF(AJ277&lt;=IF(M277="",0,M277),"Đã hết khấu hao","Đang khấu hao")))</f>
        <v/>
      </c>
      <c r="AL277" s="275" t="n"/>
      <c r="AM277" s="275" t="n"/>
      <c r="AN277" s="275" t="n"/>
      <c r="AO277" s="343">
        <f>IF(B277="","",IF(COUNTIF($B$7:$B$306,B277)&gt;1,"Trùng mã TSCĐ",IF(C277="","Thiếu tên TSCĐ",IF(H277="","Thiếu ngày bắt đầu",IF(OR(I277&lt;=0,L277&lt;=0,O277&lt;=0),"Kiểm tra số lượng/nguyên giá/thời gian",IF(AND(G277&lt;&gt;"",H277&lt;G277),"Ngày KH trước ngày ghi tăng",IF(M277&gt;L277,"Giá trị thu hồi vượt nguyên giá",IF(IF(U277="",0,U277)&gt;N277,"Lũy kế đầu năm vượt GTKH","OK"))))))))</f>
        <v/>
      </c>
    </row>
    <row r="278" ht="20" customHeight="1" s="389">
      <c r="A278" s="325">
        <f>IF(B278="","",ROW()-6)</f>
        <v/>
      </c>
      <c r="B278" s="275" t="n"/>
      <c r="C278" s="275" t="n"/>
      <c r="D278" s="331" t="n"/>
      <c r="E278" s="331" t="n"/>
      <c r="F278" s="454" t="n"/>
      <c r="G278" s="454" t="n"/>
      <c r="H278" s="454" t="n"/>
      <c r="I278" s="455" t="n"/>
      <c r="J278" s="456" t="n"/>
      <c r="K278" s="456" t="n"/>
      <c r="L278" s="457">
        <f>IF(B278="","",IF(OR(I278="",J278=""),"",I278*J278+IF(K278="",0,K278)))</f>
        <v/>
      </c>
      <c r="M278" s="456" t="n"/>
      <c r="N278" s="457">
        <f>IF(L278="","",MAX(0,L278-IF(M278="",0,M278)))</f>
        <v/>
      </c>
      <c r="O278" s="455" t="n"/>
      <c r="P278" s="457">
        <f>IF(OR(N278="",O278&lt;=0),"",ROUND(N278/O278,0))</f>
        <v/>
      </c>
      <c r="Q278" s="458">
        <f>IF(OR(H278="",O278&lt;=0),"",EOMONTH(H278,O278-1))</f>
        <v/>
      </c>
      <c r="R278" s="331" t="n"/>
      <c r="S278" s="331" t="n"/>
      <c r="T278" s="331" t="n"/>
      <c r="U278" s="456" t="n"/>
      <c r="V278" s="457">
        <f>IF($AO278&lt;&gt;"OK",0,IF(AND(DATE('Thiết lập'!$B$4,1,1)&gt;=DATE(YEAR($H278),MONTH($H278),1),DATE('Thiết lập'!$B$4,1,1)&lt;EDATE(DATE(YEAR($H278),MONTH($H278),1),$O278)),MIN($P278,MAX(0,$N278-$U278-0)),0))</f>
        <v/>
      </c>
      <c r="W278" s="457">
        <f>IF($AO278&lt;&gt;"OK",0,IF(AND(DATE('Thiết lập'!$B$4,2,1)&gt;=DATE(YEAR($H278),MONTH($H278),1),DATE('Thiết lập'!$B$4,2,1)&lt;EDATE(DATE(YEAR($H278),MONTH($H278),1),$O278)),MIN($P278,MAX(0,$N278-$U278-SUM($V278:V278))),0))</f>
        <v/>
      </c>
      <c r="X278" s="457">
        <f>IF($AO278&lt;&gt;"OK",0,IF(AND(DATE('Thiết lập'!$B$4,3,1)&gt;=DATE(YEAR($H278),MONTH($H278),1),DATE('Thiết lập'!$B$4,3,1)&lt;EDATE(DATE(YEAR($H278),MONTH($H278),1),$O278)),MIN($P278,MAX(0,$N278-$U278-SUM($V278:W278))),0))</f>
        <v/>
      </c>
      <c r="Y278" s="457">
        <f>IF($AO278&lt;&gt;"OK",0,IF(AND(DATE('Thiết lập'!$B$4,4,1)&gt;=DATE(YEAR($H278),MONTH($H278),1),DATE('Thiết lập'!$B$4,4,1)&lt;EDATE(DATE(YEAR($H278),MONTH($H278),1),$O278)),MIN($P278,MAX(0,$N278-$U278-SUM($V278:X278))),0))</f>
        <v/>
      </c>
      <c r="Z278" s="457">
        <f>IF($AO278&lt;&gt;"OK",0,IF(AND(DATE('Thiết lập'!$B$4,5,1)&gt;=DATE(YEAR($H278),MONTH($H278),1),DATE('Thiết lập'!$B$4,5,1)&lt;EDATE(DATE(YEAR($H278),MONTH($H278),1),$O278)),MIN($P278,MAX(0,$N278-$U278-SUM($V278:Y278))),0))</f>
        <v/>
      </c>
      <c r="AA278" s="457">
        <f>IF($AO278&lt;&gt;"OK",0,IF(AND(DATE('Thiết lập'!$B$4,6,1)&gt;=DATE(YEAR($H278),MONTH($H278),1),DATE('Thiết lập'!$B$4,6,1)&lt;EDATE(DATE(YEAR($H278),MONTH($H278),1),$O278)),MIN($P278,MAX(0,$N278-$U278-SUM($V278:Z278))),0))</f>
        <v/>
      </c>
      <c r="AB278" s="457">
        <f>IF($AO278&lt;&gt;"OK",0,IF(AND(DATE('Thiết lập'!$B$4,7,1)&gt;=DATE(YEAR($H278),MONTH($H278),1),DATE('Thiết lập'!$B$4,7,1)&lt;EDATE(DATE(YEAR($H278),MONTH($H278),1),$O278)),MIN($P278,MAX(0,$N278-$U278-SUM($V278:AA278))),0))</f>
        <v/>
      </c>
      <c r="AC278" s="457">
        <f>IF($AO278&lt;&gt;"OK",0,IF(AND(DATE('Thiết lập'!$B$4,8,1)&gt;=DATE(YEAR($H278),MONTH($H278),1),DATE('Thiết lập'!$B$4,8,1)&lt;EDATE(DATE(YEAR($H278),MONTH($H278),1),$O278)),MIN($P278,MAX(0,$N278-$U278-SUM($V278:AB278))),0))</f>
        <v/>
      </c>
      <c r="AD278" s="457">
        <f>IF($AO278&lt;&gt;"OK",0,IF(AND(DATE('Thiết lập'!$B$4,9,1)&gt;=DATE(YEAR($H278),MONTH($H278),1),DATE('Thiết lập'!$B$4,9,1)&lt;EDATE(DATE(YEAR($H278),MONTH($H278),1),$O278)),MIN($P278,MAX(0,$N278-$U278-SUM($V278:AC278))),0))</f>
        <v/>
      </c>
      <c r="AE278" s="457">
        <f>IF($AO278&lt;&gt;"OK",0,IF(AND(DATE('Thiết lập'!$B$4,10,1)&gt;=DATE(YEAR($H278),MONTH($H278),1),DATE('Thiết lập'!$B$4,10,1)&lt;EDATE(DATE(YEAR($H278),MONTH($H278),1),$O278)),MIN($P278,MAX(0,$N278-$U278-SUM($V278:AD278))),0))</f>
        <v/>
      </c>
      <c r="AF278" s="457">
        <f>IF($AO278&lt;&gt;"OK",0,IF(AND(DATE('Thiết lập'!$B$4,11,1)&gt;=DATE(YEAR($H278),MONTH($H278),1),DATE('Thiết lập'!$B$4,11,1)&lt;EDATE(DATE(YEAR($H278),MONTH($H278),1),$O278)),MIN($P278,MAX(0,$N278-$U278-SUM($V278:AE278))),0))</f>
        <v/>
      </c>
      <c r="AG278" s="457">
        <f>IF($AO278&lt;&gt;"OK",0,IF(AND(DATE('Thiết lập'!$B$4,12,1)&gt;=DATE(YEAR($H278),MONTH($H278),1),DATE('Thiết lập'!$B$4,12,1)&lt;EDATE(DATE(YEAR($H278),MONTH($H278),1),$O278)),MIN($P278,MAX(0,$N278-$U278-SUM($V278:AF278))),0))</f>
        <v/>
      </c>
      <c r="AH278" s="457">
        <f>IF(B278="","",SUM(V278:AG278))</f>
        <v/>
      </c>
      <c r="AI278" s="457">
        <f>IF(B278="","",MIN(N278,IF(U278="",0,U278)+AH278))</f>
        <v/>
      </c>
      <c r="AJ278" s="457">
        <f>IF(B278="","",MAX(0,L278-AI278))</f>
        <v/>
      </c>
      <c r="AK278" s="337">
        <f>IF(B278="","",IF(H278&gt;'Thiết lập'!$B$5,"Chưa khấu hao",IF(AJ278&lt;=IF(M278="",0,M278),"Đã hết khấu hao","Đang khấu hao")))</f>
        <v/>
      </c>
      <c r="AL278" s="275" t="n"/>
      <c r="AM278" s="275" t="n"/>
      <c r="AN278" s="275" t="n"/>
      <c r="AO278" s="343">
        <f>IF(B278="","",IF(COUNTIF($B$7:$B$306,B278)&gt;1,"Trùng mã TSCĐ",IF(C278="","Thiếu tên TSCĐ",IF(H278="","Thiếu ngày bắt đầu",IF(OR(I278&lt;=0,L278&lt;=0,O278&lt;=0),"Kiểm tra số lượng/nguyên giá/thời gian",IF(AND(G278&lt;&gt;"",H278&lt;G278),"Ngày KH trước ngày ghi tăng",IF(M278&gt;L278,"Giá trị thu hồi vượt nguyên giá",IF(IF(U278="",0,U278)&gt;N278,"Lũy kế đầu năm vượt GTKH","OK"))))))))</f>
        <v/>
      </c>
    </row>
    <row r="279" ht="20" customHeight="1" s="389">
      <c r="A279" s="325">
        <f>IF(B279="","",ROW()-6)</f>
        <v/>
      </c>
      <c r="B279" s="275" t="n"/>
      <c r="C279" s="275" t="n"/>
      <c r="D279" s="331" t="n"/>
      <c r="E279" s="331" t="n"/>
      <c r="F279" s="454" t="n"/>
      <c r="G279" s="454" t="n"/>
      <c r="H279" s="454" t="n"/>
      <c r="I279" s="455" t="n"/>
      <c r="J279" s="456" t="n"/>
      <c r="K279" s="456" t="n"/>
      <c r="L279" s="457">
        <f>IF(B279="","",IF(OR(I279="",J279=""),"",I279*J279+IF(K279="",0,K279)))</f>
        <v/>
      </c>
      <c r="M279" s="456" t="n"/>
      <c r="N279" s="457">
        <f>IF(L279="","",MAX(0,L279-IF(M279="",0,M279)))</f>
        <v/>
      </c>
      <c r="O279" s="455" t="n"/>
      <c r="P279" s="457">
        <f>IF(OR(N279="",O279&lt;=0),"",ROUND(N279/O279,0))</f>
        <v/>
      </c>
      <c r="Q279" s="458">
        <f>IF(OR(H279="",O279&lt;=0),"",EOMONTH(H279,O279-1))</f>
        <v/>
      </c>
      <c r="R279" s="331" t="n"/>
      <c r="S279" s="331" t="n"/>
      <c r="T279" s="331" t="n"/>
      <c r="U279" s="456" t="n"/>
      <c r="V279" s="457">
        <f>IF($AO279&lt;&gt;"OK",0,IF(AND(DATE('Thiết lập'!$B$4,1,1)&gt;=DATE(YEAR($H279),MONTH($H279),1),DATE('Thiết lập'!$B$4,1,1)&lt;EDATE(DATE(YEAR($H279),MONTH($H279),1),$O279)),MIN($P279,MAX(0,$N279-$U279-0)),0))</f>
        <v/>
      </c>
      <c r="W279" s="457">
        <f>IF($AO279&lt;&gt;"OK",0,IF(AND(DATE('Thiết lập'!$B$4,2,1)&gt;=DATE(YEAR($H279),MONTH($H279),1),DATE('Thiết lập'!$B$4,2,1)&lt;EDATE(DATE(YEAR($H279),MONTH($H279),1),$O279)),MIN($P279,MAX(0,$N279-$U279-SUM($V279:V279))),0))</f>
        <v/>
      </c>
      <c r="X279" s="457">
        <f>IF($AO279&lt;&gt;"OK",0,IF(AND(DATE('Thiết lập'!$B$4,3,1)&gt;=DATE(YEAR($H279),MONTH($H279),1),DATE('Thiết lập'!$B$4,3,1)&lt;EDATE(DATE(YEAR($H279),MONTH($H279),1),$O279)),MIN($P279,MAX(0,$N279-$U279-SUM($V279:W279))),0))</f>
        <v/>
      </c>
      <c r="Y279" s="457">
        <f>IF($AO279&lt;&gt;"OK",0,IF(AND(DATE('Thiết lập'!$B$4,4,1)&gt;=DATE(YEAR($H279),MONTH($H279),1),DATE('Thiết lập'!$B$4,4,1)&lt;EDATE(DATE(YEAR($H279),MONTH($H279),1),$O279)),MIN($P279,MAX(0,$N279-$U279-SUM($V279:X279))),0))</f>
        <v/>
      </c>
      <c r="Z279" s="457">
        <f>IF($AO279&lt;&gt;"OK",0,IF(AND(DATE('Thiết lập'!$B$4,5,1)&gt;=DATE(YEAR($H279),MONTH($H279),1),DATE('Thiết lập'!$B$4,5,1)&lt;EDATE(DATE(YEAR($H279),MONTH($H279),1),$O279)),MIN($P279,MAX(0,$N279-$U279-SUM($V279:Y279))),0))</f>
        <v/>
      </c>
      <c r="AA279" s="457">
        <f>IF($AO279&lt;&gt;"OK",0,IF(AND(DATE('Thiết lập'!$B$4,6,1)&gt;=DATE(YEAR($H279),MONTH($H279),1),DATE('Thiết lập'!$B$4,6,1)&lt;EDATE(DATE(YEAR($H279),MONTH($H279),1),$O279)),MIN($P279,MAX(0,$N279-$U279-SUM($V279:Z279))),0))</f>
        <v/>
      </c>
      <c r="AB279" s="457">
        <f>IF($AO279&lt;&gt;"OK",0,IF(AND(DATE('Thiết lập'!$B$4,7,1)&gt;=DATE(YEAR($H279),MONTH($H279),1),DATE('Thiết lập'!$B$4,7,1)&lt;EDATE(DATE(YEAR($H279),MONTH($H279),1),$O279)),MIN($P279,MAX(0,$N279-$U279-SUM($V279:AA279))),0))</f>
        <v/>
      </c>
      <c r="AC279" s="457">
        <f>IF($AO279&lt;&gt;"OK",0,IF(AND(DATE('Thiết lập'!$B$4,8,1)&gt;=DATE(YEAR($H279),MONTH($H279),1),DATE('Thiết lập'!$B$4,8,1)&lt;EDATE(DATE(YEAR($H279),MONTH($H279),1),$O279)),MIN($P279,MAX(0,$N279-$U279-SUM($V279:AB279))),0))</f>
        <v/>
      </c>
      <c r="AD279" s="457">
        <f>IF($AO279&lt;&gt;"OK",0,IF(AND(DATE('Thiết lập'!$B$4,9,1)&gt;=DATE(YEAR($H279),MONTH($H279),1),DATE('Thiết lập'!$B$4,9,1)&lt;EDATE(DATE(YEAR($H279),MONTH($H279),1),$O279)),MIN($P279,MAX(0,$N279-$U279-SUM($V279:AC279))),0))</f>
        <v/>
      </c>
      <c r="AE279" s="457">
        <f>IF($AO279&lt;&gt;"OK",0,IF(AND(DATE('Thiết lập'!$B$4,10,1)&gt;=DATE(YEAR($H279),MONTH($H279),1),DATE('Thiết lập'!$B$4,10,1)&lt;EDATE(DATE(YEAR($H279),MONTH($H279),1),$O279)),MIN($P279,MAX(0,$N279-$U279-SUM($V279:AD279))),0))</f>
        <v/>
      </c>
      <c r="AF279" s="457">
        <f>IF($AO279&lt;&gt;"OK",0,IF(AND(DATE('Thiết lập'!$B$4,11,1)&gt;=DATE(YEAR($H279),MONTH($H279),1),DATE('Thiết lập'!$B$4,11,1)&lt;EDATE(DATE(YEAR($H279),MONTH($H279),1),$O279)),MIN($P279,MAX(0,$N279-$U279-SUM($V279:AE279))),0))</f>
        <v/>
      </c>
      <c r="AG279" s="457">
        <f>IF($AO279&lt;&gt;"OK",0,IF(AND(DATE('Thiết lập'!$B$4,12,1)&gt;=DATE(YEAR($H279),MONTH($H279),1),DATE('Thiết lập'!$B$4,12,1)&lt;EDATE(DATE(YEAR($H279),MONTH($H279),1),$O279)),MIN($P279,MAX(0,$N279-$U279-SUM($V279:AF279))),0))</f>
        <v/>
      </c>
      <c r="AH279" s="457">
        <f>IF(B279="","",SUM(V279:AG279))</f>
        <v/>
      </c>
      <c r="AI279" s="457">
        <f>IF(B279="","",MIN(N279,IF(U279="",0,U279)+AH279))</f>
        <v/>
      </c>
      <c r="AJ279" s="457">
        <f>IF(B279="","",MAX(0,L279-AI279))</f>
        <v/>
      </c>
      <c r="AK279" s="337">
        <f>IF(B279="","",IF(H279&gt;'Thiết lập'!$B$5,"Chưa khấu hao",IF(AJ279&lt;=IF(M279="",0,M279),"Đã hết khấu hao","Đang khấu hao")))</f>
        <v/>
      </c>
      <c r="AL279" s="275" t="n"/>
      <c r="AM279" s="275" t="n"/>
      <c r="AN279" s="275" t="n"/>
      <c r="AO279" s="343">
        <f>IF(B279="","",IF(COUNTIF($B$7:$B$306,B279)&gt;1,"Trùng mã TSCĐ",IF(C279="","Thiếu tên TSCĐ",IF(H279="","Thiếu ngày bắt đầu",IF(OR(I279&lt;=0,L279&lt;=0,O279&lt;=0),"Kiểm tra số lượng/nguyên giá/thời gian",IF(AND(G279&lt;&gt;"",H279&lt;G279),"Ngày KH trước ngày ghi tăng",IF(M279&gt;L279,"Giá trị thu hồi vượt nguyên giá",IF(IF(U279="",0,U279)&gt;N279,"Lũy kế đầu năm vượt GTKH","OK"))))))))</f>
        <v/>
      </c>
    </row>
    <row r="280" ht="20" customHeight="1" s="389">
      <c r="A280" s="325">
        <f>IF(B280="","",ROW()-6)</f>
        <v/>
      </c>
      <c r="B280" s="275" t="n"/>
      <c r="C280" s="275" t="n"/>
      <c r="D280" s="331" t="n"/>
      <c r="E280" s="331" t="n"/>
      <c r="F280" s="454" t="n"/>
      <c r="G280" s="454" t="n"/>
      <c r="H280" s="454" t="n"/>
      <c r="I280" s="455" t="n"/>
      <c r="J280" s="456" t="n"/>
      <c r="K280" s="456" t="n"/>
      <c r="L280" s="457">
        <f>IF(B280="","",IF(OR(I280="",J280=""),"",I280*J280+IF(K280="",0,K280)))</f>
        <v/>
      </c>
      <c r="M280" s="456" t="n"/>
      <c r="N280" s="457">
        <f>IF(L280="","",MAX(0,L280-IF(M280="",0,M280)))</f>
        <v/>
      </c>
      <c r="O280" s="455" t="n"/>
      <c r="P280" s="457">
        <f>IF(OR(N280="",O280&lt;=0),"",ROUND(N280/O280,0))</f>
        <v/>
      </c>
      <c r="Q280" s="458">
        <f>IF(OR(H280="",O280&lt;=0),"",EOMONTH(H280,O280-1))</f>
        <v/>
      </c>
      <c r="R280" s="331" t="n"/>
      <c r="S280" s="331" t="n"/>
      <c r="T280" s="331" t="n"/>
      <c r="U280" s="456" t="n"/>
      <c r="V280" s="457">
        <f>IF($AO280&lt;&gt;"OK",0,IF(AND(DATE('Thiết lập'!$B$4,1,1)&gt;=DATE(YEAR($H280),MONTH($H280),1),DATE('Thiết lập'!$B$4,1,1)&lt;EDATE(DATE(YEAR($H280),MONTH($H280),1),$O280)),MIN($P280,MAX(0,$N280-$U280-0)),0))</f>
        <v/>
      </c>
      <c r="W280" s="457">
        <f>IF($AO280&lt;&gt;"OK",0,IF(AND(DATE('Thiết lập'!$B$4,2,1)&gt;=DATE(YEAR($H280),MONTH($H280),1),DATE('Thiết lập'!$B$4,2,1)&lt;EDATE(DATE(YEAR($H280),MONTH($H280),1),$O280)),MIN($P280,MAX(0,$N280-$U280-SUM($V280:V280))),0))</f>
        <v/>
      </c>
      <c r="X280" s="457">
        <f>IF($AO280&lt;&gt;"OK",0,IF(AND(DATE('Thiết lập'!$B$4,3,1)&gt;=DATE(YEAR($H280),MONTH($H280),1),DATE('Thiết lập'!$B$4,3,1)&lt;EDATE(DATE(YEAR($H280),MONTH($H280),1),$O280)),MIN($P280,MAX(0,$N280-$U280-SUM($V280:W280))),0))</f>
        <v/>
      </c>
      <c r="Y280" s="457">
        <f>IF($AO280&lt;&gt;"OK",0,IF(AND(DATE('Thiết lập'!$B$4,4,1)&gt;=DATE(YEAR($H280),MONTH($H280),1),DATE('Thiết lập'!$B$4,4,1)&lt;EDATE(DATE(YEAR($H280),MONTH($H280),1),$O280)),MIN($P280,MAX(0,$N280-$U280-SUM($V280:X280))),0))</f>
        <v/>
      </c>
      <c r="Z280" s="457">
        <f>IF($AO280&lt;&gt;"OK",0,IF(AND(DATE('Thiết lập'!$B$4,5,1)&gt;=DATE(YEAR($H280),MONTH($H280),1),DATE('Thiết lập'!$B$4,5,1)&lt;EDATE(DATE(YEAR($H280),MONTH($H280),1),$O280)),MIN($P280,MAX(0,$N280-$U280-SUM($V280:Y280))),0))</f>
        <v/>
      </c>
      <c r="AA280" s="457">
        <f>IF($AO280&lt;&gt;"OK",0,IF(AND(DATE('Thiết lập'!$B$4,6,1)&gt;=DATE(YEAR($H280),MONTH($H280),1),DATE('Thiết lập'!$B$4,6,1)&lt;EDATE(DATE(YEAR($H280),MONTH($H280),1),$O280)),MIN($P280,MAX(0,$N280-$U280-SUM($V280:Z280))),0))</f>
        <v/>
      </c>
      <c r="AB280" s="457">
        <f>IF($AO280&lt;&gt;"OK",0,IF(AND(DATE('Thiết lập'!$B$4,7,1)&gt;=DATE(YEAR($H280),MONTH($H280),1),DATE('Thiết lập'!$B$4,7,1)&lt;EDATE(DATE(YEAR($H280),MONTH($H280),1),$O280)),MIN($P280,MAX(0,$N280-$U280-SUM($V280:AA280))),0))</f>
        <v/>
      </c>
      <c r="AC280" s="457">
        <f>IF($AO280&lt;&gt;"OK",0,IF(AND(DATE('Thiết lập'!$B$4,8,1)&gt;=DATE(YEAR($H280),MONTH($H280),1),DATE('Thiết lập'!$B$4,8,1)&lt;EDATE(DATE(YEAR($H280),MONTH($H280),1),$O280)),MIN($P280,MAX(0,$N280-$U280-SUM($V280:AB280))),0))</f>
        <v/>
      </c>
      <c r="AD280" s="457">
        <f>IF($AO280&lt;&gt;"OK",0,IF(AND(DATE('Thiết lập'!$B$4,9,1)&gt;=DATE(YEAR($H280),MONTH($H280),1),DATE('Thiết lập'!$B$4,9,1)&lt;EDATE(DATE(YEAR($H280),MONTH($H280),1),$O280)),MIN($P280,MAX(0,$N280-$U280-SUM($V280:AC280))),0))</f>
        <v/>
      </c>
      <c r="AE280" s="457">
        <f>IF($AO280&lt;&gt;"OK",0,IF(AND(DATE('Thiết lập'!$B$4,10,1)&gt;=DATE(YEAR($H280),MONTH($H280),1),DATE('Thiết lập'!$B$4,10,1)&lt;EDATE(DATE(YEAR($H280),MONTH($H280),1),$O280)),MIN($P280,MAX(0,$N280-$U280-SUM($V280:AD280))),0))</f>
        <v/>
      </c>
      <c r="AF280" s="457">
        <f>IF($AO280&lt;&gt;"OK",0,IF(AND(DATE('Thiết lập'!$B$4,11,1)&gt;=DATE(YEAR($H280),MONTH($H280),1),DATE('Thiết lập'!$B$4,11,1)&lt;EDATE(DATE(YEAR($H280),MONTH($H280),1),$O280)),MIN($P280,MAX(0,$N280-$U280-SUM($V280:AE280))),0))</f>
        <v/>
      </c>
      <c r="AG280" s="457">
        <f>IF($AO280&lt;&gt;"OK",0,IF(AND(DATE('Thiết lập'!$B$4,12,1)&gt;=DATE(YEAR($H280),MONTH($H280),1),DATE('Thiết lập'!$B$4,12,1)&lt;EDATE(DATE(YEAR($H280),MONTH($H280),1),$O280)),MIN($P280,MAX(0,$N280-$U280-SUM($V280:AF280))),0))</f>
        <v/>
      </c>
      <c r="AH280" s="457">
        <f>IF(B280="","",SUM(V280:AG280))</f>
        <v/>
      </c>
      <c r="AI280" s="457">
        <f>IF(B280="","",MIN(N280,IF(U280="",0,U280)+AH280))</f>
        <v/>
      </c>
      <c r="AJ280" s="457">
        <f>IF(B280="","",MAX(0,L280-AI280))</f>
        <v/>
      </c>
      <c r="AK280" s="337">
        <f>IF(B280="","",IF(H280&gt;'Thiết lập'!$B$5,"Chưa khấu hao",IF(AJ280&lt;=IF(M280="",0,M280),"Đã hết khấu hao","Đang khấu hao")))</f>
        <v/>
      </c>
      <c r="AL280" s="275" t="n"/>
      <c r="AM280" s="275" t="n"/>
      <c r="AN280" s="275" t="n"/>
      <c r="AO280" s="343">
        <f>IF(B280="","",IF(COUNTIF($B$7:$B$306,B280)&gt;1,"Trùng mã TSCĐ",IF(C280="","Thiếu tên TSCĐ",IF(H280="","Thiếu ngày bắt đầu",IF(OR(I280&lt;=0,L280&lt;=0,O280&lt;=0),"Kiểm tra số lượng/nguyên giá/thời gian",IF(AND(G280&lt;&gt;"",H280&lt;G280),"Ngày KH trước ngày ghi tăng",IF(M280&gt;L280,"Giá trị thu hồi vượt nguyên giá",IF(IF(U280="",0,U280)&gt;N280,"Lũy kế đầu năm vượt GTKH","OK"))))))))</f>
        <v/>
      </c>
    </row>
    <row r="281" ht="20" customHeight="1" s="389">
      <c r="A281" s="325">
        <f>IF(B281="","",ROW()-6)</f>
        <v/>
      </c>
      <c r="B281" s="275" t="n"/>
      <c r="C281" s="275" t="n"/>
      <c r="D281" s="331" t="n"/>
      <c r="E281" s="331" t="n"/>
      <c r="F281" s="454" t="n"/>
      <c r="G281" s="454" t="n"/>
      <c r="H281" s="454" t="n"/>
      <c r="I281" s="455" t="n"/>
      <c r="J281" s="456" t="n"/>
      <c r="K281" s="456" t="n"/>
      <c r="L281" s="457">
        <f>IF(B281="","",IF(OR(I281="",J281=""),"",I281*J281+IF(K281="",0,K281)))</f>
        <v/>
      </c>
      <c r="M281" s="456" t="n"/>
      <c r="N281" s="457">
        <f>IF(L281="","",MAX(0,L281-IF(M281="",0,M281)))</f>
        <v/>
      </c>
      <c r="O281" s="455" t="n"/>
      <c r="P281" s="457">
        <f>IF(OR(N281="",O281&lt;=0),"",ROUND(N281/O281,0))</f>
        <v/>
      </c>
      <c r="Q281" s="458">
        <f>IF(OR(H281="",O281&lt;=0),"",EOMONTH(H281,O281-1))</f>
        <v/>
      </c>
      <c r="R281" s="331" t="n"/>
      <c r="S281" s="331" t="n"/>
      <c r="T281" s="331" t="n"/>
      <c r="U281" s="456" t="n"/>
      <c r="V281" s="457">
        <f>IF($AO281&lt;&gt;"OK",0,IF(AND(DATE('Thiết lập'!$B$4,1,1)&gt;=DATE(YEAR($H281),MONTH($H281),1),DATE('Thiết lập'!$B$4,1,1)&lt;EDATE(DATE(YEAR($H281),MONTH($H281),1),$O281)),MIN($P281,MAX(0,$N281-$U281-0)),0))</f>
        <v/>
      </c>
      <c r="W281" s="457">
        <f>IF($AO281&lt;&gt;"OK",0,IF(AND(DATE('Thiết lập'!$B$4,2,1)&gt;=DATE(YEAR($H281),MONTH($H281),1),DATE('Thiết lập'!$B$4,2,1)&lt;EDATE(DATE(YEAR($H281),MONTH($H281),1),$O281)),MIN($P281,MAX(0,$N281-$U281-SUM($V281:V281))),0))</f>
        <v/>
      </c>
      <c r="X281" s="457">
        <f>IF($AO281&lt;&gt;"OK",0,IF(AND(DATE('Thiết lập'!$B$4,3,1)&gt;=DATE(YEAR($H281),MONTH($H281),1),DATE('Thiết lập'!$B$4,3,1)&lt;EDATE(DATE(YEAR($H281),MONTH($H281),1),$O281)),MIN($P281,MAX(0,$N281-$U281-SUM($V281:W281))),0))</f>
        <v/>
      </c>
      <c r="Y281" s="457">
        <f>IF($AO281&lt;&gt;"OK",0,IF(AND(DATE('Thiết lập'!$B$4,4,1)&gt;=DATE(YEAR($H281),MONTH($H281),1),DATE('Thiết lập'!$B$4,4,1)&lt;EDATE(DATE(YEAR($H281),MONTH($H281),1),$O281)),MIN($P281,MAX(0,$N281-$U281-SUM($V281:X281))),0))</f>
        <v/>
      </c>
      <c r="Z281" s="457">
        <f>IF($AO281&lt;&gt;"OK",0,IF(AND(DATE('Thiết lập'!$B$4,5,1)&gt;=DATE(YEAR($H281),MONTH($H281),1),DATE('Thiết lập'!$B$4,5,1)&lt;EDATE(DATE(YEAR($H281),MONTH($H281),1),$O281)),MIN($P281,MAX(0,$N281-$U281-SUM($V281:Y281))),0))</f>
        <v/>
      </c>
      <c r="AA281" s="457">
        <f>IF($AO281&lt;&gt;"OK",0,IF(AND(DATE('Thiết lập'!$B$4,6,1)&gt;=DATE(YEAR($H281),MONTH($H281),1),DATE('Thiết lập'!$B$4,6,1)&lt;EDATE(DATE(YEAR($H281),MONTH($H281),1),$O281)),MIN($P281,MAX(0,$N281-$U281-SUM($V281:Z281))),0))</f>
        <v/>
      </c>
      <c r="AB281" s="457">
        <f>IF($AO281&lt;&gt;"OK",0,IF(AND(DATE('Thiết lập'!$B$4,7,1)&gt;=DATE(YEAR($H281),MONTH($H281),1),DATE('Thiết lập'!$B$4,7,1)&lt;EDATE(DATE(YEAR($H281),MONTH($H281),1),$O281)),MIN($P281,MAX(0,$N281-$U281-SUM($V281:AA281))),0))</f>
        <v/>
      </c>
      <c r="AC281" s="457">
        <f>IF($AO281&lt;&gt;"OK",0,IF(AND(DATE('Thiết lập'!$B$4,8,1)&gt;=DATE(YEAR($H281),MONTH($H281),1),DATE('Thiết lập'!$B$4,8,1)&lt;EDATE(DATE(YEAR($H281),MONTH($H281),1),$O281)),MIN($P281,MAX(0,$N281-$U281-SUM($V281:AB281))),0))</f>
        <v/>
      </c>
      <c r="AD281" s="457">
        <f>IF($AO281&lt;&gt;"OK",0,IF(AND(DATE('Thiết lập'!$B$4,9,1)&gt;=DATE(YEAR($H281),MONTH($H281),1),DATE('Thiết lập'!$B$4,9,1)&lt;EDATE(DATE(YEAR($H281),MONTH($H281),1),$O281)),MIN($P281,MAX(0,$N281-$U281-SUM($V281:AC281))),0))</f>
        <v/>
      </c>
      <c r="AE281" s="457">
        <f>IF($AO281&lt;&gt;"OK",0,IF(AND(DATE('Thiết lập'!$B$4,10,1)&gt;=DATE(YEAR($H281),MONTH($H281),1),DATE('Thiết lập'!$B$4,10,1)&lt;EDATE(DATE(YEAR($H281),MONTH($H281),1),$O281)),MIN($P281,MAX(0,$N281-$U281-SUM($V281:AD281))),0))</f>
        <v/>
      </c>
      <c r="AF281" s="457">
        <f>IF($AO281&lt;&gt;"OK",0,IF(AND(DATE('Thiết lập'!$B$4,11,1)&gt;=DATE(YEAR($H281),MONTH($H281),1),DATE('Thiết lập'!$B$4,11,1)&lt;EDATE(DATE(YEAR($H281),MONTH($H281),1),$O281)),MIN($P281,MAX(0,$N281-$U281-SUM($V281:AE281))),0))</f>
        <v/>
      </c>
      <c r="AG281" s="457">
        <f>IF($AO281&lt;&gt;"OK",0,IF(AND(DATE('Thiết lập'!$B$4,12,1)&gt;=DATE(YEAR($H281),MONTH($H281),1),DATE('Thiết lập'!$B$4,12,1)&lt;EDATE(DATE(YEAR($H281),MONTH($H281),1),$O281)),MIN($P281,MAX(0,$N281-$U281-SUM($V281:AF281))),0))</f>
        <v/>
      </c>
      <c r="AH281" s="457">
        <f>IF(B281="","",SUM(V281:AG281))</f>
        <v/>
      </c>
      <c r="AI281" s="457">
        <f>IF(B281="","",MIN(N281,IF(U281="",0,U281)+AH281))</f>
        <v/>
      </c>
      <c r="AJ281" s="457">
        <f>IF(B281="","",MAX(0,L281-AI281))</f>
        <v/>
      </c>
      <c r="AK281" s="337">
        <f>IF(B281="","",IF(H281&gt;'Thiết lập'!$B$5,"Chưa khấu hao",IF(AJ281&lt;=IF(M281="",0,M281),"Đã hết khấu hao","Đang khấu hao")))</f>
        <v/>
      </c>
      <c r="AL281" s="275" t="n"/>
      <c r="AM281" s="275" t="n"/>
      <c r="AN281" s="275" t="n"/>
      <c r="AO281" s="343">
        <f>IF(B281="","",IF(COUNTIF($B$7:$B$306,B281)&gt;1,"Trùng mã TSCĐ",IF(C281="","Thiếu tên TSCĐ",IF(H281="","Thiếu ngày bắt đầu",IF(OR(I281&lt;=0,L281&lt;=0,O281&lt;=0),"Kiểm tra số lượng/nguyên giá/thời gian",IF(AND(G281&lt;&gt;"",H281&lt;G281),"Ngày KH trước ngày ghi tăng",IF(M281&gt;L281,"Giá trị thu hồi vượt nguyên giá",IF(IF(U281="",0,U281)&gt;N281,"Lũy kế đầu năm vượt GTKH","OK"))))))))</f>
        <v/>
      </c>
    </row>
    <row r="282" ht="20" customHeight="1" s="389">
      <c r="A282" s="325">
        <f>IF(B282="","",ROW()-6)</f>
        <v/>
      </c>
      <c r="B282" s="275" t="n"/>
      <c r="C282" s="275" t="n"/>
      <c r="D282" s="331" t="n"/>
      <c r="E282" s="331" t="n"/>
      <c r="F282" s="454" t="n"/>
      <c r="G282" s="454" t="n"/>
      <c r="H282" s="454" t="n"/>
      <c r="I282" s="455" t="n"/>
      <c r="J282" s="456" t="n"/>
      <c r="K282" s="456" t="n"/>
      <c r="L282" s="457">
        <f>IF(B282="","",IF(OR(I282="",J282=""),"",I282*J282+IF(K282="",0,K282)))</f>
        <v/>
      </c>
      <c r="M282" s="456" t="n"/>
      <c r="N282" s="457">
        <f>IF(L282="","",MAX(0,L282-IF(M282="",0,M282)))</f>
        <v/>
      </c>
      <c r="O282" s="455" t="n"/>
      <c r="P282" s="457">
        <f>IF(OR(N282="",O282&lt;=0),"",ROUND(N282/O282,0))</f>
        <v/>
      </c>
      <c r="Q282" s="458">
        <f>IF(OR(H282="",O282&lt;=0),"",EOMONTH(H282,O282-1))</f>
        <v/>
      </c>
      <c r="R282" s="331" t="n"/>
      <c r="S282" s="331" t="n"/>
      <c r="T282" s="331" t="n"/>
      <c r="U282" s="456" t="n"/>
      <c r="V282" s="457">
        <f>IF($AO282&lt;&gt;"OK",0,IF(AND(DATE('Thiết lập'!$B$4,1,1)&gt;=DATE(YEAR($H282),MONTH($H282),1),DATE('Thiết lập'!$B$4,1,1)&lt;EDATE(DATE(YEAR($H282),MONTH($H282),1),$O282)),MIN($P282,MAX(0,$N282-$U282-0)),0))</f>
        <v/>
      </c>
      <c r="W282" s="457">
        <f>IF($AO282&lt;&gt;"OK",0,IF(AND(DATE('Thiết lập'!$B$4,2,1)&gt;=DATE(YEAR($H282),MONTH($H282),1),DATE('Thiết lập'!$B$4,2,1)&lt;EDATE(DATE(YEAR($H282),MONTH($H282),1),$O282)),MIN($P282,MAX(0,$N282-$U282-SUM($V282:V282))),0))</f>
        <v/>
      </c>
      <c r="X282" s="457">
        <f>IF($AO282&lt;&gt;"OK",0,IF(AND(DATE('Thiết lập'!$B$4,3,1)&gt;=DATE(YEAR($H282),MONTH($H282),1),DATE('Thiết lập'!$B$4,3,1)&lt;EDATE(DATE(YEAR($H282),MONTH($H282),1),$O282)),MIN($P282,MAX(0,$N282-$U282-SUM($V282:W282))),0))</f>
        <v/>
      </c>
      <c r="Y282" s="457">
        <f>IF($AO282&lt;&gt;"OK",0,IF(AND(DATE('Thiết lập'!$B$4,4,1)&gt;=DATE(YEAR($H282),MONTH($H282),1),DATE('Thiết lập'!$B$4,4,1)&lt;EDATE(DATE(YEAR($H282),MONTH($H282),1),$O282)),MIN($P282,MAX(0,$N282-$U282-SUM($V282:X282))),0))</f>
        <v/>
      </c>
      <c r="Z282" s="457">
        <f>IF($AO282&lt;&gt;"OK",0,IF(AND(DATE('Thiết lập'!$B$4,5,1)&gt;=DATE(YEAR($H282),MONTH($H282),1),DATE('Thiết lập'!$B$4,5,1)&lt;EDATE(DATE(YEAR($H282),MONTH($H282),1),$O282)),MIN($P282,MAX(0,$N282-$U282-SUM($V282:Y282))),0))</f>
        <v/>
      </c>
      <c r="AA282" s="457">
        <f>IF($AO282&lt;&gt;"OK",0,IF(AND(DATE('Thiết lập'!$B$4,6,1)&gt;=DATE(YEAR($H282),MONTH($H282),1),DATE('Thiết lập'!$B$4,6,1)&lt;EDATE(DATE(YEAR($H282),MONTH($H282),1),$O282)),MIN($P282,MAX(0,$N282-$U282-SUM($V282:Z282))),0))</f>
        <v/>
      </c>
      <c r="AB282" s="457">
        <f>IF($AO282&lt;&gt;"OK",0,IF(AND(DATE('Thiết lập'!$B$4,7,1)&gt;=DATE(YEAR($H282),MONTH($H282),1),DATE('Thiết lập'!$B$4,7,1)&lt;EDATE(DATE(YEAR($H282),MONTH($H282),1),$O282)),MIN($P282,MAX(0,$N282-$U282-SUM($V282:AA282))),0))</f>
        <v/>
      </c>
      <c r="AC282" s="457">
        <f>IF($AO282&lt;&gt;"OK",0,IF(AND(DATE('Thiết lập'!$B$4,8,1)&gt;=DATE(YEAR($H282),MONTH($H282),1),DATE('Thiết lập'!$B$4,8,1)&lt;EDATE(DATE(YEAR($H282),MONTH($H282),1),$O282)),MIN($P282,MAX(0,$N282-$U282-SUM($V282:AB282))),0))</f>
        <v/>
      </c>
      <c r="AD282" s="457">
        <f>IF($AO282&lt;&gt;"OK",0,IF(AND(DATE('Thiết lập'!$B$4,9,1)&gt;=DATE(YEAR($H282),MONTH($H282),1),DATE('Thiết lập'!$B$4,9,1)&lt;EDATE(DATE(YEAR($H282),MONTH($H282),1),$O282)),MIN($P282,MAX(0,$N282-$U282-SUM($V282:AC282))),0))</f>
        <v/>
      </c>
      <c r="AE282" s="457">
        <f>IF($AO282&lt;&gt;"OK",0,IF(AND(DATE('Thiết lập'!$B$4,10,1)&gt;=DATE(YEAR($H282),MONTH($H282),1),DATE('Thiết lập'!$B$4,10,1)&lt;EDATE(DATE(YEAR($H282),MONTH($H282),1),$O282)),MIN($P282,MAX(0,$N282-$U282-SUM($V282:AD282))),0))</f>
        <v/>
      </c>
      <c r="AF282" s="457">
        <f>IF($AO282&lt;&gt;"OK",0,IF(AND(DATE('Thiết lập'!$B$4,11,1)&gt;=DATE(YEAR($H282),MONTH($H282),1),DATE('Thiết lập'!$B$4,11,1)&lt;EDATE(DATE(YEAR($H282),MONTH($H282),1),$O282)),MIN($P282,MAX(0,$N282-$U282-SUM($V282:AE282))),0))</f>
        <v/>
      </c>
      <c r="AG282" s="457">
        <f>IF($AO282&lt;&gt;"OK",0,IF(AND(DATE('Thiết lập'!$B$4,12,1)&gt;=DATE(YEAR($H282),MONTH($H282),1),DATE('Thiết lập'!$B$4,12,1)&lt;EDATE(DATE(YEAR($H282),MONTH($H282),1),$O282)),MIN($P282,MAX(0,$N282-$U282-SUM($V282:AF282))),0))</f>
        <v/>
      </c>
      <c r="AH282" s="457">
        <f>IF(B282="","",SUM(V282:AG282))</f>
        <v/>
      </c>
      <c r="AI282" s="457">
        <f>IF(B282="","",MIN(N282,IF(U282="",0,U282)+AH282))</f>
        <v/>
      </c>
      <c r="AJ282" s="457">
        <f>IF(B282="","",MAX(0,L282-AI282))</f>
        <v/>
      </c>
      <c r="AK282" s="337">
        <f>IF(B282="","",IF(H282&gt;'Thiết lập'!$B$5,"Chưa khấu hao",IF(AJ282&lt;=IF(M282="",0,M282),"Đã hết khấu hao","Đang khấu hao")))</f>
        <v/>
      </c>
      <c r="AL282" s="275" t="n"/>
      <c r="AM282" s="275" t="n"/>
      <c r="AN282" s="275" t="n"/>
      <c r="AO282" s="343">
        <f>IF(B282="","",IF(COUNTIF($B$7:$B$306,B282)&gt;1,"Trùng mã TSCĐ",IF(C282="","Thiếu tên TSCĐ",IF(H282="","Thiếu ngày bắt đầu",IF(OR(I282&lt;=0,L282&lt;=0,O282&lt;=0),"Kiểm tra số lượng/nguyên giá/thời gian",IF(AND(G282&lt;&gt;"",H282&lt;G282),"Ngày KH trước ngày ghi tăng",IF(M282&gt;L282,"Giá trị thu hồi vượt nguyên giá",IF(IF(U282="",0,U282)&gt;N282,"Lũy kế đầu năm vượt GTKH","OK"))))))))</f>
        <v/>
      </c>
    </row>
    <row r="283" ht="20" customHeight="1" s="389">
      <c r="A283" s="325">
        <f>IF(B283="","",ROW()-6)</f>
        <v/>
      </c>
      <c r="B283" s="275" t="n"/>
      <c r="C283" s="275" t="n"/>
      <c r="D283" s="331" t="n"/>
      <c r="E283" s="331" t="n"/>
      <c r="F283" s="454" t="n"/>
      <c r="G283" s="454" t="n"/>
      <c r="H283" s="454" t="n"/>
      <c r="I283" s="455" t="n"/>
      <c r="J283" s="456" t="n"/>
      <c r="K283" s="456" t="n"/>
      <c r="L283" s="457">
        <f>IF(B283="","",IF(OR(I283="",J283=""),"",I283*J283+IF(K283="",0,K283)))</f>
        <v/>
      </c>
      <c r="M283" s="456" t="n"/>
      <c r="N283" s="457">
        <f>IF(L283="","",MAX(0,L283-IF(M283="",0,M283)))</f>
        <v/>
      </c>
      <c r="O283" s="455" t="n"/>
      <c r="P283" s="457">
        <f>IF(OR(N283="",O283&lt;=0),"",ROUND(N283/O283,0))</f>
        <v/>
      </c>
      <c r="Q283" s="458">
        <f>IF(OR(H283="",O283&lt;=0),"",EOMONTH(H283,O283-1))</f>
        <v/>
      </c>
      <c r="R283" s="331" t="n"/>
      <c r="S283" s="331" t="n"/>
      <c r="T283" s="331" t="n"/>
      <c r="U283" s="456" t="n"/>
      <c r="V283" s="457">
        <f>IF($AO283&lt;&gt;"OK",0,IF(AND(DATE('Thiết lập'!$B$4,1,1)&gt;=DATE(YEAR($H283),MONTH($H283),1),DATE('Thiết lập'!$B$4,1,1)&lt;EDATE(DATE(YEAR($H283),MONTH($H283),1),$O283)),MIN($P283,MAX(0,$N283-$U283-0)),0))</f>
        <v/>
      </c>
      <c r="W283" s="457">
        <f>IF($AO283&lt;&gt;"OK",0,IF(AND(DATE('Thiết lập'!$B$4,2,1)&gt;=DATE(YEAR($H283),MONTH($H283),1),DATE('Thiết lập'!$B$4,2,1)&lt;EDATE(DATE(YEAR($H283),MONTH($H283),1),$O283)),MIN($P283,MAX(0,$N283-$U283-SUM($V283:V283))),0))</f>
        <v/>
      </c>
      <c r="X283" s="457">
        <f>IF($AO283&lt;&gt;"OK",0,IF(AND(DATE('Thiết lập'!$B$4,3,1)&gt;=DATE(YEAR($H283),MONTH($H283),1),DATE('Thiết lập'!$B$4,3,1)&lt;EDATE(DATE(YEAR($H283),MONTH($H283),1),$O283)),MIN($P283,MAX(0,$N283-$U283-SUM($V283:W283))),0))</f>
        <v/>
      </c>
      <c r="Y283" s="457">
        <f>IF($AO283&lt;&gt;"OK",0,IF(AND(DATE('Thiết lập'!$B$4,4,1)&gt;=DATE(YEAR($H283),MONTH($H283),1),DATE('Thiết lập'!$B$4,4,1)&lt;EDATE(DATE(YEAR($H283),MONTH($H283),1),$O283)),MIN($P283,MAX(0,$N283-$U283-SUM($V283:X283))),0))</f>
        <v/>
      </c>
      <c r="Z283" s="457">
        <f>IF($AO283&lt;&gt;"OK",0,IF(AND(DATE('Thiết lập'!$B$4,5,1)&gt;=DATE(YEAR($H283),MONTH($H283),1),DATE('Thiết lập'!$B$4,5,1)&lt;EDATE(DATE(YEAR($H283),MONTH($H283),1),$O283)),MIN($P283,MAX(0,$N283-$U283-SUM($V283:Y283))),0))</f>
        <v/>
      </c>
      <c r="AA283" s="457">
        <f>IF($AO283&lt;&gt;"OK",0,IF(AND(DATE('Thiết lập'!$B$4,6,1)&gt;=DATE(YEAR($H283),MONTH($H283),1),DATE('Thiết lập'!$B$4,6,1)&lt;EDATE(DATE(YEAR($H283),MONTH($H283),1),$O283)),MIN($P283,MAX(0,$N283-$U283-SUM($V283:Z283))),0))</f>
        <v/>
      </c>
      <c r="AB283" s="457">
        <f>IF($AO283&lt;&gt;"OK",0,IF(AND(DATE('Thiết lập'!$B$4,7,1)&gt;=DATE(YEAR($H283),MONTH($H283),1),DATE('Thiết lập'!$B$4,7,1)&lt;EDATE(DATE(YEAR($H283),MONTH($H283),1),$O283)),MIN($P283,MAX(0,$N283-$U283-SUM($V283:AA283))),0))</f>
        <v/>
      </c>
      <c r="AC283" s="457">
        <f>IF($AO283&lt;&gt;"OK",0,IF(AND(DATE('Thiết lập'!$B$4,8,1)&gt;=DATE(YEAR($H283),MONTH($H283),1),DATE('Thiết lập'!$B$4,8,1)&lt;EDATE(DATE(YEAR($H283),MONTH($H283),1),$O283)),MIN($P283,MAX(0,$N283-$U283-SUM($V283:AB283))),0))</f>
        <v/>
      </c>
      <c r="AD283" s="457">
        <f>IF($AO283&lt;&gt;"OK",0,IF(AND(DATE('Thiết lập'!$B$4,9,1)&gt;=DATE(YEAR($H283),MONTH($H283),1),DATE('Thiết lập'!$B$4,9,1)&lt;EDATE(DATE(YEAR($H283),MONTH($H283),1),$O283)),MIN($P283,MAX(0,$N283-$U283-SUM($V283:AC283))),0))</f>
        <v/>
      </c>
      <c r="AE283" s="457">
        <f>IF($AO283&lt;&gt;"OK",0,IF(AND(DATE('Thiết lập'!$B$4,10,1)&gt;=DATE(YEAR($H283),MONTH($H283),1),DATE('Thiết lập'!$B$4,10,1)&lt;EDATE(DATE(YEAR($H283),MONTH($H283),1),$O283)),MIN($P283,MAX(0,$N283-$U283-SUM($V283:AD283))),0))</f>
        <v/>
      </c>
      <c r="AF283" s="457">
        <f>IF($AO283&lt;&gt;"OK",0,IF(AND(DATE('Thiết lập'!$B$4,11,1)&gt;=DATE(YEAR($H283),MONTH($H283),1),DATE('Thiết lập'!$B$4,11,1)&lt;EDATE(DATE(YEAR($H283),MONTH($H283),1),$O283)),MIN($P283,MAX(0,$N283-$U283-SUM($V283:AE283))),0))</f>
        <v/>
      </c>
      <c r="AG283" s="457">
        <f>IF($AO283&lt;&gt;"OK",0,IF(AND(DATE('Thiết lập'!$B$4,12,1)&gt;=DATE(YEAR($H283),MONTH($H283),1),DATE('Thiết lập'!$B$4,12,1)&lt;EDATE(DATE(YEAR($H283),MONTH($H283),1),$O283)),MIN($P283,MAX(0,$N283-$U283-SUM($V283:AF283))),0))</f>
        <v/>
      </c>
      <c r="AH283" s="457">
        <f>IF(B283="","",SUM(V283:AG283))</f>
        <v/>
      </c>
      <c r="AI283" s="457">
        <f>IF(B283="","",MIN(N283,IF(U283="",0,U283)+AH283))</f>
        <v/>
      </c>
      <c r="AJ283" s="457">
        <f>IF(B283="","",MAX(0,L283-AI283))</f>
        <v/>
      </c>
      <c r="AK283" s="337">
        <f>IF(B283="","",IF(H283&gt;'Thiết lập'!$B$5,"Chưa khấu hao",IF(AJ283&lt;=IF(M283="",0,M283),"Đã hết khấu hao","Đang khấu hao")))</f>
        <v/>
      </c>
      <c r="AL283" s="275" t="n"/>
      <c r="AM283" s="275" t="n"/>
      <c r="AN283" s="275" t="n"/>
      <c r="AO283" s="343">
        <f>IF(B283="","",IF(COUNTIF($B$7:$B$306,B283)&gt;1,"Trùng mã TSCĐ",IF(C283="","Thiếu tên TSCĐ",IF(H283="","Thiếu ngày bắt đầu",IF(OR(I283&lt;=0,L283&lt;=0,O283&lt;=0),"Kiểm tra số lượng/nguyên giá/thời gian",IF(AND(G283&lt;&gt;"",H283&lt;G283),"Ngày KH trước ngày ghi tăng",IF(M283&gt;L283,"Giá trị thu hồi vượt nguyên giá",IF(IF(U283="",0,U283)&gt;N283,"Lũy kế đầu năm vượt GTKH","OK"))))))))</f>
        <v/>
      </c>
    </row>
    <row r="284" ht="20" customHeight="1" s="389">
      <c r="A284" s="325">
        <f>IF(B284="","",ROW()-6)</f>
        <v/>
      </c>
      <c r="B284" s="275" t="n"/>
      <c r="C284" s="275" t="n"/>
      <c r="D284" s="331" t="n"/>
      <c r="E284" s="331" t="n"/>
      <c r="F284" s="454" t="n"/>
      <c r="G284" s="454" t="n"/>
      <c r="H284" s="454" t="n"/>
      <c r="I284" s="455" t="n"/>
      <c r="J284" s="456" t="n"/>
      <c r="K284" s="456" t="n"/>
      <c r="L284" s="457">
        <f>IF(B284="","",IF(OR(I284="",J284=""),"",I284*J284+IF(K284="",0,K284)))</f>
        <v/>
      </c>
      <c r="M284" s="456" t="n"/>
      <c r="N284" s="457">
        <f>IF(L284="","",MAX(0,L284-IF(M284="",0,M284)))</f>
        <v/>
      </c>
      <c r="O284" s="455" t="n"/>
      <c r="P284" s="457">
        <f>IF(OR(N284="",O284&lt;=0),"",ROUND(N284/O284,0))</f>
        <v/>
      </c>
      <c r="Q284" s="458">
        <f>IF(OR(H284="",O284&lt;=0),"",EOMONTH(H284,O284-1))</f>
        <v/>
      </c>
      <c r="R284" s="331" t="n"/>
      <c r="S284" s="331" t="n"/>
      <c r="T284" s="331" t="n"/>
      <c r="U284" s="456" t="n"/>
      <c r="V284" s="457">
        <f>IF($AO284&lt;&gt;"OK",0,IF(AND(DATE('Thiết lập'!$B$4,1,1)&gt;=DATE(YEAR($H284),MONTH($H284),1),DATE('Thiết lập'!$B$4,1,1)&lt;EDATE(DATE(YEAR($H284),MONTH($H284),1),$O284)),MIN($P284,MAX(0,$N284-$U284-0)),0))</f>
        <v/>
      </c>
      <c r="W284" s="457">
        <f>IF($AO284&lt;&gt;"OK",0,IF(AND(DATE('Thiết lập'!$B$4,2,1)&gt;=DATE(YEAR($H284),MONTH($H284),1),DATE('Thiết lập'!$B$4,2,1)&lt;EDATE(DATE(YEAR($H284),MONTH($H284),1),$O284)),MIN($P284,MAX(0,$N284-$U284-SUM($V284:V284))),0))</f>
        <v/>
      </c>
      <c r="X284" s="457">
        <f>IF($AO284&lt;&gt;"OK",0,IF(AND(DATE('Thiết lập'!$B$4,3,1)&gt;=DATE(YEAR($H284),MONTH($H284),1),DATE('Thiết lập'!$B$4,3,1)&lt;EDATE(DATE(YEAR($H284),MONTH($H284),1),$O284)),MIN($P284,MAX(0,$N284-$U284-SUM($V284:W284))),0))</f>
        <v/>
      </c>
      <c r="Y284" s="457">
        <f>IF($AO284&lt;&gt;"OK",0,IF(AND(DATE('Thiết lập'!$B$4,4,1)&gt;=DATE(YEAR($H284),MONTH($H284),1),DATE('Thiết lập'!$B$4,4,1)&lt;EDATE(DATE(YEAR($H284),MONTH($H284),1),$O284)),MIN($P284,MAX(0,$N284-$U284-SUM($V284:X284))),0))</f>
        <v/>
      </c>
      <c r="Z284" s="457">
        <f>IF($AO284&lt;&gt;"OK",0,IF(AND(DATE('Thiết lập'!$B$4,5,1)&gt;=DATE(YEAR($H284),MONTH($H284),1),DATE('Thiết lập'!$B$4,5,1)&lt;EDATE(DATE(YEAR($H284),MONTH($H284),1),$O284)),MIN($P284,MAX(0,$N284-$U284-SUM($V284:Y284))),0))</f>
        <v/>
      </c>
      <c r="AA284" s="457">
        <f>IF($AO284&lt;&gt;"OK",0,IF(AND(DATE('Thiết lập'!$B$4,6,1)&gt;=DATE(YEAR($H284),MONTH($H284),1),DATE('Thiết lập'!$B$4,6,1)&lt;EDATE(DATE(YEAR($H284),MONTH($H284),1),$O284)),MIN($P284,MAX(0,$N284-$U284-SUM($V284:Z284))),0))</f>
        <v/>
      </c>
      <c r="AB284" s="457">
        <f>IF($AO284&lt;&gt;"OK",0,IF(AND(DATE('Thiết lập'!$B$4,7,1)&gt;=DATE(YEAR($H284),MONTH($H284),1),DATE('Thiết lập'!$B$4,7,1)&lt;EDATE(DATE(YEAR($H284),MONTH($H284),1),$O284)),MIN($P284,MAX(0,$N284-$U284-SUM($V284:AA284))),0))</f>
        <v/>
      </c>
      <c r="AC284" s="457">
        <f>IF($AO284&lt;&gt;"OK",0,IF(AND(DATE('Thiết lập'!$B$4,8,1)&gt;=DATE(YEAR($H284),MONTH($H284),1),DATE('Thiết lập'!$B$4,8,1)&lt;EDATE(DATE(YEAR($H284),MONTH($H284),1),$O284)),MIN($P284,MAX(0,$N284-$U284-SUM($V284:AB284))),0))</f>
        <v/>
      </c>
      <c r="AD284" s="457">
        <f>IF($AO284&lt;&gt;"OK",0,IF(AND(DATE('Thiết lập'!$B$4,9,1)&gt;=DATE(YEAR($H284),MONTH($H284),1),DATE('Thiết lập'!$B$4,9,1)&lt;EDATE(DATE(YEAR($H284),MONTH($H284),1),$O284)),MIN($P284,MAX(0,$N284-$U284-SUM($V284:AC284))),0))</f>
        <v/>
      </c>
      <c r="AE284" s="457">
        <f>IF($AO284&lt;&gt;"OK",0,IF(AND(DATE('Thiết lập'!$B$4,10,1)&gt;=DATE(YEAR($H284),MONTH($H284),1),DATE('Thiết lập'!$B$4,10,1)&lt;EDATE(DATE(YEAR($H284),MONTH($H284),1),$O284)),MIN($P284,MAX(0,$N284-$U284-SUM($V284:AD284))),0))</f>
        <v/>
      </c>
      <c r="AF284" s="457">
        <f>IF($AO284&lt;&gt;"OK",0,IF(AND(DATE('Thiết lập'!$B$4,11,1)&gt;=DATE(YEAR($H284),MONTH($H284),1),DATE('Thiết lập'!$B$4,11,1)&lt;EDATE(DATE(YEAR($H284),MONTH($H284),1),$O284)),MIN($P284,MAX(0,$N284-$U284-SUM($V284:AE284))),0))</f>
        <v/>
      </c>
      <c r="AG284" s="457">
        <f>IF($AO284&lt;&gt;"OK",0,IF(AND(DATE('Thiết lập'!$B$4,12,1)&gt;=DATE(YEAR($H284),MONTH($H284),1),DATE('Thiết lập'!$B$4,12,1)&lt;EDATE(DATE(YEAR($H284),MONTH($H284),1),$O284)),MIN($P284,MAX(0,$N284-$U284-SUM($V284:AF284))),0))</f>
        <v/>
      </c>
      <c r="AH284" s="457">
        <f>IF(B284="","",SUM(V284:AG284))</f>
        <v/>
      </c>
      <c r="AI284" s="457">
        <f>IF(B284="","",MIN(N284,IF(U284="",0,U284)+AH284))</f>
        <v/>
      </c>
      <c r="AJ284" s="457">
        <f>IF(B284="","",MAX(0,L284-AI284))</f>
        <v/>
      </c>
      <c r="AK284" s="337">
        <f>IF(B284="","",IF(H284&gt;'Thiết lập'!$B$5,"Chưa khấu hao",IF(AJ284&lt;=IF(M284="",0,M284),"Đã hết khấu hao","Đang khấu hao")))</f>
        <v/>
      </c>
      <c r="AL284" s="275" t="n"/>
      <c r="AM284" s="275" t="n"/>
      <c r="AN284" s="275" t="n"/>
      <c r="AO284" s="343">
        <f>IF(B284="","",IF(COUNTIF($B$7:$B$306,B284)&gt;1,"Trùng mã TSCĐ",IF(C284="","Thiếu tên TSCĐ",IF(H284="","Thiếu ngày bắt đầu",IF(OR(I284&lt;=0,L284&lt;=0,O284&lt;=0),"Kiểm tra số lượng/nguyên giá/thời gian",IF(AND(G284&lt;&gt;"",H284&lt;G284),"Ngày KH trước ngày ghi tăng",IF(M284&gt;L284,"Giá trị thu hồi vượt nguyên giá",IF(IF(U284="",0,U284)&gt;N284,"Lũy kế đầu năm vượt GTKH","OK"))))))))</f>
        <v/>
      </c>
    </row>
    <row r="285" ht="20" customHeight="1" s="389">
      <c r="A285" s="325">
        <f>IF(B285="","",ROW()-6)</f>
        <v/>
      </c>
      <c r="B285" s="275" t="n"/>
      <c r="C285" s="275" t="n"/>
      <c r="D285" s="331" t="n"/>
      <c r="E285" s="331" t="n"/>
      <c r="F285" s="454" t="n"/>
      <c r="G285" s="454" t="n"/>
      <c r="H285" s="454" t="n"/>
      <c r="I285" s="455" t="n"/>
      <c r="J285" s="456" t="n"/>
      <c r="K285" s="456" t="n"/>
      <c r="L285" s="457">
        <f>IF(B285="","",IF(OR(I285="",J285=""),"",I285*J285+IF(K285="",0,K285)))</f>
        <v/>
      </c>
      <c r="M285" s="456" t="n"/>
      <c r="N285" s="457">
        <f>IF(L285="","",MAX(0,L285-IF(M285="",0,M285)))</f>
        <v/>
      </c>
      <c r="O285" s="455" t="n"/>
      <c r="P285" s="457">
        <f>IF(OR(N285="",O285&lt;=0),"",ROUND(N285/O285,0))</f>
        <v/>
      </c>
      <c r="Q285" s="458">
        <f>IF(OR(H285="",O285&lt;=0),"",EOMONTH(H285,O285-1))</f>
        <v/>
      </c>
      <c r="R285" s="331" t="n"/>
      <c r="S285" s="331" t="n"/>
      <c r="T285" s="331" t="n"/>
      <c r="U285" s="456" t="n"/>
      <c r="V285" s="457">
        <f>IF($AO285&lt;&gt;"OK",0,IF(AND(DATE('Thiết lập'!$B$4,1,1)&gt;=DATE(YEAR($H285),MONTH($H285),1),DATE('Thiết lập'!$B$4,1,1)&lt;EDATE(DATE(YEAR($H285),MONTH($H285),1),$O285)),MIN($P285,MAX(0,$N285-$U285-0)),0))</f>
        <v/>
      </c>
      <c r="W285" s="457">
        <f>IF($AO285&lt;&gt;"OK",0,IF(AND(DATE('Thiết lập'!$B$4,2,1)&gt;=DATE(YEAR($H285),MONTH($H285),1),DATE('Thiết lập'!$B$4,2,1)&lt;EDATE(DATE(YEAR($H285),MONTH($H285),1),$O285)),MIN($P285,MAX(0,$N285-$U285-SUM($V285:V285))),0))</f>
        <v/>
      </c>
      <c r="X285" s="457">
        <f>IF($AO285&lt;&gt;"OK",0,IF(AND(DATE('Thiết lập'!$B$4,3,1)&gt;=DATE(YEAR($H285),MONTH($H285),1),DATE('Thiết lập'!$B$4,3,1)&lt;EDATE(DATE(YEAR($H285),MONTH($H285),1),$O285)),MIN($P285,MAX(0,$N285-$U285-SUM($V285:W285))),0))</f>
        <v/>
      </c>
      <c r="Y285" s="457">
        <f>IF($AO285&lt;&gt;"OK",0,IF(AND(DATE('Thiết lập'!$B$4,4,1)&gt;=DATE(YEAR($H285),MONTH($H285),1),DATE('Thiết lập'!$B$4,4,1)&lt;EDATE(DATE(YEAR($H285),MONTH($H285),1),$O285)),MIN($P285,MAX(0,$N285-$U285-SUM($V285:X285))),0))</f>
        <v/>
      </c>
      <c r="Z285" s="457">
        <f>IF($AO285&lt;&gt;"OK",0,IF(AND(DATE('Thiết lập'!$B$4,5,1)&gt;=DATE(YEAR($H285),MONTH($H285),1),DATE('Thiết lập'!$B$4,5,1)&lt;EDATE(DATE(YEAR($H285),MONTH($H285),1),$O285)),MIN($P285,MAX(0,$N285-$U285-SUM($V285:Y285))),0))</f>
        <v/>
      </c>
      <c r="AA285" s="457">
        <f>IF($AO285&lt;&gt;"OK",0,IF(AND(DATE('Thiết lập'!$B$4,6,1)&gt;=DATE(YEAR($H285),MONTH($H285),1),DATE('Thiết lập'!$B$4,6,1)&lt;EDATE(DATE(YEAR($H285),MONTH($H285),1),$O285)),MIN($P285,MAX(0,$N285-$U285-SUM($V285:Z285))),0))</f>
        <v/>
      </c>
      <c r="AB285" s="457">
        <f>IF($AO285&lt;&gt;"OK",0,IF(AND(DATE('Thiết lập'!$B$4,7,1)&gt;=DATE(YEAR($H285),MONTH($H285),1),DATE('Thiết lập'!$B$4,7,1)&lt;EDATE(DATE(YEAR($H285),MONTH($H285),1),$O285)),MIN($P285,MAX(0,$N285-$U285-SUM($V285:AA285))),0))</f>
        <v/>
      </c>
      <c r="AC285" s="457">
        <f>IF($AO285&lt;&gt;"OK",0,IF(AND(DATE('Thiết lập'!$B$4,8,1)&gt;=DATE(YEAR($H285),MONTH($H285),1),DATE('Thiết lập'!$B$4,8,1)&lt;EDATE(DATE(YEAR($H285),MONTH($H285),1),$O285)),MIN($P285,MAX(0,$N285-$U285-SUM($V285:AB285))),0))</f>
        <v/>
      </c>
      <c r="AD285" s="457">
        <f>IF($AO285&lt;&gt;"OK",0,IF(AND(DATE('Thiết lập'!$B$4,9,1)&gt;=DATE(YEAR($H285),MONTH($H285),1),DATE('Thiết lập'!$B$4,9,1)&lt;EDATE(DATE(YEAR($H285),MONTH($H285),1),$O285)),MIN($P285,MAX(0,$N285-$U285-SUM($V285:AC285))),0))</f>
        <v/>
      </c>
      <c r="AE285" s="457">
        <f>IF($AO285&lt;&gt;"OK",0,IF(AND(DATE('Thiết lập'!$B$4,10,1)&gt;=DATE(YEAR($H285),MONTH($H285),1),DATE('Thiết lập'!$B$4,10,1)&lt;EDATE(DATE(YEAR($H285),MONTH($H285),1),$O285)),MIN($P285,MAX(0,$N285-$U285-SUM($V285:AD285))),0))</f>
        <v/>
      </c>
      <c r="AF285" s="457">
        <f>IF($AO285&lt;&gt;"OK",0,IF(AND(DATE('Thiết lập'!$B$4,11,1)&gt;=DATE(YEAR($H285),MONTH($H285),1),DATE('Thiết lập'!$B$4,11,1)&lt;EDATE(DATE(YEAR($H285),MONTH($H285),1),$O285)),MIN($P285,MAX(0,$N285-$U285-SUM($V285:AE285))),0))</f>
        <v/>
      </c>
      <c r="AG285" s="457">
        <f>IF($AO285&lt;&gt;"OK",0,IF(AND(DATE('Thiết lập'!$B$4,12,1)&gt;=DATE(YEAR($H285),MONTH($H285),1),DATE('Thiết lập'!$B$4,12,1)&lt;EDATE(DATE(YEAR($H285),MONTH($H285),1),$O285)),MIN($P285,MAX(0,$N285-$U285-SUM($V285:AF285))),0))</f>
        <v/>
      </c>
      <c r="AH285" s="457">
        <f>IF(B285="","",SUM(V285:AG285))</f>
        <v/>
      </c>
      <c r="AI285" s="457">
        <f>IF(B285="","",MIN(N285,IF(U285="",0,U285)+AH285))</f>
        <v/>
      </c>
      <c r="AJ285" s="457">
        <f>IF(B285="","",MAX(0,L285-AI285))</f>
        <v/>
      </c>
      <c r="AK285" s="337">
        <f>IF(B285="","",IF(H285&gt;'Thiết lập'!$B$5,"Chưa khấu hao",IF(AJ285&lt;=IF(M285="",0,M285),"Đã hết khấu hao","Đang khấu hao")))</f>
        <v/>
      </c>
      <c r="AL285" s="275" t="n"/>
      <c r="AM285" s="275" t="n"/>
      <c r="AN285" s="275" t="n"/>
      <c r="AO285" s="343">
        <f>IF(B285="","",IF(COUNTIF($B$7:$B$306,B285)&gt;1,"Trùng mã TSCĐ",IF(C285="","Thiếu tên TSCĐ",IF(H285="","Thiếu ngày bắt đầu",IF(OR(I285&lt;=0,L285&lt;=0,O285&lt;=0),"Kiểm tra số lượng/nguyên giá/thời gian",IF(AND(G285&lt;&gt;"",H285&lt;G285),"Ngày KH trước ngày ghi tăng",IF(M285&gt;L285,"Giá trị thu hồi vượt nguyên giá",IF(IF(U285="",0,U285)&gt;N285,"Lũy kế đầu năm vượt GTKH","OK"))))))))</f>
        <v/>
      </c>
    </row>
    <row r="286" ht="20" customHeight="1" s="389">
      <c r="A286" s="325">
        <f>IF(B286="","",ROW()-6)</f>
        <v/>
      </c>
      <c r="B286" s="275" t="n"/>
      <c r="C286" s="275" t="n"/>
      <c r="D286" s="331" t="n"/>
      <c r="E286" s="331" t="n"/>
      <c r="F286" s="454" t="n"/>
      <c r="G286" s="454" t="n"/>
      <c r="H286" s="454" t="n"/>
      <c r="I286" s="455" t="n"/>
      <c r="J286" s="456" t="n"/>
      <c r="K286" s="456" t="n"/>
      <c r="L286" s="457">
        <f>IF(B286="","",IF(OR(I286="",J286=""),"",I286*J286+IF(K286="",0,K286)))</f>
        <v/>
      </c>
      <c r="M286" s="456" t="n"/>
      <c r="N286" s="457">
        <f>IF(L286="","",MAX(0,L286-IF(M286="",0,M286)))</f>
        <v/>
      </c>
      <c r="O286" s="455" t="n"/>
      <c r="P286" s="457">
        <f>IF(OR(N286="",O286&lt;=0),"",ROUND(N286/O286,0))</f>
        <v/>
      </c>
      <c r="Q286" s="458">
        <f>IF(OR(H286="",O286&lt;=0),"",EOMONTH(H286,O286-1))</f>
        <v/>
      </c>
      <c r="R286" s="331" t="n"/>
      <c r="S286" s="331" t="n"/>
      <c r="T286" s="331" t="n"/>
      <c r="U286" s="456" t="n"/>
      <c r="V286" s="457">
        <f>IF($AO286&lt;&gt;"OK",0,IF(AND(DATE('Thiết lập'!$B$4,1,1)&gt;=DATE(YEAR($H286),MONTH($H286),1),DATE('Thiết lập'!$B$4,1,1)&lt;EDATE(DATE(YEAR($H286),MONTH($H286),1),$O286)),MIN($P286,MAX(0,$N286-$U286-0)),0))</f>
        <v/>
      </c>
      <c r="W286" s="457">
        <f>IF($AO286&lt;&gt;"OK",0,IF(AND(DATE('Thiết lập'!$B$4,2,1)&gt;=DATE(YEAR($H286),MONTH($H286),1),DATE('Thiết lập'!$B$4,2,1)&lt;EDATE(DATE(YEAR($H286),MONTH($H286),1),$O286)),MIN($P286,MAX(0,$N286-$U286-SUM($V286:V286))),0))</f>
        <v/>
      </c>
      <c r="X286" s="457">
        <f>IF($AO286&lt;&gt;"OK",0,IF(AND(DATE('Thiết lập'!$B$4,3,1)&gt;=DATE(YEAR($H286),MONTH($H286),1),DATE('Thiết lập'!$B$4,3,1)&lt;EDATE(DATE(YEAR($H286),MONTH($H286),1),$O286)),MIN($P286,MAX(0,$N286-$U286-SUM($V286:W286))),0))</f>
        <v/>
      </c>
      <c r="Y286" s="457">
        <f>IF($AO286&lt;&gt;"OK",0,IF(AND(DATE('Thiết lập'!$B$4,4,1)&gt;=DATE(YEAR($H286),MONTH($H286),1),DATE('Thiết lập'!$B$4,4,1)&lt;EDATE(DATE(YEAR($H286),MONTH($H286),1),$O286)),MIN($P286,MAX(0,$N286-$U286-SUM($V286:X286))),0))</f>
        <v/>
      </c>
      <c r="Z286" s="457">
        <f>IF($AO286&lt;&gt;"OK",0,IF(AND(DATE('Thiết lập'!$B$4,5,1)&gt;=DATE(YEAR($H286),MONTH($H286),1),DATE('Thiết lập'!$B$4,5,1)&lt;EDATE(DATE(YEAR($H286),MONTH($H286),1),$O286)),MIN($P286,MAX(0,$N286-$U286-SUM($V286:Y286))),0))</f>
        <v/>
      </c>
      <c r="AA286" s="457">
        <f>IF($AO286&lt;&gt;"OK",0,IF(AND(DATE('Thiết lập'!$B$4,6,1)&gt;=DATE(YEAR($H286),MONTH($H286),1),DATE('Thiết lập'!$B$4,6,1)&lt;EDATE(DATE(YEAR($H286),MONTH($H286),1),$O286)),MIN($P286,MAX(0,$N286-$U286-SUM($V286:Z286))),0))</f>
        <v/>
      </c>
      <c r="AB286" s="457">
        <f>IF($AO286&lt;&gt;"OK",0,IF(AND(DATE('Thiết lập'!$B$4,7,1)&gt;=DATE(YEAR($H286),MONTH($H286),1),DATE('Thiết lập'!$B$4,7,1)&lt;EDATE(DATE(YEAR($H286),MONTH($H286),1),$O286)),MIN($P286,MAX(0,$N286-$U286-SUM($V286:AA286))),0))</f>
        <v/>
      </c>
      <c r="AC286" s="457">
        <f>IF($AO286&lt;&gt;"OK",0,IF(AND(DATE('Thiết lập'!$B$4,8,1)&gt;=DATE(YEAR($H286),MONTH($H286),1),DATE('Thiết lập'!$B$4,8,1)&lt;EDATE(DATE(YEAR($H286),MONTH($H286),1),$O286)),MIN($P286,MAX(0,$N286-$U286-SUM($V286:AB286))),0))</f>
        <v/>
      </c>
      <c r="AD286" s="457">
        <f>IF($AO286&lt;&gt;"OK",0,IF(AND(DATE('Thiết lập'!$B$4,9,1)&gt;=DATE(YEAR($H286),MONTH($H286),1),DATE('Thiết lập'!$B$4,9,1)&lt;EDATE(DATE(YEAR($H286),MONTH($H286),1),$O286)),MIN($P286,MAX(0,$N286-$U286-SUM($V286:AC286))),0))</f>
        <v/>
      </c>
      <c r="AE286" s="457">
        <f>IF($AO286&lt;&gt;"OK",0,IF(AND(DATE('Thiết lập'!$B$4,10,1)&gt;=DATE(YEAR($H286),MONTH($H286),1),DATE('Thiết lập'!$B$4,10,1)&lt;EDATE(DATE(YEAR($H286),MONTH($H286),1),$O286)),MIN($P286,MAX(0,$N286-$U286-SUM($V286:AD286))),0))</f>
        <v/>
      </c>
      <c r="AF286" s="457">
        <f>IF($AO286&lt;&gt;"OK",0,IF(AND(DATE('Thiết lập'!$B$4,11,1)&gt;=DATE(YEAR($H286),MONTH($H286),1),DATE('Thiết lập'!$B$4,11,1)&lt;EDATE(DATE(YEAR($H286),MONTH($H286),1),$O286)),MIN($P286,MAX(0,$N286-$U286-SUM($V286:AE286))),0))</f>
        <v/>
      </c>
      <c r="AG286" s="457">
        <f>IF($AO286&lt;&gt;"OK",0,IF(AND(DATE('Thiết lập'!$B$4,12,1)&gt;=DATE(YEAR($H286),MONTH($H286),1),DATE('Thiết lập'!$B$4,12,1)&lt;EDATE(DATE(YEAR($H286),MONTH($H286),1),$O286)),MIN($P286,MAX(0,$N286-$U286-SUM($V286:AF286))),0))</f>
        <v/>
      </c>
      <c r="AH286" s="457">
        <f>IF(B286="","",SUM(V286:AG286))</f>
        <v/>
      </c>
      <c r="AI286" s="457">
        <f>IF(B286="","",MIN(N286,IF(U286="",0,U286)+AH286))</f>
        <v/>
      </c>
      <c r="AJ286" s="457">
        <f>IF(B286="","",MAX(0,L286-AI286))</f>
        <v/>
      </c>
      <c r="AK286" s="337">
        <f>IF(B286="","",IF(H286&gt;'Thiết lập'!$B$5,"Chưa khấu hao",IF(AJ286&lt;=IF(M286="",0,M286),"Đã hết khấu hao","Đang khấu hao")))</f>
        <v/>
      </c>
      <c r="AL286" s="275" t="n"/>
      <c r="AM286" s="275" t="n"/>
      <c r="AN286" s="275" t="n"/>
      <c r="AO286" s="343">
        <f>IF(B286="","",IF(COUNTIF($B$7:$B$306,B286)&gt;1,"Trùng mã TSCĐ",IF(C286="","Thiếu tên TSCĐ",IF(H286="","Thiếu ngày bắt đầu",IF(OR(I286&lt;=0,L286&lt;=0,O286&lt;=0),"Kiểm tra số lượng/nguyên giá/thời gian",IF(AND(G286&lt;&gt;"",H286&lt;G286),"Ngày KH trước ngày ghi tăng",IF(M286&gt;L286,"Giá trị thu hồi vượt nguyên giá",IF(IF(U286="",0,U286)&gt;N286,"Lũy kế đầu năm vượt GTKH","OK"))))))))</f>
        <v/>
      </c>
    </row>
    <row r="287" ht="20" customHeight="1" s="389">
      <c r="A287" s="325">
        <f>IF(B287="","",ROW()-6)</f>
        <v/>
      </c>
      <c r="B287" s="275" t="n"/>
      <c r="C287" s="275" t="n"/>
      <c r="D287" s="331" t="n"/>
      <c r="E287" s="331" t="n"/>
      <c r="F287" s="454" t="n"/>
      <c r="G287" s="454" t="n"/>
      <c r="H287" s="454" t="n"/>
      <c r="I287" s="455" t="n"/>
      <c r="J287" s="456" t="n"/>
      <c r="K287" s="456" t="n"/>
      <c r="L287" s="457">
        <f>IF(B287="","",IF(OR(I287="",J287=""),"",I287*J287+IF(K287="",0,K287)))</f>
        <v/>
      </c>
      <c r="M287" s="456" t="n"/>
      <c r="N287" s="457">
        <f>IF(L287="","",MAX(0,L287-IF(M287="",0,M287)))</f>
        <v/>
      </c>
      <c r="O287" s="455" t="n"/>
      <c r="P287" s="457">
        <f>IF(OR(N287="",O287&lt;=0),"",ROUND(N287/O287,0))</f>
        <v/>
      </c>
      <c r="Q287" s="458">
        <f>IF(OR(H287="",O287&lt;=0),"",EOMONTH(H287,O287-1))</f>
        <v/>
      </c>
      <c r="R287" s="331" t="n"/>
      <c r="S287" s="331" t="n"/>
      <c r="T287" s="331" t="n"/>
      <c r="U287" s="456" t="n"/>
      <c r="V287" s="457">
        <f>IF($AO287&lt;&gt;"OK",0,IF(AND(DATE('Thiết lập'!$B$4,1,1)&gt;=DATE(YEAR($H287),MONTH($H287),1),DATE('Thiết lập'!$B$4,1,1)&lt;EDATE(DATE(YEAR($H287),MONTH($H287),1),$O287)),MIN($P287,MAX(0,$N287-$U287-0)),0))</f>
        <v/>
      </c>
      <c r="W287" s="457">
        <f>IF($AO287&lt;&gt;"OK",0,IF(AND(DATE('Thiết lập'!$B$4,2,1)&gt;=DATE(YEAR($H287),MONTH($H287),1),DATE('Thiết lập'!$B$4,2,1)&lt;EDATE(DATE(YEAR($H287),MONTH($H287),1),$O287)),MIN($P287,MAX(0,$N287-$U287-SUM($V287:V287))),0))</f>
        <v/>
      </c>
      <c r="X287" s="457">
        <f>IF($AO287&lt;&gt;"OK",0,IF(AND(DATE('Thiết lập'!$B$4,3,1)&gt;=DATE(YEAR($H287),MONTH($H287),1),DATE('Thiết lập'!$B$4,3,1)&lt;EDATE(DATE(YEAR($H287),MONTH($H287),1),$O287)),MIN($P287,MAX(0,$N287-$U287-SUM($V287:W287))),0))</f>
        <v/>
      </c>
      <c r="Y287" s="457">
        <f>IF($AO287&lt;&gt;"OK",0,IF(AND(DATE('Thiết lập'!$B$4,4,1)&gt;=DATE(YEAR($H287),MONTH($H287),1),DATE('Thiết lập'!$B$4,4,1)&lt;EDATE(DATE(YEAR($H287),MONTH($H287),1),$O287)),MIN($P287,MAX(0,$N287-$U287-SUM($V287:X287))),0))</f>
        <v/>
      </c>
      <c r="Z287" s="457">
        <f>IF($AO287&lt;&gt;"OK",0,IF(AND(DATE('Thiết lập'!$B$4,5,1)&gt;=DATE(YEAR($H287),MONTH($H287),1),DATE('Thiết lập'!$B$4,5,1)&lt;EDATE(DATE(YEAR($H287),MONTH($H287),1),$O287)),MIN($P287,MAX(0,$N287-$U287-SUM($V287:Y287))),0))</f>
        <v/>
      </c>
      <c r="AA287" s="457">
        <f>IF($AO287&lt;&gt;"OK",0,IF(AND(DATE('Thiết lập'!$B$4,6,1)&gt;=DATE(YEAR($H287),MONTH($H287),1),DATE('Thiết lập'!$B$4,6,1)&lt;EDATE(DATE(YEAR($H287),MONTH($H287),1),$O287)),MIN($P287,MAX(0,$N287-$U287-SUM($V287:Z287))),0))</f>
        <v/>
      </c>
      <c r="AB287" s="457">
        <f>IF($AO287&lt;&gt;"OK",0,IF(AND(DATE('Thiết lập'!$B$4,7,1)&gt;=DATE(YEAR($H287),MONTH($H287),1),DATE('Thiết lập'!$B$4,7,1)&lt;EDATE(DATE(YEAR($H287),MONTH($H287),1),$O287)),MIN($P287,MAX(0,$N287-$U287-SUM($V287:AA287))),0))</f>
        <v/>
      </c>
      <c r="AC287" s="457">
        <f>IF($AO287&lt;&gt;"OK",0,IF(AND(DATE('Thiết lập'!$B$4,8,1)&gt;=DATE(YEAR($H287),MONTH($H287),1),DATE('Thiết lập'!$B$4,8,1)&lt;EDATE(DATE(YEAR($H287),MONTH($H287),1),$O287)),MIN($P287,MAX(0,$N287-$U287-SUM($V287:AB287))),0))</f>
        <v/>
      </c>
      <c r="AD287" s="457">
        <f>IF($AO287&lt;&gt;"OK",0,IF(AND(DATE('Thiết lập'!$B$4,9,1)&gt;=DATE(YEAR($H287),MONTH($H287),1),DATE('Thiết lập'!$B$4,9,1)&lt;EDATE(DATE(YEAR($H287),MONTH($H287),1),$O287)),MIN($P287,MAX(0,$N287-$U287-SUM($V287:AC287))),0))</f>
        <v/>
      </c>
      <c r="AE287" s="457">
        <f>IF($AO287&lt;&gt;"OK",0,IF(AND(DATE('Thiết lập'!$B$4,10,1)&gt;=DATE(YEAR($H287),MONTH($H287),1),DATE('Thiết lập'!$B$4,10,1)&lt;EDATE(DATE(YEAR($H287),MONTH($H287),1),$O287)),MIN($P287,MAX(0,$N287-$U287-SUM($V287:AD287))),0))</f>
        <v/>
      </c>
      <c r="AF287" s="457">
        <f>IF($AO287&lt;&gt;"OK",0,IF(AND(DATE('Thiết lập'!$B$4,11,1)&gt;=DATE(YEAR($H287),MONTH($H287),1),DATE('Thiết lập'!$B$4,11,1)&lt;EDATE(DATE(YEAR($H287),MONTH($H287),1),$O287)),MIN($P287,MAX(0,$N287-$U287-SUM($V287:AE287))),0))</f>
        <v/>
      </c>
      <c r="AG287" s="457">
        <f>IF($AO287&lt;&gt;"OK",0,IF(AND(DATE('Thiết lập'!$B$4,12,1)&gt;=DATE(YEAR($H287),MONTH($H287),1),DATE('Thiết lập'!$B$4,12,1)&lt;EDATE(DATE(YEAR($H287),MONTH($H287),1),$O287)),MIN($P287,MAX(0,$N287-$U287-SUM($V287:AF287))),0))</f>
        <v/>
      </c>
      <c r="AH287" s="457">
        <f>IF(B287="","",SUM(V287:AG287))</f>
        <v/>
      </c>
      <c r="AI287" s="457">
        <f>IF(B287="","",MIN(N287,IF(U287="",0,U287)+AH287))</f>
        <v/>
      </c>
      <c r="AJ287" s="457">
        <f>IF(B287="","",MAX(0,L287-AI287))</f>
        <v/>
      </c>
      <c r="AK287" s="337">
        <f>IF(B287="","",IF(H287&gt;'Thiết lập'!$B$5,"Chưa khấu hao",IF(AJ287&lt;=IF(M287="",0,M287),"Đã hết khấu hao","Đang khấu hao")))</f>
        <v/>
      </c>
      <c r="AL287" s="275" t="n"/>
      <c r="AM287" s="275" t="n"/>
      <c r="AN287" s="275" t="n"/>
      <c r="AO287" s="343">
        <f>IF(B287="","",IF(COUNTIF($B$7:$B$306,B287)&gt;1,"Trùng mã TSCĐ",IF(C287="","Thiếu tên TSCĐ",IF(H287="","Thiếu ngày bắt đầu",IF(OR(I287&lt;=0,L287&lt;=0,O287&lt;=0),"Kiểm tra số lượng/nguyên giá/thời gian",IF(AND(G287&lt;&gt;"",H287&lt;G287),"Ngày KH trước ngày ghi tăng",IF(M287&gt;L287,"Giá trị thu hồi vượt nguyên giá",IF(IF(U287="",0,U287)&gt;N287,"Lũy kế đầu năm vượt GTKH","OK"))))))))</f>
        <v/>
      </c>
    </row>
    <row r="288" ht="20" customHeight="1" s="389">
      <c r="A288" s="325">
        <f>IF(B288="","",ROW()-6)</f>
        <v/>
      </c>
      <c r="B288" s="275" t="n"/>
      <c r="C288" s="275" t="n"/>
      <c r="D288" s="331" t="n"/>
      <c r="E288" s="331" t="n"/>
      <c r="F288" s="454" t="n"/>
      <c r="G288" s="454" t="n"/>
      <c r="H288" s="454" t="n"/>
      <c r="I288" s="455" t="n"/>
      <c r="J288" s="456" t="n"/>
      <c r="K288" s="456" t="n"/>
      <c r="L288" s="457">
        <f>IF(B288="","",IF(OR(I288="",J288=""),"",I288*J288+IF(K288="",0,K288)))</f>
        <v/>
      </c>
      <c r="M288" s="456" t="n"/>
      <c r="N288" s="457">
        <f>IF(L288="","",MAX(0,L288-IF(M288="",0,M288)))</f>
        <v/>
      </c>
      <c r="O288" s="455" t="n"/>
      <c r="P288" s="457">
        <f>IF(OR(N288="",O288&lt;=0),"",ROUND(N288/O288,0))</f>
        <v/>
      </c>
      <c r="Q288" s="458">
        <f>IF(OR(H288="",O288&lt;=0),"",EOMONTH(H288,O288-1))</f>
        <v/>
      </c>
      <c r="R288" s="331" t="n"/>
      <c r="S288" s="331" t="n"/>
      <c r="T288" s="331" t="n"/>
      <c r="U288" s="456" t="n"/>
      <c r="V288" s="457">
        <f>IF($AO288&lt;&gt;"OK",0,IF(AND(DATE('Thiết lập'!$B$4,1,1)&gt;=DATE(YEAR($H288),MONTH($H288),1),DATE('Thiết lập'!$B$4,1,1)&lt;EDATE(DATE(YEAR($H288),MONTH($H288),1),$O288)),MIN($P288,MAX(0,$N288-$U288-0)),0))</f>
        <v/>
      </c>
      <c r="W288" s="457">
        <f>IF($AO288&lt;&gt;"OK",0,IF(AND(DATE('Thiết lập'!$B$4,2,1)&gt;=DATE(YEAR($H288),MONTH($H288),1),DATE('Thiết lập'!$B$4,2,1)&lt;EDATE(DATE(YEAR($H288),MONTH($H288),1),$O288)),MIN($P288,MAX(0,$N288-$U288-SUM($V288:V288))),0))</f>
        <v/>
      </c>
      <c r="X288" s="457">
        <f>IF($AO288&lt;&gt;"OK",0,IF(AND(DATE('Thiết lập'!$B$4,3,1)&gt;=DATE(YEAR($H288),MONTH($H288),1),DATE('Thiết lập'!$B$4,3,1)&lt;EDATE(DATE(YEAR($H288),MONTH($H288),1),$O288)),MIN($P288,MAX(0,$N288-$U288-SUM($V288:W288))),0))</f>
        <v/>
      </c>
      <c r="Y288" s="457">
        <f>IF($AO288&lt;&gt;"OK",0,IF(AND(DATE('Thiết lập'!$B$4,4,1)&gt;=DATE(YEAR($H288),MONTH($H288),1),DATE('Thiết lập'!$B$4,4,1)&lt;EDATE(DATE(YEAR($H288),MONTH($H288),1),$O288)),MIN($P288,MAX(0,$N288-$U288-SUM($V288:X288))),0))</f>
        <v/>
      </c>
      <c r="Z288" s="457">
        <f>IF($AO288&lt;&gt;"OK",0,IF(AND(DATE('Thiết lập'!$B$4,5,1)&gt;=DATE(YEAR($H288),MONTH($H288),1),DATE('Thiết lập'!$B$4,5,1)&lt;EDATE(DATE(YEAR($H288),MONTH($H288),1),$O288)),MIN($P288,MAX(0,$N288-$U288-SUM($V288:Y288))),0))</f>
        <v/>
      </c>
      <c r="AA288" s="457">
        <f>IF($AO288&lt;&gt;"OK",0,IF(AND(DATE('Thiết lập'!$B$4,6,1)&gt;=DATE(YEAR($H288),MONTH($H288),1),DATE('Thiết lập'!$B$4,6,1)&lt;EDATE(DATE(YEAR($H288),MONTH($H288),1),$O288)),MIN($P288,MAX(0,$N288-$U288-SUM($V288:Z288))),0))</f>
        <v/>
      </c>
      <c r="AB288" s="457">
        <f>IF($AO288&lt;&gt;"OK",0,IF(AND(DATE('Thiết lập'!$B$4,7,1)&gt;=DATE(YEAR($H288),MONTH($H288),1),DATE('Thiết lập'!$B$4,7,1)&lt;EDATE(DATE(YEAR($H288),MONTH($H288),1),$O288)),MIN($P288,MAX(0,$N288-$U288-SUM($V288:AA288))),0))</f>
        <v/>
      </c>
      <c r="AC288" s="457">
        <f>IF($AO288&lt;&gt;"OK",0,IF(AND(DATE('Thiết lập'!$B$4,8,1)&gt;=DATE(YEAR($H288),MONTH($H288),1),DATE('Thiết lập'!$B$4,8,1)&lt;EDATE(DATE(YEAR($H288),MONTH($H288),1),$O288)),MIN($P288,MAX(0,$N288-$U288-SUM($V288:AB288))),0))</f>
        <v/>
      </c>
      <c r="AD288" s="457">
        <f>IF($AO288&lt;&gt;"OK",0,IF(AND(DATE('Thiết lập'!$B$4,9,1)&gt;=DATE(YEAR($H288),MONTH($H288),1),DATE('Thiết lập'!$B$4,9,1)&lt;EDATE(DATE(YEAR($H288),MONTH($H288),1),$O288)),MIN($P288,MAX(0,$N288-$U288-SUM($V288:AC288))),0))</f>
        <v/>
      </c>
      <c r="AE288" s="457">
        <f>IF($AO288&lt;&gt;"OK",0,IF(AND(DATE('Thiết lập'!$B$4,10,1)&gt;=DATE(YEAR($H288),MONTH($H288),1),DATE('Thiết lập'!$B$4,10,1)&lt;EDATE(DATE(YEAR($H288),MONTH($H288),1),$O288)),MIN($P288,MAX(0,$N288-$U288-SUM($V288:AD288))),0))</f>
        <v/>
      </c>
      <c r="AF288" s="457">
        <f>IF($AO288&lt;&gt;"OK",0,IF(AND(DATE('Thiết lập'!$B$4,11,1)&gt;=DATE(YEAR($H288),MONTH($H288),1),DATE('Thiết lập'!$B$4,11,1)&lt;EDATE(DATE(YEAR($H288),MONTH($H288),1),$O288)),MIN($P288,MAX(0,$N288-$U288-SUM($V288:AE288))),0))</f>
        <v/>
      </c>
      <c r="AG288" s="457">
        <f>IF($AO288&lt;&gt;"OK",0,IF(AND(DATE('Thiết lập'!$B$4,12,1)&gt;=DATE(YEAR($H288),MONTH($H288),1),DATE('Thiết lập'!$B$4,12,1)&lt;EDATE(DATE(YEAR($H288),MONTH($H288),1),$O288)),MIN($P288,MAX(0,$N288-$U288-SUM($V288:AF288))),0))</f>
        <v/>
      </c>
      <c r="AH288" s="457">
        <f>IF(B288="","",SUM(V288:AG288))</f>
        <v/>
      </c>
      <c r="AI288" s="457">
        <f>IF(B288="","",MIN(N288,IF(U288="",0,U288)+AH288))</f>
        <v/>
      </c>
      <c r="AJ288" s="457">
        <f>IF(B288="","",MAX(0,L288-AI288))</f>
        <v/>
      </c>
      <c r="AK288" s="337">
        <f>IF(B288="","",IF(H288&gt;'Thiết lập'!$B$5,"Chưa khấu hao",IF(AJ288&lt;=IF(M288="",0,M288),"Đã hết khấu hao","Đang khấu hao")))</f>
        <v/>
      </c>
      <c r="AL288" s="275" t="n"/>
      <c r="AM288" s="275" t="n"/>
      <c r="AN288" s="275" t="n"/>
      <c r="AO288" s="343">
        <f>IF(B288="","",IF(COUNTIF($B$7:$B$306,B288)&gt;1,"Trùng mã TSCĐ",IF(C288="","Thiếu tên TSCĐ",IF(H288="","Thiếu ngày bắt đầu",IF(OR(I288&lt;=0,L288&lt;=0,O288&lt;=0),"Kiểm tra số lượng/nguyên giá/thời gian",IF(AND(G288&lt;&gt;"",H288&lt;G288),"Ngày KH trước ngày ghi tăng",IF(M288&gt;L288,"Giá trị thu hồi vượt nguyên giá",IF(IF(U288="",0,U288)&gt;N288,"Lũy kế đầu năm vượt GTKH","OK"))))))))</f>
        <v/>
      </c>
    </row>
    <row r="289" ht="20" customHeight="1" s="389">
      <c r="A289" s="325">
        <f>IF(B289="","",ROW()-6)</f>
        <v/>
      </c>
      <c r="B289" s="275" t="n"/>
      <c r="C289" s="275" t="n"/>
      <c r="D289" s="331" t="n"/>
      <c r="E289" s="331" t="n"/>
      <c r="F289" s="454" t="n"/>
      <c r="G289" s="454" t="n"/>
      <c r="H289" s="454" t="n"/>
      <c r="I289" s="455" t="n"/>
      <c r="J289" s="456" t="n"/>
      <c r="K289" s="456" t="n"/>
      <c r="L289" s="457">
        <f>IF(B289="","",IF(OR(I289="",J289=""),"",I289*J289+IF(K289="",0,K289)))</f>
        <v/>
      </c>
      <c r="M289" s="456" t="n"/>
      <c r="N289" s="457">
        <f>IF(L289="","",MAX(0,L289-IF(M289="",0,M289)))</f>
        <v/>
      </c>
      <c r="O289" s="455" t="n"/>
      <c r="P289" s="457">
        <f>IF(OR(N289="",O289&lt;=0),"",ROUND(N289/O289,0))</f>
        <v/>
      </c>
      <c r="Q289" s="458">
        <f>IF(OR(H289="",O289&lt;=0),"",EOMONTH(H289,O289-1))</f>
        <v/>
      </c>
      <c r="R289" s="331" t="n"/>
      <c r="S289" s="331" t="n"/>
      <c r="T289" s="331" t="n"/>
      <c r="U289" s="456" t="n"/>
      <c r="V289" s="457">
        <f>IF($AO289&lt;&gt;"OK",0,IF(AND(DATE('Thiết lập'!$B$4,1,1)&gt;=DATE(YEAR($H289),MONTH($H289),1),DATE('Thiết lập'!$B$4,1,1)&lt;EDATE(DATE(YEAR($H289),MONTH($H289),1),$O289)),MIN($P289,MAX(0,$N289-$U289-0)),0))</f>
        <v/>
      </c>
      <c r="W289" s="457">
        <f>IF($AO289&lt;&gt;"OK",0,IF(AND(DATE('Thiết lập'!$B$4,2,1)&gt;=DATE(YEAR($H289),MONTH($H289),1),DATE('Thiết lập'!$B$4,2,1)&lt;EDATE(DATE(YEAR($H289),MONTH($H289),1),$O289)),MIN($P289,MAX(0,$N289-$U289-SUM($V289:V289))),0))</f>
        <v/>
      </c>
      <c r="X289" s="457">
        <f>IF($AO289&lt;&gt;"OK",0,IF(AND(DATE('Thiết lập'!$B$4,3,1)&gt;=DATE(YEAR($H289),MONTH($H289),1),DATE('Thiết lập'!$B$4,3,1)&lt;EDATE(DATE(YEAR($H289),MONTH($H289),1),$O289)),MIN($P289,MAX(0,$N289-$U289-SUM($V289:W289))),0))</f>
        <v/>
      </c>
      <c r="Y289" s="457">
        <f>IF($AO289&lt;&gt;"OK",0,IF(AND(DATE('Thiết lập'!$B$4,4,1)&gt;=DATE(YEAR($H289),MONTH($H289),1),DATE('Thiết lập'!$B$4,4,1)&lt;EDATE(DATE(YEAR($H289),MONTH($H289),1),$O289)),MIN($P289,MAX(0,$N289-$U289-SUM($V289:X289))),0))</f>
        <v/>
      </c>
      <c r="Z289" s="457">
        <f>IF($AO289&lt;&gt;"OK",0,IF(AND(DATE('Thiết lập'!$B$4,5,1)&gt;=DATE(YEAR($H289),MONTH($H289),1),DATE('Thiết lập'!$B$4,5,1)&lt;EDATE(DATE(YEAR($H289),MONTH($H289),1),$O289)),MIN($P289,MAX(0,$N289-$U289-SUM($V289:Y289))),0))</f>
        <v/>
      </c>
      <c r="AA289" s="457">
        <f>IF($AO289&lt;&gt;"OK",0,IF(AND(DATE('Thiết lập'!$B$4,6,1)&gt;=DATE(YEAR($H289),MONTH($H289),1),DATE('Thiết lập'!$B$4,6,1)&lt;EDATE(DATE(YEAR($H289),MONTH($H289),1),$O289)),MIN($P289,MAX(0,$N289-$U289-SUM($V289:Z289))),0))</f>
        <v/>
      </c>
      <c r="AB289" s="457">
        <f>IF($AO289&lt;&gt;"OK",0,IF(AND(DATE('Thiết lập'!$B$4,7,1)&gt;=DATE(YEAR($H289),MONTH($H289),1),DATE('Thiết lập'!$B$4,7,1)&lt;EDATE(DATE(YEAR($H289),MONTH($H289),1),$O289)),MIN($P289,MAX(0,$N289-$U289-SUM($V289:AA289))),0))</f>
        <v/>
      </c>
      <c r="AC289" s="457">
        <f>IF($AO289&lt;&gt;"OK",0,IF(AND(DATE('Thiết lập'!$B$4,8,1)&gt;=DATE(YEAR($H289),MONTH($H289),1),DATE('Thiết lập'!$B$4,8,1)&lt;EDATE(DATE(YEAR($H289),MONTH($H289),1),$O289)),MIN($P289,MAX(0,$N289-$U289-SUM($V289:AB289))),0))</f>
        <v/>
      </c>
      <c r="AD289" s="457">
        <f>IF($AO289&lt;&gt;"OK",0,IF(AND(DATE('Thiết lập'!$B$4,9,1)&gt;=DATE(YEAR($H289),MONTH($H289),1),DATE('Thiết lập'!$B$4,9,1)&lt;EDATE(DATE(YEAR($H289),MONTH($H289),1),$O289)),MIN($P289,MAX(0,$N289-$U289-SUM($V289:AC289))),0))</f>
        <v/>
      </c>
      <c r="AE289" s="457">
        <f>IF($AO289&lt;&gt;"OK",0,IF(AND(DATE('Thiết lập'!$B$4,10,1)&gt;=DATE(YEAR($H289),MONTH($H289),1),DATE('Thiết lập'!$B$4,10,1)&lt;EDATE(DATE(YEAR($H289),MONTH($H289),1),$O289)),MIN($P289,MAX(0,$N289-$U289-SUM($V289:AD289))),0))</f>
        <v/>
      </c>
      <c r="AF289" s="457">
        <f>IF($AO289&lt;&gt;"OK",0,IF(AND(DATE('Thiết lập'!$B$4,11,1)&gt;=DATE(YEAR($H289),MONTH($H289),1),DATE('Thiết lập'!$B$4,11,1)&lt;EDATE(DATE(YEAR($H289),MONTH($H289),1),$O289)),MIN($P289,MAX(0,$N289-$U289-SUM($V289:AE289))),0))</f>
        <v/>
      </c>
      <c r="AG289" s="457">
        <f>IF($AO289&lt;&gt;"OK",0,IF(AND(DATE('Thiết lập'!$B$4,12,1)&gt;=DATE(YEAR($H289),MONTH($H289),1),DATE('Thiết lập'!$B$4,12,1)&lt;EDATE(DATE(YEAR($H289),MONTH($H289),1),$O289)),MIN($P289,MAX(0,$N289-$U289-SUM($V289:AF289))),0))</f>
        <v/>
      </c>
      <c r="AH289" s="457">
        <f>IF(B289="","",SUM(V289:AG289))</f>
        <v/>
      </c>
      <c r="AI289" s="457">
        <f>IF(B289="","",MIN(N289,IF(U289="",0,U289)+AH289))</f>
        <v/>
      </c>
      <c r="AJ289" s="457">
        <f>IF(B289="","",MAX(0,L289-AI289))</f>
        <v/>
      </c>
      <c r="AK289" s="337">
        <f>IF(B289="","",IF(H289&gt;'Thiết lập'!$B$5,"Chưa khấu hao",IF(AJ289&lt;=IF(M289="",0,M289),"Đã hết khấu hao","Đang khấu hao")))</f>
        <v/>
      </c>
      <c r="AL289" s="275" t="n"/>
      <c r="AM289" s="275" t="n"/>
      <c r="AN289" s="275" t="n"/>
      <c r="AO289" s="343">
        <f>IF(B289="","",IF(COUNTIF($B$7:$B$306,B289)&gt;1,"Trùng mã TSCĐ",IF(C289="","Thiếu tên TSCĐ",IF(H289="","Thiếu ngày bắt đầu",IF(OR(I289&lt;=0,L289&lt;=0,O289&lt;=0),"Kiểm tra số lượng/nguyên giá/thời gian",IF(AND(G289&lt;&gt;"",H289&lt;G289),"Ngày KH trước ngày ghi tăng",IF(M289&gt;L289,"Giá trị thu hồi vượt nguyên giá",IF(IF(U289="",0,U289)&gt;N289,"Lũy kế đầu năm vượt GTKH","OK"))))))))</f>
        <v/>
      </c>
    </row>
    <row r="290" ht="20" customHeight="1" s="389">
      <c r="A290" s="325">
        <f>IF(B290="","",ROW()-6)</f>
        <v/>
      </c>
      <c r="B290" s="275" t="n"/>
      <c r="C290" s="275" t="n"/>
      <c r="D290" s="331" t="n"/>
      <c r="E290" s="331" t="n"/>
      <c r="F290" s="454" t="n"/>
      <c r="G290" s="454" t="n"/>
      <c r="H290" s="454" t="n"/>
      <c r="I290" s="455" t="n"/>
      <c r="J290" s="456" t="n"/>
      <c r="K290" s="456" t="n"/>
      <c r="L290" s="457">
        <f>IF(B290="","",IF(OR(I290="",J290=""),"",I290*J290+IF(K290="",0,K290)))</f>
        <v/>
      </c>
      <c r="M290" s="456" t="n"/>
      <c r="N290" s="457">
        <f>IF(L290="","",MAX(0,L290-IF(M290="",0,M290)))</f>
        <v/>
      </c>
      <c r="O290" s="455" t="n"/>
      <c r="P290" s="457">
        <f>IF(OR(N290="",O290&lt;=0),"",ROUND(N290/O290,0))</f>
        <v/>
      </c>
      <c r="Q290" s="458">
        <f>IF(OR(H290="",O290&lt;=0),"",EOMONTH(H290,O290-1))</f>
        <v/>
      </c>
      <c r="R290" s="331" t="n"/>
      <c r="S290" s="331" t="n"/>
      <c r="T290" s="331" t="n"/>
      <c r="U290" s="456" t="n"/>
      <c r="V290" s="457">
        <f>IF($AO290&lt;&gt;"OK",0,IF(AND(DATE('Thiết lập'!$B$4,1,1)&gt;=DATE(YEAR($H290),MONTH($H290),1),DATE('Thiết lập'!$B$4,1,1)&lt;EDATE(DATE(YEAR($H290),MONTH($H290),1),$O290)),MIN($P290,MAX(0,$N290-$U290-0)),0))</f>
        <v/>
      </c>
      <c r="W290" s="457">
        <f>IF($AO290&lt;&gt;"OK",0,IF(AND(DATE('Thiết lập'!$B$4,2,1)&gt;=DATE(YEAR($H290),MONTH($H290),1),DATE('Thiết lập'!$B$4,2,1)&lt;EDATE(DATE(YEAR($H290),MONTH($H290),1),$O290)),MIN($P290,MAX(0,$N290-$U290-SUM($V290:V290))),0))</f>
        <v/>
      </c>
      <c r="X290" s="457">
        <f>IF($AO290&lt;&gt;"OK",0,IF(AND(DATE('Thiết lập'!$B$4,3,1)&gt;=DATE(YEAR($H290),MONTH($H290),1),DATE('Thiết lập'!$B$4,3,1)&lt;EDATE(DATE(YEAR($H290),MONTH($H290),1),$O290)),MIN($P290,MAX(0,$N290-$U290-SUM($V290:W290))),0))</f>
        <v/>
      </c>
      <c r="Y290" s="457">
        <f>IF($AO290&lt;&gt;"OK",0,IF(AND(DATE('Thiết lập'!$B$4,4,1)&gt;=DATE(YEAR($H290),MONTH($H290),1),DATE('Thiết lập'!$B$4,4,1)&lt;EDATE(DATE(YEAR($H290),MONTH($H290),1),$O290)),MIN($P290,MAX(0,$N290-$U290-SUM($V290:X290))),0))</f>
        <v/>
      </c>
      <c r="Z290" s="457">
        <f>IF($AO290&lt;&gt;"OK",0,IF(AND(DATE('Thiết lập'!$B$4,5,1)&gt;=DATE(YEAR($H290),MONTH($H290),1),DATE('Thiết lập'!$B$4,5,1)&lt;EDATE(DATE(YEAR($H290),MONTH($H290),1),$O290)),MIN($P290,MAX(0,$N290-$U290-SUM($V290:Y290))),0))</f>
        <v/>
      </c>
      <c r="AA290" s="457">
        <f>IF($AO290&lt;&gt;"OK",0,IF(AND(DATE('Thiết lập'!$B$4,6,1)&gt;=DATE(YEAR($H290),MONTH($H290),1),DATE('Thiết lập'!$B$4,6,1)&lt;EDATE(DATE(YEAR($H290),MONTH($H290),1),$O290)),MIN($P290,MAX(0,$N290-$U290-SUM($V290:Z290))),0))</f>
        <v/>
      </c>
      <c r="AB290" s="457">
        <f>IF($AO290&lt;&gt;"OK",0,IF(AND(DATE('Thiết lập'!$B$4,7,1)&gt;=DATE(YEAR($H290),MONTH($H290),1),DATE('Thiết lập'!$B$4,7,1)&lt;EDATE(DATE(YEAR($H290),MONTH($H290),1),$O290)),MIN($P290,MAX(0,$N290-$U290-SUM($V290:AA290))),0))</f>
        <v/>
      </c>
      <c r="AC290" s="457">
        <f>IF($AO290&lt;&gt;"OK",0,IF(AND(DATE('Thiết lập'!$B$4,8,1)&gt;=DATE(YEAR($H290),MONTH($H290),1),DATE('Thiết lập'!$B$4,8,1)&lt;EDATE(DATE(YEAR($H290),MONTH($H290),1),$O290)),MIN($P290,MAX(0,$N290-$U290-SUM($V290:AB290))),0))</f>
        <v/>
      </c>
      <c r="AD290" s="457">
        <f>IF($AO290&lt;&gt;"OK",0,IF(AND(DATE('Thiết lập'!$B$4,9,1)&gt;=DATE(YEAR($H290),MONTH($H290),1),DATE('Thiết lập'!$B$4,9,1)&lt;EDATE(DATE(YEAR($H290),MONTH($H290),1),$O290)),MIN($P290,MAX(0,$N290-$U290-SUM($V290:AC290))),0))</f>
        <v/>
      </c>
      <c r="AE290" s="457">
        <f>IF($AO290&lt;&gt;"OK",0,IF(AND(DATE('Thiết lập'!$B$4,10,1)&gt;=DATE(YEAR($H290),MONTH($H290),1),DATE('Thiết lập'!$B$4,10,1)&lt;EDATE(DATE(YEAR($H290),MONTH($H290),1),$O290)),MIN($P290,MAX(0,$N290-$U290-SUM($V290:AD290))),0))</f>
        <v/>
      </c>
      <c r="AF290" s="457">
        <f>IF($AO290&lt;&gt;"OK",0,IF(AND(DATE('Thiết lập'!$B$4,11,1)&gt;=DATE(YEAR($H290),MONTH($H290),1),DATE('Thiết lập'!$B$4,11,1)&lt;EDATE(DATE(YEAR($H290),MONTH($H290),1),$O290)),MIN($P290,MAX(0,$N290-$U290-SUM($V290:AE290))),0))</f>
        <v/>
      </c>
      <c r="AG290" s="457">
        <f>IF($AO290&lt;&gt;"OK",0,IF(AND(DATE('Thiết lập'!$B$4,12,1)&gt;=DATE(YEAR($H290),MONTH($H290),1),DATE('Thiết lập'!$B$4,12,1)&lt;EDATE(DATE(YEAR($H290),MONTH($H290),1),$O290)),MIN($P290,MAX(0,$N290-$U290-SUM($V290:AF290))),0))</f>
        <v/>
      </c>
      <c r="AH290" s="457">
        <f>IF(B290="","",SUM(V290:AG290))</f>
        <v/>
      </c>
      <c r="AI290" s="457">
        <f>IF(B290="","",MIN(N290,IF(U290="",0,U290)+AH290))</f>
        <v/>
      </c>
      <c r="AJ290" s="457">
        <f>IF(B290="","",MAX(0,L290-AI290))</f>
        <v/>
      </c>
      <c r="AK290" s="337">
        <f>IF(B290="","",IF(H290&gt;'Thiết lập'!$B$5,"Chưa khấu hao",IF(AJ290&lt;=IF(M290="",0,M290),"Đã hết khấu hao","Đang khấu hao")))</f>
        <v/>
      </c>
      <c r="AL290" s="275" t="n"/>
      <c r="AM290" s="275" t="n"/>
      <c r="AN290" s="275" t="n"/>
      <c r="AO290" s="343">
        <f>IF(B290="","",IF(COUNTIF($B$7:$B$306,B290)&gt;1,"Trùng mã TSCĐ",IF(C290="","Thiếu tên TSCĐ",IF(H290="","Thiếu ngày bắt đầu",IF(OR(I290&lt;=0,L290&lt;=0,O290&lt;=0),"Kiểm tra số lượng/nguyên giá/thời gian",IF(AND(G290&lt;&gt;"",H290&lt;G290),"Ngày KH trước ngày ghi tăng",IF(M290&gt;L290,"Giá trị thu hồi vượt nguyên giá",IF(IF(U290="",0,U290)&gt;N290,"Lũy kế đầu năm vượt GTKH","OK"))))))))</f>
        <v/>
      </c>
    </row>
    <row r="291" ht="20" customHeight="1" s="389">
      <c r="A291" s="325">
        <f>IF(B291="","",ROW()-6)</f>
        <v/>
      </c>
      <c r="B291" s="275" t="n"/>
      <c r="C291" s="275" t="n"/>
      <c r="D291" s="331" t="n"/>
      <c r="E291" s="331" t="n"/>
      <c r="F291" s="454" t="n"/>
      <c r="G291" s="454" t="n"/>
      <c r="H291" s="454" t="n"/>
      <c r="I291" s="455" t="n"/>
      <c r="J291" s="456" t="n"/>
      <c r="K291" s="456" t="n"/>
      <c r="L291" s="457">
        <f>IF(B291="","",IF(OR(I291="",J291=""),"",I291*J291+IF(K291="",0,K291)))</f>
        <v/>
      </c>
      <c r="M291" s="456" t="n"/>
      <c r="N291" s="457">
        <f>IF(L291="","",MAX(0,L291-IF(M291="",0,M291)))</f>
        <v/>
      </c>
      <c r="O291" s="455" t="n"/>
      <c r="P291" s="457">
        <f>IF(OR(N291="",O291&lt;=0),"",ROUND(N291/O291,0))</f>
        <v/>
      </c>
      <c r="Q291" s="458">
        <f>IF(OR(H291="",O291&lt;=0),"",EOMONTH(H291,O291-1))</f>
        <v/>
      </c>
      <c r="R291" s="331" t="n"/>
      <c r="S291" s="331" t="n"/>
      <c r="T291" s="331" t="n"/>
      <c r="U291" s="456" t="n"/>
      <c r="V291" s="457">
        <f>IF($AO291&lt;&gt;"OK",0,IF(AND(DATE('Thiết lập'!$B$4,1,1)&gt;=DATE(YEAR($H291),MONTH($H291),1),DATE('Thiết lập'!$B$4,1,1)&lt;EDATE(DATE(YEAR($H291),MONTH($H291),1),$O291)),MIN($P291,MAX(0,$N291-$U291-0)),0))</f>
        <v/>
      </c>
      <c r="W291" s="457">
        <f>IF($AO291&lt;&gt;"OK",0,IF(AND(DATE('Thiết lập'!$B$4,2,1)&gt;=DATE(YEAR($H291),MONTH($H291),1),DATE('Thiết lập'!$B$4,2,1)&lt;EDATE(DATE(YEAR($H291),MONTH($H291),1),$O291)),MIN($P291,MAX(0,$N291-$U291-SUM($V291:V291))),0))</f>
        <v/>
      </c>
      <c r="X291" s="457">
        <f>IF($AO291&lt;&gt;"OK",0,IF(AND(DATE('Thiết lập'!$B$4,3,1)&gt;=DATE(YEAR($H291),MONTH($H291),1),DATE('Thiết lập'!$B$4,3,1)&lt;EDATE(DATE(YEAR($H291),MONTH($H291),1),$O291)),MIN($P291,MAX(0,$N291-$U291-SUM($V291:W291))),0))</f>
        <v/>
      </c>
      <c r="Y291" s="457">
        <f>IF($AO291&lt;&gt;"OK",0,IF(AND(DATE('Thiết lập'!$B$4,4,1)&gt;=DATE(YEAR($H291),MONTH($H291),1),DATE('Thiết lập'!$B$4,4,1)&lt;EDATE(DATE(YEAR($H291),MONTH($H291),1),$O291)),MIN($P291,MAX(0,$N291-$U291-SUM($V291:X291))),0))</f>
        <v/>
      </c>
      <c r="Z291" s="457">
        <f>IF($AO291&lt;&gt;"OK",0,IF(AND(DATE('Thiết lập'!$B$4,5,1)&gt;=DATE(YEAR($H291),MONTH($H291),1),DATE('Thiết lập'!$B$4,5,1)&lt;EDATE(DATE(YEAR($H291),MONTH($H291),1),$O291)),MIN($P291,MAX(0,$N291-$U291-SUM($V291:Y291))),0))</f>
        <v/>
      </c>
      <c r="AA291" s="457">
        <f>IF($AO291&lt;&gt;"OK",0,IF(AND(DATE('Thiết lập'!$B$4,6,1)&gt;=DATE(YEAR($H291),MONTH($H291),1),DATE('Thiết lập'!$B$4,6,1)&lt;EDATE(DATE(YEAR($H291),MONTH($H291),1),$O291)),MIN($P291,MAX(0,$N291-$U291-SUM($V291:Z291))),0))</f>
        <v/>
      </c>
      <c r="AB291" s="457">
        <f>IF($AO291&lt;&gt;"OK",0,IF(AND(DATE('Thiết lập'!$B$4,7,1)&gt;=DATE(YEAR($H291),MONTH($H291),1),DATE('Thiết lập'!$B$4,7,1)&lt;EDATE(DATE(YEAR($H291),MONTH($H291),1),$O291)),MIN($P291,MAX(0,$N291-$U291-SUM($V291:AA291))),0))</f>
        <v/>
      </c>
      <c r="AC291" s="457">
        <f>IF($AO291&lt;&gt;"OK",0,IF(AND(DATE('Thiết lập'!$B$4,8,1)&gt;=DATE(YEAR($H291),MONTH($H291),1),DATE('Thiết lập'!$B$4,8,1)&lt;EDATE(DATE(YEAR($H291),MONTH($H291),1),$O291)),MIN($P291,MAX(0,$N291-$U291-SUM($V291:AB291))),0))</f>
        <v/>
      </c>
      <c r="AD291" s="457">
        <f>IF($AO291&lt;&gt;"OK",0,IF(AND(DATE('Thiết lập'!$B$4,9,1)&gt;=DATE(YEAR($H291),MONTH($H291),1),DATE('Thiết lập'!$B$4,9,1)&lt;EDATE(DATE(YEAR($H291),MONTH($H291),1),$O291)),MIN($P291,MAX(0,$N291-$U291-SUM($V291:AC291))),0))</f>
        <v/>
      </c>
      <c r="AE291" s="457">
        <f>IF($AO291&lt;&gt;"OK",0,IF(AND(DATE('Thiết lập'!$B$4,10,1)&gt;=DATE(YEAR($H291),MONTH($H291),1),DATE('Thiết lập'!$B$4,10,1)&lt;EDATE(DATE(YEAR($H291),MONTH($H291),1),$O291)),MIN($P291,MAX(0,$N291-$U291-SUM($V291:AD291))),0))</f>
        <v/>
      </c>
      <c r="AF291" s="457">
        <f>IF($AO291&lt;&gt;"OK",0,IF(AND(DATE('Thiết lập'!$B$4,11,1)&gt;=DATE(YEAR($H291),MONTH($H291),1),DATE('Thiết lập'!$B$4,11,1)&lt;EDATE(DATE(YEAR($H291),MONTH($H291),1),$O291)),MIN($P291,MAX(0,$N291-$U291-SUM($V291:AE291))),0))</f>
        <v/>
      </c>
      <c r="AG291" s="457">
        <f>IF($AO291&lt;&gt;"OK",0,IF(AND(DATE('Thiết lập'!$B$4,12,1)&gt;=DATE(YEAR($H291),MONTH($H291),1),DATE('Thiết lập'!$B$4,12,1)&lt;EDATE(DATE(YEAR($H291),MONTH($H291),1),$O291)),MIN($P291,MAX(0,$N291-$U291-SUM($V291:AF291))),0))</f>
        <v/>
      </c>
      <c r="AH291" s="457">
        <f>IF(B291="","",SUM(V291:AG291))</f>
        <v/>
      </c>
      <c r="AI291" s="457">
        <f>IF(B291="","",MIN(N291,IF(U291="",0,U291)+AH291))</f>
        <v/>
      </c>
      <c r="AJ291" s="457">
        <f>IF(B291="","",MAX(0,L291-AI291))</f>
        <v/>
      </c>
      <c r="AK291" s="337">
        <f>IF(B291="","",IF(H291&gt;'Thiết lập'!$B$5,"Chưa khấu hao",IF(AJ291&lt;=IF(M291="",0,M291),"Đã hết khấu hao","Đang khấu hao")))</f>
        <v/>
      </c>
      <c r="AL291" s="275" t="n"/>
      <c r="AM291" s="275" t="n"/>
      <c r="AN291" s="275" t="n"/>
      <c r="AO291" s="343">
        <f>IF(B291="","",IF(COUNTIF($B$7:$B$306,B291)&gt;1,"Trùng mã TSCĐ",IF(C291="","Thiếu tên TSCĐ",IF(H291="","Thiếu ngày bắt đầu",IF(OR(I291&lt;=0,L291&lt;=0,O291&lt;=0),"Kiểm tra số lượng/nguyên giá/thời gian",IF(AND(G291&lt;&gt;"",H291&lt;G291),"Ngày KH trước ngày ghi tăng",IF(M291&gt;L291,"Giá trị thu hồi vượt nguyên giá",IF(IF(U291="",0,U291)&gt;N291,"Lũy kế đầu năm vượt GTKH","OK"))))))))</f>
        <v/>
      </c>
    </row>
    <row r="292" ht="20" customHeight="1" s="389">
      <c r="A292" s="325">
        <f>IF(B292="","",ROW()-6)</f>
        <v/>
      </c>
      <c r="B292" s="275" t="n"/>
      <c r="C292" s="275" t="n"/>
      <c r="D292" s="331" t="n"/>
      <c r="E292" s="331" t="n"/>
      <c r="F292" s="454" t="n"/>
      <c r="G292" s="454" t="n"/>
      <c r="H292" s="454" t="n"/>
      <c r="I292" s="455" t="n"/>
      <c r="J292" s="456" t="n"/>
      <c r="K292" s="456" t="n"/>
      <c r="L292" s="457">
        <f>IF(B292="","",IF(OR(I292="",J292=""),"",I292*J292+IF(K292="",0,K292)))</f>
        <v/>
      </c>
      <c r="M292" s="456" t="n"/>
      <c r="N292" s="457">
        <f>IF(L292="","",MAX(0,L292-IF(M292="",0,M292)))</f>
        <v/>
      </c>
      <c r="O292" s="455" t="n"/>
      <c r="P292" s="457">
        <f>IF(OR(N292="",O292&lt;=0),"",ROUND(N292/O292,0))</f>
        <v/>
      </c>
      <c r="Q292" s="458">
        <f>IF(OR(H292="",O292&lt;=0),"",EOMONTH(H292,O292-1))</f>
        <v/>
      </c>
      <c r="R292" s="331" t="n"/>
      <c r="S292" s="331" t="n"/>
      <c r="T292" s="331" t="n"/>
      <c r="U292" s="456" t="n"/>
      <c r="V292" s="457">
        <f>IF($AO292&lt;&gt;"OK",0,IF(AND(DATE('Thiết lập'!$B$4,1,1)&gt;=DATE(YEAR($H292),MONTH($H292),1),DATE('Thiết lập'!$B$4,1,1)&lt;EDATE(DATE(YEAR($H292),MONTH($H292),1),$O292)),MIN($P292,MAX(0,$N292-$U292-0)),0))</f>
        <v/>
      </c>
      <c r="W292" s="457">
        <f>IF($AO292&lt;&gt;"OK",0,IF(AND(DATE('Thiết lập'!$B$4,2,1)&gt;=DATE(YEAR($H292),MONTH($H292),1),DATE('Thiết lập'!$B$4,2,1)&lt;EDATE(DATE(YEAR($H292),MONTH($H292),1),$O292)),MIN($P292,MAX(0,$N292-$U292-SUM($V292:V292))),0))</f>
        <v/>
      </c>
      <c r="X292" s="457">
        <f>IF($AO292&lt;&gt;"OK",0,IF(AND(DATE('Thiết lập'!$B$4,3,1)&gt;=DATE(YEAR($H292),MONTH($H292),1),DATE('Thiết lập'!$B$4,3,1)&lt;EDATE(DATE(YEAR($H292),MONTH($H292),1),$O292)),MIN($P292,MAX(0,$N292-$U292-SUM($V292:W292))),0))</f>
        <v/>
      </c>
      <c r="Y292" s="457">
        <f>IF($AO292&lt;&gt;"OK",0,IF(AND(DATE('Thiết lập'!$B$4,4,1)&gt;=DATE(YEAR($H292),MONTH($H292),1),DATE('Thiết lập'!$B$4,4,1)&lt;EDATE(DATE(YEAR($H292),MONTH($H292),1),$O292)),MIN($P292,MAX(0,$N292-$U292-SUM($V292:X292))),0))</f>
        <v/>
      </c>
      <c r="Z292" s="457">
        <f>IF($AO292&lt;&gt;"OK",0,IF(AND(DATE('Thiết lập'!$B$4,5,1)&gt;=DATE(YEAR($H292),MONTH($H292),1),DATE('Thiết lập'!$B$4,5,1)&lt;EDATE(DATE(YEAR($H292),MONTH($H292),1),$O292)),MIN($P292,MAX(0,$N292-$U292-SUM($V292:Y292))),0))</f>
        <v/>
      </c>
      <c r="AA292" s="457">
        <f>IF($AO292&lt;&gt;"OK",0,IF(AND(DATE('Thiết lập'!$B$4,6,1)&gt;=DATE(YEAR($H292),MONTH($H292),1),DATE('Thiết lập'!$B$4,6,1)&lt;EDATE(DATE(YEAR($H292),MONTH($H292),1),$O292)),MIN($P292,MAX(0,$N292-$U292-SUM($V292:Z292))),0))</f>
        <v/>
      </c>
      <c r="AB292" s="457">
        <f>IF($AO292&lt;&gt;"OK",0,IF(AND(DATE('Thiết lập'!$B$4,7,1)&gt;=DATE(YEAR($H292),MONTH($H292),1),DATE('Thiết lập'!$B$4,7,1)&lt;EDATE(DATE(YEAR($H292),MONTH($H292),1),$O292)),MIN($P292,MAX(0,$N292-$U292-SUM($V292:AA292))),0))</f>
        <v/>
      </c>
      <c r="AC292" s="457">
        <f>IF($AO292&lt;&gt;"OK",0,IF(AND(DATE('Thiết lập'!$B$4,8,1)&gt;=DATE(YEAR($H292),MONTH($H292),1),DATE('Thiết lập'!$B$4,8,1)&lt;EDATE(DATE(YEAR($H292),MONTH($H292),1),$O292)),MIN($P292,MAX(0,$N292-$U292-SUM($V292:AB292))),0))</f>
        <v/>
      </c>
      <c r="AD292" s="457">
        <f>IF($AO292&lt;&gt;"OK",0,IF(AND(DATE('Thiết lập'!$B$4,9,1)&gt;=DATE(YEAR($H292),MONTH($H292),1),DATE('Thiết lập'!$B$4,9,1)&lt;EDATE(DATE(YEAR($H292),MONTH($H292),1),$O292)),MIN($P292,MAX(0,$N292-$U292-SUM($V292:AC292))),0))</f>
        <v/>
      </c>
      <c r="AE292" s="457">
        <f>IF($AO292&lt;&gt;"OK",0,IF(AND(DATE('Thiết lập'!$B$4,10,1)&gt;=DATE(YEAR($H292),MONTH($H292),1),DATE('Thiết lập'!$B$4,10,1)&lt;EDATE(DATE(YEAR($H292),MONTH($H292),1),$O292)),MIN($P292,MAX(0,$N292-$U292-SUM($V292:AD292))),0))</f>
        <v/>
      </c>
      <c r="AF292" s="457">
        <f>IF($AO292&lt;&gt;"OK",0,IF(AND(DATE('Thiết lập'!$B$4,11,1)&gt;=DATE(YEAR($H292),MONTH($H292),1),DATE('Thiết lập'!$B$4,11,1)&lt;EDATE(DATE(YEAR($H292),MONTH($H292),1),$O292)),MIN($P292,MAX(0,$N292-$U292-SUM($V292:AE292))),0))</f>
        <v/>
      </c>
      <c r="AG292" s="457">
        <f>IF($AO292&lt;&gt;"OK",0,IF(AND(DATE('Thiết lập'!$B$4,12,1)&gt;=DATE(YEAR($H292),MONTH($H292),1),DATE('Thiết lập'!$B$4,12,1)&lt;EDATE(DATE(YEAR($H292),MONTH($H292),1),$O292)),MIN($P292,MAX(0,$N292-$U292-SUM($V292:AF292))),0))</f>
        <v/>
      </c>
      <c r="AH292" s="457">
        <f>IF(B292="","",SUM(V292:AG292))</f>
        <v/>
      </c>
      <c r="AI292" s="457">
        <f>IF(B292="","",MIN(N292,IF(U292="",0,U292)+AH292))</f>
        <v/>
      </c>
      <c r="AJ292" s="457">
        <f>IF(B292="","",MAX(0,L292-AI292))</f>
        <v/>
      </c>
      <c r="AK292" s="337">
        <f>IF(B292="","",IF(H292&gt;'Thiết lập'!$B$5,"Chưa khấu hao",IF(AJ292&lt;=IF(M292="",0,M292),"Đã hết khấu hao","Đang khấu hao")))</f>
        <v/>
      </c>
      <c r="AL292" s="275" t="n"/>
      <c r="AM292" s="275" t="n"/>
      <c r="AN292" s="275" t="n"/>
      <c r="AO292" s="343">
        <f>IF(B292="","",IF(COUNTIF($B$7:$B$306,B292)&gt;1,"Trùng mã TSCĐ",IF(C292="","Thiếu tên TSCĐ",IF(H292="","Thiếu ngày bắt đầu",IF(OR(I292&lt;=0,L292&lt;=0,O292&lt;=0),"Kiểm tra số lượng/nguyên giá/thời gian",IF(AND(G292&lt;&gt;"",H292&lt;G292),"Ngày KH trước ngày ghi tăng",IF(M292&gt;L292,"Giá trị thu hồi vượt nguyên giá",IF(IF(U292="",0,U292)&gt;N292,"Lũy kế đầu năm vượt GTKH","OK"))))))))</f>
        <v/>
      </c>
    </row>
    <row r="293" ht="20" customHeight="1" s="389">
      <c r="A293" s="325">
        <f>IF(B293="","",ROW()-6)</f>
        <v/>
      </c>
      <c r="B293" s="275" t="n"/>
      <c r="C293" s="275" t="n"/>
      <c r="D293" s="331" t="n"/>
      <c r="E293" s="331" t="n"/>
      <c r="F293" s="454" t="n"/>
      <c r="G293" s="454" t="n"/>
      <c r="H293" s="454" t="n"/>
      <c r="I293" s="455" t="n"/>
      <c r="J293" s="456" t="n"/>
      <c r="K293" s="456" t="n"/>
      <c r="L293" s="457">
        <f>IF(B293="","",IF(OR(I293="",J293=""),"",I293*J293+IF(K293="",0,K293)))</f>
        <v/>
      </c>
      <c r="M293" s="456" t="n"/>
      <c r="N293" s="457">
        <f>IF(L293="","",MAX(0,L293-IF(M293="",0,M293)))</f>
        <v/>
      </c>
      <c r="O293" s="455" t="n"/>
      <c r="P293" s="457">
        <f>IF(OR(N293="",O293&lt;=0),"",ROUND(N293/O293,0))</f>
        <v/>
      </c>
      <c r="Q293" s="458">
        <f>IF(OR(H293="",O293&lt;=0),"",EOMONTH(H293,O293-1))</f>
        <v/>
      </c>
      <c r="R293" s="331" t="n"/>
      <c r="S293" s="331" t="n"/>
      <c r="T293" s="331" t="n"/>
      <c r="U293" s="456" t="n"/>
      <c r="V293" s="457">
        <f>IF($AO293&lt;&gt;"OK",0,IF(AND(DATE('Thiết lập'!$B$4,1,1)&gt;=DATE(YEAR($H293),MONTH($H293),1),DATE('Thiết lập'!$B$4,1,1)&lt;EDATE(DATE(YEAR($H293),MONTH($H293),1),$O293)),MIN($P293,MAX(0,$N293-$U293-0)),0))</f>
        <v/>
      </c>
      <c r="W293" s="457">
        <f>IF($AO293&lt;&gt;"OK",0,IF(AND(DATE('Thiết lập'!$B$4,2,1)&gt;=DATE(YEAR($H293),MONTH($H293),1),DATE('Thiết lập'!$B$4,2,1)&lt;EDATE(DATE(YEAR($H293),MONTH($H293),1),$O293)),MIN($P293,MAX(0,$N293-$U293-SUM($V293:V293))),0))</f>
        <v/>
      </c>
      <c r="X293" s="457">
        <f>IF($AO293&lt;&gt;"OK",0,IF(AND(DATE('Thiết lập'!$B$4,3,1)&gt;=DATE(YEAR($H293),MONTH($H293),1),DATE('Thiết lập'!$B$4,3,1)&lt;EDATE(DATE(YEAR($H293),MONTH($H293),1),$O293)),MIN($P293,MAX(0,$N293-$U293-SUM($V293:W293))),0))</f>
        <v/>
      </c>
      <c r="Y293" s="457">
        <f>IF($AO293&lt;&gt;"OK",0,IF(AND(DATE('Thiết lập'!$B$4,4,1)&gt;=DATE(YEAR($H293),MONTH($H293),1),DATE('Thiết lập'!$B$4,4,1)&lt;EDATE(DATE(YEAR($H293),MONTH($H293),1),$O293)),MIN($P293,MAX(0,$N293-$U293-SUM($V293:X293))),0))</f>
        <v/>
      </c>
      <c r="Z293" s="457">
        <f>IF($AO293&lt;&gt;"OK",0,IF(AND(DATE('Thiết lập'!$B$4,5,1)&gt;=DATE(YEAR($H293),MONTH($H293),1),DATE('Thiết lập'!$B$4,5,1)&lt;EDATE(DATE(YEAR($H293),MONTH($H293),1),$O293)),MIN($P293,MAX(0,$N293-$U293-SUM($V293:Y293))),0))</f>
        <v/>
      </c>
      <c r="AA293" s="457">
        <f>IF($AO293&lt;&gt;"OK",0,IF(AND(DATE('Thiết lập'!$B$4,6,1)&gt;=DATE(YEAR($H293),MONTH($H293),1),DATE('Thiết lập'!$B$4,6,1)&lt;EDATE(DATE(YEAR($H293),MONTH($H293),1),$O293)),MIN($P293,MAX(0,$N293-$U293-SUM($V293:Z293))),0))</f>
        <v/>
      </c>
      <c r="AB293" s="457">
        <f>IF($AO293&lt;&gt;"OK",0,IF(AND(DATE('Thiết lập'!$B$4,7,1)&gt;=DATE(YEAR($H293),MONTH($H293),1),DATE('Thiết lập'!$B$4,7,1)&lt;EDATE(DATE(YEAR($H293),MONTH($H293),1),$O293)),MIN($P293,MAX(0,$N293-$U293-SUM($V293:AA293))),0))</f>
        <v/>
      </c>
      <c r="AC293" s="457">
        <f>IF($AO293&lt;&gt;"OK",0,IF(AND(DATE('Thiết lập'!$B$4,8,1)&gt;=DATE(YEAR($H293),MONTH($H293),1),DATE('Thiết lập'!$B$4,8,1)&lt;EDATE(DATE(YEAR($H293),MONTH($H293),1),$O293)),MIN($P293,MAX(0,$N293-$U293-SUM($V293:AB293))),0))</f>
        <v/>
      </c>
      <c r="AD293" s="457">
        <f>IF($AO293&lt;&gt;"OK",0,IF(AND(DATE('Thiết lập'!$B$4,9,1)&gt;=DATE(YEAR($H293),MONTH($H293),1),DATE('Thiết lập'!$B$4,9,1)&lt;EDATE(DATE(YEAR($H293),MONTH($H293),1),$O293)),MIN($P293,MAX(0,$N293-$U293-SUM($V293:AC293))),0))</f>
        <v/>
      </c>
      <c r="AE293" s="457">
        <f>IF($AO293&lt;&gt;"OK",0,IF(AND(DATE('Thiết lập'!$B$4,10,1)&gt;=DATE(YEAR($H293),MONTH($H293),1),DATE('Thiết lập'!$B$4,10,1)&lt;EDATE(DATE(YEAR($H293),MONTH($H293),1),$O293)),MIN($P293,MAX(0,$N293-$U293-SUM($V293:AD293))),0))</f>
        <v/>
      </c>
      <c r="AF293" s="457">
        <f>IF($AO293&lt;&gt;"OK",0,IF(AND(DATE('Thiết lập'!$B$4,11,1)&gt;=DATE(YEAR($H293),MONTH($H293),1),DATE('Thiết lập'!$B$4,11,1)&lt;EDATE(DATE(YEAR($H293),MONTH($H293),1),$O293)),MIN($P293,MAX(0,$N293-$U293-SUM($V293:AE293))),0))</f>
        <v/>
      </c>
      <c r="AG293" s="457">
        <f>IF($AO293&lt;&gt;"OK",0,IF(AND(DATE('Thiết lập'!$B$4,12,1)&gt;=DATE(YEAR($H293),MONTH($H293),1),DATE('Thiết lập'!$B$4,12,1)&lt;EDATE(DATE(YEAR($H293),MONTH($H293),1),$O293)),MIN($P293,MAX(0,$N293-$U293-SUM($V293:AF293))),0))</f>
        <v/>
      </c>
      <c r="AH293" s="457">
        <f>IF(B293="","",SUM(V293:AG293))</f>
        <v/>
      </c>
      <c r="AI293" s="457">
        <f>IF(B293="","",MIN(N293,IF(U293="",0,U293)+AH293))</f>
        <v/>
      </c>
      <c r="AJ293" s="457">
        <f>IF(B293="","",MAX(0,L293-AI293))</f>
        <v/>
      </c>
      <c r="AK293" s="337">
        <f>IF(B293="","",IF(H293&gt;'Thiết lập'!$B$5,"Chưa khấu hao",IF(AJ293&lt;=IF(M293="",0,M293),"Đã hết khấu hao","Đang khấu hao")))</f>
        <v/>
      </c>
      <c r="AL293" s="275" t="n"/>
      <c r="AM293" s="275" t="n"/>
      <c r="AN293" s="275" t="n"/>
      <c r="AO293" s="343">
        <f>IF(B293="","",IF(COUNTIF($B$7:$B$306,B293)&gt;1,"Trùng mã TSCĐ",IF(C293="","Thiếu tên TSCĐ",IF(H293="","Thiếu ngày bắt đầu",IF(OR(I293&lt;=0,L293&lt;=0,O293&lt;=0),"Kiểm tra số lượng/nguyên giá/thời gian",IF(AND(G293&lt;&gt;"",H293&lt;G293),"Ngày KH trước ngày ghi tăng",IF(M293&gt;L293,"Giá trị thu hồi vượt nguyên giá",IF(IF(U293="",0,U293)&gt;N293,"Lũy kế đầu năm vượt GTKH","OK"))))))))</f>
        <v/>
      </c>
    </row>
    <row r="294" ht="20" customHeight="1" s="389">
      <c r="A294" s="325">
        <f>IF(B294="","",ROW()-6)</f>
        <v/>
      </c>
      <c r="B294" s="275" t="n"/>
      <c r="C294" s="275" t="n"/>
      <c r="D294" s="331" t="n"/>
      <c r="E294" s="331" t="n"/>
      <c r="F294" s="454" t="n"/>
      <c r="G294" s="454" t="n"/>
      <c r="H294" s="454" t="n"/>
      <c r="I294" s="455" t="n"/>
      <c r="J294" s="456" t="n"/>
      <c r="K294" s="456" t="n"/>
      <c r="L294" s="457">
        <f>IF(B294="","",IF(OR(I294="",J294=""),"",I294*J294+IF(K294="",0,K294)))</f>
        <v/>
      </c>
      <c r="M294" s="456" t="n"/>
      <c r="N294" s="457">
        <f>IF(L294="","",MAX(0,L294-IF(M294="",0,M294)))</f>
        <v/>
      </c>
      <c r="O294" s="455" t="n"/>
      <c r="P294" s="457">
        <f>IF(OR(N294="",O294&lt;=0),"",ROUND(N294/O294,0))</f>
        <v/>
      </c>
      <c r="Q294" s="458">
        <f>IF(OR(H294="",O294&lt;=0),"",EOMONTH(H294,O294-1))</f>
        <v/>
      </c>
      <c r="R294" s="331" t="n"/>
      <c r="S294" s="331" t="n"/>
      <c r="T294" s="331" t="n"/>
      <c r="U294" s="456" t="n"/>
      <c r="V294" s="457">
        <f>IF($AO294&lt;&gt;"OK",0,IF(AND(DATE('Thiết lập'!$B$4,1,1)&gt;=DATE(YEAR($H294),MONTH($H294),1),DATE('Thiết lập'!$B$4,1,1)&lt;EDATE(DATE(YEAR($H294),MONTH($H294),1),$O294)),MIN($P294,MAX(0,$N294-$U294-0)),0))</f>
        <v/>
      </c>
      <c r="W294" s="457">
        <f>IF($AO294&lt;&gt;"OK",0,IF(AND(DATE('Thiết lập'!$B$4,2,1)&gt;=DATE(YEAR($H294),MONTH($H294),1),DATE('Thiết lập'!$B$4,2,1)&lt;EDATE(DATE(YEAR($H294),MONTH($H294),1),$O294)),MIN($P294,MAX(0,$N294-$U294-SUM($V294:V294))),0))</f>
        <v/>
      </c>
      <c r="X294" s="457">
        <f>IF($AO294&lt;&gt;"OK",0,IF(AND(DATE('Thiết lập'!$B$4,3,1)&gt;=DATE(YEAR($H294),MONTH($H294),1),DATE('Thiết lập'!$B$4,3,1)&lt;EDATE(DATE(YEAR($H294),MONTH($H294),1),$O294)),MIN($P294,MAX(0,$N294-$U294-SUM($V294:W294))),0))</f>
        <v/>
      </c>
      <c r="Y294" s="457">
        <f>IF($AO294&lt;&gt;"OK",0,IF(AND(DATE('Thiết lập'!$B$4,4,1)&gt;=DATE(YEAR($H294),MONTH($H294),1),DATE('Thiết lập'!$B$4,4,1)&lt;EDATE(DATE(YEAR($H294),MONTH($H294),1),$O294)),MIN($P294,MAX(0,$N294-$U294-SUM($V294:X294))),0))</f>
        <v/>
      </c>
      <c r="Z294" s="457">
        <f>IF($AO294&lt;&gt;"OK",0,IF(AND(DATE('Thiết lập'!$B$4,5,1)&gt;=DATE(YEAR($H294),MONTH($H294),1),DATE('Thiết lập'!$B$4,5,1)&lt;EDATE(DATE(YEAR($H294),MONTH($H294),1),$O294)),MIN($P294,MAX(0,$N294-$U294-SUM($V294:Y294))),0))</f>
        <v/>
      </c>
      <c r="AA294" s="457">
        <f>IF($AO294&lt;&gt;"OK",0,IF(AND(DATE('Thiết lập'!$B$4,6,1)&gt;=DATE(YEAR($H294),MONTH($H294),1),DATE('Thiết lập'!$B$4,6,1)&lt;EDATE(DATE(YEAR($H294),MONTH($H294),1),$O294)),MIN($P294,MAX(0,$N294-$U294-SUM($V294:Z294))),0))</f>
        <v/>
      </c>
      <c r="AB294" s="457">
        <f>IF($AO294&lt;&gt;"OK",0,IF(AND(DATE('Thiết lập'!$B$4,7,1)&gt;=DATE(YEAR($H294),MONTH($H294),1),DATE('Thiết lập'!$B$4,7,1)&lt;EDATE(DATE(YEAR($H294),MONTH($H294),1),$O294)),MIN($P294,MAX(0,$N294-$U294-SUM($V294:AA294))),0))</f>
        <v/>
      </c>
      <c r="AC294" s="457">
        <f>IF($AO294&lt;&gt;"OK",0,IF(AND(DATE('Thiết lập'!$B$4,8,1)&gt;=DATE(YEAR($H294),MONTH($H294),1),DATE('Thiết lập'!$B$4,8,1)&lt;EDATE(DATE(YEAR($H294),MONTH($H294),1),$O294)),MIN($P294,MAX(0,$N294-$U294-SUM($V294:AB294))),0))</f>
        <v/>
      </c>
      <c r="AD294" s="457">
        <f>IF($AO294&lt;&gt;"OK",0,IF(AND(DATE('Thiết lập'!$B$4,9,1)&gt;=DATE(YEAR($H294),MONTH($H294),1),DATE('Thiết lập'!$B$4,9,1)&lt;EDATE(DATE(YEAR($H294),MONTH($H294),1),$O294)),MIN($P294,MAX(0,$N294-$U294-SUM($V294:AC294))),0))</f>
        <v/>
      </c>
      <c r="AE294" s="457">
        <f>IF($AO294&lt;&gt;"OK",0,IF(AND(DATE('Thiết lập'!$B$4,10,1)&gt;=DATE(YEAR($H294),MONTH($H294),1),DATE('Thiết lập'!$B$4,10,1)&lt;EDATE(DATE(YEAR($H294),MONTH($H294),1),$O294)),MIN($P294,MAX(0,$N294-$U294-SUM($V294:AD294))),0))</f>
        <v/>
      </c>
      <c r="AF294" s="457">
        <f>IF($AO294&lt;&gt;"OK",0,IF(AND(DATE('Thiết lập'!$B$4,11,1)&gt;=DATE(YEAR($H294),MONTH($H294),1),DATE('Thiết lập'!$B$4,11,1)&lt;EDATE(DATE(YEAR($H294),MONTH($H294),1),$O294)),MIN($P294,MAX(0,$N294-$U294-SUM($V294:AE294))),0))</f>
        <v/>
      </c>
      <c r="AG294" s="457">
        <f>IF($AO294&lt;&gt;"OK",0,IF(AND(DATE('Thiết lập'!$B$4,12,1)&gt;=DATE(YEAR($H294),MONTH($H294),1),DATE('Thiết lập'!$B$4,12,1)&lt;EDATE(DATE(YEAR($H294),MONTH($H294),1),$O294)),MIN($P294,MAX(0,$N294-$U294-SUM($V294:AF294))),0))</f>
        <v/>
      </c>
      <c r="AH294" s="457">
        <f>IF(B294="","",SUM(V294:AG294))</f>
        <v/>
      </c>
      <c r="AI294" s="457">
        <f>IF(B294="","",MIN(N294,IF(U294="",0,U294)+AH294))</f>
        <v/>
      </c>
      <c r="AJ294" s="457">
        <f>IF(B294="","",MAX(0,L294-AI294))</f>
        <v/>
      </c>
      <c r="AK294" s="337">
        <f>IF(B294="","",IF(H294&gt;'Thiết lập'!$B$5,"Chưa khấu hao",IF(AJ294&lt;=IF(M294="",0,M294),"Đã hết khấu hao","Đang khấu hao")))</f>
        <v/>
      </c>
      <c r="AL294" s="275" t="n"/>
      <c r="AM294" s="275" t="n"/>
      <c r="AN294" s="275" t="n"/>
      <c r="AO294" s="343">
        <f>IF(B294="","",IF(COUNTIF($B$7:$B$306,B294)&gt;1,"Trùng mã TSCĐ",IF(C294="","Thiếu tên TSCĐ",IF(H294="","Thiếu ngày bắt đầu",IF(OR(I294&lt;=0,L294&lt;=0,O294&lt;=0),"Kiểm tra số lượng/nguyên giá/thời gian",IF(AND(G294&lt;&gt;"",H294&lt;G294),"Ngày KH trước ngày ghi tăng",IF(M294&gt;L294,"Giá trị thu hồi vượt nguyên giá",IF(IF(U294="",0,U294)&gt;N294,"Lũy kế đầu năm vượt GTKH","OK"))))))))</f>
        <v/>
      </c>
    </row>
    <row r="295" ht="20" customHeight="1" s="389">
      <c r="A295" s="325">
        <f>IF(B295="","",ROW()-6)</f>
        <v/>
      </c>
      <c r="B295" s="275" t="n"/>
      <c r="C295" s="275" t="n"/>
      <c r="D295" s="331" t="n"/>
      <c r="E295" s="331" t="n"/>
      <c r="F295" s="454" t="n"/>
      <c r="G295" s="454" t="n"/>
      <c r="H295" s="454" t="n"/>
      <c r="I295" s="455" t="n"/>
      <c r="J295" s="456" t="n"/>
      <c r="K295" s="456" t="n"/>
      <c r="L295" s="457">
        <f>IF(B295="","",IF(OR(I295="",J295=""),"",I295*J295+IF(K295="",0,K295)))</f>
        <v/>
      </c>
      <c r="M295" s="456" t="n"/>
      <c r="N295" s="457">
        <f>IF(L295="","",MAX(0,L295-IF(M295="",0,M295)))</f>
        <v/>
      </c>
      <c r="O295" s="455" t="n"/>
      <c r="P295" s="457">
        <f>IF(OR(N295="",O295&lt;=0),"",ROUND(N295/O295,0))</f>
        <v/>
      </c>
      <c r="Q295" s="458">
        <f>IF(OR(H295="",O295&lt;=0),"",EOMONTH(H295,O295-1))</f>
        <v/>
      </c>
      <c r="R295" s="331" t="n"/>
      <c r="S295" s="331" t="n"/>
      <c r="T295" s="331" t="n"/>
      <c r="U295" s="456" t="n"/>
      <c r="V295" s="457">
        <f>IF($AO295&lt;&gt;"OK",0,IF(AND(DATE('Thiết lập'!$B$4,1,1)&gt;=DATE(YEAR($H295),MONTH($H295),1),DATE('Thiết lập'!$B$4,1,1)&lt;EDATE(DATE(YEAR($H295),MONTH($H295),1),$O295)),MIN($P295,MAX(0,$N295-$U295-0)),0))</f>
        <v/>
      </c>
      <c r="W295" s="457">
        <f>IF($AO295&lt;&gt;"OK",0,IF(AND(DATE('Thiết lập'!$B$4,2,1)&gt;=DATE(YEAR($H295),MONTH($H295),1),DATE('Thiết lập'!$B$4,2,1)&lt;EDATE(DATE(YEAR($H295),MONTH($H295),1),$O295)),MIN($P295,MAX(0,$N295-$U295-SUM($V295:V295))),0))</f>
        <v/>
      </c>
      <c r="X295" s="457">
        <f>IF($AO295&lt;&gt;"OK",0,IF(AND(DATE('Thiết lập'!$B$4,3,1)&gt;=DATE(YEAR($H295),MONTH($H295),1),DATE('Thiết lập'!$B$4,3,1)&lt;EDATE(DATE(YEAR($H295),MONTH($H295),1),$O295)),MIN($P295,MAX(0,$N295-$U295-SUM($V295:W295))),0))</f>
        <v/>
      </c>
      <c r="Y295" s="457">
        <f>IF($AO295&lt;&gt;"OK",0,IF(AND(DATE('Thiết lập'!$B$4,4,1)&gt;=DATE(YEAR($H295),MONTH($H295),1),DATE('Thiết lập'!$B$4,4,1)&lt;EDATE(DATE(YEAR($H295),MONTH($H295),1),$O295)),MIN($P295,MAX(0,$N295-$U295-SUM($V295:X295))),0))</f>
        <v/>
      </c>
      <c r="Z295" s="457">
        <f>IF($AO295&lt;&gt;"OK",0,IF(AND(DATE('Thiết lập'!$B$4,5,1)&gt;=DATE(YEAR($H295),MONTH($H295),1),DATE('Thiết lập'!$B$4,5,1)&lt;EDATE(DATE(YEAR($H295),MONTH($H295),1),$O295)),MIN($P295,MAX(0,$N295-$U295-SUM($V295:Y295))),0))</f>
        <v/>
      </c>
      <c r="AA295" s="457">
        <f>IF($AO295&lt;&gt;"OK",0,IF(AND(DATE('Thiết lập'!$B$4,6,1)&gt;=DATE(YEAR($H295),MONTH($H295),1),DATE('Thiết lập'!$B$4,6,1)&lt;EDATE(DATE(YEAR($H295),MONTH($H295),1),$O295)),MIN($P295,MAX(0,$N295-$U295-SUM($V295:Z295))),0))</f>
        <v/>
      </c>
      <c r="AB295" s="457">
        <f>IF($AO295&lt;&gt;"OK",0,IF(AND(DATE('Thiết lập'!$B$4,7,1)&gt;=DATE(YEAR($H295),MONTH($H295),1),DATE('Thiết lập'!$B$4,7,1)&lt;EDATE(DATE(YEAR($H295),MONTH($H295),1),$O295)),MIN($P295,MAX(0,$N295-$U295-SUM($V295:AA295))),0))</f>
        <v/>
      </c>
      <c r="AC295" s="457">
        <f>IF($AO295&lt;&gt;"OK",0,IF(AND(DATE('Thiết lập'!$B$4,8,1)&gt;=DATE(YEAR($H295),MONTH($H295),1),DATE('Thiết lập'!$B$4,8,1)&lt;EDATE(DATE(YEAR($H295),MONTH($H295),1),$O295)),MIN($P295,MAX(0,$N295-$U295-SUM($V295:AB295))),0))</f>
        <v/>
      </c>
      <c r="AD295" s="457">
        <f>IF($AO295&lt;&gt;"OK",0,IF(AND(DATE('Thiết lập'!$B$4,9,1)&gt;=DATE(YEAR($H295),MONTH($H295),1),DATE('Thiết lập'!$B$4,9,1)&lt;EDATE(DATE(YEAR($H295),MONTH($H295),1),$O295)),MIN($P295,MAX(0,$N295-$U295-SUM($V295:AC295))),0))</f>
        <v/>
      </c>
      <c r="AE295" s="457">
        <f>IF($AO295&lt;&gt;"OK",0,IF(AND(DATE('Thiết lập'!$B$4,10,1)&gt;=DATE(YEAR($H295),MONTH($H295),1),DATE('Thiết lập'!$B$4,10,1)&lt;EDATE(DATE(YEAR($H295),MONTH($H295),1),$O295)),MIN($P295,MAX(0,$N295-$U295-SUM($V295:AD295))),0))</f>
        <v/>
      </c>
      <c r="AF295" s="457">
        <f>IF($AO295&lt;&gt;"OK",0,IF(AND(DATE('Thiết lập'!$B$4,11,1)&gt;=DATE(YEAR($H295),MONTH($H295),1),DATE('Thiết lập'!$B$4,11,1)&lt;EDATE(DATE(YEAR($H295),MONTH($H295),1),$O295)),MIN($P295,MAX(0,$N295-$U295-SUM($V295:AE295))),0))</f>
        <v/>
      </c>
      <c r="AG295" s="457">
        <f>IF($AO295&lt;&gt;"OK",0,IF(AND(DATE('Thiết lập'!$B$4,12,1)&gt;=DATE(YEAR($H295),MONTH($H295),1),DATE('Thiết lập'!$B$4,12,1)&lt;EDATE(DATE(YEAR($H295),MONTH($H295),1),$O295)),MIN($P295,MAX(0,$N295-$U295-SUM($V295:AF295))),0))</f>
        <v/>
      </c>
      <c r="AH295" s="457">
        <f>IF(B295="","",SUM(V295:AG295))</f>
        <v/>
      </c>
      <c r="AI295" s="457">
        <f>IF(B295="","",MIN(N295,IF(U295="",0,U295)+AH295))</f>
        <v/>
      </c>
      <c r="AJ295" s="457">
        <f>IF(B295="","",MAX(0,L295-AI295))</f>
        <v/>
      </c>
      <c r="AK295" s="337">
        <f>IF(B295="","",IF(H295&gt;'Thiết lập'!$B$5,"Chưa khấu hao",IF(AJ295&lt;=IF(M295="",0,M295),"Đã hết khấu hao","Đang khấu hao")))</f>
        <v/>
      </c>
      <c r="AL295" s="275" t="n"/>
      <c r="AM295" s="275" t="n"/>
      <c r="AN295" s="275" t="n"/>
      <c r="AO295" s="343">
        <f>IF(B295="","",IF(COUNTIF($B$7:$B$306,B295)&gt;1,"Trùng mã TSCĐ",IF(C295="","Thiếu tên TSCĐ",IF(H295="","Thiếu ngày bắt đầu",IF(OR(I295&lt;=0,L295&lt;=0,O295&lt;=0),"Kiểm tra số lượng/nguyên giá/thời gian",IF(AND(G295&lt;&gt;"",H295&lt;G295),"Ngày KH trước ngày ghi tăng",IF(M295&gt;L295,"Giá trị thu hồi vượt nguyên giá",IF(IF(U295="",0,U295)&gt;N295,"Lũy kế đầu năm vượt GTKH","OK"))))))))</f>
        <v/>
      </c>
    </row>
    <row r="296" ht="20" customHeight="1" s="389">
      <c r="A296" s="325">
        <f>IF(B296="","",ROW()-6)</f>
        <v/>
      </c>
      <c r="B296" s="275" t="n"/>
      <c r="C296" s="275" t="n"/>
      <c r="D296" s="331" t="n"/>
      <c r="E296" s="331" t="n"/>
      <c r="F296" s="454" t="n"/>
      <c r="G296" s="454" t="n"/>
      <c r="H296" s="454" t="n"/>
      <c r="I296" s="455" t="n"/>
      <c r="J296" s="456" t="n"/>
      <c r="K296" s="456" t="n"/>
      <c r="L296" s="457">
        <f>IF(B296="","",IF(OR(I296="",J296=""),"",I296*J296+IF(K296="",0,K296)))</f>
        <v/>
      </c>
      <c r="M296" s="456" t="n"/>
      <c r="N296" s="457">
        <f>IF(L296="","",MAX(0,L296-IF(M296="",0,M296)))</f>
        <v/>
      </c>
      <c r="O296" s="455" t="n"/>
      <c r="P296" s="457">
        <f>IF(OR(N296="",O296&lt;=0),"",ROUND(N296/O296,0))</f>
        <v/>
      </c>
      <c r="Q296" s="458">
        <f>IF(OR(H296="",O296&lt;=0),"",EOMONTH(H296,O296-1))</f>
        <v/>
      </c>
      <c r="R296" s="331" t="n"/>
      <c r="S296" s="331" t="n"/>
      <c r="T296" s="331" t="n"/>
      <c r="U296" s="456" t="n"/>
      <c r="V296" s="457">
        <f>IF($AO296&lt;&gt;"OK",0,IF(AND(DATE('Thiết lập'!$B$4,1,1)&gt;=DATE(YEAR($H296),MONTH($H296),1),DATE('Thiết lập'!$B$4,1,1)&lt;EDATE(DATE(YEAR($H296),MONTH($H296),1),$O296)),MIN($P296,MAX(0,$N296-$U296-0)),0))</f>
        <v/>
      </c>
      <c r="W296" s="457">
        <f>IF($AO296&lt;&gt;"OK",0,IF(AND(DATE('Thiết lập'!$B$4,2,1)&gt;=DATE(YEAR($H296),MONTH($H296),1),DATE('Thiết lập'!$B$4,2,1)&lt;EDATE(DATE(YEAR($H296),MONTH($H296),1),$O296)),MIN($P296,MAX(0,$N296-$U296-SUM($V296:V296))),0))</f>
        <v/>
      </c>
      <c r="X296" s="457">
        <f>IF($AO296&lt;&gt;"OK",0,IF(AND(DATE('Thiết lập'!$B$4,3,1)&gt;=DATE(YEAR($H296),MONTH($H296),1),DATE('Thiết lập'!$B$4,3,1)&lt;EDATE(DATE(YEAR($H296),MONTH($H296),1),$O296)),MIN($P296,MAX(0,$N296-$U296-SUM($V296:W296))),0))</f>
        <v/>
      </c>
      <c r="Y296" s="457">
        <f>IF($AO296&lt;&gt;"OK",0,IF(AND(DATE('Thiết lập'!$B$4,4,1)&gt;=DATE(YEAR($H296),MONTH($H296),1),DATE('Thiết lập'!$B$4,4,1)&lt;EDATE(DATE(YEAR($H296),MONTH($H296),1),$O296)),MIN($P296,MAX(0,$N296-$U296-SUM($V296:X296))),0))</f>
        <v/>
      </c>
      <c r="Z296" s="457">
        <f>IF($AO296&lt;&gt;"OK",0,IF(AND(DATE('Thiết lập'!$B$4,5,1)&gt;=DATE(YEAR($H296),MONTH($H296),1),DATE('Thiết lập'!$B$4,5,1)&lt;EDATE(DATE(YEAR($H296),MONTH($H296),1),$O296)),MIN($P296,MAX(0,$N296-$U296-SUM($V296:Y296))),0))</f>
        <v/>
      </c>
      <c r="AA296" s="457">
        <f>IF($AO296&lt;&gt;"OK",0,IF(AND(DATE('Thiết lập'!$B$4,6,1)&gt;=DATE(YEAR($H296),MONTH($H296),1),DATE('Thiết lập'!$B$4,6,1)&lt;EDATE(DATE(YEAR($H296),MONTH($H296),1),$O296)),MIN($P296,MAX(0,$N296-$U296-SUM($V296:Z296))),0))</f>
        <v/>
      </c>
      <c r="AB296" s="457">
        <f>IF($AO296&lt;&gt;"OK",0,IF(AND(DATE('Thiết lập'!$B$4,7,1)&gt;=DATE(YEAR($H296),MONTH($H296),1),DATE('Thiết lập'!$B$4,7,1)&lt;EDATE(DATE(YEAR($H296),MONTH($H296),1),$O296)),MIN($P296,MAX(0,$N296-$U296-SUM($V296:AA296))),0))</f>
        <v/>
      </c>
      <c r="AC296" s="457">
        <f>IF($AO296&lt;&gt;"OK",0,IF(AND(DATE('Thiết lập'!$B$4,8,1)&gt;=DATE(YEAR($H296),MONTH($H296),1),DATE('Thiết lập'!$B$4,8,1)&lt;EDATE(DATE(YEAR($H296),MONTH($H296),1),$O296)),MIN($P296,MAX(0,$N296-$U296-SUM($V296:AB296))),0))</f>
        <v/>
      </c>
      <c r="AD296" s="457">
        <f>IF($AO296&lt;&gt;"OK",0,IF(AND(DATE('Thiết lập'!$B$4,9,1)&gt;=DATE(YEAR($H296),MONTH($H296),1),DATE('Thiết lập'!$B$4,9,1)&lt;EDATE(DATE(YEAR($H296),MONTH($H296),1),$O296)),MIN($P296,MAX(0,$N296-$U296-SUM($V296:AC296))),0))</f>
        <v/>
      </c>
      <c r="AE296" s="457">
        <f>IF($AO296&lt;&gt;"OK",0,IF(AND(DATE('Thiết lập'!$B$4,10,1)&gt;=DATE(YEAR($H296),MONTH($H296),1),DATE('Thiết lập'!$B$4,10,1)&lt;EDATE(DATE(YEAR($H296),MONTH($H296),1),$O296)),MIN($P296,MAX(0,$N296-$U296-SUM($V296:AD296))),0))</f>
        <v/>
      </c>
      <c r="AF296" s="457">
        <f>IF($AO296&lt;&gt;"OK",0,IF(AND(DATE('Thiết lập'!$B$4,11,1)&gt;=DATE(YEAR($H296),MONTH($H296),1),DATE('Thiết lập'!$B$4,11,1)&lt;EDATE(DATE(YEAR($H296),MONTH($H296),1),$O296)),MIN($P296,MAX(0,$N296-$U296-SUM($V296:AE296))),0))</f>
        <v/>
      </c>
      <c r="AG296" s="457">
        <f>IF($AO296&lt;&gt;"OK",0,IF(AND(DATE('Thiết lập'!$B$4,12,1)&gt;=DATE(YEAR($H296),MONTH($H296),1),DATE('Thiết lập'!$B$4,12,1)&lt;EDATE(DATE(YEAR($H296),MONTH($H296),1),$O296)),MIN($P296,MAX(0,$N296-$U296-SUM($V296:AF296))),0))</f>
        <v/>
      </c>
      <c r="AH296" s="457">
        <f>IF(B296="","",SUM(V296:AG296))</f>
        <v/>
      </c>
      <c r="AI296" s="457">
        <f>IF(B296="","",MIN(N296,IF(U296="",0,U296)+AH296))</f>
        <v/>
      </c>
      <c r="AJ296" s="457">
        <f>IF(B296="","",MAX(0,L296-AI296))</f>
        <v/>
      </c>
      <c r="AK296" s="337">
        <f>IF(B296="","",IF(H296&gt;'Thiết lập'!$B$5,"Chưa khấu hao",IF(AJ296&lt;=IF(M296="",0,M296),"Đã hết khấu hao","Đang khấu hao")))</f>
        <v/>
      </c>
      <c r="AL296" s="275" t="n"/>
      <c r="AM296" s="275" t="n"/>
      <c r="AN296" s="275" t="n"/>
      <c r="AO296" s="343">
        <f>IF(B296="","",IF(COUNTIF($B$7:$B$306,B296)&gt;1,"Trùng mã TSCĐ",IF(C296="","Thiếu tên TSCĐ",IF(H296="","Thiếu ngày bắt đầu",IF(OR(I296&lt;=0,L296&lt;=0,O296&lt;=0),"Kiểm tra số lượng/nguyên giá/thời gian",IF(AND(G296&lt;&gt;"",H296&lt;G296),"Ngày KH trước ngày ghi tăng",IF(M296&gt;L296,"Giá trị thu hồi vượt nguyên giá",IF(IF(U296="",0,U296)&gt;N296,"Lũy kế đầu năm vượt GTKH","OK"))))))))</f>
        <v/>
      </c>
    </row>
    <row r="297" ht="20" customHeight="1" s="389">
      <c r="A297" s="325">
        <f>IF(B297="","",ROW()-6)</f>
        <v/>
      </c>
      <c r="B297" s="275" t="n"/>
      <c r="C297" s="275" t="n"/>
      <c r="D297" s="331" t="n"/>
      <c r="E297" s="331" t="n"/>
      <c r="F297" s="454" t="n"/>
      <c r="G297" s="454" t="n"/>
      <c r="H297" s="454" t="n"/>
      <c r="I297" s="455" t="n"/>
      <c r="J297" s="456" t="n"/>
      <c r="K297" s="456" t="n"/>
      <c r="L297" s="457">
        <f>IF(B297="","",IF(OR(I297="",J297=""),"",I297*J297+IF(K297="",0,K297)))</f>
        <v/>
      </c>
      <c r="M297" s="456" t="n"/>
      <c r="N297" s="457">
        <f>IF(L297="","",MAX(0,L297-IF(M297="",0,M297)))</f>
        <v/>
      </c>
      <c r="O297" s="455" t="n"/>
      <c r="P297" s="457">
        <f>IF(OR(N297="",O297&lt;=0),"",ROUND(N297/O297,0))</f>
        <v/>
      </c>
      <c r="Q297" s="458">
        <f>IF(OR(H297="",O297&lt;=0),"",EOMONTH(H297,O297-1))</f>
        <v/>
      </c>
      <c r="R297" s="331" t="n"/>
      <c r="S297" s="331" t="n"/>
      <c r="T297" s="331" t="n"/>
      <c r="U297" s="456" t="n"/>
      <c r="V297" s="457">
        <f>IF($AO297&lt;&gt;"OK",0,IF(AND(DATE('Thiết lập'!$B$4,1,1)&gt;=DATE(YEAR($H297),MONTH($H297),1),DATE('Thiết lập'!$B$4,1,1)&lt;EDATE(DATE(YEAR($H297),MONTH($H297),1),$O297)),MIN($P297,MAX(0,$N297-$U297-0)),0))</f>
        <v/>
      </c>
      <c r="W297" s="457">
        <f>IF($AO297&lt;&gt;"OK",0,IF(AND(DATE('Thiết lập'!$B$4,2,1)&gt;=DATE(YEAR($H297),MONTH($H297),1),DATE('Thiết lập'!$B$4,2,1)&lt;EDATE(DATE(YEAR($H297),MONTH($H297),1),$O297)),MIN($P297,MAX(0,$N297-$U297-SUM($V297:V297))),0))</f>
        <v/>
      </c>
      <c r="X297" s="457">
        <f>IF($AO297&lt;&gt;"OK",0,IF(AND(DATE('Thiết lập'!$B$4,3,1)&gt;=DATE(YEAR($H297),MONTH($H297),1),DATE('Thiết lập'!$B$4,3,1)&lt;EDATE(DATE(YEAR($H297),MONTH($H297),1),$O297)),MIN($P297,MAX(0,$N297-$U297-SUM($V297:W297))),0))</f>
        <v/>
      </c>
      <c r="Y297" s="457">
        <f>IF($AO297&lt;&gt;"OK",0,IF(AND(DATE('Thiết lập'!$B$4,4,1)&gt;=DATE(YEAR($H297),MONTH($H297),1),DATE('Thiết lập'!$B$4,4,1)&lt;EDATE(DATE(YEAR($H297),MONTH($H297),1),$O297)),MIN($P297,MAX(0,$N297-$U297-SUM($V297:X297))),0))</f>
        <v/>
      </c>
      <c r="Z297" s="457">
        <f>IF($AO297&lt;&gt;"OK",0,IF(AND(DATE('Thiết lập'!$B$4,5,1)&gt;=DATE(YEAR($H297),MONTH($H297),1),DATE('Thiết lập'!$B$4,5,1)&lt;EDATE(DATE(YEAR($H297),MONTH($H297),1),$O297)),MIN($P297,MAX(0,$N297-$U297-SUM($V297:Y297))),0))</f>
        <v/>
      </c>
      <c r="AA297" s="457">
        <f>IF($AO297&lt;&gt;"OK",0,IF(AND(DATE('Thiết lập'!$B$4,6,1)&gt;=DATE(YEAR($H297),MONTH($H297),1),DATE('Thiết lập'!$B$4,6,1)&lt;EDATE(DATE(YEAR($H297),MONTH($H297),1),$O297)),MIN($P297,MAX(0,$N297-$U297-SUM($V297:Z297))),0))</f>
        <v/>
      </c>
      <c r="AB297" s="457">
        <f>IF($AO297&lt;&gt;"OK",0,IF(AND(DATE('Thiết lập'!$B$4,7,1)&gt;=DATE(YEAR($H297),MONTH($H297),1),DATE('Thiết lập'!$B$4,7,1)&lt;EDATE(DATE(YEAR($H297),MONTH($H297),1),$O297)),MIN($P297,MAX(0,$N297-$U297-SUM($V297:AA297))),0))</f>
        <v/>
      </c>
      <c r="AC297" s="457">
        <f>IF($AO297&lt;&gt;"OK",0,IF(AND(DATE('Thiết lập'!$B$4,8,1)&gt;=DATE(YEAR($H297),MONTH($H297),1),DATE('Thiết lập'!$B$4,8,1)&lt;EDATE(DATE(YEAR($H297),MONTH($H297),1),$O297)),MIN($P297,MAX(0,$N297-$U297-SUM($V297:AB297))),0))</f>
        <v/>
      </c>
      <c r="AD297" s="457">
        <f>IF($AO297&lt;&gt;"OK",0,IF(AND(DATE('Thiết lập'!$B$4,9,1)&gt;=DATE(YEAR($H297),MONTH($H297),1),DATE('Thiết lập'!$B$4,9,1)&lt;EDATE(DATE(YEAR($H297),MONTH($H297),1),$O297)),MIN($P297,MAX(0,$N297-$U297-SUM($V297:AC297))),0))</f>
        <v/>
      </c>
      <c r="AE297" s="457">
        <f>IF($AO297&lt;&gt;"OK",0,IF(AND(DATE('Thiết lập'!$B$4,10,1)&gt;=DATE(YEAR($H297),MONTH($H297),1),DATE('Thiết lập'!$B$4,10,1)&lt;EDATE(DATE(YEAR($H297),MONTH($H297),1),$O297)),MIN($P297,MAX(0,$N297-$U297-SUM($V297:AD297))),0))</f>
        <v/>
      </c>
      <c r="AF297" s="457">
        <f>IF($AO297&lt;&gt;"OK",0,IF(AND(DATE('Thiết lập'!$B$4,11,1)&gt;=DATE(YEAR($H297),MONTH($H297),1),DATE('Thiết lập'!$B$4,11,1)&lt;EDATE(DATE(YEAR($H297),MONTH($H297),1),$O297)),MIN($P297,MAX(0,$N297-$U297-SUM($V297:AE297))),0))</f>
        <v/>
      </c>
      <c r="AG297" s="457">
        <f>IF($AO297&lt;&gt;"OK",0,IF(AND(DATE('Thiết lập'!$B$4,12,1)&gt;=DATE(YEAR($H297),MONTH($H297),1),DATE('Thiết lập'!$B$4,12,1)&lt;EDATE(DATE(YEAR($H297),MONTH($H297),1),$O297)),MIN($P297,MAX(0,$N297-$U297-SUM($V297:AF297))),0))</f>
        <v/>
      </c>
      <c r="AH297" s="457">
        <f>IF(B297="","",SUM(V297:AG297))</f>
        <v/>
      </c>
      <c r="AI297" s="457">
        <f>IF(B297="","",MIN(N297,IF(U297="",0,U297)+AH297))</f>
        <v/>
      </c>
      <c r="AJ297" s="457">
        <f>IF(B297="","",MAX(0,L297-AI297))</f>
        <v/>
      </c>
      <c r="AK297" s="337">
        <f>IF(B297="","",IF(H297&gt;'Thiết lập'!$B$5,"Chưa khấu hao",IF(AJ297&lt;=IF(M297="",0,M297),"Đã hết khấu hao","Đang khấu hao")))</f>
        <v/>
      </c>
      <c r="AL297" s="275" t="n"/>
      <c r="AM297" s="275" t="n"/>
      <c r="AN297" s="275" t="n"/>
      <c r="AO297" s="343">
        <f>IF(B297="","",IF(COUNTIF($B$7:$B$306,B297)&gt;1,"Trùng mã TSCĐ",IF(C297="","Thiếu tên TSCĐ",IF(H297="","Thiếu ngày bắt đầu",IF(OR(I297&lt;=0,L297&lt;=0,O297&lt;=0),"Kiểm tra số lượng/nguyên giá/thời gian",IF(AND(G297&lt;&gt;"",H297&lt;G297),"Ngày KH trước ngày ghi tăng",IF(M297&gt;L297,"Giá trị thu hồi vượt nguyên giá",IF(IF(U297="",0,U297)&gt;N297,"Lũy kế đầu năm vượt GTKH","OK"))))))))</f>
        <v/>
      </c>
    </row>
    <row r="298" ht="20" customHeight="1" s="389">
      <c r="A298" s="325">
        <f>IF(B298="","",ROW()-6)</f>
        <v/>
      </c>
      <c r="B298" s="275" t="n"/>
      <c r="C298" s="275" t="n"/>
      <c r="D298" s="331" t="n"/>
      <c r="E298" s="331" t="n"/>
      <c r="F298" s="454" t="n"/>
      <c r="G298" s="454" t="n"/>
      <c r="H298" s="454" t="n"/>
      <c r="I298" s="455" t="n"/>
      <c r="J298" s="456" t="n"/>
      <c r="K298" s="456" t="n"/>
      <c r="L298" s="457">
        <f>IF(B298="","",IF(OR(I298="",J298=""),"",I298*J298+IF(K298="",0,K298)))</f>
        <v/>
      </c>
      <c r="M298" s="456" t="n"/>
      <c r="N298" s="457">
        <f>IF(L298="","",MAX(0,L298-IF(M298="",0,M298)))</f>
        <v/>
      </c>
      <c r="O298" s="455" t="n"/>
      <c r="P298" s="457">
        <f>IF(OR(N298="",O298&lt;=0),"",ROUND(N298/O298,0))</f>
        <v/>
      </c>
      <c r="Q298" s="458">
        <f>IF(OR(H298="",O298&lt;=0),"",EOMONTH(H298,O298-1))</f>
        <v/>
      </c>
      <c r="R298" s="331" t="n"/>
      <c r="S298" s="331" t="n"/>
      <c r="T298" s="331" t="n"/>
      <c r="U298" s="456" t="n"/>
      <c r="V298" s="457">
        <f>IF($AO298&lt;&gt;"OK",0,IF(AND(DATE('Thiết lập'!$B$4,1,1)&gt;=DATE(YEAR($H298),MONTH($H298),1),DATE('Thiết lập'!$B$4,1,1)&lt;EDATE(DATE(YEAR($H298),MONTH($H298),1),$O298)),MIN($P298,MAX(0,$N298-$U298-0)),0))</f>
        <v/>
      </c>
      <c r="W298" s="457">
        <f>IF($AO298&lt;&gt;"OK",0,IF(AND(DATE('Thiết lập'!$B$4,2,1)&gt;=DATE(YEAR($H298),MONTH($H298),1),DATE('Thiết lập'!$B$4,2,1)&lt;EDATE(DATE(YEAR($H298),MONTH($H298),1),$O298)),MIN($P298,MAX(0,$N298-$U298-SUM($V298:V298))),0))</f>
        <v/>
      </c>
      <c r="X298" s="457">
        <f>IF($AO298&lt;&gt;"OK",0,IF(AND(DATE('Thiết lập'!$B$4,3,1)&gt;=DATE(YEAR($H298),MONTH($H298),1),DATE('Thiết lập'!$B$4,3,1)&lt;EDATE(DATE(YEAR($H298),MONTH($H298),1),$O298)),MIN($P298,MAX(0,$N298-$U298-SUM($V298:W298))),0))</f>
        <v/>
      </c>
      <c r="Y298" s="457">
        <f>IF($AO298&lt;&gt;"OK",0,IF(AND(DATE('Thiết lập'!$B$4,4,1)&gt;=DATE(YEAR($H298),MONTH($H298),1),DATE('Thiết lập'!$B$4,4,1)&lt;EDATE(DATE(YEAR($H298),MONTH($H298),1),$O298)),MIN($P298,MAX(0,$N298-$U298-SUM($V298:X298))),0))</f>
        <v/>
      </c>
      <c r="Z298" s="457">
        <f>IF($AO298&lt;&gt;"OK",0,IF(AND(DATE('Thiết lập'!$B$4,5,1)&gt;=DATE(YEAR($H298),MONTH($H298),1),DATE('Thiết lập'!$B$4,5,1)&lt;EDATE(DATE(YEAR($H298),MONTH($H298),1),$O298)),MIN($P298,MAX(0,$N298-$U298-SUM($V298:Y298))),0))</f>
        <v/>
      </c>
      <c r="AA298" s="457">
        <f>IF($AO298&lt;&gt;"OK",0,IF(AND(DATE('Thiết lập'!$B$4,6,1)&gt;=DATE(YEAR($H298),MONTH($H298),1),DATE('Thiết lập'!$B$4,6,1)&lt;EDATE(DATE(YEAR($H298),MONTH($H298),1),$O298)),MIN($P298,MAX(0,$N298-$U298-SUM($V298:Z298))),0))</f>
        <v/>
      </c>
      <c r="AB298" s="457">
        <f>IF($AO298&lt;&gt;"OK",0,IF(AND(DATE('Thiết lập'!$B$4,7,1)&gt;=DATE(YEAR($H298),MONTH($H298),1),DATE('Thiết lập'!$B$4,7,1)&lt;EDATE(DATE(YEAR($H298),MONTH($H298),1),$O298)),MIN($P298,MAX(0,$N298-$U298-SUM($V298:AA298))),0))</f>
        <v/>
      </c>
      <c r="AC298" s="457">
        <f>IF($AO298&lt;&gt;"OK",0,IF(AND(DATE('Thiết lập'!$B$4,8,1)&gt;=DATE(YEAR($H298),MONTH($H298),1),DATE('Thiết lập'!$B$4,8,1)&lt;EDATE(DATE(YEAR($H298),MONTH($H298),1),$O298)),MIN($P298,MAX(0,$N298-$U298-SUM($V298:AB298))),0))</f>
        <v/>
      </c>
      <c r="AD298" s="457">
        <f>IF($AO298&lt;&gt;"OK",0,IF(AND(DATE('Thiết lập'!$B$4,9,1)&gt;=DATE(YEAR($H298),MONTH($H298),1),DATE('Thiết lập'!$B$4,9,1)&lt;EDATE(DATE(YEAR($H298),MONTH($H298),1),$O298)),MIN($P298,MAX(0,$N298-$U298-SUM($V298:AC298))),0))</f>
        <v/>
      </c>
      <c r="AE298" s="457">
        <f>IF($AO298&lt;&gt;"OK",0,IF(AND(DATE('Thiết lập'!$B$4,10,1)&gt;=DATE(YEAR($H298),MONTH($H298),1),DATE('Thiết lập'!$B$4,10,1)&lt;EDATE(DATE(YEAR($H298),MONTH($H298),1),$O298)),MIN($P298,MAX(0,$N298-$U298-SUM($V298:AD298))),0))</f>
        <v/>
      </c>
      <c r="AF298" s="457">
        <f>IF($AO298&lt;&gt;"OK",0,IF(AND(DATE('Thiết lập'!$B$4,11,1)&gt;=DATE(YEAR($H298),MONTH($H298),1),DATE('Thiết lập'!$B$4,11,1)&lt;EDATE(DATE(YEAR($H298),MONTH($H298),1),$O298)),MIN($P298,MAX(0,$N298-$U298-SUM($V298:AE298))),0))</f>
        <v/>
      </c>
      <c r="AG298" s="457">
        <f>IF($AO298&lt;&gt;"OK",0,IF(AND(DATE('Thiết lập'!$B$4,12,1)&gt;=DATE(YEAR($H298),MONTH($H298),1),DATE('Thiết lập'!$B$4,12,1)&lt;EDATE(DATE(YEAR($H298),MONTH($H298),1),$O298)),MIN($P298,MAX(0,$N298-$U298-SUM($V298:AF298))),0))</f>
        <v/>
      </c>
      <c r="AH298" s="457">
        <f>IF(B298="","",SUM(V298:AG298))</f>
        <v/>
      </c>
      <c r="AI298" s="457">
        <f>IF(B298="","",MIN(N298,IF(U298="",0,U298)+AH298))</f>
        <v/>
      </c>
      <c r="AJ298" s="457">
        <f>IF(B298="","",MAX(0,L298-AI298))</f>
        <v/>
      </c>
      <c r="AK298" s="337">
        <f>IF(B298="","",IF(H298&gt;'Thiết lập'!$B$5,"Chưa khấu hao",IF(AJ298&lt;=IF(M298="",0,M298),"Đã hết khấu hao","Đang khấu hao")))</f>
        <v/>
      </c>
      <c r="AL298" s="275" t="n"/>
      <c r="AM298" s="275" t="n"/>
      <c r="AN298" s="275" t="n"/>
      <c r="AO298" s="343">
        <f>IF(B298="","",IF(COUNTIF($B$7:$B$306,B298)&gt;1,"Trùng mã TSCĐ",IF(C298="","Thiếu tên TSCĐ",IF(H298="","Thiếu ngày bắt đầu",IF(OR(I298&lt;=0,L298&lt;=0,O298&lt;=0),"Kiểm tra số lượng/nguyên giá/thời gian",IF(AND(G298&lt;&gt;"",H298&lt;G298),"Ngày KH trước ngày ghi tăng",IF(M298&gt;L298,"Giá trị thu hồi vượt nguyên giá",IF(IF(U298="",0,U298)&gt;N298,"Lũy kế đầu năm vượt GTKH","OK"))))))))</f>
        <v/>
      </c>
    </row>
    <row r="299" ht="20" customHeight="1" s="389">
      <c r="A299" s="325">
        <f>IF(B299="","",ROW()-6)</f>
        <v/>
      </c>
      <c r="B299" s="275" t="n"/>
      <c r="C299" s="275" t="n"/>
      <c r="D299" s="331" t="n"/>
      <c r="E299" s="331" t="n"/>
      <c r="F299" s="454" t="n"/>
      <c r="G299" s="454" t="n"/>
      <c r="H299" s="454" t="n"/>
      <c r="I299" s="455" t="n"/>
      <c r="J299" s="456" t="n"/>
      <c r="K299" s="456" t="n"/>
      <c r="L299" s="457">
        <f>IF(B299="","",IF(OR(I299="",J299=""),"",I299*J299+IF(K299="",0,K299)))</f>
        <v/>
      </c>
      <c r="M299" s="456" t="n"/>
      <c r="N299" s="457">
        <f>IF(L299="","",MAX(0,L299-IF(M299="",0,M299)))</f>
        <v/>
      </c>
      <c r="O299" s="455" t="n"/>
      <c r="P299" s="457">
        <f>IF(OR(N299="",O299&lt;=0),"",ROUND(N299/O299,0))</f>
        <v/>
      </c>
      <c r="Q299" s="458">
        <f>IF(OR(H299="",O299&lt;=0),"",EOMONTH(H299,O299-1))</f>
        <v/>
      </c>
      <c r="R299" s="331" t="n"/>
      <c r="S299" s="331" t="n"/>
      <c r="T299" s="331" t="n"/>
      <c r="U299" s="456" t="n"/>
      <c r="V299" s="457">
        <f>IF($AO299&lt;&gt;"OK",0,IF(AND(DATE('Thiết lập'!$B$4,1,1)&gt;=DATE(YEAR($H299),MONTH($H299),1),DATE('Thiết lập'!$B$4,1,1)&lt;EDATE(DATE(YEAR($H299),MONTH($H299),1),$O299)),MIN($P299,MAX(0,$N299-$U299-0)),0))</f>
        <v/>
      </c>
      <c r="W299" s="457">
        <f>IF($AO299&lt;&gt;"OK",0,IF(AND(DATE('Thiết lập'!$B$4,2,1)&gt;=DATE(YEAR($H299),MONTH($H299),1),DATE('Thiết lập'!$B$4,2,1)&lt;EDATE(DATE(YEAR($H299),MONTH($H299),1),$O299)),MIN($P299,MAX(0,$N299-$U299-SUM($V299:V299))),0))</f>
        <v/>
      </c>
      <c r="X299" s="457">
        <f>IF($AO299&lt;&gt;"OK",0,IF(AND(DATE('Thiết lập'!$B$4,3,1)&gt;=DATE(YEAR($H299),MONTH($H299),1),DATE('Thiết lập'!$B$4,3,1)&lt;EDATE(DATE(YEAR($H299),MONTH($H299),1),$O299)),MIN($P299,MAX(0,$N299-$U299-SUM($V299:W299))),0))</f>
        <v/>
      </c>
      <c r="Y299" s="457">
        <f>IF($AO299&lt;&gt;"OK",0,IF(AND(DATE('Thiết lập'!$B$4,4,1)&gt;=DATE(YEAR($H299),MONTH($H299),1),DATE('Thiết lập'!$B$4,4,1)&lt;EDATE(DATE(YEAR($H299),MONTH($H299),1),$O299)),MIN($P299,MAX(0,$N299-$U299-SUM($V299:X299))),0))</f>
        <v/>
      </c>
      <c r="Z299" s="457">
        <f>IF($AO299&lt;&gt;"OK",0,IF(AND(DATE('Thiết lập'!$B$4,5,1)&gt;=DATE(YEAR($H299),MONTH($H299),1),DATE('Thiết lập'!$B$4,5,1)&lt;EDATE(DATE(YEAR($H299),MONTH($H299),1),$O299)),MIN($P299,MAX(0,$N299-$U299-SUM($V299:Y299))),0))</f>
        <v/>
      </c>
      <c r="AA299" s="457">
        <f>IF($AO299&lt;&gt;"OK",0,IF(AND(DATE('Thiết lập'!$B$4,6,1)&gt;=DATE(YEAR($H299),MONTH($H299),1),DATE('Thiết lập'!$B$4,6,1)&lt;EDATE(DATE(YEAR($H299),MONTH($H299),1),$O299)),MIN($P299,MAX(0,$N299-$U299-SUM($V299:Z299))),0))</f>
        <v/>
      </c>
      <c r="AB299" s="457">
        <f>IF($AO299&lt;&gt;"OK",0,IF(AND(DATE('Thiết lập'!$B$4,7,1)&gt;=DATE(YEAR($H299),MONTH($H299),1),DATE('Thiết lập'!$B$4,7,1)&lt;EDATE(DATE(YEAR($H299),MONTH($H299),1),$O299)),MIN($P299,MAX(0,$N299-$U299-SUM($V299:AA299))),0))</f>
        <v/>
      </c>
      <c r="AC299" s="457">
        <f>IF($AO299&lt;&gt;"OK",0,IF(AND(DATE('Thiết lập'!$B$4,8,1)&gt;=DATE(YEAR($H299),MONTH($H299),1),DATE('Thiết lập'!$B$4,8,1)&lt;EDATE(DATE(YEAR($H299),MONTH($H299),1),$O299)),MIN($P299,MAX(0,$N299-$U299-SUM($V299:AB299))),0))</f>
        <v/>
      </c>
      <c r="AD299" s="457">
        <f>IF($AO299&lt;&gt;"OK",0,IF(AND(DATE('Thiết lập'!$B$4,9,1)&gt;=DATE(YEAR($H299),MONTH($H299),1),DATE('Thiết lập'!$B$4,9,1)&lt;EDATE(DATE(YEAR($H299),MONTH($H299),1),$O299)),MIN($P299,MAX(0,$N299-$U299-SUM($V299:AC299))),0))</f>
        <v/>
      </c>
      <c r="AE299" s="457">
        <f>IF($AO299&lt;&gt;"OK",0,IF(AND(DATE('Thiết lập'!$B$4,10,1)&gt;=DATE(YEAR($H299),MONTH($H299),1),DATE('Thiết lập'!$B$4,10,1)&lt;EDATE(DATE(YEAR($H299),MONTH($H299),1),$O299)),MIN($P299,MAX(0,$N299-$U299-SUM($V299:AD299))),0))</f>
        <v/>
      </c>
      <c r="AF299" s="457">
        <f>IF($AO299&lt;&gt;"OK",0,IF(AND(DATE('Thiết lập'!$B$4,11,1)&gt;=DATE(YEAR($H299),MONTH($H299),1),DATE('Thiết lập'!$B$4,11,1)&lt;EDATE(DATE(YEAR($H299),MONTH($H299),1),$O299)),MIN($P299,MAX(0,$N299-$U299-SUM($V299:AE299))),0))</f>
        <v/>
      </c>
      <c r="AG299" s="457">
        <f>IF($AO299&lt;&gt;"OK",0,IF(AND(DATE('Thiết lập'!$B$4,12,1)&gt;=DATE(YEAR($H299),MONTH($H299),1),DATE('Thiết lập'!$B$4,12,1)&lt;EDATE(DATE(YEAR($H299),MONTH($H299),1),$O299)),MIN($P299,MAX(0,$N299-$U299-SUM($V299:AF299))),0))</f>
        <v/>
      </c>
      <c r="AH299" s="457">
        <f>IF(B299="","",SUM(V299:AG299))</f>
        <v/>
      </c>
      <c r="AI299" s="457">
        <f>IF(B299="","",MIN(N299,IF(U299="",0,U299)+AH299))</f>
        <v/>
      </c>
      <c r="AJ299" s="457">
        <f>IF(B299="","",MAX(0,L299-AI299))</f>
        <v/>
      </c>
      <c r="AK299" s="337">
        <f>IF(B299="","",IF(H299&gt;'Thiết lập'!$B$5,"Chưa khấu hao",IF(AJ299&lt;=IF(M299="",0,M299),"Đã hết khấu hao","Đang khấu hao")))</f>
        <v/>
      </c>
      <c r="AL299" s="275" t="n"/>
      <c r="AM299" s="275" t="n"/>
      <c r="AN299" s="275" t="n"/>
      <c r="AO299" s="343">
        <f>IF(B299="","",IF(COUNTIF($B$7:$B$306,B299)&gt;1,"Trùng mã TSCĐ",IF(C299="","Thiếu tên TSCĐ",IF(H299="","Thiếu ngày bắt đầu",IF(OR(I299&lt;=0,L299&lt;=0,O299&lt;=0),"Kiểm tra số lượng/nguyên giá/thời gian",IF(AND(G299&lt;&gt;"",H299&lt;G299),"Ngày KH trước ngày ghi tăng",IF(M299&gt;L299,"Giá trị thu hồi vượt nguyên giá",IF(IF(U299="",0,U299)&gt;N299,"Lũy kế đầu năm vượt GTKH","OK"))))))))</f>
        <v/>
      </c>
    </row>
    <row r="300" ht="20" customHeight="1" s="389">
      <c r="A300" s="325">
        <f>IF(B300="","",ROW()-6)</f>
        <v/>
      </c>
      <c r="B300" s="275" t="n"/>
      <c r="C300" s="275" t="n"/>
      <c r="D300" s="331" t="n"/>
      <c r="E300" s="331" t="n"/>
      <c r="F300" s="454" t="n"/>
      <c r="G300" s="454" t="n"/>
      <c r="H300" s="454" t="n"/>
      <c r="I300" s="455" t="n"/>
      <c r="J300" s="456" t="n"/>
      <c r="K300" s="456" t="n"/>
      <c r="L300" s="457">
        <f>IF(B300="","",IF(OR(I300="",J300=""),"",I300*J300+IF(K300="",0,K300)))</f>
        <v/>
      </c>
      <c r="M300" s="456" t="n"/>
      <c r="N300" s="457">
        <f>IF(L300="","",MAX(0,L300-IF(M300="",0,M300)))</f>
        <v/>
      </c>
      <c r="O300" s="455" t="n"/>
      <c r="P300" s="457">
        <f>IF(OR(N300="",O300&lt;=0),"",ROUND(N300/O300,0))</f>
        <v/>
      </c>
      <c r="Q300" s="458">
        <f>IF(OR(H300="",O300&lt;=0),"",EOMONTH(H300,O300-1))</f>
        <v/>
      </c>
      <c r="R300" s="331" t="n"/>
      <c r="S300" s="331" t="n"/>
      <c r="T300" s="331" t="n"/>
      <c r="U300" s="456" t="n"/>
      <c r="V300" s="457">
        <f>IF($AO300&lt;&gt;"OK",0,IF(AND(DATE('Thiết lập'!$B$4,1,1)&gt;=DATE(YEAR($H300),MONTH($H300),1),DATE('Thiết lập'!$B$4,1,1)&lt;EDATE(DATE(YEAR($H300),MONTH($H300),1),$O300)),MIN($P300,MAX(0,$N300-$U300-0)),0))</f>
        <v/>
      </c>
      <c r="W300" s="457">
        <f>IF($AO300&lt;&gt;"OK",0,IF(AND(DATE('Thiết lập'!$B$4,2,1)&gt;=DATE(YEAR($H300),MONTH($H300),1),DATE('Thiết lập'!$B$4,2,1)&lt;EDATE(DATE(YEAR($H300),MONTH($H300),1),$O300)),MIN($P300,MAX(0,$N300-$U300-SUM($V300:V300))),0))</f>
        <v/>
      </c>
      <c r="X300" s="457">
        <f>IF($AO300&lt;&gt;"OK",0,IF(AND(DATE('Thiết lập'!$B$4,3,1)&gt;=DATE(YEAR($H300),MONTH($H300),1),DATE('Thiết lập'!$B$4,3,1)&lt;EDATE(DATE(YEAR($H300),MONTH($H300),1),$O300)),MIN($P300,MAX(0,$N300-$U300-SUM($V300:W300))),0))</f>
        <v/>
      </c>
      <c r="Y300" s="457">
        <f>IF($AO300&lt;&gt;"OK",0,IF(AND(DATE('Thiết lập'!$B$4,4,1)&gt;=DATE(YEAR($H300),MONTH($H300),1),DATE('Thiết lập'!$B$4,4,1)&lt;EDATE(DATE(YEAR($H300),MONTH($H300),1),$O300)),MIN($P300,MAX(0,$N300-$U300-SUM($V300:X300))),0))</f>
        <v/>
      </c>
      <c r="Z300" s="457">
        <f>IF($AO300&lt;&gt;"OK",0,IF(AND(DATE('Thiết lập'!$B$4,5,1)&gt;=DATE(YEAR($H300),MONTH($H300),1),DATE('Thiết lập'!$B$4,5,1)&lt;EDATE(DATE(YEAR($H300),MONTH($H300),1),$O300)),MIN($P300,MAX(0,$N300-$U300-SUM($V300:Y300))),0))</f>
        <v/>
      </c>
      <c r="AA300" s="457">
        <f>IF($AO300&lt;&gt;"OK",0,IF(AND(DATE('Thiết lập'!$B$4,6,1)&gt;=DATE(YEAR($H300),MONTH($H300),1),DATE('Thiết lập'!$B$4,6,1)&lt;EDATE(DATE(YEAR($H300),MONTH($H300),1),$O300)),MIN($P300,MAX(0,$N300-$U300-SUM($V300:Z300))),0))</f>
        <v/>
      </c>
      <c r="AB300" s="457">
        <f>IF($AO300&lt;&gt;"OK",0,IF(AND(DATE('Thiết lập'!$B$4,7,1)&gt;=DATE(YEAR($H300),MONTH($H300),1),DATE('Thiết lập'!$B$4,7,1)&lt;EDATE(DATE(YEAR($H300),MONTH($H300),1),$O300)),MIN($P300,MAX(0,$N300-$U300-SUM($V300:AA300))),0))</f>
        <v/>
      </c>
      <c r="AC300" s="457">
        <f>IF($AO300&lt;&gt;"OK",0,IF(AND(DATE('Thiết lập'!$B$4,8,1)&gt;=DATE(YEAR($H300),MONTH($H300),1),DATE('Thiết lập'!$B$4,8,1)&lt;EDATE(DATE(YEAR($H300),MONTH($H300),1),$O300)),MIN($P300,MAX(0,$N300-$U300-SUM($V300:AB300))),0))</f>
        <v/>
      </c>
      <c r="AD300" s="457">
        <f>IF($AO300&lt;&gt;"OK",0,IF(AND(DATE('Thiết lập'!$B$4,9,1)&gt;=DATE(YEAR($H300),MONTH($H300),1),DATE('Thiết lập'!$B$4,9,1)&lt;EDATE(DATE(YEAR($H300),MONTH($H300),1),$O300)),MIN($P300,MAX(0,$N300-$U300-SUM($V300:AC300))),0))</f>
        <v/>
      </c>
      <c r="AE300" s="457">
        <f>IF($AO300&lt;&gt;"OK",0,IF(AND(DATE('Thiết lập'!$B$4,10,1)&gt;=DATE(YEAR($H300),MONTH($H300),1),DATE('Thiết lập'!$B$4,10,1)&lt;EDATE(DATE(YEAR($H300),MONTH($H300),1),$O300)),MIN($P300,MAX(0,$N300-$U300-SUM($V300:AD300))),0))</f>
        <v/>
      </c>
      <c r="AF300" s="457">
        <f>IF($AO300&lt;&gt;"OK",0,IF(AND(DATE('Thiết lập'!$B$4,11,1)&gt;=DATE(YEAR($H300),MONTH($H300),1),DATE('Thiết lập'!$B$4,11,1)&lt;EDATE(DATE(YEAR($H300),MONTH($H300),1),$O300)),MIN($P300,MAX(0,$N300-$U300-SUM($V300:AE300))),0))</f>
        <v/>
      </c>
      <c r="AG300" s="457">
        <f>IF($AO300&lt;&gt;"OK",0,IF(AND(DATE('Thiết lập'!$B$4,12,1)&gt;=DATE(YEAR($H300),MONTH($H300),1),DATE('Thiết lập'!$B$4,12,1)&lt;EDATE(DATE(YEAR($H300),MONTH($H300),1),$O300)),MIN($P300,MAX(0,$N300-$U300-SUM($V300:AF300))),0))</f>
        <v/>
      </c>
      <c r="AH300" s="457">
        <f>IF(B300="","",SUM(V300:AG300))</f>
        <v/>
      </c>
      <c r="AI300" s="457">
        <f>IF(B300="","",MIN(N300,IF(U300="",0,U300)+AH300))</f>
        <v/>
      </c>
      <c r="AJ300" s="457">
        <f>IF(B300="","",MAX(0,L300-AI300))</f>
        <v/>
      </c>
      <c r="AK300" s="337">
        <f>IF(B300="","",IF(H300&gt;'Thiết lập'!$B$5,"Chưa khấu hao",IF(AJ300&lt;=IF(M300="",0,M300),"Đã hết khấu hao","Đang khấu hao")))</f>
        <v/>
      </c>
      <c r="AL300" s="275" t="n"/>
      <c r="AM300" s="275" t="n"/>
      <c r="AN300" s="275" t="n"/>
      <c r="AO300" s="343">
        <f>IF(B300="","",IF(COUNTIF($B$7:$B$306,B300)&gt;1,"Trùng mã TSCĐ",IF(C300="","Thiếu tên TSCĐ",IF(H300="","Thiếu ngày bắt đầu",IF(OR(I300&lt;=0,L300&lt;=0,O300&lt;=0),"Kiểm tra số lượng/nguyên giá/thời gian",IF(AND(G300&lt;&gt;"",H300&lt;G300),"Ngày KH trước ngày ghi tăng",IF(M300&gt;L300,"Giá trị thu hồi vượt nguyên giá",IF(IF(U300="",0,U300)&gt;N300,"Lũy kế đầu năm vượt GTKH","OK"))))))))</f>
        <v/>
      </c>
    </row>
    <row r="301" ht="20" customHeight="1" s="389">
      <c r="A301" s="325">
        <f>IF(B301="","",ROW()-6)</f>
        <v/>
      </c>
      <c r="B301" s="275" t="n"/>
      <c r="C301" s="275" t="n"/>
      <c r="D301" s="331" t="n"/>
      <c r="E301" s="331" t="n"/>
      <c r="F301" s="454" t="n"/>
      <c r="G301" s="454" t="n"/>
      <c r="H301" s="454" t="n"/>
      <c r="I301" s="455" t="n"/>
      <c r="J301" s="456" t="n"/>
      <c r="K301" s="456" t="n"/>
      <c r="L301" s="457">
        <f>IF(B301="","",IF(OR(I301="",J301=""),"",I301*J301+IF(K301="",0,K301)))</f>
        <v/>
      </c>
      <c r="M301" s="456" t="n"/>
      <c r="N301" s="457">
        <f>IF(L301="","",MAX(0,L301-IF(M301="",0,M301)))</f>
        <v/>
      </c>
      <c r="O301" s="455" t="n"/>
      <c r="P301" s="457">
        <f>IF(OR(N301="",O301&lt;=0),"",ROUND(N301/O301,0))</f>
        <v/>
      </c>
      <c r="Q301" s="458">
        <f>IF(OR(H301="",O301&lt;=0),"",EOMONTH(H301,O301-1))</f>
        <v/>
      </c>
      <c r="R301" s="331" t="n"/>
      <c r="S301" s="331" t="n"/>
      <c r="T301" s="331" t="n"/>
      <c r="U301" s="456" t="n"/>
      <c r="V301" s="457">
        <f>IF($AO301&lt;&gt;"OK",0,IF(AND(DATE('Thiết lập'!$B$4,1,1)&gt;=DATE(YEAR($H301),MONTH($H301),1),DATE('Thiết lập'!$B$4,1,1)&lt;EDATE(DATE(YEAR($H301),MONTH($H301),1),$O301)),MIN($P301,MAX(0,$N301-$U301-0)),0))</f>
        <v/>
      </c>
      <c r="W301" s="457">
        <f>IF($AO301&lt;&gt;"OK",0,IF(AND(DATE('Thiết lập'!$B$4,2,1)&gt;=DATE(YEAR($H301),MONTH($H301),1),DATE('Thiết lập'!$B$4,2,1)&lt;EDATE(DATE(YEAR($H301),MONTH($H301),1),$O301)),MIN($P301,MAX(0,$N301-$U301-SUM($V301:V301))),0))</f>
        <v/>
      </c>
      <c r="X301" s="457">
        <f>IF($AO301&lt;&gt;"OK",0,IF(AND(DATE('Thiết lập'!$B$4,3,1)&gt;=DATE(YEAR($H301),MONTH($H301),1),DATE('Thiết lập'!$B$4,3,1)&lt;EDATE(DATE(YEAR($H301),MONTH($H301),1),$O301)),MIN($P301,MAX(0,$N301-$U301-SUM($V301:W301))),0))</f>
        <v/>
      </c>
      <c r="Y301" s="457">
        <f>IF($AO301&lt;&gt;"OK",0,IF(AND(DATE('Thiết lập'!$B$4,4,1)&gt;=DATE(YEAR($H301),MONTH($H301),1),DATE('Thiết lập'!$B$4,4,1)&lt;EDATE(DATE(YEAR($H301),MONTH($H301),1),$O301)),MIN($P301,MAX(0,$N301-$U301-SUM($V301:X301))),0))</f>
        <v/>
      </c>
      <c r="Z301" s="457">
        <f>IF($AO301&lt;&gt;"OK",0,IF(AND(DATE('Thiết lập'!$B$4,5,1)&gt;=DATE(YEAR($H301),MONTH($H301),1),DATE('Thiết lập'!$B$4,5,1)&lt;EDATE(DATE(YEAR($H301),MONTH($H301),1),$O301)),MIN($P301,MAX(0,$N301-$U301-SUM($V301:Y301))),0))</f>
        <v/>
      </c>
      <c r="AA301" s="457">
        <f>IF($AO301&lt;&gt;"OK",0,IF(AND(DATE('Thiết lập'!$B$4,6,1)&gt;=DATE(YEAR($H301),MONTH($H301),1),DATE('Thiết lập'!$B$4,6,1)&lt;EDATE(DATE(YEAR($H301),MONTH($H301),1),$O301)),MIN($P301,MAX(0,$N301-$U301-SUM($V301:Z301))),0))</f>
        <v/>
      </c>
      <c r="AB301" s="457">
        <f>IF($AO301&lt;&gt;"OK",0,IF(AND(DATE('Thiết lập'!$B$4,7,1)&gt;=DATE(YEAR($H301),MONTH($H301),1),DATE('Thiết lập'!$B$4,7,1)&lt;EDATE(DATE(YEAR($H301),MONTH($H301),1),$O301)),MIN($P301,MAX(0,$N301-$U301-SUM($V301:AA301))),0))</f>
        <v/>
      </c>
      <c r="AC301" s="457">
        <f>IF($AO301&lt;&gt;"OK",0,IF(AND(DATE('Thiết lập'!$B$4,8,1)&gt;=DATE(YEAR($H301),MONTH($H301),1),DATE('Thiết lập'!$B$4,8,1)&lt;EDATE(DATE(YEAR($H301),MONTH($H301),1),$O301)),MIN($P301,MAX(0,$N301-$U301-SUM($V301:AB301))),0))</f>
        <v/>
      </c>
      <c r="AD301" s="457">
        <f>IF($AO301&lt;&gt;"OK",0,IF(AND(DATE('Thiết lập'!$B$4,9,1)&gt;=DATE(YEAR($H301),MONTH($H301),1),DATE('Thiết lập'!$B$4,9,1)&lt;EDATE(DATE(YEAR($H301),MONTH($H301),1),$O301)),MIN($P301,MAX(0,$N301-$U301-SUM($V301:AC301))),0))</f>
        <v/>
      </c>
      <c r="AE301" s="457">
        <f>IF($AO301&lt;&gt;"OK",0,IF(AND(DATE('Thiết lập'!$B$4,10,1)&gt;=DATE(YEAR($H301),MONTH($H301),1),DATE('Thiết lập'!$B$4,10,1)&lt;EDATE(DATE(YEAR($H301),MONTH($H301),1),$O301)),MIN($P301,MAX(0,$N301-$U301-SUM($V301:AD301))),0))</f>
        <v/>
      </c>
      <c r="AF301" s="457">
        <f>IF($AO301&lt;&gt;"OK",0,IF(AND(DATE('Thiết lập'!$B$4,11,1)&gt;=DATE(YEAR($H301),MONTH($H301),1),DATE('Thiết lập'!$B$4,11,1)&lt;EDATE(DATE(YEAR($H301),MONTH($H301),1),$O301)),MIN($P301,MAX(0,$N301-$U301-SUM($V301:AE301))),0))</f>
        <v/>
      </c>
      <c r="AG301" s="457">
        <f>IF($AO301&lt;&gt;"OK",0,IF(AND(DATE('Thiết lập'!$B$4,12,1)&gt;=DATE(YEAR($H301),MONTH($H301),1),DATE('Thiết lập'!$B$4,12,1)&lt;EDATE(DATE(YEAR($H301),MONTH($H301),1),$O301)),MIN($P301,MAX(0,$N301-$U301-SUM($V301:AF301))),0))</f>
        <v/>
      </c>
      <c r="AH301" s="457">
        <f>IF(B301="","",SUM(V301:AG301))</f>
        <v/>
      </c>
      <c r="AI301" s="457">
        <f>IF(B301="","",MIN(N301,IF(U301="",0,U301)+AH301))</f>
        <v/>
      </c>
      <c r="AJ301" s="457">
        <f>IF(B301="","",MAX(0,L301-AI301))</f>
        <v/>
      </c>
      <c r="AK301" s="337">
        <f>IF(B301="","",IF(H301&gt;'Thiết lập'!$B$5,"Chưa khấu hao",IF(AJ301&lt;=IF(M301="",0,M301),"Đã hết khấu hao","Đang khấu hao")))</f>
        <v/>
      </c>
      <c r="AL301" s="275" t="n"/>
      <c r="AM301" s="275" t="n"/>
      <c r="AN301" s="275" t="n"/>
      <c r="AO301" s="343">
        <f>IF(B301="","",IF(COUNTIF($B$7:$B$306,B301)&gt;1,"Trùng mã TSCĐ",IF(C301="","Thiếu tên TSCĐ",IF(H301="","Thiếu ngày bắt đầu",IF(OR(I301&lt;=0,L301&lt;=0,O301&lt;=0),"Kiểm tra số lượng/nguyên giá/thời gian",IF(AND(G301&lt;&gt;"",H301&lt;G301),"Ngày KH trước ngày ghi tăng",IF(M301&gt;L301,"Giá trị thu hồi vượt nguyên giá",IF(IF(U301="",0,U301)&gt;N301,"Lũy kế đầu năm vượt GTKH","OK"))))))))</f>
        <v/>
      </c>
    </row>
    <row r="302" ht="20" customHeight="1" s="389">
      <c r="A302" s="325">
        <f>IF(B302="","",ROW()-6)</f>
        <v/>
      </c>
      <c r="B302" s="275" t="n"/>
      <c r="C302" s="275" t="n"/>
      <c r="D302" s="331" t="n"/>
      <c r="E302" s="331" t="n"/>
      <c r="F302" s="454" t="n"/>
      <c r="G302" s="454" t="n"/>
      <c r="H302" s="454" t="n"/>
      <c r="I302" s="455" t="n"/>
      <c r="J302" s="456" t="n"/>
      <c r="K302" s="456" t="n"/>
      <c r="L302" s="457">
        <f>IF(B302="","",IF(OR(I302="",J302=""),"",I302*J302+IF(K302="",0,K302)))</f>
        <v/>
      </c>
      <c r="M302" s="456" t="n"/>
      <c r="N302" s="457">
        <f>IF(L302="","",MAX(0,L302-IF(M302="",0,M302)))</f>
        <v/>
      </c>
      <c r="O302" s="455" t="n"/>
      <c r="P302" s="457">
        <f>IF(OR(N302="",O302&lt;=0),"",ROUND(N302/O302,0))</f>
        <v/>
      </c>
      <c r="Q302" s="458">
        <f>IF(OR(H302="",O302&lt;=0),"",EOMONTH(H302,O302-1))</f>
        <v/>
      </c>
      <c r="R302" s="331" t="n"/>
      <c r="S302" s="331" t="n"/>
      <c r="T302" s="331" t="n"/>
      <c r="U302" s="456" t="n"/>
      <c r="V302" s="457">
        <f>IF($AO302&lt;&gt;"OK",0,IF(AND(DATE('Thiết lập'!$B$4,1,1)&gt;=DATE(YEAR($H302),MONTH($H302),1),DATE('Thiết lập'!$B$4,1,1)&lt;EDATE(DATE(YEAR($H302),MONTH($H302),1),$O302)),MIN($P302,MAX(0,$N302-$U302-0)),0))</f>
        <v/>
      </c>
      <c r="W302" s="457">
        <f>IF($AO302&lt;&gt;"OK",0,IF(AND(DATE('Thiết lập'!$B$4,2,1)&gt;=DATE(YEAR($H302),MONTH($H302),1),DATE('Thiết lập'!$B$4,2,1)&lt;EDATE(DATE(YEAR($H302),MONTH($H302),1),$O302)),MIN($P302,MAX(0,$N302-$U302-SUM($V302:V302))),0))</f>
        <v/>
      </c>
      <c r="X302" s="457">
        <f>IF($AO302&lt;&gt;"OK",0,IF(AND(DATE('Thiết lập'!$B$4,3,1)&gt;=DATE(YEAR($H302),MONTH($H302),1),DATE('Thiết lập'!$B$4,3,1)&lt;EDATE(DATE(YEAR($H302),MONTH($H302),1),$O302)),MIN($P302,MAX(0,$N302-$U302-SUM($V302:W302))),0))</f>
        <v/>
      </c>
      <c r="Y302" s="457">
        <f>IF($AO302&lt;&gt;"OK",0,IF(AND(DATE('Thiết lập'!$B$4,4,1)&gt;=DATE(YEAR($H302),MONTH($H302),1),DATE('Thiết lập'!$B$4,4,1)&lt;EDATE(DATE(YEAR($H302),MONTH($H302),1),$O302)),MIN($P302,MAX(0,$N302-$U302-SUM($V302:X302))),0))</f>
        <v/>
      </c>
      <c r="Z302" s="457">
        <f>IF($AO302&lt;&gt;"OK",0,IF(AND(DATE('Thiết lập'!$B$4,5,1)&gt;=DATE(YEAR($H302),MONTH($H302),1),DATE('Thiết lập'!$B$4,5,1)&lt;EDATE(DATE(YEAR($H302),MONTH($H302),1),$O302)),MIN($P302,MAX(0,$N302-$U302-SUM($V302:Y302))),0))</f>
        <v/>
      </c>
      <c r="AA302" s="457">
        <f>IF($AO302&lt;&gt;"OK",0,IF(AND(DATE('Thiết lập'!$B$4,6,1)&gt;=DATE(YEAR($H302),MONTH($H302),1),DATE('Thiết lập'!$B$4,6,1)&lt;EDATE(DATE(YEAR($H302),MONTH($H302),1),$O302)),MIN($P302,MAX(0,$N302-$U302-SUM($V302:Z302))),0))</f>
        <v/>
      </c>
      <c r="AB302" s="457">
        <f>IF($AO302&lt;&gt;"OK",0,IF(AND(DATE('Thiết lập'!$B$4,7,1)&gt;=DATE(YEAR($H302),MONTH($H302),1),DATE('Thiết lập'!$B$4,7,1)&lt;EDATE(DATE(YEAR($H302),MONTH($H302),1),$O302)),MIN($P302,MAX(0,$N302-$U302-SUM($V302:AA302))),0))</f>
        <v/>
      </c>
      <c r="AC302" s="457">
        <f>IF($AO302&lt;&gt;"OK",0,IF(AND(DATE('Thiết lập'!$B$4,8,1)&gt;=DATE(YEAR($H302),MONTH($H302),1),DATE('Thiết lập'!$B$4,8,1)&lt;EDATE(DATE(YEAR($H302),MONTH($H302),1),$O302)),MIN($P302,MAX(0,$N302-$U302-SUM($V302:AB302))),0))</f>
        <v/>
      </c>
      <c r="AD302" s="457">
        <f>IF($AO302&lt;&gt;"OK",0,IF(AND(DATE('Thiết lập'!$B$4,9,1)&gt;=DATE(YEAR($H302),MONTH($H302),1),DATE('Thiết lập'!$B$4,9,1)&lt;EDATE(DATE(YEAR($H302),MONTH($H302),1),$O302)),MIN($P302,MAX(0,$N302-$U302-SUM($V302:AC302))),0))</f>
        <v/>
      </c>
      <c r="AE302" s="457">
        <f>IF($AO302&lt;&gt;"OK",0,IF(AND(DATE('Thiết lập'!$B$4,10,1)&gt;=DATE(YEAR($H302),MONTH($H302),1),DATE('Thiết lập'!$B$4,10,1)&lt;EDATE(DATE(YEAR($H302),MONTH($H302),1),$O302)),MIN($P302,MAX(0,$N302-$U302-SUM($V302:AD302))),0))</f>
        <v/>
      </c>
      <c r="AF302" s="457">
        <f>IF($AO302&lt;&gt;"OK",0,IF(AND(DATE('Thiết lập'!$B$4,11,1)&gt;=DATE(YEAR($H302),MONTH($H302),1),DATE('Thiết lập'!$B$4,11,1)&lt;EDATE(DATE(YEAR($H302),MONTH($H302),1),$O302)),MIN($P302,MAX(0,$N302-$U302-SUM($V302:AE302))),0))</f>
        <v/>
      </c>
      <c r="AG302" s="457">
        <f>IF($AO302&lt;&gt;"OK",0,IF(AND(DATE('Thiết lập'!$B$4,12,1)&gt;=DATE(YEAR($H302),MONTH($H302),1),DATE('Thiết lập'!$B$4,12,1)&lt;EDATE(DATE(YEAR($H302),MONTH($H302),1),$O302)),MIN($P302,MAX(0,$N302-$U302-SUM($V302:AF302))),0))</f>
        <v/>
      </c>
      <c r="AH302" s="457">
        <f>IF(B302="","",SUM(V302:AG302))</f>
        <v/>
      </c>
      <c r="AI302" s="457">
        <f>IF(B302="","",MIN(N302,IF(U302="",0,U302)+AH302))</f>
        <v/>
      </c>
      <c r="AJ302" s="457">
        <f>IF(B302="","",MAX(0,L302-AI302))</f>
        <v/>
      </c>
      <c r="AK302" s="337">
        <f>IF(B302="","",IF(H302&gt;'Thiết lập'!$B$5,"Chưa khấu hao",IF(AJ302&lt;=IF(M302="",0,M302),"Đã hết khấu hao","Đang khấu hao")))</f>
        <v/>
      </c>
      <c r="AL302" s="275" t="n"/>
      <c r="AM302" s="275" t="n"/>
      <c r="AN302" s="275" t="n"/>
      <c r="AO302" s="343">
        <f>IF(B302="","",IF(COUNTIF($B$7:$B$306,B302)&gt;1,"Trùng mã TSCĐ",IF(C302="","Thiếu tên TSCĐ",IF(H302="","Thiếu ngày bắt đầu",IF(OR(I302&lt;=0,L302&lt;=0,O302&lt;=0),"Kiểm tra số lượng/nguyên giá/thời gian",IF(AND(G302&lt;&gt;"",H302&lt;G302),"Ngày KH trước ngày ghi tăng",IF(M302&gt;L302,"Giá trị thu hồi vượt nguyên giá",IF(IF(U302="",0,U302)&gt;N302,"Lũy kế đầu năm vượt GTKH","OK"))))))))</f>
        <v/>
      </c>
    </row>
    <row r="303" ht="20" customHeight="1" s="389">
      <c r="A303" s="325">
        <f>IF(B303="","",ROW()-6)</f>
        <v/>
      </c>
      <c r="B303" s="275" t="n"/>
      <c r="C303" s="275" t="n"/>
      <c r="D303" s="331" t="n"/>
      <c r="E303" s="331" t="n"/>
      <c r="F303" s="454" t="n"/>
      <c r="G303" s="454" t="n"/>
      <c r="H303" s="454" t="n"/>
      <c r="I303" s="455" t="n"/>
      <c r="J303" s="456" t="n"/>
      <c r="K303" s="456" t="n"/>
      <c r="L303" s="457">
        <f>IF(B303="","",IF(OR(I303="",J303=""),"",I303*J303+IF(K303="",0,K303)))</f>
        <v/>
      </c>
      <c r="M303" s="456" t="n"/>
      <c r="N303" s="457">
        <f>IF(L303="","",MAX(0,L303-IF(M303="",0,M303)))</f>
        <v/>
      </c>
      <c r="O303" s="455" t="n"/>
      <c r="P303" s="457">
        <f>IF(OR(N303="",O303&lt;=0),"",ROUND(N303/O303,0))</f>
        <v/>
      </c>
      <c r="Q303" s="458">
        <f>IF(OR(H303="",O303&lt;=0),"",EOMONTH(H303,O303-1))</f>
        <v/>
      </c>
      <c r="R303" s="331" t="n"/>
      <c r="S303" s="331" t="n"/>
      <c r="T303" s="331" t="n"/>
      <c r="U303" s="456" t="n"/>
      <c r="V303" s="457">
        <f>IF($AO303&lt;&gt;"OK",0,IF(AND(DATE('Thiết lập'!$B$4,1,1)&gt;=DATE(YEAR($H303),MONTH($H303),1),DATE('Thiết lập'!$B$4,1,1)&lt;EDATE(DATE(YEAR($H303),MONTH($H303),1),$O303)),MIN($P303,MAX(0,$N303-$U303-0)),0))</f>
        <v/>
      </c>
      <c r="W303" s="457">
        <f>IF($AO303&lt;&gt;"OK",0,IF(AND(DATE('Thiết lập'!$B$4,2,1)&gt;=DATE(YEAR($H303),MONTH($H303),1),DATE('Thiết lập'!$B$4,2,1)&lt;EDATE(DATE(YEAR($H303),MONTH($H303),1),$O303)),MIN($P303,MAX(0,$N303-$U303-SUM($V303:V303))),0))</f>
        <v/>
      </c>
      <c r="X303" s="457">
        <f>IF($AO303&lt;&gt;"OK",0,IF(AND(DATE('Thiết lập'!$B$4,3,1)&gt;=DATE(YEAR($H303),MONTH($H303),1),DATE('Thiết lập'!$B$4,3,1)&lt;EDATE(DATE(YEAR($H303),MONTH($H303),1),$O303)),MIN($P303,MAX(0,$N303-$U303-SUM($V303:W303))),0))</f>
        <v/>
      </c>
      <c r="Y303" s="457">
        <f>IF($AO303&lt;&gt;"OK",0,IF(AND(DATE('Thiết lập'!$B$4,4,1)&gt;=DATE(YEAR($H303),MONTH($H303),1),DATE('Thiết lập'!$B$4,4,1)&lt;EDATE(DATE(YEAR($H303),MONTH($H303),1),$O303)),MIN($P303,MAX(0,$N303-$U303-SUM($V303:X303))),0))</f>
        <v/>
      </c>
      <c r="Z303" s="457">
        <f>IF($AO303&lt;&gt;"OK",0,IF(AND(DATE('Thiết lập'!$B$4,5,1)&gt;=DATE(YEAR($H303),MONTH($H303),1),DATE('Thiết lập'!$B$4,5,1)&lt;EDATE(DATE(YEAR($H303),MONTH($H303),1),$O303)),MIN($P303,MAX(0,$N303-$U303-SUM($V303:Y303))),0))</f>
        <v/>
      </c>
      <c r="AA303" s="457">
        <f>IF($AO303&lt;&gt;"OK",0,IF(AND(DATE('Thiết lập'!$B$4,6,1)&gt;=DATE(YEAR($H303),MONTH($H303),1),DATE('Thiết lập'!$B$4,6,1)&lt;EDATE(DATE(YEAR($H303),MONTH($H303),1),$O303)),MIN($P303,MAX(0,$N303-$U303-SUM($V303:Z303))),0))</f>
        <v/>
      </c>
      <c r="AB303" s="457">
        <f>IF($AO303&lt;&gt;"OK",0,IF(AND(DATE('Thiết lập'!$B$4,7,1)&gt;=DATE(YEAR($H303),MONTH($H303),1),DATE('Thiết lập'!$B$4,7,1)&lt;EDATE(DATE(YEAR($H303),MONTH($H303),1),$O303)),MIN($P303,MAX(0,$N303-$U303-SUM($V303:AA303))),0))</f>
        <v/>
      </c>
      <c r="AC303" s="457">
        <f>IF($AO303&lt;&gt;"OK",0,IF(AND(DATE('Thiết lập'!$B$4,8,1)&gt;=DATE(YEAR($H303),MONTH($H303),1),DATE('Thiết lập'!$B$4,8,1)&lt;EDATE(DATE(YEAR($H303),MONTH($H303),1),$O303)),MIN($P303,MAX(0,$N303-$U303-SUM($V303:AB303))),0))</f>
        <v/>
      </c>
      <c r="AD303" s="457">
        <f>IF($AO303&lt;&gt;"OK",0,IF(AND(DATE('Thiết lập'!$B$4,9,1)&gt;=DATE(YEAR($H303),MONTH($H303),1),DATE('Thiết lập'!$B$4,9,1)&lt;EDATE(DATE(YEAR($H303),MONTH($H303),1),$O303)),MIN($P303,MAX(0,$N303-$U303-SUM($V303:AC303))),0))</f>
        <v/>
      </c>
      <c r="AE303" s="457">
        <f>IF($AO303&lt;&gt;"OK",0,IF(AND(DATE('Thiết lập'!$B$4,10,1)&gt;=DATE(YEAR($H303),MONTH($H303),1),DATE('Thiết lập'!$B$4,10,1)&lt;EDATE(DATE(YEAR($H303),MONTH($H303),1),$O303)),MIN($P303,MAX(0,$N303-$U303-SUM($V303:AD303))),0))</f>
        <v/>
      </c>
      <c r="AF303" s="457">
        <f>IF($AO303&lt;&gt;"OK",0,IF(AND(DATE('Thiết lập'!$B$4,11,1)&gt;=DATE(YEAR($H303),MONTH($H303),1),DATE('Thiết lập'!$B$4,11,1)&lt;EDATE(DATE(YEAR($H303),MONTH($H303),1),$O303)),MIN($P303,MAX(0,$N303-$U303-SUM($V303:AE303))),0))</f>
        <v/>
      </c>
      <c r="AG303" s="457">
        <f>IF($AO303&lt;&gt;"OK",0,IF(AND(DATE('Thiết lập'!$B$4,12,1)&gt;=DATE(YEAR($H303),MONTH($H303),1),DATE('Thiết lập'!$B$4,12,1)&lt;EDATE(DATE(YEAR($H303),MONTH($H303),1),$O303)),MIN($P303,MAX(0,$N303-$U303-SUM($V303:AF303))),0))</f>
        <v/>
      </c>
      <c r="AH303" s="457">
        <f>IF(B303="","",SUM(V303:AG303))</f>
        <v/>
      </c>
      <c r="AI303" s="457">
        <f>IF(B303="","",MIN(N303,IF(U303="",0,U303)+AH303))</f>
        <v/>
      </c>
      <c r="AJ303" s="457">
        <f>IF(B303="","",MAX(0,L303-AI303))</f>
        <v/>
      </c>
      <c r="AK303" s="337">
        <f>IF(B303="","",IF(H303&gt;'Thiết lập'!$B$5,"Chưa khấu hao",IF(AJ303&lt;=IF(M303="",0,M303),"Đã hết khấu hao","Đang khấu hao")))</f>
        <v/>
      </c>
      <c r="AL303" s="275" t="n"/>
      <c r="AM303" s="275" t="n"/>
      <c r="AN303" s="275" t="n"/>
      <c r="AO303" s="343">
        <f>IF(B303="","",IF(COUNTIF($B$7:$B$306,B303)&gt;1,"Trùng mã TSCĐ",IF(C303="","Thiếu tên TSCĐ",IF(H303="","Thiếu ngày bắt đầu",IF(OR(I303&lt;=0,L303&lt;=0,O303&lt;=0),"Kiểm tra số lượng/nguyên giá/thời gian",IF(AND(G303&lt;&gt;"",H303&lt;G303),"Ngày KH trước ngày ghi tăng",IF(M303&gt;L303,"Giá trị thu hồi vượt nguyên giá",IF(IF(U303="",0,U303)&gt;N303,"Lũy kế đầu năm vượt GTKH","OK"))))))))</f>
        <v/>
      </c>
    </row>
    <row r="304" ht="20" customHeight="1" s="389">
      <c r="A304" s="325">
        <f>IF(B304="","",ROW()-6)</f>
        <v/>
      </c>
      <c r="B304" s="275" t="n"/>
      <c r="C304" s="275" t="n"/>
      <c r="D304" s="331" t="n"/>
      <c r="E304" s="331" t="n"/>
      <c r="F304" s="454" t="n"/>
      <c r="G304" s="454" t="n"/>
      <c r="H304" s="454" t="n"/>
      <c r="I304" s="455" t="n"/>
      <c r="J304" s="456" t="n"/>
      <c r="K304" s="456" t="n"/>
      <c r="L304" s="457">
        <f>IF(B304="","",IF(OR(I304="",J304=""),"",I304*J304+IF(K304="",0,K304)))</f>
        <v/>
      </c>
      <c r="M304" s="456" t="n"/>
      <c r="N304" s="457">
        <f>IF(L304="","",MAX(0,L304-IF(M304="",0,M304)))</f>
        <v/>
      </c>
      <c r="O304" s="455" t="n"/>
      <c r="P304" s="457">
        <f>IF(OR(N304="",O304&lt;=0),"",ROUND(N304/O304,0))</f>
        <v/>
      </c>
      <c r="Q304" s="458">
        <f>IF(OR(H304="",O304&lt;=0),"",EOMONTH(H304,O304-1))</f>
        <v/>
      </c>
      <c r="R304" s="331" t="n"/>
      <c r="S304" s="331" t="n"/>
      <c r="T304" s="331" t="n"/>
      <c r="U304" s="456" t="n"/>
      <c r="V304" s="457">
        <f>IF($AO304&lt;&gt;"OK",0,IF(AND(DATE('Thiết lập'!$B$4,1,1)&gt;=DATE(YEAR($H304),MONTH($H304),1),DATE('Thiết lập'!$B$4,1,1)&lt;EDATE(DATE(YEAR($H304),MONTH($H304),1),$O304)),MIN($P304,MAX(0,$N304-$U304-0)),0))</f>
        <v/>
      </c>
      <c r="W304" s="457">
        <f>IF($AO304&lt;&gt;"OK",0,IF(AND(DATE('Thiết lập'!$B$4,2,1)&gt;=DATE(YEAR($H304),MONTH($H304),1),DATE('Thiết lập'!$B$4,2,1)&lt;EDATE(DATE(YEAR($H304),MONTH($H304),1),$O304)),MIN($P304,MAX(0,$N304-$U304-SUM($V304:V304))),0))</f>
        <v/>
      </c>
      <c r="X304" s="457">
        <f>IF($AO304&lt;&gt;"OK",0,IF(AND(DATE('Thiết lập'!$B$4,3,1)&gt;=DATE(YEAR($H304),MONTH($H304),1),DATE('Thiết lập'!$B$4,3,1)&lt;EDATE(DATE(YEAR($H304),MONTH($H304),1),$O304)),MIN($P304,MAX(0,$N304-$U304-SUM($V304:W304))),0))</f>
        <v/>
      </c>
      <c r="Y304" s="457">
        <f>IF($AO304&lt;&gt;"OK",0,IF(AND(DATE('Thiết lập'!$B$4,4,1)&gt;=DATE(YEAR($H304),MONTH($H304),1),DATE('Thiết lập'!$B$4,4,1)&lt;EDATE(DATE(YEAR($H304),MONTH($H304),1),$O304)),MIN($P304,MAX(0,$N304-$U304-SUM($V304:X304))),0))</f>
        <v/>
      </c>
      <c r="Z304" s="457">
        <f>IF($AO304&lt;&gt;"OK",0,IF(AND(DATE('Thiết lập'!$B$4,5,1)&gt;=DATE(YEAR($H304),MONTH($H304),1),DATE('Thiết lập'!$B$4,5,1)&lt;EDATE(DATE(YEAR($H304),MONTH($H304),1),$O304)),MIN($P304,MAX(0,$N304-$U304-SUM($V304:Y304))),0))</f>
        <v/>
      </c>
      <c r="AA304" s="457">
        <f>IF($AO304&lt;&gt;"OK",0,IF(AND(DATE('Thiết lập'!$B$4,6,1)&gt;=DATE(YEAR($H304),MONTH($H304),1),DATE('Thiết lập'!$B$4,6,1)&lt;EDATE(DATE(YEAR($H304),MONTH($H304),1),$O304)),MIN($P304,MAX(0,$N304-$U304-SUM($V304:Z304))),0))</f>
        <v/>
      </c>
      <c r="AB304" s="457">
        <f>IF($AO304&lt;&gt;"OK",0,IF(AND(DATE('Thiết lập'!$B$4,7,1)&gt;=DATE(YEAR($H304),MONTH($H304),1),DATE('Thiết lập'!$B$4,7,1)&lt;EDATE(DATE(YEAR($H304),MONTH($H304),1),$O304)),MIN($P304,MAX(0,$N304-$U304-SUM($V304:AA304))),0))</f>
        <v/>
      </c>
      <c r="AC304" s="457">
        <f>IF($AO304&lt;&gt;"OK",0,IF(AND(DATE('Thiết lập'!$B$4,8,1)&gt;=DATE(YEAR($H304),MONTH($H304),1),DATE('Thiết lập'!$B$4,8,1)&lt;EDATE(DATE(YEAR($H304),MONTH($H304),1),$O304)),MIN($P304,MAX(0,$N304-$U304-SUM($V304:AB304))),0))</f>
        <v/>
      </c>
      <c r="AD304" s="457">
        <f>IF($AO304&lt;&gt;"OK",0,IF(AND(DATE('Thiết lập'!$B$4,9,1)&gt;=DATE(YEAR($H304),MONTH($H304),1),DATE('Thiết lập'!$B$4,9,1)&lt;EDATE(DATE(YEAR($H304),MONTH($H304),1),$O304)),MIN($P304,MAX(0,$N304-$U304-SUM($V304:AC304))),0))</f>
        <v/>
      </c>
      <c r="AE304" s="457">
        <f>IF($AO304&lt;&gt;"OK",0,IF(AND(DATE('Thiết lập'!$B$4,10,1)&gt;=DATE(YEAR($H304),MONTH($H304),1),DATE('Thiết lập'!$B$4,10,1)&lt;EDATE(DATE(YEAR($H304),MONTH($H304),1),$O304)),MIN($P304,MAX(0,$N304-$U304-SUM($V304:AD304))),0))</f>
        <v/>
      </c>
      <c r="AF304" s="457">
        <f>IF($AO304&lt;&gt;"OK",0,IF(AND(DATE('Thiết lập'!$B$4,11,1)&gt;=DATE(YEAR($H304),MONTH($H304),1),DATE('Thiết lập'!$B$4,11,1)&lt;EDATE(DATE(YEAR($H304),MONTH($H304),1),$O304)),MIN($P304,MAX(0,$N304-$U304-SUM($V304:AE304))),0))</f>
        <v/>
      </c>
      <c r="AG304" s="457">
        <f>IF($AO304&lt;&gt;"OK",0,IF(AND(DATE('Thiết lập'!$B$4,12,1)&gt;=DATE(YEAR($H304),MONTH($H304),1),DATE('Thiết lập'!$B$4,12,1)&lt;EDATE(DATE(YEAR($H304),MONTH($H304),1),$O304)),MIN($P304,MAX(0,$N304-$U304-SUM($V304:AF304))),0))</f>
        <v/>
      </c>
      <c r="AH304" s="457">
        <f>IF(B304="","",SUM(V304:AG304))</f>
        <v/>
      </c>
      <c r="AI304" s="457">
        <f>IF(B304="","",MIN(N304,IF(U304="",0,U304)+AH304))</f>
        <v/>
      </c>
      <c r="AJ304" s="457">
        <f>IF(B304="","",MAX(0,L304-AI304))</f>
        <v/>
      </c>
      <c r="AK304" s="337">
        <f>IF(B304="","",IF(H304&gt;'Thiết lập'!$B$5,"Chưa khấu hao",IF(AJ304&lt;=IF(M304="",0,M304),"Đã hết khấu hao","Đang khấu hao")))</f>
        <v/>
      </c>
      <c r="AL304" s="275" t="n"/>
      <c r="AM304" s="275" t="n"/>
      <c r="AN304" s="275" t="n"/>
      <c r="AO304" s="343">
        <f>IF(B304="","",IF(COUNTIF($B$7:$B$306,B304)&gt;1,"Trùng mã TSCĐ",IF(C304="","Thiếu tên TSCĐ",IF(H304="","Thiếu ngày bắt đầu",IF(OR(I304&lt;=0,L304&lt;=0,O304&lt;=0),"Kiểm tra số lượng/nguyên giá/thời gian",IF(AND(G304&lt;&gt;"",H304&lt;G304),"Ngày KH trước ngày ghi tăng",IF(M304&gt;L304,"Giá trị thu hồi vượt nguyên giá",IF(IF(U304="",0,U304)&gt;N304,"Lũy kế đầu năm vượt GTKH","OK"))))))))</f>
        <v/>
      </c>
    </row>
    <row r="305" ht="20" customHeight="1" s="389">
      <c r="A305" s="325">
        <f>IF(B305="","",ROW()-6)</f>
        <v/>
      </c>
      <c r="B305" s="275" t="n"/>
      <c r="C305" s="275" t="n"/>
      <c r="D305" s="331" t="n"/>
      <c r="E305" s="331" t="n"/>
      <c r="F305" s="454" t="n"/>
      <c r="G305" s="454" t="n"/>
      <c r="H305" s="454" t="n"/>
      <c r="I305" s="455" t="n"/>
      <c r="J305" s="456" t="n"/>
      <c r="K305" s="456" t="n"/>
      <c r="L305" s="457">
        <f>IF(B305="","",IF(OR(I305="",J305=""),"",I305*J305+IF(K305="",0,K305)))</f>
        <v/>
      </c>
      <c r="M305" s="456" t="n"/>
      <c r="N305" s="457">
        <f>IF(L305="","",MAX(0,L305-IF(M305="",0,M305)))</f>
        <v/>
      </c>
      <c r="O305" s="455" t="n"/>
      <c r="P305" s="457">
        <f>IF(OR(N305="",O305&lt;=0),"",ROUND(N305/O305,0))</f>
        <v/>
      </c>
      <c r="Q305" s="458">
        <f>IF(OR(H305="",O305&lt;=0),"",EOMONTH(H305,O305-1))</f>
        <v/>
      </c>
      <c r="R305" s="331" t="n"/>
      <c r="S305" s="331" t="n"/>
      <c r="T305" s="331" t="n"/>
      <c r="U305" s="456" t="n"/>
      <c r="V305" s="457">
        <f>IF($AO305&lt;&gt;"OK",0,IF(AND(DATE('Thiết lập'!$B$4,1,1)&gt;=DATE(YEAR($H305),MONTH($H305),1),DATE('Thiết lập'!$B$4,1,1)&lt;EDATE(DATE(YEAR($H305),MONTH($H305),1),$O305)),MIN($P305,MAX(0,$N305-$U305-0)),0))</f>
        <v/>
      </c>
      <c r="W305" s="457">
        <f>IF($AO305&lt;&gt;"OK",0,IF(AND(DATE('Thiết lập'!$B$4,2,1)&gt;=DATE(YEAR($H305),MONTH($H305),1),DATE('Thiết lập'!$B$4,2,1)&lt;EDATE(DATE(YEAR($H305),MONTH($H305),1),$O305)),MIN($P305,MAX(0,$N305-$U305-SUM($V305:V305))),0))</f>
        <v/>
      </c>
      <c r="X305" s="457">
        <f>IF($AO305&lt;&gt;"OK",0,IF(AND(DATE('Thiết lập'!$B$4,3,1)&gt;=DATE(YEAR($H305),MONTH($H305),1),DATE('Thiết lập'!$B$4,3,1)&lt;EDATE(DATE(YEAR($H305),MONTH($H305),1),$O305)),MIN($P305,MAX(0,$N305-$U305-SUM($V305:W305))),0))</f>
        <v/>
      </c>
      <c r="Y305" s="457">
        <f>IF($AO305&lt;&gt;"OK",0,IF(AND(DATE('Thiết lập'!$B$4,4,1)&gt;=DATE(YEAR($H305),MONTH($H305),1),DATE('Thiết lập'!$B$4,4,1)&lt;EDATE(DATE(YEAR($H305),MONTH($H305),1),$O305)),MIN($P305,MAX(0,$N305-$U305-SUM($V305:X305))),0))</f>
        <v/>
      </c>
      <c r="Z305" s="457">
        <f>IF($AO305&lt;&gt;"OK",0,IF(AND(DATE('Thiết lập'!$B$4,5,1)&gt;=DATE(YEAR($H305),MONTH($H305),1),DATE('Thiết lập'!$B$4,5,1)&lt;EDATE(DATE(YEAR($H305),MONTH($H305),1),$O305)),MIN($P305,MAX(0,$N305-$U305-SUM($V305:Y305))),0))</f>
        <v/>
      </c>
      <c r="AA305" s="457">
        <f>IF($AO305&lt;&gt;"OK",0,IF(AND(DATE('Thiết lập'!$B$4,6,1)&gt;=DATE(YEAR($H305),MONTH($H305),1),DATE('Thiết lập'!$B$4,6,1)&lt;EDATE(DATE(YEAR($H305),MONTH($H305),1),$O305)),MIN($P305,MAX(0,$N305-$U305-SUM($V305:Z305))),0))</f>
        <v/>
      </c>
      <c r="AB305" s="457">
        <f>IF($AO305&lt;&gt;"OK",0,IF(AND(DATE('Thiết lập'!$B$4,7,1)&gt;=DATE(YEAR($H305),MONTH($H305),1),DATE('Thiết lập'!$B$4,7,1)&lt;EDATE(DATE(YEAR($H305),MONTH($H305),1),$O305)),MIN($P305,MAX(0,$N305-$U305-SUM($V305:AA305))),0))</f>
        <v/>
      </c>
      <c r="AC305" s="457">
        <f>IF($AO305&lt;&gt;"OK",0,IF(AND(DATE('Thiết lập'!$B$4,8,1)&gt;=DATE(YEAR($H305),MONTH($H305),1),DATE('Thiết lập'!$B$4,8,1)&lt;EDATE(DATE(YEAR($H305),MONTH($H305),1),$O305)),MIN($P305,MAX(0,$N305-$U305-SUM($V305:AB305))),0))</f>
        <v/>
      </c>
      <c r="AD305" s="457">
        <f>IF($AO305&lt;&gt;"OK",0,IF(AND(DATE('Thiết lập'!$B$4,9,1)&gt;=DATE(YEAR($H305),MONTH($H305),1),DATE('Thiết lập'!$B$4,9,1)&lt;EDATE(DATE(YEAR($H305),MONTH($H305),1),$O305)),MIN($P305,MAX(0,$N305-$U305-SUM($V305:AC305))),0))</f>
        <v/>
      </c>
      <c r="AE305" s="457">
        <f>IF($AO305&lt;&gt;"OK",0,IF(AND(DATE('Thiết lập'!$B$4,10,1)&gt;=DATE(YEAR($H305),MONTH($H305),1),DATE('Thiết lập'!$B$4,10,1)&lt;EDATE(DATE(YEAR($H305),MONTH($H305),1),$O305)),MIN($P305,MAX(0,$N305-$U305-SUM($V305:AD305))),0))</f>
        <v/>
      </c>
      <c r="AF305" s="457">
        <f>IF($AO305&lt;&gt;"OK",0,IF(AND(DATE('Thiết lập'!$B$4,11,1)&gt;=DATE(YEAR($H305),MONTH($H305),1),DATE('Thiết lập'!$B$4,11,1)&lt;EDATE(DATE(YEAR($H305),MONTH($H305),1),$O305)),MIN($P305,MAX(0,$N305-$U305-SUM($V305:AE305))),0))</f>
        <v/>
      </c>
      <c r="AG305" s="457">
        <f>IF($AO305&lt;&gt;"OK",0,IF(AND(DATE('Thiết lập'!$B$4,12,1)&gt;=DATE(YEAR($H305),MONTH($H305),1),DATE('Thiết lập'!$B$4,12,1)&lt;EDATE(DATE(YEAR($H305),MONTH($H305),1),$O305)),MIN($P305,MAX(0,$N305-$U305-SUM($V305:AF305))),0))</f>
        <v/>
      </c>
      <c r="AH305" s="457">
        <f>IF(B305="","",SUM(V305:AG305))</f>
        <v/>
      </c>
      <c r="AI305" s="457">
        <f>IF(B305="","",MIN(N305,IF(U305="",0,U305)+AH305))</f>
        <v/>
      </c>
      <c r="AJ305" s="457">
        <f>IF(B305="","",MAX(0,L305-AI305))</f>
        <v/>
      </c>
      <c r="AK305" s="337">
        <f>IF(B305="","",IF(H305&gt;'Thiết lập'!$B$5,"Chưa khấu hao",IF(AJ305&lt;=IF(M305="",0,M305),"Đã hết khấu hao","Đang khấu hao")))</f>
        <v/>
      </c>
      <c r="AL305" s="275" t="n"/>
      <c r="AM305" s="275" t="n"/>
      <c r="AN305" s="275" t="n"/>
      <c r="AO305" s="343">
        <f>IF(B305="","",IF(COUNTIF($B$7:$B$306,B305)&gt;1,"Trùng mã TSCĐ",IF(C305="","Thiếu tên TSCĐ",IF(H305="","Thiếu ngày bắt đầu",IF(OR(I305&lt;=0,L305&lt;=0,O305&lt;=0),"Kiểm tra số lượng/nguyên giá/thời gian",IF(AND(G305&lt;&gt;"",H305&lt;G305),"Ngày KH trước ngày ghi tăng",IF(M305&gt;L305,"Giá trị thu hồi vượt nguyên giá",IF(IF(U305="",0,U305)&gt;N305,"Lũy kế đầu năm vượt GTKH","OK"))))))))</f>
        <v/>
      </c>
    </row>
    <row r="306" ht="20" customHeight="1" s="389">
      <c r="A306" s="326">
        <f>IF(B306="","",ROW()-6)</f>
        <v/>
      </c>
      <c r="B306" s="279" t="n"/>
      <c r="C306" s="279" t="n"/>
      <c r="D306" s="332" t="n"/>
      <c r="E306" s="332" t="n"/>
      <c r="F306" s="459" t="n"/>
      <c r="G306" s="459" t="n"/>
      <c r="H306" s="459" t="n"/>
      <c r="I306" s="460" t="n"/>
      <c r="J306" s="461" t="n"/>
      <c r="K306" s="461" t="n"/>
      <c r="L306" s="462">
        <f>IF(B306="","",IF(OR(I306="",J306=""),"",I306*J306+IF(K306="",0,K306)))</f>
        <v/>
      </c>
      <c r="M306" s="461" t="n"/>
      <c r="N306" s="462">
        <f>IF(L306="","",MAX(0,L306-IF(M306="",0,M306)))</f>
        <v/>
      </c>
      <c r="O306" s="460" t="n"/>
      <c r="P306" s="462">
        <f>IF(OR(N306="",O306&lt;=0),"",ROUND(N306/O306,0))</f>
        <v/>
      </c>
      <c r="Q306" s="463">
        <f>IF(OR(H306="",O306&lt;=0),"",EOMONTH(H306,O306-1))</f>
        <v/>
      </c>
      <c r="R306" s="332" t="n"/>
      <c r="S306" s="332" t="n"/>
      <c r="T306" s="332" t="n"/>
      <c r="U306" s="461" t="n"/>
      <c r="V306" s="462">
        <f>IF($AO306&lt;&gt;"OK",0,IF(AND(DATE('Thiết lập'!$B$4,1,1)&gt;=DATE(YEAR($H306),MONTH($H306),1),DATE('Thiết lập'!$B$4,1,1)&lt;EDATE(DATE(YEAR($H306),MONTH($H306),1),$O306)),MIN($P306,MAX(0,$N306-$U306-0)),0))</f>
        <v/>
      </c>
      <c r="W306" s="462">
        <f>IF($AO306&lt;&gt;"OK",0,IF(AND(DATE('Thiết lập'!$B$4,2,1)&gt;=DATE(YEAR($H306),MONTH($H306),1),DATE('Thiết lập'!$B$4,2,1)&lt;EDATE(DATE(YEAR($H306),MONTH($H306),1),$O306)),MIN($P306,MAX(0,$N306-$U306-SUM($V306:V306))),0))</f>
        <v/>
      </c>
      <c r="X306" s="462">
        <f>IF($AO306&lt;&gt;"OK",0,IF(AND(DATE('Thiết lập'!$B$4,3,1)&gt;=DATE(YEAR($H306),MONTH($H306),1),DATE('Thiết lập'!$B$4,3,1)&lt;EDATE(DATE(YEAR($H306),MONTH($H306),1),$O306)),MIN($P306,MAX(0,$N306-$U306-SUM($V306:W306))),0))</f>
        <v/>
      </c>
      <c r="Y306" s="462">
        <f>IF($AO306&lt;&gt;"OK",0,IF(AND(DATE('Thiết lập'!$B$4,4,1)&gt;=DATE(YEAR($H306),MONTH($H306),1),DATE('Thiết lập'!$B$4,4,1)&lt;EDATE(DATE(YEAR($H306),MONTH($H306),1),$O306)),MIN($P306,MAX(0,$N306-$U306-SUM($V306:X306))),0))</f>
        <v/>
      </c>
      <c r="Z306" s="462">
        <f>IF($AO306&lt;&gt;"OK",0,IF(AND(DATE('Thiết lập'!$B$4,5,1)&gt;=DATE(YEAR($H306),MONTH($H306),1),DATE('Thiết lập'!$B$4,5,1)&lt;EDATE(DATE(YEAR($H306),MONTH($H306),1),$O306)),MIN($P306,MAX(0,$N306-$U306-SUM($V306:Y306))),0))</f>
        <v/>
      </c>
      <c r="AA306" s="462">
        <f>IF($AO306&lt;&gt;"OK",0,IF(AND(DATE('Thiết lập'!$B$4,6,1)&gt;=DATE(YEAR($H306),MONTH($H306),1),DATE('Thiết lập'!$B$4,6,1)&lt;EDATE(DATE(YEAR($H306),MONTH($H306),1),$O306)),MIN($P306,MAX(0,$N306-$U306-SUM($V306:Z306))),0))</f>
        <v/>
      </c>
      <c r="AB306" s="462">
        <f>IF($AO306&lt;&gt;"OK",0,IF(AND(DATE('Thiết lập'!$B$4,7,1)&gt;=DATE(YEAR($H306),MONTH($H306),1),DATE('Thiết lập'!$B$4,7,1)&lt;EDATE(DATE(YEAR($H306),MONTH($H306),1),$O306)),MIN($P306,MAX(0,$N306-$U306-SUM($V306:AA306))),0))</f>
        <v/>
      </c>
      <c r="AC306" s="462">
        <f>IF($AO306&lt;&gt;"OK",0,IF(AND(DATE('Thiết lập'!$B$4,8,1)&gt;=DATE(YEAR($H306),MONTH($H306),1),DATE('Thiết lập'!$B$4,8,1)&lt;EDATE(DATE(YEAR($H306),MONTH($H306),1),$O306)),MIN($P306,MAX(0,$N306-$U306-SUM($V306:AB306))),0))</f>
        <v/>
      </c>
      <c r="AD306" s="462">
        <f>IF($AO306&lt;&gt;"OK",0,IF(AND(DATE('Thiết lập'!$B$4,9,1)&gt;=DATE(YEAR($H306),MONTH($H306),1),DATE('Thiết lập'!$B$4,9,1)&lt;EDATE(DATE(YEAR($H306),MONTH($H306),1),$O306)),MIN($P306,MAX(0,$N306-$U306-SUM($V306:AC306))),0))</f>
        <v/>
      </c>
      <c r="AE306" s="462">
        <f>IF($AO306&lt;&gt;"OK",0,IF(AND(DATE('Thiết lập'!$B$4,10,1)&gt;=DATE(YEAR($H306),MONTH($H306),1),DATE('Thiết lập'!$B$4,10,1)&lt;EDATE(DATE(YEAR($H306),MONTH($H306),1),$O306)),MIN($P306,MAX(0,$N306-$U306-SUM($V306:AD306))),0))</f>
        <v/>
      </c>
      <c r="AF306" s="462">
        <f>IF($AO306&lt;&gt;"OK",0,IF(AND(DATE('Thiết lập'!$B$4,11,1)&gt;=DATE(YEAR($H306),MONTH($H306),1),DATE('Thiết lập'!$B$4,11,1)&lt;EDATE(DATE(YEAR($H306),MONTH($H306),1),$O306)),MIN($P306,MAX(0,$N306-$U306-SUM($V306:AE306))),0))</f>
        <v/>
      </c>
      <c r="AG306" s="462">
        <f>IF($AO306&lt;&gt;"OK",0,IF(AND(DATE('Thiết lập'!$B$4,12,1)&gt;=DATE(YEAR($H306),MONTH($H306),1),DATE('Thiết lập'!$B$4,12,1)&lt;EDATE(DATE(YEAR($H306),MONTH($H306),1),$O306)),MIN($P306,MAX(0,$N306-$U306-SUM($V306:AF306))),0))</f>
        <v/>
      </c>
      <c r="AH306" s="462">
        <f>IF(B306="","",SUM(V306:AG306))</f>
        <v/>
      </c>
      <c r="AI306" s="462">
        <f>IF(B306="","",MIN(N306,IF(U306="",0,U306)+AH306))</f>
        <v/>
      </c>
      <c r="AJ306" s="462">
        <f>IF(B306="","",MAX(0,L306-AI306))</f>
        <v/>
      </c>
      <c r="AK306" s="338">
        <f>IF(B306="","",IF(H306&gt;'Thiết lập'!$B$5,"Chưa khấu hao",IF(AJ306&lt;=IF(M306="",0,M306),"Đã hết khấu hao","Đang khấu hao")))</f>
        <v/>
      </c>
      <c r="AL306" s="279" t="n"/>
      <c r="AM306" s="279" t="n"/>
      <c r="AN306" s="279" t="n"/>
      <c r="AO306" s="344">
        <f>IF(B306="","",IF(COUNTIF($B$7:$B$306,B306)&gt;1,"Trùng mã TSCĐ",IF(C306="","Thiếu tên TSCĐ",IF(H306="","Thiếu ngày bắt đầu",IF(OR(I306&lt;=0,L306&lt;=0,O306&lt;=0),"Kiểm tra số lượng/nguyên giá/thời gian",IF(AND(G306&lt;&gt;"",H306&lt;G306),"Ngày KH trước ngày ghi tăng",IF(M306&gt;L306,"Giá trị thu hồi vượt nguyên giá",IF(IF(U306="",0,U306)&gt;N306,"Lũy kế đầu năm vượt GTKH","OK"))))))))</f>
        <v/>
      </c>
    </row>
  </sheetData>
  <mergeCells count="10">
    <mergeCell ref="A2:AO2"/>
    <mergeCell ref="K4:Q4"/>
    <mergeCell ref="A1:AO1"/>
    <mergeCell ref="H4:J4"/>
    <mergeCell ref="A4:G4"/>
    <mergeCell ref="R4:T4"/>
    <mergeCell ref="A5:U5"/>
    <mergeCell ref="V5:AG5"/>
    <mergeCell ref="A3:AO3"/>
    <mergeCell ref="AH5:AO5"/>
  </mergeCells>
  <conditionalFormatting sqref="AO7:AO306">
    <cfRule type="expression" priority="1" dxfId="0">
      <formula>AND($B7&lt;&gt;"",$AO7&lt;&gt;"OK")</formula>
    </cfRule>
    <cfRule type="expression" priority="2" dxfId="1">
      <formula>$AO7="OK"</formula>
    </cfRule>
  </conditionalFormatting>
  <conditionalFormatting sqref="AK7:AK306">
    <cfRule type="expression" priority="3" dxfId="2">
      <formula>$AK7="Đã hết khấu hao"</formula>
    </cfRule>
    <cfRule type="expression" priority="4" dxfId="1">
      <formula>$AK7="Đang khấu hao"</formula>
    </cfRule>
    <cfRule type="expression" priority="5" dxfId="4">
      <formula>$AK7="Chưa khấu hao"</formula>
    </cfRule>
  </conditionalFormatting>
  <dataValidations count="5">
    <dataValidation sqref="D7:D306" showDropDown="0" showInputMessage="0" showErrorMessage="0" allowBlank="0" type="list">
      <formula1>'Thiết lập'!$C$10:$C$15</formula1>
    </dataValidation>
    <dataValidation sqref="E7:E306" showDropDown="0" showInputMessage="0" showErrorMessage="0" allowBlank="0" type="list">
      <formula1>'Thiết lập'!$A$10:$A$16</formula1>
    </dataValidation>
    <dataValidation sqref="R7:R306" showDropDown="0" showInputMessage="0" showErrorMessage="0" allowBlank="0" type="list">
      <formula1>'Thiết lập'!$E$10:$E$16</formula1>
    </dataValidation>
    <dataValidation sqref="S7:S306" showDropDown="0" showInputMessage="0" showErrorMessage="0" allowBlank="0" type="list">
      <formula1>'Thiết lập'!$G$10:$G$13</formula1>
    </dataValidation>
    <dataValidation sqref="T7:T306" showDropDown="0" showInputMessage="0" showErrorMessage="0" allowBlank="0" type="list">
      <formula1>'Thiết lập'!$I$10:$I$16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8" customWidth="1" style="389" min="1" max="1"/>
    <col width="16" customWidth="1" style="389" min="2" max="2"/>
    <col width="18" customWidth="1" style="389" min="3" max="3"/>
    <col width="16" customWidth="1" style="389" min="4" max="4"/>
    <col width="16" customWidth="1" style="389" min="5" max="5"/>
    <col width="16" customWidth="1" style="389" min="6" max="6"/>
    <col width="16" customWidth="1" style="389" min="7" max="7"/>
    <col width="16" customWidth="1" style="389" min="8" max="8"/>
    <col width="16" customWidth="1" style="389" min="9" max="9"/>
    <col width="16" customWidth="1" style="389" min="10" max="10"/>
    <col width="13" customWidth="1" style="389" min="11" max="11"/>
    <col width="13" customWidth="1" style="389" min="12" max="12"/>
    <col width="13" customWidth="1" style="389" min="13" max="13"/>
    <col width="13" customWidth="1" style="389" min="14" max="14"/>
  </cols>
  <sheetData>
    <row r="1" ht="30" customHeight="1" s="389">
      <c r="A1" s="166" t="inlineStr">
        <is>
          <t>BÁO CÁO TỔNG HỢP KHẤU HAO TÀI SẢN CỐ ĐỊNH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389">
      <c r="A2" s="167" t="inlineStr">
        <is>
          <t>KK HOME  •  ĐÀO TẠO KẾ TOÁN CHUYÊN NGHIỆP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389">
      <c r="A3" s="464">
        <f>"Năm "&amp;'Thiết lập'!B4&amp;"  |  Ngày báo cáo: "&amp;TEXT('Thiết lập'!B5,"dd/mm/yyyy")</f>
        <v/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>
      <c r="A5" s="465" t="inlineStr">
        <is>
          <t>Số mã hợp lệ</t>
        </is>
      </c>
      <c r="B5" s="466" t="n"/>
      <c r="C5" s="465" t="inlineStr">
        <is>
          <t>Tổng nguyên giá</t>
        </is>
      </c>
      <c r="D5" s="466" t="n"/>
      <c r="E5" s="465" t="inlineStr">
        <is>
          <t>Khấu hao trong năm</t>
        </is>
      </c>
      <c r="F5" s="466" t="n"/>
      <c r="G5" s="465" t="inlineStr">
        <is>
          <t>Khấu hao lũy kế</t>
        </is>
      </c>
      <c r="H5" s="466" t="n"/>
      <c r="I5" s="465" t="inlineStr">
        <is>
          <t>Giá trị còn lại</t>
        </is>
      </c>
      <c r="J5" s="466" t="n"/>
      <c r="K5" s="25" t="n"/>
      <c r="L5" s="25" t="n"/>
      <c r="M5" s="25" t="n"/>
      <c r="N5" s="25" t="n"/>
    </row>
    <row r="6" ht="34" customHeight="1" s="389">
      <c r="A6" s="467">
        <f>COUNTIF('Khấu hao'!$AO$7:$AO$306,"OK")</f>
        <v/>
      </c>
      <c r="B6" s="410" t="n"/>
      <c r="C6" s="468">
        <f>SUMIF('Khấu hao'!$AO$7:$AO$306,"OK",'Khấu hao'!$L$7:$L$306)</f>
        <v/>
      </c>
      <c r="D6" s="410" t="n"/>
      <c r="E6" s="468">
        <f>SUMIF('Khấu hao'!$AO$7:$AO$306,"OK",'Khấu hao'!$AH$7:$AH$306)</f>
        <v/>
      </c>
      <c r="F6" s="410" t="n"/>
      <c r="G6" s="468">
        <f>SUMIF('Khấu hao'!$AO$7:$AO$306,"OK",'Khấu hao'!$AI$7:$AI$306)</f>
        <v/>
      </c>
      <c r="H6" s="410" t="n"/>
      <c r="I6" s="468">
        <f>SUMIF('Khấu hao'!$AO$7:$AO$306,"OK",'Khấu hao'!$AJ$7:$AJ$306)</f>
        <v/>
      </c>
      <c r="J6" s="410" t="n"/>
      <c r="K6" s="25" t="n"/>
      <c r="L6" s="25" t="n"/>
      <c r="M6" s="25" t="n"/>
      <c r="N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</row>
    <row r="8">
      <c r="A8" s="469" t="inlineStr">
        <is>
          <t>Đang khấu hao</t>
        </is>
      </c>
      <c r="B8" s="1" t="n"/>
      <c r="C8" s="469" t="inlineStr">
        <is>
          <t>Đã hết khấu hao</t>
        </is>
      </c>
      <c r="D8" s="1" t="n"/>
      <c r="E8" s="469" t="inlineStr">
        <is>
          <t>Chưa khấu hao</t>
        </is>
      </c>
      <c r="F8" s="1" t="n"/>
      <c r="G8" s="469" t="inlineStr">
        <is>
          <t>Bản ghi cần kiểm tra</t>
        </is>
      </c>
      <c r="H8" s="1" t="n"/>
      <c r="I8" s="25" t="n"/>
      <c r="J8" s="25" t="n"/>
      <c r="K8" s="25" t="n"/>
      <c r="L8" s="25" t="n"/>
      <c r="M8" s="25" t="n"/>
      <c r="N8" s="25" t="n"/>
    </row>
    <row r="9">
      <c r="A9" s="470">
        <f>COUNTIF('Khấu hao'!$AK$7:$AK$306,"Đang khấu hao")</f>
        <v/>
      </c>
      <c r="B9" s="410" t="n"/>
      <c r="C9" s="470">
        <f>COUNTIF('Khấu hao'!$AK$7:$AK$306,"Đã hết khấu hao")</f>
        <v/>
      </c>
      <c r="D9" s="410" t="n"/>
      <c r="E9" s="470">
        <f>COUNTIF('Khấu hao'!$AK$7:$AK$306,"Chưa khấu hao")</f>
        <v/>
      </c>
      <c r="F9" s="410" t="n"/>
      <c r="G9" s="470">
        <f>COUNTIF('Khấu hao'!$B$7:$B$306,"&lt;&gt;")-COUNTIF('Khấu hao'!$AO$7:$AO$306,"OK")</f>
        <v/>
      </c>
      <c r="H9" s="410" t="n"/>
      <c r="I9" s="25" t="n"/>
      <c r="J9" s="25" t="n"/>
      <c r="K9" s="25" t="n"/>
      <c r="L9" s="25" t="n"/>
      <c r="M9" s="25" t="n"/>
      <c r="N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469" t="inlineStr">
        <is>
          <t>TỔNG HỢP THEO NHÓM TSCĐ</t>
        </is>
      </c>
      <c r="B12" s="1" t="n"/>
      <c r="C12" s="1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109" t="inlineStr">
        <is>
          <t>Nhóm TSCĐ</t>
        </is>
      </c>
      <c r="B13" s="225" t="inlineStr">
        <is>
          <t>Nguyên giá</t>
        </is>
      </c>
      <c r="C13" s="110" t="inlineStr">
        <is>
          <t>Khấu hao trong năm</t>
        </is>
      </c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433" t="inlineStr">
        <is>
          <t>Nhà cửa, vật kiến trúc</t>
        </is>
      </c>
      <c r="B14" s="471">
        <f>SUMIF('Khấu hao'!$D$7:$D$306,A14,'Khấu hao'!$L$7:$L$306)</f>
        <v/>
      </c>
      <c r="C14" s="472">
        <f>SUMIF('Khấu hao'!$D$7:$D$306,A14,'Khấu hao'!$AH$7:$AH$306)</f>
        <v/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436" t="inlineStr">
        <is>
          <t>Máy móc, thiết bị</t>
        </is>
      </c>
      <c r="B15" s="473">
        <f>SUMIF('Khấu hao'!$D$7:$D$306,A15,'Khấu hao'!$L$7:$L$306)</f>
        <v/>
      </c>
      <c r="C15" s="474">
        <f>SUMIF('Khấu hao'!$D$7:$D$306,A15,'Khấu hao'!$AH$7:$AH$306)</f>
        <v/>
      </c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436" t="inlineStr">
        <is>
          <t>Phương tiện vận tải</t>
        </is>
      </c>
      <c r="B16" s="473">
        <f>SUMIF('Khấu hao'!$D$7:$D$306,A16,'Khấu hao'!$L$7:$L$306)</f>
        <v/>
      </c>
      <c r="C16" s="474">
        <f>SUMIF('Khấu hao'!$D$7:$D$306,A16,'Khấu hao'!$AH$7:$AH$306)</f>
        <v/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436" t="inlineStr">
        <is>
          <t>Thiết bị, dụng cụ quản lý</t>
        </is>
      </c>
      <c r="B17" s="473">
        <f>SUMIF('Khấu hao'!$D$7:$D$306,A17,'Khấu hao'!$L$7:$L$306)</f>
        <v/>
      </c>
      <c r="C17" s="474">
        <f>SUMIF('Khấu hao'!$D$7:$D$306,A17,'Khấu hao'!$AH$7:$AH$306)</f>
        <v/>
      </c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436" t="inlineStr">
        <is>
          <t>TSCĐ vô hình</t>
        </is>
      </c>
      <c r="B18" s="473">
        <f>SUMIF('Khấu hao'!$D$7:$D$306,A18,'Khấu hao'!$L$7:$L$306)</f>
        <v/>
      </c>
      <c r="C18" s="474">
        <f>SUMIF('Khấu hao'!$D$7:$D$306,A18,'Khấu hao'!$AH$7:$AH$306)</f>
        <v/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439" t="inlineStr">
        <is>
          <t>TSCĐ khác</t>
        </is>
      </c>
      <c r="B19" s="475">
        <f>SUMIF('Khấu hao'!$D$7:$D$306,A19,'Khấu hao'!$L$7:$L$306)</f>
        <v/>
      </c>
      <c r="C19" s="476">
        <f>SUMIF('Khấu hao'!$D$7:$D$306,A19,'Khấu hao'!$AH$7:$AH$306)</f>
        <v/>
      </c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469" t="inlineStr">
        <is>
          <t>KHẤU HAO THEO THÁNG TRONG NĂM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25" t="n"/>
    </row>
    <row r="23">
      <c r="A23" s="109" t="inlineStr">
        <is>
          <t>Chỉ tiêu</t>
        </is>
      </c>
      <c r="B23" s="225" t="inlineStr">
        <is>
          <t>T1</t>
        </is>
      </c>
      <c r="C23" s="225" t="inlineStr">
        <is>
          <t>T2</t>
        </is>
      </c>
      <c r="D23" s="225" t="inlineStr">
        <is>
          <t>T3</t>
        </is>
      </c>
      <c r="E23" s="225" t="inlineStr">
        <is>
          <t>T4</t>
        </is>
      </c>
      <c r="F23" s="225" t="inlineStr">
        <is>
          <t>T5</t>
        </is>
      </c>
      <c r="G23" s="225" t="inlineStr">
        <is>
          <t>T6</t>
        </is>
      </c>
      <c r="H23" s="225" t="inlineStr">
        <is>
          <t>T7</t>
        </is>
      </c>
      <c r="I23" s="225" t="inlineStr">
        <is>
          <t>T8</t>
        </is>
      </c>
      <c r="J23" s="225" t="inlineStr">
        <is>
          <t>T9</t>
        </is>
      </c>
      <c r="K23" s="225" t="inlineStr">
        <is>
          <t>T10</t>
        </is>
      </c>
      <c r="L23" s="225" t="inlineStr">
        <is>
          <t>T11</t>
        </is>
      </c>
      <c r="M23" s="110" t="inlineStr">
        <is>
          <t>T12</t>
        </is>
      </c>
      <c r="N23" s="25" t="n"/>
    </row>
    <row r="24">
      <c r="A24" s="442" t="inlineStr">
        <is>
          <t>Khấu hao</t>
        </is>
      </c>
      <c r="B24" s="477">
        <f>SUM('Khấu hao'!$V$7:$V$306)</f>
        <v/>
      </c>
      <c r="C24" s="477">
        <f>SUM('Khấu hao'!$W$7:$W$306)</f>
        <v/>
      </c>
      <c r="D24" s="477">
        <f>SUM('Khấu hao'!$X$7:$X$306)</f>
        <v/>
      </c>
      <c r="E24" s="477">
        <f>SUM('Khấu hao'!$Y$7:$Y$306)</f>
        <v/>
      </c>
      <c r="F24" s="477">
        <f>SUM('Khấu hao'!$Z$7:$Z$306)</f>
        <v/>
      </c>
      <c r="G24" s="477">
        <f>SUM('Khấu hao'!$AA$7:$AA$306)</f>
        <v/>
      </c>
      <c r="H24" s="477">
        <f>SUM('Khấu hao'!$AB$7:$AB$306)</f>
        <v/>
      </c>
      <c r="I24" s="477">
        <f>SUM('Khấu hao'!$AC$7:$AC$306)</f>
        <v/>
      </c>
      <c r="J24" s="477">
        <f>SUM('Khấu hao'!$AD$7:$AD$306)</f>
        <v/>
      </c>
      <c r="K24" s="477">
        <f>SUM('Khấu hao'!$AE$7:$AE$306)</f>
        <v/>
      </c>
      <c r="L24" s="477">
        <f>SUM('Khấu hao'!$AF$7:$AF$306)</f>
        <v/>
      </c>
      <c r="M24" s="478">
        <f>SUM('Khấu hao'!$AG$7:$AG$306)</f>
        <v/>
      </c>
      <c r="N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424" t="inlineStr">
        <is>
          <t>Cảnh báo: Nếu “Bản ghi cần kiểm tra” lớn hơn 0, hãy lọc cột “Kiểm tra dữ liệu” tại sheet Khấu hao trước khi sử dụng số liệu.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</sheetData>
  <mergeCells count="24">
    <mergeCell ref="A27:N28"/>
    <mergeCell ref="C6:D6"/>
    <mergeCell ref="I6:J6"/>
    <mergeCell ref="A22:M22"/>
    <mergeCell ref="C5:D5"/>
    <mergeCell ref="E5:F5"/>
    <mergeCell ref="G8:H8"/>
    <mergeCell ref="A12:C12"/>
    <mergeCell ref="A6:B6"/>
    <mergeCell ref="E8:F8"/>
    <mergeCell ref="A1:N1"/>
    <mergeCell ref="G6:H6"/>
    <mergeCell ref="C9:D9"/>
    <mergeCell ref="E9:F9"/>
    <mergeCell ref="A3:N3"/>
    <mergeCell ref="E6:F6"/>
    <mergeCell ref="A2:N2"/>
    <mergeCell ref="A5:B5"/>
    <mergeCell ref="G5:H5"/>
    <mergeCell ref="I5:J5"/>
    <mergeCell ref="A8:B8"/>
    <mergeCell ref="C8:D8"/>
    <mergeCell ref="A9:B9"/>
    <mergeCell ref="G9:H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2026-10-25T09:13:43Z</dcterms:created>
  <dcterms:modified xmlns:dcterms="http://purl.org/dc/terms/" xmlns:xsi="http://www.w3.org/2001/XMLSchema-instance" xsi:type="dcterms:W3CDTF">2026-10-25T09:13:44Z</dcterms:modified>
</cp:coreProperties>
</file>