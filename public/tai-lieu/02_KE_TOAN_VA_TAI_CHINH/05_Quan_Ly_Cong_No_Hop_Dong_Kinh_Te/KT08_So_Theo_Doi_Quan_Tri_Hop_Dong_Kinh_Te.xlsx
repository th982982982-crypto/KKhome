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THAM SO" sheetId="2" state="visible" r:id="rId2"/>
    <sheet xmlns:r="http://schemas.openxmlformats.org/officeDocument/2006/relationships" name="SO HOP DONG" sheetId="3" state="visible" r:id="rId3"/>
    <sheet xmlns:r="http://schemas.openxmlformats.org/officeDocument/2006/relationships" name="NHAT KY THANH TOAN" sheetId="4" state="visible" r:id="rId4"/>
    <sheet xmlns:r="http://schemas.openxmlformats.org/officeDocument/2006/relationships" name="TONG HOP" sheetId="5" state="visible" r:id="rId5"/>
  </sheets>
  <definedNames>
    <definedName name="_xlnm._FilterDatabase" localSheetId="2" hidden="1">'SO HOP DONG'!$A$8:$AL$308</definedName>
    <definedName name="_xlnm.Print_Titles" localSheetId="2">'SO HOP DONG'!$7:$8</definedName>
    <definedName name="_xlnm._FilterDatabase" localSheetId="3" hidden="1">'NHAT KY THANH TOAN'!$A$6:$J$506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;\(#,##0\);\-"/>
    <numFmt numFmtId="166" formatCode="#,##0.##;\(#,##0.##\);\-"/>
    <numFmt numFmtId="167" formatCode="#,##0;[RED]\-#,##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5E9C8"/>
      <sz val="10"/>
    </font>
    <font>
      <name val="Arial"/>
      <charset val="1"/>
      <family val="0"/>
      <b val="1"/>
      <color rgb="FF6B4423"/>
      <sz val="11"/>
    </font>
    <font>
      <name val="Arial"/>
      <charset val="1"/>
      <family val="0"/>
      <b val="1"/>
      <color rgb="FF222222"/>
      <sz val="10"/>
    </font>
    <font>
      <name val="Arial"/>
      <charset val="1"/>
      <family val="0"/>
      <color rgb="FF222222"/>
      <sz val="10"/>
    </font>
    <font>
      <name val="Arial"/>
      <charset val="1"/>
      <family val="0"/>
      <b val="1"/>
      <color rgb="FF1F3A9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F7F7F"/>
      <sz val="9"/>
    </font>
    <font>
      <name val="Arial"/>
      <family val="2"/>
      <sz val="10"/>
    </font>
    <font>
      <name val="Arial"/>
      <charset val="1"/>
      <family val="0"/>
      <b val="1"/>
      <color rgb="FF6B4423"/>
      <sz val="10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6B4423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222222"/>
      <sz val="9"/>
    </font>
    <font>
      <name val="Arial"/>
      <charset val="1"/>
      <family val="0"/>
      <color rgb="FF1F3A93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0"/>
    </font>
  </fonts>
  <fills count="6">
    <fill>
      <patternFill/>
    </fill>
    <fill>
      <patternFill patternType="gray125"/>
    </fill>
    <fill>
      <patternFill patternType="solid">
        <fgColor rgb="FF6B4423"/>
        <bgColor rgb="FF333300"/>
      </patternFill>
    </fill>
    <fill>
      <patternFill patternType="solid">
        <fgColor rgb="FFF5E9C8"/>
        <bgColor rgb="FFFCE4D6"/>
      </patternFill>
    </fill>
    <fill>
      <patternFill patternType="solid">
        <fgColor rgb="FFFFF9E5"/>
        <bgColor rgb="FFFFFFFF"/>
      </patternFill>
    </fill>
    <fill>
      <patternFill patternType="solid">
        <fgColor rgb="FFF2F2F2"/>
        <bgColor rgb="FFFFF9E5"/>
      </patternFill>
    </fill>
  </fills>
  <borders count="6">
    <border>
      <left/>
      <right/>
      <top/>
      <bottom/>
      <diagonal/>
    </border>
    <border>
      <left style="thin">
        <color rgb="FFBFB3A0"/>
      </left>
      <right style="thin">
        <color rgb="FFBFB3A0"/>
      </right>
      <top style="thin">
        <color rgb="FFBFB3A0"/>
      </top>
      <bottom style="thin">
        <color rgb="FFBFB3A0"/>
      </bottom>
      <diagonal/>
    </border>
    <border>
      <left/>
      <right/>
      <top style="thin">
        <color rgb="FFBFB3A0"/>
      </top>
      <bottom/>
      <diagonal/>
    </border>
    <border>
      <left/>
      <right style="thin">
        <color rgb="FFBFB3A0"/>
      </right>
      <top style="thin">
        <color rgb="FFBFB3A0"/>
      </top>
      <bottom/>
      <diagonal/>
    </border>
    <border>
      <left/>
      <right/>
      <top style="thin">
        <color rgb="FFBFB3A0"/>
      </top>
      <bottom style="thin">
        <color rgb="FFBFB3A0"/>
      </bottom>
      <diagonal/>
    </border>
    <border>
      <left/>
      <right style="thin">
        <color rgb="FFBFB3A0"/>
      </right>
      <top style="thin">
        <color rgb="FFBFB3A0"/>
      </top>
      <bottom style="thin">
        <color rgb="FFBFB3A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center" wrapText="1"/>
    </xf>
    <xf numFmtId="0" fontId="18" fillId="4" borderId="1" applyAlignment="1" pivotButton="0" quotePrefix="0" xfId="0">
      <alignment horizontal="general" vertical="center"/>
    </xf>
    <xf numFmtId="164" fontId="18" fillId="4" borderId="1" applyAlignment="1" pivotButton="0" quotePrefix="0" xfId="0">
      <alignment horizontal="general" vertical="center"/>
    </xf>
    <xf numFmtId="0" fontId="18" fillId="4" borderId="1" applyAlignment="1" pivotButton="0" quotePrefix="0" xfId="0">
      <alignment horizontal="general" vertical="center" wrapText="1"/>
    </xf>
    <xf numFmtId="165" fontId="18" fillId="4" borderId="1" applyAlignment="1" pivotButton="0" quotePrefix="0" xfId="0">
      <alignment horizontal="general" vertical="center"/>
    </xf>
    <xf numFmtId="166" fontId="18" fillId="4" borderId="1" applyAlignment="1" pivotButton="0" quotePrefix="0" xfId="0">
      <alignment horizontal="general" vertical="center"/>
    </xf>
    <xf numFmtId="9" fontId="18" fillId="4" borderId="1" applyAlignment="1" pivotButton="0" quotePrefix="0" xfId="0">
      <alignment horizontal="center" vertical="center" wrapText="1"/>
    </xf>
    <xf numFmtId="166" fontId="17" fillId="5" borderId="1" applyAlignment="1" pivotButton="0" quotePrefix="0" xfId="0">
      <alignment horizontal="general" vertical="center"/>
    </xf>
    <xf numFmtId="165" fontId="17" fillId="5" borderId="1" applyAlignment="1" pivotButton="0" quotePrefix="0" xfId="0">
      <alignment horizontal="general" vertical="center"/>
    </xf>
    <xf numFmtId="9" fontId="17" fillId="5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4" fontId="17" fillId="5" borderId="1" applyAlignment="1" pivotButton="0" quotePrefix="0" xfId="0">
      <alignment horizontal="general" vertical="center"/>
    </xf>
    <xf numFmtId="0" fontId="1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general" vertical="center"/>
    </xf>
    <xf numFmtId="164" fontId="17" fillId="4" borderId="1" applyAlignment="1" pivotButton="0" quotePrefix="0" xfId="0">
      <alignment horizontal="general" vertical="center"/>
    </xf>
    <xf numFmtId="0" fontId="17" fillId="4" borderId="1" applyAlignment="1" pivotButton="0" quotePrefix="0" xfId="0">
      <alignment horizontal="general" vertical="center" wrapText="1"/>
    </xf>
    <xf numFmtId="165" fontId="17" fillId="4" borderId="1" applyAlignment="1" pivotButton="0" quotePrefix="0" xfId="0">
      <alignment horizontal="general" vertical="center"/>
    </xf>
    <xf numFmtId="166" fontId="17" fillId="4" borderId="1" applyAlignment="1" pivotButton="0" quotePrefix="0" xfId="0">
      <alignment horizontal="general" vertical="center"/>
    </xf>
    <xf numFmtId="9" fontId="17" fillId="4" borderId="1" applyAlignment="1" pivotButton="0" quotePrefix="0" xfId="0">
      <alignment horizontal="center" vertical="center" wrapText="1"/>
    </xf>
    <xf numFmtId="164" fontId="18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165" fontId="18" fillId="4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bottom"/>
    </xf>
    <xf numFmtId="164" fontId="17" fillId="4" borderId="1" applyAlignment="1" pivotButton="0" quotePrefix="0" xfId="0">
      <alignment horizontal="general" vertical="bottom"/>
    </xf>
    <xf numFmtId="0" fontId="17" fillId="4" borderId="1" applyAlignment="1" pivotButton="0" quotePrefix="0" xfId="0">
      <alignment horizontal="general" vertical="bottom"/>
    </xf>
    <xf numFmtId="165" fontId="17" fillId="4" borderId="1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center" wrapText="1"/>
    </xf>
    <xf numFmtId="0" fontId="18" fillId="4" borderId="1" applyAlignment="1" pivotButton="0" quotePrefix="0" xfId="0">
      <alignment horizontal="general" vertical="center"/>
    </xf>
    <xf numFmtId="164" fontId="18" fillId="4" borderId="1" applyAlignment="1" pivotButton="0" quotePrefix="0" xfId="0">
      <alignment horizontal="general" vertical="center"/>
    </xf>
    <xf numFmtId="0" fontId="18" fillId="4" borderId="1" applyAlignment="1" pivotButton="0" quotePrefix="0" xfId="0">
      <alignment horizontal="general" vertical="center" wrapText="1"/>
    </xf>
    <xf numFmtId="165" fontId="18" fillId="4" borderId="1" applyAlignment="1" pivotButton="0" quotePrefix="0" xfId="0">
      <alignment horizontal="general" vertical="center"/>
    </xf>
    <xf numFmtId="166" fontId="18" fillId="4" borderId="1" applyAlignment="1" pivotButton="0" quotePrefix="0" xfId="0">
      <alignment horizontal="general" vertical="center"/>
    </xf>
    <xf numFmtId="9" fontId="18" fillId="4" borderId="1" applyAlignment="1" pivotButton="0" quotePrefix="0" xfId="0">
      <alignment horizontal="center" vertical="center" wrapText="1"/>
    </xf>
    <xf numFmtId="166" fontId="17" fillId="5" borderId="1" applyAlignment="1" pivotButton="0" quotePrefix="0" xfId="0">
      <alignment horizontal="general" vertical="center"/>
    </xf>
    <xf numFmtId="165" fontId="17" fillId="5" borderId="1" applyAlignment="1" pivotButton="0" quotePrefix="0" xfId="0">
      <alignment horizontal="general" vertical="center"/>
    </xf>
    <xf numFmtId="9" fontId="17" fillId="5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4" fontId="17" fillId="5" borderId="1" applyAlignment="1" pivotButton="0" quotePrefix="0" xfId="0">
      <alignment horizontal="general" vertical="center"/>
    </xf>
    <xf numFmtId="0" fontId="1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general" vertical="center"/>
    </xf>
    <xf numFmtId="164" fontId="17" fillId="4" borderId="1" applyAlignment="1" pivotButton="0" quotePrefix="0" xfId="0">
      <alignment horizontal="general" vertical="center"/>
    </xf>
    <xf numFmtId="0" fontId="17" fillId="4" borderId="1" applyAlignment="1" pivotButton="0" quotePrefix="0" xfId="0">
      <alignment horizontal="general" vertical="center" wrapText="1"/>
    </xf>
    <xf numFmtId="165" fontId="17" fillId="4" borderId="1" applyAlignment="1" pivotButton="0" quotePrefix="0" xfId="0">
      <alignment horizontal="general" vertical="center"/>
    </xf>
    <xf numFmtId="166" fontId="17" fillId="4" borderId="1" applyAlignment="1" pivotButton="0" quotePrefix="0" xfId="0">
      <alignment horizontal="general" vertical="center"/>
    </xf>
    <xf numFmtId="9" fontId="17" fillId="4" borderId="1" applyAlignment="1" pivotButton="0" quotePrefix="0" xfId="0">
      <alignment horizontal="center" vertical="center" wrapText="1"/>
    </xf>
    <xf numFmtId="164" fontId="18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165" fontId="18" fillId="4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bottom"/>
    </xf>
    <xf numFmtId="164" fontId="17" fillId="4" borderId="1" applyAlignment="1" pivotButton="0" quotePrefix="0" xfId="0">
      <alignment horizontal="general" vertical="bottom"/>
    </xf>
    <xf numFmtId="0" fontId="17" fillId="4" borderId="1" applyAlignment="1" pivotButton="0" quotePrefix="0" xfId="0">
      <alignment horizontal="general" vertical="bottom"/>
    </xf>
    <xf numFmtId="165" fontId="17" fillId="4" borderId="1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6B442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1F3A9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color rgb="FF9C0006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D966"/>
        </patternFill>
      </fill>
    </dxf>
    <dxf>
      <font>
        <color rgb="FFA6A6A6"/>
      </font>
    </dxf>
    <dxf>
      <font>
        <b val="1"/>
        <color rgb="FFC00000"/>
      </font>
    </dxf>
    <dxf>
      <font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3A0"/>
      <rgbColor rgb="FF7F7F7F"/>
      <rgbColor rgb="FF9999FF"/>
      <rgbColor rgb="FF993366"/>
      <rgbColor rgb="FFFFF9E5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5E9C8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6B4423"/>
      <rgbColor rgb="FF993366"/>
      <rgbColor rgb="FF1F3A93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B7" authorId="0" shapeId="0">
      <text>
        <t>Theo Quy chế quản lý hợp đồng W1: Số HĐ = [Năm]/[Loại]/[STT]-[Mã DN]</t>
      </text>
    </comment>
    <comment ref="B8" authorId="0" shapeId="0">
      <text>
        <t>Mặc định là hôm nay. Muốn chốt số tại một ngày: gõ đè ngày cụ thể.</t>
      </text>
    </comment>
    <comment ref="B9" authorId="0" shapeId="0">
      <text>
        <t>Quy chế quản lý hợp đồng W1 – thông số đề xuất 30 ngày.</t>
      </text>
    </comment>
    <comment ref="B10" authorId="0" shapeId="0">
      <text>
        <t>Quy chế quản lý hợp đồng W1 – HĐ không theo mẫu hoặc từ 100 triệu.</t>
      </text>
    </comment>
    <comment ref="B11" authorId="0" shapeId="0">
      <text>
        <t>Từ 5 triệu đồng (giá đã có thuế GTGT) phải có chứng từ thanh toán không dùng tiền mặt để được khấu trừ GTGT (Luật Thuế GTGT 48/2024/QH15, NĐ 181/2025/NĐ-CP) và tính vào chi phí được trừ TNDN (NĐ 320/2025/NĐ-CP).</t>
      </text>
    </comment>
    <comment ref="B12" authorId="0" shapeId="0">
      <text>
        <t>Khớp thời hạn lưu chứng từ kế toán (Luật Kế toán, NĐ 174/2016/NĐ-CP).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63" min="1" max="1"/>
    <col width="26" customWidth="1" style="63" min="2" max="2"/>
    <col width="95" customWidth="1" style="63" min="3" max="3"/>
  </cols>
  <sheetData>
    <row r="1" ht="30" customHeight="1" s="64">
      <c r="A1" s="65" t="inlineStr">
        <is>
          <t>SỔ THEO DÕI HỢP ĐỒNG KINH TẾ 2026</t>
        </is>
      </c>
    </row>
    <row r="2" ht="18" customHeight="1" s="64">
      <c r="A2" s="66" t="inlineStr">
        <is>
          <t>KK HOME  |    |  Hệ thống Quản trị Doanh nghiệp – KK HOME 2026</t>
        </is>
      </c>
    </row>
    <row r="3"/>
    <row r="4"/>
    <row r="5" ht="15" customHeight="1" s="64">
      <c r="A5" s="67" t="inlineStr">
        <is>
          <t>MỤC ĐÍCH</t>
        </is>
      </c>
    </row>
    <row r="6" ht="30" customHeight="1" s="64">
      <c r="B6" s="68" t="n"/>
      <c r="C6" s="69" t="inlineStr">
        <is>
          <t>Một sổ duy nhất để biết: đang có bao nhiêu hợp đồng, hợp đồng nào sắp hết hạn, đã xuất/nhận hóa đơn bao nhiêu, đã trả/thu bao nhiêu, còn nợ bao nhiêu, bản gốc nằm ở đâu và lưu đến khi nào.</t>
        </is>
      </c>
    </row>
    <row r="7" ht="15" customHeight="1" s="64">
      <c r="B7" s="68" t="n"/>
      <c r="C7" s="69" t="inlineStr">
        <is>
          <t>Dùng kèm W1 – Quy chế quản lý hợp đồng 2026 và bộ hợp đồng mẫu W1_HD.</t>
        </is>
      </c>
    </row>
    <row r="8"/>
    <row r="9" ht="15" customHeight="1" s="64">
      <c r="A9" s="67" t="inlineStr">
        <is>
          <t>CÁC SHEET</t>
        </is>
      </c>
    </row>
    <row r="10" ht="15" customHeight="1" s="64">
      <c r="B10" s="68" t="inlineStr">
        <is>
          <t>THAM SO</t>
        </is>
      </c>
      <c r="C10" s="69" t="inlineStr">
        <is>
          <t>Khai báo tên DN, Mã DN, ngày báo cáo, ngưỡng cảnh báo, danh mục loại HĐ và bộ phận. Làm bước này trước.</t>
        </is>
      </c>
    </row>
    <row r="11" ht="15" customHeight="1" s="64">
      <c r="B11" s="68" t="inlineStr">
        <is>
          <t>SO HOP DONG</t>
        </is>
      </c>
      <c r="C11" s="69" t="inlineStr">
        <is>
          <t>Mỗi hợp đồng 1 dòng. Nhập ô nền vàng; ô nền xám tự tính. Có sẵn 300 dòng.</t>
        </is>
      </c>
    </row>
    <row r="12" ht="15" customHeight="1" s="64">
      <c r="B12" s="68" t="inlineStr">
        <is>
          <t>NHAT KY THANH TOAN</t>
        </is>
      </c>
      <c r="C12" s="69" t="inlineStr">
        <is>
          <t>Mỗi lần có hóa đơn hoặc thanh toán ghi 1 dòng, chọn Số HĐ nội bộ từ danh sách. Sổ HĐ tự cộng lũy kế.</t>
        </is>
      </c>
    </row>
    <row r="13" ht="15" customHeight="1" s="64">
      <c r="B13" s="68" t="inlineStr">
        <is>
          <t>TONG HOP</t>
        </is>
      </c>
      <c r="C13" s="69" t="inlineStr">
        <is>
          <t>Báo cáo theo trạng thái, theo loại HĐ – chiều Mua vào/Bán ra, và các chỉ tiêu kiểm soát. Không cần nhập.</t>
        </is>
      </c>
    </row>
    <row r="14"/>
    <row r="15" ht="15" customHeight="1" s="64">
      <c r="A15" s="67" t="inlineStr">
        <is>
          <t>CÁCH DÙNG – 5 BƯỚC</t>
        </is>
      </c>
    </row>
    <row r="16" ht="15" customHeight="1" s="64">
      <c r="B16" s="68" t="inlineStr">
        <is>
          <t>Bước 1</t>
        </is>
      </c>
      <c r="C16" s="69" t="inlineStr">
        <is>
          <t>Sheet THAM SO: sửa tên DN, MST, Mã DN. Giữ hoặc sửa các ngưỡng.</t>
        </is>
      </c>
    </row>
    <row r="17" ht="15" customHeight="1" s="64">
      <c r="B17" s="68" t="inlineStr">
        <is>
          <t>Bước 2</t>
        </is>
      </c>
      <c r="C17" s="69" t="inlineStr">
        <is>
          <t>Sheet SO HOP DONG: xóa 5 dòng ví dụ (dòng 9–13) ở các ô nền vàng. Không xóa cả dòng để giữ công thức.</t>
        </is>
      </c>
    </row>
    <row r="18" ht="15" customHeight="1" s="64">
      <c r="B18" s="68" t="inlineStr">
        <is>
          <t>Bước 3</t>
        </is>
      </c>
      <c r="C18" s="69" t="inlineStr">
        <is>
          <t>Nhập hợp đồng: chọn Chiều HĐ, Mã loại, Ngày ký → Số HĐ nội bộ tự sinh theo dạng 2026/MH/001-ABC.</t>
        </is>
      </c>
    </row>
    <row r="19" ht="15" customHeight="1" s="64">
      <c r="B19" s="68" t="inlineStr">
        <is>
          <t>Bước 4</t>
        </is>
      </c>
      <c r="C19" s="69" t="inlineStr">
        <is>
          <t>Khi có hóa đơn/thanh toán: ghi ở NHAT KY THANH TOAN. Số tiền ghi bằng VND, đã gồm thuế.</t>
        </is>
      </c>
    </row>
    <row r="20" ht="30" customHeight="1" s="64">
      <c r="B20" s="68" t="inlineStr">
        <is>
          <t>Bước 5</t>
        </is>
      </c>
      <c r="C20" s="69" t="inlineStr">
        <is>
          <t>Khi kết thúc: lập biên bản thanh lý, nhập Ngày thanh lý → trạng thái chuyển Đã thanh lý, cột Lưu hồ sơ đến tự tính.</t>
        </is>
      </c>
    </row>
    <row r="21"/>
    <row r="22" ht="15" customHeight="1" s="64">
      <c r="A22" s="67" t="inlineStr">
        <is>
          <t>Ý NGHĨA MÀU</t>
        </is>
      </c>
    </row>
    <row r="23" ht="15" customHeight="1" s="64">
      <c r="B23" s="68" t="inlineStr">
        <is>
          <t>Nền vàng nhạt</t>
        </is>
      </c>
      <c r="C23" s="69" t="inlineStr">
        <is>
          <t>Ô nhập liệu.</t>
        </is>
      </c>
    </row>
    <row r="24" ht="15" customHeight="1" s="64">
      <c r="B24" s="68" t="inlineStr">
        <is>
          <t>Nền xám</t>
        </is>
      </c>
      <c r="C24" s="69" t="inlineStr">
        <is>
          <t>Công thức. Không gõ đè.</t>
        </is>
      </c>
    </row>
    <row r="25" ht="15" customHeight="1" s="64">
      <c r="B25" s="68" t="inlineStr">
        <is>
          <t>Dòng vàng đậm</t>
        </is>
      </c>
      <c r="C25" s="69" t="inlineStr">
        <is>
          <t>Sắp hết hạn (trong số ngày cảnh báo ở THAM SO).</t>
        </is>
      </c>
    </row>
    <row r="26" ht="15" customHeight="1" s="64">
      <c r="B26" s="68" t="inlineStr">
        <is>
          <t>Dòng đỏ</t>
        </is>
      </c>
      <c r="C26" s="69" t="inlineStr">
        <is>
          <t>Đã quá ngày hết hạn nhưng chưa nhập ngày thanh lý.</t>
        </is>
      </c>
    </row>
    <row r="27" ht="15" customHeight="1" s="64">
      <c r="B27" s="68" t="inlineStr">
        <is>
          <t>Dòng cam nhạt</t>
        </is>
      </c>
      <c r="C27" s="69" t="inlineStr">
        <is>
          <t>Quá hạn nhưng HĐ có điều khoản tự động gia hạn – kiểm tra lại và cập nhật ngày hết hạn mới.</t>
        </is>
      </c>
    </row>
    <row r="28" ht="15" customHeight="1" s="64">
      <c r="B28" s="68" t="inlineStr">
        <is>
          <t>Chữ xám</t>
        </is>
      </c>
      <c r="C28" s="69" t="inlineStr">
        <is>
          <t>Đã thanh lý.</t>
        </is>
      </c>
    </row>
    <row r="29"/>
    <row r="30" ht="15" customHeight="1" s="64">
      <c r="A30" s="67" t="inlineStr">
        <is>
          <t>CỘT CẢNH BÁO KIỂM SOÁT TỰ BẮT 5 LỖI</t>
        </is>
      </c>
    </row>
    <row r="31" ht="15" customHeight="1" s="64">
      <c r="B31" s="68" t="inlineStr">
        <is>
          <t>1</t>
        </is>
      </c>
      <c r="C31" s="69" t="inlineStr">
        <is>
          <t>HĐ có giá trị từ ngưỡng rà soát pháp lý (mặc định 100 triệu) nhưng chưa ghi Đã rà soát = Có.</t>
        </is>
      </c>
    </row>
    <row r="32" ht="15" customHeight="1" s="64">
      <c r="B32" s="68" t="inlineStr">
        <is>
          <t>2</t>
        </is>
      </c>
      <c r="C32" s="69" t="inlineStr">
        <is>
          <t>Thiếu MST/CCCD đối tác – thiếu thông tin để lập, kiểm tra hóa đơn.</t>
        </is>
      </c>
    </row>
    <row r="33" ht="15" customHeight="1" s="64">
      <c r="B33" s="68" t="inlineStr">
        <is>
          <t>3</t>
        </is>
      </c>
      <c r="C33" s="69" t="inlineStr">
        <is>
          <t>Chưa ghi nơi lưu bản gốc – khó chứng minh khi tranh chấp hoặc thanh tra.</t>
        </is>
      </c>
    </row>
    <row r="34" ht="30" customHeight="1" s="64">
      <c r="B34" s="68" t="inlineStr">
        <is>
          <t>4</t>
        </is>
      </c>
      <c r="C34" s="69" t="inlineStr">
        <is>
          <t>Có khoản thanh toán tiền mặt từ 5 triệu đồng – rủi ro không được khấu trừ thuế GTGT đầu vào và bị loại khỏi chi phí được trừ khi tính thuế TNDN.</t>
        </is>
      </c>
    </row>
    <row r="35" ht="15" customHeight="1" s="64">
      <c r="B35" s="68" t="inlineStr">
        <is>
          <t>5</t>
        </is>
      </c>
      <c r="C35" s="69" t="inlineStr">
        <is>
          <t>Tổng tiền đã thanh toán vượt giá trị HĐ sau phụ lục – kiểm tra phụ lục chưa cập nhật hoặc trả trùng.</t>
        </is>
      </c>
    </row>
    <row r="36"/>
    <row r="37" ht="15" customHeight="1" s="64">
      <c r="A37" s="67" t="inlineStr">
        <is>
          <t>LƯU Ý NGHIỆP VỤ</t>
        </is>
      </c>
    </row>
    <row r="38" ht="30" customHeight="1" s="64">
      <c r="B38" s="68" t="inlineStr">
        <is>
          <t>Ngoại tệ</t>
        </is>
      </c>
      <c r="C38" s="69" t="inlineStr">
        <is>
          <t>Giá trị HĐ quy VND theo tỷ giá nhập ở cột Tỷ giá (dùng để theo dõi). Ghi sổ kế toán vẫn theo tỷ giá thực tế tại ngày giao dịch.</t>
        </is>
      </c>
    </row>
    <row r="39" ht="30" customHeight="1" s="64">
      <c r="B39" s="68" t="inlineStr">
        <is>
          <t>Công nợ</t>
        </is>
      </c>
      <c r="C39" s="69" t="inlineStr">
        <is>
          <t>Cột Công nợ theo hóa đơn = Lũy kế hóa đơn – Lũy kế thanh toán. Số âm = đang ứng trước/trả trước cho đối tác.</t>
        </is>
      </c>
    </row>
    <row r="40" ht="30" customHeight="1" s="64">
      <c r="B40" s="68" t="inlineStr">
        <is>
          <t>Lưu trữ</t>
        </is>
      </c>
      <c r="C40" s="69" t="inlineStr">
        <is>
          <t>Lưu hồ sơ đến = Ngày hết hạn/thanh lý + số năm lưu trữ ở THAM SO (mặc định 10 năm, khớp chứng từ kế toán).</t>
        </is>
      </c>
    </row>
    <row r="41" ht="15" customHeight="1" s="64">
      <c r="B41" s="68" t="inlineStr">
        <is>
          <t>Phạm vi</t>
        </is>
      </c>
      <c r="C41" s="69" t="inlineStr">
        <is>
          <t>Sổ dành cho hợp đồng dân sự, thương mại. Hợp đồng lao động theo dõi ở W1_NS04 – Sổ quản lý lao động.</t>
        </is>
      </c>
    </row>
    <row r="42"/>
    <row r="43" ht="15" customHeight="1" s="64">
      <c r="A43" s="67" t="inlineStr">
        <is>
          <t>CĂN CỨ THAM KHẢO</t>
        </is>
      </c>
    </row>
    <row r="44" ht="30" customHeight="1" s="64">
      <c r="B44" s="68" t="n"/>
      <c r="C44" s="69" t="inlineStr">
        <is>
          <t>Bộ luật Dân sự 91/2015/QH13; Luật Thương mại 36/2005/QH11; Luật Kế toán 88/2015/QH13 và NĐ 174/2016/NĐ-CP (lưu trữ); Luật Thuế GTGT 48/2024/QH15 và NĐ 181/2025/NĐ-CP; NĐ 320/2025/NĐ-CP (thuế TNDN).</t>
        </is>
      </c>
    </row>
    <row r="45" ht="15" customHeight="1" s="64">
      <c r="B45" s="68" t="n"/>
      <c r="C45" s="69" t="inlineStr">
        <is>
          <t>Người dùng tự kiểm tra hiệu lực văn bản tại thời điểm áp dụng.</t>
        </is>
      </c>
    </row>
    <row r="46"/>
    <row r="47" ht="15" customHeight="1" s="64">
      <c r="A47" s="67" t="inlineStr">
        <is>
          <t>KK HOME</t>
        </is>
      </c>
    </row>
    <row r="48" ht="15" customHeight="1" s="64">
      <c r="B48" s="68" t="n"/>
      <c r="C48" s="69" t="inlineStr">
        <is>
          <t>Biên soạn: KK HOME – KK HOME. Tài liệu chia sẻ miễn phí cho cộng đồng kế toán.</t>
        </is>
      </c>
    </row>
    <row r="49" ht="15" customHeight="1" s="64">
      <c r="B49" s="68" t="n"/>
      <c r="C49" s="69" t="inlineStr">
        <is>
          <t xml:space="preserve">Xem thêm bộ quy chế, hợp đồng mẫu, công cụ thuế – kế toán tại </t>
        </is>
      </c>
    </row>
  </sheetData>
  <mergeCells count="10">
    <mergeCell ref="A47:C47"/>
    <mergeCell ref="A1:C1"/>
    <mergeCell ref="A37:C37"/>
    <mergeCell ref="A5:C5"/>
    <mergeCell ref="A22:C22"/>
    <mergeCell ref="A9:C9"/>
    <mergeCell ref="A30:C30"/>
    <mergeCell ref="A15:C15"/>
    <mergeCell ref="A43:C43"/>
    <mergeCell ref="A2:C2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&amp;LMr. Wick Kiểm toán | taichinhketoanedu.com&amp;RTrang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63" min="1" max="1"/>
    <col width="30" customWidth="1" style="63" min="2" max="2"/>
    <col width="4" customWidth="1" style="63" min="3" max="3"/>
    <col width="10" customWidth="1" style="63" min="4" max="4"/>
    <col width="34" customWidth="1" style="63" min="5" max="5"/>
    <col width="30" customWidth="1" style="63" min="6" max="6"/>
  </cols>
  <sheetData>
    <row r="1" ht="30" customHeight="1" s="64">
      <c r="A1" s="65" t="inlineStr">
        <is>
          <t>THAM SỐ &amp; DANH MỤC</t>
        </is>
      </c>
    </row>
    <row r="2" ht="18" customHeight="1" s="64">
      <c r="A2" s="66" t="inlineStr">
        <is>
          <t>KK HOME  |    |  Hệ thống Quản trị Doanh nghiệp – KK HOME 2026</t>
        </is>
      </c>
    </row>
    <row r="3"/>
    <row r="4" ht="15" customHeight="1" s="64">
      <c r="A4" s="70" t="inlineStr">
        <is>
          <t>THÔNG TIN DOANH NGHIỆP &amp; THAM SỐ</t>
        </is>
      </c>
      <c r="D4" s="70" t="inlineStr">
        <is>
          <t>DANH MỤC LOẠI HỢP ĐỒNG</t>
        </is>
      </c>
    </row>
    <row r="5" ht="15" customHeight="1" s="64">
      <c r="A5" s="71" t="inlineStr">
        <is>
          <t>Tên doanh nghiệp</t>
        </is>
      </c>
      <c r="B5" s="72" t="inlineStr">
        <is>
          <t>CÔNG TY TNHH ABC</t>
        </is>
      </c>
      <c r="D5" s="73" t="inlineStr">
        <is>
          <t>Mã</t>
        </is>
      </c>
      <c r="E5" s="73" t="inlineStr">
        <is>
          <t>Tên loại hợp đồng</t>
        </is>
      </c>
      <c r="F5" s="73" t="inlineStr">
        <is>
          <t>Mẫu W1 tham chiếu</t>
        </is>
      </c>
    </row>
    <row r="6" ht="15" customHeight="1" s="64">
      <c r="A6" s="71" t="inlineStr">
        <is>
          <t>Mã số thuế</t>
        </is>
      </c>
      <c r="B6" s="72" t="inlineStr">
        <is>
          <t>0101234567</t>
        </is>
      </c>
      <c r="D6" s="74" t="inlineStr">
        <is>
          <t>MH</t>
        </is>
      </c>
      <c r="E6" s="75" t="inlineStr">
        <is>
          <t>Mua hàng hóa, vật tư</t>
        </is>
      </c>
      <c r="F6" s="75" t="n"/>
    </row>
    <row r="7" ht="15" customHeight="1" s="64">
      <c r="A7" s="71" t="inlineStr">
        <is>
          <t>Mã DN (dùng đánh số HĐ)</t>
        </is>
      </c>
      <c r="B7" s="72" t="inlineStr">
        <is>
          <t>ABC</t>
        </is>
      </c>
      <c r="D7" s="74" t="inlineStr">
        <is>
          <t>BH</t>
        </is>
      </c>
      <c r="E7" s="75" t="inlineStr">
        <is>
          <t>Bán hàng hóa, thành phẩm</t>
        </is>
      </c>
      <c r="F7" s="75" t="n"/>
    </row>
    <row r="8" ht="15" customHeight="1" s="64">
      <c r="A8" s="71" t="inlineStr">
        <is>
          <t>Ngày lập báo cáo</t>
        </is>
      </c>
      <c r="B8" s="76">
        <f>TODAY()</f>
        <v/>
      </c>
      <c r="D8" s="74" t="inlineStr">
        <is>
          <t>DV</t>
        </is>
      </c>
      <c r="E8" s="75" t="inlineStr">
        <is>
          <t>Cung cấp / sử dụng dịch vụ</t>
        </is>
      </c>
      <c r="F8" s="75" t="inlineStr">
        <is>
          <t>W1_HD06, W1_HD07</t>
        </is>
      </c>
    </row>
    <row r="9" ht="15" customHeight="1" s="64">
      <c r="A9" s="71" t="inlineStr">
        <is>
          <t>Cảnh báo trước khi hết hạn (ngày)</t>
        </is>
      </c>
      <c r="B9" s="77" t="n">
        <v>30</v>
      </c>
      <c r="D9" s="74" t="inlineStr">
        <is>
          <t>TN</t>
        </is>
      </c>
      <c r="E9" s="75" t="inlineStr">
        <is>
          <t>Thuê nhà, văn phòng, kho bãi</t>
        </is>
      </c>
      <c r="F9" s="75" t="inlineStr">
        <is>
          <t>W1_HD01</t>
        </is>
      </c>
    </row>
    <row r="10" ht="23.85" customHeight="1" s="64">
      <c r="A10" s="71" t="inlineStr">
        <is>
          <t>Ngưỡng bắt buộc rà soát pháp lý (VND)</t>
        </is>
      </c>
      <c r="B10" s="77" t="n">
        <v>100000000</v>
      </c>
      <c r="D10" s="74" t="inlineStr">
        <is>
          <t>TS</t>
        </is>
      </c>
      <c r="E10" s="75" t="inlineStr">
        <is>
          <t>Thuê tài sản, máy móc</t>
        </is>
      </c>
      <c r="F10" s="75" t="inlineStr">
        <is>
          <t>W1_HD02</t>
        </is>
      </c>
    </row>
    <row r="11" ht="23.85" customHeight="1" s="64">
      <c r="A11" s="71" t="inlineStr">
        <is>
          <t>Ngưỡng thanh toán không dùng tiền mặt (VND)</t>
        </is>
      </c>
      <c r="B11" s="77" t="n">
        <v>5000000</v>
      </c>
      <c r="D11" s="74" t="inlineStr">
        <is>
          <t>VA</t>
        </is>
      </c>
      <c r="E11" s="75" t="inlineStr">
        <is>
          <t>Đi vay</t>
        </is>
      </c>
      <c r="F11" s="75" t="inlineStr">
        <is>
          <t>W1_HD04</t>
        </is>
      </c>
    </row>
    <row r="12" ht="23.85" customHeight="1" s="64">
      <c r="A12" s="71" t="inlineStr">
        <is>
          <t>Thời hạn lưu hồ sơ sau khi kết thúc HĐ (năm)</t>
        </is>
      </c>
      <c r="B12" s="77" t="n">
        <v>10</v>
      </c>
      <c r="D12" s="74" t="inlineStr">
        <is>
          <t>CV</t>
        </is>
      </c>
      <c r="E12" s="75" t="inlineStr">
        <is>
          <t>Cho vay</t>
        </is>
      </c>
      <c r="F12" s="75" t="inlineStr">
        <is>
          <t>W1_HD03</t>
        </is>
      </c>
    </row>
    <row r="13" ht="15" customHeight="1" s="64">
      <c r="A13" s="78" t="inlineStr">
        <is>
          <t>Ô nền vàng nhạt = ô nhập liệu. Rê chuột vào ô có tam giác đỏ để xem căn cứ.</t>
        </is>
      </c>
      <c r="D13" s="74" t="inlineStr">
        <is>
          <t>XD</t>
        </is>
      </c>
      <c r="E13" s="75" t="inlineStr">
        <is>
          <t>Xây dựng, thi công, lắp đặt</t>
        </is>
      </c>
      <c r="F13" s="75" t="n"/>
    </row>
    <row r="14" ht="15" customHeight="1" s="64">
      <c r="D14" s="74" t="inlineStr">
        <is>
          <t>HH</t>
        </is>
      </c>
      <c r="E14" s="75" t="inlineStr">
        <is>
          <t>Hoa hồng, đại lý, CTV</t>
        </is>
      </c>
      <c r="F14" s="75" t="inlineStr">
        <is>
          <t>W1_HD05</t>
        </is>
      </c>
    </row>
    <row r="15" ht="15" customHeight="1" s="64">
      <c r="A15" s="70" t="inlineStr">
        <is>
          <t>DANH MỤC BỘ PHẬN PHỤ TRÁCH</t>
        </is>
      </c>
      <c r="D15" s="74" t="inlineStr">
        <is>
          <t>BL</t>
        </is>
      </c>
      <c r="E15" s="75" t="inlineStr">
        <is>
          <t>Bảo lãnh thanh toán</t>
        </is>
      </c>
      <c r="F15" s="75" t="inlineStr">
        <is>
          <t>W1_BM06</t>
        </is>
      </c>
    </row>
    <row r="16" ht="15" customHeight="1" s="64">
      <c r="A16" s="79" t="inlineStr">
        <is>
          <t>Kinh doanh</t>
        </is>
      </c>
      <c r="D16" s="74" t="inlineStr">
        <is>
          <t>HT</t>
        </is>
      </c>
      <c r="E16" s="75" t="inlineStr">
        <is>
          <t>Hợp tác kinh doanh (BCC)</t>
        </is>
      </c>
      <c r="F16" s="75" t="n"/>
    </row>
    <row r="17" ht="15" customHeight="1" s="64">
      <c r="A17" s="79" t="inlineStr">
        <is>
          <t>Mua hàng</t>
        </is>
      </c>
      <c r="D17" s="74" t="inlineStr">
        <is>
          <t>NT</t>
        </is>
      </c>
      <c r="E17" s="75" t="inlineStr">
        <is>
          <t>Hợp đồng nguyên tắc / khung</t>
        </is>
      </c>
      <c r="F17" s="75" t="n"/>
    </row>
    <row r="18" ht="15" customHeight="1" s="64">
      <c r="A18" s="79" t="inlineStr">
        <is>
          <t>Hành chính</t>
        </is>
      </c>
      <c r="D18" s="74" t="inlineStr">
        <is>
          <t>BM</t>
        </is>
      </c>
      <c r="E18" s="75" t="inlineStr">
        <is>
          <t>Bảo mật (NDA)</t>
        </is>
      </c>
      <c r="F18" s="75" t="n"/>
    </row>
    <row r="19" ht="15" customHeight="1" s="64">
      <c r="A19" s="79" t="inlineStr">
        <is>
          <t>Kế toán</t>
        </is>
      </c>
      <c r="D19" s="74" t="inlineStr">
        <is>
          <t>KH</t>
        </is>
      </c>
      <c r="E19" s="75" t="inlineStr">
        <is>
          <t>Khác</t>
        </is>
      </c>
      <c r="F19" s="75" t="n"/>
    </row>
    <row r="20" ht="15" customHeight="1" s="64">
      <c r="A20" s="79" t="inlineStr">
        <is>
          <t>Kỹ thuật</t>
        </is>
      </c>
      <c r="D20" s="80" t="n"/>
      <c r="E20" s="80" t="n"/>
      <c r="F20" s="80" t="n"/>
    </row>
    <row r="21" ht="15" customHeight="1" s="64">
      <c r="A21" s="79" t="inlineStr">
        <is>
          <t>Ban Giám đốc</t>
        </is>
      </c>
      <c r="D21" s="80" t="n"/>
      <c r="E21" s="80" t="n"/>
      <c r="F21" s="80" t="n"/>
    </row>
    <row r="22" ht="15" customHeight="1" s="64">
      <c r="A22" s="81" t="n"/>
      <c r="D22" s="80" t="n"/>
      <c r="E22" s="80" t="n"/>
      <c r="F22" s="80" t="n"/>
    </row>
    <row r="23" ht="15" customHeight="1" s="64">
      <c r="A23" s="81" t="n"/>
      <c r="D23" s="80" t="n"/>
      <c r="E23" s="80" t="n"/>
      <c r="F23" s="80" t="n"/>
    </row>
    <row r="24" ht="15" customHeight="1" s="64">
      <c r="A24" s="81" t="n"/>
      <c r="D24" s="80" t="n"/>
      <c r="E24" s="80" t="n"/>
      <c r="F24" s="80" t="n"/>
    </row>
    <row r="25" ht="15" customHeight="1" s="64">
      <c r="A25" s="81" t="n"/>
      <c r="D25" s="80" t="n"/>
      <c r="E25" s="80" t="n"/>
      <c r="F25" s="80" t="n"/>
    </row>
    <row r="26" ht="15" customHeight="1" s="64">
      <c r="A26" s="81" t="n"/>
      <c r="D26" s="80" t="n"/>
      <c r="E26" s="80" t="n"/>
      <c r="F26" s="80" t="n"/>
    </row>
    <row r="27" ht="15" customHeight="1" s="64">
      <c r="A27" s="81" t="n"/>
      <c r="D27" s="80" t="n"/>
      <c r="E27" s="80" t="n"/>
      <c r="F27" s="80" t="n"/>
    </row>
    <row r="28" ht="15" customHeight="1" s="64">
      <c r="A28" s="81" t="n"/>
      <c r="D28" s="80" t="n"/>
      <c r="E28" s="80" t="n"/>
      <c r="F28" s="80" t="n"/>
    </row>
    <row r="29" ht="15" customHeight="1" s="64">
      <c r="A29" s="81" t="n"/>
      <c r="D29" s="80" t="n"/>
      <c r="E29" s="80" t="n"/>
      <c r="F29" s="80" t="n"/>
    </row>
    <row r="30" ht="15" customHeight="1" s="64">
      <c r="A30" s="81" t="n"/>
      <c r="D30" s="80" t="n"/>
      <c r="E30" s="80" t="n"/>
      <c r="F30" s="80" t="n"/>
    </row>
    <row r="31" ht="15" customHeight="1" s="64">
      <c r="D31" s="80" t="n"/>
      <c r="E31" s="80" t="n"/>
      <c r="F31" s="80" t="n"/>
    </row>
    <row r="32" ht="15" customHeight="1" s="64">
      <c r="D32" s="80" t="n"/>
      <c r="E32" s="80" t="n"/>
      <c r="F32" s="80" t="n"/>
    </row>
    <row r="33" ht="15" customHeight="1" s="64">
      <c r="D33" s="80" t="n"/>
      <c r="E33" s="80" t="n"/>
      <c r="F33" s="80" t="n"/>
    </row>
    <row r="34" ht="15" customHeight="1" s="64">
      <c r="D34" s="80" t="n"/>
      <c r="E34" s="80" t="n"/>
      <c r="F34" s="80" t="n"/>
    </row>
    <row r="35" ht="15" customHeight="1" s="64">
      <c r="D35" s="80" t="n"/>
      <c r="E35" s="80" t="n"/>
      <c r="F35" s="80" t="n"/>
    </row>
    <row r="36" ht="15" customHeight="1" s="64">
      <c r="D36" s="80" t="n"/>
      <c r="E36" s="80" t="n"/>
      <c r="F36" s="80" t="n"/>
    </row>
    <row r="37" ht="15" customHeight="1" s="64">
      <c r="D37" s="80" t="n"/>
      <c r="E37" s="80" t="n"/>
      <c r="F37" s="80" t="n"/>
    </row>
    <row r="38" ht="15" customHeight="1" s="64">
      <c r="D38" s="80" t="n"/>
      <c r="E38" s="80" t="n"/>
      <c r="F38" s="80" t="n"/>
    </row>
    <row r="39" ht="15" customHeight="1" s="64">
      <c r="D39" s="80" t="n"/>
      <c r="E39" s="80" t="n"/>
      <c r="F39" s="80" t="n"/>
    </row>
    <row r="40" ht="15" customHeight="1" s="64">
      <c r="D40" s="80" t="n"/>
      <c r="E40" s="80" t="n"/>
      <c r="F40" s="80" t="n"/>
    </row>
    <row r="41" ht="15" customHeight="1" s="64">
      <c r="D41" s="78" t="inlineStr">
        <is>
          <t>Thêm loại mới vào các dòng trống phía trên (tối đa đến dòng 40).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&amp;LMr. Wick Kiểm toán | taichinhketoanedu.com&amp;RTrang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L30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8" ySplit="8" topLeftCell="I9" activePane="bottomRight" state="frozen"/>
      <selection pane="topLeft" activeCell="A1" activeCellId="0" sqref="A1"/>
      <selection pane="topRight" activeCell="I1" activeCellId="0" sqref="I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63" min="1" max="1"/>
    <col width="17" customWidth="1" style="63" min="2" max="2"/>
    <col width="10" customWidth="1" style="63" min="3" max="3"/>
    <col width="7" customWidth="1" style="63" min="4" max="4"/>
    <col width="20" customWidth="1" style="63" min="5" max="5"/>
    <col width="15" customWidth="1" style="63" min="6" max="6"/>
    <col width="11" customWidth="1" style="63" min="7" max="7"/>
    <col width="26" customWidth="1" style="63" min="8" max="8"/>
    <col width="13" customWidth="1" style="63" min="9" max="9"/>
    <col width="28" customWidth="1" style="63" min="10" max="10"/>
    <col width="13" customWidth="1" style="63" min="11" max="11"/>
    <col width="14" customWidth="1" style="63" min="12" max="12"/>
    <col width="16" customWidth="1" style="63" min="13" max="13"/>
    <col width="11" customWidth="1" style="63" min="14" max="15"/>
    <col width="9" customWidth="1" style="63" min="16" max="16"/>
    <col width="7" customWidth="1" style="63" min="17" max="17"/>
    <col width="9" customWidth="1" style="63" min="18" max="18"/>
    <col width="15" customWidth="1" style="63" min="19" max="19"/>
    <col width="8" customWidth="1" style="63" min="20" max="20"/>
    <col width="13" customWidth="1" style="63" min="21" max="21"/>
    <col width="15" customWidth="1" style="63" min="22" max="22"/>
    <col width="16" customWidth="1" style="63" min="23" max="23"/>
    <col width="14" customWidth="1" style="63" min="24" max="24"/>
    <col width="16" customWidth="1" style="63" min="25" max="25"/>
    <col width="15" customWidth="1" style="63" min="26" max="28"/>
    <col width="16" customWidth="1" style="63" min="29" max="29"/>
    <col width="9" customWidth="1" style="63" min="30" max="30"/>
    <col width="10" customWidth="1" style="63" min="31" max="31"/>
    <col width="26" customWidth="1" style="63" min="32" max="32"/>
    <col width="14" customWidth="1" style="63" min="33" max="33"/>
    <col width="11" customWidth="1" style="63" min="34" max="34"/>
    <col width="9" customWidth="1" style="63" min="35" max="35"/>
    <col width="18" customWidth="1" style="63" min="36" max="36"/>
    <col width="11" customWidth="1" style="63" min="37" max="37"/>
    <col width="24" customWidth="1" style="63" min="38" max="38"/>
  </cols>
  <sheetData>
    <row r="1" ht="30" customHeight="1" s="64">
      <c r="A1" s="65" t="inlineStr">
        <is>
          <t>SỔ THEO DÕI HỢP ĐỒNG KINH TẾ 2026</t>
        </is>
      </c>
    </row>
    <row r="2" ht="18" customHeight="1" s="64">
      <c r="A2" s="66" t="inlineStr">
        <is>
          <t>KK HOME  |    |  Hệ thống Quản trị Doanh nghiệp – KK HOME 2026</t>
        </is>
      </c>
    </row>
    <row r="3" ht="15" customHeight="1" s="64">
      <c r="A3" s="82" t="inlineStr">
        <is>
          <t>Đơn vị:</t>
        </is>
      </c>
      <c r="C3" s="83">
        <f>'THAM SO'!B5</f>
        <v/>
      </c>
      <c r="H3" s="84" t="inlineStr">
        <is>
          <t>Số HĐ đang thực hiện</t>
        </is>
      </c>
      <c r="I3" s="85">
        <f>COUNTIF($AJ$9:$AJ$308,"Đang thực hiện")+COUNTIF($AJ$9:$AJ$308,"Sắp hết hạn")</f>
        <v/>
      </c>
    </row>
    <row r="4" ht="15" customHeight="1" s="64">
      <c r="A4" s="82" t="inlineStr">
        <is>
          <t>MST:</t>
        </is>
      </c>
      <c r="C4" s="86">
        <f>'THAM SO'!B6</f>
        <v/>
      </c>
      <c r="H4" s="84" t="inlineStr">
        <is>
          <t>Sắp hết hạn</t>
        </is>
      </c>
      <c r="I4" s="87">
        <f>COUNTIF($AJ$9:$AJ$308,"Sắp hết hạn")</f>
        <v/>
      </c>
    </row>
    <row r="5" ht="15" customHeight="1" s="64">
      <c r="A5" s="82" t="inlineStr">
        <is>
          <t>Ngày báo cáo:</t>
        </is>
      </c>
      <c r="C5" s="88">
        <f>'THAM SO'!$B$8</f>
        <v/>
      </c>
      <c r="H5" s="84" t="inlineStr">
        <is>
          <t>Quá hạn chưa thanh lý</t>
        </is>
      </c>
      <c r="I5" s="87">
        <f>COUNTIF($AJ$9:$AJ$308,"Quá hạn – chưa thanh lý")</f>
        <v/>
      </c>
    </row>
    <row r="6" ht="15" customHeight="1" s="64">
      <c r="A6" s="78" t="inlineStr">
        <is>
          <t>Chú giải:  nền vàng = ô nhập  ·  nền xám = công thức, không sửa  ·  dòng CAM = sắp hết hạn  ·  dòng ĐỎ = quá hạn chưa thanh lý  ·  chữ XÁM = đã thanh lý</t>
        </is>
      </c>
    </row>
    <row r="7" ht="15" customHeight="1" s="64">
      <c r="A7" s="89" t="inlineStr">
        <is>
          <t>THÔNG TIN CHUNG</t>
        </is>
      </c>
      <c r="B7" s="90" t="n"/>
      <c r="C7" s="90" t="n"/>
      <c r="D7" s="90" t="n"/>
      <c r="E7" s="90" t="n"/>
      <c r="F7" s="90" t="n"/>
      <c r="G7" s="91" t="n"/>
      <c r="H7" s="89" t="inlineStr">
        <is>
          <t>ĐỐI TÁC &amp; NỘI DUNG</t>
        </is>
      </c>
      <c r="I7" s="90" t="n"/>
      <c r="J7" s="90" t="n"/>
      <c r="K7" s="90" t="n"/>
      <c r="L7" s="90" t="n"/>
      <c r="M7" s="91" t="n"/>
      <c r="N7" s="89" t="inlineStr">
        <is>
          <t>THỜI HẠN</t>
        </is>
      </c>
      <c r="O7" s="90" t="n"/>
      <c r="P7" s="91" t="n"/>
      <c r="Q7" s="89" t="inlineStr">
        <is>
          <t>GIÁ TRỊ HỢP ĐỒNG</t>
        </is>
      </c>
      <c r="R7" s="90" t="n"/>
      <c r="S7" s="90" t="n"/>
      <c r="T7" s="90" t="n"/>
      <c r="U7" s="90" t="n"/>
      <c r="V7" s="90" t="n"/>
      <c r="W7" s="90" t="n"/>
      <c r="X7" s="90" t="n"/>
      <c r="Y7" s="91" t="n"/>
      <c r="Z7" s="89" t="inlineStr">
        <is>
          <t>THỰC HIỆN &amp; CÔNG NỢ</t>
        </is>
      </c>
      <c r="AA7" s="90" t="n"/>
      <c r="AB7" s="90" t="n"/>
      <c r="AC7" s="90" t="n"/>
      <c r="AD7" s="91" t="n"/>
      <c r="AE7" s="89" t="inlineStr">
        <is>
          <t>KIỂM SOÁT</t>
        </is>
      </c>
      <c r="AF7" s="90" t="n"/>
      <c r="AG7" s="90" t="n"/>
      <c r="AH7" s="91" t="n"/>
      <c r="AI7" s="89" t="inlineStr">
        <is>
          <t>TRẠNG THÁI</t>
        </is>
      </c>
      <c r="AJ7" s="90" t="n"/>
      <c r="AK7" s="90" t="n"/>
      <c r="AL7" s="91" t="n"/>
    </row>
    <row r="8" ht="42" customHeight="1" s="64">
      <c r="A8" s="92" t="inlineStr">
        <is>
          <t>STT</t>
        </is>
      </c>
      <c r="B8" s="92" t="inlineStr">
        <is>
          <t>Số HĐ nội bộ
(tự sinh)</t>
        </is>
      </c>
      <c r="C8" s="92" t="inlineStr">
        <is>
          <t>Chiều HĐ</t>
        </is>
      </c>
      <c r="D8" s="92" t="inlineStr">
        <is>
          <t>Mã loại</t>
        </is>
      </c>
      <c r="E8" s="92" t="inlineStr">
        <is>
          <t>Tên loại HĐ</t>
        </is>
      </c>
      <c r="F8" s="92" t="inlineStr">
        <is>
          <t>Số HĐ theo đối tác</t>
        </is>
      </c>
      <c r="G8" s="92" t="inlineStr">
        <is>
          <t>Ngày ký</t>
        </is>
      </c>
      <c r="H8" s="92" t="inlineStr">
        <is>
          <t>Tên đối tác</t>
        </is>
      </c>
      <c r="I8" s="92" t="inlineStr">
        <is>
          <t>MST / CCCD đối tác</t>
        </is>
      </c>
      <c r="J8" s="92" t="inlineStr">
        <is>
          <t>Nội dung / đối tượng HĐ</t>
        </is>
      </c>
      <c r="K8" s="92" t="inlineStr">
        <is>
          <t>Bộ phận phụ trách</t>
        </is>
      </c>
      <c r="L8" s="92" t="inlineStr">
        <is>
          <t>Người theo dõi</t>
        </is>
      </c>
      <c r="M8" s="92" t="inlineStr">
        <is>
          <t>Người ký (bên mình)</t>
        </is>
      </c>
      <c r="N8" s="92" t="inlineStr">
        <is>
          <t>Ngày hiệu lực</t>
        </is>
      </c>
      <c r="O8" s="92" t="inlineStr">
        <is>
          <t>Ngày hết hạn</t>
        </is>
      </c>
      <c r="P8" s="92" t="inlineStr">
        <is>
          <t>Tự động gia hạn?</t>
        </is>
      </c>
      <c r="Q8" s="92" t="inlineStr">
        <is>
          <t>Loại tiền</t>
        </is>
      </c>
      <c r="R8" s="92" t="inlineStr">
        <is>
          <t>Tỷ giá</t>
        </is>
      </c>
      <c r="S8" s="92" t="inlineStr">
        <is>
          <t>Giá trị trước thuế
(nguyên tệ)</t>
        </is>
      </c>
      <c r="T8" s="92" t="inlineStr">
        <is>
          <t>Thuế suất GTGT</t>
        </is>
      </c>
      <c r="U8" s="92" t="inlineStr">
        <is>
          <t>Tiền thuế GTGT
(nguyên tệ)</t>
        </is>
      </c>
      <c r="V8" s="92" t="inlineStr">
        <is>
          <t>Tổng giá trị
(nguyên tệ)</t>
        </is>
      </c>
      <c r="W8" s="92" t="inlineStr">
        <is>
          <t>Tổng giá trị
quy VND</t>
        </is>
      </c>
      <c r="X8" s="92" t="inlineStr">
        <is>
          <t>Phụ lục tăng (+)/
giảm (–) VND</t>
        </is>
      </c>
      <c r="Y8" s="92" t="inlineStr">
        <is>
          <t>Giá trị HĐ sau
điều chỉnh (VND)</t>
        </is>
      </c>
      <c r="Z8" s="92" t="inlineStr">
        <is>
          <t>Lũy kế hóa đơn
(VND)</t>
        </is>
      </c>
      <c r="AA8" s="92" t="inlineStr">
        <is>
          <t>Lũy kế thanh toán
(VND)</t>
        </is>
      </c>
      <c r="AB8" s="92" t="inlineStr">
        <is>
          <t>Còn phải TT
theo HĐ (VND)</t>
        </is>
      </c>
      <c r="AC8" s="92" t="inlineStr">
        <is>
          <t>Công nợ theo HĐơn
(+ còn nợ / – ứng trước)</t>
        </is>
      </c>
      <c r="AD8" s="92" t="inlineStr">
        <is>
          <t>% đã thanh toán</t>
        </is>
      </c>
      <c r="AE8" s="92" t="inlineStr">
        <is>
          <t>Đã rà soát pháp lý?</t>
        </is>
      </c>
      <c r="AF8" s="92" t="inlineStr">
        <is>
          <t>Cảnh báo kiểm soát</t>
        </is>
      </c>
      <c r="AG8" s="92" t="inlineStr">
        <is>
          <t>Bản gốc lưu tại / mã hộp</t>
        </is>
      </c>
      <c r="AH8" s="92" t="inlineStr">
        <is>
          <t>Ngày thanh lý</t>
        </is>
      </c>
      <c r="AI8" s="92" t="inlineStr">
        <is>
          <t>Số ngày còn lại</t>
        </is>
      </c>
      <c r="AJ8" s="92" t="inlineStr">
        <is>
          <t>Trạng thái</t>
        </is>
      </c>
      <c r="AK8" s="92" t="inlineStr">
        <is>
          <t>Lưu hồ sơ đến</t>
        </is>
      </c>
      <c r="AL8" s="92" t="inlineStr">
        <is>
          <t>Ghi chú</t>
        </is>
      </c>
    </row>
    <row r="9" ht="22.35" customHeight="1" s="64">
      <c r="A9" s="93">
        <f>IF(H9="","",COUNTA($H$9:H9))</f>
        <v/>
      </c>
      <c r="B9" s="93">
        <f>IF(OR(D9="",G9=""),"",YEAR(G9)&amp;"/"&amp;D9&amp;"/"&amp;TEXT(SUMPRODUCT(($D$9:D9=D9)*(YEAR($G$9:G9)=YEAR(G9))),"000")&amp;"-"&amp;'THAM SO'!$B$7)</f>
        <v/>
      </c>
      <c r="C9" s="94" t="inlineStr">
        <is>
          <t>Mua vào</t>
        </is>
      </c>
      <c r="D9" s="94" t="inlineStr">
        <is>
          <t>TN</t>
        </is>
      </c>
      <c r="E9" s="95">
        <f>IF(D9="","",IFERROR(VLOOKUP(D9,'THAM SO'!$D$6:$E$40,2,FALSE()),"Mã loại chưa khai báo"))</f>
        <v/>
      </c>
      <c r="F9" s="96" t="inlineStr">
        <is>
          <t>01/2026/HĐTN</t>
        </is>
      </c>
      <c r="G9" s="97" t="n">
        <v>46024</v>
      </c>
      <c r="H9" s="98" t="inlineStr">
        <is>
          <t>Ông Trần Văn Bình</t>
        </is>
      </c>
      <c r="I9" s="96" t="inlineStr">
        <is>
          <t>001080012345</t>
        </is>
      </c>
      <c r="J9" s="98" t="inlineStr">
        <is>
          <t>Thuê văn phòng tầng 3, 120 m²</t>
        </is>
      </c>
      <c r="K9" s="96" t="inlineStr">
        <is>
          <t>Hành chính</t>
        </is>
      </c>
      <c r="L9" s="96" t="inlineStr">
        <is>
          <t>Lê Thu Hà</t>
        </is>
      </c>
      <c r="M9" s="96" t="inlineStr">
        <is>
          <t>Giám đốc</t>
        </is>
      </c>
      <c r="N9" s="97" t="n">
        <v>46027</v>
      </c>
      <c r="O9" s="97" t="n">
        <v>46330</v>
      </c>
      <c r="P9" s="94" t="inlineStr">
        <is>
          <t>Không</t>
        </is>
      </c>
      <c r="Q9" s="94" t="inlineStr">
        <is>
          <t>VND</t>
        </is>
      </c>
      <c r="R9" s="99" t="n">
        <v>1</v>
      </c>
      <c r="S9" s="100" t="n">
        <v>240000000</v>
      </c>
      <c r="T9" s="101" t="n">
        <v>0</v>
      </c>
      <c r="U9" s="102">
        <f>IF(S9="","",ROUND(S9*N(T9),2))</f>
        <v/>
      </c>
      <c r="V9" s="102">
        <f>IF(S9="","",S9+U9)</f>
        <v/>
      </c>
      <c r="W9" s="103">
        <f>IF(V9="","",ROUND(V9*IF(OR(Q9="",Q9="VND"),1,R9),0))</f>
        <v/>
      </c>
      <c r="X9" s="99" t="n"/>
      <c r="Y9" s="103">
        <f>IF(W9="","",W9+N(X9))</f>
        <v/>
      </c>
      <c r="Z9" s="103">
        <f>IF(B9="","",SUMIFS('NHAT KY THANH TOAN'!$G:$G,'NHAT KY THANH TOAN'!$B:$B,B9,'NHAT KY THANH TOAN'!$D:$D,"Hóa đơn"))</f>
        <v/>
      </c>
      <c r="AA9" s="103">
        <f>IF(B9="","",SUMIFS('NHAT KY THANH TOAN'!$G:$G,'NHAT KY THANH TOAN'!$B:$B,B9,'NHAT KY THANH TOAN'!$D:$D,"Thanh toán"))</f>
        <v/>
      </c>
      <c r="AB9" s="103">
        <f>IF(Y9="","",Y9-N(AA9))</f>
        <v/>
      </c>
      <c r="AC9" s="103">
        <f>IF(B9="","",N(Z9)-N(AA9))</f>
        <v/>
      </c>
      <c r="AD9" s="104">
        <f>IF(N(Y9)=0,"",N(AA9)/Y9)</f>
        <v/>
      </c>
      <c r="AE9" s="94" t="inlineStr">
        <is>
          <t>Có</t>
        </is>
      </c>
      <c r="AF9" s="95">
        <f>IF(H9="","",TRIM(IF(AND(N(Y9)&gt;='THAM SO'!$B$10,AE9&lt;&gt;"Có"),"Chưa rà soát pháp lý; ","")&amp;IF(I9="","Thiếu MST đối tác; ","")&amp;IF(AG9="","Chưa ghi nơi lưu bản gốc; ","")&amp;IF(COUNTIFS('NHAT KY THANH TOAN'!$B:$B,B9,'NHAT KY THANH TOAN'!$D:$D,"Thanh toán",'NHAT KY THANH TOAN'!$F:$F,"Tiền mặt",'NHAT KY THANH TOAN'!$G:$G,"&gt;="&amp;'THAM SO'!$B$11)&gt;0,"Có khoản TT tiền mặt ≥ ngưỡng; ","")&amp;IF(AND(AB9&lt;&gt;"",N(AB9)&lt;0),"Thanh toán vượt giá trị HĐ; ","")))</f>
        <v/>
      </c>
      <c r="AG9" s="96" t="inlineStr">
        <is>
          <t>Hộp HĐ-2026-01</t>
        </is>
      </c>
      <c r="AH9" s="97" t="n"/>
      <c r="AI9" s="105">
        <f>IF(OR(H9="",O9="",AH9&lt;&gt;""),"",O9-'THAM SO'!$B$8)</f>
        <v/>
      </c>
      <c r="AJ9" s="95">
        <f>IF(H9="","",IF(AH9&lt;&gt;"","Đã thanh lý",IF(AND(N9&lt;&gt;"",N9&gt;'THAM SO'!$B$8),"Chưa hiệu lực",IF(O9="","Đang thực hiện",IF(O9&lt;'THAM SO'!$B$8,IF(P9="Có","Đã tự gia hạn – kiểm tra","Quá hạn – chưa thanh lý"),IF(O9-'THAM SO'!$B$8&lt;='THAM SO'!$B$9,"Sắp hết hạn","Đang thực hiện"))))))</f>
        <v/>
      </c>
      <c r="AK9" s="106">
        <f>IF(AND(O9="",AH9=""),"",EDATE(MAX(N(O9),N(AH9)),12*'THAM SO'!$B$12))</f>
        <v/>
      </c>
      <c r="AL9" s="98" t="inlineStr">
        <is>
          <t>Dòng 9–13: dữ liệu VÍ DỤ, xóa trước khi dùng</t>
        </is>
      </c>
    </row>
    <row r="10" ht="22.35" customHeight="1" s="64">
      <c r="A10" s="93">
        <f>IF(H10="","",COUNTA($H$9:H10))</f>
        <v/>
      </c>
      <c r="B10" s="93">
        <f>IF(OR(D10="",G10=""),"",YEAR(G10)&amp;"/"&amp;D10&amp;"/"&amp;TEXT(SUMPRODUCT(($D$9:D10=D10)*(YEAR($G$9:G10)=YEAR(G10))),"000")&amp;"-"&amp;'THAM SO'!$B$7)</f>
        <v/>
      </c>
      <c r="C10" s="94" t="inlineStr">
        <is>
          <t>Bán ra</t>
        </is>
      </c>
      <c r="D10" s="94" t="inlineStr">
        <is>
          <t>BH</t>
        </is>
      </c>
      <c r="E10" s="95">
        <f>IF(D10="","",IFERROR(VLOOKUP(D10,'THAM SO'!$D$6:$E$40,2,FALSE()),"Mã loại chưa khai báo"))</f>
        <v/>
      </c>
      <c r="F10" s="96" t="inlineStr">
        <is>
          <t>PO-7781</t>
        </is>
      </c>
      <c r="G10" s="97" t="n">
        <v>46063</v>
      </c>
      <c r="H10" s="98" t="inlineStr">
        <is>
          <t>Công ty CP Thương mại Minh Phát</t>
        </is>
      </c>
      <c r="I10" s="96" t="inlineStr">
        <is>
          <t>0108765432</t>
        </is>
      </c>
      <c r="J10" s="98" t="inlineStr">
        <is>
          <t>Cung cấp 5.000 thùng sản phẩm A</t>
        </is>
      </c>
      <c r="K10" s="96" t="inlineStr">
        <is>
          <t>Kinh doanh</t>
        </is>
      </c>
      <c r="L10" s="96" t="inlineStr">
        <is>
          <t>Phạm Đức Anh</t>
        </is>
      </c>
      <c r="M10" s="96" t="inlineStr">
        <is>
          <t>Giám đốc</t>
        </is>
      </c>
      <c r="N10" s="97" t="n">
        <v>46063</v>
      </c>
      <c r="O10" s="97" t="n">
        <v>46387</v>
      </c>
      <c r="P10" s="94" t="inlineStr">
        <is>
          <t>Không</t>
        </is>
      </c>
      <c r="Q10" s="94" t="inlineStr">
        <is>
          <t>VND</t>
        </is>
      </c>
      <c r="R10" s="99" t="n">
        <v>1</v>
      </c>
      <c r="S10" s="100" t="n">
        <v>850000000</v>
      </c>
      <c r="T10" s="101" t="n">
        <v>0.08</v>
      </c>
      <c r="U10" s="102">
        <f>IF(S10="","",ROUND(S10*N(T10),2))</f>
        <v/>
      </c>
      <c r="V10" s="102">
        <f>IF(S10="","",S10+U10)</f>
        <v/>
      </c>
      <c r="W10" s="103">
        <f>IF(V10="","",ROUND(V10*IF(OR(Q10="",Q10="VND"),1,R10),0))</f>
        <v/>
      </c>
      <c r="X10" s="99" t="n"/>
      <c r="Y10" s="103">
        <f>IF(W10="","",W10+N(X10))</f>
        <v/>
      </c>
      <c r="Z10" s="103">
        <f>IF(B10="","",SUMIFS('NHAT KY THANH TOAN'!$G:$G,'NHAT KY THANH TOAN'!$B:$B,B10,'NHAT KY THANH TOAN'!$D:$D,"Hóa đơn"))</f>
        <v/>
      </c>
      <c r="AA10" s="103">
        <f>IF(B10="","",SUMIFS('NHAT KY THANH TOAN'!$G:$G,'NHAT KY THANH TOAN'!$B:$B,B10,'NHAT KY THANH TOAN'!$D:$D,"Thanh toán"))</f>
        <v/>
      </c>
      <c r="AB10" s="103">
        <f>IF(Y10="","",Y10-N(AA10))</f>
        <v/>
      </c>
      <c r="AC10" s="103">
        <f>IF(B10="","",N(Z10)-N(AA10))</f>
        <v/>
      </c>
      <c r="AD10" s="104">
        <f>IF(N(Y10)=0,"",N(AA10)/Y10)</f>
        <v/>
      </c>
      <c r="AE10" s="94" t="inlineStr">
        <is>
          <t>Có</t>
        </is>
      </c>
      <c r="AF10" s="95">
        <f>IF(H10="","",TRIM(IF(AND(N(Y10)&gt;='THAM SO'!$B$10,AE10&lt;&gt;"Có"),"Chưa rà soát pháp lý; ","")&amp;IF(I10="","Thiếu MST đối tác; ","")&amp;IF(AG10="","Chưa ghi nơi lưu bản gốc; ","")&amp;IF(COUNTIFS('NHAT KY THANH TOAN'!$B:$B,B10,'NHAT KY THANH TOAN'!$D:$D,"Thanh toán",'NHAT KY THANH TOAN'!$F:$F,"Tiền mặt",'NHAT KY THANH TOAN'!$G:$G,"&gt;="&amp;'THAM SO'!$B$11)&gt;0,"Có khoản TT tiền mặt ≥ ngưỡng; ","")&amp;IF(AND(AB10&lt;&gt;"",N(AB10)&lt;0),"Thanh toán vượt giá trị HĐ; ","")))</f>
        <v/>
      </c>
      <c r="AG10" s="96" t="inlineStr">
        <is>
          <t>Hộp HĐ-2026-01</t>
        </is>
      </c>
      <c r="AH10" s="97" t="n"/>
      <c r="AI10" s="105">
        <f>IF(OR(H10="",O10="",AH10&lt;&gt;""),"",O10-'THAM SO'!$B$8)</f>
        <v/>
      </c>
      <c r="AJ10" s="95">
        <f>IF(H10="","",IF(AH10&lt;&gt;"","Đã thanh lý",IF(AND(N10&lt;&gt;"",N10&gt;'THAM SO'!$B$8),"Chưa hiệu lực",IF(O10="","Đang thực hiện",IF(O10&lt;'THAM SO'!$B$8,IF(P10="Có","Đã tự gia hạn – kiểm tra","Quá hạn – chưa thanh lý"),IF(O10-'THAM SO'!$B$8&lt;='THAM SO'!$B$9,"Sắp hết hạn","Đang thực hiện"))))))</f>
        <v/>
      </c>
      <c r="AK10" s="106">
        <f>IF(AND(O10="",AH10=""),"",EDATE(MAX(N(O10),N(AH10)),12*'THAM SO'!$B$12))</f>
        <v/>
      </c>
      <c r="AL10" s="98" t="n"/>
    </row>
    <row r="11" ht="22.35" customHeight="1" s="64">
      <c r="A11" s="93">
        <f>IF(H11="","",COUNTA($H$9:H11))</f>
        <v/>
      </c>
      <c r="B11" s="93">
        <f>IF(OR(D11="",G11=""),"",YEAR(G11)&amp;"/"&amp;D11&amp;"/"&amp;TEXT(SUMPRODUCT(($D$9:D11=D11)*(YEAR($G$9:G11)=YEAR(G11))),"000")&amp;"-"&amp;'THAM SO'!$B$7)</f>
        <v/>
      </c>
      <c r="C11" s="94" t="inlineStr">
        <is>
          <t>Mua vào</t>
        </is>
      </c>
      <c r="D11" s="94" t="inlineStr">
        <is>
          <t>DV</t>
        </is>
      </c>
      <c r="E11" s="95">
        <f>IF(D11="","",IFERROR(VLOOKUP(D11,'THAM SO'!$D$6:$E$40,2,FALSE()),"Mã loại chưa khai báo"))</f>
        <v/>
      </c>
      <c r="F11" s="96" t="n"/>
      <c r="G11" s="97" t="n">
        <v>46082</v>
      </c>
      <c r="H11" s="98" t="inlineStr">
        <is>
          <t>Công ty TNHH Dịch vụ Kế toán XYZ</t>
        </is>
      </c>
      <c r="I11" s="96" t="inlineStr">
        <is>
          <t>0312345678</t>
        </is>
      </c>
      <c r="J11" s="98" t="inlineStr">
        <is>
          <t>Dịch vụ kế toán, BHXH, thuế TNCN năm 2026</t>
        </is>
      </c>
      <c r="K11" s="96" t="inlineStr">
        <is>
          <t>Kế toán</t>
        </is>
      </c>
      <c r="L11" s="96" t="inlineStr">
        <is>
          <t>Nguyễn Thị Lan</t>
        </is>
      </c>
      <c r="M11" s="96" t="inlineStr">
        <is>
          <t>Giám đốc</t>
        </is>
      </c>
      <c r="N11" s="97" t="n">
        <v>46082</v>
      </c>
      <c r="O11" s="97" t="n">
        <v>46265</v>
      </c>
      <c r="P11" s="94" t="inlineStr">
        <is>
          <t>Không</t>
        </is>
      </c>
      <c r="Q11" s="94" t="inlineStr">
        <is>
          <t>VND</t>
        </is>
      </c>
      <c r="R11" s="99" t="n">
        <v>1</v>
      </c>
      <c r="S11" s="100" t="n">
        <v>36000000</v>
      </c>
      <c r="T11" s="101" t="n">
        <v>0.1</v>
      </c>
      <c r="U11" s="102">
        <f>IF(S11="","",ROUND(S11*N(T11),2))</f>
        <v/>
      </c>
      <c r="V11" s="102">
        <f>IF(S11="","",S11+U11)</f>
        <v/>
      </c>
      <c r="W11" s="103">
        <f>IF(V11="","",ROUND(V11*IF(OR(Q11="",Q11="VND"),1,R11),0))</f>
        <v/>
      </c>
      <c r="X11" s="99" t="n"/>
      <c r="Y11" s="103">
        <f>IF(W11="","",W11+N(X11))</f>
        <v/>
      </c>
      <c r="Z11" s="103">
        <f>IF(B11="","",SUMIFS('NHAT KY THANH TOAN'!$G:$G,'NHAT KY THANH TOAN'!$B:$B,B11,'NHAT KY THANH TOAN'!$D:$D,"Hóa đơn"))</f>
        <v/>
      </c>
      <c r="AA11" s="103">
        <f>IF(B11="","",SUMIFS('NHAT KY THANH TOAN'!$G:$G,'NHAT KY THANH TOAN'!$B:$B,B11,'NHAT KY THANH TOAN'!$D:$D,"Thanh toán"))</f>
        <v/>
      </c>
      <c r="AB11" s="103">
        <f>IF(Y11="","",Y11-N(AA11))</f>
        <v/>
      </c>
      <c r="AC11" s="103">
        <f>IF(B11="","",N(Z11)-N(AA11))</f>
        <v/>
      </c>
      <c r="AD11" s="104">
        <f>IF(N(Y11)=0,"",N(AA11)/Y11)</f>
        <v/>
      </c>
      <c r="AE11" s="94" t="inlineStr">
        <is>
          <t>Không</t>
        </is>
      </c>
      <c r="AF11" s="95">
        <f>IF(H11="","",TRIM(IF(AND(N(Y11)&gt;='THAM SO'!$B$10,AE11&lt;&gt;"Có"),"Chưa rà soát pháp lý; ","")&amp;IF(I11="","Thiếu MST đối tác; ","")&amp;IF(AG11="","Chưa ghi nơi lưu bản gốc; ","")&amp;IF(COUNTIFS('NHAT KY THANH TOAN'!$B:$B,B11,'NHAT KY THANH TOAN'!$D:$D,"Thanh toán",'NHAT KY THANH TOAN'!$F:$F,"Tiền mặt",'NHAT KY THANH TOAN'!$G:$G,"&gt;="&amp;'THAM SO'!$B$11)&gt;0,"Có khoản TT tiền mặt ≥ ngưỡng; ","")&amp;IF(AND(AB11&lt;&gt;"",N(AB11)&lt;0),"Thanh toán vượt giá trị HĐ; ","")))</f>
        <v/>
      </c>
      <c r="AG11" s="96" t="n"/>
      <c r="AH11" s="97" t="n"/>
      <c r="AI11" s="105">
        <f>IF(OR(H11="",O11="",AH11&lt;&gt;""),"",O11-'THAM SO'!$B$8)</f>
        <v/>
      </c>
      <c r="AJ11" s="95">
        <f>IF(H11="","",IF(AH11&lt;&gt;"","Đã thanh lý",IF(AND(N11&lt;&gt;"",N11&gt;'THAM SO'!$B$8),"Chưa hiệu lực",IF(O11="","Đang thực hiện",IF(O11&lt;'THAM SO'!$B$8,IF(P11="Có","Đã tự gia hạn – kiểm tra","Quá hạn – chưa thanh lý"),IF(O11-'THAM SO'!$B$8&lt;='THAM SO'!$B$9,"Sắp hết hạn","Đang thực hiện"))))))</f>
        <v/>
      </c>
      <c r="AK11" s="106">
        <f>IF(AND(O11="",AH11=""),"",EDATE(MAX(N(O11),N(AH11)),12*'THAM SO'!$B$12))</f>
        <v/>
      </c>
      <c r="AL11" s="98" t="n"/>
    </row>
    <row r="12" ht="15" customHeight="1" s="64">
      <c r="A12" s="93">
        <f>IF(H12="","",COUNTA($H$9:H12))</f>
        <v/>
      </c>
      <c r="B12" s="93">
        <f>IF(OR(D12="",G12=""),"",YEAR(G12)&amp;"/"&amp;D12&amp;"/"&amp;TEXT(SUMPRODUCT(($D$9:D12=D12)*(YEAR($G$9:G12)=YEAR(G12))),"000")&amp;"-"&amp;'THAM SO'!$B$7)</f>
        <v/>
      </c>
      <c r="C12" s="94" t="inlineStr">
        <is>
          <t>Mua vào</t>
        </is>
      </c>
      <c r="D12" s="94" t="inlineStr">
        <is>
          <t>MH</t>
        </is>
      </c>
      <c r="E12" s="95">
        <f>IF(D12="","",IFERROR(VLOOKUP(D12,'THAM SO'!$D$6:$E$40,2,FALSE()),"Mã loại chưa khai báo"))</f>
        <v/>
      </c>
      <c r="F12" s="96" t="inlineStr">
        <is>
          <t>SC-2026-015</t>
        </is>
      </c>
      <c r="G12" s="97" t="n">
        <v>46127</v>
      </c>
      <c r="H12" s="98" t="inlineStr">
        <is>
          <t>Shanghai ABC Machinery Co., Ltd</t>
        </is>
      </c>
      <c r="I12" s="96" t="n"/>
      <c r="J12" s="98" t="inlineStr">
        <is>
          <t>Nhập khẩu 02 máy đóng gói</t>
        </is>
      </c>
      <c r="K12" s="96" t="inlineStr">
        <is>
          <t>Mua hàng</t>
        </is>
      </c>
      <c r="L12" s="96" t="inlineStr">
        <is>
          <t>Vũ Minh Tuấn</t>
        </is>
      </c>
      <c r="M12" s="96" t="inlineStr">
        <is>
          <t>Giám đốc</t>
        </is>
      </c>
      <c r="N12" s="97" t="n">
        <v>46127</v>
      </c>
      <c r="O12" s="97" t="n">
        <v>46491</v>
      </c>
      <c r="P12" s="94" t="inlineStr">
        <is>
          <t>Không</t>
        </is>
      </c>
      <c r="Q12" s="94" t="inlineStr">
        <is>
          <t>USD</t>
        </is>
      </c>
      <c r="R12" s="99" t="n">
        <v>26150</v>
      </c>
      <c r="S12" s="100" t="n">
        <v>48000</v>
      </c>
      <c r="T12" s="101" t="n">
        <v>0</v>
      </c>
      <c r="U12" s="102">
        <f>IF(S12="","",ROUND(S12*N(T12),2))</f>
        <v/>
      </c>
      <c r="V12" s="102">
        <f>IF(S12="","",S12+U12)</f>
        <v/>
      </c>
      <c r="W12" s="103">
        <f>IF(V12="","",ROUND(V12*IF(OR(Q12="",Q12="VND"),1,R12),0))</f>
        <v/>
      </c>
      <c r="X12" s="99" t="n"/>
      <c r="Y12" s="103">
        <f>IF(W12="","",W12+N(X12))</f>
        <v/>
      </c>
      <c r="Z12" s="103">
        <f>IF(B12="","",SUMIFS('NHAT KY THANH TOAN'!$G:$G,'NHAT KY THANH TOAN'!$B:$B,B12,'NHAT KY THANH TOAN'!$D:$D,"Hóa đơn"))</f>
        <v/>
      </c>
      <c r="AA12" s="103">
        <f>IF(B12="","",SUMIFS('NHAT KY THANH TOAN'!$G:$G,'NHAT KY THANH TOAN'!$B:$B,B12,'NHAT KY THANH TOAN'!$D:$D,"Thanh toán"))</f>
        <v/>
      </c>
      <c r="AB12" s="103">
        <f>IF(Y12="","",Y12-N(AA12))</f>
        <v/>
      </c>
      <c r="AC12" s="103">
        <f>IF(B12="","",N(Z12)-N(AA12))</f>
        <v/>
      </c>
      <c r="AD12" s="104">
        <f>IF(N(Y12)=0,"",N(AA12)/Y12)</f>
        <v/>
      </c>
      <c r="AE12" s="94" t="inlineStr">
        <is>
          <t>Có</t>
        </is>
      </c>
      <c r="AF12" s="95">
        <f>IF(H12="","",TRIM(IF(AND(N(Y12)&gt;='THAM SO'!$B$10,AE12&lt;&gt;"Có"),"Chưa rà soát pháp lý; ","")&amp;IF(I12="","Thiếu MST đối tác; ","")&amp;IF(AG12="","Chưa ghi nơi lưu bản gốc; ","")&amp;IF(COUNTIFS('NHAT KY THANH TOAN'!$B:$B,B12,'NHAT KY THANH TOAN'!$D:$D,"Thanh toán",'NHAT KY THANH TOAN'!$F:$F,"Tiền mặt",'NHAT KY THANH TOAN'!$G:$G,"&gt;="&amp;'THAM SO'!$B$11)&gt;0,"Có khoản TT tiền mặt ≥ ngưỡng; ","")&amp;IF(AND(AB12&lt;&gt;"",N(AB12)&lt;0),"Thanh toán vượt giá trị HĐ; ","")))</f>
        <v/>
      </c>
      <c r="AG12" s="96" t="inlineStr">
        <is>
          <t>Hộp HĐ-2026-02</t>
        </is>
      </c>
      <c r="AH12" s="97" t="n"/>
      <c r="AI12" s="105">
        <f>IF(OR(H12="",O12="",AH12&lt;&gt;""),"",O12-'THAM SO'!$B$8)</f>
        <v/>
      </c>
      <c r="AJ12" s="95">
        <f>IF(H12="","",IF(AH12&lt;&gt;"","Đã thanh lý",IF(AND(N12&lt;&gt;"",N12&gt;'THAM SO'!$B$8),"Chưa hiệu lực",IF(O12="","Đang thực hiện",IF(O12&lt;'THAM SO'!$B$8,IF(P12="Có","Đã tự gia hạn – kiểm tra","Quá hạn – chưa thanh lý"),IF(O12-'THAM SO'!$B$8&lt;='THAM SO'!$B$9,"Sắp hết hạn","Đang thực hiện"))))))</f>
        <v/>
      </c>
      <c r="AK12" s="106">
        <f>IF(AND(O12="",AH12=""),"",EDATE(MAX(N(O12),N(AH12)),12*'THAM SO'!$B$12))</f>
        <v/>
      </c>
      <c r="AL12" s="98" t="n"/>
    </row>
    <row r="13" ht="22.35" customHeight="1" s="64">
      <c r="A13" s="93">
        <f>IF(H13="","",COUNTA($H$9:H13))</f>
        <v/>
      </c>
      <c r="B13" s="93">
        <f>IF(OR(D13="",G13=""),"",YEAR(G13)&amp;"/"&amp;D13&amp;"/"&amp;TEXT(SUMPRODUCT(($D$9:D13=D13)*(YEAR($G$9:G13)=YEAR(G13))),"000")&amp;"-"&amp;'THAM SO'!$B$7)</f>
        <v/>
      </c>
      <c r="C13" s="94" t="inlineStr">
        <is>
          <t>Bán ra</t>
        </is>
      </c>
      <c r="D13" s="94" t="inlineStr">
        <is>
          <t>DV</t>
        </is>
      </c>
      <c r="E13" s="95">
        <f>IF(D13="","",IFERROR(VLOOKUP(D13,'THAM SO'!$D$6:$E$40,2,FALSE()),"Mã loại chưa khai báo"))</f>
        <v/>
      </c>
      <c r="F13" s="96" t="n"/>
      <c r="G13" s="97" t="n">
        <v>46193</v>
      </c>
      <c r="H13" s="98" t="inlineStr">
        <is>
          <t>Công ty TNHH Xây dựng Hòa Bình An</t>
        </is>
      </c>
      <c r="I13" s="96" t="inlineStr">
        <is>
          <t>0109988776</t>
        </is>
      </c>
      <c r="J13" s="98" t="inlineStr">
        <is>
          <t>Bảo trì hệ thống máy 12 tháng</t>
        </is>
      </c>
      <c r="K13" s="96" t="inlineStr">
        <is>
          <t>Kỹ thuật</t>
        </is>
      </c>
      <c r="L13" s="96" t="inlineStr">
        <is>
          <t>Đỗ Văn Khoa</t>
        </is>
      </c>
      <c r="M13" s="96" t="inlineStr">
        <is>
          <t>Phó Giám đốc (UQ)</t>
        </is>
      </c>
      <c r="N13" s="97" t="n">
        <v>46204</v>
      </c>
      <c r="O13" s="97" t="n">
        <v>46568</v>
      </c>
      <c r="P13" s="94" t="inlineStr">
        <is>
          <t>Có</t>
        </is>
      </c>
      <c r="Q13" s="94" t="inlineStr">
        <is>
          <t>VND</t>
        </is>
      </c>
      <c r="R13" s="99" t="n">
        <v>1</v>
      </c>
      <c r="S13" s="100" t="n">
        <v>120000000</v>
      </c>
      <c r="T13" s="101" t="n">
        <v>0.08</v>
      </c>
      <c r="U13" s="102">
        <f>IF(S13="","",ROUND(S13*N(T13),2))</f>
        <v/>
      </c>
      <c r="V13" s="102">
        <f>IF(S13="","",S13+U13)</f>
        <v/>
      </c>
      <c r="W13" s="103">
        <f>IF(V13="","",ROUND(V13*IF(OR(Q13="",Q13="VND"),1,R13),0))</f>
        <v/>
      </c>
      <c r="X13" s="99" t="n"/>
      <c r="Y13" s="103">
        <f>IF(W13="","",W13+N(X13))</f>
        <v/>
      </c>
      <c r="Z13" s="103">
        <f>IF(B13="","",SUMIFS('NHAT KY THANH TOAN'!$G:$G,'NHAT KY THANH TOAN'!$B:$B,B13,'NHAT KY THANH TOAN'!$D:$D,"Hóa đơn"))</f>
        <v/>
      </c>
      <c r="AA13" s="103">
        <f>IF(B13="","",SUMIFS('NHAT KY THANH TOAN'!$G:$G,'NHAT KY THANH TOAN'!$B:$B,B13,'NHAT KY THANH TOAN'!$D:$D,"Thanh toán"))</f>
        <v/>
      </c>
      <c r="AB13" s="103">
        <f>IF(Y13="","",Y13-N(AA13))</f>
        <v/>
      </c>
      <c r="AC13" s="103">
        <f>IF(B13="","",N(Z13)-N(AA13))</f>
        <v/>
      </c>
      <c r="AD13" s="104">
        <f>IF(N(Y13)=0,"",N(AA13)/Y13)</f>
        <v/>
      </c>
      <c r="AE13" s="94" t="inlineStr">
        <is>
          <t>Có</t>
        </is>
      </c>
      <c r="AF13" s="95">
        <f>IF(H13="","",TRIM(IF(AND(N(Y13)&gt;='THAM SO'!$B$10,AE13&lt;&gt;"Có"),"Chưa rà soát pháp lý; ","")&amp;IF(I13="","Thiếu MST đối tác; ","")&amp;IF(AG13="","Chưa ghi nơi lưu bản gốc; ","")&amp;IF(COUNTIFS('NHAT KY THANH TOAN'!$B:$B,B13,'NHAT KY THANH TOAN'!$D:$D,"Thanh toán",'NHAT KY THANH TOAN'!$F:$F,"Tiền mặt",'NHAT KY THANH TOAN'!$G:$G,"&gt;="&amp;'THAM SO'!$B$11)&gt;0,"Có khoản TT tiền mặt ≥ ngưỡng; ","")&amp;IF(AND(AB13&lt;&gt;"",N(AB13)&lt;0),"Thanh toán vượt giá trị HĐ; ","")))</f>
        <v/>
      </c>
      <c r="AG13" s="96" t="inlineStr">
        <is>
          <t>Hộp HĐ-2026-02</t>
        </is>
      </c>
      <c r="AH13" s="97" t="n"/>
      <c r="AI13" s="105">
        <f>IF(OR(H13="",O13="",AH13&lt;&gt;""),"",O13-'THAM SO'!$B$8)</f>
        <v/>
      </c>
      <c r="AJ13" s="95">
        <f>IF(H13="","",IF(AH13&lt;&gt;"","Đã thanh lý",IF(AND(N13&lt;&gt;"",N13&gt;'THAM SO'!$B$8),"Chưa hiệu lực",IF(O13="","Đang thực hiện",IF(O13&lt;'THAM SO'!$B$8,IF(P13="Có","Đã tự gia hạn – kiểm tra","Quá hạn – chưa thanh lý"),IF(O13-'THAM SO'!$B$8&lt;='THAM SO'!$B$9,"Sắp hết hạn","Đang thực hiện"))))))</f>
        <v/>
      </c>
      <c r="AK13" s="106">
        <f>IF(AND(O13="",AH13=""),"",EDATE(MAX(N(O13),N(AH13)),12*'THAM SO'!$B$12))</f>
        <v/>
      </c>
      <c r="AL13" s="98" t="n"/>
    </row>
    <row r="14" ht="15" customHeight="1" s="64">
      <c r="A14" s="93">
        <f>IF(H14="","",COUNTA($H$9:H14))</f>
        <v/>
      </c>
      <c r="B14" s="93">
        <f>IF(OR(D14="",G14=""),"",YEAR(G14)&amp;"/"&amp;D14&amp;"/"&amp;TEXT(SUMPRODUCT(($D$9:D14=D14)*(YEAR($G$9:G14)=YEAR(G14))),"000")&amp;"-"&amp;'THAM SO'!$B$7)</f>
        <v/>
      </c>
      <c r="C14" s="107" t="n"/>
      <c r="D14" s="107" t="n"/>
      <c r="E14" s="95">
        <f>IF(D14="","",IFERROR(VLOOKUP(D14,'THAM SO'!$D$6:$E$40,2,FALSE()),"Mã loại chưa khai báo"))</f>
        <v/>
      </c>
      <c r="F14" s="108" t="n"/>
      <c r="G14" s="109" t="n"/>
      <c r="H14" s="110" t="n"/>
      <c r="I14" s="108" t="n"/>
      <c r="J14" s="110" t="n"/>
      <c r="K14" s="108" t="n"/>
      <c r="L14" s="108" t="n"/>
      <c r="M14" s="108" t="n"/>
      <c r="N14" s="109" t="n"/>
      <c r="O14" s="109" t="n"/>
      <c r="P14" s="107" t="n"/>
      <c r="Q14" s="107" t="n"/>
      <c r="R14" s="111" t="n"/>
      <c r="S14" s="112" t="n"/>
      <c r="T14" s="113" t="n"/>
      <c r="U14" s="102">
        <f>IF(S14="","",ROUND(S14*N(T14),2))</f>
        <v/>
      </c>
      <c r="V14" s="102">
        <f>IF(S14="","",S14+U14)</f>
        <v/>
      </c>
      <c r="W14" s="103">
        <f>IF(V14="","",ROUND(V14*IF(OR(Q14="",Q14="VND"),1,R14),0))</f>
        <v/>
      </c>
      <c r="X14" s="111" t="n"/>
      <c r="Y14" s="103">
        <f>IF(W14="","",W14+N(X14))</f>
        <v/>
      </c>
      <c r="Z14" s="103">
        <f>IF(B14="","",SUMIFS('NHAT KY THANH TOAN'!$G:$G,'NHAT KY THANH TOAN'!$B:$B,B14,'NHAT KY THANH TOAN'!$D:$D,"Hóa đơn"))</f>
        <v/>
      </c>
      <c r="AA14" s="103">
        <f>IF(B14="","",SUMIFS('NHAT KY THANH TOAN'!$G:$G,'NHAT KY THANH TOAN'!$B:$B,B14,'NHAT KY THANH TOAN'!$D:$D,"Thanh toán"))</f>
        <v/>
      </c>
      <c r="AB14" s="103">
        <f>IF(Y14="","",Y14-N(AA14))</f>
        <v/>
      </c>
      <c r="AC14" s="103">
        <f>IF(B14="","",N(Z14)-N(AA14))</f>
        <v/>
      </c>
      <c r="AD14" s="104">
        <f>IF(N(Y14)=0,"",N(AA14)/Y14)</f>
        <v/>
      </c>
      <c r="AE14" s="107" t="n"/>
      <c r="AF14" s="95">
        <f>IF(H14="","",TRIM(IF(AND(N(Y14)&gt;='THAM SO'!$B$10,AE14&lt;&gt;"Có"),"Chưa rà soát pháp lý; ","")&amp;IF(I14="","Thiếu MST đối tác; ","")&amp;IF(AG14="","Chưa ghi nơi lưu bản gốc; ","")&amp;IF(COUNTIFS('NHAT KY THANH TOAN'!$B:$B,B14,'NHAT KY THANH TOAN'!$D:$D,"Thanh toán",'NHAT KY THANH TOAN'!$F:$F,"Tiền mặt",'NHAT KY THANH TOAN'!$G:$G,"&gt;="&amp;'THAM SO'!$B$11)&gt;0,"Có khoản TT tiền mặt ≥ ngưỡng; ","")&amp;IF(AND(AB14&lt;&gt;"",N(AB14)&lt;0),"Thanh toán vượt giá trị HĐ; ","")))</f>
        <v/>
      </c>
      <c r="AG14" s="108" t="n"/>
      <c r="AH14" s="109" t="n"/>
      <c r="AI14" s="105">
        <f>IF(OR(H14="",O14="",AH14&lt;&gt;""),"",O14-'THAM SO'!$B$8)</f>
        <v/>
      </c>
      <c r="AJ14" s="95">
        <f>IF(H14="","",IF(AH14&lt;&gt;"","Đã thanh lý",IF(AND(N14&lt;&gt;"",N14&gt;'THAM SO'!$B$8),"Chưa hiệu lực",IF(O14="","Đang thực hiện",IF(O14&lt;'THAM SO'!$B$8,IF(P14="Có","Đã tự gia hạn – kiểm tra","Quá hạn – chưa thanh lý"),IF(O14-'THAM SO'!$B$8&lt;='THAM SO'!$B$9,"Sắp hết hạn","Đang thực hiện"))))))</f>
        <v/>
      </c>
      <c r="AK14" s="106">
        <f>IF(AND(O14="",AH14=""),"",EDATE(MAX(N(O14),N(AH14)),12*'THAM SO'!$B$12))</f>
        <v/>
      </c>
      <c r="AL14" s="110" t="n"/>
    </row>
    <row r="15" ht="15" customHeight="1" s="64">
      <c r="A15" s="93">
        <f>IF(H15="","",COUNTA($H$9:H15))</f>
        <v/>
      </c>
      <c r="B15" s="93">
        <f>IF(OR(D15="",G15=""),"",YEAR(G15)&amp;"/"&amp;D15&amp;"/"&amp;TEXT(SUMPRODUCT(($D$9:D15=D15)*(YEAR($G$9:G15)=YEAR(G15))),"000")&amp;"-"&amp;'THAM SO'!$B$7)</f>
        <v/>
      </c>
      <c r="C15" s="107" t="n"/>
      <c r="D15" s="107" t="n"/>
      <c r="E15" s="95">
        <f>IF(D15="","",IFERROR(VLOOKUP(D15,'THAM SO'!$D$6:$E$40,2,FALSE()),"Mã loại chưa khai báo"))</f>
        <v/>
      </c>
      <c r="F15" s="108" t="n"/>
      <c r="G15" s="109" t="n"/>
      <c r="H15" s="110" t="n"/>
      <c r="I15" s="108" t="n"/>
      <c r="J15" s="110" t="n"/>
      <c r="K15" s="108" t="n"/>
      <c r="L15" s="108" t="n"/>
      <c r="M15" s="108" t="n"/>
      <c r="N15" s="109" t="n"/>
      <c r="O15" s="109" t="n"/>
      <c r="P15" s="107" t="n"/>
      <c r="Q15" s="107" t="n"/>
      <c r="R15" s="111" t="n"/>
      <c r="S15" s="112" t="n"/>
      <c r="T15" s="113" t="n"/>
      <c r="U15" s="102">
        <f>IF(S15="","",ROUND(S15*N(T15),2))</f>
        <v/>
      </c>
      <c r="V15" s="102">
        <f>IF(S15="","",S15+U15)</f>
        <v/>
      </c>
      <c r="W15" s="103">
        <f>IF(V15="","",ROUND(V15*IF(OR(Q15="",Q15="VND"),1,R15),0))</f>
        <v/>
      </c>
      <c r="X15" s="111" t="n"/>
      <c r="Y15" s="103">
        <f>IF(W15="","",W15+N(X15))</f>
        <v/>
      </c>
      <c r="Z15" s="103">
        <f>IF(B15="","",SUMIFS('NHAT KY THANH TOAN'!$G:$G,'NHAT KY THANH TOAN'!$B:$B,B15,'NHAT KY THANH TOAN'!$D:$D,"Hóa đơn"))</f>
        <v/>
      </c>
      <c r="AA15" s="103">
        <f>IF(B15="","",SUMIFS('NHAT KY THANH TOAN'!$G:$G,'NHAT KY THANH TOAN'!$B:$B,B15,'NHAT KY THANH TOAN'!$D:$D,"Thanh toán"))</f>
        <v/>
      </c>
      <c r="AB15" s="103">
        <f>IF(Y15="","",Y15-N(AA15))</f>
        <v/>
      </c>
      <c r="AC15" s="103">
        <f>IF(B15="","",N(Z15)-N(AA15))</f>
        <v/>
      </c>
      <c r="AD15" s="104">
        <f>IF(N(Y15)=0,"",N(AA15)/Y15)</f>
        <v/>
      </c>
      <c r="AE15" s="107" t="n"/>
      <c r="AF15" s="95">
        <f>IF(H15="","",TRIM(IF(AND(N(Y15)&gt;='THAM SO'!$B$10,AE15&lt;&gt;"Có"),"Chưa rà soát pháp lý; ","")&amp;IF(I15="","Thiếu MST đối tác; ","")&amp;IF(AG15="","Chưa ghi nơi lưu bản gốc; ","")&amp;IF(COUNTIFS('NHAT KY THANH TOAN'!$B:$B,B15,'NHAT KY THANH TOAN'!$D:$D,"Thanh toán",'NHAT KY THANH TOAN'!$F:$F,"Tiền mặt",'NHAT KY THANH TOAN'!$G:$G,"&gt;="&amp;'THAM SO'!$B$11)&gt;0,"Có khoản TT tiền mặt ≥ ngưỡng; ","")&amp;IF(AND(AB15&lt;&gt;"",N(AB15)&lt;0),"Thanh toán vượt giá trị HĐ; ","")))</f>
        <v/>
      </c>
      <c r="AG15" s="108" t="n"/>
      <c r="AH15" s="109" t="n"/>
      <c r="AI15" s="105">
        <f>IF(OR(H15="",O15="",AH15&lt;&gt;""),"",O15-'THAM SO'!$B$8)</f>
        <v/>
      </c>
      <c r="AJ15" s="95">
        <f>IF(H15="","",IF(AH15&lt;&gt;"","Đã thanh lý",IF(AND(N15&lt;&gt;"",N15&gt;'THAM SO'!$B$8),"Chưa hiệu lực",IF(O15="","Đang thực hiện",IF(O15&lt;'THAM SO'!$B$8,IF(P15="Có","Đã tự gia hạn – kiểm tra","Quá hạn – chưa thanh lý"),IF(O15-'THAM SO'!$B$8&lt;='THAM SO'!$B$9,"Sắp hết hạn","Đang thực hiện"))))))</f>
        <v/>
      </c>
      <c r="AK15" s="106">
        <f>IF(AND(O15="",AH15=""),"",EDATE(MAX(N(O15),N(AH15)),12*'THAM SO'!$B$12))</f>
        <v/>
      </c>
      <c r="AL15" s="110" t="n"/>
    </row>
    <row r="16" ht="15" customHeight="1" s="64">
      <c r="A16" s="93">
        <f>IF(H16="","",COUNTA($H$9:H16))</f>
        <v/>
      </c>
      <c r="B16" s="93">
        <f>IF(OR(D16="",G16=""),"",YEAR(G16)&amp;"/"&amp;D16&amp;"/"&amp;TEXT(SUMPRODUCT(($D$9:D16=D16)*(YEAR($G$9:G16)=YEAR(G16))),"000")&amp;"-"&amp;'THAM SO'!$B$7)</f>
        <v/>
      </c>
      <c r="C16" s="107" t="n"/>
      <c r="D16" s="107" t="n"/>
      <c r="E16" s="95">
        <f>IF(D16="","",IFERROR(VLOOKUP(D16,'THAM SO'!$D$6:$E$40,2,FALSE()),"Mã loại chưa khai báo"))</f>
        <v/>
      </c>
      <c r="F16" s="108" t="n"/>
      <c r="G16" s="109" t="n"/>
      <c r="H16" s="110" t="n"/>
      <c r="I16" s="108" t="n"/>
      <c r="J16" s="110" t="n"/>
      <c r="K16" s="108" t="n"/>
      <c r="L16" s="108" t="n"/>
      <c r="M16" s="108" t="n"/>
      <c r="N16" s="109" t="n"/>
      <c r="O16" s="109" t="n"/>
      <c r="P16" s="107" t="n"/>
      <c r="Q16" s="107" t="n"/>
      <c r="R16" s="111" t="n"/>
      <c r="S16" s="112" t="n"/>
      <c r="T16" s="113" t="n"/>
      <c r="U16" s="102">
        <f>IF(S16="","",ROUND(S16*N(T16),2))</f>
        <v/>
      </c>
      <c r="V16" s="102">
        <f>IF(S16="","",S16+U16)</f>
        <v/>
      </c>
      <c r="W16" s="103">
        <f>IF(V16="","",ROUND(V16*IF(OR(Q16="",Q16="VND"),1,R16),0))</f>
        <v/>
      </c>
      <c r="X16" s="111" t="n"/>
      <c r="Y16" s="103">
        <f>IF(W16="","",W16+N(X16))</f>
        <v/>
      </c>
      <c r="Z16" s="103">
        <f>IF(B16="","",SUMIFS('NHAT KY THANH TOAN'!$G:$G,'NHAT KY THANH TOAN'!$B:$B,B16,'NHAT KY THANH TOAN'!$D:$D,"Hóa đơn"))</f>
        <v/>
      </c>
      <c r="AA16" s="103">
        <f>IF(B16="","",SUMIFS('NHAT KY THANH TOAN'!$G:$G,'NHAT KY THANH TOAN'!$B:$B,B16,'NHAT KY THANH TOAN'!$D:$D,"Thanh toán"))</f>
        <v/>
      </c>
      <c r="AB16" s="103">
        <f>IF(Y16="","",Y16-N(AA16))</f>
        <v/>
      </c>
      <c r="AC16" s="103">
        <f>IF(B16="","",N(Z16)-N(AA16))</f>
        <v/>
      </c>
      <c r="AD16" s="104">
        <f>IF(N(Y16)=0,"",N(AA16)/Y16)</f>
        <v/>
      </c>
      <c r="AE16" s="107" t="n"/>
      <c r="AF16" s="95">
        <f>IF(H16="","",TRIM(IF(AND(N(Y16)&gt;='THAM SO'!$B$10,AE16&lt;&gt;"Có"),"Chưa rà soát pháp lý; ","")&amp;IF(I16="","Thiếu MST đối tác; ","")&amp;IF(AG16="","Chưa ghi nơi lưu bản gốc; ","")&amp;IF(COUNTIFS('NHAT KY THANH TOAN'!$B:$B,B16,'NHAT KY THANH TOAN'!$D:$D,"Thanh toán",'NHAT KY THANH TOAN'!$F:$F,"Tiền mặt",'NHAT KY THANH TOAN'!$G:$G,"&gt;="&amp;'THAM SO'!$B$11)&gt;0,"Có khoản TT tiền mặt ≥ ngưỡng; ","")&amp;IF(AND(AB16&lt;&gt;"",N(AB16)&lt;0),"Thanh toán vượt giá trị HĐ; ","")))</f>
        <v/>
      </c>
      <c r="AG16" s="108" t="n"/>
      <c r="AH16" s="109" t="n"/>
      <c r="AI16" s="105">
        <f>IF(OR(H16="",O16="",AH16&lt;&gt;""),"",O16-'THAM SO'!$B$8)</f>
        <v/>
      </c>
      <c r="AJ16" s="95">
        <f>IF(H16="","",IF(AH16&lt;&gt;"","Đã thanh lý",IF(AND(N16&lt;&gt;"",N16&gt;'THAM SO'!$B$8),"Chưa hiệu lực",IF(O16="","Đang thực hiện",IF(O16&lt;'THAM SO'!$B$8,IF(P16="Có","Đã tự gia hạn – kiểm tra","Quá hạn – chưa thanh lý"),IF(O16-'THAM SO'!$B$8&lt;='THAM SO'!$B$9,"Sắp hết hạn","Đang thực hiện"))))))</f>
        <v/>
      </c>
      <c r="AK16" s="106">
        <f>IF(AND(O16="",AH16=""),"",EDATE(MAX(N(O16),N(AH16)),12*'THAM SO'!$B$12))</f>
        <v/>
      </c>
      <c r="AL16" s="110" t="n"/>
    </row>
    <row r="17" ht="15" customHeight="1" s="64">
      <c r="A17" s="93">
        <f>IF(H17="","",COUNTA($H$9:H17))</f>
        <v/>
      </c>
      <c r="B17" s="93">
        <f>IF(OR(D17="",G17=""),"",YEAR(G17)&amp;"/"&amp;D17&amp;"/"&amp;TEXT(SUMPRODUCT(($D$9:D17=D17)*(YEAR($G$9:G17)=YEAR(G17))),"000")&amp;"-"&amp;'THAM SO'!$B$7)</f>
        <v/>
      </c>
      <c r="C17" s="107" t="n"/>
      <c r="D17" s="107" t="n"/>
      <c r="E17" s="95">
        <f>IF(D17="","",IFERROR(VLOOKUP(D17,'THAM SO'!$D$6:$E$40,2,FALSE()),"Mã loại chưa khai báo"))</f>
        <v/>
      </c>
      <c r="F17" s="108" t="n"/>
      <c r="G17" s="109" t="n"/>
      <c r="H17" s="110" t="n"/>
      <c r="I17" s="108" t="n"/>
      <c r="J17" s="110" t="n"/>
      <c r="K17" s="108" t="n"/>
      <c r="L17" s="108" t="n"/>
      <c r="M17" s="108" t="n"/>
      <c r="N17" s="109" t="n"/>
      <c r="O17" s="109" t="n"/>
      <c r="P17" s="107" t="n"/>
      <c r="Q17" s="107" t="n"/>
      <c r="R17" s="111" t="n"/>
      <c r="S17" s="112" t="n"/>
      <c r="T17" s="113" t="n"/>
      <c r="U17" s="102">
        <f>IF(S17="","",ROUND(S17*N(T17),2))</f>
        <v/>
      </c>
      <c r="V17" s="102">
        <f>IF(S17="","",S17+U17)</f>
        <v/>
      </c>
      <c r="W17" s="103">
        <f>IF(V17="","",ROUND(V17*IF(OR(Q17="",Q17="VND"),1,R17),0))</f>
        <v/>
      </c>
      <c r="X17" s="111" t="n"/>
      <c r="Y17" s="103">
        <f>IF(W17="","",W17+N(X17))</f>
        <v/>
      </c>
      <c r="Z17" s="103">
        <f>IF(B17="","",SUMIFS('NHAT KY THANH TOAN'!$G:$G,'NHAT KY THANH TOAN'!$B:$B,B17,'NHAT KY THANH TOAN'!$D:$D,"Hóa đơn"))</f>
        <v/>
      </c>
      <c r="AA17" s="103">
        <f>IF(B17="","",SUMIFS('NHAT KY THANH TOAN'!$G:$G,'NHAT KY THANH TOAN'!$B:$B,B17,'NHAT KY THANH TOAN'!$D:$D,"Thanh toán"))</f>
        <v/>
      </c>
      <c r="AB17" s="103">
        <f>IF(Y17="","",Y17-N(AA17))</f>
        <v/>
      </c>
      <c r="AC17" s="103">
        <f>IF(B17="","",N(Z17)-N(AA17))</f>
        <v/>
      </c>
      <c r="AD17" s="104">
        <f>IF(N(Y17)=0,"",N(AA17)/Y17)</f>
        <v/>
      </c>
      <c r="AE17" s="107" t="n"/>
      <c r="AF17" s="95">
        <f>IF(H17="","",TRIM(IF(AND(N(Y17)&gt;='THAM SO'!$B$10,AE17&lt;&gt;"Có"),"Chưa rà soát pháp lý; ","")&amp;IF(I17="","Thiếu MST đối tác; ","")&amp;IF(AG17="","Chưa ghi nơi lưu bản gốc; ","")&amp;IF(COUNTIFS('NHAT KY THANH TOAN'!$B:$B,B17,'NHAT KY THANH TOAN'!$D:$D,"Thanh toán",'NHAT KY THANH TOAN'!$F:$F,"Tiền mặt",'NHAT KY THANH TOAN'!$G:$G,"&gt;="&amp;'THAM SO'!$B$11)&gt;0,"Có khoản TT tiền mặt ≥ ngưỡng; ","")&amp;IF(AND(AB17&lt;&gt;"",N(AB17)&lt;0),"Thanh toán vượt giá trị HĐ; ","")))</f>
        <v/>
      </c>
      <c r="AG17" s="108" t="n"/>
      <c r="AH17" s="109" t="n"/>
      <c r="AI17" s="105">
        <f>IF(OR(H17="",O17="",AH17&lt;&gt;""),"",O17-'THAM SO'!$B$8)</f>
        <v/>
      </c>
      <c r="AJ17" s="95">
        <f>IF(H17="","",IF(AH17&lt;&gt;"","Đã thanh lý",IF(AND(N17&lt;&gt;"",N17&gt;'THAM SO'!$B$8),"Chưa hiệu lực",IF(O17="","Đang thực hiện",IF(O17&lt;'THAM SO'!$B$8,IF(P17="Có","Đã tự gia hạn – kiểm tra","Quá hạn – chưa thanh lý"),IF(O17-'THAM SO'!$B$8&lt;='THAM SO'!$B$9,"Sắp hết hạn","Đang thực hiện"))))))</f>
        <v/>
      </c>
      <c r="AK17" s="106">
        <f>IF(AND(O17="",AH17=""),"",EDATE(MAX(N(O17),N(AH17)),12*'THAM SO'!$B$12))</f>
        <v/>
      </c>
      <c r="AL17" s="110" t="n"/>
    </row>
    <row r="18" ht="15" customHeight="1" s="64">
      <c r="A18" s="93">
        <f>IF(H18="","",COUNTA($H$9:H18))</f>
        <v/>
      </c>
      <c r="B18" s="93">
        <f>IF(OR(D18="",G18=""),"",YEAR(G18)&amp;"/"&amp;D18&amp;"/"&amp;TEXT(SUMPRODUCT(($D$9:D18=D18)*(YEAR($G$9:G18)=YEAR(G18))),"000")&amp;"-"&amp;'THAM SO'!$B$7)</f>
        <v/>
      </c>
      <c r="C18" s="107" t="n"/>
      <c r="D18" s="107" t="n"/>
      <c r="E18" s="95">
        <f>IF(D18="","",IFERROR(VLOOKUP(D18,'THAM SO'!$D$6:$E$40,2,FALSE()),"Mã loại chưa khai báo"))</f>
        <v/>
      </c>
      <c r="F18" s="108" t="n"/>
      <c r="G18" s="109" t="n"/>
      <c r="H18" s="110" t="n"/>
      <c r="I18" s="108" t="n"/>
      <c r="J18" s="110" t="n"/>
      <c r="K18" s="108" t="n"/>
      <c r="L18" s="108" t="n"/>
      <c r="M18" s="108" t="n"/>
      <c r="N18" s="109" t="n"/>
      <c r="O18" s="109" t="n"/>
      <c r="P18" s="107" t="n"/>
      <c r="Q18" s="107" t="n"/>
      <c r="R18" s="111" t="n"/>
      <c r="S18" s="112" t="n"/>
      <c r="T18" s="113" t="n"/>
      <c r="U18" s="102">
        <f>IF(S18="","",ROUND(S18*N(T18),2))</f>
        <v/>
      </c>
      <c r="V18" s="102">
        <f>IF(S18="","",S18+U18)</f>
        <v/>
      </c>
      <c r="W18" s="103">
        <f>IF(V18="","",ROUND(V18*IF(OR(Q18="",Q18="VND"),1,R18),0))</f>
        <v/>
      </c>
      <c r="X18" s="111" t="n"/>
      <c r="Y18" s="103">
        <f>IF(W18="","",W18+N(X18))</f>
        <v/>
      </c>
      <c r="Z18" s="103">
        <f>IF(B18="","",SUMIFS('NHAT KY THANH TOAN'!$G:$G,'NHAT KY THANH TOAN'!$B:$B,B18,'NHAT KY THANH TOAN'!$D:$D,"Hóa đơn"))</f>
        <v/>
      </c>
      <c r="AA18" s="103">
        <f>IF(B18="","",SUMIFS('NHAT KY THANH TOAN'!$G:$G,'NHAT KY THANH TOAN'!$B:$B,B18,'NHAT KY THANH TOAN'!$D:$D,"Thanh toán"))</f>
        <v/>
      </c>
      <c r="AB18" s="103">
        <f>IF(Y18="","",Y18-N(AA18))</f>
        <v/>
      </c>
      <c r="AC18" s="103">
        <f>IF(B18="","",N(Z18)-N(AA18))</f>
        <v/>
      </c>
      <c r="AD18" s="104">
        <f>IF(N(Y18)=0,"",N(AA18)/Y18)</f>
        <v/>
      </c>
      <c r="AE18" s="107" t="n"/>
      <c r="AF18" s="95">
        <f>IF(H18="","",TRIM(IF(AND(N(Y18)&gt;='THAM SO'!$B$10,AE18&lt;&gt;"Có"),"Chưa rà soát pháp lý; ","")&amp;IF(I18="","Thiếu MST đối tác; ","")&amp;IF(AG18="","Chưa ghi nơi lưu bản gốc; ","")&amp;IF(COUNTIFS('NHAT KY THANH TOAN'!$B:$B,B18,'NHAT KY THANH TOAN'!$D:$D,"Thanh toán",'NHAT KY THANH TOAN'!$F:$F,"Tiền mặt",'NHAT KY THANH TOAN'!$G:$G,"&gt;="&amp;'THAM SO'!$B$11)&gt;0,"Có khoản TT tiền mặt ≥ ngưỡng; ","")&amp;IF(AND(AB18&lt;&gt;"",N(AB18)&lt;0),"Thanh toán vượt giá trị HĐ; ","")))</f>
        <v/>
      </c>
      <c r="AG18" s="108" t="n"/>
      <c r="AH18" s="109" t="n"/>
      <c r="AI18" s="105">
        <f>IF(OR(H18="",O18="",AH18&lt;&gt;""),"",O18-'THAM SO'!$B$8)</f>
        <v/>
      </c>
      <c r="AJ18" s="95">
        <f>IF(H18="","",IF(AH18&lt;&gt;"","Đã thanh lý",IF(AND(N18&lt;&gt;"",N18&gt;'THAM SO'!$B$8),"Chưa hiệu lực",IF(O18="","Đang thực hiện",IF(O18&lt;'THAM SO'!$B$8,IF(P18="Có","Đã tự gia hạn – kiểm tra","Quá hạn – chưa thanh lý"),IF(O18-'THAM SO'!$B$8&lt;='THAM SO'!$B$9,"Sắp hết hạn","Đang thực hiện"))))))</f>
        <v/>
      </c>
      <c r="AK18" s="106">
        <f>IF(AND(O18="",AH18=""),"",EDATE(MAX(N(O18),N(AH18)),12*'THAM SO'!$B$12))</f>
        <v/>
      </c>
      <c r="AL18" s="110" t="n"/>
    </row>
    <row r="19" ht="15" customHeight="1" s="64">
      <c r="A19" s="93">
        <f>IF(H19="","",COUNTA($H$9:H19))</f>
        <v/>
      </c>
      <c r="B19" s="93">
        <f>IF(OR(D19="",G19=""),"",YEAR(G19)&amp;"/"&amp;D19&amp;"/"&amp;TEXT(SUMPRODUCT(($D$9:D19=D19)*(YEAR($G$9:G19)=YEAR(G19))),"000")&amp;"-"&amp;'THAM SO'!$B$7)</f>
        <v/>
      </c>
      <c r="C19" s="107" t="n"/>
      <c r="D19" s="107" t="n"/>
      <c r="E19" s="95">
        <f>IF(D19="","",IFERROR(VLOOKUP(D19,'THAM SO'!$D$6:$E$40,2,FALSE()),"Mã loại chưa khai báo"))</f>
        <v/>
      </c>
      <c r="F19" s="108" t="n"/>
      <c r="G19" s="109" t="n"/>
      <c r="H19" s="110" t="n"/>
      <c r="I19" s="108" t="n"/>
      <c r="J19" s="110" t="n"/>
      <c r="K19" s="108" t="n"/>
      <c r="L19" s="108" t="n"/>
      <c r="M19" s="108" t="n"/>
      <c r="N19" s="109" t="n"/>
      <c r="O19" s="109" t="n"/>
      <c r="P19" s="107" t="n"/>
      <c r="Q19" s="107" t="n"/>
      <c r="R19" s="111" t="n"/>
      <c r="S19" s="112" t="n"/>
      <c r="T19" s="113" t="n"/>
      <c r="U19" s="102">
        <f>IF(S19="","",ROUND(S19*N(T19),2))</f>
        <v/>
      </c>
      <c r="V19" s="102">
        <f>IF(S19="","",S19+U19)</f>
        <v/>
      </c>
      <c r="W19" s="103">
        <f>IF(V19="","",ROUND(V19*IF(OR(Q19="",Q19="VND"),1,R19),0))</f>
        <v/>
      </c>
      <c r="X19" s="111" t="n"/>
      <c r="Y19" s="103">
        <f>IF(W19="","",W19+N(X19))</f>
        <v/>
      </c>
      <c r="Z19" s="103">
        <f>IF(B19="","",SUMIFS('NHAT KY THANH TOAN'!$G:$G,'NHAT KY THANH TOAN'!$B:$B,B19,'NHAT KY THANH TOAN'!$D:$D,"Hóa đơn"))</f>
        <v/>
      </c>
      <c r="AA19" s="103">
        <f>IF(B19="","",SUMIFS('NHAT KY THANH TOAN'!$G:$G,'NHAT KY THANH TOAN'!$B:$B,B19,'NHAT KY THANH TOAN'!$D:$D,"Thanh toán"))</f>
        <v/>
      </c>
      <c r="AB19" s="103">
        <f>IF(Y19="","",Y19-N(AA19))</f>
        <v/>
      </c>
      <c r="AC19" s="103">
        <f>IF(B19="","",N(Z19)-N(AA19))</f>
        <v/>
      </c>
      <c r="AD19" s="104">
        <f>IF(N(Y19)=0,"",N(AA19)/Y19)</f>
        <v/>
      </c>
      <c r="AE19" s="107" t="n"/>
      <c r="AF19" s="95">
        <f>IF(H19="","",TRIM(IF(AND(N(Y19)&gt;='THAM SO'!$B$10,AE19&lt;&gt;"Có"),"Chưa rà soát pháp lý; ","")&amp;IF(I19="","Thiếu MST đối tác; ","")&amp;IF(AG19="","Chưa ghi nơi lưu bản gốc; ","")&amp;IF(COUNTIFS('NHAT KY THANH TOAN'!$B:$B,B19,'NHAT KY THANH TOAN'!$D:$D,"Thanh toán",'NHAT KY THANH TOAN'!$F:$F,"Tiền mặt",'NHAT KY THANH TOAN'!$G:$G,"&gt;="&amp;'THAM SO'!$B$11)&gt;0,"Có khoản TT tiền mặt ≥ ngưỡng; ","")&amp;IF(AND(AB19&lt;&gt;"",N(AB19)&lt;0),"Thanh toán vượt giá trị HĐ; ","")))</f>
        <v/>
      </c>
      <c r="AG19" s="108" t="n"/>
      <c r="AH19" s="109" t="n"/>
      <c r="AI19" s="105">
        <f>IF(OR(H19="",O19="",AH19&lt;&gt;""),"",O19-'THAM SO'!$B$8)</f>
        <v/>
      </c>
      <c r="AJ19" s="95">
        <f>IF(H19="","",IF(AH19&lt;&gt;"","Đã thanh lý",IF(AND(N19&lt;&gt;"",N19&gt;'THAM SO'!$B$8),"Chưa hiệu lực",IF(O19="","Đang thực hiện",IF(O19&lt;'THAM SO'!$B$8,IF(P19="Có","Đã tự gia hạn – kiểm tra","Quá hạn – chưa thanh lý"),IF(O19-'THAM SO'!$B$8&lt;='THAM SO'!$B$9,"Sắp hết hạn","Đang thực hiện"))))))</f>
        <v/>
      </c>
      <c r="AK19" s="106">
        <f>IF(AND(O19="",AH19=""),"",EDATE(MAX(N(O19),N(AH19)),12*'THAM SO'!$B$12))</f>
        <v/>
      </c>
      <c r="AL19" s="110" t="n"/>
    </row>
    <row r="20" ht="15" customHeight="1" s="64">
      <c r="A20" s="93">
        <f>IF(H20="","",COUNTA($H$9:H20))</f>
        <v/>
      </c>
      <c r="B20" s="93">
        <f>IF(OR(D20="",G20=""),"",YEAR(G20)&amp;"/"&amp;D20&amp;"/"&amp;TEXT(SUMPRODUCT(($D$9:D20=D20)*(YEAR($G$9:G20)=YEAR(G20))),"000")&amp;"-"&amp;'THAM SO'!$B$7)</f>
        <v/>
      </c>
      <c r="C20" s="107" t="n"/>
      <c r="D20" s="107" t="n"/>
      <c r="E20" s="95">
        <f>IF(D20="","",IFERROR(VLOOKUP(D20,'THAM SO'!$D$6:$E$40,2,FALSE()),"Mã loại chưa khai báo"))</f>
        <v/>
      </c>
      <c r="F20" s="108" t="n"/>
      <c r="G20" s="109" t="n"/>
      <c r="H20" s="110" t="n"/>
      <c r="I20" s="108" t="n"/>
      <c r="J20" s="110" t="n"/>
      <c r="K20" s="108" t="n"/>
      <c r="L20" s="108" t="n"/>
      <c r="M20" s="108" t="n"/>
      <c r="N20" s="109" t="n"/>
      <c r="O20" s="109" t="n"/>
      <c r="P20" s="107" t="n"/>
      <c r="Q20" s="107" t="n"/>
      <c r="R20" s="111" t="n"/>
      <c r="S20" s="112" t="n"/>
      <c r="T20" s="113" t="n"/>
      <c r="U20" s="102">
        <f>IF(S20="","",ROUND(S20*N(T20),2))</f>
        <v/>
      </c>
      <c r="V20" s="102">
        <f>IF(S20="","",S20+U20)</f>
        <v/>
      </c>
      <c r="W20" s="103">
        <f>IF(V20="","",ROUND(V20*IF(OR(Q20="",Q20="VND"),1,R20),0))</f>
        <v/>
      </c>
      <c r="X20" s="111" t="n"/>
      <c r="Y20" s="103">
        <f>IF(W20="","",W20+N(X20))</f>
        <v/>
      </c>
      <c r="Z20" s="103">
        <f>IF(B20="","",SUMIFS('NHAT KY THANH TOAN'!$G:$G,'NHAT KY THANH TOAN'!$B:$B,B20,'NHAT KY THANH TOAN'!$D:$D,"Hóa đơn"))</f>
        <v/>
      </c>
      <c r="AA20" s="103">
        <f>IF(B20="","",SUMIFS('NHAT KY THANH TOAN'!$G:$G,'NHAT KY THANH TOAN'!$B:$B,B20,'NHAT KY THANH TOAN'!$D:$D,"Thanh toán"))</f>
        <v/>
      </c>
      <c r="AB20" s="103">
        <f>IF(Y20="","",Y20-N(AA20))</f>
        <v/>
      </c>
      <c r="AC20" s="103">
        <f>IF(B20="","",N(Z20)-N(AA20))</f>
        <v/>
      </c>
      <c r="AD20" s="104">
        <f>IF(N(Y20)=0,"",N(AA20)/Y20)</f>
        <v/>
      </c>
      <c r="AE20" s="107" t="n"/>
      <c r="AF20" s="95">
        <f>IF(H20="","",TRIM(IF(AND(N(Y20)&gt;='THAM SO'!$B$10,AE20&lt;&gt;"Có"),"Chưa rà soát pháp lý; ","")&amp;IF(I20="","Thiếu MST đối tác; ","")&amp;IF(AG20="","Chưa ghi nơi lưu bản gốc; ","")&amp;IF(COUNTIFS('NHAT KY THANH TOAN'!$B:$B,B20,'NHAT KY THANH TOAN'!$D:$D,"Thanh toán",'NHAT KY THANH TOAN'!$F:$F,"Tiền mặt",'NHAT KY THANH TOAN'!$G:$G,"&gt;="&amp;'THAM SO'!$B$11)&gt;0,"Có khoản TT tiền mặt ≥ ngưỡng; ","")&amp;IF(AND(AB20&lt;&gt;"",N(AB20)&lt;0),"Thanh toán vượt giá trị HĐ; ","")))</f>
        <v/>
      </c>
      <c r="AG20" s="108" t="n"/>
      <c r="AH20" s="109" t="n"/>
      <c r="AI20" s="105">
        <f>IF(OR(H20="",O20="",AH20&lt;&gt;""),"",O20-'THAM SO'!$B$8)</f>
        <v/>
      </c>
      <c r="AJ20" s="95">
        <f>IF(H20="","",IF(AH20&lt;&gt;"","Đã thanh lý",IF(AND(N20&lt;&gt;"",N20&gt;'THAM SO'!$B$8),"Chưa hiệu lực",IF(O20="","Đang thực hiện",IF(O20&lt;'THAM SO'!$B$8,IF(P20="Có","Đã tự gia hạn – kiểm tra","Quá hạn – chưa thanh lý"),IF(O20-'THAM SO'!$B$8&lt;='THAM SO'!$B$9,"Sắp hết hạn","Đang thực hiện"))))))</f>
        <v/>
      </c>
      <c r="AK20" s="106">
        <f>IF(AND(O20="",AH20=""),"",EDATE(MAX(N(O20),N(AH20)),12*'THAM SO'!$B$12))</f>
        <v/>
      </c>
      <c r="AL20" s="110" t="n"/>
    </row>
    <row r="21" ht="15" customHeight="1" s="64">
      <c r="A21" s="93">
        <f>IF(H21="","",COUNTA($H$9:H21))</f>
        <v/>
      </c>
      <c r="B21" s="93">
        <f>IF(OR(D21="",G21=""),"",YEAR(G21)&amp;"/"&amp;D21&amp;"/"&amp;TEXT(SUMPRODUCT(($D$9:D21=D21)*(YEAR($G$9:G21)=YEAR(G21))),"000")&amp;"-"&amp;'THAM SO'!$B$7)</f>
        <v/>
      </c>
      <c r="C21" s="107" t="n"/>
      <c r="D21" s="107" t="n"/>
      <c r="E21" s="95">
        <f>IF(D21="","",IFERROR(VLOOKUP(D21,'THAM SO'!$D$6:$E$40,2,FALSE()),"Mã loại chưa khai báo"))</f>
        <v/>
      </c>
      <c r="F21" s="108" t="n"/>
      <c r="G21" s="109" t="n"/>
      <c r="H21" s="110" t="n"/>
      <c r="I21" s="108" t="n"/>
      <c r="J21" s="110" t="n"/>
      <c r="K21" s="108" t="n"/>
      <c r="L21" s="108" t="n"/>
      <c r="M21" s="108" t="n"/>
      <c r="N21" s="109" t="n"/>
      <c r="O21" s="109" t="n"/>
      <c r="P21" s="107" t="n"/>
      <c r="Q21" s="107" t="n"/>
      <c r="R21" s="111" t="n"/>
      <c r="S21" s="112" t="n"/>
      <c r="T21" s="113" t="n"/>
      <c r="U21" s="102">
        <f>IF(S21="","",ROUND(S21*N(T21),2))</f>
        <v/>
      </c>
      <c r="V21" s="102">
        <f>IF(S21="","",S21+U21)</f>
        <v/>
      </c>
      <c r="W21" s="103">
        <f>IF(V21="","",ROUND(V21*IF(OR(Q21="",Q21="VND"),1,R21),0))</f>
        <v/>
      </c>
      <c r="X21" s="111" t="n"/>
      <c r="Y21" s="103">
        <f>IF(W21="","",W21+N(X21))</f>
        <v/>
      </c>
      <c r="Z21" s="103">
        <f>IF(B21="","",SUMIFS('NHAT KY THANH TOAN'!$G:$G,'NHAT KY THANH TOAN'!$B:$B,B21,'NHAT KY THANH TOAN'!$D:$D,"Hóa đơn"))</f>
        <v/>
      </c>
      <c r="AA21" s="103">
        <f>IF(B21="","",SUMIFS('NHAT KY THANH TOAN'!$G:$G,'NHAT KY THANH TOAN'!$B:$B,B21,'NHAT KY THANH TOAN'!$D:$D,"Thanh toán"))</f>
        <v/>
      </c>
      <c r="AB21" s="103">
        <f>IF(Y21="","",Y21-N(AA21))</f>
        <v/>
      </c>
      <c r="AC21" s="103">
        <f>IF(B21="","",N(Z21)-N(AA21))</f>
        <v/>
      </c>
      <c r="AD21" s="104">
        <f>IF(N(Y21)=0,"",N(AA21)/Y21)</f>
        <v/>
      </c>
      <c r="AE21" s="107" t="n"/>
      <c r="AF21" s="95">
        <f>IF(H21="","",TRIM(IF(AND(N(Y21)&gt;='THAM SO'!$B$10,AE21&lt;&gt;"Có"),"Chưa rà soát pháp lý; ","")&amp;IF(I21="","Thiếu MST đối tác; ","")&amp;IF(AG21="","Chưa ghi nơi lưu bản gốc; ","")&amp;IF(COUNTIFS('NHAT KY THANH TOAN'!$B:$B,B21,'NHAT KY THANH TOAN'!$D:$D,"Thanh toán",'NHAT KY THANH TOAN'!$F:$F,"Tiền mặt",'NHAT KY THANH TOAN'!$G:$G,"&gt;="&amp;'THAM SO'!$B$11)&gt;0,"Có khoản TT tiền mặt ≥ ngưỡng; ","")&amp;IF(AND(AB21&lt;&gt;"",N(AB21)&lt;0),"Thanh toán vượt giá trị HĐ; ","")))</f>
        <v/>
      </c>
      <c r="AG21" s="108" t="n"/>
      <c r="AH21" s="109" t="n"/>
      <c r="AI21" s="105">
        <f>IF(OR(H21="",O21="",AH21&lt;&gt;""),"",O21-'THAM SO'!$B$8)</f>
        <v/>
      </c>
      <c r="AJ21" s="95">
        <f>IF(H21="","",IF(AH21&lt;&gt;"","Đã thanh lý",IF(AND(N21&lt;&gt;"",N21&gt;'THAM SO'!$B$8),"Chưa hiệu lực",IF(O21="","Đang thực hiện",IF(O21&lt;'THAM SO'!$B$8,IF(P21="Có","Đã tự gia hạn – kiểm tra","Quá hạn – chưa thanh lý"),IF(O21-'THAM SO'!$B$8&lt;='THAM SO'!$B$9,"Sắp hết hạn","Đang thực hiện"))))))</f>
        <v/>
      </c>
      <c r="AK21" s="106">
        <f>IF(AND(O21="",AH21=""),"",EDATE(MAX(N(O21),N(AH21)),12*'THAM SO'!$B$12))</f>
        <v/>
      </c>
      <c r="AL21" s="110" t="n"/>
    </row>
    <row r="22" ht="15" customHeight="1" s="64">
      <c r="A22" s="93">
        <f>IF(H22="","",COUNTA($H$9:H22))</f>
        <v/>
      </c>
      <c r="B22" s="93">
        <f>IF(OR(D22="",G22=""),"",YEAR(G22)&amp;"/"&amp;D22&amp;"/"&amp;TEXT(SUMPRODUCT(($D$9:D22=D22)*(YEAR($G$9:G22)=YEAR(G22))),"000")&amp;"-"&amp;'THAM SO'!$B$7)</f>
        <v/>
      </c>
      <c r="C22" s="107" t="n"/>
      <c r="D22" s="107" t="n"/>
      <c r="E22" s="95">
        <f>IF(D22="","",IFERROR(VLOOKUP(D22,'THAM SO'!$D$6:$E$40,2,FALSE()),"Mã loại chưa khai báo"))</f>
        <v/>
      </c>
      <c r="F22" s="108" t="n"/>
      <c r="G22" s="109" t="n"/>
      <c r="H22" s="110" t="n"/>
      <c r="I22" s="108" t="n"/>
      <c r="J22" s="110" t="n"/>
      <c r="K22" s="108" t="n"/>
      <c r="L22" s="108" t="n"/>
      <c r="M22" s="108" t="n"/>
      <c r="N22" s="109" t="n"/>
      <c r="O22" s="109" t="n"/>
      <c r="P22" s="107" t="n"/>
      <c r="Q22" s="107" t="n"/>
      <c r="R22" s="111" t="n"/>
      <c r="S22" s="112" t="n"/>
      <c r="T22" s="113" t="n"/>
      <c r="U22" s="102">
        <f>IF(S22="","",ROUND(S22*N(T22),2))</f>
        <v/>
      </c>
      <c r="V22" s="102">
        <f>IF(S22="","",S22+U22)</f>
        <v/>
      </c>
      <c r="W22" s="103">
        <f>IF(V22="","",ROUND(V22*IF(OR(Q22="",Q22="VND"),1,R22),0))</f>
        <v/>
      </c>
      <c r="X22" s="111" t="n"/>
      <c r="Y22" s="103">
        <f>IF(W22="","",W22+N(X22))</f>
        <v/>
      </c>
      <c r="Z22" s="103">
        <f>IF(B22="","",SUMIFS('NHAT KY THANH TOAN'!$G:$G,'NHAT KY THANH TOAN'!$B:$B,B22,'NHAT KY THANH TOAN'!$D:$D,"Hóa đơn"))</f>
        <v/>
      </c>
      <c r="AA22" s="103">
        <f>IF(B22="","",SUMIFS('NHAT KY THANH TOAN'!$G:$G,'NHAT KY THANH TOAN'!$B:$B,B22,'NHAT KY THANH TOAN'!$D:$D,"Thanh toán"))</f>
        <v/>
      </c>
      <c r="AB22" s="103">
        <f>IF(Y22="","",Y22-N(AA22))</f>
        <v/>
      </c>
      <c r="AC22" s="103">
        <f>IF(B22="","",N(Z22)-N(AA22))</f>
        <v/>
      </c>
      <c r="AD22" s="104">
        <f>IF(N(Y22)=0,"",N(AA22)/Y22)</f>
        <v/>
      </c>
      <c r="AE22" s="107" t="n"/>
      <c r="AF22" s="95">
        <f>IF(H22="","",TRIM(IF(AND(N(Y22)&gt;='THAM SO'!$B$10,AE22&lt;&gt;"Có"),"Chưa rà soát pháp lý; ","")&amp;IF(I22="","Thiếu MST đối tác; ","")&amp;IF(AG22="","Chưa ghi nơi lưu bản gốc; ","")&amp;IF(COUNTIFS('NHAT KY THANH TOAN'!$B:$B,B22,'NHAT KY THANH TOAN'!$D:$D,"Thanh toán",'NHAT KY THANH TOAN'!$F:$F,"Tiền mặt",'NHAT KY THANH TOAN'!$G:$G,"&gt;="&amp;'THAM SO'!$B$11)&gt;0,"Có khoản TT tiền mặt ≥ ngưỡng; ","")&amp;IF(AND(AB22&lt;&gt;"",N(AB22)&lt;0),"Thanh toán vượt giá trị HĐ; ","")))</f>
        <v/>
      </c>
      <c r="AG22" s="108" t="n"/>
      <c r="AH22" s="109" t="n"/>
      <c r="AI22" s="105">
        <f>IF(OR(H22="",O22="",AH22&lt;&gt;""),"",O22-'THAM SO'!$B$8)</f>
        <v/>
      </c>
      <c r="AJ22" s="95">
        <f>IF(H22="","",IF(AH22&lt;&gt;"","Đã thanh lý",IF(AND(N22&lt;&gt;"",N22&gt;'THAM SO'!$B$8),"Chưa hiệu lực",IF(O22="","Đang thực hiện",IF(O22&lt;'THAM SO'!$B$8,IF(P22="Có","Đã tự gia hạn – kiểm tra","Quá hạn – chưa thanh lý"),IF(O22-'THAM SO'!$B$8&lt;='THAM SO'!$B$9,"Sắp hết hạn","Đang thực hiện"))))))</f>
        <v/>
      </c>
      <c r="AK22" s="106">
        <f>IF(AND(O22="",AH22=""),"",EDATE(MAX(N(O22),N(AH22)),12*'THAM SO'!$B$12))</f>
        <v/>
      </c>
      <c r="AL22" s="110" t="n"/>
    </row>
    <row r="23" ht="15" customHeight="1" s="64">
      <c r="A23" s="93">
        <f>IF(H23="","",COUNTA($H$9:H23))</f>
        <v/>
      </c>
      <c r="B23" s="93">
        <f>IF(OR(D23="",G23=""),"",YEAR(G23)&amp;"/"&amp;D23&amp;"/"&amp;TEXT(SUMPRODUCT(($D$9:D23=D23)*(YEAR($G$9:G23)=YEAR(G23))),"000")&amp;"-"&amp;'THAM SO'!$B$7)</f>
        <v/>
      </c>
      <c r="C23" s="107" t="n"/>
      <c r="D23" s="107" t="n"/>
      <c r="E23" s="95">
        <f>IF(D23="","",IFERROR(VLOOKUP(D23,'THAM SO'!$D$6:$E$40,2,FALSE()),"Mã loại chưa khai báo"))</f>
        <v/>
      </c>
      <c r="F23" s="108" t="n"/>
      <c r="G23" s="109" t="n"/>
      <c r="H23" s="110" t="n"/>
      <c r="I23" s="108" t="n"/>
      <c r="J23" s="110" t="n"/>
      <c r="K23" s="108" t="n"/>
      <c r="L23" s="108" t="n"/>
      <c r="M23" s="108" t="n"/>
      <c r="N23" s="109" t="n"/>
      <c r="O23" s="109" t="n"/>
      <c r="P23" s="107" t="n"/>
      <c r="Q23" s="107" t="n"/>
      <c r="R23" s="111" t="n"/>
      <c r="S23" s="112" t="n"/>
      <c r="T23" s="113" t="n"/>
      <c r="U23" s="102">
        <f>IF(S23="","",ROUND(S23*N(T23),2))</f>
        <v/>
      </c>
      <c r="V23" s="102">
        <f>IF(S23="","",S23+U23)</f>
        <v/>
      </c>
      <c r="W23" s="103">
        <f>IF(V23="","",ROUND(V23*IF(OR(Q23="",Q23="VND"),1,R23),0))</f>
        <v/>
      </c>
      <c r="X23" s="111" t="n"/>
      <c r="Y23" s="103">
        <f>IF(W23="","",W23+N(X23))</f>
        <v/>
      </c>
      <c r="Z23" s="103">
        <f>IF(B23="","",SUMIFS('NHAT KY THANH TOAN'!$G:$G,'NHAT KY THANH TOAN'!$B:$B,B23,'NHAT KY THANH TOAN'!$D:$D,"Hóa đơn"))</f>
        <v/>
      </c>
      <c r="AA23" s="103">
        <f>IF(B23="","",SUMIFS('NHAT KY THANH TOAN'!$G:$G,'NHAT KY THANH TOAN'!$B:$B,B23,'NHAT KY THANH TOAN'!$D:$D,"Thanh toán"))</f>
        <v/>
      </c>
      <c r="AB23" s="103">
        <f>IF(Y23="","",Y23-N(AA23))</f>
        <v/>
      </c>
      <c r="AC23" s="103">
        <f>IF(B23="","",N(Z23)-N(AA23))</f>
        <v/>
      </c>
      <c r="AD23" s="104">
        <f>IF(N(Y23)=0,"",N(AA23)/Y23)</f>
        <v/>
      </c>
      <c r="AE23" s="107" t="n"/>
      <c r="AF23" s="95">
        <f>IF(H23="","",TRIM(IF(AND(N(Y23)&gt;='THAM SO'!$B$10,AE23&lt;&gt;"Có"),"Chưa rà soát pháp lý; ","")&amp;IF(I23="","Thiếu MST đối tác; ","")&amp;IF(AG23="","Chưa ghi nơi lưu bản gốc; ","")&amp;IF(COUNTIFS('NHAT KY THANH TOAN'!$B:$B,B23,'NHAT KY THANH TOAN'!$D:$D,"Thanh toán",'NHAT KY THANH TOAN'!$F:$F,"Tiền mặt",'NHAT KY THANH TOAN'!$G:$G,"&gt;="&amp;'THAM SO'!$B$11)&gt;0,"Có khoản TT tiền mặt ≥ ngưỡng; ","")&amp;IF(AND(AB23&lt;&gt;"",N(AB23)&lt;0),"Thanh toán vượt giá trị HĐ; ","")))</f>
        <v/>
      </c>
      <c r="AG23" s="108" t="n"/>
      <c r="AH23" s="109" t="n"/>
      <c r="AI23" s="105">
        <f>IF(OR(H23="",O23="",AH23&lt;&gt;""),"",O23-'THAM SO'!$B$8)</f>
        <v/>
      </c>
      <c r="AJ23" s="95">
        <f>IF(H23="","",IF(AH23&lt;&gt;"","Đã thanh lý",IF(AND(N23&lt;&gt;"",N23&gt;'THAM SO'!$B$8),"Chưa hiệu lực",IF(O23="","Đang thực hiện",IF(O23&lt;'THAM SO'!$B$8,IF(P23="Có","Đã tự gia hạn – kiểm tra","Quá hạn – chưa thanh lý"),IF(O23-'THAM SO'!$B$8&lt;='THAM SO'!$B$9,"Sắp hết hạn","Đang thực hiện"))))))</f>
        <v/>
      </c>
      <c r="AK23" s="106">
        <f>IF(AND(O23="",AH23=""),"",EDATE(MAX(N(O23),N(AH23)),12*'THAM SO'!$B$12))</f>
        <v/>
      </c>
      <c r="AL23" s="110" t="n"/>
    </row>
    <row r="24" ht="15" customHeight="1" s="64">
      <c r="A24" s="93">
        <f>IF(H24="","",COUNTA($H$9:H24))</f>
        <v/>
      </c>
      <c r="B24" s="93">
        <f>IF(OR(D24="",G24=""),"",YEAR(G24)&amp;"/"&amp;D24&amp;"/"&amp;TEXT(SUMPRODUCT(($D$9:D24=D24)*(YEAR($G$9:G24)=YEAR(G24))),"000")&amp;"-"&amp;'THAM SO'!$B$7)</f>
        <v/>
      </c>
      <c r="C24" s="107" t="n"/>
      <c r="D24" s="107" t="n"/>
      <c r="E24" s="95">
        <f>IF(D24="","",IFERROR(VLOOKUP(D24,'THAM SO'!$D$6:$E$40,2,FALSE()),"Mã loại chưa khai báo"))</f>
        <v/>
      </c>
      <c r="F24" s="108" t="n"/>
      <c r="G24" s="109" t="n"/>
      <c r="H24" s="110" t="n"/>
      <c r="I24" s="108" t="n"/>
      <c r="J24" s="110" t="n"/>
      <c r="K24" s="108" t="n"/>
      <c r="L24" s="108" t="n"/>
      <c r="M24" s="108" t="n"/>
      <c r="N24" s="109" t="n"/>
      <c r="O24" s="109" t="n"/>
      <c r="P24" s="107" t="n"/>
      <c r="Q24" s="107" t="n"/>
      <c r="R24" s="111" t="n"/>
      <c r="S24" s="112" t="n"/>
      <c r="T24" s="113" t="n"/>
      <c r="U24" s="102">
        <f>IF(S24="","",ROUND(S24*N(T24),2))</f>
        <v/>
      </c>
      <c r="V24" s="102">
        <f>IF(S24="","",S24+U24)</f>
        <v/>
      </c>
      <c r="W24" s="103">
        <f>IF(V24="","",ROUND(V24*IF(OR(Q24="",Q24="VND"),1,R24),0))</f>
        <v/>
      </c>
      <c r="X24" s="111" t="n"/>
      <c r="Y24" s="103">
        <f>IF(W24="","",W24+N(X24))</f>
        <v/>
      </c>
      <c r="Z24" s="103">
        <f>IF(B24="","",SUMIFS('NHAT KY THANH TOAN'!$G:$G,'NHAT KY THANH TOAN'!$B:$B,B24,'NHAT KY THANH TOAN'!$D:$D,"Hóa đơn"))</f>
        <v/>
      </c>
      <c r="AA24" s="103">
        <f>IF(B24="","",SUMIFS('NHAT KY THANH TOAN'!$G:$G,'NHAT KY THANH TOAN'!$B:$B,B24,'NHAT KY THANH TOAN'!$D:$D,"Thanh toán"))</f>
        <v/>
      </c>
      <c r="AB24" s="103">
        <f>IF(Y24="","",Y24-N(AA24))</f>
        <v/>
      </c>
      <c r="AC24" s="103">
        <f>IF(B24="","",N(Z24)-N(AA24))</f>
        <v/>
      </c>
      <c r="AD24" s="104">
        <f>IF(N(Y24)=0,"",N(AA24)/Y24)</f>
        <v/>
      </c>
      <c r="AE24" s="107" t="n"/>
      <c r="AF24" s="95">
        <f>IF(H24="","",TRIM(IF(AND(N(Y24)&gt;='THAM SO'!$B$10,AE24&lt;&gt;"Có"),"Chưa rà soát pháp lý; ","")&amp;IF(I24="","Thiếu MST đối tác; ","")&amp;IF(AG24="","Chưa ghi nơi lưu bản gốc; ","")&amp;IF(COUNTIFS('NHAT KY THANH TOAN'!$B:$B,B24,'NHAT KY THANH TOAN'!$D:$D,"Thanh toán",'NHAT KY THANH TOAN'!$F:$F,"Tiền mặt",'NHAT KY THANH TOAN'!$G:$G,"&gt;="&amp;'THAM SO'!$B$11)&gt;0,"Có khoản TT tiền mặt ≥ ngưỡng; ","")&amp;IF(AND(AB24&lt;&gt;"",N(AB24)&lt;0),"Thanh toán vượt giá trị HĐ; ","")))</f>
        <v/>
      </c>
      <c r="AG24" s="108" t="n"/>
      <c r="AH24" s="109" t="n"/>
      <c r="AI24" s="105">
        <f>IF(OR(H24="",O24="",AH24&lt;&gt;""),"",O24-'THAM SO'!$B$8)</f>
        <v/>
      </c>
      <c r="AJ24" s="95">
        <f>IF(H24="","",IF(AH24&lt;&gt;"","Đã thanh lý",IF(AND(N24&lt;&gt;"",N24&gt;'THAM SO'!$B$8),"Chưa hiệu lực",IF(O24="","Đang thực hiện",IF(O24&lt;'THAM SO'!$B$8,IF(P24="Có","Đã tự gia hạn – kiểm tra","Quá hạn – chưa thanh lý"),IF(O24-'THAM SO'!$B$8&lt;='THAM SO'!$B$9,"Sắp hết hạn","Đang thực hiện"))))))</f>
        <v/>
      </c>
      <c r="AK24" s="106">
        <f>IF(AND(O24="",AH24=""),"",EDATE(MAX(N(O24),N(AH24)),12*'THAM SO'!$B$12))</f>
        <v/>
      </c>
      <c r="AL24" s="110" t="n"/>
    </row>
    <row r="25" ht="15" customHeight="1" s="64">
      <c r="A25" s="93">
        <f>IF(H25="","",COUNTA($H$9:H25))</f>
        <v/>
      </c>
      <c r="B25" s="93">
        <f>IF(OR(D25="",G25=""),"",YEAR(G25)&amp;"/"&amp;D25&amp;"/"&amp;TEXT(SUMPRODUCT(($D$9:D25=D25)*(YEAR($G$9:G25)=YEAR(G25))),"000")&amp;"-"&amp;'THAM SO'!$B$7)</f>
        <v/>
      </c>
      <c r="C25" s="107" t="n"/>
      <c r="D25" s="107" t="n"/>
      <c r="E25" s="95">
        <f>IF(D25="","",IFERROR(VLOOKUP(D25,'THAM SO'!$D$6:$E$40,2,FALSE()),"Mã loại chưa khai báo"))</f>
        <v/>
      </c>
      <c r="F25" s="108" t="n"/>
      <c r="G25" s="109" t="n"/>
      <c r="H25" s="110" t="n"/>
      <c r="I25" s="108" t="n"/>
      <c r="J25" s="110" t="n"/>
      <c r="K25" s="108" t="n"/>
      <c r="L25" s="108" t="n"/>
      <c r="M25" s="108" t="n"/>
      <c r="N25" s="109" t="n"/>
      <c r="O25" s="109" t="n"/>
      <c r="P25" s="107" t="n"/>
      <c r="Q25" s="107" t="n"/>
      <c r="R25" s="111" t="n"/>
      <c r="S25" s="112" t="n"/>
      <c r="T25" s="113" t="n"/>
      <c r="U25" s="102">
        <f>IF(S25="","",ROUND(S25*N(T25),2))</f>
        <v/>
      </c>
      <c r="V25" s="102">
        <f>IF(S25="","",S25+U25)</f>
        <v/>
      </c>
      <c r="W25" s="103">
        <f>IF(V25="","",ROUND(V25*IF(OR(Q25="",Q25="VND"),1,R25),0))</f>
        <v/>
      </c>
      <c r="X25" s="111" t="n"/>
      <c r="Y25" s="103">
        <f>IF(W25="","",W25+N(X25))</f>
        <v/>
      </c>
      <c r="Z25" s="103">
        <f>IF(B25="","",SUMIFS('NHAT KY THANH TOAN'!$G:$G,'NHAT KY THANH TOAN'!$B:$B,B25,'NHAT KY THANH TOAN'!$D:$D,"Hóa đơn"))</f>
        <v/>
      </c>
      <c r="AA25" s="103">
        <f>IF(B25="","",SUMIFS('NHAT KY THANH TOAN'!$G:$G,'NHAT KY THANH TOAN'!$B:$B,B25,'NHAT KY THANH TOAN'!$D:$D,"Thanh toán"))</f>
        <v/>
      </c>
      <c r="AB25" s="103">
        <f>IF(Y25="","",Y25-N(AA25))</f>
        <v/>
      </c>
      <c r="AC25" s="103">
        <f>IF(B25="","",N(Z25)-N(AA25))</f>
        <v/>
      </c>
      <c r="AD25" s="104">
        <f>IF(N(Y25)=0,"",N(AA25)/Y25)</f>
        <v/>
      </c>
      <c r="AE25" s="107" t="n"/>
      <c r="AF25" s="95">
        <f>IF(H25="","",TRIM(IF(AND(N(Y25)&gt;='THAM SO'!$B$10,AE25&lt;&gt;"Có"),"Chưa rà soát pháp lý; ","")&amp;IF(I25="","Thiếu MST đối tác; ","")&amp;IF(AG25="","Chưa ghi nơi lưu bản gốc; ","")&amp;IF(COUNTIFS('NHAT KY THANH TOAN'!$B:$B,B25,'NHAT KY THANH TOAN'!$D:$D,"Thanh toán",'NHAT KY THANH TOAN'!$F:$F,"Tiền mặt",'NHAT KY THANH TOAN'!$G:$G,"&gt;="&amp;'THAM SO'!$B$11)&gt;0,"Có khoản TT tiền mặt ≥ ngưỡng; ","")&amp;IF(AND(AB25&lt;&gt;"",N(AB25)&lt;0),"Thanh toán vượt giá trị HĐ; ","")))</f>
        <v/>
      </c>
      <c r="AG25" s="108" t="n"/>
      <c r="AH25" s="109" t="n"/>
      <c r="AI25" s="105">
        <f>IF(OR(H25="",O25="",AH25&lt;&gt;""),"",O25-'THAM SO'!$B$8)</f>
        <v/>
      </c>
      <c r="AJ25" s="95">
        <f>IF(H25="","",IF(AH25&lt;&gt;"","Đã thanh lý",IF(AND(N25&lt;&gt;"",N25&gt;'THAM SO'!$B$8),"Chưa hiệu lực",IF(O25="","Đang thực hiện",IF(O25&lt;'THAM SO'!$B$8,IF(P25="Có","Đã tự gia hạn – kiểm tra","Quá hạn – chưa thanh lý"),IF(O25-'THAM SO'!$B$8&lt;='THAM SO'!$B$9,"Sắp hết hạn","Đang thực hiện"))))))</f>
        <v/>
      </c>
      <c r="AK25" s="106">
        <f>IF(AND(O25="",AH25=""),"",EDATE(MAX(N(O25),N(AH25)),12*'THAM SO'!$B$12))</f>
        <v/>
      </c>
      <c r="AL25" s="110" t="n"/>
    </row>
    <row r="26" ht="15" customHeight="1" s="64">
      <c r="A26" s="93">
        <f>IF(H26="","",COUNTA($H$9:H26))</f>
        <v/>
      </c>
      <c r="B26" s="93">
        <f>IF(OR(D26="",G26=""),"",YEAR(G26)&amp;"/"&amp;D26&amp;"/"&amp;TEXT(SUMPRODUCT(($D$9:D26=D26)*(YEAR($G$9:G26)=YEAR(G26))),"000")&amp;"-"&amp;'THAM SO'!$B$7)</f>
        <v/>
      </c>
      <c r="C26" s="107" t="n"/>
      <c r="D26" s="107" t="n"/>
      <c r="E26" s="95">
        <f>IF(D26="","",IFERROR(VLOOKUP(D26,'THAM SO'!$D$6:$E$40,2,FALSE()),"Mã loại chưa khai báo"))</f>
        <v/>
      </c>
      <c r="F26" s="108" t="n"/>
      <c r="G26" s="109" t="n"/>
      <c r="H26" s="110" t="n"/>
      <c r="I26" s="108" t="n"/>
      <c r="J26" s="110" t="n"/>
      <c r="K26" s="108" t="n"/>
      <c r="L26" s="108" t="n"/>
      <c r="M26" s="108" t="n"/>
      <c r="N26" s="109" t="n"/>
      <c r="O26" s="109" t="n"/>
      <c r="P26" s="107" t="n"/>
      <c r="Q26" s="107" t="n"/>
      <c r="R26" s="111" t="n"/>
      <c r="S26" s="112" t="n"/>
      <c r="T26" s="113" t="n"/>
      <c r="U26" s="102">
        <f>IF(S26="","",ROUND(S26*N(T26),2))</f>
        <v/>
      </c>
      <c r="V26" s="102">
        <f>IF(S26="","",S26+U26)</f>
        <v/>
      </c>
      <c r="W26" s="103">
        <f>IF(V26="","",ROUND(V26*IF(OR(Q26="",Q26="VND"),1,R26),0))</f>
        <v/>
      </c>
      <c r="X26" s="111" t="n"/>
      <c r="Y26" s="103">
        <f>IF(W26="","",W26+N(X26))</f>
        <v/>
      </c>
      <c r="Z26" s="103">
        <f>IF(B26="","",SUMIFS('NHAT KY THANH TOAN'!$G:$G,'NHAT KY THANH TOAN'!$B:$B,B26,'NHAT KY THANH TOAN'!$D:$D,"Hóa đơn"))</f>
        <v/>
      </c>
      <c r="AA26" s="103">
        <f>IF(B26="","",SUMIFS('NHAT KY THANH TOAN'!$G:$G,'NHAT KY THANH TOAN'!$B:$B,B26,'NHAT KY THANH TOAN'!$D:$D,"Thanh toán"))</f>
        <v/>
      </c>
      <c r="AB26" s="103">
        <f>IF(Y26="","",Y26-N(AA26))</f>
        <v/>
      </c>
      <c r="AC26" s="103">
        <f>IF(B26="","",N(Z26)-N(AA26))</f>
        <v/>
      </c>
      <c r="AD26" s="104">
        <f>IF(N(Y26)=0,"",N(AA26)/Y26)</f>
        <v/>
      </c>
      <c r="AE26" s="107" t="n"/>
      <c r="AF26" s="95">
        <f>IF(H26="","",TRIM(IF(AND(N(Y26)&gt;='THAM SO'!$B$10,AE26&lt;&gt;"Có"),"Chưa rà soát pháp lý; ","")&amp;IF(I26="","Thiếu MST đối tác; ","")&amp;IF(AG26="","Chưa ghi nơi lưu bản gốc; ","")&amp;IF(COUNTIFS('NHAT KY THANH TOAN'!$B:$B,B26,'NHAT KY THANH TOAN'!$D:$D,"Thanh toán",'NHAT KY THANH TOAN'!$F:$F,"Tiền mặt",'NHAT KY THANH TOAN'!$G:$G,"&gt;="&amp;'THAM SO'!$B$11)&gt;0,"Có khoản TT tiền mặt ≥ ngưỡng; ","")&amp;IF(AND(AB26&lt;&gt;"",N(AB26)&lt;0),"Thanh toán vượt giá trị HĐ; ","")))</f>
        <v/>
      </c>
      <c r="AG26" s="108" t="n"/>
      <c r="AH26" s="109" t="n"/>
      <c r="AI26" s="105">
        <f>IF(OR(H26="",O26="",AH26&lt;&gt;""),"",O26-'THAM SO'!$B$8)</f>
        <v/>
      </c>
      <c r="AJ26" s="95">
        <f>IF(H26="","",IF(AH26&lt;&gt;"","Đã thanh lý",IF(AND(N26&lt;&gt;"",N26&gt;'THAM SO'!$B$8),"Chưa hiệu lực",IF(O26="","Đang thực hiện",IF(O26&lt;'THAM SO'!$B$8,IF(P26="Có","Đã tự gia hạn – kiểm tra","Quá hạn – chưa thanh lý"),IF(O26-'THAM SO'!$B$8&lt;='THAM SO'!$B$9,"Sắp hết hạn","Đang thực hiện"))))))</f>
        <v/>
      </c>
      <c r="AK26" s="106">
        <f>IF(AND(O26="",AH26=""),"",EDATE(MAX(N(O26),N(AH26)),12*'THAM SO'!$B$12))</f>
        <v/>
      </c>
      <c r="AL26" s="110" t="n"/>
    </row>
    <row r="27" ht="15" customHeight="1" s="64">
      <c r="A27" s="93">
        <f>IF(H27="","",COUNTA($H$9:H27))</f>
        <v/>
      </c>
      <c r="B27" s="93">
        <f>IF(OR(D27="",G27=""),"",YEAR(G27)&amp;"/"&amp;D27&amp;"/"&amp;TEXT(SUMPRODUCT(($D$9:D27=D27)*(YEAR($G$9:G27)=YEAR(G27))),"000")&amp;"-"&amp;'THAM SO'!$B$7)</f>
        <v/>
      </c>
      <c r="C27" s="107" t="n"/>
      <c r="D27" s="107" t="n"/>
      <c r="E27" s="95">
        <f>IF(D27="","",IFERROR(VLOOKUP(D27,'THAM SO'!$D$6:$E$40,2,FALSE()),"Mã loại chưa khai báo"))</f>
        <v/>
      </c>
      <c r="F27" s="108" t="n"/>
      <c r="G27" s="109" t="n"/>
      <c r="H27" s="110" t="n"/>
      <c r="I27" s="108" t="n"/>
      <c r="J27" s="110" t="n"/>
      <c r="K27" s="108" t="n"/>
      <c r="L27" s="108" t="n"/>
      <c r="M27" s="108" t="n"/>
      <c r="N27" s="109" t="n"/>
      <c r="O27" s="109" t="n"/>
      <c r="P27" s="107" t="n"/>
      <c r="Q27" s="107" t="n"/>
      <c r="R27" s="111" t="n"/>
      <c r="S27" s="112" t="n"/>
      <c r="T27" s="113" t="n"/>
      <c r="U27" s="102">
        <f>IF(S27="","",ROUND(S27*N(T27),2))</f>
        <v/>
      </c>
      <c r="V27" s="102">
        <f>IF(S27="","",S27+U27)</f>
        <v/>
      </c>
      <c r="W27" s="103">
        <f>IF(V27="","",ROUND(V27*IF(OR(Q27="",Q27="VND"),1,R27),0))</f>
        <v/>
      </c>
      <c r="X27" s="111" t="n"/>
      <c r="Y27" s="103">
        <f>IF(W27="","",W27+N(X27))</f>
        <v/>
      </c>
      <c r="Z27" s="103">
        <f>IF(B27="","",SUMIFS('NHAT KY THANH TOAN'!$G:$G,'NHAT KY THANH TOAN'!$B:$B,B27,'NHAT KY THANH TOAN'!$D:$D,"Hóa đơn"))</f>
        <v/>
      </c>
      <c r="AA27" s="103">
        <f>IF(B27="","",SUMIFS('NHAT KY THANH TOAN'!$G:$G,'NHAT KY THANH TOAN'!$B:$B,B27,'NHAT KY THANH TOAN'!$D:$D,"Thanh toán"))</f>
        <v/>
      </c>
      <c r="AB27" s="103">
        <f>IF(Y27="","",Y27-N(AA27))</f>
        <v/>
      </c>
      <c r="AC27" s="103">
        <f>IF(B27="","",N(Z27)-N(AA27))</f>
        <v/>
      </c>
      <c r="AD27" s="104">
        <f>IF(N(Y27)=0,"",N(AA27)/Y27)</f>
        <v/>
      </c>
      <c r="AE27" s="107" t="n"/>
      <c r="AF27" s="95">
        <f>IF(H27="","",TRIM(IF(AND(N(Y27)&gt;='THAM SO'!$B$10,AE27&lt;&gt;"Có"),"Chưa rà soát pháp lý; ","")&amp;IF(I27="","Thiếu MST đối tác; ","")&amp;IF(AG27="","Chưa ghi nơi lưu bản gốc; ","")&amp;IF(COUNTIFS('NHAT KY THANH TOAN'!$B:$B,B27,'NHAT KY THANH TOAN'!$D:$D,"Thanh toán",'NHAT KY THANH TOAN'!$F:$F,"Tiền mặt",'NHAT KY THANH TOAN'!$G:$G,"&gt;="&amp;'THAM SO'!$B$11)&gt;0,"Có khoản TT tiền mặt ≥ ngưỡng; ","")&amp;IF(AND(AB27&lt;&gt;"",N(AB27)&lt;0),"Thanh toán vượt giá trị HĐ; ","")))</f>
        <v/>
      </c>
      <c r="AG27" s="108" t="n"/>
      <c r="AH27" s="109" t="n"/>
      <c r="AI27" s="105">
        <f>IF(OR(H27="",O27="",AH27&lt;&gt;""),"",O27-'THAM SO'!$B$8)</f>
        <v/>
      </c>
      <c r="AJ27" s="95">
        <f>IF(H27="","",IF(AH27&lt;&gt;"","Đã thanh lý",IF(AND(N27&lt;&gt;"",N27&gt;'THAM SO'!$B$8),"Chưa hiệu lực",IF(O27="","Đang thực hiện",IF(O27&lt;'THAM SO'!$B$8,IF(P27="Có","Đã tự gia hạn – kiểm tra","Quá hạn – chưa thanh lý"),IF(O27-'THAM SO'!$B$8&lt;='THAM SO'!$B$9,"Sắp hết hạn","Đang thực hiện"))))))</f>
        <v/>
      </c>
      <c r="AK27" s="106">
        <f>IF(AND(O27="",AH27=""),"",EDATE(MAX(N(O27),N(AH27)),12*'THAM SO'!$B$12))</f>
        <v/>
      </c>
      <c r="AL27" s="110" t="n"/>
    </row>
    <row r="28" ht="15" customHeight="1" s="64">
      <c r="A28" s="93">
        <f>IF(H28="","",COUNTA($H$9:H28))</f>
        <v/>
      </c>
      <c r="B28" s="93">
        <f>IF(OR(D28="",G28=""),"",YEAR(G28)&amp;"/"&amp;D28&amp;"/"&amp;TEXT(SUMPRODUCT(($D$9:D28=D28)*(YEAR($G$9:G28)=YEAR(G28))),"000")&amp;"-"&amp;'THAM SO'!$B$7)</f>
        <v/>
      </c>
      <c r="C28" s="107" t="n"/>
      <c r="D28" s="107" t="n"/>
      <c r="E28" s="95">
        <f>IF(D28="","",IFERROR(VLOOKUP(D28,'THAM SO'!$D$6:$E$40,2,FALSE()),"Mã loại chưa khai báo"))</f>
        <v/>
      </c>
      <c r="F28" s="108" t="n"/>
      <c r="G28" s="109" t="n"/>
      <c r="H28" s="110" t="n"/>
      <c r="I28" s="108" t="n"/>
      <c r="J28" s="110" t="n"/>
      <c r="K28" s="108" t="n"/>
      <c r="L28" s="108" t="n"/>
      <c r="M28" s="108" t="n"/>
      <c r="N28" s="109" t="n"/>
      <c r="O28" s="109" t="n"/>
      <c r="P28" s="107" t="n"/>
      <c r="Q28" s="107" t="n"/>
      <c r="R28" s="111" t="n"/>
      <c r="S28" s="112" t="n"/>
      <c r="T28" s="113" t="n"/>
      <c r="U28" s="102">
        <f>IF(S28="","",ROUND(S28*N(T28),2))</f>
        <v/>
      </c>
      <c r="V28" s="102">
        <f>IF(S28="","",S28+U28)</f>
        <v/>
      </c>
      <c r="W28" s="103">
        <f>IF(V28="","",ROUND(V28*IF(OR(Q28="",Q28="VND"),1,R28),0))</f>
        <v/>
      </c>
      <c r="X28" s="111" t="n"/>
      <c r="Y28" s="103">
        <f>IF(W28="","",W28+N(X28))</f>
        <v/>
      </c>
      <c r="Z28" s="103">
        <f>IF(B28="","",SUMIFS('NHAT KY THANH TOAN'!$G:$G,'NHAT KY THANH TOAN'!$B:$B,B28,'NHAT KY THANH TOAN'!$D:$D,"Hóa đơn"))</f>
        <v/>
      </c>
      <c r="AA28" s="103">
        <f>IF(B28="","",SUMIFS('NHAT KY THANH TOAN'!$G:$G,'NHAT KY THANH TOAN'!$B:$B,B28,'NHAT KY THANH TOAN'!$D:$D,"Thanh toán"))</f>
        <v/>
      </c>
      <c r="AB28" s="103">
        <f>IF(Y28="","",Y28-N(AA28))</f>
        <v/>
      </c>
      <c r="AC28" s="103">
        <f>IF(B28="","",N(Z28)-N(AA28))</f>
        <v/>
      </c>
      <c r="AD28" s="104">
        <f>IF(N(Y28)=0,"",N(AA28)/Y28)</f>
        <v/>
      </c>
      <c r="AE28" s="107" t="n"/>
      <c r="AF28" s="95">
        <f>IF(H28="","",TRIM(IF(AND(N(Y28)&gt;='THAM SO'!$B$10,AE28&lt;&gt;"Có"),"Chưa rà soát pháp lý; ","")&amp;IF(I28="","Thiếu MST đối tác; ","")&amp;IF(AG28="","Chưa ghi nơi lưu bản gốc; ","")&amp;IF(COUNTIFS('NHAT KY THANH TOAN'!$B:$B,B28,'NHAT KY THANH TOAN'!$D:$D,"Thanh toán",'NHAT KY THANH TOAN'!$F:$F,"Tiền mặt",'NHAT KY THANH TOAN'!$G:$G,"&gt;="&amp;'THAM SO'!$B$11)&gt;0,"Có khoản TT tiền mặt ≥ ngưỡng; ","")&amp;IF(AND(AB28&lt;&gt;"",N(AB28)&lt;0),"Thanh toán vượt giá trị HĐ; ","")))</f>
        <v/>
      </c>
      <c r="AG28" s="108" t="n"/>
      <c r="AH28" s="109" t="n"/>
      <c r="AI28" s="105">
        <f>IF(OR(H28="",O28="",AH28&lt;&gt;""),"",O28-'THAM SO'!$B$8)</f>
        <v/>
      </c>
      <c r="AJ28" s="95">
        <f>IF(H28="","",IF(AH28&lt;&gt;"","Đã thanh lý",IF(AND(N28&lt;&gt;"",N28&gt;'THAM SO'!$B$8),"Chưa hiệu lực",IF(O28="","Đang thực hiện",IF(O28&lt;'THAM SO'!$B$8,IF(P28="Có","Đã tự gia hạn – kiểm tra","Quá hạn – chưa thanh lý"),IF(O28-'THAM SO'!$B$8&lt;='THAM SO'!$B$9,"Sắp hết hạn","Đang thực hiện"))))))</f>
        <v/>
      </c>
      <c r="AK28" s="106">
        <f>IF(AND(O28="",AH28=""),"",EDATE(MAX(N(O28),N(AH28)),12*'THAM SO'!$B$12))</f>
        <v/>
      </c>
      <c r="AL28" s="110" t="n"/>
    </row>
    <row r="29" ht="15" customHeight="1" s="64">
      <c r="A29" s="93">
        <f>IF(H29="","",COUNTA($H$9:H29))</f>
        <v/>
      </c>
      <c r="B29" s="93">
        <f>IF(OR(D29="",G29=""),"",YEAR(G29)&amp;"/"&amp;D29&amp;"/"&amp;TEXT(SUMPRODUCT(($D$9:D29=D29)*(YEAR($G$9:G29)=YEAR(G29))),"000")&amp;"-"&amp;'THAM SO'!$B$7)</f>
        <v/>
      </c>
      <c r="C29" s="107" t="n"/>
      <c r="D29" s="107" t="n"/>
      <c r="E29" s="95">
        <f>IF(D29="","",IFERROR(VLOOKUP(D29,'THAM SO'!$D$6:$E$40,2,FALSE()),"Mã loại chưa khai báo"))</f>
        <v/>
      </c>
      <c r="F29" s="108" t="n"/>
      <c r="G29" s="109" t="n"/>
      <c r="H29" s="110" t="n"/>
      <c r="I29" s="108" t="n"/>
      <c r="J29" s="110" t="n"/>
      <c r="K29" s="108" t="n"/>
      <c r="L29" s="108" t="n"/>
      <c r="M29" s="108" t="n"/>
      <c r="N29" s="109" t="n"/>
      <c r="O29" s="109" t="n"/>
      <c r="P29" s="107" t="n"/>
      <c r="Q29" s="107" t="n"/>
      <c r="R29" s="111" t="n"/>
      <c r="S29" s="112" t="n"/>
      <c r="T29" s="113" t="n"/>
      <c r="U29" s="102">
        <f>IF(S29="","",ROUND(S29*N(T29),2))</f>
        <v/>
      </c>
      <c r="V29" s="102">
        <f>IF(S29="","",S29+U29)</f>
        <v/>
      </c>
      <c r="W29" s="103">
        <f>IF(V29="","",ROUND(V29*IF(OR(Q29="",Q29="VND"),1,R29),0))</f>
        <v/>
      </c>
      <c r="X29" s="111" t="n"/>
      <c r="Y29" s="103">
        <f>IF(W29="","",W29+N(X29))</f>
        <v/>
      </c>
      <c r="Z29" s="103">
        <f>IF(B29="","",SUMIFS('NHAT KY THANH TOAN'!$G:$G,'NHAT KY THANH TOAN'!$B:$B,B29,'NHAT KY THANH TOAN'!$D:$D,"Hóa đơn"))</f>
        <v/>
      </c>
      <c r="AA29" s="103">
        <f>IF(B29="","",SUMIFS('NHAT KY THANH TOAN'!$G:$G,'NHAT KY THANH TOAN'!$B:$B,B29,'NHAT KY THANH TOAN'!$D:$D,"Thanh toán"))</f>
        <v/>
      </c>
      <c r="AB29" s="103">
        <f>IF(Y29="","",Y29-N(AA29))</f>
        <v/>
      </c>
      <c r="AC29" s="103">
        <f>IF(B29="","",N(Z29)-N(AA29))</f>
        <v/>
      </c>
      <c r="AD29" s="104">
        <f>IF(N(Y29)=0,"",N(AA29)/Y29)</f>
        <v/>
      </c>
      <c r="AE29" s="107" t="n"/>
      <c r="AF29" s="95">
        <f>IF(H29="","",TRIM(IF(AND(N(Y29)&gt;='THAM SO'!$B$10,AE29&lt;&gt;"Có"),"Chưa rà soát pháp lý; ","")&amp;IF(I29="","Thiếu MST đối tác; ","")&amp;IF(AG29="","Chưa ghi nơi lưu bản gốc; ","")&amp;IF(COUNTIFS('NHAT KY THANH TOAN'!$B:$B,B29,'NHAT KY THANH TOAN'!$D:$D,"Thanh toán",'NHAT KY THANH TOAN'!$F:$F,"Tiền mặt",'NHAT KY THANH TOAN'!$G:$G,"&gt;="&amp;'THAM SO'!$B$11)&gt;0,"Có khoản TT tiền mặt ≥ ngưỡng; ","")&amp;IF(AND(AB29&lt;&gt;"",N(AB29)&lt;0),"Thanh toán vượt giá trị HĐ; ","")))</f>
        <v/>
      </c>
      <c r="AG29" s="108" t="n"/>
      <c r="AH29" s="109" t="n"/>
      <c r="AI29" s="105">
        <f>IF(OR(H29="",O29="",AH29&lt;&gt;""),"",O29-'THAM SO'!$B$8)</f>
        <v/>
      </c>
      <c r="AJ29" s="95">
        <f>IF(H29="","",IF(AH29&lt;&gt;"","Đã thanh lý",IF(AND(N29&lt;&gt;"",N29&gt;'THAM SO'!$B$8),"Chưa hiệu lực",IF(O29="","Đang thực hiện",IF(O29&lt;'THAM SO'!$B$8,IF(P29="Có","Đã tự gia hạn – kiểm tra","Quá hạn – chưa thanh lý"),IF(O29-'THAM SO'!$B$8&lt;='THAM SO'!$B$9,"Sắp hết hạn","Đang thực hiện"))))))</f>
        <v/>
      </c>
      <c r="AK29" s="106">
        <f>IF(AND(O29="",AH29=""),"",EDATE(MAX(N(O29),N(AH29)),12*'THAM SO'!$B$12))</f>
        <v/>
      </c>
      <c r="AL29" s="110" t="n"/>
    </row>
    <row r="30" ht="15" customHeight="1" s="64">
      <c r="A30" s="93">
        <f>IF(H30="","",COUNTA($H$9:H30))</f>
        <v/>
      </c>
      <c r="B30" s="93">
        <f>IF(OR(D30="",G30=""),"",YEAR(G30)&amp;"/"&amp;D30&amp;"/"&amp;TEXT(SUMPRODUCT(($D$9:D30=D30)*(YEAR($G$9:G30)=YEAR(G30))),"000")&amp;"-"&amp;'THAM SO'!$B$7)</f>
        <v/>
      </c>
      <c r="C30" s="107" t="n"/>
      <c r="D30" s="107" t="n"/>
      <c r="E30" s="95">
        <f>IF(D30="","",IFERROR(VLOOKUP(D30,'THAM SO'!$D$6:$E$40,2,FALSE()),"Mã loại chưa khai báo"))</f>
        <v/>
      </c>
      <c r="F30" s="108" t="n"/>
      <c r="G30" s="109" t="n"/>
      <c r="H30" s="110" t="n"/>
      <c r="I30" s="108" t="n"/>
      <c r="J30" s="110" t="n"/>
      <c r="K30" s="108" t="n"/>
      <c r="L30" s="108" t="n"/>
      <c r="M30" s="108" t="n"/>
      <c r="N30" s="109" t="n"/>
      <c r="O30" s="109" t="n"/>
      <c r="P30" s="107" t="n"/>
      <c r="Q30" s="107" t="n"/>
      <c r="R30" s="111" t="n"/>
      <c r="S30" s="112" t="n"/>
      <c r="T30" s="113" t="n"/>
      <c r="U30" s="102">
        <f>IF(S30="","",ROUND(S30*N(T30),2))</f>
        <v/>
      </c>
      <c r="V30" s="102">
        <f>IF(S30="","",S30+U30)</f>
        <v/>
      </c>
      <c r="W30" s="103">
        <f>IF(V30="","",ROUND(V30*IF(OR(Q30="",Q30="VND"),1,R30),0))</f>
        <v/>
      </c>
      <c r="X30" s="111" t="n"/>
      <c r="Y30" s="103">
        <f>IF(W30="","",W30+N(X30))</f>
        <v/>
      </c>
      <c r="Z30" s="103">
        <f>IF(B30="","",SUMIFS('NHAT KY THANH TOAN'!$G:$G,'NHAT KY THANH TOAN'!$B:$B,B30,'NHAT KY THANH TOAN'!$D:$D,"Hóa đơn"))</f>
        <v/>
      </c>
      <c r="AA30" s="103">
        <f>IF(B30="","",SUMIFS('NHAT KY THANH TOAN'!$G:$G,'NHAT KY THANH TOAN'!$B:$B,B30,'NHAT KY THANH TOAN'!$D:$D,"Thanh toán"))</f>
        <v/>
      </c>
      <c r="AB30" s="103">
        <f>IF(Y30="","",Y30-N(AA30))</f>
        <v/>
      </c>
      <c r="AC30" s="103">
        <f>IF(B30="","",N(Z30)-N(AA30))</f>
        <v/>
      </c>
      <c r="AD30" s="104">
        <f>IF(N(Y30)=0,"",N(AA30)/Y30)</f>
        <v/>
      </c>
      <c r="AE30" s="107" t="n"/>
      <c r="AF30" s="95">
        <f>IF(H30="","",TRIM(IF(AND(N(Y30)&gt;='THAM SO'!$B$10,AE30&lt;&gt;"Có"),"Chưa rà soát pháp lý; ","")&amp;IF(I30="","Thiếu MST đối tác; ","")&amp;IF(AG30="","Chưa ghi nơi lưu bản gốc; ","")&amp;IF(COUNTIFS('NHAT KY THANH TOAN'!$B:$B,B30,'NHAT KY THANH TOAN'!$D:$D,"Thanh toán",'NHAT KY THANH TOAN'!$F:$F,"Tiền mặt",'NHAT KY THANH TOAN'!$G:$G,"&gt;="&amp;'THAM SO'!$B$11)&gt;0,"Có khoản TT tiền mặt ≥ ngưỡng; ","")&amp;IF(AND(AB30&lt;&gt;"",N(AB30)&lt;0),"Thanh toán vượt giá trị HĐ; ","")))</f>
        <v/>
      </c>
      <c r="AG30" s="108" t="n"/>
      <c r="AH30" s="109" t="n"/>
      <c r="AI30" s="105">
        <f>IF(OR(H30="",O30="",AH30&lt;&gt;""),"",O30-'THAM SO'!$B$8)</f>
        <v/>
      </c>
      <c r="AJ30" s="95">
        <f>IF(H30="","",IF(AH30&lt;&gt;"","Đã thanh lý",IF(AND(N30&lt;&gt;"",N30&gt;'THAM SO'!$B$8),"Chưa hiệu lực",IF(O30="","Đang thực hiện",IF(O30&lt;'THAM SO'!$B$8,IF(P30="Có","Đã tự gia hạn – kiểm tra","Quá hạn – chưa thanh lý"),IF(O30-'THAM SO'!$B$8&lt;='THAM SO'!$B$9,"Sắp hết hạn","Đang thực hiện"))))))</f>
        <v/>
      </c>
      <c r="AK30" s="106">
        <f>IF(AND(O30="",AH30=""),"",EDATE(MAX(N(O30),N(AH30)),12*'THAM SO'!$B$12))</f>
        <v/>
      </c>
      <c r="AL30" s="110" t="n"/>
    </row>
    <row r="31" ht="15" customHeight="1" s="64">
      <c r="A31" s="93">
        <f>IF(H31="","",COUNTA($H$9:H31))</f>
        <v/>
      </c>
      <c r="B31" s="93">
        <f>IF(OR(D31="",G31=""),"",YEAR(G31)&amp;"/"&amp;D31&amp;"/"&amp;TEXT(SUMPRODUCT(($D$9:D31=D31)*(YEAR($G$9:G31)=YEAR(G31))),"000")&amp;"-"&amp;'THAM SO'!$B$7)</f>
        <v/>
      </c>
      <c r="C31" s="107" t="n"/>
      <c r="D31" s="107" t="n"/>
      <c r="E31" s="95">
        <f>IF(D31="","",IFERROR(VLOOKUP(D31,'THAM SO'!$D$6:$E$40,2,FALSE()),"Mã loại chưa khai báo"))</f>
        <v/>
      </c>
      <c r="F31" s="108" t="n"/>
      <c r="G31" s="109" t="n"/>
      <c r="H31" s="110" t="n"/>
      <c r="I31" s="108" t="n"/>
      <c r="J31" s="110" t="n"/>
      <c r="K31" s="108" t="n"/>
      <c r="L31" s="108" t="n"/>
      <c r="M31" s="108" t="n"/>
      <c r="N31" s="109" t="n"/>
      <c r="O31" s="109" t="n"/>
      <c r="P31" s="107" t="n"/>
      <c r="Q31" s="107" t="n"/>
      <c r="R31" s="111" t="n"/>
      <c r="S31" s="112" t="n"/>
      <c r="T31" s="113" t="n"/>
      <c r="U31" s="102">
        <f>IF(S31="","",ROUND(S31*N(T31),2))</f>
        <v/>
      </c>
      <c r="V31" s="102">
        <f>IF(S31="","",S31+U31)</f>
        <v/>
      </c>
      <c r="W31" s="103">
        <f>IF(V31="","",ROUND(V31*IF(OR(Q31="",Q31="VND"),1,R31),0))</f>
        <v/>
      </c>
      <c r="X31" s="111" t="n"/>
      <c r="Y31" s="103">
        <f>IF(W31="","",W31+N(X31))</f>
        <v/>
      </c>
      <c r="Z31" s="103">
        <f>IF(B31="","",SUMIFS('NHAT KY THANH TOAN'!$G:$G,'NHAT KY THANH TOAN'!$B:$B,B31,'NHAT KY THANH TOAN'!$D:$D,"Hóa đơn"))</f>
        <v/>
      </c>
      <c r="AA31" s="103">
        <f>IF(B31="","",SUMIFS('NHAT KY THANH TOAN'!$G:$G,'NHAT KY THANH TOAN'!$B:$B,B31,'NHAT KY THANH TOAN'!$D:$D,"Thanh toán"))</f>
        <v/>
      </c>
      <c r="AB31" s="103">
        <f>IF(Y31="","",Y31-N(AA31))</f>
        <v/>
      </c>
      <c r="AC31" s="103">
        <f>IF(B31="","",N(Z31)-N(AA31))</f>
        <v/>
      </c>
      <c r="AD31" s="104">
        <f>IF(N(Y31)=0,"",N(AA31)/Y31)</f>
        <v/>
      </c>
      <c r="AE31" s="107" t="n"/>
      <c r="AF31" s="95">
        <f>IF(H31="","",TRIM(IF(AND(N(Y31)&gt;='THAM SO'!$B$10,AE31&lt;&gt;"Có"),"Chưa rà soát pháp lý; ","")&amp;IF(I31="","Thiếu MST đối tác; ","")&amp;IF(AG31="","Chưa ghi nơi lưu bản gốc; ","")&amp;IF(COUNTIFS('NHAT KY THANH TOAN'!$B:$B,B31,'NHAT KY THANH TOAN'!$D:$D,"Thanh toán",'NHAT KY THANH TOAN'!$F:$F,"Tiền mặt",'NHAT KY THANH TOAN'!$G:$G,"&gt;="&amp;'THAM SO'!$B$11)&gt;0,"Có khoản TT tiền mặt ≥ ngưỡng; ","")&amp;IF(AND(AB31&lt;&gt;"",N(AB31)&lt;0),"Thanh toán vượt giá trị HĐ; ","")))</f>
        <v/>
      </c>
      <c r="AG31" s="108" t="n"/>
      <c r="AH31" s="109" t="n"/>
      <c r="AI31" s="105">
        <f>IF(OR(H31="",O31="",AH31&lt;&gt;""),"",O31-'THAM SO'!$B$8)</f>
        <v/>
      </c>
      <c r="AJ31" s="95">
        <f>IF(H31="","",IF(AH31&lt;&gt;"","Đã thanh lý",IF(AND(N31&lt;&gt;"",N31&gt;'THAM SO'!$B$8),"Chưa hiệu lực",IF(O31="","Đang thực hiện",IF(O31&lt;'THAM SO'!$B$8,IF(P31="Có","Đã tự gia hạn – kiểm tra","Quá hạn – chưa thanh lý"),IF(O31-'THAM SO'!$B$8&lt;='THAM SO'!$B$9,"Sắp hết hạn","Đang thực hiện"))))))</f>
        <v/>
      </c>
      <c r="AK31" s="106">
        <f>IF(AND(O31="",AH31=""),"",EDATE(MAX(N(O31),N(AH31)),12*'THAM SO'!$B$12))</f>
        <v/>
      </c>
      <c r="AL31" s="110" t="n"/>
    </row>
    <row r="32" ht="15" customHeight="1" s="64">
      <c r="A32" s="93">
        <f>IF(H32="","",COUNTA($H$9:H32))</f>
        <v/>
      </c>
      <c r="B32" s="93">
        <f>IF(OR(D32="",G32=""),"",YEAR(G32)&amp;"/"&amp;D32&amp;"/"&amp;TEXT(SUMPRODUCT(($D$9:D32=D32)*(YEAR($G$9:G32)=YEAR(G32))),"000")&amp;"-"&amp;'THAM SO'!$B$7)</f>
        <v/>
      </c>
      <c r="C32" s="107" t="n"/>
      <c r="D32" s="107" t="n"/>
      <c r="E32" s="95">
        <f>IF(D32="","",IFERROR(VLOOKUP(D32,'THAM SO'!$D$6:$E$40,2,FALSE()),"Mã loại chưa khai báo"))</f>
        <v/>
      </c>
      <c r="F32" s="108" t="n"/>
      <c r="G32" s="109" t="n"/>
      <c r="H32" s="110" t="n"/>
      <c r="I32" s="108" t="n"/>
      <c r="J32" s="110" t="n"/>
      <c r="K32" s="108" t="n"/>
      <c r="L32" s="108" t="n"/>
      <c r="M32" s="108" t="n"/>
      <c r="N32" s="109" t="n"/>
      <c r="O32" s="109" t="n"/>
      <c r="P32" s="107" t="n"/>
      <c r="Q32" s="107" t="n"/>
      <c r="R32" s="111" t="n"/>
      <c r="S32" s="112" t="n"/>
      <c r="T32" s="113" t="n"/>
      <c r="U32" s="102">
        <f>IF(S32="","",ROUND(S32*N(T32),2))</f>
        <v/>
      </c>
      <c r="V32" s="102">
        <f>IF(S32="","",S32+U32)</f>
        <v/>
      </c>
      <c r="W32" s="103">
        <f>IF(V32="","",ROUND(V32*IF(OR(Q32="",Q32="VND"),1,R32),0))</f>
        <v/>
      </c>
      <c r="X32" s="111" t="n"/>
      <c r="Y32" s="103">
        <f>IF(W32="","",W32+N(X32))</f>
        <v/>
      </c>
      <c r="Z32" s="103">
        <f>IF(B32="","",SUMIFS('NHAT KY THANH TOAN'!$G:$G,'NHAT KY THANH TOAN'!$B:$B,B32,'NHAT KY THANH TOAN'!$D:$D,"Hóa đơn"))</f>
        <v/>
      </c>
      <c r="AA32" s="103">
        <f>IF(B32="","",SUMIFS('NHAT KY THANH TOAN'!$G:$G,'NHAT KY THANH TOAN'!$B:$B,B32,'NHAT KY THANH TOAN'!$D:$D,"Thanh toán"))</f>
        <v/>
      </c>
      <c r="AB32" s="103">
        <f>IF(Y32="","",Y32-N(AA32))</f>
        <v/>
      </c>
      <c r="AC32" s="103">
        <f>IF(B32="","",N(Z32)-N(AA32))</f>
        <v/>
      </c>
      <c r="AD32" s="104">
        <f>IF(N(Y32)=0,"",N(AA32)/Y32)</f>
        <v/>
      </c>
      <c r="AE32" s="107" t="n"/>
      <c r="AF32" s="95">
        <f>IF(H32="","",TRIM(IF(AND(N(Y32)&gt;='THAM SO'!$B$10,AE32&lt;&gt;"Có"),"Chưa rà soát pháp lý; ","")&amp;IF(I32="","Thiếu MST đối tác; ","")&amp;IF(AG32="","Chưa ghi nơi lưu bản gốc; ","")&amp;IF(COUNTIFS('NHAT KY THANH TOAN'!$B:$B,B32,'NHAT KY THANH TOAN'!$D:$D,"Thanh toán",'NHAT KY THANH TOAN'!$F:$F,"Tiền mặt",'NHAT KY THANH TOAN'!$G:$G,"&gt;="&amp;'THAM SO'!$B$11)&gt;0,"Có khoản TT tiền mặt ≥ ngưỡng; ","")&amp;IF(AND(AB32&lt;&gt;"",N(AB32)&lt;0),"Thanh toán vượt giá trị HĐ; ","")))</f>
        <v/>
      </c>
      <c r="AG32" s="108" t="n"/>
      <c r="AH32" s="109" t="n"/>
      <c r="AI32" s="105">
        <f>IF(OR(H32="",O32="",AH32&lt;&gt;""),"",O32-'THAM SO'!$B$8)</f>
        <v/>
      </c>
      <c r="AJ32" s="95">
        <f>IF(H32="","",IF(AH32&lt;&gt;"","Đã thanh lý",IF(AND(N32&lt;&gt;"",N32&gt;'THAM SO'!$B$8),"Chưa hiệu lực",IF(O32="","Đang thực hiện",IF(O32&lt;'THAM SO'!$B$8,IF(P32="Có","Đã tự gia hạn – kiểm tra","Quá hạn – chưa thanh lý"),IF(O32-'THAM SO'!$B$8&lt;='THAM SO'!$B$9,"Sắp hết hạn","Đang thực hiện"))))))</f>
        <v/>
      </c>
      <c r="AK32" s="106">
        <f>IF(AND(O32="",AH32=""),"",EDATE(MAX(N(O32),N(AH32)),12*'THAM SO'!$B$12))</f>
        <v/>
      </c>
      <c r="AL32" s="110" t="n"/>
    </row>
    <row r="33" ht="15" customHeight="1" s="64">
      <c r="A33" s="93">
        <f>IF(H33="","",COUNTA($H$9:H33))</f>
        <v/>
      </c>
      <c r="B33" s="93">
        <f>IF(OR(D33="",G33=""),"",YEAR(G33)&amp;"/"&amp;D33&amp;"/"&amp;TEXT(SUMPRODUCT(($D$9:D33=D33)*(YEAR($G$9:G33)=YEAR(G33))),"000")&amp;"-"&amp;'THAM SO'!$B$7)</f>
        <v/>
      </c>
      <c r="C33" s="107" t="n"/>
      <c r="D33" s="107" t="n"/>
      <c r="E33" s="95">
        <f>IF(D33="","",IFERROR(VLOOKUP(D33,'THAM SO'!$D$6:$E$40,2,FALSE()),"Mã loại chưa khai báo"))</f>
        <v/>
      </c>
      <c r="F33" s="108" t="n"/>
      <c r="G33" s="109" t="n"/>
      <c r="H33" s="110" t="n"/>
      <c r="I33" s="108" t="n"/>
      <c r="J33" s="110" t="n"/>
      <c r="K33" s="108" t="n"/>
      <c r="L33" s="108" t="n"/>
      <c r="M33" s="108" t="n"/>
      <c r="N33" s="109" t="n"/>
      <c r="O33" s="109" t="n"/>
      <c r="P33" s="107" t="n"/>
      <c r="Q33" s="107" t="n"/>
      <c r="R33" s="111" t="n"/>
      <c r="S33" s="112" t="n"/>
      <c r="T33" s="113" t="n"/>
      <c r="U33" s="102">
        <f>IF(S33="","",ROUND(S33*N(T33),2))</f>
        <v/>
      </c>
      <c r="V33" s="102">
        <f>IF(S33="","",S33+U33)</f>
        <v/>
      </c>
      <c r="W33" s="103">
        <f>IF(V33="","",ROUND(V33*IF(OR(Q33="",Q33="VND"),1,R33),0))</f>
        <v/>
      </c>
      <c r="X33" s="111" t="n"/>
      <c r="Y33" s="103">
        <f>IF(W33="","",W33+N(X33))</f>
        <v/>
      </c>
      <c r="Z33" s="103">
        <f>IF(B33="","",SUMIFS('NHAT KY THANH TOAN'!$G:$G,'NHAT KY THANH TOAN'!$B:$B,B33,'NHAT KY THANH TOAN'!$D:$D,"Hóa đơn"))</f>
        <v/>
      </c>
      <c r="AA33" s="103">
        <f>IF(B33="","",SUMIFS('NHAT KY THANH TOAN'!$G:$G,'NHAT KY THANH TOAN'!$B:$B,B33,'NHAT KY THANH TOAN'!$D:$D,"Thanh toán"))</f>
        <v/>
      </c>
      <c r="AB33" s="103">
        <f>IF(Y33="","",Y33-N(AA33))</f>
        <v/>
      </c>
      <c r="AC33" s="103">
        <f>IF(B33="","",N(Z33)-N(AA33))</f>
        <v/>
      </c>
      <c r="AD33" s="104">
        <f>IF(N(Y33)=0,"",N(AA33)/Y33)</f>
        <v/>
      </c>
      <c r="AE33" s="107" t="n"/>
      <c r="AF33" s="95">
        <f>IF(H33="","",TRIM(IF(AND(N(Y33)&gt;='THAM SO'!$B$10,AE33&lt;&gt;"Có"),"Chưa rà soát pháp lý; ","")&amp;IF(I33="","Thiếu MST đối tác; ","")&amp;IF(AG33="","Chưa ghi nơi lưu bản gốc; ","")&amp;IF(COUNTIFS('NHAT KY THANH TOAN'!$B:$B,B33,'NHAT KY THANH TOAN'!$D:$D,"Thanh toán",'NHAT KY THANH TOAN'!$F:$F,"Tiền mặt",'NHAT KY THANH TOAN'!$G:$G,"&gt;="&amp;'THAM SO'!$B$11)&gt;0,"Có khoản TT tiền mặt ≥ ngưỡng; ","")&amp;IF(AND(AB33&lt;&gt;"",N(AB33)&lt;0),"Thanh toán vượt giá trị HĐ; ","")))</f>
        <v/>
      </c>
      <c r="AG33" s="108" t="n"/>
      <c r="AH33" s="109" t="n"/>
      <c r="AI33" s="105">
        <f>IF(OR(H33="",O33="",AH33&lt;&gt;""),"",O33-'THAM SO'!$B$8)</f>
        <v/>
      </c>
      <c r="AJ33" s="95">
        <f>IF(H33="","",IF(AH33&lt;&gt;"","Đã thanh lý",IF(AND(N33&lt;&gt;"",N33&gt;'THAM SO'!$B$8),"Chưa hiệu lực",IF(O33="","Đang thực hiện",IF(O33&lt;'THAM SO'!$B$8,IF(P33="Có","Đã tự gia hạn – kiểm tra","Quá hạn – chưa thanh lý"),IF(O33-'THAM SO'!$B$8&lt;='THAM SO'!$B$9,"Sắp hết hạn","Đang thực hiện"))))))</f>
        <v/>
      </c>
      <c r="AK33" s="106">
        <f>IF(AND(O33="",AH33=""),"",EDATE(MAX(N(O33),N(AH33)),12*'THAM SO'!$B$12))</f>
        <v/>
      </c>
      <c r="AL33" s="110" t="n"/>
    </row>
    <row r="34" ht="15" customHeight="1" s="64">
      <c r="A34" s="93">
        <f>IF(H34="","",COUNTA($H$9:H34))</f>
        <v/>
      </c>
      <c r="B34" s="93">
        <f>IF(OR(D34="",G34=""),"",YEAR(G34)&amp;"/"&amp;D34&amp;"/"&amp;TEXT(SUMPRODUCT(($D$9:D34=D34)*(YEAR($G$9:G34)=YEAR(G34))),"000")&amp;"-"&amp;'THAM SO'!$B$7)</f>
        <v/>
      </c>
      <c r="C34" s="107" t="n"/>
      <c r="D34" s="107" t="n"/>
      <c r="E34" s="95">
        <f>IF(D34="","",IFERROR(VLOOKUP(D34,'THAM SO'!$D$6:$E$40,2,FALSE()),"Mã loại chưa khai báo"))</f>
        <v/>
      </c>
      <c r="F34" s="108" t="n"/>
      <c r="G34" s="109" t="n"/>
      <c r="H34" s="110" t="n"/>
      <c r="I34" s="108" t="n"/>
      <c r="J34" s="110" t="n"/>
      <c r="K34" s="108" t="n"/>
      <c r="L34" s="108" t="n"/>
      <c r="M34" s="108" t="n"/>
      <c r="N34" s="109" t="n"/>
      <c r="O34" s="109" t="n"/>
      <c r="P34" s="107" t="n"/>
      <c r="Q34" s="107" t="n"/>
      <c r="R34" s="111" t="n"/>
      <c r="S34" s="112" t="n"/>
      <c r="T34" s="113" t="n"/>
      <c r="U34" s="102">
        <f>IF(S34="","",ROUND(S34*N(T34),2))</f>
        <v/>
      </c>
      <c r="V34" s="102">
        <f>IF(S34="","",S34+U34)</f>
        <v/>
      </c>
      <c r="W34" s="103">
        <f>IF(V34="","",ROUND(V34*IF(OR(Q34="",Q34="VND"),1,R34),0))</f>
        <v/>
      </c>
      <c r="X34" s="111" t="n"/>
      <c r="Y34" s="103">
        <f>IF(W34="","",W34+N(X34))</f>
        <v/>
      </c>
      <c r="Z34" s="103">
        <f>IF(B34="","",SUMIFS('NHAT KY THANH TOAN'!$G:$G,'NHAT KY THANH TOAN'!$B:$B,B34,'NHAT KY THANH TOAN'!$D:$D,"Hóa đơn"))</f>
        <v/>
      </c>
      <c r="AA34" s="103">
        <f>IF(B34="","",SUMIFS('NHAT KY THANH TOAN'!$G:$G,'NHAT KY THANH TOAN'!$B:$B,B34,'NHAT KY THANH TOAN'!$D:$D,"Thanh toán"))</f>
        <v/>
      </c>
      <c r="AB34" s="103">
        <f>IF(Y34="","",Y34-N(AA34))</f>
        <v/>
      </c>
      <c r="AC34" s="103">
        <f>IF(B34="","",N(Z34)-N(AA34))</f>
        <v/>
      </c>
      <c r="AD34" s="104">
        <f>IF(N(Y34)=0,"",N(AA34)/Y34)</f>
        <v/>
      </c>
      <c r="AE34" s="107" t="n"/>
      <c r="AF34" s="95">
        <f>IF(H34="","",TRIM(IF(AND(N(Y34)&gt;='THAM SO'!$B$10,AE34&lt;&gt;"Có"),"Chưa rà soát pháp lý; ","")&amp;IF(I34="","Thiếu MST đối tác; ","")&amp;IF(AG34="","Chưa ghi nơi lưu bản gốc; ","")&amp;IF(COUNTIFS('NHAT KY THANH TOAN'!$B:$B,B34,'NHAT KY THANH TOAN'!$D:$D,"Thanh toán",'NHAT KY THANH TOAN'!$F:$F,"Tiền mặt",'NHAT KY THANH TOAN'!$G:$G,"&gt;="&amp;'THAM SO'!$B$11)&gt;0,"Có khoản TT tiền mặt ≥ ngưỡng; ","")&amp;IF(AND(AB34&lt;&gt;"",N(AB34)&lt;0),"Thanh toán vượt giá trị HĐ; ","")))</f>
        <v/>
      </c>
      <c r="AG34" s="108" t="n"/>
      <c r="AH34" s="109" t="n"/>
      <c r="AI34" s="105">
        <f>IF(OR(H34="",O34="",AH34&lt;&gt;""),"",O34-'THAM SO'!$B$8)</f>
        <v/>
      </c>
      <c r="AJ34" s="95">
        <f>IF(H34="","",IF(AH34&lt;&gt;"","Đã thanh lý",IF(AND(N34&lt;&gt;"",N34&gt;'THAM SO'!$B$8),"Chưa hiệu lực",IF(O34="","Đang thực hiện",IF(O34&lt;'THAM SO'!$B$8,IF(P34="Có","Đã tự gia hạn – kiểm tra","Quá hạn – chưa thanh lý"),IF(O34-'THAM SO'!$B$8&lt;='THAM SO'!$B$9,"Sắp hết hạn","Đang thực hiện"))))))</f>
        <v/>
      </c>
      <c r="AK34" s="106">
        <f>IF(AND(O34="",AH34=""),"",EDATE(MAX(N(O34),N(AH34)),12*'THAM SO'!$B$12))</f>
        <v/>
      </c>
      <c r="AL34" s="110" t="n"/>
    </row>
    <row r="35" ht="15" customHeight="1" s="64">
      <c r="A35" s="93">
        <f>IF(H35="","",COUNTA($H$9:H35))</f>
        <v/>
      </c>
      <c r="B35" s="93">
        <f>IF(OR(D35="",G35=""),"",YEAR(G35)&amp;"/"&amp;D35&amp;"/"&amp;TEXT(SUMPRODUCT(($D$9:D35=D35)*(YEAR($G$9:G35)=YEAR(G35))),"000")&amp;"-"&amp;'THAM SO'!$B$7)</f>
        <v/>
      </c>
      <c r="C35" s="107" t="n"/>
      <c r="D35" s="107" t="n"/>
      <c r="E35" s="95">
        <f>IF(D35="","",IFERROR(VLOOKUP(D35,'THAM SO'!$D$6:$E$40,2,FALSE()),"Mã loại chưa khai báo"))</f>
        <v/>
      </c>
      <c r="F35" s="108" t="n"/>
      <c r="G35" s="109" t="n"/>
      <c r="H35" s="110" t="n"/>
      <c r="I35" s="108" t="n"/>
      <c r="J35" s="110" t="n"/>
      <c r="K35" s="108" t="n"/>
      <c r="L35" s="108" t="n"/>
      <c r="M35" s="108" t="n"/>
      <c r="N35" s="109" t="n"/>
      <c r="O35" s="109" t="n"/>
      <c r="P35" s="107" t="n"/>
      <c r="Q35" s="107" t="n"/>
      <c r="R35" s="111" t="n"/>
      <c r="S35" s="112" t="n"/>
      <c r="T35" s="113" t="n"/>
      <c r="U35" s="102">
        <f>IF(S35="","",ROUND(S35*N(T35),2))</f>
        <v/>
      </c>
      <c r="V35" s="102">
        <f>IF(S35="","",S35+U35)</f>
        <v/>
      </c>
      <c r="W35" s="103">
        <f>IF(V35="","",ROUND(V35*IF(OR(Q35="",Q35="VND"),1,R35),0))</f>
        <v/>
      </c>
      <c r="X35" s="111" t="n"/>
      <c r="Y35" s="103">
        <f>IF(W35="","",W35+N(X35))</f>
        <v/>
      </c>
      <c r="Z35" s="103">
        <f>IF(B35="","",SUMIFS('NHAT KY THANH TOAN'!$G:$G,'NHAT KY THANH TOAN'!$B:$B,B35,'NHAT KY THANH TOAN'!$D:$D,"Hóa đơn"))</f>
        <v/>
      </c>
      <c r="AA35" s="103">
        <f>IF(B35="","",SUMIFS('NHAT KY THANH TOAN'!$G:$G,'NHAT KY THANH TOAN'!$B:$B,B35,'NHAT KY THANH TOAN'!$D:$D,"Thanh toán"))</f>
        <v/>
      </c>
      <c r="AB35" s="103">
        <f>IF(Y35="","",Y35-N(AA35))</f>
        <v/>
      </c>
      <c r="AC35" s="103">
        <f>IF(B35="","",N(Z35)-N(AA35))</f>
        <v/>
      </c>
      <c r="AD35" s="104">
        <f>IF(N(Y35)=0,"",N(AA35)/Y35)</f>
        <v/>
      </c>
      <c r="AE35" s="107" t="n"/>
      <c r="AF35" s="95">
        <f>IF(H35="","",TRIM(IF(AND(N(Y35)&gt;='THAM SO'!$B$10,AE35&lt;&gt;"Có"),"Chưa rà soát pháp lý; ","")&amp;IF(I35="","Thiếu MST đối tác; ","")&amp;IF(AG35="","Chưa ghi nơi lưu bản gốc; ","")&amp;IF(COUNTIFS('NHAT KY THANH TOAN'!$B:$B,B35,'NHAT KY THANH TOAN'!$D:$D,"Thanh toán",'NHAT KY THANH TOAN'!$F:$F,"Tiền mặt",'NHAT KY THANH TOAN'!$G:$G,"&gt;="&amp;'THAM SO'!$B$11)&gt;0,"Có khoản TT tiền mặt ≥ ngưỡng; ","")&amp;IF(AND(AB35&lt;&gt;"",N(AB35)&lt;0),"Thanh toán vượt giá trị HĐ; ","")))</f>
        <v/>
      </c>
      <c r="AG35" s="108" t="n"/>
      <c r="AH35" s="109" t="n"/>
      <c r="AI35" s="105">
        <f>IF(OR(H35="",O35="",AH35&lt;&gt;""),"",O35-'THAM SO'!$B$8)</f>
        <v/>
      </c>
      <c r="AJ35" s="95">
        <f>IF(H35="","",IF(AH35&lt;&gt;"","Đã thanh lý",IF(AND(N35&lt;&gt;"",N35&gt;'THAM SO'!$B$8),"Chưa hiệu lực",IF(O35="","Đang thực hiện",IF(O35&lt;'THAM SO'!$B$8,IF(P35="Có","Đã tự gia hạn – kiểm tra","Quá hạn – chưa thanh lý"),IF(O35-'THAM SO'!$B$8&lt;='THAM SO'!$B$9,"Sắp hết hạn","Đang thực hiện"))))))</f>
        <v/>
      </c>
      <c r="AK35" s="106">
        <f>IF(AND(O35="",AH35=""),"",EDATE(MAX(N(O35),N(AH35)),12*'THAM SO'!$B$12))</f>
        <v/>
      </c>
      <c r="AL35" s="110" t="n"/>
    </row>
    <row r="36" ht="15" customHeight="1" s="64">
      <c r="A36" s="93">
        <f>IF(H36="","",COUNTA($H$9:H36))</f>
        <v/>
      </c>
      <c r="B36" s="93">
        <f>IF(OR(D36="",G36=""),"",YEAR(G36)&amp;"/"&amp;D36&amp;"/"&amp;TEXT(SUMPRODUCT(($D$9:D36=D36)*(YEAR($G$9:G36)=YEAR(G36))),"000")&amp;"-"&amp;'THAM SO'!$B$7)</f>
        <v/>
      </c>
      <c r="C36" s="107" t="n"/>
      <c r="D36" s="107" t="n"/>
      <c r="E36" s="95">
        <f>IF(D36="","",IFERROR(VLOOKUP(D36,'THAM SO'!$D$6:$E$40,2,FALSE()),"Mã loại chưa khai báo"))</f>
        <v/>
      </c>
      <c r="F36" s="108" t="n"/>
      <c r="G36" s="109" t="n"/>
      <c r="H36" s="110" t="n"/>
      <c r="I36" s="108" t="n"/>
      <c r="J36" s="110" t="n"/>
      <c r="K36" s="108" t="n"/>
      <c r="L36" s="108" t="n"/>
      <c r="M36" s="108" t="n"/>
      <c r="N36" s="109" t="n"/>
      <c r="O36" s="109" t="n"/>
      <c r="P36" s="107" t="n"/>
      <c r="Q36" s="107" t="n"/>
      <c r="R36" s="111" t="n"/>
      <c r="S36" s="112" t="n"/>
      <c r="T36" s="113" t="n"/>
      <c r="U36" s="102">
        <f>IF(S36="","",ROUND(S36*N(T36),2))</f>
        <v/>
      </c>
      <c r="V36" s="102">
        <f>IF(S36="","",S36+U36)</f>
        <v/>
      </c>
      <c r="W36" s="103">
        <f>IF(V36="","",ROUND(V36*IF(OR(Q36="",Q36="VND"),1,R36),0))</f>
        <v/>
      </c>
      <c r="X36" s="111" t="n"/>
      <c r="Y36" s="103">
        <f>IF(W36="","",W36+N(X36))</f>
        <v/>
      </c>
      <c r="Z36" s="103">
        <f>IF(B36="","",SUMIFS('NHAT KY THANH TOAN'!$G:$G,'NHAT KY THANH TOAN'!$B:$B,B36,'NHAT KY THANH TOAN'!$D:$D,"Hóa đơn"))</f>
        <v/>
      </c>
      <c r="AA36" s="103">
        <f>IF(B36="","",SUMIFS('NHAT KY THANH TOAN'!$G:$G,'NHAT KY THANH TOAN'!$B:$B,B36,'NHAT KY THANH TOAN'!$D:$D,"Thanh toán"))</f>
        <v/>
      </c>
      <c r="AB36" s="103">
        <f>IF(Y36="","",Y36-N(AA36))</f>
        <v/>
      </c>
      <c r="AC36" s="103">
        <f>IF(B36="","",N(Z36)-N(AA36))</f>
        <v/>
      </c>
      <c r="AD36" s="104">
        <f>IF(N(Y36)=0,"",N(AA36)/Y36)</f>
        <v/>
      </c>
      <c r="AE36" s="107" t="n"/>
      <c r="AF36" s="95">
        <f>IF(H36="","",TRIM(IF(AND(N(Y36)&gt;='THAM SO'!$B$10,AE36&lt;&gt;"Có"),"Chưa rà soát pháp lý; ","")&amp;IF(I36="","Thiếu MST đối tác; ","")&amp;IF(AG36="","Chưa ghi nơi lưu bản gốc; ","")&amp;IF(COUNTIFS('NHAT KY THANH TOAN'!$B:$B,B36,'NHAT KY THANH TOAN'!$D:$D,"Thanh toán",'NHAT KY THANH TOAN'!$F:$F,"Tiền mặt",'NHAT KY THANH TOAN'!$G:$G,"&gt;="&amp;'THAM SO'!$B$11)&gt;0,"Có khoản TT tiền mặt ≥ ngưỡng; ","")&amp;IF(AND(AB36&lt;&gt;"",N(AB36)&lt;0),"Thanh toán vượt giá trị HĐ; ","")))</f>
        <v/>
      </c>
      <c r="AG36" s="108" t="n"/>
      <c r="AH36" s="109" t="n"/>
      <c r="AI36" s="105">
        <f>IF(OR(H36="",O36="",AH36&lt;&gt;""),"",O36-'THAM SO'!$B$8)</f>
        <v/>
      </c>
      <c r="AJ36" s="95">
        <f>IF(H36="","",IF(AH36&lt;&gt;"","Đã thanh lý",IF(AND(N36&lt;&gt;"",N36&gt;'THAM SO'!$B$8),"Chưa hiệu lực",IF(O36="","Đang thực hiện",IF(O36&lt;'THAM SO'!$B$8,IF(P36="Có","Đã tự gia hạn – kiểm tra","Quá hạn – chưa thanh lý"),IF(O36-'THAM SO'!$B$8&lt;='THAM SO'!$B$9,"Sắp hết hạn","Đang thực hiện"))))))</f>
        <v/>
      </c>
      <c r="AK36" s="106">
        <f>IF(AND(O36="",AH36=""),"",EDATE(MAX(N(O36),N(AH36)),12*'THAM SO'!$B$12))</f>
        <v/>
      </c>
      <c r="AL36" s="110" t="n"/>
    </row>
    <row r="37" ht="15" customHeight="1" s="64">
      <c r="A37" s="93">
        <f>IF(H37="","",COUNTA($H$9:H37))</f>
        <v/>
      </c>
      <c r="B37" s="93">
        <f>IF(OR(D37="",G37=""),"",YEAR(G37)&amp;"/"&amp;D37&amp;"/"&amp;TEXT(SUMPRODUCT(($D$9:D37=D37)*(YEAR($G$9:G37)=YEAR(G37))),"000")&amp;"-"&amp;'THAM SO'!$B$7)</f>
        <v/>
      </c>
      <c r="C37" s="107" t="n"/>
      <c r="D37" s="107" t="n"/>
      <c r="E37" s="95">
        <f>IF(D37="","",IFERROR(VLOOKUP(D37,'THAM SO'!$D$6:$E$40,2,FALSE()),"Mã loại chưa khai báo"))</f>
        <v/>
      </c>
      <c r="F37" s="108" t="n"/>
      <c r="G37" s="109" t="n"/>
      <c r="H37" s="110" t="n"/>
      <c r="I37" s="108" t="n"/>
      <c r="J37" s="110" t="n"/>
      <c r="K37" s="108" t="n"/>
      <c r="L37" s="108" t="n"/>
      <c r="M37" s="108" t="n"/>
      <c r="N37" s="109" t="n"/>
      <c r="O37" s="109" t="n"/>
      <c r="P37" s="107" t="n"/>
      <c r="Q37" s="107" t="n"/>
      <c r="R37" s="111" t="n"/>
      <c r="S37" s="112" t="n"/>
      <c r="T37" s="113" t="n"/>
      <c r="U37" s="102">
        <f>IF(S37="","",ROUND(S37*N(T37),2))</f>
        <v/>
      </c>
      <c r="V37" s="102">
        <f>IF(S37="","",S37+U37)</f>
        <v/>
      </c>
      <c r="W37" s="103">
        <f>IF(V37="","",ROUND(V37*IF(OR(Q37="",Q37="VND"),1,R37),0))</f>
        <v/>
      </c>
      <c r="X37" s="111" t="n"/>
      <c r="Y37" s="103">
        <f>IF(W37="","",W37+N(X37))</f>
        <v/>
      </c>
      <c r="Z37" s="103">
        <f>IF(B37="","",SUMIFS('NHAT KY THANH TOAN'!$G:$G,'NHAT KY THANH TOAN'!$B:$B,B37,'NHAT KY THANH TOAN'!$D:$D,"Hóa đơn"))</f>
        <v/>
      </c>
      <c r="AA37" s="103">
        <f>IF(B37="","",SUMIFS('NHAT KY THANH TOAN'!$G:$G,'NHAT KY THANH TOAN'!$B:$B,B37,'NHAT KY THANH TOAN'!$D:$D,"Thanh toán"))</f>
        <v/>
      </c>
      <c r="AB37" s="103">
        <f>IF(Y37="","",Y37-N(AA37))</f>
        <v/>
      </c>
      <c r="AC37" s="103">
        <f>IF(B37="","",N(Z37)-N(AA37))</f>
        <v/>
      </c>
      <c r="AD37" s="104">
        <f>IF(N(Y37)=0,"",N(AA37)/Y37)</f>
        <v/>
      </c>
      <c r="AE37" s="107" t="n"/>
      <c r="AF37" s="95">
        <f>IF(H37="","",TRIM(IF(AND(N(Y37)&gt;='THAM SO'!$B$10,AE37&lt;&gt;"Có"),"Chưa rà soát pháp lý; ","")&amp;IF(I37="","Thiếu MST đối tác; ","")&amp;IF(AG37="","Chưa ghi nơi lưu bản gốc; ","")&amp;IF(COUNTIFS('NHAT KY THANH TOAN'!$B:$B,B37,'NHAT KY THANH TOAN'!$D:$D,"Thanh toán",'NHAT KY THANH TOAN'!$F:$F,"Tiền mặt",'NHAT KY THANH TOAN'!$G:$G,"&gt;="&amp;'THAM SO'!$B$11)&gt;0,"Có khoản TT tiền mặt ≥ ngưỡng; ","")&amp;IF(AND(AB37&lt;&gt;"",N(AB37)&lt;0),"Thanh toán vượt giá trị HĐ; ","")))</f>
        <v/>
      </c>
      <c r="AG37" s="108" t="n"/>
      <c r="AH37" s="109" t="n"/>
      <c r="AI37" s="105">
        <f>IF(OR(H37="",O37="",AH37&lt;&gt;""),"",O37-'THAM SO'!$B$8)</f>
        <v/>
      </c>
      <c r="AJ37" s="95">
        <f>IF(H37="","",IF(AH37&lt;&gt;"","Đã thanh lý",IF(AND(N37&lt;&gt;"",N37&gt;'THAM SO'!$B$8),"Chưa hiệu lực",IF(O37="","Đang thực hiện",IF(O37&lt;'THAM SO'!$B$8,IF(P37="Có","Đã tự gia hạn – kiểm tra","Quá hạn – chưa thanh lý"),IF(O37-'THAM SO'!$B$8&lt;='THAM SO'!$B$9,"Sắp hết hạn","Đang thực hiện"))))))</f>
        <v/>
      </c>
      <c r="AK37" s="106">
        <f>IF(AND(O37="",AH37=""),"",EDATE(MAX(N(O37),N(AH37)),12*'THAM SO'!$B$12))</f>
        <v/>
      </c>
      <c r="AL37" s="110" t="n"/>
    </row>
    <row r="38" ht="15" customHeight="1" s="64">
      <c r="A38" s="93">
        <f>IF(H38="","",COUNTA($H$9:H38))</f>
        <v/>
      </c>
      <c r="B38" s="93">
        <f>IF(OR(D38="",G38=""),"",YEAR(G38)&amp;"/"&amp;D38&amp;"/"&amp;TEXT(SUMPRODUCT(($D$9:D38=D38)*(YEAR($G$9:G38)=YEAR(G38))),"000")&amp;"-"&amp;'THAM SO'!$B$7)</f>
        <v/>
      </c>
      <c r="C38" s="107" t="n"/>
      <c r="D38" s="107" t="n"/>
      <c r="E38" s="95">
        <f>IF(D38="","",IFERROR(VLOOKUP(D38,'THAM SO'!$D$6:$E$40,2,FALSE()),"Mã loại chưa khai báo"))</f>
        <v/>
      </c>
      <c r="F38" s="108" t="n"/>
      <c r="G38" s="109" t="n"/>
      <c r="H38" s="110" t="n"/>
      <c r="I38" s="108" t="n"/>
      <c r="J38" s="110" t="n"/>
      <c r="K38" s="108" t="n"/>
      <c r="L38" s="108" t="n"/>
      <c r="M38" s="108" t="n"/>
      <c r="N38" s="109" t="n"/>
      <c r="O38" s="109" t="n"/>
      <c r="P38" s="107" t="n"/>
      <c r="Q38" s="107" t="n"/>
      <c r="R38" s="111" t="n"/>
      <c r="S38" s="112" t="n"/>
      <c r="T38" s="113" t="n"/>
      <c r="U38" s="102">
        <f>IF(S38="","",ROUND(S38*N(T38),2))</f>
        <v/>
      </c>
      <c r="V38" s="102">
        <f>IF(S38="","",S38+U38)</f>
        <v/>
      </c>
      <c r="W38" s="103">
        <f>IF(V38="","",ROUND(V38*IF(OR(Q38="",Q38="VND"),1,R38),0))</f>
        <v/>
      </c>
      <c r="X38" s="111" t="n"/>
      <c r="Y38" s="103">
        <f>IF(W38="","",W38+N(X38))</f>
        <v/>
      </c>
      <c r="Z38" s="103">
        <f>IF(B38="","",SUMIFS('NHAT KY THANH TOAN'!$G:$G,'NHAT KY THANH TOAN'!$B:$B,B38,'NHAT KY THANH TOAN'!$D:$D,"Hóa đơn"))</f>
        <v/>
      </c>
      <c r="AA38" s="103">
        <f>IF(B38="","",SUMIFS('NHAT KY THANH TOAN'!$G:$G,'NHAT KY THANH TOAN'!$B:$B,B38,'NHAT KY THANH TOAN'!$D:$D,"Thanh toán"))</f>
        <v/>
      </c>
      <c r="AB38" s="103">
        <f>IF(Y38="","",Y38-N(AA38))</f>
        <v/>
      </c>
      <c r="AC38" s="103">
        <f>IF(B38="","",N(Z38)-N(AA38))</f>
        <v/>
      </c>
      <c r="AD38" s="104">
        <f>IF(N(Y38)=0,"",N(AA38)/Y38)</f>
        <v/>
      </c>
      <c r="AE38" s="107" t="n"/>
      <c r="AF38" s="95">
        <f>IF(H38="","",TRIM(IF(AND(N(Y38)&gt;='THAM SO'!$B$10,AE38&lt;&gt;"Có"),"Chưa rà soát pháp lý; ","")&amp;IF(I38="","Thiếu MST đối tác; ","")&amp;IF(AG38="","Chưa ghi nơi lưu bản gốc; ","")&amp;IF(COUNTIFS('NHAT KY THANH TOAN'!$B:$B,B38,'NHAT KY THANH TOAN'!$D:$D,"Thanh toán",'NHAT KY THANH TOAN'!$F:$F,"Tiền mặt",'NHAT KY THANH TOAN'!$G:$G,"&gt;="&amp;'THAM SO'!$B$11)&gt;0,"Có khoản TT tiền mặt ≥ ngưỡng; ","")&amp;IF(AND(AB38&lt;&gt;"",N(AB38)&lt;0),"Thanh toán vượt giá trị HĐ; ","")))</f>
        <v/>
      </c>
      <c r="AG38" s="108" t="n"/>
      <c r="AH38" s="109" t="n"/>
      <c r="AI38" s="105">
        <f>IF(OR(H38="",O38="",AH38&lt;&gt;""),"",O38-'THAM SO'!$B$8)</f>
        <v/>
      </c>
      <c r="AJ38" s="95">
        <f>IF(H38="","",IF(AH38&lt;&gt;"","Đã thanh lý",IF(AND(N38&lt;&gt;"",N38&gt;'THAM SO'!$B$8),"Chưa hiệu lực",IF(O38="","Đang thực hiện",IF(O38&lt;'THAM SO'!$B$8,IF(P38="Có","Đã tự gia hạn – kiểm tra","Quá hạn – chưa thanh lý"),IF(O38-'THAM SO'!$B$8&lt;='THAM SO'!$B$9,"Sắp hết hạn","Đang thực hiện"))))))</f>
        <v/>
      </c>
      <c r="AK38" s="106">
        <f>IF(AND(O38="",AH38=""),"",EDATE(MAX(N(O38),N(AH38)),12*'THAM SO'!$B$12))</f>
        <v/>
      </c>
      <c r="AL38" s="110" t="n"/>
    </row>
    <row r="39" ht="15" customHeight="1" s="64">
      <c r="A39" s="93">
        <f>IF(H39="","",COUNTA($H$9:H39))</f>
        <v/>
      </c>
      <c r="B39" s="93">
        <f>IF(OR(D39="",G39=""),"",YEAR(G39)&amp;"/"&amp;D39&amp;"/"&amp;TEXT(SUMPRODUCT(($D$9:D39=D39)*(YEAR($G$9:G39)=YEAR(G39))),"000")&amp;"-"&amp;'THAM SO'!$B$7)</f>
        <v/>
      </c>
      <c r="C39" s="107" t="n"/>
      <c r="D39" s="107" t="n"/>
      <c r="E39" s="95">
        <f>IF(D39="","",IFERROR(VLOOKUP(D39,'THAM SO'!$D$6:$E$40,2,FALSE()),"Mã loại chưa khai báo"))</f>
        <v/>
      </c>
      <c r="F39" s="108" t="n"/>
      <c r="G39" s="109" t="n"/>
      <c r="H39" s="110" t="n"/>
      <c r="I39" s="108" t="n"/>
      <c r="J39" s="110" t="n"/>
      <c r="K39" s="108" t="n"/>
      <c r="L39" s="108" t="n"/>
      <c r="M39" s="108" t="n"/>
      <c r="N39" s="109" t="n"/>
      <c r="O39" s="109" t="n"/>
      <c r="P39" s="107" t="n"/>
      <c r="Q39" s="107" t="n"/>
      <c r="R39" s="111" t="n"/>
      <c r="S39" s="112" t="n"/>
      <c r="T39" s="113" t="n"/>
      <c r="U39" s="102">
        <f>IF(S39="","",ROUND(S39*N(T39),2))</f>
        <v/>
      </c>
      <c r="V39" s="102">
        <f>IF(S39="","",S39+U39)</f>
        <v/>
      </c>
      <c r="W39" s="103">
        <f>IF(V39="","",ROUND(V39*IF(OR(Q39="",Q39="VND"),1,R39),0))</f>
        <v/>
      </c>
      <c r="X39" s="111" t="n"/>
      <c r="Y39" s="103">
        <f>IF(W39="","",W39+N(X39))</f>
        <v/>
      </c>
      <c r="Z39" s="103">
        <f>IF(B39="","",SUMIFS('NHAT KY THANH TOAN'!$G:$G,'NHAT KY THANH TOAN'!$B:$B,B39,'NHAT KY THANH TOAN'!$D:$D,"Hóa đơn"))</f>
        <v/>
      </c>
      <c r="AA39" s="103">
        <f>IF(B39="","",SUMIFS('NHAT KY THANH TOAN'!$G:$G,'NHAT KY THANH TOAN'!$B:$B,B39,'NHAT KY THANH TOAN'!$D:$D,"Thanh toán"))</f>
        <v/>
      </c>
      <c r="AB39" s="103">
        <f>IF(Y39="","",Y39-N(AA39))</f>
        <v/>
      </c>
      <c r="AC39" s="103">
        <f>IF(B39="","",N(Z39)-N(AA39))</f>
        <v/>
      </c>
      <c r="AD39" s="104">
        <f>IF(N(Y39)=0,"",N(AA39)/Y39)</f>
        <v/>
      </c>
      <c r="AE39" s="107" t="n"/>
      <c r="AF39" s="95">
        <f>IF(H39="","",TRIM(IF(AND(N(Y39)&gt;='THAM SO'!$B$10,AE39&lt;&gt;"Có"),"Chưa rà soát pháp lý; ","")&amp;IF(I39="","Thiếu MST đối tác; ","")&amp;IF(AG39="","Chưa ghi nơi lưu bản gốc; ","")&amp;IF(COUNTIFS('NHAT KY THANH TOAN'!$B:$B,B39,'NHAT KY THANH TOAN'!$D:$D,"Thanh toán",'NHAT KY THANH TOAN'!$F:$F,"Tiền mặt",'NHAT KY THANH TOAN'!$G:$G,"&gt;="&amp;'THAM SO'!$B$11)&gt;0,"Có khoản TT tiền mặt ≥ ngưỡng; ","")&amp;IF(AND(AB39&lt;&gt;"",N(AB39)&lt;0),"Thanh toán vượt giá trị HĐ; ","")))</f>
        <v/>
      </c>
      <c r="AG39" s="108" t="n"/>
      <c r="AH39" s="109" t="n"/>
      <c r="AI39" s="105">
        <f>IF(OR(H39="",O39="",AH39&lt;&gt;""),"",O39-'THAM SO'!$B$8)</f>
        <v/>
      </c>
      <c r="AJ39" s="95">
        <f>IF(H39="","",IF(AH39&lt;&gt;"","Đã thanh lý",IF(AND(N39&lt;&gt;"",N39&gt;'THAM SO'!$B$8),"Chưa hiệu lực",IF(O39="","Đang thực hiện",IF(O39&lt;'THAM SO'!$B$8,IF(P39="Có","Đã tự gia hạn – kiểm tra","Quá hạn – chưa thanh lý"),IF(O39-'THAM SO'!$B$8&lt;='THAM SO'!$B$9,"Sắp hết hạn","Đang thực hiện"))))))</f>
        <v/>
      </c>
      <c r="AK39" s="106">
        <f>IF(AND(O39="",AH39=""),"",EDATE(MAX(N(O39),N(AH39)),12*'THAM SO'!$B$12))</f>
        <v/>
      </c>
      <c r="AL39" s="110" t="n"/>
    </row>
    <row r="40" ht="15" customHeight="1" s="64">
      <c r="A40" s="93">
        <f>IF(H40="","",COUNTA($H$9:H40))</f>
        <v/>
      </c>
      <c r="B40" s="93">
        <f>IF(OR(D40="",G40=""),"",YEAR(G40)&amp;"/"&amp;D40&amp;"/"&amp;TEXT(SUMPRODUCT(($D$9:D40=D40)*(YEAR($G$9:G40)=YEAR(G40))),"000")&amp;"-"&amp;'THAM SO'!$B$7)</f>
        <v/>
      </c>
      <c r="C40" s="107" t="n"/>
      <c r="D40" s="107" t="n"/>
      <c r="E40" s="95">
        <f>IF(D40="","",IFERROR(VLOOKUP(D40,'THAM SO'!$D$6:$E$40,2,FALSE()),"Mã loại chưa khai báo"))</f>
        <v/>
      </c>
      <c r="F40" s="108" t="n"/>
      <c r="G40" s="109" t="n"/>
      <c r="H40" s="110" t="n"/>
      <c r="I40" s="108" t="n"/>
      <c r="J40" s="110" t="n"/>
      <c r="K40" s="108" t="n"/>
      <c r="L40" s="108" t="n"/>
      <c r="M40" s="108" t="n"/>
      <c r="N40" s="109" t="n"/>
      <c r="O40" s="109" t="n"/>
      <c r="P40" s="107" t="n"/>
      <c r="Q40" s="107" t="n"/>
      <c r="R40" s="111" t="n"/>
      <c r="S40" s="112" t="n"/>
      <c r="T40" s="113" t="n"/>
      <c r="U40" s="102">
        <f>IF(S40="","",ROUND(S40*N(T40),2))</f>
        <v/>
      </c>
      <c r="V40" s="102">
        <f>IF(S40="","",S40+U40)</f>
        <v/>
      </c>
      <c r="W40" s="103">
        <f>IF(V40="","",ROUND(V40*IF(OR(Q40="",Q40="VND"),1,R40),0))</f>
        <v/>
      </c>
      <c r="X40" s="111" t="n"/>
      <c r="Y40" s="103">
        <f>IF(W40="","",W40+N(X40))</f>
        <v/>
      </c>
      <c r="Z40" s="103">
        <f>IF(B40="","",SUMIFS('NHAT KY THANH TOAN'!$G:$G,'NHAT KY THANH TOAN'!$B:$B,B40,'NHAT KY THANH TOAN'!$D:$D,"Hóa đơn"))</f>
        <v/>
      </c>
      <c r="AA40" s="103">
        <f>IF(B40="","",SUMIFS('NHAT KY THANH TOAN'!$G:$G,'NHAT KY THANH TOAN'!$B:$B,B40,'NHAT KY THANH TOAN'!$D:$D,"Thanh toán"))</f>
        <v/>
      </c>
      <c r="AB40" s="103">
        <f>IF(Y40="","",Y40-N(AA40))</f>
        <v/>
      </c>
      <c r="AC40" s="103">
        <f>IF(B40="","",N(Z40)-N(AA40))</f>
        <v/>
      </c>
      <c r="AD40" s="104">
        <f>IF(N(Y40)=0,"",N(AA40)/Y40)</f>
        <v/>
      </c>
      <c r="AE40" s="107" t="n"/>
      <c r="AF40" s="95">
        <f>IF(H40="","",TRIM(IF(AND(N(Y40)&gt;='THAM SO'!$B$10,AE40&lt;&gt;"Có"),"Chưa rà soát pháp lý; ","")&amp;IF(I40="","Thiếu MST đối tác; ","")&amp;IF(AG40="","Chưa ghi nơi lưu bản gốc; ","")&amp;IF(COUNTIFS('NHAT KY THANH TOAN'!$B:$B,B40,'NHAT KY THANH TOAN'!$D:$D,"Thanh toán",'NHAT KY THANH TOAN'!$F:$F,"Tiền mặt",'NHAT KY THANH TOAN'!$G:$G,"&gt;="&amp;'THAM SO'!$B$11)&gt;0,"Có khoản TT tiền mặt ≥ ngưỡng; ","")&amp;IF(AND(AB40&lt;&gt;"",N(AB40)&lt;0),"Thanh toán vượt giá trị HĐ; ","")))</f>
        <v/>
      </c>
      <c r="AG40" s="108" t="n"/>
      <c r="AH40" s="109" t="n"/>
      <c r="AI40" s="105">
        <f>IF(OR(H40="",O40="",AH40&lt;&gt;""),"",O40-'THAM SO'!$B$8)</f>
        <v/>
      </c>
      <c r="AJ40" s="95">
        <f>IF(H40="","",IF(AH40&lt;&gt;"","Đã thanh lý",IF(AND(N40&lt;&gt;"",N40&gt;'THAM SO'!$B$8),"Chưa hiệu lực",IF(O40="","Đang thực hiện",IF(O40&lt;'THAM SO'!$B$8,IF(P40="Có","Đã tự gia hạn – kiểm tra","Quá hạn – chưa thanh lý"),IF(O40-'THAM SO'!$B$8&lt;='THAM SO'!$B$9,"Sắp hết hạn","Đang thực hiện"))))))</f>
        <v/>
      </c>
      <c r="AK40" s="106">
        <f>IF(AND(O40="",AH40=""),"",EDATE(MAX(N(O40),N(AH40)),12*'THAM SO'!$B$12))</f>
        <v/>
      </c>
      <c r="AL40" s="110" t="n"/>
    </row>
    <row r="41" ht="15" customHeight="1" s="64">
      <c r="A41" s="93">
        <f>IF(H41="","",COUNTA($H$9:H41))</f>
        <v/>
      </c>
      <c r="B41" s="93">
        <f>IF(OR(D41="",G41=""),"",YEAR(G41)&amp;"/"&amp;D41&amp;"/"&amp;TEXT(SUMPRODUCT(($D$9:D41=D41)*(YEAR($G$9:G41)=YEAR(G41))),"000")&amp;"-"&amp;'THAM SO'!$B$7)</f>
        <v/>
      </c>
      <c r="C41" s="107" t="n"/>
      <c r="D41" s="107" t="n"/>
      <c r="E41" s="95">
        <f>IF(D41="","",IFERROR(VLOOKUP(D41,'THAM SO'!$D$6:$E$40,2,FALSE()),"Mã loại chưa khai báo"))</f>
        <v/>
      </c>
      <c r="F41" s="108" t="n"/>
      <c r="G41" s="109" t="n"/>
      <c r="H41" s="110" t="n"/>
      <c r="I41" s="108" t="n"/>
      <c r="J41" s="110" t="n"/>
      <c r="K41" s="108" t="n"/>
      <c r="L41" s="108" t="n"/>
      <c r="M41" s="108" t="n"/>
      <c r="N41" s="109" t="n"/>
      <c r="O41" s="109" t="n"/>
      <c r="P41" s="107" t="n"/>
      <c r="Q41" s="107" t="n"/>
      <c r="R41" s="111" t="n"/>
      <c r="S41" s="112" t="n"/>
      <c r="T41" s="113" t="n"/>
      <c r="U41" s="102">
        <f>IF(S41="","",ROUND(S41*N(T41),2))</f>
        <v/>
      </c>
      <c r="V41" s="102">
        <f>IF(S41="","",S41+U41)</f>
        <v/>
      </c>
      <c r="W41" s="103">
        <f>IF(V41="","",ROUND(V41*IF(OR(Q41="",Q41="VND"),1,R41),0))</f>
        <v/>
      </c>
      <c r="X41" s="111" t="n"/>
      <c r="Y41" s="103">
        <f>IF(W41="","",W41+N(X41))</f>
        <v/>
      </c>
      <c r="Z41" s="103">
        <f>IF(B41="","",SUMIFS('NHAT KY THANH TOAN'!$G:$G,'NHAT KY THANH TOAN'!$B:$B,B41,'NHAT KY THANH TOAN'!$D:$D,"Hóa đơn"))</f>
        <v/>
      </c>
      <c r="AA41" s="103">
        <f>IF(B41="","",SUMIFS('NHAT KY THANH TOAN'!$G:$G,'NHAT KY THANH TOAN'!$B:$B,B41,'NHAT KY THANH TOAN'!$D:$D,"Thanh toán"))</f>
        <v/>
      </c>
      <c r="AB41" s="103">
        <f>IF(Y41="","",Y41-N(AA41))</f>
        <v/>
      </c>
      <c r="AC41" s="103">
        <f>IF(B41="","",N(Z41)-N(AA41))</f>
        <v/>
      </c>
      <c r="AD41" s="104">
        <f>IF(N(Y41)=0,"",N(AA41)/Y41)</f>
        <v/>
      </c>
      <c r="AE41" s="107" t="n"/>
      <c r="AF41" s="95">
        <f>IF(H41="","",TRIM(IF(AND(N(Y41)&gt;='THAM SO'!$B$10,AE41&lt;&gt;"Có"),"Chưa rà soát pháp lý; ","")&amp;IF(I41="","Thiếu MST đối tác; ","")&amp;IF(AG41="","Chưa ghi nơi lưu bản gốc; ","")&amp;IF(COUNTIFS('NHAT KY THANH TOAN'!$B:$B,B41,'NHAT KY THANH TOAN'!$D:$D,"Thanh toán",'NHAT KY THANH TOAN'!$F:$F,"Tiền mặt",'NHAT KY THANH TOAN'!$G:$G,"&gt;="&amp;'THAM SO'!$B$11)&gt;0,"Có khoản TT tiền mặt ≥ ngưỡng; ","")&amp;IF(AND(AB41&lt;&gt;"",N(AB41)&lt;0),"Thanh toán vượt giá trị HĐ; ","")))</f>
        <v/>
      </c>
      <c r="AG41" s="108" t="n"/>
      <c r="AH41" s="109" t="n"/>
      <c r="AI41" s="105">
        <f>IF(OR(H41="",O41="",AH41&lt;&gt;""),"",O41-'THAM SO'!$B$8)</f>
        <v/>
      </c>
      <c r="AJ41" s="95">
        <f>IF(H41="","",IF(AH41&lt;&gt;"","Đã thanh lý",IF(AND(N41&lt;&gt;"",N41&gt;'THAM SO'!$B$8),"Chưa hiệu lực",IF(O41="","Đang thực hiện",IF(O41&lt;'THAM SO'!$B$8,IF(P41="Có","Đã tự gia hạn – kiểm tra","Quá hạn – chưa thanh lý"),IF(O41-'THAM SO'!$B$8&lt;='THAM SO'!$B$9,"Sắp hết hạn","Đang thực hiện"))))))</f>
        <v/>
      </c>
      <c r="AK41" s="106">
        <f>IF(AND(O41="",AH41=""),"",EDATE(MAX(N(O41),N(AH41)),12*'THAM SO'!$B$12))</f>
        <v/>
      </c>
      <c r="AL41" s="110" t="n"/>
    </row>
    <row r="42" ht="15" customHeight="1" s="64">
      <c r="A42" s="93">
        <f>IF(H42="","",COUNTA($H$9:H42))</f>
        <v/>
      </c>
      <c r="B42" s="93">
        <f>IF(OR(D42="",G42=""),"",YEAR(G42)&amp;"/"&amp;D42&amp;"/"&amp;TEXT(SUMPRODUCT(($D$9:D42=D42)*(YEAR($G$9:G42)=YEAR(G42))),"000")&amp;"-"&amp;'THAM SO'!$B$7)</f>
        <v/>
      </c>
      <c r="C42" s="107" t="n"/>
      <c r="D42" s="107" t="n"/>
      <c r="E42" s="95">
        <f>IF(D42="","",IFERROR(VLOOKUP(D42,'THAM SO'!$D$6:$E$40,2,FALSE()),"Mã loại chưa khai báo"))</f>
        <v/>
      </c>
      <c r="F42" s="108" t="n"/>
      <c r="G42" s="109" t="n"/>
      <c r="H42" s="110" t="n"/>
      <c r="I42" s="108" t="n"/>
      <c r="J42" s="110" t="n"/>
      <c r="K42" s="108" t="n"/>
      <c r="L42" s="108" t="n"/>
      <c r="M42" s="108" t="n"/>
      <c r="N42" s="109" t="n"/>
      <c r="O42" s="109" t="n"/>
      <c r="P42" s="107" t="n"/>
      <c r="Q42" s="107" t="n"/>
      <c r="R42" s="111" t="n"/>
      <c r="S42" s="112" t="n"/>
      <c r="T42" s="113" t="n"/>
      <c r="U42" s="102">
        <f>IF(S42="","",ROUND(S42*N(T42),2))</f>
        <v/>
      </c>
      <c r="V42" s="102">
        <f>IF(S42="","",S42+U42)</f>
        <v/>
      </c>
      <c r="W42" s="103">
        <f>IF(V42="","",ROUND(V42*IF(OR(Q42="",Q42="VND"),1,R42),0))</f>
        <v/>
      </c>
      <c r="X42" s="111" t="n"/>
      <c r="Y42" s="103">
        <f>IF(W42="","",W42+N(X42))</f>
        <v/>
      </c>
      <c r="Z42" s="103">
        <f>IF(B42="","",SUMIFS('NHAT KY THANH TOAN'!$G:$G,'NHAT KY THANH TOAN'!$B:$B,B42,'NHAT KY THANH TOAN'!$D:$D,"Hóa đơn"))</f>
        <v/>
      </c>
      <c r="AA42" s="103">
        <f>IF(B42="","",SUMIFS('NHAT KY THANH TOAN'!$G:$G,'NHAT KY THANH TOAN'!$B:$B,B42,'NHAT KY THANH TOAN'!$D:$D,"Thanh toán"))</f>
        <v/>
      </c>
      <c r="AB42" s="103">
        <f>IF(Y42="","",Y42-N(AA42))</f>
        <v/>
      </c>
      <c r="AC42" s="103">
        <f>IF(B42="","",N(Z42)-N(AA42))</f>
        <v/>
      </c>
      <c r="AD42" s="104">
        <f>IF(N(Y42)=0,"",N(AA42)/Y42)</f>
        <v/>
      </c>
      <c r="AE42" s="107" t="n"/>
      <c r="AF42" s="95">
        <f>IF(H42="","",TRIM(IF(AND(N(Y42)&gt;='THAM SO'!$B$10,AE42&lt;&gt;"Có"),"Chưa rà soát pháp lý; ","")&amp;IF(I42="","Thiếu MST đối tác; ","")&amp;IF(AG42="","Chưa ghi nơi lưu bản gốc; ","")&amp;IF(COUNTIFS('NHAT KY THANH TOAN'!$B:$B,B42,'NHAT KY THANH TOAN'!$D:$D,"Thanh toán",'NHAT KY THANH TOAN'!$F:$F,"Tiền mặt",'NHAT KY THANH TOAN'!$G:$G,"&gt;="&amp;'THAM SO'!$B$11)&gt;0,"Có khoản TT tiền mặt ≥ ngưỡng; ","")&amp;IF(AND(AB42&lt;&gt;"",N(AB42)&lt;0),"Thanh toán vượt giá trị HĐ; ","")))</f>
        <v/>
      </c>
      <c r="AG42" s="108" t="n"/>
      <c r="AH42" s="109" t="n"/>
      <c r="AI42" s="105">
        <f>IF(OR(H42="",O42="",AH42&lt;&gt;""),"",O42-'THAM SO'!$B$8)</f>
        <v/>
      </c>
      <c r="AJ42" s="95">
        <f>IF(H42="","",IF(AH42&lt;&gt;"","Đã thanh lý",IF(AND(N42&lt;&gt;"",N42&gt;'THAM SO'!$B$8),"Chưa hiệu lực",IF(O42="","Đang thực hiện",IF(O42&lt;'THAM SO'!$B$8,IF(P42="Có","Đã tự gia hạn – kiểm tra","Quá hạn – chưa thanh lý"),IF(O42-'THAM SO'!$B$8&lt;='THAM SO'!$B$9,"Sắp hết hạn","Đang thực hiện"))))))</f>
        <v/>
      </c>
      <c r="AK42" s="106">
        <f>IF(AND(O42="",AH42=""),"",EDATE(MAX(N(O42),N(AH42)),12*'THAM SO'!$B$12))</f>
        <v/>
      </c>
      <c r="AL42" s="110" t="n"/>
    </row>
    <row r="43" ht="15" customHeight="1" s="64">
      <c r="A43" s="93">
        <f>IF(H43="","",COUNTA($H$9:H43))</f>
        <v/>
      </c>
      <c r="B43" s="93">
        <f>IF(OR(D43="",G43=""),"",YEAR(G43)&amp;"/"&amp;D43&amp;"/"&amp;TEXT(SUMPRODUCT(($D$9:D43=D43)*(YEAR($G$9:G43)=YEAR(G43))),"000")&amp;"-"&amp;'THAM SO'!$B$7)</f>
        <v/>
      </c>
      <c r="C43" s="107" t="n"/>
      <c r="D43" s="107" t="n"/>
      <c r="E43" s="95">
        <f>IF(D43="","",IFERROR(VLOOKUP(D43,'THAM SO'!$D$6:$E$40,2,FALSE()),"Mã loại chưa khai báo"))</f>
        <v/>
      </c>
      <c r="F43" s="108" t="n"/>
      <c r="G43" s="109" t="n"/>
      <c r="H43" s="110" t="n"/>
      <c r="I43" s="108" t="n"/>
      <c r="J43" s="110" t="n"/>
      <c r="K43" s="108" t="n"/>
      <c r="L43" s="108" t="n"/>
      <c r="M43" s="108" t="n"/>
      <c r="N43" s="109" t="n"/>
      <c r="O43" s="109" t="n"/>
      <c r="P43" s="107" t="n"/>
      <c r="Q43" s="107" t="n"/>
      <c r="R43" s="111" t="n"/>
      <c r="S43" s="112" t="n"/>
      <c r="T43" s="113" t="n"/>
      <c r="U43" s="102">
        <f>IF(S43="","",ROUND(S43*N(T43),2))</f>
        <v/>
      </c>
      <c r="V43" s="102">
        <f>IF(S43="","",S43+U43)</f>
        <v/>
      </c>
      <c r="W43" s="103">
        <f>IF(V43="","",ROUND(V43*IF(OR(Q43="",Q43="VND"),1,R43),0))</f>
        <v/>
      </c>
      <c r="X43" s="111" t="n"/>
      <c r="Y43" s="103">
        <f>IF(W43="","",W43+N(X43))</f>
        <v/>
      </c>
      <c r="Z43" s="103">
        <f>IF(B43="","",SUMIFS('NHAT KY THANH TOAN'!$G:$G,'NHAT KY THANH TOAN'!$B:$B,B43,'NHAT KY THANH TOAN'!$D:$D,"Hóa đơn"))</f>
        <v/>
      </c>
      <c r="AA43" s="103">
        <f>IF(B43="","",SUMIFS('NHAT KY THANH TOAN'!$G:$G,'NHAT KY THANH TOAN'!$B:$B,B43,'NHAT KY THANH TOAN'!$D:$D,"Thanh toán"))</f>
        <v/>
      </c>
      <c r="AB43" s="103">
        <f>IF(Y43="","",Y43-N(AA43))</f>
        <v/>
      </c>
      <c r="AC43" s="103">
        <f>IF(B43="","",N(Z43)-N(AA43))</f>
        <v/>
      </c>
      <c r="AD43" s="104">
        <f>IF(N(Y43)=0,"",N(AA43)/Y43)</f>
        <v/>
      </c>
      <c r="AE43" s="107" t="n"/>
      <c r="AF43" s="95">
        <f>IF(H43="","",TRIM(IF(AND(N(Y43)&gt;='THAM SO'!$B$10,AE43&lt;&gt;"Có"),"Chưa rà soát pháp lý; ","")&amp;IF(I43="","Thiếu MST đối tác; ","")&amp;IF(AG43="","Chưa ghi nơi lưu bản gốc; ","")&amp;IF(COUNTIFS('NHAT KY THANH TOAN'!$B:$B,B43,'NHAT KY THANH TOAN'!$D:$D,"Thanh toán",'NHAT KY THANH TOAN'!$F:$F,"Tiền mặt",'NHAT KY THANH TOAN'!$G:$G,"&gt;="&amp;'THAM SO'!$B$11)&gt;0,"Có khoản TT tiền mặt ≥ ngưỡng; ","")&amp;IF(AND(AB43&lt;&gt;"",N(AB43)&lt;0),"Thanh toán vượt giá trị HĐ; ","")))</f>
        <v/>
      </c>
      <c r="AG43" s="108" t="n"/>
      <c r="AH43" s="109" t="n"/>
      <c r="AI43" s="105">
        <f>IF(OR(H43="",O43="",AH43&lt;&gt;""),"",O43-'THAM SO'!$B$8)</f>
        <v/>
      </c>
      <c r="AJ43" s="95">
        <f>IF(H43="","",IF(AH43&lt;&gt;"","Đã thanh lý",IF(AND(N43&lt;&gt;"",N43&gt;'THAM SO'!$B$8),"Chưa hiệu lực",IF(O43="","Đang thực hiện",IF(O43&lt;'THAM SO'!$B$8,IF(P43="Có","Đã tự gia hạn – kiểm tra","Quá hạn – chưa thanh lý"),IF(O43-'THAM SO'!$B$8&lt;='THAM SO'!$B$9,"Sắp hết hạn","Đang thực hiện"))))))</f>
        <v/>
      </c>
      <c r="AK43" s="106">
        <f>IF(AND(O43="",AH43=""),"",EDATE(MAX(N(O43),N(AH43)),12*'THAM SO'!$B$12))</f>
        <v/>
      </c>
      <c r="AL43" s="110" t="n"/>
    </row>
    <row r="44" ht="15" customHeight="1" s="64">
      <c r="A44" s="93">
        <f>IF(H44="","",COUNTA($H$9:H44))</f>
        <v/>
      </c>
      <c r="B44" s="93">
        <f>IF(OR(D44="",G44=""),"",YEAR(G44)&amp;"/"&amp;D44&amp;"/"&amp;TEXT(SUMPRODUCT(($D$9:D44=D44)*(YEAR($G$9:G44)=YEAR(G44))),"000")&amp;"-"&amp;'THAM SO'!$B$7)</f>
        <v/>
      </c>
      <c r="C44" s="107" t="n"/>
      <c r="D44" s="107" t="n"/>
      <c r="E44" s="95">
        <f>IF(D44="","",IFERROR(VLOOKUP(D44,'THAM SO'!$D$6:$E$40,2,FALSE()),"Mã loại chưa khai báo"))</f>
        <v/>
      </c>
      <c r="F44" s="108" t="n"/>
      <c r="G44" s="109" t="n"/>
      <c r="H44" s="110" t="n"/>
      <c r="I44" s="108" t="n"/>
      <c r="J44" s="110" t="n"/>
      <c r="K44" s="108" t="n"/>
      <c r="L44" s="108" t="n"/>
      <c r="M44" s="108" t="n"/>
      <c r="N44" s="109" t="n"/>
      <c r="O44" s="109" t="n"/>
      <c r="P44" s="107" t="n"/>
      <c r="Q44" s="107" t="n"/>
      <c r="R44" s="111" t="n"/>
      <c r="S44" s="112" t="n"/>
      <c r="T44" s="113" t="n"/>
      <c r="U44" s="102">
        <f>IF(S44="","",ROUND(S44*N(T44),2))</f>
        <v/>
      </c>
      <c r="V44" s="102">
        <f>IF(S44="","",S44+U44)</f>
        <v/>
      </c>
      <c r="W44" s="103">
        <f>IF(V44="","",ROUND(V44*IF(OR(Q44="",Q44="VND"),1,R44),0))</f>
        <v/>
      </c>
      <c r="X44" s="111" t="n"/>
      <c r="Y44" s="103">
        <f>IF(W44="","",W44+N(X44))</f>
        <v/>
      </c>
      <c r="Z44" s="103">
        <f>IF(B44="","",SUMIFS('NHAT KY THANH TOAN'!$G:$G,'NHAT KY THANH TOAN'!$B:$B,B44,'NHAT KY THANH TOAN'!$D:$D,"Hóa đơn"))</f>
        <v/>
      </c>
      <c r="AA44" s="103">
        <f>IF(B44="","",SUMIFS('NHAT KY THANH TOAN'!$G:$G,'NHAT KY THANH TOAN'!$B:$B,B44,'NHAT KY THANH TOAN'!$D:$D,"Thanh toán"))</f>
        <v/>
      </c>
      <c r="AB44" s="103">
        <f>IF(Y44="","",Y44-N(AA44))</f>
        <v/>
      </c>
      <c r="AC44" s="103">
        <f>IF(B44="","",N(Z44)-N(AA44))</f>
        <v/>
      </c>
      <c r="AD44" s="104">
        <f>IF(N(Y44)=0,"",N(AA44)/Y44)</f>
        <v/>
      </c>
      <c r="AE44" s="107" t="n"/>
      <c r="AF44" s="95">
        <f>IF(H44="","",TRIM(IF(AND(N(Y44)&gt;='THAM SO'!$B$10,AE44&lt;&gt;"Có"),"Chưa rà soát pháp lý; ","")&amp;IF(I44="","Thiếu MST đối tác; ","")&amp;IF(AG44="","Chưa ghi nơi lưu bản gốc; ","")&amp;IF(COUNTIFS('NHAT KY THANH TOAN'!$B:$B,B44,'NHAT KY THANH TOAN'!$D:$D,"Thanh toán",'NHAT KY THANH TOAN'!$F:$F,"Tiền mặt",'NHAT KY THANH TOAN'!$G:$G,"&gt;="&amp;'THAM SO'!$B$11)&gt;0,"Có khoản TT tiền mặt ≥ ngưỡng; ","")&amp;IF(AND(AB44&lt;&gt;"",N(AB44)&lt;0),"Thanh toán vượt giá trị HĐ; ","")))</f>
        <v/>
      </c>
      <c r="AG44" s="108" t="n"/>
      <c r="AH44" s="109" t="n"/>
      <c r="AI44" s="105">
        <f>IF(OR(H44="",O44="",AH44&lt;&gt;""),"",O44-'THAM SO'!$B$8)</f>
        <v/>
      </c>
      <c r="AJ44" s="95">
        <f>IF(H44="","",IF(AH44&lt;&gt;"","Đã thanh lý",IF(AND(N44&lt;&gt;"",N44&gt;'THAM SO'!$B$8),"Chưa hiệu lực",IF(O44="","Đang thực hiện",IF(O44&lt;'THAM SO'!$B$8,IF(P44="Có","Đã tự gia hạn – kiểm tra","Quá hạn – chưa thanh lý"),IF(O44-'THAM SO'!$B$8&lt;='THAM SO'!$B$9,"Sắp hết hạn","Đang thực hiện"))))))</f>
        <v/>
      </c>
      <c r="AK44" s="106">
        <f>IF(AND(O44="",AH44=""),"",EDATE(MAX(N(O44),N(AH44)),12*'THAM SO'!$B$12))</f>
        <v/>
      </c>
      <c r="AL44" s="110" t="n"/>
    </row>
    <row r="45" ht="15" customHeight="1" s="64">
      <c r="A45" s="93">
        <f>IF(H45="","",COUNTA($H$9:H45))</f>
        <v/>
      </c>
      <c r="B45" s="93">
        <f>IF(OR(D45="",G45=""),"",YEAR(G45)&amp;"/"&amp;D45&amp;"/"&amp;TEXT(SUMPRODUCT(($D$9:D45=D45)*(YEAR($G$9:G45)=YEAR(G45))),"000")&amp;"-"&amp;'THAM SO'!$B$7)</f>
        <v/>
      </c>
      <c r="C45" s="107" t="n"/>
      <c r="D45" s="107" t="n"/>
      <c r="E45" s="95">
        <f>IF(D45="","",IFERROR(VLOOKUP(D45,'THAM SO'!$D$6:$E$40,2,FALSE()),"Mã loại chưa khai báo"))</f>
        <v/>
      </c>
      <c r="F45" s="108" t="n"/>
      <c r="G45" s="109" t="n"/>
      <c r="H45" s="110" t="n"/>
      <c r="I45" s="108" t="n"/>
      <c r="J45" s="110" t="n"/>
      <c r="K45" s="108" t="n"/>
      <c r="L45" s="108" t="n"/>
      <c r="M45" s="108" t="n"/>
      <c r="N45" s="109" t="n"/>
      <c r="O45" s="109" t="n"/>
      <c r="P45" s="107" t="n"/>
      <c r="Q45" s="107" t="n"/>
      <c r="R45" s="111" t="n"/>
      <c r="S45" s="112" t="n"/>
      <c r="T45" s="113" t="n"/>
      <c r="U45" s="102">
        <f>IF(S45="","",ROUND(S45*N(T45),2))</f>
        <v/>
      </c>
      <c r="V45" s="102">
        <f>IF(S45="","",S45+U45)</f>
        <v/>
      </c>
      <c r="W45" s="103">
        <f>IF(V45="","",ROUND(V45*IF(OR(Q45="",Q45="VND"),1,R45),0))</f>
        <v/>
      </c>
      <c r="X45" s="111" t="n"/>
      <c r="Y45" s="103">
        <f>IF(W45="","",W45+N(X45))</f>
        <v/>
      </c>
      <c r="Z45" s="103">
        <f>IF(B45="","",SUMIFS('NHAT KY THANH TOAN'!$G:$G,'NHAT KY THANH TOAN'!$B:$B,B45,'NHAT KY THANH TOAN'!$D:$D,"Hóa đơn"))</f>
        <v/>
      </c>
      <c r="AA45" s="103">
        <f>IF(B45="","",SUMIFS('NHAT KY THANH TOAN'!$G:$G,'NHAT KY THANH TOAN'!$B:$B,B45,'NHAT KY THANH TOAN'!$D:$D,"Thanh toán"))</f>
        <v/>
      </c>
      <c r="AB45" s="103">
        <f>IF(Y45="","",Y45-N(AA45))</f>
        <v/>
      </c>
      <c r="AC45" s="103">
        <f>IF(B45="","",N(Z45)-N(AA45))</f>
        <v/>
      </c>
      <c r="AD45" s="104">
        <f>IF(N(Y45)=0,"",N(AA45)/Y45)</f>
        <v/>
      </c>
      <c r="AE45" s="107" t="n"/>
      <c r="AF45" s="95">
        <f>IF(H45="","",TRIM(IF(AND(N(Y45)&gt;='THAM SO'!$B$10,AE45&lt;&gt;"Có"),"Chưa rà soát pháp lý; ","")&amp;IF(I45="","Thiếu MST đối tác; ","")&amp;IF(AG45="","Chưa ghi nơi lưu bản gốc; ","")&amp;IF(COUNTIFS('NHAT KY THANH TOAN'!$B:$B,B45,'NHAT KY THANH TOAN'!$D:$D,"Thanh toán",'NHAT KY THANH TOAN'!$F:$F,"Tiền mặt",'NHAT KY THANH TOAN'!$G:$G,"&gt;="&amp;'THAM SO'!$B$11)&gt;0,"Có khoản TT tiền mặt ≥ ngưỡng; ","")&amp;IF(AND(AB45&lt;&gt;"",N(AB45)&lt;0),"Thanh toán vượt giá trị HĐ; ","")))</f>
        <v/>
      </c>
      <c r="AG45" s="108" t="n"/>
      <c r="AH45" s="109" t="n"/>
      <c r="AI45" s="105">
        <f>IF(OR(H45="",O45="",AH45&lt;&gt;""),"",O45-'THAM SO'!$B$8)</f>
        <v/>
      </c>
      <c r="AJ45" s="95">
        <f>IF(H45="","",IF(AH45&lt;&gt;"","Đã thanh lý",IF(AND(N45&lt;&gt;"",N45&gt;'THAM SO'!$B$8),"Chưa hiệu lực",IF(O45="","Đang thực hiện",IF(O45&lt;'THAM SO'!$B$8,IF(P45="Có","Đã tự gia hạn – kiểm tra","Quá hạn – chưa thanh lý"),IF(O45-'THAM SO'!$B$8&lt;='THAM SO'!$B$9,"Sắp hết hạn","Đang thực hiện"))))))</f>
        <v/>
      </c>
      <c r="AK45" s="106">
        <f>IF(AND(O45="",AH45=""),"",EDATE(MAX(N(O45),N(AH45)),12*'THAM SO'!$B$12))</f>
        <v/>
      </c>
      <c r="AL45" s="110" t="n"/>
    </row>
    <row r="46" ht="15" customHeight="1" s="64">
      <c r="A46" s="93">
        <f>IF(H46="","",COUNTA($H$9:H46))</f>
        <v/>
      </c>
      <c r="B46" s="93">
        <f>IF(OR(D46="",G46=""),"",YEAR(G46)&amp;"/"&amp;D46&amp;"/"&amp;TEXT(SUMPRODUCT(($D$9:D46=D46)*(YEAR($G$9:G46)=YEAR(G46))),"000")&amp;"-"&amp;'THAM SO'!$B$7)</f>
        <v/>
      </c>
      <c r="C46" s="107" t="n"/>
      <c r="D46" s="107" t="n"/>
      <c r="E46" s="95">
        <f>IF(D46="","",IFERROR(VLOOKUP(D46,'THAM SO'!$D$6:$E$40,2,FALSE()),"Mã loại chưa khai báo"))</f>
        <v/>
      </c>
      <c r="F46" s="108" t="n"/>
      <c r="G46" s="109" t="n"/>
      <c r="H46" s="110" t="n"/>
      <c r="I46" s="108" t="n"/>
      <c r="J46" s="110" t="n"/>
      <c r="K46" s="108" t="n"/>
      <c r="L46" s="108" t="n"/>
      <c r="M46" s="108" t="n"/>
      <c r="N46" s="109" t="n"/>
      <c r="O46" s="109" t="n"/>
      <c r="P46" s="107" t="n"/>
      <c r="Q46" s="107" t="n"/>
      <c r="R46" s="111" t="n"/>
      <c r="S46" s="112" t="n"/>
      <c r="T46" s="113" t="n"/>
      <c r="U46" s="102">
        <f>IF(S46="","",ROUND(S46*N(T46),2))</f>
        <v/>
      </c>
      <c r="V46" s="102">
        <f>IF(S46="","",S46+U46)</f>
        <v/>
      </c>
      <c r="W46" s="103">
        <f>IF(V46="","",ROUND(V46*IF(OR(Q46="",Q46="VND"),1,R46),0))</f>
        <v/>
      </c>
      <c r="X46" s="111" t="n"/>
      <c r="Y46" s="103">
        <f>IF(W46="","",W46+N(X46))</f>
        <v/>
      </c>
      <c r="Z46" s="103">
        <f>IF(B46="","",SUMIFS('NHAT KY THANH TOAN'!$G:$G,'NHAT KY THANH TOAN'!$B:$B,B46,'NHAT KY THANH TOAN'!$D:$D,"Hóa đơn"))</f>
        <v/>
      </c>
      <c r="AA46" s="103">
        <f>IF(B46="","",SUMIFS('NHAT KY THANH TOAN'!$G:$G,'NHAT KY THANH TOAN'!$B:$B,B46,'NHAT KY THANH TOAN'!$D:$D,"Thanh toán"))</f>
        <v/>
      </c>
      <c r="AB46" s="103">
        <f>IF(Y46="","",Y46-N(AA46))</f>
        <v/>
      </c>
      <c r="AC46" s="103">
        <f>IF(B46="","",N(Z46)-N(AA46))</f>
        <v/>
      </c>
      <c r="AD46" s="104">
        <f>IF(N(Y46)=0,"",N(AA46)/Y46)</f>
        <v/>
      </c>
      <c r="AE46" s="107" t="n"/>
      <c r="AF46" s="95">
        <f>IF(H46="","",TRIM(IF(AND(N(Y46)&gt;='THAM SO'!$B$10,AE46&lt;&gt;"Có"),"Chưa rà soát pháp lý; ","")&amp;IF(I46="","Thiếu MST đối tác; ","")&amp;IF(AG46="","Chưa ghi nơi lưu bản gốc; ","")&amp;IF(COUNTIFS('NHAT KY THANH TOAN'!$B:$B,B46,'NHAT KY THANH TOAN'!$D:$D,"Thanh toán",'NHAT KY THANH TOAN'!$F:$F,"Tiền mặt",'NHAT KY THANH TOAN'!$G:$G,"&gt;="&amp;'THAM SO'!$B$11)&gt;0,"Có khoản TT tiền mặt ≥ ngưỡng; ","")&amp;IF(AND(AB46&lt;&gt;"",N(AB46)&lt;0),"Thanh toán vượt giá trị HĐ; ","")))</f>
        <v/>
      </c>
      <c r="AG46" s="108" t="n"/>
      <c r="AH46" s="109" t="n"/>
      <c r="AI46" s="105">
        <f>IF(OR(H46="",O46="",AH46&lt;&gt;""),"",O46-'THAM SO'!$B$8)</f>
        <v/>
      </c>
      <c r="AJ46" s="95">
        <f>IF(H46="","",IF(AH46&lt;&gt;"","Đã thanh lý",IF(AND(N46&lt;&gt;"",N46&gt;'THAM SO'!$B$8),"Chưa hiệu lực",IF(O46="","Đang thực hiện",IF(O46&lt;'THAM SO'!$B$8,IF(P46="Có","Đã tự gia hạn – kiểm tra","Quá hạn – chưa thanh lý"),IF(O46-'THAM SO'!$B$8&lt;='THAM SO'!$B$9,"Sắp hết hạn","Đang thực hiện"))))))</f>
        <v/>
      </c>
      <c r="AK46" s="106">
        <f>IF(AND(O46="",AH46=""),"",EDATE(MAX(N(O46),N(AH46)),12*'THAM SO'!$B$12))</f>
        <v/>
      </c>
      <c r="AL46" s="110" t="n"/>
    </row>
    <row r="47" ht="15" customHeight="1" s="64">
      <c r="A47" s="93">
        <f>IF(H47="","",COUNTA($H$9:H47))</f>
        <v/>
      </c>
      <c r="B47" s="93">
        <f>IF(OR(D47="",G47=""),"",YEAR(G47)&amp;"/"&amp;D47&amp;"/"&amp;TEXT(SUMPRODUCT(($D$9:D47=D47)*(YEAR($G$9:G47)=YEAR(G47))),"000")&amp;"-"&amp;'THAM SO'!$B$7)</f>
        <v/>
      </c>
      <c r="C47" s="107" t="n"/>
      <c r="D47" s="107" t="n"/>
      <c r="E47" s="95">
        <f>IF(D47="","",IFERROR(VLOOKUP(D47,'THAM SO'!$D$6:$E$40,2,FALSE()),"Mã loại chưa khai báo"))</f>
        <v/>
      </c>
      <c r="F47" s="108" t="n"/>
      <c r="G47" s="109" t="n"/>
      <c r="H47" s="110" t="n"/>
      <c r="I47" s="108" t="n"/>
      <c r="J47" s="110" t="n"/>
      <c r="K47" s="108" t="n"/>
      <c r="L47" s="108" t="n"/>
      <c r="M47" s="108" t="n"/>
      <c r="N47" s="109" t="n"/>
      <c r="O47" s="109" t="n"/>
      <c r="P47" s="107" t="n"/>
      <c r="Q47" s="107" t="n"/>
      <c r="R47" s="111" t="n"/>
      <c r="S47" s="112" t="n"/>
      <c r="T47" s="113" t="n"/>
      <c r="U47" s="102">
        <f>IF(S47="","",ROUND(S47*N(T47),2))</f>
        <v/>
      </c>
      <c r="V47" s="102">
        <f>IF(S47="","",S47+U47)</f>
        <v/>
      </c>
      <c r="W47" s="103">
        <f>IF(V47="","",ROUND(V47*IF(OR(Q47="",Q47="VND"),1,R47),0))</f>
        <v/>
      </c>
      <c r="X47" s="111" t="n"/>
      <c r="Y47" s="103">
        <f>IF(W47="","",W47+N(X47))</f>
        <v/>
      </c>
      <c r="Z47" s="103">
        <f>IF(B47="","",SUMIFS('NHAT KY THANH TOAN'!$G:$G,'NHAT KY THANH TOAN'!$B:$B,B47,'NHAT KY THANH TOAN'!$D:$D,"Hóa đơn"))</f>
        <v/>
      </c>
      <c r="AA47" s="103">
        <f>IF(B47="","",SUMIFS('NHAT KY THANH TOAN'!$G:$G,'NHAT KY THANH TOAN'!$B:$B,B47,'NHAT KY THANH TOAN'!$D:$D,"Thanh toán"))</f>
        <v/>
      </c>
      <c r="AB47" s="103">
        <f>IF(Y47="","",Y47-N(AA47))</f>
        <v/>
      </c>
      <c r="AC47" s="103">
        <f>IF(B47="","",N(Z47)-N(AA47))</f>
        <v/>
      </c>
      <c r="AD47" s="104">
        <f>IF(N(Y47)=0,"",N(AA47)/Y47)</f>
        <v/>
      </c>
      <c r="AE47" s="107" t="n"/>
      <c r="AF47" s="95">
        <f>IF(H47="","",TRIM(IF(AND(N(Y47)&gt;='THAM SO'!$B$10,AE47&lt;&gt;"Có"),"Chưa rà soát pháp lý; ","")&amp;IF(I47="","Thiếu MST đối tác; ","")&amp;IF(AG47="","Chưa ghi nơi lưu bản gốc; ","")&amp;IF(COUNTIFS('NHAT KY THANH TOAN'!$B:$B,B47,'NHAT KY THANH TOAN'!$D:$D,"Thanh toán",'NHAT KY THANH TOAN'!$F:$F,"Tiền mặt",'NHAT KY THANH TOAN'!$G:$G,"&gt;="&amp;'THAM SO'!$B$11)&gt;0,"Có khoản TT tiền mặt ≥ ngưỡng; ","")&amp;IF(AND(AB47&lt;&gt;"",N(AB47)&lt;0),"Thanh toán vượt giá trị HĐ; ","")))</f>
        <v/>
      </c>
      <c r="AG47" s="108" t="n"/>
      <c r="AH47" s="109" t="n"/>
      <c r="AI47" s="105">
        <f>IF(OR(H47="",O47="",AH47&lt;&gt;""),"",O47-'THAM SO'!$B$8)</f>
        <v/>
      </c>
      <c r="AJ47" s="95">
        <f>IF(H47="","",IF(AH47&lt;&gt;"","Đã thanh lý",IF(AND(N47&lt;&gt;"",N47&gt;'THAM SO'!$B$8),"Chưa hiệu lực",IF(O47="","Đang thực hiện",IF(O47&lt;'THAM SO'!$B$8,IF(P47="Có","Đã tự gia hạn – kiểm tra","Quá hạn – chưa thanh lý"),IF(O47-'THAM SO'!$B$8&lt;='THAM SO'!$B$9,"Sắp hết hạn","Đang thực hiện"))))))</f>
        <v/>
      </c>
      <c r="AK47" s="106">
        <f>IF(AND(O47="",AH47=""),"",EDATE(MAX(N(O47),N(AH47)),12*'THAM SO'!$B$12))</f>
        <v/>
      </c>
      <c r="AL47" s="110" t="n"/>
    </row>
    <row r="48" ht="15" customHeight="1" s="64">
      <c r="A48" s="93">
        <f>IF(H48="","",COUNTA($H$9:H48))</f>
        <v/>
      </c>
      <c r="B48" s="93">
        <f>IF(OR(D48="",G48=""),"",YEAR(G48)&amp;"/"&amp;D48&amp;"/"&amp;TEXT(SUMPRODUCT(($D$9:D48=D48)*(YEAR($G$9:G48)=YEAR(G48))),"000")&amp;"-"&amp;'THAM SO'!$B$7)</f>
        <v/>
      </c>
      <c r="C48" s="107" t="n"/>
      <c r="D48" s="107" t="n"/>
      <c r="E48" s="95">
        <f>IF(D48="","",IFERROR(VLOOKUP(D48,'THAM SO'!$D$6:$E$40,2,FALSE()),"Mã loại chưa khai báo"))</f>
        <v/>
      </c>
      <c r="F48" s="108" t="n"/>
      <c r="G48" s="109" t="n"/>
      <c r="H48" s="110" t="n"/>
      <c r="I48" s="108" t="n"/>
      <c r="J48" s="110" t="n"/>
      <c r="K48" s="108" t="n"/>
      <c r="L48" s="108" t="n"/>
      <c r="M48" s="108" t="n"/>
      <c r="N48" s="109" t="n"/>
      <c r="O48" s="109" t="n"/>
      <c r="P48" s="107" t="n"/>
      <c r="Q48" s="107" t="n"/>
      <c r="R48" s="111" t="n"/>
      <c r="S48" s="112" t="n"/>
      <c r="T48" s="113" t="n"/>
      <c r="U48" s="102">
        <f>IF(S48="","",ROUND(S48*N(T48),2))</f>
        <v/>
      </c>
      <c r="V48" s="102">
        <f>IF(S48="","",S48+U48)</f>
        <v/>
      </c>
      <c r="W48" s="103">
        <f>IF(V48="","",ROUND(V48*IF(OR(Q48="",Q48="VND"),1,R48),0))</f>
        <v/>
      </c>
      <c r="X48" s="111" t="n"/>
      <c r="Y48" s="103">
        <f>IF(W48="","",W48+N(X48))</f>
        <v/>
      </c>
      <c r="Z48" s="103">
        <f>IF(B48="","",SUMIFS('NHAT KY THANH TOAN'!$G:$G,'NHAT KY THANH TOAN'!$B:$B,B48,'NHAT KY THANH TOAN'!$D:$D,"Hóa đơn"))</f>
        <v/>
      </c>
      <c r="AA48" s="103">
        <f>IF(B48="","",SUMIFS('NHAT KY THANH TOAN'!$G:$G,'NHAT KY THANH TOAN'!$B:$B,B48,'NHAT KY THANH TOAN'!$D:$D,"Thanh toán"))</f>
        <v/>
      </c>
      <c r="AB48" s="103">
        <f>IF(Y48="","",Y48-N(AA48))</f>
        <v/>
      </c>
      <c r="AC48" s="103">
        <f>IF(B48="","",N(Z48)-N(AA48))</f>
        <v/>
      </c>
      <c r="AD48" s="104">
        <f>IF(N(Y48)=0,"",N(AA48)/Y48)</f>
        <v/>
      </c>
      <c r="AE48" s="107" t="n"/>
      <c r="AF48" s="95">
        <f>IF(H48="","",TRIM(IF(AND(N(Y48)&gt;='THAM SO'!$B$10,AE48&lt;&gt;"Có"),"Chưa rà soát pháp lý; ","")&amp;IF(I48="","Thiếu MST đối tác; ","")&amp;IF(AG48="","Chưa ghi nơi lưu bản gốc; ","")&amp;IF(COUNTIFS('NHAT KY THANH TOAN'!$B:$B,B48,'NHAT KY THANH TOAN'!$D:$D,"Thanh toán",'NHAT KY THANH TOAN'!$F:$F,"Tiền mặt",'NHAT KY THANH TOAN'!$G:$G,"&gt;="&amp;'THAM SO'!$B$11)&gt;0,"Có khoản TT tiền mặt ≥ ngưỡng; ","")&amp;IF(AND(AB48&lt;&gt;"",N(AB48)&lt;0),"Thanh toán vượt giá trị HĐ; ","")))</f>
        <v/>
      </c>
      <c r="AG48" s="108" t="n"/>
      <c r="AH48" s="109" t="n"/>
      <c r="AI48" s="105">
        <f>IF(OR(H48="",O48="",AH48&lt;&gt;""),"",O48-'THAM SO'!$B$8)</f>
        <v/>
      </c>
      <c r="AJ48" s="95">
        <f>IF(H48="","",IF(AH48&lt;&gt;"","Đã thanh lý",IF(AND(N48&lt;&gt;"",N48&gt;'THAM SO'!$B$8),"Chưa hiệu lực",IF(O48="","Đang thực hiện",IF(O48&lt;'THAM SO'!$B$8,IF(P48="Có","Đã tự gia hạn – kiểm tra","Quá hạn – chưa thanh lý"),IF(O48-'THAM SO'!$B$8&lt;='THAM SO'!$B$9,"Sắp hết hạn","Đang thực hiện"))))))</f>
        <v/>
      </c>
      <c r="AK48" s="106">
        <f>IF(AND(O48="",AH48=""),"",EDATE(MAX(N(O48),N(AH48)),12*'THAM SO'!$B$12))</f>
        <v/>
      </c>
      <c r="AL48" s="110" t="n"/>
    </row>
    <row r="49" ht="15" customHeight="1" s="64">
      <c r="A49" s="93">
        <f>IF(H49="","",COUNTA($H$9:H49))</f>
        <v/>
      </c>
      <c r="B49" s="93">
        <f>IF(OR(D49="",G49=""),"",YEAR(G49)&amp;"/"&amp;D49&amp;"/"&amp;TEXT(SUMPRODUCT(($D$9:D49=D49)*(YEAR($G$9:G49)=YEAR(G49))),"000")&amp;"-"&amp;'THAM SO'!$B$7)</f>
        <v/>
      </c>
      <c r="C49" s="107" t="n"/>
      <c r="D49" s="107" t="n"/>
      <c r="E49" s="95">
        <f>IF(D49="","",IFERROR(VLOOKUP(D49,'THAM SO'!$D$6:$E$40,2,FALSE()),"Mã loại chưa khai báo"))</f>
        <v/>
      </c>
      <c r="F49" s="108" t="n"/>
      <c r="G49" s="109" t="n"/>
      <c r="H49" s="110" t="n"/>
      <c r="I49" s="108" t="n"/>
      <c r="J49" s="110" t="n"/>
      <c r="K49" s="108" t="n"/>
      <c r="L49" s="108" t="n"/>
      <c r="M49" s="108" t="n"/>
      <c r="N49" s="109" t="n"/>
      <c r="O49" s="109" t="n"/>
      <c r="P49" s="107" t="n"/>
      <c r="Q49" s="107" t="n"/>
      <c r="R49" s="111" t="n"/>
      <c r="S49" s="112" t="n"/>
      <c r="T49" s="113" t="n"/>
      <c r="U49" s="102">
        <f>IF(S49="","",ROUND(S49*N(T49),2))</f>
        <v/>
      </c>
      <c r="V49" s="102">
        <f>IF(S49="","",S49+U49)</f>
        <v/>
      </c>
      <c r="W49" s="103">
        <f>IF(V49="","",ROUND(V49*IF(OR(Q49="",Q49="VND"),1,R49),0))</f>
        <v/>
      </c>
      <c r="X49" s="111" t="n"/>
      <c r="Y49" s="103">
        <f>IF(W49="","",W49+N(X49))</f>
        <v/>
      </c>
      <c r="Z49" s="103">
        <f>IF(B49="","",SUMIFS('NHAT KY THANH TOAN'!$G:$G,'NHAT KY THANH TOAN'!$B:$B,B49,'NHAT KY THANH TOAN'!$D:$D,"Hóa đơn"))</f>
        <v/>
      </c>
      <c r="AA49" s="103">
        <f>IF(B49="","",SUMIFS('NHAT KY THANH TOAN'!$G:$G,'NHAT KY THANH TOAN'!$B:$B,B49,'NHAT KY THANH TOAN'!$D:$D,"Thanh toán"))</f>
        <v/>
      </c>
      <c r="AB49" s="103">
        <f>IF(Y49="","",Y49-N(AA49))</f>
        <v/>
      </c>
      <c r="AC49" s="103">
        <f>IF(B49="","",N(Z49)-N(AA49))</f>
        <v/>
      </c>
      <c r="AD49" s="104">
        <f>IF(N(Y49)=0,"",N(AA49)/Y49)</f>
        <v/>
      </c>
      <c r="AE49" s="107" t="n"/>
      <c r="AF49" s="95">
        <f>IF(H49="","",TRIM(IF(AND(N(Y49)&gt;='THAM SO'!$B$10,AE49&lt;&gt;"Có"),"Chưa rà soát pháp lý; ","")&amp;IF(I49="","Thiếu MST đối tác; ","")&amp;IF(AG49="","Chưa ghi nơi lưu bản gốc; ","")&amp;IF(COUNTIFS('NHAT KY THANH TOAN'!$B:$B,B49,'NHAT KY THANH TOAN'!$D:$D,"Thanh toán",'NHAT KY THANH TOAN'!$F:$F,"Tiền mặt",'NHAT KY THANH TOAN'!$G:$G,"&gt;="&amp;'THAM SO'!$B$11)&gt;0,"Có khoản TT tiền mặt ≥ ngưỡng; ","")&amp;IF(AND(AB49&lt;&gt;"",N(AB49)&lt;0),"Thanh toán vượt giá trị HĐ; ","")))</f>
        <v/>
      </c>
      <c r="AG49" s="108" t="n"/>
      <c r="AH49" s="109" t="n"/>
      <c r="AI49" s="105">
        <f>IF(OR(H49="",O49="",AH49&lt;&gt;""),"",O49-'THAM SO'!$B$8)</f>
        <v/>
      </c>
      <c r="AJ49" s="95">
        <f>IF(H49="","",IF(AH49&lt;&gt;"","Đã thanh lý",IF(AND(N49&lt;&gt;"",N49&gt;'THAM SO'!$B$8),"Chưa hiệu lực",IF(O49="","Đang thực hiện",IF(O49&lt;'THAM SO'!$B$8,IF(P49="Có","Đã tự gia hạn – kiểm tra","Quá hạn – chưa thanh lý"),IF(O49-'THAM SO'!$B$8&lt;='THAM SO'!$B$9,"Sắp hết hạn","Đang thực hiện"))))))</f>
        <v/>
      </c>
      <c r="AK49" s="106">
        <f>IF(AND(O49="",AH49=""),"",EDATE(MAX(N(O49),N(AH49)),12*'THAM SO'!$B$12))</f>
        <v/>
      </c>
      <c r="AL49" s="110" t="n"/>
    </row>
    <row r="50" ht="15" customHeight="1" s="64">
      <c r="A50" s="93">
        <f>IF(H50="","",COUNTA($H$9:H50))</f>
        <v/>
      </c>
      <c r="B50" s="93">
        <f>IF(OR(D50="",G50=""),"",YEAR(G50)&amp;"/"&amp;D50&amp;"/"&amp;TEXT(SUMPRODUCT(($D$9:D50=D50)*(YEAR($G$9:G50)=YEAR(G50))),"000")&amp;"-"&amp;'THAM SO'!$B$7)</f>
        <v/>
      </c>
      <c r="C50" s="107" t="n"/>
      <c r="D50" s="107" t="n"/>
      <c r="E50" s="95">
        <f>IF(D50="","",IFERROR(VLOOKUP(D50,'THAM SO'!$D$6:$E$40,2,FALSE()),"Mã loại chưa khai báo"))</f>
        <v/>
      </c>
      <c r="F50" s="108" t="n"/>
      <c r="G50" s="109" t="n"/>
      <c r="H50" s="110" t="n"/>
      <c r="I50" s="108" t="n"/>
      <c r="J50" s="110" t="n"/>
      <c r="K50" s="108" t="n"/>
      <c r="L50" s="108" t="n"/>
      <c r="M50" s="108" t="n"/>
      <c r="N50" s="109" t="n"/>
      <c r="O50" s="109" t="n"/>
      <c r="P50" s="107" t="n"/>
      <c r="Q50" s="107" t="n"/>
      <c r="R50" s="111" t="n"/>
      <c r="S50" s="112" t="n"/>
      <c r="T50" s="113" t="n"/>
      <c r="U50" s="102">
        <f>IF(S50="","",ROUND(S50*N(T50),2))</f>
        <v/>
      </c>
      <c r="V50" s="102">
        <f>IF(S50="","",S50+U50)</f>
        <v/>
      </c>
      <c r="W50" s="103">
        <f>IF(V50="","",ROUND(V50*IF(OR(Q50="",Q50="VND"),1,R50),0))</f>
        <v/>
      </c>
      <c r="X50" s="111" t="n"/>
      <c r="Y50" s="103">
        <f>IF(W50="","",W50+N(X50))</f>
        <v/>
      </c>
      <c r="Z50" s="103">
        <f>IF(B50="","",SUMIFS('NHAT KY THANH TOAN'!$G:$G,'NHAT KY THANH TOAN'!$B:$B,B50,'NHAT KY THANH TOAN'!$D:$D,"Hóa đơn"))</f>
        <v/>
      </c>
      <c r="AA50" s="103">
        <f>IF(B50="","",SUMIFS('NHAT KY THANH TOAN'!$G:$G,'NHAT KY THANH TOAN'!$B:$B,B50,'NHAT KY THANH TOAN'!$D:$D,"Thanh toán"))</f>
        <v/>
      </c>
      <c r="AB50" s="103">
        <f>IF(Y50="","",Y50-N(AA50))</f>
        <v/>
      </c>
      <c r="AC50" s="103">
        <f>IF(B50="","",N(Z50)-N(AA50))</f>
        <v/>
      </c>
      <c r="AD50" s="104">
        <f>IF(N(Y50)=0,"",N(AA50)/Y50)</f>
        <v/>
      </c>
      <c r="AE50" s="107" t="n"/>
      <c r="AF50" s="95">
        <f>IF(H50="","",TRIM(IF(AND(N(Y50)&gt;='THAM SO'!$B$10,AE50&lt;&gt;"Có"),"Chưa rà soát pháp lý; ","")&amp;IF(I50="","Thiếu MST đối tác; ","")&amp;IF(AG50="","Chưa ghi nơi lưu bản gốc; ","")&amp;IF(COUNTIFS('NHAT KY THANH TOAN'!$B:$B,B50,'NHAT KY THANH TOAN'!$D:$D,"Thanh toán",'NHAT KY THANH TOAN'!$F:$F,"Tiền mặt",'NHAT KY THANH TOAN'!$G:$G,"&gt;="&amp;'THAM SO'!$B$11)&gt;0,"Có khoản TT tiền mặt ≥ ngưỡng; ","")&amp;IF(AND(AB50&lt;&gt;"",N(AB50)&lt;0),"Thanh toán vượt giá trị HĐ; ","")))</f>
        <v/>
      </c>
      <c r="AG50" s="108" t="n"/>
      <c r="AH50" s="109" t="n"/>
      <c r="AI50" s="105">
        <f>IF(OR(H50="",O50="",AH50&lt;&gt;""),"",O50-'THAM SO'!$B$8)</f>
        <v/>
      </c>
      <c r="AJ50" s="95">
        <f>IF(H50="","",IF(AH50&lt;&gt;"","Đã thanh lý",IF(AND(N50&lt;&gt;"",N50&gt;'THAM SO'!$B$8),"Chưa hiệu lực",IF(O50="","Đang thực hiện",IF(O50&lt;'THAM SO'!$B$8,IF(P50="Có","Đã tự gia hạn – kiểm tra","Quá hạn – chưa thanh lý"),IF(O50-'THAM SO'!$B$8&lt;='THAM SO'!$B$9,"Sắp hết hạn","Đang thực hiện"))))))</f>
        <v/>
      </c>
      <c r="AK50" s="106">
        <f>IF(AND(O50="",AH50=""),"",EDATE(MAX(N(O50),N(AH50)),12*'THAM SO'!$B$12))</f>
        <v/>
      </c>
      <c r="AL50" s="110" t="n"/>
    </row>
    <row r="51" ht="15" customHeight="1" s="64">
      <c r="A51" s="93">
        <f>IF(H51="","",COUNTA($H$9:H51))</f>
        <v/>
      </c>
      <c r="B51" s="93">
        <f>IF(OR(D51="",G51=""),"",YEAR(G51)&amp;"/"&amp;D51&amp;"/"&amp;TEXT(SUMPRODUCT(($D$9:D51=D51)*(YEAR($G$9:G51)=YEAR(G51))),"000")&amp;"-"&amp;'THAM SO'!$B$7)</f>
        <v/>
      </c>
      <c r="C51" s="107" t="n"/>
      <c r="D51" s="107" t="n"/>
      <c r="E51" s="95">
        <f>IF(D51="","",IFERROR(VLOOKUP(D51,'THAM SO'!$D$6:$E$40,2,FALSE()),"Mã loại chưa khai báo"))</f>
        <v/>
      </c>
      <c r="F51" s="108" t="n"/>
      <c r="G51" s="109" t="n"/>
      <c r="H51" s="110" t="n"/>
      <c r="I51" s="108" t="n"/>
      <c r="J51" s="110" t="n"/>
      <c r="K51" s="108" t="n"/>
      <c r="L51" s="108" t="n"/>
      <c r="M51" s="108" t="n"/>
      <c r="N51" s="109" t="n"/>
      <c r="O51" s="109" t="n"/>
      <c r="P51" s="107" t="n"/>
      <c r="Q51" s="107" t="n"/>
      <c r="R51" s="111" t="n"/>
      <c r="S51" s="112" t="n"/>
      <c r="T51" s="113" t="n"/>
      <c r="U51" s="102">
        <f>IF(S51="","",ROUND(S51*N(T51),2))</f>
        <v/>
      </c>
      <c r="V51" s="102">
        <f>IF(S51="","",S51+U51)</f>
        <v/>
      </c>
      <c r="W51" s="103">
        <f>IF(V51="","",ROUND(V51*IF(OR(Q51="",Q51="VND"),1,R51),0))</f>
        <v/>
      </c>
      <c r="X51" s="111" t="n"/>
      <c r="Y51" s="103">
        <f>IF(W51="","",W51+N(X51))</f>
        <v/>
      </c>
      <c r="Z51" s="103">
        <f>IF(B51="","",SUMIFS('NHAT KY THANH TOAN'!$G:$G,'NHAT KY THANH TOAN'!$B:$B,B51,'NHAT KY THANH TOAN'!$D:$D,"Hóa đơn"))</f>
        <v/>
      </c>
      <c r="AA51" s="103">
        <f>IF(B51="","",SUMIFS('NHAT KY THANH TOAN'!$G:$G,'NHAT KY THANH TOAN'!$B:$B,B51,'NHAT KY THANH TOAN'!$D:$D,"Thanh toán"))</f>
        <v/>
      </c>
      <c r="AB51" s="103">
        <f>IF(Y51="","",Y51-N(AA51))</f>
        <v/>
      </c>
      <c r="AC51" s="103">
        <f>IF(B51="","",N(Z51)-N(AA51))</f>
        <v/>
      </c>
      <c r="AD51" s="104">
        <f>IF(N(Y51)=0,"",N(AA51)/Y51)</f>
        <v/>
      </c>
      <c r="AE51" s="107" t="n"/>
      <c r="AF51" s="95">
        <f>IF(H51="","",TRIM(IF(AND(N(Y51)&gt;='THAM SO'!$B$10,AE51&lt;&gt;"Có"),"Chưa rà soát pháp lý; ","")&amp;IF(I51="","Thiếu MST đối tác; ","")&amp;IF(AG51="","Chưa ghi nơi lưu bản gốc; ","")&amp;IF(COUNTIFS('NHAT KY THANH TOAN'!$B:$B,B51,'NHAT KY THANH TOAN'!$D:$D,"Thanh toán",'NHAT KY THANH TOAN'!$F:$F,"Tiền mặt",'NHAT KY THANH TOAN'!$G:$G,"&gt;="&amp;'THAM SO'!$B$11)&gt;0,"Có khoản TT tiền mặt ≥ ngưỡng; ","")&amp;IF(AND(AB51&lt;&gt;"",N(AB51)&lt;0),"Thanh toán vượt giá trị HĐ; ","")))</f>
        <v/>
      </c>
      <c r="AG51" s="108" t="n"/>
      <c r="AH51" s="109" t="n"/>
      <c r="AI51" s="105">
        <f>IF(OR(H51="",O51="",AH51&lt;&gt;""),"",O51-'THAM SO'!$B$8)</f>
        <v/>
      </c>
      <c r="AJ51" s="95">
        <f>IF(H51="","",IF(AH51&lt;&gt;"","Đã thanh lý",IF(AND(N51&lt;&gt;"",N51&gt;'THAM SO'!$B$8),"Chưa hiệu lực",IF(O51="","Đang thực hiện",IF(O51&lt;'THAM SO'!$B$8,IF(P51="Có","Đã tự gia hạn – kiểm tra","Quá hạn – chưa thanh lý"),IF(O51-'THAM SO'!$B$8&lt;='THAM SO'!$B$9,"Sắp hết hạn","Đang thực hiện"))))))</f>
        <v/>
      </c>
      <c r="AK51" s="106">
        <f>IF(AND(O51="",AH51=""),"",EDATE(MAX(N(O51),N(AH51)),12*'THAM SO'!$B$12))</f>
        <v/>
      </c>
      <c r="AL51" s="110" t="n"/>
    </row>
    <row r="52" ht="15" customHeight="1" s="64">
      <c r="A52" s="93">
        <f>IF(H52="","",COUNTA($H$9:H52))</f>
        <v/>
      </c>
      <c r="B52" s="93">
        <f>IF(OR(D52="",G52=""),"",YEAR(G52)&amp;"/"&amp;D52&amp;"/"&amp;TEXT(SUMPRODUCT(($D$9:D52=D52)*(YEAR($G$9:G52)=YEAR(G52))),"000")&amp;"-"&amp;'THAM SO'!$B$7)</f>
        <v/>
      </c>
      <c r="C52" s="107" t="n"/>
      <c r="D52" s="107" t="n"/>
      <c r="E52" s="95">
        <f>IF(D52="","",IFERROR(VLOOKUP(D52,'THAM SO'!$D$6:$E$40,2,FALSE()),"Mã loại chưa khai báo"))</f>
        <v/>
      </c>
      <c r="F52" s="108" t="n"/>
      <c r="G52" s="109" t="n"/>
      <c r="H52" s="110" t="n"/>
      <c r="I52" s="108" t="n"/>
      <c r="J52" s="110" t="n"/>
      <c r="K52" s="108" t="n"/>
      <c r="L52" s="108" t="n"/>
      <c r="M52" s="108" t="n"/>
      <c r="N52" s="109" t="n"/>
      <c r="O52" s="109" t="n"/>
      <c r="P52" s="107" t="n"/>
      <c r="Q52" s="107" t="n"/>
      <c r="R52" s="111" t="n"/>
      <c r="S52" s="112" t="n"/>
      <c r="T52" s="113" t="n"/>
      <c r="U52" s="102">
        <f>IF(S52="","",ROUND(S52*N(T52),2))</f>
        <v/>
      </c>
      <c r="V52" s="102">
        <f>IF(S52="","",S52+U52)</f>
        <v/>
      </c>
      <c r="W52" s="103">
        <f>IF(V52="","",ROUND(V52*IF(OR(Q52="",Q52="VND"),1,R52),0))</f>
        <v/>
      </c>
      <c r="X52" s="111" t="n"/>
      <c r="Y52" s="103">
        <f>IF(W52="","",W52+N(X52))</f>
        <v/>
      </c>
      <c r="Z52" s="103">
        <f>IF(B52="","",SUMIFS('NHAT KY THANH TOAN'!$G:$G,'NHAT KY THANH TOAN'!$B:$B,B52,'NHAT KY THANH TOAN'!$D:$D,"Hóa đơn"))</f>
        <v/>
      </c>
      <c r="AA52" s="103">
        <f>IF(B52="","",SUMIFS('NHAT KY THANH TOAN'!$G:$G,'NHAT KY THANH TOAN'!$B:$B,B52,'NHAT KY THANH TOAN'!$D:$D,"Thanh toán"))</f>
        <v/>
      </c>
      <c r="AB52" s="103">
        <f>IF(Y52="","",Y52-N(AA52))</f>
        <v/>
      </c>
      <c r="AC52" s="103">
        <f>IF(B52="","",N(Z52)-N(AA52))</f>
        <v/>
      </c>
      <c r="AD52" s="104">
        <f>IF(N(Y52)=0,"",N(AA52)/Y52)</f>
        <v/>
      </c>
      <c r="AE52" s="107" t="n"/>
      <c r="AF52" s="95">
        <f>IF(H52="","",TRIM(IF(AND(N(Y52)&gt;='THAM SO'!$B$10,AE52&lt;&gt;"Có"),"Chưa rà soát pháp lý; ","")&amp;IF(I52="","Thiếu MST đối tác; ","")&amp;IF(AG52="","Chưa ghi nơi lưu bản gốc; ","")&amp;IF(COUNTIFS('NHAT KY THANH TOAN'!$B:$B,B52,'NHAT KY THANH TOAN'!$D:$D,"Thanh toán",'NHAT KY THANH TOAN'!$F:$F,"Tiền mặt",'NHAT KY THANH TOAN'!$G:$G,"&gt;="&amp;'THAM SO'!$B$11)&gt;0,"Có khoản TT tiền mặt ≥ ngưỡng; ","")&amp;IF(AND(AB52&lt;&gt;"",N(AB52)&lt;0),"Thanh toán vượt giá trị HĐ; ","")))</f>
        <v/>
      </c>
      <c r="AG52" s="108" t="n"/>
      <c r="AH52" s="109" t="n"/>
      <c r="AI52" s="105">
        <f>IF(OR(H52="",O52="",AH52&lt;&gt;""),"",O52-'THAM SO'!$B$8)</f>
        <v/>
      </c>
      <c r="AJ52" s="95">
        <f>IF(H52="","",IF(AH52&lt;&gt;"","Đã thanh lý",IF(AND(N52&lt;&gt;"",N52&gt;'THAM SO'!$B$8),"Chưa hiệu lực",IF(O52="","Đang thực hiện",IF(O52&lt;'THAM SO'!$B$8,IF(P52="Có","Đã tự gia hạn – kiểm tra","Quá hạn – chưa thanh lý"),IF(O52-'THAM SO'!$B$8&lt;='THAM SO'!$B$9,"Sắp hết hạn","Đang thực hiện"))))))</f>
        <v/>
      </c>
      <c r="AK52" s="106">
        <f>IF(AND(O52="",AH52=""),"",EDATE(MAX(N(O52),N(AH52)),12*'THAM SO'!$B$12))</f>
        <v/>
      </c>
      <c r="AL52" s="110" t="n"/>
    </row>
    <row r="53" ht="15" customHeight="1" s="64">
      <c r="A53" s="93">
        <f>IF(H53="","",COUNTA($H$9:H53))</f>
        <v/>
      </c>
      <c r="B53" s="93">
        <f>IF(OR(D53="",G53=""),"",YEAR(G53)&amp;"/"&amp;D53&amp;"/"&amp;TEXT(SUMPRODUCT(($D$9:D53=D53)*(YEAR($G$9:G53)=YEAR(G53))),"000")&amp;"-"&amp;'THAM SO'!$B$7)</f>
        <v/>
      </c>
      <c r="C53" s="107" t="n"/>
      <c r="D53" s="107" t="n"/>
      <c r="E53" s="95">
        <f>IF(D53="","",IFERROR(VLOOKUP(D53,'THAM SO'!$D$6:$E$40,2,FALSE()),"Mã loại chưa khai báo"))</f>
        <v/>
      </c>
      <c r="F53" s="108" t="n"/>
      <c r="G53" s="109" t="n"/>
      <c r="H53" s="110" t="n"/>
      <c r="I53" s="108" t="n"/>
      <c r="J53" s="110" t="n"/>
      <c r="K53" s="108" t="n"/>
      <c r="L53" s="108" t="n"/>
      <c r="M53" s="108" t="n"/>
      <c r="N53" s="109" t="n"/>
      <c r="O53" s="109" t="n"/>
      <c r="P53" s="107" t="n"/>
      <c r="Q53" s="107" t="n"/>
      <c r="R53" s="111" t="n"/>
      <c r="S53" s="112" t="n"/>
      <c r="T53" s="113" t="n"/>
      <c r="U53" s="102">
        <f>IF(S53="","",ROUND(S53*N(T53),2))</f>
        <v/>
      </c>
      <c r="V53" s="102">
        <f>IF(S53="","",S53+U53)</f>
        <v/>
      </c>
      <c r="W53" s="103">
        <f>IF(V53="","",ROUND(V53*IF(OR(Q53="",Q53="VND"),1,R53),0))</f>
        <v/>
      </c>
      <c r="X53" s="111" t="n"/>
      <c r="Y53" s="103">
        <f>IF(W53="","",W53+N(X53))</f>
        <v/>
      </c>
      <c r="Z53" s="103">
        <f>IF(B53="","",SUMIFS('NHAT KY THANH TOAN'!$G:$G,'NHAT KY THANH TOAN'!$B:$B,B53,'NHAT KY THANH TOAN'!$D:$D,"Hóa đơn"))</f>
        <v/>
      </c>
      <c r="AA53" s="103">
        <f>IF(B53="","",SUMIFS('NHAT KY THANH TOAN'!$G:$G,'NHAT KY THANH TOAN'!$B:$B,B53,'NHAT KY THANH TOAN'!$D:$D,"Thanh toán"))</f>
        <v/>
      </c>
      <c r="AB53" s="103">
        <f>IF(Y53="","",Y53-N(AA53))</f>
        <v/>
      </c>
      <c r="AC53" s="103">
        <f>IF(B53="","",N(Z53)-N(AA53))</f>
        <v/>
      </c>
      <c r="AD53" s="104">
        <f>IF(N(Y53)=0,"",N(AA53)/Y53)</f>
        <v/>
      </c>
      <c r="AE53" s="107" t="n"/>
      <c r="AF53" s="95">
        <f>IF(H53="","",TRIM(IF(AND(N(Y53)&gt;='THAM SO'!$B$10,AE53&lt;&gt;"Có"),"Chưa rà soát pháp lý; ","")&amp;IF(I53="","Thiếu MST đối tác; ","")&amp;IF(AG53="","Chưa ghi nơi lưu bản gốc; ","")&amp;IF(COUNTIFS('NHAT KY THANH TOAN'!$B:$B,B53,'NHAT KY THANH TOAN'!$D:$D,"Thanh toán",'NHAT KY THANH TOAN'!$F:$F,"Tiền mặt",'NHAT KY THANH TOAN'!$G:$G,"&gt;="&amp;'THAM SO'!$B$11)&gt;0,"Có khoản TT tiền mặt ≥ ngưỡng; ","")&amp;IF(AND(AB53&lt;&gt;"",N(AB53)&lt;0),"Thanh toán vượt giá trị HĐ; ","")))</f>
        <v/>
      </c>
      <c r="AG53" s="108" t="n"/>
      <c r="AH53" s="109" t="n"/>
      <c r="AI53" s="105">
        <f>IF(OR(H53="",O53="",AH53&lt;&gt;""),"",O53-'THAM SO'!$B$8)</f>
        <v/>
      </c>
      <c r="AJ53" s="95">
        <f>IF(H53="","",IF(AH53&lt;&gt;"","Đã thanh lý",IF(AND(N53&lt;&gt;"",N53&gt;'THAM SO'!$B$8),"Chưa hiệu lực",IF(O53="","Đang thực hiện",IF(O53&lt;'THAM SO'!$B$8,IF(P53="Có","Đã tự gia hạn – kiểm tra","Quá hạn – chưa thanh lý"),IF(O53-'THAM SO'!$B$8&lt;='THAM SO'!$B$9,"Sắp hết hạn","Đang thực hiện"))))))</f>
        <v/>
      </c>
      <c r="AK53" s="106">
        <f>IF(AND(O53="",AH53=""),"",EDATE(MAX(N(O53),N(AH53)),12*'THAM SO'!$B$12))</f>
        <v/>
      </c>
      <c r="AL53" s="110" t="n"/>
    </row>
    <row r="54" ht="15" customHeight="1" s="64">
      <c r="A54" s="93">
        <f>IF(H54="","",COUNTA($H$9:H54))</f>
        <v/>
      </c>
      <c r="B54" s="93">
        <f>IF(OR(D54="",G54=""),"",YEAR(G54)&amp;"/"&amp;D54&amp;"/"&amp;TEXT(SUMPRODUCT(($D$9:D54=D54)*(YEAR($G$9:G54)=YEAR(G54))),"000")&amp;"-"&amp;'THAM SO'!$B$7)</f>
        <v/>
      </c>
      <c r="C54" s="107" t="n"/>
      <c r="D54" s="107" t="n"/>
      <c r="E54" s="95">
        <f>IF(D54="","",IFERROR(VLOOKUP(D54,'THAM SO'!$D$6:$E$40,2,FALSE()),"Mã loại chưa khai báo"))</f>
        <v/>
      </c>
      <c r="F54" s="108" t="n"/>
      <c r="G54" s="109" t="n"/>
      <c r="H54" s="110" t="n"/>
      <c r="I54" s="108" t="n"/>
      <c r="J54" s="110" t="n"/>
      <c r="K54" s="108" t="n"/>
      <c r="L54" s="108" t="n"/>
      <c r="M54" s="108" t="n"/>
      <c r="N54" s="109" t="n"/>
      <c r="O54" s="109" t="n"/>
      <c r="P54" s="107" t="n"/>
      <c r="Q54" s="107" t="n"/>
      <c r="R54" s="111" t="n"/>
      <c r="S54" s="112" t="n"/>
      <c r="T54" s="113" t="n"/>
      <c r="U54" s="102">
        <f>IF(S54="","",ROUND(S54*N(T54),2))</f>
        <v/>
      </c>
      <c r="V54" s="102">
        <f>IF(S54="","",S54+U54)</f>
        <v/>
      </c>
      <c r="W54" s="103">
        <f>IF(V54="","",ROUND(V54*IF(OR(Q54="",Q54="VND"),1,R54),0))</f>
        <v/>
      </c>
      <c r="X54" s="111" t="n"/>
      <c r="Y54" s="103">
        <f>IF(W54="","",W54+N(X54))</f>
        <v/>
      </c>
      <c r="Z54" s="103">
        <f>IF(B54="","",SUMIFS('NHAT KY THANH TOAN'!$G:$G,'NHAT KY THANH TOAN'!$B:$B,B54,'NHAT KY THANH TOAN'!$D:$D,"Hóa đơn"))</f>
        <v/>
      </c>
      <c r="AA54" s="103">
        <f>IF(B54="","",SUMIFS('NHAT KY THANH TOAN'!$G:$G,'NHAT KY THANH TOAN'!$B:$B,B54,'NHAT KY THANH TOAN'!$D:$D,"Thanh toán"))</f>
        <v/>
      </c>
      <c r="AB54" s="103">
        <f>IF(Y54="","",Y54-N(AA54))</f>
        <v/>
      </c>
      <c r="AC54" s="103">
        <f>IF(B54="","",N(Z54)-N(AA54))</f>
        <v/>
      </c>
      <c r="AD54" s="104">
        <f>IF(N(Y54)=0,"",N(AA54)/Y54)</f>
        <v/>
      </c>
      <c r="AE54" s="107" t="n"/>
      <c r="AF54" s="95">
        <f>IF(H54="","",TRIM(IF(AND(N(Y54)&gt;='THAM SO'!$B$10,AE54&lt;&gt;"Có"),"Chưa rà soát pháp lý; ","")&amp;IF(I54="","Thiếu MST đối tác; ","")&amp;IF(AG54="","Chưa ghi nơi lưu bản gốc; ","")&amp;IF(COUNTIFS('NHAT KY THANH TOAN'!$B:$B,B54,'NHAT KY THANH TOAN'!$D:$D,"Thanh toán",'NHAT KY THANH TOAN'!$F:$F,"Tiền mặt",'NHAT KY THANH TOAN'!$G:$G,"&gt;="&amp;'THAM SO'!$B$11)&gt;0,"Có khoản TT tiền mặt ≥ ngưỡng; ","")&amp;IF(AND(AB54&lt;&gt;"",N(AB54)&lt;0),"Thanh toán vượt giá trị HĐ; ","")))</f>
        <v/>
      </c>
      <c r="AG54" s="108" t="n"/>
      <c r="AH54" s="109" t="n"/>
      <c r="AI54" s="105">
        <f>IF(OR(H54="",O54="",AH54&lt;&gt;""),"",O54-'THAM SO'!$B$8)</f>
        <v/>
      </c>
      <c r="AJ54" s="95">
        <f>IF(H54="","",IF(AH54&lt;&gt;"","Đã thanh lý",IF(AND(N54&lt;&gt;"",N54&gt;'THAM SO'!$B$8),"Chưa hiệu lực",IF(O54="","Đang thực hiện",IF(O54&lt;'THAM SO'!$B$8,IF(P54="Có","Đã tự gia hạn – kiểm tra","Quá hạn – chưa thanh lý"),IF(O54-'THAM SO'!$B$8&lt;='THAM SO'!$B$9,"Sắp hết hạn","Đang thực hiện"))))))</f>
        <v/>
      </c>
      <c r="AK54" s="106">
        <f>IF(AND(O54="",AH54=""),"",EDATE(MAX(N(O54),N(AH54)),12*'THAM SO'!$B$12))</f>
        <v/>
      </c>
      <c r="AL54" s="110" t="n"/>
    </row>
    <row r="55" ht="15" customHeight="1" s="64">
      <c r="A55" s="93">
        <f>IF(H55="","",COUNTA($H$9:H55))</f>
        <v/>
      </c>
      <c r="B55" s="93">
        <f>IF(OR(D55="",G55=""),"",YEAR(G55)&amp;"/"&amp;D55&amp;"/"&amp;TEXT(SUMPRODUCT(($D$9:D55=D55)*(YEAR($G$9:G55)=YEAR(G55))),"000")&amp;"-"&amp;'THAM SO'!$B$7)</f>
        <v/>
      </c>
      <c r="C55" s="107" t="n"/>
      <c r="D55" s="107" t="n"/>
      <c r="E55" s="95">
        <f>IF(D55="","",IFERROR(VLOOKUP(D55,'THAM SO'!$D$6:$E$40,2,FALSE()),"Mã loại chưa khai báo"))</f>
        <v/>
      </c>
      <c r="F55" s="108" t="n"/>
      <c r="G55" s="109" t="n"/>
      <c r="H55" s="110" t="n"/>
      <c r="I55" s="108" t="n"/>
      <c r="J55" s="110" t="n"/>
      <c r="K55" s="108" t="n"/>
      <c r="L55" s="108" t="n"/>
      <c r="M55" s="108" t="n"/>
      <c r="N55" s="109" t="n"/>
      <c r="O55" s="109" t="n"/>
      <c r="P55" s="107" t="n"/>
      <c r="Q55" s="107" t="n"/>
      <c r="R55" s="111" t="n"/>
      <c r="S55" s="112" t="n"/>
      <c r="T55" s="113" t="n"/>
      <c r="U55" s="102">
        <f>IF(S55="","",ROUND(S55*N(T55),2))</f>
        <v/>
      </c>
      <c r="V55" s="102">
        <f>IF(S55="","",S55+U55)</f>
        <v/>
      </c>
      <c r="W55" s="103">
        <f>IF(V55="","",ROUND(V55*IF(OR(Q55="",Q55="VND"),1,R55),0))</f>
        <v/>
      </c>
      <c r="X55" s="111" t="n"/>
      <c r="Y55" s="103">
        <f>IF(W55="","",W55+N(X55))</f>
        <v/>
      </c>
      <c r="Z55" s="103">
        <f>IF(B55="","",SUMIFS('NHAT KY THANH TOAN'!$G:$G,'NHAT KY THANH TOAN'!$B:$B,B55,'NHAT KY THANH TOAN'!$D:$D,"Hóa đơn"))</f>
        <v/>
      </c>
      <c r="AA55" s="103">
        <f>IF(B55="","",SUMIFS('NHAT KY THANH TOAN'!$G:$G,'NHAT KY THANH TOAN'!$B:$B,B55,'NHAT KY THANH TOAN'!$D:$D,"Thanh toán"))</f>
        <v/>
      </c>
      <c r="AB55" s="103">
        <f>IF(Y55="","",Y55-N(AA55))</f>
        <v/>
      </c>
      <c r="AC55" s="103">
        <f>IF(B55="","",N(Z55)-N(AA55))</f>
        <v/>
      </c>
      <c r="AD55" s="104">
        <f>IF(N(Y55)=0,"",N(AA55)/Y55)</f>
        <v/>
      </c>
      <c r="AE55" s="107" t="n"/>
      <c r="AF55" s="95">
        <f>IF(H55="","",TRIM(IF(AND(N(Y55)&gt;='THAM SO'!$B$10,AE55&lt;&gt;"Có"),"Chưa rà soát pháp lý; ","")&amp;IF(I55="","Thiếu MST đối tác; ","")&amp;IF(AG55="","Chưa ghi nơi lưu bản gốc; ","")&amp;IF(COUNTIFS('NHAT KY THANH TOAN'!$B:$B,B55,'NHAT KY THANH TOAN'!$D:$D,"Thanh toán",'NHAT KY THANH TOAN'!$F:$F,"Tiền mặt",'NHAT KY THANH TOAN'!$G:$G,"&gt;="&amp;'THAM SO'!$B$11)&gt;0,"Có khoản TT tiền mặt ≥ ngưỡng; ","")&amp;IF(AND(AB55&lt;&gt;"",N(AB55)&lt;0),"Thanh toán vượt giá trị HĐ; ","")))</f>
        <v/>
      </c>
      <c r="AG55" s="108" t="n"/>
      <c r="AH55" s="109" t="n"/>
      <c r="AI55" s="105">
        <f>IF(OR(H55="",O55="",AH55&lt;&gt;""),"",O55-'THAM SO'!$B$8)</f>
        <v/>
      </c>
      <c r="AJ55" s="95">
        <f>IF(H55="","",IF(AH55&lt;&gt;"","Đã thanh lý",IF(AND(N55&lt;&gt;"",N55&gt;'THAM SO'!$B$8),"Chưa hiệu lực",IF(O55="","Đang thực hiện",IF(O55&lt;'THAM SO'!$B$8,IF(P55="Có","Đã tự gia hạn – kiểm tra","Quá hạn – chưa thanh lý"),IF(O55-'THAM SO'!$B$8&lt;='THAM SO'!$B$9,"Sắp hết hạn","Đang thực hiện"))))))</f>
        <v/>
      </c>
      <c r="AK55" s="106">
        <f>IF(AND(O55="",AH55=""),"",EDATE(MAX(N(O55),N(AH55)),12*'THAM SO'!$B$12))</f>
        <v/>
      </c>
      <c r="AL55" s="110" t="n"/>
    </row>
    <row r="56" ht="15" customHeight="1" s="64">
      <c r="A56" s="93">
        <f>IF(H56="","",COUNTA($H$9:H56))</f>
        <v/>
      </c>
      <c r="B56" s="93">
        <f>IF(OR(D56="",G56=""),"",YEAR(G56)&amp;"/"&amp;D56&amp;"/"&amp;TEXT(SUMPRODUCT(($D$9:D56=D56)*(YEAR($G$9:G56)=YEAR(G56))),"000")&amp;"-"&amp;'THAM SO'!$B$7)</f>
        <v/>
      </c>
      <c r="C56" s="107" t="n"/>
      <c r="D56" s="107" t="n"/>
      <c r="E56" s="95">
        <f>IF(D56="","",IFERROR(VLOOKUP(D56,'THAM SO'!$D$6:$E$40,2,FALSE()),"Mã loại chưa khai báo"))</f>
        <v/>
      </c>
      <c r="F56" s="108" t="n"/>
      <c r="G56" s="109" t="n"/>
      <c r="H56" s="110" t="n"/>
      <c r="I56" s="108" t="n"/>
      <c r="J56" s="110" t="n"/>
      <c r="K56" s="108" t="n"/>
      <c r="L56" s="108" t="n"/>
      <c r="M56" s="108" t="n"/>
      <c r="N56" s="109" t="n"/>
      <c r="O56" s="109" t="n"/>
      <c r="P56" s="107" t="n"/>
      <c r="Q56" s="107" t="n"/>
      <c r="R56" s="111" t="n"/>
      <c r="S56" s="112" t="n"/>
      <c r="T56" s="113" t="n"/>
      <c r="U56" s="102">
        <f>IF(S56="","",ROUND(S56*N(T56),2))</f>
        <v/>
      </c>
      <c r="V56" s="102">
        <f>IF(S56="","",S56+U56)</f>
        <v/>
      </c>
      <c r="W56" s="103">
        <f>IF(V56="","",ROUND(V56*IF(OR(Q56="",Q56="VND"),1,R56),0))</f>
        <v/>
      </c>
      <c r="X56" s="111" t="n"/>
      <c r="Y56" s="103">
        <f>IF(W56="","",W56+N(X56))</f>
        <v/>
      </c>
      <c r="Z56" s="103">
        <f>IF(B56="","",SUMIFS('NHAT KY THANH TOAN'!$G:$G,'NHAT KY THANH TOAN'!$B:$B,B56,'NHAT KY THANH TOAN'!$D:$D,"Hóa đơn"))</f>
        <v/>
      </c>
      <c r="AA56" s="103">
        <f>IF(B56="","",SUMIFS('NHAT KY THANH TOAN'!$G:$G,'NHAT KY THANH TOAN'!$B:$B,B56,'NHAT KY THANH TOAN'!$D:$D,"Thanh toán"))</f>
        <v/>
      </c>
      <c r="AB56" s="103">
        <f>IF(Y56="","",Y56-N(AA56))</f>
        <v/>
      </c>
      <c r="AC56" s="103">
        <f>IF(B56="","",N(Z56)-N(AA56))</f>
        <v/>
      </c>
      <c r="AD56" s="104">
        <f>IF(N(Y56)=0,"",N(AA56)/Y56)</f>
        <v/>
      </c>
      <c r="AE56" s="107" t="n"/>
      <c r="AF56" s="95">
        <f>IF(H56="","",TRIM(IF(AND(N(Y56)&gt;='THAM SO'!$B$10,AE56&lt;&gt;"Có"),"Chưa rà soát pháp lý; ","")&amp;IF(I56="","Thiếu MST đối tác; ","")&amp;IF(AG56="","Chưa ghi nơi lưu bản gốc; ","")&amp;IF(COUNTIFS('NHAT KY THANH TOAN'!$B:$B,B56,'NHAT KY THANH TOAN'!$D:$D,"Thanh toán",'NHAT KY THANH TOAN'!$F:$F,"Tiền mặt",'NHAT KY THANH TOAN'!$G:$G,"&gt;="&amp;'THAM SO'!$B$11)&gt;0,"Có khoản TT tiền mặt ≥ ngưỡng; ","")&amp;IF(AND(AB56&lt;&gt;"",N(AB56)&lt;0),"Thanh toán vượt giá trị HĐ; ","")))</f>
        <v/>
      </c>
      <c r="AG56" s="108" t="n"/>
      <c r="AH56" s="109" t="n"/>
      <c r="AI56" s="105">
        <f>IF(OR(H56="",O56="",AH56&lt;&gt;""),"",O56-'THAM SO'!$B$8)</f>
        <v/>
      </c>
      <c r="AJ56" s="95">
        <f>IF(H56="","",IF(AH56&lt;&gt;"","Đã thanh lý",IF(AND(N56&lt;&gt;"",N56&gt;'THAM SO'!$B$8),"Chưa hiệu lực",IF(O56="","Đang thực hiện",IF(O56&lt;'THAM SO'!$B$8,IF(P56="Có","Đã tự gia hạn – kiểm tra","Quá hạn – chưa thanh lý"),IF(O56-'THAM SO'!$B$8&lt;='THAM SO'!$B$9,"Sắp hết hạn","Đang thực hiện"))))))</f>
        <v/>
      </c>
      <c r="AK56" s="106">
        <f>IF(AND(O56="",AH56=""),"",EDATE(MAX(N(O56),N(AH56)),12*'THAM SO'!$B$12))</f>
        <v/>
      </c>
      <c r="AL56" s="110" t="n"/>
    </row>
    <row r="57" ht="15" customHeight="1" s="64">
      <c r="A57" s="93">
        <f>IF(H57="","",COUNTA($H$9:H57))</f>
        <v/>
      </c>
      <c r="B57" s="93">
        <f>IF(OR(D57="",G57=""),"",YEAR(G57)&amp;"/"&amp;D57&amp;"/"&amp;TEXT(SUMPRODUCT(($D$9:D57=D57)*(YEAR($G$9:G57)=YEAR(G57))),"000")&amp;"-"&amp;'THAM SO'!$B$7)</f>
        <v/>
      </c>
      <c r="C57" s="107" t="n"/>
      <c r="D57" s="107" t="n"/>
      <c r="E57" s="95">
        <f>IF(D57="","",IFERROR(VLOOKUP(D57,'THAM SO'!$D$6:$E$40,2,FALSE()),"Mã loại chưa khai báo"))</f>
        <v/>
      </c>
      <c r="F57" s="108" t="n"/>
      <c r="G57" s="109" t="n"/>
      <c r="H57" s="110" t="n"/>
      <c r="I57" s="108" t="n"/>
      <c r="J57" s="110" t="n"/>
      <c r="K57" s="108" t="n"/>
      <c r="L57" s="108" t="n"/>
      <c r="M57" s="108" t="n"/>
      <c r="N57" s="109" t="n"/>
      <c r="O57" s="109" t="n"/>
      <c r="P57" s="107" t="n"/>
      <c r="Q57" s="107" t="n"/>
      <c r="R57" s="111" t="n"/>
      <c r="S57" s="112" t="n"/>
      <c r="T57" s="113" t="n"/>
      <c r="U57" s="102">
        <f>IF(S57="","",ROUND(S57*N(T57),2))</f>
        <v/>
      </c>
      <c r="V57" s="102">
        <f>IF(S57="","",S57+U57)</f>
        <v/>
      </c>
      <c r="W57" s="103">
        <f>IF(V57="","",ROUND(V57*IF(OR(Q57="",Q57="VND"),1,R57),0))</f>
        <v/>
      </c>
      <c r="X57" s="111" t="n"/>
      <c r="Y57" s="103">
        <f>IF(W57="","",W57+N(X57))</f>
        <v/>
      </c>
      <c r="Z57" s="103">
        <f>IF(B57="","",SUMIFS('NHAT KY THANH TOAN'!$G:$G,'NHAT KY THANH TOAN'!$B:$B,B57,'NHAT KY THANH TOAN'!$D:$D,"Hóa đơn"))</f>
        <v/>
      </c>
      <c r="AA57" s="103">
        <f>IF(B57="","",SUMIFS('NHAT KY THANH TOAN'!$G:$G,'NHAT KY THANH TOAN'!$B:$B,B57,'NHAT KY THANH TOAN'!$D:$D,"Thanh toán"))</f>
        <v/>
      </c>
      <c r="AB57" s="103">
        <f>IF(Y57="","",Y57-N(AA57))</f>
        <v/>
      </c>
      <c r="AC57" s="103">
        <f>IF(B57="","",N(Z57)-N(AA57))</f>
        <v/>
      </c>
      <c r="AD57" s="104">
        <f>IF(N(Y57)=0,"",N(AA57)/Y57)</f>
        <v/>
      </c>
      <c r="AE57" s="107" t="n"/>
      <c r="AF57" s="95">
        <f>IF(H57="","",TRIM(IF(AND(N(Y57)&gt;='THAM SO'!$B$10,AE57&lt;&gt;"Có"),"Chưa rà soát pháp lý; ","")&amp;IF(I57="","Thiếu MST đối tác; ","")&amp;IF(AG57="","Chưa ghi nơi lưu bản gốc; ","")&amp;IF(COUNTIFS('NHAT KY THANH TOAN'!$B:$B,B57,'NHAT KY THANH TOAN'!$D:$D,"Thanh toán",'NHAT KY THANH TOAN'!$F:$F,"Tiền mặt",'NHAT KY THANH TOAN'!$G:$G,"&gt;="&amp;'THAM SO'!$B$11)&gt;0,"Có khoản TT tiền mặt ≥ ngưỡng; ","")&amp;IF(AND(AB57&lt;&gt;"",N(AB57)&lt;0),"Thanh toán vượt giá trị HĐ; ","")))</f>
        <v/>
      </c>
      <c r="AG57" s="108" t="n"/>
      <c r="AH57" s="109" t="n"/>
      <c r="AI57" s="105">
        <f>IF(OR(H57="",O57="",AH57&lt;&gt;""),"",O57-'THAM SO'!$B$8)</f>
        <v/>
      </c>
      <c r="AJ57" s="95">
        <f>IF(H57="","",IF(AH57&lt;&gt;"","Đã thanh lý",IF(AND(N57&lt;&gt;"",N57&gt;'THAM SO'!$B$8),"Chưa hiệu lực",IF(O57="","Đang thực hiện",IF(O57&lt;'THAM SO'!$B$8,IF(P57="Có","Đã tự gia hạn – kiểm tra","Quá hạn – chưa thanh lý"),IF(O57-'THAM SO'!$B$8&lt;='THAM SO'!$B$9,"Sắp hết hạn","Đang thực hiện"))))))</f>
        <v/>
      </c>
      <c r="AK57" s="106">
        <f>IF(AND(O57="",AH57=""),"",EDATE(MAX(N(O57),N(AH57)),12*'THAM SO'!$B$12))</f>
        <v/>
      </c>
      <c r="AL57" s="110" t="n"/>
    </row>
    <row r="58" ht="15" customHeight="1" s="64">
      <c r="A58" s="93">
        <f>IF(H58="","",COUNTA($H$9:H58))</f>
        <v/>
      </c>
      <c r="B58" s="93">
        <f>IF(OR(D58="",G58=""),"",YEAR(G58)&amp;"/"&amp;D58&amp;"/"&amp;TEXT(SUMPRODUCT(($D$9:D58=D58)*(YEAR($G$9:G58)=YEAR(G58))),"000")&amp;"-"&amp;'THAM SO'!$B$7)</f>
        <v/>
      </c>
      <c r="C58" s="107" t="n"/>
      <c r="D58" s="107" t="n"/>
      <c r="E58" s="95">
        <f>IF(D58="","",IFERROR(VLOOKUP(D58,'THAM SO'!$D$6:$E$40,2,FALSE()),"Mã loại chưa khai báo"))</f>
        <v/>
      </c>
      <c r="F58" s="108" t="n"/>
      <c r="G58" s="109" t="n"/>
      <c r="H58" s="110" t="n"/>
      <c r="I58" s="108" t="n"/>
      <c r="J58" s="110" t="n"/>
      <c r="K58" s="108" t="n"/>
      <c r="L58" s="108" t="n"/>
      <c r="M58" s="108" t="n"/>
      <c r="N58" s="109" t="n"/>
      <c r="O58" s="109" t="n"/>
      <c r="P58" s="107" t="n"/>
      <c r="Q58" s="107" t="n"/>
      <c r="R58" s="111" t="n"/>
      <c r="S58" s="112" t="n"/>
      <c r="T58" s="113" t="n"/>
      <c r="U58" s="102">
        <f>IF(S58="","",ROUND(S58*N(T58),2))</f>
        <v/>
      </c>
      <c r="V58" s="102">
        <f>IF(S58="","",S58+U58)</f>
        <v/>
      </c>
      <c r="W58" s="103">
        <f>IF(V58="","",ROUND(V58*IF(OR(Q58="",Q58="VND"),1,R58),0))</f>
        <v/>
      </c>
      <c r="X58" s="111" t="n"/>
      <c r="Y58" s="103">
        <f>IF(W58="","",W58+N(X58))</f>
        <v/>
      </c>
      <c r="Z58" s="103">
        <f>IF(B58="","",SUMIFS('NHAT KY THANH TOAN'!$G:$G,'NHAT KY THANH TOAN'!$B:$B,B58,'NHAT KY THANH TOAN'!$D:$D,"Hóa đơn"))</f>
        <v/>
      </c>
      <c r="AA58" s="103">
        <f>IF(B58="","",SUMIFS('NHAT KY THANH TOAN'!$G:$G,'NHAT KY THANH TOAN'!$B:$B,B58,'NHAT KY THANH TOAN'!$D:$D,"Thanh toán"))</f>
        <v/>
      </c>
      <c r="AB58" s="103">
        <f>IF(Y58="","",Y58-N(AA58))</f>
        <v/>
      </c>
      <c r="AC58" s="103">
        <f>IF(B58="","",N(Z58)-N(AA58))</f>
        <v/>
      </c>
      <c r="AD58" s="104">
        <f>IF(N(Y58)=0,"",N(AA58)/Y58)</f>
        <v/>
      </c>
      <c r="AE58" s="107" t="n"/>
      <c r="AF58" s="95">
        <f>IF(H58="","",TRIM(IF(AND(N(Y58)&gt;='THAM SO'!$B$10,AE58&lt;&gt;"Có"),"Chưa rà soát pháp lý; ","")&amp;IF(I58="","Thiếu MST đối tác; ","")&amp;IF(AG58="","Chưa ghi nơi lưu bản gốc; ","")&amp;IF(COUNTIFS('NHAT KY THANH TOAN'!$B:$B,B58,'NHAT KY THANH TOAN'!$D:$D,"Thanh toán",'NHAT KY THANH TOAN'!$F:$F,"Tiền mặt",'NHAT KY THANH TOAN'!$G:$G,"&gt;="&amp;'THAM SO'!$B$11)&gt;0,"Có khoản TT tiền mặt ≥ ngưỡng; ","")&amp;IF(AND(AB58&lt;&gt;"",N(AB58)&lt;0),"Thanh toán vượt giá trị HĐ; ","")))</f>
        <v/>
      </c>
      <c r="AG58" s="108" t="n"/>
      <c r="AH58" s="109" t="n"/>
      <c r="AI58" s="105">
        <f>IF(OR(H58="",O58="",AH58&lt;&gt;""),"",O58-'THAM SO'!$B$8)</f>
        <v/>
      </c>
      <c r="AJ58" s="95">
        <f>IF(H58="","",IF(AH58&lt;&gt;"","Đã thanh lý",IF(AND(N58&lt;&gt;"",N58&gt;'THAM SO'!$B$8),"Chưa hiệu lực",IF(O58="","Đang thực hiện",IF(O58&lt;'THAM SO'!$B$8,IF(P58="Có","Đã tự gia hạn – kiểm tra","Quá hạn – chưa thanh lý"),IF(O58-'THAM SO'!$B$8&lt;='THAM SO'!$B$9,"Sắp hết hạn","Đang thực hiện"))))))</f>
        <v/>
      </c>
      <c r="AK58" s="106">
        <f>IF(AND(O58="",AH58=""),"",EDATE(MAX(N(O58),N(AH58)),12*'THAM SO'!$B$12))</f>
        <v/>
      </c>
      <c r="AL58" s="110" t="n"/>
    </row>
    <row r="59" ht="15" customHeight="1" s="64">
      <c r="A59" s="93">
        <f>IF(H59="","",COUNTA($H$9:H59))</f>
        <v/>
      </c>
      <c r="B59" s="93">
        <f>IF(OR(D59="",G59=""),"",YEAR(G59)&amp;"/"&amp;D59&amp;"/"&amp;TEXT(SUMPRODUCT(($D$9:D59=D59)*(YEAR($G$9:G59)=YEAR(G59))),"000")&amp;"-"&amp;'THAM SO'!$B$7)</f>
        <v/>
      </c>
      <c r="C59" s="107" t="n"/>
      <c r="D59" s="107" t="n"/>
      <c r="E59" s="95">
        <f>IF(D59="","",IFERROR(VLOOKUP(D59,'THAM SO'!$D$6:$E$40,2,FALSE()),"Mã loại chưa khai báo"))</f>
        <v/>
      </c>
      <c r="F59" s="108" t="n"/>
      <c r="G59" s="109" t="n"/>
      <c r="H59" s="110" t="n"/>
      <c r="I59" s="108" t="n"/>
      <c r="J59" s="110" t="n"/>
      <c r="K59" s="108" t="n"/>
      <c r="L59" s="108" t="n"/>
      <c r="M59" s="108" t="n"/>
      <c r="N59" s="109" t="n"/>
      <c r="O59" s="109" t="n"/>
      <c r="P59" s="107" t="n"/>
      <c r="Q59" s="107" t="n"/>
      <c r="R59" s="111" t="n"/>
      <c r="S59" s="112" t="n"/>
      <c r="T59" s="113" t="n"/>
      <c r="U59" s="102">
        <f>IF(S59="","",ROUND(S59*N(T59),2))</f>
        <v/>
      </c>
      <c r="V59" s="102">
        <f>IF(S59="","",S59+U59)</f>
        <v/>
      </c>
      <c r="W59" s="103">
        <f>IF(V59="","",ROUND(V59*IF(OR(Q59="",Q59="VND"),1,R59),0))</f>
        <v/>
      </c>
      <c r="X59" s="111" t="n"/>
      <c r="Y59" s="103">
        <f>IF(W59="","",W59+N(X59))</f>
        <v/>
      </c>
      <c r="Z59" s="103">
        <f>IF(B59="","",SUMIFS('NHAT KY THANH TOAN'!$G:$G,'NHAT KY THANH TOAN'!$B:$B,B59,'NHAT KY THANH TOAN'!$D:$D,"Hóa đơn"))</f>
        <v/>
      </c>
      <c r="AA59" s="103">
        <f>IF(B59="","",SUMIFS('NHAT KY THANH TOAN'!$G:$G,'NHAT KY THANH TOAN'!$B:$B,B59,'NHAT KY THANH TOAN'!$D:$D,"Thanh toán"))</f>
        <v/>
      </c>
      <c r="AB59" s="103">
        <f>IF(Y59="","",Y59-N(AA59))</f>
        <v/>
      </c>
      <c r="AC59" s="103">
        <f>IF(B59="","",N(Z59)-N(AA59))</f>
        <v/>
      </c>
      <c r="AD59" s="104">
        <f>IF(N(Y59)=0,"",N(AA59)/Y59)</f>
        <v/>
      </c>
      <c r="AE59" s="107" t="n"/>
      <c r="AF59" s="95">
        <f>IF(H59="","",TRIM(IF(AND(N(Y59)&gt;='THAM SO'!$B$10,AE59&lt;&gt;"Có"),"Chưa rà soát pháp lý; ","")&amp;IF(I59="","Thiếu MST đối tác; ","")&amp;IF(AG59="","Chưa ghi nơi lưu bản gốc; ","")&amp;IF(COUNTIFS('NHAT KY THANH TOAN'!$B:$B,B59,'NHAT KY THANH TOAN'!$D:$D,"Thanh toán",'NHAT KY THANH TOAN'!$F:$F,"Tiền mặt",'NHAT KY THANH TOAN'!$G:$G,"&gt;="&amp;'THAM SO'!$B$11)&gt;0,"Có khoản TT tiền mặt ≥ ngưỡng; ","")&amp;IF(AND(AB59&lt;&gt;"",N(AB59)&lt;0),"Thanh toán vượt giá trị HĐ; ","")))</f>
        <v/>
      </c>
      <c r="AG59" s="108" t="n"/>
      <c r="AH59" s="109" t="n"/>
      <c r="AI59" s="105">
        <f>IF(OR(H59="",O59="",AH59&lt;&gt;""),"",O59-'THAM SO'!$B$8)</f>
        <v/>
      </c>
      <c r="AJ59" s="95">
        <f>IF(H59="","",IF(AH59&lt;&gt;"","Đã thanh lý",IF(AND(N59&lt;&gt;"",N59&gt;'THAM SO'!$B$8),"Chưa hiệu lực",IF(O59="","Đang thực hiện",IF(O59&lt;'THAM SO'!$B$8,IF(P59="Có","Đã tự gia hạn – kiểm tra","Quá hạn – chưa thanh lý"),IF(O59-'THAM SO'!$B$8&lt;='THAM SO'!$B$9,"Sắp hết hạn","Đang thực hiện"))))))</f>
        <v/>
      </c>
      <c r="AK59" s="106">
        <f>IF(AND(O59="",AH59=""),"",EDATE(MAX(N(O59),N(AH59)),12*'THAM SO'!$B$12))</f>
        <v/>
      </c>
      <c r="AL59" s="110" t="n"/>
    </row>
    <row r="60" ht="15" customHeight="1" s="64">
      <c r="A60" s="93">
        <f>IF(H60="","",COUNTA($H$9:H60))</f>
        <v/>
      </c>
      <c r="B60" s="93">
        <f>IF(OR(D60="",G60=""),"",YEAR(G60)&amp;"/"&amp;D60&amp;"/"&amp;TEXT(SUMPRODUCT(($D$9:D60=D60)*(YEAR($G$9:G60)=YEAR(G60))),"000")&amp;"-"&amp;'THAM SO'!$B$7)</f>
        <v/>
      </c>
      <c r="C60" s="107" t="n"/>
      <c r="D60" s="107" t="n"/>
      <c r="E60" s="95">
        <f>IF(D60="","",IFERROR(VLOOKUP(D60,'THAM SO'!$D$6:$E$40,2,FALSE()),"Mã loại chưa khai báo"))</f>
        <v/>
      </c>
      <c r="F60" s="108" t="n"/>
      <c r="G60" s="109" t="n"/>
      <c r="H60" s="110" t="n"/>
      <c r="I60" s="108" t="n"/>
      <c r="J60" s="110" t="n"/>
      <c r="K60" s="108" t="n"/>
      <c r="L60" s="108" t="n"/>
      <c r="M60" s="108" t="n"/>
      <c r="N60" s="109" t="n"/>
      <c r="O60" s="109" t="n"/>
      <c r="P60" s="107" t="n"/>
      <c r="Q60" s="107" t="n"/>
      <c r="R60" s="111" t="n"/>
      <c r="S60" s="112" t="n"/>
      <c r="T60" s="113" t="n"/>
      <c r="U60" s="102">
        <f>IF(S60="","",ROUND(S60*N(T60),2))</f>
        <v/>
      </c>
      <c r="V60" s="102">
        <f>IF(S60="","",S60+U60)</f>
        <v/>
      </c>
      <c r="W60" s="103">
        <f>IF(V60="","",ROUND(V60*IF(OR(Q60="",Q60="VND"),1,R60),0))</f>
        <v/>
      </c>
      <c r="X60" s="111" t="n"/>
      <c r="Y60" s="103">
        <f>IF(W60="","",W60+N(X60))</f>
        <v/>
      </c>
      <c r="Z60" s="103">
        <f>IF(B60="","",SUMIFS('NHAT KY THANH TOAN'!$G:$G,'NHAT KY THANH TOAN'!$B:$B,B60,'NHAT KY THANH TOAN'!$D:$D,"Hóa đơn"))</f>
        <v/>
      </c>
      <c r="AA60" s="103">
        <f>IF(B60="","",SUMIFS('NHAT KY THANH TOAN'!$G:$G,'NHAT KY THANH TOAN'!$B:$B,B60,'NHAT KY THANH TOAN'!$D:$D,"Thanh toán"))</f>
        <v/>
      </c>
      <c r="AB60" s="103">
        <f>IF(Y60="","",Y60-N(AA60))</f>
        <v/>
      </c>
      <c r="AC60" s="103">
        <f>IF(B60="","",N(Z60)-N(AA60))</f>
        <v/>
      </c>
      <c r="AD60" s="104">
        <f>IF(N(Y60)=0,"",N(AA60)/Y60)</f>
        <v/>
      </c>
      <c r="AE60" s="107" t="n"/>
      <c r="AF60" s="95">
        <f>IF(H60="","",TRIM(IF(AND(N(Y60)&gt;='THAM SO'!$B$10,AE60&lt;&gt;"Có"),"Chưa rà soát pháp lý; ","")&amp;IF(I60="","Thiếu MST đối tác; ","")&amp;IF(AG60="","Chưa ghi nơi lưu bản gốc; ","")&amp;IF(COUNTIFS('NHAT KY THANH TOAN'!$B:$B,B60,'NHAT KY THANH TOAN'!$D:$D,"Thanh toán",'NHAT KY THANH TOAN'!$F:$F,"Tiền mặt",'NHAT KY THANH TOAN'!$G:$G,"&gt;="&amp;'THAM SO'!$B$11)&gt;0,"Có khoản TT tiền mặt ≥ ngưỡng; ","")&amp;IF(AND(AB60&lt;&gt;"",N(AB60)&lt;0),"Thanh toán vượt giá trị HĐ; ","")))</f>
        <v/>
      </c>
      <c r="AG60" s="108" t="n"/>
      <c r="AH60" s="109" t="n"/>
      <c r="AI60" s="105">
        <f>IF(OR(H60="",O60="",AH60&lt;&gt;""),"",O60-'THAM SO'!$B$8)</f>
        <v/>
      </c>
      <c r="AJ60" s="95">
        <f>IF(H60="","",IF(AH60&lt;&gt;"","Đã thanh lý",IF(AND(N60&lt;&gt;"",N60&gt;'THAM SO'!$B$8),"Chưa hiệu lực",IF(O60="","Đang thực hiện",IF(O60&lt;'THAM SO'!$B$8,IF(P60="Có","Đã tự gia hạn – kiểm tra","Quá hạn – chưa thanh lý"),IF(O60-'THAM SO'!$B$8&lt;='THAM SO'!$B$9,"Sắp hết hạn","Đang thực hiện"))))))</f>
        <v/>
      </c>
      <c r="AK60" s="106">
        <f>IF(AND(O60="",AH60=""),"",EDATE(MAX(N(O60),N(AH60)),12*'THAM SO'!$B$12))</f>
        <v/>
      </c>
      <c r="AL60" s="110" t="n"/>
    </row>
    <row r="61" ht="15" customHeight="1" s="64">
      <c r="A61" s="93">
        <f>IF(H61="","",COUNTA($H$9:H61))</f>
        <v/>
      </c>
      <c r="B61" s="93">
        <f>IF(OR(D61="",G61=""),"",YEAR(G61)&amp;"/"&amp;D61&amp;"/"&amp;TEXT(SUMPRODUCT(($D$9:D61=D61)*(YEAR($G$9:G61)=YEAR(G61))),"000")&amp;"-"&amp;'THAM SO'!$B$7)</f>
        <v/>
      </c>
      <c r="C61" s="107" t="n"/>
      <c r="D61" s="107" t="n"/>
      <c r="E61" s="95">
        <f>IF(D61="","",IFERROR(VLOOKUP(D61,'THAM SO'!$D$6:$E$40,2,FALSE()),"Mã loại chưa khai báo"))</f>
        <v/>
      </c>
      <c r="F61" s="108" t="n"/>
      <c r="G61" s="109" t="n"/>
      <c r="H61" s="110" t="n"/>
      <c r="I61" s="108" t="n"/>
      <c r="J61" s="110" t="n"/>
      <c r="K61" s="108" t="n"/>
      <c r="L61" s="108" t="n"/>
      <c r="M61" s="108" t="n"/>
      <c r="N61" s="109" t="n"/>
      <c r="O61" s="109" t="n"/>
      <c r="P61" s="107" t="n"/>
      <c r="Q61" s="107" t="n"/>
      <c r="R61" s="111" t="n"/>
      <c r="S61" s="112" t="n"/>
      <c r="T61" s="113" t="n"/>
      <c r="U61" s="102">
        <f>IF(S61="","",ROUND(S61*N(T61),2))</f>
        <v/>
      </c>
      <c r="V61" s="102">
        <f>IF(S61="","",S61+U61)</f>
        <v/>
      </c>
      <c r="W61" s="103">
        <f>IF(V61="","",ROUND(V61*IF(OR(Q61="",Q61="VND"),1,R61),0))</f>
        <v/>
      </c>
      <c r="X61" s="111" t="n"/>
      <c r="Y61" s="103">
        <f>IF(W61="","",W61+N(X61))</f>
        <v/>
      </c>
      <c r="Z61" s="103">
        <f>IF(B61="","",SUMIFS('NHAT KY THANH TOAN'!$G:$G,'NHAT KY THANH TOAN'!$B:$B,B61,'NHAT KY THANH TOAN'!$D:$D,"Hóa đơn"))</f>
        <v/>
      </c>
      <c r="AA61" s="103">
        <f>IF(B61="","",SUMIFS('NHAT KY THANH TOAN'!$G:$G,'NHAT KY THANH TOAN'!$B:$B,B61,'NHAT KY THANH TOAN'!$D:$D,"Thanh toán"))</f>
        <v/>
      </c>
      <c r="AB61" s="103">
        <f>IF(Y61="","",Y61-N(AA61))</f>
        <v/>
      </c>
      <c r="AC61" s="103">
        <f>IF(B61="","",N(Z61)-N(AA61))</f>
        <v/>
      </c>
      <c r="AD61" s="104">
        <f>IF(N(Y61)=0,"",N(AA61)/Y61)</f>
        <v/>
      </c>
      <c r="AE61" s="107" t="n"/>
      <c r="AF61" s="95">
        <f>IF(H61="","",TRIM(IF(AND(N(Y61)&gt;='THAM SO'!$B$10,AE61&lt;&gt;"Có"),"Chưa rà soát pháp lý; ","")&amp;IF(I61="","Thiếu MST đối tác; ","")&amp;IF(AG61="","Chưa ghi nơi lưu bản gốc; ","")&amp;IF(COUNTIFS('NHAT KY THANH TOAN'!$B:$B,B61,'NHAT KY THANH TOAN'!$D:$D,"Thanh toán",'NHAT KY THANH TOAN'!$F:$F,"Tiền mặt",'NHAT KY THANH TOAN'!$G:$G,"&gt;="&amp;'THAM SO'!$B$11)&gt;0,"Có khoản TT tiền mặt ≥ ngưỡng; ","")&amp;IF(AND(AB61&lt;&gt;"",N(AB61)&lt;0),"Thanh toán vượt giá trị HĐ; ","")))</f>
        <v/>
      </c>
      <c r="AG61" s="108" t="n"/>
      <c r="AH61" s="109" t="n"/>
      <c r="AI61" s="105">
        <f>IF(OR(H61="",O61="",AH61&lt;&gt;""),"",O61-'THAM SO'!$B$8)</f>
        <v/>
      </c>
      <c r="AJ61" s="95">
        <f>IF(H61="","",IF(AH61&lt;&gt;"","Đã thanh lý",IF(AND(N61&lt;&gt;"",N61&gt;'THAM SO'!$B$8),"Chưa hiệu lực",IF(O61="","Đang thực hiện",IF(O61&lt;'THAM SO'!$B$8,IF(P61="Có","Đã tự gia hạn – kiểm tra","Quá hạn – chưa thanh lý"),IF(O61-'THAM SO'!$B$8&lt;='THAM SO'!$B$9,"Sắp hết hạn","Đang thực hiện"))))))</f>
        <v/>
      </c>
      <c r="AK61" s="106">
        <f>IF(AND(O61="",AH61=""),"",EDATE(MAX(N(O61),N(AH61)),12*'THAM SO'!$B$12))</f>
        <v/>
      </c>
      <c r="AL61" s="110" t="n"/>
    </row>
    <row r="62" ht="15" customHeight="1" s="64">
      <c r="A62" s="93">
        <f>IF(H62="","",COUNTA($H$9:H62))</f>
        <v/>
      </c>
      <c r="B62" s="93">
        <f>IF(OR(D62="",G62=""),"",YEAR(G62)&amp;"/"&amp;D62&amp;"/"&amp;TEXT(SUMPRODUCT(($D$9:D62=D62)*(YEAR($G$9:G62)=YEAR(G62))),"000")&amp;"-"&amp;'THAM SO'!$B$7)</f>
        <v/>
      </c>
      <c r="C62" s="107" t="n"/>
      <c r="D62" s="107" t="n"/>
      <c r="E62" s="95">
        <f>IF(D62="","",IFERROR(VLOOKUP(D62,'THAM SO'!$D$6:$E$40,2,FALSE()),"Mã loại chưa khai báo"))</f>
        <v/>
      </c>
      <c r="F62" s="108" t="n"/>
      <c r="G62" s="109" t="n"/>
      <c r="H62" s="110" t="n"/>
      <c r="I62" s="108" t="n"/>
      <c r="J62" s="110" t="n"/>
      <c r="K62" s="108" t="n"/>
      <c r="L62" s="108" t="n"/>
      <c r="M62" s="108" t="n"/>
      <c r="N62" s="109" t="n"/>
      <c r="O62" s="109" t="n"/>
      <c r="P62" s="107" t="n"/>
      <c r="Q62" s="107" t="n"/>
      <c r="R62" s="111" t="n"/>
      <c r="S62" s="112" t="n"/>
      <c r="T62" s="113" t="n"/>
      <c r="U62" s="102">
        <f>IF(S62="","",ROUND(S62*N(T62),2))</f>
        <v/>
      </c>
      <c r="V62" s="102">
        <f>IF(S62="","",S62+U62)</f>
        <v/>
      </c>
      <c r="W62" s="103">
        <f>IF(V62="","",ROUND(V62*IF(OR(Q62="",Q62="VND"),1,R62),0))</f>
        <v/>
      </c>
      <c r="X62" s="111" t="n"/>
      <c r="Y62" s="103">
        <f>IF(W62="","",W62+N(X62))</f>
        <v/>
      </c>
      <c r="Z62" s="103">
        <f>IF(B62="","",SUMIFS('NHAT KY THANH TOAN'!$G:$G,'NHAT KY THANH TOAN'!$B:$B,B62,'NHAT KY THANH TOAN'!$D:$D,"Hóa đơn"))</f>
        <v/>
      </c>
      <c r="AA62" s="103">
        <f>IF(B62="","",SUMIFS('NHAT KY THANH TOAN'!$G:$G,'NHAT KY THANH TOAN'!$B:$B,B62,'NHAT KY THANH TOAN'!$D:$D,"Thanh toán"))</f>
        <v/>
      </c>
      <c r="AB62" s="103">
        <f>IF(Y62="","",Y62-N(AA62))</f>
        <v/>
      </c>
      <c r="AC62" s="103">
        <f>IF(B62="","",N(Z62)-N(AA62))</f>
        <v/>
      </c>
      <c r="AD62" s="104">
        <f>IF(N(Y62)=0,"",N(AA62)/Y62)</f>
        <v/>
      </c>
      <c r="AE62" s="107" t="n"/>
      <c r="AF62" s="95">
        <f>IF(H62="","",TRIM(IF(AND(N(Y62)&gt;='THAM SO'!$B$10,AE62&lt;&gt;"Có"),"Chưa rà soát pháp lý; ","")&amp;IF(I62="","Thiếu MST đối tác; ","")&amp;IF(AG62="","Chưa ghi nơi lưu bản gốc; ","")&amp;IF(COUNTIFS('NHAT KY THANH TOAN'!$B:$B,B62,'NHAT KY THANH TOAN'!$D:$D,"Thanh toán",'NHAT KY THANH TOAN'!$F:$F,"Tiền mặt",'NHAT KY THANH TOAN'!$G:$G,"&gt;="&amp;'THAM SO'!$B$11)&gt;0,"Có khoản TT tiền mặt ≥ ngưỡng; ","")&amp;IF(AND(AB62&lt;&gt;"",N(AB62)&lt;0),"Thanh toán vượt giá trị HĐ; ","")))</f>
        <v/>
      </c>
      <c r="AG62" s="108" t="n"/>
      <c r="AH62" s="109" t="n"/>
      <c r="AI62" s="105">
        <f>IF(OR(H62="",O62="",AH62&lt;&gt;""),"",O62-'THAM SO'!$B$8)</f>
        <v/>
      </c>
      <c r="AJ62" s="95">
        <f>IF(H62="","",IF(AH62&lt;&gt;"","Đã thanh lý",IF(AND(N62&lt;&gt;"",N62&gt;'THAM SO'!$B$8),"Chưa hiệu lực",IF(O62="","Đang thực hiện",IF(O62&lt;'THAM SO'!$B$8,IF(P62="Có","Đã tự gia hạn – kiểm tra","Quá hạn – chưa thanh lý"),IF(O62-'THAM SO'!$B$8&lt;='THAM SO'!$B$9,"Sắp hết hạn","Đang thực hiện"))))))</f>
        <v/>
      </c>
      <c r="AK62" s="106">
        <f>IF(AND(O62="",AH62=""),"",EDATE(MAX(N(O62),N(AH62)),12*'THAM SO'!$B$12))</f>
        <v/>
      </c>
      <c r="AL62" s="110" t="n"/>
    </row>
    <row r="63" ht="15" customHeight="1" s="64">
      <c r="A63" s="93">
        <f>IF(H63="","",COUNTA($H$9:H63))</f>
        <v/>
      </c>
      <c r="B63" s="93">
        <f>IF(OR(D63="",G63=""),"",YEAR(G63)&amp;"/"&amp;D63&amp;"/"&amp;TEXT(SUMPRODUCT(($D$9:D63=D63)*(YEAR($G$9:G63)=YEAR(G63))),"000")&amp;"-"&amp;'THAM SO'!$B$7)</f>
        <v/>
      </c>
      <c r="C63" s="107" t="n"/>
      <c r="D63" s="107" t="n"/>
      <c r="E63" s="95">
        <f>IF(D63="","",IFERROR(VLOOKUP(D63,'THAM SO'!$D$6:$E$40,2,FALSE()),"Mã loại chưa khai báo"))</f>
        <v/>
      </c>
      <c r="F63" s="108" t="n"/>
      <c r="G63" s="109" t="n"/>
      <c r="H63" s="110" t="n"/>
      <c r="I63" s="108" t="n"/>
      <c r="J63" s="110" t="n"/>
      <c r="K63" s="108" t="n"/>
      <c r="L63" s="108" t="n"/>
      <c r="M63" s="108" t="n"/>
      <c r="N63" s="109" t="n"/>
      <c r="O63" s="109" t="n"/>
      <c r="P63" s="107" t="n"/>
      <c r="Q63" s="107" t="n"/>
      <c r="R63" s="111" t="n"/>
      <c r="S63" s="112" t="n"/>
      <c r="T63" s="113" t="n"/>
      <c r="U63" s="102">
        <f>IF(S63="","",ROUND(S63*N(T63),2))</f>
        <v/>
      </c>
      <c r="V63" s="102">
        <f>IF(S63="","",S63+U63)</f>
        <v/>
      </c>
      <c r="W63" s="103">
        <f>IF(V63="","",ROUND(V63*IF(OR(Q63="",Q63="VND"),1,R63),0))</f>
        <v/>
      </c>
      <c r="X63" s="111" t="n"/>
      <c r="Y63" s="103">
        <f>IF(W63="","",W63+N(X63))</f>
        <v/>
      </c>
      <c r="Z63" s="103">
        <f>IF(B63="","",SUMIFS('NHAT KY THANH TOAN'!$G:$G,'NHAT KY THANH TOAN'!$B:$B,B63,'NHAT KY THANH TOAN'!$D:$D,"Hóa đơn"))</f>
        <v/>
      </c>
      <c r="AA63" s="103">
        <f>IF(B63="","",SUMIFS('NHAT KY THANH TOAN'!$G:$G,'NHAT KY THANH TOAN'!$B:$B,B63,'NHAT KY THANH TOAN'!$D:$D,"Thanh toán"))</f>
        <v/>
      </c>
      <c r="AB63" s="103">
        <f>IF(Y63="","",Y63-N(AA63))</f>
        <v/>
      </c>
      <c r="AC63" s="103">
        <f>IF(B63="","",N(Z63)-N(AA63))</f>
        <v/>
      </c>
      <c r="AD63" s="104">
        <f>IF(N(Y63)=0,"",N(AA63)/Y63)</f>
        <v/>
      </c>
      <c r="AE63" s="107" t="n"/>
      <c r="AF63" s="95">
        <f>IF(H63="","",TRIM(IF(AND(N(Y63)&gt;='THAM SO'!$B$10,AE63&lt;&gt;"Có"),"Chưa rà soát pháp lý; ","")&amp;IF(I63="","Thiếu MST đối tác; ","")&amp;IF(AG63="","Chưa ghi nơi lưu bản gốc; ","")&amp;IF(COUNTIFS('NHAT KY THANH TOAN'!$B:$B,B63,'NHAT KY THANH TOAN'!$D:$D,"Thanh toán",'NHAT KY THANH TOAN'!$F:$F,"Tiền mặt",'NHAT KY THANH TOAN'!$G:$G,"&gt;="&amp;'THAM SO'!$B$11)&gt;0,"Có khoản TT tiền mặt ≥ ngưỡng; ","")&amp;IF(AND(AB63&lt;&gt;"",N(AB63)&lt;0),"Thanh toán vượt giá trị HĐ; ","")))</f>
        <v/>
      </c>
      <c r="AG63" s="108" t="n"/>
      <c r="AH63" s="109" t="n"/>
      <c r="AI63" s="105">
        <f>IF(OR(H63="",O63="",AH63&lt;&gt;""),"",O63-'THAM SO'!$B$8)</f>
        <v/>
      </c>
      <c r="AJ63" s="95">
        <f>IF(H63="","",IF(AH63&lt;&gt;"","Đã thanh lý",IF(AND(N63&lt;&gt;"",N63&gt;'THAM SO'!$B$8),"Chưa hiệu lực",IF(O63="","Đang thực hiện",IF(O63&lt;'THAM SO'!$B$8,IF(P63="Có","Đã tự gia hạn – kiểm tra","Quá hạn – chưa thanh lý"),IF(O63-'THAM SO'!$B$8&lt;='THAM SO'!$B$9,"Sắp hết hạn","Đang thực hiện"))))))</f>
        <v/>
      </c>
      <c r="AK63" s="106">
        <f>IF(AND(O63="",AH63=""),"",EDATE(MAX(N(O63),N(AH63)),12*'THAM SO'!$B$12))</f>
        <v/>
      </c>
      <c r="AL63" s="110" t="n"/>
    </row>
    <row r="64" ht="15" customHeight="1" s="64">
      <c r="A64" s="93">
        <f>IF(H64="","",COUNTA($H$9:H64))</f>
        <v/>
      </c>
      <c r="B64" s="93">
        <f>IF(OR(D64="",G64=""),"",YEAR(G64)&amp;"/"&amp;D64&amp;"/"&amp;TEXT(SUMPRODUCT(($D$9:D64=D64)*(YEAR($G$9:G64)=YEAR(G64))),"000")&amp;"-"&amp;'THAM SO'!$B$7)</f>
        <v/>
      </c>
      <c r="C64" s="107" t="n"/>
      <c r="D64" s="107" t="n"/>
      <c r="E64" s="95">
        <f>IF(D64="","",IFERROR(VLOOKUP(D64,'THAM SO'!$D$6:$E$40,2,FALSE()),"Mã loại chưa khai báo"))</f>
        <v/>
      </c>
      <c r="F64" s="108" t="n"/>
      <c r="G64" s="109" t="n"/>
      <c r="H64" s="110" t="n"/>
      <c r="I64" s="108" t="n"/>
      <c r="J64" s="110" t="n"/>
      <c r="K64" s="108" t="n"/>
      <c r="L64" s="108" t="n"/>
      <c r="M64" s="108" t="n"/>
      <c r="N64" s="109" t="n"/>
      <c r="O64" s="109" t="n"/>
      <c r="P64" s="107" t="n"/>
      <c r="Q64" s="107" t="n"/>
      <c r="R64" s="111" t="n"/>
      <c r="S64" s="112" t="n"/>
      <c r="T64" s="113" t="n"/>
      <c r="U64" s="102">
        <f>IF(S64="","",ROUND(S64*N(T64),2))</f>
        <v/>
      </c>
      <c r="V64" s="102">
        <f>IF(S64="","",S64+U64)</f>
        <v/>
      </c>
      <c r="W64" s="103">
        <f>IF(V64="","",ROUND(V64*IF(OR(Q64="",Q64="VND"),1,R64),0))</f>
        <v/>
      </c>
      <c r="X64" s="111" t="n"/>
      <c r="Y64" s="103">
        <f>IF(W64="","",W64+N(X64))</f>
        <v/>
      </c>
      <c r="Z64" s="103">
        <f>IF(B64="","",SUMIFS('NHAT KY THANH TOAN'!$G:$G,'NHAT KY THANH TOAN'!$B:$B,B64,'NHAT KY THANH TOAN'!$D:$D,"Hóa đơn"))</f>
        <v/>
      </c>
      <c r="AA64" s="103">
        <f>IF(B64="","",SUMIFS('NHAT KY THANH TOAN'!$G:$G,'NHAT KY THANH TOAN'!$B:$B,B64,'NHAT KY THANH TOAN'!$D:$D,"Thanh toán"))</f>
        <v/>
      </c>
      <c r="AB64" s="103">
        <f>IF(Y64="","",Y64-N(AA64))</f>
        <v/>
      </c>
      <c r="AC64" s="103">
        <f>IF(B64="","",N(Z64)-N(AA64))</f>
        <v/>
      </c>
      <c r="AD64" s="104">
        <f>IF(N(Y64)=0,"",N(AA64)/Y64)</f>
        <v/>
      </c>
      <c r="AE64" s="107" t="n"/>
      <c r="AF64" s="95">
        <f>IF(H64="","",TRIM(IF(AND(N(Y64)&gt;='THAM SO'!$B$10,AE64&lt;&gt;"Có"),"Chưa rà soát pháp lý; ","")&amp;IF(I64="","Thiếu MST đối tác; ","")&amp;IF(AG64="","Chưa ghi nơi lưu bản gốc; ","")&amp;IF(COUNTIFS('NHAT KY THANH TOAN'!$B:$B,B64,'NHAT KY THANH TOAN'!$D:$D,"Thanh toán",'NHAT KY THANH TOAN'!$F:$F,"Tiền mặt",'NHAT KY THANH TOAN'!$G:$G,"&gt;="&amp;'THAM SO'!$B$11)&gt;0,"Có khoản TT tiền mặt ≥ ngưỡng; ","")&amp;IF(AND(AB64&lt;&gt;"",N(AB64)&lt;0),"Thanh toán vượt giá trị HĐ; ","")))</f>
        <v/>
      </c>
      <c r="AG64" s="108" t="n"/>
      <c r="AH64" s="109" t="n"/>
      <c r="AI64" s="105">
        <f>IF(OR(H64="",O64="",AH64&lt;&gt;""),"",O64-'THAM SO'!$B$8)</f>
        <v/>
      </c>
      <c r="AJ64" s="95">
        <f>IF(H64="","",IF(AH64&lt;&gt;"","Đã thanh lý",IF(AND(N64&lt;&gt;"",N64&gt;'THAM SO'!$B$8),"Chưa hiệu lực",IF(O64="","Đang thực hiện",IF(O64&lt;'THAM SO'!$B$8,IF(P64="Có","Đã tự gia hạn – kiểm tra","Quá hạn – chưa thanh lý"),IF(O64-'THAM SO'!$B$8&lt;='THAM SO'!$B$9,"Sắp hết hạn","Đang thực hiện"))))))</f>
        <v/>
      </c>
      <c r="AK64" s="106">
        <f>IF(AND(O64="",AH64=""),"",EDATE(MAX(N(O64),N(AH64)),12*'THAM SO'!$B$12))</f>
        <v/>
      </c>
      <c r="AL64" s="110" t="n"/>
    </row>
    <row r="65" ht="15" customHeight="1" s="64">
      <c r="A65" s="93">
        <f>IF(H65="","",COUNTA($H$9:H65))</f>
        <v/>
      </c>
      <c r="B65" s="93">
        <f>IF(OR(D65="",G65=""),"",YEAR(G65)&amp;"/"&amp;D65&amp;"/"&amp;TEXT(SUMPRODUCT(($D$9:D65=D65)*(YEAR($G$9:G65)=YEAR(G65))),"000")&amp;"-"&amp;'THAM SO'!$B$7)</f>
        <v/>
      </c>
      <c r="C65" s="107" t="n"/>
      <c r="D65" s="107" t="n"/>
      <c r="E65" s="95">
        <f>IF(D65="","",IFERROR(VLOOKUP(D65,'THAM SO'!$D$6:$E$40,2,FALSE()),"Mã loại chưa khai báo"))</f>
        <v/>
      </c>
      <c r="F65" s="108" t="n"/>
      <c r="G65" s="109" t="n"/>
      <c r="H65" s="110" t="n"/>
      <c r="I65" s="108" t="n"/>
      <c r="J65" s="110" t="n"/>
      <c r="K65" s="108" t="n"/>
      <c r="L65" s="108" t="n"/>
      <c r="M65" s="108" t="n"/>
      <c r="N65" s="109" t="n"/>
      <c r="O65" s="109" t="n"/>
      <c r="P65" s="107" t="n"/>
      <c r="Q65" s="107" t="n"/>
      <c r="R65" s="111" t="n"/>
      <c r="S65" s="112" t="n"/>
      <c r="T65" s="113" t="n"/>
      <c r="U65" s="102">
        <f>IF(S65="","",ROUND(S65*N(T65),2))</f>
        <v/>
      </c>
      <c r="V65" s="102">
        <f>IF(S65="","",S65+U65)</f>
        <v/>
      </c>
      <c r="W65" s="103">
        <f>IF(V65="","",ROUND(V65*IF(OR(Q65="",Q65="VND"),1,R65),0))</f>
        <v/>
      </c>
      <c r="X65" s="111" t="n"/>
      <c r="Y65" s="103">
        <f>IF(W65="","",W65+N(X65))</f>
        <v/>
      </c>
      <c r="Z65" s="103">
        <f>IF(B65="","",SUMIFS('NHAT KY THANH TOAN'!$G:$G,'NHAT KY THANH TOAN'!$B:$B,B65,'NHAT KY THANH TOAN'!$D:$D,"Hóa đơn"))</f>
        <v/>
      </c>
      <c r="AA65" s="103">
        <f>IF(B65="","",SUMIFS('NHAT KY THANH TOAN'!$G:$G,'NHAT KY THANH TOAN'!$B:$B,B65,'NHAT KY THANH TOAN'!$D:$D,"Thanh toán"))</f>
        <v/>
      </c>
      <c r="AB65" s="103">
        <f>IF(Y65="","",Y65-N(AA65))</f>
        <v/>
      </c>
      <c r="AC65" s="103">
        <f>IF(B65="","",N(Z65)-N(AA65))</f>
        <v/>
      </c>
      <c r="AD65" s="104">
        <f>IF(N(Y65)=0,"",N(AA65)/Y65)</f>
        <v/>
      </c>
      <c r="AE65" s="107" t="n"/>
      <c r="AF65" s="95">
        <f>IF(H65="","",TRIM(IF(AND(N(Y65)&gt;='THAM SO'!$B$10,AE65&lt;&gt;"Có"),"Chưa rà soát pháp lý; ","")&amp;IF(I65="","Thiếu MST đối tác; ","")&amp;IF(AG65="","Chưa ghi nơi lưu bản gốc; ","")&amp;IF(COUNTIFS('NHAT KY THANH TOAN'!$B:$B,B65,'NHAT KY THANH TOAN'!$D:$D,"Thanh toán",'NHAT KY THANH TOAN'!$F:$F,"Tiền mặt",'NHAT KY THANH TOAN'!$G:$G,"&gt;="&amp;'THAM SO'!$B$11)&gt;0,"Có khoản TT tiền mặt ≥ ngưỡng; ","")&amp;IF(AND(AB65&lt;&gt;"",N(AB65)&lt;0),"Thanh toán vượt giá trị HĐ; ","")))</f>
        <v/>
      </c>
      <c r="AG65" s="108" t="n"/>
      <c r="AH65" s="109" t="n"/>
      <c r="AI65" s="105">
        <f>IF(OR(H65="",O65="",AH65&lt;&gt;""),"",O65-'THAM SO'!$B$8)</f>
        <v/>
      </c>
      <c r="AJ65" s="95">
        <f>IF(H65="","",IF(AH65&lt;&gt;"","Đã thanh lý",IF(AND(N65&lt;&gt;"",N65&gt;'THAM SO'!$B$8),"Chưa hiệu lực",IF(O65="","Đang thực hiện",IF(O65&lt;'THAM SO'!$B$8,IF(P65="Có","Đã tự gia hạn – kiểm tra","Quá hạn – chưa thanh lý"),IF(O65-'THAM SO'!$B$8&lt;='THAM SO'!$B$9,"Sắp hết hạn","Đang thực hiện"))))))</f>
        <v/>
      </c>
      <c r="AK65" s="106">
        <f>IF(AND(O65="",AH65=""),"",EDATE(MAX(N(O65),N(AH65)),12*'THAM SO'!$B$12))</f>
        <v/>
      </c>
      <c r="AL65" s="110" t="n"/>
    </row>
    <row r="66" ht="15" customHeight="1" s="64">
      <c r="A66" s="93">
        <f>IF(H66="","",COUNTA($H$9:H66))</f>
        <v/>
      </c>
      <c r="B66" s="93">
        <f>IF(OR(D66="",G66=""),"",YEAR(G66)&amp;"/"&amp;D66&amp;"/"&amp;TEXT(SUMPRODUCT(($D$9:D66=D66)*(YEAR($G$9:G66)=YEAR(G66))),"000")&amp;"-"&amp;'THAM SO'!$B$7)</f>
        <v/>
      </c>
      <c r="C66" s="107" t="n"/>
      <c r="D66" s="107" t="n"/>
      <c r="E66" s="95">
        <f>IF(D66="","",IFERROR(VLOOKUP(D66,'THAM SO'!$D$6:$E$40,2,FALSE()),"Mã loại chưa khai báo"))</f>
        <v/>
      </c>
      <c r="F66" s="108" t="n"/>
      <c r="G66" s="109" t="n"/>
      <c r="H66" s="110" t="n"/>
      <c r="I66" s="108" t="n"/>
      <c r="J66" s="110" t="n"/>
      <c r="K66" s="108" t="n"/>
      <c r="L66" s="108" t="n"/>
      <c r="M66" s="108" t="n"/>
      <c r="N66" s="109" t="n"/>
      <c r="O66" s="109" t="n"/>
      <c r="P66" s="107" t="n"/>
      <c r="Q66" s="107" t="n"/>
      <c r="R66" s="111" t="n"/>
      <c r="S66" s="112" t="n"/>
      <c r="T66" s="113" t="n"/>
      <c r="U66" s="102">
        <f>IF(S66="","",ROUND(S66*N(T66),2))</f>
        <v/>
      </c>
      <c r="V66" s="102">
        <f>IF(S66="","",S66+U66)</f>
        <v/>
      </c>
      <c r="W66" s="103">
        <f>IF(V66="","",ROUND(V66*IF(OR(Q66="",Q66="VND"),1,R66),0))</f>
        <v/>
      </c>
      <c r="X66" s="111" t="n"/>
      <c r="Y66" s="103">
        <f>IF(W66="","",W66+N(X66))</f>
        <v/>
      </c>
      <c r="Z66" s="103">
        <f>IF(B66="","",SUMIFS('NHAT KY THANH TOAN'!$G:$G,'NHAT KY THANH TOAN'!$B:$B,B66,'NHAT KY THANH TOAN'!$D:$D,"Hóa đơn"))</f>
        <v/>
      </c>
      <c r="AA66" s="103">
        <f>IF(B66="","",SUMIFS('NHAT KY THANH TOAN'!$G:$G,'NHAT KY THANH TOAN'!$B:$B,B66,'NHAT KY THANH TOAN'!$D:$D,"Thanh toán"))</f>
        <v/>
      </c>
      <c r="AB66" s="103">
        <f>IF(Y66="","",Y66-N(AA66))</f>
        <v/>
      </c>
      <c r="AC66" s="103">
        <f>IF(B66="","",N(Z66)-N(AA66))</f>
        <v/>
      </c>
      <c r="AD66" s="104">
        <f>IF(N(Y66)=0,"",N(AA66)/Y66)</f>
        <v/>
      </c>
      <c r="AE66" s="107" t="n"/>
      <c r="AF66" s="95">
        <f>IF(H66="","",TRIM(IF(AND(N(Y66)&gt;='THAM SO'!$B$10,AE66&lt;&gt;"Có"),"Chưa rà soát pháp lý; ","")&amp;IF(I66="","Thiếu MST đối tác; ","")&amp;IF(AG66="","Chưa ghi nơi lưu bản gốc; ","")&amp;IF(COUNTIFS('NHAT KY THANH TOAN'!$B:$B,B66,'NHAT KY THANH TOAN'!$D:$D,"Thanh toán",'NHAT KY THANH TOAN'!$F:$F,"Tiền mặt",'NHAT KY THANH TOAN'!$G:$G,"&gt;="&amp;'THAM SO'!$B$11)&gt;0,"Có khoản TT tiền mặt ≥ ngưỡng; ","")&amp;IF(AND(AB66&lt;&gt;"",N(AB66)&lt;0),"Thanh toán vượt giá trị HĐ; ","")))</f>
        <v/>
      </c>
      <c r="AG66" s="108" t="n"/>
      <c r="AH66" s="109" t="n"/>
      <c r="AI66" s="105">
        <f>IF(OR(H66="",O66="",AH66&lt;&gt;""),"",O66-'THAM SO'!$B$8)</f>
        <v/>
      </c>
      <c r="AJ66" s="95">
        <f>IF(H66="","",IF(AH66&lt;&gt;"","Đã thanh lý",IF(AND(N66&lt;&gt;"",N66&gt;'THAM SO'!$B$8),"Chưa hiệu lực",IF(O66="","Đang thực hiện",IF(O66&lt;'THAM SO'!$B$8,IF(P66="Có","Đã tự gia hạn – kiểm tra","Quá hạn – chưa thanh lý"),IF(O66-'THAM SO'!$B$8&lt;='THAM SO'!$B$9,"Sắp hết hạn","Đang thực hiện"))))))</f>
        <v/>
      </c>
      <c r="AK66" s="106">
        <f>IF(AND(O66="",AH66=""),"",EDATE(MAX(N(O66),N(AH66)),12*'THAM SO'!$B$12))</f>
        <v/>
      </c>
      <c r="AL66" s="110" t="n"/>
    </row>
    <row r="67" ht="15" customHeight="1" s="64">
      <c r="A67" s="93">
        <f>IF(H67="","",COUNTA($H$9:H67))</f>
        <v/>
      </c>
      <c r="B67" s="93">
        <f>IF(OR(D67="",G67=""),"",YEAR(G67)&amp;"/"&amp;D67&amp;"/"&amp;TEXT(SUMPRODUCT(($D$9:D67=D67)*(YEAR($G$9:G67)=YEAR(G67))),"000")&amp;"-"&amp;'THAM SO'!$B$7)</f>
        <v/>
      </c>
      <c r="C67" s="107" t="n"/>
      <c r="D67" s="107" t="n"/>
      <c r="E67" s="95">
        <f>IF(D67="","",IFERROR(VLOOKUP(D67,'THAM SO'!$D$6:$E$40,2,FALSE()),"Mã loại chưa khai báo"))</f>
        <v/>
      </c>
      <c r="F67" s="108" t="n"/>
      <c r="G67" s="109" t="n"/>
      <c r="H67" s="110" t="n"/>
      <c r="I67" s="108" t="n"/>
      <c r="J67" s="110" t="n"/>
      <c r="K67" s="108" t="n"/>
      <c r="L67" s="108" t="n"/>
      <c r="M67" s="108" t="n"/>
      <c r="N67" s="109" t="n"/>
      <c r="O67" s="109" t="n"/>
      <c r="P67" s="107" t="n"/>
      <c r="Q67" s="107" t="n"/>
      <c r="R67" s="111" t="n"/>
      <c r="S67" s="112" t="n"/>
      <c r="T67" s="113" t="n"/>
      <c r="U67" s="102">
        <f>IF(S67="","",ROUND(S67*N(T67),2))</f>
        <v/>
      </c>
      <c r="V67" s="102">
        <f>IF(S67="","",S67+U67)</f>
        <v/>
      </c>
      <c r="W67" s="103">
        <f>IF(V67="","",ROUND(V67*IF(OR(Q67="",Q67="VND"),1,R67),0))</f>
        <v/>
      </c>
      <c r="X67" s="111" t="n"/>
      <c r="Y67" s="103">
        <f>IF(W67="","",W67+N(X67))</f>
        <v/>
      </c>
      <c r="Z67" s="103">
        <f>IF(B67="","",SUMIFS('NHAT KY THANH TOAN'!$G:$G,'NHAT KY THANH TOAN'!$B:$B,B67,'NHAT KY THANH TOAN'!$D:$D,"Hóa đơn"))</f>
        <v/>
      </c>
      <c r="AA67" s="103">
        <f>IF(B67="","",SUMIFS('NHAT KY THANH TOAN'!$G:$G,'NHAT KY THANH TOAN'!$B:$B,B67,'NHAT KY THANH TOAN'!$D:$D,"Thanh toán"))</f>
        <v/>
      </c>
      <c r="AB67" s="103">
        <f>IF(Y67="","",Y67-N(AA67))</f>
        <v/>
      </c>
      <c r="AC67" s="103">
        <f>IF(B67="","",N(Z67)-N(AA67))</f>
        <v/>
      </c>
      <c r="AD67" s="104">
        <f>IF(N(Y67)=0,"",N(AA67)/Y67)</f>
        <v/>
      </c>
      <c r="AE67" s="107" t="n"/>
      <c r="AF67" s="95">
        <f>IF(H67="","",TRIM(IF(AND(N(Y67)&gt;='THAM SO'!$B$10,AE67&lt;&gt;"Có"),"Chưa rà soát pháp lý; ","")&amp;IF(I67="","Thiếu MST đối tác; ","")&amp;IF(AG67="","Chưa ghi nơi lưu bản gốc; ","")&amp;IF(COUNTIFS('NHAT KY THANH TOAN'!$B:$B,B67,'NHAT KY THANH TOAN'!$D:$D,"Thanh toán",'NHAT KY THANH TOAN'!$F:$F,"Tiền mặt",'NHAT KY THANH TOAN'!$G:$G,"&gt;="&amp;'THAM SO'!$B$11)&gt;0,"Có khoản TT tiền mặt ≥ ngưỡng; ","")&amp;IF(AND(AB67&lt;&gt;"",N(AB67)&lt;0),"Thanh toán vượt giá trị HĐ; ","")))</f>
        <v/>
      </c>
      <c r="AG67" s="108" t="n"/>
      <c r="AH67" s="109" t="n"/>
      <c r="AI67" s="105">
        <f>IF(OR(H67="",O67="",AH67&lt;&gt;""),"",O67-'THAM SO'!$B$8)</f>
        <v/>
      </c>
      <c r="AJ67" s="95">
        <f>IF(H67="","",IF(AH67&lt;&gt;"","Đã thanh lý",IF(AND(N67&lt;&gt;"",N67&gt;'THAM SO'!$B$8),"Chưa hiệu lực",IF(O67="","Đang thực hiện",IF(O67&lt;'THAM SO'!$B$8,IF(P67="Có","Đã tự gia hạn – kiểm tra","Quá hạn – chưa thanh lý"),IF(O67-'THAM SO'!$B$8&lt;='THAM SO'!$B$9,"Sắp hết hạn","Đang thực hiện"))))))</f>
        <v/>
      </c>
      <c r="AK67" s="106">
        <f>IF(AND(O67="",AH67=""),"",EDATE(MAX(N(O67),N(AH67)),12*'THAM SO'!$B$12))</f>
        <v/>
      </c>
      <c r="AL67" s="110" t="n"/>
    </row>
    <row r="68" ht="15" customHeight="1" s="64">
      <c r="A68" s="93">
        <f>IF(H68="","",COUNTA($H$9:H68))</f>
        <v/>
      </c>
      <c r="B68" s="93">
        <f>IF(OR(D68="",G68=""),"",YEAR(G68)&amp;"/"&amp;D68&amp;"/"&amp;TEXT(SUMPRODUCT(($D$9:D68=D68)*(YEAR($G$9:G68)=YEAR(G68))),"000")&amp;"-"&amp;'THAM SO'!$B$7)</f>
        <v/>
      </c>
      <c r="C68" s="107" t="n"/>
      <c r="D68" s="107" t="n"/>
      <c r="E68" s="95">
        <f>IF(D68="","",IFERROR(VLOOKUP(D68,'THAM SO'!$D$6:$E$40,2,FALSE()),"Mã loại chưa khai báo"))</f>
        <v/>
      </c>
      <c r="F68" s="108" t="n"/>
      <c r="G68" s="109" t="n"/>
      <c r="H68" s="110" t="n"/>
      <c r="I68" s="108" t="n"/>
      <c r="J68" s="110" t="n"/>
      <c r="K68" s="108" t="n"/>
      <c r="L68" s="108" t="n"/>
      <c r="M68" s="108" t="n"/>
      <c r="N68" s="109" t="n"/>
      <c r="O68" s="109" t="n"/>
      <c r="P68" s="107" t="n"/>
      <c r="Q68" s="107" t="n"/>
      <c r="R68" s="111" t="n"/>
      <c r="S68" s="112" t="n"/>
      <c r="T68" s="113" t="n"/>
      <c r="U68" s="102">
        <f>IF(S68="","",ROUND(S68*N(T68),2))</f>
        <v/>
      </c>
      <c r="V68" s="102">
        <f>IF(S68="","",S68+U68)</f>
        <v/>
      </c>
      <c r="W68" s="103">
        <f>IF(V68="","",ROUND(V68*IF(OR(Q68="",Q68="VND"),1,R68),0))</f>
        <v/>
      </c>
      <c r="X68" s="111" t="n"/>
      <c r="Y68" s="103">
        <f>IF(W68="","",W68+N(X68))</f>
        <v/>
      </c>
      <c r="Z68" s="103">
        <f>IF(B68="","",SUMIFS('NHAT KY THANH TOAN'!$G:$G,'NHAT KY THANH TOAN'!$B:$B,B68,'NHAT KY THANH TOAN'!$D:$D,"Hóa đơn"))</f>
        <v/>
      </c>
      <c r="AA68" s="103">
        <f>IF(B68="","",SUMIFS('NHAT KY THANH TOAN'!$G:$G,'NHAT KY THANH TOAN'!$B:$B,B68,'NHAT KY THANH TOAN'!$D:$D,"Thanh toán"))</f>
        <v/>
      </c>
      <c r="AB68" s="103">
        <f>IF(Y68="","",Y68-N(AA68))</f>
        <v/>
      </c>
      <c r="AC68" s="103">
        <f>IF(B68="","",N(Z68)-N(AA68))</f>
        <v/>
      </c>
      <c r="AD68" s="104">
        <f>IF(N(Y68)=0,"",N(AA68)/Y68)</f>
        <v/>
      </c>
      <c r="AE68" s="107" t="n"/>
      <c r="AF68" s="95">
        <f>IF(H68="","",TRIM(IF(AND(N(Y68)&gt;='THAM SO'!$B$10,AE68&lt;&gt;"Có"),"Chưa rà soát pháp lý; ","")&amp;IF(I68="","Thiếu MST đối tác; ","")&amp;IF(AG68="","Chưa ghi nơi lưu bản gốc; ","")&amp;IF(COUNTIFS('NHAT KY THANH TOAN'!$B:$B,B68,'NHAT KY THANH TOAN'!$D:$D,"Thanh toán",'NHAT KY THANH TOAN'!$F:$F,"Tiền mặt",'NHAT KY THANH TOAN'!$G:$G,"&gt;="&amp;'THAM SO'!$B$11)&gt;0,"Có khoản TT tiền mặt ≥ ngưỡng; ","")&amp;IF(AND(AB68&lt;&gt;"",N(AB68)&lt;0),"Thanh toán vượt giá trị HĐ; ","")))</f>
        <v/>
      </c>
      <c r="AG68" s="108" t="n"/>
      <c r="AH68" s="109" t="n"/>
      <c r="AI68" s="105">
        <f>IF(OR(H68="",O68="",AH68&lt;&gt;""),"",O68-'THAM SO'!$B$8)</f>
        <v/>
      </c>
      <c r="AJ68" s="95">
        <f>IF(H68="","",IF(AH68&lt;&gt;"","Đã thanh lý",IF(AND(N68&lt;&gt;"",N68&gt;'THAM SO'!$B$8),"Chưa hiệu lực",IF(O68="","Đang thực hiện",IF(O68&lt;'THAM SO'!$B$8,IF(P68="Có","Đã tự gia hạn – kiểm tra","Quá hạn – chưa thanh lý"),IF(O68-'THAM SO'!$B$8&lt;='THAM SO'!$B$9,"Sắp hết hạn","Đang thực hiện"))))))</f>
        <v/>
      </c>
      <c r="AK68" s="106">
        <f>IF(AND(O68="",AH68=""),"",EDATE(MAX(N(O68),N(AH68)),12*'THAM SO'!$B$12))</f>
        <v/>
      </c>
      <c r="AL68" s="110" t="n"/>
    </row>
    <row r="69" ht="15" customHeight="1" s="64">
      <c r="A69" s="93">
        <f>IF(H69="","",COUNTA($H$9:H69))</f>
        <v/>
      </c>
      <c r="B69" s="93">
        <f>IF(OR(D69="",G69=""),"",YEAR(G69)&amp;"/"&amp;D69&amp;"/"&amp;TEXT(SUMPRODUCT(($D$9:D69=D69)*(YEAR($G$9:G69)=YEAR(G69))),"000")&amp;"-"&amp;'THAM SO'!$B$7)</f>
        <v/>
      </c>
      <c r="C69" s="107" t="n"/>
      <c r="D69" s="107" t="n"/>
      <c r="E69" s="95">
        <f>IF(D69="","",IFERROR(VLOOKUP(D69,'THAM SO'!$D$6:$E$40,2,FALSE()),"Mã loại chưa khai báo"))</f>
        <v/>
      </c>
      <c r="F69" s="108" t="n"/>
      <c r="G69" s="109" t="n"/>
      <c r="H69" s="110" t="n"/>
      <c r="I69" s="108" t="n"/>
      <c r="J69" s="110" t="n"/>
      <c r="K69" s="108" t="n"/>
      <c r="L69" s="108" t="n"/>
      <c r="M69" s="108" t="n"/>
      <c r="N69" s="109" t="n"/>
      <c r="O69" s="109" t="n"/>
      <c r="P69" s="107" t="n"/>
      <c r="Q69" s="107" t="n"/>
      <c r="R69" s="111" t="n"/>
      <c r="S69" s="112" t="n"/>
      <c r="T69" s="113" t="n"/>
      <c r="U69" s="102">
        <f>IF(S69="","",ROUND(S69*N(T69),2))</f>
        <v/>
      </c>
      <c r="V69" s="102">
        <f>IF(S69="","",S69+U69)</f>
        <v/>
      </c>
      <c r="W69" s="103">
        <f>IF(V69="","",ROUND(V69*IF(OR(Q69="",Q69="VND"),1,R69),0))</f>
        <v/>
      </c>
      <c r="X69" s="111" t="n"/>
      <c r="Y69" s="103">
        <f>IF(W69="","",W69+N(X69))</f>
        <v/>
      </c>
      <c r="Z69" s="103">
        <f>IF(B69="","",SUMIFS('NHAT KY THANH TOAN'!$G:$G,'NHAT KY THANH TOAN'!$B:$B,B69,'NHAT KY THANH TOAN'!$D:$D,"Hóa đơn"))</f>
        <v/>
      </c>
      <c r="AA69" s="103">
        <f>IF(B69="","",SUMIFS('NHAT KY THANH TOAN'!$G:$G,'NHAT KY THANH TOAN'!$B:$B,B69,'NHAT KY THANH TOAN'!$D:$D,"Thanh toán"))</f>
        <v/>
      </c>
      <c r="AB69" s="103">
        <f>IF(Y69="","",Y69-N(AA69))</f>
        <v/>
      </c>
      <c r="AC69" s="103">
        <f>IF(B69="","",N(Z69)-N(AA69))</f>
        <v/>
      </c>
      <c r="AD69" s="104">
        <f>IF(N(Y69)=0,"",N(AA69)/Y69)</f>
        <v/>
      </c>
      <c r="AE69" s="107" t="n"/>
      <c r="AF69" s="95">
        <f>IF(H69="","",TRIM(IF(AND(N(Y69)&gt;='THAM SO'!$B$10,AE69&lt;&gt;"Có"),"Chưa rà soát pháp lý; ","")&amp;IF(I69="","Thiếu MST đối tác; ","")&amp;IF(AG69="","Chưa ghi nơi lưu bản gốc; ","")&amp;IF(COUNTIFS('NHAT KY THANH TOAN'!$B:$B,B69,'NHAT KY THANH TOAN'!$D:$D,"Thanh toán",'NHAT KY THANH TOAN'!$F:$F,"Tiền mặt",'NHAT KY THANH TOAN'!$G:$G,"&gt;="&amp;'THAM SO'!$B$11)&gt;0,"Có khoản TT tiền mặt ≥ ngưỡng; ","")&amp;IF(AND(AB69&lt;&gt;"",N(AB69)&lt;0),"Thanh toán vượt giá trị HĐ; ","")))</f>
        <v/>
      </c>
      <c r="AG69" s="108" t="n"/>
      <c r="AH69" s="109" t="n"/>
      <c r="AI69" s="105">
        <f>IF(OR(H69="",O69="",AH69&lt;&gt;""),"",O69-'THAM SO'!$B$8)</f>
        <v/>
      </c>
      <c r="AJ69" s="95">
        <f>IF(H69="","",IF(AH69&lt;&gt;"","Đã thanh lý",IF(AND(N69&lt;&gt;"",N69&gt;'THAM SO'!$B$8),"Chưa hiệu lực",IF(O69="","Đang thực hiện",IF(O69&lt;'THAM SO'!$B$8,IF(P69="Có","Đã tự gia hạn – kiểm tra","Quá hạn – chưa thanh lý"),IF(O69-'THAM SO'!$B$8&lt;='THAM SO'!$B$9,"Sắp hết hạn","Đang thực hiện"))))))</f>
        <v/>
      </c>
      <c r="AK69" s="106">
        <f>IF(AND(O69="",AH69=""),"",EDATE(MAX(N(O69),N(AH69)),12*'THAM SO'!$B$12))</f>
        <v/>
      </c>
      <c r="AL69" s="110" t="n"/>
    </row>
    <row r="70" ht="15" customHeight="1" s="64">
      <c r="A70" s="93">
        <f>IF(H70="","",COUNTA($H$9:H70))</f>
        <v/>
      </c>
      <c r="B70" s="93">
        <f>IF(OR(D70="",G70=""),"",YEAR(G70)&amp;"/"&amp;D70&amp;"/"&amp;TEXT(SUMPRODUCT(($D$9:D70=D70)*(YEAR($G$9:G70)=YEAR(G70))),"000")&amp;"-"&amp;'THAM SO'!$B$7)</f>
        <v/>
      </c>
      <c r="C70" s="107" t="n"/>
      <c r="D70" s="107" t="n"/>
      <c r="E70" s="95">
        <f>IF(D70="","",IFERROR(VLOOKUP(D70,'THAM SO'!$D$6:$E$40,2,FALSE()),"Mã loại chưa khai báo"))</f>
        <v/>
      </c>
      <c r="F70" s="108" t="n"/>
      <c r="G70" s="109" t="n"/>
      <c r="H70" s="110" t="n"/>
      <c r="I70" s="108" t="n"/>
      <c r="J70" s="110" t="n"/>
      <c r="K70" s="108" t="n"/>
      <c r="L70" s="108" t="n"/>
      <c r="M70" s="108" t="n"/>
      <c r="N70" s="109" t="n"/>
      <c r="O70" s="109" t="n"/>
      <c r="P70" s="107" t="n"/>
      <c r="Q70" s="107" t="n"/>
      <c r="R70" s="111" t="n"/>
      <c r="S70" s="112" t="n"/>
      <c r="T70" s="113" t="n"/>
      <c r="U70" s="102">
        <f>IF(S70="","",ROUND(S70*N(T70),2))</f>
        <v/>
      </c>
      <c r="V70" s="102">
        <f>IF(S70="","",S70+U70)</f>
        <v/>
      </c>
      <c r="W70" s="103">
        <f>IF(V70="","",ROUND(V70*IF(OR(Q70="",Q70="VND"),1,R70),0))</f>
        <v/>
      </c>
      <c r="X70" s="111" t="n"/>
      <c r="Y70" s="103">
        <f>IF(W70="","",W70+N(X70))</f>
        <v/>
      </c>
      <c r="Z70" s="103">
        <f>IF(B70="","",SUMIFS('NHAT KY THANH TOAN'!$G:$G,'NHAT KY THANH TOAN'!$B:$B,B70,'NHAT KY THANH TOAN'!$D:$D,"Hóa đơn"))</f>
        <v/>
      </c>
      <c r="AA70" s="103">
        <f>IF(B70="","",SUMIFS('NHAT KY THANH TOAN'!$G:$G,'NHAT KY THANH TOAN'!$B:$B,B70,'NHAT KY THANH TOAN'!$D:$D,"Thanh toán"))</f>
        <v/>
      </c>
      <c r="AB70" s="103">
        <f>IF(Y70="","",Y70-N(AA70))</f>
        <v/>
      </c>
      <c r="AC70" s="103">
        <f>IF(B70="","",N(Z70)-N(AA70))</f>
        <v/>
      </c>
      <c r="AD70" s="104">
        <f>IF(N(Y70)=0,"",N(AA70)/Y70)</f>
        <v/>
      </c>
      <c r="AE70" s="107" t="n"/>
      <c r="AF70" s="95">
        <f>IF(H70="","",TRIM(IF(AND(N(Y70)&gt;='THAM SO'!$B$10,AE70&lt;&gt;"Có"),"Chưa rà soát pháp lý; ","")&amp;IF(I70="","Thiếu MST đối tác; ","")&amp;IF(AG70="","Chưa ghi nơi lưu bản gốc; ","")&amp;IF(COUNTIFS('NHAT KY THANH TOAN'!$B:$B,B70,'NHAT KY THANH TOAN'!$D:$D,"Thanh toán",'NHAT KY THANH TOAN'!$F:$F,"Tiền mặt",'NHAT KY THANH TOAN'!$G:$G,"&gt;="&amp;'THAM SO'!$B$11)&gt;0,"Có khoản TT tiền mặt ≥ ngưỡng; ","")&amp;IF(AND(AB70&lt;&gt;"",N(AB70)&lt;0),"Thanh toán vượt giá trị HĐ; ","")))</f>
        <v/>
      </c>
      <c r="AG70" s="108" t="n"/>
      <c r="AH70" s="109" t="n"/>
      <c r="AI70" s="105">
        <f>IF(OR(H70="",O70="",AH70&lt;&gt;""),"",O70-'THAM SO'!$B$8)</f>
        <v/>
      </c>
      <c r="AJ70" s="95">
        <f>IF(H70="","",IF(AH70&lt;&gt;"","Đã thanh lý",IF(AND(N70&lt;&gt;"",N70&gt;'THAM SO'!$B$8),"Chưa hiệu lực",IF(O70="","Đang thực hiện",IF(O70&lt;'THAM SO'!$B$8,IF(P70="Có","Đã tự gia hạn – kiểm tra","Quá hạn – chưa thanh lý"),IF(O70-'THAM SO'!$B$8&lt;='THAM SO'!$B$9,"Sắp hết hạn","Đang thực hiện"))))))</f>
        <v/>
      </c>
      <c r="AK70" s="106">
        <f>IF(AND(O70="",AH70=""),"",EDATE(MAX(N(O70),N(AH70)),12*'THAM SO'!$B$12))</f>
        <v/>
      </c>
      <c r="AL70" s="110" t="n"/>
    </row>
    <row r="71" ht="15" customHeight="1" s="64">
      <c r="A71" s="93">
        <f>IF(H71="","",COUNTA($H$9:H71))</f>
        <v/>
      </c>
      <c r="B71" s="93">
        <f>IF(OR(D71="",G71=""),"",YEAR(G71)&amp;"/"&amp;D71&amp;"/"&amp;TEXT(SUMPRODUCT(($D$9:D71=D71)*(YEAR($G$9:G71)=YEAR(G71))),"000")&amp;"-"&amp;'THAM SO'!$B$7)</f>
        <v/>
      </c>
      <c r="C71" s="107" t="n"/>
      <c r="D71" s="107" t="n"/>
      <c r="E71" s="95">
        <f>IF(D71="","",IFERROR(VLOOKUP(D71,'THAM SO'!$D$6:$E$40,2,FALSE()),"Mã loại chưa khai báo"))</f>
        <v/>
      </c>
      <c r="F71" s="108" t="n"/>
      <c r="G71" s="109" t="n"/>
      <c r="H71" s="110" t="n"/>
      <c r="I71" s="108" t="n"/>
      <c r="J71" s="110" t="n"/>
      <c r="K71" s="108" t="n"/>
      <c r="L71" s="108" t="n"/>
      <c r="M71" s="108" t="n"/>
      <c r="N71" s="109" t="n"/>
      <c r="O71" s="109" t="n"/>
      <c r="P71" s="107" t="n"/>
      <c r="Q71" s="107" t="n"/>
      <c r="R71" s="111" t="n"/>
      <c r="S71" s="112" t="n"/>
      <c r="T71" s="113" t="n"/>
      <c r="U71" s="102">
        <f>IF(S71="","",ROUND(S71*N(T71),2))</f>
        <v/>
      </c>
      <c r="V71" s="102">
        <f>IF(S71="","",S71+U71)</f>
        <v/>
      </c>
      <c r="W71" s="103">
        <f>IF(V71="","",ROUND(V71*IF(OR(Q71="",Q71="VND"),1,R71),0))</f>
        <v/>
      </c>
      <c r="X71" s="111" t="n"/>
      <c r="Y71" s="103">
        <f>IF(W71="","",W71+N(X71))</f>
        <v/>
      </c>
      <c r="Z71" s="103">
        <f>IF(B71="","",SUMIFS('NHAT KY THANH TOAN'!$G:$G,'NHAT KY THANH TOAN'!$B:$B,B71,'NHAT KY THANH TOAN'!$D:$D,"Hóa đơn"))</f>
        <v/>
      </c>
      <c r="AA71" s="103">
        <f>IF(B71="","",SUMIFS('NHAT KY THANH TOAN'!$G:$G,'NHAT KY THANH TOAN'!$B:$B,B71,'NHAT KY THANH TOAN'!$D:$D,"Thanh toán"))</f>
        <v/>
      </c>
      <c r="AB71" s="103">
        <f>IF(Y71="","",Y71-N(AA71))</f>
        <v/>
      </c>
      <c r="AC71" s="103">
        <f>IF(B71="","",N(Z71)-N(AA71))</f>
        <v/>
      </c>
      <c r="AD71" s="104">
        <f>IF(N(Y71)=0,"",N(AA71)/Y71)</f>
        <v/>
      </c>
      <c r="AE71" s="107" t="n"/>
      <c r="AF71" s="95">
        <f>IF(H71="","",TRIM(IF(AND(N(Y71)&gt;='THAM SO'!$B$10,AE71&lt;&gt;"Có"),"Chưa rà soát pháp lý; ","")&amp;IF(I71="","Thiếu MST đối tác; ","")&amp;IF(AG71="","Chưa ghi nơi lưu bản gốc; ","")&amp;IF(COUNTIFS('NHAT KY THANH TOAN'!$B:$B,B71,'NHAT KY THANH TOAN'!$D:$D,"Thanh toán",'NHAT KY THANH TOAN'!$F:$F,"Tiền mặt",'NHAT KY THANH TOAN'!$G:$G,"&gt;="&amp;'THAM SO'!$B$11)&gt;0,"Có khoản TT tiền mặt ≥ ngưỡng; ","")&amp;IF(AND(AB71&lt;&gt;"",N(AB71)&lt;0),"Thanh toán vượt giá trị HĐ; ","")))</f>
        <v/>
      </c>
      <c r="AG71" s="108" t="n"/>
      <c r="AH71" s="109" t="n"/>
      <c r="AI71" s="105">
        <f>IF(OR(H71="",O71="",AH71&lt;&gt;""),"",O71-'THAM SO'!$B$8)</f>
        <v/>
      </c>
      <c r="AJ71" s="95">
        <f>IF(H71="","",IF(AH71&lt;&gt;"","Đã thanh lý",IF(AND(N71&lt;&gt;"",N71&gt;'THAM SO'!$B$8),"Chưa hiệu lực",IF(O71="","Đang thực hiện",IF(O71&lt;'THAM SO'!$B$8,IF(P71="Có","Đã tự gia hạn – kiểm tra","Quá hạn – chưa thanh lý"),IF(O71-'THAM SO'!$B$8&lt;='THAM SO'!$B$9,"Sắp hết hạn","Đang thực hiện"))))))</f>
        <v/>
      </c>
      <c r="AK71" s="106">
        <f>IF(AND(O71="",AH71=""),"",EDATE(MAX(N(O71),N(AH71)),12*'THAM SO'!$B$12))</f>
        <v/>
      </c>
      <c r="AL71" s="110" t="n"/>
    </row>
    <row r="72" ht="15" customHeight="1" s="64">
      <c r="A72" s="93">
        <f>IF(H72="","",COUNTA($H$9:H72))</f>
        <v/>
      </c>
      <c r="B72" s="93">
        <f>IF(OR(D72="",G72=""),"",YEAR(G72)&amp;"/"&amp;D72&amp;"/"&amp;TEXT(SUMPRODUCT(($D$9:D72=D72)*(YEAR($G$9:G72)=YEAR(G72))),"000")&amp;"-"&amp;'THAM SO'!$B$7)</f>
        <v/>
      </c>
      <c r="C72" s="107" t="n"/>
      <c r="D72" s="107" t="n"/>
      <c r="E72" s="95">
        <f>IF(D72="","",IFERROR(VLOOKUP(D72,'THAM SO'!$D$6:$E$40,2,FALSE()),"Mã loại chưa khai báo"))</f>
        <v/>
      </c>
      <c r="F72" s="108" t="n"/>
      <c r="G72" s="109" t="n"/>
      <c r="H72" s="110" t="n"/>
      <c r="I72" s="108" t="n"/>
      <c r="J72" s="110" t="n"/>
      <c r="K72" s="108" t="n"/>
      <c r="L72" s="108" t="n"/>
      <c r="M72" s="108" t="n"/>
      <c r="N72" s="109" t="n"/>
      <c r="O72" s="109" t="n"/>
      <c r="P72" s="107" t="n"/>
      <c r="Q72" s="107" t="n"/>
      <c r="R72" s="111" t="n"/>
      <c r="S72" s="112" t="n"/>
      <c r="T72" s="113" t="n"/>
      <c r="U72" s="102">
        <f>IF(S72="","",ROUND(S72*N(T72),2))</f>
        <v/>
      </c>
      <c r="V72" s="102">
        <f>IF(S72="","",S72+U72)</f>
        <v/>
      </c>
      <c r="W72" s="103">
        <f>IF(V72="","",ROUND(V72*IF(OR(Q72="",Q72="VND"),1,R72),0))</f>
        <v/>
      </c>
      <c r="X72" s="111" t="n"/>
      <c r="Y72" s="103">
        <f>IF(W72="","",W72+N(X72))</f>
        <v/>
      </c>
      <c r="Z72" s="103">
        <f>IF(B72="","",SUMIFS('NHAT KY THANH TOAN'!$G:$G,'NHAT KY THANH TOAN'!$B:$B,B72,'NHAT KY THANH TOAN'!$D:$D,"Hóa đơn"))</f>
        <v/>
      </c>
      <c r="AA72" s="103">
        <f>IF(B72="","",SUMIFS('NHAT KY THANH TOAN'!$G:$G,'NHAT KY THANH TOAN'!$B:$B,B72,'NHAT KY THANH TOAN'!$D:$D,"Thanh toán"))</f>
        <v/>
      </c>
      <c r="AB72" s="103">
        <f>IF(Y72="","",Y72-N(AA72))</f>
        <v/>
      </c>
      <c r="AC72" s="103">
        <f>IF(B72="","",N(Z72)-N(AA72))</f>
        <v/>
      </c>
      <c r="AD72" s="104">
        <f>IF(N(Y72)=0,"",N(AA72)/Y72)</f>
        <v/>
      </c>
      <c r="AE72" s="107" t="n"/>
      <c r="AF72" s="95">
        <f>IF(H72="","",TRIM(IF(AND(N(Y72)&gt;='THAM SO'!$B$10,AE72&lt;&gt;"Có"),"Chưa rà soát pháp lý; ","")&amp;IF(I72="","Thiếu MST đối tác; ","")&amp;IF(AG72="","Chưa ghi nơi lưu bản gốc; ","")&amp;IF(COUNTIFS('NHAT KY THANH TOAN'!$B:$B,B72,'NHAT KY THANH TOAN'!$D:$D,"Thanh toán",'NHAT KY THANH TOAN'!$F:$F,"Tiền mặt",'NHAT KY THANH TOAN'!$G:$G,"&gt;="&amp;'THAM SO'!$B$11)&gt;0,"Có khoản TT tiền mặt ≥ ngưỡng; ","")&amp;IF(AND(AB72&lt;&gt;"",N(AB72)&lt;0),"Thanh toán vượt giá trị HĐ; ","")))</f>
        <v/>
      </c>
      <c r="AG72" s="108" t="n"/>
      <c r="AH72" s="109" t="n"/>
      <c r="AI72" s="105">
        <f>IF(OR(H72="",O72="",AH72&lt;&gt;""),"",O72-'THAM SO'!$B$8)</f>
        <v/>
      </c>
      <c r="AJ72" s="95">
        <f>IF(H72="","",IF(AH72&lt;&gt;"","Đã thanh lý",IF(AND(N72&lt;&gt;"",N72&gt;'THAM SO'!$B$8),"Chưa hiệu lực",IF(O72="","Đang thực hiện",IF(O72&lt;'THAM SO'!$B$8,IF(P72="Có","Đã tự gia hạn – kiểm tra","Quá hạn – chưa thanh lý"),IF(O72-'THAM SO'!$B$8&lt;='THAM SO'!$B$9,"Sắp hết hạn","Đang thực hiện"))))))</f>
        <v/>
      </c>
      <c r="AK72" s="106">
        <f>IF(AND(O72="",AH72=""),"",EDATE(MAX(N(O72),N(AH72)),12*'THAM SO'!$B$12))</f>
        <v/>
      </c>
      <c r="AL72" s="110" t="n"/>
    </row>
    <row r="73" ht="15" customHeight="1" s="64">
      <c r="A73" s="93">
        <f>IF(H73="","",COUNTA($H$9:H73))</f>
        <v/>
      </c>
      <c r="B73" s="93">
        <f>IF(OR(D73="",G73=""),"",YEAR(G73)&amp;"/"&amp;D73&amp;"/"&amp;TEXT(SUMPRODUCT(($D$9:D73=D73)*(YEAR($G$9:G73)=YEAR(G73))),"000")&amp;"-"&amp;'THAM SO'!$B$7)</f>
        <v/>
      </c>
      <c r="C73" s="107" t="n"/>
      <c r="D73" s="107" t="n"/>
      <c r="E73" s="95">
        <f>IF(D73="","",IFERROR(VLOOKUP(D73,'THAM SO'!$D$6:$E$40,2,FALSE()),"Mã loại chưa khai báo"))</f>
        <v/>
      </c>
      <c r="F73" s="108" t="n"/>
      <c r="G73" s="109" t="n"/>
      <c r="H73" s="110" t="n"/>
      <c r="I73" s="108" t="n"/>
      <c r="J73" s="110" t="n"/>
      <c r="K73" s="108" t="n"/>
      <c r="L73" s="108" t="n"/>
      <c r="M73" s="108" t="n"/>
      <c r="N73" s="109" t="n"/>
      <c r="O73" s="109" t="n"/>
      <c r="P73" s="107" t="n"/>
      <c r="Q73" s="107" t="n"/>
      <c r="R73" s="111" t="n"/>
      <c r="S73" s="112" t="n"/>
      <c r="T73" s="113" t="n"/>
      <c r="U73" s="102">
        <f>IF(S73="","",ROUND(S73*N(T73),2))</f>
        <v/>
      </c>
      <c r="V73" s="102">
        <f>IF(S73="","",S73+U73)</f>
        <v/>
      </c>
      <c r="W73" s="103">
        <f>IF(V73="","",ROUND(V73*IF(OR(Q73="",Q73="VND"),1,R73),0))</f>
        <v/>
      </c>
      <c r="X73" s="111" t="n"/>
      <c r="Y73" s="103">
        <f>IF(W73="","",W73+N(X73))</f>
        <v/>
      </c>
      <c r="Z73" s="103">
        <f>IF(B73="","",SUMIFS('NHAT KY THANH TOAN'!$G:$G,'NHAT KY THANH TOAN'!$B:$B,B73,'NHAT KY THANH TOAN'!$D:$D,"Hóa đơn"))</f>
        <v/>
      </c>
      <c r="AA73" s="103">
        <f>IF(B73="","",SUMIFS('NHAT KY THANH TOAN'!$G:$G,'NHAT KY THANH TOAN'!$B:$B,B73,'NHAT KY THANH TOAN'!$D:$D,"Thanh toán"))</f>
        <v/>
      </c>
      <c r="AB73" s="103">
        <f>IF(Y73="","",Y73-N(AA73))</f>
        <v/>
      </c>
      <c r="AC73" s="103">
        <f>IF(B73="","",N(Z73)-N(AA73))</f>
        <v/>
      </c>
      <c r="AD73" s="104">
        <f>IF(N(Y73)=0,"",N(AA73)/Y73)</f>
        <v/>
      </c>
      <c r="AE73" s="107" t="n"/>
      <c r="AF73" s="95">
        <f>IF(H73="","",TRIM(IF(AND(N(Y73)&gt;='THAM SO'!$B$10,AE73&lt;&gt;"Có"),"Chưa rà soát pháp lý; ","")&amp;IF(I73="","Thiếu MST đối tác; ","")&amp;IF(AG73="","Chưa ghi nơi lưu bản gốc; ","")&amp;IF(COUNTIFS('NHAT KY THANH TOAN'!$B:$B,B73,'NHAT KY THANH TOAN'!$D:$D,"Thanh toán",'NHAT KY THANH TOAN'!$F:$F,"Tiền mặt",'NHAT KY THANH TOAN'!$G:$G,"&gt;="&amp;'THAM SO'!$B$11)&gt;0,"Có khoản TT tiền mặt ≥ ngưỡng; ","")&amp;IF(AND(AB73&lt;&gt;"",N(AB73)&lt;0),"Thanh toán vượt giá trị HĐ; ","")))</f>
        <v/>
      </c>
      <c r="AG73" s="108" t="n"/>
      <c r="AH73" s="109" t="n"/>
      <c r="AI73" s="105">
        <f>IF(OR(H73="",O73="",AH73&lt;&gt;""),"",O73-'THAM SO'!$B$8)</f>
        <v/>
      </c>
      <c r="AJ73" s="95">
        <f>IF(H73="","",IF(AH73&lt;&gt;"","Đã thanh lý",IF(AND(N73&lt;&gt;"",N73&gt;'THAM SO'!$B$8),"Chưa hiệu lực",IF(O73="","Đang thực hiện",IF(O73&lt;'THAM SO'!$B$8,IF(P73="Có","Đã tự gia hạn – kiểm tra","Quá hạn – chưa thanh lý"),IF(O73-'THAM SO'!$B$8&lt;='THAM SO'!$B$9,"Sắp hết hạn","Đang thực hiện"))))))</f>
        <v/>
      </c>
      <c r="AK73" s="106">
        <f>IF(AND(O73="",AH73=""),"",EDATE(MAX(N(O73),N(AH73)),12*'THAM SO'!$B$12))</f>
        <v/>
      </c>
      <c r="AL73" s="110" t="n"/>
    </row>
    <row r="74" ht="15" customHeight="1" s="64">
      <c r="A74" s="93">
        <f>IF(H74="","",COUNTA($H$9:H74))</f>
        <v/>
      </c>
      <c r="B74" s="93">
        <f>IF(OR(D74="",G74=""),"",YEAR(G74)&amp;"/"&amp;D74&amp;"/"&amp;TEXT(SUMPRODUCT(($D$9:D74=D74)*(YEAR($G$9:G74)=YEAR(G74))),"000")&amp;"-"&amp;'THAM SO'!$B$7)</f>
        <v/>
      </c>
      <c r="C74" s="107" t="n"/>
      <c r="D74" s="107" t="n"/>
      <c r="E74" s="95">
        <f>IF(D74="","",IFERROR(VLOOKUP(D74,'THAM SO'!$D$6:$E$40,2,FALSE()),"Mã loại chưa khai báo"))</f>
        <v/>
      </c>
      <c r="F74" s="108" t="n"/>
      <c r="G74" s="109" t="n"/>
      <c r="H74" s="110" t="n"/>
      <c r="I74" s="108" t="n"/>
      <c r="J74" s="110" t="n"/>
      <c r="K74" s="108" t="n"/>
      <c r="L74" s="108" t="n"/>
      <c r="M74" s="108" t="n"/>
      <c r="N74" s="109" t="n"/>
      <c r="O74" s="109" t="n"/>
      <c r="P74" s="107" t="n"/>
      <c r="Q74" s="107" t="n"/>
      <c r="R74" s="111" t="n"/>
      <c r="S74" s="112" t="n"/>
      <c r="T74" s="113" t="n"/>
      <c r="U74" s="102">
        <f>IF(S74="","",ROUND(S74*N(T74),2))</f>
        <v/>
      </c>
      <c r="V74" s="102">
        <f>IF(S74="","",S74+U74)</f>
        <v/>
      </c>
      <c r="W74" s="103">
        <f>IF(V74="","",ROUND(V74*IF(OR(Q74="",Q74="VND"),1,R74),0))</f>
        <v/>
      </c>
      <c r="X74" s="111" t="n"/>
      <c r="Y74" s="103">
        <f>IF(W74="","",W74+N(X74))</f>
        <v/>
      </c>
      <c r="Z74" s="103">
        <f>IF(B74="","",SUMIFS('NHAT KY THANH TOAN'!$G:$G,'NHAT KY THANH TOAN'!$B:$B,B74,'NHAT KY THANH TOAN'!$D:$D,"Hóa đơn"))</f>
        <v/>
      </c>
      <c r="AA74" s="103">
        <f>IF(B74="","",SUMIFS('NHAT KY THANH TOAN'!$G:$G,'NHAT KY THANH TOAN'!$B:$B,B74,'NHAT KY THANH TOAN'!$D:$D,"Thanh toán"))</f>
        <v/>
      </c>
      <c r="AB74" s="103">
        <f>IF(Y74="","",Y74-N(AA74))</f>
        <v/>
      </c>
      <c r="AC74" s="103">
        <f>IF(B74="","",N(Z74)-N(AA74))</f>
        <v/>
      </c>
      <c r="AD74" s="104">
        <f>IF(N(Y74)=0,"",N(AA74)/Y74)</f>
        <v/>
      </c>
      <c r="AE74" s="107" t="n"/>
      <c r="AF74" s="95">
        <f>IF(H74="","",TRIM(IF(AND(N(Y74)&gt;='THAM SO'!$B$10,AE74&lt;&gt;"Có"),"Chưa rà soát pháp lý; ","")&amp;IF(I74="","Thiếu MST đối tác; ","")&amp;IF(AG74="","Chưa ghi nơi lưu bản gốc; ","")&amp;IF(COUNTIFS('NHAT KY THANH TOAN'!$B:$B,B74,'NHAT KY THANH TOAN'!$D:$D,"Thanh toán",'NHAT KY THANH TOAN'!$F:$F,"Tiền mặt",'NHAT KY THANH TOAN'!$G:$G,"&gt;="&amp;'THAM SO'!$B$11)&gt;0,"Có khoản TT tiền mặt ≥ ngưỡng; ","")&amp;IF(AND(AB74&lt;&gt;"",N(AB74)&lt;0),"Thanh toán vượt giá trị HĐ; ","")))</f>
        <v/>
      </c>
      <c r="AG74" s="108" t="n"/>
      <c r="AH74" s="109" t="n"/>
      <c r="AI74" s="105">
        <f>IF(OR(H74="",O74="",AH74&lt;&gt;""),"",O74-'THAM SO'!$B$8)</f>
        <v/>
      </c>
      <c r="AJ74" s="95">
        <f>IF(H74="","",IF(AH74&lt;&gt;"","Đã thanh lý",IF(AND(N74&lt;&gt;"",N74&gt;'THAM SO'!$B$8),"Chưa hiệu lực",IF(O74="","Đang thực hiện",IF(O74&lt;'THAM SO'!$B$8,IF(P74="Có","Đã tự gia hạn – kiểm tra","Quá hạn – chưa thanh lý"),IF(O74-'THAM SO'!$B$8&lt;='THAM SO'!$B$9,"Sắp hết hạn","Đang thực hiện"))))))</f>
        <v/>
      </c>
      <c r="AK74" s="106">
        <f>IF(AND(O74="",AH74=""),"",EDATE(MAX(N(O74),N(AH74)),12*'THAM SO'!$B$12))</f>
        <v/>
      </c>
      <c r="AL74" s="110" t="n"/>
    </row>
    <row r="75" ht="15" customHeight="1" s="64">
      <c r="A75" s="93">
        <f>IF(H75="","",COUNTA($H$9:H75))</f>
        <v/>
      </c>
      <c r="B75" s="93">
        <f>IF(OR(D75="",G75=""),"",YEAR(G75)&amp;"/"&amp;D75&amp;"/"&amp;TEXT(SUMPRODUCT(($D$9:D75=D75)*(YEAR($G$9:G75)=YEAR(G75))),"000")&amp;"-"&amp;'THAM SO'!$B$7)</f>
        <v/>
      </c>
      <c r="C75" s="107" t="n"/>
      <c r="D75" s="107" t="n"/>
      <c r="E75" s="95">
        <f>IF(D75="","",IFERROR(VLOOKUP(D75,'THAM SO'!$D$6:$E$40,2,FALSE()),"Mã loại chưa khai báo"))</f>
        <v/>
      </c>
      <c r="F75" s="108" t="n"/>
      <c r="G75" s="109" t="n"/>
      <c r="H75" s="110" t="n"/>
      <c r="I75" s="108" t="n"/>
      <c r="J75" s="110" t="n"/>
      <c r="K75" s="108" t="n"/>
      <c r="L75" s="108" t="n"/>
      <c r="M75" s="108" t="n"/>
      <c r="N75" s="109" t="n"/>
      <c r="O75" s="109" t="n"/>
      <c r="P75" s="107" t="n"/>
      <c r="Q75" s="107" t="n"/>
      <c r="R75" s="111" t="n"/>
      <c r="S75" s="112" t="n"/>
      <c r="T75" s="113" t="n"/>
      <c r="U75" s="102">
        <f>IF(S75="","",ROUND(S75*N(T75),2))</f>
        <v/>
      </c>
      <c r="V75" s="102">
        <f>IF(S75="","",S75+U75)</f>
        <v/>
      </c>
      <c r="W75" s="103">
        <f>IF(V75="","",ROUND(V75*IF(OR(Q75="",Q75="VND"),1,R75),0))</f>
        <v/>
      </c>
      <c r="X75" s="111" t="n"/>
      <c r="Y75" s="103">
        <f>IF(W75="","",W75+N(X75))</f>
        <v/>
      </c>
      <c r="Z75" s="103">
        <f>IF(B75="","",SUMIFS('NHAT KY THANH TOAN'!$G:$G,'NHAT KY THANH TOAN'!$B:$B,B75,'NHAT KY THANH TOAN'!$D:$D,"Hóa đơn"))</f>
        <v/>
      </c>
      <c r="AA75" s="103">
        <f>IF(B75="","",SUMIFS('NHAT KY THANH TOAN'!$G:$G,'NHAT KY THANH TOAN'!$B:$B,B75,'NHAT KY THANH TOAN'!$D:$D,"Thanh toán"))</f>
        <v/>
      </c>
      <c r="AB75" s="103">
        <f>IF(Y75="","",Y75-N(AA75))</f>
        <v/>
      </c>
      <c r="AC75" s="103">
        <f>IF(B75="","",N(Z75)-N(AA75))</f>
        <v/>
      </c>
      <c r="AD75" s="104">
        <f>IF(N(Y75)=0,"",N(AA75)/Y75)</f>
        <v/>
      </c>
      <c r="AE75" s="107" t="n"/>
      <c r="AF75" s="95">
        <f>IF(H75="","",TRIM(IF(AND(N(Y75)&gt;='THAM SO'!$B$10,AE75&lt;&gt;"Có"),"Chưa rà soát pháp lý; ","")&amp;IF(I75="","Thiếu MST đối tác; ","")&amp;IF(AG75="","Chưa ghi nơi lưu bản gốc; ","")&amp;IF(COUNTIFS('NHAT KY THANH TOAN'!$B:$B,B75,'NHAT KY THANH TOAN'!$D:$D,"Thanh toán",'NHAT KY THANH TOAN'!$F:$F,"Tiền mặt",'NHAT KY THANH TOAN'!$G:$G,"&gt;="&amp;'THAM SO'!$B$11)&gt;0,"Có khoản TT tiền mặt ≥ ngưỡng; ","")&amp;IF(AND(AB75&lt;&gt;"",N(AB75)&lt;0),"Thanh toán vượt giá trị HĐ; ","")))</f>
        <v/>
      </c>
      <c r="AG75" s="108" t="n"/>
      <c r="AH75" s="109" t="n"/>
      <c r="AI75" s="105">
        <f>IF(OR(H75="",O75="",AH75&lt;&gt;""),"",O75-'THAM SO'!$B$8)</f>
        <v/>
      </c>
      <c r="AJ75" s="95">
        <f>IF(H75="","",IF(AH75&lt;&gt;"","Đã thanh lý",IF(AND(N75&lt;&gt;"",N75&gt;'THAM SO'!$B$8),"Chưa hiệu lực",IF(O75="","Đang thực hiện",IF(O75&lt;'THAM SO'!$B$8,IF(P75="Có","Đã tự gia hạn – kiểm tra","Quá hạn – chưa thanh lý"),IF(O75-'THAM SO'!$B$8&lt;='THAM SO'!$B$9,"Sắp hết hạn","Đang thực hiện"))))))</f>
        <v/>
      </c>
      <c r="AK75" s="106">
        <f>IF(AND(O75="",AH75=""),"",EDATE(MAX(N(O75),N(AH75)),12*'THAM SO'!$B$12))</f>
        <v/>
      </c>
      <c r="AL75" s="110" t="n"/>
    </row>
    <row r="76" ht="15" customHeight="1" s="64">
      <c r="A76" s="93">
        <f>IF(H76="","",COUNTA($H$9:H76))</f>
        <v/>
      </c>
      <c r="B76" s="93">
        <f>IF(OR(D76="",G76=""),"",YEAR(G76)&amp;"/"&amp;D76&amp;"/"&amp;TEXT(SUMPRODUCT(($D$9:D76=D76)*(YEAR($G$9:G76)=YEAR(G76))),"000")&amp;"-"&amp;'THAM SO'!$B$7)</f>
        <v/>
      </c>
      <c r="C76" s="107" t="n"/>
      <c r="D76" s="107" t="n"/>
      <c r="E76" s="95">
        <f>IF(D76="","",IFERROR(VLOOKUP(D76,'THAM SO'!$D$6:$E$40,2,FALSE()),"Mã loại chưa khai báo"))</f>
        <v/>
      </c>
      <c r="F76" s="108" t="n"/>
      <c r="G76" s="109" t="n"/>
      <c r="H76" s="110" t="n"/>
      <c r="I76" s="108" t="n"/>
      <c r="J76" s="110" t="n"/>
      <c r="K76" s="108" t="n"/>
      <c r="L76" s="108" t="n"/>
      <c r="M76" s="108" t="n"/>
      <c r="N76" s="109" t="n"/>
      <c r="O76" s="109" t="n"/>
      <c r="P76" s="107" t="n"/>
      <c r="Q76" s="107" t="n"/>
      <c r="R76" s="111" t="n"/>
      <c r="S76" s="112" t="n"/>
      <c r="T76" s="113" t="n"/>
      <c r="U76" s="102">
        <f>IF(S76="","",ROUND(S76*N(T76),2))</f>
        <v/>
      </c>
      <c r="V76" s="102">
        <f>IF(S76="","",S76+U76)</f>
        <v/>
      </c>
      <c r="W76" s="103">
        <f>IF(V76="","",ROUND(V76*IF(OR(Q76="",Q76="VND"),1,R76),0))</f>
        <v/>
      </c>
      <c r="X76" s="111" t="n"/>
      <c r="Y76" s="103">
        <f>IF(W76="","",W76+N(X76))</f>
        <v/>
      </c>
      <c r="Z76" s="103">
        <f>IF(B76="","",SUMIFS('NHAT KY THANH TOAN'!$G:$G,'NHAT KY THANH TOAN'!$B:$B,B76,'NHAT KY THANH TOAN'!$D:$D,"Hóa đơn"))</f>
        <v/>
      </c>
      <c r="AA76" s="103">
        <f>IF(B76="","",SUMIFS('NHAT KY THANH TOAN'!$G:$G,'NHAT KY THANH TOAN'!$B:$B,B76,'NHAT KY THANH TOAN'!$D:$D,"Thanh toán"))</f>
        <v/>
      </c>
      <c r="AB76" s="103">
        <f>IF(Y76="","",Y76-N(AA76))</f>
        <v/>
      </c>
      <c r="AC76" s="103">
        <f>IF(B76="","",N(Z76)-N(AA76))</f>
        <v/>
      </c>
      <c r="AD76" s="104">
        <f>IF(N(Y76)=0,"",N(AA76)/Y76)</f>
        <v/>
      </c>
      <c r="AE76" s="107" t="n"/>
      <c r="AF76" s="95">
        <f>IF(H76="","",TRIM(IF(AND(N(Y76)&gt;='THAM SO'!$B$10,AE76&lt;&gt;"Có"),"Chưa rà soát pháp lý; ","")&amp;IF(I76="","Thiếu MST đối tác; ","")&amp;IF(AG76="","Chưa ghi nơi lưu bản gốc; ","")&amp;IF(COUNTIFS('NHAT KY THANH TOAN'!$B:$B,B76,'NHAT KY THANH TOAN'!$D:$D,"Thanh toán",'NHAT KY THANH TOAN'!$F:$F,"Tiền mặt",'NHAT KY THANH TOAN'!$G:$G,"&gt;="&amp;'THAM SO'!$B$11)&gt;0,"Có khoản TT tiền mặt ≥ ngưỡng; ","")&amp;IF(AND(AB76&lt;&gt;"",N(AB76)&lt;0),"Thanh toán vượt giá trị HĐ; ","")))</f>
        <v/>
      </c>
      <c r="AG76" s="108" t="n"/>
      <c r="AH76" s="109" t="n"/>
      <c r="AI76" s="105">
        <f>IF(OR(H76="",O76="",AH76&lt;&gt;""),"",O76-'THAM SO'!$B$8)</f>
        <v/>
      </c>
      <c r="AJ76" s="95">
        <f>IF(H76="","",IF(AH76&lt;&gt;"","Đã thanh lý",IF(AND(N76&lt;&gt;"",N76&gt;'THAM SO'!$B$8),"Chưa hiệu lực",IF(O76="","Đang thực hiện",IF(O76&lt;'THAM SO'!$B$8,IF(P76="Có","Đã tự gia hạn – kiểm tra","Quá hạn – chưa thanh lý"),IF(O76-'THAM SO'!$B$8&lt;='THAM SO'!$B$9,"Sắp hết hạn","Đang thực hiện"))))))</f>
        <v/>
      </c>
      <c r="AK76" s="106">
        <f>IF(AND(O76="",AH76=""),"",EDATE(MAX(N(O76),N(AH76)),12*'THAM SO'!$B$12))</f>
        <v/>
      </c>
      <c r="AL76" s="110" t="n"/>
    </row>
    <row r="77" ht="15" customHeight="1" s="64">
      <c r="A77" s="93">
        <f>IF(H77="","",COUNTA($H$9:H77))</f>
        <v/>
      </c>
      <c r="B77" s="93">
        <f>IF(OR(D77="",G77=""),"",YEAR(G77)&amp;"/"&amp;D77&amp;"/"&amp;TEXT(SUMPRODUCT(($D$9:D77=D77)*(YEAR($G$9:G77)=YEAR(G77))),"000")&amp;"-"&amp;'THAM SO'!$B$7)</f>
        <v/>
      </c>
      <c r="C77" s="107" t="n"/>
      <c r="D77" s="107" t="n"/>
      <c r="E77" s="95">
        <f>IF(D77="","",IFERROR(VLOOKUP(D77,'THAM SO'!$D$6:$E$40,2,FALSE()),"Mã loại chưa khai báo"))</f>
        <v/>
      </c>
      <c r="F77" s="108" t="n"/>
      <c r="G77" s="109" t="n"/>
      <c r="H77" s="110" t="n"/>
      <c r="I77" s="108" t="n"/>
      <c r="J77" s="110" t="n"/>
      <c r="K77" s="108" t="n"/>
      <c r="L77" s="108" t="n"/>
      <c r="M77" s="108" t="n"/>
      <c r="N77" s="109" t="n"/>
      <c r="O77" s="109" t="n"/>
      <c r="P77" s="107" t="n"/>
      <c r="Q77" s="107" t="n"/>
      <c r="R77" s="111" t="n"/>
      <c r="S77" s="112" t="n"/>
      <c r="T77" s="113" t="n"/>
      <c r="U77" s="102">
        <f>IF(S77="","",ROUND(S77*N(T77),2))</f>
        <v/>
      </c>
      <c r="V77" s="102">
        <f>IF(S77="","",S77+U77)</f>
        <v/>
      </c>
      <c r="W77" s="103">
        <f>IF(V77="","",ROUND(V77*IF(OR(Q77="",Q77="VND"),1,R77),0))</f>
        <v/>
      </c>
      <c r="X77" s="111" t="n"/>
      <c r="Y77" s="103">
        <f>IF(W77="","",W77+N(X77))</f>
        <v/>
      </c>
      <c r="Z77" s="103">
        <f>IF(B77="","",SUMIFS('NHAT KY THANH TOAN'!$G:$G,'NHAT KY THANH TOAN'!$B:$B,B77,'NHAT KY THANH TOAN'!$D:$D,"Hóa đơn"))</f>
        <v/>
      </c>
      <c r="AA77" s="103">
        <f>IF(B77="","",SUMIFS('NHAT KY THANH TOAN'!$G:$G,'NHAT KY THANH TOAN'!$B:$B,B77,'NHAT KY THANH TOAN'!$D:$D,"Thanh toán"))</f>
        <v/>
      </c>
      <c r="AB77" s="103">
        <f>IF(Y77="","",Y77-N(AA77))</f>
        <v/>
      </c>
      <c r="AC77" s="103">
        <f>IF(B77="","",N(Z77)-N(AA77))</f>
        <v/>
      </c>
      <c r="AD77" s="104">
        <f>IF(N(Y77)=0,"",N(AA77)/Y77)</f>
        <v/>
      </c>
      <c r="AE77" s="107" t="n"/>
      <c r="AF77" s="95">
        <f>IF(H77="","",TRIM(IF(AND(N(Y77)&gt;='THAM SO'!$B$10,AE77&lt;&gt;"Có"),"Chưa rà soát pháp lý; ","")&amp;IF(I77="","Thiếu MST đối tác; ","")&amp;IF(AG77="","Chưa ghi nơi lưu bản gốc; ","")&amp;IF(COUNTIFS('NHAT KY THANH TOAN'!$B:$B,B77,'NHAT KY THANH TOAN'!$D:$D,"Thanh toán",'NHAT KY THANH TOAN'!$F:$F,"Tiền mặt",'NHAT KY THANH TOAN'!$G:$G,"&gt;="&amp;'THAM SO'!$B$11)&gt;0,"Có khoản TT tiền mặt ≥ ngưỡng; ","")&amp;IF(AND(AB77&lt;&gt;"",N(AB77)&lt;0),"Thanh toán vượt giá trị HĐ; ","")))</f>
        <v/>
      </c>
      <c r="AG77" s="108" t="n"/>
      <c r="AH77" s="109" t="n"/>
      <c r="AI77" s="105">
        <f>IF(OR(H77="",O77="",AH77&lt;&gt;""),"",O77-'THAM SO'!$B$8)</f>
        <v/>
      </c>
      <c r="AJ77" s="95">
        <f>IF(H77="","",IF(AH77&lt;&gt;"","Đã thanh lý",IF(AND(N77&lt;&gt;"",N77&gt;'THAM SO'!$B$8),"Chưa hiệu lực",IF(O77="","Đang thực hiện",IF(O77&lt;'THAM SO'!$B$8,IF(P77="Có","Đã tự gia hạn – kiểm tra","Quá hạn – chưa thanh lý"),IF(O77-'THAM SO'!$B$8&lt;='THAM SO'!$B$9,"Sắp hết hạn","Đang thực hiện"))))))</f>
        <v/>
      </c>
      <c r="AK77" s="106">
        <f>IF(AND(O77="",AH77=""),"",EDATE(MAX(N(O77),N(AH77)),12*'THAM SO'!$B$12))</f>
        <v/>
      </c>
      <c r="AL77" s="110" t="n"/>
    </row>
    <row r="78" ht="15" customHeight="1" s="64">
      <c r="A78" s="93">
        <f>IF(H78="","",COUNTA($H$9:H78))</f>
        <v/>
      </c>
      <c r="B78" s="93">
        <f>IF(OR(D78="",G78=""),"",YEAR(G78)&amp;"/"&amp;D78&amp;"/"&amp;TEXT(SUMPRODUCT(($D$9:D78=D78)*(YEAR($G$9:G78)=YEAR(G78))),"000")&amp;"-"&amp;'THAM SO'!$B$7)</f>
        <v/>
      </c>
      <c r="C78" s="107" t="n"/>
      <c r="D78" s="107" t="n"/>
      <c r="E78" s="95">
        <f>IF(D78="","",IFERROR(VLOOKUP(D78,'THAM SO'!$D$6:$E$40,2,FALSE()),"Mã loại chưa khai báo"))</f>
        <v/>
      </c>
      <c r="F78" s="108" t="n"/>
      <c r="G78" s="109" t="n"/>
      <c r="H78" s="110" t="n"/>
      <c r="I78" s="108" t="n"/>
      <c r="J78" s="110" t="n"/>
      <c r="K78" s="108" t="n"/>
      <c r="L78" s="108" t="n"/>
      <c r="M78" s="108" t="n"/>
      <c r="N78" s="109" t="n"/>
      <c r="O78" s="109" t="n"/>
      <c r="P78" s="107" t="n"/>
      <c r="Q78" s="107" t="n"/>
      <c r="R78" s="111" t="n"/>
      <c r="S78" s="112" t="n"/>
      <c r="T78" s="113" t="n"/>
      <c r="U78" s="102">
        <f>IF(S78="","",ROUND(S78*N(T78),2))</f>
        <v/>
      </c>
      <c r="V78" s="102">
        <f>IF(S78="","",S78+U78)</f>
        <v/>
      </c>
      <c r="W78" s="103">
        <f>IF(V78="","",ROUND(V78*IF(OR(Q78="",Q78="VND"),1,R78),0))</f>
        <v/>
      </c>
      <c r="X78" s="111" t="n"/>
      <c r="Y78" s="103">
        <f>IF(W78="","",W78+N(X78))</f>
        <v/>
      </c>
      <c r="Z78" s="103">
        <f>IF(B78="","",SUMIFS('NHAT KY THANH TOAN'!$G:$G,'NHAT KY THANH TOAN'!$B:$B,B78,'NHAT KY THANH TOAN'!$D:$D,"Hóa đơn"))</f>
        <v/>
      </c>
      <c r="AA78" s="103">
        <f>IF(B78="","",SUMIFS('NHAT KY THANH TOAN'!$G:$G,'NHAT KY THANH TOAN'!$B:$B,B78,'NHAT KY THANH TOAN'!$D:$D,"Thanh toán"))</f>
        <v/>
      </c>
      <c r="AB78" s="103">
        <f>IF(Y78="","",Y78-N(AA78))</f>
        <v/>
      </c>
      <c r="AC78" s="103">
        <f>IF(B78="","",N(Z78)-N(AA78))</f>
        <v/>
      </c>
      <c r="AD78" s="104">
        <f>IF(N(Y78)=0,"",N(AA78)/Y78)</f>
        <v/>
      </c>
      <c r="AE78" s="107" t="n"/>
      <c r="AF78" s="95">
        <f>IF(H78="","",TRIM(IF(AND(N(Y78)&gt;='THAM SO'!$B$10,AE78&lt;&gt;"Có"),"Chưa rà soát pháp lý; ","")&amp;IF(I78="","Thiếu MST đối tác; ","")&amp;IF(AG78="","Chưa ghi nơi lưu bản gốc; ","")&amp;IF(COUNTIFS('NHAT KY THANH TOAN'!$B:$B,B78,'NHAT KY THANH TOAN'!$D:$D,"Thanh toán",'NHAT KY THANH TOAN'!$F:$F,"Tiền mặt",'NHAT KY THANH TOAN'!$G:$G,"&gt;="&amp;'THAM SO'!$B$11)&gt;0,"Có khoản TT tiền mặt ≥ ngưỡng; ","")&amp;IF(AND(AB78&lt;&gt;"",N(AB78)&lt;0),"Thanh toán vượt giá trị HĐ; ","")))</f>
        <v/>
      </c>
      <c r="AG78" s="108" t="n"/>
      <c r="AH78" s="109" t="n"/>
      <c r="AI78" s="105">
        <f>IF(OR(H78="",O78="",AH78&lt;&gt;""),"",O78-'THAM SO'!$B$8)</f>
        <v/>
      </c>
      <c r="AJ78" s="95">
        <f>IF(H78="","",IF(AH78&lt;&gt;"","Đã thanh lý",IF(AND(N78&lt;&gt;"",N78&gt;'THAM SO'!$B$8),"Chưa hiệu lực",IF(O78="","Đang thực hiện",IF(O78&lt;'THAM SO'!$B$8,IF(P78="Có","Đã tự gia hạn – kiểm tra","Quá hạn – chưa thanh lý"),IF(O78-'THAM SO'!$B$8&lt;='THAM SO'!$B$9,"Sắp hết hạn","Đang thực hiện"))))))</f>
        <v/>
      </c>
      <c r="AK78" s="106">
        <f>IF(AND(O78="",AH78=""),"",EDATE(MAX(N(O78),N(AH78)),12*'THAM SO'!$B$12))</f>
        <v/>
      </c>
      <c r="AL78" s="110" t="n"/>
    </row>
    <row r="79" ht="15" customHeight="1" s="64">
      <c r="A79" s="93">
        <f>IF(H79="","",COUNTA($H$9:H79))</f>
        <v/>
      </c>
      <c r="B79" s="93">
        <f>IF(OR(D79="",G79=""),"",YEAR(G79)&amp;"/"&amp;D79&amp;"/"&amp;TEXT(SUMPRODUCT(($D$9:D79=D79)*(YEAR($G$9:G79)=YEAR(G79))),"000")&amp;"-"&amp;'THAM SO'!$B$7)</f>
        <v/>
      </c>
      <c r="C79" s="107" t="n"/>
      <c r="D79" s="107" t="n"/>
      <c r="E79" s="95">
        <f>IF(D79="","",IFERROR(VLOOKUP(D79,'THAM SO'!$D$6:$E$40,2,FALSE()),"Mã loại chưa khai báo"))</f>
        <v/>
      </c>
      <c r="F79" s="108" t="n"/>
      <c r="G79" s="109" t="n"/>
      <c r="H79" s="110" t="n"/>
      <c r="I79" s="108" t="n"/>
      <c r="J79" s="110" t="n"/>
      <c r="K79" s="108" t="n"/>
      <c r="L79" s="108" t="n"/>
      <c r="M79" s="108" t="n"/>
      <c r="N79" s="109" t="n"/>
      <c r="O79" s="109" t="n"/>
      <c r="P79" s="107" t="n"/>
      <c r="Q79" s="107" t="n"/>
      <c r="R79" s="111" t="n"/>
      <c r="S79" s="112" t="n"/>
      <c r="T79" s="113" t="n"/>
      <c r="U79" s="102">
        <f>IF(S79="","",ROUND(S79*N(T79),2))</f>
        <v/>
      </c>
      <c r="V79" s="102">
        <f>IF(S79="","",S79+U79)</f>
        <v/>
      </c>
      <c r="W79" s="103">
        <f>IF(V79="","",ROUND(V79*IF(OR(Q79="",Q79="VND"),1,R79),0))</f>
        <v/>
      </c>
      <c r="X79" s="111" t="n"/>
      <c r="Y79" s="103">
        <f>IF(W79="","",W79+N(X79))</f>
        <v/>
      </c>
      <c r="Z79" s="103">
        <f>IF(B79="","",SUMIFS('NHAT KY THANH TOAN'!$G:$G,'NHAT KY THANH TOAN'!$B:$B,B79,'NHAT KY THANH TOAN'!$D:$D,"Hóa đơn"))</f>
        <v/>
      </c>
      <c r="AA79" s="103">
        <f>IF(B79="","",SUMIFS('NHAT KY THANH TOAN'!$G:$G,'NHAT KY THANH TOAN'!$B:$B,B79,'NHAT KY THANH TOAN'!$D:$D,"Thanh toán"))</f>
        <v/>
      </c>
      <c r="AB79" s="103">
        <f>IF(Y79="","",Y79-N(AA79))</f>
        <v/>
      </c>
      <c r="AC79" s="103">
        <f>IF(B79="","",N(Z79)-N(AA79))</f>
        <v/>
      </c>
      <c r="AD79" s="104">
        <f>IF(N(Y79)=0,"",N(AA79)/Y79)</f>
        <v/>
      </c>
      <c r="AE79" s="107" t="n"/>
      <c r="AF79" s="95">
        <f>IF(H79="","",TRIM(IF(AND(N(Y79)&gt;='THAM SO'!$B$10,AE79&lt;&gt;"Có"),"Chưa rà soát pháp lý; ","")&amp;IF(I79="","Thiếu MST đối tác; ","")&amp;IF(AG79="","Chưa ghi nơi lưu bản gốc; ","")&amp;IF(COUNTIFS('NHAT KY THANH TOAN'!$B:$B,B79,'NHAT KY THANH TOAN'!$D:$D,"Thanh toán",'NHAT KY THANH TOAN'!$F:$F,"Tiền mặt",'NHAT KY THANH TOAN'!$G:$G,"&gt;="&amp;'THAM SO'!$B$11)&gt;0,"Có khoản TT tiền mặt ≥ ngưỡng; ","")&amp;IF(AND(AB79&lt;&gt;"",N(AB79)&lt;0),"Thanh toán vượt giá trị HĐ; ","")))</f>
        <v/>
      </c>
      <c r="AG79" s="108" t="n"/>
      <c r="AH79" s="109" t="n"/>
      <c r="AI79" s="105">
        <f>IF(OR(H79="",O79="",AH79&lt;&gt;""),"",O79-'THAM SO'!$B$8)</f>
        <v/>
      </c>
      <c r="AJ79" s="95">
        <f>IF(H79="","",IF(AH79&lt;&gt;"","Đã thanh lý",IF(AND(N79&lt;&gt;"",N79&gt;'THAM SO'!$B$8),"Chưa hiệu lực",IF(O79="","Đang thực hiện",IF(O79&lt;'THAM SO'!$B$8,IF(P79="Có","Đã tự gia hạn – kiểm tra","Quá hạn – chưa thanh lý"),IF(O79-'THAM SO'!$B$8&lt;='THAM SO'!$B$9,"Sắp hết hạn","Đang thực hiện"))))))</f>
        <v/>
      </c>
      <c r="AK79" s="106">
        <f>IF(AND(O79="",AH79=""),"",EDATE(MAX(N(O79),N(AH79)),12*'THAM SO'!$B$12))</f>
        <v/>
      </c>
      <c r="AL79" s="110" t="n"/>
    </row>
    <row r="80" ht="15" customHeight="1" s="64">
      <c r="A80" s="93">
        <f>IF(H80="","",COUNTA($H$9:H80))</f>
        <v/>
      </c>
      <c r="B80" s="93">
        <f>IF(OR(D80="",G80=""),"",YEAR(G80)&amp;"/"&amp;D80&amp;"/"&amp;TEXT(SUMPRODUCT(($D$9:D80=D80)*(YEAR($G$9:G80)=YEAR(G80))),"000")&amp;"-"&amp;'THAM SO'!$B$7)</f>
        <v/>
      </c>
      <c r="C80" s="107" t="n"/>
      <c r="D80" s="107" t="n"/>
      <c r="E80" s="95">
        <f>IF(D80="","",IFERROR(VLOOKUP(D80,'THAM SO'!$D$6:$E$40,2,FALSE()),"Mã loại chưa khai báo"))</f>
        <v/>
      </c>
      <c r="F80" s="108" t="n"/>
      <c r="G80" s="109" t="n"/>
      <c r="H80" s="110" t="n"/>
      <c r="I80" s="108" t="n"/>
      <c r="J80" s="110" t="n"/>
      <c r="K80" s="108" t="n"/>
      <c r="L80" s="108" t="n"/>
      <c r="M80" s="108" t="n"/>
      <c r="N80" s="109" t="n"/>
      <c r="O80" s="109" t="n"/>
      <c r="P80" s="107" t="n"/>
      <c r="Q80" s="107" t="n"/>
      <c r="R80" s="111" t="n"/>
      <c r="S80" s="112" t="n"/>
      <c r="T80" s="113" t="n"/>
      <c r="U80" s="102">
        <f>IF(S80="","",ROUND(S80*N(T80),2))</f>
        <v/>
      </c>
      <c r="V80" s="102">
        <f>IF(S80="","",S80+U80)</f>
        <v/>
      </c>
      <c r="W80" s="103">
        <f>IF(V80="","",ROUND(V80*IF(OR(Q80="",Q80="VND"),1,R80),0))</f>
        <v/>
      </c>
      <c r="X80" s="111" t="n"/>
      <c r="Y80" s="103">
        <f>IF(W80="","",W80+N(X80))</f>
        <v/>
      </c>
      <c r="Z80" s="103">
        <f>IF(B80="","",SUMIFS('NHAT KY THANH TOAN'!$G:$G,'NHAT KY THANH TOAN'!$B:$B,B80,'NHAT KY THANH TOAN'!$D:$D,"Hóa đơn"))</f>
        <v/>
      </c>
      <c r="AA80" s="103">
        <f>IF(B80="","",SUMIFS('NHAT KY THANH TOAN'!$G:$G,'NHAT KY THANH TOAN'!$B:$B,B80,'NHAT KY THANH TOAN'!$D:$D,"Thanh toán"))</f>
        <v/>
      </c>
      <c r="AB80" s="103">
        <f>IF(Y80="","",Y80-N(AA80))</f>
        <v/>
      </c>
      <c r="AC80" s="103">
        <f>IF(B80="","",N(Z80)-N(AA80))</f>
        <v/>
      </c>
      <c r="AD80" s="104">
        <f>IF(N(Y80)=0,"",N(AA80)/Y80)</f>
        <v/>
      </c>
      <c r="AE80" s="107" t="n"/>
      <c r="AF80" s="95">
        <f>IF(H80="","",TRIM(IF(AND(N(Y80)&gt;='THAM SO'!$B$10,AE80&lt;&gt;"Có"),"Chưa rà soát pháp lý; ","")&amp;IF(I80="","Thiếu MST đối tác; ","")&amp;IF(AG80="","Chưa ghi nơi lưu bản gốc; ","")&amp;IF(COUNTIFS('NHAT KY THANH TOAN'!$B:$B,B80,'NHAT KY THANH TOAN'!$D:$D,"Thanh toán",'NHAT KY THANH TOAN'!$F:$F,"Tiền mặt",'NHAT KY THANH TOAN'!$G:$G,"&gt;="&amp;'THAM SO'!$B$11)&gt;0,"Có khoản TT tiền mặt ≥ ngưỡng; ","")&amp;IF(AND(AB80&lt;&gt;"",N(AB80)&lt;0),"Thanh toán vượt giá trị HĐ; ","")))</f>
        <v/>
      </c>
      <c r="AG80" s="108" t="n"/>
      <c r="AH80" s="109" t="n"/>
      <c r="AI80" s="105">
        <f>IF(OR(H80="",O80="",AH80&lt;&gt;""),"",O80-'THAM SO'!$B$8)</f>
        <v/>
      </c>
      <c r="AJ80" s="95">
        <f>IF(H80="","",IF(AH80&lt;&gt;"","Đã thanh lý",IF(AND(N80&lt;&gt;"",N80&gt;'THAM SO'!$B$8),"Chưa hiệu lực",IF(O80="","Đang thực hiện",IF(O80&lt;'THAM SO'!$B$8,IF(P80="Có","Đã tự gia hạn – kiểm tra","Quá hạn – chưa thanh lý"),IF(O80-'THAM SO'!$B$8&lt;='THAM SO'!$B$9,"Sắp hết hạn","Đang thực hiện"))))))</f>
        <v/>
      </c>
      <c r="AK80" s="106">
        <f>IF(AND(O80="",AH80=""),"",EDATE(MAX(N(O80),N(AH80)),12*'THAM SO'!$B$12))</f>
        <v/>
      </c>
      <c r="AL80" s="110" t="n"/>
    </row>
    <row r="81" ht="15" customHeight="1" s="64">
      <c r="A81" s="93">
        <f>IF(H81="","",COUNTA($H$9:H81))</f>
        <v/>
      </c>
      <c r="B81" s="93">
        <f>IF(OR(D81="",G81=""),"",YEAR(G81)&amp;"/"&amp;D81&amp;"/"&amp;TEXT(SUMPRODUCT(($D$9:D81=D81)*(YEAR($G$9:G81)=YEAR(G81))),"000")&amp;"-"&amp;'THAM SO'!$B$7)</f>
        <v/>
      </c>
      <c r="C81" s="107" t="n"/>
      <c r="D81" s="107" t="n"/>
      <c r="E81" s="95">
        <f>IF(D81="","",IFERROR(VLOOKUP(D81,'THAM SO'!$D$6:$E$40,2,FALSE()),"Mã loại chưa khai báo"))</f>
        <v/>
      </c>
      <c r="F81" s="108" t="n"/>
      <c r="G81" s="109" t="n"/>
      <c r="H81" s="110" t="n"/>
      <c r="I81" s="108" t="n"/>
      <c r="J81" s="110" t="n"/>
      <c r="K81" s="108" t="n"/>
      <c r="L81" s="108" t="n"/>
      <c r="M81" s="108" t="n"/>
      <c r="N81" s="109" t="n"/>
      <c r="O81" s="109" t="n"/>
      <c r="P81" s="107" t="n"/>
      <c r="Q81" s="107" t="n"/>
      <c r="R81" s="111" t="n"/>
      <c r="S81" s="112" t="n"/>
      <c r="T81" s="113" t="n"/>
      <c r="U81" s="102">
        <f>IF(S81="","",ROUND(S81*N(T81),2))</f>
        <v/>
      </c>
      <c r="V81" s="102">
        <f>IF(S81="","",S81+U81)</f>
        <v/>
      </c>
      <c r="W81" s="103">
        <f>IF(V81="","",ROUND(V81*IF(OR(Q81="",Q81="VND"),1,R81),0))</f>
        <v/>
      </c>
      <c r="X81" s="111" t="n"/>
      <c r="Y81" s="103">
        <f>IF(W81="","",W81+N(X81))</f>
        <v/>
      </c>
      <c r="Z81" s="103">
        <f>IF(B81="","",SUMIFS('NHAT KY THANH TOAN'!$G:$G,'NHAT KY THANH TOAN'!$B:$B,B81,'NHAT KY THANH TOAN'!$D:$D,"Hóa đơn"))</f>
        <v/>
      </c>
      <c r="AA81" s="103">
        <f>IF(B81="","",SUMIFS('NHAT KY THANH TOAN'!$G:$G,'NHAT KY THANH TOAN'!$B:$B,B81,'NHAT KY THANH TOAN'!$D:$D,"Thanh toán"))</f>
        <v/>
      </c>
      <c r="AB81" s="103">
        <f>IF(Y81="","",Y81-N(AA81))</f>
        <v/>
      </c>
      <c r="AC81" s="103">
        <f>IF(B81="","",N(Z81)-N(AA81))</f>
        <v/>
      </c>
      <c r="AD81" s="104">
        <f>IF(N(Y81)=0,"",N(AA81)/Y81)</f>
        <v/>
      </c>
      <c r="AE81" s="107" t="n"/>
      <c r="AF81" s="95">
        <f>IF(H81="","",TRIM(IF(AND(N(Y81)&gt;='THAM SO'!$B$10,AE81&lt;&gt;"Có"),"Chưa rà soát pháp lý; ","")&amp;IF(I81="","Thiếu MST đối tác; ","")&amp;IF(AG81="","Chưa ghi nơi lưu bản gốc; ","")&amp;IF(COUNTIFS('NHAT KY THANH TOAN'!$B:$B,B81,'NHAT KY THANH TOAN'!$D:$D,"Thanh toán",'NHAT KY THANH TOAN'!$F:$F,"Tiền mặt",'NHAT KY THANH TOAN'!$G:$G,"&gt;="&amp;'THAM SO'!$B$11)&gt;0,"Có khoản TT tiền mặt ≥ ngưỡng; ","")&amp;IF(AND(AB81&lt;&gt;"",N(AB81)&lt;0),"Thanh toán vượt giá trị HĐ; ","")))</f>
        <v/>
      </c>
      <c r="AG81" s="108" t="n"/>
      <c r="AH81" s="109" t="n"/>
      <c r="AI81" s="105">
        <f>IF(OR(H81="",O81="",AH81&lt;&gt;""),"",O81-'THAM SO'!$B$8)</f>
        <v/>
      </c>
      <c r="AJ81" s="95">
        <f>IF(H81="","",IF(AH81&lt;&gt;"","Đã thanh lý",IF(AND(N81&lt;&gt;"",N81&gt;'THAM SO'!$B$8),"Chưa hiệu lực",IF(O81="","Đang thực hiện",IF(O81&lt;'THAM SO'!$B$8,IF(P81="Có","Đã tự gia hạn – kiểm tra","Quá hạn – chưa thanh lý"),IF(O81-'THAM SO'!$B$8&lt;='THAM SO'!$B$9,"Sắp hết hạn","Đang thực hiện"))))))</f>
        <v/>
      </c>
      <c r="AK81" s="106">
        <f>IF(AND(O81="",AH81=""),"",EDATE(MAX(N(O81),N(AH81)),12*'THAM SO'!$B$12))</f>
        <v/>
      </c>
      <c r="AL81" s="110" t="n"/>
    </row>
    <row r="82" ht="15" customHeight="1" s="64">
      <c r="A82" s="93">
        <f>IF(H82="","",COUNTA($H$9:H82))</f>
        <v/>
      </c>
      <c r="B82" s="93">
        <f>IF(OR(D82="",G82=""),"",YEAR(G82)&amp;"/"&amp;D82&amp;"/"&amp;TEXT(SUMPRODUCT(($D$9:D82=D82)*(YEAR($G$9:G82)=YEAR(G82))),"000")&amp;"-"&amp;'THAM SO'!$B$7)</f>
        <v/>
      </c>
      <c r="C82" s="107" t="n"/>
      <c r="D82" s="107" t="n"/>
      <c r="E82" s="95">
        <f>IF(D82="","",IFERROR(VLOOKUP(D82,'THAM SO'!$D$6:$E$40,2,FALSE()),"Mã loại chưa khai báo"))</f>
        <v/>
      </c>
      <c r="F82" s="108" t="n"/>
      <c r="G82" s="109" t="n"/>
      <c r="H82" s="110" t="n"/>
      <c r="I82" s="108" t="n"/>
      <c r="J82" s="110" t="n"/>
      <c r="K82" s="108" t="n"/>
      <c r="L82" s="108" t="n"/>
      <c r="M82" s="108" t="n"/>
      <c r="N82" s="109" t="n"/>
      <c r="O82" s="109" t="n"/>
      <c r="P82" s="107" t="n"/>
      <c r="Q82" s="107" t="n"/>
      <c r="R82" s="111" t="n"/>
      <c r="S82" s="112" t="n"/>
      <c r="T82" s="113" t="n"/>
      <c r="U82" s="102">
        <f>IF(S82="","",ROUND(S82*N(T82),2))</f>
        <v/>
      </c>
      <c r="V82" s="102">
        <f>IF(S82="","",S82+U82)</f>
        <v/>
      </c>
      <c r="W82" s="103">
        <f>IF(V82="","",ROUND(V82*IF(OR(Q82="",Q82="VND"),1,R82),0))</f>
        <v/>
      </c>
      <c r="X82" s="111" t="n"/>
      <c r="Y82" s="103">
        <f>IF(W82="","",W82+N(X82))</f>
        <v/>
      </c>
      <c r="Z82" s="103">
        <f>IF(B82="","",SUMIFS('NHAT KY THANH TOAN'!$G:$G,'NHAT KY THANH TOAN'!$B:$B,B82,'NHAT KY THANH TOAN'!$D:$D,"Hóa đơn"))</f>
        <v/>
      </c>
      <c r="AA82" s="103">
        <f>IF(B82="","",SUMIFS('NHAT KY THANH TOAN'!$G:$G,'NHAT KY THANH TOAN'!$B:$B,B82,'NHAT KY THANH TOAN'!$D:$D,"Thanh toán"))</f>
        <v/>
      </c>
      <c r="AB82" s="103">
        <f>IF(Y82="","",Y82-N(AA82))</f>
        <v/>
      </c>
      <c r="AC82" s="103">
        <f>IF(B82="","",N(Z82)-N(AA82))</f>
        <v/>
      </c>
      <c r="AD82" s="104">
        <f>IF(N(Y82)=0,"",N(AA82)/Y82)</f>
        <v/>
      </c>
      <c r="AE82" s="107" t="n"/>
      <c r="AF82" s="95">
        <f>IF(H82="","",TRIM(IF(AND(N(Y82)&gt;='THAM SO'!$B$10,AE82&lt;&gt;"Có"),"Chưa rà soát pháp lý; ","")&amp;IF(I82="","Thiếu MST đối tác; ","")&amp;IF(AG82="","Chưa ghi nơi lưu bản gốc; ","")&amp;IF(COUNTIFS('NHAT KY THANH TOAN'!$B:$B,B82,'NHAT KY THANH TOAN'!$D:$D,"Thanh toán",'NHAT KY THANH TOAN'!$F:$F,"Tiền mặt",'NHAT KY THANH TOAN'!$G:$G,"&gt;="&amp;'THAM SO'!$B$11)&gt;0,"Có khoản TT tiền mặt ≥ ngưỡng; ","")&amp;IF(AND(AB82&lt;&gt;"",N(AB82)&lt;0),"Thanh toán vượt giá trị HĐ; ","")))</f>
        <v/>
      </c>
      <c r="AG82" s="108" t="n"/>
      <c r="AH82" s="109" t="n"/>
      <c r="AI82" s="105">
        <f>IF(OR(H82="",O82="",AH82&lt;&gt;""),"",O82-'THAM SO'!$B$8)</f>
        <v/>
      </c>
      <c r="AJ82" s="95">
        <f>IF(H82="","",IF(AH82&lt;&gt;"","Đã thanh lý",IF(AND(N82&lt;&gt;"",N82&gt;'THAM SO'!$B$8),"Chưa hiệu lực",IF(O82="","Đang thực hiện",IF(O82&lt;'THAM SO'!$B$8,IF(P82="Có","Đã tự gia hạn – kiểm tra","Quá hạn – chưa thanh lý"),IF(O82-'THAM SO'!$B$8&lt;='THAM SO'!$B$9,"Sắp hết hạn","Đang thực hiện"))))))</f>
        <v/>
      </c>
      <c r="AK82" s="106">
        <f>IF(AND(O82="",AH82=""),"",EDATE(MAX(N(O82),N(AH82)),12*'THAM SO'!$B$12))</f>
        <v/>
      </c>
      <c r="AL82" s="110" t="n"/>
    </row>
    <row r="83" ht="15" customHeight="1" s="64">
      <c r="A83" s="93">
        <f>IF(H83="","",COUNTA($H$9:H83))</f>
        <v/>
      </c>
      <c r="B83" s="93">
        <f>IF(OR(D83="",G83=""),"",YEAR(G83)&amp;"/"&amp;D83&amp;"/"&amp;TEXT(SUMPRODUCT(($D$9:D83=D83)*(YEAR($G$9:G83)=YEAR(G83))),"000")&amp;"-"&amp;'THAM SO'!$B$7)</f>
        <v/>
      </c>
      <c r="C83" s="107" t="n"/>
      <c r="D83" s="107" t="n"/>
      <c r="E83" s="95">
        <f>IF(D83="","",IFERROR(VLOOKUP(D83,'THAM SO'!$D$6:$E$40,2,FALSE()),"Mã loại chưa khai báo"))</f>
        <v/>
      </c>
      <c r="F83" s="108" t="n"/>
      <c r="G83" s="109" t="n"/>
      <c r="H83" s="110" t="n"/>
      <c r="I83" s="108" t="n"/>
      <c r="J83" s="110" t="n"/>
      <c r="K83" s="108" t="n"/>
      <c r="L83" s="108" t="n"/>
      <c r="M83" s="108" t="n"/>
      <c r="N83" s="109" t="n"/>
      <c r="O83" s="109" t="n"/>
      <c r="P83" s="107" t="n"/>
      <c r="Q83" s="107" t="n"/>
      <c r="R83" s="111" t="n"/>
      <c r="S83" s="112" t="n"/>
      <c r="T83" s="113" t="n"/>
      <c r="U83" s="102">
        <f>IF(S83="","",ROUND(S83*N(T83),2))</f>
        <v/>
      </c>
      <c r="V83" s="102">
        <f>IF(S83="","",S83+U83)</f>
        <v/>
      </c>
      <c r="W83" s="103">
        <f>IF(V83="","",ROUND(V83*IF(OR(Q83="",Q83="VND"),1,R83),0))</f>
        <v/>
      </c>
      <c r="X83" s="111" t="n"/>
      <c r="Y83" s="103">
        <f>IF(W83="","",W83+N(X83))</f>
        <v/>
      </c>
      <c r="Z83" s="103">
        <f>IF(B83="","",SUMIFS('NHAT KY THANH TOAN'!$G:$G,'NHAT KY THANH TOAN'!$B:$B,B83,'NHAT KY THANH TOAN'!$D:$D,"Hóa đơn"))</f>
        <v/>
      </c>
      <c r="AA83" s="103">
        <f>IF(B83="","",SUMIFS('NHAT KY THANH TOAN'!$G:$G,'NHAT KY THANH TOAN'!$B:$B,B83,'NHAT KY THANH TOAN'!$D:$D,"Thanh toán"))</f>
        <v/>
      </c>
      <c r="AB83" s="103">
        <f>IF(Y83="","",Y83-N(AA83))</f>
        <v/>
      </c>
      <c r="AC83" s="103">
        <f>IF(B83="","",N(Z83)-N(AA83))</f>
        <v/>
      </c>
      <c r="AD83" s="104">
        <f>IF(N(Y83)=0,"",N(AA83)/Y83)</f>
        <v/>
      </c>
      <c r="AE83" s="107" t="n"/>
      <c r="AF83" s="95">
        <f>IF(H83="","",TRIM(IF(AND(N(Y83)&gt;='THAM SO'!$B$10,AE83&lt;&gt;"Có"),"Chưa rà soát pháp lý; ","")&amp;IF(I83="","Thiếu MST đối tác; ","")&amp;IF(AG83="","Chưa ghi nơi lưu bản gốc; ","")&amp;IF(COUNTIFS('NHAT KY THANH TOAN'!$B:$B,B83,'NHAT KY THANH TOAN'!$D:$D,"Thanh toán",'NHAT KY THANH TOAN'!$F:$F,"Tiền mặt",'NHAT KY THANH TOAN'!$G:$G,"&gt;="&amp;'THAM SO'!$B$11)&gt;0,"Có khoản TT tiền mặt ≥ ngưỡng; ","")&amp;IF(AND(AB83&lt;&gt;"",N(AB83)&lt;0),"Thanh toán vượt giá trị HĐ; ","")))</f>
        <v/>
      </c>
      <c r="AG83" s="108" t="n"/>
      <c r="AH83" s="109" t="n"/>
      <c r="AI83" s="105">
        <f>IF(OR(H83="",O83="",AH83&lt;&gt;""),"",O83-'THAM SO'!$B$8)</f>
        <v/>
      </c>
      <c r="AJ83" s="95">
        <f>IF(H83="","",IF(AH83&lt;&gt;"","Đã thanh lý",IF(AND(N83&lt;&gt;"",N83&gt;'THAM SO'!$B$8),"Chưa hiệu lực",IF(O83="","Đang thực hiện",IF(O83&lt;'THAM SO'!$B$8,IF(P83="Có","Đã tự gia hạn – kiểm tra","Quá hạn – chưa thanh lý"),IF(O83-'THAM SO'!$B$8&lt;='THAM SO'!$B$9,"Sắp hết hạn","Đang thực hiện"))))))</f>
        <v/>
      </c>
      <c r="AK83" s="106">
        <f>IF(AND(O83="",AH83=""),"",EDATE(MAX(N(O83),N(AH83)),12*'THAM SO'!$B$12))</f>
        <v/>
      </c>
      <c r="AL83" s="110" t="n"/>
    </row>
    <row r="84" ht="15" customHeight="1" s="64">
      <c r="A84" s="93">
        <f>IF(H84="","",COUNTA($H$9:H84))</f>
        <v/>
      </c>
      <c r="B84" s="93">
        <f>IF(OR(D84="",G84=""),"",YEAR(G84)&amp;"/"&amp;D84&amp;"/"&amp;TEXT(SUMPRODUCT(($D$9:D84=D84)*(YEAR($G$9:G84)=YEAR(G84))),"000")&amp;"-"&amp;'THAM SO'!$B$7)</f>
        <v/>
      </c>
      <c r="C84" s="107" t="n"/>
      <c r="D84" s="107" t="n"/>
      <c r="E84" s="95">
        <f>IF(D84="","",IFERROR(VLOOKUP(D84,'THAM SO'!$D$6:$E$40,2,FALSE()),"Mã loại chưa khai báo"))</f>
        <v/>
      </c>
      <c r="F84" s="108" t="n"/>
      <c r="G84" s="109" t="n"/>
      <c r="H84" s="110" t="n"/>
      <c r="I84" s="108" t="n"/>
      <c r="J84" s="110" t="n"/>
      <c r="K84" s="108" t="n"/>
      <c r="L84" s="108" t="n"/>
      <c r="M84" s="108" t="n"/>
      <c r="N84" s="109" t="n"/>
      <c r="O84" s="109" t="n"/>
      <c r="P84" s="107" t="n"/>
      <c r="Q84" s="107" t="n"/>
      <c r="R84" s="111" t="n"/>
      <c r="S84" s="112" t="n"/>
      <c r="T84" s="113" t="n"/>
      <c r="U84" s="102">
        <f>IF(S84="","",ROUND(S84*N(T84),2))</f>
        <v/>
      </c>
      <c r="V84" s="102">
        <f>IF(S84="","",S84+U84)</f>
        <v/>
      </c>
      <c r="W84" s="103">
        <f>IF(V84="","",ROUND(V84*IF(OR(Q84="",Q84="VND"),1,R84),0))</f>
        <v/>
      </c>
      <c r="X84" s="111" t="n"/>
      <c r="Y84" s="103">
        <f>IF(W84="","",W84+N(X84))</f>
        <v/>
      </c>
      <c r="Z84" s="103">
        <f>IF(B84="","",SUMIFS('NHAT KY THANH TOAN'!$G:$G,'NHAT KY THANH TOAN'!$B:$B,B84,'NHAT KY THANH TOAN'!$D:$D,"Hóa đơn"))</f>
        <v/>
      </c>
      <c r="AA84" s="103">
        <f>IF(B84="","",SUMIFS('NHAT KY THANH TOAN'!$G:$G,'NHAT KY THANH TOAN'!$B:$B,B84,'NHAT KY THANH TOAN'!$D:$D,"Thanh toán"))</f>
        <v/>
      </c>
      <c r="AB84" s="103">
        <f>IF(Y84="","",Y84-N(AA84))</f>
        <v/>
      </c>
      <c r="AC84" s="103">
        <f>IF(B84="","",N(Z84)-N(AA84))</f>
        <v/>
      </c>
      <c r="AD84" s="104">
        <f>IF(N(Y84)=0,"",N(AA84)/Y84)</f>
        <v/>
      </c>
      <c r="AE84" s="107" t="n"/>
      <c r="AF84" s="95">
        <f>IF(H84="","",TRIM(IF(AND(N(Y84)&gt;='THAM SO'!$B$10,AE84&lt;&gt;"Có"),"Chưa rà soát pháp lý; ","")&amp;IF(I84="","Thiếu MST đối tác; ","")&amp;IF(AG84="","Chưa ghi nơi lưu bản gốc; ","")&amp;IF(COUNTIFS('NHAT KY THANH TOAN'!$B:$B,B84,'NHAT KY THANH TOAN'!$D:$D,"Thanh toán",'NHAT KY THANH TOAN'!$F:$F,"Tiền mặt",'NHAT KY THANH TOAN'!$G:$G,"&gt;="&amp;'THAM SO'!$B$11)&gt;0,"Có khoản TT tiền mặt ≥ ngưỡng; ","")&amp;IF(AND(AB84&lt;&gt;"",N(AB84)&lt;0),"Thanh toán vượt giá trị HĐ; ","")))</f>
        <v/>
      </c>
      <c r="AG84" s="108" t="n"/>
      <c r="AH84" s="109" t="n"/>
      <c r="AI84" s="105">
        <f>IF(OR(H84="",O84="",AH84&lt;&gt;""),"",O84-'THAM SO'!$B$8)</f>
        <v/>
      </c>
      <c r="AJ84" s="95">
        <f>IF(H84="","",IF(AH84&lt;&gt;"","Đã thanh lý",IF(AND(N84&lt;&gt;"",N84&gt;'THAM SO'!$B$8),"Chưa hiệu lực",IF(O84="","Đang thực hiện",IF(O84&lt;'THAM SO'!$B$8,IF(P84="Có","Đã tự gia hạn – kiểm tra","Quá hạn – chưa thanh lý"),IF(O84-'THAM SO'!$B$8&lt;='THAM SO'!$B$9,"Sắp hết hạn","Đang thực hiện"))))))</f>
        <v/>
      </c>
      <c r="AK84" s="106">
        <f>IF(AND(O84="",AH84=""),"",EDATE(MAX(N(O84),N(AH84)),12*'THAM SO'!$B$12))</f>
        <v/>
      </c>
      <c r="AL84" s="110" t="n"/>
    </row>
    <row r="85" ht="15" customHeight="1" s="64">
      <c r="A85" s="93">
        <f>IF(H85="","",COUNTA($H$9:H85))</f>
        <v/>
      </c>
      <c r="B85" s="93">
        <f>IF(OR(D85="",G85=""),"",YEAR(G85)&amp;"/"&amp;D85&amp;"/"&amp;TEXT(SUMPRODUCT(($D$9:D85=D85)*(YEAR($G$9:G85)=YEAR(G85))),"000")&amp;"-"&amp;'THAM SO'!$B$7)</f>
        <v/>
      </c>
      <c r="C85" s="107" t="n"/>
      <c r="D85" s="107" t="n"/>
      <c r="E85" s="95">
        <f>IF(D85="","",IFERROR(VLOOKUP(D85,'THAM SO'!$D$6:$E$40,2,FALSE()),"Mã loại chưa khai báo"))</f>
        <v/>
      </c>
      <c r="F85" s="108" t="n"/>
      <c r="G85" s="109" t="n"/>
      <c r="H85" s="110" t="n"/>
      <c r="I85" s="108" t="n"/>
      <c r="J85" s="110" t="n"/>
      <c r="K85" s="108" t="n"/>
      <c r="L85" s="108" t="n"/>
      <c r="M85" s="108" t="n"/>
      <c r="N85" s="109" t="n"/>
      <c r="O85" s="109" t="n"/>
      <c r="P85" s="107" t="n"/>
      <c r="Q85" s="107" t="n"/>
      <c r="R85" s="111" t="n"/>
      <c r="S85" s="112" t="n"/>
      <c r="T85" s="113" t="n"/>
      <c r="U85" s="102">
        <f>IF(S85="","",ROUND(S85*N(T85),2))</f>
        <v/>
      </c>
      <c r="V85" s="102">
        <f>IF(S85="","",S85+U85)</f>
        <v/>
      </c>
      <c r="W85" s="103">
        <f>IF(V85="","",ROUND(V85*IF(OR(Q85="",Q85="VND"),1,R85),0))</f>
        <v/>
      </c>
      <c r="X85" s="111" t="n"/>
      <c r="Y85" s="103">
        <f>IF(W85="","",W85+N(X85))</f>
        <v/>
      </c>
      <c r="Z85" s="103">
        <f>IF(B85="","",SUMIFS('NHAT KY THANH TOAN'!$G:$G,'NHAT KY THANH TOAN'!$B:$B,B85,'NHAT KY THANH TOAN'!$D:$D,"Hóa đơn"))</f>
        <v/>
      </c>
      <c r="AA85" s="103">
        <f>IF(B85="","",SUMIFS('NHAT KY THANH TOAN'!$G:$G,'NHAT KY THANH TOAN'!$B:$B,B85,'NHAT KY THANH TOAN'!$D:$D,"Thanh toán"))</f>
        <v/>
      </c>
      <c r="AB85" s="103">
        <f>IF(Y85="","",Y85-N(AA85))</f>
        <v/>
      </c>
      <c r="AC85" s="103">
        <f>IF(B85="","",N(Z85)-N(AA85))</f>
        <v/>
      </c>
      <c r="AD85" s="104">
        <f>IF(N(Y85)=0,"",N(AA85)/Y85)</f>
        <v/>
      </c>
      <c r="AE85" s="107" t="n"/>
      <c r="AF85" s="95">
        <f>IF(H85="","",TRIM(IF(AND(N(Y85)&gt;='THAM SO'!$B$10,AE85&lt;&gt;"Có"),"Chưa rà soát pháp lý; ","")&amp;IF(I85="","Thiếu MST đối tác; ","")&amp;IF(AG85="","Chưa ghi nơi lưu bản gốc; ","")&amp;IF(COUNTIFS('NHAT KY THANH TOAN'!$B:$B,B85,'NHAT KY THANH TOAN'!$D:$D,"Thanh toán",'NHAT KY THANH TOAN'!$F:$F,"Tiền mặt",'NHAT KY THANH TOAN'!$G:$G,"&gt;="&amp;'THAM SO'!$B$11)&gt;0,"Có khoản TT tiền mặt ≥ ngưỡng; ","")&amp;IF(AND(AB85&lt;&gt;"",N(AB85)&lt;0),"Thanh toán vượt giá trị HĐ; ","")))</f>
        <v/>
      </c>
      <c r="AG85" s="108" t="n"/>
      <c r="AH85" s="109" t="n"/>
      <c r="AI85" s="105">
        <f>IF(OR(H85="",O85="",AH85&lt;&gt;""),"",O85-'THAM SO'!$B$8)</f>
        <v/>
      </c>
      <c r="AJ85" s="95">
        <f>IF(H85="","",IF(AH85&lt;&gt;"","Đã thanh lý",IF(AND(N85&lt;&gt;"",N85&gt;'THAM SO'!$B$8),"Chưa hiệu lực",IF(O85="","Đang thực hiện",IF(O85&lt;'THAM SO'!$B$8,IF(P85="Có","Đã tự gia hạn – kiểm tra","Quá hạn – chưa thanh lý"),IF(O85-'THAM SO'!$B$8&lt;='THAM SO'!$B$9,"Sắp hết hạn","Đang thực hiện"))))))</f>
        <v/>
      </c>
      <c r="AK85" s="106">
        <f>IF(AND(O85="",AH85=""),"",EDATE(MAX(N(O85),N(AH85)),12*'THAM SO'!$B$12))</f>
        <v/>
      </c>
      <c r="AL85" s="110" t="n"/>
    </row>
    <row r="86" ht="15" customHeight="1" s="64">
      <c r="A86" s="93">
        <f>IF(H86="","",COUNTA($H$9:H86))</f>
        <v/>
      </c>
      <c r="B86" s="93">
        <f>IF(OR(D86="",G86=""),"",YEAR(G86)&amp;"/"&amp;D86&amp;"/"&amp;TEXT(SUMPRODUCT(($D$9:D86=D86)*(YEAR($G$9:G86)=YEAR(G86))),"000")&amp;"-"&amp;'THAM SO'!$B$7)</f>
        <v/>
      </c>
      <c r="C86" s="107" t="n"/>
      <c r="D86" s="107" t="n"/>
      <c r="E86" s="95">
        <f>IF(D86="","",IFERROR(VLOOKUP(D86,'THAM SO'!$D$6:$E$40,2,FALSE()),"Mã loại chưa khai báo"))</f>
        <v/>
      </c>
      <c r="F86" s="108" t="n"/>
      <c r="G86" s="109" t="n"/>
      <c r="H86" s="110" t="n"/>
      <c r="I86" s="108" t="n"/>
      <c r="J86" s="110" t="n"/>
      <c r="K86" s="108" t="n"/>
      <c r="L86" s="108" t="n"/>
      <c r="M86" s="108" t="n"/>
      <c r="N86" s="109" t="n"/>
      <c r="O86" s="109" t="n"/>
      <c r="P86" s="107" t="n"/>
      <c r="Q86" s="107" t="n"/>
      <c r="R86" s="111" t="n"/>
      <c r="S86" s="112" t="n"/>
      <c r="T86" s="113" t="n"/>
      <c r="U86" s="102">
        <f>IF(S86="","",ROUND(S86*N(T86),2))</f>
        <v/>
      </c>
      <c r="V86" s="102">
        <f>IF(S86="","",S86+U86)</f>
        <v/>
      </c>
      <c r="W86" s="103">
        <f>IF(V86="","",ROUND(V86*IF(OR(Q86="",Q86="VND"),1,R86),0))</f>
        <v/>
      </c>
      <c r="X86" s="111" t="n"/>
      <c r="Y86" s="103">
        <f>IF(W86="","",W86+N(X86))</f>
        <v/>
      </c>
      <c r="Z86" s="103">
        <f>IF(B86="","",SUMIFS('NHAT KY THANH TOAN'!$G:$G,'NHAT KY THANH TOAN'!$B:$B,B86,'NHAT KY THANH TOAN'!$D:$D,"Hóa đơn"))</f>
        <v/>
      </c>
      <c r="AA86" s="103">
        <f>IF(B86="","",SUMIFS('NHAT KY THANH TOAN'!$G:$G,'NHAT KY THANH TOAN'!$B:$B,B86,'NHAT KY THANH TOAN'!$D:$D,"Thanh toán"))</f>
        <v/>
      </c>
      <c r="AB86" s="103">
        <f>IF(Y86="","",Y86-N(AA86))</f>
        <v/>
      </c>
      <c r="AC86" s="103">
        <f>IF(B86="","",N(Z86)-N(AA86))</f>
        <v/>
      </c>
      <c r="AD86" s="104">
        <f>IF(N(Y86)=0,"",N(AA86)/Y86)</f>
        <v/>
      </c>
      <c r="AE86" s="107" t="n"/>
      <c r="AF86" s="95">
        <f>IF(H86="","",TRIM(IF(AND(N(Y86)&gt;='THAM SO'!$B$10,AE86&lt;&gt;"Có"),"Chưa rà soát pháp lý; ","")&amp;IF(I86="","Thiếu MST đối tác; ","")&amp;IF(AG86="","Chưa ghi nơi lưu bản gốc; ","")&amp;IF(COUNTIFS('NHAT KY THANH TOAN'!$B:$B,B86,'NHAT KY THANH TOAN'!$D:$D,"Thanh toán",'NHAT KY THANH TOAN'!$F:$F,"Tiền mặt",'NHAT KY THANH TOAN'!$G:$G,"&gt;="&amp;'THAM SO'!$B$11)&gt;0,"Có khoản TT tiền mặt ≥ ngưỡng; ","")&amp;IF(AND(AB86&lt;&gt;"",N(AB86)&lt;0),"Thanh toán vượt giá trị HĐ; ","")))</f>
        <v/>
      </c>
      <c r="AG86" s="108" t="n"/>
      <c r="AH86" s="109" t="n"/>
      <c r="AI86" s="105">
        <f>IF(OR(H86="",O86="",AH86&lt;&gt;""),"",O86-'THAM SO'!$B$8)</f>
        <v/>
      </c>
      <c r="AJ86" s="95">
        <f>IF(H86="","",IF(AH86&lt;&gt;"","Đã thanh lý",IF(AND(N86&lt;&gt;"",N86&gt;'THAM SO'!$B$8),"Chưa hiệu lực",IF(O86="","Đang thực hiện",IF(O86&lt;'THAM SO'!$B$8,IF(P86="Có","Đã tự gia hạn – kiểm tra","Quá hạn – chưa thanh lý"),IF(O86-'THAM SO'!$B$8&lt;='THAM SO'!$B$9,"Sắp hết hạn","Đang thực hiện"))))))</f>
        <v/>
      </c>
      <c r="AK86" s="106">
        <f>IF(AND(O86="",AH86=""),"",EDATE(MAX(N(O86),N(AH86)),12*'THAM SO'!$B$12))</f>
        <v/>
      </c>
      <c r="AL86" s="110" t="n"/>
    </row>
    <row r="87" ht="15" customHeight="1" s="64">
      <c r="A87" s="93">
        <f>IF(H87="","",COUNTA($H$9:H87))</f>
        <v/>
      </c>
      <c r="B87" s="93">
        <f>IF(OR(D87="",G87=""),"",YEAR(G87)&amp;"/"&amp;D87&amp;"/"&amp;TEXT(SUMPRODUCT(($D$9:D87=D87)*(YEAR($G$9:G87)=YEAR(G87))),"000")&amp;"-"&amp;'THAM SO'!$B$7)</f>
        <v/>
      </c>
      <c r="C87" s="107" t="n"/>
      <c r="D87" s="107" t="n"/>
      <c r="E87" s="95">
        <f>IF(D87="","",IFERROR(VLOOKUP(D87,'THAM SO'!$D$6:$E$40,2,FALSE()),"Mã loại chưa khai báo"))</f>
        <v/>
      </c>
      <c r="F87" s="108" t="n"/>
      <c r="G87" s="109" t="n"/>
      <c r="H87" s="110" t="n"/>
      <c r="I87" s="108" t="n"/>
      <c r="J87" s="110" t="n"/>
      <c r="K87" s="108" t="n"/>
      <c r="L87" s="108" t="n"/>
      <c r="M87" s="108" t="n"/>
      <c r="N87" s="109" t="n"/>
      <c r="O87" s="109" t="n"/>
      <c r="P87" s="107" t="n"/>
      <c r="Q87" s="107" t="n"/>
      <c r="R87" s="111" t="n"/>
      <c r="S87" s="112" t="n"/>
      <c r="T87" s="113" t="n"/>
      <c r="U87" s="102">
        <f>IF(S87="","",ROUND(S87*N(T87),2))</f>
        <v/>
      </c>
      <c r="V87" s="102">
        <f>IF(S87="","",S87+U87)</f>
        <v/>
      </c>
      <c r="W87" s="103">
        <f>IF(V87="","",ROUND(V87*IF(OR(Q87="",Q87="VND"),1,R87),0))</f>
        <v/>
      </c>
      <c r="X87" s="111" t="n"/>
      <c r="Y87" s="103">
        <f>IF(W87="","",W87+N(X87))</f>
        <v/>
      </c>
      <c r="Z87" s="103">
        <f>IF(B87="","",SUMIFS('NHAT KY THANH TOAN'!$G:$G,'NHAT KY THANH TOAN'!$B:$B,B87,'NHAT KY THANH TOAN'!$D:$D,"Hóa đơn"))</f>
        <v/>
      </c>
      <c r="AA87" s="103">
        <f>IF(B87="","",SUMIFS('NHAT KY THANH TOAN'!$G:$G,'NHAT KY THANH TOAN'!$B:$B,B87,'NHAT KY THANH TOAN'!$D:$D,"Thanh toán"))</f>
        <v/>
      </c>
      <c r="AB87" s="103">
        <f>IF(Y87="","",Y87-N(AA87))</f>
        <v/>
      </c>
      <c r="AC87" s="103">
        <f>IF(B87="","",N(Z87)-N(AA87))</f>
        <v/>
      </c>
      <c r="AD87" s="104">
        <f>IF(N(Y87)=0,"",N(AA87)/Y87)</f>
        <v/>
      </c>
      <c r="AE87" s="107" t="n"/>
      <c r="AF87" s="95">
        <f>IF(H87="","",TRIM(IF(AND(N(Y87)&gt;='THAM SO'!$B$10,AE87&lt;&gt;"Có"),"Chưa rà soát pháp lý; ","")&amp;IF(I87="","Thiếu MST đối tác; ","")&amp;IF(AG87="","Chưa ghi nơi lưu bản gốc; ","")&amp;IF(COUNTIFS('NHAT KY THANH TOAN'!$B:$B,B87,'NHAT KY THANH TOAN'!$D:$D,"Thanh toán",'NHAT KY THANH TOAN'!$F:$F,"Tiền mặt",'NHAT KY THANH TOAN'!$G:$G,"&gt;="&amp;'THAM SO'!$B$11)&gt;0,"Có khoản TT tiền mặt ≥ ngưỡng; ","")&amp;IF(AND(AB87&lt;&gt;"",N(AB87)&lt;0),"Thanh toán vượt giá trị HĐ; ","")))</f>
        <v/>
      </c>
      <c r="AG87" s="108" t="n"/>
      <c r="AH87" s="109" t="n"/>
      <c r="AI87" s="105">
        <f>IF(OR(H87="",O87="",AH87&lt;&gt;""),"",O87-'THAM SO'!$B$8)</f>
        <v/>
      </c>
      <c r="AJ87" s="95">
        <f>IF(H87="","",IF(AH87&lt;&gt;"","Đã thanh lý",IF(AND(N87&lt;&gt;"",N87&gt;'THAM SO'!$B$8),"Chưa hiệu lực",IF(O87="","Đang thực hiện",IF(O87&lt;'THAM SO'!$B$8,IF(P87="Có","Đã tự gia hạn – kiểm tra","Quá hạn – chưa thanh lý"),IF(O87-'THAM SO'!$B$8&lt;='THAM SO'!$B$9,"Sắp hết hạn","Đang thực hiện"))))))</f>
        <v/>
      </c>
      <c r="AK87" s="106">
        <f>IF(AND(O87="",AH87=""),"",EDATE(MAX(N(O87),N(AH87)),12*'THAM SO'!$B$12))</f>
        <v/>
      </c>
      <c r="AL87" s="110" t="n"/>
    </row>
    <row r="88" ht="15" customHeight="1" s="64">
      <c r="A88" s="93">
        <f>IF(H88="","",COUNTA($H$9:H88))</f>
        <v/>
      </c>
      <c r="B88" s="93">
        <f>IF(OR(D88="",G88=""),"",YEAR(G88)&amp;"/"&amp;D88&amp;"/"&amp;TEXT(SUMPRODUCT(($D$9:D88=D88)*(YEAR($G$9:G88)=YEAR(G88))),"000")&amp;"-"&amp;'THAM SO'!$B$7)</f>
        <v/>
      </c>
      <c r="C88" s="107" t="n"/>
      <c r="D88" s="107" t="n"/>
      <c r="E88" s="95">
        <f>IF(D88="","",IFERROR(VLOOKUP(D88,'THAM SO'!$D$6:$E$40,2,FALSE()),"Mã loại chưa khai báo"))</f>
        <v/>
      </c>
      <c r="F88" s="108" t="n"/>
      <c r="G88" s="109" t="n"/>
      <c r="H88" s="110" t="n"/>
      <c r="I88" s="108" t="n"/>
      <c r="J88" s="110" t="n"/>
      <c r="K88" s="108" t="n"/>
      <c r="L88" s="108" t="n"/>
      <c r="M88" s="108" t="n"/>
      <c r="N88" s="109" t="n"/>
      <c r="O88" s="109" t="n"/>
      <c r="P88" s="107" t="n"/>
      <c r="Q88" s="107" t="n"/>
      <c r="R88" s="111" t="n"/>
      <c r="S88" s="112" t="n"/>
      <c r="T88" s="113" t="n"/>
      <c r="U88" s="102">
        <f>IF(S88="","",ROUND(S88*N(T88),2))</f>
        <v/>
      </c>
      <c r="V88" s="102">
        <f>IF(S88="","",S88+U88)</f>
        <v/>
      </c>
      <c r="W88" s="103">
        <f>IF(V88="","",ROUND(V88*IF(OR(Q88="",Q88="VND"),1,R88),0))</f>
        <v/>
      </c>
      <c r="X88" s="111" t="n"/>
      <c r="Y88" s="103">
        <f>IF(W88="","",W88+N(X88))</f>
        <v/>
      </c>
      <c r="Z88" s="103">
        <f>IF(B88="","",SUMIFS('NHAT KY THANH TOAN'!$G:$G,'NHAT KY THANH TOAN'!$B:$B,B88,'NHAT KY THANH TOAN'!$D:$D,"Hóa đơn"))</f>
        <v/>
      </c>
      <c r="AA88" s="103">
        <f>IF(B88="","",SUMIFS('NHAT KY THANH TOAN'!$G:$G,'NHAT KY THANH TOAN'!$B:$B,B88,'NHAT KY THANH TOAN'!$D:$D,"Thanh toán"))</f>
        <v/>
      </c>
      <c r="AB88" s="103">
        <f>IF(Y88="","",Y88-N(AA88))</f>
        <v/>
      </c>
      <c r="AC88" s="103">
        <f>IF(B88="","",N(Z88)-N(AA88))</f>
        <v/>
      </c>
      <c r="AD88" s="104">
        <f>IF(N(Y88)=0,"",N(AA88)/Y88)</f>
        <v/>
      </c>
      <c r="AE88" s="107" t="n"/>
      <c r="AF88" s="95">
        <f>IF(H88="","",TRIM(IF(AND(N(Y88)&gt;='THAM SO'!$B$10,AE88&lt;&gt;"Có"),"Chưa rà soát pháp lý; ","")&amp;IF(I88="","Thiếu MST đối tác; ","")&amp;IF(AG88="","Chưa ghi nơi lưu bản gốc; ","")&amp;IF(COUNTIFS('NHAT KY THANH TOAN'!$B:$B,B88,'NHAT KY THANH TOAN'!$D:$D,"Thanh toán",'NHAT KY THANH TOAN'!$F:$F,"Tiền mặt",'NHAT KY THANH TOAN'!$G:$G,"&gt;="&amp;'THAM SO'!$B$11)&gt;0,"Có khoản TT tiền mặt ≥ ngưỡng; ","")&amp;IF(AND(AB88&lt;&gt;"",N(AB88)&lt;0),"Thanh toán vượt giá trị HĐ; ","")))</f>
        <v/>
      </c>
      <c r="AG88" s="108" t="n"/>
      <c r="AH88" s="109" t="n"/>
      <c r="AI88" s="105">
        <f>IF(OR(H88="",O88="",AH88&lt;&gt;""),"",O88-'THAM SO'!$B$8)</f>
        <v/>
      </c>
      <c r="AJ88" s="95">
        <f>IF(H88="","",IF(AH88&lt;&gt;"","Đã thanh lý",IF(AND(N88&lt;&gt;"",N88&gt;'THAM SO'!$B$8),"Chưa hiệu lực",IF(O88="","Đang thực hiện",IF(O88&lt;'THAM SO'!$B$8,IF(P88="Có","Đã tự gia hạn – kiểm tra","Quá hạn – chưa thanh lý"),IF(O88-'THAM SO'!$B$8&lt;='THAM SO'!$B$9,"Sắp hết hạn","Đang thực hiện"))))))</f>
        <v/>
      </c>
      <c r="AK88" s="106">
        <f>IF(AND(O88="",AH88=""),"",EDATE(MAX(N(O88),N(AH88)),12*'THAM SO'!$B$12))</f>
        <v/>
      </c>
      <c r="AL88" s="110" t="n"/>
    </row>
    <row r="89" ht="15" customHeight="1" s="64">
      <c r="A89" s="93">
        <f>IF(H89="","",COUNTA($H$9:H89))</f>
        <v/>
      </c>
      <c r="B89" s="93">
        <f>IF(OR(D89="",G89=""),"",YEAR(G89)&amp;"/"&amp;D89&amp;"/"&amp;TEXT(SUMPRODUCT(($D$9:D89=D89)*(YEAR($G$9:G89)=YEAR(G89))),"000")&amp;"-"&amp;'THAM SO'!$B$7)</f>
        <v/>
      </c>
      <c r="C89" s="107" t="n"/>
      <c r="D89" s="107" t="n"/>
      <c r="E89" s="95">
        <f>IF(D89="","",IFERROR(VLOOKUP(D89,'THAM SO'!$D$6:$E$40,2,FALSE()),"Mã loại chưa khai báo"))</f>
        <v/>
      </c>
      <c r="F89" s="108" t="n"/>
      <c r="G89" s="109" t="n"/>
      <c r="H89" s="110" t="n"/>
      <c r="I89" s="108" t="n"/>
      <c r="J89" s="110" t="n"/>
      <c r="K89" s="108" t="n"/>
      <c r="L89" s="108" t="n"/>
      <c r="M89" s="108" t="n"/>
      <c r="N89" s="109" t="n"/>
      <c r="O89" s="109" t="n"/>
      <c r="P89" s="107" t="n"/>
      <c r="Q89" s="107" t="n"/>
      <c r="R89" s="111" t="n"/>
      <c r="S89" s="112" t="n"/>
      <c r="T89" s="113" t="n"/>
      <c r="U89" s="102">
        <f>IF(S89="","",ROUND(S89*N(T89),2))</f>
        <v/>
      </c>
      <c r="V89" s="102">
        <f>IF(S89="","",S89+U89)</f>
        <v/>
      </c>
      <c r="W89" s="103">
        <f>IF(V89="","",ROUND(V89*IF(OR(Q89="",Q89="VND"),1,R89),0))</f>
        <v/>
      </c>
      <c r="X89" s="111" t="n"/>
      <c r="Y89" s="103">
        <f>IF(W89="","",W89+N(X89))</f>
        <v/>
      </c>
      <c r="Z89" s="103">
        <f>IF(B89="","",SUMIFS('NHAT KY THANH TOAN'!$G:$G,'NHAT KY THANH TOAN'!$B:$B,B89,'NHAT KY THANH TOAN'!$D:$D,"Hóa đơn"))</f>
        <v/>
      </c>
      <c r="AA89" s="103">
        <f>IF(B89="","",SUMIFS('NHAT KY THANH TOAN'!$G:$G,'NHAT KY THANH TOAN'!$B:$B,B89,'NHAT KY THANH TOAN'!$D:$D,"Thanh toán"))</f>
        <v/>
      </c>
      <c r="AB89" s="103">
        <f>IF(Y89="","",Y89-N(AA89))</f>
        <v/>
      </c>
      <c r="AC89" s="103">
        <f>IF(B89="","",N(Z89)-N(AA89))</f>
        <v/>
      </c>
      <c r="AD89" s="104">
        <f>IF(N(Y89)=0,"",N(AA89)/Y89)</f>
        <v/>
      </c>
      <c r="AE89" s="107" t="n"/>
      <c r="AF89" s="95">
        <f>IF(H89="","",TRIM(IF(AND(N(Y89)&gt;='THAM SO'!$B$10,AE89&lt;&gt;"Có"),"Chưa rà soát pháp lý; ","")&amp;IF(I89="","Thiếu MST đối tác; ","")&amp;IF(AG89="","Chưa ghi nơi lưu bản gốc; ","")&amp;IF(COUNTIFS('NHAT KY THANH TOAN'!$B:$B,B89,'NHAT KY THANH TOAN'!$D:$D,"Thanh toán",'NHAT KY THANH TOAN'!$F:$F,"Tiền mặt",'NHAT KY THANH TOAN'!$G:$G,"&gt;="&amp;'THAM SO'!$B$11)&gt;0,"Có khoản TT tiền mặt ≥ ngưỡng; ","")&amp;IF(AND(AB89&lt;&gt;"",N(AB89)&lt;0),"Thanh toán vượt giá trị HĐ; ","")))</f>
        <v/>
      </c>
      <c r="AG89" s="108" t="n"/>
      <c r="AH89" s="109" t="n"/>
      <c r="AI89" s="105">
        <f>IF(OR(H89="",O89="",AH89&lt;&gt;""),"",O89-'THAM SO'!$B$8)</f>
        <v/>
      </c>
      <c r="AJ89" s="95">
        <f>IF(H89="","",IF(AH89&lt;&gt;"","Đã thanh lý",IF(AND(N89&lt;&gt;"",N89&gt;'THAM SO'!$B$8),"Chưa hiệu lực",IF(O89="","Đang thực hiện",IF(O89&lt;'THAM SO'!$B$8,IF(P89="Có","Đã tự gia hạn – kiểm tra","Quá hạn – chưa thanh lý"),IF(O89-'THAM SO'!$B$8&lt;='THAM SO'!$B$9,"Sắp hết hạn","Đang thực hiện"))))))</f>
        <v/>
      </c>
      <c r="AK89" s="106">
        <f>IF(AND(O89="",AH89=""),"",EDATE(MAX(N(O89),N(AH89)),12*'THAM SO'!$B$12))</f>
        <v/>
      </c>
      <c r="AL89" s="110" t="n"/>
    </row>
    <row r="90" ht="15" customHeight="1" s="64">
      <c r="A90" s="93">
        <f>IF(H90="","",COUNTA($H$9:H90))</f>
        <v/>
      </c>
      <c r="B90" s="93">
        <f>IF(OR(D90="",G90=""),"",YEAR(G90)&amp;"/"&amp;D90&amp;"/"&amp;TEXT(SUMPRODUCT(($D$9:D90=D90)*(YEAR($G$9:G90)=YEAR(G90))),"000")&amp;"-"&amp;'THAM SO'!$B$7)</f>
        <v/>
      </c>
      <c r="C90" s="107" t="n"/>
      <c r="D90" s="107" t="n"/>
      <c r="E90" s="95">
        <f>IF(D90="","",IFERROR(VLOOKUP(D90,'THAM SO'!$D$6:$E$40,2,FALSE()),"Mã loại chưa khai báo"))</f>
        <v/>
      </c>
      <c r="F90" s="108" t="n"/>
      <c r="G90" s="109" t="n"/>
      <c r="H90" s="110" t="n"/>
      <c r="I90" s="108" t="n"/>
      <c r="J90" s="110" t="n"/>
      <c r="K90" s="108" t="n"/>
      <c r="L90" s="108" t="n"/>
      <c r="M90" s="108" t="n"/>
      <c r="N90" s="109" t="n"/>
      <c r="O90" s="109" t="n"/>
      <c r="P90" s="107" t="n"/>
      <c r="Q90" s="107" t="n"/>
      <c r="R90" s="111" t="n"/>
      <c r="S90" s="112" t="n"/>
      <c r="T90" s="113" t="n"/>
      <c r="U90" s="102">
        <f>IF(S90="","",ROUND(S90*N(T90),2))</f>
        <v/>
      </c>
      <c r="V90" s="102">
        <f>IF(S90="","",S90+U90)</f>
        <v/>
      </c>
      <c r="W90" s="103">
        <f>IF(V90="","",ROUND(V90*IF(OR(Q90="",Q90="VND"),1,R90),0))</f>
        <v/>
      </c>
      <c r="X90" s="111" t="n"/>
      <c r="Y90" s="103">
        <f>IF(W90="","",W90+N(X90))</f>
        <v/>
      </c>
      <c r="Z90" s="103">
        <f>IF(B90="","",SUMIFS('NHAT KY THANH TOAN'!$G:$G,'NHAT KY THANH TOAN'!$B:$B,B90,'NHAT KY THANH TOAN'!$D:$D,"Hóa đơn"))</f>
        <v/>
      </c>
      <c r="AA90" s="103">
        <f>IF(B90="","",SUMIFS('NHAT KY THANH TOAN'!$G:$G,'NHAT KY THANH TOAN'!$B:$B,B90,'NHAT KY THANH TOAN'!$D:$D,"Thanh toán"))</f>
        <v/>
      </c>
      <c r="AB90" s="103">
        <f>IF(Y90="","",Y90-N(AA90))</f>
        <v/>
      </c>
      <c r="AC90" s="103">
        <f>IF(B90="","",N(Z90)-N(AA90))</f>
        <v/>
      </c>
      <c r="AD90" s="104">
        <f>IF(N(Y90)=0,"",N(AA90)/Y90)</f>
        <v/>
      </c>
      <c r="AE90" s="107" t="n"/>
      <c r="AF90" s="95">
        <f>IF(H90="","",TRIM(IF(AND(N(Y90)&gt;='THAM SO'!$B$10,AE90&lt;&gt;"Có"),"Chưa rà soát pháp lý; ","")&amp;IF(I90="","Thiếu MST đối tác; ","")&amp;IF(AG90="","Chưa ghi nơi lưu bản gốc; ","")&amp;IF(COUNTIFS('NHAT KY THANH TOAN'!$B:$B,B90,'NHAT KY THANH TOAN'!$D:$D,"Thanh toán",'NHAT KY THANH TOAN'!$F:$F,"Tiền mặt",'NHAT KY THANH TOAN'!$G:$G,"&gt;="&amp;'THAM SO'!$B$11)&gt;0,"Có khoản TT tiền mặt ≥ ngưỡng; ","")&amp;IF(AND(AB90&lt;&gt;"",N(AB90)&lt;0),"Thanh toán vượt giá trị HĐ; ","")))</f>
        <v/>
      </c>
      <c r="AG90" s="108" t="n"/>
      <c r="AH90" s="109" t="n"/>
      <c r="AI90" s="105">
        <f>IF(OR(H90="",O90="",AH90&lt;&gt;""),"",O90-'THAM SO'!$B$8)</f>
        <v/>
      </c>
      <c r="AJ90" s="95">
        <f>IF(H90="","",IF(AH90&lt;&gt;"","Đã thanh lý",IF(AND(N90&lt;&gt;"",N90&gt;'THAM SO'!$B$8),"Chưa hiệu lực",IF(O90="","Đang thực hiện",IF(O90&lt;'THAM SO'!$B$8,IF(P90="Có","Đã tự gia hạn – kiểm tra","Quá hạn – chưa thanh lý"),IF(O90-'THAM SO'!$B$8&lt;='THAM SO'!$B$9,"Sắp hết hạn","Đang thực hiện"))))))</f>
        <v/>
      </c>
      <c r="AK90" s="106">
        <f>IF(AND(O90="",AH90=""),"",EDATE(MAX(N(O90),N(AH90)),12*'THAM SO'!$B$12))</f>
        <v/>
      </c>
      <c r="AL90" s="110" t="n"/>
    </row>
    <row r="91" ht="15" customHeight="1" s="64">
      <c r="A91" s="93">
        <f>IF(H91="","",COUNTA($H$9:H91))</f>
        <v/>
      </c>
      <c r="B91" s="93">
        <f>IF(OR(D91="",G91=""),"",YEAR(G91)&amp;"/"&amp;D91&amp;"/"&amp;TEXT(SUMPRODUCT(($D$9:D91=D91)*(YEAR($G$9:G91)=YEAR(G91))),"000")&amp;"-"&amp;'THAM SO'!$B$7)</f>
        <v/>
      </c>
      <c r="C91" s="107" t="n"/>
      <c r="D91" s="107" t="n"/>
      <c r="E91" s="95">
        <f>IF(D91="","",IFERROR(VLOOKUP(D91,'THAM SO'!$D$6:$E$40,2,FALSE()),"Mã loại chưa khai báo"))</f>
        <v/>
      </c>
      <c r="F91" s="108" t="n"/>
      <c r="G91" s="109" t="n"/>
      <c r="H91" s="110" t="n"/>
      <c r="I91" s="108" t="n"/>
      <c r="J91" s="110" t="n"/>
      <c r="K91" s="108" t="n"/>
      <c r="L91" s="108" t="n"/>
      <c r="M91" s="108" t="n"/>
      <c r="N91" s="109" t="n"/>
      <c r="O91" s="109" t="n"/>
      <c r="P91" s="107" t="n"/>
      <c r="Q91" s="107" t="n"/>
      <c r="R91" s="111" t="n"/>
      <c r="S91" s="112" t="n"/>
      <c r="T91" s="113" t="n"/>
      <c r="U91" s="102">
        <f>IF(S91="","",ROUND(S91*N(T91),2))</f>
        <v/>
      </c>
      <c r="V91" s="102">
        <f>IF(S91="","",S91+U91)</f>
        <v/>
      </c>
      <c r="W91" s="103">
        <f>IF(V91="","",ROUND(V91*IF(OR(Q91="",Q91="VND"),1,R91),0))</f>
        <v/>
      </c>
      <c r="X91" s="111" t="n"/>
      <c r="Y91" s="103">
        <f>IF(W91="","",W91+N(X91))</f>
        <v/>
      </c>
      <c r="Z91" s="103">
        <f>IF(B91="","",SUMIFS('NHAT KY THANH TOAN'!$G:$G,'NHAT KY THANH TOAN'!$B:$B,B91,'NHAT KY THANH TOAN'!$D:$D,"Hóa đơn"))</f>
        <v/>
      </c>
      <c r="AA91" s="103">
        <f>IF(B91="","",SUMIFS('NHAT KY THANH TOAN'!$G:$G,'NHAT KY THANH TOAN'!$B:$B,B91,'NHAT KY THANH TOAN'!$D:$D,"Thanh toán"))</f>
        <v/>
      </c>
      <c r="AB91" s="103">
        <f>IF(Y91="","",Y91-N(AA91))</f>
        <v/>
      </c>
      <c r="AC91" s="103">
        <f>IF(B91="","",N(Z91)-N(AA91))</f>
        <v/>
      </c>
      <c r="AD91" s="104">
        <f>IF(N(Y91)=0,"",N(AA91)/Y91)</f>
        <v/>
      </c>
      <c r="AE91" s="107" t="n"/>
      <c r="AF91" s="95">
        <f>IF(H91="","",TRIM(IF(AND(N(Y91)&gt;='THAM SO'!$B$10,AE91&lt;&gt;"Có"),"Chưa rà soát pháp lý; ","")&amp;IF(I91="","Thiếu MST đối tác; ","")&amp;IF(AG91="","Chưa ghi nơi lưu bản gốc; ","")&amp;IF(COUNTIFS('NHAT KY THANH TOAN'!$B:$B,B91,'NHAT KY THANH TOAN'!$D:$D,"Thanh toán",'NHAT KY THANH TOAN'!$F:$F,"Tiền mặt",'NHAT KY THANH TOAN'!$G:$G,"&gt;="&amp;'THAM SO'!$B$11)&gt;0,"Có khoản TT tiền mặt ≥ ngưỡng; ","")&amp;IF(AND(AB91&lt;&gt;"",N(AB91)&lt;0),"Thanh toán vượt giá trị HĐ; ","")))</f>
        <v/>
      </c>
      <c r="AG91" s="108" t="n"/>
      <c r="AH91" s="109" t="n"/>
      <c r="AI91" s="105">
        <f>IF(OR(H91="",O91="",AH91&lt;&gt;""),"",O91-'THAM SO'!$B$8)</f>
        <v/>
      </c>
      <c r="AJ91" s="95">
        <f>IF(H91="","",IF(AH91&lt;&gt;"","Đã thanh lý",IF(AND(N91&lt;&gt;"",N91&gt;'THAM SO'!$B$8),"Chưa hiệu lực",IF(O91="","Đang thực hiện",IF(O91&lt;'THAM SO'!$B$8,IF(P91="Có","Đã tự gia hạn – kiểm tra","Quá hạn – chưa thanh lý"),IF(O91-'THAM SO'!$B$8&lt;='THAM SO'!$B$9,"Sắp hết hạn","Đang thực hiện"))))))</f>
        <v/>
      </c>
      <c r="AK91" s="106">
        <f>IF(AND(O91="",AH91=""),"",EDATE(MAX(N(O91),N(AH91)),12*'THAM SO'!$B$12))</f>
        <v/>
      </c>
      <c r="AL91" s="110" t="n"/>
    </row>
    <row r="92" ht="15" customHeight="1" s="64">
      <c r="A92" s="93">
        <f>IF(H92="","",COUNTA($H$9:H92))</f>
        <v/>
      </c>
      <c r="B92" s="93">
        <f>IF(OR(D92="",G92=""),"",YEAR(G92)&amp;"/"&amp;D92&amp;"/"&amp;TEXT(SUMPRODUCT(($D$9:D92=D92)*(YEAR($G$9:G92)=YEAR(G92))),"000")&amp;"-"&amp;'THAM SO'!$B$7)</f>
        <v/>
      </c>
      <c r="C92" s="107" t="n"/>
      <c r="D92" s="107" t="n"/>
      <c r="E92" s="95">
        <f>IF(D92="","",IFERROR(VLOOKUP(D92,'THAM SO'!$D$6:$E$40,2,FALSE()),"Mã loại chưa khai báo"))</f>
        <v/>
      </c>
      <c r="F92" s="108" t="n"/>
      <c r="G92" s="109" t="n"/>
      <c r="H92" s="110" t="n"/>
      <c r="I92" s="108" t="n"/>
      <c r="J92" s="110" t="n"/>
      <c r="K92" s="108" t="n"/>
      <c r="L92" s="108" t="n"/>
      <c r="M92" s="108" t="n"/>
      <c r="N92" s="109" t="n"/>
      <c r="O92" s="109" t="n"/>
      <c r="P92" s="107" t="n"/>
      <c r="Q92" s="107" t="n"/>
      <c r="R92" s="111" t="n"/>
      <c r="S92" s="112" t="n"/>
      <c r="T92" s="113" t="n"/>
      <c r="U92" s="102">
        <f>IF(S92="","",ROUND(S92*N(T92),2))</f>
        <v/>
      </c>
      <c r="V92" s="102">
        <f>IF(S92="","",S92+U92)</f>
        <v/>
      </c>
      <c r="W92" s="103">
        <f>IF(V92="","",ROUND(V92*IF(OR(Q92="",Q92="VND"),1,R92),0))</f>
        <v/>
      </c>
      <c r="X92" s="111" t="n"/>
      <c r="Y92" s="103">
        <f>IF(W92="","",W92+N(X92))</f>
        <v/>
      </c>
      <c r="Z92" s="103">
        <f>IF(B92="","",SUMIFS('NHAT KY THANH TOAN'!$G:$G,'NHAT KY THANH TOAN'!$B:$B,B92,'NHAT KY THANH TOAN'!$D:$D,"Hóa đơn"))</f>
        <v/>
      </c>
      <c r="AA92" s="103">
        <f>IF(B92="","",SUMIFS('NHAT KY THANH TOAN'!$G:$G,'NHAT KY THANH TOAN'!$B:$B,B92,'NHAT KY THANH TOAN'!$D:$D,"Thanh toán"))</f>
        <v/>
      </c>
      <c r="AB92" s="103">
        <f>IF(Y92="","",Y92-N(AA92))</f>
        <v/>
      </c>
      <c r="AC92" s="103">
        <f>IF(B92="","",N(Z92)-N(AA92))</f>
        <v/>
      </c>
      <c r="AD92" s="104">
        <f>IF(N(Y92)=0,"",N(AA92)/Y92)</f>
        <v/>
      </c>
      <c r="AE92" s="107" t="n"/>
      <c r="AF92" s="95">
        <f>IF(H92="","",TRIM(IF(AND(N(Y92)&gt;='THAM SO'!$B$10,AE92&lt;&gt;"Có"),"Chưa rà soát pháp lý; ","")&amp;IF(I92="","Thiếu MST đối tác; ","")&amp;IF(AG92="","Chưa ghi nơi lưu bản gốc; ","")&amp;IF(COUNTIFS('NHAT KY THANH TOAN'!$B:$B,B92,'NHAT KY THANH TOAN'!$D:$D,"Thanh toán",'NHAT KY THANH TOAN'!$F:$F,"Tiền mặt",'NHAT KY THANH TOAN'!$G:$G,"&gt;="&amp;'THAM SO'!$B$11)&gt;0,"Có khoản TT tiền mặt ≥ ngưỡng; ","")&amp;IF(AND(AB92&lt;&gt;"",N(AB92)&lt;0),"Thanh toán vượt giá trị HĐ; ","")))</f>
        <v/>
      </c>
      <c r="AG92" s="108" t="n"/>
      <c r="AH92" s="109" t="n"/>
      <c r="AI92" s="105">
        <f>IF(OR(H92="",O92="",AH92&lt;&gt;""),"",O92-'THAM SO'!$B$8)</f>
        <v/>
      </c>
      <c r="AJ92" s="95">
        <f>IF(H92="","",IF(AH92&lt;&gt;"","Đã thanh lý",IF(AND(N92&lt;&gt;"",N92&gt;'THAM SO'!$B$8),"Chưa hiệu lực",IF(O92="","Đang thực hiện",IF(O92&lt;'THAM SO'!$B$8,IF(P92="Có","Đã tự gia hạn – kiểm tra","Quá hạn – chưa thanh lý"),IF(O92-'THAM SO'!$B$8&lt;='THAM SO'!$B$9,"Sắp hết hạn","Đang thực hiện"))))))</f>
        <v/>
      </c>
      <c r="AK92" s="106">
        <f>IF(AND(O92="",AH92=""),"",EDATE(MAX(N(O92),N(AH92)),12*'THAM SO'!$B$12))</f>
        <v/>
      </c>
      <c r="AL92" s="110" t="n"/>
    </row>
    <row r="93" ht="15" customHeight="1" s="64">
      <c r="A93" s="93">
        <f>IF(H93="","",COUNTA($H$9:H93))</f>
        <v/>
      </c>
      <c r="B93" s="93">
        <f>IF(OR(D93="",G93=""),"",YEAR(G93)&amp;"/"&amp;D93&amp;"/"&amp;TEXT(SUMPRODUCT(($D$9:D93=D93)*(YEAR($G$9:G93)=YEAR(G93))),"000")&amp;"-"&amp;'THAM SO'!$B$7)</f>
        <v/>
      </c>
      <c r="C93" s="107" t="n"/>
      <c r="D93" s="107" t="n"/>
      <c r="E93" s="95">
        <f>IF(D93="","",IFERROR(VLOOKUP(D93,'THAM SO'!$D$6:$E$40,2,FALSE()),"Mã loại chưa khai báo"))</f>
        <v/>
      </c>
      <c r="F93" s="108" t="n"/>
      <c r="G93" s="109" t="n"/>
      <c r="H93" s="110" t="n"/>
      <c r="I93" s="108" t="n"/>
      <c r="J93" s="110" t="n"/>
      <c r="K93" s="108" t="n"/>
      <c r="L93" s="108" t="n"/>
      <c r="M93" s="108" t="n"/>
      <c r="N93" s="109" t="n"/>
      <c r="O93" s="109" t="n"/>
      <c r="P93" s="107" t="n"/>
      <c r="Q93" s="107" t="n"/>
      <c r="R93" s="111" t="n"/>
      <c r="S93" s="112" t="n"/>
      <c r="T93" s="113" t="n"/>
      <c r="U93" s="102">
        <f>IF(S93="","",ROUND(S93*N(T93),2))</f>
        <v/>
      </c>
      <c r="V93" s="102">
        <f>IF(S93="","",S93+U93)</f>
        <v/>
      </c>
      <c r="W93" s="103">
        <f>IF(V93="","",ROUND(V93*IF(OR(Q93="",Q93="VND"),1,R93),0))</f>
        <v/>
      </c>
      <c r="X93" s="111" t="n"/>
      <c r="Y93" s="103">
        <f>IF(W93="","",W93+N(X93))</f>
        <v/>
      </c>
      <c r="Z93" s="103">
        <f>IF(B93="","",SUMIFS('NHAT KY THANH TOAN'!$G:$G,'NHAT KY THANH TOAN'!$B:$B,B93,'NHAT KY THANH TOAN'!$D:$D,"Hóa đơn"))</f>
        <v/>
      </c>
      <c r="AA93" s="103">
        <f>IF(B93="","",SUMIFS('NHAT KY THANH TOAN'!$G:$G,'NHAT KY THANH TOAN'!$B:$B,B93,'NHAT KY THANH TOAN'!$D:$D,"Thanh toán"))</f>
        <v/>
      </c>
      <c r="AB93" s="103">
        <f>IF(Y93="","",Y93-N(AA93))</f>
        <v/>
      </c>
      <c r="AC93" s="103">
        <f>IF(B93="","",N(Z93)-N(AA93))</f>
        <v/>
      </c>
      <c r="AD93" s="104">
        <f>IF(N(Y93)=0,"",N(AA93)/Y93)</f>
        <v/>
      </c>
      <c r="AE93" s="107" t="n"/>
      <c r="AF93" s="95">
        <f>IF(H93="","",TRIM(IF(AND(N(Y93)&gt;='THAM SO'!$B$10,AE93&lt;&gt;"Có"),"Chưa rà soát pháp lý; ","")&amp;IF(I93="","Thiếu MST đối tác; ","")&amp;IF(AG93="","Chưa ghi nơi lưu bản gốc; ","")&amp;IF(COUNTIFS('NHAT KY THANH TOAN'!$B:$B,B93,'NHAT KY THANH TOAN'!$D:$D,"Thanh toán",'NHAT KY THANH TOAN'!$F:$F,"Tiền mặt",'NHAT KY THANH TOAN'!$G:$G,"&gt;="&amp;'THAM SO'!$B$11)&gt;0,"Có khoản TT tiền mặt ≥ ngưỡng; ","")&amp;IF(AND(AB93&lt;&gt;"",N(AB93)&lt;0),"Thanh toán vượt giá trị HĐ; ","")))</f>
        <v/>
      </c>
      <c r="AG93" s="108" t="n"/>
      <c r="AH93" s="109" t="n"/>
      <c r="AI93" s="105">
        <f>IF(OR(H93="",O93="",AH93&lt;&gt;""),"",O93-'THAM SO'!$B$8)</f>
        <v/>
      </c>
      <c r="AJ93" s="95">
        <f>IF(H93="","",IF(AH93&lt;&gt;"","Đã thanh lý",IF(AND(N93&lt;&gt;"",N93&gt;'THAM SO'!$B$8),"Chưa hiệu lực",IF(O93="","Đang thực hiện",IF(O93&lt;'THAM SO'!$B$8,IF(P93="Có","Đã tự gia hạn – kiểm tra","Quá hạn – chưa thanh lý"),IF(O93-'THAM SO'!$B$8&lt;='THAM SO'!$B$9,"Sắp hết hạn","Đang thực hiện"))))))</f>
        <v/>
      </c>
      <c r="AK93" s="106">
        <f>IF(AND(O93="",AH93=""),"",EDATE(MAX(N(O93),N(AH93)),12*'THAM SO'!$B$12))</f>
        <v/>
      </c>
      <c r="AL93" s="110" t="n"/>
    </row>
    <row r="94" ht="15" customHeight="1" s="64">
      <c r="A94" s="93">
        <f>IF(H94="","",COUNTA($H$9:H94))</f>
        <v/>
      </c>
      <c r="B94" s="93">
        <f>IF(OR(D94="",G94=""),"",YEAR(G94)&amp;"/"&amp;D94&amp;"/"&amp;TEXT(SUMPRODUCT(($D$9:D94=D94)*(YEAR($G$9:G94)=YEAR(G94))),"000")&amp;"-"&amp;'THAM SO'!$B$7)</f>
        <v/>
      </c>
      <c r="C94" s="107" t="n"/>
      <c r="D94" s="107" t="n"/>
      <c r="E94" s="95">
        <f>IF(D94="","",IFERROR(VLOOKUP(D94,'THAM SO'!$D$6:$E$40,2,FALSE()),"Mã loại chưa khai báo"))</f>
        <v/>
      </c>
      <c r="F94" s="108" t="n"/>
      <c r="G94" s="109" t="n"/>
      <c r="H94" s="110" t="n"/>
      <c r="I94" s="108" t="n"/>
      <c r="J94" s="110" t="n"/>
      <c r="K94" s="108" t="n"/>
      <c r="L94" s="108" t="n"/>
      <c r="M94" s="108" t="n"/>
      <c r="N94" s="109" t="n"/>
      <c r="O94" s="109" t="n"/>
      <c r="P94" s="107" t="n"/>
      <c r="Q94" s="107" t="n"/>
      <c r="R94" s="111" t="n"/>
      <c r="S94" s="112" t="n"/>
      <c r="T94" s="113" t="n"/>
      <c r="U94" s="102">
        <f>IF(S94="","",ROUND(S94*N(T94),2))</f>
        <v/>
      </c>
      <c r="V94" s="102">
        <f>IF(S94="","",S94+U94)</f>
        <v/>
      </c>
      <c r="W94" s="103">
        <f>IF(V94="","",ROUND(V94*IF(OR(Q94="",Q94="VND"),1,R94),0))</f>
        <v/>
      </c>
      <c r="X94" s="111" t="n"/>
      <c r="Y94" s="103">
        <f>IF(W94="","",W94+N(X94))</f>
        <v/>
      </c>
      <c r="Z94" s="103">
        <f>IF(B94="","",SUMIFS('NHAT KY THANH TOAN'!$G:$G,'NHAT KY THANH TOAN'!$B:$B,B94,'NHAT KY THANH TOAN'!$D:$D,"Hóa đơn"))</f>
        <v/>
      </c>
      <c r="AA94" s="103">
        <f>IF(B94="","",SUMIFS('NHAT KY THANH TOAN'!$G:$G,'NHAT KY THANH TOAN'!$B:$B,B94,'NHAT KY THANH TOAN'!$D:$D,"Thanh toán"))</f>
        <v/>
      </c>
      <c r="AB94" s="103">
        <f>IF(Y94="","",Y94-N(AA94))</f>
        <v/>
      </c>
      <c r="AC94" s="103">
        <f>IF(B94="","",N(Z94)-N(AA94))</f>
        <v/>
      </c>
      <c r="AD94" s="104">
        <f>IF(N(Y94)=0,"",N(AA94)/Y94)</f>
        <v/>
      </c>
      <c r="AE94" s="107" t="n"/>
      <c r="AF94" s="95">
        <f>IF(H94="","",TRIM(IF(AND(N(Y94)&gt;='THAM SO'!$B$10,AE94&lt;&gt;"Có"),"Chưa rà soát pháp lý; ","")&amp;IF(I94="","Thiếu MST đối tác; ","")&amp;IF(AG94="","Chưa ghi nơi lưu bản gốc; ","")&amp;IF(COUNTIFS('NHAT KY THANH TOAN'!$B:$B,B94,'NHAT KY THANH TOAN'!$D:$D,"Thanh toán",'NHAT KY THANH TOAN'!$F:$F,"Tiền mặt",'NHAT KY THANH TOAN'!$G:$G,"&gt;="&amp;'THAM SO'!$B$11)&gt;0,"Có khoản TT tiền mặt ≥ ngưỡng; ","")&amp;IF(AND(AB94&lt;&gt;"",N(AB94)&lt;0),"Thanh toán vượt giá trị HĐ; ","")))</f>
        <v/>
      </c>
      <c r="AG94" s="108" t="n"/>
      <c r="AH94" s="109" t="n"/>
      <c r="AI94" s="105">
        <f>IF(OR(H94="",O94="",AH94&lt;&gt;""),"",O94-'THAM SO'!$B$8)</f>
        <v/>
      </c>
      <c r="AJ94" s="95">
        <f>IF(H94="","",IF(AH94&lt;&gt;"","Đã thanh lý",IF(AND(N94&lt;&gt;"",N94&gt;'THAM SO'!$B$8),"Chưa hiệu lực",IF(O94="","Đang thực hiện",IF(O94&lt;'THAM SO'!$B$8,IF(P94="Có","Đã tự gia hạn – kiểm tra","Quá hạn – chưa thanh lý"),IF(O94-'THAM SO'!$B$8&lt;='THAM SO'!$B$9,"Sắp hết hạn","Đang thực hiện"))))))</f>
        <v/>
      </c>
      <c r="AK94" s="106">
        <f>IF(AND(O94="",AH94=""),"",EDATE(MAX(N(O94),N(AH94)),12*'THAM SO'!$B$12))</f>
        <v/>
      </c>
      <c r="AL94" s="110" t="n"/>
    </row>
    <row r="95" ht="15" customHeight="1" s="64">
      <c r="A95" s="93">
        <f>IF(H95="","",COUNTA($H$9:H95))</f>
        <v/>
      </c>
      <c r="B95" s="93">
        <f>IF(OR(D95="",G95=""),"",YEAR(G95)&amp;"/"&amp;D95&amp;"/"&amp;TEXT(SUMPRODUCT(($D$9:D95=D95)*(YEAR($G$9:G95)=YEAR(G95))),"000")&amp;"-"&amp;'THAM SO'!$B$7)</f>
        <v/>
      </c>
      <c r="C95" s="107" t="n"/>
      <c r="D95" s="107" t="n"/>
      <c r="E95" s="95">
        <f>IF(D95="","",IFERROR(VLOOKUP(D95,'THAM SO'!$D$6:$E$40,2,FALSE()),"Mã loại chưa khai báo"))</f>
        <v/>
      </c>
      <c r="F95" s="108" t="n"/>
      <c r="G95" s="109" t="n"/>
      <c r="H95" s="110" t="n"/>
      <c r="I95" s="108" t="n"/>
      <c r="J95" s="110" t="n"/>
      <c r="K95" s="108" t="n"/>
      <c r="L95" s="108" t="n"/>
      <c r="M95" s="108" t="n"/>
      <c r="N95" s="109" t="n"/>
      <c r="O95" s="109" t="n"/>
      <c r="P95" s="107" t="n"/>
      <c r="Q95" s="107" t="n"/>
      <c r="R95" s="111" t="n"/>
      <c r="S95" s="112" t="n"/>
      <c r="T95" s="113" t="n"/>
      <c r="U95" s="102">
        <f>IF(S95="","",ROUND(S95*N(T95),2))</f>
        <v/>
      </c>
      <c r="V95" s="102">
        <f>IF(S95="","",S95+U95)</f>
        <v/>
      </c>
      <c r="W95" s="103">
        <f>IF(V95="","",ROUND(V95*IF(OR(Q95="",Q95="VND"),1,R95),0))</f>
        <v/>
      </c>
      <c r="X95" s="111" t="n"/>
      <c r="Y95" s="103">
        <f>IF(W95="","",W95+N(X95))</f>
        <v/>
      </c>
      <c r="Z95" s="103">
        <f>IF(B95="","",SUMIFS('NHAT KY THANH TOAN'!$G:$G,'NHAT KY THANH TOAN'!$B:$B,B95,'NHAT KY THANH TOAN'!$D:$D,"Hóa đơn"))</f>
        <v/>
      </c>
      <c r="AA95" s="103">
        <f>IF(B95="","",SUMIFS('NHAT KY THANH TOAN'!$G:$G,'NHAT KY THANH TOAN'!$B:$B,B95,'NHAT KY THANH TOAN'!$D:$D,"Thanh toán"))</f>
        <v/>
      </c>
      <c r="AB95" s="103">
        <f>IF(Y95="","",Y95-N(AA95))</f>
        <v/>
      </c>
      <c r="AC95" s="103">
        <f>IF(B95="","",N(Z95)-N(AA95))</f>
        <v/>
      </c>
      <c r="AD95" s="104">
        <f>IF(N(Y95)=0,"",N(AA95)/Y95)</f>
        <v/>
      </c>
      <c r="AE95" s="107" t="n"/>
      <c r="AF95" s="95">
        <f>IF(H95="","",TRIM(IF(AND(N(Y95)&gt;='THAM SO'!$B$10,AE95&lt;&gt;"Có"),"Chưa rà soát pháp lý; ","")&amp;IF(I95="","Thiếu MST đối tác; ","")&amp;IF(AG95="","Chưa ghi nơi lưu bản gốc; ","")&amp;IF(COUNTIFS('NHAT KY THANH TOAN'!$B:$B,B95,'NHAT KY THANH TOAN'!$D:$D,"Thanh toán",'NHAT KY THANH TOAN'!$F:$F,"Tiền mặt",'NHAT KY THANH TOAN'!$G:$G,"&gt;="&amp;'THAM SO'!$B$11)&gt;0,"Có khoản TT tiền mặt ≥ ngưỡng; ","")&amp;IF(AND(AB95&lt;&gt;"",N(AB95)&lt;0),"Thanh toán vượt giá trị HĐ; ","")))</f>
        <v/>
      </c>
      <c r="AG95" s="108" t="n"/>
      <c r="AH95" s="109" t="n"/>
      <c r="AI95" s="105">
        <f>IF(OR(H95="",O95="",AH95&lt;&gt;""),"",O95-'THAM SO'!$B$8)</f>
        <v/>
      </c>
      <c r="AJ95" s="95">
        <f>IF(H95="","",IF(AH95&lt;&gt;"","Đã thanh lý",IF(AND(N95&lt;&gt;"",N95&gt;'THAM SO'!$B$8),"Chưa hiệu lực",IF(O95="","Đang thực hiện",IF(O95&lt;'THAM SO'!$B$8,IF(P95="Có","Đã tự gia hạn – kiểm tra","Quá hạn – chưa thanh lý"),IF(O95-'THAM SO'!$B$8&lt;='THAM SO'!$B$9,"Sắp hết hạn","Đang thực hiện"))))))</f>
        <v/>
      </c>
      <c r="AK95" s="106">
        <f>IF(AND(O95="",AH95=""),"",EDATE(MAX(N(O95),N(AH95)),12*'THAM SO'!$B$12))</f>
        <v/>
      </c>
      <c r="AL95" s="110" t="n"/>
    </row>
    <row r="96" ht="15" customHeight="1" s="64">
      <c r="A96" s="93">
        <f>IF(H96="","",COUNTA($H$9:H96))</f>
        <v/>
      </c>
      <c r="B96" s="93">
        <f>IF(OR(D96="",G96=""),"",YEAR(G96)&amp;"/"&amp;D96&amp;"/"&amp;TEXT(SUMPRODUCT(($D$9:D96=D96)*(YEAR($G$9:G96)=YEAR(G96))),"000")&amp;"-"&amp;'THAM SO'!$B$7)</f>
        <v/>
      </c>
      <c r="C96" s="107" t="n"/>
      <c r="D96" s="107" t="n"/>
      <c r="E96" s="95">
        <f>IF(D96="","",IFERROR(VLOOKUP(D96,'THAM SO'!$D$6:$E$40,2,FALSE()),"Mã loại chưa khai báo"))</f>
        <v/>
      </c>
      <c r="F96" s="108" t="n"/>
      <c r="G96" s="109" t="n"/>
      <c r="H96" s="110" t="n"/>
      <c r="I96" s="108" t="n"/>
      <c r="J96" s="110" t="n"/>
      <c r="K96" s="108" t="n"/>
      <c r="L96" s="108" t="n"/>
      <c r="M96" s="108" t="n"/>
      <c r="N96" s="109" t="n"/>
      <c r="O96" s="109" t="n"/>
      <c r="P96" s="107" t="n"/>
      <c r="Q96" s="107" t="n"/>
      <c r="R96" s="111" t="n"/>
      <c r="S96" s="112" t="n"/>
      <c r="T96" s="113" t="n"/>
      <c r="U96" s="102">
        <f>IF(S96="","",ROUND(S96*N(T96),2))</f>
        <v/>
      </c>
      <c r="V96" s="102">
        <f>IF(S96="","",S96+U96)</f>
        <v/>
      </c>
      <c r="W96" s="103">
        <f>IF(V96="","",ROUND(V96*IF(OR(Q96="",Q96="VND"),1,R96),0))</f>
        <v/>
      </c>
      <c r="X96" s="111" t="n"/>
      <c r="Y96" s="103">
        <f>IF(W96="","",W96+N(X96))</f>
        <v/>
      </c>
      <c r="Z96" s="103">
        <f>IF(B96="","",SUMIFS('NHAT KY THANH TOAN'!$G:$G,'NHAT KY THANH TOAN'!$B:$B,B96,'NHAT KY THANH TOAN'!$D:$D,"Hóa đơn"))</f>
        <v/>
      </c>
      <c r="AA96" s="103">
        <f>IF(B96="","",SUMIFS('NHAT KY THANH TOAN'!$G:$G,'NHAT KY THANH TOAN'!$B:$B,B96,'NHAT KY THANH TOAN'!$D:$D,"Thanh toán"))</f>
        <v/>
      </c>
      <c r="AB96" s="103">
        <f>IF(Y96="","",Y96-N(AA96))</f>
        <v/>
      </c>
      <c r="AC96" s="103">
        <f>IF(B96="","",N(Z96)-N(AA96))</f>
        <v/>
      </c>
      <c r="AD96" s="104">
        <f>IF(N(Y96)=0,"",N(AA96)/Y96)</f>
        <v/>
      </c>
      <c r="AE96" s="107" t="n"/>
      <c r="AF96" s="95">
        <f>IF(H96="","",TRIM(IF(AND(N(Y96)&gt;='THAM SO'!$B$10,AE96&lt;&gt;"Có"),"Chưa rà soát pháp lý; ","")&amp;IF(I96="","Thiếu MST đối tác; ","")&amp;IF(AG96="","Chưa ghi nơi lưu bản gốc; ","")&amp;IF(COUNTIFS('NHAT KY THANH TOAN'!$B:$B,B96,'NHAT KY THANH TOAN'!$D:$D,"Thanh toán",'NHAT KY THANH TOAN'!$F:$F,"Tiền mặt",'NHAT KY THANH TOAN'!$G:$G,"&gt;="&amp;'THAM SO'!$B$11)&gt;0,"Có khoản TT tiền mặt ≥ ngưỡng; ","")&amp;IF(AND(AB96&lt;&gt;"",N(AB96)&lt;0),"Thanh toán vượt giá trị HĐ; ","")))</f>
        <v/>
      </c>
      <c r="AG96" s="108" t="n"/>
      <c r="AH96" s="109" t="n"/>
      <c r="AI96" s="105">
        <f>IF(OR(H96="",O96="",AH96&lt;&gt;""),"",O96-'THAM SO'!$B$8)</f>
        <v/>
      </c>
      <c r="AJ96" s="95">
        <f>IF(H96="","",IF(AH96&lt;&gt;"","Đã thanh lý",IF(AND(N96&lt;&gt;"",N96&gt;'THAM SO'!$B$8),"Chưa hiệu lực",IF(O96="","Đang thực hiện",IF(O96&lt;'THAM SO'!$B$8,IF(P96="Có","Đã tự gia hạn – kiểm tra","Quá hạn – chưa thanh lý"),IF(O96-'THAM SO'!$B$8&lt;='THAM SO'!$B$9,"Sắp hết hạn","Đang thực hiện"))))))</f>
        <v/>
      </c>
      <c r="AK96" s="106">
        <f>IF(AND(O96="",AH96=""),"",EDATE(MAX(N(O96),N(AH96)),12*'THAM SO'!$B$12))</f>
        <v/>
      </c>
      <c r="AL96" s="110" t="n"/>
    </row>
    <row r="97" ht="15" customHeight="1" s="64">
      <c r="A97" s="93">
        <f>IF(H97="","",COUNTA($H$9:H97))</f>
        <v/>
      </c>
      <c r="B97" s="93">
        <f>IF(OR(D97="",G97=""),"",YEAR(G97)&amp;"/"&amp;D97&amp;"/"&amp;TEXT(SUMPRODUCT(($D$9:D97=D97)*(YEAR($G$9:G97)=YEAR(G97))),"000")&amp;"-"&amp;'THAM SO'!$B$7)</f>
        <v/>
      </c>
      <c r="C97" s="107" t="n"/>
      <c r="D97" s="107" t="n"/>
      <c r="E97" s="95">
        <f>IF(D97="","",IFERROR(VLOOKUP(D97,'THAM SO'!$D$6:$E$40,2,FALSE()),"Mã loại chưa khai báo"))</f>
        <v/>
      </c>
      <c r="F97" s="108" t="n"/>
      <c r="G97" s="109" t="n"/>
      <c r="H97" s="110" t="n"/>
      <c r="I97" s="108" t="n"/>
      <c r="J97" s="110" t="n"/>
      <c r="K97" s="108" t="n"/>
      <c r="L97" s="108" t="n"/>
      <c r="M97" s="108" t="n"/>
      <c r="N97" s="109" t="n"/>
      <c r="O97" s="109" t="n"/>
      <c r="P97" s="107" t="n"/>
      <c r="Q97" s="107" t="n"/>
      <c r="R97" s="111" t="n"/>
      <c r="S97" s="112" t="n"/>
      <c r="T97" s="113" t="n"/>
      <c r="U97" s="102">
        <f>IF(S97="","",ROUND(S97*N(T97),2))</f>
        <v/>
      </c>
      <c r="V97" s="102">
        <f>IF(S97="","",S97+U97)</f>
        <v/>
      </c>
      <c r="W97" s="103">
        <f>IF(V97="","",ROUND(V97*IF(OR(Q97="",Q97="VND"),1,R97),0))</f>
        <v/>
      </c>
      <c r="X97" s="111" t="n"/>
      <c r="Y97" s="103">
        <f>IF(W97="","",W97+N(X97))</f>
        <v/>
      </c>
      <c r="Z97" s="103">
        <f>IF(B97="","",SUMIFS('NHAT KY THANH TOAN'!$G:$G,'NHAT KY THANH TOAN'!$B:$B,B97,'NHAT KY THANH TOAN'!$D:$D,"Hóa đơn"))</f>
        <v/>
      </c>
      <c r="AA97" s="103">
        <f>IF(B97="","",SUMIFS('NHAT KY THANH TOAN'!$G:$G,'NHAT KY THANH TOAN'!$B:$B,B97,'NHAT KY THANH TOAN'!$D:$D,"Thanh toán"))</f>
        <v/>
      </c>
      <c r="AB97" s="103">
        <f>IF(Y97="","",Y97-N(AA97))</f>
        <v/>
      </c>
      <c r="AC97" s="103">
        <f>IF(B97="","",N(Z97)-N(AA97))</f>
        <v/>
      </c>
      <c r="AD97" s="104">
        <f>IF(N(Y97)=0,"",N(AA97)/Y97)</f>
        <v/>
      </c>
      <c r="AE97" s="107" t="n"/>
      <c r="AF97" s="95">
        <f>IF(H97="","",TRIM(IF(AND(N(Y97)&gt;='THAM SO'!$B$10,AE97&lt;&gt;"Có"),"Chưa rà soát pháp lý; ","")&amp;IF(I97="","Thiếu MST đối tác; ","")&amp;IF(AG97="","Chưa ghi nơi lưu bản gốc; ","")&amp;IF(COUNTIFS('NHAT KY THANH TOAN'!$B:$B,B97,'NHAT KY THANH TOAN'!$D:$D,"Thanh toán",'NHAT KY THANH TOAN'!$F:$F,"Tiền mặt",'NHAT KY THANH TOAN'!$G:$G,"&gt;="&amp;'THAM SO'!$B$11)&gt;0,"Có khoản TT tiền mặt ≥ ngưỡng; ","")&amp;IF(AND(AB97&lt;&gt;"",N(AB97)&lt;0),"Thanh toán vượt giá trị HĐ; ","")))</f>
        <v/>
      </c>
      <c r="AG97" s="108" t="n"/>
      <c r="AH97" s="109" t="n"/>
      <c r="AI97" s="105">
        <f>IF(OR(H97="",O97="",AH97&lt;&gt;""),"",O97-'THAM SO'!$B$8)</f>
        <v/>
      </c>
      <c r="AJ97" s="95">
        <f>IF(H97="","",IF(AH97&lt;&gt;"","Đã thanh lý",IF(AND(N97&lt;&gt;"",N97&gt;'THAM SO'!$B$8),"Chưa hiệu lực",IF(O97="","Đang thực hiện",IF(O97&lt;'THAM SO'!$B$8,IF(P97="Có","Đã tự gia hạn – kiểm tra","Quá hạn – chưa thanh lý"),IF(O97-'THAM SO'!$B$8&lt;='THAM SO'!$B$9,"Sắp hết hạn","Đang thực hiện"))))))</f>
        <v/>
      </c>
      <c r="AK97" s="106">
        <f>IF(AND(O97="",AH97=""),"",EDATE(MAX(N(O97),N(AH97)),12*'THAM SO'!$B$12))</f>
        <v/>
      </c>
      <c r="AL97" s="110" t="n"/>
    </row>
    <row r="98" ht="15" customHeight="1" s="64">
      <c r="A98" s="93">
        <f>IF(H98="","",COUNTA($H$9:H98))</f>
        <v/>
      </c>
      <c r="B98" s="93">
        <f>IF(OR(D98="",G98=""),"",YEAR(G98)&amp;"/"&amp;D98&amp;"/"&amp;TEXT(SUMPRODUCT(($D$9:D98=D98)*(YEAR($G$9:G98)=YEAR(G98))),"000")&amp;"-"&amp;'THAM SO'!$B$7)</f>
        <v/>
      </c>
      <c r="C98" s="107" t="n"/>
      <c r="D98" s="107" t="n"/>
      <c r="E98" s="95">
        <f>IF(D98="","",IFERROR(VLOOKUP(D98,'THAM SO'!$D$6:$E$40,2,FALSE()),"Mã loại chưa khai báo"))</f>
        <v/>
      </c>
      <c r="F98" s="108" t="n"/>
      <c r="G98" s="109" t="n"/>
      <c r="H98" s="110" t="n"/>
      <c r="I98" s="108" t="n"/>
      <c r="J98" s="110" t="n"/>
      <c r="K98" s="108" t="n"/>
      <c r="L98" s="108" t="n"/>
      <c r="M98" s="108" t="n"/>
      <c r="N98" s="109" t="n"/>
      <c r="O98" s="109" t="n"/>
      <c r="P98" s="107" t="n"/>
      <c r="Q98" s="107" t="n"/>
      <c r="R98" s="111" t="n"/>
      <c r="S98" s="112" t="n"/>
      <c r="T98" s="113" t="n"/>
      <c r="U98" s="102">
        <f>IF(S98="","",ROUND(S98*N(T98),2))</f>
        <v/>
      </c>
      <c r="V98" s="102">
        <f>IF(S98="","",S98+U98)</f>
        <v/>
      </c>
      <c r="W98" s="103">
        <f>IF(V98="","",ROUND(V98*IF(OR(Q98="",Q98="VND"),1,R98),0))</f>
        <v/>
      </c>
      <c r="X98" s="111" t="n"/>
      <c r="Y98" s="103">
        <f>IF(W98="","",W98+N(X98))</f>
        <v/>
      </c>
      <c r="Z98" s="103">
        <f>IF(B98="","",SUMIFS('NHAT KY THANH TOAN'!$G:$G,'NHAT KY THANH TOAN'!$B:$B,B98,'NHAT KY THANH TOAN'!$D:$D,"Hóa đơn"))</f>
        <v/>
      </c>
      <c r="AA98" s="103">
        <f>IF(B98="","",SUMIFS('NHAT KY THANH TOAN'!$G:$G,'NHAT KY THANH TOAN'!$B:$B,B98,'NHAT KY THANH TOAN'!$D:$D,"Thanh toán"))</f>
        <v/>
      </c>
      <c r="AB98" s="103">
        <f>IF(Y98="","",Y98-N(AA98))</f>
        <v/>
      </c>
      <c r="AC98" s="103">
        <f>IF(B98="","",N(Z98)-N(AA98))</f>
        <v/>
      </c>
      <c r="AD98" s="104">
        <f>IF(N(Y98)=0,"",N(AA98)/Y98)</f>
        <v/>
      </c>
      <c r="AE98" s="107" t="n"/>
      <c r="AF98" s="95">
        <f>IF(H98="","",TRIM(IF(AND(N(Y98)&gt;='THAM SO'!$B$10,AE98&lt;&gt;"Có"),"Chưa rà soát pháp lý; ","")&amp;IF(I98="","Thiếu MST đối tác; ","")&amp;IF(AG98="","Chưa ghi nơi lưu bản gốc; ","")&amp;IF(COUNTIFS('NHAT KY THANH TOAN'!$B:$B,B98,'NHAT KY THANH TOAN'!$D:$D,"Thanh toán",'NHAT KY THANH TOAN'!$F:$F,"Tiền mặt",'NHAT KY THANH TOAN'!$G:$G,"&gt;="&amp;'THAM SO'!$B$11)&gt;0,"Có khoản TT tiền mặt ≥ ngưỡng; ","")&amp;IF(AND(AB98&lt;&gt;"",N(AB98)&lt;0),"Thanh toán vượt giá trị HĐ; ","")))</f>
        <v/>
      </c>
      <c r="AG98" s="108" t="n"/>
      <c r="AH98" s="109" t="n"/>
      <c r="AI98" s="105">
        <f>IF(OR(H98="",O98="",AH98&lt;&gt;""),"",O98-'THAM SO'!$B$8)</f>
        <v/>
      </c>
      <c r="AJ98" s="95">
        <f>IF(H98="","",IF(AH98&lt;&gt;"","Đã thanh lý",IF(AND(N98&lt;&gt;"",N98&gt;'THAM SO'!$B$8),"Chưa hiệu lực",IF(O98="","Đang thực hiện",IF(O98&lt;'THAM SO'!$B$8,IF(P98="Có","Đã tự gia hạn – kiểm tra","Quá hạn – chưa thanh lý"),IF(O98-'THAM SO'!$B$8&lt;='THAM SO'!$B$9,"Sắp hết hạn","Đang thực hiện"))))))</f>
        <v/>
      </c>
      <c r="AK98" s="106">
        <f>IF(AND(O98="",AH98=""),"",EDATE(MAX(N(O98),N(AH98)),12*'THAM SO'!$B$12))</f>
        <v/>
      </c>
      <c r="AL98" s="110" t="n"/>
    </row>
    <row r="99" ht="15" customHeight="1" s="64">
      <c r="A99" s="93">
        <f>IF(H99="","",COUNTA($H$9:H99))</f>
        <v/>
      </c>
      <c r="B99" s="93">
        <f>IF(OR(D99="",G99=""),"",YEAR(G99)&amp;"/"&amp;D99&amp;"/"&amp;TEXT(SUMPRODUCT(($D$9:D99=D99)*(YEAR($G$9:G99)=YEAR(G99))),"000")&amp;"-"&amp;'THAM SO'!$B$7)</f>
        <v/>
      </c>
      <c r="C99" s="107" t="n"/>
      <c r="D99" s="107" t="n"/>
      <c r="E99" s="95">
        <f>IF(D99="","",IFERROR(VLOOKUP(D99,'THAM SO'!$D$6:$E$40,2,FALSE()),"Mã loại chưa khai báo"))</f>
        <v/>
      </c>
      <c r="F99" s="108" t="n"/>
      <c r="G99" s="109" t="n"/>
      <c r="H99" s="110" t="n"/>
      <c r="I99" s="108" t="n"/>
      <c r="J99" s="110" t="n"/>
      <c r="K99" s="108" t="n"/>
      <c r="L99" s="108" t="n"/>
      <c r="M99" s="108" t="n"/>
      <c r="N99" s="109" t="n"/>
      <c r="O99" s="109" t="n"/>
      <c r="P99" s="107" t="n"/>
      <c r="Q99" s="107" t="n"/>
      <c r="R99" s="111" t="n"/>
      <c r="S99" s="112" t="n"/>
      <c r="T99" s="113" t="n"/>
      <c r="U99" s="102">
        <f>IF(S99="","",ROUND(S99*N(T99),2))</f>
        <v/>
      </c>
      <c r="V99" s="102">
        <f>IF(S99="","",S99+U99)</f>
        <v/>
      </c>
      <c r="W99" s="103">
        <f>IF(V99="","",ROUND(V99*IF(OR(Q99="",Q99="VND"),1,R99),0))</f>
        <v/>
      </c>
      <c r="X99" s="111" t="n"/>
      <c r="Y99" s="103">
        <f>IF(W99="","",W99+N(X99))</f>
        <v/>
      </c>
      <c r="Z99" s="103">
        <f>IF(B99="","",SUMIFS('NHAT KY THANH TOAN'!$G:$G,'NHAT KY THANH TOAN'!$B:$B,B99,'NHAT KY THANH TOAN'!$D:$D,"Hóa đơn"))</f>
        <v/>
      </c>
      <c r="AA99" s="103">
        <f>IF(B99="","",SUMIFS('NHAT KY THANH TOAN'!$G:$G,'NHAT KY THANH TOAN'!$B:$B,B99,'NHAT KY THANH TOAN'!$D:$D,"Thanh toán"))</f>
        <v/>
      </c>
      <c r="AB99" s="103">
        <f>IF(Y99="","",Y99-N(AA99))</f>
        <v/>
      </c>
      <c r="AC99" s="103">
        <f>IF(B99="","",N(Z99)-N(AA99))</f>
        <v/>
      </c>
      <c r="AD99" s="104">
        <f>IF(N(Y99)=0,"",N(AA99)/Y99)</f>
        <v/>
      </c>
      <c r="AE99" s="107" t="n"/>
      <c r="AF99" s="95">
        <f>IF(H99="","",TRIM(IF(AND(N(Y99)&gt;='THAM SO'!$B$10,AE99&lt;&gt;"Có"),"Chưa rà soát pháp lý; ","")&amp;IF(I99="","Thiếu MST đối tác; ","")&amp;IF(AG99="","Chưa ghi nơi lưu bản gốc; ","")&amp;IF(COUNTIFS('NHAT KY THANH TOAN'!$B:$B,B99,'NHAT KY THANH TOAN'!$D:$D,"Thanh toán",'NHAT KY THANH TOAN'!$F:$F,"Tiền mặt",'NHAT KY THANH TOAN'!$G:$G,"&gt;="&amp;'THAM SO'!$B$11)&gt;0,"Có khoản TT tiền mặt ≥ ngưỡng; ","")&amp;IF(AND(AB99&lt;&gt;"",N(AB99)&lt;0),"Thanh toán vượt giá trị HĐ; ","")))</f>
        <v/>
      </c>
      <c r="AG99" s="108" t="n"/>
      <c r="AH99" s="109" t="n"/>
      <c r="AI99" s="105">
        <f>IF(OR(H99="",O99="",AH99&lt;&gt;""),"",O99-'THAM SO'!$B$8)</f>
        <v/>
      </c>
      <c r="AJ99" s="95">
        <f>IF(H99="","",IF(AH99&lt;&gt;"","Đã thanh lý",IF(AND(N99&lt;&gt;"",N99&gt;'THAM SO'!$B$8),"Chưa hiệu lực",IF(O99="","Đang thực hiện",IF(O99&lt;'THAM SO'!$B$8,IF(P99="Có","Đã tự gia hạn – kiểm tra","Quá hạn – chưa thanh lý"),IF(O99-'THAM SO'!$B$8&lt;='THAM SO'!$B$9,"Sắp hết hạn","Đang thực hiện"))))))</f>
        <v/>
      </c>
      <c r="AK99" s="106">
        <f>IF(AND(O99="",AH99=""),"",EDATE(MAX(N(O99),N(AH99)),12*'THAM SO'!$B$12))</f>
        <v/>
      </c>
      <c r="AL99" s="110" t="n"/>
    </row>
    <row r="100" ht="15" customHeight="1" s="64">
      <c r="A100" s="93">
        <f>IF(H100="","",COUNTA($H$9:H100))</f>
        <v/>
      </c>
      <c r="B100" s="93">
        <f>IF(OR(D100="",G100=""),"",YEAR(G100)&amp;"/"&amp;D100&amp;"/"&amp;TEXT(SUMPRODUCT(($D$9:D100=D100)*(YEAR($G$9:G100)=YEAR(G100))),"000")&amp;"-"&amp;'THAM SO'!$B$7)</f>
        <v/>
      </c>
      <c r="C100" s="107" t="n"/>
      <c r="D100" s="107" t="n"/>
      <c r="E100" s="95">
        <f>IF(D100="","",IFERROR(VLOOKUP(D100,'THAM SO'!$D$6:$E$40,2,FALSE()),"Mã loại chưa khai báo"))</f>
        <v/>
      </c>
      <c r="F100" s="108" t="n"/>
      <c r="G100" s="109" t="n"/>
      <c r="H100" s="110" t="n"/>
      <c r="I100" s="108" t="n"/>
      <c r="J100" s="110" t="n"/>
      <c r="K100" s="108" t="n"/>
      <c r="L100" s="108" t="n"/>
      <c r="M100" s="108" t="n"/>
      <c r="N100" s="109" t="n"/>
      <c r="O100" s="109" t="n"/>
      <c r="P100" s="107" t="n"/>
      <c r="Q100" s="107" t="n"/>
      <c r="R100" s="111" t="n"/>
      <c r="S100" s="112" t="n"/>
      <c r="T100" s="113" t="n"/>
      <c r="U100" s="102">
        <f>IF(S100="","",ROUND(S100*N(T100),2))</f>
        <v/>
      </c>
      <c r="V100" s="102">
        <f>IF(S100="","",S100+U100)</f>
        <v/>
      </c>
      <c r="W100" s="103">
        <f>IF(V100="","",ROUND(V100*IF(OR(Q100="",Q100="VND"),1,R100),0))</f>
        <v/>
      </c>
      <c r="X100" s="111" t="n"/>
      <c r="Y100" s="103">
        <f>IF(W100="","",W100+N(X100))</f>
        <v/>
      </c>
      <c r="Z100" s="103">
        <f>IF(B100="","",SUMIFS('NHAT KY THANH TOAN'!$G:$G,'NHAT KY THANH TOAN'!$B:$B,B100,'NHAT KY THANH TOAN'!$D:$D,"Hóa đơn"))</f>
        <v/>
      </c>
      <c r="AA100" s="103">
        <f>IF(B100="","",SUMIFS('NHAT KY THANH TOAN'!$G:$G,'NHAT KY THANH TOAN'!$B:$B,B100,'NHAT KY THANH TOAN'!$D:$D,"Thanh toán"))</f>
        <v/>
      </c>
      <c r="AB100" s="103">
        <f>IF(Y100="","",Y100-N(AA100))</f>
        <v/>
      </c>
      <c r="AC100" s="103">
        <f>IF(B100="","",N(Z100)-N(AA100))</f>
        <v/>
      </c>
      <c r="AD100" s="104">
        <f>IF(N(Y100)=0,"",N(AA100)/Y100)</f>
        <v/>
      </c>
      <c r="AE100" s="107" t="n"/>
      <c r="AF100" s="95">
        <f>IF(H100="","",TRIM(IF(AND(N(Y100)&gt;='THAM SO'!$B$10,AE100&lt;&gt;"Có"),"Chưa rà soát pháp lý; ","")&amp;IF(I100="","Thiếu MST đối tác; ","")&amp;IF(AG100="","Chưa ghi nơi lưu bản gốc; ","")&amp;IF(COUNTIFS('NHAT KY THANH TOAN'!$B:$B,B100,'NHAT KY THANH TOAN'!$D:$D,"Thanh toán",'NHAT KY THANH TOAN'!$F:$F,"Tiền mặt",'NHAT KY THANH TOAN'!$G:$G,"&gt;="&amp;'THAM SO'!$B$11)&gt;0,"Có khoản TT tiền mặt ≥ ngưỡng; ","")&amp;IF(AND(AB100&lt;&gt;"",N(AB100)&lt;0),"Thanh toán vượt giá trị HĐ; ","")))</f>
        <v/>
      </c>
      <c r="AG100" s="108" t="n"/>
      <c r="AH100" s="109" t="n"/>
      <c r="AI100" s="105">
        <f>IF(OR(H100="",O100="",AH100&lt;&gt;""),"",O100-'THAM SO'!$B$8)</f>
        <v/>
      </c>
      <c r="AJ100" s="95">
        <f>IF(H100="","",IF(AH100&lt;&gt;"","Đã thanh lý",IF(AND(N100&lt;&gt;"",N100&gt;'THAM SO'!$B$8),"Chưa hiệu lực",IF(O100="","Đang thực hiện",IF(O100&lt;'THAM SO'!$B$8,IF(P100="Có","Đã tự gia hạn – kiểm tra","Quá hạn – chưa thanh lý"),IF(O100-'THAM SO'!$B$8&lt;='THAM SO'!$B$9,"Sắp hết hạn","Đang thực hiện"))))))</f>
        <v/>
      </c>
      <c r="AK100" s="106">
        <f>IF(AND(O100="",AH100=""),"",EDATE(MAX(N(O100),N(AH100)),12*'THAM SO'!$B$12))</f>
        <v/>
      </c>
      <c r="AL100" s="110" t="n"/>
    </row>
    <row r="101" ht="15" customHeight="1" s="64">
      <c r="A101" s="93">
        <f>IF(H101="","",COUNTA($H$9:H101))</f>
        <v/>
      </c>
      <c r="B101" s="93">
        <f>IF(OR(D101="",G101=""),"",YEAR(G101)&amp;"/"&amp;D101&amp;"/"&amp;TEXT(SUMPRODUCT(($D$9:D101=D101)*(YEAR($G$9:G101)=YEAR(G101))),"000")&amp;"-"&amp;'THAM SO'!$B$7)</f>
        <v/>
      </c>
      <c r="C101" s="107" t="n"/>
      <c r="D101" s="107" t="n"/>
      <c r="E101" s="95">
        <f>IF(D101="","",IFERROR(VLOOKUP(D101,'THAM SO'!$D$6:$E$40,2,FALSE()),"Mã loại chưa khai báo"))</f>
        <v/>
      </c>
      <c r="F101" s="108" t="n"/>
      <c r="G101" s="109" t="n"/>
      <c r="H101" s="110" t="n"/>
      <c r="I101" s="108" t="n"/>
      <c r="J101" s="110" t="n"/>
      <c r="K101" s="108" t="n"/>
      <c r="L101" s="108" t="n"/>
      <c r="M101" s="108" t="n"/>
      <c r="N101" s="109" t="n"/>
      <c r="O101" s="109" t="n"/>
      <c r="P101" s="107" t="n"/>
      <c r="Q101" s="107" t="n"/>
      <c r="R101" s="111" t="n"/>
      <c r="S101" s="112" t="n"/>
      <c r="T101" s="113" t="n"/>
      <c r="U101" s="102">
        <f>IF(S101="","",ROUND(S101*N(T101),2))</f>
        <v/>
      </c>
      <c r="V101" s="102">
        <f>IF(S101="","",S101+U101)</f>
        <v/>
      </c>
      <c r="W101" s="103">
        <f>IF(V101="","",ROUND(V101*IF(OR(Q101="",Q101="VND"),1,R101),0))</f>
        <v/>
      </c>
      <c r="X101" s="111" t="n"/>
      <c r="Y101" s="103">
        <f>IF(W101="","",W101+N(X101))</f>
        <v/>
      </c>
      <c r="Z101" s="103">
        <f>IF(B101="","",SUMIFS('NHAT KY THANH TOAN'!$G:$G,'NHAT KY THANH TOAN'!$B:$B,B101,'NHAT KY THANH TOAN'!$D:$D,"Hóa đơn"))</f>
        <v/>
      </c>
      <c r="AA101" s="103">
        <f>IF(B101="","",SUMIFS('NHAT KY THANH TOAN'!$G:$G,'NHAT KY THANH TOAN'!$B:$B,B101,'NHAT KY THANH TOAN'!$D:$D,"Thanh toán"))</f>
        <v/>
      </c>
      <c r="AB101" s="103">
        <f>IF(Y101="","",Y101-N(AA101))</f>
        <v/>
      </c>
      <c r="AC101" s="103">
        <f>IF(B101="","",N(Z101)-N(AA101))</f>
        <v/>
      </c>
      <c r="AD101" s="104">
        <f>IF(N(Y101)=0,"",N(AA101)/Y101)</f>
        <v/>
      </c>
      <c r="AE101" s="107" t="n"/>
      <c r="AF101" s="95">
        <f>IF(H101="","",TRIM(IF(AND(N(Y101)&gt;='THAM SO'!$B$10,AE101&lt;&gt;"Có"),"Chưa rà soát pháp lý; ","")&amp;IF(I101="","Thiếu MST đối tác; ","")&amp;IF(AG101="","Chưa ghi nơi lưu bản gốc; ","")&amp;IF(COUNTIFS('NHAT KY THANH TOAN'!$B:$B,B101,'NHAT KY THANH TOAN'!$D:$D,"Thanh toán",'NHAT KY THANH TOAN'!$F:$F,"Tiền mặt",'NHAT KY THANH TOAN'!$G:$G,"&gt;="&amp;'THAM SO'!$B$11)&gt;0,"Có khoản TT tiền mặt ≥ ngưỡng; ","")&amp;IF(AND(AB101&lt;&gt;"",N(AB101)&lt;0),"Thanh toán vượt giá trị HĐ; ","")))</f>
        <v/>
      </c>
      <c r="AG101" s="108" t="n"/>
      <c r="AH101" s="109" t="n"/>
      <c r="AI101" s="105">
        <f>IF(OR(H101="",O101="",AH101&lt;&gt;""),"",O101-'THAM SO'!$B$8)</f>
        <v/>
      </c>
      <c r="AJ101" s="95">
        <f>IF(H101="","",IF(AH101&lt;&gt;"","Đã thanh lý",IF(AND(N101&lt;&gt;"",N101&gt;'THAM SO'!$B$8),"Chưa hiệu lực",IF(O101="","Đang thực hiện",IF(O101&lt;'THAM SO'!$B$8,IF(P101="Có","Đã tự gia hạn – kiểm tra","Quá hạn – chưa thanh lý"),IF(O101-'THAM SO'!$B$8&lt;='THAM SO'!$B$9,"Sắp hết hạn","Đang thực hiện"))))))</f>
        <v/>
      </c>
      <c r="AK101" s="106">
        <f>IF(AND(O101="",AH101=""),"",EDATE(MAX(N(O101),N(AH101)),12*'THAM SO'!$B$12))</f>
        <v/>
      </c>
      <c r="AL101" s="110" t="n"/>
    </row>
    <row r="102" ht="15" customHeight="1" s="64">
      <c r="A102" s="93">
        <f>IF(H102="","",COUNTA($H$9:H102))</f>
        <v/>
      </c>
      <c r="B102" s="93">
        <f>IF(OR(D102="",G102=""),"",YEAR(G102)&amp;"/"&amp;D102&amp;"/"&amp;TEXT(SUMPRODUCT(($D$9:D102=D102)*(YEAR($G$9:G102)=YEAR(G102))),"000")&amp;"-"&amp;'THAM SO'!$B$7)</f>
        <v/>
      </c>
      <c r="C102" s="107" t="n"/>
      <c r="D102" s="107" t="n"/>
      <c r="E102" s="95">
        <f>IF(D102="","",IFERROR(VLOOKUP(D102,'THAM SO'!$D$6:$E$40,2,FALSE()),"Mã loại chưa khai báo"))</f>
        <v/>
      </c>
      <c r="F102" s="108" t="n"/>
      <c r="G102" s="109" t="n"/>
      <c r="H102" s="110" t="n"/>
      <c r="I102" s="108" t="n"/>
      <c r="J102" s="110" t="n"/>
      <c r="K102" s="108" t="n"/>
      <c r="L102" s="108" t="n"/>
      <c r="M102" s="108" t="n"/>
      <c r="N102" s="109" t="n"/>
      <c r="O102" s="109" t="n"/>
      <c r="P102" s="107" t="n"/>
      <c r="Q102" s="107" t="n"/>
      <c r="R102" s="111" t="n"/>
      <c r="S102" s="112" t="n"/>
      <c r="T102" s="113" t="n"/>
      <c r="U102" s="102">
        <f>IF(S102="","",ROUND(S102*N(T102),2))</f>
        <v/>
      </c>
      <c r="V102" s="102">
        <f>IF(S102="","",S102+U102)</f>
        <v/>
      </c>
      <c r="W102" s="103">
        <f>IF(V102="","",ROUND(V102*IF(OR(Q102="",Q102="VND"),1,R102),0))</f>
        <v/>
      </c>
      <c r="X102" s="111" t="n"/>
      <c r="Y102" s="103">
        <f>IF(W102="","",W102+N(X102))</f>
        <v/>
      </c>
      <c r="Z102" s="103">
        <f>IF(B102="","",SUMIFS('NHAT KY THANH TOAN'!$G:$G,'NHAT KY THANH TOAN'!$B:$B,B102,'NHAT KY THANH TOAN'!$D:$D,"Hóa đơn"))</f>
        <v/>
      </c>
      <c r="AA102" s="103">
        <f>IF(B102="","",SUMIFS('NHAT KY THANH TOAN'!$G:$G,'NHAT KY THANH TOAN'!$B:$B,B102,'NHAT KY THANH TOAN'!$D:$D,"Thanh toán"))</f>
        <v/>
      </c>
      <c r="AB102" s="103">
        <f>IF(Y102="","",Y102-N(AA102))</f>
        <v/>
      </c>
      <c r="AC102" s="103">
        <f>IF(B102="","",N(Z102)-N(AA102))</f>
        <v/>
      </c>
      <c r="AD102" s="104">
        <f>IF(N(Y102)=0,"",N(AA102)/Y102)</f>
        <v/>
      </c>
      <c r="AE102" s="107" t="n"/>
      <c r="AF102" s="95">
        <f>IF(H102="","",TRIM(IF(AND(N(Y102)&gt;='THAM SO'!$B$10,AE102&lt;&gt;"Có"),"Chưa rà soát pháp lý; ","")&amp;IF(I102="","Thiếu MST đối tác; ","")&amp;IF(AG102="","Chưa ghi nơi lưu bản gốc; ","")&amp;IF(COUNTIFS('NHAT KY THANH TOAN'!$B:$B,B102,'NHAT KY THANH TOAN'!$D:$D,"Thanh toán",'NHAT KY THANH TOAN'!$F:$F,"Tiền mặt",'NHAT KY THANH TOAN'!$G:$G,"&gt;="&amp;'THAM SO'!$B$11)&gt;0,"Có khoản TT tiền mặt ≥ ngưỡng; ","")&amp;IF(AND(AB102&lt;&gt;"",N(AB102)&lt;0),"Thanh toán vượt giá trị HĐ; ","")))</f>
        <v/>
      </c>
      <c r="AG102" s="108" t="n"/>
      <c r="AH102" s="109" t="n"/>
      <c r="AI102" s="105">
        <f>IF(OR(H102="",O102="",AH102&lt;&gt;""),"",O102-'THAM SO'!$B$8)</f>
        <v/>
      </c>
      <c r="AJ102" s="95">
        <f>IF(H102="","",IF(AH102&lt;&gt;"","Đã thanh lý",IF(AND(N102&lt;&gt;"",N102&gt;'THAM SO'!$B$8),"Chưa hiệu lực",IF(O102="","Đang thực hiện",IF(O102&lt;'THAM SO'!$B$8,IF(P102="Có","Đã tự gia hạn – kiểm tra","Quá hạn – chưa thanh lý"),IF(O102-'THAM SO'!$B$8&lt;='THAM SO'!$B$9,"Sắp hết hạn","Đang thực hiện"))))))</f>
        <v/>
      </c>
      <c r="AK102" s="106">
        <f>IF(AND(O102="",AH102=""),"",EDATE(MAX(N(O102),N(AH102)),12*'THAM SO'!$B$12))</f>
        <v/>
      </c>
      <c r="AL102" s="110" t="n"/>
    </row>
    <row r="103" ht="15" customHeight="1" s="64">
      <c r="A103" s="93">
        <f>IF(H103="","",COUNTA($H$9:H103))</f>
        <v/>
      </c>
      <c r="B103" s="93">
        <f>IF(OR(D103="",G103=""),"",YEAR(G103)&amp;"/"&amp;D103&amp;"/"&amp;TEXT(SUMPRODUCT(($D$9:D103=D103)*(YEAR($G$9:G103)=YEAR(G103))),"000")&amp;"-"&amp;'THAM SO'!$B$7)</f>
        <v/>
      </c>
      <c r="C103" s="107" t="n"/>
      <c r="D103" s="107" t="n"/>
      <c r="E103" s="95">
        <f>IF(D103="","",IFERROR(VLOOKUP(D103,'THAM SO'!$D$6:$E$40,2,FALSE()),"Mã loại chưa khai báo"))</f>
        <v/>
      </c>
      <c r="F103" s="108" t="n"/>
      <c r="G103" s="109" t="n"/>
      <c r="H103" s="110" t="n"/>
      <c r="I103" s="108" t="n"/>
      <c r="J103" s="110" t="n"/>
      <c r="K103" s="108" t="n"/>
      <c r="L103" s="108" t="n"/>
      <c r="M103" s="108" t="n"/>
      <c r="N103" s="109" t="n"/>
      <c r="O103" s="109" t="n"/>
      <c r="P103" s="107" t="n"/>
      <c r="Q103" s="107" t="n"/>
      <c r="R103" s="111" t="n"/>
      <c r="S103" s="112" t="n"/>
      <c r="T103" s="113" t="n"/>
      <c r="U103" s="102">
        <f>IF(S103="","",ROUND(S103*N(T103),2))</f>
        <v/>
      </c>
      <c r="V103" s="102">
        <f>IF(S103="","",S103+U103)</f>
        <v/>
      </c>
      <c r="W103" s="103">
        <f>IF(V103="","",ROUND(V103*IF(OR(Q103="",Q103="VND"),1,R103),0))</f>
        <v/>
      </c>
      <c r="X103" s="111" t="n"/>
      <c r="Y103" s="103">
        <f>IF(W103="","",W103+N(X103))</f>
        <v/>
      </c>
      <c r="Z103" s="103">
        <f>IF(B103="","",SUMIFS('NHAT KY THANH TOAN'!$G:$G,'NHAT KY THANH TOAN'!$B:$B,B103,'NHAT KY THANH TOAN'!$D:$D,"Hóa đơn"))</f>
        <v/>
      </c>
      <c r="AA103" s="103">
        <f>IF(B103="","",SUMIFS('NHAT KY THANH TOAN'!$G:$G,'NHAT KY THANH TOAN'!$B:$B,B103,'NHAT KY THANH TOAN'!$D:$D,"Thanh toán"))</f>
        <v/>
      </c>
      <c r="AB103" s="103">
        <f>IF(Y103="","",Y103-N(AA103))</f>
        <v/>
      </c>
      <c r="AC103" s="103">
        <f>IF(B103="","",N(Z103)-N(AA103))</f>
        <v/>
      </c>
      <c r="AD103" s="104">
        <f>IF(N(Y103)=0,"",N(AA103)/Y103)</f>
        <v/>
      </c>
      <c r="AE103" s="107" t="n"/>
      <c r="AF103" s="95">
        <f>IF(H103="","",TRIM(IF(AND(N(Y103)&gt;='THAM SO'!$B$10,AE103&lt;&gt;"Có"),"Chưa rà soát pháp lý; ","")&amp;IF(I103="","Thiếu MST đối tác; ","")&amp;IF(AG103="","Chưa ghi nơi lưu bản gốc; ","")&amp;IF(COUNTIFS('NHAT KY THANH TOAN'!$B:$B,B103,'NHAT KY THANH TOAN'!$D:$D,"Thanh toán",'NHAT KY THANH TOAN'!$F:$F,"Tiền mặt",'NHAT KY THANH TOAN'!$G:$G,"&gt;="&amp;'THAM SO'!$B$11)&gt;0,"Có khoản TT tiền mặt ≥ ngưỡng; ","")&amp;IF(AND(AB103&lt;&gt;"",N(AB103)&lt;0),"Thanh toán vượt giá trị HĐ; ","")))</f>
        <v/>
      </c>
      <c r="AG103" s="108" t="n"/>
      <c r="AH103" s="109" t="n"/>
      <c r="AI103" s="105">
        <f>IF(OR(H103="",O103="",AH103&lt;&gt;""),"",O103-'THAM SO'!$B$8)</f>
        <v/>
      </c>
      <c r="AJ103" s="95">
        <f>IF(H103="","",IF(AH103&lt;&gt;"","Đã thanh lý",IF(AND(N103&lt;&gt;"",N103&gt;'THAM SO'!$B$8),"Chưa hiệu lực",IF(O103="","Đang thực hiện",IF(O103&lt;'THAM SO'!$B$8,IF(P103="Có","Đã tự gia hạn – kiểm tra","Quá hạn – chưa thanh lý"),IF(O103-'THAM SO'!$B$8&lt;='THAM SO'!$B$9,"Sắp hết hạn","Đang thực hiện"))))))</f>
        <v/>
      </c>
      <c r="AK103" s="106">
        <f>IF(AND(O103="",AH103=""),"",EDATE(MAX(N(O103),N(AH103)),12*'THAM SO'!$B$12))</f>
        <v/>
      </c>
      <c r="AL103" s="110" t="n"/>
    </row>
    <row r="104" ht="15" customHeight="1" s="64">
      <c r="A104" s="93">
        <f>IF(H104="","",COUNTA($H$9:H104))</f>
        <v/>
      </c>
      <c r="B104" s="93">
        <f>IF(OR(D104="",G104=""),"",YEAR(G104)&amp;"/"&amp;D104&amp;"/"&amp;TEXT(SUMPRODUCT(($D$9:D104=D104)*(YEAR($G$9:G104)=YEAR(G104))),"000")&amp;"-"&amp;'THAM SO'!$B$7)</f>
        <v/>
      </c>
      <c r="C104" s="107" t="n"/>
      <c r="D104" s="107" t="n"/>
      <c r="E104" s="95">
        <f>IF(D104="","",IFERROR(VLOOKUP(D104,'THAM SO'!$D$6:$E$40,2,FALSE()),"Mã loại chưa khai báo"))</f>
        <v/>
      </c>
      <c r="F104" s="108" t="n"/>
      <c r="G104" s="109" t="n"/>
      <c r="H104" s="110" t="n"/>
      <c r="I104" s="108" t="n"/>
      <c r="J104" s="110" t="n"/>
      <c r="K104" s="108" t="n"/>
      <c r="L104" s="108" t="n"/>
      <c r="M104" s="108" t="n"/>
      <c r="N104" s="109" t="n"/>
      <c r="O104" s="109" t="n"/>
      <c r="P104" s="107" t="n"/>
      <c r="Q104" s="107" t="n"/>
      <c r="R104" s="111" t="n"/>
      <c r="S104" s="112" t="n"/>
      <c r="T104" s="113" t="n"/>
      <c r="U104" s="102">
        <f>IF(S104="","",ROUND(S104*N(T104),2))</f>
        <v/>
      </c>
      <c r="V104" s="102">
        <f>IF(S104="","",S104+U104)</f>
        <v/>
      </c>
      <c r="W104" s="103">
        <f>IF(V104="","",ROUND(V104*IF(OR(Q104="",Q104="VND"),1,R104),0))</f>
        <v/>
      </c>
      <c r="X104" s="111" t="n"/>
      <c r="Y104" s="103">
        <f>IF(W104="","",W104+N(X104))</f>
        <v/>
      </c>
      <c r="Z104" s="103">
        <f>IF(B104="","",SUMIFS('NHAT KY THANH TOAN'!$G:$G,'NHAT KY THANH TOAN'!$B:$B,B104,'NHAT KY THANH TOAN'!$D:$D,"Hóa đơn"))</f>
        <v/>
      </c>
      <c r="AA104" s="103">
        <f>IF(B104="","",SUMIFS('NHAT KY THANH TOAN'!$G:$G,'NHAT KY THANH TOAN'!$B:$B,B104,'NHAT KY THANH TOAN'!$D:$D,"Thanh toán"))</f>
        <v/>
      </c>
      <c r="AB104" s="103">
        <f>IF(Y104="","",Y104-N(AA104))</f>
        <v/>
      </c>
      <c r="AC104" s="103">
        <f>IF(B104="","",N(Z104)-N(AA104))</f>
        <v/>
      </c>
      <c r="AD104" s="104">
        <f>IF(N(Y104)=0,"",N(AA104)/Y104)</f>
        <v/>
      </c>
      <c r="AE104" s="107" t="n"/>
      <c r="AF104" s="95">
        <f>IF(H104="","",TRIM(IF(AND(N(Y104)&gt;='THAM SO'!$B$10,AE104&lt;&gt;"Có"),"Chưa rà soát pháp lý; ","")&amp;IF(I104="","Thiếu MST đối tác; ","")&amp;IF(AG104="","Chưa ghi nơi lưu bản gốc; ","")&amp;IF(COUNTIFS('NHAT KY THANH TOAN'!$B:$B,B104,'NHAT KY THANH TOAN'!$D:$D,"Thanh toán",'NHAT KY THANH TOAN'!$F:$F,"Tiền mặt",'NHAT KY THANH TOAN'!$G:$G,"&gt;="&amp;'THAM SO'!$B$11)&gt;0,"Có khoản TT tiền mặt ≥ ngưỡng; ","")&amp;IF(AND(AB104&lt;&gt;"",N(AB104)&lt;0),"Thanh toán vượt giá trị HĐ; ","")))</f>
        <v/>
      </c>
      <c r="AG104" s="108" t="n"/>
      <c r="AH104" s="109" t="n"/>
      <c r="AI104" s="105">
        <f>IF(OR(H104="",O104="",AH104&lt;&gt;""),"",O104-'THAM SO'!$B$8)</f>
        <v/>
      </c>
      <c r="AJ104" s="95">
        <f>IF(H104="","",IF(AH104&lt;&gt;"","Đã thanh lý",IF(AND(N104&lt;&gt;"",N104&gt;'THAM SO'!$B$8),"Chưa hiệu lực",IF(O104="","Đang thực hiện",IF(O104&lt;'THAM SO'!$B$8,IF(P104="Có","Đã tự gia hạn – kiểm tra","Quá hạn – chưa thanh lý"),IF(O104-'THAM SO'!$B$8&lt;='THAM SO'!$B$9,"Sắp hết hạn","Đang thực hiện"))))))</f>
        <v/>
      </c>
      <c r="AK104" s="106">
        <f>IF(AND(O104="",AH104=""),"",EDATE(MAX(N(O104),N(AH104)),12*'THAM SO'!$B$12))</f>
        <v/>
      </c>
      <c r="AL104" s="110" t="n"/>
    </row>
    <row r="105" ht="15" customHeight="1" s="64">
      <c r="A105" s="93">
        <f>IF(H105="","",COUNTA($H$9:H105))</f>
        <v/>
      </c>
      <c r="B105" s="93">
        <f>IF(OR(D105="",G105=""),"",YEAR(G105)&amp;"/"&amp;D105&amp;"/"&amp;TEXT(SUMPRODUCT(($D$9:D105=D105)*(YEAR($G$9:G105)=YEAR(G105))),"000")&amp;"-"&amp;'THAM SO'!$B$7)</f>
        <v/>
      </c>
      <c r="C105" s="107" t="n"/>
      <c r="D105" s="107" t="n"/>
      <c r="E105" s="95">
        <f>IF(D105="","",IFERROR(VLOOKUP(D105,'THAM SO'!$D$6:$E$40,2,FALSE()),"Mã loại chưa khai báo"))</f>
        <v/>
      </c>
      <c r="F105" s="108" t="n"/>
      <c r="G105" s="109" t="n"/>
      <c r="H105" s="110" t="n"/>
      <c r="I105" s="108" t="n"/>
      <c r="J105" s="110" t="n"/>
      <c r="K105" s="108" t="n"/>
      <c r="L105" s="108" t="n"/>
      <c r="M105" s="108" t="n"/>
      <c r="N105" s="109" t="n"/>
      <c r="O105" s="109" t="n"/>
      <c r="P105" s="107" t="n"/>
      <c r="Q105" s="107" t="n"/>
      <c r="R105" s="111" t="n"/>
      <c r="S105" s="112" t="n"/>
      <c r="T105" s="113" t="n"/>
      <c r="U105" s="102">
        <f>IF(S105="","",ROUND(S105*N(T105),2))</f>
        <v/>
      </c>
      <c r="V105" s="102">
        <f>IF(S105="","",S105+U105)</f>
        <v/>
      </c>
      <c r="W105" s="103">
        <f>IF(V105="","",ROUND(V105*IF(OR(Q105="",Q105="VND"),1,R105),0))</f>
        <v/>
      </c>
      <c r="X105" s="111" t="n"/>
      <c r="Y105" s="103">
        <f>IF(W105="","",W105+N(X105))</f>
        <v/>
      </c>
      <c r="Z105" s="103">
        <f>IF(B105="","",SUMIFS('NHAT KY THANH TOAN'!$G:$G,'NHAT KY THANH TOAN'!$B:$B,B105,'NHAT KY THANH TOAN'!$D:$D,"Hóa đơn"))</f>
        <v/>
      </c>
      <c r="AA105" s="103">
        <f>IF(B105="","",SUMIFS('NHAT KY THANH TOAN'!$G:$G,'NHAT KY THANH TOAN'!$B:$B,B105,'NHAT KY THANH TOAN'!$D:$D,"Thanh toán"))</f>
        <v/>
      </c>
      <c r="AB105" s="103">
        <f>IF(Y105="","",Y105-N(AA105))</f>
        <v/>
      </c>
      <c r="AC105" s="103">
        <f>IF(B105="","",N(Z105)-N(AA105))</f>
        <v/>
      </c>
      <c r="AD105" s="104">
        <f>IF(N(Y105)=0,"",N(AA105)/Y105)</f>
        <v/>
      </c>
      <c r="AE105" s="107" t="n"/>
      <c r="AF105" s="95">
        <f>IF(H105="","",TRIM(IF(AND(N(Y105)&gt;='THAM SO'!$B$10,AE105&lt;&gt;"Có"),"Chưa rà soát pháp lý; ","")&amp;IF(I105="","Thiếu MST đối tác; ","")&amp;IF(AG105="","Chưa ghi nơi lưu bản gốc; ","")&amp;IF(COUNTIFS('NHAT KY THANH TOAN'!$B:$B,B105,'NHAT KY THANH TOAN'!$D:$D,"Thanh toán",'NHAT KY THANH TOAN'!$F:$F,"Tiền mặt",'NHAT KY THANH TOAN'!$G:$G,"&gt;="&amp;'THAM SO'!$B$11)&gt;0,"Có khoản TT tiền mặt ≥ ngưỡng; ","")&amp;IF(AND(AB105&lt;&gt;"",N(AB105)&lt;0),"Thanh toán vượt giá trị HĐ; ","")))</f>
        <v/>
      </c>
      <c r="AG105" s="108" t="n"/>
      <c r="AH105" s="109" t="n"/>
      <c r="AI105" s="105">
        <f>IF(OR(H105="",O105="",AH105&lt;&gt;""),"",O105-'THAM SO'!$B$8)</f>
        <v/>
      </c>
      <c r="AJ105" s="95">
        <f>IF(H105="","",IF(AH105&lt;&gt;"","Đã thanh lý",IF(AND(N105&lt;&gt;"",N105&gt;'THAM SO'!$B$8),"Chưa hiệu lực",IF(O105="","Đang thực hiện",IF(O105&lt;'THAM SO'!$B$8,IF(P105="Có","Đã tự gia hạn – kiểm tra","Quá hạn – chưa thanh lý"),IF(O105-'THAM SO'!$B$8&lt;='THAM SO'!$B$9,"Sắp hết hạn","Đang thực hiện"))))))</f>
        <v/>
      </c>
      <c r="AK105" s="106">
        <f>IF(AND(O105="",AH105=""),"",EDATE(MAX(N(O105),N(AH105)),12*'THAM SO'!$B$12))</f>
        <v/>
      </c>
      <c r="AL105" s="110" t="n"/>
    </row>
    <row r="106" ht="15" customHeight="1" s="64">
      <c r="A106" s="93">
        <f>IF(H106="","",COUNTA($H$9:H106))</f>
        <v/>
      </c>
      <c r="B106" s="93">
        <f>IF(OR(D106="",G106=""),"",YEAR(G106)&amp;"/"&amp;D106&amp;"/"&amp;TEXT(SUMPRODUCT(($D$9:D106=D106)*(YEAR($G$9:G106)=YEAR(G106))),"000")&amp;"-"&amp;'THAM SO'!$B$7)</f>
        <v/>
      </c>
      <c r="C106" s="107" t="n"/>
      <c r="D106" s="107" t="n"/>
      <c r="E106" s="95">
        <f>IF(D106="","",IFERROR(VLOOKUP(D106,'THAM SO'!$D$6:$E$40,2,FALSE()),"Mã loại chưa khai báo"))</f>
        <v/>
      </c>
      <c r="F106" s="108" t="n"/>
      <c r="G106" s="109" t="n"/>
      <c r="H106" s="110" t="n"/>
      <c r="I106" s="108" t="n"/>
      <c r="J106" s="110" t="n"/>
      <c r="K106" s="108" t="n"/>
      <c r="L106" s="108" t="n"/>
      <c r="M106" s="108" t="n"/>
      <c r="N106" s="109" t="n"/>
      <c r="O106" s="109" t="n"/>
      <c r="P106" s="107" t="n"/>
      <c r="Q106" s="107" t="n"/>
      <c r="R106" s="111" t="n"/>
      <c r="S106" s="112" t="n"/>
      <c r="T106" s="113" t="n"/>
      <c r="U106" s="102">
        <f>IF(S106="","",ROUND(S106*N(T106),2))</f>
        <v/>
      </c>
      <c r="V106" s="102">
        <f>IF(S106="","",S106+U106)</f>
        <v/>
      </c>
      <c r="W106" s="103">
        <f>IF(V106="","",ROUND(V106*IF(OR(Q106="",Q106="VND"),1,R106),0))</f>
        <v/>
      </c>
      <c r="X106" s="111" t="n"/>
      <c r="Y106" s="103">
        <f>IF(W106="","",W106+N(X106))</f>
        <v/>
      </c>
      <c r="Z106" s="103">
        <f>IF(B106="","",SUMIFS('NHAT KY THANH TOAN'!$G:$G,'NHAT KY THANH TOAN'!$B:$B,B106,'NHAT KY THANH TOAN'!$D:$D,"Hóa đơn"))</f>
        <v/>
      </c>
      <c r="AA106" s="103">
        <f>IF(B106="","",SUMIFS('NHAT KY THANH TOAN'!$G:$G,'NHAT KY THANH TOAN'!$B:$B,B106,'NHAT KY THANH TOAN'!$D:$D,"Thanh toán"))</f>
        <v/>
      </c>
      <c r="AB106" s="103">
        <f>IF(Y106="","",Y106-N(AA106))</f>
        <v/>
      </c>
      <c r="AC106" s="103">
        <f>IF(B106="","",N(Z106)-N(AA106))</f>
        <v/>
      </c>
      <c r="AD106" s="104">
        <f>IF(N(Y106)=0,"",N(AA106)/Y106)</f>
        <v/>
      </c>
      <c r="AE106" s="107" t="n"/>
      <c r="AF106" s="95">
        <f>IF(H106="","",TRIM(IF(AND(N(Y106)&gt;='THAM SO'!$B$10,AE106&lt;&gt;"Có"),"Chưa rà soát pháp lý; ","")&amp;IF(I106="","Thiếu MST đối tác; ","")&amp;IF(AG106="","Chưa ghi nơi lưu bản gốc; ","")&amp;IF(COUNTIFS('NHAT KY THANH TOAN'!$B:$B,B106,'NHAT KY THANH TOAN'!$D:$D,"Thanh toán",'NHAT KY THANH TOAN'!$F:$F,"Tiền mặt",'NHAT KY THANH TOAN'!$G:$G,"&gt;="&amp;'THAM SO'!$B$11)&gt;0,"Có khoản TT tiền mặt ≥ ngưỡng; ","")&amp;IF(AND(AB106&lt;&gt;"",N(AB106)&lt;0),"Thanh toán vượt giá trị HĐ; ","")))</f>
        <v/>
      </c>
      <c r="AG106" s="108" t="n"/>
      <c r="AH106" s="109" t="n"/>
      <c r="AI106" s="105">
        <f>IF(OR(H106="",O106="",AH106&lt;&gt;""),"",O106-'THAM SO'!$B$8)</f>
        <v/>
      </c>
      <c r="AJ106" s="95">
        <f>IF(H106="","",IF(AH106&lt;&gt;"","Đã thanh lý",IF(AND(N106&lt;&gt;"",N106&gt;'THAM SO'!$B$8),"Chưa hiệu lực",IF(O106="","Đang thực hiện",IF(O106&lt;'THAM SO'!$B$8,IF(P106="Có","Đã tự gia hạn – kiểm tra","Quá hạn – chưa thanh lý"),IF(O106-'THAM SO'!$B$8&lt;='THAM SO'!$B$9,"Sắp hết hạn","Đang thực hiện"))))))</f>
        <v/>
      </c>
      <c r="AK106" s="106">
        <f>IF(AND(O106="",AH106=""),"",EDATE(MAX(N(O106),N(AH106)),12*'THAM SO'!$B$12))</f>
        <v/>
      </c>
      <c r="AL106" s="110" t="n"/>
    </row>
    <row r="107" ht="15" customHeight="1" s="64">
      <c r="A107" s="93">
        <f>IF(H107="","",COUNTA($H$9:H107))</f>
        <v/>
      </c>
      <c r="B107" s="93">
        <f>IF(OR(D107="",G107=""),"",YEAR(G107)&amp;"/"&amp;D107&amp;"/"&amp;TEXT(SUMPRODUCT(($D$9:D107=D107)*(YEAR($G$9:G107)=YEAR(G107))),"000")&amp;"-"&amp;'THAM SO'!$B$7)</f>
        <v/>
      </c>
      <c r="C107" s="107" t="n"/>
      <c r="D107" s="107" t="n"/>
      <c r="E107" s="95">
        <f>IF(D107="","",IFERROR(VLOOKUP(D107,'THAM SO'!$D$6:$E$40,2,FALSE()),"Mã loại chưa khai báo"))</f>
        <v/>
      </c>
      <c r="F107" s="108" t="n"/>
      <c r="G107" s="109" t="n"/>
      <c r="H107" s="110" t="n"/>
      <c r="I107" s="108" t="n"/>
      <c r="J107" s="110" t="n"/>
      <c r="K107" s="108" t="n"/>
      <c r="L107" s="108" t="n"/>
      <c r="M107" s="108" t="n"/>
      <c r="N107" s="109" t="n"/>
      <c r="O107" s="109" t="n"/>
      <c r="P107" s="107" t="n"/>
      <c r="Q107" s="107" t="n"/>
      <c r="R107" s="111" t="n"/>
      <c r="S107" s="112" t="n"/>
      <c r="T107" s="113" t="n"/>
      <c r="U107" s="102">
        <f>IF(S107="","",ROUND(S107*N(T107),2))</f>
        <v/>
      </c>
      <c r="V107" s="102">
        <f>IF(S107="","",S107+U107)</f>
        <v/>
      </c>
      <c r="W107" s="103">
        <f>IF(V107="","",ROUND(V107*IF(OR(Q107="",Q107="VND"),1,R107),0))</f>
        <v/>
      </c>
      <c r="X107" s="111" t="n"/>
      <c r="Y107" s="103">
        <f>IF(W107="","",W107+N(X107))</f>
        <v/>
      </c>
      <c r="Z107" s="103">
        <f>IF(B107="","",SUMIFS('NHAT KY THANH TOAN'!$G:$G,'NHAT KY THANH TOAN'!$B:$B,B107,'NHAT KY THANH TOAN'!$D:$D,"Hóa đơn"))</f>
        <v/>
      </c>
      <c r="AA107" s="103">
        <f>IF(B107="","",SUMIFS('NHAT KY THANH TOAN'!$G:$G,'NHAT KY THANH TOAN'!$B:$B,B107,'NHAT KY THANH TOAN'!$D:$D,"Thanh toán"))</f>
        <v/>
      </c>
      <c r="AB107" s="103">
        <f>IF(Y107="","",Y107-N(AA107))</f>
        <v/>
      </c>
      <c r="AC107" s="103">
        <f>IF(B107="","",N(Z107)-N(AA107))</f>
        <v/>
      </c>
      <c r="AD107" s="104">
        <f>IF(N(Y107)=0,"",N(AA107)/Y107)</f>
        <v/>
      </c>
      <c r="AE107" s="107" t="n"/>
      <c r="AF107" s="95">
        <f>IF(H107="","",TRIM(IF(AND(N(Y107)&gt;='THAM SO'!$B$10,AE107&lt;&gt;"Có"),"Chưa rà soát pháp lý; ","")&amp;IF(I107="","Thiếu MST đối tác; ","")&amp;IF(AG107="","Chưa ghi nơi lưu bản gốc; ","")&amp;IF(COUNTIFS('NHAT KY THANH TOAN'!$B:$B,B107,'NHAT KY THANH TOAN'!$D:$D,"Thanh toán",'NHAT KY THANH TOAN'!$F:$F,"Tiền mặt",'NHAT KY THANH TOAN'!$G:$G,"&gt;="&amp;'THAM SO'!$B$11)&gt;0,"Có khoản TT tiền mặt ≥ ngưỡng; ","")&amp;IF(AND(AB107&lt;&gt;"",N(AB107)&lt;0),"Thanh toán vượt giá trị HĐ; ","")))</f>
        <v/>
      </c>
      <c r="AG107" s="108" t="n"/>
      <c r="AH107" s="109" t="n"/>
      <c r="AI107" s="105">
        <f>IF(OR(H107="",O107="",AH107&lt;&gt;""),"",O107-'THAM SO'!$B$8)</f>
        <v/>
      </c>
      <c r="AJ107" s="95">
        <f>IF(H107="","",IF(AH107&lt;&gt;"","Đã thanh lý",IF(AND(N107&lt;&gt;"",N107&gt;'THAM SO'!$B$8),"Chưa hiệu lực",IF(O107="","Đang thực hiện",IF(O107&lt;'THAM SO'!$B$8,IF(P107="Có","Đã tự gia hạn – kiểm tra","Quá hạn – chưa thanh lý"),IF(O107-'THAM SO'!$B$8&lt;='THAM SO'!$B$9,"Sắp hết hạn","Đang thực hiện"))))))</f>
        <v/>
      </c>
      <c r="AK107" s="106">
        <f>IF(AND(O107="",AH107=""),"",EDATE(MAX(N(O107),N(AH107)),12*'THAM SO'!$B$12))</f>
        <v/>
      </c>
      <c r="AL107" s="110" t="n"/>
    </row>
    <row r="108" ht="15" customHeight="1" s="64">
      <c r="A108" s="93">
        <f>IF(H108="","",COUNTA($H$9:H108))</f>
        <v/>
      </c>
      <c r="B108" s="93">
        <f>IF(OR(D108="",G108=""),"",YEAR(G108)&amp;"/"&amp;D108&amp;"/"&amp;TEXT(SUMPRODUCT(($D$9:D108=D108)*(YEAR($G$9:G108)=YEAR(G108))),"000")&amp;"-"&amp;'THAM SO'!$B$7)</f>
        <v/>
      </c>
      <c r="C108" s="107" t="n"/>
      <c r="D108" s="107" t="n"/>
      <c r="E108" s="95">
        <f>IF(D108="","",IFERROR(VLOOKUP(D108,'THAM SO'!$D$6:$E$40,2,FALSE()),"Mã loại chưa khai báo"))</f>
        <v/>
      </c>
      <c r="F108" s="108" t="n"/>
      <c r="G108" s="109" t="n"/>
      <c r="H108" s="110" t="n"/>
      <c r="I108" s="108" t="n"/>
      <c r="J108" s="110" t="n"/>
      <c r="K108" s="108" t="n"/>
      <c r="L108" s="108" t="n"/>
      <c r="M108" s="108" t="n"/>
      <c r="N108" s="109" t="n"/>
      <c r="O108" s="109" t="n"/>
      <c r="P108" s="107" t="n"/>
      <c r="Q108" s="107" t="n"/>
      <c r="R108" s="111" t="n"/>
      <c r="S108" s="112" t="n"/>
      <c r="T108" s="113" t="n"/>
      <c r="U108" s="102">
        <f>IF(S108="","",ROUND(S108*N(T108),2))</f>
        <v/>
      </c>
      <c r="V108" s="102">
        <f>IF(S108="","",S108+U108)</f>
        <v/>
      </c>
      <c r="W108" s="103">
        <f>IF(V108="","",ROUND(V108*IF(OR(Q108="",Q108="VND"),1,R108),0))</f>
        <v/>
      </c>
      <c r="X108" s="111" t="n"/>
      <c r="Y108" s="103">
        <f>IF(W108="","",W108+N(X108))</f>
        <v/>
      </c>
      <c r="Z108" s="103">
        <f>IF(B108="","",SUMIFS('NHAT KY THANH TOAN'!$G:$G,'NHAT KY THANH TOAN'!$B:$B,B108,'NHAT KY THANH TOAN'!$D:$D,"Hóa đơn"))</f>
        <v/>
      </c>
      <c r="AA108" s="103">
        <f>IF(B108="","",SUMIFS('NHAT KY THANH TOAN'!$G:$G,'NHAT KY THANH TOAN'!$B:$B,B108,'NHAT KY THANH TOAN'!$D:$D,"Thanh toán"))</f>
        <v/>
      </c>
      <c r="AB108" s="103">
        <f>IF(Y108="","",Y108-N(AA108))</f>
        <v/>
      </c>
      <c r="AC108" s="103">
        <f>IF(B108="","",N(Z108)-N(AA108))</f>
        <v/>
      </c>
      <c r="AD108" s="104">
        <f>IF(N(Y108)=0,"",N(AA108)/Y108)</f>
        <v/>
      </c>
      <c r="AE108" s="107" t="n"/>
      <c r="AF108" s="95">
        <f>IF(H108="","",TRIM(IF(AND(N(Y108)&gt;='THAM SO'!$B$10,AE108&lt;&gt;"Có"),"Chưa rà soát pháp lý; ","")&amp;IF(I108="","Thiếu MST đối tác; ","")&amp;IF(AG108="","Chưa ghi nơi lưu bản gốc; ","")&amp;IF(COUNTIFS('NHAT KY THANH TOAN'!$B:$B,B108,'NHAT KY THANH TOAN'!$D:$D,"Thanh toán",'NHAT KY THANH TOAN'!$F:$F,"Tiền mặt",'NHAT KY THANH TOAN'!$G:$G,"&gt;="&amp;'THAM SO'!$B$11)&gt;0,"Có khoản TT tiền mặt ≥ ngưỡng; ","")&amp;IF(AND(AB108&lt;&gt;"",N(AB108)&lt;0),"Thanh toán vượt giá trị HĐ; ","")))</f>
        <v/>
      </c>
      <c r="AG108" s="108" t="n"/>
      <c r="AH108" s="109" t="n"/>
      <c r="AI108" s="105">
        <f>IF(OR(H108="",O108="",AH108&lt;&gt;""),"",O108-'THAM SO'!$B$8)</f>
        <v/>
      </c>
      <c r="AJ108" s="95">
        <f>IF(H108="","",IF(AH108&lt;&gt;"","Đã thanh lý",IF(AND(N108&lt;&gt;"",N108&gt;'THAM SO'!$B$8),"Chưa hiệu lực",IF(O108="","Đang thực hiện",IF(O108&lt;'THAM SO'!$B$8,IF(P108="Có","Đã tự gia hạn – kiểm tra","Quá hạn – chưa thanh lý"),IF(O108-'THAM SO'!$B$8&lt;='THAM SO'!$B$9,"Sắp hết hạn","Đang thực hiện"))))))</f>
        <v/>
      </c>
      <c r="AK108" s="106">
        <f>IF(AND(O108="",AH108=""),"",EDATE(MAX(N(O108),N(AH108)),12*'THAM SO'!$B$12))</f>
        <v/>
      </c>
      <c r="AL108" s="110" t="n"/>
    </row>
    <row r="109" ht="15" customHeight="1" s="64">
      <c r="A109" s="93">
        <f>IF(H109="","",COUNTA($H$9:H109))</f>
        <v/>
      </c>
      <c r="B109" s="93">
        <f>IF(OR(D109="",G109=""),"",YEAR(G109)&amp;"/"&amp;D109&amp;"/"&amp;TEXT(SUMPRODUCT(($D$9:D109=D109)*(YEAR($G$9:G109)=YEAR(G109))),"000")&amp;"-"&amp;'THAM SO'!$B$7)</f>
        <v/>
      </c>
      <c r="C109" s="107" t="n"/>
      <c r="D109" s="107" t="n"/>
      <c r="E109" s="95">
        <f>IF(D109="","",IFERROR(VLOOKUP(D109,'THAM SO'!$D$6:$E$40,2,FALSE()),"Mã loại chưa khai báo"))</f>
        <v/>
      </c>
      <c r="F109" s="108" t="n"/>
      <c r="G109" s="109" t="n"/>
      <c r="H109" s="110" t="n"/>
      <c r="I109" s="108" t="n"/>
      <c r="J109" s="110" t="n"/>
      <c r="K109" s="108" t="n"/>
      <c r="L109" s="108" t="n"/>
      <c r="M109" s="108" t="n"/>
      <c r="N109" s="109" t="n"/>
      <c r="O109" s="109" t="n"/>
      <c r="P109" s="107" t="n"/>
      <c r="Q109" s="107" t="n"/>
      <c r="R109" s="111" t="n"/>
      <c r="S109" s="112" t="n"/>
      <c r="T109" s="113" t="n"/>
      <c r="U109" s="102">
        <f>IF(S109="","",ROUND(S109*N(T109),2))</f>
        <v/>
      </c>
      <c r="V109" s="102">
        <f>IF(S109="","",S109+U109)</f>
        <v/>
      </c>
      <c r="W109" s="103">
        <f>IF(V109="","",ROUND(V109*IF(OR(Q109="",Q109="VND"),1,R109),0))</f>
        <v/>
      </c>
      <c r="X109" s="111" t="n"/>
      <c r="Y109" s="103">
        <f>IF(W109="","",W109+N(X109))</f>
        <v/>
      </c>
      <c r="Z109" s="103">
        <f>IF(B109="","",SUMIFS('NHAT KY THANH TOAN'!$G:$G,'NHAT KY THANH TOAN'!$B:$B,B109,'NHAT KY THANH TOAN'!$D:$D,"Hóa đơn"))</f>
        <v/>
      </c>
      <c r="AA109" s="103">
        <f>IF(B109="","",SUMIFS('NHAT KY THANH TOAN'!$G:$G,'NHAT KY THANH TOAN'!$B:$B,B109,'NHAT KY THANH TOAN'!$D:$D,"Thanh toán"))</f>
        <v/>
      </c>
      <c r="AB109" s="103">
        <f>IF(Y109="","",Y109-N(AA109))</f>
        <v/>
      </c>
      <c r="AC109" s="103">
        <f>IF(B109="","",N(Z109)-N(AA109))</f>
        <v/>
      </c>
      <c r="AD109" s="104">
        <f>IF(N(Y109)=0,"",N(AA109)/Y109)</f>
        <v/>
      </c>
      <c r="AE109" s="107" t="n"/>
      <c r="AF109" s="95">
        <f>IF(H109="","",TRIM(IF(AND(N(Y109)&gt;='THAM SO'!$B$10,AE109&lt;&gt;"Có"),"Chưa rà soát pháp lý; ","")&amp;IF(I109="","Thiếu MST đối tác; ","")&amp;IF(AG109="","Chưa ghi nơi lưu bản gốc; ","")&amp;IF(COUNTIFS('NHAT KY THANH TOAN'!$B:$B,B109,'NHAT KY THANH TOAN'!$D:$D,"Thanh toán",'NHAT KY THANH TOAN'!$F:$F,"Tiền mặt",'NHAT KY THANH TOAN'!$G:$G,"&gt;="&amp;'THAM SO'!$B$11)&gt;0,"Có khoản TT tiền mặt ≥ ngưỡng; ","")&amp;IF(AND(AB109&lt;&gt;"",N(AB109)&lt;0),"Thanh toán vượt giá trị HĐ; ","")))</f>
        <v/>
      </c>
      <c r="AG109" s="108" t="n"/>
      <c r="AH109" s="109" t="n"/>
      <c r="AI109" s="105">
        <f>IF(OR(H109="",O109="",AH109&lt;&gt;""),"",O109-'THAM SO'!$B$8)</f>
        <v/>
      </c>
      <c r="AJ109" s="95">
        <f>IF(H109="","",IF(AH109&lt;&gt;"","Đã thanh lý",IF(AND(N109&lt;&gt;"",N109&gt;'THAM SO'!$B$8),"Chưa hiệu lực",IF(O109="","Đang thực hiện",IF(O109&lt;'THAM SO'!$B$8,IF(P109="Có","Đã tự gia hạn – kiểm tra","Quá hạn – chưa thanh lý"),IF(O109-'THAM SO'!$B$8&lt;='THAM SO'!$B$9,"Sắp hết hạn","Đang thực hiện"))))))</f>
        <v/>
      </c>
      <c r="AK109" s="106">
        <f>IF(AND(O109="",AH109=""),"",EDATE(MAX(N(O109),N(AH109)),12*'THAM SO'!$B$12))</f>
        <v/>
      </c>
      <c r="AL109" s="110" t="n"/>
    </row>
    <row r="110" ht="15" customHeight="1" s="64">
      <c r="A110" s="93">
        <f>IF(H110="","",COUNTA($H$9:H110))</f>
        <v/>
      </c>
      <c r="B110" s="93">
        <f>IF(OR(D110="",G110=""),"",YEAR(G110)&amp;"/"&amp;D110&amp;"/"&amp;TEXT(SUMPRODUCT(($D$9:D110=D110)*(YEAR($G$9:G110)=YEAR(G110))),"000")&amp;"-"&amp;'THAM SO'!$B$7)</f>
        <v/>
      </c>
      <c r="C110" s="107" t="n"/>
      <c r="D110" s="107" t="n"/>
      <c r="E110" s="95">
        <f>IF(D110="","",IFERROR(VLOOKUP(D110,'THAM SO'!$D$6:$E$40,2,FALSE()),"Mã loại chưa khai báo"))</f>
        <v/>
      </c>
      <c r="F110" s="108" t="n"/>
      <c r="G110" s="109" t="n"/>
      <c r="H110" s="110" t="n"/>
      <c r="I110" s="108" t="n"/>
      <c r="J110" s="110" t="n"/>
      <c r="K110" s="108" t="n"/>
      <c r="L110" s="108" t="n"/>
      <c r="M110" s="108" t="n"/>
      <c r="N110" s="109" t="n"/>
      <c r="O110" s="109" t="n"/>
      <c r="P110" s="107" t="n"/>
      <c r="Q110" s="107" t="n"/>
      <c r="R110" s="111" t="n"/>
      <c r="S110" s="112" t="n"/>
      <c r="T110" s="113" t="n"/>
      <c r="U110" s="102">
        <f>IF(S110="","",ROUND(S110*N(T110),2))</f>
        <v/>
      </c>
      <c r="V110" s="102">
        <f>IF(S110="","",S110+U110)</f>
        <v/>
      </c>
      <c r="W110" s="103">
        <f>IF(V110="","",ROUND(V110*IF(OR(Q110="",Q110="VND"),1,R110),0))</f>
        <v/>
      </c>
      <c r="X110" s="111" t="n"/>
      <c r="Y110" s="103">
        <f>IF(W110="","",W110+N(X110))</f>
        <v/>
      </c>
      <c r="Z110" s="103">
        <f>IF(B110="","",SUMIFS('NHAT KY THANH TOAN'!$G:$G,'NHAT KY THANH TOAN'!$B:$B,B110,'NHAT KY THANH TOAN'!$D:$D,"Hóa đơn"))</f>
        <v/>
      </c>
      <c r="AA110" s="103">
        <f>IF(B110="","",SUMIFS('NHAT KY THANH TOAN'!$G:$G,'NHAT KY THANH TOAN'!$B:$B,B110,'NHAT KY THANH TOAN'!$D:$D,"Thanh toán"))</f>
        <v/>
      </c>
      <c r="AB110" s="103">
        <f>IF(Y110="","",Y110-N(AA110))</f>
        <v/>
      </c>
      <c r="AC110" s="103">
        <f>IF(B110="","",N(Z110)-N(AA110))</f>
        <v/>
      </c>
      <c r="AD110" s="104">
        <f>IF(N(Y110)=0,"",N(AA110)/Y110)</f>
        <v/>
      </c>
      <c r="AE110" s="107" t="n"/>
      <c r="AF110" s="95">
        <f>IF(H110="","",TRIM(IF(AND(N(Y110)&gt;='THAM SO'!$B$10,AE110&lt;&gt;"Có"),"Chưa rà soát pháp lý; ","")&amp;IF(I110="","Thiếu MST đối tác; ","")&amp;IF(AG110="","Chưa ghi nơi lưu bản gốc; ","")&amp;IF(COUNTIFS('NHAT KY THANH TOAN'!$B:$B,B110,'NHAT KY THANH TOAN'!$D:$D,"Thanh toán",'NHAT KY THANH TOAN'!$F:$F,"Tiền mặt",'NHAT KY THANH TOAN'!$G:$G,"&gt;="&amp;'THAM SO'!$B$11)&gt;0,"Có khoản TT tiền mặt ≥ ngưỡng; ","")&amp;IF(AND(AB110&lt;&gt;"",N(AB110)&lt;0),"Thanh toán vượt giá trị HĐ; ","")))</f>
        <v/>
      </c>
      <c r="AG110" s="108" t="n"/>
      <c r="AH110" s="109" t="n"/>
      <c r="AI110" s="105">
        <f>IF(OR(H110="",O110="",AH110&lt;&gt;""),"",O110-'THAM SO'!$B$8)</f>
        <v/>
      </c>
      <c r="AJ110" s="95">
        <f>IF(H110="","",IF(AH110&lt;&gt;"","Đã thanh lý",IF(AND(N110&lt;&gt;"",N110&gt;'THAM SO'!$B$8),"Chưa hiệu lực",IF(O110="","Đang thực hiện",IF(O110&lt;'THAM SO'!$B$8,IF(P110="Có","Đã tự gia hạn – kiểm tra","Quá hạn – chưa thanh lý"),IF(O110-'THAM SO'!$B$8&lt;='THAM SO'!$B$9,"Sắp hết hạn","Đang thực hiện"))))))</f>
        <v/>
      </c>
      <c r="AK110" s="106">
        <f>IF(AND(O110="",AH110=""),"",EDATE(MAX(N(O110),N(AH110)),12*'THAM SO'!$B$12))</f>
        <v/>
      </c>
      <c r="AL110" s="110" t="n"/>
    </row>
    <row r="111" ht="15" customHeight="1" s="64">
      <c r="A111" s="93">
        <f>IF(H111="","",COUNTA($H$9:H111))</f>
        <v/>
      </c>
      <c r="B111" s="93">
        <f>IF(OR(D111="",G111=""),"",YEAR(G111)&amp;"/"&amp;D111&amp;"/"&amp;TEXT(SUMPRODUCT(($D$9:D111=D111)*(YEAR($G$9:G111)=YEAR(G111))),"000")&amp;"-"&amp;'THAM SO'!$B$7)</f>
        <v/>
      </c>
      <c r="C111" s="107" t="n"/>
      <c r="D111" s="107" t="n"/>
      <c r="E111" s="95">
        <f>IF(D111="","",IFERROR(VLOOKUP(D111,'THAM SO'!$D$6:$E$40,2,FALSE()),"Mã loại chưa khai báo"))</f>
        <v/>
      </c>
      <c r="F111" s="108" t="n"/>
      <c r="G111" s="109" t="n"/>
      <c r="H111" s="110" t="n"/>
      <c r="I111" s="108" t="n"/>
      <c r="J111" s="110" t="n"/>
      <c r="K111" s="108" t="n"/>
      <c r="L111" s="108" t="n"/>
      <c r="M111" s="108" t="n"/>
      <c r="N111" s="109" t="n"/>
      <c r="O111" s="109" t="n"/>
      <c r="P111" s="107" t="n"/>
      <c r="Q111" s="107" t="n"/>
      <c r="R111" s="111" t="n"/>
      <c r="S111" s="112" t="n"/>
      <c r="T111" s="113" t="n"/>
      <c r="U111" s="102">
        <f>IF(S111="","",ROUND(S111*N(T111),2))</f>
        <v/>
      </c>
      <c r="V111" s="102">
        <f>IF(S111="","",S111+U111)</f>
        <v/>
      </c>
      <c r="W111" s="103">
        <f>IF(V111="","",ROUND(V111*IF(OR(Q111="",Q111="VND"),1,R111),0))</f>
        <v/>
      </c>
      <c r="X111" s="111" t="n"/>
      <c r="Y111" s="103">
        <f>IF(W111="","",W111+N(X111))</f>
        <v/>
      </c>
      <c r="Z111" s="103">
        <f>IF(B111="","",SUMIFS('NHAT KY THANH TOAN'!$G:$G,'NHAT KY THANH TOAN'!$B:$B,B111,'NHAT KY THANH TOAN'!$D:$D,"Hóa đơn"))</f>
        <v/>
      </c>
      <c r="AA111" s="103">
        <f>IF(B111="","",SUMIFS('NHAT KY THANH TOAN'!$G:$G,'NHAT KY THANH TOAN'!$B:$B,B111,'NHAT KY THANH TOAN'!$D:$D,"Thanh toán"))</f>
        <v/>
      </c>
      <c r="AB111" s="103">
        <f>IF(Y111="","",Y111-N(AA111))</f>
        <v/>
      </c>
      <c r="AC111" s="103">
        <f>IF(B111="","",N(Z111)-N(AA111))</f>
        <v/>
      </c>
      <c r="AD111" s="104">
        <f>IF(N(Y111)=0,"",N(AA111)/Y111)</f>
        <v/>
      </c>
      <c r="AE111" s="107" t="n"/>
      <c r="AF111" s="95">
        <f>IF(H111="","",TRIM(IF(AND(N(Y111)&gt;='THAM SO'!$B$10,AE111&lt;&gt;"Có"),"Chưa rà soát pháp lý; ","")&amp;IF(I111="","Thiếu MST đối tác; ","")&amp;IF(AG111="","Chưa ghi nơi lưu bản gốc; ","")&amp;IF(COUNTIFS('NHAT KY THANH TOAN'!$B:$B,B111,'NHAT KY THANH TOAN'!$D:$D,"Thanh toán",'NHAT KY THANH TOAN'!$F:$F,"Tiền mặt",'NHAT KY THANH TOAN'!$G:$G,"&gt;="&amp;'THAM SO'!$B$11)&gt;0,"Có khoản TT tiền mặt ≥ ngưỡng; ","")&amp;IF(AND(AB111&lt;&gt;"",N(AB111)&lt;0),"Thanh toán vượt giá trị HĐ; ","")))</f>
        <v/>
      </c>
      <c r="AG111" s="108" t="n"/>
      <c r="AH111" s="109" t="n"/>
      <c r="AI111" s="105">
        <f>IF(OR(H111="",O111="",AH111&lt;&gt;""),"",O111-'THAM SO'!$B$8)</f>
        <v/>
      </c>
      <c r="AJ111" s="95">
        <f>IF(H111="","",IF(AH111&lt;&gt;"","Đã thanh lý",IF(AND(N111&lt;&gt;"",N111&gt;'THAM SO'!$B$8),"Chưa hiệu lực",IF(O111="","Đang thực hiện",IF(O111&lt;'THAM SO'!$B$8,IF(P111="Có","Đã tự gia hạn – kiểm tra","Quá hạn – chưa thanh lý"),IF(O111-'THAM SO'!$B$8&lt;='THAM SO'!$B$9,"Sắp hết hạn","Đang thực hiện"))))))</f>
        <v/>
      </c>
      <c r="AK111" s="106">
        <f>IF(AND(O111="",AH111=""),"",EDATE(MAX(N(O111),N(AH111)),12*'THAM SO'!$B$12))</f>
        <v/>
      </c>
      <c r="AL111" s="110" t="n"/>
    </row>
    <row r="112" ht="15" customHeight="1" s="64">
      <c r="A112" s="93">
        <f>IF(H112="","",COUNTA($H$9:H112))</f>
        <v/>
      </c>
      <c r="B112" s="93">
        <f>IF(OR(D112="",G112=""),"",YEAR(G112)&amp;"/"&amp;D112&amp;"/"&amp;TEXT(SUMPRODUCT(($D$9:D112=D112)*(YEAR($G$9:G112)=YEAR(G112))),"000")&amp;"-"&amp;'THAM SO'!$B$7)</f>
        <v/>
      </c>
      <c r="C112" s="107" t="n"/>
      <c r="D112" s="107" t="n"/>
      <c r="E112" s="95">
        <f>IF(D112="","",IFERROR(VLOOKUP(D112,'THAM SO'!$D$6:$E$40,2,FALSE()),"Mã loại chưa khai báo"))</f>
        <v/>
      </c>
      <c r="F112" s="108" t="n"/>
      <c r="G112" s="109" t="n"/>
      <c r="H112" s="110" t="n"/>
      <c r="I112" s="108" t="n"/>
      <c r="J112" s="110" t="n"/>
      <c r="K112" s="108" t="n"/>
      <c r="L112" s="108" t="n"/>
      <c r="M112" s="108" t="n"/>
      <c r="N112" s="109" t="n"/>
      <c r="O112" s="109" t="n"/>
      <c r="P112" s="107" t="n"/>
      <c r="Q112" s="107" t="n"/>
      <c r="R112" s="111" t="n"/>
      <c r="S112" s="112" t="n"/>
      <c r="T112" s="113" t="n"/>
      <c r="U112" s="102">
        <f>IF(S112="","",ROUND(S112*N(T112),2))</f>
        <v/>
      </c>
      <c r="V112" s="102">
        <f>IF(S112="","",S112+U112)</f>
        <v/>
      </c>
      <c r="W112" s="103">
        <f>IF(V112="","",ROUND(V112*IF(OR(Q112="",Q112="VND"),1,R112),0))</f>
        <v/>
      </c>
      <c r="X112" s="111" t="n"/>
      <c r="Y112" s="103">
        <f>IF(W112="","",W112+N(X112))</f>
        <v/>
      </c>
      <c r="Z112" s="103">
        <f>IF(B112="","",SUMIFS('NHAT KY THANH TOAN'!$G:$G,'NHAT KY THANH TOAN'!$B:$B,B112,'NHAT KY THANH TOAN'!$D:$D,"Hóa đơn"))</f>
        <v/>
      </c>
      <c r="AA112" s="103">
        <f>IF(B112="","",SUMIFS('NHAT KY THANH TOAN'!$G:$G,'NHAT KY THANH TOAN'!$B:$B,B112,'NHAT KY THANH TOAN'!$D:$D,"Thanh toán"))</f>
        <v/>
      </c>
      <c r="AB112" s="103">
        <f>IF(Y112="","",Y112-N(AA112))</f>
        <v/>
      </c>
      <c r="AC112" s="103">
        <f>IF(B112="","",N(Z112)-N(AA112))</f>
        <v/>
      </c>
      <c r="AD112" s="104">
        <f>IF(N(Y112)=0,"",N(AA112)/Y112)</f>
        <v/>
      </c>
      <c r="AE112" s="107" t="n"/>
      <c r="AF112" s="95">
        <f>IF(H112="","",TRIM(IF(AND(N(Y112)&gt;='THAM SO'!$B$10,AE112&lt;&gt;"Có"),"Chưa rà soát pháp lý; ","")&amp;IF(I112="","Thiếu MST đối tác; ","")&amp;IF(AG112="","Chưa ghi nơi lưu bản gốc; ","")&amp;IF(COUNTIFS('NHAT KY THANH TOAN'!$B:$B,B112,'NHAT KY THANH TOAN'!$D:$D,"Thanh toán",'NHAT KY THANH TOAN'!$F:$F,"Tiền mặt",'NHAT KY THANH TOAN'!$G:$G,"&gt;="&amp;'THAM SO'!$B$11)&gt;0,"Có khoản TT tiền mặt ≥ ngưỡng; ","")&amp;IF(AND(AB112&lt;&gt;"",N(AB112)&lt;0),"Thanh toán vượt giá trị HĐ; ","")))</f>
        <v/>
      </c>
      <c r="AG112" s="108" t="n"/>
      <c r="AH112" s="109" t="n"/>
      <c r="AI112" s="105">
        <f>IF(OR(H112="",O112="",AH112&lt;&gt;""),"",O112-'THAM SO'!$B$8)</f>
        <v/>
      </c>
      <c r="AJ112" s="95">
        <f>IF(H112="","",IF(AH112&lt;&gt;"","Đã thanh lý",IF(AND(N112&lt;&gt;"",N112&gt;'THAM SO'!$B$8),"Chưa hiệu lực",IF(O112="","Đang thực hiện",IF(O112&lt;'THAM SO'!$B$8,IF(P112="Có","Đã tự gia hạn – kiểm tra","Quá hạn – chưa thanh lý"),IF(O112-'THAM SO'!$B$8&lt;='THAM SO'!$B$9,"Sắp hết hạn","Đang thực hiện"))))))</f>
        <v/>
      </c>
      <c r="AK112" s="106">
        <f>IF(AND(O112="",AH112=""),"",EDATE(MAX(N(O112),N(AH112)),12*'THAM SO'!$B$12))</f>
        <v/>
      </c>
      <c r="AL112" s="110" t="n"/>
    </row>
    <row r="113" ht="15" customHeight="1" s="64">
      <c r="A113" s="93">
        <f>IF(H113="","",COUNTA($H$9:H113))</f>
        <v/>
      </c>
      <c r="B113" s="93">
        <f>IF(OR(D113="",G113=""),"",YEAR(G113)&amp;"/"&amp;D113&amp;"/"&amp;TEXT(SUMPRODUCT(($D$9:D113=D113)*(YEAR($G$9:G113)=YEAR(G113))),"000")&amp;"-"&amp;'THAM SO'!$B$7)</f>
        <v/>
      </c>
      <c r="C113" s="107" t="n"/>
      <c r="D113" s="107" t="n"/>
      <c r="E113" s="95">
        <f>IF(D113="","",IFERROR(VLOOKUP(D113,'THAM SO'!$D$6:$E$40,2,FALSE()),"Mã loại chưa khai báo"))</f>
        <v/>
      </c>
      <c r="F113" s="108" t="n"/>
      <c r="G113" s="109" t="n"/>
      <c r="H113" s="110" t="n"/>
      <c r="I113" s="108" t="n"/>
      <c r="J113" s="110" t="n"/>
      <c r="K113" s="108" t="n"/>
      <c r="L113" s="108" t="n"/>
      <c r="M113" s="108" t="n"/>
      <c r="N113" s="109" t="n"/>
      <c r="O113" s="109" t="n"/>
      <c r="P113" s="107" t="n"/>
      <c r="Q113" s="107" t="n"/>
      <c r="R113" s="111" t="n"/>
      <c r="S113" s="112" t="n"/>
      <c r="T113" s="113" t="n"/>
      <c r="U113" s="102">
        <f>IF(S113="","",ROUND(S113*N(T113),2))</f>
        <v/>
      </c>
      <c r="V113" s="102">
        <f>IF(S113="","",S113+U113)</f>
        <v/>
      </c>
      <c r="W113" s="103">
        <f>IF(V113="","",ROUND(V113*IF(OR(Q113="",Q113="VND"),1,R113),0))</f>
        <v/>
      </c>
      <c r="X113" s="111" t="n"/>
      <c r="Y113" s="103">
        <f>IF(W113="","",W113+N(X113))</f>
        <v/>
      </c>
      <c r="Z113" s="103">
        <f>IF(B113="","",SUMIFS('NHAT KY THANH TOAN'!$G:$G,'NHAT KY THANH TOAN'!$B:$B,B113,'NHAT KY THANH TOAN'!$D:$D,"Hóa đơn"))</f>
        <v/>
      </c>
      <c r="AA113" s="103">
        <f>IF(B113="","",SUMIFS('NHAT KY THANH TOAN'!$G:$G,'NHAT KY THANH TOAN'!$B:$B,B113,'NHAT KY THANH TOAN'!$D:$D,"Thanh toán"))</f>
        <v/>
      </c>
      <c r="AB113" s="103">
        <f>IF(Y113="","",Y113-N(AA113))</f>
        <v/>
      </c>
      <c r="AC113" s="103">
        <f>IF(B113="","",N(Z113)-N(AA113))</f>
        <v/>
      </c>
      <c r="AD113" s="104">
        <f>IF(N(Y113)=0,"",N(AA113)/Y113)</f>
        <v/>
      </c>
      <c r="AE113" s="107" t="n"/>
      <c r="AF113" s="95">
        <f>IF(H113="","",TRIM(IF(AND(N(Y113)&gt;='THAM SO'!$B$10,AE113&lt;&gt;"Có"),"Chưa rà soát pháp lý; ","")&amp;IF(I113="","Thiếu MST đối tác; ","")&amp;IF(AG113="","Chưa ghi nơi lưu bản gốc; ","")&amp;IF(COUNTIFS('NHAT KY THANH TOAN'!$B:$B,B113,'NHAT KY THANH TOAN'!$D:$D,"Thanh toán",'NHAT KY THANH TOAN'!$F:$F,"Tiền mặt",'NHAT KY THANH TOAN'!$G:$G,"&gt;="&amp;'THAM SO'!$B$11)&gt;0,"Có khoản TT tiền mặt ≥ ngưỡng; ","")&amp;IF(AND(AB113&lt;&gt;"",N(AB113)&lt;0),"Thanh toán vượt giá trị HĐ; ","")))</f>
        <v/>
      </c>
      <c r="AG113" s="108" t="n"/>
      <c r="AH113" s="109" t="n"/>
      <c r="AI113" s="105">
        <f>IF(OR(H113="",O113="",AH113&lt;&gt;""),"",O113-'THAM SO'!$B$8)</f>
        <v/>
      </c>
      <c r="AJ113" s="95">
        <f>IF(H113="","",IF(AH113&lt;&gt;"","Đã thanh lý",IF(AND(N113&lt;&gt;"",N113&gt;'THAM SO'!$B$8),"Chưa hiệu lực",IF(O113="","Đang thực hiện",IF(O113&lt;'THAM SO'!$B$8,IF(P113="Có","Đã tự gia hạn – kiểm tra","Quá hạn – chưa thanh lý"),IF(O113-'THAM SO'!$B$8&lt;='THAM SO'!$B$9,"Sắp hết hạn","Đang thực hiện"))))))</f>
        <v/>
      </c>
      <c r="AK113" s="106">
        <f>IF(AND(O113="",AH113=""),"",EDATE(MAX(N(O113),N(AH113)),12*'THAM SO'!$B$12))</f>
        <v/>
      </c>
      <c r="AL113" s="110" t="n"/>
    </row>
    <row r="114" ht="15" customHeight="1" s="64">
      <c r="A114" s="93">
        <f>IF(H114="","",COUNTA($H$9:H114))</f>
        <v/>
      </c>
      <c r="B114" s="93">
        <f>IF(OR(D114="",G114=""),"",YEAR(G114)&amp;"/"&amp;D114&amp;"/"&amp;TEXT(SUMPRODUCT(($D$9:D114=D114)*(YEAR($G$9:G114)=YEAR(G114))),"000")&amp;"-"&amp;'THAM SO'!$B$7)</f>
        <v/>
      </c>
      <c r="C114" s="107" t="n"/>
      <c r="D114" s="107" t="n"/>
      <c r="E114" s="95">
        <f>IF(D114="","",IFERROR(VLOOKUP(D114,'THAM SO'!$D$6:$E$40,2,FALSE()),"Mã loại chưa khai báo"))</f>
        <v/>
      </c>
      <c r="F114" s="108" t="n"/>
      <c r="G114" s="109" t="n"/>
      <c r="H114" s="110" t="n"/>
      <c r="I114" s="108" t="n"/>
      <c r="J114" s="110" t="n"/>
      <c r="K114" s="108" t="n"/>
      <c r="L114" s="108" t="n"/>
      <c r="M114" s="108" t="n"/>
      <c r="N114" s="109" t="n"/>
      <c r="O114" s="109" t="n"/>
      <c r="P114" s="107" t="n"/>
      <c r="Q114" s="107" t="n"/>
      <c r="R114" s="111" t="n"/>
      <c r="S114" s="112" t="n"/>
      <c r="T114" s="113" t="n"/>
      <c r="U114" s="102">
        <f>IF(S114="","",ROUND(S114*N(T114),2))</f>
        <v/>
      </c>
      <c r="V114" s="102">
        <f>IF(S114="","",S114+U114)</f>
        <v/>
      </c>
      <c r="W114" s="103">
        <f>IF(V114="","",ROUND(V114*IF(OR(Q114="",Q114="VND"),1,R114),0))</f>
        <v/>
      </c>
      <c r="X114" s="111" t="n"/>
      <c r="Y114" s="103">
        <f>IF(W114="","",W114+N(X114))</f>
        <v/>
      </c>
      <c r="Z114" s="103">
        <f>IF(B114="","",SUMIFS('NHAT KY THANH TOAN'!$G:$G,'NHAT KY THANH TOAN'!$B:$B,B114,'NHAT KY THANH TOAN'!$D:$D,"Hóa đơn"))</f>
        <v/>
      </c>
      <c r="AA114" s="103">
        <f>IF(B114="","",SUMIFS('NHAT KY THANH TOAN'!$G:$G,'NHAT KY THANH TOAN'!$B:$B,B114,'NHAT KY THANH TOAN'!$D:$D,"Thanh toán"))</f>
        <v/>
      </c>
      <c r="AB114" s="103">
        <f>IF(Y114="","",Y114-N(AA114))</f>
        <v/>
      </c>
      <c r="AC114" s="103">
        <f>IF(B114="","",N(Z114)-N(AA114))</f>
        <v/>
      </c>
      <c r="AD114" s="104">
        <f>IF(N(Y114)=0,"",N(AA114)/Y114)</f>
        <v/>
      </c>
      <c r="AE114" s="107" t="n"/>
      <c r="AF114" s="95">
        <f>IF(H114="","",TRIM(IF(AND(N(Y114)&gt;='THAM SO'!$B$10,AE114&lt;&gt;"Có"),"Chưa rà soát pháp lý; ","")&amp;IF(I114="","Thiếu MST đối tác; ","")&amp;IF(AG114="","Chưa ghi nơi lưu bản gốc; ","")&amp;IF(COUNTIFS('NHAT KY THANH TOAN'!$B:$B,B114,'NHAT KY THANH TOAN'!$D:$D,"Thanh toán",'NHAT KY THANH TOAN'!$F:$F,"Tiền mặt",'NHAT KY THANH TOAN'!$G:$G,"&gt;="&amp;'THAM SO'!$B$11)&gt;0,"Có khoản TT tiền mặt ≥ ngưỡng; ","")&amp;IF(AND(AB114&lt;&gt;"",N(AB114)&lt;0),"Thanh toán vượt giá trị HĐ; ","")))</f>
        <v/>
      </c>
      <c r="AG114" s="108" t="n"/>
      <c r="AH114" s="109" t="n"/>
      <c r="AI114" s="105">
        <f>IF(OR(H114="",O114="",AH114&lt;&gt;""),"",O114-'THAM SO'!$B$8)</f>
        <v/>
      </c>
      <c r="AJ114" s="95">
        <f>IF(H114="","",IF(AH114&lt;&gt;"","Đã thanh lý",IF(AND(N114&lt;&gt;"",N114&gt;'THAM SO'!$B$8),"Chưa hiệu lực",IF(O114="","Đang thực hiện",IF(O114&lt;'THAM SO'!$B$8,IF(P114="Có","Đã tự gia hạn – kiểm tra","Quá hạn – chưa thanh lý"),IF(O114-'THAM SO'!$B$8&lt;='THAM SO'!$B$9,"Sắp hết hạn","Đang thực hiện"))))))</f>
        <v/>
      </c>
      <c r="AK114" s="106">
        <f>IF(AND(O114="",AH114=""),"",EDATE(MAX(N(O114),N(AH114)),12*'THAM SO'!$B$12))</f>
        <v/>
      </c>
      <c r="AL114" s="110" t="n"/>
    </row>
    <row r="115" ht="15" customHeight="1" s="64">
      <c r="A115" s="93">
        <f>IF(H115="","",COUNTA($H$9:H115))</f>
        <v/>
      </c>
      <c r="B115" s="93">
        <f>IF(OR(D115="",G115=""),"",YEAR(G115)&amp;"/"&amp;D115&amp;"/"&amp;TEXT(SUMPRODUCT(($D$9:D115=D115)*(YEAR($G$9:G115)=YEAR(G115))),"000")&amp;"-"&amp;'THAM SO'!$B$7)</f>
        <v/>
      </c>
      <c r="C115" s="107" t="n"/>
      <c r="D115" s="107" t="n"/>
      <c r="E115" s="95">
        <f>IF(D115="","",IFERROR(VLOOKUP(D115,'THAM SO'!$D$6:$E$40,2,FALSE()),"Mã loại chưa khai báo"))</f>
        <v/>
      </c>
      <c r="F115" s="108" t="n"/>
      <c r="G115" s="109" t="n"/>
      <c r="H115" s="110" t="n"/>
      <c r="I115" s="108" t="n"/>
      <c r="J115" s="110" t="n"/>
      <c r="K115" s="108" t="n"/>
      <c r="L115" s="108" t="n"/>
      <c r="M115" s="108" t="n"/>
      <c r="N115" s="109" t="n"/>
      <c r="O115" s="109" t="n"/>
      <c r="P115" s="107" t="n"/>
      <c r="Q115" s="107" t="n"/>
      <c r="R115" s="111" t="n"/>
      <c r="S115" s="112" t="n"/>
      <c r="T115" s="113" t="n"/>
      <c r="U115" s="102">
        <f>IF(S115="","",ROUND(S115*N(T115),2))</f>
        <v/>
      </c>
      <c r="V115" s="102">
        <f>IF(S115="","",S115+U115)</f>
        <v/>
      </c>
      <c r="W115" s="103">
        <f>IF(V115="","",ROUND(V115*IF(OR(Q115="",Q115="VND"),1,R115),0))</f>
        <v/>
      </c>
      <c r="X115" s="111" t="n"/>
      <c r="Y115" s="103">
        <f>IF(W115="","",W115+N(X115))</f>
        <v/>
      </c>
      <c r="Z115" s="103">
        <f>IF(B115="","",SUMIFS('NHAT KY THANH TOAN'!$G:$G,'NHAT KY THANH TOAN'!$B:$B,B115,'NHAT KY THANH TOAN'!$D:$D,"Hóa đơn"))</f>
        <v/>
      </c>
      <c r="AA115" s="103">
        <f>IF(B115="","",SUMIFS('NHAT KY THANH TOAN'!$G:$G,'NHAT KY THANH TOAN'!$B:$B,B115,'NHAT KY THANH TOAN'!$D:$D,"Thanh toán"))</f>
        <v/>
      </c>
      <c r="AB115" s="103">
        <f>IF(Y115="","",Y115-N(AA115))</f>
        <v/>
      </c>
      <c r="AC115" s="103">
        <f>IF(B115="","",N(Z115)-N(AA115))</f>
        <v/>
      </c>
      <c r="AD115" s="104">
        <f>IF(N(Y115)=0,"",N(AA115)/Y115)</f>
        <v/>
      </c>
      <c r="AE115" s="107" t="n"/>
      <c r="AF115" s="95">
        <f>IF(H115="","",TRIM(IF(AND(N(Y115)&gt;='THAM SO'!$B$10,AE115&lt;&gt;"Có"),"Chưa rà soát pháp lý; ","")&amp;IF(I115="","Thiếu MST đối tác; ","")&amp;IF(AG115="","Chưa ghi nơi lưu bản gốc; ","")&amp;IF(COUNTIFS('NHAT KY THANH TOAN'!$B:$B,B115,'NHAT KY THANH TOAN'!$D:$D,"Thanh toán",'NHAT KY THANH TOAN'!$F:$F,"Tiền mặt",'NHAT KY THANH TOAN'!$G:$G,"&gt;="&amp;'THAM SO'!$B$11)&gt;0,"Có khoản TT tiền mặt ≥ ngưỡng; ","")&amp;IF(AND(AB115&lt;&gt;"",N(AB115)&lt;0),"Thanh toán vượt giá trị HĐ; ","")))</f>
        <v/>
      </c>
      <c r="AG115" s="108" t="n"/>
      <c r="AH115" s="109" t="n"/>
      <c r="AI115" s="105">
        <f>IF(OR(H115="",O115="",AH115&lt;&gt;""),"",O115-'THAM SO'!$B$8)</f>
        <v/>
      </c>
      <c r="AJ115" s="95">
        <f>IF(H115="","",IF(AH115&lt;&gt;"","Đã thanh lý",IF(AND(N115&lt;&gt;"",N115&gt;'THAM SO'!$B$8),"Chưa hiệu lực",IF(O115="","Đang thực hiện",IF(O115&lt;'THAM SO'!$B$8,IF(P115="Có","Đã tự gia hạn – kiểm tra","Quá hạn – chưa thanh lý"),IF(O115-'THAM SO'!$B$8&lt;='THAM SO'!$B$9,"Sắp hết hạn","Đang thực hiện"))))))</f>
        <v/>
      </c>
      <c r="AK115" s="106">
        <f>IF(AND(O115="",AH115=""),"",EDATE(MAX(N(O115),N(AH115)),12*'THAM SO'!$B$12))</f>
        <v/>
      </c>
      <c r="AL115" s="110" t="n"/>
    </row>
    <row r="116" ht="15" customHeight="1" s="64">
      <c r="A116" s="93">
        <f>IF(H116="","",COUNTA($H$9:H116))</f>
        <v/>
      </c>
      <c r="B116" s="93">
        <f>IF(OR(D116="",G116=""),"",YEAR(G116)&amp;"/"&amp;D116&amp;"/"&amp;TEXT(SUMPRODUCT(($D$9:D116=D116)*(YEAR($G$9:G116)=YEAR(G116))),"000")&amp;"-"&amp;'THAM SO'!$B$7)</f>
        <v/>
      </c>
      <c r="C116" s="107" t="n"/>
      <c r="D116" s="107" t="n"/>
      <c r="E116" s="95">
        <f>IF(D116="","",IFERROR(VLOOKUP(D116,'THAM SO'!$D$6:$E$40,2,FALSE()),"Mã loại chưa khai báo"))</f>
        <v/>
      </c>
      <c r="F116" s="108" t="n"/>
      <c r="G116" s="109" t="n"/>
      <c r="H116" s="110" t="n"/>
      <c r="I116" s="108" t="n"/>
      <c r="J116" s="110" t="n"/>
      <c r="K116" s="108" t="n"/>
      <c r="L116" s="108" t="n"/>
      <c r="M116" s="108" t="n"/>
      <c r="N116" s="109" t="n"/>
      <c r="O116" s="109" t="n"/>
      <c r="P116" s="107" t="n"/>
      <c r="Q116" s="107" t="n"/>
      <c r="R116" s="111" t="n"/>
      <c r="S116" s="112" t="n"/>
      <c r="T116" s="113" t="n"/>
      <c r="U116" s="102">
        <f>IF(S116="","",ROUND(S116*N(T116),2))</f>
        <v/>
      </c>
      <c r="V116" s="102">
        <f>IF(S116="","",S116+U116)</f>
        <v/>
      </c>
      <c r="W116" s="103">
        <f>IF(V116="","",ROUND(V116*IF(OR(Q116="",Q116="VND"),1,R116),0))</f>
        <v/>
      </c>
      <c r="X116" s="111" t="n"/>
      <c r="Y116" s="103">
        <f>IF(W116="","",W116+N(X116))</f>
        <v/>
      </c>
      <c r="Z116" s="103">
        <f>IF(B116="","",SUMIFS('NHAT KY THANH TOAN'!$G:$G,'NHAT KY THANH TOAN'!$B:$B,B116,'NHAT KY THANH TOAN'!$D:$D,"Hóa đơn"))</f>
        <v/>
      </c>
      <c r="AA116" s="103">
        <f>IF(B116="","",SUMIFS('NHAT KY THANH TOAN'!$G:$G,'NHAT KY THANH TOAN'!$B:$B,B116,'NHAT KY THANH TOAN'!$D:$D,"Thanh toán"))</f>
        <v/>
      </c>
      <c r="AB116" s="103">
        <f>IF(Y116="","",Y116-N(AA116))</f>
        <v/>
      </c>
      <c r="AC116" s="103">
        <f>IF(B116="","",N(Z116)-N(AA116))</f>
        <v/>
      </c>
      <c r="AD116" s="104">
        <f>IF(N(Y116)=0,"",N(AA116)/Y116)</f>
        <v/>
      </c>
      <c r="AE116" s="107" t="n"/>
      <c r="AF116" s="95">
        <f>IF(H116="","",TRIM(IF(AND(N(Y116)&gt;='THAM SO'!$B$10,AE116&lt;&gt;"Có"),"Chưa rà soát pháp lý; ","")&amp;IF(I116="","Thiếu MST đối tác; ","")&amp;IF(AG116="","Chưa ghi nơi lưu bản gốc; ","")&amp;IF(COUNTIFS('NHAT KY THANH TOAN'!$B:$B,B116,'NHAT KY THANH TOAN'!$D:$D,"Thanh toán",'NHAT KY THANH TOAN'!$F:$F,"Tiền mặt",'NHAT KY THANH TOAN'!$G:$G,"&gt;="&amp;'THAM SO'!$B$11)&gt;0,"Có khoản TT tiền mặt ≥ ngưỡng; ","")&amp;IF(AND(AB116&lt;&gt;"",N(AB116)&lt;0),"Thanh toán vượt giá trị HĐ; ","")))</f>
        <v/>
      </c>
      <c r="AG116" s="108" t="n"/>
      <c r="AH116" s="109" t="n"/>
      <c r="AI116" s="105">
        <f>IF(OR(H116="",O116="",AH116&lt;&gt;""),"",O116-'THAM SO'!$B$8)</f>
        <v/>
      </c>
      <c r="AJ116" s="95">
        <f>IF(H116="","",IF(AH116&lt;&gt;"","Đã thanh lý",IF(AND(N116&lt;&gt;"",N116&gt;'THAM SO'!$B$8),"Chưa hiệu lực",IF(O116="","Đang thực hiện",IF(O116&lt;'THAM SO'!$B$8,IF(P116="Có","Đã tự gia hạn – kiểm tra","Quá hạn – chưa thanh lý"),IF(O116-'THAM SO'!$B$8&lt;='THAM SO'!$B$9,"Sắp hết hạn","Đang thực hiện"))))))</f>
        <v/>
      </c>
      <c r="AK116" s="106">
        <f>IF(AND(O116="",AH116=""),"",EDATE(MAX(N(O116),N(AH116)),12*'THAM SO'!$B$12))</f>
        <v/>
      </c>
      <c r="AL116" s="110" t="n"/>
    </row>
    <row r="117" ht="15" customHeight="1" s="64">
      <c r="A117" s="93">
        <f>IF(H117="","",COUNTA($H$9:H117))</f>
        <v/>
      </c>
      <c r="B117" s="93">
        <f>IF(OR(D117="",G117=""),"",YEAR(G117)&amp;"/"&amp;D117&amp;"/"&amp;TEXT(SUMPRODUCT(($D$9:D117=D117)*(YEAR($G$9:G117)=YEAR(G117))),"000")&amp;"-"&amp;'THAM SO'!$B$7)</f>
        <v/>
      </c>
      <c r="C117" s="107" t="n"/>
      <c r="D117" s="107" t="n"/>
      <c r="E117" s="95">
        <f>IF(D117="","",IFERROR(VLOOKUP(D117,'THAM SO'!$D$6:$E$40,2,FALSE()),"Mã loại chưa khai báo"))</f>
        <v/>
      </c>
      <c r="F117" s="108" t="n"/>
      <c r="G117" s="109" t="n"/>
      <c r="H117" s="110" t="n"/>
      <c r="I117" s="108" t="n"/>
      <c r="J117" s="110" t="n"/>
      <c r="K117" s="108" t="n"/>
      <c r="L117" s="108" t="n"/>
      <c r="M117" s="108" t="n"/>
      <c r="N117" s="109" t="n"/>
      <c r="O117" s="109" t="n"/>
      <c r="P117" s="107" t="n"/>
      <c r="Q117" s="107" t="n"/>
      <c r="R117" s="111" t="n"/>
      <c r="S117" s="112" t="n"/>
      <c r="T117" s="113" t="n"/>
      <c r="U117" s="102">
        <f>IF(S117="","",ROUND(S117*N(T117),2))</f>
        <v/>
      </c>
      <c r="V117" s="102">
        <f>IF(S117="","",S117+U117)</f>
        <v/>
      </c>
      <c r="W117" s="103">
        <f>IF(V117="","",ROUND(V117*IF(OR(Q117="",Q117="VND"),1,R117),0))</f>
        <v/>
      </c>
      <c r="X117" s="111" t="n"/>
      <c r="Y117" s="103">
        <f>IF(W117="","",W117+N(X117))</f>
        <v/>
      </c>
      <c r="Z117" s="103">
        <f>IF(B117="","",SUMIFS('NHAT KY THANH TOAN'!$G:$G,'NHAT KY THANH TOAN'!$B:$B,B117,'NHAT KY THANH TOAN'!$D:$D,"Hóa đơn"))</f>
        <v/>
      </c>
      <c r="AA117" s="103">
        <f>IF(B117="","",SUMIFS('NHAT KY THANH TOAN'!$G:$G,'NHAT KY THANH TOAN'!$B:$B,B117,'NHAT KY THANH TOAN'!$D:$D,"Thanh toán"))</f>
        <v/>
      </c>
      <c r="AB117" s="103">
        <f>IF(Y117="","",Y117-N(AA117))</f>
        <v/>
      </c>
      <c r="AC117" s="103">
        <f>IF(B117="","",N(Z117)-N(AA117))</f>
        <v/>
      </c>
      <c r="AD117" s="104">
        <f>IF(N(Y117)=0,"",N(AA117)/Y117)</f>
        <v/>
      </c>
      <c r="AE117" s="107" t="n"/>
      <c r="AF117" s="95">
        <f>IF(H117="","",TRIM(IF(AND(N(Y117)&gt;='THAM SO'!$B$10,AE117&lt;&gt;"Có"),"Chưa rà soát pháp lý; ","")&amp;IF(I117="","Thiếu MST đối tác; ","")&amp;IF(AG117="","Chưa ghi nơi lưu bản gốc; ","")&amp;IF(COUNTIFS('NHAT KY THANH TOAN'!$B:$B,B117,'NHAT KY THANH TOAN'!$D:$D,"Thanh toán",'NHAT KY THANH TOAN'!$F:$F,"Tiền mặt",'NHAT KY THANH TOAN'!$G:$G,"&gt;="&amp;'THAM SO'!$B$11)&gt;0,"Có khoản TT tiền mặt ≥ ngưỡng; ","")&amp;IF(AND(AB117&lt;&gt;"",N(AB117)&lt;0),"Thanh toán vượt giá trị HĐ; ","")))</f>
        <v/>
      </c>
      <c r="AG117" s="108" t="n"/>
      <c r="AH117" s="109" t="n"/>
      <c r="AI117" s="105">
        <f>IF(OR(H117="",O117="",AH117&lt;&gt;""),"",O117-'THAM SO'!$B$8)</f>
        <v/>
      </c>
      <c r="AJ117" s="95">
        <f>IF(H117="","",IF(AH117&lt;&gt;"","Đã thanh lý",IF(AND(N117&lt;&gt;"",N117&gt;'THAM SO'!$B$8),"Chưa hiệu lực",IF(O117="","Đang thực hiện",IF(O117&lt;'THAM SO'!$B$8,IF(P117="Có","Đã tự gia hạn – kiểm tra","Quá hạn – chưa thanh lý"),IF(O117-'THAM SO'!$B$8&lt;='THAM SO'!$B$9,"Sắp hết hạn","Đang thực hiện"))))))</f>
        <v/>
      </c>
      <c r="AK117" s="106">
        <f>IF(AND(O117="",AH117=""),"",EDATE(MAX(N(O117),N(AH117)),12*'THAM SO'!$B$12))</f>
        <v/>
      </c>
      <c r="AL117" s="110" t="n"/>
    </row>
    <row r="118" ht="15" customHeight="1" s="64">
      <c r="A118" s="93">
        <f>IF(H118="","",COUNTA($H$9:H118))</f>
        <v/>
      </c>
      <c r="B118" s="93">
        <f>IF(OR(D118="",G118=""),"",YEAR(G118)&amp;"/"&amp;D118&amp;"/"&amp;TEXT(SUMPRODUCT(($D$9:D118=D118)*(YEAR($G$9:G118)=YEAR(G118))),"000")&amp;"-"&amp;'THAM SO'!$B$7)</f>
        <v/>
      </c>
      <c r="C118" s="107" t="n"/>
      <c r="D118" s="107" t="n"/>
      <c r="E118" s="95">
        <f>IF(D118="","",IFERROR(VLOOKUP(D118,'THAM SO'!$D$6:$E$40,2,FALSE()),"Mã loại chưa khai báo"))</f>
        <v/>
      </c>
      <c r="F118" s="108" t="n"/>
      <c r="G118" s="109" t="n"/>
      <c r="H118" s="110" t="n"/>
      <c r="I118" s="108" t="n"/>
      <c r="J118" s="110" t="n"/>
      <c r="K118" s="108" t="n"/>
      <c r="L118" s="108" t="n"/>
      <c r="M118" s="108" t="n"/>
      <c r="N118" s="109" t="n"/>
      <c r="O118" s="109" t="n"/>
      <c r="P118" s="107" t="n"/>
      <c r="Q118" s="107" t="n"/>
      <c r="R118" s="111" t="n"/>
      <c r="S118" s="112" t="n"/>
      <c r="T118" s="113" t="n"/>
      <c r="U118" s="102">
        <f>IF(S118="","",ROUND(S118*N(T118),2))</f>
        <v/>
      </c>
      <c r="V118" s="102">
        <f>IF(S118="","",S118+U118)</f>
        <v/>
      </c>
      <c r="W118" s="103">
        <f>IF(V118="","",ROUND(V118*IF(OR(Q118="",Q118="VND"),1,R118),0))</f>
        <v/>
      </c>
      <c r="X118" s="111" t="n"/>
      <c r="Y118" s="103">
        <f>IF(W118="","",W118+N(X118))</f>
        <v/>
      </c>
      <c r="Z118" s="103">
        <f>IF(B118="","",SUMIFS('NHAT KY THANH TOAN'!$G:$G,'NHAT KY THANH TOAN'!$B:$B,B118,'NHAT KY THANH TOAN'!$D:$D,"Hóa đơn"))</f>
        <v/>
      </c>
      <c r="AA118" s="103">
        <f>IF(B118="","",SUMIFS('NHAT KY THANH TOAN'!$G:$G,'NHAT KY THANH TOAN'!$B:$B,B118,'NHAT KY THANH TOAN'!$D:$D,"Thanh toán"))</f>
        <v/>
      </c>
      <c r="AB118" s="103">
        <f>IF(Y118="","",Y118-N(AA118))</f>
        <v/>
      </c>
      <c r="AC118" s="103">
        <f>IF(B118="","",N(Z118)-N(AA118))</f>
        <v/>
      </c>
      <c r="AD118" s="104">
        <f>IF(N(Y118)=0,"",N(AA118)/Y118)</f>
        <v/>
      </c>
      <c r="AE118" s="107" t="n"/>
      <c r="AF118" s="95">
        <f>IF(H118="","",TRIM(IF(AND(N(Y118)&gt;='THAM SO'!$B$10,AE118&lt;&gt;"Có"),"Chưa rà soát pháp lý; ","")&amp;IF(I118="","Thiếu MST đối tác; ","")&amp;IF(AG118="","Chưa ghi nơi lưu bản gốc; ","")&amp;IF(COUNTIFS('NHAT KY THANH TOAN'!$B:$B,B118,'NHAT KY THANH TOAN'!$D:$D,"Thanh toán",'NHAT KY THANH TOAN'!$F:$F,"Tiền mặt",'NHAT KY THANH TOAN'!$G:$G,"&gt;="&amp;'THAM SO'!$B$11)&gt;0,"Có khoản TT tiền mặt ≥ ngưỡng; ","")&amp;IF(AND(AB118&lt;&gt;"",N(AB118)&lt;0),"Thanh toán vượt giá trị HĐ; ","")))</f>
        <v/>
      </c>
      <c r="AG118" s="108" t="n"/>
      <c r="AH118" s="109" t="n"/>
      <c r="AI118" s="105">
        <f>IF(OR(H118="",O118="",AH118&lt;&gt;""),"",O118-'THAM SO'!$B$8)</f>
        <v/>
      </c>
      <c r="AJ118" s="95">
        <f>IF(H118="","",IF(AH118&lt;&gt;"","Đã thanh lý",IF(AND(N118&lt;&gt;"",N118&gt;'THAM SO'!$B$8),"Chưa hiệu lực",IF(O118="","Đang thực hiện",IF(O118&lt;'THAM SO'!$B$8,IF(P118="Có","Đã tự gia hạn – kiểm tra","Quá hạn – chưa thanh lý"),IF(O118-'THAM SO'!$B$8&lt;='THAM SO'!$B$9,"Sắp hết hạn","Đang thực hiện"))))))</f>
        <v/>
      </c>
      <c r="AK118" s="106">
        <f>IF(AND(O118="",AH118=""),"",EDATE(MAX(N(O118),N(AH118)),12*'THAM SO'!$B$12))</f>
        <v/>
      </c>
      <c r="AL118" s="110" t="n"/>
    </row>
    <row r="119" ht="15" customHeight="1" s="64">
      <c r="A119" s="93">
        <f>IF(H119="","",COUNTA($H$9:H119))</f>
        <v/>
      </c>
      <c r="B119" s="93">
        <f>IF(OR(D119="",G119=""),"",YEAR(G119)&amp;"/"&amp;D119&amp;"/"&amp;TEXT(SUMPRODUCT(($D$9:D119=D119)*(YEAR($G$9:G119)=YEAR(G119))),"000")&amp;"-"&amp;'THAM SO'!$B$7)</f>
        <v/>
      </c>
      <c r="C119" s="107" t="n"/>
      <c r="D119" s="107" t="n"/>
      <c r="E119" s="95">
        <f>IF(D119="","",IFERROR(VLOOKUP(D119,'THAM SO'!$D$6:$E$40,2,FALSE()),"Mã loại chưa khai báo"))</f>
        <v/>
      </c>
      <c r="F119" s="108" t="n"/>
      <c r="G119" s="109" t="n"/>
      <c r="H119" s="110" t="n"/>
      <c r="I119" s="108" t="n"/>
      <c r="J119" s="110" t="n"/>
      <c r="K119" s="108" t="n"/>
      <c r="L119" s="108" t="n"/>
      <c r="M119" s="108" t="n"/>
      <c r="N119" s="109" t="n"/>
      <c r="O119" s="109" t="n"/>
      <c r="P119" s="107" t="n"/>
      <c r="Q119" s="107" t="n"/>
      <c r="R119" s="111" t="n"/>
      <c r="S119" s="112" t="n"/>
      <c r="T119" s="113" t="n"/>
      <c r="U119" s="102">
        <f>IF(S119="","",ROUND(S119*N(T119),2))</f>
        <v/>
      </c>
      <c r="V119" s="102">
        <f>IF(S119="","",S119+U119)</f>
        <v/>
      </c>
      <c r="W119" s="103">
        <f>IF(V119="","",ROUND(V119*IF(OR(Q119="",Q119="VND"),1,R119),0))</f>
        <v/>
      </c>
      <c r="X119" s="111" t="n"/>
      <c r="Y119" s="103">
        <f>IF(W119="","",W119+N(X119))</f>
        <v/>
      </c>
      <c r="Z119" s="103">
        <f>IF(B119="","",SUMIFS('NHAT KY THANH TOAN'!$G:$G,'NHAT KY THANH TOAN'!$B:$B,B119,'NHAT KY THANH TOAN'!$D:$D,"Hóa đơn"))</f>
        <v/>
      </c>
      <c r="AA119" s="103">
        <f>IF(B119="","",SUMIFS('NHAT KY THANH TOAN'!$G:$G,'NHAT KY THANH TOAN'!$B:$B,B119,'NHAT KY THANH TOAN'!$D:$D,"Thanh toán"))</f>
        <v/>
      </c>
      <c r="AB119" s="103">
        <f>IF(Y119="","",Y119-N(AA119))</f>
        <v/>
      </c>
      <c r="AC119" s="103">
        <f>IF(B119="","",N(Z119)-N(AA119))</f>
        <v/>
      </c>
      <c r="AD119" s="104">
        <f>IF(N(Y119)=0,"",N(AA119)/Y119)</f>
        <v/>
      </c>
      <c r="AE119" s="107" t="n"/>
      <c r="AF119" s="95">
        <f>IF(H119="","",TRIM(IF(AND(N(Y119)&gt;='THAM SO'!$B$10,AE119&lt;&gt;"Có"),"Chưa rà soát pháp lý; ","")&amp;IF(I119="","Thiếu MST đối tác; ","")&amp;IF(AG119="","Chưa ghi nơi lưu bản gốc; ","")&amp;IF(COUNTIFS('NHAT KY THANH TOAN'!$B:$B,B119,'NHAT KY THANH TOAN'!$D:$D,"Thanh toán",'NHAT KY THANH TOAN'!$F:$F,"Tiền mặt",'NHAT KY THANH TOAN'!$G:$G,"&gt;="&amp;'THAM SO'!$B$11)&gt;0,"Có khoản TT tiền mặt ≥ ngưỡng; ","")&amp;IF(AND(AB119&lt;&gt;"",N(AB119)&lt;0),"Thanh toán vượt giá trị HĐ; ","")))</f>
        <v/>
      </c>
      <c r="AG119" s="108" t="n"/>
      <c r="AH119" s="109" t="n"/>
      <c r="AI119" s="105">
        <f>IF(OR(H119="",O119="",AH119&lt;&gt;""),"",O119-'THAM SO'!$B$8)</f>
        <v/>
      </c>
      <c r="AJ119" s="95">
        <f>IF(H119="","",IF(AH119&lt;&gt;"","Đã thanh lý",IF(AND(N119&lt;&gt;"",N119&gt;'THAM SO'!$B$8),"Chưa hiệu lực",IF(O119="","Đang thực hiện",IF(O119&lt;'THAM SO'!$B$8,IF(P119="Có","Đã tự gia hạn – kiểm tra","Quá hạn – chưa thanh lý"),IF(O119-'THAM SO'!$B$8&lt;='THAM SO'!$B$9,"Sắp hết hạn","Đang thực hiện"))))))</f>
        <v/>
      </c>
      <c r="AK119" s="106">
        <f>IF(AND(O119="",AH119=""),"",EDATE(MAX(N(O119),N(AH119)),12*'THAM SO'!$B$12))</f>
        <v/>
      </c>
      <c r="AL119" s="110" t="n"/>
    </row>
    <row r="120" ht="15" customHeight="1" s="64">
      <c r="A120" s="93">
        <f>IF(H120="","",COUNTA($H$9:H120))</f>
        <v/>
      </c>
      <c r="B120" s="93">
        <f>IF(OR(D120="",G120=""),"",YEAR(G120)&amp;"/"&amp;D120&amp;"/"&amp;TEXT(SUMPRODUCT(($D$9:D120=D120)*(YEAR($G$9:G120)=YEAR(G120))),"000")&amp;"-"&amp;'THAM SO'!$B$7)</f>
        <v/>
      </c>
      <c r="C120" s="107" t="n"/>
      <c r="D120" s="107" t="n"/>
      <c r="E120" s="95">
        <f>IF(D120="","",IFERROR(VLOOKUP(D120,'THAM SO'!$D$6:$E$40,2,FALSE()),"Mã loại chưa khai báo"))</f>
        <v/>
      </c>
      <c r="F120" s="108" t="n"/>
      <c r="G120" s="109" t="n"/>
      <c r="H120" s="110" t="n"/>
      <c r="I120" s="108" t="n"/>
      <c r="J120" s="110" t="n"/>
      <c r="K120" s="108" t="n"/>
      <c r="L120" s="108" t="n"/>
      <c r="M120" s="108" t="n"/>
      <c r="N120" s="109" t="n"/>
      <c r="O120" s="109" t="n"/>
      <c r="P120" s="107" t="n"/>
      <c r="Q120" s="107" t="n"/>
      <c r="R120" s="111" t="n"/>
      <c r="S120" s="112" t="n"/>
      <c r="T120" s="113" t="n"/>
      <c r="U120" s="102">
        <f>IF(S120="","",ROUND(S120*N(T120),2))</f>
        <v/>
      </c>
      <c r="V120" s="102">
        <f>IF(S120="","",S120+U120)</f>
        <v/>
      </c>
      <c r="W120" s="103">
        <f>IF(V120="","",ROUND(V120*IF(OR(Q120="",Q120="VND"),1,R120),0))</f>
        <v/>
      </c>
      <c r="X120" s="111" t="n"/>
      <c r="Y120" s="103">
        <f>IF(W120="","",W120+N(X120))</f>
        <v/>
      </c>
      <c r="Z120" s="103">
        <f>IF(B120="","",SUMIFS('NHAT KY THANH TOAN'!$G:$G,'NHAT KY THANH TOAN'!$B:$B,B120,'NHAT KY THANH TOAN'!$D:$D,"Hóa đơn"))</f>
        <v/>
      </c>
      <c r="AA120" s="103">
        <f>IF(B120="","",SUMIFS('NHAT KY THANH TOAN'!$G:$G,'NHAT KY THANH TOAN'!$B:$B,B120,'NHAT KY THANH TOAN'!$D:$D,"Thanh toán"))</f>
        <v/>
      </c>
      <c r="AB120" s="103">
        <f>IF(Y120="","",Y120-N(AA120))</f>
        <v/>
      </c>
      <c r="AC120" s="103">
        <f>IF(B120="","",N(Z120)-N(AA120))</f>
        <v/>
      </c>
      <c r="AD120" s="104">
        <f>IF(N(Y120)=0,"",N(AA120)/Y120)</f>
        <v/>
      </c>
      <c r="AE120" s="107" t="n"/>
      <c r="AF120" s="95">
        <f>IF(H120="","",TRIM(IF(AND(N(Y120)&gt;='THAM SO'!$B$10,AE120&lt;&gt;"Có"),"Chưa rà soát pháp lý; ","")&amp;IF(I120="","Thiếu MST đối tác; ","")&amp;IF(AG120="","Chưa ghi nơi lưu bản gốc; ","")&amp;IF(COUNTIFS('NHAT KY THANH TOAN'!$B:$B,B120,'NHAT KY THANH TOAN'!$D:$D,"Thanh toán",'NHAT KY THANH TOAN'!$F:$F,"Tiền mặt",'NHAT KY THANH TOAN'!$G:$G,"&gt;="&amp;'THAM SO'!$B$11)&gt;0,"Có khoản TT tiền mặt ≥ ngưỡng; ","")&amp;IF(AND(AB120&lt;&gt;"",N(AB120)&lt;0),"Thanh toán vượt giá trị HĐ; ","")))</f>
        <v/>
      </c>
      <c r="AG120" s="108" t="n"/>
      <c r="AH120" s="109" t="n"/>
      <c r="AI120" s="105">
        <f>IF(OR(H120="",O120="",AH120&lt;&gt;""),"",O120-'THAM SO'!$B$8)</f>
        <v/>
      </c>
      <c r="AJ120" s="95">
        <f>IF(H120="","",IF(AH120&lt;&gt;"","Đã thanh lý",IF(AND(N120&lt;&gt;"",N120&gt;'THAM SO'!$B$8),"Chưa hiệu lực",IF(O120="","Đang thực hiện",IF(O120&lt;'THAM SO'!$B$8,IF(P120="Có","Đã tự gia hạn – kiểm tra","Quá hạn – chưa thanh lý"),IF(O120-'THAM SO'!$B$8&lt;='THAM SO'!$B$9,"Sắp hết hạn","Đang thực hiện"))))))</f>
        <v/>
      </c>
      <c r="AK120" s="106">
        <f>IF(AND(O120="",AH120=""),"",EDATE(MAX(N(O120),N(AH120)),12*'THAM SO'!$B$12))</f>
        <v/>
      </c>
      <c r="AL120" s="110" t="n"/>
    </row>
    <row r="121" ht="15" customHeight="1" s="64">
      <c r="A121" s="93">
        <f>IF(H121="","",COUNTA($H$9:H121))</f>
        <v/>
      </c>
      <c r="B121" s="93">
        <f>IF(OR(D121="",G121=""),"",YEAR(G121)&amp;"/"&amp;D121&amp;"/"&amp;TEXT(SUMPRODUCT(($D$9:D121=D121)*(YEAR($G$9:G121)=YEAR(G121))),"000")&amp;"-"&amp;'THAM SO'!$B$7)</f>
        <v/>
      </c>
      <c r="C121" s="107" t="n"/>
      <c r="D121" s="107" t="n"/>
      <c r="E121" s="95">
        <f>IF(D121="","",IFERROR(VLOOKUP(D121,'THAM SO'!$D$6:$E$40,2,FALSE()),"Mã loại chưa khai báo"))</f>
        <v/>
      </c>
      <c r="F121" s="108" t="n"/>
      <c r="G121" s="109" t="n"/>
      <c r="H121" s="110" t="n"/>
      <c r="I121" s="108" t="n"/>
      <c r="J121" s="110" t="n"/>
      <c r="K121" s="108" t="n"/>
      <c r="L121" s="108" t="n"/>
      <c r="M121" s="108" t="n"/>
      <c r="N121" s="109" t="n"/>
      <c r="O121" s="109" t="n"/>
      <c r="P121" s="107" t="n"/>
      <c r="Q121" s="107" t="n"/>
      <c r="R121" s="111" t="n"/>
      <c r="S121" s="112" t="n"/>
      <c r="T121" s="113" t="n"/>
      <c r="U121" s="102">
        <f>IF(S121="","",ROUND(S121*N(T121),2))</f>
        <v/>
      </c>
      <c r="V121" s="102">
        <f>IF(S121="","",S121+U121)</f>
        <v/>
      </c>
      <c r="W121" s="103">
        <f>IF(V121="","",ROUND(V121*IF(OR(Q121="",Q121="VND"),1,R121),0))</f>
        <v/>
      </c>
      <c r="X121" s="111" t="n"/>
      <c r="Y121" s="103">
        <f>IF(W121="","",W121+N(X121))</f>
        <v/>
      </c>
      <c r="Z121" s="103">
        <f>IF(B121="","",SUMIFS('NHAT KY THANH TOAN'!$G:$G,'NHAT KY THANH TOAN'!$B:$B,B121,'NHAT KY THANH TOAN'!$D:$D,"Hóa đơn"))</f>
        <v/>
      </c>
      <c r="AA121" s="103">
        <f>IF(B121="","",SUMIFS('NHAT KY THANH TOAN'!$G:$G,'NHAT KY THANH TOAN'!$B:$B,B121,'NHAT KY THANH TOAN'!$D:$D,"Thanh toán"))</f>
        <v/>
      </c>
      <c r="AB121" s="103">
        <f>IF(Y121="","",Y121-N(AA121))</f>
        <v/>
      </c>
      <c r="AC121" s="103">
        <f>IF(B121="","",N(Z121)-N(AA121))</f>
        <v/>
      </c>
      <c r="AD121" s="104">
        <f>IF(N(Y121)=0,"",N(AA121)/Y121)</f>
        <v/>
      </c>
      <c r="AE121" s="107" t="n"/>
      <c r="AF121" s="95">
        <f>IF(H121="","",TRIM(IF(AND(N(Y121)&gt;='THAM SO'!$B$10,AE121&lt;&gt;"Có"),"Chưa rà soát pháp lý; ","")&amp;IF(I121="","Thiếu MST đối tác; ","")&amp;IF(AG121="","Chưa ghi nơi lưu bản gốc; ","")&amp;IF(COUNTIFS('NHAT KY THANH TOAN'!$B:$B,B121,'NHAT KY THANH TOAN'!$D:$D,"Thanh toán",'NHAT KY THANH TOAN'!$F:$F,"Tiền mặt",'NHAT KY THANH TOAN'!$G:$G,"&gt;="&amp;'THAM SO'!$B$11)&gt;0,"Có khoản TT tiền mặt ≥ ngưỡng; ","")&amp;IF(AND(AB121&lt;&gt;"",N(AB121)&lt;0),"Thanh toán vượt giá trị HĐ; ","")))</f>
        <v/>
      </c>
      <c r="AG121" s="108" t="n"/>
      <c r="AH121" s="109" t="n"/>
      <c r="AI121" s="105">
        <f>IF(OR(H121="",O121="",AH121&lt;&gt;""),"",O121-'THAM SO'!$B$8)</f>
        <v/>
      </c>
      <c r="AJ121" s="95">
        <f>IF(H121="","",IF(AH121&lt;&gt;"","Đã thanh lý",IF(AND(N121&lt;&gt;"",N121&gt;'THAM SO'!$B$8),"Chưa hiệu lực",IF(O121="","Đang thực hiện",IF(O121&lt;'THAM SO'!$B$8,IF(P121="Có","Đã tự gia hạn – kiểm tra","Quá hạn – chưa thanh lý"),IF(O121-'THAM SO'!$B$8&lt;='THAM SO'!$B$9,"Sắp hết hạn","Đang thực hiện"))))))</f>
        <v/>
      </c>
      <c r="AK121" s="106">
        <f>IF(AND(O121="",AH121=""),"",EDATE(MAX(N(O121),N(AH121)),12*'THAM SO'!$B$12))</f>
        <v/>
      </c>
      <c r="AL121" s="110" t="n"/>
    </row>
    <row r="122" ht="15" customHeight="1" s="64">
      <c r="A122" s="93">
        <f>IF(H122="","",COUNTA($H$9:H122))</f>
        <v/>
      </c>
      <c r="B122" s="93">
        <f>IF(OR(D122="",G122=""),"",YEAR(G122)&amp;"/"&amp;D122&amp;"/"&amp;TEXT(SUMPRODUCT(($D$9:D122=D122)*(YEAR($G$9:G122)=YEAR(G122))),"000")&amp;"-"&amp;'THAM SO'!$B$7)</f>
        <v/>
      </c>
      <c r="C122" s="107" t="n"/>
      <c r="D122" s="107" t="n"/>
      <c r="E122" s="95">
        <f>IF(D122="","",IFERROR(VLOOKUP(D122,'THAM SO'!$D$6:$E$40,2,FALSE()),"Mã loại chưa khai báo"))</f>
        <v/>
      </c>
      <c r="F122" s="108" t="n"/>
      <c r="G122" s="109" t="n"/>
      <c r="H122" s="110" t="n"/>
      <c r="I122" s="108" t="n"/>
      <c r="J122" s="110" t="n"/>
      <c r="K122" s="108" t="n"/>
      <c r="L122" s="108" t="n"/>
      <c r="M122" s="108" t="n"/>
      <c r="N122" s="109" t="n"/>
      <c r="O122" s="109" t="n"/>
      <c r="P122" s="107" t="n"/>
      <c r="Q122" s="107" t="n"/>
      <c r="R122" s="111" t="n"/>
      <c r="S122" s="112" t="n"/>
      <c r="T122" s="113" t="n"/>
      <c r="U122" s="102">
        <f>IF(S122="","",ROUND(S122*N(T122),2))</f>
        <v/>
      </c>
      <c r="V122" s="102">
        <f>IF(S122="","",S122+U122)</f>
        <v/>
      </c>
      <c r="W122" s="103">
        <f>IF(V122="","",ROUND(V122*IF(OR(Q122="",Q122="VND"),1,R122),0))</f>
        <v/>
      </c>
      <c r="X122" s="111" t="n"/>
      <c r="Y122" s="103">
        <f>IF(W122="","",W122+N(X122))</f>
        <v/>
      </c>
      <c r="Z122" s="103">
        <f>IF(B122="","",SUMIFS('NHAT KY THANH TOAN'!$G:$G,'NHAT KY THANH TOAN'!$B:$B,B122,'NHAT KY THANH TOAN'!$D:$D,"Hóa đơn"))</f>
        <v/>
      </c>
      <c r="AA122" s="103">
        <f>IF(B122="","",SUMIFS('NHAT KY THANH TOAN'!$G:$G,'NHAT KY THANH TOAN'!$B:$B,B122,'NHAT KY THANH TOAN'!$D:$D,"Thanh toán"))</f>
        <v/>
      </c>
      <c r="AB122" s="103">
        <f>IF(Y122="","",Y122-N(AA122))</f>
        <v/>
      </c>
      <c r="AC122" s="103">
        <f>IF(B122="","",N(Z122)-N(AA122))</f>
        <v/>
      </c>
      <c r="AD122" s="104">
        <f>IF(N(Y122)=0,"",N(AA122)/Y122)</f>
        <v/>
      </c>
      <c r="AE122" s="107" t="n"/>
      <c r="AF122" s="95">
        <f>IF(H122="","",TRIM(IF(AND(N(Y122)&gt;='THAM SO'!$B$10,AE122&lt;&gt;"Có"),"Chưa rà soát pháp lý; ","")&amp;IF(I122="","Thiếu MST đối tác; ","")&amp;IF(AG122="","Chưa ghi nơi lưu bản gốc; ","")&amp;IF(COUNTIFS('NHAT KY THANH TOAN'!$B:$B,B122,'NHAT KY THANH TOAN'!$D:$D,"Thanh toán",'NHAT KY THANH TOAN'!$F:$F,"Tiền mặt",'NHAT KY THANH TOAN'!$G:$G,"&gt;="&amp;'THAM SO'!$B$11)&gt;0,"Có khoản TT tiền mặt ≥ ngưỡng; ","")&amp;IF(AND(AB122&lt;&gt;"",N(AB122)&lt;0),"Thanh toán vượt giá trị HĐ; ","")))</f>
        <v/>
      </c>
      <c r="AG122" s="108" t="n"/>
      <c r="AH122" s="109" t="n"/>
      <c r="AI122" s="105">
        <f>IF(OR(H122="",O122="",AH122&lt;&gt;""),"",O122-'THAM SO'!$B$8)</f>
        <v/>
      </c>
      <c r="AJ122" s="95">
        <f>IF(H122="","",IF(AH122&lt;&gt;"","Đã thanh lý",IF(AND(N122&lt;&gt;"",N122&gt;'THAM SO'!$B$8),"Chưa hiệu lực",IF(O122="","Đang thực hiện",IF(O122&lt;'THAM SO'!$B$8,IF(P122="Có","Đã tự gia hạn – kiểm tra","Quá hạn – chưa thanh lý"),IF(O122-'THAM SO'!$B$8&lt;='THAM SO'!$B$9,"Sắp hết hạn","Đang thực hiện"))))))</f>
        <v/>
      </c>
      <c r="AK122" s="106">
        <f>IF(AND(O122="",AH122=""),"",EDATE(MAX(N(O122),N(AH122)),12*'THAM SO'!$B$12))</f>
        <v/>
      </c>
      <c r="AL122" s="110" t="n"/>
    </row>
    <row r="123" ht="15" customHeight="1" s="64">
      <c r="A123" s="93">
        <f>IF(H123="","",COUNTA($H$9:H123))</f>
        <v/>
      </c>
      <c r="B123" s="93">
        <f>IF(OR(D123="",G123=""),"",YEAR(G123)&amp;"/"&amp;D123&amp;"/"&amp;TEXT(SUMPRODUCT(($D$9:D123=D123)*(YEAR($G$9:G123)=YEAR(G123))),"000")&amp;"-"&amp;'THAM SO'!$B$7)</f>
        <v/>
      </c>
      <c r="C123" s="107" t="n"/>
      <c r="D123" s="107" t="n"/>
      <c r="E123" s="95">
        <f>IF(D123="","",IFERROR(VLOOKUP(D123,'THAM SO'!$D$6:$E$40,2,FALSE()),"Mã loại chưa khai báo"))</f>
        <v/>
      </c>
      <c r="F123" s="108" t="n"/>
      <c r="G123" s="109" t="n"/>
      <c r="H123" s="110" t="n"/>
      <c r="I123" s="108" t="n"/>
      <c r="J123" s="110" t="n"/>
      <c r="K123" s="108" t="n"/>
      <c r="L123" s="108" t="n"/>
      <c r="M123" s="108" t="n"/>
      <c r="N123" s="109" t="n"/>
      <c r="O123" s="109" t="n"/>
      <c r="P123" s="107" t="n"/>
      <c r="Q123" s="107" t="n"/>
      <c r="R123" s="111" t="n"/>
      <c r="S123" s="112" t="n"/>
      <c r="T123" s="113" t="n"/>
      <c r="U123" s="102">
        <f>IF(S123="","",ROUND(S123*N(T123),2))</f>
        <v/>
      </c>
      <c r="V123" s="102">
        <f>IF(S123="","",S123+U123)</f>
        <v/>
      </c>
      <c r="W123" s="103">
        <f>IF(V123="","",ROUND(V123*IF(OR(Q123="",Q123="VND"),1,R123),0))</f>
        <v/>
      </c>
      <c r="X123" s="111" t="n"/>
      <c r="Y123" s="103">
        <f>IF(W123="","",W123+N(X123))</f>
        <v/>
      </c>
      <c r="Z123" s="103">
        <f>IF(B123="","",SUMIFS('NHAT KY THANH TOAN'!$G:$G,'NHAT KY THANH TOAN'!$B:$B,B123,'NHAT KY THANH TOAN'!$D:$D,"Hóa đơn"))</f>
        <v/>
      </c>
      <c r="AA123" s="103">
        <f>IF(B123="","",SUMIFS('NHAT KY THANH TOAN'!$G:$G,'NHAT KY THANH TOAN'!$B:$B,B123,'NHAT KY THANH TOAN'!$D:$D,"Thanh toán"))</f>
        <v/>
      </c>
      <c r="AB123" s="103">
        <f>IF(Y123="","",Y123-N(AA123))</f>
        <v/>
      </c>
      <c r="AC123" s="103">
        <f>IF(B123="","",N(Z123)-N(AA123))</f>
        <v/>
      </c>
      <c r="AD123" s="104">
        <f>IF(N(Y123)=0,"",N(AA123)/Y123)</f>
        <v/>
      </c>
      <c r="AE123" s="107" t="n"/>
      <c r="AF123" s="95">
        <f>IF(H123="","",TRIM(IF(AND(N(Y123)&gt;='THAM SO'!$B$10,AE123&lt;&gt;"Có"),"Chưa rà soát pháp lý; ","")&amp;IF(I123="","Thiếu MST đối tác; ","")&amp;IF(AG123="","Chưa ghi nơi lưu bản gốc; ","")&amp;IF(COUNTIFS('NHAT KY THANH TOAN'!$B:$B,B123,'NHAT KY THANH TOAN'!$D:$D,"Thanh toán",'NHAT KY THANH TOAN'!$F:$F,"Tiền mặt",'NHAT KY THANH TOAN'!$G:$G,"&gt;="&amp;'THAM SO'!$B$11)&gt;0,"Có khoản TT tiền mặt ≥ ngưỡng; ","")&amp;IF(AND(AB123&lt;&gt;"",N(AB123)&lt;0),"Thanh toán vượt giá trị HĐ; ","")))</f>
        <v/>
      </c>
      <c r="AG123" s="108" t="n"/>
      <c r="AH123" s="109" t="n"/>
      <c r="AI123" s="105">
        <f>IF(OR(H123="",O123="",AH123&lt;&gt;""),"",O123-'THAM SO'!$B$8)</f>
        <v/>
      </c>
      <c r="AJ123" s="95">
        <f>IF(H123="","",IF(AH123&lt;&gt;"","Đã thanh lý",IF(AND(N123&lt;&gt;"",N123&gt;'THAM SO'!$B$8),"Chưa hiệu lực",IF(O123="","Đang thực hiện",IF(O123&lt;'THAM SO'!$B$8,IF(P123="Có","Đã tự gia hạn – kiểm tra","Quá hạn – chưa thanh lý"),IF(O123-'THAM SO'!$B$8&lt;='THAM SO'!$B$9,"Sắp hết hạn","Đang thực hiện"))))))</f>
        <v/>
      </c>
      <c r="AK123" s="106">
        <f>IF(AND(O123="",AH123=""),"",EDATE(MAX(N(O123),N(AH123)),12*'THAM SO'!$B$12))</f>
        <v/>
      </c>
      <c r="AL123" s="110" t="n"/>
    </row>
    <row r="124" ht="15" customHeight="1" s="64">
      <c r="A124" s="93">
        <f>IF(H124="","",COUNTA($H$9:H124))</f>
        <v/>
      </c>
      <c r="B124" s="93">
        <f>IF(OR(D124="",G124=""),"",YEAR(G124)&amp;"/"&amp;D124&amp;"/"&amp;TEXT(SUMPRODUCT(($D$9:D124=D124)*(YEAR($G$9:G124)=YEAR(G124))),"000")&amp;"-"&amp;'THAM SO'!$B$7)</f>
        <v/>
      </c>
      <c r="C124" s="107" t="n"/>
      <c r="D124" s="107" t="n"/>
      <c r="E124" s="95">
        <f>IF(D124="","",IFERROR(VLOOKUP(D124,'THAM SO'!$D$6:$E$40,2,FALSE()),"Mã loại chưa khai báo"))</f>
        <v/>
      </c>
      <c r="F124" s="108" t="n"/>
      <c r="G124" s="109" t="n"/>
      <c r="H124" s="110" t="n"/>
      <c r="I124" s="108" t="n"/>
      <c r="J124" s="110" t="n"/>
      <c r="K124" s="108" t="n"/>
      <c r="L124" s="108" t="n"/>
      <c r="M124" s="108" t="n"/>
      <c r="N124" s="109" t="n"/>
      <c r="O124" s="109" t="n"/>
      <c r="P124" s="107" t="n"/>
      <c r="Q124" s="107" t="n"/>
      <c r="R124" s="111" t="n"/>
      <c r="S124" s="112" t="n"/>
      <c r="T124" s="113" t="n"/>
      <c r="U124" s="102">
        <f>IF(S124="","",ROUND(S124*N(T124),2))</f>
        <v/>
      </c>
      <c r="V124" s="102">
        <f>IF(S124="","",S124+U124)</f>
        <v/>
      </c>
      <c r="W124" s="103">
        <f>IF(V124="","",ROUND(V124*IF(OR(Q124="",Q124="VND"),1,R124),0))</f>
        <v/>
      </c>
      <c r="X124" s="111" t="n"/>
      <c r="Y124" s="103">
        <f>IF(W124="","",W124+N(X124))</f>
        <v/>
      </c>
      <c r="Z124" s="103">
        <f>IF(B124="","",SUMIFS('NHAT KY THANH TOAN'!$G:$G,'NHAT KY THANH TOAN'!$B:$B,B124,'NHAT KY THANH TOAN'!$D:$D,"Hóa đơn"))</f>
        <v/>
      </c>
      <c r="AA124" s="103">
        <f>IF(B124="","",SUMIFS('NHAT KY THANH TOAN'!$G:$G,'NHAT KY THANH TOAN'!$B:$B,B124,'NHAT KY THANH TOAN'!$D:$D,"Thanh toán"))</f>
        <v/>
      </c>
      <c r="AB124" s="103">
        <f>IF(Y124="","",Y124-N(AA124))</f>
        <v/>
      </c>
      <c r="AC124" s="103">
        <f>IF(B124="","",N(Z124)-N(AA124))</f>
        <v/>
      </c>
      <c r="AD124" s="104">
        <f>IF(N(Y124)=0,"",N(AA124)/Y124)</f>
        <v/>
      </c>
      <c r="AE124" s="107" t="n"/>
      <c r="AF124" s="95">
        <f>IF(H124="","",TRIM(IF(AND(N(Y124)&gt;='THAM SO'!$B$10,AE124&lt;&gt;"Có"),"Chưa rà soát pháp lý; ","")&amp;IF(I124="","Thiếu MST đối tác; ","")&amp;IF(AG124="","Chưa ghi nơi lưu bản gốc; ","")&amp;IF(COUNTIFS('NHAT KY THANH TOAN'!$B:$B,B124,'NHAT KY THANH TOAN'!$D:$D,"Thanh toán",'NHAT KY THANH TOAN'!$F:$F,"Tiền mặt",'NHAT KY THANH TOAN'!$G:$G,"&gt;="&amp;'THAM SO'!$B$11)&gt;0,"Có khoản TT tiền mặt ≥ ngưỡng; ","")&amp;IF(AND(AB124&lt;&gt;"",N(AB124)&lt;0),"Thanh toán vượt giá trị HĐ; ","")))</f>
        <v/>
      </c>
      <c r="AG124" s="108" t="n"/>
      <c r="AH124" s="109" t="n"/>
      <c r="AI124" s="105">
        <f>IF(OR(H124="",O124="",AH124&lt;&gt;""),"",O124-'THAM SO'!$B$8)</f>
        <v/>
      </c>
      <c r="AJ124" s="95">
        <f>IF(H124="","",IF(AH124&lt;&gt;"","Đã thanh lý",IF(AND(N124&lt;&gt;"",N124&gt;'THAM SO'!$B$8),"Chưa hiệu lực",IF(O124="","Đang thực hiện",IF(O124&lt;'THAM SO'!$B$8,IF(P124="Có","Đã tự gia hạn – kiểm tra","Quá hạn – chưa thanh lý"),IF(O124-'THAM SO'!$B$8&lt;='THAM SO'!$B$9,"Sắp hết hạn","Đang thực hiện"))))))</f>
        <v/>
      </c>
      <c r="AK124" s="106">
        <f>IF(AND(O124="",AH124=""),"",EDATE(MAX(N(O124),N(AH124)),12*'THAM SO'!$B$12))</f>
        <v/>
      </c>
      <c r="AL124" s="110" t="n"/>
    </row>
    <row r="125" ht="15" customHeight="1" s="64">
      <c r="A125" s="93">
        <f>IF(H125="","",COUNTA($H$9:H125))</f>
        <v/>
      </c>
      <c r="B125" s="93">
        <f>IF(OR(D125="",G125=""),"",YEAR(G125)&amp;"/"&amp;D125&amp;"/"&amp;TEXT(SUMPRODUCT(($D$9:D125=D125)*(YEAR($G$9:G125)=YEAR(G125))),"000")&amp;"-"&amp;'THAM SO'!$B$7)</f>
        <v/>
      </c>
      <c r="C125" s="107" t="n"/>
      <c r="D125" s="107" t="n"/>
      <c r="E125" s="95">
        <f>IF(D125="","",IFERROR(VLOOKUP(D125,'THAM SO'!$D$6:$E$40,2,FALSE()),"Mã loại chưa khai báo"))</f>
        <v/>
      </c>
      <c r="F125" s="108" t="n"/>
      <c r="G125" s="109" t="n"/>
      <c r="H125" s="110" t="n"/>
      <c r="I125" s="108" t="n"/>
      <c r="J125" s="110" t="n"/>
      <c r="K125" s="108" t="n"/>
      <c r="L125" s="108" t="n"/>
      <c r="M125" s="108" t="n"/>
      <c r="N125" s="109" t="n"/>
      <c r="O125" s="109" t="n"/>
      <c r="P125" s="107" t="n"/>
      <c r="Q125" s="107" t="n"/>
      <c r="R125" s="111" t="n"/>
      <c r="S125" s="112" t="n"/>
      <c r="T125" s="113" t="n"/>
      <c r="U125" s="102">
        <f>IF(S125="","",ROUND(S125*N(T125),2))</f>
        <v/>
      </c>
      <c r="V125" s="102">
        <f>IF(S125="","",S125+U125)</f>
        <v/>
      </c>
      <c r="W125" s="103">
        <f>IF(V125="","",ROUND(V125*IF(OR(Q125="",Q125="VND"),1,R125),0))</f>
        <v/>
      </c>
      <c r="X125" s="111" t="n"/>
      <c r="Y125" s="103">
        <f>IF(W125="","",W125+N(X125))</f>
        <v/>
      </c>
      <c r="Z125" s="103">
        <f>IF(B125="","",SUMIFS('NHAT KY THANH TOAN'!$G:$G,'NHAT KY THANH TOAN'!$B:$B,B125,'NHAT KY THANH TOAN'!$D:$D,"Hóa đơn"))</f>
        <v/>
      </c>
      <c r="AA125" s="103">
        <f>IF(B125="","",SUMIFS('NHAT KY THANH TOAN'!$G:$G,'NHAT KY THANH TOAN'!$B:$B,B125,'NHAT KY THANH TOAN'!$D:$D,"Thanh toán"))</f>
        <v/>
      </c>
      <c r="AB125" s="103">
        <f>IF(Y125="","",Y125-N(AA125))</f>
        <v/>
      </c>
      <c r="AC125" s="103">
        <f>IF(B125="","",N(Z125)-N(AA125))</f>
        <v/>
      </c>
      <c r="AD125" s="104">
        <f>IF(N(Y125)=0,"",N(AA125)/Y125)</f>
        <v/>
      </c>
      <c r="AE125" s="107" t="n"/>
      <c r="AF125" s="95">
        <f>IF(H125="","",TRIM(IF(AND(N(Y125)&gt;='THAM SO'!$B$10,AE125&lt;&gt;"Có"),"Chưa rà soát pháp lý; ","")&amp;IF(I125="","Thiếu MST đối tác; ","")&amp;IF(AG125="","Chưa ghi nơi lưu bản gốc; ","")&amp;IF(COUNTIFS('NHAT KY THANH TOAN'!$B:$B,B125,'NHAT KY THANH TOAN'!$D:$D,"Thanh toán",'NHAT KY THANH TOAN'!$F:$F,"Tiền mặt",'NHAT KY THANH TOAN'!$G:$G,"&gt;="&amp;'THAM SO'!$B$11)&gt;0,"Có khoản TT tiền mặt ≥ ngưỡng; ","")&amp;IF(AND(AB125&lt;&gt;"",N(AB125)&lt;0),"Thanh toán vượt giá trị HĐ; ","")))</f>
        <v/>
      </c>
      <c r="AG125" s="108" t="n"/>
      <c r="AH125" s="109" t="n"/>
      <c r="AI125" s="105">
        <f>IF(OR(H125="",O125="",AH125&lt;&gt;""),"",O125-'THAM SO'!$B$8)</f>
        <v/>
      </c>
      <c r="AJ125" s="95">
        <f>IF(H125="","",IF(AH125&lt;&gt;"","Đã thanh lý",IF(AND(N125&lt;&gt;"",N125&gt;'THAM SO'!$B$8),"Chưa hiệu lực",IF(O125="","Đang thực hiện",IF(O125&lt;'THAM SO'!$B$8,IF(P125="Có","Đã tự gia hạn – kiểm tra","Quá hạn – chưa thanh lý"),IF(O125-'THAM SO'!$B$8&lt;='THAM SO'!$B$9,"Sắp hết hạn","Đang thực hiện"))))))</f>
        <v/>
      </c>
      <c r="AK125" s="106">
        <f>IF(AND(O125="",AH125=""),"",EDATE(MAX(N(O125),N(AH125)),12*'THAM SO'!$B$12))</f>
        <v/>
      </c>
      <c r="AL125" s="110" t="n"/>
    </row>
    <row r="126" ht="15" customHeight="1" s="64">
      <c r="A126" s="93">
        <f>IF(H126="","",COUNTA($H$9:H126))</f>
        <v/>
      </c>
      <c r="B126" s="93">
        <f>IF(OR(D126="",G126=""),"",YEAR(G126)&amp;"/"&amp;D126&amp;"/"&amp;TEXT(SUMPRODUCT(($D$9:D126=D126)*(YEAR($G$9:G126)=YEAR(G126))),"000")&amp;"-"&amp;'THAM SO'!$B$7)</f>
        <v/>
      </c>
      <c r="C126" s="107" t="n"/>
      <c r="D126" s="107" t="n"/>
      <c r="E126" s="95">
        <f>IF(D126="","",IFERROR(VLOOKUP(D126,'THAM SO'!$D$6:$E$40,2,FALSE()),"Mã loại chưa khai báo"))</f>
        <v/>
      </c>
      <c r="F126" s="108" t="n"/>
      <c r="G126" s="109" t="n"/>
      <c r="H126" s="110" t="n"/>
      <c r="I126" s="108" t="n"/>
      <c r="J126" s="110" t="n"/>
      <c r="K126" s="108" t="n"/>
      <c r="L126" s="108" t="n"/>
      <c r="M126" s="108" t="n"/>
      <c r="N126" s="109" t="n"/>
      <c r="O126" s="109" t="n"/>
      <c r="P126" s="107" t="n"/>
      <c r="Q126" s="107" t="n"/>
      <c r="R126" s="111" t="n"/>
      <c r="S126" s="112" t="n"/>
      <c r="T126" s="113" t="n"/>
      <c r="U126" s="102">
        <f>IF(S126="","",ROUND(S126*N(T126),2))</f>
        <v/>
      </c>
      <c r="V126" s="102">
        <f>IF(S126="","",S126+U126)</f>
        <v/>
      </c>
      <c r="W126" s="103">
        <f>IF(V126="","",ROUND(V126*IF(OR(Q126="",Q126="VND"),1,R126),0))</f>
        <v/>
      </c>
      <c r="X126" s="111" t="n"/>
      <c r="Y126" s="103">
        <f>IF(W126="","",W126+N(X126))</f>
        <v/>
      </c>
      <c r="Z126" s="103">
        <f>IF(B126="","",SUMIFS('NHAT KY THANH TOAN'!$G:$G,'NHAT KY THANH TOAN'!$B:$B,B126,'NHAT KY THANH TOAN'!$D:$D,"Hóa đơn"))</f>
        <v/>
      </c>
      <c r="AA126" s="103">
        <f>IF(B126="","",SUMIFS('NHAT KY THANH TOAN'!$G:$G,'NHAT KY THANH TOAN'!$B:$B,B126,'NHAT KY THANH TOAN'!$D:$D,"Thanh toán"))</f>
        <v/>
      </c>
      <c r="AB126" s="103">
        <f>IF(Y126="","",Y126-N(AA126))</f>
        <v/>
      </c>
      <c r="AC126" s="103">
        <f>IF(B126="","",N(Z126)-N(AA126))</f>
        <v/>
      </c>
      <c r="AD126" s="104">
        <f>IF(N(Y126)=0,"",N(AA126)/Y126)</f>
        <v/>
      </c>
      <c r="AE126" s="107" t="n"/>
      <c r="AF126" s="95">
        <f>IF(H126="","",TRIM(IF(AND(N(Y126)&gt;='THAM SO'!$B$10,AE126&lt;&gt;"Có"),"Chưa rà soát pháp lý; ","")&amp;IF(I126="","Thiếu MST đối tác; ","")&amp;IF(AG126="","Chưa ghi nơi lưu bản gốc; ","")&amp;IF(COUNTIFS('NHAT KY THANH TOAN'!$B:$B,B126,'NHAT KY THANH TOAN'!$D:$D,"Thanh toán",'NHAT KY THANH TOAN'!$F:$F,"Tiền mặt",'NHAT KY THANH TOAN'!$G:$G,"&gt;="&amp;'THAM SO'!$B$11)&gt;0,"Có khoản TT tiền mặt ≥ ngưỡng; ","")&amp;IF(AND(AB126&lt;&gt;"",N(AB126)&lt;0),"Thanh toán vượt giá trị HĐ; ","")))</f>
        <v/>
      </c>
      <c r="AG126" s="108" t="n"/>
      <c r="AH126" s="109" t="n"/>
      <c r="AI126" s="105">
        <f>IF(OR(H126="",O126="",AH126&lt;&gt;""),"",O126-'THAM SO'!$B$8)</f>
        <v/>
      </c>
      <c r="AJ126" s="95">
        <f>IF(H126="","",IF(AH126&lt;&gt;"","Đã thanh lý",IF(AND(N126&lt;&gt;"",N126&gt;'THAM SO'!$B$8),"Chưa hiệu lực",IF(O126="","Đang thực hiện",IF(O126&lt;'THAM SO'!$B$8,IF(P126="Có","Đã tự gia hạn – kiểm tra","Quá hạn – chưa thanh lý"),IF(O126-'THAM SO'!$B$8&lt;='THAM SO'!$B$9,"Sắp hết hạn","Đang thực hiện"))))))</f>
        <v/>
      </c>
      <c r="AK126" s="106">
        <f>IF(AND(O126="",AH126=""),"",EDATE(MAX(N(O126),N(AH126)),12*'THAM SO'!$B$12))</f>
        <v/>
      </c>
      <c r="AL126" s="110" t="n"/>
    </row>
    <row r="127" ht="15" customHeight="1" s="64">
      <c r="A127" s="93">
        <f>IF(H127="","",COUNTA($H$9:H127))</f>
        <v/>
      </c>
      <c r="B127" s="93">
        <f>IF(OR(D127="",G127=""),"",YEAR(G127)&amp;"/"&amp;D127&amp;"/"&amp;TEXT(SUMPRODUCT(($D$9:D127=D127)*(YEAR($G$9:G127)=YEAR(G127))),"000")&amp;"-"&amp;'THAM SO'!$B$7)</f>
        <v/>
      </c>
      <c r="C127" s="107" t="n"/>
      <c r="D127" s="107" t="n"/>
      <c r="E127" s="95">
        <f>IF(D127="","",IFERROR(VLOOKUP(D127,'THAM SO'!$D$6:$E$40,2,FALSE()),"Mã loại chưa khai báo"))</f>
        <v/>
      </c>
      <c r="F127" s="108" t="n"/>
      <c r="G127" s="109" t="n"/>
      <c r="H127" s="110" t="n"/>
      <c r="I127" s="108" t="n"/>
      <c r="J127" s="110" t="n"/>
      <c r="K127" s="108" t="n"/>
      <c r="L127" s="108" t="n"/>
      <c r="M127" s="108" t="n"/>
      <c r="N127" s="109" t="n"/>
      <c r="O127" s="109" t="n"/>
      <c r="P127" s="107" t="n"/>
      <c r="Q127" s="107" t="n"/>
      <c r="R127" s="111" t="n"/>
      <c r="S127" s="112" t="n"/>
      <c r="T127" s="113" t="n"/>
      <c r="U127" s="102">
        <f>IF(S127="","",ROUND(S127*N(T127),2))</f>
        <v/>
      </c>
      <c r="V127" s="102">
        <f>IF(S127="","",S127+U127)</f>
        <v/>
      </c>
      <c r="W127" s="103">
        <f>IF(V127="","",ROUND(V127*IF(OR(Q127="",Q127="VND"),1,R127),0))</f>
        <v/>
      </c>
      <c r="X127" s="111" t="n"/>
      <c r="Y127" s="103">
        <f>IF(W127="","",W127+N(X127))</f>
        <v/>
      </c>
      <c r="Z127" s="103">
        <f>IF(B127="","",SUMIFS('NHAT KY THANH TOAN'!$G:$G,'NHAT KY THANH TOAN'!$B:$B,B127,'NHAT KY THANH TOAN'!$D:$D,"Hóa đơn"))</f>
        <v/>
      </c>
      <c r="AA127" s="103">
        <f>IF(B127="","",SUMIFS('NHAT KY THANH TOAN'!$G:$G,'NHAT KY THANH TOAN'!$B:$B,B127,'NHAT KY THANH TOAN'!$D:$D,"Thanh toán"))</f>
        <v/>
      </c>
      <c r="AB127" s="103">
        <f>IF(Y127="","",Y127-N(AA127))</f>
        <v/>
      </c>
      <c r="AC127" s="103">
        <f>IF(B127="","",N(Z127)-N(AA127))</f>
        <v/>
      </c>
      <c r="AD127" s="104">
        <f>IF(N(Y127)=0,"",N(AA127)/Y127)</f>
        <v/>
      </c>
      <c r="AE127" s="107" t="n"/>
      <c r="AF127" s="95">
        <f>IF(H127="","",TRIM(IF(AND(N(Y127)&gt;='THAM SO'!$B$10,AE127&lt;&gt;"Có"),"Chưa rà soát pháp lý; ","")&amp;IF(I127="","Thiếu MST đối tác; ","")&amp;IF(AG127="","Chưa ghi nơi lưu bản gốc; ","")&amp;IF(COUNTIFS('NHAT KY THANH TOAN'!$B:$B,B127,'NHAT KY THANH TOAN'!$D:$D,"Thanh toán",'NHAT KY THANH TOAN'!$F:$F,"Tiền mặt",'NHAT KY THANH TOAN'!$G:$G,"&gt;="&amp;'THAM SO'!$B$11)&gt;0,"Có khoản TT tiền mặt ≥ ngưỡng; ","")&amp;IF(AND(AB127&lt;&gt;"",N(AB127)&lt;0),"Thanh toán vượt giá trị HĐ; ","")))</f>
        <v/>
      </c>
      <c r="AG127" s="108" t="n"/>
      <c r="AH127" s="109" t="n"/>
      <c r="AI127" s="105">
        <f>IF(OR(H127="",O127="",AH127&lt;&gt;""),"",O127-'THAM SO'!$B$8)</f>
        <v/>
      </c>
      <c r="AJ127" s="95">
        <f>IF(H127="","",IF(AH127&lt;&gt;"","Đã thanh lý",IF(AND(N127&lt;&gt;"",N127&gt;'THAM SO'!$B$8),"Chưa hiệu lực",IF(O127="","Đang thực hiện",IF(O127&lt;'THAM SO'!$B$8,IF(P127="Có","Đã tự gia hạn – kiểm tra","Quá hạn – chưa thanh lý"),IF(O127-'THAM SO'!$B$8&lt;='THAM SO'!$B$9,"Sắp hết hạn","Đang thực hiện"))))))</f>
        <v/>
      </c>
      <c r="AK127" s="106">
        <f>IF(AND(O127="",AH127=""),"",EDATE(MAX(N(O127),N(AH127)),12*'THAM SO'!$B$12))</f>
        <v/>
      </c>
      <c r="AL127" s="110" t="n"/>
    </row>
    <row r="128" ht="15" customHeight="1" s="64">
      <c r="A128" s="93">
        <f>IF(H128="","",COUNTA($H$9:H128))</f>
        <v/>
      </c>
      <c r="B128" s="93">
        <f>IF(OR(D128="",G128=""),"",YEAR(G128)&amp;"/"&amp;D128&amp;"/"&amp;TEXT(SUMPRODUCT(($D$9:D128=D128)*(YEAR($G$9:G128)=YEAR(G128))),"000")&amp;"-"&amp;'THAM SO'!$B$7)</f>
        <v/>
      </c>
      <c r="C128" s="107" t="n"/>
      <c r="D128" s="107" t="n"/>
      <c r="E128" s="95">
        <f>IF(D128="","",IFERROR(VLOOKUP(D128,'THAM SO'!$D$6:$E$40,2,FALSE()),"Mã loại chưa khai báo"))</f>
        <v/>
      </c>
      <c r="F128" s="108" t="n"/>
      <c r="G128" s="109" t="n"/>
      <c r="H128" s="110" t="n"/>
      <c r="I128" s="108" t="n"/>
      <c r="J128" s="110" t="n"/>
      <c r="K128" s="108" t="n"/>
      <c r="L128" s="108" t="n"/>
      <c r="M128" s="108" t="n"/>
      <c r="N128" s="109" t="n"/>
      <c r="O128" s="109" t="n"/>
      <c r="P128" s="107" t="n"/>
      <c r="Q128" s="107" t="n"/>
      <c r="R128" s="111" t="n"/>
      <c r="S128" s="112" t="n"/>
      <c r="T128" s="113" t="n"/>
      <c r="U128" s="102">
        <f>IF(S128="","",ROUND(S128*N(T128),2))</f>
        <v/>
      </c>
      <c r="V128" s="102">
        <f>IF(S128="","",S128+U128)</f>
        <v/>
      </c>
      <c r="W128" s="103">
        <f>IF(V128="","",ROUND(V128*IF(OR(Q128="",Q128="VND"),1,R128),0))</f>
        <v/>
      </c>
      <c r="X128" s="111" t="n"/>
      <c r="Y128" s="103">
        <f>IF(W128="","",W128+N(X128))</f>
        <v/>
      </c>
      <c r="Z128" s="103">
        <f>IF(B128="","",SUMIFS('NHAT KY THANH TOAN'!$G:$G,'NHAT KY THANH TOAN'!$B:$B,B128,'NHAT KY THANH TOAN'!$D:$D,"Hóa đơn"))</f>
        <v/>
      </c>
      <c r="AA128" s="103">
        <f>IF(B128="","",SUMIFS('NHAT KY THANH TOAN'!$G:$G,'NHAT KY THANH TOAN'!$B:$B,B128,'NHAT KY THANH TOAN'!$D:$D,"Thanh toán"))</f>
        <v/>
      </c>
      <c r="AB128" s="103">
        <f>IF(Y128="","",Y128-N(AA128))</f>
        <v/>
      </c>
      <c r="AC128" s="103">
        <f>IF(B128="","",N(Z128)-N(AA128))</f>
        <v/>
      </c>
      <c r="AD128" s="104">
        <f>IF(N(Y128)=0,"",N(AA128)/Y128)</f>
        <v/>
      </c>
      <c r="AE128" s="107" t="n"/>
      <c r="AF128" s="95">
        <f>IF(H128="","",TRIM(IF(AND(N(Y128)&gt;='THAM SO'!$B$10,AE128&lt;&gt;"Có"),"Chưa rà soát pháp lý; ","")&amp;IF(I128="","Thiếu MST đối tác; ","")&amp;IF(AG128="","Chưa ghi nơi lưu bản gốc; ","")&amp;IF(COUNTIFS('NHAT KY THANH TOAN'!$B:$B,B128,'NHAT KY THANH TOAN'!$D:$D,"Thanh toán",'NHAT KY THANH TOAN'!$F:$F,"Tiền mặt",'NHAT KY THANH TOAN'!$G:$G,"&gt;="&amp;'THAM SO'!$B$11)&gt;0,"Có khoản TT tiền mặt ≥ ngưỡng; ","")&amp;IF(AND(AB128&lt;&gt;"",N(AB128)&lt;0),"Thanh toán vượt giá trị HĐ; ","")))</f>
        <v/>
      </c>
      <c r="AG128" s="108" t="n"/>
      <c r="AH128" s="109" t="n"/>
      <c r="AI128" s="105">
        <f>IF(OR(H128="",O128="",AH128&lt;&gt;""),"",O128-'THAM SO'!$B$8)</f>
        <v/>
      </c>
      <c r="AJ128" s="95">
        <f>IF(H128="","",IF(AH128&lt;&gt;"","Đã thanh lý",IF(AND(N128&lt;&gt;"",N128&gt;'THAM SO'!$B$8),"Chưa hiệu lực",IF(O128="","Đang thực hiện",IF(O128&lt;'THAM SO'!$B$8,IF(P128="Có","Đã tự gia hạn – kiểm tra","Quá hạn – chưa thanh lý"),IF(O128-'THAM SO'!$B$8&lt;='THAM SO'!$B$9,"Sắp hết hạn","Đang thực hiện"))))))</f>
        <v/>
      </c>
      <c r="AK128" s="106">
        <f>IF(AND(O128="",AH128=""),"",EDATE(MAX(N(O128),N(AH128)),12*'THAM SO'!$B$12))</f>
        <v/>
      </c>
      <c r="AL128" s="110" t="n"/>
    </row>
    <row r="129" ht="15" customHeight="1" s="64">
      <c r="A129" s="93">
        <f>IF(H129="","",COUNTA($H$9:H129))</f>
        <v/>
      </c>
      <c r="B129" s="93">
        <f>IF(OR(D129="",G129=""),"",YEAR(G129)&amp;"/"&amp;D129&amp;"/"&amp;TEXT(SUMPRODUCT(($D$9:D129=D129)*(YEAR($G$9:G129)=YEAR(G129))),"000")&amp;"-"&amp;'THAM SO'!$B$7)</f>
        <v/>
      </c>
      <c r="C129" s="107" t="n"/>
      <c r="D129" s="107" t="n"/>
      <c r="E129" s="95">
        <f>IF(D129="","",IFERROR(VLOOKUP(D129,'THAM SO'!$D$6:$E$40,2,FALSE()),"Mã loại chưa khai báo"))</f>
        <v/>
      </c>
      <c r="F129" s="108" t="n"/>
      <c r="G129" s="109" t="n"/>
      <c r="H129" s="110" t="n"/>
      <c r="I129" s="108" t="n"/>
      <c r="J129" s="110" t="n"/>
      <c r="K129" s="108" t="n"/>
      <c r="L129" s="108" t="n"/>
      <c r="M129" s="108" t="n"/>
      <c r="N129" s="109" t="n"/>
      <c r="O129" s="109" t="n"/>
      <c r="P129" s="107" t="n"/>
      <c r="Q129" s="107" t="n"/>
      <c r="R129" s="111" t="n"/>
      <c r="S129" s="112" t="n"/>
      <c r="T129" s="113" t="n"/>
      <c r="U129" s="102">
        <f>IF(S129="","",ROUND(S129*N(T129),2))</f>
        <v/>
      </c>
      <c r="V129" s="102">
        <f>IF(S129="","",S129+U129)</f>
        <v/>
      </c>
      <c r="W129" s="103">
        <f>IF(V129="","",ROUND(V129*IF(OR(Q129="",Q129="VND"),1,R129),0))</f>
        <v/>
      </c>
      <c r="X129" s="111" t="n"/>
      <c r="Y129" s="103">
        <f>IF(W129="","",W129+N(X129))</f>
        <v/>
      </c>
      <c r="Z129" s="103">
        <f>IF(B129="","",SUMIFS('NHAT KY THANH TOAN'!$G:$G,'NHAT KY THANH TOAN'!$B:$B,B129,'NHAT KY THANH TOAN'!$D:$D,"Hóa đơn"))</f>
        <v/>
      </c>
      <c r="AA129" s="103">
        <f>IF(B129="","",SUMIFS('NHAT KY THANH TOAN'!$G:$G,'NHAT KY THANH TOAN'!$B:$B,B129,'NHAT KY THANH TOAN'!$D:$D,"Thanh toán"))</f>
        <v/>
      </c>
      <c r="AB129" s="103">
        <f>IF(Y129="","",Y129-N(AA129))</f>
        <v/>
      </c>
      <c r="AC129" s="103">
        <f>IF(B129="","",N(Z129)-N(AA129))</f>
        <v/>
      </c>
      <c r="AD129" s="104">
        <f>IF(N(Y129)=0,"",N(AA129)/Y129)</f>
        <v/>
      </c>
      <c r="AE129" s="107" t="n"/>
      <c r="AF129" s="95">
        <f>IF(H129="","",TRIM(IF(AND(N(Y129)&gt;='THAM SO'!$B$10,AE129&lt;&gt;"Có"),"Chưa rà soát pháp lý; ","")&amp;IF(I129="","Thiếu MST đối tác; ","")&amp;IF(AG129="","Chưa ghi nơi lưu bản gốc; ","")&amp;IF(COUNTIFS('NHAT KY THANH TOAN'!$B:$B,B129,'NHAT KY THANH TOAN'!$D:$D,"Thanh toán",'NHAT KY THANH TOAN'!$F:$F,"Tiền mặt",'NHAT KY THANH TOAN'!$G:$G,"&gt;="&amp;'THAM SO'!$B$11)&gt;0,"Có khoản TT tiền mặt ≥ ngưỡng; ","")&amp;IF(AND(AB129&lt;&gt;"",N(AB129)&lt;0),"Thanh toán vượt giá trị HĐ; ","")))</f>
        <v/>
      </c>
      <c r="AG129" s="108" t="n"/>
      <c r="AH129" s="109" t="n"/>
      <c r="AI129" s="105">
        <f>IF(OR(H129="",O129="",AH129&lt;&gt;""),"",O129-'THAM SO'!$B$8)</f>
        <v/>
      </c>
      <c r="AJ129" s="95">
        <f>IF(H129="","",IF(AH129&lt;&gt;"","Đã thanh lý",IF(AND(N129&lt;&gt;"",N129&gt;'THAM SO'!$B$8),"Chưa hiệu lực",IF(O129="","Đang thực hiện",IF(O129&lt;'THAM SO'!$B$8,IF(P129="Có","Đã tự gia hạn – kiểm tra","Quá hạn – chưa thanh lý"),IF(O129-'THAM SO'!$B$8&lt;='THAM SO'!$B$9,"Sắp hết hạn","Đang thực hiện"))))))</f>
        <v/>
      </c>
      <c r="AK129" s="106">
        <f>IF(AND(O129="",AH129=""),"",EDATE(MAX(N(O129),N(AH129)),12*'THAM SO'!$B$12))</f>
        <v/>
      </c>
      <c r="AL129" s="110" t="n"/>
    </row>
    <row r="130" ht="15" customHeight="1" s="64">
      <c r="A130" s="93">
        <f>IF(H130="","",COUNTA($H$9:H130))</f>
        <v/>
      </c>
      <c r="B130" s="93">
        <f>IF(OR(D130="",G130=""),"",YEAR(G130)&amp;"/"&amp;D130&amp;"/"&amp;TEXT(SUMPRODUCT(($D$9:D130=D130)*(YEAR($G$9:G130)=YEAR(G130))),"000")&amp;"-"&amp;'THAM SO'!$B$7)</f>
        <v/>
      </c>
      <c r="C130" s="107" t="n"/>
      <c r="D130" s="107" t="n"/>
      <c r="E130" s="95">
        <f>IF(D130="","",IFERROR(VLOOKUP(D130,'THAM SO'!$D$6:$E$40,2,FALSE()),"Mã loại chưa khai báo"))</f>
        <v/>
      </c>
      <c r="F130" s="108" t="n"/>
      <c r="G130" s="109" t="n"/>
      <c r="H130" s="110" t="n"/>
      <c r="I130" s="108" t="n"/>
      <c r="J130" s="110" t="n"/>
      <c r="K130" s="108" t="n"/>
      <c r="L130" s="108" t="n"/>
      <c r="M130" s="108" t="n"/>
      <c r="N130" s="109" t="n"/>
      <c r="O130" s="109" t="n"/>
      <c r="P130" s="107" t="n"/>
      <c r="Q130" s="107" t="n"/>
      <c r="R130" s="111" t="n"/>
      <c r="S130" s="112" t="n"/>
      <c r="T130" s="113" t="n"/>
      <c r="U130" s="102">
        <f>IF(S130="","",ROUND(S130*N(T130),2))</f>
        <v/>
      </c>
      <c r="V130" s="102">
        <f>IF(S130="","",S130+U130)</f>
        <v/>
      </c>
      <c r="W130" s="103">
        <f>IF(V130="","",ROUND(V130*IF(OR(Q130="",Q130="VND"),1,R130),0))</f>
        <v/>
      </c>
      <c r="X130" s="111" t="n"/>
      <c r="Y130" s="103">
        <f>IF(W130="","",W130+N(X130))</f>
        <v/>
      </c>
      <c r="Z130" s="103">
        <f>IF(B130="","",SUMIFS('NHAT KY THANH TOAN'!$G:$G,'NHAT KY THANH TOAN'!$B:$B,B130,'NHAT KY THANH TOAN'!$D:$D,"Hóa đơn"))</f>
        <v/>
      </c>
      <c r="AA130" s="103">
        <f>IF(B130="","",SUMIFS('NHAT KY THANH TOAN'!$G:$G,'NHAT KY THANH TOAN'!$B:$B,B130,'NHAT KY THANH TOAN'!$D:$D,"Thanh toán"))</f>
        <v/>
      </c>
      <c r="AB130" s="103">
        <f>IF(Y130="","",Y130-N(AA130))</f>
        <v/>
      </c>
      <c r="AC130" s="103">
        <f>IF(B130="","",N(Z130)-N(AA130))</f>
        <v/>
      </c>
      <c r="AD130" s="104">
        <f>IF(N(Y130)=0,"",N(AA130)/Y130)</f>
        <v/>
      </c>
      <c r="AE130" s="107" t="n"/>
      <c r="AF130" s="95">
        <f>IF(H130="","",TRIM(IF(AND(N(Y130)&gt;='THAM SO'!$B$10,AE130&lt;&gt;"Có"),"Chưa rà soát pháp lý; ","")&amp;IF(I130="","Thiếu MST đối tác; ","")&amp;IF(AG130="","Chưa ghi nơi lưu bản gốc; ","")&amp;IF(COUNTIFS('NHAT KY THANH TOAN'!$B:$B,B130,'NHAT KY THANH TOAN'!$D:$D,"Thanh toán",'NHAT KY THANH TOAN'!$F:$F,"Tiền mặt",'NHAT KY THANH TOAN'!$G:$G,"&gt;="&amp;'THAM SO'!$B$11)&gt;0,"Có khoản TT tiền mặt ≥ ngưỡng; ","")&amp;IF(AND(AB130&lt;&gt;"",N(AB130)&lt;0),"Thanh toán vượt giá trị HĐ; ","")))</f>
        <v/>
      </c>
      <c r="AG130" s="108" t="n"/>
      <c r="AH130" s="109" t="n"/>
      <c r="AI130" s="105">
        <f>IF(OR(H130="",O130="",AH130&lt;&gt;""),"",O130-'THAM SO'!$B$8)</f>
        <v/>
      </c>
      <c r="AJ130" s="95">
        <f>IF(H130="","",IF(AH130&lt;&gt;"","Đã thanh lý",IF(AND(N130&lt;&gt;"",N130&gt;'THAM SO'!$B$8),"Chưa hiệu lực",IF(O130="","Đang thực hiện",IF(O130&lt;'THAM SO'!$B$8,IF(P130="Có","Đã tự gia hạn – kiểm tra","Quá hạn – chưa thanh lý"),IF(O130-'THAM SO'!$B$8&lt;='THAM SO'!$B$9,"Sắp hết hạn","Đang thực hiện"))))))</f>
        <v/>
      </c>
      <c r="AK130" s="106">
        <f>IF(AND(O130="",AH130=""),"",EDATE(MAX(N(O130),N(AH130)),12*'THAM SO'!$B$12))</f>
        <v/>
      </c>
      <c r="AL130" s="110" t="n"/>
    </row>
    <row r="131" ht="15" customHeight="1" s="64">
      <c r="A131" s="93">
        <f>IF(H131="","",COUNTA($H$9:H131))</f>
        <v/>
      </c>
      <c r="B131" s="93">
        <f>IF(OR(D131="",G131=""),"",YEAR(G131)&amp;"/"&amp;D131&amp;"/"&amp;TEXT(SUMPRODUCT(($D$9:D131=D131)*(YEAR($G$9:G131)=YEAR(G131))),"000")&amp;"-"&amp;'THAM SO'!$B$7)</f>
        <v/>
      </c>
      <c r="C131" s="107" t="n"/>
      <c r="D131" s="107" t="n"/>
      <c r="E131" s="95">
        <f>IF(D131="","",IFERROR(VLOOKUP(D131,'THAM SO'!$D$6:$E$40,2,FALSE()),"Mã loại chưa khai báo"))</f>
        <v/>
      </c>
      <c r="F131" s="108" t="n"/>
      <c r="G131" s="109" t="n"/>
      <c r="H131" s="110" t="n"/>
      <c r="I131" s="108" t="n"/>
      <c r="J131" s="110" t="n"/>
      <c r="K131" s="108" t="n"/>
      <c r="L131" s="108" t="n"/>
      <c r="M131" s="108" t="n"/>
      <c r="N131" s="109" t="n"/>
      <c r="O131" s="109" t="n"/>
      <c r="P131" s="107" t="n"/>
      <c r="Q131" s="107" t="n"/>
      <c r="R131" s="111" t="n"/>
      <c r="S131" s="112" t="n"/>
      <c r="T131" s="113" t="n"/>
      <c r="U131" s="102">
        <f>IF(S131="","",ROUND(S131*N(T131),2))</f>
        <v/>
      </c>
      <c r="V131" s="102">
        <f>IF(S131="","",S131+U131)</f>
        <v/>
      </c>
      <c r="W131" s="103">
        <f>IF(V131="","",ROUND(V131*IF(OR(Q131="",Q131="VND"),1,R131),0))</f>
        <v/>
      </c>
      <c r="X131" s="111" t="n"/>
      <c r="Y131" s="103">
        <f>IF(W131="","",W131+N(X131))</f>
        <v/>
      </c>
      <c r="Z131" s="103">
        <f>IF(B131="","",SUMIFS('NHAT KY THANH TOAN'!$G:$G,'NHAT KY THANH TOAN'!$B:$B,B131,'NHAT KY THANH TOAN'!$D:$D,"Hóa đơn"))</f>
        <v/>
      </c>
      <c r="AA131" s="103">
        <f>IF(B131="","",SUMIFS('NHAT KY THANH TOAN'!$G:$G,'NHAT KY THANH TOAN'!$B:$B,B131,'NHAT KY THANH TOAN'!$D:$D,"Thanh toán"))</f>
        <v/>
      </c>
      <c r="AB131" s="103">
        <f>IF(Y131="","",Y131-N(AA131))</f>
        <v/>
      </c>
      <c r="AC131" s="103">
        <f>IF(B131="","",N(Z131)-N(AA131))</f>
        <v/>
      </c>
      <c r="AD131" s="104">
        <f>IF(N(Y131)=0,"",N(AA131)/Y131)</f>
        <v/>
      </c>
      <c r="AE131" s="107" t="n"/>
      <c r="AF131" s="95">
        <f>IF(H131="","",TRIM(IF(AND(N(Y131)&gt;='THAM SO'!$B$10,AE131&lt;&gt;"Có"),"Chưa rà soát pháp lý; ","")&amp;IF(I131="","Thiếu MST đối tác; ","")&amp;IF(AG131="","Chưa ghi nơi lưu bản gốc; ","")&amp;IF(COUNTIFS('NHAT KY THANH TOAN'!$B:$B,B131,'NHAT KY THANH TOAN'!$D:$D,"Thanh toán",'NHAT KY THANH TOAN'!$F:$F,"Tiền mặt",'NHAT KY THANH TOAN'!$G:$G,"&gt;="&amp;'THAM SO'!$B$11)&gt;0,"Có khoản TT tiền mặt ≥ ngưỡng; ","")&amp;IF(AND(AB131&lt;&gt;"",N(AB131)&lt;0),"Thanh toán vượt giá trị HĐ; ","")))</f>
        <v/>
      </c>
      <c r="AG131" s="108" t="n"/>
      <c r="AH131" s="109" t="n"/>
      <c r="AI131" s="105">
        <f>IF(OR(H131="",O131="",AH131&lt;&gt;""),"",O131-'THAM SO'!$B$8)</f>
        <v/>
      </c>
      <c r="AJ131" s="95">
        <f>IF(H131="","",IF(AH131&lt;&gt;"","Đã thanh lý",IF(AND(N131&lt;&gt;"",N131&gt;'THAM SO'!$B$8),"Chưa hiệu lực",IF(O131="","Đang thực hiện",IF(O131&lt;'THAM SO'!$B$8,IF(P131="Có","Đã tự gia hạn – kiểm tra","Quá hạn – chưa thanh lý"),IF(O131-'THAM SO'!$B$8&lt;='THAM SO'!$B$9,"Sắp hết hạn","Đang thực hiện"))))))</f>
        <v/>
      </c>
      <c r="AK131" s="106">
        <f>IF(AND(O131="",AH131=""),"",EDATE(MAX(N(O131),N(AH131)),12*'THAM SO'!$B$12))</f>
        <v/>
      </c>
      <c r="AL131" s="110" t="n"/>
    </row>
    <row r="132" ht="15" customHeight="1" s="64">
      <c r="A132" s="93">
        <f>IF(H132="","",COUNTA($H$9:H132))</f>
        <v/>
      </c>
      <c r="B132" s="93">
        <f>IF(OR(D132="",G132=""),"",YEAR(G132)&amp;"/"&amp;D132&amp;"/"&amp;TEXT(SUMPRODUCT(($D$9:D132=D132)*(YEAR($G$9:G132)=YEAR(G132))),"000")&amp;"-"&amp;'THAM SO'!$B$7)</f>
        <v/>
      </c>
      <c r="C132" s="107" t="n"/>
      <c r="D132" s="107" t="n"/>
      <c r="E132" s="95">
        <f>IF(D132="","",IFERROR(VLOOKUP(D132,'THAM SO'!$D$6:$E$40,2,FALSE()),"Mã loại chưa khai báo"))</f>
        <v/>
      </c>
      <c r="F132" s="108" t="n"/>
      <c r="G132" s="109" t="n"/>
      <c r="H132" s="110" t="n"/>
      <c r="I132" s="108" t="n"/>
      <c r="J132" s="110" t="n"/>
      <c r="K132" s="108" t="n"/>
      <c r="L132" s="108" t="n"/>
      <c r="M132" s="108" t="n"/>
      <c r="N132" s="109" t="n"/>
      <c r="O132" s="109" t="n"/>
      <c r="P132" s="107" t="n"/>
      <c r="Q132" s="107" t="n"/>
      <c r="R132" s="111" t="n"/>
      <c r="S132" s="112" t="n"/>
      <c r="T132" s="113" t="n"/>
      <c r="U132" s="102">
        <f>IF(S132="","",ROUND(S132*N(T132),2))</f>
        <v/>
      </c>
      <c r="V132" s="102">
        <f>IF(S132="","",S132+U132)</f>
        <v/>
      </c>
      <c r="W132" s="103">
        <f>IF(V132="","",ROUND(V132*IF(OR(Q132="",Q132="VND"),1,R132),0))</f>
        <v/>
      </c>
      <c r="X132" s="111" t="n"/>
      <c r="Y132" s="103">
        <f>IF(W132="","",W132+N(X132))</f>
        <v/>
      </c>
      <c r="Z132" s="103">
        <f>IF(B132="","",SUMIFS('NHAT KY THANH TOAN'!$G:$G,'NHAT KY THANH TOAN'!$B:$B,B132,'NHAT KY THANH TOAN'!$D:$D,"Hóa đơn"))</f>
        <v/>
      </c>
      <c r="AA132" s="103">
        <f>IF(B132="","",SUMIFS('NHAT KY THANH TOAN'!$G:$G,'NHAT KY THANH TOAN'!$B:$B,B132,'NHAT KY THANH TOAN'!$D:$D,"Thanh toán"))</f>
        <v/>
      </c>
      <c r="AB132" s="103">
        <f>IF(Y132="","",Y132-N(AA132))</f>
        <v/>
      </c>
      <c r="AC132" s="103">
        <f>IF(B132="","",N(Z132)-N(AA132))</f>
        <v/>
      </c>
      <c r="AD132" s="104">
        <f>IF(N(Y132)=0,"",N(AA132)/Y132)</f>
        <v/>
      </c>
      <c r="AE132" s="107" t="n"/>
      <c r="AF132" s="95">
        <f>IF(H132="","",TRIM(IF(AND(N(Y132)&gt;='THAM SO'!$B$10,AE132&lt;&gt;"Có"),"Chưa rà soát pháp lý; ","")&amp;IF(I132="","Thiếu MST đối tác; ","")&amp;IF(AG132="","Chưa ghi nơi lưu bản gốc; ","")&amp;IF(COUNTIFS('NHAT KY THANH TOAN'!$B:$B,B132,'NHAT KY THANH TOAN'!$D:$D,"Thanh toán",'NHAT KY THANH TOAN'!$F:$F,"Tiền mặt",'NHAT KY THANH TOAN'!$G:$G,"&gt;="&amp;'THAM SO'!$B$11)&gt;0,"Có khoản TT tiền mặt ≥ ngưỡng; ","")&amp;IF(AND(AB132&lt;&gt;"",N(AB132)&lt;0),"Thanh toán vượt giá trị HĐ; ","")))</f>
        <v/>
      </c>
      <c r="AG132" s="108" t="n"/>
      <c r="AH132" s="109" t="n"/>
      <c r="AI132" s="105">
        <f>IF(OR(H132="",O132="",AH132&lt;&gt;""),"",O132-'THAM SO'!$B$8)</f>
        <v/>
      </c>
      <c r="AJ132" s="95">
        <f>IF(H132="","",IF(AH132&lt;&gt;"","Đã thanh lý",IF(AND(N132&lt;&gt;"",N132&gt;'THAM SO'!$B$8),"Chưa hiệu lực",IF(O132="","Đang thực hiện",IF(O132&lt;'THAM SO'!$B$8,IF(P132="Có","Đã tự gia hạn – kiểm tra","Quá hạn – chưa thanh lý"),IF(O132-'THAM SO'!$B$8&lt;='THAM SO'!$B$9,"Sắp hết hạn","Đang thực hiện"))))))</f>
        <v/>
      </c>
      <c r="AK132" s="106">
        <f>IF(AND(O132="",AH132=""),"",EDATE(MAX(N(O132),N(AH132)),12*'THAM SO'!$B$12))</f>
        <v/>
      </c>
      <c r="AL132" s="110" t="n"/>
    </row>
    <row r="133" ht="15" customHeight="1" s="64">
      <c r="A133" s="93">
        <f>IF(H133="","",COUNTA($H$9:H133))</f>
        <v/>
      </c>
      <c r="B133" s="93">
        <f>IF(OR(D133="",G133=""),"",YEAR(G133)&amp;"/"&amp;D133&amp;"/"&amp;TEXT(SUMPRODUCT(($D$9:D133=D133)*(YEAR($G$9:G133)=YEAR(G133))),"000")&amp;"-"&amp;'THAM SO'!$B$7)</f>
        <v/>
      </c>
      <c r="C133" s="107" t="n"/>
      <c r="D133" s="107" t="n"/>
      <c r="E133" s="95">
        <f>IF(D133="","",IFERROR(VLOOKUP(D133,'THAM SO'!$D$6:$E$40,2,FALSE()),"Mã loại chưa khai báo"))</f>
        <v/>
      </c>
      <c r="F133" s="108" t="n"/>
      <c r="G133" s="109" t="n"/>
      <c r="H133" s="110" t="n"/>
      <c r="I133" s="108" t="n"/>
      <c r="J133" s="110" t="n"/>
      <c r="K133" s="108" t="n"/>
      <c r="L133" s="108" t="n"/>
      <c r="M133" s="108" t="n"/>
      <c r="N133" s="109" t="n"/>
      <c r="O133" s="109" t="n"/>
      <c r="P133" s="107" t="n"/>
      <c r="Q133" s="107" t="n"/>
      <c r="R133" s="111" t="n"/>
      <c r="S133" s="112" t="n"/>
      <c r="T133" s="113" t="n"/>
      <c r="U133" s="102">
        <f>IF(S133="","",ROUND(S133*N(T133),2))</f>
        <v/>
      </c>
      <c r="V133" s="102">
        <f>IF(S133="","",S133+U133)</f>
        <v/>
      </c>
      <c r="W133" s="103">
        <f>IF(V133="","",ROUND(V133*IF(OR(Q133="",Q133="VND"),1,R133),0))</f>
        <v/>
      </c>
      <c r="X133" s="111" t="n"/>
      <c r="Y133" s="103">
        <f>IF(W133="","",W133+N(X133))</f>
        <v/>
      </c>
      <c r="Z133" s="103">
        <f>IF(B133="","",SUMIFS('NHAT KY THANH TOAN'!$G:$G,'NHAT KY THANH TOAN'!$B:$B,B133,'NHAT KY THANH TOAN'!$D:$D,"Hóa đơn"))</f>
        <v/>
      </c>
      <c r="AA133" s="103">
        <f>IF(B133="","",SUMIFS('NHAT KY THANH TOAN'!$G:$G,'NHAT KY THANH TOAN'!$B:$B,B133,'NHAT KY THANH TOAN'!$D:$D,"Thanh toán"))</f>
        <v/>
      </c>
      <c r="AB133" s="103">
        <f>IF(Y133="","",Y133-N(AA133))</f>
        <v/>
      </c>
      <c r="AC133" s="103">
        <f>IF(B133="","",N(Z133)-N(AA133))</f>
        <v/>
      </c>
      <c r="AD133" s="104">
        <f>IF(N(Y133)=0,"",N(AA133)/Y133)</f>
        <v/>
      </c>
      <c r="AE133" s="107" t="n"/>
      <c r="AF133" s="95">
        <f>IF(H133="","",TRIM(IF(AND(N(Y133)&gt;='THAM SO'!$B$10,AE133&lt;&gt;"Có"),"Chưa rà soát pháp lý; ","")&amp;IF(I133="","Thiếu MST đối tác; ","")&amp;IF(AG133="","Chưa ghi nơi lưu bản gốc; ","")&amp;IF(COUNTIFS('NHAT KY THANH TOAN'!$B:$B,B133,'NHAT KY THANH TOAN'!$D:$D,"Thanh toán",'NHAT KY THANH TOAN'!$F:$F,"Tiền mặt",'NHAT KY THANH TOAN'!$G:$G,"&gt;="&amp;'THAM SO'!$B$11)&gt;0,"Có khoản TT tiền mặt ≥ ngưỡng; ","")&amp;IF(AND(AB133&lt;&gt;"",N(AB133)&lt;0),"Thanh toán vượt giá trị HĐ; ","")))</f>
        <v/>
      </c>
      <c r="AG133" s="108" t="n"/>
      <c r="AH133" s="109" t="n"/>
      <c r="AI133" s="105">
        <f>IF(OR(H133="",O133="",AH133&lt;&gt;""),"",O133-'THAM SO'!$B$8)</f>
        <v/>
      </c>
      <c r="AJ133" s="95">
        <f>IF(H133="","",IF(AH133&lt;&gt;"","Đã thanh lý",IF(AND(N133&lt;&gt;"",N133&gt;'THAM SO'!$B$8),"Chưa hiệu lực",IF(O133="","Đang thực hiện",IF(O133&lt;'THAM SO'!$B$8,IF(P133="Có","Đã tự gia hạn – kiểm tra","Quá hạn – chưa thanh lý"),IF(O133-'THAM SO'!$B$8&lt;='THAM SO'!$B$9,"Sắp hết hạn","Đang thực hiện"))))))</f>
        <v/>
      </c>
      <c r="AK133" s="106">
        <f>IF(AND(O133="",AH133=""),"",EDATE(MAX(N(O133),N(AH133)),12*'THAM SO'!$B$12))</f>
        <v/>
      </c>
      <c r="AL133" s="110" t="n"/>
    </row>
    <row r="134" ht="15" customHeight="1" s="64">
      <c r="A134" s="93">
        <f>IF(H134="","",COUNTA($H$9:H134))</f>
        <v/>
      </c>
      <c r="B134" s="93">
        <f>IF(OR(D134="",G134=""),"",YEAR(G134)&amp;"/"&amp;D134&amp;"/"&amp;TEXT(SUMPRODUCT(($D$9:D134=D134)*(YEAR($G$9:G134)=YEAR(G134))),"000")&amp;"-"&amp;'THAM SO'!$B$7)</f>
        <v/>
      </c>
      <c r="C134" s="107" t="n"/>
      <c r="D134" s="107" t="n"/>
      <c r="E134" s="95">
        <f>IF(D134="","",IFERROR(VLOOKUP(D134,'THAM SO'!$D$6:$E$40,2,FALSE()),"Mã loại chưa khai báo"))</f>
        <v/>
      </c>
      <c r="F134" s="108" t="n"/>
      <c r="G134" s="109" t="n"/>
      <c r="H134" s="110" t="n"/>
      <c r="I134" s="108" t="n"/>
      <c r="J134" s="110" t="n"/>
      <c r="K134" s="108" t="n"/>
      <c r="L134" s="108" t="n"/>
      <c r="M134" s="108" t="n"/>
      <c r="N134" s="109" t="n"/>
      <c r="O134" s="109" t="n"/>
      <c r="P134" s="107" t="n"/>
      <c r="Q134" s="107" t="n"/>
      <c r="R134" s="111" t="n"/>
      <c r="S134" s="112" t="n"/>
      <c r="T134" s="113" t="n"/>
      <c r="U134" s="102">
        <f>IF(S134="","",ROUND(S134*N(T134),2))</f>
        <v/>
      </c>
      <c r="V134" s="102">
        <f>IF(S134="","",S134+U134)</f>
        <v/>
      </c>
      <c r="W134" s="103">
        <f>IF(V134="","",ROUND(V134*IF(OR(Q134="",Q134="VND"),1,R134),0))</f>
        <v/>
      </c>
      <c r="X134" s="111" t="n"/>
      <c r="Y134" s="103">
        <f>IF(W134="","",W134+N(X134))</f>
        <v/>
      </c>
      <c r="Z134" s="103">
        <f>IF(B134="","",SUMIFS('NHAT KY THANH TOAN'!$G:$G,'NHAT KY THANH TOAN'!$B:$B,B134,'NHAT KY THANH TOAN'!$D:$D,"Hóa đơn"))</f>
        <v/>
      </c>
      <c r="AA134" s="103">
        <f>IF(B134="","",SUMIFS('NHAT KY THANH TOAN'!$G:$G,'NHAT KY THANH TOAN'!$B:$B,B134,'NHAT KY THANH TOAN'!$D:$D,"Thanh toán"))</f>
        <v/>
      </c>
      <c r="AB134" s="103">
        <f>IF(Y134="","",Y134-N(AA134))</f>
        <v/>
      </c>
      <c r="AC134" s="103">
        <f>IF(B134="","",N(Z134)-N(AA134))</f>
        <v/>
      </c>
      <c r="AD134" s="104">
        <f>IF(N(Y134)=0,"",N(AA134)/Y134)</f>
        <v/>
      </c>
      <c r="AE134" s="107" t="n"/>
      <c r="AF134" s="95">
        <f>IF(H134="","",TRIM(IF(AND(N(Y134)&gt;='THAM SO'!$B$10,AE134&lt;&gt;"Có"),"Chưa rà soát pháp lý; ","")&amp;IF(I134="","Thiếu MST đối tác; ","")&amp;IF(AG134="","Chưa ghi nơi lưu bản gốc; ","")&amp;IF(COUNTIFS('NHAT KY THANH TOAN'!$B:$B,B134,'NHAT KY THANH TOAN'!$D:$D,"Thanh toán",'NHAT KY THANH TOAN'!$F:$F,"Tiền mặt",'NHAT KY THANH TOAN'!$G:$G,"&gt;="&amp;'THAM SO'!$B$11)&gt;0,"Có khoản TT tiền mặt ≥ ngưỡng; ","")&amp;IF(AND(AB134&lt;&gt;"",N(AB134)&lt;0),"Thanh toán vượt giá trị HĐ; ","")))</f>
        <v/>
      </c>
      <c r="AG134" s="108" t="n"/>
      <c r="AH134" s="109" t="n"/>
      <c r="AI134" s="105">
        <f>IF(OR(H134="",O134="",AH134&lt;&gt;""),"",O134-'THAM SO'!$B$8)</f>
        <v/>
      </c>
      <c r="AJ134" s="95">
        <f>IF(H134="","",IF(AH134&lt;&gt;"","Đã thanh lý",IF(AND(N134&lt;&gt;"",N134&gt;'THAM SO'!$B$8),"Chưa hiệu lực",IF(O134="","Đang thực hiện",IF(O134&lt;'THAM SO'!$B$8,IF(P134="Có","Đã tự gia hạn – kiểm tra","Quá hạn – chưa thanh lý"),IF(O134-'THAM SO'!$B$8&lt;='THAM SO'!$B$9,"Sắp hết hạn","Đang thực hiện"))))))</f>
        <v/>
      </c>
      <c r="AK134" s="106">
        <f>IF(AND(O134="",AH134=""),"",EDATE(MAX(N(O134),N(AH134)),12*'THAM SO'!$B$12))</f>
        <v/>
      </c>
      <c r="AL134" s="110" t="n"/>
    </row>
    <row r="135" ht="15" customHeight="1" s="64">
      <c r="A135" s="93">
        <f>IF(H135="","",COUNTA($H$9:H135))</f>
        <v/>
      </c>
      <c r="B135" s="93">
        <f>IF(OR(D135="",G135=""),"",YEAR(G135)&amp;"/"&amp;D135&amp;"/"&amp;TEXT(SUMPRODUCT(($D$9:D135=D135)*(YEAR($G$9:G135)=YEAR(G135))),"000")&amp;"-"&amp;'THAM SO'!$B$7)</f>
        <v/>
      </c>
      <c r="C135" s="107" t="n"/>
      <c r="D135" s="107" t="n"/>
      <c r="E135" s="95">
        <f>IF(D135="","",IFERROR(VLOOKUP(D135,'THAM SO'!$D$6:$E$40,2,FALSE()),"Mã loại chưa khai báo"))</f>
        <v/>
      </c>
      <c r="F135" s="108" t="n"/>
      <c r="G135" s="109" t="n"/>
      <c r="H135" s="110" t="n"/>
      <c r="I135" s="108" t="n"/>
      <c r="J135" s="110" t="n"/>
      <c r="K135" s="108" t="n"/>
      <c r="L135" s="108" t="n"/>
      <c r="M135" s="108" t="n"/>
      <c r="N135" s="109" t="n"/>
      <c r="O135" s="109" t="n"/>
      <c r="P135" s="107" t="n"/>
      <c r="Q135" s="107" t="n"/>
      <c r="R135" s="111" t="n"/>
      <c r="S135" s="112" t="n"/>
      <c r="T135" s="113" t="n"/>
      <c r="U135" s="102">
        <f>IF(S135="","",ROUND(S135*N(T135),2))</f>
        <v/>
      </c>
      <c r="V135" s="102">
        <f>IF(S135="","",S135+U135)</f>
        <v/>
      </c>
      <c r="W135" s="103">
        <f>IF(V135="","",ROUND(V135*IF(OR(Q135="",Q135="VND"),1,R135),0))</f>
        <v/>
      </c>
      <c r="X135" s="111" t="n"/>
      <c r="Y135" s="103">
        <f>IF(W135="","",W135+N(X135))</f>
        <v/>
      </c>
      <c r="Z135" s="103">
        <f>IF(B135="","",SUMIFS('NHAT KY THANH TOAN'!$G:$G,'NHAT KY THANH TOAN'!$B:$B,B135,'NHAT KY THANH TOAN'!$D:$D,"Hóa đơn"))</f>
        <v/>
      </c>
      <c r="AA135" s="103">
        <f>IF(B135="","",SUMIFS('NHAT KY THANH TOAN'!$G:$G,'NHAT KY THANH TOAN'!$B:$B,B135,'NHAT KY THANH TOAN'!$D:$D,"Thanh toán"))</f>
        <v/>
      </c>
      <c r="AB135" s="103">
        <f>IF(Y135="","",Y135-N(AA135))</f>
        <v/>
      </c>
      <c r="AC135" s="103">
        <f>IF(B135="","",N(Z135)-N(AA135))</f>
        <v/>
      </c>
      <c r="AD135" s="104">
        <f>IF(N(Y135)=0,"",N(AA135)/Y135)</f>
        <v/>
      </c>
      <c r="AE135" s="107" t="n"/>
      <c r="AF135" s="95">
        <f>IF(H135="","",TRIM(IF(AND(N(Y135)&gt;='THAM SO'!$B$10,AE135&lt;&gt;"Có"),"Chưa rà soát pháp lý; ","")&amp;IF(I135="","Thiếu MST đối tác; ","")&amp;IF(AG135="","Chưa ghi nơi lưu bản gốc; ","")&amp;IF(COUNTIFS('NHAT KY THANH TOAN'!$B:$B,B135,'NHAT KY THANH TOAN'!$D:$D,"Thanh toán",'NHAT KY THANH TOAN'!$F:$F,"Tiền mặt",'NHAT KY THANH TOAN'!$G:$G,"&gt;="&amp;'THAM SO'!$B$11)&gt;0,"Có khoản TT tiền mặt ≥ ngưỡng; ","")&amp;IF(AND(AB135&lt;&gt;"",N(AB135)&lt;0),"Thanh toán vượt giá trị HĐ; ","")))</f>
        <v/>
      </c>
      <c r="AG135" s="108" t="n"/>
      <c r="AH135" s="109" t="n"/>
      <c r="AI135" s="105">
        <f>IF(OR(H135="",O135="",AH135&lt;&gt;""),"",O135-'THAM SO'!$B$8)</f>
        <v/>
      </c>
      <c r="AJ135" s="95">
        <f>IF(H135="","",IF(AH135&lt;&gt;"","Đã thanh lý",IF(AND(N135&lt;&gt;"",N135&gt;'THAM SO'!$B$8),"Chưa hiệu lực",IF(O135="","Đang thực hiện",IF(O135&lt;'THAM SO'!$B$8,IF(P135="Có","Đã tự gia hạn – kiểm tra","Quá hạn – chưa thanh lý"),IF(O135-'THAM SO'!$B$8&lt;='THAM SO'!$B$9,"Sắp hết hạn","Đang thực hiện"))))))</f>
        <v/>
      </c>
      <c r="AK135" s="106">
        <f>IF(AND(O135="",AH135=""),"",EDATE(MAX(N(O135),N(AH135)),12*'THAM SO'!$B$12))</f>
        <v/>
      </c>
      <c r="AL135" s="110" t="n"/>
    </row>
    <row r="136" ht="15" customHeight="1" s="64">
      <c r="A136" s="93">
        <f>IF(H136="","",COUNTA($H$9:H136))</f>
        <v/>
      </c>
      <c r="B136" s="93">
        <f>IF(OR(D136="",G136=""),"",YEAR(G136)&amp;"/"&amp;D136&amp;"/"&amp;TEXT(SUMPRODUCT(($D$9:D136=D136)*(YEAR($G$9:G136)=YEAR(G136))),"000")&amp;"-"&amp;'THAM SO'!$B$7)</f>
        <v/>
      </c>
      <c r="C136" s="107" t="n"/>
      <c r="D136" s="107" t="n"/>
      <c r="E136" s="95">
        <f>IF(D136="","",IFERROR(VLOOKUP(D136,'THAM SO'!$D$6:$E$40,2,FALSE()),"Mã loại chưa khai báo"))</f>
        <v/>
      </c>
      <c r="F136" s="108" t="n"/>
      <c r="G136" s="109" t="n"/>
      <c r="H136" s="110" t="n"/>
      <c r="I136" s="108" t="n"/>
      <c r="J136" s="110" t="n"/>
      <c r="K136" s="108" t="n"/>
      <c r="L136" s="108" t="n"/>
      <c r="M136" s="108" t="n"/>
      <c r="N136" s="109" t="n"/>
      <c r="O136" s="109" t="n"/>
      <c r="P136" s="107" t="n"/>
      <c r="Q136" s="107" t="n"/>
      <c r="R136" s="111" t="n"/>
      <c r="S136" s="112" t="n"/>
      <c r="T136" s="113" t="n"/>
      <c r="U136" s="102">
        <f>IF(S136="","",ROUND(S136*N(T136),2))</f>
        <v/>
      </c>
      <c r="V136" s="102">
        <f>IF(S136="","",S136+U136)</f>
        <v/>
      </c>
      <c r="W136" s="103">
        <f>IF(V136="","",ROUND(V136*IF(OR(Q136="",Q136="VND"),1,R136),0))</f>
        <v/>
      </c>
      <c r="X136" s="111" t="n"/>
      <c r="Y136" s="103">
        <f>IF(W136="","",W136+N(X136))</f>
        <v/>
      </c>
      <c r="Z136" s="103">
        <f>IF(B136="","",SUMIFS('NHAT KY THANH TOAN'!$G:$G,'NHAT KY THANH TOAN'!$B:$B,B136,'NHAT KY THANH TOAN'!$D:$D,"Hóa đơn"))</f>
        <v/>
      </c>
      <c r="AA136" s="103">
        <f>IF(B136="","",SUMIFS('NHAT KY THANH TOAN'!$G:$G,'NHAT KY THANH TOAN'!$B:$B,B136,'NHAT KY THANH TOAN'!$D:$D,"Thanh toán"))</f>
        <v/>
      </c>
      <c r="AB136" s="103">
        <f>IF(Y136="","",Y136-N(AA136))</f>
        <v/>
      </c>
      <c r="AC136" s="103">
        <f>IF(B136="","",N(Z136)-N(AA136))</f>
        <v/>
      </c>
      <c r="AD136" s="104">
        <f>IF(N(Y136)=0,"",N(AA136)/Y136)</f>
        <v/>
      </c>
      <c r="AE136" s="107" t="n"/>
      <c r="AF136" s="95">
        <f>IF(H136="","",TRIM(IF(AND(N(Y136)&gt;='THAM SO'!$B$10,AE136&lt;&gt;"Có"),"Chưa rà soát pháp lý; ","")&amp;IF(I136="","Thiếu MST đối tác; ","")&amp;IF(AG136="","Chưa ghi nơi lưu bản gốc; ","")&amp;IF(COUNTIFS('NHAT KY THANH TOAN'!$B:$B,B136,'NHAT KY THANH TOAN'!$D:$D,"Thanh toán",'NHAT KY THANH TOAN'!$F:$F,"Tiền mặt",'NHAT KY THANH TOAN'!$G:$G,"&gt;="&amp;'THAM SO'!$B$11)&gt;0,"Có khoản TT tiền mặt ≥ ngưỡng; ","")&amp;IF(AND(AB136&lt;&gt;"",N(AB136)&lt;0),"Thanh toán vượt giá trị HĐ; ","")))</f>
        <v/>
      </c>
      <c r="AG136" s="108" t="n"/>
      <c r="AH136" s="109" t="n"/>
      <c r="AI136" s="105">
        <f>IF(OR(H136="",O136="",AH136&lt;&gt;""),"",O136-'THAM SO'!$B$8)</f>
        <v/>
      </c>
      <c r="AJ136" s="95">
        <f>IF(H136="","",IF(AH136&lt;&gt;"","Đã thanh lý",IF(AND(N136&lt;&gt;"",N136&gt;'THAM SO'!$B$8),"Chưa hiệu lực",IF(O136="","Đang thực hiện",IF(O136&lt;'THAM SO'!$B$8,IF(P136="Có","Đã tự gia hạn – kiểm tra","Quá hạn – chưa thanh lý"),IF(O136-'THAM SO'!$B$8&lt;='THAM SO'!$B$9,"Sắp hết hạn","Đang thực hiện"))))))</f>
        <v/>
      </c>
      <c r="AK136" s="106">
        <f>IF(AND(O136="",AH136=""),"",EDATE(MAX(N(O136),N(AH136)),12*'THAM SO'!$B$12))</f>
        <v/>
      </c>
      <c r="AL136" s="110" t="n"/>
    </row>
    <row r="137" ht="15" customHeight="1" s="64">
      <c r="A137" s="93">
        <f>IF(H137="","",COUNTA($H$9:H137))</f>
        <v/>
      </c>
      <c r="B137" s="93">
        <f>IF(OR(D137="",G137=""),"",YEAR(G137)&amp;"/"&amp;D137&amp;"/"&amp;TEXT(SUMPRODUCT(($D$9:D137=D137)*(YEAR($G$9:G137)=YEAR(G137))),"000")&amp;"-"&amp;'THAM SO'!$B$7)</f>
        <v/>
      </c>
      <c r="C137" s="107" t="n"/>
      <c r="D137" s="107" t="n"/>
      <c r="E137" s="95">
        <f>IF(D137="","",IFERROR(VLOOKUP(D137,'THAM SO'!$D$6:$E$40,2,FALSE()),"Mã loại chưa khai báo"))</f>
        <v/>
      </c>
      <c r="F137" s="108" t="n"/>
      <c r="G137" s="109" t="n"/>
      <c r="H137" s="110" t="n"/>
      <c r="I137" s="108" t="n"/>
      <c r="J137" s="110" t="n"/>
      <c r="K137" s="108" t="n"/>
      <c r="L137" s="108" t="n"/>
      <c r="M137" s="108" t="n"/>
      <c r="N137" s="109" t="n"/>
      <c r="O137" s="109" t="n"/>
      <c r="P137" s="107" t="n"/>
      <c r="Q137" s="107" t="n"/>
      <c r="R137" s="111" t="n"/>
      <c r="S137" s="112" t="n"/>
      <c r="T137" s="113" t="n"/>
      <c r="U137" s="102">
        <f>IF(S137="","",ROUND(S137*N(T137),2))</f>
        <v/>
      </c>
      <c r="V137" s="102">
        <f>IF(S137="","",S137+U137)</f>
        <v/>
      </c>
      <c r="W137" s="103">
        <f>IF(V137="","",ROUND(V137*IF(OR(Q137="",Q137="VND"),1,R137),0))</f>
        <v/>
      </c>
      <c r="X137" s="111" t="n"/>
      <c r="Y137" s="103">
        <f>IF(W137="","",W137+N(X137))</f>
        <v/>
      </c>
      <c r="Z137" s="103">
        <f>IF(B137="","",SUMIFS('NHAT KY THANH TOAN'!$G:$G,'NHAT KY THANH TOAN'!$B:$B,B137,'NHAT KY THANH TOAN'!$D:$D,"Hóa đơn"))</f>
        <v/>
      </c>
      <c r="AA137" s="103">
        <f>IF(B137="","",SUMIFS('NHAT KY THANH TOAN'!$G:$G,'NHAT KY THANH TOAN'!$B:$B,B137,'NHAT KY THANH TOAN'!$D:$D,"Thanh toán"))</f>
        <v/>
      </c>
      <c r="AB137" s="103">
        <f>IF(Y137="","",Y137-N(AA137))</f>
        <v/>
      </c>
      <c r="AC137" s="103">
        <f>IF(B137="","",N(Z137)-N(AA137))</f>
        <v/>
      </c>
      <c r="AD137" s="104">
        <f>IF(N(Y137)=0,"",N(AA137)/Y137)</f>
        <v/>
      </c>
      <c r="AE137" s="107" t="n"/>
      <c r="AF137" s="95">
        <f>IF(H137="","",TRIM(IF(AND(N(Y137)&gt;='THAM SO'!$B$10,AE137&lt;&gt;"Có"),"Chưa rà soát pháp lý; ","")&amp;IF(I137="","Thiếu MST đối tác; ","")&amp;IF(AG137="","Chưa ghi nơi lưu bản gốc; ","")&amp;IF(COUNTIFS('NHAT KY THANH TOAN'!$B:$B,B137,'NHAT KY THANH TOAN'!$D:$D,"Thanh toán",'NHAT KY THANH TOAN'!$F:$F,"Tiền mặt",'NHAT KY THANH TOAN'!$G:$G,"&gt;="&amp;'THAM SO'!$B$11)&gt;0,"Có khoản TT tiền mặt ≥ ngưỡng; ","")&amp;IF(AND(AB137&lt;&gt;"",N(AB137)&lt;0),"Thanh toán vượt giá trị HĐ; ","")))</f>
        <v/>
      </c>
      <c r="AG137" s="108" t="n"/>
      <c r="AH137" s="109" t="n"/>
      <c r="AI137" s="105">
        <f>IF(OR(H137="",O137="",AH137&lt;&gt;""),"",O137-'THAM SO'!$B$8)</f>
        <v/>
      </c>
      <c r="AJ137" s="95">
        <f>IF(H137="","",IF(AH137&lt;&gt;"","Đã thanh lý",IF(AND(N137&lt;&gt;"",N137&gt;'THAM SO'!$B$8),"Chưa hiệu lực",IF(O137="","Đang thực hiện",IF(O137&lt;'THAM SO'!$B$8,IF(P137="Có","Đã tự gia hạn – kiểm tra","Quá hạn – chưa thanh lý"),IF(O137-'THAM SO'!$B$8&lt;='THAM SO'!$B$9,"Sắp hết hạn","Đang thực hiện"))))))</f>
        <v/>
      </c>
      <c r="AK137" s="106">
        <f>IF(AND(O137="",AH137=""),"",EDATE(MAX(N(O137),N(AH137)),12*'THAM SO'!$B$12))</f>
        <v/>
      </c>
      <c r="AL137" s="110" t="n"/>
    </row>
    <row r="138" ht="15" customHeight="1" s="64">
      <c r="A138" s="93">
        <f>IF(H138="","",COUNTA($H$9:H138))</f>
        <v/>
      </c>
      <c r="B138" s="93">
        <f>IF(OR(D138="",G138=""),"",YEAR(G138)&amp;"/"&amp;D138&amp;"/"&amp;TEXT(SUMPRODUCT(($D$9:D138=D138)*(YEAR($G$9:G138)=YEAR(G138))),"000")&amp;"-"&amp;'THAM SO'!$B$7)</f>
        <v/>
      </c>
      <c r="C138" s="107" t="n"/>
      <c r="D138" s="107" t="n"/>
      <c r="E138" s="95">
        <f>IF(D138="","",IFERROR(VLOOKUP(D138,'THAM SO'!$D$6:$E$40,2,FALSE()),"Mã loại chưa khai báo"))</f>
        <v/>
      </c>
      <c r="F138" s="108" t="n"/>
      <c r="G138" s="109" t="n"/>
      <c r="H138" s="110" t="n"/>
      <c r="I138" s="108" t="n"/>
      <c r="J138" s="110" t="n"/>
      <c r="K138" s="108" t="n"/>
      <c r="L138" s="108" t="n"/>
      <c r="M138" s="108" t="n"/>
      <c r="N138" s="109" t="n"/>
      <c r="O138" s="109" t="n"/>
      <c r="P138" s="107" t="n"/>
      <c r="Q138" s="107" t="n"/>
      <c r="R138" s="111" t="n"/>
      <c r="S138" s="112" t="n"/>
      <c r="T138" s="113" t="n"/>
      <c r="U138" s="102">
        <f>IF(S138="","",ROUND(S138*N(T138),2))</f>
        <v/>
      </c>
      <c r="V138" s="102">
        <f>IF(S138="","",S138+U138)</f>
        <v/>
      </c>
      <c r="W138" s="103">
        <f>IF(V138="","",ROUND(V138*IF(OR(Q138="",Q138="VND"),1,R138),0))</f>
        <v/>
      </c>
      <c r="X138" s="111" t="n"/>
      <c r="Y138" s="103">
        <f>IF(W138="","",W138+N(X138))</f>
        <v/>
      </c>
      <c r="Z138" s="103">
        <f>IF(B138="","",SUMIFS('NHAT KY THANH TOAN'!$G:$G,'NHAT KY THANH TOAN'!$B:$B,B138,'NHAT KY THANH TOAN'!$D:$D,"Hóa đơn"))</f>
        <v/>
      </c>
      <c r="AA138" s="103">
        <f>IF(B138="","",SUMIFS('NHAT KY THANH TOAN'!$G:$G,'NHAT KY THANH TOAN'!$B:$B,B138,'NHAT KY THANH TOAN'!$D:$D,"Thanh toán"))</f>
        <v/>
      </c>
      <c r="AB138" s="103">
        <f>IF(Y138="","",Y138-N(AA138))</f>
        <v/>
      </c>
      <c r="AC138" s="103">
        <f>IF(B138="","",N(Z138)-N(AA138))</f>
        <v/>
      </c>
      <c r="AD138" s="104">
        <f>IF(N(Y138)=0,"",N(AA138)/Y138)</f>
        <v/>
      </c>
      <c r="AE138" s="107" t="n"/>
      <c r="AF138" s="95">
        <f>IF(H138="","",TRIM(IF(AND(N(Y138)&gt;='THAM SO'!$B$10,AE138&lt;&gt;"Có"),"Chưa rà soát pháp lý; ","")&amp;IF(I138="","Thiếu MST đối tác; ","")&amp;IF(AG138="","Chưa ghi nơi lưu bản gốc; ","")&amp;IF(COUNTIFS('NHAT KY THANH TOAN'!$B:$B,B138,'NHAT KY THANH TOAN'!$D:$D,"Thanh toán",'NHAT KY THANH TOAN'!$F:$F,"Tiền mặt",'NHAT KY THANH TOAN'!$G:$G,"&gt;="&amp;'THAM SO'!$B$11)&gt;0,"Có khoản TT tiền mặt ≥ ngưỡng; ","")&amp;IF(AND(AB138&lt;&gt;"",N(AB138)&lt;0),"Thanh toán vượt giá trị HĐ; ","")))</f>
        <v/>
      </c>
      <c r="AG138" s="108" t="n"/>
      <c r="AH138" s="109" t="n"/>
      <c r="AI138" s="105">
        <f>IF(OR(H138="",O138="",AH138&lt;&gt;""),"",O138-'THAM SO'!$B$8)</f>
        <v/>
      </c>
      <c r="AJ138" s="95">
        <f>IF(H138="","",IF(AH138&lt;&gt;"","Đã thanh lý",IF(AND(N138&lt;&gt;"",N138&gt;'THAM SO'!$B$8),"Chưa hiệu lực",IF(O138="","Đang thực hiện",IF(O138&lt;'THAM SO'!$B$8,IF(P138="Có","Đã tự gia hạn – kiểm tra","Quá hạn – chưa thanh lý"),IF(O138-'THAM SO'!$B$8&lt;='THAM SO'!$B$9,"Sắp hết hạn","Đang thực hiện"))))))</f>
        <v/>
      </c>
      <c r="AK138" s="106">
        <f>IF(AND(O138="",AH138=""),"",EDATE(MAX(N(O138),N(AH138)),12*'THAM SO'!$B$12))</f>
        <v/>
      </c>
      <c r="AL138" s="110" t="n"/>
    </row>
    <row r="139" ht="15" customHeight="1" s="64">
      <c r="A139" s="93">
        <f>IF(H139="","",COUNTA($H$9:H139))</f>
        <v/>
      </c>
      <c r="B139" s="93">
        <f>IF(OR(D139="",G139=""),"",YEAR(G139)&amp;"/"&amp;D139&amp;"/"&amp;TEXT(SUMPRODUCT(($D$9:D139=D139)*(YEAR($G$9:G139)=YEAR(G139))),"000")&amp;"-"&amp;'THAM SO'!$B$7)</f>
        <v/>
      </c>
      <c r="C139" s="107" t="n"/>
      <c r="D139" s="107" t="n"/>
      <c r="E139" s="95">
        <f>IF(D139="","",IFERROR(VLOOKUP(D139,'THAM SO'!$D$6:$E$40,2,FALSE()),"Mã loại chưa khai báo"))</f>
        <v/>
      </c>
      <c r="F139" s="108" t="n"/>
      <c r="G139" s="109" t="n"/>
      <c r="H139" s="110" t="n"/>
      <c r="I139" s="108" t="n"/>
      <c r="J139" s="110" t="n"/>
      <c r="K139" s="108" t="n"/>
      <c r="L139" s="108" t="n"/>
      <c r="M139" s="108" t="n"/>
      <c r="N139" s="109" t="n"/>
      <c r="O139" s="109" t="n"/>
      <c r="P139" s="107" t="n"/>
      <c r="Q139" s="107" t="n"/>
      <c r="R139" s="111" t="n"/>
      <c r="S139" s="112" t="n"/>
      <c r="T139" s="113" t="n"/>
      <c r="U139" s="102">
        <f>IF(S139="","",ROUND(S139*N(T139),2))</f>
        <v/>
      </c>
      <c r="V139" s="102">
        <f>IF(S139="","",S139+U139)</f>
        <v/>
      </c>
      <c r="W139" s="103">
        <f>IF(V139="","",ROUND(V139*IF(OR(Q139="",Q139="VND"),1,R139),0))</f>
        <v/>
      </c>
      <c r="X139" s="111" t="n"/>
      <c r="Y139" s="103">
        <f>IF(W139="","",W139+N(X139))</f>
        <v/>
      </c>
      <c r="Z139" s="103">
        <f>IF(B139="","",SUMIFS('NHAT KY THANH TOAN'!$G:$G,'NHAT KY THANH TOAN'!$B:$B,B139,'NHAT KY THANH TOAN'!$D:$D,"Hóa đơn"))</f>
        <v/>
      </c>
      <c r="AA139" s="103">
        <f>IF(B139="","",SUMIFS('NHAT KY THANH TOAN'!$G:$G,'NHAT KY THANH TOAN'!$B:$B,B139,'NHAT KY THANH TOAN'!$D:$D,"Thanh toán"))</f>
        <v/>
      </c>
      <c r="AB139" s="103">
        <f>IF(Y139="","",Y139-N(AA139))</f>
        <v/>
      </c>
      <c r="AC139" s="103">
        <f>IF(B139="","",N(Z139)-N(AA139))</f>
        <v/>
      </c>
      <c r="AD139" s="104">
        <f>IF(N(Y139)=0,"",N(AA139)/Y139)</f>
        <v/>
      </c>
      <c r="AE139" s="107" t="n"/>
      <c r="AF139" s="95">
        <f>IF(H139="","",TRIM(IF(AND(N(Y139)&gt;='THAM SO'!$B$10,AE139&lt;&gt;"Có"),"Chưa rà soát pháp lý; ","")&amp;IF(I139="","Thiếu MST đối tác; ","")&amp;IF(AG139="","Chưa ghi nơi lưu bản gốc; ","")&amp;IF(COUNTIFS('NHAT KY THANH TOAN'!$B:$B,B139,'NHAT KY THANH TOAN'!$D:$D,"Thanh toán",'NHAT KY THANH TOAN'!$F:$F,"Tiền mặt",'NHAT KY THANH TOAN'!$G:$G,"&gt;="&amp;'THAM SO'!$B$11)&gt;0,"Có khoản TT tiền mặt ≥ ngưỡng; ","")&amp;IF(AND(AB139&lt;&gt;"",N(AB139)&lt;0),"Thanh toán vượt giá trị HĐ; ","")))</f>
        <v/>
      </c>
      <c r="AG139" s="108" t="n"/>
      <c r="AH139" s="109" t="n"/>
      <c r="AI139" s="105">
        <f>IF(OR(H139="",O139="",AH139&lt;&gt;""),"",O139-'THAM SO'!$B$8)</f>
        <v/>
      </c>
      <c r="AJ139" s="95">
        <f>IF(H139="","",IF(AH139&lt;&gt;"","Đã thanh lý",IF(AND(N139&lt;&gt;"",N139&gt;'THAM SO'!$B$8),"Chưa hiệu lực",IF(O139="","Đang thực hiện",IF(O139&lt;'THAM SO'!$B$8,IF(P139="Có","Đã tự gia hạn – kiểm tra","Quá hạn – chưa thanh lý"),IF(O139-'THAM SO'!$B$8&lt;='THAM SO'!$B$9,"Sắp hết hạn","Đang thực hiện"))))))</f>
        <v/>
      </c>
      <c r="AK139" s="106">
        <f>IF(AND(O139="",AH139=""),"",EDATE(MAX(N(O139),N(AH139)),12*'THAM SO'!$B$12))</f>
        <v/>
      </c>
      <c r="AL139" s="110" t="n"/>
    </row>
    <row r="140" ht="15" customHeight="1" s="64">
      <c r="A140" s="93">
        <f>IF(H140="","",COUNTA($H$9:H140))</f>
        <v/>
      </c>
      <c r="B140" s="93">
        <f>IF(OR(D140="",G140=""),"",YEAR(G140)&amp;"/"&amp;D140&amp;"/"&amp;TEXT(SUMPRODUCT(($D$9:D140=D140)*(YEAR($G$9:G140)=YEAR(G140))),"000")&amp;"-"&amp;'THAM SO'!$B$7)</f>
        <v/>
      </c>
      <c r="C140" s="107" t="n"/>
      <c r="D140" s="107" t="n"/>
      <c r="E140" s="95">
        <f>IF(D140="","",IFERROR(VLOOKUP(D140,'THAM SO'!$D$6:$E$40,2,FALSE()),"Mã loại chưa khai báo"))</f>
        <v/>
      </c>
      <c r="F140" s="108" t="n"/>
      <c r="G140" s="109" t="n"/>
      <c r="H140" s="110" t="n"/>
      <c r="I140" s="108" t="n"/>
      <c r="J140" s="110" t="n"/>
      <c r="K140" s="108" t="n"/>
      <c r="L140" s="108" t="n"/>
      <c r="M140" s="108" t="n"/>
      <c r="N140" s="109" t="n"/>
      <c r="O140" s="109" t="n"/>
      <c r="P140" s="107" t="n"/>
      <c r="Q140" s="107" t="n"/>
      <c r="R140" s="111" t="n"/>
      <c r="S140" s="112" t="n"/>
      <c r="T140" s="113" t="n"/>
      <c r="U140" s="102">
        <f>IF(S140="","",ROUND(S140*N(T140),2))</f>
        <v/>
      </c>
      <c r="V140" s="102">
        <f>IF(S140="","",S140+U140)</f>
        <v/>
      </c>
      <c r="W140" s="103">
        <f>IF(V140="","",ROUND(V140*IF(OR(Q140="",Q140="VND"),1,R140),0))</f>
        <v/>
      </c>
      <c r="X140" s="111" t="n"/>
      <c r="Y140" s="103">
        <f>IF(W140="","",W140+N(X140))</f>
        <v/>
      </c>
      <c r="Z140" s="103">
        <f>IF(B140="","",SUMIFS('NHAT KY THANH TOAN'!$G:$G,'NHAT KY THANH TOAN'!$B:$B,B140,'NHAT KY THANH TOAN'!$D:$D,"Hóa đơn"))</f>
        <v/>
      </c>
      <c r="AA140" s="103">
        <f>IF(B140="","",SUMIFS('NHAT KY THANH TOAN'!$G:$G,'NHAT KY THANH TOAN'!$B:$B,B140,'NHAT KY THANH TOAN'!$D:$D,"Thanh toán"))</f>
        <v/>
      </c>
      <c r="AB140" s="103">
        <f>IF(Y140="","",Y140-N(AA140))</f>
        <v/>
      </c>
      <c r="AC140" s="103">
        <f>IF(B140="","",N(Z140)-N(AA140))</f>
        <v/>
      </c>
      <c r="AD140" s="104">
        <f>IF(N(Y140)=0,"",N(AA140)/Y140)</f>
        <v/>
      </c>
      <c r="AE140" s="107" t="n"/>
      <c r="AF140" s="95">
        <f>IF(H140="","",TRIM(IF(AND(N(Y140)&gt;='THAM SO'!$B$10,AE140&lt;&gt;"Có"),"Chưa rà soát pháp lý; ","")&amp;IF(I140="","Thiếu MST đối tác; ","")&amp;IF(AG140="","Chưa ghi nơi lưu bản gốc; ","")&amp;IF(COUNTIFS('NHAT KY THANH TOAN'!$B:$B,B140,'NHAT KY THANH TOAN'!$D:$D,"Thanh toán",'NHAT KY THANH TOAN'!$F:$F,"Tiền mặt",'NHAT KY THANH TOAN'!$G:$G,"&gt;="&amp;'THAM SO'!$B$11)&gt;0,"Có khoản TT tiền mặt ≥ ngưỡng; ","")&amp;IF(AND(AB140&lt;&gt;"",N(AB140)&lt;0),"Thanh toán vượt giá trị HĐ; ","")))</f>
        <v/>
      </c>
      <c r="AG140" s="108" t="n"/>
      <c r="AH140" s="109" t="n"/>
      <c r="AI140" s="105">
        <f>IF(OR(H140="",O140="",AH140&lt;&gt;""),"",O140-'THAM SO'!$B$8)</f>
        <v/>
      </c>
      <c r="AJ140" s="95">
        <f>IF(H140="","",IF(AH140&lt;&gt;"","Đã thanh lý",IF(AND(N140&lt;&gt;"",N140&gt;'THAM SO'!$B$8),"Chưa hiệu lực",IF(O140="","Đang thực hiện",IF(O140&lt;'THAM SO'!$B$8,IF(P140="Có","Đã tự gia hạn – kiểm tra","Quá hạn – chưa thanh lý"),IF(O140-'THAM SO'!$B$8&lt;='THAM SO'!$B$9,"Sắp hết hạn","Đang thực hiện"))))))</f>
        <v/>
      </c>
      <c r="AK140" s="106">
        <f>IF(AND(O140="",AH140=""),"",EDATE(MAX(N(O140),N(AH140)),12*'THAM SO'!$B$12))</f>
        <v/>
      </c>
      <c r="AL140" s="110" t="n"/>
    </row>
    <row r="141" ht="15" customHeight="1" s="64">
      <c r="A141" s="93">
        <f>IF(H141="","",COUNTA($H$9:H141))</f>
        <v/>
      </c>
      <c r="B141" s="93">
        <f>IF(OR(D141="",G141=""),"",YEAR(G141)&amp;"/"&amp;D141&amp;"/"&amp;TEXT(SUMPRODUCT(($D$9:D141=D141)*(YEAR($G$9:G141)=YEAR(G141))),"000")&amp;"-"&amp;'THAM SO'!$B$7)</f>
        <v/>
      </c>
      <c r="C141" s="107" t="n"/>
      <c r="D141" s="107" t="n"/>
      <c r="E141" s="95">
        <f>IF(D141="","",IFERROR(VLOOKUP(D141,'THAM SO'!$D$6:$E$40,2,FALSE()),"Mã loại chưa khai báo"))</f>
        <v/>
      </c>
      <c r="F141" s="108" t="n"/>
      <c r="G141" s="109" t="n"/>
      <c r="H141" s="110" t="n"/>
      <c r="I141" s="108" t="n"/>
      <c r="J141" s="110" t="n"/>
      <c r="K141" s="108" t="n"/>
      <c r="L141" s="108" t="n"/>
      <c r="M141" s="108" t="n"/>
      <c r="N141" s="109" t="n"/>
      <c r="O141" s="109" t="n"/>
      <c r="P141" s="107" t="n"/>
      <c r="Q141" s="107" t="n"/>
      <c r="R141" s="111" t="n"/>
      <c r="S141" s="112" t="n"/>
      <c r="T141" s="113" t="n"/>
      <c r="U141" s="102">
        <f>IF(S141="","",ROUND(S141*N(T141),2))</f>
        <v/>
      </c>
      <c r="V141" s="102">
        <f>IF(S141="","",S141+U141)</f>
        <v/>
      </c>
      <c r="W141" s="103">
        <f>IF(V141="","",ROUND(V141*IF(OR(Q141="",Q141="VND"),1,R141),0))</f>
        <v/>
      </c>
      <c r="X141" s="111" t="n"/>
      <c r="Y141" s="103">
        <f>IF(W141="","",W141+N(X141))</f>
        <v/>
      </c>
      <c r="Z141" s="103">
        <f>IF(B141="","",SUMIFS('NHAT KY THANH TOAN'!$G:$G,'NHAT KY THANH TOAN'!$B:$B,B141,'NHAT KY THANH TOAN'!$D:$D,"Hóa đơn"))</f>
        <v/>
      </c>
      <c r="AA141" s="103">
        <f>IF(B141="","",SUMIFS('NHAT KY THANH TOAN'!$G:$G,'NHAT KY THANH TOAN'!$B:$B,B141,'NHAT KY THANH TOAN'!$D:$D,"Thanh toán"))</f>
        <v/>
      </c>
      <c r="AB141" s="103">
        <f>IF(Y141="","",Y141-N(AA141))</f>
        <v/>
      </c>
      <c r="AC141" s="103">
        <f>IF(B141="","",N(Z141)-N(AA141))</f>
        <v/>
      </c>
      <c r="AD141" s="104">
        <f>IF(N(Y141)=0,"",N(AA141)/Y141)</f>
        <v/>
      </c>
      <c r="AE141" s="107" t="n"/>
      <c r="AF141" s="95">
        <f>IF(H141="","",TRIM(IF(AND(N(Y141)&gt;='THAM SO'!$B$10,AE141&lt;&gt;"Có"),"Chưa rà soát pháp lý; ","")&amp;IF(I141="","Thiếu MST đối tác; ","")&amp;IF(AG141="","Chưa ghi nơi lưu bản gốc; ","")&amp;IF(COUNTIFS('NHAT KY THANH TOAN'!$B:$B,B141,'NHAT KY THANH TOAN'!$D:$D,"Thanh toán",'NHAT KY THANH TOAN'!$F:$F,"Tiền mặt",'NHAT KY THANH TOAN'!$G:$G,"&gt;="&amp;'THAM SO'!$B$11)&gt;0,"Có khoản TT tiền mặt ≥ ngưỡng; ","")&amp;IF(AND(AB141&lt;&gt;"",N(AB141)&lt;0),"Thanh toán vượt giá trị HĐ; ","")))</f>
        <v/>
      </c>
      <c r="AG141" s="108" t="n"/>
      <c r="AH141" s="109" t="n"/>
      <c r="AI141" s="105">
        <f>IF(OR(H141="",O141="",AH141&lt;&gt;""),"",O141-'THAM SO'!$B$8)</f>
        <v/>
      </c>
      <c r="AJ141" s="95">
        <f>IF(H141="","",IF(AH141&lt;&gt;"","Đã thanh lý",IF(AND(N141&lt;&gt;"",N141&gt;'THAM SO'!$B$8),"Chưa hiệu lực",IF(O141="","Đang thực hiện",IF(O141&lt;'THAM SO'!$B$8,IF(P141="Có","Đã tự gia hạn – kiểm tra","Quá hạn – chưa thanh lý"),IF(O141-'THAM SO'!$B$8&lt;='THAM SO'!$B$9,"Sắp hết hạn","Đang thực hiện"))))))</f>
        <v/>
      </c>
      <c r="AK141" s="106">
        <f>IF(AND(O141="",AH141=""),"",EDATE(MAX(N(O141),N(AH141)),12*'THAM SO'!$B$12))</f>
        <v/>
      </c>
      <c r="AL141" s="110" t="n"/>
    </row>
    <row r="142" ht="15" customHeight="1" s="64">
      <c r="A142" s="93">
        <f>IF(H142="","",COUNTA($H$9:H142))</f>
        <v/>
      </c>
      <c r="B142" s="93">
        <f>IF(OR(D142="",G142=""),"",YEAR(G142)&amp;"/"&amp;D142&amp;"/"&amp;TEXT(SUMPRODUCT(($D$9:D142=D142)*(YEAR($G$9:G142)=YEAR(G142))),"000")&amp;"-"&amp;'THAM SO'!$B$7)</f>
        <v/>
      </c>
      <c r="C142" s="107" t="n"/>
      <c r="D142" s="107" t="n"/>
      <c r="E142" s="95">
        <f>IF(D142="","",IFERROR(VLOOKUP(D142,'THAM SO'!$D$6:$E$40,2,FALSE()),"Mã loại chưa khai báo"))</f>
        <v/>
      </c>
      <c r="F142" s="108" t="n"/>
      <c r="G142" s="109" t="n"/>
      <c r="H142" s="110" t="n"/>
      <c r="I142" s="108" t="n"/>
      <c r="J142" s="110" t="n"/>
      <c r="K142" s="108" t="n"/>
      <c r="L142" s="108" t="n"/>
      <c r="M142" s="108" t="n"/>
      <c r="N142" s="109" t="n"/>
      <c r="O142" s="109" t="n"/>
      <c r="P142" s="107" t="n"/>
      <c r="Q142" s="107" t="n"/>
      <c r="R142" s="111" t="n"/>
      <c r="S142" s="112" t="n"/>
      <c r="T142" s="113" t="n"/>
      <c r="U142" s="102">
        <f>IF(S142="","",ROUND(S142*N(T142),2))</f>
        <v/>
      </c>
      <c r="V142" s="102">
        <f>IF(S142="","",S142+U142)</f>
        <v/>
      </c>
      <c r="W142" s="103">
        <f>IF(V142="","",ROUND(V142*IF(OR(Q142="",Q142="VND"),1,R142),0))</f>
        <v/>
      </c>
      <c r="X142" s="111" t="n"/>
      <c r="Y142" s="103">
        <f>IF(W142="","",W142+N(X142))</f>
        <v/>
      </c>
      <c r="Z142" s="103">
        <f>IF(B142="","",SUMIFS('NHAT KY THANH TOAN'!$G:$G,'NHAT KY THANH TOAN'!$B:$B,B142,'NHAT KY THANH TOAN'!$D:$D,"Hóa đơn"))</f>
        <v/>
      </c>
      <c r="AA142" s="103">
        <f>IF(B142="","",SUMIFS('NHAT KY THANH TOAN'!$G:$G,'NHAT KY THANH TOAN'!$B:$B,B142,'NHAT KY THANH TOAN'!$D:$D,"Thanh toán"))</f>
        <v/>
      </c>
      <c r="AB142" s="103">
        <f>IF(Y142="","",Y142-N(AA142))</f>
        <v/>
      </c>
      <c r="AC142" s="103">
        <f>IF(B142="","",N(Z142)-N(AA142))</f>
        <v/>
      </c>
      <c r="AD142" s="104">
        <f>IF(N(Y142)=0,"",N(AA142)/Y142)</f>
        <v/>
      </c>
      <c r="AE142" s="107" t="n"/>
      <c r="AF142" s="95">
        <f>IF(H142="","",TRIM(IF(AND(N(Y142)&gt;='THAM SO'!$B$10,AE142&lt;&gt;"Có"),"Chưa rà soát pháp lý; ","")&amp;IF(I142="","Thiếu MST đối tác; ","")&amp;IF(AG142="","Chưa ghi nơi lưu bản gốc; ","")&amp;IF(COUNTIFS('NHAT KY THANH TOAN'!$B:$B,B142,'NHAT KY THANH TOAN'!$D:$D,"Thanh toán",'NHAT KY THANH TOAN'!$F:$F,"Tiền mặt",'NHAT KY THANH TOAN'!$G:$G,"&gt;="&amp;'THAM SO'!$B$11)&gt;0,"Có khoản TT tiền mặt ≥ ngưỡng; ","")&amp;IF(AND(AB142&lt;&gt;"",N(AB142)&lt;0),"Thanh toán vượt giá trị HĐ; ","")))</f>
        <v/>
      </c>
      <c r="AG142" s="108" t="n"/>
      <c r="AH142" s="109" t="n"/>
      <c r="AI142" s="105">
        <f>IF(OR(H142="",O142="",AH142&lt;&gt;""),"",O142-'THAM SO'!$B$8)</f>
        <v/>
      </c>
      <c r="AJ142" s="95">
        <f>IF(H142="","",IF(AH142&lt;&gt;"","Đã thanh lý",IF(AND(N142&lt;&gt;"",N142&gt;'THAM SO'!$B$8),"Chưa hiệu lực",IF(O142="","Đang thực hiện",IF(O142&lt;'THAM SO'!$B$8,IF(P142="Có","Đã tự gia hạn – kiểm tra","Quá hạn – chưa thanh lý"),IF(O142-'THAM SO'!$B$8&lt;='THAM SO'!$B$9,"Sắp hết hạn","Đang thực hiện"))))))</f>
        <v/>
      </c>
      <c r="AK142" s="106">
        <f>IF(AND(O142="",AH142=""),"",EDATE(MAX(N(O142),N(AH142)),12*'THAM SO'!$B$12))</f>
        <v/>
      </c>
      <c r="AL142" s="110" t="n"/>
    </row>
    <row r="143" ht="15" customHeight="1" s="64">
      <c r="A143" s="93">
        <f>IF(H143="","",COUNTA($H$9:H143))</f>
        <v/>
      </c>
      <c r="B143" s="93">
        <f>IF(OR(D143="",G143=""),"",YEAR(G143)&amp;"/"&amp;D143&amp;"/"&amp;TEXT(SUMPRODUCT(($D$9:D143=D143)*(YEAR($G$9:G143)=YEAR(G143))),"000")&amp;"-"&amp;'THAM SO'!$B$7)</f>
        <v/>
      </c>
      <c r="C143" s="107" t="n"/>
      <c r="D143" s="107" t="n"/>
      <c r="E143" s="95">
        <f>IF(D143="","",IFERROR(VLOOKUP(D143,'THAM SO'!$D$6:$E$40,2,FALSE()),"Mã loại chưa khai báo"))</f>
        <v/>
      </c>
      <c r="F143" s="108" t="n"/>
      <c r="G143" s="109" t="n"/>
      <c r="H143" s="110" t="n"/>
      <c r="I143" s="108" t="n"/>
      <c r="J143" s="110" t="n"/>
      <c r="K143" s="108" t="n"/>
      <c r="L143" s="108" t="n"/>
      <c r="M143" s="108" t="n"/>
      <c r="N143" s="109" t="n"/>
      <c r="O143" s="109" t="n"/>
      <c r="P143" s="107" t="n"/>
      <c r="Q143" s="107" t="n"/>
      <c r="R143" s="111" t="n"/>
      <c r="S143" s="112" t="n"/>
      <c r="T143" s="113" t="n"/>
      <c r="U143" s="102">
        <f>IF(S143="","",ROUND(S143*N(T143),2))</f>
        <v/>
      </c>
      <c r="V143" s="102">
        <f>IF(S143="","",S143+U143)</f>
        <v/>
      </c>
      <c r="W143" s="103">
        <f>IF(V143="","",ROUND(V143*IF(OR(Q143="",Q143="VND"),1,R143),0))</f>
        <v/>
      </c>
      <c r="X143" s="111" t="n"/>
      <c r="Y143" s="103">
        <f>IF(W143="","",W143+N(X143))</f>
        <v/>
      </c>
      <c r="Z143" s="103">
        <f>IF(B143="","",SUMIFS('NHAT KY THANH TOAN'!$G:$G,'NHAT KY THANH TOAN'!$B:$B,B143,'NHAT KY THANH TOAN'!$D:$D,"Hóa đơn"))</f>
        <v/>
      </c>
      <c r="AA143" s="103">
        <f>IF(B143="","",SUMIFS('NHAT KY THANH TOAN'!$G:$G,'NHAT KY THANH TOAN'!$B:$B,B143,'NHAT KY THANH TOAN'!$D:$D,"Thanh toán"))</f>
        <v/>
      </c>
      <c r="AB143" s="103">
        <f>IF(Y143="","",Y143-N(AA143))</f>
        <v/>
      </c>
      <c r="AC143" s="103">
        <f>IF(B143="","",N(Z143)-N(AA143))</f>
        <v/>
      </c>
      <c r="AD143" s="104">
        <f>IF(N(Y143)=0,"",N(AA143)/Y143)</f>
        <v/>
      </c>
      <c r="AE143" s="107" t="n"/>
      <c r="AF143" s="95">
        <f>IF(H143="","",TRIM(IF(AND(N(Y143)&gt;='THAM SO'!$B$10,AE143&lt;&gt;"Có"),"Chưa rà soát pháp lý; ","")&amp;IF(I143="","Thiếu MST đối tác; ","")&amp;IF(AG143="","Chưa ghi nơi lưu bản gốc; ","")&amp;IF(COUNTIFS('NHAT KY THANH TOAN'!$B:$B,B143,'NHAT KY THANH TOAN'!$D:$D,"Thanh toán",'NHAT KY THANH TOAN'!$F:$F,"Tiền mặt",'NHAT KY THANH TOAN'!$G:$G,"&gt;="&amp;'THAM SO'!$B$11)&gt;0,"Có khoản TT tiền mặt ≥ ngưỡng; ","")&amp;IF(AND(AB143&lt;&gt;"",N(AB143)&lt;0),"Thanh toán vượt giá trị HĐ; ","")))</f>
        <v/>
      </c>
      <c r="AG143" s="108" t="n"/>
      <c r="AH143" s="109" t="n"/>
      <c r="AI143" s="105">
        <f>IF(OR(H143="",O143="",AH143&lt;&gt;""),"",O143-'THAM SO'!$B$8)</f>
        <v/>
      </c>
      <c r="AJ143" s="95">
        <f>IF(H143="","",IF(AH143&lt;&gt;"","Đã thanh lý",IF(AND(N143&lt;&gt;"",N143&gt;'THAM SO'!$B$8),"Chưa hiệu lực",IF(O143="","Đang thực hiện",IF(O143&lt;'THAM SO'!$B$8,IF(P143="Có","Đã tự gia hạn – kiểm tra","Quá hạn – chưa thanh lý"),IF(O143-'THAM SO'!$B$8&lt;='THAM SO'!$B$9,"Sắp hết hạn","Đang thực hiện"))))))</f>
        <v/>
      </c>
      <c r="AK143" s="106">
        <f>IF(AND(O143="",AH143=""),"",EDATE(MAX(N(O143),N(AH143)),12*'THAM SO'!$B$12))</f>
        <v/>
      </c>
      <c r="AL143" s="110" t="n"/>
    </row>
    <row r="144" ht="15" customHeight="1" s="64">
      <c r="A144" s="93">
        <f>IF(H144="","",COUNTA($H$9:H144))</f>
        <v/>
      </c>
      <c r="B144" s="93">
        <f>IF(OR(D144="",G144=""),"",YEAR(G144)&amp;"/"&amp;D144&amp;"/"&amp;TEXT(SUMPRODUCT(($D$9:D144=D144)*(YEAR($G$9:G144)=YEAR(G144))),"000")&amp;"-"&amp;'THAM SO'!$B$7)</f>
        <v/>
      </c>
      <c r="C144" s="107" t="n"/>
      <c r="D144" s="107" t="n"/>
      <c r="E144" s="95">
        <f>IF(D144="","",IFERROR(VLOOKUP(D144,'THAM SO'!$D$6:$E$40,2,FALSE()),"Mã loại chưa khai báo"))</f>
        <v/>
      </c>
      <c r="F144" s="108" t="n"/>
      <c r="G144" s="109" t="n"/>
      <c r="H144" s="110" t="n"/>
      <c r="I144" s="108" t="n"/>
      <c r="J144" s="110" t="n"/>
      <c r="K144" s="108" t="n"/>
      <c r="L144" s="108" t="n"/>
      <c r="M144" s="108" t="n"/>
      <c r="N144" s="109" t="n"/>
      <c r="O144" s="109" t="n"/>
      <c r="P144" s="107" t="n"/>
      <c r="Q144" s="107" t="n"/>
      <c r="R144" s="111" t="n"/>
      <c r="S144" s="112" t="n"/>
      <c r="T144" s="113" t="n"/>
      <c r="U144" s="102">
        <f>IF(S144="","",ROUND(S144*N(T144),2))</f>
        <v/>
      </c>
      <c r="V144" s="102">
        <f>IF(S144="","",S144+U144)</f>
        <v/>
      </c>
      <c r="W144" s="103">
        <f>IF(V144="","",ROUND(V144*IF(OR(Q144="",Q144="VND"),1,R144),0))</f>
        <v/>
      </c>
      <c r="X144" s="111" t="n"/>
      <c r="Y144" s="103">
        <f>IF(W144="","",W144+N(X144))</f>
        <v/>
      </c>
      <c r="Z144" s="103">
        <f>IF(B144="","",SUMIFS('NHAT KY THANH TOAN'!$G:$G,'NHAT KY THANH TOAN'!$B:$B,B144,'NHAT KY THANH TOAN'!$D:$D,"Hóa đơn"))</f>
        <v/>
      </c>
      <c r="AA144" s="103">
        <f>IF(B144="","",SUMIFS('NHAT KY THANH TOAN'!$G:$G,'NHAT KY THANH TOAN'!$B:$B,B144,'NHAT KY THANH TOAN'!$D:$D,"Thanh toán"))</f>
        <v/>
      </c>
      <c r="AB144" s="103">
        <f>IF(Y144="","",Y144-N(AA144))</f>
        <v/>
      </c>
      <c r="AC144" s="103">
        <f>IF(B144="","",N(Z144)-N(AA144))</f>
        <v/>
      </c>
      <c r="AD144" s="104">
        <f>IF(N(Y144)=0,"",N(AA144)/Y144)</f>
        <v/>
      </c>
      <c r="AE144" s="107" t="n"/>
      <c r="AF144" s="95">
        <f>IF(H144="","",TRIM(IF(AND(N(Y144)&gt;='THAM SO'!$B$10,AE144&lt;&gt;"Có"),"Chưa rà soát pháp lý; ","")&amp;IF(I144="","Thiếu MST đối tác; ","")&amp;IF(AG144="","Chưa ghi nơi lưu bản gốc; ","")&amp;IF(COUNTIFS('NHAT KY THANH TOAN'!$B:$B,B144,'NHAT KY THANH TOAN'!$D:$D,"Thanh toán",'NHAT KY THANH TOAN'!$F:$F,"Tiền mặt",'NHAT KY THANH TOAN'!$G:$G,"&gt;="&amp;'THAM SO'!$B$11)&gt;0,"Có khoản TT tiền mặt ≥ ngưỡng; ","")&amp;IF(AND(AB144&lt;&gt;"",N(AB144)&lt;0),"Thanh toán vượt giá trị HĐ; ","")))</f>
        <v/>
      </c>
      <c r="AG144" s="108" t="n"/>
      <c r="AH144" s="109" t="n"/>
      <c r="AI144" s="105">
        <f>IF(OR(H144="",O144="",AH144&lt;&gt;""),"",O144-'THAM SO'!$B$8)</f>
        <v/>
      </c>
      <c r="AJ144" s="95">
        <f>IF(H144="","",IF(AH144&lt;&gt;"","Đã thanh lý",IF(AND(N144&lt;&gt;"",N144&gt;'THAM SO'!$B$8),"Chưa hiệu lực",IF(O144="","Đang thực hiện",IF(O144&lt;'THAM SO'!$B$8,IF(P144="Có","Đã tự gia hạn – kiểm tra","Quá hạn – chưa thanh lý"),IF(O144-'THAM SO'!$B$8&lt;='THAM SO'!$B$9,"Sắp hết hạn","Đang thực hiện"))))))</f>
        <v/>
      </c>
      <c r="AK144" s="106">
        <f>IF(AND(O144="",AH144=""),"",EDATE(MAX(N(O144),N(AH144)),12*'THAM SO'!$B$12))</f>
        <v/>
      </c>
      <c r="AL144" s="110" t="n"/>
    </row>
    <row r="145" ht="15" customHeight="1" s="64">
      <c r="A145" s="93">
        <f>IF(H145="","",COUNTA($H$9:H145))</f>
        <v/>
      </c>
      <c r="B145" s="93">
        <f>IF(OR(D145="",G145=""),"",YEAR(G145)&amp;"/"&amp;D145&amp;"/"&amp;TEXT(SUMPRODUCT(($D$9:D145=D145)*(YEAR($G$9:G145)=YEAR(G145))),"000")&amp;"-"&amp;'THAM SO'!$B$7)</f>
        <v/>
      </c>
      <c r="C145" s="107" t="n"/>
      <c r="D145" s="107" t="n"/>
      <c r="E145" s="95">
        <f>IF(D145="","",IFERROR(VLOOKUP(D145,'THAM SO'!$D$6:$E$40,2,FALSE()),"Mã loại chưa khai báo"))</f>
        <v/>
      </c>
      <c r="F145" s="108" t="n"/>
      <c r="G145" s="109" t="n"/>
      <c r="H145" s="110" t="n"/>
      <c r="I145" s="108" t="n"/>
      <c r="J145" s="110" t="n"/>
      <c r="K145" s="108" t="n"/>
      <c r="L145" s="108" t="n"/>
      <c r="M145" s="108" t="n"/>
      <c r="N145" s="109" t="n"/>
      <c r="O145" s="109" t="n"/>
      <c r="P145" s="107" t="n"/>
      <c r="Q145" s="107" t="n"/>
      <c r="R145" s="111" t="n"/>
      <c r="S145" s="112" t="n"/>
      <c r="T145" s="113" t="n"/>
      <c r="U145" s="102">
        <f>IF(S145="","",ROUND(S145*N(T145),2))</f>
        <v/>
      </c>
      <c r="V145" s="102">
        <f>IF(S145="","",S145+U145)</f>
        <v/>
      </c>
      <c r="W145" s="103">
        <f>IF(V145="","",ROUND(V145*IF(OR(Q145="",Q145="VND"),1,R145),0))</f>
        <v/>
      </c>
      <c r="X145" s="111" t="n"/>
      <c r="Y145" s="103">
        <f>IF(W145="","",W145+N(X145))</f>
        <v/>
      </c>
      <c r="Z145" s="103">
        <f>IF(B145="","",SUMIFS('NHAT KY THANH TOAN'!$G:$G,'NHAT KY THANH TOAN'!$B:$B,B145,'NHAT KY THANH TOAN'!$D:$D,"Hóa đơn"))</f>
        <v/>
      </c>
      <c r="AA145" s="103">
        <f>IF(B145="","",SUMIFS('NHAT KY THANH TOAN'!$G:$G,'NHAT KY THANH TOAN'!$B:$B,B145,'NHAT KY THANH TOAN'!$D:$D,"Thanh toán"))</f>
        <v/>
      </c>
      <c r="AB145" s="103">
        <f>IF(Y145="","",Y145-N(AA145))</f>
        <v/>
      </c>
      <c r="AC145" s="103">
        <f>IF(B145="","",N(Z145)-N(AA145))</f>
        <v/>
      </c>
      <c r="AD145" s="104">
        <f>IF(N(Y145)=0,"",N(AA145)/Y145)</f>
        <v/>
      </c>
      <c r="AE145" s="107" t="n"/>
      <c r="AF145" s="95">
        <f>IF(H145="","",TRIM(IF(AND(N(Y145)&gt;='THAM SO'!$B$10,AE145&lt;&gt;"Có"),"Chưa rà soát pháp lý; ","")&amp;IF(I145="","Thiếu MST đối tác; ","")&amp;IF(AG145="","Chưa ghi nơi lưu bản gốc; ","")&amp;IF(COUNTIFS('NHAT KY THANH TOAN'!$B:$B,B145,'NHAT KY THANH TOAN'!$D:$D,"Thanh toán",'NHAT KY THANH TOAN'!$F:$F,"Tiền mặt",'NHAT KY THANH TOAN'!$G:$G,"&gt;="&amp;'THAM SO'!$B$11)&gt;0,"Có khoản TT tiền mặt ≥ ngưỡng; ","")&amp;IF(AND(AB145&lt;&gt;"",N(AB145)&lt;0),"Thanh toán vượt giá trị HĐ; ","")))</f>
        <v/>
      </c>
      <c r="AG145" s="108" t="n"/>
      <c r="AH145" s="109" t="n"/>
      <c r="AI145" s="105">
        <f>IF(OR(H145="",O145="",AH145&lt;&gt;""),"",O145-'THAM SO'!$B$8)</f>
        <v/>
      </c>
      <c r="AJ145" s="95">
        <f>IF(H145="","",IF(AH145&lt;&gt;"","Đã thanh lý",IF(AND(N145&lt;&gt;"",N145&gt;'THAM SO'!$B$8),"Chưa hiệu lực",IF(O145="","Đang thực hiện",IF(O145&lt;'THAM SO'!$B$8,IF(P145="Có","Đã tự gia hạn – kiểm tra","Quá hạn – chưa thanh lý"),IF(O145-'THAM SO'!$B$8&lt;='THAM SO'!$B$9,"Sắp hết hạn","Đang thực hiện"))))))</f>
        <v/>
      </c>
      <c r="AK145" s="106">
        <f>IF(AND(O145="",AH145=""),"",EDATE(MAX(N(O145),N(AH145)),12*'THAM SO'!$B$12))</f>
        <v/>
      </c>
      <c r="AL145" s="110" t="n"/>
    </row>
    <row r="146" ht="15" customHeight="1" s="64">
      <c r="A146" s="93">
        <f>IF(H146="","",COUNTA($H$9:H146))</f>
        <v/>
      </c>
      <c r="B146" s="93">
        <f>IF(OR(D146="",G146=""),"",YEAR(G146)&amp;"/"&amp;D146&amp;"/"&amp;TEXT(SUMPRODUCT(($D$9:D146=D146)*(YEAR($G$9:G146)=YEAR(G146))),"000")&amp;"-"&amp;'THAM SO'!$B$7)</f>
        <v/>
      </c>
      <c r="C146" s="107" t="n"/>
      <c r="D146" s="107" t="n"/>
      <c r="E146" s="95">
        <f>IF(D146="","",IFERROR(VLOOKUP(D146,'THAM SO'!$D$6:$E$40,2,FALSE()),"Mã loại chưa khai báo"))</f>
        <v/>
      </c>
      <c r="F146" s="108" t="n"/>
      <c r="G146" s="109" t="n"/>
      <c r="H146" s="110" t="n"/>
      <c r="I146" s="108" t="n"/>
      <c r="J146" s="110" t="n"/>
      <c r="K146" s="108" t="n"/>
      <c r="L146" s="108" t="n"/>
      <c r="M146" s="108" t="n"/>
      <c r="N146" s="109" t="n"/>
      <c r="O146" s="109" t="n"/>
      <c r="P146" s="107" t="n"/>
      <c r="Q146" s="107" t="n"/>
      <c r="R146" s="111" t="n"/>
      <c r="S146" s="112" t="n"/>
      <c r="T146" s="113" t="n"/>
      <c r="U146" s="102">
        <f>IF(S146="","",ROUND(S146*N(T146),2))</f>
        <v/>
      </c>
      <c r="V146" s="102">
        <f>IF(S146="","",S146+U146)</f>
        <v/>
      </c>
      <c r="W146" s="103">
        <f>IF(V146="","",ROUND(V146*IF(OR(Q146="",Q146="VND"),1,R146),0))</f>
        <v/>
      </c>
      <c r="X146" s="111" t="n"/>
      <c r="Y146" s="103">
        <f>IF(W146="","",W146+N(X146))</f>
        <v/>
      </c>
      <c r="Z146" s="103">
        <f>IF(B146="","",SUMIFS('NHAT KY THANH TOAN'!$G:$G,'NHAT KY THANH TOAN'!$B:$B,B146,'NHAT KY THANH TOAN'!$D:$D,"Hóa đơn"))</f>
        <v/>
      </c>
      <c r="AA146" s="103">
        <f>IF(B146="","",SUMIFS('NHAT KY THANH TOAN'!$G:$G,'NHAT KY THANH TOAN'!$B:$B,B146,'NHAT KY THANH TOAN'!$D:$D,"Thanh toán"))</f>
        <v/>
      </c>
      <c r="AB146" s="103">
        <f>IF(Y146="","",Y146-N(AA146))</f>
        <v/>
      </c>
      <c r="AC146" s="103">
        <f>IF(B146="","",N(Z146)-N(AA146))</f>
        <v/>
      </c>
      <c r="AD146" s="104">
        <f>IF(N(Y146)=0,"",N(AA146)/Y146)</f>
        <v/>
      </c>
      <c r="AE146" s="107" t="n"/>
      <c r="AF146" s="95">
        <f>IF(H146="","",TRIM(IF(AND(N(Y146)&gt;='THAM SO'!$B$10,AE146&lt;&gt;"Có"),"Chưa rà soát pháp lý; ","")&amp;IF(I146="","Thiếu MST đối tác; ","")&amp;IF(AG146="","Chưa ghi nơi lưu bản gốc; ","")&amp;IF(COUNTIFS('NHAT KY THANH TOAN'!$B:$B,B146,'NHAT KY THANH TOAN'!$D:$D,"Thanh toán",'NHAT KY THANH TOAN'!$F:$F,"Tiền mặt",'NHAT KY THANH TOAN'!$G:$G,"&gt;="&amp;'THAM SO'!$B$11)&gt;0,"Có khoản TT tiền mặt ≥ ngưỡng; ","")&amp;IF(AND(AB146&lt;&gt;"",N(AB146)&lt;0),"Thanh toán vượt giá trị HĐ; ","")))</f>
        <v/>
      </c>
      <c r="AG146" s="108" t="n"/>
      <c r="AH146" s="109" t="n"/>
      <c r="AI146" s="105">
        <f>IF(OR(H146="",O146="",AH146&lt;&gt;""),"",O146-'THAM SO'!$B$8)</f>
        <v/>
      </c>
      <c r="AJ146" s="95">
        <f>IF(H146="","",IF(AH146&lt;&gt;"","Đã thanh lý",IF(AND(N146&lt;&gt;"",N146&gt;'THAM SO'!$B$8),"Chưa hiệu lực",IF(O146="","Đang thực hiện",IF(O146&lt;'THAM SO'!$B$8,IF(P146="Có","Đã tự gia hạn – kiểm tra","Quá hạn – chưa thanh lý"),IF(O146-'THAM SO'!$B$8&lt;='THAM SO'!$B$9,"Sắp hết hạn","Đang thực hiện"))))))</f>
        <v/>
      </c>
      <c r="AK146" s="106">
        <f>IF(AND(O146="",AH146=""),"",EDATE(MAX(N(O146),N(AH146)),12*'THAM SO'!$B$12))</f>
        <v/>
      </c>
      <c r="AL146" s="110" t="n"/>
    </row>
    <row r="147" ht="15" customHeight="1" s="64">
      <c r="A147" s="93">
        <f>IF(H147="","",COUNTA($H$9:H147))</f>
        <v/>
      </c>
      <c r="B147" s="93">
        <f>IF(OR(D147="",G147=""),"",YEAR(G147)&amp;"/"&amp;D147&amp;"/"&amp;TEXT(SUMPRODUCT(($D$9:D147=D147)*(YEAR($G$9:G147)=YEAR(G147))),"000")&amp;"-"&amp;'THAM SO'!$B$7)</f>
        <v/>
      </c>
      <c r="C147" s="107" t="n"/>
      <c r="D147" s="107" t="n"/>
      <c r="E147" s="95">
        <f>IF(D147="","",IFERROR(VLOOKUP(D147,'THAM SO'!$D$6:$E$40,2,FALSE()),"Mã loại chưa khai báo"))</f>
        <v/>
      </c>
      <c r="F147" s="108" t="n"/>
      <c r="G147" s="109" t="n"/>
      <c r="H147" s="110" t="n"/>
      <c r="I147" s="108" t="n"/>
      <c r="J147" s="110" t="n"/>
      <c r="K147" s="108" t="n"/>
      <c r="L147" s="108" t="n"/>
      <c r="M147" s="108" t="n"/>
      <c r="N147" s="109" t="n"/>
      <c r="O147" s="109" t="n"/>
      <c r="P147" s="107" t="n"/>
      <c r="Q147" s="107" t="n"/>
      <c r="R147" s="111" t="n"/>
      <c r="S147" s="112" t="n"/>
      <c r="T147" s="113" t="n"/>
      <c r="U147" s="102">
        <f>IF(S147="","",ROUND(S147*N(T147),2))</f>
        <v/>
      </c>
      <c r="V147" s="102">
        <f>IF(S147="","",S147+U147)</f>
        <v/>
      </c>
      <c r="W147" s="103">
        <f>IF(V147="","",ROUND(V147*IF(OR(Q147="",Q147="VND"),1,R147),0))</f>
        <v/>
      </c>
      <c r="X147" s="111" t="n"/>
      <c r="Y147" s="103">
        <f>IF(W147="","",W147+N(X147))</f>
        <v/>
      </c>
      <c r="Z147" s="103">
        <f>IF(B147="","",SUMIFS('NHAT KY THANH TOAN'!$G:$G,'NHAT KY THANH TOAN'!$B:$B,B147,'NHAT KY THANH TOAN'!$D:$D,"Hóa đơn"))</f>
        <v/>
      </c>
      <c r="AA147" s="103">
        <f>IF(B147="","",SUMIFS('NHAT KY THANH TOAN'!$G:$G,'NHAT KY THANH TOAN'!$B:$B,B147,'NHAT KY THANH TOAN'!$D:$D,"Thanh toán"))</f>
        <v/>
      </c>
      <c r="AB147" s="103">
        <f>IF(Y147="","",Y147-N(AA147))</f>
        <v/>
      </c>
      <c r="AC147" s="103">
        <f>IF(B147="","",N(Z147)-N(AA147))</f>
        <v/>
      </c>
      <c r="AD147" s="104">
        <f>IF(N(Y147)=0,"",N(AA147)/Y147)</f>
        <v/>
      </c>
      <c r="AE147" s="107" t="n"/>
      <c r="AF147" s="95">
        <f>IF(H147="","",TRIM(IF(AND(N(Y147)&gt;='THAM SO'!$B$10,AE147&lt;&gt;"Có"),"Chưa rà soát pháp lý; ","")&amp;IF(I147="","Thiếu MST đối tác; ","")&amp;IF(AG147="","Chưa ghi nơi lưu bản gốc; ","")&amp;IF(COUNTIFS('NHAT KY THANH TOAN'!$B:$B,B147,'NHAT KY THANH TOAN'!$D:$D,"Thanh toán",'NHAT KY THANH TOAN'!$F:$F,"Tiền mặt",'NHAT KY THANH TOAN'!$G:$G,"&gt;="&amp;'THAM SO'!$B$11)&gt;0,"Có khoản TT tiền mặt ≥ ngưỡng; ","")&amp;IF(AND(AB147&lt;&gt;"",N(AB147)&lt;0),"Thanh toán vượt giá trị HĐ; ","")))</f>
        <v/>
      </c>
      <c r="AG147" s="108" t="n"/>
      <c r="AH147" s="109" t="n"/>
      <c r="AI147" s="105">
        <f>IF(OR(H147="",O147="",AH147&lt;&gt;""),"",O147-'THAM SO'!$B$8)</f>
        <v/>
      </c>
      <c r="AJ147" s="95">
        <f>IF(H147="","",IF(AH147&lt;&gt;"","Đã thanh lý",IF(AND(N147&lt;&gt;"",N147&gt;'THAM SO'!$B$8),"Chưa hiệu lực",IF(O147="","Đang thực hiện",IF(O147&lt;'THAM SO'!$B$8,IF(P147="Có","Đã tự gia hạn – kiểm tra","Quá hạn – chưa thanh lý"),IF(O147-'THAM SO'!$B$8&lt;='THAM SO'!$B$9,"Sắp hết hạn","Đang thực hiện"))))))</f>
        <v/>
      </c>
      <c r="AK147" s="106">
        <f>IF(AND(O147="",AH147=""),"",EDATE(MAX(N(O147),N(AH147)),12*'THAM SO'!$B$12))</f>
        <v/>
      </c>
      <c r="AL147" s="110" t="n"/>
    </row>
    <row r="148" ht="15" customHeight="1" s="64">
      <c r="A148" s="93">
        <f>IF(H148="","",COUNTA($H$9:H148))</f>
        <v/>
      </c>
      <c r="B148" s="93">
        <f>IF(OR(D148="",G148=""),"",YEAR(G148)&amp;"/"&amp;D148&amp;"/"&amp;TEXT(SUMPRODUCT(($D$9:D148=D148)*(YEAR($G$9:G148)=YEAR(G148))),"000")&amp;"-"&amp;'THAM SO'!$B$7)</f>
        <v/>
      </c>
      <c r="C148" s="107" t="n"/>
      <c r="D148" s="107" t="n"/>
      <c r="E148" s="95">
        <f>IF(D148="","",IFERROR(VLOOKUP(D148,'THAM SO'!$D$6:$E$40,2,FALSE()),"Mã loại chưa khai báo"))</f>
        <v/>
      </c>
      <c r="F148" s="108" t="n"/>
      <c r="G148" s="109" t="n"/>
      <c r="H148" s="110" t="n"/>
      <c r="I148" s="108" t="n"/>
      <c r="J148" s="110" t="n"/>
      <c r="K148" s="108" t="n"/>
      <c r="L148" s="108" t="n"/>
      <c r="M148" s="108" t="n"/>
      <c r="N148" s="109" t="n"/>
      <c r="O148" s="109" t="n"/>
      <c r="P148" s="107" t="n"/>
      <c r="Q148" s="107" t="n"/>
      <c r="R148" s="111" t="n"/>
      <c r="S148" s="112" t="n"/>
      <c r="T148" s="113" t="n"/>
      <c r="U148" s="102">
        <f>IF(S148="","",ROUND(S148*N(T148),2))</f>
        <v/>
      </c>
      <c r="V148" s="102">
        <f>IF(S148="","",S148+U148)</f>
        <v/>
      </c>
      <c r="W148" s="103">
        <f>IF(V148="","",ROUND(V148*IF(OR(Q148="",Q148="VND"),1,R148),0))</f>
        <v/>
      </c>
      <c r="X148" s="111" t="n"/>
      <c r="Y148" s="103">
        <f>IF(W148="","",W148+N(X148))</f>
        <v/>
      </c>
      <c r="Z148" s="103">
        <f>IF(B148="","",SUMIFS('NHAT KY THANH TOAN'!$G:$G,'NHAT KY THANH TOAN'!$B:$B,B148,'NHAT KY THANH TOAN'!$D:$D,"Hóa đơn"))</f>
        <v/>
      </c>
      <c r="AA148" s="103">
        <f>IF(B148="","",SUMIFS('NHAT KY THANH TOAN'!$G:$G,'NHAT KY THANH TOAN'!$B:$B,B148,'NHAT KY THANH TOAN'!$D:$D,"Thanh toán"))</f>
        <v/>
      </c>
      <c r="AB148" s="103">
        <f>IF(Y148="","",Y148-N(AA148))</f>
        <v/>
      </c>
      <c r="AC148" s="103">
        <f>IF(B148="","",N(Z148)-N(AA148))</f>
        <v/>
      </c>
      <c r="AD148" s="104">
        <f>IF(N(Y148)=0,"",N(AA148)/Y148)</f>
        <v/>
      </c>
      <c r="AE148" s="107" t="n"/>
      <c r="AF148" s="95">
        <f>IF(H148="","",TRIM(IF(AND(N(Y148)&gt;='THAM SO'!$B$10,AE148&lt;&gt;"Có"),"Chưa rà soát pháp lý; ","")&amp;IF(I148="","Thiếu MST đối tác; ","")&amp;IF(AG148="","Chưa ghi nơi lưu bản gốc; ","")&amp;IF(COUNTIFS('NHAT KY THANH TOAN'!$B:$B,B148,'NHAT KY THANH TOAN'!$D:$D,"Thanh toán",'NHAT KY THANH TOAN'!$F:$F,"Tiền mặt",'NHAT KY THANH TOAN'!$G:$G,"&gt;="&amp;'THAM SO'!$B$11)&gt;0,"Có khoản TT tiền mặt ≥ ngưỡng; ","")&amp;IF(AND(AB148&lt;&gt;"",N(AB148)&lt;0),"Thanh toán vượt giá trị HĐ; ","")))</f>
        <v/>
      </c>
      <c r="AG148" s="108" t="n"/>
      <c r="AH148" s="109" t="n"/>
      <c r="AI148" s="105">
        <f>IF(OR(H148="",O148="",AH148&lt;&gt;""),"",O148-'THAM SO'!$B$8)</f>
        <v/>
      </c>
      <c r="AJ148" s="95">
        <f>IF(H148="","",IF(AH148&lt;&gt;"","Đã thanh lý",IF(AND(N148&lt;&gt;"",N148&gt;'THAM SO'!$B$8),"Chưa hiệu lực",IF(O148="","Đang thực hiện",IF(O148&lt;'THAM SO'!$B$8,IF(P148="Có","Đã tự gia hạn – kiểm tra","Quá hạn – chưa thanh lý"),IF(O148-'THAM SO'!$B$8&lt;='THAM SO'!$B$9,"Sắp hết hạn","Đang thực hiện"))))))</f>
        <v/>
      </c>
      <c r="AK148" s="106">
        <f>IF(AND(O148="",AH148=""),"",EDATE(MAX(N(O148),N(AH148)),12*'THAM SO'!$B$12))</f>
        <v/>
      </c>
      <c r="AL148" s="110" t="n"/>
    </row>
    <row r="149" ht="15" customHeight="1" s="64">
      <c r="A149" s="93">
        <f>IF(H149="","",COUNTA($H$9:H149))</f>
        <v/>
      </c>
      <c r="B149" s="93">
        <f>IF(OR(D149="",G149=""),"",YEAR(G149)&amp;"/"&amp;D149&amp;"/"&amp;TEXT(SUMPRODUCT(($D$9:D149=D149)*(YEAR($G$9:G149)=YEAR(G149))),"000")&amp;"-"&amp;'THAM SO'!$B$7)</f>
        <v/>
      </c>
      <c r="C149" s="107" t="n"/>
      <c r="D149" s="107" t="n"/>
      <c r="E149" s="95">
        <f>IF(D149="","",IFERROR(VLOOKUP(D149,'THAM SO'!$D$6:$E$40,2,FALSE()),"Mã loại chưa khai báo"))</f>
        <v/>
      </c>
      <c r="F149" s="108" t="n"/>
      <c r="G149" s="109" t="n"/>
      <c r="H149" s="110" t="n"/>
      <c r="I149" s="108" t="n"/>
      <c r="J149" s="110" t="n"/>
      <c r="K149" s="108" t="n"/>
      <c r="L149" s="108" t="n"/>
      <c r="M149" s="108" t="n"/>
      <c r="N149" s="109" t="n"/>
      <c r="O149" s="109" t="n"/>
      <c r="P149" s="107" t="n"/>
      <c r="Q149" s="107" t="n"/>
      <c r="R149" s="111" t="n"/>
      <c r="S149" s="112" t="n"/>
      <c r="T149" s="113" t="n"/>
      <c r="U149" s="102">
        <f>IF(S149="","",ROUND(S149*N(T149),2))</f>
        <v/>
      </c>
      <c r="V149" s="102">
        <f>IF(S149="","",S149+U149)</f>
        <v/>
      </c>
      <c r="W149" s="103">
        <f>IF(V149="","",ROUND(V149*IF(OR(Q149="",Q149="VND"),1,R149),0))</f>
        <v/>
      </c>
      <c r="X149" s="111" t="n"/>
      <c r="Y149" s="103">
        <f>IF(W149="","",W149+N(X149))</f>
        <v/>
      </c>
      <c r="Z149" s="103">
        <f>IF(B149="","",SUMIFS('NHAT KY THANH TOAN'!$G:$G,'NHAT KY THANH TOAN'!$B:$B,B149,'NHAT KY THANH TOAN'!$D:$D,"Hóa đơn"))</f>
        <v/>
      </c>
      <c r="AA149" s="103">
        <f>IF(B149="","",SUMIFS('NHAT KY THANH TOAN'!$G:$G,'NHAT KY THANH TOAN'!$B:$B,B149,'NHAT KY THANH TOAN'!$D:$D,"Thanh toán"))</f>
        <v/>
      </c>
      <c r="AB149" s="103">
        <f>IF(Y149="","",Y149-N(AA149))</f>
        <v/>
      </c>
      <c r="AC149" s="103">
        <f>IF(B149="","",N(Z149)-N(AA149))</f>
        <v/>
      </c>
      <c r="AD149" s="104">
        <f>IF(N(Y149)=0,"",N(AA149)/Y149)</f>
        <v/>
      </c>
      <c r="AE149" s="107" t="n"/>
      <c r="AF149" s="95">
        <f>IF(H149="","",TRIM(IF(AND(N(Y149)&gt;='THAM SO'!$B$10,AE149&lt;&gt;"Có"),"Chưa rà soát pháp lý; ","")&amp;IF(I149="","Thiếu MST đối tác; ","")&amp;IF(AG149="","Chưa ghi nơi lưu bản gốc; ","")&amp;IF(COUNTIFS('NHAT KY THANH TOAN'!$B:$B,B149,'NHAT KY THANH TOAN'!$D:$D,"Thanh toán",'NHAT KY THANH TOAN'!$F:$F,"Tiền mặt",'NHAT KY THANH TOAN'!$G:$G,"&gt;="&amp;'THAM SO'!$B$11)&gt;0,"Có khoản TT tiền mặt ≥ ngưỡng; ","")&amp;IF(AND(AB149&lt;&gt;"",N(AB149)&lt;0),"Thanh toán vượt giá trị HĐ; ","")))</f>
        <v/>
      </c>
      <c r="AG149" s="108" t="n"/>
      <c r="AH149" s="109" t="n"/>
      <c r="AI149" s="105">
        <f>IF(OR(H149="",O149="",AH149&lt;&gt;""),"",O149-'THAM SO'!$B$8)</f>
        <v/>
      </c>
      <c r="AJ149" s="95">
        <f>IF(H149="","",IF(AH149&lt;&gt;"","Đã thanh lý",IF(AND(N149&lt;&gt;"",N149&gt;'THAM SO'!$B$8),"Chưa hiệu lực",IF(O149="","Đang thực hiện",IF(O149&lt;'THAM SO'!$B$8,IF(P149="Có","Đã tự gia hạn – kiểm tra","Quá hạn – chưa thanh lý"),IF(O149-'THAM SO'!$B$8&lt;='THAM SO'!$B$9,"Sắp hết hạn","Đang thực hiện"))))))</f>
        <v/>
      </c>
      <c r="AK149" s="106">
        <f>IF(AND(O149="",AH149=""),"",EDATE(MAX(N(O149),N(AH149)),12*'THAM SO'!$B$12))</f>
        <v/>
      </c>
      <c r="AL149" s="110" t="n"/>
    </row>
    <row r="150" ht="15" customHeight="1" s="64">
      <c r="A150" s="93">
        <f>IF(H150="","",COUNTA($H$9:H150))</f>
        <v/>
      </c>
      <c r="B150" s="93">
        <f>IF(OR(D150="",G150=""),"",YEAR(G150)&amp;"/"&amp;D150&amp;"/"&amp;TEXT(SUMPRODUCT(($D$9:D150=D150)*(YEAR($G$9:G150)=YEAR(G150))),"000")&amp;"-"&amp;'THAM SO'!$B$7)</f>
        <v/>
      </c>
      <c r="C150" s="107" t="n"/>
      <c r="D150" s="107" t="n"/>
      <c r="E150" s="95">
        <f>IF(D150="","",IFERROR(VLOOKUP(D150,'THAM SO'!$D$6:$E$40,2,FALSE()),"Mã loại chưa khai báo"))</f>
        <v/>
      </c>
      <c r="F150" s="108" t="n"/>
      <c r="G150" s="109" t="n"/>
      <c r="H150" s="110" t="n"/>
      <c r="I150" s="108" t="n"/>
      <c r="J150" s="110" t="n"/>
      <c r="K150" s="108" t="n"/>
      <c r="L150" s="108" t="n"/>
      <c r="M150" s="108" t="n"/>
      <c r="N150" s="109" t="n"/>
      <c r="O150" s="109" t="n"/>
      <c r="P150" s="107" t="n"/>
      <c r="Q150" s="107" t="n"/>
      <c r="R150" s="111" t="n"/>
      <c r="S150" s="112" t="n"/>
      <c r="T150" s="113" t="n"/>
      <c r="U150" s="102">
        <f>IF(S150="","",ROUND(S150*N(T150),2))</f>
        <v/>
      </c>
      <c r="V150" s="102">
        <f>IF(S150="","",S150+U150)</f>
        <v/>
      </c>
      <c r="W150" s="103">
        <f>IF(V150="","",ROUND(V150*IF(OR(Q150="",Q150="VND"),1,R150),0))</f>
        <v/>
      </c>
      <c r="X150" s="111" t="n"/>
      <c r="Y150" s="103">
        <f>IF(W150="","",W150+N(X150))</f>
        <v/>
      </c>
      <c r="Z150" s="103">
        <f>IF(B150="","",SUMIFS('NHAT KY THANH TOAN'!$G:$G,'NHAT KY THANH TOAN'!$B:$B,B150,'NHAT KY THANH TOAN'!$D:$D,"Hóa đơn"))</f>
        <v/>
      </c>
      <c r="AA150" s="103">
        <f>IF(B150="","",SUMIFS('NHAT KY THANH TOAN'!$G:$G,'NHAT KY THANH TOAN'!$B:$B,B150,'NHAT KY THANH TOAN'!$D:$D,"Thanh toán"))</f>
        <v/>
      </c>
      <c r="AB150" s="103">
        <f>IF(Y150="","",Y150-N(AA150))</f>
        <v/>
      </c>
      <c r="AC150" s="103">
        <f>IF(B150="","",N(Z150)-N(AA150))</f>
        <v/>
      </c>
      <c r="AD150" s="104">
        <f>IF(N(Y150)=0,"",N(AA150)/Y150)</f>
        <v/>
      </c>
      <c r="AE150" s="107" t="n"/>
      <c r="AF150" s="95">
        <f>IF(H150="","",TRIM(IF(AND(N(Y150)&gt;='THAM SO'!$B$10,AE150&lt;&gt;"Có"),"Chưa rà soát pháp lý; ","")&amp;IF(I150="","Thiếu MST đối tác; ","")&amp;IF(AG150="","Chưa ghi nơi lưu bản gốc; ","")&amp;IF(COUNTIFS('NHAT KY THANH TOAN'!$B:$B,B150,'NHAT KY THANH TOAN'!$D:$D,"Thanh toán",'NHAT KY THANH TOAN'!$F:$F,"Tiền mặt",'NHAT KY THANH TOAN'!$G:$G,"&gt;="&amp;'THAM SO'!$B$11)&gt;0,"Có khoản TT tiền mặt ≥ ngưỡng; ","")&amp;IF(AND(AB150&lt;&gt;"",N(AB150)&lt;0),"Thanh toán vượt giá trị HĐ; ","")))</f>
        <v/>
      </c>
      <c r="AG150" s="108" t="n"/>
      <c r="AH150" s="109" t="n"/>
      <c r="AI150" s="105">
        <f>IF(OR(H150="",O150="",AH150&lt;&gt;""),"",O150-'THAM SO'!$B$8)</f>
        <v/>
      </c>
      <c r="AJ150" s="95">
        <f>IF(H150="","",IF(AH150&lt;&gt;"","Đã thanh lý",IF(AND(N150&lt;&gt;"",N150&gt;'THAM SO'!$B$8),"Chưa hiệu lực",IF(O150="","Đang thực hiện",IF(O150&lt;'THAM SO'!$B$8,IF(P150="Có","Đã tự gia hạn – kiểm tra","Quá hạn – chưa thanh lý"),IF(O150-'THAM SO'!$B$8&lt;='THAM SO'!$B$9,"Sắp hết hạn","Đang thực hiện"))))))</f>
        <v/>
      </c>
      <c r="AK150" s="106">
        <f>IF(AND(O150="",AH150=""),"",EDATE(MAX(N(O150),N(AH150)),12*'THAM SO'!$B$12))</f>
        <v/>
      </c>
      <c r="AL150" s="110" t="n"/>
    </row>
    <row r="151" ht="15" customHeight="1" s="64">
      <c r="A151" s="93">
        <f>IF(H151="","",COUNTA($H$9:H151))</f>
        <v/>
      </c>
      <c r="B151" s="93">
        <f>IF(OR(D151="",G151=""),"",YEAR(G151)&amp;"/"&amp;D151&amp;"/"&amp;TEXT(SUMPRODUCT(($D$9:D151=D151)*(YEAR($G$9:G151)=YEAR(G151))),"000")&amp;"-"&amp;'THAM SO'!$B$7)</f>
        <v/>
      </c>
      <c r="C151" s="107" t="n"/>
      <c r="D151" s="107" t="n"/>
      <c r="E151" s="95">
        <f>IF(D151="","",IFERROR(VLOOKUP(D151,'THAM SO'!$D$6:$E$40,2,FALSE()),"Mã loại chưa khai báo"))</f>
        <v/>
      </c>
      <c r="F151" s="108" t="n"/>
      <c r="G151" s="109" t="n"/>
      <c r="H151" s="110" t="n"/>
      <c r="I151" s="108" t="n"/>
      <c r="J151" s="110" t="n"/>
      <c r="K151" s="108" t="n"/>
      <c r="L151" s="108" t="n"/>
      <c r="M151" s="108" t="n"/>
      <c r="N151" s="109" t="n"/>
      <c r="O151" s="109" t="n"/>
      <c r="P151" s="107" t="n"/>
      <c r="Q151" s="107" t="n"/>
      <c r="R151" s="111" t="n"/>
      <c r="S151" s="112" t="n"/>
      <c r="T151" s="113" t="n"/>
      <c r="U151" s="102">
        <f>IF(S151="","",ROUND(S151*N(T151),2))</f>
        <v/>
      </c>
      <c r="V151" s="102">
        <f>IF(S151="","",S151+U151)</f>
        <v/>
      </c>
      <c r="W151" s="103">
        <f>IF(V151="","",ROUND(V151*IF(OR(Q151="",Q151="VND"),1,R151),0))</f>
        <v/>
      </c>
      <c r="X151" s="111" t="n"/>
      <c r="Y151" s="103">
        <f>IF(W151="","",W151+N(X151))</f>
        <v/>
      </c>
      <c r="Z151" s="103">
        <f>IF(B151="","",SUMIFS('NHAT KY THANH TOAN'!$G:$G,'NHAT KY THANH TOAN'!$B:$B,B151,'NHAT KY THANH TOAN'!$D:$D,"Hóa đơn"))</f>
        <v/>
      </c>
      <c r="AA151" s="103">
        <f>IF(B151="","",SUMIFS('NHAT KY THANH TOAN'!$G:$G,'NHAT KY THANH TOAN'!$B:$B,B151,'NHAT KY THANH TOAN'!$D:$D,"Thanh toán"))</f>
        <v/>
      </c>
      <c r="AB151" s="103">
        <f>IF(Y151="","",Y151-N(AA151))</f>
        <v/>
      </c>
      <c r="AC151" s="103">
        <f>IF(B151="","",N(Z151)-N(AA151))</f>
        <v/>
      </c>
      <c r="AD151" s="104">
        <f>IF(N(Y151)=0,"",N(AA151)/Y151)</f>
        <v/>
      </c>
      <c r="AE151" s="107" t="n"/>
      <c r="AF151" s="95">
        <f>IF(H151="","",TRIM(IF(AND(N(Y151)&gt;='THAM SO'!$B$10,AE151&lt;&gt;"Có"),"Chưa rà soát pháp lý; ","")&amp;IF(I151="","Thiếu MST đối tác; ","")&amp;IF(AG151="","Chưa ghi nơi lưu bản gốc; ","")&amp;IF(COUNTIFS('NHAT KY THANH TOAN'!$B:$B,B151,'NHAT KY THANH TOAN'!$D:$D,"Thanh toán",'NHAT KY THANH TOAN'!$F:$F,"Tiền mặt",'NHAT KY THANH TOAN'!$G:$G,"&gt;="&amp;'THAM SO'!$B$11)&gt;0,"Có khoản TT tiền mặt ≥ ngưỡng; ","")&amp;IF(AND(AB151&lt;&gt;"",N(AB151)&lt;0),"Thanh toán vượt giá trị HĐ; ","")))</f>
        <v/>
      </c>
      <c r="AG151" s="108" t="n"/>
      <c r="AH151" s="109" t="n"/>
      <c r="AI151" s="105">
        <f>IF(OR(H151="",O151="",AH151&lt;&gt;""),"",O151-'THAM SO'!$B$8)</f>
        <v/>
      </c>
      <c r="AJ151" s="95">
        <f>IF(H151="","",IF(AH151&lt;&gt;"","Đã thanh lý",IF(AND(N151&lt;&gt;"",N151&gt;'THAM SO'!$B$8),"Chưa hiệu lực",IF(O151="","Đang thực hiện",IF(O151&lt;'THAM SO'!$B$8,IF(P151="Có","Đã tự gia hạn – kiểm tra","Quá hạn – chưa thanh lý"),IF(O151-'THAM SO'!$B$8&lt;='THAM SO'!$B$9,"Sắp hết hạn","Đang thực hiện"))))))</f>
        <v/>
      </c>
      <c r="AK151" s="106">
        <f>IF(AND(O151="",AH151=""),"",EDATE(MAX(N(O151),N(AH151)),12*'THAM SO'!$B$12))</f>
        <v/>
      </c>
      <c r="AL151" s="110" t="n"/>
    </row>
    <row r="152" ht="15" customHeight="1" s="64">
      <c r="A152" s="93">
        <f>IF(H152="","",COUNTA($H$9:H152))</f>
        <v/>
      </c>
      <c r="B152" s="93">
        <f>IF(OR(D152="",G152=""),"",YEAR(G152)&amp;"/"&amp;D152&amp;"/"&amp;TEXT(SUMPRODUCT(($D$9:D152=D152)*(YEAR($G$9:G152)=YEAR(G152))),"000")&amp;"-"&amp;'THAM SO'!$B$7)</f>
        <v/>
      </c>
      <c r="C152" s="107" t="n"/>
      <c r="D152" s="107" t="n"/>
      <c r="E152" s="95">
        <f>IF(D152="","",IFERROR(VLOOKUP(D152,'THAM SO'!$D$6:$E$40,2,FALSE()),"Mã loại chưa khai báo"))</f>
        <v/>
      </c>
      <c r="F152" s="108" t="n"/>
      <c r="G152" s="109" t="n"/>
      <c r="H152" s="110" t="n"/>
      <c r="I152" s="108" t="n"/>
      <c r="J152" s="110" t="n"/>
      <c r="K152" s="108" t="n"/>
      <c r="L152" s="108" t="n"/>
      <c r="M152" s="108" t="n"/>
      <c r="N152" s="109" t="n"/>
      <c r="O152" s="109" t="n"/>
      <c r="P152" s="107" t="n"/>
      <c r="Q152" s="107" t="n"/>
      <c r="R152" s="111" t="n"/>
      <c r="S152" s="112" t="n"/>
      <c r="T152" s="113" t="n"/>
      <c r="U152" s="102">
        <f>IF(S152="","",ROUND(S152*N(T152),2))</f>
        <v/>
      </c>
      <c r="V152" s="102">
        <f>IF(S152="","",S152+U152)</f>
        <v/>
      </c>
      <c r="W152" s="103">
        <f>IF(V152="","",ROUND(V152*IF(OR(Q152="",Q152="VND"),1,R152),0))</f>
        <v/>
      </c>
      <c r="X152" s="111" t="n"/>
      <c r="Y152" s="103">
        <f>IF(W152="","",W152+N(X152))</f>
        <v/>
      </c>
      <c r="Z152" s="103">
        <f>IF(B152="","",SUMIFS('NHAT KY THANH TOAN'!$G:$G,'NHAT KY THANH TOAN'!$B:$B,B152,'NHAT KY THANH TOAN'!$D:$D,"Hóa đơn"))</f>
        <v/>
      </c>
      <c r="AA152" s="103">
        <f>IF(B152="","",SUMIFS('NHAT KY THANH TOAN'!$G:$G,'NHAT KY THANH TOAN'!$B:$B,B152,'NHAT KY THANH TOAN'!$D:$D,"Thanh toán"))</f>
        <v/>
      </c>
      <c r="AB152" s="103">
        <f>IF(Y152="","",Y152-N(AA152))</f>
        <v/>
      </c>
      <c r="AC152" s="103">
        <f>IF(B152="","",N(Z152)-N(AA152))</f>
        <v/>
      </c>
      <c r="AD152" s="104">
        <f>IF(N(Y152)=0,"",N(AA152)/Y152)</f>
        <v/>
      </c>
      <c r="AE152" s="107" t="n"/>
      <c r="AF152" s="95">
        <f>IF(H152="","",TRIM(IF(AND(N(Y152)&gt;='THAM SO'!$B$10,AE152&lt;&gt;"Có"),"Chưa rà soát pháp lý; ","")&amp;IF(I152="","Thiếu MST đối tác; ","")&amp;IF(AG152="","Chưa ghi nơi lưu bản gốc; ","")&amp;IF(COUNTIFS('NHAT KY THANH TOAN'!$B:$B,B152,'NHAT KY THANH TOAN'!$D:$D,"Thanh toán",'NHAT KY THANH TOAN'!$F:$F,"Tiền mặt",'NHAT KY THANH TOAN'!$G:$G,"&gt;="&amp;'THAM SO'!$B$11)&gt;0,"Có khoản TT tiền mặt ≥ ngưỡng; ","")&amp;IF(AND(AB152&lt;&gt;"",N(AB152)&lt;0),"Thanh toán vượt giá trị HĐ; ","")))</f>
        <v/>
      </c>
      <c r="AG152" s="108" t="n"/>
      <c r="AH152" s="109" t="n"/>
      <c r="AI152" s="105">
        <f>IF(OR(H152="",O152="",AH152&lt;&gt;""),"",O152-'THAM SO'!$B$8)</f>
        <v/>
      </c>
      <c r="AJ152" s="95">
        <f>IF(H152="","",IF(AH152&lt;&gt;"","Đã thanh lý",IF(AND(N152&lt;&gt;"",N152&gt;'THAM SO'!$B$8),"Chưa hiệu lực",IF(O152="","Đang thực hiện",IF(O152&lt;'THAM SO'!$B$8,IF(P152="Có","Đã tự gia hạn – kiểm tra","Quá hạn – chưa thanh lý"),IF(O152-'THAM SO'!$B$8&lt;='THAM SO'!$B$9,"Sắp hết hạn","Đang thực hiện"))))))</f>
        <v/>
      </c>
      <c r="AK152" s="106">
        <f>IF(AND(O152="",AH152=""),"",EDATE(MAX(N(O152),N(AH152)),12*'THAM SO'!$B$12))</f>
        <v/>
      </c>
      <c r="AL152" s="110" t="n"/>
    </row>
    <row r="153" ht="15" customHeight="1" s="64">
      <c r="A153" s="93">
        <f>IF(H153="","",COUNTA($H$9:H153))</f>
        <v/>
      </c>
      <c r="B153" s="93">
        <f>IF(OR(D153="",G153=""),"",YEAR(G153)&amp;"/"&amp;D153&amp;"/"&amp;TEXT(SUMPRODUCT(($D$9:D153=D153)*(YEAR($G$9:G153)=YEAR(G153))),"000")&amp;"-"&amp;'THAM SO'!$B$7)</f>
        <v/>
      </c>
      <c r="C153" s="107" t="n"/>
      <c r="D153" s="107" t="n"/>
      <c r="E153" s="95">
        <f>IF(D153="","",IFERROR(VLOOKUP(D153,'THAM SO'!$D$6:$E$40,2,FALSE()),"Mã loại chưa khai báo"))</f>
        <v/>
      </c>
      <c r="F153" s="108" t="n"/>
      <c r="G153" s="109" t="n"/>
      <c r="H153" s="110" t="n"/>
      <c r="I153" s="108" t="n"/>
      <c r="J153" s="110" t="n"/>
      <c r="K153" s="108" t="n"/>
      <c r="L153" s="108" t="n"/>
      <c r="M153" s="108" t="n"/>
      <c r="N153" s="109" t="n"/>
      <c r="O153" s="109" t="n"/>
      <c r="P153" s="107" t="n"/>
      <c r="Q153" s="107" t="n"/>
      <c r="R153" s="111" t="n"/>
      <c r="S153" s="112" t="n"/>
      <c r="T153" s="113" t="n"/>
      <c r="U153" s="102">
        <f>IF(S153="","",ROUND(S153*N(T153),2))</f>
        <v/>
      </c>
      <c r="V153" s="102">
        <f>IF(S153="","",S153+U153)</f>
        <v/>
      </c>
      <c r="W153" s="103">
        <f>IF(V153="","",ROUND(V153*IF(OR(Q153="",Q153="VND"),1,R153),0))</f>
        <v/>
      </c>
      <c r="X153" s="111" t="n"/>
      <c r="Y153" s="103">
        <f>IF(W153="","",W153+N(X153))</f>
        <v/>
      </c>
      <c r="Z153" s="103">
        <f>IF(B153="","",SUMIFS('NHAT KY THANH TOAN'!$G:$G,'NHAT KY THANH TOAN'!$B:$B,B153,'NHAT KY THANH TOAN'!$D:$D,"Hóa đơn"))</f>
        <v/>
      </c>
      <c r="AA153" s="103">
        <f>IF(B153="","",SUMIFS('NHAT KY THANH TOAN'!$G:$G,'NHAT KY THANH TOAN'!$B:$B,B153,'NHAT KY THANH TOAN'!$D:$D,"Thanh toán"))</f>
        <v/>
      </c>
      <c r="AB153" s="103">
        <f>IF(Y153="","",Y153-N(AA153))</f>
        <v/>
      </c>
      <c r="AC153" s="103">
        <f>IF(B153="","",N(Z153)-N(AA153))</f>
        <v/>
      </c>
      <c r="AD153" s="104">
        <f>IF(N(Y153)=0,"",N(AA153)/Y153)</f>
        <v/>
      </c>
      <c r="AE153" s="107" t="n"/>
      <c r="AF153" s="95">
        <f>IF(H153="","",TRIM(IF(AND(N(Y153)&gt;='THAM SO'!$B$10,AE153&lt;&gt;"Có"),"Chưa rà soát pháp lý; ","")&amp;IF(I153="","Thiếu MST đối tác; ","")&amp;IF(AG153="","Chưa ghi nơi lưu bản gốc; ","")&amp;IF(COUNTIFS('NHAT KY THANH TOAN'!$B:$B,B153,'NHAT KY THANH TOAN'!$D:$D,"Thanh toán",'NHAT KY THANH TOAN'!$F:$F,"Tiền mặt",'NHAT KY THANH TOAN'!$G:$G,"&gt;="&amp;'THAM SO'!$B$11)&gt;0,"Có khoản TT tiền mặt ≥ ngưỡng; ","")&amp;IF(AND(AB153&lt;&gt;"",N(AB153)&lt;0),"Thanh toán vượt giá trị HĐ; ","")))</f>
        <v/>
      </c>
      <c r="AG153" s="108" t="n"/>
      <c r="AH153" s="109" t="n"/>
      <c r="AI153" s="105">
        <f>IF(OR(H153="",O153="",AH153&lt;&gt;""),"",O153-'THAM SO'!$B$8)</f>
        <v/>
      </c>
      <c r="AJ153" s="95">
        <f>IF(H153="","",IF(AH153&lt;&gt;"","Đã thanh lý",IF(AND(N153&lt;&gt;"",N153&gt;'THAM SO'!$B$8),"Chưa hiệu lực",IF(O153="","Đang thực hiện",IF(O153&lt;'THAM SO'!$B$8,IF(P153="Có","Đã tự gia hạn – kiểm tra","Quá hạn – chưa thanh lý"),IF(O153-'THAM SO'!$B$8&lt;='THAM SO'!$B$9,"Sắp hết hạn","Đang thực hiện"))))))</f>
        <v/>
      </c>
      <c r="AK153" s="106">
        <f>IF(AND(O153="",AH153=""),"",EDATE(MAX(N(O153),N(AH153)),12*'THAM SO'!$B$12))</f>
        <v/>
      </c>
      <c r="AL153" s="110" t="n"/>
    </row>
    <row r="154" ht="15" customHeight="1" s="64">
      <c r="A154" s="93">
        <f>IF(H154="","",COUNTA($H$9:H154))</f>
        <v/>
      </c>
      <c r="B154" s="93">
        <f>IF(OR(D154="",G154=""),"",YEAR(G154)&amp;"/"&amp;D154&amp;"/"&amp;TEXT(SUMPRODUCT(($D$9:D154=D154)*(YEAR($G$9:G154)=YEAR(G154))),"000")&amp;"-"&amp;'THAM SO'!$B$7)</f>
        <v/>
      </c>
      <c r="C154" s="107" t="n"/>
      <c r="D154" s="107" t="n"/>
      <c r="E154" s="95">
        <f>IF(D154="","",IFERROR(VLOOKUP(D154,'THAM SO'!$D$6:$E$40,2,FALSE()),"Mã loại chưa khai báo"))</f>
        <v/>
      </c>
      <c r="F154" s="108" t="n"/>
      <c r="G154" s="109" t="n"/>
      <c r="H154" s="110" t="n"/>
      <c r="I154" s="108" t="n"/>
      <c r="J154" s="110" t="n"/>
      <c r="K154" s="108" t="n"/>
      <c r="L154" s="108" t="n"/>
      <c r="M154" s="108" t="n"/>
      <c r="N154" s="109" t="n"/>
      <c r="O154" s="109" t="n"/>
      <c r="P154" s="107" t="n"/>
      <c r="Q154" s="107" t="n"/>
      <c r="R154" s="111" t="n"/>
      <c r="S154" s="112" t="n"/>
      <c r="T154" s="113" t="n"/>
      <c r="U154" s="102">
        <f>IF(S154="","",ROUND(S154*N(T154),2))</f>
        <v/>
      </c>
      <c r="V154" s="102">
        <f>IF(S154="","",S154+U154)</f>
        <v/>
      </c>
      <c r="W154" s="103">
        <f>IF(V154="","",ROUND(V154*IF(OR(Q154="",Q154="VND"),1,R154),0))</f>
        <v/>
      </c>
      <c r="X154" s="111" t="n"/>
      <c r="Y154" s="103">
        <f>IF(W154="","",W154+N(X154))</f>
        <v/>
      </c>
      <c r="Z154" s="103">
        <f>IF(B154="","",SUMIFS('NHAT KY THANH TOAN'!$G:$G,'NHAT KY THANH TOAN'!$B:$B,B154,'NHAT KY THANH TOAN'!$D:$D,"Hóa đơn"))</f>
        <v/>
      </c>
      <c r="AA154" s="103">
        <f>IF(B154="","",SUMIFS('NHAT KY THANH TOAN'!$G:$G,'NHAT KY THANH TOAN'!$B:$B,B154,'NHAT KY THANH TOAN'!$D:$D,"Thanh toán"))</f>
        <v/>
      </c>
      <c r="AB154" s="103">
        <f>IF(Y154="","",Y154-N(AA154))</f>
        <v/>
      </c>
      <c r="AC154" s="103">
        <f>IF(B154="","",N(Z154)-N(AA154))</f>
        <v/>
      </c>
      <c r="AD154" s="104">
        <f>IF(N(Y154)=0,"",N(AA154)/Y154)</f>
        <v/>
      </c>
      <c r="AE154" s="107" t="n"/>
      <c r="AF154" s="95">
        <f>IF(H154="","",TRIM(IF(AND(N(Y154)&gt;='THAM SO'!$B$10,AE154&lt;&gt;"Có"),"Chưa rà soát pháp lý; ","")&amp;IF(I154="","Thiếu MST đối tác; ","")&amp;IF(AG154="","Chưa ghi nơi lưu bản gốc; ","")&amp;IF(COUNTIFS('NHAT KY THANH TOAN'!$B:$B,B154,'NHAT KY THANH TOAN'!$D:$D,"Thanh toán",'NHAT KY THANH TOAN'!$F:$F,"Tiền mặt",'NHAT KY THANH TOAN'!$G:$G,"&gt;="&amp;'THAM SO'!$B$11)&gt;0,"Có khoản TT tiền mặt ≥ ngưỡng; ","")&amp;IF(AND(AB154&lt;&gt;"",N(AB154)&lt;0),"Thanh toán vượt giá trị HĐ; ","")))</f>
        <v/>
      </c>
      <c r="AG154" s="108" t="n"/>
      <c r="AH154" s="109" t="n"/>
      <c r="AI154" s="105">
        <f>IF(OR(H154="",O154="",AH154&lt;&gt;""),"",O154-'THAM SO'!$B$8)</f>
        <v/>
      </c>
      <c r="AJ154" s="95">
        <f>IF(H154="","",IF(AH154&lt;&gt;"","Đã thanh lý",IF(AND(N154&lt;&gt;"",N154&gt;'THAM SO'!$B$8),"Chưa hiệu lực",IF(O154="","Đang thực hiện",IF(O154&lt;'THAM SO'!$B$8,IF(P154="Có","Đã tự gia hạn – kiểm tra","Quá hạn – chưa thanh lý"),IF(O154-'THAM SO'!$B$8&lt;='THAM SO'!$B$9,"Sắp hết hạn","Đang thực hiện"))))))</f>
        <v/>
      </c>
      <c r="AK154" s="106">
        <f>IF(AND(O154="",AH154=""),"",EDATE(MAX(N(O154),N(AH154)),12*'THAM SO'!$B$12))</f>
        <v/>
      </c>
      <c r="AL154" s="110" t="n"/>
    </row>
    <row r="155" ht="15" customHeight="1" s="64">
      <c r="A155" s="93">
        <f>IF(H155="","",COUNTA($H$9:H155))</f>
        <v/>
      </c>
      <c r="B155" s="93">
        <f>IF(OR(D155="",G155=""),"",YEAR(G155)&amp;"/"&amp;D155&amp;"/"&amp;TEXT(SUMPRODUCT(($D$9:D155=D155)*(YEAR($G$9:G155)=YEAR(G155))),"000")&amp;"-"&amp;'THAM SO'!$B$7)</f>
        <v/>
      </c>
      <c r="C155" s="107" t="n"/>
      <c r="D155" s="107" t="n"/>
      <c r="E155" s="95">
        <f>IF(D155="","",IFERROR(VLOOKUP(D155,'THAM SO'!$D$6:$E$40,2,FALSE()),"Mã loại chưa khai báo"))</f>
        <v/>
      </c>
      <c r="F155" s="108" t="n"/>
      <c r="G155" s="109" t="n"/>
      <c r="H155" s="110" t="n"/>
      <c r="I155" s="108" t="n"/>
      <c r="J155" s="110" t="n"/>
      <c r="K155" s="108" t="n"/>
      <c r="L155" s="108" t="n"/>
      <c r="M155" s="108" t="n"/>
      <c r="N155" s="109" t="n"/>
      <c r="O155" s="109" t="n"/>
      <c r="P155" s="107" t="n"/>
      <c r="Q155" s="107" t="n"/>
      <c r="R155" s="111" t="n"/>
      <c r="S155" s="112" t="n"/>
      <c r="T155" s="113" t="n"/>
      <c r="U155" s="102">
        <f>IF(S155="","",ROUND(S155*N(T155),2))</f>
        <v/>
      </c>
      <c r="V155" s="102">
        <f>IF(S155="","",S155+U155)</f>
        <v/>
      </c>
      <c r="W155" s="103">
        <f>IF(V155="","",ROUND(V155*IF(OR(Q155="",Q155="VND"),1,R155),0))</f>
        <v/>
      </c>
      <c r="X155" s="111" t="n"/>
      <c r="Y155" s="103">
        <f>IF(W155="","",W155+N(X155))</f>
        <v/>
      </c>
      <c r="Z155" s="103">
        <f>IF(B155="","",SUMIFS('NHAT KY THANH TOAN'!$G:$G,'NHAT KY THANH TOAN'!$B:$B,B155,'NHAT KY THANH TOAN'!$D:$D,"Hóa đơn"))</f>
        <v/>
      </c>
      <c r="AA155" s="103">
        <f>IF(B155="","",SUMIFS('NHAT KY THANH TOAN'!$G:$G,'NHAT KY THANH TOAN'!$B:$B,B155,'NHAT KY THANH TOAN'!$D:$D,"Thanh toán"))</f>
        <v/>
      </c>
      <c r="AB155" s="103">
        <f>IF(Y155="","",Y155-N(AA155))</f>
        <v/>
      </c>
      <c r="AC155" s="103">
        <f>IF(B155="","",N(Z155)-N(AA155))</f>
        <v/>
      </c>
      <c r="AD155" s="104">
        <f>IF(N(Y155)=0,"",N(AA155)/Y155)</f>
        <v/>
      </c>
      <c r="AE155" s="107" t="n"/>
      <c r="AF155" s="95">
        <f>IF(H155="","",TRIM(IF(AND(N(Y155)&gt;='THAM SO'!$B$10,AE155&lt;&gt;"Có"),"Chưa rà soát pháp lý; ","")&amp;IF(I155="","Thiếu MST đối tác; ","")&amp;IF(AG155="","Chưa ghi nơi lưu bản gốc; ","")&amp;IF(COUNTIFS('NHAT KY THANH TOAN'!$B:$B,B155,'NHAT KY THANH TOAN'!$D:$D,"Thanh toán",'NHAT KY THANH TOAN'!$F:$F,"Tiền mặt",'NHAT KY THANH TOAN'!$G:$G,"&gt;="&amp;'THAM SO'!$B$11)&gt;0,"Có khoản TT tiền mặt ≥ ngưỡng; ","")&amp;IF(AND(AB155&lt;&gt;"",N(AB155)&lt;0),"Thanh toán vượt giá trị HĐ; ","")))</f>
        <v/>
      </c>
      <c r="AG155" s="108" t="n"/>
      <c r="AH155" s="109" t="n"/>
      <c r="AI155" s="105">
        <f>IF(OR(H155="",O155="",AH155&lt;&gt;""),"",O155-'THAM SO'!$B$8)</f>
        <v/>
      </c>
      <c r="AJ155" s="95">
        <f>IF(H155="","",IF(AH155&lt;&gt;"","Đã thanh lý",IF(AND(N155&lt;&gt;"",N155&gt;'THAM SO'!$B$8),"Chưa hiệu lực",IF(O155="","Đang thực hiện",IF(O155&lt;'THAM SO'!$B$8,IF(P155="Có","Đã tự gia hạn – kiểm tra","Quá hạn – chưa thanh lý"),IF(O155-'THAM SO'!$B$8&lt;='THAM SO'!$B$9,"Sắp hết hạn","Đang thực hiện"))))))</f>
        <v/>
      </c>
      <c r="AK155" s="106">
        <f>IF(AND(O155="",AH155=""),"",EDATE(MAX(N(O155),N(AH155)),12*'THAM SO'!$B$12))</f>
        <v/>
      </c>
      <c r="AL155" s="110" t="n"/>
    </row>
    <row r="156" ht="15" customHeight="1" s="64">
      <c r="A156" s="93">
        <f>IF(H156="","",COUNTA($H$9:H156))</f>
        <v/>
      </c>
      <c r="B156" s="93">
        <f>IF(OR(D156="",G156=""),"",YEAR(G156)&amp;"/"&amp;D156&amp;"/"&amp;TEXT(SUMPRODUCT(($D$9:D156=D156)*(YEAR($G$9:G156)=YEAR(G156))),"000")&amp;"-"&amp;'THAM SO'!$B$7)</f>
        <v/>
      </c>
      <c r="C156" s="107" t="n"/>
      <c r="D156" s="107" t="n"/>
      <c r="E156" s="95">
        <f>IF(D156="","",IFERROR(VLOOKUP(D156,'THAM SO'!$D$6:$E$40,2,FALSE()),"Mã loại chưa khai báo"))</f>
        <v/>
      </c>
      <c r="F156" s="108" t="n"/>
      <c r="G156" s="109" t="n"/>
      <c r="H156" s="110" t="n"/>
      <c r="I156" s="108" t="n"/>
      <c r="J156" s="110" t="n"/>
      <c r="K156" s="108" t="n"/>
      <c r="L156" s="108" t="n"/>
      <c r="M156" s="108" t="n"/>
      <c r="N156" s="109" t="n"/>
      <c r="O156" s="109" t="n"/>
      <c r="P156" s="107" t="n"/>
      <c r="Q156" s="107" t="n"/>
      <c r="R156" s="111" t="n"/>
      <c r="S156" s="112" t="n"/>
      <c r="T156" s="113" t="n"/>
      <c r="U156" s="102">
        <f>IF(S156="","",ROUND(S156*N(T156),2))</f>
        <v/>
      </c>
      <c r="V156" s="102">
        <f>IF(S156="","",S156+U156)</f>
        <v/>
      </c>
      <c r="W156" s="103">
        <f>IF(V156="","",ROUND(V156*IF(OR(Q156="",Q156="VND"),1,R156),0))</f>
        <v/>
      </c>
      <c r="X156" s="111" t="n"/>
      <c r="Y156" s="103">
        <f>IF(W156="","",W156+N(X156))</f>
        <v/>
      </c>
      <c r="Z156" s="103">
        <f>IF(B156="","",SUMIFS('NHAT KY THANH TOAN'!$G:$G,'NHAT KY THANH TOAN'!$B:$B,B156,'NHAT KY THANH TOAN'!$D:$D,"Hóa đơn"))</f>
        <v/>
      </c>
      <c r="AA156" s="103">
        <f>IF(B156="","",SUMIFS('NHAT KY THANH TOAN'!$G:$G,'NHAT KY THANH TOAN'!$B:$B,B156,'NHAT KY THANH TOAN'!$D:$D,"Thanh toán"))</f>
        <v/>
      </c>
      <c r="AB156" s="103">
        <f>IF(Y156="","",Y156-N(AA156))</f>
        <v/>
      </c>
      <c r="AC156" s="103">
        <f>IF(B156="","",N(Z156)-N(AA156))</f>
        <v/>
      </c>
      <c r="AD156" s="104">
        <f>IF(N(Y156)=0,"",N(AA156)/Y156)</f>
        <v/>
      </c>
      <c r="AE156" s="107" t="n"/>
      <c r="AF156" s="95">
        <f>IF(H156="","",TRIM(IF(AND(N(Y156)&gt;='THAM SO'!$B$10,AE156&lt;&gt;"Có"),"Chưa rà soát pháp lý; ","")&amp;IF(I156="","Thiếu MST đối tác; ","")&amp;IF(AG156="","Chưa ghi nơi lưu bản gốc; ","")&amp;IF(COUNTIFS('NHAT KY THANH TOAN'!$B:$B,B156,'NHAT KY THANH TOAN'!$D:$D,"Thanh toán",'NHAT KY THANH TOAN'!$F:$F,"Tiền mặt",'NHAT KY THANH TOAN'!$G:$G,"&gt;="&amp;'THAM SO'!$B$11)&gt;0,"Có khoản TT tiền mặt ≥ ngưỡng; ","")&amp;IF(AND(AB156&lt;&gt;"",N(AB156)&lt;0),"Thanh toán vượt giá trị HĐ; ","")))</f>
        <v/>
      </c>
      <c r="AG156" s="108" t="n"/>
      <c r="AH156" s="109" t="n"/>
      <c r="AI156" s="105">
        <f>IF(OR(H156="",O156="",AH156&lt;&gt;""),"",O156-'THAM SO'!$B$8)</f>
        <v/>
      </c>
      <c r="AJ156" s="95">
        <f>IF(H156="","",IF(AH156&lt;&gt;"","Đã thanh lý",IF(AND(N156&lt;&gt;"",N156&gt;'THAM SO'!$B$8),"Chưa hiệu lực",IF(O156="","Đang thực hiện",IF(O156&lt;'THAM SO'!$B$8,IF(P156="Có","Đã tự gia hạn – kiểm tra","Quá hạn – chưa thanh lý"),IF(O156-'THAM SO'!$B$8&lt;='THAM SO'!$B$9,"Sắp hết hạn","Đang thực hiện"))))))</f>
        <v/>
      </c>
      <c r="AK156" s="106">
        <f>IF(AND(O156="",AH156=""),"",EDATE(MAX(N(O156),N(AH156)),12*'THAM SO'!$B$12))</f>
        <v/>
      </c>
      <c r="AL156" s="110" t="n"/>
    </row>
    <row r="157" ht="15" customHeight="1" s="64">
      <c r="A157" s="93">
        <f>IF(H157="","",COUNTA($H$9:H157))</f>
        <v/>
      </c>
      <c r="B157" s="93">
        <f>IF(OR(D157="",G157=""),"",YEAR(G157)&amp;"/"&amp;D157&amp;"/"&amp;TEXT(SUMPRODUCT(($D$9:D157=D157)*(YEAR($G$9:G157)=YEAR(G157))),"000")&amp;"-"&amp;'THAM SO'!$B$7)</f>
        <v/>
      </c>
      <c r="C157" s="107" t="n"/>
      <c r="D157" s="107" t="n"/>
      <c r="E157" s="95">
        <f>IF(D157="","",IFERROR(VLOOKUP(D157,'THAM SO'!$D$6:$E$40,2,FALSE()),"Mã loại chưa khai báo"))</f>
        <v/>
      </c>
      <c r="F157" s="108" t="n"/>
      <c r="G157" s="109" t="n"/>
      <c r="H157" s="110" t="n"/>
      <c r="I157" s="108" t="n"/>
      <c r="J157" s="110" t="n"/>
      <c r="K157" s="108" t="n"/>
      <c r="L157" s="108" t="n"/>
      <c r="M157" s="108" t="n"/>
      <c r="N157" s="109" t="n"/>
      <c r="O157" s="109" t="n"/>
      <c r="P157" s="107" t="n"/>
      <c r="Q157" s="107" t="n"/>
      <c r="R157" s="111" t="n"/>
      <c r="S157" s="112" t="n"/>
      <c r="T157" s="113" t="n"/>
      <c r="U157" s="102">
        <f>IF(S157="","",ROUND(S157*N(T157),2))</f>
        <v/>
      </c>
      <c r="V157" s="102">
        <f>IF(S157="","",S157+U157)</f>
        <v/>
      </c>
      <c r="W157" s="103">
        <f>IF(V157="","",ROUND(V157*IF(OR(Q157="",Q157="VND"),1,R157),0))</f>
        <v/>
      </c>
      <c r="X157" s="111" t="n"/>
      <c r="Y157" s="103">
        <f>IF(W157="","",W157+N(X157))</f>
        <v/>
      </c>
      <c r="Z157" s="103">
        <f>IF(B157="","",SUMIFS('NHAT KY THANH TOAN'!$G:$G,'NHAT KY THANH TOAN'!$B:$B,B157,'NHAT KY THANH TOAN'!$D:$D,"Hóa đơn"))</f>
        <v/>
      </c>
      <c r="AA157" s="103">
        <f>IF(B157="","",SUMIFS('NHAT KY THANH TOAN'!$G:$G,'NHAT KY THANH TOAN'!$B:$B,B157,'NHAT KY THANH TOAN'!$D:$D,"Thanh toán"))</f>
        <v/>
      </c>
      <c r="AB157" s="103">
        <f>IF(Y157="","",Y157-N(AA157))</f>
        <v/>
      </c>
      <c r="AC157" s="103">
        <f>IF(B157="","",N(Z157)-N(AA157))</f>
        <v/>
      </c>
      <c r="AD157" s="104">
        <f>IF(N(Y157)=0,"",N(AA157)/Y157)</f>
        <v/>
      </c>
      <c r="AE157" s="107" t="n"/>
      <c r="AF157" s="95">
        <f>IF(H157="","",TRIM(IF(AND(N(Y157)&gt;='THAM SO'!$B$10,AE157&lt;&gt;"Có"),"Chưa rà soát pháp lý; ","")&amp;IF(I157="","Thiếu MST đối tác; ","")&amp;IF(AG157="","Chưa ghi nơi lưu bản gốc; ","")&amp;IF(COUNTIFS('NHAT KY THANH TOAN'!$B:$B,B157,'NHAT KY THANH TOAN'!$D:$D,"Thanh toán",'NHAT KY THANH TOAN'!$F:$F,"Tiền mặt",'NHAT KY THANH TOAN'!$G:$G,"&gt;="&amp;'THAM SO'!$B$11)&gt;0,"Có khoản TT tiền mặt ≥ ngưỡng; ","")&amp;IF(AND(AB157&lt;&gt;"",N(AB157)&lt;0),"Thanh toán vượt giá trị HĐ; ","")))</f>
        <v/>
      </c>
      <c r="AG157" s="108" t="n"/>
      <c r="AH157" s="109" t="n"/>
      <c r="AI157" s="105">
        <f>IF(OR(H157="",O157="",AH157&lt;&gt;""),"",O157-'THAM SO'!$B$8)</f>
        <v/>
      </c>
      <c r="AJ157" s="95">
        <f>IF(H157="","",IF(AH157&lt;&gt;"","Đã thanh lý",IF(AND(N157&lt;&gt;"",N157&gt;'THAM SO'!$B$8),"Chưa hiệu lực",IF(O157="","Đang thực hiện",IF(O157&lt;'THAM SO'!$B$8,IF(P157="Có","Đã tự gia hạn – kiểm tra","Quá hạn – chưa thanh lý"),IF(O157-'THAM SO'!$B$8&lt;='THAM SO'!$B$9,"Sắp hết hạn","Đang thực hiện"))))))</f>
        <v/>
      </c>
      <c r="AK157" s="106">
        <f>IF(AND(O157="",AH157=""),"",EDATE(MAX(N(O157),N(AH157)),12*'THAM SO'!$B$12))</f>
        <v/>
      </c>
      <c r="AL157" s="110" t="n"/>
    </row>
    <row r="158" ht="15" customHeight="1" s="64">
      <c r="A158" s="93">
        <f>IF(H158="","",COUNTA($H$9:H158))</f>
        <v/>
      </c>
      <c r="B158" s="93">
        <f>IF(OR(D158="",G158=""),"",YEAR(G158)&amp;"/"&amp;D158&amp;"/"&amp;TEXT(SUMPRODUCT(($D$9:D158=D158)*(YEAR($G$9:G158)=YEAR(G158))),"000")&amp;"-"&amp;'THAM SO'!$B$7)</f>
        <v/>
      </c>
      <c r="C158" s="107" t="n"/>
      <c r="D158" s="107" t="n"/>
      <c r="E158" s="95">
        <f>IF(D158="","",IFERROR(VLOOKUP(D158,'THAM SO'!$D$6:$E$40,2,FALSE()),"Mã loại chưa khai báo"))</f>
        <v/>
      </c>
      <c r="F158" s="108" t="n"/>
      <c r="G158" s="109" t="n"/>
      <c r="H158" s="110" t="n"/>
      <c r="I158" s="108" t="n"/>
      <c r="J158" s="110" t="n"/>
      <c r="K158" s="108" t="n"/>
      <c r="L158" s="108" t="n"/>
      <c r="M158" s="108" t="n"/>
      <c r="N158" s="109" t="n"/>
      <c r="O158" s="109" t="n"/>
      <c r="P158" s="107" t="n"/>
      <c r="Q158" s="107" t="n"/>
      <c r="R158" s="111" t="n"/>
      <c r="S158" s="112" t="n"/>
      <c r="T158" s="113" t="n"/>
      <c r="U158" s="102">
        <f>IF(S158="","",ROUND(S158*N(T158),2))</f>
        <v/>
      </c>
      <c r="V158" s="102">
        <f>IF(S158="","",S158+U158)</f>
        <v/>
      </c>
      <c r="W158" s="103">
        <f>IF(V158="","",ROUND(V158*IF(OR(Q158="",Q158="VND"),1,R158),0))</f>
        <v/>
      </c>
      <c r="X158" s="111" t="n"/>
      <c r="Y158" s="103">
        <f>IF(W158="","",W158+N(X158))</f>
        <v/>
      </c>
      <c r="Z158" s="103">
        <f>IF(B158="","",SUMIFS('NHAT KY THANH TOAN'!$G:$G,'NHAT KY THANH TOAN'!$B:$B,B158,'NHAT KY THANH TOAN'!$D:$D,"Hóa đơn"))</f>
        <v/>
      </c>
      <c r="AA158" s="103">
        <f>IF(B158="","",SUMIFS('NHAT KY THANH TOAN'!$G:$G,'NHAT KY THANH TOAN'!$B:$B,B158,'NHAT KY THANH TOAN'!$D:$D,"Thanh toán"))</f>
        <v/>
      </c>
      <c r="AB158" s="103">
        <f>IF(Y158="","",Y158-N(AA158))</f>
        <v/>
      </c>
      <c r="AC158" s="103">
        <f>IF(B158="","",N(Z158)-N(AA158))</f>
        <v/>
      </c>
      <c r="AD158" s="104">
        <f>IF(N(Y158)=0,"",N(AA158)/Y158)</f>
        <v/>
      </c>
      <c r="AE158" s="107" t="n"/>
      <c r="AF158" s="95">
        <f>IF(H158="","",TRIM(IF(AND(N(Y158)&gt;='THAM SO'!$B$10,AE158&lt;&gt;"Có"),"Chưa rà soát pháp lý; ","")&amp;IF(I158="","Thiếu MST đối tác; ","")&amp;IF(AG158="","Chưa ghi nơi lưu bản gốc; ","")&amp;IF(COUNTIFS('NHAT KY THANH TOAN'!$B:$B,B158,'NHAT KY THANH TOAN'!$D:$D,"Thanh toán",'NHAT KY THANH TOAN'!$F:$F,"Tiền mặt",'NHAT KY THANH TOAN'!$G:$G,"&gt;="&amp;'THAM SO'!$B$11)&gt;0,"Có khoản TT tiền mặt ≥ ngưỡng; ","")&amp;IF(AND(AB158&lt;&gt;"",N(AB158)&lt;0),"Thanh toán vượt giá trị HĐ; ","")))</f>
        <v/>
      </c>
      <c r="AG158" s="108" t="n"/>
      <c r="AH158" s="109" t="n"/>
      <c r="AI158" s="105">
        <f>IF(OR(H158="",O158="",AH158&lt;&gt;""),"",O158-'THAM SO'!$B$8)</f>
        <v/>
      </c>
      <c r="AJ158" s="95">
        <f>IF(H158="","",IF(AH158&lt;&gt;"","Đã thanh lý",IF(AND(N158&lt;&gt;"",N158&gt;'THAM SO'!$B$8),"Chưa hiệu lực",IF(O158="","Đang thực hiện",IF(O158&lt;'THAM SO'!$B$8,IF(P158="Có","Đã tự gia hạn – kiểm tra","Quá hạn – chưa thanh lý"),IF(O158-'THAM SO'!$B$8&lt;='THAM SO'!$B$9,"Sắp hết hạn","Đang thực hiện"))))))</f>
        <v/>
      </c>
      <c r="AK158" s="106">
        <f>IF(AND(O158="",AH158=""),"",EDATE(MAX(N(O158),N(AH158)),12*'THAM SO'!$B$12))</f>
        <v/>
      </c>
      <c r="AL158" s="110" t="n"/>
    </row>
    <row r="159" ht="15" customHeight="1" s="64">
      <c r="A159" s="93">
        <f>IF(H159="","",COUNTA($H$9:H159))</f>
        <v/>
      </c>
      <c r="B159" s="93">
        <f>IF(OR(D159="",G159=""),"",YEAR(G159)&amp;"/"&amp;D159&amp;"/"&amp;TEXT(SUMPRODUCT(($D$9:D159=D159)*(YEAR($G$9:G159)=YEAR(G159))),"000")&amp;"-"&amp;'THAM SO'!$B$7)</f>
        <v/>
      </c>
      <c r="C159" s="107" t="n"/>
      <c r="D159" s="107" t="n"/>
      <c r="E159" s="95">
        <f>IF(D159="","",IFERROR(VLOOKUP(D159,'THAM SO'!$D$6:$E$40,2,FALSE()),"Mã loại chưa khai báo"))</f>
        <v/>
      </c>
      <c r="F159" s="108" t="n"/>
      <c r="G159" s="109" t="n"/>
      <c r="H159" s="110" t="n"/>
      <c r="I159" s="108" t="n"/>
      <c r="J159" s="110" t="n"/>
      <c r="K159" s="108" t="n"/>
      <c r="L159" s="108" t="n"/>
      <c r="M159" s="108" t="n"/>
      <c r="N159" s="109" t="n"/>
      <c r="O159" s="109" t="n"/>
      <c r="P159" s="107" t="n"/>
      <c r="Q159" s="107" t="n"/>
      <c r="R159" s="111" t="n"/>
      <c r="S159" s="112" t="n"/>
      <c r="T159" s="113" t="n"/>
      <c r="U159" s="102">
        <f>IF(S159="","",ROUND(S159*N(T159),2))</f>
        <v/>
      </c>
      <c r="V159" s="102">
        <f>IF(S159="","",S159+U159)</f>
        <v/>
      </c>
      <c r="W159" s="103">
        <f>IF(V159="","",ROUND(V159*IF(OR(Q159="",Q159="VND"),1,R159),0))</f>
        <v/>
      </c>
      <c r="X159" s="111" t="n"/>
      <c r="Y159" s="103">
        <f>IF(W159="","",W159+N(X159))</f>
        <v/>
      </c>
      <c r="Z159" s="103">
        <f>IF(B159="","",SUMIFS('NHAT KY THANH TOAN'!$G:$G,'NHAT KY THANH TOAN'!$B:$B,B159,'NHAT KY THANH TOAN'!$D:$D,"Hóa đơn"))</f>
        <v/>
      </c>
      <c r="AA159" s="103">
        <f>IF(B159="","",SUMIFS('NHAT KY THANH TOAN'!$G:$G,'NHAT KY THANH TOAN'!$B:$B,B159,'NHAT KY THANH TOAN'!$D:$D,"Thanh toán"))</f>
        <v/>
      </c>
      <c r="AB159" s="103">
        <f>IF(Y159="","",Y159-N(AA159))</f>
        <v/>
      </c>
      <c r="AC159" s="103">
        <f>IF(B159="","",N(Z159)-N(AA159))</f>
        <v/>
      </c>
      <c r="AD159" s="104">
        <f>IF(N(Y159)=0,"",N(AA159)/Y159)</f>
        <v/>
      </c>
      <c r="AE159" s="107" t="n"/>
      <c r="AF159" s="95">
        <f>IF(H159="","",TRIM(IF(AND(N(Y159)&gt;='THAM SO'!$B$10,AE159&lt;&gt;"Có"),"Chưa rà soát pháp lý; ","")&amp;IF(I159="","Thiếu MST đối tác; ","")&amp;IF(AG159="","Chưa ghi nơi lưu bản gốc; ","")&amp;IF(COUNTIFS('NHAT KY THANH TOAN'!$B:$B,B159,'NHAT KY THANH TOAN'!$D:$D,"Thanh toán",'NHAT KY THANH TOAN'!$F:$F,"Tiền mặt",'NHAT KY THANH TOAN'!$G:$G,"&gt;="&amp;'THAM SO'!$B$11)&gt;0,"Có khoản TT tiền mặt ≥ ngưỡng; ","")&amp;IF(AND(AB159&lt;&gt;"",N(AB159)&lt;0),"Thanh toán vượt giá trị HĐ; ","")))</f>
        <v/>
      </c>
      <c r="AG159" s="108" t="n"/>
      <c r="AH159" s="109" t="n"/>
      <c r="AI159" s="105">
        <f>IF(OR(H159="",O159="",AH159&lt;&gt;""),"",O159-'THAM SO'!$B$8)</f>
        <v/>
      </c>
      <c r="AJ159" s="95">
        <f>IF(H159="","",IF(AH159&lt;&gt;"","Đã thanh lý",IF(AND(N159&lt;&gt;"",N159&gt;'THAM SO'!$B$8),"Chưa hiệu lực",IF(O159="","Đang thực hiện",IF(O159&lt;'THAM SO'!$B$8,IF(P159="Có","Đã tự gia hạn – kiểm tra","Quá hạn – chưa thanh lý"),IF(O159-'THAM SO'!$B$8&lt;='THAM SO'!$B$9,"Sắp hết hạn","Đang thực hiện"))))))</f>
        <v/>
      </c>
      <c r="AK159" s="106">
        <f>IF(AND(O159="",AH159=""),"",EDATE(MAX(N(O159),N(AH159)),12*'THAM SO'!$B$12))</f>
        <v/>
      </c>
      <c r="AL159" s="110" t="n"/>
    </row>
    <row r="160" ht="15" customHeight="1" s="64">
      <c r="A160" s="93">
        <f>IF(H160="","",COUNTA($H$9:H160))</f>
        <v/>
      </c>
      <c r="B160" s="93">
        <f>IF(OR(D160="",G160=""),"",YEAR(G160)&amp;"/"&amp;D160&amp;"/"&amp;TEXT(SUMPRODUCT(($D$9:D160=D160)*(YEAR($G$9:G160)=YEAR(G160))),"000")&amp;"-"&amp;'THAM SO'!$B$7)</f>
        <v/>
      </c>
      <c r="C160" s="107" t="n"/>
      <c r="D160" s="107" t="n"/>
      <c r="E160" s="95">
        <f>IF(D160="","",IFERROR(VLOOKUP(D160,'THAM SO'!$D$6:$E$40,2,FALSE()),"Mã loại chưa khai báo"))</f>
        <v/>
      </c>
      <c r="F160" s="108" t="n"/>
      <c r="G160" s="109" t="n"/>
      <c r="H160" s="110" t="n"/>
      <c r="I160" s="108" t="n"/>
      <c r="J160" s="110" t="n"/>
      <c r="K160" s="108" t="n"/>
      <c r="L160" s="108" t="n"/>
      <c r="M160" s="108" t="n"/>
      <c r="N160" s="109" t="n"/>
      <c r="O160" s="109" t="n"/>
      <c r="P160" s="107" t="n"/>
      <c r="Q160" s="107" t="n"/>
      <c r="R160" s="111" t="n"/>
      <c r="S160" s="112" t="n"/>
      <c r="T160" s="113" t="n"/>
      <c r="U160" s="102">
        <f>IF(S160="","",ROUND(S160*N(T160),2))</f>
        <v/>
      </c>
      <c r="V160" s="102">
        <f>IF(S160="","",S160+U160)</f>
        <v/>
      </c>
      <c r="W160" s="103">
        <f>IF(V160="","",ROUND(V160*IF(OR(Q160="",Q160="VND"),1,R160),0))</f>
        <v/>
      </c>
      <c r="X160" s="111" t="n"/>
      <c r="Y160" s="103">
        <f>IF(W160="","",W160+N(X160))</f>
        <v/>
      </c>
      <c r="Z160" s="103">
        <f>IF(B160="","",SUMIFS('NHAT KY THANH TOAN'!$G:$G,'NHAT KY THANH TOAN'!$B:$B,B160,'NHAT KY THANH TOAN'!$D:$D,"Hóa đơn"))</f>
        <v/>
      </c>
      <c r="AA160" s="103">
        <f>IF(B160="","",SUMIFS('NHAT KY THANH TOAN'!$G:$G,'NHAT KY THANH TOAN'!$B:$B,B160,'NHAT KY THANH TOAN'!$D:$D,"Thanh toán"))</f>
        <v/>
      </c>
      <c r="AB160" s="103">
        <f>IF(Y160="","",Y160-N(AA160))</f>
        <v/>
      </c>
      <c r="AC160" s="103">
        <f>IF(B160="","",N(Z160)-N(AA160))</f>
        <v/>
      </c>
      <c r="AD160" s="104">
        <f>IF(N(Y160)=0,"",N(AA160)/Y160)</f>
        <v/>
      </c>
      <c r="AE160" s="107" t="n"/>
      <c r="AF160" s="95">
        <f>IF(H160="","",TRIM(IF(AND(N(Y160)&gt;='THAM SO'!$B$10,AE160&lt;&gt;"Có"),"Chưa rà soát pháp lý; ","")&amp;IF(I160="","Thiếu MST đối tác; ","")&amp;IF(AG160="","Chưa ghi nơi lưu bản gốc; ","")&amp;IF(COUNTIFS('NHAT KY THANH TOAN'!$B:$B,B160,'NHAT KY THANH TOAN'!$D:$D,"Thanh toán",'NHAT KY THANH TOAN'!$F:$F,"Tiền mặt",'NHAT KY THANH TOAN'!$G:$G,"&gt;="&amp;'THAM SO'!$B$11)&gt;0,"Có khoản TT tiền mặt ≥ ngưỡng; ","")&amp;IF(AND(AB160&lt;&gt;"",N(AB160)&lt;0),"Thanh toán vượt giá trị HĐ; ","")))</f>
        <v/>
      </c>
      <c r="AG160" s="108" t="n"/>
      <c r="AH160" s="109" t="n"/>
      <c r="AI160" s="105">
        <f>IF(OR(H160="",O160="",AH160&lt;&gt;""),"",O160-'THAM SO'!$B$8)</f>
        <v/>
      </c>
      <c r="AJ160" s="95">
        <f>IF(H160="","",IF(AH160&lt;&gt;"","Đã thanh lý",IF(AND(N160&lt;&gt;"",N160&gt;'THAM SO'!$B$8),"Chưa hiệu lực",IF(O160="","Đang thực hiện",IF(O160&lt;'THAM SO'!$B$8,IF(P160="Có","Đã tự gia hạn – kiểm tra","Quá hạn – chưa thanh lý"),IF(O160-'THAM SO'!$B$8&lt;='THAM SO'!$B$9,"Sắp hết hạn","Đang thực hiện"))))))</f>
        <v/>
      </c>
      <c r="AK160" s="106">
        <f>IF(AND(O160="",AH160=""),"",EDATE(MAX(N(O160),N(AH160)),12*'THAM SO'!$B$12))</f>
        <v/>
      </c>
      <c r="AL160" s="110" t="n"/>
    </row>
    <row r="161" ht="15" customHeight="1" s="64">
      <c r="A161" s="93">
        <f>IF(H161="","",COUNTA($H$9:H161))</f>
        <v/>
      </c>
      <c r="B161" s="93">
        <f>IF(OR(D161="",G161=""),"",YEAR(G161)&amp;"/"&amp;D161&amp;"/"&amp;TEXT(SUMPRODUCT(($D$9:D161=D161)*(YEAR($G$9:G161)=YEAR(G161))),"000")&amp;"-"&amp;'THAM SO'!$B$7)</f>
        <v/>
      </c>
      <c r="C161" s="107" t="n"/>
      <c r="D161" s="107" t="n"/>
      <c r="E161" s="95">
        <f>IF(D161="","",IFERROR(VLOOKUP(D161,'THAM SO'!$D$6:$E$40,2,FALSE()),"Mã loại chưa khai báo"))</f>
        <v/>
      </c>
      <c r="F161" s="108" t="n"/>
      <c r="G161" s="109" t="n"/>
      <c r="H161" s="110" t="n"/>
      <c r="I161" s="108" t="n"/>
      <c r="J161" s="110" t="n"/>
      <c r="K161" s="108" t="n"/>
      <c r="L161" s="108" t="n"/>
      <c r="M161" s="108" t="n"/>
      <c r="N161" s="109" t="n"/>
      <c r="O161" s="109" t="n"/>
      <c r="P161" s="107" t="n"/>
      <c r="Q161" s="107" t="n"/>
      <c r="R161" s="111" t="n"/>
      <c r="S161" s="112" t="n"/>
      <c r="T161" s="113" t="n"/>
      <c r="U161" s="102">
        <f>IF(S161="","",ROUND(S161*N(T161),2))</f>
        <v/>
      </c>
      <c r="V161" s="102">
        <f>IF(S161="","",S161+U161)</f>
        <v/>
      </c>
      <c r="W161" s="103">
        <f>IF(V161="","",ROUND(V161*IF(OR(Q161="",Q161="VND"),1,R161),0))</f>
        <v/>
      </c>
      <c r="X161" s="111" t="n"/>
      <c r="Y161" s="103">
        <f>IF(W161="","",W161+N(X161))</f>
        <v/>
      </c>
      <c r="Z161" s="103">
        <f>IF(B161="","",SUMIFS('NHAT KY THANH TOAN'!$G:$G,'NHAT KY THANH TOAN'!$B:$B,B161,'NHAT KY THANH TOAN'!$D:$D,"Hóa đơn"))</f>
        <v/>
      </c>
      <c r="AA161" s="103">
        <f>IF(B161="","",SUMIFS('NHAT KY THANH TOAN'!$G:$G,'NHAT KY THANH TOAN'!$B:$B,B161,'NHAT KY THANH TOAN'!$D:$D,"Thanh toán"))</f>
        <v/>
      </c>
      <c r="AB161" s="103">
        <f>IF(Y161="","",Y161-N(AA161))</f>
        <v/>
      </c>
      <c r="AC161" s="103">
        <f>IF(B161="","",N(Z161)-N(AA161))</f>
        <v/>
      </c>
      <c r="AD161" s="104">
        <f>IF(N(Y161)=0,"",N(AA161)/Y161)</f>
        <v/>
      </c>
      <c r="AE161" s="107" t="n"/>
      <c r="AF161" s="95">
        <f>IF(H161="","",TRIM(IF(AND(N(Y161)&gt;='THAM SO'!$B$10,AE161&lt;&gt;"Có"),"Chưa rà soát pháp lý; ","")&amp;IF(I161="","Thiếu MST đối tác; ","")&amp;IF(AG161="","Chưa ghi nơi lưu bản gốc; ","")&amp;IF(COUNTIFS('NHAT KY THANH TOAN'!$B:$B,B161,'NHAT KY THANH TOAN'!$D:$D,"Thanh toán",'NHAT KY THANH TOAN'!$F:$F,"Tiền mặt",'NHAT KY THANH TOAN'!$G:$G,"&gt;="&amp;'THAM SO'!$B$11)&gt;0,"Có khoản TT tiền mặt ≥ ngưỡng; ","")&amp;IF(AND(AB161&lt;&gt;"",N(AB161)&lt;0),"Thanh toán vượt giá trị HĐ; ","")))</f>
        <v/>
      </c>
      <c r="AG161" s="108" t="n"/>
      <c r="AH161" s="109" t="n"/>
      <c r="AI161" s="105">
        <f>IF(OR(H161="",O161="",AH161&lt;&gt;""),"",O161-'THAM SO'!$B$8)</f>
        <v/>
      </c>
      <c r="AJ161" s="95">
        <f>IF(H161="","",IF(AH161&lt;&gt;"","Đã thanh lý",IF(AND(N161&lt;&gt;"",N161&gt;'THAM SO'!$B$8),"Chưa hiệu lực",IF(O161="","Đang thực hiện",IF(O161&lt;'THAM SO'!$B$8,IF(P161="Có","Đã tự gia hạn – kiểm tra","Quá hạn – chưa thanh lý"),IF(O161-'THAM SO'!$B$8&lt;='THAM SO'!$B$9,"Sắp hết hạn","Đang thực hiện"))))))</f>
        <v/>
      </c>
      <c r="AK161" s="106">
        <f>IF(AND(O161="",AH161=""),"",EDATE(MAX(N(O161),N(AH161)),12*'THAM SO'!$B$12))</f>
        <v/>
      </c>
      <c r="AL161" s="110" t="n"/>
    </row>
    <row r="162" ht="15" customHeight="1" s="64">
      <c r="A162" s="93">
        <f>IF(H162="","",COUNTA($H$9:H162))</f>
        <v/>
      </c>
      <c r="B162" s="93">
        <f>IF(OR(D162="",G162=""),"",YEAR(G162)&amp;"/"&amp;D162&amp;"/"&amp;TEXT(SUMPRODUCT(($D$9:D162=D162)*(YEAR($G$9:G162)=YEAR(G162))),"000")&amp;"-"&amp;'THAM SO'!$B$7)</f>
        <v/>
      </c>
      <c r="C162" s="107" t="n"/>
      <c r="D162" s="107" t="n"/>
      <c r="E162" s="95">
        <f>IF(D162="","",IFERROR(VLOOKUP(D162,'THAM SO'!$D$6:$E$40,2,FALSE()),"Mã loại chưa khai báo"))</f>
        <v/>
      </c>
      <c r="F162" s="108" t="n"/>
      <c r="G162" s="109" t="n"/>
      <c r="H162" s="110" t="n"/>
      <c r="I162" s="108" t="n"/>
      <c r="J162" s="110" t="n"/>
      <c r="K162" s="108" t="n"/>
      <c r="L162" s="108" t="n"/>
      <c r="M162" s="108" t="n"/>
      <c r="N162" s="109" t="n"/>
      <c r="O162" s="109" t="n"/>
      <c r="P162" s="107" t="n"/>
      <c r="Q162" s="107" t="n"/>
      <c r="R162" s="111" t="n"/>
      <c r="S162" s="112" t="n"/>
      <c r="T162" s="113" t="n"/>
      <c r="U162" s="102">
        <f>IF(S162="","",ROUND(S162*N(T162),2))</f>
        <v/>
      </c>
      <c r="V162" s="102">
        <f>IF(S162="","",S162+U162)</f>
        <v/>
      </c>
      <c r="W162" s="103">
        <f>IF(V162="","",ROUND(V162*IF(OR(Q162="",Q162="VND"),1,R162),0))</f>
        <v/>
      </c>
      <c r="X162" s="111" t="n"/>
      <c r="Y162" s="103">
        <f>IF(W162="","",W162+N(X162))</f>
        <v/>
      </c>
      <c r="Z162" s="103">
        <f>IF(B162="","",SUMIFS('NHAT KY THANH TOAN'!$G:$G,'NHAT KY THANH TOAN'!$B:$B,B162,'NHAT KY THANH TOAN'!$D:$D,"Hóa đơn"))</f>
        <v/>
      </c>
      <c r="AA162" s="103">
        <f>IF(B162="","",SUMIFS('NHAT KY THANH TOAN'!$G:$G,'NHAT KY THANH TOAN'!$B:$B,B162,'NHAT KY THANH TOAN'!$D:$D,"Thanh toán"))</f>
        <v/>
      </c>
      <c r="AB162" s="103">
        <f>IF(Y162="","",Y162-N(AA162))</f>
        <v/>
      </c>
      <c r="AC162" s="103">
        <f>IF(B162="","",N(Z162)-N(AA162))</f>
        <v/>
      </c>
      <c r="AD162" s="104">
        <f>IF(N(Y162)=0,"",N(AA162)/Y162)</f>
        <v/>
      </c>
      <c r="AE162" s="107" t="n"/>
      <c r="AF162" s="95">
        <f>IF(H162="","",TRIM(IF(AND(N(Y162)&gt;='THAM SO'!$B$10,AE162&lt;&gt;"Có"),"Chưa rà soát pháp lý; ","")&amp;IF(I162="","Thiếu MST đối tác; ","")&amp;IF(AG162="","Chưa ghi nơi lưu bản gốc; ","")&amp;IF(COUNTIFS('NHAT KY THANH TOAN'!$B:$B,B162,'NHAT KY THANH TOAN'!$D:$D,"Thanh toán",'NHAT KY THANH TOAN'!$F:$F,"Tiền mặt",'NHAT KY THANH TOAN'!$G:$G,"&gt;="&amp;'THAM SO'!$B$11)&gt;0,"Có khoản TT tiền mặt ≥ ngưỡng; ","")&amp;IF(AND(AB162&lt;&gt;"",N(AB162)&lt;0),"Thanh toán vượt giá trị HĐ; ","")))</f>
        <v/>
      </c>
      <c r="AG162" s="108" t="n"/>
      <c r="AH162" s="109" t="n"/>
      <c r="AI162" s="105">
        <f>IF(OR(H162="",O162="",AH162&lt;&gt;""),"",O162-'THAM SO'!$B$8)</f>
        <v/>
      </c>
      <c r="AJ162" s="95">
        <f>IF(H162="","",IF(AH162&lt;&gt;"","Đã thanh lý",IF(AND(N162&lt;&gt;"",N162&gt;'THAM SO'!$B$8),"Chưa hiệu lực",IF(O162="","Đang thực hiện",IF(O162&lt;'THAM SO'!$B$8,IF(P162="Có","Đã tự gia hạn – kiểm tra","Quá hạn – chưa thanh lý"),IF(O162-'THAM SO'!$B$8&lt;='THAM SO'!$B$9,"Sắp hết hạn","Đang thực hiện"))))))</f>
        <v/>
      </c>
      <c r="AK162" s="106">
        <f>IF(AND(O162="",AH162=""),"",EDATE(MAX(N(O162),N(AH162)),12*'THAM SO'!$B$12))</f>
        <v/>
      </c>
      <c r="AL162" s="110" t="n"/>
    </row>
    <row r="163" ht="15" customHeight="1" s="64">
      <c r="A163" s="93">
        <f>IF(H163="","",COUNTA($H$9:H163))</f>
        <v/>
      </c>
      <c r="B163" s="93">
        <f>IF(OR(D163="",G163=""),"",YEAR(G163)&amp;"/"&amp;D163&amp;"/"&amp;TEXT(SUMPRODUCT(($D$9:D163=D163)*(YEAR($G$9:G163)=YEAR(G163))),"000")&amp;"-"&amp;'THAM SO'!$B$7)</f>
        <v/>
      </c>
      <c r="C163" s="107" t="n"/>
      <c r="D163" s="107" t="n"/>
      <c r="E163" s="95">
        <f>IF(D163="","",IFERROR(VLOOKUP(D163,'THAM SO'!$D$6:$E$40,2,FALSE()),"Mã loại chưa khai báo"))</f>
        <v/>
      </c>
      <c r="F163" s="108" t="n"/>
      <c r="G163" s="109" t="n"/>
      <c r="H163" s="110" t="n"/>
      <c r="I163" s="108" t="n"/>
      <c r="J163" s="110" t="n"/>
      <c r="K163" s="108" t="n"/>
      <c r="L163" s="108" t="n"/>
      <c r="M163" s="108" t="n"/>
      <c r="N163" s="109" t="n"/>
      <c r="O163" s="109" t="n"/>
      <c r="P163" s="107" t="n"/>
      <c r="Q163" s="107" t="n"/>
      <c r="R163" s="111" t="n"/>
      <c r="S163" s="112" t="n"/>
      <c r="T163" s="113" t="n"/>
      <c r="U163" s="102">
        <f>IF(S163="","",ROUND(S163*N(T163),2))</f>
        <v/>
      </c>
      <c r="V163" s="102">
        <f>IF(S163="","",S163+U163)</f>
        <v/>
      </c>
      <c r="W163" s="103">
        <f>IF(V163="","",ROUND(V163*IF(OR(Q163="",Q163="VND"),1,R163),0))</f>
        <v/>
      </c>
      <c r="X163" s="111" t="n"/>
      <c r="Y163" s="103">
        <f>IF(W163="","",W163+N(X163))</f>
        <v/>
      </c>
      <c r="Z163" s="103">
        <f>IF(B163="","",SUMIFS('NHAT KY THANH TOAN'!$G:$G,'NHAT KY THANH TOAN'!$B:$B,B163,'NHAT KY THANH TOAN'!$D:$D,"Hóa đơn"))</f>
        <v/>
      </c>
      <c r="AA163" s="103">
        <f>IF(B163="","",SUMIFS('NHAT KY THANH TOAN'!$G:$G,'NHAT KY THANH TOAN'!$B:$B,B163,'NHAT KY THANH TOAN'!$D:$D,"Thanh toán"))</f>
        <v/>
      </c>
      <c r="AB163" s="103">
        <f>IF(Y163="","",Y163-N(AA163))</f>
        <v/>
      </c>
      <c r="AC163" s="103">
        <f>IF(B163="","",N(Z163)-N(AA163))</f>
        <v/>
      </c>
      <c r="AD163" s="104">
        <f>IF(N(Y163)=0,"",N(AA163)/Y163)</f>
        <v/>
      </c>
      <c r="AE163" s="107" t="n"/>
      <c r="AF163" s="95">
        <f>IF(H163="","",TRIM(IF(AND(N(Y163)&gt;='THAM SO'!$B$10,AE163&lt;&gt;"Có"),"Chưa rà soát pháp lý; ","")&amp;IF(I163="","Thiếu MST đối tác; ","")&amp;IF(AG163="","Chưa ghi nơi lưu bản gốc; ","")&amp;IF(COUNTIFS('NHAT KY THANH TOAN'!$B:$B,B163,'NHAT KY THANH TOAN'!$D:$D,"Thanh toán",'NHAT KY THANH TOAN'!$F:$F,"Tiền mặt",'NHAT KY THANH TOAN'!$G:$G,"&gt;="&amp;'THAM SO'!$B$11)&gt;0,"Có khoản TT tiền mặt ≥ ngưỡng; ","")&amp;IF(AND(AB163&lt;&gt;"",N(AB163)&lt;0),"Thanh toán vượt giá trị HĐ; ","")))</f>
        <v/>
      </c>
      <c r="AG163" s="108" t="n"/>
      <c r="AH163" s="109" t="n"/>
      <c r="AI163" s="105">
        <f>IF(OR(H163="",O163="",AH163&lt;&gt;""),"",O163-'THAM SO'!$B$8)</f>
        <v/>
      </c>
      <c r="AJ163" s="95">
        <f>IF(H163="","",IF(AH163&lt;&gt;"","Đã thanh lý",IF(AND(N163&lt;&gt;"",N163&gt;'THAM SO'!$B$8),"Chưa hiệu lực",IF(O163="","Đang thực hiện",IF(O163&lt;'THAM SO'!$B$8,IF(P163="Có","Đã tự gia hạn – kiểm tra","Quá hạn – chưa thanh lý"),IF(O163-'THAM SO'!$B$8&lt;='THAM SO'!$B$9,"Sắp hết hạn","Đang thực hiện"))))))</f>
        <v/>
      </c>
      <c r="AK163" s="106">
        <f>IF(AND(O163="",AH163=""),"",EDATE(MAX(N(O163),N(AH163)),12*'THAM SO'!$B$12))</f>
        <v/>
      </c>
      <c r="AL163" s="110" t="n"/>
    </row>
    <row r="164" ht="15" customHeight="1" s="64">
      <c r="A164" s="93">
        <f>IF(H164="","",COUNTA($H$9:H164))</f>
        <v/>
      </c>
      <c r="B164" s="93">
        <f>IF(OR(D164="",G164=""),"",YEAR(G164)&amp;"/"&amp;D164&amp;"/"&amp;TEXT(SUMPRODUCT(($D$9:D164=D164)*(YEAR($G$9:G164)=YEAR(G164))),"000")&amp;"-"&amp;'THAM SO'!$B$7)</f>
        <v/>
      </c>
      <c r="C164" s="107" t="n"/>
      <c r="D164" s="107" t="n"/>
      <c r="E164" s="95">
        <f>IF(D164="","",IFERROR(VLOOKUP(D164,'THAM SO'!$D$6:$E$40,2,FALSE()),"Mã loại chưa khai báo"))</f>
        <v/>
      </c>
      <c r="F164" s="108" t="n"/>
      <c r="G164" s="109" t="n"/>
      <c r="H164" s="110" t="n"/>
      <c r="I164" s="108" t="n"/>
      <c r="J164" s="110" t="n"/>
      <c r="K164" s="108" t="n"/>
      <c r="L164" s="108" t="n"/>
      <c r="M164" s="108" t="n"/>
      <c r="N164" s="109" t="n"/>
      <c r="O164" s="109" t="n"/>
      <c r="P164" s="107" t="n"/>
      <c r="Q164" s="107" t="n"/>
      <c r="R164" s="111" t="n"/>
      <c r="S164" s="112" t="n"/>
      <c r="T164" s="113" t="n"/>
      <c r="U164" s="102">
        <f>IF(S164="","",ROUND(S164*N(T164),2))</f>
        <v/>
      </c>
      <c r="V164" s="102">
        <f>IF(S164="","",S164+U164)</f>
        <v/>
      </c>
      <c r="W164" s="103">
        <f>IF(V164="","",ROUND(V164*IF(OR(Q164="",Q164="VND"),1,R164),0))</f>
        <v/>
      </c>
      <c r="X164" s="111" t="n"/>
      <c r="Y164" s="103">
        <f>IF(W164="","",W164+N(X164))</f>
        <v/>
      </c>
      <c r="Z164" s="103">
        <f>IF(B164="","",SUMIFS('NHAT KY THANH TOAN'!$G:$G,'NHAT KY THANH TOAN'!$B:$B,B164,'NHAT KY THANH TOAN'!$D:$D,"Hóa đơn"))</f>
        <v/>
      </c>
      <c r="AA164" s="103">
        <f>IF(B164="","",SUMIFS('NHAT KY THANH TOAN'!$G:$G,'NHAT KY THANH TOAN'!$B:$B,B164,'NHAT KY THANH TOAN'!$D:$D,"Thanh toán"))</f>
        <v/>
      </c>
      <c r="AB164" s="103">
        <f>IF(Y164="","",Y164-N(AA164))</f>
        <v/>
      </c>
      <c r="AC164" s="103">
        <f>IF(B164="","",N(Z164)-N(AA164))</f>
        <v/>
      </c>
      <c r="AD164" s="104">
        <f>IF(N(Y164)=0,"",N(AA164)/Y164)</f>
        <v/>
      </c>
      <c r="AE164" s="107" t="n"/>
      <c r="AF164" s="95">
        <f>IF(H164="","",TRIM(IF(AND(N(Y164)&gt;='THAM SO'!$B$10,AE164&lt;&gt;"Có"),"Chưa rà soát pháp lý; ","")&amp;IF(I164="","Thiếu MST đối tác; ","")&amp;IF(AG164="","Chưa ghi nơi lưu bản gốc; ","")&amp;IF(COUNTIFS('NHAT KY THANH TOAN'!$B:$B,B164,'NHAT KY THANH TOAN'!$D:$D,"Thanh toán",'NHAT KY THANH TOAN'!$F:$F,"Tiền mặt",'NHAT KY THANH TOAN'!$G:$G,"&gt;="&amp;'THAM SO'!$B$11)&gt;0,"Có khoản TT tiền mặt ≥ ngưỡng; ","")&amp;IF(AND(AB164&lt;&gt;"",N(AB164)&lt;0),"Thanh toán vượt giá trị HĐ; ","")))</f>
        <v/>
      </c>
      <c r="AG164" s="108" t="n"/>
      <c r="AH164" s="109" t="n"/>
      <c r="AI164" s="105">
        <f>IF(OR(H164="",O164="",AH164&lt;&gt;""),"",O164-'THAM SO'!$B$8)</f>
        <v/>
      </c>
      <c r="AJ164" s="95">
        <f>IF(H164="","",IF(AH164&lt;&gt;"","Đã thanh lý",IF(AND(N164&lt;&gt;"",N164&gt;'THAM SO'!$B$8),"Chưa hiệu lực",IF(O164="","Đang thực hiện",IF(O164&lt;'THAM SO'!$B$8,IF(P164="Có","Đã tự gia hạn – kiểm tra","Quá hạn – chưa thanh lý"),IF(O164-'THAM SO'!$B$8&lt;='THAM SO'!$B$9,"Sắp hết hạn","Đang thực hiện"))))))</f>
        <v/>
      </c>
      <c r="AK164" s="106">
        <f>IF(AND(O164="",AH164=""),"",EDATE(MAX(N(O164),N(AH164)),12*'THAM SO'!$B$12))</f>
        <v/>
      </c>
      <c r="AL164" s="110" t="n"/>
    </row>
    <row r="165" ht="15" customHeight="1" s="64">
      <c r="A165" s="93">
        <f>IF(H165="","",COUNTA($H$9:H165))</f>
        <v/>
      </c>
      <c r="B165" s="93">
        <f>IF(OR(D165="",G165=""),"",YEAR(G165)&amp;"/"&amp;D165&amp;"/"&amp;TEXT(SUMPRODUCT(($D$9:D165=D165)*(YEAR($G$9:G165)=YEAR(G165))),"000")&amp;"-"&amp;'THAM SO'!$B$7)</f>
        <v/>
      </c>
      <c r="C165" s="107" t="n"/>
      <c r="D165" s="107" t="n"/>
      <c r="E165" s="95">
        <f>IF(D165="","",IFERROR(VLOOKUP(D165,'THAM SO'!$D$6:$E$40,2,FALSE()),"Mã loại chưa khai báo"))</f>
        <v/>
      </c>
      <c r="F165" s="108" t="n"/>
      <c r="G165" s="109" t="n"/>
      <c r="H165" s="110" t="n"/>
      <c r="I165" s="108" t="n"/>
      <c r="J165" s="110" t="n"/>
      <c r="K165" s="108" t="n"/>
      <c r="L165" s="108" t="n"/>
      <c r="M165" s="108" t="n"/>
      <c r="N165" s="109" t="n"/>
      <c r="O165" s="109" t="n"/>
      <c r="P165" s="107" t="n"/>
      <c r="Q165" s="107" t="n"/>
      <c r="R165" s="111" t="n"/>
      <c r="S165" s="112" t="n"/>
      <c r="T165" s="113" t="n"/>
      <c r="U165" s="102">
        <f>IF(S165="","",ROUND(S165*N(T165),2))</f>
        <v/>
      </c>
      <c r="V165" s="102">
        <f>IF(S165="","",S165+U165)</f>
        <v/>
      </c>
      <c r="W165" s="103">
        <f>IF(V165="","",ROUND(V165*IF(OR(Q165="",Q165="VND"),1,R165),0))</f>
        <v/>
      </c>
      <c r="X165" s="111" t="n"/>
      <c r="Y165" s="103">
        <f>IF(W165="","",W165+N(X165))</f>
        <v/>
      </c>
      <c r="Z165" s="103">
        <f>IF(B165="","",SUMIFS('NHAT KY THANH TOAN'!$G:$G,'NHAT KY THANH TOAN'!$B:$B,B165,'NHAT KY THANH TOAN'!$D:$D,"Hóa đơn"))</f>
        <v/>
      </c>
      <c r="AA165" s="103">
        <f>IF(B165="","",SUMIFS('NHAT KY THANH TOAN'!$G:$G,'NHAT KY THANH TOAN'!$B:$B,B165,'NHAT KY THANH TOAN'!$D:$D,"Thanh toán"))</f>
        <v/>
      </c>
      <c r="AB165" s="103">
        <f>IF(Y165="","",Y165-N(AA165))</f>
        <v/>
      </c>
      <c r="AC165" s="103">
        <f>IF(B165="","",N(Z165)-N(AA165))</f>
        <v/>
      </c>
      <c r="AD165" s="104">
        <f>IF(N(Y165)=0,"",N(AA165)/Y165)</f>
        <v/>
      </c>
      <c r="AE165" s="107" t="n"/>
      <c r="AF165" s="95">
        <f>IF(H165="","",TRIM(IF(AND(N(Y165)&gt;='THAM SO'!$B$10,AE165&lt;&gt;"Có"),"Chưa rà soát pháp lý; ","")&amp;IF(I165="","Thiếu MST đối tác; ","")&amp;IF(AG165="","Chưa ghi nơi lưu bản gốc; ","")&amp;IF(COUNTIFS('NHAT KY THANH TOAN'!$B:$B,B165,'NHAT KY THANH TOAN'!$D:$D,"Thanh toán",'NHAT KY THANH TOAN'!$F:$F,"Tiền mặt",'NHAT KY THANH TOAN'!$G:$G,"&gt;="&amp;'THAM SO'!$B$11)&gt;0,"Có khoản TT tiền mặt ≥ ngưỡng; ","")&amp;IF(AND(AB165&lt;&gt;"",N(AB165)&lt;0),"Thanh toán vượt giá trị HĐ; ","")))</f>
        <v/>
      </c>
      <c r="AG165" s="108" t="n"/>
      <c r="AH165" s="109" t="n"/>
      <c r="AI165" s="105">
        <f>IF(OR(H165="",O165="",AH165&lt;&gt;""),"",O165-'THAM SO'!$B$8)</f>
        <v/>
      </c>
      <c r="AJ165" s="95">
        <f>IF(H165="","",IF(AH165&lt;&gt;"","Đã thanh lý",IF(AND(N165&lt;&gt;"",N165&gt;'THAM SO'!$B$8),"Chưa hiệu lực",IF(O165="","Đang thực hiện",IF(O165&lt;'THAM SO'!$B$8,IF(P165="Có","Đã tự gia hạn – kiểm tra","Quá hạn – chưa thanh lý"),IF(O165-'THAM SO'!$B$8&lt;='THAM SO'!$B$9,"Sắp hết hạn","Đang thực hiện"))))))</f>
        <v/>
      </c>
      <c r="AK165" s="106">
        <f>IF(AND(O165="",AH165=""),"",EDATE(MAX(N(O165),N(AH165)),12*'THAM SO'!$B$12))</f>
        <v/>
      </c>
      <c r="AL165" s="110" t="n"/>
    </row>
    <row r="166" ht="15" customHeight="1" s="64">
      <c r="A166" s="93">
        <f>IF(H166="","",COUNTA($H$9:H166))</f>
        <v/>
      </c>
      <c r="B166" s="93">
        <f>IF(OR(D166="",G166=""),"",YEAR(G166)&amp;"/"&amp;D166&amp;"/"&amp;TEXT(SUMPRODUCT(($D$9:D166=D166)*(YEAR($G$9:G166)=YEAR(G166))),"000")&amp;"-"&amp;'THAM SO'!$B$7)</f>
        <v/>
      </c>
      <c r="C166" s="107" t="n"/>
      <c r="D166" s="107" t="n"/>
      <c r="E166" s="95">
        <f>IF(D166="","",IFERROR(VLOOKUP(D166,'THAM SO'!$D$6:$E$40,2,FALSE()),"Mã loại chưa khai báo"))</f>
        <v/>
      </c>
      <c r="F166" s="108" t="n"/>
      <c r="G166" s="109" t="n"/>
      <c r="H166" s="110" t="n"/>
      <c r="I166" s="108" t="n"/>
      <c r="J166" s="110" t="n"/>
      <c r="K166" s="108" t="n"/>
      <c r="L166" s="108" t="n"/>
      <c r="M166" s="108" t="n"/>
      <c r="N166" s="109" t="n"/>
      <c r="O166" s="109" t="n"/>
      <c r="P166" s="107" t="n"/>
      <c r="Q166" s="107" t="n"/>
      <c r="R166" s="111" t="n"/>
      <c r="S166" s="112" t="n"/>
      <c r="T166" s="113" t="n"/>
      <c r="U166" s="102">
        <f>IF(S166="","",ROUND(S166*N(T166),2))</f>
        <v/>
      </c>
      <c r="V166" s="102">
        <f>IF(S166="","",S166+U166)</f>
        <v/>
      </c>
      <c r="W166" s="103">
        <f>IF(V166="","",ROUND(V166*IF(OR(Q166="",Q166="VND"),1,R166),0))</f>
        <v/>
      </c>
      <c r="X166" s="111" t="n"/>
      <c r="Y166" s="103">
        <f>IF(W166="","",W166+N(X166))</f>
        <v/>
      </c>
      <c r="Z166" s="103">
        <f>IF(B166="","",SUMIFS('NHAT KY THANH TOAN'!$G:$G,'NHAT KY THANH TOAN'!$B:$B,B166,'NHAT KY THANH TOAN'!$D:$D,"Hóa đơn"))</f>
        <v/>
      </c>
      <c r="AA166" s="103">
        <f>IF(B166="","",SUMIFS('NHAT KY THANH TOAN'!$G:$G,'NHAT KY THANH TOAN'!$B:$B,B166,'NHAT KY THANH TOAN'!$D:$D,"Thanh toán"))</f>
        <v/>
      </c>
      <c r="AB166" s="103">
        <f>IF(Y166="","",Y166-N(AA166))</f>
        <v/>
      </c>
      <c r="AC166" s="103">
        <f>IF(B166="","",N(Z166)-N(AA166))</f>
        <v/>
      </c>
      <c r="AD166" s="104">
        <f>IF(N(Y166)=0,"",N(AA166)/Y166)</f>
        <v/>
      </c>
      <c r="AE166" s="107" t="n"/>
      <c r="AF166" s="95">
        <f>IF(H166="","",TRIM(IF(AND(N(Y166)&gt;='THAM SO'!$B$10,AE166&lt;&gt;"Có"),"Chưa rà soát pháp lý; ","")&amp;IF(I166="","Thiếu MST đối tác; ","")&amp;IF(AG166="","Chưa ghi nơi lưu bản gốc; ","")&amp;IF(COUNTIFS('NHAT KY THANH TOAN'!$B:$B,B166,'NHAT KY THANH TOAN'!$D:$D,"Thanh toán",'NHAT KY THANH TOAN'!$F:$F,"Tiền mặt",'NHAT KY THANH TOAN'!$G:$G,"&gt;="&amp;'THAM SO'!$B$11)&gt;0,"Có khoản TT tiền mặt ≥ ngưỡng; ","")&amp;IF(AND(AB166&lt;&gt;"",N(AB166)&lt;0),"Thanh toán vượt giá trị HĐ; ","")))</f>
        <v/>
      </c>
      <c r="AG166" s="108" t="n"/>
      <c r="AH166" s="109" t="n"/>
      <c r="AI166" s="105">
        <f>IF(OR(H166="",O166="",AH166&lt;&gt;""),"",O166-'THAM SO'!$B$8)</f>
        <v/>
      </c>
      <c r="AJ166" s="95">
        <f>IF(H166="","",IF(AH166&lt;&gt;"","Đã thanh lý",IF(AND(N166&lt;&gt;"",N166&gt;'THAM SO'!$B$8),"Chưa hiệu lực",IF(O166="","Đang thực hiện",IF(O166&lt;'THAM SO'!$B$8,IF(P166="Có","Đã tự gia hạn – kiểm tra","Quá hạn – chưa thanh lý"),IF(O166-'THAM SO'!$B$8&lt;='THAM SO'!$B$9,"Sắp hết hạn","Đang thực hiện"))))))</f>
        <v/>
      </c>
      <c r="AK166" s="106">
        <f>IF(AND(O166="",AH166=""),"",EDATE(MAX(N(O166),N(AH166)),12*'THAM SO'!$B$12))</f>
        <v/>
      </c>
      <c r="AL166" s="110" t="n"/>
    </row>
    <row r="167" ht="15" customHeight="1" s="64">
      <c r="A167" s="93">
        <f>IF(H167="","",COUNTA($H$9:H167))</f>
        <v/>
      </c>
      <c r="B167" s="93">
        <f>IF(OR(D167="",G167=""),"",YEAR(G167)&amp;"/"&amp;D167&amp;"/"&amp;TEXT(SUMPRODUCT(($D$9:D167=D167)*(YEAR($G$9:G167)=YEAR(G167))),"000")&amp;"-"&amp;'THAM SO'!$B$7)</f>
        <v/>
      </c>
      <c r="C167" s="107" t="n"/>
      <c r="D167" s="107" t="n"/>
      <c r="E167" s="95">
        <f>IF(D167="","",IFERROR(VLOOKUP(D167,'THAM SO'!$D$6:$E$40,2,FALSE()),"Mã loại chưa khai báo"))</f>
        <v/>
      </c>
      <c r="F167" s="108" t="n"/>
      <c r="G167" s="109" t="n"/>
      <c r="H167" s="110" t="n"/>
      <c r="I167" s="108" t="n"/>
      <c r="J167" s="110" t="n"/>
      <c r="K167" s="108" t="n"/>
      <c r="L167" s="108" t="n"/>
      <c r="M167" s="108" t="n"/>
      <c r="N167" s="109" t="n"/>
      <c r="O167" s="109" t="n"/>
      <c r="P167" s="107" t="n"/>
      <c r="Q167" s="107" t="n"/>
      <c r="R167" s="111" t="n"/>
      <c r="S167" s="112" t="n"/>
      <c r="T167" s="113" t="n"/>
      <c r="U167" s="102">
        <f>IF(S167="","",ROUND(S167*N(T167),2))</f>
        <v/>
      </c>
      <c r="V167" s="102">
        <f>IF(S167="","",S167+U167)</f>
        <v/>
      </c>
      <c r="W167" s="103">
        <f>IF(V167="","",ROUND(V167*IF(OR(Q167="",Q167="VND"),1,R167),0))</f>
        <v/>
      </c>
      <c r="X167" s="111" t="n"/>
      <c r="Y167" s="103">
        <f>IF(W167="","",W167+N(X167))</f>
        <v/>
      </c>
      <c r="Z167" s="103">
        <f>IF(B167="","",SUMIFS('NHAT KY THANH TOAN'!$G:$G,'NHAT KY THANH TOAN'!$B:$B,B167,'NHAT KY THANH TOAN'!$D:$D,"Hóa đơn"))</f>
        <v/>
      </c>
      <c r="AA167" s="103">
        <f>IF(B167="","",SUMIFS('NHAT KY THANH TOAN'!$G:$G,'NHAT KY THANH TOAN'!$B:$B,B167,'NHAT KY THANH TOAN'!$D:$D,"Thanh toán"))</f>
        <v/>
      </c>
      <c r="AB167" s="103">
        <f>IF(Y167="","",Y167-N(AA167))</f>
        <v/>
      </c>
      <c r="AC167" s="103">
        <f>IF(B167="","",N(Z167)-N(AA167))</f>
        <v/>
      </c>
      <c r="AD167" s="104">
        <f>IF(N(Y167)=0,"",N(AA167)/Y167)</f>
        <v/>
      </c>
      <c r="AE167" s="107" t="n"/>
      <c r="AF167" s="95">
        <f>IF(H167="","",TRIM(IF(AND(N(Y167)&gt;='THAM SO'!$B$10,AE167&lt;&gt;"Có"),"Chưa rà soát pháp lý; ","")&amp;IF(I167="","Thiếu MST đối tác; ","")&amp;IF(AG167="","Chưa ghi nơi lưu bản gốc; ","")&amp;IF(COUNTIFS('NHAT KY THANH TOAN'!$B:$B,B167,'NHAT KY THANH TOAN'!$D:$D,"Thanh toán",'NHAT KY THANH TOAN'!$F:$F,"Tiền mặt",'NHAT KY THANH TOAN'!$G:$G,"&gt;="&amp;'THAM SO'!$B$11)&gt;0,"Có khoản TT tiền mặt ≥ ngưỡng; ","")&amp;IF(AND(AB167&lt;&gt;"",N(AB167)&lt;0),"Thanh toán vượt giá trị HĐ; ","")))</f>
        <v/>
      </c>
      <c r="AG167" s="108" t="n"/>
      <c r="AH167" s="109" t="n"/>
      <c r="AI167" s="105">
        <f>IF(OR(H167="",O167="",AH167&lt;&gt;""),"",O167-'THAM SO'!$B$8)</f>
        <v/>
      </c>
      <c r="AJ167" s="95">
        <f>IF(H167="","",IF(AH167&lt;&gt;"","Đã thanh lý",IF(AND(N167&lt;&gt;"",N167&gt;'THAM SO'!$B$8),"Chưa hiệu lực",IF(O167="","Đang thực hiện",IF(O167&lt;'THAM SO'!$B$8,IF(P167="Có","Đã tự gia hạn – kiểm tra","Quá hạn – chưa thanh lý"),IF(O167-'THAM SO'!$B$8&lt;='THAM SO'!$B$9,"Sắp hết hạn","Đang thực hiện"))))))</f>
        <v/>
      </c>
      <c r="AK167" s="106">
        <f>IF(AND(O167="",AH167=""),"",EDATE(MAX(N(O167),N(AH167)),12*'THAM SO'!$B$12))</f>
        <v/>
      </c>
      <c r="AL167" s="110" t="n"/>
    </row>
    <row r="168" ht="15" customHeight="1" s="64">
      <c r="A168" s="93">
        <f>IF(H168="","",COUNTA($H$9:H168))</f>
        <v/>
      </c>
      <c r="B168" s="93">
        <f>IF(OR(D168="",G168=""),"",YEAR(G168)&amp;"/"&amp;D168&amp;"/"&amp;TEXT(SUMPRODUCT(($D$9:D168=D168)*(YEAR($G$9:G168)=YEAR(G168))),"000")&amp;"-"&amp;'THAM SO'!$B$7)</f>
        <v/>
      </c>
      <c r="C168" s="107" t="n"/>
      <c r="D168" s="107" t="n"/>
      <c r="E168" s="95">
        <f>IF(D168="","",IFERROR(VLOOKUP(D168,'THAM SO'!$D$6:$E$40,2,FALSE()),"Mã loại chưa khai báo"))</f>
        <v/>
      </c>
      <c r="F168" s="108" t="n"/>
      <c r="G168" s="109" t="n"/>
      <c r="H168" s="110" t="n"/>
      <c r="I168" s="108" t="n"/>
      <c r="J168" s="110" t="n"/>
      <c r="K168" s="108" t="n"/>
      <c r="L168" s="108" t="n"/>
      <c r="M168" s="108" t="n"/>
      <c r="N168" s="109" t="n"/>
      <c r="O168" s="109" t="n"/>
      <c r="P168" s="107" t="n"/>
      <c r="Q168" s="107" t="n"/>
      <c r="R168" s="111" t="n"/>
      <c r="S168" s="112" t="n"/>
      <c r="T168" s="113" t="n"/>
      <c r="U168" s="102">
        <f>IF(S168="","",ROUND(S168*N(T168),2))</f>
        <v/>
      </c>
      <c r="V168" s="102">
        <f>IF(S168="","",S168+U168)</f>
        <v/>
      </c>
      <c r="W168" s="103">
        <f>IF(V168="","",ROUND(V168*IF(OR(Q168="",Q168="VND"),1,R168),0))</f>
        <v/>
      </c>
      <c r="X168" s="111" t="n"/>
      <c r="Y168" s="103">
        <f>IF(W168="","",W168+N(X168))</f>
        <v/>
      </c>
      <c r="Z168" s="103">
        <f>IF(B168="","",SUMIFS('NHAT KY THANH TOAN'!$G:$G,'NHAT KY THANH TOAN'!$B:$B,B168,'NHAT KY THANH TOAN'!$D:$D,"Hóa đơn"))</f>
        <v/>
      </c>
      <c r="AA168" s="103">
        <f>IF(B168="","",SUMIFS('NHAT KY THANH TOAN'!$G:$G,'NHAT KY THANH TOAN'!$B:$B,B168,'NHAT KY THANH TOAN'!$D:$D,"Thanh toán"))</f>
        <v/>
      </c>
      <c r="AB168" s="103">
        <f>IF(Y168="","",Y168-N(AA168))</f>
        <v/>
      </c>
      <c r="AC168" s="103">
        <f>IF(B168="","",N(Z168)-N(AA168))</f>
        <v/>
      </c>
      <c r="AD168" s="104">
        <f>IF(N(Y168)=0,"",N(AA168)/Y168)</f>
        <v/>
      </c>
      <c r="AE168" s="107" t="n"/>
      <c r="AF168" s="95">
        <f>IF(H168="","",TRIM(IF(AND(N(Y168)&gt;='THAM SO'!$B$10,AE168&lt;&gt;"Có"),"Chưa rà soát pháp lý; ","")&amp;IF(I168="","Thiếu MST đối tác; ","")&amp;IF(AG168="","Chưa ghi nơi lưu bản gốc; ","")&amp;IF(COUNTIFS('NHAT KY THANH TOAN'!$B:$B,B168,'NHAT KY THANH TOAN'!$D:$D,"Thanh toán",'NHAT KY THANH TOAN'!$F:$F,"Tiền mặt",'NHAT KY THANH TOAN'!$G:$G,"&gt;="&amp;'THAM SO'!$B$11)&gt;0,"Có khoản TT tiền mặt ≥ ngưỡng; ","")&amp;IF(AND(AB168&lt;&gt;"",N(AB168)&lt;0),"Thanh toán vượt giá trị HĐ; ","")))</f>
        <v/>
      </c>
      <c r="AG168" s="108" t="n"/>
      <c r="AH168" s="109" t="n"/>
      <c r="AI168" s="105">
        <f>IF(OR(H168="",O168="",AH168&lt;&gt;""),"",O168-'THAM SO'!$B$8)</f>
        <v/>
      </c>
      <c r="AJ168" s="95">
        <f>IF(H168="","",IF(AH168&lt;&gt;"","Đã thanh lý",IF(AND(N168&lt;&gt;"",N168&gt;'THAM SO'!$B$8),"Chưa hiệu lực",IF(O168="","Đang thực hiện",IF(O168&lt;'THAM SO'!$B$8,IF(P168="Có","Đã tự gia hạn – kiểm tra","Quá hạn – chưa thanh lý"),IF(O168-'THAM SO'!$B$8&lt;='THAM SO'!$B$9,"Sắp hết hạn","Đang thực hiện"))))))</f>
        <v/>
      </c>
      <c r="AK168" s="106">
        <f>IF(AND(O168="",AH168=""),"",EDATE(MAX(N(O168),N(AH168)),12*'THAM SO'!$B$12))</f>
        <v/>
      </c>
      <c r="AL168" s="110" t="n"/>
    </row>
    <row r="169" ht="15" customHeight="1" s="64">
      <c r="A169" s="93">
        <f>IF(H169="","",COUNTA($H$9:H169))</f>
        <v/>
      </c>
      <c r="B169" s="93">
        <f>IF(OR(D169="",G169=""),"",YEAR(G169)&amp;"/"&amp;D169&amp;"/"&amp;TEXT(SUMPRODUCT(($D$9:D169=D169)*(YEAR($G$9:G169)=YEAR(G169))),"000")&amp;"-"&amp;'THAM SO'!$B$7)</f>
        <v/>
      </c>
      <c r="C169" s="107" t="n"/>
      <c r="D169" s="107" t="n"/>
      <c r="E169" s="95">
        <f>IF(D169="","",IFERROR(VLOOKUP(D169,'THAM SO'!$D$6:$E$40,2,FALSE()),"Mã loại chưa khai báo"))</f>
        <v/>
      </c>
      <c r="F169" s="108" t="n"/>
      <c r="G169" s="109" t="n"/>
      <c r="H169" s="110" t="n"/>
      <c r="I169" s="108" t="n"/>
      <c r="J169" s="110" t="n"/>
      <c r="K169" s="108" t="n"/>
      <c r="L169" s="108" t="n"/>
      <c r="M169" s="108" t="n"/>
      <c r="N169" s="109" t="n"/>
      <c r="O169" s="109" t="n"/>
      <c r="P169" s="107" t="n"/>
      <c r="Q169" s="107" t="n"/>
      <c r="R169" s="111" t="n"/>
      <c r="S169" s="112" t="n"/>
      <c r="T169" s="113" t="n"/>
      <c r="U169" s="102">
        <f>IF(S169="","",ROUND(S169*N(T169),2))</f>
        <v/>
      </c>
      <c r="V169" s="102">
        <f>IF(S169="","",S169+U169)</f>
        <v/>
      </c>
      <c r="W169" s="103">
        <f>IF(V169="","",ROUND(V169*IF(OR(Q169="",Q169="VND"),1,R169),0))</f>
        <v/>
      </c>
      <c r="X169" s="111" t="n"/>
      <c r="Y169" s="103">
        <f>IF(W169="","",W169+N(X169))</f>
        <v/>
      </c>
      <c r="Z169" s="103">
        <f>IF(B169="","",SUMIFS('NHAT KY THANH TOAN'!$G:$G,'NHAT KY THANH TOAN'!$B:$B,B169,'NHAT KY THANH TOAN'!$D:$D,"Hóa đơn"))</f>
        <v/>
      </c>
      <c r="AA169" s="103">
        <f>IF(B169="","",SUMIFS('NHAT KY THANH TOAN'!$G:$G,'NHAT KY THANH TOAN'!$B:$B,B169,'NHAT KY THANH TOAN'!$D:$D,"Thanh toán"))</f>
        <v/>
      </c>
      <c r="AB169" s="103">
        <f>IF(Y169="","",Y169-N(AA169))</f>
        <v/>
      </c>
      <c r="AC169" s="103">
        <f>IF(B169="","",N(Z169)-N(AA169))</f>
        <v/>
      </c>
      <c r="AD169" s="104">
        <f>IF(N(Y169)=0,"",N(AA169)/Y169)</f>
        <v/>
      </c>
      <c r="AE169" s="107" t="n"/>
      <c r="AF169" s="95">
        <f>IF(H169="","",TRIM(IF(AND(N(Y169)&gt;='THAM SO'!$B$10,AE169&lt;&gt;"Có"),"Chưa rà soát pháp lý; ","")&amp;IF(I169="","Thiếu MST đối tác; ","")&amp;IF(AG169="","Chưa ghi nơi lưu bản gốc; ","")&amp;IF(COUNTIFS('NHAT KY THANH TOAN'!$B:$B,B169,'NHAT KY THANH TOAN'!$D:$D,"Thanh toán",'NHAT KY THANH TOAN'!$F:$F,"Tiền mặt",'NHAT KY THANH TOAN'!$G:$G,"&gt;="&amp;'THAM SO'!$B$11)&gt;0,"Có khoản TT tiền mặt ≥ ngưỡng; ","")&amp;IF(AND(AB169&lt;&gt;"",N(AB169)&lt;0),"Thanh toán vượt giá trị HĐ; ","")))</f>
        <v/>
      </c>
      <c r="AG169" s="108" t="n"/>
      <c r="AH169" s="109" t="n"/>
      <c r="AI169" s="105">
        <f>IF(OR(H169="",O169="",AH169&lt;&gt;""),"",O169-'THAM SO'!$B$8)</f>
        <v/>
      </c>
      <c r="AJ169" s="95">
        <f>IF(H169="","",IF(AH169&lt;&gt;"","Đã thanh lý",IF(AND(N169&lt;&gt;"",N169&gt;'THAM SO'!$B$8),"Chưa hiệu lực",IF(O169="","Đang thực hiện",IF(O169&lt;'THAM SO'!$B$8,IF(P169="Có","Đã tự gia hạn – kiểm tra","Quá hạn – chưa thanh lý"),IF(O169-'THAM SO'!$B$8&lt;='THAM SO'!$B$9,"Sắp hết hạn","Đang thực hiện"))))))</f>
        <v/>
      </c>
      <c r="AK169" s="106">
        <f>IF(AND(O169="",AH169=""),"",EDATE(MAX(N(O169),N(AH169)),12*'THAM SO'!$B$12))</f>
        <v/>
      </c>
      <c r="AL169" s="110" t="n"/>
    </row>
    <row r="170" ht="15" customHeight="1" s="64">
      <c r="A170" s="93">
        <f>IF(H170="","",COUNTA($H$9:H170))</f>
        <v/>
      </c>
      <c r="B170" s="93">
        <f>IF(OR(D170="",G170=""),"",YEAR(G170)&amp;"/"&amp;D170&amp;"/"&amp;TEXT(SUMPRODUCT(($D$9:D170=D170)*(YEAR($G$9:G170)=YEAR(G170))),"000")&amp;"-"&amp;'THAM SO'!$B$7)</f>
        <v/>
      </c>
      <c r="C170" s="107" t="n"/>
      <c r="D170" s="107" t="n"/>
      <c r="E170" s="95">
        <f>IF(D170="","",IFERROR(VLOOKUP(D170,'THAM SO'!$D$6:$E$40,2,FALSE()),"Mã loại chưa khai báo"))</f>
        <v/>
      </c>
      <c r="F170" s="108" t="n"/>
      <c r="G170" s="109" t="n"/>
      <c r="H170" s="110" t="n"/>
      <c r="I170" s="108" t="n"/>
      <c r="J170" s="110" t="n"/>
      <c r="K170" s="108" t="n"/>
      <c r="L170" s="108" t="n"/>
      <c r="M170" s="108" t="n"/>
      <c r="N170" s="109" t="n"/>
      <c r="O170" s="109" t="n"/>
      <c r="P170" s="107" t="n"/>
      <c r="Q170" s="107" t="n"/>
      <c r="R170" s="111" t="n"/>
      <c r="S170" s="112" t="n"/>
      <c r="T170" s="113" t="n"/>
      <c r="U170" s="102">
        <f>IF(S170="","",ROUND(S170*N(T170),2))</f>
        <v/>
      </c>
      <c r="V170" s="102">
        <f>IF(S170="","",S170+U170)</f>
        <v/>
      </c>
      <c r="W170" s="103">
        <f>IF(V170="","",ROUND(V170*IF(OR(Q170="",Q170="VND"),1,R170),0))</f>
        <v/>
      </c>
      <c r="X170" s="111" t="n"/>
      <c r="Y170" s="103">
        <f>IF(W170="","",W170+N(X170))</f>
        <v/>
      </c>
      <c r="Z170" s="103">
        <f>IF(B170="","",SUMIFS('NHAT KY THANH TOAN'!$G:$G,'NHAT KY THANH TOAN'!$B:$B,B170,'NHAT KY THANH TOAN'!$D:$D,"Hóa đơn"))</f>
        <v/>
      </c>
      <c r="AA170" s="103">
        <f>IF(B170="","",SUMIFS('NHAT KY THANH TOAN'!$G:$G,'NHAT KY THANH TOAN'!$B:$B,B170,'NHAT KY THANH TOAN'!$D:$D,"Thanh toán"))</f>
        <v/>
      </c>
      <c r="AB170" s="103">
        <f>IF(Y170="","",Y170-N(AA170))</f>
        <v/>
      </c>
      <c r="AC170" s="103">
        <f>IF(B170="","",N(Z170)-N(AA170))</f>
        <v/>
      </c>
      <c r="AD170" s="104">
        <f>IF(N(Y170)=0,"",N(AA170)/Y170)</f>
        <v/>
      </c>
      <c r="AE170" s="107" t="n"/>
      <c r="AF170" s="95">
        <f>IF(H170="","",TRIM(IF(AND(N(Y170)&gt;='THAM SO'!$B$10,AE170&lt;&gt;"Có"),"Chưa rà soát pháp lý; ","")&amp;IF(I170="","Thiếu MST đối tác; ","")&amp;IF(AG170="","Chưa ghi nơi lưu bản gốc; ","")&amp;IF(COUNTIFS('NHAT KY THANH TOAN'!$B:$B,B170,'NHAT KY THANH TOAN'!$D:$D,"Thanh toán",'NHAT KY THANH TOAN'!$F:$F,"Tiền mặt",'NHAT KY THANH TOAN'!$G:$G,"&gt;="&amp;'THAM SO'!$B$11)&gt;0,"Có khoản TT tiền mặt ≥ ngưỡng; ","")&amp;IF(AND(AB170&lt;&gt;"",N(AB170)&lt;0),"Thanh toán vượt giá trị HĐ; ","")))</f>
        <v/>
      </c>
      <c r="AG170" s="108" t="n"/>
      <c r="AH170" s="109" t="n"/>
      <c r="AI170" s="105">
        <f>IF(OR(H170="",O170="",AH170&lt;&gt;""),"",O170-'THAM SO'!$B$8)</f>
        <v/>
      </c>
      <c r="AJ170" s="95">
        <f>IF(H170="","",IF(AH170&lt;&gt;"","Đã thanh lý",IF(AND(N170&lt;&gt;"",N170&gt;'THAM SO'!$B$8),"Chưa hiệu lực",IF(O170="","Đang thực hiện",IF(O170&lt;'THAM SO'!$B$8,IF(P170="Có","Đã tự gia hạn – kiểm tra","Quá hạn – chưa thanh lý"),IF(O170-'THAM SO'!$B$8&lt;='THAM SO'!$B$9,"Sắp hết hạn","Đang thực hiện"))))))</f>
        <v/>
      </c>
      <c r="AK170" s="106">
        <f>IF(AND(O170="",AH170=""),"",EDATE(MAX(N(O170),N(AH170)),12*'THAM SO'!$B$12))</f>
        <v/>
      </c>
      <c r="AL170" s="110" t="n"/>
    </row>
    <row r="171" ht="15" customHeight="1" s="64">
      <c r="A171" s="93">
        <f>IF(H171="","",COUNTA($H$9:H171))</f>
        <v/>
      </c>
      <c r="B171" s="93">
        <f>IF(OR(D171="",G171=""),"",YEAR(G171)&amp;"/"&amp;D171&amp;"/"&amp;TEXT(SUMPRODUCT(($D$9:D171=D171)*(YEAR($G$9:G171)=YEAR(G171))),"000")&amp;"-"&amp;'THAM SO'!$B$7)</f>
        <v/>
      </c>
      <c r="C171" s="107" t="n"/>
      <c r="D171" s="107" t="n"/>
      <c r="E171" s="95">
        <f>IF(D171="","",IFERROR(VLOOKUP(D171,'THAM SO'!$D$6:$E$40,2,FALSE()),"Mã loại chưa khai báo"))</f>
        <v/>
      </c>
      <c r="F171" s="108" t="n"/>
      <c r="G171" s="109" t="n"/>
      <c r="H171" s="110" t="n"/>
      <c r="I171" s="108" t="n"/>
      <c r="J171" s="110" t="n"/>
      <c r="K171" s="108" t="n"/>
      <c r="L171" s="108" t="n"/>
      <c r="M171" s="108" t="n"/>
      <c r="N171" s="109" t="n"/>
      <c r="O171" s="109" t="n"/>
      <c r="P171" s="107" t="n"/>
      <c r="Q171" s="107" t="n"/>
      <c r="R171" s="111" t="n"/>
      <c r="S171" s="112" t="n"/>
      <c r="T171" s="113" t="n"/>
      <c r="U171" s="102">
        <f>IF(S171="","",ROUND(S171*N(T171),2))</f>
        <v/>
      </c>
      <c r="V171" s="102">
        <f>IF(S171="","",S171+U171)</f>
        <v/>
      </c>
      <c r="W171" s="103">
        <f>IF(V171="","",ROUND(V171*IF(OR(Q171="",Q171="VND"),1,R171),0))</f>
        <v/>
      </c>
      <c r="X171" s="111" t="n"/>
      <c r="Y171" s="103">
        <f>IF(W171="","",W171+N(X171))</f>
        <v/>
      </c>
      <c r="Z171" s="103">
        <f>IF(B171="","",SUMIFS('NHAT KY THANH TOAN'!$G:$G,'NHAT KY THANH TOAN'!$B:$B,B171,'NHAT KY THANH TOAN'!$D:$D,"Hóa đơn"))</f>
        <v/>
      </c>
      <c r="AA171" s="103">
        <f>IF(B171="","",SUMIFS('NHAT KY THANH TOAN'!$G:$G,'NHAT KY THANH TOAN'!$B:$B,B171,'NHAT KY THANH TOAN'!$D:$D,"Thanh toán"))</f>
        <v/>
      </c>
      <c r="AB171" s="103">
        <f>IF(Y171="","",Y171-N(AA171))</f>
        <v/>
      </c>
      <c r="AC171" s="103">
        <f>IF(B171="","",N(Z171)-N(AA171))</f>
        <v/>
      </c>
      <c r="AD171" s="104">
        <f>IF(N(Y171)=0,"",N(AA171)/Y171)</f>
        <v/>
      </c>
      <c r="AE171" s="107" t="n"/>
      <c r="AF171" s="95">
        <f>IF(H171="","",TRIM(IF(AND(N(Y171)&gt;='THAM SO'!$B$10,AE171&lt;&gt;"Có"),"Chưa rà soát pháp lý; ","")&amp;IF(I171="","Thiếu MST đối tác; ","")&amp;IF(AG171="","Chưa ghi nơi lưu bản gốc; ","")&amp;IF(COUNTIFS('NHAT KY THANH TOAN'!$B:$B,B171,'NHAT KY THANH TOAN'!$D:$D,"Thanh toán",'NHAT KY THANH TOAN'!$F:$F,"Tiền mặt",'NHAT KY THANH TOAN'!$G:$G,"&gt;="&amp;'THAM SO'!$B$11)&gt;0,"Có khoản TT tiền mặt ≥ ngưỡng; ","")&amp;IF(AND(AB171&lt;&gt;"",N(AB171)&lt;0),"Thanh toán vượt giá trị HĐ; ","")))</f>
        <v/>
      </c>
      <c r="AG171" s="108" t="n"/>
      <c r="AH171" s="109" t="n"/>
      <c r="AI171" s="105">
        <f>IF(OR(H171="",O171="",AH171&lt;&gt;""),"",O171-'THAM SO'!$B$8)</f>
        <v/>
      </c>
      <c r="AJ171" s="95">
        <f>IF(H171="","",IF(AH171&lt;&gt;"","Đã thanh lý",IF(AND(N171&lt;&gt;"",N171&gt;'THAM SO'!$B$8),"Chưa hiệu lực",IF(O171="","Đang thực hiện",IF(O171&lt;'THAM SO'!$B$8,IF(P171="Có","Đã tự gia hạn – kiểm tra","Quá hạn – chưa thanh lý"),IF(O171-'THAM SO'!$B$8&lt;='THAM SO'!$B$9,"Sắp hết hạn","Đang thực hiện"))))))</f>
        <v/>
      </c>
      <c r="AK171" s="106">
        <f>IF(AND(O171="",AH171=""),"",EDATE(MAX(N(O171),N(AH171)),12*'THAM SO'!$B$12))</f>
        <v/>
      </c>
      <c r="AL171" s="110" t="n"/>
    </row>
    <row r="172" ht="15" customHeight="1" s="64">
      <c r="A172" s="93">
        <f>IF(H172="","",COUNTA($H$9:H172))</f>
        <v/>
      </c>
      <c r="B172" s="93">
        <f>IF(OR(D172="",G172=""),"",YEAR(G172)&amp;"/"&amp;D172&amp;"/"&amp;TEXT(SUMPRODUCT(($D$9:D172=D172)*(YEAR($G$9:G172)=YEAR(G172))),"000")&amp;"-"&amp;'THAM SO'!$B$7)</f>
        <v/>
      </c>
      <c r="C172" s="107" t="n"/>
      <c r="D172" s="107" t="n"/>
      <c r="E172" s="95">
        <f>IF(D172="","",IFERROR(VLOOKUP(D172,'THAM SO'!$D$6:$E$40,2,FALSE()),"Mã loại chưa khai báo"))</f>
        <v/>
      </c>
      <c r="F172" s="108" t="n"/>
      <c r="G172" s="109" t="n"/>
      <c r="H172" s="110" t="n"/>
      <c r="I172" s="108" t="n"/>
      <c r="J172" s="110" t="n"/>
      <c r="K172" s="108" t="n"/>
      <c r="L172" s="108" t="n"/>
      <c r="M172" s="108" t="n"/>
      <c r="N172" s="109" t="n"/>
      <c r="O172" s="109" t="n"/>
      <c r="P172" s="107" t="n"/>
      <c r="Q172" s="107" t="n"/>
      <c r="R172" s="111" t="n"/>
      <c r="S172" s="112" t="n"/>
      <c r="T172" s="113" t="n"/>
      <c r="U172" s="102">
        <f>IF(S172="","",ROUND(S172*N(T172),2))</f>
        <v/>
      </c>
      <c r="V172" s="102">
        <f>IF(S172="","",S172+U172)</f>
        <v/>
      </c>
      <c r="W172" s="103">
        <f>IF(V172="","",ROUND(V172*IF(OR(Q172="",Q172="VND"),1,R172),0))</f>
        <v/>
      </c>
      <c r="X172" s="111" t="n"/>
      <c r="Y172" s="103">
        <f>IF(W172="","",W172+N(X172))</f>
        <v/>
      </c>
      <c r="Z172" s="103">
        <f>IF(B172="","",SUMIFS('NHAT KY THANH TOAN'!$G:$G,'NHAT KY THANH TOAN'!$B:$B,B172,'NHAT KY THANH TOAN'!$D:$D,"Hóa đơn"))</f>
        <v/>
      </c>
      <c r="AA172" s="103">
        <f>IF(B172="","",SUMIFS('NHAT KY THANH TOAN'!$G:$G,'NHAT KY THANH TOAN'!$B:$B,B172,'NHAT KY THANH TOAN'!$D:$D,"Thanh toán"))</f>
        <v/>
      </c>
      <c r="AB172" s="103">
        <f>IF(Y172="","",Y172-N(AA172))</f>
        <v/>
      </c>
      <c r="AC172" s="103">
        <f>IF(B172="","",N(Z172)-N(AA172))</f>
        <v/>
      </c>
      <c r="AD172" s="104">
        <f>IF(N(Y172)=0,"",N(AA172)/Y172)</f>
        <v/>
      </c>
      <c r="AE172" s="107" t="n"/>
      <c r="AF172" s="95">
        <f>IF(H172="","",TRIM(IF(AND(N(Y172)&gt;='THAM SO'!$B$10,AE172&lt;&gt;"Có"),"Chưa rà soát pháp lý; ","")&amp;IF(I172="","Thiếu MST đối tác; ","")&amp;IF(AG172="","Chưa ghi nơi lưu bản gốc; ","")&amp;IF(COUNTIFS('NHAT KY THANH TOAN'!$B:$B,B172,'NHAT KY THANH TOAN'!$D:$D,"Thanh toán",'NHAT KY THANH TOAN'!$F:$F,"Tiền mặt",'NHAT KY THANH TOAN'!$G:$G,"&gt;="&amp;'THAM SO'!$B$11)&gt;0,"Có khoản TT tiền mặt ≥ ngưỡng; ","")&amp;IF(AND(AB172&lt;&gt;"",N(AB172)&lt;0),"Thanh toán vượt giá trị HĐ; ","")))</f>
        <v/>
      </c>
      <c r="AG172" s="108" t="n"/>
      <c r="AH172" s="109" t="n"/>
      <c r="AI172" s="105">
        <f>IF(OR(H172="",O172="",AH172&lt;&gt;""),"",O172-'THAM SO'!$B$8)</f>
        <v/>
      </c>
      <c r="AJ172" s="95">
        <f>IF(H172="","",IF(AH172&lt;&gt;"","Đã thanh lý",IF(AND(N172&lt;&gt;"",N172&gt;'THAM SO'!$B$8),"Chưa hiệu lực",IF(O172="","Đang thực hiện",IF(O172&lt;'THAM SO'!$B$8,IF(P172="Có","Đã tự gia hạn – kiểm tra","Quá hạn – chưa thanh lý"),IF(O172-'THAM SO'!$B$8&lt;='THAM SO'!$B$9,"Sắp hết hạn","Đang thực hiện"))))))</f>
        <v/>
      </c>
      <c r="AK172" s="106">
        <f>IF(AND(O172="",AH172=""),"",EDATE(MAX(N(O172),N(AH172)),12*'THAM SO'!$B$12))</f>
        <v/>
      </c>
      <c r="AL172" s="110" t="n"/>
    </row>
    <row r="173" ht="15" customHeight="1" s="64">
      <c r="A173" s="93">
        <f>IF(H173="","",COUNTA($H$9:H173))</f>
        <v/>
      </c>
      <c r="B173" s="93">
        <f>IF(OR(D173="",G173=""),"",YEAR(G173)&amp;"/"&amp;D173&amp;"/"&amp;TEXT(SUMPRODUCT(($D$9:D173=D173)*(YEAR($G$9:G173)=YEAR(G173))),"000")&amp;"-"&amp;'THAM SO'!$B$7)</f>
        <v/>
      </c>
      <c r="C173" s="107" t="n"/>
      <c r="D173" s="107" t="n"/>
      <c r="E173" s="95">
        <f>IF(D173="","",IFERROR(VLOOKUP(D173,'THAM SO'!$D$6:$E$40,2,FALSE()),"Mã loại chưa khai báo"))</f>
        <v/>
      </c>
      <c r="F173" s="108" t="n"/>
      <c r="G173" s="109" t="n"/>
      <c r="H173" s="110" t="n"/>
      <c r="I173" s="108" t="n"/>
      <c r="J173" s="110" t="n"/>
      <c r="K173" s="108" t="n"/>
      <c r="L173" s="108" t="n"/>
      <c r="M173" s="108" t="n"/>
      <c r="N173" s="109" t="n"/>
      <c r="O173" s="109" t="n"/>
      <c r="P173" s="107" t="n"/>
      <c r="Q173" s="107" t="n"/>
      <c r="R173" s="111" t="n"/>
      <c r="S173" s="112" t="n"/>
      <c r="T173" s="113" t="n"/>
      <c r="U173" s="102">
        <f>IF(S173="","",ROUND(S173*N(T173),2))</f>
        <v/>
      </c>
      <c r="V173" s="102">
        <f>IF(S173="","",S173+U173)</f>
        <v/>
      </c>
      <c r="W173" s="103">
        <f>IF(V173="","",ROUND(V173*IF(OR(Q173="",Q173="VND"),1,R173),0))</f>
        <v/>
      </c>
      <c r="X173" s="111" t="n"/>
      <c r="Y173" s="103">
        <f>IF(W173="","",W173+N(X173))</f>
        <v/>
      </c>
      <c r="Z173" s="103">
        <f>IF(B173="","",SUMIFS('NHAT KY THANH TOAN'!$G:$G,'NHAT KY THANH TOAN'!$B:$B,B173,'NHAT KY THANH TOAN'!$D:$D,"Hóa đơn"))</f>
        <v/>
      </c>
      <c r="AA173" s="103">
        <f>IF(B173="","",SUMIFS('NHAT KY THANH TOAN'!$G:$G,'NHAT KY THANH TOAN'!$B:$B,B173,'NHAT KY THANH TOAN'!$D:$D,"Thanh toán"))</f>
        <v/>
      </c>
      <c r="AB173" s="103">
        <f>IF(Y173="","",Y173-N(AA173))</f>
        <v/>
      </c>
      <c r="AC173" s="103">
        <f>IF(B173="","",N(Z173)-N(AA173))</f>
        <v/>
      </c>
      <c r="AD173" s="104">
        <f>IF(N(Y173)=0,"",N(AA173)/Y173)</f>
        <v/>
      </c>
      <c r="AE173" s="107" t="n"/>
      <c r="AF173" s="95">
        <f>IF(H173="","",TRIM(IF(AND(N(Y173)&gt;='THAM SO'!$B$10,AE173&lt;&gt;"Có"),"Chưa rà soát pháp lý; ","")&amp;IF(I173="","Thiếu MST đối tác; ","")&amp;IF(AG173="","Chưa ghi nơi lưu bản gốc; ","")&amp;IF(COUNTIFS('NHAT KY THANH TOAN'!$B:$B,B173,'NHAT KY THANH TOAN'!$D:$D,"Thanh toán",'NHAT KY THANH TOAN'!$F:$F,"Tiền mặt",'NHAT KY THANH TOAN'!$G:$G,"&gt;="&amp;'THAM SO'!$B$11)&gt;0,"Có khoản TT tiền mặt ≥ ngưỡng; ","")&amp;IF(AND(AB173&lt;&gt;"",N(AB173)&lt;0),"Thanh toán vượt giá trị HĐ; ","")))</f>
        <v/>
      </c>
      <c r="AG173" s="108" t="n"/>
      <c r="AH173" s="109" t="n"/>
      <c r="AI173" s="105">
        <f>IF(OR(H173="",O173="",AH173&lt;&gt;""),"",O173-'THAM SO'!$B$8)</f>
        <v/>
      </c>
      <c r="AJ173" s="95">
        <f>IF(H173="","",IF(AH173&lt;&gt;"","Đã thanh lý",IF(AND(N173&lt;&gt;"",N173&gt;'THAM SO'!$B$8),"Chưa hiệu lực",IF(O173="","Đang thực hiện",IF(O173&lt;'THAM SO'!$B$8,IF(P173="Có","Đã tự gia hạn – kiểm tra","Quá hạn – chưa thanh lý"),IF(O173-'THAM SO'!$B$8&lt;='THAM SO'!$B$9,"Sắp hết hạn","Đang thực hiện"))))))</f>
        <v/>
      </c>
      <c r="AK173" s="106">
        <f>IF(AND(O173="",AH173=""),"",EDATE(MAX(N(O173),N(AH173)),12*'THAM SO'!$B$12))</f>
        <v/>
      </c>
      <c r="AL173" s="110" t="n"/>
    </row>
    <row r="174" ht="15" customHeight="1" s="64">
      <c r="A174" s="93">
        <f>IF(H174="","",COUNTA($H$9:H174))</f>
        <v/>
      </c>
      <c r="B174" s="93">
        <f>IF(OR(D174="",G174=""),"",YEAR(G174)&amp;"/"&amp;D174&amp;"/"&amp;TEXT(SUMPRODUCT(($D$9:D174=D174)*(YEAR($G$9:G174)=YEAR(G174))),"000")&amp;"-"&amp;'THAM SO'!$B$7)</f>
        <v/>
      </c>
      <c r="C174" s="107" t="n"/>
      <c r="D174" s="107" t="n"/>
      <c r="E174" s="95">
        <f>IF(D174="","",IFERROR(VLOOKUP(D174,'THAM SO'!$D$6:$E$40,2,FALSE()),"Mã loại chưa khai báo"))</f>
        <v/>
      </c>
      <c r="F174" s="108" t="n"/>
      <c r="G174" s="109" t="n"/>
      <c r="H174" s="110" t="n"/>
      <c r="I174" s="108" t="n"/>
      <c r="J174" s="110" t="n"/>
      <c r="K174" s="108" t="n"/>
      <c r="L174" s="108" t="n"/>
      <c r="M174" s="108" t="n"/>
      <c r="N174" s="109" t="n"/>
      <c r="O174" s="109" t="n"/>
      <c r="P174" s="107" t="n"/>
      <c r="Q174" s="107" t="n"/>
      <c r="R174" s="111" t="n"/>
      <c r="S174" s="112" t="n"/>
      <c r="T174" s="113" t="n"/>
      <c r="U174" s="102">
        <f>IF(S174="","",ROUND(S174*N(T174),2))</f>
        <v/>
      </c>
      <c r="V174" s="102">
        <f>IF(S174="","",S174+U174)</f>
        <v/>
      </c>
      <c r="W174" s="103">
        <f>IF(V174="","",ROUND(V174*IF(OR(Q174="",Q174="VND"),1,R174),0))</f>
        <v/>
      </c>
      <c r="X174" s="111" t="n"/>
      <c r="Y174" s="103">
        <f>IF(W174="","",W174+N(X174))</f>
        <v/>
      </c>
      <c r="Z174" s="103">
        <f>IF(B174="","",SUMIFS('NHAT KY THANH TOAN'!$G:$G,'NHAT KY THANH TOAN'!$B:$B,B174,'NHAT KY THANH TOAN'!$D:$D,"Hóa đơn"))</f>
        <v/>
      </c>
      <c r="AA174" s="103">
        <f>IF(B174="","",SUMIFS('NHAT KY THANH TOAN'!$G:$G,'NHAT KY THANH TOAN'!$B:$B,B174,'NHAT KY THANH TOAN'!$D:$D,"Thanh toán"))</f>
        <v/>
      </c>
      <c r="AB174" s="103">
        <f>IF(Y174="","",Y174-N(AA174))</f>
        <v/>
      </c>
      <c r="AC174" s="103">
        <f>IF(B174="","",N(Z174)-N(AA174))</f>
        <v/>
      </c>
      <c r="AD174" s="104">
        <f>IF(N(Y174)=0,"",N(AA174)/Y174)</f>
        <v/>
      </c>
      <c r="AE174" s="107" t="n"/>
      <c r="AF174" s="95">
        <f>IF(H174="","",TRIM(IF(AND(N(Y174)&gt;='THAM SO'!$B$10,AE174&lt;&gt;"Có"),"Chưa rà soát pháp lý; ","")&amp;IF(I174="","Thiếu MST đối tác; ","")&amp;IF(AG174="","Chưa ghi nơi lưu bản gốc; ","")&amp;IF(COUNTIFS('NHAT KY THANH TOAN'!$B:$B,B174,'NHAT KY THANH TOAN'!$D:$D,"Thanh toán",'NHAT KY THANH TOAN'!$F:$F,"Tiền mặt",'NHAT KY THANH TOAN'!$G:$G,"&gt;="&amp;'THAM SO'!$B$11)&gt;0,"Có khoản TT tiền mặt ≥ ngưỡng; ","")&amp;IF(AND(AB174&lt;&gt;"",N(AB174)&lt;0),"Thanh toán vượt giá trị HĐ; ","")))</f>
        <v/>
      </c>
      <c r="AG174" s="108" t="n"/>
      <c r="AH174" s="109" t="n"/>
      <c r="AI174" s="105">
        <f>IF(OR(H174="",O174="",AH174&lt;&gt;""),"",O174-'THAM SO'!$B$8)</f>
        <v/>
      </c>
      <c r="AJ174" s="95">
        <f>IF(H174="","",IF(AH174&lt;&gt;"","Đã thanh lý",IF(AND(N174&lt;&gt;"",N174&gt;'THAM SO'!$B$8),"Chưa hiệu lực",IF(O174="","Đang thực hiện",IF(O174&lt;'THAM SO'!$B$8,IF(P174="Có","Đã tự gia hạn – kiểm tra","Quá hạn – chưa thanh lý"),IF(O174-'THAM SO'!$B$8&lt;='THAM SO'!$B$9,"Sắp hết hạn","Đang thực hiện"))))))</f>
        <v/>
      </c>
      <c r="AK174" s="106">
        <f>IF(AND(O174="",AH174=""),"",EDATE(MAX(N(O174),N(AH174)),12*'THAM SO'!$B$12))</f>
        <v/>
      </c>
      <c r="AL174" s="110" t="n"/>
    </row>
    <row r="175" ht="15" customHeight="1" s="64">
      <c r="A175" s="93">
        <f>IF(H175="","",COUNTA($H$9:H175))</f>
        <v/>
      </c>
      <c r="B175" s="93">
        <f>IF(OR(D175="",G175=""),"",YEAR(G175)&amp;"/"&amp;D175&amp;"/"&amp;TEXT(SUMPRODUCT(($D$9:D175=D175)*(YEAR($G$9:G175)=YEAR(G175))),"000")&amp;"-"&amp;'THAM SO'!$B$7)</f>
        <v/>
      </c>
      <c r="C175" s="107" t="n"/>
      <c r="D175" s="107" t="n"/>
      <c r="E175" s="95">
        <f>IF(D175="","",IFERROR(VLOOKUP(D175,'THAM SO'!$D$6:$E$40,2,FALSE()),"Mã loại chưa khai báo"))</f>
        <v/>
      </c>
      <c r="F175" s="108" t="n"/>
      <c r="G175" s="109" t="n"/>
      <c r="H175" s="110" t="n"/>
      <c r="I175" s="108" t="n"/>
      <c r="J175" s="110" t="n"/>
      <c r="K175" s="108" t="n"/>
      <c r="L175" s="108" t="n"/>
      <c r="M175" s="108" t="n"/>
      <c r="N175" s="109" t="n"/>
      <c r="O175" s="109" t="n"/>
      <c r="P175" s="107" t="n"/>
      <c r="Q175" s="107" t="n"/>
      <c r="R175" s="111" t="n"/>
      <c r="S175" s="112" t="n"/>
      <c r="T175" s="113" t="n"/>
      <c r="U175" s="102">
        <f>IF(S175="","",ROUND(S175*N(T175),2))</f>
        <v/>
      </c>
      <c r="V175" s="102">
        <f>IF(S175="","",S175+U175)</f>
        <v/>
      </c>
      <c r="W175" s="103">
        <f>IF(V175="","",ROUND(V175*IF(OR(Q175="",Q175="VND"),1,R175),0))</f>
        <v/>
      </c>
      <c r="X175" s="111" t="n"/>
      <c r="Y175" s="103">
        <f>IF(W175="","",W175+N(X175))</f>
        <v/>
      </c>
      <c r="Z175" s="103">
        <f>IF(B175="","",SUMIFS('NHAT KY THANH TOAN'!$G:$G,'NHAT KY THANH TOAN'!$B:$B,B175,'NHAT KY THANH TOAN'!$D:$D,"Hóa đơn"))</f>
        <v/>
      </c>
      <c r="AA175" s="103">
        <f>IF(B175="","",SUMIFS('NHAT KY THANH TOAN'!$G:$G,'NHAT KY THANH TOAN'!$B:$B,B175,'NHAT KY THANH TOAN'!$D:$D,"Thanh toán"))</f>
        <v/>
      </c>
      <c r="AB175" s="103">
        <f>IF(Y175="","",Y175-N(AA175))</f>
        <v/>
      </c>
      <c r="AC175" s="103">
        <f>IF(B175="","",N(Z175)-N(AA175))</f>
        <v/>
      </c>
      <c r="AD175" s="104">
        <f>IF(N(Y175)=0,"",N(AA175)/Y175)</f>
        <v/>
      </c>
      <c r="AE175" s="107" t="n"/>
      <c r="AF175" s="95">
        <f>IF(H175="","",TRIM(IF(AND(N(Y175)&gt;='THAM SO'!$B$10,AE175&lt;&gt;"Có"),"Chưa rà soát pháp lý; ","")&amp;IF(I175="","Thiếu MST đối tác; ","")&amp;IF(AG175="","Chưa ghi nơi lưu bản gốc; ","")&amp;IF(COUNTIFS('NHAT KY THANH TOAN'!$B:$B,B175,'NHAT KY THANH TOAN'!$D:$D,"Thanh toán",'NHAT KY THANH TOAN'!$F:$F,"Tiền mặt",'NHAT KY THANH TOAN'!$G:$G,"&gt;="&amp;'THAM SO'!$B$11)&gt;0,"Có khoản TT tiền mặt ≥ ngưỡng; ","")&amp;IF(AND(AB175&lt;&gt;"",N(AB175)&lt;0),"Thanh toán vượt giá trị HĐ; ","")))</f>
        <v/>
      </c>
      <c r="AG175" s="108" t="n"/>
      <c r="AH175" s="109" t="n"/>
      <c r="AI175" s="105">
        <f>IF(OR(H175="",O175="",AH175&lt;&gt;""),"",O175-'THAM SO'!$B$8)</f>
        <v/>
      </c>
      <c r="AJ175" s="95">
        <f>IF(H175="","",IF(AH175&lt;&gt;"","Đã thanh lý",IF(AND(N175&lt;&gt;"",N175&gt;'THAM SO'!$B$8),"Chưa hiệu lực",IF(O175="","Đang thực hiện",IF(O175&lt;'THAM SO'!$B$8,IF(P175="Có","Đã tự gia hạn – kiểm tra","Quá hạn – chưa thanh lý"),IF(O175-'THAM SO'!$B$8&lt;='THAM SO'!$B$9,"Sắp hết hạn","Đang thực hiện"))))))</f>
        <v/>
      </c>
      <c r="AK175" s="106">
        <f>IF(AND(O175="",AH175=""),"",EDATE(MAX(N(O175),N(AH175)),12*'THAM SO'!$B$12))</f>
        <v/>
      </c>
      <c r="AL175" s="110" t="n"/>
    </row>
    <row r="176" ht="15" customHeight="1" s="64">
      <c r="A176" s="93">
        <f>IF(H176="","",COUNTA($H$9:H176))</f>
        <v/>
      </c>
      <c r="B176" s="93">
        <f>IF(OR(D176="",G176=""),"",YEAR(G176)&amp;"/"&amp;D176&amp;"/"&amp;TEXT(SUMPRODUCT(($D$9:D176=D176)*(YEAR($G$9:G176)=YEAR(G176))),"000")&amp;"-"&amp;'THAM SO'!$B$7)</f>
        <v/>
      </c>
      <c r="C176" s="107" t="n"/>
      <c r="D176" s="107" t="n"/>
      <c r="E176" s="95">
        <f>IF(D176="","",IFERROR(VLOOKUP(D176,'THAM SO'!$D$6:$E$40,2,FALSE()),"Mã loại chưa khai báo"))</f>
        <v/>
      </c>
      <c r="F176" s="108" t="n"/>
      <c r="G176" s="109" t="n"/>
      <c r="H176" s="110" t="n"/>
      <c r="I176" s="108" t="n"/>
      <c r="J176" s="110" t="n"/>
      <c r="K176" s="108" t="n"/>
      <c r="L176" s="108" t="n"/>
      <c r="M176" s="108" t="n"/>
      <c r="N176" s="109" t="n"/>
      <c r="O176" s="109" t="n"/>
      <c r="P176" s="107" t="n"/>
      <c r="Q176" s="107" t="n"/>
      <c r="R176" s="111" t="n"/>
      <c r="S176" s="112" t="n"/>
      <c r="T176" s="113" t="n"/>
      <c r="U176" s="102">
        <f>IF(S176="","",ROUND(S176*N(T176),2))</f>
        <v/>
      </c>
      <c r="V176" s="102">
        <f>IF(S176="","",S176+U176)</f>
        <v/>
      </c>
      <c r="W176" s="103">
        <f>IF(V176="","",ROUND(V176*IF(OR(Q176="",Q176="VND"),1,R176),0))</f>
        <v/>
      </c>
      <c r="X176" s="111" t="n"/>
      <c r="Y176" s="103">
        <f>IF(W176="","",W176+N(X176))</f>
        <v/>
      </c>
      <c r="Z176" s="103">
        <f>IF(B176="","",SUMIFS('NHAT KY THANH TOAN'!$G:$G,'NHAT KY THANH TOAN'!$B:$B,B176,'NHAT KY THANH TOAN'!$D:$D,"Hóa đơn"))</f>
        <v/>
      </c>
      <c r="AA176" s="103">
        <f>IF(B176="","",SUMIFS('NHAT KY THANH TOAN'!$G:$G,'NHAT KY THANH TOAN'!$B:$B,B176,'NHAT KY THANH TOAN'!$D:$D,"Thanh toán"))</f>
        <v/>
      </c>
      <c r="AB176" s="103">
        <f>IF(Y176="","",Y176-N(AA176))</f>
        <v/>
      </c>
      <c r="AC176" s="103">
        <f>IF(B176="","",N(Z176)-N(AA176))</f>
        <v/>
      </c>
      <c r="AD176" s="104">
        <f>IF(N(Y176)=0,"",N(AA176)/Y176)</f>
        <v/>
      </c>
      <c r="AE176" s="107" t="n"/>
      <c r="AF176" s="95">
        <f>IF(H176="","",TRIM(IF(AND(N(Y176)&gt;='THAM SO'!$B$10,AE176&lt;&gt;"Có"),"Chưa rà soát pháp lý; ","")&amp;IF(I176="","Thiếu MST đối tác; ","")&amp;IF(AG176="","Chưa ghi nơi lưu bản gốc; ","")&amp;IF(COUNTIFS('NHAT KY THANH TOAN'!$B:$B,B176,'NHAT KY THANH TOAN'!$D:$D,"Thanh toán",'NHAT KY THANH TOAN'!$F:$F,"Tiền mặt",'NHAT KY THANH TOAN'!$G:$G,"&gt;="&amp;'THAM SO'!$B$11)&gt;0,"Có khoản TT tiền mặt ≥ ngưỡng; ","")&amp;IF(AND(AB176&lt;&gt;"",N(AB176)&lt;0),"Thanh toán vượt giá trị HĐ; ","")))</f>
        <v/>
      </c>
      <c r="AG176" s="108" t="n"/>
      <c r="AH176" s="109" t="n"/>
      <c r="AI176" s="105">
        <f>IF(OR(H176="",O176="",AH176&lt;&gt;""),"",O176-'THAM SO'!$B$8)</f>
        <v/>
      </c>
      <c r="AJ176" s="95">
        <f>IF(H176="","",IF(AH176&lt;&gt;"","Đã thanh lý",IF(AND(N176&lt;&gt;"",N176&gt;'THAM SO'!$B$8),"Chưa hiệu lực",IF(O176="","Đang thực hiện",IF(O176&lt;'THAM SO'!$B$8,IF(P176="Có","Đã tự gia hạn – kiểm tra","Quá hạn – chưa thanh lý"),IF(O176-'THAM SO'!$B$8&lt;='THAM SO'!$B$9,"Sắp hết hạn","Đang thực hiện"))))))</f>
        <v/>
      </c>
      <c r="AK176" s="106">
        <f>IF(AND(O176="",AH176=""),"",EDATE(MAX(N(O176),N(AH176)),12*'THAM SO'!$B$12))</f>
        <v/>
      </c>
      <c r="AL176" s="110" t="n"/>
    </row>
    <row r="177" ht="15" customHeight="1" s="64">
      <c r="A177" s="93">
        <f>IF(H177="","",COUNTA($H$9:H177))</f>
        <v/>
      </c>
      <c r="B177" s="93">
        <f>IF(OR(D177="",G177=""),"",YEAR(G177)&amp;"/"&amp;D177&amp;"/"&amp;TEXT(SUMPRODUCT(($D$9:D177=D177)*(YEAR($G$9:G177)=YEAR(G177))),"000")&amp;"-"&amp;'THAM SO'!$B$7)</f>
        <v/>
      </c>
      <c r="C177" s="107" t="n"/>
      <c r="D177" s="107" t="n"/>
      <c r="E177" s="95">
        <f>IF(D177="","",IFERROR(VLOOKUP(D177,'THAM SO'!$D$6:$E$40,2,FALSE()),"Mã loại chưa khai báo"))</f>
        <v/>
      </c>
      <c r="F177" s="108" t="n"/>
      <c r="G177" s="109" t="n"/>
      <c r="H177" s="110" t="n"/>
      <c r="I177" s="108" t="n"/>
      <c r="J177" s="110" t="n"/>
      <c r="K177" s="108" t="n"/>
      <c r="L177" s="108" t="n"/>
      <c r="M177" s="108" t="n"/>
      <c r="N177" s="109" t="n"/>
      <c r="O177" s="109" t="n"/>
      <c r="P177" s="107" t="n"/>
      <c r="Q177" s="107" t="n"/>
      <c r="R177" s="111" t="n"/>
      <c r="S177" s="112" t="n"/>
      <c r="T177" s="113" t="n"/>
      <c r="U177" s="102">
        <f>IF(S177="","",ROUND(S177*N(T177),2))</f>
        <v/>
      </c>
      <c r="V177" s="102">
        <f>IF(S177="","",S177+U177)</f>
        <v/>
      </c>
      <c r="W177" s="103">
        <f>IF(V177="","",ROUND(V177*IF(OR(Q177="",Q177="VND"),1,R177),0))</f>
        <v/>
      </c>
      <c r="X177" s="111" t="n"/>
      <c r="Y177" s="103">
        <f>IF(W177="","",W177+N(X177))</f>
        <v/>
      </c>
      <c r="Z177" s="103">
        <f>IF(B177="","",SUMIFS('NHAT KY THANH TOAN'!$G:$G,'NHAT KY THANH TOAN'!$B:$B,B177,'NHAT KY THANH TOAN'!$D:$D,"Hóa đơn"))</f>
        <v/>
      </c>
      <c r="AA177" s="103">
        <f>IF(B177="","",SUMIFS('NHAT KY THANH TOAN'!$G:$G,'NHAT KY THANH TOAN'!$B:$B,B177,'NHAT KY THANH TOAN'!$D:$D,"Thanh toán"))</f>
        <v/>
      </c>
      <c r="AB177" s="103">
        <f>IF(Y177="","",Y177-N(AA177))</f>
        <v/>
      </c>
      <c r="AC177" s="103">
        <f>IF(B177="","",N(Z177)-N(AA177))</f>
        <v/>
      </c>
      <c r="AD177" s="104">
        <f>IF(N(Y177)=0,"",N(AA177)/Y177)</f>
        <v/>
      </c>
      <c r="AE177" s="107" t="n"/>
      <c r="AF177" s="95">
        <f>IF(H177="","",TRIM(IF(AND(N(Y177)&gt;='THAM SO'!$B$10,AE177&lt;&gt;"Có"),"Chưa rà soát pháp lý; ","")&amp;IF(I177="","Thiếu MST đối tác; ","")&amp;IF(AG177="","Chưa ghi nơi lưu bản gốc; ","")&amp;IF(COUNTIFS('NHAT KY THANH TOAN'!$B:$B,B177,'NHAT KY THANH TOAN'!$D:$D,"Thanh toán",'NHAT KY THANH TOAN'!$F:$F,"Tiền mặt",'NHAT KY THANH TOAN'!$G:$G,"&gt;="&amp;'THAM SO'!$B$11)&gt;0,"Có khoản TT tiền mặt ≥ ngưỡng; ","")&amp;IF(AND(AB177&lt;&gt;"",N(AB177)&lt;0),"Thanh toán vượt giá trị HĐ; ","")))</f>
        <v/>
      </c>
      <c r="AG177" s="108" t="n"/>
      <c r="AH177" s="109" t="n"/>
      <c r="AI177" s="105">
        <f>IF(OR(H177="",O177="",AH177&lt;&gt;""),"",O177-'THAM SO'!$B$8)</f>
        <v/>
      </c>
      <c r="AJ177" s="95">
        <f>IF(H177="","",IF(AH177&lt;&gt;"","Đã thanh lý",IF(AND(N177&lt;&gt;"",N177&gt;'THAM SO'!$B$8),"Chưa hiệu lực",IF(O177="","Đang thực hiện",IF(O177&lt;'THAM SO'!$B$8,IF(P177="Có","Đã tự gia hạn – kiểm tra","Quá hạn – chưa thanh lý"),IF(O177-'THAM SO'!$B$8&lt;='THAM SO'!$B$9,"Sắp hết hạn","Đang thực hiện"))))))</f>
        <v/>
      </c>
      <c r="AK177" s="106">
        <f>IF(AND(O177="",AH177=""),"",EDATE(MAX(N(O177),N(AH177)),12*'THAM SO'!$B$12))</f>
        <v/>
      </c>
      <c r="AL177" s="110" t="n"/>
    </row>
    <row r="178" ht="15" customHeight="1" s="64">
      <c r="A178" s="93">
        <f>IF(H178="","",COUNTA($H$9:H178))</f>
        <v/>
      </c>
      <c r="B178" s="93">
        <f>IF(OR(D178="",G178=""),"",YEAR(G178)&amp;"/"&amp;D178&amp;"/"&amp;TEXT(SUMPRODUCT(($D$9:D178=D178)*(YEAR($G$9:G178)=YEAR(G178))),"000")&amp;"-"&amp;'THAM SO'!$B$7)</f>
        <v/>
      </c>
      <c r="C178" s="107" t="n"/>
      <c r="D178" s="107" t="n"/>
      <c r="E178" s="95">
        <f>IF(D178="","",IFERROR(VLOOKUP(D178,'THAM SO'!$D$6:$E$40,2,FALSE()),"Mã loại chưa khai báo"))</f>
        <v/>
      </c>
      <c r="F178" s="108" t="n"/>
      <c r="G178" s="109" t="n"/>
      <c r="H178" s="110" t="n"/>
      <c r="I178" s="108" t="n"/>
      <c r="J178" s="110" t="n"/>
      <c r="K178" s="108" t="n"/>
      <c r="L178" s="108" t="n"/>
      <c r="M178" s="108" t="n"/>
      <c r="N178" s="109" t="n"/>
      <c r="O178" s="109" t="n"/>
      <c r="P178" s="107" t="n"/>
      <c r="Q178" s="107" t="n"/>
      <c r="R178" s="111" t="n"/>
      <c r="S178" s="112" t="n"/>
      <c r="T178" s="113" t="n"/>
      <c r="U178" s="102">
        <f>IF(S178="","",ROUND(S178*N(T178),2))</f>
        <v/>
      </c>
      <c r="V178" s="102">
        <f>IF(S178="","",S178+U178)</f>
        <v/>
      </c>
      <c r="W178" s="103">
        <f>IF(V178="","",ROUND(V178*IF(OR(Q178="",Q178="VND"),1,R178),0))</f>
        <v/>
      </c>
      <c r="X178" s="111" t="n"/>
      <c r="Y178" s="103">
        <f>IF(W178="","",W178+N(X178))</f>
        <v/>
      </c>
      <c r="Z178" s="103">
        <f>IF(B178="","",SUMIFS('NHAT KY THANH TOAN'!$G:$G,'NHAT KY THANH TOAN'!$B:$B,B178,'NHAT KY THANH TOAN'!$D:$D,"Hóa đơn"))</f>
        <v/>
      </c>
      <c r="AA178" s="103">
        <f>IF(B178="","",SUMIFS('NHAT KY THANH TOAN'!$G:$G,'NHAT KY THANH TOAN'!$B:$B,B178,'NHAT KY THANH TOAN'!$D:$D,"Thanh toán"))</f>
        <v/>
      </c>
      <c r="AB178" s="103">
        <f>IF(Y178="","",Y178-N(AA178))</f>
        <v/>
      </c>
      <c r="AC178" s="103">
        <f>IF(B178="","",N(Z178)-N(AA178))</f>
        <v/>
      </c>
      <c r="AD178" s="104">
        <f>IF(N(Y178)=0,"",N(AA178)/Y178)</f>
        <v/>
      </c>
      <c r="AE178" s="107" t="n"/>
      <c r="AF178" s="95">
        <f>IF(H178="","",TRIM(IF(AND(N(Y178)&gt;='THAM SO'!$B$10,AE178&lt;&gt;"Có"),"Chưa rà soát pháp lý; ","")&amp;IF(I178="","Thiếu MST đối tác; ","")&amp;IF(AG178="","Chưa ghi nơi lưu bản gốc; ","")&amp;IF(COUNTIFS('NHAT KY THANH TOAN'!$B:$B,B178,'NHAT KY THANH TOAN'!$D:$D,"Thanh toán",'NHAT KY THANH TOAN'!$F:$F,"Tiền mặt",'NHAT KY THANH TOAN'!$G:$G,"&gt;="&amp;'THAM SO'!$B$11)&gt;0,"Có khoản TT tiền mặt ≥ ngưỡng; ","")&amp;IF(AND(AB178&lt;&gt;"",N(AB178)&lt;0),"Thanh toán vượt giá trị HĐ; ","")))</f>
        <v/>
      </c>
      <c r="AG178" s="108" t="n"/>
      <c r="AH178" s="109" t="n"/>
      <c r="AI178" s="105">
        <f>IF(OR(H178="",O178="",AH178&lt;&gt;""),"",O178-'THAM SO'!$B$8)</f>
        <v/>
      </c>
      <c r="AJ178" s="95">
        <f>IF(H178="","",IF(AH178&lt;&gt;"","Đã thanh lý",IF(AND(N178&lt;&gt;"",N178&gt;'THAM SO'!$B$8),"Chưa hiệu lực",IF(O178="","Đang thực hiện",IF(O178&lt;'THAM SO'!$B$8,IF(P178="Có","Đã tự gia hạn – kiểm tra","Quá hạn – chưa thanh lý"),IF(O178-'THAM SO'!$B$8&lt;='THAM SO'!$B$9,"Sắp hết hạn","Đang thực hiện"))))))</f>
        <v/>
      </c>
      <c r="AK178" s="106">
        <f>IF(AND(O178="",AH178=""),"",EDATE(MAX(N(O178),N(AH178)),12*'THAM SO'!$B$12))</f>
        <v/>
      </c>
      <c r="AL178" s="110" t="n"/>
    </row>
    <row r="179" ht="15" customHeight="1" s="64">
      <c r="A179" s="93">
        <f>IF(H179="","",COUNTA($H$9:H179))</f>
        <v/>
      </c>
      <c r="B179" s="93">
        <f>IF(OR(D179="",G179=""),"",YEAR(G179)&amp;"/"&amp;D179&amp;"/"&amp;TEXT(SUMPRODUCT(($D$9:D179=D179)*(YEAR($G$9:G179)=YEAR(G179))),"000")&amp;"-"&amp;'THAM SO'!$B$7)</f>
        <v/>
      </c>
      <c r="C179" s="107" t="n"/>
      <c r="D179" s="107" t="n"/>
      <c r="E179" s="95">
        <f>IF(D179="","",IFERROR(VLOOKUP(D179,'THAM SO'!$D$6:$E$40,2,FALSE()),"Mã loại chưa khai báo"))</f>
        <v/>
      </c>
      <c r="F179" s="108" t="n"/>
      <c r="G179" s="109" t="n"/>
      <c r="H179" s="110" t="n"/>
      <c r="I179" s="108" t="n"/>
      <c r="J179" s="110" t="n"/>
      <c r="K179" s="108" t="n"/>
      <c r="L179" s="108" t="n"/>
      <c r="M179" s="108" t="n"/>
      <c r="N179" s="109" t="n"/>
      <c r="O179" s="109" t="n"/>
      <c r="P179" s="107" t="n"/>
      <c r="Q179" s="107" t="n"/>
      <c r="R179" s="111" t="n"/>
      <c r="S179" s="112" t="n"/>
      <c r="T179" s="113" t="n"/>
      <c r="U179" s="102">
        <f>IF(S179="","",ROUND(S179*N(T179),2))</f>
        <v/>
      </c>
      <c r="V179" s="102">
        <f>IF(S179="","",S179+U179)</f>
        <v/>
      </c>
      <c r="W179" s="103">
        <f>IF(V179="","",ROUND(V179*IF(OR(Q179="",Q179="VND"),1,R179),0))</f>
        <v/>
      </c>
      <c r="X179" s="111" t="n"/>
      <c r="Y179" s="103">
        <f>IF(W179="","",W179+N(X179))</f>
        <v/>
      </c>
      <c r="Z179" s="103">
        <f>IF(B179="","",SUMIFS('NHAT KY THANH TOAN'!$G:$G,'NHAT KY THANH TOAN'!$B:$B,B179,'NHAT KY THANH TOAN'!$D:$D,"Hóa đơn"))</f>
        <v/>
      </c>
      <c r="AA179" s="103">
        <f>IF(B179="","",SUMIFS('NHAT KY THANH TOAN'!$G:$G,'NHAT KY THANH TOAN'!$B:$B,B179,'NHAT KY THANH TOAN'!$D:$D,"Thanh toán"))</f>
        <v/>
      </c>
      <c r="AB179" s="103">
        <f>IF(Y179="","",Y179-N(AA179))</f>
        <v/>
      </c>
      <c r="AC179" s="103">
        <f>IF(B179="","",N(Z179)-N(AA179))</f>
        <v/>
      </c>
      <c r="AD179" s="104">
        <f>IF(N(Y179)=0,"",N(AA179)/Y179)</f>
        <v/>
      </c>
      <c r="AE179" s="107" t="n"/>
      <c r="AF179" s="95">
        <f>IF(H179="","",TRIM(IF(AND(N(Y179)&gt;='THAM SO'!$B$10,AE179&lt;&gt;"Có"),"Chưa rà soát pháp lý; ","")&amp;IF(I179="","Thiếu MST đối tác; ","")&amp;IF(AG179="","Chưa ghi nơi lưu bản gốc; ","")&amp;IF(COUNTIFS('NHAT KY THANH TOAN'!$B:$B,B179,'NHAT KY THANH TOAN'!$D:$D,"Thanh toán",'NHAT KY THANH TOAN'!$F:$F,"Tiền mặt",'NHAT KY THANH TOAN'!$G:$G,"&gt;="&amp;'THAM SO'!$B$11)&gt;0,"Có khoản TT tiền mặt ≥ ngưỡng; ","")&amp;IF(AND(AB179&lt;&gt;"",N(AB179)&lt;0),"Thanh toán vượt giá trị HĐ; ","")))</f>
        <v/>
      </c>
      <c r="AG179" s="108" t="n"/>
      <c r="AH179" s="109" t="n"/>
      <c r="AI179" s="105">
        <f>IF(OR(H179="",O179="",AH179&lt;&gt;""),"",O179-'THAM SO'!$B$8)</f>
        <v/>
      </c>
      <c r="AJ179" s="95">
        <f>IF(H179="","",IF(AH179&lt;&gt;"","Đã thanh lý",IF(AND(N179&lt;&gt;"",N179&gt;'THAM SO'!$B$8),"Chưa hiệu lực",IF(O179="","Đang thực hiện",IF(O179&lt;'THAM SO'!$B$8,IF(P179="Có","Đã tự gia hạn – kiểm tra","Quá hạn – chưa thanh lý"),IF(O179-'THAM SO'!$B$8&lt;='THAM SO'!$B$9,"Sắp hết hạn","Đang thực hiện"))))))</f>
        <v/>
      </c>
      <c r="AK179" s="106">
        <f>IF(AND(O179="",AH179=""),"",EDATE(MAX(N(O179),N(AH179)),12*'THAM SO'!$B$12))</f>
        <v/>
      </c>
      <c r="AL179" s="110" t="n"/>
    </row>
    <row r="180" ht="15" customHeight="1" s="64">
      <c r="A180" s="93">
        <f>IF(H180="","",COUNTA($H$9:H180))</f>
        <v/>
      </c>
      <c r="B180" s="93">
        <f>IF(OR(D180="",G180=""),"",YEAR(G180)&amp;"/"&amp;D180&amp;"/"&amp;TEXT(SUMPRODUCT(($D$9:D180=D180)*(YEAR($G$9:G180)=YEAR(G180))),"000")&amp;"-"&amp;'THAM SO'!$B$7)</f>
        <v/>
      </c>
      <c r="C180" s="107" t="n"/>
      <c r="D180" s="107" t="n"/>
      <c r="E180" s="95">
        <f>IF(D180="","",IFERROR(VLOOKUP(D180,'THAM SO'!$D$6:$E$40,2,FALSE()),"Mã loại chưa khai báo"))</f>
        <v/>
      </c>
      <c r="F180" s="108" t="n"/>
      <c r="G180" s="109" t="n"/>
      <c r="H180" s="110" t="n"/>
      <c r="I180" s="108" t="n"/>
      <c r="J180" s="110" t="n"/>
      <c r="K180" s="108" t="n"/>
      <c r="L180" s="108" t="n"/>
      <c r="M180" s="108" t="n"/>
      <c r="N180" s="109" t="n"/>
      <c r="O180" s="109" t="n"/>
      <c r="P180" s="107" t="n"/>
      <c r="Q180" s="107" t="n"/>
      <c r="R180" s="111" t="n"/>
      <c r="S180" s="112" t="n"/>
      <c r="T180" s="113" t="n"/>
      <c r="U180" s="102">
        <f>IF(S180="","",ROUND(S180*N(T180),2))</f>
        <v/>
      </c>
      <c r="V180" s="102">
        <f>IF(S180="","",S180+U180)</f>
        <v/>
      </c>
      <c r="W180" s="103">
        <f>IF(V180="","",ROUND(V180*IF(OR(Q180="",Q180="VND"),1,R180),0))</f>
        <v/>
      </c>
      <c r="X180" s="111" t="n"/>
      <c r="Y180" s="103">
        <f>IF(W180="","",W180+N(X180))</f>
        <v/>
      </c>
      <c r="Z180" s="103">
        <f>IF(B180="","",SUMIFS('NHAT KY THANH TOAN'!$G:$G,'NHAT KY THANH TOAN'!$B:$B,B180,'NHAT KY THANH TOAN'!$D:$D,"Hóa đơn"))</f>
        <v/>
      </c>
      <c r="AA180" s="103">
        <f>IF(B180="","",SUMIFS('NHAT KY THANH TOAN'!$G:$G,'NHAT KY THANH TOAN'!$B:$B,B180,'NHAT KY THANH TOAN'!$D:$D,"Thanh toán"))</f>
        <v/>
      </c>
      <c r="AB180" s="103">
        <f>IF(Y180="","",Y180-N(AA180))</f>
        <v/>
      </c>
      <c r="AC180" s="103">
        <f>IF(B180="","",N(Z180)-N(AA180))</f>
        <v/>
      </c>
      <c r="AD180" s="104">
        <f>IF(N(Y180)=0,"",N(AA180)/Y180)</f>
        <v/>
      </c>
      <c r="AE180" s="107" t="n"/>
      <c r="AF180" s="95">
        <f>IF(H180="","",TRIM(IF(AND(N(Y180)&gt;='THAM SO'!$B$10,AE180&lt;&gt;"Có"),"Chưa rà soát pháp lý; ","")&amp;IF(I180="","Thiếu MST đối tác; ","")&amp;IF(AG180="","Chưa ghi nơi lưu bản gốc; ","")&amp;IF(COUNTIFS('NHAT KY THANH TOAN'!$B:$B,B180,'NHAT KY THANH TOAN'!$D:$D,"Thanh toán",'NHAT KY THANH TOAN'!$F:$F,"Tiền mặt",'NHAT KY THANH TOAN'!$G:$G,"&gt;="&amp;'THAM SO'!$B$11)&gt;0,"Có khoản TT tiền mặt ≥ ngưỡng; ","")&amp;IF(AND(AB180&lt;&gt;"",N(AB180)&lt;0),"Thanh toán vượt giá trị HĐ; ","")))</f>
        <v/>
      </c>
      <c r="AG180" s="108" t="n"/>
      <c r="AH180" s="109" t="n"/>
      <c r="AI180" s="105">
        <f>IF(OR(H180="",O180="",AH180&lt;&gt;""),"",O180-'THAM SO'!$B$8)</f>
        <v/>
      </c>
      <c r="AJ180" s="95">
        <f>IF(H180="","",IF(AH180&lt;&gt;"","Đã thanh lý",IF(AND(N180&lt;&gt;"",N180&gt;'THAM SO'!$B$8),"Chưa hiệu lực",IF(O180="","Đang thực hiện",IF(O180&lt;'THAM SO'!$B$8,IF(P180="Có","Đã tự gia hạn – kiểm tra","Quá hạn – chưa thanh lý"),IF(O180-'THAM SO'!$B$8&lt;='THAM SO'!$B$9,"Sắp hết hạn","Đang thực hiện"))))))</f>
        <v/>
      </c>
      <c r="AK180" s="106">
        <f>IF(AND(O180="",AH180=""),"",EDATE(MAX(N(O180),N(AH180)),12*'THAM SO'!$B$12))</f>
        <v/>
      </c>
      <c r="AL180" s="110" t="n"/>
    </row>
    <row r="181" ht="15" customHeight="1" s="64">
      <c r="A181" s="93">
        <f>IF(H181="","",COUNTA($H$9:H181))</f>
        <v/>
      </c>
      <c r="B181" s="93">
        <f>IF(OR(D181="",G181=""),"",YEAR(G181)&amp;"/"&amp;D181&amp;"/"&amp;TEXT(SUMPRODUCT(($D$9:D181=D181)*(YEAR($G$9:G181)=YEAR(G181))),"000")&amp;"-"&amp;'THAM SO'!$B$7)</f>
        <v/>
      </c>
      <c r="C181" s="107" t="n"/>
      <c r="D181" s="107" t="n"/>
      <c r="E181" s="95">
        <f>IF(D181="","",IFERROR(VLOOKUP(D181,'THAM SO'!$D$6:$E$40,2,FALSE()),"Mã loại chưa khai báo"))</f>
        <v/>
      </c>
      <c r="F181" s="108" t="n"/>
      <c r="G181" s="109" t="n"/>
      <c r="H181" s="110" t="n"/>
      <c r="I181" s="108" t="n"/>
      <c r="J181" s="110" t="n"/>
      <c r="K181" s="108" t="n"/>
      <c r="L181" s="108" t="n"/>
      <c r="M181" s="108" t="n"/>
      <c r="N181" s="109" t="n"/>
      <c r="O181" s="109" t="n"/>
      <c r="P181" s="107" t="n"/>
      <c r="Q181" s="107" t="n"/>
      <c r="R181" s="111" t="n"/>
      <c r="S181" s="112" t="n"/>
      <c r="T181" s="113" t="n"/>
      <c r="U181" s="102">
        <f>IF(S181="","",ROUND(S181*N(T181),2))</f>
        <v/>
      </c>
      <c r="V181" s="102">
        <f>IF(S181="","",S181+U181)</f>
        <v/>
      </c>
      <c r="W181" s="103">
        <f>IF(V181="","",ROUND(V181*IF(OR(Q181="",Q181="VND"),1,R181),0))</f>
        <v/>
      </c>
      <c r="X181" s="111" t="n"/>
      <c r="Y181" s="103">
        <f>IF(W181="","",W181+N(X181))</f>
        <v/>
      </c>
      <c r="Z181" s="103">
        <f>IF(B181="","",SUMIFS('NHAT KY THANH TOAN'!$G:$G,'NHAT KY THANH TOAN'!$B:$B,B181,'NHAT KY THANH TOAN'!$D:$D,"Hóa đơn"))</f>
        <v/>
      </c>
      <c r="AA181" s="103">
        <f>IF(B181="","",SUMIFS('NHAT KY THANH TOAN'!$G:$G,'NHAT KY THANH TOAN'!$B:$B,B181,'NHAT KY THANH TOAN'!$D:$D,"Thanh toán"))</f>
        <v/>
      </c>
      <c r="AB181" s="103">
        <f>IF(Y181="","",Y181-N(AA181))</f>
        <v/>
      </c>
      <c r="AC181" s="103">
        <f>IF(B181="","",N(Z181)-N(AA181))</f>
        <v/>
      </c>
      <c r="AD181" s="104">
        <f>IF(N(Y181)=0,"",N(AA181)/Y181)</f>
        <v/>
      </c>
      <c r="AE181" s="107" t="n"/>
      <c r="AF181" s="95">
        <f>IF(H181="","",TRIM(IF(AND(N(Y181)&gt;='THAM SO'!$B$10,AE181&lt;&gt;"Có"),"Chưa rà soát pháp lý; ","")&amp;IF(I181="","Thiếu MST đối tác; ","")&amp;IF(AG181="","Chưa ghi nơi lưu bản gốc; ","")&amp;IF(COUNTIFS('NHAT KY THANH TOAN'!$B:$B,B181,'NHAT KY THANH TOAN'!$D:$D,"Thanh toán",'NHAT KY THANH TOAN'!$F:$F,"Tiền mặt",'NHAT KY THANH TOAN'!$G:$G,"&gt;="&amp;'THAM SO'!$B$11)&gt;0,"Có khoản TT tiền mặt ≥ ngưỡng; ","")&amp;IF(AND(AB181&lt;&gt;"",N(AB181)&lt;0),"Thanh toán vượt giá trị HĐ; ","")))</f>
        <v/>
      </c>
      <c r="AG181" s="108" t="n"/>
      <c r="AH181" s="109" t="n"/>
      <c r="AI181" s="105">
        <f>IF(OR(H181="",O181="",AH181&lt;&gt;""),"",O181-'THAM SO'!$B$8)</f>
        <v/>
      </c>
      <c r="AJ181" s="95">
        <f>IF(H181="","",IF(AH181&lt;&gt;"","Đã thanh lý",IF(AND(N181&lt;&gt;"",N181&gt;'THAM SO'!$B$8),"Chưa hiệu lực",IF(O181="","Đang thực hiện",IF(O181&lt;'THAM SO'!$B$8,IF(P181="Có","Đã tự gia hạn – kiểm tra","Quá hạn – chưa thanh lý"),IF(O181-'THAM SO'!$B$8&lt;='THAM SO'!$B$9,"Sắp hết hạn","Đang thực hiện"))))))</f>
        <v/>
      </c>
      <c r="AK181" s="106">
        <f>IF(AND(O181="",AH181=""),"",EDATE(MAX(N(O181),N(AH181)),12*'THAM SO'!$B$12))</f>
        <v/>
      </c>
      <c r="AL181" s="110" t="n"/>
    </row>
    <row r="182" ht="15" customHeight="1" s="64">
      <c r="A182" s="93">
        <f>IF(H182="","",COUNTA($H$9:H182))</f>
        <v/>
      </c>
      <c r="B182" s="93">
        <f>IF(OR(D182="",G182=""),"",YEAR(G182)&amp;"/"&amp;D182&amp;"/"&amp;TEXT(SUMPRODUCT(($D$9:D182=D182)*(YEAR($G$9:G182)=YEAR(G182))),"000")&amp;"-"&amp;'THAM SO'!$B$7)</f>
        <v/>
      </c>
      <c r="C182" s="107" t="n"/>
      <c r="D182" s="107" t="n"/>
      <c r="E182" s="95">
        <f>IF(D182="","",IFERROR(VLOOKUP(D182,'THAM SO'!$D$6:$E$40,2,FALSE()),"Mã loại chưa khai báo"))</f>
        <v/>
      </c>
      <c r="F182" s="108" t="n"/>
      <c r="G182" s="109" t="n"/>
      <c r="H182" s="110" t="n"/>
      <c r="I182" s="108" t="n"/>
      <c r="J182" s="110" t="n"/>
      <c r="K182" s="108" t="n"/>
      <c r="L182" s="108" t="n"/>
      <c r="M182" s="108" t="n"/>
      <c r="N182" s="109" t="n"/>
      <c r="O182" s="109" t="n"/>
      <c r="P182" s="107" t="n"/>
      <c r="Q182" s="107" t="n"/>
      <c r="R182" s="111" t="n"/>
      <c r="S182" s="112" t="n"/>
      <c r="T182" s="113" t="n"/>
      <c r="U182" s="102">
        <f>IF(S182="","",ROUND(S182*N(T182),2))</f>
        <v/>
      </c>
      <c r="V182" s="102">
        <f>IF(S182="","",S182+U182)</f>
        <v/>
      </c>
      <c r="W182" s="103">
        <f>IF(V182="","",ROUND(V182*IF(OR(Q182="",Q182="VND"),1,R182),0))</f>
        <v/>
      </c>
      <c r="X182" s="111" t="n"/>
      <c r="Y182" s="103">
        <f>IF(W182="","",W182+N(X182))</f>
        <v/>
      </c>
      <c r="Z182" s="103">
        <f>IF(B182="","",SUMIFS('NHAT KY THANH TOAN'!$G:$G,'NHAT KY THANH TOAN'!$B:$B,B182,'NHAT KY THANH TOAN'!$D:$D,"Hóa đơn"))</f>
        <v/>
      </c>
      <c r="AA182" s="103">
        <f>IF(B182="","",SUMIFS('NHAT KY THANH TOAN'!$G:$G,'NHAT KY THANH TOAN'!$B:$B,B182,'NHAT KY THANH TOAN'!$D:$D,"Thanh toán"))</f>
        <v/>
      </c>
      <c r="AB182" s="103">
        <f>IF(Y182="","",Y182-N(AA182))</f>
        <v/>
      </c>
      <c r="AC182" s="103">
        <f>IF(B182="","",N(Z182)-N(AA182))</f>
        <v/>
      </c>
      <c r="AD182" s="104">
        <f>IF(N(Y182)=0,"",N(AA182)/Y182)</f>
        <v/>
      </c>
      <c r="AE182" s="107" t="n"/>
      <c r="AF182" s="95">
        <f>IF(H182="","",TRIM(IF(AND(N(Y182)&gt;='THAM SO'!$B$10,AE182&lt;&gt;"Có"),"Chưa rà soát pháp lý; ","")&amp;IF(I182="","Thiếu MST đối tác; ","")&amp;IF(AG182="","Chưa ghi nơi lưu bản gốc; ","")&amp;IF(COUNTIFS('NHAT KY THANH TOAN'!$B:$B,B182,'NHAT KY THANH TOAN'!$D:$D,"Thanh toán",'NHAT KY THANH TOAN'!$F:$F,"Tiền mặt",'NHAT KY THANH TOAN'!$G:$G,"&gt;="&amp;'THAM SO'!$B$11)&gt;0,"Có khoản TT tiền mặt ≥ ngưỡng; ","")&amp;IF(AND(AB182&lt;&gt;"",N(AB182)&lt;0),"Thanh toán vượt giá trị HĐ; ","")))</f>
        <v/>
      </c>
      <c r="AG182" s="108" t="n"/>
      <c r="AH182" s="109" t="n"/>
      <c r="AI182" s="105">
        <f>IF(OR(H182="",O182="",AH182&lt;&gt;""),"",O182-'THAM SO'!$B$8)</f>
        <v/>
      </c>
      <c r="AJ182" s="95">
        <f>IF(H182="","",IF(AH182&lt;&gt;"","Đã thanh lý",IF(AND(N182&lt;&gt;"",N182&gt;'THAM SO'!$B$8),"Chưa hiệu lực",IF(O182="","Đang thực hiện",IF(O182&lt;'THAM SO'!$B$8,IF(P182="Có","Đã tự gia hạn – kiểm tra","Quá hạn – chưa thanh lý"),IF(O182-'THAM SO'!$B$8&lt;='THAM SO'!$B$9,"Sắp hết hạn","Đang thực hiện"))))))</f>
        <v/>
      </c>
      <c r="AK182" s="106">
        <f>IF(AND(O182="",AH182=""),"",EDATE(MAX(N(O182),N(AH182)),12*'THAM SO'!$B$12))</f>
        <v/>
      </c>
      <c r="AL182" s="110" t="n"/>
    </row>
    <row r="183" ht="15" customHeight="1" s="64">
      <c r="A183" s="93">
        <f>IF(H183="","",COUNTA($H$9:H183))</f>
        <v/>
      </c>
      <c r="B183" s="93">
        <f>IF(OR(D183="",G183=""),"",YEAR(G183)&amp;"/"&amp;D183&amp;"/"&amp;TEXT(SUMPRODUCT(($D$9:D183=D183)*(YEAR($G$9:G183)=YEAR(G183))),"000")&amp;"-"&amp;'THAM SO'!$B$7)</f>
        <v/>
      </c>
      <c r="C183" s="107" t="n"/>
      <c r="D183" s="107" t="n"/>
      <c r="E183" s="95">
        <f>IF(D183="","",IFERROR(VLOOKUP(D183,'THAM SO'!$D$6:$E$40,2,FALSE()),"Mã loại chưa khai báo"))</f>
        <v/>
      </c>
      <c r="F183" s="108" t="n"/>
      <c r="G183" s="109" t="n"/>
      <c r="H183" s="110" t="n"/>
      <c r="I183" s="108" t="n"/>
      <c r="J183" s="110" t="n"/>
      <c r="K183" s="108" t="n"/>
      <c r="L183" s="108" t="n"/>
      <c r="M183" s="108" t="n"/>
      <c r="N183" s="109" t="n"/>
      <c r="O183" s="109" t="n"/>
      <c r="P183" s="107" t="n"/>
      <c r="Q183" s="107" t="n"/>
      <c r="R183" s="111" t="n"/>
      <c r="S183" s="112" t="n"/>
      <c r="T183" s="113" t="n"/>
      <c r="U183" s="102">
        <f>IF(S183="","",ROUND(S183*N(T183),2))</f>
        <v/>
      </c>
      <c r="V183" s="102">
        <f>IF(S183="","",S183+U183)</f>
        <v/>
      </c>
      <c r="W183" s="103">
        <f>IF(V183="","",ROUND(V183*IF(OR(Q183="",Q183="VND"),1,R183),0))</f>
        <v/>
      </c>
      <c r="X183" s="111" t="n"/>
      <c r="Y183" s="103">
        <f>IF(W183="","",W183+N(X183))</f>
        <v/>
      </c>
      <c r="Z183" s="103">
        <f>IF(B183="","",SUMIFS('NHAT KY THANH TOAN'!$G:$G,'NHAT KY THANH TOAN'!$B:$B,B183,'NHAT KY THANH TOAN'!$D:$D,"Hóa đơn"))</f>
        <v/>
      </c>
      <c r="AA183" s="103">
        <f>IF(B183="","",SUMIFS('NHAT KY THANH TOAN'!$G:$G,'NHAT KY THANH TOAN'!$B:$B,B183,'NHAT KY THANH TOAN'!$D:$D,"Thanh toán"))</f>
        <v/>
      </c>
      <c r="AB183" s="103">
        <f>IF(Y183="","",Y183-N(AA183))</f>
        <v/>
      </c>
      <c r="AC183" s="103">
        <f>IF(B183="","",N(Z183)-N(AA183))</f>
        <v/>
      </c>
      <c r="AD183" s="104">
        <f>IF(N(Y183)=0,"",N(AA183)/Y183)</f>
        <v/>
      </c>
      <c r="AE183" s="107" t="n"/>
      <c r="AF183" s="95">
        <f>IF(H183="","",TRIM(IF(AND(N(Y183)&gt;='THAM SO'!$B$10,AE183&lt;&gt;"Có"),"Chưa rà soát pháp lý; ","")&amp;IF(I183="","Thiếu MST đối tác; ","")&amp;IF(AG183="","Chưa ghi nơi lưu bản gốc; ","")&amp;IF(COUNTIFS('NHAT KY THANH TOAN'!$B:$B,B183,'NHAT KY THANH TOAN'!$D:$D,"Thanh toán",'NHAT KY THANH TOAN'!$F:$F,"Tiền mặt",'NHAT KY THANH TOAN'!$G:$G,"&gt;="&amp;'THAM SO'!$B$11)&gt;0,"Có khoản TT tiền mặt ≥ ngưỡng; ","")&amp;IF(AND(AB183&lt;&gt;"",N(AB183)&lt;0),"Thanh toán vượt giá trị HĐ; ","")))</f>
        <v/>
      </c>
      <c r="AG183" s="108" t="n"/>
      <c r="AH183" s="109" t="n"/>
      <c r="AI183" s="105">
        <f>IF(OR(H183="",O183="",AH183&lt;&gt;""),"",O183-'THAM SO'!$B$8)</f>
        <v/>
      </c>
      <c r="AJ183" s="95">
        <f>IF(H183="","",IF(AH183&lt;&gt;"","Đã thanh lý",IF(AND(N183&lt;&gt;"",N183&gt;'THAM SO'!$B$8),"Chưa hiệu lực",IF(O183="","Đang thực hiện",IF(O183&lt;'THAM SO'!$B$8,IF(P183="Có","Đã tự gia hạn – kiểm tra","Quá hạn – chưa thanh lý"),IF(O183-'THAM SO'!$B$8&lt;='THAM SO'!$B$9,"Sắp hết hạn","Đang thực hiện"))))))</f>
        <v/>
      </c>
      <c r="AK183" s="106">
        <f>IF(AND(O183="",AH183=""),"",EDATE(MAX(N(O183),N(AH183)),12*'THAM SO'!$B$12))</f>
        <v/>
      </c>
      <c r="AL183" s="110" t="n"/>
    </row>
    <row r="184" ht="15" customHeight="1" s="64">
      <c r="A184" s="93">
        <f>IF(H184="","",COUNTA($H$9:H184))</f>
        <v/>
      </c>
      <c r="B184" s="93">
        <f>IF(OR(D184="",G184=""),"",YEAR(G184)&amp;"/"&amp;D184&amp;"/"&amp;TEXT(SUMPRODUCT(($D$9:D184=D184)*(YEAR($G$9:G184)=YEAR(G184))),"000")&amp;"-"&amp;'THAM SO'!$B$7)</f>
        <v/>
      </c>
      <c r="C184" s="107" t="n"/>
      <c r="D184" s="107" t="n"/>
      <c r="E184" s="95">
        <f>IF(D184="","",IFERROR(VLOOKUP(D184,'THAM SO'!$D$6:$E$40,2,FALSE()),"Mã loại chưa khai báo"))</f>
        <v/>
      </c>
      <c r="F184" s="108" t="n"/>
      <c r="G184" s="109" t="n"/>
      <c r="H184" s="110" t="n"/>
      <c r="I184" s="108" t="n"/>
      <c r="J184" s="110" t="n"/>
      <c r="K184" s="108" t="n"/>
      <c r="L184" s="108" t="n"/>
      <c r="M184" s="108" t="n"/>
      <c r="N184" s="109" t="n"/>
      <c r="O184" s="109" t="n"/>
      <c r="P184" s="107" t="n"/>
      <c r="Q184" s="107" t="n"/>
      <c r="R184" s="111" t="n"/>
      <c r="S184" s="112" t="n"/>
      <c r="T184" s="113" t="n"/>
      <c r="U184" s="102">
        <f>IF(S184="","",ROUND(S184*N(T184),2))</f>
        <v/>
      </c>
      <c r="V184" s="102">
        <f>IF(S184="","",S184+U184)</f>
        <v/>
      </c>
      <c r="W184" s="103">
        <f>IF(V184="","",ROUND(V184*IF(OR(Q184="",Q184="VND"),1,R184),0))</f>
        <v/>
      </c>
      <c r="X184" s="111" t="n"/>
      <c r="Y184" s="103">
        <f>IF(W184="","",W184+N(X184))</f>
        <v/>
      </c>
      <c r="Z184" s="103">
        <f>IF(B184="","",SUMIFS('NHAT KY THANH TOAN'!$G:$G,'NHAT KY THANH TOAN'!$B:$B,B184,'NHAT KY THANH TOAN'!$D:$D,"Hóa đơn"))</f>
        <v/>
      </c>
      <c r="AA184" s="103">
        <f>IF(B184="","",SUMIFS('NHAT KY THANH TOAN'!$G:$G,'NHAT KY THANH TOAN'!$B:$B,B184,'NHAT KY THANH TOAN'!$D:$D,"Thanh toán"))</f>
        <v/>
      </c>
      <c r="AB184" s="103">
        <f>IF(Y184="","",Y184-N(AA184))</f>
        <v/>
      </c>
      <c r="AC184" s="103">
        <f>IF(B184="","",N(Z184)-N(AA184))</f>
        <v/>
      </c>
      <c r="AD184" s="104">
        <f>IF(N(Y184)=0,"",N(AA184)/Y184)</f>
        <v/>
      </c>
      <c r="AE184" s="107" t="n"/>
      <c r="AF184" s="95">
        <f>IF(H184="","",TRIM(IF(AND(N(Y184)&gt;='THAM SO'!$B$10,AE184&lt;&gt;"Có"),"Chưa rà soát pháp lý; ","")&amp;IF(I184="","Thiếu MST đối tác; ","")&amp;IF(AG184="","Chưa ghi nơi lưu bản gốc; ","")&amp;IF(COUNTIFS('NHAT KY THANH TOAN'!$B:$B,B184,'NHAT KY THANH TOAN'!$D:$D,"Thanh toán",'NHAT KY THANH TOAN'!$F:$F,"Tiền mặt",'NHAT KY THANH TOAN'!$G:$G,"&gt;="&amp;'THAM SO'!$B$11)&gt;0,"Có khoản TT tiền mặt ≥ ngưỡng; ","")&amp;IF(AND(AB184&lt;&gt;"",N(AB184)&lt;0),"Thanh toán vượt giá trị HĐ; ","")))</f>
        <v/>
      </c>
      <c r="AG184" s="108" t="n"/>
      <c r="AH184" s="109" t="n"/>
      <c r="AI184" s="105">
        <f>IF(OR(H184="",O184="",AH184&lt;&gt;""),"",O184-'THAM SO'!$B$8)</f>
        <v/>
      </c>
      <c r="AJ184" s="95">
        <f>IF(H184="","",IF(AH184&lt;&gt;"","Đã thanh lý",IF(AND(N184&lt;&gt;"",N184&gt;'THAM SO'!$B$8),"Chưa hiệu lực",IF(O184="","Đang thực hiện",IF(O184&lt;'THAM SO'!$B$8,IF(P184="Có","Đã tự gia hạn – kiểm tra","Quá hạn – chưa thanh lý"),IF(O184-'THAM SO'!$B$8&lt;='THAM SO'!$B$9,"Sắp hết hạn","Đang thực hiện"))))))</f>
        <v/>
      </c>
      <c r="AK184" s="106">
        <f>IF(AND(O184="",AH184=""),"",EDATE(MAX(N(O184),N(AH184)),12*'THAM SO'!$B$12))</f>
        <v/>
      </c>
      <c r="AL184" s="110" t="n"/>
    </row>
    <row r="185" ht="15" customHeight="1" s="64">
      <c r="A185" s="93">
        <f>IF(H185="","",COUNTA($H$9:H185))</f>
        <v/>
      </c>
      <c r="B185" s="93">
        <f>IF(OR(D185="",G185=""),"",YEAR(G185)&amp;"/"&amp;D185&amp;"/"&amp;TEXT(SUMPRODUCT(($D$9:D185=D185)*(YEAR($G$9:G185)=YEAR(G185))),"000")&amp;"-"&amp;'THAM SO'!$B$7)</f>
        <v/>
      </c>
      <c r="C185" s="107" t="n"/>
      <c r="D185" s="107" t="n"/>
      <c r="E185" s="95">
        <f>IF(D185="","",IFERROR(VLOOKUP(D185,'THAM SO'!$D$6:$E$40,2,FALSE()),"Mã loại chưa khai báo"))</f>
        <v/>
      </c>
      <c r="F185" s="108" t="n"/>
      <c r="G185" s="109" t="n"/>
      <c r="H185" s="110" t="n"/>
      <c r="I185" s="108" t="n"/>
      <c r="J185" s="110" t="n"/>
      <c r="K185" s="108" t="n"/>
      <c r="L185" s="108" t="n"/>
      <c r="M185" s="108" t="n"/>
      <c r="N185" s="109" t="n"/>
      <c r="O185" s="109" t="n"/>
      <c r="P185" s="107" t="n"/>
      <c r="Q185" s="107" t="n"/>
      <c r="R185" s="111" t="n"/>
      <c r="S185" s="112" t="n"/>
      <c r="T185" s="113" t="n"/>
      <c r="U185" s="102">
        <f>IF(S185="","",ROUND(S185*N(T185),2))</f>
        <v/>
      </c>
      <c r="V185" s="102">
        <f>IF(S185="","",S185+U185)</f>
        <v/>
      </c>
      <c r="W185" s="103">
        <f>IF(V185="","",ROUND(V185*IF(OR(Q185="",Q185="VND"),1,R185),0))</f>
        <v/>
      </c>
      <c r="X185" s="111" t="n"/>
      <c r="Y185" s="103">
        <f>IF(W185="","",W185+N(X185))</f>
        <v/>
      </c>
      <c r="Z185" s="103">
        <f>IF(B185="","",SUMIFS('NHAT KY THANH TOAN'!$G:$G,'NHAT KY THANH TOAN'!$B:$B,B185,'NHAT KY THANH TOAN'!$D:$D,"Hóa đơn"))</f>
        <v/>
      </c>
      <c r="AA185" s="103">
        <f>IF(B185="","",SUMIFS('NHAT KY THANH TOAN'!$G:$G,'NHAT KY THANH TOAN'!$B:$B,B185,'NHAT KY THANH TOAN'!$D:$D,"Thanh toán"))</f>
        <v/>
      </c>
      <c r="AB185" s="103">
        <f>IF(Y185="","",Y185-N(AA185))</f>
        <v/>
      </c>
      <c r="AC185" s="103">
        <f>IF(B185="","",N(Z185)-N(AA185))</f>
        <v/>
      </c>
      <c r="AD185" s="104">
        <f>IF(N(Y185)=0,"",N(AA185)/Y185)</f>
        <v/>
      </c>
      <c r="AE185" s="107" t="n"/>
      <c r="AF185" s="95">
        <f>IF(H185="","",TRIM(IF(AND(N(Y185)&gt;='THAM SO'!$B$10,AE185&lt;&gt;"Có"),"Chưa rà soát pháp lý; ","")&amp;IF(I185="","Thiếu MST đối tác; ","")&amp;IF(AG185="","Chưa ghi nơi lưu bản gốc; ","")&amp;IF(COUNTIFS('NHAT KY THANH TOAN'!$B:$B,B185,'NHAT KY THANH TOAN'!$D:$D,"Thanh toán",'NHAT KY THANH TOAN'!$F:$F,"Tiền mặt",'NHAT KY THANH TOAN'!$G:$G,"&gt;="&amp;'THAM SO'!$B$11)&gt;0,"Có khoản TT tiền mặt ≥ ngưỡng; ","")&amp;IF(AND(AB185&lt;&gt;"",N(AB185)&lt;0),"Thanh toán vượt giá trị HĐ; ","")))</f>
        <v/>
      </c>
      <c r="AG185" s="108" t="n"/>
      <c r="AH185" s="109" t="n"/>
      <c r="AI185" s="105">
        <f>IF(OR(H185="",O185="",AH185&lt;&gt;""),"",O185-'THAM SO'!$B$8)</f>
        <v/>
      </c>
      <c r="AJ185" s="95">
        <f>IF(H185="","",IF(AH185&lt;&gt;"","Đã thanh lý",IF(AND(N185&lt;&gt;"",N185&gt;'THAM SO'!$B$8),"Chưa hiệu lực",IF(O185="","Đang thực hiện",IF(O185&lt;'THAM SO'!$B$8,IF(P185="Có","Đã tự gia hạn – kiểm tra","Quá hạn – chưa thanh lý"),IF(O185-'THAM SO'!$B$8&lt;='THAM SO'!$B$9,"Sắp hết hạn","Đang thực hiện"))))))</f>
        <v/>
      </c>
      <c r="AK185" s="106">
        <f>IF(AND(O185="",AH185=""),"",EDATE(MAX(N(O185),N(AH185)),12*'THAM SO'!$B$12))</f>
        <v/>
      </c>
      <c r="AL185" s="110" t="n"/>
    </row>
    <row r="186" ht="15" customHeight="1" s="64">
      <c r="A186" s="93">
        <f>IF(H186="","",COUNTA($H$9:H186))</f>
        <v/>
      </c>
      <c r="B186" s="93">
        <f>IF(OR(D186="",G186=""),"",YEAR(G186)&amp;"/"&amp;D186&amp;"/"&amp;TEXT(SUMPRODUCT(($D$9:D186=D186)*(YEAR($G$9:G186)=YEAR(G186))),"000")&amp;"-"&amp;'THAM SO'!$B$7)</f>
        <v/>
      </c>
      <c r="C186" s="107" t="n"/>
      <c r="D186" s="107" t="n"/>
      <c r="E186" s="95">
        <f>IF(D186="","",IFERROR(VLOOKUP(D186,'THAM SO'!$D$6:$E$40,2,FALSE()),"Mã loại chưa khai báo"))</f>
        <v/>
      </c>
      <c r="F186" s="108" t="n"/>
      <c r="G186" s="109" t="n"/>
      <c r="H186" s="110" t="n"/>
      <c r="I186" s="108" t="n"/>
      <c r="J186" s="110" t="n"/>
      <c r="K186" s="108" t="n"/>
      <c r="L186" s="108" t="n"/>
      <c r="M186" s="108" t="n"/>
      <c r="N186" s="109" t="n"/>
      <c r="O186" s="109" t="n"/>
      <c r="P186" s="107" t="n"/>
      <c r="Q186" s="107" t="n"/>
      <c r="R186" s="111" t="n"/>
      <c r="S186" s="112" t="n"/>
      <c r="T186" s="113" t="n"/>
      <c r="U186" s="102">
        <f>IF(S186="","",ROUND(S186*N(T186),2))</f>
        <v/>
      </c>
      <c r="V186" s="102">
        <f>IF(S186="","",S186+U186)</f>
        <v/>
      </c>
      <c r="W186" s="103">
        <f>IF(V186="","",ROUND(V186*IF(OR(Q186="",Q186="VND"),1,R186),0))</f>
        <v/>
      </c>
      <c r="X186" s="111" t="n"/>
      <c r="Y186" s="103">
        <f>IF(W186="","",W186+N(X186))</f>
        <v/>
      </c>
      <c r="Z186" s="103">
        <f>IF(B186="","",SUMIFS('NHAT KY THANH TOAN'!$G:$G,'NHAT KY THANH TOAN'!$B:$B,B186,'NHAT KY THANH TOAN'!$D:$D,"Hóa đơn"))</f>
        <v/>
      </c>
      <c r="AA186" s="103">
        <f>IF(B186="","",SUMIFS('NHAT KY THANH TOAN'!$G:$G,'NHAT KY THANH TOAN'!$B:$B,B186,'NHAT KY THANH TOAN'!$D:$D,"Thanh toán"))</f>
        <v/>
      </c>
      <c r="AB186" s="103">
        <f>IF(Y186="","",Y186-N(AA186))</f>
        <v/>
      </c>
      <c r="AC186" s="103">
        <f>IF(B186="","",N(Z186)-N(AA186))</f>
        <v/>
      </c>
      <c r="AD186" s="104">
        <f>IF(N(Y186)=0,"",N(AA186)/Y186)</f>
        <v/>
      </c>
      <c r="AE186" s="107" t="n"/>
      <c r="AF186" s="95">
        <f>IF(H186="","",TRIM(IF(AND(N(Y186)&gt;='THAM SO'!$B$10,AE186&lt;&gt;"Có"),"Chưa rà soát pháp lý; ","")&amp;IF(I186="","Thiếu MST đối tác; ","")&amp;IF(AG186="","Chưa ghi nơi lưu bản gốc; ","")&amp;IF(COUNTIFS('NHAT KY THANH TOAN'!$B:$B,B186,'NHAT KY THANH TOAN'!$D:$D,"Thanh toán",'NHAT KY THANH TOAN'!$F:$F,"Tiền mặt",'NHAT KY THANH TOAN'!$G:$G,"&gt;="&amp;'THAM SO'!$B$11)&gt;0,"Có khoản TT tiền mặt ≥ ngưỡng; ","")&amp;IF(AND(AB186&lt;&gt;"",N(AB186)&lt;0),"Thanh toán vượt giá trị HĐ; ","")))</f>
        <v/>
      </c>
      <c r="AG186" s="108" t="n"/>
      <c r="AH186" s="109" t="n"/>
      <c r="AI186" s="105">
        <f>IF(OR(H186="",O186="",AH186&lt;&gt;""),"",O186-'THAM SO'!$B$8)</f>
        <v/>
      </c>
      <c r="AJ186" s="95">
        <f>IF(H186="","",IF(AH186&lt;&gt;"","Đã thanh lý",IF(AND(N186&lt;&gt;"",N186&gt;'THAM SO'!$B$8),"Chưa hiệu lực",IF(O186="","Đang thực hiện",IF(O186&lt;'THAM SO'!$B$8,IF(P186="Có","Đã tự gia hạn – kiểm tra","Quá hạn – chưa thanh lý"),IF(O186-'THAM SO'!$B$8&lt;='THAM SO'!$B$9,"Sắp hết hạn","Đang thực hiện"))))))</f>
        <v/>
      </c>
      <c r="AK186" s="106">
        <f>IF(AND(O186="",AH186=""),"",EDATE(MAX(N(O186),N(AH186)),12*'THAM SO'!$B$12))</f>
        <v/>
      </c>
      <c r="AL186" s="110" t="n"/>
    </row>
    <row r="187" ht="15" customHeight="1" s="64">
      <c r="A187" s="93">
        <f>IF(H187="","",COUNTA($H$9:H187))</f>
        <v/>
      </c>
      <c r="B187" s="93">
        <f>IF(OR(D187="",G187=""),"",YEAR(G187)&amp;"/"&amp;D187&amp;"/"&amp;TEXT(SUMPRODUCT(($D$9:D187=D187)*(YEAR($G$9:G187)=YEAR(G187))),"000")&amp;"-"&amp;'THAM SO'!$B$7)</f>
        <v/>
      </c>
      <c r="C187" s="107" t="n"/>
      <c r="D187" s="107" t="n"/>
      <c r="E187" s="95">
        <f>IF(D187="","",IFERROR(VLOOKUP(D187,'THAM SO'!$D$6:$E$40,2,FALSE()),"Mã loại chưa khai báo"))</f>
        <v/>
      </c>
      <c r="F187" s="108" t="n"/>
      <c r="G187" s="109" t="n"/>
      <c r="H187" s="110" t="n"/>
      <c r="I187" s="108" t="n"/>
      <c r="J187" s="110" t="n"/>
      <c r="K187" s="108" t="n"/>
      <c r="L187" s="108" t="n"/>
      <c r="M187" s="108" t="n"/>
      <c r="N187" s="109" t="n"/>
      <c r="O187" s="109" t="n"/>
      <c r="P187" s="107" t="n"/>
      <c r="Q187" s="107" t="n"/>
      <c r="R187" s="111" t="n"/>
      <c r="S187" s="112" t="n"/>
      <c r="T187" s="113" t="n"/>
      <c r="U187" s="102">
        <f>IF(S187="","",ROUND(S187*N(T187),2))</f>
        <v/>
      </c>
      <c r="V187" s="102">
        <f>IF(S187="","",S187+U187)</f>
        <v/>
      </c>
      <c r="W187" s="103">
        <f>IF(V187="","",ROUND(V187*IF(OR(Q187="",Q187="VND"),1,R187),0))</f>
        <v/>
      </c>
      <c r="X187" s="111" t="n"/>
      <c r="Y187" s="103">
        <f>IF(W187="","",W187+N(X187))</f>
        <v/>
      </c>
      <c r="Z187" s="103">
        <f>IF(B187="","",SUMIFS('NHAT KY THANH TOAN'!$G:$G,'NHAT KY THANH TOAN'!$B:$B,B187,'NHAT KY THANH TOAN'!$D:$D,"Hóa đơn"))</f>
        <v/>
      </c>
      <c r="AA187" s="103">
        <f>IF(B187="","",SUMIFS('NHAT KY THANH TOAN'!$G:$G,'NHAT KY THANH TOAN'!$B:$B,B187,'NHAT KY THANH TOAN'!$D:$D,"Thanh toán"))</f>
        <v/>
      </c>
      <c r="AB187" s="103">
        <f>IF(Y187="","",Y187-N(AA187))</f>
        <v/>
      </c>
      <c r="AC187" s="103">
        <f>IF(B187="","",N(Z187)-N(AA187))</f>
        <v/>
      </c>
      <c r="AD187" s="104">
        <f>IF(N(Y187)=0,"",N(AA187)/Y187)</f>
        <v/>
      </c>
      <c r="AE187" s="107" t="n"/>
      <c r="AF187" s="95">
        <f>IF(H187="","",TRIM(IF(AND(N(Y187)&gt;='THAM SO'!$B$10,AE187&lt;&gt;"Có"),"Chưa rà soát pháp lý; ","")&amp;IF(I187="","Thiếu MST đối tác; ","")&amp;IF(AG187="","Chưa ghi nơi lưu bản gốc; ","")&amp;IF(COUNTIFS('NHAT KY THANH TOAN'!$B:$B,B187,'NHAT KY THANH TOAN'!$D:$D,"Thanh toán",'NHAT KY THANH TOAN'!$F:$F,"Tiền mặt",'NHAT KY THANH TOAN'!$G:$G,"&gt;="&amp;'THAM SO'!$B$11)&gt;0,"Có khoản TT tiền mặt ≥ ngưỡng; ","")&amp;IF(AND(AB187&lt;&gt;"",N(AB187)&lt;0),"Thanh toán vượt giá trị HĐ; ","")))</f>
        <v/>
      </c>
      <c r="AG187" s="108" t="n"/>
      <c r="AH187" s="109" t="n"/>
      <c r="AI187" s="105">
        <f>IF(OR(H187="",O187="",AH187&lt;&gt;""),"",O187-'THAM SO'!$B$8)</f>
        <v/>
      </c>
      <c r="AJ187" s="95">
        <f>IF(H187="","",IF(AH187&lt;&gt;"","Đã thanh lý",IF(AND(N187&lt;&gt;"",N187&gt;'THAM SO'!$B$8),"Chưa hiệu lực",IF(O187="","Đang thực hiện",IF(O187&lt;'THAM SO'!$B$8,IF(P187="Có","Đã tự gia hạn – kiểm tra","Quá hạn – chưa thanh lý"),IF(O187-'THAM SO'!$B$8&lt;='THAM SO'!$B$9,"Sắp hết hạn","Đang thực hiện"))))))</f>
        <v/>
      </c>
      <c r="AK187" s="106">
        <f>IF(AND(O187="",AH187=""),"",EDATE(MAX(N(O187),N(AH187)),12*'THAM SO'!$B$12))</f>
        <v/>
      </c>
      <c r="AL187" s="110" t="n"/>
    </row>
    <row r="188" ht="15" customHeight="1" s="64">
      <c r="A188" s="93">
        <f>IF(H188="","",COUNTA($H$9:H188))</f>
        <v/>
      </c>
      <c r="B188" s="93">
        <f>IF(OR(D188="",G188=""),"",YEAR(G188)&amp;"/"&amp;D188&amp;"/"&amp;TEXT(SUMPRODUCT(($D$9:D188=D188)*(YEAR($G$9:G188)=YEAR(G188))),"000")&amp;"-"&amp;'THAM SO'!$B$7)</f>
        <v/>
      </c>
      <c r="C188" s="107" t="n"/>
      <c r="D188" s="107" t="n"/>
      <c r="E188" s="95">
        <f>IF(D188="","",IFERROR(VLOOKUP(D188,'THAM SO'!$D$6:$E$40,2,FALSE()),"Mã loại chưa khai báo"))</f>
        <v/>
      </c>
      <c r="F188" s="108" t="n"/>
      <c r="G188" s="109" t="n"/>
      <c r="H188" s="110" t="n"/>
      <c r="I188" s="108" t="n"/>
      <c r="J188" s="110" t="n"/>
      <c r="K188" s="108" t="n"/>
      <c r="L188" s="108" t="n"/>
      <c r="M188" s="108" t="n"/>
      <c r="N188" s="109" t="n"/>
      <c r="O188" s="109" t="n"/>
      <c r="P188" s="107" t="n"/>
      <c r="Q188" s="107" t="n"/>
      <c r="R188" s="111" t="n"/>
      <c r="S188" s="112" t="n"/>
      <c r="T188" s="113" t="n"/>
      <c r="U188" s="102">
        <f>IF(S188="","",ROUND(S188*N(T188),2))</f>
        <v/>
      </c>
      <c r="V188" s="102">
        <f>IF(S188="","",S188+U188)</f>
        <v/>
      </c>
      <c r="W188" s="103">
        <f>IF(V188="","",ROUND(V188*IF(OR(Q188="",Q188="VND"),1,R188),0))</f>
        <v/>
      </c>
      <c r="X188" s="111" t="n"/>
      <c r="Y188" s="103">
        <f>IF(W188="","",W188+N(X188))</f>
        <v/>
      </c>
      <c r="Z188" s="103">
        <f>IF(B188="","",SUMIFS('NHAT KY THANH TOAN'!$G:$G,'NHAT KY THANH TOAN'!$B:$B,B188,'NHAT KY THANH TOAN'!$D:$D,"Hóa đơn"))</f>
        <v/>
      </c>
      <c r="AA188" s="103">
        <f>IF(B188="","",SUMIFS('NHAT KY THANH TOAN'!$G:$G,'NHAT KY THANH TOAN'!$B:$B,B188,'NHAT KY THANH TOAN'!$D:$D,"Thanh toán"))</f>
        <v/>
      </c>
      <c r="AB188" s="103">
        <f>IF(Y188="","",Y188-N(AA188))</f>
        <v/>
      </c>
      <c r="AC188" s="103">
        <f>IF(B188="","",N(Z188)-N(AA188))</f>
        <v/>
      </c>
      <c r="AD188" s="104">
        <f>IF(N(Y188)=0,"",N(AA188)/Y188)</f>
        <v/>
      </c>
      <c r="AE188" s="107" t="n"/>
      <c r="AF188" s="95">
        <f>IF(H188="","",TRIM(IF(AND(N(Y188)&gt;='THAM SO'!$B$10,AE188&lt;&gt;"Có"),"Chưa rà soát pháp lý; ","")&amp;IF(I188="","Thiếu MST đối tác; ","")&amp;IF(AG188="","Chưa ghi nơi lưu bản gốc; ","")&amp;IF(COUNTIFS('NHAT KY THANH TOAN'!$B:$B,B188,'NHAT KY THANH TOAN'!$D:$D,"Thanh toán",'NHAT KY THANH TOAN'!$F:$F,"Tiền mặt",'NHAT KY THANH TOAN'!$G:$G,"&gt;="&amp;'THAM SO'!$B$11)&gt;0,"Có khoản TT tiền mặt ≥ ngưỡng; ","")&amp;IF(AND(AB188&lt;&gt;"",N(AB188)&lt;0),"Thanh toán vượt giá trị HĐ; ","")))</f>
        <v/>
      </c>
      <c r="AG188" s="108" t="n"/>
      <c r="AH188" s="109" t="n"/>
      <c r="AI188" s="105">
        <f>IF(OR(H188="",O188="",AH188&lt;&gt;""),"",O188-'THAM SO'!$B$8)</f>
        <v/>
      </c>
      <c r="AJ188" s="95">
        <f>IF(H188="","",IF(AH188&lt;&gt;"","Đã thanh lý",IF(AND(N188&lt;&gt;"",N188&gt;'THAM SO'!$B$8),"Chưa hiệu lực",IF(O188="","Đang thực hiện",IF(O188&lt;'THAM SO'!$B$8,IF(P188="Có","Đã tự gia hạn – kiểm tra","Quá hạn – chưa thanh lý"),IF(O188-'THAM SO'!$B$8&lt;='THAM SO'!$B$9,"Sắp hết hạn","Đang thực hiện"))))))</f>
        <v/>
      </c>
      <c r="AK188" s="106">
        <f>IF(AND(O188="",AH188=""),"",EDATE(MAX(N(O188),N(AH188)),12*'THAM SO'!$B$12))</f>
        <v/>
      </c>
      <c r="AL188" s="110" t="n"/>
    </row>
    <row r="189" ht="15" customHeight="1" s="64">
      <c r="A189" s="93">
        <f>IF(H189="","",COUNTA($H$9:H189))</f>
        <v/>
      </c>
      <c r="B189" s="93">
        <f>IF(OR(D189="",G189=""),"",YEAR(G189)&amp;"/"&amp;D189&amp;"/"&amp;TEXT(SUMPRODUCT(($D$9:D189=D189)*(YEAR($G$9:G189)=YEAR(G189))),"000")&amp;"-"&amp;'THAM SO'!$B$7)</f>
        <v/>
      </c>
      <c r="C189" s="107" t="n"/>
      <c r="D189" s="107" t="n"/>
      <c r="E189" s="95">
        <f>IF(D189="","",IFERROR(VLOOKUP(D189,'THAM SO'!$D$6:$E$40,2,FALSE()),"Mã loại chưa khai báo"))</f>
        <v/>
      </c>
      <c r="F189" s="108" t="n"/>
      <c r="G189" s="109" t="n"/>
      <c r="H189" s="110" t="n"/>
      <c r="I189" s="108" t="n"/>
      <c r="J189" s="110" t="n"/>
      <c r="K189" s="108" t="n"/>
      <c r="L189" s="108" t="n"/>
      <c r="M189" s="108" t="n"/>
      <c r="N189" s="109" t="n"/>
      <c r="O189" s="109" t="n"/>
      <c r="P189" s="107" t="n"/>
      <c r="Q189" s="107" t="n"/>
      <c r="R189" s="111" t="n"/>
      <c r="S189" s="112" t="n"/>
      <c r="T189" s="113" t="n"/>
      <c r="U189" s="102">
        <f>IF(S189="","",ROUND(S189*N(T189),2))</f>
        <v/>
      </c>
      <c r="V189" s="102">
        <f>IF(S189="","",S189+U189)</f>
        <v/>
      </c>
      <c r="W189" s="103">
        <f>IF(V189="","",ROUND(V189*IF(OR(Q189="",Q189="VND"),1,R189),0))</f>
        <v/>
      </c>
      <c r="X189" s="111" t="n"/>
      <c r="Y189" s="103">
        <f>IF(W189="","",W189+N(X189))</f>
        <v/>
      </c>
      <c r="Z189" s="103">
        <f>IF(B189="","",SUMIFS('NHAT KY THANH TOAN'!$G:$G,'NHAT KY THANH TOAN'!$B:$B,B189,'NHAT KY THANH TOAN'!$D:$D,"Hóa đơn"))</f>
        <v/>
      </c>
      <c r="AA189" s="103">
        <f>IF(B189="","",SUMIFS('NHAT KY THANH TOAN'!$G:$G,'NHAT KY THANH TOAN'!$B:$B,B189,'NHAT KY THANH TOAN'!$D:$D,"Thanh toán"))</f>
        <v/>
      </c>
      <c r="AB189" s="103">
        <f>IF(Y189="","",Y189-N(AA189))</f>
        <v/>
      </c>
      <c r="AC189" s="103">
        <f>IF(B189="","",N(Z189)-N(AA189))</f>
        <v/>
      </c>
      <c r="AD189" s="104">
        <f>IF(N(Y189)=0,"",N(AA189)/Y189)</f>
        <v/>
      </c>
      <c r="AE189" s="107" t="n"/>
      <c r="AF189" s="95">
        <f>IF(H189="","",TRIM(IF(AND(N(Y189)&gt;='THAM SO'!$B$10,AE189&lt;&gt;"Có"),"Chưa rà soát pháp lý; ","")&amp;IF(I189="","Thiếu MST đối tác; ","")&amp;IF(AG189="","Chưa ghi nơi lưu bản gốc; ","")&amp;IF(COUNTIFS('NHAT KY THANH TOAN'!$B:$B,B189,'NHAT KY THANH TOAN'!$D:$D,"Thanh toán",'NHAT KY THANH TOAN'!$F:$F,"Tiền mặt",'NHAT KY THANH TOAN'!$G:$G,"&gt;="&amp;'THAM SO'!$B$11)&gt;0,"Có khoản TT tiền mặt ≥ ngưỡng; ","")&amp;IF(AND(AB189&lt;&gt;"",N(AB189)&lt;0),"Thanh toán vượt giá trị HĐ; ","")))</f>
        <v/>
      </c>
      <c r="AG189" s="108" t="n"/>
      <c r="AH189" s="109" t="n"/>
      <c r="AI189" s="105">
        <f>IF(OR(H189="",O189="",AH189&lt;&gt;""),"",O189-'THAM SO'!$B$8)</f>
        <v/>
      </c>
      <c r="AJ189" s="95">
        <f>IF(H189="","",IF(AH189&lt;&gt;"","Đã thanh lý",IF(AND(N189&lt;&gt;"",N189&gt;'THAM SO'!$B$8),"Chưa hiệu lực",IF(O189="","Đang thực hiện",IF(O189&lt;'THAM SO'!$B$8,IF(P189="Có","Đã tự gia hạn – kiểm tra","Quá hạn – chưa thanh lý"),IF(O189-'THAM SO'!$B$8&lt;='THAM SO'!$B$9,"Sắp hết hạn","Đang thực hiện"))))))</f>
        <v/>
      </c>
      <c r="AK189" s="106">
        <f>IF(AND(O189="",AH189=""),"",EDATE(MAX(N(O189),N(AH189)),12*'THAM SO'!$B$12))</f>
        <v/>
      </c>
      <c r="AL189" s="110" t="n"/>
    </row>
    <row r="190" ht="15" customHeight="1" s="64">
      <c r="A190" s="93">
        <f>IF(H190="","",COUNTA($H$9:H190))</f>
        <v/>
      </c>
      <c r="B190" s="93">
        <f>IF(OR(D190="",G190=""),"",YEAR(G190)&amp;"/"&amp;D190&amp;"/"&amp;TEXT(SUMPRODUCT(($D$9:D190=D190)*(YEAR($G$9:G190)=YEAR(G190))),"000")&amp;"-"&amp;'THAM SO'!$B$7)</f>
        <v/>
      </c>
      <c r="C190" s="107" t="n"/>
      <c r="D190" s="107" t="n"/>
      <c r="E190" s="95">
        <f>IF(D190="","",IFERROR(VLOOKUP(D190,'THAM SO'!$D$6:$E$40,2,FALSE()),"Mã loại chưa khai báo"))</f>
        <v/>
      </c>
      <c r="F190" s="108" t="n"/>
      <c r="G190" s="109" t="n"/>
      <c r="H190" s="110" t="n"/>
      <c r="I190" s="108" t="n"/>
      <c r="J190" s="110" t="n"/>
      <c r="K190" s="108" t="n"/>
      <c r="L190" s="108" t="n"/>
      <c r="M190" s="108" t="n"/>
      <c r="N190" s="109" t="n"/>
      <c r="O190" s="109" t="n"/>
      <c r="P190" s="107" t="n"/>
      <c r="Q190" s="107" t="n"/>
      <c r="R190" s="111" t="n"/>
      <c r="S190" s="112" t="n"/>
      <c r="T190" s="113" t="n"/>
      <c r="U190" s="102">
        <f>IF(S190="","",ROUND(S190*N(T190),2))</f>
        <v/>
      </c>
      <c r="V190" s="102">
        <f>IF(S190="","",S190+U190)</f>
        <v/>
      </c>
      <c r="W190" s="103">
        <f>IF(V190="","",ROUND(V190*IF(OR(Q190="",Q190="VND"),1,R190),0))</f>
        <v/>
      </c>
      <c r="X190" s="111" t="n"/>
      <c r="Y190" s="103">
        <f>IF(W190="","",W190+N(X190))</f>
        <v/>
      </c>
      <c r="Z190" s="103">
        <f>IF(B190="","",SUMIFS('NHAT KY THANH TOAN'!$G:$G,'NHAT KY THANH TOAN'!$B:$B,B190,'NHAT KY THANH TOAN'!$D:$D,"Hóa đơn"))</f>
        <v/>
      </c>
      <c r="AA190" s="103">
        <f>IF(B190="","",SUMIFS('NHAT KY THANH TOAN'!$G:$G,'NHAT KY THANH TOAN'!$B:$B,B190,'NHAT KY THANH TOAN'!$D:$D,"Thanh toán"))</f>
        <v/>
      </c>
      <c r="AB190" s="103">
        <f>IF(Y190="","",Y190-N(AA190))</f>
        <v/>
      </c>
      <c r="AC190" s="103">
        <f>IF(B190="","",N(Z190)-N(AA190))</f>
        <v/>
      </c>
      <c r="AD190" s="104">
        <f>IF(N(Y190)=0,"",N(AA190)/Y190)</f>
        <v/>
      </c>
      <c r="AE190" s="107" t="n"/>
      <c r="AF190" s="95">
        <f>IF(H190="","",TRIM(IF(AND(N(Y190)&gt;='THAM SO'!$B$10,AE190&lt;&gt;"Có"),"Chưa rà soát pháp lý; ","")&amp;IF(I190="","Thiếu MST đối tác; ","")&amp;IF(AG190="","Chưa ghi nơi lưu bản gốc; ","")&amp;IF(COUNTIFS('NHAT KY THANH TOAN'!$B:$B,B190,'NHAT KY THANH TOAN'!$D:$D,"Thanh toán",'NHAT KY THANH TOAN'!$F:$F,"Tiền mặt",'NHAT KY THANH TOAN'!$G:$G,"&gt;="&amp;'THAM SO'!$B$11)&gt;0,"Có khoản TT tiền mặt ≥ ngưỡng; ","")&amp;IF(AND(AB190&lt;&gt;"",N(AB190)&lt;0),"Thanh toán vượt giá trị HĐ; ","")))</f>
        <v/>
      </c>
      <c r="AG190" s="108" t="n"/>
      <c r="AH190" s="109" t="n"/>
      <c r="AI190" s="105">
        <f>IF(OR(H190="",O190="",AH190&lt;&gt;""),"",O190-'THAM SO'!$B$8)</f>
        <v/>
      </c>
      <c r="AJ190" s="95">
        <f>IF(H190="","",IF(AH190&lt;&gt;"","Đã thanh lý",IF(AND(N190&lt;&gt;"",N190&gt;'THAM SO'!$B$8),"Chưa hiệu lực",IF(O190="","Đang thực hiện",IF(O190&lt;'THAM SO'!$B$8,IF(P190="Có","Đã tự gia hạn – kiểm tra","Quá hạn – chưa thanh lý"),IF(O190-'THAM SO'!$B$8&lt;='THAM SO'!$B$9,"Sắp hết hạn","Đang thực hiện"))))))</f>
        <v/>
      </c>
      <c r="AK190" s="106">
        <f>IF(AND(O190="",AH190=""),"",EDATE(MAX(N(O190),N(AH190)),12*'THAM SO'!$B$12))</f>
        <v/>
      </c>
      <c r="AL190" s="110" t="n"/>
    </row>
    <row r="191" ht="15" customHeight="1" s="64">
      <c r="A191" s="93">
        <f>IF(H191="","",COUNTA($H$9:H191))</f>
        <v/>
      </c>
      <c r="B191" s="93">
        <f>IF(OR(D191="",G191=""),"",YEAR(G191)&amp;"/"&amp;D191&amp;"/"&amp;TEXT(SUMPRODUCT(($D$9:D191=D191)*(YEAR($G$9:G191)=YEAR(G191))),"000")&amp;"-"&amp;'THAM SO'!$B$7)</f>
        <v/>
      </c>
      <c r="C191" s="107" t="n"/>
      <c r="D191" s="107" t="n"/>
      <c r="E191" s="95">
        <f>IF(D191="","",IFERROR(VLOOKUP(D191,'THAM SO'!$D$6:$E$40,2,FALSE()),"Mã loại chưa khai báo"))</f>
        <v/>
      </c>
      <c r="F191" s="108" t="n"/>
      <c r="G191" s="109" t="n"/>
      <c r="H191" s="110" t="n"/>
      <c r="I191" s="108" t="n"/>
      <c r="J191" s="110" t="n"/>
      <c r="K191" s="108" t="n"/>
      <c r="L191" s="108" t="n"/>
      <c r="M191" s="108" t="n"/>
      <c r="N191" s="109" t="n"/>
      <c r="O191" s="109" t="n"/>
      <c r="P191" s="107" t="n"/>
      <c r="Q191" s="107" t="n"/>
      <c r="R191" s="111" t="n"/>
      <c r="S191" s="112" t="n"/>
      <c r="T191" s="113" t="n"/>
      <c r="U191" s="102">
        <f>IF(S191="","",ROUND(S191*N(T191),2))</f>
        <v/>
      </c>
      <c r="V191" s="102">
        <f>IF(S191="","",S191+U191)</f>
        <v/>
      </c>
      <c r="W191" s="103">
        <f>IF(V191="","",ROUND(V191*IF(OR(Q191="",Q191="VND"),1,R191),0))</f>
        <v/>
      </c>
      <c r="X191" s="111" t="n"/>
      <c r="Y191" s="103">
        <f>IF(W191="","",W191+N(X191))</f>
        <v/>
      </c>
      <c r="Z191" s="103">
        <f>IF(B191="","",SUMIFS('NHAT KY THANH TOAN'!$G:$G,'NHAT KY THANH TOAN'!$B:$B,B191,'NHAT KY THANH TOAN'!$D:$D,"Hóa đơn"))</f>
        <v/>
      </c>
      <c r="AA191" s="103">
        <f>IF(B191="","",SUMIFS('NHAT KY THANH TOAN'!$G:$G,'NHAT KY THANH TOAN'!$B:$B,B191,'NHAT KY THANH TOAN'!$D:$D,"Thanh toán"))</f>
        <v/>
      </c>
      <c r="AB191" s="103">
        <f>IF(Y191="","",Y191-N(AA191))</f>
        <v/>
      </c>
      <c r="AC191" s="103">
        <f>IF(B191="","",N(Z191)-N(AA191))</f>
        <v/>
      </c>
      <c r="AD191" s="104">
        <f>IF(N(Y191)=0,"",N(AA191)/Y191)</f>
        <v/>
      </c>
      <c r="AE191" s="107" t="n"/>
      <c r="AF191" s="95">
        <f>IF(H191="","",TRIM(IF(AND(N(Y191)&gt;='THAM SO'!$B$10,AE191&lt;&gt;"Có"),"Chưa rà soát pháp lý; ","")&amp;IF(I191="","Thiếu MST đối tác; ","")&amp;IF(AG191="","Chưa ghi nơi lưu bản gốc; ","")&amp;IF(COUNTIFS('NHAT KY THANH TOAN'!$B:$B,B191,'NHAT KY THANH TOAN'!$D:$D,"Thanh toán",'NHAT KY THANH TOAN'!$F:$F,"Tiền mặt",'NHAT KY THANH TOAN'!$G:$G,"&gt;="&amp;'THAM SO'!$B$11)&gt;0,"Có khoản TT tiền mặt ≥ ngưỡng; ","")&amp;IF(AND(AB191&lt;&gt;"",N(AB191)&lt;0),"Thanh toán vượt giá trị HĐ; ","")))</f>
        <v/>
      </c>
      <c r="AG191" s="108" t="n"/>
      <c r="AH191" s="109" t="n"/>
      <c r="AI191" s="105">
        <f>IF(OR(H191="",O191="",AH191&lt;&gt;""),"",O191-'THAM SO'!$B$8)</f>
        <v/>
      </c>
      <c r="AJ191" s="95">
        <f>IF(H191="","",IF(AH191&lt;&gt;"","Đã thanh lý",IF(AND(N191&lt;&gt;"",N191&gt;'THAM SO'!$B$8),"Chưa hiệu lực",IF(O191="","Đang thực hiện",IF(O191&lt;'THAM SO'!$B$8,IF(P191="Có","Đã tự gia hạn – kiểm tra","Quá hạn – chưa thanh lý"),IF(O191-'THAM SO'!$B$8&lt;='THAM SO'!$B$9,"Sắp hết hạn","Đang thực hiện"))))))</f>
        <v/>
      </c>
      <c r="AK191" s="106">
        <f>IF(AND(O191="",AH191=""),"",EDATE(MAX(N(O191),N(AH191)),12*'THAM SO'!$B$12))</f>
        <v/>
      </c>
      <c r="AL191" s="110" t="n"/>
    </row>
    <row r="192" ht="15" customHeight="1" s="64">
      <c r="A192" s="93">
        <f>IF(H192="","",COUNTA($H$9:H192))</f>
        <v/>
      </c>
      <c r="B192" s="93">
        <f>IF(OR(D192="",G192=""),"",YEAR(G192)&amp;"/"&amp;D192&amp;"/"&amp;TEXT(SUMPRODUCT(($D$9:D192=D192)*(YEAR($G$9:G192)=YEAR(G192))),"000")&amp;"-"&amp;'THAM SO'!$B$7)</f>
        <v/>
      </c>
      <c r="C192" s="107" t="n"/>
      <c r="D192" s="107" t="n"/>
      <c r="E192" s="95">
        <f>IF(D192="","",IFERROR(VLOOKUP(D192,'THAM SO'!$D$6:$E$40,2,FALSE()),"Mã loại chưa khai báo"))</f>
        <v/>
      </c>
      <c r="F192" s="108" t="n"/>
      <c r="G192" s="109" t="n"/>
      <c r="H192" s="110" t="n"/>
      <c r="I192" s="108" t="n"/>
      <c r="J192" s="110" t="n"/>
      <c r="K192" s="108" t="n"/>
      <c r="L192" s="108" t="n"/>
      <c r="M192" s="108" t="n"/>
      <c r="N192" s="109" t="n"/>
      <c r="O192" s="109" t="n"/>
      <c r="P192" s="107" t="n"/>
      <c r="Q192" s="107" t="n"/>
      <c r="R192" s="111" t="n"/>
      <c r="S192" s="112" t="n"/>
      <c r="T192" s="113" t="n"/>
      <c r="U192" s="102">
        <f>IF(S192="","",ROUND(S192*N(T192),2))</f>
        <v/>
      </c>
      <c r="V192" s="102">
        <f>IF(S192="","",S192+U192)</f>
        <v/>
      </c>
      <c r="W192" s="103">
        <f>IF(V192="","",ROUND(V192*IF(OR(Q192="",Q192="VND"),1,R192),0))</f>
        <v/>
      </c>
      <c r="X192" s="111" t="n"/>
      <c r="Y192" s="103">
        <f>IF(W192="","",W192+N(X192))</f>
        <v/>
      </c>
      <c r="Z192" s="103">
        <f>IF(B192="","",SUMIFS('NHAT KY THANH TOAN'!$G:$G,'NHAT KY THANH TOAN'!$B:$B,B192,'NHAT KY THANH TOAN'!$D:$D,"Hóa đơn"))</f>
        <v/>
      </c>
      <c r="AA192" s="103">
        <f>IF(B192="","",SUMIFS('NHAT KY THANH TOAN'!$G:$G,'NHAT KY THANH TOAN'!$B:$B,B192,'NHAT KY THANH TOAN'!$D:$D,"Thanh toán"))</f>
        <v/>
      </c>
      <c r="AB192" s="103">
        <f>IF(Y192="","",Y192-N(AA192))</f>
        <v/>
      </c>
      <c r="AC192" s="103">
        <f>IF(B192="","",N(Z192)-N(AA192))</f>
        <v/>
      </c>
      <c r="AD192" s="104">
        <f>IF(N(Y192)=0,"",N(AA192)/Y192)</f>
        <v/>
      </c>
      <c r="AE192" s="107" t="n"/>
      <c r="AF192" s="95">
        <f>IF(H192="","",TRIM(IF(AND(N(Y192)&gt;='THAM SO'!$B$10,AE192&lt;&gt;"Có"),"Chưa rà soát pháp lý; ","")&amp;IF(I192="","Thiếu MST đối tác; ","")&amp;IF(AG192="","Chưa ghi nơi lưu bản gốc; ","")&amp;IF(COUNTIFS('NHAT KY THANH TOAN'!$B:$B,B192,'NHAT KY THANH TOAN'!$D:$D,"Thanh toán",'NHAT KY THANH TOAN'!$F:$F,"Tiền mặt",'NHAT KY THANH TOAN'!$G:$G,"&gt;="&amp;'THAM SO'!$B$11)&gt;0,"Có khoản TT tiền mặt ≥ ngưỡng; ","")&amp;IF(AND(AB192&lt;&gt;"",N(AB192)&lt;0),"Thanh toán vượt giá trị HĐ; ","")))</f>
        <v/>
      </c>
      <c r="AG192" s="108" t="n"/>
      <c r="AH192" s="109" t="n"/>
      <c r="AI192" s="105">
        <f>IF(OR(H192="",O192="",AH192&lt;&gt;""),"",O192-'THAM SO'!$B$8)</f>
        <v/>
      </c>
      <c r="AJ192" s="95">
        <f>IF(H192="","",IF(AH192&lt;&gt;"","Đã thanh lý",IF(AND(N192&lt;&gt;"",N192&gt;'THAM SO'!$B$8),"Chưa hiệu lực",IF(O192="","Đang thực hiện",IF(O192&lt;'THAM SO'!$B$8,IF(P192="Có","Đã tự gia hạn – kiểm tra","Quá hạn – chưa thanh lý"),IF(O192-'THAM SO'!$B$8&lt;='THAM SO'!$B$9,"Sắp hết hạn","Đang thực hiện"))))))</f>
        <v/>
      </c>
      <c r="AK192" s="106">
        <f>IF(AND(O192="",AH192=""),"",EDATE(MAX(N(O192),N(AH192)),12*'THAM SO'!$B$12))</f>
        <v/>
      </c>
      <c r="AL192" s="110" t="n"/>
    </row>
    <row r="193" ht="15" customHeight="1" s="64">
      <c r="A193" s="93">
        <f>IF(H193="","",COUNTA($H$9:H193))</f>
        <v/>
      </c>
      <c r="B193" s="93">
        <f>IF(OR(D193="",G193=""),"",YEAR(G193)&amp;"/"&amp;D193&amp;"/"&amp;TEXT(SUMPRODUCT(($D$9:D193=D193)*(YEAR($G$9:G193)=YEAR(G193))),"000")&amp;"-"&amp;'THAM SO'!$B$7)</f>
        <v/>
      </c>
      <c r="C193" s="107" t="n"/>
      <c r="D193" s="107" t="n"/>
      <c r="E193" s="95">
        <f>IF(D193="","",IFERROR(VLOOKUP(D193,'THAM SO'!$D$6:$E$40,2,FALSE()),"Mã loại chưa khai báo"))</f>
        <v/>
      </c>
      <c r="F193" s="108" t="n"/>
      <c r="G193" s="109" t="n"/>
      <c r="H193" s="110" t="n"/>
      <c r="I193" s="108" t="n"/>
      <c r="J193" s="110" t="n"/>
      <c r="K193" s="108" t="n"/>
      <c r="L193" s="108" t="n"/>
      <c r="M193" s="108" t="n"/>
      <c r="N193" s="109" t="n"/>
      <c r="O193" s="109" t="n"/>
      <c r="P193" s="107" t="n"/>
      <c r="Q193" s="107" t="n"/>
      <c r="R193" s="111" t="n"/>
      <c r="S193" s="112" t="n"/>
      <c r="T193" s="113" t="n"/>
      <c r="U193" s="102">
        <f>IF(S193="","",ROUND(S193*N(T193),2))</f>
        <v/>
      </c>
      <c r="V193" s="102">
        <f>IF(S193="","",S193+U193)</f>
        <v/>
      </c>
      <c r="W193" s="103">
        <f>IF(V193="","",ROUND(V193*IF(OR(Q193="",Q193="VND"),1,R193),0))</f>
        <v/>
      </c>
      <c r="X193" s="111" t="n"/>
      <c r="Y193" s="103">
        <f>IF(W193="","",W193+N(X193))</f>
        <v/>
      </c>
      <c r="Z193" s="103">
        <f>IF(B193="","",SUMIFS('NHAT KY THANH TOAN'!$G:$G,'NHAT KY THANH TOAN'!$B:$B,B193,'NHAT KY THANH TOAN'!$D:$D,"Hóa đơn"))</f>
        <v/>
      </c>
      <c r="AA193" s="103">
        <f>IF(B193="","",SUMIFS('NHAT KY THANH TOAN'!$G:$G,'NHAT KY THANH TOAN'!$B:$B,B193,'NHAT KY THANH TOAN'!$D:$D,"Thanh toán"))</f>
        <v/>
      </c>
      <c r="AB193" s="103">
        <f>IF(Y193="","",Y193-N(AA193))</f>
        <v/>
      </c>
      <c r="AC193" s="103">
        <f>IF(B193="","",N(Z193)-N(AA193))</f>
        <v/>
      </c>
      <c r="AD193" s="104">
        <f>IF(N(Y193)=0,"",N(AA193)/Y193)</f>
        <v/>
      </c>
      <c r="AE193" s="107" t="n"/>
      <c r="AF193" s="95">
        <f>IF(H193="","",TRIM(IF(AND(N(Y193)&gt;='THAM SO'!$B$10,AE193&lt;&gt;"Có"),"Chưa rà soát pháp lý; ","")&amp;IF(I193="","Thiếu MST đối tác; ","")&amp;IF(AG193="","Chưa ghi nơi lưu bản gốc; ","")&amp;IF(COUNTIFS('NHAT KY THANH TOAN'!$B:$B,B193,'NHAT KY THANH TOAN'!$D:$D,"Thanh toán",'NHAT KY THANH TOAN'!$F:$F,"Tiền mặt",'NHAT KY THANH TOAN'!$G:$G,"&gt;="&amp;'THAM SO'!$B$11)&gt;0,"Có khoản TT tiền mặt ≥ ngưỡng; ","")&amp;IF(AND(AB193&lt;&gt;"",N(AB193)&lt;0),"Thanh toán vượt giá trị HĐ; ","")))</f>
        <v/>
      </c>
      <c r="AG193" s="108" t="n"/>
      <c r="AH193" s="109" t="n"/>
      <c r="AI193" s="105">
        <f>IF(OR(H193="",O193="",AH193&lt;&gt;""),"",O193-'THAM SO'!$B$8)</f>
        <v/>
      </c>
      <c r="AJ193" s="95">
        <f>IF(H193="","",IF(AH193&lt;&gt;"","Đã thanh lý",IF(AND(N193&lt;&gt;"",N193&gt;'THAM SO'!$B$8),"Chưa hiệu lực",IF(O193="","Đang thực hiện",IF(O193&lt;'THAM SO'!$B$8,IF(P193="Có","Đã tự gia hạn – kiểm tra","Quá hạn – chưa thanh lý"),IF(O193-'THAM SO'!$B$8&lt;='THAM SO'!$B$9,"Sắp hết hạn","Đang thực hiện"))))))</f>
        <v/>
      </c>
      <c r="AK193" s="106">
        <f>IF(AND(O193="",AH193=""),"",EDATE(MAX(N(O193),N(AH193)),12*'THAM SO'!$B$12))</f>
        <v/>
      </c>
      <c r="AL193" s="110" t="n"/>
    </row>
    <row r="194" ht="15" customHeight="1" s="64">
      <c r="A194" s="93">
        <f>IF(H194="","",COUNTA($H$9:H194))</f>
        <v/>
      </c>
      <c r="B194" s="93">
        <f>IF(OR(D194="",G194=""),"",YEAR(G194)&amp;"/"&amp;D194&amp;"/"&amp;TEXT(SUMPRODUCT(($D$9:D194=D194)*(YEAR($G$9:G194)=YEAR(G194))),"000")&amp;"-"&amp;'THAM SO'!$B$7)</f>
        <v/>
      </c>
      <c r="C194" s="107" t="n"/>
      <c r="D194" s="107" t="n"/>
      <c r="E194" s="95">
        <f>IF(D194="","",IFERROR(VLOOKUP(D194,'THAM SO'!$D$6:$E$40,2,FALSE()),"Mã loại chưa khai báo"))</f>
        <v/>
      </c>
      <c r="F194" s="108" t="n"/>
      <c r="G194" s="109" t="n"/>
      <c r="H194" s="110" t="n"/>
      <c r="I194" s="108" t="n"/>
      <c r="J194" s="110" t="n"/>
      <c r="K194" s="108" t="n"/>
      <c r="L194" s="108" t="n"/>
      <c r="M194" s="108" t="n"/>
      <c r="N194" s="109" t="n"/>
      <c r="O194" s="109" t="n"/>
      <c r="P194" s="107" t="n"/>
      <c r="Q194" s="107" t="n"/>
      <c r="R194" s="111" t="n"/>
      <c r="S194" s="112" t="n"/>
      <c r="T194" s="113" t="n"/>
      <c r="U194" s="102">
        <f>IF(S194="","",ROUND(S194*N(T194),2))</f>
        <v/>
      </c>
      <c r="V194" s="102">
        <f>IF(S194="","",S194+U194)</f>
        <v/>
      </c>
      <c r="W194" s="103">
        <f>IF(V194="","",ROUND(V194*IF(OR(Q194="",Q194="VND"),1,R194),0))</f>
        <v/>
      </c>
      <c r="X194" s="111" t="n"/>
      <c r="Y194" s="103">
        <f>IF(W194="","",W194+N(X194))</f>
        <v/>
      </c>
      <c r="Z194" s="103">
        <f>IF(B194="","",SUMIFS('NHAT KY THANH TOAN'!$G:$G,'NHAT KY THANH TOAN'!$B:$B,B194,'NHAT KY THANH TOAN'!$D:$D,"Hóa đơn"))</f>
        <v/>
      </c>
      <c r="AA194" s="103">
        <f>IF(B194="","",SUMIFS('NHAT KY THANH TOAN'!$G:$G,'NHAT KY THANH TOAN'!$B:$B,B194,'NHAT KY THANH TOAN'!$D:$D,"Thanh toán"))</f>
        <v/>
      </c>
      <c r="AB194" s="103">
        <f>IF(Y194="","",Y194-N(AA194))</f>
        <v/>
      </c>
      <c r="AC194" s="103">
        <f>IF(B194="","",N(Z194)-N(AA194))</f>
        <v/>
      </c>
      <c r="AD194" s="104">
        <f>IF(N(Y194)=0,"",N(AA194)/Y194)</f>
        <v/>
      </c>
      <c r="AE194" s="107" t="n"/>
      <c r="AF194" s="95">
        <f>IF(H194="","",TRIM(IF(AND(N(Y194)&gt;='THAM SO'!$B$10,AE194&lt;&gt;"Có"),"Chưa rà soát pháp lý; ","")&amp;IF(I194="","Thiếu MST đối tác; ","")&amp;IF(AG194="","Chưa ghi nơi lưu bản gốc; ","")&amp;IF(COUNTIFS('NHAT KY THANH TOAN'!$B:$B,B194,'NHAT KY THANH TOAN'!$D:$D,"Thanh toán",'NHAT KY THANH TOAN'!$F:$F,"Tiền mặt",'NHAT KY THANH TOAN'!$G:$G,"&gt;="&amp;'THAM SO'!$B$11)&gt;0,"Có khoản TT tiền mặt ≥ ngưỡng; ","")&amp;IF(AND(AB194&lt;&gt;"",N(AB194)&lt;0),"Thanh toán vượt giá trị HĐ; ","")))</f>
        <v/>
      </c>
      <c r="AG194" s="108" t="n"/>
      <c r="AH194" s="109" t="n"/>
      <c r="AI194" s="105">
        <f>IF(OR(H194="",O194="",AH194&lt;&gt;""),"",O194-'THAM SO'!$B$8)</f>
        <v/>
      </c>
      <c r="AJ194" s="95">
        <f>IF(H194="","",IF(AH194&lt;&gt;"","Đã thanh lý",IF(AND(N194&lt;&gt;"",N194&gt;'THAM SO'!$B$8),"Chưa hiệu lực",IF(O194="","Đang thực hiện",IF(O194&lt;'THAM SO'!$B$8,IF(P194="Có","Đã tự gia hạn – kiểm tra","Quá hạn – chưa thanh lý"),IF(O194-'THAM SO'!$B$8&lt;='THAM SO'!$B$9,"Sắp hết hạn","Đang thực hiện"))))))</f>
        <v/>
      </c>
      <c r="AK194" s="106">
        <f>IF(AND(O194="",AH194=""),"",EDATE(MAX(N(O194),N(AH194)),12*'THAM SO'!$B$12))</f>
        <v/>
      </c>
      <c r="AL194" s="110" t="n"/>
    </row>
    <row r="195" ht="15" customHeight="1" s="64">
      <c r="A195" s="93">
        <f>IF(H195="","",COUNTA($H$9:H195))</f>
        <v/>
      </c>
      <c r="B195" s="93">
        <f>IF(OR(D195="",G195=""),"",YEAR(G195)&amp;"/"&amp;D195&amp;"/"&amp;TEXT(SUMPRODUCT(($D$9:D195=D195)*(YEAR($G$9:G195)=YEAR(G195))),"000")&amp;"-"&amp;'THAM SO'!$B$7)</f>
        <v/>
      </c>
      <c r="C195" s="107" t="n"/>
      <c r="D195" s="107" t="n"/>
      <c r="E195" s="95">
        <f>IF(D195="","",IFERROR(VLOOKUP(D195,'THAM SO'!$D$6:$E$40,2,FALSE()),"Mã loại chưa khai báo"))</f>
        <v/>
      </c>
      <c r="F195" s="108" t="n"/>
      <c r="G195" s="109" t="n"/>
      <c r="H195" s="110" t="n"/>
      <c r="I195" s="108" t="n"/>
      <c r="J195" s="110" t="n"/>
      <c r="K195" s="108" t="n"/>
      <c r="L195" s="108" t="n"/>
      <c r="M195" s="108" t="n"/>
      <c r="N195" s="109" t="n"/>
      <c r="O195" s="109" t="n"/>
      <c r="P195" s="107" t="n"/>
      <c r="Q195" s="107" t="n"/>
      <c r="R195" s="111" t="n"/>
      <c r="S195" s="112" t="n"/>
      <c r="T195" s="113" t="n"/>
      <c r="U195" s="102">
        <f>IF(S195="","",ROUND(S195*N(T195),2))</f>
        <v/>
      </c>
      <c r="V195" s="102">
        <f>IF(S195="","",S195+U195)</f>
        <v/>
      </c>
      <c r="W195" s="103">
        <f>IF(V195="","",ROUND(V195*IF(OR(Q195="",Q195="VND"),1,R195),0))</f>
        <v/>
      </c>
      <c r="X195" s="111" t="n"/>
      <c r="Y195" s="103">
        <f>IF(W195="","",W195+N(X195))</f>
        <v/>
      </c>
      <c r="Z195" s="103">
        <f>IF(B195="","",SUMIFS('NHAT KY THANH TOAN'!$G:$G,'NHAT KY THANH TOAN'!$B:$B,B195,'NHAT KY THANH TOAN'!$D:$D,"Hóa đơn"))</f>
        <v/>
      </c>
      <c r="AA195" s="103">
        <f>IF(B195="","",SUMIFS('NHAT KY THANH TOAN'!$G:$G,'NHAT KY THANH TOAN'!$B:$B,B195,'NHAT KY THANH TOAN'!$D:$D,"Thanh toán"))</f>
        <v/>
      </c>
      <c r="AB195" s="103">
        <f>IF(Y195="","",Y195-N(AA195))</f>
        <v/>
      </c>
      <c r="AC195" s="103">
        <f>IF(B195="","",N(Z195)-N(AA195))</f>
        <v/>
      </c>
      <c r="AD195" s="104">
        <f>IF(N(Y195)=0,"",N(AA195)/Y195)</f>
        <v/>
      </c>
      <c r="AE195" s="107" t="n"/>
      <c r="AF195" s="95">
        <f>IF(H195="","",TRIM(IF(AND(N(Y195)&gt;='THAM SO'!$B$10,AE195&lt;&gt;"Có"),"Chưa rà soát pháp lý; ","")&amp;IF(I195="","Thiếu MST đối tác; ","")&amp;IF(AG195="","Chưa ghi nơi lưu bản gốc; ","")&amp;IF(COUNTIFS('NHAT KY THANH TOAN'!$B:$B,B195,'NHAT KY THANH TOAN'!$D:$D,"Thanh toán",'NHAT KY THANH TOAN'!$F:$F,"Tiền mặt",'NHAT KY THANH TOAN'!$G:$G,"&gt;="&amp;'THAM SO'!$B$11)&gt;0,"Có khoản TT tiền mặt ≥ ngưỡng; ","")&amp;IF(AND(AB195&lt;&gt;"",N(AB195)&lt;0),"Thanh toán vượt giá trị HĐ; ","")))</f>
        <v/>
      </c>
      <c r="AG195" s="108" t="n"/>
      <c r="AH195" s="109" t="n"/>
      <c r="AI195" s="105">
        <f>IF(OR(H195="",O195="",AH195&lt;&gt;""),"",O195-'THAM SO'!$B$8)</f>
        <v/>
      </c>
      <c r="AJ195" s="95">
        <f>IF(H195="","",IF(AH195&lt;&gt;"","Đã thanh lý",IF(AND(N195&lt;&gt;"",N195&gt;'THAM SO'!$B$8),"Chưa hiệu lực",IF(O195="","Đang thực hiện",IF(O195&lt;'THAM SO'!$B$8,IF(P195="Có","Đã tự gia hạn – kiểm tra","Quá hạn – chưa thanh lý"),IF(O195-'THAM SO'!$B$8&lt;='THAM SO'!$B$9,"Sắp hết hạn","Đang thực hiện"))))))</f>
        <v/>
      </c>
      <c r="AK195" s="106">
        <f>IF(AND(O195="",AH195=""),"",EDATE(MAX(N(O195),N(AH195)),12*'THAM SO'!$B$12))</f>
        <v/>
      </c>
      <c r="AL195" s="110" t="n"/>
    </row>
    <row r="196" ht="15" customHeight="1" s="64">
      <c r="A196" s="93">
        <f>IF(H196="","",COUNTA($H$9:H196))</f>
        <v/>
      </c>
      <c r="B196" s="93">
        <f>IF(OR(D196="",G196=""),"",YEAR(G196)&amp;"/"&amp;D196&amp;"/"&amp;TEXT(SUMPRODUCT(($D$9:D196=D196)*(YEAR($G$9:G196)=YEAR(G196))),"000")&amp;"-"&amp;'THAM SO'!$B$7)</f>
        <v/>
      </c>
      <c r="C196" s="107" t="n"/>
      <c r="D196" s="107" t="n"/>
      <c r="E196" s="95">
        <f>IF(D196="","",IFERROR(VLOOKUP(D196,'THAM SO'!$D$6:$E$40,2,FALSE()),"Mã loại chưa khai báo"))</f>
        <v/>
      </c>
      <c r="F196" s="108" t="n"/>
      <c r="G196" s="109" t="n"/>
      <c r="H196" s="110" t="n"/>
      <c r="I196" s="108" t="n"/>
      <c r="J196" s="110" t="n"/>
      <c r="K196" s="108" t="n"/>
      <c r="L196" s="108" t="n"/>
      <c r="M196" s="108" t="n"/>
      <c r="N196" s="109" t="n"/>
      <c r="O196" s="109" t="n"/>
      <c r="P196" s="107" t="n"/>
      <c r="Q196" s="107" t="n"/>
      <c r="R196" s="111" t="n"/>
      <c r="S196" s="112" t="n"/>
      <c r="T196" s="113" t="n"/>
      <c r="U196" s="102">
        <f>IF(S196="","",ROUND(S196*N(T196),2))</f>
        <v/>
      </c>
      <c r="V196" s="102">
        <f>IF(S196="","",S196+U196)</f>
        <v/>
      </c>
      <c r="W196" s="103">
        <f>IF(V196="","",ROUND(V196*IF(OR(Q196="",Q196="VND"),1,R196),0))</f>
        <v/>
      </c>
      <c r="X196" s="111" t="n"/>
      <c r="Y196" s="103">
        <f>IF(W196="","",W196+N(X196))</f>
        <v/>
      </c>
      <c r="Z196" s="103">
        <f>IF(B196="","",SUMIFS('NHAT KY THANH TOAN'!$G:$G,'NHAT KY THANH TOAN'!$B:$B,B196,'NHAT KY THANH TOAN'!$D:$D,"Hóa đơn"))</f>
        <v/>
      </c>
      <c r="AA196" s="103">
        <f>IF(B196="","",SUMIFS('NHAT KY THANH TOAN'!$G:$G,'NHAT KY THANH TOAN'!$B:$B,B196,'NHAT KY THANH TOAN'!$D:$D,"Thanh toán"))</f>
        <v/>
      </c>
      <c r="AB196" s="103">
        <f>IF(Y196="","",Y196-N(AA196))</f>
        <v/>
      </c>
      <c r="AC196" s="103">
        <f>IF(B196="","",N(Z196)-N(AA196))</f>
        <v/>
      </c>
      <c r="AD196" s="104">
        <f>IF(N(Y196)=0,"",N(AA196)/Y196)</f>
        <v/>
      </c>
      <c r="AE196" s="107" t="n"/>
      <c r="AF196" s="95">
        <f>IF(H196="","",TRIM(IF(AND(N(Y196)&gt;='THAM SO'!$B$10,AE196&lt;&gt;"Có"),"Chưa rà soát pháp lý; ","")&amp;IF(I196="","Thiếu MST đối tác; ","")&amp;IF(AG196="","Chưa ghi nơi lưu bản gốc; ","")&amp;IF(COUNTIFS('NHAT KY THANH TOAN'!$B:$B,B196,'NHAT KY THANH TOAN'!$D:$D,"Thanh toán",'NHAT KY THANH TOAN'!$F:$F,"Tiền mặt",'NHAT KY THANH TOAN'!$G:$G,"&gt;="&amp;'THAM SO'!$B$11)&gt;0,"Có khoản TT tiền mặt ≥ ngưỡng; ","")&amp;IF(AND(AB196&lt;&gt;"",N(AB196)&lt;0),"Thanh toán vượt giá trị HĐ; ","")))</f>
        <v/>
      </c>
      <c r="AG196" s="108" t="n"/>
      <c r="AH196" s="109" t="n"/>
      <c r="AI196" s="105">
        <f>IF(OR(H196="",O196="",AH196&lt;&gt;""),"",O196-'THAM SO'!$B$8)</f>
        <v/>
      </c>
      <c r="AJ196" s="95">
        <f>IF(H196="","",IF(AH196&lt;&gt;"","Đã thanh lý",IF(AND(N196&lt;&gt;"",N196&gt;'THAM SO'!$B$8),"Chưa hiệu lực",IF(O196="","Đang thực hiện",IF(O196&lt;'THAM SO'!$B$8,IF(P196="Có","Đã tự gia hạn – kiểm tra","Quá hạn – chưa thanh lý"),IF(O196-'THAM SO'!$B$8&lt;='THAM SO'!$B$9,"Sắp hết hạn","Đang thực hiện"))))))</f>
        <v/>
      </c>
      <c r="AK196" s="106">
        <f>IF(AND(O196="",AH196=""),"",EDATE(MAX(N(O196),N(AH196)),12*'THAM SO'!$B$12))</f>
        <v/>
      </c>
      <c r="AL196" s="110" t="n"/>
    </row>
    <row r="197" ht="15" customHeight="1" s="64">
      <c r="A197" s="93">
        <f>IF(H197="","",COUNTA($H$9:H197))</f>
        <v/>
      </c>
      <c r="B197" s="93">
        <f>IF(OR(D197="",G197=""),"",YEAR(G197)&amp;"/"&amp;D197&amp;"/"&amp;TEXT(SUMPRODUCT(($D$9:D197=D197)*(YEAR($G$9:G197)=YEAR(G197))),"000")&amp;"-"&amp;'THAM SO'!$B$7)</f>
        <v/>
      </c>
      <c r="C197" s="107" t="n"/>
      <c r="D197" s="107" t="n"/>
      <c r="E197" s="95">
        <f>IF(D197="","",IFERROR(VLOOKUP(D197,'THAM SO'!$D$6:$E$40,2,FALSE()),"Mã loại chưa khai báo"))</f>
        <v/>
      </c>
      <c r="F197" s="108" t="n"/>
      <c r="G197" s="109" t="n"/>
      <c r="H197" s="110" t="n"/>
      <c r="I197" s="108" t="n"/>
      <c r="J197" s="110" t="n"/>
      <c r="K197" s="108" t="n"/>
      <c r="L197" s="108" t="n"/>
      <c r="M197" s="108" t="n"/>
      <c r="N197" s="109" t="n"/>
      <c r="O197" s="109" t="n"/>
      <c r="P197" s="107" t="n"/>
      <c r="Q197" s="107" t="n"/>
      <c r="R197" s="111" t="n"/>
      <c r="S197" s="112" t="n"/>
      <c r="T197" s="113" t="n"/>
      <c r="U197" s="102">
        <f>IF(S197="","",ROUND(S197*N(T197),2))</f>
        <v/>
      </c>
      <c r="V197" s="102">
        <f>IF(S197="","",S197+U197)</f>
        <v/>
      </c>
      <c r="W197" s="103">
        <f>IF(V197="","",ROUND(V197*IF(OR(Q197="",Q197="VND"),1,R197),0))</f>
        <v/>
      </c>
      <c r="X197" s="111" t="n"/>
      <c r="Y197" s="103">
        <f>IF(W197="","",W197+N(X197))</f>
        <v/>
      </c>
      <c r="Z197" s="103">
        <f>IF(B197="","",SUMIFS('NHAT KY THANH TOAN'!$G:$G,'NHAT KY THANH TOAN'!$B:$B,B197,'NHAT KY THANH TOAN'!$D:$D,"Hóa đơn"))</f>
        <v/>
      </c>
      <c r="AA197" s="103">
        <f>IF(B197="","",SUMIFS('NHAT KY THANH TOAN'!$G:$G,'NHAT KY THANH TOAN'!$B:$B,B197,'NHAT KY THANH TOAN'!$D:$D,"Thanh toán"))</f>
        <v/>
      </c>
      <c r="AB197" s="103">
        <f>IF(Y197="","",Y197-N(AA197))</f>
        <v/>
      </c>
      <c r="AC197" s="103">
        <f>IF(B197="","",N(Z197)-N(AA197))</f>
        <v/>
      </c>
      <c r="AD197" s="104">
        <f>IF(N(Y197)=0,"",N(AA197)/Y197)</f>
        <v/>
      </c>
      <c r="AE197" s="107" t="n"/>
      <c r="AF197" s="95">
        <f>IF(H197="","",TRIM(IF(AND(N(Y197)&gt;='THAM SO'!$B$10,AE197&lt;&gt;"Có"),"Chưa rà soát pháp lý; ","")&amp;IF(I197="","Thiếu MST đối tác; ","")&amp;IF(AG197="","Chưa ghi nơi lưu bản gốc; ","")&amp;IF(COUNTIFS('NHAT KY THANH TOAN'!$B:$B,B197,'NHAT KY THANH TOAN'!$D:$D,"Thanh toán",'NHAT KY THANH TOAN'!$F:$F,"Tiền mặt",'NHAT KY THANH TOAN'!$G:$G,"&gt;="&amp;'THAM SO'!$B$11)&gt;0,"Có khoản TT tiền mặt ≥ ngưỡng; ","")&amp;IF(AND(AB197&lt;&gt;"",N(AB197)&lt;0),"Thanh toán vượt giá trị HĐ; ","")))</f>
        <v/>
      </c>
      <c r="AG197" s="108" t="n"/>
      <c r="AH197" s="109" t="n"/>
      <c r="AI197" s="105">
        <f>IF(OR(H197="",O197="",AH197&lt;&gt;""),"",O197-'THAM SO'!$B$8)</f>
        <v/>
      </c>
      <c r="AJ197" s="95">
        <f>IF(H197="","",IF(AH197&lt;&gt;"","Đã thanh lý",IF(AND(N197&lt;&gt;"",N197&gt;'THAM SO'!$B$8),"Chưa hiệu lực",IF(O197="","Đang thực hiện",IF(O197&lt;'THAM SO'!$B$8,IF(P197="Có","Đã tự gia hạn – kiểm tra","Quá hạn – chưa thanh lý"),IF(O197-'THAM SO'!$B$8&lt;='THAM SO'!$B$9,"Sắp hết hạn","Đang thực hiện"))))))</f>
        <v/>
      </c>
      <c r="AK197" s="106">
        <f>IF(AND(O197="",AH197=""),"",EDATE(MAX(N(O197),N(AH197)),12*'THAM SO'!$B$12))</f>
        <v/>
      </c>
      <c r="AL197" s="110" t="n"/>
    </row>
    <row r="198" ht="15" customHeight="1" s="64">
      <c r="A198" s="93">
        <f>IF(H198="","",COUNTA($H$9:H198))</f>
        <v/>
      </c>
      <c r="B198" s="93">
        <f>IF(OR(D198="",G198=""),"",YEAR(G198)&amp;"/"&amp;D198&amp;"/"&amp;TEXT(SUMPRODUCT(($D$9:D198=D198)*(YEAR($G$9:G198)=YEAR(G198))),"000")&amp;"-"&amp;'THAM SO'!$B$7)</f>
        <v/>
      </c>
      <c r="C198" s="107" t="n"/>
      <c r="D198" s="107" t="n"/>
      <c r="E198" s="95">
        <f>IF(D198="","",IFERROR(VLOOKUP(D198,'THAM SO'!$D$6:$E$40,2,FALSE()),"Mã loại chưa khai báo"))</f>
        <v/>
      </c>
      <c r="F198" s="108" t="n"/>
      <c r="G198" s="109" t="n"/>
      <c r="H198" s="110" t="n"/>
      <c r="I198" s="108" t="n"/>
      <c r="J198" s="110" t="n"/>
      <c r="K198" s="108" t="n"/>
      <c r="L198" s="108" t="n"/>
      <c r="M198" s="108" t="n"/>
      <c r="N198" s="109" t="n"/>
      <c r="O198" s="109" t="n"/>
      <c r="P198" s="107" t="n"/>
      <c r="Q198" s="107" t="n"/>
      <c r="R198" s="111" t="n"/>
      <c r="S198" s="112" t="n"/>
      <c r="T198" s="113" t="n"/>
      <c r="U198" s="102">
        <f>IF(S198="","",ROUND(S198*N(T198),2))</f>
        <v/>
      </c>
      <c r="V198" s="102">
        <f>IF(S198="","",S198+U198)</f>
        <v/>
      </c>
      <c r="W198" s="103">
        <f>IF(V198="","",ROUND(V198*IF(OR(Q198="",Q198="VND"),1,R198),0))</f>
        <v/>
      </c>
      <c r="X198" s="111" t="n"/>
      <c r="Y198" s="103">
        <f>IF(W198="","",W198+N(X198))</f>
        <v/>
      </c>
      <c r="Z198" s="103">
        <f>IF(B198="","",SUMIFS('NHAT KY THANH TOAN'!$G:$G,'NHAT KY THANH TOAN'!$B:$B,B198,'NHAT KY THANH TOAN'!$D:$D,"Hóa đơn"))</f>
        <v/>
      </c>
      <c r="AA198" s="103">
        <f>IF(B198="","",SUMIFS('NHAT KY THANH TOAN'!$G:$G,'NHAT KY THANH TOAN'!$B:$B,B198,'NHAT KY THANH TOAN'!$D:$D,"Thanh toán"))</f>
        <v/>
      </c>
      <c r="AB198" s="103">
        <f>IF(Y198="","",Y198-N(AA198))</f>
        <v/>
      </c>
      <c r="AC198" s="103">
        <f>IF(B198="","",N(Z198)-N(AA198))</f>
        <v/>
      </c>
      <c r="AD198" s="104">
        <f>IF(N(Y198)=0,"",N(AA198)/Y198)</f>
        <v/>
      </c>
      <c r="AE198" s="107" t="n"/>
      <c r="AF198" s="95">
        <f>IF(H198="","",TRIM(IF(AND(N(Y198)&gt;='THAM SO'!$B$10,AE198&lt;&gt;"Có"),"Chưa rà soát pháp lý; ","")&amp;IF(I198="","Thiếu MST đối tác; ","")&amp;IF(AG198="","Chưa ghi nơi lưu bản gốc; ","")&amp;IF(COUNTIFS('NHAT KY THANH TOAN'!$B:$B,B198,'NHAT KY THANH TOAN'!$D:$D,"Thanh toán",'NHAT KY THANH TOAN'!$F:$F,"Tiền mặt",'NHAT KY THANH TOAN'!$G:$G,"&gt;="&amp;'THAM SO'!$B$11)&gt;0,"Có khoản TT tiền mặt ≥ ngưỡng; ","")&amp;IF(AND(AB198&lt;&gt;"",N(AB198)&lt;0),"Thanh toán vượt giá trị HĐ; ","")))</f>
        <v/>
      </c>
      <c r="AG198" s="108" t="n"/>
      <c r="AH198" s="109" t="n"/>
      <c r="AI198" s="105">
        <f>IF(OR(H198="",O198="",AH198&lt;&gt;""),"",O198-'THAM SO'!$B$8)</f>
        <v/>
      </c>
      <c r="AJ198" s="95">
        <f>IF(H198="","",IF(AH198&lt;&gt;"","Đã thanh lý",IF(AND(N198&lt;&gt;"",N198&gt;'THAM SO'!$B$8),"Chưa hiệu lực",IF(O198="","Đang thực hiện",IF(O198&lt;'THAM SO'!$B$8,IF(P198="Có","Đã tự gia hạn – kiểm tra","Quá hạn – chưa thanh lý"),IF(O198-'THAM SO'!$B$8&lt;='THAM SO'!$B$9,"Sắp hết hạn","Đang thực hiện"))))))</f>
        <v/>
      </c>
      <c r="AK198" s="106">
        <f>IF(AND(O198="",AH198=""),"",EDATE(MAX(N(O198),N(AH198)),12*'THAM SO'!$B$12))</f>
        <v/>
      </c>
      <c r="AL198" s="110" t="n"/>
    </row>
    <row r="199" ht="15" customHeight="1" s="64">
      <c r="A199" s="93">
        <f>IF(H199="","",COUNTA($H$9:H199))</f>
        <v/>
      </c>
      <c r="B199" s="93">
        <f>IF(OR(D199="",G199=""),"",YEAR(G199)&amp;"/"&amp;D199&amp;"/"&amp;TEXT(SUMPRODUCT(($D$9:D199=D199)*(YEAR($G$9:G199)=YEAR(G199))),"000")&amp;"-"&amp;'THAM SO'!$B$7)</f>
        <v/>
      </c>
      <c r="C199" s="107" t="n"/>
      <c r="D199" s="107" t="n"/>
      <c r="E199" s="95">
        <f>IF(D199="","",IFERROR(VLOOKUP(D199,'THAM SO'!$D$6:$E$40,2,FALSE()),"Mã loại chưa khai báo"))</f>
        <v/>
      </c>
      <c r="F199" s="108" t="n"/>
      <c r="G199" s="109" t="n"/>
      <c r="H199" s="110" t="n"/>
      <c r="I199" s="108" t="n"/>
      <c r="J199" s="110" t="n"/>
      <c r="K199" s="108" t="n"/>
      <c r="L199" s="108" t="n"/>
      <c r="M199" s="108" t="n"/>
      <c r="N199" s="109" t="n"/>
      <c r="O199" s="109" t="n"/>
      <c r="P199" s="107" t="n"/>
      <c r="Q199" s="107" t="n"/>
      <c r="R199" s="111" t="n"/>
      <c r="S199" s="112" t="n"/>
      <c r="T199" s="113" t="n"/>
      <c r="U199" s="102">
        <f>IF(S199="","",ROUND(S199*N(T199),2))</f>
        <v/>
      </c>
      <c r="V199" s="102">
        <f>IF(S199="","",S199+U199)</f>
        <v/>
      </c>
      <c r="W199" s="103">
        <f>IF(V199="","",ROUND(V199*IF(OR(Q199="",Q199="VND"),1,R199),0))</f>
        <v/>
      </c>
      <c r="X199" s="111" t="n"/>
      <c r="Y199" s="103">
        <f>IF(W199="","",W199+N(X199))</f>
        <v/>
      </c>
      <c r="Z199" s="103">
        <f>IF(B199="","",SUMIFS('NHAT KY THANH TOAN'!$G:$G,'NHAT KY THANH TOAN'!$B:$B,B199,'NHAT KY THANH TOAN'!$D:$D,"Hóa đơn"))</f>
        <v/>
      </c>
      <c r="AA199" s="103">
        <f>IF(B199="","",SUMIFS('NHAT KY THANH TOAN'!$G:$G,'NHAT KY THANH TOAN'!$B:$B,B199,'NHAT KY THANH TOAN'!$D:$D,"Thanh toán"))</f>
        <v/>
      </c>
      <c r="AB199" s="103">
        <f>IF(Y199="","",Y199-N(AA199))</f>
        <v/>
      </c>
      <c r="AC199" s="103">
        <f>IF(B199="","",N(Z199)-N(AA199))</f>
        <v/>
      </c>
      <c r="AD199" s="104">
        <f>IF(N(Y199)=0,"",N(AA199)/Y199)</f>
        <v/>
      </c>
      <c r="AE199" s="107" t="n"/>
      <c r="AF199" s="95">
        <f>IF(H199="","",TRIM(IF(AND(N(Y199)&gt;='THAM SO'!$B$10,AE199&lt;&gt;"Có"),"Chưa rà soát pháp lý; ","")&amp;IF(I199="","Thiếu MST đối tác; ","")&amp;IF(AG199="","Chưa ghi nơi lưu bản gốc; ","")&amp;IF(COUNTIFS('NHAT KY THANH TOAN'!$B:$B,B199,'NHAT KY THANH TOAN'!$D:$D,"Thanh toán",'NHAT KY THANH TOAN'!$F:$F,"Tiền mặt",'NHAT KY THANH TOAN'!$G:$G,"&gt;="&amp;'THAM SO'!$B$11)&gt;0,"Có khoản TT tiền mặt ≥ ngưỡng; ","")&amp;IF(AND(AB199&lt;&gt;"",N(AB199)&lt;0),"Thanh toán vượt giá trị HĐ; ","")))</f>
        <v/>
      </c>
      <c r="AG199" s="108" t="n"/>
      <c r="AH199" s="109" t="n"/>
      <c r="AI199" s="105">
        <f>IF(OR(H199="",O199="",AH199&lt;&gt;""),"",O199-'THAM SO'!$B$8)</f>
        <v/>
      </c>
      <c r="AJ199" s="95">
        <f>IF(H199="","",IF(AH199&lt;&gt;"","Đã thanh lý",IF(AND(N199&lt;&gt;"",N199&gt;'THAM SO'!$B$8),"Chưa hiệu lực",IF(O199="","Đang thực hiện",IF(O199&lt;'THAM SO'!$B$8,IF(P199="Có","Đã tự gia hạn – kiểm tra","Quá hạn – chưa thanh lý"),IF(O199-'THAM SO'!$B$8&lt;='THAM SO'!$B$9,"Sắp hết hạn","Đang thực hiện"))))))</f>
        <v/>
      </c>
      <c r="AK199" s="106">
        <f>IF(AND(O199="",AH199=""),"",EDATE(MAX(N(O199),N(AH199)),12*'THAM SO'!$B$12))</f>
        <v/>
      </c>
      <c r="AL199" s="110" t="n"/>
    </row>
    <row r="200" ht="15" customHeight="1" s="64">
      <c r="A200" s="93">
        <f>IF(H200="","",COUNTA($H$9:H200))</f>
        <v/>
      </c>
      <c r="B200" s="93">
        <f>IF(OR(D200="",G200=""),"",YEAR(G200)&amp;"/"&amp;D200&amp;"/"&amp;TEXT(SUMPRODUCT(($D$9:D200=D200)*(YEAR($G$9:G200)=YEAR(G200))),"000")&amp;"-"&amp;'THAM SO'!$B$7)</f>
        <v/>
      </c>
      <c r="C200" s="107" t="n"/>
      <c r="D200" s="107" t="n"/>
      <c r="E200" s="95">
        <f>IF(D200="","",IFERROR(VLOOKUP(D200,'THAM SO'!$D$6:$E$40,2,FALSE()),"Mã loại chưa khai báo"))</f>
        <v/>
      </c>
      <c r="F200" s="108" t="n"/>
      <c r="G200" s="109" t="n"/>
      <c r="H200" s="110" t="n"/>
      <c r="I200" s="108" t="n"/>
      <c r="J200" s="110" t="n"/>
      <c r="K200" s="108" t="n"/>
      <c r="L200" s="108" t="n"/>
      <c r="M200" s="108" t="n"/>
      <c r="N200" s="109" t="n"/>
      <c r="O200" s="109" t="n"/>
      <c r="P200" s="107" t="n"/>
      <c r="Q200" s="107" t="n"/>
      <c r="R200" s="111" t="n"/>
      <c r="S200" s="112" t="n"/>
      <c r="T200" s="113" t="n"/>
      <c r="U200" s="102">
        <f>IF(S200="","",ROUND(S200*N(T200),2))</f>
        <v/>
      </c>
      <c r="V200" s="102">
        <f>IF(S200="","",S200+U200)</f>
        <v/>
      </c>
      <c r="W200" s="103">
        <f>IF(V200="","",ROUND(V200*IF(OR(Q200="",Q200="VND"),1,R200),0))</f>
        <v/>
      </c>
      <c r="X200" s="111" t="n"/>
      <c r="Y200" s="103">
        <f>IF(W200="","",W200+N(X200))</f>
        <v/>
      </c>
      <c r="Z200" s="103">
        <f>IF(B200="","",SUMIFS('NHAT KY THANH TOAN'!$G:$G,'NHAT KY THANH TOAN'!$B:$B,B200,'NHAT KY THANH TOAN'!$D:$D,"Hóa đơn"))</f>
        <v/>
      </c>
      <c r="AA200" s="103">
        <f>IF(B200="","",SUMIFS('NHAT KY THANH TOAN'!$G:$G,'NHAT KY THANH TOAN'!$B:$B,B200,'NHAT KY THANH TOAN'!$D:$D,"Thanh toán"))</f>
        <v/>
      </c>
      <c r="AB200" s="103">
        <f>IF(Y200="","",Y200-N(AA200))</f>
        <v/>
      </c>
      <c r="AC200" s="103">
        <f>IF(B200="","",N(Z200)-N(AA200))</f>
        <v/>
      </c>
      <c r="AD200" s="104">
        <f>IF(N(Y200)=0,"",N(AA200)/Y200)</f>
        <v/>
      </c>
      <c r="AE200" s="107" t="n"/>
      <c r="AF200" s="95">
        <f>IF(H200="","",TRIM(IF(AND(N(Y200)&gt;='THAM SO'!$B$10,AE200&lt;&gt;"Có"),"Chưa rà soát pháp lý; ","")&amp;IF(I200="","Thiếu MST đối tác; ","")&amp;IF(AG200="","Chưa ghi nơi lưu bản gốc; ","")&amp;IF(COUNTIFS('NHAT KY THANH TOAN'!$B:$B,B200,'NHAT KY THANH TOAN'!$D:$D,"Thanh toán",'NHAT KY THANH TOAN'!$F:$F,"Tiền mặt",'NHAT KY THANH TOAN'!$G:$G,"&gt;="&amp;'THAM SO'!$B$11)&gt;0,"Có khoản TT tiền mặt ≥ ngưỡng; ","")&amp;IF(AND(AB200&lt;&gt;"",N(AB200)&lt;0),"Thanh toán vượt giá trị HĐ; ","")))</f>
        <v/>
      </c>
      <c r="AG200" s="108" t="n"/>
      <c r="AH200" s="109" t="n"/>
      <c r="AI200" s="105">
        <f>IF(OR(H200="",O200="",AH200&lt;&gt;""),"",O200-'THAM SO'!$B$8)</f>
        <v/>
      </c>
      <c r="AJ200" s="95">
        <f>IF(H200="","",IF(AH200&lt;&gt;"","Đã thanh lý",IF(AND(N200&lt;&gt;"",N200&gt;'THAM SO'!$B$8),"Chưa hiệu lực",IF(O200="","Đang thực hiện",IF(O200&lt;'THAM SO'!$B$8,IF(P200="Có","Đã tự gia hạn – kiểm tra","Quá hạn – chưa thanh lý"),IF(O200-'THAM SO'!$B$8&lt;='THAM SO'!$B$9,"Sắp hết hạn","Đang thực hiện"))))))</f>
        <v/>
      </c>
      <c r="AK200" s="106">
        <f>IF(AND(O200="",AH200=""),"",EDATE(MAX(N(O200),N(AH200)),12*'THAM SO'!$B$12))</f>
        <v/>
      </c>
      <c r="AL200" s="110" t="n"/>
    </row>
    <row r="201" ht="15" customHeight="1" s="64">
      <c r="A201" s="93">
        <f>IF(H201="","",COUNTA($H$9:H201))</f>
        <v/>
      </c>
      <c r="B201" s="93">
        <f>IF(OR(D201="",G201=""),"",YEAR(G201)&amp;"/"&amp;D201&amp;"/"&amp;TEXT(SUMPRODUCT(($D$9:D201=D201)*(YEAR($G$9:G201)=YEAR(G201))),"000")&amp;"-"&amp;'THAM SO'!$B$7)</f>
        <v/>
      </c>
      <c r="C201" s="107" t="n"/>
      <c r="D201" s="107" t="n"/>
      <c r="E201" s="95">
        <f>IF(D201="","",IFERROR(VLOOKUP(D201,'THAM SO'!$D$6:$E$40,2,FALSE()),"Mã loại chưa khai báo"))</f>
        <v/>
      </c>
      <c r="F201" s="108" t="n"/>
      <c r="G201" s="109" t="n"/>
      <c r="H201" s="110" t="n"/>
      <c r="I201" s="108" t="n"/>
      <c r="J201" s="110" t="n"/>
      <c r="K201" s="108" t="n"/>
      <c r="L201" s="108" t="n"/>
      <c r="M201" s="108" t="n"/>
      <c r="N201" s="109" t="n"/>
      <c r="O201" s="109" t="n"/>
      <c r="P201" s="107" t="n"/>
      <c r="Q201" s="107" t="n"/>
      <c r="R201" s="111" t="n"/>
      <c r="S201" s="112" t="n"/>
      <c r="T201" s="113" t="n"/>
      <c r="U201" s="102">
        <f>IF(S201="","",ROUND(S201*N(T201),2))</f>
        <v/>
      </c>
      <c r="V201" s="102">
        <f>IF(S201="","",S201+U201)</f>
        <v/>
      </c>
      <c r="W201" s="103">
        <f>IF(V201="","",ROUND(V201*IF(OR(Q201="",Q201="VND"),1,R201),0))</f>
        <v/>
      </c>
      <c r="X201" s="111" t="n"/>
      <c r="Y201" s="103">
        <f>IF(W201="","",W201+N(X201))</f>
        <v/>
      </c>
      <c r="Z201" s="103">
        <f>IF(B201="","",SUMIFS('NHAT KY THANH TOAN'!$G:$G,'NHAT KY THANH TOAN'!$B:$B,B201,'NHAT KY THANH TOAN'!$D:$D,"Hóa đơn"))</f>
        <v/>
      </c>
      <c r="AA201" s="103">
        <f>IF(B201="","",SUMIFS('NHAT KY THANH TOAN'!$G:$G,'NHAT KY THANH TOAN'!$B:$B,B201,'NHAT KY THANH TOAN'!$D:$D,"Thanh toán"))</f>
        <v/>
      </c>
      <c r="AB201" s="103">
        <f>IF(Y201="","",Y201-N(AA201))</f>
        <v/>
      </c>
      <c r="AC201" s="103">
        <f>IF(B201="","",N(Z201)-N(AA201))</f>
        <v/>
      </c>
      <c r="AD201" s="104">
        <f>IF(N(Y201)=0,"",N(AA201)/Y201)</f>
        <v/>
      </c>
      <c r="AE201" s="107" t="n"/>
      <c r="AF201" s="95">
        <f>IF(H201="","",TRIM(IF(AND(N(Y201)&gt;='THAM SO'!$B$10,AE201&lt;&gt;"Có"),"Chưa rà soát pháp lý; ","")&amp;IF(I201="","Thiếu MST đối tác; ","")&amp;IF(AG201="","Chưa ghi nơi lưu bản gốc; ","")&amp;IF(COUNTIFS('NHAT KY THANH TOAN'!$B:$B,B201,'NHAT KY THANH TOAN'!$D:$D,"Thanh toán",'NHAT KY THANH TOAN'!$F:$F,"Tiền mặt",'NHAT KY THANH TOAN'!$G:$G,"&gt;="&amp;'THAM SO'!$B$11)&gt;0,"Có khoản TT tiền mặt ≥ ngưỡng; ","")&amp;IF(AND(AB201&lt;&gt;"",N(AB201)&lt;0),"Thanh toán vượt giá trị HĐ; ","")))</f>
        <v/>
      </c>
      <c r="AG201" s="108" t="n"/>
      <c r="AH201" s="109" t="n"/>
      <c r="AI201" s="105">
        <f>IF(OR(H201="",O201="",AH201&lt;&gt;""),"",O201-'THAM SO'!$B$8)</f>
        <v/>
      </c>
      <c r="AJ201" s="95">
        <f>IF(H201="","",IF(AH201&lt;&gt;"","Đã thanh lý",IF(AND(N201&lt;&gt;"",N201&gt;'THAM SO'!$B$8),"Chưa hiệu lực",IF(O201="","Đang thực hiện",IF(O201&lt;'THAM SO'!$B$8,IF(P201="Có","Đã tự gia hạn – kiểm tra","Quá hạn – chưa thanh lý"),IF(O201-'THAM SO'!$B$8&lt;='THAM SO'!$B$9,"Sắp hết hạn","Đang thực hiện"))))))</f>
        <v/>
      </c>
      <c r="AK201" s="106">
        <f>IF(AND(O201="",AH201=""),"",EDATE(MAX(N(O201),N(AH201)),12*'THAM SO'!$B$12))</f>
        <v/>
      </c>
      <c r="AL201" s="110" t="n"/>
    </row>
    <row r="202" ht="15" customHeight="1" s="64">
      <c r="A202" s="93">
        <f>IF(H202="","",COUNTA($H$9:H202))</f>
        <v/>
      </c>
      <c r="B202" s="93">
        <f>IF(OR(D202="",G202=""),"",YEAR(G202)&amp;"/"&amp;D202&amp;"/"&amp;TEXT(SUMPRODUCT(($D$9:D202=D202)*(YEAR($G$9:G202)=YEAR(G202))),"000")&amp;"-"&amp;'THAM SO'!$B$7)</f>
        <v/>
      </c>
      <c r="C202" s="107" t="n"/>
      <c r="D202" s="107" t="n"/>
      <c r="E202" s="95">
        <f>IF(D202="","",IFERROR(VLOOKUP(D202,'THAM SO'!$D$6:$E$40,2,FALSE()),"Mã loại chưa khai báo"))</f>
        <v/>
      </c>
      <c r="F202" s="108" t="n"/>
      <c r="G202" s="109" t="n"/>
      <c r="H202" s="110" t="n"/>
      <c r="I202" s="108" t="n"/>
      <c r="J202" s="110" t="n"/>
      <c r="K202" s="108" t="n"/>
      <c r="L202" s="108" t="n"/>
      <c r="M202" s="108" t="n"/>
      <c r="N202" s="109" t="n"/>
      <c r="O202" s="109" t="n"/>
      <c r="P202" s="107" t="n"/>
      <c r="Q202" s="107" t="n"/>
      <c r="R202" s="111" t="n"/>
      <c r="S202" s="112" t="n"/>
      <c r="T202" s="113" t="n"/>
      <c r="U202" s="102">
        <f>IF(S202="","",ROUND(S202*N(T202),2))</f>
        <v/>
      </c>
      <c r="V202" s="102">
        <f>IF(S202="","",S202+U202)</f>
        <v/>
      </c>
      <c r="W202" s="103">
        <f>IF(V202="","",ROUND(V202*IF(OR(Q202="",Q202="VND"),1,R202),0))</f>
        <v/>
      </c>
      <c r="X202" s="111" t="n"/>
      <c r="Y202" s="103">
        <f>IF(W202="","",W202+N(X202))</f>
        <v/>
      </c>
      <c r="Z202" s="103">
        <f>IF(B202="","",SUMIFS('NHAT KY THANH TOAN'!$G:$G,'NHAT KY THANH TOAN'!$B:$B,B202,'NHAT KY THANH TOAN'!$D:$D,"Hóa đơn"))</f>
        <v/>
      </c>
      <c r="AA202" s="103">
        <f>IF(B202="","",SUMIFS('NHAT KY THANH TOAN'!$G:$G,'NHAT KY THANH TOAN'!$B:$B,B202,'NHAT KY THANH TOAN'!$D:$D,"Thanh toán"))</f>
        <v/>
      </c>
      <c r="AB202" s="103">
        <f>IF(Y202="","",Y202-N(AA202))</f>
        <v/>
      </c>
      <c r="AC202" s="103">
        <f>IF(B202="","",N(Z202)-N(AA202))</f>
        <v/>
      </c>
      <c r="AD202" s="104">
        <f>IF(N(Y202)=0,"",N(AA202)/Y202)</f>
        <v/>
      </c>
      <c r="AE202" s="107" t="n"/>
      <c r="AF202" s="95">
        <f>IF(H202="","",TRIM(IF(AND(N(Y202)&gt;='THAM SO'!$B$10,AE202&lt;&gt;"Có"),"Chưa rà soát pháp lý; ","")&amp;IF(I202="","Thiếu MST đối tác; ","")&amp;IF(AG202="","Chưa ghi nơi lưu bản gốc; ","")&amp;IF(COUNTIFS('NHAT KY THANH TOAN'!$B:$B,B202,'NHAT KY THANH TOAN'!$D:$D,"Thanh toán",'NHAT KY THANH TOAN'!$F:$F,"Tiền mặt",'NHAT KY THANH TOAN'!$G:$G,"&gt;="&amp;'THAM SO'!$B$11)&gt;0,"Có khoản TT tiền mặt ≥ ngưỡng; ","")&amp;IF(AND(AB202&lt;&gt;"",N(AB202)&lt;0),"Thanh toán vượt giá trị HĐ; ","")))</f>
        <v/>
      </c>
      <c r="AG202" s="108" t="n"/>
      <c r="AH202" s="109" t="n"/>
      <c r="AI202" s="105">
        <f>IF(OR(H202="",O202="",AH202&lt;&gt;""),"",O202-'THAM SO'!$B$8)</f>
        <v/>
      </c>
      <c r="AJ202" s="95">
        <f>IF(H202="","",IF(AH202&lt;&gt;"","Đã thanh lý",IF(AND(N202&lt;&gt;"",N202&gt;'THAM SO'!$B$8),"Chưa hiệu lực",IF(O202="","Đang thực hiện",IF(O202&lt;'THAM SO'!$B$8,IF(P202="Có","Đã tự gia hạn – kiểm tra","Quá hạn – chưa thanh lý"),IF(O202-'THAM SO'!$B$8&lt;='THAM SO'!$B$9,"Sắp hết hạn","Đang thực hiện"))))))</f>
        <v/>
      </c>
      <c r="AK202" s="106">
        <f>IF(AND(O202="",AH202=""),"",EDATE(MAX(N(O202),N(AH202)),12*'THAM SO'!$B$12))</f>
        <v/>
      </c>
      <c r="AL202" s="110" t="n"/>
    </row>
    <row r="203" ht="15" customHeight="1" s="64">
      <c r="A203" s="93">
        <f>IF(H203="","",COUNTA($H$9:H203))</f>
        <v/>
      </c>
      <c r="B203" s="93">
        <f>IF(OR(D203="",G203=""),"",YEAR(G203)&amp;"/"&amp;D203&amp;"/"&amp;TEXT(SUMPRODUCT(($D$9:D203=D203)*(YEAR($G$9:G203)=YEAR(G203))),"000")&amp;"-"&amp;'THAM SO'!$B$7)</f>
        <v/>
      </c>
      <c r="C203" s="107" t="n"/>
      <c r="D203" s="107" t="n"/>
      <c r="E203" s="95">
        <f>IF(D203="","",IFERROR(VLOOKUP(D203,'THAM SO'!$D$6:$E$40,2,FALSE()),"Mã loại chưa khai báo"))</f>
        <v/>
      </c>
      <c r="F203" s="108" t="n"/>
      <c r="G203" s="109" t="n"/>
      <c r="H203" s="110" t="n"/>
      <c r="I203" s="108" t="n"/>
      <c r="J203" s="110" t="n"/>
      <c r="K203" s="108" t="n"/>
      <c r="L203" s="108" t="n"/>
      <c r="M203" s="108" t="n"/>
      <c r="N203" s="109" t="n"/>
      <c r="O203" s="109" t="n"/>
      <c r="P203" s="107" t="n"/>
      <c r="Q203" s="107" t="n"/>
      <c r="R203" s="111" t="n"/>
      <c r="S203" s="112" t="n"/>
      <c r="T203" s="113" t="n"/>
      <c r="U203" s="102">
        <f>IF(S203="","",ROUND(S203*N(T203),2))</f>
        <v/>
      </c>
      <c r="V203" s="102">
        <f>IF(S203="","",S203+U203)</f>
        <v/>
      </c>
      <c r="W203" s="103">
        <f>IF(V203="","",ROUND(V203*IF(OR(Q203="",Q203="VND"),1,R203),0))</f>
        <v/>
      </c>
      <c r="X203" s="111" t="n"/>
      <c r="Y203" s="103">
        <f>IF(W203="","",W203+N(X203))</f>
        <v/>
      </c>
      <c r="Z203" s="103">
        <f>IF(B203="","",SUMIFS('NHAT KY THANH TOAN'!$G:$G,'NHAT KY THANH TOAN'!$B:$B,B203,'NHAT KY THANH TOAN'!$D:$D,"Hóa đơn"))</f>
        <v/>
      </c>
      <c r="AA203" s="103">
        <f>IF(B203="","",SUMIFS('NHAT KY THANH TOAN'!$G:$G,'NHAT KY THANH TOAN'!$B:$B,B203,'NHAT KY THANH TOAN'!$D:$D,"Thanh toán"))</f>
        <v/>
      </c>
      <c r="AB203" s="103">
        <f>IF(Y203="","",Y203-N(AA203))</f>
        <v/>
      </c>
      <c r="AC203" s="103">
        <f>IF(B203="","",N(Z203)-N(AA203))</f>
        <v/>
      </c>
      <c r="AD203" s="104">
        <f>IF(N(Y203)=0,"",N(AA203)/Y203)</f>
        <v/>
      </c>
      <c r="AE203" s="107" t="n"/>
      <c r="AF203" s="95">
        <f>IF(H203="","",TRIM(IF(AND(N(Y203)&gt;='THAM SO'!$B$10,AE203&lt;&gt;"Có"),"Chưa rà soát pháp lý; ","")&amp;IF(I203="","Thiếu MST đối tác; ","")&amp;IF(AG203="","Chưa ghi nơi lưu bản gốc; ","")&amp;IF(COUNTIFS('NHAT KY THANH TOAN'!$B:$B,B203,'NHAT KY THANH TOAN'!$D:$D,"Thanh toán",'NHAT KY THANH TOAN'!$F:$F,"Tiền mặt",'NHAT KY THANH TOAN'!$G:$G,"&gt;="&amp;'THAM SO'!$B$11)&gt;0,"Có khoản TT tiền mặt ≥ ngưỡng; ","")&amp;IF(AND(AB203&lt;&gt;"",N(AB203)&lt;0),"Thanh toán vượt giá trị HĐ; ","")))</f>
        <v/>
      </c>
      <c r="AG203" s="108" t="n"/>
      <c r="AH203" s="109" t="n"/>
      <c r="AI203" s="105">
        <f>IF(OR(H203="",O203="",AH203&lt;&gt;""),"",O203-'THAM SO'!$B$8)</f>
        <v/>
      </c>
      <c r="AJ203" s="95">
        <f>IF(H203="","",IF(AH203&lt;&gt;"","Đã thanh lý",IF(AND(N203&lt;&gt;"",N203&gt;'THAM SO'!$B$8),"Chưa hiệu lực",IF(O203="","Đang thực hiện",IF(O203&lt;'THAM SO'!$B$8,IF(P203="Có","Đã tự gia hạn – kiểm tra","Quá hạn – chưa thanh lý"),IF(O203-'THAM SO'!$B$8&lt;='THAM SO'!$B$9,"Sắp hết hạn","Đang thực hiện"))))))</f>
        <v/>
      </c>
      <c r="AK203" s="106">
        <f>IF(AND(O203="",AH203=""),"",EDATE(MAX(N(O203),N(AH203)),12*'THAM SO'!$B$12))</f>
        <v/>
      </c>
      <c r="AL203" s="110" t="n"/>
    </row>
    <row r="204" ht="15" customHeight="1" s="64">
      <c r="A204" s="93">
        <f>IF(H204="","",COUNTA($H$9:H204))</f>
        <v/>
      </c>
      <c r="B204" s="93">
        <f>IF(OR(D204="",G204=""),"",YEAR(G204)&amp;"/"&amp;D204&amp;"/"&amp;TEXT(SUMPRODUCT(($D$9:D204=D204)*(YEAR($G$9:G204)=YEAR(G204))),"000")&amp;"-"&amp;'THAM SO'!$B$7)</f>
        <v/>
      </c>
      <c r="C204" s="107" t="n"/>
      <c r="D204" s="107" t="n"/>
      <c r="E204" s="95">
        <f>IF(D204="","",IFERROR(VLOOKUP(D204,'THAM SO'!$D$6:$E$40,2,FALSE()),"Mã loại chưa khai báo"))</f>
        <v/>
      </c>
      <c r="F204" s="108" t="n"/>
      <c r="G204" s="109" t="n"/>
      <c r="H204" s="110" t="n"/>
      <c r="I204" s="108" t="n"/>
      <c r="J204" s="110" t="n"/>
      <c r="K204" s="108" t="n"/>
      <c r="L204" s="108" t="n"/>
      <c r="M204" s="108" t="n"/>
      <c r="N204" s="109" t="n"/>
      <c r="O204" s="109" t="n"/>
      <c r="P204" s="107" t="n"/>
      <c r="Q204" s="107" t="n"/>
      <c r="R204" s="111" t="n"/>
      <c r="S204" s="112" t="n"/>
      <c r="T204" s="113" t="n"/>
      <c r="U204" s="102">
        <f>IF(S204="","",ROUND(S204*N(T204),2))</f>
        <v/>
      </c>
      <c r="V204" s="102">
        <f>IF(S204="","",S204+U204)</f>
        <v/>
      </c>
      <c r="W204" s="103">
        <f>IF(V204="","",ROUND(V204*IF(OR(Q204="",Q204="VND"),1,R204),0))</f>
        <v/>
      </c>
      <c r="X204" s="111" t="n"/>
      <c r="Y204" s="103">
        <f>IF(W204="","",W204+N(X204))</f>
        <v/>
      </c>
      <c r="Z204" s="103">
        <f>IF(B204="","",SUMIFS('NHAT KY THANH TOAN'!$G:$G,'NHAT KY THANH TOAN'!$B:$B,B204,'NHAT KY THANH TOAN'!$D:$D,"Hóa đơn"))</f>
        <v/>
      </c>
      <c r="AA204" s="103">
        <f>IF(B204="","",SUMIFS('NHAT KY THANH TOAN'!$G:$G,'NHAT KY THANH TOAN'!$B:$B,B204,'NHAT KY THANH TOAN'!$D:$D,"Thanh toán"))</f>
        <v/>
      </c>
      <c r="AB204" s="103">
        <f>IF(Y204="","",Y204-N(AA204))</f>
        <v/>
      </c>
      <c r="AC204" s="103">
        <f>IF(B204="","",N(Z204)-N(AA204))</f>
        <v/>
      </c>
      <c r="AD204" s="104">
        <f>IF(N(Y204)=0,"",N(AA204)/Y204)</f>
        <v/>
      </c>
      <c r="AE204" s="107" t="n"/>
      <c r="AF204" s="95">
        <f>IF(H204="","",TRIM(IF(AND(N(Y204)&gt;='THAM SO'!$B$10,AE204&lt;&gt;"Có"),"Chưa rà soát pháp lý; ","")&amp;IF(I204="","Thiếu MST đối tác; ","")&amp;IF(AG204="","Chưa ghi nơi lưu bản gốc; ","")&amp;IF(COUNTIFS('NHAT KY THANH TOAN'!$B:$B,B204,'NHAT KY THANH TOAN'!$D:$D,"Thanh toán",'NHAT KY THANH TOAN'!$F:$F,"Tiền mặt",'NHAT KY THANH TOAN'!$G:$G,"&gt;="&amp;'THAM SO'!$B$11)&gt;0,"Có khoản TT tiền mặt ≥ ngưỡng; ","")&amp;IF(AND(AB204&lt;&gt;"",N(AB204)&lt;0),"Thanh toán vượt giá trị HĐ; ","")))</f>
        <v/>
      </c>
      <c r="AG204" s="108" t="n"/>
      <c r="AH204" s="109" t="n"/>
      <c r="AI204" s="105">
        <f>IF(OR(H204="",O204="",AH204&lt;&gt;""),"",O204-'THAM SO'!$B$8)</f>
        <v/>
      </c>
      <c r="AJ204" s="95">
        <f>IF(H204="","",IF(AH204&lt;&gt;"","Đã thanh lý",IF(AND(N204&lt;&gt;"",N204&gt;'THAM SO'!$B$8),"Chưa hiệu lực",IF(O204="","Đang thực hiện",IF(O204&lt;'THAM SO'!$B$8,IF(P204="Có","Đã tự gia hạn – kiểm tra","Quá hạn – chưa thanh lý"),IF(O204-'THAM SO'!$B$8&lt;='THAM SO'!$B$9,"Sắp hết hạn","Đang thực hiện"))))))</f>
        <v/>
      </c>
      <c r="AK204" s="106">
        <f>IF(AND(O204="",AH204=""),"",EDATE(MAX(N(O204),N(AH204)),12*'THAM SO'!$B$12))</f>
        <v/>
      </c>
      <c r="AL204" s="110" t="n"/>
    </row>
    <row r="205" ht="15" customHeight="1" s="64">
      <c r="A205" s="93">
        <f>IF(H205="","",COUNTA($H$9:H205))</f>
        <v/>
      </c>
      <c r="B205" s="93">
        <f>IF(OR(D205="",G205=""),"",YEAR(G205)&amp;"/"&amp;D205&amp;"/"&amp;TEXT(SUMPRODUCT(($D$9:D205=D205)*(YEAR($G$9:G205)=YEAR(G205))),"000")&amp;"-"&amp;'THAM SO'!$B$7)</f>
        <v/>
      </c>
      <c r="C205" s="107" t="n"/>
      <c r="D205" s="107" t="n"/>
      <c r="E205" s="95">
        <f>IF(D205="","",IFERROR(VLOOKUP(D205,'THAM SO'!$D$6:$E$40,2,FALSE()),"Mã loại chưa khai báo"))</f>
        <v/>
      </c>
      <c r="F205" s="108" t="n"/>
      <c r="G205" s="109" t="n"/>
      <c r="H205" s="110" t="n"/>
      <c r="I205" s="108" t="n"/>
      <c r="J205" s="110" t="n"/>
      <c r="K205" s="108" t="n"/>
      <c r="L205" s="108" t="n"/>
      <c r="M205" s="108" t="n"/>
      <c r="N205" s="109" t="n"/>
      <c r="O205" s="109" t="n"/>
      <c r="P205" s="107" t="n"/>
      <c r="Q205" s="107" t="n"/>
      <c r="R205" s="111" t="n"/>
      <c r="S205" s="112" t="n"/>
      <c r="T205" s="113" t="n"/>
      <c r="U205" s="102">
        <f>IF(S205="","",ROUND(S205*N(T205),2))</f>
        <v/>
      </c>
      <c r="V205" s="102">
        <f>IF(S205="","",S205+U205)</f>
        <v/>
      </c>
      <c r="W205" s="103">
        <f>IF(V205="","",ROUND(V205*IF(OR(Q205="",Q205="VND"),1,R205),0))</f>
        <v/>
      </c>
      <c r="X205" s="111" t="n"/>
      <c r="Y205" s="103">
        <f>IF(W205="","",W205+N(X205))</f>
        <v/>
      </c>
      <c r="Z205" s="103">
        <f>IF(B205="","",SUMIFS('NHAT KY THANH TOAN'!$G:$G,'NHAT KY THANH TOAN'!$B:$B,B205,'NHAT KY THANH TOAN'!$D:$D,"Hóa đơn"))</f>
        <v/>
      </c>
      <c r="AA205" s="103">
        <f>IF(B205="","",SUMIFS('NHAT KY THANH TOAN'!$G:$G,'NHAT KY THANH TOAN'!$B:$B,B205,'NHAT KY THANH TOAN'!$D:$D,"Thanh toán"))</f>
        <v/>
      </c>
      <c r="AB205" s="103">
        <f>IF(Y205="","",Y205-N(AA205))</f>
        <v/>
      </c>
      <c r="AC205" s="103">
        <f>IF(B205="","",N(Z205)-N(AA205))</f>
        <v/>
      </c>
      <c r="AD205" s="104">
        <f>IF(N(Y205)=0,"",N(AA205)/Y205)</f>
        <v/>
      </c>
      <c r="AE205" s="107" t="n"/>
      <c r="AF205" s="95">
        <f>IF(H205="","",TRIM(IF(AND(N(Y205)&gt;='THAM SO'!$B$10,AE205&lt;&gt;"Có"),"Chưa rà soát pháp lý; ","")&amp;IF(I205="","Thiếu MST đối tác; ","")&amp;IF(AG205="","Chưa ghi nơi lưu bản gốc; ","")&amp;IF(COUNTIFS('NHAT KY THANH TOAN'!$B:$B,B205,'NHAT KY THANH TOAN'!$D:$D,"Thanh toán",'NHAT KY THANH TOAN'!$F:$F,"Tiền mặt",'NHAT KY THANH TOAN'!$G:$G,"&gt;="&amp;'THAM SO'!$B$11)&gt;0,"Có khoản TT tiền mặt ≥ ngưỡng; ","")&amp;IF(AND(AB205&lt;&gt;"",N(AB205)&lt;0),"Thanh toán vượt giá trị HĐ; ","")))</f>
        <v/>
      </c>
      <c r="AG205" s="108" t="n"/>
      <c r="AH205" s="109" t="n"/>
      <c r="AI205" s="105">
        <f>IF(OR(H205="",O205="",AH205&lt;&gt;""),"",O205-'THAM SO'!$B$8)</f>
        <v/>
      </c>
      <c r="AJ205" s="95">
        <f>IF(H205="","",IF(AH205&lt;&gt;"","Đã thanh lý",IF(AND(N205&lt;&gt;"",N205&gt;'THAM SO'!$B$8),"Chưa hiệu lực",IF(O205="","Đang thực hiện",IF(O205&lt;'THAM SO'!$B$8,IF(P205="Có","Đã tự gia hạn – kiểm tra","Quá hạn – chưa thanh lý"),IF(O205-'THAM SO'!$B$8&lt;='THAM SO'!$B$9,"Sắp hết hạn","Đang thực hiện"))))))</f>
        <v/>
      </c>
      <c r="AK205" s="106">
        <f>IF(AND(O205="",AH205=""),"",EDATE(MAX(N(O205),N(AH205)),12*'THAM SO'!$B$12))</f>
        <v/>
      </c>
      <c r="AL205" s="110" t="n"/>
    </row>
    <row r="206" ht="15" customHeight="1" s="64">
      <c r="A206" s="93">
        <f>IF(H206="","",COUNTA($H$9:H206))</f>
        <v/>
      </c>
      <c r="B206" s="93">
        <f>IF(OR(D206="",G206=""),"",YEAR(G206)&amp;"/"&amp;D206&amp;"/"&amp;TEXT(SUMPRODUCT(($D$9:D206=D206)*(YEAR($G$9:G206)=YEAR(G206))),"000")&amp;"-"&amp;'THAM SO'!$B$7)</f>
        <v/>
      </c>
      <c r="C206" s="107" t="n"/>
      <c r="D206" s="107" t="n"/>
      <c r="E206" s="95">
        <f>IF(D206="","",IFERROR(VLOOKUP(D206,'THAM SO'!$D$6:$E$40,2,FALSE()),"Mã loại chưa khai báo"))</f>
        <v/>
      </c>
      <c r="F206" s="108" t="n"/>
      <c r="G206" s="109" t="n"/>
      <c r="H206" s="110" t="n"/>
      <c r="I206" s="108" t="n"/>
      <c r="J206" s="110" t="n"/>
      <c r="K206" s="108" t="n"/>
      <c r="L206" s="108" t="n"/>
      <c r="M206" s="108" t="n"/>
      <c r="N206" s="109" t="n"/>
      <c r="O206" s="109" t="n"/>
      <c r="P206" s="107" t="n"/>
      <c r="Q206" s="107" t="n"/>
      <c r="R206" s="111" t="n"/>
      <c r="S206" s="112" t="n"/>
      <c r="T206" s="113" t="n"/>
      <c r="U206" s="102">
        <f>IF(S206="","",ROUND(S206*N(T206),2))</f>
        <v/>
      </c>
      <c r="V206" s="102">
        <f>IF(S206="","",S206+U206)</f>
        <v/>
      </c>
      <c r="W206" s="103">
        <f>IF(V206="","",ROUND(V206*IF(OR(Q206="",Q206="VND"),1,R206),0))</f>
        <v/>
      </c>
      <c r="X206" s="111" t="n"/>
      <c r="Y206" s="103">
        <f>IF(W206="","",W206+N(X206))</f>
        <v/>
      </c>
      <c r="Z206" s="103">
        <f>IF(B206="","",SUMIFS('NHAT KY THANH TOAN'!$G:$G,'NHAT KY THANH TOAN'!$B:$B,B206,'NHAT KY THANH TOAN'!$D:$D,"Hóa đơn"))</f>
        <v/>
      </c>
      <c r="AA206" s="103">
        <f>IF(B206="","",SUMIFS('NHAT KY THANH TOAN'!$G:$G,'NHAT KY THANH TOAN'!$B:$B,B206,'NHAT KY THANH TOAN'!$D:$D,"Thanh toán"))</f>
        <v/>
      </c>
      <c r="AB206" s="103">
        <f>IF(Y206="","",Y206-N(AA206))</f>
        <v/>
      </c>
      <c r="AC206" s="103">
        <f>IF(B206="","",N(Z206)-N(AA206))</f>
        <v/>
      </c>
      <c r="AD206" s="104">
        <f>IF(N(Y206)=0,"",N(AA206)/Y206)</f>
        <v/>
      </c>
      <c r="AE206" s="107" t="n"/>
      <c r="AF206" s="95">
        <f>IF(H206="","",TRIM(IF(AND(N(Y206)&gt;='THAM SO'!$B$10,AE206&lt;&gt;"Có"),"Chưa rà soát pháp lý; ","")&amp;IF(I206="","Thiếu MST đối tác; ","")&amp;IF(AG206="","Chưa ghi nơi lưu bản gốc; ","")&amp;IF(COUNTIFS('NHAT KY THANH TOAN'!$B:$B,B206,'NHAT KY THANH TOAN'!$D:$D,"Thanh toán",'NHAT KY THANH TOAN'!$F:$F,"Tiền mặt",'NHAT KY THANH TOAN'!$G:$G,"&gt;="&amp;'THAM SO'!$B$11)&gt;0,"Có khoản TT tiền mặt ≥ ngưỡng; ","")&amp;IF(AND(AB206&lt;&gt;"",N(AB206)&lt;0),"Thanh toán vượt giá trị HĐ; ","")))</f>
        <v/>
      </c>
      <c r="AG206" s="108" t="n"/>
      <c r="AH206" s="109" t="n"/>
      <c r="AI206" s="105">
        <f>IF(OR(H206="",O206="",AH206&lt;&gt;""),"",O206-'THAM SO'!$B$8)</f>
        <v/>
      </c>
      <c r="AJ206" s="95">
        <f>IF(H206="","",IF(AH206&lt;&gt;"","Đã thanh lý",IF(AND(N206&lt;&gt;"",N206&gt;'THAM SO'!$B$8),"Chưa hiệu lực",IF(O206="","Đang thực hiện",IF(O206&lt;'THAM SO'!$B$8,IF(P206="Có","Đã tự gia hạn – kiểm tra","Quá hạn – chưa thanh lý"),IF(O206-'THAM SO'!$B$8&lt;='THAM SO'!$B$9,"Sắp hết hạn","Đang thực hiện"))))))</f>
        <v/>
      </c>
      <c r="AK206" s="106">
        <f>IF(AND(O206="",AH206=""),"",EDATE(MAX(N(O206),N(AH206)),12*'THAM SO'!$B$12))</f>
        <v/>
      </c>
      <c r="AL206" s="110" t="n"/>
    </row>
    <row r="207" ht="15" customHeight="1" s="64">
      <c r="A207" s="93">
        <f>IF(H207="","",COUNTA($H$9:H207))</f>
        <v/>
      </c>
      <c r="B207" s="93">
        <f>IF(OR(D207="",G207=""),"",YEAR(G207)&amp;"/"&amp;D207&amp;"/"&amp;TEXT(SUMPRODUCT(($D$9:D207=D207)*(YEAR($G$9:G207)=YEAR(G207))),"000")&amp;"-"&amp;'THAM SO'!$B$7)</f>
        <v/>
      </c>
      <c r="C207" s="107" t="n"/>
      <c r="D207" s="107" t="n"/>
      <c r="E207" s="95">
        <f>IF(D207="","",IFERROR(VLOOKUP(D207,'THAM SO'!$D$6:$E$40,2,FALSE()),"Mã loại chưa khai báo"))</f>
        <v/>
      </c>
      <c r="F207" s="108" t="n"/>
      <c r="G207" s="109" t="n"/>
      <c r="H207" s="110" t="n"/>
      <c r="I207" s="108" t="n"/>
      <c r="J207" s="110" t="n"/>
      <c r="K207" s="108" t="n"/>
      <c r="L207" s="108" t="n"/>
      <c r="M207" s="108" t="n"/>
      <c r="N207" s="109" t="n"/>
      <c r="O207" s="109" t="n"/>
      <c r="P207" s="107" t="n"/>
      <c r="Q207" s="107" t="n"/>
      <c r="R207" s="111" t="n"/>
      <c r="S207" s="112" t="n"/>
      <c r="T207" s="113" t="n"/>
      <c r="U207" s="102">
        <f>IF(S207="","",ROUND(S207*N(T207),2))</f>
        <v/>
      </c>
      <c r="V207" s="102">
        <f>IF(S207="","",S207+U207)</f>
        <v/>
      </c>
      <c r="W207" s="103">
        <f>IF(V207="","",ROUND(V207*IF(OR(Q207="",Q207="VND"),1,R207),0))</f>
        <v/>
      </c>
      <c r="X207" s="111" t="n"/>
      <c r="Y207" s="103">
        <f>IF(W207="","",W207+N(X207))</f>
        <v/>
      </c>
      <c r="Z207" s="103">
        <f>IF(B207="","",SUMIFS('NHAT KY THANH TOAN'!$G:$G,'NHAT KY THANH TOAN'!$B:$B,B207,'NHAT KY THANH TOAN'!$D:$D,"Hóa đơn"))</f>
        <v/>
      </c>
      <c r="AA207" s="103">
        <f>IF(B207="","",SUMIFS('NHAT KY THANH TOAN'!$G:$G,'NHAT KY THANH TOAN'!$B:$B,B207,'NHAT KY THANH TOAN'!$D:$D,"Thanh toán"))</f>
        <v/>
      </c>
      <c r="AB207" s="103">
        <f>IF(Y207="","",Y207-N(AA207))</f>
        <v/>
      </c>
      <c r="AC207" s="103">
        <f>IF(B207="","",N(Z207)-N(AA207))</f>
        <v/>
      </c>
      <c r="AD207" s="104">
        <f>IF(N(Y207)=0,"",N(AA207)/Y207)</f>
        <v/>
      </c>
      <c r="AE207" s="107" t="n"/>
      <c r="AF207" s="95">
        <f>IF(H207="","",TRIM(IF(AND(N(Y207)&gt;='THAM SO'!$B$10,AE207&lt;&gt;"Có"),"Chưa rà soát pháp lý; ","")&amp;IF(I207="","Thiếu MST đối tác; ","")&amp;IF(AG207="","Chưa ghi nơi lưu bản gốc; ","")&amp;IF(COUNTIFS('NHAT KY THANH TOAN'!$B:$B,B207,'NHAT KY THANH TOAN'!$D:$D,"Thanh toán",'NHAT KY THANH TOAN'!$F:$F,"Tiền mặt",'NHAT KY THANH TOAN'!$G:$G,"&gt;="&amp;'THAM SO'!$B$11)&gt;0,"Có khoản TT tiền mặt ≥ ngưỡng; ","")&amp;IF(AND(AB207&lt;&gt;"",N(AB207)&lt;0),"Thanh toán vượt giá trị HĐ; ","")))</f>
        <v/>
      </c>
      <c r="AG207" s="108" t="n"/>
      <c r="AH207" s="109" t="n"/>
      <c r="AI207" s="105">
        <f>IF(OR(H207="",O207="",AH207&lt;&gt;""),"",O207-'THAM SO'!$B$8)</f>
        <v/>
      </c>
      <c r="AJ207" s="95">
        <f>IF(H207="","",IF(AH207&lt;&gt;"","Đã thanh lý",IF(AND(N207&lt;&gt;"",N207&gt;'THAM SO'!$B$8),"Chưa hiệu lực",IF(O207="","Đang thực hiện",IF(O207&lt;'THAM SO'!$B$8,IF(P207="Có","Đã tự gia hạn – kiểm tra","Quá hạn – chưa thanh lý"),IF(O207-'THAM SO'!$B$8&lt;='THAM SO'!$B$9,"Sắp hết hạn","Đang thực hiện"))))))</f>
        <v/>
      </c>
      <c r="AK207" s="106">
        <f>IF(AND(O207="",AH207=""),"",EDATE(MAX(N(O207),N(AH207)),12*'THAM SO'!$B$12))</f>
        <v/>
      </c>
      <c r="AL207" s="110" t="n"/>
    </row>
    <row r="208" ht="15" customHeight="1" s="64">
      <c r="A208" s="93">
        <f>IF(H208="","",COUNTA($H$9:H208))</f>
        <v/>
      </c>
      <c r="B208" s="93">
        <f>IF(OR(D208="",G208=""),"",YEAR(G208)&amp;"/"&amp;D208&amp;"/"&amp;TEXT(SUMPRODUCT(($D$9:D208=D208)*(YEAR($G$9:G208)=YEAR(G208))),"000")&amp;"-"&amp;'THAM SO'!$B$7)</f>
        <v/>
      </c>
      <c r="C208" s="107" t="n"/>
      <c r="D208" s="107" t="n"/>
      <c r="E208" s="95">
        <f>IF(D208="","",IFERROR(VLOOKUP(D208,'THAM SO'!$D$6:$E$40,2,FALSE()),"Mã loại chưa khai báo"))</f>
        <v/>
      </c>
      <c r="F208" s="108" t="n"/>
      <c r="G208" s="109" t="n"/>
      <c r="H208" s="110" t="n"/>
      <c r="I208" s="108" t="n"/>
      <c r="J208" s="110" t="n"/>
      <c r="K208" s="108" t="n"/>
      <c r="L208" s="108" t="n"/>
      <c r="M208" s="108" t="n"/>
      <c r="N208" s="109" t="n"/>
      <c r="O208" s="109" t="n"/>
      <c r="P208" s="107" t="n"/>
      <c r="Q208" s="107" t="n"/>
      <c r="R208" s="111" t="n"/>
      <c r="S208" s="112" t="n"/>
      <c r="T208" s="113" t="n"/>
      <c r="U208" s="102">
        <f>IF(S208="","",ROUND(S208*N(T208),2))</f>
        <v/>
      </c>
      <c r="V208" s="102">
        <f>IF(S208="","",S208+U208)</f>
        <v/>
      </c>
      <c r="W208" s="103">
        <f>IF(V208="","",ROUND(V208*IF(OR(Q208="",Q208="VND"),1,R208),0))</f>
        <v/>
      </c>
      <c r="X208" s="111" t="n"/>
      <c r="Y208" s="103">
        <f>IF(W208="","",W208+N(X208))</f>
        <v/>
      </c>
      <c r="Z208" s="103">
        <f>IF(B208="","",SUMIFS('NHAT KY THANH TOAN'!$G:$G,'NHAT KY THANH TOAN'!$B:$B,B208,'NHAT KY THANH TOAN'!$D:$D,"Hóa đơn"))</f>
        <v/>
      </c>
      <c r="AA208" s="103">
        <f>IF(B208="","",SUMIFS('NHAT KY THANH TOAN'!$G:$G,'NHAT KY THANH TOAN'!$B:$B,B208,'NHAT KY THANH TOAN'!$D:$D,"Thanh toán"))</f>
        <v/>
      </c>
      <c r="AB208" s="103">
        <f>IF(Y208="","",Y208-N(AA208))</f>
        <v/>
      </c>
      <c r="AC208" s="103">
        <f>IF(B208="","",N(Z208)-N(AA208))</f>
        <v/>
      </c>
      <c r="AD208" s="104">
        <f>IF(N(Y208)=0,"",N(AA208)/Y208)</f>
        <v/>
      </c>
      <c r="AE208" s="107" t="n"/>
      <c r="AF208" s="95">
        <f>IF(H208="","",TRIM(IF(AND(N(Y208)&gt;='THAM SO'!$B$10,AE208&lt;&gt;"Có"),"Chưa rà soát pháp lý; ","")&amp;IF(I208="","Thiếu MST đối tác; ","")&amp;IF(AG208="","Chưa ghi nơi lưu bản gốc; ","")&amp;IF(COUNTIFS('NHAT KY THANH TOAN'!$B:$B,B208,'NHAT KY THANH TOAN'!$D:$D,"Thanh toán",'NHAT KY THANH TOAN'!$F:$F,"Tiền mặt",'NHAT KY THANH TOAN'!$G:$G,"&gt;="&amp;'THAM SO'!$B$11)&gt;0,"Có khoản TT tiền mặt ≥ ngưỡng; ","")&amp;IF(AND(AB208&lt;&gt;"",N(AB208)&lt;0),"Thanh toán vượt giá trị HĐ; ","")))</f>
        <v/>
      </c>
      <c r="AG208" s="108" t="n"/>
      <c r="AH208" s="109" t="n"/>
      <c r="AI208" s="105">
        <f>IF(OR(H208="",O208="",AH208&lt;&gt;""),"",O208-'THAM SO'!$B$8)</f>
        <v/>
      </c>
      <c r="AJ208" s="95">
        <f>IF(H208="","",IF(AH208&lt;&gt;"","Đã thanh lý",IF(AND(N208&lt;&gt;"",N208&gt;'THAM SO'!$B$8),"Chưa hiệu lực",IF(O208="","Đang thực hiện",IF(O208&lt;'THAM SO'!$B$8,IF(P208="Có","Đã tự gia hạn – kiểm tra","Quá hạn – chưa thanh lý"),IF(O208-'THAM SO'!$B$8&lt;='THAM SO'!$B$9,"Sắp hết hạn","Đang thực hiện"))))))</f>
        <v/>
      </c>
      <c r="AK208" s="106">
        <f>IF(AND(O208="",AH208=""),"",EDATE(MAX(N(O208),N(AH208)),12*'THAM SO'!$B$12))</f>
        <v/>
      </c>
      <c r="AL208" s="110" t="n"/>
    </row>
    <row r="209" ht="15" customHeight="1" s="64">
      <c r="A209" s="93">
        <f>IF(H209="","",COUNTA($H$9:H209))</f>
        <v/>
      </c>
      <c r="B209" s="93">
        <f>IF(OR(D209="",G209=""),"",YEAR(G209)&amp;"/"&amp;D209&amp;"/"&amp;TEXT(SUMPRODUCT(($D$9:D209=D209)*(YEAR($G$9:G209)=YEAR(G209))),"000")&amp;"-"&amp;'THAM SO'!$B$7)</f>
        <v/>
      </c>
      <c r="C209" s="107" t="n"/>
      <c r="D209" s="107" t="n"/>
      <c r="E209" s="95">
        <f>IF(D209="","",IFERROR(VLOOKUP(D209,'THAM SO'!$D$6:$E$40,2,FALSE()),"Mã loại chưa khai báo"))</f>
        <v/>
      </c>
      <c r="F209" s="108" t="n"/>
      <c r="G209" s="109" t="n"/>
      <c r="H209" s="110" t="n"/>
      <c r="I209" s="108" t="n"/>
      <c r="J209" s="110" t="n"/>
      <c r="K209" s="108" t="n"/>
      <c r="L209" s="108" t="n"/>
      <c r="M209" s="108" t="n"/>
      <c r="N209" s="109" t="n"/>
      <c r="O209" s="109" t="n"/>
      <c r="P209" s="107" t="n"/>
      <c r="Q209" s="107" t="n"/>
      <c r="R209" s="111" t="n"/>
      <c r="S209" s="112" t="n"/>
      <c r="T209" s="113" t="n"/>
      <c r="U209" s="102">
        <f>IF(S209="","",ROUND(S209*N(T209),2))</f>
        <v/>
      </c>
      <c r="V209" s="102">
        <f>IF(S209="","",S209+U209)</f>
        <v/>
      </c>
      <c r="W209" s="103">
        <f>IF(V209="","",ROUND(V209*IF(OR(Q209="",Q209="VND"),1,R209),0))</f>
        <v/>
      </c>
      <c r="X209" s="111" t="n"/>
      <c r="Y209" s="103">
        <f>IF(W209="","",W209+N(X209))</f>
        <v/>
      </c>
      <c r="Z209" s="103">
        <f>IF(B209="","",SUMIFS('NHAT KY THANH TOAN'!$G:$G,'NHAT KY THANH TOAN'!$B:$B,B209,'NHAT KY THANH TOAN'!$D:$D,"Hóa đơn"))</f>
        <v/>
      </c>
      <c r="AA209" s="103">
        <f>IF(B209="","",SUMIFS('NHAT KY THANH TOAN'!$G:$G,'NHAT KY THANH TOAN'!$B:$B,B209,'NHAT KY THANH TOAN'!$D:$D,"Thanh toán"))</f>
        <v/>
      </c>
      <c r="AB209" s="103">
        <f>IF(Y209="","",Y209-N(AA209))</f>
        <v/>
      </c>
      <c r="AC209" s="103">
        <f>IF(B209="","",N(Z209)-N(AA209))</f>
        <v/>
      </c>
      <c r="AD209" s="104">
        <f>IF(N(Y209)=0,"",N(AA209)/Y209)</f>
        <v/>
      </c>
      <c r="AE209" s="107" t="n"/>
      <c r="AF209" s="95">
        <f>IF(H209="","",TRIM(IF(AND(N(Y209)&gt;='THAM SO'!$B$10,AE209&lt;&gt;"Có"),"Chưa rà soát pháp lý; ","")&amp;IF(I209="","Thiếu MST đối tác; ","")&amp;IF(AG209="","Chưa ghi nơi lưu bản gốc; ","")&amp;IF(COUNTIFS('NHAT KY THANH TOAN'!$B:$B,B209,'NHAT KY THANH TOAN'!$D:$D,"Thanh toán",'NHAT KY THANH TOAN'!$F:$F,"Tiền mặt",'NHAT KY THANH TOAN'!$G:$G,"&gt;="&amp;'THAM SO'!$B$11)&gt;0,"Có khoản TT tiền mặt ≥ ngưỡng; ","")&amp;IF(AND(AB209&lt;&gt;"",N(AB209)&lt;0),"Thanh toán vượt giá trị HĐ; ","")))</f>
        <v/>
      </c>
      <c r="AG209" s="108" t="n"/>
      <c r="AH209" s="109" t="n"/>
      <c r="AI209" s="105">
        <f>IF(OR(H209="",O209="",AH209&lt;&gt;""),"",O209-'THAM SO'!$B$8)</f>
        <v/>
      </c>
      <c r="AJ209" s="95">
        <f>IF(H209="","",IF(AH209&lt;&gt;"","Đã thanh lý",IF(AND(N209&lt;&gt;"",N209&gt;'THAM SO'!$B$8),"Chưa hiệu lực",IF(O209="","Đang thực hiện",IF(O209&lt;'THAM SO'!$B$8,IF(P209="Có","Đã tự gia hạn – kiểm tra","Quá hạn – chưa thanh lý"),IF(O209-'THAM SO'!$B$8&lt;='THAM SO'!$B$9,"Sắp hết hạn","Đang thực hiện"))))))</f>
        <v/>
      </c>
      <c r="AK209" s="106">
        <f>IF(AND(O209="",AH209=""),"",EDATE(MAX(N(O209),N(AH209)),12*'THAM SO'!$B$12))</f>
        <v/>
      </c>
      <c r="AL209" s="110" t="n"/>
    </row>
    <row r="210" ht="15" customHeight="1" s="64">
      <c r="A210" s="93">
        <f>IF(H210="","",COUNTA($H$9:H210))</f>
        <v/>
      </c>
      <c r="B210" s="93">
        <f>IF(OR(D210="",G210=""),"",YEAR(G210)&amp;"/"&amp;D210&amp;"/"&amp;TEXT(SUMPRODUCT(($D$9:D210=D210)*(YEAR($G$9:G210)=YEAR(G210))),"000")&amp;"-"&amp;'THAM SO'!$B$7)</f>
        <v/>
      </c>
      <c r="C210" s="107" t="n"/>
      <c r="D210" s="107" t="n"/>
      <c r="E210" s="95">
        <f>IF(D210="","",IFERROR(VLOOKUP(D210,'THAM SO'!$D$6:$E$40,2,FALSE()),"Mã loại chưa khai báo"))</f>
        <v/>
      </c>
      <c r="F210" s="108" t="n"/>
      <c r="G210" s="109" t="n"/>
      <c r="H210" s="110" t="n"/>
      <c r="I210" s="108" t="n"/>
      <c r="J210" s="110" t="n"/>
      <c r="K210" s="108" t="n"/>
      <c r="L210" s="108" t="n"/>
      <c r="M210" s="108" t="n"/>
      <c r="N210" s="109" t="n"/>
      <c r="O210" s="109" t="n"/>
      <c r="P210" s="107" t="n"/>
      <c r="Q210" s="107" t="n"/>
      <c r="R210" s="111" t="n"/>
      <c r="S210" s="112" t="n"/>
      <c r="T210" s="113" t="n"/>
      <c r="U210" s="102">
        <f>IF(S210="","",ROUND(S210*N(T210),2))</f>
        <v/>
      </c>
      <c r="V210" s="102">
        <f>IF(S210="","",S210+U210)</f>
        <v/>
      </c>
      <c r="W210" s="103">
        <f>IF(V210="","",ROUND(V210*IF(OR(Q210="",Q210="VND"),1,R210),0))</f>
        <v/>
      </c>
      <c r="X210" s="111" t="n"/>
      <c r="Y210" s="103">
        <f>IF(W210="","",W210+N(X210))</f>
        <v/>
      </c>
      <c r="Z210" s="103">
        <f>IF(B210="","",SUMIFS('NHAT KY THANH TOAN'!$G:$G,'NHAT KY THANH TOAN'!$B:$B,B210,'NHAT KY THANH TOAN'!$D:$D,"Hóa đơn"))</f>
        <v/>
      </c>
      <c r="AA210" s="103">
        <f>IF(B210="","",SUMIFS('NHAT KY THANH TOAN'!$G:$G,'NHAT KY THANH TOAN'!$B:$B,B210,'NHAT KY THANH TOAN'!$D:$D,"Thanh toán"))</f>
        <v/>
      </c>
      <c r="AB210" s="103">
        <f>IF(Y210="","",Y210-N(AA210))</f>
        <v/>
      </c>
      <c r="AC210" s="103">
        <f>IF(B210="","",N(Z210)-N(AA210))</f>
        <v/>
      </c>
      <c r="AD210" s="104">
        <f>IF(N(Y210)=0,"",N(AA210)/Y210)</f>
        <v/>
      </c>
      <c r="AE210" s="107" t="n"/>
      <c r="AF210" s="95">
        <f>IF(H210="","",TRIM(IF(AND(N(Y210)&gt;='THAM SO'!$B$10,AE210&lt;&gt;"Có"),"Chưa rà soát pháp lý; ","")&amp;IF(I210="","Thiếu MST đối tác; ","")&amp;IF(AG210="","Chưa ghi nơi lưu bản gốc; ","")&amp;IF(COUNTIFS('NHAT KY THANH TOAN'!$B:$B,B210,'NHAT KY THANH TOAN'!$D:$D,"Thanh toán",'NHAT KY THANH TOAN'!$F:$F,"Tiền mặt",'NHAT KY THANH TOAN'!$G:$G,"&gt;="&amp;'THAM SO'!$B$11)&gt;0,"Có khoản TT tiền mặt ≥ ngưỡng; ","")&amp;IF(AND(AB210&lt;&gt;"",N(AB210)&lt;0),"Thanh toán vượt giá trị HĐ; ","")))</f>
        <v/>
      </c>
      <c r="AG210" s="108" t="n"/>
      <c r="AH210" s="109" t="n"/>
      <c r="AI210" s="105">
        <f>IF(OR(H210="",O210="",AH210&lt;&gt;""),"",O210-'THAM SO'!$B$8)</f>
        <v/>
      </c>
      <c r="AJ210" s="95">
        <f>IF(H210="","",IF(AH210&lt;&gt;"","Đã thanh lý",IF(AND(N210&lt;&gt;"",N210&gt;'THAM SO'!$B$8),"Chưa hiệu lực",IF(O210="","Đang thực hiện",IF(O210&lt;'THAM SO'!$B$8,IF(P210="Có","Đã tự gia hạn – kiểm tra","Quá hạn – chưa thanh lý"),IF(O210-'THAM SO'!$B$8&lt;='THAM SO'!$B$9,"Sắp hết hạn","Đang thực hiện"))))))</f>
        <v/>
      </c>
      <c r="AK210" s="106">
        <f>IF(AND(O210="",AH210=""),"",EDATE(MAX(N(O210),N(AH210)),12*'THAM SO'!$B$12))</f>
        <v/>
      </c>
      <c r="AL210" s="110" t="n"/>
    </row>
    <row r="211" ht="15" customHeight="1" s="64">
      <c r="A211" s="93">
        <f>IF(H211="","",COUNTA($H$9:H211))</f>
        <v/>
      </c>
      <c r="B211" s="93">
        <f>IF(OR(D211="",G211=""),"",YEAR(G211)&amp;"/"&amp;D211&amp;"/"&amp;TEXT(SUMPRODUCT(($D$9:D211=D211)*(YEAR($G$9:G211)=YEAR(G211))),"000")&amp;"-"&amp;'THAM SO'!$B$7)</f>
        <v/>
      </c>
      <c r="C211" s="107" t="n"/>
      <c r="D211" s="107" t="n"/>
      <c r="E211" s="95">
        <f>IF(D211="","",IFERROR(VLOOKUP(D211,'THAM SO'!$D$6:$E$40,2,FALSE()),"Mã loại chưa khai báo"))</f>
        <v/>
      </c>
      <c r="F211" s="108" t="n"/>
      <c r="G211" s="109" t="n"/>
      <c r="H211" s="110" t="n"/>
      <c r="I211" s="108" t="n"/>
      <c r="J211" s="110" t="n"/>
      <c r="K211" s="108" t="n"/>
      <c r="L211" s="108" t="n"/>
      <c r="M211" s="108" t="n"/>
      <c r="N211" s="109" t="n"/>
      <c r="O211" s="109" t="n"/>
      <c r="P211" s="107" t="n"/>
      <c r="Q211" s="107" t="n"/>
      <c r="R211" s="111" t="n"/>
      <c r="S211" s="112" t="n"/>
      <c r="T211" s="113" t="n"/>
      <c r="U211" s="102">
        <f>IF(S211="","",ROUND(S211*N(T211),2))</f>
        <v/>
      </c>
      <c r="V211" s="102">
        <f>IF(S211="","",S211+U211)</f>
        <v/>
      </c>
      <c r="W211" s="103">
        <f>IF(V211="","",ROUND(V211*IF(OR(Q211="",Q211="VND"),1,R211),0))</f>
        <v/>
      </c>
      <c r="X211" s="111" t="n"/>
      <c r="Y211" s="103">
        <f>IF(W211="","",W211+N(X211))</f>
        <v/>
      </c>
      <c r="Z211" s="103">
        <f>IF(B211="","",SUMIFS('NHAT KY THANH TOAN'!$G:$G,'NHAT KY THANH TOAN'!$B:$B,B211,'NHAT KY THANH TOAN'!$D:$D,"Hóa đơn"))</f>
        <v/>
      </c>
      <c r="AA211" s="103">
        <f>IF(B211="","",SUMIFS('NHAT KY THANH TOAN'!$G:$G,'NHAT KY THANH TOAN'!$B:$B,B211,'NHAT KY THANH TOAN'!$D:$D,"Thanh toán"))</f>
        <v/>
      </c>
      <c r="AB211" s="103">
        <f>IF(Y211="","",Y211-N(AA211))</f>
        <v/>
      </c>
      <c r="AC211" s="103">
        <f>IF(B211="","",N(Z211)-N(AA211))</f>
        <v/>
      </c>
      <c r="AD211" s="104">
        <f>IF(N(Y211)=0,"",N(AA211)/Y211)</f>
        <v/>
      </c>
      <c r="AE211" s="107" t="n"/>
      <c r="AF211" s="95">
        <f>IF(H211="","",TRIM(IF(AND(N(Y211)&gt;='THAM SO'!$B$10,AE211&lt;&gt;"Có"),"Chưa rà soát pháp lý; ","")&amp;IF(I211="","Thiếu MST đối tác; ","")&amp;IF(AG211="","Chưa ghi nơi lưu bản gốc; ","")&amp;IF(COUNTIFS('NHAT KY THANH TOAN'!$B:$B,B211,'NHAT KY THANH TOAN'!$D:$D,"Thanh toán",'NHAT KY THANH TOAN'!$F:$F,"Tiền mặt",'NHAT KY THANH TOAN'!$G:$G,"&gt;="&amp;'THAM SO'!$B$11)&gt;0,"Có khoản TT tiền mặt ≥ ngưỡng; ","")&amp;IF(AND(AB211&lt;&gt;"",N(AB211)&lt;0),"Thanh toán vượt giá trị HĐ; ","")))</f>
        <v/>
      </c>
      <c r="AG211" s="108" t="n"/>
      <c r="AH211" s="109" t="n"/>
      <c r="AI211" s="105">
        <f>IF(OR(H211="",O211="",AH211&lt;&gt;""),"",O211-'THAM SO'!$B$8)</f>
        <v/>
      </c>
      <c r="AJ211" s="95">
        <f>IF(H211="","",IF(AH211&lt;&gt;"","Đã thanh lý",IF(AND(N211&lt;&gt;"",N211&gt;'THAM SO'!$B$8),"Chưa hiệu lực",IF(O211="","Đang thực hiện",IF(O211&lt;'THAM SO'!$B$8,IF(P211="Có","Đã tự gia hạn – kiểm tra","Quá hạn – chưa thanh lý"),IF(O211-'THAM SO'!$B$8&lt;='THAM SO'!$B$9,"Sắp hết hạn","Đang thực hiện"))))))</f>
        <v/>
      </c>
      <c r="AK211" s="106">
        <f>IF(AND(O211="",AH211=""),"",EDATE(MAX(N(O211),N(AH211)),12*'THAM SO'!$B$12))</f>
        <v/>
      </c>
      <c r="AL211" s="110" t="n"/>
    </row>
    <row r="212" ht="15" customHeight="1" s="64">
      <c r="A212" s="93">
        <f>IF(H212="","",COUNTA($H$9:H212))</f>
        <v/>
      </c>
      <c r="B212" s="93">
        <f>IF(OR(D212="",G212=""),"",YEAR(G212)&amp;"/"&amp;D212&amp;"/"&amp;TEXT(SUMPRODUCT(($D$9:D212=D212)*(YEAR($G$9:G212)=YEAR(G212))),"000")&amp;"-"&amp;'THAM SO'!$B$7)</f>
        <v/>
      </c>
      <c r="C212" s="107" t="n"/>
      <c r="D212" s="107" t="n"/>
      <c r="E212" s="95">
        <f>IF(D212="","",IFERROR(VLOOKUP(D212,'THAM SO'!$D$6:$E$40,2,FALSE()),"Mã loại chưa khai báo"))</f>
        <v/>
      </c>
      <c r="F212" s="108" t="n"/>
      <c r="G212" s="109" t="n"/>
      <c r="H212" s="110" t="n"/>
      <c r="I212" s="108" t="n"/>
      <c r="J212" s="110" t="n"/>
      <c r="K212" s="108" t="n"/>
      <c r="L212" s="108" t="n"/>
      <c r="M212" s="108" t="n"/>
      <c r="N212" s="109" t="n"/>
      <c r="O212" s="109" t="n"/>
      <c r="P212" s="107" t="n"/>
      <c r="Q212" s="107" t="n"/>
      <c r="R212" s="111" t="n"/>
      <c r="S212" s="112" t="n"/>
      <c r="T212" s="113" t="n"/>
      <c r="U212" s="102">
        <f>IF(S212="","",ROUND(S212*N(T212),2))</f>
        <v/>
      </c>
      <c r="V212" s="102">
        <f>IF(S212="","",S212+U212)</f>
        <v/>
      </c>
      <c r="W212" s="103">
        <f>IF(V212="","",ROUND(V212*IF(OR(Q212="",Q212="VND"),1,R212),0))</f>
        <v/>
      </c>
      <c r="X212" s="111" t="n"/>
      <c r="Y212" s="103">
        <f>IF(W212="","",W212+N(X212))</f>
        <v/>
      </c>
      <c r="Z212" s="103">
        <f>IF(B212="","",SUMIFS('NHAT KY THANH TOAN'!$G:$G,'NHAT KY THANH TOAN'!$B:$B,B212,'NHAT KY THANH TOAN'!$D:$D,"Hóa đơn"))</f>
        <v/>
      </c>
      <c r="AA212" s="103">
        <f>IF(B212="","",SUMIFS('NHAT KY THANH TOAN'!$G:$G,'NHAT KY THANH TOAN'!$B:$B,B212,'NHAT KY THANH TOAN'!$D:$D,"Thanh toán"))</f>
        <v/>
      </c>
      <c r="AB212" s="103">
        <f>IF(Y212="","",Y212-N(AA212))</f>
        <v/>
      </c>
      <c r="AC212" s="103">
        <f>IF(B212="","",N(Z212)-N(AA212))</f>
        <v/>
      </c>
      <c r="AD212" s="104">
        <f>IF(N(Y212)=0,"",N(AA212)/Y212)</f>
        <v/>
      </c>
      <c r="AE212" s="107" t="n"/>
      <c r="AF212" s="95">
        <f>IF(H212="","",TRIM(IF(AND(N(Y212)&gt;='THAM SO'!$B$10,AE212&lt;&gt;"Có"),"Chưa rà soát pháp lý; ","")&amp;IF(I212="","Thiếu MST đối tác; ","")&amp;IF(AG212="","Chưa ghi nơi lưu bản gốc; ","")&amp;IF(COUNTIFS('NHAT KY THANH TOAN'!$B:$B,B212,'NHAT KY THANH TOAN'!$D:$D,"Thanh toán",'NHAT KY THANH TOAN'!$F:$F,"Tiền mặt",'NHAT KY THANH TOAN'!$G:$G,"&gt;="&amp;'THAM SO'!$B$11)&gt;0,"Có khoản TT tiền mặt ≥ ngưỡng; ","")&amp;IF(AND(AB212&lt;&gt;"",N(AB212)&lt;0),"Thanh toán vượt giá trị HĐ; ","")))</f>
        <v/>
      </c>
      <c r="AG212" s="108" t="n"/>
      <c r="AH212" s="109" t="n"/>
      <c r="AI212" s="105">
        <f>IF(OR(H212="",O212="",AH212&lt;&gt;""),"",O212-'THAM SO'!$B$8)</f>
        <v/>
      </c>
      <c r="AJ212" s="95">
        <f>IF(H212="","",IF(AH212&lt;&gt;"","Đã thanh lý",IF(AND(N212&lt;&gt;"",N212&gt;'THAM SO'!$B$8),"Chưa hiệu lực",IF(O212="","Đang thực hiện",IF(O212&lt;'THAM SO'!$B$8,IF(P212="Có","Đã tự gia hạn – kiểm tra","Quá hạn – chưa thanh lý"),IF(O212-'THAM SO'!$B$8&lt;='THAM SO'!$B$9,"Sắp hết hạn","Đang thực hiện"))))))</f>
        <v/>
      </c>
      <c r="AK212" s="106">
        <f>IF(AND(O212="",AH212=""),"",EDATE(MAX(N(O212),N(AH212)),12*'THAM SO'!$B$12))</f>
        <v/>
      </c>
      <c r="AL212" s="110" t="n"/>
    </row>
    <row r="213" ht="15" customHeight="1" s="64">
      <c r="A213" s="93">
        <f>IF(H213="","",COUNTA($H$9:H213))</f>
        <v/>
      </c>
      <c r="B213" s="93">
        <f>IF(OR(D213="",G213=""),"",YEAR(G213)&amp;"/"&amp;D213&amp;"/"&amp;TEXT(SUMPRODUCT(($D$9:D213=D213)*(YEAR($G$9:G213)=YEAR(G213))),"000")&amp;"-"&amp;'THAM SO'!$B$7)</f>
        <v/>
      </c>
      <c r="C213" s="107" t="n"/>
      <c r="D213" s="107" t="n"/>
      <c r="E213" s="95">
        <f>IF(D213="","",IFERROR(VLOOKUP(D213,'THAM SO'!$D$6:$E$40,2,FALSE()),"Mã loại chưa khai báo"))</f>
        <v/>
      </c>
      <c r="F213" s="108" t="n"/>
      <c r="G213" s="109" t="n"/>
      <c r="H213" s="110" t="n"/>
      <c r="I213" s="108" t="n"/>
      <c r="J213" s="110" t="n"/>
      <c r="K213" s="108" t="n"/>
      <c r="L213" s="108" t="n"/>
      <c r="M213" s="108" t="n"/>
      <c r="N213" s="109" t="n"/>
      <c r="O213" s="109" t="n"/>
      <c r="P213" s="107" t="n"/>
      <c r="Q213" s="107" t="n"/>
      <c r="R213" s="111" t="n"/>
      <c r="S213" s="112" t="n"/>
      <c r="T213" s="113" t="n"/>
      <c r="U213" s="102">
        <f>IF(S213="","",ROUND(S213*N(T213),2))</f>
        <v/>
      </c>
      <c r="V213" s="102">
        <f>IF(S213="","",S213+U213)</f>
        <v/>
      </c>
      <c r="W213" s="103">
        <f>IF(V213="","",ROUND(V213*IF(OR(Q213="",Q213="VND"),1,R213),0))</f>
        <v/>
      </c>
      <c r="X213" s="111" t="n"/>
      <c r="Y213" s="103">
        <f>IF(W213="","",W213+N(X213))</f>
        <v/>
      </c>
      <c r="Z213" s="103">
        <f>IF(B213="","",SUMIFS('NHAT KY THANH TOAN'!$G:$G,'NHAT KY THANH TOAN'!$B:$B,B213,'NHAT KY THANH TOAN'!$D:$D,"Hóa đơn"))</f>
        <v/>
      </c>
      <c r="AA213" s="103">
        <f>IF(B213="","",SUMIFS('NHAT KY THANH TOAN'!$G:$G,'NHAT KY THANH TOAN'!$B:$B,B213,'NHAT KY THANH TOAN'!$D:$D,"Thanh toán"))</f>
        <v/>
      </c>
      <c r="AB213" s="103">
        <f>IF(Y213="","",Y213-N(AA213))</f>
        <v/>
      </c>
      <c r="AC213" s="103">
        <f>IF(B213="","",N(Z213)-N(AA213))</f>
        <v/>
      </c>
      <c r="AD213" s="104">
        <f>IF(N(Y213)=0,"",N(AA213)/Y213)</f>
        <v/>
      </c>
      <c r="AE213" s="107" t="n"/>
      <c r="AF213" s="95">
        <f>IF(H213="","",TRIM(IF(AND(N(Y213)&gt;='THAM SO'!$B$10,AE213&lt;&gt;"Có"),"Chưa rà soát pháp lý; ","")&amp;IF(I213="","Thiếu MST đối tác; ","")&amp;IF(AG213="","Chưa ghi nơi lưu bản gốc; ","")&amp;IF(COUNTIFS('NHAT KY THANH TOAN'!$B:$B,B213,'NHAT KY THANH TOAN'!$D:$D,"Thanh toán",'NHAT KY THANH TOAN'!$F:$F,"Tiền mặt",'NHAT KY THANH TOAN'!$G:$G,"&gt;="&amp;'THAM SO'!$B$11)&gt;0,"Có khoản TT tiền mặt ≥ ngưỡng; ","")&amp;IF(AND(AB213&lt;&gt;"",N(AB213)&lt;0),"Thanh toán vượt giá trị HĐ; ","")))</f>
        <v/>
      </c>
      <c r="AG213" s="108" t="n"/>
      <c r="AH213" s="109" t="n"/>
      <c r="AI213" s="105">
        <f>IF(OR(H213="",O213="",AH213&lt;&gt;""),"",O213-'THAM SO'!$B$8)</f>
        <v/>
      </c>
      <c r="AJ213" s="95">
        <f>IF(H213="","",IF(AH213&lt;&gt;"","Đã thanh lý",IF(AND(N213&lt;&gt;"",N213&gt;'THAM SO'!$B$8),"Chưa hiệu lực",IF(O213="","Đang thực hiện",IF(O213&lt;'THAM SO'!$B$8,IF(P213="Có","Đã tự gia hạn – kiểm tra","Quá hạn – chưa thanh lý"),IF(O213-'THAM SO'!$B$8&lt;='THAM SO'!$B$9,"Sắp hết hạn","Đang thực hiện"))))))</f>
        <v/>
      </c>
      <c r="AK213" s="106">
        <f>IF(AND(O213="",AH213=""),"",EDATE(MAX(N(O213),N(AH213)),12*'THAM SO'!$B$12))</f>
        <v/>
      </c>
      <c r="AL213" s="110" t="n"/>
    </row>
    <row r="214" ht="15" customHeight="1" s="64">
      <c r="A214" s="93">
        <f>IF(H214="","",COUNTA($H$9:H214))</f>
        <v/>
      </c>
      <c r="B214" s="93">
        <f>IF(OR(D214="",G214=""),"",YEAR(G214)&amp;"/"&amp;D214&amp;"/"&amp;TEXT(SUMPRODUCT(($D$9:D214=D214)*(YEAR($G$9:G214)=YEAR(G214))),"000")&amp;"-"&amp;'THAM SO'!$B$7)</f>
        <v/>
      </c>
      <c r="C214" s="107" t="n"/>
      <c r="D214" s="107" t="n"/>
      <c r="E214" s="95">
        <f>IF(D214="","",IFERROR(VLOOKUP(D214,'THAM SO'!$D$6:$E$40,2,FALSE()),"Mã loại chưa khai báo"))</f>
        <v/>
      </c>
      <c r="F214" s="108" t="n"/>
      <c r="G214" s="109" t="n"/>
      <c r="H214" s="110" t="n"/>
      <c r="I214" s="108" t="n"/>
      <c r="J214" s="110" t="n"/>
      <c r="K214" s="108" t="n"/>
      <c r="L214" s="108" t="n"/>
      <c r="M214" s="108" t="n"/>
      <c r="N214" s="109" t="n"/>
      <c r="O214" s="109" t="n"/>
      <c r="P214" s="107" t="n"/>
      <c r="Q214" s="107" t="n"/>
      <c r="R214" s="111" t="n"/>
      <c r="S214" s="112" t="n"/>
      <c r="T214" s="113" t="n"/>
      <c r="U214" s="102">
        <f>IF(S214="","",ROUND(S214*N(T214),2))</f>
        <v/>
      </c>
      <c r="V214" s="102">
        <f>IF(S214="","",S214+U214)</f>
        <v/>
      </c>
      <c r="W214" s="103">
        <f>IF(V214="","",ROUND(V214*IF(OR(Q214="",Q214="VND"),1,R214),0))</f>
        <v/>
      </c>
      <c r="X214" s="111" t="n"/>
      <c r="Y214" s="103">
        <f>IF(W214="","",W214+N(X214))</f>
        <v/>
      </c>
      <c r="Z214" s="103">
        <f>IF(B214="","",SUMIFS('NHAT KY THANH TOAN'!$G:$G,'NHAT KY THANH TOAN'!$B:$B,B214,'NHAT KY THANH TOAN'!$D:$D,"Hóa đơn"))</f>
        <v/>
      </c>
      <c r="AA214" s="103">
        <f>IF(B214="","",SUMIFS('NHAT KY THANH TOAN'!$G:$G,'NHAT KY THANH TOAN'!$B:$B,B214,'NHAT KY THANH TOAN'!$D:$D,"Thanh toán"))</f>
        <v/>
      </c>
      <c r="AB214" s="103">
        <f>IF(Y214="","",Y214-N(AA214))</f>
        <v/>
      </c>
      <c r="AC214" s="103">
        <f>IF(B214="","",N(Z214)-N(AA214))</f>
        <v/>
      </c>
      <c r="AD214" s="104">
        <f>IF(N(Y214)=0,"",N(AA214)/Y214)</f>
        <v/>
      </c>
      <c r="AE214" s="107" t="n"/>
      <c r="AF214" s="95">
        <f>IF(H214="","",TRIM(IF(AND(N(Y214)&gt;='THAM SO'!$B$10,AE214&lt;&gt;"Có"),"Chưa rà soát pháp lý; ","")&amp;IF(I214="","Thiếu MST đối tác; ","")&amp;IF(AG214="","Chưa ghi nơi lưu bản gốc; ","")&amp;IF(COUNTIFS('NHAT KY THANH TOAN'!$B:$B,B214,'NHAT KY THANH TOAN'!$D:$D,"Thanh toán",'NHAT KY THANH TOAN'!$F:$F,"Tiền mặt",'NHAT KY THANH TOAN'!$G:$G,"&gt;="&amp;'THAM SO'!$B$11)&gt;0,"Có khoản TT tiền mặt ≥ ngưỡng; ","")&amp;IF(AND(AB214&lt;&gt;"",N(AB214)&lt;0),"Thanh toán vượt giá trị HĐ; ","")))</f>
        <v/>
      </c>
      <c r="AG214" s="108" t="n"/>
      <c r="AH214" s="109" t="n"/>
      <c r="AI214" s="105">
        <f>IF(OR(H214="",O214="",AH214&lt;&gt;""),"",O214-'THAM SO'!$B$8)</f>
        <v/>
      </c>
      <c r="AJ214" s="95">
        <f>IF(H214="","",IF(AH214&lt;&gt;"","Đã thanh lý",IF(AND(N214&lt;&gt;"",N214&gt;'THAM SO'!$B$8),"Chưa hiệu lực",IF(O214="","Đang thực hiện",IF(O214&lt;'THAM SO'!$B$8,IF(P214="Có","Đã tự gia hạn – kiểm tra","Quá hạn – chưa thanh lý"),IF(O214-'THAM SO'!$B$8&lt;='THAM SO'!$B$9,"Sắp hết hạn","Đang thực hiện"))))))</f>
        <v/>
      </c>
      <c r="AK214" s="106">
        <f>IF(AND(O214="",AH214=""),"",EDATE(MAX(N(O214),N(AH214)),12*'THAM SO'!$B$12))</f>
        <v/>
      </c>
      <c r="AL214" s="110" t="n"/>
    </row>
    <row r="215" ht="15" customHeight="1" s="64">
      <c r="A215" s="93">
        <f>IF(H215="","",COUNTA($H$9:H215))</f>
        <v/>
      </c>
      <c r="B215" s="93">
        <f>IF(OR(D215="",G215=""),"",YEAR(G215)&amp;"/"&amp;D215&amp;"/"&amp;TEXT(SUMPRODUCT(($D$9:D215=D215)*(YEAR($G$9:G215)=YEAR(G215))),"000")&amp;"-"&amp;'THAM SO'!$B$7)</f>
        <v/>
      </c>
      <c r="C215" s="107" t="n"/>
      <c r="D215" s="107" t="n"/>
      <c r="E215" s="95">
        <f>IF(D215="","",IFERROR(VLOOKUP(D215,'THAM SO'!$D$6:$E$40,2,FALSE()),"Mã loại chưa khai báo"))</f>
        <v/>
      </c>
      <c r="F215" s="108" t="n"/>
      <c r="G215" s="109" t="n"/>
      <c r="H215" s="110" t="n"/>
      <c r="I215" s="108" t="n"/>
      <c r="J215" s="110" t="n"/>
      <c r="K215" s="108" t="n"/>
      <c r="L215" s="108" t="n"/>
      <c r="M215" s="108" t="n"/>
      <c r="N215" s="109" t="n"/>
      <c r="O215" s="109" t="n"/>
      <c r="P215" s="107" t="n"/>
      <c r="Q215" s="107" t="n"/>
      <c r="R215" s="111" t="n"/>
      <c r="S215" s="112" t="n"/>
      <c r="T215" s="113" t="n"/>
      <c r="U215" s="102">
        <f>IF(S215="","",ROUND(S215*N(T215),2))</f>
        <v/>
      </c>
      <c r="V215" s="102">
        <f>IF(S215="","",S215+U215)</f>
        <v/>
      </c>
      <c r="W215" s="103">
        <f>IF(V215="","",ROUND(V215*IF(OR(Q215="",Q215="VND"),1,R215),0))</f>
        <v/>
      </c>
      <c r="X215" s="111" t="n"/>
      <c r="Y215" s="103">
        <f>IF(W215="","",W215+N(X215))</f>
        <v/>
      </c>
      <c r="Z215" s="103">
        <f>IF(B215="","",SUMIFS('NHAT KY THANH TOAN'!$G:$G,'NHAT KY THANH TOAN'!$B:$B,B215,'NHAT KY THANH TOAN'!$D:$D,"Hóa đơn"))</f>
        <v/>
      </c>
      <c r="AA215" s="103">
        <f>IF(B215="","",SUMIFS('NHAT KY THANH TOAN'!$G:$G,'NHAT KY THANH TOAN'!$B:$B,B215,'NHAT KY THANH TOAN'!$D:$D,"Thanh toán"))</f>
        <v/>
      </c>
      <c r="AB215" s="103">
        <f>IF(Y215="","",Y215-N(AA215))</f>
        <v/>
      </c>
      <c r="AC215" s="103">
        <f>IF(B215="","",N(Z215)-N(AA215))</f>
        <v/>
      </c>
      <c r="AD215" s="104">
        <f>IF(N(Y215)=0,"",N(AA215)/Y215)</f>
        <v/>
      </c>
      <c r="AE215" s="107" t="n"/>
      <c r="AF215" s="95">
        <f>IF(H215="","",TRIM(IF(AND(N(Y215)&gt;='THAM SO'!$B$10,AE215&lt;&gt;"Có"),"Chưa rà soát pháp lý; ","")&amp;IF(I215="","Thiếu MST đối tác; ","")&amp;IF(AG215="","Chưa ghi nơi lưu bản gốc; ","")&amp;IF(COUNTIFS('NHAT KY THANH TOAN'!$B:$B,B215,'NHAT KY THANH TOAN'!$D:$D,"Thanh toán",'NHAT KY THANH TOAN'!$F:$F,"Tiền mặt",'NHAT KY THANH TOAN'!$G:$G,"&gt;="&amp;'THAM SO'!$B$11)&gt;0,"Có khoản TT tiền mặt ≥ ngưỡng; ","")&amp;IF(AND(AB215&lt;&gt;"",N(AB215)&lt;0),"Thanh toán vượt giá trị HĐ; ","")))</f>
        <v/>
      </c>
      <c r="AG215" s="108" t="n"/>
      <c r="AH215" s="109" t="n"/>
      <c r="AI215" s="105">
        <f>IF(OR(H215="",O215="",AH215&lt;&gt;""),"",O215-'THAM SO'!$B$8)</f>
        <v/>
      </c>
      <c r="AJ215" s="95">
        <f>IF(H215="","",IF(AH215&lt;&gt;"","Đã thanh lý",IF(AND(N215&lt;&gt;"",N215&gt;'THAM SO'!$B$8),"Chưa hiệu lực",IF(O215="","Đang thực hiện",IF(O215&lt;'THAM SO'!$B$8,IF(P215="Có","Đã tự gia hạn – kiểm tra","Quá hạn – chưa thanh lý"),IF(O215-'THAM SO'!$B$8&lt;='THAM SO'!$B$9,"Sắp hết hạn","Đang thực hiện"))))))</f>
        <v/>
      </c>
      <c r="AK215" s="106">
        <f>IF(AND(O215="",AH215=""),"",EDATE(MAX(N(O215),N(AH215)),12*'THAM SO'!$B$12))</f>
        <v/>
      </c>
      <c r="AL215" s="110" t="n"/>
    </row>
    <row r="216" ht="15" customHeight="1" s="64">
      <c r="A216" s="93">
        <f>IF(H216="","",COUNTA($H$9:H216))</f>
        <v/>
      </c>
      <c r="B216" s="93">
        <f>IF(OR(D216="",G216=""),"",YEAR(G216)&amp;"/"&amp;D216&amp;"/"&amp;TEXT(SUMPRODUCT(($D$9:D216=D216)*(YEAR($G$9:G216)=YEAR(G216))),"000")&amp;"-"&amp;'THAM SO'!$B$7)</f>
        <v/>
      </c>
      <c r="C216" s="107" t="n"/>
      <c r="D216" s="107" t="n"/>
      <c r="E216" s="95">
        <f>IF(D216="","",IFERROR(VLOOKUP(D216,'THAM SO'!$D$6:$E$40,2,FALSE()),"Mã loại chưa khai báo"))</f>
        <v/>
      </c>
      <c r="F216" s="108" t="n"/>
      <c r="G216" s="109" t="n"/>
      <c r="H216" s="110" t="n"/>
      <c r="I216" s="108" t="n"/>
      <c r="J216" s="110" t="n"/>
      <c r="K216" s="108" t="n"/>
      <c r="L216" s="108" t="n"/>
      <c r="M216" s="108" t="n"/>
      <c r="N216" s="109" t="n"/>
      <c r="O216" s="109" t="n"/>
      <c r="P216" s="107" t="n"/>
      <c r="Q216" s="107" t="n"/>
      <c r="R216" s="111" t="n"/>
      <c r="S216" s="112" t="n"/>
      <c r="T216" s="113" t="n"/>
      <c r="U216" s="102">
        <f>IF(S216="","",ROUND(S216*N(T216),2))</f>
        <v/>
      </c>
      <c r="V216" s="102">
        <f>IF(S216="","",S216+U216)</f>
        <v/>
      </c>
      <c r="W216" s="103">
        <f>IF(V216="","",ROUND(V216*IF(OR(Q216="",Q216="VND"),1,R216),0))</f>
        <v/>
      </c>
      <c r="X216" s="111" t="n"/>
      <c r="Y216" s="103">
        <f>IF(W216="","",W216+N(X216))</f>
        <v/>
      </c>
      <c r="Z216" s="103">
        <f>IF(B216="","",SUMIFS('NHAT KY THANH TOAN'!$G:$G,'NHAT KY THANH TOAN'!$B:$B,B216,'NHAT KY THANH TOAN'!$D:$D,"Hóa đơn"))</f>
        <v/>
      </c>
      <c r="AA216" s="103">
        <f>IF(B216="","",SUMIFS('NHAT KY THANH TOAN'!$G:$G,'NHAT KY THANH TOAN'!$B:$B,B216,'NHAT KY THANH TOAN'!$D:$D,"Thanh toán"))</f>
        <v/>
      </c>
      <c r="AB216" s="103">
        <f>IF(Y216="","",Y216-N(AA216))</f>
        <v/>
      </c>
      <c r="AC216" s="103">
        <f>IF(B216="","",N(Z216)-N(AA216))</f>
        <v/>
      </c>
      <c r="AD216" s="104">
        <f>IF(N(Y216)=0,"",N(AA216)/Y216)</f>
        <v/>
      </c>
      <c r="AE216" s="107" t="n"/>
      <c r="AF216" s="95">
        <f>IF(H216="","",TRIM(IF(AND(N(Y216)&gt;='THAM SO'!$B$10,AE216&lt;&gt;"Có"),"Chưa rà soát pháp lý; ","")&amp;IF(I216="","Thiếu MST đối tác; ","")&amp;IF(AG216="","Chưa ghi nơi lưu bản gốc; ","")&amp;IF(COUNTIFS('NHAT KY THANH TOAN'!$B:$B,B216,'NHAT KY THANH TOAN'!$D:$D,"Thanh toán",'NHAT KY THANH TOAN'!$F:$F,"Tiền mặt",'NHAT KY THANH TOAN'!$G:$G,"&gt;="&amp;'THAM SO'!$B$11)&gt;0,"Có khoản TT tiền mặt ≥ ngưỡng; ","")&amp;IF(AND(AB216&lt;&gt;"",N(AB216)&lt;0),"Thanh toán vượt giá trị HĐ; ","")))</f>
        <v/>
      </c>
      <c r="AG216" s="108" t="n"/>
      <c r="AH216" s="109" t="n"/>
      <c r="AI216" s="105">
        <f>IF(OR(H216="",O216="",AH216&lt;&gt;""),"",O216-'THAM SO'!$B$8)</f>
        <v/>
      </c>
      <c r="AJ216" s="95">
        <f>IF(H216="","",IF(AH216&lt;&gt;"","Đã thanh lý",IF(AND(N216&lt;&gt;"",N216&gt;'THAM SO'!$B$8),"Chưa hiệu lực",IF(O216="","Đang thực hiện",IF(O216&lt;'THAM SO'!$B$8,IF(P216="Có","Đã tự gia hạn – kiểm tra","Quá hạn – chưa thanh lý"),IF(O216-'THAM SO'!$B$8&lt;='THAM SO'!$B$9,"Sắp hết hạn","Đang thực hiện"))))))</f>
        <v/>
      </c>
      <c r="AK216" s="106">
        <f>IF(AND(O216="",AH216=""),"",EDATE(MAX(N(O216),N(AH216)),12*'THAM SO'!$B$12))</f>
        <v/>
      </c>
      <c r="AL216" s="110" t="n"/>
    </row>
    <row r="217" ht="15" customHeight="1" s="64">
      <c r="A217" s="93">
        <f>IF(H217="","",COUNTA($H$9:H217))</f>
        <v/>
      </c>
      <c r="B217" s="93">
        <f>IF(OR(D217="",G217=""),"",YEAR(G217)&amp;"/"&amp;D217&amp;"/"&amp;TEXT(SUMPRODUCT(($D$9:D217=D217)*(YEAR($G$9:G217)=YEAR(G217))),"000")&amp;"-"&amp;'THAM SO'!$B$7)</f>
        <v/>
      </c>
      <c r="C217" s="107" t="n"/>
      <c r="D217" s="107" t="n"/>
      <c r="E217" s="95">
        <f>IF(D217="","",IFERROR(VLOOKUP(D217,'THAM SO'!$D$6:$E$40,2,FALSE()),"Mã loại chưa khai báo"))</f>
        <v/>
      </c>
      <c r="F217" s="108" t="n"/>
      <c r="G217" s="109" t="n"/>
      <c r="H217" s="110" t="n"/>
      <c r="I217" s="108" t="n"/>
      <c r="J217" s="110" t="n"/>
      <c r="K217" s="108" t="n"/>
      <c r="L217" s="108" t="n"/>
      <c r="M217" s="108" t="n"/>
      <c r="N217" s="109" t="n"/>
      <c r="O217" s="109" t="n"/>
      <c r="P217" s="107" t="n"/>
      <c r="Q217" s="107" t="n"/>
      <c r="R217" s="111" t="n"/>
      <c r="S217" s="112" t="n"/>
      <c r="T217" s="113" t="n"/>
      <c r="U217" s="102">
        <f>IF(S217="","",ROUND(S217*N(T217),2))</f>
        <v/>
      </c>
      <c r="V217" s="102">
        <f>IF(S217="","",S217+U217)</f>
        <v/>
      </c>
      <c r="W217" s="103">
        <f>IF(V217="","",ROUND(V217*IF(OR(Q217="",Q217="VND"),1,R217),0))</f>
        <v/>
      </c>
      <c r="X217" s="111" t="n"/>
      <c r="Y217" s="103">
        <f>IF(W217="","",W217+N(X217))</f>
        <v/>
      </c>
      <c r="Z217" s="103">
        <f>IF(B217="","",SUMIFS('NHAT KY THANH TOAN'!$G:$G,'NHAT KY THANH TOAN'!$B:$B,B217,'NHAT KY THANH TOAN'!$D:$D,"Hóa đơn"))</f>
        <v/>
      </c>
      <c r="AA217" s="103">
        <f>IF(B217="","",SUMIFS('NHAT KY THANH TOAN'!$G:$G,'NHAT KY THANH TOAN'!$B:$B,B217,'NHAT KY THANH TOAN'!$D:$D,"Thanh toán"))</f>
        <v/>
      </c>
      <c r="AB217" s="103">
        <f>IF(Y217="","",Y217-N(AA217))</f>
        <v/>
      </c>
      <c r="AC217" s="103">
        <f>IF(B217="","",N(Z217)-N(AA217))</f>
        <v/>
      </c>
      <c r="AD217" s="104">
        <f>IF(N(Y217)=0,"",N(AA217)/Y217)</f>
        <v/>
      </c>
      <c r="AE217" s="107" t="n"/>
      <c r="AF217" s="95">
        <f>IF(H217="","",TRIM(IF(AND(N(Y217)&gt;='THAM SO'!$B$10,AE217&lt;&gt;"Có"),"Chưa rà soát pháp lý; ","")&amp;IF(I217="","Thiếu MST đối tác; ","")&amp;IF(AG217="","Chưa ghi nơi lưu bản gốc; ","")&amp;IF(COUNTIFS('NHAT KY THANH TOAN'!$B:$B,B217,'NHAT KY THANH TOAN'!$D:$D,"Thanh toán",'NHAT KY THANH TOAN'!$F:$F,"Tiền mặt",'NHAT KY THANH TOAN'!$G:$G,"&gt;="&amp;'THAM SO'!$B$11)&gt;0,"Có khoản TT tiền mặt ≥ ngưỡng; ","")&amp;IF(AND(AB217&lt;&gt;"",N(AB217)&lt;0),"Thanh toán vượt giá trị HĐ; ","")))</f>
        <v/>
      </c>
      <c r="AG217" s="108" t="n"/>
      <c r="AH217" s="109" t="n"/>
      <c r="AI217" s="105">
        <f>IF(OR(H217="",O217="",AH217&lt;&gt;""),"",O217-'THAM SO'!$B$8)</f>
        <v/>
      </c>
      <c r="AJ217" s="95">
        <f>IF(H217="","",IF(AH217&lt;&gt;"","Đã thanh lý",IF(AND(N217&lt;&gt;"",N217&gt;'THAM SO'!$B$8),"Chưa hiệu lực",IF(O217="","Đang thực hiện",IF(O217&lt;'THAM SO'!$B$8,IF(P217="Có","Đã tự gia hạn – kiểm tra","Quá hạn – chưa thanh lý"),IF(O217-'THAM SO'!$B$8&lt;='THAM SO'!$B$9,"Sắp hết hạn","Đang thực hiện"))))))</f>
        <v/>
      </c>
      <c r="AK217" s="106">
        <f>IF(AND(O217="",AH217=""),"",EDATE(MAX(N(O217),N(AH217)),12*'THAM SO'!$B$12))</f>
        <v/>
      </c>
      <c r="AL217" s="110" t="n"/>
    </row>
    <row r="218" ht="15" customHeight="1" s="64">
      <c r="A218" s="93">
        <f>IF(H218="","",COUNTA($H$9:H218))</f>
        <v/>
      </c>
      <c r="B218" s="93">
        <f>IF(OR(D218="",G218=""),"",YEAR(G218)&amp;"/"&amp;D218&amp;"/"&amp;TEXT(SUMPRODUCT(($D$9:D218=D218)*(YEAR($G$9:G218)=YEAR(G218))),"000")&amp;"-"&amp;'THAM SO'!$B$7)</f>
        <v/>
      </c>
      <c r="C218" s="107" t="n"/>
      <c r="D218" s="107" t="n"/>
      <c r="E218" s="95">
        <f>IF(D218="","",IFERROR(VLOOKUP(D218,'THAM SO'!$D$6:$E$40,2,FALSE()),"Mã loại chưa khai báo"))</f>
        <v/>
      </c>
      <c r="F218" s="108" t="n"/>
      <c r="G218" s="109" t="n"/>
      <c r="H218" s="110" t="n"/>
      <c r="I218" s="108" t="n"/>
      <c r="J218" s="110" t="n"/>
      <c r="K218" s="108" t="n"/>
      <c r="L218" s="108" t="n"/>
      <c r="M218" s="108" t="n"/>
      <c r="N218" s="109" t="n"/>
      <c r="O218" s="109" t="n"/>
      <c r="P218" s="107" t="n"/>
      <c r="Q218" s="107" t="n"/>
      <c r="R218" s="111" t="n"/>
      <c r="S218" s="112" t="n"/>
      <c r="T218" s="113" t="n"/>
      <c r="U218" s="102">
        <f>IF(S218="","",ROUND(S218*N(T218),2))</f>
        <v/>
      </c>
      <c r="V218" s="102">
        <f>IF(S218="","",S218+U218)</f>
        <v/>
      </c>
      <c r="W218" s="103">
        <f>IF(V218="","",ROUND(V218*IF(OR(Q218="",Q218="VND"),1,R218),0))</f>
        <v/>
      </c>
      <c r="X218" s="111" t="n"/>
      <c r="Y218" s="103">
        <f>IF(W218="","",W218+N(X218))</f>
        <v/>
      </c>
      <c r="Z218" s="103">
        <f>IF(B218="","",SUMIFS('NHAT KY THANH TOAN'!$G:$G,'NHAT KY THANH TOAN'!$B:$B,B218,'NHAT KY THANH TOAN'!$D:$D,"Hóa đơn"))</f>
        <v/>
      </c>
      <c r="AA218" s="103">
        <f>IF(B218="","",SUMIFS('NHAT KY THANH TOAN'!$G:$G,'NHAT KY THANH TOAN'!$B:$B,B218,'NHAT KY THANH TOAN'!$D:$D,"Thanh toán"))</f>
        <v/>
      </c>
      <c r="AB218" s="103">
        <f>IF(Y218="","",Y218-N(AA218))</f>
        <v/>
      </c>
      <c r="AC218" s="103">
        <f>IF(B218="","",N(Z218)-N(AA218))</f>
        <v/>
      </c>
      <c r="AD218" s="104">
        <f>IF(N(Y218)=0,"",N(AA218)/Y218)</f>
        <v/>
      </c>
      <c r="AE218" s="107" t="n"/>
      <c r="AF218" s="95">
        <f>IF(H218="","",TRIM(IF(AND(N(Y218)&gt;='THAM SO'!$B$10,AE218&lt;&gt;"Có"),"Chưa rà soát pháp lý; ","")&amp;IF(I218="","Thiếu MST đối tác; ","")&amp;IF(AG218="","Chưa ghi nơi lưu bản gốc; ","")&amp;IF(COUNTIFS('NHAT KY THANH TOAN'!$B:$B,B218,'NHAT KY THANH TOAN'!$D:$D,"Thanh toán",'NHAT KY THANH TOAN'!$F:$F,"Tiền mặt",'NHAT KY THANH TOAN'!$G:$G,"&gt;="&amp;'THAM SO'!$B$11)&gt;0,"Có khoản TT tiền mặt ≥ ngưỡng; ","")&amp;IF(AND(AB218&lt;&gt;"",N(AB218)&lt;0),"Thanh toán vượt giá trị HĐ; ","")))</f>
        <v/>
      </c>
      <c r="AG218" s="108" t="n"/>
      <c r="AH218" s="109" t="n"/>
      <c r="AI218" s="105">
        <f>IF(OR(H218="",O218="",AH218&lt;&gt;""),"",O218-'THAM SO'!$B$8)</f>
        <v/>
      </c>
      <c r="AJ218" s="95">
        <f>IF(H218="","",IF(AH218&lt;&gt;"","Đã thanh lý",IF(AND(N218&lt;&gt;"",N218&gt;'THAM SO'!$B$8),"Chưa hiệu lực",IF(O218="","Đang thực hiện",IF(O218&lt;'THAM SO'!$B$8,IF(P218="Có","Đã tự gia hạn – kiểm tra","Quá hạn – chưa thanh lý"),IF(O218-'THAM SO'!$B$8&lt;='THAM SO'!$B$9,"Sắp hết hạn","Đang thực hiện"))))))</f>
        <v/>
      </c>
      <c r="AK218" s="106">
        <f>IF(AND(O218="",AH218=""),"",EDATE(MAX(N(O218),N(AH218)),12*'THAM SO'!$B$12))</f>
        <v/>
      </c>
      <c r="AL218" s="110" t="n"/>
    </row>
    <row r="219" ht="15" customHeight="1" s="64">
      <c r="A219" s="93">
        <f>IF(H219="","",COUNTA($H$9:H219))</f>
        <v/>
      </c>
      <c r="B219" s="93">
        <f>IF(OR(D219="",G219=""),"",YEAR(G219)&amp;"/"&amp;D219&amp;"/"&amp;TEXT(SUMPRODUCT(($D$9:D219=D219)*(YEAR($G$9:G219)=YEAR(G219))),"000")&amp;"-"&amp;'THAM SO'!$B$7)</f>
        <v/>
      </c>
      <c r="C219" s="107" t="n"/>
      <c r="D219" s="107" t="n"/>
      <c r="E219" s="95">
        <f>IF(D219="","",IFERROR(VLOOKUP(D219,'THAM SO'!$D$6:$E$40,2,FALSE()),"Mã loại chưa khai báo"))</f>
        <v/>
      </c>
      <c r="F219" s="108" t="n"/>
      <c r="G219" s="109" t="n"/>
      <c r="H219" s="110" t="n"/>
      <c r="I219" s="108" t="n"/>
      <c r="J219" s="110" t="n"/>
      <c r="K219" s="108" t="n"/>
      <c r="L219" s="108" t="n"/>
      <c r="M219" s="108" t="n"/>
      <c r="N219" s="109" t="n"/>
      <c r="O219" s="109" t="n"/>
      <c r="P219" s="107" t="n"/>
      <c r="Q219" s="107" t="n"/>
      <c r="R219" s="111" t="n"/>
      <c r="S219" s="112" t="n"/>
      <c r="T219" s="113" t="n"/>
      <c r="U219" s="102">
        <f>IF(S219="","",ROUND(S219*N(T219),2))</f>
        <v/>
      </c>
      <c r="V219" s="102">
        <f>IF(S219="","",S219+U219)</f>
        <v/>
      </c>
      <c r="W219" s="103">
        <f>IF(V219="","",ROUND(V219*IF(OR(Q219="",Q219="VND"),1,R219),0))</f>
        <v/>
      </c>
      <c r="X219" s="111" t="n"/>
      <c r="Y219" s="103">
        <f>IF(W219="","",W219+N(X219))</f>
        <v/>
      </c>
      <c r="Z219" s="103">
        <f>IF(B219="","",SUMIFS('NHAT KY THANH TOAN'!$G:$G,'NHAT KY THANH TOAN'!$B:$B,B219,'NHAT KY THANH TOAN'!$D:$D,"Hóa đơn"))</f>
        <v/>
      </c>
      <c r="AA219" s="103">
        <f>IF(B219="","",SUMIFS('NHAT KY THANH TOAN'!$G:$G,'NHAT KY THANH TOAN'!$B:$B,B219,'NHAT KY THANH TOAN'!$D:$D,"Thanh toán"))</f>
        <v/>
      </c>
      <c r="AB219" s="103">
        <f>IF(Y219="","",Y219-N(AA219))</f>
        <v/>
      </c>
      <c r="AC219" s="103">
        <f>IF(B219="","",N(Z219)-N(AA219))</f>
        <v/>
      </c>
      <c r="AD219" s="104">
        <f>IF(N(Y219)=0,"",N(AA219)/Y219)</f>
        <v/>
      </c>
      <c r="AE219" s="107" t="n"/>
      <c r="AF219" s="95">
        <f>IF(H219="","",TRIM(IF(AND(N(Y219)&gt;='THAM SO'!$B$10,AE219&lt;&gt;"Có"),"Chưa rà soát pháp lý; ","")&amp;IF(I219="","Thiếu MST đối tác; ","")&amp;IF(AG219="","Chưa ghi nơi lưu bản gốc; ","")&amp;IF(COUNTIFS('NHAT KY THANH TOAN'!$B:$B,B219,'NHAT KY THANH TOAN'!$D:$D,"Thanh toán",'NHAT KY THANH TOAN'!$F:$F,"Tiền mặt",'NHAT KY THANH TOAN'!$G:$G,"&gt;="&amp;'THAM SO'!$B$11)&gt;0,"Có khoản TT tiền mặt ≥ ngưỡng; ","")&amp;IF(AND(AB219&lt;&gt;"",N(AB219)&lt;0),"Thanh toán vượt giá trị HĐ; ","")))</f>
        <v/>
      </c>
      <c r="AG219" s="108" t="n"/>
      <c r="AH219" s="109" t="n"/>
      <c r="AI219" s="105">
        <f>IF(OR(H219="",O219="",AH219&lt;&gt;""),"",O219-'THAM SO'!$B$8)</f>
        <v/>
      </c>
      <c r="AJ219" s="95">
        <f>IF(H219="","",IF(AH219&lt;&gt;"","Đã thanh lý",IF(AND(N219&lt;&gt;"",N219&gt;'THAM SO'!$B$8),"Chưa hiệu lực",IF(O219="","Đang thực hiện",IF(O219&lt;'THAM SO'!$B$8,IF(P219="Có","Đã tự gia hạn – kiểm tra","Quá hạn – chưa thanh lý"),IF(O219-'THAM SO'!$B$8&lt;='THAM SO'!$B$9,"Sắp hết hạn","Đang thực hiện"))))))</f>
        <v/>
      </c>
      <c r="AK219" s="106">
        <f>IF(AND(O219="",AH219=""),"",EDATE(MAX(N(O219),N(AH219)),12*'THAM SO'!$B$12))</f>
        <v/>
      </c>
      <c r="AL219" s="110" t="n"/>
    </row>
    <row r="220" ht="15" customHeight="1" s="64">
      <c r="A220" s="93">
        <f>IF(H220="","",COUNTA($H$9:H220))</f>
        <v/>
      </c>
      <c r="B220" s="93">
        <f>IF(OR(D220="",G220=""),"",YEAR(G220)&amp;"/"&amp;D220&amp;"/"&amp;TEXT(SUMPRODUCT(($D$9:D220=D220)*(YEAR($G$9:G220)=YEAR(G220))),"000")&amp;"-"&amp;'THAM SO'!$B$7)</f>
        <v/>
      </c>
      <c r="C220" s="107" t="n"/>
      <c r="D220" s="107" t="n"/>
      <c r="E220" s="95">
        <f>IF(D220="","",IFERROR(VLOOKUP(D220,'THAM SO'!$D$6:$E$40,2,FALSE()),"Mã loại chưa khai báo"))</f>
        <v/>
      </c>
      <c r="F220" s="108" t="n"/>
      <c r="G220" s="109" t="n"/>
      <c r="H220" s="110" t="n"/>
      <c r="I220" s="108" t="n"/>
      <c r="J220" s="110" t="n"/>
      <c r="K220" s="108" t="n"/>
      <c r="L220" s="108" t="n"/>
      <c r="M220" s="108" t="n"/>
      <c r="N220" s="109" t="n"/>
      <c r="O220" s="109" t="n"/>
      <c r="P220" s="107" t="n"/>
      <c r="Q220" s="107" t="n"/>
      <c r="R220" s="111" t="n"/>
      <c r="S220" s="112" t="n"/>
      <c r="T220" s="113" t="n"/>
      <c r="U220" s="102">
        <f>IF(S220="","",ROUND(S220*N(T220),2))</f>
        <v/>
      </c>
      <c r="V220" s="102">
        <f>IF(S220="","",S220+U220)</f>
        <v/>
      </c>
      <c r="W220" s="103">
        <f>IF(V220="","",ROUND(V220*IF(OR(Q220="",Q220="VND"),1,R220),0))</f>
        <v/>
      </c>
      <c r="X220" s="111" t="n"/>
      <c r="Y220" s="103">
        <f>IF(W220="","",W220+N(X220))</f>
        <v/>
      </c>
      <c r="Z220" s="103">
        <f>IF(B220="","",SUMIFS('NHAT KY THANH TOAN'!$G:$G,'NHAT KY THANH TOAN'!$B:$B,B220,'NHAT KY THANH TOAN'!$D:$D,"Hóa đơn"))</f>
        <v/>
      </c>
      <c r="AA220" s="103">
        <f>IF(B220="","",SUMIFS('NHAT KY THANH TOAN'!$G:$G,'NHAT KY THANH TOAN'!$B:$B,B220,'NHAT KY THANH TOAN'!$D:$D,"Thanh toán"))</f>
        <v/>
      </c>
      <c r="AB220" s="103">
        <f>IF(Y220="","",Y220-N(AA220))</f>
        <v/>
      </c>
      <c r="AC220" s="103">
        <f>IF(B220="","",N(Z220)-N(AA220))</f>
        <v/>
      </c>
      <c r="AD220" s="104">
        <f>IF(N(Y220)=0,"",N(AA220)/Y220)</f>
        <v/>
      </c>
      <c r="AE220" s="107" t="n"/>
      <c r="AF220" s="95">
        <f>IF(H220="","",TRIM(IF(AND(N(Y220)&gt;='THAM SO'!$B$10,AE220&lt;&gt;"Có"),"Chưa rà soát pháp lý; ","")&amp;IF(I220="","Thiếu MST đối tác; ","")&amp;IF(AG220="","Chưa ghi nơi lưu bản gốc; ","")&amp;IF(COUNTIFS('NHAT KY THANH TOAN'!$B:$B,B220,'NHAT KY THANH TOAN'!$D:$D,"Thanh toán",'NHAT KY THANH TOAN'!$F:$F,"Tiền mặt",'NHAT KY THANH TOAN'!$G:$G,"&gt;="&amp;'THAM SO'!$B$11)&gt;0,"Có khoản TT tiền mặt ≥ ngưỡng; ","")&amp;IF(AND(AB220&lt;&gt;"",N(AB220)&lt;0),"Thanh toán vượt giá trị HĐ; ","")))</f>
        <v/>
      </c>
      <c r="AG220" s="108" t="n"/>
      <c r="AH220" s="109" t="n"/>
      <c r="AI220" s="105">
        <f>IF(OR(H220="",O220="",AH220&lt;&gt;""),"",O220-'THAM SO'!$B$8)</f>
        <v/>
      </c>
      <c r="AJ220" s="95">
        <f>IF(H220="","",IF(AH220&lt;&gt;"","Đã thanh lý",IF(AND(N220&lt;&gt;"",N220&gt;'THAM SO'!$B$8),"Chưa hiệu lực",IF(O220="","Đang thực hiện",IF(O220&lt;'THAM SO'!$B$8,IF(P220="Có","Đã tự gia hạn – kiểm tra","Quá hạn – chưa thanh lý"),IF(O220-'THAM SO'!$B$8&lt;='THAM SO'!$B$9,"Sắp hết hạn","Đang thực hiện"))))))</f>
        <v/>
      </c>
      <c r="AK220" s="106">
        <f>IF(AND(O220="",AH220=""),"",EDATE(MAX(N(O220),N(AH220)),12*'THAM SO'!$B$12))</f>
        <v/>
      </c>
      <c r="AL220" s="110" t="n"/>
    </row>
    <row r="221" ht="15" customHeight="1" s="64">
      <c r="A221" s="93">
        <f>IF(H221="","",COUNTA($H$9:H221))</f>
        <v/>
      </c>
      <c r="B221" s="93">
        <f>IF(OR(D221="",G221=""),"",YEAR(G221)&amp;"/"&amp;D221&amp;"/"&amp;TEXT(SUMPRODUCT(($D$9:D221=D221)*(YEAR($G$9:G221)=YEAR(G221))),"000")&amp;"-"&amp;'THAM SO'!$B$7)</f>
        <v/>
      </c>
      <c r="C221" s="107" t="n"/>
      <c r="D221" s="107" t="n"/>
      <c r="E221" s="95">
        <f>IF(D221="","",IFERROR(VLOOKUP(D221,'THAM SO'!$D$6:$E$40,2,FALSE()),"Mã loại chưa khai báo"))</f>
        <v/>
      </c>
      <c r="F221" s="108" t="n"/>
      <c r="G221" s="109" t="n"/>
      <c r="H221" s="110" t="n"/>
      <c r="I221" s="108" t="n"/>
      <c r="J221" s="110" t="n"/>
      <c r="K221" s="108" t="n"/>
      <c r="L221" s="108" t="n"/>
      <c r="M221" s="108" t="n"/>
      <c r="N221" s="109" t="n"/>
      <c r="O221" s="109" t="n"/>
      <c r="P221" s="107" t="n"/>
      <c r="Q221" s="107" t="n"/>
      <c r="R221" s="111" t="n"/>
      <c r="S221" s="112" t="n"/>
      <c r="T221" s="113" t="n"/>
      <c r="U221" s="102">
        <f>IF(S221="","",ROUND(S221*N(T221),2))</f>
        <v/>
      </c>
      <c r="V221" s="102">
        <f>IF(S221="","",S221+U221)</f>
        <v/>
      </c>
      <c r="W221" s="103">
        <f>IF(V221="","",ROUND(V221*IF(OR(Q221="",Q221="VND"),1,R221),0))</f>
        <v/>
      </c>
      <c r="X221" s="111" t="n"/>
      <c r="Y221" s="103">
        <f>IF(W221="","",W221+N(X221))</f>
        <v/>
      </c>
      <c r="Z221" s="103">
        <f>IF(B221="","",SUMIFS('NHAT KY THANH TOAN'!$G:$G,'NHAT KY THANH TOAN'!$B:$B,B221,'NHAT KY THANH TOAN'!$D:$D,"Hóa đơn"))</f>
        <v/>
      </c>
      <c r="AA221" s="103">
        <f>IF(B221="","",SUMIFS('NHAT KY THANH TOAN'!$G:$G,'NHAT KY THANH TOAN'!$B:$B,B221,'NHAT KY THANH TOAN'!$D:$D,"Thanh toán"))</f>
        <v/>
      </c>
      <c r="AB221" s="103">
        <f>IF(Y221="","",Y221-N(AA221))</f>
        <v/>
      </c>
      <c r="AC221" s="103">
        <f>IF(B221="","",N(Z221)-N(AA221))</f>
        <v/>
      </c>
      <c r="AD221" s="104">
        <f>IF(N(Y221)=0,"",N(AA221)/Y221)</f>
        <v/>
      </c>
      <c r="AE221" s="107" t="n"/>
      <c r="AF221" s="95">
        <f>IF(H221="","",TRIM(IF(AND(N(Y221)&gt;='THAM SO'!$B$10,AE221&lt;&gt;"Có"),"Chưa rà soát pháp lý; ","")&amp;IF(I221="","Thiếu MST đối tác; ","")&amp;IF(AG221="","Chưa ghi nơi lưu bản gốc; ","")&amp;IF(COUNTIFS('NHAT KY THANH TOAN'!$B:$B,B221,'NHAT KY THANH TOAN'!$D:$D,"Thanh toán",'NHAT KY THANH TOAN'!$F:$F,"Tiền mặt",'NHAT KY THANH TOAN'!$G:$G,"&gt;="&amp;'THAM SO'!$B$11)&gt;0,"Có khoản TT tiền mặt ≥ ngưỡng; ","")&amp;IF(AND(AB221&lt;&gt;"",N(AB221)&lt;0),"Thanh toán vượt giá trị HĐ; ","")))</f>
        <v/>
      </c>
      <c r="AG221" s="108" t="n"/>
      <c r="AH221" s="109" t="n"/>
      <c r="AI221" s="105">
        <f>IF(OR(H221="",O221="",AH221&lt;&gt;""),"",O221-'THAM SO'!$B$8)</f>
        <v/>
      </c>
      <c r="AJ221" s="95">
        <f>IF(H221="","",IF(AH221&lt;&gt;"","Đã thanh lý",IF(AND(N221&lt;&gt;"",N221&gt;'THAM SO'!$B$8),"Chưa hiệu lực",IF(O221="","Đang thực hiện",IF(O221&lt;'THAM SO'!$B$8,IF(P221="Có","Đã tự gia hạn – kiểm tra","Quá hạn – chưa thanh lý"),IF(O221-'THAM SO'!$B$8&lt;='THAM SO'!$B$9,"Sắp hết hạn","Đang thực hiện"))))))</f>
        <v/>
      </c>
      <c r="AK221" s="106">
        <f>IF(AND(O221="",AH221=""),"",EDATE(MAX(N(O221),N(AH221)),12*'THAM SO'!$B$12))</f>
        <v/>
      </c>
      <c r="AL221" s="110" t="n"/>
    </row>
    <row r="222" ht="15" customHeight="1" s="64">
      <c r="A222" s="93">
        <f>IF(H222="","",COUNTA($H$9:H222))</f>
        <v/>
      </c>
      <c r="B222" s="93">
        <f>IF(OR(D222="",G222=""),"",YEAR(G222)&amp;"/"&amp;D222&amp;"/"&amp;TEXT(SUMPRODUCT(($D$9:D222=D222)*(YEAR($G$9:G222)=YEAR(G222))),"000")&amp;"-"&amp;'THAM SO'!$B$7)</f>
        <v/>
      </c>
      <c r="C222" s="107" t="n"/>
      <c r="D222" s="107" t="n"/>
      <c r="E222" s="95">
        <f>IF(D222="","",IFERROR(VLOOKUP(D222,'THAM SO'!$D$6:$E$40,2,FALSE()),"Mã loại chưa khai báo"))</f>
        <v/>
      </c>
      <c r="F222" s="108" t="n"/>
      <c r="G222" s="109" t="n"/>
      <c r="H222" s="110" t="n"/>
      <c r="I222" s="108" t="n"/>
      <c r="J222" s="110" t="n"/>
      <c r="K222" s="108" t="n"/>
      <c r="L222" s="108" t="n"/>
      <c r="M222" s="108" t="n"/>
      <c r="N222" s="109" t="n"/>
      <c r="O222" s="109" t="n"/>
      <c r="P222" s="107" t="n"/>
      <c r="Q222" s="107" t="n"/>
      <c r="R222" s="111" t="n"/>
      <c r="S222" s="112" t="n"/>
      <c r="T222" s="113" t="n"/>
      <c r="U222" s="102">
        <f>IF(S222="","",ROUND(S222*N(T222),2))</f>
        <v/>
      </c>
      <c r="V222" s="102">
        <f>IF(S222="","",S222+U222)</f>
        <v/>
      </c>
      <c r="W222" s="103">
        <f>IF(V222="","",ROUND(V222*IF(OR(Q222="",Q222="VND"),1,R222),0))</f>
        <v/>
      </c>
      <c r="X222" s="111" t="n"/>
      <c r="Y222" s="103">
        <f>IF(W222="","",W222+N(X222))</f>
        <v/>
      </c>
      <c r="Z222" s="103">
        <f>IF(B222="","",SUMIFS('NHAT KY THANH TOAN'!$G:$G,'NHAT KY THANH TOAN'!$B:$B,B222,'NHAT KY THANH TOAN'!$D:$D,"Hóa đơn"))</f>
        <v/>
      </c>
      <c r="AA222" s="103">
        <f>IF(B222="","",SUMIFS('NHAT KY THANH TOAN'!$G:$G,'NHAT KY THANH TOAN'!$B:$B,B222,'NHAT KY THANH TOAN'!$D:$D,"Thanh toán"))</f>
        <v/>
      </c>
      <c r="AB222" s="103">
        <f>IF(Y222="","",Y222-N(AA222))</f>
        <v/>
      </c>
      <c r="AC222" s="103">
        <f>IF(B222="","",N(Z222)-N(AA222))</f>
        <v/>
      </c>
      <c r="AD222" s="104">
        <f>IF(N(Y222)=0,"",N(AA222)/Y222)</f>
        <v/>
      </c>
      <c r="AE222" s="107" t="n"/>
      <c r="AF222" s="95">
        <f>IF(H222="","",TRIM(IF(AND(N(Y222)&gt;='THAM SO'!$B$10,AE222&lt;&gt;"Có"),"Chưa rà soát pháp lý; ","")&amp;IF(I222="","Thiếu MST đối tác; ","")&amp;IF(AG222="","Chưa ghi nơi lưu bản gốc; ","")&amp;IF(COUNTIFS('NHAT KY THANH TOAN'!$B:$B,B222,'NHAT KY THANH TOAN'!$D:$D,"Thanh toán",'NHAT KY THANH TOAN'!$F:$F,"Tiền mặt",'NHAT KY THANH TOAN'!$G:$G,"&gt;="&amp;'THAM SO'!$B$11)&gt;0,"Có khoản TT tiền mặt ≥ ngưỡng; ","")&amp;IF(AND(AB222&lt;&gt;"",N(AB222)&lt;0),"Thanh toán vượt giá trị HĐ; ","")))</f>
        <v/>
      </c>
      <c r="AG222" s="108" t="n"/>
      <c r="AH222" s="109" t="n"/>
      <c r="AI222" s="105">
        <f>IF(OR(H222="",O222="",AH222&lt;&gt;""),"",O222-'THAM SO'!$B$8)</f>
        <v/>
      </c>
      <c r="AJ222" s="95">
        <f>IF(H222="","",IF(AH222&lt;&gt;"","Đã thanh lý",IF(AND(N222&lt;&gt;"",N222&gt;'THAM SO'!$B$8),"Chưa hiệu lực",IF(O222="","Đang thực hiện",IF(O222&lt;'THAM SO'!$B$8,IF(P222="Có","Đã tự gia hạn – kiểm tra","Quá hạn – chưa thanh lý"),IF(O222-'THAM SO'!$B$8&lt;='THAM SO'!$B$9,"Sắp hết hạn","Đang thực hiện"))))))</f>
        <v/>
      </c>
      <c r="AK222" s="106">
        <f>IF(AND(O222="",AH222=""),"",EDATE(MAX(N(O222),N(AH222)),12*'THAM SO'!$B$12))</f>
        <v/>
      </c>
      <c r="AL222" s="110" t="n"/>
    </row>
    <row r="223" ht="15" customHeight="1" s="64">
      <c r="A223" s="93">
        <f>IF(H223="","",COUNTA($H$9:H223))</f>
        <v/>
      </c>
      <c r="B223" s="93">
        <f>IF(OR(D223="",G223=""),"",YEAR(G223)&amp;"/"&amp;D223&amp;"/"&amp;TEXT(SUMPRODUCT(($D$9:D223=D223)*(YEAR($G$9:G223)=YEAR(G223))),"000")&amp;"-"&amp;'THAM SO'!$B$7)</f>
        <v/>
      </c>
      <c r="C223" s="107" t="n"/>
      <c r="D223" s="107" t="n"/>
      <c r="E223" s="95">
        <f>IF(D223="","",IFERROR(VLOOKUP(D223,'THAM SO'!$D$6:$E$40,2,FALSE()),"Mã loại chưa khai báo"))</f>
        <v/>
      </c>
      <c r="F223" s="108" t="n"/>
      <c r="G223" s="109" t="n"/>
      <c r="H223" s="110" t="n"/>
      <c r="I223" s="108" t="n"/>
      <c r="J223" s="110" t="n"/>
      <c r="K223" s="108" t="n"/>
      <c r="L223" s="108" t="n"/>
      <c r="M223" s="108" t="n"/>
      <c r="N223" s="109" t="n"/>
      <c r="O223" s="109" t="n"/>
      <c r="P223" s="107" t="n"/>
      <c r="Q223" s="107" t="n"/>
      <c r="R223" s="111" t="n"/>
      <c r="S223" s="112" t="n"/>
      <c r="T223" s="113" t="n"/>
      <c r="U223" s="102">
        <f>IF(S223="","",ROUND(S223*N(T223),2))</f>
        <v/>
      </c>
      <c r="V223" s="102">
        <f>IF(S223="","",S223+U223)</f>
        <v/>
      </c>
      <c r="W223" s="103">
        <f>IF(V223="","",ROUND(V223*IF(OR(Q223="",Q223="VND"),1,R223),0))</f>
        <v/>
      </c>
      <c r="X223" s="111" t="n"/>
      <c r="Y223" s="103">
        <f>IF(W223="","",W223+N(X223))</f>
        <v/>
      </c>
      <c r="Z223" s="103">
        <f>IF(B223="","",SUMIFS('NHAT KY THANH TOAN'!$G:$G,'NHAT KY THANH TOAN'!$B:$B,B223,'NHAT KY THANH TOAN'!$D:$D,"Hóa đơn"))</f>
        <v/>
      </c>
      <c r="AA223" s="103">
        <f>IF(B223="","",SUMIFS('NHAT KY THANH TOAN'!$G:$G,'NHAT KY THANH TOAN'!$B:$B,B223,'NHAT KY THANH TOAN'!$D:$D,"Thanh toán"))</f>
        <v/>
      </c>
      <c r="AB223" s="103">
        <f>IF(Y223="","",Y223-N(AA223))</f>
        <v/>
      </c>
      <c r="AC223" s="103">
        <f>IF(B223="","",N(Z223)-N(AA223))</f>
        <v/>
      </c>
      <c r="AD223" s="104">
        <f>IF(N(Y223)=0,"",N(AA223)/Y223)</f>
        <v/>
      </c>
      <c r="AE223" s="107" t="n"/>
      <c r="AF223" s="95">
        <f>IF(H223="","",TRIM(IF(AND(N(Y223)&gt;='THAM SO'!$B$10,AE223&lt;&gt;"Có"),"Chưa rà soát pháp lý; ","")&amp;IF(I223="","Thiếu MST đối tác; ","")&amp;IF(AG223="","Chưa ghi nơi lưu bản gốc; ","")&amp;IF(COUNTIFS('NHAT KY THANH TOAN'!$B:$B,B223,'NHAT KY THANH TOAN'!$D:$D,"Thanh toán",'NHAT KY THANH TOAN'!$F:$F,"Tiền mặt",'NHAT KY THANH TOAN'!$G:$G,"&gt;="&amp;'THAM SO'!$B$11)&gt;0,"Có khoản TT tiền mặt ≥ ngưỡng; ","")&amp;IF(AND(AB223&lt;&gt;"",N(AB223)&lt;0),"Thanh toán vượt giá trị HĐ; ","")))</f>
        <v/>
      </c>
      <c r="AG223" s="108" t="n"/>
      <c r="AH223" s="109" t="n"/>
      <c r="AI223" s="105">
        <f>IF(OR(H223="",O223="",AH223&lt;&gt;""),"",O223-'THAM SO'!$B$8)</f>
        <v/>
      </c>
      <c r="AJ223" s="95">
        <f>IF(H223="","",IF(AH223&lt;&gt;"","Đã thanh lý",IF(AND(N223&lt;&gt;"",N223&gt;'THAM SO'!$B$8),"Chưa hiệu lực",IF(O223="","Đang thực hiện",IF(O223&lt;'THAM SO'!$B$8,IF(P223="Có","Đã tự gia hạn – kiểm tra","Quá hạn – chưa thanh lý"),IF(O223-'THAM SO'!$B$8&lt;='THAM SO'!$B$9,"Sắp hết hạn","Đang thực hiện"))))))</f>
        <v/>
      </c>
      <c r="AK223" s="106">
        <f>IF(AND(O223="",AH223=""),"",EDATE(MAX(N(O223),N(AH223)),12*'THAM SO'!$B$12))</f>
        <v/>
      </c>
      <c r="AL223" s="110" t="n"/>
    </row>
    <row r="224" ht="15" customHeight="1" s="64">
      <c r="A224" s="93">
        <f>IF(H224="","",COUNTA($H$9:H224))</f>
        <v/>
      </c>
      <c r="B224" s="93">
        <f>IF(OR(D224="",G224=""),"",YEAR(G224)&amp;"/"&amp;D224&amp;"/"&amp;TEXT(SUMPRODUCT(($D$9:D224=D224)*(YEAR($G$9:G224)=YEAR(G224))),"000")&amp;"-"&amp;'THAM SO'!$B$7)</f>
        <v/>
      </c>
      <c r="C224" s="107" t="n"/>
      <c r="D224" s="107" t="n"/>
      <c r="E224" s="95">
        <f>IF(D224="","",IFERROR(VLOOKUP(D224,'THAM SO'!$D$6:$E$40,2,FALSE()),"Mã loại chưa khai báo"))</f>
        <v/>
      </c>
      <c r="F224" s="108" t="n"/>
      <c r="G224" s="109" t="n"/>
      <c r="H224" s="110" t="n"/>
      <c r="I224" s="108" t="n"/>
      <c r="J224" s="110" t="n"/>
      <c r="K224" s="108" t="n"/>
      <c r="L224" s="108" t="n"/>
      <c r="M224" s="108" t="n"/>
      <c r="N224" s="109" t="n"/>
      <c r="O224" s="109" t="n"/>
      <c r="P224" s="107" t="n"/>
      <c r="Q224" s="107" t="n"/>
      <c r="R224" s="111" t="n"/>
      <c r="S224" s="112" t="n"/>
      <c r="T224" s="113" t="n"/>
      <c r="U224" s="102">
        <f>IF(S224="","",ROUND(S224*N(T224),2))</f>
        <v/>
      </c>
      <c r="V224" s="102">
        <f>IF(S224="","",S224+U224)</f>
        <v/>
      </c>
      <c r="W224" s="103">
        <f>IF(V224="","",ROUND(V224*IF(OR(Q224="",Q224="VND"),1,R224),0))</f>
        <v/>
      </c>
      <c r="X224" s="111" t="n"/>
      <c r="Y224" s="103">
        <f>IF(W224="","",W224+N(X224))</f>
        <v/>
      </c>
      <c r="Z224" s="103">
        <f>IF(B224="","",SUMIFS('NHAT KY THANH TOAN'!$G:$G,'NHAT KY THANH TOAN'!$B:$B,B224,'NHAT KY THANH TOAN'!$D:$D,"Hóa đơn"))</f>
        <v/>
      </c>
      <c r="AA224" s="103">
        <f>IF(B224="","",SUMIFS('NHAT KY THANH TOAN'!$G:$G,'NHAT KY THANH TOAN'!$B:$B,B224,'NHAT KY THANH TOAN'!$D:$D,"Thanh toán"))</f>
        <v/>
      </c>
      <c r="AB224" s="103">
        <f>IF(Y224="","",Y224-N(AA224))</f>
        <v/>
      </c>
      <c r="AC224" s="103">
        <f>IF(B224="","",N(Z224)-N(AA224))</f>
        <v/>
      </c>
      <c r="AD224" s="104">
        <f>IF(N(Y224)=0,"",N(AA224)/Y224)</f>
        <v/>
      </c>
      <c r="AE224" s="107" t="n"/>
      <c r="AF224" s="95">
        <f>IF(H224="","",TRIM(IF(AND(N(Y224)&gt;='THAM SO'!$B$10,AE224&lt;&gt;"Có"),"Chưa rà soát pháp lý; ","")&amp;IF(I224="","Thiếu MST đối tác; ","")&amp;IF(AG224="","Chưa ghi nơi lưu bản gốc; ","")&amp;IF(COUNTIFS('NHAT KY THANH TOAN'!$B:$B,B224,'NHAT KY THANH TOAN'!$D:$D,"Thanh toán",'NHAT KY THANH TOAN'!$F:$F,"Tiền mặt",'NHAT KY THANH TOAN'!$G:$G,"&gt;="&amp;'THAM SO'!$B$11)&gt;0,"Có khoản TT tiền mặt ≥ ngưỡng; ","")&amp;IF(AND(AB224&lt;&gt;"",N(AB224)&lt;0),"Thanh toán vượt giá trị HĐ; ","")))</f>
        <v/>
      </c>
      <c r="AG224" s="108" t="n"/>
      <c r="AH224" s="109" t="n"/>
      <c r="AI224" s="105">
        <f>IF(OR(H224="",O224="",AH224&lt;&gt;""),"",O224-'THAM SO'!$B$8)</f>
        <v/>
      </c>
      <c r="AJ224" s="95">
        <f>IF(H224="","",IF(AH224&lt;&gt;"","Đã thanh lý",IF(AND(N224&lt;&gt;"",N224&gt;'THAM SO'!$B$8),"Chưa hiệu lực",IF(O224="","Đang thực hiện",IF(O224&lt;'THAM SO'!$B$8,IF(P224="Có","Đã tự gia hạn – kiểm tra","Quá hạn – chưa thanh lý"),IF(O224-'THAM SO'!$B$8&lt;='THAM SO'!$B$9,"Sắp hết hạn","Đang thực hiện"))))))</f>
        <v/>
      </c>
      <c r="AK224" s="106">
        <f>IF(AND(O224="",AH224=""),"",EDATE(MAX(N(O224),N(AH224)),12*'THAM SO'!$B$12))</f>
        <v/>
      </c>
      <c r="AL224" s="110" t="n"/>
    </row>
    <row r="225" ht="15" customHeight="1" s="64">
      <c r="A225" s="93">
        <f>IF(H225="","",COUNTA($H$9:H225))</f>
        <v/>
      </c>
      <c r="B225" s="93">
        <f>IF(OR(D225="",G225=""),"",YEAR(G225)&amp;"/"&amp;D225&amp;"/"&amp;TEXT(SUMPRODUCT(($D$9:D225=D225)*(YEAR($G$9:G225)=YEAR(G225))),"000")&amp;"-"&amp;'THAM SO'!$B$7)</f>
        <v/>
      </c>
      <c r="C225" s="107" t="n"/>
      <c r="D225" s="107" t="n"/>
      <c r="E225" s="95">
        <f>IF(D225="","",IFERROR(VLOOKUP(D225,'THAM SO'!$D$6:$E$40,2,FALSE()),"Mã loại chưa khai báo"))</f>
        <v/>
      </c>
      <c r="F225" s="108" t="n"/>
      <c r="G225" s="109" t="n"/>
      <c r="H225" s="110" t="n"/>
      <c r="I225" s="108" t="n"/>
      <c r="J225" s="110" t="n"/>
      <c r="K225" s="108" t="n"/>
      <c r="L225" s="108" t="n"/>
      <c r="M225" s="108" t="n"/>
      <c r="N225" s="109" t="n"/>
      <c r="O225" s="109" t="n"/>
      <c r="P225" s="107" t="n"/>
      <c r="Q225" s="107" t="n"/>
      <c r="R225" s="111" t="n"/>
      <c r="S225" s="112" t="n"/>
      <c r="T225" s="113" t="n"/>
      <c r="U225" s="102">
        <f>IF(S225="","",ROUND(S225*N(T225),2))</f>
        <v/>
      </c>
      <c r="V225" s="102">
        <f>IF(S225="","",S225+U225)</f>
        <v/>
      </c>
      <c r="W225" s="103">
        <f>IF(V225="","",ROUND(V225*IF(OR(Q225="",Q225="VND"),1,R225),0))</f>
        <v/>
      </c>
      <c r="X225" s="111" t="n"/>
      <c r="Y225" s="103">
        <f>IF(W225="","",W225+N(X225))</f>
        <v/>
      </c>
      <c r="Z225" s="103">
        <f>IF(B225="","",SUMIFS('NHAT KY THANH TOAN'!$G:$G,'NHAT KY THANH TOAN'!$B:$B,B225,'NHAT KY THANH TOAN'!$D:$D,"Hóa đơn"))</f>
        <v/>
      </c>
      <c r="AA225" s="103">
        <f>IF(B225="","",SUMIFS('NHAT KY THANH TOAN'!$G:$G,'NHAT KY THANH TOAN'!$B:$B,B225,'NHAT KY THANH TOAN'!$D:$D,"Thanh toán"))</f>
        <v/>
      </c>
      <c r="AB225" s="103">
        <f>IF(Y225="","",Y225-N(AA225))</f>
        <v/>
      </c>
      <c r="AC225" s="103">
        <f>IF(B225="","",N(Z225)-N(AA225))</f>
        <v/>
      </c>
      <c r="AD225" s="104">
        <f>IF(N(Y225)=0,"",N(AA225)/Y225)</f>
        <v/>
      </c>
      <c r="AE225" s="107" t="n"/>
      <c r="AF225" s="95">
        <f>IF(H225="","",TRIM(IF(AND(N(Y225)&gt;='THAM SO'!$B$10,AE225&lt;&gt;"Có"),"Chưa rà soát pháp lý; ","")&amp;IF(I225="","Thiếu MST đối tác; ","")&amp;IF(AG225="","Chưa ghi nơi lưu bản gốc; ","")&amp;IF(COUNTIFS('NHAT KY THANH TOAN'!$B:$B,B225,'NHAT KY THANH TOAN'!$D:$D,"Thanh toán",'NHAT KY THANH TOAN'!$F:$F,"Tiền mặt",'NHAT KY THANH TOAN'!$G:$G,"&gt;="&amp;'THAM SO'!$B$11)&gt;0,"Có khoản TT tiền mặt ≥ ngưỡng; ","")&amp;IF(AND(AB225&lt;&gt;"",N(AB225)&lt;0),"Thanh toán vượt giá trị HĐ; ","")))</f>
        <v/>
      </c>
      <c r="AG225" s="108" t="n"/>
      <c r="AH225" s="109" t="n"/>
      <c r="AI225" s="105">
        <f>IF(OR(H225="",O225="",AH225&lt;&gt;""),"",O225-'THAM SO'!$B$8)</f>
        <v/>
      </c>
      <c r="AJ225" s="95">
        <f>IF(H225="","",IF(AH225&lt;&gt;"","Đã thanh lý",IF(AND(N225&lt;&gt;"",N225&gt;'THAM SO'!$B$8),"Chưa hiệu lực",IF(O225="","Đang thực hiện",IF(O225&lt;'THAM SO'!$B$8,IF(P225="Có","Đã tự gia hạn – kiểm tra","Quá hạn – chưa thanh lý"),IF(O225-'THAM SO'!$B$8&lt;='THAM SO'!$B$9,"Sắp hết hạn","Đang thực hiện"))))))</f>
        <v/>
      </c>
      <c r="AK225" s="106">
        <f>IF(AND(O225="",AH225=""),"",EDATE(MAX(N(O225),N(AH225)),12*'THAM SO'!$B$12))</f>
        <v/>
      </c>
      <c r="AL225" s="110" t="n"/>
    </row>
    <row r="226" ht="15" customHeight="1" s="64">
      <c r="A226" s="93">
        <f>IF(H226="","",COUNTA($H$9:H226))</f>
        <v/>
      </c>
      <c r="B226" s="93">
        <f>IF(OR(D226="",G226=""),"",YEAR(G226)&amp;"/"&amp;D226&amp;"/"&amp;TEXT(SUMPRODUCT(($D$9:D226=D226)*(YEAR($G$9:G226)=YEAR(G226))),"000")&amp;"-"&amp;'THAM SO'!$B$7)</f>
        <v/>
      </c>
      <c r="C226" s="107" t="n"/>
      <c r="D226" s="107" t="n"/>
      <c r="E226" s="95">
        <f>IF(D226="","",IFERROR(VLOOKUP(D226,'THAM SO'!$D$6:$E$40,2,FALSE()),"Mã loại chưa khai báo"))</f>
        <v/>
      </c>
      <c r="F226" s="108" t="n"/>
      <c r="G226" s="109" t="n"/>
      <c r="H226" s="110" t="n"/>
      <c r="I226" s="108" t="n"/>
      <c r="J226" s="110" t="n"/>
      <c r="K226" s="108" t="n"/>
      <c r="L226" s="108" t="n"/>
      <c r="M226" s="108" t="n"/>
      <c r="N226" s="109" t="n"/>
      <c r="O226" s="109" t="n"/>
      <c r="P226" s="107" t="n"/>
      <c r="Q226" s="107" t="n"/>
      <c r="R226" s="111" t="n"/>
      <c r="S226" s="112" t="n"/>
      <c r="T226" s="113" t="n"/>
      <c r="U226" s="102">
        <f>IF(S226="","",ROUND(S226*N(T226),2))</f>
        <v/>
      </c>
      <c r="V226" s="102">
        <f>IF(S226="","",S226+U226)</f>
        <v/>
      </c>
      <c r="W226" s="103">
        <f>IF(V226="","",ROUND(V226*IF(OR(Q226="",Q226="VND"),1,R226),0))</f>
        <v/>
      </c>
      <c r="X226" s="111" t="n"/>
      <c r="Y226" s="103">
        <f>IF(W226="","",W226+N(X226))</f>
        <v/>
      </c>
      <c r="Z226" s="103">
        <f>IF(B226="","",SUMIFS('NHAT KY THANH TOAN'!$G:$G,'NHAT KY THANH TOAN'!$B:$B,B226,'NHAT KY THANH TOAN'!$D:$D,"Hóa đơn"))</f>
        <v/>
      </c>
      <c r="AA226" s="103">
        <f>IF(B226="","",SUMIFS('NHAT KY THANH TOAN'!$G:$G,'NHAT KY THANH TOAN'!$B:$B,B226,'NHAT KY THANH TOAN'!$D:$D,"Thanh toán"))</f>
        <v/>
      </c>
      <c r="AB226" s="103">
        <f>IF(Y226="","",Y226-N(AA226))</f>
        <v/>
      </c>
      <c r="AC226" s="103">
        <f>IF(B226="","",N(Z226)-N(AA226))</f>
        <v/>
      </c>
      <c r="AD226" s="104">
        <f>IF(N(Y226)=0,"",N(AA226)/Y226)</f>
        <v/>
      </c>
      <c r="AE226" s="107" t="n"/>
      <c r="AF226" s="95">
        <f>IF(H226="","",TRIM(IF(AND(N(Y226)&gt;='THAM SO'!$B$10,AE226&lt;&gt;"Có"),"Chưa rà soát pháp lý; ","")&amp;IF(I226="","Thiếu MST đối tác; ","")&amp;IF(AG226="","Chưa ghi nơi lưu bản gốc; ","")&amp;IF(COUNTIFS('NHAT KY THANH TOAN'!$B:$B,B226,'NHAT KY THANH TOAN'!$D:$D,"Thanh toán",'NHAT KY THANH TOAN'!$F:$F,"Tiền mặt",'NHAT KY THANH TOAN'!$G:$G,"&gt;="&amp;'THAM SO'!$B$11)&gt;0,"Có khoản TT tiền mặt ≥ ngưỡng; ","")&amp;IF(AND(AB226&lt;&gt;"",N(AB226)&lt;0),"Thanh toán vượt giá trị HĐ; ","")))</f>
        <v/>
      </c>
      <c r="AG226" s="108" t="n"/>
      <c r="AH226" s="109" t="n"/>
      <c r="AI226" s="105">
        <f>IF(OR(H226="",O226="",AH226&lt;&gt;""),"",O226-'THAM SO'!$B$8)</f>
        <v/>
      </c>
      <c r="AJ226" s="95">
        <f>IF(H226="","",IF(AH226&lt;&gt;"","Đã thanh lý",IF(AND(N226&lt;&gt;"",N226&gt;'THAM SO'!$B$8),"Chưa hiệu lực",IF(O226="","Đang thực hiện",IF(O226&lt;'THAM SO'!$B$8,IF(P226="Có","Đã tự gia hạn – kiểm tra","Quá hạn – chưa thanh lý"),IF(O226-'THAM SO'!$B$8&lt;='THAM SO'!$B$9,"Sắp hết hạn","Đang thực hiện"))))))</f>
        <v/>
      </c>
      <c r="AK226" s="106">
        <f>IF(AND(O226="",AH226=""),"",EDATE(MAX(N(O226),N(AH226)),12*'THAM SO'!$B$12))</f>
        <v/>
      </c>
      <c r="AL226" s="110" t="n"/>
    </row>
    <row r="227" ht="15" customHeight="1" s="64">
      <c r="A227" s="93">
        <f>IF(H227="","",COUNTA($H$9:H227))</f>
        <v/>
      </c>
      <c r="B227" s="93">
        <f>IF(OR(D227="",G227=""),"",YEAR(G227)&amp;"/"&amp;D227&amp;"/"&amp;TEXT(SUMPRODUCT(($D$9:D227=D227)*(YEAR($G$9:G227)=YEAR(G227))),"000")&amp;"-"&amp;'THAM SO'!$B$7)</f>
        <v/>
      </c>
      <c r="C227" s="107" t="n"/>
      <c r="D227" s="107" t="n"/>
      <c r="E227" s="95">
        <f>IF(D227="","",IFERROR(VLOOKUP(D227,'THAM SO'!$D$6:$E$40,2,FALSE()),"Mã loại chưa khai báo"))</f>
        <v/>
      </c>
      <c r="F227" s="108" t="n"/>
      <c r="G227" s="109" t="n"/>
      <c r="H227" s="110" t="n"/>
      <c r="I227" s="108" t="n"/>
      <c r="J227" s="110" t="n"/>
      <c r="K227" s="108" t="n"/>
      <c r="L227" s="108" t="n"/>
      <c r="M227" s="108" t="n"/>
      <c r="N227" s="109" t="n"/>
      <c r="O227" s="109" t="n"/>
      <c r="P227" s="107" t="n"/>
      <c r="Q227" s="107" t="n"/>
      <c r="R227" s="111" t="n"/>
      <c r="S227" s="112" t="n"/>
      <c r="T227" s="113" t="n"/>
      <c r="U227" s="102">
        <f>IF(S227="","",ROUND(S227*N(T227),2))</f>
        <v/>
      </c>
      <c r="V227" s="102">
        <f>IF(S227="","",S227+U227)</f>
        <v/>
      </c>
      <c r="W227" s="103">
        <f>IF(V227="","",ROUND(V227*IF(OR(Q227="",Q227="VND"),1,R227),0))</f>
        <v/>
      </c>
      <c r="X227" s="111" t="n"/>
      <c r="Y227" s="103">
        <f>IF(W227="","",W227+N(X227))</f>
        <v/>
      </c>
      <c r="Z227" s="103">
        <f>IF(B227="","",SUMIFS('NHAT KY THANH TOAN'!$G:$G,'NHAT KY THANH TOAN'!$B:$B,B227,'NHAT KY THANH TOAN'!$D:$D,"Hóa đơn"))</f>
        <v/>
      </c>
      <c r="AA227" s="103">
        <f>IF(B227="","",SUMIFS('NHAT KY THANH TOAN'!$G:$G,'NHAT KY THANH TOAN'!$B:$B,B227,'NHAT KY THANH TOAN'!$D:$D,"Thanh toán"))</f>
        <v/>
      </c>
      <c r="AB227" s="103">
        <f>IF(Y227="","",Y227-N(AA227))</f>
        <v/>
      </c>
      <c r="AC227" s="103">
        <f>IF(B227="","",N(Z227)-N(AA227))</f>
        <v/>
      </c>
      <c r="AD227" s="104">
        <f>IF(N(Y227)=0,"",N(AA227)/Y227)</f>
        <v/>
      </c>
      <c r="AE227" s="107" t="n"/>
      <c r="AF227" s="95">
        <f>IF(H227="","",TRIM(IF(AND(N(Y227)&gt;='THAM SO'!$B$10,AE227&lt;&gt;"Có"),"Chưa rà soát pháp lý; ","")&amp;IF(I227="","Thiếu MST đối tác; ","")&amp;IF(AG227="","Chưa ghi nơi lưu bản gốc; ","")&amp;IF(COUNTIFS('NHAT KY THANH TOAN'!$B:$B,B227,'NHAT KY THANH TOAN'!$D:$D,"Thanh toán",'NHAT KY THANH TOAN'!$F:$F,"Tiền mặt",'NHAT KY THANH TOAN'!$G:$G,"&gt;="&amp;'THAM SO'!$B$11)&gt;0,"Có khoản TT tiền mặt ≥ ngưỡng; ","")&amp;IF(AND(AB227&lt;&gt;"",N(AB227)&lt;0),"Thanh toán vượt giá trị HĐ; ","")))</f>
        <v/>
      </c>
      <c r="AG227" s="108" t="n"/>
      <c r="AH227" s="109" t="n"/>
      <c r="AI227" s="105">
        <f>IF(OR(H227="",O227="",AH227&lt;&gt;""),"",O227-'THAM SO'!$B$8)</f>
        <v/>
      </c>
      <c r="AJ227" s="95">
        <f>IF(H227="","",IF(AH227&lt;&gt;"","Đã thanh lý",IF(AND(N227&lt;&gt;"",N227&gt;'THAM SO'!$B$8),"Chưa hiệu lực",IF(O227="","Đang thực hiện",IF(O227&lt;'THAM SO'!$B$8,IF(P227="Có","Đã tự gia hạn – kiểm tra","Quá hạn – chưa thanh lý"),IF(O227-'THAM SO'!$B$8&lt;='THAM SO'!$B$9,"Sắp hết hạn","Đang thực hiện"))))))</f>
        <v/>
      </c>
      <c r="AK227" s="106">
        <f>IF(AND(O227="",AH227=""),"",EDATE(MAX(N(O227),N(AH227)),12*'THAM SO'!$B$12))</f>
        <v/>
      </c>
      <c r="AL227" s="110" t="n"/>
    </row>
    <row r="228" ht="15" customHeight="1" s="64">
      <c r="A228" s="93">
        <f>IF(H228="","",COUNTA($H$9:H228))</f>
        <v/>
      </c>
      <c r="B228" s="93">
        <f>IF(OR(D228="",G228=""),"",YEAR(G228)&amp;"/"&amp;D228&amp;"/"&amp;TEXT(SUMPRODUCT(($D$9:D228=D228)*(YEAR($G$9:G228)=YEAR(G228))),"000")&amp;"-"&amp;'THAM SO'!$B$7)</f>
        <v/>
      </c>
      <c r="C228" s="107" t="n"/>
      <c r="D228" s="107" t="n"/>
      <c r="E228" s="95">
        <f>IF(D228="","",IFERROR(VLOOKUP(D228,'THAM SO'!$D$6:$E$40,2,FALSE()),"Mã loại chưa khai báo"))</f>
        <v/>
      </c>
      <c r="F228" s="108" t="n"/>
      <c r="G228" s="109" t="n"/>
      <c r="H228" s="110" t="n"/>
      <c r="I228" s="108" t="n"/>
      <c r="J228" s="110" t="n"/>
      <c r="K228" s="108" t="n"/>
      <c r="L228" s="108" t="n"/>
      <c r="M228" s="108" t="n"/>
      <c r="N228" s="109" t="n"/>
      <c r="O228" s="109" t="n"/>
      <c r="P228" s="107" t="n"/>
      <c r="Q228" s="107" t="n"/>
      <c r="R228" s="111" t="n"/>
      <c r="S228" s="112" t="n"/>
      <c r="T228" s="113" t="n"/>
      <c r="U228" s="102">
        <f>IF(S228="","",ROUND(S228*N(T228),2))</f>
        <v/>
      </c>
      <c r="V228" s="102">
        <f>IF(S228="","",S228+U228)</f>
        <v/>
      </c>
      <c r="W228" s="103">
        <f>IF(V228="","",ROUND(V228*IF(OR(Q228="",Q228="VND"),1,R228),0))</f>
        <v/>
      </c>
      <c r="X228" s="111" t="n"/>
      <c r="Y228" s="103">
        <f>IF(W228="","",W228+N(X228))</f>
        <v/>
      </c>
      <c r="Z228" s="103">
        <f>IF(B228="","",SUMIFS('NHAT KY THANH TOAN'!$G:$G,'NHAT KY THANH TOAN'!$B:$B,B228,'NHAT KY THANH TOAN'!$D:$D,"Hóa đơn"))</f>
        <v/>
      </c>
      <c r="AA228" s="103">
        <f>IF(B228="","",SUMIFS('NHAT KY THANH TOAN'!$G:$G,'NHAT KY THANH TOAN'!$B:$B,B228,'NHAT KY THANH TOAN'!$D:$D,"Thanh toán"))</f>
        <v/>
      </c>
      <c r="AB228" s="103">
        <f>IF(Y228="","",Y228-N(AA228))</f>
        <v/>
      </c>
      <c r="AC228" s="103">
        <f>IF(B228="","",N(Z228)-N(AA228))</f>
        <v/>
      </c>
      <c r="AD228" s="104">
        <f>IF(N(Y228)=0,"",N(AA228)/Y228)</f>
        <v/>
      </c>
      <c r="AE228" s="107" t="n"/>
      <c r="AF228" s="95">
        <f>IF(H228="","",TRIM(IF(AND(N(Y228)&gt;='THAM SO'!$B$10,AE228&lt;&gt;"Có"),"Chưa rà soát pháp lý; ","")&amp;IF(I228="","Thiếu MST đối tác; ","")&amp;IF(AG228="","Chưa ghi nơi lưu bản gốc; ","")&amp;IF(COUNTIFS('NHAT KY THANH TOAN'!$B:$B,B228,'NHAT KY THANH TOAN'!$D:$D,"Thanh toán",'NHAT KY THANH TOAN'!$F:$F,"Tiền mặt",'NHAT KY THANH TOAN'!$G:$G,"&gt;="&amp;'THAM SO'!$B$11)&gt;0,"Có khoản TT tiền mặt ≥ ngưỡng; ","")&amp;IF(AND(AB228&lt;&gt;"",N(AB228)&lt;0),"Thanh toán vượt giá trị HĐ; ","")))</f>
        <v/>
      </c>
      <c r="AG228" s="108" t="n"/>
      <c r="AH228" s="109" t="n"/>
      <c r="AI228" s="105">
        <f>IF(OR(H228="",O228="",AH228&lt;&gt;""),"",O228-'THAM SO'!$B$8)</f>
        <v/>
      </c>
      <c r="AJ228" s="95">
        <f>IF(H228="","",IF(AH228&lt;&gt;"","Đã thanh lý",IF(AND(N228&lt;&gt;"",N228&gt;'THAM SO'!$B$8),"Chưa hiệu lực",IF(O228="","Đang thực hiện",IF(O228&lt;'THAM SO'!$B$8,IF(P228="Có","Đã tự gia hạn – kiểm tra","Quá hạn – chưa thanh lý"),IF(O228-'THAM SO'!$B$8&lt;='THAM SO'!$B$9,"Sắp hết hạn","Đang thực hiện"))))))</f>
        <v/>
      </c>
      <c r="AK228" s="106">
        <f>IF(AND(O228="",AH228=""),"",EDATE(MAX(N(O228),N(AH228)),12*'THAM SO'!$B$12))</f>
        <v/>
      </c>
      <c r="AL228" s="110" t="n"/>
    </row>
    <row r="229" ht="15" customHeight="1" s="64">
      <c r="A229" s="93">
        <f>IF(H229="","",COUNTA($H$9:H229))</f>
        <v/>
      </c>
      <c r="B229" s="93">
        <f>IF(OR(D229="",G229=""),"",YEAR(G229)&amp;"/"&amp;D229&amp;"/"&amp;TEXT(SUMPRODUCT(($D$9:D229=D229)*(YEAR($G$9:G229)=YEAR(G229))),"000")&amp;"-"&amp;'THAM SO'!$B$7)</f>
        <v/>
      </c>
      <c r="C229" s="107" t="n"/>
      <c r="D229" s="107" t="n"/>
      <c r="E229" s="95">
        <f>IF(D229="","",IFERROR(VLOOKUP(D229,'THAM SO'!$D$6:$E$40,2,FALSE()),"Mã loại chưa khai báo"))</f>
        <v/>
      </c>
      <c r="F229" s="108" t="n"/>
      <c r="G229" s="109" t="n"/>
      <c r="H229" s="110" t="n"/>
      <c r="I229" s="108" t="n"/>
      <c r="J229" s="110" t="n"/>
      <c r="K229" s="108" t="n"/>
      <c r="L229" s="108" t="n"/>
      <c r="M229" s="108" t="n"/>
      <c r="N229" s="109" t="n"/>
      <c r="O229" s="109" t="n"/>
      <c r="P229" s="107" t="n"/>
      <c r="Q229" s="107" t="n"/>
      <c r="R229" s="111" t="n"/>
      <c r="S229" s="112" t="n"/>
      <c r="T229" s="113" t="n"/>
      <c r="U229" s="102">
        <f>IF(S229="","",ROUND(S229*N(T229),2))</f>
        <v/>
      </c>
      <c r="V229" s="102">
        <f>IF(S229="","",S229+U229)</f>
        <v/>
      </c>
      <c r="W229" s="103">
        <f>IF(V229="","",ROUND(V229*IF(OR(Q229="",Q229="VND"),1,R229),0))</f>
        <v/>
      </c>
      <c r="X229" s="111" t="n"/>
      <c r="Y229" s="103">
        <f>IF(W229="","",W229+N(X229))</f>
        <v/>
      </c>
      <c r="Z229" s="103">
        <f>IF(B229="","",SUMIFS('NHAT KY THANH TOAN'!$G:$G,'NHAT KY THANH TOAN'!$B:$B,B229,'NHAT KY THANH TOAN'!$D:$D,"Hóa đơn"))</f>
        <v/>
      </c>
      <c r="AA229" s="103">
        <f>IF(B229="","",SUMIFS('NHAT KY THANH TOAN'!$G:$G,'NHAT KY THANH TOAN'!$B:$B,B229,'NHAT KY THANH TOAN'!$D:$D,"Thanh toán"))</f>
        <v/>
      </c>
      <c r="AB229" s="103">
        <f>IF(Y229="","",Y229-N(AA229))</f>
        <v/>
      </c>
      <c r="AC229" s="103">
        <f>IF(B229="","",N(Z229)-N(AA229))</f>
        <v/>
      </c>
      <c r="AD229" s="104">
        <f>IF(N(Y229)=0,"",N(AA229)/Y229)</f>
        <v/>
      </c>
      <c r="AE229" s="107" t="n"/>
      <c r="AF229" s="95">
        <f>IF(H229="","",TRIM(IF(AND(N(Y229)&gt;='THAM SO'!$B$10,AE229&lt;&gt;"Có"),"Chưa rà soát pháp lý; ","")&amp;IF(I229="","Thiếu MST đối tác; ","")&amp;IF(AG229="","Chưa ghi nơi lưu bản gốc; ","")&amp;IF(COUNTIFS('NHAT KY THANH TOAN'!$B:$B,B229,'NHAT KY THANH TOAN'!$D:$D,"Thanh toán",'NHAT KY THANH TOAN'!$F:$F,"Tiền mặt",'NHAT KY THANH TOAN'!$G:$G,"&gt;="&amp;'THAM SO'!$B$11)&gt;0,"Có khoản TT tiền mặt ≥ ngưỡng; ","")&amp;IF(AND(AB229&lt;&gt;"",N(AB229)&lt;0),"Thanh toán vượt giá trị HĐ; ","")))</f>
        <v/>
      </c>
      <c r="AG229" s="108" t="n"/>
      <c r="AH229" s="109" t="n"/>
      <c r="AI229" s="105">
        <f>IF(OR(H229="",O229="",AH229&lt;&gt;""),"",O229-'THAM SO'!$B$8)</f>
        <v/>
      </c>
      <c r="AJ229" s="95">
        <f>IF(H229="","",IF(AH229&lt;&gt;"","Đã thanh lý",IF(AND(N229&lt;&gt;"",N229&gt;'THAM SO'!$B$8),"Chưa hiệu lực",IF(O229="","Đang thực hiện",IF(O229&lt;'THAM SO'!$B$8,IF(P229="Có","Đã tự gia hạn – kiểm tra","Quá hạn – chưa thanh lý"),IF(O229-'THAM SO'!$B$8&lt;='THAM SO'!$B$9,"Sắp hết hạn","Đang thực hiện"))))))</f>
        <v/>
      </c>
      <c r="AK229" s="106">
        <f>IF(AND(O229="",AH229=""),"",EDATE(MAX(N(O229),N(AH229)),12*'THAM SO'!$B$12))</f>
        <v/>
      </c>
      <c r="AL229" s="110" t="n"/>
    </row>
    <row r="230" ht="15" customHeight="1" s="64">
      <c r="A230" s="93">
        <f>IF(H230="","",COUNTA($H$9:H230))</f>
        <v/>
      </c>
      <c r="B230" s="93">
        <f>IF(OR(D230="",G230=""),"",YEAR(G230)&amp;"/"&amp;D230&amp;"/"&amp;TEXT(SUMPRODUCT(($D$9:D230=D230)*(YEAR($G$9:G230)=YEAR(G230))),"000")&amp;"-"&amp;'THAM SO'!$B$7)</f>
        <v/>
      </c>
      <c r="C230" s="107" t="n"/>
      <c r="D230" s="107" t="n"/>
      <c r="E230" s="95">
        <f>IF(D230="","",IFERROR(VLOOKUP(D230,'THAM SO'!$D$6:$E$40,2,FALSE()),"Mã loại chưa khai báo"))</f>
        <v/>
      </c>
      <c r="F230" s="108" t="n"/>
      <c r="G230" s="109" t="n"/>
      <c r="H230" s="110" t="n"/>
      <c r="I230" s="108" t="n"/>
      <c r="J230" s="110" t="n"/>
      <c r="K230" s="108" t="n"/>
      <c r="L230" s="108" t="n"/>
      <c r="M230" s="108" t="n"/>
      <c r="N230" s="109" t="n"/>
      <c r="O230" s="109" t="n"/>
      <c r="P230" s="107" t="n"/>
      <c r="Q230" s="107" t="n"/>
      <c r="R230" s="111" t="n"/>
      <c r="S230" s="112" t="n"/>
      <c r="T230" s="113" t="n"/>
      <c r="U230" s="102">
        <f>IF(S230="","",ROUND(S230*N(T230),2))</f>
        <v/>
      </c>
      <c r="V230" s="102">
        <f>IF(S230="","",S230+U230)</f>
        <v/>
      </c>
      <c r="W230" s="103">
        <f>IF(V230="","",ROUND(V230*IF(OR(Q230="",Q230="VND"),1,R230),0))</f>
        <v/>
      </c>
      <c r="X230" s="111" t="n"/>
      <c r="Y230" s="103">
        <f>IF(W230="","",W230+N(X230))</f>
        <v/>
      </c>
      <c r="Z230" s="103">
        <f>IF(B230="","",SUMIFS('NHAT KY THANH TOAN'!$G:$G,'NHAT KY THANH TOAN'!$B:$B,B230,'NHAT KY THANH TOAN'!$D:$D,"Hóa đơn"))</f>
        <v/>
      </c>
      <c r="AA230" s="103">
        <f>IF(B230="","",SUMIFS('NHAT KY THANH TOAN'!$G:$G,'NHAT KY THANH TOAN'!$B:$B,B230,'NHAT KY THANH TOAN'!$D:$D,"Thanh toán"))</f>
        <v/>
      </c>
      <c r="AB230" s="103">
        <f>IF(Y230="","",Y230-N(AA230))</f>
        <v/>
      </c>
      <c r="AC230" s="103">
        <f>IF(B230="","",N(Z230)-N(AA230))</f>
        <v/>
      </c>
      <c r="AD230" s="104">
        <f>IF(N(Y230)=0,"",N(AA230)/Y230)</f>
        <v/>
      </c>
      <c r="AE230" s="107" t="n"/>
      <c r="AF230" s="95">
        <f>IF(H230="","",TRIM(IF(AND(N(Y230)&gt;='THAM SO'!$B$10,AE230&lt;&gt;"Có"),"Chưa rà soát pháp lý; ","")&amp;IF(I230="","Thiếu MST đối tác; ","")&amp;IF(AG230="","Chưa ghi nơi lưu bản gốc; ","")&amp;IF(COUNTIFS('NHAT KY THANH TOAN'!$B:$B,B230,'NHAT KY THANH TOAN'!$D:$D,"Thanh toán",'NHAT KY THANH TOAN'!$F:$F,"Tiền mặt",'NHAT KY THANH TOAN'!$G:$G,"&gt;="&amp;'THAM SO'!$B$11)&gt;0,"Có khoản TT tiền mặt ≥ ngưỡng; ","")&amp;IF(AND(AB230&lt;&gt;"",N(AB230)&lt;0),"Thanh toán vượt giá trị HĐ; ","")))</f>
        <v/>
      </c>
      <c r="AG230" s="108" t="n"/>
      <c r="AH230" s="109" t="n"/>
      <c r="AI230" s="105">
        <f>IF(OR(H230="",O230="",AH230&lt;&gt;""),"",O230-'THAM SO'!$B$8)</f>
        <v/>
      </c>
      <c r="AJ230" s="95">
        <f>IF(H230="","",IF(AH230&lt;&gt;"","Đã thanh lý",IF(AND(N230&lt;&gt;"",N230&gt;'THAM SO'!$B$8),"Chưa hiệu lực",IF(O230="","Đang thực hiện",IF(O230&lt;'THAM SO'!$B$8,IF(P230="Có","Đã tự gia hạn – kiểm tra","Quá hạn – chưa thanh lý"),IF(O230-'THAM SO'!$B$8&lt;='THAM SO'!$B$9,"Sắp hết hạn","Đang thực hiện"))))))</f>
        <v/>
      </c>
      <c r="AK230" s="106">
        <f>IF(AND(O230="",AH230=""),"",EDATE(MAX(N(O230),N(AH230)),12*'THAM SO'!$B$12))</f>
        <v/>
      </c>
      <c r="AL230" s="110" t="n"/>
    </row>
    <row r="231" ht="15" customHeight="1" s="64">
      <c r="A231" s="93">
        <f>IF(H231="","",COUNTA($H$9:H231))</f>
        <v/>
      </c>
      <c r="B231" s="93">
        <f>IF(OR(D231="",G231=""),"",YEAR(G231)&amp;"/"&amp;D231&amp;"/"&amp;TEXT(SUMPRODUCT(($D$9:D231=D231)*(YEAR($G$9:G231)=YEAR(G231))),"000")&amp;"-"&amp;'THAM SO'!$B$7)</f>
        <v/>
      </c>
      <c r="C231" s="107" t="n"/>
      <c r="D231" s="107" t="n"/>
      <c r="E231" s="95">
        <f>IF(D231="","",IFERROR(VLOOKUP(D231,'THAM SO'!$D$6:$E$40,2,FALSE()),"Mã loại chưa khai báo"))</f>
        <v/>
      </c>
      <c r="F231" s="108" t="n"/>
      <c r="G231" s="109" t="n"/>
      <c r="H231" s="110" t="n"/>
      <c r="I231" s="108" t="n"/>
      <c r="J231" s="110" t="n"/>
      <c r="K231" s="108" t="n"/>
      <c r="L231" s="108" t="n"/>
      <c r="M231" s="108" t="n"/>
      <c r="N231" s="109" t="n"/>
      <c r="O231" s="109" t="n"/>
      <c r="P231" s="107" t="n"/>
      <c r="Q231" s="107" t="n"/>
      <c r="R231" s="111" t="n"/>
      <c r="S231" s="112" t="n"/>
      <c r="T231" s="113" t="n"/>
      <c r="U231" s="102">
        <f>IF(S231="","",ROUND(S231*N(T231),2))</f>
        <v/>
      </c>
      <c r="V231" s="102">
        <f>IF(S231="","",S231+U231)</f>
        <v/>
      </c>
      <c r="W231" s="103">
        <f>IF(V231="","",ROUND(V231*IF(OR(Q231="",Q231="VND"),1,R231),0))</f>
        <v/>
      </c>
      <c r="X231" s="111" t="n"/>
      <c r="Y231" s="103">
        <f>IF(W231="","",W231+N(X231))</f>
        <v/>
      </c>
      <c r="Z231" s="103">
        <f>IF(B231="","",SUMIFS('NHAT KY THANH TOAN'!$G:$G,'NHAT KY THANH TOAN'!$B:$B,B231,'NHAT KY THANH TOAN'!$D:$D,"Hóa đơn"))</f>
        <v/>
      </c>
      <c r="AA231" s="103">
        <f>IF(B231="","",SUMIFS('NHAT KY THANH TOAN'!$G:$G,'NHAT KY THANH TOAN'!$B:$B,B231,'NHAT KY THANH TOAN'!$D:$D,"Thanh toán"))</f>
        <v/>
      </c>
      <c r="AB231" s="103">
        <f>IF(Y231="","",Y231-N(AA231))</f>
        <v/>
      </c>
      <c r="AC231" s="103">
        <f>IF(B231="","",N(Z231)-N(AA231))</f>
        <v/>
      </c>
      <c r="AD231" s="104">
        <f>IF(N(Y231)=0,"",N(AA231)/Y231)</f>
        <v/>
      </c>
      <c r="AE231" s="107" t="n"/>
      <c r="AF231" s="95">
        <f>IF(H231="","",TRIM(IF(AND(N(Y231)&gt;='THAM SO'!$B$10,AE231&lt;&gt;"Có"),"Chưa rà soát pháp lý; ","")&amp;IF(I231="","Thiếu MST đối tác; ","")&amp;IF(AG231="","Chưa ghi nơi lưu bản gốc; ","")&amp;IF(COUNTIFS('NHAT KY THANH TOAN'!$B:$B,B231,'NHAT KY THANH TOAN'!$D:$D,"Thanh toán",'NHAT KY THANH TOAN'!$F:$F,"Tiền mặt",'NHAT KY THANH TOAN'!$G:$G,"&gt;="&amp;'THAM SO'!$B$11)&gt;0,"Có khoản TT tiền mặt ≥ ngưỡng; ","")&amp;IF(AND(AB231&lt;&gt;"",N(AB231)&lt;0),"Thanh toán vượt giá trị HĐ; ","")))</f>
        <v/>
      </c>
      <c r="AG231" s="108" t="n"/>
      <c r="AH231" s="109" t="n"/>
      <c r="AI231" s="105">
        <f>IF(OR(H231="",O231="",AH231&lt;&gt;""),"",O231-'THAM SO'!$B$8)</f>
        <v/>
      </c>
      <c r="AJ231" s="95">
        <f>IF(H231="","",IF(AH231&lt;&gt;"","Đã thanh lý",IF(AND(N231&lt;&gt;"",N231&gt;'THAM SO'!$B$8),"Chưa hiệu lực",IF(O231="","Đang thực hiện",IF(O231&lt;'THAM SO'!$B$8,IF(P231="Có","Đã tự gia hạn – kiểm tra","Quá hạn – chưa thanh lý"),IF(O231-'THAM SO'!$B$8&lt;='THAM SO'!$B$9,"Sắp hết hạn","Đang thực hiện"))))))</f>
        <v/>
      </c>
      <c r="AK231" s="106">
        <f>IF(AND(O231="",AH231=""),"",EDATE(MAX(N(O231),N(AH231)),12*'THAM SO'!$B$12))</f>
        <v/>
      </c>
      <c r="AL231" s="110" t="n"/>
    </row>
    <row r="232" ht="15" customHeight="1" s="64">
      <c r="A232" s="93">
        <f>IF(H232="","",COUNTA($H$9:H232))</f>
        <v/>
      </c>
      <c r="B232" s="93">
        <f>IF(OR(D232="",G232=""),"",YEAR(G232)&amp;"/"&amp;D232&amp;"/"&amp;TEXT(SUMPRODUCT(($D$9:D232=D232)*(YEAR($G$9:G232)=YEAR(G232))),"000")&amp;"-"&amp;'THAM SO'!$B$7)</f>
        <v/>
      </c>
      <c r="C232" s="107" t="n"/>
      <c r="D232" s="107" t="n"/>
      <c r="E232" s="95">
        <f>IF(D232="","",IFERROR(VLOOKUP(D232,'THAM SO'!$D$6:$E$40,2,FALSE()),"Mã loại chưa khai báo"))</f>
        <v/>
      </c>
      <c r="F232" s="108" t="n"/>
      <c r="G232" s="109" t="n"/>
      <c r="H232" s="110" t="n"/>
      <c r="I232" s="108" t="n"/>
      <c r="J232" s="110" t="n"/>
      <c r="K232" s="108" t="n"/>
      <c r="L232" s="108" t="n"/>
      <c r="M232" s="108" t="n"/>
      <c r="N232" s="109" t="n"/>
      <c r="O232" s="109" t="n"/>
      <c r="P232" s="107" t="n"/>
      <c r="Q232" s="107" t="n"/>
      <c r="R232" s="111" t="n"/>
      <c r="S232" s="112" t="n"/>
      <c r="T232" s="113" t="n"/>
      <c r="U232" s="102">
        <f>IF(S232="","",ROUND(S232*N(T232),2))</f>
        <v/>
      </c>
      <c r="V232" s="102">
        <f>IF(S232="","",S232+U232)</f>
        <v/>
      </c>
      <c r="W232" s="103">
        <f>IF(V232="","",ROUND(V232*IF(OR(Q232="",Q232="VND"),1,R232),0))</f>
        <v/>
      </c>
      <c r="X232" s="111" t="n"/>
      <c r="Y232" s="103">
        <f>IF(W232="","",W232+N(X232))</f>
        <v/>
      </c>
      <c r="Z232" s="103">
        <f>IF(B232="","",SUMIFS('NHAT KY THANH TOAN'!$G:$G,'NHAT KY THANH TOAN'!$B:$B,B232,'NHAT KY THANH TOAN'!$D:$D,"Hóa đơn"))</f>
        <v/>
      </c>
      <c r="AA232" s="103">
        <f>IF(B232="","",SUMIFS('NHAT KY THANH TOAN'!$G:$G,'NHAT KY THANH TOAN'!$B:$B,B232,'NHAT KY THANH TOAN'!$D:$D,"Thanh toán"))</f>
        <v/>
      </c>
      <c r="AB232" s="103">
        <f>IF(Y232="","",Y232-N(AA232))</f>
        <v/>
      </c>
      <c r="AC232" s="103">
        <f>IF(B232="","",N(Z232)-N(AA232))</f>
        <v/>
      </c>
      <c r="AD232" s="104">
        <f>IF(N(Y232)=0,"",N(AA232)/Y232)</f>
        <v/>
      </c>
      <c r="AE232" s="107" t="n"/>
      <c r="AF232" s="95">
        <f>IF(H232="","",TRIM(IF(AND(N(Y232)&gt;='THAM SO'!$B$10,AE232&lt;&gt;"Có"),"Chưa rà soát pháp lý; ","")&amp;IF(I232="","Thiếu MST đối tác; ","")&amp;IF(AG232="","Chưa ghi nơi lưu bản gốc; ","")&amp;IF(COUNTIFS('NHAT KY THANH TOAN'!$B:$B,B232,'NHAT KY THANH TOAN'!$D:$D,"Thanh toán",'NHAT KY THANH TOAN'!$F:$F,"Tiền mặt",'NHAT KY THANH TOAN'!$G:$G,"&gt;="&amp;'THAM SO'!$B$11)&gt;0,"Có khoản TT tiền mặt ≥ ngưỡng; ","")&amp;IF(AND(AB232&lt;&gt;"",N(AB232)&lt;0),"Thanh toán vượt giá trị HĐ; ","")))</f>
        <v/>
      </c>
      <c r="AG232" s="108" t="n"/>
      <c r="AH232" s="109" t="n"/>
      <c r="AI232" s="105">
        <f>IF(OR(H232="",O232="",AH232&lt;&gt;""),"",O232-'THAM SO'!$B$8)</f>
        <v/>
      </c>
      <c r="AJ232" s="95">
        <f>IF(H232="","",IF(AH232&lt;&gt;"","Đã thanh lý",IF(AND(N232&lt;&gt;"",N232&gt;'THAM SO'!$B$8),"Chưa hiệu lực",IF(O232="","Đang thực hiện",IF(O232&lt;'THAM SO'!$B$8,IF(P232="Có","Đã tự gia hạn – kiểm tra","Quá hạn – chưa thanh lý"),IF(O232-'THAM SO'!$B$8&lt;='THAM SO'!$B$9,"Sắp hết hạn","Đang thực hiện"))))))</f>
        <v/>
      </c>
      <c r="AK232" s="106">
        <f>IF(AND(O232="",AH232=""),"",EDATE(MAX(N(O232),N(AH232)),12*'THAM SO'!$B$12))</f>
        <v/>
      </c>
      <c r="AL232" s="110" t="n"/>
    </row>
    <row r="233" ht="15" customHeight="1" s="64">
      <c r="A233" s="93">
        <f>IF(H233="","",COUNTA($H$9:H233))</f>
        <v/>
      </c>
      <c r="B233" s="93">
        <f>IF(OR(D233="",G233=""),"",YEAR(G233)&amp;"/"&amp;D233&amp;"/"&amp;TEXT(SUMPRODUCT(($D$9:D233=D233)*(YEAR($G$9:G233)=YEAR(G233))),"000")&amp;"-"&amp;'THAM SO'!$B$7)</f>
        <v/>
      </c>
      <c r="C233" s="107" t="n"/>
      <c r="D233" s="107" t="n"/>
      <c r="E233" s="95">
        <f>IF(D233="","",IFERROR(VLOOKUP(D233,'THAM SO'!$D$6:$E$40,2,FALSE()),"Mã loại chưa khai báo"))</f>
        <v/>
      </c>
      <c r="F233" s="108" t="n"/>
      <c r="G233" s="109" t="n"/>
      <c r="H233" s="110" t="n"/>
      <c r="I233" s="108" t="n"/>
      <c r="J233" s="110" t="n"/>
      <c r="K233" s="108" t="n"/>
      <c r="L233" s="108" t="n"/>
      <c r="M233" s="108" t="n"/>
      <c r="N233" s="109" t="n"/>
      <c r="O233" s="109" t="n"/>
      <c r="P233" s="107" t="n"/>
      <c r="Q233" s="107" t="n"/>
      <c r="R233" s="111" t="n"/>
      <c r="S233" s="112" t="n"/>
      <c r="T233" s="113" t="n"/>
      <c r="U233" s="102">
        <f>IF(S233="","",ROUND(S233*N(T233),2))</f>
        <v/>
      </c>
      <c r="V233" s="102">
        <f>IF(S233="","",S233+U233)</f>
        <v/>
      </c>
      <c r="W233" s="103">
        <f>IF(V233="","",ROUND(V233*IF(OR(Q233="",Q233="VND"),1,R233),0))</f>
        <v/>
      </c>
      <c r="X233" s="111" t="n"/>
      <c r="Y233" s="103">
        <f>IF(W233="","",W233+N(X233))</f>
        <v/>
      </c>
      <c r="Z233" s="103">
        <f>IF(B233="","",SUMIFS('NHAT KY THANH TOAN'!$G:$G,'NHAT KY THANH TOAN'!$B:$B,B233,'NHAT KY THANH TOAN'!$D:$D,"Hóa đơn"))</f>
        <v/>
      </c>
      <c r="AA233" s="103">
        <f>IF(B233="","",SUMIFS('NHAT KY THANH TOAN'!$G:$G,'NHAT KY THANH TOAN'!$B:$B,B233,'NHAT KY THANH TOAN'!$D:$D,"Thanh toán"))</f>
        <v/>
      </c>
      <c r="AB233" s="103">
        <f>IF(Y233="","",Y233-N(AA233))</f>
        <v/>
      </c>
      <c r="AC233" s="103">
        <f>IF(B233="","",N(Z233)-N(AA233))</f>
        <v/>
      </c>
      <c r="AD233" s="104">
        <f>IF(N(Y233)=0,"",N(AA233)/Y233)</f>
        <v/>
      </c>
      <c r="AE233" s="107" t="n"/>
      <c r="AF233" s="95">
        <f>IF(H233="","",TRIM(IF(AND(N(Y233)&gt;='THAM SO'!$B$10,AE233&lt;&gt;"Có"),"Chưa rà soát pháp lý; ","")&amp;IF(I233="","Thiếu MST đối tác; ","")&amp;IF(AG233="","Chưa ghi nơi lưu bản gốc; ","")&amp;IF(COUNTIFS('NHAT KY THANH TOAN'!$B:$B,B233,'NHAT KY THANH TOAN'!$D:$D,"Thanh toán",'NHAT KY THANH TOAN'!$F:$F,"Tiền mặt",'NHAT KY THANH TOAN'!$G:$G,"&gt;="&amp;'THAM SO'!$B$11)&gt;0,"Có khoản TT tiền mặt ≥ ngưỡng; ","")&amp;IF(AND(AB233&lt;&gt;"",N(AB233)&lt;0),"Thanh toán vượt giá trị HĐ; ","")))</f>
        <v/>
      </c>
      <c r="AG233" s="108" t="n"/>
      <c r="AH233" s="109" t="n"/>
      <c r="AI233" s="105">
        <f>IF(OR(H233="",O233="",AH233&lt;&gt;""),"",O233-'THAM SO'!$B$8)</f>
        <v/>
      </c>
      <c r="AJ233" s="95">
        <f>IF(H233="","",IF(AH233&lt;&gt;"","Đã thanh lý",IF(AND(N233&lt;&gt;"",N233&gt;'THAM SO'!$B$8),"Chưa hiệu lực",IF(O233="","Đang thực hiện",IF(O233&lt;'THAM SO'!$B$8,IF(P233="Có","Đã tự gia hạn – kiểm tra","Quá hạn – chưa thanh lý"),IF(O233-'THAM SO'!$B$8&lt;='THAM SO'!$B$9,"Sắp hết hạn","Đang thực hiện"))))))</f>
        <v/>
      </c>
      <c r="AK233" s="106">
        <f>IF(AND(O233="",AH233=""),"",EDATE(MAX(N(O233),N(AH233)),12*'THAM SO'!$B$12))</f>
        <v/>
      </c>
      <c r="AL233" s="110" t="n"/>
    </row>
    <row r="234" ht="15" customHeight="1" s="64">
      <c r="A234" s="93">
        <f>IF(H234="","",COUNTA($H$9:H234))</f>
        <v/>
      </c>
      <c r="B234" s="93">
        <f>IF(OR(D234="",G234=""),"",YEAR(G234)&amp;"/"&amp;D234&amp;"/"&amp;TEXT(SUMPRODUCT(($D$9:D234=D234)*(YEAR($G$9:G234)=YEAR(G234))),"000")&amp;"-"&amp;'THAM SO'!$B$7)</f>
        <v/>
      </c>
      <c r="C234" s="107" t="n"/>
      <c r="D234" s="107" t="n"/>
      <c r="E234" s="95">
        <f>IF(D234="","",IFERROR(VLOOKUP(D234,'THAM SO'!$D$6:$E$40,2,FALSE()),"Mã loại chưa khai báo"))</f>
        <v/>
      </c>
      <c r="F234" s="108" t="n"/>
      <c r="G234" s="109" t="n"/>
      <c r="H234" s="110" t="n"/>
      <c r="I234" s="108" t="n"/>
      <c r="J234" s="110" t="n"/>
      <c r="K234" s="108" t="n"/>
      <c r="L234" s="108" t="n"/>
      <c r="M234" s="108" t="n"/>
      <c r="N234" s="109" t="n"/>
      <c r="O234" s="109" t="n"/>
      <c r="P234" s="107" t="n"/>
      <c r="Q234" s="107" t="n"/>
      <c r="R234" s="111" t="n"/>
      <c r="S234" s="112" t="n"/>
      <c r="T234" s="113" t="n"/>
      <c r="U234" s="102">
        <f>IF(S234="","",ROUND(S234*N(T234),2))</f>
        <v/>
      </c>
      <c r="V234" s="102">
        <f>IF(S234="","",S234+U234)</f>
        <v/>
      </c>
      <c r="W234" s="103">
        <f>IF(V234="","",ROUND(V234*IF(OR(Q234="",Q234="VND"),1,R234),0))</f>
        <v/>
      </c>
      <c r="X234" s="111" t="n"/>
      <c r="Y234" s="103">
        <f>IF(W234="","",W234+N(X234))</f>
        <v/>
      </c>
      <c r="Z234" s="103">
        <f>IF(B234="","",SUMIFS('NHAT KY THANH TOAN'!$G:$G,'NHAT KY THANH TOAN'!$B:$B,B234,'NHAT KY THANH TOAN'!$D:$D,"Hóa đơn"))</f>
        <v/>
      </c>
      <c r="AA234" s="103">
        <f>IF(B234="","",SUMIFS('NHAT KY THANH TOAN'!$G:$G,'NHAT KY THANH TOAN'!$B:$B,B234,'NHAT KY THANH TOAN'!$D:$D,"Thanh toán"))</f>
        <v/>
      </c>
      <c r="AB234" s="103">
        <f>IF(Y234="","",Y234-N(AA234))</f>
        <v/>
      </c>
      <c r="AC234" s="103">
        <f>IF(B234="","",N(Z234)-N(AA234))</f>
        <v/>
      </c>
      <c r="AD234" s="104">
        <f>IF(N(Y234)=0,"",N(AA234)/Y234)</f>
        <v/>
      </c>
      <c r="AE234" s="107" t="n"/>
      <c r="AF234" s="95">
        <f>IF(H234="","",TRIM(IF(AND(N(Y234)&gt;='THAM SO'!$B$10,AE234&lt;&gt;"Có"),"Chưa rà soát pháp lý; ","")&amp;IF(I234="","Thiếu MST đối tác; ","")&amp;IF(AG234="","Chưa ghi nơi lưu bản gốc; ","")&amp;IF(COUNTIFS('NHAT KY THANH TOAN'!$B:$B,B234,'NHAT KY THANH TOAN'!$D:$D,"Thanh toán",'NHAT KY THANH TOAN'!$F:$F,"Tiền mặt",'NHAT KY THANH TOAN'!$G:$G,"&gt;="&amp;'THAM SO'!$B$11)&gt;0,"Có khoản TT tiền mặt ≥ ngưỡng; ","")&amp;IF(AND(AB234&lt;&gt;"",N(AB234)&lt;0),"Thanh toán vượt giá trị HĐ; ","")))</f>
        <v/>
      </c>
      <c r="AG234" s="108" t="n"/>
      <c r="AH234" s="109" t="n"/>
      <c r="AI234" s="105">
        <f>IF(OR(H234="",O234="",AH234&lt;&gt;""),"",O234-'THAM SO'!$B$8)</f>
        <v/>
      </c>
      <c r="AJ234" s="95">
        <f>IF(H234="","",IF(AH234&lt;&gt;"","Đã thanh lý",IF(AND(N234&lt;&gt;"",N234&gt;'THAM SO'!$B$8),"Chưa hiệu lực",IF(O234="","Đang thực hiện",IF(O234&lt;'THAM SO'!$B$8,IF(P234="Có","Đã tự gia hạn – kiểm tra","Quá hạn – chưa thanh lý"),IF(O234-'THAM SO'!$B$8&lt;='THAM SO'!$B$9,"Sắp hết hạn","Đang thực hiện"))))))</f>
        <v/>
      </c>
      <c r="AK234" s="106">
        <f>IF(AND(O234="",AH234=""),"",EDATE(MAX(N(O234),N(AH234)),12*'THAM SO'!$B$12))</f>
        <v/>
      </c>
      <c r="AL234" s="110" t="n"/>
    </row>
    <row r="235" ht="15" customHeight="1" s="64">
      <c r="A235" s="93">
        <f>IF(H235="","",COUNTA($H$9:H235))</f>
        <v/>
      </c>
      <c r="B235" s="93">
        <f>IF(OR(D235="",G235=""),"",YEAR(G235)&amp;"/"&amp;D235&amp;"/"&amp;TEXT(SUMPRODUCT(($D$9:D235=D235)*(YEAR($G$9:G235)=YEAR(G235))),"000")&amp;"-"&amp;'THAM SO'!$B$7)</f>
        <v/>
      </c>
      <c r="C235" s="107" t="n"/>
      <c r="D235" s="107" t="n"/>
      <c r="E235" s="95">
        <f>IF(D235="","",IFERROR(VLOOKUP(D235,'THAM SO'!$D$6:$E$40,2,FALSE()),"Mã loại chưa khai báo"))</f>
        <v/>
      </c>
      <c r="F235" s="108" t="n"/>
      <c r="G235" s="109" t="n"/>
      <c r="H235" s="110" t="n"/>
      <c r="I235" s="108" t="n"/>
      <c r="J235" s="110" t="n"/>
      <c r="K235" s="108" t="n"/>
      <c r="L235" s="108" t="n"/>
      <c r="M235" s="108" t="n"/>
      <c r="N235" s="109" t="n"/>
      <c r="O235" s="109" t="n"/>
      <c r="P235" s="107" t="n"/>
      <c r="Q235" s="107" t="n"/>
      <c r="R235" s="111" t="n"/>
      <c r="S235" s="112" t="n"/>
      <c r="T235" s="113" t="n"/>
      <c r="U235" s="102">
        <f>IF(S235="","",ROUND(S235*N(T235),2))</f>
        <v/>
      </c>
      <c r="V235" s="102">
        <f>IF(S235="","",S235+U235)</f>
        <v/>
      </c>
      <c r="W235" s="103">
        <f>IF(V235="","",ROUND(V235*IF(OR(Q235="",Q235="VND"),1,R235),0))</f>
        <v/>
      </c>
      <c r="X235" s="111" t="n"/>
      <c r="Y235" s="103">
        <f>IF(W235="","",W235+N(X235))</f>
        <v/>
      </c>
      <c r="Z235" s="103">
        <f>IF(B235="","",SUMIFS('NHAT KY THANH TOAN'!$G:$G,'NHAT KY THANH TOAN'!$B:$B,B235,'NHAT KY THANH TOAN'!$D:$D,"Hóa đơn"))</f>
        <v/>
      </c>
      <c r="AA235" s="103">
        <f>IF(B235="","",SUMIFS('NHAT KY THANH TOAN'!$G:$G,'NHAT KY THANH TOAN'!$B:$B,B235,'NHAT KY THANH TOAN'!$D:$D,"Thanh toán"))</f>
        <v/>
      </c>
      <c r="AB235" s="103">
        <f>IF(Y235="","",Y235-N(AA235))</f>
        <v/>
      </c>
      <c r="AC235" s="103">
        <f>IF(B235="","",N(Z235)-N(AA235))</f>
        <v/>
      </c>
      <c r="AD235" s="104">
        <f>IF(N(Y235)=0,"",N(AA235)/Y235)</f>
        <v/>
      </c>
      <c r="AE235" s="107" t="n"/>
      <c r="AF235" s="95">
        <f>IF(H235="","",TRIM(IF(AND(N(Y235)&gt;='THAM SO'!$B$10,AE235&lt;&gt;"Có"),"Chưa rà soát pháp lý; ","")&amp;IF(I235="","Thiếu MST đối tác; ","")&amp;IF(AG235="","Chưa ghi nơi lưu bản gốc; ","")&amp;IF(COUNTIFS('NHAT KY THANH TOAN'!$B:$B,B235,'NHAT KY THANH TOAN'!$D:$D,"Thanh toán",'NHAT KY THANH TOAN'!$F:$F,"Tiền mặt",'NHAT KY THANH TOAN'!$G:$G,"&gt;="&amp;'THAM SO'!$B$11)&gt;0,"Có khoản TT tiền mặt ≥ ngưỡng; ","")&amp;IF(AND(AB235&lt;&gt;"",N(AB235)&lt;0),"Thanh toán vượt giá trị HĐ; ","")))</f>
        <v/>
      </c>
      <c r="AG235" s="108" t="n"/>
      <c r="AH235" s="109" t="n"/>
      <c r="AI235" s="105">
        <f>IF(OR(H235="",O235="",AH235&lt;&gt;""),"",O235-'THAM SO'!$B$8)</f>
        <v/>
      </c>
      <c r="AJ235" s="95">
        <f>IF(H235="","",IF(AH235&lt;&gt;"","Đã thanh lý",IF(AND(N235&lt;&gt;"",N235&gt;'THAM SO'!$B$8),"Chưa hiệu lực",IF(O235="","Đang thực hiện",IF(O235&lt;'THAM SO'!$B$8,IF(P235="Có","Đã tự gia hạn – kiểm tra","Quá hạn – chưa thanh lý"),IF(O235-'THAM SO'!$B$8&lt;='THAM SO'!$B$9,"Sắp hết hạn","Đang thực hiện"))))))</f>
        <v/>
      </c>
      <c r="AK235" s="106">
        <f>IF(AND(O235="",AH235=""),"",EDATE(MAX(N(O235),N(AH235)),12*'THAM SO'!$B$12))</f>
        <v/>
      </c>
      <c r="AL235" s="110" t="n"/>
    </row>
    <row r="236" ht="15" customHeight="1" s="64">
      <c r="A236" s="93">
        <f>IF(H236="","",COUNTA($H$9:H236))</f>
        <v/>
      </c>
      <c r="B236" s="93">
        <f>IF(OR(D236="",G236=""),"",YEAR(G236)&amp;"/"&amp;D236&amp;"/"&amp;TEXT(SUMPRODUCT(($D$9:D236=D236)*(YEAR($G$9:G236)=YEAR(G236))),"000")&amp;"-"&amp;'THAM SO'!$B$7)</f>
        <v/>
      </c>
      <c r="C236" s="107" t="n"/>
      <c r="D236" s="107" t="n"/>
      <c r="E236" s="95">
        <f>IF(D236="","",IFERROR(VLOOKUP(D236,'THAM SO'!$D$6:$E$40,2,FALSE()),"Mã loại chưa khai báo"))</f>
        <v/>
      </c>
      <c r="F236" s="108" t="n"/>
      <c r="G236" s="109" t="n"/>
      <c r="H236" s="110" t="n"/>
      <c r="I236" s="108" t="n"/>
      <c r="J236" s="110" t="n"/>
      <c r="K236" s="108" t="n"/>
      <c r="L236" s="108" t="n"/>
      <c r="M236" s="108" t="n"/>
      <c r="N236" s="109" t="n"/>
      <c r="O236" s="109" t="n"/>
      <c r="P236" s="107" t="n"/>
      <c r="Q236" s="107" t="n"/>
      <c r="R236" s="111" t="n"/>
      <c r="S236" s="112" t="n"/>
      <c r="T236" s="113" t="n"/>
      <c r="U236" s="102">
        <f>IF(S236="","",ROUND(S236*N(T236),2))</f>
        <v/>
      </c>
      <c r="V236" s="102">
        <f>IF(S236="","",S236+U236)</f>
        <v/>
      </c>
      <c r="W236" s="103">
        <f>IF(V236="","",ROUND(V236*IF(OR(Q236="",Q236="VND"),1,R236),0))</f>
        <v/>
      </c>
      <c r="X236" s="111" t="n"/>
      <c r="Y236" s="103">
        <f>IF(W236="","",W236+N(X236))</f>
        <v/>
      </c>
      <c r="Z236" s="103">
        <f>IF(B236="","",SUMIFS('NHAT KY THANH TOAN'!$G:$G,'NHAT KY THANH TOAN'!$B:$B,B236,'NHAT KY THANH TOAN'!$D:$D,"Hóa đơn"))</f>
        <v/>
      </c>
      <c r="AA236" s="103">
        <f>IF(B236="","",SUMIFS('NHAT KY THANH TOAN'!$G:$G,'NHAT KY THANH TOAN'!$B:$B,B236,'NHAT KY THANH TOAN'!$D:$D,"Thanh toán"))</f>
        <v/>
      </c>
      <c r="AB236" s="103">
        <f>IF(Y236="","",Y236-N(AA236))</f>
        <v/>
      </c>
      <c r="AC236" s="103">
        <f>IF(B236="","",N(Z236)-N(AA236))</f>
        <v/>
      </c>
      <c r="AD236" s="104">
        <f>IF(N(Y236)=0,"",N(AA236)/Y236)</f>
        <v/>
      </c>
      <c r="AE236" s="107" t="n"/>
      <c r="AF236" s="95">
        <f>IF(H236="","",TRIM(IF(AND(N(Y236)&gt;='THAM SO'!$B$10,AE236&lt;&gt;"Có"),"Chưa rà soát pháp lý; ","")&amp;IF(I236="","Thiếu MST đối tác; ","")&amp;IF(AG236="","Chưa ghi nơi lưu bản gốc; ","")&amp;IF(COUNTIFS('NHAT KY THANH TOAN'!$B:$B,B236,'NHAT KY THANH TOAN'!$D:$D,"Thanh toán",'NHAT KY THANH TOAN'!$F:$F,"Tiền mặt",'NHAT KY THANH TOAN'!$G:$G,"&gt;="&amp;'THAM SO'!$B$11)&gt;0,"Có khoản TT tiền mặt ≥ ngưỡng; ","")&amp;IF(AND(AB236&lt;&gt;"",N(AB236)&lt;0),"Thanh toán vượt giá trị HĐ; ","")))</f>
        <v/>
      </c>
      <c r="AG236" s="108" t="n"/>
      <c r="AH236" s="109" t="n"/>
      <c r="AI236" s="105">
        <f>IF(OR(H236="",O236="",AH236&lt;&gt;""),"",O236-'THAM SO'!$B$8)</f>
        <v/>
      </c>
      <c r="AJ236" s="95">
        <f>IF(H236="","",IF(AH236&lt;&gt;"","Đã thanh lý",IF(AND(N236&lt;&gt;"",N236&gt;'THAM SO'!$B$8),"Chưa hiệu lực",IF(O236="","Đang thực hiện",IF(O236&lt;'THAM SO'!$B$8,IF(P236="Có","Đã tự gia hạn – kiểm tra","Quá hạn – chưa thanh lý"),IF(O236-'THAM SO'!$B$8&lt;='THAM SO'!$B$9,"Sắp hết hạn","Đang thực hiện"))))))</f>
        <v/>
      </c>
      <c r="AK236" s="106">
        <f>IF(AND(O236="",AH236=""),"",EDATE(MAX(N(O236),N(AH236)),12*'THAM SO'!$B$12))</f>
        <v/>
      </c>
      <c r="AL236" s="110" t="n"/>
    </row>
    <row r="237" ht="15" customHeight="1" s="64">
      <c r="A237" s="93">
        <f>IF(H237="","",COUNTA($H$9:H237))</f>
        <v/>
      </c>
      <c r="B237" s="93">
        <f>IF(OR(D237="",G237=""),"",YEAR(G237)&amp;"/"&amp;D237&amp;"/"&amp;TEXT(SUMPRODUCT(($D$9:D237=D237)*(YEAR($G$9:G237)=YEAR(G237))),"000")&amp;"-"&amp;'THAM SO'!$B$7)</f>
        <v/>
      </c>
      <c r="C237" s="107" t="n"/>
      <c r="D237" s="107" t="n"/>
      <c r="E237" s="95">
        <f>IF(D237="","",IFERROR(VLOOKUP(D237,'THAM SO'!$D$6:$E$40,2,FALSE()),"Mã loại chưa khai báo"))</f>
        <v/>
      </c>
      <c r="F237" s="108" t="n"/>
      <c r="G237" s="109" t="n"/>
      <c r="H237" s="110" t="n"/>
      <c r="I237" s="108" t="n"/>
      <c r="J237" s="110" t="n"/>
      <c r="K237" s="108" t="n"/>
      <c r="L237" s="108" t="n"/>
      <c r="M237" s="108" t="n"/>
      <c r="N237" s="109" t="n"/>
      <c r="O237" s="109" t="n"/>
      <c r="P237" s="107" t="n"/>
      <c r="Q237" s="107" t="n"/>
      <c r="R237" s="111" t="n"/>
      <c r="S237" s="112" t="n"/>
      <c r="T237" s="113" t="n"/>
      <c r="U237" s="102">
        <f>IF(S237="","",ROUND(S237*N(T237),2))</f>
        <v/>
      </c>
      <c r="V237" s="102">
        <f>IF(S237="","",S237+U237)</f>
        <v/>
      </c>
      <c r="W237" s="103">
        <f>IF(V237="","",ROUND(V237*IF(OR(Q237="",Q237="VND"),1,R237),0))</f>
        <v/>
      </c>
      <c r="X237" s="111" t="n"/>
      <c r="Y237" s="103">
        <f>IF(W237="","",W237+N(X237))</f>
        <v/>
      </c>
      <c r="Z237" s="103">
        <f>IF(B237="","",SUMIFS('NHAT KY THANH TOAN'!$G:$G,'NHAT KY THANH TOAN'!$B:$B,B237,'NHAT KY THANH TOAN'!$D:$D,"Hóa đơn"))</f>
        <v/>
      </c>
      <c r="AA237" s="103">
        <f>IF(B237="","",SUMIFS('NHAT KY THANH TOAN'!$G:$G,'NHAT KY THANH TOAN'!$B:$B,B237,'NHAT KY THANH TOAN'!$D:$D,"Thanh toán"))</f>
        <v/>
      </c>
      <c r="AB237" s="103">
        <f>IF(Y237="","",Y237-N(AA237))</f>
        <v/>
      </c>
      <c r="AC237" s="103">
        <f>IF(B237="","",N(Z237)-N(AA237))</f>
        <v/>
      </c>
      <c r="AD237" s="104">
        <f>IF(N(Y237)=0,"",N(AA237)/Y237)</f>
        <v/>
      </c>
      <c r="AE237" s="107" t="n"/>
      <c r="AF237" s="95">
        <f>IF(H237="","",TRIM(IF(AND(N(Y237)&gt;='THAM SO'!$B$10,AE237&lt;&gt;"Có"),"Chưa rà soát pháp lý; ","")&amp;IF(I237="","Thiếu MST đối tác; ","")&amp;IF(AG237="","Chưa ghi nơi lưu bản gốc; ","")&amp;IF(COUNTIFS('NHAT KY THANH TOAN'!$B:$B,B237,'NHAT KY THANH TOAN'!$D:$D,"Thanh toán",'NHAT KY THANH TOAN'!$F:$F,"Tiền mặt",'NHAT KY THANH TOAN'!$G:$G,"&gt;="&amp;'THAM SO'!$B$11)&gt;0,"Có khoản TT tiền mặt ≥ ngưỡng; ","")&amp;IF(AND(AB237&lt;&gt;"",N(AB237)&lt;0),"Thanh toán vượt giá trị HĐ; ","")))</f>
        <v/>
      </c>
      <c r="AG237" s="108" t="n"/>
      <c r="AH237" s="109" t="n"/>
      <c r="AI237" s="105">
        <f>IF(OR(H237="",O237="",AH237&lt;&gt;""),"",O237-'THAM SO'!$B$8)</f>
        <v/>
      </c>
      <c r="AJ237" s="95">
        <f>IF(H237="","",IF(AH237&lt;&gt;"","Đã thanh lý",IF(AND(N237&lt;&gt;"",N237&gt;'THAM SO'!$B$8),"Chưa hiệu lực",IF(O237="","Đang thực hiện",IF(O237&lt;'THAM SO'!$B$8,IF(P237="Có","Đã tự gia hạn – kiểm tra","Quá hạn – chưa thanh lý"),IF(O237-'THAM SO'!$B$8&lt;='THAM SO'!$B$9,"Sắp hết hạn","Đang thực hiện"))))))</f>
        <v/>
      </c>
      <c r="AK237" s="106">
        <f>IF(AND(O237="",AH237=""),"",EDATE(MAX(N(O237),N(AH237)),12*'THAM SO'!$B$12))</f>
        <v/>
      </c>
      <c r="AL237" s="110" t="n"/>
    </row>
    <row r="238" ht="15" customHeight="1" s="64">
      <c r="A238" s="93">
        <f>IF(H238="","",COUNTA($H$9:H238))</f>
        <v/>
      </c>
      <c r="B238" s="93">
        <f>IF(OR(D238="",G238=""),"",YEAR(G238)&amp;"/"&amp;D238&amp;"/"&amp;TEXT(SUMPRODUCT(($D$9:D238=D238)*(YEAR($G$9:G238)=YEAR(G238))),"000")&amp;"-"&amp;'THAM SO'!$B$7)</f>
        <v/>
      </c>
      <c r="C238" s="107" t="n"/>
      <c r="D238" s="107" t="n"/>
      <c r="E238" s="95">
        <f>IF(D238="","",IFERROR(VLOOKUP(D238,'THAM SO'!$D$6:$E$40,2,FALSE()),"Mã loại chưa khai báo"))</f>
        <v/>
      </c>
      <c r="F238" s="108" t="n"/>
      <c r="G238" s="109" t="n"/>
      <c r="H238" s="110" t="n"/>
      <c r="I238" s="108" t="n"/>
      <c r="J238" s="110" t="n"/>
      <c r="K238" s="108" t="n"/>
      <c r="L238" s="108" t="n"/>
      <c r="M238" s="108" t="n"/>
      <c r="N238" s="109" t="n"/>
      <c r="O238" s="109" t="n"/>
      <c r="P238" s="107" t="n"/>
      <c r="Q238" s="107" t="n"/>
      <c r="R238" s="111" t="n"/>
      <c r="S238" s="112" t="n"/>
      <c r="T238" s="113" t="n"/>
      <c r="U238" s="102">
        <f>IF(S238="","",ROUND(S238*N(T238),2))</f>
        <v/>
      </c>
      <c r="V238" s="102">
        <f>IF(S238="","",S238+U238)</f>
        <v/>
      </c>
      <c r="W238" s="103">
        <f>IF(V238="","",ROUND(V238*IF(OR(Q238="",Q238="VND"),1,R238),0))</f>
        <v/>
      </c>
      <c r="X238" s="111" t="n"/>
      <c r="Y238" s="103">
        <f>IF(W238="","",W238+N(X238))</f>
        <v/>
      </c>
      <c r="Z238" s="103">
        <f>IF(B238="","",SUMIFS('NHAT KY THANH TOAN'!$G:$G,'NHAT KY THANH TOAN'!$B:$B,B238,'NHAT KY THANH TOAN'!$D:$D,"Hóa đơn"))</f>
        <v/>
      </c>
      <c r="AA238" s="103">
        <f>IF(B238="","",SUMIFS('NHAT KY THANH TOAN'!$G:$G,'NHAT KY THANH TOAN'!$B:$B,B238,'NHAT KY THANH TOAN'!$D:$D,"Thanh toán"))</f>
        <v/>
      </c>
      <c r="AB238" s="103">
        <f>IF(Y238="","",Y238-N(AA238))</f>
        <v/>
      </c>
      <c r="AC238" s="103">
        <f>IF(B238="","",N(Z238)-N(AA238))</f>
        <v/>
      </c>
      <c r="AD238" s="104">
        <f>IF(N(Y238)=0,"",N(AA238)/Y238)</f>
        <v/>
      </c>
      <c r="AE238" s="107" t="n"/>
      <c r="AF238" s="95">
        <f>IF(H238="","",TRIM(IF(AND(N(Y238)&gt;='THAM SO'!$B$10,AE238&lt;&gt;"Có"),"Chưa rà soát pháp lý; ","")&amp;IF(I238="","Thiếu MST đối tác; ","")&amp;IF(AG238="","Chưa ghi nơi lưu bản gốc; ","")&amp;IF(COUNTIFS('NHAT KY THANH TOAN'!$B:$B,B238,'NHAT KY THANH TOAN'!$D:$D,"Thanh toán",'NHAT KY THANH TOAN'!$F:$F,"Tiền mặt",'NHAT KY THANH TOAN'!$G:$G,"&gt;="&amp;'THAM SO'!$B$11)&gt;0,"Có khoản TT tiền mặt ≥ ngưỡng; ","")&amp;IF(AND(AB238&lt;&gt;"",N(AB238)&lt;0),"Thanh toán vượt giá trị HĐ; ","")))</f>
        <v/>
      </c>
      <c r="AG238" s="108" t="n"/>
      <c r="AH238" s="109" t="n"/>
      <c r="AI238" s="105">
        <f>IF(OR(H238="",O238="",AH238&lt;&gt;""),"",O238-'THAM SO'!$B$8)</f>
        <v/>
      </c>
      <c r="AJ238" s="95">
        <f>IF(H238="","",IF(AH238&lt;&gt;"","Đã thanh lý",IF(AND(N238&lt;&gt;"",N238&gt;'THAM SO'!$B$8),"Chưa hiệu lực",IF(O238="","Đang thực hiện",IF(O238&lt;'THAM SO'!$B$8,IF(P238="Có","Đã tự gia hạn – kiểm tra","Quá hạn – chưa thanh lý"),IF(O238-'THAM SO'!$B$8&lt;='THAM SO'!$B$9,"Sắp hết hạn","Đang thực hiện"))))))</f>
        <v/>
      </c>
      <c r="AK238" s="106">
        <f>IF(AND(O238="",AH238=""),"",EDATE(MAX(N(O238),N(AH238)),12*'THAM SO'!$B$12))</f>
        <v/>
      </c>
      <c r="AL238" s="110" t="n"/>
    </row>
    <row r="239" ht="15" customHeight="1" s="64">
      <c r="A239" s="93">
        <f>IF(H239="","",COUNTA($H$9:H239))</f>
        <v/>
      </c>
      <c r="B239" s="93">
        <f>IF(OR(D239="",G239=""),"",YEAR(G239)&amp;"/"&amp;D239&amp;"/"&amp;TEXT(SUMPRODUCT(($D$9:D239=D239)*(YEAR($G$9:G239)=YEAR(G239))),"000")&amp;"-"&amp;'THAM SO'!$B$7)</f>
        <v/>
      </c>
      <c r="C239" s="107" t="n"/>
      <c r="D239" s="107" t="n"/>
      <c r="E239" s="95">
        <f>IF(D239="","",IFERROR(VLOOKUP(D239,'THAM SO'!$D$6:$E$40,2,FALSE()),"Mã loại chưa khai báo"))</f>
        <v/>
      </c>
      <c r="F239" s="108" t="n"/>
      <c r="G239" s="109" t="n"/>
      <c r="H239" s="110" t="n"/>
      <c r="I239" s="108" t="n"/>
      <c r="J239" s="110" t="n"/>
      <c r="K239" s="108" t="n"/>
      <c r="L239" s="108" t="n"/>
      <c r="M239" s="108" t="n"/>
      <c r="N239" s="109" t="n"/>
      <c r="O239" s="109" t="n"/>
      <c r="P239" s="107" t="n"/>
      <c r="Q239" s="107" t="n"/>
      <c r="R239" s="111" t="n"/>
      <c r="S239" s="112" t="n"/>
      <c r="T239" s="113" t="n"/>
      <c r="U239" s="102">
        <f>IF(S239="","",ROUND(S239*N(T239),2))</f>
        <v/>
      </c>
      <c r="V239" s="102">
        <f>IF(S239="","",S239+U239)</f>
        <v/>
      </c>
      <c r="W239" s="103">
        <f>IF(V239="","",ROUND(V239*IF(OR(Q239="",Q239="VND"),1,R239),0))</f>
        <v/>
      </c>
      <c r="X239" s="111" t="n"/>
      <c r="Y239" s="103">
        <f>IF(W239="","",W239+N(X239))</f>
        <v/>
      </c>
      <c r="Z239" s="103">
        <f>IF(B239="","",SUMIFS('NHAT KY THANH TOAN'!$G:$G,'NHAT KY THANH TOAN'!$B:$B,B239,'NHAT KY THANH TOAN'!$D:$D,"Hóa đơn"))</f>
        <v/>
      </c>
      <c r="AA239" s="103">
        <f>IF(B239="","",SUMIFS('NHAT KY THANH TOAN'!$G:$G,'NHAT KY THANH TOAN'!$B:$B,B239,'NHAT KY THANH TOAN'!$D:$D,"Thanh toán"))</f>
        <v/>
      </c>
      <c r="AB239" s="103">
        <f>IF(Y239="","",Y239-N(AA239))</f>
        <v/>
      </c>
      <c r="AC239" s="103">
        <f>IF(B239="","",N(Z239)-N(AA239))</f>
        <v/>
      </c>
      <c r="AD239" s="104">
        <f>IF(N(Y239)=0,"",N(AA239)/Y239)</f>
        <v/>
      </c>
      <c r="AE239" s="107" t="n"/>
      <c r="AF239" s="95">
        <f>IF(H239="","",TRIM(IF(AND(N(Y239)&gt;='THAM SO'!$B$10,AE239&lt;&gt;"Có"),"Chưa rà soát pháp lý; ","")&amp;IF(I239="","Thiếu MST đối tác; ","")&amp;IF(AG239="","Chưa ghi nơi lưu bản gốc; ","")&amp;IF(COUNTIFS('NHAT KY THANH TOAN'!$B:$B,B239,'NHAT KY THANH TOAN'!$D:$D,"Thanh toán",'NHAT KY THANH TOAN'!$F:$F,"Tiền mặt",'NHAT KY THANH TOAN'!$G:$G,"&gt;="&amp;'THAM SO'!$B$11)&gt;0,"Có khoản TT tiền mặt ≥ ngưỡng; ","")&amp;IF(AND(AB239&lt;&gt;"",N(AB239)&lt;0),"Thanh toán vượt giá trị HĐ; ","")))</f>
        <v/>
      </c>
      <c r="AG239" s="108" t="n"/>
      <c r="AH239" s="109" t="n"/>
      <c r="AI239" s="105">
        <f>IF(OR(H239="",O239="",AH239&lt;&gt;""),"",O239-'THAM SO'!$B$8)</f>
        <v/>
      </c>
      <c r="AJ239" s="95">
        <f>IF(H239="","",IF(AH239&lt;&gt;"","Đã thanh lý",IF(AND(N239&lt;&gt;"",N239&gt;'THAM SO'!$B$8),"Chưa hiệu lực",IF(O239="","Đang thực hiện",IF(O239&lt;'THAM SO'!$B$8,IF(P239="Có","Đã tự gia hạn – kiểm tra","Quá hạn – chưa thanh lý"),IF(O239-'THAM SO'!$B$8&lt;='THAM SO'!$B$9,"Sắp hết hạn","Đang thực hiện"))))))</f>
        <v/>
      </c>
      <c r="AK239" s="106">
        <f>IF(AND(O239="",AH239=""),"",EDATE(MAX(N(O239),N(AH239)),12*'THAM SO'!$B$12))</f>
        <v/>
      </c>
      <c r="AL239" s="110" t="n"/>
    </row>
    <row r="240" ht="15" customHeight="1" s="64">
      <c r="A240" s="93">
        <f>IF(H240="","",COUNTA($H$9:H240))</f>
        <v/>
      </c>
      <c r="B240" s="93">
        <f>IF(OR(D240="",G240=""),"",YEAR(G240)&amp;"/"&amp;D240&amp;"/"&amp;TEXT(SUMPRODUCT(($D$9:D240=D240)*(YEAR($G$9:G240)=YEAR(G240))),"000")&amp;"-"&amp;'THAM SO'!$B$7)</f>
        <v/>
      </c>
      <c r="C240" s="107" t="n"/>
      <c r="D240" s="107" t="n"/>
      <c r="E240" s="95">
        <f>IF(D240="","",IFERROR(VLOOKUP(D240,'THAM SO'!$D$6:$E$40,2,FALSE()),"Mã loại chưa khai báo"))</f>
        <v/>
      </c>
      <c r="F240" s="108" t="n"/>
      <c r="G240" s="109" t="n"/>
      <c r="H240" s="110" t="n"/>
      <c r="I240" s="108" t="n"/>
      <c r="J240" s="110" t="n"/>
      <c r="K240" s="108" t="n"/>
      <c r="L240" s="108" t="n"/>
      <c r="M240" s="108" t="n"/>
      <c r="N240" s="109" t="n"/>
      <c r="O240" s="109" t="n"/>
      <c r="P240" s="107" t="n"/>
      <c r="Q240" s="107" t="n"/>
      <c r="R240" s="111" t="n"/>
      <c r="S240" s="112" t="n"/>
      <c r="T240" s="113" t="n"/>
      <c r="U240" s="102">
        <f>IF(S240="","",ROUND(S240*N(T240),2))</f>
        <v/>
      </c>
      <c r="V240" s="102">
        <f>IF(S240="","",S240+U240)</f>
        <v/>
      </c>
      <c r="W240" s="103">
        <f>IF(V240="","",ROUND(V240*IF(OR(Q240="",Q240="VND"),1,R240),0))</f>
        <v/>
      </c>
      <c r="X240" s="111" t="n"/>
      <c r="Y240" s="103">
        <f>IF(W240="","",W240+N(X240))</f>
        <v/>
      </c>
      <c r="Z240" s="103">
        <f>IF(B240="","",SUMIFS('NHAT KY THANH TOAN'!$G:$G,'NHAT KY THANH TOAN'!$B:$B,B240,'NHAT KY THANH TOAN'!$D:$D,"Hóa đơn"))</f>
        <v/>
      </c>
      <c r="AA240" s="103">
        <f>IF(B240="","",SUMIFS('NHAT KY THANH TOAN'!$G:$G,'NHAT KY THANH TOAN'!$B:$B,B240,'NHAT KY THANH TOAN'!$D:$D,"Thanh toán"))</f>
        <v/>
      </c>
      <c r="AB240" s="103">
        <f>IF(Y240="","",Y240-N(AA240))</f>
        <v/>
      </c>
      <c r="AC240" s="103">
        <f>IF(B240="","",N(Z240)-N(AA240))</f>
        <v/>
      </c>
      <c r="AD240" s="104">
        <f>IF(N(Y240)=0,"",N(AA240)/Y240)</f>
        <v/>
      </c>
      <c r="AE240" s="107" t="n"/>
      <c r="AF240" s="95">
        <f>IF(H240="","",TRIM(IF(AND(N(Y240)&gt;='THAM SO'!$B$10,AE240&lt;&gt;"Có"),"Chưa rà soát pháp lý; ","")&amp;IF(I240="","Thiếu MST đối tác; ","")&amp;IF(AG240="","Chưa ghi nơi lưu bản gốc; ","")&amp;IF(COUNTIFS('NHAT KY THANH TOAN'!$B:$B,B240,'NHAT KY THANH TOAN'!$D:$D,"Thanh toán",'NHAT KY THANH TOAN'!$F:$F,"Tiền mặt",'NHAT KY THANH TOAN'!$G:$G,"&gt;="&amp;'THAM SO'!$B$11)&gt;0,"Có khoản TT tiền mặt ≥ ngưỡng; ","")&amp;IF(AND(AB240&lt;&gt;"",N(AB240)&lt;0),"Thanh toán vượt giá trị HĐ; ","")))</f>
        <v/>
      </c>
      <c r="AG240" s="108" t="n"/>
      <c r="AH240" s="109" t="n"/>
      <c r="AI240" s="105">
        <f>IF(OR(H240="",O240="",AH240&lt;&gt;""),"",O240-'THAM SO'!$B$8)</f>
        <v/>
      </c>
      <c r="AJ240" s="95">
        <f>IF(H240="","",IF(AH240&lt;&gt;"","Đã thanh lý",IF(AND(N240&lt;&gt;"",N240&gt;'THAM SO'!$B$8),"Chưa hiệu lực",IF(O240="","Đang thực hiện",IF(O240&lt;'THAM SO'!$B$8,IF(P240="Có","Đã tự gia hạn – kiểm tra","Quá hạn – chưa thanh lý"),IF(O240-'THAM SO'!$B$8&lt;='THAM SO'!$B$9,"Sắp hết hạn","Đang thực hiện"))))))</f>
        <v/>
      </c>
      <c r="AK240" s="106">
        <f>IF(AND(O240="",AH240=""),"",EDATE(MAX(N(O240),N(AH240)),12*'THAM SO'!$B$12))</f>
        <v/>
      </c>
      <c r="AL240" s="110" t="n"/>
    </row>
    <row r="241" ht="15" customHeight="1" s="64">
      <c r="A241" s="93">
        <f>IF(H241="","",COUNTA($H$9:H241))</f>
        <v/>
      </c>
      <c r="B241" s="93">
        <f>IF(OR(D241="",G241=""),"",YEAR(G241)&amp;"/"&amp;D241&amp;"/"&amp;TEXT(SUMPRODUCT(($D$9:D241=D241)*(YEAR($G$9:G241)=YEAR(G241))),"000")&amp;"-"&amp;'THAM SO'!$B$7)</f>
        <v/>
      </c>
      <c r="C241" s="107" t="n"/>
      <c r="D241" s="107" t="n"/>
      <c r="E241" s="95">
        <f>IF(D241="","",IFERROR(VLOOKUP(D241,'THAM SO'!$D$6:$E$40,2,FALSE()),"Mã loại chưa khai báo"))</f>
        <v/>
      </c>
      <c r="F241" s="108" t="n"/>
      <c r="G241" s="109" t="n"/>
      <c r="H241" s="110" t="n"/>
      <c r="I241" s="108" t="n"/>
      <c r="J241" s="110" t="n"/>
      <c r="K241" s="108" t="n"/>
      <c r="L241" s="108" t="n"/>
      <c r="M241" s="108" t="n"/>
      <c r="N241" s="109" t="n"/>
      <c r="O241" s="109" t="n"/>
      <c r="P241" s="107" t="n"/>
      <c r="Q241" s="107" t="n"/>
      <c r="R241" s="111" t="n"/>
      <c r="S241" s="112" t="n"/>
      <c r="T241" s="113" t="n"/>
      <c r="U241" s="102">
        <f>IF(S241="","",ROUND(S241*N(T241),2))</f>
        <v/>
      </c>
      <c r="V241" s="102">
        <f>IF(S241="","",S241+U241)</f>
        <v/>
      </c>
      <c r="W241" s="103">
        <f>IF(V241="","",ROUND(V241*IF(OR(Q241="",Q241="VND"),1,R241),0))</f>
        <v/>
      </c>
      <c r="X241" s="111" t="n"/>
      <c r="Y241" s="103">
        <f>IF(W241="","",W241+N(X241))</f>
        <v/>
      </c>
      <c r="Z241" s="103">
        <f>IF(B241="","",SUMIFS('NHAT KY THANH TOAN'!$G:$G,'NHAT KY THANH TOAN'!$B:$B,B241,'NHAT KY THANH TOAN'!$D:$D,"Hóa đơn"))</f>
        <v/>
      </c>
      <c r="AA241" s="103">
        <f>IF(B241="","",SUMIFS('NHAT KY THANH TOAN'!$G:$G,'NHAT KY THANH TOAN'!$B:$B,B241,'NHAT KY THANH TOAN'!$D:$D,"Thanh toán"))</f>
        <v/>
      </c>
      <c r="AB241" s="103">
        <f>IF(Y241="","",Y241-N(AA241))</f>
        <v/>
      </c>
      <c r="AC241" s="103">
        <f>IF(B241="","",N(Z241)-N(AA241))</f>
        <v/>
      </c>
      <c r="AD241" s="104">
        <f>IF(N(Y241)=0,"",N(AA241)/Y241)</f>
        <v/>
      </c>
      <c r="AE241" s="107" t="n"/>
      <c r="AF241" s="95">
        <f>IF(H241="","",TRIM(IF(AND(N(Y241)&gt;='THAM SO'!$B$10,AE241&lt;&gt;"Có"),"Chưa rà soát pháp lý; ","")&amp;IF(I241="","Thiếu MST đối tác; ","")&amp;IF(AG241="","Chưa ghi nơi lưu bản gốc; ","")&amp;IF(COUNTIFS('NHAT KY THANH TOAN'!$B:$B,B241,'NHAT KY THANH TOAN'!$D:$D,"Thanh toán",'NHAT KY THANH TOAN'!$F:$F,"Tiền mặt",'NHAT KY THANH TOAN'!$G:$G,"&gt;="&amp;'THAM SO'!$B$11)&gt;0,"Có khoản TT tiền mặt ≥ ngưỡng; ","")&amp;IF(AND(AB241&lt;&gt;"",N(AB241)&lt;0),"Thanh toán vượt giá trị HĐ; ","")))</f>
        <v/>
      </c>
      <c r="AG241" s="108" t="n"/>
      <c r="AH241" s="109" t="n"/>
      <c r="AI241" s="105">
        <f>IF(OR(H241="",O241="",AH241&lt;&gt;""),"",O241-'THAM SO'!$B$8)</f>
        <v/>
      </c>
      <c r="AJ241" s="95">
        <f>IF(H241="","",IF(AH241&lt;&gt;"","Đã thanh lý",IF(AND(N241&lt;&gt;"",N241&gt;'THAM SO'!$B$8),"Chưa hiệu lực",IF(O241="","Đang thực hiện",IF(O241&lt;'THAM SO'!$B$8,IF(P241="Có","Đã tự gia hạn – kiểm tra","Quá hạn – chưa thanh lý"),IF(O241-'THAM SO'!$B$8&lt;='THAM SO'!$B$9,"Sắp hết hạn","Đang thực hiện"))))))</f>
        <v/>
      </c>
      <c r="AK241" s="106">
        <f>IF(AND(O241="",AH241=""),"",EDATE(MAX(N(O241),N(AH241)),12*'THAM SO'!$B$12))</f>
        <v/>
      </c>
      <c r="AL241" s="110" t="n"/>
    </row>
    <row r="242" ht="15" customHeight="1" s="64">
      <c r="A242" s="93">
        <f>IF(H242="","",COUNTA($H$9:H242))</f>
        <v/>
      </c>
      <c r="B242" s="93">
        <f>IF(OR(D242="",G242=""),"",YEAR(G242)&amp;"/"&amp;D242&amp;"/"&amp;TEXT(SUMPRODUCT(($D$9:D242=D242)*(YEAR($G$9:G242)=YEAR(G242))),"000")&amp;"-"&amp;'THAM SO'!$B$7)</f>
        <v/>
      </c>
      <c r="C242" s="107" t="n"/>
      <c r="D242" s="107" t="n"/>
      <c r="E242" s="95">
        <f>IF(D242="","",IFERROR(VLOOKUP(D242,'THAM SO'!$D$6:$E$40,2,FALSE()),"Mã loại chưa khai báo"))</f>
        <v/>
      </c>
      <c r="F242" s="108" t="n"/>
      <c r="G242" s="109" t="n"/>
      <c r="H242" s="110" t="n"/>
      <c r="I242" s="108" t="n"/>
      <c r="J242" s="110" t="n"/>
      <c r="K242" s="108" t="n"/>
      <c r="L242" s="108" t="n"/>
      <c r="M242" s="108" t="n"/>
      <c r="N242" s="109" t="n"/>
      <c r="O242" s="109" t="n"/>
      <c r="P242" s="107" t="n"/>
      <c r="Q242" s="107" t="n"/>
      <c r="R242" s="111" t="n"/>
      <c r="S242" s="112" t="n"/>
      <c r="T242" s="113" t="n"/>
      <c r="U242" s="102">
        <f>IF(S242="","",ROUND(S242*N(T242),2))</f>
        <v/>
      </c>
      <c r="V242" s="102">
        <f>IF(S242="","",S242+U242)</f>
        <v/>
      </c>
      <c r="W242" s="103">
        <f>IF(V242="","",ROUND(V242*IF(OR(Q242="",Q242="VND"),1,R242),0))</f>
        <v/>
      </c>
      <c r="X242" s="111" t="n"/>
      <c r="Y242" s="103">
        <f>IF(W242="","",W242+N(X242))</f>
        <v/>
      </c>
      <c r="Z242" s="103">
        <f>IF(B242="","",SUMIFS('NHAT KY THANH TOAN'!$G:$G,'NHAT KY THANH TOAN'!$B:$B,B242,'NHAT KY THANH TOAN'!$D:$D,"Hóa đơn"))</f>
        <v/>
      </c>
      <c r="AA242" s="103">
        <f>IF(B242="","",SUMIFS('NHAT KY THANH TOAN'!$G:$G,'NHAT KY THANH TOAN'!$B:$B,B242,'NHAT KY THANH TOAN'!$D:$D,"Thanh toán"))</f>
        <v/>
      </c>
      <c r="AB242" s="103">
        <f>IF(Y242="","",Y242-N(AA242))</f>
        <v/>
      </c>
      <c r="AC242" s="103">
        <f>IF(B242="","",N(Z242)-N(AA242))</f>
        <v/>
      </c>
      <c r="AD242" s="104">
        <f>IF(N(Y242)=0,"",N(AA242)/Y242)</f>
        <v/>
      </c>
      <c r="AE242" s="107" t="n"/>
      <c r="AF242" s="95">
        <f>IF(H242="","",TRIM(IF(AND(N(Y242)&gt;='THAM SO'!$B$10,AE242&lt;&gt;"Có"),"Chưa rà soát pháp lý; ","")&amp;IF(I242="","Thiếu MST đối tác; ","")&amp;IF(AG242="","Chưa ghi nơi lưu bản gốc; ","")&amp;IF(COUNTIFS('NHAT KY THANH TOAN'!$B:$B,B242,'NHAT KY THANH TOAN'!$D:$D,"Thanh toán",'NHAT KY THANH TOAN'!$F:$F,"Tiền mặt",'NHAT KY THANH TOAN'!$G:$G,"&gt;="&amp;'THAM SO'!$B$11)&gt;0,"Có khoản TT tiền mặt ≥ ngưỡng; ","")&amp;IF(AND(AB242&lt;&gt;"",N(AB242)&lt;0),"Thanh toán vượt giá trị HĐ; ","")))</f>
        <v/>
      </c>
      <c r="AG242" s="108" t="n"/>
      <c r="AH242" s="109" t="n"/>
      <c r="AI242" s="105">
        <f>IF(OR(H242="",O242="",AH242&lt;&gt;""),"",O242-'THAM SO'!$B$8)</f>
        <v/>
      </c>
      <c r="AJ242" s="95">
        <f>IF(H242="","",IF(AH242&lt;&gt;"","Đã thanh lý",IF(AND(N242&lt;&gt;"",N242&gt;'THAM SO'!$B$8),"Chưa hiệu lực",IF(O242="","Đang thực hiện",IF(O242&lt;'THAM SO'!$B$8,IF(P242="Có","Đã tự gia hạn – kiểm tra","Quá hạn – chưa thanh lý"),IF(O242-'THAM SO'!$B$8&lt;='THAM SO'!$B$9,"Sắp hết hạn","Đang thực hiện"))))))</f>
        <v/>
      </c>
      <c r="AK242" s="106">
        <f>IF(AND(O242="",AH242=""),"",EDATE(MAX(N(O242),N(AH242)),12*'THAM SO'!$B$12))</f>
        <v/>
      </c>
      <c r="AL242" s="110" t="n"/>
    </row>
    <row r="243" ht="15" customHeight="1" s="64">
      <c r="A243" s="93">
        <f>IF(H243="","",COUNTA($H$9:H243))</f>
        <v/>
      </c>
      <c r="B243" s="93">
        <f>IF(OR(D243="",G243=""),"",YEAR(G243)&amp;"/"&amp;D243&amp;"/"&amp;TEXT(SUMPRODUCT(($D$9:D243=D243)*(YEAR($G$9:G243)=YEAR(G243))),"000")&amp;"-"&amp;'THAM SO'!$B$7)</f>
        <v/>
      </c>
      <c r="C243" s="107" t="n"/>
      <c r="D243" s="107" t="n"/>
      <c r="E243" s="95">
        <f>IF(D243="","",IFERROR(VLOOKUP(D243,'THAM SO'!$D$6:$E$40,2,FALSE()),"Mã loại chưa khai báo"))</f>
        <v/>
      </c>
      <c r="F243" s="108" t="n"/>
      <c r="G243" s="109" t="n"/>
      <c r="H243" s="110" t="n"/>
      <c r="I243" s="108" t="n"/>
      <c r="J243" s="110" t="n"/>
      <c r="K243" s="108" t="n"/>
      <c r="L243" s="108" t="n"/>
      <c r="M243" s="108" t="n"/>
      <c r="N243" s="109" t="n"/>
      <c r="O243" s="109" t="n"/>
      <c r="P243" s="107" t="n"/>
      <c r="Q243" s="107" t="n"/>
      <c r="R243" s="111" t="n"/>
      <c r="S243" s="112" t="n"/>
      <c r="T243" s="113" t="n"/>
      <c r="U243" s="102">
        <f>IF(S243="","",ROUND(S243*N(T243),2))</f>
        <v/>
      </c>
      <c r="V243" s="102">
        <f>IF(S243="","",S243+U243)</f>
        <v/>
      </c>
      <c r="W243" s="103">
        <f>IF(V243="","",ROUND(V243*IF(OR(Q243="",Q243="VND"),1,R243),0))</f>
        <v/>
      </c>
      <c r="X243" s="111" t="n"/>
      <c r="Y243" s="103">
        <f>IF(W243="","",W243+N(X243))</f>
        <v/>
      </c>
      <c r="Z243" s="103">
        <f>IF(B243="","",SUMIFS('NHAT KY THANH TOAN'!$G:$G,'NHAT KY THANH TOAN'!$B:$B,B243,'NHAT KY THANH TOAN'!$D:$D,"Hóa đơn"))</f>
        <v/>
      </c>
      <c r="AA243" s="103">
        <f>IF(B243="","",SUMIFS('NHAT KY THANH TOAN'!$G:$G,'NHAT KY THANH TOAN'!$B:$B,B243,'NHAT KY THANH TOAN'!$D:$D,"Thanh toán"))</f>
        <v/>
      </c>
      <c r="AB243" s="103">
        <f>IF(Y243="","",Y243-N(AA243))</f>
        <v/>
      </c>
      <c r="AC243" s="103">
        <f>IF(B243="","",N(Z243)-N(AA243))</f>
        <v/>
      </c>
      <c r="AD243" s="104">
        <f>IF(N(Y243)=0,"",N(AA243)/Y243)</f>
        <v/>
      </c>
      <c r="AE243" s="107" t="n"/>
      <c r="AF243" s="95">
        <f>IF(H243="","",TRIM(IF(AND(N(Y243)&gt;='THAM SO'!$B$10,AE243&lt;&gt;"Có"),"Chưa rà soát pháp lý; ","")&amp;IF(I243="","Thiếu MST đối tác; ","")&amp;IF(AG243="","Chưa ghi nơi lưu bản gốc; ","")&amp;IF(COUNTIFS('NHAT KY THANH TOAN'!$B:$B,B243,'NHAT KY THANH TOAN'!$D:$D,"Thanh toán",'NHAT KY THANH TOAN'!$F:$F,"Tiền mặt",'NHAT KY THANH TOAN'!$G:$G,"&gt;="&amp;'THAM SO'!$B$11)&gt;0,"Có khoản TT tiền mặt ≥ ngưỡng; ","")&amp;IF(AND(AB243&lt;&gt;"",N(AB243)&lt;0),"Thanh toán vượt giá trị HĐ; ","")))</f>
        <v/>
      </c>
      <c r="AG243" s="108" t="n"/>
      <c r="AH243" s="109" t="n"/>
      <c r="AI243" s="105">
        <f>IF(OR(H243="",O243="",AH243&lt;&gt;""),"",O243-'THAM SO'!$B$8)</f>
        <v/>
      </c>
      <c r="AJ243" s="95">
        <f>IF(H243="","",IF(AH243&lt;&gt;"","Đã thanh lý",IF(AND(N243&lt;&gt;"",N243&gt;'THAM SO'!$B$8),"Chưa hiệu lực",IF(O243="","Đang thực hiện",IF(O243&lt;'THAM SO'!$B$8,IF(P243="Có","Đã tự gia hạn – kiểm tra","Quá hạn – chưa thanh lý"),IF(O243-'THAM SO'!$B$8&lt;='THAM SO'!$B$9,"Sắp hết hạn","Đang thực hiện"))))))</f>
        <v/>
      </c>
      <c r="AK243" s="106">
        <f>IF(AND(O243="",AH243=""),"",EDATE(MAX(N(O243),N(AH243)),12*'THAM SO'!$B$12))</f>
        <v/>
      </c>
      <c r="AL243" s="110" t="n"/>
    </row>
    <row r="244" ht="15" customHeight="1" s="64">
      <c r="A244" s="93">
        <f>IF(H244="","",COUNTA($H$9:H244))</f>
        <v/>
      </c>
      <c r="B244" s="93">
        <f>IF(OR(D244="",G244=""),"",YEAR(G244)&amp;"/"&amp;D244&amp;"/"&amp;TEXT(SUMPRODUCT(($D$9:D244=D244)*(YEAR($G$9:G244)=YEAR(G244))),"000")&amp;"-"&amp;'THAM SO'!$B$7)</f>
        <v/>
      </c>
      <c r="C244" s="107" t="n"/>
      <c r="D244" s="107" t="n"/>
      <c r="E244" s="95">
        <f>IF(D244="","",IFERROR(VLOOKUP(D244,'THAM SO'!$D$6:$E$40,2,FALSE()),"Mã loại chưa khai báo"))</f>
        <v/>
      </c>
      <c r="F244" s="108" t="n"/>
      <c r="G244" s="109" t="n"/>
      <c r="H244" s="110" t="n"/>
      <c r="I244" s="108" t="n"/>
      <c r="J244" s="110" t="n"/>
      <c r="K244" s="108" t="n"/>
      <c r="L244" s="108" t="n"/>
      <c r="M244" s="108" t="n"/>
      <c r="N244" s="109" t="n"/>
      <c r="O244" s="109" t="n"/>
      <c r="P244" s="107" t="n"/>
      <c r="Q244" s="107" t="n"/>
      <c r="R244" s="111" t="n"/>
      <c r="S244" s="112" t="n"/>
      <c r="T244" s="113" t="n"/>
      <c r="U244" s="102">
        <f>IF(S244="","",ROUND(S244*N(T244),2))</f>
        <v/>
      </c>
      <c r="V244" s="102">
        <f>IF(S244="","",S244+U244)</f>
        <v/>
      </c>
      <c r="W244" s="103">
        <f>IF(V244="","",ROUND(V244*IF(OR(Q244="",Q244="VND"),1,R244),0))</f>
        <v/>
      </c>
      <c r="X244" s="111" t="n"/>
      <c r="Y244" s="103">
        <f>IF(W244="","",W244+N(X244))</f>
        <v/>
      </c>
      <c r="Z244" s="103">
        <f>IF(B244="","",SUMIFS('NHAT KY THANH TOAN'!$G:$G,'NHAT KY THANH TOAN'!$B:$B,B244,'NHAT KY THANH TOAN'!$D:$D,"Hóa đơn"))</f>
        <v/>
      </c>
      <c r="AA244" s="103">
        <f>IF(B244="","",SUMIFS('NHAT KY THANH TOAN'!$G:$G,'NHAT KY THANH TOAN'!$B:$B,B244,'NHAT KY THANH TOAN'!$D:$D,"Thanh toán"))</f>
        <v/>
      </c>
      <c r="AB244" s="103">
        <f>IF(Y244="","",Y244-N(AA244))</f>
        <v/>
      </c>
      <c r="AC244" s="103">
        <f>IF(B244="","",N(Z244)-N(AA244))</f>
        <v/>
      </c>
      <c r="AD244" s="104">
        <f>IF(N(Y244)=0,"",N(AA244)/Y244)</f>
        <v/>
      </c>
      <c r="AE244" s="107" t="n"/>
      <c r="AF244" s="95">
        <f>IF(H244="","",TRIM(IF(AND(N(Y244)&gt;='THAM SO'!$B$10,AE244&lt;&gt;"Có"),"Chưa rà soát pháp lý; ","")&amp;IF(I244="","Thiếu MST đối tác; ","")&amp;IF(AG244="","Chưa ghi nơi lưu bản gốc; ","")&amp;IF(COUNTIFS('NHAT KY THANH TOAN'!$B:$B,B244,'NHAT KY THANH TOAN'!$D:$D,"Thanh toán",'NHAT KY THANH TOAN'!$F:$F,"Tiền mặt",'NHAT KY THANH TOAN'!$G:$G,"&gt;="&amp;'THAM SO'!$B$11)&gt;0,"Có khoản TT tiền mặt ≥ ngưỡng; ","")&amp;IF(AND(AB244&lt;&gt;"",N(AB244)&lt;0),"Thanh toán vượt giá trị HĐ; ","")))</f>
        <v/>
      </c>
      <c r="AG244" s="108" t="n"/>
      <c r="AH244" s="109" t="n"/>
      <c r="AI244" s="105">
        <f>IF(OR(H244="",O244="",AH244&lt;&gt;""),"",O244-'THAM SO'!$B$8)</f>
        <v/>
      </c>
      <c r="AJ244" s="95">
        <f>IF(H244="","",IF(AH244&lt;&gt;"","Đã thanh lý",IF(AND(N244&lt;&gt;"",N244&gt;'THAM SO'!$B$8),"Chưa hiệu lực",IF(O244="","Đang thực hiện",IF(O244&lt;'THAM SO'!$B$8,IF(P244="Có","Đã tự gia hạn – kiểm tra","Quá hạn – chưa thanh lý"),IF(O244-'THAM SO'!$B$8&lt;='THAM SO'!$B$9,"Sắp hết hạn","Đang thực hiện"))))))</f>
        <v/>
      </c>
      <c r="AK244" s="106">
        <f>IF(AND(O244="",AH244=""),"",EDATE(MAX(N(O244),N(AH244)),12*'THAM SO'!$B$12))</f>
        <v/>
      </c>
      <c r="AL244" s="110" t="n"/>
    </row>
    <row r="245" ht="15" customHeight="1" s="64">
      <c r="A245" s="93">
        <f>IF(H245="","",COUNTA($H$9:H245))</f>
        <v/>
      </c>
      <c r="B245" s="93">
        <f>IF(OR(D245="",G245=""),"",YEAR(G245)&amp;"/"&amp;D245&amp;"/"&amp;TEXT(SUMPRODUCT(($D$9:D245=D245)*(YEAR($G$9:G245)=YEAR(G245))),"000")&amp;"-"&amp;'THAM SO'!$B$7)</f>
        <v/>
      </c>
      <c r="C245" s="107" t="n"/>
      <c r="D245" s="107" t="n"/>
      <c r="E245" s="95">
        <f>IF(D245="","",IFERROR(VLOOKUP(D245,'THAM SO'!$D$6:$E$40,2,FALSE()),"Mã loại chưa khai báo"))</f>
        <v/>
      </c>
      <c r="F245" s="108" t="n"/>
      <c r="G245" s="109" t="n"/>
      <c r="H245" s="110" t="n"/>
      <c r="I245" s="108" t="n"/>
      <c r="J245" s="110" t="n"/>
      <c r="K245" s="108" t="n"/>
      <c r="L245" s="108" t="n"/>
      <c r="M245" s="108" t="n"/>
      <c r="N245" s="109" t="n"/>
      <c r="O245" s="109" t="n"/>
      <c r="P245" s="107" t="n"/>
      <c r="Q245" s="107" t="n"/>
      <c r="R245" s="111" t="n"/>
      <c r="S245" s="112" t="n"/>
      <c r="T245" s="113" t="n"/>
      <c r="U245" s="102">
        <f>IF(S245="","",ROUND(S245*N(T245),2))</f>
        <v/>
      </c>
      <c r="V245" s="102">
        <f>IF(S245="","",S245+U245)</f>
        <v/>
      </c>
      <c r="W245" s="103">
        <f>IF(V245="","",ROUND(V245*IF(OR(Q245="",Q245="VND"),1,R245),0))</f>
        <v/>
      </c>
      <c r="X245" s="111" t="n"/>
      <c r="Y245" s="103">
        <f>IF(W245="","",W245+N(X245))</f>
        <v/>
      </c>
      <c r="Z245" s="103">
        <f>IF(B245="","",SUMIFS('NHAT KY THANH TOAN'!$G:$G,'NHAT KY THANH TOAN'!$B:$B,B245,'NHAT KY THANH TOAN'!$D:$D,"Hóa đơn"))</f>
        <v/>
      </c>
      <c r="AA245" s="103">
        <f>IF(B245="","",SUMIFS('NHAT KY THANH TOAN'!$G:$G,'NHAT KY THANH TOAN'!$B:$B,B245,'NHAT KY THANH TOAN'!$D:$D,"Thanh toán"))</f>
        <v/>
      </c>
      <c r="AB245" s="103">
        <f>IF(Y245="","",Y245-N(AA245))</f>
        <v/>
      </c>
      <c r="AC245" s="103">
        <f>IF(B245="","",N(Z245)-N(AA245))</f>
        <v/>
      </c>
      <c r="AD245" s="104">
        <f>IF(N(Y245)=0,"",N(AA245)/Y245)</f>
        <v/>
      </c>
      <c r="AE245" s="107" t="n"/>
      <c r="AF245" s="95">
        <f>IF(H245="","",TRIM(IF(AND(N(Y245)&gt;='THAM SO'!$B$10,AE245&lt;&gt;"Có"),"Chưa rà soát pháp lý; ","")&amp;IF(I245="","Thiếu MST đối tác; ","")&amp;IF(AG245="","Chưa ghi nơi lưu bản gốc; ","")&amp;IF(COUNTIFS('NHAT KY THANH TOAN'!$B:$B,B245,'NHAT KY THANH TOAN'!$D:$D,"Thanh toán",'NHAT KY THANH TOAN'!$F:$F,"Tiền mặt",'NHAT KY THANH TOAN'!$G:$G,"&gt;="&amp;'THAM SO'!$B$11)&gt;0,"Có khoản TT tiền mặt ≥ ngưỡng; ","")&amp;IF(AND(AB245&lt;&gt;"",N(AB245)&lt;0),"Thanh toán vượt giá trị HĐ; ","")))</f>
        <v/>
      </c>
      <c r="AG245" s="108" t="n"/>
      <c r="AH245" s="109" t="n"/>
      <c r="AI245" s="105">
        <f>IF(OR(H245="",O245="",AH245&lt;&gt;""),"",O245-'THAM SO'!$B$8)</f>
        <v/>
      </c>
      <c r="AJ245" s="95">
        <f>IF(H245="","",IF(AH245&lt;&gt;"","Đã thanh lý",IF(AND(N245&lt;&gt;"",N245&gt;'THAM SO'!$B$8),"Chưa hiệu lực",IF(O245="","Đang thực hiện",IF(O245&lt;'THAM SO'!$B$8,IF(P245="Có","Đã tự gia hạn – kiểm tra","Quá hạn – chưa thanh lý"),IF(O245-'THAM SO'!$B$8&lt;='THAM SO'!$B$9,"Sắp hết hạn","Đang thực hiện"))))))</f>
        <v/>
      </c>
      <c r="AK245" s="106">
        <f>IF(AND(O245="",AH245=""),"",EDATE(MAX(N(O245),N(AH245)),12*'THAM SO'!$B$12))</f>
        <v/>
      </c>
      <c r="AL245" s="110" t="n"/>
    </row>
    <row r="246" ht="15" customHeight="1" s="64">
      <c r="A246" s="93">
        <f>IF(H246="","",COUNTA($H$9:H246))</f>
        <v/>
      </c>
      <c r="B246" s="93">
        <f>IF(OR(D246="",G246=""),"",YEAR(G246)&amp;"/"&amp;D246&amp;"/"&amp;TEXT(SUMPRODUCT(($D$9:D246=D246)*(YEAR($G$9:G246)=YEAR(G246))),"000")&amp;"-"&amp;'THAM SO'!$B$7)</f>
        <v/>
      </c>
      <c r="C246" s="107" t="n"/>
      <c r="D246" s="107" t="n"/>
      <c r="E246" s="95">
        <f>IF(D246="","",IFERROR(VLOOKUP(D246,'THAM SO'!$D$6:$E$40,2,FALSE()),"Mã loại chưa khai báo"))</f>
        <v/>
      </c>
      <c r="F246" s="108" t="n"/>
      <c r="G246" s="109" t="n"/>
      <c r="H246" s="110" t="n"/>
      <c r="I246" s="108" t="n"/>
      <c r="J246" s="110" t="n"/>
      <c r="K246" s="108" t="n"/>
      <c r="L246" s="108" t="n"/>
      <c r="M246" s="108" t="n"/>
      <c r="N246" s="109" t="n"/>
      <c r="O246" s="109" t="n"/>
      <c r="P246" s="107" t="n"/>
      <c r="Q246" s="107" t="n"/>
      <c r="R246" s="111" t="n"/>
      <c r="S246" s="112" t="n"/>
      <c r="T246" s="113" t="n"/>
      <c r="U246" s="102">
        <f>IF(S246="","",ROUND(S246*N(T246),2))</f>
        <v/>
      </c>
      <c r="V246" s="102">
        <f>IF(S246="","",S246+U246)</f>
        <v/>
      </c>
      <c r="W246" s="103">
        <f>IF(V246="","",ROUND(V246*IF(OR(Q246="",Q246="VND"),1,R246),0))</f>
        <v/>
      </c>
      <c r="X246" s="111" t="n"/>
      <c r="Y246" s="103">
        <f>IF(W246="","",W246+N(X246))</f>
        <v/>
      </c>
      <c r="Z246" s="103">
        <f>IF(B246="","",SUMIFS('NHAT KY THANH TOAN'!$G:$G,'NHAT KY THANH TOAN'!$B:$B,B246,'NHAT KY THANH TOAN'!$D:$D,"Hóa đơn"))</f>
        <v/>
      </c>
      <c r="AA246" s="103">
        <f>IF(B246="","",SUMIFS('NHAT KY THANH TOAN'!$G:$G,'NHAT KY THANH TOAN'!$B:$B,B246,'NHAT KY THANH TOAN'!$D:$D,"Thanh toán"))</f>
        <v/>
      </c>
      <c r="AB246" s="103">
        <f>IF(Y246="","",Y246-N(AA246))</f>
        <v/>
      </c>
      <c r="AC246" s="103">
        <f>IF(B246="","",N(Z246)-N(AA246))</f>
        <v/>
      </c>
      <c r="AD246" s="104">
        <f>IF(N(Y246)=0,"",N(AA246)/Y246)</f>
        <v/>
      </c>
      <c r="AE246" s="107" t="n"/>
      <c r="AF246" s="95">
        <f>IF(H246="","",TRIM(IF(AND(N(Y246)&gt;='THAM SO'!$B$10,AE246&lt;&gt;"Có"),"Chưa rà soát pháp lý; ","")&amp;IF(I246="","Thiếu MST đối tác; ","")&amp;IF(AG246="","Chưa ghi nơi lưu bản gốc; ","")&amp;IF(COUNTIFS('NHAT KY THANH TOAN'!$B:$B,B246,'NHAT KY THANH TOAN'!$D:$D,"Thanh toán",'NHAT KY THANH TOAN'!$F:$F,"Tiền mặt",'NHAT KY THANH TOAN'!$G:$G,"&gt;="&amp;'THAM SO'!$B$11)&gt;0,"Có khoản TT tiền mặt ≥ ngưỡng; ","")&amp;IF(AND(AB246&lt;&gt;"",N(AB246)&lt;0),"Thanh toán vượt giá trị HĐ; ","")))</f>
        <v/>
      </c>
      <c r="AG246" s="108" t="n"/>
      <c r="AH246" s="109" t="n"/>
      <c r="AI246" s="105">
        <f>IF(OR(H246="",O246="",AH246&lt;&gt;""),"",O246-'THAM SO'!$B$8)</f>
        <v/>
      </c>
      <c r="AJ246" s="95">
        <f>IF(H246="","",IF(AH246&lt;&gt;"","Đã thanh lý",IF(AND(N246&lt;&gt;"",N246&gt;'THAM SO'!$B$8),"Chưa hiệu lực",IF(O246="","Đang thực hiện",IF(O246&lt;'THAM SO'!$B$8,IF(P246="Có","Đã tự gia hạn – kiểm tra","Quá hạn – chưa thanh lý"),IF(O246-'THAM SO'!$B$8&lt;='THAM SO'!$B$9,"Sắp hết hạn","Đang thực hiện"))))))</f>
        <v/>
      </c>
      <c r="AK246" s="106">
        <f>IF(AND(O246="",AH246=""),"",EDATE(MAX(N(O246),N(AH246)),12*'THAM SO'!$B$12))</f>
        <v/>
      </c>
      <c r="AL246" s="110" t="n"/>
    </row>
    <row r="247" ht="15" customHeight="1" s="64">
      <c r="A247" s="93">
        <f>IF(H247="","",COUNTA($H$9:H247))</f>
        <v/>
      </c>
      <c r="B247" s="93">
        <f>IF(OR(D247="",G247=""),"",YEAR(G247)&amp;"/"&amp;D247&amp;"/"&amp;TEXT(SUMPRODUCT(($D$9:D247=D247)*(YEAR($G$9:G247)=YEAR(G247))),"000")&amp;"-"&amp;'THAM SO'!$B$7)</f>
        <v/>
      </c>
      <c r="C247" s="107" t="n"/>
      <c r="D247" s="107" t="n"/>
      <c r="E247" s="95">
        <f>IF(D247="","",IFERROR(VLOOKUP(D247,'THAM SO'!$D$6:$E$40,2,FALSE()),"Mã loại chưa khai báo"))</f>
        <v/>
      </c>
      <c r="F247" s="108" t="n"/>
      <c r="G247" s="109" t="n"/>
      <c r="H247" s="110" t="n"/>
      <c r="I247" s="108" t="n"/>
      <c r="J247" s="110" t="n"/>
      <c r="K247" s="108" t="n"/>
      <c r="L247" s="108" t="n"/>
      <c r="M247" s="108" t="n"/>
      <c r="N247" s="109" t="n"/>
      <c r="O247" s="109" t="n"/>
      <c r="P247" s="107" t="n"/>
      <c r="Q247" s="107" t="n"/>
      <c r="R247" s="111" t="n"/>
      <c r="S247" s="112" t="n"/>
      <c r="T247" s="113" t="n"/>
      <c r="U247" s="102">
        <f>IF(S247="","",ROUND(S247*N(T247),2))</f>
        <v/>
      </c>
      <c r="V247" s="102">
        <f>IF(S247="","",S247+U247)</f>
        <v/>
      </c>
      <c r="W247" s="103">
        <f>IF(V247="","",ROUND(V247*IF(OR(Q247="",Q247="VND"),1,R247),0))</f>
        <v/>
      </c>
      <c r="X247" s="111" t="n"/>
      <c r="Y247" s="103">
        <f>IF(W247="","",W247+N(X247))</f>
        <v/>
      </c>
      <c r="Z247" s="103">
        <f>IF(B247="","",SUMIFS('NHAT KY THANH TOAN'!$G:$G,'NHAT KY THANH TOAN'!$B:$B,B247,'NHAT KY THANH TOAN'!$D:$D,"Hóa đơn"))</f>
        <v/>
      </c>
      <c r="AA247" s="103">
        <f>IF(B247="","",SUMIFS('NHAT KY THANH TOAN'!$G:$G,'NHAT KY THANH TOAN'!$B:$B,B247,'NHAT KY THANH TOAN'!$D:$D,"Thanh toán"))</f>
        <v/>
      </c>
      <c r="AB247" s="103">
        <f>IF(Y247="","",Y247-N(AA247))</f>
        <v/>
      </c>
      <c r="AC247" s="103">
        <f>IF(B247="","",N(Z247)-N(AA247))</f>
        <v/>
      </c>
      <c r="AD247" s="104">
        <f>IF(N(Y247)=0,"",N(AA247)/Y247)</f>
        <v/>
      </c>
      <c r="AE247" s="107" t="n"/>
      <c r="AF247" s="95">
        <f>IF(H247="","",TRIM(IF(AND(N(Y247)&gt;='THAM SO'!$B$10,AE247&lt;&gt;"Có"),"Chưa rà soát pháp lý; ","")&amp;IF(I247="","Thiếu MST đối tác; ","")&amp;IF(AG247="","Chưa ghi nơi lưu bản gốc; ","")&amp;IF(COUNTIFS('NHAT KY THANH TOAN'!$B:$B,B247,'NHAT KY THANH TOAN'!$D:$D,"Thanh toán",'NHAT KY THANH TOAN'!$F:$F,"Tiền mặt",'NHAT KY THANH TOAN'!$G:$G,"&gt;="&amp;'THAM SO'!$B$11)&gt;0,"Có khoản TT tiền mặt ≥ ngưỡng; ","")&amp;IF(AND(AB247&lt;&gt;"",N(AB247)&lt;0),"Thanh toán vượt giá trị HĐ; ","")))</f>
        <v/>
      </c>
      <c r="AG247" s="108" t="n"/>
      <c r="AH247" s="109" t="n"/>
      <c r="AI247" s="105">
        <f>IF(OR(H247="",O247="",AH247&lt;&gt;""),"",O247-'THAM SO'!$B$8)</f>
        <v/>
      </c>
      <c r="AJ247" s="95">
        <f>IF(H247="","",IF(AH247&lt;&gt;"","Đã thanh lý",IF(AND(N247&lt;&gt;"",N247&gt;'THAM SO'!$B$8),"Chưa hiệu lực",IF(O247="","Đang thực hiện",IF(O247&lt;'THAM SO'!$B$8,IF(P247="Có","Đã tự gia hạn – kiểm tra","Quá hạn – chưa thanh lý"),IF(O247-'THAM SO'!$B$8&lt;='THAM SO'!$B$9,"Sắp hết hạn","Đang thực hiện"))))))</f>
        <v/>
      </c>
      <c r="AK247" s="106">
        <f>IF(AND(O247="",AH247=""),"",EDATE(MAX(N(O247),N(AH247)),12*'THAM SO'!$B$12))</f>
        <v/>
      </c>
      <c r="AL247" s="110" t="n"/>
    </row>
    <row r="248" ht="15" customHeight="1" s="64">
      <c r="A248" s="93">
        <f>IF(H248="","",COUNTA($H$9:H248))</f>
        <v/>
      </c>
      <c r="B248" s="93">
        <f>IF(OR(D248="",G248=""),"",YEAR(G248)&amp;"/"&amp;D248&amp;"/"&amp;TEXT(SUMPRODUCT(($D$9:D248=D248)*(YEAR($G$9:G248)=YEAR(G248))),"000")&amp;"-"&amp;'THAM SO'!$B$7)</f>
        <v/>
      </c>
      <c r="C248" s="107" t="n"/>
      <c r="D248" s="107" t="n"/>
      <c r="E248" s="95">
        <f>IF(D248="","",IFERROR(VLOOKUP(D248,'THAM SO'!$D$6:$E$40,2,FALSE()),"Mã loại chưa khai báo"))</f>
        <v/>
      </c>
      <c r="F248" s="108" t="n"/>
      <c r="G248" s="109" t="n"/>
      <c r="H248" s="110" t="n"/>
      <c r="I248" s="108" t="n"/>
      <c r="J248" s="110" t="n"/>
      <c r="K248" s="108" t="n"/>
      <c r="L248" s="108" t="n"/>
      <c r="M248" s="108" t="n"/>
      <c r="N248" s="109" t="n"/>
      <c r="O248" s="109" t="n"/>
      <c r="P248" s="107" t="n"/>
      <c r="Q248" s="107" t="n"/>
      <c r="R248" s="111" t="n"/>
      <c r="S248" s="112" t="n"/>
      <c r="T248" s="113" t="n"/>
      <c r="U248" s="102">
        <f>IF(S248="","",ROUND(S248*N(T248),2))</f>
        <v/>
      </c>
      <c r="V248" s="102">
        <f>IF(S248="","",S248+U248)</f>
        <v/>
      </c>
      <c r="W248" s="103">
        <f>IF(V248="","",ROUND(V248*IF(OR(Q248="",Q248="VND"),1,R248),0))</f>
        <v/>
      </c>
      <c r="X248" s="111" t="n"/>
      <c r="Y248" s="103">
        <f>IF(W248="","",W248+N(X248))</f>
        <v/>
      </c>
      <c r="Z248" s="103">
        <f>IF(B248="","",SUMIFS('NHAT KY THANH TOAN'!$G:$G,'NHAT KY THANH TOAN'!$B:$B,B248,'NHAT KY THANH TOAN'!$D:$D,"Hóa đơn"))</f>
        <v/>
      </c>
      <c r="AA248" s="103">
        <f>IF(B248="","",SUMIFS('NHAT KY THANH TOAN'!$G:$G,'NHAT KY THANH TOAN'!$B:$B,B248,'NHAT KY THANH TOAN'!$D:$D,"Thanh toán"))</f>
        <v/>
      </c>
      <c r="AB248" s="103">
        <f>IF(Y248="","",Y248-N(AA248))</f>
        <v/>
      </c>
      <c r="AC248" s="103">
        <f>IF(B248="","",N(Z248)-N(AA248))</f>
        <v/>
      </c>
      <c r="AD248" s="104">
        <f>IF(N(Y248)=0,"",N(AA248)/Y248)</f>
        <v/>
      </c>
      <c r="AE248" s="107" t="n"/>
      <c r="AF248" s="95">
        <f>IF(H248="","",TRIM(IF(AND(N(Y248)&gt;='THAM SO'!$B$10,AE248&lt;&gt;"Có"),"Chưa rà soát pháp lý; ","")&amp;IF(I248="","Thiếu MST đối tác; ","")&amp;IF(AG248="","Chưa ghi nơi lưu bản gốc; ","")&amp;IF(COUNTIFS('NHAT KY THANH TOAN'!$B:$B,B248,'NHAT KY THANH TOAN'!$D:$D,"Thanh toán",'NHAT KY THANH TOAN'!$F:$F,"Tiền mặt",'NHAT KY THANH TOAN'!$G:$G,"&gt;="&amp;'THAM SO'!$B$11)&gt;0,"Có khoản TT tiền mặt ≥ ngưỡng; ","")&amp;IF(AND(AB248&lt;&gt;"",N(AB248)&lt;0),"Thanh toán vượt giá trị HĐ; ","")))</f>
        <v/>
      </c>
      <c r="AG248" s="108" t="n"/>
      <c r="AH248" s="109" t="n"/>
      <c r="AI248" s="105">
        <f>IF(OR(H248="",O248="",AH248&lt;&gt;""),"",O248-'THAM SO'!$B$8)</f>
        <v/>
      </c>
      <c r="AJ248" s="95">
        <f>IF(H248="","",IF(AH248&lt;&gt;"","Đã thanh lý",IF(AND(N248&lt;&gt;"",N248&gt;'THAM SO'!$B$8),"Chưa hiệu lực",IF(O248="","Đang thực hiện",IF(O248&lt;'THAM SO'!$B$8,IF(P248="Có","Đã tự gia hạn – kiểm tra","Quá hạn – chưa thanh lý"),IF(O248-'THAM SO'!$B$8&lt;='THAM SO'!$B$9,"Sắp hết hạn","Đang thực hiện"))))))</f>
        <v/>
      </c>
      <c r="AK248" s="106">
        <f>IF(AND(O248="",AH248=""),"",EDATE(MAX(N(O248),N(AH248)),12*'THAM SO'!$B$12))</f>
        <v/>
      </c>
      <c r="AL248" s="110" t="n"/>
    </row>
    <row r="249" ht="15" customHeight="1" s="64">
      <c r="A249" s="93">
        <f>IF(H249="","",COUNTA($H$9:H249))</f>
        <v/>
      </c>
      <c r="B249" s="93">
        <f>IF(OR(D249="",G249=""),"",YEAR(G249)&amp;"/"&amp;D249&amp;"/"&amp;TEXT(SUMPRODUCT(($D$9:D249=D249)*(YEAR($G$9:G249)=YEAR(G249))),"000")&amp;"-"&amp;'THAM SO'!$B$7)</f>
        <v/>
      </c>
      <c r="C249" s="107" t="n"/>
      <c r="D249" s="107" t="n"/>
      <c r="E249" s="95">
        <f>IF(D249="","",IFERROR(VLOOKUP(D249,'THAM SO'!$D$6:$E$40,2,FALSE()),"Mã loại chưa khai báo"))</f>
        <v/>
      </c>
      <c r="F249" s="108" t="n"/>
      <c r="G249" s="109" t="n"/>
      <c r="H249" s="110" t="n"/>
      <c r="I249" s="108" t="n"/>
      <c r="J249" s="110" t="n"/>
      <c r="K249" s="108" t="n"/>
      <c r="L249" s="108" t="n"/>
      <c r="M249" s="108" t="n"/>
      <c r="N249" s="109" t="n"/>
      <c r="O249" s="109" t="n"/>
      <c r="P249" s="107" t="n"/>
      <c r="Q249" s="107" t="n"/>
      <c r="R249" s="111" t="n"/>
      <c r="S249" s="112" t="n"/>
      <c r="T249" s="113" t="n"/>
      <c r="U249" s="102">
        <f>IF(S249="","",ROUND(S249*N(T249),2))</f>
        <v/>
      </c>
      <c r="V249" s="102">
        <f>IF(S249="","",S249+U249)</f>
        <v/>
      </c>
      <c r="W249" s="103">
        <f>IF(V249="","",ROUND(V249*IF(OR(Q249="",Q249="VND"),1,R249),0))</f>
        <v/>
      </c>
      <c r="X249" s="111" t="n"/>
      <c r="Y249" s="103">
        <f>IF(W249="","",W249+N(X249))</f>
        <v/>
      </c>
      <c r="Z249" s="103">
        <f>IF(B249="","",SUMIFS('NHAT KY THANH TOAN'!$G:$G,'NHAT KY THANH TOAN'!$B:$B,B249,'NHAT KY THANH TOAN'!$D:$D,"Hóa đơn"))</f>
        <v/>
      </c>
      <c r="AA249" s="103">
        <f>IF(B249="","",SUMIFS('NHAT KY THANH TOAN'!$G:$G,'NHAT KY THANH TOAN'!$B:$B,B249,'NHAT KY THANH TOAN'!$D:$D,"Thanh toán"))</f>
        <v/>
      </c>
      <c r="AB249" s="103">
        <f>IF(Y249="","",Y249-N(AA249))</f>
        <v/>
      </c>
      <c r="AC249" s="103">
        <f>IF(B249="","",N(Z249)-N(AA249))</f>
        <v/>
      </c>
      <c r="AD249" s="104">
        <f>IF(N(Y249)=0,"",N(AA249)/Y249)</f>
        <v/>
      </c>
      <c r="AE249" s="107" t="n"/>
      <c r="AF249" s="95">
        <f>IF(H249="","",TRIM(IF(AND(N(Y249)&gt;='THAM SO'!$B$10,AE249&lt;&gt;"Có"),"Chưa rà soát pháp lý; ","")&amp;IF(I249="","Thiếu MST đối tác; ","")&amp;IF(AG249="","Chưa ghi nơi lưu bản gốc; ","")&amp;IF(COUNTIFS('NHAT KY THANH TOAN'!$B:$B,B249,'NHAT KY THANH TOAN'!$D:$D,"Thanh toán",'NHAT KY THANH TOAN'!$F:$F,"Tiền mặt",'NHAT KY THANH TOAN'!$G:$G,"&gt;="&amp;'THAM SO'!$B$11)&gt;0,"Có khoản TT tiền mặt ≥ ngưỡng; ","")&amp;IF(AND(AB249&lt;&gt;"",N(AB249)&lt;0),"Thanh toán vượt giá trị HĐ; ","")))</f>
        <v/>
      </c>
      <c r="AG249" s="108" t="n"/>
      <c r="AH249" s="109" t="n"/>
      <c r="AI249" s="105">
        <f>IF(OR(H249="",O249="",AH249&lt;&gt;""),"",O249-'THAM SO'!$B$8)</f>
        <v/>
      </c>
      <c r="AJ249" s="95">
        <f>IF(H249="","",IF(AH249&lt;&gt;"","Đã thanh lý",IF(AND(N249&lt;&gt;"",N249&gt;'THAM SO'!$B$8),"Chưa hiệu lực",IF(O249="","Đang thực hiện",IF(O249&lt;'THAM SO'!$B$8,IF(P249="Có","Đã tự gia hạn – kiểm tra","Quá hạn – chưa thanh lý"),IF(O249-'THAM SO'!$B$8&lt;='THAM SO'!$B$9,"Sắp hết hạn","Đang thực hiện"))))))</f>
        <v/>
      </c>
      <c r="AK249" s="106">
        <f>IF(AND(O249="",AH249=""),"",EDATE(MAX(N(O249),N(AH249)),12*'THAM SO'!$B$12))</f>
        <v/>
      </c>
      <c r="AL249" s="110" t="n"/>
    </row>
    <row r="250" ht="15" customHeight="1" s="64">
      <c r="A250" s="93">
        <f>IF(H250="","",COUNTA($H$9:H250))</f>
        <v/>
      </c>
      <c r="B250" s="93">
        <f>IF(OR(D250="",G250=""),"",YEAR(G250)&amp;"/"&amp;D250&amp;"/"&amp;TEXT(SUMPRODUCT(($D$9:D250=D250)*(YEAR($G$9:G250)=YEAR(G250))),"000")&amp;"-"&amp;'THAM SO'!$B$7)</f>
        <v/>
      </c>
      <c r="C250" s="107" t="n"/>
      <c r="D250" s="107" t="n"/>
      <c r="E250" s="95">
        <f>IF(D250="","",IFERROR(VLOOKUP(D250,'THAM SO'!$D$6:$E$40,2,FALSE()),"Mã loại chưa khai báo"))</f>
        <v/>
      </c>
      <c r="F250" s="108" t="n"/>
      <c r="G250" s="109" t="n"/>
      <c r="H250" s="110" t="n"/>
      <c r="I250" s="108" t="n"/>
      <c r="J250" s="110" t="n"/>
      <c r="K250" s="108" t="n"/>
      <c r="L250" s="108" t="n"/>
      <c r="M250" s="108" t="n"/>
      <c r="N250" s="109" t="n"/>
      <c r="O250" s="109" t="n"/>
      <c r="P250" s="107" t="n"/>
      <c r="Q250" s="107" t="n"/>
      <c r="R250" s="111" t="n"/>
      <c r="S250" s="112" t="n"/>
      <c r="T250" s="113" t="n"/>
      <c r="U250" s="102">
        <f>IF(S250="","",ROUND(S250*N(T250),2))</f>
        <v/>
      </c>
      <c r="V250" s="102">
        <f>IF(S250="","",S250+U250)</f>
        <v/>
      </c>
      <c r="W250" s="103">
        <f>IF(V250="","",ROUND(V250*IF(OR(Q250="",Q250="VND"),1,R250),0))</f>
        <v/>
      </c>
      <c r="X250" s="111" t="n"/>
      <c r="Y250" s="103">
        <f>IF(W250="","",W250+N(X250))</f>
        <v/>
      </c>
      <c r="Z250" s="103">
        <f>IF(B250="","",SUMIFS('NHAT KY THANH TOAN'!$G:$G,'NHAT KY THANH TOAN'!$B:$B,B250,'NHAT KY THANH TOAN'!$D:$D,"Hóa đơn"))</f>
        <v/>
      </c>
      <c r="AA250" s="103">
        <f>IF(B250="","",SUMIFS('NHAT KY THANH TOAN'!$G:$G,'NHAT KY THANH TOAN'!$B:$B,B250,'NHAT KY THANH TOAN'!$D:$D,"Thanh toán"))</f>
        <v/>
      </c>
      <c r="AB250" s="103">
        <f>IF(Y250="","",Y250-N(AA250))</f>
        <v/>
      </c>
      <c r="AC250" s="103">
        <f>IF(B250="","",N(Z250)-N(AA250))</f>
        <v/>
      </c>
      <c r="AD250" s="104">
        <f>IF(N(Y250)=0,"",N(AA250)/Y250)</f>
        <v/>
      </c>
      <c r="AE250" s="107" t="n"/>
      <c r="AF250" s="95">
        <f>IF(H250="","",TRIM(IF(AND(N(Y250)&gt;='THAM SO'!$B$10,AE250&lt;&gt;"Có"),"Chưa rà soát pháp lý; ","")&amp;IF(I250="","Thiếu MST đối tác; ","")&amp;IF(AG250="","Chưa ghi nơi lưu bản gốc; ","")&amp;IF(COUNTIFS('NHAT KY THANH TOAN'!$B:$B,B250,'NHAT KY THANH TOAN'!$D:$D,"Thanh toán",'NHAT KY THANH TOAN'!$F:$F,"Tiền mặt",'NHAT KY THANH TOAN'!$G:$G,"&gt;="&amp;'THAM SO'!$B$11)&gt;0,"Có khoản TT tiền mặt ≥ ngưỡng; ","")&amp;IF(AND(AB250&lt;&gt;"",N(AB250)&lt;0),"Thanh toán vượt giá trị HĐ; ","")))</f>
        <v/>
      </c>
      <c r="AG250" s="108" t="n"/>
      <c r="AH250" s="109" t="n"/>
      <c r="AI250" s="105">
        <f>IF(OR(H250="",O250="",AH250&lt;&gt;""),"",O250-'THAM SO'!$B$8)</f>
        <v/>
      </c>
      <c r="AJ250" s="95">
        <f>IF(H250="","",IF(AH250&lt;&gt;"","Đã thanh lý",IF(AND(N250&lt;&gt;"",N250&gt;'THAM SO'!$B$8),"Chưa hiệu lực",IF(O250="","Đang thực hiện",IF(O250&lt;'THAM SO'!$B$8,IF(P250="Có","Đã tự gia hạn – kiểm tra","Quá hạn – chưa thanh lý"),IF(O250-'THAM SO'!$B$8&lt;='THAM SO'!$B$9,"Sắp hết hạn","Đang thực hiện"))))))</f>
        <v/>
      </c>
      <c r="AK250" s="106">
        <f>IF(AND(O250="",AH250=""),"",EDATE(MAX(N(O250),N(AH250)),12*'THAM SO'!$B$12))</f>
        <v/>
      </c>
      <c r="AL250" s="110" t="n"/>
    </row>
    <row r="251" ht="15" customHeight="1" s="64">
      <c r="A251" s="93">
        <f>IF(H251="","",COUNTA($H$9:H251))</f>
        <v/>
      </c>
      <c r="B251" s="93">
        <f>IF(OR(D251="",G251=""),"",YEAR(G251)&amp;"/"&amp;D251&amp;"/"&amp;TEXT(SUMPRODUCT(($D$9:D251=D251)*(YEAR($G$9:G251)=YEAR(G251))),"000")&amp;"-"&amp;'THAM SO'!$B$7)</f>
        <v/>
      </c>
      <c r="C251" s="107" t="n"/>
      <c r="D251" s="107" t="n"/>
      <c r="E251" s="95">
        <f>IF(D251="","",IFERROR(VLOOKUP(D251,'THAM SO'!$D$6:$E$40,2,FALSE()),"Mã loại chưa khai báo"))</f>
        <v/>
      </c>
      <c r="F251" s="108" t="n"/>
      <c r="G251" s="109" t="n"/>
      <c r="H251" s="110" t="n"/>
      <c r="I251" s="108" t="n"/>
      <c r="J251" s="110" t="n"/>
      <c r="K251" s="108" t="n"/>
      <c r="L251" s="108" t="n"/>
      <c r="M251" s="108" t="n"/>
      <c r="N251" s="109" t="n"/>
      <c r="O251" s="109" t="n"/>
      <c r="P251" s="107" t="n"/>
      <c r="Q251" s="107" t="n"/>
      <c r="R251" s="111" t="n"/>
      <c r="S251" s="112" t="n"/>
      <c r="T251" s="113" t="n"/>
      <c r="U251" s="102">
        <f>IF(S251="","",ROUND(S251*N(T251),2))</f>
        <v/>
      </c>
      <c r="V251" s="102">
        <f>IF(S251="","",S251+U251)</f>
        <v/>
      </c>
      <c r="W251" s="103">
        <f>IF(V251="","",ROUND(V251*IF(OR(Q251="",Q251="VND"),1,R251),0))</f>
        <v/>
      </c>
      <c r="X251" s="111" t="n"/>
      <c r="Y251" s="103">
        <f>IF(W251="","",W251+N(X251))</f>
        <v/>
      </c>
      <c r="Z251" s="103">
        <f>IF(B251="","",SUMIFS('NHAT KY THANH TOAN'!$G:$G,'NHAT KY THANH TOAN'!$B:$B,B251,'NHAT KY THANH TOAN'!$D:$D,"Hóa đơn"))</f>
        <v/>
      </c>
      <c r="AA251" s="103">
        <f>IF(B251="","",SUMIFS('NHAT KY THANH TOAN'!$G:$G,'NHAT KY THANH TOAN'!$B:$B,B251,'NHAT KY THANH TOAN'!$D:$D,"Thanh toán"))</f>
        <v/>
      </c>
      <c r="AB251" s="103">
        <f>IF(Y251="","",Y251-N(AA251))</f>
        <v/>
      </c>
      <c r="AC251" s="103">
        <f>IF(B251="","",N(Z251)-N(AA251))</f>
        <v/>
      </c>
      <c r="AD251" s="104">
        <f>IF(N(Y251)=0,"",N(AA251)/Y251)</f>
        <v/>
      </c>
      <c r="AE251" s="107" t="n"/>
      <c r="AF251" s="95">
        <f>IF(H251="","",TRIM(IF(AND(N(Y251)&gt;='THAM SO'!$B$10,AE251&lt;&gt;"Có"),"Chưa rà soát pháp lý; ","")&amp;IF(I251="","Thiếu MST đối tác; ","")&amp;IF(AG251="","Chưa ghi nơi lưu bản gốc; ","")&amp;IF(COUNTIFS('NHAT KY THANH TOAN'!$B:$B,B251,'NHAT KY THANH TOAN'!$D:$D,"Thanh toán",'NHAT KY THANH TOAN'!$F:$F,"Tiền mặt",'NHAT KY THANH TOAN'!$G:$G,"&gt;="&amp;'THAM SO'!$B$11)&gt;0,"Có khoản TT tiền mặt ≥ ngưỡng; ","")&amp;IF(AND(AB251&lt;&gt;"",N(AB251)&lt;0),"Thanh toán vượt giá trị HĐ; ","")))</f>
        <v/>
      </c>
      <c r="AG251" s="108" t="n"/>
      <c r="AH251" s="109" t="n"/>
      <c r="AI251" s="105">
        <f>IF(OR(H251="",O251="",AH251&lt;&gt;""),"",O251-'THAM SO'!$B$8)</f>
        <v/>
      </c>
      <c r="AJ251" s="95">
        <f>IF(H251="","",IF(AH251&lt;&gt;"","Đã thanh lý",IF(AND(N251&lt;&gt;"",N251&gt;'THAM SO'!$B$8),"Chưa hiệu lực",IF(O251="","Đang thực hiện",IF(O251&lt;'THAM SO'!$B$8,IF(P251="Có","Đã tự gia hạn – kiểm tra","Quá hạn – chưa thanh lý"),IF(O251-'THAM SO'!$B$8&lt;='THAM SO'!$B$9,"Sắp hết hạn","Đang thực hiện"))))))</f>
        <v/>
      </c>
      <c r="AK251" s="106">
        <f>IF(AND(O251="",AH251=""),"",EDATE(MAX(N(O251),N(AH251)),12*'THAM SO'!$B$12))</f>
        <v/>
      </c>
      <c r="AL251" s="110" t="n"/>
    </row>
    <row r="252" ht="15" customHeight="1" s="64">
      <c r="A252" s="93">
        <f>IF(H252="","",COUNTA($H$9:H252))</f>
        <v/>
      </c>
      <c r="B252" s="93">
        <f>IF(OR(D252="",G252=""),"",YEAR(G252)&amp;"/"&amp;D252&amp;"/"&amp;TEXT(SUMPRODUCT(($D$9:D252=D252)*(YEAR($G$9:G252)=YEAR(G252))),"000")&amp;"-"&amp;'THAM SO'!$B$7)</f>
        <v/>
      </c>
      <c r="C252" s="107" t="n"/>
      <c r="D252" s="107" t="n"/>
      <c r="E252" s="95">
        <f>IF(D252="","",IFERROR(VLOOKUP(D252,'THAM SO'!$D$6:$E$40,2,FALSE()),"Mã loại chưa khai báo"))</f>
        <v/>
      </c>
      <c r="F252" s="108" t="n"/>
      <c r="G252" s="109" t="n"/>
      <c r="H252" s="110" t="n"/>
      <c r="I252" s="108" t="n"/>
      <c r="J252" s="110" t="n"/>
      <c r="K252" s="108" t="n"/>
      <c r="L252" s="108" t="n"/>
      <c r="M252" s="108" t="n"/>
      <c r="N252" s="109" t="n"/>
      <c r="O252" s="109" t="n"/>
      <c r="P252" s="107" t="n"/>
      <c r="Q252" s="107" t="n"/>
      <c r="R252" s="111" t="n"/>
      <c r="S252" s="112" t="n"/>
      <c r="T252" s="113" t="n"/>
      <c r="U252" s="102">
        <f>IF(S252="","",ROUND(S252*N(T252),2))</f>
        <v/>
      </c>
      <c r="V252" s="102">
        <f>IF(S252="","",S252+U252)</f>
        <v/>
      </c>
      <c r="W252" s="103">
        <f>IF(V252="","",ROUND(V252*IF(OR(Q252="",Q252="VND"),1,R252),0))</f>
        <v/>
      </c>
      <c r="X252" s="111" t="n"/>
      <c r="Y252" s="103">
        <f>IF(W252="","",W252+N(X252))</f>
        <v/>
      </c>
      <c r="Z252" s="103">
        <f>IF(B252="","",SUMIFS('NHAT KY THANH TOAN'!$G:$G,'NHAT KY THANH TOAN'!$B:$B,B252,'NHAT KY THANH TOAN'!$D:$D,"Hóa đơn"))</f>
        <v/>
      </c>
      <c r="AA252" s="103">
        <f>IF(B252="","",SUMIFS('NHAT KY THANH TOAN'!$G:$G,'NHAT KY THANH TOAN'!$B:$B,B252,'NHAT KY THANH TOAN'!$D:$D,"Thanh toán"))</f>
        <v/>
      </c>
      <c r="AB252" s="103">
        <f>IF(Y252="","",Y252-N(AA252))</f>
        <v/>
      </c>
      <c r="AC252" s="103">
        <f>IF(B252="","",N(Z252)-N(AA252))</f>
        <v/>
      </c>
      <c r="AD252" s="104">
        <f>IF(N(Y252)=0,"",N(AA252)/Y252)</f>
        <v/>
      </c>
      <c r="AE252" s="107" t="n"/>
      <c r="AF252" s="95">
        <f>IF(H252="","",TRIM(IF(AND(N(Y252)&gt;='THAM SO'!$B$10,AE252&lt;&gt;"Có"),"Chưa rà soát pháp lý; ","")&amp;IF(I252="","Thiếu MST đối tác; ","")&amp;IF(AG252="","Chưa ghi nơi lưu bản gốc; ","")&amp;IF(COUNTIFS('NHAT KY THANH TOAN'!$B:$B,B252,'NHAT KY THANH TOAN'!$D:$D,"Thanh toán",'NHAT KY THANH TOAN'!$F:$F,"Tiền mặt",'NHAT KY THANH TOAN'!$G:$G,"&gt;="&amp;'THAM SO'!$B$11)&gt;0,"Có khoản TT tiền mặt ≥ ngưỡng; ","")&amp;IF(AND(AB252&lt;&gt;"",N(AB252)&lt;0),"Thanh toán vượt giá trị HĐ; ","")))</f>
        <v/>
      </c>
      <c r="AG252" s="108" t="n"/>
      <c r="AH252" s="109" t="n"/>
      <c r="AI252" s="105">
        <f>IF(OR(H252="",O252="",AH252&lt;&gt;""),"",O252-'THAM SO'!$B$8)</f>
        <v/>
      </c>
      <c r="AJ252" s="95">
        <f>IF(H252="","",IF(AH252&lt;&gt;"","Đã thanh lý",IF(AND(N252&lt;&gt;"",N252&gt;'THAM SO'!$B$8),"Chưa hiệu lực",IF(O252="","Đang thực hiện",IF(O252&lt;'THAM SO'!$B$8,IF(P252="Có","Đã tự gia hạn – kiểm tra","Quá hạn – chưa thanh lý"),IF(O252-'THAM SO'!$B$8&lt;='THAM SO'!$B$9,"Sắp hết hạn","Đang thực hiện"))))))</f>
        <v/>
      </c>
      <c r="AK252" s="106">
        <f>IF(AND(O252="",AH252=""),"",EDATE(MAX(N(O252),N(AH252)),12*'THAM SO'!$B$12))</f>
        <v/>
      </c>
      <c r="AL252" s="110" t="n"/>
    </row>
    <row r="253" ht="15" customHeight="1" s="64">
      <c r="A253" s="93">
        <f>IF(H253="","",COUNTA($H$9:H253))</f>
        <v/>
      </c>
      <c r="B253" s="93">
        <f>IF(OR(D253="",G253=""),"",YEAR(G253)&amp;"/"&amp;D253&amp;"/"&amp;TEXT(SUMPRODUCT(($D$9:D253=D253)*(YEAR($G$9:G253)=YEAR(G253))),"000")&amp;"-"&amp;'THAM SO'!$B$7)</f>
        <v/>
      </c>
      <c r="C253" s="107" t="n"/>
      <c r="D253" s="107" t="n"/>
      <c r="E253" s="95">
        <f>IF(D253="","",IFERROR(VLOOKUP(D253,'THAM SO'!$D$6:$E$40,2,FALSE()),"Mã loại chưa khai báo"))</f>
        <v/>
      </c>
      <c r="F253" s="108" t="n"/>
      <c r="G253" s="109" t="n"/>
      <c r="H253" s="110" t="n"/>
      <c r="I253" s="108" t="n"/>
      <c r="J253" s="110" t="n"/>
      <c r="K253" s="108" t="n"/>
      <c r="L253" s="108" t="n"/>
      <c r="M253" s="108" t="n"/>
      <c r="N253" s="109" t="n"/>
      <c r="O253" s="109" t="n"/>
      <c r="P253" s="107" t="n"/>
      <c r="Q253" s="107" t="n"/>
      <c r="R253" s="111" t="n"/>
      <c r="S253" s="112" t="n"/>
      <c r="T253" s="113" t="n"/>
      <c r="U253" s="102">
        <f>IF(S253="","",ROUND(S253*N(T253),2))</f>
        <v/>
      </c>
      <c r="V253" s="102">
        <f>IF(S253="","",S253+U253)</f>
        <v/>
      </c>
      <c r="W253" s="103">
        <f>IF(V253="","",ROUND(V253*IF(OR(Q253="",Q253="VND"),1,R253),0))</f>
        <v/>
      </c>
      <c r="X253" s="111" t="n"/>
      <c r="Y253" s="103">
        <f>IF(W253="","",W253+N(X253))</f>
        <v/>
      </c>
      <c r="Z253" s="103">
        <f>IF(B253="","",SUMIFS('NHAT KY THANH TOAN'!$G:$G,'NHAT KY THANH TOAN'!$B:$B,B253,'NHAT KY THANH TOAN'!$D:$D,"Hóa đơn"))</f>
        <v/>
      </c>
      <c r="AA253" s="103">
        <f>IF(B253="","",SUMIFS('NHAT KY THANH TOAN'!$G:$G,'NHAT KY THANH TOAN'!$B:$B,B253,'NHAT KY THANH TOAN'!$D:$D,"Thanh toán"))</f>
        <v/>
      </c>
      <c r="AB253" s="103">
        <f>IF(Y253="","",Y253-N(AA253))</f>
        <v/>
      </c>
      <c r="AC253" s="103">
        <f>IF(B253="","",N(Z253)-N(AA253))</f>
        <v/>
      </c>
      <c r="AD253" s="104">
        <f>IF(N(Y253)=0,"",N(AA253)/Y253)</f>
        <v/>
      </c>
      <c r="AE253" s="107" t="n"/>
      <c r="AF253" s="95">
        <f>IF(H253="","",TRIM(IF(AND(N(Y253)&gt;='THAM SO'!$B$10,AE253&lt;&gt;"Có"),"Chưa rà soát pháp lý; ","")&amp;IF(I253="","Thiếu MST đối tác; ","")&amp;IF(AG253="","Chưa ghi nơi lưu bản gốc; ","")&amp;IF(COUNTIFS('NHAT KY THANH TOAN'!$B:$B,B253,'NHAT KY THANH TOAN'!$D:$D,"Thanh toán",'NHAT KY THANH TOAN'!$F:$F,"Tiền mặt",'NHAT KY THANH TOAN'!$G:$G,"&gt;="&amp;'THAM SO'!$B$11)&gt;0,"Có khoản TT tiền mặt ≥ ngưỡng; ","")&amp;IF(AND(AB253&lt;&gt;"",N(AB253)&lt;0),"Thanh toán vượt giá trị HĐ; ","")))</f>
        <v/>
      </c>
      <c r="AG253" s="108" t="n"/>
      <c r="AH253" s="109" t="n"/>
      <c r="AI253" s="105">
        <f>IF(OR(H253="",O253="",AH253&lt;&gt;""),"",O253-'THAM SO'!$B$8)</f>
        <v/>
      </c>
      <c r="AJ253" s="95">
        <f>IF(H253="","",IF(AH253&lt;&gt;"","Đã thanh lý",IF(AND(N253&lt;&gt;"",N253&gt;'THAM SO'!$B$8),"Chưa hiệu lực",IF(O253="","Đang thực hiện",IF(O253&lt;'THAM SO'!$B$8,IF(P253="Có","Đã tự gia hạn – kiểm tra","Quá hạn – chưa thanh lý"),IF(O253-'THAM SO'!$B$8&lt;='THAM SO'!$B$9,"Sắp hết hạn","Đang thực hiện"))))))</f>
        <v/>
      </c>
      <c r="AK253" s="106">
        <f>IF(AND(O253="",AH253=""),"",EDATE(MAX(N(O253),N(AH253)),12*'THAM SO'!$B$12))</f>
        <v/>
      </c>
      <c r="AL253" s="110" t="n"/>
    </row>
    <row r="254" ht="15" customHeight="1" s="64">
      <c r="A254" s="93">
        <f>IF(H254="","",COUNTA($H$9:H254))</f>
        <v/>
      </c>
      <c r="B254" s="93">
        <f>IF(OR(D254="",G254=""),"",YEAR(G254)&amp;"/"&amp;D254&amp;"/"&amp;TEXT(SUMPRODUCT(($D$9:D254=D254)*(YEAR($G$9:G254)=YEAR(G254))),"000")&amp;"-"&amp;'THAM SO'!$B$7)</f>
        <v/>
      </c>
      <c r="C254" s="107" t="n"/>
      <c r="D254" s="107" t="n"/>
      <c r="E254" s="95">
        <f>IF(D254="","",IFERROR(VLOOKUP(D254,'THAM SO'!$D$6:$E$40,2,FALSE()),"Mã loại chưa khai báo"))</f>
        <v/>
      </c>
      <c r="F254" s="108" t="n"/>
      <c r="G254" s="109" t="n"/>
      <c r="H254" s="110" t="n"/>
      <c r="I254" s="108" t="n"/>
      <c r="J254" s="110" t="n"/>
      <c r="K254" s="108" t="n"/>
      <c r="L254" s="108" t="n"/>
      <c r="M254" s="108" t="n"/>
      <c r="N254" s="109" t="n"/>
      <c r="O254" s="109" t="n"/>
      <c r="P254" s="107" t="n"/>
      <c r="Q254" s="107" t="n"/>
      <c r="R254" s="111" t="n"/>
      <c r="S254" s="112" t="n"/>
      <c r="T254" s="113" t="n"/>
      <c r="U254" s="102">
        <f>IF(S254="","",ROUND(S254*N(T254),2))</f>
        <v/>
      </c>
      <c r="V254" s="102">
        <f>IF(S254="","",S254+U254)</f>
        <v/>
      </c>
      <c r="W254" s="103">
        <f>IF(V254="","",ROUND(V254*IF(OR(Q254="",Q254="VND"),1,R254),0))</f>
        <v/>
      </c>
      <c r="X254" s="111" t="n"/>
      <c r="Y254" s="103">
        <f>IF(W254="","",W254+N(X254))</f>
        <v/>
      </c>
      <c r="Z254" s="103">
        <f>IF(B254="","",SUMIFS('NHAT KY THANH TOAN'!$G:$G,'NHAT KY THANH TOAN'!$B:$B,B254,'NHAT KY THANH TOAN'!$D:$D,"Hóa đơn"))</f>
        <v/>
      </c>
      <c r="AA254" s="103">
        <f>IF(B254="","",SUMIFS('NHAT KY THANH TOAN'!$G:$G,'NHAT KY THANH TOAN'!$B:$B,B254,'NHAT KY THANH TOAN'!$D:$D,"Thanh toán"))</f>
        <v/>
      </c>
      <c r="AB254" s="103">
        <f>IF(Y254="","",Y254-N(AA254))</f>
        <v/>
      </c>
      <c r="AC254" s="103">
        <f>IF(B254="","",N(Z254)-N(AA254))</f>
        <v/>
      </c>
      <c r="AD254" s="104">
        <f>IF(N(Y254)=0,"",N(AA254)/Y254)</f>
        <v/>
      </c>
      <c r="AE254" s="107" t="n"/>
      <c r="AF254" s="95">
        <f>IF(H254="","",TRIM(IF(AND(N(Y254)&gt;='THAM SO'!$B$10,AE254&lt;&gt;"Có"),"Chưa rà soát pháp lý; ","")&amp;IF(I254="","Thiếu MST đối tác; ","")&amp;IF(AG254="","Chưa ghi nơi lưu bản gốc; ","")&amp;IF(COUNTIFS('NHAT KY THANH TOAN'!$B:$B,B254,'NHAT KY THANH TOAN'!$D:$D,"Thanh toán",'NHAT KY THANH TOAN'!$F:$F,"Tiền mặt",'NHAT KY THANH TOAN'!$G:$G,"&gt;="&amp;'THAM SO'!$B$11)&gt;0,"Có khoản TT tiền mặt ≥ ngưỡng; ","")&amp;IF(AND(AB254&lt;&gt;"",N(AB254)&lt;0),"Thanh toán vượt giá trị HĐ; ","")))</f>
        <v/>
      </c>
      <c r="AG254" s="108" t="n"/>
      <c r="AH254" s="109" t="n"/>
      <c r="AI254" s="105">
        <f>IF(OR(H254="",O254="",AH254&lt;&gt;""),"",O254-'THAM SO'!$B$8)</f>
        <v/>
      </c>
      <c r="AJ254" s="95">
        <f>IF(H254="","",IF(AH254&lt;&gt;"","Đã thanh lý",IF(AND(N254&lt;&gt;"",N254&gt;'THAM SO'!$B$8),"Chưa hiệu lực",IF(O254="","Đang thực hiện",IF(O254&lt;'THAM SO'!$B$8,IF(P254="Có","Đã tự gia hạn – kiểm tra","Quá hạn – chưa thanh lý"),IF(O254-'THAM SO'!$B$8&lt;='THAM SO'!$B$9,"Sắp hết hạn","Đang thực hiện"))))))</f>
        <v/>
      </c>
      <c r="AK254" s="106">
        <f>IF(AND(O254="",AH254=""),"",EDATE(MAX(N(O254),N(AH254)),12*'THAM SO'!$B$12))</f>
        <v/>
      </c>
      <c r="AL254" s="110" t="n"/>
    </row>
    <row r="255" ht="15" customHeight="1" s="64">
      <c r="A255" s="93">
        <f>IF(H255="","",COUNTA($H$9:H255))</f>
        <v/>
      </c>
      <c r="B255" s="93">
        <f>IF(OR(D255="",G255=""),"",YEAR(G255)&amp;"/"&amp;D255&amp;"/"&amp;TEXT(SUMPRODUCT(($D$9:D255=D255)*(YEAR($G$9:G255)=YEAR(G255))),"000")&amp;"-"&amp;'THAM SO'!$B$7)</f>
        <v/>
      </c>
      <c r="C255" s="107" t="n"/>
      <c r="D255" s="107" t="n"/>
      <c r="E255" s="95">
        <f>IF(D255="","",IFERROR(VLOOKUP(D255,'THAM SO'!$D$6:$E$40,2,FALSE()),"Mã loại chưa khai báo"))</f>
        <v/>
      </c>
      <c r="F255" s="108" t="n"/>
      <c r="G255" s="109" t="n"/>
      <c r="H255" s="110" t="n"/>
      <c r="I255" s="108" t="n"/>
      <c r="J255" s="110" t="n"/>
      <c r="K255" s="108" t="n"/>
      <c r="L255" s="108" t="n"/>
      <c r="M255" s="108" t="n"/>
      <c r="N255" s="109" t="n"/>
      <c r="O255" s="109" t="n"/>
      <c r="P255" s="107" t="n"/>
      <c r="Q255" s="107" t="n"/>
      <c r="R255" s="111" t="n"/>
      <c r="S255" s="112" t="n"/>
      <c r="T255" s="113" t="n"/>
      <c r="U255" s="102">
        <f>IF(S255="","",ROUND(S255*N(T255),2))</f>
        <v/>
      </c>
      <c r="V255" s="102">
        <f>IF(S255="","",S255+U255)</f>
        <v/>
      </c>
      <c r="W255" s="103">
        <f>IF(V255="","",ROUND(V255*IF(OR(Q255="",Q255="VND"),1,R255),0))</f>
        <v/>
      </c>
      <c r="X255" s="111" t="n"/>
      <c r="Y255" s="103">
        <f>IF(W255="","",W255+N(X255))</f>
        <v/>
      </c>
      <c r="Z255" s="103">
        <f>IF(B255="","",SUMIFS('NHAT KY THANH TOAN'!$G:$G,'NHAT KY THANH TOAN'!$B:$B,B255,'NHAT KY THANH TOAN'!$D:$D,"Hóa đơn"))</f>
        <v/>
      </c>
      <c r="AA255" s="103">
        <f>IF(B255="","",SUMIFS('NHAT KY THANH TOAN'!$G:$G,'NHAT KY THANH TOAN'!$B:$B,B255,'NHAT KY THANH TOAN'!$D:$D,"Thanh toán"))</f>
        <v/>
      </c>
      <c r="AB255" s="103">
        <f>IF(Y255="","",Y255-N(AA255))</f>
        <v/>
      </c>
      <c r="AC255" s="103">
        <f>IF(B255="","",N(Z255)-N(AA255))</f>
        <v/>
      </c>
      <c r="AD255" s="104">
        <f>IF(N(Y255)=0,"",N(AA255)/Y255)</f>
        <v/>
      </c>
      <c r="AE255" s="107" t="n"/>
      <c r="AF255" s="95">
        <f>IF(H255="","",TRIM(IF(AND(N(Y255)&gt;='THAM SO'!$B$10,AE255&lt;&gt;"Có"),"Chưa rà soát pháp lý; ","")&amp;IF(I255="","Thiếu MST đối tác; ","")&amp;IF(AG255="","Chưa ghi nơi lưu bản gốc; ","")&amp;IF(COUNTIFS('NHAT KY THANH TOAN'!$B:$B,B255,'NHAT KY THANH TOAN'!$D:$D,"Thanh toán",'NHAT KY THANH TOAN'!$F:$F,"Tiền mặt",'NHAT KY THANH TOAN'!$G:$G,"&gt;="&amp;'THAM SO'!$B$11)&gt;0,"Có khoản TT tiền mặt ≥ ngưỡng; ","")&amp;IF(AND(AB255&lt;&gt;"",N(AB255)&lt;0),"Thanh toán vượt giá trị HĐ; ","")))</f>
        <v/>
      </c>
      <c r="AG255" s="108" t="n"/>
      <c r="AH255" s="109" t="n"/>
      <c r="AI255" s="105">
        <f>IF(OR(H255="",O255="",AH255&lt;&gt;""),"",O255-'THAM SO'!$B$8)</f>
        <v/>
      </c>
      <c r="AJ255" s="95">
        <f>IF(H255="","",IF(AH255&lt;&gt;"","Đã thanh lý",IF(AND(N255&lt;&gt;"",N255&gt;'THAM SO'!$B$8),"Chưa hiệu lực",IF(O255="","Đang thực hiện",IF(O255&lt;'THAM SO'!$B$8,IF(P255="Có","Đã tự gia hạn – kiểm tra","Quá hạn – chưa thanh lý"),IF(O255-'THAM SO'!$B$8&lt;='THAM SO'!$B$9,"Sắp hết hạn","Đang thực hiện"))))))</f>
        <v/>
      </c>
      <c r="AK255" s="106">
        <f>IF(AND(O255="",AH255=""),"",EDATE(MAX(N(O255),N(AH255)),12*'THAM SO'!$B$12))</f>
        <v/>
      </c>
      <c r="AL255" s="110" t="n"/>
    </row>
    <row r="256" ht="15" customHeight="1" s="64">
      <c r="A256" s="93">
        <f>IF(H256="","",COUNTA($H$9:H256))</f>
        <v/>
      </c>
      <c r="B256" s="93">
        <f>IF(OR(D256="",G256=""),"",YEAR(G256)&amp;"/"&amp;D256&amp;"/"&amp;TEXT(SUMPRODUCT(($D$9:D256=D256)*(YEAR($G$9:G256)=YEAR(G256))),"000")&amp;"-"&amp;'THAM SO'!$B$7)</f>
        <v/>
      </c>
      <c r="C256" s="107" t="n"/>
      <c r="D256" s="107" t="n"/>
      <c r="E256" s="95">
        <f>IF(D256="","",IFERROR(VLOOKUP(D256,'THAM SO'!$D$6:$E$40,2,FALSE()),"Mã loại chưa khai báo"))</f>
        <v/>
      </c>
      <c r="F256" s="108" t="n"/>
      <c r="G256" s="109" t="n"/>
      <c r="H256" s="110" t="n"/>
      <c r="I256" s="108" t="n"/>
      <c r="J256" s="110" t="n"/>
      <c r="K256" s="108" t="n"/>
      <c r="L256" s="108" t="n"/>
      <c r="M256" s="108" t="n"/>
      <c r="N256" s="109" t="n"/>
      <c r="O256" s="109" t="n"/>
      <c r="P256" s="107" t="n"/>
      <c r="Q256" s="107" t="n"/>
      <c r="R256" s="111" t="n"/>
      <c r="S256" s="112" t="n"/>
      <c r="T256" s="113" t="n"/>
      <c r="U256" s="102">
        <f>IF(S256="","",ROUND(S256*N(T256),2))</f>
        <v/>
      </c>
      <c r="V256" s="102">
        <f>IF(S256="","",S256+U256)</f>
        <v/>
      </c>
      <c r="W256" s="103">
        <f>IF(V256="","",ROUND(V256*IF(OR(Q256="",Q256="VND"),1,R256),0))</f>
        <v/>
      </c>
      <c r="X256" s="111" t="n"/>
      <c r="Y256" s="103">
        <f>IF(W256="","",W256+N(X256))</f>
        <v/>
      </c>
      <c r="Z256" s="103">
        <f>IF(B256="","",SUMIFS('NHAT KY THANH TOAN'!$G:$G,'NHAT KY THANH TOAN'!$B:$B,B256,'NHAT KY THANH TOAN'!$D:$D,"Hóa đơn"))</f>
        <v/>
      </c>
      <c r="AA256" s="103">
        <f>IF(B256="","",SUMIFS('NHAT KY THANH TOAN'!$G:$G,'NHAT KY THANH TOAN'!$B:$B,B256,'NHAT KY THANH TOAN'!$D:$D,"Thanh toán"))</f>
        <v/>
      </c>
      <c r="AB256" s="103">
        <f>IF(Y256="","",Y256-N(AA256))</f>
        <v/>
      </c>
      <c r="AC256" s="103">
        <f>IF(B256="","",N(Z256)-N(AA256))</f>
        <v/>
      </c>
      <c r="AD256" s="104">
        <f>IF(N(Y256)=0,"",N(AA256)/Y256)</f>
        <v/>
      </c>
      <c r="AE256" s="107" t="n"/>
      <c r="AF256" s="95">
        <f>IF(H256="","",TRIM(IF(AND(N(Y256)&gt;='THAM SO'!$B$10,AE256&lt;&gt;"Có"),"Chưa rà soát pháp lý; ","")&amp;IF(I256="","Thiếu MST đối tác; ","")&amp;IF(AG256="","Chưa ghi nơi lưu bản gốc; ","")&amp;IF(COUNTIFS('NHAT KY THANH TOAN'!$B:$B,B256,'NHAT KY THANH TOAN'!$D:$D,"Thanh toán",'NHAT KY THANH TOAN'!$F:$F,"Tiền mặt",'NHAT KY THANH TOAN'!$G:$G,"&gt;="&amp;'THAM SO'!$B$11)&gt;0,"Có khoản TT tiền mặt ≥ ngưỡng; ","")&amp;IF(AND(AB256&lt;&gt;"",N(AB256)&lt;0),"Thanh toán vượt giá trị HĐ; ","")))</f>
        <v/>
      </c>
      <c r="AG256" s="108" t="n"/>
      <c r="AH256" s="109" t="n"/>
      <c r="AI256" s="105">
        <f>IF(OR(H256="",O256="",AH256&lt;&gt;""),"",O256-'THAM SO'!$B$8)</f>
        <v/>
      </c>
      <c r="AJ256" s="95">
        <f>IF(H256="","",IF(AH256&lt;&gt;"","Đã thanh lý",IF(AND(N256&lt;&gt;"",N256&gt;'THAM SO'!$B$8),"Chưa hiệu lực",IF(O256="","Đang thực hiện",IF(O256&lt;'THAM SO'!$B$8,IF(P256="Có","Đã tự gia hạn – kiểm tra","Quá hạn – chưa thanh lý"),IF(O256-'THAM SO'!$B$8&lt;='THAM SO'!$B$9,"Sắp hết hạn","Đang thực hiện"))))))</f>
        <v/>
      </c>
      <c r="AK256" s="106">
        <f>IF(AND(O256="",AH256=""),"",EDATE(MAX(N(O256),N(AH256)),12*'THAM SO'!$B$12))</f>
        <v/>
      </c>
      <c r="AL256" s="110" t="n"/>
    </row>
    <row r="257" ht="15" customHeight="1" s="64">
      <c r="A257" s="93">
        <f>IF(H257="","",COUNTA($H$9:H257))</f>
        <v/>
      </c>
      <c r="B257" s="93">
        <f>IF(OR(D257="",G257=""),"",YEAR(G257)&amp;"/"&amp;D257&amp;"/"&amp;TEXT(SUMPRODUCT(($D$9:D257=D257)*(YEAR($G$9:G257)=YEAR(G257))),"000")&amp;"-"&amp;'THAM SO'!$B$7)</f>
        <v/>
      </c>
      <c r="C257" s="107" t="n"/>
      <c r="D257" s="107" t="n"/>
      <c r="E257" s="95">
        <f>IF(D257="","",IFERROR(VLOOKUP(D257,'THAM SO'!$D$6:$E$40,2,FALSE()),"Mã loại chưa khai báo"))</f>
        <v/>
      </c>
      <c r="F257" s="108" t="n"/>
      <c r="G257" s="109" t="n"/>
      <c r="H257" s="110" t="n"/>
      <c r="I257" s="108" t="n"/>
      <c r="J257" s="110" t="n"/>
      <c r="K257" s="108" t="n"/>
      <c r="L257" s="108" t="n"/>
      <c r="M257" s="108" t="n"/>
      <c r="N257" s="109" t="n"/>
      <c r="O257" s="109" t="n"/>
      <c r="P257" s="107" t="n"/>
      <c r="Q257" s="107" t="n"/>
      <c r="R257" s="111" t="n"/>
      <c r="S257" s="112" t="n"/>
      <c r="T257" s="113" t="n"/>
      <c r="U257" s="102">
        <f>IF(S257="","",ROUND(S257*N(T257),2))</f>
        <v/>
      </c>
      <c r="V257" s="102">
        <f>IF(S257="","",S257+U257)</f>
        <v/>
      </c>
      <c r="W257" s="103">
        <f>IF(V257="","",ROUND(V257*IF(OR(Q257="",Q257="VND"),1,R257),0))</f>
        <v/>
      </c>
      <c r="X257" s="111" t="n"/>
      <c r="Y257" s="103">
        <f>IF(W257="","",W257+N(X257))</f>
        <v/>
      </c>
      <c r="Z257" s="103">
        <f>IF(B257="","",SUMIFS('NHAT KY THANH TOAN'!$G:$G,'NHAT KY THANH TOAN'!$B:$B,B257,'NHAT KY THANH TOAN'!$D:$D,"Hóa đơn"))</f>
        <v/>
      </c>
      <c r="AA257" s="103">
        <f>IF(B257="","",SUMIFS('NHAT KY THANH TOAN'!$G:$G,'NHAT KY THANH TOAN'!$B:$B,B257,'NHAT KY THANH TOAN'!$D:$D,"Thanh toán"))</f>
        <v/>
      </c>
      <c r="AB257" s="103">
        <f>IF(Y257="","",Y257-N(AA257))</f>
        <v/>
      </c>
      <c r="AC257" s="103">
        <f>IF(B257="","",N(Z257)-N(AA257))</f>
        <v/>
      </c>
      <c r="AD257" s="104">
        <f>IF(N(Y257)=0,"",N(AA257)/Y257)</f>
        <v/>
      </c>
      <c r="AE257" s="107" t="n"/>
      <c r="AF257" s="95">
        <f>IF(H257="","",TRIM(IF(AND(N(Y257)&gt;='THAM SO'!$B$10,AE257&lt;&gt;"Có"),"Chưa rà soát pháp lý; ","")&amp;IF(I257="","Thiếu MST đối tác; ","")&amp;IF(AG257="","Chưa ghi nơi lưu bản gốc; ","")&amp;IF(COUNTIFS('NHAT KY THANH TOAN'!$B:$B,B257,'NHAT KY THANH TOAN'!$D:$D,"Thanh toán",'NHAT KY THANH TOAN'!$F:$F,"Tiền mặt",'NHAT KY THANH TOAN'!$G:$G,"&gt;="&amp;'THAM SO'!$B$11)&gt;0,"Có khoản TT tiền mặt ≥ ngưỡng; ","")&amp;IF(AND(AB257&lt;&gt;"",N(AB257)&lt;0),"Thanh toán vượt giá trị HĐ; ","")))</f>
        <v/>
      </c>
      <c r="AG257" s="108" t="n"/>
      <c r="AH257" s="109" t="n"/>
      <c r="AI257" s="105">
        <f>IF(OR(H257="",O257="",AH257&lt;&gt;""),"",O257-'THAM SO'!$B$8)</f>
        <v/>
      </c>
      <c r="AJ257" s="95">
        <f>IF(H257="","",IF(AH257&lt;&gt;"","Đã thanh lý",IF(AND(N257&lt;&gt;"",N257&gt;'THAM SO'!$B$8),"Chưa hiệu lực",IF(O257="","Đang thực hiện",IF(O257&lt;'THAM SO'!$B$8,IF(P257="Có","Đã tự gia hạn – kiểm tra","Quá hạn – chưa thanh lý"),IF(O257-'THAM SO'!$B$8&lt;='THAM SO'!$B$9,"Sắp hết hạn","Đang thực hiện"))))))</f>
        <v/>
      </c>
      <c r="AK257" s="106">
        <f>IF(AND(O257="",AH257=""),"",EDATE(MAX(N(O257),N(AH257)),12*'THAM SO'!$B$12))</f>
        <v/>
      </c>
      <c r="AL257" s="110" t="n"/>
    </row>
    <row r="258" ht="15" customHeight="1" s="64">
      <c r="A258" s="93">
        <f>IF(H258="","",COUNTA($H$9:H258))</f>
        <v/>
      </c>
      <c r="B258" s="93">
        <f>IF(OR(D258="",G258=""),"",YEAR(G258)&amp;"/"&amp;D258&amp;"/"&amp;TEXT(SUMPRODUCT(($D$9:D258=D258)*(YEAR($G$9:G258)=YEAR(G258))),"000")&amp;"-"&amp;'THAM SO'!$B$7)</f>
        <v/>
      </c>
      <c r="C258" s="107" t="n"/>
      <c r="D258" s="107" t="n"/>
      <c r="E258" s="95">
        <f>IF(D258="","",IFERROR(VLOOKUP(D258,'THAM SO'!$D$6:$E$40,2,FALSE()),"Mã loại chưa khai báo"))</f>
        <v/>
      </c>
      <c r="F258" s="108" t="n"/>
      <c r="G258" s="109" t="n"/>
      <c r="H258" s="110" t="n"/>
      <c r="I258" s="108" t="n"/>
      <c r="J258" s="110" t="n"/>
      <c r="K258" s="108" t="n"/>
      <c r="L258" s="108" t="n"/>
      <c r="M258" s="108" t="n"/>
      <c r="N258" s="109" t="n"/>
      <c r="O258" s="109" t="n"/>
      <c r="P258" s="107" t="n"/>
      <c r="Q258" s="107" t="n"/>
      <c r="R258" s="111" t="n"/>
      <c r="S258" s="112" t="n"/>
      <c r="T258" s="113" t="n"/>
      <c r="U258" s="102">
        <f>IF(S258="","",ROUND(S258*N(T258),2))</f>
        <v/>
      </c>
      <c r="V258" s="102">
        <f>IF(S258="","",S258+U258)</f>
        <v/>
      </c>
      <c r="W258" s="103">
        <f>IF(V258="","",ROUND(V258*IF(OR(Q258="",Q258="VND"),1,R258),0))</f>
        <v/>
      </c>
      <c r="X258" s="111" t="n"/>
      <c r="Y258" s="103">
        <f>IF(W258="","",W258+N(X258))</f>
        <v/>
      </c>
      <c r="Z258" s="103">
        <f>IF(B258="","",SUMIFS('NHAT KY THANH TOAN'!$G:$G,'NHAT KY THANH TOAN'!$B:$B,B258,'NHAT KY THANH TOAN'!$D:$D,"Hóa đơn"))</f>
        <v/>
      </c>
      <c r="AA258" s="103">
        <f>IF(B258="","",SUMIFS('NHAT KY THANH TOAN'!$G:$G,'NHAT KY THANH TOAN'!$B:$B,B258,'NHAT KY THANH TOAN'!$D:$D,"Thanh toán"))</f>
        <v/>
      </c>
      <c r="AB258" s="103">
        <f>IF(Y258="","",Y258-N(AA258))</f>
        <v/>
      </c>
      <c r="AC258" s="103">
        <f>IF(B258="","",N(Z258)-N(AA258))</f>
        <v/>
      </c>
      <c r="AD258" s="104">
        <f>IF(N(Y258)=0,"",N(AA258)/Y258)</f>
        <v/>
      </c>
      <c r="AE258" s="107" t="n"/>
      <c r="AF258" s="95">
        <f>IF(H258="","",TRIM(IF(AND(N(Y258)&gt;='THAM SO'!$B$10,AE258&lt;&gt;"Có"),"Chưa rà soát pháp lý; ","")&amp;IF(I258="","Thiếu MST đối tác; ","")&amp;IF(AG258="","Chưa ghi nơi lưu bản gốc; ","")&amp;IF(COUNTIFS('NHAT KY THANH TOAN'!$B:$B,B258,'NHAT KY THANH TOAN'!$D:$D,"Thanh toán",'NHAT KY THANH TOAN'!$F:$F,"Tiền mặt",'NHAT KY THANH TOAN'!$G:$G,"&gt;="&amp;'THAM SO'!$B$11)&gt;0,"Có khoản TT tiền mặt ≥ ngưỡng; ","")&amp;IF(AND(AB258&lt;&gt;"",N(AB258)&lt;0),"Thanh toán vượt giá trị HĐ; ","")))</f>
        <v/>
      </c>
      <c r="AG258" s="108" t="n"/>
      <c r="AH258" s="109" t="n"/>
      <c r="AI258" s="105">
        <f>IF(OR(H258="",O258="",AH258&lt;&gt;""),"",O258-'THAM SO'!$B$8)</f>
        <v/>
      </c>
      <c r="AJ258" s="95">
        <f>IF(H258="","",IF(AH258&lt;&gt;"","Đã thanh lý",IF(AND(N258&lt;&gt;"",N258&gt;'THAM SO'!$B$8),"Chưa hiệu lực",IF(O258="","Đang thực hiện",IF(O258&lt;'THAM SO'!$B$8,IF(P258="Có","Đã tự gia hạn – kiểm tra","Quá hạn – chưa thanh lý"),IF(O258-'THAM SO'!$B$8&lt;='THAM SO'!$B$9,"Sắp hết hạn","Đang thực hiện"))))))</f>
        <v/>
      </c>
      <c r="AK258" s="106">
        <f>IF(AND(O258="",AH258=""),"",EDATE(MAX(N(O258),N(AH258)),12*'THAM SO'!$B$12))</f>
        <v/>
      </c>
      <c r="AL258" s="110" t="n"/>
    </row>
    <row r="259" ht="15" customHeight="1" s="64">
      <c r="A259" s="93">
        <f>IF(H259="","",COUNTA($H$9:H259))</f>
        <v/>
      </c>
      <c r="B259" s="93">
        <f>IF(OR(D259="",G259=""),"",YEAR(G259)&amp;"/"&amp;D259&amp;"/"&amp;TEXT(SUMPRODUCT(($D$9:D259=D259)*(YEAR($G$9:G259)=YEAR(G259))),"000")&amp;"-"&amp;'THAM SO'!$B$7)</f>
        <v/>
      </c>
      <c r="C259" s="107" t="n"/>
      <c r="D259" s="107" t="n"/>
      <c r="E259" s="95">
        <f>IF(D259="","",IFERROR(VLOOKUP(D259,'THAM SO'!$D$6:$E$40,2,FALSE()),"Mã loại chưa khai báo"))</f>
        <v/>
      </c>
      <c r="F259" s="108" t="n"/>
      <c r="G259" s="109" t="n"/>
      <c r="H259" s="110" t="n"/>
      <c r="I259" s="108" t="n"/>
      <c r="J259" s="110" t="n"/>
      <c r="K259" s="108" t="n"/>
      <c r="L259" s="108" t="n"/>
      <c r="M259" s="108" t="n"/>
      <c r="N259" s="109" t="n"/>
      <c r="O259" s="109" t="n"/>
      <c r="P259" s="107" t="n"/>
      <c r="Q259" s="107" t="n"/>
      <c r="R259" s="111" t="n"/>
      <c r="S259" s="112" t="n"/>
      <c r="T259" s="113" t="n"/>
      <c r="U259" s="102">
        <f>IF(S259="","",ROUND(S259*N(T259),2))</f>
        <v/>
      </c>
      <c r="V259" s="102">
        <f>IF(S259="","",S259+U259)</f>
        <v/>
      </c>
      <c r="W259" s="103">
        <f>IF(V259="","",ROUND(V259*IF(OR(Q259="",Q259="VND"),1,R259),0))</f>
        <v/>
      </c>
      <c r="X259" s="111" t="n"/>
      <c r="Y259" s="103">
        <f>IF(W259="","",W259+N(X259))</f>
        <v/>
      </c>
      <c r="Z259" s="103">
        <f>IF(B259="","",SUMIFS('NHAT KY THANH TOAN'!$G:$G,'NHAT KY THANH TOAN'!$B:$B,B259,'NHAT KY THANH TOAN'!$D:$D,"Hóa đơn"))</f>
        <v/>
      </c>
      <c r="AA259" s="103">
        <f>IF(B259="","",SUMIFS('NHAT KY THANH TOAN'!$G:$G,'NHAT KY THANH TOAN'!$B:$B,B259,'NHAT KY THANH TOAN'!$D:$D,"Thanh toán"))</f>
        <v/>
      </c>
      <c r="AB259" s="103">
        <f>IF(Y259="","",Y259-N(AA259))</f>
        <v/>
      </c>
      <c r="AC259" s="103">
        <f>IF(B259="","",N(Z259)-N(AA259))</f>
        <v/>
      </c>
      <c r="AD259" s="104">
        <f>IF(N(Y259)=0,"",N(AA259)/Y259)</f>
        <v/>
      </c>
      <c r="AE259" s="107" t="n"/>
      <c r="AF259" s="95">
        <f>IF(H259="","",TRIM(IF(AND(N(Y259)&gt;='THAM SO'!$B$10,AE259&lt;&gt;"Có"),"Chưa rà soát pháp lý; ","")&amp;IF(I259="","Thiếu MST đối tác; ","")&amp;IF(AG259="","Chưa ghi nơi lưu bản gốc; ","")&amp;IF(COUNTIFS('NHAT KY THANH TOAN'!$B:$B,B259,'NHAT KY THANH TOAN'!$D:$D,"Thanh toán",'NHAT KY THANH TOAN'!$F:$F,"Tiền mặt",'NHAT KY THANH TOAN'!$G:$G,"&gt;="&amp;'THAM SO'!$B$11)&gt;0,"Có khoản TT tiền mặt ≥ ngưỡng; ","")&amp;IF(AND(AB259&lt;&gt;"",N(AB259)&lt;0),"Thanh toán vượt giá trị HĐ; ","")))</f>
        <v/>
      </c>
      <c r="AG259" s="108" t="n"/>
      <c r="AH259" s="109" t="n"/>
      <c r="AI259" s="105">
        <f>IF(OR(H259="",O259="",AH259&lt;&gt;""),"",O259-'THAM SO'!$B$8)</f>
        <v/>
      </c>
      <c r="AJ259" s="95">
        <f>IF(H259="","",IF(AH259&lt;&gt;"","Đã thanh lý",IF(AND(N259&lt;&gt;"",N259&gt;'THAM SO'!$B$8),"Chưa hiệu lực",IF(O259="","Đang thực hiện",IF(O259&lt;'THAM SO'!$B$8,IF(P259="Có","Đã tự gia hạn – kiểm tra","Quá hạn – chưa thanh lý"),IF(O259-'THAM SO'!$B$8&lt;='THAM SO'!$B$9,"Sắp hết hạn","Đang thực hiện"))))))</f>
        <v/>
      </c>
      <c r="AK259" s="106">
        <f>IF(AND(O259="",AH259=""),"",EDATE(MAX(N(O259),N(AH259)),12*'THAM SO'!$B$12))</f>
        <v/>
      </c>
      <c r="AL259" s="110" t="n"/>
    </row>
    <row r="260" ht="15" customHeight="1" s="64">
      <c r="A260" s="93">
        <f>IF(H260="","",COUNTA($H$9:H260))</f>
        <v/>
      </c>
      <c r="B260" s="93">
        <f>IF(OR(D260="",G260=""),"",YEAR(G260)&amp;"/"&amp;D260&amp;"/"&amp;TEXT(SUMPRODUCT(($D$9:D260=D260)*(YEAR($G$9:G260)=YEAR(G260))),"000")&amp;"-"&amp;'THAM SO'!$B$7)</f>
        <v/>
      </c>
      <c r="C260" s="107" t="n"/>
      <c r="D260" s="107" t="n"/>
      <c r="E260" s="95">
        <f>IF(D260="","",IFERROR(VLOOKUP(D260,'THAM SO'!$D$6:$E$40,2,FALSE()),"Mã loại chưa khai báo"))</f>
        <v/>
      </c>
      <c r="F260" s="108" t="n"/>
      <c r="G260" s="109" t="n"/>
      <c r="H260" s="110" t="n"/>
      <c r="I260" s="108" t="n"/>
      <c r="J260" s="110" t="n"/>
      <c r="K260" s="108" t="n"/>
      <c r="L260" s="108" t="n"/>
      <c r="M260" s="108" t="n"/>
      <c r="N260" s="109" t="n"/>
      <c r="O260" s="109" t="n"/>
      <c r="P260" s="107" t="n"/>
      <c r="Q260" s="107" t="n"/>
      <c r="R260" s="111" t="n"/>
      <c r="S260" s="112" t="n"/>
      <c r="T260" s="113" t="n"/>
      <c r="U260" s="102">
        <f>IF(S260="","",ROUND(S260*N(T260),2))</f>
        <v/>
      </c>
      <c r="V260" s="102">
        <f>IF(S260="","",S260+U260)</f>
        <v/>
      </c>
      <c r="W260" s="103">
        <f>IF(V260="","",ROUND(V260*IF(OR(Q260="",Q260="VND"),1,R260),0))</f>
        <v/>
      </c>
      <c r="X260" s="111" t="n"/>
      <c r="Y260" s="103">
        <f>IF(W260="","",W260+N(X260))</f>
        <v/>
      </c>
      <c r="Z260" s="103">
        <f>IF(B260="","",SUMIFS('NHAT KY THANH TOAN'!$G:$G,'NHAT KY THANH TOAN'!$B:$B,B260,'NHAT KY THANH TOAN'!$D:$D,"Hóa đơn"))</f>
        <v/>
      </c>
      <c r="AA260" s="103">
        <f>IF(B260="","",SUMIFS('NHAT KY THANH TOAN'!$G:$G,'NHAT KY THANH TOAN'!$B:$B,B260,'NHAT KY THANH TOAN'!$D:$D,"Thanh toán"))</f>
        <v/>
      </c>
      <c r="AB260" s="103">
        <f>IF(Y260="","",Y260-N(AA260))</f>
        <v/>
      </c>
      <c r="AC260" s="103">
        <f>IF(B260="","",N(Z260)-N(AA260))</f>
        <v/>
      </c>
      <c r="AD260" s="104">
        <f>IF(N(Y260)=0,"",N(AA260)/Y260)</f>
        <v/>
      </c>
      <c r="AE260" s="107" t="n"/>
      <c r="AF260" s="95">
        <f>IF(H260="","",TRIM(IF(AND(N(Y260)&gt;='THAM SO'!$B$10,AE260&lt;&gt;"Có"),"Chưa rà soát pháp lý; ","")&amp;IF(I260="","Thiếu MST đối tác; ","")&amp;IF(AG260="","Chưa ghi nơi lưu bản gốc; ","")&amp;IF(COUNTIFS('NHAT KY THANH TOAN'!$B:$B,B260,'NHAT KY THANH TOAN'!$D:$D,"Thanh toán",'NHAT KY THANH TOAN'!$F:$F,"Tiền mặt",'NHAT KY THANH TOAN'!$G:$G,"&gt;="&amp;'THAM SO'!$B$11)&gt;0,"Có khoản TT tiền mặt ≥ ngưỡng; ","")&amp;IF(AND(AB260&lt;&gt;"",N(AB260)&lt;0),"Thanh toán vượt giá trị HĐ; ","")))</f>
        <v/>
      </c>
      <c r="AG260" s="108" t="n"/>
      <c r="AH260" s="109" t="n"/>
      <c r="AI260" s="105">
        <f>IF(OR(H260="",O260="",AH260&lt;&gt;""),"",O260-'THAM SO'!$B$8)</f>
        <v/>
      </c>
      <c r="AJ260" s="95">
        <f>IF(H260="","",IF(AH260&lt;&gt;"","Đã thanh lý",IF(AND(N260&lt;&gt;"",N260&gt;'THAM SO'!$B$8),"Chưa hiệu lực",IF(O260="","Đang thực hiện",IF(O260&lt;'THAM SO'!$B$8,IF(P260="Có","Đã tự gia hạn – kiểm tra","Quá hạn – chưa thanh lý"),IF(O260-'THAM SO'!$B$8&lt;='THAM SO'!$B$9,"Sắp hết hạn","Đang thực hiện"))))))</f>
        <v/>
      </c>
      <c r="AK260" s="106">
        <f>IF(AND(O260="",AH260=""),"",EDATE(MAX(N(O260),N(AH260)),12*'THAM SO'!$B$12))</f>
        <v/>
      </c>
      <c r="AL260" s="110" t="n"/>
    </row>
    <row r="261" ht="15" customHeight="1" s="64">
      <c r="A261" s="93">
        <f>IF(H261="","",COUNTA($H$9:H261))</f>
        <v/>
      </c>
      <c r="B261" s="93">
        <f>IF(OR(D261="",G261=""),"",YEAR(G261)&amp;"/"&amp;D261&amp;"/"&amp;TEXT(SUMPRODUCT(($D$9:D261=D261)*(YEAR($G$9:G261)=YEAR(G261))),"000")&amp;"-"&amp;'THAM SO'!$B$7)</f>
        <v/>
      </c>
      <c r="C261" s="107" t="n"/>
      <c r="D261" s="107" t="n"/>
      <c r="E261" s="95">
        <f>IF(D261="","",IFERROR(VLOOKUP(D261,'THAM SO'!$D$6:$E$40,2,FALSE()),"Mã loại chưa khai báo"))</f>
        <v/>
      </c>
      <c r="F261" s="108" t="n"/>
      <c r="G261" s="109" t="n"/>
      <c r="H261" s="110" t="n"/>
      <c r="I261" s="108" t="n"/>
      <c r="J261" s="110" t="n"/>
      <c r="K261" s="108" t="n"/>
      <c r="L261" s="108" t="n"/>
      <c r="M261" s="108" t="n"/>
      <c r="N261" s="109" t="n"/>
      <c r="O261" s="109" t="n"/>
      <c r="P261" s="107" t="n"/>
      <c r="Q261" s="107" t="n"/>
      <c r="R261" s="111" t="n"/>
      <c r="S261" s="112" t="n"/>
      <c r="T261" s="113" t="n"/>
      <c r="U261" s="102">
        <f>IF(S261="","",ROUND(S261*N(T261),2))</f>
        <v/>
      </c>
      <c r="V261" s="102">
        <f>IF(S261="","",S261+U261)</f>
        <v/>
      </c>
      <c r="W261" s="103">
        <f>IF(V261="","",ROUND(V261*IF(OR(Q261="",Q261="VND"),1,R261),0))</f>
        <v/>
      </c>
      <c r="X261" s="111" t="n"/>
      <c r="Y261" s="103">
        <f>IF(W261="","",W261+N(X261))</f>
        <v/>
      </c>
      <c r="Z261" s="103">
        <f>IF(B261="","",SUMIFS('NHAT KY THANH TOAN'!$G:$G,'NHAT KY THANH TOAN'!$B:$B,B261,'NHAT KY THANH TOAN'!$D:$D,"Hóa đơn"))</f>
        <v/>
      </c>
      <c r="AA261" s="103">
        <f>IF(B261="","",SUMIFS('NHAT KY THANH TOAN'!$G:$G,'NHAT KY THANH TOAN'!$B:$B,B261,'NHAT KY THANH TOAN'!$D:$D,"Thanh toán"))</f>
        <v/>
      </c>
      <c r="AB261" s="103">
        <f>IF(Y261="","",Y261-N(AA261))</f>
        <v/>
      </c>
      <c r="AC261" s="103">
        <f>IF(B261="","",N(Z261)-N(AA261))</f>
        <v/>
      </c>
      <c r="AD261" s="104">
        <f>IF(N(Y261)=0,"",N(AA261)/Y261)</f>
        <v/>
      </c>
      <c r="AE261" s="107" t="n"/>
      <c r="AF261" s="95">
        <f>IF(H261="","",TRIM(IF(AND(N(Y261)&gt;='THAM SO'!$B$10,AE261&lt;&gt;"Có"),"Chưa rà soát pháp lý; ","")&amp;IF(I261="","Thiếu MST đối tác; ","")&amp;IF(AG261="","Chưa ghi nơi lưu bản gốc; ","")&amp;IF(COUNTIFS('NHAT KY THANH TOAN'!$B:$B,B261,'NHAT KY THANH TOAN'!$D:$D,"Thanh toán",'NHAT KY THANH TOAN'!$F:$F,"Tiền mặt",'NHAT KY THANH TOAN'!$G:$G,"&gt;="&amp;'THAM SO'!$B$11)&gt;0,"Có khoản TT tiền mặt ≥ ngưỡng; ","")&amp;IF(AND(AB261&lt;&gt;"",N(AB261)&lt;0),"Thanh toán vượt giá trị HĐ; ","")))</f>
        <v/>
      </c>
      <c r="AG261" s="108" t="n"/>
      <c r="AH261" s="109" t="n"/>
      <c r="AI261" s="105">
        <f>IF(OR(H261="",O261="",AH261&lt;&gt;""),"",O261-'THAM SO'!$B$8)</f>
        <v/>
      </c>
      <c r="AJ261" s="95">
        <f>IF(H261="","",IF(AH261&lt;&gt;"","Đã thanh lý",IF(AND(N261&lt;&gt;"",N261&gt;'THAM SO'!$B$8),"Chưa hiệu lực",IF(O261="","Đang thực hiện",IF(O261&lt;'THAM SO'!$B$8,IF(P261="Có","Đã tự gia hạn – kiểm tra","Quá hạn – chưa thanh lý"),IF(O261-'THAM SO'!$B$8&lt;='THAM SO'!$B$9,"Sắp hết hạn","Đang thực hiện"))))))</f>
        <v/>
      </c>
      <c r="AK261" s="106">
        <f>IF(AND(O261="",AH261=""),"",EDATE(MAX(N(O261),N(AH261)),12*'THAM SO'!$B$12))</f>
        <v/>
      </c>
      <c r="AL261" s="110" t="n"/>
    </row>
    <row r="262" ht="15" customHeight="1" s="64">
      <c r="A262" s="93">
        <f>IF(H262="","",COUNTA($H$9:H262))</f>
        <v/>
      </c>
      <c r="B262" s="93">
        <f>IF(OR(D262="",G262=""),"",YEAR(G262)&amp;"/"&amp;D262&amp;"/"&amp;TEXT(SUMPRODUCT(($D$9:D262=D262)*(YEAR($G$9:G262)=YEAR(G262))),"000")&amp;"-"&amp;'THAM SO'!$B$7)</f>
        <v/>
      </c>
      <c r="C262" s="107" t="n"/>
      <c r="D262" s="107" t="n"/>
      <c r="E262" s="95">
        <f>IF(D262="","",IFERROR(VLOOKUP(D262,'THAM SO'!$D$6:$E$40,2,FALSE()),"Mã loại chưa khai báo"))</f>
        <v/>
      </c>
      <c r="F262" s="108" t="n"/>
      <c r="G262" s="109" t="n"/>
      <c r="H262" s="110" t="n"/>
      <c r="I262" s="108" t="n"/>
      <c r="J262" s="110" t="n"/>
      <c r="K262" s="108" t="n"/>
      <c r="L262" s="108" t="n"/>
      <c r="M262" s="108" t="n"/>
      <c r="N262" s="109" t="n"/>
      <c r="O262" s="109" t="n"/>
      <c r="P262" s="107" t="n"/>
      <c r="Q262" s="107" t="n"/>
      <c r="R262" s="111" t="n"/>
      <c r="S262" s="112" t="n"/>
      <c r="T262" s="113" t="n"/>
      <c r="U262" s="102">
        <f>IF(S262="","",ROUND(S262*N(T262),2))</f>
        <v/>
      </c>
      <c r="V262" s="102">
        <f>IF(S262="","",S262+U262)</f>
        <v/>
      </c>
      <c r="W262" s="103">
        <f>IF(V262="","",ROUND(V262*IF(OR(Q262="",Q262="VND"),1,R262),0))</f>
        <v/>
      </c>
      <c r="X262" s="111" t="n"/>
      <c r="Y262" s="103">
        <f>IF(W262="","",W262+N(X262))</f>
        <v/>
      </c>
      <c r="Z262" s="103">
        <f>IF(B262="","",SUMIFS('NHAT KY THANH TOAN'!$G:$G,'NHAT KY THANH TOAN'!$B:$B,B262,'NHAT KY THANH TOAN'!$D:$D,"Hóa đơn"))</f>
        <v/>
      </c>
      <c r="AA262" s="103">
        <f>IF(B262="","",SUMIFS('NHAT KY THANH TOAN'!$G:$G,'NHAT KY THANH TOAN'!$B:$B,B262,'NHAT KY THANH TOAN'!$D:$D,"Thanh toán"))</f>
        <v/>
      </c>
      <c r="AB262" s="103">
        <f>IF(Y262="","",Y262-N(AA262))</f>
        <v/>
      </c>
      <c r="AC262" s="103">
        <f>IF(B262="","",N(Z262)-N(AA262))</f>
        <v/>
      </c>
      <c r="AD262" s="104">
        <f>IF(N(Y262)=0,"",N(AA262)/Y262)</f>
        <v/>
      </c>
      <c r="AE262" s="107" t="n"/>
      <c r="AF262" s="95">
        <f>IF(H262="","",TRIM(IF(AND(N(Y262)&gt;='THAM SO'!$B$10,AE262&lt;&gt;"Có"),"Chưa rà soát pháp lý; ","")&amp;IF(I262="","Thiếu MST đối tác; ","")&amp;IF(AG262="","Chưa ghi nơi lưu bản gốc; ","")&amp;IF(COUNTIFS('NHAT KY THANH TOAN'!$B:$B,B262,'NHAT KY THANH TOAN'!$D:$D,"Thanh toán",'NHAT KY THANH TOAN'!$F:$F,"Tiền mặt",'NHAT KY THANH TOAN'!$G:$G,"&gt;="&amp;'THAM SO'!$B$11)&gt;0,"Có khoản TT tiền mặt ≥ ngưỡng; ","")&amp;IF(AND(AB262&lt;&gt;"",N(AB262)&lt;0),"Thanh toán vượt giá trị HĐ; ","")))</f>
        <v/>
      </c>
      <c r="AG262" s="108" t="n"/>
      <c r="AH262" s="109" t="n"/>
      <c r="AI262" s="105">
        <f>IF(OR(H262="",O262="",AH262&lt;&gt;""),"",O262-'THAM SO'!$B$8)</f>
        <v/>
      </c>
      <c r="AJ262" s="95">
        <f>IF(H262="","",IF(AH262&lt;&gt;"","Đã thanh lý",IF(AND(N262&lt;&gt;"",N262&gt;'THAM SO'!$B$8),"Chưa hiệu lực",IF(O262="","Đang thực hiện",IF(O262&lt;'THAM SO'!$B$8,IF(P262="Có","Đã tự gia hạn – kiểm tra","Quá hạn – chưa thanh lý"),IF(O262-'THAM SO'!$B$8&lt;='THAM SO'!$B$9,"Sắp hết hạn","Đang thực hiện"))))))</f>
        <v/>
      </c>
      <c r="AK262" s="106">
        <f>IF(AND(O262="",AH262=""),"",EDATE(MAX(N(O262),N(AH262)),12*'THAM SO'!$B$12))</f>
        <v/>
      </c>
      <c r="AL262" s="110" t="n"/>
    </row>
    <row r="263" ht="15" customHeight="1" s="64">
      <c r="A263" s="93">
        <f>IF(H263="","",COUNTA($H$9:H263))</f>
        <v/>
      </c>
      <c r="B263" s="93">
        <f>IF(OR(D263="",G263=""),"",YEAR(G263)&amp;"/"&amp;D263&amp;"/"&amp;TEXT(SUMPRODUCT(($D$9:D263=D263)*(YEAR($G$9:G263)=YEAR(G263))),"000")&amp;"-"&amp;'THAM SO'!$B$7)</f>
        <v/>
      </c>
      <c r="C263" s="107" t="n"/>
      <c r="D263" s="107" t="n"/>
      <c r="E263" s="95">
        <f>IF(D263="","",IFERROR(VLOOKUP(D263,'THAM SO'!$D$6:$E$40,2,FALSE()),"Mã loại chưa khai báo"))</f>
        <v/>
      </c>
      <c r="F263" s="108" t="n"/>
      <c r="G263" s="109" t="n"/>
      <c r="H263" s="110" t="n"/>
      <c r="I263" s="108" t="n"/>
      <c r="J263" s="110" t="n"/>
      <c r="K263" s="108" t="n"/>
      <c r="L263" s="108" t="n"/>
      <c r="M263" s="108" t="n"/>
      <c r="N263" s="109" t="n"/>
      <c r="O263" s="109" t="n"/>
      <c r="P263" s="107" t="n"/>
      <c r="Q263" s="107" t="n"/>
      <c r="R263" s="111" t="n"/>
      <c r="S263" s="112" t="n"/>
      <c r="T263" s="113" t="n"/>
      <c r="U263" s="102">
        <f>IF(S263="","",ROUND(S263*N(T263),2))</f>
        <v/>
      </c>
      <c r="V263" s="102">
        <f>IF(S263="","",S263+U263)</f>
        <v/>
      </c>
      <c r="W263" s="103">
        <f>IF(V263="","",ROUND(V263*IF(OR(Q263="",Q263="VND"),1,R263),0))</f>
        <v/>
      </c>
      <c r="X263" s="111" t="n"/>
      <c r="Y263" s="103">
        <f>IF(W263="","",W263+N(X263))</f>
        <v/>
      </c>
      <c r="Z263" s="103">
        <f>IF(B263="","",SUMIFS('NHAT KY THANH TOAN'!$G:$G,'NHAT KY THANH TOAN'!$B:$B,B263,'NHAT KY THANH TOAN'!$D:$D,"Hóa đơn"))</f>
        <v/>
      </c>
      <c r="AA263" s="103">
        <f>IF(B263="","",SUMIFS('NHAT KY THANH TOAN'!$G:$G,'NHAT KY THANH TOAN'!$B:$B,B263,'NHAT KY THANH TOAN'!$D:$D,"Thanh toán"))</f>
        <v/>
      </c>
      <c r="AB263" s="103">
        <f>IF(Y263="","",Y263-N(AA263))</f>
        <v/>
      </c>
      <c r="AC263" s="103">
        <f>IF(B263="","",N(Z263)-N(AA263))</f>
        <v/>
      </c>
      <c r="AD263" s="104">
        <f>IF(N(Y263)=0,"",N(AA263)/Y263)</f>
        <v/>
      </c>
      <c r="AE263" s="107" t="n"/>
      <c r="AF263" s="95">
        <f>IF(H263="","",TRIM(IF(AND(N(Y263)&gt;='THAM SO'!$B$10,AE263&lt;&gt;"Có"),"Chưa rà soát pháp lý; ","")&amp;IF(I263="","Thiếu MST đối tác; ","")&amp;IF(AG263="","Chưa ghi nơi lưu bản gốc; ","")&amp;IF(COUNTIFS('NHAT KY THANH TOAN'!$B:$B,B263,'NHAT KY THANH TOAN'!$D:$D,"Thanh toán",'NHAT KY THANH TOAN'!$F:$F,"Tiền mặt",'NHAT KY THANH TOAN'!$G:$G,"&gt;="&amp;'THAM SO'!$B$11)&gt;0,"Có khoản TT tiền mặt ≥ ngưỡng; ","")&amp;IF(AND(AB263&lt;&gt;"",N(AB263)&lt;0),"Thanh toán vượt giá trị HĐ; ","")))</f>
        <v/>
      </c>
      <c r="AG263" s="108" t="n"/>
      <c r="AH263" s="109" t="n"/>
      <c r="AI263" s="105">
        <f>IF(OR(H263="",O263="",AH263&lt;&gt;""),"",O263-'THAM SO'!$B$8)</f>
        <v/>
      </c>
      <c r="AJ263" s="95">
        <f>IF(H263="","",IF(AH263&lt;&gt;"","Đã thanh lý",IF(AND(N263&lt;&gt;"",N263&gt;'THAM SO'!$B$8),"Chưa hiệu lực",IF(O263="","Đang thực hiện",IF(O263&lt;'THAM SO'!$B$8,IF(P263="Có","Đã tự gia hạn – kiểm tra","Quá hạn – chưa thanh lý"),IF(O263-'THAM SO'!$B$8&lt;='THAM SO'!$B$9,"Sắp hết hạn","Đang thực hiện"))))))</f>
        <v/>
      </c>
      <c r="AK263" s="106">
        <f>IF(AND(O263="",AH263=""),"",EDATE(MAX(N(O263),N(AH263)),12*'THAM SO'!$B$12))</f>
        <v/>
      </c>
      <c r="AL263" s="110" t="n"/>
    </row>
    <row r="264" ht="15" customHeight="1" s="64">
      <c r="A264" s="93">
        <f>IF(H264="","",COUNTA($H$9:H264))</f>
        <v/>
      </c>
      <c r="B264" s="93">
        <f>IF(OR(D264="",G264=""),"",YEAR(G264)&amp;"/"&amp;D264&amp;"/"&amp;TEXT(SUMPRODUCT(($D$9:D264=D264)*(YEAR($G$9:G264)=YEAR(G264))),"000")&amp;"-"&amp;'THAM SO'!$B$7)</f>
        <v/>
      </c>
      <c r="C264" s="107" t="n"/>
      <c r="D264" s="107" t="n"/>
      <c r="E264" s="95">
        <f>IF(D264="","",IFERROR(VLOOKUP(D264,'THAM SO'!$D$6:$E$40,2,FALSE()),"Mã loại chưa khai báo"))</f>
        <v/>
      </c>
      <c r="F264" s="108" t="n"/>
      <c r="G264" s="109" t="n"/>
      <c r="H264" s="110" t="n"/>
      <c r="I264" s="108" t="n"/>
      <c r="J264" s="110" t="n"/>
      <c r="K264" s="108" t="n"/>
      <c r="L264" s="108" t="n"/>
      <c r="M264" s="108" t="n"/>
      <c r="N264" s="109" t="n"/>
      <c r="O264" s="109" t="n"/>
      <c r="P264" s="107" t="n"/>
      <c r="Q264" s="107" t="n"/>
      <c r="R264" s="111" t="n"/>
      <c r="S264" s="112" t="n"/>
      <c r="T264" s="113" t="n"/>
      <c r="U264" s="102">
        <f>IF(S264="","",ROUND(S264*N(T264),2))</f>
        <v/>
      </c>
      <c r="V264" s="102">
        <f>IF(S264="","",S264+U264)</f>
        <v/>
      </c>
      <c r="W264" s="103">
        <f>IF(V264="","",ROUND(V264*IF(OR(Q264="",Q264="VND"),1,R264),0))</f>
        <v/>
      </c>
      <c r="X264" s="111" t="n"/>
      <c r="Y264" s="103">
        <f>IF(W264="","",W264+N(X264))</f>
        <v/>
      </c>
      <c r="Z264" s="103">
        <f>IF(B264="","",SUMIFS('NHAT KY THANH TOAN'!$G:$G,'NHAT KY THANH TOAN'!$B:$B,B264,'NHAT KY THANH TOAN'!$D:$D,"Hóa đơn"))</f>
        <v/>
      </c>
      <c r="AA264" s="103">
        <f>IF(B264="","",SUMIFS('NHAT KY THANH TOAN'!$G:$G,'NHAT KY THANH TOAN'!$B:$B,B264,'NHAT KY THANH TOAN'!$D:$D,"Thanh toán"))</f>
        <v/>
      </c>
      <c r="AB264" s="103">
        <f>IF(Y264="","",Y264-N(AA264))</f>
        <v/>
      </c>
      <c r="AC264" s="103">
        <f>IF(B264="","",N(Z264)-N(AA264))</f>
        <v/>
      </c>
      <c r="AD264" s="104">
        <f>IF(N(Y264)=0,"",N(AA264)/Y264)</f>
        <v/>
      </c>
      <c r="AE264" s="107" t="n"/>
      <c r="AF264" s="95">
        <f>IF(H264="","",TRIM(IF(AND(N(Y264)&gt;='THAM SO'!$B$10,AE264&lt;&gt;"Có"),"Chưa rà soát pháp lý; ","")&amp;IF(I264="","Thiếu MST đối tác; ","")&amp;IF(AG264="","Chưa ghi nơi lưu bản gốc; ","")&amp;IF(COUNTIFS('NHAT KY THANH TOAN'!$B:$B,B264,'NHAT KY THANH TOAN'!$D:$D,"Thanh toán",'NHAT KY THANH TOAN'!$F:$F,"Tiền mặt",'NHAT KY THANH TOAN'!$G:$G,"&gt;="&amp;'THAM SO'!$B$11)&gt;0,"Có khoản TT tiền mặt ≥ ngưỡng; ","")&amp;IF(AND(AB264&lt;&gt;"",N(AB264)&lt;0),"Thanh toán vượt giá trị HĐ; ","")))</f>
        <v/>
      </c>
      <c r="AG264" s="108" t="n"/>
      <c r="AH264" s="109" t="n"/>
      <c r="AI264" s="105">
        <f>IF(OR(H264="",O264="",AH264&lt;&gt;""),"",O264-'THAM SO'!$B$8)</f>
        <v/>
      </c>
      <c r="AJ264" s="95">
        <f>IF(H264="","",IF(AH264&lt;&gt;"","Đã thanh lý",IF(AND(N264&lt;&gt;"",N264&gt;'THAM SO'!$B$8),"Chưa hiệu lực",IF(O264="","Đang thực hiện",IF(O264&lt;'THAM SO'!$B$8,IF(P264="Có","Đã tự gia hạn – kiểm tra","Quá hạn – chưa thanh lý"),IF(O264-'THAM SO'!$B$8&lt;='THAM SO'!$B$9,"Sắp hết hạn","Đang thực hiện"))))))</f>
        <v/>
      </c>
      <c r="AK264" s="106">
        <f>IF(AND(O264="",AH264=""),"",EDATE(MAX(N(O264),N(AH264)),12*'THAM SO'!$B$12))</f>
        <v/>
      </c>
      <c r="AL264" s="110" t="n"/>
    </row>
    <row r="265" ht="15" customHeight="1" s="64">
      <c r="A265" s="93">
        <f>IF(H265="","",COUNTA($H$9:H265))</f>
        <v/>
      </c>
      <c r="B265" s="93">
        <f>IF(OR(D265="",G265=""),"",YEAR(G265)&amp;"/"&amp;D265&amp;"/"&amp;TEXT(SUMPRODUCT(($D$9:D265=D265)*(YEAR($G$9:G265)=YEAR(G265))),"000")&amp;"-"&amp;'THAM SO'!$B$7)</f>
        <v/>
      </c>
      <c r="C265" s="107" t="n"/>
      <c r="D265" s="107" t="n"/>
      <c r="E265" s="95">
        <f>IF(D265="","",IFERROR(VLOOKUP(D265,'THAM SO'!$D$6:$E$40,2,FALSE()),"Mã loại chưa khai báo"))</f>
        <v/>
      </c>
      <c r="F265" s="108" t="n"/>
      <c r="G265" s="109" t="n"/>
      <c r="H265" s="110" t="n"/>
      <c r="I265" s="108" t="n"/>
      <c r="J265" s="110" t="n"/>
      <c r="K265" s="108" t="n"/>
      <c r="L265" s="108" t="n"/>
      <c r="M265" s="108" t="n"/>
      <c r="N265" s="109" t="n"/>
      <c r="O265" s="109" t="n"/>
      <c r="P265" s="107" t="n"/>
      <c r="Q265" s="107" t="n"/>
      <c r="R265" s="111" t="n"/>
      <c r="S265" s="112" t="n"/>
      <c r="T265" s="113" t="n"/>
      <c r="U265" s="102">
        <f>IF(S265="","",ROUND(S265*N(T265),2))</f>
        <v/>
      </c>
      <c r="V265" s="102">
        <f>IF(S265="","",S265+U265)</f>
        <v/>
      </c>
      <c r="W265" s="103">
        <f>IF(V265="","",ROUND(V265*IF(OR(Q265="",Q265="VND"),1,R265),0))</f>
        <v/>
      </c>
      <c r="X265" s="111" t="n"/>
      <c r="Y265" s="103">
        <f>IF(W265="","",W265+N(X265))</f>
        <v/>
      </c>
      <c r="Z265" s="103">
        <f>IF(B265="","",SUMIFS('NHAT KY THANH TOAN'!$G:$G,'NHAT KY THANH TOAN'!$B:$B,B265,'NHAT KY THANH TOAN'!$D:$D,"Hóa đơn"))</f>
        <v/>
      </c>
      <c r="AA265" s="103">
        <f>IF(B265="","",SUMIFS('NHAT KY THANH TOAN'!$G:$G,'NHAT KY THANH TOAN'!$B:$B,B265,'NHAT KY THANH TOAN'!$D:$D,"Thanh toán"))</f>
        <v/>
      </c>
      <c r="AB265" s="103">
        <f>IF(Y265="","",Y265-N(AA265))</f>
        <v/>
      </c>
      <c r="AC265" s="103">
        <f>IF(B265="","",N(Z265)-N(AA265))</f>
        <v/>
      </c>
      <c r="AD265" s="104">
        <f>IF(N(Y265)=0,"",N(AA265)/Y265)</f>
        <v/>
      </c>
      <c r="AE265" s="107" t="n"/>
      <c r="AF265" s="95">
        <f>IF(H265="","",TRIM(IF(AND(N(Y265)&gt;='THAM SO'!$B$10,AE265&lt;&gt;"Có"),"Chưa rà soát pháp lý; ","")&amp;IF(I265="","Thiếu MST đối tác; ","")&amp;IF(AG265="","Chưa ghi nơi lưu bản gốc; ","")&amp;IF(COUNTIFS('NHAT KY THANH TOAN'!$B:$B,B265,'NHAT KY THANH TOAN'!$D:$D,"Thanh toán",'NHAT KY THANH TOAN'!$F:$F,"Tiền mặt",'NHAT KY THANH TOAN'!$G:$G,"&gt;="&amp;'THAM SO'!$B$11)&gt;0,"Có khoản TT tiền mặt ≥ ngưỡng; ","")&amp;IF(AND(AB265&lt;&gt;"",N(AB265)&lt;0),"Thanh toán vượt giá trị HĐ; ","")))</f>
        <v/>
      </c>
      <c r="AG265" s="108" t="n"/>
      <c r="AH265" s="109" t="n"/>
      <c r="AI265" s="105">
        <f>IF(OR(H265="",O265="",AH265&lt;&gt;""),"",O265-'THAM SO'!$B$8)</f>
        <v/>
      </c>
      <c r="AJ265" s="95">
        <f>IF(H265="","",IF(AH265&lt;&gt;"","Đã thanh lý",IF(AND(N265&lt;&gt;"",N265&gt;'THAM SO'!$B$8),"Chưa hiệu lực",IF(O265="","Đang thực hiện",IF(O265&lt;'THAM SO'!$B$8,IF(P265="Có","Đã tự gia hạn – kiểm tra","Quá hạn – chưa thanh lý"),IF(O265-'THAM SO'!$B$8&lt;='THAM SO'!$B$9,"Sắp hết hạn","Đang thực hiện"))))))</f>
        <v/>
      </c>
      <c r="AK265" s="106">
        <f>IF(AND(O265="",AH265=""),"",EDATE(MAX(N(O265),N(AH265)),12*'THAM SO'!$B$12))</f>
        <v/>
      </c>
      <c r="AL265" s="110" t="n"/>
    </row>
    <row r="266" ht="15" customHeight="1" s="64">
      <c r="A266" s="93">
        <f>IF(H266="","",COUNTA($H$9:H266))</f>
        <v/>
      </c>
      <c r="B266" s="93">
        <f>IF(OR(D266="",G266=""),"",YEAR(G266)&amp;"/"&amp;D266&amp;"/"&amp;TEXT(SUMPRODUCT(($D$9:D266=D266)*(YEAR($G$9:G266)=YEAR(G266))),"000")&amp;"-"&amp;'THAM SO'!$B$7)</f>
        <v/>
      </c>
      <c r="C266" s="107" t="n"/>
      <c r="D266" s="107" t="n"/>
      <c r="E266" s="95">
        <f>IF(D266="","",IFERROR(VLOOKUP(D266,'THAM SO'!$D$6:$E$40,2,FALSE()),"Mã loại chưa khai báo"))</f>
        <v/>
      </c>
      <c r="F266" s="108" t="n"/>
      <c r="G266" s="109" t="n"/>
      <c r="H266" s="110" t="n"/>
      <c r="I266" s="108" t="n"/>
      <c r="J266" s="110" t="n"/>
      <c r="K266" s="108" t="n"/>
      <c r="L266" s="108" t="n"/>
      <c r="M266" s="108" t="n"/>
      <c r="N266" s="109" t="n"/>
      <c r="O266" s="109" t="n"/>
      <c r="P266" s="107" t="n"/>
      <c r="Q266" s="107" t="n"/>
      <c r="R266" s="111" t="n"/>
      <c r="S266" s="112" t="n"/>
      <c r="T266" s="113" t="n"/>
      <c r="U266" s="102">
        <f>IF(S266="","",ROUND(S266*N(T266),2))</f>
        <v/>
      </c>
      <c r="V266" s="102">
        <f>IF(S266="","",S266+U266)</f>
        <v/>
      </c>
      <c r="W266" s="103">
        <f>IF(V266="","",ROUND(V266*IF(OR(Q266="",Q266="VND"),1,R266),0))</f>
        <v/>
      </c>
      <c r="X266" s="111" t="n"/>
      <c r="Y266" s="103">
        <f>IF(W266="","",W266+N(X266))</f>
        <v/>
      </c>
      <c r="Z266" s="103">
        <f>IF(B266="","",SUMIFS('NHAT KY THANH TOAN'!$G:$G,'NHAT KY THANH TOAN'!$B:$B,B266,'NHAT KY THANH TOAN'!$D:$D,"Hóa đơn"))</f>
        <v/>
      </c>
      <c r="AA266" s="103">
        <f>IF(B266="","",SUMIFS('NHAT KY THANH TOAN'!$G:$G,'NHAT KY THANH TOAN'!$B:$B,B266,'NHAT KY THANH TOAN'!$D:$D,"Thanh toán"))</f>
        <v/>
      </c>
      <c r="AB266" s="103">
        <f>IF(Y266="","",Y266-N(AA266))</f>
        <v/>
      </c>
      <c r="AC266" s="103">
        <f>IF(B266="","",N(Z266)-N(AA266))</f>
        <v/>
      </c>
      <c r="AD266" s="104">
        <f>IF(N(Y266)=0,"",N(AA266)/Y266)</f>
        <v/>
      </c>
      <c r="AE266" s="107" t="n"/>
      <c r="AF266" s="95">
        <f>IF(H266="","",TRIM(IF(AND(N(Y266)&gt;='THAM SO'!$B$10,AE266&lt;&gt;"Có"),"Chưa rà soát pháp lý; ","")&amp;IF(I266="","Thiếu MST đối tác; ","")&amp;IF(AG266="","Chưa ghi nơi lưu bản gốc; ","")&amp;IF(COUNTIFS('NHAT KY THANH TOAN'!$B:$B,B266,'NHAT KY THANH TOAN'!$D:$D,"Thanh toán",'NHAT KY THANH TOAN'!$F:$F,"Tiền mặt",'NHAT KY THANH TOAN'!$G:$G,"&gt;="&amp;'THAM SO'!$B$11)&gt;0,"Có khoản TT tiền mặt ≥ ngưỡng; ","")&amp;IF(AND(AB266&lt;&gt;"",N(AB266)&lt;0),"Thanh toán vượt giá trị HĐ; ","")))</f>
        <v/>
      </c>
      <c r="AG266" s="108" t="n"/>
      <c r="AH266" s="109" t="n"/>
      <c r="AI266" s="105">
        <f>IF(OR(H266="",O266="",AH266&lt;&gt;""),"",O266-'THAM SO'!$B$8)</f>
        <v/>
      </c>
      <c r="AJ266" s="95">
        <f>IF(H266="","",IF(AH266&lt;&gt;"","Đã thanh lý",IF(AND(N266&lt;&gt;"",N266&gt;'THAM SO'!$B$8),"Chưa hiệu lực",IF(O266="","Đang thực hiện",IF(O266&lt;'THAM SO'!$B$8,IF(P266="Có","Đã tự gia hạn – kiểm tra","Quá hạn – chưa thanh lý"),IF(O266-'THAM SO'!$B$8&lt;='THAM SO'!$B$9,"Sắp hết hạn","Đang thực hiện"))))))</f>
        <v/>
      </c>
      <c r="AK266" s="106">
        <f>IF(AND(O266="",AH266=""),"",EDATE(MAX(N(O266),N(AH266)),12*'THAM SO'!$B$12))</f>
        <v/>
      </c>
      <c r="AL266" s="110" t="n"/>
    </row>
    <row r="267" ht="15" customHeight="1" s="64">
      <c r="A267" s="93">
        <f>IF(H267="","",COUNTA($H$9:H267))</f>
        <v/>
      </c>
      <c r="B267" s="93">
        <f>IF(OR(D267="",G267=""),"",YEAR(G267)&amp;"/"&amp;D267&amp;"/"&amp;TEXT(SUMPRODUCT(($D$9:D267=D267)*(YEAR($G$9:G267)=YEAR(G267))),"000")&amp;"-"&amp;'THAM SO'!$B$7)</f>
        <v/>
      </c>
      <c r="C267" s="107" t="n"/>
      <c r="D267" s="107" t="n"/>
      <c r="E267" s="95">
        <f>IF(D267="","",IFERROR(VLOOKUP(D267,'THAM SO'!$D$6:$E$40,2,FALSE()),"Mã loại chưa khai báo"))</f>
        <v/>
      </c>
      <c r="F267" s="108" t="n"/>
      <c r="G267" s="109" t="n"/>
      <c r="H267" s="110" t="n"/>
      <c r="I267" s="108" t="n"/>
      <c r="J267" s="110" t="n"/>
      <c r="K267" s="108" t="n"/>
      <c r="L267" s="108" t="n"/>
      <c r="M267" s="108" t="n"/>
      <c r="N267" s="109" t="n"/>
      <c r="O267" s="109" t="n"/>
      <c r="P267" s="107" t="n"/>
      <c r="Q267" s="107" t="n"/>
      <c r="R267" s="111" t="n"/>
      <c r="S267" s="112" t="n"/>
      <c r="T267" s="113" t="n"/>
      <c r="U267" s="102">
        <f>IF(S267="","",ROUND(S267*N(T267),2))</f>
        <v/>
      </c>
      <c r="V267" s="102">
        <f>IF(S267="","",S267+U267)</f>
        <v/>
      </c>
      <c r="W267" s="103">
        <f>IF(V267="","",ROUND(V267*IF(OR(Q267="",Q267="VND"),1,R267),0))</f>
        <v/>
      </c>
      <c r="X267" s="111" t="n"/>
      <c r="Y267" s="103">
        <f>IF(W267="","",W267+N(X267))</f>
        <v/>
      </c>
      <c r="Z267" s="103">
        <f>IF(B267="","",SUMIFS('NHAT KY THANH TOAN'!$G:$G,'NHAT KY THANH TOAN'!$B:$B,B267,'NHAT KY THANH TOAN'!$D:$D,"Hóa đơn"))</f>
        <v/>
      </c>
      <c r="AA267" s="103">
        <f>IF(B267="","",SUMIFS('NHAT KY THANH TOAN'!$G:$G,'NHAT KY THANH TOAN'!$B:$B,B267,'NHAT KY THANH TOAN'!$D:$D,"Thanh toán"))</f>
        <v/>
      </c>
      <c r="AB267" s="103">
        <f>IF(Y267="","",Y267-N(AA267))</f>
        <v/>
      </c>
      <c r="AC267" s="103">
        <f>IF(B267="","",N(Z267)-N(AA267))</f>
        <v/>
      </c>
      <c r="AD267" s="104">
        <f>IF(N(Y267)=0,"",N(AA267)/Y267)</f>
        <v/>
      </c>
      <c r="AE267" s="107" t="n"/>
      <c r="AF267" s="95">
        <f>IF(H267="","",TRIM(IF(AND(N(Y267)&gt;='THAM SO'!$B$10,AE267&lt;&gt;"Có"),"Chưa rà soát pháp lý; ","")&amp;IF(I267="","Thiếu MST đối tác; ","")&amp;IF(AG267="","Chưa ghi nơi lưu bản gốc; ","")&amp;IF(COUNTIFS('NHAT KY THANH TOAN'!$B:$B,B267,'NHAT KY THANH TOAN'!$D:$D,"Thanh toán",'NHAT KY THANH TOAN'!$F:$F,"Tiền mặt",'NHAT KY THANH TOAN'!$G:$G,"&gt;="&amp;'THAM SO'!$B$11)&gt;0,"Có khoản TT tiền mặt ≥ ngưỡng; ","")&amp;IF(AND(AB267&lt;&gt;"",N(AB267)&lt;0),"Thanh toán vượt giá trị HĐ; ","")))</f>
        <v/>
      </c>
      <c r="AG267" s="108" t="n"/>
      <c r="AH267" s="109" t="n"/>
      <c r="AI267" s="105">
        <f>IF(OR(H267="",O267="",AH267&lt;&gt;""),"",O267-'THAM SO'!$B$8)</f>
        <v/>
      </c>
      <c r="AJ267" s="95">
        <f>IF(H267="","",IF(AH267&lt;&gt;"","Đã thanh lý",IF(AND(N267&lt;&gt;"",N267&gt;'THAM SO'!$B$8),"Chưa hiệu lực",IF(O267="","Đang thực hiện",IF(O267&lt;'THAM SO'!$B$8,IF(P267="Có","Đã tự gia hạn – kiểm tra","Quá hạn – chưa thanh lý"),IF(O267-'THAM SO'!$B$8&lt;='THAM SO'!$B$9,"Sắp hết hạn","Đang thực hiện"))))))</f>
        <v/>
      </c>
      <c r="AK267" s="106">
        <f>IF(AND(O267="",AH267=""),"",EDATE(MAX(N(O267),N(AH267)),12*'THAM SO'!$B$12))</f>
        <v/>
      </c>
      <c r="AL267" s="110" t="n"/>
    </row>
    <row r="268" ht="15" customHeight="1" s="64">
      <c r="A268" s="93">
        <f>IF(H268="","",COUNTA($H$9:H268))</f>
        <v/>
      </c>
      <c r="B268" s="93">
        <f>IF(OR(D268="",G268=""),"",YEAR(G268)&amp;"/"&amp;D268&amp;"/"&amp;TEXT(SUMPRODUCT(($D$9:D268=D268)*(YEAR($G$9:G268)=YEAR(G268))),"000")&amp;"-"&amp;'THAM SO'!$B$7)</f>
        <v/>
      </c>
      <c r="C268" s="107" t="n"/>
      <c r="D268" s="107" t="n"/>
      <c r="E268" s="95">
        <f>IF(D268="","",IFERROR(VLOOKUP(D268,'THAM SO'!$D$6:$E$40,2,FALSE()),"Mã loại chưa khai báo"))</f>
        <v/>
      </c>
      <c r="F268" s="108" t="n"/>
      <c r="G268" s="109" t="n"/>
      <c r="H268" s="110" t="n"/>
      <c r="I268" s="108" t="n"/>
      <c r="J268" s="110" t="n"/>
      <c r="K268" s="108" t="n"/>
      <c r="L268" s="108" t="n"/>
      <c r="M268" s="108" t="n"/>
      <c r="N268" s="109" t="n"/>
      <c r="O268" s="109" t="n"/>
      <c r="P268" s="107" t="n"/>
      <c r="Q268" s="107" t="n"/>
      <c r="R268" s="111" t="n"/>
      <c r="S268" s="112" t="n"/>
      <c r="T268" s="113" t="n"/>
      <c r="U268" s="102">
        <f>IF(S268="","",ROUND(S268*N(T268),2))</f>
        <v/>
      </c>
      <c r="V268" s="102">
        <f>IF(S268="","",S268+U268)</f>
        <v/>
      </c>
      <c r="W268" s="103">
        <f>IF(V268="","",ROUND(V268*IF(OR(Q268="",Q268="VND"),1,R268),0))</f>
        <v/>
      </c>
      <c r="X268" s="111" t="n"/>
      <c r="Y268" s="103">
        <f>IF(W268="","",W268+N(X268))</f>
        <v/>
      </c>
      <c r="Z268" s="103">
        <f>IF(B268="","",SUMIFS('NHAT KY THANH TOAN'!$G:$G,'NHAT KY THANH TOAN'!$B:$B,B268,'NHAT KY THANH TOAN'!$D:$D,"Hóa đơn"))</f>
        <v/>
      </c>
      <c r="AA268" s="103">
        <f>IF(B268="","",SUMIFS('NHAT KY THANH TOAN'!$G:$G,'NHAT KY THANH TOAN'!$B:$B,B268,'NHAT KY THANH TOAN'!$D:$D,"Thanh toán"))</f>
        <v/>
      </c>
      <c r="AB268" s="103">
        <f>IF(Y268="","",Y268-N(AA268))</f>
        <v/>
      </c>
      <c r="AC268" s="103">
        <f>IF(B268="","",N(Z268)-N(AA268))</f>
        <v/>
      </c>
      <c r="AD268" s="104">
        <f>IF(N(Y268)=0,"",N(AA268)/Y268)</f>
        <v/>
      </c>
      <c r="AE268" s="107" t="n"/>
      <c r="AF268" s="95">
        <f>IF(H268="","",TRIM(IF(AND(N(Y268)&gt;='THAM SO'!$B$10,AE268&lt;&gt;"Có"),"Chưa rà soát pháp lý; ","")&amp;IF(I268="","Thiếu MST đối tác; ","")&amp;IF(AG268="","Chưa ghi nơi lưu bản gốc; ","")&amp;IF(COUNTIFS('NHAT KY THANH TOAN'!$B:$B,B268,'NHAT KY THANH TOAN'!$D:$D,"Thanh toán",'NHAT KY THANH TOAN'!$F:$F,"Tiền mặt",'NHAT KY THANH TOAN'!$G:$G,"&gt;="&amp;'THAM SO'!$B$11)&gt;0,"Có khoản TT tiền mặt ≥ ngưỡng; ","")&amp;IF(AND(AB268&lt;&gt;"",N(AB268)&lt;0),"Thanh toán vượt giá trị HĐ; ","")))</f>
        <v/>
      </c>
      <c r="AG268" s="108" t="n"/>
      <c r="AH268" s="109" t="n"/>
      <c r="AI268" s="105">
        <f>IF(OR(H268="",O268="",AH268&lt;&gt;""),"",O268-'THAM SO'!$B$8)</f>
        <v/>
      </c>
      <c r="AJ268" s="95">
        <f>IF(H268="","",IF(AH268&lt;&gt;"","Đã thanh lý",IF(AND(N268&lt;&gt;"",N268&gt;'THAM SO'!$B$8),"Chưa hiệu lực",IF(O268="","Đang thực hiện",IF(O268&lt;'THAM SO'!$B$8,IF(P268="Có","Đã tự gia hạn – kiểm tra","Quá hạn – chưa thanh lý"),IF(O268-'THAM SO'!$B$8&lt;='THAM SO'!$B$9,"Sắp hết hạn","Đang thực hiện"))))))</f>
        <v/>
      </c>
      <c r="AK268" s="106">
        <f>IF(AND(O268="",AH268=""),"",EDATE(MAX(N(O268),N(AH268)),12*'THAM SO'!$B$12))</f>
        <v/>
      </c>
      <c r="AL268" s="110" t="n"/>
    </row>
    <row r="269" ht="15" customHeight="1" s="64">
      <c r="A269" s="93">
        <f>IF(H269="","",COUNTA($H$9:H269))</f>
        <v/>
      </c>
      <c r="B269" s="93">
        <f>IF(OR(D269="",G269=""),"",YEAR(G269)&amp;"/"&amp;D269&amp;"/"&amp;TEXT(SUMPRODUCT(($D$9:D269=D269)*(YEAR($G$9:G269)=YEAR(G269))),"000")&amp;"-"&amp;'THAM SO'!$B$7)</f>
        <v/>
      </c>
      <c r="C269" s="107" t="n"/>
      <c r="D269" s="107" t="n"/>
      <c r="E269" s="95">
        <f>IF(D269="","",IFERROR(VLOOKUP(D269,'THAM SO'!$D$6:$E$40,2,FALSE()),"Mã loại chưa khai báo"))</f>
        <v/>
      </c>
      <c r="F269" s="108" t="n"/>
      <c r="G269" s="109" t="n"/>
      <c r="H269" s="110" t="n"/>
      <c r="I269" s="108" t="n"/>
      <c r="J269" s="110" t="n"/>
      <c r="K269" s="108" t="n"/>
      <c r="L269" s="108" t="n"/>
      <c r="M269" s="108" t="n"/>
      <c r="N269" s="109" t="n"/>
      <c r="O269" s="109" t="n"/>
      <c r="P269" s="107" t="n"/>
      <c r="Q269" s="107" t="n"/>
      <c r="R269" s="111" t="n"/>
      <c r="S269" s="112" t="n"/>
      <c r="T269" s="113" t="n"/>
      <c r="U269" s="102">
        <f>IF(S269="","",ROUND(S269*N(T269),2))</f>
        <v/>
      </c>
      <c r="V269" s="102">
        <f>IF(S269="","",S269+U269)</f>
        <v/>
      </c>
      <c r="W269" s="103">
        <f>IF(V269="","",ROUND(V269*IF(OR(Q269="",Q269="VND"),1,R269),0))</f>
        <v/>
      </c>
      <c r="X269" s="111" t="n"/>
      <c r="Y269" s="103">
        <f>IF(W269="","",W269+N(X269))</f>
        <v/>
      </c>
      <c r="Z269" s="103">
        <f>IF(B269="","",SUMIFS('NHAT KY THANH TOAN'!$G:$G,'NHAT KY THANH TOAN'!$B:$B,B269,'NHAT KY THANH TOAN'!$D:$D,"Hóa đơn"))</f>
        <v/>
      </c>
      <c r="AA269" s="103">
        <f>IF(B269="","",SUMIFS('NHAT KY THANH TOAN'!$G:$G,'NHAT KY THANH TOAN'!$B:$B,B269,'NHAT KY THANH TOAN'!$D:$D,"Thanh toán"))</f>
        <v/>
      </c>
      <c r="AB269" s="103">
        <f>IF(Y269="","",Y269-N(AA269))</f>
        <v/>
      </c>
      <c r="AC269" s="103">
        <f>IF(B269="","",N(Z269)-N(AA269))</f>
        <v/>
      </c>
      <c r="AD269" s="104">
        <f>IF(N(Y269)=0,"",N(AA269)/Y269)</f>
        <v/>
      </c>
      <c r="AE269" s="107" t="n"/>
      <c r="AF269" s="95">
        <f>IF(H269="","",TRIM(IF(AND(N(Y269)&gt;='THAM SO'!$B$10,AE269&lt;&gt;"Có"),"Chưa rà soát pháp lý; ","")&amp;IF(I269="","Thiếu MST đối tác; ","")&amp;IF(AG269="","Chưa ghi nơi lưu bản gốc; ","")&amp;IF(COUNTIFS('NHAT KY THANH TOAN'!$B:$B,B269,'NHAT KY THANH TOAN'!$D:$D,"Thanh toán",'NHAT KY THANH TOAN'!$F:$F,"Tiền mặt",'NHAT KY THANH TOAN'!$G:$G,"&gt;="&amp;'THAM SO'!$B$11)&gt;0,"Có khoản TT tiền mặt ≥ ngưỡng; ","")&amp;IF(AND(AB269&lt;&gt;"",N(AB269)&lt;0),"Thanh toán vượt giá trị HĐ; ","")))</f>
        <v/>
      </c>
      <c r="AG269" s="108" t="n"/>
      <c r="AH269" s="109" t="n"/>
      <c r="AI269" s="105">
        <f>IF(OR(H269="",O269="",AH269&lt;&gt;""),"",O269-'THAM SO'!$B$8)</f>
        <v/>
      </c>
      <c r="AJ269" s="95">
        <f>IF(H269="","",IF(AH269&lt;&gt;"","Đã thanh lý",IF(AND(N269&lt;&gt;"",N269&gt;'THAM SO'!$B$8),"Chưa hiệu lực",IF(O269="","Đang thực hiện",IF(O269&lt;'THAM SO'!$B$8,IF(P269="Có","Đã tự gia hạn – kiểm tra","Quá hạn – chưa thanh lý"),IF(O269-'THAM SO'!$B$8&lt;='THAM SO'!$B$9,"Sắp hết hạn","Đang thực hiện"))))))</f>
        <v/>
      </c>
      <c r="AK269" s="106">
        <f>IF(AND(O269="",AH269=""),"",EDATE(MAX(N(O269),N(AH269)),12*'THAM SO'!$B$12))</f>
        <v/>
      </c>
      <c r="AL269" s="110" t="n"/>
    </row>
    <row r="270" ht="15" customHeight="1" s="64">
      <c r="A270" s="93">
        <f>IF(H270="","",COUNTA($H$9:H270))</f>
        <v/>
      </c>
      <c r="B270" s="93">
        <f>IF(OR(D270="",G270=""),"",YEAR(G270)&amp;"/"&amp;D270&amp;"/"&amp;TEXT(SUMPRODUCT(($D$9:D270=D270)*(YEAR($G$9:G270)=YEAR(G270))),"000")&amp;"-"&amp;'THAM SO'!$B$7)</f>
        <v/>
      </c>
      <c r="C270" s="107" t="n"/>
      <c r="D270" s="107" t="n"/>
      <c r="E270" s="95">
        <f>IF(D270="","",IFERROR(VLOOKUP(D270,'THAM SO'!$D$6:$E$40,2,FALSE()),"Mã loại chưa khai báo"))</f>
        <v/>
      </c>
      <c r="F270" s="108" t="n"/>
      <c r="G270" s="109" t="n"/>
      <c r="H270" s="110" t="n"/>
      <c r="I270" s="108" t="n"/>
      <c r="J270" s="110" t="n"/>
      <c r="K270" s="108" t="n"/>
      <c r="L270" s="108" t="n"/>
      <c r="M270" s="108" t="n"/>
      <c r="N270" s="109" t="n"/>
      <c r="O270" s="109" t="n"/>
      <c r="P270" s="107" t="n"/>
      <c r="Q270" s="107" t="n"/>
      <c r="R270" s="111" t="n"/>
      <c r="S270" s="112" t="n"/>
      <c r="T270" s="113" t="n"/>
      <c r="U270" s="102">
        <f>IF(S270="","",ROUND(S270*N(T270),2))</f>
        <v/>
      </c>
      <c r="V270" s="102">
        <f>IF(S270="","",S270+U270)</f>
        <v/>
      </c>
      <c r="W270" s="103">
        <f>IF(V270="","",ROUND(V270*IF(OR(Q270="",Q270="VND"),1,R270),0))</f>
        <v/>
      </c>
      <c r="X270" s="111" t="n"/>
      <c r="Y270" s="103">
        <f>IF(W270="","",W270+N(X270))</f>
        <v/>
      </c>
      <c r="Z270" s="103">
        <f>IF(B270="","",SUMIFS('NHAT KY THANH TOAN'!$G:$G,'NHAT KY THANH TOAN'!$B:$B,B270,'NHAT KY THANH TOAN'!$D:$D,"Hóa đơn"))</f>
        <v/>
      </c>
      <c r="AA270" s="103">
        <f>IF(B270="","",SUMIFS('NHAT KY THANH TOAN'!$G:$G,'NHAT KY THANH TOAN'!$B:$B,B270,'NHAT KY THANH TOAN'!$D:$D,"Thanh toán"))</f>
        <v/>
      </c>
      <c r="AB270" s="103">
        <f>IF(Y270="","",Y270-N(AA270))</f>
        <v/>
      </c>
      <c r="AC270" s="103">
        <f>IF(B270="","",N(Z270)-N(AA270))</f>
        <v/>
      </c>
      <c r="AD270" s="104">
        <f>IF(N(Y270)=0,"",N(AA270)/Y270)</f>
        <v/>
      </c>
      <c r="AE270" s="107" t="n"/>
      <c r="AF270" s="95">
        <f>IF(H270="","",TRIM(IF(AND(N(Y270)&gt;='THAM SO'!$B$10,AE270&lt;&gt;"Có"),"Chưa rà soát pháp lý; ","")&amp;IF(I270="","Thiếu MST đối tác; ","")&amp;IF(AG270="","Chưa ghi nơi lưu bản gốc; ","")&amp;IF(COUNTIFS('NHAT KY THANH TOAN'!$B:$B,B270,'NHAT KY THANH TOAN'!$D:$D,"Thanh toán",'NHAT KY THANH TOAN'!$F:$F,"Tiền mặt",'NHAT KY THANH TOAN'!$G:$G,"&gt;="&amp;'THAM SO'!$B$11)&gt;0,"Có khoản TT tiền mặt ≥ ngưỡng; ","")&amp;IF(AND(AB270&lt;&gt;"",N(AB270)&lt;0),"Thanh toán vượt giá trị HĐ; ","")))</f>
        <v/>
      </c>
      <c r="AG270" s="108" t="n"/>
      <c r="AH270" s="109" t="n"/>
      <c r="AI270" s="105">
        <f>IF(OR(H270="",O270="",AH270&lt;&gt;""),"",O270-'THAM SO'!$B$8)</f>
        <v/>
      </c>
      <c r="AJ270" s="95">
        <f>IF(H270="","",IF(AH270&lt;&gt;"","Đã thanh lý",IF(AND(N270&lt;&gt;"",N270&gt;'THAM SO'!$B$8),"Chưa hiệu lực",IF(O270="","Đang thực hiện",IF(O270&lt;'THAM SO'!$B$8,IF(P270="Có","Đã tự gia hạn – kiểm tra","Quá hạn – chưa thanh lý"),IF(O270-'THAM SO'!$B$8&lt;='THAM SO'!$B$9,"Sắp hết hạn","Đang thực hiện"))))))</f>
        <v/>
      </c>
      <c r="AK270" s="106">
        <f>IF(AND(O270="",AH270=""),"",EDATE(MAX(N(O270),N(AH270)),12*'THAM SO'!$B$12))</f>
        <v/>
      </c>
      <c r="AL270" s="110" t="n"/>
    </row>
    <row r="271" ht="15" customHeight="1" s="64">
      <c r="A271" s="93">
        <f>IF(H271="","",COUNTA($H$9:H271))</f>
        <v/>
      </c>
      <c r="B271" s="93">
        <f>IF(OR(D271="",G271=""),"",YEAR(G271)&amp;"/"&amp;D271&amp;"/"&amp;TEXT(SUMPRODUCT(($D$9:D271=D271)*(YEAR($G$9:G271)=YEAR(G271))),"000")&amp;"-"&amp;'THAM SO'!$B$7)</f>
        <v/>
      </c>
      <c r="C271" s="107" t="n"/>
      <c r="D271" s="107" t="n"/>
      <c r="E271" s="95">
        <f>IF(D271="","",IFERROR(VLOOKUP(D271,'THAM SO'!$D$6:$E$40,2,FALSE()),"Mã loại chưa khai báo"))</f>
        <v/>
      </c>
      <c r="F271" s="108" t="n"/>
      <c r="G271" s="109" t="n"/>
      <c r="H271" s="110" t="n"/>
      <c r="I271" s="108" t="n"/>
      <c r="J271" s="110" t="n"/>
      <c r="K271" s="108" t="n"/>
      <c r="L271" s="108" t="n"/>
      <c r="M271" s="108" t="n"/>
      <c r="N271" s="109" t="n"/>
      <c r="O271" s="109" t="n"/>
      <c r="P271" s="107" t="n"/>
      <c r="Q271" s="107" t="n"/>
      <c r="R271" s="111" t="n"/>
      <c r="S271" s="112" t="n"/>
      <c r="T271" s="113" t="n"/>
      <c r="U271" s="102">
        <f>IF(S271="","",ROUND(S271*N(T271),2))</f>
        <v/>
      </c>
      <c r="V271" s="102">
        <f>IF(S271="","",S271+U271)</f>
        <v/>
      </c>
      <c r="W271" s="103">
        <f>IF(V271="","",ROUND(V271*IF(OR(Q271="",Q271="VND"),1,R271),0))</f>
        <v/>
      </c>
      <c r="X271" s="111" t="n"/>
      <c r="Y271" s="103">
        <f>IF(W271="","",W271+N(X271))</f>
        <v/>
      </c>
      <c r="Z271" s="103">
        <f>IF(B271="","",SUMIFS('NHAT KY THANH TOAN'!$G:$G,'NHAT KY THANH TOAN'!$B:$B,B271,'NHAT KY THANH TOAN'!$D:$D,"Hóa đơn"))</f>
        <v/>
      </c>
      <c r="AA271" s="103">
        <f>IF(B271="","",SUMIFS('NHAT KY THANH TOAN'!$G:$G,'NHAT KY THANH TOAN'!$B:$B,B271,'NHAT KY THANH TOAN'!$D:$D,"Thanh toán"))</f>
        <v/>
      </c>
      <c r="AB271" s="103">
        <f>IF(Y271="","",Y271-N(AA271))</f>
        <v/>
      </c>
      <c r="AC271" s="103">
        <f>IF(B271="","",N(Z271)-N(AA271))</f>
        <v/>
      </c>
      <c r="AD271" s="104">
        <f>IF(N(Y271)=0,"",N(AA271)/Y271)</f>
        <v/>
      </c>
      <c r="AE271" s="107" t="n"/>
      <c r="AF271" s="95">
        <f>IF(H271="","",TRIM(IF(AND(N(Y271)&gt;='THAM SO'!$B$10,AE271&lt;&gt;"Có"),"Chưa rà soát pháp lý; ","")&amp;IF(I271="","Thiếu MST đối tác; ","")&amp;IF(AG271="","Chưa ghi nơi lưu bản gốc; ","")&amp;IF(COUNTIFS('NHAT KY THANH TOAN'!$B:$B,B271,'NHAT KY THANH TOAN'!$D:$D,"Thanh toán",'NHAT KY THANH TOAN'!$F:$F,"Tiền mặt",'NHAT KY THANH TOAN'!$G:$G,"&gt;="&amp;'THAM SO'!$B$11)&gt;0,"Có khoản TT tiền mặt ≥ ngưỡng; ","")&amp;IF(AND(AB271&lt;&gt;"",N(AB271)&lt;0),"Thanh toán vượt giá trị HĐ; ","")))</f>
        <v/>
      </c>
      <c r="AG271" s="108" t="n"/>
      <c r="AH271" s="109" t="n"/>
      <c r="AI271" s="105">
        <f>IF(OR(H271="",O271="",AH271&lt;&gt;""),"",O271-'THAM SO'!$B$8)</f>
        <v/>
      </c>
      <c r="AJ271" s="95">
        <f>IF(H271="","",IF(AH271&lt;&gt;"","Đã thanh lý",IF(AND(N271&lt;&gt;"",N271&gt;'THAM SO'!$B$8),"Chưa hiệu lực",IF(O271="","Đang thực hiện",IF(O271&lt;'THAM SO'!$B$8,IF(P271="Có","Đã tự gia hạn – kiểm tra","Quá hạn – chưa thanh lý"),IF(O271-'THAM SO'!$B$8&lt;='THAM SO'!$B$9,"Sắp hết hạn","Đang thực hiện"))))))</f>
        <v/>
      </c>
      <c r="AK271" s="106">
        <f>IF(AND(O271="",AH271=""),"",EDATE(MAX(N(O271),N(AH271)),12*'THAM SO'!$B$12))</f>
        <v/>
      </c>
      <c r="AL271" s="110" t="n"/>
    </row>
    <row r="272" ht="15" customHeight="1" s="64">
      <c r="A272" s="93">
        <f>IF(H272="","",COUNTA($H$9:H272))</f>
        <v/>
      </c>
      <c r="B272" s="93">
        <f>IF(OR(D272="",G272=""),"",YEAR(G272)&amp;"/"&amp;D272&amp;"/"&amp;TEXT(SUMPRODUCT(($D$9:D272=D272)*(YEAR($G$9:G272)=YEAR(G272))),"000")&amp;"-"&amp;'THAM SO'!$B$7)</f>
        <v/>
      </c>
      <c r="C272" s="107" t="n"/>
      <c r="D272" s="107" t="n"/>
      <c r="E272" s="95">
        <f>IF(D272="","",IFERROR(VLOOKUP(D272,'THAM SO'!$D$6:$E$40,2,FALSE()),"Mã loại chưa khai báo"))</f>
        <v/>
      </c>
      <c r="F272" s="108" t="n"/>
      <c r="G272" s="109" t="n"/>
      <c r="H272" s="110" t="n"/>
      <c r="I272" s="108" t="n"/>
      <c r="J272" s="110" t="n"/>
      <c r="K272" s="108" t="n"/>
      <c r="L272" s="108" t="n"/>
      <c r="M272" s="108" t="n"/>
      <c r="N272" s="109" t="n"/>
      <c r="O272" s="109" t="n"/>
      <c r="P272" s="107" t="n"/>
      <c r="Q272" s="107" t="n"/>
      <c r="R272" s="111" t="n"/>
      <c r="S272" s="112" t="n"/>
      <c r="T272" s="113" t="n"/>
      <c r="U272" s="102">
        <f>IF(S272="","",ROUND(S272*N(T272),2))</f>
        <v/>
      </c>
      <c r="V272" s="102">
        <f>IF(S272="","",S272+U272)</f>
        <v/>
      </c>
      <c r="W272" s="103">
        <f>IF(V272="","",ROUND(V272*IF(OR(Q272="",Q272="VND"),1,R272),0))</f>
        <v/>
      </c>
      <c r="X272" s="111" t="n"/>
      <c r="Y272" s="103">
        <f>IF(W272="","",W272+N(X272))</f>
        <v/>
      </c>
      <c r="Z272" s="103">
        <f>IF(B272="","",SUMIFS('NHAT KY THANH TOAN'!$G:$G,'NHAT KY THANH TOAN'!$B:$B,B272,'NHAT KY THANH TOAN'!$D:$D,"Hóa đơn"))</f>
        <v/>
      </c>
      <c r="AA272" s="103">
        <f>IF(B272="","",SUMIFS('NHAT KY THANH TOAN'!$G:$G,'NHAT KY THANH TOAN'!$B:$B,B272,'NHAT KY THANH TOAN'!$D:$D,"Thanh toán"))</f>
        <v/>
      </c>
      <c r="AB272" s="103">
        <f>IF(Y272="","",Y272-N(AA272))</f>
        <v/>
      </c>
      <c r="AC272" s="103">
        <f>IF(B272="","",N(Z272)-N(AA272))</f>
        <v/>
      </c>
      <c r="AD272" s="104">
        <f>IF(N(Y272)=0,"",N(AA272)/Y272)</f>
        <v/>
      </c>
      <c r="AE272" s="107" t="n"/>
      <c r="AF272" s="95">
        <f>IF(H272="","",TRIM(IF(AND(N(Y272)&gt;='THAM SO'!$B$10,AE272&lt;&gt;"Có"),"Chưa rà soát pháp lý; ","")&amp;IF(I272="","Thiếu MST đối tác; ","")&amp;IF(AG272="","Chưa ghi nơi lưu bản gốc; ","")&amp;IF(COUNTIFS('NHAT KY THANH TOAN'!$B:$B,B272,'NHAT KY THANH TOAN'!$D:$D,"Thanh toán",'NHAT KY THANH TOAN'!$F:$F,"Tiền mặt",'NHAT KY THANH TOAN'!$G:$G,"&gt;="&amp;'THAM SO'!$B$11)&gt;0,"Có khoản TT tiền mặt ≥ ngưỡng; ","")&amp;IF(AND(AB272&lt;&gt;"",N(AB272)&lt;0),"Thanh toán vượt giá trị HĐ; ","")))</f>
        <v/>
      </c>
      <c r="AG272" s="108" t="n"/>
      <c r="AH272" s="109" t="n"/>
      <c r="AI272" s="105">
        <f>IF(OR(H272="",O272="",AH272&lt;&gt;""),"",O272-'THAM SO'!$B$8)</f>
        <v/>
      </c>
      <c r="AJ272" s="95">
        <f>IF(H272="","",IF(AH272&lt;&gt;"","Đã thanh lý",IF(AND(N272&lt;&gt;"",N272&gt;'THAM SO'!$B$8),"Chưa hiệu lực",IF(O272="","Đang thực hiện",IF(O272&lt;'THAM SO'!$B$8,IF(P272="Có","Đã tự gia hạn – kiểm tra","Quá hạn – chưa thanh lý"),IF(O272-'THAM SO'!$B$8&lt;='THAM SO'!$B$9,"Sắp hết hạn","Đang thực hiện"))))))</f>
        <v/>
      </c>
      <c r="AK272" s="106">
        <f>IF(AND(O272="",AH272=""),"",EDATE(MAX(N(O272),N(AH272)),12*'THAM SO'!$B$12))</f>
        <v/>
      </c>
      <c r="AL272" s="110" t="n"/>
    </row>
    <row r="273" ht="15" customHeight="1" s="64">
      <c r="A273" s="93">
        <f>IF(H273="","",COUNTA($H$9:H273))</f>
        <v/>
      </c>
      <c r="B273" s="93">
        <f>IF(OR(D273="",G273=""),"",YEAR(G273)&amp;"/"&amp;D273&amp;"/"&amp;TEXT(SUMPRODUCT(($D$9:D273=D273)*(YEAR($G$9:G273)=YEAR(G273))),"000")&amp;"-"&amp;'THAM SO'!$B$7)</f>
        <v/>
      </c>
      <c r="C273" s="107" t="n"/>
      <c r="D273" s="107" t="n"/>
      <c r="E273" s="95">
        <f>IF(D273="","",IFERROR(VLOOKUP(D273,'THAM SO'!$D$6:$E$40,2,FALSE()),"Mã loại chưa khai báo"))</f>
        <v/>
      </c>
      <c r="F273" s="108" t="n"/>
      <c r="G273" s="109" t="n"/>
      <c r="H273" s="110" t="n"/>
      <c r="I273" s="108" t="n"/>
      <c r="J273" s="110" t="n"/>
      <c r="K273" s="108" t="n"/>
      <c r="L273" s="108" t="n"/>
      <c r="M273" s="108" t="n"/>
      <c r="N273" s="109" t="n"/>
      <c r="O273" s="109" t="n"/>
      <c r="P273" s="107" t="n"/>
      <c r="Q273" s="107" t="n"/>
      <c r="R273" s="111" t="n"/>
      <c r="S273" s="112" t="n"/>
      <c r="T273" s="113" t="n"/>
      <c r="U273" s="102">
        <f>IF(S273="","",ROUND(S273*N(T273),2))</f>
        <v/>
      </c>
      <c r="V273" s="102">
        <f>IF(S273="","",S273+U273)</f>
        <v/>
      </c>
      <c r="W273" s="103">
        <f>IF(V273="","",ROUND(V273*IF(OR(Q273="",Q273="VND"),1,R273),0))</f>
        <v/>
      </c>
      <c r="X273" s="111" t="n"/>
      <c r="Y273" s="103">
        <f>IF(W273="","",W273+N(X273))</f>
        <v/>
      </c>
      <c r="Z273" s="103">
        <f>IF(B273="","",SUMIFS('NHAT KY THANH TOAN'!$G:$G,'NHAT KY THANH TOAN'!$B:$B,B273,'NHAT KY THANH TOAN'!$D:$D,"Hóa đơn"))</f>
        <v/>
      </c>
      <c r="AA273" s="103">
        <f>IF(B273="","",SUMIFS('NHAT KY THANH TOAN'!$G:$G,'NHAT KY THANH TOAN'!$B:$B,B273,'NHAT KY THANH TOAN'!$D:$D,"Thanh toán"))</f>
        <v/>
      </c>
      <c r="AB273" s="103">
        <f>IF(Y273="","",Y273-N(AA273))</f>
        <v/>
      </c>
      <c r="AC273" s="103">
        <f>IF(B273="","",N(Z273)-N(AA273))</f>
        <v/>
      </c>
      <c r="AD273" s="104">
        <f>IF(N(Y273)=0,"",N(AA273)/Y273)</f>
        <v/>
      </c>
      <c r="AE273" s="107" t="n"/>
      <c r="AF273" s="95">
        <f>IF(H273="","",TRIM(IF(AND(N(Y273)&gt;='THAM SO'!$B$10,AE273&lt;&gt;"Có"),"Chưa rà soát pháp lý; ","")&amp;IF(I273="","Thiếu MST đối tác; ","")&amp;IF(AG273="","Chưa ghi nơi lưu bản gốc; ","")&amp;IF(COUNTIFS('NHAT KY THANH TOAN'!$B:$B,B273,'NHAT KY THANH TOAN'!$D:$D,"Thanh toán",'NHAT KY THANH TOAN'!$F:$F,"Tiền mặt",'NHAT KY THANH TOAN'!$G:$G,"&gt;="&amp;'THAM SO'!$B$11)&gt;0,"Có khoản TT tiền mặt ≥ ngưỡng; ","")&amp;IF(AND(AB273&lt;&gt;"",N(AB273)&lt;0),"Thanh toán vượt giá trị HĐ; ","")))</f>
        <v/>
      </c>
      <c r="AG273" s="108" t="n"/>
      <c r="AH273" s="109" t="n"/>
      <c r="AI273" s="105">
        <f>IF(OR(H273="",O273="",AH273&lt;&gt;""),"",O273-'THAM SO'!$B$8)</f>
        <v/>
      </c>
      <c r="AJ273" s="95">
        <f>IF(H273="","",IF(AH273&lt;&gt;"","Đã thanh lý",IF(AND(N273&lt;&gt;"",N273&gt;'THAM SO'!$B$8),"Chưa hiệu lực",IF(O273="","Đang thực hiện",IF(O273&lt;'THAM SO'!$B$8,IF(P273="Có","Đã tự gia hạn – kiểm tra","Quá hạn – chưa thanh lý"),IF(O273-'THAM SO'!$B$8&lt;='THAM SO'!$B$9,"Sắp hết hạn","Đang thực hiện"))))))</f>
        <v/>
      </c>
      <c r="AK273" s="106">
        <f>IF(AND(O273="",AH273=""),"",EDATE(MAX(N(O273),N(AH273)),12*'THAM SO'!$B$12))</f>
        <v/>
      </c>
      <c r="AL273" s="110" t="n"/>
    </row>
    <row r="274" ht="15" customHeight="1" s="64">
      <c r="A274" s="93">
        <f>IF(H274="","",COUNTA($H$9:H274))</f>
        <v/>
      </c>
      <c r="B274" s="93">
        <f>IF(OR(D274="",G274=""),"",YEAR(G274)&amp;"/"&amp;D274&amp;"/"&amp;TEXT(SUMPRODUCT(($D$9:D274=D274)*(YEAR($G$9:G274)=YEAR(G274))),"000")&amp;"-"&amp;'THAM SO'!$B$7)</f>
        <v/>
      </c>
      <c r="C274" s="107" t="n"/>
      <c r="D274" s="107" t="n"/>
      <c r="E274" s="95">
        <f>IF(D274="","",IFERROR(VLOOKUP(D274,'THAM SO'!$D$6:$E$40,2,FALSE()),"Mã loại chưa khai báo"))</f>
        <v/>
      </c>
      <c r="F274" s="108" t="n"/>
      <c r="G274" s="109" t="n"/>
      <c r="H274" s="110" t="n"/>
      <c r="I274" s="108" t="n"/>
      <c r="J274" s="110" t="n"/>
      <c r="K274" s="108" t="n"/>
      <c r="L274" s="108" t="n"/>
      <c r="M274" s="108" t="n"/>
      <c r="N274" s="109" t="n"/>
      <c r="O274" s="109" t="n"/>
      <c r="P274" s="107" t="n"/>
      <c r="Q274" s="107" t="n"/>
      <c r="R274" s="111" t="n"/>
      <c r="S274" s="112" t="n"/>
      <c r="T274" s="113" t="n"/>
      <c r="U274" s="102">
        <f>IF(S274="","",ROUND(S274*N(T274),2))</f>
        <v/>
      </c>
      <c r="V274" s="102">
        <f>IF(S274="","",S274+U274)</f>
        <v/>
      </c>
      <c r="W274" s="103">
        <f>IF(V274="","",ROUND(V274*IF(OR(Q274="",Q274="VND"),1,R274),0))</f>
        <v/>
      </c>
      <c r="X274" s="111" t="n"/>
      <c r="Y274" s="103">
        <f>IF(W274="","",W274+N(X274))</f>
        <v/>
      </c>
      <c r="Z274" s="103">
        <f>IF(B274="","",SUMIFS('NHAT KY THANH TOAN'!$G:$G,'NHAT KY THANH TOAN'!$B:$B,B274,'NHAT KY THANH TOAN'!$D:$D,"Hóa đơn"))</f>
        <v/>
      </c>
      <c r="AA274" s="103">
        <f>IF(B274="","",SUMIFS('NHAT KY THANH TOAN'!$G:$G,'NHAT KY THANH TOAN'!$B:$B,B274,'NHAT KY THANH TOAN'!$D:$D,"Thanh toán"))</f>
        <v/>
      </c>
      <c r="AB274" s="103">
        <f>IF(Y274="","",Y274-N(AA274))</f>
        <v/>
      </c>
      <c r="AC274" s="103">
        <f>IF(B274="","",N(Z274)-N(AA274))</f>
        <v/>
      </c>
      <c r="AD274" s="104">
        <f>IF(N(Y274)=0,"",N(AA274)/Y274)</f>
        <v/>
      </c>
      <c r="AE274" s="107" t="n"/>
      <c r="AF274" s="95">
        <f>IF(H274="","",TRIM(IF(AND(N(Y274)&gt;='THAM SO'!$B$10,AE274&lt;&gt;"Có"),"Chưa rà soát pháp lý; ","")&amp;IF(I274="","Thiếu MST đối tác; ","")&amp;IF(AG274="","Chưa ghi nơi lưu bản gốc; ","")&amp;IF(COUNTIFS('NHAT KY THANH TOAN'!$B:$B,B274,'NHAT KY THANH TOAN'!$D:$D,"Thanh toán",'NHAT KY THANH TOAN'!$F:$F,"Tiền mặt",'NHAT KY THANH TOAN'!$G:$G,"&gt;="&amp;'THAM SO'!$B$11)&gt;0,"Có khoản TT tiền mặt ≥ ngưỡng; ","")&amp;IF(AND(AB274&lt;&gt;"",N(AB274)&lt;0),"Thanh toán vượt giá trị HĐ; ","")))</f>
        <v/>
      </c>
      <c r="AG274" s="108" t="n"/>
      <c r="AH274" s="109" t="n"/>
      <c r="AI274" s="105">
        <f>IF(OR(H274="",O274="",AH274&lt;&gt;""),"",O274-'THAM SO'!$B$8)</f>
        <v/>
      </c>
      <c r="AJ274" s="95">
        <f>IF(H274="","",IF(AH274&lt;&gt;"","Đã thanh lý",IF(AND(N274&lt;&gt;"",N274&gt;'THAM SO'!$B$8),"Chưa hiệu lực",IF(O274="","Đang thực hiện",IF(O274&lt;'THAM SO'!$B$8,IF(P274="Có","Đã tự gia hạn – kiểm tra","Quá hạn – chưa thanh lý"),IF(O274-'THAM SO'!$B$8&lt;='THAM SO'!$B$9,"Sắp hết hạn","Đang thực hiện"))))))</f>
        <v/>
      </c>
      <c r="AK274" s="106">
        <f>IF(AND(O274="",AH274=""),"",EDATE(MAX(N(O274),N(AH274)),12*'THAM SO'!$B$12))</f>
        <v/>
      </c>
      <c r="AL274" s="110" t="n"/>
    </row>
    <row r="275" ht="15" customHeight="1" s="64">
      <c r="A275" s="93">
        <f>IF(H275="","",COUNTA($H$9:H275))</f>
        <v/>
      </c>
      <c r="B275" s="93">
        <f>IF(OR(D275="",G275=""),"",YEAR(G275)&amp;"/"&amp;D275&amp;"/"&amp;TEXT(SUMPRODUCT(($D$9:D275=D275)*(YEAR($G$9:G275)=YEAR(G275))),"000")&amp;"-"&amp;'THAM SO'!$B$7)</f>
        <v/>
      </c>
      <c r="C275" s="107" t="n"/>
      <c r="D275" s="107" t="n"/>
      <c r="E275" s="95">
        <f>IF(D275="","",IFERROR(VLOOKUP(D275,'THAM SO'!$D$6:$E$40,2,FALSE()),"Mã loại chưa khai báo"))</f>
        <v/>
      </c>
      <c r="F275" s="108" t="n"/>
      <c r="G275" s="109" t="n"/>
      <c r="H275" s="110" t="n"/>
      <c r="I275" s="108" t="n"/>
      <c r="J275" s="110" t="n"/>
      <c r="K275" s="108" t="n"/>
      <c r="L275" s="108" t="n"/>
      <c r="M275" s="108" t="n"/>
      <c r="N275" s="109" t="n"/>
      <c r="O275" s="109" t="n"/>
      <c r="P275" s="107" t="n"/>
      <c r="Q275" s="107" t="n"/>
      <c r="R275" s="111" t="n"/>
      <c r="S275" s="112" t="n"/>
      <c r="T275" s="113" t="n"/>
      <c r="U275" s="102">
        <f>IF(S275="","",ROUND(S275*N(T275),2))</f>
        <v/>
      </c>
      <c r="V275" s="102">
        <f>IF(S275="","",S275+U275)</f>
        <v/>
      </c>
      <c r="W275" s="103">
        <f>IF(V275="","",ROUND(V275*IF(OR(Q275="",Q275="VND"),1,R275),0))</f>
        <v/>
      </c>
      <c r="X275" s="111" t="n"/>
      <c r="Y275" s="103">
        <f>IF(W275="","",W275+N(X275))</f>
        <v/>
      </c>
      <c r="Z275" s="103">
        <f>IF(B275="","",SUMIFS('NHAT KY THANH TOAN'!$G:$G,'NHAT KY THANH TOAN'!$B:$B,B275,'NHAT KY THANH TOAN'!$D:$D,"Hóa đơn"))</f>
        <v/>
      </c>
      <c r="AA275" s="103">
        <f>IF(B275="","",SUMIFS('NHAT KY THANH TOAN'!$G:$G,'NHAT KY THANH TOAN'!$B:$B,B275,'NHAT KY THANH TOAN'!$D:$D,"Thanh toán"))</f>
        <v/>
      </c>
      <c r="AB275" s="103">
        <f>IF(Y275="","",Y275-N(AA275))</f>
        <v/>
      </c>
      <c r="AC275" s="103">
        <f>IF(B275="","",N(Z275)-N(AA275))</f>
        <v/>
      </c>
      <c r="AD275" s="104">
        <f>IF(N(Y275)=0,"",N(AA275)/Y275)</f>
        <v/>
      </c>
      <c r="AE275" s="107" t="n"/>
      <c r="AF275" s="95">
        <f>IF(H275="","",TRIM(IF(AND(N(Y275)&gt;='THAM SO'!$B$10,AE275&lt;&gt;"Có"),"Chưa rà soát pháp lý; ","")&amp;IF(I275="","Thiếu MST đối tác; ","")&amp;IF(AG275="","Chưa ghi nơi lưu bản gốc; ","")&amp;IF(COUNTIFS('NHAT KY THANH TOAN'!$B:$B,B275,'NHAT KY THANH TOAN'!$D:$D,"Thanh toán",'NHAT KY THANH TOAN'!$F:$F,"Tiền mặt",'NHAT KY THANH TOAN'!$G:$G,"&gt;="&amp;'THAM SO'!$B$11)&gt;0,"Có khoản TT tiền mặt ≥ ngưỡng; ","")&amp;IF(AND(AB275&lt;&gt;"",N(AB275)&lt;0),"Thanh toán vượt giá trị HĐ; ","")))</f>
        <v/>
      </c>
      <c r="AG275" s="108" t="n"/>
      <c r="AH275" s="109" t="n"/>
      <c r="AI275" s="105">
        <f>IF(OR(H275="",O275="",AH275&lt;&gt;""),"",O275-'THAM SO'!$B$8)</f>
        <v/>
      </c>
      <c r="AJ275" s="95">
        <f>IF(H275="","",IF(AH275&lt;&gt;"","Đã thanh lý",IF(AND(N275&lt;&gt;"",N275&gt;'THAM SO'!$B$8),"Chưa hiệu lực",IF(O275="","Đang thực hiện",IF(O275&lt;'THAM SO'!$B$8,IF(P275="Có","Đã tự gia hạn – kiểm tra","Quá hạn – chưa thanh lý"),IF(O275-'THAM SO'!$B$8&lt;='THAM SO'!$B$9,"Sắp hết hạn","Đang thực hiện"))))))</f>
        <v/>
      </c>
      <c r="AK275" s="106">
        <f>IF(AND(O275="",AH275=""),"",EDATE(MAX(N(O275),N(AH275)),12*'THAM SO'!$B$12))</f>
        <v/>
      </c>
      <c r="AL275" s="110" t="n"/>
    </row>
    <row r="276" ht="15" customHeight="1" s="64">
      <c r="A276" s="93">
        <f>IF(H276="","",COUNTA($H$9:H276))</f>
        <v/>
      </c>
      <c r="B276" s="93">
        <f>IF(OR(D276="",G276=""),"",YEAR(G276)&amp;"/"&amp;D276&amp;"/"&amp;TEXT(SUMPRODUCT(($D$9:D276=D276)*(YEAR($G$9:G276)=YEAR(G276))),"000")&amp;"-"&amp;'THAM SO'!$B$7)</f>
        <v/>
      </c>
      <c r="C276" s="107" t="n"/>
      <c r="D276" s="107" t="n"/>
      <c r="E276" s="95">
        <f>IF(D276="","",IFERROR(VLOOKUP(D276,'THAM SO'!$D$6:$E$40,2,FALSE()),"Mã loại chưa khai báo"))</f>
        <v/>
      </c>
      <c r="F276" s="108" t="n"/>
      <c r="G276" s="109" t="n"/>
      <c r="H276" s="110" t="n"/>
      <c r="I276" s="108" t="n"/>
      <c r="J276" s="110" t="n"/>
      <c r="K276" s="108" t="n"/>
      <c r="L276" s="108" t="n"/>
      <c r="M276" s="108" t="n"/>
      <c r="N276" s="109" t="n"/>
      <c r="O276" s="109" t="n"/>
      <c r="P276" s="107" t="n"/>
      <c r="Q276" s="107" t="n"/>
      <c r="R276" s="111" t="n"/>
      <c r="S276" s="112" t="n"/>
      <c r="T276" s="113" t="n"/>
      <c r="U276" s="102">
        <f>IF(S276="","",ROUND(S276*N(T276),2))</f>
        <v/>
      </c>
      <c r="V276" s="102">
        <f>IF(S276="","",S276+U276)</f>
        <v/>
      </c>
      <c r="W276" s="103">
        <f>IF(V276="","",ROUND(V276*IF(OR(Q276="",Q276="VND"),1,R276),0))</f>
        <v/>
      </c>
      <c r="X276" s="111" t="n"/>
      <c r="Y276" s="103">
        <f>IF(W276="","",W276+N(X276))</f>
        <v/>
      </c>
      <c r="Z276" s="103">
        <f>IF(B276="","",SUMIFS('NHAT KY THANH TOAN'!$G:$G,'NHAT KY THANH TOAN'!$B:$B,B276,'NHAT KY THANH TOAN'!$D:$D,"Hóa đơn"))</f>
        <v/>
      </c>
      <c r="AA276" s="103">
        <f>IF(B276="","",SUMIFS('NHAT KY THANH TOAN'!$G:$G,'NHAT KY THANH TOAN'!$B:$B,B276,'NHAT KY THANH TOAN'!$D:$D,"Thanh toán"))</f>
        <v/>
      </c>
      <c r="AB276" s="103">
        <f>IF(Y276="","",Y276-N(AA276))</f>
        <v/>
      </c>
      <c r="AC276" s="103">
        <f>IF(B276="","",N(Z276)-N(AA276))</f>
        <v/>
      </c>
      <c r="AD276" s="104">
        <f>IF(N(Y276)=0,"",N(AA276)/Y276)</f>
        <v/>
      </c>
      <c r="AE276" s="107" t="n"/>
      <c r="AF276" s="95">
        <f>IF(H276="","",TRIM(IF(AND(N(Y276)&gt;='THAM SO'!$B$10,AE276&lt;&gt;"Có"),"Chưa rà soát pháp lý; ","")&amp;IF(I276="","Thiếu MST đối tác; ","")&amp;IF(AG276="","Chưa ghi nơi lưu bản gốc; ","")&amp;IF(COUNTIFS('NHAT KY THANH TOAN'!$B:$B,B276,'NHAT KY THANH TOAN'!$D:$D,"Thanh toán",'NHAT KY THANH TOAN'!$F:$F,"Tiền mặt",'NHAT KY THANH TOAN'!$G:$G,"&gt;="&amp;'THAM SO'!$B$11)&gt;0,"Có khoản TT tiền mặt ≥ ngưỡng; ","")&amp;IF(AND(AB276&lt;&gt;"",N(AB276)&lt;0),"Thanh toán vượt giá trị HĐ; ","")))</f>
        <v/>
      </c>
      <c r="AG276" s="108" t="n"/>
      <c r="AH276" s="109" t="n"/>
      <c r="AI276" s="105">
        <f>IF(OR(H276="",O276="",AH276&lt;&gt;""),"",O276-'THAM SO'!$B$8)</f>
        <v/>
      </c>
      <c r="AJ276" s="95">
        <f>IF(H276="","",IF(AH276&lt;&gt;"","Đã thanh lý",IF(AND(N276&lt;&gt;"",N276&gt;'THAM SO'!$B$8),"Chưa hiệu lực",IF(O276="","Đang thực hiện",IF(O276&lt;'THAM SO'!$B$8,IF(P276="Có","Đã tự gia hạn – kiểm tra","Quá hạn – chưa thanh lý"),IF(O276-'THAM SO'!$B$8&lt;='THAM SO'!$B$9,"Sắp hết hạn","Đang thực hiện"))))))</f>
        <v/>
      </c>
      <c r="AK276" s="106">
        <f>IF(AND(O276="",AH276=""),"",EDATE(MAX(N(O276),N(AH276)),12*'THAM SO'!$B$12))</f>
        <v/>
      </c>
      <c r="AL276" s="110" t="n"/>
    </row>
    <row r="277" ht="15" customHeight="1" s="64">
      <c r="A277" s="93">
        <f>IF(H277="","",COUNTA($H$9:H277))</f>
        <v/>
      </c>
      <c r="B277" s="93">
        <f>IF(OR(D277="",G277=""),"",YEAR(G277)&amp;"/"&amp;D277&amp;"/"&amp;TEXT(SUMPRODUCT(($D$9:D277=D277)*(YEAR($G$9:G277)=YEAR(G277))),"000")&amp;"-"&amp;'THAM SO'!$B$7)</f>
        <v/>
      </c>
      <c r="C277" s="107" t="n"/>
      <c r="D277" s="107" t="n"/>
      <c r="E277" s="95">
        <f>IF(D277="","",IFERROR(VLOOKUP(D277,'THAM SO'!$D$6:$E$40,2,FALSE()),"Mã loại chưa khai báo"))</f>
        <v/>
      </c>
      <c r="F277" s="108" t="n"/>
      <c r="G277" s="109" t="n"/>
      <c r="H277" s="110" t="n"/>
      <c r="I277" s="108" t="n"/>
      <c r="J277" s="110" t="n"/>
      <c r="K277" s="108" t="n"/>
      <c r="L277" s="108" t="n"/>
      <c r="M277" s="108" t="n"/>
      <c r="N277" s="109" t="n"/>
      <c r="O277" s="109" t="n"/>
      <c r="P277" s="107" t="n"/>
      <c r="Q277" s="107" t="n"/>
      <c r="R277" s="111" t="n"/>
      <c r="S277" s="112" t="n"/>
      <c r="T277" s="113" t="n"/>
      <c r="U277" s="102">
        <f>IF(S277="","",ROUND(S277*N(T277),2))</f>
        <v/>
      </c>
      <c r="V277" s="102">
        <f>IF(S277="","",S277+U277)</f>
        <v/>
      </c>
      <c r="W277" s="103">
        <f>IF(V277="","",ROUND(V277*IF(OR(Q277="",Q277="VND"),1,R277),0))</f>
        <v/>
      </c>
      <c r="X277" s="111" t="n"/>
      <c r="Y277" s="103">
        <f>IF(W277="","",W277+N(X277))</f>
        <v/>
      </c>
      <c r="Z277" s="103">
        <f>IF(B277="","",SUMIFS('NHAT KY THANH TOAN'!$G:$G,'NHAT KY THANH TOAN'!$B:$B,B277,'NHAT KY THANH TOAN'!$D:$D,"Hóa đơn"))</f>
        <v/>
      </c>
      <c r="AA277" s="103">
        <f>IF(B277="","",SUMIFS('NHAT KY THANH TOAN'!$G:$G,'NHAT KY THANH TOAN'!$B:$B,B277,'NHAT KY THANH TOAN'!$D:$D,"Thanh toán"))</f>
        <v/>
      </c>
      <c r="AB277" s="103">
        <f>IF(Y277="","",Y277-N(AA277))</f>
        <v/>
      </c>
      <c r="AC277" s="103">
        <f>IF(B277="","",N(Z277)-N(AA277))</f>
        <v/>
      </c>
      <c r="AD277" s="104">
        <f>IF(N(Y277)=0,"",N(AA277)/Y277)</f>
        <v/>
      </c>
      <c r="AE277" s="107" t="n"/>
      <c r="AF277" s="95">
        <f>IF(H277="","",TRIM(IF(AND(N(Y277)&gt;='THAM SO'!$B$10,AE277&lt;&gt;"Có"),"Chưa rà soát pháp lý; ","")&amp;IF(I277="","Thiếu MST đối tác; ","")&amp;IF(AG277="","Chưa ghi nơi lưu bản gốc; ","")&amp;IF(COUNTIFS('NHAT KY THANH TOAN'!$B:$B,B277,'NHAT KY THANH TOAN'!$D:$D,"Thanh toán",'NHAT KY THANH TOAN'!$F:$F,"Tiền mặt",'NHAT KY THANH TOAN'!$G:$G,"&gt;="&amp;'THAM SO'!$B$11)&gt;0,"Có khoản TT tiền mặt ≥ ngưỡng; ","")&amp;IF(AND(AB277&lt;&gt;"",N(AB277)&lt;0),"Thanh toán vượt giá trị HĐ; ","")))</f>
        <v/>
      </c>
      <c r="AG277" s="108" t="n"/>
      <c r="AH277" s="109" t="n"/>
      <c r="AI277" s="105">
        <f>IF(OR(H277="",O277="",AH277&lt;&gt;""),"",O277-'THAM SO'!$B$8)</f>
        <v/>
      </c>
      <c r="AJ277" s="95">
        <f>IF(H277="","",IF(AH277&lt;&gt;"","Đã thanh lý",IF(AND(N277&lt;&gt;"",N277&gt;'THAM SO'!$B$8),"Chưa hiệu lực",IF(O277="","Đang thực hiện",IF(O277&lt;'THAM SO'!$B$8,IF(P277="Có","Đã tự gia hạn – kiểm tra","Quá hạn – chưa thanh lý"),IF(O277-'THAM SO'!$B$8&lt;='THAM SO'!$B$9,"Sắp hết hạn","Đang thực hiện"))))))</f>
        <v/>
      </c>
      <c r="AK277" s="106">
        <f>IF(AND(O277="",AH277=""),"",EDATE(MAX(N(O277),N(AH277)),12*'THAM SO'!$B$12))</f>
        <v/>
      </c>
      <c r="AL277" s="110" t="n"/>
    </row>
    <row r="278" ht="15" customHeight="1" s="64">
      <c r="A278" s="93">
        <f>IF(H278="","",COUNTA($H$9:H278))</f>
        <v/>
      </c>
      <c r="B278" s="93">
        <f>IF(OR(D278="",G278=""),"",YEAR(G278)&amp;"/"&amp;D278&amp;"/"&amp;TEXT(SUMPRODUCT(($D$9:D278=D278)*(YEAR($G$9:G278)=YEAR(G278))),"000")&amp;"-"&amp;'THAM SO'!$B$7)</f>
        <v/>
      </c>
      <c r="C278" s="107" t="n"/>
      <c r="D278" s="107" t="n"/>
      <c r="E278" s="95">
        <f>IF(D278="","",IFERROR(VLOOKUP(D278,'THAM SO'!$D$6:$E$40,2,FALSE()),"Mã loại chưa khai báo"))</f>
        <v/>
      </c>
      <c r="F278" s="108" t="n"/>
      <c r="G278" s="109" t="n"/>
      <c r="H278" s="110" t="n"/>
      <c r="I278" s="108" t="n"/>
      <c r="J278" s="110" t="n"/>
      <c r="K278" s="108" t="n"/>
      <c r="L278" s="108" t="n"/>
      <c r="M278" s="108" t="n"/>
      <c r="N278" s="109" t="n"/>
      <c r="O278" s="109" t="n"/>
      <c r="P278" s="107" t="n"/>
      <c r="Q278" s="107" t="n"/>
      <c r="R278" s="111" t="n"/>
      <c r="S278" s="112" t="n"/>
      <c r="T278" s="113" t="n"/>
      <c r="U278" s="102">
        <f>IF(S278="","",ROUND(S278*N(T278),2))</f>
        <v/>
      </c>
      <c r="V278" s="102">
        <f>IF(S278="","",S278+U278)</f>
        <v/>
      </c>
      <c r="W278" s="103">
        <f>IF(V278="","",ROUND(V278*IF(OR(Q278="",Q278="VND"),1,R278),0))</f>
        <v/>
      </c>
      <c r="X278" s="111" t="n"/>
      <c r="Y278" s="103">
        <f>IF(W278="","",W278+N(X278))</f>
        <v/>
      </c>
      <c r="Z278" s="103">
        <f>IF(B278="","",SUMIFS('NHAT KY THANH TOAN'!$G:$G,'NHAT KY THANH TOAN'!$B:$B,B278,'NHAT KY THANH TOAN'!$D:$D,"Hóa đơn"))</f>
        <v/>
      </c>
      <c r="AA278" s="103">
        <f>IF(B278="","",SUMIFS('NHAT KY THANH TOAN'!$G:$G,'NHAT KY THANH TOAN'!$B:$B,B278,'NHAT KY THANH TOAN'!$D:$D,"Thanh toán"))</f>
        <v/>
      </c>
      <c r="AB278" s="103">
        <f>IF(Y278="","",Y278-N(AA278))</f>
        <v/>
      </c>
      <c r="AC278" s="103">
        <f>IF(B278="","",N(Z278)-N(AA278))</f>
        <v/>
      </c>
      <c r="AD278" s="104">
        <f>IF(N(Y278)=0,"",N(AA278)/Y278)</f>
        <v/>
      </c>
      <c r="AE278" s="107" t="n"/>
      <c r="AF278" s="95">
        <f>IF(H278="","",TRIM(IF(AND(N(Y278)&gt;='THAM SO'!$B$10,AE278&lt;&gt;"Có"),"Chưa rà soát pháp lý; ","")&amp;IF(I278="","Thiếu MST đối tác; ","")&amp;IF(AG278="","Chưa ghi nơi lưu bản gốc; ","")&amp;IF(COUNTIFS('NHAT KY THANH TOAN'!$B:$B,B278,'NHAT KY THANH TOAN'!$D:$D,"Thanh toán",'NHAT KY THANH TOAN'!$F:$F,"Tiền mặt",'NHAT KY THANH TOAN'!$G:$G,"&gt;="&amp;'THAM SO'!$B$11)&gt;0,"Có khoản TT tiền mặt ≥ ngưỡng; ","")&amp;IF(AND(AB278&lt;&gt;"",N(AB278)&lt;0),"Thanh toán vượt giá trị HĐ; ","")))</f>
        <v/>
      </c>
      <c r="AG278" s="108" t="n"/>
      <c r="AH278" s="109" t="n"/>
      <c r="AI278" s="105">
        <f>IF(OR(H278="",O278="",AH278&lt;&gt;""),"",O278-'THAM SO'!$B$8)</f>
        <v/>
      </c>
      <c r="AJ278" s="95">
        <f>IF(H278="","",IF(AH278&lt;&gt;"","Đã thanh lý",IF(AND(N278&lt;&gt;"",N278&gt;'THAM SO'!$B$8),"Chưa hiệu lực",IF(O278="","Đang thực hiện",IF(O278&lt;'THAM SO'!$B$8,IF(P278="Có","Đã tự gia hạn – kiểm tra","Quá hạn – chưa thanh lý"),IF(O278-'THAM SO'!$B$8&lt;='THAM SO'!$B$9,"Sắp hết hạn","Đang thực hiện"))))))</f>
        <v/>
      </c>
      <c r="AK278" s="106">
        <f>IF(AND(O278="",AH278=""),"",EDATE(MAX(N(O278),N(AH278)),12*'THAM SO'!$B$12))</f>
        <v/>
      </c>
      <c r="AL278" s="110" t="n"/>
    </row>
    <row r="279" ht="15" customHeight="1" s="64">
      <c r="A279" s="93">
        <f>IF(H279="","",COUNTA($H$9:H279))</f>
        <v/>
      </c>
      <c r="B279" s="93">
        <f>IF(OR(D279="",G279=""),"",YEAR(G279)&amp;"/"&amp;D279&amp;"/"&amp;TEXT(SUMPRODUCT(($D$9:D279=D279)*(YEAR($G$9:G279)=YEAR(G279))),"000")&amp;"-"&amp;'THAM SO'!$B$7)</f>
        <v/>
      </c>
      <c r="C279" s="107" t="n"/>
      <c r="D279" s="107" t="n"/>
      <c r="E279" s="95">
        <f>IF(D279="","",IFERROR(VLOOKUP(D279,'THAM SO'!$D$6:$E$40,2,FALSE()),"Mã loại chưa khai báo"))</f>
        <v/>
      </c>
      <c r="F279" s="108" t="n"/>
      <c r="G279" s="109" t="n"/>
      <c r="H279" s="110" t="n"/>
      <c r="I279" s="108" t="n"/>
      <c r="J279" s="110" t="n"/>
      <c r="K279" s="108" t="n"/>
      <c r="L279" s="108" t="n"/>
      <c r="M279" s="108" t="n"/>
      <c r="N279" s="109" t="n"/>
      <c r="O279" s="109" t="n"/>
      <c r="P279" s="107" t="n"/>
      <c r="Q279" s="107" t="n"/>
      <c r="R279" s="111" t="n"/>
      <c r="S279" s="112" t="n"/>
      <c r="T279" s="113" t="n"/>
      <c r="U279" s="102">
        <f>IF(S279="","",ROUND(S279*N(T279),2))</f>
        <v/>
      </c>
      <c r="V279" s="102">
        <f>IF(S279="","",S279+U279)</f>
        <v/>
      </c>
      <c r="W279" s="103">
        <f>IF(V279="","",ROUND(V279*IF(OR(Q279="",Q279="VND"),1,R279),0))</f>
        <v/>
      </c>
      <c r="X279" s="111" t="n"/>
      <c r="Y279" s="103">
        <f>IF(W279="","",W279+N(X279))</f>
        <v/>
      </c>
      <c r="Z279" s="103">
        <f>IF(B279="","",SUMIFS('NHAT KY THANH TOAN'!$G:$G,'NHAT KY THANH TOAN'!$B:$B,B279,'NHAT KY THANH TOAN'!$D:$D,"Hóa đơn"))</f>
        <v/>
      </c>
      <c r="AA279" s="103">
        <f>IF(B279="","",SUMIFS('NHAT KY THANH TOAN'!$G:$G,'NHAT KY THANH TOAN'!$B:$B,B279,'NHAT KY THANH TOAN'!$D:$D,"Thanh toán"))</f>
        <v/>
      </c>
      <c r="AB279" s="103">
        <f>IF(Y279="","",Y279-N(AA279))</f>
        <v/>
      </c>
      <c r="AC279" s="103">
        <f>IF(B279="","",N(Z279)-N(AA279))</f>
        <v/>
      </c>
      <c r="AD279" s="104">
        <f>IF(N(Y279)=0,"",N(AA279)/Y279)</f>
        <v/>
      </c>
      <c r="AE279" s="107" t="n"/>
      <c r="AF279" s="95">
        <f>IF(H279="","",TRIM(IF(AND(N(Y279)&gt;='THAM SO'!$B$10,AE279&lt;&gt;"Có"),"Chưa rà soát pháp lý; ","")&amp;IF(I279="","Thiếu MST đối tác; ","")&amp;IF(AG279="","Chưa ghi nơi lưu bản gốc; ","")&amp;IF(COUNTIFS('NHAT KY THANH TOAN'!$B:$B,B279,'NHAT KY THANH TOAN'!$D:$D,"Thanh toán",'NHAT KY THANH TOAN'!$F:$F,"Tiền mặt",'NHAT KY THANH TOAN'!$G:$G,"&gt;="&amp;'THAM SO'!$B$11)&gt;0,"Có khoản TT tiền mặt ≥ ngưỡng; ","")&amp;IF(AND(AB279&lt;&gt;"",N(AB279)&lt;0),"Thanh toán vượt giá trị HĐ; ","")))</f>
        <v/>
      </c>
      <c r="AG279" s="108" t="n"/>
      <c r="AH279" s="109" t="n"/>
      <c r="AI279" s="105">
        <f>IF(OR(H279="",O279="",AH279&lt;&gt;""),"",O279-'THAM SO'!$B$8)</f>
        <v/>
      </c>
      <c r="AJ279" s="95">
        <f>IF(H279="","",IF(AH279&lt;&gt;"","Đã thanh lý",IF(AND(N279&lt;&gt;"",N279&gt;'THAM SO'!$B$8),"Chưa hiệu lực",IF(O279="","Đang thực hiện",IF(O279&lt;'THAM SO'!$B$8,IF(P279="Có","Đã tự gia hạn – kiểm tra","Quá hạn – chưa thanh lý"),IF(O279-'THAM SO'!$B$8&lt;='THAM SO'!$B$9,"Sắp hết hạn","Đang thực hiện"))))))</f>
        <v/>
      </c>
      <c r="AK279" s="106">
        <f>IF(AND(O279="",AH279=""),"",EDATE(MAX(N(O279),N(AH279)),12*'THAM SO'!$B$12))</f>
        <v/>
      </c>
      <c r="AL279" s="110" t="n"/>
    </row>
    <row r="280" ht="15" customHeight="1" s="64">
      <c r="A280" s="93">
        <f>IF(H280="","",COUNTA($H$9:H280))</f>
        <v/>
      </c>
      <c r="B280" s="93">
        <f>IF(OR(D280="",G280=""),"",YEAR(G280)&amp;"/"&amp;D280&amp;"/"&amp;TEXT(SUMPRODUCT(($D$9:D280=D280)*(YEAR($G$9:G280)=YEAR(G280))),"000")&amp;"-"&amp;'THAM SO'!$B$7)</f>
        <v/>
      </c>
      <c r="C280" s="107" t="n"/>
      <c r="D280" s="107" t="n"/>
      <c r="E280" s="95">
        <f>IF(D280="","",IFERROR(VLOOKUP(D280,'THAM SO'!$D$6:$E$40,2,FALSE()),"Mã loại chưa khai báo"))</f>
        <v/>
      </c>
      <c r="F280" s="108" t="n"/>
      <c r="G280" s="109" t="n"/>
      <c r="H280" s="110" t="n"/>
      <c r="I280" s="108" t="n"/>
      <c r="J280" s="110" t="n"/>
      <c r="K280" s="108" t="n"/>
      <c r="L280" s="108" t="n"/>
      <c r="M280" s="108" t="n"/>
      <c r="N280" s="109" t="n"/>
      <c r="O280" s="109" t="n"/>
      <c r="P280" s="107" t="n"/>
      <c r="Q280" s="107" t="n"/>
      <c r="R280" s="111" t="n"/>
      <c r="S280" s="112" t="n"/>
      <c r="T280" s="113" t="n"/>
      <c r="U280" s="102">
        <f>IF(S280="","",ROUND(S280*N(T280),2))</f>
        <v/>
      </c>
      <c r="V280" s="102">
        <f>IF(S280="","",S280+U280)</f>
        <v/>
      </c>
      <c r="W280" s="103">
        <f>IF(V280="","",ROUND(V280*IF(OR(Q280="",Q280="VND"),1,R280),0))</f>
        <v/>
      </c>
      <c r="X280" s="111" t="n"/>
      <c r="Y280" s="103">
        <f>IF(W280="","",W280+N(X280))</f>
        <v/>
      </c>
      <c r="Z280" s="103">
        <f>IF(B280="","",SUMIFS('NHAT KY THANH TOAN'!$G:$G,'NHAT KY THANH TOAN'!$B:$B,B280,'NHAT KY THANH TOAN'!$D:$D,"Hóa đơn"))</f>
        <v/>
      </c>
      <c r="AA280" s="103">
        <f>IF(B280="","",SUMIFS('NHAT KY THANH TOAN'!$G:$G,'NHAT KY THANH TOAN'!$B:$B,B280,'NHAT KY THANH TOAN'!$D:$D,"Thanh toán"))</f>
        <v/>
      </c>
      <c r="AB280" s="103">
        <f>IF(Y280="","",Y280-N(AA280))</f>
        <v/>
      </c>
      <c r="AC280" s="103">
        <f>IF(B280="","",N(Z280)-N(AA280))</f>
        <v/>
      </c>
      <c r="AD280" s="104">
        <f>IF(N(Y280)=0,"",N(AA280)/Y280)</f>
        <v/>
      </c>
      <c r="AE280" s="107" t="n"/>
      <c r="AF280" s="95">
        <f>IF(H280="","",TRIM(IF(AND(N(Y280)&gt;='THAM SO'!$B$10,AE280&lt;&gt;"Có"),"Chưa rà soát pháp lý; ","")&amp;IF(I280="","Thiếu MST đối tác; ","")&amp;IF(AG280="","Chưa ghi nơi lưu bản gốc; ","")&amp;IF(COUNTIFS('NHAT KY THANH TOAN'!$B:$B,B280,'NHAT KY THANH TOAN'!$D:$D,"Thanh toán",'NHAT KY THANH TOAN'!$F:$F,"Tiền mặt",'NHAT KY THANH TOAN'!$G:$G,"&gt;="&amp;'THAM SO'!$B$11)&gt;0,"Có khoản TT tiền mặt ≥ ngưỡng; ","")&amp;IF(AND(AB280&lt;&gt;"",N(AB280)&lt;0),"Thanh toán vượt giá trị HĐ; ","")))</f>
        <v/>
      </c>
      <c r="AG280" s="108" t="n"/>
      <c r="AH280" s="109" t="n"/>
      <c r="AI280" s="105">
        <f>IF(OR(H280="",O280="",AH280&lt;&gt;""),"",O280-'THAM SO'!$B$8)</f>
        <v/>
      </c>
      <c r="AJ280" s="95">
        <f>IF(H280="","",IF(AH280&lt;&gt;"","Đã thanh lý",IF(AND(N280&lt;&gt;"",N280&gt;'THAM SO'!$B$8),"Chưa hiệu lực",IF(O280="","Đang thực hiện",IF(O280&lt;'THAM SO'!$B$8,IF(P280="Có","Đã tự gia hạn – kiểm tra","Quá hạn – chưa thanh lý"),IF(O280-'THAM SO'!$B$8&lt;='THAM SO'!$B$9,"Sắp hết hạn","Đang thực hiện"))))))</f>
        <v/>
      </c>
      <c r="AK280" s="106">
        <f>IF(AND(O280="",AH280=""),"",EDATE(MAX(N(O280),N(AH280)),12*'THAM SO'!$B$12))</f>
        <v/>
      </c>
      <c r="AL280" s="110" t="n"/>
    </row>
    <row r="281" ht="15" customHeight="1" s="64">
      <c r="A281" s="93">
        <f>IF(H281="","",COUNTA($H$9:H281))</f>
        <v/>
      </c>
      <c r="B281" s="93">
        <f>IF(OR(D281="",G281=""),"",YEAR(G281)&amp;"/"&amp;D281&amp;"/"&amp;TEXT(SUMPRODUCT(($D$9:D281=D281)*(YEAR($G$9:G281)=YEAR(G281))),"000")&amp;"-"&amp;'THAM SO'!$B$7)</f>
        <v/>
      </c>
      <c r="C281" s="107" t="n"/>
      <c r="D281" s="107" t="n"/>
      <c r="E281" s="95">
        <f>IF(D281="","",IFERROR(VLOOKUP(D281,'THAM SO'!$D$6:$E$40,2,FALSE()),"Mã loại chưa khai báo"))</f>
        <v/>
      </c>
      <c r="F281" s="108" t="n"/>
      <c r="G281" s="109" t="n"/>
      <c r="H281" s="110" t="n"/>
      <c r="I281" s="108" t="n"/>
      <c r="J281" s="110" t="n"/>
      <c r="K281" s="108" t="n"/>
      <c r="L281" s="108" t="n"/>
      <c r="M281" s="108" t="n"/>
      <c r="N281" s="109" t="n"/>
      <c r="O281" s="109" t="n"/>
      <c r="P281" s="107" t="n"/>
      <c r="Q281" s="107" t="n"/>
      <c r="R281" s="111" t="n"/>
      <c r="S281" s="112" t="n"/>
      <c r="T281" s="113" t="n"/>
      <c r="U281" s="102">
        <f>IF(S281="","",ROUND(S281*N(T281),2))</f>
        <v/>
      </c>
      <c r="V281" s="102">
        <f>IF(S281="","",S281+U281)</f>
        <v/>
      </c>
      <c r="W281" s="103">
        <f>IF(V281="","",ROUND(V281*IF(OR(Q281="",Q281="VND"),1,R281),0))</f>
        <v/>
      </c>
      <c r="X281" s="111" t="n"/>
      <c r="Y281" s="103">
        <f>IF(W281="","",W281+N(X281))</f>
        <v/>
      </c>
      <c r="Z281" s="103">
        <f>IF(B281="","",SUMIFS('NHAT KY THANH TOAN'!$G:$G,'NHAT KY THANH TOAN'!$B:$B,B281,'NHAT KY THANH TOAN'!$D:$D,"Hóa đơn"))</f>
        <v/>
      </c>
      <c r="AA281" s="103">
        <f>IF(B281="","",SUMIFS('NHAT KY THANH TOAN'!$G:$G,'NHAT KY THANH TOAN'!$B:$B,B281,'NHAT KY THANH TOAN'!$D:$D,"Thanh toán"))</f>
        <v/>
      </c>
      <c r="AB281" s="103">
        <f>IF(Y281="","",Y281-N(AA281))</f>
        <v/>
      </c>
      <c r="AC281" s="103">
        <f>IF(B281="","",N(Z281)-N(AA281))</f>
        <v/>
      </c>
      <c r="AD281" s="104">
        <f>IF(N(Y281)=0,"",N(AA281)/Y281)</f>
        <v/>
      </c>
      <c r="AE281" s="107" t="n"/>
      <c r="AF281" s="95">
        <f>IF(H281="","",TRIM(IF(AND(N(Y281)&gt;='THAM SO'!$B$10,AE281&lt;&gt;"Có"),"Chưa rà soát pháp lý; ","")&amp;IF(I281="","Thiếu MST đối tác; ","")&amp;IF(AG281="","Chưa ghi nơi lưu bản gốc; ","")&amp;IF(COUNTIFS('NHAT KY THANH TOAN'!$B:$B,B281,'NHAT KY THANH TOAN'!$D:$D,"Thanh toán",'NHAT KY THANH TOAN'!$F:$F,"Tiền mặt",'NHAT KY THANH TOAN'!$G:$G,"&gt;="&amp;'THAM SO'!$B$11)&gt;0,"Có khoản TT tiền mặt ≥ ngưỡng; ","")&amp;IF(AND(AB281&lt;&gt;"",N(AB281)&lt;0),"Thanh toán vượt giá trị HĐ; ","")))</f>
        <v/>
      </c>
      <c r="AG281" s="108" t="n"/>
      <c r="AH281" s="109" t="n"/>
      <c r="AI281" s="105">
        <f>IF(OR(H281="",O281="",AH281&lt;&gt;""),"",O281-'THAM SO'!$B$8)</f>
        <v/>
      </c>
      <c r="AJ281" s="95">
        <f>IF(H281="","",IF(AH281&lt;&gt;"","Đã thanh lý",IF(AND(N281&lt;&gt;"",N281&gt;'THAM SO'!$B$8),"Chưa hiệu lực",IF(O281="","Đang thực hiện",IF(O281&lt;'THAM SO'!$B$8,IF(P281="Có","Đã tự gia hạn – kiểm tra","Quá hạn – chưa thanh lý"),IF(O281-'THAM SO'!$B$8&lt;='THAM SO'!$B$9,"Sắp hết hạn","Đang thực hiện"))))))</f>
        <v/>
      </c>
      <c r="AK281" s="106">
        <f>IF(AND(O281="",AH281=""),"",EDATE(MAX(N(O281),N(AH281)),12*'THAM SO'!$B$12))</f>
        <v/>
      </c>
      <c r="AL281" s="110" t="n"/>
    </row>
    <row r="282" ht="15" customHeight="1" s="64">
      <c r="A282" s="93">
        <f>IF(H282="","",COUNTA($H$9:H282))</f>
        <v/>
      </c>
      <c r="B282" s="93">
        <f>IF(OR(D282="",G282=""),"",YEAR(G282)&amp;"/"&amp;D282&amp;"/"&amp;TEXT(SUMPRODUCT(($D$9:D282=D282)*(YEAR($G$9:G282)=YEAR(G282))),"000")&amp;"-"&amp;'THAM SO'!$B$7)</f>
        <v/>
      </c>
      <c r="C282" s="107" t="n"/>
      <c r="D282" s="107" t="n"/>
      <c r="E282" s="95">
        <f>IF(D282="","",IFERROR(VLOOKUP(D282,'THAM SO'!$D$6:$E$40,2,FALSE()),"Mã loại chưa khai báo"))</f>
        <v/>
      </c>
      <c r="F282" s="108" t="n"/>
      <c r="G282" s="109" t="n"/>
      <c r="H282" s="110" t="n"/>
      <c r="I282" s="108" t="n"/>
      <c r="J282" s="110" t="n"/>
      <c r="K282" s="108" t="n"/>
      <c r="L282" s="108" t="n"/>
      <c r="M282" s="108" t="n"/>
      <c r="N282" s="109" t="n"/>
      <c r="O282" s="109" t="n"/>
      <c r="P282" s="107" t="n"/>
      <c r="Q282" s="107" t="n"/>
      <c r="R282" s="111" t="n"/>
      <c r="S282" s="112" t="n"/>
      <c r="T282" s="113" t="n"/>
      <c r="U282" s="102">
        <f>IF(S282="","",ROUND(S282*N(T282),2))</f>
        <v/>
      </c>
      <c r="V282" s="102">
        <f>IF(S282="","",S282+U282)</f>
        <v/>
      </c>
      <c r="W282" s="103">
        <f>IF(V282="","",ROUND(V282*IF(OR(Q282="",Q282="VND"),1,R282),0))</f>
        <v/>
      </c>
      <c r="X282" s="111" t="n"/>
      <c r="Y282" s="103">
        <f>IF(W282="","",W282+N(X282))</f>
        <v/>
      </c>
      <c r="Z282" s="103">
        <f>IF(B282="","",SUMIFS('NHAT KY THANH TOAN'!$G:$G,'NHAT KY THANH TOAN'!$B:$B,B282,'NHAT KY THANH TOAN'!$D:$D,"Hóa đơn"))</f>
        <v/>
      </c>
      <c r="AA282" s="103">
        <f>IF(B282="","",SUMIFS('NHAT KY THANH TOAN'!$G:$G,'NHAT KY THANH TOAN'!$B:$B,B282,'NHAT KY THANH TOAN'!$D:$D,"Thanh toán"))</f>
        <v/>
      </c>
      <c r="AB282" s="103">
        <f>IF(Y282="","",Y282-N(AA282))</f>
        <v/>
      </c>
      <c r="AC282" s="103">
        <f>IF(B282="","",N(Z282)-N(AA282))</f>
        <v/>
      </c>
      <c r="AD282" s="104">
        <f>IF(N(Y282)=0,"",N(AA282)/Y282)</f>
        <v/>
      </c>
      <c r="AE282" s="107" t="n"/>
      <c r="AF282" s="95">
        <f>IF(H282="","",TRIM(IF(AND(N(Y282)&gt;='THAM SO'!$B$10,AE282&lt;&gt;"Có"),"Chưa rà soát pháp lý; ","")&amp;IF(I282="","Thiếu MST đối tác; ","")&amp;IF(AG282="","Chưa ghi nơi lưu bản gốc; ","")&amp;IF(COUNTIFS('NHAT KY THANH TOAN'!$B:$B,B282,'NHAT KY THANH TOAN'!$D:$D,"Thanh toán",'NHAT KY THANH TOAN'!$F:$F,"Tiền mặt",'NHAT KY THANH TOAN'!$G:$G,"&gt;="&amp;'THAM SO'!$B$11)&gt;0,"Có khoản TT tiền mặt ≥ ngưỡng; ","")&amp;IF(AND(AB282&lt;&gt;"",N(AB282)&lt;0),"Thanh toán vượt giá trị HĐ; ","")))</f>
        <v/>
      </c>
      <c r="AG282" s="108" t="n"/>
      <c r="AH282" s="109" t="n"/>
      <c r="AI282" s="105">
        <f>IF(OR(H282="",O282="",AH282&lt;&gt;""),"",O282-'THAM SO'!$B$8)</f>
        <v/>
      </c>
      <c r="AJ282" s="95">
        <f>IF(H282="","",IF(AH282&lt;&gt;"","Đã thanh lý",IF(AND(N282&lt;&gt;"",N282&gt;'THAM SO'!$B$8),"Chưa hiệu lực",IF(O282="","Đang thực hiện",IF(O282&lt;'THAM SO'!$B$8,IF(P282="Có","Đã tự gia hạn – kiểm tra","Quá hạn – chưa thanh lý"),IF(O282-'THAM SO'!$B$8&lt;='THAM SO'!$B$9,"Sắp hết hạn","Đang thực hiện"))))))</f>
        <v/>
      </c>
      <c r="AK282" s="106">
        <f>IF(AND(O282="",AH282=""),"",EDATE(MAX(N(O282),N(AH282)),12*'THAM SO'!$B$12))</f>
        <v/>
      </c>
      <c r="AL282" s="110" t="n"/>
    </row>
    <row r="283" ht="15" customHeight="1" s="64">
      <c r="A283" s="93">
        <f>IF(H283="","",COUNTA($H$9:H283))</f>
        <v/>
      </c>
      <c r="B283" s="93">
        <f>IF(OR(D283="",G283=""),"",YEAR(G283)&amp;"/"&amp;D283&amp;"/"&amp;TEXT(SUMPRODUCT(($D$9:D283=D283)*(YEAR($G$9:G283)=YEAR(G283))),"000")&amp;"-"&amp;'THAM SO'!$B$7)</f>
        <v/>
      </c>
      <c r="C283" s="107" t="n"/>
      <c r="D283" s="107" t="n"/>
      <c r="E283" s="95">
        <f>IF(D283="","",IFERROR(VLOOKUP(D283,'THAM SO'!$D$6:$E$40,2,FALSE()),"Mã loại chưa khai báo"))</f>
        <v/>
      </c>
      <c r="F283" s="108" t="n"/>
      <c r="G283" s="109" t="n"/>
      <c r="H283" s="110" t="n"/>
      <c r="I283" s="108" t="n"/>
      <c r="J283" s="110" t="n"/>
      <c r="K283" s="108" t="n"/>
      <c r="L283" s="108" t="n"/>
      <c r="M283" s="108" t="n"/>
      <c r="N283" s="109" t="n"/>
      <c r="O283" s="109" t="n"/>
      <c r="P283" s="107" t="n"/>
      <c r="Q283" s="107" t="n"/>
      <c r="R283" s="111" t="n"/>
      <c r="S283" s="112" t="n"/>
      <c r="T283" s="113" t="n"/>
      <c r="U283" s="102">
        <f>IF(S283="","",ROUND(S283*N(T283),2))</f>
        <v/>
      </c>
      <c r="V283" s="102">
        <f>IF(S283="","",S283+U283)</f>
        <v/>
      </c>
      <c r="W283" s="103">
        <f>IF(V283="","",ROUND(V283*IF(OR(Q283="",Q283="VND"),1,R283),0))</f>
        <v/>
      </c>
      <c r="X283" s="111" t="n"/>
      <c r="Y283" s="103">
        <f>IF(W283="","",W283+N(X283))</f>
        <v/>
      </c>
      <c r="Z283" s="103">
        <f>IF(B283="","",SUMIFS('NHAT KY THANH TOAN'!$G:$G,'NHAT KY THANH TOAN'!$B:$B,B283,'NHAT KY THANH TOAN'!$D:$D,"Hóa đơn"))</f>
        <v/>
      </c>
      <c r="AA283" s="103">
        <f>IF(B283="","",SUMIFS('NHAT KY THANH TOAN'!$G:$G,'NHAT KY THANH TOAN'!$B:$B,B283,'NHAT KY THANH TOAN'!$D:$D,"Thanh toán"))</f>
        <v/>
      </c>
      <c r="AB283" s="103">
        <f>IF(Y283="","",Y283-N(AA283))</f>
        <v/>
      </c>
      <c r="AC283" s="103">
        <f>IF(B283="","",N(Z283)-N(AA283))</f>
        <v/>
      </c>
      <c r="AD283" s="104">
        <f>IF(N(Y283)=0,"",N(AA283)/Y283)</f>
        <v/>
      </c>
      <c r="AE283" s="107" t="n"/>
      <c r="AF283" s="95">
        <f>IF(H283="","",TRIM(IF(AND(N(Y283)&gt;='THAM SO'!$B$10,AE283&lt;&gt;"Có"),"Chưa rà soát pháp lý; ","")&amp;IF(I283="","Thiếu MST đối tác; ","")&amp;IF(AG283="","Chưa ghi nơi lưu bản gốc; ","")&amp;IF(COUNTIFS('NHAT KY THANH TOAN'!$B:$B,B283,'NHAT KY THANH TOAN'!$D:$D,"Thanh toán",'NHAT KY THANH TOAN'!$F:$F,"Tiền mặt",'NHAT KY THANH TOAN'!$G:$G,"&gt;="&amp;'THAM SO'!$B$11)&gt;0,"Có khoản TT tiền mặt ≥ ngưỡng; ","")&amp;IF(AND(AB283&lt;&gt;"",N(AB283)&lt;0),"Thanh toán vượt giá trị HĐ; ","")))</f>
        <v/>
      </c>
      <c r="AG283" s="108" t="n"/>
      <c r="AH283" s="109" t="n"/>
      <c r="AI283" s="105">
        <f>IF(OR(H283="",O283="",AH283&lt;&gt;""),"",O283-'THAM SO'!$B$8)</f>
        <v/>
      </c>
      <c r="AJ283" s="95">
        <f>IF(H283="","",IF(AH283&lt;&gt;"","Đã thanh lý",IF(AND(N283&lt;&gt;"",N283&gt;'THAM SO'!$B$8),"Chưa hiệu lực",IF(O283="","Đang thực hiện",IF(O283&lt;'THAM SO'!$B$8,IF(P283="Có","Đã tự gia hạn – kiểm tra","Quá hạn – chưa thanh lý"),IF(O283-'THAM SO'!$B$8&lt;='THAM SO'!$B$9,"Sắp hết hạn","Đang thực hiện"))))))</f>
        <v/>
      </c>
      <c r="AK283" s="106">
        <f>IF(AND(O283="",AH283=""),"",EDATE(MAX(N(O283),N(AH283)),12*'THAM SO'!$B$12))</f>
        <v/>
      </c>
      <c r="AL283" s="110" t="n"/>
    </row>
    <row r="284" ht="15" customHeight="1" s="64">
      <c r="A284" s="93">
        <f>IF(H284="","",COUNTA($H$9:H284))</f>
        <v/>
      </c>
      <c r="B284" s="93">
        <f>IF(OR(D284="",G284=""),"",YEAR(G284)&amp;"/"&amp;D284&amp;"/"&amp;TEXT(SUMPRODUCT(($D$9:D284=D284)*(YEAR($G$9:G284)=YEAR(G284))),"000")&amp;"-"&amp;'THAM SO'!$B$7)</f>
        <v/>
      </c>
      <c r="C284" s="107" t="n"/>
      <c r="D284" s="107" t="n"/>
      <c r="E284" s="95">
        <f>IF(D284="","",IFERROR(VLOOKUP(D284,'THAM SO'!$D$6:$E$40,2,FALSE()),"Mã loại chưa khai báo"))</f>
        <v/>
      </c>
      <c r="F284" s="108" t="n"/>
      <c r="G284" s="109" t="n"/>
      <c r="H284" s="110" t="n"/>
      <c r="I284" s="108" t="n"/>
      <c r="J284" s="110" t="n"/>
      <c r="K284" s="108" t="n"/>
      <c r="L284" s="108" t="n"/>
      <c r="M284" s="108" t="n"/>
      <c r="N284" s="109" t="n"/>
      <c r="O284" s="109" t="n"/>
      <c r="P284" s="107" t="n"/>
      <c r="Q284" s="107" t="n"/>
      <c r="R284" s="111" t="n"/>
      <c r="S284" s="112" t="n"/>
      <c r="T284" s="113" t="n"/>
      <c r="U284" s="102">
        <f>IF(S284="","",ROUND(S284*N(T284),2))</f>
        <v/>
      </c>
      <c r="V284" s="102">
        <f>IF(S284="","",S284+U284)</f>
        <v/>
      </c>
      <c r="W284" s="103">
        <f>IF(V284="","",ROUND(V284*IF(OR(Q284="",Q284="VND"),1,R284),0))</f>
        <v/>
      </c>
      <c r="X284" s="111" t="n"/>
      <c r="Y284" s="103">
        <f>IF(W284="","",W284+N(X284))</f>
        <v/>
      </c>
      <c r="Z284" s="103">
        <f>IF(B284="","",SUMIFS('NHAT KY THANH TOAN'!$G:$G,'NHAT KY THANH TOAN'!$B:$B,B284,'NHAT KY THANH TOAN'!$D:$D,"Hóa đơn"))</f>
        <v/>
      </c>
      <c r="AA284" s="103">
        <f>IF(B284="","",SUMIFS('NHAT KY THANH TOAN'!$G:$G,'NHAT KY THANH TOAN'!$B:$B,B284,'NHAT KY THANH TOAN'!$D:$D,"Thanh toán"))</f>
        <v/>
      </c>
      <c r="AB284" s="103">
        <f>IF(Y284="","",Y284-N(AA284))</f>
        <v/>
      </c>
      <c r="AC284" s="103">
        <f>IF(B284="","",N(Z284)-N(AA284))</f>
        <v/>
      </c>
      <c r="AD284" s="104">
        <f>IF(N(Y284)=0,"",N(AA284)/Y284)</f>
        <v/>
      </c>
      <c r="AE284" s="107" t="n"/>
      <c r="AF284" s="95">
        <f>IF(H284="","",TRIM(IF(AND(N(Y284)&gt;='THAM SO'!$B$10,AE284&lt;&gt;"Có"),"Chưa rà soát pháp lý; ","")&amp;IF(I284="","Thiếu MST đối tác; ","")&amp;IF(AG284="","Chưa ghi nơi lưu bản gốc; ","")&amp;IF(COUNTIFS('NHAT KY THANH TOAN'!$B:$B,B284,'NHAT KY THANH TOAN'!$D:$D,"Thanh toán",'NHAT KY THANH TOAN'!$F:$F,"Tiền mặt",'NHAT KY THANH TOAN'!$G:$G,"&gt;="&amp;'THAM SO'!$B$11)&gt;0,"Có khoản TT tiền mặt ≥ ngưỡng; ","")&amp;IF(AND(AB284&lt;&gt;"",N(AB284)&lt;0),"Thanh toán vượt giá trị HĐ; ","")))</f>
        <v/>
      </c>
      <c r="AG284" s="108" t="n"/>
      <c r="AH284" s="109" t="n"/>
      <c r="AI284" s="105">
        <f>IF(OR(H284="",O284="",AH284&lt;&gt;""),"",O284-'THAM SO'!$B$8)</f>
        <v/>
      </c>
      <c r="AJ284" s="95">
        <f>IF(H284="","",IF(AH284&lt;&gt;"","Đã thanh lý",IF(AND(N284&lt;&gt;"",N284&gt;'THAM SO'!$B$8),"Chưa hiệu lực",IF(O284="","Đang thực hiện",IF(O284&lt;'THAM SO'!$B$8,IF(P284="Có","Đã tự gia hạn – kiểm tra","Quá hạn – chưa thanh lý"),IF(O284-'THAM SO'!$B$8&lt;='THAM SO'!$B$9,"Sắp hết hạn","Đang thực hiện"))))))</f>
        <v/>
      </c>
      <c r="AK284" s="106">
        <f>IF(AND(O284="",AH284=""),"",EDATE(MAX(N(O284),N(AH284)),12*'THAM SO'!$B$12))</f>
        <v/>
      </c>
      <c r="AL284" s="110" t="n"/>
    </row>
    <row r="285" ht="15" customHeight="1" s="64">
      <c r="A285" s="93">
        <f>IF(H285="","",COUNTA($H$9:H285))</f>
        <v/>
      </c>
      <c r="B285" s="93">
        <f>IF(OR(D285="",G285=""),"",YEAR(G285)&amp;"/"&amp;D285&amp;"/"&amp;TEXT(SUMPRODUCT(($D$9:D285=D285)*(YEAR($G$9:G285)=YEAR(G285))),"000")&amp;"-"&amp;'THAM SO'!$B$7)</f>
        <v/>
      </c>
      <c r="C285" s="107" t="n"/>
      <c r="D285" s="107" t="n"/>
      <c r="E285" s="95">
        <f>IF(D285="","",IFERROR(VLOOKUP(D285,'THAM SO'!$D$6:$E$40,2,FALSE()),"Mã loại chưa khai báo"))</f>
        <v/>
      </c>
      <c r="F285" s="108" t="n"/>
      <c r="G285" s="109" t="n"/>
      <c r="H285" s="110" t="n"/>
      <c r="I285" s="108" t="n"/>
      <c r="J285" s="110" t="n"/>
      <c r="K285" s="108" t="n"/>
      <c r="L285" s="108" t="n"/>
      <c r="M285" s="108" t="n"/>
      <c r="N285" s="109" t="n"/>
      <c r="O285" s="109" t="n"/>
      <c r="P285" s="107" t="n"/>
      <c r="Q285" s="107" t="n"/>
      <c r="R285" s="111" t="n"/>
      <c r="S285" s="112" t="n"/>
      <c r="T285" s="113" t="n"/>
      <c r="U285" s="102">
        <f>IF(S285="","",ROUND(S285*N(T285),2))</f>
        <v/>
      </c>
      <c r="V285" s="102">
        <f>IF(S285="","",S285+U285)</f>
        <v/>
      </c>
      <c r="W285" s="103">
        <f>IF(V285="","",ROUND(V285*IF(OR(Q285="",Q285="VND"),1,R285),0))</f>
        <v/>
      </c>
      <c r="X285" s="111" t="n"/>
      <c r="Y285" s="103">
        <f>IF(W285="","",W285+N(X285))</f>
        <v/>
      </c>
      <c r="Z285" s="103">
        <f>IF(B285="","",SUMIFS('NHAT KY THANH TOAN'!$G:$G,'NHAT KY THANH TOAN'!$B:$B,B285,'NHAT KY THANH TOAN'!$D:$D,"Hóa đơn"))</f>
        <v/>
      </c>
      <c r="AA285" s="103">
        <f>IF(B285="","",SUMIFS('NHAT KY THANH TOAN'!$G:$G,'NHAT KY THANH TOAN'!$B:$B,B285,'NHAT KY THANH TOAN'!$D:$D,"Thanh toán"))</f>
        <v/>
      </c>
      <c r="AB285" s="103">
        <f>IF(Y285="","",Y285-N(AA285))</f>
        <v/>
      </c>
      <c r="AC285" s="103">
        <f>IF(B285="","",N(Z285)-N(AA285))</f>
        <v/>
      </c>
      <c r="AD285" s="104">
        <f>IF(N(Y285)=0,"",N(AA285)/Y285)</f>
        <v/>
      </c>
      <c r="AE285" s="107" t="n"/>
      <c r="AF285" s="95">
        <f>IF(H285="","",TRIM(IF(AND(N(Y285)&gt;='THAM SO'!$B$10,AE285&lt;&gt;"Có"),"Chưa rà soát pháp lý; ","")&amp;IF(I285="","Thiếu MST đối tác; ","")&amp;IF(AG285="","Chưa ghi nơi lưu bản gốc; ","")&amp;IF(COUNTIFS('NHAT KY THANH TOAN'!$B:$B,B285,'NHAT KY THANH TOAN'!$D:$D,"Thanh toán",'NHAT KY THANH TOAN'!$F:$F,"Tiền mặt",'NHAT KY THANH TOAN'!$G:$G,"&gt;="&amp;'THAM SO'!$B$11)&gt;0,"Có khoản TT tiền mặt ≥ ngưỡng; ","")&amp;IF(AND(AB285&lt;&gt;"",N(AB285)&lt;0),"Thanh toán vượt giá trị HĐ; ","")))</f>
        <v/>
      </c>
      <c r="AG285" s="108" t="n"/>
      <c r="AH285" s="109" t="n"/>
      <c r="AI285" s="105">
        <f>IF(OR(H285="",O285="",AH285&lt;&gt;""),"",O285-'THAM SO'!$B$8)</f>
        <v/>
      </c>
      <c r="AJ285" s="95">
        <f>IF(H285="","",IF(AH285&lt;&gt;"","Đã thanh lý",IF(AND(N285&lt;&gt;"",N285&gt;'THAM SO'!$B$8),"Chưa hiệu lực",IF(O285="","Đang thực hiện",IF(O285&lt;'THAM SO'!$B$8,IF(P285="Có","Đã tự gia hạn – kiểm tra","Quá hạn – chưa thanh lý"),IF(O285-'THAM SO'!$B$8&lt;='THAM SO'!$B$9,"Sắp hết hạn","Đang thực hiện"))))))</f>
        <v/>
      </c>
      <c r="AK285" s="106">
        <f>IF(AND(O285="",AH285=""),"",EDATE(MAX(N(O285),N(AH285)),12*'THAM SO'!$B$12))</f>
        <v/>
      </c>
      <c r="AL285" s="110" t="n"/>
    </row>
    <row r="286" ht="15" customHeight="1" s="64">
      <c r="A286" s="93">
        <f>IF(H286="","",COUNTA($H$9:H286))</f>
        <v/>
      </c>
      <c r="B286" s="93">
        <f>IF(OR(D286="",G286=""),"",YEAR(G286)&amp;"/"&amp;D286&amp;"/"&amp;TEXT(SUMPRODUCT(($D$9:D286=D286)*(YEAR($G$9:G286)=YEAR(G286))),"000")&amp;"-"&amp;'THAM SO'!$B$7)</f>
        <v/>
      </c>
      <c r="C286" s="107" t="n"/>
      <c r="D286" s="107" t="n"/>
      <c r="E286" s="95">
        <f>IF(D286="","",IFERROR(VLOOKUP(D286,'THAM SO'!$D$6:$E$40,2,FALSE()),"Mã loại chưa khai báo"))</f>
        <v/>
      </c>
      <c r="F286" s="108" t="n"/>
      <c r="G286" s="109" t="n"/>
      <c r="H286" s="110" t="n"/>
      <c r="I286" s="108" t="n"/>
      <c r="J286" s="110" t="n"/>
      <c r="K286" s="108" t="n"/>
      <c r="L286" s="108" t="n"/>
      <c r="M286" s="108" t="n"/>
      <c r="N286" s="109" t="n"/>
      <c r="O286" s="109" t="n"/>
      <c r="P286" s="107" t="n"/>
      <c r="Q286" s="107" t="n"/>
      <c r="R286" s="111" t="n"/>
      <c r="S286" s="112" t="n"/>
      <c r="T286" s="113" t="n"/>
      <c r="U286" s="102">
        <f>IF(S286="","",ROUND(S286*N(T286),2))</f>
        <v/>
      </c>
      <c r="V286" s="102">
        <f>IF(S286="","",S286+U286)</f>
        <v/>
      </c>
      <c r="W286" s="103">
        <f>IF(V286="","",ROUND(V286*IF(OR(Q286="",Q286="VND"),1,R286),0))</f>
        <v/>
      </c>
      <c r="X286" s="111" t="n"/>
      <c r="Y286" s="103">
        <f>IF(W286="","",W286+N(X286))</f>
        <v/>
      </c>
      <c r="Z286" s="103">
        <f>IF(B286="","",SUMIFS('NHAT KY THANH TOAN'!$G:$G,'NHAT KY THANH TOAN'!$B:$B,B286,'NHAT KY THANH TOAN'!$D:$D,"Hóa đơn"))</f>
        <v/>
      </c>
      <c r="AA286" s="103">
        <f>IF(B286="","",SUMIFS('NHAT KY THANH TOAN'!$G:$G,'NHAT KY THANH TOAN'!$B:$B,B286,'NHAT KY THANH TOAN'!$D:$D,"Thanh toán"))</f>
        <v/>
      </c>
      <c r="AB286" s="103">
        <f>IF(Y286="","",Y286-N(AA286))</f>
        <v/>
      </c>
      <c r="AC286" s="103">
        <f>IF(B286="","",N(Z286)-N(AA286))</f>
        <v/>
      </c>
      <c r="AD286" s="104">
        <f>IF(N(Y286)=0,"",N(AA286)/Y286)</f>
        <v/>
      </c>
      <c r="AE286" s="107" t="n"/>
      <c r="AF286" s="95">
        <f>IF(H286="","",TRIM(IF(AND(N(Y286)&gt;='THAM SO'!$B$10,AE286&lt;&gt;"Có"),"Chưa rà soát pháp lý; ","")&amp;IF(I286="","Thiếu MST đối tác; ","")&amp;IF(AG286="","Chưa ghi nơi lưu bản gốc; ","")&amp;IF(COUNTIFS('NHAT KY THANH TOAN'!$B:$B,B286,'NHAT KY THANH TOAN'!$D:$D,"Thanh toán",'NHAT KY THANH TOAN'!$F:$F,"Tiền mặt",'NHAT KY THANH TOAN'!$G:$G,"&gt;="&amp;'THAM SO'!$B$11)&gt;0,"Có khoản TT tiền mặt ≥ ngưỡng; ","")&amp;IF(AND(AB286&lt;&gt;"",N(AB286)&lt;0),"Thanh toán vượt giá trị HĐ; ","")))</f>
        <v/>
      </c>
      <c r="AG286" s="108" t="n"/>
      <c r="AH286" s="109" t="n"/>
      <c r="AI286" s="105">
        <f>IF(OR(H286="",O286="",AH286&lt;&gt;""),"",O286-'THAM SO'!$B$8)</f>
        <v/>
      </c>
      <c r="AJ286" s="95">
        <f>IF(H286="","",IF(AH286&lt;&gt;"","Đã thanh lý",IF(AND(N286&lt;&gt;"",N286&gt;'THAM SO'!$B$8),"Chưa hiệu lực",IF(O286="","Đang thực hiện",IF(O286&lt;'THAM SO'!$B$8,IF(P286="Có","Đã tự gia hạn – kiểm tra","Quá hạn – chưa thanh lý"),IF(O286-'THAM SO'!$B$8&lt;='THAM SO'!$B$9,"Sắp hết hạn","Đang thực hiện"))))))</f>
        <v/>
      </c>
      <c r="AK286" s="106">
        <f>IF(AND(O286="",AH286=""),"",EDATE(MAX(N(O286),N(AH286)),12*'THAM SO'!$B$12))</f>
        <v/>
      </c>
      <c r="AL286" s="110" t="n"/>
    </row>
    <row r="287" ht="15" customHeight="1" s="64">
      <c r="A287" s="93">
        <f>IF(H287="","",COUNTA($H$9:H287))</f>
        <v/>
      </c>
      <c r="B287" s="93">
        <f>IF(OR(D287="",G287=""),"",YEAR(G287)&amp;"/"&amp;D287&amp;"/"&amp;TEXT(SUMPRODUCT(($D$9:D287=D287)*(YEAR($G$9:G287)=YEAR(G287))),"000")&amp;"-"&amp;'THAM SO'!$B$7)</f>
        <v/>
      </c>
      <c r="C287" s="107" t="n"/>
      <c r="D287" s="107" t="n"/>
      <c r="E287" s="95">
        <f>IF(D287="","",IFERROR(VLOOKUP(D287,'THAM SO'!$D$6:$E$40,2,FALSE()),"Mã loại chưa khai báo"))</f>
        <v/>
      </c>
      <c r="F287" s="108" t="n"/>
      <c r="G287" s="109" t="n"/>
      <c r="H287" s="110" t="n"/>
      <c r="I287" s="108" t="n"/>
      <c r="J287" s="110" t="n"/>
      <c r="K287" s="108" t="n"/>
      <c r="L287" s="108" t="n"/>
      <c r="M287" s="108" t="n"/>
      <c r="N287" s="109" t="n"/>
      <c r="O287" s="109" t="n"/>
      <c r="P287" s="107" t="n"/>
      <c r="Q287" s="107" t="n"/>
      <c r="R287" s="111" t="n"/>
      <c r="S287" s="112" t="n"/>
      <c r="T287" s="113" t="n"/>
      <c r="U287" s="102">
        <f>IF(S287="","",ROUND(S287*N(T287),2))</f>
        <v/>
      </c>
      <c r="V287" s="102">
        <f>IF(S287="","",S287+U287)</f>
        <v/>
      </c>
      <c r="W287" s="103">
        <f>IF(V287="","",ROUND(V287*IF(OR(Q287="",Q287="VND"),1,R287),0))</f>
        <v/>
      </c>
      <c r="X287" s="111" t="n"/>
      <c r="Y287" s="103">
        <f>IF(W287="","",W287+N(X287))</f>
        <v/>
      </c>
      <c r="Z287" s="103">
        <f>IF(B287="","",SUMIFS('NHAT KY THANH TOAN'!$G:$G,'NHAT KY THANH TOAN'!$B:$B,B287,'NHAT KY THANH TOAN'!$D:$D,"Hóa đơn"))</f>
        <v/>
      </c>
      <c r="AA287" s="103">
        <f>IF(B287="","",SUMIFS('NHAT KY THANH TOAN'!$G:$G,'NHAT KY THANH TOAN'!$B:$B,B287,'NHAT KY THANH TOAN'!$D:$D,"Thanh toán"))</f>
        <v/>
      </c>
      <c r="AB287" s="103">
        <f>IF(Y287="","",Y287-N(AA287))</f>
        <v/>
      </c>
      <c r="AC287" s="103">
        <f>IF(B287="","",N(Z287)-N(AA287))</f>
        <v/>
      </c>
      <c r="AD287" s="104">
        <f>IF(N(Y287)=0,"",N(AA287)/Y287)</f>
        <v/>
      </c>
      <c r="AE287" s="107" t="n"/>
      <c r="AF287" s="95">
        <f>IF(H287="","",TRIM(IF(AND(N(Y287)&gt;='THAM SO'!$B$10,AE287&lt;&gt;"Có"),"Chưa rà soát pháp lý; ","")&amp;IF(I287="","Thiếu MST đối tác; ","")&amp;IF(AG287="","Chưa ghi nơi lưu bản gốc; ","")&amp;IF(COUNTIFS('NHAT KY THANH TOAN'!$B:$B,B287,'NHAT KY THANH TOAN'!$D:$D,"Thanh toán",'NHAT KY THANH TOAN'!$F:$F,"Tiền mặt",'NHAT KY THANH TOAN'!$G:$G,"&gt;="&amp;'THAM SO'!$B$11)&gt;0,"Có khoản TT tiền mặt ≥ ngưỡng; ","")&amp;IF(AND(AB287&lt;&gt;"",N(AB287)&lt;0),"Thanh toán vượt giá trị HĐ; ","")))</f>
        <v/>
      </c>
      <c r="AG287" s="108" t="n"/>
      <c r="AH287" s="109" t="n"/>
      <c r="AI287" s="105">
        <f>IF(OR(H287="",O287="",AH287&lt;&gt;""),"",O287-'THAM SO'!$B$8)</f>
        <v/>
      </c>
      <c r="AJ287" s="95">
        <f>IF(H287="","",IF(AH287&lt;&gt;"","Đã thanh lý",IF(AND(N287&lt;&gt;"",N287&gt;'THAM SO'!$B$8),"Chưa hiệu lực",IF(O287="","Đang thực hiện",IF(O287&lt;'THAM SO'!$B$8,IF(P287="Có","Đã tự gia hạn – kiểm tra","Quá hạn – chưa thanh lý"),IF(O287-'THAM SO'!$B$8&lt;='THAM SO'!$B$9,"Sắp hết hạn","Đang thực hiện"))))))</f>
        <v/>
      </c>
      <c r="AK287" s="106">
        <f>IF(AND(O287="",AH287=""),"",EDATE(MAX(N(O287),N(AH287)),12*'THAM SO'!$B$12))</f>
        <v/>
      </c>
      <c r="AL287" s="110" t="n"/>
    </row>
    <row r="288" ht="15" customHeight="1" s="64">
      <c r="A288" s="93">
        <f>IF(H288="","",COUNTA($H$9:H288))</f>
        <v/>
      </c>
      <c r="B288" s="93">
        <f>IF(OR(D288="",G288=""),"",YEAR(G288)&amp;"/"&amp;D288&amp;"/"&amp;TEXT(SUMPRODUCT(($D$9:D288=D288)*(YEAR($G$9:G288)=YEAR(G288))),"000")&amp;"-"&amp;'THAM SO'!$B$7)</f>
        <v/>
      </c>
      <c r="C288" s="107" t="n"/>
      <c r="D288" s="107" t="n"/>
      <c r="E288" s="95">
        <f>IF(D288="","",IFERROR(VLOOKUP(D288,'THAM SO'!$D$6:$E$40,2,FALSE()),"Mã loại chưa khai báo"))</f>
        <v/>
      </c>
      <c r="F288" s="108" t="n"/>
      <c r="G288" s="109" t="n"/>
      <c r="H288" s="110" t="n"/>
      <c r="I288" s="108" t="n"/>
      <c r="J288" s="110" t="n"/>
      <c r="K288" s="108" t="n"/>
      <c r="L288" s="108" t="n"/>
      <c r="M288" s="108" t="n"/>
      <c r="N288" s="109" t="n"/>
      <c r="O288" s="109" t="n"/>
      <c r="P288" s="107" t="n"/>
      <c r="Q288" s="107" t="n"/>
      <c r="R288" s="111" t="n"/>
      <c r="S288" s="112" t="n"/>
      <c r="T288" s="113" t="n"/>
      <c r="U288" s="102">
        <f>IF(S288="","",ROUND(S288*N(T288),2))</f>
        <v/>
      </c>
      <c r="V288" s="102">
        <f>IF(S288="","",S288+U288)</f>
        <v/>
      </c>
      <c r="W288" s="103">
        <f>IF(V288="","",ROUND(V288*IF(OR(Q288="",Q288="VND"),1,R288),0))</f>
        <v/>
      </c>
      <c r="X288" s="111" t="n"/>
      <c r="Y288" s="103">
        <f>IF(W288="","",W288+N(X288))</f>
        <v/>
      </c>
      <c r="Z288" s="103">
        <f>IF(B288="","",SUMIFS('NHAT KY THANH TOAN'!$G:$G,'NHAT KY THANH TOAN'!$B:$B,B288,'NHAT KY THANH TOAN'!$D:$D,"Hóa đơn"))</f>
        <v/>
      </c>
      <c r="AA288" s="103">
        <f>IF(B288="","",SUMIFS('NHAT KY THANH TOAN'!$G:$G,'NHAT KY THANH TOAN'!$B:$B,B288,'NHAT KY THANH TOAN'!$D:$D,"Thanh toán"))</f>
        <v/>
      </c>
      <c r="AB288" s="103">
        <f>IF(Y288="","",Y288-N(AA288))</f>
        <v/>
      </c>
      <c r="AC288" s="103">
        <f>IF(B288="","",N(Z288)-N(AA288))</f>
        <v/>
      </c>
      <c r="AD288" s="104">
        <f>IF(N(Y288)=0,"",N(AA288)/Y288)</f>
        <v/>
      </c>
      <c r="AE288" s="107" t="n"/>
      <c r="AF288" s="95">
        <f>IF(H288="","",TRIM(IF(AND(N(Y288)&gt;='THAM SO'!$B$10,AE288&lt;&gt;"Có"),"Chưa rà soát pháp lý; ","")&amp;IF(I288="","Thiếu MST đối tác; ","")&amp;IF(AG288="","Chưa ghi nơi lưu bản gốc; ","")&amp;IF(COUNTIFS('NHAT KY THANH TOAN'!$B:$B,B288,'NHAT KY THANH TOAN'!$D:$D,"Thanh toán",'NHAT KY THANH TOAN'!$F:$F,"Tiền mặt",'NHAT KY THANH TOAN'!$G:$G,"&gt;="&amp;'THAM SO'!$B$11)&gt;0,"Có khoản TT tiền mặt ≥ ngưỡng; ","")&amp;IF(AND(AB288&lt;&gt;"",N(AB288)&lt;0),"Thanh toán vượt giá trị HĐ; ","")))</f>
        <v/>
      </c>
      <c r="AG288" s="108" t="n"/>
      <c r="AH288" s="109" t="n"/>
      <c r="AI288" s="105">
        <f>IF(OR(H288="",O288="",AH288&lt;&gt;""),"",O288-'THAM SO'!$B$8)</f>
        <v/>
      </c>
      <c r="AJ288" s="95">
        <f>IF(H288="","",IF(AH288&lt;&gt;"","Đã thanh lý",IF(AND(N288&lt;&gt;"",N288&gt;'THAM SO'!$B$8),"Chưa hiệu lực",IF(O288="","Đang thực hiện",IF(O288&lt;'THAM SO'!$B$8,IF(P288="Có","Đã tự gia hạn – kiểm tra","Quá hạn – chưa thanh lý"),IF(O288-'THAM SO'!$B$8&lt;='THAM SO'!$B$9,"Sắp hết hạn","Đang thực hiện"))))))</f>
        <v/>
      </c>
      <c r="AK288" s="106">
        <f>IF(AND(O288="",AH288=""),"",EDATE(MAX(N(O288),N(AH288)),12*'THAM SO'!$B$12))</f>
        <v/>
      </c>
      <c r="AL288" s="110" t="n"/>
    </row>
    <row r="289" ht="15" customHeight="1" s="64">
      <c r="A289" s="93">
        <f>IF(H289="","",COUNTA($H$9:H289))</f>
        <v/>
      </c>
      <c r="B289" s="93">
        <f>IF(OR(D289="",G289=""),"",YEAR(G289)&amp;"/"&amp;D289&amp;"/"&amp;TEXT(SUMPRODUCT(($D$9:D289=D289)*(YEAR($G$9:G289)=YEAR(G289))),"000")&amp;"-"&amp;'THAM SO'!$B$7)</f>
        <v/>
      </c>
      <c r="C289" s="107" t="n"/>
      <c r="D289" s="107" t="n"/>
      <c r="E289" s="95">
        <f>IF(D289="","",IFERROR(VLOOKUP(D289,'THAM SO'!$D$6:$E$40,2,FALSE()),"Mã loại chưa khai báo"))</f>
        <v/>
      </c>
      <c r="F289" s="108" t="n"/>
      <c r="G289" s="109" t="n"/>
      <c r="H289" s="110" t="n"/>
      <c r="I289" s="108" t="n"/>
      <c r="J289" s="110" t="n"/>
      <c r="K289" s="108" t="n"/>
      <c r="L289" s="108" t="n"/>
      <c r="M289" s="108" t="n"/>
      <c r="N289" s="109" t="n"/>
      <c r="O289" s="109" t="n"/>
      <c r="P289" s="107" t="n"/>
      <c r="Q289" s="107" t="n"/>
      <c r="R289" s="111" t="n"/>
      <c r="S289" s="112" t="n"/>
      <c r="T289" s="113" t="n"/>
      <c r="U289" s="102">
        <f>IF(S289="","",ROUND(S289*N(T289),2))</f>
        <v/>
      </c>
      <c r="V289" s="102">
        <f>IF(S289="","",S289+U289)</f>
        <v/>
      </c>
      <c r="W289" s="103">
        <f>IF(V289="","",ROUND(V289*IF(OR(Q289="",Q289="VND"),1,R289),0))</f>
        <v/>
      </c>
      <c r="X289" s="111" t="n"/>
      <c r="Y289" s="103">
        <f>IF(W289="","",W289+N(X289))</f>
        <v/>
      </c>
      <c r="Z289" s="103">
        <f>IF(B289="","",SUMIFS('NHAT KY THANH TOAN'!$G:$G,'NHAT KY THANH TOAN'!$B:$B,B289,'NHAT KY THANH TOAN'!$D:$D,"Hóa đơn"))</f>
        <v/>
      </c>
      <c r="AA289" s="103">
        <f>IF(B289="","",SUMIFS('NHAT KY THANH TOAN'!$G:$G,'NHAT KY THANH TOAN'!$B:$B,B289,'NHAT KY THANH TOAN'!$D:$D,"Thanh toán"))</f>
        <v/>
      </c>
      <c r="AB289" s="103">
        <f>IF(Y289="","",Y289-N(AA289))</f>
        <v/>
      </c>
      <c r="AC289" s="103">
        <f>IF(B289="","",N(Z289)-N(AA289))</f>
        <v/>
      </c>
      <c r="AD289" s="104">
        <f>IF(N(Y289)=0,"",N(AA289)/Y289)</f>
        <v/>
      </c>
      <c r="AE289" s="107" t="n"/>
      <c r="AF289" s="95">
        <f>IF(H289="","",TRIM(IF(AND(N(Y289)&gt;='THAM SO'!$B$10,AE289&lt;&gt;"Có"),"Chưa rà soát pháp lý; ","")&amp;IF(I289="","Thiếu MST đối tác; ","")&amp;IF(AG289="","Chưa ghi nơi lưu bản gốc; ","")&amp;IF(COUNTIFS('NHAT KY THANH TOAN'!$B:$B,B289,'NHAT KY THANH TOAN'!$D:$D,"Thanh toán",'NHAT KY THANH TOAN'!$F:$F,"Tiền mặt",'NHAT KY THANH TOAN'!$G:$G,"&gt;="&amp;'THAM SO'!$B$11)&gt;0,"Có khoản TT tiền mặt ≥ ngưỡng; ","")&amp;IF(AND(AB289&lt;&gt;"",N(AB289)&lt;0),"Thanh toán vượt giá trị HĐ; ","")))</f>
        <v/>
      </c>
      <c r="AG289" s="108" t="n"/>
      <c r="AH289" s="109" t="n"/>
      <c r="AI289" s="105">
        <f>IF(OR(H289="",O289="",AH289&lt;&gt;""),"",O289-'THAM SO'!$B$8)</f>
        <v/>
      </c>
      <c r="AJ289" s="95">
        <f>IF(H289="","",IF(AH289&lt;&gt;"","Đã thanh lý",IF(AND(N289&lt;&gt;"",N289&gt;'THAM SO'!$B$8),"Chưa hiệu lực",IF(O289="","Đang thực hiện",IF(O289&lt;'THAM SO'!$B$8,IF(P289="Có","Đã tự gia hạn – kiểm tra","Quá hạn – chưa thanh lý"),IF(O289-'THAM SO'!$B$8&lt;='THAM SO'!$B$9,"Sắp hết hạn","Đang thực hiện"))))))</f>
        <v/>
      </c>
      <c r="AK289" s="106">
        <f>IF(AND(O289="",AH289=""),"",EDATE(MAX(N(O289),N(AH289)),12*'THAM SO'!$B$12))</f>
        <v/>
      </c>
      <c r="AL289" s="110" t="n"/>
    </row>
    <row r="290" ht="15" customHeight="1" s="64">
      <c r="A290" s="93">
        <f>IF(H290="","",COUNTA($H$9:H290))</f>
        <v/>
      </c>
      <c r="B290" s="93">
        <f>IF(OR(D290="",G290=""),"",YEAR(G290)&amp;"/"&amp;D290&amp;"/"&amp;TEXT(SUMPRODUCT(($D$9:D290=D290)*(YEAR($G$9:G290)=YEAR(G290))),"000")&amp;"-"&amp;'THAM SO'!$B$7)</f>
        <v/>
      </c>
      <c r="C290" s="107" t="n"/>
      <c r="D290" s="107" t="n"/>
      <c r="E290" s="95">
        <f>IF(D290="","",IFERROR(VLOOKUP(D290,'THAM SO'!$D$6:$E$40,2,FALSE()),"Mã loại chưa khai báo"))</f>
        <v/>
      </c>
      <c r="F290" s="108" t="n"/>
      <c r="G290" s="109" t="n"/>
      <c r="H290" s="110" t="n"/>
      <c r="I290" s="108" t="n"/>
      <c r="J290" s="110" t="n"/>
      <c r="K290" s="108" t="n"/>
      <c r="L290" s="108" t="n"/>
      <c r="M290" s="108" t="n"/>
      <c r="N290" s="109" t="n"/>
      <c r="O290" s="109" t="n"/>
      <c r="P290" s="107" t="n"/>
      <c r="Q290" s="107" t="n"/>
      <c r="R290" s="111" t="n"/>
      <c r="S290" s="112" t="n"/>
      <c r="T290" s="113" t="n"/>
      <c r="U290" s="102">
        <f>IF(S290="","",ROUND(S290*N(T290),2))</f>
        <v/>
      </c>
      <c r="V290" s="102">
        <f>IF(S290="","",S290+U290)</f>
        <v/>
      </c>
      <c r="W290" s="103">
        <f>IF(V290="","",ROUND(V290*IF(OR(Q290="",Q290="VND"),1,R290),0))</f>
        <v/>
      </c>
      <c r="X290" s="111" t="n"/>
      <c r="Y290" s="103">
        <f>IF(W290="","",W290+N(X290))</f>
        <v/>
      </c>
      <c r="Z290" s="103">
        <f>IF(B290="","",SUMIFS('NHAT KY THANH TOAN'!$G:$G,'NHAT KY THANH TOAN'!$B:$B,B290,'NHAT KY THANH TOAN'!$D:$D,"Hóa đơn"))</f>
        <v/>
      </c>
      <c r="AA290" s="103">
        <f>IF(B290="","",SUMIFS('NHAT KY THANH TOAN'!$G:$G,'NHAT KY THANH TOAN'!$B:$B,B290,'NHAT KY THANH TOAN'!$D:$D,"Thanh toán"))</f>
        <v/>
      </c>
      <c r="AB290" s="103">
        <f>IF(Y290="","",Y290-N(AA290))</f>
        <v/>
      </c>
      <c r="AC290" s="103">
        <f>IF(B290="","",N(Z290)-N(AA290))</f>
        <v/>
      </c>
      <c r="AD290" s="104">
        <f>IF(N(Y290)=0,"",N(AA290)/Y290)</f>
        <v/>
      </c>
      <c r="AE290" s="107" t="n"/>
      <c r="AF290" s="95">
        <f>IF(H290="","",TRIM(IF(AND(N(Y290)&gt;='THAM SO'!$B$10,AE290&lt;&gt;"Có"),"Chưa rà soát pháp lý; ","")&amp;IF(I290="","Thiếu MST đối tác; ","")&amp;IF(AG290="","Chưa ghi nơi lưu bản gốc; ","")&amp;IF(COUNTIFS('NHAT KY THANH TOAN'!$B:$B,B290,'NHAT KY THANH TOAN'!$D:$D,"Thanh toán",'NHAT KY THANH TOAN'!$F:$F,"Tiền mặt",'NHAT KY THANH TOAN'!$G:$G,"&gt;="&amp;'THAM SO'!$B$11)&gt;0,"Có khoản TT tiền mặt ≥ ngưỡng; ","")&amp;IF(AND(AB290&lt;&gt;"",N(AB290)&lt;0),"Thanh toán vượt giá trị HĐ; ","")))</f>
        <v/>
      </c>
      <c r="AG290" s="108" t="n"/>
      <c r="AH290" s="109" t="n"/>
      <c r="AI290" s="105">
        <f>IF(OR(H290="",O290="",AH290&lt;&gt;""),"",O290-'THAM SO'!$B$8)</f>
        <v/>
      </c>
      <c r="AJ290" s="95">
        <f>IF(H290="","",IF(AH290&lt;&gt;"","Đã thanh lý",IF(AND(N290&lt;&gt;"",N290&gt;'THAM SO'!$B$8),"Chưa hiệu lực",IF(O290="","Đang thực hiện",IF(O290&lt;'THAM SO'!$B$8,IF(P290="Có","Đã tự gia hạn – kiểm tra","Quá hạn – chưa thanh lý"),IF(O290-'THAM SO'!$B$8&lt;='THAM SO'!$B$9,"Sắp hết hạn","Đang thực hiện"))))))</f>
        <v/>
      </c>
      <c r="AK290" s="106">
        <f>IF(AND(O290="",AH290=""),"",EDATE(MAX(N(O290),N(AH290)),12*'THAM SO'!$B$12))</f>
        <v/>
      </c>
      <c r="AL290" s="110" t="n"/>
    </row>
    <row r="291" ht="15" customHeight="1" s="64">
      <c r="A291" s="93">
        <f>IF(H291="","",COUNTA($H$9:H291))</f>
        <v/>
      </c>
      <c r="B291" s="93">
        <f>IF(OR(D291="",G291=""),"",YEAR(G291)&amp;"/"&amp;D291&amp;"/"&amp;TEXT(SUMPRODUCT(($D$9:D291=D291)*(YEAR($G$9:G291)=YEAR(G291))),"000")&amp;"-"&amp;'THAM SO'!$B$7)</f>
        <v/>
      </c>
      <c r="C291" s="107" t="n"/>
      <c r="D291" s="107" t="n"/>
      <c r="E291" s="95">
        <f>IF(D291="","",IFERROR(VLOOKUP(D291,'THAM SO'!$D$6:$E$40,2,FALSE()),"Mã loại chưa khai báo"))</f>
        <v/>
      </c>
      <c r="F291" s="108" t="n"/>
      <c r="G291" s="109" t="n"/>
      <c r="H291" s="110" t="n"/>
      <c r="I291" s="108" t="n"/>
      <c r="J291" s="110" t="n"/>
      <c r="K291" s="108" t="n"/>
      <c r="L291" s="108" t="n"/>
      <c r="M291" s="108" t="n"/>
      <c r="N291" s="109" t="n"/>
      <c r="O291" s="109" t="n"/>
      <c r="P291" s="107" t="n"/>
      <c r="Q291" s="107" t="n"/>
      <c r="R291" s="111" t="n"/>
      <c r="S291" s="112" t="n"/>
      <c r="T291" s="113" t="n"/>
      <c r="U291" s="102">
        <f>IF(S291="","",ROUND(S291*N(T291),2))</f>
        <v/>
      </c>
      <c r="V291" s="102">
        <f>IF(S291="","",S291+U291)</f>
        <v/>
      </c>
      <c r="W291" s="103">
        <f>IF(V291="","",ROUND(V291*IF(OR(Q291="",Q291="VND"),1,R291),0))</f>
        <v/>
      </c>
      <c r="X291" s="111" t="n"/>
      <c r="Y291" s="103">
        <f>IF(W291="","",W291+N(X291))</f>
        <v/>
      </c>
      <c r="Z291" s="103">
        <f>IF(B291="","",SUMIFS('NHAT KY THANH TOAN'!$G:$G,'NHAT KY THANH TOAN'!$B:$B,B291,'NHAT KY THANH TOAN'!$D:$D,"Hóa đơn"))</f>
        <v/>
      </c>
      <c r="AA291" s="103">
        <f>IF(B291="","",SUMIFS('NHAT KY THANH TOAN'!$G:$G,'NHAT KY THANH TOAN'!$B:$B,B291,'NHAT KY THANH TOAN'!$D:$D,"Thanh toán"))</f>
        <v/>
      </c>
      <c r="AB291" s="103">
        <f>IF(Y291="","",Y291-N(AA291))</f>
        <v/>
      </c>
      <c r="AC291" s="103">
        <f>IF(B291="","",N(Z291)-N(AA291))</f>
        <v/>
      </c>
      <c r="AD291" s="104">
        <f>IF(N(Y291)=0,"",N(AA291)/Y291)</f>
        <v/>
      </c>
      <c r="AE291" s="107" t="n"/>
      <c r="AF291" s="95">
        <f>IF(H291="","",TRIM(IF(AND(N(Y291)&gt;='THAM SO'!$B$10,AE291&lt;&gt;"Có"),"Chưa rà soát pháp lý; ","")&amp;IF(I291="","Thiếu MST đối tác; ","")&amp;IF(AG291="","Chưa ghi nơi lưu bản gốc; ","")&amp;IF(COUNTIFS('NHAT KY THANH TOAN'!$B:$B,B291,'NHAT KY THANH TOAN'!$D:$D,"Thanh toán",'NHAT KY THANH TOAN'!$F:$F,"Tiền mặt",'NHAT KY THANH TOAN'!$G:$G,"&gt;="&amp;'THAM SO'!$B$11)&gt;0,"Có khoản TT tiền mặt ≥ ngưỡng; ","")&amp;IF(AND(AB291&lt;&gt;"",N(AB291)&lt;0),"Thanh toán vượt giá trị HĐ; ","")))</f>
        <v/>
      </c>
      <c r="AG291" s="108" t="n"/>
      <c r="AH291" s="109" t="n"/>
      <c r="AI291" s="105">
        <f>IF(OR(H291="",O291="",AH291&lt;&gt;""),"",O291-'THAM SO'!$B$8)</f>
        <v/>
      </c>
      <c r="AJ291" s="95">
        <f>IF(H291="","",IF(AH291&lt;&gt;"","Đã thanh lý",IF(AND(N291&lt;&gt;"",N291&gt;'THAM SO'!$B$8),"Chưa hiệu lực",IF(O291="","Đang thực hiện",IF(O291&lt;'THAM SO'!$B$8,IF(P291="Có","Đã tự gia hạn – kiểm tra","Quá hạn – chưa thanh lý"),IF(O291-'THAM SO'!$B$8&lt;='THAM SO'!$B$9,"Sắp hết hạn","Đang thực hiện"))))))</f>
        <v/>
      </c>
      <c r="AK291" s="106">
        <f>IF(AND(O291="",AH291=""),"",EDATE(MAX(N(O291),N(AH291)),12*'THAM SO'!$B$12))</f>
        <v/>
      </c>
      <c r="AL291" s="110" t="n"/>
    </row>
    <row r="292" ht="15" customHeight="1" s="64">
      <c r="A292" s="93">
        <f>IF(H292="","",COUNTA($H$9:H292))</f>
        <v/>
      </c>
      <c r="B292" s="93">
        <f>IF(OR(D292="",G292=""),"",YEAR(G292)&amp;"/"&amp;D292&amp;"/"&amp;TEXT(SUMPRODUCT(($D$9:D292=D292)*(YEAR($G$9:G292)=YEAR(G292))),"000")&amp;"-"&amp;'THAM SO'!$B$7)</f>
        <v/>
      </c>
      <c r="C292" s="107" t="n"/>
      <c r="D292" s="107" t="n"/>
      <c r="E292" s="95">
        <f>IF(D292="","",IFERROR(VLOOKUP(D292,'THAM SO'!$D$6:$E$40,2,FALSE()),"Mã loại chưa khai báo"))</f>
        <v/>
      </c>
      <c r="F292" s="108" t="n"/>
      <c r="G292" s="109" t="n"/>
      <c r="H292" s="110" t="n"/>
      <c r="I292" s="108" t="n"/>
      <c r="J292" s="110" t="n"/>
      <c r="K292" s="108" t="n"/>
      <c r="L292" s="108" t="n"/>
      <c r="M292" s="108" t="n"/>
      <c r="N292" s="109" t="n"/>
      <c r="O292" s="109" t="n"/>
      <c r="P292" s="107" t="n"/>
      <c r="Q292" s="107" t="n"/>
      <c r="R292" s="111" t="n"/>
      <c r="S292" s="112" t="n"/>
      <c r="T292" s="113" t="n"/>
      <c r="U292" s="102">
        <f>IF(S292="","",ROUND(S292*N(T292),2))</f>
        <v/>
      </c>
      <c r="V292" s="102">
        <f>IF(S292="","",S292+U292)</f>
        <v/>
      </c>
      <c r="W292" s="103">
        <f>IF(V292="","",ROUND(V292*IF(OR(Q292="",Q292="VND"),1,R292),0))</f>
        <v/>
      </c>
      <c r="X292" s="111" t="n"/>
      <c r="Y292" s="103">
        <f>IF(W292="","",W292+N(X292))</f>
        <v/>
      </c>
      <c r="Z292" s="103">
        <f>IF(B292="","",SUMIFS('NHAT KY THANH TOAN'!$G:$G,'NHAT KY THANH TOAN'!$B:$B,B292,'NHAT KY THANH TOAN'!$D:$D,"Hóa đơn"))</f>
        <v/>
      </c>
      <c r="AA292" s="103">
        <f>IF(B292="","",SUMIFS('NHAT KY THANH TOAN'!$G:$G,'NHAT KY THANH TOAN'!$B:$B,B292,'NHAT KY THANH TOAN'!$D:$D,"Thanh toán"))</f>
        <v/>
      </c>
      <c r="AB292" s="103">
        <f>IF(Y292="","",Y292-N(AA292))</f>
        <v/>
      </c>
      <c r="AC292" s="103">
        <f>IF(B292="","",N(Z292)-N(AA292))</f>
        <v/>
      </c>
      <c r="AD292" s="104">
        <f>IF(N(Y292)=0,"",N(AA292)/Y292)</f>
        <v/>
      </c>
      <c r="AE292" s="107" t="n"/>
      <c r="AF292" s="95">
        <f>IF(H292="","",TRIM(IF(AND(N(Y292)&gt;='THAM SO'!$B$10,AE292&lt;&gt;"Có"),"Chưa rà soát pháp lý; ","")&amp;IF(I292="","Thiếu MST đối tác; ","")&amp;IF(AG292="","Chưa ghi nơi lưu bản gốc; ","")&amp;IF(COUNTIFS('NHAT KY THANH TOAN'!$B:$B,B292,'NHAT KY THANH TOAN'!$D:$D,"Thanh toán",'NHAT KY THANH TOAN'!$F:$F,"Tiền mặt",'NHAT KY THANH TOAN'!$G:$G,"&gt;="&amp;'THAM SO'!$B$11)&gt;0,"Có khoản TT tiền mặt ≥ ngưỡng; ","")&amp;IF(AND(AB292&lt;&gt;"",N(AB292)&lt;0),"Thanh toán vượt giá trị HĐ; ","")))</f>
        <v/>
      </c>
      <c r="AG292" s="108" t="n"/>
      <c r="AH292" s="109" t="n"/>
      <c r="AI292" s="105">
        <f>IF(OR(H292="",O292="",AH292&lt;&gt;""),"",O292-'THAM SO'!$B$8)</f>
        <v/>
      </c>
      <c r="AJ292" s="95">
        <f>IF(H292="","",IF(AH292&lt;&gt;"","Đã thanh lý",IF(AND(N292&lt;&gt;"",N292&gt;'THAM SO'!$B$8),"Chưa hiệu lực",IF(O292="","Đang thực hiện",IF(O292&lt;'THAM SO'!$B$8,IF(P292="Có","Đã tự gia hạn – kiểm tra","Quá hạn – chưa thanh lý"),IF(O292-'THAM SO'!$B$8&lt;='THAM SO'!$B$9,"Sắp hết hạn","Đang thực hiện"))))))</f>
        <v/>
      </c>
      <c r="AK292" s="106">
        <f>IF(AND(O292="",AH292=""),"",EDATE(MAX(N(O292),N(AH292)),12*'THAM SO'!$B$12))</f>
        <v/>
      </c>
      <c r="AL292" s="110" t="n"/>
    </row>
    <row r="293" ht="15" customHeight="1" s="64">
      <c r="A293" s="93">
        <f>IF(H293="","",COUNTA($H$9:H293))</f>
        <v/>
      </c>
      <c r="B293" s="93">
        <f>IF(OR(D293="",G293=""),"",YEAR(G293)&amp;"/"&amp;D293&amp;"/"&amp;TEXT(SUMPRODUCT(($D$9:D293=D293)*(YEAR($G$9:G293)=YEAR(G293))),"000")&amp;"-"&amp;'THAM SO'!$B$7)</f>
        <v/>
      </c>
      <c r="C293" s="107" t="n"/>
      <c r="D293" s="107" t="n"/>
      <c r="E293" s="95">
        <f>IF(D293="","",IFERROR(VLOOKUP(D293,'THAM SO'!$D$6:$E$40,2,FALSE()),"Mã loại chưa khai báo"))</f>
        <v/>
      </c>
      <c r="F293" s="108" t="n"/>
      <c r="G293" s="109" t="n"/>
      <c r="H293" s="110" t="n"/>
      <c r="I293" s="108" t="n"/>
      <c r="J293" s="110" t="n"/>
      <c r="K293" s="108" t="n"/>
      <c r="L293" s="108" t="n"/>
      <c r="M293" s="108" t="n"/>
      <c r="N293" s="109" t="n"/>
      <c r="O293" s="109" t="n"/>
      <c r="P293" s="107" t="n"/>
      <c r="Q293" s="107" t="n"/>
      <c r="R293" s="111" t="n"/>
      <c r="S293" s="112" t="n"/>
      <c r="T293" s="113" t="n"/>
      <c r="U293" s="102">
        <f>IF(S293="","",ROUND(S293*N(T293),2))</f>
        <v/>
      </c>
      <c r="V293" s="102">
        <f>IF(S293="","",S293+U293)</f>
        <v/>
      </c>
      <c r="W293" s="103">
        <f>IF(V293="","",ROUND(V293*IF(OR(Q293="",Q293="VND"),1,R293),0))</f>
        <v/>
      </c>
      <c r="X293" s="111" t="n"/>
      <c r="Y293" s="103">
        <f>IF(W293="","",W293+N(X293))</f>
        <v/>
      </c>
      <c r="Z293" s="103">
        <f>IF(B293="","",SUMIFS('NHAT KY THANH TOAN'!$G:$G,'NHAT KY THANH TOAN'!$B:$B,B293,'NHAT KY THANH TOAN'!$D:$D,"Hóa đơn"))</f>
        <v/>
      </c>
      <c r="AA293" s="103">
        <f>IF(B293="","",SUMIFS('NHAT KY THANH TOAN'!$G:$G,'NHAT KY THANH TOAN'!$B:$B,B293,'NHAT KY THANH TOAN'!$D:$D,"Thanh toán"))</f>
        <v/>
      </c>
      <c r="AB293" s="103">
        <f>IF(Y293="","",Y293-N(AA293))</f>
        <v/>
      </c>
      <c r="AC293" s="103">
        <f>IF(B293="","",N(Z293)-N(AA293))</f>
        <v/>
      </c>
      <c r="AD293" s="104">
        <f>IF(N(Y293)=0,"",N(AA293)/Y293)</f>
        <v/>
      </c>
      <c r="AE293" s="107" t="n"/>
      <c r="AF293" s="95">
        <f>IF(H293="","",TRIM(IF(AND(N(Y293)&gt;='THAM SO'!$B$10,AE293&lt;&gt;"Có"),"Chưa rà soát pháp lý; ","")&amp;IF(I293="","Thiếu MST đối tác; ","")&amp;IF(AG293="","Chưa ghi nơi lưu bản gốc; ","")&amp;IF(COUNTIFS('NHAT KY THANH TOAN'!$B:$B,B293,'NHAT KY THANH TOAN'!$D:$D,"Thanh toán",'NHAT KY THANH TOAN'!$F:$F,"Tiền mặt",'NHAT KY THANH TOAN'!$G:$G,"&gt;="&amp;'THAM SO'!$B$11)&gt;0,"Có khoản TT tiền mặt ≥ ngưỡng; ","")&amp;IF(AND(AB293&lt;&gt;"",N(AB293)&lt;0),"Thanh toán vượt giá trị HĐ; ","")))</f>
        <v/>
      </c>
      <c r="AG293" s="108" t="n"/>
      <c r="AH293" s="109" t="n"/>
      <c r="AI293" s="105">
        <f>IF(OR(H293="",O293="",AH293&lt;&gt;""),"",O293-'THAM SO'!$B$8)</f>
        <v/>
      </c>
      <c r="AJ293" s="95">
        <f>IF(H293="","",IF(AH293&lt;&gt;"","Đã thanh lý",IF(AND(N293&lt;&gt;"",N293&gt;'THAM SO'!$B$8),"Chưa hiệu lực",IF(O293="","Đang thực hiện",IF(O293&lt;'THAM SO'!$B$8,IF(P293="Có","Đã tự gia hạn – kiểm tra","Quá hạn – chưa thanh lý"),IF(O293-'THAM SO'!$B$8&lt;='THAM SO'!$B$9,"Sắp hết hạn","Đang thực hiện"))))))</f>
        <v/>
      </c>
      <c r="AK293" s="106">
        <f>IF(AND(O293="",AH293=""),"",EDATE(MAX(N(O293),N(AH293)),12*'THAM SO'!$B$12))</f>
        <v/>
      </c>
      <c r="AL293" s="110" t="n"/>
    </row>
    <row r="294" ht="15" customHeight="1" s="64">
      <c r="A294" s="93">
        <f>IF(H294="","",COUNTA($H$9:H294))</f>
        <v/>
      </c>
      <c r="B294" s="93">
        <f>IF(OR(D294="",G294=""),"",YEAR(G294)&amp;"/"&amp;D294&amp;"/"&amp;TEXT(SUMPRODUCT(($D$9:D294=D294)*(YEAR($G$9:G294)=YEAR(G294))),"000")&amp;"-"&amp;'THAM SO'!$B$7)</f>
        <v/>
      </c>
      <c r="C294" s="107" t="n"/>
      <c r="D294" s="107" t="n"/>
      <c r="E294" s="95">
        <f>IF(D294="","",IFERROR(VLOOKUP(D294,'THAM SO'!$D$6:$E$40,2,FALSE()),"Mã loại chưa khai báo"))</f>
        <v/>
      </c>
      <c r="F294" s="108" t="n"/>
      <c r="G294" s="109" t="n"/>
      <c r="H294" s="110" t="n"/>
      <c r="I294" s="108" t="n"/>
      <c r="J294" s="110" t="n"/>
      <c r="K294" s="108" t="n"/>
      <c r="L294" s="108" t="n"/>
      <c r="M294" s="108" t="n"/>
      <c r="N294" s="109" t="n"/>
      <c r="O294" s="109" t="n"/>
      <c r="P294" s="107" t="n"/>
      <c r="Q294" s="107" t="n"/>
      <c r="R294" s="111" t="n"/>
      <c r="S294" s="112" t="n"/>
      <c r="T294" s="113" t="n"/>
      <c r="U294" s="102">
        <f>IF(S294="","",ROUND(S294*N(T294),2))</f>
        <v/>
      </c>
      <c r="V294" s="102">
        <f>IF(S294="","",S294+U294)</f>
        <v/>
      </c>
      <c r="W294" s="103">
        <f>IF(V294="","",ROUND(V294*IF(OR(Q294="",Q294="VND"),1,R294),0))</f>
        <v/>
      </c>
      <c r="X294" s="111" t="n"/>
      <c r="Y294" s="103">
        <f>IF(W294="","",W294+N(X294))</f>
        <v/>
      </c>
      <c r="Z294" s="103">
        <f>IF(B294="","",SUMIFS('NHAT KY THANH TOAN'!$G:$G,'NHAT KY THANH TOAN'!$B:$B,B294,'NHAT KY THANH TOAN'!$D:$D,"Hóa đơn"))</f>
        <v/>
      </c>
      <c r="AA294" s="103">
        <f>IF(B294="","",SUMIFS('NHAT KY THANH TOAN'!$G:$G,'NHAT KY THANH TOAN'!$B:$B,B294,'NHAT KY THANH TOAN'!$D:$D,"Thanh toán"))</f>
        <v/>
      </c>
      <c r="AB294" s="103">
        <f>IF(Y294="","",Y294-N(AA294))</f>
        <v/>
      </c>
      <c r="AC294" s="103">
        <f>IF(B294="","",N(Z294)-N(AA294))</f>
        <v/>
      </c>
      <c r="AD294" s="104">
        <f>IF(N(Y294)=0,"",N(AA294)/Y294)</f>
        <v/>
      </c>
      <c r="AE294" s="107" t="n"/>
      <c r="AF294" s="95">
        <f>IF(H294="","",TRIM(IF(AND(N(Y294)&gt;='THAM SO'!$B$10,AE294&lt;&gt;"Có"),"Chưa rà soát pháp lý; ","")&amp;IF(I294="","Thiếu MST đối tác; ","")&amp;IF(AG294="","Chưa ghi nơi lưu bản gốc; ","")&amp;IF(COUNTIFS('NHAT KY THANH TOAN'!$B:$B,B294,'NHAT KY THANH TOAN'!$D:$D,"Thanh toán",'NHAT KY THANH TOAN'!$F:$F,"Tiền mặt",'NHAT KY THANH TOAN'!$G:$G,"&gt;="&amp;'THAM SO'!$B$11)&gt;0,"Có khoản TT tiền mặt ≥ ngưỡng; ","")&amp;IF(AND(AB294&lt;&gt;"",N(AB294)&lt;0),"Thanh toán vượt giá trị HĐ; ","")))</f>
        <v/>
      </c>
      <c r="AG294" s="108" t="n"/>
      <c r="AH294" s="109" t="n"/>
      <c r="AI294" s="105">
        <f>IF(OR(H294="",O294="",AH294&lt;&gt;""),"",O294-'THAM SO'!$B$8)</f>
        <v/>
      </c>
      <c r="AJ294" s="95">
        <f>IF(H294="","",IF(AH294&lt;&gt;"","Đã thanh lý",IF(AND(N294&lt;&gt;"",N294&gt;'THAM SO'!$B$8),"Chưa hiệu lực",IF(O294="","Đang thực hiện",IF(O294&lt;'THAM SO'!$B$8,IF(P294="Có","Đã tự gia hạn – kiểm tra","Quá hạn – chưa thanh lý"),IF(O294-'THAM SO'!$B$8&lt;='THAM SO'!$B$9,"Sắp hết hạn","Đang thực hiện"))))))</f>
        <v/>
      </c>
      <c r="AK294" s="106">
        <f>IF(AND(O294="",AH294=""),"",EDATE(MAX(N(O294),N(AH294)),12*'THAM SO'!$B$12))</f>
        <v/>
      </c>
      <c r="AL294" s="110" t="n"/>
    </row>
    <row r="295" ht="15" customHeight="1" s="64">
      <c r="A295" s="93">
        <f>IF(H295="","",COUNTA($H$9:H295))</f>
        <v/>
      </c>
      <c r="B295" s="93">
        <f>IF(OR(D295="",G295=""),"",YEAR(G295)&amp;"/"&amp;D295&amp;"/"&amp;TEXT(SUMPRODUCT(($D$9:D295=D295)*(YEAR($G$9:G295)=YEAR(G295))),"000")&amp;"-"&amp;'THAM SO'!$B$7)</f>
        <v/>
      </c>
      <c r="C295" s="107" t="n"/>
      <c r="D295" s="107" t="n"/>
      <c r="E295" s="95">
        <f>IF(D295="","",IFERROR(VLOOKUP(D295,'THAM SO'!$D$6:$E$40,2,FALSE()),"Mã loại chưa khai báo"))</f>
        <v/>
      </c>
      <c r="F295" s="108" t="n"/>
      <c r="G295" s="109" t="n"/>
      <c r="H295" s="110" t="n"/>
      <c r="I295" s="108" t="n"/>
      <c r="J295" s="110" t="n"/>
      <c r="K295" s="108" t="n"/>
      <c r="L295" s="108" t="n"/>
      <c r="M295" s="108" t="n"/>
      <c r="N295" s="109" t="n"/>
      <c r="O295" s="109" t="n"/>
      <c r="P295" s="107" t="n"/>
      <c r="Q295" s="107" t="n"/>
      <c r="R295" s="111" t="n"/>
      <c r="S295" s="112" t="n"/>
      <c r="T295" s="113" t="n"/>
      <c r="U295" s="102">
        <f>IF(S295="","",ROUND(S295*N(T295),2))</f>
        <v/>
      </c>
      <c r="V295" s="102">
        <f>IF(S295="","",S295+U295)</f>
        <v/>
      </c>
      <c r="W295" s="103">
        <f>IF(V295="","",ROUND(V295*IF(OR(Q295="",Q295="VND"),1,R295),0))</f>
        <v/>
      </c>
      <c r="X295" s="111" t="n"/>
      <c r="Y295" s="103">
        <f>IF(W295="","",W295+N(X295))</f>
        <v/>
      </c>
      <c r="Z295" s="103">
        <f>IF(B295="","",SUMIFS('NHAT KY THANH TOAN'!$G:$G,'NHAT KY THANH TOAN'!$B:$B,B295,'NHAT KY THANH TOAN'!$D:$D,"Hóa đơn"))</f>
        <v/>
      </c>
      <c r="AA295" s="103">
        <f>IF(B295="","",SUMIFS('NHAT KY THANH TOAN'!$G:$G,'NHAT KY THANH TOAN'!$B:$B,B295,'NHAT KY THANH TOAN'!$D:$D,"Thanh toán"))</f>
        <v/>
      </c>
      <c r="AB295" s="103">
        <f>IF(Y295="","",Y295-N(AA295))</f>
        <v/>
      </c>
      <c r="AC295" s="103">
        <f>IF(B295="","",N(Z295)-N(AA295))</f>
        <v/>
      </c>
      <c r="AD295" s="104">
        <f>IF(N(Y295)=0,"",N(AA295)/Y295)</f>
        <v/>
      </c>
      <c r="AE295" s="107" t="n"/>
      <c r="AF295" s="95">
        <f>IF(H295="","",TRIM(IF(AND(N(Y295)&gt;='THAM SO'!$B$10,AE295&lt;&gt;"Có"),"Chưa rà soát pháp lý; ","")&amp;IF(I295="","Thiếu MST đối tác; ","")&amp;IF(AG295="","Chưa ghi nơi lưu bản gốc; ","")&amp;IF(COUNTIFS('NHAT KY THANH TOAN'!$B:$B,B295,'NHAT KY THANH TOAN'!$D:$D,"Thanh toán",'NHAT KY THANH TOAN'!$F:$F,"Tiền mặt",'NHAT KY THANH TOAN'!$G:$G,"&gt;="&amp;'THAM SO'!$B$11)&gt;0,"Có khoản TT tiền mặt ≥ ngưỡng; ","")&amp;IF(AND(AB295&lt;&gt;"",N(AB295)&lt;0),"Thanh toán vượt giá trị HĐ; ","")))</f>
        <v/>
      </c>
      <c r="AG295" s="108" t="n"/>
      <c r="AH295" s="109" t="n"/>
      <c r="AI295" s="105">
        <f>IF(OR(H295="",O295="",AH295&lt;&gt;""),"",O295-'THAM SO'!$B$8)</f>
        <v/>
      </c>
      <c r="AJ295" s="95">
        <f>IF(H295="","",IF(AH295&lt;&gt;"","Đã thanh lý",IF(AND(N295&lt;&gt;"",N295&gt;'THAM SO'!$B$8),"Chưa hiệu lực",IF(O295="","Đang thực hiện",IF(O295&lt;'THAM SO'!$B$8,IF(P295="Có","Đã tự gia hạn – kiểm tra","Quá hạn – chưa thanh lý"),IF(O295-'THAM SO'!$B$8&lt;='THAM SO'!$B$9,"Sắp hết hạn","Đang thực hiện"))))))</f>
        <v/>
      </c>
      <c r="AK295" s="106">
        <f>IF(AND(O295="",AH295=""),"",EDATE(MAX(N(O295),N(AH295)),12*'THAM SO'!$B$12))</f>
        <v/>
      </c>
      <c r="AL295" s="110" t="n"/>
    </row>
    <row r="296" ht="15" customHeight="1" s="64">
      <c r="A296" s="93">
        <f>IF(H296="","",COUNTA($H$9:H296))</f>
        <v/>
      </c>
      <c r="B296" s="93">
        <f>IF(OR(D296="",G296=""),"",YEAR(G296)&amp;"/"&amp;D296&amp;"/"&amp;TEXT(SUMPRODUCT(($D$9:D296=D296)*(YEAR($G$9:G296)=YEAR(G296))),"000")&amp;"-"&amp;'THAM SO'!$B$7)</f>
        <v/>
      </c>
      <c r="C296" s="107" t="n"/>
      <c r="D296" s="107" t="n"/>
      <c r="E296" s="95">
        <f>IF(D296="","",IFERROR(VLOOKUP(D296,'THAM SO'!$D$6:$E$40,2,FALSE()),"Mã loại chưa khai báo"))</f>
        <v/>
      </c>
      <c r="F296" s="108" t="n"/>
      <c r="G296" s="109" t="n"/>
      <c r="H296" s="110" t="n"/>
      <c r="I296" s="108" t="n"/>
      <c r="J296" s="110" t="n"/>
      <c r="K296" s="108" t="n"/>
      <c r="L296" s="108" t="n"/>
      <c r="M296" s="108" t="n"/>
      <c r="N296" s="109" t="n"/>
      <c r="O296" s="109" t="n"/>
      <c r="P296" s="107" t="n"/>
      <c r="Q296" s="107" t="n"/>
      <c r="R296" s="111" t="n"/>
      <c r="S296" s="112" t="n"/>
      <c r="T296" s="113" t="n"/>
      <c r="U296" s="102">
        <f>IF(S296="","",ROUND(S296*N(T296),2))</f>
        <v/>
      </c>
      <c r="V296" s="102">
        <f>IF(S296="","",S296+U296)</f>
        <v/>
      </c>
      <c r="W296" s="103">
        <f>IF(V296="","",ROUND(V296*IF(OR(Q296="",Q296="VND"),1,R296),0))</f>
        <v/>
      </c>
      <c r="X296" s="111" t="n"/>
      <c r="Y296" s="103">
        <f>IF(W296="","",W296+N(X296))</f>
        <v/>
      </c>
      <c r="Z296" s="103">
        <f>IF(B296="","",SUMIFS('NHAT KY THANH TOAN'!$G:$G,'NHAT KY THANH TOAN'!$B:$B,B296,'NHAT KY THANH TOAN'!$D:$D,"Hóa đơn"))</f>
        <v/>
      </c>
      <c r="AA296" s="103">
        <f>IF(B296="","",SUMIFS('NHAT KY THANH TOAN'!$G:$G,'NHAT KY THANH TOAN'!$B:$B,B296,'NHAT KY THANH TOAN'!$D:$D,"Thanh toán"))</f>
        <v/>
      </c>
      <c r="AB296" s="103">
        <f>IF(Y296="","",Y296-N(AA296))</f>
        <v/>
      </c>
      <c r="AC296" s="103">
        <f>IF(B296="","",N(Z296)-N(AA296))</f>
        <v/>
      </c>
      <c r="AD296" s="104">
        <f>IF(N(Y296)=0,"",N(AA296)/Y296)</f>
        <v/>
      </c>
      <c r="AE296" s="107" t="n"/>
      <c r="AF296" s="95">
        <f>IF(H296="","",TRIM(IF(AND(N(Y296)&gt;='THAM SO'!$B$10,AE296&lt;&gt;"Có"),"Chưa rà soát pháp lý; ","")&amp;IF(I296="","Thiếu MST đối tác; ","")&amp;IF(AG296="","Chưa ghi nơi lưu bản gốc; ","")&amp;IF(COUNTIFS('NHAT KY THANH TOAN'!$B:$B,B296,'NHAT KY THANH TOAN'!$D:$D,"Thanh toán",'NHAT KY THANH TOAN'!$F:$F,"Tiền mặt",'NHAT KY THANH TOAN'!$G:$G,"&gt;="&amp;'THAM SO'!$B$11)&gt;0,"Có khoản TT tiền mặt ≥ ngưỡng; ","")&amp;IF(AND(AB296&lt;&gt;"",N(AB296)&lt;0),"Thanh toán vượt giá trị HĐ; ","")))</f>
        <v/>
      </c>
      <c r="AG296" s="108" t="n"/>
      <c r="AH296" s="109" t="n"/>
      <c r="AI296" s="105">
        <f>IF(OR(H296="",O296="",AH296&lt;&gt;""),"",O296-'THAM SO'!$B$8)</f>
        <v/>
      </c>
      <c r="AJ296" s="95">
        <f>IF(H296="","",IF(AH296&lt;&gt;"","Đã thanh lý",IF(AND(N296&lt;&gt;"",N296&gt;'THAM SO'!$B$8),"Chưa hiệu lực",IF(O296="","Đang thực hiện",IF(O296&lt;'THAM SO'!$B$8,IF(P296="Có","Đã tự gia hạn – kiểm tra","Quá hạn – chưa thanh lý"),IF(O296-'THAM SO'!$B$8&lt;='THAM SO'!$B$9,"Sắp hết hạn","Đang thực hiện"))))))</f>
        <v/>
      </c>
      <c r="AK296" s="106">
        <f>IF(AND(O296="",AH296=""),"",EDATE(MAX(N(O296),N(AH296)),12*'THAM SO'!$B$12))</f>
        <v/>
      </c>
      <c r="AL296" s="110" t="n"/>
    </row>
    <row r="297" ht="15" customHeight="1" s="64">
      <c r="A297" s="93">
        <f>IF(H297="","",COUNTA($H$9:H297))</f>
        <v/>
      </c>
      <c r="B297" s="93">
        <f>IF(OR(D297="",G297=""),"",YEAR(G297)&amp;"/"&amp;D297&amp;"/"&amp;TEXT(SUMPRODUCT(($D$9:D297=D297)*(YEAR($G$9:G297)=YEAR(G297))),"000")&amp;"-"&amp;'THAM SO'!$B$7)</f>
        <v/>
      </c>
      <c r="C297" s="107" t="n"/>
      <c r="D297" s="107" t="n"/>
      <c r="E297" s="95">
        <f>IF(D297="","",IFERROR(VLOOKUP(D297,'THAM SO'!$D$6:$E$40,2,FALSE()),"Mã loại chưa khai báo"))</f>
        <v/>
      </c>
      <c r="F297" s="108" t="n"/>
      <c r="G297" s="109" t="n"/>
      <c r="H297" s="110" t="n"/>
      <c r="I297" s="108" t="n"/>
      <c r="J297" s="110" t="n"/>
      <c r="K297" s="108" t="n"/>
      <c r="L297" s="108" t="n"/>
      <c r="M297" s="108" t="n"/>
      <c r="N297" s="109" t="n"/>
      <c r="O297" s="109" t="n"/>
      <c r="P297" s="107" t="n"/>
      <c r="Q297" s="107" t="n"/>
      <c r="R297" s="111" t="n"/>
      <c r="S297" s="112" t="n"/>
      <c r="T297" s="113" t="n"/>
      <c r="U297" s="102">
        <f>IF(S297="","",ROUND(S297*N(T297),2))</f>
        <v/>
      </c>
      <c r="V297" s="102">
        <f>IF(S297="","",S297+U297)</f>
        <v/>
      </c>
      <c r="W297" s="103">
        <f>IF(V297="","",ROUND(V297*IF(OR(Q297="",Q297="VND"),1,R297),0))</f>
        <v/>
      </c>
      <c r="X297" s="111" t="n"/>
      <c r="Y297" s="103">
        <f>IF(W297="","",W297+N(X297))</f>
        <v/>
      </c>
      <c r="Z297" s="103">
        <f>IF(B297="","",SUMIFS('NHAT KY THANH TOAN'!$G:$G,'NHAT KY THANH TOAN'!$B:$B,B297,'NHAT KY THANH TOAN'!$D:$D,"Hóa đơn"))</f>
        <v/>
      </c>
      <c r="AA297" s="103">
        <f>IF(B297="","",SUMIFS('NHAT KY THANH TOAN'!$G:$G,'NHAT KY THANH TOAN'!$B:$B,B297,'NHAT KY THANH TOAN'!$D:$D,"Thanh toán"))</f>
        <v/>
      </c>
      <c r="AB297" s="103">
        <f>IF(Y297="","",Y297-N(AA297))</f>
        <v/>
      </c>
      <c r="AC297" s="103">
        <f>IF(B297="","",N(Z297)-N(AA297))</f>
        <v/>
      </c>
      <c r="AD297" s="104">
        <f>IF(N(Y297)=0,"",N(AA297)/Y297)</f>
        <v/>
      </c>
      <c r="AE297" s="107" t="n"/>
      <c r="AF297" s="95">
        <f>IF(H297="","",TRIM(IF(AND(N(Y297)&gt;='THAM SO'!$B$10,AE297&lt;&gt;"Có"),"Chưa rà soát pháp lý; ","")&amp;IF(I297="","Thiếu MST đối tác; ","")&amp;IF(AG297="","Chưa ghi nơi lưu bản gốc; ","")&amp;IF(COUNTIFS('NHAT KY THANH TOAN'!$B:$B,B297,'NHAT KY THANH TOAN'!$D:$D,"Thanh toán",'NHAT KY THANH TOAN'!$F:$F,"Tiền mặt",'NHAT KY THANH TOAN'!$G:$G,"&gt;="&amp;'THAM SO'!$B$11)&gt;0,"Có khoản TT tiền mặt ≥ ngưỡng; ","")&amp;IF(AND(AB297&lt;&gt;"",N(AB297)&lt;0),"Thanh toán vượt giá trị HĐ; ","")))</f>
        <v/>
      </c>
      <c r="AG297" s="108" t="n"/>
      <c r="AH297" s="109" t="n"/>
      <c r="AI297" s="105">
        <f>IF(OR(H297="",O297="",AH297&lt;&gt;""),"",O297-'THAM SO'!$B$8)</f>
        <v/>
      </c>
      <c r="AJ297" s="95">
        <f>IF(H297="","",IF(AH297&lt;&gt;"","Đã thanh lý",IF(AND(N297&lt;&gt;"",N297&gt;'THAM SO'!$B$8),"Chưa hiệu lực",IF(O297="","Đang thực hiện",IF(O297&lt;'THAM SO'!$B$8,IF(P297="Có","Đã tự gia hạn – kiểm tra","Quá hạn – chưa thanh lý"),IF(O297-'THAM SO'!$B$8&lt;='THAM SO'!$B$9,"Sắp hết hạn","Đang thực hiện"))))))</f>
        <v/>
      </c>
      <c r="AK297" s="106">
        <f>IF(AND(O297="",AH297=""),"",EDATE(MAX(N(O297),N(AH297)),12*'THAM SO'!$B$12))</f>
        <v/>
      </c>
      <c r="AL297" s="110" t="n"/>
    </row>
    <row r="298" ht="15" customHeight="1" s="64">
      <c r="A298" s="93">
        <f>IF(H298="","",COUNTA($H$9:H298))</f>
        <v/>
      </c>
      <c r="B298" s="93">
        <f>IF(OR(D298="",G298=""),"",YEAR(G298)&amp;"/"&amp;D298&amp;"/"&amp;TEXT(SUMPRODUCT(($D$9:D298=D298)*(YEAR($G$9:G298)=YEAR(G298))),"000")&amp;"-"&amp;'THAM SO'!$B$7)</f>
        <v/>
      </c>
      <c r="C298" s="107" t="n"/>
      <c r="D298" s="107" t="n"/>
      <c r="E298" s="95">
        <f>IF(D298="","",IFERROR(VLOOKUP(D298,'THAM SO'!$D$6:$E$40,2,FALSE()),"Mã loại chưa khai báo"))</f>
        <v/>
      </c>
      <c r="F298" s="108" t="n"/>
      <c r="G298" s="109" t="n"/>
      <c r="H298" s="110" t="n"/>
      <c r="I298" s="108" t="n"/>
      <c r="J298" s="110" t="n"/>
      <c r="K298" s="108" t="n"/>
      <c r="L298" s="108" t="n"/>
      <c r="M298" s="108" t="n"/>
      <c r="N298" s="109" t="n"/>
      <c r="O298" s="109" t="n"/>
      <c r="P298" s="107" t="n"/>
      <c r="Q298" s="107" t="n"/>
      <c r="R298" s="111" t="n"/>
      <c r="S298" s="112" t="n"/>
      <c r="T298" s="113" t="n"/>
      <c r="U298" s="102">
        <f>IF(S298="","",ROUND(S298*N(T298),2))</f>
        <v/>
      </c>
      <c r="V298" s="102">
        <f>IF(S298="","",S298+U298)</f>
        <v/>
      </c>
      <c r="W298" s="103">
        <f>IF(V298="","",ROUND(V298*IF(OR(Q298="",Q298="VND"),1,R298),0))</f>
        <v/>
      </c>
      <c r="X298" s="111" t="n"/>
      <c r="Y298" s="103">
        <f>IF(W298="","",W298+N(X298))</f>
        <v/>
      </c>
      <c r="Z298" s="103">
        <f>IF(B298="","",SUMIFS('NHAT KY THANH TOAN'!$G:$G,'NHAT KY THANH TOAN'!$B:$B,B298,'NHAT KY THANH TOAN'!$D:$D,"Hóa đơn"))</f>
        <v/>
      </c>
      <c r="AA298" s="103">
        <f>IF(B298="","",SUMIFS('NHAT KY THANH TOAN'!$G:$G,'NHAT KY THANH TOAN'!$B:$B,B298,'NHAT KY THANH TOAN'!$D:$D,"Thanh toán"))</f>
        <v/>
      </c>
      <c r="AB298" s="103">
        <f>IF(Y298="","",Y298-N(AA298))</f>
        <v/>
      </c>
      <c r="AC298" s="103">
        <f>IF(B298="","",N(Z298)-N(AA298))</f>
        <v/>
      </c>
      <c r="AD298" s="104">
        <f>IF(N(Y298)=0,"",N(AA298)/Y298)</f>
        <v/>
      </c>
      <c r="AE298" s="107" t="n"/>
      <c r="AF298" s="95">
        <f>IF(H298="","",TRIM(IF(AND(N(Y298)&gt;='THAM SO'!$B$10,AE298&lt;&gt;"Có"),"Chưa rà soát pháp lý; ","")&amp;IF(I298="","Thiếu MST đối tác; ","")&amp;IF(AG298="","Chưa ghi nơi lưu bản gốc; ","")&amp;IF(COUNTIFS('NHAT KY THANH TOAN'!$B:$B,B298,'NHAT KY THANH TOAN'!$D:$D,"Thanh toán",'NHAT KY THANH TOAN'!$F:$F,"Tiền mặt",'NHAT KY THANH TOAN'!$G:$G,"&gt;="&amp;'THAM SO'!$B$11)&gt;0,"Có khoản TT tiền mặt ≥ ngưỡng; ","")&amp;IF(AND(AB298&lt;&gt;"",N(AB298)&lt;0),"Thanh toán vượt giá trị HĐ; ","")))</f>
        <v/>
      </c>
      <c r="AG298" s="108" t="n"/>
      <c r="AH298" s="109" t="n"/>
      <c r="AI298" s="105">
        <f>IF(OR(H298="",O298="",AH298&lt;&gt;""),"",O298-'THAM SO'!$B$8)</f>
        <v/>
      </c>
      <c r="AJ298" s="95">
        <f>IF(H298="","",IF(AH298&lt;&gt;"","Đã thanh lý",IF(AND(N298&lt;&gt;"",N298&gt;'THAM SO'!$B$8),"Chưa hiệu lực",IF(O298="","Đang thực hiện",IF(O298&lt;'THAM SO'!$B$8,IF(P298="Có","Đã tự gia hạn – kiểm tra","Quá hạn – chưa thanh lý"),IF(O298-'THAM SO'!$B$8&lt;='THAM SO'!$B$9,"Sắp hết hạn","Đang thực hiện"))))))</f>
        <v/>
      </c>
      <c r="AK298" s="106">
        <f>IF(AND(O298="",AH298=""),"",EDATE(MAX(N(O298),N(AH298)),12*'THAM SO'!$B$12))</f>
        <v/>
      </c>
      <c r="AL298" s="110" t="n"/>
    </row>
    <row r="299" ht="15" customHeight="1" s="64">
      <c r="A299" s="93">
        <f>IF(H299="","",COUNTA($H$9:H299))</f>
        <v/>
      </c>
      <c r="B299" s="93">
        <f>IF(OR(D299="",G299=""),"",YEAR(G299)&amp;"/"&amp;D299&amp;"/"&amp;TEXT(SUMPRODUCT(($D$9:D299=D299)*(YEAR($G$9:G299)=YEAR(G299))),"000")&amp;"-"&amp;'THAM SO'!$B$7)</f>
        <v/>
      </c>
      <c r="C299" s="107" t="n"/>
      <c r="D299" s="107" t="n"/>
      <c r="E299" s="95">
        <f>IF(D299="","",IFERROR(VLOOKUP(D299,'THAM SO'!$D$6:$E$40,2,FALSE()),"Mã loại chưa khai báo"))</f>
        <v/>
      </c>
      <c r="F299" s="108" t="n"/>
      <c r="G299" s="109" t="n"/>
      <c r="H299" s="110" t="n"/>
      <c r="I299" s="108" t="n"/>
      <c r="J299" s="110" t="n"/>
      <c r="K299" s="108" t="n"/>
      <c r="L299" s="108" t="n"/>
      <c r="M299" s="108" t="n"/>
      <c r="N299" s="109" t="n"/>
      <c r="O299" s="109" t="n"/>
      <c r="P299" s="107" t="n"/>
      <c r="Q299" s="107" t="n"/>
      <c r="R299" s="111" t="n"/>
      <c r="S299" s="112" t="n"/>
      <c r="T299" s="113" t="n"/>
      <c r="U299" s="102">
        <f>IF(S299="","",ROUND(S299*N(T299),2))</f>
        <v/>
      </c>
      <c r="V299" s="102">
        <f>IF(S299="","",S299+U299)</f>
        <v/>
      </c>
      <c r="W299" s="103">
        <f>IF(V299="","",ROUND(V299*IF(OR(Q299="",Q299="VND"),1,R299),0))</f>
        <v/>
      </c>
      <c r="X299" s="111" t="n"/>
      <c r="Y299" s="103">
        <f>IF(W299="","",W299+N(X299))</f>
        <v/>
      </c>
      <c r="Z299" s="103">
        <f>IF(B299="","",SUMIFS('NHAT KY THANH TOAN'!$G:$G,'NHAT KY THANH TOAN'!$B:$B,B299,'NHAT KY THANH TOAN'!$D:$D,"Hóa đơn"))</f>
        <v/>
      </c>
      <c r="AA299" s="103">
        <f>IF(B299="","",SUMIFS('NHAT KY THANH TOAN'!$G:$G,'NHAT KY THANH TOAN'!$B:$B,B299,'NHAT KY THANH TOAN'!$D:$D,"Thanh toán"))</f>
        <v/>
      </c>
      <c r="AB299" s="103">
        <f>IF(Y299="","",Y299-N(AA299))</f>
        <v/>
      </c>
      <c r="AC299" s="103">
        <f>IF(B299="","",N(Z299)-N(AA299))</f>
        <v/>
      </c>
      <c r="AD299" s="104">
        <f>IF(N(Y299)=0,"",N(AA299)/Y299)</f>
        <v/>
      </c>
      <c r="AE299" s="107" t="n"/>
      <c r="AF299" s="95">
        <f>IF(H299="","",TRIM(IF(AND(N(Y299)&gt;='THAM SO'!$B$10,AE299&lt;&gt;"Có"),"Chưa rà soát pháp lý; ","")&amp;IF(I299="","Thiếu MST đối tác; ","")&amp;IF(AG299="","Chưa ghi nơi lưu bản gốc; ","")&amp;IF(COUNTIFS('NHAT KY THANH TOAN'!$B:$B,B299,'NHAT KY THANH TOAN'!$D:$D,"Thanh toán",'NHAT KY THANH TOAN'!$F:$F,"Tiền mặt",'NHAT KY THANH TOAN'!$G:$G,"&gt;="&amp;'THAM SO'!$B$11)&gt;0,"Có khoản TT tiền mặt ≥ ngưỡng; ","")&amp;IF(AND(AB299&lt;&gt;"",N(AB299)&lt;0),"Thanh toán vượt giá trị HĐ; ","")))</f>
        <v/>
      </c>
      <c r="AG299" s="108" t="n"/>
      <c r="AH299" s="109" t="n"/>
      <c r="AI299" s="105">
        <f>IF(OR(H299="",O299="",AH299&lt;&gt;""),"",O299-'THAM SO'!$B$8)</f>
        <v/>
      </c>
      <c r="AJ299" s="95">
        <f>IF(H299="","",IF(AH299&lt;&gt;"","Đã thanh lý",IF(AND(N299&lt;&gt;"",N299&gt;'THAM SO'!$B$8),"Chưa hiệu lực",IF(O299="","Đang thực hiện",IF(O299&lt;'THAM SO'!$B$8,IF(P299="Có","Đã tự gia hạn – kiểm tra","Quá hạn – chưa thanh lý"),IF(O299-'THAM SO'!$B$8&lt;='THAM SO'!$B$9,"Sắp hết hạn","Đang thực hiện"))))))</f>
        <v/>
      </c>
      <c r="AK299" s="106">
        <f>IF(AND(O299="",AH299=""),"",EDATE(MAX(N(O299),N(AH299)),12*'THAM SO'!$B$12))</f>
        <v/>
      </c>
      <c r="AL299" s="110" t="n"/>
    </row>
    <row r="300" ht="15" customHeight="1" s="64">
      <c r="A300" s="93">
        <f>IF(H300="","",COUNTA($H$9:H300))</f>
        <v/>
      </c>
      <c r="B300" s="93">
        <f>IF(OR(D300="",G300=""),"",YEAR(G300)&amp;"/"&amp;D300&amp;"/"&amp;TEXT(SUMPRODUCT(($D$9:D300=D300)*(YEAR($G$9:G300)=YEAR(G300))),"000")&amp;"-"&amp;'THAM SO'!$B$7)</f>
        <v/>
      </c>
      <c r="C300" s="107" t="n"/>
      <c r="D300" s="107" t="n"/>
      <c r="E300" s="95">
        <f>IF(D300="","",IFERROR(VLOOKUP(D300,'THAM SO'!$D$6:$E$40,2,FALSE()),"Mã loại chưa khai báo"))</f>
        <v/>
      </c>
      <c r="F300" s="108" t="n"/>
      <c r="G300" s="109" t="n"/>
      <c r="H300" s="110" t="n"/>
      <c r="I300" s="108" t="n"/>
      <c r="J300" s="110" t="n"/>
      <c r="K300" s="108" t="n"/>
      <c r="L300" s="108" t="n"/>
      <c r="M300" s="108" t="n"/>
      <c r="N300" s="109" t="n"/>
      <c r="O300" s="109" t="n"/>
      <c r="P300" s="107" t="n"/>
      <c r="Q300" s="107" t="n"/>
      <c r="R300" s="111" t="n"/>
      <c r="S300" s="112" t="n"/>
      <c r="T300" s="113" t="n"/>
      <c r="U300" s="102">
        <f>IF(S300="","",ROUND(S300*N(T300),2))</f>
        <v/>
      </c>
      <c r="V300" s="102">
        <f>IF(S300="","",S300+U300)</f>
        <v/>
      </c>
      <c r="W300" s="103">
        <f>IF(V300="","",ROUND(V300*IF(OR(Q300="",Q300="VND"),1,R300),0))</f>
        <v/>
      </c>
      <c r="X300" s="111" t="n"/>
      <c r="Y300" s="103">
        <f>IF(W300="","",W300+N(X300))</f>
        <v/>
      </c>
      <c r="Z300" s="103">
        <f>IF(B300="","",SUMIFS('NHAT KY THANH TOAN'!$G:$G,'NHAT KY THANH TOAN'!$B:$B,B300,'NHAT KY THANH TOAN'!$D:$D,"Hóa đơn"))</f>
        <v/>
      </c>
      <c r="AA300" s="103">
        <f>IF(B300="","",SUMIFS('NHAT KY THANH TOAN'!$G:$G,'NHAT KY THANH TOAN'!$B:$B,B300,'NHAT KY THANH TOAN'!$D:$D,"Thanh toán"))</f>
        <v/>
      </c>
      <c r="AB300" s="103">
        <f>IF(Y300="","",Y300-N(AA300))</f>
        <v/>
      </c>
      <c r="AC300" s="103">
        <f>IF(B300="","",N(Z300)-N(AA300))</f>
        <v/>
      </c>
      <c r="AD300" s="104">
        <f>IF(N(Y300)=0,"",N(AA300)/Y300)</f>
        <v/>
      </c>
      <c r="AE300" s="107" t="n"/>
      <c r="AF300" s="95">
        <f>IF(H300="","",TRIM(IF(AND(N(Y300)&gt;='THAM SO'!$B$10,AE300&lt;&gt;"Có"),"Chưa rà soát pháp lý; ","")&amp;IF(I300="","Thiếu MST đối tác; ","")&amp;IF(AG300="","Chưa ghi nơi lưu bản gốc; ","")&amp;IF(COUNTIFS('NHAT KY THANH TOAN'!$B:$B,B300,'NHAT KY THANH TOAN'!$D:$D,"Thanh toán",'NHAT KY THANH TOAN'!$F:$F,"Tiền mặt",'NHAT KY THANH TOAN'!$G:$G,"&gt;="&amp;'THAM SO'!$B$11)&gt;0,"Có khoản TT tiền mặt ≥ ngưỡng; ","")&amp;IF(AND(AB300&lt;&gt;"",N(AB300)&lt;0),"Thanh toán vượt giá trị HĐ; ","")))</f>
        <v/>
      </c>
      <c r="AG300" s="108" t="n"/>
      <c r="AH300" s="109" t="n"/>
      <c r="AI300" s="105">
        <f>IF(OR(H300="",O300="",AH300&lt;&gt;""),"",O300-'THAM SO'!$B$8)</f>
        <v/>
      </c>
      <c r="AJ300" s="95">
        <f>IF(H300="","",IF(AH300&lt;&gt;"","Đã thanh lý",IF(AND(N300&lt;&gt;"",N300&gt;'THAM SO'!$B$8),"Chưa hiệu lực",IF(O300="","Đang thực hiện",IF(O300&lt;'THAM SO'!$B$8,IF(P300="Có","Đã tự gia hạn – kiểm tra","Quá hạn – chưa thanh lý"),IF(O300-'THAM SO'!$B$8&lt;='THAM SO'!$B$9,"Sắp hết hạn","Đang thực hiện"))))))</f>
        <v/>
      </c>
      <c r="AK300" s="106">
        <f>IF(AND(O300="",AH300=""),"",EDATE(MAX(N(O300),N(AH300)),12*'THAM SO'!$B$12))</f>
        <v/>
      </c>
      <c r="AL300" s="110" t="n"/>
    </row>
    <row r="301" ht="15" customHeight="1" s="64">
      <c r="A301" s="93">
        <f>IF(H301="","",COUNTA($H$9:H301))</f>
        <v/>
      </c>
      <c r="B301" s="93">
        <f>IF(OR(D301="",G301=""),"",YEAR(G301)&amp;"/"&amp;D301&amp;"/"&amp;TEXT(SUMPRODUCT(($D$9:D301=D301)*(YEAR($G$9:G301)=YEAR(G301))),"000")&amp;"-"&amp;'THAM SO'!$B$7)</f>
        <v/>
      </c>
      <c r="C301" s="107" t="n"/>
      <c r="D301" s="107" t="n"/>
      <c r="E301" s="95">
        <f>IF(D301="","",IFERROR(VLOOKUP(D301,'THAM SO'!$D$6:$E$40,2,FALSE()),"Mã loại chưa khai báo"))</f>
        <v/>
      </c>
      <c r="F301" s="108" t="n"/>
      <c r="G301" s="109" t="n"/>
      <c r="H301" s="110" t="n"/>
      <c r="I301" s="108" t="n"/>
      <c r="J301" s="110" t="n"/>
      <c r="K301" s="108" t="n"/>
      <c r="L301" s="108" t="n"/>
      <c r="M301" s="108" t="n"/>
      <c r="N301" s="109" t="n"/>
      <c r="O301" s="109" t="n"/>
      <c r="P301" s="107" t="n"/>
      <c r="Q301" s="107" t="n"/>
      <c r="R301" s="111" t="n"/>
      <c r="S301" s="112" t="n"/>
      <c r="T301" s="113" t="n"/>
      <c r="U301" s="102">
        <f>IF(S301="","",ROUND(S301*N(T301),2))</f>
        <v/>
      </c>
      <c r="V301" s="102">
        <f>IF(S301="","",S301+U301)</f>
        <v/>
      </c>
      <c r="W301" s="103">
        <f>IF(V301="","",ROUND(V301*IF(OR(Q301="",Q301="VND"),1,R301),0))</f>
        <v/>
      </c>
      <c r="X301" s="111" t="n"/>
      <c r="Y301" s="103">
        <f>IF(W301="","",W301+N(X301))</f>
        <v/>
      </c>
      <c r="Z301" s="103">
        <f>IF(B301="","",SUMIFS('NHAT KY THANH TOAN'!$G:$G,'NHAT KY THANH TOAN'!$B:$B,B301,'NHAT KY THANH TOAN'!$D:$D,"Hóa đơn"))</f>
        <v/>
      </c>
      <c r="AA301" s="103">
        <f>IF(B301="","",SUMIFS('NHAT KY THANH TOAN'!$G:$G,'NHAT KY THANH TOAN'!$B:$B,B301,'NHAT KY THANH TOAN'!$D:$D,"Thanh toán"))</f>
        <v/>
      </c>
      <c r="AB301" s="103">
        <f>IF(Y301="","",Y301-N(AA301))</f>
        <v/>
      </c>
      <c r="AC301" s="103">
        <f>IF(B301="","",N(Z301)-N(AA301))</f>
        <v/>
      </c>
      <c r="AD301" s="104">
        <f>IF(N(Y301)=0,"",N(AA301)/Y301)</f>
        <v/>
      </c>
      <c r="AE301" s="107" t="n"/>
      <c r="AF301" s="95">
        <f>IF(H301="","",TRIM(IF(AND(N(Y301)&gt;='THAM SO'!$B$10,AE301&lt;&gt;"Có"),"Chưa rà soát pháp lý; ","")&amp;IF(I301="","Thiếu MST đối tác; ","")&amp;IF(AG301="","Chưa ghi nơi lưu bản gốc; ","")&amp;IF(COUNTIFS('NHAT KY THANH TOAN'!$B:$B,B301,'NHAT KY THANH TOAN'!$D:$D,"Thanh toán",'NHAT KY THANH TOAN'!$F:$F,"Tiền mặt",'NHAT KY THANH TOAN'!$G:$G,"&gt;="&amp;'THAM SO'!$B$11)&gt;0,"Có khoản TT tiền mặt ≥ ngưỡng; ","")&amp;IF(AND(AB301&lt;&gt;"",N(AB301)&lt;0),"Thanh toán vượt giá trị HĐ; ","")))</f>
        <v/>
      </c>
      <c r="AG301" s="108" t="n"/>
      <c r="AH301" s="109" t="n"/>
      <c r="AI301" s="105">
        <f>IF(OR(H301="",O301="",AH301&lt;&gt;""),"",O301-'THAM SO'!$B$8)</f>
        <v/>
      </c>
      <c r="AJ301" s="95">
        <f>IF(H301="","",IF(AH301&lt;&gt;"","Đã thanh lý",IF(AND(N301&lt;&gt;"",N301&gt;'THAM SO'!$B$8),"Chưa hiệu lực",IF(O301="","Đang thực hiện",IF(O301&lt;'THAM SO'!$B$8,IF(P301="Có","Đã tự gia hạn – kiểm tra","Quá hạn – chưa thanh lý"),IF(O301-'THAM SO'!$B$8&lt;='THAM SO'!$B$9,"Sắp hết hạn","Đang thực hiện"))))))</f>
        <v/>
      </c>
      <c r="AK301" s="106">
        <f>IF(AND(O301="",AH301=""),"",EDATE(MAX(N(O301),N(AH301)),12*'THAM SO'!$B$12))</f>
        <v/>
      </c>
      <c r="AL301" s="110" t="n"/>
    </row>
    <row r="302" ht="15" customHeight="1" s="64">
      <c r="A302" s="93">
        <f>IF(H302="","",COUNTA($H$9:H302))</f>
        <v/>
      </c>
      <c r="B302" s="93">
        <f>IF(OR(D302="",G302=""),"",YEAR(G302)&amp;"/"&amp;D302&amp;"/"&amp;TEXT(SUMPRODUCT(($D$9:D302=D302)*(YEAR($G$9:G302)=YEAR(G302))),"000")&amp;"-"&amp;'THAM SO'!$B$7)</f>
        <v/>
      </c>
      <c r="C302" s="107" t="n"/>
      <c r="D302" s="107" t="n"/>
      <c r="E302" s="95">
        <f>IF(D302="","",IFERROR(VLOOKUP(D302,'THAM SO'!$D$6:$E$40,2,FALSE()),"Mã loại chưa khai báo"))</f>
        <v/>
      </c>
      <c r="F302" s="108" t="n"/>
      <c r="G302" s="109" t="n"/>
      <c r="H302" s="110" t="n"/>
      <c r="I302" s="108" t="n"/>
      <c r="J302" s="110" t="n"/>
      <c r="K302" s="108" t="n"/>
      <c r="L302" s="108" t="n"/>
      <c r="M302" s="108" t="n"/>
      <c r="N302" s="109" t="n"/>
      <c r="O302" s="109" t="n"/>
      <c r="P302" s="107" t="n"/>
      <c r="Q302" s="107" t="n"/>
      <c r="R302" s="111" t="n"/>
      <c r="S302" s="112" t="n"/>
      <c r="T302" s="113" t="n"/>
      <c r="U302" s="102">
        <f>IF(S302="","",ROUND(S302*N(T302),2))</f>
        <v/>
      </c>
      <c r="V302" s="102">
        <f>IF(S302="","",S302+U302)</f>
        <v/>
      </c>
      <c r="W302" s="103">
        <f>IF(V302="","",ROUND(V302*IF(OR(Q302="",Q302="VND"),1,R302),0))</f>
        <v/>
      </c>
      <c r="X302" s="111" t="n"/>
      <c r="Y302" s="103">
        <f>IF(W302="","",W302+N(X302))</f>
        <v/>
      </c>
      <c r="Z302" s="103">
        <f>IF(B302="","",SUMIFS('NHAT KY THANH TOAN'!$G:$G,'NHAT KY THANH TOAN'!$B:$B,B302,'NHAT KY THANH TOAN'!$D:$D,"Hóa đơn"))</f>
        <v/>
      </c>
      <c r="AA302" s="103">
        <f>IF(B302="","",SUMIFS('NHAT KY THANH TOAN'!$G:$G,'NHAT KY THANH TOAN'!$B:$B,B302,'NHAT KY THANH TOAN'!$D:$D,"Thanh toán"))</f>
        <v/>
      </c>
      <c r="AB302" s="103">
        <f>IF(Y302="","",Y302-N(AA302))</f>
        <v/>
      </c>
      <c r="AC302" s="103">
        <f>IF(B302="","",N(Z302)-N(AA302))</f>
        <v/>
      </c>
      <c r="AD302" s="104">
        <f>IF(N(Y302)=0,"",N(AA302)/Y302)</f>
        <v/>
      </c>
      <c r="AE302" s="107" t="n"/>
      <c r="AF302" s="95">
        <f>IF(H302="","",TRIM(IF(AND(N(Y302)&gt;='THAM SO'!$B$10,AE302&lt;&gt;"Có"),"Chưa rà soát pháp lý; ","")&amp;IF(I302="","Thiếu MST đối tác; ","")&amp;IF(AG302="","Chưa ghi nơi lưu bản gốc; ","")&amp;IF(COUNTIFS('NHAT KY THANH TOAN'!$B:$B,B302,'NHAT KY THANH TOAN'!$D:$D,"Thanh toán",'NHAT KY THANH TOAN'!$F:$F,"Tiền mặt",'NHAT KY THANH TOAN'!$G:$G,"&gt;="&amp;'THAM SO'!$B$11)&gt;0,"Có khoản TT tiền mặt ≥ ngưỡng; ","")&amp;IF(AND(AB302&lt;&gt;"",N(AB302)&lt;0),"Thanh toán vượt giá trị HĐ; ","")))</f>
        <v/>
      </c>
      <c r="AG302" s="108" t="n"/>
      <c r="AH302" s="109" t="n"/>
      <c r="AI302" s="105">
        <f>IF(OR(H302="",O302="",AH302&lt;&gt;""),"",O302-'THAM SO'!$B$8)</f>
        <v/>
      </c>
      <c r="AJ302" s="95">
        <f>IF(H302="","",IF(AH302&lt;&gt;"","Đã thanh lý",IF(AND(N302&lt;&gt;"",N302&gt;'THAM SO'!$B$8),"Chưa hiệu lực",IF(O302="","Đang thực hiện",IF(O302&lt;'THAM SO'!$B$8,IF(P302="Có","Đã tự gia hạn – kiểm tra","Quá hạn – chưa thanh lý"),IF(O302-'THAM SO'!$B$8&lt;='THAM SO'!$B$9,"Sắp hết hạn","Đang thực hiện"))))))</f>
        <v/>
      </c>
      <c r="AK302" s="106">
        <f>IF(AND(O302="",AH302=""),"",EDATE(MAX(N(O302),N(AH302)),12*'THAM SO'!$B$12))</f>
        <v/>
      </c>
      <c r="AL302" s="110" t="n"/>
    </row>
    <row r="303" ht="15" customHeight="1" s="64">
      <c r="A303" s="93">
        <f>IF(H303="","",COUNTA($H$9:H303))</f>
        <v/>
      </c>
      <c r="B303" s="93">
        <f>IF(OR(D303="",G303=""),"",YEAR(G303)&amp;"/"&amp;D303&amp;"/"&amp;TEXT(SUMPRODUCT(($D$9:D303=D303)*(YEAR($G$9:G303)=YEAR(G303))),"000")&amp;"-"&amp;'THAM SO'!$B$7)</f>
        <v/>
      </c>
      <c r="C303" s="107" t="n"/>
      <c r="D303" s="107" t="n"/>
      <c r="E303" s="95">
        <f>IF(D303="","",IFERROR(VLOOKUP(D303,'THAM SO'!$D$6:$E$40,2,FALSE()),"Mã loại chưa khai báo"))</f>
        <v/>
      </c>
      <c r="F303" s="108" t="n"/>
      <c r="G303" s="109" t="n"/>
      <c r="H303" s="110" t="n"/>
      <c r="I303" s="108" t="n"/>
      <c r="J303" s="110" t="n"/>
      <c r="K303" s="108" t="n"/>
      <c r="L303" s="108" t="n"/>
      <c r="M303" s="108" t="n"/>
      <c r="N303" s="109" t="n"/>
      <c r="O303" s="109" t="n"/>
      <c r="P303" s="107" t="n"/>
      <c r="Q303" s="107" t="n"/>
      <c r="R303" s="111" t="n"/>
      <c r="S303" s="112" t="n"/>
      <c r="T303" s="113" t="n"/>
      <c r="U303" s="102">
        <f>IF(S303="","",ROUND(S303*N(T303),2))</f>
        <v/>
      </c>
      <c r="V303" s="102">
        <f>IF(S303="","",S303+U303)</f>
        <v/>
      </c>
      <c r="W303" s="103">
        <f>IF(V303="","",ROUND(V303*IF(OR(Q303="",Q303="VND"),1,R303),0))</f>
        <v/>
      </c>
      <c r="X303" s="111" t="n"/>
      <c r="Y303" s="103">
        <f>IF(W303="","",W303+N(X303))</f>
        <v/>
      </c>
      <c r="Z303" s="103">
        <f>IF(B303="","",SUMIFS('NHAT KY THANH TOAN'!$G:$G,'NHAT KY THANH TOAN'!$B:$B,B303,'NHAT KY THANH TOAN'!$D:$D,"Hóa đơn"))</f>
        <v/>
      </c>
      <c r="AA303" s="103">
        <f>IF(B303="","",SUMIFS('NHAT KY THANH TOAN'!$G:$G,'NHAT KY THANH TOAN'!$B:$B,B303,'NHAT KY THANH TOAN'!$D:$D,"Thanh toán"))</f>
        <v/>
      </c>
      <c r="AB303" s="103">
        <f>IF(Y303="","",Y303-N(AA303))</f>
        <v/>
      </c>
      <c r="AC303" s="103">
        <f>IF(B303="","",N(Z303)-N(AA303))</f>
        <v/>
      </c>
      <c r="AD303" s="104">
        <f>IF(N(Y303)=0,"",N(AA303)/Y303)</f>
        <v/>
      </c>
      <c r="AE303" s="107" t="n"/>
      <c r="AF303" s="95">
        <f>IF(H303="","",TRIM(IF(AND(N(Y303)&gt;='THAM SO'!$B$10,AE303&lt;&gt;"Có"),"Chưa rà soát pháp lý; ","")&amp;IF(I303="","Thiếu MST đối tác; ","")&amp;IF(AG303="","Chưa ghi nơi lưu bản gốc; ","")&amp;IF(COUNTIFS('NHAT KY THANH TOAN'!$B:$B,B303,'NHAT KY THANH TOAN'!$D:$D,"Thanh toán",'NHAT KY THANH TOAN'!$F:$F,"Tiền mặt",'NHAT KY THANH TOAN'!$G:$G,"&gt;="&amp;'THAM SO'!$B$11)&gt;0,"Có khoản TT tiền mặt ≥ ngưỡng; ","")&amp;IF(AND(AB303&lt;&gt;"",N(AB303)&lt;0),"Thanh toán vượt giá trị HĐ; ","")))</f>
        <v/>
      </c>
      <c r="AG303" s="108" t="n"/>
      <c r="AH303" s="109" t="n"/>
      <c r="AI303" s="105">
        <f>IF(OR(H303="",O303="",AH303&lt;&gt;""),"",O303-'THAM SO'!$B$8)</f>
        <v/>
      </c>
      <c r="AJ303" s="95">
        <f>IF(H303="","",IF(AH303&lt;&gt;"","Đã thanh lý",IF(AND(N303&lt;&gt;"",N303&gt;'THAM SO'!$B$8),"Chưa hiệu lực",IF(O303="","Đang thực hiện",IF(O303&lt;'THAM SO'!$B$8,IF(P303="Có","Đã tự gia hạn – kiểm tra","Quá hạn – chưa thanh lý"),IF(O303-'THAM SO'!$B$8&lt;='THAM SO'!$B$9,"Sắp hết hạn","Đang thực hiện"))))))</f>
        <v/>
      </c>
      <c r="AK303" s="106">
        <f>IF(AND(O303="",AH303=""),"",EDATE(MAX(N(O303),N(AH303)),12*'THAM SO'!$B$12))</f>
        <v/>
      </c>
      <c r="AL303" s="110" t="n"/>
    </row>
    <row r="304" ht="15" customHeight="1" s="64">
      <c r="A304" s="93">
        <f>IF(H304="","",COUNTA($H$9:H304))</f>
        <v/>
      </c>
      <c r="B304" s="93">
        <f>IF(OR(D304="",G304=""),"",YEAR(G304)&amp;"/"&amp;D304&amp;"/"&amp;TEXT(SUMPRODUCT(($D$9:D304=D304)*(YEAR($G$9:G304)=YEAR(G304))),"000")&amp;"-"&amp;'THAM SO'!$B$7)</f>
        <v/>
      </c>
      <c r="C304" s="107" t="n"/>
      <c r="D304" s="107" t="n"/>
      <c r="E304" s="95">
        <f>IF(D304="","",IFERROR(VLOOKUP(D304,'THAM SO'!$D$6:$E$40,2,FALSE()),"Mã loại chưa khai báo"))</f>
        <v/>
      </c>
      <c r="F304" s="108" t="n"/>
      <c r="G304" s="109" t="n"/>
      <c r="H304" s="110" t="n"/>
      <c r="I304" s="108" t="n"/>
      <c r="J304" s="110" t="n"/>
      <c r="K304" s="108" t="n"/>
      <c r="L304" s="108" t="n"/>
      <c r="M304" s="108" t="n"/>
      <c r="N304" s="109" t="n"/>
      <c r="O304" s="109" t="n"/>
      <c r="P304" s="107" t="n"/>
      <c r="Q304" s="107" t="n"/>
      <c r="R304" s="111" t="n"/>
      <c r="S304" s="112" t="n"/>
      <c r="T304" s="113" t="n"/>
      <c r="U304" s="102">
        <f>IF(S304="","",ROUND(S304*N(T304),2))</f>
        <v/>
      </c>
      <c r="V304" s="102">
        <f>IF(S304="","",S304+U304)</f>
        <v/>
      </c>
      <c r="W304" s="103">
        <f>IF(V304="","",ROUND(V304*IF(OR(Q304="",Q304="VND"),1,R304),0))</f>
        <v/>
      </c>
      <c r="X304" s="111" t="n"/>
      <c r="Y304" s="103">
        <f>IF(W304="","",W304+N(X304))</f>
        <v/>
      </c>
      <c r="Z304" s="103">
        <f>IF(B304="","",SUMIFS('NHAT KY THANH TOAN'!$G:$G,'NHAT KY THANH TOAN'!$B:$B,B304,'NHAT KY THANH TOAN'!$D:$D,"Hóa đơn"))</f>
        <v/>
      </c>
      <c r="AA304" s="103">
        <f>IF(B304="","",SUMIFS('NHAT KY THANH TOAN'!$G:$G,'NHAT KY THANH TOAN'!$B:$B,B304,'NHAT KY THANH TOAN'!$D:$D,"Thanh toán"))</f>
        <v/>
      </c>
      <c r="AB304" s="103">
        <f>IF(Y304="","",Y304-N(AA304))</f>
        <v/>
      </c>
      <c r="AC304" s="103">
        <f>IF(B304="","",N(Z304)-N(AA304))</f>
        <v/>
      </c>
      <c r="AD304" s="104">
        <f>IF(N(Y304)=0,"",N(AA304)/Y304)</f>
        <v/>
      </c>
      <c r="AE304" s="107" t="n"/>
      <c r="AF304" s="95">
        <f>IF(H304="","",TRIM(IF(AND(N(Y304)&gt;='THAM SO'!$B$10,AE304&lt;&gt;"Có"),"Chưa rà soát pháp lý; ","")&amp;IF(I304="","Thiếu MST đối tác; ","")&amp;IF(AG304="","Chưa ghi nơi lưu bản gốc; ","")&amp;IF(COUNTIFS('NHAT KY THANH TOAN'!$B:$B,B304,'NHAT KY THANH TOAN'!$D:$D,"Thanh toán",'NHAT KY THANH TOAN'!$F:$F,"Tiền mặt",'NHAT KY THANH TOAN'!$G:$G,"&gt;="&amp;'THAM SO'!$B$11)&gt;0,"Có khoản TT tiền mặt ≥ ngưỡng; ","")&amp;IF(AND(AB304&lt;&gt;"",N(AB304)&lt;0),"Thanh toán vượt giá trị HĐ; ","")))</f>
        <v/>
      </c>
      <c r="AG304" s="108" t="n"/>
      <c r="AH304" s="109" t="n"/>
      <c r="AI304" s="105">
        <f>IF(OR(H304="",O304="",AH304&lt;&gt;""),"",O304-'THAM SO'!$B$8)</f>
        <v/>
      </c>
      <c r="AJ304" s="95">
        <f>IF(H304="","",IF(AH304&lt;&gt;"","Đã thanh lý",IF(AND(N304&lt;&gt;"",N304&gt;'THAM SO'!$B$8),"Chưa hiệu lực",IF(O304="","Đang thực hiện",IF(O304&lt;'THAM SO'!$B$8,IF(P304="Có","Đã tự gia hạn – kiểm tra","Quá hạn – chưa thanh lý"),IF(O304-'THAM SO'!$B$8&lt;='THAM SO'!$B$9,"Sắp hết hạn","Đang thực hiện"))))))</f>
        <v/>
      </c>
      <c r="AK304" s="106">
        <f>IF(AND(O304="",AH304=""),"",EDATE(MAX(N(O304),N(AH304)),12*'THAM SO'!$B$12))</f>
        <v/>
      </c>
      <c r="AL304" s="110" t="n"/>
    </row>
    <row r="305" ht="15" customHeight="1" s="64">
      <c r="A305" s="93">
        <f>IF(H305="","",COUNTA($H$9:H305))</f>
        <v/>
      </c>
      <c r="B305" s="93">
        <f>IF(OR(D305="",G305=""),"",YEAR(G305)&amp;"/"&amp;D305&amp;"/"&amp;TEXT(SUMPRODUCT(($D$9:D305=D305)*(YEAR($G$9:G305)=YEAR(G305))),"000")&amp;"-"&amp;'THAM SO'!$B$7)</f>
        <v/>
      </c>
      <c r="C305" s="107" t="n"/>
      <c r="D305" s="107" t="n"/>
      <c r="E305" s="95">
        <f>IF(D305="","",IFERROR(VLOOKUP(D305,'THAM SO'!$D$6:$E$40,2,FALSE()),"Mã loại chưa khai báo"))</f>
        <v/>
      </c>
      <c r="F305" s="108" t="n"/>
      <c r="G305" s="109" t="n"/>
      <c r="H305" s="110" t="n"/>
      <c r="I305" s="108" t="n"/>
      <c r="J305" s="110" t="n"/>
      <c r="K305" s="108" t="n"/>
      <c r="L305" s="108" t="n"/>
      <c r="M305" s="108" t="n"/>
      <c r="N305" s="109" t="n"/>
      <c r="O305" s="109" t="n"/>
      <c r="P305" s="107" t="n"/>
      <c r="Q305" s="107" t="n"/>
      <c r="R305" s="111" t="n"/>
      <c r="S305" s="112" t="n"/>
      <c r="T305" s="113" t="n"/>
      <c r="U305" s="102">
        <f>IF(S305="","",ROUND(S305*N(T305),2))</f>
        <v/>
      </c>
      <c r="V305" s="102">
        <f>IF(S305="","",S305+U305)</f>
        <v/>
      </c>
      <c r="W305" s="103">
        <f>IF(V305="","",ROUND(V305*IF(OR(Q305="",Q305="VND"),1,R305),0))</f>
        <v/>
      </c>
      <c r="X305" s="111" t="n"/>
      <c r="Y305" s="103">
        <f>IF(W305="","",W305+N(X305))</f>
        <v/>
      </c>
      <c r="Z305" s="103">
        <f>IF(B305="","",SUMIFS('NHAT KY THANH TOAN'!$G:$G,'NHAT KY THANH TOAN'!$B:$B,B305,'NHAT KY THANH TOAN'!$D:$D,"Hóa đơn"))</f>
        <v/>
      </c>
      <c r="AA305" s="103">
        <f>IF(B305="","",SUMIFS('NHAT KY THANH TOAN'!$G:$G,'NHAT KY THANH TOAN'!$B:$B,B305,'NHAT KY THANH TOAN'!$D:$D,"Thanh toán"))</f>
        <v/>
      </c>
      <c r="AB305" s="103">
        <f>IF(Y305="","",Y305-N(AA305))</f>
        <v/>
      </c>
      <c r="AC305" s="103">
        <f>IF(B305="","",N(Z305)-N(AA305))</f>
        <v/>
      </c>
      <c r="AD305" s="104">
        <f>IF(N(Y305)=0,"",N(AA305)/Y305)</f>
        <v/>
      </c>
      <c r="AE305" s="107" t="n"/>
      <c r="AF305" s="95">
        <f>IF(H305="","",TRIM(IF(AND(N(Y305)&gt;='THAM SO'!$B$10,AE305&lt;&gt;"Có"),"Chưa rà soát pháp lý; ","")&amp;IF(I305="","Thiếu MST đối tác; ","")&amp;IF(AG305="","Chưa ghi nơi lưu bản gốc; ","")&amp;IF(COUNTIFS('NHAT KY THANH TOAN'!$B:$B,B305,'NHAT KY THANH TOAN'!$D:$D,"Thanh toán",'NHAT KY THANH TOAN'!$F:$F,"Tiền mặt",'NHAT KY THANH TOAN'!$G:$G,"&gt;="&amp;'THAM SO'!$B$11)&gt;0,"Có khoản TT tiền mặt ≥ ngưỡng; ","")&amp;IF(AND(AB305&lt;&gt;"",N(AB305)&lt;0),"Thanh toán vượt giá trị HĐ; ","")))</f>
        <v/>
      </c>
      <c r="AG305" s="108" t="n"/>
      <c r="AH305" s="109" t="n"/>
      <c r="AI305" s="105">
        <f>IF(OR(H305="",O305="",AH305&lt;&gt;""),"",O305-'THAM SO'!$B$8)</f>
        <v/>
      </c>
      <c r="AJ305" s="95">
        <f>IF(H305="","",IF(AH305&lt;&gt;"","Đã thanh lý",IF(AND(N305&lt;&gt;"",N305&gt;'THAM SO'!$B$8),"Chưa hiệu lực",IF(O305="","Đang thực hiện",IF(O305&lt;'THAM SO'!$B$8,IF(P305="Có","Đã tự gia hạn – kiểm tra","Quá hạn – chưa thanh lý"),IF(O305-'THAM SO'!$B$8&lt;='THAM SO'!$B$9,"Sắp hết hạn","Đang thực hiện"))))))</f>
        <v/>
      </c>
      <c r="AK305" s="106">
        <f>IF(AND(O305="",AH305=""),"",EDATE(MAX(N(O305),N(AH305)),12*'THAM SO'!$B$12))</f>
        <v/>
      </c>
      <c r="AL305" s="110" t="n"/>
    </row>
    <row r="306" ht="15" customHeight="1" s="64">
      <c r="A306" s="93">
        <f>IF(H306="","",COUNTA($H$9:H306))</f>
        <v/>
      </c>
      <c r="B306" s="93">
        <f>IF(OR(D306="",G306=""),"",YEAR(G306)&amp;"/"&amp;D306&amp;"/"&amp;TEXT(SUMPRODUCT(($D$9:D306=D306)*(YEAR($G$9:G306)=YEAR(G306))),"000")&amp;"-"&amp;'THAM SO'!$B$7)</f>
        <v/>
      </c>
      <c r="C306" s="107" t="n"/>
      <c r="D306" s="107" t="n"/>
      <c r="E306" s="95">
        <f>IF(D306="","",IFERROR(VLOOKUP(D306,'THAM SO'!$D$6:$E$40,2,FALSE()),"Mã loại chưa khai báo"))</f>
        <v/>
      </c>
      <c r="F306" s="108" t="n"/>
      <c r="G306" s="109" t="n"/>
      <c r="H306" s="110" t="n"/>
      <c r="I306" s="108" t="n"/>
      <c r="J306" s="110" t="n"/>
      <c r="K306" s="108" t="n"/>
      <c r="L306" s="108" t="n"/>
      <c r="M306" s="108" t="n"/>
      <c r="N306" s="109" t="n"/>
      <c r="O306" s="109" t="n"/>
      <c r="P306" s="107" t="n"/>
      <c r="Q306" s="107" t="n"/>
      <c r="R306" s="111" t="n"/>
      <c r="S306" s="112" t="n"/>
      <c r="T306" s="113" t="n"/>
      <c r="U306" s="102">
        <f>IF(S306="","",ROUND(S306*N(T306),2))</f>
        <v/>
      </c>
      <c r="V306" s="102">
        <f>IF(S306="","",S306+U306)</f>
        <v/>
      </c>
      <c r="W306" s="103">
        <f>IF(V306="","",ROUND(V306*IF(OR(Q306="",Q306="VND"),1,R306),0))</f>
        <v/>
      </c>
      <c r="X306" s="111" t="n"/>
      <c r="Y306" s="103">
        <f>IF(W306="","",W306+N(X306))</f>
        <v/>
      </c>
      <c r="Z306" s="103">
        <f>IF(B306="","",SUMIFS('NHAT KY THANH TOAN'!$G:$G,'NHAT KY THANH TOAN'!$B:$B,B306,'NHAT KY THANH TOAN'!$D:$D,"Hóa đơn"))</f>
        <v/>
      </c>
      <c r="AA306" s="103">
        <f>IF(B306="","",SUMIFS('NHAT KY THANH TOAN'!$G:$G,'NHAT KY THANH TOAN'!$B:$B,B306,'NHAT KY THANH TOAN'!$D:$D,"Thanh toán"))</f>
        <v/>
      </c>
      <c r="AB306" s="103">
        <f>IF(Y306="","",Y306-N(AA306))</f>
        <v/>
      </c>
      <c r="AC306" s="103">
        <f>IF(B306="","",N(Z306)-N(AA306))</f>
        <v/>
      </c>
      <c r="AD306" s="104">
        <f>IF(N(Y306)=0,"",N(AA306)/Y306)</f>
        <v/>
      </c>
      <c r="AE306" s="107" t="n"/>
      <c r="AF306" s="95">
        <f>IF(H306="","",TRIM(IF(AND(N(Y306)&gt;='THAM SO'!$B$10,AE306&lt;&gt;"Có"),"Chưa rà soát pháp lý; ","")&amp;IF(I306="","Thiếu MST đối tác; ","")&amp;IF(AG306="","Chưa ghi nơi lưu bản gốc; ","")&amp;IF(COUNTIFS('NHAT KY THANH TOAN'!$B:$B,B306,'NHAT KY THANH TOAN'!$D:$D,"Thanh toán",'NHAT KY THANH TOAN'!$F:$F,"Tiền mặt",'NHAT KY THANH TOAN'!$G:$G,"&gt;="&amp;'THAM SO'!$B$11)&gt;0,"Có khoản TT tiền mặt ≥ ngưỡng; ","")&amp;IF(AND(AB306&lt;&gt;"",N(AB306)&lt;0),"Thanh toán vượt giá trị HĐ; ","")))</f>
        <v/>
      </c>
      <c r="AG306" s="108" t="n"/>
      <c r="AH306" s="109" t="n"/>
      <c r="AI306" s="105">
        <f>IF(OR(H306="",O306="",AH306&lt;&gt;""),"",O306-'THAM SO'!$B$8)</f>
        <v/>
      </c>
      <c r="AJ306" s="95">
        <f>IF(H306="","",IF(AH306&lt;&gt;"","Đã thanh lý",IF(AND(N306&lt;&gt;"",N306&gt;'THAM SO'!$B$8),"Chưa hiệu lực",IF(O306="","Đang thực hiện",IF(O306&lt;'THAM SO'!$B$8,IF(P306="Có","Đã tự gia hạn – kiểm tra","Quá hạn – chưa thanh lý"),IF(O306-'THAM SO'!$B$8&lt;='THAM SO'!$B$9,"Sắp hết hạn","Đang thực hiện"))))))</f>
        <v/>
      </c>
      <c r="AK306" s="106">
        <f>IF(AND(O306="",AH306=""),"",EDATE(MAX(N(O306),N(AH306)),12*'THAM SO'!$B$12))</f>
        <v/>
      </c>
      <c r="AL306" s="110" t="n"/>
    </row>
    <row r="307" ht="15" customHeight="1" s="64">
      <c r="A307" s="93">
        <f>IF(H307="","",COUNTA($H$9:H307))</f>
        <v/>
      </c>
      <c r="B307" s="93">
        <f>IF(OR(D307="",G307=""),"",YEAR(G307)&amp;"/"&amp;D307&amp;"/"&amp;TEXT(SUMPRODUCT(($D$9:D307=D307)*(YEAR($G$9:G307)=YEAR(G307))),"000")&amp;"-"&amp;'THAM SO'!$B$7)</f>
        <v/>
      </c>
      <c r="C307" s="107" t="n"/>
      <c r="D307" s="107" t="n"/>
      <c r="E307" s="95">
        <f>IF(D307="","",IFERROR(VLOOKUP(D307,'THAM SO'!$D$6:$E$40,2,FALSE()),"Mã loại chưa khai báo"))</f>
        <v/>
      </c>
      <c r="F307" s="108" t="n"/>
      <c r="G307" s="109" t="n"/>
      <c r="H307" s="110" t="n"/>
      <c r="I307" s="108" t="n"/>
      <c r="J307" s="110" t="n"/>
      <c r="K307" s="108" t="n"/>
      <c r="L307" s="108" t="n"/>
      <c r="M307" s="108" t="n"/>
      <c r="N307" s="109" t="n"/>
      <c r="O307" s="109" t="n"/>
      <c r="P307" s="107" t="n"/>
      <c r="Q307" s="107" t="n"/>
      <c r="R307" s="111" t="n"/>
      <c r="S307" s="112" t="n"/>
      <c r="T307" s="113" t="n"/>
      <c r="U307" s="102">
        <f>IF(S307="","",ROUND(S307*N(T307),2))</f>
        <v/>
      </c>
      <c r="V307" s="102">
        <f>IF(S307="","",S307+U307)</f>
        <v/>
      </c>
      <c r="W307" s="103">
        <f>IF(V307="","",ROUND(V307*IF(OR(Q307="",Q307="VND"),1,R307),0))</f>
        <v/>
      </c>
      <c r="X307" s="111" t="n"/>
      <c r="Y307" s="103">
        <f>IF(W307="","",W307+N(X307))</f>
        <v/>
      </c>
      <c r="Z307" s="103">
        <f>IF(B307="","",SUMIFS('NHAT KY THANH TOAN'!$G:$G,'NHAT KY THANH TOAN'!$B:$B,B307,'NHAT KY THANH TOAN'!$D:$D,"Hóa đơn"))</f>
        <v/>
      </c>
      <c r="AA307" s="103">
        <f>IF(B307="","",SUMIFS('NHAT KY THANH TOAN'!$G:$G,'NHAT KY THANH TOAN'!$B:$B,B307,'NHAT KY THANH TOAN'!$D:$D,"Thanh toán"))</f>
        <v/>
      </c>
      <c r="AB307" s="103">
        <f>IF(Y307="","",Y307-N(AA307))</f>
        <v/>
      </c>
      <c r="AC307" s="103">
        <f>IF(B307="","",N(Z307)-N(AA307))</f>
        <v/>
      </c>
      <c r="AD307" s="104">
        <f>IF(N(Y307)=0,"",N(AA307)/Y307)</f>
        <v/>
      </c>
      <c r="AE307" s="107" t="n"/>
      <c r="AF307" s="95">
        <f>IF(H307="","",TRIM(IF(AND(N(Y307)&gt;='THAM SO'!$B$10,AE307&lt;&gt;"Có"),"Chưa rà soát pháp lý; ","")&amp;IF(I307="","Thiếu MST đối tác; ","")&amp;IF(AG307="","Chưa ghi nơi lưu bản gốc; ","")&amp;IF(COUNTIFS('NHAT KY THANH TOAN'!$B:$B,B307,'NHAT KY THANH TOAN'!$D:$D,"Thanh toán",'NHAT KY THANH TOAN'!$F:$F,"Tiền mặt",'NHAT KY THANH TOAN'!$G:$G,"&gt;="&amp;'THAM SO'!$B$11)&gt;0,"Có khoản TT tiền mặt ≥ ngưỡng; ","")&amp;IF(AND(AB307&lt;&gt;"",N(AB307)&lt;0),"Thanh toán vượt giá trị HĐ; ","")))</f>
        <v/>
      </c>
      <c r="AG307" s="108" t="n"/>
      <c r="AH307" s="109" t="n"/>
      <c r="AI307" s="105">
        <f>IF(OR(H307="",O307="",AH307&lt;&gt;""),"",O307-'THAM SO'!$B$8)</f>
        <v/>
      </c>
      <c r="AJ307" s="95">
        <f>IF(H307="","",IF(AH307&lt;&gt;"","Đã thanh lý",IF(AND(N307&lt;&gt;"",N307&gt;'THAM SO'!$B$8),"Chưa hiệu lực",IF(O307="","Đang thực hiện",IF(O307&lt;'THAM SO'!$B$8,IF(P307="Có","Đã tự gia hạn – kiểm tra","Quá hạn – chưa thanh lý"),IF(O307-'THAM SO'!$B$8&lt;='THAM SO'!$B$9,"Sắp hết hạn","Đang thực hiện"))))))</f>
        <v/>
      </c>
      <c r="AK307" s="106">
        <f>IF(AND(O307="",AH307=""),"",EDATE(MAX(N(O307),N(AH307)),12*'THAM SO'!$B$12))</f>
        <v/>
      </c>
      <c r="AL307" s="110" t="n"/>
    </row>
    <row r="308" ht="15" customHeight="1" s="64">
      <c r="A308" s="93">
        <f>IF(H308="","",COUNTA($H$9:H308))</f>
        <v/>
      </c>
      <c r="B308" s="93">
        <f>IF(OR(D308="",G308=""),"",YEAR(G308)&amp;"/"&amp;D308&amp;"/"&amp;TEXT(SUMPRODUCT(($D$9:D308=D308)*(YEAR($G$9:G308)=YEAR(G308))),"000")&amp;"-"&amp;'THAM SO'!$B$7)</f>
        <v/>
      </c>
      <c r="C308" s="107" t="n"/>
      <c r="D308" s="107" t="n"/>
      <c r="E308" s="95">
        <f>IF(D308="","",IFERROR(VLOOKUP(D308,'THAM SO'!$D$6:$E$40,2,FALSE()),"Mã loại chưa khai báo"))</f>
        <v/>
      </c>
      <c r="F308" s="108" t="n"/>
      <c r="G308" s="109" t="n"/>
      <c r="H308" s="110" t="n"/>
      <c r="I308" s="108" t="n"/>
      <c r="J308" s="110" t="n"/>
      <c r="K308" s="108" t="n"/>
      <c r="L308" s="108" t="n"/>
      <c r="M308" s="108" t="n"/>
      <c r="N308" s="109" t="n"/>
      <c r="O308" s="109" t="n"/>
      <c r="P308" s="107" t="n"/>
      <c r="Q308" s="107" t="n"/>
      <c r="R308" s="111" t="n"/>
      <c r="S308" s="112" t="n"/>
      <c r="T308" s="113" t="n"/>
      <c r="U308" s="102">
        <f>IF(S308="","",ROUND(S308*N(T308),2))</f>
        <v/>
      </c>
      <c r="V308" s="102">
        <f>IF(S308="","",S308+U308)</f>
        <v/>
      </c>
      <c r="W308" s="103">
        <f>IF(V308="","",ROUND(V308*IF(OR(Q308="",Q308="VND"),1,R308),0))</f>
        <v/>
      </c>
      <c r="X308" s="111" t="n"/>
      <c r="Y308" s="103">
        <f>IF(W308="","",W308+N(X308))</f>
        <v/>
      </c>
      <c r="Z308" s="103">
        <f>IF(B308="","",SUMIFS('NHAT KY THANH TOAN'!$G:$G,'NHAT KY THANH TOAN'!$B:$B,B308,'NHAT KY THANH TOAN'!$D:$D,"Hóa đơn"))</f>
        <v/>
      </c>
      <c r="AA308" s="103">
        <f>IF(B308="","",SUMIFS('NHAT KY THANH TOAN'!$G:$G,'NHAT KY THANH TOAN'!$B:$B,B308,'NHAT KY THANH TOAN'!$D:$D,"Thanh toán"))</f>
        <v/>
      </c>
      <c r="AB308" s="103">
        <f>IF(Y308="","",Y308-N(AA308))</f>
        <v/>
      </c>
      <c r="AC308" s="103">
        <f>IF(B308="","",N(Z308)-N(AA308))</f>
        <v/>
      </c>
      <c r="AD308" s="104">
        <f>IF(N(Y308)=0,"",N(AA308)/Y308)</f>
        <v/>
      </c>
      <c r="AE308" s="107" t="n"/>
      <c r="AF308" s="95">
        <f>IF(H308="","",TRIM(IF(AND(N(Y308)&gt;='THAM SO'!$B$10,AE308&lt;&gt;"Có"),"Chưa rà soát pháp lý; ","")&amp;IF(I308="","Thiếu MST đối tác; ","")&amp;IF(AG308="","Chưa ghi nơi lưu bản gốc; ","")&amp;IF(COUNTIFS('NHAT KY THANH TOAN'!$B:$B,B308,'NHAT KY THANH TOAN'!$D:$D,"Thanh toán",'NHAT KY THANH TOAN'!$F:$F,"Tiền mặt",'NHAT KY THANH TOAN'!$G:$G,"&gt;="&amp;'THAM SO'!$B$11)&gt;0,"Có khoản TT tiền mặt ≥ ngưỡng; ","")&amp;IF(AND(AB308&lt;&gt;"",N(AB308)&lt;0),"Thanh toán vượt giá trị HĐ; ","")))</f>
        <v/>
      </c>
      <c r="AG308" s="108" t="n"/>
      <c r="AH308" s="109" t="n"/>
      <c r="AI308" s="105">
        <f>IF(OR(H308="",O308="",AH308&lt;&gt;""),"",O308-'THAM SO'!$B$8)</f>
        <v/>
      </c>
      <c r="AJ308" s="95">
        <f>IF(H308="","",IF(AH308&lt;&gt;"","Đã thanh lý",IF(AND(N308&lt;&gt;"",N308&gt;'THAM SO'!$B$8),"Chưa hiệu lực",IF(O308="","Đang thực hiện",IF(O308&lt;'THAM SO'!$B$8,IF(P308="Có","Đã tự gia hạn – kiểm tra","Quá hạn – chưa thanh lý"),IF(O308-'THAM SO'!$B$8&lt;='THAM SO'!$B$9,"Sắp hết hạn","Đang thực hiện"))))))</f>
        <v/>
      </c>
      <c r="AK308" s="106">
        <f>IF(AND(O308="",AH308=""),"",EDATE(MAX(N(O308),N(AH308)),12*'THAM SO'!$B$12))</f>
        <v/>
      </c>
      <c r="AL308" s="110" t="n"/>
    </row>
  </sheetData>
  <autoFilter ref="A8:AL308"/>
  <mergeCells count="9">
    <mergeCell ref="H7:M7"/>
    <mergeCell ref="N7:P7"/>
    <mergeCell ref="Z7:AD7"/>
    <mergeCell ref="A1:AL1"/>
    <mergeCell ref="AE7:AH7"/>
    <mergeCell ref="A7:G7"/>
    <mergeCell ref="AI7:AL7"/>
    <mergeCell ref="Q7:Y7"/>
    <mergeCell ref="A2:AL2"/>
  </mergeCells>
  <conditionalFormatting sqref="A9:AL308">
    <cfRule type="expression" rank="0" priority="2" equalAverage="0" aboveAverage="0" dxfId="10" text="" percent="0" bottom="0">
      <formula>$AJ9="Quá hạn – chưa thanh lý"</formula>
    </cfRule>
    <cfRule type="expression" rank="0" priority="3" equalAverage="0" aboveAverage="0" dxfId="11" text="" percent="0" bottom="0">
      <formula>$AJ9="Đã tự gia hạn – kiểm tra"</formula>
    </cfRule>
    <cfRule type="expression" rank="0" priority="4" equalAverage="0" aboveAverage="0" dxfId="12" text="" percent="0" bottom="0">
      <formula>$AJ9="Sắp hết hạn"</formula>
    </cfRule>
    <cfRule type="expression" rank="0" priority="5" equalAverage="0" aboveAverage="0" dxfId="13" text="" percent="0" bottom="0">
      <formula>$AJ9="Đã thanh lý"</formula>
    </cfRule>
  </conditionalFormatting>
  <conditionalFormatting sqref="AF9:AF308">
    <cfRule type="expression" rank="0" priority="6" equalAverage="0" aboveAverage="0" dxfId="14" text="" percent="0" bottom="0">
      <formula>LEN($AF9)&gt;0</formula>
    </cfRule>
  </conditionalFormatting>
  <dataValidations count="7">
    <dataValidation sqref="C9:C308" showDropDown="0" showInputMessage="0" showErrorMessage="0" allowBlank="1" type="list" errorStyle="stop" operator="between">
      <formula1>"Mua vào,Bán ra,Đi vay,Cho vay,Khác"</formula1>
      <formula2>0</formula2>
    </dataValidation>
    <dataValidation sqref="D9:D308" showDropDown="0" showInputMessage="0" showErrorMessage="0" allowBlank="1" type="list" errorStyle="stop" operator="between">
      <formula1>'THAM SO'!$D$6:$D$40</formula1>
      <formula2>0</formula2>
    </dataValidation>
    <dataValidation sqref="K9:K308" showDropDown="0" showInputMessage="0" showErrorMessage="0" allowBlank="1" type="list" errorStyle="stop" operator="between">
      <formula1>'THAM SO'!$A$16:$A$30</formula1>
      <formula2>0</formula2>
    </dataValidation>
    <dataValidation sqref="P9:P308 AE9:AE308" showDropDown="0" showInputMessage="0" showErrorMessage="0" allowBlank="1" type="list" errorStyle="stop" operator="between">
      <formula1>"Có,Không"</formula1>
      <formula2>0</formula2>
    </dataValidation>
    <dataValidation sqref="Q9:Q308" showDropDown="0" showInputMessage="0" showErrorMessage="0" allowBlank="1" type="list" errorStyle="stop" operator="between">
      <formula1>"VND,USD,EUR,JPY,CNY,KRW"</formula1>
      <formula2>0</formula2>
    </dataValidation>
    <dataValidation sqref="T9:T308" showDropDown="0" showInputMessage="0" showErrorMessage="0" allowBlank="1" type="list" errorStyle="stop" operator="between">
      <formula1>"0%,5%,8%,10%"</formula1>
      <formula2>0</formula2>
    </dataValidation>
    <dataValidation sqref="G9:G308 N9:O308 AH9:AH308" showDropDown="0" showInputMessage="0" showErrorMessage="0" allowBlank="1" errorTitle="Ngày không hợp lệ" error="Nhập ngày dạng dd/mm/yyyy" type="date" errorStyle="stop" operator="greaterThan">
      <formula1>36526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&amp;LMr. Wick Kiểm toán | taichinhketoanedu.com&amp;RTrang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5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3" min="1" max="1"/>
    <col width="17" customWidth="1" style="63" min="2" max="2"/>
    <col width="30" customWidth="1" style="63" min="3" max="3"/>
    <col width="12" customWidth="1" style="63" min="4" max="4"/>
    <col width="16" customWidth="1" style="63" min="5" max="5"/>
    <col width="13" customWidth="1" style="63" min="6" max="6"/>
    <col width="16" customWidth="1" style="63" min="7" max="7"/>
    <col width="30" customWidth="1" style="63" min="8" max="8"/>
    <col width="26" customWidth="1" style="63" min="9" max="9"/>
    <col width="20" customWidth="1" style="63" min="10" max="10"/>
  </cols>
  <sheetData>
    <row r="1" ht="30" customHeight="1" s="64">
      <c r="A1" s="65" t="inlineStr">
        <is>
          <t>NHẬT KÝ HÓA ĐƠN &amp; THANH TOÁN THEO HỢP ĐỒNG</t>
        </is>
      </c>
    </row>
    <row r="2" ht="18" customHeight="1" s="64">
      <c r="A2" s="66" t="inlineStr">
        <is>
          <t>KK HOME  |    |  Hệ thống Quản trị Doanh nghiệp – KK HOME 2026</t>
        </is>
      </c>
    </row>
    <row r="3" ht="15" customHeight="1" s="64">
      <c r="A3" s="78" t="inlineStr">
        <is>
          <t>Mỗi lần nhận/xuất hóa đơn hoặc thanh toán/thu tiền: ghi 1 dòng. Sổ hợp đồng tự cộng lũy kế theo Số HĐ nội bộ.</t>
        </is>
      </c>
    </row>
    <row r="4" ht="15" customHeight="1" s="64">
      <c r="A4" s="78" t="inlineStr">
        <is>
          <t>Ghi số tiền quy VND (đã gồm thuế GTGT). Thanh toán tiền mặt từ ngưỡng ở THAM SO trở lên sẽ bị đánh dấu đỏ.</t>
        </is>
      </c>
    </row>
    <row r="5"/>
    <row r="6" ht="30" customHeight="1" s="64">
      <c r="A6" s="92" t="inlineStr">
        <is>
          <t>Ngày</t>
        </is>
      </c>
      <c r="B6" s="92" t="inlineStr">
        <is>
          <t>Số HĐ nội bộ</t>
        </is>
      </c>
      <c r="C6" s="92" t="inlineStr">
        <is>
          <t>Tên đối tác (tự hiện)</t>
        </is>
      </c>
      <c r="D6" s="92" t="inlineStr">
        <is>
          <t>Loại phát sinh</t>
        </is>
      </c>
      <c r="E6" s="92" t="inlineStr">
        <is>
          <t>Số hóa đơn / chứng từ</t>
        </is>
      </c>
      <c r="F6" s="92" t="inlineStr">
        <is>
          <t>Hình thức TT</t>
        </is>
      </c>
      <c r="G6" s="92" t="inlineStr">
        <is>
          <t>Số tiền (VND)</t>
        </is>
      </c>
      <c r="H6" s="92" t="inlineStr">
        <is>
          <t>Nội dung</t>
        </is>
      </c>
      <c r="I6" s="92" t="inlineStr">
        <is>
          <t>Cảnh báo</t>
        </is>
      </c>
      <c r="J6" s="92" t="inlineStr">
        <is>
          <t>Ghi chú</t>
        </is>
      </c>
    </row>
    <row r="7" ht="15" customHeight="1" s="64">
      <c r="A7" s="114" t="n">
        <v>46027</v>
      </c>
      <c r="B7" s="115" t="inlineStr">
        <is>
          <t>2026/TN/001-ABC</t>
        </is>
      </c>
      <c r="C7" s="116">
        <f>IF(B7="","",IFERROR(INDEX('SO HOP DONG'!$H$9:$H$308,MATCH(B7,'SO HOP DONG'!$B$9:$B$308,0)),"Số HĐ không có trong sổ"))</f>
        <v/>
      </c>
      <c r="D7" s="115" t="inlineStr">
        <is>
          <t>Thanh toán</t>
        </is>
      </c>
      <c r="E7" s="115" t="inlineStr">
        <is>
          <t>UNC 0105</t>
        </is>
      </c>
      <c r="F7" s="115" t="inlineStr">
        <is>
          <t>Chuyển khoản</t>
        </is>
      </c>
      <c r="G7" s="117" t="n">
        <v>120000000</v>
      </c>
      <c r="H7" s="115" t="inlineStr">
        <is>
          <t>Trả trước tiền thuê 6 tháng đầu</t>
        </is>
      </c>
      <c r="I7" s="116">
        <f>IF(B7="","",IF(AND(D7="Thanh toán",F7="Tiền mặt",G7&gt;='THAM SO'!$B$11),"Tiền mặt ≥ ngưỡng: rủi ro loại khấu trừ GTGT/chi phí",IF(AND(D7="Thanh toán",F7=""),"Thiếu hình thức TT","")))</f>
        <v/>
      </c>
      <c r="J7" s="118" t="inlineStr">
        <is>
          <t>Dòng 7–14: ví dụ, xóa trước khi dùng</t>
        </is>
      </c>
    </row>
    <row r="8" ht="15" customHeight="1" s="64">
      <c r="A8" s="114" t="n">
        <v>46206</v>
      </c>
      <c r="B8" s="115" t="inlineStr">
        <is>
          <t>2026/TN/001-ABC</t>
        </is>
      </c>
      <c r="C8" s="116">
        <f>IF(B8="","",IFERROR(INDEX('SO HOP DONG'!$H$9:$H$308,MATCH(B8,'SO HOP DONG'!$B$9:$B$308,0)),"Số HĐ không có trong sổ"))</f>
        <v/>
      </c>
      <c r="D8" s="115" t="inlineStr">
        <is>
          <t>Thanh toán</t>
        </is>
      </c>
      <c r="E8" s="115" t="inlineStr">
        <is>
          <t>UNC 0703</t>
        </is>
      </c>
      <c r="F8" s="115" t="inlineStr">
        <is>
          <t>Chuyển khoản</t>
        </is>
      </c>
      <c r="G8" s="117" t="n">
        <v>120000000</v>
      </c>
      <c r="H8" s="115" t="inlineStr">
        <is>
          <t>Trả tiền thuê 6 tháng sau</t>
        </is>
      </c>
      <c r="I8" s="116">
        <f>IF(B8="","",IF(AND(D8="Thanh toán",F8="Tiền mặt",G8&gt;='THAM SO'!$B$11),"Tiền mặt ≥ ngưỡng: rủi ro loại khấu trừ GTGT/chi phí",IF(AND(D8="Thanh toán",F8=""),"Thiếu hình thức TT","")))</f>
        <v/>
      </c>
      <c r="J8" s="115" t="n"/>
    </row>
    <row r="9" ht="15" customHeight="1" s="64">
      <c r="A9" s="114" t="n">
        <v>46096</v>
      </c>
      <c r="B9" s="115" t="inlineStr">
        <is>
          <t>2026/BH/001-ABC</t>
        </is>
      </c>
      <c r="C9" s="116">
        <f>IF(B9="","",IFERROR(INDEX('SO HOP DONG'!$H$9:$H$308,MATCH(B9,'SO HOP DONG'!$B$9:$B$308,0)),"Số HĐ không có trong sổ"))</f>
        <v/>
      </c>
      <c r="D9" s="115" t="inlineStr">
        <is>
          <t>Hóa đơn</t>
        </is>
      </c>
      <c r="E9" s="115" t="inlineStr">
        <is>
          <t>HĐ 00000125</t>
        </is>
      </c>
      <c r="F9" s="115" t="n"/>
      <c r="G9" s="117" t="n">
        <v>459000000</v>
      </c>
      <c r="H9" s="115" t="inlineStr">
        <is>
          <t>Giao đợt 1: 2.500 thùng</t>
        </is>
      </c>
      <c r="I9" s="116">
        <f>IF(B9="","",IF(AND(D9="Thanh toán",F9="Tiền mặt",G9&gt;='THAM SO'!$B$11),"Tiền mặt ≥ ngưỡng: rủi ro loại khấu trừ GTGT/chi phí",IF(AND(D9="Thanh toán",F9=""),"Thiếu hình thức TT","")))</f>
        <v/>
      </c>
      <c r="J9" s="115" t="n"/>
    </row>
    <row r="10" ht="15" customHeight="1" s="64">
      <c r="A10" s="114" t="n">
        <v>46126</v>
      </c>
      <c r="B10" s="115" t="inlineStr">
        <is>
          <t>2026/BH/001-ABC</t>
        </is>
      </c>
      <c r="C10" s="116">
        <f>IF(B10="","",IFERROR(INDEX('SO HOP DONG'!$H$9:$H$308,MATCH(B10,'SO HOP DONG'!$B$9:$B$308,0)),"Số HĐ không có trong sổ"))</f>
        <v/>
      </c>
      <c r="D10" s="115" t="inlineStr">
        <is>
          <t>Thanh toán</t>
        </is>
      </c>
      <c r="E10" s="115" t="inlineStr">
        <is>
          <t>Báo có 0414</t>
        </is>
      </c>
      <c r="F10" s="115" t="inlineStr">
        <is>
          <t>Chuyển khoản</t>
        </is>
      </c>
      <c r="G10" s="117" t="n">
        <v>459000000</v>
      </c>
      <c r="H10" s="115" t="inlineStr">
        <is>
          <t>Thu tiền đợt 1</t>
        </is>
      </c>
      <c r="I10" s="116">
        <f>IF(B10="","",IF(AND(D10="Thanh toán",F10="Tiền mặt",G10&gt;='THAM SO'!$B$11),"Tiền mặt ≥ ngưỡng: rủi ro loại khấu trừ GTGT/chi phí",IF(AND(D10="Thanh toán",F10=""),"Thiếu hình thức TT","")))</f>
        <v/>
      </c>
      <c r="J10" s="115" t="n"/>
    </row>
    <row r="11" ht="15" customHeight="1" s="64">
      <c r="A11" s="114" t="n">
        <v>46254</v>
      </c>
      <c r="B11" s="115" t="inlineStr">
        <is>
          <t>2026/BH/001-ABC</t>
        </is>
      </c>
      <c r="C11" s="116">
        <f>IF(B11="","",IFERROR(INDEX('SO HOP DONG'!$H$9:$H$308,MATCH(B11,'SO HOP DONG'!$B$9:$B$308,0)),"Số HĐ không có trong sổ"))</f>
        <v/>
      </c>
      <c r="D11" s="115" t="inlineStr">
        <is>
          <t>Hóa đơn</t>
        </is>
      </c>
      <c r="E11" s="115" t="inlineStr">
        <is>
          <t>HĐ 00000318</t>
        </is>
      </c>
      <c r="F11" s="115" t="n"/>
      <c r="G11" s="117" t="n">
        <v>275400000</v>
      </c>
      <c r="H11" s="115" t="inlineStr">
        <is>
          <t>Giao đợt 2: 1.500 thùng</t>
        </is>
      </c>
      <c r="I11" s="116">
        <f>IF(B11="","",IF(AND(D11="Thanh toán",F11="Tiền mặt",G11&gt;='THAM SO'!$B$11),"Tiền mặt ≥ ngưỡng: rủi ro loại khấu trừ GTGT/chi phí",IF(AND(D11="Thanh toán",F11=""),"Thiếu hình thức TT","")))</f>
        <v/>
      </c>
      <c r="J11" s="115" t="n"/>
    </row>
    <row r="12" ht="15" customHeight="1" s="64">
      <c r="A12" s="114" t="n">
        <v>46112</v>
      </c>
      <c r="B12" s="115" t="inlineStr">
        <is>
          <t>2026/DV/001-ABC</t>
        </is>
      </c>
      <c r="C12" s="116">
        <f>IF(B12="","",IFERROR(INDEX('SO HOP DONG'!$H$9:$H$308,MATCH(B12,'SO HOP DONG'!$B$9:$B$308,0)),"Số HĐ không có trong sổ"))</f>
        <v/>
      </c>
      <c r="D12" s="115" t="inlineStr">
        <is>
          <t>Hóa đơn</t>
        </is>
      </c>
      <c r="E12" s="115" t="inlineStr">
        <is>
          <t>HĐ 00000087</t>
        </is>
      </c>
      <c r="F12" s="115" t="n"/>
      <c r="G12" s="117" t="n">
        <v>19800000</v>
      </c>
      <c r="H12" s="115" t="inlineStr">
        <is>
          <t>Phí dịch vụ Q1+Q2</t>
        </is>
      </c>
      <c r="I12" s="116">
        <f>IF(B12="","",IF(AND(D12="Thanh toán",F12="Tiền mặt",G12&gt;='THAM SO'!$B$11),"Tiền mặt ≥ ngưỡng: rủi ro loại khấu trừ GTGT/chi phí",IF(AND(D12="Thanh toán",F12=""),"Thiếu hình thức TT","")))</f>
        <v/>
      </c>
      <c r="J12" s="115" t="n"/>
    </row>
    <row r="13" ht="15" customHeight="1" s="64">
      <c r="A13" s="114" t="n">
        <v>46117</v>
      </c>
      <c r="B13" s="115" t="inlineStr">
        <is>
          <t>2026/DV/001-ABC</t>
        </is>
      </c>
      <c r="C13" s="116">
        <f>IF(B13="","",IFERROR(INDEX('SO HOP DONG'!$H$9:$H$308,MATCH(B13,'SO HOP DONG'!$B$9:$B$308,0)),"Số HĐ không có trong sổ"))</f>
        <v/>
      </c>
      <c r="D13" s="115" t="inlineStr">
        <is>
          <t>Thanh toán</t>
        </is>
      </c>
      <c r="E13" s="115" t="inlineStr">
        <is>
          <t>PC 0405</t>
        </is>
      </c>
      <c r="F13" s="115" t="inlineStr">
        <is>
          <t>Tiền mặt</t>
        </is>
      </c>
      <c r="G13" s="117" t="n">
        <v>19800000</v>
      </c>
      <c r="H13" s="115" t="inlineStr">
        <is>
          <t>Trả phí dịch vụ</t>
        </is>
      </c>
      <c r="I13" s="116">
        <f>IF(B13="","",IF(AND(D13="Thanh toán",F13="Tiền mặt",G13&gt;='THAM SO'!$B$11),"Tiền mặt ≥ ngưỡng: rủi ro loại khấu trừ GTGT/chi phí",IF(AND(D13="Thanh toán",F13=""),"Thiếu hình thức TT","")))</f>
        <v/>
      </c>
      <c r="J13" s="115" t="n"/>
    </row>
    <row r="14" ht="15" customHeight="1" s="64">
      <c r="A14" s="114" t="n">
        <v>46132</v>
      </c>
      <c r="B14" s="115" t="inlineStr">
        <is>
          <t>2026/MH/001-ABC</t>
        </is>
      </c>
      <c r="C14" s="116">
        <f>IF(B14="","",IFERROR(INDEX('SO HOP DONG'!$H$9:$H$308,MATCH(B14,'SO HOP DONG'!$B$9:$B$308,0)),"Số HĐ không có trong sổ"))</f>
        <v/>
      </c>
      <c r="D14" s="115" t="inlineStr">
        <is>
          <t>Thanh toán</t>
        </is>
      </c>
      <c r="E14" s="115" t="inlineStr">
        <is>
          <t>LC 2026-015</t>
        </is>
      </c>
      <c r="F14" s="115" t="inlineStr">
        <is>
          <t>Chuyển khoản</t>
        </is>
      </c>
      <c r="G14" s="117" t="n">
        <v>376560000</v>
      </c>
      <c r="H14" s="115" t="inlineStr">
        <is>
          <t>Đặt cọc 30% qua L/C</t>
        </is>
      </c>
      <c r="I14" s="116">
        <f>IF(B14="","",IF(AND(D14="Thanh toán",F14="Tiền mặt",G14&gt;='THAM SO'!$B$11),"Tiền mặt ≥ ngưỡng: rủi ro loại khấu trừ GTGT/chi phí",IF(AND(D14="Thanh toán",F14=""),"Thiếu hình thức TT","")))</f>
        <v/>
      </c>
      <c r="J14" s="115" t="n"/>
    </row>
    <row r="15" ht="15" customHeight="1" s="64">
      <c r="A15" s="119" t="n"/>
      <c r="B15" s="120" t="n"/>
      <c r="C15" s="116">
        <f>IF(B15="","",IFERROR(INDEX('SO HOP DONG'!$H$9:$H$308,MATCH(B15,'SO HOP DONG'!$B$9:$B$308,0)),"Số HĐ không có trong sổ"))</f>
        <v/>
      </c>
      <c r="D15" s="120" t="n"/>
      <c r="E15" s="120" t="n"/>
      <c r="F15" s="120" t="n"/>
      <c r="G15" s="121" t="n"/>
      <c r="H15" s="120" t="n"/>
      <c r="I15" s="116">
        <f>IF(B15="","",IF(AND(D15="Thanh toán",F15="Tiền mặt",G15&gt;='THAM SO'!$B$11),"Tiền mặt ≥ ngưỡng: rủi ro loại khấu trừ GTGT/chi phí",IF(AND(D15="Thanh toán",F15=""),"Thiếu hình thức TT","")))</f>
        <v/>
      </c>
      <c r="J15" s="120" t="n"/>
    </row>
    <row r="16" ht="15" customHeight="1" s="64">
      <c r="A16" s="119" t="n"/>
      <c r="B16" s="120" t="n"/>
      <c r="C16" s="116">
        <f>IF(B16="","",IFERROR(INDEX('SO HOP DONG'!$H$9:$H$308,MATCH(B16,'SO HOP DONG'!$B$9:$B$308,0)),"Số HĐ không có trong sổ"))</f>
        <v/>
      </c>
      <c r="D16" s="120" t="n"/>
      <c r="E16" s="120" t="n"/>
      <c r="F16" s="120" t="n"/>
      <c r="G16" s="121" t="n"/>
      <c r="H16" s="120" t="n"/>
      <c r="I16" s="116">
        <f>IF(B16="","",IF(AND(D16="Thanh toán",F16="Tiền mặt",G16&gt;='THAM SO'!$B$11),"Tiền mặt ≥ ngưỡng: rủi ro loại khấu trừ GTGT/chi phí",IF(AND(D16="Thanh toán",F16=""),"Thiếu hình thức TT","")))</f>
        <v/>
      </c>
      <c r="J16" s="120" t="n"/>
    </row>
    <row r="17" ht="15" customHeight="1" s="64">
      <c r="A17" s="119" t="n"/>
      <c r="B17" s="120" t="n"/>
      <c r="C17" s="116">
        <f>IF(B17="","",IFERROR(INDEX('SO HOP DONG'!$H$9:$H$308,MATCH(B17,'SO HOP DONG'!$B$9:$B$308,0)),"Số HĐ không có trong sổ"))</f>
        <v/>
      </c>
      <c r="D17" s="120" t="n"/>
      <c r="E17" s="120" t="n"/>
      <c r="F17" s="120" t="n"/>
      <c r="G17" s="121" t="n"/>
      <c r="H17" s="120" t="n"/>
      <c r="I17" s="116">
        <f>IF(B17="","",IF(AND(D17="Thanh toán",F17="Tiền mặt",G17&gt;='THAM SO'!$B$11),"Tiền mặt ≥ ngưỡng: rủi ro loại khấu trừ GTGT/chi phí",IF(AND(D17="Thanh toán",F17=""),"Thiếu hình thức TT","")))</f>
        <v/>
      </c>
      <c r="J17" s="120" t="n"/>
    </row>
    <row r="18" ht="15" customHeight="1" s="64">
      <c r="A18" s="119" t="n"/>
      <c r="B18" s="120" t="n"/>
      <c r="C18" s="116">
        <f>IF(B18="","",IFERROR(INDEX('SO HOP DONG'!$H$9:$H$308,MATCH(B18,'SO HOP DONG'!$B$9:$B$308,0)),"Số HĐ không có trong sổ"))</f>
        <v/>
      </c>
      <c r="D18" s="120" t="n"/>
      <c r="E18" s="120" t="n"/>
      <c r="F18" s="120" t="n"/>
      <c r="G18" s="121" t="n"/>
      <c r="H18" s="120" t="n"/>
      <c r="I18" s="116">
        <f>IF(B18="","",IF(AND(D18="Thanh toán",F18="Tiền mặt",G18&gt;='THAM SO'!$B$11),"Tiền mặt ≥ ngưỡng: rủi ro loại khấu trừ GTGT/chi phí",IF(AND(D18="Thanh toán",F18=""),"Thiếu hình thức TT","")))</f>
        <v/>
      </c>
      <c r="J18" s="120" t="n"/>
    </row>
    <row r="19" ht="15" customHeight="1" s="64">
      <c r="A19" s="119" t="n"/>
      <c r="B19" s="120" t="n"/>
      <c r="C19" s="116">
        <f>IF(B19="","",IFERROR(INDEX('SO HOP DONG'!$H$9:$H$308,MATCH(B19,'SO HOP DONG'!$B$9:$B$308,0)),"Số HĐ không có trong sổ"))</f>
        <v/>
      </c>
      <c r="D19" s="120" t="n"/>
      <c r="E19" s="120" t="n"/>
      <c r="F19" s="120" t="n"/>
      <c r="G19" s="121" t="n"/>
      <c r="H19" s="120" t="n"/>
      <c r="I19" s="116">
        <f>IF(B19="","",IF(AND(D19="Thanh toán",F19="Tiền mặt",G19&gt;='THAM SO'!$B$11),"Tiền mặt ≥ ngưỡng: rủi ro loại khấu trừ GTGT/chi phí",IF(AND(D19="Thanh toán",F19=""),"Thiếu hình thức TT","")))</f>
        <v/>
      </c>
      <c r="J19" s="120" t="n"/>
    </row>
    <row r="20" ht="15" customHeight="1" s="64">
      <c r="A20" s="119" t="n"/>
      <c r="B20" s="120" t="n"/>
      <c r="C20" s="116">
        <f>IF(B20="","",IFERROR(INDEX('SO HOP DONG'!$H$9:$H$308,MATCH(B20,'SO HOP DONG'!$B$9:$B$308,0)),"Số HĐ không có trong sổ"))</f>
        <v/>
      </c>
      <c r="D20" s="120" t="n"/>
      <c r="E20" s="120" t="n"/>
      <c r="F20" s="120" t="n"/>
      <c r="G20" s="121" t="n"/>
      <c r="H20" s="120" t="n"/>
      <c r="I20" s="116">
        <f>IF(B20="","",IF(AND(D20="Thanh toán",F20="Tiền mặt",G20&gt;='THAM SO'!$B$11),"Tiền mặt ≥ ngưỡng: rủi ro loại khấu trừ GTGT/chi phí",IF(AND(D20="Thanh toán",F20=""),"Thiếu hình thức TT","")))</f>
        <v/>
      </c>
      <c r="J20" s="120" t="n"/>
    </row>
    <row r="21" ht="15" customHeight="1" s="64">
      <c r="A21" s="119" t="n"/>
      <c r="B21" s="120" t="n"/>
      <c r="C21" s="116">
        <f>IF(B21="","",IFERROR(INDEX('SO HOP DONG'!$H$9:$H$308,MATCH(B21,'SO HOP DONG'!$B$9:$B$308,0)),"Số HĐ không có trong sổ"))</f>
        <v/>
      </c>
      <c r="D21" s="120" t="n"/>
      <c r="E21" s="120" t="n"/>
      <c r="F21" s="120" t="n"/>
      <c r="G21" s="121" t="n"/>
      <c r="H21" s="120" t="n"/>
      <c r="I21" s="116">
        <f>IF(B21="","",IF(AND(D21="Thanh toán",F21="Tiền mặt",G21&gt;='THAM SO'!$B$11),"Tiền mặt ≥ ngưỡng: rủi ro loại khấu trừ GTGT/chi phí",IF(AND(D21="Thanh toán",F21=""),"Thiếu hình thức TT","")))</f>
        <v/>
      </c>
      <c r="J21" s="120" t="n"/>
    </row>
    <row r="22" ht="15" customHeight="1" s="64">
      <c r="A22" s="119" t="n"/>
      <c r="B22" s="120" t="n"/>
      <c r="C22" s="116">
        <f>IF(B22="","",IFERROR(INDEX('SO HOP DONG'!$H$9:$H$308,MATCH(B22,'SO HOP DONG'!$B$9:$B$308,0)),"Số HĐ không có trong sổ"))</f>
        <v/>
      </c>
      <c r="D22" s="120" t="n"/>
      <c r="E22" s="120" t="n"/>
      <c r="F22" s="120" t="n"/>
      <c r="G22" s="121" t="n"/>
      <c r="H22" s="120" t="n"/>
      <c r="I22" s="116">
        <f>IF(B22="","",IF(AND(D22="Thanh toán",F22="Tiền mặt",G22&gt;='THAM SO'!$B$11),"Tiền mặt ≥ ngưỡng: rủi ro loại khấu trừ GTGT/chi phí",IF(AND(D22="Thanh toán",F22=""),"Thiếu hình thức TT","")))</f>
        <v/>
      </c>
      <c r="J22" s="120" t="n"/>
    </row>
    <row r="23" ht="15" customHeight="1" s="64">
      <c r="A23" s="119" t="n"/>
      <c r="B23" s="120" t="n"/>
      <c r="C23" s="116">
        <f>IF(B23="","",IFERROR(INDEX('SO HOP DONG'!$H$9:$H$308,MATCH(B23,'SO HOP DONG'!$B$9:$B$308,0)),"Số HĐ không có trong sổ"))</f>
        <v/>
      </c>
      <c r="D23" s="120" t="n"/>
      <c r="E23" s="120" t="n"/>
      <c r="F23" s="120" t="n"/>
      <c r="G23" s="121" t="n"/>
      <c r="H23" s="120" t="n"/>
      <c r="I23" s="116">
        <f>IF(B23="","",IF(AND(D23="Thanh toán",F23="Tiền mặt",G23&gt;='THAM SO'!$B$11),"Tiền mặt ≥ ngưỡng: rủi ro loại khấu trừ GTGT/chi phí",IF(AND(D23="Thanh toán",F23=""),"Thiếu hình thức TT","")))</f>
        <v/>
      </c>
      <c r="J23" s="120" t="n"/>
    </row>
    <row r="24" ht="15" customHeight="1" s="64">
      <c r="A24" s="119" t="n"/>
      <c r="B24" s="120" t="n"/>
      <c r="C24" s="116">
        <f>IF(B24="","",IFERROR(INDEX('SO HOP DONG'!$H$9:$H$308,MATCH(B24,'SO HOP DONG'!$B$9:$B$308,0)),"Số HĐ không có trong sổ"))</f>
        <v/>
      </c>
      <c r="D24" s="120" t="n"/>
      <c r="E24" s="120" t="n"/>
      <c r="F24" s="120" t="n"/>
      <c r="G24" s="121" t="n"/>
      <c r="H24" s="120" t="n"/>
      <c r="I24" s="116">
        <f>IF(B24="","",IF(AND(D24="Thanh toán",F24="Tiền mặt",G24&gt;='THAM SO'!$B$11),"Tiền mặt ≥ ngưỡng: rủi ro loại khấu trừ GTGT/chi phí",IF(AND(D24="Thanh toán",F24=""),"Thiếu hình thức TT","")))</f>
        <v/>
      </c>
      <c r="J24" s="120" t="n"/>
    </row>
    <row r="25" ht="15" customHeight="1" s="64">
      <c r="A25" s="119" t="n"/>
      <c r="B25" s="120" t="n"/>
      <c r="C25" s="116">
        <f>IF(B25="","",IFERROR(INDEX('SO HOP DONG'!$H$9:$H$308,MATCH(B25,'SO HOP DONG'!$B$9:$B$308,0)),"Số HĐ không có trong sổ"))</f>
        <v/>
      </c>
      <c r="D25" s="120" t="n"/>
      <c r="E25" s="120" t="n"/>
      <c r="F25" s="120" t="n"/>
      <c r="G25" s="121" t="n"/>
      <c r="H25" s="120" t="n"/>
      <c r="I25" s="116">
        <f>IF(B25="","",IF(AND(D25="Thanh toán",F25="Tiền mặt",G25&gt;='THAM SO'!$B$11),"Tiền mặt ≥ ngưỡng: rủi ro loại khấu trừ GTGT/chi phí",IF(AND(D25="Thanh toán",F25=""),"Thiếu hình thức TT","")))</f>
        <v/>
      </c>
      <c r="J25" s="120" t="n"/>
    </row>
    <row r="26" ht="15" customHeight="1" s="64">
      <c r="A26" s="119" t="n"/>
      <c r="B26" s="120" t="n"/>
      <c r="C26" s="116">
        <f>IF(B26="","",IFERROR(INDEX('SO HOP DONG'!$H$9:$H$308,MATCH(B26,'SO HOP DONG'!$B$9:$B$308,0)),"Số HĐ không có trong sổ"))</f>
        <v/>
      </c>
      <c r="D26" s="120" t="n"/>
      <c r="E26" s="120" t="n"/>
      <c r="F26" s="120" t="n"/>
      <c r="G26" s="121" t="n"/>
      <c r="H26" s="120" t="n"/>
      <c r="I26" s="116">
        <f>IF(B26="","",IF(AND(D26="Thanh toán",F26="Tiền mặt",G26&gt;='THAM SO'!$B$11),"Tiền mặt ≥ ngưỡng: rủi ro loại khấu trừ GTGT/chi phí",IF(AND(D26="Thanh toán",F26=""),"Thiếu hình thức TT","")))</f>
        <v/>
      </c>
      <c r="J26" s="120" t="n"/>
    </row>
    <row r="27" ht="15" customHeight="1" s="64">
      <c r="A27" s="119" t="n"/>
      <c r="B27" s="120" t="n"/>
      <c r="C27" s="116">
        <f>IF(B27="","",IFERROR(INDEX('SO HOP DONG'!$H$9:$H$308,MATCH(B27,'SO HOP DONG'!$B$9:$B$308,0)),"Số HĐ không có trong sổ"))</f>
        <v/>
      </c>
      <c r="D27" s="120" t="n"/>
      <c r="E27" s="120" t="n"/>
      <c r="F27" s="120" t="n"/>
      <c r="G27" s="121" t="n"/>
      <c r="H27" s="120" t="n"/>
      <c r="I27" s="116">
        <f>IF(B27="","",IF(AND(D27="Thanh toán",F27="Tiền mặt",G27&gt;='THAM SO'!$B$11),"Tiền mặt ≥ ngưỡng: rủi ro loại khấu trừ GTGT/chi phí",IF(AND(D27="Thanh toán",F27=""),"Thiếu hình thức TT","")))</f>
        <v/>
      </c>
      <c r="J27" s="120" t="n"/>
    </row>
    <row r="28" ht="15" customHeight="1" s="64">
      <c r="A28" s="119" t="n"/>
      <c r="B28" s="120" t="n"/>
      <c r="C28" s="116">
        <f>IF(B28="","",IFERROR(INDEX('SO HOP DONG'!$H$9:$H$308,MATCH(B28,'SO HOP DONG'!$B$9:$B$308,0)),"Số HĐ không có trong sổ"))</f>
        <v/>
      </c>
      <c r="D28" s="120" t="n"/>
      <c r="E28" s="120" t="n"/>
      <c r="F28" s="120" t="n"/>
      <c r="G28" s="121" t="n"/>
      <c r="H28" s="120" t="n"/>
      <c r="I28" s="116">
        <f>IF(B28="","",IF(AND(D28="Thanh toán",F28="Tiền mặt",G28&gt;='THAM SO'!$B$11),"Tiền mặt ≥ ngưỡng: rủi ro loại khấu trừ GTGT/chi phí",IF(AND(D28="Thanh toán",F28=""),"Thiếu hình thức TT","")))</f>
        <v/>
      </c>
      <c r="J28" s="120" t="n"/>
    </row>
    <row r="29" ht="15" customHeight="1" s="64">
      <c r="A29" s="119" t="n"/>
      <c r="B29" s="120" t="n"/>
      <c r="C29" s="116">
        <f>IF(B29="","",IFERROR(INDEX('SO HOP DONG'!$H$9:$H$308,MATCH(B29,'SO HOP DONG'!$B$9:$B$308,0)),"Số HĐ không có trong sổ"))</f>
        <v/>
      </c>
      <c r="D29" s="120" t="n"/>
      <c r="E29" s="120" t="n"/>
      <c r="F29" s="120" t="n"/>
      <c r="G29" s="121" t="n"/>
      <c r="H29" s="120" t="n"/>
      <c r="I29" s="116">
        <f>IF(B29="","",IF(AND(D29="Thanh toán",F29="Tiền mặt",G29&gt;='THAM SO'!$B$11),"Tiền mặt ≥ ngưỡng: rủi ro loại khấu trừ GTGT/chi phí",IF(AND(D29="Thanh toán",F29=""),"Thiếu hình thức TT","")))</f>
        <v/>
      </c>
      <c r="J29" s="120" t="n"/>
    </row>
    <row r="30" ht="15" customHeight="1" s="64">
      <c r="A30" s="119" t="n"/>
      <c r="B30" s="120" t="n"/>
      <c r="C30" s="116">
        <f>IF(B30="","",IFERROR(INDEX('SO HOP DONG'!$H$9:$H$308,MATCH(B30,'SO HOP DONG'!$B$9:$B$308,0)),"Số HĐ không có trong sổ"))</f>
        <v/>
      </c>
      <c r="D30" s="120" t="n"/>
      <c r="E30" s="120" t="n"/>
      <c r="F30" s="120" t="n"/>
      <c r="G30" s="121" t="n"/>
      <c r="H30" s="120" t="n"/>
      <c r="I30" s="116">
        <f>IF(B30="","",IF(AND(D30="Thanh toán",F30="Tiền mặt",G30&gt;='THAM SO'!$B$11),"Tiền mặt ≥ ngưỡng: rủi ro loại khấu trừ GTGT/chi phí",IF(AND(D30="Thanh toán",F30=""),"Thiếu hình thức TT","")))</f>
        <v/>
      </c>
      <c r="J30" s="120" t="n"/>
    </row>
    <row r="31" ht="15" customHeight="1" s="64">
      <c r="A31" s="119" t="n"/>
      <c r="B31" s="120" t="n"/>
      <c r="C31" s="116">
        <f>IF(B31="","",IFERROR(INDEX('SO HOP DONG'!$H$9:$H$308,MATCH(B31,'SO HOP DONG'!$B$9:$B$308,0)),"Số HĐ không có trong sổ"))</f>
        <v/>
      </c>
      <c r="D31" s="120" t="n"/>
      <c r="E31" s="120" t="n"/>
      <c r="F31" s="120" t="n"/>
      <c r="G31" s="121" t="n"/>
      <c r="H31" s="120" t="n"/>
      <c r="I31" s="116">
        <f>IF(B31="","",IF(AND(D31="Thanh toán",F31="Tiền mặt",G31&gt;='THAM SO'!$B$11),"Tiền mặt ≥ ngưỡng: rủi ro loại khấu trừ GTGT/chi phí",IF(AND(D31="Thanh toán",F31=""),"Thiếu hình thức TT","")))</f>
        <v/>
      </c>
      <c r="J31" s="120" t="n"/>
    </row>
    <row r="32" ht="15" customHeight="1" s="64">
      <c r="A32" s="119" t="n"/>
      <c r="B32" s="120" t="n"/>
      <c r="C32" s="116">
        <f>IF(B32="","",IFERROR(INDEX('SO HOP DONG'!$H$9:$H$308,MATCH(B32,'SO HOP DONG'!$B$9:$B$308,0)),"Số HĐ không có trong sổ"))</f>
        <v/>
      </c>
      <c r="D32" s="120" t="n"/>
      <c r="E32" s="120" t="n"/>
      <c r="F32" s="120" t="n"/>
      <c r="G32" s="121" t="n"/>
      <c r="H32" s="120" t="n"/>
      <c r="I32" s="116">
        <f>IF(B32="","",IF(AND(D32="Thanh toán",F32="Tiền mặt",G32&gt;='THAM SO'!$B$11),"Tiền mặt ≥ ngưỡng: rủi ro loại khấu trừ GTGT/chi phí",IF(AND(D32="Thanh toán",F32=""),"Thiếu hình thức TT","")))</f>
        <v/>
      </c>
      <c r="J32" s="120" t="n"/>
    </row>
    <row r="33" ht="15" customHeight="1" s="64">
      <c r="A33" s="119" t="n"/>
      <c r="B33" s="120" t="n"/>
      <c r="C33" s="116">
        <f>IF(B33="","",IFERROR(INDEX('SO HOP DONG'!$H$9:$H$308,MATCH(B33,'SO HOP DONG'!$B$9:$B$308,0)),"Số HĐ không có trong sổ"))</f>
        <v/>
      </c>
      <c r="D33" s="120" t="n"/>
      <c r="E33" s="120" t="n"/>
      <c r="F33" s="120" t="n"/>
      <c r="G33" s="121" t="n"/>
      <c r="H33" s="120" t="n"/>
      <c r="I33" s="116">
        <f>IF(B33="","",IF(AND(D33="Thanh toán",F33="Tiền mặt",G33&gt;='THAM SO'!$B$11),"Tiền mặt ≥ ngưỡng: rủi ro loại khấu trừ GTGT/chi phí",IF(AND(D33="Thanh toán",F33=""),"Thiếu hình thức TT","")))</f>
        <v/>
      </c>
      <c r="J33" s="120" t="n"/>
    </row>
    <row r="34" ht="15" customHeight="1" s="64">
      <c r="A34" s="119" t="n"/>
      <c r="B34" s="120" t="n"/>
      <c r="C34" s="116">
        <f>IF(B34="","",IFERROR(INDEX('SO HOP DONG'!$H$9:$H$308,MATCH(B34,'SO HOP DONG'!$B$9:$B$308,0)),"Số HĐ không có trong sổ"))</f>
        <v/>
      </c>
      <c r="D34" s="120" t="n"/>
      <c r="E34" s="120" t="n"/>
      <c r="F34" s="120" t="n"/>
      <c r="G34" s="121" t="n"/>
      <c r="H34" s="120" t="n"/>
      <c r="I34" s="116">
        <f>IF(B34="","",IF(AND(D34="Thanh toán",F34="Tiền mặt",G34&gt;='THAM SO'!$B$11),"Tiền mặt ≥ ngưỡng: rủi ro loại khấu trừ GTGT/chi phí",IF(AND(D34="Thanh toán",F34=""),"Thiếu hình thức TT","")))</f>
        <v/>
      </c>
      <c r="J34" s="120" t="n"/>
    </row>
    <row r="35" ht="15" customHeight="1" s="64">
      <c r="A35" s="119" t="n"/>
      <c r="B35" s="120" t="n"/>
      <c r="C35" s="116">
        <f>IF(B35="","",IFERROR(INDEX('SO HOP DONG'!$H$9:$H$308,MATCH(B35,'SO HOP DONG'!$B$9:$B$308,0)),"Số HĐ không có trong sổ"))</f>
        <v/>
      </c>
      <c r="D35" s="120" t="n"/>
      <c r="E35" s="120" t="n"/>
      <c r="F35" s="120" t="n"/>
      <c r="G35" s="121" t="n"/>
      <c r="H35" s="120" t="n"/>
      <c r="I35" s="116">
        <f>IF(B35="","",IF(AND(D35="Thanh toán",F35="Tiền mặt",G35&gt;='THAM SO'!$B$11),"Tiền mặt ≥ ngưỡng: rủi ro loại khấu trừ GTGT/chi phí",IF(AND(D35="Thanh toán",F35=""),"Thiếu hình thức TT","")))</f>
        <v/>
      </c>
      <c r="J35" s="120" t="n"/>
    </row>
    <row r="36" ht="15" customHeight="1" s="64">
      <c r="A36" s="119" t="n"/>
      <c r="B36" s="120" t="n"/>
      <c r="C36" s="116">
        <f>IF(B36="","",IFERROR(INDEX('SO HOP DONG'!$H$9:$H$308,MATCH(B36,'SO HOP DONG'!$B$9:$B$308,0)),"Số HĐ không có trong sổ"))</f>
        <v/>
      </c>
      <c r="D36" s="120" t="n"/>
      <c r="E36" s="120" t="n"/>
      <c r="F36" s="120" t="n"/>
      <c r="G36" s="121" t="n"/>
      <c r="H36" s="120" t="n"/>
      <c r="I36" s="116">
        <f>IF(B36="","",IF(AND(D36="Thanh toán",F36="Tiền mặt",G36&gt;='THAM SO'!$B$11),"Tiền mặt ≥ ngưỡng: rủi ro loại khấu trừ GTGT/chi phí",IF(AND(D36="Thanh toán",F36=""),"Thiếu hình thức TT","")))</f>
        <v/>
      </c>
      <c r="J36" s="120" t="n"/>
    </row>
    <row r="37" ht="15" customHeight="1" s="64">
      <c r="A37" s="119" t="n"/>
      <c r="B37" s="120" t="n"/>
      <c r="C37" s="116">
        <f>IF(B37="","",IFERROR(INDEX('SO HOP DONG'!$H$9:$H$308,MATCH(B37,'SO HOP DONG'!$B$9:$B$308,0)),"Số HĐ không có trong sổ"))</f>
        <v/>
      </c>
      <c r="D37" s="120" t="n"/>
      <c r="E37" s="120" t="n"/>
      <c r="F37" s="120" t="n"/>
      <c r="G37" s="121" t="n"/>
      <c r="H37" s="120" t="n"/>
      <c r="I37" s="116">
        <f>IF(B37="","",IF(AND(D37="Thanh toán",F37="Tiền mặt",G37&gt;='THAM SO'!$B$11),"Tiền mặt ≥ ngưỡng: rủi ro loại khấu trừ GTGT/chi phí",IF(AND(D37="Thanh toán",F37=""),"Thiếu hình thức TT","")))</f>
        <v/>
      </c>
      <c r="J37" s="120" t="n"/>
    </row>
    <row r="38" ht="15" customHeight="1" s="64">
      <c r="A38" s="119" t="n"/>
      <c r="B38" s="120" t="n"/>
      <c r="C38" s="116">
        <f>IF(B38="","",IFERROR(INDEX('SO HOP DONG'!$H$9:$H$308,MATCH(B38,'SO HOP DONG'!$B$9:$B$308,0)),"Số HĐ không có trong sổ"))</f>
        <v/>
      </c>
      <c r="D38" s="120" t="n"/>
      <c r="E38" s="120" t="n"/>
      <c r="F38" s="120" t="n"/>
      <c r="G38" s="121" t="n"/>
      <c r="H38" s="120" t="n"/>
      <c r="I38" s="116">
        <f>IF(B38="","",IF(AND(D38="Thanh toán",F38="Tiền mặt",G38&gt;='THAM SO'!$B$11),"Tiền mặt ≥ ngưỡng: rủi ro loại khấu trừ GTGT/chi phí",IF(AND(D38="Thanh toán",F38=""),"Thiếu hình thức TT","")))</f>
        <v/>
      </c>
      <c r="J38" s="120" t="n"/>
    </row>
    <row r="39" ht="15" customHeight="1" s="64">
      <c r="A39" s="119" t="n"/>
      <c r="B39" s="120" t="n"/>
      <c r="C39" s="116">
        <f>IF(B39="","",IFERROR(INDEX('SO HOP DONG'!$H$9:$H$308,MATCH(B39,'SO HOP DONG'!$B$9:$B$308,0)),"Số HĐ không có trong sổ"))</f>
        <v/>
      </c>
      <c r="D39" s="120" t="n"/>
      <c r="E39" s="120" t="n"/>
      <c r="F39" s="120" t="n"/>
      <c r="G39" s="121" t="n"/>
      <c r="H39" s="120" t="n"/>
      <c r="I39" s="116">
        <f>IF(B39="","",IF(AND(D39="Thanh toán",F39="Tiền mặt",G39&gt;='THAM SO'!$B$11),"Tiền mặt ≥ ngưỡng: rủi ro loại khấu trừ GTGT/chi phí",IF(AND(D39="Thanh toán",F39=""),"Thiếu hình thức TT","")))</f>
        <v/>
      </c>
      <c r="J39" s="120" t="n"/>
    </row>
    <row r="40" ht="15" customHeight="1" s="64">
      <c r="A40" s="119" t="n"/>
      <c r="B40" s="120" t="n"/>
      <c r="C40" s="116">
        <f>IF(B40="","",IFERROR(INDEX('SO HOP DONG'!$H$9:$H$308,MATCH(B40,'SO HOP DONG'!$B$9:$B$308,0)),"Số HĐ không có trong sổ"))</f>
        <v/>
      </c>
      <c r="D40" s="120" t="n"/>
      <c r="E40" s="120" t="n"/>
      <c r="F40" s="120" t="n"/>
      <c r="G40" s="121" t="n"/>
      <c r="H40" s="120" t="n"/>
      <c r="I40" s="116">
        <f>IF(B40="","",IF(AND(D40="Thanh toán",F40="Tiền mặt",G40&gt;='THAM SO'!$B$11),"Tiền mặt ≥ ngưỡng: rủi ro loại khấu trừ GTGT/chi phí",IF(AND(D40="Thanh toán",F40=""),"Thiếu hình thức TT","")))</f>
        <v/>
      </c>
      <c r="J40" s="120" t="n"/>
    </row>
    <row r="41" ht="15" customHeight="1" s="64">
      <c r="A41" s="119" t="n"/>
      <c r="B41" s="120" t="n"/>
      <c r="C41" s="116">
        <f>IF(B41="","",IFERROR(INDEX('SO HOP DONG'!$H$9:$H$308,MATCH(B41,'SO HOP DONG'!$B$9:$B$308,0)),"Số HĐ không có trong sổ"))</f>
        <v/>
      </c>
      <c r="D41" s="120" t="n"/>
      <c r="E41" s="120" t="n"/>
      <c r="F41" s="120" t="n"/>
      <c r="G41" s="121" t="n"/>
      <c r="H41" s="120" t="n"/>
      <c r="I41" s="116">
        <f>IF(B41="","",IF(AND(D41="Thanh toán",F41="Tiền mặt",G41&gt;='THAM SO'!$B$11),"Tiền mặt ≥ ngưỡng: rủi ro loại khấu trừ GTGT/chi phí",IF(AND(D41="Thanh toán",F41=""),"Thiếu hình thức TT","")))</f>
        <v/>
      </c>
      <c r="J41" s="120" t="n"/>
    </row>
    <row r="42" ht="15" customHeight="1" s="64">
      <c r="A42" s="119" t="n"/>
      <c r="B42" s="120" t="n"/>
      <c r="C42" s="116">
        <f>IF(B42="","",IFERROR(INDEX('SO HOP DONG'!$H$9:$H$308,MATCH(B42,'SO HOP DONG'!$B$9:$B$308,0)),"Số HĐ không có trong sổ"))</f>
        <v/>
      </c>
      <c r="D42" s="120" t="n"/>
      <c r="E42" s="120" t="n"/>
      <c r="F42" s="120" t="n"/>
      <c r="G42" s="121" t="n"/>
      <c r="H42" s="120" t="n"/>
      <c r="I42" s="116">
        <f>IF(B42="","",IF(AND(D42="Thanh toán",F42="Tiền mặt",G42&gt;='THAM SO'!$B$11),"Tiền mặt ≥ ngưỡng: rủi ro loại khấu trừ GTGT/chi phí",IF(AND(D42="Thanh toán",F42=""),"Thiếu hình thức TT","")))</f>
        <v/>
      </c>
      <c r="J42" s="120" t="n"/>
    </row>
    <row r="43" ht="15" customHeight="1" s="64">
      <c r="A43" s="119" t="n"/>
      <c r="B43" s="120" t="n"/>
      <c r="C43" s="116">
        <f>IF(B43="","",IFERROR(INDEX('SO HOP DONG'!$H$9:$H$308,MATCH(B43,'SO HOP DONG'!$B$9:$B$308,0)),"Số HĐ không có trong sổ"))</f>
        <v/>
      </c>
      <c r="D43" s="120" t="n"/>
      <c r="E43" s="120" t="n"/>
      <c r="F43" s="120" t="n"/>
      <c r="G43" s="121" t="n"/>
      <c r="H43" s="120" t="n"/>
      <c r="I43" s="116">
        <f>IF(B43="","",IF(AND(D43="Thanh toán",F43="Tiền mặt",G43&gt;='THAM SO'!$B$11),"Tiền mặt ≥ ngưỡng: rủi ro loại khấu trừ GTGT/chi phí",IF(AND(D43="Thanh toán",F43=""),"Thiếu hình thức TT","")))</f>
        <v/>
      </c>
      <c r="J43" s="120" t="n"/>
    </row>
    <row r="44" ht="15" customHeight="1" s="64">
      <c r="A44" s="119" t="n"/>
      <c r="B44" s="120" t="n"/>
      <c r="C44" s="116">
        <f>IF(B44="","",IFERROR(INDEX('SO HOP DONG'!$H$9:$H$308,MATCH(B44,'SO HOP DONG'!$B$9:$B$308,0)),"Số HĐ không có trong sổ"))</f>
        <v/>
      </c>
      <c r="D44" s="120" t="n"/>
      <c r="E44" s="120" t="n"/>
      <c r="F44" s="120" t="n"/>
      <c r="G44" s="121" t="n"/>
      <c r="H44" s="120" t="n"/>
      <c r="I44" s="116">
        <f>IF(B44="","",IF(AND(D44="Thanh toán",F44="Tiền mặt",G44&gt;='THAM SO'!$B$11),"Tiền mặt ≥ ngưỡng: rủi ro loại khấu trừ GTGT/chi phí",IF(AND(D44="Thanh toán",F44=""),"Thiếu hình thức TT","")))</f>
        <v/>
      </c>
      <c r="J44" s="120" t="n"/>
    </row>
    <row r="45" ht="15" customHeight="1" s="64">
      <c r="A45" s="119" t="n"/>
      <c r="B45" s="120" t="n"/>
      <c r="C45" s="116">
        <f>IF(B45="","",IFERROR(INDEX('SO HOP DONG'!$H$9:$H$308,MATCH(B45,'SO HOP DONG'!$B$9:$B$308,0)),"Số HĐ không có trong sổ"))</f>
        <v/>
      </c>
      <c r="D45" s="120" t="n"/>
      <c r="E45" s="120" t="n"/>
      <c r="F45" s="120" t="n"/>
      <c r="G45" s="121" t="n"/>
      <c r="H45" s="120" t="n"/>
      <c r="I45" s="116">
        <f>IF(B45="","",IF(AND(D45="Thanh toán",F45="Tiền mặt",G45&gt;='THAM SO'!$B$11),"Tiền mặt ≥ ngưỡng: rủi ro loại khấu trừ GTGT/chi phí",IF(AND(D45="Thanh toán",F45=""),"Thiếu hình thức TT","")))</f>
        <v/>
      </c>
      <c r="J45" s="120" t="n"/>
    </row>
    <row r="46" ht="15" customHeight="1" s="64">
      <c r="A46" s="119" t="n"/>
      <c r="B46" s="120" t="n"/>
      <c r="C46" s="116">
        <f>IF(B46="","",IFERROR(INDEX('SO HOP DONG'!$H$9:$H$308,MATCH(B46,'SO HOP DONG'!$B$9:$B$308,0)),"Số HĐ không có trong sổ"))</f>
        <v/>
      </c>
      <c r="D46" s="120" t="n"/>
      <c r="E46" s="120" t="n"/>
      <c r="F46" s="120" t="n"/>
      <c r="G46" s="121" t="n"/>
      <c r="H46" s="120" t="n"/>
      <c r="I46" s="116">
        <f>IF(B46="","",IF(AND(D46="Thanh toán",F46="Tiền mặt",G46&gt;='THAM SO'!$B$11),"Tiền mặt ≥ ngưỡng: rủi ro loại khấu trừ GTGT/chi phí",IF(AND(D46="Thanh toán",F46=""),"Thiếu hình thức TT","")))</f>
        <v/>
      </c>
      <c r="J46" s="120" t="n"/>
    </row>
    <row r="47" ht="15" customHeight="1" s="64">
      <c r="A47" s="119" t="n"/>
      <c r="B47" s="120" t="n"/>
      <c r="C47" s="116">
        <f>IF(B47="","",IFERROR(INDEX('SO HOP DONG'!$H$9:$H$308,MATCH(B47,'SO HOP DONG'!$B$9:$B$308,0)),"Số HĐ không có trong sổ"))</f>
        <v/>
      </c>
      <c r="D47" s="120" t="n"/>
      <c r="E47" s="120" t="n"/>
      <c r="F47" s="120" t="n"/>
      <c r="G47" s="121" t="n"/>
      <c r="H47" s="120" t="n"/>
      <c r="I47" s="116">
        <f>IF(B47="","",IF(AND(D47="Thanh toán",F47="Tiền mặt",G47&gt;='THAM SO'!$B$11),"Tiền mặt ≥ ngưỡng: rủi ro loại khấu trừ GTGT/chi phí",IF(AND(D47="Thanh toán",F47=""),"Thiếu hình thức TT","")))</f>
        <v/>
      </c>
      <c r="J47" s="120" t="n"/>
    </row>
    <row r="48" ht="15" customHeight="1" s="64">
      <c r="A48" s="119" t="n"/>
      <c r="B48" s="120" t="n"/>
      <c r="C48" s="116">
        <f>IF(B48="","",IFERROR(INDEX('SO HOP DONG'!$H$9:$H$308,MATCH(B48,'SO HOP DONG'!$B$9:$B$308,0)),"Số HĐ không có trong sổ"))</f>
        <v/>
      </c>
      <c r="D48" s="120" t="n"/>
      <c r="E48" s="120" t="n"/>
      <c r="F48" s="120" t="n"/>
      <c r="G48" s="121" t="n"/>
      <c r="H48" s="120" t="n"/>
      <c r="I48" s="116">
        <f>IF(B48="","",IF(AND(D48="Thanh toán",F48="Tiền mặt",G48&gt;='THAM SO'!$B$11),"Tiền mặt ≥ ngưỡng: rủi ro loại khấu trừ GTGT/chi phí",IF(AND(D48="Thanh toán",F48=""),"Thiếu hình thức TT","")))</f>
        <v/>
      </c>
      <c r="J48" s="120" t="n"/>
    </row>
    <row r="49" ht="15" customHeight="1" s="64">
      <c r="A49" s="119" t="n"/>
      <c r="B49" s="120" t="n"/>
      <c r="C49" s="116">
        <f>IF(B49="","",IFERROR(INDEX('SO HOP DONG'!$H$9:$H$308,MATCH(B49,'SO HOP DONG'!$B$9:$B$308,0)),"Số HĐ không có trong sổ"))</f>
        <v/>
      </c>
      <c r="D49" s="120" t="n"/>
      <c r="E49" s="120" t="n"/>
      <c r="F49" s="120" t="n"/>
      <c r="G49" s="121" t="n"/>
      <c r="H49" s="120" t="n"/>
      <c r="I49" s="116">
        <f>IF(B49="","",IF(AND(D49="Thanh toán",F49="Tiền mặt",G49&gt;='THAM SO'!$B$11),"Tiền mặt ≥ ngưỡng: rủi ro loại khấu trừ GTGT/chi phí",IF(AND(D49="Thanh toán",F49=""),"Thiếu hình thức TT","")))</f>
        <v/>
      </c>
      <c r="J49" s="120" t="n"/>
    </row>
    <row r="50" ht="15" customHeight="1" s="64">
      <c r="A50" s="119" t="n"/>
      <c r="B50" s="120" t="n"/>
      <c r="C50" s="116">
        <f>IF(B50="","",IFERROR(INDEX('SO HOP DONG'!$H$9:$H$308,MATCH(B50,'SO HOP DONG'!$B$9:$B$308,0)),"Số HĐ không có trong sổ"))</f>
        <v/>
      </c>
      <c r="D50" s="120" t="n"/>
      <c r="E50" s="120" t="n"/>
      <c r="F50" s="120" t="n"/>
      <c r="G50" s="121" t="n"/>
      <c r="H50" s="120" t="n"/>
      <c r="I50" s="116">
        <f>IF(B50="","",IF(AND(D50="Thanh toán",F50="Tiền mặt",G50&gt;='THAM SO'!$B$11),"Tiền mặt ≥ ngưỡng: rủi ro loại khấu trừ GTGT/chi phí",IF(AND(D50="Thanh toán",F50=""),"Thiếu hình thức TT","")))</f>
        <v/>
      </c>
      <c r="J50" s="120" t="n"/>
    </row>
    <row r="51" ht="15" customHeight="1" s="64">
      <c r="A51" s="119" t="n"/>
      <c r="B51" s="120" t="n"/>
      <c r="C51" s="116">
        <f>IF(B51="","",IFERROR(INDEX('SO HOP DONG'!$H$9:$H$308,MATCH(B51,'SO HOP DONG'!$B$9:$B$308,0)),"Số HĐ không có trong sổ"))</f>
        <v/>
      </c>
      <c r="D51" s="120" t="n"/>
      <c r="E51" s="120" t="n"/>
      <c r="F51" s="120" t="n"/>
      <c r="G51" s="121" t="n"/>
      <c r="H51" s="120" t="n"/>
      <c r="I51" s="116">
        <f>IF(B51="","",IF(AND(D51="Thanh toán",F51="Tiền mặt",G51&gt;='THAM SO'!$B$11),"Tiền mặt ≥ ngưỡng: rủi ro loại khấu trừ GTGT/chi phí",IF(AND(D51="Thanh toán",F51=""),"Thiếu hình thức TT","")))</f>
        <v/>
      </c>
      <c r="J51" s="120" t="n"/>
    </row>
    <row r="52" ht="15" customHeight="1" s="64">
      <c r="A52" s="119" t="n"/>
      <c r="B52" s="120" t="n"/>
      <c r="C52" s="116">
        <f>IF(B52="","",IFERROR(INDEX('SO HOP DONG'!$H$9:$H$308,MATCH(B52,'SO HOP DONG'!$B$9:$B$308,0)),"Số HĐ không có trong sổ"))</f>
        <v/>
      </c>
      <c r="D52" s="120" t="n"/>
      <c r="E52" s="120" t="n"/>
      <c r="F52" s="120" t="n"/>
      <c r="G52" s="121" t="n"/>
      <c r="H52" s="120" t="n"/>
      <c r="I52" s="116">
        <f>IF(B52="","",IF(AND(D52="Thanh toán",F52="Tiền mặt",G52&gt;='THAM SO'!$B$11),"Tiền mặt ≥ ngưỡng: rủi ro loại khấu trừ GTGT/chi phí",IF(AND(D52="Thanh toán",F52=""),"Thiếu hình thức TT","")))</f>
        <v/>
      </c>
      <c r="J52" s="120" t="n"/>
    </row>
    <row r="53" ht="15" customHeight="1" s="64">
      <c r="A53" s="119" t="n"/>
      <c r="B53" s="120" t="n"/>
      <c r="C53" s="116">
        <f>IF(B53="","",IFERROR(INDEX('SO HOP DONG'!$H$9:$H$308,MATCH(B53,'SO HOP DONG'!$B$9:$B$308,0)),"Số HĐ không có trong sổ"))</f>
        <v/>
      </c>
      <c r="D53" s="120" t="n"/>
      <c r="E53" s="120" t="n"/>
      <c r="F53" s="120" t="n"/>
      <c r="G53" s="121" t="n"/>
      <c r="H53" s="120" t="n"/>
      <c r="I53" s="116">
        <f>IF(B53="","",IF(AND(D53="Thanh toán",F53="Tiền mặt",G53&gt;='THAM SO'!$B$11),"Tiền mặt ≥ ngưỡng: rủi ro loại khấu trừ GTGT/chi phí",IF(AND(D53="Thanh toán",F53=""),"Thiếu hình thức TT","")))</f>
        <v/>
      </c>
      <c r="J53" s="120" t="n"/>
    </row>
    <row r="54" ht="15" customHeight="1" s="64">
      <c r="A54" s="119" t="n"/>
      <c r="B54" s="120" t="n"/>
      <c r="C54" s="116">
        <f>IF(B54="","",IFERROR(INDEX('SO HOP DONG'!$H$9:$H$308,MATCH(B54,'SO HOP DONG'!$B$9:$B$308,0)),"Số HĐ không có trong sổ"))</f>
        <v/>
      </c>
      <c r="D54" s="120" t="n"/>
      <c r="E54" s="120" t="n"/>
      <c r="F54" s="120" t="n"/>
      <c r="G54" s="121" t="n"/>
      <c r="H54" s="120" t="n"/>
      <c r="I54" s="116">
        <f>IF(B54="","",IF(AND(D54="Thanh toán",F54="Tiền mặt",G54&gt;='THAM SO'!$B$11),"Tiền mặt ≥ ngưỡng: rủi ro loại khấu trừ GTGT/chi phí",IF(AND(D54="Thanh toán",F54=""),"Thiếu hình thức TT","")))</f>
        <v/>
      </c>
      <c r="J54" s="120" t="n"/>
    </row>
    <row r="55" ht="15" customHeight="1" s="64">
      <c r="A55" s="119" t="n"/>
      <c r="B55" s="120" t="n"/>
      <c r="C55" s="116">
        <f>IF(B55="","",IFERROR(INDEX('SO HOP DONG'!$H$9:$H$308,MATCH(B55,'SO HOP DONG'!$B$9:$B$308,0)),"Số HĐ không có trong sổ"))</f>
        <v/>
      </c>
      <c r="D55" s="120" t="n"/>
      <c r="E55" s="120" t="n"/>
      <c r="F55" s="120" t="n"/>
      <c r="G55" s="121" t="n"/>
      <c r="H55" s="120" t="n"/>
      <c r="I55" s="116">
        <f>IF(B55="","",IF(AND(D55="Thanh toán",F55="Tiền mặt",G55&gt;='THAM SO'!$B$11),"Tiền mặt ≥ ngưỡng: rủi ro loại khấu trừ GTGT/chi phí",IF(AND(D55="Thanh toán",F55=""),"Thiếu hình thức TT","")))</f>
        <v/>
      </c>
      <c r="J55" s="120" t="n"/>
    </row>
    <row r="56" ht="15" customHeight="1" s="64">
      <c r="A56" s="119" t="n"/>
      <c r="B56" s="120" t="n"/>
      <c r="C56" s="116">
        <f>IF(B56="","",IFERROR(INDEX('SO HOP DONG'!$H$9:$H$308,MATCH(B56,'SO HOP DONG'!$B$9:$B$308,0)),"Số HĐ không có trong sổ"))</f>
        <v/>
      </c>
      <c r="D56" s="120" t="n"/>
      <c r="E56" s="120" t="n"/>
      <c r="F56" s="120" t="n"/>
      <c r="G56" s="121" t="n"/>
      <c r="H56" s="120" t="n"/>
      <c r="I56" s="116">
        <f>IF(B56="","",IF(AND(D56="Thanh toán",F56="Tiền mặt",G56&gt;='THAM SO'!$B$11),"Tiền mặt ≥ ngưỡng: rủi ro loại khấu trừ GTGT/chi phí",IF(AND(D56="Thanh toán",F56=""),"Thiếu hình thức TT","")))</f>
        <v/>
      </c>
      <c r="J56" s="120" t="n"/>
    </row>
    <row r="57" ht="15" customHeight="1" s="64">
      <c r="A57" s="119" t="n"/>
      <c r="B57" s="120" t="n"/>
      <c r="C57" s="116">
        <f>IF(B57="","",IFERROR(INDEX('SO HOP DONG'!$H$9:$H$308,MATCH(B57,'SO HOP DONG'!$B$9:$B$308,0)),"Số HĐ không có trong sổ"))</f>
        <v/>
      </c>
      <c r="D57" s="120" t="n"/>
      <c r="E57" s="120" t="n"/>
      <c r="F57" s="120" t="n"/>
      <c r="G57" s="121" t="n"/>
      <c r="H57" s="120" t="n"/>
      <c r="I57" s="116">
        <f>IF(B57="","",IF(AND(D57="Thanh toán",F57="Tiền mặt",G57&gt;='THAM SO'!$B$11),"Tiền mặt ≥ ngưỡng: rủi ro loại khấu trừ GTGT/chi phí",IF(AND(D57="Thanh toán",F57=""),"Thiếu hình thức TT","")))</f>
        <v/>
      </c>
      <c r="J57" s="120" t="n"/>
    </row>
    <row r="58" ht="15" customHeight="1" s="64">
      <c r="A58" s="119" t="n"/>
      <c r="B58" s="120" t="n"/>
      <c r="C58" s="116">
        <f>IF(B58="","",IFERROR(INDEX('SO HOP DONG'!$H$9:$H$308,MATCH(B58,'SO HOP DONG'!$B$9:$B$308,0)),"Số HĐ không có trong sổ"))</f>
        <v/>
      </c>
      <c r="D58" s="120" t="n"/>
      <c r="E58" s="120" t="n"/>
      <c r="F58" s="120" t="n"/>
      <c r="G58" s="121" t="n"/>
      <c r="H58" s="120" t="n"/>
      <c r="I58" s="116">
        <f>IF(B58="","",IF(AND(D58="Thanh toán",F58="Tiền mặt",G58&gt;='THAM SO'!$B$11),"Tiền mặt ≥ ngưỡng: rủi ro loại khấu trừ GTGT/chi phí",IF(AND(D58="Thanh toán",F58=""),"Thiếu hình thức TT","")))</f>
        <v/>
      </c>
      <c r="J58" s="120" t="n"/>
    </row>
    <row r="59" ht="15" customHeight="1" s="64">
      <c r="A59" s="119" t="n"/>
      <c r="B59" s="120" t="n"/>
      <c r="C59" s="116">
        <f>IF(B59="","",IFERROR(INDEX('SO HOP DONG'!$H$9:$H$308,MATCH(B59,'SO HOP DONG'!$B$9:$B$308,0)),"Số HĐ không có trong sổ"))</f>
        <v/>
      </c>
      <c r="D59" s="120" t="n"/>
      <c r="E59" s="120" t="n"/>
      <c r="F59" s="120" t="n"/>
      <c r="G59" s="121" t="n"/>
      <c r="H59" s="120" t="n"/>
      <c r="I59" s="116">
        <f>IF(B59="","",IF(AND(D59="Thanh toán",F59="Tiền mặt",G59&gt;='THAM SO'!$B$11),"Tiền mặt ≥ ngưỡng: rủi ro loại khấu trừ GTGT/chi phí",IF(AND(D59="Thanh toán",F59=""),"Thiếu hình thức TT","")))</f>
        <v/>
      </c>
      <c r="J59" s="120" t="n"/>
    </row>
    <row r="60" ht="15" customHeight="1" s="64">
      <c r="A60" s="119" t="n"/>
      <c r="B60" s="120" t="n"/>
      <c r="C60" s="116">
        <f>IF(B60="","",IFERROR(INDEX('SO HOP DONG'!$H$9:$H$308,MATCH(B60,'SO HOP DONG'!$B$9:$B$308,0)),"Số HĐ không có trong sổ"))</f>
        <v/>
      </c>
      <c r="D60" s="120" t="n"/>
      <c r="E60" s="120" t="n"/>
      <c r="F60" s="120" t="n"/>
      <c r="G60" s="121" t="n"/>
      <c r="H60" s="120" t="n"/>
      <c r="I60" s="116">
        <f>IF(B60="","",IF(AND(D60="Thanh toán",F60="Tiền mặt",G60&gt;='THAM SO'!$B$11),"Tiền mặt ≥ ngưỡng: rủi ro loại khấu trừ GTGT/chi phí",IF(AND(D60="Thanh toán",F60=""),"Thiếu hình thức TT","")))</f>
        <v/>
      </c>
      <c r="J60" s="120" t="n"/>
    </row>
    <row r="61" ht="15" customHeight="1" s="64">
      <c r="A61" s="119" t="n"/>
      <c r="B61" s="120" t="n"/>
      <c r="C61" s="116">
        <f>IF(B61="","",IFERROR(INDEX('SO HOP DONG'!$H$9:$H$308,MATCH(B61,'SO HOP DONG'!$B$9:$B$308,0)),"Số HĐ không có trong sổ"))</f>
        <v/>
      </c>
      <c r="D61" s="120" t="n"/>
      <c r="E61" s="120" t="n"/>
      <c r="F61" s="120" t="n"/>
      <c r="G61" s="121" t="n"/>
      <c r="H61" s="120" t="n"/>
      <c r="I61" s="116">
        <f>IF(B61="","",IF(AND(D61="Thanh toán",F61="Tiền mặt",G61&gt;='THAM SO'!$B$11),"Tiền mặt ≥ ngưỡng: rủi ro loại khấu trừ GTGT/chi phí",IF(AND(D61="Thanh toán",F61=""),"Thiếu hình thức TT","")))</f>
        <v/>
      </c>
      <c r="J61" s="120" t="n"/>
    </row>
    <row r="62" ht="15" customHeight="1" s="64">
      <c r="A62" s="119" t="n"/>
      <c r="B62" s="120" t="n"/>
      <c r="C62" s="116">
        <f>IF(B62="","",IFERROR(INDEX('SO HOP DONG'!$H$9:$H$308,MATCH(B62,'SO HOP DONG'!$B$9:$B$308,0)),"Số HĐ không có trong sổ"))</f>
        <v/>
      </c>
      <c r="D62" s="120" t="n"/>
      <c r="E62" s="120" t="n"/>
      <c r="F62" s="120" t="n"/>
      <c r="G62" s="121" t="n"/>
      <c r="H62" s="120" t="n"/>
      <c r="I62" s="116">
        <f>IF(B62="","",IF(AND(D62="Thanh toán",F62="Tiền mặt",G62&gt;='THAM SO'!$B$11),"Tiền mặt ≥ ngưỡng: rủi ro loại khấu trừ GTGT/chi phí",IF(AND(D62="Thanh toán",F62=""),"Thiếu hình thức TT","")))</f>
        <v/>
      </c>
      <c r="J62" s="120" t="n"/>
    </row>
    <row r="63" ht="15" customHeight="1" s="64">
      <c r="A63" s="119" t="n"/>
      <c r="B63" s="120" t="n"/>
      <c r="C63" s="116">
        <f>IF(B63="","",IFERROR(INDEX('SO HOP DONG'!$H$9:$H$308,MATCH(B63,'SO HOP DONG'!$B$9:$B$308,0)),"Số HĐ không có trong sổ"))</f>
        <v/>
      </c>
      <c r="D63" s="120" t="n"/>
      <c r="E63" s="120" t="n"/>
      <c r="F63" s="120" t="n"/>
      <c r="G63" s="121" t="n"/>
      <c r="H63" s="120" t="n"/>
      <c r="I63" s="116">
        <f>IF(B63="","",IF(AND(D63="Thanh toán",F63="Tiền mặt",G63&gt;='THAM SO'!$B$11),"Tiền mặt ≥ ngưỡng: rủi ro loại khấu trừ GTGT/chi phí",IF(AND(D63="Thanh toán",F63=""),"Thiếu hình thức TT","")))</f>
        <v/>
      </c>
      <c r="J63" s="120" t="n"/>
    </row>
    <row r="64" ht="15" customHeight="1" s="64">
      <c r="A64" s="119" t="n"/>
      <c r="B64" s="120" t="n"/>
      <c r="C64" s="116">
        <f>IF(B64="","",IFERROR(INDEX('SO HOP DONG'!$H$9:$H$308,MATCH(B64,'SO HOP DONG'!$B$9:$B$308,0)),"Số HĐ không có trong sổ"))</f>
        <v/>
      </c>
      <c r="D64" s="120" t="n"/>
      <c r="E64" s="120" t="n"/>
      <c r="F64" s="120" t="n"/>
      <c r="G64" s="121" t="n"/>
      <c r="H64" s="120" t="n"/>
      <c r="I64" s="116">
        <f>IF(B64="","",IF(AND(D64="Thanh toán",F64="Tiền mặt",G64&gt;='THAM SO'!$B$11),"Tiền mặt ≥ ngưỡng: rủi ro loại khấu trừ GTGT/chi phí",IF(AND(D64="Thanh toán",F64=""),"Thiếu hình thức TT","")))</f>
        <v/>
      </c>
      <c r="J64" s="120" t="n"/>
    </row>
    <row r="65" ht="15" customHeight="1" s="64">
      <c r="A65" s="119" t="n"/>
      <c r="B65" s="120" t="n"/>
      <c r="C65" s="116">
        <f>IF(B65="","",IFERROR(INDEX('SO HOP DONG'!$H$9:$H$308,MATCH(B65,'SO HOP DONG'!$B$9:$B$308,0)),"Số HĐ không có trong sổ"))</f>
        <v/>
      </c>
      <c r="D65" s="120" t="n"/>
      <c r="E65" s="120" t="n"/>
      <c r="F65" s="120" t="n"/>
      <c r="G65" s="121" t="n"/>
      <c r="H65" s="120" t="n"/>
      <c r="I65" s="116">
        <f>IF(B65="","",IF(AND(D65="Thanh toán",F65="Tiền mặt",G65&gt;='THAM SO'!$B$11),"Tiền mặt ≥ ngưỡng: rủi ro loại khấu trừ GTGT/chi phí",IF(AND(D65="Thanh toán",F65=""),"Thiếu hình thức TT","")))</f>
        <v/>
      </c>
      <c r="J65" s="120" t="n"/>
    </row>
    <row r="66" ht="15" customHeight="1" s="64">
      <c r="A66" s="119" t="n"/>
      <c r="B66" s="120" t="n"/>
      <c r="C66" s="116">
        <f>IF(B66="","",IFERROR(INDEX('SO HOP DONG'!$H$9:$H$308,MATCH(B66,'SO HOP DONG'!$B$9:$B$308,0)),"Số HĐ không có trong sổ"))</f>
        <v/>
      </c>
      <c r="D66" s="120" t="n"/>
      <c r="E66" s="120" t="n"/>
      <c r="F66" s="120" t="n"/>
      <c r="G66" s="121" t="n"/>
      <c r="H66" s="120" t="n"/>
      <c r="I66" s="116">
        <f>IF(B66="","",IF(AND(D66="Thanh toán",F66="Tiền mặt",G66&gt;='THAM SO'!$B$11),"Tiền mặt ≥ ngưỡng: rủi ro loại khấu trừ GTGT/chi phí",IF(AND(D66="Thanh toán",F66=""),"Thiếu hình thức TT","")))</f>
        <v/>
      </c>
      <c r="J66" s="120" t="n"/>
    </row>
    <row r="67" ht="15" customHeight="1" s="64">
      <c r="A67" s="119" t="n"/>
      <c r="B67" s="120" t="n"/>
      <c r="C67" s="116">
        <f>IF(B67="","",IFERROR(INDEX('SO HOP DONG'!$H$9:$H$308,MATCH(B67,'SO HOP DONG'!$B$9:$B$308,0)),"Số HĐ không có trong sổ"))</f>
        <v/>
      </c>
      <c r="D67" s="120" t="n"/>
      <c r="E67" s="120" t="n"/>
      <c r="F67" s="120" t="n"/>
      <c r="G67" s="121" t="n"/>
      <c r="H67" s="120" t="n"/>
      <c r="I67" s="116">
        <f>IF(B67="","",IF(AND(D67="Thanh toán",F67="Tiền mặt",G67&gt;='THAM SO'!$B$11),"Tiền mặt ≥ ngưỡng: rủi ro loại khấu trừ GTGT/chi phí",IF(AND(D67="Thanh toán",F67=""),"Thiếu hình thức TT","")))</f>
        <v/>
      </c>
      <c r="J67" s="120" t="n"/>
    </row>
    <row r="68" ht="15" customHeight="1" s="64">
      <c r="A68" s="119" t="n"/>
      <c r="B68" s="120" t="n"/>
      <c r="C68" s="116">
        <f>IF(B68="","",IFERROR(INDEX('SO HOP DONG'!$H$9:$H$308,MATCH(B68,'SO HOP DONG'!$B$9:$B$308,0)),"Số HĐ không có trong sổ"))</f>
        <v/>
      </c>
      <c r="D68" s="120" t="n"/>
      <c r="E68" s="120" t="n"/>
      <c r="F68" s="120" t="n"/>
      <c r="G68" s="121" t="n"/>
      <c r="H68" s="120" t="n"/>
      <c r="I68" s="116">
        <f>IF(B68="","",IF(AND(D68="Thanh toán",F68="Tiền mặt",G68&gt;='THAM SO'!$B$11),"Tiền mặt ≥ ngưỡng: rủi ro loại khấu trừ GTGT/chi phí",IF(AND(D68="Thanh toán",F68=""),"Thiếu hình thức TT","")))</f>
        <v/>
      </c>
      <c r="J68" s="120" t="n"/>
    </row>
    <row r="69" ht="15" customHeight="1" s="64">
      <c r="A69" s="119" t="n"/>
      <c r="B69" s="120" t="n"/>
      <c r="C69" s="116">
        <f>IF(B69="","",IFERROR(INDEX('SO HOP DONG'!$H$9:$H$308,MATCH(B69,'SO HOP DONG'!$B$9:$B$308,0)),"Số HĐ không có trong sổ"))</f>
        <v/>
      </c>
      <c r="D69" s="120" t="n"/>
      <c r="E69" s="120" t="n"/>
      <c r="F69" s="120" t="n"/>
      <c r="G69" s="121" t="n"/>
      <c r="H69" s="120" t="n"/>
      <c r="I69" s="116">
        <f>IF(B69="","",IF(AND(D69="Thanh toán",F69="Tiền mặt",G69&gt;='THAM SO'!$B$11),"Tiền mặt ≥ ngưỡng: rủi ro loại khấu trừ GTGT/chi phí",IF(AND(D69="Thanh toán",F69=""),"Thiếu hình thức TT","")))</f>
        <v/>
      </c>
      <c r="J69" s="120" t="n"/>
    </row>
    <row r="70" ht="15" customHeight="1" s="64">
      <c r="A70" s="119" t="n"/>
      <c r="B70" s="120" t="n"/>
      <c r="C70" s="116">
        <f>IF(B70="","",IFERROR(INDEX('SO HOP DONG'!$H$9:$H$308,MATCH(B70,'SO HOP DONG'!$B$9:$B$308,0)),"Số HĐ không có trong sổ"))</f>
        <v/>
      </c>
      <c r="D70" s="120" t="n"/>
      <c r="E70" s="120" t="n"/>
      <c r="F70" s="120" t="n"/>
      <c r="G70" s="121" t="n"/>
      <c r="H70" s="120" t="n"/>
      <c r="I70" s="116">
        <f>IF(B70="","",IF(AND(D70="Thanh toán",F70="Tiền mặt",G70&gt;='THAM SO'!$B$11),"Tiền mặt ≥ ngưỡng: rủi ro loại khấu trừ GTGT/chi phí",IF(AND(D70="Thanh toán",F70=""),"Thiếu hình thức TT","")))</f>
        <v/>
      </c>
      <c r="J70" s="120" t="n"/>
    </row>
    <row r="71" ht="15" customHeight="1" s="64">
      <c r="A71" s="119" t="n"/>
      <c r="B71" s="120" t="n"/>
      <c r="C71" s="116">
        <f>IF(B71="","",IFERROR(INDEX('SO HOP DONG'!$H$9:$H$308,MATCH(B71,'SO HOP DONG'!$B$9:$B$308,0)),"Số HĐ không có trong sổ"))</f>
        <v/>
      </c>
      <c r="D71" s="120" t="n"/>
      <c r="E71" s="120" t="n"/>
      <c r="F71" s="120" t="n"/>
      <c r="G71" s="121" t="n"/>
      <c r="H71" s="120" t="n"/>
      <c r="I71" s="116">
        <f>IF(B71="","",IF(AND(D71="Thanh toán",F71="Tiền mặt",G71&gt;='THAM SO'!$B$11),"Tiền mặt ≥ ngưỡng: rủi ro loại khấu trừ GTGT/chi phí",IF(AND(D71="Thanh toán",F71=""),"Thiếu hình thức TT","")))</f>
        <v/>
      </c>
      <c r="J71" s="120" t="n"/>
    </row>
    <row r="72" ht="15" customHeight="1" s="64">
      <c r="A72" s="119" t="n"/>
      <c r="B72" s="120" t="n"/>
      <c r="C72" s="116">
        <f>IF(B72="","",IFERROR(INDEX('SO HOP DONG'!$H$9:$H$308,MATCH(B72,'SO HOP DONG'!$B$9:$B$308,0)),"Số HĐ không có trong sổ"))</f>
        <v/>
      </c>
      <c r="D72" s="120" t="n"/>
      <c r="E72" s="120" t="n"/>
      <c r="F72" s="120" t="n"/>
      <c r="G72" s="121" t="n"/>
      <c r="H72" s="120" t="n"/>
      <c r="I72" s="116">
        <f>IF(B72="","",IF(AND(D72="Thanh toán",F72="Tiền mặt",G72&gt;='THAM SO'!$B$11),"Tiền mặt ≥ ngưỡng: rủi ro loại khấu trừ GTGT/chi phí",IF(AND(D72="Thanh toán",F72=""),"Thiếu hình thức TT","")))</f>
        <v/>
      </c>
      <c r="J72" s="120" t="n"/>
    </row>
    <row r="73" ht="15" customHeight="1" s="64">
      <c r="A73" s="119" t="n"/>
      <c r="B73" s="120" t="n"/>
      <c r="C73" s="116">
        <f>IF(B73="","",IFERROR(INDEX('SO HOP DONG'!$H$9:$H$308,MATCH(B73,'SO HOP DONG'!$B$9:$B$308,0)),"Số HĐ không có trong sổ"))</f>
        <v/>
      </c>
      <c r="D73" s="120" t="n"/>
      <c r="E73" s="120" t="n"/>
      <c r="F73" s="120" t="n"/>
      <c r="G73" s="121" t="n"/>
      <c r="H73" s="120" t="n"/>
      <c r="I73" s="116">
        <f>IF(B73="","",IF(AND(D73="Thanh toán",F73="Tiền mặt",G73&gt;='THAM SO'!$B$11),"Tiền mặt ≥ ngưỡng: rủi ro loại khấu trừ GTGT/chi phí",IF(AND(D73="Thanh toán",F73=""),"Thiếu hình thức TT","")))</f>
        <v/>
      </c>
      <c r="J73" s="120" t="n"/>
    </row>
    <row r="74" ht="15" customHeight="1" s="64">
      <c r="A74" s="119" t="n"/>
      <c r="B74" s="120" t="n"/>
      <c r="C74" s="116">
        <f>IF(B74="","",IFERROR(INDEX('SO HOP DONG'!$H$9:$H$308,MATCH(B74,'SO HOP DONG'!$B$9:$B$308,0)),"Số HĐ không có trong sổ"))</f>
        <v/>
      </c>
      <c r="D74" s="120" t="n"/>
      <c r="E74" s="120" t="n"/>
      <c r="F74" s="120" t="n"/>
      <c r="G74" s="121" t="n"/>
      <c r="H74" s="120" t="n"/>
      <c r="I74" s="116">
        <f>IF(B74="","",IF(AND(D74="Thanh toán",F74="Tiền mặt",G74&gt;='THAM SO'!$B$11),"Tiền mặt ≥ ngưỡng: rủi ro loại khấu trừ GTGT/chi phí",IF(AND(D74="Thanh toán",F74=""),"Thiếu hình thức TT","")))</f>
        <v/>
      </c>
      <c r="J74" s="120" t="n"/>
    </row>
    <row r="75" ht="15" customHeight="1" s="64">
      <c r="A75" s="119" t="n"/>
      <c r="B75" s="120" t="n"/>
      <c r="C75" s="116">
        <f>IF(B75="","",IFERROR(INDEX('SO HOP DONG'!$H$9:$H$308,MATCH(B75,'SO HOP DONG'!$B$9:$B$308,0)),"Số HĐ không có trong sổ"))</f>
        <v/>
      </c>
      <c r="D75" s="120" t="n"/>
      <c r="E75" s="120" t="n"/>
      <c r="F75" s="120" t="n"/>
      <c r="G75" s="121" t="n"/>
      <c r="H75" s="120" t="n"/>
      <c r="I75" s="116">
        <f>IF(B75="","",IF(AND(D75="Thanh toán",F75="Tiền mặt",G75&gt;='THAM SO'!$B$11),"Tiền mặt ≥ ngưỡng: rủi ro loại khấu trừ GTGT/chi phí",IF(AND(D75="Thanh toán",F75=""),"Thiếu hình thức TT","")))</f>
        <v/>
      </c>
      <c r="J75" s="120" t="n"/>
    </row>
    <row r="76" ht="15" customHeight="1" s="64">
      <c r="A76" s="119" t="n"/>
      <c r="B76" s="120" t="n"/>
      <c r="C76" s="116">
        <f>IF(B76="","",IFERROR(INDEX('SO HOP DONG'!$H$9:$H$308,MATCH(B76,'SO HOP DONG'!$B$9:$B$308,0)),"Số HĐ không có trong sổ"))</f>
        <v/>
      </c>
      <c r="D76" s="120" t="n"/>
      <c r="E76" s="120" t="n"/>
      <c r="F76" s="120" t="n"/>
      <c r="G76" s="121" t="n"/>
      <c r="H76" s="120" t="n"/>
      <c r="I76" s="116">
        <f>IF(B76="","",IF(AND(D76="Thanh toán",F76="Tiền mặt",G76&gt;='THAM SO'!$B$11),"Tiền mặt ≥ ngưỡng: rủi ro loại khấu trừ GTGT/chi phí",IF(AND(D76="Thanh toán",F76=""),"Thiếu hình thức TT","")))</f>
        <v/>
      </c>
      <c r="J76" s="120" t="n"/>
    </row>
    <row r="77" ht="15" customHeight="1" s="64">
      <c r="A77" s="119" t="n"/>
      <c r="B77" s="120" t="n"/>
      <c r="C77" s="116">
        <f>IF(B77="","",IFERROR(INDEX('SO HOP DONG'!$H$9:$H$308,MATCH(B77,'SO HOP DONG'!$B$9:$B$308,0)),"Số HĐ không có trong sổ"))</f>
        <v/>
      </c>
      <c r="D77" s="120" t="n"/>
      <c r="E77" s="120" t="n"/>
      <c r="F77" s="120" t="n"/>
      <c r="G77" s="121" t="n"/>
      <c r="H77" s="120" t="n"/>
      <c r="I77" s="116">
        <f>IF(B77="","",IF(AND(D77="Thanh toán",F77="Tiền mặt",G77&gt;='THAM SO'!$B$11),"Tiền mặt ≥ ngưỡng: rủi ro loại khấu trừ GTGT/chi phí",IF(AND(D77="Thanh toán",F77=""),"Thiếu hình thức TT","")))</f>
        <v/>
      </c>
      <c r="J77" s="120" t="n"/>
    </row>
    <row r="78" ht="15" customHeight="1" s="64">
      <c r="A78" s="119" t="n"/>
      <c r="B78" s="120" t="n"/>
      <c r="C78" s="116">
        <f>IF(B78="","",IFERROR(INDEX('SO HOP DONG'!$H$9:$H$308,MATCH(B78,'SO HOP DONG'!$B$9:$B$308,0)),"Số HĐ không có trong sổ"))</f>
        <v/>
      </c>
      <c r="D78" s="120" t="n"/>
      <c r="E78" s="120" t="n"/>
      <c r="F78" s="120" t="n"/>
      <c r="G78" s="121" t="n"/>
      <c r="H78" s="120" t="n"/>
      <c r="I78" s="116">
        <f>IF(B78="","",IF(AND(D78="Thanh toán",F78="Tiền mặt",G78&gt;='THAM SO'!$B$11),"Tiền mặt ≥ ngưỡng: rủi ro loại khấu trừ GTGT/chi phí",IF(AND(D78="Thanh toán",F78=""),"Thiếu hình thức TT","")))</f>
        <v/>
      </c>
      <c r="J78" s="120" t="n"/>
    </row>
    <row r="79" ht="15" customHeight="1" s="64">
      <c r="A79" s="119" t="n"/>
      <c r="B79" s="120" t="n"/>
      <c r="C79" s="116">
        <f>IF(B79="","",IFERROR(INDEX('SO HOP DONG'!$H$9:$H$308,MATCH(B79,'SO HOP DONG'!$B$9:$B$308,0)),"Số HĐ không có trong sổ"))</f>
        <v/>
      </c>
      <c r="D79" s="120" t="n"/>
      <c r="E79" s="120" t="n"/>
      <c r="F79" s="120" t="n"/>
      <c r="G79" s="121" t="n"/>
      <c r="H79" s="120" t="n"/>
      <c r="I79" s="116">
        <f>IF(B79="","",IF(AND(D79="Thanh toán",F79="Tiền mặt",G79&gt;='THAM SO'!$B$11),"Tiền mặt ≥ ngưỡng: rủi ro loại khấu trừ GTGT/chi phí",IF(AND(D79="Thanh toán",F79=""),"Thiếu hình thức TT","")))</f>
        <v/>
      </c>
      <c r="J79" s="120" t="n"/>
    </row>
    <row r="80" ht="15" customHeight="1" s="64">
      <c r="A80" s="119" t="n"/>
      <c r="B80" s="120" t="n"/>
      <c r="C80" s="116">
        <f>IF(B80="","",IFERROR(INDEX('SO HOP DONG'!$H$9:$H$308,MATCH(B80,'SO HOP DONG'!$B$9:$B$308,0)),"Số HĐ không có trong sổ"))</f>
        <v/>
      </c>
      <c r="D80" s="120" t="n"/>
      <c r="E80" s="120" t="n"/>
      <c r="F80" s="120" t="n"/>
      <c r="G80" s="121" t="n"/>
      <c r="H80" s="120" t="n"/>
      <c r="I80" s="116">
        <f>IF(B80="","",IF(AND(D80="Thanh toán",F80="Tiền mặt",G80&gt;='THAM SO'!$B$11),"Tiền mặt ≥ ngưỡng: rủi ro loại khấu trừ GTGT/chi phí",IF(AND(D80="Thanh toán",F80=""),"Thiếu hình thức TT","")))</f>
        <v/>
      </c>
      <c r="J80" s="120" t="n"/>
    </row>
    <row r="81" ht="15" customHeight="1" s="64">
      <c r="A81" s="119" t="n"/>
      <c r="B81" s="120" t="n"/>
      <c r="C81" s="116">
        <f>IF(B81="","",IFERROR(INDEX('SO HOP DONG'!$H$9:$H$308,MATCH(B81,'SO HOP DONG'!$B$9:$B$308,0)),"Số HĐ không có trong sổ"))</f>
        <v/>
      </c>
      <c r="D81" s="120" t="n"/>
      <c r="E81" s="120" t="n"/>
      <c r="F81" s="120" t="n"/>
      <c r="G81" s="121" t="n"/>
      <c r="H81" s="120" t="n"/>
      <c r="I81" s="116">
        <f>IF(B81="","",IF(AND(D81="Thanh toán",F81="Tiền mặt",G81&gt;='THAM SO'!$B$11),"Tiền mặt ≥ ngưỡng: rủi ro loại khấu trừ GTGT/chi phí",IF(AND(D81="Thanh toán",F81=""),"Thiếu hình thức TT","")))</f>
        <v/>
      </c>
      <c r="J81" s="120" t="n"/>
    </row>
    <row r="82" ht="15" customHeight="1" s="64">
      <c r="A82" s="119" t="n"/>
      <c r="B82" s="120" t="n"/>
      <c r="C82" s="116">
        <f>IF(B82="","",IFERROR(INDEX('SO HOP DONG'!$H$9:$H$308,MATCH(B82,'SO HOP DONG'!$B$9:$B$308,0)),"Số HĐ không có trong sổ"))</f>
        <v/>
      </c>
      <c r="D82" s="120" t="n"/>
      <c r="E82" s="120" t="n"/>
      <c r="F82" s="120" t="n"/>
      <c r="G82" s="121" t="n"/>
      <c r="H82" s="120" t="n"/>
      <c r="I82" s="116">
        <f>IF(B82="","",IF(AND(D82="Thanh toán",F82="Tiền mặt",G82&gt;='THAM SO'!$B$11),"Tiền mặt ≥ ngưỡng: rủi ro loại khấu trừ GTGT/chi phí",IF(AND(D82="Thanh toán",F82=""),"Thiếu hình thức TT","")))</f>
        <v/>
      </c>
      <c r="J82" s="120" t="n"/>
    </row>
    <row r="83" ht="15" customHeight="1" s="64">
      <c r="A83" s="119" t="n"/>
      <c r="B83" s="120" t="n"/>
      <c r="C83" s="116">
        <f>IF(B83="","",IFERROR(INDEX('SO HOP DONG'!$H$9:$H$308,MATCH(B83,'SO HOP DONG'!$B$9:$B$308,0)),"Số HĐ không có trong sổ"))</f>
        <v/>
      </c>
      <c r="D83" s="120" t="n"/>
      <c r="E83" s="120" t="n"/>
      <c r="F83" s="120" t="n"/>
      <c r="G83" s="121" t="n"/>
      <c r="H83" s="120" t="n"/>
      <c r="I83" s="116">
        <f>IF(B83="","",IF(AND(D83="Thanh toán",F83="Tiền mặt",G83&gt;='THAM SO'!$B$11),"Tiền mặt ≥ ngưỡng: rủi ro loại khấu trừ GTGT/chi phí",IF(AND(D83="Thanh toán",F83=""),"Thiếu hình thức TT","")))</f>
        <v/>
      </c>
      <c r="J83" s="120" t="n"/>
    </row>
    <row r="84" ht="15" customHeight="1" s="64">
      <c r="A84" s="119" t="n"/>
      <c r="B84" s="120" t="n"/>
      <c r="C84" s="116">
        <f>IF(B84="","",IFERROR(INDEX('SO HOP DONG'!$H$9:$H$308,MATCH(B84,'SO HOP DONG'!$B$9:$B$308,0)),"Số HĐ không có trong sổ"))</f>
        <v/>
      </c>
      <c r="D84" s="120" t="n"/>
      <c r="E84" s="120" t="n"/>
      <c r="F84" s="120" t="n"/>
      <c r="G84" s="121" t="n"/>
      <c r="H84" s="120" t="n"/>
      <c r="I84" s="116">
        <f>IF(B84="","",IF(AND(D84="Thanh toán",F84="Tiền mặt",G84&gt;='THAM SO'!$B$11),"Tiền mặt ≥ ngưỡng: rủi ro loại khấu trừ GTGT/chi phí",IF(AND(D84="Thanh toán",F84=""),"Thiếu hình thức TT","")))</f>
        <v/>
      </c>
      <c r="J84" s="120" t="n"/>
    </row>
    <row r="85" ht="15" customHeight="1" s="64">
      <c r="A85" s="119" t="n"/>
      <c r="B85" s="120" t="n"/>
      <c r="C85" s="116">
        <f>IF(B85="","",IFERROR(INDEX('SO HOP DONG'!$H$9:$H$308,MATCH(B85,'SO HOP DONG'!$B$9:$B$308,0)),"Số HĐ không có trong sổ"))</f>
        <v/>
      </c>
      <c r="D85" s="120" t="n"/>
      <c r="E85" s="120" t="n"/>
      <c r="F85" s="120" t="n"/>
      <c r="G85" s="121" t="n"/>
      <c r="H85" s="120" t="n"/>
      <c r="I85" s="116">
        <f>IF(B85="","",IF(AND(D85="Thanh toán",F85="Tiền mặt",G85&gt;='THAM SO'!$B$11),"Tiền mặt ≥ ngưỡng: rủi ro loại khấu trừ GTGT/chi phí",IF(AND(D85="Thanh toán",F85=""),"Thiếu hình thức TT","")))</f>
        <v/>
      </c>
      <c r="J85" s="120" t="n"/>
    </row>
    <row r="86" ht="15" customHeight="1" s="64">
      <c r="A86" s="119" t="n"/>
      <c r="B86" s="120" t="n"/>
      <c r="C86" s="116">
        <f>IF(B86="","",IFERROR(INDEX('SO HOP DONG'!$H$9:$H$308,MATCH(B86,'SO HOP DONG'!$B$9:$B$308,0)),"Số HĐ không có trong sổ"))</f>
        <v/>
      </c>
      <c r="D86" s="120" t="n"/>
      <c r="E86" s="120" t="n"/>
      <c r="F86" s="120" t="n"/>
      <c r="G86" s="121" t="n"/>
      <c r="H86" s="120" t="n"/>
      <c r="I86" s="116">
        <f>IF(B86="","",IF(AND(D86="Thanh toán",F86="Tiền mặt",G86&gt;='THAM SO'!$B$11),"Tiền mặt ≥ ngưỡng: rủi ro loại khấu trừ GTGT/chi phí",IF(AND(D86="Thanh toán",F86=""),"Thiếu hình thức TT","")))</f>
        <v/>
      </c>
      <c r="J86" s="120" t="n"/>
    </row>
    <row r="87" ht="15" customHeight="1" s="64">
      <c r="A87" s="119" t="n"/>
      <c r="B87" s="120" t="n"/>
      <c r="C87" s="116">
        <f>IF(B87="","",IFERROR(INDEX('SO HOP DONG'!$H$9:$H$308,MATCH(B87,'SO HOP DONG'!$B$9:$B$308,0)),"Số HĐ không có trong sổ"))</f>
        <v/>
      </c>
      <c r="D87" s="120" t="n"/>
      <c r="E87" s="120" t="n"/>
      <c r="F87" s="120" t="n"/>
      <c r="G87" s="121" t="n"/>
      <c r="H87" s="120" t="n"/>
      <c r="I87" s="116">
        <f>IF(B87="","",IF(AND(D87="Thanh toán",F87="Tiền mặt",G87&gt;='THAM SO'!$B$11),"Tiền mặt ≥ ngưỡng: rủi ro loại khấu trừ GTGT/chi phí",IF(AND(D87="Thanh toán",F87=""),"Thiếu hình thức TT","")))</f>
        <v/>
      </c>
      <c r="J87" s="120" t="n"/>
    </row>
    <row r="88" ht="15" customHeight="1" s="64">
      <c r="A88" s="119" t="n"/>
      <c r="B88" s="120" t="n"/>
      <c r="C88" s="116">
        <f>IF(B88="","",IFERROR(INDEX('SO HOP DONG'!$H$9:$H$308,MATCH(B88,'SO HOP DONG'!$B$9:$B$308,0)),"Số HĐ không có trong sổ"))</f>
        <v/>
      </c>
      <c r="D88" s="120" t="n"/>
      <c r="E88" s="120" t="n"/>
      <c r="F88" s="120" t="n"/>
      <c r="G88" s="121" t="n"/>
      <c r="H88" s="120" t="n"/>
      <c r="I88" s="116">
        <f>IF(B88="","",IF(AND(D88="Thanh toán",F88="Tiền mặt",G88&gt;='THAM SO'!$B$11),"Tiền mặt ≥ ngưỡng: rủi ro loại khấu trừ GTGT/chi phí",IF(AND(D88="Thanh toán",F88=""),"Thiếu hình thức TT","")))</f>
        <v/>
      </c>
      <c r="J88" s="120" t="n"/>
    </row>
    <row r="89" ht="15" customHeight="1" s="64">
      <c r="A89" s="119" t="n"/>
      <c r="B89" s="120" t="n"/>
      <c r="C89" s="116">
        <f>IF(B89="","",IFERROR(INDEX('SO HOP DONG'!$H$9:$H$308,MATCH(B89,'SO HOP DONG'!$B$9:$B$308,0)),"Số HĐ không có trong sổ"))</f>
        <v/>
      </c>
      <c r="D89" s="120" t="n"/>
      <c r="E89" s="120" t="n"/>
      <c r="F89" s="120" t="n"/>
      <c r="G89" s="121" t="n"/>
      <c r="H89" s="120" t="n"/>
      <c r="I89" s="116">
        <f>IF(B89="","",IF(AND(D89="Thanh toán",F89="Tiền mặt",G89&gt;='THAM SO'!$B$11),"Tiền mặt ≥ ngưỡng: rủi ro loại khấu trừ GTGT/chi phí",IF(AND(D89="Thanh toán",F89=""),"Thiếu hình thức TT","")))</f>
        <v/>
      </c>
      <c r="J89" s="120" t="n"/>
    </row>
    <row r="90" ht="15" customHeight="1" s="64">
      <c r="A90" s="119" t="n"/>
      <c r="B90" s="120" t="n"/>
      <c r="C90" s="116">
        <f>IF(B90="","",IFERROR(INDEX('SO HOP DONG'!$H$9:$H$308,MATCH(B90,'SO HOP DONG'!$B$9:$B$308,0)),"Số HĐ không có trong sổ"))</f>
        <v/>
      </c>
      <c r="D90" s="120" t="n"/>
      <c r="E90" s="120" t="n"/>
      <c r="F90" s="120" t="n"/>
      <c r="G90" s="121" t="n"/>
      <c r="H90" s="120" t="n"/>
      <c r="I90" s="116">
        <f>IF(B90="","",IF(AND(D90="Thanh toán",F90="Tiền mặt",G90&gt;='THAM SO'!$B$11),"Tiền mặt ≥ ngưỡng: rủi ro loại khấu trừ GTGT/chi phí",IF(AND(D90="Thanh toán",F90=""),"Thiếu hình thức TT","")))</f>
        <v/>
      </c>
      <c r="J90" s="120" t="n"/>
    </row>
    <row r="91" ht="15" customHeight="1" s="64">
      <c r="A91" s="119" t="n"/>
      <c r="B91" s="120" t="n"/>
      <c r="C91" s="116">
        <f>IF(B91="","",IFERROR(INDEX('SO HOP DONG'!$H$9:$H$308,MATCH(B91,'SO HOP DONG'!$B$9:$B$308,0)),"Số HĐ không có trong sổ"))</f>
        <v/>
      </c>
      <c r="D91" s="120" t="n"/>
      <c r="E91" s="120" t="n"/>
      <c r="F91" s="120" t="n"/>
      <c r="G91" s="121" t="n"/>
      <c r="H91" s="120" t="n"/>
      <c r="I91" s="116">
        <f>IF(B91="","",IF(AND(D91="Thanh toán",F91="Tiền mặt",G91&gt;='THAM SO'!$B$11),"Tiền mặt ≥ ngưỡng: rủi ro loại khấu trừ GTGT/chi phí",IF(AND(D91="Thanh toán",F91=""),"Thiếu hình thức TT","")))</f>
        <v/>
      </c>
      <c r="J91" s="120" t="n"/>
    </row>
    <row r="92" ht="15" customHeight="1" s="64">
      <c r="A92" s="119" t="n"/>
      <c r="B92" s="120" t="n"/>
      <c r="C92" s="116">
        <f>IF(B92="","",IFERROR(INDEX('SO HOP DONG'!$H$9:$H$308,MATCH(B92,'SO HOP DONG'!$B$9:$B$308,0)),"Số HĐ không có trong sổ"))</f>
        <v/>
      </c>
      <c r="D92" s="120" t="n"/>
      <c r="E92" s="120" t="n"/>
      <c r="F92" s="120" t="n"/>
      <c r="G92" s="121" t="n"/>
      <c r="H92" s="120" t="n"/>
      <c r="I92" s="116">
        <f>IF(B92="","",IF(AND(D92="Thanh toán",F92="Tiền mặt",G92&gt;='THAM SO'!$B$11),"Tiền mặt ≥ ngưỡng: rủi ro loại khấu trừ GTGT/chi phí",IF(AND(D92="Thanh toán",F92=""),"Thiếu hình thức TT","")))</f>
        <v/>
      </c>
      <c r="J92" s="120" t="n"/>
    </row>
    <row r="93" ht="15" customHeight="1" s="64">
      <c r="A93" s="119" t="n"/>
      <c r="B93" s="120" t="n"/>
      <c r="C93" s="116">
        <f>IF(B93="","",IFERROR(INDEX('SO HOP DONG'!$H$9:$H$308,MATCH(B93,'SO HOP DONG'!$B$9:$B$308,0)),"Số HĐ không có trong sổ"))</f>
        <v/>
      </c>
      <c r="D93" s="120" t="n"/>
      <c r="E93" s="120" t="n"/>
      <c r="F93" s="120" t="n"/>
      <c r="G93" s="121" t="n"/>
      <c r="H93" s="120" t="n"/>
      <c r="I93" s="116">
        <f>IF(B93="","",IF(AND(D93="Thanh toán",F93="Tiền mặt",G93&gt;='THAM SO'!$B$11),"Tiền mặt ≥ ngưỡng: rủi ro loại khấu trừ GTGT/chi phí",IF(AND(D93="Thanh toán",F93=""),"Thiếu hình thức TT","")))</f>
        <v/>
      </c>
      <c r="J93" s="120" t="n"/>
    </row>
    <row r="94" ht="15" customHeight="1" s="64">
      <c r="A94" s="119" t="n"/>
      <c r="B94" s="120" t="n"/>
      <c r="C94" s="116">
        <f>IF(B94="","",IFERROR(INDEX('SO HOP DONG'!$H$9:$H$308,MATCH(B94,'SO HOP DONG'!$B$9:$B$308,0)),"Số HĐ không có trong sổ"))</f>
        <v/>
      </c>
      <c r="D94" s="120" t="n"/>
      <c r="E94" s="120" t="n"/>
      <c r="F94" s="120" t="n"/>
      <c r="G94" s="121" t="n"/>
      <c r="H94" s="120" t="n"/>
      <c r="I94" s="116">
        <f>IF(B94="","",IF(AND(D94="Thanh toán",F94="Tiền mặt",G94&gt;='THAM SO'!$B$11),"Tiền mặt ≥ ngưỡng: rủi ro loại khấu trừ GTGT/chi phí",IF(AND(D94="Thanh toán",F94=""),"Thiếu hình thức TT","")))</f>
        <v/>
      </c>
      <c r="J94" s="120" t="n"/>
    </row>
    <row r="95" ht="15" customHeight="1" s="64">
      <c r="A95" s="119" t="n"/>
      <c r="B95" s="120" t="n"/>
      <c r="C95" s="116">
        <f>IF(B95="","",IFERROR(INDEX('SO HOP DONG'!$H$9:$H$308,MATCH(B95,'SO HOP DONG'!$B$9:$B$308,0)),"Số HĐ không có trong sổ"))</f>
        <v/>
      </c>
      <c r="D95" s="120" t="n"/>
      <c r="E95" s="120" t="n"/>
      <c r="F95" s="120" t="n"/>
      <c r="G95" s="121" t="n"/>
      <c r="H95" s="120" t="n"/>
      <c r="I95" s="116">
        <f>IF(B95="","",IF(AND(D95="Thanh toán",F95="Tiền mặt",G95&gt;='THAM SO'!$B$11),"Tiền mặt ≥ ngưỡng: rủi ro loại khấu trừ GTGT/chi phí",IF(AND(D95="Thanh toán",F95=""),"Thiếu hình thức TT","")))</f>
        <v/>
      </c>
      <c r="J95" s="120" t="n"/>
    </row>
    <row r="96" ht="15" customHeight="1" s="64">
      <c r="A96" s="119" t="n"/>
      <c r="B96" s="120" t="n"/>
      <c r="C96" s="116">
        <f>IF(B96="","",IFERROR(INDEX('SO HOP DONG'!$H$9:$H$308,MATCH(B96,'SO HOP DONG'!$B$9:$B$308,0)),"Số HĐ không có trong sổ"))</f>
        <v/>
      </c>
      <c r="D96" s="120" t="n"/>
      <c r="E96" s="120" t="n"/>
      <c r="F96" s="120" t="n"/>
      <c r="G96" s="121" t="n"/>
      <c r="H96" s="120" t="n"/>
      <c r="I96" s="116">
        <f>IF(B96="","",IF(AND(D96="Thanh toán",F96="Tiền mặt",G96&gt;='THAM SO'!$B$11),"Tiền mặt ≥ ngưỡng: rủi ro loại khấu trừ GTGT/chi phí",IF(AND(D96="Thanh toán",F96=""),"Thiếu hình thức TT","")))</f>
        <v/>
      </c>
      <c r="J96" s="120" t="n"/>
    </row>
    <row r="97" ht="15" customHeight="1" s="64">
      <c r="A97" s="119" t="n"/>
      <c r="B97" s="120" t="n"/>
      <c r="C97" s="116">
        <f>IF(B97="","",IFERROR(INDEX('SO HOP DONG'!$H$9:$H$308,MATCH(B97,'SO HOP DONG'!$B$9:$B$308,0)),"Số HĐ không có trong sổ"))</f>
        <v/>
      </c>
      <c r="D97" s="120" t="n"/>
      <c r="E97" s="120" t="n"/>
      <c r="F97" s="120" t="n"/>
      <c r="G97" s="121" t="n"/>
      <c r="H97" s="120" t="n"/>
      <c r="I97" s="116">
        <f>IF(B97="","",IF(AND(D97="Thanh toán",F97="Tiền mặt",G97&gt;='THAM SO'!$B$11),"Tiền mặt ≥ ngưỡng: rủi ro loại khấu trừ GTGT/chi phí",IF(AND(D97="Thanh toán",F97=""),"Thiếu hình thức TT","")))</f>
        <v/>
      </c>
      <c r="J97" s="120" t="n"/>
    </row>
    <row r="98" ht="15" customHeight="1" s="64">
      <c r="A98" s="119" t="n"/>
      <c r="B98" s="120" t="n"/>
      <c r="C98" s="116">
        <f>IF(B98="","",IFERROR(INDEX('SO HOP DONG'!$H$9:$H$308,MATCH(B98,'SO HOP DONG'!$B$9:$B$308,0)),"Số HĐ không có trong sổ"))</f>
        <v/>
      </c>
      <c r="D98" s="120" t="n"/>
      <c r="E98" s="120" t="n"/>
      <c r="F98" s="120" t="n"/>
      <c r="G98" s="121" t="n"/>
      <c r="H98" s="120" t="n"/>
      <c r="I98" s="116">
        <f>IF(B98="","",IF(AND(D98="Thanh toán",F98="Tiền mặt",G98&gt;='THAM SO'!$B$11),"Tiền mặt ≥ ngưỡng: rủi ro loại khấu trừ GTGT/chi phí",IF(AND(D98="Thanh toán",F98=""),"Thiếu hình thức TT","")))</f>
        <v/>
      </c>
      <c r="J98" s="120" t="n"/>
    </row>
    <row r="99" ht="15" customHeight="1" s="64">
      <c r="A99" s="119" t="n"/>
      <c r="B99" s="120" t="n"/>
      <c r="C99" s="116">
        <f>IF(B99="","",IFERROR(INDEX('SO HOP DONG'!$H$9:$H$308,MATCH(B99,'SO HOP DONG'!$B$9:$B$308,0)),"Số HĐ không có trong sổ"))</f>
        <v/>
      </c>
      <c r="D99" s="120" t="n"/>
      <c r="E99" s="120" t="n"/>
      <c r="F99" s="120" t="n"/>
      <c r="G99" s="121" t="n"/>
      <c r="H99" s="120" t="n"/>
      <c r="I99" s="116">
        <f>IF(B99="","",IF(AND(D99="Thanh toán",F99="Tiền mặt",G99&gt;='THAM SO'!$B$11),"Tiền mặt ≥ ngưỡng: rủi ro loại khấu trừ GTGT/chi phí",IF(AND(D99="Thanh toán",F99=""),"Thiếu hình thức TT","")))</f>
        <v/>
      </c>
      <c r="J99" s="120" t="n"/>
    </row>
    <row r="100" ht="15" customHeight="1" s="64">
      <c r="A100" s="119" t="n"/>
      <c r="B100" s="120" t="n"/>
      <c r="C100" s="116">
        <f>IF(B100="","",IFERROR(INDEX('SO HOP DONG'!$H$9:$H$308,MATCH(B100,'SO HOP DONG'!$B$9:$B$308,0)),"Số HĐ không có trong sổ"))</f>
        <v/>
      </c>
      <c r="D100" s="120" t="n"/>
      <c r="E100" s="120" t="n"/>
      <c r="F100" s="120" t="n"/>
      <c r="G100" s="121" t="n"/>
      <c r="H100" s="120" t="n"/>
      <c r="I100" s="116">
        <f>IF(B100="","",IF(AND(D100="Thanh toán",F100="Tiền mặt",G100&gt;='THAM SO'!$B$11),"Tiền mặt ≥ ngưỡng: rủi ro loại khấu trừ GTGT/chi phí",IF(AND(D100="Thanh toán",F100=""),"Thiếu hình thức TT","")))</f>
        <v/>
      </c>
      <c r="J100" s="120" t="n"/>
    </row>
    <row r="101" ht="15" customHeight="1" s="64">
      <c r="A101" s="119" t="n"/>
      <c r="B101" s="120" t="n"/>
      <c r="C101" s="116">
        <f>IF(B101="","",IFERROR(INDEX('SO HOP DONG'!$H$9:$H$308,MATCH(B101,'SO HOP DONG'!$B$9:$B$308,0)),"Số HĐ không có trong sổ"))</f>
        <v/>
      </c>
      <c r="D101" s="120" t="n"/>
      <c r="E101" s="120" t="n"/>
      <c r="F101" s="120" t="n"/>
      <c r="G101" s="121" t="n"/>
      <c r="H101" s="120" t="n"/>
      <c r="I101" s="116">
        <f>IF(B101="","",IF(AND(D101="Thanh toán",F101="Tiền mặt",G101&gt;='THAM SO'!$B$11),"Tiền mặt ≥ ngưỡng: rủi ro loại khấu trừ GTGT/chi phí",IF(AND(D101="Thanh toán",F101=""),"Thiếu hình thức TT","")))</f>
        <v/>
      </c>
      <c r="J101" s="120" t="n"/>
    </row>
    <row r="102" ht="15" customHeight="1" s="64">
      <c r="A102" s="119" t="n"/>
      <c r="B102" s="120" t="n"/>
      <c r="C102" s="116">
        <f>IF(B102="","",IFERROR(INDEX('SO HOP DONG'!$H$9:$H$308,MATCH(B102,'SO HOP DONG'!$B$9:$B$308,0)),"Số HĐ không có trong sổ"))</f>
        <v/>
      </c>
      <c r="D102" s="120" t="n"/>
      <c r="E102" s="120" t="n"/>
      <c r="F102" s="120" t="n"/>
      <c r="G102" s="121" t="n"/>
      <c r="H102" s="120" t="n"/>
      <c r="I102" s="116">
        <f>IF(B102="","",IF(AND(D102="Thanh toán",F102="Tiền mặt",G102&gt;='THAM SO'!$B$11),"Tiền mặt ≥ ngưỡng: rủi ro loại khấu trừ GTGT/chi phí",IF(AND(D102="Thanh toán",F102=""),"Thiếu hình thức TT","")))</f>
        <v/>
      </c>
      <c r="J102" s="120" t="n"/>
    </row>
    <row r="103" ht="15" customHeight="1" s="64">
      <c r="A103" s="119" t="n"/>
      <c r="B103" s="120" t="n"/>
      <c r="C103" s="116">
        <f>IF(B103="","",IFERROR(INDEX('SO HOP DONG'!$H$9:$H$308,MATCH(B103,'SO HOP DONG'!$B$9:$B$308,0)),"Số HĐ không có trong sổ"))</f>
        <v/>
      </c>
      <c r="D103" s="120" t="n"/>
      <c r="E103" s="120" t="n"/>
      <c r="F103" s="120" t="n"/>
      <c r="G103" s="121" t="n"/>
      <c r="H103" s="120" t="n"/>
      <c r="I103" s="116">
        <f>IF(B103="","",IF(AND(D103="Thanh toán",F103="Tiền mặt",G103&gt;='THAM SO'!$B$11),"Tiền mặt ≥ ngưỡng: rủi ro loại khấu trừ GTGT/chi phí",IF(AND(D103="Thanh toán",F103=""),"Thiếu hình thức TT","")))</f>
        <v/>
      </c>
      <c r="J103" s="120" t="n"/>
    </row>
    <row r="104" ht="15" customHeight="1" s="64">
      <c r="A104" s="119" t="n"/>
      <c r="B104" s="120" t="n"/>
      <c r="C104" s="116">
        <f>IF(B104="","",IFERROR(INDEX('SO HOP DONG'!$H$9:$H$308,MATCH(B104,'SO HOP DONG'!$B$9:$B$308,0)),"Số HĐ không có trong sổ"))</f>
        <v/>
      </c>
      <c r="D104" s="120" t="n"/>
      <c r="E104" s="120" t="n"/>
      <c r="F104" s="120" t="n"/>
      <c r="G104" s="121" t="n"/>
      <c r="H104" s="120" t="n"/>
      <c r="I104" s="116">
        <f>IF(B104="","",IF(AND(D104="Thanh toán",F104="Tiền mặt",G104&gt;='THAM SO'!$B$11),"Tiền mặt ≥ ngưỡng: rủi ro loại khấu trừ GTGT/chi phí",IF(AND(D104="Thanh toán",F104=""),"Thiếu hình thức TT","")))</f>
        <v/>
      </c>
      <c r="J104" s="120" t="n"/>
    </row>
    <row r="105" ht="15" customHeight="1" s="64">
      <c r="A105" s="119" t="n"/>
      <c r="B105" s="120" t="n"/>
      <c r="C105" s="116">
        <f>IF(B105="","",IFERROR(INDEX('SO HOP DONG'!$H$9:$H$308,MATCH(B105,'SO HOP DONG'!$B$9:$B$308,0)),"Số HĐ không có trong sổ"))</f>
        <v/>
      </c>
      <c r="D105" s="120" t="n"/>
      <c r="E105" s="120" t="n"/>
      <c r="F105" s="120" t="n"/>
      <c r="G105" s="121" t="n"/>
      <c r="H105" s="120" t="n"/>
      <c r="I105" s="116">
        <f>IF(B105="","",IF(AND(D105="Thanh toán",F105="Tiền mặt",G105&gt;='THAM SO'!$B$11),"Tiền mặt ≥ ngưỡng: rủi ro loại khấu trừ GTGT/chi phí",IF(AND(D105="Thanh toán",F105=""),"Thiếu hình thức TT","")))</f>
        <v/>
      </c>
      <c r="J105" s="120" t="n"/>
    </row>
    <row r="106" ht="15" customHeight="1" s="64">
      <c r="A106" s="119" t="n"/>
      <c r="B106" s="120" t="n"/>
      <c r="C106" s="116">
        <f>IF(B106="","",IFERROR(INDEX('SO HOP DONG'!$H$9:$H$308,MATCH(B106,'SO HOP DONG'!$B$9:$B$308,0)),"Số HĐ không có trong sổ"))</f>
        <v/>
      </c>
      <c r="D106" s="120" t="n"/>
      <c r="E106" s="120" t="n"/>
      <c r="F106" s="120" t="n"/>
      <c r="G106" s="121" t="n"/>
      <c r="H106" s="120" t="n"/>
      <c r="I106" s="116">
        <f>IF(B106="","",IF(AND(D106="Thanh toán",F106="Tiền mặt",G106&gt;='THAM SO'!$B$11),"Tiền mặt ≥ ngưỡng: rủi ro loại khấu trừ GTGT/chi phí",IF(AND(D106="Thanh toán",F106=""),"Thiếu hình thức TT","")))</f>
        <v/>
      </c>
      <c r="J106" s="120" t="n"/>
    </row>
    <row r="107" ht="15" customHeight="1" s="64">
      <c r="A107" s="119" t="n"/>
      <c r="B107" s="120" t="n"/>
      <c r="C107" s="116">
        <f>IF(B107="","",IFERROR(INDEX('SO HOP DONG'!$H$9:$H$308,MATCH(B107,'SO HOP DONG'!$B$9:$B$308,0)),"Số HĐ không có trong sổ"))</f>
        <v/>
      </c>
      <c r="D107" s="120" t="n"/>
      <c r="E107" s="120" t="n"/>
      <c r="F107" s="120" t="n"/>
      <c r="G107" s="121" t="n"/>
      <c r="H107" s="120" t="n"/>
      <c r="I107" s="116">
        <f>IF(B107="","",IF(AND(D107="Thanh toán",F107="Tiền mặt",G107&gt;='THAM SO'!$B$11),"Tiền mặt ≥ ngưỡng: rủi ro loại khấu trừ GTGT/chi phí",IF(AND(D107="Thanh toán",F107=""),"Thiếu hình thức TT","")))</f>
        <v/>
      </c>
      <c r="J107" s="120" t="n"/>
    </row>
    <row r="108" ht="15" customHeight="1" s="64">
      <c r="A108" s="119" t="n"/>
      <c r="B108" s="120" t="n"/>
      <c r="C108" s="116">
        <f>IF(B108="","",IFERROR(INDEX('SO HOP DONG'!$H$9:$H$308,MATCH(B108,'SO HOP DONG'!$B$9:$B$308,0)),"Số HĐ không có trong sổ"))</f>
        <v/>
      </c>
      <c r="D108" s="120" t="n"/>
      <c r="E108" s="120" t="n"/>
      <c r="F108" s="120" t="n"/>
      <c r="G108" s="121" t="n"/>
      <c r="H108" s="120" t="n"/>
      <c r="I108" s="116">
        <f>IF(B108="","",IF(AND(D108="Thanh toán",F108="Tiền mặt",G108&gt;='THAM SO'!$B$11),"Tiền mặt ≥ ngưỡng: rủi ro loại khấu trừ GTGT/chi phí",IF(AND(D108="Thanh toán",F108=""),"Thiếu hình thức TT","")))</f>
        <v/>
      </c>
      <c r="J108" s="120" t="n"/>
    </row>
    <row r="109" ht="15" customHeight="1" s="64">
      <c r="A109" s="119" t="n"/>
      <c r="B109" s="120" t="n"/>
      <c r="C109" s="116">
        <f>IF(B109="","",IFERROR(INDEX('SO HOP DONG'!$H$9:$H$308,MATCH(B109,'SO HOP DONG'!$B$9:$B$308,0)),"Số HĐ không có trong sổ"))</f>
        <v/>
      </c>
      <c r="D109" s="120" t="n"/>
      <c r="E109" s="120" t="n"/>
      <c r="F109" s="120" t="n"/>
      <c r="G109" s="121" t="n"/>
      <c r="H109" s="120" t="n"/>
      <c r="I109" s="116">
        <f>IF(B109="","",IF(AND(D109="Thanh toán",F109="Tiền mặt",G109&gt;='THAM SO'!$B$11),"Tiền mặt ≥ ngưỡng: rủi ro loại khấu trừ GTGT/chi phí",IF(AND(D109="Thanh toán",F109=""),"Thiếu hình thức TT","")))</f>
        <v/>
      </c>
      <c r="J109" s="120" t="n"/>
    </row>
    <row r="110" ht="15" customHeight="1" s="64">
      <c r="A110" s="119" t="n"/>
      <c r="B110" s="120" t="n"/>
      <c r="C110" s="116">
        <f>IF(B110="","",IFERROR(INDEX('SO HOP DONG'!$H$9:$H$308,MATCH(B110,'SO HOP DONG'!$B$9:$B$308,0)),"Số HĐ không có trong sổ"))</f>
        <v/>
      </c>
      <c r="D110" s="120" t="n"/>
      <c r="E110" s="120" t="n"/>
      <c r="F110" s="120" t="n"/>
      <c r="G110" s="121" t="n"/>
      <c r="H110" s="120" t="n"/>
      <c r="I110" s="116">
        <f>IF(B110="","",IF(AND(D110="Thanh toán",F110="Tiền mặt",G110&gt;='THAM SO'!$B$11),"Tiền mặt ≥ ngưỡng: rủi ro loại khấu trừ GTGT/chi phí",IF(AND(D110="Thanh toán",F110=""),"Thiếu hình thức TT","")))</f>
        <v/>
      </c>
      <c r="J110" s="120" t="n"/>
    </row>
    <row r="111" ht="15" customHeight="1" s="64">
      <c r="A111" s="119" t="n"/>
      <c r="B111" s="120" t="n"/>
      <c r="C111" s="116">
        <f>IF(B111="","",IFERROR(INDEX('SO HOP DONG'!$H$9:$H$308,MATCH(B111,'SO HOP DONG'!$B$9:$B$308,0)),"Số HĐ không có trong sổ"))</f>
        <v/>
      </c>
      <c r="D111" s="120" t="n"/>
      <c r="E111" s="120" t="n"/>
      <c r="F111" s="120" t="n"/>
      <c r="G111" s="121" t="n"/>
      <c r="H111" s="120" t="n"/>
      <c r="I111" s="116">
        <f>IF(B111="","",IF(AND(D111="Thanh toán",F111="Tiền mặt",G111&gt;='THAM SO'!$B$11),"Tiền mặt ≥ ngưỡng: rủi ro loại khấu trừ GTGT/chi phí",IF(AND(D111="Thanh toán",F111=""),"Thiếu hình thức TT","")))</f>
        <v/>
      </c>
      <c r="J111" s="120" t="n"/>
    </row>
    <row r="112" ht="15" customHeight="1" s="64">
      <c r="A112" s="119" t="n"/>
      <c r="B112" s="120" t="n"/>
      <c r="C112" s="116">
        <f>IF(B112="","",IFERROR(INDEX('SO HOP DONG'!$H$9:$H$308,MATCH(B112,'SO HOP DONG'!$B$9:$B$308,0)),"Số HĐ không có trong sổ"))</f>
        <v/>
      </c>
      <c r="D112" s="120" t="n"/>
      <c r="E112" s="120" t="n"/>
      <c r="F112" s="120" t="n"/>
      <c r="G112" s="121" t="n"/>
      <c r="H112" s="120" t="n"/>
      <c r="I112" s="116">
        <f>IF(B112="","",IF(AND(D112="Thanh toán",F112="Tiền mặt",G112&gt;='THAM SO'!$B$11),"Tiền mặt ≥ ngưỡng: rủi ro loại khấu trừ GTGT/chi phí",IF(AND(D112="Thanh toán",F112=""),"Thiếu hình thức TT","")))</f>
        <v/>
      </c>
      <c r="J112" s="120" t="n"/>
    </row>
    <row r="113" ht="15" customHeight="1" s="64">
      <c r="A113" s="119" t="n"/>
      <c r="B113" s="120" t="n"/>
      <c r="C113" s="116">
        <f>IF(B113="","",IFERROR(INDEX('SO HOP DONG'!$H$9:$H$308,MATCH(B113,'SO HOP DONG'!$B$9:$B$308,0)),"Số HĐ không có trong sổ"))</f>
        <v/>
      </c>
      <c r="D113" s="120" t="n"/>
      <c r="E113" s="120" t="n"/>
      <c r="F113" s="120" t="n"/>
      <c r="G113" s="121" t="n"/>
      <c r="H113" s="120" t="n"/>
      <c r="I113" s="116">
        <f>IF(B113="","",IF(AND(D113="Thanh toán",F113="Tiền mặt",G113&gt;='THAM SO'!$B$11),"Tiền mặt ≥ ngưỡng: rủi ro loại khấu trừ GTGT/chi phí",IF(AND(D113="Thanh toán",F113=""),"Thiếu hình thức TT","")))</f>
        <v/>
      </c>
      <c r="J113" s="120" t="n"/>
    </row>
    <row r="114" ht="15" customHeight="1" s="64">
      <c r="A114" s="119" t="n"/>
      <c r="B114" s="120" t="n"/>
      <c r="C114" s="116">
        <f>IF(B114="","",IFERROR(INDEX('SO HOP DONG'!$H$9:$H$308,MATCH(B114,'SO HOP DONG'!$B$9:$B$308,0)),"Số HĐ không có trong sổ"))</f>
        <v/>
      </c>
      <c r="D114" s="120" t="n"/>
      <c r="E114" s="120" t="n"/>
      <c r="F114" s="120" t="n"/>
      <c r="G114" s="121" t="n"/>
      <c r="H114" s="120" t="n"/>
      <c r="I114" s="116">
        <f>IF(B114="","",IF(AND(D114="Thanh toán",F114="Tiền mặt",G114&gt;='THAM SO'!$B$11),"Tiền mặt ≥ ngưỡng: rủi ro loại khấu trừ GTGT/chi phí",IF(AND(D114="Thanh toán",F114=""),"Thiếu hình thức TT","")))</f>
        <v/>
      </c>
      <c r="J114" s="120" t="n"/>
    </row>
    <row r="115" ht="15" customHeight="1" s="64">
      <c r="A115" s="119" t="n"/>
      <c r="B115" s="120" t="n"/>
      <c r="C115" s="116">
        <f>IF(B115="","",IFERROR(INDEX('SO HOP DONG'!$H$9:$H$308,MATCH(B115,'SO HOP DONG'!$B$9:$B$308,0)),"Số HĐ không có trong sổ"))</f>
        <v/>
      </c>
      <c r="D115" s="120" t="n"/>
      <c r="E115" s="120" t="n"/>
      <c r="F115" s="120" t="n"/>
      <c r="G115" s="121" t="n"/>
      <c r="H115" s="120" t="n"/>
      <c r="I115" s="116">
        <f>IF(B115="","",IF(AND(D115="Thanh toán",F115="Tiền mặt",G115&gt;='THAM SO'!$B$11),"Tiền mặt ≥ ngưỡng: rủi ro loại khấu trừ GTGT/chi phí",IF(AND(D115="Thanh toán",F115=""),"Thiếu hình thức TT","")))</f>
        <v/>
      </c>
      <c r="J115" s="120" t="n"/>
    </row>
    <row r="116" ht="15" customHeight="1" s="64">
      <c r="A116" s="119" t="n"/>
      <c r="B116" s="120" t="n"/>
      <c r="C116" s="116">
        <f>IF(B116="","",IFERROR(INDEX('SO HOP DONG'!$H$9:$H$308,MATCH(B116,'SO HOP DONG'!$B$9:$B$308,0)),"Số HĐ không có trong sổ"))</f>
        <v/>
      </c>
      <c r="D116" s="120" t="n"/>
      <c r="E116" s="120" t="n"/>
      <c r="F116" s="120" t="n"/>
      <c r="G116" s="121" t="n"/>
      <c r="H116" s="120" t="n"/>
      <c r="I116" s="116">
        <f>IF(B116="","",IF(AND(D116="Thanh toán",F116="Tiền mặt",G116&gt;='THAM SO'!$B$11),"Tiền mặt ≥ ngưỡng: rủi ro loại khấu trừ GTGT/chi phí",IF(AND(D116="Thanh toán",F116=""),"Thiếu hình thức TT","")))</f>
        <v/>
      </c>
      <c r="J116" s="120" t="n"/>
    </row>
    <row r="117" ht="15" customHeight="1" s="64">
      <c r="A117" s="119" t="n"/>
      <c r="B117" s="120" t="n"/>
      <c r="C117" s="116">
        <f>IF(B117="","",IFERROR(INDEX('SO HOP DONG'!$H$9:$H$308,MATCH(B117,'SO HOP DONG'!$B$9:$B$308,0)),"Số HĐ không có trong sổ"))</f>
        <v/>
      </c>
      <c r="D117" s="120" t="n"/>
      <c r="E117" s="120" t="n"/>
      <c r="F117" s="120" t="n"/>
      <c r="G117" s="121" t="n"/>
      <c r="H117" s="120" t="n"/>
      <c r="I117" s="116">
        <f>IF(B117="","",IF(AND(D117="Thanh toán",F117="Tiền mặt",G117&gt;='THAM SO'!$B$11),"Tiền mặt ≥ ngưỡng: rủi ro loại khấu trừ GTGT/chi phí",IF(AND(D117="Thanh toán",F117=""),"Thiếu hình thức TT","")))</f>
        <v/>
      </c>
      <c r="J117" s="120" t="n"/>
    </row>
    <row r="118" ht="15" customHeight="1" s="64">
      <c r="A118" s="119" t="n"/>
      <c r="B118" s="120" t="n"/>
      <c r="C118" s="116">
        <f>IF(B118="","",IFERROR(INDEX('SO HOP DONG'!$H$9:$H$308,MATCH(B118,'SO HOP DONG'!$B$9:$B$308,0)),"Số HĐ không có trong sổ"))</f>
        <v/>
      </c>
      <c r="D118" s="120" t="n"/>
      <c r="E118" s="120" t="n"/>
      <c r="F118" s="120" t="n"/>
      <c r="G118" s="121" t="n"/>
      <c r="H118" s="120" t="n"/>
      <c r="I118" s="116">
        <f>IF(B118="","",IF(AND(D118="Thanh toán",F118="Tiền mặt",G118&gt;='THAM SO'!$B$11),"Tiền mặt ≥ ngưỡng: rủi ro loại khấu trừ GTGT/chi phí",IF(AND(D118="Thanh toán",F118=""),"Thiếu hình thức TT","")))</f>
        <v/>
      </c>
      <c r="J118" s="120" t="n"/>
    </row>
    <row r="119" ht="15" customHeight="1" s="64">
      <c r="A119" s="119" t="n"/>
      <c r="B119" s="120" t="n"/>
      <c r="C119" s="116">
        <f>IF(B119="","",IFERROR(INDEX('SO HOP DONG'!$H$9:$H$308,MATCH(B119,'SO HOP DONG'!$B$9:$B$308,0)),"Số HĐ không có trong sổ"))</f>
        <v/>
      </c>
      <c r="D119" s="120" t="n"/>
      <c r="E119" s="120" t="n"/>
      <c r="F119" s="120" t="n"/>
      <c r="G119" s="121" t="n"/>
      <c r="H119" s="120" t="n"/>
      <c r="I119" s="116">
        <f>IF(B119="","",IF(AND(D119="Thanh toán",F119="Tiền mặt",G119&gt;='THAM SO'!$B$11),"Tiền mặt ≥ ngưỡng: rủi ro loại khấu trừ GTGT/chi phí",IF(AND(D119="Thanh toán",F119=""),"Thiếu hình thức TT","")))</f>
        <v/>
      </c>
      <c r="J119" s="120" t="n"/>
    </row>
    <row r="120" ht="15" customHeight="1" s="64">
      <c r="A120" s="119" t="n"/>
      <c r="B120" s="120" t="n"/>
      <c r="C120" s="116">
        <f>IF(B120="","",IFERROR(INDEX('SO HOP DONG'!$H$9:$H$308,MATCH(B120,'SO HOP DONG'!$B$9:$B$308,0)),"Số HĐ không có trong sổ"))</f>
        <v/>
      </c>
      <c r="D120" s="120" t="n"/>
      <c r="E120" s="120" t="n"/>
      <c r="F120" s="120" t="n"/>
      <c r="G120" s="121" t="n"/>
      <c r="H120" s="120" t="n"/>
      <c r="I120" s="116">
        <f>IF(B120="","",IF(AND(D120="Thanh toán",F120="Tiền mặt",G120&gt;='THAM SO'!$B$11),"Tiền mặt ≥ ngưỡng: rủi ro loại khấu trừ GTGT/chi phí",IF(AND(D120="Thanh toán",F120=""),"Thiếu hình thức TT","")))</f>
        <v/>
      </c>
      <c r="J120" s="120" t="n"/>
    </row>
    <row r="121" ht="15" customHeight="1" s="64">
      <c r="A121" s="119" t="n"/>
      <c r="B121" s="120" t="n"/>
      <c r="C121" s="116">
        <f>IF(B121="","",IFERROR(INDEX('SO HOP DONG'!$H$9:$H$308,MATCH(B121,'SO HOP DONG'!$B$9:$B$308,0)),"Số HĐ không có trong sổ"))</f>
        <v/>
      </c>
      <c r="D121" s="120" t="n"/>
      <c r="E121" s="120" t="n"/>
      <c r="F121" s="120" t="n"/>
      <c r="G121" s="121" t="n"/>
      <c r="H121" s="120" t="n"/>
      <c r="I121" s="116">
        <f>IF(B121="","",IF(AND(D121="Thanh toán",F121="Tiền mặt",G121&gt;='THAM SO'!$B$11),"Tiền mặt ≥ ngưỡng: rủi ro loại khấu trừ GTGT/chi phí",IF(AND(D121="Thanh toán",F121=""),"Thiếu hình thức TT","")))</f>
        <v/>
      </c>
      <c r="J121" s="120" t="n"/>
    </row>
    <row r="122" ht="15" customHeight="1" s="64">
      <c r="A122" s="119" t="n"/>
      <c r="B122" s="120" t="n"/>
      <c r="C122" s="116">
        <f>IF(B122="","",IFERROR(INDEX('SO HOP DONG'!$H$9:$H$308,MATCH(B122,'SO HOP DONG'!$B$9:$B$308,0)),"Số HĐ không có trong sổ"))</f>
        <v/>
      </c>
      <c r="D122" s="120" t="n"/>
      <c r="E122" s="120" t="n"/>
      <c r="F122" s="120" t="n"/>
      <c r="G122" s="121" t="n"/>
      <c r="H122" s="120" t="n"/>
      <c r="I122" s="116">
        <f>IF(B122="","",IF(AND(D122="Thanh toán",F122="Tiền mặt",G122&gt;='THAM SO'!$B$11),"Tiền mặt ≥ ngưỡng: rủi ro loại khấu trừ GTGT/chi phí",IF(AND(D122="Thanh toán",F122=""),"Thiếu hình thức TT","")))</f>
        <v/>
      </c>
      <c r="J122" s="120" t="n"/>
    </row>
    <row r="123" ht="15" customHeight="1" s="64">
      <c r="A123" s="119" t="n"/>
      <c r="B123" s="120" t="n"/>
      <c r="C123" s="116">
        <f>IF(B123="","",IFERROR(INDEX('SO HOP DONG'!$H$9:$H$308,MATCH(B123,'SO HOP DONG'!$B$9:$B$308,0)),"Số HĐ không có trong sổ"))</f>
        <v/>
      </c>
      <c r="D123" s="120" t="n"/>
      <c r="E123" s="120" t="n"/>
      <c r="F123" s="120" t="n"/>
      <c r="G123" s="121" t="n"/>
      <c r="H123" s="120" t="n"/>
      <c r="I123" s="116">
        <f>IF(B123="","",IF(AND(D123="Thanh toán",F123="Tiền mặt",G123&gt;='THAM SO'!$B$11),"Tiền mặt ≥ ngưỡng: rủi ro loại khấu trừ GTGT/chi phí",IF(AND(D123="Thanh toán",F123=""),"Thiếu hình thức TT","")))</f>
        <v/>
      </c>
      <c r="J123" s="120" t="n"/>
    </row>
    <row r="124" ht="15" customHeight="1" s="64">
      <c r="A124" s="119" t="n"/>
      <c r="B124" s="120" t="n"/>
      <c r="C124" s="116">
        <f>IF(B124="","",IFERROR(INDEX('SO HOP DONG'!$H$9:$H$308,MATCH(B124,'SO HOP DONG'!$B$9:$B$308,0)),"Số HĐ không có trong sổ"))</f>
        <v/>
      </c>
      <c r="D124" s="120" t="n"/>
      <c r="E124" s="120" t="n"/>
      <c r="F124" s="120" t="n"/>
      <c r="G124" s="121" t="n"/>
      <c r="H124" s="120" t="n"/>
      <c r="I124" s="116">
        <f>IF(B124="","",IF(AND(D124="Thanh toán",F124="Tiền mặt",G124&gt;='THAM SO'!$B$11),"Tiền mặt ≥ ngưỡng: rủi ro loại khấu trừ GTGT/chi phí",IF(AND(D124="Thanh toán",F124=""),"Thiếu hình thức TT","")))</f>
        <v/>
      </c>
      <c r="J124" s="120" t="n"/>
    </row>
    <row r="125" ht="15" customHeight="1" s="64">
      <c r="A125" s="119" t="n"/>
      <c r="B125" s="120" t="n"/>
      <c r="C125" s="116">
        <f>IF(B125="","",IFERROR(INDEX('SO HOP DONG'!$H$9:$H$308,MATCH(B125,'SO HOP DONG'!$B$9:$B$308,0)),"Số HĐ không có trong sổ"))</f>
        <v/>
      </c>
      <c r="D125" s="120" t="n"/>
      <c r="E125" s="120" t="n"/>
      <c r="F125" s="120" t="n"/>
      <c r="G125" s="121" t="n"/>
      <c r="H125" s="120" t="n"/>
      <c r="I125" s="116">
        <f>IF(B125="","",IF(AND(D125="Thanh toán",F125="Tiền mặt",G125&gt;='THAM SO'!$B$11),"Tiền mặt ≥ ngưỡng: rủi ro loại khấu trừ GTGT/chi phí",IF(AND(D125="Thanh toán",F125=""),"Thiếu hình thức TT","")))</f>
        <v/>
      </c>
      <c r="J125" s="120" t="n"/>
    </row>
    <row r="126" ht="15" customHeight="1" s="64">
      <c r="A126" s="119" t="n"/>
      <c r="B126" s="120" t="n"/>
      <c r="C126" s="116">
        <f>IF(B126="","",IFERROR(INDEX('SO HOP DONG'!$H$9:$H$308,MATCH(B126,'SO HOP DONG'!$B$9:$B$308,0)),"Số HĐ không có trong sổ"))</f>
        <v/>
      </c>
      <c r="D126" s="120" t="n"/>
      <c r="E126" s="120" t="n"/>
      <c r="F126" s="120" t="n"/>
      <c r="G126" s="121" t="n"/>
      <c r="H126" s="120" t="n"/>
      <c r="I126" s="116">
        <f>IF(B126="","",IF(AND(D126="Thanh toán",F126="Tiền mặt",G126&gt;='THAM SO'!$B$11),"Tiền mặt ≥ ngưỡng: rủi ro loại khấu trừ GTGT/chi phí",IF(AND(D126="Thanh toán",F126=""),"Thiếu hình thức TT","")))</f>
        <v/>
      </c>
      <c r="J126" s="120" t="n"/>
    </row>
    <row r="127" ht="15" customHeight="1" s="64">
      <c r="A127" s="119" t="n"/>
      <c r="B127" s="120" t="n"/>
      <c r="C127" s="116">
        <f>IF(B127="","",IFERROR(INDEX('SO HOP DONG'!$H$9:$H$308,MATCH(B127,'SO HOP DONG'!$B$9:$B$308,0)),"Số HĐ không có trong sổ"))</f>
        <v/>
      </c>
      <c r="D127" s="120" t="n"/>
      <c r="E127" s="120" t="n"/>
      <c r="F127" s="120" t="n"/>
      <c r="G127" s="121" t="n"/>
      <c r="H127" s="120" t="n"/>
      <c r="I127" s="116">
        <f>IF(B127="","",IF(AND(D127="Thanh toán",F127="Tiền mặt",G127&gt;='THAM SO'!$B$11),"Tiền mặt ≥ ngưỡng: rủi ro loại khấu trừ GTGT/chi phí",IF(AND(D127="Thanh toán",F127=""),"Thiếu hình thức TT","")))</f>
        <v/>
      </c>
      <c r="J127" s="120" t="n"/>
    </row>
    <row r="128" ht="15" customHeight="1" s="64">
      <c r="A128" s="119" t="n"/>
      <c r="B128" s="120" t="n"/>
      <c r="C128" s="116">
        <f>IF(B128="","",IFERROR(INDEX('SO HOP DONG'!$H$9:$H$308,MATCH(B128,'SO HOP DONG'!$B$9:$B$308,0)),"Số HĐ không có trong sổ"))</f>
        <v/>
      </c>
      <c r="D128" s="120" t="n"/>
      <c r="E128" s="120" t="n"/>
      <c r="F128" s="120" t="n"/>
      <c r="G128" s="121" t="n"/>
      <c r="H128" s="120" t="n"/>
      <c r="I128" s="116">
        <f>IF(B128="","",IF(AND(D128="Thanh toán",F128="Tiền mặt",G128&gt;='THAM SO'!$B$11),"Tiền mặt ≥ ngưỡng: rủi ro loại khấu trừ GTGT/chi phí",IF(AND(D128="Thanh toán",F128=""),"Thiếu hình thức TT","")))</f>
        <v/>
      </c>
      <c r="J128" s="120" t="n"/>
    </row>
    <row r="129" ht="15" customHeight="1" s="64">
      <c r="A129" s="119" t="n"/>
      <c r="B129" s="120" t="n"/>
      <c r="C129" s="116">
        <f>IF(B129="","",IFERROR(INDEX('SO HOP DONG'!$H$9:$H$308,MATCH(B129,'SO HOP DONG'!$B$9:$B$308,0)),"Số HĐ không có trong sổ"))</f>
        <v/>
      </c>
      <c r="D129" s="120" t="n"/>
      <c r="E129" s="120" t="n"/>
      <c r="F129" s="120" t="n"/>
      <c r="G129" s="121" t="n"/>
      <c r="H129" s="120" t="n"/>
      <c r="I129" s="116">
        <f>IF(B129="","",IF(AND(D129="Thanh toán",F129="Tiền mặt",G129&gt;='THAM SO'!$B$11),"Tiền mặt ≥ ngưỡng: rủi ro loại khấu trừ GTGT/chi phí",IF(AND(D129="Thanh toán",F129=""),"Thiếu hình thức TT","")))</f>
        <v/>
      </c>
      <c r="J129" s="120" t="n"/>
    </row>
    <row r="130" ht="15" customHeight="1" s="64">
      <c r="A130" s="119" t="n"/>
      <c r="B130" s="120" t="n"/>
      <c r="C130" s="116">
        <f>IF(B130="","",IFERROR(INDEX('SO HOP DONG'!$H$9:$H$308,MATCH(B130,'SO HOP DONG'!$B$9:$B$308,0)),"Số HĐ không có trong sổ"))</f>
        <v/>
      </c>
      <c r="D130" s="120" t="n"/>
      <c r="E130" s="120" t="n"/>
      <c r="F130" s="120" t="n"/>
      <c r="G130" s="121" t="n"/>
      <c r="H130" s="120" t="n"/>
      <c r="I130" s="116">
        <f>IF(B130="","",IF(AND(D130="Thanh toán",F130="Tiền mặt",G130&gt;='THAM SO'!$B$11),"Tiền mặt ≥ ngưỡng: rủi ro loại khấu trừ GTGT/chi phí",IF(AND(D130="Thanh toán",F130=""),"Thiếu hình thức TT","")))</f>
        <v/>
      </c>
      <c r="J130" s="120" t="n"/>
    </row>
    <row r="131" ht="15" customHeight="1" s="64">
      <c r="A131" s="119" t="n"/>
      <c r="B131" s="120" t="n"/>
      <c r="C131" s="116">
        <f>IF(B131="","",IFERROR(INDEX('SO HOP DONG'!$H$9:$H$308,MATCH(B131,'SO HOP DONG'!$B$9:$B$308,0)),"Số HĐ không có trong sổ"))</f>
        <v/>
      </c>
      <c r="D131" s="120" t="n"/>
      <c r="E131" s="120" t="n"/>
      <c r="F131" s="120" t="n"/>
      <c r="G131" s="121" t="n"/>
      <c r="H131" s="120" t="n"/>
      <c r="I131" s="116">
        <f>IF(B131="","",IF(AND(D131="Thanh toán",F131="Tiền mặt",G131&gt;='THAM SO'!$B$11),"Tiền mặt ≥ ngưỡng: rủi ro loại khấu trừ GTGT/chi phí",IF(AND(D131="Thanh toán",F131=""),"Thiếu hình thức TT","")))</f>
        <v/>
      </c>
      <c r="J131" s="120" t="n"/>
    </row>
    <row r="132" ht="15" customHeight="1" s="64">
      <c r="A132" s="119" t="n"/>
      <c r="B132" s="120" t="n"/>
      <c r="C132" s="116">
        <f>IF(B132="","",IFERROR(INDEX('SO HOP DONG'!$H$9:$H$308,MATCH(B132,'SO HOP DONG'!$B$9:$B$308,0)),"Số HĐ không có trong sổ"))</f>
        <v/>
      </c>
      <c r="D132" s="120" t="n"/>
      <c r="E132" s="120" t="n"/>
      <c r="F132" s="120" t="n"/>
      <c r="G132" s="121" t="n"/>
      <c r="H132" s="120" t="n"/>
      <c r="I132" s="116">
        <f>IF(B132="","",IF(AND(D132="Thanh toán",F132="Tiền mặt",G132&gt;='THAM SO'!$B$11),"Tiền mặt ≥ ngưỡng: rủi ro loại khấu trừ GTGT/chi phí",IF(AND(D132="Thanh toán",F132=""),"Thiếu hình thức TT","")))</f>
        <v/>
      </c>
      <c r="J132" s="120" t="n"/>
    </row>
    <row r="133" ht="15" customHeight="1" s="64">
      <c r="A133" s="119" t="n"/>
      <c r="B133" s="120" t="n"/>
      <c r="C133" s="116">
        <f>IF(B133="","",IFERROR(INDEX('SO HOP DONG'!$H$9:$H$308,MATCH(B133,'SO HOP DONG'!$B$9:$B$308,0)),"Số HĐ không có trong sổ"))</f>
        <v/>
      </c>
      <c r="D133" s="120" t="n"/>
      <c r="E133" s="120" t="n"/>
      <c r="F133" s="120" t="n"/>
      <c r="G133" s="121" t="n"/>
      <c r="H133" s="120" t="n"/>
      <c r="I133" s="116">
        <f>IF(B133="","",IF(AND(D133="Thanh toán",F133="Tiền mặt",G133&gt;='THAM SO'!$B$11),"Tiền mặt ≥ ngưỡng: rủi ro loại khấu trừ GTGT/chi phí",IF(AND(D133="Thanh toán",F133=""),"Thiếu hình thức TT","")))</f>
        <v/>
      </c>
      <c r="J133" s="120" t="n"/>
    </row>
    <row r="134" ht="15" customHeight="1" s="64">
      <c r="A134" s="119" t="n"/>
      <c r="B134" s="120" t="n"/>
      <c r="C134" s="116">
        <f>IF(B134="","",IFERROR(INDEX('SO HOP DONG'!$H$9:$H$308,MATCH(B134,'SO HOP DONG'!$B$9:$B$308,0)),"Số HĐ không có trong sổ"))</f>
        <v/>
      </c>
      <c r="D134" s="120" t="n"/>
      <c r="E134" s="120" t="n"/>
      <c r="F134" s="120" t="n"/>
      <c r="G134" s="121" t="n"/>
      <c r="H134" s="120" t="n"/>
      <c r="I134" s="116">
        <f>IF(B134="","",IF(AND(D134="Thanh toán",F134="Tiền mặt",G134&gt;='THAM SO'!$B$11),"Tiền mặt ≥ ngưỡng: rủi ro loại khấu trừ GTGT/chi phí",IF(AND(D134="Thanh toán",F134=""),"Thiếu hình thức TT","")))</f>
        <v/>
      </c>
      <c r="J134" s="120" t="n"/>
    </row>
    <row r="135" ht="15" customHeight="1" s="64">
      <c r="A135" s="119" t="n"/>
      <c r="B135" s="120" t="n"/>
      <c r="C135" s="116">
        <f>IF(B135="","",IFERROR(INDEX('SO HOP DONG'!$H$9:$H$308,MATCH(B135,'SO HOP DONG'!$B$9:$B$308,0)),"Số HĐ không có trong sổ"))</f>
        <v/>
      </c>
      <c r="D135" s="120" t="n"/>
      <c r="E135" s="120" t="n"/>
      <c r="F135" s="120" t="n"/>
      <c r="G135" s="121" t="n"/>
      <c r="H135" s="120" t="n"/>
      <c r="I135" s="116">
        <f>IF(B135="","",IF(AND(D135="Thanh toán",F135="Tiền mặt",G135&gt;='THAM SO'!$B$11),"Tiền mặt ≥ ngưỡng: rủi ro loại khấu trừ GTGT/chi phí",IF(AND(D135="Thanh toán",F135=""),"Thiếu hình thức TT","")))</f>
        <v/>
      </c>
      <c r="J135" s="120" t="n"/>
    </row>
    <row r="136" ht="15" customHeight="1" s="64">
      <c r="A136" s="119" t="n"/>
      <c r="B136" s="120" t="n"/>
      <c r="C136" s="116">
        <f>IF(B136="","",IFERROR(INDEX('SO HOP DONG'!$H$9:$H$308,MATCH(B136,'SO HOP DONG'!$B$9:$B$308,0)),"Số HĐ không có trong sổ"))</f>
        <v/>
      </c>
      <c r="D136" s="120" t="n"/>
      <c r="E136" s="120" t="n"/>
      <c r="F136" s="120" t="n"/>
      <c r="G136" s="121" t="n"/>
      <c r="H136" s="120" t="n"/>
      <c r="I136" s="116">
        <f>IF(B136="","",IF(AND(D136="Thanh toán",F136="Tiền mặt",G136&gt;='THAM SO'!$B$11),"Tiền mặt ≥ ngưỡng: rủi ro loại khấu trừ GTGT/chi phí",IF(AND(D136="Thanh toán",F136=""),"Thiếu hình thức TT","")))</f>
        <v/>
      </c>
      <c r="J136" s="120" t="n"/>
    </row>
    <row r="137" ht="15" customHeight="1" s="64">
      <c r="A137" s="119" t="n"/>
      <c r="B137" s="120" t="n"/>
      <c r="C137" s="116">
        <f>IF(B137="","",IFERROR(INDEX('SO HOP DONG'!$H$9:$H$308,MATCH(B137,'SO HOP DONG'!$B$9:$B$308,0)),"Số HĐ không có trong sổ"))</f>
        <v/>
      </c>
      <c r="D137" s="120" t="n"/>
      <c r="E137" s="120" t="n"/>
      <c r="F137" s="120" t="n"/>
      <c r="G137" s="121" t="n"/>
      <c r="H137" s="120" t="n"/>
      <c r="I137" s="116">
        <f>IF(B137="","",IF(AND(D137="Thanh toán",F137="Tiền mặt",G137&gt;='THAM SO'!$B$11),"Tiền mặt ≥ ngưỡng: rủi ro loại khấu trừ GTGT/chi phí",IF(AND(D137="Thanh toán",F137=""),"Thiếu hình thức TT","")))</f>
        <v/>
      </c>
      <c r="J137" s="120" t="n"/>
    </row>
    <row r="138" ht="15" customHeight="1" s="64">
      <c r="A138" s="119" t="n"/>
      <c r="B138" s="120" t="n"/>
      <c r="C138" s="116">
        <f>IF(B138="","",IFERROR(INDEX('SO HOP DONG'!$H$9:$H$308,MATCH(B138,'SO HOP DONG'!$B$9:$B$308,0)),"Số HĐ không có trong sổ"))</f>
        <v/>
      </c>
      <c r="D138" s="120" t="n"/>
      <c r="E138" s="120" t="n"/>
      <c r="F138" s="120" t="n"/>
      <c r="G138" s="121" t="n"/>
      <c r="H138" s="120" t="n"/>
      <c r="I138" s="116">
        <f>IF(B138="","",IF(AND(D138="Thanh toán",F138="Tiền mặt",G138&gt;='THAM SO'!$B$11),"Tiền mặt ≥ ngưỡng: rủi ro loại khấu trừ GTGT/chi phí",IF(AND(D138="Thanh toán",F138=""),"Thiếu hình thức TT","")))</f>
        <v/>
      </c>
      <c r="J138" s="120" t="n"/>
    </row>
    <row r="139" ht="15" customHeight="1" s="64">
      <c r="A139" s="119" t="n"/>
      <c r="B139" s="120" t="n"/>
      <c r="C139" s="116">
        <f>IF(B139="","",IFERROR(INDEX('SO HOP DONG'!$H$9:$H$308,MATCH(B139,'SO HOP DONG'!$B$9:$B$308,0)),"Số HĐ không có trong sổ"))</f>
        <v/>
      </c>
      <c r="D139" s="120" t="n"/>
      <c r="E139" s="120" t="n"/>
      <c r="F139" s="120" t="n"/>
      <c r="G139" s="121" t="n"/>
      <c r="H139" s="120" t="n"/>
      <c r="I139" s="116">
        <f>IF(B139="","",IF(AND(D139="Thanh toán",F139="Tiền mặt",G139&gt;='THAM SO'!$B$11),"Tiền mặt ≥ ngưỡng: rủi ro loại khấu trừ GTGT/chi phí",IF(AND(D139="Thanh toán",F139=""),"Thiếu hình thức TT","")))</f>
        <v/>
      </c>
      <c r="J139" s="120" t="n"/>
    </row>
    <row r="140" ht="15" customHeight="1" s="64">
      <c r="A140" s="119" t="n"/>
      <c r="B140" s="120" t="n"/>
      <c r="C140" s="116">
        <f>IF(B140="","",IFERROR(INDEX('SO HOP DONG'!$H$9:$H$308,MATCH(B140,'SO HOP DONG'!$B$9:$B$308,0)),"Số HĐ không có trong sổ"))</f>
        <v/>
      </c>
      <c r="D140" s="120" t="n"/>
      <c r="E140" s="120" t="n"/>
      <c r="F140" s="120" t="n"/>
      <c r="G140" s="121" t="n"/>
      <c r="H140" s="120" t="n"/>
      <c r="I140" s="116">
        <f>IF(B140="","",IF(AND(D140="Thanh toán",F140="Tiền mặt",G140&gt;='THAM SO'!$B$11),"Tiền mặt ≥ ngưỡng: rủi ro loại khấu trừ GTGT/chi phí",IF(AND(D140="Thanh toán",F140=""),"Thiếu hình thức TT","")))</f>
        <v/>
      </c>
      <c r="J140" s="120" t="n"/>
    </row>
    <row r="141" ht="15" customHeight="1" s="64">
      <c r="A141" s="119" t="n"/>
      <c r="B141" s="120" t="n"/>
      <c r="C141" s="116">
        <f>IF(B141="","",IFERROR(INDEX('SO HOP DONG'!$H$9:$H$308,MATCH(B141,'SO HOP DONG'!$B$9:$B$308,0)),"Số HĐ không có trong sổ"))</f>
        <v/>
      </c>
      <c r="D141" s="120" t="n"/>
      <c r="E141" s="120" t="n"/>
      <c r="F141" s="120" t="n"/>
      <c r="G141" s="121" t="n"/>
      <c r="H141" s="120" t="n"/>
      <c r="I141" s="116">
        <f>IF(B141="","",IF(AND(D141="Thanh toán",F141="Tiền mặt",G141&gt;='THAM SO'!$B$11),"Tiền mặt ≥ ngưỡng: rủi ro loại khấu trừ GTGT/chi phí",IF(AND(D141="Thanh toán",F141=""),"Thiếu hình thức TT","")))</f>
        <v/>
      </c>
      <c r="J141" s="120" t="n"/>
    </row>
    <row r="142" ht="15" customHeight="1" s="64">
      <c r="A142" s="119" t="n"/>
      <c r="B142" s="120" t="n"/>
      <c r="C142" s="116">
        <f>IF(B142="","",IFERROR(INDEX('SO HOP DONG'!$H$9:$H$308,MATCH(B142,'SO HOP DONG'!$B$9:$B$308,0)),"Số HĐ không có trong sổ"))</f>
        <v/>
      </c>
      <c r="D142" s="120" t="n"/>
      <c r="E142" s="120" t="n"/>
      <c r="F142" s="120" t="n"/>
      <c r="G142" s="121" t="n"/>
      <c r="H142" s="120" t="n"/>
      <c r="I142" s="116">
        <f>IF(B142="","",IF(AND(D142="Thanh toán",F142="Tiền mặt",G142&gt;='THAM SO'!$B$11),"Tiền mặt ≥ ngưỡng: rủi ro loại khấu trừ GTGT/chi phí",IF(AND(D142="Thanh toán",F142=""),"Thiếu hình thức TT","")))</f>
        <v/>
      </c>
      <c r="J142" s="120" t="n"/>
    </row>
    <row r="143" ht="15" customHeight="1" s="64">
      <c r="A143" s="119" t="n"/>
      <c r="B143" s="120" t="n"/>
      <c r="C143" s="116">
        <f>IF(B143="","",IFERROR(INDEX('SO HOP DONG'!$H$9:$H$308,MATCH(B143,'SO HOP DONG'!$B$9:$B$308,0)),"Số HĐ không có trong sổ"))</f>
        <v/>
      </c>
      <c r="D143" s="120" t="n"/>
      <c r="E143" s="120" t="n"/>
      <c r="F143" s="120" t="n"/>
      <c r="G143" s="121" t="n"/>
      <c r="H143" s="120" t="n"/>
      <c r="I143" s="116">
        <f>IF(B143="","",IF(AND(D143="Thanh toán",F143="Tiền mặt",G143&gt;='THAM SO'!$B$11),"Tiền mặt ≥ ngưỡng: rủi ro loại khấu trừ GTGT/chi phí",IF(AND(D143="Thanh toán",F143=""),"Thiếu hình thức TT","")))</f>
        <v/>
      </c>
      <c r="J143" s="120" t="n"/>
    </row>
    <row r="144" ht="15" customHeight="1" s="64">
      <c r="A144" s="119" t="n"/>
      <c r="B144" s="120" t="n"/>
      <c r="C144" s="116">
        <f>IF(B144="","",IFERROR(INDEX('SO HOP DONG'!$H$9:$H$308,MATCH(B144,'SO HOP DONG'!$B$9:$B$308,0)),"Số HĐ không có trong sổ"))</f>
        <v/>
      </c>
      <c r="D144" s="120" t="n"/>
      <c r="E144" s="120" t="n"/>
      <c r="F144" s="120" t="n"/>
      <c r="G144" s="121" t="n"/>
      <c r="H144" s="120" t="n"/>
      <c r="I144" s="116">
        <f>IF(B144="","",IF(AND(D144="Thanh toán",F144="Tiền mặt",G144&gt;='THAM SO'!$B$11),"Tiền mặt ≥ ngưỡng: rủi ro loại khấu trừ GTGT/chi phí",IF(AND(D144="Thanh toán",F144=""),"Thiếu hình thức TT","")))</f>
        <v/>
      </c>
      <c r="J144" s="120" t="n"/>
    </row>
    <row r="145" ht="15" customHeight="1" s="64">
      <c r="A145" s="119" t="n"/>
      <c r="B145" s="120" t="n"/>
      <c r="C145" s="116">
        <f>IF(B145="","",IFERROR(INDEX('SO HOP DONG'!$H$9:$H$308,MATCH(B145,'SO HOP DONG'!$B$9:$B$308,0)),"Số HĐ không có trong sổ"))</f>
        <v/>
      </c>
      <c r="D145" s="120" t="n"/>
      <c r="E145" s="120" t="n"/>
      <c r="F145" s="120" t="n"/>
      <c r="G145" s="121" t="n"/>
      <c r="H145" s="120" t="n"/>
      <c r="I145" s="116">
        <f>IF(B145="","",IF(AND(D145="Thanh toán",F145="Tiền mặt",G145&gt;='THAM SO'!$B$11),"Tiền mặt ≥ ngưỡng: rủi ro loại khấu trừ GTGT/chi phí",IF(AND(D145="Thanh toán",F145=""),"Thiếu hình thức TT","")))</f>
        <v/>
      </c>
      <c r="J145" s="120" t="n"/>
    </row>
    <row r="146" ht="15" customHeight="1" s="64">
      <c r="A146" s="119" t="n"/>
      <c r="B146" s="120" t="n"/>
      <c r="C146" s="116">
        <f>IF(B146="","",IFERROR(INDEX('SO HOP DONG'!$H$9:$H$308,MATCH(B146,'SO HOP DONG'!$B$9:$B$308,0)),"Số HĐ không có trong sổ"))</f>
        <v/>
      </c>
      <c r="D146" s="120" t="n"/>
      <c r="E146" s="120" t="n"/>
      <c r="F146" s="120" t="n"/>
      <c r="G146" s="121" t="n"/>
      <c r="H146" s="120" t="n"/>
      <c r="I146" s="116">
        <f>IF(B146="","",IF(AND(D146="Thanh toán",F146="Tiền mặt",G146&gt;='THAM SO'!$B$11),"Tiền mặt ≥ ngưỡng: rủi ro loại khấu trừ GTGT/chi phí",IF(AND(D146="Thanh toán",F146=""),"Thiếu hình thức TT","")))</f>
        <v/>
      </c>
      <c r="J146" s="120" t="n"/>
    </row>
    <row r="147" ht="15" customHeight="1" s="64">
      <c r="A147" s="119" t="n"/>
      <c r="B147" s="120" t="n"/>
      <c r="C147" s="116">
        <f>IF(B147="","",IFERROR(INDEX('SO HOP DONG'!$H$9:$H$308,MATCH(B147,'SO HOP DONG'!$B$9:$B$308,0)),"Số HĐ không có trong sổ"))</f>
        <v/>
      </c>
      <c r="D147" s="120" t="n"/>
      <c r="E147" s="120" t="n"/>
      <c r="F147" s="120" t="n"/>
      <c r="G147" s="121" t="n"/>
      <c r="H147" s="120" t="n"/>
      <c r="I147" s="116">
        <f>IF(B147="","",IF(AND(D147="Thanh toán",F147="Tiền mặt",G147&gt;='THAM SO'!$B$11),"Tiền mặt ≥ ngưỡng: rủi ro loại khấu trừ GTGT/chi phí",IF(AND(D147="Thanh toán",F147=""),"Thiếu hình thức TT","")))</f>
        <v/>
      </c>
      <c r="J147" s="120" t="n"/>
    </row>
    <row r="148" ht="15" customHeight="1" s="64">
      <c r="A148" s="119" t="n"/>
      <c r="B148" s="120" t="n"/>
      <c r="C148" s="116">
        <f>IF(B148="","",IFERROR(INDEX('SO HOP DONG'!$H$9:$H$308,MATCH(B148,'SO HOP DONG'!$B$9:$B$308,0)),"Số HĐ không có trong sổ"))</f>
        <v/>
      </c>
      <c r="D148" s="120" t="n"/>
      <c r="E148" s="120" t="n"/>
      <c r="F148" s="120" t="n"/>
      <c r="G148" s="121" t="n"/>
      <c r="H148" s="120" t="n"/>
      <c r="I148" s="116">
        <f>IF(B148="","",IF(AND(D148="Thanh toán",F148="Tiền mặt",G148&gt;='THAM SO'!$B$11),"Tiền mặt ≥ ngưỡng: rủi ro loại khấu trừ GTGT/chi phí",IF(AND(D148="Thanh toán",F148=""),"Thiếu hình thức TT","")))</f>
        <v/>
      </c>
      <c r="J148" s="120" t="n"/>
    </row>
    <row r="149" ht="15" customHeight="1" s="64">
      <c r="A149" s="119" t="n"/>
      <c r="B149" s="120" t="n"/>
      <c r="C149" s="116">
        <f>IF(B149="","",IFERROR(INDEX('SO HOP DONG'!$H$9:$H$308,MATCH(B149,'SO HOP DONG'!$B$9:$B$308,0)),"Số HĐ không có trong sổ"))</f>
        <v/>
      </c>
      <c r="D149" s="120" t="n"/>
      <c r="E149" s="120" t="n"/>
      <c r="F149" s="120" t="n"/>
      <c r="G149" s="121" t="n"/>
      <c r="H149" s="120" t="n"/>
      <c r="I149" s="116">
        <f>IF(B149="","",IF(AND(D149="Thanh toán",F149="Tiền mặt",G149&gt;='THAM SO'!$B$11),"Tiền mặt ≥ ngưỡng: rủi ro loại khấu trừ GTGT/chi phí",IF(AND(D149="Thanh toán",F149=""),"Thiếu hình thức TT","")))</f>
        <v/>
      </c>
      <c r="J149" s="120" t="n"/>
    </row>
    <row r="150" ht="15" customHeight="1" s="64">
      <c r="A150" s="119" t="n"/>
      <c r="B150" s="120" t="n"/>
      <c r="C150" s="116">
        <f>IF(B150="","",IFERROR(INDEX('SO HOP DONG'!$H$9:$H$308,MATCH(B150,'SO HOP DONG'!$B$9:$B$308,0)),"Số HĐ không có trong sổ"))</f>
        <v/>
      </c>
      <c r="D150" s="120" t="n"/>
      <c r="E150" s="120" t="n"/>
      <c r="F150" s="120" t="n"/>
      <c r="G150" s="121" t="n"/>
      <c r="H150" s="120" t="n"/>
      <c r="I150" s="116">
        <f>IF(B150="","",IF(AND(D150="Thanh toán",F150="Tiền mặt",G150&gt;='THAM SO'!$B$11),"Tiền mặt ≥ ngưỡng: rủi ro loại khấu trừ GTGT/chi phí",IF(AND(D150="Thanh toán",F150=""),"Thiếu hình thức TT","")))</f>
        <v/>
      </c>
      <c r="J150" s="120" t="n"/>
    </row>
    <row r="151" ht="15" customHeight="1" s="64">
      <c r="A151" s="119" t="n"/>
      <c r="B151" s="120" t="n"/>
      <c r="C151" s="116">
        <f>IF(B151="","",IFERROR(INDEX('SO HOP DONG'!$H$9:$H$308,MATCH(B151,'SO HOP DONG'!$B$9:$B$308,0)),"Số HĐ không có trong sổ"))</f>
        <v/>
      </c>
      <c r="D151" s="120" t="n"/>
      <c r="E151" s="120" t="n"/>
      <c r="F151" s="120" t="n"/>
      <c r="G151" s="121" t="n"/>
      <c r="H151" s="120" t="n"/>
      <c r="I151" s="116">
        <f>IF(B151="","",IF(AND(D151="Thanh toán",F151="Tiền mặt",G151&gt;='THAM SO'!$B$11),"Tiền mặt ≥ ngưỡng: rủi ro loại khấu trừ GTGT/chi phí",IF(AND(D151="Thanh toán",F151=""),"Thiếu hình thức TT","")))</f>
        <v/>
      </c>
      <c r="J151" s="120" t="n"/>
    </row>
    <row r="152" ht="15" customHeight="1" s="64">
      <c r="A152" s="119" t="n"/>
      <c r="B152" s="120" t="n"/>
      <c r="C152" s="116">
        <f>IF(B152="","",IFERROR(INDEX('SO HOP DONG'!$H$9:$H$308,MATCH(B152,'SO HOP DONG'!$B$9:$B$308,0)),"Số HĐ không có trong sổ"))</f>
        <v/>
      </c>
      <c r="D152" s="120" t="n"/>
      <c r="E152" s="120" t="n"/>
      <c r="F152" s="120" t="n"/>
      <c r="G152" s="121" t="n"/>
      <c r="H152" s="120" t="n"/>
      <c r="I152" s="116">
        <f>IF(B152="","",IF(AND(D152="Thanh toán",F152="Tiền mặt",G152&gt;='THAM SO'!$B$11),"Tiền mặt ≥ ngưỡng: rủi ro loại khấu trừ GTGT/chi phí",IF(AND(D152="Thanh toán",F152=""),"Thiếu hình thức TT","")))</f>
        <v/>
      </c>
      <c r="J152" s="120" t="n"/>
    </row>
    <row r="153" ht="15" customHeight="1" s="64">
      <c r="A153" s="119" t="n"/>
      <c r="B153" s="120" t="n"/>
      <c r="C153" s="116">
        <f>IF(B153="","",IFERROR(INDEX('SO HOP DONG'!$H$9:$H$308,MATCH(B153,'SO HOP DONG'!$B$9:$B$308,0)),"Số HĐ không có trong sổ"))</f>
        <v/>
      </c>
      <c r="D153" s="120" t="n"/>
      <c r="E153" s="120" t="n"/>
      <c r="F153" s="120" t="n"/>
      <c r="G153" s="121" t="n"/>
      <c r="H153" s="120" t="n"/>
      <c r="I153" s="116">
        <f>IF(B153="","",IF(AND(D153="Thanh toán",F153="Tiền mặt",G153&gt;='THAM SO'!$B$11),"Tiền mặt ≥ ngưỡng: rủi ro loại khấu trừ GTGT/chi phí",IF(AND(D153="Thanh toán",F153=""),"Thiếu hình thức TT","")))</f>
        <v/>
      </c>
      <c r="J153" s="120" t="n"/>
    </row>
    <row r="154" ht="15" customHeight="1" s="64">
      <c r="A154" s="119" t="n"/>
      <c r="B154" s="120" t="n"/>
      <c r="C154" s="116">
        <f>IF(B154="","",IFERROR(INDEX('SO HOP DONG'!$H$9:$H$308,MATCH(B154,'SO HOP DONG'!$B$9:$B$308,0)),"Số HĐ không có trong sổ"))</f>
        <v/>
      </c>
      <c r="D154" s="120" t="n"/>
      <c r="E154" s="120" t="n"/>
      <c r="F154" s="120" t="n"/>
      <c r="G154" s="121" t="n"/>
      <c r="H154" s="120" t="n"/>
      <c r="I154" s="116">
        <f>IF(B154="","",IF(AND(D154="Thanh toán",F154="Tiền mặt",G154&gt;='THAM SO'!$B$11),"Tiền mặt ≥ ngưỡng: rủi ro loại khấu trừ GTGT/chi phí",IF(AND(D154="Thanh toán",F154=""),"Thiếu hình thức TT","")))</f>
        <v/>
      </c>
      <c r="J154" s="120" t="n"/>
    </row>
    <row r="155" ht="15" customHeight="1" s="64">
      <c r="A155" s="119" t="n"/>
      <c r="B155" s="120" t="n"/>
      <c r="C155" s="116">
        <f>IF(B155="","",IFERROR(INDEX('SO HOP DONG'!$H$9:$H$308,MATCH(B155,'SO HOP DONG'!$B$9:$B$308,0)),"Số HĐ không có trong sổ"))</f>
        <v/>
      </c>
      <c r="D155" s="120" t="n"/>
      <c r="E155" s="120" t="n"/>
      <c r="F155" s="120" t="n"/>
      <c r="G155" s="121" t="n"/>
      <c r="H155" s="120" t="n"/>
      <c r="I155" s="116">
        <f>IF(B155="","",IF(AND(D155="Thanh toán",F155="Tiền mặt",G155&gt;='THAM SO'!$B$11),"Tiền mặt ≥ ngưỡng: rủi ro loại khấu trừ GTGT/chi phí",IF(AND(D155="Thanh toán",F155=""),"Thiếu hình thức TT","")))</f>
        <v/>
      </c>
      <c r="J155" s="120" t="n"/>
    </row>
    <row r="156" ht="15" customHeight="1" s="64">
      <c r="A156" s="119" t="n"/>
      <c r="B156" s="120" t="n"/>
      <c r="C156" s="116">
        <f>IF(B156="","",IFERROR(INDEX('SO HOP DONG'!$H$9:$H$308,MATCH(B156,'SO HOP DONG'!$B$9:$B$308,0)),"Số HĐ không có trong sổ"))</f>
        <v/>
      </c>
      <c r="D156" s="120" t="n"/>
      <c r="E156" s="120" t="n"/>
      <c r="F156" s="120" t="n"/>
      <c r="G156" s="121" t="n"/>
      <c r="H156" s="120" t="n"/>
      <c r="I156" s="116">
        <f>IF(B156="","",IF(AND(D156="Thanh toán",F156="Tiền mặt",G156&gt;='THAM SO'!$B$11),"Tiền mặt ≥ ngưỡng: rủi ro loại khấu trừ GTGT/chi phí",IF(AND(D156="Thanh toán",F156=""),"Thiếu hình thức TT","")))</f>
        <v/>
      </c>
      <c r="J156" s="120" t="n"/>
    </row>
    <row r="157" ht="15" customHeight="1" s="64">
      <c r="A157" s="119" t="n"/>
      <c r="B157" s="120" t="n"/>
      <c r="C157" s="116">
        <f>IF(B157="","",IFERROR(INDEX('SO HOP DONG'!$H$9:$H$308,MATCH(B157,'SO HOP DONG'!$B$9:$B$308,0)),"Số HĐ không có trong sổ"))</f>
        <v/>
      </c>
      <c r="D157" s="120" t="n"/>
      <c r="E157" s="120" t="n"/>
      <c r="F157" s="120" t="n"/>
      <c r="G157" s="121" t="n"/>
      <c r="H157" s="120" t="n"/>
      <c r="I157" s="116">
        <f>IF(B157="","",IF(AND(D157="Thanh toán",F157="Tiền mặt",G157&gt;='THAM SO'!$B$11),"Tiền mặt ≥ ngưỡng: rủi ro loại khấu trừ GTGT/chi phí",IF(AND(D157="Thanh toán",F157=""),"Thiếu hình thức TT","")))</f>
        <v/>
      </c>
      <c r="J157" s="120" t="n"/>
    </row>
    <row r="158" ht="15" customHeight="1" s="64">
      <c r="A158" s="119" t="n"/>
      <c r="B158" s="120" t="n"/>
      <c r="C158" s="116">
        <f>IF(B158="","",IFERROR(INDEX('SO HOP DONG'!$H$9:$H$308,MATCH(B158,'SO HOP DONG'!$B$9:$B$308,0)),"Số HĐ không có trong sổ"))</f>
        <v/>
      </c>
      <c r="D158" s="120" t="n"/>
      <c r="E158" s="120" t="n"/>
      <c r="F158" s="120" t="n"/>
      <c r="G158" s="121" t="n"/>
      <c r="H158" s="120" t="n"/>
      <c r="I158" s="116">
        <f>IF(B158="","",IF(AND(D158="Thanh toán",F158="Tiền mặt",G158&gt;='THAM SO'!$B$11),"Tiền mặt ≥ ngưỡng: rủi ro loại khấu trừ GTGT/chi phí",IF(AND(D158="Thanh toán",F158=""),"Thiếu hình thức TT","")))</f>
        <v/>
      </c>
      <c r="J158" s="120" t="n"/>
    </row>
    <row r="159" ht="15" customHeight="1" s="64">
      <c r="A159" s="119" t="n"/>
      <c r="B159" s="120" t="n"/>
      <c r="C159" s="116">
        <f>IF(B159="","",IFERROR(INDEX('SO HOP DONG'!$H$9:$H$308,MATCH(B159,'SO HOP DONG'!$B$9:$B$308,0)),"Số HĐ không có trong sổ"))</f>
        <v/>
      </c>
      <c r="D159" s="120" t="n"/>
      <c r="E159" s="120" t="n"/>
      <c r="F159" s="120" t="n"/>
      <c r="G159" s="121" t="n"/>
      <c r="H159" s="120" t="n"/>
      <c r="I159" s="116">
        <f>IF(B159="","",IF(AND(D159="Thanh toán",F159="Tiền mặt",G159&gt;='THAM SO'!$B$11),"Tiền mặt ≥ ngưỡng: rủi ro loại khấu trừ GTGT/chi phí",IF(AND(D159="Thanh toán",F159=""),"Thiếu hình thức TT","")))</f>
        <v/>
      </c>
      <c r="J159" s="120" t="n"/>
    </row>
    <row r="160" ht="15" customHeight="1" s="64">
      <c r="A160" s="119" t="n"/>
      <c r="B160" s="120" t="n"/>
      <c r="C160" s="116">
        <f>IF(B160="","",IFERROR(INDEX('SO HOP DONG'!$H$9:$H$308,MATCH(B160,'SO HOP DONG'!$B$9:$B$308,0)),"Số HĐ không có trong sổ"))</f>
        <v/>
      </c>
      <c r="D160" s="120" t="n"/>
      <c r="E160" s="120" t="n"/>
      <c r="F160" s="120" t="n"/>
      <c r="G160" s="121" t="n"/>
      <c r="H160" s="120" t="n"/>
      <c r="I160" s="116">
        <f>IF(B160="","",IF(AND(D160="Thanh toán",F160="Tiền mặt",G160&gt;='THAM SO'!$B$11),"Tiền mặt ≥ ngưỡng: rủi ro loại khấu trừ GTGT/chi phí",IF(AND(D160="Thanh toán",F160=""),"Thiếu hình thức TT","")))</f>
        <v/>
      </c>
      <c r="J160" s="120" t="n"/>
    </row>
    <row r="161" ht="15" customHeight="1" s="64">
      <c r="A161" s="119" t="n"/>
      <c r="B161" s="120" t="n"/>
      <c r="C161" s="116">
        <f>IF(B161="","",IFERROR(INDEX('SO HOP DONG'!$H$9:$H$308,MATCH(B161,'SO HOP DONG'!$B$9:$B$308,0)),"Số HĐ không có trong sổ"))</f>
        <v/>
      </c>
      <c r="D161" s="120" t="n"/>
      <c r="E161" s="120" t="n"/>
      <c r="F161" s="120" t="n"/>
      <c r="G161" s="121" t="n"/>
      <c r="H161" s="120" t="n"/>
      <c r="I161" s="116">
        <f>IF(B161="","",IF(AND(D161="Thanh toán",F161="Tiền mặt",G161&gt;='THAM SO'!$B$11),"Tiền mặt ≥ ngưỡng: rủi ro loại khấu trừ GTGT/chi phí",IF(AND(D161="Thanh toán",F161=""),"Thiếu hình thức TT","")))</f>
        <v/>
      </c>
      <c r="J161" s="120" t="n"/>
    </row>
    <row r="162" ht="15" customHeight="1" s="64">
      <c r="A162" s="119" t="n"/>
      <c r="B162" s="120" t="n"/>
      <c r="C162" s="116">
        <f>IF(B162="","",IFERROR(INDEX('SO HOP DONG'!$H$9:$H$308,MATCH(B162,'SO HOP DONG'!$B$9:$B$308,0)),"Số HĐ không có trong sổ"))</f>
        <v/>
      </c>
      <c r="D162" s="120" t="n"/>
      <c r="E162" s="120" t="n"/>
      <c r="F162" s="120" t="n"/>
      <c r="G162" s="121" t="n"/>
      <c r="H162" s="120" t="n"/>
      <c r="I162" s="116">
        <f>IF(B162="","",IF(AND(D162="Thanh toán",F162="Tiền mặt",G162&gt;='THAM SO'!$B$11),"Tiền mặt ≥ ngưỡng: rủi ro loại khấu trừ GTGT/chi phí",IF(AND(D162="Thanh toán",F162=""),"Thiếu hình thức TT","")))</f>
        <v/>
      </c>
      <c r="J162" s="120" t="n"/>
    </row>
    <row r="163" ht="15" customHeight="1" s="64">
      <c r="A163" s="119" t="n"/>
      <c r="B163" s="120" t="n"/>
      <c r="C163" s="116">
        <f>IF(B163="","",IFERROR(INDEX('SO HOP DONG'!$H$9:$H$308,MATCH(B163,'SO HOP DONG'!$B$9:$B$308,0)),"Số HĐ không có trong sổ"))</f>
        <v/>
      </c>
      <c r="D163" s="120" t="n"/>
      <c r="E163" s="120" t="n"/>
      <c r="F163" s="120" t="n"/>
      <c r="G163" s="121" t="n"/>
      <c r="H163" s="120" t="n"/>
      <c r="I163" s="116">
        <f>IF(B163="","",IF(AND(D163="Thanh toán",F163="Tiền mặt",G163&gt;='THAM SO'!$B$11),"Tiền mặt ≥ ngưỡng: rủi ro loại khấu trừ GTGT/chi phí",IF(AND(D163="Thanh toán",F163=""),"Thiếu hình thức TT","")))</f>
        <v/>
      </c>
      <c r="J163" s="120" t="n"/>
    </row>
    <row r="164" ht="15" customHeight="1" s="64">
      <c r="A164" s="119" t="n"/>
      <c r="B164" s="120" t="n"/>
      <c r="C164" s="116">
        <f>IF(B164="","",IFERROR(INDEX('SO HOP DONG'!$H$9:$H$308,MATCH(B164,'SO HOP DONG'!$B$9:$B$308,0)),"Số HĐ không có trong sổ"))</f>
        <v/>
      </c>
      <c r="D164" s="120" t="n"/>
      <c r="E164" s="120" t="n"/>
      <c r="F164" s="120" t="n"/>
      <c r="G164" s="121" t="n"/>
      <c r="H164" s="120" t="n"/>
      <c r="I164" s="116">
        <f>IF(B164="","",IF(AND(D164="Thanh toán",F164="Tiền mặt",G164&gt;='THAM SO'!$B$11),"Tiền mặt ≥ ngưỡng: rủi ro loại khấu trừ GTGT/chi phí",IF(AND(D164="Thanh toán",F164=""),"Thiếu hình thức TT","")))</f>
        <v/>
      </c>
      <c r="J164" s="120" t="n"/>
    </row>
    <row r="165" ht="15" customHeight="1" s="64">
      <c r="A165" s="119" t="n"/>
      <c r="B165" s="120" t="n"/>
      <c r="C165" s="116">
        <f>IF(B165="","",IFERROR(INDEX('SO HOP DONG'!$H$9:$H$308,MATCH(B165,'SO HOP DONG'!$B$9:$B$308,0)),"Số HĐ không có trong sổ"))</f>
        <v/>
      </c>
      <c r="D165" s="120" t="n"/>
      <c r="E165" s="120" t="n"/>
      <c r="F165" s="120" t="n"/>
      <c r="G165" s="121" t="n"/>
      <c r="H165" s="120" t="n"/>
      <c r="I165" s="116">
        <f>IF(B165="","",IF(AND(D165="Thanh toán",F165="Tiền mặt",G165&gt;='THAM SO'!$B$11),"Tiền mặt ≥ ngưỡng: rủi ro loại khấu trừ GTGT/chi phí",IF(AND(D165="Thanh toán",F165=""),"Thiếu hình thức TT","")))</f>
        <v/>
      </c>
      <c r="J165" s="120" t="n"/>
    </row>
    <row r="166" ht="15" customHeight="1" s="64">
      <c r="A166" s="119" t="n"/>
      <c r="B166" s="120" t="n"/>
      <c r="C166" s="116">
        <f>IF(B166="","",IFERROR(INDEX('SO HOP DONG'!$H$9:$H$308,MATCH(B166,'SO HOP DONG'!$B$9:$B$308,0)),"Số HĐ không có trong sổ"))</f>
        <v/>
      </c>
      <c r="D166" s="120" t="n"/>
      <c r="E166" s="120" t="n"/>
      <c r="F166" s="120" t="n"/>
      <c r="G166" s="121" t="n"/>
      <c r="H166" s="120" t="n"/>
      <c r="I166" s="116">
        <f>IF(B166="","",IF(AND(D166="Thanh toán",F166="Tiền mặt",G166&gt;='THAM SO'!$B$11),"Tiền mặt ≥ ngưỡng: rủi ro loại khấu trừ GTGT/chi phí",IF(AND(D166="Thanh toán",F166=""),"Thiếu hình thức TT","")))</f>
        <v/>
      </c>
      <c r="J166" s="120" t="n"/>
    </row>
    <row r="167" ht="15" customHeight="1" s="64">
      <c r="A167" s="119" t="n"/>
      <c r="B167" s="120" t="n"/>
      <c r="C167" s="116">
        <f>IF(B167="","",IFERROR(INDEX('SO HOP DONG'!$H$9:$H$308,MATCH(B167,'SO HOP DONG'!$B$9:$B$308,0)),"Số HĐ không có trong sổ"))</f>
        <v/>
      </c>
      <c r="D167" s="120" t="n"/>
      <c r="E167" s="120" t="n"/>
      <c r="F167" s="120" t="n"/>
      <c r="G167" s="121" t="n"/>
      <c r="H167" s="120" t="n"/>
      <c r="I167" s="116">
        <f>IF(B167="","",IF(AND(D167="Thanh toán",F167="Tiền mặt",G167&gt;='THAM SO'!$B$11),"Tiền mặt ≥ ngưỡng: rủi ro loại khấu trừ GTGT/chi phí",IF(AND(D167="Thanh toán",F167=""),"Thiếu hình thức TT","")))</f>
        <v/>
      </c>
      <c r="J167" s="120" t="n"/>
    </row>
    <row r="168" ht="15" customHeight="1" s="64">
      <c r="A168" s="119" t="n"/>
      <c r="B168" s="120" t="n"/>
      <c r="C168" s="116">
        <f>IF(B168="","",IFERROR(INDEX('SO HOP DONG'!$H$9:$H$308,MATCH(B168,'SO HOP DONG'!$B$9:$B$308,0)),"Số HĐ không có trong sổ"))</f>
        <v/>
      </c>
      <c r="D168" s="120" t="n"/>
      <c r="E168" s="120" t="n"/>
      <c r="F168" s="120" t="n"/>
      <c r="G168" s="121" t="n"/>
      <c r="H168" s="120" t="n"/>
      <c r="I168" s="116">
        <f>IF(B168="","",IF(AND(D168="Thanh toán",F168="Tiền mặt",G168&gt;='THAM SO'!$B$11),"Tiền mặt ≥ ngưỡng: rủi ro loại khấu trừ GTGT/chi phí",IF(AND(D168="Thanh toán",F168=""),"Thiếu hình thức TT","")))</f>
        <v/>
      </c>
      <c r="J168" s="120" t="n"/>
    </row>
    <row r="169" ht="15" customHeight="1" s="64">
      <c r="A169" s="119" t="n"/>
      <c r="B169" s="120" t="n"/>
      <c r="C169" s="116">
        <f>IF(B169="","",IFERROR(INDEX('SO HOP DONG'!$H$9:$H$308,MATCH(B169,'SO HOP DONG'!$B$9:$B$308,0)),"Số HĐ không có trong sổ"))</f>
        <v/>
      </c>
      <c r="D169" s="120" t="n"/>
      <c r="E169" s="120" t="n"/>
      <c r="F169" s="120" t="n"/>
      <c r="G169" s="121" t="n"/>
      <c r="H169" s="120" t="n"/>
      <c r="I169" s="116">
        <f>IF(B169="","",IF(AND(D169="Thanh toán",F169="Tiền mặt",G169&gt;='THAM SO'!$B$11),"Tiền mặt ≥ ngưỡng: rủi ro loại khấu trừ GTGT/chi phí",IF(AND(D169="Thanh toán",F169=""),"Thiếu hình thức TT","")))</f>
        <v/>
      </c>
      <c r="J169" s="120" t="n"/>
    </row>
    <row r="170" ht="15" customHeight="1" s="64">
      <c r="A170" s="119" t="n"/>
      <c r="B170" s="120" t="n"/>
      <c r="C170" s="116">
        <f>IF(B170="","",IFERROR(INDEX('SO HOP DONG'!$H$9:$H$308,MATCH(B170,'SO HOP DONG'!$B$9:$B$308,0)),"Số HĐ không có trong sổ"))</f>
        <v/>
      </c>
      <c r="D170" s="120" t="n"/>
      <c r="E170" s="120" t="n"/>
      <c r="F170" s="120" t="n"/>
      <c r="G170" s="121" t="n"/>
      <c r="H170" s="120" t="n"/>
      <c r="I170" s="116">
        <f>IF(B170="","",IF(AND(D170="Thanh toán",F170="Tiền mặt",G170&gt;='THAM SO'!$B$11),"Tiền mặt ≥ ngưỡng: rủi ro loại khấu trừ GTGT/chi phí",IF(AND(D170="Thanh toán",F170=""),"Thiếu hình thức TT","")))</f>
        <v/>
      </c>
      <c r="J170" s="120" t="n"/>
    </row>
    <row r="171" ht="15" customHeight="1" s="64">
      <c r="A171" s="119" t="n"/>
      <c r="B171" s="120" t="n"/>
      <c r="C171" s="116">
        <f>IF(B171="","",IFERROR(INDEX('SO HOP DONG'!$H$9:$H$308,MATCH(B171,'SO HOP DONG'!$B$9:$B$308,0)),"Số HĐ không có trong sổ"))</f>
        <v/>
      </c>
      <c r="D171" s="120" t="n"/>
      <c r="E171" s="120" t="n"/>
      <c r="F171" s="120" t="n"/>
      <c r="G171" s="121" t="n"/>
      <c r="H171" s="120" t="n"/>
      <c r="I171" s="116">
        <f>IF(B171="","",IF(AND(D171="Thanh toán",F171="Tiền mặt",G171&gt;='THAM SO'!$B$11),"Tiền mặt ≥ ngưỡng: rủi ro loại khấu trừ GTGT/chi phí",IF(AND(D171="Thanh toán",F171=""),"Thiếu hình thức TT","")))</f>
        <v/>
      </c>
      <c r="J171" s="120" t="n"/>
    </row>
    <row r="172" ht="15" customHeight="1" s="64">
      <c r="A172" s="119" t="n"/>
      <c r="B172" s="120" t="n"/>
      <c r="C172" s="116">
        <f>IF(B172="","",IFERROR(INDEX('SO HOP DONG'!$H$9:$H$308,MATCH(B172,'SO HOP DONG'!$B$9:$B$308,0)),"Số HĐ không có trong sổ"))</f>
        <v/>
      </c>
      <c r="D172" s="120" t="n"/>
      <c r="E172" s="120" t="n"/>
      <c r="F172" s="120" t="n"/>
      <c r="G172" s="121" t="n"/>
      <c r="H172" s="120" t="n"/>
      <c r="I172" s="116">
        <f>IF(B172="","",IF(AND(D172="Thanh toán",F172="Tiền mặt",G172&gt;='THAM SO'!$B$11),"Tiền mặt ≥ ngưỡng: rủi ro loại khấu trừ GTGT/chi phí",IF(AND(D172="Thanh toán",F172=""),"Thiếu hình thức TT","")))</f>
        <v/>
      </c>
      <c r="J172" s="120" t="n"/>
    </row>
    <row r="173" ht="15" customHeight="1" s="64">
      <c r="A173" s="119" t="n"/>
      <c r="B173" s="120" t="n"/>
      <c r="C173" s="116">
        <f>IF(B173="","",IFERROR(INDEX('SO HOP DONG'!$H$9:$H$308,MATCH(B173,'SO HOP DONG'!$B$9:$B$308,0)),"Số HĐ không có trong sổ"))</f>
        <v/>
      </c>
      <c r="D173" s="120" t="n"/>
      <c r="E173" s="120" t="n"/>
      <c r="F173" s="120" t="n"/>
      <c r="G173" s="121" t="n"/>
      <c r="H173" s="120" t="n"/>
      <c r="I173" s="116">
        <f>IF(B173="","",IF(AND(D173="Thanh toán",F173="Tiền mặt",G173&gt;='THAM SO'!$B$11),"Tiền mặt ≥ ngưỡng: rủi ro loại khấu trừ GTGT/chi phí",IF(AND(D173="Thanh toán",F173=""),"Thiếu hình thức TT","")))</f>
        <v/>
      </c>
      <c r="J173" s="120" t="n"/>
    </row>
    <row r="174" ht="15" customHeight="1" s="64">
      <c r="A174" s="119" t="n"/>
      <c r="B174" s="120" t="n"/>
      <c r="C174" s="116">
        <f>IF(B174="","",IFERROR(INDEX('SO HOP DONG'!$H$9:$H$308,MATCH(B174,'SO HOP DONG'!$B$9:$B$308,0)),"Số HĐ không có trong sổ"))</f>
        <v/>
      </c>
      <c r="D174" s="120" t="n"/>
      <c r="E174" s="120" t="n"/>
      <c r="F174" s="120" t="n"/>
      <c r="G174" s="121" t="n"/>
      <c r="H174" s="120" t="n"/>
      <c r="I174" s="116">
        <f>IF(B174="","",IF(AND(D174="Thanh toán",F174="Tiền mặt",G174&gt;='THAM SO'!$B$11),"Tiền mặt ≥ ngưỡng: rủi ro loại khấu trừ GTGT/chi phí",IF(AND(D174="Thanh toán",F174=""),"Thiếu hình thức TT","")))</f>
        <v/>
      </c>
      <c r="J174" s="120" t="n"/>
    </row>
    <row r="175" ht="15" customHeight="1" s="64">
      <c r="A175" s="119" t="n"/>
      <c r="B175" s="120" t="n"/>
      <c r="C175" s="116">
        <f>IF(B175="","",IFERROR(INDEX('SO HOP DONG'!$H$9:$H$308,MATCH(B175,'SO HOP DONG'!$B$9:$B$308,0)),"Số HĐ không có trong sổ"))</f>
        <v/>
      </c>
      <c r="D175" s="120" t="n"/>
      <c r="E175" s="120" t="n"/>
      <c r="F175" s="120" t="n"/>
      <c r="G175" s="121" t="n"/>
      <c r="H175" s="120" t="n"/>
      <c r="I175" s="116">
        <f>IF(B175="","",IF(AND(D175="Thanh toán",F175="Tiền mặt",G175&gt;='THAM SO'!$B$11),"Tiền mặt ≥ ngưỡng: rủi ro loại khấu trừ GTGT/chi phí",IF(AND(D175="Thanh toán",F175=""),"Thiếu hình thức TT","")))</f>
        <v/>
      </c>
      <c r="J175" s="120" t="n"/>
    </row>
    <row r="176" ht="15" customHeight="1" s="64">
      <c r="A176" s="119" t="n"/>
      <c r="B176" s="120" t="n"/>
      <c r="C176" s="116">
        <f>IF(B176="","",IFERROR(INDEX('SO HOP DONG'!$H$9:$H$308,MATCH(B176,'SO HOP DONG'!$B$9:$B$308,0)),"Số HĐ không có trong sổ"))</f>
        <v/>
      </c>
      <c r="D176" s="120" t="n"/>
      <c r="E176" s="120" t="n"/>
      <c r="F176" s="120" t="n"/>
      <c r="G176" s="121" t="n"/>
      <c r="H176" s="120" t="n"/>
      <c r="I176" s="116">
        <f>IF(B176="","",IF(AND(D176="Thanh toán",F176="Tiền mặt",G176&gt;='THAM SO'!$B$11),"Tiền mặt ≥ ngưỡng: rủi ro loại khấu trừ GTGT/chi phí",IF(AND(D176="Thanh toán",F176=""),"Thiếu hình thức TT","")))</f>
        <v/>
      </c>
      <c r="J176" s="120" t="n"/>
    </row>
    <row r="177" ht="15" customHeight="1" s="64">
      <c r="A177" s="119" t="n"/>
      <c r="B177" s="120" t="n"/>
      <c r="C177" s="116">
        <f>IF(B177="","",IFERROR(INDEX('SO HOP DONG'!$H$9:$H$308,MATCH(B177,'SO HOP DONG'!$B$9:$B$308,0)),"Số HĐ không có trong sổ"))</f>
        <v/>
      </c>
      <c r="D177" s="120" t="n"/>
      <c r="E177" s="120" t="n"/>
      <c r="F177" s="120" t="n"/>
      <c r="G177" s="121" t="n"/>
      <c r="H177" s="120" t="n"/>
      <c r="I177" s="116">
        <f>IF(B177="","",IF(AND(D177="Thanh toán",F177="Tiền mặt",G177&gt;='THAM SO'!$B$11),"Tiền mặt ≥ ngưỡng: rủi ro loại khấu trừ GTGT/chi phí",IF(AND(D177="Thanh toán",F177=""),"Thiếu hình thức TT","")))</f>
        <v/>
      </c>
      <c r="J177" s="120" t="n"/>
    </row>
    <row r="178" ht="15" customHeight="1" s="64">
      <c r="A178" s="119" t="n"/>
      <c r="B178" s="120" t="n"/>
      <c r="C178" s="116">
        <f>IF(B178="","",IFERROR(INDEX('SO HOP DONG'!$H$9:$H$308,MATCH(B178,'SO HOP DONG'!$B$9:$B$308,0)),"Số HĐ không có trong sổ"))</f>
        <v/>
      </c>
      <c r="D178" s="120" t="n"/>
      <c r="E178" s="120" t="n"/>
      <c r="F178" s="120" t="n"/>
      <c r="G178" s="121" t="n"/>
      <c r="H178" s="120" t="n"/>
      <c r="I178" s="116">
        <f>IF(B178="","",IF(AND(D178="Thanh toán",F178="Tiền mặt",G178&gt;='THAM SO'!$B$11),"Tiền mặt ≥ ngưỡng: rủi ro loại khấu trừ GTGT/chi phí",IF(AND(D178="Thanh toán",F178=""),"Thiếu hình thức TT","")))</f>
        <v/>
      </c>
      <c r="J178" s="120" t="n"/>
    </row>
    <row r="179" ht="15" customHeight="1" s="64">
      <c r="A179" s="119" t="n"/>
      <c r="B179" s="120" t="n"/>
      <c r="C179" s="116">
        <f>IF(B179="","",IFERROR(INDEX('SO HOP DONG'!$H$9:$H$308,MATCH(B179,'SO HOP DONG'!$B$9:$B$308,0)),"Số HĐ không có trong sổ"))</f>
        <v/>
      </c>
      <c r="D179" s="120" t="n"/>
      <c r="E179" s="120" t="n"/>
      <c r="F179" s="120" t="n"/>
      <c r="G179" s="121" t="n"/>
      <c r="H179" s="120" t="n"/>
      <c r="I179" s="116">
        <f>IF(B179="","",IF(AND(D179="Thanh toán",F179="Tiền mặt",G179&gt;='THAM SO'!$B$11),"Tiền mặt ≥ ngưỡng: rủi ro loại khấu trừ GTGT/chi phí",IF(AND(D179="Thanh toán",F179=""),"Thiếu hình thức TT","")))</f>
        <v/>
      </c>
      <c r="J179" s="120" t="n"/>
    </row>
    <row r="180" ht="15" customHeight="1" s="64">
      <c r="A180" s="119" t="n"/>
      <c r="B180" s="120" t="n"/>
      <c r="C180" s="116">
        <f>IF(B180="","",IFERROR(INDEX('SO HOP DONG'!$H$9:$H$308,MATCH(B180,'SO HOP DONG'!$B$9:$B$308,0)),"Số HĐ không có trong sổ"))</f>
        <v/>
      </c>
      <c r="D180" s="120" t="n"/>
      <c r="E180" s="120" t="n"/>
      <c r="F180" s="120" t="n"/>
      <c r="G180" s="121" t="n"/>
      <c r="H180" s="120" t="n"/>
      <c r="I180" s="116">
        <f>IF(B180="","",IF(AND(D180="Thanh toán",F180="Tiền mặt",G180&gt;='THAM SO'!$B$11),"Tiền mặt ≥ ngưỡng: rủi ro loại khấu trừ GTGT/chi phí",IF(AND(D180="Thanh toán",F180=""),"Thiếu hình thức TT","")))</f>
        <v/>
      </c>
      <c r="J180" s="120" t="n"/>
    </row>
    <row r="181" ht="15" customHeight="1" s="64">
      <c r="A181" s="119" t="n"/>
      <c r="B181" s="120" t="n"/>
      <c r="C181" s="116">
        <f>IF(B181="","",IFERROR(INDEX('SO HOP DONG'!$H$9:$H$308,MATCH(B181,'SO HOP DONG'!$B$9:$B$308,0)),"Số HĐ không có trong sổ"))</f>
        <v/>
      </c>
      <c r="D181" s="120" t="n"/>
      <c r="E181" s="120" t="n"/>
      <c r="F181" s="120" t="n"/>
      <c r="G181" s="121" t="n"/>
      <c r="H181" s="120" t="n"/>
      <c r="I181" s="116">
        <f>IF(B181="","",IF(AND(D181="Thanh toán",F181="Tiền mặt",G181&gt;='THAM SO'!$B$11),"Tiền mặt ≥ ngưỡng: rủi ro loại khấu trừ GTGT/chi phí",IF(AND(D181="Thanh toán",F181=""),"Thiếu hình thức TT","")))</f>
        <v/>
      </c>
      <c r="J181" s="120" t="n"/>
    </row>
    <row r="182" ht="15" customHeight="1" s="64">
      <c r="A182" s="119" t="n"/>
      <c r="B182" s="120" t="n"/>
      <c r="C182" s="116">
        <f>IF(B182="","",IFERROR(INDEX('SO HOP DONG'!$H$9:$H$308,MATCH(B182,'SO HOP DONG'!$B$9:$B$308,0)),"Số HĐ không có trong sổ"))</f>
        <v/>
      </c>
      <c r="D182" s="120" t="n"/>
      <c r="E182" s="120" t="n"/>
      <c r="F182" s="120" t="n"/>
      <c r="G182" s="121" t="n"/>
      <c r="H182" s="120" t="n"/>
      <c r="I182" s="116">
        <f>IF(B182="","",IF(AND(D182="Thanh toán",F182="Tiền mặt",G182&gt;='THAM SO'!$B$11),"Tiền mặt ≥ ngưỡng: rủi ro loại khấu trừ GTGT/chi phí",IF(AND(D182="Thanh toán",F182=""),"Thiếu hình thức TT","")))</f>
        <v/>
      </c>
      <c r="J182" s="120" t="n"/>
    </row>
    <row r="183" ht="15" customHeight="1" s="64">
      <c r="A183" s="119" t="n"/>
      <c r="B183" s="120" t="n"/>
      <c r="C183" s="116">
        <f>IF(B183="","",IFERROR(INDEX('SO HOP DONG'!$H$9:$H$308,MATCH(B183,'SO HOP DONG'!$B$9:$B$308,0)),"Số HĐ không có trong sổ"))</f>
        <v/>
      </c>
      <c r="D183" s="120" t="n"/>
      <c r="E183" s="120" t="n"/>
      <c r="F183" s="120" t="n"/>
      <c r="G183" s="121" t="n"/>
      <c r="H183" s="120" t="n"/>
      <c r="I183" s="116">
        <f>IF(B183="","",IF(AND(D183="Thanh toán",F183="Tiền mặt",G183&gt;='THAM SO'!$B$11),"Tiền mặt ≥ ngưỡng: rủi ro loại khấu trừ GTGT/chi phí",IF(AND(D183="Thanh toán",F183=""),"Thiếu hình thức TT","")))</f>
        <v/>
      </c>
      <c r="J183" s="120" t="n"/>
    </row>
    <row r="184" ht="15" customHeight="1" s="64">
      <c r="A184" s="119" t="n"/>
      <c r="B184" s="120" t="n"/>
      <c r="C184" s="116">
        <f>IF(B184="","",IFERROR(INDEX('SO HOP DONG'!$H$9:$H$308,MATCH(B184,'SO HOP DONG'!$B$9:$B$308,0)),"Số HĐ không có trong sổ"))</f>
        <v/>
      </c>
      <c r="D184" s="120" t="n"/>
      <c r="E184" s="120" t="n"/>
      <c r="F184" s="120" t="n"/>
      <c r="G184" s="121" t="n"/>
      <c r="H184" s="120" t="n"/>
      <c r="I184" s="116">
        <f>IF(B184="","",IF(AND(D184="Thanh toán",F184="Tiền mặt",G184&gt;='THAM SO'!$B$11),"Tiền mặt ≥ ngưỡng: rủi ro loại khấu trừ GTGT/chi phí",IF(AND(D184="Thanh toán",F184=""),"Thiếu hình thức TT","")))</f>
        <v/>
      </c>
      <c r="J184" s="120" t="n"/>
    </row>
    <row r="185" ht="15" customHeight="1" s="64">
      <c r="A185" s="119" t="n"/>
      <c r="B185" s="120" t="n"/>
      <c r="C185" s="116">
        <f>IF(B185="","",IFERROR(INDEX('SO HOP DONG'!$H$9:$H$308,MATCH(B185,'SO HOP DONG'!$B$9:$B$308,0)),"Số HĐ không có trong sổ"))</f>
        <v/>
      </c>
      <c r="D185" s="120" t="n"/>
      <c r="E185" s="120" t="n"/>
      <c r="F185" s="120" t="n"/>
      <c r="G185" s="121" t="n"/>
      <c r="H185" s="120" t="n"/>
      <c r="I185" s="116">
        <f>IF(B185="","",IF(AND(D185="Thanh toán",F185="Tiền mặt",G185&gt;='THAM SO'!$B$11),"Tiền mặt ≥ ngưỡng: rủi ro loại khấu trừ GTGT/chi phí",IF(AND(D185="Thanh toán",F185=""),"Thiếu hình thức TT","")))</f>
        <v/>
      </c>
      <c r="J185" s="120" t="n"/>
    </row>
    <row r="186" ht="15" customHeight="1" s="64">
      <c r="A186" s="119" t="n"/>
      <c r="B186" s="120" t="n"/>
      <c r="C186" s="116">
        <f>IF(B186="","",IFERROR(INDEX('SO HOP DONG'!$H$9:$H$308,MATCH(B186,'SO HOP DONG'!$B$9:$B$308,0)),"Số HĐ không có trong sổ"))</f>
        <v/>
      </c>
      <c r="D186" s="120" t="n"/>
      <c r="E186" s="120" t="n"/>
      <c r="F186" s="120" t="n"/>
      <c r="G186" s="121" t="n"/>
      <c r="H186" s="120" t="n"/>
      <c r="I186" s="116">
        <f>IF(B186="","",IF(AND(D186="Thanh toán",F186="Tiền mặt",G186&gt;='THAM SO'!$B$11),"Tiền mặt ≥ ngưỡng: rủi ro loại khấu trừ GTGT/chi phí",IF(AND(D186="Thanh toán",F186=""),"Thiếu hình thức TT","")))</f>
        <v/>
      </c>
      <c r="J186" s="120" t="n"/>
    </row>
    <row r="187" ht="15" customHeight="1" s="64">
      <c r="A187" s="119" t="n"/>
      <c r="B187" s="120" t="n"/>
      <c r="C187" s="116">
        <f>IF(B187="","",IFERROR(INDEX('SO HOP DONG'!$H$9:$H$308,MATCH(B187,'SO HOP DONG'!$B$9:$B$308,0)),"Số HĐ không có trong sổ"))</f>
        <v/>
      </c>
      <c r="D187" s="120" t="n"/>
      <c r="E187" s="120" t="n"/>
      <c r="F187" s="120" t="n"/>
      <c r="G187" s="121" t="n"/>
      <c r="H187" s="120" t="n"/>
      <c r="I187" s="116">
        <f>IF(B187="","",IF(AND(D187="Thanh toán",F187="Tiền mặt",G187&gt;='THAM SO'!$B$11),"Tiền mặt ≥ ngưỡng: rủi ro loại khấu trừ GTGT/chi phí",IF(AND(D187="Thanh toán",F187=""),"Thiếu hình thức TT","")))</f>
        <v/>
      </c>
      <c r="J187" s="120" t="n"/>
    </row>
    <row r="188" ht="15" customHeight="1" s="64">
      <c r="A188" s="119" t="n"/>
      <c r="B188" s="120" t="n"/>
      <c r="C188" s="116">
        <f>IF(B188="","",IFERROR(INDEX('SO HOP DONG'!$H$9:$H$308,MATCH(B188,'SO HOP DONG'!$B$9:$B$308,0)),"Số HĐ không có trong sổ"))</f>
        <v/>
      </c>
      <c r="D188" s="120" t="n"/>
      <c r="E188" s="120" t="n"/>
      <c r="F188" s="120" t="n"/>
      <c r="G188" s="121" t="n"/>
      <c r="H188" s="120" t="n"/>
      <c r="I188" s="116">
        <f>IF(B188="","",IF(AND(D188="Thanh toán",F188="Tiền mặt",G188&gt;='THAM SO'!$B$11),"Tiền mặt ≥ ngưỡng: rủi ro loại khấu trừ GTGT/chi phí",IF(AND(D188="Thanh toán",F188=""),"Thiếu hình thức TT","")))</f>
        <v/>
      </c>
      <c r="J188" s="120" t="n"/>
    </row>
    <row r="189" ht="15" customHeight="1" s="64">
      <c r="A189" s="119" t="n"/>
      <c r="B189" s="120" t="n"/>
      <c r="C189" s="116">
        <f>IF(B189="","",IFERROR(INDEX('SO HOP DONG'!$H$9:$H$308,MATCH(B189,'SO HOP DONG'!$B$9:$B$308,0)),"Số HĐ không có trong sổ"))</f>
        <v/>
      </c>
      <c r="D189" s="120" t="n"/>
      <c r="E189" s="120" t="n"/>
      <c r="F189" s="120" t="n"/>
      <c r="G189" s="121" t="n"/>
      <c r="H189" s="120" t="n"/>
      <c r="I189" s="116">
        <f>IF(B189="","",IF(AND(D189="Thanh toán",F189="Tiền mặt",G189&gt;='THAM SO'!$B$11),"Tiền mặt ≥ ngưỡng: rủi ro loại khấu trừ GTGT/chi phí",IF(AND(D189="Thanh toán",F189=""),"Thiếu hình thức TT","")))</f>
        <v/>
      </c>
      <c r="J189" s="120" t="n"/>
    </row>
    <row r="190" ht="15" customHeight="1" s="64">
      <c r="A190" s="119" t="n"/>
      <c r="B190" s="120" t="n"/>
      <c r="C190" s="116">
        <f>IF(B190="","",IFERROR(INDEX('SO HOP DONG'!$H$9:$H$308,MATCH(B190,'SO HOP DONG'!$B$9:$B$308,0)),"Số HĐ không có trong sổ"))</f>
        <v/>
      </c>
      <c r="D190" s="120" t="n"/>
      <c r="E190" s="120" t="n"/>
      <c r="F190" s="120" t="n"/>
      <c r="G190" s="121" t="n"/>
      <c r="H190" s="120" t="n"/>
      <c r="I190" s="116">
        <f>IF(B190="","",IF(AND(D190="Thanh toán",F190="Tiền mặt",G190&gt;='THAM SO'!$B$11),"Tiền mặt ≥ ngưỡng: rủi ro loại khấu trừ GTGT/chi phí",IF(AND(D190="Thanh toán",F190=""),"Thiếu hình thức TT","")))</f>
        <v/>
      </c>
      <c r="J190" s="120" t="n"/>
    </row>
    <row r="191" ht="15" customHeight="1" s="64">
      <c r="A191" s="119" t="n"/>
      <c r="B191" s="120" t="n"/>
      <c r="C191" s="116">
        <f>IF(B191="","",IFERROR(INDEX('SO HOP DONG'!$H$9:$H$308,MATCH(B191,'SO HOP DONG'!$B$9:$B$308,0)),"Số HĐ không có trong sổ"))</f>
        <v/>
      </c>
      <c r="D191" s="120" t="n"/>
      <c r="E191" s="120" t="n"/>
      <c r="F191" s="120" t="n"/>
      <c r="G191" s="121" t="n"/>
      <c r="H191" s="120" t="n"/>
      <c r="I191" s="116">
        <f>IF(B191="","",IF(AND(D191="Thanh toán",F191="Tiền mặt",G191&gt;='THAM SO'!$B$11),"Tiền mặt ≥ ngưỡng: rủi ro loại khấu trừ GTGT/chi phí",IF(AND(D191="Thanh toán",F191=""),"Thiếu hình thức TT","")))</f>
        <v/>
      </c>
      <c r="J191" s="120" t="n"/>
    </row>
    <row r="192" ht="15" customHeight="1" s="64">
      <c r="A192" s="119" t="n"/>
      <c r="B192" s="120" t="n"/>
      <c r="C192" s="116">
        <f>IF(B192="","",IFERROR(INDEX('SO HOP DONG'!$H$9:$H$308,MATCH(B192,'SO HOP DONG'!$B$9:$B$308,0)),"Số HĐ không có trong sổ"))</f>
        <v/>
      </c>
      <c r="D192" s="120" t="n"/>
      <c r="E192" s="120" t="n"/>
      <c r="F192" s="120" t="n"/>
      <c r="G192" s="121" t="n"/>
      <c r="H192" s="120" t="n"/>
      <c r="I192" s="116">
        <f>IF(B192="","",IF(AND(D192="Thanh toán",F192="Tiền mặt",G192&gt;='THAM SO'!$B$11),"Tiền mặt ≥ ngưỡng: rủi ro loại khấu trừ GTGT/chi phí",IF(AND(D192="Thanh toán",F192=""),"Thiếu hình thức TT","")))</f>
        <v/>
      </c>
      <c r="J192" s="120" t="n"/>
    </row>
    <row r="193" ht="15" customHeight="1" s="64">
      <c r="A193" s="119" t="n"/>
      <c r="B193" s="120" t="n"/>
      <c r="C193" s="116">
        <f>IF(B193="","",IFERROR(INDEX('SO HOP DONG'!$H$9:$H$308,MATCH(B193,'SO HOP DONG'!$B$9:$B$308,0)),"Số HĐ không có trong sổ"))</f>
        <v/>
      </c>
      <c r="D193" s="120" t="n"/>
      <c r="E193" s="120" t="n"/>
      <c r="F193" s="120" t="n"/>
      <c r="G193" s="121" t="n"/>
      <c r="H193" s="120" t="n"/>
      <c r="I193" s="116">
        <f>IF(B193="","",IF(AND(D193="Thanh toán",F193="Tiền mặt",G193&gt;='THAM SO'!$B$11),"Tiền mặt ≥ ngưỡng: rủi ro loại khấu trừ GTGT/chi phí",IF(AND(D193="Thanh toán",F193=""),"Thiếu hình thức TT","")))</f>
        <v/>
      </c>
      <c r="J193" s="120" t="n"/>
    </row>
    <row r="194" ht="15" customHeight="1" s="64">
      <c r="A194" s="119" t="n"/>
      <c r="B194" s="120" t="n"/>
      <c r="C194" s="116">
        <f>IF(B194="","",IFERROR(INDEX('SO HOP DONG'!$H$9:$H$308,MATCH(B194,'SO HOP DONG'!$B$9:$B$308,0)),"Số HĐ không có trong sổ"))</f>
        <v/>
      </c>
      <c r="D194" s="120" t="n"/>
      <c r="E194" s="120" t="n"/>
      <c r="F194" s="120" t="n"/>
      <c r="G194" s="121" t="n"/>
      <c r="H194" s="120" t="n"/>
      <c r="I194" s="116">
        <f>IF(B194="","",IF(AND(D194="Thanh toán",F194="Tiền mặt",G194&gt;='THAM SO'!$B$11),"Tiền mặt ≥ ngưỡng: rủi ro loại khấu trừ GTGT/chi phí",IF(AND(D194="Thanh toán",F194=""),"Thiếu hình thức TT","")))</f>
        <v/>
      </c>
      <c r="J194" s="120" t="n"/>
    </row>
    <row r="195" ht="15" customHeight="1" s="64">
      <c r="A195" s="119" t="n"/>
      <c r="B195" s="120" t="n"/>
      <c r="C195" s="116">
        <f>IF(B195="","",IFERROR(INDEX('SO HOP DONG'!$H$9:$H$308,MATCH(B195,'SO HOP DONG'!$B$9:$B$308,0)),"Số HĐ không có trong sổ"))</f>
        <v/>
      </c>
      <c r="D195" s="120" t="n"/>
      <c r="E195" s="120" t="n"/>
      <c r="F195" s="120" t="n"/>
      <c r="G195" s="121" t="n"/>
      <c r="H195" s="120" t="n"/>
      <c r="I195" s="116">
        <f>IF(B195="","",IF(AND(D195="Thanh toán",F195="Tiền mặt",G195&gt;='THAM SO'!$B$11),"Tiền mặt ≥ ngưỡng: rủi ro loại khấu trừ GTGT/chi phí",IF(AND(D195="Thanh toán",F195=""),"Thiếu hình thức TT","")))</f>
        <v/>
      </c>
      <c r="J195" s="120" t="n"/>
    </row>
    <row r="196" ht="15" customHeight="1" s="64">
      <c r="A196" s="119" t="n"/>
      <c r="B196" s="120" t="n"/>
      <c r="C196" s="116">
        <f>IF(B196="","",IFERROR(INDEX('SO HOP DONG'!$H$9:$H$308,MATCH(B196,'SO HOP DONG'!$B$9:$B$308,0)),"Số HĐ không có trong sổ"))</f>
        <v/>
      </c>
      <c r="D196" s="120" t="n"/>
      <c r="E196" s="120" t="n"/>
      <c r="F196" s="120" t="n"/>
      <c r="G196" s="121" t="n"/>
      <c r="H196" s="120" t="n"/>
      <c r="I196" s="116">
        <f>IF(B196="","",IF(AND(D196="Thanh toán",F196="Tiền mặt",G196&gt;='THAM SO'!$B$11),"Tiền mặt ≥ ngưỡng: rủi ro loại khấu trừ GTGT/chi phí",IF(AND(D196="Thanh toán",F196=""),"Thiếu hình thức TT","")))</f>
        <v/>
      </c>
      <c r="J196" s="120" t="n"/>
    </row>
    <row r="197" ht="15" customHeight="1" s="64">
      <c r="A197" s="119" t="n"/>
      <c r="B197" s="120" t="n"/>
      <c r="C197" s="116">
        <f>IF(B197="","",IFERROR(INDEX('SO HOP DONG'!$H$9:$H$308,MATCH(B197,'SO HOP DONG'!$B$9:$B$308,0)),"Số HĐ không có trong sổ"))</f>
        <v/>
      </c>
      <c r="D197" s="120" t="n"/>
      <c r="E197" s="120" t="n"/>
      <c r="F197" s="120" t="n"/>
      <c r="G197" s="121" t="n"/>
      <c r="H197" s="120" t="n"/>
      <c r="I197" s="116">
        <f>IF(B197="","",IF(AND(D197="Thanh toán",F197="Tiền mặt",G197&gt;='THAM SO'!$B$11),"Tiền mặt ≥ ngưỡng: rủi ro loại khấu trừ GTGT/chi phí",IF(AND(D197="Thanh toán",F197=""),"Thiếu hình thức TT","")))</f>
        <v/>
      </c>
      <c r="J197" s="120" t="n"/>
    </row>
    <row r="198" ht="15" customHeight="1" s="64">
      <c r="A198" s="119" t="n"/>
      <c r="B198" s="120" t="n"/>
      <c r="C198" s="116">
        <f>IF(B198="","",IFERROR(INDEX('SO HOP DONG'!$H$9:$H$308,MATCH(B198,'SO HOP DONG'!$B$9:$B$308,0)),"Số HĐ không có trong sổ"))</f>
        <v/>
      </c>
      <c r="D198" s="120" t="n"/>
      <c r="E198" s="120" t="n"/>
      <c r="F198" s="120" t="n"/>
      <c r="G198" s="121" t="n"/>
      <c r="H198" s="120" t="n"/>
      <c r="I198" s="116">
        <f>IF(B198="","",IF(AND(D198="Thanh toán",F198="Tiền mặt",G198&gt;='THAM SO'!$B$11),"Tiền mặt ≥ ngưỡng: rủi ro loại khấu trừ GTGT/chi phí",IF(AND(D198="Thanh toán",F198=""),"Thiếu hình thức TT","")))</f>
        <v/>
      </c>
      <c r="J198" s="120" t="n"/>
    </row>
    <row r="199" ht="15" customHeight="1" s="64">
      <c r="A199" s="119" t="n"/>
      <c r="B199" s="120" t="n"/>
      <c r="C199" s="116">
        <f>IF(B199="","",IFERROR(INDEX('SO HOP DONG'!$H$9:$H$308,MATCH(B199,'SO HOP DONG'!$B$9:$B$308,0)),"Số HĐ không có trong sổ"))</f>
        <v/>
      </c>
      <c r="D199" s="120" t="n"/>
      <c r="E199" s="120" t="n"/>
      <c r="F199" s="120" t="n"/>
      <c r="G199" s="121" t="n"/>
      <c r="H199" s="120" t="n"/>
      <c r="I199" s="116">
        <f>IF(B199="","",IF(AND(D199="Thanh toán",F199="Tiền mặt",G199&gt;='THAM SO'!$B$11),"Tiền mặt ≥ ngưỡng: rủi ro loại khấu trừ GTGT/chi phí",IF(AND(D199="Thanh toán",F199=""),"Thiếu hình thức TT","")))</f>
        <v/>
      </c>
      <c r="J199" s="120" t="n"/>
    </row>
    <row r="200" ht="15" customHeight="1" s="64">
      <c r="A200" s="119" t="n"/>
      <c r="B200" s="120" t="n"/>
      <c r="C200" s="116">
        <f>IF(B200="","",IFERROR(INDEX('SO HOP DONG'!$H$9:$H$308,MATCH(B200,'SO HOP DONG'!$B$9:$B$308,0)),"Số HĐ không có trong sổ"))</f>
        <v/>
      </c>
      <c r="D200" s="120" t="n"/>
      <c r="E200" s="120" t="n"/>
      <c r="F200" s="120" t="n"/>
      <c r="G200" s="121" t="n"/>
      <c r="H200" s="120" t="n"/>
      <c r="I200" s="116">
        <f>IF(B200="","",IF(AND(D200="Thanh toán",F200="Tiền mặt",G200&gt;='THAM SO'!$B$11),"Tiền mặt ≥ ngưỡng: rủi ro loại khấu trừ GTGT/chi phí",IF(AND(D200="Thanh toán",F200=""),"Thiếu hình thức TT","")))</f>
        <v/>
      </c>
      <c r="J200" s="120" t="n"/>
    </row>
    <row r="201" ht="15" customHeight="1" s="64">
      <c r="A201" s="119" t="n"/>
      <c r="B201" s="120" t="n"/>
      <c r="C201" s="116">
        <f>IF(B201="","",IFERROR(INDEX('SO HOP DONG'!$H$9:$H$308,MATCH(B201,'SO HOP DONG'!$B$9:$B$308,0)),"Số HĐ không có trong sổ"))</f>
        <v/>
      </c>
      <c r="D201" s="120" t="n"/>
      <c r="E201" s="120" t="n"/>
      <c r="F201" s="120" t="n"/>
      <c r="G201" s="121" t="n"/>
      <c r="H201" s="120" t="n"/>
      <c r="I201" s="116">
        <f>IF(B201="","",IF(AND(D201="Thanh toán",F201="Tiền mặt",G201&gt;='THAM SO'!$B$11),"Tiền mặt ≥ ngưỡng: rủi ro loại khấu trừ GTGT/chi phí",IF(AND(D201="Thanh toán",F201=""),"Thiếu hình thức TT","")))</f>
        <v/>
      </c>
      <c r="J201" s="120" t="n"/>
    </row>
    <row r="202" ht="15" customHeight="1" s="64">
      <c r="A202" s="119" t="n"/>
      <c r="B202" s="120" t="n"/>
      <c r="C202" s="116">
        <f>IF(B202="","",IFERROR(INDEX('SO HOP DONG'!$H$9:$H$308,MATCH(B202,'SO HOP DONG'!$B$9:$B$308,0)),"Số HĐ không có trong sổ"))</f>
        <v/>
      </c>
      <c r="D202" s="120" t="n"/>
      <c r="E202" s="120" t="n"/>
      <c r="F202" s="120" t="n"/>
      <c r="G202" s="121" t="n"/>
      <c r="H202" s="120" t="n"/>
      <c r="I202" s="116">
        <f>IF(B202="","",IF(AND(D202="Thanh toán",F202="Tiền mặt",G202&gt;='THAM SO'!$B$11),"Tiền mặt ≥ ngưỡng: rủi ro loại khấu trừ GTGT/chi phí",IF(AND(D202="Thanh toán",F202=""),"Thiếu hình thức TT","")))</f>
        <v/>
      </c>
      <c r="J202" s="120" t="n"/>
    </row>
    <row r="203" ht="15" customHeight="1" s="64">
      <c r="A203" s="119" t="n"/>
      <c r="B203" s="120" t="n"/>
      <c r="C203" s="116">
        <f>IF(B203="","",IFERROR(INDEX('SO HOP DONG'!$H$9:$H$308,MATCH(B203,'SO HOP DONG'!$B$9:$B$308,0)),"Số HĐ không có trong sổ"))</f>
        <v/>
      </c>
      <c r="D203" s="120" t="n"/>
      <c r="E203" s="120" t="n"/>
      <c r="F203" s="120" t="n"/>
      <c r="G203" s="121" t="n"/>
      <c r="H203" s="120" t="n"/>
      <c r="I203" s="116">
        <f>IF(B203="","",IF(AND(D203="Thanh toán",F203="Tiền mặt",G203&gt;='THAM SO'!$B$11),"Tiền mặt ≥ ngưỡng: rủi ro loại khấu trừ GTGT/chi phí",IF(AND(D203="Thanh toán",F203=""),"Thiếu hình thức TT","")))</f>
        <v/>
      </c>
      <c r="J203" s="120" t="n"/>
    </row>
    <row r="204" ht="15" customHeight="1" s="64">
      <c r="A204" s="119" t="n"/>
      <c r="B204" s="120" t="n"/>
      <c r="C204" s="116">
        <f>IF(B204="","",IFERROR(INDEX('SO HOP DONG'!$H$9:$H$308,MATCH(B204,'SO HOP DONG'!$B$9:$B$308,0)),"Số HĐ không có trong sổ"))</f>
        <v/>
      </c>
      <c r="D204" s="120" t="n"/>
      <c r="E204" s="120" t="n"/>
      <c r="F204" s="120" t="n"/>
      <c r="G204" s="121" t="n"/>
      <c r="H204" s="120" t="n"/>
      <c r="I204" s="116">
        <f>IF(B204="","",IF(AND(D204="Thanh toán",F204="Tiền mặt",G204&gt;='THAM SO'!$B$11),"Tiền mặt ≥ ngưỡng: rủi ro loại khấu trừ GTGT/chi phí",IF(AND(D204="Thanh toán",F204=""),"Thiếu hình thức TT","")))</f>
        <v/>
      </c>
      <c r="J204" s="120" t="n"/>
    </row>
    <row r="205" ht="15" customHeight="1" s="64">
      <c r="A205" s="119" t="n"/>
      <c r="B205" s="120" t="n"/>
      <c r="C205" s="116">
        <f>IF(B205="","",IFERROR(INDEX('SO HOP DONG'!$H$9:$H$308,MATCH(B205,'SO HOP DONG'!$B$9:$B$308,0)),"Số HĐ không có trong sổ"))</f>
        <v/>
      </c>
      <c r="D205" s="120" t="n"/>
      <c r="E205" s="120" t="n"/>
      <c r="F205" s="120" t="n"/>
      <c r="G205" s="121" t="n"/>
      <c r="H205" s="120" t="n"/>
      <c r="I205" s="116">
        <f>IF(B205="","",IF(AND(D205="Thanh toán",F205="Tiền mặt",G205&gt;='THAM SO'!$B$11),"Tiền mặt ≥ ngưỡng: rủi ro loại khấu trừ GTGT/chi phí",IF(AND(D205="Thanh toán",F205=""),"Thiếu hình thức TT","")))</f>
        <v/>
      </c>
      <c r="J205" s="120" t="n"/>
    </row>
    <row r="206" ht="15" customHeight="1" s="64">
      <c r="A206" s="119" t="n"/>
      <c r="B206" s="120" t="n"/>
      <c r="C206" s="116">
        <f>IF(B206="","",IFERROR(INDEX('SO HOP DONG'!$H$9:$H$308,MATCH(B206,'SO HOP DONG'!$B$9:$B$308,0)),"Số HĐ không có trong sổ"))</f>
        <v/>
      </c>
      <c r="D206" s="120" t="n"/>
      <c r="E206" s="120" t="n"/>
      <c r="F206" s="120" t="n"/>
      <c r="G206" s="121" t="n"/>
      <c r="H206" s="120" t="n"/>
      <c r="I206" s="116">
        <f>IF(B206="","",IF(AND(D206="Thanh toán",F206="Tiền mặt",G206&gt;='THAM SO'!$B$11),"Tiền mặt ≥ ngưỡng: rủi ro loại khấu trừ GTGT/chi phí",IF(AND(D206="Thanh toán",F206=""),"Thiếu hình thức TT","")))</f>
        <v/>
      </c>
      <c r="J206" s="120" t="n"/>
    </row>
    <row r="207" ht="15" customHeight="1" s="64">
      <c r="A207" s="119" t="n"/>
      <c r="B207" s="120" t="n"/>
      <c r="C207" s="116">
        <f>IF(B207="","",IFERROR(INDEX('SO HOP DONG'!$H$9:$H$308,MATCH(B207,'SO HOP DONG'!$B$9:$B$308,0)),"Số HĐ không có trong sổ"))</f>
        <v/>
      </c>
      <c r="D207" s="120" t="n"/>
      <c r="E207" s="120" t="n"/>
      <c r="F207" s="120" t="n"/>
      <c r="G207" s="121" t="n"/>
      <c r="H207" s="120" t="n"/>
      <c r="I207" s="116">
        <f>IF(B207="","",IF(AND(D207="Thanh toán",F207="Tiền mặt",G207&gt;='THAM SO'!$B$11),"Tiền mặt ≥ ngưỡng: rủi ro loại khấu trừ GTGT/chi phí",IF(AND(D207="Thanh toán",F207=""),"Thiếu hình thức TT","")))</f>
        <v/>
      </c>
      <c r="J207" s="120" t="n"/>
    </row>
    <row r="208" ht="15" customHeight="1" s="64">
      <c r="A208" s="119" t="n"/>
      <c r="B208" s="120" t="n"/>
      <c r="C208" s="116">
        <f>IF(B208="","",IFERROR(INDEX('SO HOP DONG'!$H$9:$H$308,MATCH(B208,'SO HOP DONG'!$B$9:$B$308,0)),"Số HĐ không có trong sổ"))</f>
        <v/>
      </c>
      <c r="D208" s="120" t="n"/>
      <c r="E208" s="120" t="n"/>
      <c r="F208" s="120" t="n"/>
      <c r="G208" s="121" t="n"/>
      <c r="H208" s="120" t="n"/>
      <c r="I208" s="116">
        <f>IF(B208="","",IF(AND(D208="Thanh toán",F208="Tiền mặt",G208&gt;='THAM SO'!$B$11),"Tiền mặt ≥ ngưỡng: rủi ro loại khấu trừ GTGT/chi phí",IF(AND(D208="Thanh toán",F208=""),"Thiếu hình thức TT","")))</f>
        <v/>
      </c>
      <c r="J208" s="120" t="n"/>
    </row>
    <row r="209" ht="15" customHeight="1" s="64">
      <c r="A209" s="119" t="n"/>
      <c r="B209" s="120" t="n"/>
      <c r="C209" s="116">
        <f>IF(B209="","",IFERROR(INDEX('SO HOP DONG'!$H$9:$H$308,MATCH(B209,'SO HOP DONG'!$B$9:$B$308,0)),"Số HĐ không có trong sổ"))</f>
        <v/>
      </c>
      <c r="D209" s="120" t="n"/>
      <c r="E209" s="120" t="n"/>
      <c r="F209" s="120" t="n"/>
      <c r="G209" s="121" t="n"/>
      <c r="H209" s="120" t="n"/>
      <c r="I209" s="116">
        <f>IF(B209="","",IF(AND(D209="Thanh toán",F209="Tiền mặt",G209&gt;='THAM SO'!$B$11),"Tiền mặt ≥ ngưỡng: rủi ro loại khấu trừ GTGT/chi phí",IF(AND(D209="Thanh toán",F209=""),"Thiếu hình thức TT","")))</f>
        <v/>
      </c>
      <c r="J209" s="120" t="n"/>
    </row>
    <row r="210" ht="15" customHeight="1" s="64">
      <c r="A210" s="119" t="n"/>
      <c r="B210" s="120" t="n"/>
      <c r="C210" s="116">
        <f>IF(B210="","",IFERROR(INDEX('SO HOP DONG'!$H$9:$H$308,MATCH(B210,'SO HOP DONG'!$B$9:$B$308,0)),"Số HĐ không có trong sổ"))</f>
        <v/>
      </c>
      <c r="D210" s="120" t="n"/>
      <c r="E210" s="120" t="n"/>
      <c r="F210" s="120" t="n"/>
      <c r="G210" s="121" t="n"/>
      <c r="H210" s="120" t="n"/>
      <c r="I210" s="116">
        <f>IF(B210="","",IF(AND(D210="Thanh toán",F210="Tiền mặt",G210&gt;='THAM SO'!$B$11),"Tiền mặt ≥ ngưỡng: rủi ro loại khấu trừ GTGT/chi phí",IF(AND(D210="Thanh toán",F210=""),"Thiếu hình thức TT","")))</f>
        <v/>
      </c>
      <c r="J210" s="120" t="n"/>
    </row>
    <row r="211" ht="15" customHeight="1" s="64">
      <c r="A211" s="119" t="n"/>
      <c r="B211" s="120" t="n"/>
      <c r="C211" s="116">
        <f>IF(B211="","",IFERROR(INDEX('SO HOP DONG'!$H$9:$H$308,MATCH(B211,'SO HOP DONG'!$B$9:$B$308,0)),"Số HĐ không có trong sổ"))</f>
        <v/>
      </c>
      <c r="D211" s="120" t="n"/>
      <c r="E211" s="120" t="n"/>
      <c r="F211" s="120" t="n"/>
      <c r="G211" s="121" t="n"/>
      <c r="H211" s="120" t="n"/>
      <c r="I211" s="116">
        <f>IF(B211="","",IF(AND(D211="Thanh toán",F211="Tiền mặt",G211&gt;='THAM SO'!$B$11),"Tiền mặt ≥ ngưỡng: rủi ro loại khấu trừ GTGT/chi phí",IF(AND(D211="Thanh toán",F211=""),"Thiếu hình thức TT","")))</f>
        <v/>
      </c>
      <c r="J211" s="120" t="n"/>
    </row>
    <row r="212" ht="15" customHeight="1" s="64">
      <c r="A212" s="119" t="n"/>
      <c r="B212" s="120" t="n"/>
      <c r="C212" s="116">
        <f>IF(B212="","",IFERROR(INDEX('SO HOP DONG'!$H$9:$H$308,MATCH(B212,'SO HOP DONG'!$B$9:$B$308,0)),"Số HĐ không có trong sổ"))</f>
        <v/>
      </c>
      <c r="D212" s="120" t="n"/>
      <c r="E212" s="120" t="n"/>
      <c r="F212" s="120" t="n"/>
      <c r="G212" s="121" t="n"/>
      <c r="H212" s="120" t="n"/>
      <c r="I212" s="116">
        <f>IF(B212="","",IF(AND(D212="Thanh toán",F212="Tiền mặt",G212&gt;='THAM SO'!$B$11),"Tiền mặt ≥ ngưỡng: rủi ro loại khấu trừ GTGT/chi phí",IF(AND(D212="Thanh toán",F212=""),"Thiếu hình thức TT","")))</f>
        <v/>
      </c>
      <c r="J212" s="120" t="n"/>
    </row>
    <row r="213" ht="15" customHeight="1" s="64">
      <c r="A213" s="119" t="n"/>
      <c r="B213" s="120" t="n"/>
      <c r="C213" s="116">
        <f>IF(B213="","",IFERROR(INDEX('SO HOP DONG'!$H$9:$H$308,MATCH(B213,'SO HOP DONG'!$B$9:$B$308,0)),"Số HĐ không có trong sổ"))</f>
        <v/>
      </c>
      <c r="D213" s="120" t="n"/>
      <c r="E213" s="120" t="n"/>
      <c r="F213" s="120" t="n"/>
      <c r="G213" s="121" t="n"/>
      <c r="H213" s="120" t="n"/>
      <c r="I213" s="116">
        <f>IF(B213="","",IF(AND(D213="Thanh toán",F213="Tiền mặt",G213&gt;='THAM SO'!$B$11),"Tiền mặt ≥ ngưỡng: rủi ro loại khấu trừ GTGT/chi phí",IF(AND(D213="Thanh toán",F213=""),"Thiếu hình thức TT","")))</f>
        <v/>
      </c>
      <c r="J213" s="120" t="n"/>
    </row>
    <row r="214" ht="15" customHeight="1" s="64">
      <c r="A214" s="119" t="n"/>
      <c r="B214" s="120" t="n"/>
      <c r="C214" s="116">
        <f>IF(B214="","",IFERROR(INDEX('SO HOP DONG'!$H$9:$H$308,MATCH(B214,'SO HOP DONG'!$B$9:$B$308,0)),"Số HĐ không có trong sổ"))</f>
        <v/>
      </c>
      <c r="D214" s="120" t="n"/>
      <c r="E214" s="120" t="n"/>
      <c r="F214" s="120" t="n"/>
      <c r="G214" s="121" t="n"/>
      <c r="H214" s="120" t="n"/>
      <c r="I214" s="116">
        <f>IF(B214="","",IF(AND(D214="Thanh toán",F214="Tiền mặt",G214&gt;='THAM SO'!$B$11),"Tiền mặt ≥ ngưỡng: rủi ro loại khấu trừ GTGT/chi phí",IF(AND(D214="Thanh toán",F214=""),"Thiếu hình thức TT","")))</f>
        <v/>
      </c>
      <c r="J214" s="120" t="n"/>
    </row>
    <row r="215" ht="15" customHeight="1" s="64">
      <c r="A215" s="119" t="n"/>
      <c r="B215" s="120" t="n"/>
      <c r="C215" s="116">
        <f>IF(B215="","",IFERROR(INDEX('SO HOP DONG'!$H$9:$H$308,MATCH(B215,'SO HOP DONG'!$B$9:$B$308,0)),"Số HĐ không có trong sổ"))</f>
        <v/>
      </c>
      <c r="D215" s="120" t="n"/>
      <c r="E215" s="120" t="n"/>
      <c r="F215" s="120" t="n"/>
      <c r="G215" s="121" t="n"/>
      <c r="H215" s="120" t="n"/>
      <c r="I215" s="116">
        <f>IF(B215="","",IF(AND(D215="Thanh toán",F215="Tiền mặt",G215&gt;='THAM SO'!$B$11),"Tiền mặt ≥ ngưỡng: rủi ro loại khấu trừ GTGT/chi phí",IF(AND(D215="Thanh toán",F215=""),"Thiếu hình thức TT","")))</f>
        <v/>
      </c>
      <c r="J215" s="120" t="n"/>
    </row>
    <row r="216" ht="15" customHeight="1" s="64">
      <c r="A216" s="119" t="n"/>
      <c r="B216" s="120" t="n"/>
      <c r="C216" s="116">
        <f>IF(B216="","",IFERROR(INDEX('SO HOP DONG'!$H$9:$H$308,MATCH(B216,'SO HOP DONG'!$B$9:$B$308,0)),"Số HĐ không có trong sổ"))</f>
        <v/>
      </c>
      <c r="D216" s="120" t="n"/>
      <c r="E216" s="120" t="n"/>
      <c r="F216" s="120" t="n"/>
      <c r="G216" s="121" t="n"/>
      <c r="H216" s="120" t="n"/>
      <c r="I216" s="116">
        <f>IF(B216="","",IF(AND(D216="Thanh toán",F216="Tiền mặt",G216&gt;='THAM SO'!$B$11),"Tiền mặt ≥ ngưỡng: rủi ro loại khấu trừ GTGT/chi phí",IF(AND(D216="Thanh toán",F216=""),"Thiếu hình thức TT","")))</f>
        <v/>
      </c>
      <c r="J216" s="120" t="n"/>
    </row>
    <row r="217" ht="15" customHeight="1" s="64">
      <c r="A217" s="119" t="n"/>
      <c r="B217" s="120" t="n"/>
      <c r="C217" s="116">
        <f>IF(B217="","",IFERROR(INDEX('SO HOP DONG'!$H$9:$H$308,MATCH(B217,'SO HOP DONG'!$B$9:$B$308,0)),"Số HĐ không có trong sổ"))</f>
        <v/>
      </c>
      <c r="D217" s="120" t="n"/>
      <c r="E217" s="120" t="n"/>
      <c r="F217" s="120" t="n"/>
      <c r="G217" s="121" t="n"/>
      <c r="H217" s="120" t="n"/>
      <c r="I217" s="116">
        <f>IF(B217="","",IF(AND(D217="Thanh toán",F217="Tiền mặt",G217&gt;='THAM SO'!$B$11),"Tiền mặt ≥ ngưỡng: rủi ro loại khấu trừ GTGT/chi phí",IF(AND(D217="Thanh toán",F217=""),"Thiếu hình thức TT","")))</f>
        <v/>
      </c>
      <c r="J217" s="120" t="n"/>
    </row>
    <row r="218" ht="15" customHeight="1" s="64">
      <c r="A218" s="119" t="n"/>
      <c r="B218" s="120" t="n"/>
      <c r="C218" s="116">
        <f>IF(B218="","",IFERROR(INDEX('SO HOP DONG'!$H$9:$H$308,MATCH(B218,'SO HOP DONG'!$B$9:$B$308,0)),"Số HĐ không có trong sổ"))</f>
        <v/>
      </c>
      <c r="D218" s="120" t="n"/>
      <c r="E218" s="120" t="n"/>
      <c r="F218" s="120" t="n"/>
      <c r="G218" s="121" t="n"/>
      <c r="H218" s="120" t="n"/>
      <c r="I218" s="116">
        <f>IF(B218="","",IF(AND(D218="Thanh toán",F218="Tiền mặt",G218&gt;='THAM SO'!$B$11),"Tiền mặt ≥ ngưỡng: rủi ro loại khấu trừ GTGT/chi phí",IF(AND(D218="Thanh toán",F218=""),"Thiếu hình thức TT","")))</f>
        <v/>
      </c>
      <c r="J218" s="120" t="n"/>
    </row>
    <row r="219" ht="15" customHeight="1" s="64">
      <c r="A219" s="119" t="n"/>
      <c r="B219" s="120" t="n"/>
      <c r="C219" s="116">
        <f>IF(B219="","",IFERROR(INDEX('SO HOP DONG'!$H$9:$H$308,MATCH(B219,'SO HOP DONG'!$B$9:$B$308,0)),"Số HĐ không có trong sổ"))</f>
        <v/>
      </c>
      <c r="D219" s="120" t="n"/>
      <c r="E219" s="120" t="n"/>
      <c r="F219" s="120" t="n"/>
      <c r="G219" s="121" t="n"/>
      <c r="H219" s="120" t="n"/>
      <c r="I219" s="116">
        <f>IF(B219="","",IF(AND(D219="Thanh toán",F219="Tiền mặt",G219&gt;='THAM SO'!$B$11),"Tiền mặt ≥ ngưỡng: rủi ro loại khấu trừ GTGT/chi phí",IF(AND(D219="Thanh toán",F219=""),"Thiếu hình thức TT","")))</f>
        <v/>
      </c>
      <c r="J219" s="120" t="n"/>
    </row>
    <row r="220" ht="15" customHeight="1" s="64">
      <c r="A220" s="119" t="n"/>
      <c r="B220" s="120" t="n"/>
      <c r="C220" s="116">
        <f>IF(B220="","",IFERROR(INDEX('SO HOP DONG'!$H$9:$H$308,MATCH(B220,'SO HOP DONG'!$B$9:$B$308,0)),"Số HĐ không có trong sổ"))</f>
        <v/>
      </c>
      <c r="D220" s="120" t="n"/>
      <c r="E220" s="120" t="n"/>
      <c r="F220" s="120" t="n"/>
      <c r="G220" s="121" t="n"/>
      <c r="H220" s="120" t="n"/>
      <c r="I220" s="116">
        <f>IF(B220="","",IF(AND(D220="Thanh toán",F220="Tiền mặt",G220&gt;='THAM SO'!$B$11),"Tiền mặt ≥ ngưỡng: rủi ro loại khấu trừ GTGT/chi phí",IF(AND(D220="Thanh toán",F220=""),"Thiếu hình thức TT","")))</f>
        <v/>
      </c>
      <c r="J220" s="120" t="n"/>
    </row>
    <row r="221" ht="15" customHeight="1" s="64">
      <c r="A221" s="119" t="n"/>
      <c r="B221" s="120" t="n"/>
      <c r="C221" s="116">
        <f>IF(B221="","",IFERROR(INDEX('SO HOP DONG'!$H$9:$H$308,MATCH(B221,'SO HOP DONG'!$B$9:$B$308,0)),"Số HĐ không có trong sổ"))</f>
        <v/>
      </c>
      <c r="D221" s="120" t="n"/>
      <c r="E221" s="120" t="n"/>
      <c r="F221" s="120" t="n"/>
      <c r="G221" s="121" t="n"/>
      <c r="H221" s="120" t="n"/>
      <c r="I221" s="116">
        <f>IF(B221="","",IF(AND(D221="Thanh toán",F221="Tiền mặt",G221&gt;='THAM SO'!$B$11),"Tiền mặt ≥ ngưỡng: rủi ro loại khấu trừ GTGT/chi phí",IF(AND(D221="Thanh toán",F221=""),"Thiếu hình thức TT","")))</f>
        <v/>
      </c>
      <c r="J221" s="120" t="n"/>
    </row>
    <row r="222" ht="15" customHeight="1" s="64">
      <c r="A222" s="119" t="n"/>
      <c r="B222" s="120" t="n"/>
      <c r="C222" s="116">
        <f>IF(B222="","",IFERROR(INDEX('SO HOP DONG'!$H$9:$H$308,MATCH(B222,'SO HOP DONG'!$B$9:$B$308,0)),"Số HĐ không có trong sổ"))</f>
        <v/>
      </c>
      <c r="D222" s="120" t="n"/>
      <c r="E222" s="120" t="n"/>
      <c r="F222" s="120" t="n"/>
      <c r="G222" s="121" t="n"/>
      <c r="H222" s="120" t="n"/>
      <c r="I222" s="116">
        <f>IF(B222="","",IF(AND(D222="Thanh toán",F222="Tiền mặt",G222&gt;='THAM SO'!$B$11),"Tiền mặt ≥ ngưỡng: rủi ro loại khấu trừ GTGT/chi phí",IF(AND(D222="Thanh toán",F222=""),"Thiếu hình thức TT","")))</f>
        <v/>
      </c>
      <c r="J222" s="120" t="n"/>
    </row>
    <row r="223" ht="15" customHeight="1" s="64">
      <c r="A223" s="119" t="n"/>
      <c r="B223" s="120" t="n"/>
      <c r="C223" s="116">
        <f>IF(B223="","",IFERROR(INDEX('SO HOP DONG'!$H$9:$H$308,MATCH(B223,'SO HOP DONG'!$B$9:$B$308,0)),"Số HĐ không có trong sổ"))</f>
        <v/>
      </c>
      <c r="D223" s="120" t="n"/>
      <c r="E223" s="120" t="n"/>
      <c r="F223" s="120" t="n"/>
      <c r="G223" s="121" t="n"/>
      <c r="H223" s="120" t="n"/>
      <c r="I223" s="116">
        <f>IF(B223="","",IF(AND(D223="Thanh toán",F223="Tiền mặt",G223&gt;='THAM SO'!$B$11),"Tiền mặt ≥ ngưỡng: rủi ro loại khấu trừ GTGT/chi phí",IF(AND(D223="Thanh toán",F223=""),"Thiếu hình thức TT","")))</f>
        <v/>
      </c>
      <c r="J223" s="120" t="n"/>
    </row>
    <row r="224" ht="15" customHeight="1" s="64">
      <c r="A224" s="119" t="n"/>
      <c r="B224" s="120" t="n"/>
      <c r="C224" s="116">
        <f>IF(B224="","",IFERROR(INDEX('SO HOP DONG'!$H$9:$H$308,MATCH(B224,'SO HOP DONG'!$B$9:$B$308,0)),"Số HĐ không có trong sổ"))</f>
        <v/>
      </c>
      <c r="D224" s="120" t="n"/>
      <c r="E224" s="120" t="n"/>
      <c r="F224" s="120" t="n"/>
      <c r="G224" s="121" t="n"/>
      <c r="H224" s="120" t="n"/>
      <c r="I224" s="116">
        <f>IF(B224="","",IF(AND(D224="Thanh toán",F224="Tiền mặt",G224&gt;='THAM SO'!$B$11),"Tiền mặt ≥ ngưỡng: rủi ro loại khấu trừ GTGT/chi phí",IF(AND(D224="Thanh toán",F224=""),"Thiếu hình thức TT","")))</f>
        <v/>
      </c>
      <c r="J224" s="120" t="n"/>
    </row>
    <row r="225" ht="15" customHeight="1" s="64">
      <c r="A225" s="119" t="n"/>
      <c r="B225" s="120" t="n"/>
      <c r="C225" s="116">
        <f>IF(B225="","",IFERROR(INDEX('SO HOP DONG'!$H$9:$H$308,MATCH(B225,'SO HOP DONG'!$B$9:$B$308,0)),"Số HĐ không có trong sổ"))</f>
        <v/>
      </c>
      <c r="D225" s="120" t="n"/>
      <c r="E225" s="120" t="n"/>
      <c r="F225" s="120" t="n"/>
      <c r="G225" s="121" t="n"/>
      <c r="H225" s="120" t="n"/>
      <c r="I225" s="116">
        <f>IF(B225="","",IF(AND(D225="Thanh toán",F225="Tiền mặt",G225&gt;='THAM SO'!$B$11),"Tiền mặt ≥ ngưỡng: rủi ro loại khấu trừ GTGT/chi phí",IF(AND(D225="Thanh toán",F225=""),"Thiếu hình thức TT","")))</f>
        <v/>
      </c>
      <c r="J225" s="120" t="n"/>
    </row>
    <row r="226" ht="15" customHeight="1" s="64">
      <c r="A226" s="119" t="n"/>
      <c r="B226" s="120" t="n"/>
      <c r="C226" s="116">
        <f>IF(B226="","",IFERROR(INDEX('SO HOP DONG'!$H$9:$H$308,MATCH(B226,'SO HOP DONG'!$B$9:$B$308,0)),"Số HĐ không có trong sổ"))</f>
        <v/>
      </c>
      <c r="D226" s="120" t="n"/>
      <c r="E226" s="120" t="n"/>
      <c r="F226" s="120" t="n"/>
      <c r="G226" s="121" t="n"/>
      <c r="H226" s="120" t="n"/>
      <c r="I226" s="116">
        <f>IF(B226="","",IF(AND(D226="Thanh toán",F226="Tiền mặt",G226&gt;='THAM SO'!$B$11),"Tiền mặt ≥ ngưỡng: rủi ro loại khấu trừ GTGT/chi phí",IF(AND(D226="Thanh toán",F226=""),"Thiếu hình thức TT","")))</f>
        <v/>
      </c>
      <c r="J226" s="120" t="n"/>
    </row>
    <row r="227" ht="15" customHeight="1" s="64">
      <c r="A227" s="119" t="n"/>
      <c r="B227" s="120" t="n"/>
      <c r="C227" s="116">
        <f>IF(B227="","",IFERROR(INDEX('SO HOP DONG'!$H$9:$H$308,MATCH(B227,'SO HOP DONG'!$B$9:$B$308,0)),"Số HĐ không có trong sổ"))</f>
        <v/>
      </c>
      <c r="D227" s="120" t="n"/>
      <c r="E227" s="120" t="n"/>
      <c r="F227" s="120" t="n"/>
      <c r="G227" s="121" t="n"/>
      <c r="H227" s="120" t="n"/>
      <c r="I227" s="116">
        <f>IF(B227="","",IF(AND(D227="Thanh toán",F227="Tiền mặt",G227&gt;='THAM SO'!$B$11),"Tiền mặt ≥ ngưỡng: rủi ro loại khấu trừ GTGT/chi phí",IF(AND(D227="Thanh toán",F227=""),"Thiếu hình thức TT","")))</f>
        <v/>
      </c>
      <c r="J227" s="120" t="n"/>
    </row>
    <row r="228" ht="15" customHeight="1" s="64">
      <c r="A228" s="119" t="n"/>
      <c r="B228" s="120" t="n"/>
      <c r="C228" s="116">
        <f>IF(B228="","",IFERROR(INDEX('SO HOP DONG'!$H$9:$H$308,MATCH(B228,'SO HOP DONG'!$B$9:$B$308,0)),"Số HĐ không có trong sổ"))</f>
        <v/>
      </c>
      <c r="D228" s="120" t="n"/>
      <c r="E228" s="120" t="n"/>
      <c r="F228" s="120" t="n"/>
      <c r="G228" s="121" t="n"/>
      <c r="H228" s="120" t="n"/>
      <c r="I228" s="116">
        <f>IF(B228="","",IF(AND(D228="Thanh toán",F228="Tiền mặt",G228&gt;='THAM SO'!$B$11),"Tiền mặt ≥ ngưỡng: rủi ro loại khấu trừ GTGT/chi phí",IF(AND(D228="Thanh toán",F228=""),"Thiếu hình thức TT","")))</f>
        <v/>
      </c>
      <c r="J228" s="120" t="n"/>
    </row>
    <row r="229" ht="15" customHeight="1" s="64">
      <c r="A229" s="119" t="n"/>
      <c r="B229" s="120" t="n"/>
      <c r="C229" s="116">
        <f>IF(B229="","",IFERROR(INDEX('SO HOP DONG'!$H$9:$H$308,MATCH(B229,'SO HOP DONG'!$B$9:$B$308,0)),"Số HĐ không có trong sổ"))</f>
        <v/>
      </c>
      <c r="D229" s="120" t="n"/>
      <c r="E229" s="120" t="n"/>
      <c r="F229" s="120" t="n"/>
      <c r="G229" s="121" t="n"/>
      <c r="H229" s="120" t="n"/>
      <c r="I229" s="116">
        <f>IF(B229="","",IF(AND(D229="Thanh toán",F229="Tiền mặt",G229&gt;='THAM SO'!$B$11),"Tiền mặt ≥ ngưỡng: rủi ro loại khấu trừ GTGT/chi phí",IF(AND(D229="Thanh toán",F229=""),"Thiếu hình thức TT","")))</f>
        <v/>
      </c>
      <c r="J229" s="120" t="n"/>
    </row>
    <row r="230" ht="15" customHeight="1" s="64">
      <c r="A230" s="119" t="n"/>
      <c r="B230" s="120" t="n"/>
      <c r="C230" s="116">
        <f>IF(B230="","",IFERROR(INDEX('SO HOP DONG'!$H$9:$H$308,MATCH(B230,'SO HOP DONG'!$B$9:$B$308,0)),"Số HĐ không có trong sổ"))</f>
        <v/>
      </c>
      <c r="D230" s="120" t="n"/>
      <c r="E230" s="120" t="n"/>
      <c r="F230" s="120" t="n"/>
      <c r="G230" s="121" t="n"/>
      <c r="H230" s="120" t="n"/>
      <c r="I230" s="116">
        <f>IF(B230="","",IF(AND(D230="Thanh toán",F230="Tiền mặt",G230&gt;='THAM SO'!$B$11),"Tiền mặt ≥ ngưỡng: rủi ro loại khấu trừ GTGT/chi phí",IF(AND(D230="Thanh toán",F230=""),"Thiếu hình thức TT","")))</f>
        <v/>
      </c>
      <c r="J230" s="120" t="n"/>
    </row>
    <row r="231" ht="15" customHeight="1" s="64">
      <c r="A231" s="119" t="n"/>
      <c r="B231" s="120" t="n"/>
      <c r="C231" s="116">
        <f>IF(B231="","",IFERROR(INDEX('SO HOP DONG'!$H$9:$H$308,MATCH(B231,'SO HOP DONG'!$B$9:$B$308,0)),"Số HĐ không có trong sổ"))</f>
        <v/>
      </c>
      <c r="D231" s="120" t="n"/>
      <c r="E231" s="120" t="n"/>
      <c r="F231" s="120" t="n"/>
      <c r="G231" s="121" t="n"/>
      <c r="H231" s="120" t="n"/>
      <c r="I231" s="116">
        <f>IF(B231="","",IF(AND(D231="Thanh toán",F231="Tiền mặt",G231&gt;='THAM SO'!$B$11),"Tiền mặt ≥ ngưỡng: rủi ro loại khấu trừ GTGT/chi phí",IF(AND(D231="Thanh toán",F231=""),"Thiếu hình thức TT","")))</f>
        <v/>
      </c>
      <c r="J231" s="120" t="n"/>
    </row>
    <row r="232" ht="15" customHeight="1" s="64">
      <c r="A232" s="119" t="n"/>
      <c r="B232" s="120" t="n"/>
      <c r="C232" s="116">
        <f>IF(B232="","",IFERROR(INDEX('SO HOP DONG'!$H$9:$H$308,MATCH(B232,'SO HOP DONG'!$B$9:$B$308,0)),"Số HĐ không có trong sổ"))</f>
        <v/>
      </c>
      <c r="D232" s="120" t="n"/>
      <c r="E232" s="120" t="n"/>
      <c r="F232" s="120" t="n"/>
      <c r="G232" s="121" t="n"/>
      <c r="H232" s="120" t="n"/>
      <c r="I232" s="116">
        <f>IF(B232="","",IF(AND(D232="Thanh toán",F232="Tiền mặt",G232&gt;='THAM SO'!$B$11),"Tiền mặt ≥ ngưỡng: rủi ro loại khấu trừ GTGT/chi phí",IF(AND(D232="Thanh toán",F232=""),"Thiếu hình thức TT","")))</f>
        <v/>
      </c>
      <c r="J232" s="120" t="n"/>
    </row>
    <row r="233" ht="15" customHeight="1" s="64">
      <c r="A233" s="119" t="n"/>
      <c r="B233" s="120" t="n"/>
      <c r="C233" s="116">
        <f>IF(B233="","",IFERROR(INDEX('SO HOP DONG'!$H$9:$H$308,MATCH(B233,'SO HOP DONG'!$B$9:$B$308,0)),"Số HĐ không có trong sổ"))</f>
        <v/>
      </c>
      <c r="D233" s="120" t="n"/>
      <c r="E233" s="120" t="n"/>
      <c r="F233" s="120" t="n"/>
      <c r="G233" s="121" t="n"/>
      <c r="H233" s="120" t="n"/>
      <c r="I233" s="116">
        <f>IF(B233="","",IF(AND(D233="Thanh toán",F233="Tiền mặt",G233&gt;='THAM SO'!$B$11),"Tiền mặt ≥ ngưỡng: rủi ro loại khấu trừ GTGT/chi phí",IF(AND(D233="Thanh toán",F233=""),"Thiếu hình thức TT","")))</f>
        <v/>
      </c>
      <c r="J233" s="120" t="n"/>
    </row>
    <row r="234" ht="15" customHeight="1" s="64">
      <c r="A234" s="119" t="n"/>
      <c r="B234" s="120" t="n"/>
      <c r="C234" s="116">
        <f>IF(B234="","",IFERROR(INDEX('SO HOP DONG'!$H$9:$H$308,MATCH(B234,'SO HOP DONG'!$B$9:$B$308,0)),"Số HĐ không có trong sổ"))</f>
        <v/>
      </c>
      <c r="D234" s="120" t="n"/>
      <c r="E234" s="120" t="n"/>
      <c r="F234" s="120" t="n"/>
      <c r="G234" s="121" t="n"/>
      <c r="H234" s="120" t="n"/>
      <c r="I234" s="116">
        <f>IF(B234="","",IF(AND(D234="Thanh toán",F234="Tiền mặt",G234&gt;='THAM SO'!$B$11),"Tiền mặt ≥ ngưỡng: rủi ro loại khấu trừ GTGT/chi phí",IF(AND(D234="Thanh toán",F234=""),"Thiếu hình thức TT","")))</f>
        <v/>
      </c>
      <c r="J234" s="120" t="n"/>
    </row>
    <row r="235" ht="15" customHeight="1" s="64">
      <c r="A235" s="119" t="n"/>
      <c r="B235" s="120" t="n"/>
      <c r="C235" s="116">
        <f>IF(B235="","",IFERROR(INDEX('SO HOP DONG'!$H$9:$H$308,MATCH(B235,'SO HOP DONG'!$B$9:$B$308,0)),"Số HĐ không có trong sổ"))</f>
        <v/>
      </c>
      <c r="D235" s="120" t="n"/>
      <c r="E235" s="120" t="n"/>
      <c r="F235" s="120" t="n"/>
      <c r="G235" s="121" t="n"/>
      <c r="H235" s="120" t="n"/>
      <c r="I235" s="116">
        <f>IF(B235="","",IF(AND(D235="Thanh toán",F235="Tiền mặt",G235&gt;='THAM SO'!$B$11),"Tiền mặt ≥ ngưỡng: rủi ro loại khấu trừ GTGT/chi phí",IF(AND(D235="Thanh toán",F235=""),"Thiếu hình thức TT","")))</f>
        <v/>
      </c>
      <c r="J235" s="120" t="n"/>
    </row>
    <row r="236" ht="15" customHeight="1" s="64">
      <c r="A236" s="119" t="n"/>
      <c r="B236" s="120" t="n"/>
      <c r="C236" s="116">
        <f>IF(B236="","",IFERROR(INDEX('SO HOP DONG'!$H$9:$H$308,MATCH(B236,'SO HOP DONG'!$B$9:$B$308,0)),"Số HĐ không có trong sổ"))</f>
        <v/>
      </c>
      <c r="D236" s="120" t="n"/>
      <c r="E236" s="120" t="n"/>
      <c r="F236" s="120" t="n"/>
      <c r="G236" s="121" t="n"/>
      <c r="H236" s="120" t="n"/>
      <c r="I236" s="116">
        <f>IF(B236="","",IF(AND(D236="Thanh toán",F236="Tiền mặt",G236&gt;='THAM SO'!$B$11),"Tiền mặt ≥ ngưỡng: rủi ro loại khấu trừ GTGT/chi phí",IF(AND(D236="Thanh toán",F236=""),"Thiếu hình thức TT","")))</f>
        <v/>
      </c>
      <c r="J236" s="120" t="n"/>
    </row>
    <row r="237" ht="15" customHeight="1" s="64">
      <c r="A237" s="119" t="n"/>
      <c r="B237" s="120" t="n"/>
      <c r="C237" s="116">
        <f>IF(B237="","",IFERROR(INDEX('SO HOP DONG'!$H$9:$H$308,MATCH(B237,'SO HOP DONG'!$B$9:$B$308,0)),"Số HĐ không có trong sổ"))</f>
        <v/>
      </c>
      <c r="D237" s="120" t="n"/>
      <c r="E237" s="120" t="n"/>
      <c r="F237" s="120" t="n"/>
      <c r="G237" s="121" t="n"/>
      <c r="H237" s="120" t="n"/>
      <c r="I237" s="116">
        <f>IF(B237="","",IF(AND(D237="Thanh toán",F237="Tiền mặt",G237&gt;='THAM SO'!$B$11),"Tiền mặt ≥ ngưỡng: rủi ro loại khấu trừ GTGT/chi phí",IF(AND(D237="Thanh toán",F237=""),"Thiếu hình thức TT","")))</f>
        <v/>
      </c>
      <c r="J237" s="120" t="n"/>
    </row>
    <row r="238" ht="15" customHeight="1" s="64">
      <c r="A238" s="119" t="n"/>
      <c r="B238" s="120" t="n"/>
      <c r="C238" s="116">
        <f>IF(B238="","",IFERROR(INDEX('SO HOP DONG'!$H$9:$H$308,MATCH(B238,'SO HOP DONG'!$B$9:$B$308,0)),"Số HĐ không có trong sổ"))</f>
        <v/>
      </c>
      <c r="D238" s="120" t="n"/>
      <c r="E238" s="120" t="n"/>
      <c r="F238" s="120" t="n"/>
      <c r="G238" s="121" t="n"/>
      <c r="H238" s="120" t="n"/>
      <c r="I238" s="116">
        <f>IF(B238="","",IF(AND(D238="Thanh toán",F238="Tiền mặt",G238&gt;='THAM SO'!$B$11),"Tiền mặt ≥ ngưỡng: rủi ro loại khấu trừ GTGT/chi phí",IF(AND(D238="Thanh toán",F238=""),"Thiếu hình thức TT","")))</f>
        <v/>
      </c>
      <c r="J238" s="120" t="n"/>
    </row>
    <row r="239" ht="15" customHeight="1" s="64">
      <c r="A239" s="119" t="n"/>
      <c r="B239" s="120" t="n"/>
      <c r="C239" s="116">
        <f>IF(B239="","",IFERROR(INDEX('SO HOP DONG'!$H$9:$H$308,MATCH(B239,'SO HOP DONG'!$B$9:$B$308,0)),"Số HĐ không có trong sổ"))</f>
        <v/>
      </c>
      <c r="D239" s="120" t="n"/>
      <c r="E239" s="120" t="n"/>
      <c r="F239" s="120" t="n"/>
      <c r="G239" s="121" t="n"/>
      <c r="H239" s="120" t="n"/>
      <c r="I239" s="116">
        <f>IF(B239="","",IF(AND(D239="Thanh toán",F239="Tiền mặt",G239&gt;='THAM SO'!$B$11),"Tiền mặt ≥ ngưỡng: rủi ro loại khấu trừ GTGT/chi phí",IF(AND(D239="Thanh toán",F239=""),"Thiếu hình thức TT","")))</f>
        <v/>
      </c>
      <c r="J239" s="120" t="n"/>
    </row>
    <row r="240" ht="15" customHeight="1" s="64">
      <c r="A240" s="119" t="n"/>
      <c r="B240" s="120" t="n"/>
      <c r="C240" s="116">
        <f>IF(B240="","",IFERROR(INDEX('SO HOP DONG'!$H$9:$H$308,MATCH(B240,'SO HOP DONG'!$B$9:$B$308,0)),"Số HĐ không có trong sổ"))</f>
        <v/>
      </c>
      <c r="D240" s="120" t="n"/>
      <c r="E240" s="120" t="n"/>
      <c r="F240" s="120" t="n"/>
      <c r="G240" s="121" t="n"/>
      <c r="H240" s="120" t="n"/>
      <c r="I240" s="116">
        <f>IF(B240="","",IF(AND(D240="Thanh toán",F240="Tiền mặt",G240&gt;='THAM SO'!$B$11),"Tiền mặt ≥ ngưỡng: rủi ro loại khấu trừ GTGT/chi phí",IF(AND(D240="Thanh toán",F240=""),"Thiếu hình thức TT","")))</f>
        <v/>
      </c>
      <c r="J240" s="120" t="n"/>
    </row>
    <row r="241" ht="15" customHeight="1" s="64">
      <c r="A241" s="119" t="n"/>
      <c r="B241" s="120" t="n"/>
      <c r="C241" s="116">
        <f>IF(B241="","",IFERROR(INDEX('SO HOP DONG'!$H$9:$H$308,MATCH(B241,'SO HOP DONG'!$B$9:$B$308,0)),"Số HĐ không có trong sổ"))</f>
        <v/>
      </c>
      <c r="D241" s="120" t="n"/>
      <c r="E241" s="120" t="n"/>
      <c r="F241" s="120" t="n"/>
      <c r="G241" s="121" t="n"/>
      <c r="H241" s="120" t="n"/>
      <c r="I241" s="116">
        <f>IF(B241="","",IF(AND(D241="Thanh toán",F241="Tiền mặt",G241&gt;='THAM SO'!$B$11),"Tiền mặt ≥ ngưỡng: rủi ro loại khấu trừ GTGT/chi phí",IF(AND(D241="Thanh toán",F241=""),"Thiếu hình thức TT","")))</f>
        <v/>
      </c>
      <c r="J241" s="120" t="n"/>
    </row>
    <row r="242" ht="15" customHeight="1" s="64">
      <c r="A242" s="119" t="n"/>
      <c r="B242" s="120" t="n"/>
      <c r="C242" s="116">
        <f>IF(B242="","",IFERROR(INDEX('SO HOP DONG'!$H$9:$H$308,MATCH(B242,'SO HOP DONG'!$B$9:$B$308,0)),"Số HĐ không có trong sổ"))</f>
        <v/>
      </c>
      <c r="D242" s="120" t="n"/>
      <c r="E242" s="120" t="n"/>
      <c r="F242" s="120" t="n"/>
      <c r="G242" s="121" t="n"/>
      <c r="H242" s="120" t="n"/>
      <c r="I242" s="116">
        <f>IF(B242="","",IF(AND(D242="Thanh toán",F242="Tiền mặt",G242&gt;='THAM SO'!$B$11),"Tiền mặt ≥ ngưỡng: rủi ro loại khấu trừ GTGT/chi phí",IF(AND(D242="Thanh toán",F242=""),"Thiếu hình thức TT","")))</f>
        <v/>
      </c>
      <c r="J242" s="120" t="n"/>
    </row>
    <row r="243" ht="15" customHeight="1" s="64">
      <c r="A243" s="119" t="n"/>
      <c r="B243" s="120" t="n"/>
      <c r="C243" s="116">
        <f>IF(B243="","",IFERROR(INDEX('SO HOP DONG'!$H$9:$H$308,MATCH(B243,'SO HOP DONG'!$B$9:$B$308,0)),"Số HĐ không có trong sổ"))</f>
        <v/>
      </c>
      <c r="D243" s="120" t="n"/>
      <c r="E243" s="120" t="n"/>
      <c r="F243" s="120" t="n"/>
      <c r="G243" s="121" t="n"/>
      <c r="H243" s="120" t="n"/>
      <c r="I243" s="116">
        <f>IF(B243="","",IF(AND(D243="Thanh toán",F243="Tiền mặt",G243&gt;='THAM SO'!$B$11),"Tiền mặt ≥ ngưỡng: rủi ro loại khấu trừ GTGT/chi phí",IF(AND(D243="Thanh toán",F243=""),"Thiếu hình thức TT","")))</f>
        <v/>
      </c>
      <c r="J243" s="120" t="n"/>
    </row>
    <row r="244" ht="15" customHeight="1" s="64">
      <c r="A244" s="119" t="n"/>
      <c r="B244" s="120" t="n"/>
      <c r="C244" s="116">
        <f>IF(B244="","",IFERROR(INDEX('SO HOP DONG'!$H$9:$H$308,MATCH(B244,'SO HOP DONG'!$B$9:$B$308,0)),"Số HĐ không có trong sổ"))</f>
        <v/>
      </c>
      <c r="D244" s="120" t="n"/>
      <c r="E244" s="120" t="n"/>
      <c r="F244" s="120" t="n"/>
      <c r="G244" s="121" t="n"/>
      <c r="H244" s="120" t="n"/>
      <c r="I244" s="116">
        <f>IF(B244="","",IF(AND(D244="Thanh toán",F244="Tiền mặt",G244&gt;='THAM SO'!$B$11),"Tiền mặt ≥ ngưỡng: rủi ro loại khấu trừ GTGT/chi phí",IF(AND(D244="Thanh toán",F244=""),"Thiếu hình thức TT","")))</f>
        <v/>
      </c>
      <c r="J244" s="120" t="n"/>
    </row>
    <row r="245" ht="15" customHeight="1" s="64">
      <c r="A245" s="119" t="n"/>
      <c r="B245" s="120" t="n"/>
      <c r="C245" s="116">
        <f>IF(B245="","",IFERROR(INDEX('SO HOP DONG'!$H$9:$H$308,MATCH(B245,'SO HOP DONG'!$B$9:$B$308,0)),"Số HĐ không có trong sổ"))</f>
        <v/>
      </c>
      <c r="D245" s="120" t="n"/>
      <c r="E245" s="120" t="n"/>
      <c r="F245" s="120" t="n"/>
      <c r="G245" s="121" t="n"/>
      <c r="H245" s="120" t="n"/>
      <c r="I245" s="116">
        <f>IF(B245="","",IF(AND(D245="Thanh toán",F245="Tiền mặt",G245&gt;='THAM SO'!$B$11),"Tiền mặt ≥ ngưỡng: rủi ro loại khấu trừ GTGT/chi phí",IF(AND(D245="Thanh toán",F245=""),"Thiếu hình thức TT","")))</f>
        <v/>
      </c>
      <c r="J245" s="120" t="n"/>
    </row>
    <row r="246" ht="15" customHeight="1" s="64">
      <c r="A246" s="119" t="n"/>
      <c r="B246" s="120" t="n"/>
      <c r="C246" s="116">
        <f>IF(B246="","",IFERROR(INDEX('SO HOP DONG'!$H$9:$H$308,MATCH(B246,'SO HOP DONG'!$B$9:$B$308,0)),"Số HĐ không có trong sổ"))</f>
        <v/>
      </c>
      <c r="D246" s="120" t="n"/>
      <c r="E246" s="120" t="n"/>
      <c r="F246" s="120" t="n"/>
      <c r="G246" s="121" t="n"/>
      <c r="H246" s="120" t="n"/>
      <c r="I246" s="116">
        <f>IF(B246="","",IF(AND(D246="Thanh toán",F246="Tiền mặt",G246&gt;='THAM SO'!$B$11),"Tiền mặt ≥ ngưỡng: rủi ro loại khấu trừ GTGT/chi phí",IF(AND(D246="Thanh toán",F246=""),"Thiếu hình thức TT","")))</f>
        <v/>
      </c>
      <c r="J246" s="120" t="n"/>
    </row>
    <row r="247" ht="15" customHeight="1" s="64">
      <c r="A247" s="119" t="n"/>
      <c r="B247" s="120" t="n"/>
      <c r="C247" s="116">
        <f>IF(B247="","",IFERROR(INDEX('SO HOP DONG'!$H$9:$H$308,MATCH(B247,'SO HOP DONG'!$B$9:$B$308,0)),"Số HĐ không có trong sổ"))</f>
        <v/>
      </c>
      <c r="D247" s="120" t="n"/>
      <c r="E247" s="120" t="n"/>
      <c r="F247" s="120" t="n"/>
      <c r="G247" s="121" t="n"/>
      <c r="H247" s="120" t="n"/>
      <c r="I247" s="116">
        <f>IF(B247="","",IF(AND(D247="Thanh toán",F247="Tiền mặt",G247&gt;='THAM SO'!$B$11),"Tiền mặt ≥ ngưỡng: rủi ro loại khấu trừ GTGT/chi phí",IF(AND(D247="Thanh toán",F247=""),"Thiếu hình thức TT","")))</f>
        <v/>
      </c>
      <c r="J247" s="120" t="n"/>
    </row>
    <row r="248" ht="15" customHeight="1" s="64">
      <c r="A248" s="119" t="n"/>
      <c r="B248" s="120" t="n"/>
      <c r="C248" s="116">
        <f>IF(B248="","",IFERROR(INDEX('SO HOP DONG'!$H$9:$H$308,MATCH(B248,'SO HOP DONG'!$B$9:$B$308,0)),"Số HĐ không có trong sổ"))</f>
        <v/>
      </c>
      <c r="D248" s="120" t="n"/>
      <c r="E248" s="120" t="n"/>
      <c r="F248" s="120" t="n"/>
      <c r="G248" s="121" t="n"/>
      <c r="H248" s="120" t="n"/>
      <c r="I248" s="116">
        <f>IF(B248="","",IF(AND(D248="Thanh toán",F248="Tiền mặt",G248&gt;='THAM SO'!$B$11),"Tiền mặt ≥ ngưỡng: rủi ro loại khấu trừ GTGT/chi phí",IF(AND(D248="Thanh toán",F248=""),"Thiếu hình thức TT","")))</f>
        <v/>
      </c>
      <c r="J248" s="120" t="n"/>
    </row>
    <row r="249" ht="15" customHeight="1" s="64">
      <c r="A249" s="119" t="n"/>
      <c r="B249" s="120" t="n"/>
      <c r="C249" s="116">
        <f>IF(B249="","",IFERROR(INDEX('SO HOP DONG'!$H$9:$H$308,MATCH(B249,'SO HOP DONG'!$B$9:$B$308,0)),"Số HĐ không có trong sổ"))</f>
        <v/>
      </c>
      <c r="D249" s="120" t="n"/>
      <c r="E249" s="120" t="n"/>
      <c r="F249" s="120" t="n"/>
      <c r="G249" s="121" t="n"/>
      <c r="H249" s="120" t="n"/>
      <c r="I249" s="116">
        <f>IF(B249="","",IF(AND(D249="Thanh toán",F249="Tiền mặt",G249&gt;='THAM SO'!$B$11),"Tiền mặt ≥ ngưỡng: rủi ro loại khấu trừ GTGT/chi phí",IF(AND(D249="Thanh toán",F249=""),"Thiếu hình thức TT","")))</f>
        <v/>
      </c>
      <c r="J249" s="120" t="n"/>
    </row>
    <row r="250" ht="15" customHeight="1" s="64">
      <c r="A250" s="119" t="n"/>
      <c r="B250" s="120" t="n"/>
      <c r="C250" s="116">
        <f>IF(B250="","",IFERROR(INDEX('SO HOP DONG'!$H$9:$H$308,MATCH(B250,'SO HOP DONG'!$B$9:$B$308,0)),"Số HĐ không có trong sổ"))</f>
        <v/>
      </c>
      <c r="D250" s="120" t="n"/>
      <c r="E250" s="120" t="n"/>
      <c r="F250" s="120" t="n"/>
      <c r="G250" s="121" t="n"/>
      <c r="H250" s="120" t="n"/>
      <c r="I250" s="116">
        <f>IF(B250="","",IF(AND(D250="Thanh toán",F250="Tiền mặt",G250&gt;='THAM SO'!$B$11),"Tiền mặt ≥ ngưỡng: rủi ro loại khấu trừ GTGT/chi phí",IF(AND(D250="Thanh toán",F250=""),"Thiếu hình thức TT","")))</f>
        <v/>
      </c>
      <c r="J250" s="120" t="n"/>
    </row>
    <row r="251" ht="15" customHeight="1" s="64">
      <c r="A251" s="119" t="n"/>
      <c r="B251" s="120" t="n"/>
      <c r="C251" s="116">
        <f>IF(B251="","",IFERROR(INDEX('SO HOP DONG'!$H$9:$H$308,MATCH(B251,'SO HOP DONG'!$B$9:$B$308,0)),"Số HĐ không có trong sổ"))</f>
        <v/>
      </c>
      <c r="D251" s="120" t="n"/>
      <c r="E251" s="120" t="n"/>
      <c r="F251" s="120" t="n"/>
      <c r="G251" s="121" t="n"/>
      <c r="H251" s="120" t="n"/>
      <c r="I251" s="116">
        <f>IF(B251="","",IF(AND(D251="Thanh toán",F251="Tiền mặt",G251&gt;='THAM SO'!$B$11),"Tiền mặt ≥ ngưỡng: rủi ro loại khấu trừ GTGT/chi phí",IF(AND(D251="Thanh toán",F251=""),"Thiếu hình thức TT","")))</f>
        <v/>
      </c>
      <c r="J251" s="120" t="n"/>
    </row>
    <row r="252" ht="15" customHeight="1" s="64">
      <c r="A252" s="119" t="n"/>
      <c r="B252" s="120" t="n"/>
      <c r="C252" s="116">
        <f>IF(B252="","",IFERROR(INDEX('SO HOP DONG'!$H$9:$H$308,MATCH(B252,'SO HOP DONG'!$B$9:$B$308,0)),"Số HĐ không có trong sổ"))</f>
        <v/>
      </c>
      <c r="D252" s="120" t="n"/>
      <c r="E252" s="120" t="n"/>
      <c r="F252" s="120" t="n"/>
      <c r="G252" s="121" t="n"/>
      <c r="H252" s="120" t="n"/>
      <c r="I252" s="116">
        <f>IF(B252="","",IF(AND(D252="Thanh toán",F252="Tiền mặt",G252&gt;='THAM SO'!$B$11),"Tiền mặt ≥ ngưỡng: rủi ro loại khấu trừ GTGT/chi phí",IF(AND(D252="Thanh toán",F252=""),"Thiếu hình thức TT","")))</f>
        <v/>
      </c>
      <c r="J252" s="120" t="n"/>
    </row>
    <row r="253" ht="15" customHeight="1" s="64">
      <c r="A253" s="119" t="n"/>
      <c r="B253" s="120" t="n"/>
      <c r="C253" s="116">
        <f>IF(B253="","",IFERROR(INDEX('SO HOP DONG'!$H$9:$H$308,MATCH(B253,'SO HOP DONG'!$B$9:$B$308,0)),"Số HĐ không có trong sổ"))</f>
        <v/>
      </c>
      <c r="D253" s="120" t="n"/>
      <c r="E253" s="120" t="n"/>
      <c r="F253" s="120" t="n"/>
      <c r="G253" s="121" t="n"/>
      <c r="H253" s="120" t="n"/>
      <c r="I253" s="116">
        <f>IF(B253="","",IF(AND(D253="Thanh toán",F253="Tiền mặt",G253&gt;='THAM SO'!$B$11),"Tiền mặt ≥ ngưỡng: rủi ro loại khấu trừ GTGT/chi phí",IF(AND(D253="Thanh toán",F253=""),"Thiếu hình thức TT","")))</f>
        <v/>
      </c>
      <c r="J253" s="120" t="n"/>
    </row>
    <row r="254" ht="15" customHeight="1" s="64">
      <c r="A254" s="119" t="n"/>
      <c r="B254" s="120" t="n"/>
      <c r="C254" s="116">
        <f>IF(B254="","",IFERROR(INDEX('SO HOP DONG'!$H$9:$H$308,MATCH(B254,'SO HOP DONG'!$B$9:$B$308,0)),"Số HĐ không có trong sổ"))</f>
        <v/>
      </c>
      <c r="D254" s="120" t="n"/>
      <c r="E254" s="120" t="n"/>
      <c r="F254" s="120" t="n"/>
      <c r="G254" s="121" t="n"/>
      <c r="H254" s="120" t="n"/>
      <c r="I254" s="116">
        <f>IF(B254="","",IF(AND(D254="Thanh toán",F254="Tiền mặt",G254&gt;='THAM SO'!$B$11),"Tiền mặt ≥ ngưỡng: rủi ro loại khấu trừ GTGT/chi phí",IF(AND(D254="Thanh toán",F254=""),"Thiếu hình thức TT","")))</f>
        <v/>
      </c>
      <c r="J254" s="120" t="n"/>
    </row>
    <row r="255" ht="15" customHeight="1" s="64">
      <c r="A255" s="119" t="n"/>
      <c r="B255" s="120" t="n"/>
      <c r="C255" s="116">
        <f>IF(B255="","",IFERROR(INDEX('SO HOP DONG'!$H$9:$H$308,MATCH(B255,'SO HOP DONG'!$B$9:$B$308,0)),"Số HĐ không có trong sổ"))</f>
        <v/>
      </c>
      <c r="D255" s="120" t="n"/>
      <c r="E255" s="120" t="n"/>
      <c r="F255" s="120" t="n"/>
      <c r="G255" s="121" t="n"/>
      <c r="H255" s="120" t="n"/>
      <c r="I255" s="116">
        <f>IF(B255="","",IF(AND(D255="Thanh toán",F255="Tiền mặt",G255&gt;='THAM SO'!$B$11),"Tiền mặt ≥ ngưỡng: rủi ro loại khấu trừ GTGT/chi phí",IF(AND(D255="Thanh toán",F255=""),"Thiếu hình thức TT","")))</f>
        <v/>
      </c>
      <c r="J255" s="120" t="n"/>
    </row>
    <row r="256" ht="15" customHeight="1" s="64">
      <c r="A256" s="119" t="n"/>
      <c r="B256" s="120" t="n"/>
      <c r="C256" s="116">
        <f>IF(B256="","",IFERROR(INDEX('SO HOP DONG'!$H$9:$H$308,MATCH(B256,'SO HOP DONG'!$B$9:$B$308,0)),"Số HĐ không có trong sổ"))</f>
        <v/>
      </c>
      <c r="D256" s="120" t="n"/>
      <c r="E256" s="120" t="n"/>
      <c r="F256" s="120" t="n"/>
      <c r="G256" s="121" t="n"/>
      <c r="H256" s="120" t="n"/>
      <c r="I256" s="116">
        <f>IF(B256="","",IF(AND(D256="Thanh toán",F256="Tiền mặt",G256&gt;='THAM SO'!$B$11),"Tiền mặt ≥ ngưỡng: rủi ro loại khấu trừ GTGT/chi phí",IF(AND(D256="Thanh toán",F256=""),"Thiếu hình thức TT","")))</f>
        <v/>
      </c>
      <c r="J256" s="120" t="n"/>
    </row>
    <row r="257" ht="15" customHeight="1" s="64">
      <c r="A257" s="119" t="n"/>
      <c r="B257" s="120" t="n"/>
      <c r="C257" s="116">
        <f>IF(B257="","",IFERROR(INDEX('SO HOP DONG'!$H$9:$H$308,MATCH(B257,'SO HOP DONG'!$B$9:$B$308,0)),"Số HĐ không có trong sổ"))</f>
        <v/>
      </c>
      <c r="D257" s="120" t="n"/>
      <c r="E257" s="120" t="n"/>
      <c r="F257" s="120" t="n"/>
      <c r="G257" s="121" t="n"/>
      <c r="H257" s="120" t="n"/>
      <c r="I257" s="116">
        <f>IF(B257="","",IF(AND(D257="Thanh toán",F257="Tiền mặt",G257&gt;='THAM SO'!$B$11),"Tiền mặt ≥ ngưỡng: rủi ro loại khấu trừ GTGT/chi phí",IF(AND(D257="Thanh toán",F257=""),"Thiếu hình thức TT","")))</f>
        <v/>
      </c>
      <c r="J257" s="120" t="n"/>
    </row>
    <row r="258" ht="15" customHeight="1" s="64">
      <c r="A258" s="119" t="n"/>
      <c r="B258" s="120" t="n"/>
      <c r="C258" s="116">
        <f>IF(B258="","",IFERROR(INDEX('SO HOP DONG'!$H$9:$H$308,MATCH(B258,'SO HOP DONG'!$B$9:$B$308,0)),"Số HĐ không có trong sổ"))</f>
        <v/>
      </c>
      <c r="D258" s="120" t="n"/>
      <c r="E258" s="120" t="n"/>
      <c r="F258" s="120" t="n"/>
      <c r="G258" s="121" t="n"/>
      <c r="H258" s="120" t="n"/>
      <c r="I258" s="116">
        <f>IF(B258="","",IF(AND(D258="Thanh toán",F258="Tiền mặt",G258&gt;='THAM SO'!$B$11),"Tiền mặt ≥ ngưỡng: rủi ro loại khấu trừ GTGT/chi phí",IF(AND(D258="Thanh toán",F258=""),"Thiếu hình thức TT","")))</f>
        <v/>
      </c>
      <c r="J258" s="120" t="n"/>
    </row>
    <row r="259" ht="15" customHeight="1" s="64">
      <c r="A259" s="119" t="n"/>
      <c r="B259" s="120" t="n"/>
      <c r="C259" s="116">
        <f>IF(B259="","",IFERROR(INDEX('SO HOP DONG'!$H$9:$H$308,MATCH(B259,'SO HOP DONG'!$B$9:$B$308,0)),"Số HĐ không có trong sổ"))</f>
        <v/>
      </c>
      <c r="D259" s="120" t="n"/>
      <c r="E259" s="120" t="n"/>
      <c r="F259" s="120" t="n"/>
      <c r="G259" s="121" t="n"/>
      <c r="H259" s="120" t="n"/>
      <c r="I259" s="116">
        <f>IF(B259="","",IF(AND(D259="Thanh toán",F259="Tiền mặt",G259&gt;='THAM SO'!$B$11),"Tiền mặt ≥ ngưỡng: rủi ro loại khấu trừ GTGT/chi phí",IF(AND(D259="Thanh toán",F259=""),"Thiếu hình thức TT","")))</f>
        <v/>
      </c>
      <c r="J259" s="120" t="n"/>
    </row>
    <row r="260" ht="15" customHeight="1" s="64">
      <c r="A260" s="119" t="n"/>
      <c r="B260" s="120" t="n"/>
      <c r="C260" s="116">
        <f>IF(B260="","",IFERROR(INDEX('SO HOP DONG'!$H$9:$H$308,MATCH(B260,'SO HOP DONG'!$B$9:$B$308,0)),"Số HĐ không có trong sổ"))</f>
        <v/>
      </c>
      <c r="D260" s="120" t="n"/>
      <c r="E260" s="120" t="n"/>
      <c r="F260" s="120" t="n"/>
      <c r="G260" s="121" t="n"/>
      <c r="H260" s="120" t="n"/>
      <c r="I260" s="116">
        <f>IF(B260="","",IF(AND(D260="Thanh toán",F260="Tiền mặt",G260&gt;='THAM SO'!$B$11),"Tiền mặt ≥ ngưỡng: rủi ro loại khấu trừ GTGT/chi phí",IF(AND(D260="Thanh toán",F260=""),"Thiếu hình thức TT","")))</f>
        <v/>
      </c>
      <c r="J260" s="120" t="n"/>
    </row>
    <row r="261" ht="15" customHeight="1" s="64">
      <c r="A261" s="119" t="n"/>
      <c r="B261" s="120" t="n"/>
      <c r="C261" s="116">
        <f>IF(B261="","",IFERROR(INDEX('SO HOP DONG'!$H$9:$H$308,MATCH(B261,'SO HOP DONG'!$B$9:$B$308,0)),"Số HĐ không có trong sổ"))</f>
        <v/>
      </c>
      <c r="D261" s="120" t="n"/>
      <c r="E261" s="120" t="n"/>
      <c r="F261" s="120" t="n"/>
      <c r="G261" s="121" t="n"/>
      <c r="H261" s="120" t="n"/>
      <c r="I261" s="116">
        <f>IF(B261="","",IF(AND(D261="Thanh toán",F261="Tiền mặt",G261&gt;='THAM SO'!$B$11),"Tiền mặt ≥ ngưỡng: rủi ro loại khấu trừ GTGT/chi phí",IF(AND(D261="Thanh toán",F261=""),"Thiếu hình thức TT","")))</f>
        <v/>
      </c>
      <c r="J261" s="120" t="n"/>
    </row>
    <row r="262" ht="15" customHeight="1" s="64">
      <c r="A262" s="119" t="n"/>
      <c r="B262" s="120" t="n"/>
      <c r="C262" s="116">
        <f>IF(B262="","",IFERROR(INDEX('SO HOP DONG'!$H$9:$H$308,MATCH(B262,'SO HOP DONG'!$B$9:$B$308,0)),"Số HĐ không có trong sổ"))</f>
        <v/>
      </c>
      <c r="D262" s="120" t="n"/>
      <c r="E262" s="120" t="n"/>
      <c r="F262" s="120" t="n"/>
      <c r="G262" s="121" t="n"/>
      <c r="H262" s="120" t="n"/>
      <c r="I262" s="116">
        <f>IF(B262="","",IF(AND(D262="Thanh toán",F262="Tiền mặt",G262&gt;='THAM SO'!$B$11),"Tiền mặt ≥ ngưỡng: rủi ro loại khấu trừ GTGT/chi phí",IF(AND(D262="Thanh toán",F262=""),"Thiếu hình thức TT","")))</f>
        <v/>
      </c>
      <c r="J262" s="120" t="n"/>
    </row>
    <row r="263" ht="15" customHeight="1" s="64">
      <c r="A263" s="119" t="n"/>
      <c r="B263" s="120" t="n"/>
      <c r="C263" s="116">
        <f>IF(B263="","",IFERROR(INDEX('SO HOP DONG'!$H$9:$H$308,MATCH(B263,'SO HOP DONG'!$B$9:$B$308,0)),"Số HĐ không có trong sổ"))</f>
        <v/>
      </c>
      <c r="D263" s="120" t="n"/>
      <c r="E263" s="120" t="n"/>
      <c r="F263" s="120" t="n"/>
      <c r="G263" s="121" t="n"/>
      <c r="H263" s="120" t="n"/>
      <c r="I263" s="116">
        <f>IF(B263="","",IF(AND(D263="Thanh toán",F263="Tiền mặt",G263&gt;='THAM SO'!$B$11),"Tiền mặt ≥ ngưỡng: rủi ro loại khấu trừ GTGT/chi phí",IF(AND(D263="Thanh toán",F263=""),"Thiếu hình thức TT","")))</f>
        <v/>
      </c>
      <c r="J263" s="120" t="n"/>
    </row>
    <row r="264" ht="15" customHeight="1" s="64">
      <c r="A264" s="119" t="n"/>
      <c r="B264" s="120" t="n"/>
      <c r="C264" s="116">
        <f>IF(B264="","",IFERROR(INDEX('SO HOP DONG'!$H$9:$H$308,MATCH(B264,'SO HOP DONG'!$B$9:$B$308,0)),"Số HĐ không có trong sổ"))</f>
        <v/>
      </c>
      <c r="D264" s="120" t="n"/>
      <c r="E264" s="120" t="n"/>
      <c r="F264" s="120" t="n"/>
      <c r="G264" s="121" t="n"/>
      <c r="H264" s="120" t="n"/>
      <c r="I264" s="116">
        <f>IF(B264="","",IF(AND(D264="Thanh toán",F264="Tiền mặt",G264&gt;='THAM SO'!$B$11),"Tiền mặt ≥ ngưỡng: rủi ro loại khấu trừ GTGT/chi phí",IF(AND(D264="Thanh toán",F264=""),"Thiếu hình thức TT","")))</f>
        <v/>
      </c>
      <c r="J264" s="120" t="n"/>
    </row>
    <row r="265" ht="15" customHeight="1" s="64">
      <c r="A265" s="119" t="n"/>
      <c r="B265" s="120" t="n"/>
      <c r="C265" s="116">
        <f>IF(B265="","",IFERROR(INDEX('SO HOP DONG'!$H$9:$H$308,MATCH(B265,'SO HOP DONG'!$B$9:$B$308,0)),"Số HĐ không có trong sổ"))</f>
        <v/>
      </c>
      <c r="D265" s="120" t="n"/>
      <c r="E265" s="120" t="n"/>
      <c r="F265" s="120" t="n"/>
      <c r="G265" s="121" t="n"/>
      <c r="H265" s="120" t="n"/>
      <c r="I265" s="116">
        <f>IF(B265="","",IF(AND(D265="Thanh toán",F265="Tiền mặt",G265&gt;='THAM SO'!$B$11),"Tiền mặt ≥ ngưỡng: rủi ro loại khấu trừ GTGT/chi phí",IF(AND(D265="Thanh toán",F265=""),"Thiếu hình thức TT","")))</f>
        <v/>
      </c>
      <c r="J265" s="120" t="n"/>
    </row>
    <row r="266" ht="15" customHeight="1" s="64">
      <c r="A266" s="119" t="n"/>
      <c r="B266" s="120" t="n"/>
      <c r="C266" s="116">
        <f>IF(B266="","",IFERROR(INDEX('SO HOP DONG'!$H$9:$H$308,MATCH(B266,'SO HOP DONG'!$B$9:$B$308,0)),"Số HĐ không có trong sổ"))</f>
        <v/>
      </c>
      <c r="D266" s="120" t="n"/>
      <c r="E266" s="120" t="n"/>
      <c r="F266" s="120" t="n"/>
      <c r="G266" s="121" t="n"/>
      <c r="H266" s="120" t="n"/>
      <c r="I266" s="116">
        <f>IF(B266="","",IF(AND(D266="Thanh toán",F266="Tiền mặt",G266&gt;='THAM SO'!$B$11),"Tiền mặt ≥ ngưỡng: rủi ro loại khấu trừ GTGT/chi phí",IF(AND(D266="Thanh toán",F266=""),"Thiếu hình thức TT","")))</f>
        <v/>
      </c>
      <c r="J266" s="120" t="n"/>
    </row>
    <row r="267" ht="15" customHeight="1" s="64">
      <c r="A267" s="119" t="n"/>
      <c r="B267" s="120" t="n"/>
      <c r="C267" s="116">
        <f>IF(B267="","",IFERROR(INDEX('SO HOP DONG'!$H$9:$H$308,MATCH(B267,'SO HOP DONG'!$B$9:$B$308,0)),"Số HĐ không có trong sổ"))</f>
        <v/>
      </c>
      <c r="D267" s="120" t="n"/>
      <c r="E267" s="120" t="n"/>
      <c r="F267" s="120" t="n"/>
      <c r="G267" s="121" t="n"/>
      <c r="H267" s="120" t="n"/>
      <c r="I267" s="116">
        <f>IF(B267="","",IF(AND(D267="Thanh toán",F267="Tiền mặt",G267&gt;='THAM SO'!$B$11),"Tiền mặt ≥ ngưỡng: rủi ro loại khấu trừ GTGT/chi phí",IF(AND(D267="Thanh toán",F267=""),"Thiếu hình thức TT","")))</f>
        <v/>
      </c>
      <c r="J267" s="120" t="n"/>
    </row>
    <row r="268" ht="15" customHeight="1" s="64">
      <c r="A268" s="119" t="n"/>
      <c r="B268" s="120" t="n"/>
      <c r="C268" s="116">
        <f>IF(B268="","",IFERROR(INDEX('SO HOP DONG'!$H$9:$H$308,MATCH(B268,'SO HOP DONG'!$B$9:$B$308,0)),"Số HĐ không có trong sổ"))</f>
        <v/>
      </c>
      <c r="D268" s="120" t="n"/>
      <c r="E268" s="120" t="n"/>
      <c r="F268" s="120" t="n"/>
      <c r="G268" s="121" t="n"/>
      <c r="H268" s="120" t="n"/>
      <c r="I268" s="116">
        <f>IF(B268="","",IF(AND(D268="Thanh toán",F268="Tiền mặt",G268&gt;='THAM SO'!$B$11),"Tiền mặt ≥ ngưỡng: rủi ro loại khấu trừ GTGT/chi phí",IF(AND(D268="Thanh toán",F268=""),"Thiếu hình thức TT","")))</f>
        <v/>
      </c>
      <c r="J268" s="120" t="n"/>
    </row>
    <row r="269" ht="15" customHeight="1" s="64">
      <c r="A269" s="119" t="n"/>
      <c r="B269" s="120" t="n"/>
      <c r="C269" s="116">
        <f>IF(B269="","",IFERROR(INDEX('SO HOP DONG'!$H$9:$H$308,MATCH(B269,'SO HOP DONG'!$B$9:$B$308,0)),"Số HĐ không có trong sổ"))</f>
        <v/>
      </c>
      <c r="D269" s="120" t="n"/>
      <c r="E269" s="120" t="n"/>
      <c r="F269" s="120" t="n"/>
      <c r="G269" s="121" t="n"/>
      <c r="H269" s="120" t="n"/>
      <c r="I269" s="116">
        <f>IF(B269="","",IF(AND(D269="Thanh toán",F269="Tiền mặt",G269&gt;='THAM SO'!$B$11),"Tiền mặt ≥ ngưỡng: rủi ro loại khấu trừ GTGT/chi phí",IF(AND(D269="Thanh toán",F269=""),"Thiếu hình thức TT","")))</f>
        <v/>
      </c>
      <c r="J269" s="120" t="n"/>
    </row>
    <row r="270" ht="15" customHeight="1" s="64">
      <c r="A270" s="119" t="n"/>
      <c r="B270" s="120" t="n"/>
      <c r="C270" s="116">
        <f>IF(B270="","",IFERROR(INDEX('SO HOP DONG'!$H$9:$H$308,MATCH(B270,'SO HOP DONG'!$B$9:$B$308,0)),"Số HĐ không có trong sổ"))</f>
        <v/>
      </c>
      <c r="D270" s="120" t="n"/>
      <c r="E270" s="120" t="n"/>
      <c r="F270" s="120" t="n"/>
      <c r="G270" s="121" t="n"/>
      <c r="H270" s="120" t="n"/>
      <c r="I270" s="116">
        <f>IF(B270="","",IF(AND(D270="Thanh toán",F270="Tiền mặt",G270&gt;='THAM SO'!$B$11),"Tiền mặt ≥ ngưỡng: rủi ro loại khấu trừ GTGT/chi phí",IF(AND(D270="Thanh toán",F270=""),"Thiếu hình thức TT","")))</f>
        <v/>
      </c>
      <c r="J270" s="120" t="n"/>
    </row>
    <row r="271" ht="15" customHeight="1" s="64">
      <c r="A271" s="119" t="n"/>
      <c r="B271" s="120" t="n"/>
      <c r="C271" s="116">
        <f>IF(B271="","",IFERROR(INDEX('SO HOP DONG'!$H$9:$H$308,MATCH(B271,'SO HOP DONG'!$B$9:$B$308,0)),"Số HĐ không có trong sổ"))</f>
        <v/>
      </c>
      <c r="D271" s="120" t="n"/>
      <c r="E271" s="120" t="n"/>
      <c r="F271" s="120" t="n"/>
      <c r="G271" s="121" t="n"/>
      <c r="H271" s="120" t="n"/>
      <c r="I271" s="116">
        <f>IF(B271="","",IF(AND(D271="Thanh toán",F271="Tiền mặt",G271&gt;='THAM SO'!$B$11),"Tiền mặt ≥ ngưỡng: rủi ro loại khấu trừ GTGT/chi phí",IF(AND(D271="Thanh toán",F271=""),"Thiếu hình thức TT","")))</f>
        <v/>
      </c>
      <c r="J271" s="120" t="n"/>
    </row>
    <row r="272" ht="15" customHeight="1" s="64">
      <c r="A272" s="119" t="n"/>
      <c r="B272" s="120" t="n"/>
      <c r="C272" s="116">
        <f>IF(B272="","",IFERROR(INDEX('SO HOP DONG'!$H$9:$H$308,MATCH(B272,'SO HOP DONG'!$B$9:$B$308,0)),"Số HĐ không có trong sổ"))</f>
        <v/>
      </c>
      <c r="D272" s="120" t="n"/>
      <c r="E272" s="120" t="n"/>
      <c r="F272" s="120" t="n"/>
      <c r="G272" s="121" t="n"/>
      <c r="H272" s="120" t="n"/>
      <c r="I272" s="116">
        <f>IF(B272="","",IF(AND(D272="Thanh toán",F272="Tiền mặt",G272&gt;='THAM SO'!$B$11),"Tiền mặt ≥ ngưỡng: rủi ro loại khấu trừ GTGT/chi phí",IF(AND(D272="Thanh toán",F272=""),"Thiếu hình thức TT","")))</f>
        <v/>
      </c>
      <c r="J272" s="120" t="n"/>
    </row>
    <row r="273" ht="15" customHeight="1" s="64">
      <c r="A273" s="119" t="n"/>
      <c r="B273" s="120" t="n"/>
      <c r="C273" s="116">
        <f>IF(B273="","",IFERROR(INDEX('SO HOP DONG'!$H$9:$H$308,MATCH(B273,'SO HOP DONG'!$B$9:$B$308,0)),"Số HĐ không có trong sổ"))</f>
        <v/>
      </c>
      <c r="D273" s="120" t="n"/>
      <c r="E273" s="120" t="n"/>
      <c r="F273" s="120" t="n"/>
      <c r="G273" s="121" t="n"/>
      <c r="H273" s="120" t="n"/>
      <c r="I273" s="116">
        <f>IF(B273="","",IF(AND(D273="Thanh toán",F273="Tiền mặt",G273&gt;='THAM SO'!$B$11),"Tiền mặt ≥ ngưỡng: rủi ro loại khấu trừ GTGT/chi phí",IF(AND(D273="Thanh toán",F273=""),"Thiếu hình thức TT","")))</f>
        <v/>
      </c>
      <c r="J273" s="120" t="n"/>
    </row>
    <row r="274" ht="15" customHeight="1" s="64">
      <c r="A274" s="119" t="n"/>
      <c r="B274" s="120" t="n"/>
      <c r="C274" s="116">
        <f>IF(B274="","",IFERROR(INDEX('SO HOP DONG'!$H$9:$H$308,MATCH(B274,'SO HOP DONG'!$B$9:$B$308,0)),"Số HĐ không có trong sổ"))</f>
        <v/>
      </c>
      <c r="D274" s="120" t="n"/>
      <c r="E274" s="120" t="n"/>
      <c r="F274" s="120" t="n"/>
      <c r="G274" s="121" t="n"/>
      <c r="H274" s="120" t="n"/>
      <c r="I274" s="116">
        <f>IF(B274="","",IF(AND(D274="Thanh toán",F274="Tiền mặt",G274&gt;='THAM SO'!$B$11),"Tiền mặt ≥ ngưỡng: rủi ro loại khấu trừ GTGT/chi phí",IF(AND(D274="Thanh toán",F274=""),"Thiếu hình thức TT","")))</f>
        <v/>
      </c>
      <c r="J274" s="120" t="n"/>
    </row>
    <row r="275" ht="15" customHeight="1" s="64">
      <c r="A275" s="119" t="n"/>
      <c r="B275" s="120" t="n"/>
      <c r="C275" s="116">
        <f>IF(B275="","",IFERROR(INDEX('SO HOP DONG'!$H$9:$H$308,MATCH(B275,'SO HOP DONG'!$B$9:$B$308,0)),"Số HĐ không có trong sổ"))</f>
        <v/>
      </c>
      <c r="D275" s="120" t="n"/>
      <c r="E275" s="120" t="n"/>
      <c r="F275" s="120" t="n"/>
      <c r="G275" s="121" t="n"/>
      <c r="H275" s="120" t="n"/>
      <c r="I275" s="116">
        <f>IF(B275="","",IF(AND(D275="Thanh toán",F275="Tiền mặt",G275&gt;='THAM SO'!$B$11),"Tiền mặt ≥ ngưỡng: rủi ro loại khấu trừ GTGT/chi phí",IF(AND(D275="Thanh toán",F275=""),"Thiếu hình thức TT","")))</f>
        <v/>
      </c>
      <c r="J275" s="120" t="n"/>
    </row>
    <row r="276" ht="15" customHeight="1" s="64">
      <c r="A276" s="119" t="n"/>
      <c r="B276" s="120" t="n"/>
      <c r="C276" s="116">
        <f>IF(B276="","",IFERROR(INDEX('SO HOP DONG'!$H$9:$H$308,MATCH(B276,'SO HOP DONG'!$B$9:$B$308,0)),"Số HĐ không có trong sổ"))</f>
        <v/>
      </c>
      <c r="D276" s="120" t="n"/>
      <c r="E276" s="120" t="n"/>
      <c r="F276" s="120" t="n"/>
      <c r="G276" s="121" t="n"/>
      <c r="H276" s="120" t="n"/>
      <c r="I276" s="116">
        <f>IF(B276="","",IF(AND(D276="Thanh toán",F276="Tiền mặt",G276&gt;='THAM SO'!$B$11),"Tiền mặt ≥ ngưỡng: rủi ro loại khấu trừ GTGT/chi phí",IF(AND(D276="Thanh toán",F276=""),"Thiếu hình thức TT","")))</f>
        <v/>
      </c>
      <c r="J276" s="120" t="n"/>
    </row>
    <row r="277" ht="15" customHeight="1" s="64">
      <c r="A277" s="119" t="n"/>
      <c r="B277" s="120" t="n"/>
      <c r="C277" s="116">
        <f>IF(B277="","",IFERROR(INDEX('SO HOP DONG'!$H$9:$H$308,MATCH(B277,'SO HOP DONG'!$B$9:$B$308,0)),"Số HĐ không có trong sổ"))</f>
        <v/>
      </c>
      <c r="D277" s="120" t="n"/>
      <c r="E277" s="120" t="n"/>
      <c r="F277" s="120" t="n"/>
      <c r="G277" s="121" t="n"/>
      <c r="H277" s="120" t="n"/>
      <c r="I277" s="116">
        <f>IF(B277="","",IF(AND(D277="Thanh toán",F277="Tiền mặt",G277&gt;='THAM SO'!$B$11),"Tiền mặt ≥ ngưỡng: rủi ro loại khấu trừ GTGT/chi phí",IF(AND(D277="Thanh toán",F277=""),"Thiếu hình thức TT","")))</f>
        <v/>
      </c>
      <c r="J277" s="120" t="n"/>
    </row>
    <row r="278" ht="15" customHeight="1" s="64">
      <c r="A278" s="119" t="n"/>
      <c r="B278" s="120" t="n"/>
      <c r="C278" s="116">
        <f>IF(B278="","",IFERROR(INDEX('SO HOP DONG'!$H$9:$H$308,MATCH(B278,'SO HOP DONG'!$B$9:$B$308,0)),"Số HĐ không có trong sổ"))</f>
        <v/>
      </c>
      <c r="D278" s="120" t="n"/>
      <c r="E278" s="120" t="n"/>
      <c r="F278" s="120" t="n"/>
      <c r="G278" s="121" t="n"/>
      <c r="H278" s="120" t="n"/>
      <c r="I278" s="116">
        <f>IF(B278="","",IF(AND(D278="Thanh toán",F278="Tiền mặt",G278&gt;='THAM SO'!$B$11),"Tiền mặt ≥ ngưỡng: rủi ro loại khấu trừ GTGT/chi phí",IF(AND(D278="Thanh toán",F278=""),"Thiếu hình thức TT","")))</f>
        <v/>
      </c>
      <c r="J278" s="120" t="n"/>
    </row>
    <row r="279" ht="15" customHeight="1" s="64">
      <c r="A279" s="119" t="n"/>
      <c r="B279" s="120" t="n"/>
      <c r="C279" s="116">
        <f>IF(B279="","",IFERROR(INDEX('SO HOP DONG'!$H$9:$H$308,MATCH(B279,'SO HOP DONG'!$B$9:$B$308,0)),"Số HĐ không có trong sổ"))</f>
        <v/>
      </c>
      <c r="D279" s="120" t="n"/>
      <c r="E279" s="120" t="n"/>
      <c r="F279" s="120" t="n"/>
      <c r="G279" s="121" t="n"/>
      <c r="H279" s="120" t="n"/>
      <c r="I279" s="116">
        <f>IF(B279="","",IF(AND(D279="Thanh toán",F279="Tiền mặt",G279&gt;='THAM SO'!$B$11),"Tiền mặt ≥ ngưỡng: rủi ro loại khấu trừ GTGT/chi phí",IF(AND(D279="Thanh toán",F279=""),"Thiếu hình thức TT","")))</f>
        <v/>
      </c>
      <c r="J279" s="120" t="n"/>
    </row>
    <row r="280" ht="15" customHeight="1" s="64">
      <c r="A280" s="119" t="n"/>
      <c r="B280" s="120" t="n"/>
      <c r="C280" s="116">
        <f>IF(B280="","",IFERROR(INDEX('SO HOP DONG'!$H$9:$H$308,MATCH(B280,'SO HOP DONG'!$B$9:$B$308,0)),"Số HĐ không có trong sổ"))</f>
        <v/>
      </c>
      <c r="D280" s="120" t="n"/>
      <c r="E280" s="120" t="n"/>
      <c r="F280" s="120" t="n"/>
      <c r="G280" s="121" t="n"/>
      <c r="H280" s="120" t="n"/>
      <c r="I280" s="116">
        <f>IF(B280="","",IF(AND(D280="Thanh toán",F280="Tiền mặt",G280&gt;='THAM SO'!$B$11),"Tiền mặt ≥ ngưỡng: rủi ro loại khấu trừ GTGT/chi phí",IF(AND(D280="Thanh toán",F280=""),"Thiếu hình thức TT","")))</f>
        <v/>
      </c>
      <c r="J280" s="120" t="n"/>
    </row>
    <row r="281" ht="15" customHeight="1" s="64">
      <c r="A281" s="119" t="n"/>
      <c r="B281" s="120" t="n"/>
      <c r="C281" s="116">
        <f>IF(B281="","",IFERROR(INDEX('SO HOP DONG'!$H$9:$H$308,MATCH(B281,'SO HOP DONG'!$B$9:$B$308,0)),"Số HĐ không có trong sổ"))</f>
        <v/>
      </c>
      <c r="D281" s="120" t="n"/>
      <c r="E281" s="120" t="n"/>
      <c r="F281" s="120" t="n"/>
      <c r="G281" s="121" t="n"/>
      <c r="H281" s="120" t="n"/>
      <c r="I281" s="116">
        <f>IF(B281="","",IF(AND(D281="Thanh toán",F281="Tiền mặt",G281&gt;='THAM SO'!$B$11),"Tiền mặt ≥ ngưỡng: rủi ro loại khấu trừ GTGT/chi phí",IF(AND(D281="Thanh toán",F281=""),"Thiếu hình thức TT","")))</f>
        <v/>
      </c>
      <c r="J281" s="120" t="n"/>
    </row>
    <row r="282" ht="15" customHeight="1" s="64">
      <c r="A282" s="119" t="n"/>
      <c r="B282" s="120" t="n"/>
      <c r="C282" s="116">
        <f>IF(B282="","",IFERROR(INDEX('SO HOP DONG'!$H$9:$H$308,MATCH(B282,'SO HOP DONG'!$B$9:$B$308,0)),"Số HĐ không có trong sổ"))</f>
        <v/>
      </c>
      <c r="D282" s="120" t="n"/>
      <c r="E282" s="120" t="n"/>
      <c r="F282" s="120" t="n"/>
      <c r="G282" s="121" t="n"/>
      <c r="H282" s="120" t="n"/>
      <c r="I282" s="116">
        <f>IF(B282="","",IF(AND(D282="Thanh toán",F282="Tiền mặt",G282&gt;='THAM SO'!$B$11),"Tiền mặt ≥ ngưỡng: rủi ro loại khấu trừ GTGT/chi phí",IF(AND(D282="Thanh toán",F282=""),"Thiếu hình thức TT","")))</f>
        <v/>
      </c>
      <c r="J282" s="120" t="n"/>
    </row>
    <row r="283" ht="15" customHeight="1" s="64">
      <c r="A283" s="119" t="n"/>
      <c r="B283" s="120" t="n"/>
      <c r="C283" s="116">
        <f>IF(B283="","",IFERROR(INDEX('SO HOP DONG'!$H$9:$H$308,MATCH(B283,'SO HOP DONG'!$B$9:$B$308,0)),"Số HĐ không có trong sổ"))</f>
        <v/>
      </c>
      <c r="D283" s="120" t="n"/>
      <c r="E283" s="120" t="n"/>
      <c r="F283" s="120" t="n"/>
      <c r="G283" s="121" t="n"/>
      <c r="H283" s="120" t="n"/>
      <c r="I283" s="116">
        <f>IF(B283="","",IF(AND(D283="Thanh toán",F283="Tiền mặt",G283&gt;='THAM SO'!$B$11),"Tiền mặt ≥ ngưỡng: rủi ro loại khấu trừ GTGT/chi phí",IF(AND(D283="Thanh toán",F283=""),"Thiếu hình thức TT","")))</f>
        <v/>
      </c>
      <c r="J283" s="120" t="n"/>
    </row>
    <row r="284" ht="15" customHeight="1" s="64">
      <c r="A284" s="119" t="n"/>
      <c r="B284" s="120" t="n"/>
      <c r="C284" s="116">
        <f>IF(B284="","",IFERROR(INDEX('SO HOP DONG'!$H$9:$H$308,MATCH(B284,'SO HOP DONG'!$B$9:$B$308,0)),"Số HĐ không có trong sổ"))</f>
        <v/>
      </c>
      <c r="D284" s="120" t="n"/>
      <c r="E284" s="120" t="n"/>
      <c r="F284" s="120" t="n"/>
      <c r="G284" s="121" t="n"/>
      <c r="H284" s="120" t="n"/>
      <c r="I284" s="116">
        <f>IF(B284="","",IF(AND(D284="Thanh toán",F284="Tiền mặt",G284&gt;='THAM SO'!$B$11),"Tiền mặt ≥ ngưỡng: rủi ro loại khấu trừ GTGT/chi phí",IF(AND(D284="Thanh toán",F284=""),"Thiếu hình thức TT","")))</f>
        <v/>
      </c>
      <c r="J284" s="120" t="n"/>
    </row>
    <row r="285" ht="15" customHeight="1" s="64">
      <c r="A285" s="119" t="n"/>
      <c r="B285" s="120" t="n"/>
      <c r="C285" s="116">
        <f>IF(B285="","",IFERROR(INDEX('SO HOP DONG'!$H$9:$H$308,MATCH(B285,'SO HOP DONG'!$B$9:$B$308,0)),"Số HĐ không có trong sổ"))</f>
        <v/>
      </c>
      <c r="D285" s="120" t="n"/>
      <c r="E285" s="120" t="n"/>
      <c r="F285" s="120" t="n"/>
      <c r="G285" s="121" t="n"/>
      <c r="H285" s="120" t="n"/>
      <c r="I285" s="116">
        <f>IF(B285="","",IF(AND(D285="Thanh toán",F285="Tiền mặt",G285&gt;='THAM SO'!$B$11),"Tiền mặt ≥ ngưỡng: rủi ro loại khấu trừ GTGT/chi phí",IF(AND(D285="Thanh toán",F285=""),"Thiếu hình thức TT","")))</f>
        <v/>
      </c>
      <c r="J285" s="120" t="n"/>
    </row>
    <row r="286" ht="15" customHeight="1" s="64">
      <c r="A286" s="119" t="n"/>
      <c r="B286" s="120" t="n"/>
      <c r="C286" s="116">
        <f>IF(B286="","",IFERROR(INDEX('SO HOP DONG'!$H$9:$H$308,MATCH(B286,'SO HOP DONG'!$B$9:$B$308,0)),"Số HĐ không có trong sổ"))</f>
        <v/>
      </c>
      <c r="D286" s="120" t="n"/>
      <c r="E286" s="120" t="n"/>
      <c r="F286" s="120" t="n"/>
      <c r="G286" s="121" t="n"/>
      <c r="H286" s="120" t="n"/>
      <c r="I286" s="116">
        <f>IF(B286="","",IF(AND(D286="Thanh toán",F286="Tiền mặt",G286&gt;='THAM SO'!$B$11),"Tiền mặt ≥ ngưỡng: rủi ro loại khấu trừ GTGT/chi phí",IF(AND(D286="Thanh toán",F286=""),"Thiếu hình thức TT","")))</f>
        <v/>
      </c>
      <c r="J286" s="120" t="n"/>
    </row>
    <row r="287" ht="15" customHeight="1" s="64">
      <c r="A287" s="119" t="n"/>
      <c r="B287" s="120" t="n"/>
      <c r="C287" s="116">
        <f>IF(B287="","",IFERROR(INDEX('SO HOP DONG'!$H$9:$H$308,MATCH(B287,'SO HOP DONG'!$B$9:$B$308,0)),"Số HĐ không có trong sổ"))</f>
        <v/>
      </c>
      <c r="D287" s="120" t="n"/>
      <c r="E287" s="120" t="n"/>
      <c r="F287" s="120" t="n"/>
      <c r="G287" s="121" t="n"/>
      <c r="H287" s="120" t="n"/>
      <c r="I287" s="116">
        <f>IF(B287="","",IF(AND(D287="Thanh toán",F287="Tiền mặt",G287&gt;='THAM SO'!$B$11),"Tiền mặt ≥ ngưỡng: rủi ro loại khấu trừ GTGT/chi phí",IF(AND(D287="Thanh toán",F287=""),"Thiếu hình thức TT","")))</f>
        <v/>
      </c>
      <c r="J287" s="120" t="n"/>
    </row>
    <row r="288" ht="15" customHeight="1" s="64">
      <c r="A288" s="119" t="n"/>
      <c r="B288" s="120" t="n"/>
      <c r="C288" s="116">
        <f>IF(B288="","",IFERROR(INDEX('SO HOP DONG'!$H$9:$H$308,MATCH(B288,'SO HOP DONG'!$B$9:$B$308,0)),"Số HĐ không có trong sổ"))</f>
        <v/>
      </c>
      <c r="D288" s="120" t="n"/>
      <c r="E288" s="120" t="n"/>
      <c r="F288" s="120" t="n"/>
      <c r="G288" s="121" t="n"/>
      <c r="H288" s="120" t="n"/>
      <c r="I288" s="116">
        <f>IF(B288="","",IF(AND(D288="Thanh toán",F288="Tiền mặt",G288&gt;='THAM SO'!$B$11),"Tiền mặt ≥ ngưỡng: rủi ro loại khấu trừ GTGT/chi phí",IF(AND(D288="Thanh toán",F288=""),"Thiếu hình thức TT","")))</f>
        <v/>
      </c>
      <c r="J288" s="120" t="n"/>
    </row>
    <row r="289" ht="15" customHeight="1" s="64">
      <c r="A289" s="119" t="n"/>
      <c r="B289" s="120" t="n"/>
      <c r="C289" s="116">
        <f>IF(B289="","",IFERROR(INDEX('SO HOP DONG'!$H$9:$H$308,MATCH(B289,'SO HOP DONG'!$B$9:$B$308,0)),"Số HĐ không có trong sổ"))</f>
        <v/>
      </c>
      <c r="D289" s="120" t="n"/>
      <c r="E289" s="120" t="n"/>
      <c r="F289" s="120" t="n"/>
      <c r="G289" s="121" t="n"/>
      <c r="H289" s="120" t="n"/>
      <c r="I289" s="116">
        <f>IF(B289="","",IF(AND(D289="Thanh toán",F289="Tiền mặt",G289&gt;='THAM SO'!$B$11),"Tiền mặt ≥ ngưỡng: rủi ro loại khấu trừ GTGT/chi phí",IF(AND(D289="Thanh toán",F289=""),"Thiếu hình thức TT","")))</f>
        <v/>
      </c>
      <c r="J289" s="120" t="n"/>
    </row>
    <row r="290" ht="15" customHeight="1" s="64">
      <c r="A290" s="119" t="n"/>
      <c r="B290" s="120" t="n"/>
      <c r="C290" s="116">
        <f>IF(B290="","",IFERROR(INDEX('SO HOP DONG'!$H$9:$H$308,MATCH(B290,'SO HOP DONG'!$B$9:$B$308,0)),"Số HĐ không có trong sổ"))</f>
        <v/>
      </c>
      <c r="D290" s="120" t="n"/>
      <c r="E290" s="120" t="n"/>
      <c r="F290" s="120" t="n"/>
      <c r="G290" s="121" t="n"/>
      <c r="H290" s="120" t="n"/>
      <c r="I290" s="116">
        <f>IF(B290="","",IF(AND(D290="Thanh toán",F290="Tiền mặt",G290&gt;='THAM SO'!$B$11),"Tiền mặt ≥ ngưỡng: rủi ro loại khấu trừ GTGT/chi phí",IF(AND(D290="Thanh toán",F290=""),"Thiếu hình thức TT","")))</f>
        <v/>
      </c>
      <c r="J290" s="120" t="n"/>
    </row>
    <row r="291" ht="15" customHeight="1" s="64">
      <c r="A291" s="119" t="n"/>
      <c r="B291" s="120" t="n"/>
      <c r="C291" s="116">
        <f>IF(B291="","",IFERROR(INDEX('SO HOP DONG'!$H$9:$H$308,MATCH(B291,'SO HOP DONG'!$B$9:$B$308,0)),"Số HĐ không có trong sổ"))</f>
        <v/>
      </c>
      <c r="D291" s="120" t="n"/>
      <c r="E291" s="120" t="n"/>
      <c r="F291" s="120" t="n"/>
      <c r="G291" s="121" t="n"/>
      <c r="H291" s="120" t="n"/>
      <c r="I291" s="116">
        <f>IF(B291="","",IF(AND(D291="Thanh toán",F291="Tiền mặt",G291&gt;='THAM SO'!$B$11),"Tiền mặt ≥ ngưỡng: rủi ro loại khấu trừ GTGT/chi phí",IF(AND(D291="Thanh toán",F291=""),"Thiếu hình thức TT","")))</f>
        <v/>
      </c>
      <c r="J291" s="120" t="n"/>
    </row>
    <row r="292" ht="15" customHeight="1" s="64">
      <c r="A292" s="119" t="n"/>
      <c r="B292" s="120" t="n"/>
      <c r="C292" s="116">
        <f>IF(B292="","",IFERROR(INDEX('SO HOP DONG'!$H$9:$H$308,MATCH(B292,'SO HOP DONG'!$B$9:$B$308,0)),"Số HĐ không có trong sổ"))</f>
        <v/>
      </c>
      <c r="D292" s="120" t="n"/>
      <c r="E292" s="120" t="n"/>
      <c r="F292" s="120" t="n"/>
      <c r="G292" s="121" t="n"/>
      <c r="H292" s="120" t="n"/>
      <c r="I292" s="116">
        <f>IF(B292="","",IF(AND(D292="Thanh toán",F292="Tiền mặt",G292&gt;='THAM SO'!$B$11),"Tiền mặt ≥ ngưỡng: rủi ro loại khấu trừ GTGT/chi phí",IF(AND(D292="Thanh toán",F292=""),"Thiếu hình thức TT","")))</f>
        <v/>
      </c>
      <c r="J292" s="120" t="n"/>
    </row>
    <row r="293" ht="15" customHeight="1" s="64">
      <c r="A293" s="119" t="n"/>
      <c r="B293" s="120" t="n"/>
      <c r="C293" s="116">
        <f>IF(B293="","",IFERROR(INDEX('SO HOP DONG'!$H$9:$H$308,MATCH(B293,'SO HOP DONG'!$B$9:$B$308,0)),"Số HĐ không có trong sổ"))</f>
        <v/>
      </c>
      <c r="D293" s="120" t="n"/>
      <c r="E293" s="120" t="n"/>
      <c r="F293" s="120" t="n"/>
      <c r="G293" s="121" t="n"/>
      <c r="H293" s="120" t="n"/>
      <c r="I293" s="116">
        <f>IF(B293="","",IF(AND(D293="Thanh toán",F293="Tiền mặt",G293&gt;='THAM SO'!$B$11),"Tiền mặt ≥ ngưỡng: rủi ro loại khấu trừ GTGT/chi phí",IF(AND(D293="Thanh toán",F293=""),"Thiếu hình thức TT","")))</f>
        <v/>
      </c>
      <c r="J293" s="120" t="n"/>
    </row>
    <row r="294" ht="15" customHeight="1" s="64">
      <c r="A294" s="119" t="n"/>
      <c r="B294" s="120" t="n"/>
      <c r="C294" s="116">
        <f>IF(B294="","",IFERROR(INDEX('SO HOP DONG'!$H$9:$H$308,MATCH(B294,'SO HOP DONG'!$B$9:$B$308,0)),"Số HĐ không có trong sổ"))</f>
        <v/>
      </c>
      <c r="D294" s="120" t="n"/>
      <c r="E294" s="120" t="n"/>
      <c r="F294" s="120" t="n"/>
      <c r="G294" s="121" t="n"/>
      <c r="H294" s="120" t="n"/>
      <c r="I294" s="116">
        <f>IF(B294="","",IF(AND(D294="Thanh toán",F294="Tiền mặt",G294&gt;='THAM SO'!$B$11),"Tiền mặt ≥ ngưỡng: rủi ro loại khấu trừ GTGT/chi phí",IF(AND(D294="Thanh toán",F294=""),"Thiếu hình thức TT","")))</f>
        <v/>
      </c>
      <c r="J294" s="120" t="n"/>
    </row>
    <row r="295" ht="15" customHeight="1" s="64">
      <c r="A295" s="119" t="n"/>
      <c r="B295" s="120" t="n"/>
      <c r="C295" s="116">
        <f>IF(B295="","",IFERROR(INDEX('SO HOP DONG'!$H$9:$H$308,MATCH(B295,'SO HOP DONG'!$B$9:$B$308,0)),"Số HĐ không có trong sổ"))</f>
        <v/>
      </c>
      <c r="D295" s="120" t="n"/>
      <c r="E295" s="120" t="n"/>
      <c r="F295" s="120" t="n"/>
      <c r="G295" s="121" t="n"/>
      <c r="H295" s="120" t="n"/>
      <c r="I295" s="116">
        <f>IF(B295="","",IF(AND(D295="Thanh toán",F295="Tiền mặt",G295&gt;='THAM SO'!$B$11),"Tiền mặt ≥ ngưỡng: rủi ro loại khấu trừ GTGT/chi phí",IF(AND(D295="Thanh toán",F295=""),"Thiếu hình thức TT","")))</f>
        <v/>
      </c>
      <c r="J295" s="120" t="n"/>
    </row>
    <row r="296" ht="15" customHeight="1" s="64">
      <c r="A296" s="119" t="n"/>
      <c r="B296" s="120" t="n"/>
      <c r="C296" s="116">
        <f>IF(B296="","",IFERROR(INDEX('SO HOP DONG'!$H$9:$H$308,MATCH(B296,'SO HOP DONG'!$B$9:$B$308,0)),"Số HĐ không có trong sổ"))</f>
        <v/>
      </c>
      <c r="D296" s="120" t="n"/>
      <c r="E296" s="120" t="n"/>
      <c r="F296" s="120" t="n"/>
      <c r="G296" s="121" t="n"/>
      <c r="H296" s="120" t="n"/>
      <c r="I296" s="116">
        <f>IF(B296="","",IF(AND(D296="Thanh toán",F296="Tiền mặt",G296&gt;='THAM SO'!$B$11),"Tiền mặt ≥ ngưỡng: rủi ro loại khấu trừ GTGT/chi phí",IF(AND(D296="Thanh toán",F296=""),"Thiếu hình thức TT","")))</f>
        <v/>
      </c>
      <c r="J296" s="120" t="n"/>
    </row>
    <row r="297" ht="15" customHeight="1" s="64">
      <c r="A297" s="119" t="n"/>
      <c r="B297" s="120" t="n"/>
      <c r="C297" s="116">
        <f>IF(B297="","",IFERROR(INDEX('SO HOP DONG'!$H$9:$H$308,MATCH(B297,'SO HOP DONG'!$B$9:$B$308,0)),"Số HĐ không có trong sổ"))</f>
        <v/>
      </c>
      <c r="D297" s="120" t="n"/>
      <c r="E297" s="120" t="n"/>
      <c r="F297" s="120" t="n"/>
      <c r="G297" s="121" t="n"/>
      <c r="H297" s="120" t="n"/>
      <c r="I297" s="116">
        <f>IF(B297="","",IF(AND(D297="Thanh toán",F297="Tiền mặt",G297&gt;='THAM SO'!$B$11),"Tiền mặt ≥ ngưỡng: rủi ro loại khấu trừ GTGT/chi phí",IF(AND(D297="Thanh toán",F297=""),"Thiếu hình thức TT","")))</f>
        <v/>
      </c>
      <c r="J297" s="120" t="n"/>
    </row>
    <row r="298" ht="15" customHeight="1" s="64">
      <c r="A298" s="119" t="n"/>
      <c r="B298" s="120" t="n"/>
      <c r="C298" s="116">
        <f>IF(B298="","",IFERROR(INDEX('SO HOP DONG'!$H$9:$H$308,MATCH(B298,'SO HOP DONG'!$B$9:$B$308,0)),"Số HĐ không có trong sổ"))</f>
        <v/>
      </c>
      <c r="D298" s="120" t="n"/>
      <c r="E298" s="120" t="n"/>
      <c r="F298" s="120" t="n"/>
      <c r="G298" s="121" t="n"/>
      <c r="H298" s="120" t="n"/>
      <c r="I298" s="116">
        <f>IF(B298="","",IF(AND(D298="Thanh toán",F298="Tiền mặt",G298&gt;='THAM SO'!$B$11),"Tiền mặt ≥ ngưỡng: rủi ro loại khấu trừ GTGT/chi phí",IF(AND(D298="Thanh toán",F298=""),"Thiếu hình thức TT","")))</f>
        <v/>
      </c>
      <c r="J298" s="120" t="n"/>
    </row>
    <row r="299" ht="15" customHeight="1" s="64">
      <c r="A299" s="119" t="n"/>
      <c r="B299" s="120" t="n"/>
      <c r="C299" s="116">
        <f>IF(B299="","",IFERROR(INDEX('SO HOP DONG'!$H$9:$H$308,MATCH(B299,'SO HOP DONG'!$B$9:$B$308,0)),"Số HĐ không có trong sổ"))</f>
        <v/>
      </c>
      <c r="D299" s="120" t="n"/>
      <c r="E299" s="120" t="n"/>
      <c r="F299" s="120" t="n"/>
      <c r="G299" s="121" t="n"/>
      <c r="H299" s="120" t="n"/>
      <c r="I299" s="116">
        <f>IF(B299="","",IF(AND(D299="Thanh toán",F299="Tiền mặt",G299&gt;='THAM SO'!$B$11),"Tiền mặt ≥ ngưỡng: rủi ro loại khấu trừ GTGT/chi phí",IF(AND(D299="Thanh toán",F299=""),"Thiếu hình thức TT","")))</f>
        <v/>
      </c>
      <c r="J299" s="120" t="n"/>
    </row>
    <row r="300" ht="15" customHeight="1" s="64">
      <c r="A300" s="119" t="n"/>
      <c r="B300" s="120" t="n"/>
      <c r="C300" s="116">
        <f>IF(B300="","",IFERROR(INDEX('SO HOP DONG'!$H$9:$H$308,MATCH(B300,'SO HOP DONG'!$B$9:$B$308,0)),"Số HĐ không có trong sổ"))</f>
        <v/>
      </c>
      <c r="D300" s="120" t="n"/>
      <c r="E300" s="120" t="n"/>
      <c r="F300" s="120" t="n"/>
      <c r="G300" s="121" t="n"/>
      <c r="H300" s="120" t="n"/>
      <c r="I300" s="116">
        <f>IF(B300="","",IF(AND(D300="Thanh toán",F300="Tiền mặt",G300&gt;='THAM SO'!$B$11),"Tiền mặt ≥ ngưỡng: rủi ro loại khấu trừ GTGT/chi phí",IF(AND(D300="Thanh toán",F300=""),"Thiếu hình thức TT","")))</f>
        <v/>
      </c>
      <c r="J300" s="120" t="n"/>
    </row>
    <row r="301" ht="15" customHeight="1" s="64">
      <c r="A301" s="119" t="n"/>
      <c r="B301" s="120" t="n"/>
      <c r="C301" s="116">
        <f>IF(B301="","",IFERROR(INDEX('SO HOP DONG'!$H$9:$H$308,MATCH(B301,'SO HOP DONG'!$B$9:$B$308,0)),"Số HĐ không có trong sổ"))</f>
        <v/>
      </c>
      <c r="D301" s="120" t="n"/>
      <c r="E301" s="120" t="n"/>
      <c r="F301" s="120" t="n"/>
      <c r="G301" s="121" t="n"/>
      <c r="H301" s="120" t="n"/>
      <c r="I301" s="116">
        <f>IF(B301="","",IF(AND(D301="Thanh toán",F301="Tiền mặt",G301&gt;='THAM SO'!$B$11),"Tiền mặt ≥ ngưỡng: rủi ro loại khấu trừ GTGT/chi phí",IF(AND(D301="Thanh toán",F301=""),"Thiếu hình thức TT","")))</f>
        <v/>
      </c>
      <c r="J301" s="120" t="n"/>
    </row>
    <row r="302" ht="15" customHeight="1" s="64">
      <c r="A302" s="119" t="n"/>
      <c r="B302" s="120" t="n"/>
      <c r="C302" s="116">
        <f>IF(B302="","",IFERROR(INDEX('SO HOP DONG'!$H$9:$H$308,MATCH(B302,'SO HOP DONG'!$B$9:$B$308,0)),"Số HĐ không có trong sổ"))</f>
        <v/>
      </c>
      <c r="D302" s="120" t="n"/>
      <c r="E302" s="120" t="n"/>
      <c r="F302" s="120" t="n"/>
      <c r="G302" s="121" t="n"/>
      <c r="H302" s="120" t="n"/>
      <c r="I302" s="116">
        <f>IF(B302="","",IF(AND(D302="Thanh toán",F302="Tiền mặt",G302&gt;='THAM SO'!$B$11),"Tiền mặt ≥ ngưỡng: rủi ro loại khấu trừ GTGT/chi phí",IF(AND(D302="Thanh toán",F302=""),"Thiếu hình thức TT","")))</f>
        <v/>
      </c>
      <c r="J302" s="120" t="n"/>
    </row>
    <row r="303" ht="15" customHeight="1" s="64">
      <c r="A303" s="119" t="n"/>
      <c r="B303" s="120" t="n"/>
      <c r="C303" s="116">
        <f>IF(B303="","",IFERROR(INDEX('SO HOP DONG'!$H$9:$H$308,MATCH(B303,'SO HOP DONG'!$B$9:$B$308,0)),"Số HĐ không có trong sổ"))</f>
        <v/>
      </c>
      <c r="D303" s="120" t="n"/>
      <c r="E303" s="120" t="n"/>
      <c r="F303" s="120" t="n"/>
      <c r="G303" s="121" t="n"/>
      <c r="H303" s="120" t="n"/>
      <c r="I303" s="116">
        <f>IF(B303="","",IF(AND(D303="Thanh toán",F303="Tiền mặt",G303&gt;='THAM SO'!$B$11),"Tiền mặt ≥ ngưỡng: rủi ro loại khấu trừ GTGT/chi phí",IF(AND(D303="Thanh toán",F303=""),"Thiếu hình thức TT","")))</f>
        <v/>
      </c>
      <c r="J303" s="120" t="n"/>
    </row>
    <row r="304" ht="15" customHeight="1" s="64">
      <c r="A304" s="119" t="n"/>
      <c r="B304" s="120" t="n"/>
      <c r="C304" s="116">
        <f>IF(B304="","",IFERROR(INDEX('SO HOP DONG'!$H$9:$H$308,MATCH(B304,'SO HOP DONG'!$B$9:$B$308,0)),"Số HĐ không có trong sổ"))</f>
        <v/>
      </c>
      <c r="D304" s="120" t="n"/>
      <c r="E304" s="120" t="n"/>
      <c r="F304" s="120" t="n"/>
      <c r="G304" s="121" t="n"/>
      <c r="H304" s="120" t="n"/>
      <c r="I304" s="116">
        <f>IF(B304="","",IF(AND(D304="Thanh toán",F304="Tiền mặt",G304&gt;='THAM SO'!$B$11),"Tiền mặt ≥ ngưỡng: rủi ro loại khấu trừ GTGT/chi phí",IF(AND(D304="Thanh toán",F304=""),"Thiếu hình thức TT","")))</f>
        <v/>
      </c>
      <c r="J304" s="120" t="n"/>
    </row>
    <row r="305" ht="15" customHeight="1" s="64">
      <c r="A305" s="119" t="n"/>
      <c r="B305" s="120" t="n"/>
      <c r="C305" s="116">
        <f>IF(B305="","",IFERROR(INDEX('SO HOP DONG'!$H$9:$H$308,MATCH(B305,'SO HOP DONG'!$B$9:$B$308,0)),"Số HĐ không có trong sổ"))</f>
        <v/>
      </c>
      <c r="D305" s="120" t="n"/>
      <c r="E305" s="120" t="n"/>
      <c r="F305" s="120" t="n"/>
      <c r="G305" s="121" t="n"/>
      <c r="H305" s="120" t="n"/>
      <c r="I305" s="116">
        <f>IF(B305="","",IF(AND(D305="Thanh toán",F305="Tiền mặt",G305&gt;='THAM SO'!$B$11),"Tiền mặt ≥ ngưỡng: rủi ro loại khấu trừ GTGT/chi phí",IF(AND(D305="Thanh toán",F305=""),"Thiếu hình thức TT","")))</f>
        <v/>
      </c>
      <c r="J305" s="120" t="n"/>
    </row>
    <row r="306" ht="15" customHeight="1" s="64">
      <c r="A306" s="119" t="n"/>
      <c r="B306" s="120" t="n"/>
      <c r="C306" s="116">
        <f>IF(B306="","",IFERROR(INDEX('SO HOP DONG'!$H$9:$H$308,MATCH(B306,'SO HOP DONG'!$B$9:$B$308,0)),"Số HĐ không có trong sổ"))</f>
        <v/>
      </c>
      <c r="D306" s="120" t="n"/>
      <c r="E306" s="120" t="n"/>
      <c r="F306" s="120" t="n"/>
      <c r="G306" s="121" t="n"/>
      <c r="H306" s="120" t="n"/>
      <c r="I306" s="116">
        <f>IF(B306="","",IF(AND(D306="Thanh toán",F306="Tiền mặt",G306&gt;='THAM SO'!$B$11),"Tiền mặt ≥ ngưỡng: rủi ro loại khấu trừ GTGT/chi phí",IF(AND(D306="Thanh toán",F306=""),"Thiếu hình thức TT","")))</f>
        <v/>
      </c>
      <c r="J306" s="120" t="n"/>
    </row>
    <row r="307" ht="15" customHeight="1" s="64">
      <c r="A307" s="119" t="n"/>
      <c r="B307" s="120" t="n"/>
      <c r="C307" s="116">
        <f>IF(B307="","",IFERROR(INDEX('SO HOP DONG'!$H$9:$H$308,MATCH(B307,'SO HOP DONG'!$B$9:$B$308,0)),"Số HĐ không có trong sổ"))</f>
        <v/>
      </c>
      <c r="D307" s="120" t="n"/>
      <c r="E307" s="120" t="n"/>
      <c r="F307" s="120" t="n"/>
      <c r="G307" s="121" t="n"/>
      <c r="H307" s="120" t="n"/>
      <c r="I307" s="116">
        <f>IF(B307="","",IF(AND(D307="Thanh toán",F307="Tiền mặt",G307&gt;='THAM SO'!$B$11),"Tiền mặt ≥ ngưỡng: rủi ro loại khấu trừ GTGT/chi phí",IF(AND(D307="Thanh toán",F307=""),"Thiếu hình thức TT","")))</f>
        <v/>
      </c>
      <c r="J307" s="120" t="n"/>
    </row>
    <row r="308" ht="15" customHeight="1" s="64">
      <c r="A308" s="119" t="n"/>
      <c r="B308" s="120" t="n"/>
      <c r="C308" s="116">
        <f>IF(B308="","",IFERROR(INDEX('SO HOP DONG'!$H$9:$H$308,MATCH(B308,'SO HOP DONG'!$B$9:$B$308,0)),"Số HĐ không có trong sổ"))</f>
        <v/>
      </c>
      <c r="D308" s="120" t="n"/>
      <c r="E308" s="120" t="n"/>
      <c r="F308" s="120" t="n"/>
      <c r="G308" s="121" t="n"/>
      <c r="H308" s="120" t="n"/>
      <c r="I308" s="116">
        <f>IF(B308="","",IF(AND(D308="Thanh toán",F308="Tiền mặt",G308&gt;='THAM SO'!$B$11),"Tiền mặt ≥ ngưỡng: rủi ro loại khấu trừ GTGT/chi phí",IF(AND(D308="Thanh toán",F308=""),"Thiếu hình thức TT","")))</f>
        <v/>
      </c>
      <c r="J308" s="120" t="n"/>
    </row>
    <row r="309" ht="15" customHeight="1" s="64">
      <c r="A309" s="119" t="n"/>
      <c r="B309" s="120" t="n"/>
      <c r="C309" s="116">
        <f>IF(B309="","",IFERROR(INDEX('SO HOP DONG'!$H$9:$H$308,MATCH(B309,'SO HOP DONG'!$B$9:$B$308,0)),"Số HĐ không có trong sổ"))</f>
        <v/>
      </c>
      <c r="D309" s="120" t="n"/>
      <c r="E309" s="120" t="n"/>
      <c r="F309" s="120" t="n"/>
      <c r="G309" s="121" t="n"/>
      <c r="H309" s="120" t="n"/>
      <c r="I309" s="116">
        <f>IF(B309="","",IF(AND(D309="Thanh toán",F309="Tiền mặt",G309&gt;='THAM SO'!$B$11),"Tiền mặt ≥ ngưỡng: rủi ro loại khấu trừ GTGT/chi phí",IF(AND(D309="Thanh toán",F309=""),"Thiếu hình thức TT","")))</f>
        <v/>
      </c>
      <c r="J309" s="120" t="n"/>
    </row>
    <row r="310" ht="15" customHeight="1" s="64">
      <c r="A310" s="119" t="n"/>
      <c r="B310" s="120" t="n"/>
      <c r="C310" s="116">
        <f>IF(B310="","",IFERROR(INDEX('SO HOP DONG'!$H$9:$H$308,MATCH(B310,'SO HOP DONG'!$B$9:$B$308,0)),"Số HĐ không có trong sổ"))</f>
        <v/>
      </c>
      <c r="D310" s="120" t="n"/>
      <c r="E310" s="120" t="n"/>
      <c r="F310" s="120" t="n"/>
      <c r="G310" s="121" t="n"/>
      <c r="H310" s="120" t="n"/>
      <c r="I310" s="116">
        <f>IF(B310="","",IF(AND(D310="Thanh toán",F310="Tiền mặt",G310&gt;='THAM SO'!$B$11),"Tiền mặt ≥ ngưỡng: rủi ro loại khấu trừ GTGT/chi phí",IF(AND(D310="Thanh toán",F310=""),"Thiếu hình thức TT","")))</f>
        <v/>
      </c>
      <c r="J310" s="120" t="n"/>
    </row>
    <row r="311" ht="15" customHeight="1" s="64">
      <c r="A311" s="119" t="n"/>
      <c r="B311" s="120" t="n"/>
      <c r="C311" s="116">
        <f>IF(B311="","",IFERROR(INDEX('SO HOP DONG'!$H$9:$H$308,MATCH(B311,'SO HOP DONG'!$B$9:$B$308,0)),"Số HĐ không có trong sổ"))</f>
        <v/>
      </c>
      <c r="D311" s="120" t="n"/>
      <c r="E311" s="120" t="n"/>
      <c r="F311" s="120" t="n"/>
      <c r="G311" s="121" t="n"/>
      <c r="H311" s="120" t="n"/>
      <c r="I311" s="116">
        <f>IF(B311="","",IF(AND(D311="Thanh toán",F311="Tiền mặt",G311&gt;='THAM SO'!$B$11),"Tiền mặt ≥ ngưỡng: rủi ro loại khấu trừ GTGT/chi phí",IF(AND(D311="Thanh toán",F311=""),"Thiếu hình thức TT","")))</f>
        <v/>
      </c>
      <c r="J311" s="120" t="n"/>
    </row>
    <row r="312" ht="15" customHeight="1" s="64">
      <c r="A312" s="119" t="n"/>
      <c r="B312" s="120" t="n"/>
      <c r="C312" s="116">
        <f>IF(B312="","",IFERROR(INDEX('SO HOP DONG'!$H$9:$H$308,MATCH(B312,'SO HOP DONG'!$B$9:$B$308,0)),"Số HĐ không có trong sổ"))</f>
        <v/>
      </c>
      <c r="D312" s="120" t="n"/>
      <c r="E312" s="120" t="n"/>
      <c r="F312" s="120" t="n"/>
      <c r="G312" s="121" t="n"/>
      <c r="H312" s="120" t="n"/>
      <c r="I312" s="116">
        <f>IF(B312="","",IF(AND(D312="Thanh toán",F312="Tiền mặt",G312&gt;='THAM SO'!$B$11),"Tiền mặt ≥ ngưỡng: rủi ro loại khấu trừ GTGT/chi phí",IF(AND(D312="Thanh toán",F312=""),"Thiếu hình thức TT","")))</f>
        <v/>
      </c>
      <c r="J312" s="120" t="n"/>
    </row>
    <row r="313" ht="15" customHeight="1" s="64">
      <c r="A313" s="119" t="n"/>
      <c r="B313" s="120" t="n"/>
      <c r="C313" s="116">
        <f>IF(B313="","",IFERROR(INDEX('SO HOP DONG'!$H$9:$H$308,MATCH(B313,'SO HOP DONG'!$B$9:$B$308,0)),"Số HĐ không có trong sổ"))</f>
        <v/>
      </c>
      <c r="D313" s="120" t="n"/>
      <c r="E313" s="120" t="n"/>
      <c r="F313" s="120" t="n"/>
      <c r="G313" s="121" t="n"/>
      <c r="H313" s="120" t="n"/>
      <c r="I313" s="116">
        <f>IF(B313="","",IF(AND(D313="Thanh toán",F313="Tiền mặt",G313&gt;='THAM SO'!$B$11),"Tiền mặt ≥ ngưỡng: rủi ro loại khấu trừ GTGT/chi phí",IF(AND(D313="Thanh toán",F313=""),"Thiếu hình thức TT","")))</f>
        <v/>
      </c>
      <c r="J313" s="120" t="n"/>
    </row>
    <row r="314" ht="15" customHeight="1" s="64">
      <c r="A314" s="119" t="n"/>
      <c r="B314" s="120" t="n"/>
      <c r="C314" s="116">
        <f>IF(B314="","",IFERROR(INDEX('SO HOP DONG'!$H$9:$H$308,MATCH(B314,'SO HOP DONG'!$B$9:$B$308,0)),"Số HĐ không có trong sổ"))</f>
        <v/>
      </c>
      <c r="D314" s="120" t="n"/>
      <c r="E314" s="120" t="n"/>
      <c r="F314" s="120" t="n"/>
      <c r="G314" s="121" t="n"/>
      <c r="H314" s="120" t="n"/>
      <c r="I314" s="116">
        <f>IF(B314="","",IF(AND(D314="Thanh toán",F314="Tiền mặt",G314&gt;='THAM SO'!$B$11),"Tiền mặt ≥ ngưỡng: rủi ro loại khấu trừ GTGT/chi phí",IF(AND(D314="Thanh toán",F314=""),"Thiếu hình thức TT","")))</f>
        <v/>
      </c>
      <c r="J314" s="120" t="n"/>
    </row>
    <row r="315" ht="15" customHeight="1" s="64">
      <c r="A315" s="119" t="n"/>
      <c r="B315" s="120" t="n"/>
      <c r="C315" s="116">
        <f>IF(B315="","",IFERROR(INDEX('SO HOP DONG'!$H$9:$H$308,MATCH(B315,'SO HOP DONG'!$B$9:$B$308,0)),"Số HĐ không có trong sổ"))</f>
        <v/>
      </c>
      <c r="D315" s="120" t="n"/>
      <c r="E315" s="120" t="n"/>
      <c r="F315" s="120" t="n"/>
      <c r="G315" s="121" t="n"/>
      <c r="H315" s="120" t="n"/>
      <c r="I315" s="116">
        <f>IF(B315="","",IF(AND(D315="Thanh toán",F315="Tiền mặt",G315&gt;='THAM SO'!$B$11),"Tiền mặt ≥ ngưỡng: rủi ro loại khấu trừ GTGT/chi phí",IF(AND(D315="Thanh toán",F315=""),"Thiếu hình thức TT","")))</f>
        <v/>
      </c>
      <c r="J315" s="120" t="n"/>
    </row>
    <row r="316" ht="15" customHeight="1" s="64">
      <c r="A316" s="119" t="n"/>
      <c r="B316" s="120" t="n"/>
      <c r="C316" s="116">
        <f>IF(B316="","",IFERROR(INDEX('SO HOP DONG'!$H$9:$H$308,MATCH(B316,'SO HOP DONG'!$B$9:$B$308,0)),"Số HĐ không có trong sổ"))</f>
        <v/>
      </c>
      <c r="D316" s="120" t="n"/>
      <c r="E316" s="120" t="n"/>
      <c r="F316" s="120" t="n"/>
      <c r="G316" s="121" t="n"/>
      <c r="H316" s="120" t="n"/>
      <c r="I316" s="116">
        <f>IF(B316="","",IF(AND(D316="Thanh toán",F316="Tiền mặt",G316&gt;='THAM SO'!$B$11),"Tiền mặt ≥ ngưỡng: rủi ro loại khấu trừ GTGT/chi phí",IF(AND(D316="Thanh toán",F316=""),"Thiếu hình thức TT","")))</f>
        <v/>
      </c>
      <c r="J316" s="120" t="n"/>
    </row>
    <row r="317" ht="15" customHeight="1" s="64">
      <c r="A317" s="119" t="n"/>
      <c r="B317" s="120" t="n"/>
      <c r="C317" s="116">
        <f>IF(B317="","",IFERROR(INDEX('SO HOP DONG'!$H$9:$H$308,MATCH(B317,'SO HOP DONG'!$B$9:$B$308,0)),"Số HĐ không có trong sổ"))</f>
        <v/>
      </c>
      <c r="D317" s="120" t="n"/>
      <c r="E317" s="120" t="n"/>
      <c r="F317" s="120" t="n"/>
      <c r="G317" s="121" t="n"/>
      <c r="H317" s="120" t="n"/>
      <c r="I317" s="116">
        <f>IF(B317="","",IF(AND(D317="Thanh toán",F317="Tiền mặt",G317&gt;='THAM SO'!$B$11),"Tiền mặt ≥ ngưỡng: rủi ro loại khấu trừ GTGT/chi phí",IF(AND(D317="Thanh toán",F317=""),"Thiếu hình thức TT","")))</f>
        <v/>
      </c>
      <c r="J317" s="120" t="n"/>
    </row>
    <row r="318" ht="15" customHeight="1" s="64">
      <c r="A318" s="119" t="n"/>
      <c r="B318" s="120" t="n"/>
      <c r="C318" s="116">
        <f>IF(B318="","",IFERROR(INDEX('SO HOP DONG'!$H$9:$H$308,MATCH(B318,'SO HOP DONG'!$B$9:$B$308,0)),"Số HĐ không có trong sổ"))</f>
        <v/>
      </c>
      <c r="D318" s="120" t="n"/>
      <c r="E318" s="120" t="n"/>
      <c r="F318" s="120" t="n"/>
      <c r="G318" s="121" t="n"/>
      <c r="H318" s="120" t="n"/>
      <c r="I318" s="116">
        <f>IF(B318="","",IF(AND(D318="Thanh toán",F318="Tiền mặt",G318&gt;='THAM SO'!$B$11),"Tiền mặt ≥ ngưỡng: rủi ro loại khấu trừ GTGT/chi phí",IF(AND(D318="Thanh toán",F318=""),"Thiếu hình thức TT","")))</f>
        <v/>
      </c>
      <c r="J318" s="120" t="n"/>
    </row>
    <row r="319" ht="15" customHeight="1" s="64">
      <c r="A319" s="119" t="n"/>
      <c r="B319" s="120" t="n"/>
      <c r="C319" s="116">
        <f>IF(B319="","",IFERROR(INDEX('SO HOP DONG'!$H$9:$H$308,MATCH(B319,'SO HOP DONG'!$B$9:$B$308,0)),"Số HĐ không có trong sổ"))</f>
        <v/>
      </c>
      <c r="D319" s="120" t="n"/>
      <c r="E319" s="120" t="n"/>
      <c r="F319" s="120" t="n"/>
      <c r="G319" s="121" t="n"/>
      <c r="H319" s="120" t="n"/>
      <c r="I319" s="116">
        <f>IF(B319="","",IF(AND(D319="Thanh toán",F319="Tiền mặt",G319&gt;='THAM SO'!$B$11),"Tiền mặt ≥ ngưỡng: rủi ro loại khấu trừ GTGT/chi phí",IF(AND(D319="Thanh toán",F319=""),"Thiếu hình thức TT","")))</f>
        <v/>
      </c>
      <c r="J319" s="120" t="n"/>
    </row>
    <row r="320" ht="15" customHeight="1" s="64">
      <c r="A320" s="119" t="n"/>
      <c r="B320" s="120" t="n"/>
      <c r="C320" s="116">
        <f>IF(B320="","",IFERROR(INDEX('SO HOP DONG'!$H$9:$H$308,MATCH(B320,'SO HOP DONG'!$B$9:$B$308,0)),"Số HĐ không có trong sổ"))</f>
        <v/>
      </c>
      <c r="D320" s="120" t="n"/>
      <c r="E320" s="120" t="n"/>
      <c r="F320" s="120" t="n"/>
      <c r="G320" s="121" t="n"/>
      <c r="H320" s="120" t="n"/>
      <c r="I320" s="116">
        <f>IF(B320="","",IF(AND(D320="Thanh toán",F320="Tiền mặt",G320&gt;='THAM SO'!$B$11),"Tiền mặt ≥ ngưỡng: rủi ro loại khấu trừ GTGT/chi phí",IF(AND(D320="Thanh toán",F320=""),"Thiếu hình thức TT","")))</f>
        <v/>
      </c>
      <c r="J320" s="120" t="n"/>
    </row>
    <row r="321" ht="15" customHeight="1" s="64">
      <c r="A321" s="119" t="n"/>
      <c r="B321" s="120" t="n"/>
      <c r="C321" s="116">
        <f>IF(B321="","",IFERROR(INDEX('SO HOP DONG'!$H$9:$H$308,MATCH(B321,'SO HOP DONG'!$B$9:$B$308,0)),"Số HĐ không có trong sổ"))</f>
        <v/>
      </c>
      <c r="D321" s="120" t="n"/>
      <c r="E321" s="120" t="n"/>
      <c r="F321" s="120" t="n"/>
      <c r="G321" s="121" t="n"/>
      <c r="H321" s="120" t="n"/>
      <c r="I321" s="116">
        <f>IF(B321="","",IF(AND(D321="Thanh toán",F321="Tiền mặt",G321&gt;='THAM SO'!$B$11),"Tiền mặt ≥ ngưỡng: rủi ro loại khấu trừ GTGT/chi phí",IF(AND(D321="Thanh toán",F321=""),"Thiếu hình thức TT","")))</f>
        <v/>
      </c>
      <c r="J321" s="120" t="n"/>
    </row>
    <row r="322" ht="15" customHeight="1" s="64">
      <c r="A322" s="119" t="n"/>
      <c r="B322" s="120" t="n"/>
      <c r="C322" s="116">
        <f>IF(B322="","",IFERROR(INDEX('SO HOP DONG'!$H$9:$H$308,MATCH(B322,'SO HOP DONG'!$B$9:$B$308,0)),"Số HĐ không có trong sổ"))</f>
        <v/>
      </c>
      <c r="D322" s="120" t="n"/>
      <c r="E322" s="120" t="n"/>
      <c r="F322" s="120" t="n"/>
      <c r="G322" s="121" t="n"/>
      <c r="H322" s="120" t="n"/>
      <c r="I322" s="116">
        <f>IF(B322="","",IF(AND(D322="Thanh toán",F322="Tiền mặt",G322&gt;='THAM SO'!$B$11),"Tiền mặt ≥ ngưỡng: rủi ro loại khấu trừ GTGT/chi phí",IF(AND(D322="Thanh toán",F322=""),"Thiếu hình thức TT","")))</f>
        <v/>
      </c>
      <c r="J322" s="120" t="n"/>
    </row>
    <row r="323" ht="15" customHeight="1" s="64">
      <c r="A323" s="119" t="n"/>
      <c r="B323" s="120" t="n"/>
      <c r="C323" s="116">
        <f>IF(B323="","",IFERROR(INDEX('SO HOP DONG'!$H$9:$H$308,MATCH(B323,'SO HOP DONG'!$B$9:$B$308,0)),"Số HĐ không có trong sổ"))</f>
        <v/>
      </c>
      <c r="D323" s="120" t="n"/>
      <c r="E323" s="120" t="n"/>
      <c r="F323" s="120" t="n"/>
      <c r="G323" s="121" t="n"/>
      <c r="H323" s="120" t="n"/>
      <c r="I323" s="116">
        <f>IF(B323="","",IF(AND(D323="Thanh toán",F323="Tiền mặt",G323&gt;='THAM SO'!$B$11),"Tiền mặt ≥ ngưỡng: rủi ro loại khấu trừ GTGT/chi phí",IF(AND(D323="Thanh toán",F323=""),"Thiếu hình thức TT","")))</f>
        <v/>
      </c>
      <c r="J323" s="120" t="n"/>
    </row>
    <row r="324" ht="15" customHeight="1" s="64">
      <c r="A324" s="119" t="n"/>
      <c r="B324" s="120" t="n"/>
      <c r="C324" s="116">
        <f>IF(B324="","",IFERROR(INDEX('SO HOP DONG'!$H$9:$H$308,MATCH(B324,'SO HOP DONG'!$B$9:$B$308,0)),"Số HĐ không có trong sổ"))</f>
        <v/>
      </c>
      <c r="D324" s="120" t="n"/>
      <c r="E324" s="120" t="n"/>
      <c r="F324" s="120" t="n"/>
      <c r="G324" s="121" t="n"/>
      <c r="H324" s="120" t="n"/>
      <c r="I324" s="116">
        <f>IF(B324="","",IF(AND(D324="Thanh toán",F324="Tiền mặt",G324&gt;='THAM SO'!$B$11),"Tiền mặt ≥ ngưỡng: rủi ro loại khấu trừ GTGT/chi phí",IF(AND(D324="Thanh toán",F324=""),"Thiếu hình thức TT","")))</f>
        <v/>
      </c>
      <c r="J324" s="120" t="n"/>
    </row>
    <row r="325" ht="15" customHeight="1" s="64">
      <c r="A325" s="119" t="n"/>
      <c r="B325" s="120" t="n"/>
      <c r="C325" s="116">
        <f>IF(B325="","",IFERROR(INDEX('SO HOP DONG'!$H$9:$H$308,MATCH(B325,'SO HOP DONG'!$B$9:$B$308,0)),"Số HĐ không có trong sổ"))</f>
        <v/>
      </c>
      <c r="D325" s="120" t="n"/>
      <c r="E325" s="120" t="n"/>
      <c r="F325" s="120" t="n"/>
      <c r="G325" s="121" t="n"/>
      <c r="H325" s="120" t="n"/>
      <c r="I325" s="116">
        <f>IF(B325="","",IF(AND(D325="Thanh toán",F325="Tiền mặt",G325&gt;='THAM SO'!$B$11),"Tiền mặt ≥ ngưỡng: rủi ro loại khấu trừ GTGT/chi phí",IF(AND(D325="Thanh toán",F325=""),"Thiếu hình thức TT","")))</f>
        <v/>
      </c>
      <c r="J325" s="120" t="n"/>
    </row>
    <row r="326" ht="15" customHeight="1" s="64">
      <c r="A326" s="119" t="n"/>
      <c r="B326" s="120" t="n"/>
      <c r="C326" s="116">
        <f>IF(B326="","",IFERROR(INDEX('SO HOP DONG'!$H$9:$H$308,MATCH(B326,'SO HOP DONG'!$B$9:$B$308,0)),"Số HĐ không có trong sổ"))</f>
        <v/>
      </c>
      <c r="D326" s="120" t="n"/>
      <c r="E326" s="120" t="n"/>
      <c r="F326" s="120" t="n"/>
      <c r="G326" s="121" t="n"/>
      <c r="H326" s="120" t="n"/>
      <c r="I326" s="116">
        <f>IF(B326="","",IF(AND(D326="Thanh toán",F326="Tiền mặt",G326&gt;='THAM SO'!$B$11),"Tiền mặt ≥ ngưỡng: rủi ro loại khấu trừ GTGT/chi phí",IF(AND(D326="Thanh toán",F326=""),"Thiếu hình thức TT","")))</f>
        <v/>
      </c>
      <c r="J326" s="120" t="n"/>
    </row>
    <row r="327" ht="15" customHeight="1" s="64">
      <c r="A327" s="119" t="n"/>
      <c r="B327" s="120" t="n"/>
      <c r="C327" s="116">
        <f>IF(B327="","",IFERROR(INDEX('SO HOP DONG'!$H$9:$H$308,MATCH(B327,'SO HOP DONG'!$B$9:$B$308,0)),"Số HĐ không có trong sổ"))</f>
        <v/>
      </c>
      <c r="D327" s="120" t="n"/>
      <c r="E327" s="120" t="n"/>
      <c r="F327" s="120" t="n"/>
      <c r="G327" s="121" t="n"/>
      <c r="H327" s="120" t="n"/>
      <c r="I327" s="116">
        <f>IF(B327="","",IF(AND(D327="Thanh toán",F327="Tiền mặt",G327&gt;='THAM SO'!$B$11),"Tiền mặt ≥ ngưỡng: rủi ro loại khấu trừ GTGT/chi phí",IF(AND(D327="Thanh toán",F327=""),"Thiếu hình thức TT","")))</f>
        <v/>
      </c>
      <c r="J327" s="120" t="n"/>
    </row>
    <row r="328" ht="15" customHeight="1" s="64">
      <c r="A328" s="119" t="n"/>
      <c r="B328" s="120" t="n"/>
      <c r="C328" s="116">
        <f>IF(B328="","",IFERROR(INDEX('SO HOP DONG'!$H$9:$H$308,MATCH(B328,'SO HOP DONG'!$B$9:$B$308,0)),"Số HĐ không có trong sổ"))</f>
        <v/>
      </c>
      <c r="D328" s="120" t="n"/>
      <c r="E328" s="120" t="n"/>
      <c r="F328" s="120" t="n"/>
      <c r="G328" s="121" t="n"/>
      <c r="H328" s="120" t="n"/>
      <c r="I328" s="116">
        <f>IF(B328="","",IF(AND(D328="Thanh toán",F328="Tiền mặt",G328&gt;='THAM SO'!$B$11),"Tiền mặt ≥ ngưỡng: rủi ro loại khấu trừ GTGT/chi phí",IF(AND(D328="Thanh toán",F328=""),"Thiếu hình thức TT","")))</f>
        <v/>
      </c>
      <c r="J328" s="120" t="n"/>
    </row>
    <row r="329" ht="15" customHeight="1" s="64">
      <c r="A329" s="119" t="n"/>
      <c r="B329" s="120" t="n"/>
      <c r="C329" s="116">
        <f>IF(B329="","",IFERROR(INDEX('SO HOP DONG'!$H$9:$H$308,MATCH(B329,'SO HOP DONG'!$B$9:$B$308,0)),"Số HĐ không có trong sổ"))</f>
        <v/>
      </c>
      <c r="D329" s="120" t="n"/>
      <c r="E329" s="120" t="n"/>
      <c r="F329" s="120" t="n"/>
      <c r="G329" s="121" t="n"/>
      <c r="H329" s="120" t="n"/>
      <c r="I329" s="116">
        <f>IF(B329="","",IF(AND(D329="Thanh toán",F329="Tiền mặt",G329&gt;='THAM SO'!$B$11),"Tiền mặt ≥ ngưỡng: rủi ro loại khấu trừ GTGT/chi phí",IF(AND(D329="Thanh toán",F329=""),"Thiếu hình thức TT","")))</f>
        <v/>
      </c>
      <c r="J329" s="120" t="n"/>
    </row>
    <row r="330" ht="15" customHeight="1" s="64">
      <c r="A330" s="119" t="n"/>
      <c r="B330" s="120" t="n"/>
      <c r="C330" s="116">
        <f>IF(B330="","",IFERROR(INDEX('SO HOP DONG'!$H$9:$H$308,MATCH(B330,'SO HOP DONG'!$B$9:$B$308,0)),"Số HĐ không có trong sổ"))</f>
        <v/>
      </c>
      <c r="D330" s="120" t="n"/>
      <c r="E330" s="120" t="n"/>
      <c r="F330" s="120" t="n"/>
      <c r="G330" s="121" t="n"/>
      <c r="H330" s="120" t="n"/>
      <c r="I330" s="116">
        <f>IF(B330="","",IF(AND(D330="Thanh toán",F330="Tiền mặt",G330&gt;='THAM SO'!$B$11),"Tiền mặt ≥ ngưỡng: rủi ro loại khấu trừ GTGT/chi phí",IF(AND(D330="Thanh toán",F330=""),"Thiếu hình thức TT","")))</f>
        <v/>
      </c>
      <c r="J330" s="120" t="n"/>
    </row>
    <row r="331" ht="15" customHeight="1" s="64">
      <c r="A331" s="119" t="n"/>
      <c r="B331" s="120" t="n"/>
      <c r="C331" s="116">
        <f>IF(B331="","",IFERROR(INDEX('SO HOP DONG'!$H$9:$H$308,MATCH(B331,'SO HOP DONG'!$B$9:$B$308,0)),"Số HĐ không có trong sổ"))</f>
        <v/>
      </c>
      <c r="D331" s="120" t="n"/>
      <c r="E331" s="120" t="n"/>
      <c r="F331" s="120" t="n"/>
      <c r="G331" s="121" t="n"/>
      <c r="H331" s="120" t="n"/>
      <c r="I331" s="116">
        <f>IF(B331="","",IF(AND(D331="Thanh toán",F331="Tiền mặt",G331&gt;='THAM SO'!$B$11),"Tiền mặt ≥ ngưỡng: rủi ro loại khấu trừ GTGT/chi phí",IF(AND(D331="Thanh toán",F331=""),"Thiếu hình thức TT","")))</f>
        <v/>
      </c>
      <c r="J331" s="120" t="n"/>
    </row>
    <row r="332" ht="15" customHeight="1" s="64">
      <c r="A332" s="119" t="n"/>
      <c r="B332" s="120" t="n"/>
      <c r="C332" s="116">
        <f>IF(B332="","",IFERROR(INDEX('SO HOP DONG'!$H$9:$H$308,MATCH(B332,'SO HOP DONG'!$B$9:$B$308,0)),"Số HĐ không có trong sổ"))</f>
        <v/>
      </c>
      <c r="D332" s="120" t="n"/>
      <c r="E332" s="120" t="n"/>
      <c r="F332" s="120" t="n"/>
      <c r="G332" s="121" t="n"/>
      <c r="H332" s="120" t="n"/>
      <c r="I332" s="116">
        <f>IF(B332="","",IF(AND(D332="Thanh toán",F332="Tiền mặt",G332&gt;='THAM SO'!$B$11),"Tiền mặt ≥ ngưỡng: rủi ro loại khấu trừ GTGT/chi phí",IF(AND(D332="Thanh toán",F332=""),"Thiếu hình thức TT","")))</f>
        <v/>
      </c>
      <c r="J332" s="120" t="n"/>
    </row>
    <row r="333" ht="15" customHeight="1" s="64">
      <c r="A333" s="119" t="n"/>
      <c r="B333" s="120" t="n"/>
      <c r="C333" s="116">
        <f>IF(B333="","",IFERROR(INDEX('SO HOP DONG'!$H$9:$H$308,MATCH(B333,'SO HOP DONG'!$B$9:$B$308,0)),"Số HĐ không có trong sổ"))</f>
        <v/>
      </c>
      <c r="D333" s="120" t="n"/>
      <c r="E333" s="120" t="n"/>
      <c r="F333" s="120" t="n"/>
      <c r="G333" s="121" t="n"/>
      <c r="H333" s="120" t="n"/>
      <c r="I333" s="116">
        <f>IF(B333="","",IF(AND(D333="Thanh toán",F333="Tiền mặt",G333&gt;='THAM SO'!$B$11),"Tiền mặt ≥ ngưỡng: rủi ro loại khấu trừ GTGT/chi phí",IF(AND(D333="Thanh toán",F333=""),"Thiếu hình thức TT","")))</f>
        <v/>
      </c>
      <c r="J333" s="120" t="n"/>
    </row>
    <row r="334" ht="15" customHeight="1" s="64">
      <c r="A334" s="119" t="n"/>
      <c r="B334" s="120" t="n"/>
      <c r="C334" s="116">
        <f>IF(B334="","",IFERROR(INDEX('SO HOP DONG'!$H$9:$H$308,MATCH(B334,'SO HOP DONG'!$B$9:$B$308,0)),"Số HĐ không có trong sổ"))</f>
        <v/>
      </c>
      <c r="D334" s="120" t="n"/>
      <c r="E334" s="120" t="n"/>
      <c r="F334" s="120" t="n"/>
      <c r="G334" s="121" t="n"/>
      <c r="H334" s="120" t="n"/>
      <c r="I334" s="116">
        <f>IF(B334="","",IF(AND(D334="Thanh toán",F334="Tiền mặt",G334&gt;='THAM SO'!$B$11),"Tiền mặt ≥ ngưỡng: rủi ro loại khấu trừ GTGT/chi phí",IF(AND(D334="Thanh toán",F334=""),"Thiếu hình thức TT","")))</f>
        <v/>
      </c>
      <c r="J334" s="120" t="n"/>
    </row>
    <row r="335" ht="15" customHeight="1" s="64">
      <c r="A335" s="119" t="n"/>
      <c r="B335" s="120" t="n"/>
      <c r="C335" s="116">
        <f>IF(B335="","",IFERROR(INDEX('SO HOP DONG'!$H$9:$H$308,MATCH(B335,'SO HOP DONG'!$B$9:$B$308,0)),"Số HĐ không có trong sổ"))</f>
        <v/>
      </c>
      <c r="D335" s="120" t="n"/>
      <c r="E335" s="120" t="n"/>
      <c r="F335" s="120" t="n"/>
      <c r="G335" s="121" t="n"/>
      <c r="H335" s="120" t="n"/>
      <c r="I335" s="116">
        <f>IF(B335="","",IF(AND(D335="Thanh toán",F335="Tiền mặt",G335&gt;='THAM SO'!$B$11),"Tiền mặt ≥ ngưỡng: rủi ro loại khấu trừ GTGT/chi phí",IF(AND(D335="Thanh toán",F335=""),"Thiếu hình thức TT","")))</f>
        <v/>
      </c>
      <c r="J335" s="120" t="n"/>
    </row>
    <row r="336" ht="15" customHeight="1" s="64">
      <c r="A336" s="119" t="n"/>
      <c r="B336" s="120" t="n"/>
      <c r="C336" s="116">
        <f>IF(B336="","",IFERROR(INDEX('SO HOP DONG'!$H$9:$H$308,MATCH(B336,'SO HOP DONG'!$B$9:$B$308,0)),"Số HĐ không có trong sổ"))</f>
        <v/>
      </c>
      <c r="D336" s="120" t="n"/>
      <c r="E336" s="120" t="n"/>
      <c r="F336" s="120" t="n"/>
      <c r="G336" s="121" t="n"/>
      <c r="H336" s="120" t="n"/>
      <c r="I336" s="116">
        <f>IF(B336="","",IF(AND(D336="Thanh toán",F336="Tiền mặt",G336&gt;='THAM SO'!$B$11),"Tiền mặt ≥ ngưỡng: rủi ro loại khấu trừ GTGT/chi phí",IF(AND(D336="Thanh toán",F336=""),"Thiếu hình thức TT","")))</f>
        <v/>
      </c>
      <c r="J336" s="120" t="n"/>
    </row>
    <row r="337" ht="15" customHeight="1" s="64">
      <c r="A337" s="119" t="n"/>
      <c r="B337" s="120" t="n"/>
      <c r="C337" s="116">
        <f>IF(B337="","",IFERROR(INDEX('SO HOP DONG'!$H$9:$H$308,MATCH(B337,'SO HOP DONG'!$B$9:$B$308,0)),"Số HĐ không có trong sổ"))</f>
        <v/>
      </c>
      <c r="D337" s="120" t="n"/>
      <c r="E337" s="120" t="n"/>
      <c r="F337" s="120" t="n"/>
      <c r="G337" s="121" t="n"/>
      <c r="H337" s="120" t="n"/>
      <c r="I337" s="116">
        <f>IF(B337="","",IF(AND(D337="Thanh toán",F337="Tiền mặt",G337&gt;='THAM SO'!$B$11),"Tiền mặt ≥ ngưỡng: rủi ro loại khấu trừ GTGT/chi phí",IF(AND(D337="Thanh toán",F337=""),"Thiếu hình thức TT","")))</f>
        <v/>
      </c>
      <c r="J337" s="120" t="n"/>
    </row>
    <row r="338" ht="15" customHeight="1" s="64">
      <c r="A338" s="119" t="n"/>
      <c r="B338" s="120" t="n"/>
      <c r="C338" s="116">
        <f>IF(B338="","",IFERROR(INDEX('SO HOP DONG'!$H$9:$H$308,MATCH(B338,'SO HOP DONG'!$B$9:$B$308,0)),"Số HĐ không có trong sổ"))</f>
        <v/>
      </c>
      <c r="D338" s="120" t="n"/>
      <c r="E338" s="120" t="n"/>
      <c r="F338" s="120" t="n"/>
      <c r="G338" s="121" t="n"/>
      <c r="H338" s="120" t="n"/>
      <c r="I338" s="116">
        <f>IF(B338="","",IF(AND(D338="Thanh toán",F338="Tiền mặt",G338&gt;='THAM SO'!$B$11),"Tiền mặt ≥ ngưỡng: rủi ro loại khấu trừ GTGT/chi phí",IF(AND(D338="Thanh toán",F338=""),"Thiếu hình thức TT","")))</f>
        <v/>
      </c>
      <c r="J338" s="120" t="n"/>
    </row>
    <row r="339" ht="15" customHeight="1" s="64">
      <c r="A339" s="119" t="n"/>
      <c r="B339" s="120" t="n"/>
      <c r="C339" s="116">
        <f>IF(B339="","",IFERROR(INDEX('SO HOP DONG'!$H$9:$H$308,MATCH(B339,'SO HOP DONG'!$B$9:$B$308,0)),"Số HĐ không có trong sổ"))</f>
        <v/>
      </c>
      <c r="D339" s="120" t="n"/>
      <c r="E339" s="120" t="n"/>
      <c r="F339" s="120" t="n"/>
      <c r="G339" s="121" t="n"/>
      <c r="H339" s="120" t="n"/>
      <c r="I339" s="116">
        <f>IF(B339="","",IF(AND(D339="Thanh toán",F339="Tiền mặt",G339&gt;='THAM SO'!$B$11),"Tiền mặt ≥ ngưỡng: rủi ro loại khấu trừ GTGT/chi phí",IF(AND(D339="Thanh toán",F339=""),"Thiếu hình thức TT","")))</f>
        <v/>
      </c>
      <c r="J339" s="120" t="n"/>
    </row>
    <row r="340" ht="15" customHeight="1" s="64">
      <c r="A340" s="119" t="n"/>
      <c r="B340" s="120" t="n"/>
      <c r="C340" s="116">
        <f>IF(B340="","",IFERROR(INDEX('SO HOP DONG'!$H$9:$H$308,MATCH(B340,'SO HOP DONG'!$B$9:$B$308,0)),"Số HĐ không có trong sổ"))</f>
        <v/>
      </c>
      <c r="D340" s="120" t="n"/>
      <c r="E340" s="120" t="n"/>
      <c r="F340" s="120" t="n"/>
      <c r="G340" s="121" t="n"/>
      <c r="H340" s="120" t="n"/>
      <c r="I340" s="116">
        <f>IF(B340="","",IF(AND(D340="Thanh toán",F340="Tiền mặt",G340&gt;='THAM SO'!$B$11),"Tiền mặt ≥ ngưỡng: rủi ro loại khấu trừ GTGT/chi phí",IF(AND(D340="Thanh toán",F340=""),"Thiếu hình thức TT","")))</f>
        <v/>
      </c>
      <c r="J340" s="120" t="n"/>
    </row>
    <row r="341" ht="15" customHeight="1" s="64">
      <c r="A341" s="119" t="n"/>
      <c r="B341" s="120" t="n"/>
      <c r="C341" s="116">
        <f>IF(B341="","",IFERROR(INDEX('SO HOP DONG'!$H$9:$H$308,MATCH(B341,'SO HOP DONG'!$B$9:$B$308,0)),"Số HĐ không có trong sổ"))</f>
        <v/>
      </c>
      <c r="D341" s="120" t="n"/>
      <c r="E341" s="120" t="n"/>
      <c r="F341" s="120" t="n"/>
      <c r="G341" s="121" t="n"/>
      <c r="H341" s="120" t="n"/>
      <c r="I341" s="116">
        <f>IF(B341="","",IF(AND(D341="Thanh toán",F341="Tiền mặt",G341&gt;='THAM SO'!$B$11),"Tiền mặt ≥ ngưỡng: rủi ro loại khấu trừ GTGT/chi phí",IF(AND(D341="Thanh toán",F341=""),"Thiếu hình thức TT","")))</f>
        <v/>
      </c>
      <c r="J341" s="120" t="n"/>
    </row>
    <row r="342" ht="15" customHeight="1" s="64">
      <c r="A342" s="119" t="n"/>
      <c r="B342" s="120" t="n"/>
      <c r="C342" s="116">
        <f>IF(B342="","",IFERROR(INDEX('SO HOP DONG'!$H$9:$H$308,MATCH(B342,'SO HOP DONG'!$B$9:$B$308,0)),"Số HĐ không có trong sổ"))</f>
        <v/>
      </c>
      <c r="D342" s="120" t="n"/>
      <c r="E342" s="120" t="n"/>
      <c r="F342" s="120" t="n"/>
      <c r="G342" s="121" t="n"/>
      <c r="H342" s="120" t="n"/>
      <c r="I342" s="116">
        <f>IF(B342="","",IF(AND(D342="Thanh toán",F342="Tiền mặt",G342&gt;='THAM SO'!$B$11),"Tiền mặt ≥ ngưỡng: rủi ro loại khấu trừ GTGT/chi phí",IF(AND(D342="Thanh toán",F342=""),"Thiếu hình thức TT","")))</f>
        <v/>
      </c>
      <c r="J342" s="120" t="n"/>
    </row>
    <row r="343" ht="15" customHeight="1" s="64">
      <c r="A343" s="119" t="n"/>
      <c r="B343" s="120" t="n"/>
      <c r="C343" s="116">
        <f>IF(B343="","",IFERROR(INDEX('SO HOP DONG'!$H$9:$H$308,MATCH(B343,'SO HOP DONG'!$B$9:$B$308,0)),"Số HĐ không có trong sổ"))</f>
        <v/>
      </c>
      <c r="D343" s="120" t="n"/>
      <c r="E343" s="120" t="n"/>
      <c r="F343" s="120" t="n"/>
      <c r="G343" s="121" t="n"/>
      <c r="H343" s="120" t="n"/>
      <c r="I343" s="116">
        <f>IF(B343="","",IF(AND(D343="Thanh toán",F343="Tiền mặt",G343&gt;='THAM SO'!$B$11),"Tiền mặt ≥ ngưỡng: rủi ro loại khấu trừ GTGT/chi phí",IF(AND(D343="Thanh toán",F343=""),"Thiếu hình thức TT","")))</f>
        <v/>
      </c>
      <c r="J343" s="120" t="n"/>
    </row>
    <row r="344" ht="15" customHeight="1" s="64">
      <c r="A344" s="119" t="n"/>
      <c r="B344" s="120" t="n"/>
      <c r="C344" s="116">
        <f>IF(B344="","",IFERROR(INDEX('SO HOP DONG'!$H$9:$H$308,MATCH(B344,'SO HOP DONG'!$B$9:$B$308,0)),"Số HĐ không có trong sổ"))</f>
        <v/>
      </c>
      <c r="D344" s="120" t="n"/>
      <c r="E344" s="120" t="n"/>
      <c r="F344" s="120" t="n"/>
      <c r="G344" s="121" t="n"/>
      <c r="H344" s="120" t="n"/>
      <c r="I344" s="116">
        <f>IF(B344="","",IF(AND(D344="Thanh toán",F344="Tiền mặt",G344&gt;='THAM SO'!$B$11),"Tiền mặt ≥ ngưỡng: rủi ro loại khấu trừ GTGT/chi phí",IF(AND(D344="Thanh toán",F344=""),"Thiếu hình thức TT","")))</f>
        <v/>
      </c>
      <c r="J344" s="120" t="n"/>
    </row>
    <row r="345" ht="15" customHeight="1" s="64">
      <c r="A345" s="119" t="n"/>
      <c r="B345" s="120" t="n"/>
      <c r="C345" s="116">
        <f>IF(B345="","",IFERROR(INDEX('SO HOP DONG'!$H$9:$H$308,MATCH(B345,'SO HOP DONG'!$B$9:$B$308,0)),"Số HĐ không có trong sổ"))</f>
        <v/>
      </c>
      <c r="D345" s="120" t="n"/>
      <c r="E345" s="120" t="n"/>
      <c r="F345" s="120" t="n"/>
      <c r="G345" s="121" t="n"/>
      <c r="H345" s="120" t="n"/>
      <c r="I345" s="116">
        <f>IF(B345="","",IF(AND(D345="Thanh toán",F345="Tiền mặt",G345&gt;='THAM SO'!$B$11),"Tiền mặt ≥ ngưỡng: rủi ro loại khấu trừ GTGT/chi phí",IF(AND(D345="Thanh toán",F345=""),"Thiếu hình thức TT","")))</f>
        <v/>
      </c>
      <c r="J345" s="120" t="n"/>
    </row>
    <row r="346" ht="15" customHeight="1" s="64">
      <c r="A346" s="119" t="n"/>
      <c r="B346" s="120" t="n"/>
      <c r="C346" s="116">
        <f>IF(B346="","",IFERROR(INDEX('SO HOP DONG'!$H$9:$H$308,MATCH(B346,'SO HOP DONG'!$B$9:$B$308,0)),"Số HĐ không có trong sổ"))</f>
        <v/>
      </c>
      <c r="D346" s="120" t="n"/>
      <c r="E346" s="120" t="n"/>
      <c r="F346" s="120" t="n"/>
      <c r="G346" s="121" t="n"/>
      <c r="H346" s="120" t="n"/>
      <c r="I346" s="116">
        <f>IF(B346="","",IF(AND(D346="Thanh toán",F346="Tiền mặt",G346&gt;='THAM SO'!$B$11),"Tiền mặt ≥ ngưỡng: rủi ro loại khấu trừ GTGT/chi phí",IF(AND(D346="Thanh toán",F346=""),"Thiếu hình thức TT","")))</f>
        <v/>
      </c>
      <c r="J346" s="120" t="n"/>
    </row>
    <row r="347" ht="15" customHeight="1" s="64">
      <c r="A347" s="119" t="n"/>
      <c r="B347" s="120" t="n"/>
      <c r="C347" s="116">
        <f>IF(B347="","",IFERROR(INDEX('SO HOP DONG'!$H$9:$H$308,MATCH(B347,'SO HOP DONG'!$B$9:$B$308,0)),"Số HĐ không có trong sổ"))</f>
        <v/>
      </c>
      <c r="D347" s="120" t="n"/>
      <c r="E347" s="120" t="n"/>
      <c r="F347" s="120" t="n"/>
      <c r="G347" s="121" t="n"/>
      <c r="H347" s="120" t="n"/>
      <c r="I347" s="116">
        <f>IF(B347="","",IF(AND(D347="Thanh toán",F347="Tiền mặt",G347&gt;='THAM SO'!$B$11),"Tiền mặt ≥ ngưỡng: rủi ro loại khấu trừ GTGT/chi phí",IF(AND(D347="Thanh toán",F347=""),"Thiếu hình thức TT","")))</f>
        <v/>
      </c>
      <c r="J347" s="120" t="n"/>
    </row>
    <row r="348" ht="15" customHeight="1" s="64">
      <c r="A348" s="119" t="n"/>
      <c r="B348" s="120" t="n"/>
      <c r="C348" s="116">
        <f>IF(B348="","",IFERROR(INDEX('SO HOP DONG'!$H$9:$H$308,MATCH(B348,'SO HOP DONG'!$B$9:$B$308,0)),"Số HĐ không có trong sổ"))</f>
        <v/>
      </c>
      <c r="D348" s="120" t="n"/>
      <c r="E348" s="120" t="n"/>
      <c r="F348" s="120" t="n"/>
      <c r="G348" s="121" t="n"/>
      <c r="H348" s="120" t="n"/>
      <c r="I348" s="116">
        <f>IF(B348="","",IF(AND(D348="Thanh toán",F348="Tiền mặt",G348&gt;='THAM SO'!$B$11),"Tiền mặt ≥ ngưỡng: rủi ro loại khấu trừ GTGT/chi phí",IF(AND(D348="Thanh toán",F348=""),"Thiếu hình thức TT","")))</f>
        <v/>
      </c>
      <c r="J348" s="120" t="n"/>
    </row>
    <row r="349" ht="15" customHeight="1" s="64">
      <c r="A349" s="119" t="n"/>
      <c r="B349" s="120" t="n"/>
      <c r="C349" s="116">
        <f>IF(B349="","",IFERROR(INDEX('SO HOP DONG'!$H$9:$H$308,MATCH(B349,'SO HOP DONG'!$B$9:$B$308,0)),"Số HĐ không có trong sổ"))</f>
        <v/>
      </c>
      <c r="D349" s="120" t="n"/>
      <c r="E349" s="120" t="n"/>
      <c r="F349" s="120" t="n"/>
      <c r="G349" s="121" t="n"/>
      <c r="H349" s="120" t="n"/>
      <c r="I349" s="116">
        <f>IF(B349="","",IF(AND(D349="Thanh toán",F349="Tiền mặt",G349&gt;='THAM SO'!$B$11),"Tiền mặt ≥ ngưỡng: rủi ro loại khấu trừ GTGT/chi phí",IF(AND(D349="Thanh toán",F349=""),"Thiếu hình thức TT","")))</f>
        <v/>
      </c>
      <c r="J349" s="120" t="n"/>
    </row>
    <row r="350" ht="15" customHeight="1" s="64">
      <c r="A350" s="119" t="n"/>
      <c r="B350" s="120" t="n"/>
      <c r="C350" s="116">
        <f>IF(B350="","",IFERROR(INDEX('SO HOP DONG'!$H$9:$H$308,MATCH(B350,'SO HOP DONG'!$B$9:$B$308,0)),"Số HĐ không có trong sổ"))</f>
        <v/>
      </c>
      <c r="D350" s="120" t="n"/>
      <c r="E350" s="120" t="n"/>
      <c r="F350" s="120" t="n"/>
      <c r="G350" s="121" t="n"/>
      <c r="H350" s="120" t="n"/>
      <c r="I350" s="116">
        <f>IF(B350="","",IF(AND(D350="Thanh toán",F350="Tiền mặt",G350&gt;='THAM SO'!$B$11),"Tiền mặt ≥ ngưỡng: rủi ro loại khấu trừ GTGT/chi phí",IF(AND(D350="Thanh toán",F350=""),"Thiếu hình thức TT","")))</f>
        <v/>
      </c>
      <c r="J350" s="120" t="n"/>
    </row>
    <row r="351" ht="15" customHeight="1" s="64">
      <c r="A351" s="119" t="n"/>
      <c r="B351" s="120" t="n"/>
      <c r="C351" s="116">
        <f>IF(B351="","",IFERROR(INDEX('SO HOP DONG'!$H$9:$H$308,MATCH(B351,'SO HOP DONG'!$B$9:$B$308,0)),"Số HĐ không có trong sổ"))</f>
        <v/>
      </c>
      <c r="D351" s="120" t="n"/>
      <c r="E351" s="120" t="n"/>
      <c r="F351" s="120" t="n"/>
      <c r="G351" s="121" t="n"/>
      <c r="H351" s="120" t="n"/>
      <c r="I351" s="116">
        <f>IF(B351="","",IF(AND(D351="Thanh toán",F351="Tiền mặt",G351&gt;='THAM SO'!$B$11),"Tiền mặt ≥ ngưỡng: rủi ro loại khấu trừ GTGT/chi phí",IF(AND(D351="Thanh toán",F351=""),"Thiếu hình thức TT","")))</f>
        <v/>
      </c>
      <c r="J351" s="120" t="n"/>
    </row>
    <row r="352" ht="15" customHeight="1" s="64">
      <c r="A352" s="119" t="n"/>
      <c r="B352" s="120" t="n"/>
      <c r="C352" s="116">
        <f>IF(B352="","",IFERROR(INDEX('SO HOP DONG'!$H$9:$H$308,MATCH(B352,'SO HOP DONG'!$B$9:$B$308,0)),"Số HĐ không có trong sổ"))</f>
        <v/>
      </c>
      <c r="D352" s="120" t="n"/>
      <c r="E352" s="120" t="n"/>
      <c r="F352" s="120" t="n"/>
      <c r="G352" s="121" t="n"/>
      <c r="H352" s="120" t="n"/>
      <c r="I352" s="116">
        <f>IF(B352="","",IF(AND(D352="Thanh toán",F352="Tiền mặt",G352&gt;='THAM SO'!$B$11),"Tiền mặt ≥ ngưỡng: rủi ro loại khấu trừ GTGT/chi phí",IF(AND(D352="Thanh toán",F352=""),"Thiếu hình thức TT","")))</f>
        <v/>
      </c>
      <c r="J352" s="120" t="n"/>
    </row>
    <row r="353" ht="15" customHeight="1" s="64">
      <c r="A353" s="119" t="n"/>
      <c r="B353" s="120" t="n"/>
      <c r="C353" s="116">
        <f>IF(B353="","",IFERROR(INDEX('SO HOP DONG'!$H$9:$H$308,MATCH(B353,'SO HOP DONG'!$B$9:$B$308,0)),"Số HĐ không có trong sổ"))</f>
        <v/>
      </c>
      <c r="D353" s="120" t="n"/>
      <c r="E353" s="120" t="n"/>
      <c r="F353" s="120" t="n"/>
      <c r="G353" s="121" t="n"/>
      <c r="H353" s="120" t="n"/>
      <c r="I353" s="116">
        <f>IF(B353="","",IF(AND(D353="Thanh toán",F353="Tiền mặt",G353&gt;='THAM SO'!$B$11),"Tiền mặt ≥ ngưỡng: rủi ro loại khấu trừ GTGT/chi phí",IF(AND(D353="Thanh toán",F353=""),"Thiếu hình thức TT","")))</f>
        <v/>
      </c>
      <c r="J353" s="120" t="n"/>
    </row>
    <row r="354" ht="15" customHeight="1" s="64">
      <c r="A354" s="119" t="n"/>
      <c r="B354" s="120" t="n"/>
      <c r="C354" s="116">
        <f>IF(B354="","",IFERROR(INDEX('SO HOP DONG'!$H$9:$H$308,MATCH(B354,'SO HOP DONG'!$B$9:$B$308,0)),"Số HĐ không có trong sổ"))</f>
        <v/>
      </c>
      <c r="D354" s="120" t="n"/>
      <c r="E354" s="120" t="n"/>
      <c r="F354" s="120" t="n"/>
      <c r="G354" s="121" t="n"/>
      <c r="H354" s="120" t="n"/>
      <c r="I354" s="116">
        <f>IF(B354="","",IF(AND(D354="Thanh toán",F354="Tiền mặt",G354&gt;='THAM SO'!$B$11),"Tiền mặt ≥ ngưỡng: rủi ro loại khấu trừ GTGT/chi phí",IF(AND(D354="Thanh toán",F354=""),"Thiếu hình thức TT","")))</f>
        <v/>
      </c>
      <c r="J354" s="120" t="n"/>
    </row>
    <row r="355" ht="15" customHeight="1" s="64">
      <c r="A355" s="119" t="n"/>
      <c r="B355" s="120" t="n"/>
      <c r="C355" s="116">
        <f>IF(B355="","",IFERROR(INDEX('SO HOP DONG'!$H$9:$H$308,MATCH(B355,'SO HOP DONG'!$B$9:$B$308,0)),"Số HĐ không có trong sổ"))</f>
        <v/>
      </c>
      <c r="D355" s="120" t="n"/>
      <c r="E355" s="120" t="n"/>
      <c r="F355" s="120" t="n"/>
      <c r="G355" s="121" t="n"/>
      <c r="H355" s="120" t="n"/>
      <c r="I355" s="116">
        <f>IF(B355="","",IF(AND(D355="Thanh toán",F355="Tiền mặt",G355&gt;='THAM SO'!$B$11),"Tiền mặt ≥ ngưỡng: rủi ro loại khấu trừ GTGT/chi phí",IF(AND(D355="Thanh toán",F355=""),"Thiếu hình thức TT","")))</f>
        <v/>
      </c>
      <c r="J355" s="120" t="n"/>
    </row>
    <row r="356" ht="15" customHeight="1" s="64">
      <c r="A356" s="119" t="n"/>
      <c r="B356" s="120" t="n"/>
      <c r="C356" s="116">
        <f>IF(B356="","",IFERROR(INDEX('SO HOP DONG'!$H$9:$H$308,MATCH(B356,'SO HOP DONG'!$B$9:$B$308,0)),"Số HĐ không có trong sổ"))</f>
        <v/>
      </c>
      <c r="D356" s="120" t="n"/>
      <c r="E356" s="120" t="n"/>
      <c r="F356" s="120" t="n"/>
      <c r="G356" s="121" t="n"/>
      <c r="H356" s="120" t="n"/>
      <c r="I356" s="116">
        <f>IF(B356="","",IF(AND(D356="Thanh toán",F356="Tiền mặt",G356&gt;='THAM SO'!$B$11),"Tiền mặt ≥ ngưỡng: rủi ro loại khấu trừ GTGT/chi phí",IF(AND(D356="Thanh toán",F356=""),"Thiếu hình thức TT","")))</f>
        <v/>
      </c>
      <c r="J356" s="120" t="n"/>
    </row>
    <row r="357" ht="15" customHeight="1" s="64">
      <c r="A357" s="119" t="n"/>
      <c r="B357" s="120" t="n"/>
      <c r="C357" s="116">
        <f>IF(B357="","",IFERROR(INDEX('SO HOP DONG'!$H$9:$H$308,MATCH(B357,'SO HOP DONG'!$B$9:$B$308,0)),"Số HĐ không có trong sổ"))</f>
        <v/>
      </c>
      <c r="D357" s="120" t="n"/>
      <c r="E357" s="120" t="n"/>
      <c r="F357" s="120" t="n"/>
      <c r="G357" s="121" t="n"/>
      <c r="H357" s="120" t="n"/>
      <c r="I357" s="116">
        <f>IF(B357="","",IF(AND(D357="Thanh toán",F357="Tiền mặt",G357&gt;='THAM SO'!$B$11),"Tiền mặt ≥ ngưỡng: rủi ro loại khấu trừ GTGT/chi phí",IF(AND(D357="Thanh toán",F357=""),"Thiếu hình thức TT","")))</f>
        <v/>
      </c>
      <c r="J357" s="120" t="n"/>
    </row>
    <row r="358" ht="15" customHeight="1" s="64">
      <c r="A358" s="119" t="n"/>
      <c r="B358" s="120" t="n"/>
      <c r="C358" s="116">
        <f>IF(B358="","",IFERROR(INDEX('SO HOP DONG'!$H$9:$H$308,MATCH(B358,'SO HOP DONG'!$B$9:$B$308,0)),"Số HĐ không có trong sổ"))</f>
        <v/>
      </c>
      <c r="D358" s="120" t="n"/>
      <c r="E358" s="120" t="n"/>
      <c r="F358" s="120" t="n"/>
      <c r="G358" s="121" t="n"/>
      <c r="H358" s="120" t="n"/>
      <c r="I358" s="116">
        <f>IF(B358="","",IF(AND(D358="Thanh toán",F358="Tiền mặt",G358&gt;='THAM SO'!$B$11),"Tiền mặt ≥ ngưỡng: rủi ro loại khấu trừ GTGT/chi phí",IF(AND(D358="Thanh toán",F358=""),"Thiếu hình thức TT","")))</f>
        <v/>
      </c>
      <c r="J358" s="120" t="n"/>
    </row>
    <row r="359" ht="15" customHeight="1" s="64">
      <c r="A359" s="119" t="n"/>
      <c r="B359" s="120" t="n"/>
      <c r="C359" s="116">
        <f>IF(B359="","",IFERROR(INDEX('SO HOP DONG'!$H$9:$H$308,MATCH(B359,'SO HOP DONG'!$B$9:$B$308,0)),"Số HĐ không có trong sổ"))</f>
        <v/>
      </c>
      <c r="D359" s="120" t="n"/>
      <c r="E359" s="120" t="n"/>
      <c r="F359" s="120" t="n"/>
      <c r="G359" s="121" t="n"/>
      <c r="H359" s="120" t="n"/>
      <c r="I359" s="116">
        <f>IF(B359="","",IF(AND(D359="Thanh toán",F359="Tiền mặt",G359&gt;='THAM SO'!$B$11),"Tiền mặt ≥ ngưỡng: rủi ro loại khấu trừ GTGT/chi phí",IF(AND(D359="Thanh toán",F359=""),"Thiếu hình thức TT","")))</f>
        <v/>
      </c>
      <c r="J359" s="120" t="n"/>
    </row>
    <row r="360" ht="15" customHeight="1" s="64">
      <c r="A360" s="119" t="n"/>
      <c r="B360" s="120" t="n"/>
      <c r="C360" s="116">
        <f>IF(B360="","",IFERROR(INDEX('SO HOP DONG'!$H$9:$H$308,MATCH(B360,'SO HOP DONG'!$B$9:$B$308,0)),"Số HĐ không có trong sổ"))</f>
        <v/>
      </c>
      <c r="D360" s="120" t="n"/>
      <c r="E360" s="120" t="n"/>
      <c r="F360" s="120" t="n"/>
      <c r="G360" s="121" t="n"/>
      <c r="H360" s="120" t="n"/>
      <c r="I360" s="116">
        <f>IF(B360="","",IF(AND(D360="Thanh toán",F360="Tiền mặt",G360&gt;='THAM SO'!$B$11),"Tiền mặt ≥ ngưỡng: rủi ro loại khấu trừ GTGT/chi phí",IF(AND(D360="Thanh toán",F360=""),"Thiếu hình thức TT","")))</f>
        <v/>
      </c>
      <c r="J360" s="120" t="n"/>
    </row>
    <row r="361" ht="15" customHeight="1" s="64">
      <c r="A361" s="119" t="n"/>
      <c r="B361" s="120" t="n"/>
      <c r="C361" s="116">
        <f>IF(B361="","",IFERROR(INDEX('SO HOP DONG'!$H$9:$H$308,MATCH(B361,'SO HOP DONG'!$B$9:$B$308,0)),"Số HĐ không có trong sổ"))</f>
        <v/>
      </c>
      <c r="D361" s="120" t="n"/>
      <c r="E361" s="120" t="n"/>
      <c r="F361" s="120" t="n"/>
      <c r="G361" s="121" t="n"/>
      <c r="H361" s="120" t="n"/>
      <c r="I361" s="116">
        <f>IF(B361="","",IF(AND(D361="Thanh toán",F361="Tiền mặt",G361&gt;='THAM SO'!$B$11),"Tiền mặt ≥ ngưỡng: rủi ro loại khấu trừ GTGT/chi phí",IF(AND(D361="Thanh toán",F361=""),"Thiếu hình thức TT","")))</f>
        <v/>
      </c>
      <c r="J361" s="120" t="n"/>
    </row>
    <row r="362" ht="15" customHeight="1" s="64">
      <c r="A362" s="119" t="n"/>
      <c r="B362" s="120" t="n"/>
      <c r="C362" s="116">
        <f>IF(B362="","",IFERROR(INDEX('SO HOP DONG'!$H$9:$H$308,MATCH(B362,'SO HOP DONG'!$B$9:$B$308,0)),"Số HĐ không có trong sổ"))</f>
        <v/>
      </c>
      <c r="D362" s="120" t="n"/>
      <c r="E362" s="120" t="n"/>
      <c r="F362" s="120" t="n"/>
      <c r="G362" s="121" t="n"/>
      <c r="H362" s="120" t="n"/>
      <c r="I362" s="116">
        <f>IF(B362="","",IF(AND(D362="Thanh toán",F362="Tiền mặt",G362&gt;='THAM SO'!$B$11),"Tiền mặt ≥ ngưỡng: rủi ro loại khấu trừ GTGT/chi phí",IF(AND(D362="Thanh toán",F362=""),"Thiếu hình thức TT","")))</f>
        <v/>
      </c>
      <c r="J362" s="120" t="n"/>
    </row>
    <row r="363" ht="15" customHeight="1" s="64">
      <c r="A363" s="119" t="n"/>
      <c r="B363" s="120" t="n"/>
      <c r="C363" s="116">
        <f>IF(B363="","",IFERROR(INDEX('SO HOP DONG'!$H$9:$H$308,MATCH(B363,'SO HOP DONG'!$B$9:$B$308,0)),"Số HĐ không có trong sổ"))</f>
        <v/>
      </c>
      <c r="D363" s="120" t="n"/>
      <c r="E363" s="120" t="n"/>
      <c r="F363" s="120" t="n"/>
      <c r="G363" s="121" t="n"/>
      <c r="H363" s="120" t="n"/>
      <c r="I363" s="116">
        <f>IF(B363="","",IF(AND(D363="Thanh toán",F363="Tiền mặt",G363&gt;='THAM SO'!$B$11),"Tiền mặt ≥ ngưỡng: rủi ro loại khấu trừ GTGT/chi phí",IF(AND(D363="Thanh toán",F363=""),"Thiếu hình thức TT","")))</f>
        <v/>
      </c>
      <c r="J363" s="120" t="n"/>
    </row>
    <row r="364" ht="15" customHeight="1" s="64">
      <c r="A364" s="119" t="n"/>
      <c r="B364" s="120" t="n"/>
      <c r="C364" s="116">
        <f>IF(B364="","",IFERROR(INDEX('SO HOP DONG'!$H$9:$H$308,MATCH(B364,'SO HOP DONG'!$B$9:$B$308,0)),"Số HĐ không có trong sổ"))</f>
        <v/>
      </c>
      <c r="D364" s="120" t="n"/>
      <c r="E364" s="120" t="n"/>
      <c r="F364" s="120" t="n"/>
      <c r="G364" s="121" t="n"/>
      <c r="H364" s="120" t="n"/>
      <c r="I364" s="116">
        <f>IF(B364="","",IF(AND(D364="Thanh toán",F364="Tiền mặt",G364&gt;='THAM SO'!$B$11),"Tiền mặt ≥ ngưỡng: rủi ro loại khấu trừ GTGT/chi phí",IF(AND(D364="Thanh toán",F364=""),"Thiếu hình thức TT","")))</f>
        <v/>
      </c>
      <c r="J364" s="120" t="n"/>
    </row>
    <row r="365" ht="15" customHeight="1" s="64">
      <c r="A365" s="119" t="n"/>
      <c r="B365" s="120" t="n"/>
      <c r="C365" s="116">
        <f>IF(B365="","",IFERROR(INDEX('SO HOP DONG'!$H$9:$H$308,MATCH(B365,'SO HOP DONG'!$B$9:$B$308,0)),"Số HĐ không có trong sổ"))</f>
        <v/>
      </c>
      <c r="D365" s="120" t="n"/>
      <c r="E365" s="120" t="n"/>
      <c r="F365" s="120" t="n"/>
      <c r="G365" s="121" t="n"/>
      <c r="H365" s="120" t="n"/>
      <c r="I365" s="116">
        <f>IF(B365="","",IF(AND(D365="Thanh toán",F365="Tiền mặt",G365&gt;='THAM SO'!$B$11),"Tiền mặt ≥ ngưỡng: rủi ro loại khấu trừ GTGT/chi phí",IF(AND(D365="Thanh toán",F365=""),"Thiếu hình thức TT","")))</f>
        <v/>
      </c>
      <c r="J365" s="120" t="n"/>
    </row>
    <row r="366" ht="15" customHeight="1" s="64">
      <c r="A366" s="119" t="n"/>
      <c r="B366" s="120" t="n"/>
      <c r="C366" s="116">
        <f>IF(B366="","",IFERROR(INDEX('SO HOP DONG'!$H$9:$H$308,MATCH(B366,'SO HOP DONG'!$B$9:$B$308,0)),"Số HĐ không có trong sổ"))</f>
        <v/>
      </c>
      <c r="D366" s="120" t="n"/>
      <c r="E366" s="120" t="n"/>
      <c r="F366" s="120" t="n"/>
      <c r="G366" s="121" t="n"/>
      <c r="H366" s="120" t="n"/>
      <c r="I366" s="116">
        <f>IF(B366="","",IF(AND(D366="Thanh toán",F366="Tiền mặt",G366&gt;='THAM SO'!$B$11),"Tiền mặt ≥ ngưỡng: rủi ro loại khấu trừ GTGT/chi phí",IF(AND(D366="Thanh toán",F366=""),"Thiếu hình thức TT","")))</f>
        <v/>
      </c>
      <c r="J366" s="120" t="n"/>
    </row>
    <row r="367" ht="15" customHeight="1" s="64">
      <c r="A367" s="119" t="n"/>
      <c r="B367" s="120" t="n"/>
      <c r="C367" s="116">
        <f>IF(B367="","",IFERROR(INDEX('SO HOP DONG'!$H$9:$H$308,MATCH(B367,'SO HOP DONG'!$B$9:$B$308,0)),"Số HĐ không có trong sổ"))</f>
        <v/>
      </c>
      <c r="D367" s="120" t="n"/>
      <c r="E367" s="120" t="n"/>
      <c r="F367" s="120" t="n"/>
      <c r="G367" s="121" t="n"/>
      <c r="H367" s="120" t="n"/>
      <c r="I367" s="116">
        <f>IF(B367="","",IF(AND(D367="Thanh toán",F367="Tiền mặt",G367&gt;='THAM SO'!$B$11),"Tiền mặt ≥ ngưỡng: rủi ro loại khấu trừ GTGT/chi phí",IF(AND(D367="Thanh toán",F367=""),"Thiếu hình thức TT","")))</f>
        <v/>
      </c>
      <c r="J367" s="120" t="n"/>
    </row>
    <row r="368" ht="15" customHeight="1" s="64">
      <c r="A368" s="119" t="n"/>
      <c r="B368" s="120" t="n"/>
      <c r="C368" s="116">
        <f>IF(B368="","",IFERROR(INDEX('SO HOP DONG'!$H$9:$H$308,MATCH(B368,'SO HOP DONG'!$B$9:$B$308,0)),"Số HĐ không có trong sổ"))</f>
        <v/>
      </c>
      <c r="D368" s="120" t="n"/>
      <c r="E368" s="120" t="n"/>
      <c r="F368" s="120" t="n"/>
      <c r="G368" s="121" t="n"/>
      <c r="H368" s="120" t="n"/>
      <c r="I368" s="116">
        <f>IF(B368="","",IF(AND(D368="Thanh toán",F368="Tiền mặt",G368&gt;='THAM SO'!$B$11),"Tiền mặt ≥ ngưỡng: rủi ro loại khấu trừ GTGT/chi phí",IF(AND(D368="Thanh toán",F368=""),"Thiếu hình thức TT","")))</f>
        <v/>
      </c>
      <c r="J368" s="120" t="n"/>
    </row>
    <row r="369" ht="15" customHeight="1" s="64">
      <c r="A369" s="119" t="n"/>
      <c r="B369" s="120" t="n"/>
      <c r="C369" s="116">
        <f>IF(B369="","",IFERROR(INDEX('SO HOP DONG'!$H$9:$H$308,MATCH(B369,'SO HOP DONG'!$B$9:$B$308,0)),"Số HĐ không có trong sổ"))</f>
        <v/>
      </c>
      <c r="D369" s="120" t="n"/>
      <c r="E369" s="120" t="n"/>
      <c r="F369" s="120" t="n"/>
      <c r="G369" s="121" t="n"/>
      <c r="H369" s="120" t="n"/>
      <c r="I369" s="116">
        <f>IF(B369="","",IF(AND(D369="Thanh toán",F369="Tiền mặt",G369&gt;='THAM SO'!$B$11),"Tiền mặt ≥ ngưỡng: rủi ro loại khấu trừ GTGT/chi phí",IF(AND(D369="Thanh toán",F369=""),"Thiếu hình thức TT","")))</f>
        <v/>
      </c>
      <c r="J369" s="120" t="n"/>
    </row>
    <row r="370" ht="15" customHeight="1" s="64">
      <c r="A370" s="119" t="n"/>
      <c r="B370" s="120" t="n"/>
      <c r="C370" s="116">
        <f>IF(B370="","",IFERROR(INDEX('SO HOP DONG'!$H$9:$H$308,MATCH(B370,'SO HOP DONG'!$B$9:$B$308,0)),"Số HĐ không có trong sổ"))</f>
        <v/>
      </c>
      <c r="D370" s="120" t="n"/>
      <c r="E370" s="120" t="n"/>
      <c r="F370" s="120" t="n"/>
      <c r="G370" s="121" t="n"/>
      <c r="H370" s="120" t="n"/>
      <c r="I370" s="116">
        <f>IF(B370="","",IF(AND(D370="Thanh toán",F370="Tiền mặt",G370&gt;='THAM SO'!$B$11),"Tiền mặt ≥ ngưỡng: rủi ro loại khấu trừ GTGT/chi phí",IF(AND(D370="Thanh toán",F370=""),"Thiếu hình thức TT","")))</f>
        <v/>
      </c>
      <c r="J370" s="120" t="n"/>
    </row>
    <row r="371" ht="15" customHeight="1" s="64">
      <c r="A371" s="119" t="n"/>
      <c r="B371" s="120" t="n"/>
      <c r="C371" s="116">
        <f>IF(B371="","",IFERROR(INDEX('SO HOP DONG'!$H$9:$H$308,MATCH(B371,'SO HOP DONG'!$B$9:$B$308,0)),"Số HĐ không có trong sổ"))</f>
        <v/>
      </c>
      <c r="D371" s="120" t="n"/>
      <c r="E371" s="120" t="n"/>
      <c r="F371" s="120" t="n"/>
      <c r="G371" s="121" t="n"/>
      <c r="H371" s="120" t="n"/>
      <c r="I371" s="116">
        <f>IF(B371="","",IF(AND(D371="Thanh toán",F371="Tiền mặt",G371&gt;='THAM SO'!$B$11),"Tiền mặt ≥ ngưỡng: rủi ro loại khấu trừ GTGT/chi phí",IF(AND(D371="Thanh toán",F371=""),"Thiếu hình thức TT","")))</f>
        <v/>
      </c>
      <c r="J371" s="120" t="n"/>
    </row>
    <row r="372" ht="15" customHeight="1" s="64">
      <c r="A372" s="119" t="n"/>
      <c r="B372" s="120" t="n"/>
      <c r="C372" s="116">
        <f>IF(B372="","",IFERROR(INDEX('SO HOP DONG'!$H$9:$H$308,MATCH(B372,'SO HOP DONG'!$B$9:$B$308,0)),"Số HĐ không có trong sổ"))</f>
        <v/>
      </c>
      <c r="D372" s="120" t="n"/>
      <c r="E372" s="120" t="n"/>
      <c r="F372" s="120" t="n"/>
      <c r="G372" s="121" t="n"/>
      <c r="H372" s="120" t="n"/>
      <c r="I372" s="116">
        <f>IF(B372="","",IF(AND(D372="Thanh toán",F372="Tiền mặt",G372&gt;='THAM SO'!$B$11),"Tiền mặt ≥ ngưỡng: rủi ro loại khấu trừ GTGT/chi phí",IF(AND(D372="Thanh toán",F372=""),"Thiếu hình thức TT","")))</f>
        <v/>
      </c>
      <c r="J372" s="120" t="n"/>
    </row>
    <row r="373" ht="15" customHeight="1" s="64">
      <c r="A373" s="119" t="n"/>
      <c r="B373" s="120" t="n"/>
      <c r="C373" s="116">
        <f>IF(B373="","",IFERROR(INDEX('SO HOP DONG'!$H$9:$H$308,MATCH(B373,'SO HOP DONG'!$B$9:$B$308,0)),"Số HĐ không có trong sổ"))</f>
        <v/>
      </c>
      <c r="D373" s="120" t="n"/>
      <c r="E373" s="120" t="n"/>
      <c r="F373" s="120" t="n"/>
      <c r="G373" s="121" t="n"/>
      <c r="H373" s="120" t="n"/>
      <c r="I373" s="116">
        <f>IF(B373="","",IF(AND(D373="Thanh toán",F373="Tiền mặt",G373&gt;='THAM SO'!$B$11),"Tiền mặt ≥ ngưỡng: rủi ro loại khấu trừ GTGT/chi phí",IF(AND(D373="Thanh toán",F373=""),"Thiếu hình thức TT","")))</f>
        <v/>
      </c>
      <c r="J373" s="120" t="n"/>
    </row>
    <row r="374" ht="15" customHeight="1" s="64">
      <c r="A374" s="119" t="n"/>
      <c r="B374" s="120" t="n"/>
      <c r="C374" s="116">
        <f>IF(B374="","",IFERROR(INDEX('SO HOP DONG'!$H$9:$H$308,MATCH(B374,'SO HOP DONG'!$B$9:$B$308,0)),"Số HĐ không có trong sổ"))</f>
        <v/>
      </c>
      <c r="D374" s="120" t="n"/>
      <c r="E374" s="120" t="n"/>
      <c r="F374" s="120" t="n"/>
      <c r="G374" s="121" t="n"/>
      <c r="H374" s="120" t="n"/>
      <c r="I374" s="116">
        <f>IF(B374="","",IF(AND(D374="Thanh toán",F374="Tiền mặt",G374&gt;='THAM SO'!$B$11),"Tiền mặt ≥ ngưỡng: rủi ro loại khấu trừ GTGT/chi phí",IF(AND(D374="Thanh toán",F374=""),"Thiếu hình thức TT","")))</f>
        <v/>
      </c>
      <c r="J374" s="120" t="n"/>
    </row>
    <row r="375" ht="15" customHeight="1" s="64">
      <c r="A375" s="119" t="n"/>
      <c r="B375" s="120" t="n"/>
      <c r="C375" s="116">
        <f>IF(B375="","",IFERROR(INDEX('SO HOP DONG'!$H$9:$H$308,MATCH(B375,'SO HOP DONG'!$B$9:$B$308,0)),"Số HĐ không có trong sổ"))</f>
        <v/>
      </c>
      <c r="D375" s="120" t="n"/>
      <c r="E375" s="120" t="n"/>
      <c r="F375" s="120" t="n"/>
      <c r="G375" s="121" t="n"/>
      <c r="H375" s="120" t="n"/>
      <c r="I375" s="116">
        <f>IF(B375="","",IF(AND(D375="Thanh toán",F375="Tiền mặt",G375&gt;='THAM SO'!$B$11),"Tiền mặt ≥ ngưỡng: rủi ro loại khấu trừ GTGT/chi phí",IF(AND(D375="Thanh toán",F375=""),"Thiếu hình thức TT","")))</f>
        <v/>
      </c>
      <c r="J375" s="120" t="n"/>
    </row>
    <row r="376" ht="15" customHeight="1" s="64">
      <c r="A376" s="119" t="n"/>
      <c r="B376" s="120" t="n"/>
      <c r="C376" s="116">
        <f>IF(B376="","",IFERROR(INDEX('SO HOP DONG'!$H$9:$H$308,MATCH(B376,'SO HOP DONG'!$B$9:$B$308,0)),"Số HĐ không có trong sổ"))</f>
        <v/>
      </c>
      <c r="D376" s="120" t="n"/>
      <c r="E376" s="120" t="n"/>
      <c r="F376" s="120" t="n"/>
      <c r="G376" s="121" t="n"/>
      <c r="H376" s="120" t="n"/>
      <c r="I376" s="116">
        <f>IF(B376="","",IF(AND(D376="Thanh toán",F376="Tiền mặt",G376&gt;='THAM SO'!$B$11),"Tiền mặt ≥ ngưỡng: rủi ro loại khấu trừ GTGT/chi phí",IF(AND(D376="Thanh toán",F376=""),"Thiếu hình thức TT","")))</f>
        <v/>
      </c>
      <c r="J376" s="120" t="n"/>
    </row>
    <row r="377" ht="15" customHeight="1" s="64">
      <c r="A377" s="119" t="n"/>
      <c r="B377" s="120" t="n"/>
      <c r="C377" s="116">
        <f>IF(B377="","",IFERROR(INDEX('SO HOP DONG'!$H$9:$H$308,MATCH(B377,'SO HOP DONG'!$B$9:$B$308,0)),"Số HĐ không có trong sổ"))</f>
        <v/>
      </c>
      <c r="D377" s="120" t="n"/>
      <c r="E377" s="120" t="n"/>
      <c r="F377" s="120" t="n"/>
      <c r="G377" s="121" t="n"/>
      <c r="H377" s="120" t="n"/>
      <c r="I377" s="116">
        <f>IF(B377="","",IF(AND(D377="Thanh toán",F377="Tiền mặt",G377&gt;='THAM SO'!$B$11),"Tiền mặt ≥ ngưỡng: rủi ro loại khấu trừ GTGT/chi phí",IF(AND(D377="Thanh toán",F377=""),"Thiếu hình thức TT","")))</f>
        <v/>
      </c>
      <c r="J377" s="120" t="n"/>
    </row>
    <row r="378" ht="15" customHeight="1" s="64">
      <c r="A378" s="119" t="n"/>
      <c r="B378" s="120" t="n"/>
      <c r="C378" s="116">
        <f>IF(B378="","",IFERROR(INDEX('SO HOP DONG'!$H$9:$H$308,MATCH(B378,'SO HOP DONG'!$B$9:$B$308,0)),"Số HĐ không có trong sổ"))</f>
        <v/>
      </c>
      <c r="D378" s="120" t="n"/>
      <c r="E378" s="120" t="n"/>
      <c r="F378" s="120" t="n"/>
      <c r="G378" s="121" t="n"/>
      <c r="H378" s="120" t="n"/>
      <c r="I378" s="116">
        <f>IF(B378="","",IF(AND(D378="Thanh toán",F378="Tiền mặt",G378&gt;='THAM SO'!$B$11),"Tiền mặt ≥ ngưỡng: rủi ro loại khấu trừ GTGT/chi phí",IF(AND(D378="Thanh toán",F378=""),"Thiếu hình thức TT","")))</f>
        <v/>
      </c>
      <c r="J378" s="120" t="n"/>
    </row>
    <row r="379" ht="15" customHeight="1" s="64">
      <c r="A379" s="119" t="n"/>
      <c r="B379" s="120" t="n"/>
      <c r="C379" s="116">
        <f>IF(B379="","",IFERROR(INDEX('SO HOP DONG'!$H$9:$H$308,MATCH(B379,'SO HOP DONG'!$B$9:$B$308,0)),"Số HĐ không có trong sổ"))</f>
        <v/>
      </c>
      <c r="D379" s="120" t="n"/>
      <c r="E379" s="120" t="n"/>
      <c r="F379" s="120" t="n"/>
      <c r="G379" s="121" t="n"/>
      <c r="H379" s="120" t="n"/>
      <c r="I379" s="116">
        <f>IF(B379="","",IF(AND(D379="Thanh toán",F379="Tiền mặt",G379&gt;='THAM SO'!$B$11),"Tiền mặt ≥ ngưỡng: rủi ro loại khấu trừ GTGT/chi phí",IF(AND(D379="Thanh toán",F379=""),"Thiếu hình thức TT","")))</f>
        <v/>
      </c>
      <c r="J379" s="120" t="n"/>
    </row>
    <row r="380" ht="15" customHeight="1" s="64">
      <c r="A380" s="119" t="n"/>
      <c r="B380" s="120" t="n"/>
      <c r="C380" s="116">
        <f>IF(B380="","",IFERROR(INDEX('SO HOP DONG'!$H$9:$H$308,MATCH(B380,'SO HOP DONG'!$B$9:$B$308,0)),"Số HĐ không có trong sổ"))</f>
        <v/>
      </c>
      <c r="D380" s="120" t="n"/>
      <c r="E380" s="120" t="n"/>
      <c r="F380" s="120" t="n"/>
      <c r="G380" s="121" t="n"/>
      <c r="H380" s="120" t="n"/>
      <c r="I380" s="116">
        <f>IF(B380="","",IF(AND(D380="Thanh toán",F380="Tiền mặt",G380&gt;='THAM SO'!$B$11),"Tiền mặt ≥ ngưỡng: rủi ro loại khấu trừ GTGT/chi phí",IF(AND(D380="Thanh toán",F380=""),"Thiếu hình thức TT","")))</f>
        <v/>
      </c>
      <c r="J380" s="120" t="n"/>
    </row>
    <row r="381" ht="15" customHeight="1" s="64">
      <c r="A381" s="119" t="n"/>
      <c r="B381" s="120" t="n"/>
      <c r="C381" s="116">
        <f>IF(B381="","",IFERROR(INDEX('SO HOP DONG'!$H$9:$H$308,MATCH(B381,'SO HOP DONG'!$B$9:$B$308,0)),"Số HĐ không có trong sổ"))</f>
        <v/>
      </c>
      <c r="D381" s="120" t="n"/>
      <c r="E381" s="120" t="n"/>
      <c r="F381" s="120" t="n"/>
      <c r="G381" s="121" t="n"/>
      <c r="H381" s="120" t="n"/>
      <c r="I381" s="116">
        <f>IF(B381="","",IF(AND(D381="Thanh toán",F381="Tiền mặt",G381&gt;='THAM SO'!$B$11),"Tiền mặt ≥ ngưỡng: rủi ro loại khấu trừ GTGT/chi phí",IF(AND(D381="Thanh toán",F381=""),"Thiếu hình thức TT","")))</f>
        <v/>
      </c>
      <c r="J381" s="120" t="n"/>
    </row>
    <row r="382" ht="15" customHeight="1" s="64">
      <c r="A382" s="119" t="n"/>
      <c r="B382" s="120" t="n"/>
      <c r="C382" s="116">
        <f>IF(B382="","",IFERROR(INDEX('SO HOP DONG'!$H$9:$H$308,MATCH(B382,'SO HOP DONG'!$B$9:$B$308,0)),"Số HĐ không có trong sổ"))</f>
        <v/>
      </c>
      <c r="D382" s="120" t="n"/>
      <c r="E382" s="120" t="n"/>
      <c r="F382" s="120" t="n"/>
      <c r="G382" s="121" t="n"/>
      <c r="H382" s="120" t="n"/>
      <c r="I382" s="116">
        <f>IF(B382="","",IF(AND(D382="Thanh toán",F382="Tiền mặt",G382&gt;='THAM SO'!$B$11),"Tiền mặt ≥ ngưỡng: rủi ro loại khấu trừ GTGT/chi phí",IF(AND(D382="Thanh toán",F382=""),"Thiếu hình thức TT","")))</f>
        <v/>
      </c>
      <c r="J382" s="120" t="n"/>
    </row>
    <row r="383" ht="15" customHeight="1" s="64">
      <c r="A383" s="119" t="n"/>
      <c r="B383" s="120" t="n"/>
      <c r="C383" s="116">
        <f>IF(B383="","",IFERROR(INDEX('SO HOP DONG'!$H$9:$H$308,MATCH(B383,'SO HOP DONG'!$B$9:$B$308,0)),"Số HĐ không có trong sổ"))</f>
        <v/>
      </c>
      <c r="D383" s="120" t="n"/>
      <c r="E383" s="120" t="n"/>
      <c r="F383" s="120" t="n"/>
      <c r="G383" s="121" t="n"/>
      <c r="H383" s="120" t="n"/>
      <c r="I383" s="116">
        <f>IF(B383="","",IF(AND(D383="Thanh toán",F383="Tiền mặt",G383&gt;='THAM SO'!$B$11),"Tiền mặt ≥ ngưỡng: rủi ro loại khấu trừ GTGT/chi phí",IF(AND(D383="Thanh toán",F383=""),"Thiếu hình thức TT","")))</f>
        <v/>
      </c>
      <c r="J383" s="120" t="n"/>
    </row>
    <row r="384" ht="15" customHeight="1" s="64">
      <c r="A384" s="119" t="n"/>
      <c r="B384" s="120" t="n"/>
      <c r="C384" s="116">
        <f>IF(B384="","",IFERROR(INDEX('SO HOP DONG'!$H$9:$H$308,MATCH(B384,'SO HOP DONG'!$B$9:$B$308,0)),"Số HĐ không có trong sổ"))</f>
        <v/>
      </c>
      <c r="D384" s="120" t="n"/>
      <c r="E384" s="120" t="n"/>
      <c r="F384" s="120" t="n"/>
      <c r="G384" s="121" t="n"/>
      <c r="H384" s="120" t="n"/>
      <c r="I384" s="116">
        <f>IF(B384="","",IF(AND(D384="Thanh toán",F384="Tiền mặt",G384&gt;='THAM SO'!$B$11),"Tiền mặt ≥ ngưỡng: rủi ro loại khấu trừ GTGT/chi phí",IF(AND(D384="Thanh toán",F384=""),"Thiếu hình thức TT","")))</f>
        <v/>
      </c>
      <c r="J384" s="120" t="n"/>
    </row>
    <row r="385" ht="15" customHeight="1" s="64">
      <c r="A385" s="119" t="n"/>
      <c r="B385" s="120" t="n"/>
      <c r="C385" s="116">
        <f>IF(B385="","",IFERROR(INDEX('SO HOP DONG'!$H$9:$H$308,MATCH(B385,'SO HOP DONG'!$B$9:$B$308,0)),"Số HĐ không có trong sổ"))</f>
        <v/>
      </c>
      <c r="D385" s="120" t="n"/>
      <c r="E385" s="120" t="n"/>
      <c r="F385" s="120" t="n"/>
      <c r="G385" s="121" t="n"/>
      <c r="H385" s="120" t="n"/>
      <c r="I385" s="116">
        <f>IF(B385="","",IF(AND(D385="Thanh toán",F385="Tiền mặt",G385&gt;='THAM SO'!$B$11),"Tiền mặt ≥ ngưỡng: rủi ro loại khấu trừ GTGT/chi phí",IF(AND(D385="Thanh toán",F385=""),"Thiếu hình thức TT","")))</f>
        <v/>
      </c>
      <c r="J385" s="120" t="n"/>
    </row>
    <row r="386" ht="15" customHeight="1" s="64">
      <c r="A386" s="119" t="n"/>
      <c r="B386" s="120" t="n"/>
      <c r="C386" s="116">
        <f>IF(B386="","",IFERROR(INDEX('SO HOP DONG'!$H$9:$H$308,MATCH(B386,'SO HOP DONG'!$B$9:$B$308,0)),"Số HĐ không có trong sổ"))</f>
        <v/>
      </c>
      <c r="D386" s="120" t="n"/>
      <c r="E386" s="120" t="n"/>
      <c r="F386" s="120" t="n"/>
      <c r="G386" s="121" t="n"/>
      <c r="H386" s="120" t="n"/>
      <c r="I386" s="116">
        <f>IF(B386="","",IF(AND(D386="Thanh toán",F386="Tiền mặt",G386&gt;='THAM SO'!$B$11),"Tiền mặt ≥ ngưỡng: rủi ro loại khấu trừ GTGT/chi phí",IF(AND(D386="Thanh toán",F386=""),"Thiếu hình thức TT","")))</f>
        <v/>
      </c>
      <c r="J386" s="120" t="n"/>
    </row>
    <row r="387" ht="15" customHeight="1" s="64">
      <c r="A387" s="119" t="n"/>
      <c r="B387" s="120" t="n"/>
      <c r="C387" s="116">
        <f>IF(B387="","",IFERROR(INDEX('SO HOP DONG'!$H$9:$H$308,MATCH(B387,'SO HOP DONG'!$B$9:$B$308,0)),"Số HĐ không có trong sổ"))</f>
        <v/>
      </c>
      <c r="D387" s="120" t="n"/>
      <c r="E387" s="120" t="n"/>
      <c r="F387" s="120" t="n"/>
      <c r="G387" s="121" t="n"/>
      <c r="H387" s="120" t="n"/>
      <c r="I387" s="116">
        <f>IF(B387="","",IF(AND(D387="Thanh toán",F387="Tiền mặt",G387&gt;='THAM SO'!$B$11),"Tiền mặt ≥ ngưỡng: rủi ro loại khấu trừ GTGT/chi phí",IF(AND(D387="Thanh toán",F387=""),"Thiếu hình thức TT","")))</f>
        <v/>
      </c>
      <c r="J387" s="120" t="n"/>
    </row>
    <row r="388" ht="15" customHeight="1" s="64">
      <c r="A388" s="119" t="n"/>
      <c r="B388" s="120" t="n"/>
      <c r="C388" s="116">
        <f>IF(B388="","",IFERROR(INDEX('SO HOP DONG'!$H$9:$H$308,MATCH(B388,'SO HOP DONG'!$B$9:$B$308,0)),"Số HĐ không có trong sổ"))</f>
        <v/>
      </c>
      <c r="D388" s="120" t="n"/>
      <c r="E388" s="120" t="n"/>
      <c r="F388" s="120" t="n"/>
      <c r="G388" s="121" t="n"/>
      <c r="H388" s="120" t="n"/>
      <c r="I388" s="116">
        <f>IF(B388="","",IF(AND(D388="Thanh toán",F388="Tiền mặt",G388&gt;='THAM SO'!$B$11),"Tiền mặt ≥ ngưỡng: rủi ro loại khấu trừ GTGT/chi phí",IF(AND(D388="Thanh toán",F388=""),"Thiếu hình thức TT","")))</f>
        <v/>
      </c>
      <c r="J388" s="120" t="n"/>
    </row>
    <row r="389" ht="15" customHeight="1" s="64">
      <c r="A389" s="119" t="n"/>
      <c r="B389" s="120" t="n"/>
      <c r="C389" s="116">
        <f>IF(B389="","",IFERROR(INDEX('SO HOP DONG'!$H$9:$H$308,MATCH(B389,'SO HOP DONG'!$B$9:$B$308,0)),"Số HĐ không có trong sổ"))</f>
        <v/>
      </c>
      <c r="D389" s="120" t="n"/>
      <c r="E389" s="120" t="n"/>
      <c r="F389" s="120" t="n"/>
      <c r="G389" s="121" t="n"/>
      <c r="H389" s="120" t="n"/>
      <c r="I389" s="116">
        <f>IF(B389="","",IF(AND(D389="Thanh toán",F389="Tiền mặt",G389&gt;='THAM SO'!$B$11),"Tiền mặt ≥ ngưỡng: rủi ro loại khấu trừ GTGT/chi phí",IF(AND(D389="Thanh toán",F389=""),"Thiếu hình thức TT","")))</f>
        <v/>
      </c>
      <c r="J389" s="120" t="n"/>
    </row>
    <row r="390" ht="15" customHeight="1" s="64">
      <c r="A390" s="119" t="n"/>
      <c r="B390" s="120" t="n"/>
      <c r="C390" s="116">
        <f>IF(B390="","",IFERROR(INDEX('SO HOP DONG'!$H$9:$H$308,MATCH(B390,'SO HOP DONG'!$B$9:$B$308,0)),"Số HĐ không có trong sổ"))</f>
        <v/>
      </c>
      <c r="D390" s="120" t="n"/>
      <c r="E390" s="120" t="n"/>
      <c r="F390" s="120" t="n"/>
      <c r="G390" s="121" t="n"/>
      <c r="H390" s="120" t="n"/>
      <c r="I390" s="116">
        <f>IF(B390="","",IF(AND(D390="Thanh toán",F390="Tiền mặt",G390&gt;='THAM SO'!$B$11),"Tiền mặt ≥ ngưỡng: rủi ro loại khấu trừ GTGT/chi phí",IF(AND(D390="Thanh toán",F390=""),"Thiếu hình thức TT","")))</f>
        <v/>
      </c>
      <c r="J390" s="120" t="n"/>
    </row>
    <row r="391" ht="15" customHeight="1" s="64">
      <c r="A391" s="119" t="n"/>
      <c r="B391" s="120" t="n"/>
      <c r="C391" s="116">
        <f>IF(B391="","",IFERROR(INDEX('SO HOP DONG'!$H$9:$H$308,MATCH(B391,'SO HOP DONG'!$B$9:$B$308,0)),"Số HĐ không có trong sổ"))</f>
        <v/>
      </c>
      <c r="D391" s="120" t="n"/>
      <c r="E391" s="120" t="n"/>
      <c r="F391" s="120" t="n"/>
      <c r="G391" s="121" t="n"/>
      <c r="H391" s="120" t="n"/>
      <c r="I391" s="116">
        <f>IF(B391="","",IF(AND(D391="Thanh toán",F391="Tiền mặt",G391&gt;='THAM SO'!$B$11),"Tiền mặt ≥ ngưỡng: rủi ro loại khấu trừ GTGT/chi phí",IF(AND(D391="Thanh toán",F391=""),"Thiếu hình thức TT","")))</f>
        <v/>
      </c>
      <c r="J391" s="120" t="n"/>
    </row>
    <row r="392" ht="15" customHeight="1" s="64">
      <c r="A392" s="119" t="n"/>
      <c r="B392" s="120" t="n"/>
      <c r="C392" s="116">
        <f>IF(B392="","",IFERROR(INDEX('SO HOP DONG'!$H$9:$H$308,MATCH(B392,'SO HOP DONG'!$B$9:$B$308,0)),"Số HĐ không có trong sổ"))</f>
        <v/>
      </c>
      <c r="D392" s="120" t="n"/>
      <c r="E392" s="120" t="n"/>
      <c r="F392" s="120" t="n"/>
      <c r="G392" s="121" t="n"/>
      <c r="H392" s="120" t="n"/>
      <c r="I392" s="116">
        <f>IF(B392="","",IF(AND(D392="Thanh toán",F392="Tiền mặt",G392&gt;='THAM SO'!$B$11),"Tiền mặt ≥ ngưỡng: rủi ro loại khấu trừ GTGT/chi phí",IF(AND(D392="Thanh toán",F392=""),"Thiếu hình thức TT","")))</f>
        <v/>
      </c>
      <c r="J392" s="120" t="n"/>
    </row>
    <row r="393" ht="15" customHeight="1" s="64">
      <c r="A393" s="119" t="n"/>
      <c r="B393" s="120" t="n"/>
      <c r="C393" s="116">
        <f>IF(B393="","",IFERROR(INDEX('SO HOP DONG'!$H$9:$H$308,MATCH(B393,'SO HOP DONG'!$B$9:$B$308,0)),"Số HĐ không có trong sổ"))</f>
        <v/>
      </c>
      <c r="D393" s="120" t="n"/>
      <c r="E393" s="120" t="n"/>
      <c r="F393" s="120" t="n"/>
      <c r="G393" s="121" t="n"/>
      <c r="H393" s="120" t="n"/>
      <c r="I393" s="116">
        <f>IF(B393="","",IF(AND(D393="Thanh toán",F393="Tiền mặt",G393&gt;='THAM SO'!$B$11),"Tiền mặt ≥ ngưỡng: rủi ro loại khấu trừ GTGT/chi phí",IF(AND(D393="Thanh toán",F393=""),"Thiếu hình thức TT","")))</f>
        <v/>
      </c>
      <c r="J393" s="120" t="n"/>
    </row>
    <row r="394" ht="15" customHeight="1" s="64">
      <c r="A394" s="119" t="n"/>
      <c r="B394" s="120" t="n"/>
      <c r="C394" s="116">
        <f>IF(B394="","",IFERROR(INDEX('SO HOP DONG'!$H$9:$H$308,MATCH(B394,'SO HOP DONG'!$B$9:$B$308,0)),"Số HĐ không có trong sổ"))</f>
        <v/>
      </c>
      <c r="D394" s="120" t="n"/>
      <c r="E394" s="120" t="n"/>
      <c r="F394" s="120" t="n"/>
      <c r="G394" s="121" t="n"/>
      <c r="H394" s="120" t="n"/>
      <c r="I394" s="116">
        <f>IF(B394="","",IF(AND(D394="Thanh toán",F394="Tiền mặt",G394&gt;='THAM SO'!$B$11),"Tiền mặt ≥ ngưỡng: rủi ro loại khấu trừ GTGT/chi phí",IF(AND(D394="Thanh toán",F394=""),"Thiếu hình thức TT","")))</f>
        <v/>
      </c>
      <c r="J394" s="120" t="n"/>
    </row>
    <row r="395" ht="15" customHeight="1" s="64">
      <c r="A395" s="119" t="n"/>
      <c r="B395" s="120" t="n"/>
      <c r="C395" s="116">
        <f>IF(B395="","",IFERROR(INDEX('SO HOP DONG'!$H$9:$H$308,MATCH(B395,'SO HOP DONG'!$B$9:$B$308,0)),"Số HĐ không có trong sổ"))</f>
        <v/>
      </c>
      <c r="D395" s="120" t="n"/>
      <c r="E395" s="120" t="n"/>
      <c r="F395" s="120" t="n"/>
      <c r="G395" s="121" t="n"/>
      <c r="H395" s="120" t="n"/>
      <c r="I395" s="116">
        <f>IF(B395="","",IF(AND(D395="Thanh toán",F395="Tiền mặt",G395&gt;='THAM SO'!$B$11),"Tiền mặt ≥ ngưỡng: rủi ro loại khấu trừ GTGT/chi phí",IF(AND(D395="Thanh toán",F395=""),"Thiếu hình thức TT","")))</f>
        <v/>
      </c>
      <c r="J395" s="120" t="n"/>
    </row>
    <row r="396" ht="15" customHeight="1" s="64">
      <c r="A396" s="119" t="n"/>
      <c r="B396" s="120" t="n"/>
      <c r="C396" s="116">
        <f>IF(B396="","",IFERROR(INDEX('SO HOP DONG'!$H$9:$H$308,MATCH(B396,'SO HOP DONG'!$B$9:$B$308,0)),"Số HĐ không có trong sổ"))</f>
        <v/>
      </c>
      <c r="D396" s="120" t="n"/>
      <c r="E396" s="120" t="n"/>
      <c r="F396" s="120" t="n"/>
      <c r="G396" s="121" t="n"/>
      <c r="H396" s="120" t="n"/>
      <c r="I396" s="116">
        <f>IF(B396="","",IF(AND(D396="Thanh toán",F396="Tiền mặt",G396&gt;='THAM SO'!$B$11),"Tiền mặt ≥ ngưỡng: rủi ro loại khấu trừ GTGT/chi phí",IF(AND(D396="Thanh toán",F396=""),"Thiếu hình thức TT","")))</f>
        <v/>
      </c>
      <c r="J396" s="120" t="n"/>
    </row>
    <row r="397" ht="15" customHeight="1" s="64">
      <c r="A397" s="119" t="n"/>
      <c r="B397" s="120" t="n"/>
      <c r="C397" s="116">
        <f>IF(B397="","",IFERROR(INDEX('SO HOP DONG'!$H$9:$H$308,MATCH(B397,'SO HOP DONG'!$B$9:$B$308,0)),"Số HĐ không có trong sổ"))</f>
        <v/>
      </c>
      <c r="D397" s="120" t="n"/>
      <c r="E397" s="120" t="n"/>
      <c r="F397" s="120" t="n"/>
      <c r="G397" s="121" t="n"/>
      <c r="H397" s="120" t="n"/>
      <c r="I397" s="116">
        <f>IF(B397="","",IF(AND(D397="Thanh toán",F397="Tiền mặt",G397&gt;='THAM SO'!$B$11),"Tiền mặt ≥ ngưỡng: rủi ro loại khấu trừ GTGT/chi phí",IF(AND(D397="Thanh toán",F397=""),"Thiếu hình thức TT","")))</f>
        <v/>
      </c>
      <c r="J397" s="120" t="n"/>
    </row>
    <row r="398" ht="15" customHeight="1" s="64">
      <c r="A398" s="119" t="n"/>
      <c r="B398" s="120" t="n"/>
      <c r="C398" s="116">
        <f>IF(B398="","",IFERROR(INDEX('SO HOP DONG'!$H$9:$H$308,MATCH(B398,'SO HOP DONG'!$B$9:$B$308,0)),"Số HĐ không có trong sổ"))</f>
        <v/>
      </c>
      <c r="D398" s="120" t="n"/>
      <c r="E398" s="120" t="n"/>
      <c r="F398" s="120" t="n"/>
      <c r="G398" s="121" t="n"/>
      <c r="H398" s="120" t="n"/>
      <c r="I398" s="116">
        <f>IF(B398="","",IF(AND(D398="Thanh toán",F398="Tiền mặt",G398&gt;='THAM SO'!$B$11),"Tiền mặt ≥ ngưỡng: rủi ro loại khấu trừ GTGT/chi phí",IF(AND(D398="Thanh toán",F398=""),"Thiếu hình thức TT","")))</f>
        <v/>
      </c>
      <c r="J398" s="120" t="n"/>
    </row>
    <row r="399" ht="15" customHeight="1" s="64">
      <c r="A399" s="119" t="n"/>
      <c r="B399" s="120" t="n"/>
      <c r="C399" s="116">
        <f>IF(B399="","",IFERROR(INDEX('SO HOP DONG'!$H$9:$H$308,MATCH(B399,'SO HOP DONG'!$B$9:$B$308,0)),"Số HĐ không có trong sổ"))</f>
        <v/>
      </c>
      <c r="D399" s="120" t="n"/>
      <c r="E399" s="120" t="n"/>
      <c r="F399" s="120" t="n"/>
      <c r="G399" s="121" t="n"/>
      <c r="H399" s="120" t="n"/>
      <c r="I399" s="116">
        <f>IF(B399="","",IF(AND(D399="Thanh toán",F399="Tiền mặt",G399&gt;='THAM SO'!$B$11),"Tiền mặt ≥ ngưỡng: rủi ro loại khấu trừ GTGT/chi phí",IF(AND(D399="Thanh toán",F399=""),"Thiếu hình thức TT","")))</f>
        <v/>
      </c>
      <c r="J399" s="120" t="n"/>
    </row>
    <row r="400" ht="15" customHeight="1" s="64">
      <c r="A400" s="119" t="n"/>
      <c r="B400" s="120" t="n"/>
      <c r="C400" s="116">
        <f>IF(B400="","",IFERROR(INDEX('SO HOP DONG'!$H$9:$H$308,MATCH(B400,'SO HOP DONG'!$B$9:$B$308,0)),"Số HĐ không có trong sổ"))</f>
        <v/>
      </c>
      <c r="D400" s="120" t="n"/>
      <c r="E400" s="120" t="n"/>
      <c r="F400" s="120" t="n"/>
      <c r="G400" s="121" t="n"/>
      <c r="H400" s="120" t="n"/>
      <c r="I400" s="116">
        <f>IF(B400="","",IF(AND(D400="Thanh toán",F400="Tiền mặt",G400&gt;='THAM SO'!$B$11),"Tiền mặt ≥ ngưỡng: rủi ro loại khấu trừ GTGT/chi phí",IF(AND(D400="Thanh toán",F400=""),"Thiếu hình thức TT","")))</f>
        <v/>
      </c>
      <c r="J400" s="120" t="n"/>
    </row>
    <row r="401" ht="15" customHeight="1" s="64">
      <c r="A401" s="119" t="n"/>
      <c r="B401" s="120" t="n"/>
      <c r="C401" s="116">
        <f>IF(B401="","",IFERROR(INDEX('SO HOP DONG'!$H$9:$H$308,MATCH(B401,'SO HOP DONG'!$B$9:$B$308,0)),"Số HĐ không có trong sổ"))</f>
        <v/>
      </c>
      <c r="D401" s="120" t="n"/>
      <c r="E401" s="120" t="n"/>
      <c r="F401" s="120" t="n"/>
      <c r="G401" s="121" t="n"/>
      <c r="H401" s="120" t="n"/>
      <c r="I401" s="116">
        <f>IF(B401="","",IF(AND(D401="Thanh toán",F401="Tiền mặt",G401&gt;='THAM SO'!$B$11),"Tiền mặt ≥ ngưỡng: rủi ro loại khấu trừ GTGT/chi phí",IF(AND(D401="Thanh toán",F401=""),"Thiếu hình thức TT","")))</f>
        <v/>
      </c>
      <c r="J401" s="120" t="n"/>
    </row>
    <row r="402" ht="15" customHeight="1" s="64">
      <c r="A402" s="119" t="n"/>
      <c r="B402" s="120" t="n"/>
      <c r="C402" s="116">
        <f>IF(B402="","",IFERROR(INDEX('SO HOP DONG'!$H$9:$H$308,MATCH(B402,'SO HOP DONG'!$B$9:$B$308,0)),"Số HĐ không có trong sổ"))</f>
        <v/>
      </c>
      <c r="D402" s="120" t="n"/>
      <c r="E402" s="120" t="n"/>
      <c r="F402" s="120" t="n"/>
      <c r="G402" s="121" t="n"/>
      <c r="H402" s="120" t="n"/>
      <c r="I402" s="116">
        <f>IF(B402="","",IF(AND(D402="Thanh toán",F402="Tiền mặt",G402&gt;='THAM SO'!$B$11),"Tiền mặt ≥ ngưỡng: rủi ro loại khấu trừ GTGT/chi phí",IF(AND(D402="Thanh toán",F402=""),"Thiếu hình thức TT","")))</f>
        <v/>
      </c>
      <c r="J402" s="120" t="n"/>
    </row>
    <row r="403" ht="15" customHeight="1" s="64">
      <c r="A403" s="119" t="n"/>
      <c r="B403" s="120" t="n"/>
      <c r="C403" s="116">
        <f>IF(B403="","",IFERROR(INDEX('SO HOP DONG'!$H$9:$H$308,MATCH(B403,'SO HOP DONG'!$B$9:$B$308,0)),"Số HĐ không có trong sổ"))</f>
        <v/>
      </c>
      <c r="D403" s="120" t="n"/>
      <c r="E403" s="120" t="n"/>
      <c r="F403" s="120" t="n"/>
      <c r="G403" s="121" t="n"/>
      <c r="H403" s="120" t="n"/>
      <c r="I403" s="116">
        <f>IF(B403="","",IF(AND(D403="Thanh toán",F403="Tiền mặt",G403&gt;='THAM SO'!$B$11),"Tiền mặt ≥ ngưỡng: rủi ro loại khấu trừ GTGT/chi phí",IF(AND(D403="Thanh toán",F403=""),"Thiếu hình thức TT","")))</f>
        <v/>
      </c>
      <c r="J403" s="120" t="n"/>
    </row>
    <row r="404" ht="15" customHeight="1" s="64">
      <c r="A404" s="119" t="n"/>
      <c r="B404" s="120" t="n"/>
      <c r="C404" s="116">
        <f>IF(B404="","",IFERROR(INDEX('SO HOP DONG'!$H$9:$H$308,MATCH(B404,'SO HOP DONG'!$B$9:$B$308,0)),"Số HĐ không có trong sổ"))</f>
        <v/>
      </c>
      <c r="D404" s="120" t="n"/>
      <c r="E404" s="120" t="n"/>
      <c r="F404" s="120" t="n"/>
      <c r="G404" s="121" t="n"/>
      <c r="H404" s="120" t="n"/>
      <c r="I404" s="116">
        <f>IF(B404="","",IF(AND(D404="Thanh toán",F404="Tiền mặt",G404&gt;='THAM SO'!$B$11),"Tiền mặt ≥ ngưỡng: rủi ro loại khấu trừ GTGT/chi phí",IF(AND(D404="Thanh toán",F404=""),"Thiếu hình thức TT","")))</f>
        <v/>
      </c>
      <c r="J404" s="120" t="n"/>
    </row>
    <row r="405" ht="15" customHeight="1" s="64">
      <c r="A405" s="119" t="n"/>
      <c r="B405" s="120" t="n"/>
      <c r="C405" s="116">
        <f>IF(B405="","",IFERROR(INDEX('SO HOP DONG'!$H$9:$H$308,MATCH(B405,'SO HOP DONG'!$B$9:$B$308,0)),"Số HĐ không có trong sổ"))</f>
        <v/>
      </c>
      <c r="D405" s="120" t="n"/>
      <c r="E405" s="120" t="n"/>
      <c r="F405" s="120" t="n"/>
      <c r="G405" s="121" t="n"/>
      <c r="H405" s="120" t="n"/>
      <c r="I405" s="116">
        <f>IF(B405="","",IF(AND(D405="Thanh toán",F405="Tiền mặt",G405&gt;='THAM SO'!$B$11),"Tiền mặt ≥ ngưỡng: rủi ro loại khấu trừ GTGT/chi phí",IF(AND(D405="Thanh toán",F405=""),"Thiếu hình thức TT","")))</f>
        <v/>
      </c>
      <c r="J405" s="120" t="n"/>
    </row>
    <row r="406" ht="15" customHeight="1" s="64">
      <c r="A406" s="119" t="n"/>
      <c r="B406" s="120" t="n"/>
      <c r="C406" s="116">
        <f>IF(B406="","",IFERROR(INDEX('SO HOP DONG'!$H$9:$H$308,MATCH(B406,'SO HOP DONG'!$B$9:$B$308,0)),"Số HĐ không có trong sổ"))</f>
        <v/>
      </c>
      <c r="D406" s="120" t="n"/>
      <c r="E406" s="120" t="n"/>
      <c r="F406" s="120" t="n"/>
      <c r="G406" s="121" t="n"/>
      <c r="H406" s="120" t="n"/>
      <c r="I406" s="116">
        <f>IF(B406="","",IF(AND(D406="Thanh toán",F406="Tiền mặt",G406&gt;='THAM SO'!$B$11),"Tiền mặt ≥ ngưỡng: rủi ro loại khấu trừ GTGT/chi phí",IF(AND(D406="Thanh toán",F406=""),"Thiếu hình thức TT","")))</f>
        <v/>
      </c>
      <c r="J406" s="120" t="n"/>
    </row>
    <row r="407" ht="15" customHeight="1" s="64">
      <c r="A407" s="119" t="n"/>
      <c r="B407" s="120" t="n"/>
      <c r="C407" s="116">
        <f>IF(B407="","",IFERROR(INDEX('SO HOP DONG'!$H$9:$H$308,MATCH(B407,'SO HOP DONG'!$B$9:$B$308,0)),"Số HĐ không có trong sổ"))</f>
        <v/>
      </c>
      <c r="D407" s="120" t="n"/>
      <c r="E407" s="120" t="n"/>
      <c r="F407" s="120" t="n"/>
      <c r="G407" s="121" t="n"/>
      <c r="H407" s="120" t="n"/>
      <c r="I407" s="116">
        <f>IF(B407="","",IF(AND(D407="Thanh toán",F407="Tiền mặt",G407&gt;='THAM SO'!$B$11),"Tiền mặt ≥ ngưỡng: rủi ro loại khấu trừ GTGT/chi phí",IF(AND(D407="Thanh toán",F407=""),"Thiếu hình thức TT","")))</f>
        <v/>
      </c>
      <c r="J407" s="120" t="n"/>
    </row>
    <row r="408" ht="15" customHeight="1" s="64">
      <c r="A408" s="119" t="n"/>
      <c r="B408" s="120" t="n"/>
      <c r="C408" s="116">
        <f>IF(B408="","",IFERROR(INDEX('SO HOP DONG'!$H$9:$H$308,MATCH(B408,'SO HOP DONG'!$B$9:$B$308,0)),"Số HĐ không có trong sổ"))</f>
        <v/>
      </c>
      <c r="D408" s="120" t="n"/>
      <c r="E408" s="120" t="n"/>
      <c r="F408" s="120" t="n"/>
      <c r="G408" s="121" t="n"/>
      <c r="H408" s="120" t="n"/>
      <c r="I408" s="116">
        <f>IF(B408="","",IF(AND(D408="Thanh toán",F408="Tiền mặt",G408&gt;='THAM SO'!$B$11),"Tiền mặt ≥ ngưỡng: rủi ro loại khấu trừ GTGT/chi phí",IF(AND(D408="Thanh toán",F408=""),"Thiếu hình thức TT","")))</f>
        <v/>
      </c>
      <c r="J408" s="120" t="n"/>
    </row>
    <row r="409" ht="15" customHeight="1" s="64">
      <c r="A409" s="119" t="n"/>
      <c r="B409" s="120" t="n"/>
      <c r="C409" s="116">
        <f>IF(B409="","",IFERROR(INDEX('SO HOP DONG'!$H$9:$H$308,MATCH(B409,'SO HOP DONG'!$B$9:$B$308,0)),"Số HĐ không có trong sổ"))</f>
        <v/>
      </c>
      <c r="D409" s="120" t="n"/>
      <c r="E409" s="120" t="n"/>
      <c r="F409" s="120" t="n"/>
      <c r="G409" s="121" t="n"/>
      <c r="H409" s="120" t="n"/>
      <c r="I409" s="116">
        <f>IF(B409="","",IF(AND(D409="Thanh toán",F409="Tiền mặt",G409&gt;='THAM SO'!$B$11),"Tiền mặt ≥ ngưỡng: rủi ro loại khấu trừ GTGT/chi phí",IF(AND(D409="Thanh toán",F409=""),"Thiếu hình thức TT","")))</f>
        <v/>
      </c>
      <c r="J409" s="120" t="n"/>
    </row>
    <row r="410" ht="15" customHeight="1" s="64">
      <c r="A410" s="119" t="n"/>
      <c r="B410" s="120" t="n"/>
      <c r="C410" s="116">
        <f>IF(B410="","",IFERROR(INDEX('SO HOP DONG'!$H$9:$H$308,MATCH(B410,'SO HOP DONG'!$B$9:$B$308,0)),"Số HĐ không có trong sổ"))</f>
        <v/>
      </c>
      <c r="D410" s="120" t="n"/>
      <c r="E410" s="120" t="n"/>
      <c r="F410" s="120" t="n"/>
      <c r="G410" s="121" t="n"/>
      <c r="H410" s="120" t="n"/>
      <c r="I410" s="116">
        <f>IF(B410="","",IF(AND(D410="Thanh toán",F410="Tiền mặt",G410&gt;='THAM SO'!$B$11),"Tiền mặt ≥ ngưỡng: rủi ro loại khấu trừ GTGT/chi phí",IF(AND(D410="Thanh toán",F410=""),"Thiếu hình thức TT","")))</f>
        <v/>
      </c>
      <c r="J410" s="120" t="n"/>
    </row>
    <row r="411" ht="15" customHeight="1" s="64">
      <c r="A411" s="119" t="n"/>
      <c r="B411" s="120" t="n"/>
      <c r="C411" s="116">
        <f>IF(B411="","",IFERROR(INDEX('SO HOP DONG'!$H$9:$H$308,MATCH(B411,'SO HOP DONG'!$B$9:$B$308,0)),"Số HĐ không có trong sổ"))</f>
        <v/>
      </c>
      <c r="D411" s="120" t="n"/>
      <c r="E411" s="120" t="n"/>
      <c r="F411" s="120" t="n"/>
      <c r="G411" s="121" t="n"/>
      <c r="H411" s="120" t="n"/>
      <c r="I411" s="116">
        <f>IF(B411="","",IF(AND(D411="Thanh toán",F411="Tiền mặt",G411&gt;='THAM SO'!$B$11),"Tiền mặt ≥ ngưỡng: rủi ro loại khấu trừ GTGT/chi phí",IF(AND(D411="Thanh toán",F411=""),"Thiếu hình thức TT","")))</f>
        <v/>
      </c>
      <c r="J411" s="120" t="n"/>
    </row>
    <row r="412" ht="15" customHeight="1" s="64">
      <c r="A412" s="119" t="n"/>
      <c r="B412" s="120" t="n"/>
      <c r="C412" s="116">
        <f>IF(B412="","",IFERROR(INDEX('SO HOP DONG'!$H$9:$H$308,MATCH(B412,'SO HOP DONG'!$B$9:$B$308,0)),"Số HĐ không có trong sổ"))</f>
        <v/>
      </c>
      <c r="D412" s="120" t="n"/>
      <c r="E412" s="120" t="n"/>
      <c r="F412" s="120" t="n"/>
      <c r="G412" s="121" t="n"/>
      <c r="H412" s="120" t="n"/>
      <c r="I412" s="116">
        <f>IF(B412="","",IF(AND(D412="Thanh toán",F412="Tiền mặt",G412&gt;='THAM SO'!$B$11),"Tiền mặt ≥ ngưỡng: rủi ro loại khấu trừ GTGT/chi phí",IF(AND(D412="Thanh toán",F412=""),"Thiếu hình thức TT","")))</f>
        <v/>
      </c>
      <c r="J412" s="120" t="n"/>
    </row>
    <row r="413" ht="15" customHeight="1" s="64">
      <c r="A413" s="119" t="n"/>
      <c r="B413" s="120" t="n"/>
      <c r="C413" s="116">
        <f>IF(B413="","",IFERROR(INDEX('SO HOP DONG'!$H$9:$H$308,MATCH(B413,'SO HOP DONG'!$B$9:$B$308,0)),"Số HĐ không có trong sổ"))</f>
        <v/>
      </c>
      <c r="D413" s="120" t="n"/>
      <c r="E413" s="120" t="n"/>
      <c r="F413" s="120" t="n"/>
      <c r="G413" s="121" t="n"/>
      <c r="H413" s="120" t="n"/>
      <c r="I413" s="116">
        <f>IF(B413="","",IF(AND(D413="Thanh toán",F413="Tiền mặt",G413&gt;='THAM SO'!$B$11),"Tiền mặt ≥ ngưỡng: rủi ro loại khấu trừ GTGT/chi phí",IF(AND(D413="Thanh toán",F413=""),"Thiếu hình thức TT","")))</f>
        <v/>
      </c>
      <c r="J413" s="120" t="n"/>
    </row>
    <row r="414" ht="15" customHeight="1" s="64">
      <c r="A414" s="119" t="n"/>
      <c r="B414" s="120" t="n"/>
      <c r="C414" s="116">
        <f>IF(B414="","",IFERROR(INDEX('SO HOP DONG'!$H$9:$H$308,MATCH(B414,'SO HOP DONG'!$B$9:$B$308,0)),"Số HĐ không có trong sổ"))</f>
        <v/>
      </c>
      <c r="D414" s="120" t="n"/>
      <c r="E414" s="120" t="n"/>
      <c r="F414" s="120" t="n"/>
      <c r="G414" s="121" t="n"/>
      <c r="H414" s="120" t="n"/>
      <c r="I414" s="116">
        <f>IF(B414="","",IF(AND(D414="Thanh toán",F414="Tiền mặt",G414&gt;='THAM SO'!$B$11),"Tiền mặt ≥ ngưỡng: rủi ro loại khấu trừ GTGT/chi phí",IF(AND(D414="Thanh toán",F414=""),"Thiếu hình thức TT","")))</f>
        <v/>
      </c>
      <c r="J414" s="120" t="n"/>
    </row>
    <row r="415" ht="15" customHeight="1" s="64">
      <c r="A415" s="119" t="n"/>
      <c r="B415" s="120" t="n"/>
      <c r="C415" s="116">
        <f>IF(B415="","",IFERROR(INDEX('SO HOP DONG'!$H$9:$H$308,MATCH(B415,'SO HOP DONG'!$B$9:$B$308,0)),"Số HĐ không có trong sổ"))</f>
        <v/>
      </c>
      <c r="D415" s="120" t="n"/>
      <c r="E415" s="120" t="n"/>
      <c r="F415" s="120" t="n"/>
      <c r="G415" s="121" t="n"/>
      <c r="H415" s="120" t="n"/>
      <c r="I415" s="116">
        <f>IF(B415="","",IF(AND(D415="Thanh toán",F415="Tiền mặt",G415&gt;='THAM SO'!$B$11),"Tiền mặt ≥ ngưỡng: rủi ro loại khấu trừ GTGT/chi phí",IF(AND(D415="Thanh toán",F415=""),"Thiếu hình thức TT","")))</f>
        <v/>
      </c>
      <c r="J415" s="120" t="n"/>
    </row>
    <row r="416" ht="15" customHeight="1" s="64">
      <c r="A416" s="119" t="n"/>
      <c r="B416" s="120" t="n"/>
      <c r="C416" s="116">
        <f>IF(B416="","",IFERROR(INDEX('SO HOP DONG'!$H$9:$H$308,MATCH(B416,'SO HOP DONG'!$B$9:$B$308,0)),"Số HĐ không có trong sổ"))</f>
        <v/>
      </c>
      <c r="D416" s="120" t="n"/>
      <c r="E416" s="120" t="n"/>
      <c r="F416" s="120" t="n"/>
      <c r="G416" s="121" t="n"/>
      <c r="H416" s="120" t="n"/>
      <c r="I416" s="116">
        <f>IF(B416="","",IF(AND(D416="Thanh toán",F416="Tiền mặt",G416&gt;='THAM SO'!$B$11),"Tiền mặt ≥ ngưỡng: rủi ro loại khấu trừ GTGT/chi phí",IF(AND(D416="Thanh toán",F416=""),"Thiếu hình thức TT","")))</f>
        <v/>
      </c>
      <c r="J416" s="120" t="n"/>
    </row>
    <row r="417" ht="15" customHeight="1" s="64">
      <c r="A417" s="119" t="n"/>
      <c r="B417" s="120" t="n"/>
      <c r="C417" s="116">
        <f>IF(B417="","",IFERROR(INDEX('SO HOP DONG'!$H$9:$H$308,MATCH(B417,'SO HOP DONG'!$B$9:$B$308,0)),"Số HĐ không có trong sổ"))</f>
        <v/>
      </c>
      <c r="D417" s="120" t="n"/>
      <c r="E417" s="120" t="n"/>
      <c r="F417" s="120" t="n"/>
      <c r="G417" s="121" t="n"/>
      <c r="H417" s="120" t="n"/>
      <c r="I417" s="116">
        <f>IF(B417="","",IF(AND(D417="Thanh toán",F417="Tiền mặt",G417&gt;='THAM SO'!$B$11),"Tiền mặt ≥ ngưỡng: rủi ro loại khấu trừ GTGT/chi phí",IF(AND(D417="Thanh toán",F417=""),"Thiếu hình thức TT","")))</f>
        <v/>
      </c>
      <c r="J417" s="120" t="n"/>
    </row>
    <row r="418" ht="15" customHeight="1" s="64">
      <c r="A418" s="119" t="n"/>
      <c r="B418" s="120" t="n"/>
      <c r="C418" s="116">
        <f>IF(B418="","",IFERROR(INDEX('SO HOP DONG'!$H$9:$H$308,MATCH(B418,'SO HOP DONG'!$B$9:$B$308,0)),"Số HĐ không có trong sổ"))</f>
        <v/>
      </c>
      <c r="D418" s="120" t="n"/>
      <c r="E418" s="120" t="n"/>
      <c r="F418" s="120" t="n"/>
      <c r="G418" s="121" t="n"/>
      <c r="H418" s="120" t="n"/>
      <c r="I418" s="116">
        <f>IF(B418="","",IF(AND(D418="Thanh toán",F418="Tiền mặt",G418&gt;='THAM SO'!$B$11),"Tiền mặt ≥ ngưỡng: rủi ro loại khấu trừ GTGT/chi phí",IF(AND(D418="Thanh toán",F418=""),"Thiếu hình thức TT","")))</f>
        <v/>
      </c>
      <c r="J418" s="120" t="n"/>
    </row>
    <row r="419" ht="15" customHeight="1" s="64">
      <c r="A419" s="119" t="n"/>
      <c r="B419" s="120" t="n"/>
      <c r="C419" s="116">
        <f>IF(B419="","",IFERROR(INDEX('SO HOP DONG'!$H$9:$H$308,MATCH(B419,'SO HOP DONG'!$B$9:$B$308,0)),"Số HĐ không có trong sổ"))</f>
        <v/>
      </c>
      <c r="D419" s="120" t="n"/>
      <c r="E419" s="120" t="n"/>
      <c r="F419" s="120" t="n"/>
      <c r="G419" s="121" t="n"/>
      <c r="H419" s="120" t="n"/>
      <c r="I419" s="116">
        <f>IF(B419="","",IF(AND(D419="Thanh toán",F419="Tiền mặt",G419&gt;='THAM SO'!$B$11),"Tiền mặt ≥ ngưỡng: rủi ro loại khấu trừ GTGT/chi phí",IF(AND(D419="Thanh toán",F419=""),"Thiếu hình thức TT","")))</f>
        <v/>
      </c>
      <c r="J419" s="120" t="n"/>
    </row>
    <row r="420" ht="15" customHeight="1" s="64">
      <c r="A420" s="119" t="n"/>
      <c r="B420" s="120" t="n"/>
      <c r="C420" s="116">
        <f>IF(B420="","",IFERROR(INDEX('SO HOP DONG'!$H$9:$H$308,MATCH(B420,'SO HOP DONG'!$B$9:$B$308,0)),"Số HĐ không có trong sổ"))</f>
        <v/>
      </c>
      <c r="D420" s="120" t="n"/>
      <c r="E420" s="120" t="n"/>
      <c r="F420" s="120" t="n"/>
      <c r="G420" s="121" t="n"/>
      <c r="H420" s="120" t="n"/>
      <c r="I420" s="116">
        <f>IF(B420="","",IF(AND(D420="Thanh toán",F420="Tiền mặt",G420&gt;='THAM SO'!$B$11),"Tiền mặt ≥ ngưỡng: rủi ro loại khấu trừ GTGT/chi phí",IF(AND(D420="Thanh toán",F420=""),"Thiếu hình thức TT","")))</f>
        <v/>
      </c>
      <c r="J420" s="120" t="n"/>
    </row>
    <row r="421" ht="15" customHeight="1" s="64">
      <c r="A421" s="119" t="n"/>
      <c r="B421" s="120" t="n"/>
      <c r="C421" s="116">
        <f>IF(B421="","",IFERROR(INDEX('SO HOP DONG'!$H$9:$H$308,MATCH(B421,'SO HOP DONG'!$B$9:$B$308,0)),"Số HĐ không có trong sổ"))</f>
        <v/>
      </c>
      <c r="D421" s="120" t="n"/>
      <c r="E421" s="120" t="n"/>
      <c r="F421" s="120" t="n"/>
      <c r="G421" s="121" t="n"/>
      <c r="H421" s="120" t="n"/>
      <c r="I421" s="116">
        <f>IF(B421="","",IF(AND(D421="Thanh toán",F421="Tiền mặt",G421&gt;='THAM SO'!$B$11),"Tiền mặt ≥ ngưỡng: rủi ro loại khấu trừ GTGT/chi phí",IF(AND(D421="Thanh toán",F421=""),"Thiếu hình thức TT","")))</f>
        <v/>
      </c>
      <c r="J421" s="120" t="n"/>
    </row>
    <row r="422" ht="15" customHeight="1" s="64">
      <c r="A422" s="119" t="n"/>
      <c r="B422" s="120" t="n"/>
      <c r="C422" s="116">
        <f>IF(B422="","",IFERROR(INDEX('SO HOP DONG'!$H$9:$H$308,MATCH(B422,'SO HOP DONG'!$B$9:$B$308,0)),"Số HĐ không có trong sổ"))</f>
        <v/>
      </c>
      <c r="D422" s="120" t="n"/>
      <c r="E422" s="120" t="n"/>
      <c r="F422" s="120" t="n"/>
      <c r="G422" s="121" t="n"/>
      <c r="H422" s="120" t="n"/>
      <c r="I422" s="116">
        <f>IF(B422="","",IF(AND(D422="Thanh toán",F422="Tiền mặt",G422&gt;='THAM SO'!$B$11),"Tiền mặt ≥ ngưỡng: rủi ro loại khấu trừ GTGT/chi phí",IF(AND(D422="Thanh toán",F422=""),"Thiếu hình thức TT","")))</f>
        <v/>
      </c>
      <c r="J422" s="120" t="n"/>
    </row>
    <row r="423" ht="15" customHeight="1" s="64">
      <c r="A423" s="119" t="n"/>
      <c r="B423" s="120" t="n"/>
      <c r="C423" s="116">
        <f>IF(B423="","",IFERROR(INDEX('SO HOP DONG'!$H$9:$H$308,MATCH(B423,'SO HOP DONG'!$B$9:$B$308,0)),"Số HĐ không có trong sổ"))</f>
        <v/>
      </c>
      <c r="D423" s="120" t="n"/>
      <c r="E423" s="120" t="n"/>
      <c r="F423" s="120" t="n"/>
      <c r="G423" s="121" t="n"/>
      <c r="H423" s="120" t="n"/>
      <c r="I423" s="116">
        <f>IF(B423="","",IF(AND(D423="Thanh toán",F423="Tiền mặt",G423&gt;='THAM SO'!$B$11),"Tiền mặt ≥ ngưỡng: rủi ro loại khấu trừ GTGT/chi phí",IF(AND(D423="Thanh toán",F423=""),"Thiếu hình thức TT","")))</f>
        <v/>
      </c>
      <c r="J423" s="120" t="n"/>
    </row>
    <row r="424" ht="15" customHeight="1" s="64">
      <c r="A424" s="119" t="n"/>
      <c r="B424" s="120" t="n"/>
      <c r="C424" s="116">
        <f>IF(B424="","",IFERROR(INDEX('SO HOP DONG'!$H$9:$H$308,MATCH(B424,'SO HOP DONG'!$B$9:$B$308,0)),"Số HĐ không có trong sổ"))</f>
        <v/>
      </c>
      <c r="D424" s="120" t="n"/>
      <c r="E424" s="120" t="n"/>
      <c r="F424" s="120" t="n"/>
      <c r="G424" s="121" t="n"/>
      <c r="H424" s="120" t="n"/>
      <c r="I424" s="116">
        <f>IF(B424="","",IF(AND(D424="Thanh toán",F424="Tiền mặt",G424&gt;='THAM SO'!$B$11),"Tiền mặt ≥ ngưỡng: rủi ro loại khấu trừ GTGT/chi phí",IF(AND(D424="Thanh toán",F424=""),"Thiếu hình thức TT","")))</f>
        <v/>
      </c>
      <c r="J424" s="120" t="n"/>
    </row>
    <row r="425" ht="15" customHeight="1" s="64">
      <c r="A425" s="119" t="n"/>
      <c r="B425" s="120" t="n"/>
      <c r="C425" s="116">
        <f>IF(B425="","",IFERROR(INDEX('SO HOP DONG'!$H$9:$H$308,MATCH(B425,'SO HOP DONG'!$B$9:$B$308,0)),"Số HĐ không có trong sổ"))</f>
        <v/>
      </c>
      <c r="D425" s="120" t="n"/>
      <c r="E425" s="120" t="n"/>
      <c r="F425" s="120" t="n"/>
      <c r="G425" s="121" t="n"/>
      <c r="H425" s="120" t="n"/>
      <c r="I425" s="116">
        <f>IF(B425="","",IF(AND(D425="Thanh toán",F425="Tiền mặt",G425&gt;='THAM SO'!$B$11),"Tiền mặt ≥ ngưỡng: rủi ro loại khấu trừ GTGT/chi phí",IF(AND(D425="Thanh toán",F425=""),"Thiếu hình thức TT","")))</f>
        <v/>
      </c>
      <c r="J425" s="120" t="n"/>
    </row>
    <row r="426" ht="15" customHeight="1" s="64">
      <c r="A426" s="119" t="n"/>
      <c r="B426" s="120" t="n"/>
      <c r="C426" s="116">
        <f>IF(B426="","",IFERROR(INDEX('SO HOP DONG'!$H$9:$H$308,MATCH(B426,'SO HOP DONG'!$B$9:$B$308,0)),"Số HĐ không có trong sổ"))</f>
        <v/>
      </c>
      <c r="D426" s="120" t="n"/>
      <c r="E426" s="120" t="n"/>
      <c r="F426" s="120" t="n"/>
      <c r="G426" s="121" t="n"/>
      <c r="H426" s="120" t="n"/>
      <c r="I426" s="116">
        <f>IF(B426="","",IF(AND(D426="Thanh toán",F426="Tiền mặt",G426&gt;='THAM SO'!$B$11),"Tiền mặt ≥ ngưỡng: rủi ro loại khấu trừ GTGT/chi phí",IF(AND(D426="Thanh toán",F426=""),"Thiếu hình thức TT","")))</f>
        <v/>
      </c>
      <c r="J426" s="120" t="n"/>
    </row>
    <row r="427" ht="15" customHeight="1" s="64">
      <c r="A427" s="119" t="n"/>
      <c r="B427" s="120" t="n"/>
      <c r="C427" s="116">
        <f>IF(B427="","",IFERROR(INDEX('SO HOP DONG'!$H$9:$H$308,MATCH(B427,'SO HOP DONG'!$B$9:$B$308,0)),"Số HĐ không có trong sổ"))</f>
        <v/>
      </c>
      <c r="D427" s="120" t="n"/>
      <c r="E427" s="120" t="n"/>
      <c r="F427" s="120" t="n"/>
      <c r="G427" s="121" t="n"/>
      <c r="H427" s="120" t="n"/>
      <c r="I427" s="116">
        <f>IF(B427="","",IF(AND(D427="Thanh toán",F427="Tiền mặt",G427&gt;='THAM SO'!$B$11),"Tiền mặt ≥ ngưỡng: rủi ro loại khấu trừ GTGT/chi phí",IF(AND(D427="Thanh toán",F427=""),"Thiếu hình thức TT","")))</f>
        <v/>
      </c>
      <c r="J427" s="120" t="n"/>
    </row>
    <row r="428" ht="15" customHeight="1" s="64">
      <c r="A428" s="119" t="n"/>
      <c r="B428" s="120" t="n"/>
      <c r="C428" s="116">
        <f>IF(B428="","",IFERROR(INDEX('SO HOP DONG'!$H$9:$H$308,MATCH(B428,'SO HOP DONG'!$B$9:$B$308,0)),"Số HĐ không có trong sổ"))</f>
        <v/>
      </c>
      <c r="D428" s="120" t="n"/>
      <c r="E428" s="120" t="n"/>
      <c r="F428" s="120" t="n"/>
      <c r="G428" s="121" t="n"/>
      <c r="H428" s="120" t="n"/>
      <c r="I428" s="116">
        <f>IF(B428="","",IF(AND(D428="Thanh toán",F428="Tiền mặt",G428&gt;='THAM SO'!$B$11),"Tiền mặt ≥ ngưỡng: rủi ro loại khấu trừ GTGT/chi phí",IF(AND(D428="Thanh toán",F428=""),"Thiếu hình thức TT","")))</f>
        <v/>
      </c>
      <c r="J428" s="120" t="n"/>
    </row>
    <row r="429" ht="15" customHeight="1" s="64">
      <c r="A429" s="119" t="n"/>
      <c r="B429" s="120" t="n"/>
      <c r="C429" s="116">
        <f>IF(B429="","",IFERROR(INDEX('SO HOP DONG'!$H$9:$H$308,MATCH(B429,'SO HOP DONG'!$B$9:$B$308,0)),"Số HĐ không có trong sổ"))</f>
        <v/>
      </c>
      <c r="D429" s="120" t="n"/>
      <c r="E429" s="120" t="n"/>
      <c r="F429" s="120" t="n"/>
      <c r="G429" s="121" t="n"/>
      <c r="H429" s="120" t="n"/>
      <c r="I429" s="116">
        <f>IF(B429="","",IF(AND(D429="Thanh toán",F429="Tiền mặt",G429&gt;='THAM SO'!$B$11),"Tiền mặt ≥ ngưỡng: rủi ro loại khấu trừ GTGT/chi phí",IF(AND(D429="Thanh toán",F429=""),"Thiếu hình thức TT","")))</f>
        <v/>
      </c>
      <c r="J429" s="120" t="n"/>
    </row>
    <row r="430" ht="15" customHeight="1" s="64">
      <c r="A430" s="119" t="n"/>
      <c r="B430" s="120" t="n"/>
      <c r="C430" s="116">
        <f>IF(B430="","",IFERROR(INDEX('SO HOP DONG'!$H$9:$H$308,MATCH(B430,'SO HOP DONG'!$B$9:$B$308,0)),"Số HĐ không có trong sổ"))</f>
        <v/>
      </c>
      <c r="D430" s="120" t="n"/>
      <c r="E430" s="120" t="n"/>
      <c r="F430" s="120" t="n"/>
      <c r="G430" s="121" t="n"/>
      <c r="H430" s="120" t="n"/>
      <c r="I430" s="116">
        <f>IF(B430="","",IF(AND(D430="Thanh toán",F430="Tiền mặt",G430&gt;='THAM SO'!$B$11),"Tiền mặt ≥ ngưỡng: rủi ro loại khấu trừ GTGT/chi phí",IF(AND(D430="Thanh toán",F430=""),"Thiếu hình thức TT","")))</f>
        <v/>
      </c>
      <c r="J430" s="120" t="n"/>
    </row>
    <row r="431" ht="15" customHeight="1" s="64">
      <c r="A431" s="119" t="n"/>
      <c r="B431" s="120" t="n"/>
      <c r="C431" s="116">
        <f>IF(B431="","",IFERROR(INDEX('SO HOP DONG'!$H$9:$H$308,MATCH(B431,'SO HOP DONG'!$B$9:$B$308,0)),"Số HĐ không có trong sổ"))</f>
        <v/>
      </c>
      <c r="D431" s="120" t="n"/>
      <c r="E431" s="120" t="n"/>
      <c r="F431" s="120" t="n"/>
      <c r="G431" s="121" t="n"/>
      <c r="H431" s="120" t="n"/>
      <c r="I431" s="116">
        <f>IF(B431="","",IF(AND(D431="Thanh toán",F431="Tiền mặt",G431&gt;='THAM SO'!$B$11),"Tiền mặt ≥ ngưỡng: rủi ro loại khấu trừ GTGT/chi phí",IF(AND(D431="Thanh toán",F431=""),"Thiếu hình thức TT","")))</f>
        <v/>
      </c>
      <c r="J431" s="120" t="n"/>
    </row>
    <row r="432" ht="15" customHeight="1" s="64">
      <c r="A432" s="119" t="n"/>
      <c r="B432" s="120" t="n"/>
      <c r="C432" s="116">
        <f>IF(B432="","",IFERROR(INDEX('SO HOP DONG'!$H$9:$H$308,MATCH(B432,'SO HOP DONG'!$B$9:$B$308,0)),"Số HĐ không có trong sổ"))</f>
        <v/>
      </c>
      <c r="D432" s="120" t="n"/>
      <c r="E432" s="120" t="n"/>
      <c r="F432" s="120" t="n"/>
      <c r="G432" s="121" t="n"/>
      <c r="H432" s="120" t="n"/>
      <c r="I432" s="116">
        <f>IF(B432="","",IF(AND(D432="Thanh toán",F432="Tiền mặt",G432&gt;='THAM SO'!$B$11),"Tiền mặt ≥ ngưỡng: rủi ro loại khấu trừ GTGT/chi phí",IF(AND(D432="Thanh toán",F432=""),"Thiếu hình thức TT","")))</f>
        <v/>
      </c>
      <c r="J432" s="120" t="n"/>
    </row>
    <row r="433" ht="15" customHeight="1" s="64">
      <c r="A433" s="119" t="n"/>
      <c r="B433" s="120" t="n"/>
      <c r="C433" s="116">
        <f>IF(B433="","",IFERROR(INDEX('SO HOP DONG'!$H$9:$H$308,MATCH(B433,'SO HOP DONG'!$B$9:$B$308,0)),"Số HĐ không có trong sổ"))</f>
        <v/>
      </c>
      <c r="D433" s="120" t="n"/>
      <c r="E433" s="120" t="n"/>
      <c r="F433" s="120" t="n"/>
      <c r="G433" s="121" t="n"/>
      <c r="H433" s="120" t="n"/>
      <c r="I433" s="116">
        <f>IF(B433="","",IF(AND(D433="Thanh toán",F433="Tiền mặt",G433&gt;='THAM SO'!$B$11),"Tiền mặt ≥ ngưỡng: rủi ro loại khấu trừ GTGT/chi phí",IF(AND(D433="Thanh toán",F433=""),"Thiếu hình thức TT","")))</f>
        <v/>
      </c>
      <c r="J433" s="120" t="n"/>
    </row>
    <row r="434" ht="15" customHeight="1" s="64">
      <c r="A434" s="119" t="n"/>
      <c r="B434" s="120" t="n"/>
      <c r="C434" s="116">
        <f>IF(B434="","",IFERROR(INDEX('SO HOP DONG'!$H$9:$H$308,MATCH(B434,'SO HOP DONG'!$B$9:$B$308,0)),"Số HĐ không có trong sổ"))</f>
        <v/>
      </c>
      <c r="D434" s="120" t="n"/>
      <c r="E434" s="120" t="n"/>
      <c r="F434" s="120" t="n"/>
      <c r="G434" s="121" t="n"/>
      <c r="H434" s="120" t="n"/>
      <c r="I434" s="116">
        <f>IF(B434="","",IF(AND(D434="Thanh toán",F434="Tiền mặt",G434&gt;='THAM SO'!$B$11),"Tiền mặt ≥ ngưỡng: rủi ro loại khấu trừ GTGT/chi phí",IF(AND(D434="Thanh toán",F434=""),"Thiếu hình thức TT","")))</f>
        <v/>
      </c>
      <c r="J434" s="120" t="n"/>
    </row>
    <row r="435" ht="15" customHeight="1" s="64">
      <c r="A435" s="119" t="n"/>
      <c r="B435" s="120" t="n"/>
      <c r="C435" s="116">
        <f>IF(B435="","",IFERROR(INDEX('SO HOP DONG'!$H$9:$H$308,MATCH(B435,'SO HOP DONG'!$B$9:$B$308,0)),"Số HĐ không có trong sổ"))</f>
        <v/>
      </c>
      <c r="D435" s="120" t="n"/>
      <c r="E435" s="120" t="n"/>
      <c r="F435" s="120" t="n"/>
      <c r="G435" s="121" t="n"/>
      <c r="H435" s="120" t="n"/>
      <c r="I435" s="116">
        <f>IF(B435="","",IF(AND(D435="Thanh toán",F435="Tiền mặt",G435&gt;='THAM SO'!$B$11),"Tiền mặt ≥ ngưỡng: rủi ro loại khấu trừ GTGT/chi phí",IF(AND(D435="Thanh toán",F435=""),"Thiếu hình thức TT","")))</f>
        <v/>
      </c>
      <c r="J435" s="120" t="n"/>
    </row>
    <row r="436" ht="15" customHeight="1" s="64">
      <c r="A436" s="119" t="n"/>
      <c r="B436" s="120" t="n"/>
      <c r="C436" s="116">
        <f>IF(B436="","",IFERROR(INDEX('SO HOP DONG'!$H$9:$H$308,MATCH(B436,'SO HOP DONG'!$B$9:$B$308,0)),"Số HĐ không có trong sổ"))</f>
        <v/>
      </c>
      <c r="D436" s="120" t="n"/>
      <c r="E436" s="120" t="n"/>
      <c r="F436" s="120" t="n"/>
      <c r="G436" s="121" t="n"/>
      <c r="H436" s="120" t="n"/>
      <c r="I436" s="116">
        <f>IF(B436="","",IF(AND(D436="Thanh toán",F436="Tiền mặt",G436&gt;='THAM SO'!$B$11),"Tiền mặt ≥ ngưỡng: rủi ro loại khấu trừ GTGT/chi phí",IF(AND(D436="Thanh toán",F436=""),"Thiếu hình thức TT","")))</f>
        <v/>
      </c>
      <c r="J436" s="120" t="n"/>
    </row>
    <row r="437" ht="15" customHeight="1" s="64">
      <c r="A437" s="119" t="n"/>
      <c r="B437" s="120" t="n"/>
      <c r="C437" s="116">
        <f>IF(B437="","",IFERROR(INDEX('SO HOP DONG'!$H$9:$H$308,MATCH(B437,'SO HOP DONG'!$B$9:$B$308,0)),"Số HĐ không có trong sổ"))</f>
        <v/>
      </c>
      <c r="D437" s="120" t="n"/>
      <c r="E437" s="120" t="n"/>
      <c r="F437" s="120" t="n"/>
      <c r="G437" s="121" t="n"/>
      <c r="H437" s="120" t="n"/>
      <c r="I437" s="116">
        <f>IF(B437="","",IF(AND(D437="Thanh toán",F437="Tiền mặt",G437&gt;='THAM SO'!$B$11),"Tiền mặt ≥ ngưỡng: rủi ro loại khấu trừ GTGT/chi phí",IF(AND(D437="Thanh toán",F437=""),"Thiếu hình thức TT","")))</f>
        <v/>
      </c>
      <c r="J437" s="120" t="n"/>
    </row>
    <row r="438" ht="15" customHeight="1" s="64">
      <c r="A438" s="119" t="n"/>
      <c r="B438" s="120" t="n"/>
      <c r="C438" s="116">
        <f>IF(B438="","",IFERROR(INDEX('SO HOP DONG'!$H$9:$H$308,MATCH(B438,'SO HOP DONG'!$B$9:$B$308,0)),"Số HĐ không có trong sổ"))</f>
        <v/>
      </c>
      <c r="D438" s="120" t="n"/>
      <c r="E438" s="120" t="n"/>
      <c r="F438" s="120" t="n"/>
      <c r="G438" s="121" t="n"/>
      <c r="H438" s="120" t="n"/>
      <c r="I438" s="116">
        <f>IF(B438="","",IF(AND(D438="Thanh toán",F438="Tiền mặt",G438&gt;='THAM SO'!$B$11),"Tiền mặt ≥ ngưỡng: rủi ro loại khấu trừ GTGT/chi phí",IF(AND(D438="Thanh toán",F438=""),"Thiếu hình thức TT","")))</f>
        <v/>
      </c>
      <c r="J438" s="120" t="n"/>
    </row>
    <row r="439" ht="15" customHeight="1" s="64">
      <c r="A439" s="119" t="n"/>
      <c r="B439" s="120" t="n"/>
      <c r="C439" s="116">
        <f>IF(B439="","",IFERROR(INDEX('SO HOP DONG'!$H$9:$H$308,MATCH(B439,'SO HOP DONG'!$B$9:$B$308,0)),"Số HĐ không có trong sổ"))</f>
        <v/>
      </c>
      <c r="D439" s="120" t="n"/>
      <c r="E439" s="120" t="n"/>
      <c r="F439" s="120" t="n"/>
      <c r="G439" s="121" t="n"/>
      <c r="H439" s="120" t="n"/>
      <c r="I439" s="116">
        <f>IF(B439="","",IF(AND(D439="Thanh toán",F439="Tiền mặt",G439&gt;='THAM SO'!$B$11),"Tiền mặt ≥ ngưỡng: rủi ro loại khấu trừ GTGT/chi phí",IF(AND(D439="Thanh toán",F439=""),"Thiếu hình thức TT","")))</f>
        <v/>
      </c>
      <c r="J439" s="120" t="n"/>
    </row>
    <row r="440" ht="15" customHeight="1" s="64">
      <c r="A440" s="119" t="n"/>
      <c r="B440" s="120" t="n"/>
      <c r="C440" s="116">
        <f>IF(B440="","",IFERROR(INDEX('SO HOP DONG'!$H$9:$H$308,MATCH(B440,'SO HOP DONG'!$B$9:$B$308,0)),"Số HĐ không có trong sổ"))</f>
        <v/>
      </c>
      <c r="D440" s="120" t="n"/>
      <c r="E440" s="120" t="n"/>
      <c r="F440" s="120" t="n"/>
      <c r="G440" s="121" t="n"/>
      <c r="H440" s="120" t="n"/>
      <c r="I440" s="116">
        <f>IF(B440="","",IF(AND(D440="Thanh toán",F440="Tiền mặt",G440&gt;='THAM SO'!$B$11),"Tiền mặt ≥ ngưỡng: rủi ro loại khấu trừ GTGT/chi phí",IF(AND(D440="Thanh toán",F440=""),"Thiếu hình thức TT","")))</f>
        <v/>
      </c>
      <c r="J440" s="120" t="n"/>
    </row>
    <row r="441" ht="15" customHeight="1" s="64">
      <c r="A441" s="119" t="n"/>
      <c r="B441" s="120" t="n"/>
      <c r="C441" s="116">
        <f>IF(B441="","",IFERROR(INDEX('SO HOP DONG'!$H$9:$H$308,MATCH(B441,'SO HOP DONG'!$B$9:$B$308,0)),"Số HĐ không có trong sổ"))</f>
        <v/>
      </c>
      <c r="D441" s="120" t="n"/>
      <c r="E441" s="120" t="n"/>
      <c r="F441" s="120" t="n"/>
      <c r="G441" s="121" t="n"/>
      <c r="H441" s="120" t="n"/>
      <c r="I441" s="116">
        <f>IF(B441="","",IF(AND(D441="Thanh toán",F441="Tiền mặt",G441&gt;='THAM SO'!$B$11),"Tiền mặt ≥ ngưỡng: rủi ro loại khấu trừ GTGT/chi phí",IF(AND(D441="Thanh toán",F441=""),"Thiếu hình thức TT","")))</f>
        <v/>
      </c>
      <c r="J441" s="120" t="n"/>
    </row>
    <row r="442" ht="15" customHeight="1" s="64">
      <c r="A442" s="119" t="n"/>
      <c r="B442" s="120" t="n"/>
      <c r="C442" s="116">
        <f>IF(B442="","",IFERROR(INDEX('SO HOP DONG'!$H$9:$H$308,MATCH(B442,'SO HOP DONG'!$B$9:$B$308,0)),"Số HĐ không có trong sổ"))</f>
        <v/>
      </c>
      <c r="D442" s="120" t="n"/>
      <c r="E442" s="120" t="n"/>
      <c r="F442" s="120" t="n"/>
      <c r="G442" s="121" t="n"/>
      <c r="H442" s="120" t="n"/>
      <c r="I442" s="116">
        <f>IF(B442="","",IF(AND(D442="Thanh toán",F442="Tiền mặt",G442&gt;='THAM SO'!$B$11),"Tiền mặt ≥ ngưỡng: rủi ro loại khấu trừ GTGT/chi phí",IF(AND(D442="Thanh toán",F442=""),"Thiếu hình thức TT","")))</f>
        <v/>
      </c>
      <c r="J442" s="120" t="n"/>
    </row>
    <row r="443" ht="15" customHeight="1" s="64">
      <c r="A443" s="119" t="n"/>
      <c r="B443" s="120" t="n"/>
      <c r="C443" s="116">
        <f>IF(B443="","",IFERROR(INDEX('SO HOP DONG'!$H$9:$H$308,MATCH(B443,'SO HOP DONG'!$B$9:$B$308,0)),"Số HĐ không có trong sổ"))</f>
        <v/>
      </c>
      <c r="D443" s="120" t="n"/>
      <c r="E443" s="120" t="n"/>
      <c r="F443" s="120" t="n"/>
      <c r="G443" s="121" t="n"/>
      <c r="H443" s="120" t="n"/>
      <c r="I443" s="116">
        <f>IF(B443="","",IF(AND(D443="Thanh toán",F443="Tiền mặt",G443&gt;='THAM SO'!$B$11),"Tiền mặt ≥ ngưỡng: rủi ro loại khấu trừ GTGT/chi phí",IF(AND(D443="Thanh toán",F443=""),"Thiếu hình thức TT","")))</f>
        <v/>
      </c>
      <c r="J443" s="120" t="n"/>
    </row>
    <row r="444" ht="15" customHeight="1" s="64">
      <c r="A444" s="119" t="n"/>
      <c r="B444" s="120" t="n"/>
      <c r="C444" s="116">
        <f>IF(B444="","",IFERROR(INDEX('SO HOP DONG'!$H$9:$H$308,MATCH(B444,'SO HOP DONG'!$B$9:$B$308,0)),"Số HĐ không có trong sổ"))</f>
        <v/>
      </c>
      <c r="D444" s="120" t="n"/>
      <c r="E444" s="120" t="n"/>
      <c r="F444" s="120" t="n"/>
      <c r="G444" s="121" t="n"/>
      <c r="H444" s="120" t="n"/>
      <c r="I444" s="116">
        <f>IF(B444="","",IF(AND(D444="Thanh toán",F444="Tiền mặt",G444&gt;='THAM SO'!$B$11),"Tiền mặt ≥ ngưỡng: rủi ro loại khấu trừ GTGT/chi phí",IF(AND(D444="Thanh toán",F444=""),"Thiếu hình thức TT","")))</f>
        <v/>
      </c>
      <c r="J444" s="120" t="n"/>
    </row>
    <row r="445" ht="15" customHeight="1" s="64">
      <c r="A445" s="119" t="n"/>
      <c r="B445" s="120" t="n"/>
      <c r="C445" s="116">
        <f>IF(B445="","",IFERROR(INDEX('SO HOP DONG'!$H$9:$H$308,MATCH(B445,'SO HOP DONG'!$B$9:$B$308,0)),"Số HĐ không có trong sổ"))</f>
        <v/>
      </c>
      <c r="D445" s="120" t="n"/>
      <c r="E445" s="120" t="n"/>
      <c r="F445" s="120" t="n"/>
      <c r="G445" s="121" t="n"/>
      <c r="H445" s="120" t="n"/>
      <c r="I445" s="116">
        <f>IF(B445="","",IF(AND(D445="Thanh toán",F445="Tiền mặt",G445&gt;='THAM SO'!$B$11),"Tiền mặt ≥ ngưỡng: rủi ro loại khấu trừ GTGT/chi phí",IF(AND(D445="Thanh toán",F445=""),"Thiếu hình thức TT","")))</f>
        <v/>
      </c>
      <c r="J445" s="120" t="n"/>
    </row>
    <row r="446" ht="15" customHeight="1" s="64">
      <c r="A446" s="119" t="n"/>
      <c r="B446" s="120" t="n"/>
      <c r="C446" s="116">
        <f>IF(B446="","",IFERROR(INDEX('SO HOP DONG'!$H$9:$H$308,MATCH(B446,'SO HOP DONG'!$B$9:$B$308,0)),"Số HĐ không có trong sổ"))</f>
        <v/>
      </c>
      <c r="D446" s="120" t="n"/>
      <c r="E446" s="120" t="n"/>
      <c r="F446" s="120" t="n"/>
      <c r="G446" s="121" t="n"/>
      <c r="H446" s="120" t="n"/>
      <c r="I446" s="116">
        <f>IF(B446="","",IF(AND(D446="Thanh toán",F446="Tiền mặt",G446&gt;='THAM SO'!$B$11),"Tiền mặt ≥ ngưỡng: rủi ro loại khấu trừ GTGT/chi phí",IF(AND(D446="Thanh toán",F446=""),"Thiếu hình thức TT","")))</f>
        <v/>
      </c>
      <c r="J446" s="120" t="n"/>
    </row>
    <row r="447" ht="15" customHeight="1" s="64">
      <c r="A447" s="119" t="n"/>
      <c r="B447" s="120" t="n"/>
      <c r="C447" s="116">
        <f>IF(B447="","",IFERROR(INDEX('SO HOP DONG'!$H$9:$H$308,MATCH(B447,'SO HOP DONG'!$B$9:$B$308,0)),"Số HĐ không có trong sổ"))</f>
        <v/>
      </c>
      <c r="D447" s="120" t="n"/>
      <c r="E447" s="120" t="n"/>
      <c r="F447" s="120" t="n"/>
      <c r="G447" s="121" t="n"/>
      <c r="H447" s="120" t="n"/>
      <c r="I447" s="116">
        <f>IF(B447="","",IF(AND(D447="Thanh toán",F447="Tiền mặt",G447&gt;='THAM SO'!$B$11),"Tiền mặt ≥ ngưỡng: rủi ro loại khấu trừ GTGT/chi phí",IF(AND(D447="Thanh toán",F447=""),"Thiếu hình thức TT","")))</f>
        <v/>
      </c>
      <c r="J447" s="120" t="n"/>
    </row>
    <row r="448" ht="15" customHeight="1" s="64">
      <c r="A448" s="119" t="n"/>
      <c r="B448" s="120" t="n"/>
      <c r="C448" s="116">
        <f>IF(B448="","",IFERROR(INDEX('SO HOP DONG'!$H$9:$H$308,MATCH(B448,'SO HOP DONG'!$B$9:$B$308,0)),"Số HĐ không có trong sổ"))</f>
        <v/>
      </c>
      <c r="D448" s="120" t="n"/>
      <c r="E448" s="120" t="n"/>
      <c r="F448" s="120" t="n"/>
      <c r="G448" s="121" t="n"/>
      <c r="H448" s="120" t="n"/>
      <c r="I448" s="116">
        <f>IF(B448="","",IF(AND(D448="Thanh toán",F448="Tiền mặt",G448&gt;='THAM SO'!$B$11),"Tiền mặt ≥ ngưỡng: rủi ro loại khấu trừ GTGT/chi phí",IF(AND(D448="Thanh toán",F448=""),"Thiếu hình thức TT","")))</f>
        <v/>
      </c>
      <c r="J448" s="120" t="n"/>
    </row>
    <row r="449" ht="15" customHeight="1" s="64">
      <c r="A449" s="119" t="n"/>
      <c r="B449" s="120" t="n"/>
      <c r="C449" s="116">
        <f>IF(B449="","",IFERROR(INDEX('SO HOP DONG'!$H$9:$H$308,MATCH(B449,'SO HOP DONG'!$B$9:$B$308,0)),"Số HĐ không có trong sổ"))</f>
        <v/>
      </c>
      <c r="D449" s="120" t="n"/>
      <c r="E449" s="120" t="n"/>
      <c r="F449" s="120" t="n"/>
      <c r="G449" s="121" t="n"/>
      <c r="H449" s="120" t="n"/>
      <c r="I449" s="116">
        <f>IF(B449="","",IF(AND(D449="Thanh toán",F449="Tiền mặt",G449&gt;='THAM SO'!$B$11),"Tiền mặt ≥ ngưỡng: rủi ro loại khấu trừ GTGT/chi phí",IF(AND(D449="Thanh toán",F449=""),"Thiếu hình thức TT","")))</f>
        <v/>
      </c>
      <c r="J449" s="120" t="n"/>
    </row>
    <row r="450" ht="15" customHeight="1" s="64">
      <c r="A450" s="119" t="n"/>
      <c r="B450" s="120" t="n"/>
      <c r="C450" s="116">
        <f>IF(B450="","",IFERROR(INDEX('SO HOP DONG'!$H$9:$H$308,MATCH(B450,'SO HOP DONG'!$B$9:$B$308,0)),"Số HĐ không có trong sổ"))</f>
        <v/>
      </c>
      <c r="D450" s="120" t="n"/>
      <c r="E450" s="120" t="n"/>
      <c r="F450" s="120" t="n"/>
      <c r="G450" s="121" t="n"/>
      <c r="H450" s="120" t="n"/>
      <c r="I450" s="116">
        <f>IF(B450="","",IF(AND(D450="Thanh toán",F450="Tiền mặt",G450&gt;='THAM SO'!$B$11),"Tiền mặt ≥ ngưỡng: rủi ro loại khấu trừ GTGT/chi phí",IF(AND(D450="Thanh toán",F450=""),"Thiếu hình thức TT","")))</f>
        <v/>
      </c>
      <c r="J450" s="120" t="n"/>
    </row>
    <row r="451" ht="15" customHeight="1" s="64">
      <c r="A451" s="119" t="n"/>
      <c r="B451" s="120" t="n"/>
      <c r="C451" s="116">
        <f>IF(B451="","",IFERROR(INDEX('SO HOP DONG'!$H$9:$H$308,MATCH(B451,'SO HOP DONG'!$B$9:$B$308,0)),"Số HĐ không có trong sổ"))</f>
        <v/>
      </c>
      <c r="D451" s="120" t="n"/>
      <c r="E451" s="120" t="n"/>
      <c r="F451" s="120" t="n"/>
      <c r="G451" s="121" t="n"/>
      <c r="H451" s="120" t="n"/>
      <c r="I451" s="116">
        <f>IF(B451="","",IF(AND(D451="Thanh toán",F451="Tiền mặt",G451&gt;='THAM SO'!$B$11),"Tiền mặt ≥ ngưỡng: rủi ro loại khấu trừ GTGT/chi phí",IF(AND(D451="Thanh toán",F451=""),"Thiếu hình thức TT","")))</f>
        <v/>
      </c>
      <c r="J451" s="120" t="n"/>
    </row>
    <row r="452" ht="15" customHeight="1" s="64">
      <c r="A452" s="119" t="n"/>
      <c r="B452" s="120" t="n"/>
      <c r="C452" s="116">
        <f>IF(B452="","",IFERROR(INDEX('SO HOP DONG'!$H$9:$H$308,MATCH(B452,'SO HOP DONG'!$B$9:$B$308,0)),"Số HĐ không có trong sổ"))</f>
        <v/>
      </c>
      <c r="D452" s="120" t="n"/>
      <c r="E452" s="120" t="n"/>
      <c r="F452" s="120" t="n"/>
      <c r="G452" s="121" t="n"/>
      <c r="H452" s="120" t="n"/>
      <c r="I452" s="116">
        <f>IF(B452="","",IF(AND(D452="Thanh toán",F452="Tiền mặt",G452&gt;='THAM SO'!$B$11),"Tiền mặt ≥ ngưỡng: rủi ro loại khấu trừ GTGT/chi phí",IF(AND(D452="Thanh toán",F452=""),"Thiếu hình thức TT","")))</f>
        <v/>
      </c>
      <c r="J452" s="120" t="n"/>
    </row>
    <row r="453" ht="15" customHeight="1" s="64">
      <c r="A453" s="119" t="n"/>
      <c r="B453" s="120" t="n"/>
      <c r="C453" s="116">
        <f>IF(B453="","",IFERROR(INDEX('SO HOP DONG'!$H$9:$H$308,MATCH(B453,'SO HOP DONG'!$B$9:$B$308,0)),"Số HĐ không có trong sổ"))</f>
        <v/>
      </c>
      <c r="D453" s="120" t="n"/>
      <c r="E453" s="120" t="n"/>
      <c r="F453" s="120" t="n"/>
      <c r="G453" s="121" t="n"/>
      <c r="H453" s="120" t="n"/>
      <c r="I453" s="116">
        <f>IF(B453="","",IF(AND(D453="Thanh toán",F453="Tiền mặt",G453&gt;='THAM SO'!$B$11),"Tiền mặt ≥ ngưỡng: rủi ro loại khấu trừ GTGT/chi phí",IF(AND(D453="Thanh toán",F453=""),"Thiếu hình thức TT","")))</f>
        <v/>
      </c>
      <c r="J453" s="120" t="n"/>
    </row>
    <row r="454" ht="15" customHeight="1" s="64">
      <c r="A454" s="119" t="n"/>
      <c r="B454" s="120" t="n"/>
      <c r="C454" s="116">
        <f>IF(B454="","",IFERROR(INDEX('SO HOP DONG'!$H$9:$H$308,MATCH(B454,'SO HOP DONG'!$B$9:$B$308,0)),"Số HĐ không có trong sổ"))</f>
        <v/>
      </c>
      <c r="D454" s="120" t="n"/>
      <c r="E454" s="120" t="n"/>
      <c r="F454" s="120" t="n"/>
      <c r="G454" s="121" t="n"/>
      <c r="H454" s="120" t="n"/>
      <c r="I454" s="116">
        <f>IF(B454="","",IF(AND(D454="Thanh toán",F454="Tiền mặt",G454&gt;='THAM SO'!$B$11),"Tiền mặt ≥ ngưỡng: rủi ro loại khấu trừ GTGT/chi phí",IF(AND(D454="Thanh toán",F454=""),"Thiếu hình thức TT","")))</f>
        <v/>
      </c>
      <c r="J454" s="120" t="n"/>
    </row>
    <row r="455" ht="15" customHeight="1" s="64">
      <c r="A455" s="119" t="n"/>
      <c r="B455" s="120" t="n"/>
      <c r="C455" s="116">
        <f>IF(B455="","",IFERROR(INDEX('SO HOP DONG'!$H$9:$H$308,MATCH(B455,'SO HOP DONG'!$B$9:$B$308,0)),"Số HĐ không có trong sổ"))</f>
        <v/>
      </c>
      <c r="D455" s="120" t="n"/>
      <c r="E455" s="120" t="n"/>
      <c r="F455" s="120" t="n"/>
      <c r="G455" s="121" t="n"/>
      <c r="H455" s="120" t="n"/>
      <c r="I455" s="116">
        <f>IF(B455="","",IF(AND(D455="Thanh toán",F455="Tiền mặt",G455&gt;='THAM SO'!$B$11),"Tiền mặt ≥ ngưỡng: rủi ro loại khấu trừ GTGT/chi phí",IF(AND(D455="Thanh toán",F455=""),"Thiếu hình thức TT","")))</f>
        <v/>
      </c>
      <c r="J455" s="120" t="n"/>
    </row>
    <row r="456" ht="15" customHeight="1" s="64">
      <c r="A456" s="119" t="n"/>
      <c r="B456" s="120" t="n"/>
      <c r="C456" s="116">
        <f>IF(B456="","",IFERROR(INDEX('SO HOP DONG'!$H$9:$H$308,MATCH(B456,'SO HOP DONG'!$B$9:$B$308,0)),"Số HĐ không có trong sổ"))</f>
        <v/>
      </c>
      <c r="D456" s="120" t="n"/>
      <c r="E456" s="120" t="n"/>
      <c r="F456" s="120" t="n"/>
      <c r="G456" s="121" t="n"/>
      <c r="H456" s="120" t="n"/>
      <c r="I456" s="116">
        <f>IF(B456="","",IF(AND(D456="Thanh toán",F456="Tiền mặt",G456&gt;='THAM SO'!$B$11),"Tiền mặt ≥ ngưỡng: rủi ro loại khấu trừ GTGT/chi phí",IF(AND(D456="Thanh toán",F456=""),"Thiếu hình thức TT","")))</f>
        <v/>
      </c>
      <c r="J456" s="120" t="n"/>
    </row>
    <row r="457" ht="15" customHeight="1" s="64">
      <c r="A457" s="119" t="n"/>
      <c r="B457" s="120" t="n"/>
      <c r="C457" s="116">
        <f>IF(B457="","",IFERROR(INDEX('SO HOP DONG'!$H$9:$H$308,MATCH(B457,'SO HOP DONG'!$B$9:$B$308,0)),"Số HĐ không có trong sổ"))</f>
        <v/>
      </c>
      <c r="D457" s="120" t="n"/>
      <c r="E457" s="120" t="n"/>
      <c r="F457" s="120" t="n"/>
      <c r="G457" s="121" t="n"/>
      <c r="H457" s="120" t="n"/>
      <c r="I457" s="116">
        <f>IF(B457="","",IF(AND(D457="Thanh toán",F457="Tiền mặt",G457&gt;='THAM SO'!$B$11),"Tiền mặt ≥ ngưỡng: rủi ro loại khấu trừ GTGT/chi phí",IF(AND(D457="Thanh toán",F457=""),"Thiếu hình thức TT","")))</f>
        <v/>
      </c>
      <c r="J457" s="120" t="n"/>
    </row>
    <row r="458" ht="15" customHeight="1" s="64">
      <c r="A458" s="119" t="n"/>
      <c r="B458" s="120" t="n"/>
      <c r="C458" s="116">
        <f>IF(B458="","",IFERROR(INDEX('SO HOP DONG'!$H$9:$H$308,MATCH(B458,'SO HOP DONG'!$B$9:$B$308,0)),"Số HĐ không có trong sổ"))</f>
        <v/>
      </c>
      <c r="D458" s="120" t="n"/>
      <c r="E458" s="120" t="n"/>
      <c r="F458" s="120" t="n"/>
      <c r="G458" s="121" t="n"/>
      <c r="H458" s="120" t="n"/>
      <c r="I458" s="116">
        <f>IF(B458="","",IF(AND(D458="Thanh toán",F458="Tiền mặt",G458&gt;='THAM SO'!$B$11),"Tiền mặt ≥ ngưỡng: rủi ro loại khấu trừ GTGT/chi phí",IF(AND(D458="Thanh toán",F458=""),"Thiếu hình thức TT","")))</f>
        <v/>
      </c>
      <c r="J458" s="120" t="n"/>
    </row>
    <row r="459" ht="15" customHeight="1" s="64">
      <c r="A459" s="119" t="n"/>
      <c r="B459" s="120" t="n"/>
      <c r="C459" s="116">
        <f>IF(B459="","",IFERROR(INDEX('SO HOP DONG'!$H$9:$H$308,MATCH(B459,'SO HOP DONG'!$B$9:$B$308,0)),"Số HĐ không có trong sổ"))</f>
        <v/>
      </c>
      <c r="D459" s="120" t="n"/>
      <c r="E459" s="120" t="n"/>
      <c r="F459" s="120" t="n"/>
      <c r="G459" s="121" t="n"/>
      <c r="H459" s="120" t="n"/>
      <c r="I459" s="116">
        <f>IF(B459="","",IF(AND(D459="Thanh toán",F459="Tiền mặt",G459&gt;='THAM SO'!$B$11),"Tiền mặt ≥ ngưỡng: rủi ro loại khấu trừ GTGT/chi phí",IF(AND(D459="Thanh toán",F459=""),"Thiếu hình thức TT","")))</f>
        <v/>
      </c>
      <c r="J459" s="120" t="n"/>
    </row>
    <row r="460" ht="15" customHeight="1" s="64">
      <c r="A460" s="119" t="n"/>
      <c r="B460" s="120" t="n"/>
      <c r="C460" s="116">
        <f>IF(B460="","",IFERROR(INDEX('SO HOP DONG'!$H$9:$H$308,MATCH(B460,'SO HOP DONG'!$B$9:$B$308,0)),"Số HĐ không có trong sổ"))</f>
        <v/>
      </c>
      <c r="D460" s="120" t="n"/>
      <c r="E460" s="120" t="n"/>
      <c r="F460" s="120" t="n"/>
      <c r="G460" s="121" t="n"/>
      <c r="H460" s="120" t="n"/>
      <c r="I460" s="116">
        <f>IF(B460="","",IF(AND(D460="Thanh toán",F460="Tiền mặt",G460&gt;='THAM SO'!$B$11),"Tiền mặt ≥ ngưỡng: rủi ro loại khấu trừ GTGT/chi phí",IF(AND(D460="Thanh toán",F460=""),"Thiếu hình thức TT","")))</f>
        <v/>
      </c>
      <c r="J460" s="120" t="n"/>
    </row>
    <row r="461" ht="15" customHeight="1" s="64">
      <c r="A461" s="119" t="n"/>
      <c r="B461" s="120" t="n"/>
      <c r="C461" s="116">
        <f>IF(B461="","",IFERROR(INDEX('SO HOP DONG'!$H$9:$H$308,MATCH(B461,'SO HOP DONG'!$B$9:$B$308,0)),"Số HĐ không có trong sổ"))</f>
        <v/>
      </c>
      <c r="D461" s="120" t="n"/>
      <c r="E461" s="120" t="n"/>
      <c r="F461" s="120" t="n"/>
      <c r="G461" s="121" t="n"/>
      <c r="H461" s="120" t="n"/>
      <c r="I461" s="116">
        <f>IF(B461="","",IF(AND(D461="Thanh toán",F461="Tiền mặt",G461&gt;='THAM SO'!$B$11),"Tiền mặt ≥ ngưỡng: rủi ro loại khấu trừ GTGT/chi phí",IF(AND(D461="Thanh toán",F461=""),"Thiếu hình thức TT","")))</f>
        <v/>
      </c>
      <c r="J461" s="120" t="n"/>
    </row>
    <row r="462" ht="15" customHeight="1" s="64">
      <c r="A462" s="119" t="n"/>
      <c r="B462" s="120" t="n"/>
      <c r="C462" s="116">
        <f>IF(B462="","",IFERROR(INDEX('SO HOP DONG'!$H$9:$H$308,MATCH(B462,'SO HOP DONG'!$B$9:$B$308,0)),"Số HĐ không có trong sổ"))</f>
        <v/>
      </c>
      <c r="D462" s="120" t="n"/>
      <c r="E462" s="120" t="n"/>
      <c r="F462" s="120" t="n"/>
      <c r="G462" s="121" t="n"/>
      <c r="H462" s="120" t="n"/>
      <c r="I462" s="116">
        <f>IF(B462="","",IF(AND(D462="Thanh toán",F462="Tiền mặt",G462&gt;='THAM SO'!$B$11),"Tiền mặt ≥ ngưỡng: rủi ro loại khấu trừ GTGT/chi phí",IF(AND(D462="Thanh toán",F462=""),"Thiếu hình thức TT","")))</f>
        <v/>
      </c>
      <c r="J462" s="120" t="n"/>
    </row>
    <row r="463" ht="15" customHeight="1" s="64">
      <c r="A463" s="119" t="n"/>
      <c r="B463" s="120" t="n"/>
      <c r="C463" s="116">
        <f>IF(B463="","",IFERROR(INDEX('SO HOP DONG'!$H$9:$H$308,MATCH(B463,'SO HOP DONG'!$B$9:$B$308,0)),"Số HĐ không có trong sổ"))</f>
        <v/>
      </c>
      <c r="D463" s="120" t="n"/>
      <c r="E463" s="120" t="n"/>
      <c r="F463" s="120" t="n"/>
      <c r="G463" s="121" t="n"/>
      <c r="H463" s="120" t="n"/>
      <c r="I463" s="116">
        <f>IF(B463="","",IF(AND(D463="Thanh toán",F463="Tiền mặt",G463&gt;='THAM SO'!$B$11),"Tiền mặt ≥ ngưỡng: rủi ro loại khấu trừ GTGT/chi phí",IF(AND(D463="Thanh toán",F463=""),"Thiếu hình thức TT","")))</f>
        <v/>
      </c>
      <c r="J463" s="120" t="n"/>
    </row>
    <row r="464" ht="15" customHeight="1" s="64">
      <c r="A464" s="119" t="n"/>
      <c r="B464" s="120" t="n"/>
      <c r="C464" s="116">
        <f>IF(B464="","",IFERROR(INDEX('SO HOP DONG'!$H$9:$H$308,MATCH(B464,'SO HOP DONG'!$B$9:$B$308,0)),"Số HĐ không có trong sổ"))</f>
        <v/>
      </c>
      <c r="D464" s="120" t="n"/>
      <c r="E464" s="120" t="n"/>
      <c r="F464" s="120" t="n"/>
      <c r="G464" s="121" t="n"/>
      <c r="H464" s="120" t="n"/>
      <c r="I464" s="116">
        <f>IF(B464="","",IF(AND(D464="Thanh toán",F464="Tiền mặt",G464&gt;='THAM SO'!$B$11),"Tiền mặt ≥ ngưỡng: rủi ro loại khấu trừ GTGT/chi phí",IF(AND(D464="Thanh toán",F464=""),"Thiếu hình thức TT","")))</f>
        <v/>
      </c>
      <c r="J464" s="120" t="n"/>
    </row>
    <row r="465" ht="15" customHeight="1" s="64">
      <c r="A465" s="119" t="n"/>
      <c r="B465" s="120" t="n"/>
      <c r="C465" s="116">
        <f>IF(B465="","",IFERROR(INDEX('SO HOP DONG'!$H$9:$H$308,MATCH(B465,'SO HOP DONG'!$B$9:$B$308,0)),"Số HĐ không có trong sổ"))</f>
        <v/>
      </c>
      <c r="D465" s="120" t="n"/>
      <c r="E465" s="120" t="n"/>
      <c r="F465" s="120" t="n"/>
      <c r="G465" s="121" t="n"/>
      <c r="H465" s="120" t="n"/>
      <c r="I465" s="116">
        <f>IF(B465="","",IF(AND(D465="Thanh toán",F465="Tiền mặt",G465&gt;='THAM SO'!$B$11),"Tiền mặt ≥ ngưỡng: rủi ro loại khấu trừ GTGT/chi phí",IF(AND(D465="Thanh toán",F465=""),"Thiếu hình thức TT","")))</f>
        <v/>
      </c>
      <c r="J465" s="120" t="n"/>
    </row>
    <row r="466" ht="15" customHeight="1" s="64">
      <c r="A466" s="119" t="n"/>
      <c r="B466" s="120" t="n"/>
      <c r="C466" s="116">
        <f>IF(B466="","",IFERROR(INDEX('SO HOP DONG'!$H$9:$H$308,MATCH(B466,'SO HOP DONG'!$B$9:$B$308,0)),"Số HĐ không có trong sổ"))</f>
        <v/>
      </c>
      <c r="D466" s="120" t="n"/>
      <c r="E466" s="120" t="n"/>
      <c r="F466" s="120" t="n"/>
      <c r="G466" s="121" t="n"/>
      <c r="H466" s="120" t="n"/>
      <c r="I466" s="116">
        <f>IF(B466="","",IF(AND(D466="Thanh toán",F466="Tiền mặt",G466&gt;='THAM SO'!$B$11),"Tiền mặt ≥ ngưỡng: rủi ro loại khấu trừ GTGT/chi phí",IF(AND(D466="Thanh toán",F466=""),"Thiếu hình thức TT","")))</f>
        <v/>
      </c>
      <c r="J466" s="120" t="n"/>
    </row>
    <row r="467" ht="15" customHeight="1" s="64">
      <c r="A467" s="119" t="n"/>
      <c r="B467" s="120" t="n"/>
      <c r="C467" s="116">
        <f>IF(B467="","",IFERROR(INDEX('SO HOP DONG'!$H$9:$H$308,MATCH(B467,'SO HOP DONG'!$B$9:$B$308,0)),"Số HĐ không có trong sổ"))</f>
        <v/>
      </c>
      <c r="D467" s="120" t="n"/>
      <c r="E467" s="120" t="n"/>
      <c r="F467" s="120" t="n"/>
      <c r="G467" s="121" t="n"/>
      <c r="H467" s="120" t="n"/>
      <c r="I467" s="116">
        <f>IF(B467="","",IF(AND(D467="Thanh toán",F467="Tiền mặt",G467&gt;='THAM SO'!$B$11),"Tiền mặt ≥ ngưỡng: rủi ro loại khấu trừ GTGT/chi phí",IF(AND(D467="Thanh toán",F467=""),"Thiếu hình thức TT","")))</f>
        <v/>
      </c>
      <c r="J467" s="120" t="n"/>
    </row>
    <row r="468" ht="15" customHeight="1" s="64">
      <c r="A468" s="119" t="n"/>
      <c r="B468" s="120" t="n"/>
      <c r="C468" s="116">
        <f>IF(B468="","",IFERROR(INDEX('SO HOP DONG'!$H$9:$H$308,MATCH(B468,'SO HOP DONG'!$B$9:$B$308,0)),"Số HĐ không có trong sổ"))</f>
        <v/>
      </c>
      <c r="D468" s="120" t="n"/>
      <c r="E468" s="120" t="n"/>
      <c r="F468" s="120" t="n"/>
      <c r="G468" s="121" t="n"/>
      <c r="H468" s="120" t="n"/>
      <c r="I468" s="116">
        <f>IF(B468="","",IF(AND(D468="Thanh toán",F468="Tiền mặt",G468&gt;='THAM SO'!$B$11),"Tiền mặt ≥ ngưỡng: rủi ro loại khấu trừ GTGT/chi phí",IF(AND(D468="Thanh toán",F468=""),"Thiếu hình thức TT","")))</f>
        <v/>
      </c>
      <c r="J468" s="120" t="n"/>
    </row>
    <row r="469" ht="15" customHeight="1" s="64">
      <c r="A469" s="119" t="n"/>
      <c r="B469" s="120" t="n"/>
      <c r="C469" s="116">
        <f>IF(B469="","",IFERROR(INDEX('SO HOP DONG'!$H$9:$H$308,MATCH(B469,'SO HOP DONG'!$B$9:$B$308,0)),"Số HĐ không có trong sổ"))</f>
        <v/>
      </c>
      <c r="D469" s="120" t="n"/>
      <c r="E469" s="120" t="n"/>
      <c r="F469" s="120" t="n"/>
      <c r="G469" s="121" t="n"/>
      <c r="H469" s="120" t="n"/>
      <c r="I469" s="116">
        <f>IF(B469="","",IF(AND(D469="Thanh toán",F469="Tiền mặt",G469&gt;='THAM SO'!$B$11),"Tiền mặt ≥ ngưỡng: rủi ro loại khấu trừ GTGT/chi phí",IF(AND(D469="Thanh toán",F469=""),"Thiếu hình thức TT","")))</f>
        <v/>
      </c>
      <c r="J469" s="120" t="n"/>
    </row>
    <row r="470" ht="15" customHeight="1" s="64">
      <c r="A470" s="119" t="n"/>
      <c r="B470" s="120" t="n"/>
      <c r="C470" s="116">
        <f>IF(B470="","",IFERROR(INDEX('SO HOP DONG'!$H$9:$H$308,MATCH(B470,'SO HOP DONG'!$B$9:$B$308,0)),"Số HĐ không có trong sổ"))</f>
        <v/>
      </c>
      <c r="D470" s="120" t="n"/>
      <c r="E470" s="120" t="n"/>
      <c r="F470" s="120" t="n"/>
      <c r="G470" s="121" t="n"/>
      <c r="H470" s="120" t="n"/>
      <c r="I470" s="116">
        <f>IF(B470="","",IF(AND(D470="Thanh toán",F470="Tiền mặt",G470&gt;='THAM SO'!$B$11),"Tiền mặt ≥ ngưỡng: rủi ro loại khấu trừ GTGT/chi phí",IF(AND(D470="Thanh toán",F470=""),"Thiếu hình thức TT","")))</f>
        <v/>
      </c>
      <c r="J470" s="120" t="n"/>
    </row>
    <row r="471" ht="15" customHeight="1" s="64">
      <c r="A471" s="119" t="n"/>
      <c r="B471" s="120" t="n"/>
      <c r="C471" s="116">
        <f>IF(B471="","",IFERROR(INDEX('SO HOP DONG'!$H$9:$H$308,MATCH(B471,'SO HOP DONG'!$B$9:$B$308,0)),"Số HĐ không có trong sổ"))</f>
        <v/>
      </c>
      <c r="D471" s="120" t="n"/>
      <c r="E471" s="120" t="n"/>
      <c r="F471" s="120" t="n"/>
      <c r="G471" s="121" t="n"/>
      <c r="H471" s="120" t="n"/>
      <c r="I471" s="116">
        <f>IF(B471="","",IF(AND(D471="Thanh toán",F471="Tiền mặt",G471&gt;='THAM SO'!$B$11),"Tiền mặt ≥ ngưỡng: rủi ro loại khấu trừ GTGT/chi phí",IF(AND(D471="Thanh toán",F471=""),"Thiếu hình thức TT","")))</f>
        <v/>
      </c>
      <c r="J471" s="120" t="n"/>
    </row>
    <row r="472" ht="15" customHeight="1" s="64">
      <c r="A472" s="119" t="n"/>
      <c r="B472" s="120" t="n"/>
      <c r="C472" s="116">
        <f>IF(B472="","",IFERROR(INDEX('SO HOP DONG'!$H$9:$H$308,MATCH(B472,'SO HOP DONG'!$B$9:$B$308,0)),"Số HĐ không có trong sổ"))</f>
        <v/>
      </c>
      <c r="D472" s="120" t="n"/>
      <c r="E472" s="120" t="n"/>
      <c r="F472" s="120" t="n"/>
      <c r="G472" s="121" t="n"/>
      <c r="H472" s="120" t="n"/>
      <c r="I472" s="116">
        <f>IF(B472="","",IF(AND(D472="Thanh toán",F472="Tiền mặt",G472&gt;='THAM SO'!$B$11),"Tiền mặt ≥ ngưỡng: rủi ro loại khấu trừ GTGT/chi phí",IF(AND(D472="Thanh toán",F472=""),"Thiếu hình thức TT","")))</f>
        <v/>
      </c>
      <c r="J472" s="120" t="n"/>
    </row>
    <row r="473" ht="15" customHeight="1" s="64">
      <c r="A473" s="119" t="n"/>
      <c r="B473" s="120" t="n"/>
      <c r="C473" s="116">
        <f>IF(B473="","",IFERROR(INDEX('SO HOP DONG'!$H$9:$H$308,MATCH(B473,'SO HOP DONG'!$B$9:$B$308,0)),"Số HĐ không có trong sổ"))</f>
        <v/>
      </c>
      <c r="D473" s="120" t="n"/>
      <c r="E473" s="120" t="n"/>
      <c r="F473" s="120" t="n"/>
      <c r="G473" s="121" t="n"/>
      <c r="H473" s="120" t="n"/>
      <c r="I473" s="116">
        <f>IF(B473="","",IF(AND(D473="Thanh toán",F473="Tiền mặt",G473&gt;='THAM SO'!$B$11),"Tiền mặt ≥ ngưỡng: rủi ro loại khấu trừ GTGT/chi phí",IF(AND(D473="Thanh toán",F473=""),"Thiếu hình thức TT","")))</f>
        <v/>
      </c>
      <c r="J473" s="120" t="n"/>
    </row>
    <row r="474" ht="15" customHeight="1" s="64">
      <c r="A474" s="119" t="n"/>
      <c r="B474" s="120" t="n"/>
      <c r="C474" s="116">
        <f>IF(B474="","",IFERROR(INDEX('SO HOP DONG'!$H$9:$H$308,MATCH(B474,'SO HOP DONG'!$B$9:$B$308,0)),"Số HĐ không có trong sổ"))</f>
        <v/>
      </c>
      <c r="D474" s="120" t="n"/>
      <c r="E474" s="120" t="n"/>
      <c r="F474" s="120" t="n"/>
      <c r="G474" s="121" t="n"/>
      <c r="H474" s="120" t="n"/>
      <c r="I474" s="116">
        <f>IF(B474="","",IF(AND(D474="Thanh toán",F474="Tiền mặt",G474&gt;='THAM SO'!$B$11),"Tiền mặt ≥ ngưỡng: rủi ro loại khấu trừ GTGT/chi phí",IF(AND(D474="Thanh toán",F474=""),"Thiếu hình thức TT","")))</f>
        <v/>
      </c>
      <c r="J474" s="120" t="n"/>
    </row>
    <row r="475" ht="15" customHeight="1" s="64">
      <c r="A475" s="119" t="n"/>
      <c r="B475" s="120" t="n"/>
      <c r="C475" s="116">
        <f>IF(B475="","",IFERROR(INDEX('SO HOP DONG'!$H$9:$H$308,MATCH(B475,'SO HOP DONG'!$B$9:$B$308,0)),"Số HĐ không có trong sổ"))</f>
        <v/>
      </c>
      <c r="D475" s="120" t="n"/>
      <c r="E475" s="120" t="n"/>
      <c r="F475" s="120" t="n"/>
      <c r="G475" s="121" t="n"/>
      <c r="H475" s="120" t="n"/>
      <c r="I475" s="116">
        <f>IF(B475="","",IF(AND(D475="Thanh toán",F475="Tiền mặt",G475&gt;='THAM SO'!$B$11),"Tiền mặt ≥ ngưỡng: rủi ro loại khấu trừ GTGT/chi phí",IF(AND(D475="Thanh toán",F475=""),"Thiếu hình thức TT","")))</f>
        <v/>
      </c>
      <c r="J475" s="120" t="n"/>
    </row>
    <row r="476" ht="15" customHeight="1" s="64">
      <c r="A476" s="119" t="n"/>
      <c r="B476" s="120" t="n"/>
      <c r="C476" s="116">
        <f>IF(B476="","",IFERROR(INDEX('SO HOP DONG'!$H$9:$H$308,MATCH(B476,'SO HOP DONG'!$B$9:$B$308,0)),"Số HĐ không có trong sổ"))</f>
        <v/>
      </c>
      <c r="D476" s="120" t="n"/>
      <c r="E476" s="120" t="n"/>
      <c r="F476" s="120" t="n"/>
      <c r="G476" s="121" t="n"/>
      <c r="H476" s="120" t="n"/>
      <c r="I476" s="116">
        <f>IF(B476="","",IF(AND(D476="Thanh toán",F476="Tiền mặt",G476&gt;='THAM SO'!$B$11),"Tiền mặt ≥ ngưỡng: rủi ro loại khấu trừ GTGT/chi phí",IF(AND(D476="Thanh toán",F476=""),"Thiếu hình thức TT","")))</f>
        <v/>
      </c>
      <c r="J476" s="120" t="n"/>
    </row>
    <row r="477" ht="15" customHeight="1" s="64">
      <c r="A477" s="119" t="n"/>
      <c r="B477" s="120" t="n"/>
      <c r="C477" s="116">
        <f>IF(B477="","",IFERROR(INDEX('SO HOP DONG'!$H$9:$H$308,MATCH(B477,'SO HOP DONG'!$B$9:$B$308,0)),"Số HĐ không có trong sổ"))</f>
        <v/>
      </c>
      <c r="D477" s="120" t="n"/>
      <c r="E477" s="120" t="n"/>
      <c r="F477" s="120" t="n"/>
      <c r="G477" s="121" t="n"/>
      <c r="H477" s="120" t="n"/>
      <c r="I477" s="116">
        <f>IF(B477="","",IF(AND(D477="Thanh toán",F477="Tiền mặt",G477&gt;='THAM SO'!$B$11),"Tiền mặt ≥ ngưỡng: rủi ro loại khấu trừ GTGT/chi phí",IF(AND(D477="Thanh toán",F477=""),"Thiếu hình thức TT","")))</f>
        <v/>
      </c>
      <c r="J477" s="120" t="n"/>
    </row>
    <row r="478" ht="15" customHeight="1" s="64">
      <c r="A478" s="119" t="n"/>
      <c r="B478" s="120" t="n"/>
      <c r="C478" s="116">
        <f>IF(B478="","",IFERROR(INDEX('SO HOP DONG'!$H$9:$H$308,MATCH(B478,'SO HOP DONG'!$B$9:$B$308,0)),"Số HĐ không có trong sổ"))</f>
        <v/>
      </c>
      <c r="D478" s="120" t="n"/>
      <c r="E478" s="120" t="n"/>
      <c r="F478" s="120" t="n"/>
      <c r="G478" s="121" t="n"/>
      <c r="H478" s="120" t="n"/>
      <c r="I478" s="116">
        <f>IF(B478="","",IF(AND(D478="Thanh toán",F478="Tiền mặt",G478&gt;='THAM SO'!$B$11),"Tiền mặt ≥ ngưỡng: rủi ro loại khấu trừ GTGT/chi phí",IF(AND(D478="Thanh toán",F478=""),"Thiếu hình thức TT","")))</f>
        <v/>
      </c>
      <c r="J478" s="120" t="n"/>
    </row>
    <row r="479" ht="15" customHeight="1" s="64">
      <c r="A479" s="119" t="n"/>
      <c r="B479" s="120" t="n"/>
      <c r="C479" s="116">
        <f>IF(B479="","",IFERROR(INDEX('SO HOP DONG'!$H$9:$H$308,MATCH(B479,'SO HOP DONG'!$B$9:$B$308,0)),"Số HĐ không có trong sổ"))</f>
        <v/>
      </c>
      <c r="D479" s="120" t="n"/>
      <c r="E479" s="120" t="n"/>
      <c r="F479" s="120" t="n"/>
      <c r="G479" s="121" t="n"/>
      <c r="H479" s="120" t="n"/>
      <c r="I479" s="116">
        <f>IF(B479="","",IF(AND(D479="Thanh toán",F479="Tiền mặt",G479&gt;='THAM SO'!$B$11),"Tiền mặt ≥ ngưỡng: rủi ro loại khấu trừ GTGT/chi phí",IF(AND(D479="Thanh toán",F479=""),"Thiếu hình thức TT","")))</f>
        <v/>
      </c>
      <c r="J479" s="120" t="n"/>
    </row>
    <row r="480" ht="15" customHeight="1" s="64">
      <c r="A480" s="119" t="n"/>
      <c r="B480" s="120" t="n"/>
      <c r="C480" s="116">
        <f>IF(B480="","",IFERROR(INDEX('SO HOP DONG'!$H$9:$H$308,MATCH(B480,'SO HOP DONG'!$B$9:$B$308,0)),"Số HĐ không có trong sổ"))</f>
        <v/>
      </c>
      <c r="D480" s="120" t="n"/>
      <c r="E480" s="120" t="n"/>
      <c r="F480" s="120" t="n"/>
      <c r="G480" s="121" t="n"/>
      <c r="H480" s="120" t="n"/>
      <c r="I480" s="116">
        <f>IF(B480="","",IF(AND(D480="Thanh toán",F480="Tiền mặt",G480&gt;='THAM SO'!$B$11),"Tiền mặt ≥ ngưỡng: rủi ro loại khấu trừ GTGT/chi phí",IF(AND(D480="Thanh toán",F480=""),"Thiếu hình thức TT","")))</f>
        <v/>
      </c>
      <c r="J480" s="120" t="n"/>
    </row>
    <row r="481" ht="15" customHeight="1" s="64">
      <c r="A481" s="119" t="n"/>
      <c r="B481" s="120" t="n"/>
      <c r="C481" s="116">
        <f>IF(B481="","",IFERROR(INDEX('SO HOP DONG'!$H$9:$H$308,MATCH(B481,'SO HOP DONG'!$B$9:$B$308,0)),"Số HĐ không có trong sổ"))</f>
        <v/>
      </c>
      <c r="D481" s="120" t="n"/>
      <c r="E481" s="120" t="n"/>
      <c r="F481" s="120" t="n"/>
      <c r="G481" s="121" t="n"/>
      <c r="H481" s="120" t="n"/>
      <c r="I481" s="116">
        <f>IF(B481="","",IF(AND(D481="Thanh toán",F481="Tiền mặt",G481&gt;='THAM SO'!$B$11),"Tiền mặt ≥ ngưỡng: rủi ro loại khấu trừ GTGT/chi phí",IF(AND(D481="Thanh toán",F481=""),"Thiếu hình thức TT","")))</f>
        <v/>
      </c>
      <c r="J481" s="120" t="n"/>
    </row>
    <row r="482" ht="15" customHeight="1" s="64">
      <c r="A482" s="119" t="n"/>
      <c r="B482" s="120" t="n"/>
      <c r="C482" s="116">
        <f>IF(B482="","",IFERROR(INDEX('SO HOP DONG'!$H$9:$H$308,MATCH(B482,'SO HOP DONG'!$B$9:$B$308,0)),"Số HĐ không có trong sổ"))</f>
        <v/>
      </c>
      <c r="D482" s="120" t="n"/>
      <c r="E482" s="120" t="n"/>
      <c r="F482" s="120" t="n"/>
      <c r="G482" s="121" t="n"/>
      <c r="H482" s="120" t="n"/>
      <c r="I482" s="116">
        <f>IF(B482="","",IF(AND(D482="Thanh toán",F482="Tiền mặt",G482&gt;='THAM SO'!$B$11),"Tiền mặt ≥ ngưỡng: rủi ro loại khấu trừ GTGT/chi phí",IF(AND(D482="Thanh toán",F482=""),"Thiếu hình thức TT","")))</f>
        <v/>
      </c>
      <c r="J482" s="120" t="n"/>
    </row>
    <row r="483" ht="15" customHeight="1" s="64">
      <c r="A483" s="119" t="n"/>
      <c r="B483" s="120" t="n"/>
      <c r="C483" s="116">
        <f>IF(B483="","",IFERROR(INDEX('SO HOP DONG'!$H$9:$H$308,MATCH(B483,'SO HOP DONG'!$B$9:$B$308,0)),"Số HĐ không có trong sổ"))</f>
        <v/>
      </c>
      <c r="D483" s="120" t="n"/>
      <c r="E483" s="120" t="n"/>
      <c r="F483" s="120" t="n"/>
      <c r="G483" s="121" t="n"/>
      <c r="H483" s="120" t="n"/>
      <c r="I483" s="116">
        <f>IF(B483="","",IF(AND(D483="Thanh toán",F483="Tiền mặt",G483&gt;='THAM SO'!$B$11),"Tiền mặt ≥ ngưỡng: rủi ro loại khấu trừ GTGT/chi phí",IF(AND(D483="Thanh toán",F483=""),"Thiếu hình thức TT","")))</f>
        <v/>
      </c>
      <c r="J483" s="120" t="n"/>
    </row>
    <row r="484" ht="15" customHeight="1" s="64">
      <c r="A484" s="119" t="n"/>
      <c r="B484" s="120" t="n"/>
      <c r="C484" s="116">
        <f>IF(B484="","",IFERROR(INDEX('SO HOP DONG'!$H$9:$H$308,MATCH(B484,'SO HOP DONG'!$B$9:$B$308,0)),"Số HĐ không có trong sổ"))</f>
        <v/>
      </c>
      <c r="D484" s="120" t="n"/>
      <c r="E484" s="120" t="n"/>
      <c r="F484" s="120" t="n"/>
      <c r="G484" s="121" t="n"/>
      <c r="H484" s="120" t="n"/>
      <c r="I484" s="116">
        <f>IF(B484="","",IF(AND(D484="Thanh toán",F484="Tiền mặt",G484&gt;='THAM SO'!$B$11),"Tiền mặt ≥ ngưỡng: rủi ro loại khấu trừ GTGT/chi phí",IF(AND(D484="Thanh toán",F484=""),"Thiếu hình thức TT","")))</f>
        <v/>
      </c>
      <c r="J484" s="120" t="n"/>
    </row>
    <row r="485" ht="15" customHeight="1" s="64">
      <c r="A485" s="119" t="n"/>
      <c r="B485" s="120" t="n"/>
      <c r="C485" s="116">
        <f>IF(B485="","",IFERROR(INDEX('SO HOP DONG'!$H$9:$H$308,MATCH(B485,'SO HOP DONG'!$B$9:$B$308,0)),"Số HĐ không có trong sổ"))</f>
        <v/>
      </c>
      <c r="D485" s="120" t="n"/>
      <c r="E485" s="120" t="n"/>
      <c r="F485" s="120" t="n"/>
      <c r="G485" s="121" t="n"/>
      <c r="H485" s="120" t="n"/>
      <c r="I485" s="116">
        <f>IF(B485="","",IF(AND(D485="Thanh toán",F485="Tiền mặt",G485&gt;='THAM SO'!$B$11),"Tiền mặt ≥ ngưỡng: rủi ro loại khấu trừ GTGT/chi phí",IF(AND(D485="Thanh toán",F485=""),"Thiếu hình thức TT","")))</f>
        <v/>
      </c>
      <c r="J485" s="120" t="n"/>
    </row>
    <row r="486" ht="15" customHeight="1" s="64">
      <c r="A486" s="119" t="n"/>
      <c r="B486" s="120" t="n"/>
      <c r="C486" s="116">
        <f>IF(B486="","",IFERROR(INDEX('SO HOP DONG'!$H$9:$H$308,MATCH(B486,'SO HOP DONG'!$B$9:$B$308,0)),"Số HĐ không có trong sổ"))</f>
        <v/>
      </c>
      <c r="D486" s="120" t="n"/>
      <c r="E486" s="120" t="n"/>
      <c r="F486" s="120" t="n"/>
      <c r="G486" s="121" t="n"/>
      <c r="H486" s="120" t="n"/>
      <c r="I486" s="116">
        <f>IF(B486="","",IF(AND(D486="Thanh toán",F486="Tiền mặt",G486&gt;='THAM SO'!$B$11),"Tiền mặt ≥ ngưỡng: rủi ro loại khấu trừ GTGT/chi phí",IF(AND(D486="Thanh toán",F486=""),"Thiếu hình thức TT","")))</f>
        <v/>
      </c>
      <c r="J486" s="120" t="n"/>
    </row>
    <row r="487" ht="15" customHeight="1" s="64">
      <c r="A487" s="119" t="n"/>
      <c r="B487" s="120" t="n"/>
      <c r="C487" s="116">
        <f>IF(B487="","",IFERROR(INDEX('SO HOP DONG'!$H$9:$H$308,MATCH(B487,'SO HOP DONG'!$B$9:$B$308,0)),"Số HĐ không có trong sổ"))</f>
        <v/>
      </c>
      <c r="D487" s="120" t="n"/>
      <c r="E487" s="120" t="n"/>
      <c r="F487" s="120" t="n"/>
      <c r="G487" s="121" t="n"/>
      <c r="H487" s="120" t="n"/>
      <c r="I487" s="116">
        <f>IF(B487="","",IF(AND(D487="Thanh toán",F487="Tiền mặt",G487&gt;='THAM SO'!$B$11),"Tiền mặt ≥ ngưỡng: rủi ro loại khấu trừ GTGT/chi phí",IF(AND(D487="Thanh toán",F487=""),"Thiếu hình thức TT","")))</f>
        <v/>
      </c>
      <c r="J487" s="120" t="n"/>
    </row>
    <row r="488" ht="15" customHeight="1" s="64">
      <c r="A488" s="119" t="n"/>
      <c r="B488" s="120" t="n"/>
      <c r="C488" s="116">
        <f>IF(B488="","",IFERROR(INDEX('SO HOP DONG'!$H$9:$H$308,MATCH(B488,'SO HOP DONG'!$B$9:$B$308,0)),"Số HĐ không có trong sổ"))</f>
        <v/>
      </c>
      <c r="D488" s="120" t="n"/>
      <c r="E488" s="120" t="n"/>
      <c r="F488" s="120" t="n"/>
      <c r="G488" s="121" t="n"/>
      <c r="H488" s="120" t="n"/>
      <c r="I488" s="116">
        <f>IF(B488="","",IF(AND(D488="Thanh toán",F488="Tiền mặt",G488&gt;='THAM SO'!$B$11),"Tiền mặt ≥ ngưỡng: rủi ro loại khấu trừ GTGT/chi phí",IF(AND(D488="Thanh toán",F488=""),"Thiếu hình thức TT","")))</f>
        <v/>
      </c>
      <c r="J488" s="120" t="n"/>
    </row>
    <row r="489" ht="15" customHeight="1" s="64">
      <c r="A489" s="119" t="n"/>
      <c r="B489" s="120" t="n"/>
      <c r="C489" s="116">
        <f>IF(B489="","",IFERROR(INDEX('SO HOP DONG'!$H$9:$H$308,MATCH(B489,'SO HOP DONG'!$B$9:$B$308,0)),"Số HĐ không có trong sổ"))</f>
        <v/>
      </c>
      <c r="D489" s="120" t="n"/>
      <c r="E489" s="120" t="n"/>
      <c r="F489" s="120" t="n"/>
      <c r="G489" s="121" t="n"/>
      <c r="H489" s="120" t="n"/>
      <c r="I489" s="116">
        <f>IF(B489="","",IF(AND(D489="Thanh toán",F489="Tiền mặt",G489&gt;='THAM SO'!$B$11),"Tiền mặt ≥ ngưỡng: rủi ro loại khấu trừ GTGT/chi phí",IF(AND(D489="Thanh toán",F489=""),"Thiếu hình thức TT","")))</f>
        <v/>
      </c>
      <c r="J489" s="120" t="n"/>
    </row>
    <row r="490" ht="15" customHeight="1" s="64">
      <c r="A490" s="119" t="n"/>
      <c r="B490" s="120" t="n"/>
      <c r="C490" s="116">
        <f>IF(B490="","",IFERROR(INDEX('SO HOP DONG'!$H$9:$H$308,MATCH(B490,'SO HOP DONG'!$B$9:$B$308,0)),"Số HĐ không có trong sổ"))</f>
        <v/>
      </c>
      <c r="D490" s="120" t="n"/>
      <c r="E490" s="120" t="n"/>
      <c r="F490" s="120" t="n"/>
      <c r="G490" s="121" t="n"/>
      <c r="H490" s="120" t="n"/>
      <c r="I490" s="116">
        <f>IF(B490="","",IF(AND(D490="Thanh toán",F490="Tiền mặt",G490&gt;='THAM SO'!$B$11),"Tiền mặt ≥ ngưỡng: rủi ro loại khấu trừ GTGT/chi phí",IF(AND(D490="Thanh toán",F490=""),"Thiếu hình thức TT","")))</f>
        <v/>
      </c>
      <c r="J490" s="120" t="n"/>
    </row>
    <row r="491" ht="15" customHeight="1" s="64">
      <c r="A491" s="119" t="n"/>
      <c r="B491" s="120" t="n"/>
      <c r="C491" s="116">
        <f>IF(B491="","",IFERROR(INDEX('SO HOP DONG'!$H$9:$H$308,MATCH(B491,'SO HOP DONG'!$B$9:$B$308,0)),"Số HĐ không có trong sổ"))</f>
        <v/>
      </c>
      <c r="D491" s="120" t="n"/>
      <c r="E491" s="120" t="n"/>
      <c r="F491" s="120" t="n"/>
      <c r="G491" s="121" t="n"/>
      <c r="H491" s="120" t="n"/>
      <c r="I491" s="116">
        <f>IF(B491="","",IF(AND(D491="Thanh toán",F491="Tiền mặt",G491&gt;='THAM SO'!$B$11),"Tiền mặt ≥ ngưỡng: rủi ro loại khấu trừ GTGT/chi phí",IF(AND(D491="Thanh toán",F491=""),"Thiếu hình thức TT","")))</f>
        <v/>
      </c>
      <c r="J491" s="120" t="n"/>
    </row>
    <row r="492" ht="15" customHeight="1" s="64">
      <c r="A492" s="119" t="n"/>
      <c r="B492" s="120" t="n"/>
      <c r="C492" s="116">
        <f>IF(B492="","",IFERROR(INDEX('SO HOP DONG'!$H$9:$H$308,MATCH(B492,'SO HOP DONG'!$B$9:$B$308,0)),"Số HĐ không có trong sổ"))</f>
        <v/>
      </c>
      <c r="D492" s="120" t="n"/>
      <c r="E492" s="120" t="n"/>
      <c r="F492" s="120" t="n"/>
      <c r="G492" s="121" t="n"/>
      <c r="H492" s="120" t="n"/>
      <c r="I492" s="116">
        <f>IF(B492="","",IF(AND(D492="Thanh toán",F492="Tiền mặt",G492&gt;='THAM SO'!$B$11),"Tiền mặt ≥ ngưỡng: rủi ro loại khấu trừ GTGT/chi phí",IF(AND(D492="Thanh toán",F492=""),"Thiếu hình thức TT","")))</f>
        <v/>
      </c>
      <c r="J492" s="120" t="n"/>
    </row>
    <row r="493" ht="15" customHeight="1" s="64">
      <c r="A493" s="119" t="n"/>
      <c r="B493" s="120" t="n"/>
      <c r="C493" s="116">
        <f>IF(B493="","",IFERROR(INDEX('SO HOP DONG'!$H$9:$H$308,MATCH(B493,'SO HOP DONG'!$B$9:$B$308,0)),"Số HĐ không có trong sổ"))</f>
        <v/>
      </c>
      <c r="D493" s="120" t="n"/>
      <c r="E493" s="120" t="n"/>
      <c r="F493" s="120" t="n"/>
      <c r="G493" s="121" t="n"/>
      <c r="H493" s="120" t="n"/>
      <c r="I493" s="116">
        <f>IF(B493="","",IF(AND(D493="Thanh toán",F493="Tiền mặt",G493&gt;='THAM SO'!$B$11),"Tiền mặt ≥ ngưỡng: rủi ro loại khấu trừ GTGT/chi phí",IF(AND(D493="Thanh toán",F493=""),"Thiếu hình thức TT","")))</f>
        <v/>
      </c>
      <c r="J493" s="120" t="n"/>
    </row>
    <row r="494" ht="15" customHeight="1" s="64">
      <c r="A494" s="119" t="n"/>
      <c r="B494" s="120" t="n"/>
      <c r="C494" s="116">
        <f>IF(B494="","",IFERROR(INDEX('SO HOP DONG'!$H$9:$H$308,MATCH(B494,'SO HOP DONG'!$B$9:$B$308,0)),"Số HĐ không có trong sổ"))</f>
        <v/>
      </c>
      <c r="D494" s="120" t="n"/>
      <c r="E494" s="120" t="n"/>
      <c r="F494" s="120" t="n"/>
      <c r="G494" s="121" t="n"/>
      <c r="H494" s="120" t="n"/>
      <c r="I494" s="116">
        <f>IF(B494="","",IF(AND(D494="Thanh toán",F494="Tiền mặt",G494&gt;='THAM SO'!$B$11),"Tiền mặt ≥ ngưỡng: rủi ro loại khấu trừ GTGT/chi phí",IF(AND(D494="Thanh toán",F494=""),"Thiếu hình thức TT","")))</f>
        <v/>
      </c>
      <c r="J494" s="120" t="n"/>
    </row>
    <row r="495" ht="15" customHeight="1" s="64">
      <c r="A495" s="119" t="n"/>
      <c r="B495" s="120" t="n"/>
      <c r="C495" s="116">
        <f>IF(B495="","",IFERROR(INDEX('SO HOP DONG'!$H$9:$H$308,MATCH(B495,'SO HOP DONG'!$B$9:$B$308,0)),"Số HĐ không có trong sổ"))</f>
        <v/>
      </c>
      <c r="D495" s="120" t="n"/>
      <c r="E495" s="120" t="n"/>
      <c r="F495" s="120" t="n"/>
      <c r="G495" s="121" t="n"/>
      <c r="H495" s="120" t="n"/>
      <c r="I495" s="116">
        <f>IF(B495="","",IF(AND(D495="Thanh toán",F495="Tiền mặt",G495&gt;='THAM SO'!$B$11),"Tiền mặt ≥ ngưỡng: rủi ro loại khấu trừ GTGT/chi phí",IF(AND(D495="Thanh toán",F495=""),"Thiếu hình thức TT","")))</f>
        <v/>
      </c>
      <c r="J495" s="120" t="n"/>
    </row>
    <row r="496" ht="15" customHeight="1" s="64">
      <c r="A496" s="119" t="n"/>
      <c r="B496" s="120" t="n"/>
      <c r="C496" s="116">
        <f>IF(B496="","",IFERROR(INDEX('SO HOP DONG'!$H$9:$H$308,MATCH(B496,'SO HOP DONG'!$B$9:$B$308,0)),"Số HĐ không có trong sổ"))</f>
        <v/>
      </c>
      <c r="D496" s="120" t="n"/>
      <c r="E496" s="120" t="n"/>
      <c r="F496" s="120" t="n"/>
      <c r="G496" s="121" t="n"/>
      <c r="H496" s="120" t="n"/>
      <c r="I496" s="116">
        <f>IF(B496="","",IF(AND(D496="Thanh toán",F496="Tiền mặt",G496&gt;='THAM SO'!$B$11),"Tiền mặt ≥ ngưỡng: rủi ro loại khấu trừ GTGT/chi phí",IF(AND(D496="Thanh toán",F496=""),"Thiếu hình thức TT","")))</f>
        <v/>
      </c>
      <c r="J496" s="120" t="n"/>
    </row>
    <row r="497" ht="15" customHeight="1" s="64">
      <c r="A497" s="119" t="n"/>
      <c r="B497" s="120" t="n"/>
      <c r="C497" s="116">
        <f>IF(B497="","",IFERROR(INDEX('SO HOP DONG'!$H$9:$H$308,MATCH(B497,'SO HOP DONG'!$B$9:$B$308,0)),"Số HĐ không có trong sổ"))</f>
        <v/>
      </c>
      <c r="D497" s="120" t="n"/>
      <c r="E497" s="120" t="n"/>
      <c r="F497" s="120" t="n"/>
      <c r="G497" s="121" t="n"/>
      <c r="H497" s="120" t="n"/>
      <c r="I497" s="116">
        <f>IF(B497="","",IF(AND(D497="Thanh toán",F497="Tiền mặt",G497&gt;='THAM SO'!$B$11),"Tiền mặt ≥ ngưỡng: rủi ro loại khấu trừ GTGT/chi phí",IF(AND(D497="Thanh toán",F497=""),"Thiếu hình thức TT","")))</f>
        <v/>
      </c>
      <c r="J497" s="120" t="n"/>
    </row>
    <row r="498" ht="15" customHeight="1" s="64">
      <c r="A498" s="119" t="n"/>
      <c r="B498" s="120" t="n"/>
      <c r="C498" s="116">
        <f>IF(B498="","",IFERROR(INDEX('SO HOP DONG'!$H$9:$H$308,MATCH(B498,'SO HOP DONG'!$B$9:$B$308,0)),"Số HĐ không có trong sổ"))</f>
        <v/>
      </c>
      <c r="D498" s="120" t="n"/>
      <c r="E498" s="120" t="n"/>
      <c r="F498" s="120" t="n"/>
      <c r="G498" s="121" t="n"/>
      <c r="H498" s="120" t="n"/>
      <c r="I498" s="116">
        <f>IF(B498="","",IF(AND(D498="Thanh toán",F498="Tiền mặt",G498&gt;='THAM SO'!$B$11),"Tiền mặt ≥ ngưỡng: rủi ro loại khấu trừ GTGT/chi phí",IF(AND(D498="Thanh toán",F498=""),"Thiếu hình thức TT","")))</f>
        <v/>
      </c>
      <c r="J498" s="120" t="n"/>
    </row>
    <row r="499" ht="15" customHeight="1" s="64">
      <c r="A499" s="119" t="n"/>
      <c r="B499" s="120" t="n"/>
      <c r="C499" s="116">
        <f>IF(B499="","",IFERROR(INDEX('SO HOP DONG'!$H$9:$H$308,MATCH(B499,'SO HOP DONG'!$B$9:$B$308,0)),"Số HĐ không có trong sổ"))</f>
        <v/>
      </c>
      <c r="D499" s="120" t="n"/>
      <c r="E499" s="120" t="n"/>
      <c r="F499" s="120" t="n"/>
      <c r="G499" s="121" t="n"/>
      <c r="H499" s="120" t="n"/>
      <c r="I499" s="116">
        <f>IF(B499="","",IF(AND(D499="Thanh toán",F499="Tiền mặt",G499&gt;='THAM SO'!$B$11),"Tiền mặt ≥ ngưỡng: rủi ro loại khấu trừ GTGT/chi phí",IF(AND(D499="Thanh toán",F499=""),"Thiếu hình thức TT","")))</f>
        <v/>
      </c>
      <c r="J499" s="120" t="n"/>
    </row>
    <row r="500" ht="15" customHeight="1" s="64">
      <c r="A500" s="119" t="n"/>
      <c r="B500" s="120" t="n"/>
      <c r="C500" s="116">
        <f>IF(B500="","",IFERROR(INDEX('SO HOP DONG'!$H$9:$H$308,MATCH(B500,'SO HOP DONG'!$B$9:$B$308,0)),"Số HĐ không có trong sổ"))</f>
        <v/>
      </c>
      <c r="D500" s="120" t="n"/>
      <c r="E500" s="120" t="n"/>
      <c r="F500" s="120" t="n"/>
      <c r="G500" s="121" t="n"/>
      <c r="H500" s="120" t="n"/>
      <c r="I500" s="116">
        <f>IF(B500="","",IF(AND(D500="Thanh toán",F500="Tiền mặt",G500&gt;='THAM SO'!$B$11),"Tiền mặt ≥ ngưỡng: rủi ro loại khấu trừ GTGT/chi phí",IF(AND(D500="Thanh toán",F500=""),"Thiếu hình thức TT","")))</f>
        <v/>
      </c>
      <c r="J500" s="120" t="n"/>
    </row>
    <row r="501" ht="15" customHeight="1" s="64">
      <c r="A501" s="119" t="n"/>
      <c r="B501" s="120" t="n"/>
      <c r="C501" s="116">
        <f>IF(B501="","",IFERROR(INDEX('SO HOP DONG'!$H$9:$H$308,MATCH(B501,'SO HOP DONG'!$B$9:$B$308,0)),"Số HĐ không có trong sổ"))</f>
        <v/>
      </c>
      <c r="D501" s="120" t="n"/>
      <c r="E501" s="120" t="n"/>
      <c r="F501" s="120" t="n"/>
      <c r="G501" s="121" t="n"/>
      <c r="H501" s="120" t="n"/>
      <c r="I501" s="116">
        <f>IF(B501="","",IF(AND(D501="Thanh toán",F501="Tiền mặt",G501&gt;='THAM SO'!$B$11),"Tiền mặt ≥ ngưỡng: rủi ro loại khấu trừ GTGT/chi phí",IF(AND(D501="Thanh toán",F501=""),"Thiếu hình thức TT","")))</f>
        <v/>
      </c>
      <c r="J501" s="120" t="n"/>
    </row>
    <row r="502" ht="15" customHeight="1" s="64">
      <c r="A502" s="119" t="n"/>
      <c r="B502" s="120" t="n"/>
      <c r="C502" s="116">
        <f>IF(B502="","",IFERROR(INDEX('SO HOP DONG'!$H$9:$H$308,MATCH(B502,'SO HOP DONG'!$B$9:$B$308,0)),"Số HĐ không có trong sổ"))</f>
        <v/>
      </c>
      <c r="D502" s="120" t="n"/>
      <c r="E502" s="120" t="n"/>
      <c r="F502" s="120" t="n"/>
      <c r="G502" s="121" t="n"/>
      <c r="H502" s="120" t="n"/>
      <c r="I502" s="116">
        <f>IF(B502="","",IF(AND(D502="Thanh toán",F502="Tiền mặt",G502&gt;='THAM SO'!$B$11),"Tiền mặt ≥ ngưỡng: rủi ro loại khấu trừ GTGT/chi phí",IF(AND(D502="Thanh toán",F502=""),"Thiếu hình thức TT","")))</f>
        <v/>
      </c>
      <c r="J502" s="120" t="n"/>
    </row>
    <row r="503" ht="15" customHeight="1" s="64">
      <c r="A503" s="119" t="n"/>
      <c r="B503" s="120" t="n"/>
      <c r="C503" s="116">
        <f>IF(B503="","",IFERROR(INDEX('SO HOP DONG'!$H$9:$H$308,MATCH(B503,'SO HOP DONG'!$B$9:$B$308,0)),"Số HĐ không có trong sổ"))</f>
        <v/>
      </c>
      <c r="D503" s="120" t="n"/>
      <c r="E503" s="120" t="n"/>
      <c r="F503" s="120" t="n"/>
      <c r="G503" s="121" t="n"/>
      <c r="H503" s="120" t="n"/>
      <c r="I503" s="116">
        <f>IF(B503="","",IF(AND(D503="Thanh toán",F503="Tiền mặt",G503&gt;='THAM SO'!$B$11),"Tiền mặt ≥ ngưỡng: rủi ro loại khấu trừ GTGT/chi phí",IF(AND(D503="Thanh toán",F503=""),"Thiếu hình thức TT","")))</f>
        <v/>
      </c>
      <c r="J503" s="120" t="n"/>
    </row>
    <row r="504" ht="15" customHeight="1" s="64">
      <c r="A504" s="119" t="n"/>
      <c r="B504" s="120" t="n"/>
      <c r="C504" s="116">
        <f>IF(B504="","",IFERROR(INDEX('SO HOP DONG'!$H$9:$H$308,MATCH(B504,'SO HOP DONG'!$B$9:$B$308,0)),"Số HĐ không có trong sổ"))</f>
        <v/>
      </c>
      <c r="D504" s="120" t="n"/>
      <c r="E504" s="120" t="n"/>
      <c r="F504" s="120" t="n"/>
      <c r="G504" s="121" t="n"/>
      <c r="H504" s="120" t="n"/>
      <c r="I504" s="116">
        <f>IF(B504="","",IF(AND(D504="Thanh toán",F504="Tiền mặt",G504&gt;='THAM SO'!$B$11),"Tiền mặt ≥ ngưỡng: rủi ro loại khấu trừ GTGT/chi phí",IF(AND(D504="Thanh toán",F504=""),"Thiếu hình thức TT","")))</f>
        <v/>
      </c>
      <c r="J504" s="120" t="n"/>
    </row>
    <row r="505" ht="15" customHeight="1" s="64">
      <c r="A505" s="119" t="n"/>
      <c r="B505" s="120" t="n"/>
      <c r="C505" s="116">
        <f>IF(B505="","",IFERROR(INDEX('SO HOP DONG'!$H$9:$H$308,MATCH(B505,'SO HOP DONG'!$B$9:$B$308,0)),"Số HĐ không có trong sổ"))</f>
        <v/>
      </c>
      <c r="D505" s="120" t="n"/>
      <c r="E505" s="120" t="n"/>
      <c r="F505" s="120" t="n"/>
      <c r="G505" s="121" t="n"/>
      <c r="H505" s="120" t="n"/>
      <c r="I505" s="116">
        <f>IF(B505="","",IF(AND(D505="Thanh toán",F505="Tiền mặt",G505&gt;='THAM SO'!$B$11),"Tiền mặt ≥ ngưỡng: rủi ro loại khấu trừ GTGT/chi phí",IF(AND(D505="Thanh toán",F505=""),"Thiếu hình thức TT","")))</f>
        <v/>
      </c>
      <c r="J505" s="120" t="n"/>
    </row>
    <row r="506" ht="15" customHeight="1" s="64">
      <c r="A506" s="119" t="n"/>
      <c r="B506" s="120" t="n"/>
      <c r="C506" s="116">
        <f>IF(B506="","",IFERROR(INDEX('SO HOP DONG'!$H$9:$H$308,MATCH(B506,'SO HOP DONG'!$B$9:$B$308,0)),"Số HĐ không có trong sổ"))</f>
        <v/>
      </c>
      <c r="D506" s="120" t="n"/>
      <c r="E506" s="120" t="n"/>
      <c r="F506" s="120" t="n"/>
      <c r="G506" s="121" t="n"/>
      <c r="H506" s="120" t="n"/>
      <c r="I506" s="116">
        <f>IF(B506="","",IF(AND(D506="Thanh toán",F506="Tiền mặt",G506&gt;='THAM SO'!$B$11),"Tiền mặt ≥ ngưỡng: rủi ro loại khấu trừ GTGT/chi phí",IF(AND(D506="Thanh toán",F506=""),"Thiếu hình thức TT","")))</f>
        <v/>
      </c>
      <c r="J506" s="120" t="n"/>
    </row>
  </sheetData>
  <autoFilter ref="A6:J506"/>
  <mergeCells count="2">
    <mergeCell ref="A1:J1"/>
    <mergeCell ref="A2:J2"/>
  </mergeCells>
  <conditionalFormatting sqref="I7:I506">
    <cfRule type="expression" rank="0" priority="2" equalAverage="0" aboveAverage="0" dxfId="14" text="" percent="0" bottom="0">
      <formula>LEN($I7)&gt;0</formula>
    </cfRule>
  </conditionalFormatting>
  <conditionalFormatting sqref="C7:C506">
    <cfRule type="expression" rank="0" priority="3" equalAverage="0" aboveAverage="0" dxfId="14" text="" percent="0" bottom="0">
      <formula>$C7="Số HĐ không có trong sổ"</formula>
    </cfRule>
  </conditionalFormatting>
  <dataValidations count="3">
    <dataValidation sqref="B7:B506" showDropDown="0" showInputMessage="0" showErrorMessage="0" allowBlank="1" type="list" errorStyle="stop" operator="between">
      <formula1>'SO HOP DONG'!$B$9:$B$308</formula1>
      <formula2>0</formula2>
    </dataValidation>
    <dataValidation sqref="D7:D506" showDropDown="0" showInputMessage="0" showErrorMessage="0" allowBlank="1" type="list" errorStyle="stop" operator="between">
      <formula1>"Hóa đơn,Thanh toán"</formula1>
      <formula2>0</formula2>
    </dataValidation>
    <dataValidation sqref="F7:F506" showDropDown="0" showInputMessage="0" showErrorMessage="0" allowBlank="1" type="list" errorStyle="stop" operator="between">
      <formula1>"Chuyển khoản,Tiền mặt,Bù trừ công nợ,L/C,Khác"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&amp;LMr. Wick Kiểm toán | taichinhketoanedu.com&amp;RTrang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3" min="1" max="1"/>
    <col width="14" customWidth="1" style="63" min="2" max="2"/>
    <col width="18" customWidth="1" style="63" min="3" max="6"/>
    <col width="14" customWidth="1" style="63" min="7" max="7"/>
    <col width="4" customWidth="1" style="63" min="8" max="8"/>
  </cols>
  <sheetData>
    <row r="1" ht="30" customHeight="1" s="64">
      <c r="A1" s="65" t="inlineStr">
        <is>
          <t>BÁO CÁO TỔNG HỢP HỢP ĐỒNG</t>
        </is>
      </c>
    </row>
    <row r="2" ht="18" customHeight="1" s="64">
      <c r="A2" s="66" t="inlineStr">
        <is>
          <t>KK HOME  |    |  Hệ thống Quản trị Doanh nghiệp – KK HOME 2026</t>
        </is>
      </c>
    </row>
    <row r="3" ht="15" customHeight="1" s="64">
      <c r="A3" s="82" t="inlineStr">
        <is>
          <t>Ngày báo cáo:</t>
        </is>
      </c>
      <c r="B3" s="122">
        <f>'THAM SO'!$B$8</f>
        <v/>
      </c>
    </row>
    <row r="4"/>
    <row r="5" ht="15" customHeight="1" s="64">
      <c r="A5" s="70" t="inlineStr">
        <is>
          <t>1. TÌNH TRẠNG HỢP ĐỒNG</t>
        </is>
      </c>
    </row>
    <row r="6" ht="22.35" customHeight="1" s="64">
      <c r="A6" s="92" t="inlineStr">
        <is>
          <t>Trạng thái</t>
        </is>
      </c>
      <c r="B6" s="92" t="inlineStr">
        <is>
          <t>Số HĐ</t>
        </is>
      </c>
      <c r="C6" s="92" t="inlineStr">
        <is>
          <t>Giá trị sau điều chỉnh (VND)</t>
        </is>
      </c>
      <c r="D6" s="92" t="inlineStr">
        <is>
          <t>Đã thanh toán (VND)</t>
        </is>
      </c>
      <c r="E6" s="92" t="inlineStr">
        <is>
          <t>Còn phải TT (VND)</t>
        </is>
      </c>
    </row>
    <row r="7" ht="15" customHeight="1" s="64">
      <c r="A7" s="123" t="inlineStr">
        <is>
          <t>Chưa hiệu lực</t>
        </is>
      </c>
      <c r="B7" s="124">
        <f>COUNTIF('SO HOP DONG'!$AJ$9:$AJ$308,A7)</f>
        <v/>
      </c>
      <c r="C7" s="125">
        <f>SUMIFS('SO HOP DONG'!$Y$9:$Y$308,'SO HOP DONG'!$AJ$9:$AJ$308,A7)</f>
        <v/>
      </c>
      <c r="D7" s="125">
        <f>SUMIFS('SO HOP DONG'!$AA$9:$AA$308,'SO HOP DONG'!$AJ$9:$AJ$308,A7)</f>
        <v/>
      </c>
      <c r="E7" s="125">
        <f>SUMIFS('SO HOP DONG'!$AB$9:$AB$308,'SO HOP DONG'!$AJ$9:$AJ$308,A7)</f>
        <v/>
      </c>
    </row>
    <row r="8" ht="15" customHeight="1" s="64">
      <c r="A8" s="123" t="inlineStr">
        <is>
          <t>Đang thực hiện</t>
        </is>
      </c>
      <c r="B8" s="124">
        <f>COUNTIF('SO HOP DONG'!$AJ$9:$AJ$308,A8)</f>
        <v/>
      </c>
      <c r="C8" s="125">
        <f>SUMIFS('SO HOP DONG'!$Y$9:$Y$308,'SO HOP DONG'!$AJ$9:$AJ$308,A8)</f>
        <v/>
      </c>
      <c r="D8" s="125">
        <f>SUMIFS('SO HOP DONG'!$AA$9:$AA$308,'SO HOP DONG'!$AJ$9:$AJ$308,A8)</f>
        <v/>
      </c>
      <c r="E8" s="125">
        <f>SUMIFS('SO HOP DONG'!$AB$9:$AB$308,'SO HOP DONG'!$AJ$9:$AJ$308,A8)</f>
        <v/>
      </c>
    </row>
    <row r="9" ht="15" customHeight="1" s="64">
      <c r="A9" s="123" t="inlineStr">
        <is>
          <t>Sắp hết hạn</t>
        </is>
      </c>
      <c r="B9" s="124">
        <f>COUNTIF('SO HOP DONG'!$AJ$9:$AJ$308,A9)</f>
        <v/>
      </c>
      <c r="C9" s="125">
        <f>SUMIFS('SO HOP DONG'!$Y$9:$Y$308,'SO HOP DONG'!$AJ$9:$AJ$308,A9)</f>
        <v/>
      </c>
      <c r="D9" s="125">
        <f>SUMIFS('SO HOP DONG'!$AA$9:$AA$308,'SO HOP DONG'!$AJ$9:$AJ$308,A9)</f>
        <v/>
      </c>
      <c r="E9" s="125">
        <f>SUMIFS('SO HOP DONG'!$AB$9:$AB$308,'SO HOP DONG'!$AJ$9:$AJ$308,A9)</f>
        <v/>
      </c>
    </row>
    <row r="10" ht="15" customHeight="1" s="64">
      <c r="A10" s="123" t="inlineStr">
        <is>
          <t>Quá hạn – chưa thanh lý</t>
        </is>
      </c>
      <c r="B10" s="124">
        <f>COUNTIF('SO HOP DONG'!$AJ$9:$AJ$308,A10)</f>
        <v/>
      </c>
      <c r="C10" s="125">
        <f>SUMIFS('SO HOP DONG'!$Y$9:$Y$308,'SO HOP DONG'!$AJ$9:$AJ$308,A10)</f>
        <v/>
      </c>
      <c r="D10" s="125">
        <f>SUMIFS('SO HOP DONG'!$AA$9:$AA$308,'SO HOP DONG'!$AJ$9:$AJ$308,A10)</f>
        <v/>
      </c>
      <c r="E10" s="125">
        <f>SUMIFS('SO HOP DONG'!$AB$9:$AB$308,'SO HOP DONG'!$AJ$9:$AJ$308,A10)</f>
        <v/>
      </c>
    </row>
    <row r="11" ht="15" customHeight="1" s="64">
      <c r="A11" s="123" t="inlineStr">
        <is>
          <t>Đã tự gia hạn – kiểm tra</t>
        </is>
      </c>
      <c r="B11" s="124">
        <f>COUNTIF('SO HOP DONG'!$AJ$9:$AJ$308,A11)</f>
        <v/>
      </c>
      <c r="C11" s="125">
        <f>SUMIFS('SO HOP DONG'!$Y$9:$Y$308,'SO HOP DONG'!$AJ$9:$AJ$308,A11)</f>
        <v/>
      </c>
      <c r="D11" s="125">
        <f>SUMIFS('SO HOP DONG'!$AA$9:$AA$308,'SO HOP DONG'!$AJ$9:$AJ$308,A11)</f>
        <v/>
      </c>
      <c r="E11" s="125">
        <f>SUMIFS('SO HOP DONG'!$AB$9:$AB$308,'SO HOP DONG'!$AJ$9:$AJ$308,A11)</f>
        <v/>
      </c>
    </row>
    <row r="12" ht="15" customHeight="1" s="64">
      <c r="A12" s="123" t="inlineStr">
        <is>
          <t>Đã thanh lý</t>
        </is>
      </c>
      <c r="B12" s="124">
        <f>COUNTIF('SO HOP DONG'!$AJ$9:$AJ$308,A12)</f>
        <v/>
      </c>
      <c r="C12" s="125">
        <f>SUMIFS('SO HOP DONG'!$Y$9:$Y$308,'SO HOP DONG'!$AJ$9:$AJ$308,A12)</f>
        <v/>
      </c>
      <c r="D12" s="125">
        <f>SUMIFS('SO HOP DONG'!$AA$9:$AA$308,'SO HOP DONG'!$AJ$9:$AJ$308,A12)</f>
        <v/>
      </c>
      <c r="E12" s="125">
        <f>SUMIFS('SO HOP DONG'!$AB$9:$AB$308,'SO HOP DONG'!$AJ$9:$AJ$308,A12)</f>
        <v/>
      </c>
    </row>
    <row r="13" ht="15" customHeight="1" s="64">
      <c r="A13" s="126" t="inlineStr">
        <is>
          <t>Cộng</t>
        </is>
      </c>
      <c r="B13" s="127">
        <f>SUM(B7:B12)</f>
        <v/>
      </c>
      <c r="C13" s="126">
        <f>SUM(C7:C12)</f>
        <v/>
      </c>
      <c r="D13" s="126">
        <f>SUM(D7:D12)</f>
        <v/>
      </c>
      <c r="E13" s="126">
        <f>SUM(E7:E12)</f>
        <v/>
      </c>
    </row>
    <row r="14"/>
    <row r="15" ht="15" customHeight="1" s="64">
      <c r="A15" s="70" t="inlineStr">
        <is>
          <t>2. THEO LOẠI HỢP ĐỒNG &amp; CHIỀU GIAO DỊCH</t>
        </is>
      </c>
    </row>
    <row r="16" ht="30" customHeight="1" s="64">
      <c r="A16" s="92" t="inlineStr">
        <is>
          <t>Loại hợp đồng</t>
        </is>
      </c>
      <c r="B16" s="92" t="inlineStr">
        <is>
          <t>Số HĐ</t>
        </is>
      </c>
      <c r="C16" s="92" t="inlineStr">
        <is>
          <t>Mua vào – giá trị</t>
        </is>
      </c>
      <c r="D16" s="92" t="inlineStr">
        <is>
          <t>Mua vào – còn phải trả</t>
        </is>
      </c>
      <c r="E16" s="92" t="inlineStr">
        <is>
          <t>Bán ra – giá trị</t>
        </is>
      </c>
      <c r="F16" s="92" t="inlineStr">
        <is>
          <t>Bán ra – còn phải thu</t>
        </is>
      </c>
      <c r="G16" s="92" t="inlineStr">
        <is>
          <t>Số HĐ có cảnh báo</t>
        </is>
      </c>
    </row>
    <row r="17" ht="15" customHeight="1" s="64">
      <c r="A17" s="125">
        <f>'THAM SO'!D6&amp;" – "&amp;'THAM SO'!E6</f>
        <v/>
      </c>
      <c r="B17" s="124">
        <f>COUNTIF('SO HOP DONG'!$D$9:$D$308,'THAM SO'!D6)</f>
        <v/>
      </c>
      <c r="C17" s="125">
        <f>SUMIFS('SO HOP DONG'!$Y$9:$Y$308,'SO HOP DONG'!$D$9:$D$308,'THAM SO'!D6,'SO HOP DONG'!$C$9:$C$308,"Mua vào")</f>
        <v/>
      </c>
      <c r="D17" s="125">
        <f>SUMIFS('SO HOP DONG'!$AB$9:$AB$308,'SO HOP DONG'!$D$9:$D$308,'THAM SO'!D6,'SO HOP DONG'!$C$9:$C$308,"Mua vào")</f>
        <v/>
      </c>
      <c r="E17" s="125">
        <f>SUMIFS('SO HOP DONG'!$Y$9:$Y$308,'SO HOP DONG'!$D$9:$D$308,'THAM SO'!D6,'SO HOP DONG'!$C$9:$C$308,"Bán ra")</f>
        <v/>
      </c>
      <c r="F17" s="125">
        <f>SUMIFS('SO HOP DONG'!$AB$9:$AB$308,'SO HOP DONG'!$D$9:$D$308,'THAM SO'!D6,'SO HOP DONG'!$C$9:$C$308,"Bán ra")</f>
        <v/>
      </c>
      <c r="G17" s="124">
        <f>COUNTIFS('SO HOP DONG'!$D$9:$D$308,'THAM SO'!D6,'SO HOP DONG'!$AF$9:$AF$308,"?*")</f>
        <v/>
      </c>
    </row>
    <row r="18" ht="15" customHeight="1" s="64">
      <c r="A18" s="125">
        <f>'THAM SO'!D7&amp;" – "&amp;'THAM SO'!E7</f>
        <v/>
      </c>
      <c r="B18" s="124">
        <f>COUNTIF('SO HOP DONG'!$D$9:$D$308,'THAM SO'!D7)</f>
        <v/>
      </c>
      <c r="C18" s="125">
        <f>SUMIFS('SO HOP DONG'!$Y$9:$Y$308,'SO HOP DONG'!$D$9:$D$308,'THAM SO'!D7,'SO HOP DONG'!$C$9:$C$308,"Mua vào")</f>
        <v/>
      </c>
      <c r="D18" s="125">
        <f>SUMIFS('SO HOP DONG'!$AB$9:$AB$308,'SO HOP DONG'!$D$9:$D$308,'THAM SO'!D7,'SO HOP DONG'!$C$9:$C$308,"Mua vào")</f>
        <v/>
      </c>
      <c r="E18" s="125">
        <f>SUMIFS('SO HOP DONG'!$Y$9:$Y$308,'SO HOP DONG'!$D$9:$D$308,'THAM SO'!D7,'SO HOP DONG'!$C$9:$C$308,"Bán ra")</f>
        <v/>
      </c>
      <c r="F18" s="125">
        <f>SUMIFS('SO HOP DONG'!$AB$9:$AB$308,'SO HOP DONG'!$D$9:$D$308,'THAM SO'!D7,'SO HOP DONG'!$C$9:$C$308,"Bán ra")</f>
        <v/>
      </c>
      <c r="G18" s="124">
        <f>COUNTIFS('SO HOP DONG'!$D$9:$D$308,'THAM SO'!D7,'SO HOP DONG'!$AF$9:$AF$308,"?*")</f>
        <v/>
      </c>
    </row>
    <row r="19" ht="15" customHeight="1" s="64">
      <c r="A19" s="125">
        <f>'THAM SO'!D8&amp;" – "&amp;'THAM SO'!E8</f>
        <v/>
      </c>
      <c r="B19" s="124">
        <f>COUNTIF('SO HOP DONG'!$D$9:$D$308,'THAM SO'!D8)</f>
        <v/>
      </c>
      <c r="C19" s="125">
        <f>SUMIFS('SO HOP DONG'!$Y$9:$Y$308,'SO HOP DONG'!$D$9:$D$308,'THAM SO'!D8,'SO HOP DONG'!$C$9:$C$308,"Mua vào")</f>
        <v/>
      </c>
      <c r="D19" s="125">
        <f>SUMIFS('SO HOP DONG'!$AB$9:$AB$308,'SO HOP DONG'!$D$9:$D$308,'THAM SO'!D8,'SO HOP DONG'!$C$9:$C$308,"Mua vào")</f>
        <v/>
      </c>
      <c r="E19" s="125">
        <f>SUMIFS('SO HOP DONG'!$Y$9:$Y$308,'SO HOP DONG'!$D$9:$D$308,'THAM SO'!D8,'SO HOP DONG'!$C$9:$C$308,"Bán ra")</f>
        <v/>
      </c>
      <c r="F19" s="125">
        <f>SUMIFS('SO HOP DONG'!$AB$9:$AB$308,'SO HOP DONG'!$D$9:$D$308,'THAM SO'!D8,'SO HOP DONG'!$C$9:$C$308,"Bán ra")</f>
        <v/>
      </c>
      <c r="G19" s="124">
        <f>COUNTIFS('SO HOP DONG'!$D$9:$D$308,'THAM SO'!D8,'SO HOP DONG'!$AF$9:$AF$308,"?*")</f>
        <v/>
      </c>
    </row>
    <row r="20" ht="15" customHeight="1" s="64">
      <c r="A20" s="125">
        <f>'THAM SO'!D9&amp;" – "&amp;'THAM SO'!E9</f>
        <v/>
      </c>
      <c r="B20" s="124">
        <f>COUNTIF('SO HOP DONG'!$D$9:$D$308,'THAM SO'!D9)</f>
        <v/>
      </c>
      <c r="C20" s="125">
        <f>SUMIFS('SO HOP DONG'!$Y$9:$Y$308,'SO HOP DONG'!$D$9:$D$308,'THAM SO'!D9,'SO HOP DONG'!$C$9:$C$308,"Mua vào")</f>
        <v/>
      </c>
      <c r="D20" s="125">
        <f>SUMIFS('SO HOP DONG'!$AB$9:$AB$308,'SO HOP DONG'!$D$9:$D$308,'THAM SO'!D9,'SO HOP DONG'!$C$9:$C$308,"Mua vào")</f>
        <v/>
      </c>
      <c r="E20" s="125">
        <f>SUMIFS('SO HOP DONG'!$Y$9:$Y$308,'SO HOP DONG'!$D$9:$D$308,'THAM SO'!D9,'SO HOP DONG'!$C$9:$C$308,"Bán ra")</f>
        <v/>
      </c>
      <c r="F20" s="125">
        <f>SUMIFS('SO HOP DONG'!$AB$9:$AB$308,'SO HOP DONG'!$D$9:$D$308,'THAM SO'!D9,'SO HOP DONG'!$C$9:$C$308,"Bán ra")</f>
        <v/>
      </c>
      <c r="G20" s="124">
        <f>COUNTIFS('SO HOP DONG'!$D$9:$D$308,'THAM SO'!D9,'SO HOP DONG'!$AF$9:$AF$308,"?*")</f>
        <v/>
      </c>
    </row>
    <row r="21" ht="15" customHeight="1" s="64">
      <c r="A21" s="125">
        <f>'THAM SO'!D10&amp;" – "&amp;'THAM SO'!E10</f>
        <v/>
      </c>
      <c r="B21" s="124">
        <f>COUNTIF('SO HOP DONG'!$D$9:$D$308,'THAM SO'!D10)</f>
        <v/>
      </c>
      <c r="C21" s="125">
        <f>SUMIFS('SO HOP DONG'!$Y$9:$Y$308,'SO HOP DONG'!$D$9:$D$308,'THAM SO'!D10,'SO HOP DONG'!$C$9:$C$308,"Mua vào")</f>
        <v/>
      </c>
      <c r="D21" s="125">
        <f>SUMIFS('SO HOP DONG'!$AB$9:$AB$308,'SO HOP DONG'!$D$9:$D$308,'THAM SO'!D10,'SO HOP DONG'!$C$9:$C$308,"Mua vào")</f>
        <v/>
      </c>
      <c r="E21" s="125">
        <f>SUMIFS('SO HOP DONG'!$Y$9:$Y$308,'SO HOP DONG'!$D$9:$D$308,'THAM SO'!D10,'SO HOP DONG'!$C$9:$C$308,"Bán ra")</f>
        <v/>
      </c>
      <c r="F21" s="125">
        <f>SUMIFS('SO HOP DONG'!$AB$9:$AB$308,'SO HOP DONG'!$D$9:$D$308,'THAM SO'!D10,'SO HOP DONG'!$C$9:$C$308,"Bán ra")</f>
        <v/>
      </c>
      <c r="G21" s="124">
        <f>COUNTIFS('SO HOP DONG'!$D$9:$D$308,'THAM SO'!D10,'SO HOP DONG'!$AF$9:$AF$308,"?*")</f>
        <v/>
      </c>
    </row>
    <row r="22" ht="15" customHeight="1" s="64">
      <c r="A22" s="125">
        <f>'THAM SO'!D11&amp;" – "&amp;'THAM SO'!E11</f>
        <v/>
      </c>
      <c r="B22" s="124">
        <f>COUNTIF('SO HOP DONG'!$D$9:$D$308,'THAM SO'!D11)</f>
        <v/>
      </c>
      <c r="C22" s="125">
        <f>SUMIFS('SO HOP DONG'!$Y$9:$Y$308,'SO HOP DONG'!$D$9:$D$308,'THAM SO'!D11,'SO HOP DONG'!$C$9:$C$308,"Mua vào")</f>
        <v/>
      </c>
      <c r="D22" s="125">
        <f>SUMIFS('SO HOP DONG'!$AB$9:$AB$308,'SO HOP DONG'!$D$9:$D$308,'THAM SO'!D11,'SO HOP DONG'!$C$9:$C$308,"Mua vào")</f>
        <v/>
      </c>
      <c r="E22" s="125">
        <f>SUMIFS('SO HOP DONG'!$Y$9:$Y$308,'SO HOP DONG'!$D$9:$D$308,'THAM SO'!D11,'SO HOP DONG'!$C$9:$C$308,"Bán ra")</f>
        <v/>
      </c>
      <c r="F22" s="125">
        <f>SUMIFS('SO HOP DONG'!$AB$9:$AB$308,'SO HOP DONG'!$D$9:$D$308,'THAM SO'!D11,'SO HOP DONG'!$C$9:$C$308,"Bán ra")</f>
        <v/>
      </c>
      <c r="G22" s="124">
        <f>COUNTIFS('SO HOP DONG'!$D$9:$D$308,'THAM SO'!D11,'SO HOP DONG'!$AF$9:$AF$308,"?*")</f>
        <v/>
      </c>
    </row>
    <row r="23" ht="15" customHeight="1" s="64">
      <c r="A23" s="125">
        <f>'THAM SO'!D12&amp;" – "&amp;'THAM SO'!E12</f>
        <v/>
      </c>
      <c r="B23" s="124">
        <f>COUNTIF('SO HOP DONG'!$D$9:$D$308,'THAM SO'!D12)</f>
        <v/>
      </c>
      <c r="C23" s="125">
        <f>SUMIFS('SO HOP DONG'!$Y$9:$Y$308,'SO HOP DONG'!$D$9:$D$308,'THAM SO'!D12,'SO HOP DONG'!$C$9:$C$308,"Mua vào")</f>
        <v/>
      </c>
      <c r="D23" s="125">
        <f>SUMIFS('SO HOP DONG'!$AB$9:$AB$308,'SO HOP DONG'!$D$9:$D$308,'THAM SO'!D12,'SO HOP DONG'!$C$9:$C$308,"Mua vào")</f>
        <v/>
      </c>
      <c r="E23" s="125">
        <f>SUMIFS('SO HOP DONG'!$Y$9:$Y$308,'SO HOP DONG'!$D$9:$D$308,'THAM SO'!D12,'SO HOP DONG'!$C$9:$C$308,"Bán ra")</f>
        <v/>
      </c>
      <c r="F23" s="125">
        <f>SUMIFS('SO HOP DONG'!$AB$9:$AB$308,'SO HOP DONG'!$D$9:$D$308,'THAM SO'!D12,'SO HOP DONG'!$C$9:$C$308,"Bán ra")</f>
        <v/>
      </c>
      <c r="G23" s="124">
        <f>COUNTIFS('SO HOP DONG'!$D$9:$D$308,'THAM SO'!D12,'SO HOP DONG'!$AF$9:$AF$308,"?*")</f>
        <v/>
      </c>
    </row>
    <row r="24" ht="15" customHeight="1" s="64">
      <c r="A24" s="125">
        <f>'THAM SO'!D13&amp;" – "&amp;'THAM SO'!E13</f>
        <v/>
      </c>
      <c r="B24" s="124">
        <f>COUNTIF('SO HOP DONG'!$D$9:$D$308,'THAM SO'!D13)</f>
        <v/>
      </c>
      <c r="C24" s="125">
        <f>SUMIFS('SO HOP DONG'!$Y$9:$Y$308,'SO HOP DONG'!$D$9:$D$308,'THAM SO'!D13,'SO HOP DONG'!$C$9:$C$308,"Mua vào")</f>
        <v/>
      </c>
      <c r="D24" s="125">
        <f>SUMIFS('SO HOP DONG'!$AB$9:$AB$308,'SO HOP DONG'!$D$9:$D$308,'THAM SO'!D13,'SO HOP DONG'!$C$9:$C$308,"Mua vào")</f>
        <v/>
      </c>
      <c r="E24" s="125">
        <f>SUMIFS('SO HOP DONG'!$Y$9:$Y$308,'SO HOP DONG'!$D$9:$D$308,'THAM SO'!D13,'SO HOP DONG'!$C$9:$C$308,"Bán ra")</f>
        <v/>
      </c>
      <c r="F24" s="125">
        <f>SUMIFS('SO HOP DONG'!$AB$9:$AB$308,'SO HOP DONG'!$D$9:$D$308,'THAM SO'!D13,'SO HOP DONG'!$C$9:$C$308,"Bán ra")</f>
        <v/>
      </c>
      <c r="G24" s="124">
        <f>COUNTIFS('SO HOP DONG'!$D$9:$D$308,'THAM SO'!D13,'SO HOP DONG'!$AF$9:$AF$308,"?*")</f>
        <v/>
      </c>
    </row>
    <row r="25" ht="15" customHeight="1" s="64">
      <c r="A25" s="125">
        <f>'THAM SO'!D14&amp;" – "&amp;'THAM SO'!E14</f>
        <v/>
      </c>
      <c r="B25" s="124">
        <f>COUNTIF('SO HOP DONG'!$D$9:$D$308,'THAM SO'!D14)</f>
        <v/>
      </c>
      <c r="C25" s="125">
        <f>SUMIFS('SO HOP DONG'!$Y$9:$Y$308,'SO HOP DONG'!$D$9:$D$308,'THAM SO'!D14,'SO HOP DONG'!$C$9:$C$308,"Mua vào")</f>
        <v/>
      </c>
      <c r="D25" s="125">
        <f>SUMIFS('SO HOP DONG'!$AB$9:$AB$308,'SO HOP DONG'!$D$9:$D$308,'THAM SO'!D14,'SO HOP DONG'!$C$9:$C$308,"Mua vào")</f>
        <v/>
      </c>
      <c r="E25" s="125">
        <f>SUMIFS('SO HOP DONG'!$Y$9:$Y$308,'SO HOP DONG'!$D$9:$D$308,'THAM SO'!D14,'SO HOP DONG'!$C$9:$C$308,"Bán ra")</f>
        <v/>
      </c>
      <c r="F25" s="125">
        <f>SUMIFS('SO HOP DONG'!$AB$9:$AB$308,'SO HOP DONG'!$D$9:$D$308,'THAM SO'!D14,'SO HOP DONG'!$C$9:$C$308,"Bán ra")</f>
        <v/>
      </c>
      <c r="G25" s="124">
        <f>COUNTIFS('SO HOP DONG'!$D$9:$D$308,'THAM SO'!D14,'SO HOP DONG'!$AF$9:$AF$308,"?*")</f>
        <v/>
      </c>
    </row>
    <row r="26" ht="15" customHeight="1" s="64">
      <c r="A26" s="125">
        <f>'THAM SO'!D15&amp;" – "&amp;'THAM SO'!E15</f>
        <v/>
      </c>
      <c r="B26" s="124">
        <f>COUNTIF('SO HOP DONG'!$D$9:$D$308,'THAM SO'!D15)</f>
        <v/>
      </c>
      <c r="C26" s="125">
        <f>SUMIFS('SO HOP DONG'!$Y$9:$Y$308,'SO HOP DONG'!$D$9:$D$308,'THAM SO'!D15,'SO HOP DONG'!$C$9:$C$308,"Mua vào")</f>
        <v/>
      </c>
      <c r="D26" s="125">
        <f>SUMIFS('SO HOP DONG'!$AB$9:$AB$308,'SO HOP DONG'!$D$9:$D$308,'THAM SO'!D15,'SO HOP DONG'!$C$9:$C$308,"Mua vào")</f>
        <v/>
      </c>
      <c r="E26" s="125">
        <f>SUMIFS('SO HOP DONG'!$Y$9:$Y$308,'SO HOP DONG'!$D$9:$D$308,'THAM SO'!D15,'SO HOP DONG'!$C$9:$C$308,"Bán ra")</f>
        <v/>
      </c>
      <c r="F26" s="125">
        <f>SUMIFS('SO HOP DONG'!$AB$9:$AB$308,'SO HOP DONG'!$D$9:$D$308,'THAM SO'!D15,'SO HOP DONG'!$C$9:$C$308,"Bán ra")</f>
        <v/>
      </c>
      <c r="G26" s="124">
        <f>COUNTIFS('SO HOP DONG'!$D$9:$D$308,'THAM SO'!D15,'SO HOP DONG'!$AF$9:$AF$308,"?*")</f>
        <v/>
      </c>
    </row>
    <row r="27" ht="15" customHeight="1" s="64">
      <c r="A27" s="125">
        <f>'THAM SO'!D16&amp;" – "&amp;'THAM SO'!E16</f>
        <v/>
      </c>
      <c r="B27" s="124">
        <f>COUNTIF('SO HOP DONG'!$D$9:$D$308,'THAM SO'!D16)</f>
        <v/>
      </c>
      <c r="C27" s="125">
        <f>SUMIFS('SO HOP DONG'!$Y$9:$Y$308,'SO HOP DONG'!$D$9:$D$308,'THAM SO'!D16,'SO HOP DONG'!$C$9:$C$308,"Mua vào")</f>
        <v/>
      </c>
      <c r="D27" s="125">
        <f>SUMIFS('SO HOP DONG'!$AB$9:$AB$308,'SO HOP DONG'!$D$9:$D$308,'THAM SO'!D16,'SO HOP DONG'!$C$9:$C$308,"Mua vào")</f>
        <v/>
      </c>
      <c r="E27" s="125">
        <f>SUMIFS('SO HOP DONG'!$Y$9:$Y$308,'SO HOP DONG'!$D$9:$D$308,'THAM SO'!D16,'SO HOP DONG'!$C$9:$C$308,"Bán ra")</f>
        <v/>
      </c>
      <c r="F27" s="125">
        <f>SUMIFS('SO HOP DONG'!$AB$9:$AB$308,'SO HOP DONG'!$D$9:$D$308,'THAM SO'!D16,'SO HOP DONG'!$C$9:$C$308,"Bán ra")</f>
        <v/>
      </c>
      <c r="G27" s="124">
        <f>COUNTIFS('SO HOP DONG'!$D$9:$D$308,'THAM SO'!D16,'SO HOP DONG'!$AF$9:$AF$308,"?*")</f>
        <v/>
      </c>
    </row>
    <row r="28" ht="15" customHeight="1" s="64">
      <c r="A28" s="125">
        <f>'THAM SO'!D17&amp;" – "&amp;'THAM SO'!E17</f>
        <v/>
      </c>
      <c r="B28" s="124">
        <f>COUNTIF('SO HOP DONG'!$D$9:$D$308,'THAM SO'!D17)</f>
        <v/>
      </c>
      <c r="C28" s="125">
        <f>SUMIFS('SO HOP DONG'!$Y$9:$Y$308,'SO HOP DONG'!$D$9:$D$308,'THAM SO'!D17,'SO HOP DONG'!$C$9:$C$308,"Mua vào")</f>
        <v/>
      </c>
      <c r="D28" s="125">
        <f>SUMIFS('SO HOP DONG'!$AB$9:$AB$308,'SO HOP DONG'!$D$9:$D$308,'THAM SO'!D17,'SO HOP DONG'!$C$9:$C$308,"Mua vào")</f>
        <v/>
      </c>
      <c r="E28" s="125">
        <f>SUMIFS('SO HOP DONG'!$Y$9:$Y$308,'SO HOP DONG'!$D$9:$D$308,'THAM SO'!D17,'SO HOP DONG'!$C$9:$C$308,"Bán ra")</f>
        <v/>
      </c>
      <c r="F28" s="125">
        <f>SUMIFS('SO HOP DONG'!$AB$9:$AB$308,'SO HOP DONG'!$D$9:$D$308,'THAM SO'!D17,'SO HOP DONG'!$C$9:$C$308,"Bán ra")</f>
        <v/>
      </c>
      <c r="G28" s="124">
        <f>COUNTIFS('SO HOP DONG'!$D$9:$D$308,'THAM SO'!D17,'SO HOP DONG'!$AF$9:$AF$308,"?*")</f>
        <v/>
      </c>
    </row>
    <row r="29" ht="15" customHeight="1" s="64">
      <c r="A29" s="125">
        <f>'THAM SO'!D18&amp;" – "&amp;'THAM SO'!E18</f>
        <v/>
      </c>
      <c r="B29" s="124">
        <f>COUNTIF('SO HOP DONG'!$D$9:$D$308,'THAM SO'!D18)</f>
        <v/>
      </c>
      <c r="C29" s="125">
        <f>SUMIFS('SO HOP DONG'!$Y$9:$Y$308,'SO HOP DONG'!$D$9:$D$308,'THAM SO'!D18,'SO HOP DONG'!$C$9:$C$308,"Mua vào")</f>
        <v/>
      </c>
      <c r="D29" s="125">
        <f>SUMIFS('SO HOP DONG'!$AB$9:$AB$308,'SO HOP DONG'!$D$9:$D$308,'THAM SO'!D18,'SO HOP DONG'!$C$9:$C$308,"Mua vào")</f>
        <v/>
      </c>
      <c r="E29" s="125">
        <f>SUMIFS('SO HOP DONG'!$Y$9:$Y$308,'SO HOP DONG'!$D$9:$D$308,'THAM SO'!D18,'SO HOP DONG'!$C$9:$C$308,"Bán ra")</f>
        <v/>
      </c>
      <c r="F29" s="125">
        <f>SUMIFS('SO HOP DONG'!$AB$9:$AB$308,'SO HOP DONG'!$D$9:$D$308,'THAM SO'!D18,'SO HOP DONG'!$C$9:$C$308,"Bán ra")</f>
        <v/>
      </c>
      <c r="G29" s="124">
        <f>COUNTIFS('SO HOP DONG'!$D$9:$D$308,'THAM SO'!D18,'SO HOP DONG'!$AF$9:$AF$308,"?*")</f>
        <v/>
      </c>
    </row>
    <row r="30" ht="15" customHeight="1" s="64">
      <c r="A30" s="125">
        <f>'THAM SO'!D19&amp;" – "&amp;'THAM SO'!E19</f>
        <v/>
      </c>
      <c r="B30" s="124">
        <f>COUNTIF('SO HOP DONG'!$D$9:$D$308,'THAM SO'!D19)</f>
        <v/>
      </c>
      <c r="C30" s="125">
        <f>SUMIFS('SO HOP DONG'!$Y$9:$Y$308,'SO HOP DONG'!$D$9:$D$308,'THAM SO'!D19,'SO HOP DONG'!$C$9:$C$308,"Mua vào")</f>
        <v/>
      </c>
      <c r="D30" s="125">
        <f>SUMIFS('SO HOP DONG'!$AB$9:$AB$308,'SO HOP DONG'!$D$9:$D$308,'THAM SO'!D19,'SO HOP DONG'!$C$9:$C$308,"Mua vào")</f>
        <v/>
      </c>
      <c r="E30" s="125">
        <f>SUMIFS('SO HOP DONG'!$Y$9:$Y$308,'SO HOP DONG'!$D$9:$D$308,'THAM SO'!D19,'SO HOP DONG'!$C$9:$C$308,"Bán ra")</f>
        <v/>
      </c>
      <c r="F30" s="125">
        <f>SUMIFS('SO HOP DONG'!$AB$9:$AB$308,'SO HOP DONG'!$D$9:$D$308,'THAM SO'!D19,'SO HOP DONG'!$C$9:$C$308,"Bán ra")</f>
        <v/>
      </c>
      <c r="G30" s="124">
        <f>COUNTIFS('SO HOP DONG'!$D$9:$D$308,'THAM SO'!D19,'SO HOP DONG'!$AF$9:$AF$308,"?*")</f>
        <v/>
      </c>
    </row>
    <row r="31" ht="15" customHeight="1" s="64">
      <c r="A31" s="126" t="inlineStr">
        <is>
          <t>Cộng</t>
        </is>
      </c>
      <c r="B31" s="127">
        <f>SUM(B17:B30)</f>
        <v/>
      </c>
      <c r="C31" s="126">
        <f>SUM(C17:C30)</f>
        <v/>
      </c>
      <c r="D31" s="126">
        <f>SUM(D17:D30)</f>
        <v/>
      </c>
      <c r="E31" s="126">
        <f>SUM(E17:E30)</f>
        <v/>
      </c>
      <c r="F31" s="126">
        <f>SUM(F17:F30)</f>
        <v/>
      </c>
      <c r="G31" s="127">
        <f>SUM(G17:G30)</f>
        <v/>
      </c>
    </row>
    <row r="32"/>
    <row r="33" ht="15" customHeight="1" s="64">
      <c r="A33" s="70" t="inlineStr">
        <is>
          <t>3. CHỈ TIÊU KIỂM SOÁT</t>
        </is>
      </c>
    </row>
    <row r="34" ht="15" customHeight="1" s="64">
      <c r="A34" s="79" t="inlineStr">
        <is>
          <t>HĐ từ ngưỡng rà soát pháp lý nhưng chưa rà soát</t>
        </is>
      </c>
      <c r="B34" s="128">
        <f>COUNTIF('SO HOP DONG'!$AF$9:$AF$308,"*Chưa rà soát pháp lý*")</f>
        <v/>
      </c>
    </row>
    <row r="35" ht="15" customHeight="1" s="64">
      <c r="A35" s="79" t="inlineStr">
        <is>
          <t>HĐ thiếu MST đối tác</t>
        </is>
      </c>
      <c r="B35" s="128">
        <f>COUNTIF('SO HOP DONG'!$AF$9:$AF$308,"*Thiếu MST*")</f>
        <v/>
      </c>
    </row>
    <row r="36" ht="15" customHeight="1" s="64">
      <c r="A36" s="79" t="inlineStr">
        <is>
          <t>HĐ chưa ghi nơi lưu bản gốc</t>
        </is>
      </c>
      <c r="B36" s="128">
        <f>COUNTIF('SO HOP DONG'!$AF$9:$AF$308,"*nơi lưu bản gốc*")</f>
        <v/>
      </c>
    </row>
    <row r="37" ht="15" customHeight="1" s="64">
      <c r="A37" s="79" t="inlineStr">
        <is>
          <t>HĐ có khoản thanh toán tiền mặt ≥ ngưỡng</t>
        </is>
      </c>
      <c r="B37" s="128">
        <f>COUNTIF('SO HOP DONG'!$AF$9:$AF$308,"*tiền mặt*")</f>
        <v/>
      </c>
    </row>
    <row r="38" ht="15" customHeight="1" s="64">
      <c r="A38" s="79" t="inlineStr">
        <is>
          <t>HĐ thanh toán vượt giá trị</t>
        </is>
      </c>
      <c r="B38" s="128">
        <f>COUNTIF('SO HOP DONG'!$AF$9:$AF$308,"*vượt giá trị*")</f>
        <v/>
      </c>
    </row>
    <row r="39" ht="15" customHeight="1" s="64">
      <c r="A39" s="79" t="inlineStr">
        <is>
          <t>Dòng nhật ký ghi sai Số HĐ</t>
        </is>
      </c>
      <c r="B39" s="128">
        <f>COUNTIF('NHAT KY THANH TOAN'!$C$7:$C$506,"Số HĐ không có trong sổ")</f>
        <v/>
      </c>
    </row>
  </sheetData>
  <mergeCells count="2">
    <mergeCell ref="A2:H2"/>
    <mergeCell ref="A1:H1"/>
  </mergeCells>
  <conditionalFormatting sqref="B34:B39">
    <cfRule type="expression" rank="0" priority="2" equalAverage="0" aboveAverage="0" dxfId="15" text="" percent="0" bottom="0">
      <formula>B34=0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&amp;LMr. Wick Kiểm toán | taichinhketoanedu.com&amp;RTrang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2026-10-14T08:42:48Z</dcterms:created>
  <dcterms:modified xmlns:dcterms="http://purl.org/dc/terms/" xmlns:xsi="http://www.w3.org/2001/XMLSchema-instance" xsi:type="dcterms:W3CDTF">2026-10-25T09:13:46Z</dcterms:modified>
  <cp:revision>0</cp:revision>
</cp:coreProperties>
</file>