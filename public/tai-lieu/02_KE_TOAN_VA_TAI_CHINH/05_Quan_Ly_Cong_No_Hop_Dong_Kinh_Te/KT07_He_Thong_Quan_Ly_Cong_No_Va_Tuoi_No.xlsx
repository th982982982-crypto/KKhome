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DANH_MUC" sheetId="1" state="visible" r:id="rId1"/>
    <sheet xmlns:r="http://schemas.openxmlformats.org/officeDocument/2006/relationships" name="02_NHAT_KY" sheetId="2" state="visible" r:id="rId2"/>
    <sheet xmlns:r="http://schemas.openxmlformats.org/officeDocument/2006/relationships" name="03_BAO_CAO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#,##0;[Red](#,##0);-"/>
    <numFmt numFmtId="165" formatCode="dd/mm/yyyy"/>
  </numFmts>
  <fonts count="13">
    <font>
      <name val="Carlito"/>
      <sz val="11"/>
    </font>
    <font>
      <name val="Aptos Display"/>
      <b val="1"/>
      <color rgb="FFFFFFFF"/>
      <sz val="16"/>
    </font>
    <font>
      <name val="Aptos"/>
      <b val="1"/>
      <i val="1"/>
      <color rgb="FFFFFFFF"/>
      <sz val="11"/>
    </font>
    <font>
      <name val="Aptos"/>
      <i val="1"/>
      <color rgb="FF475569"/>
      <sz val="9"/>
    </font>
    <font>
      <name val="Aptos"/>
      <b val="1"/>
      <color rgb="FFC2410C"/>
      <sz val="11"/>
    </font>
    <font>
      <name val="Aptos"/>
      <b val="1"/>
      <color rgb="FFFFFFFF"/>
      <sz val="10"/>
    </font>
    <font>
      <name val="Aptos"/>
      <color rgb="FF1F2937"/>
      <sz val="10"/>
    </font>
    <font>
      <name val="Aptos"/>
      <b val="1"/>
      <color rgb="FFFFFFFF"/>
      <sz val="9"/>
    </font>
    <font>
      <name val="Aptos"/>
      <b val="1"/>
      <color rgb="FF1F2937"/>
      <sz val="10"/>
    </font>
    <font>
      <name val="Aptos"/>
      <b val="1"/>
      <color rgb="FF92400E"/>
      <sz val="11"/>
    </font>
    <font>
      <name val="Aptos Display"/>
      <b val="1"/>
      <color rgb="FF1F2937"/>
      <sz val="18"/>
    </font>
    <font>
      <name val="Aptos"/>
      <color rgb="FF1F2937"/>
      <sz val="9"/>
    </font>
    <font>
      <name val="Aptos"/>
      <b val="1"/>
      <color rgb="FF1F2937"/>
      <sz val="9"/>
    </font>
  </fonts>
  <fills count="13">
    <fill>
      <patternFill/>
    </fill>
    <fill>
      <patternFill patternType="gray125"/>
    </fill>
    <fill>
      <patternFill patternType="solid">
        <fgColor rgb="FFF97316"/>
      </patternFill>
    </fill>
    <fill>
      <patternFill patternType="solid">
        <fgColor rgb="FF1F2937"/>
      </patternFill>
    </fill>
    <fill>
      <patternFill patternType="solid">
        <fgColor rgb="FFEAF4FB"/>
      </patternFill>
    </fill>
    <fill>
      <patternFill patternType="solid">
        <fgColor rgb="FFFFF7ED"/>
      </patternFill>
    </fill>
    <fill>
      <patternFill patternType="solid">
        <fgColor rgb="FFC2410C"/>
      </patternFill>
    </fill>
    <fill>
      <patternFill patternType="solid">
        <fgColor rgb="FFFFF7D6"/>
      </patternFill>
    </fill>
    <fill>
      <patternFill patternType="solid">
        <fgColor rgb="FFEEF2F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FFFFFF"/>
      </patternFill>
    </fill>
  </fills>
  <borders count="27">
    <border/>
    <border>
      <left style="thin">
        <color rgb="FFFDBA74"/>
      </left>
      <top style="thin">
        <color rgb="FFFDBA74"/>
      </top>
      <bottom style="thin">
        <color rgb="FFFDBA74"/>
      </bottom>
    </border>
    <border>
      <top style="thin">
        <color rgb="FFFDBA74"/>
      </top>
      <bottom style="thin">
        <color rgb="FFFDBA74"/>
      </bottom>
    </border>
    <border>
      <right style="thin">
        <color rgb="FFFDBA74"/>
      </right>
      <top style="thin">
        <color rgb="FFFDBA74"/>
      </top>
      <bottom style="thin">
        <color rgb="FFFDBA74"/>
      </bottom>
    </border>
    <border>
      <right style="thin">
        <color rgb="FFFDBA74"/>
      </right>
      <bottom style="medium">
        <color rgb="FFC2410C"/>
      </bottom>
    </border>
    <border>
      <left style="thin">
        <color rgb="FFFDBA74"/>
      </left>
      <right style="thin">
        <color rgb="FFFDBA74"/>
      </right>
      <bottom style="medium">
        <color rgb="FFC2410C"/>
      </bottom>
    </border>
    <border>
      <left style="thin">
        <color rgb="FFFDBA74"/>
      </left>
      <bottom style="medium">
        <color rgb="FFC2410C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</border>
    <border>
      <left style="thin">
        <color rgb="FF1F2937"/>
      </left>
      <top style="thin">
        <color rgb="FF1F2937"/>
      </top>
      <bottom style="thin">
        <color rgb="FF1F2937"/>
      </bottom>
    </border>
    <border>
      <top style="thin">
        <color rgb="FF1F2937"/>
      </top>
      <bottom style="thin">
        <color rgb="FF1F2937"/>
      </bottom>
    </border>
    <border>
      <right style="thin">
        <color rgb="FF1F2937"/>
      </right>
      <top style="thin">
        <color rgb="FF1F2937"/>
      </top>
      <bottom style="thin">
        <color rgb="FF1F2937"/>
      </bottom>
    </border>
    <border>
      <left style="thin">
        <color rgb="FFE5E7EB"/>
      </left>
      <top style="thin">
        <color rgb="FFE5E7EB"/>
      </top>
    </border>
    <border>
      <top style="thin">
        <color rgb="FFE5E7EB"/>
      </top>
    </border>
    <border>
      <right style="thin">
        <color rgb="FFE5E7EB"/>
      </right>
      <top style="thin">
        <color rgb="FFE5E7EB"/>
      </top>
    </border>
    <border>
      <left style="thin">
        <color rgb="FFE5E7EB"/>
      </left>
      <bottom style="thin">
        <color rgb="FFE5E7EB"/>
      </bottom>
    </border>
    <border>
      <bottom style="thin">
        <color rgb="FFE5E7EB"/>
      </bottom>
    </border>
    <border>
      <right style="thin">
        <color rgb="FFE5E7EB"/>
      </right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</border>
    <border>
      <top style="thin">
        <color rgb="FFFDBA74"/>
      </top>
    </border>
    <border>
      <right style="thin">
        <color rgb="FFFDBA74"/>
      </right>
      <top style="thin">
        <color rgb="FFFDBA74"/>
      </top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</border>
    <border>
      <top style="thin">
        <color rgb="FF1F2937"/>
      </top>
    </border>
    <border>
      <right style="thin">
        <color rgb="FF1F2937"/>
      </right>
      <top style="thin">
        <color rgb="FF1F2937"/>
      </top>
    </border>
    <border>
      <left style="thin">
        <color rgb="FFE5E7EB"/>
      </left>
    </border>
    <border>
      <right style="thin">
        <color rgb="FFE5E7EB"/>
      </right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left" wrapText="1"/>
    </xf>
    <xf numFmtId="0" fontId="3" fillId="4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1" pivotButton="0" quotePrefix="0" xfId="0"/>
    <xf numFmtId="0" fontId="4" fillId="5" borderId="2" pivotButton="0" quotePrefix="0" xfId="0"/>
    <xf numFmtId="0" fontId="4" fillId="5" borderId="3" pivotButton="0" quotePrefix="0" xfId="0"/>
    <xf numFmtId="0" fontId="4" fillId="5" borderId="1" applyAlignment="1" pivotButton="0" quotePrefix="0" xfId="0">
      <alignment horizontal="left"/>
    </xf>
    <xf numFmtId="0" fontId="4" fillId="5" borderId="2" applyAlignment="1" pivotButton="0" quotePrefix="0" xfId="0">
      <alignment horizontal="left"/>
    </xf>
    <xf numFmtId="0" fontId="4" fillId="5" borderId="3" applyAlignment="1" pivotButton="0" quotePrefix="0" xfId="0">
      <alignment horizontal="left"/>
    </xf>
    <xf numFmtId="0" fontId="4" fillId="5" borderId="1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4" fillId="5" borderId="3" applyAlignment="1" pivotButton="0" quotePrefix="0" xfId="0">
      <alignment horizontal="left" vertical="center"/>
    </xf>
    <xf numFmtId="0" fontId="0" fillId="6" borderId="0" pivotButton="0" quotePrefix="0" xfId="0"/>
    <xf numFmtId="0" fontId="5" fillId="6" borderId="0" pivotButton="0" quotePrefix="0" xfId="0"/>
    <xf numFmtId="0" fontId="5" fillId="6" borderId="4" pivotButton="0" quotePrefix="0" xfId="0"/>
    <xf numFmtId="0" fontId="5" fillId="6" borderId="5" pivotButton="0" quotePrefix="0" xfId="0"/>
    <xf numFmtId="0" fontId="5" fillId="6" borderId="6" pivotButton="0" quotePrefix="0" xfId="0"/>
    <xf numFmtId="0" fontId="5" fillId="6" borderId="4" applyAlignment="1" pivotButton="0" quotePrefix="0" xfId="0">
      <alignment wrapText="1"/>
    </xf>
    <xf numFmtId="0" fontId="5" fillId="6" borderId="5" applyAlignment="1" pivotButton="0" quotePrefix="0" xfId="0">
      <alignment wrapText="1"/>
    </xf>
    <xf numFmtId="0" fontId="5" fillId="6" borderId="6" applyAlignment="1" pivotButton="0" quotePrefix="0" xfId="0">
      <alignment wrapText="1"/>
    </xf>
    <xf numFmtId="0" fontId="5" fillId="6" borderId="4" applyAlignment="1" pivotButton="0" quotePrefix="0" xfId="0">
      <alignment horizontal="center" wrapText="1"/>
    </xf>
    <xf numFmtId="0" fontId="5" fillId="6" borderId="5" applyAlignment="1" pivotButton="0" quotePrefix="0" xfId="0">
      <alignment horizontal="center" wrapText="1"/>
    </xf>
    <xf numFmtId="0" fontId="5" fillId="6" borderId="6" applyAlignment="1" pivotButton="0" quotePrefix="0" xfId="0">
      <alignment horizont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0" applyAlignment="1" pivotButton="0" quotePrefix="0" xfId="0">
      <alignment vertical="center"/>
    </xf>
    <xf numFmtId="0" fontId="6" fillId="7" borderId="0" applyAlignment="1" pivotButton="0" quotePrefix="0" xfId="0">
      <alignment vertical="center"/>
    </xf>
    <xf numFmtId="0" fontId="6" fillId="8" borderId="0" applyAlignment="1" pivotButton="0" quotePrefix="0" xfId="0">
      <alignment vertical="center"/>
    </xf>
    <xf numFmtId="164" fontId="6" fillId="7" borderId="0" applyAlignment="1" pivotButton="0" quotePrefix="0" xfId="0">
      <alignment vertical="center"/>
    </xf>
    <xf numFmtId="1" fontId="6" fillId="7" borderId="0" applyAlignment="1" pivotButton="0" quotePrefix="0" xfId="0">
      <alignment vertical="center"/>
    </xf>
    <xf numFmtId="165" fontId="6" fillId="7" borderId="0" applyAlignment="1" pivotButton="0" quotePrefix="0" xfId="0">
      <alignment vertical="center"/>
    </xf>
    <xf numFmtId="164" fontId="6" fillId="8" borderId="0" applyAlignment="1" pivotButton="0" quotePrefix="0" xfId="0">
      <alignment vertical="center"/>
    </xf>
    <xf numFmtId="0" fontId="6" fillId="7" borderId="0" applyAlignment="1" pivotButton="0" quotePrefix="0" xfId="0">
      <alignment horizontal="center" vertical="center"/>
    </xf>
    <xf numFmtId="1" fontId="6" fillId="7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4" fontId="6" fillId="8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1" fontId="6" fillId="8" borderId="0" applyAlignment="1" pivotButton="0" quotePrefix="0" xfId="0">
      <alignment vertical="center"/>
    </xf>
    <xf numFmtId="165" fontId="6" fillId="8" borderId="0" applyAlignment="1" pivotButton="0" quotePrefix="0" xfId="0">
      <alignment vertical="center"/>
    </xf>
    <xf numFmtId="164" fontId="6" fillId="7" borderId="0" applyAlignment="1" pivotButton="0" quotePrefix="0" xfId="0">
      <alignment horizontal="center" vertical="center"/>
    </xf>
    <xf numFmtId="1" fontId="6" fillId="8" borderId="0" applyAlignment="1" pivotButton="0" quotePrefix="0" xfId="0">
      <alignment horizontal="center" vertical="center"/>
    </xf>
    <xf numFmtId="165" fontId="6" fillId="8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7" fillId="3" borderId="0" pivotButton="0" quotePrefix="0" xfId="0"/>
    <xf numFmtId="0" fontId="7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center" vertical="center"/>
    </xf>
    <xf numFmtId="0" fontId="0" fillId="7" borderId="0" pivotButton="0" quotePrefix="0" xfId="0"/>
    <xf numFmtId="0" fontId="8" fillId="7" borderId="0" pivotButton="0" quotePrefix="0" xfId="0"/>
    <xf numFmtId="0" fontId="8" fillId="7" borderId="7" pivotButton="0" quotePrefix="0" xfId="0"/>
    <xf numFmtId="165" fontId="8" fillId="7" borderId="7" pivotButton="0" quotePrefix="0" xfId="0"/>
    <xf numFmtId="165" fontId="8" fillId="7" borderId="7" applyAlignment="1" pivotButton="0" quotePrefix="0" xfId="0">
      <alignment horizontal="center"/>
    </xf>
    <xf numFmtId="0" fontId="0" fillId="9" borderId="0" pivotButton="0" quotePrefix="0" xfId="0"/>
    <xf numFmtId="0" fontId="9" fillId="9" borderId="0" pivotButton="0" quotePrefix="0" xfId="0"/>
    <xf numFmtId="0" fontId="9" fillId="9" borderId="8" pivotButton="0" quotePrefix="0" xfId="0"/>
    <xf numFmtId="1" fontId="9" fillId="9" borderId="8" pivotButton="0" quotePrefix="0" xfId="0"/>
    <xf numFmtId="1" fontId="9" fillId="9" borderId="8" applyAlignment="1" pivotButton="0" quotePrefix="0" xfId="0">
      <alignment horizontal="center"/>
    </xf>
    <xf numFmtId="0" fontId="5" fillId="3" borderId="0" pivotButton="0" quotePrefix="0" xfId="0"/>
    <xf numFmtId="0" fontId="5" fillId="3" borderId="9" pivotButton="0" quotePrefix="0" xfId="0"/>
    <xf numFmtId="0" fontId="5" fillId="3" borderId="10" pivotButton="0" quotePrefix="0" xfId="0"/>
    <xf numFmtId="0" fontId="5" fillId="3" borderId="11" pivotButton="0" quotePrefix="0" xfId="0"/>
    <xf numFmtId="0" fontId="5" fillId="3" borderId="9" applyAlignment="1" pivotButton="0" quotePrefix="0" xfId="0">
      <alignment horizontal="center"/>
    </xf>
    <xf numFmtId="0" fontId="5" fillId="3" borderId="10" applyAlignment="1" pivotButton="0" quotePrefix="0" xfId="0">
      <alignment horizontal="center"/>
    </xf>
    <xf numFmtId="0" fontId="5" fillId="3" borderId="11" applyAlignment="1" pivotButton="0" quotePrefix="0" xfId="0">
      <alignment horizontal="center"/>
    </xf>
    <xf numFmtId="0" fontId="5" fillId="3" borderId="9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0" fontId="10" fillId="5" borderId="0" pivotButton="0" quotePrefix="0" xfId="0"/>
    <xf numFmtId="0" fontId="10" fillId="5" borderId="12" pivotButton="0" quotePrefix="0" xfId="0"/>
    <xf numFmtId="0" fontId="10" fillId="5" borderId="13" pivotButton="0" quotePrefix="0" xfId="0"/>
    <xf numFmtId="0" fontId="10" fillId="5" borderId="14" pivotButton="0" quotePrefix="0" xfId="0"/>
    <xf numFmtId="0" fontId="10" fillId="5" borderId="15" pivotButton="0" quotePrefix="0" xfId="0"/>
    <xf numFmtId="0" fontId="10" fillId="5" borderId="16" pivotButton="0" quotePrefix="0" xfId="0"/>
    <xf numFmtId="0" fontId="10" fillId="5" borderId="17" pivotButton="0" quotePrefix="0" xfId="0"/>
    <xf numFmtId="164" fontId="10" fillId="5" borderId="12" pivotButton="0" quotePrefix="0" xfId="0"/>
    <xf numFmtId="164" fontId="10" fillId="5" borderId="13" pivotButton="0" quotePrefix="0" xfId="0"/>
    <xf numFmtId="164" fontId="10" fillId="5" borderId="14" pivotButton="0" quotePrefix="0" xfId="0"/>
    <xf numFmtId="164" fontId="10" fillId="5" borderId="15" pivotButton="0" quotePrefix="0" xfId="0"/>
    <xf numFmtId="164" fontId="10" fillId="5" borderId="16" pivotButton="0" quotePrefix="0" xfId="0"/>
    <xf numFmtId="164" fontId="10" fillId="5" borderId="17" pivotButton="0" quotePrefix="0" xfId="0"/>
    <xf numFmtId="164" fontId="10" fillId="5" borderId="12" applyAlignment="1" pivotButton="0" quotePrefix="0" xfId="0">
      <alignment horizontal="center"/>
    </xf>
    <xf numFmtId="164" fontId="10" fillId="5" borderId="13" applyAlignment="1" pivotButton="0" quotePrefix="0" xfId="0">
      <alignment horizontal="center"/>
    </xf>
    <xf numFmtId="164" fontId="10" fillId="5" borderId="14" applyAlignment="1" pivotButton="0" quotePrefix="0" xfId="0">
      <alignment horizontal="center"/>
    </xf>
    <xf numFmtId="164" fontId="10" fillId="5" borderId="15" applyAlignment="1" pivotButton="0" quotePrefix="0" xfId="0">
      <alignment horizontal="center"/>
    </xf>
    <xf numFmtId="164" fontId="10" fillId="5" borderId="16" applyAlignment="1" pivotButton="0" quotePrefix="0" xfId="0">
      <alignment horizontal="center"/>
    </xf>
    <xf numFmtId="164" fontId="10" fillId="5" borderId="17" applyAlignment="1" pivotButton="0" quotePrefix="0" xfId="0">
      <alignment horizontal="center"/>
    </xf>
    <xf numFmtId="164" fontId="10" fillId="5" borderId="12" applyAlignment="1" pivotButton="0" quotePrefix="0" xfId="0">
      <alignment horizontal="center" vertical="center"/>
    </xf>
    <xf numFmtId="164" fontId="10" fillId="5" borderId="13" applyAlignment="1" pivotButton="0" quotePrefix="0" xfId="0">
      <alignment horizontal="center" vertical="center"/>
    </xf>
    <xf numFmtId="164" fontId="10" fillId="5" borderId="14" applyAlignment="1" pivotButton="0" quotePrefix="0" xfId="0">
      <alignment horizontal="center" vertical="center"/>
    </xf>
    <xf numFmtId="164" fontId="10" fillId="5" borderId="15" applyAlignment="1" pivotButton="0" quotePrefix="0" xfId="0">
      <alignment horizontal="center" vertical="center"/>
    </xf>
    <xf numFmtId="164" fontId="10" fillId="5" borderId="16" applyAlignment="1" pivotButton="0" quotePrefix="0" xfId="0">
      <alignment horizontal="center" vertical="center"/>
    </xf>
    <xf numFmtId="164" fontId="10" fillId="5" borderId="17" applyAlignment="1" pivotButton="0" quotePrefix="0" xfId="0">
      <alignment horizontal="center" vertical="center"/>
    </xf>
    <xf numFmtId="0" fontId="10" fillId="4" borderId="0" pivotButton="0" quotePrefix="0" xfId="0"/>
    <xf numFmtId="0" fontId="10" fillId="4" borderId="12" pivotButton="0" quotePrefix="0" xfId="0"/>
    <xf numFmtId="0" fontId="10" fillId="4" borderId="13" pivotButton="0" quotePrefix="0" xfId="0"/>
    <xf numFmtId="0" fontId="10" fillId="4" borderId="14" pivotButton="0" quotePrefix="0" xfId="0"/>
    <xf numFmtId="0" fontId="10" fillId="4" borderId="15" pivotButton="0" quotePrefix="0" xfId="0"/>
    <xf numFmtId="0" fontId="10" fillId="4" borderId="16" pivotButton="0" quotePrefix="0" xfId="0"/>
    <xf numFmtId="0" fontId="10" fillId="4" borderId="17" pivotButton="0" quotePrefix="0" xfId="0"/>
    <xf numFmtId="164" fontId="10" fillId="4" borderId="12" pivotButton="0" quotePrefix="0" xfId="0"/>
    <xf numFmtId="164" fontId="10" fillId="4" borderId="13" pivotButton="0" quotePrefix="0" xfId="0"/>
    <xf numFmtId="164" fontId="10" fillId="4" borderId="14" pivotButton="0" quotePrefix="0" xfId="0"/>
    <xf numFmtId="164" fontId="10" fillId="4" borderId="15" pivotButton="0" quotePrefix="0" xfId="0"/>
    <xf numFmtId="164" fontId="10" fillId="4" borderId="16" pivotButton="0" quotePrefix="0" xfId="0"/>
    <xf numFmtId="164" fontId="10" fillId="4" borderId="17" pivotButton="0" quotePrefix="0" xfId="0"/>
    <xf numFmtId="164" fontId="10" fillId="4" borderId="12" applyAlignment="1" pivotButton="0" quotePrefix="0" xfId="0">
      <alignment horizontal="center"/>
    </xf>
    <xf numFmtId="164" fontId="10" fillId="4" borderId="13" applyAlignment="1" pivotButton="0" quotePrefix="0" xfId="0">
      <alignment horizontal="center"/>
    </xf>
    <xf numFmtId="164" fontId="10" fillId="4" borderId="14" applyAlignment="1" pivotButton="0" quotePrefix="0" xfId="0">
      <alignment horizontal="center"/>
    </xf>
    <xf numFmtId="164" fontId="10" fillId="4" borderId="15" applyAlignment="1" pivotButton="0" quotePrefix="0" xfId="0">
      <alignment horizontal="center"/>
    </xf>
    <xf numFmtId="164" fontId="10" fillId="4" borderId="16" applyAlignment="1" pivotButton="0" quotePrefix="0" xfId="0">
      <alignment horizontal="center"/>
    </xf>
    <xf numFmtId="164" fontId="10" fillId="4" borderId="17" applyAlignment="1" pivotButton="0" quotePrefix="0" xfId="0">
      <alignment horizontal="center"/>
    </xf>
    <xf numFmtId="164" fontId="10" fillId="4" borderId="12" applyAlignment="1" pivotButton="0" quotePrefix="0" xfId="0">
      <alignment horizontal="center" vertical="center"/>
    </xf>
    <xf numFmtId="164" fontId="10" fillId="4" borderId="13" applyAlignment="1" pivotButton="0" quotePrefix="0" xfId="0">
      <alignment horizontal="center" vertical="center"/>
    </xf>
    <xf numFmtId="164" fontId="10" fillId="4" borderId="14" applyAlignment="1" pivotButton="0" quotePrefix="0" xfId="0">
      <alignment horizontal="center" vertical="center"/>
    </xf>
    <xf numFmtId="164" fontId="10" fillId="4" borderId="15" applyAlignment="1" pivotButton="0" quotePrefix="0" xfId="0">
      <alignment horizontal="center" vertical="center"/>
    </xf>
    <xf numFmtId="164" fontId="10" fillId="4" borderId="16" applyAlignment="1" pivotButton="0" quotePrefix="0" xfId="0">
      <alignment horizontal="center" vertical="center"/>
    </xf>
    <xf numFmtId="164" fontId="10" fillId="4" borderId="17" applyAlignment="1" pivotButton="0" quotePrefix="0" xfId="0">
      <alignment horizontal="center" vertical="center"/>
    </xf>
    <xf numFmtId="0" fontId="10" fillId="9" borderId="0" pivotButton="0" quotePrefix="0" xfId="0"/>
    <xf numFmtId="0" fontId="10" fillId="9" borderId="12" pivotButton="0" quotePrefix="0" xfId="0"/>
    <xf numFmtId="0" fontId="10" fillId="9" borderId="13" pivotButton="0" quotePrefix="0" xfId="0"/>
    <xf numFmtId="0" fontId="10" fillId="9" borderId="14" pivotButton="0" quotePrefix="0" xfId="0"/>
    <xf numFmtId="0" fontId="10" fillId="9" borderId="15" pivotButton="0" quotePrefix="0" xfId="0"/>
    <xf numFmtId="0" fontId="10" fillId="9" borderId="16" pivotButton="0" quotePrefix="0" xfId="0"/>
    <xf numFmtId="0" fontId="10" fillId="9" borderId="17" pivotButton="0" quotePrefix="0" xfId="0"/>
    <xf numFmtId="164" fontId="10" fillId="9" borderId="12" pivotButton="0" quotePrefix="0" xfId="0"/>
    <xf numFmtId="164" fontId="10" fillId="9" borderId="13" pivotButton="0" quotePrefix="0" xfId="0"/>
    <xf numFmtId="164" fontId="10" fillId="9" borderId="14" pivotButton="0" quotePrefix="0" xfId="0"/>
    <xf numFmtId="164" fontId="10" fillId="9" borderId="15" pivotButton="0" quotePrefix="0" xfId="0"/>
    <xf numFmtId="164" fontId="10" fillId="9" borderId="16" pivotButton="0" quotePrefix="0" xfId="0"/>
    <xf numFmtId="164" fontId="10" fillId="9" borderId="17" pivotButton="0" quotePrefix="0" xfId="0"/>
    <xf numFmtId="164" fontId="10" fillId="9" borderId="12" applyAlignment="1" pivotButton="0" quotePrefix="0" xfId="0">
      <alignment horizontal="center"/>
    </xf>
    <xf numFmtId="164" fontId="10" fillId="9" borderId="13" applyAlignment="1" pivotButton="0" quotePrefix="0" xfId="0">
      <alignment horizontal="center"/>
    </xf>
    <xf numFmtId="164" fontId="10" fillId="9" borderId="14" applyAlignment="1" pivotButton="0" quotePrefix="0" xfId="0">
      <alignment horizontal="center"/>
    </xf>
    <xf numFmtId="164" fontId="10" fillId="9" borderId="15" applyAlignment="1" pivotButton="0" quotePrefix="0" xfId="0">
      <alignment horizontal="center"/>
    </xf>
    <xf numFmtId="164" fontId="10" fillId="9" borderId="16" applyAlignment="1" pivotButton="0" quotePrefix="0" xfId="0">
      <alignment horizontal="center"/>
    </xf>
    <xf numFmtId="164" fontId="10" fillId="9" borderId="17" applyAlignment="1" pivotButton="0" quotePrefix="0" xfId="0">
      <alignment horizontal="center"/>
    </xf>
    <xf numFmtId="164" fontId="10" fillId="9" borderId="12" applyAlignment="1" pivotButton="0" quotePrefix="0" xfId="0">
      <alignment horizontal="center" vertical="center"/>
    </xf>
    <xf numFmtId="164" fontId="10" fillId="9" borderId="13" applyAlignment="1" pivotButton="0" quotePrefix="0" xfId="0">
      <alignment horizontal="center" vertical="center"/>
    </xf>
    <xf numFmtId="164" fontId="10" fillId="9" borderId="14" applyAlignment="1" pivotButton="0" quotePrefix="0" xfId="0">
      <alignment horizontal="center" vertical="center"/>
    </xf>
    <xf numFmtId="164" fontId="10" fillId="9" borderId="15" applyAlignment="1" pivotButton="0" quotePrefix="0" xfId="0">
      <alignment horizontal="center" vertical="center"/>
    </xf>
    <xf numFmtId="164" fontId="10" fillId="9" borderId="16" applyAlignment="1" pivotButton="0" quotePrefix="0" xfId="0">
      <alignment horizontal="center" vertical="center"/>
    </xf>
    <xf numFmtId="164" fontId="10" fillId="9" borderId="17" applyAlignment="1" pivotButton="0" quotePrefix="0" xfId="0">
      <alignment horizontal="center" vertical="center"/>
    </xf>
    <xf numFmtId="0" fontId="0" fillId="10" borderId="0" pivotButton="0" quotePrefix="0" xfId="0"/>
    <xf numFmtId="0" fontId="10" fillId="10" borderId="0" pivotButton="0" quotePrefix="0" xfId="0"/>
    <xf numFmtId="0" fontId="10" fillId="10" borderId="12" pivotButton="0" quotePrefix="0" xfId="0"/>
    <xf numFmtId="0" fontId="10" fillId="10" borderId="13" pivotButton="0" quotePrefix="0" xfId="0"/>
    <xf numFmtId="0" fontId="10" fillId="10" borderId="14" pivotButton="0" quotePrefix="0" xfId="0"/>
    <xf numFmtId="0" fontId="10" fillId="10" borderId="15" pivotButton="0" quotePrefix="0" xfId="0"/>
    <xf numFmtId="0" fontId="10" fillId="10" borderId="16" pivotButton="0" quotePrefix="0" xfId="0"/>
    <xf numFmtId="0" fontId="10" fillId="10" borderId="17" pivotButton="0" quotePrefix="0" xfId="0"/>
    <xf numFmtId="164" fontId="10" fillId="10" borderId="12" pivotButton="0" quotePrefix="0" xfId="0"/>
    <xf numFmtId="164" fontId="10" fillId="10" borderId="13" pivotButton="0" quotePrefix="0" xfId="0"/>
    <xf numFmtId="164" fontId="10" fillId="10" borderId="14" pivotButton="0" quotePrefix="0" xfId="0"/>
    <xf numFmtId="164" fontId="10" fillId="10" borderId="15" pivotButton="0" quotePrefix="0" xfId="0"/>
    <xf numFmtId="164" fontId="10" fillId="10" borderId="16" pivotButton="0" quotePrefix="0" xfId="0"/>
    <xf numFmtId="164" fontId="10" fillId="10" borderId="17" pivotButton="0" quotePrefix="0" xfId="0"/>
    <xf numFmtId="164" fontId="10" fillId="10" borderId="12" applyAlignment="1" pivotButton="0" quotePrefix="0" xfId="0">
      <alignment horizontal="center"/>
    </xf>
    <xf numFmtId="164" fontId="10" fillId="10" borderId="13" applyAlignment="1" pivotButton="0" quotePrefix="0" xfId="0">
      <alignment horizontal="center"/>
    </xf>
    <xf numFmtId="164" fontId="10" fillId="10" borderId="14" applyAlignment="1" pivotButton="0" quotePrefix="0" xfId="0">
      <alignment horizontal="center"/>
    </xf>
    <xf numFmtId="164" fontId="10" fillId="10" borderId="15" applyAlignment="1" pivotButton="0" quotePrefix="0" xfId="0">
      <alignment horizontal="center"/>
    </xf>
    <xf numFmtId="164" fontId="10" fillId="10" borderId="16" applyAlignment="1" pivotButton="0" quotePrefix="0" xfId="0">
      <alignment horizontal="center"/>
    </xf>
    <xf numFmtId="164" fontId="10" fillId="10" borderId="17" applyAlignment="1" pivotButton="0" quotePrefix="0" xfId="0">
      <alignment horizontal="center"/>
    </xf>
    <xf numFmtId="164" fontId="10" fillId="10" borderId="12" applyAlignment="1" pivotButton="0" quotePrefix="0" xfId="0">
      <alignment horizontal="center" vertical="center"/>
    </xf>
    <xf numFmtId="164" fontId="10" fillId="10" borderId="13" applyAlignment="1" pivotButton="0" quotePrefix="0" xfId="0">
      <alignment horizontal="center" vertical="center"/>
    </xf>
    <xf numFmtId="164" fontId="10" fillId="10" borderId="14" applyAlignment="1" pivotButton="0" quotePrefix="0" xfId="0">
      <alignment horizontal="center" vertical="center"/>
    </xf>
    <xf numFmtId="164" fontId="10" fillId="10" borderId="15" applyAlignment="1" pivotButton="0" quotePrefix="0" xfId="0">
      <alignment horizontal="center" vertical="center"/>
    </xf>
    <xf numFmtId="164" fontId="10" fillId="10" borderId="16" applyAlignment="1" pivotButton="0" quotePrefix="0" xfId="0">
      <alignment horizontal="center" vertical="center"/>
    </xf>
    <xf numFmtId="164" fontId="10" fillId="10" borderId="17" applyAlignment="1" pivotButton="0" quotePrefix="0" xfId="0">
      <alignment horizontal="center" vertical="center"/>
    </xf>
    <xf numFmtId="0" fontId="0" fillId="11" borderId="0" pivotButton="0" quotePrefix="0" xfId="0"/>
    <xf numFmtId="0" fontId="11" fillId="11" borderId="0" pivotButton="0" quotePrefix="0" xfId="0"/>
    <xf numFmtId="0" fontId="11" fillId="11" borderId="16" pivotButton="0" quotePrefix="0" xfId="0"/>
    <xf numFmtId="0" fontId="11" fillId="11" borderId="18" pivotButton="0" quotePrefix="0" xfId="0"/>
    <xf numFmtId="0" fontId="11" fillId="11" borderId="13" pivotButton="0" quotePrefix="0" xfId="0"/>
    <xf numFmtId="0" fontId="0" fillId="8" borderId="0" pivotButton="0" quotePrefix="0" xfId="0"/>
    <xf numFmtId="0" fontId="12" fillId="8" borderId="0" pivotButton="0" quotePrefix="0" xfId="0"/>
    <xf numFmtId="0" fontId="12" fillId="8" borderId="16" pivotButton="0" quotePrefix="0" xfId="0"/>
    <xf numFmtId="0" fontId="12" fillId="8" borderId="18" pivotButton="0" quotePrefix="0" xfId="0"/>
    <xf numFmtId="0" fontId="12" fillId="8" borderId="13" pivotButton="0" quotePrefix="0" xfId="0"/>
    <xf numFmtId="164" fontId="12" fillId="8" borderId="16" pivotButton="0" quotePrefix="0" xfId="0"/>
    <xf numFmtId="164" fontId="12" fillId="8" borderId="18" pivotButton="0" quotePrefix="0" xfId="0"/>
    <xf numFmtId="164" fontId="12" fillId="8" borderId="13" pivotButton="0" quotePrefix="0" xfId="0"/>
    <xf numFmtId="164" fontId="12" fillId="8" borderId="16" applyAlignment="1" pivotButton="0" quotePrefix="0" xfId="0">
      <alignment horizontal="right"/>
    </xf>
    <xf numFmtId="164" fontId="12" fillId="8" borderId="18" applyAlignment="1" pivotButton="0" quotePrefix="0" xfId="0">
      <alignment horizontal="right"/>
    </xf>
    <xf numFmtId="164" fontId="12" fillId="8" borderId="13" applyAlignment="1" pivotButton="0" quotePrefix="0" xfId="0">
      <alignment horizontal="right"/>
    </xf>
    <xf numFmtId="0" fontId="6" fillId="12" borderId="0" applyAlignment="1" pivotButton="0" quotePrefix="0" xfId="0">
      <alignment vertical="center"/>
    </xf>
    <xf numFmtId="164" fontId="6" fillId="12" borderId="0" applyAlignment="1" pivotButton="0" quotePrefix="0" xfId="0">
      <alignment vertical="center"/>
    </xf>
    <xf numFmtId="1" fontId="6" fillId="12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/>
    </xf>
    <xf numFmtId="164" fontId="6" fillId="12" borderId="0" applyAlignment="1" pivotButton="0" quotePrefix="0" xfId="0">
      <alignment horizontal="center" vertical="center"/>
    </xf>
    <xf numFmtId="1" fontId="6" fillId="12" borderId="0" applyAlignment="1" pivotButton="0" quotePrefix="0" xfId="0">
      <alignment horizontal="center" vertical="center"/>
    </xf>
    <xf numFmtId="0" fontId="4" fillId="5" borderId="19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164" fontId="6" fillId="7" borderId="0" applyAlignment="1" pivotButton="0" quotePrefix="0" xfId="0">
      <alignment vertical="center"/>
    </xf>
    <xf numFmtId="1" fontId="6" fillId="7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4" fontId="6" fillId="8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" fontId="6" fillId="8" borderId="0" applyAlignment="1" pivotButton="0" quotePrefix="0" xfId="0">
      <alignment horizontal="center" vertical="center"/>
    </xf>
    <xf numFmtId="165" fontId="6" fillId="8" borderId="0" applyAlignment="1" pivotButton="0" quotePrefix="0" xfId="0">
      <alignment horizontal="center" vertical="center"/>
    </xf>
    <xf numFmtId="165" fontId="8" fillId="7" borderId="7" applyAlignment="1" pivotButton="0" quotePrefix="0" xfId="0">
      <alignment horizontal="center"/>
    </xf>
    <xf numFmtId="1" fontId="9" fillId="9" borderId="8" applyAlignment="1" pivotButton="0" quotePrefix="0" xfId="0">
      <alignment horizontal="center"/>
    </xf>
    <xf numFmtId="164" fontId="12" fillId="8" borderId="16" applyAlignment="1" pivotButton="0" quotePrefix="0" xfId="0">
      <alignment horizontal="right"/>
    </xf>
    <xf numFmtId="164" fontId="12" fillId="8" borderId="18" applyAlignment="1" pivotButton="0" quotePrefix="0" xfId="0">
      <alignment horizontal="right"/>
    </xf>
    <xf numFmtId="0" fontId="5" fillId="3" borderId="2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164" fontId="10" fillId="5" borderId="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164" fontId="10" fillId="4" borderId="7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164" fontId="12" fillId="8" borderId="13" applyAlignment="1" pivotButton="0" quotePrefix="0" xfId="0">
      <alignment horizontal="right"/>
    </xf>
    <xf numFmtId="164" fontId="10" fillId="9" borderId="7" applyAlignment="1" pivotButton="0" quotePrefix="0" xfId="0">
      <alignment horizontal="center" vertical="center"/>
    </xf>
    <xf numFmtId="164" fontId="10" fillId="10" borderId="7" applyAlignment="1" pivotButton="0" quotePrefix="0" xfId="0">
      <alignment horizontal="center" vertical="center"/>
    </xf>
    <xf numFmtId="164" fontId="6" fillId="12" borderId="0" applyAlignment="1" pivotButton="0" quotePrefix="0" xfId="0">
      <alignment horizontal="center" vertical="center"/>
    </xf>
    <xf numFmtId="164" fontId="6" fillId="12" borderId="0" applyAlignment="1" pivotButton="0" quotePrefix="0" xfId="0">
      <alignment vertical="center"/>
    </xf>
    <xf numFmtId="1" fontId="6" fillId="12" borderId="0" applyAlignment="1" pivotButton="0" quotePrefix="0" xfId="0">
      <alignment horizontal="center" vertical="center"/>
    </xf>
  </cellXfs>
  <cellStyles count="1">
    <cellStyle name="Normal" xfId="0"/>
  </cellStyles>
  <dxfs count="17">
    <dxf>
      <font>
        <b val="1"/>
        <color rgb="FFB91C1C"/>
      </font>
      <fill>
        <patternFill patternType="solid">
          <bgColor rgb="FFFEE2E2"/>
        </patternFill>
      </fill>
    </dxf>
    <dxf>
      <font>
        <b val="1"/>
        <color rgb="FF15803D"/>
      </font>
      <fill>
        <patternFill patternType="solid">
          <bgColor rgb="FFDCFCE7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ont>
        <b val="1"/>
        <color rgb="FF15803D"/>
      </font>
      <fill>
        <patternFill patternType="solid">
          <bgColor rgb="FFDCFCE7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ont>
        <b val="1"/>
        <color rgb="FFFFFFFF"/>
      </font>
      <fill>
        <patternFill patternType="solid">
          <bgColor rgb="FFB91C1C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ont>
        <b val="1"/>
        <color rgb="FF15803D"/>
      </font>
      <fill>
        <patternFill patternType="solid">
          <bgColor rgb="FFDCFCE7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Cơ cấu tuổi nợ (VND)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Giá trị (VND)</v>
          </tx>
          <spPr>
            <a:ln xmlns:a="http://schemas.openxmlformats.org/drawingml/2006/main">
              <a:prstDash val="solid"/>
            </a:ln>
          </spPr>
          <cat>
            <strRef>
              <f>'03_BAO_CAO'!$H$5:$H$9</f>
              <strCache>
                <ptCount val="0"/>
              </strCache>
            </strRef>
          </cat>
          <val>
            <numRef>
              <f>'03_BAO_CAO'!$I$5:$I$9</f>
              <numCache>
                <formatCode>#,##0;[Red](#,##0);-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#,##0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0</colOff>
      <row>3</row>
      <rowOff>0</rowOff>
    </from>
    <to>
      <col>16</col>
      <colOff>0</colOff>
      <row>13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DanhMuc" displayName="tblDanhMuc" ref="A6:J206" headerRowCount="1" totalsRowCount="0" totalsRowShown="0">
  <tableColumns count="10">
    <tableColumn id="1" name="Mã Đối Tượng"/>
    <tableColumn id="2" name="Tên Đối Tượng"/>
    <tableColumn id="3" name="Phân loại"/>
    <tableColumn id="4" name="Hạn mức nợ tối đa (VND)"/>
    <tableColumn id="5" name="Thời hạn cho nợ tiêu chuẩn (ngày)"/>
    <tableColumn id="6" name="Số dư đầu kỳ (VND)"/>
    <tableColumn id="7" name="Ngày đến hạn của dư đầu kỳ"/>
    <tableColumn id="8" name="Dư đầu kỳ còn lại (FIFO)"/>
    <tableColumn id="9" name="Nhóm tuổi dư đầu kỳ"/>
    <tableColumn id="10" name="Kiểm tra dữ liệu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NhatKy" displayName="tblNhatKy" ref="A6:N506" headerRowCount="1" totalsRowCount="0" totalsRowShown="0">
  <tableColumns count="14">
    <tableColumn id="1" name="Ngày chứng từ"/>
    <tableColumn id="2" name="Số chứng từ"/>
    <tableColumn id="3" name="Mã Đối Tượng"/>
    <tableColumn id="4" name="Tên Đối Tượng"/>
    <tableColumn id="5" name="Phân loại"/>
    <tableColumn id="6" name="Diễn giải"/>
    <tableColumn id="7" name="Phát sinh Tăng (VND)"/>
    <tableColumn id="8" name="Phát sinh Giảm (VND)"/>
    <tableColumn id="9" name="Thời hạn nợ (ngày)"/>
    <tableColumn id="10" name="Ngày đến hạn"/>
    <tableColumn id="11" name="Dư chưa thanh toán (FIFO)"/>
    <tableColumn id="12" name="Số ngày quá hạn"/>
    <tableColumn id="13" name="Nhóm tuổi nợ"/>
    <tableColumn id="14" name="Kiểm tra dữ liệu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BaoCao" displayName="tblBaoCao" ref="A16:P216" headerRowCount="1" totalsRowCount="0" totalsRowShown="0">
  <tableColumns count="16">
    <tableColumn id="1" name="Mã Đối Tượng"/>
    <tableColumn id="2" name="Tên Đối Tượng"/>
    <tableColumn id="3" name="Phân loại"/>
    <tableColumn id="4" name="Hạn mức nợ (VND)"/>
    <tableColumn id="5" name="Dư đầu kỳ (VND)"/>
    <tableColumn id="6" name="Phát sinh Tăng trong kỳ"/>
    <tableColumn id="7" name="Phát sinh Giảm trong kỳ"/>
    <tableColumn id="8" name="Dư cuối kỳ (VND)"/>
    <tableColumn id="9" name="Số ngày quá hạn lớn nhất"/>
    <tableColumn id="10" name="Trạng thái"/>
    <tableColumn id="11" name="Chưa đến hạn"/>
    <tableColumn id="12" name="Quá hạn 1-30 ngày"/>
    <tableColumn id="13" name="Quá hạn 31-60 ngày"/>
    <tableColumn id="14" name="Quá hạn 61-90 ngày"/>
    <tableColumn id="15" name="Quá hạn trên 90 ngày"/>
    <tableColumn id="16" name="Kiểm t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20" customWidth="1" min="4" max="4"/>
    <col width="20" customWidth="1" min="5" max="5"/>
    <col width="18" customWidth="1" min="6" max="6"/>
    <col width="20" customWidth="1" min="7" max="7"/>
    <col width="19" customWidth="1" min="8" max="8"/>
    <col width="18" customWidth="1" min="9" max="9"/>
    <col width="22" customWidth="1" min="10" max="10"/>
  </cols>
  <sheetData>
    <row r="1" ht="34" customHeight="1">
      <c r="A1" s="4" t="inlineStr">
        <is>
          <t>HỆ THỐNG QUẢN LÝ CÔNG NỢ &amp; TUỔI NỢ ĐA NĂNG - THIẾT KẾ BỞI KK HOME</t>
        </is>
      </c>
    </row>
    <row r="2" ht="23" customHeight="1">
      <c r="A2" s="8" t="inlineStr">
        <is>
          <t>Số liệu phải sắc - Kiểm soát phải chắc.</t>
        </is>
      </c>
    </row>
    <row r="3" ht="28" customHeight="1">
      <c r="A3" s="13" t="inlineStr">
        <is>
          <t>Nhập dữ liệu tại các ô màu vàng. Số dư đầu kỳ là số dư ngay trước giao dịch đầu tiên được nhập tại sheet 02_NHAT_KY.</t>
        </is>
      </c>
    </row>
    <row r="4"/>
    <row r="5" ht="24" customHeight="1">
      <c r="A5" s="204" t="inlineStr">
        <is>
          <t>DANH MỤC KHÁCH HÀNG &amp; NHÀ CUNG CẤP</t>
        </is>
      </c>
      <c r="B5" s="205" t="n"/>
      <c r="C5" s="205" t="n"/>
      <c r="D5" s="205" t="n"/>
      <c r="E5" s="205" t="n"/>
      <c r="F5" s="205" t="n"/>
      <c r="G5" s="205" t="n"/>
      <c r="H5" s="205" t="n"/>
      <c r="I5" s="205" t="n"/>
      <c r="J5" s="206" t="n"/>
    </row>
    <row r="6" ht="42" customHeight="1">
      <c r="A6" s="36" t="inlineStr">
        <is>
          <t>Mã Đối Tượng</t>
        </is>
      </c>
      <c r="B6" s="37" t="inlineStr">
        <is>
          <t>Tên Đối Tượng</t>
        </is>
      </c>
      <c r="C6" s="37" t="inlineStr">
        <is>
          <t>Phân loại</t>
        </is>
      </c>
      <c r="D6" s="37" t="inlineStr">
        <is>
          <t>Hạn mức nợ tối đa (VND)</t>
        </is>
      </c>
      <c r="E6" s="37" t="inlineStr">
        <is>
          <t>Thời hạn cho nợ tiêu chuẩn (ngày)</t>
        </is>
      </c>
      <c r="F6" s="37" t="inlineStr">
        <is>
          <t>Số dư đầu kỳ (VND)</t>
        </is>
      </c>
      <c r="G6" s="37" t="inlineStr">
        <is>
          <t>Ngày đến hạn của dư đầu kỳ</t>
        </is>
      </c>
      <c r="H6" s="37" t="inlineStr">
        <is>
          <t>Dư đầu kỳ còn lại (FIFO)</t>
        </is>
      </c>
      <c r="I6" s="37" t="inlineStr">
        <is>
          <t>Nhóm tuổi dư đầu kỳ</t>
        </is>
      </c>
      <c r="J6" s="38" t="inlineStr">
        <is>
          <t>Kiểm tra dữ liệu</t>
        </is>
      </c>
    </row>
    <row r="7">
      <c r="A7" s="47" t="inlineStr">
        <is>
          <t>KH001</t>
        </is>
      </c>
      <c r="B7" s="41" t="inlineStr">
        <is>
          <t>Công ty TNHH Minh Phát</t>
        </is>
      </c>
      <c r="C7" s="47" t="inlineStr">
        <is>
          <t>Phải thu</t>
        </is>
      </c>
      <c r="D7" s="207" t="n">
        <v>150000000</v>
      </c>
      <c r="E7" s="208" t="n">
        <v>30</v>
      </c>
      <c r="F7" s="207" t="n">
        <v>50000000</v>
      </c>
      <c r="G7" s="209" t="n">
        <v>46006</v>
      </c>
      <c r="H7" s="210">
        <f>IF($A7="","",MAX(0,$F7-SUMIFS('02_NHAT_KY'!$H$7:$H$506,'02_NHAT_KY'!$C$7:$C$506,$A7,'02_NHAT_KY'!$A$7:$A$506,"&lt;="&amp;'03_BAO_CAO'!$E$4)))</f>
        <v/>
      </c>
      <c r="I7" s="51">
        <f>IF($A7="","",IF($H7&lt;=0,"Đã thanh toán",IF($G7="","Thiếu hạn",IF($G7&gt;='03_BAO_CAO'!$E$4,"Chưa đến hạn",IF('03_BAO_CAO'!$E$4-$G7&lt;=30,"1-30 ngày",IF('03_BAO_CAO'!$E$4-$G7&lt;=60,"31-60 ngày",IF('03_BAO_CAO'!$E$4-$G7&lt;=90,"61-90 ngày","Trên 90 ngày")))))))</f>
        <v/>
      </c>
      <c r="J7" s="51">
        <f>IF($A7="","",IF(COUNTIF($A$7:$A$206,$A7)&gt;1,"TRÙNG MÃ",IF(OR($B7="",$C7="",$D7&lt;0,$E7&lt;0,$F7&lt;0),"KIỂM TRA DỮ LIỆU",IF(AND($F7&gt;0,$G7=""),"THIẾU HẠN DƯ ĐẦU KỲ","OK"))))</f>
        <v/>
      </c>
    </row>
    <row r="8">
      <c r="A8" s="47" t="inlineStr">
        <is>
          <t>KH002</t>
        </is>
      </c>
      <c r="B8" s="41" t="inlineStr">
        <is>
          <t>Công ty CP An Khang</t>
        </is>
      </c>
      <c r="C8" s="47" t="inlineStr">
        <is>
          <t>Phải thu</t>
        </is>
      </c>
      <c r="D8" s="207" t="n">
        <v>120000000</v>
      </c>
      <c r="E8" s="208" t="n">
        <v>45</v>
      </c>
      <c r="F8" s="207" t="n">
        <v>0</v>
      </c>
      <c r="G8" s="209" t="n"/>
      <c r="H8" s="210">
        <f>IF($A8="","",MAX(0,$F8-SUMIFS('02_NHAT_KY'!$H$7:$H$506,'02_NHAT_KY'!$C$7:$C$506,$A8,'02_NHAT_KY'!$A$7:$A$506,"&lt;="&amp;'03_BAO_CAO'!$E$4)))</f>
        <v/>
      </c>
      <c r="I8" s="51">
        <f>IF($A8="","",IF($H8&lt;=0,"Đã thanh toán",IF($G8="","Thiếu hạn",IF($G8&gt;='03_BAO_CAO'!$E$4,"Chưa đến hạn",IF('03_BAO_CAO'!$E$4-$G8&lt;=30,"1-30 ngày",IF('03_BAO_CAO'!$E$4-$G8&lt;=60,"31-60 ngày",IF('03_BAO_CAO'!$E$4-$G8&lt;=90,"61-90 ngày","Trên 90 ngày")))))))</f>
        <v/>
      </c>
      <c r="J8" s="51">
        <f>IF($A8="","",IF(COUNTIF($A$7:$A$206,$A8)&gt;1,"TRÙNG MÃ",IF(OR($B8="",$C8="",$D8&lt;0,$E8&lt;0,$F8&lt;0),"KIỂM TRA DỮ LIỆU",IF(AND($F8&gt;0,$G8=""),"THIẾU HẠN DƯ ĐẦU KỲ","OK"))))</f>
        <v/>
      </c>
    </row>
    <row r="9">
      <c r="A9" s="47" t="inlineStr">
        <is>
          <t>NCC001</t>
        </is>
      </c>
      <c r="B9" s="41" t="inlineStr">
        <is>
          <t>Công ty TNHH Nguyên Liệu Việt</t>
        </is>
      </c>
      <c r="C9" s="47" t="inlineStr">
        <is>
          <t>Phải trả</t>
        </is>
      </c>
      <c r="D9" s="207" t="n">
        <v>300000000</v>
      </c>
      <c r="E9" s="208" t="n">
        <v>30</v>
      </c>
      <c r="F9" s="207" t="n">
        <v>80000000</v>
      </c>
      <c r="G9" s="209" t="n">
        <v>46096</v>
      </c>
      <c r="H9" s="210">
        <f>IF($A9="","",MAX(0,$F9-SUMIFS('02_NHAT_KY'!$H$7:$H$506,'02_NHAT_KY'!$C$7:$C$506,$A9,'02_NHAT_KY'!$A$7:$A$506,"&lt;="&amp;'03_BAO_CAO'!$E$4)))</f>
        <v/>
      </c>
      <c r="I9" s="51">
        <f>IF($A9="","",IF($H9&lt;=0,"Đã thanh toán",IF($G9="","Thiếu hạn",IF($G9&gt;='03_BAO_CAO'!$E$4,"Chưa đến hạn",IF('03_BAO_CAO'!$E$4-$G9&lt;=30,"1-30 ngày",IF('03_BAO_CAO'!$E$4-$G9&lt;=60,"31-60 ngày",IF('03_BAO_CAO'!$E$4-$G9&lt;=90,"61-90 ngày","Trên 90 ngày")))))))</f>
        <v/>
      </c>
      <c r="J9" s="51">
        <f>IF($A9="","",IF(COUNTIF($A$7:$A$206,$A9)&gt;1,"TRÙNG MÃ",IF(OR($B9="",$C9="",$D9&lt;0,$E9&lt;0,$F9&lt;0),"KIỂM TRA DỮ LIỆU",IF(AND($F9&gt;0,$G9=""),"THIẾU HẠN DƯ ĐẦU KỲ","OK"))))</f>
        <v/>
      </c>
    </row>
    <row r="10">
      <c r="A10" s="47" t="inlineStr">
        <is>
          <t>NCC002</t>
        </is>
      </c>
      <c r="B10" s="41" t="inlineStr">
        <is>
          <t>Công ty CP Logistics Đông Nam</t>
        </is>
      </c>
      <c r="C10" s="47" t="inlineStr">
        <is>
          <t>Phải trả</t>
        </is>
      </c>
      <c r="D10" s="207" t="n">
        <v>150000000</v>
      </c>
      <c r="E10" s="208" t="n">
        <v>15</v>
      </c>
      <c r="F10" s="207" t="n">
        <v>0</v>
      </c>
      <c r="G10" s="209" t="n"/>
      <c r="H10" s="210">
        <f>IF($A10="","",MAX(0,$F10-SUMIFS('02_NHAT_KY'!$H$7:$H$506,'02_NHAT_KY'!$C$7:$C$506,$A10,'02_NHAT_KY'!$A$7:$A$506,"&lt;="&amp;'03_BAO_CAO'!$E$4)))</f>
        <v/>
      </c>
      <c r="I10" s="51">
        <f>IF($A10="","",IF($H10&lt;=0,"Đã thanh toán",IF($G10="","Thiếu hạn",IF($G10&gt;='03_BAO_CAO'!$E$4,"Chưa đến hạn",IF('03_BAO_CAO'!$E$4-$G10&lt;=30,"1-30 ngày",IF('03_BAO_CAO'!$E$4-$G10&lt;=60,"31-60 ngày",IF('03_BAO_CAO'!$E$4-$G10&lt;=90,"61-90 ngày","Trên 90 ngày")))))))</f>
        <v/>
      </c>
      <c r="J10" s="51">
        <f>IF($A10="","",IF(COUNTIF($A$7:$A$206,$A10)&gt;1,"TRÙNG MÃ",IF(OR($B10="",$C10="",$D10&lt;0,$E10&lt;0,$F10&lt;0),"KIỂM TRA DỮ LIỆU",IF(AND($F10&gt;0,$G10=""),"THIẾU HẠN DƯ ĐẦU KỲ","OK"))))</f>
        <v/>
      </c>
    </row>
    <row r="11">
      <c r="A11" s="47" t="n"/>
      <c r="B11" s="41" t="n"/>
      <c r="C11" s="47" t="n"/>
      <c r="D11" s="207" t="n"/>
      <c r="E11" s="208" t="n"/>
      <c r="F11" s="207" t="n"/>
      <c r="G11" s="209" t="n"/>
      <c r="H11" s="210">
        <f>IF($A11="","",MAX(0,$F11-SUMIFS('02_NHAT_KY'!$H$7:$H$506,'02_NHAT_KY'!$C$7:$C$506,$A11,'02_NHAT_KY'!$A$7:$A$506,"&lt;="&amp;'03_BAO_CAO'!$E$4)))</f>
        <v/>
      </c>
      <c r="I11" s="51">
        <f>IF($A11="","",IF($H11&lt;=0,"Đã thanh toán",IF($G11="","Thiếu hạn",IF($G11&gt;='03_BAO_CAO'!$E$4,"Chưa đến hạn",IF('03_BAO_CAO'!$E$4-$G11&lt;=30,"1-30 ngày",IF('03_BAO_CAO'!$E$4-$G11&lt;=60,"31-60 ngày",IF('03_BAO_CAO'!$E$4-$G11&lt;=90,"61-90 ngày","Trên 90 ngày")))))))</f>
        <v/>
      </c>
      <c r="J11" s="51">
        <f>IF($A11="","",IF(COUNTIF($A$7:$A$206,$A11)&gt;1,"TRÙNG MÃ",IF(OR($B11="",$C11="",$D11&lt;0,$E11&lt;0,$F11&lt;0),"KIỂM TRA DỮ LIỆU",IF(AND($F11&gt;0,$G11=""),"THIẾU HẠN DƯ ĐẦU KỲ","OK"))))</f>
        <v/>
      </c>
    </row>
    <row r="12">
      <c r="A12" s="47" t="n"/>
      <c r="B12" s="41" t="n"/>
      <c r="C12" s="47" t="n"/>
      <c r="D12" s="207" t="n"/>
      <c r="E12" s="208" t="n"/>
      <c r="F12" s="207" t="n"/>
      <c r="G12" s="209" t="n"/>
      <c r="H12" s="210">
        <f>IF($A12="","",MAX(0,$F12-SUMIFS('02_NHAT_KY'!$H$7:$H$506,'02_NHAT_KY'!$C$7:$C$506,$A12,'02_NHAT_KY'!$A$7:$A$506,"&lt;="&amp;'03_BAO_CAO'!$E$4)))</f>
        <v/>
      </c>
      <c r="I12" s="51">
        <f>IF($A12="","",IF($H12&lt;=0,"Đã thanh toán",IF($G12="","Thiếu hạn",IF($G12&gt;='03_BAO_CAO'!$E$4,"Chưa đến hạn",IF('03_BAO_CAO'!$E$4-$G12&lt;=30,"1-30 ngày",IF('03_BAO_CAO'!$E$4-$G12&lt;=60,"31-60 ngày",IF('03_BAO_CAO'!$E$4-$G12&lt;=90,"61-90 ngày","Trên 90 ngày")))))))</f>
        <v/>
      </c>
      <c r="J12" s="51">
        <f>IF($A12="","",IF(COUNTIF($A$7:$A$206,$A12)&gt;1,"TRÙNG MÃ",IF(OR($B12="",$C12="",$D12&lt;0,$E12&lt;0,$F12&lt;0),"KIỂM TRA DỮ LIỆU",IF(AND($F12&gt;0,$G12=""),"THIẾU HẠN DƯ ĐẦU KỲ","OK"))))</f>
        <v/>
      </c>
    </row>
    <row r="13">
      <c r="A13" s="47" t="n"/>
      <c r="B13" s="41" t="n"/>
      <c r="C13" s="47" t="n"/>
      <c r="D13" s="207" t="n"/>
      <c r="E13" s="208" t="n"/>
      <c r="F13" s="207" t="n"/>
      <c r="G13" s="209" t="n"/>
      <c r="H13" s="210">
        <f>IF($A13="","",MAX(0,$F13-SUMIFS('02_NHAT_KY'!$H$7:$H$506,'02_NHAT_KY'!$C$7:$C$506,$A13,'02_NHAT_KY'!$A$7:$A$506,"&lt;="&amp;'03_BAO_CAO'!$E$4)))</f>
        <v/>
      </c>
      <c r="I13" s="51">
        <f>IF($A13="","",IF($H13&lt;=0,"Đã thanh toán",IF($G13="","Thiếu hạn",IF($G13&gt;='03_BAO_CAO'!$E$4,"Chưa đến hạn",IF('03_BAO_CAO'!$E$4-$G13&lt;=30,"1-30 ngày",IF('03_BAO_CAO'!$E$4-$G13&lt;=60,"31-60 ngày",IF('03_BAO_CAO'!$E$4-$G13&lt;=90,"61-90 ngày","Trên 90 ngày")))))))</f>
        <v/>
      </c>
      <c r="J13" s="51">
        <f>IF($A13="","",IF(COUNTIF($A$7:$A$206,$A13)&gt;1,"TRÙNG MÃ",IF(OR($B13="",$C13="",$D13&lt;0,$E13&lt;0,$F13&lt;0),"KIỂM TRA DỮ LIỆU",IF(AND($F13&gt;0,$G13=""),"THIẾU HẠN DƯ ĐẦU KỲ","OK"))))</f>
        <v/>
      </c>
    </row>
    <row r="14">
      <c r="A14" s="47" t="n"/>
      <c r="B14" s="41" t="n"/>
      <c r="C14" s="47" t="n"/>
      <c r="D14" s="207" t="n"/>
      <c r="E14" s="208" t="n"/>
      <c r="F14" s="207" t="n"/>
      <c r="G14" s="209" t="n"/>
      <c r="H14" s="210">
        <f>IF($A14="","",MAX(0,$F14-SUMIFS('02_NHAT_KY'!$H$7:$H$506,'02_NHAT_KY'!$C$7:$C$506,$A14,'02_NHAT_KY'!$A$7:$A$506,"&lt;="&amp;'03_BAO_CAO'!$E$4)))</f>
        <v/>
      </c>
      <c r="I14" s="51">
        <f>IF($A14="","",IF($H14&lt;=0,"Đã thanh toán",IF($G14="","Thiếu hạn",IF($G14&gt;='03_BAO_CAO'!$E$4,"Chưa đến hạn",IF('03_BAO_CAO'!$E$4-$G14&lt;=30,"1-30 ngày",IF('03_BAO_CAO'!$E$4-$G14&lt;=60,"31-60 ngày",IF('03_BAO_CAO'!$E$4-$G14&lt;=90,"61-90 ngày","Trên 90 ngày")))))))</f>
        <v/>
      </c>
      <c r="J14" s="51">
        <f>IF($A14="","",IF(COUNTIF($A$7:$A$206,$A14)&gt;1,"TRÙNG MÃ",IF(OR($B14="",$C14="",$D14&lt;0,$E14&lt;0,$F14&lt;0),"KIỂM TRA DỮ LIỆU",IF(AND($F14&gt;0,$G14=""),"THIẾU HẠN DƯ ĐẦU KỲ","OK"))))</f>
        <v/>
      </c>
    </row>
    <row r="15">
      <c r="A15" s="47" t="n"/>
      <c r="B15" s="41" t="n"/>
      <c r="C15" s="47" t="n"/>
      <c r="D15" s="207" t="n"/>
      <c r="E15" s="208" t="n"/>
      <c r="F15" s="207" t="n"/>
      <c r="G15" s="209" t="n"/>
      <c r="H15" s="210">
        <f>IF($A15="","",MAX(0,$F15-SUMIFS('02_NHAT_KY'!$H$7:$H$506,'02_NHAT_KY'!$C$7:$C$506,$A15,'02_NHAT_KY'!$A$7:$A$506,"&lt;="&amp;'03_BAO_CAO'!$E$4)))</f>
        <v/>
      </c>
      <c r="I15" s="51">
        <f>IF($A15="","",IF($H15&lt;=0,"Đã thanh toán",IF($G15="","Thiếu hạn",IF($G15&gt;='03_BAO_CAO'!$E$4,"Chưa đến hạn",IF('03_BAO_CAO'!$E$4-$G15&lt;=30,"1-30 ngày",IF('03_BAO_CAO'!$E$4-$G15&lt;=60,"31-60 ngày",IF('03_BAO_CAO'!$E$4-$G15&lt;=90,"61-90 ngày","Trên 90 ngày")))))))</f>
        <v/>
      </c>
      <c r="J15" s="51">
        <f>IF($A15="","",IF(COUNTIF($A$7:$A$206,$A15)&gt;1,"TRÙNG MÃ",IF(OR($B15="",$C15="",$D15&lt;0,$E15&lt;0,$F15&lt;0),"KIỂM TRA DỮ LIỆU",IF(AND($F15&gt;0,$G15=""),"THIẾU HẠN DƯ ĐẦU KỲ","OK"))))</f>
        <v/>
      </c>
    </row>
    <row r="16">
      <c r="A16" s="47" t="n"/>
      <c r="B16" s="41" t="n"/>
      <c r="C16" s="47" t="n"/>
      <c r="D16" s="207" t="n"/>
      <c r="E16" s="208" t="n"/>
      <c r="F16" s="207" t="n"/>
      <c r="G16" s="209" t="n"/>
      <c r="H16" s="210">
        <f>IF($A16="","",MAX(0,$F16-SUMIFS('02_NHAT_KY'!$H$7:$H$506,'02_NHAT_KY'!$C$7:$C$506,$A16,'02_NHAT_KY'!$A$7:$A$506,"&lt;="&amp;'03_BAO_CAO'!$E$4)))</f>
        <v/>
      </c>
      <c r="I16" s="51">
        <f>IF($A16="","",IF($H16&lt;=0,"Đã thanh toán",IF($G16="","Thiếu hạn",IF($G16&gt;='03_BAO_CAO'!$E$4,"Chưa đến hạn",IF('03_BAO_CAO'!$E$4-$G16&lt;=30,"1-30 ngày",IF('03_BAO_CAO'!$E$4-$G16&lt;=60,"31-60 ngày",IF('03_BAO_CAO'!$E$4-$G16&lt;=90,"61-90 ngày","Trên 90 ngày")))))))</f>
        <v/>
      </c>
      <c r="J16" s="51">
        <f>IF($A16="","",IF(COUNTIF($A$7:$A$206,$A16)&gt;1,"TRÙNG MÃ",IF(OR($B16="",$C16="",$D16&lt;0,$E16&lt;0,$F16&lt;0),"KIỂM TRA DỮ LIỆU",IF(AND($F16&gt;0,$G16=""),"THIẾU HẠN DƯ ĐẦU KỲ","OK"))))</f>
        <v/>
      </c>
    </row>
    <row r="17">
      <c r="A17" s="47" t="n"/>
      <c r="B17" s="41" t="n"/>
      <c r="C17" s="47" t="n"/>
      <c r="D17" s="207" t="n"/>
      <c r="E17" s="208" t="n"/>
      <c r="F17" s="207" t="n"/>
      <c r="G17" s="209" t="n"/>
      <c r="H17" s="210">
        <f>IF($A17="","",MAX(0,$F17-SUMIFS('02_NHAT_KY'!$H$7:$H$506,'02_NHAT_KY'!$C$7:$C$506,$A17,'02_NHAT_KY'!$A$7:$A$506,"&lt;="&amp;'03_BAO_CAO'!$E$4)))</f>
        <v/>
      </c>
      <c r="I17" s="51">
        <f>IF($A17="","",IF($H17&lt;=0,"Đã thanh toán",IF($G17="","Thiếu hạn",IF($G17&gt;='03_BAO_CAO'!$E$4,"Chưa đến hạn",IF('03_BAO_CAO'!$E$4-$G17&lt;=30,"1-30 ngày",IF('03_BAO_CAO'!$E$4-$G17&lt;=60,"31-60 ngày",IF('03_BAO_CAO'!$E$4-$G17&lt;=90,"61-90 ngày","Trên 90 ngày")))))))</f>
        <v/>
      </c>
      <c r="J17" s="51">
        <f>IF($A17="","",IF(COUNTIF($A$7:$A$206,$A17)&gt;1,"TRÙNG MÃ",IF(OR($B17="",$C17="",$D17&lt;0,$E17&lt;0,$F17&lt;0),"KIỂM TRA DỮ LIỆU",IF(AND($F17&gt;0,$G17=""),"THIẾU HẠN DƯ ĐẦU KỲ","OK"))))</f>
        <v/>
      </c>
    </row>
    <row r="18">
      <c r="A18" s="47" t="n"/>
      <c r="B18" s="41" t="n"/>
      <c r="C18" s="47" t="n"/>
      <c r="D18" s="207" t="n"/>
      <c r="E18" s="208" t="n"/>
      <c r="F18" s="207" t="n"/>
      <c r="G18" s="209" t="n"/>
      <c r="H18" s="210">
        <f>IF($A18="","",MAX(0,$F18-SUMIFS('02_NHAT_KY'!$H$7:$H$506,'02_NHAT_KY'!$C$7:$C$506,$A18,'02_NHAT_KY'!$A$7:$A$506,"&lt;="&amp;'03_BAO_CAO'!$E$4)))</f>
        <v/>
      </c>
      <c r="I18" s="51">
        <f>IF($A18="","",IF($H18&lt;=0,"Đã thanh toán",IF($G18="","Thiếu hạn",IF($G18&gt;='03_BAO_CAO'!$E$4,"Chưa đến hạn",IF('03_BAO_CAO'!$E$4-$G18&lt;=30,"1-30 ngày",IF('03_BAO_CAO'!$E$4-$G18&lt;=60,"31-60 ngày",IF('03_BAO_CAO'!$E$4-$G18&lt;=90,"61-90 ngày","Trên 90 ngày")))))))</f>
        <v/>
      </c>
      <c r="J18" s="51">
        <f>IF($A18="","",IF(COUNTIF($A$7:$A$206,$A18)&gt;1,"TRÙNG MÃ",IF(OR($B18="",$C18="",$D18&lt;0,$E18&lt;0,$F18&lt;0),"KIỂM TRA DỮ LIỆU",IF(AND($F18&gt;0,$G18=""),"THIẾU HẠN DƯ ĐẦU KỲ","OK"))))</f>
        <v/>
      </c>
    </row>
    <row r="19">
      <c r="A19" s="47" t="n"/>
      <c r="B19" s="41" t="n"/>
      <c r="C19" s="47" t="n"/>
      <c r="D19" s="207" t="n"/>
      <c r="E19" s="208" t="n"/>
      <c r="F19" s="207" t="n"/>
      <c r="G19" s="209" t="n"/>
      <c r="H19" s="210">
        <f>IF($A19="","",MAX(0,$F19-SUMIFS('02_NHAT_KY'!$H$7:$H$506,'02_NHAT_KY'!$C$7:$C$506,$A19,'02_NHAT_KY'!$A$7:$A$506,"&lt;="&amp;'03_BAO_CAO'!$E$4)))</f>
        <v/>
      </c>
      <c r="I19" s="51">
        <f>IF($A19="","",IF($H19&lt;=0,"Đã thanh toán",IF($G19="","Thiếu hạn",IF($G19&gt;='03_BAO_CAO'!$E$4,"Chưa đến hạn",IF('03_BAO_CAO'!$E$4-$G19&lt;=30,"1-30 ngày",IF('03_BAO_CAO'!$E$4-$G19&lt;=60,"31-60 ngày",IF('03_BAO_CAO'!$E$4-$G19&lt;=90,"61-90 ngày","Trên 90 ngày")))))))</f>
        <v/>
      </c>
      <c r="J19" s="51">
        <f>IF($A19="","",IF(COUNTIF($A$7:$A$206,$A19)&gt;1,"TRÙNG MÃ",IF(OR($B19="",$C19="",$D19&lt;0,$E19&lt;0,$F19&lt;0),"KIỂM TRA DỮ LIỆU",IF(AND($F19&gt;0,$G19=""),"THIẾU HẠN DƯ ĐẦU KỲ","OK"))))</f>
        <v/>
      </c>
    </row>
    <row r="20">
      <c r="A20" s="47" t="n"/>
      <c r="B20" s="41" t="n"/>
      <c r="C20" s="47" t="n"/>
      <c r="D20" s="207" t="n"/>
      <c r="E20" s="208" t="n"/>
      <c r="F20" s="207" t="n"/>
      <c r="G20" s="209" t="n"/>
      <c r="H20" s="210">
        <f>IF($A20="","",MAX(0,$F20-SUMIFS('02_NHAT_KY'!$H$7:$H$506,'02_NHAT_KY'!$C$7:$C$506,$A20,'02_NHAT_KY'!$A$7:$A$506,"&lt;="&amp;'03_BAO_CAO'!$E$4)))</f>
        <v/>
      </c>
      <c r="I20" s="51">
        <f>IF($A20="","",IF($H20&lt;=0,"Đã thanh toán",IF($G20="","Thiếu hạn",IF($G20&gt;='03_BAO_CAO'!$E$4,"Chưa đến hạn",IF('03_BAO_CAO'!$E$4-$G20&lt;=30,"1-30 ngày",IF('03_BAO_CAO'!$E$4-$G20&lt;=60,"31-60 ngày",IF('03_BAO_CAO'!$E$4-$G20&lt;=90,"61-90 ngày","Trên 90 ngày")))))))</f>
        <v/>
      </c>
      <c r="J20" s="51">
        <f>IF($A20="","",IF(COUNTIF($A$7:$A$206,$A20)&gt;1,"TRÙNG MÃ",IF(OR($B20="",$C20="",$D20&lt;0,$E20&lt;0,$F20&lt;0),"KIỂM TRA DỮ LIỆU",IF(AND($F20&gt;0,$G20=""),"THIẾU HẠN DƯ ĐẦU KỲ","OK"))))</f>
        <v/>
      </c>
    </row>
    <row r="21">
      <c r="A21" s="47" t="n"/>
      <c r="B21" s="41" t="n"/>
      <c r="C21" s="47" t="n"/>
      <c r="D21" s="207" t="n"/>
      <c r="E21" s="208" t="n"/>
      <c r="F21" s="207" t="n"/>
      <c r="G21" s="209" t="n"/>
      <c r="H21" s="210">
        <f>IF($A21="","",MAX(0,$F21-SUMIFS('02_NHAT_KY'!$H$7:$H$506,'02_NHAT_KY'!$C$7:$C$506,$A21,'02_NHAT_KY'!$A$7:$A$506,"&lt;="&amp;'03_BAO_CAO'!$E$4)))</f>
        <v/>
      </c>
      <c r="I21" s="51">
        <f>IF($A21="","",IF($H21&lt;=0,"Đã thanh toán",IF($G21="","Thiếu hạn",IF($G21&gt;='03_BAO_CAO'!$E$4,"Chưa đến hạn",IF('03_BAO_CAO'!$E$4-$G21&lt;=30,"1-30 ngày",IF('03_BAO_CAO'!$E$4-$G21&lt;=60,"31-60 ngày",IF('03_BAO_CAO'!$E$4-$G21&lt;=90,"61-90 ngày","Trên 90 ngày")))))))</f>
        <v/>
      </c>
      <c r="J21" s="51">
        <f>IF($A21="","",IF(COUNTIF($A$7:$A$206,$A21)&gt;1,"TRÙNG MÃ",IF(OR($B21="",$C21="",$D21&lt;0,$E21&lt;0,$F21&lt;0),"KIỂM TRA DỮ LIỆU",IF(AND($F21&gt;0,$G21=""),"THIẾU HẠN DƯ ĐẦU KỲ","OK"))))</f>
        <v/>
      </c>
    </row>
    <row r="22">
      <c r="A22" s="47" t="n"/>
      <c r="B22" s="41" t="n"/>
      <c r="C22" s="47" t="n"/>
      <c r="D22" s="207" t="n"/>
      <c r="E22" s="208" t="n"/>
      <c r="F22" s="207" t="n"/>
      <c r="G22" s="209" t="n"/>
      <c r="H22" s="210">
        <f>IF($A22="","",MAX(0,$F22-SUMIFS('02_NHAT_KY'!$H$7:$H$506,'02_NHAT_KY'!$C$7:$C$506,$A22,'02_NHAT_KY'!$A$7:$A$506,"&lt;="&amp;'03_BAO_CAO'!$E$4)))</f>
        <v/>
      </c>
      <c r="I22" s="51">
        <f>IF($A22="","",IF($H22&lt;=0,"Đã thanh toán",IF($G22="","Thiếu hạn",IF($G22&gt;='03_BAO_CAO'!$E$4,"Chưa đến hạn",IF('03_BAO_CAO'!$E$4-$G22&lt;=30,"1-30 ngày",IF('03_BAO_CAO'!$E$4-$G22&lt;=60,"31-60 ngày",IF('03_BAO_CAO'!$E$4-$G22&lt;=90,"61-90 ngày","Trên 90 ngày")))))))</f>
        <v/>
      </c>
      <c r="J22" s="51">
        <f>IF($A22="","",IF(COUNTIF($A$7:$A$206,$A22)&gt;1,"TRÙNG MÃ",IF(OR($B22="",$C22="",$D22&lt;0,$E22&lt;0,$F22&lt;0),"KIỂM TRA DỮ LIỆU",IF(AND($F22&gt;0,$G22=""),"THIẾU HẠN DƯ ĐẦU KỲ","OK"))))</f>
        <v/>
      </c>
    </row>
    <row r="23">
      <c r="A23" s="47" t="n"/>
      <c r="B23" s="41" t="n"/>
      <c r="C23" s="47" t="n"/>
      <c r="D23" s="207" t="n"/>
      <c r="E23" s="208" t="n"/>
      <c r="F23" s="207" t="n"/>
      <c r="G23" s="209" t="n"/>
      <c r="H23" s="210">
        <f>IF($A23="","",MAX(0,$F23-SUMIFS('02_NHAT_KY'!$H$7:$H$506,'02_NHAT_KY'!$C$7:$C$506,$A23,'02_NHAT_KY'!$A$7:$A$506,"&lt;="&amp;'03_BAO_CAO'!$E$4)))</f>
        <v/>
      </c>
      <c r="I23" s="51">
        <f>IF($A23="","",IF($H23&lt;=0,"Đã thanh toán",IF($G23="","Thiếu hạn",IF($G23&gt;='03_BAO_CAO'!$E$4,"Chưa đến hạn",IF('03_BAO_CAO'!$E$4-$G23&lt;=30,"1-30 ngày",IF('03_BAO_CAO'!$E$4-$G23&lt;=60,"31-60 ngày",IF('03_BAO_CAO'!$E$4-$G23&lt;=90,"61-90 ngày","Trên 90 ngày")))))))</f>
        <v/>
      </c>
      <c r="J23" s="51">
        <f>IF($A23="","",IF(COUNTIF($A$7:$A$206,$A23)&gt;1,"TRÙNG MÃ",IF(OR($B23="",$C23="",$D23&lt;0,$E23&lt;0,$F23&lt;0),"KIỂM TRA DỮ LIỆU",IF(AND($F23&gt;0,$G23=""),"THIẾU HẠN DƯ ĐẦU KỲ","OK"))))</f>
        <v/>
      </c>
    </row>
    <row r="24">
      <c r="A24" s="47" t="n"/>
      <c r="B24" s="41" t="n"/>
      <c r="C24" s="47" t="n"/>
      <c r="D24" s="207" t="n"/>
      <c r="E24" s="208" t="n"/>
      <c r="F24" s="207" t="n"/>
      <c r="G24" s="209" t="n"/>
      <c r="H24" s="210">
        <f>IF($A24="","",MAX(0,$F24-SUMIFS('02_NHAT_KY'!$H$7:$H$506,'02_NHAT_KY'!$C$7:$C$506,$A24,'02_NHAT_KY'!$A$7:$A$506,"&lt;="&amp;'03_BAO_CAO'!$E$4)))</f>
        <v/>
      </c>
      <c r="I24" s="51">
        <f>IF($A24="","",IF($H24&lt;=0,"Đã thanh toán",IF($G24="","Thiếu hạn",IF($G24&gt;='03_BAO_CAO'!$E$4,"Chưa đến hạn",IF('03_BAO_CAO'!$E$4-$G24&lt;=30,"1-30 ngày",IF('03_BAO_CAO'!$E$4-$G24&lt;=60,"31-60 ngày",IF('03_BAO_CAO'!$E$4-$G24&lt;=90,"61-90 ngày","Trên 90 ngày")))))))</f>
        <v/>
      </c>
      <c r="J24" s="51">
        <f>IF($A24="","",IF(COUNTIF($A$7:$A$206,$A24)&gt;1,"TRÙNG MÃ",IF(OR($B24="",$C24="",$D24&lt;0,$E24&lt;0,$F24&lt;0),"KIỂM TRA DỮ LIỆU",IF(AND($F24&gt;0,$G24=""),"THIẾU HẠN DƯ ĐẦU KỲ","OK"))))</f>
        <v/>
      </c>
    </row>
    <row r="25">
      <c r="A25" s="47" t="n"/>
      <c r="B25" s="41" t="n"/>
      <c r="C25" s="47" t="n"/>
      <c r="D25" s="207" t="n"/>
      <c r="E25" s="208" t="n"/>
      <c r="F25" s="207" t="n"/>
      <c r="G25" s="209" t="n"/>
      <c r="H25" s="210">
        <f>IF($A25="","",MAX(0,$F25-SUMIFS('02_NHAT_KY'!$H$7:$H$506,'02_NHAT_KY'!$C$7:$C$506,$A25,'02_NHAT_KY'!$A$7:$A$506,"&lt;="&amp;'03_BAO_CAO'!$E$4)))</f>
        <v/>
      </c>
      <c r="I25" s="51">
        <f>IF($A25="","",IF($H25&lt;=0,"Đã thanh toán",IF($G25="","Thiếu hạn",IF($G25&gt;='03_BAO_CAO'!$E$4,"Chưa đến hạn",IF('03_BAO_CAO'!$E$4-$G25&lt;=30,"1-30 ngày",IF('03_BAO_CAO'!$E$4-$G25&lt;=60,"31-60 ngày",IF('03_BAO_CAO'!$E$4-$G25&lt;=90,"61-90 ngày","Trên 90 ngày")))))))</f>
        <v/>
      </c>
      <c r="J25" s="51">
        <f>IF($A25="","",IF(COUNTIF($A$7:$A$206,$A25)&gt;1,"TRÙNG MÃ",IF(OR($B25="",$C25="",$D25&lt;0,$E25&lt;0,$F25&lt;0),"KIỂM TRA DỮ LIỆU",IF(AND($F25&gt;0,$G25=""),"THIẾU HẠN DƯ ĐẦU KỲ","OK"))))</f>
        <v/>
      </c>
    </row>
    <row r="26">
      <c r="A26" s="47" t="n"/>
      <c r="B26" s="41" t="n"/>
      <c r="C26" s="47" t="n"/>
      <c r="D26" s="207" t="n"/>
      <c r="E26" s="208" t="n"/>
      <c r="F26" s="207" t="n"/>
      <c r="G26" s="209" t="n"/>
      <c r="H26" s="210">
        <f>IF($A26="","",MAX(0,$F26-SUMIFS('02_NHAT_KY'!$H$7:$H$506,'02_NHAT_KY'!$C$7:$C$506,$A26,'02_NHAT_KY'!$A$7:$A$506,"&lt;="&amp;'03_BAO_CAO'!$E$4)))</f>
        <v/>
      </c>
      <c r="I26" s="51">
        <f>IF($A26="","",IF($H26&lt;=0,"Đã thanh toán",IF($G26="","Thiếu hạn",IF($G26&gt;='03_BAO_CAO'!$E$4,"Chưa đến hạn",IF('03_BAO_CAO'!$E$4-$G26&lt;=30,"1-30 ngày",IF('03_BAO_CAO'!$E$4-$G26&lt;=60,"31-60 ngày",IF('03_BAO_CAO'!$E$4-$G26&lt;=90,"61-90 ngày","Trên 90 ngày")))))))</f>
        <v/>
      </c>
      <c r="J26" s="51">
        <f>IF($A26="","",IF(COUNTIF($A$7:$A$206,$A26)&gt;1,"TRÙNG MÃ",IF(OR($B26="",$C26="",$D26&lt;0,$E26&lt;0,$F26&lt;0),"KIỂM TRA DỮ LIỆU",IF(AND($F26&gt;0,$G26=""),"THIẾU HẠN DƯ ĐẦU KỲ","OK"))))</f>
        <v/>
      </c>
    </row>
    <row r="27">
      <c r="A27" s="47" t="n"/>
      <c r="B27" s="41" t="n"/>
      <c r="C27" s="47" t="n"/>
      <c r="D27" s="207" t="n"/>
      <c r="E27" s="208" t="n"/>
      <c r="F27" s="207" t="n"/>
      <c r="G27" s="209" t="n"/>
      <c r="H27" s="210">
        <f>IF($A27="","",MAX(0,$F27-SUMIFS('02_NHAT_KY'!$H$7:$H$506,'02_NHAT_KY'!$C$7:$C$506,$A27,'02_NHAT_KY'!$A$7:$A$506,"&lt;="&amp;'03_BAO_CAO'!$E$4)))</f>
        <v/>
      </c>
      <c r="I27" s="51">
        <f>IF($A27="","",IF($H27&lt;=0,"Đã thanh toán",IF($G27="","Thiếu hạn",IF($G27&gt;='03_BAO_CAO'!$E$4,"Chưa đến hạn",IF('03_BAO_CAO'!$E$4-$G27&lt;=30,"1-30 ngày",IF('03_BAO_CAO'!$E$4-$G27&lt;=60,"31-60 ngày",IF('03_BAO_CAO'!$E$4-$G27&lt;=90,"61-90 ngày","Trên 90 ngày")))))))</f>
        <v/>
      </c>
      <c r="J27" s="51">
        <f>IF($A27="","",IF(COUNTIF($A$7:$A$206,$A27)&gt;1,"TRÙNG MÃ",IF(OR($B27="",$C27="",$D27&lt;0,$E27&lt;0,$F27&lt;0),"KIỂM TRA DỮ LIỆU",IF(AND($F27&gt;0,$G27=""),"THIẾU HẠN DƯ ĐẦU KỲ","OK"))))</f>
        <v/>
      </c>
    </row>
    <row r="28">
      <c r="A28" s="47" t="n"/>
      <c r="B28" s="41" t="n"/>
      <c r="C28" s="47" t="n"/>
      <c r="D28" s="207" t="n"/>
      <c r="E28" s="208" t="n"/>
      <c r="F28" s="207" t="n"/>
      <c r="G28" s="209" t="n"/>
      <c r="H28" s="210">
        <f>IF($A28="","",MAX(0,$F28-SUMIFS('02_NHAT_KY'!$H$7:$H$506,'02_NHAT_KY'!$C$7:$C$506,$A28,'02_NHAT_KY'!$A$7:$A$506,"&lt;="&amp;'03_BAO_CAO'!$E$4)))</f>
        <v/>
      </c>
      <c r="I28" s="51">
        <f>IF($A28="","",IF($H28&lt;=0,"Đã thanh toán",IF($G28="","Thiếu hạn",IF($G28&gt;='03_BAO_CAO'!$E$4,"Chưa đến hạn",IF('03_BAO_CAO'!$E$4-$G28&lt;=30,"1-30 ngày",IF('03_BAO_CAO'!$E$4-$G28&lt;=60,"31-60 ngày",IF('03_BAO_CAO'!$E$4-$G28&lt;=90,"61-90 ngày","Trên 90 ngày")))))))</f>
        <v/>
      </c>
      <c r="J28" s="51">
        <f>IF($A28="","",IF(COUNTIF($A$7:$A$206,$A28)&gt;1,"TRÙNG MÃ",IF(OR($B28="",$C28="",$D28&lt;0,$E28&lt;0,$F28&lt;0),"KIỂM TRA DỮ LIỆU",IF(AND($F28&gt;0,$G28=""),"THIẾU HẠN DƯ ĐẦU KỲ","OK"))))</f>
        <v/>
      </c>
    </row>
    <row r="29">
      <c r="A29" s="47" t="n"/>
      <c r="B29" s="41" t="n"/>
      <c r="C29" s="47" t="n"/>
      <c r="D29" s="207" t="n"/>
      <c r="E29" s="208" t="n"/>
      <c r="F29" s="207" t="n"/>
      <c r="G29" s="209" t="n"/>
      <c r="H29" s="210">
        <f>IF($A29="","",MAX(0,$F29-SUMIFS('02_NHAT_KY'!$H$7:$H$506,'02_NHAT_KY'!$C$7:$C$506,$A29,'02_NHAT_KY'!$A$7:$A$506,"&lt;="&amp;'03_BAO_CAO'!$E$4)))</f>
        <v/>
      </c>
      <c r="I29" s="51">
        <f>IF($A29="","",IF($H29&lt;=0,"Đã thanh toán",IF($G29="","Thiếu hạn",IF($G29&gt;='03_BAO_CAO'!$E$4,"Chưa đến hạn",IF('03_BAO_CAO'!$E$4-$G29&lt;=30,"1-30 ngày",IF('03_BAO_CAO'!$E$4-$G29&lt;=60,"31-60 ngày",IF('03_BAO_CAO'!$E$4-$G29&lt;=90,"61-90 ngày","Trên 90 ngày")))))))</f>
        <v/>
      </c>
      <c r="J29" s="51">
        <f>IF($A29="","",IF(COUNTIF($A$7:$A$206,$A29)&gt;1,"TRÙNG MÃ",IF(OR($B29="",$C29="",$D29&lt;0,$E29&lt;0,$F29&lt;0),"KIỂM TRA DỮ LIỆU",IF(AND($F29&gt;0,$G29=""),"THIẾU HẠN DƯ ĐẦU KỲ","OK"))))</f>
        <v/>
      </c>
    </row>
    <row r="30">
      <c r="A30" s="47" t="n"/>
      <c r="B30" s="41" t="n"/>
      <c r="C30" s="47" t="n"/>
      <c r="D30" s="207" t="n"/>
      <c r="E30" s="208" t="n"/>
      <c r="F30" s="207" t="n"/>
      <c r="G30" s="209" t="n"/>
      <c r="H30" s="210">
        <f>IF($A30="","",MAX(0,$F30-SUMIFS('02_NHAT_KY'!$H$7:$H$506,'02_NHAT_KY'!$C$7:$C$506,$A30,'02_NHAT_KY'!$A$7:$A$506,"&lt;="&amp;'03_BAO_CAO'!$E$4)))</f>
        <v/>
      </c>
      <c r="I30" s="51">
        <f>IF($A30="","",IF($H30&lt;=0,"Đã thanh toán",IF($G30="","Thiếu hạn",IF($G30&gt;='03_BAO_CAO'!$E$4,"Chưa đến hạn",IF('03_BAO_CAO'!$E$4-$G30&lt;=30,"1-30 ngày",IF('03_BAO_CAO'!$E$4-$G30&lt;=60,"31-60 ngày",IF('03_BAO_CAO'!$E$4-$G30&lt;=90,"61-90 ngày","Trên 90 ngày")))))))</f>
        <v/>
      </c>
      <c r="J30" s="51">
        <f>IF($A30="","",IF(COUNTIF($A$7:$A$206,$A30)&gt;1,"TRÙNG MÃ",IF(OR($B30="",$C30="",$D30&lt;0,$E30&lt;0,$F30&lt;0),"KIỂM TRA DỮ LIỆU",IF(AND($F30&gt;0,$G30=""),"THIẾU HẠN DƯ ĐẦU KỲ","OK"))))</f>
        <v/>
      </c>
    </row>
    <row r="31">
      <c r="A31" s="47" t="n"/>
      <c r="B31" s="41" t="n"/>
      <c r="C31" s="47" t="n"/>
      <c r="D31" s="207" t="n"/>
      <c r="E31" s="208" t="n"/>
      <c r="F31" s="207" t="n"/>
      <c r="G31" s="209" t="n"/>
      <c r="H31" s="210">
        <f>IF($A31="","",MAX(0,$F31-SUMIFS('02_NHAT_KY'!$H$7:$H$506,'02_NHAT_KY'!$C$7:$C$506,$A31,'02_NHAT_KY'!$A$7:$A$506,"&lt;="&amp;'03_BAO_CAO'!$E$4)))</f>
        <v/>
      </c>
      <c r="I31" s="51">
        <f>IF($A31="","",IF($H31&lt;=0,"Đã thanh toán",IF($G31="","Thiếu hạn",IF($G31&gt;='03_BAO_CAO'!$E$4,"Chưa đến hạn",IF('03_BAO_CAO'!$E$4-$G31&lt;=30,"1-30 ngày",IF('03_BAO_CAO'!$E$4-$G31&lt;=60,"31-60 ngày",IF('03_BAO_CAO'!$E$4-$G31&lt;=90,"61-90 ngày","Trên 90 ngày")))))))</f>
        <v/>
      </c>
      <c r="J31" s="51">
        <f>IF($A31="","",IF(COUNTIF($A$7:$A$206,$A31)&gt;1,"TRÙNG MÃ",IF(OR($B31="",$C31="",$D31&lt;0,$E31&lt;0,$F31&lt;0),"KIỂM TRA DỮ LIỆU",IF(AND($F31&gt;0,$G31=""),"THIẾU HẠN DƯ ĐẦU KỲ","OK"))))</f>
        <v/>
      </c>
    </row>
    <row r="32">
      <c r="A32" s="47" t="n"/>
      <c r="B32" s="41" t="n"/>
      <c r="C32" s="47" t="n"/>
      <c r="D32" s="207" t="n"/>
      <c r="E32" s="208" t="n"/>
      <c r="F32" s="207" t="n"/>
      <c r="G32" s="209" t="n"/>
      <c r="H32" s="210">
        <f>IF($A32="","",MAX(0,$F32-SUMIFS('02_NHAT_KY'!$H$7:$H$506,'02_NHAT_KY'!$C$7:$C$506,$A32,'02_NHAT_KY'!$A$7:$A$506,"&lt;="&amp;'03_BAO_CAO'!$E$4)))</f>
        <v/>
      </c>
      <c r="I32" s="51">
        <f>IF($A32="","",IF($H32&lt;=0,"Đã thanh toán",IF($G32="","Thiếu hạn",IF($G32&gt;='03_BAO_CAO'!$E$4,"Chưa đến hạn",IF('03_BAO_CAO'!$E$4-$G32&lt;=30,"1-30 ngày",IF('03_BAO_CAO'!$E$4-$G32&lt;=60,"31-60 ngày",IF('03_BAO_CAO'!$E$4-$G32&lt;=90,"61-90 ngày","Trên 90 ngày")))))))</f>
        <v/>
      </c>
      <c r="J32" s="51">
        <f>IF($A32="","",IF(COUNTIF($A$7:$A$206,$A32)&gt;1,"TRÙNG MÃ",IF(OR($B32="",$C32="",$D32&lt;0,$E32&lt;0,$F32&lt;0),"KIỂM TRA DỮ LIỆU",IF(AND($F32&gt;0,$G32=""),"THIẾU HẠN DƯ ĐẦU KỲ","OK"))))</f>
        <v/>
      </c>
    </row>
    <row r="33">
      <c r="A33" s="47" t="n"/>
      <c r="B33" s="41" t="n"/>
      <c r="C33" s="47" t="n"/>
      <c r="D33" s="207" t="n"/>
      <c r="E33" s="208" t="n"/>
      <c r="F33" s="207" t="n"/>
      <c r="G33" s="209" t="n"/>
      <c r="H33" s="210">
        <f>IF($A33="","",MAX(0,$F33-SUMIFS('02_NHAT_KY'!$H$7:$H$506,'02_NHAT_KY'!$C$7:$C$506,$A33,'02_NHAT_KY'!$A$7:$A$506,"&lt;="&amp;'03_BAO_CAO'!$E$4)))</f>
        <v/>
      </c>
      <c r="I33" s="51">
        <f>IF($A33="","",IF($H33&lt;=0,"Đã thanh toán",IF($G33="","Thiếu hạn",IF($G33&gt;='03_BAO_CAO'!$E$4,"Chưa đến hạn",IF('03_BAO_CAO'!$E$4-$G33&lt;=30,"1-30 ngày",IF('03_BAO_CAO'!$E$4-$G33&lt;=60,"31-60 ngày",IF('03_BAO_CAO'!$E$4-$G33&lt;=90,"61-90 ngày","Trên 90 ngày")))))))</f>
        <v/>
      </c>
      <c r="J33" s="51">
        <f>IF($A33="","",IF(COUNTIF($A$7:$A$206,$A33)&gt;1,"TRÙNG MÃ",IF(OR($B33="",$C33="",$D33&lt;0,$E33&lt;0,$F33&lt;0),"KIỂM TRA DỮ LIỆU",IF(AND($F33&gt;0,$G33=""),"THIẾU HẠN DƯ ĐẦU KỲ","OK"))))</f>
        <v/>
      </c>
    </row>
    <row r="34">
      <c r="A34" s="47" t="n"/>
      <c r="B34" s="41" t="n"/>
      <c r="C34" s="47" t="n"/>
      <c r="D34" s="207" t="n"/>
      <c r="E34" s="208" t="n"/>
      <c r="F34" s="207" t="n"/>
      <c r="G34" s="209" t="n"/>
      <c r="H34" s="210">
        <f>IF($A34="","",MAX(0,$F34-SUMIFS('02_NHAT_KY'!$H$7:$H$506,'02_NHAT_KY'!$C$7:$C$506,$A34,'02_NHAT_KY'!$A$7:$A$506,"&lt;="&amp;'03_BAO_CAO'!$E$4)))</f>
        <v/>
      </c>
      <c r="I34" s="51">
        <f>IF($A34="","",IF($H34&lt;=0,"Đã thanh toán",IF($G34="","Thiếu hạn",IF($G34&gt;='03_BAO_CAO'!$E$4,"Chưa đến hạn",IF('03_BAO_CAO'!$E$4-$G34&lt;=30,"1-30 ngày",IF('03_BAO_CAO'!$E$4-$G34&lt;=60,"31-60 ngày",IF('03_BAO_CAO'!$E$4-$G34&lt;=90,"61-90 ngày","Trên 90 ngày")))))))</f>
        <v/>
      </c>
      <c r="J34" s="51">
        <f>IF($A34="","",IF(COUNTIF($A$7:$A$206,$A34)&gt;1,"TRÙNG MÃ",IF(OR($B34="",$C34="",$D34&lt;0,$E34&lt;0,$F34&lt;0),"KIỂM TRA DỮ LIỆU",IF(AND($F34&gt;0,$G34=""),"THIẾU HẠN DƯ ĐẦU KỲ","OK"))))</f>
        <v/>
      </c>
    </row>
    <row r="35">
      <c r="A35" s="47" t="n"/>
      <c r="B35" s="41" t="n"/>
      <c r="C35" s="47" t="n"/>
      <c r="D35" s="207" t="n"/>
      <c r="E35" s="208" t="n"/>
      <c r="F35" s="207" t="n"/>
      <c r="G35" s="209" t="n"/>
      <c r="H35" s="210">
        <f>IF($A35="","",MAX(0,$F35-SUMIFS('02_NHAT_KY'!$H$7:$H$506,'02_NHAT_KY'!$C$7:$C$506,$A35,'02_NHAT_KY'!$A$7:$A$506,"&lt;="&amp;'03_BAO_CAO'!$E$4)))</f>
        <v/>
      </c>
      <c r="I35" s="51">
        <f>IF($A35="","",IF($H35&lt;=0,"Đã thanh toán",IF($G35="","Thiếu hạn",IF($G35&gt;='03_BAO_CAO'!$E$4,"Chưa đến hạn",IF('03_BAO_CAO'!$E$4-$G35&lt;=30,"1-30 ngày",IF('03_BAO_CAO'!$E$4-$G35&lt;=60,"31-60 ngày",IF('03_BAO_CAO'!$E$4-$G35&lt;=90,"61-90 ngày","Trên 90 ngày")))))))</f>
        <v/>
      </c>
      <c r="J35" s="51">
        <f>IF($A35="","",IF(COUNTIF($A$7:$A$206,$A35)&gt;1,"TRÙNG MÃ",IF(OR($B35="",$C35="",$D35&lt;0,$E35&lt;0,$F35&lt;0),"KIỂM TRA DỮ LIỆU",IF(AND($F35&gt;0,$G35=""),"THIẾU HẠN DƯ ĐẦU KỲ","OK"))))</f>
        <v/>
      </c>
    </row>
    <row r="36">
      <c r="A36" s="47" t="n"/>
      <c r="B36" s="41" t="n"/>
      <c r="C36" s="47" t="n"/>
      <c r="D36" s="207" t="n"/>
      <c r="E36" s="208" t="n"/>
      <c r="F36" s="207" t="n"/>
      <c r="G36" s="209" t="n"/>
      <c r="H36" s="210">
        <f>IF($A36="","",MAX(0,$F36-SUMIFS('02_NHAT_KY'!$H$7:$H$506,'02_NHAT_KY'!$C$7:$C$506,$A36,'02_NHAT_KY'!$A$7:$A$506,"&lt;="&amp;'03_BAO_CAO'!$E$4)))</f>
        <v/>
      </c>
      <c r="I36" s="51">
        <f>IF($A36="","",IF($H36&lt;=0,"Đã thanh toán",IF($G36="","Thiếu hạn",IF($G36&gt;='03_BAO_CAO'!$E$4,"Chưa đến hạn",IF('03_BAO_CAO'!$E$4-$G36&lt;=30,"1-30 ngày",IF('03_BAO_CAO'!$E$4-$G36&lt;=60,"31-60 ngày",IF('03_BAO_CAO'!$E$4-$G36&lt;=90,"61-90 ngày","Trên 90 ngày")))))))</f>
        <v/>
      </c>
      <c r="J36" s="51">
        <f>IF($A36="","",IF(COUNTIF($A$7:$A$206,$A36)&gt;1,"TRÙNG MÃ",IF(OR($B36="",$C36="",$D36&lt;0,$E36&lt;0,$F36&lt;0),"KIỂM TRA DỮ LIỆU",IF(AND($F36&gt;0,$G36=""),"THIẾU HẠN DƯ ĐẦU KỲ","OK"))))</f>
        <v/>
      </c>
    </row>
    <row r="37">
      <c r="A37" s="47" t="n"/>
      <c r="B37" s="41" t="n"/>
      <c r="C37" s="47" t="n"/>
      <c r="D37" s="207" t="n"/>
      <c r="E37" s="208" t="n"/>
      <c r="F37" s="207" t="n"/>
      <c r="G37" s="209" t="n"/>
      <c r="H37" s="210">
        <f>IF($A37="","",MAX(0,$F37-SUMIFS('02_NHAT_KY'!$H$7:$H$506,'02_NHAT_KY'!$C$7:$C$506,$A37,'02_NHAT_KY'!$A$7:$A$506,"&lt;="&amp;'03_BAO_CAO'!$E$4)))</f>
        <v/>
      </c>
      <c r="I37" s="51">
        <f>IF($A37="","",IF($H37&lt;=0,"Đã thanh toán",IF($G37="","Thiếu hạn",IF($G37&gt;='03_BAO_CAO'!$E$4,"Chưa đến hạn",IF('03_BAO_CAO'!$E$4-$G37&lt;=30,"1-30 ngày",IF('03_BAO_CAO'!$E$4-$G37&lt;=60,"31-60 ngày",IF('03_BAO_CAO'!$E$4-$G37&lt;=90,"61-90 ngày","Trên 90 ngày")))))))</f>
        <v/>
      </c>
      <c r="J37" s="51">
        <f>IF($A37="","",IF(COUNTIF($A$7:$A$206,$A37)&gt;1,"TRÙNG MÃ",IF(OR($B37="",$C37="",$D37&lt;0,$E37&lt;0,$F37&lt;0),"KIỂM TRA DỮ LIỆU",IF(AND($F37&gt;0,$G37=""),"THIẾU HẠN DƯ ĐẦU KỲ","OK"))))</f>
        <v/>
      </c>
    </row>
    <row r="38">
      <c r="A38" s="47" t="n"/>
      <c r="B38" s="41" t="n"/>
      <c r="C38" s="47" t="n"/>
      <c r="D38" s="207" t="n"/>
      <c r="E38" s="208" t="n"/>
      <c r="F38" s="207" t="n"/>
      <c r="G38" s="209" t="n"/>
      <c r="H38" s="210">
        <f>IF($A38="","",MAX(0,$F38-SUMIFS('02_NHAT_KY'!$H$7:$H$506,'02_NHAT_KY'!$C$7:$C$506,$A38,'02_NHAT_KY'!$A$7:$A$506,"&lt;="&amp;'03_BAO_CAO'!$E$4)))</f>
        <v/>
      </c>
      <c r="I38" s="51">
        <f>IF($A38="","",IF($H38&lt;=0,"Đã thanh toán",IF($G38="","Thiếu hạn",IF($G38&gt;='03_BAO_CAO'!$E$4,"Chưa đến hạn",IF('03_BAO_CAO'!$E$4-$G38&lt;=30,"1-30 ngày",IF('03_BAO_CAO'!$E$4-$G38&lt;=60,"31-60 ngày",IF('03_BAO_CAO'!$E$4-$G38&lt;=90,"61-90 ngày","Trên 90 ngày")))))))</f>
        <v/>
      </c>
      <c r="J38" s="51">
        <f>IF($A38="","",IF(COUNTIF($A$7:$A$206,$A38)&gt;1,"TRÙNG MÃ",IF(OR($B38="",$C38="",$D38&lt;0,$E38&lt;0,$F38&lt;0),"KIỂM TRA DỮ LIỆU",IF(AND($F38&gt;0,$G38=""),"THIẾU HẠN DƯ ĐẦU KỲ","OK"))))</f>
        <v/>
      </c>
    </row>
    <row r="39">
      <c r="A39" s="47" t="n"/>
      <c r="B39" s="41" t="n"/>
      <c r="C39" s="47" t="n"/>
      <c r="D39" s="207" t="n"/>
      <c r="E39" s="208" t="n"/>
      <c r="F39" s="207" t="n"/>
      <c r="G39" s="209" t="n"/>
      <c r="H39" s="210">
        <f>IF($A39="","",MAX(0,$F39-SUMIFS('02_NHAT_KY'!$H$7:$H$506,'02_NHAT_KY'!$C$7:$C$506,$A39,'02_NHAT_KY'!$A$7:$A$506,"&lt;="&amp;'03_BAO_CAO'!$E$4)))</f>
        <v/>
      </c>
      <c r="I39" s="51">
        <f>IF($A39="","",IF($H39&lt;=0,"Đã thanh toán",IF($G39="","Thiếu hạn",IF($G39&gt;='03_BAO_CAO'!$E$4,"Chưa đến hạn",IF('03_BAO_CAO'!$E$4-$G39&lt;=30,"1-30 ngày",IF('03_BAO_CAO'!$E$4-$G39&lt;=60,"31-60 ngày",IF('03_BAO_CAO'!$E$4-$G39&lt;=90,"61-90 ngày","Trên 90 ngày")))))))</f>
        <v/>
      </c>
      <c r="J39" s="51">
        <f>IF($A39="","",IF(COUNTIF($A$7:$A$206,$A39)&gt;1,"TRÙNG MÃ",IF(OR($B39="",$C39="",$D39&lt;0,$E39&lt;0,$F39&lt;0),"KIỂM TRA DỮ LIỆU",IF(AND($F39&gt;0,$G39=""),"THIẾU HẠN DƯ ĐẦU KỲ","OK"))))</f>
        <v/>
      </c>
    </row>
    <row r="40">
      <c r="A40" s="47" t="n"/>
      <c r="B40" s="41" t="n"/>
      <c r="C40" s="47" t="n"/>
      <c r="D40" s="207" t="n"/>
      <c r="E40" s="208" t="n"/>
      <c r="F40" s="207" t="n"/>
      <c r="G40" s="209" t="n"/>
      <c r="H40" s="210">
        <f>IF($A40="","",MAX(0,$F40-SUMIFS('02_NHAT_KY'!$H$7:$H$506,'02_NHAT_KY'!$C$7:$C$506,$A40,'02_NHAT_KY'!$A$7:$A$506,"&lt;="&amp;'03_BAO_CAO'!$E$4)))</f>
        <v/>
      </c>
      <c r="I40" s="51">
        <f>IF($A40="","",IF($H40&lt;=0,"Đã thanh toán",IF($G40="","Thiếu hạn",IF($G40&gt;='03_BAO_CAO'!$E$4,"Chưa đến hạn",IF('03_BAO_CAO'!$E$4-$G40&lt;=30,"1-30 ngày",IF('03_BAO_CAO'!$E$4-$G40&lt;=60,"31-60 ngày",IF('03_BAO_CAO'!$E$4-$G40&lt;=90,"61-90 ngày","Trên 90 ngày")))))))</f>
        <v/>
      </c>
      <c r="J40" s="51">
        <f>IF($A40="","",IF(COUNTIF($A$7:$A$206,$A40)&gt;1,"TRÙNG MÃ",IF(OR($B40="",$C40="",$D40&lt;0,$E40&lt;0,$F40&lt;0),"KIỂM TRA DỮ LIỆU",IF(AND($F40&gt;0,$G40=""),"THIẾU HẠN DƯ ĐẦU KỲ","OK"))))</f>
        <v/>
      </c>
    </row>
    <row r="41">
      <c r="A41" s="47" t="n"/>
      <c r="B41" s="41" t="n"/>
      <c r="C41" s="47" t="n"/>
      <c r="D41" s="207" t="n"/>
      <c r="E41" s="208" t="n"/>
      <c r="F41" s="207" t="n"/>
      <c r="G41" s="209" t="n"/>
      <c r="H41" s="210">
        <f>IF($A41="","",MAX(0,$F41-SUMIFS('02_NHAT_KY'!$H$7:$H$506,'02_NHAT_KY'!$C$7:$C$506,$A41,'02_NHAT_KY'!$A$7:$A$506,"&lt;="&amp;'03_BAO_CAO'!$E$4)))</f>
        <v/>
      </c>
      <c r="I41" s="51">
        <f>IF($A41="","",IF($H41&lt;=0,"Đã thanh toán",IF($G41="","Thiếu hạn",IF($G41&gt;='03_BAO_CAO'!$E$4,"Chưa đến hạn",IF('03_BAO_CAO'!$E$4-$G41&lt;=30,"1-30 ngày",IF('03_BAO_CAO'!$E$4-$G41&lt;=60,"31-60 ngày",IF('03_BAO_CAO'!$E$4-$G41&lt;=90,"61-90 ngày","Trên 90 ngày")))))))</f>
        <v/>
      </c>
      <c r="J41" s="51">
        <f>IF($A41="","",IF(COUNTIF($A$7:$A$206,$A41)&gt;1,"TRÙNG MÃ",IF(OR($B41="",$C41="",$D41&lt;0,$E41&lt;0,$F41&lt;0),"KIỂM TRA DỮ LIỆU",IF(AND($F41&gt;0,$G41=""),"THIẾU HẠN DƯ ĐẦU KỲ","OK"))))</f>
        <v/>
      </c>
    </row>
    <row r="42">
      <c r="A42" s="47" t="n"/>
      <c r="B42" s="41" t="n"/>
      <c r="C42" s="47" t="n"/>
      <c r="D42" s="207" t="n"/>
      <c r="E42" s="208" t="n"/>
      <c r="F42" s="207" t="n"/>
      <c r="G42" s="209" t="n"/>
      <c r="H42" s="210">
        <f>IF($A42="","",MAX(0,$F42-SUMIFS('02_NHAT_KY'!$H$7:$H$506,'02_NHAT_KY'!$C$7:$C$506,$A42,'02_NHAT_KY'!$A$7:$A$506,"&lt;="&amp;'03_BAO_CAO'!$E$4)))</f>
        <v/>
      </c>
      <c r="I42" s="51">
        <f>IF($A42="","",IF($H42&lt;=0,"Đã thanh toán",IF($G42="","Thiếu hạn",IF($G42&gt;='03_BAO_CAO'!$E$4,"Chưa đến hạn",IF('03_BAO_CAO'!$E$4-$G42&lt;=30,"1-30 ngày",IF('03_BAO_CAO'!$E$4-$G42&lt;=60,"31-60 ngày",IF('03_BAO_CAO'!$E$4-$G42&lt;=90,"61-90 ngày","Trên 90 ngày")))))))</f>
        <v/>
      </c>
      <c r="J42" s="51">
        <f>IF($A42="","",IF(COUNTIF($A$7:$A$206,$A42)&gt;1,"TRÙNG MÃ",IF(OR($B42="",$C42="",$D42&lt;0,$E42&lt;0,$F42&lt;0),"KIỂM TRA DỮ LIỆU",IF(AND($F42&gt;0,$G42=""),"THIẾU HẠN DƯ ĐẦU KỲ","OK"))))</f>
        <v/>
      </c>
    </row>
    <row r="43">
      <c r="A43" s="47" t="n"/>
      <c r="B43" s="41" t="n"/>
      <c r="C43" s="47" t="n"/>
      <c r="D43" s="207" t="n"/>
      <c r="E43" s="208" t="n"/>
      <c r="F43" s="207" t="n"/>
      <c r="G43" s="209" t="n"/>
      <c r="H43" s="210">
        <f>IF($A43="","",MAX(0,$F43-SUMIFS('02_NHAT_KY'!$H$7:$H$506,'02_NHAT_KY'!$C$7:$C$506,$A43,'02_NHAT_KY'!$A$7:$A$506,"&lt;="&amp;'03_BAO_CAO'!$E$4)))</f>
        <v/>
      </c>
      <c r="I43" s="51">
        <f>IF($A43="","",IF($H43&lt;=0,"Đã thanh toán",IF($G43="","Thiếu hạn",IF($G43&gt;='03_BAO_CAO'!$E$4,"Chưa đến hạn",IF('03_BAO_CAO'!$E$4-$G43&lt;=30,"1-30 ngày",IF('03_BAO_CAO'!$E$4-$G43&lt;=60,"31-60 ngày",IF('03_BAO_CAO'!$E$4-$G43&lt;=90,"61-90 ngày","Trên 90 ngày")))))))</f>
        <v/>
      </c>
      <c r="J43" s="51">
        <f>IF($A43="","",IF(COUNTIF($A$7:$A$206,$A43)&gt;1,"TRÙNG MÃ",IF(OR($B43="",$C43="",$D43&lt;0,$E43&lt;0,$F43&lt;0),"KIỂM TRA DỮ LIỆU",IF(AND($F43&gt;0,$G43=""),"THIẾU HẠN DƯ ĐẦU KỲ","OK"))))</f>
        <v/>
      </c>
    </row>
    <row r="44">
      <c r="A44" s="47" t="n"/>
      <c r="B44" s="41" t="n"/>
      <c r="C44" s="47" t="n"/>
      <c r="D44" s="207" t="n"/>
      <c r="E44" s="208" t="n"/>
      <c r="F44" s="207" t="n"/>
      <c r="G44" s="209" t="n"/>
      <c r="H44" s="210">
        <f>IF($A44="","",MAX(0,$F44-SUMIFS('02_NHAT_KY'!$H$7:$H$506,'02_NHAT_KY'!$C$7:$C$506,$A44,'02_NHAT_KY'!$A$7:$A$506,"&lt;="&amp;'03_BAO_CAO'!$E$4)))</f>
        <v/>
      </c>
      <c r="I44" s="51">
        <f>IF($A44="","",IF($H44&lt;=0,"Đã thanh toán",IF($G44="","Thiếu hạn",IF($G44&gt;='03_BAO_CAO'!$E$4,"Chưa đến hạn",IF('03_BAO_CAO'!$E$4-$G44&lt;=30,"1-30 ngày",IF('03_BAO_CAO'!$E$4-$G44&lt;=60,"31-60 ngày",IF('03_BAO_CAO'!$E$4-$G44&lt;=90,"61-90 ngày","Trên 90 ngày")))))))</f>
        <v/>
      </c>
      <c r="J44" s="51">
        <f>IF($A44="","",IF(COUNTIF($A$7:$A$206,$A44)&gt;1,"TRÙNG MÃ",IF(OR($B44="",$C44="",$D44&lt;0,$E44&lt;0,$F44&lt;0),"KIỂM TRA DỮ LIỆU",IF(AND($F44&gt;0,$G44=""),"THIẾU HẠN DƯ ĐẦU KỲ","OK"))))</f>
        <v/>
      </c>
    </row>
    <row r="45">
      <c r="A45" s="47" t="n"/>
      <c r="B45" s="41" t="n"/>
      <c r="C45" s="47" t="n"/>
      <c r="D45" s="207" t="n"/>
      <c r="E45" s="208" t="n"/>
      <c r="F45" s="207" t="n"/>
      <c r="G45" s="209" t="n"/>
      <c r="H45" s="210">
        <f>IF($A45="","",MAX(0,$F45-SUMIFS('02_NHAT_KY'!$H$7:$H$506,'02_NHAT_KY'!$C$7:$C$506,$A45,'02_NHAT_KY'!$A$7:$A$506,"&lt;="&amp;'03_BAO_CAO'!$E$4)))</f>
        <v/>
      </c>
      <c r="I45" s="51">
        <f>IF($A45="","",IF($H45&lt;=0,"Đã thanh toán",IF($G45="","Thiếu hạn",IF($G45&gt;='03_BAO_CAO'!$E$4,"Chưa đến hạn",IF('03_BAO_CAO'!$E$4-$G45&lt;=30,"1-30 ngày",IF('03_BAO_CAO'!$E$4-$G45&lt;=60,"31-60 ngày",IF('03_BAO_CAO'!$E$4-$G45&lt;=90,"61-90 ngày","Trên 90 ngày")))))))</f>
        <v/>
      </c>
      <c r="J45" s="51">
        <f>IF($A45="","",IF(COUNTIF($A$7:$A$206,$A45)&gt;1,"TRÙNG MÃ",IF(OR($B45="",$C45="",$D45&lt;0,$E45&lt;0,$F45&lt;0),"KIỂM TRA DỮ LIỆU",IF(AND($F45&gt;0,$G45=""),"THIẾU HẠN DƯ ĐẦU KỲ","OK"))))</f>
        <v/>
      </c>
    </row>
    <row r="46">
      <c r="A46" s="47" t="n"/>
      <c r="B46" s="41" t="n"/>
      <c r="C46" s="47" t="n"/>
      <c r="D46" s="207" t="n"/>
      <c r="E46" s="208" t="n"/>
      <c r="F46" s="207" t="n"/>
      <c r="G46" s="209" t="n"/>
      <c r="H46" s="210">
        <f>IF($A46="","",MAX(0,$F46-SUMIFS('02_NHAT_KY'!$H$7:$H$506,'02_NHAT_KY'!$C$7:$C$506,$A46,'02_NHAT_KY'!$A$7:$A$506,"&lt;="&amp;'03_BAO_CAO'!$E$4)))</f>
        <v/>
      </c>
      <c r="I46" s="51">
        <f>IF($A46="","",IF($H46&lt;=0,"Đã thanh toán",IF($G46="","Thiếu hạn",IF($G46&gt;='03_BAO_CAO'!$E$4,"Chưa đến hạn",IF('03_BAO_CAO'!$E$4-$G46&lt;=30,"1-30 ngày",IF('03_BAO_CAO'!$E$4-$G46&lt;=60,"31-60 ngày",IF('03_BAO_CAO'!$E$4-$G46&lt;=90,"61-90 ngày","Trên 90 ngày")))))))</f>
        <v/>
      </c>
      <c r="J46" s="51">
        <f>IF($A46="","",IF(COUNTIF($A$7:$A$206,$A46)&gt;1,"TRÙNG MÃ",IF(OR($B46="",$C46="",$D46&lt;0,$E46&lt;0,$F46&lt;0),"KIỂM TRA DỮ LIỆU",IF(AND($F46&gt;0,$G46=""),"THIẾU HẠN DƯ ĐẦU KỲ","OK"))))</f>
        <v/>
      </c>
    </row>
    <row r="47">
      <c r="A47" s="47" t="n"/>
      <c r="B47" s="41" t="n"/>
      <c r="C47" s="47" t="n"/>
      <c r="D47" s="207" t="n"/>
      <c r="E47" s="208" t="n"/>
      <c r="F47" s="207" t="n"/>
      <c r="G47" s="209" t="n"/>
      <c r="H47" s="210">
        <f>IF($A47="","",MAX(0,$F47-SUMIFS('02_NHAT_KY'!$H$7:$H$506,'02_NHAT_KY'!$C$7:$C$506,$A47,'02_NHAT_KY'!$A$7:$A$506,"&lt;="&amp;'03_BAO_CAO'!$E$4)))</f>
        <v/>
      </c>
      <c r="I47" s="51">
        <f>IF($A47="","",IF($H47&lt;=0,"Đã thanh toán",IF($G47="","Thiếu hạn",IF($G47&gt;='03_BAO_CAO'!$E$4,"Chưa đến hạn",IF('03_BAO_CAO'!$E$4-$G47&lt;=30,"1-30 ngày",IF('03_BAO_CAO'!$E$4-$G47&lt;=60,"31-60 ngày",IF('03_BAO_CAO'!$E$4-$G47&lt;=90,"61-90 ngày","Trên 90 ngày")))))))</f>
        <v/>
      </c>
      <c r="J47" s="51">
        <f>IF($A47="","",IF(COUNTIF($A$7:$A$206,$A47)&gt;1,"TRÙNG MÃ",IF(OR($B47="",$C47="",$D47&lt;0,$E47&lt;0,$F47&lt;0),"KIỂM TRA DỮ LIỆU",IF(AND($F47&gt;0,$G47=""),"THIẾU HẠN DƯ ĐẦU KỲ","OK"))))</f>
        <v/>
      </c>
    </row>
    <row r="48">
      <c r="A48" s="47" t="n"/>
      <c r="B48" s="41" t="n"/>
      <c r="C48" s="47" t="n"/>
      <c r="D48" s="207" t="n"/>
      <c r="E48" s="208" t="n"/>
      <c r="F48" s="207" t="n"/>
      <c r="G48" s="209" t="n"/>
      <c r="H48" s="210">
        <f>IF($A48="","",MAX(0,$F48-SUMIFS('02_NHAT_KY'!$H$7:$H$506,'02_NHAT_KY'!$C$7:$C$506,$A48,'02_NHAT_KY'!$A$7:$A$506,"&lt;="&amp;'03_BAO_CAO'!$E$4)))</f>
        <v/>
      </c>
      <c r="I48" s="51">
        <f>IF($A48="","",IF($H48&lt;=0,"Đã thanh toán",IF($G48="","Thiếu hạn",IF($G48&gt;='03_BAO_CAO'!$E$4,"Chưa đến hạn",IF('03_BAO_CAO'!$E$4-$G48&lt;=30,"1-30 ngày",IF('03_BAO_CAO'!$E$4-$G48&lt;=60,"31-60 ngày",IF('03_BAO_CAO'!$E$4-$G48&lt;=90,"61-90 ngày","Trên 90 ngày")))))))</f>
        <v/>
      </c>
      <c r="J48" s="51">
        <f>IF($A48="","",IF(COUNTIF($A$7:$A$206,$A48)&gt;1,"TRÙNG MÃ",IF(OR($B48="",$C48="",$D48&lt;0,$E48&lt;0,$F48&lt;0),"KIỂM TRA DỮ LIỆU",IF(AND($F48&gt;0,$G48=""),"THIẾU HẠN DƯ ĐẦU KỲ","OK"))))</f>
        <v/>
      </c>
    </row>
    <row r="49">
      <c r="A49" s="47" t="n"/>
      <c r="B49" s="41" t="n"/>
      <c r="C49" s="47" t="n"/>
      <c r="D49" s="207" t="n"/>
      <c r="E49" s="208" t="n"/>
      <c r="F49" s="207" t="n"/>
      <c r="G49" s="209" t="n"/>
      <c r="H49" s="210">
        <f>IF($A49="","",MAX(0,$F49-SUMIFS('02_NHAT_KY'!$H$7:$H$506,'02_NHAT_KY'!$C$7:$C$506,$A49,'02_NHAT_KY'!$A$7:$A$506,"&lt;="&amp;'03_BAO_CAO'!$E$4)))</f>
        <v/>
      </c>
      <c r="I49" s="51">
        <f>IF($A49="","",IF($H49&lt;=0,"Đã thanh toán",IF($G49="","Thiếu hạn",IF($G49&gt;='03_BAO_CAO'!$E$4,"Chưa đến hạn",IF('03_BAO_CAO'!$E$4-$G49&lt;=30,"1-30 ngày",IF('03_BAO_CAO'!$E$4-$G49&lt;=60,"31-60 ngày",IF('03_BAO_CAO'!$E$4-$G49&lt;=90,"61-90 ngày","Trên 90 ngày")))))))</f>
        <v/>
      </c>
      <c r="J49" s="51">
        <f>IF($A49="","",IF(COUNTIF($A$7:$A$206,$A49)&gt;1,"TRÙNG MÃ",IF(OR($B49="",$C49="",$D49&lt;0,$E49&lt;0,$F49&lt;0),"KIỂM TRA DỮ LIỆU",IF(AND($F49&gt;0,$G49=""),"THIẾU HẠN DƯ ĐẦU KỲ","OK"))))</f>
        <v/>
      </c>
    </row>
    <row r="50">
      <c r="A50" s="47" t="n"/>
      <c r="B50" s="41" t="n"/>
      <c r="C50" s="47" t="n"/>
      <c r="D50" s="207" t="n"/>
      <c r="E50" s="208" t="n"/>
      <c r="F50" s="207" t="n"/>
      <c r="G50" s="209" t="n"/>
      <c r="H50" s="210">
        <f>IF($A50="","",MAX(0,$F50-SUMIFS('02_NHAT_KY'!$H$7:$H$506,'02_NHAT_KY'!$C$7:$C$506,$A50,'02_NHAT_KY'!$A$7:$A$506,"&lt;="&amp;'03_BAO_CAO'!$E$4)))</f>
        <v/>
      </c>
      <c r="I50" s="51">
        <f>IF($A50="","",IF($H50&lt;=0,"Đã thanh toán",IF($G50="","Thiếu hạn",IF($G50&gt;='03_BAO_CAO'!$E$4,"Chưa đến hạn",IF('03_BAO_CAO'!$E$4-$G50&lt;=30,"1-30 ngày",IF('03_BAO_CAO'!$E$4-$G50&lt;=60,"31-60 ngày",IF('03_BAO_CAO'!$E$4-$G50&lt;=90,"61-90 ngày","Trên 90 ngày")))))))</f>
        <v/>
      </c>
      <c r="J50" s="51">
        <f>IF($A50="","",IF(COUNTIF($A$7:$A$206,$A50)&gt;1,"TRÙNG MÃ",IF(OR($B50="",$C50="",$D50&lt;0,$E50&lt;0,$F50&lt;0),"KIỂM TRA DỮ LIỆU",IF(AND($F50&gt;0,$G50=""),"THIẾU HẠN DƯ ĐẦU KỲ","OK"))))</f>
        <v/>
      </c>
    </row>
    <row r="51">
      <c r="A51" s="47" t="n"/>
      <c r="B51" s="41" t="n"/>
      <c r="C51" s="47" t="n"/>
      <c r="D51" s="207" t="n"/>
      <c r="E51" s="208" t="n"/>
      <c r="F51" s="207" t="n"/>
      <c r="G51" s="209" t="n"/>
      <c r="H51" s="210">
        <f>IF($A51="","",MAX(0,$F51-SUMIFS('02_NHAT_KY'!$H$7:$H$506,'02_NHAT_KY'!$C$7:$C$506,$A51,'02_NHAT_KY'!$A$7:$A$506,"&lt;="&amp;'03_BAO_CAO'!$E$4)))</f>
        <v/>
      </c>
      <c r="I51" s="51">
        <f>IF($A51="","",IF($H51&lt;=0,"Đã thanh toán",IF($G51="","Thiếu hạn",IF($G51&gt;='03_BAO_CAO'!$E$4,"Chưa đến hạn",IF('03_BAO_CAO'!$E$4-$G51&lt;=30,"1-30 ngày",IF('03_BAO_CAO'!$E$4-$G51&lt;=60,"31-60 ngày",IF('03_BAO_CAO'!$E$4-$G51&lt;=90,"61-90 ngày","Trên 90 ngày")))))))</f>
        <v/>
      </c>
      <c r="J51" s="51">
        <f>IF($A51="","",IF(COUNTIF($A$7:$A$206,$A51)&gt;1,"TRÙNG MÃ",IF(OR($B51="",$C51="",$D51&lt;0,$E51&lt;0,$F51&lt;0),"KIỂM TRA DỮ LIỆU",IF(AND($F51&gt;0,$G51=""),"THIẾU HẠN DƯ ĐẦU KỲ","OK"))))</f>
        <v/>
      </c>
    </row>
    <row r="52">
      <c r="A52" s="47" t="n"/>
      <c r="B52" s="41" t="n"/>
      <c r="C52" s="47" t="n"/>
      <c r="D52" s="207" t="n"/>
      <c r="E52" s="208" t="n"/>
      <c r="F52" s="207" t="n"/>
      <c r="G52" s="209" t="n"/>
      <c r="H52" s="210">
        <f>IF($A52="","",MAX(0,$F52-SUMIFS('02_NHAT_KY'!$H$7:$H$506,'02_NHAT_KY'!$C$7:$C$506,$A52,'02_NHAT_KY'!$A$7:$A$506,"&lt;="&amp;'03_BAO_CAO'!$E$4)))</f>
        <v/>
      </c>
      <c r="I52" s="51">
        <f>IF($A52="","",IF($H52&lt;=0,"Đã thanh toán",IF($G52="","Thiếu hạn",IF($G52&gt;='03_BAO_CAO'!$E$4,"Chưa đến hạn",IF('03_BAO_CAO'!$E$4-$G52&lt;=30,"1-30 ngày",IF('03_BAO_CAO'!$E$4-$G52&lt;=60,"31-60 ngày",IF('03_BAO_CAO'!$E$4-$G52&lt;=90,"61-90 ngày","Trên 90 ngày")))))))</f>
        <v/>
      </c>
      <c r="J52" s="51">
        <f>IF($A52="","",IF(COUNTIF($A$7:$A$206,$A52)&gt;1,"TRÙNG MÃ",IF(OR($B52="",$C52="",$D52&lt;0,$E52&lt;0,$F52&lt;0),"KIỂM TRA DỮ LIỆU",IF(AND($F52&gt;0,$G52=""),"THIẾU HẠN DƯ ĐẦU KỲ","OK"))))</f>
        <v/>
      </c>
    </row>
    <row r="53">
      <c r="A53" s="47" t="n"/>
      <c r="B53" s="41" t="n"/>
      <c r="C53" s="47" t="n"/>
      <c r="D53" s="207" t="n"/>
      <c r="E53" s="208" t="n"/>
      <c r="F53" s="207" t="n"/>
      <c r="G53" s="209" t="n"/>
      <c r="H53" s="210">
        <f>IF($A53="","",MAX(0,$F53-SUMIFS('02_NHAT_KY'!$H$7:$H$506,'02_NHAT_KY'!$C$7:$C$506,$A53,'02_NHAT_KY'!$A$7:$A$506,"&lt;="&amp;'03_BAO_CAO'!$E$4)))</f>
        <v/>
      </c>
      <c r="I53" s="51">
        <f>IF($A53="","",IF($H53&lt;=0,"Đã thanh toán",IF($G53="","Thiếu hạn",IF($G53&gt;='03_BAO_CAO'!$E$4,"Chưa đến hạn",IF('03_BAO_CAO'!$E$4-$G53&lt;=30,"1-30 ngày",IF('03_BAO_CAO'!$E$4-$G53&lt;=60,"31-60 ngày",IF('03_BAO_CAO'!$E$4-$G53&lt;=90,"61-90 ngày","Trên 90 ngày")))))))</f>
        <v/>
      </c>
      <c r="J53" s="51">
        <f>IF($A53="","",IF(COUNTIF($A$7:$A$206,$A53)&gt;1,"TRÙNG MÃ",IF(OR($B53="",$C53="",$D53&lt;0,$E53&lt;0,$F53&lt;0),"KIỂM TRA DỮ LIỆU",IF(AND($F53&gt;0,$G53=""),"THIẾU HẠN DƯ ĐẦU KỲ","OK"))))</f>
        <v/>
      </c>
    </row>
    <row r="54">
      <c r="A54" s="47" t="n"/>
      <c r="B54" s="41" t="n"/>
      <c r="C54" s="47" t="n"/>
      <c r="D54" s="207" t="n"/>
      <c r="E54" s="208" t="n"/>
      <c r="F54" s="207" t="n"/>
      <c r="G54" s="209" t="n"/>
      <c r="H54" s="210">
        <f>IF($A54="","",MAX(0,$F54-SUMIFS('02_NHAT_KY'!$H$7:$H$506,'02_NHAT_KY'!$C$7:$C$506,$A54,'02_NHAT_KY'!$A$7:$A$506,"&lt;="&amp;'03_BAO_CAO'!$E$4)))</f>
        <v/>
      </c>
      <c r="I54" s="51">
        <f>IF($A54="","",IF($H54&lt;=0,"Đã thanh toán",IF($G54="","Thiếu hạn",IF($G54&gt;='03_BAO_CAO'!$E$4,"Chưa đến hạn",IF('03_BAO_CAO'!$E$4-$G54&lt;=30,"1-30 ngày",IF('03_BAO_CAO'!$E$4-$G54&lt;=60,"31-60 ngày",IF('03_BAO_CAO'!$E$4-$G54&lt;=90,"61-90 ngày","Trên 90 ngày")))))))</f>
        <v/>
      </c>
      <c r="J54" s="51">
        <f>IF($A54="","",IF(COUNTIF($A$7:$A$206,$A54)&gt;1,"TRÙNG MÃ",IF(OR($B54="",$C54="",$D54&lt;0,$E54&lt;0,$F54&lt;0),"KIỂM TRA DỮ LIỆU",IF(AND($F54&gt;0,$G54=""),"THIẾU HẠN DƯ ĐẦU KỲ","OK"))))</f>
        <v/>
      </c>
    </row>
    <row r="55">
      <c r="A55" s="47" t="n"/>
      <c r="B55" s="41" t="n"/>
      <c r="C55" s="47" t="n"/>
      <c r="D55" s="207" t="n"/>
      <c r="E55" s="208" t="n"/>
      <c r="F55" s="207" t="n"/>
      <c r="G55" s="209" t="n"/>
      <c r="H55" s="210">
        <f>IF($A55="","",MAX(0,$F55-SUMIFS('02_NHAT_KY'!$H$7:$H$506,'02_NHAT_KY'!$C$7:$C$506,$A55,'02_NHAT_KY'!$A$7:$A$506,"&lt;="&amp;'03_BAO_CAO'!$E$4)))</f>
        <v/>
      </c>
      <c r="I55" s="51">
        <f>IF($A55="","",IF($H55&lt;=0,"Đã thanh toán",IF($G55="","Thiếu hạn",IF($G55&gt;='03_BAO_CAO'!$E$4,"Chưa đến hạn",IF('03_BAO_CAO'!$E$4-$G55&lt;=30,"1-30 ngày",IF('03_BAO_CAO'!$E$4-$G55&lt;=60,"31-60 ngày",IF('03_BAO_CAO'!$E$4-$G55&lt;=90,"61-90 ngày","Trên 90 ngày")))))))</f>
        <v/>
      </c>
      <c r="J55" s="51">
        <f>IF($A55="","",IF(COUNTIF($A$7:$A$206,$A55)&gt;1,"TRÙNG MÃ",IF(OR($B55="",$C55="",$D55&lt;0,$E55&lt;0,$F55&lt;0),"KIỂM TRA DỮ LIỆU",IF(AND($F55&gt;0,$G55=""),"THIẾU HẠN DƯ ĐẦU KỲ","OK"))))</f>
        <v/>
      </c>
    </row>
    <row r="56">
      <c r="A56" s="47" t="n"/>
      <c r="B56" s="41" t="n"/>
      <c r="C56" s="47" t="n"/>
      <c r="D56" s="207" t="n"/>
      <c r="E56" s="208" t="n"/>
      <c r="F56" s="207" t="n"/>
      <c r="G56" s="209" t="n"/>
      <c r="H56" s="210">
        <f>IF($A56="","",MAX(0,$F56-SUMIFS('02_NHAT_KY'!$H$7:$H$506,'02_NHAT_KY'!$C$7:$C$506,$A56,'02_NHAT_KY'!$A$7:$A$506,"&lt;="&amp;'03_BAO_CAO'!$E$4)))</f>
        <v/>
      </c>
      <c r="I56" s="51">
        <f>IF($A56="","",IF($H56&lt;=0,"Đã thanh toán",IF($G56="","Thiếu hạn",IF($G56&gt;='03_BAO_CAO'!$E$4,"Chưa đến hạn",IF('03_BAO_CAO'!$E$4-$G56&lt;=30,"1-30 ngày",IF('03_BAO_CAO'!$E$4-$G56&lt;=60,"31-60 ngày",IF('03_BAO_CAO'!$E$4-$G56&lt;=90,"61-90 ngày","Trên 90 ngày")))))))</f>
        <v/>
      </c>
      <c r="J56" s="51">
        <f>IF($A56="","",IF(COUNTIF($A$7:$A$206,$A56)&gt;1,"TRÙNG MÃ",IF(OR($B56="",$C56="",$D56&lt;0,$E56&lt;0,$F56&lt;0),"KIỂM TRA DỮ LIỆU",IF(AND($F56&gt;0,$G56=""),"THIẾU HẠN DƯ ĐẦU KỲ","OK"))))</f>
        <v/>
      </c>
    </row>
    <row r="57">
      <c r="A57" s="47" t="n"/>
      <c r="B57" s="41" t="n"/>
      <c r="C57" s="47" t="n"/>
      <c r="D57" s="207" t="n"/>
      <c r="E57" s="208" t="n"/>
      <c r="F57" s="207" t="n"/>
      <c r="G57" s="209" t="n"/>
      <c r="H57" s="210">
        <f>IF($A57="","",MAX(0,$F57-SUMIFS('02_NHAT_KY'!$H$7:$H$506,'02_NHAT_KY'!$C$7:$C$506,$A57,'02_NHAT_KY'!$A$7:$A$506,"&lt;="&amp;'03_BAO_CAO'!$E$4)))</f>
        <v/>
      </c>
      <c r="I57" s="51">
        <f>IF($A57="","",IF($H57&lt;=0,"Đã thanh toán",IF($G57="","Thiếu hạn",IF($G57&gt;='03_BAO_CAO'!$E$4,"Chưa đến hạn",IF('03_BAO_CAO'!$E$4-$G57&lt;=30,"1-30 ngày",IF('03_BAO_CAO'!$E$4-$G57&lt;=60,"31-60 ngày",IF('03_BAO_CAO'!$E$4-$G57&lt;=90,"61-90 ngày","Trên 90 ngày")))))))</f>
        <v/>
      </c>
      <c r="J57" s="51">
        <f>IF($A57="","",IF(COUNTIF($A$7:$A$206,$A57)&gt;1,"TRÙNG MÃ",IF(OR($B57="",$C57="",$D57&lt;0,$E57&lt;0,$F57&lt;0),"KIỂM TRA DỮ LIỆU",IF(AND($F57&gt;0,$G57=""),"THIẾU HẠN DƯ ĐẦU KỲ","OK"))))</f>
        <v/>
      </c>
    </row>
    <row r="58">
      <c r="A58" s="47" t="n"/>
      <c r="B58" s="41" t="n"/>
      <c r="C58" s="47" t="n"/>
      <c r="D58" s="207" t="n"/>
      <c r="E58" s="208" t="n"/>
      <c r="F58" s="207" t="n"/>
      <c r="G58" s="209" t="n"/>
      <c r="H58" s="210">
        <f>IF($A58="","",MAX(0,$F58-SUMIFS('02_NHAT_KY'!$H$7:$H$506,'02_NHAT_KY'!$C$7:$C$506,$A58,'02_NHAT_KY'!$A$7:$A$506,"&lt;="&amp;'03_BAO_CAO'!$E$4)))</f>
        <v/>
      </c>
      <c r="I58" s="51">
        <f>IF($A58="","",IF($H58&lt;=0,"Đã thanh toán",IF($G58="","Thiếu hạn",IF($G58&gt;='03_BAO_CAO'!$E$4,"Chưa đến hạn",IF('03_BAO_CAO'!$E$4-$G58&lt;=30,"1-30 ngày",IF('03_BAO_CAO'!$E$4-$G58&lt;=60,"31-60 ngày",IF('03_BAO_CAO'!$E$4-$G58&lt;=90,"61-90 ngày","Trên 90 ngày")))))))</f>
        <v/>
      </c>
      <c r="J58" s="51">
        <f>IF($A58="","",IF(COUNTIF($A$7:$A$206,$A58)&gt;1,"TRÙNG MÃ",IF(OR($B58="",$C58="",$D58&lt;0,$E58&lt;0,$F58&lt;0),"KIỂM TRA DỮ LIỆU",IF(AND($F58&gt;0,$G58=""),"THIẾU HẠN DƯ ĐẦU KỲ","OK"))))</f>
        <v/>
      </c>
    </row>
    <row r="59">
      <c r="A59" s="47" t="n"/>
      <c r="B59" s="41" t="n"/>
      <c r="C59" s="47" t="n"/>
      <c r="D59" s="207" t="n"/>
      <c r="E59" s="208" t="n"/>
      <c r="F59" s="207" t="n"/>
      <c r="G59" s="209" t="n"/>
      <c r="H59" s="210">
        <f>IF($A59="","",MAX(0,$F59-SUMIFS('02_NHAT_KY'!$H$7:$H$506,'02_NHAT_KY'!$C$7:$C$506,$A59,'02_NHAT_KY'!$A$7:$A$506,"&lt;="&amp;'03_BAO_CAO'!$E$4)))</f>
        <v/>
      </c>
      <c r="I59" s="51">
        <f>IF($A59="","",IF($H59&lt;=0,"Đã thanh toán",IF($G59="","Thiếu hạn",IF($G59&gt;='03_BAO_CAO'!$E$4,"Chưa đến hạn",IF('03_BAO_CAO'!$E$4-$G59&lt;=30,"1-30 ngày",IF('03_BAO_CAO'!$E$4-$G59&lt;=60,"31-60 ngày",IF('03_BAO_CAO'!$E$4-$G59&lt;=90,"61-90 ngày","Trên 90 ngày")))))))</f>
        <v/>
      </c>
      <c r="J59" s="51">
        <f>IF($A59="","",IF(COUNTIF($A$7:$A$206,$A59)&gt;1,"TRÙNG MÃ",IF(OR($B59="",$C59="",$D59&lt;0,$E59&lt;0,$F59&lt;0),"KIỂM TRA DỮ LIỆU",IF(AND($F59&gt;0,$G59=""),"THIẾU HẠN DƯ ĐẦU KỲ","OK"))))</f>
        <v/>
      </c>
    </row>
    <row r="60">
      <c r="A60" s="47" t="n"/>
      <c r="B60" s="41" t="n"/>
      <c r="C60" s="47" t="n"/>
      <c r="D60" s="207" t="n"/>
      <c r="E60" s="208" t="n"/>
      <c r="F60" s="207" t="n"/>
      <c r="G60" s="209" t="n"/>
      <c r="H60" s="210">
        <f>IF($A60="","",MAX(0,$F60-SUMIFS('02_NHAT_KY'!$H$7:$H$506,'02_NHAT_KY'!$C$7:$C$506,$A60,'02_NHAT_KY'!$A$7:$A$506,"&lt;="&amp;'03_BAO_CAO'!$E$4)))</f>
        <v/>
      </c>
      <c r="I60" s="51">
        <f>IF($A60="","",IF($H60&lt;=0,"Đã thanh toán",IF($G60="","Thiếu hạn",IF($G60&gt;='03_BAO_CAO'!$E$4,"Chưa đến hạn",IF('03_BAO_CAO'!$E$4-$G60&lt;=30,"1-30 ngày",IF('03_BAO_CAO'!$E$4-$G60&lt;=60,"31-60 ngày",IF('03_BAO_CAO'!$E$4-$G60&lt;=90,"61-90 ngày","Trên 90 ngày")))))))</f>
        <v/>
      </c>
      <c r="J60" s="51">
        <f>IF($A60="","",IF(COUNTIF($A$7:$A$206,$A60)&gt;1,"TRÙNG MÃ",IF(OR($B60="",$C60="",$D60&lt;0,$E60&lt;0,$F60&lt;0),"KIỂM TRA DỮ LIỆU",IF(AND($F60&gt;0,$G60=""),"THIẾU HẠN DƯ ĐẦU KỲ","OK"))))</f>
        <v/>
      </c>
    </row>
    <row r="61">
      <c r="A61" s="47" t="n"/>
      <c r="B61" s="41" t="n"/>
      <c r="C61" s="47" t="n"/>
      <c r="D61" s="207" t="n"/>
      <c r="E61" s="208" t="n"/>
      <c r="F61" s="207" t="n"/>
      <c r="G61" s="209" t="n"/>
      <c r="H61" s="210">
        <f>IF($A61="","",MAX(0,$F61-SUMIFS('02_NHAT_KY'!$H$7:$H$506,'02_NHAT_KY'!$C$7:$C$506,$A61,'02_NHAT_KY'!$A$7:$A$506,"&lt;="&amp;'03_BAO_CAO'!$E$4)))</f>
        <v/>
      </c>
      <c r="I61" s="51">
        <f>IF($A61="","",IF($H61&lt;=0,"Đã thanh toán",IF($G61="","Thiếu hạn",IF($G61&gt;='03_BAO_CAO'!$E$4,"Chưa đến hạn",IF('03_BAO_CAO'!$E$4-$G61&lt;=30,"1-30 ngày",IF('03_BAO_CAO'!$E$4-$G61&lt;=60,"31-60 ngày",IF('03_BAO_CAO'!$E$4-$G61&lt;=90,"61-90 ngày","Trên 90 ngày")))))))</f>
        <v/>
      </c>
      <c r="J61" s="51">
        <f>IF($A61="","",IF(COUNTIF($A$7:$A$206,$A61)&gt;1,"TRÙNG MÃ",IF(OR($B61="",$C61="",$D61&lt;0,$E61&lt;0,$F61&lt;0),"KIỂM TRA DỮ LIỆU",IF(AND($F61&gt;0,$G61=""),"THIẾU HẠN DƯ ĐẦU KỲ","OK"))))</f>
        <v/>
      </c>
    </row>
    <row r="62">
      <c r="A62" s="47" t="n"/>
      <c r="B62" s="41" t="n"/>
      <c r="C62" s="47" t="n"/>
      <c r="D62" s="207" t="n"/>
      <c r="E62" s="208" t="n"/>
      <c r="F62" s="207" t="n"/>
      <c r="G62" s="209" t="n"/>
      <c r="H62" s="210">
        <f>IF($A62="","",MAX(0,$F62-SUMIFS('02_NHAT_KY'!$H$7:$H$506,'02_NHAT_KY'!$C$7:$C$506,$A62,'02_NHAT_KY'!$A$7:$A$506,"&lt;="&amp;'03_BAO_CAO'!$E$4)))</f>
        <v/>
      </c>
      <c r="I62" s="51">
        <f>IF($A62="","",IF($H62&lt;=0,"Đã thanh toán",IF($G62="","Thiếu hạn",IF($G62&gt;='03_BAO_CAO'!$E$4,"Chưa đến hạn",IF('03_BAO_CAO'!$E$4-$G62&lt;=30,"1-30 ngày",IF('03_BAO_CAO'!$E$4-$G62&lt;=60,"31-60 ngày",IF('03_BAO_CAO'!$E$4-$G62&lt;=90,"61-90 ngày","Trên 90 ngày")))))))</f>
        <v/>
      </c>
      <c r="J62" s="51">
        <f>IF($A62="","",IF(COUNTIF($A$7:$A$206,$A62)&gt;1,"TRÙNG MÃ",IF(OR($B62="",$C62="",$D62&lt;0,$E62&lt;0,$F62&lt;0),"KIỂM TRA DỮ LIỆU",IF(AND($F62&gt;0,$G62=""),"THIẾU HẠN DƯ ĐẦU KỲ","OK"))))</f>
        <v/>
      </c>
    </row>
    <row r="63">
      <c r="A63" s="47" t="n"/>
      <c r="B63" s="41" t="n"/>
      <c r="C63" s="47" t="n"/>
      <c r="D63" s="207" t="n"/>
      <c r="E63" s="208" t="n"/>
      <c r="F63" s="207" t="n"/>
      <c r="G63" s="209" t="n"/>
      <c r="H63" s="210">
        <f>IF($A63="","",MAX(0,$F63-SUMIFS('02_NHAT_KY'!$H$7:$H$506,'02_NHAT_KY'!$C$7:$C$506,$A63,'02_NHAT_KY'!$A$7:$A$506,"&lt;="&amp;'03_BAO_CAO'!$E$4)))</f>
        <v/>
      </c>
      <c r="I63" s="51">
        <f>IF($A63="","",IF($H63&lt;=0,"Đã thanh toán",IF($G63="","Thiếu hạn",IF($G63&gt;='03_BAO_CAO'!$E$4,"Chưa đến hạn",IF('03_BAO_CAO'!$E$4-$G63&lt;=30,"1-30 ngày",IF('03_BAO_CAO'!$E$4-$G63&lt;=60,"31-60 ngày",IF('03_BAO_CAO'!$E$4-$G63&lt;=90,"61-90 ngày","Trên 90 ngày")))))))</f>
        <v/>
      </c>
      <c r="J63" s="51">
        <f>IF($A63="","",IF(COUNTIF($A$7:$A$206,$A63)&gt;1,"TRÙNG MÃ",IF(OR($B63="",$C63="",$D63&lt;0,$E63&lt;0,$F63&lt;0),"KIỂM TRA DỮ LIỆU",IF(AND($F63&gt;0,$G63=""),"THIẾU HẠN DƯ ĐẦU KỲ","OK"))))</f>
        <v/>
      </c>
    </row>
    <row r="64">
      <c r="A64" s="47" t="n"/>
      <c r="B64" s="41" t="n"/>
      <c r="C64" s="47" t="n"/>
      <c r="D64" s="207" t="n"/>
      <c r="E64" s="208" t="n"/>
      <c r="F64" s="207" t="n"/>
      <c r="G64" s="209" t="n"/>
      <c r="H64" s="210">
        <f>IF($A64="","",MAX(0,$F64-SUMIFS('02_NHAT_KY'!$H$7:$H$506,'02_NHAT_KY'!$C$7:$C$506,$A64,'02_NHAT_KY'!$A$7:$A$506,"&lt;="&amp;'03_BAO_CAO'!$E$4)))</f>
        <v/>
      </c>
      <c r="I64" s="51">
        <f>IF($A64="","",IF($H64&lt;=0,"Đã thanh toán",IF($G64="","Thiếu hạn",IF($G64&gt;='03_BAO_CAO'!$E$4,"Chưa đến hạn",IF('03_BAO_CAO'!$E$4-$G64&lt;=30,"1-30 ngày",IF('03_BAO_CAO'!$E$4-$G64&lt;=60,"31-60 ngày",IF('03_BAO_CAO'!$E$4-$G64&lt;=90,"61-90 ngày","Trên 90 ngày")))))))</f>
        <v/>
      </c>
      <c r="J64" s="51">
        <f>IF($A64="","",IF(COUNTIF($A$7:$A$206,$A64)&gt;1,"TRÙNG MÃ",IF(OR($B64="",$C64="",$D64&lt;0,$E64&lt;0,$F64&lt;0),"KIỂM TRA DỮ LIỆU",IF(AND($F64&gt;0,$G64=""),"THIẾU HẠN DƯ ĐẦU KỲ","OK"))))</f>
        <v/>
      </c>
    </row>
    <row r="65">
      <c r="A65" s="47" t="n"/>
      <c r="B65" s="41" t="n"/>
      <c r="C65" s="47" t="n"/>
      <c r="D65" s="207" t="n"/>
      <c r="E65" s="208" t="n"/>
      <c r="F65" s="207" t="n"/>
      <c r="G65" s="209" t="n"/>
      <c r="H65" s="210">
        <f>IF($A65="","",MAX(0,$F65-SUMIFS('02_NHAT_KY'!$H$7:$H$506,'02_NHAT_KY'!$C$7:$C$506,$A65,'02_NHAT_KY'!$A$7:$A$506,"&lt;="&amp;'03_BAO_CAO'!$E$4)))</f>
        <v/>
      </c>
      <c r="I65" s="51">
        <f>IF($A65="","",IF($H65&lt;=0,"Đã thanh toán",IF($G65="","Thiếu hạn",IF($G65&gt;='03_BAO_CAO'!$E$4,"Chưa đến hạn",IF('03_BAO_CAO'!$E$4-$G65&lt;=30,"1-30 ngày",IF('03_BAO_CAO'!$E$4-$G65&lt;=60,"31-60 ngày",IF('03_BAO_CAO'!$E$4-$G65&lt;=90,"61-90 ngày","Trên 90 ngày")))))))</f>
        <v/>
      </c>
      <c r="J65" s="51">
        <f>IF($A65="","",IF(COUNTIF($A$7:$A$206,$A65)&gt;1,"TRÙNG MÃ",IF(OR($B65="",$C65="",$D65&lt;0,$E65&lt;0,$F65&lt;0),"KIỂM TRA DỮ LIỆU",IF(AND($F65&gt;0,$G65=""),"THIẾU HẠN DƯ ĐẦU KỲ","OK"))))</f>
        <v/>
      </c>
    </row>
    <row r="66">
      <c r="A66" s="47" t="n"/>
      <c r="B66" s="41" t="n"/>
      <c r="C66" s="47" t="n"/>
      <c r="D66" s="207" t="n"/>
      <c r="E66" s="208" t="n"/>
      <c r="F66" s="207" t="n"/>
      <c r="G66" s="209" t="n"/>
      <c r="H66" s="210">
        <f>IF($A66="","",MAX(0,$F66-SUMIFS('02_NHAT_KY'!$H$7:$H$506,'02_NHAT_KY'!$C$7:$C$506,$A66,'02_NHAT_KY'!$A$7:$A$506,"&lt;="&amp;'03_BAO_CAO'!$E$4)))</f>
        <v/>
      </c>
      <c r="I66" s="51">
        <f>IF($A66="","",IF($H66&lt;=0,"Đã thanh toán",IF($G66="","Thiếu hạn",IF($G66&gt;='03_BAO_CAO'!$E$4,"Chưa đến hạn",IF('03_BAO_CAO'!$E$4-$G66&lt;=30,"1-30 ngày",IF('03_BAO_CAO'!$E$4-$G66&lt;=60,"31-60 ngày",IF('03_BAO_CAO'!$E$4-$G66&lt;=90,"61-90 ngày","Trên 90 ngày")))))))</f>
        <v/>
      </c>
      <c r="J66" s="51">
        <f>IF($A66="","",IF(COUNTIF($A$7:$A$206,$A66)&gt;1,"TRÙNG MÃ",IF(OR($B66="",$C66="",$D66&lt;0,$E66&lt;0,$F66&lt;0),"KIỂM TRA DỮ LIỆU",IF(AND($F66&gt;0,$G66=""),"THIẾU HẠN DƯ ĐẦU KỲ","OK"))))</f>
        <v/>
      </c>
    </row>
    <row r="67">
      <c r="A67" s="47" t="n"/>
      <c r="B67" s="41" t="n"/>
      <c r="C67" s="47" t="n"/>
      <c r="D67" s="207" t="n"/>
      <c r="E67" s="208" t="n"/>
      <c r="F67" s="207" t="n"/>
      <c r="G67" s="209" t="n"/>
      <c r="H67" s="210">
        <f>IF($A67="","",MAX(0,$F67-SUMIFS('02_NHAT_KY'!$H$7:$H$506,'02_NHAT_KY'!$C$7:$C$506,$A67,'02_NHAT_KY'!$A$7:$A$506,"&lt;="&amp;'03_BAO_CAO'!$E$4)))</f>
        <v/>
      </c>
      <c r="I67" s="51">
        <f>IF($A67="","",IF($H67&lt;=0,"Đã thanh toán",IF($G67="","Thiếu hạn",IF($G67&gt;='03_BAO_CAO'!$E$4,"Chưa đến hạn",IF('03_BAO_CAO'!$E$4-$G67&lt;=30,"1-30 ngày",IF('03_BAO_CAO'!$E$4-$G67&lt;=60,"31-60 ngày",IF('03_BAO_CAO'!$E$4-$G67&lt;=90,"61-90 ngày","Trên 90 ngày")))))))</f>
        <v/>
      </c>
      <c r="J67" s="51">
        <f>IF($A67="","",IF(COUNTIF($A$7:$A$206,$A67)&gt;1,"TRÙNG MÃ",IF(OR($B67="",$C67="",$D67&lt;0,$E67&lt;0,$F67&lt;0),"KIỂM TRA DỮ LIỆU",IF(AND($F67&gt;0,$G67=""),"THIẾU HẠN DƯ ĐẦU KỲ","OK"))))</f>
        <v/>
      </c>
    </row>
    <row r="68">
      <c r="A68" s="47" t="n"/>
      <c r="B68" s="41" t="n"/>
      <c r="C68" s="47" t="n"/>
      <c r="D68" s="207" t="n"/>
      <c r="E68" s="208" t="n"/>
      <c r="F68" s="207" t="n"/>
      <c r="G68" s="209" t="n"/>
      <c r="H68" s="210">
        <f>IF($A68="","",MAX(0,$F68-SUMIFS('02_NHAT_KY'!$H$7:$H$506,'02_NHAT_KY'!$C$7:$C$506,$A68,'02_NHAT_KY'!$A$7:$A$506,"&lt;="&amp;'03_BAO_CAO'!$E$4)))</f>
        <v/>
      </c>
      <c r="I68" s="51">
        <f>IF($A68="","",IF($H68&lt;=0,"Đã thanh toán",IF($G68="","Thiếu hạn",IF($G68&gt;='03_BAO_CAO'!$E$4,"Chưa đến hạn",IF('03_BAO_CAO'!$E$4-$G68&lt;=30,"1-30 ngày",IF('03_BAO_CAO'!$E$4-$G68&lt;=60,"31-60 ngày",IF('03_BAO_CAO'!$E$4-$G68&lt;=90,"61-90 ngày","Trên 90 ngày")))))))</f>
        <v/>
      </c>
      <c r="J68" s="51">
        <f>IF($A68="","",IF(COUNTIF($A$7:$A$206,$A68)&gt;1,"TRÙNG MÃ",IF(OR($B68="",$C68="",$D68&lt;0,$E68&lt;0,$F68&lt;0),"KIỂM TRA DỮ LIỆU",IF(AND($F68&gt;0,$G68=""),"THIẾU HẠN DƯ ĐẦU KỲ","OK"))))</f>
        <v/>
      </c>
    </row>
    <row r="69">
      <c r="A69" s="47" t="n"/>
      <c r="B69" s="41" t="n"/>
      <c r="C69" s="47" t="n"/>
      <c r="D69" s="207" t="n"/>
      <c r="E69" s="208" t="n"/>
      <c r="F69" s="207" t="n"/>
      <c r="G69" s="209" t="n"/>
      <c r="H69" s="210">
        <f>IF($A69="","",MAX(0,$F69-SUMIFS('02_NHAT_KY'!$H$7:$H$506,'02_NHAT_KY'!$C$7:$C$506,$A69,'02_NHAT_KY'!$A$7:$A$506,"&lt;="&amp;'03_BAO_CAO'!$E$4)))</f>
        <v/>
      </c>
      <c r="I69" s="51">
        <f>IF($A69="","",IF($H69&lt;=0,"Đã thanh toán",IF($G69="","Thiếu hạn",IF($G69&gt;='03_BAO_CAO'!$E$4,"Chưa đến hạn",IF('03_BAO_CAO'!$E$4-$G69&lt;=30,"1-30 ngày",IF('03_BAO_CAO'!$E$4-$G69&lt;=60,"31-60 ngày",IF('03_BAO_CAO'!$E$4-$G69&lt;=90,"61-90 ngày","Trên 90 ngày")))))))</f>
        <v/>
      </c>
      <c r="J69" s="51">
        <f>IF($A69="","",IF(COUNTIF($A$7:$A$206,$A69)&gt;1,"TRÙNG MÃ",IF(OR($B69="",$C69="",$D69&lt;0,$E69&lt;0,$F69&lt;0),"KIỂM TRA DỮ LIỆU",IF(AND($F69&gt;0,$G69=""),"THIẾU HẠN DƯ ĐẦU KỲ","OK"))))</f>
        <v/>
      </c>
    </row>
    <row r="70">
      <c r="A70" s="47" t="n"/>
      <c r="B70" s="41" t="n"/>
      <c r="C70" s="47" t="n"/>
      <c r="D70" s="207" t="n"/>
      <c r="E70" s="208" t="n"/>
      <c r="F70" s="207" t="n"/>
      <c r="G70" s="209" t="n"/>
      <c r="H70" s="210">
        <f>IF($A70="","",MAX(0,$F70-SUMIFS('02_NHAT_KY'!$H$7:$H$506,'02_NHAT_KY'!$C$7:$C$506,$A70,'02_NHAT_KY'!$A$7:$A$506,"&lt;="&amp;'03_BAO_CAO'!$E$4)))</f>
        <v/>
      </c>
      <c r="I70" s="51">
        <f>IF($A70="","",IF($H70&lt;=0,"Đã thanh toán",IF($G70="","Thiếu hạn",IF($G70&gt;='03_BAO_CAO'!$E$4,"Chưa đến hạn",IF('03_BAO_CAO'!$E$4-$G70&lt;=30,"1-30 ngày",IF('03_BAO_CAO'!$E$4-$G70&lt;=60,"31-60 ngày",IF('03_BAO_CAO'!$E$4-$G70&lt;=90,"61-90 ngày","Trên 90 ngày")))))))</f>
        <v/>
      </c>
      <c r="J70" s="51">
        <f>IF($A70="","",IF(COUNTIF($A$7:$A$206,$A70)&gt;1,"TRÙNG MÃ",IF(OR($B70="",$C70="",$D70&lt;0,$E70&lt;0,$F70&lt;0),"KIỂM TRA DỮ LIỆU",IF(AND($F70&gt;0,$G70=""),"THIẾU HẠN DƯ ĐẦU KỲ","OK"))))</f>
        <v/>
      </c>
    </row>
    <row r="71">
      <c r="A71" s="47" t="n"/>
      <c r="B71" s="41" t="n"/>
      <c r="C71" s="47" t="n"/>
      <c r="D71" s="207" t="n"/>
      <c r="E71" s="208" t="n"/>
      <c r="F71" s="207" t="n"/>
      <c r="G71" s="209" t="n"/>
      <c r="H71" s="210">
        <f>IF($A71="","",MAX(0,$F71-SUMIFS('02_NHAT_KY'!$H$7:$H$506,'02_NHAT_KY'!$C$7:$C$506,$A71,'02_NHAT_KY'!$A$7:$A$506,"&lt;="&amp;'03_BAO_CAO'!$E$4)))</f>
        <v/>
      </c>
      <c r="I71" s="51">
        <f>IF($A71="","",IF($H71&lt;=0,"Đã thanh toán",IF($G71="","Thiếu hạn",IF($G71&gt;='03_BAO_CAO'!$E$4,"Chưa đến hạn",IF('03_BAO_CAO'!$E$4-$G71&lt;=30,"1-30 ngày",IF('03_BAO_CAO'!$E$4-$G71&lt;=60,"31-60 ngày",IF('03_BAO_CAO'!$E$4-$G71&lt;=90,"61-90 ngày","Trên 90 ngày")))))))</f>
        <v/>
      </c>
      <c r="J71" s="51">
        <f>IF($A71="","",IF(COUNTIF($A$7:$A$206,$A71)&gt;1,"TRÙNG MÃ",IF(OR($B71="",$C71="",$D71&lt;0,$E71&lt;0,$F71&lt;0),"KIỂM TRA DỮ LIỆU",IF(AND($F71&gt;0,$G71=""),"THIẾU HẠN DƯ ĐẦU KỲ","OK"))))</f>
        <v/>
      </c>
    </row>
    <row r="72">
      <c r="A72" s="47" t="n"/>
      <c r="B72" s="41" t="n"/>
      <c r="C72" s="47" t="n"/>
      <c r="D72" s="207" t="n"/>
      <c r="E72" s="208" t="n"/>
      <c r="F72" s="207" t="n"/>
      <c r="G72" s="209" t="n"/>
      <c r="H72" s="210">
        <f>IF($A72="","",MAX(0,$F72-SUMIFS('02_NHAT_KY'!$H$7:$H$506,'02_NHAT_KY'!$C$7:$C$506,$A72,'02_NHAT_KY'!$A$7:$A$506,"&lt;="&amp;'03_BAO_CAO'!$E$4)))</f>
        <v/>
      </c>
      <c r="I72" s="51">
        <f>IF($A72="","",IF($H72&lt;=0,"Đã thanh toán",IF($G72="","Thiếu hạn",IF($G72&gt;='03_BAO_CAO'!$E$4,"Chưa đến hạn",IF('03_BAO_CAO'!$E$4-$G72&lt;=30,"1-30 ngày",IF('03_BAO_CAO'!$E$4-$G72&lt;=60,"31-60 ngày",IF('03_BAO_CAO'!$E$4-$G72&lt;=90,"61-90 ngày","Trên 90 ngày")))))))</f>
        <v/>
      </c>
      <c r="J72" s="51">
        <f>IF($A72="","",IF(COUNTIF($A$7:$A$206,$A72)&gt;1,"TRÙNG MÃ",IF(OR($B72="",$C72="",$D72&lt;0,$E72&lt;0,$F72&lt;0),"KIỂM TRA DỮ LIỆU",IF(AND($F72&gt;0,$G72=""),"THIẾU HẠN DƯ ĐẦU KỲ","OK"))))</f>
        <v/>
      </c>
    </row>
    <row r="73">
      <c r="A73" s="47" t="n"/>
      <c r="B73" s="41" t="n"/>
      <c r="C73" s="47" t="n"/>
      <c r="D73" s="207" t="n"/>
      <c r="E73" s="208" t="n"/>
      <c r="F73" s="207" t="n"/>
      <c r="G73" s="209" t="n"/>
      <c r="H73" s="210">
        <f>IF($A73="","",MAX(0,$F73-SUMIFS('02_NHAT_KY'!$H$7:$H$506,'02_NHAT_KY'!$C$7:$C$506,$A73,'02_NHAT_KY'!$A$7:$A$506,"&lt;="&amp;'03_BAO_CAO'!$E$4)))</f>
        <v/>
      </c>
      <c r="I73" s="51">
        <f>IF($A73="","",IF($H73&lt;=0,"Đã thanh toán",IF($G73="","Thiếu hạn",IF($G73&gt;='03_BAO_CAO'!$E$4,"Chưa đến hạn",IF('03_BAO_CAO'!$E$4-$G73&lt;=30,"1-30 ngày",IF('03_BAO_CAO'!$E$4-$G73&lt;=60,"31-60 ngày",IF('03_BAO_CAO'!$E$4-$G73&lt;=90,"61-90 ngày","Trên 90 ngày")))))))</f>
        <v/>
      </c>
      <c r="J73" s="51">
        <f>IF($A73="","",IF(COUNTIF($A$7:$A$206,$A73)&gt;1,"TRÙNG MÃ",IF(OR($B73="",$C73="",$D73&lt;0,$E73&lt;0,$F73&lt;0),"KIỂM TRA DỮ LIỆU",IF(AND($F73&gt;0,$G73=""),"THIẾU HẠN DƯ ĐẦU KỲ","OK"))))</f>
        <v/>
      </c>
    </row>
    <row r="74">
      <c r="A74" s="47" t="n"/>
      <c r="B74" s="41" t="n"/>
      <c r="C74" s="47" t="n"/>
      <c r="D74" s="207" t="n"/>
      <c r="E74" s="208" t="n"/>
      <c r="F74" s="207" t="n"/>
      <c r="G74" s="209" t="n"/>
      <c r="H74" s="210">
        <f>IF($A74="","",MAX(0,$F74-SUMIFS('02_NHAT_KY'!$H$7:$H$506,'02_NHAT_KY'!$C$7:$C$506,$A74,'02_NHAT_KY'!$A$7:$A$506,"&lt;="&amp;'03_BAO_CAO'!$E$4)))</f>
        <v/>
      </c>
      <c r="I74" s="51">
        <f>IF($A74="","",IF($H74&lt;=0,"Đã thanh toán",IF($G74="","Thiếu hạn",IF($G74&gt;='03_BAO_CAO'!$E$4,"Chưa đến hạn",IF('03_BAO_CAO'!$E$4-$G74&lt;=30,"1-30 ngày",IF('03_BAO_CAO'!$E$4-$G74&lt;=60,"31-60 ngày",IF('03_BAO_CAO'!$E$4-$G74&lt;=90,"61-90 ngày","Trên 90 ngày")))))))</f>
        <v/>
      </c>
      <c r="J74" s="51">
        <f>IF($A74="","",IF(COUNTIF($A$7:$A$206,$A74)&gt;1,"TRÙNG MÃ",IF(OR($B74="",$C74="",$D74&lt;0,$E74&lt;0,$F74&lt;0),"KIỂM TRA DỮ LIỆU",IF(AND($F74&gt;0,$G74=""),"THIẾU HẠN DƯ ĐẦU KỲ","OK"))))</f>
        <v/>
      </c>
    </row>
    <row r="75">
      <c r="A75" s="47" t="n"/>
      <c r="B75" s="41" t="n"/>
      <c r="C75" s="47" t="n"/>
      <c r="D75" s="207" t="n"/>
      <c r="E75" s="208" t="n"/>
      <c r="F75" s="207" t="n"/>
      <c r="G75" s="209" t="n"/>
      <c r="H75" s="210">
        <f>IF($A75="","",MAX(0,$F75-SUMIFS('02_NHAT_KY'!$H$7:$H$506,'02_NHAT_KY'!$C$7:$C$506,$A75,'02_NHAT_KY'!$A$7:$A$506,"&lt;="&amp;'03_BAO_CAO'!$E$4)))</f>
        <v/>
      </c>
      <c r="I75" s="51">
        <f>IF($A75="","",IF($H75&lt;=0,"Đã thanh toán",IF($G75="","Thiếu hạn",IF($G75&gt;='03_BAO_CAO'!$E$4,"Chưa đến hạn",IF('03_BAO_CAO'!$E$4-$G75&lt;=30,"1-30 ngày",IF('03_BAO_CAO'!$E$4-$G75&lt;=60,"31-60 ngày",IF('03_BAO_CAO'!$E$4-$G75&lt;=90,"61-90 ngày","Trên 90 ngày")))))))</f>
        <v/>
      </c>
      <c r="J75" s="51">
        <f>IF($A75="","",IF(COUNTIF($A$7:$A$206,$A75)&gt;1,"TRÙNG MÃ",IF(OR($B75="",$C75="",$D75&lt;0,$E75&lt;0,$F75&lt;0),"KIỂM TRA DỮ LIỆU",IF(AND($F75&gt;0,$G75=""),"THIẾU HẠN DƯ ĐẦU KỲ","OK"))))</f>
        <v/>
      </c>
    </row>
    <row r="76">
      <c r="A76" s="47" t="n"/>
      <c r="B76" s="41" t="n"/>
      <c r="C76" s="47" t="n"/>
      <c r="D76" s="207" t="n"/>
      <c r="E76" s="208" t="n"/>
      <c r="F76" s="207" t="n"/>
      <c r="G76" s="209" t="n"/>
      <c r="H76" s="210">
        <f>IF($A76="","",MAX(0,$F76-SUMIFS('02_NHAT_KY'!$H$7:$H$506,'02_NHAT_KY'!$C$7:$C$506,$A76,'02_NHAT_KY'!$A$7:$A$506,"&lt;="&amp;'03_BAO_CAO'!$E$4)))</f>
        <v/>
      </c>
      <c r="I76" s="51">
        <f>IF($A76="","",IF($H76&lt;=0,"Đã thanh toán",IF($G76="","Thiếu hạn",IF($G76&gt;='03_BAO_CAO'!$E$4,"Chưa đến hạn",IF('03_BAO_CAO'!$E$4-$G76&lt;=30,"1-30 ngày",IF('03_BAO_CAO'!$E$4-$G76&lt;=60,"31-60 ngày",IF('03_BAO_CAO'!$E$4-$G76&lt;=90,"61-90 ngày","Trên 90 ngày")))))))</f>
        <v/>
      </c>
      <c r="J76" s="51">
        <f>IF($A76="","",IF(COUNTIF($A$7:$A$206,$A76)&gt;1,"TRÙNG MÃ",IF(OR($B76="",$C76="",$D76&lt;0,$E76&lt;0,$F76&lt;0),"KIỂM TRA DỮ LIỆU",IF(AND($F76&gt;0,$G76=""),"THIẾU HẠN DƯ ĐẦU KỲ","OK"))))</f>
        <v/>
      </c>
    </row>
    <row r="77">
      <c r="A77" s="47" t="n"/>
      <c r="B77" s="41" t="n"/>
      <c r="C77" s="47" t="n"/>
      <c r="D77" s="207" t="n"/>
      <c r="E77" s="208" t="n"/>
      <c r="F77" s="207" t="n"/>
      <c r="G77" s="209" t="n"/>
      <c r="H77" s="210">
        <f>IF($A77="","",MAX(0,$F77-SUMIFS('02_NHAT_KY'!$H$7:$H$506,'02_NHAT_KY'!$C$7:$C$506,$A77,'02_NHAT_KY'!$A$7:$A$506,"&lt;="&amp;'03_BAO_CAO'!$E$4)))</f>
        <v/>
      </c>
      <c r="I77" s="51">
        <f>IF($A77="","",IF($H77&lt;=0,"Đã thanh toán",IF($G77="","Thiếu hạn",IF($G77&gt;='03_BAO_CAO'!$E$4,"Chưa đến hạn",IF('03_BAO_CAO'!$E$4-$G77&lt;=30,"1-30 ngày",IF('03_BAO_CAO'!$E$4-$G77&lt;=60,"31-60 ngày",IF('03_BAO_CAO'!$E$4-$G77&lt;=90,"61-90 ngày","Trên 90 ngày")))))))</f>
        <v/>
      </c>
      <c r="J77" s="51">
        <f>IF($A77="","",IF(COUNTIF($A$7:$A$206,$A77)&gt;1,"TRÙNG MÃ",IF(OR($B77="",$C77="",$D77&lt;0,$E77&lt;0,$F77&lt;0),"KIỂM TRA DỮ LIỆU",IF(AND($F77&gt;0,$G77=""),"THIẾU HẠN DƯ ĐẦU KỲ","OK"))))</f>
        <v/>
      </c>
    </row>
    <row r="78">
      <c r="A78" s="47" t="n"/>
      <c r="B78" s="41" t="n"/>
      <c r="C78" s="47" t="n"/>
      <c r="D78" s="207" t="n"/>
      <c r="E78" s="208" t="n"/>
      <c r="F78" s="207" t="n"/>
      <c r="G78" s="209" t="n"/>
      <c r="H78" s="210">
        <f>IF($A78="","",MAX(0,$F78-SUMIFS('02_NHAT_KY'!$H$7:$H$506,'02_NHAT_KY'!$C$7:$C$506,$A78,'02_NHAT_KY'!$A$7:$A$506,"&lt;="&amp;'03_BAO_CAO'!$E$4)))</f>
        <v/>
      </c>
      <c r="I78" s="51">
        <f>IF($A78="","",IF($H78&lt;=0,"Đã thanh toán",IF($G78="","Thiếu hạn",IF($G78&gt;='03_BAO_CAO'!$E$4,"Chưa đến hạn",IF('03_BAO_CAO'!$E$4-$G78&lt;=30,"1-30 ngày",IF('03_BAO_CAO'!$E$4-$G78&lt;=60,"31-60 ngày",IF('03_BAO_CAO'!$E$4-$G78&lt;=90,"61-90 ngày","Trên 90 ngày")))))))</f>
        <v/>
      </c>
      <c r="J78" s="51">
        <f>IF($A78="","",IF(COUNTIF($A$7:$A$206,$A78)&gt;1,"TRÙNG MÃ",IF(OR($B78="",$C78="",$D78&lt;0,$E78&lt;0,$F78&lt;0),"KIỂM TRA DỮ LIỆU",IF(AND($F78&gt;0,$G78=""),"THIẾU HẠN DƯ ĐẦU KỲ","OK"))))</f>
        <v/>
      </c>
    </row>
    <row r="79">
      <c r="A79" s="47" t="n"/>
      <c r="B79" s="41" t="n"/>
      <c r="C79" s="47" t="n"/>
      <c r="D79" s="207" t="n"/>
      <c r="E79" s="208" t="n"/>
      <c r="F79" s="207" t="n"/>
      <c r="G79" s="209" t="n"/>
      <c r="H79" s="210">
        <f>IF($A79="","",MAX(0,$F79-SUMIFS('02_NHAT_KY'!$H$7:$H$506,'02_NHAT_KY'!$C$7:$C$506,$A79,'02_NHAT_KY'!$A$7:$A$506,"&lt;="&amp;'03_BAO_CAO'!$E$4)))</f>
        <v/>
      </c>
      <c r="I79" s="51">
        <f>IF($A79="","",IF($H79&lt;=0,"Đã thanh toán",IF($G79="","Thiếu hạn",IF($G79&gt;='03_BAO_CAO'!$E$4,"Chưa đến hạn",IF('03_BAO_CAO'!$E$4-$G79&lt;=30,"1-30 ngày",IF('03_BAO_CAO'!$E$4-$G79&lt;=60,"31-60 ngày",IF('03_BAO_CAO'!$E$4-$G79&lt;=90,"61-90 ngày","Trên 90 ngày")))))))</f>
        <v/>
      </c>
      <c r="J79" s="51">
        <f>IF($A79="","",IF(COUNTIF($A$7:$A$206,$A79)&gt;1,"TRÙNG MÃ",IF(OR($B79="",$C79="",$D79&lt;0,$E79&lt;0,$F79&lt;0),"KIỂM TRA DỮ LIỆU",IF(AND($F79&gt;0,$G79=""),"THIẾU HẠN DƯ ĐẦU KỲ","OK"))))</f>
        <v/>
      </c>
    </row>
    <row r="80">
      <c r="A80" s="47" t="n"/>
      <c r="B80" s="41" t="n"/>
      <c r="C80" s="47" t="n"/>
      <c r="D80" s="207" t="n"/>
      <c r="E80" s="208" t="n"/>
      <c r="F80" s="207" t="n"/>
      <c r="G80" s="209" t="n"/>
      <c r="H80" s="210">
        <f>IF($A80="","",MAX(0,$F80-SUMIFS('02_NHAT_KY'!$H$7:$H$506,'02_NHAT_KY'!$C$7:$C$506,$A80,'02_NHAT_KY'!$A$7:$A$506,"&lt;="&amp;'03_BAO_CAO'!$E$4)))</f>
        <v/>
      </c>
      <c r="I80" s="51">
        <f>IF($A80="","",IF($H80&lt;=0,"Đã thanh toán",IF($G80="","Thiếu hạn",IF($G80&gt;='03_BAO_CAO'!$E$4,"Chưa đến hạn",IF('03_BAO_CAO'!$E$4-$G80&lt;=30,"1-30 ngày",IF('03_BAO_CAO'!$E$4-$G80&lt;=60,"31-60 ngày",IF('03_BAO_CAO'!$E$4-$G80&lt;=90,"61-90 ngày","Trên 90 ngày")))))))</f>
        <v/>
      </c>
      <c r="J80" s="51">
        <f>IF($A80="","",IF(COUNTIF($A$7:$A$206,$A80)&gt;1,"TRÙNG MÃ",IF(OR($B80="",$C80="",$D80&lt;0,$E80&lt;0,$F80&lt;0),"KIỂM TRA DỮ LIỆU",IF(AND($F80&gt;0,$G80=""),"THIẾU HẠN DƯ ĐẦU KỲ","OK"))))</f>
        <v/>
      </c>
    </row>
    <row r="81">
      <c r="A81" s="47" t="n"/>
      <c r="B81" s="41" t="n"/>
      <c r="C81" s="47" t="n"/>
      <c r="D81" s="207" t="n"/>
      <c r="E81" s="208" t="n"/>
      <c r="F81" s="207" t="n"/>
      <c r="G81" s="209" t="n"/>
      <c r="H81" s="210">
        <f>IF($A81="","",MAX(0,$F81-SUMIFS('02_NHAT_KY'!$H$7:$H$506,'02_NHAT_KY'!$C$7:$C$506,$A81,'02_NHAT_KY'!$A$7:$A$506,"&lt;="&amp;'03_BAO_CAO'!$E$4)))</f>
        <v/>
      </c>
      <c r="I81" s="51">
        <f>IF($A81="","",IF($H81&lt;=0,"Đã thanh toán",IF($G81="","Thiếu hạn",IF($G81&gt;='03_BAO_CAO'!$E$4,"Chưa đến hạn",IF('03_BAO_CAO'!$E$4-$G81&lt;=30,"1-30 ngày",IF('03_BAO_CAO'!$E$4-$G81&lt;=60,"31-60 ngày",IF('03_BAO_CAO'!$E$4-$G81&lt;=90,"61-90 ngày","Trên 90 ngày")))))))</f>
        <v/>
      </c>
      <c r="J81" s="51">
        <f>IF($A81="","",IF(COUNTIF($A$7:$A$206,$A81)&gt;1,"TRÙNG MÃ",IF(OR($B81="",$C81="",$D81&lt;0,$E81&lt;0,$F81&lt;0),"KIỂM TRA DỮ LIỆU",IF(AND($F81&gt;0,$G81=""),"THIẾU HẠN DƯ ĐẦU KỲ","OK"))))</f>
        <v/>
      </c>
    </row>
    <row r="82">
      <c r="A82" s="47" t="n"/>
      <c r="B82" s="41" t="n"/>
      <c r="C82" s="47" t="n"/>
      <c r="D82" s="207" t="n"/>
      <c r="E82" s="208" t="n"/>
      <c r="F82" s="207" t="n"/>
      <c r="G82" s="209" t="n"/>
      <c r="H82" s="210">
        <f>IF($A82="","",MAX(0,$F82-SUMIFS('02_NHAT_KY'!$H$7:$H$506,'02_NHAT_KY'!$C$7:$C$506,$A82,'02_NHAT_KY'!$A$7:$A$506,"&lt;="&amp;'03_BAO_CAO'!$E$4)))</f>
        <v/>
      </c>
      <c r="I82" s="51">
        <f>IF($A82="","",IF($H82&lt;=0,"Đã thanh toán",IF($G82="","Thiếu hạn",IF($G82&gt;='03_BAO_CAO'!$E$4,"Chưa đến hạn",IF('03_BAO_CAO'!$E$4-$G82&lt;=30,"1-30 ngày",IF('03_BAO_CAO'!$E$4-$G82&lt;=60,"31-60 ngày",IF('03_BAO_CAO'!$E$4-$G82&lt;=90,"61-90 ngày","Trên 90 ngày")))))))</f>
        <v/>
      </c>
      <c r="J82" s="51">
        <f>IF($A82="","",IF(COUNTIF($A$7:$A$206,$A82)&gt;1,"TRÙNG MÃ",IF(OR($B82="",$C82="",$D82&lt;0,$E82&lt;0,$F82&lt;0),"KIỂM TRA DỮ LIỆU",IF(AND($F82&gt;0,$G82=""),"THIẾU HẠN DƯ ĐẦU KỲ","OK"))))</f>
        <v/>
      </c>
    </row>
    <row r="83">
      <c r="A83" s="47" t="n"/>
      <c r="B83" s="41" t="n"/>
      <c r="C83" s="47" t="n"/>
      <c r="D83" s="207" t="n"/>
      <c r="E83" s="208" t="n"/>
      <c r="F83" s="207" t="n"/>
      <c r="G83" s="209" t="n"/>
      <c r="H83" s="210">
        <f>IF($A83="","",MAX(0,$F83-SUMIFS('02_NHAT_KY'!$H$7:$H$506,'02_NHAT_KY'!$C$7:$C$506,$A83,'02_NHAT_KY'!$A$7:$A$506,"&lt;="&amp;'03_BAO_CAO'!$E$4)))</f>
        <v/>
      </c>
      <c r="I83" s="51">
        <f>IF($A83="","",IF($H83&lt;=0,"Đã thanh toán",IF($G83="","Thiếu hạn",IF($G83&gt;='03_BAO_CAO'!$E$4,"Chưa đến hạn",IF('03_BAO_CAO'!$E$4-$G83&lt;=30,"1-30 ngày",IF('03_BAO_CAO'!$E$4-$G83&lt;=60,"31-60 ngày",IF('03_BAO_CAO'!$E$4-$G83&lt;=90,"61-90 ngày","Trên 90 ngày")))))))</f>
        <v/>
      </c>
      <c r="J83" s="51">
        <f>IF($A83="","",IF(COUNTIF($A$7:$A$206,$A83)&gt;1,"TRÙNG MÃ",IF(OR($B83="",$C83="",$D83&lt;0,$E83&lt;0,$F83&lt;0),"KIỂM TRA DỮ LIỆU",IF(AND($F83&gt;0,$G83=""),"THIẾU HẠN DƯ ĐẦU KỲ","OK"))))</f>
        <v/>
      </c>
    </row>
    <row r="84">
      <c r="A84" s="47" t="n"/>
      <c r="B84" s="41" t="n"/>
      <c r="C84" s="47" t="n"/>
      <c r="D84" s="207" t="n"/>
      <c r="E84" s="208" t="n"/>
      <c r="F84" s="207" t="n"/>
      <c r="G84" s="209" t="n"/>
      <c r="H84" s="210">
        <f>IF($A84="","",MAX(0,$F84-SUMIFS('02_NHAT_KY'!$H$7:$H$506,'02_NHAT_KY'!$C$7:$C$506,$A84,'02_NHAT_KY'!$A$7:$A$506,"&lt;="&amp;'03_BAO_CAO'!$E$4)))</f>
        <v/>
      </c>
      <c r="I84" s="51">
        <f>IF($A84="","",IF($H84&lt;=0,"Đã thanh toán",IF($G84="","Thiếu hạn",IF($G84&gt;='03_BAO_CAO'!$E$4,"Chưa đến hạn",IF('03_BAO_CAO'!$E$4-$G84&lt;=30,"1-30 ngày",IF('03_BAO_CAO'!$E$4-$G84&lt;=60,"31-60 ngày",IF('03_BAO_CAO'!$E$4-$G84&lt;=90,"61-90 ngày","Trên 90 ngày")))))))</f>
        <v/>
      </c>
      <c r="J84" s="51">
        <f>IF($A84="","",IF(COUNTIF($A$7:$A$206,$A84)&gt;1,"TRÙNG MÃ",IF(OR($B84="",$C84="",$D84&lt;0,$E84&lt;0,$F84&lt;0),"KIỂM TRA DỮ LIỆU",IF(AND($F84&gt;0,$G84=""),"THIẾU HẠN DƯ ĐẦU KỲ","OK"))))</f>
        <v/>
      </c>
    </row>
    <row r="85">
      <c r="A85" s="47" t="n"/>
      <c r="B85" s="41" t="n"/>
      <c r="C85" s="47" t="n"/>
      <c r="D85" s="207" t="n"/>
      <c r="E85" s="208" t="n"/>
      <c r="F85" s="207" t="n"/>
      <c r="G85" s="209" t="n"/>
      <c r="H85" s="210">
        <f>IF($A85="","",MAX(0,$F85-SUMIFS('02_NHAT_KY'!$H$7:$H$506,'02_NHAT_KY'!$C$7:$C$506,$A85,'02_NHAT_KY'!$A$7:$A$506,"&lt;="&amp;'03_BAO_CAO'!$E$4)))</f>
        <v/>
      </c>
      <c r="I85" s="51">
        <f>IF($A85="","",IF($H85&lt;=0,"Đã thanh toán",IF($G85="","Thiếu hạn",IF($G85&gt;='03_BAO_CAO'!$E$4,"Chưa đến hạn",IF('03_BAO_CAO'!$E$4-$G85&lt;=30,"1-30 ngày",IF('03_BAO_CAO'!$E$4-$G85&lt;=60,"31-60 ngày",IF('03_BAO_CAO'!$E$4-$G85&lt;=90,"61-90 ngày","Trên 90 ngày")))))))</f>
        <v/>
      </c>
      <c r="J85" s="51">
        <f>IF($A85="","",IF(COUNTIF($A$7:$A$206,$A85)&gt;1,"TRÙNG MÃ",IF(OR($B85="",$C85="",$D85&lt;0,$E85&lt;0,$F85&lt;0),"KIỂM TRA DỮ LIỆU",IF(AND($F85&gt;0,$G85=""),"THIẾU HẠN DƯ ĐẦU KỲ","OK"))))</f>
        <v/>
      </c>
    </row>
    <row r="86">
      <c r="A86" s="47" t="n"/>
      <c r="B86" s="41" t="n"/>
      <c r="C86" s="47" t="n"/>
      <c r="D86" s="207" t="n"/>
      <c r="E86" s="208" t="n"/>
      <c r="F86" s="207" t="n"/>
      <c r="G86" s="209" t="n"/>
      <c r="H86" s="210">
        <f>IF($A86="","",MAX(0,$F86-SUMIFS('02_NHAT_KY'!$H$7:$H$506,'02_NHAT_KY'!$C$7:$C$506,$A86,'02_NHAT_KY'!$A$7:$A$506,"&lt;="&amp;'03_BAO_CAO'!$E$4)))</f>
        <v/>
      </c>
      <c r="I86" s="51">
        <f>IF($A86="","",IF($H86&lt;=0,"Đã thanh toán",IF($G86="","Thiếu hạn",IF($G86&gt;='03_BAO_CAO'!$E$4,"Chưa đến hạn",IF('03_BAO_CAO'!$E$4-$G86&lt;=30,"1-30 ngày",IF('03_BAO_CAO'!$E$4-$G86&lt;=60,"31-60 ngày",IF('03_BAO_CAO'!$E$4-$G86&lt;=90,"61-90 ngày","Trên 90 ngày")))))))</f>
        <v/>
      </c>
      <c r="J86" s="51">
        <f>IF($A86="","",IF(COUNTIF($A$7:$A$206,$A86)&gt;1,"TRÙNG MÃ",IF(OR($B86="",$C86="",$D86&lt;0,$E86&lt;0,$F86&lt;0),"KIỂM TRA DỮ LIỆU",IF(AND($F86&gt;0,$G86=""),"THIẾU HẠN DƯ ĐẦU KỲ","OK"))))</f>
        <v/>
      </c>
    </row>
    <row r="87">
      <c r="A87" s="47" t="n"/>
      <c r="B87" s="41" t="n"/>
      <c r="C87" s="47" t="n"/>
      <c r="D87" s="207" t="n"/>
      <c r="E87" s="208" t="n"/>
      <c r="F87" s="207" t="n"/>
      <c r="G87" s="209" t="n"/>
      <c r="H87" s="210">
        <f>IF($A87="","",MAX(0,$F87-SUMIFS('02_NHAT_KY'!$H$7:$H$506,'02_NHAT_KY'!$C$7:$C$506,$A87,'02_NHAT_KY'!$A$7:$A$506,"&lt;="&amp;'03_BAO_CAO'!$E$4)))</f>
        <v/>
      </c>
      <c r="I87" s="51">
        <f>IF($A87="","",IF($H87&lt;=0,"Đã thanh toán",IF($G87="","Thiếu hạn",IF($G87&gt;='03_BAO_CAO'!$E$4,"Chưa đến hạn",IF('03_BAO_CAO'!$E$4-$G87&lt;=30,"1-30 ngày",IF('03_BAO_CAO'!$E$4-$G87&lt;=60,"31-60 ngày",IF('03_BAO_CAO'!$E$4-$G87&lt;=90,"61-90 ngày","Trên 90 ngày")))))))</f>
        <v/>
      </c>
      <c r="J87" s="51">
        <f>IF($A87="","",IF(COUNTIF($A$7:$A$206,$A87)&gt;1,"TRÙNG MÃ",IF(OR($B87="",$C87="",$D87&lt;0,$E87&lt;0,$F87&lt;0),"KIỂM TRA DỮ LIỆU",IF(AND($F87&gt;0,$G87=""),"THIẾU HẠN DƯ ĐẦU KỲ","OK"))))</f>
        <v/>
      </c>
    </row>
    <row r="88">
      <c r="A88" s="47" t="n"/>
      <c r="B88" s="41" t="n"/>
      <c r="C88" s="47" t="n"/>
      <c r="D88" s="207" t="n"/>
      <c r="E88" s="208" t="n"/>
      <c r="F88" s="207" t="n"/>
      <c r="G88" s="209" t="n"/>
      <c r="H88" s="210">
        <f>IF($A88="","",MAX(0,$F88-SUMIFS('02_NHAT_KY'!$H$7:$H$506,'02_NHAT_KY'!$C$7:$C$506,$A88,'02_NHAT_KY'!$A$7:$A$506,"&lt;="&amp;'03_BAO_CAO'!$E$4)))</f>
        <v/>
      </c>
      <c r="I88" s="51">
        <f>IF($A88="","",IF($H88&lt;=0,"Đã thanh toán",IF($G88="","Thiếu hạn",IF($G88&gt;='03_BAO_CAO'!$E$4,"Chưa đến hạn",IF('03_BAO_CAO'!$E$4-$G88&lt;=30,"1-30 ngày",IF('03_BAO_CAO'!$E$4-$G88&lt;=60,"31-60 ngày",IF('03_BAO_CAO'!$E$4-$G88&lt;=90,"61-90 ngày","Trên 90 ngày")))))))</f>
        <v/>
      </c>
      <c r="J88" s="51">
        <f>IF($A88="","",IF(COUNTIF($A$7:$A$206,$A88)&gt;1,"TRÙNG MÃ",IF(OR($B88="",$C88="",$D88&lt;0,$E88&lt;0,$F88&lt;0),"KIỂM TRA DỮ LIỆU",IF(AND($F88&gt;0,$G88=""),"THIẾU HẠN DƯ ĐẦU KỲ","OK"))))</f>
        <v/>
      </c>
    </row>
    <row r="89">
      <c r="A89" s="47" t="n"/>
      <c r="B89" s="41" t="n"/>
      <c r="C89" s="47" t="n"/>
      <c r="D89" s="207" t="n"/>
      <c r="E89" s="208" t="n"/>
      <c r="F89" s="207" t="n"/>
      <c r="G89" s="209" t="n"/>
      <c r="H89" s="210">
        <f>IF($A89="","",MAX(0,$F89-SUMIFS('02_NHAT_KY'!$H$7:$H$506,'02_NHAT_KY'!$C$7:$C$506,$A89,'02_NHAT_KY'!$A$7:$A$506,"&lt;="&amp;'03_BAO_CAO'!$E$4)))</f>
        <v/>
      </c>
      <c r="I89" s="51">
        <f>IF($A89="","",IF($H89&lt;=0,"Đã thanh toán",IF($G89="","Thiếu hạn",IF($G89&gt;='03_BAO_CAO'!$E$4,"Chưa đến hạn",IF('03_BAO_CAO'!$E$4-$G89&lt;=30,"1-30 ngày",IF('03_BAO_CAO'!$E$4-$G89&lt;=60,"31-60 ngày",IF('03_BAO_CAO'!$E$4-$G89&lt;=90,"61-90 ngày","Trên 90 ngày")))))))</f>
        <v/>
      </c>
      <c r="J89" s="51">
        <f>IF($A89="","",IF(COUNTIF($A$7:$A$206,$A89)&gt;1,"TRÙNG MÃ",IF(OR($B89="",$C89="",$D89&lt;0,$E89&lt;0,$F89&lt;0),"KIỂM TRA DỮ LIỆU",IF(AND($F89&gt;0,$G89=""),"THIẾU HẠN DƯ ĐẦU KỲ","OK"))))</f>
        <v/>
      </c>
    </row>
    <row r="90">
      <c r="A90" s="47" t="n"/>
      <c r="B90" s="41" t="n"/>
      <c r="C90" s="47" t="n"/>
      <c r="D90" s="207" t="n"/>
      <c r="E90" s="208" t="n"/>
      <c r="F90" s="207" t="n"/>
      <c r="G90" s="209" t="n"/>
      <c r="H90" s="210">
        <f>IF($A90="","",MAX(0,$F90-SUMIFS('02_NHAT_KY'!$H$7:$H$506,'02_NHAT_KY'!$C$7:$C$506,$A90,'02_NHAT_KY'!$A$7:$A$506,"&lt;="&amp;'03_BAO_CAO'!$E$4)))</f>
        <v/>
      </c>
      <c r="I90" s="51">
        <f>IF($A90="","",IF($H90&lt;=0,"Đã thanh toán",IF($G90="","Thiếu hạn",IF($G90&gt;='03_BAO_CAO'!$E$4,"Chưa đến hạn",IF('03_BAO_CAO'!$E$4-$G90&lt;=30,"1-30 ngày",IF('03_BAO_CAO'!$E$4-$G90&lt;=60,"31-60 ngày",IF('03_BAO_CAO'!$E$4-$G90&lt;=90,"61-90 ngày","Trên 90 ngày")))))))</f>
        <v/>
      </c>
      <c r="J90" s="51">
        <f>IF($A90="","",IF(COUNTIF($A$7:$A$206,$A90)&gt;1,"TRÙNG MÃ",IF(OR($B90="",$C90="",$D90&lt;0,$E90&lt;0,$F90&lt;0),"KIỂM TRA DỮ LIỆU",IF(AND($F90&gt;0,$G90=""),"THIẾU HẠN DƯ ĐẦU KỲ","OK"))))</f>
        <v/>
      </c>
    </row>
    <row r="91">
      <c r="A91" s="47" t="n"/>
      <c r="B91" s="41" t="n"/>
      <c r="C91" s="47" t="n"/>
      <c r="D91" s="207" t="n"/>
      <c r="E91" s="208" t="n"/>
      <c r="F91" s="207" t="n"/>
      <c r="G91" s="209" t="n"/>
      <c r="H91" s="210">
        <f>IF($A91="","",MAX(0,$F91-SUMIFS('02_NHAT_KY'!$H$7:$H$506,'02_NHAT_KY'!$C$7:$C$506,$A91,'02_NHAT_KY'!$A$7:$A$506,"&lt;="&amp;'03_BAO_CAO'!$E$4)))</f>
        <v/>
      </c>
      <c r="I91" s="51">
        <f>IF($A91="","",IF($H91&lt;=0,"Đã thanh toán",IF($G91="","Thiếu hạn",IF($G91&gt;='03_BAO_CAO'!$E$4,"Chưa đến hạn",IF('03_BAO_CAO'!$E$4-$G91&lt;=30,"1-30 ngày",IF('03_BAO_CAO'!$E$4-$G91&lt;=60,"31-60 ngày",IF('03_BAO_CAO'!$E$4-$G91&lt;=90,"61-90 ngày","Trên 90 ngày")))))))</f>
        <v/>
      </c>
      <c r="J91" s="51">
        <f>IF($A91="","",IF(COUNTIF($A$7:$A$206,$A91)&gt;1,"TRÙNG MÃ",IF(OR($B91="",$C91="",$D91&lt;0,$E91&lt;0,$F91&lt;0),"KIỂM TRA DỮ LIỆU",IF(AND($F91&gt;0,$G91=""),"THIẾU HẠN DƯ ĐẦU KỲ","OK"))))</f>
        <v/>
      </c>
    </row>
    <row r="92">
      <c r="A92" s="47" t="n"/>
      <c r="B92" s="41" t="n"/>
      <c r="C92" s="47" t="n"/>
      <c r="D92" s="207" t="n"/>
      <c r="E92" s="208" t="n"/>
      <c r="F92" s="207" t="n"/>
      <c r="G92" s="209" t="n"/>
      <c r="H92" s="210">
        <f>IF($A92="","",MAX(0,$F92-SUMIFS('02_NHAT_KY'!$H$7:$H$506,'02_NHAT_KY'!$C$7:$C$506,$A92,'02_NHAT_KY'!$A$7:$A$506,"&lt;="&amp;'03_BAO_CAO'!$E$4)))</f>
        <v/>
      </c>
      <c r="I92" s="51">
        <f>IF($A92="","",IF($H92&lt;=0,"Đã thanh toán",IF($G92="","Thiếu hạn",IF($G92&gt;='03_BAO_CAO'!$E$4,"Chưa đến hạn",IF('03_BAO_CAO'!$E$4-$G92&lt;=30,"1-30 ngày",IF('03_BAO_CAO'!$E$4-$G92&lt;=60,"31-60 ngày",IF('03_BAO_CAO'!$E$4-$G92&lt;=90,"61-90 ngày","Trên 90 ngày")))))))</f>
        <v/>
      </c>
      <c r="J92" s="51">
        <f>IF($A92="","",IF(COUNTIF($A$7:$A$206,$A92)&gt;1,"TRÙNG MÃ",IF(OR($B92="",$C92="",$D92&lt;0,$E92&lt;0,$F92&lt;0),"KIỂM TRA DỮ LIỆU",IF(AND($F92&gt;0,$G92=""),"THIẾU HẠN DƯ ĐẦU KỲ","OK"))))</f>
        <v/>
      </c>
    </row>
    <row r="93">
      <c r="A93" s="47" t="n"/>
      <c r="B93" s="41" t="n"/>
      <c r="C93" s="47" t="n"/>
      <c r="D93" s="207" t="n"/>
      <c r="E93" s="208" t="n"/>
      <c r="F93" s="207" t="n"/>
      <c r="G93" s="209" t="n"/>
      <c r="H93" s="210">
        <f>IF($A93="","",MAX(0,$F93-SUMIFS('02_NHAT_KY'!$H$7:$H$506,'02_NHAT_KY'!$C$7:$C$506,$A93,'02_NHAT_KY'!$A$7:$A$506,"&lt;="&amp;'03_BAO_CAO'!$E$4)))</f>
        <v/>
      </c>
      <c r="I93" s="51">
        <f>IF($A93="","",IF($H93&lt;=0,"Đã thanh toán",IF($G93="","Thiếu hạn",IF($G93&gt;='03_BAO_CAO'!$E$4,"Chưa đến hạn",IF('03_BAO_CAO'!$E$4-$G93&lt;=30,"1-30 ngày",IF('03_BAO_CAO'!$E$4-$G93&lt;=60,"31-60 ngày",IF('03_BAO_CAO'!$E$4-$G93&lt;=90,"61-90 ngày","Trên 90 ngày")))))))</f>
        <v/>
      </c>
      <c r="J93" s="51">
        <f>IF($A93="","",IF(COUNTIF($A$7:$A$206,$A93)&gt;1,"TRÙNG MÃ",IF(OR($B93="",$C93="",$D93&lt;0,$E93&lt;0,$F93&lt;0),"KIỂM TRA DỮ LIỆU",IF(AND($F93&gt;0,$G93=""),"THIẾU HẠN DƯ ĐẦU KỲ","OK"))))</f>
        <v/>
      </c>
    </row>
    <row r="94">
      <c r="A94" s="47" t="n"/>
      <c r="B94" s="41" t="n"/>
      <c r="C94" s="47" t="n"/>
      <c r="D94" s="207" t="n"/>
      <c r="E94" s="208" t="n"/>
      <c r="F94" s="207" t="n"/>
      <c r="G94" s="209" t="n"/>
      <c r="H94" s="210">
        <f>IF($A94="","",MAX(0,$F94-SUMIFS('02_NHAT_KY'!$H$7:$H$506,'02_NHAT_KY'!$C$7:$C$506,$A94,'02_NHAT_KY'!$A$7:$A$506,"&lt;="&amp;'03_BAO_CAO'!$E$4)))</f>
        <v/>
      </c>
      <c r="I94" s="51">
        <f>IF($A94="","",IF($H94&lt;=0,"Đã thanh toán",IF($G94="","Thiếu hạn",IF($G94&gt;='03_BAO_CAO'!$E$4,"Chưa đến hạn",IF('03_BAO_CAO'!$E$4-$G94&lt;=30,"1-30 ngày",IF('03_BAO_CAO'!$E$4-$G94&lt;=60,"31-60 ngày",IF('03_BAO_CAO'!$E$4-$G94&lt;=90,"61-90 ngày","Trên 90 ngày")))))))</f>
        <v/>
      </c>
      <c r="J94" s="51">
        <f>IF($A94="","",IF(COUNTIF($A$7:$A$206,$A94)&gt;1,"TRÙNG MÃ",IF(OR($B94="",$C94="",$D94&lt;0,$E94&lt;0,$F94&lt;0),"KIỂM TRA DỮ LIỆU",IF(AND($F94&gt;0,$G94=""),"THIẾU HẠN DƯ ĐẦU KỲ","OK"))))</f>
        <v/>
      </c>
    </row>
    <row r="95">
      <c r="A95" s="47" t="n"/>
      <c r="B95" s="41" t="n"/>
      <c r="C95" s="47" t="n"/>
      <c r="D95" s="207" t="n"/>
      <c r="E95" s="208" t="n"/>
      <c r="F95" s="207" t="n"/>
      <c r="G95" s="209" t="n"/>
      <c r="H95" s="210">
        <f>IF($A95="","",MAX(0,$F95-SUMIFS('02_NHAT_KY'!$H$7:$H$506,'02_NHAT_KY'!$C$7:$C$506,$A95,'02_NHAT_KY'!$A$7:$A$506,"&lt;="&amp;'03_BAO_CAO'!$E$4)))</f>
        <v/>
      </c>
      <c r="I95" s="51">
        <f>IF($A95="","",IF($H95&lt;=0,"Đã thanh toán",IF($G95="","Thiếu hạn",IF($G95&gt;='03_BAO_CAO'!$E$4,"Chưa đến hạn",IF('03_BAO_CAO'!$E$4-$G95&lt;=30,"1-30 ngày",IF('03_BAO_CAO'!$E$4-$G95&lt;=60,"31-60 ngày",IF('03_BAO_CAO'!$E$4-$G95&lt;=90,"61-90 ngày","Trên 90 ngày")))))))</f>
        <v/>
      </c>
      <c r="J95" s="51">
        <f>IF($A95="","",IF(COUNTIF($A$7:$A$206,$A95)&gt;1,"TRÙNG MÃ",IF(OR($B95="",$C95="",$D95&lt;0,$E95&lt;0,$F95&lt;0),"KIỂM TRA DỮ LIỆU",IF(AND($F95&gt;0,$G95=""),"THIẾU HẠN DƯ ĐẦU KỲ","OK"))))</f>
        <v/>
      </c>
    </row>
    <row r="96">
      <c r="A96" s="47" t="n"/>
      <c r="B96" s="41" t="n"/>
      <c r="C96" s="47" t="n"/>
      <c r="D96" s="207" t="n"/>
      <c r="E96" s="208" t="n"/>
      <c r="F96" s="207" t="n"/>
      <c r="G96" s="209" t="n"/>
      <c r="H96" s="210">
        <f>IF($A96="","",MAX(0,$F96-SUMIFS('02_NHAT_KY'!$H$7:$H$506,'02_NHAT_KY'!$C$7:$C$506,$A96,'02_NHAT_KY'!$A$7:$A$506,"&lt;="&amp;'03_BAO_CAO'!$E$4)))</f>
        <v/>
      </c>
      <c r="I96" s="51">
        <f>IF($A96="","",IF($H96&lt;=0,"Đã thanh toán",IF($G96="","Thiếu hạn",IF($G96&gt;='03_BAO_CAO'!$E$4,"Chưa đến hạn",IF('03_BAO_CAO'!$E$4-$G96&lt;=30,"1-30 ngày",IF('03_BAO_CAO'!$E$4-$G96&lt;=60,"31-60 ngày",IF('03_BAO_CAO'!$E$4-$G96&lt;=90,"61-90 ngày","Trên 90 ngày")))))))</f>
        <v/>
      </c>
      <c r="J96" s="51">
        <f>IF($A96="","",IF(COUNTIF($A$7:$A$206,$A96)&gt;1,"TRÙNG MÃ",IF(OR($B96="",$C96="",$D96&lt;0,$E96&lt;0,$F96&lt;0),"KIỂM TRA DỮ LIỆU",IF(AND($F96&gt;0,$G96=""),"THIẾU HẠN DƯ ĐẦU KỲ","OK"))))</f>
        <v/>
      </c>
    </row>
    <row r="97">
      <c r="A97" s="47" t="n"/>
      <c r="B97" s="41" t="n"/>
      <c r="C97" s="47" t="n"/>
      <c r="D97" s="207" t="n"/>
      <c r="E97" s="208" t="n"/>
      <c r="F97" s="207" t="n"/>
      <c r="G97" s="209" t="n"/>
      <c r="H97" s="210">
        <f>IF($A97="","",MAX(0,$F97-SUMIFS('02_NHAT_KY'!$H$7:$H$506,'02_NHAT_KY'!$C$7:$C$506,$A97,'02_NHAT_KY'!$A$7:$A$506,"&lt;="&amp;'03_BAO_CAO'!$E$4)))</f>
        <v/>
      </c>
      <c r="I97" s="51">
        <f>IF($A97="","",IF($H97&lt;=0,"Đã thanh toán",IF($G97="","Thiếu hạn",IF($G97&gt;='03_BAO_CAO'!$E$4,"Chưa đến hạn",IF('03_BAO_CAO'!$E$4-$G97&lt;=30,"1-30 ngày",IF('03_BAO_CAO'!$E$4-$G97&lt;=60,"31-60 ngày",IF('03_BAO_CAO'!$E$4-$G97&lt;=90,"61-90 ngày","Trên 90 ngày")))))))</f>
        <v/>
      </c>
      <c r="J97" s="51">
        <f>IF($A97="","",IF(COUNTIF($A$7:$A$206,$A97)&gt;1,"TRÙNG MÃ",IF(OR($B97="",$C97="",$D97&lt;0,$E97&lt;0,$F97&lt;0),"KIỂM TRA DỮ LIỆU",IF(AND($F97&gt;0,$G97=""),"THIẾU HẠN DƯ ĐẦU KỲ","OK"))))</f>
        <v/>
      </c>
    </row>
    <row r="98">
      <c r="A98" s="47" t="n"/>
      <c r="B98" s="41" t="n"/>
      <c r="C98" s="47" t="n"/>
      <c r="D98" s="207" t="n"/>
      <c r="E98" s="208" t="n"/>
      <c r="F98" s="207" t="n"/>
      <c r="G98" s="209" t="n"/>
      <c r="H98" s="210">
        <f>IF($A98="","",MAX(0,$F98-SUMIFS('02_NHAT_KY'!$H$7:$H$506,'02_NHAT_KY'!$C$7:$C$506,$A98,'02_NHAT_KY'!$A$7:$A$506,"&lt;="&amp;'03_BAO_CAO'!$E$4)))</f>
        <v/>
      </c>
      <c r="I98" s="51">
        <f>IF($A98="","",IF($H98&lt;=0,"Đã thanh toán",IF($G98="","Thiếu hạn",IF($G98&gt;='03_BAO_CAO'!$E$4,"Chưa đến hạn",IF('03_BAO_CAO'!$E$4-$G98&lt;=30,"1-30 ngày",IF('03_BAO_CAO'!$E$4-$G98&lt;=60,"31-60 ngày",IF('03_BAO_CAO'!$E$4-$G98&lt;=90,"61-90 ngày","Trên 90 ngày")))))))</f>
        <v/>
      </c>
      <c r="J98" s="51">
        <f>IF($A98="","",IF(COUNTIF($A$7:$A$206,$A98)&gt;1,"TRÙNG MÃ",IF(OR($B98="",$C98="",$D98&lt;0,$E98&lt;0,$F98&lt;0),"KIỂM TRA DỮ LIỆU",IF(AND($F98&gt;0,$G98=""),"THIẾU HẠN DƯ ĐẦU KỲ","OK"))))</f>
        <v/>
      </c>
    </row>
    <row r="99">
      <c r="A99" s="47" t="n"/>
      <c r="B99" s="41" t="n"/>
      <c r="C99" s="47" t="n"/>
      <c r="D99" s="207" t="n"/>
      <c r="E99" s="208" t="n"/>
      <c r="F99" s="207" t="n"/>
      <c r="G99" s="209" t="n"/>
      <c r="H99" s="210">
        <f>IF($A99="","",MAX(0,$F99-SUMIFS('02_NHAT_KY'!$H$7:$H$506,'02_NHAT_KY'!$C$7:$C$506,$A99,'02_NHAT_KY'!$A$7:$A$506,"&lt;="&amp;'03_BAO_CAO'!$E$4)))</f>
        <v/>
      </c>
      <c r="I99" s="51">
        <f>IF($A99="","",IF($H99&lt;=0,"Đã thanh toán",IF($G99="","Thiếu hạn",IF($G99&gt;='03_BAO_CAO'!$E$4,"Chưa đến hạn",IF('03_BAO_CAO'!$E$4-$G99&lt;=30,"1-30 ngày",IF('03_BAO_CAO'!$E$4-$G99&lt;=60,"31-60 ngày",IF('03_BAO_CAO'!$E$4-$G99&lt;=90,"61-90 ngày","Trên 90 ngày")))))))</f>
        <v/>
      </c>
      <c r="J99" s="51">
        <f>IF($A99="","",IF(COUNTIF($A$7:$A$206,$A99)&gt;1,"TRÙNG MÃ",IF(OR($B99="",$C99="",$D99&lt;0,$E99&lt;0,$F99&lt;0),"KIỂM TRA DỮ LIỆU",IF(AND($F99&gt;0,$G99=""),"THIẾU HẠN DƯ ĐẦU KỲ","OK"))))</f>
        <v/>
      </c>
    </row>
    <row r="100">
      <c r="A100" s="47" t="n"/>
      <c r="B100" s="41" t="n"/>
      <c r="C100" s="47" t="n"/>
      <c r="D100" s="207" t="n"/>
      <c r="E100" s="208" t="n"/>
      <c r="F100" s="207" t="n"/>
      <c r="G100" s="209" t="n"/>
      <c r="H100" s="210">
        <f>IF($A100="","",MAX(0,$F100-SUMIFS('02_NHAT_KY'!$H$7:$H$506,'02_NHAT_KY'!$C$7:$C$506,$A100,'02_NHAT_KY'!$A$7:$A$506,"&lt;="&amp;'03_BAO_CAO'!$E$4)))</f>
        <v/>
      </c>
      <c r="I100" s="51">
        <f>IF($A100="","",IF($H100&lt;=0,"Đã thanh toán",IF($G100="","Thiếu hạn",IF($G100&gt;='03_BAO_CAO'!$E$4,"Chưa đến hạn",IF('03_BAO_CAO'!$E$4-$G100&lt;=30,"1-30 ngày",IF('03_BAO_CAO'!$E$4-$G100&lt;=60,"31-60 ngày",IF('03_BAO_CAO'!$E$4-$G100&lt;=90,"61-90 ngày","Trên 90 ngày")))))))</f>
        <v/>
      </c>
      <c r="J100" s="51">
        <f>IF($A100="","",IF(COUNTIF($A$7:$A$206,$A100)&gt;1,"TRÙNG MÃ",IF(OR($B100="",$C100="",$D100&lt;0,$E100&lt;0,$F100&lt;0),"KIỂM TRA DỮ LIỆU",IF(AND($F100&gt;0,$G100=""),"THIẾU HẠN DƯ ĐẦU KỲ","OK"))))</f>
        <v/>
      </c>
    </row>
    <row r="101">
      <c r="A101" s="47" t="n"/>
      <c r="B101" s="41" t="n"/>
      <c r="C101" s="47" t="n"/>
      <c r="D101" s="207" t="n"/>
      <c r="E101" s="208" t="n"/>
      <c r="F101" s="207" t="n"/>
      <c r="G101" s="209" t="n"/>
      <c r="H101" s="210">
        <f>IF($A101="","",MAX(0,$F101-SUMIFS('02_NHAT_KY'!$H$7:$H$506,'02_NHAT_KY'!$C$7:$C$506,$A101,'02_NHAT_KY'!$A$7:$A$506,"&lt;="&amp;'03_BAO_CAO'!$E$4)))</f>
        <v/>
      </c>
      <c r="I101" s="51">
        <f>IF($A101="","",IF($H101&lt;=0,"Đã thanh toán",IF($G101="","Thiếu hạn",IF($G101&gt;='03_BAO_CAO'!$E$4,"Chưa đến hạn",IF('03_BAO_CAO'!$E$4-$G101&lt;=30,"1-30 ngày",IF('03_BAO_CAO'!$E$4-$G101&lt;=60,"31-60 ngày",IF('03_BAO_CAO'!$E$4-$G101&lt;=90,"61-90 ngày","Trên 90 ngày")))))))</f>
        <v/>
      </c>
      <c r="J101" s="51">
        <f>IF($A101="","",IF(COUNTIF($A$7:$A$206,$A101)&gt;1,"TRÙNG MÃ",IF(OR($B101="",$C101="",$D101&lt;0,$E101&lt;0,$F101&lt;0),"KIỂM TRA DỮ LIỆU",IF(AND($F101&gt;0,$G101=""),"THIẾU HẠN DƯ ĐẦU KỲ","OK"))))</f>
        <v/>
      </c>
    </row>
    <row r="102">
      <c r="A102" s="47" t="n"/>
      <c r="B102" s="41" t="n"/>
      <c r="C102" s="47" t="n"/>
      <c r="D102" s="207" t="n"/>
      <c r="E102" s="208" t="n"/>
      <c r="F102" s="207" t="n"/>
      <c r="G102" s="209" t="n"/>
      <c r="H102" s="210">
        <f>IF($A102="","",MAX(0,$F102-SUMIFS('02_NHAT_KY'!$H$7:$H$506,'02_NHAT_KY'!$C$7:$C$506,$A102,'02_NHAT_KY'!$A$7:$A$506,"&lt;="&amp;'03_BAO_CAO'!$E$4)))</f>
        <v/>
      </c>
      <c r="I102" s="51">
        <f>IF($A102="","",IF($H102&lt;=0,"Đã thanh toán",IF($G102="","Thiếu hạn",IF($G102&gt;='03_BAO_CAO'!$E$4,"Chưa đến hạn",IF('03_BAO_CAO'!$E$4-$G102&lt;=30,"1-30 ngày",IF('03_BAO_CAO'!$E$4-$G102&lt;=60,"31-60 ngày",IF('03_BAO_CAO'!$E$4-$G102&lt;=90,"61-90 ngày","Trên 90 ngày")))))))</f>
        <v/>
      </c>
      <c r="J102" s="51">
        <f>IF($A102="","",IF(COUNTIF($A$7:$A$206,$A102)&gt;1,"TRÙNG MÃ",IF(OR($B102="",$C102="",$D102&lt;0,$E102&lt;0,$F102&lt;0),"KIỂM TRA DỮ LIỆU",IF(AND($F102&gt;0,$G102=""),"THIẾU HẠN DƯ ĐẦU KỲ","OK"))))</f>
        <v/>
      </c>
    </row>
    <row r="103">
      <c r="A103" s="47" t="n"/>
      <c r="B103" s="41" t="n"/>
      <c r="C103" s="47" t="n"/>
      <c r="D103" s="207" t="n"/>
      <c r="E103" s="208" t="n"/>
      <c r="F103" s="207" t="n"/>
      <c r="G103" s="209" t="n"/>
      <c r="H103" s="210">
        <f>IF($A103="","",MAX(0,$F103-SUMIFS('02_NHAT_KY'!$H$7:$H$506,'02_NHAT_KY'!$C$7:$C$506,$A103,'02_NHAT_KY'!$A$7:$A$506,"&lt;="&amp;'03_BAO_CAO'!$E$4)))</f>
        <v/>
      </c>
      <c r="I103" s="51">
        <f>IF($A103="","",IF($H103&lt;=0,"Đã thanh toán",IF($G103="","Thiếu hạn",IF($G103&gt;='03_BAO_CAO'!$E$4,"Chưa đến hạn",IF('03_BAO_CAO'!$E$4-$G103&lt;=30,"1-30 ngày",IF('03_BAO_CAO'!$E$4-$G103&lt;=60,"31-60 ngày",IF('03_BAO_CAO'!$E$4-$G103&lt;=90,"61-90 ngày","Trên 90 ngày")))))))</f>
        <v/>
      </c>
      <c r="J103" s="51">
        <f>IF($A103="","",IF(COUNTIF($A$7:$A$206,$A103)&gt;1,"TRÙNG MÃ",IF(OR($B103="",$C103="",$D103&lt;0,$E103&lt;0,$F103&lt;0),"KIỂM TRA DỮ LIỆU",IF(AND($F103&gt;0,$G103=""),"THIẾU HẠN DƯ ĐẦU KỲ","OK"))))</f>
        <v/>
      </c>
    </row>
    <row r="104">
      <c r="A104" s="47" t="n"/>
      <c r="B104" s="41" t="n"/>
      <c r="C104" s="47" t="n"/>
      <c r="D104" s="207" t="n"/>
      <c r="E104" s="208" t="n"/>
      <c r="F104" s="207" t="n"/>
      <c r="G104" s="209" t="n"/>
      <c r="H104" s="210">
        <f>IF($A104="","",MAX(0,$F104-SUMIFS('02_NHAT_KY'!$H$7:$H$506,'02_NHAT_KY'!$C$7:$C$506,$A104,'02_NHAT_KY'!$A$7:$A$506,"&lt;="&amp;'03_BAO_CAO'!$E$4)))</f>
        <v/>
      </c>
      <c r="I104" s="51">
        <f>IF($A104="","",IF($H104&lt;=0,"Đã thanh toán",IF($G104="","Thiếu hạn",IF($G104&gt;='03_BAO_CAO'!$E$4,"Chưa đến hạn",IF('03_BAO_CAO'!$E$4-$G104&lt;=30,"1-30 ngày",IF('03_BAO_CAO'!$E$4-$G104&lt;=60,"31-60 ngày",IF('03_BAO_CAO'!$E$4-$G104&lt;=90,"61-90 ngày","Trên 90 ngày")))))))</f>
        <v/>
      </c>
      <c r="J104" s="51">
        <f>IF($A104="","",IF(COUNTIF($A$7:$A$206,$A104)&gt;1,"TRÙNG MÃ",IF(OR($B104="",$C104="",$D104&lt;0,$E104&lt;0,$F104&lt;0),"KIỂM TRA DỮ LIỆU",IF(AND($F104&gt;0,$G104=""),"THIẾU HẠN DƯ ĐẦU KỲ","OK"))))</f>
        <v/>
      </c>
    </row>
    <row r="105">
      <c r="A105" s="47" t="n"/>
      <c r="B105" s="41" t="n"/>
      <c r="C105" s="47" t="n"/>
      <c r="D105" s="207" t="n"/>
      <c r="E105" s="208" t="n"/>
      <c r="F105" s="207" t="n"/>
      <c r="G105" s="209" t="n"/>
      <c r="H105" s="210">
        <f>IF($A105="","",MAX(0,$F105-SUMIFS('02_NHAT_KY'!$H$7:$H$506,'02_NHAT_KY'!$C$7:$C$506,$A105,'02_NHAT_KY'!$A$7:$A$506,"&lt;="&amp;'03_BAO_CAO'!$E$4)))</f>
        <v/>
      </c>
      <c r="I105" s="51">
        <f>IF($A105="","",IF($H105&lt;=0,"Đã thanh toán",IF($G105="","Thiếu hạn",IF($G105&gt;='03_BAO_CAO'!$E$4,"Chưa đến hạn",IF('03_BAO_CAO'!$E$4-$G105&lt;=30,"1-30 ngày",IF('03_BAO_CAO'!$E$4-$G105&lt;=60,"31-60 ngày",IF('03_BAO_CAO'!$E$4-$G105&lt;=90,"61-90 ngày","Trên 90 ngày")))))))</f>
        <v/>
      </c>
      <c r="J105" s="51">
        <f>IF($A105="","",IF(COUNTIF($A$7:$A$206,$A105)&gt;1,"TRÙNG MÃ",IF(OR($B105="",$C105="",$D105&lt;0,$E105&lt;0,$F105&lt;0),"KIỂM TRA DỮ LIỆU",IF(AND($F105&gt;0,$G105=""),"THIẾU HẠN DƯ ĐẦU KỲ","OK"))))</f>
        <v/>
      </c>
    </row>
    <row r="106">
      <c r="A106" s="47" t="n"/>
      <c r="B106" s="41" t="n"/>
      <c r="C106" s="47" t="n"/>
      <c r="D106" s="207" t="n"/>
      <c r="E106" s="208" t="n"/>
      <c r="F106" s="207" t="n"/>
      <c r="G106" s="209" t="n"/>
      <c r="H106" s="210">
        <f>IF($A106="","",MAX(0,$F106-SUMIFS('02_NHAT_KY'!$H$7:$H$506,'02_NHAT_KY'!$C$7:$C$506,$A106,'02_NHAT_KY'!$A$7:$A$506,"&lt;="&amp;'03_BAO_CAO'!$E$4)))</f>
        <v/>
      </c>
      <c r="I106" s="51">
        <f>IF($A106="","",IF($H106&lt;=0,"Đã thanh toán",IF($G106="","Thiếu hạn",IF($G106&gt;='03_BAO_CAO'!$E$4,"Chưa đến hạn",IF('03_BAO_CAO'!$E$4-$G106&lt;=30,"1-30 ngày",IF('03_BAO_CAO'!$E$4-$G106&lt;=60,"31-60 ngày",IF('03_BAO_CAO'!$E$4-$G106&lt;=90,"61-90 ngày","Trên 90 ngày")))))))</f>
        <v/>
      </c>
      <c r="J106" s="51">
        <f>IF($A106="","",IF(COUNTIF($A$7:$A$206,$A106)&gt;1,"TRÙNG MÃ",IF(OR($B106="",$C106="",$D106&lt;0,$E106&lt;0,$F106&lt;0),"KIỂM TRA DỮ LIỆU",IF(AND($F106&gt;0,$G106=""),"THIẾU HẠN DƯ ĐẦU KỲ","OK"))))</f>
        <v/>
      </c>
    </row>
    <row r="107">
      <c r="A107" s="47" t="n"/>
      <c r="B107" s="41" t="n"/>
      <c r="C107" s="47" t="n"/>
      <c r="D107" s="207" t="n"/>
      <c r="E107" s="208" t="n"/>
      <c r="F107" s="207" t="n"/>
      <c r="G107" s="209" t="n"/>
      <c r="H107" s="210">
        <f>IF($A107="","",MAX(0,$F107-SUMIFS('02_NHAT_KY'!$H$7:$H$506,'02_NHAT_KY'!$C$7:$C$506,$A107,'02_NHAT_KY'!$A$7:$A$506,"&lt;="&amp;'03_BAO_CAO'!$E$4)))</f>
        <v/>
      </c>
      <c r="I107" s="51">
        <f>IF($A107="","",IF($H107&lt;=0,"Đã thanh toán",IF($G107="","Thiếu hạn",IF($G107&gt;='03_BAO_CAO'!$E$4,"Chưa đến hạn",IF('03_BAO_CAO'!$E$4-$G107&lt;=30,"1-30 ngày",IF('03_BAO_CAO'!$E$4-$G107&lt;=60,"31-60 ngày",IF('03_BAO_CAO'!$E$4-$G107&lt;=90,"61-90 ngày","Trên 90 ngày")))))))</f>
        <v/>
      </c>
      <c r="J107" s="51">
        <f>IF($A107="","",IF(COUNTIF($A$7:$A$206,$A107)&gt;1,"TRÙNG MÃ",IF(OR($B107="",$C107="",$D107&lt;0,$E107&lt;0,$F107&lt;0),"KIỂM TRA DỮ LIỆU",IF(AND($F107&gt;0,$G107=""),"THIẾU HẠN DƯ ĐẦU KỲ","OK"))))</f>
        <v/>
      </c>
    </row>
    <row r="108">
      <c r="A108" s="47" t="n"/>
      <c r="B108" s="41" t="n"/>
      <c r="C108" s="47" t="n"/>
      <c r="D108" s="207" t="n"/>
      <c r="E108" s="208" t="n"/>
      <c r="F108" s="207" t="n"/>
      <c r="G108" s="209" t="n"/>
      <c r="H108" s="210">
        <f>IF($A108="","",MAX(0,$F108-SUMIFS('02_NHAT_KY'!$H$7:$H$506,'02_NHAT_KY'!$C$7:$C$506,$A108,'02_NHAT_KY'!$A$7:$A$506,"&lt;="&amp;'03_BAO_CAO'!$E$4)))</f>
        <v/>
      </c>
      <c r="I108" s="51">
        <f>IF($A108="","",IF($H108&lt;=0,"Đã thanh toán",IF($G108="","Thiếu hạn",IF($G108&gt;='03_BAO_CAO'!$E$4,"Chưa đến hạn",IF('03_BAO_CAO'!$E$4-$G108&lt;=30,"1-30 ngày",IF('03_BAO_CAO'!$E$4-$G108&lt;=60,"31-60 ngày",IF('03_BAO_CAO'!$E$4-$G108&lt;=90,"61-90 ngày","Trên 90 ngày")))))))</f>
        <v/>
      </c>
      <c r="J108" s="51">
        <f>IF($A108="","",IF(COUNTIF($A$7:$A$206,$A108)&gt;1,"TRÙNG MÃ",IF(OR($B108="",$C108="",$D108&lt;0,$E108&lt;0,$F108&lt;0),"KIỂM TRA DỮ LIỆU",IF(AND($F108&gt;0,$G108=""),"THIẾU HẠN DƯ ĐẦU KỲ","OK"))))</f>
        <v/>
      </c>
    </row>
    <row r="109">
      <c r="A109" s="47" t="n"/>
      <c r="B109" s="41" t="n"/>
      <c r="C109" s="47" t="n"/>
      <c r="D109" s="207" t="n"/>
      <c r="E109" s="208" t="n"/>
      <c r="F109" s="207" t="n"/>
      <c r="G109" s="209" t="n"/>
      <c r="H109" s="210">
        <f>IF($A109="","",MAX(0,$F109-SUMIFS('02_NHAT_KY'!$H$7:$H$506,'02_NHAT_KY'!$C$7:$C$506,$A109,'02_NHAT_KY'!$A$7:$A$506,"&lt;="&amp;'03_BAO_CAO'!$E$4)))</f>
        <v/>
      </c>
      <c r="I109" s="51">
        <f>IF($A109="","",IF($H109&lt;=0,"Đã thanh toán",IF($G109="","Thiếu hạn",IF($G109&gt;='03_BAO_CAO'!$E$4,"Chưa đến hạn",IF('03_BAO_CAO'!$E$4-$G109&lt;=30,"1-30 ngày",IF('03_BAO_CAO'!$E$4-$G109&lt;=60,"31-60 ngày",IF('03_BAO_CAO'!$E$4-$G109&lt;=90,"61-90 ngày","Trên 90 ngày")))))))</f>
        <v/>
      </c>
      <c r="J109" s="51">
        <f>IF($A109="","",IF(COUNTIF($A$7:$A$206,$A109)&gt;1,"TRÙNG MÃ",IF(OR($B109="",$C109="",$D109&lt;0,$E109&lt;0,$F109&lt;0),"KIỂM TRA DỮ LIỆU",IF(AND($F109&gt;0,$G109=""),"THIẾU HẠN DƯ ĐẦU KỲ","OK"))))</f>
        <v/>
      </c>
    </row>
    <row r="110">
      <c r="A110" s="47" t="n"/>
      <c r="B110" s="41" t="n"/>
      <c r="C110" s="47" t="n"/>
      <c r="D110" s="207" t="n"/>
      <c r="E110" s="208" t="n"/>
      <c r="F110" s="207" t="n"/>
      <c r="G110" s="209" t="n"/>
      <c r="H110" s="210">
        <f>IF($A110="","",MAX(0,$F110-SUMIFS('02_NHAT_KY'!$H$7:$H$506,'02_NHAT_KY'!$C$7:$C$506,$A110,'02_NHAT_KY'!$A$7:$A$506,"&lt;="&amp;'03_BAO_CAO'!$E$4)))</f>
        <v/>
      </c>
      <c r="I110" s="51">
        <f>IF($A110="","",IF($H110&lt;=0,"Đã thanh toán",IF($G110="","Thiếu hạn",IF($G110&gt;='03_BAO_CAO'!$E$4,"Chưa đến hạn",IF('03_BAO_CAO'!$E$4-$G110&lt;=30,"1-30 ngày",IF('03_BAO_CAO'!$E$4-$G110&lt;=60,"31-60 ngày",IF('03_BAO_CAO'!$E$4-$G110&lt;=90,"61-90 ngày","Trên 90 ngày")))))))</f>
        <v/>
      </c>
      <c r="J110" s="51">
        <f>IF($A110="","",IF(COUNTIF($A$7:$A$206,$A110)&gt;1,"TRÙNG MÃ",IF(OR($B110="",$C110="",$D110&lt;0,$E110&lt;0,$F110&lt;0),"KIỂM TRA DỮ LIỆU",IF(AND($F110&gt;0,$G110=""),"THIẾU HẠN DƯ ĐẦU KỲ","OK"))))</f>
        <v/>
      </c>
    </row>
    <row r="111">
      <c r="A111" s="47" t="n"/>
      <c r="B111" s="41" t="n"/>
      <c r="C111" s="47" t="n"/>
      <c r="D111" s="207" t="n"/>
      <c r="E111" s="208" t="n"/>
      <c r="F111" s="207" t="n"/>
      <c r="G111" s="209" t="n"/>
      <c r="H111" s="210">
        <f>IF($A111="","",MAX(0,$F111-SUMIFS('02_NHAT_KY'!$H$7:$H$506,'02_NHAT_KY'!$C$7:$C$506,$A111,'02_NHAT_KY'!$A$7:$A$506,"&lt;="&amp;'03_BAO_CAO'!$E$4)))</f>
        <v/>
      </c>
      <c r="I111" s="51">
        <f>IF($A111="","",IF($H111&lt;=0,"Đã thanh toán",IF($G111="","Thiếu hạn",IF($G111&gt;='03_BAO_CAO'!$E$4,"Chưa đến hạn",IF('03_BAO_CAO'!$E$4-$G111&lt;=30,"1-30 ngày",IF('03_BAO_CAO'!$E$4-$G111&lt;=60,"31-60 ngày",IF('03_BAO_CAO'!$E$4-$G111&lt;=90,"61-90 ngày","Trên 90 ngày")))))))</f>
        <v/>
      </c>
      <c r="J111" s="51">
        <f>IF($A111="","",IF(COUNTIF($A$7:$A$206,$A111)&gt;1,"TRÙNG MÃ",IF(OR($B111="",$C111="",$D111&lt;0,$E111&lt;0,$F111&lt;0),"KIỂM TRA DỮ LIỆU",IF(AND($F111&gt;0,$G111=""),"THIẾU HẠN DƯ ĐẦU KỲ","OK"))))</f>
        <v/>
      </c>
    </row>
    <row r="112">
      <c r="A112" s="47" t="n"/>
      <c r="B112" s="41" t="n"/>
      <c r="C112" s="47" t="n"/>
      <c r="D112" s="207" t="n"/>
      <c r="E112" s="208" t="n"/>
      <c r="F112" s="207" t="n"/>
      <c r="G112" s="209" t="n"/>
      <c r="H112" s="210">
        <f>IF($A112="","",MAX(0,$F112-SUMIFS('02_NHAT_KY'!$H$7:$H$506,'02_NHAT_KY'!$C$7:$C$506,$A112,'02_NHAT_KY'!$A$7:$A$506,"&lt;="&amp;'03_BAO_CAO'!$E$4)))</f>
        <v/>
      </c>
      <c r="I112" s="51">
        <f>IF($A112="","",IF($H112&lt;=0,"Đã thanh toán",IF($G112="","Thiếu hạn",IF($G112&gt;='03_BAO_CAO'!$E$4,"Chưa đến hạn",IF('03_BAO_CAO'!$E$4-$G112&lt;=30,"1-30 ngày",IF('03_BAO_CAO'!$E$4-$G112&lt;=60,"31-60 ngày",IF('03_BAO_CAO'!$E$4-$G112&lt;=90,"61-90 ngày","Trên 90 ngày")))))))</f>
        <v/>
      </c>
      <c r="J112" s="51">
        <f>IF($A112="","",IF(COUNTIF($A$7:$A$206,$A112)&gt;1,"TRÙNG MÃ",IF(OR($B112="",$C112="",$D112&lt;0,$E112&lt;0,$F112&lt;0),"KIỂM TRA DỮ LIỆU",IF(AND($F112&gt;0,$G112=""),"THIẾU HẠN DƯ ĐẦU KỲ","OK"))))</f>
        <v/>
      </c>
    </row>
    <row r="113">
      <c r="A113" s="47" t="n"/>
      <c r="B113" s="41" t="n"/>
      <c r="C113" s="47" t="n"/>
      <c r="D113" s="207" t="n"/>
      <c r="E113" s="208" t="n"/>
      <c r="F113" s="207" t="n"/>
      <c r="G113" s="209" t="n"/>
      <c r="H113" s="210">
        <f>IF($A113="","",MAX(0,$F113-SUMIFS('02_NHAT_KY'!$H$7:$H$506,'02_NHAT_KY'!$C$7:$C$506,$A113,'02_NHAT_KY'!$A$7:$A$506,"&lt;="&amp;'03_BAO_CAO'!$E$4)))</f>
        <v/>
      </c>
      <c r="I113" s="51">
        <f>IF($A113="","",IF($H113&lt;=0,"Đã thanh toán",IF($G113="","Thiếu hạn",IF($G113&gt;='03_BAO_CAO'!$E$4,"Chưa đến hạn",IF('03_BAO_CAO'!$E$4-$G113&lt;=30,"1-30 ngày",IF('03_BAO_CAO'!$E$4-$G113&lt;=60,"31-60 ngày",IF('03_BAO_CAO'!$E$4-$G113&lt;=90,"61-90 ngày","Trên 90 ngày")))))))</f>
        <v/>
      </c>
      <c r="J113" s="51">
        <f>IF($A113="","",IF(COUNTIF($A$7:$A$206,$A113)&gt;1,"TRÙNG MÃ",IF(OR($B113="",$C113="",$D113&lt;0,$E113&lt;0,$F113&lt;0),"KIỂM TRA DỮ LIỆU",IF(AND($F113&gt;0,$G113=""),"THIẾU HẠN DƯ ĐẦU KỲ","OK"))))</f>
        <v/>
      </c>
    </row>
    <row r="114">
      <c r="A114" s="47" t="n"/>
      <c r="B114" s="41" t="n"/>
      <c r="C114" s="47" t="n"/>
      <c r="D114" s="207" t="n"/>
      <c r="E114" s="208" t="n"/>
      <c r="F114" s="207" t="n"/>
      <c r="G114" s="209" t="n"/>
      <c r="H114" s="210">
        <f>IF($A114="","",MAX(0,$F114-SUMIFS('02_NHAT_KY'!$H$7:$H$506,'02_NHAT_KY'!$C$7:$C$506,$A114,'02_NHAT_KY'!$A$7:$A$506,"&lt;="&amp;'03_BAO_CAO'!$E$4)))</f>
        <v/>
      </c>
      <c r="I114" s="51">
        <f>IF($A114="","",IF($H114&lt;=0,"Đã thanh toán",IF($G114="","Thiếu hạn",IF($G114&gt;='03_BAO_CAO'!$E$4,"Chưa đến hạn",IF('03_BAO_CAO'!$E$4-$G114&lt;=30,"1-30 ngày",IF('03_BAO_CAO'!$E$4-$G114&lt;=60,"31-60 ngày",IF('03_BAO_CAO'!$E$4-$G114&lt;=90,"61-90 ngày","Trên 90 ngày")))))))</f>
        <v/>
      </c>
      <c r="J114" s="51">
        <f>IF($A114="","",IF(COUNTIF($A$7:$A$206,$A114)&gt;1,"TRÙNG MÃ",IF(OR($B114="",$C114="",$D114&lt;0,$E114&lt;0,$F114&lt;0),"KIỂM TRA DỮ LIỆU",IF(AND($F114&gt;0,$G114=""),"THIẾU HẠN DƯ ĐẦU KỲ","OK"))))</f>
        <v/>
      </c>
    </row>
    <row r="115">
      <c r="A115" s="47" t="n"/>
      <c r="B115" s="41" t="n"/>
      <c r="C115" s="47" t="n"/>
      <c r="D115" s="207" t="n"/>
      <c r="E115" s="208" t="n"/>
      <c r="F115" s="207" t="n"/>
      <c r="G115" s="209" t="n"/>
      <c r="H115" s="210">
        <f>IF($A115="","",MAX(0,$F115-SUMIFS('02_NHAT_KY'!$H$7:$H$506,'02_NHAT_KY'!$C$7:$C$506,$A115,'02_NHAT_KY'!$A$7:$A$506,"&lt;="&amp;'03_BAO_CAO'!$E$4)))</f>
        <v/>
      </c>
      <c r="I115" s="51">
        <f>IF($A115="","",IF($H115&lt;=0,"Đã thanh toán",IF($G115="","Thiếu hạn",IF($G115&gt;='03_BAO_CAO'!$E$4,"Chưa đến hạn",IF('03_BAO_CAO'!$E$4-$G115&lt;=30,"1-30 ngày",IF('03_BAO_CAO'!$E$4-$G115&lt;=60,"31-60 ngày",IF('03_BAO_CAO'!$E$4-$G115&lt;=90,"61-90 ngày","Trên 90 ngày")))))))</f>
        <v/>
      </c>
      <c r="J115" s="51">
        <f>IF($A115="","",IF(COUNTIF($A$7:$A$206,$A115)&gt;1,"TRÙNG MÃ",IF(OR($B115="",$C115="",$D115&lt;0,$E115&lt;0,$F115&lt;0),"KIỂM TRA DỮ LIỆU",IF(AND($F115&gt;0,$G115=""),"THIẾU HẠN DƯ ĐẦU KỲ","OK"))))</f>
        <v/>
      </c>
    </row>
    <row r="116">
      <c r="A116" s="47" t="n"/>
      <c r="B116" s="41" t="n"/>
      <c r="C116" s="47" t="n"/>
      <c r="D116" s="207" t="n"/>
      <c r="E116" s="208" t="n"/>
      <c r="F116" s="207" t="n"/>
      <c r="G116" s="209" t="n"/>
      <c r="H116" s="210">
        <f>IF($A116="","",MAX(0,$F116-SUMIFS('02_NHAT_KY'!$H$7:$H$506,'02_NHAT_KY'!$C$7:$C$506,$A116,'02_NHAT_KY'!$A$7:$A$506,"&lt;="&amp;'03_BAO_CAO'!$E$4)))</f>
        <v/>
      </c>
      <c r="I116" s="51">
        <f>IF($A116="","",IF($H116&lt;=0,"Đã thanh toán",IF($G116="","Thiếu hạn",IF($G116&gt;='03_BAO_CAO'!$E$4,"Chưa đến hạn",IF('03_BAO_CAO'!$E$4-$G116&lt;=30,"1-30 ngày",IF('03_BAO_CAO'!$E$4-$G116&lt;=60,"31-60 ngày",IF('03_BAO_CAO'!$E$4-$G116&lt;=90,"61-90 ngày","Trên 90 ngày")))))))</f>
        <v/>
      </c>
      <c r="J116" s="51">
        <f>IF($A116="","",IF(COUNTIF($A$7:$A$206,$A116)&gt;1,"TRÙNG MÃ",IF(OR($B116="",$C116="",$D116&lt;0,$E116&lt;0,$F116&lt;0),"KIỂM TRA DỮ LIỆU",IF(AND($F116&gt;0,$G116=""),"THIẾU HẠN DƯ ĐẦU KỲ","OK"))))</f>
        <v/>
      </c>
    </row>
    <row r="117">
      <c r="A117" s="47" t="n"/>
      <c r="B117" s="41" t="n"/>
      <c r="C117" s="47" t="n"/>
      <c r="D117" s="207" t="n"/>
      <c r="E117" s="208" t="n"/>
      <c r="F117" s="207" t="n"/>
      <c r="G117" s="209" t="n"/>
      <c r="H117" s="210">
        <f>IF($A117="","",MAX(0,$F117-SUMIFS('02_NHAT_KY'!$H$7:$H$506,'02_NHAT_KY'!$C$7:$C$506,$A117,'02_NHAT_KY'!$A$7:$A$506,"&lt;="&amp;'03_BAO_CAO'!$E$4)))</f>
        <v/>
      </c>
      <c r="I117" s="51">
        <f>IF($A117="","",IF($H117&lt;=0,"Đã thanh toán",IF($G117="","Thiếu hạn",IF($G117&gt;='03_BAO_CAO'!$E$4,"Chưa đến hạn",IF('03_BAO_CAO'!$E$4-$G117&lt;=30,"1-30 ngày",IF('03_BAO_CAO'!$E$4-$G117&lt;=60,"31-60 ngày",IF('03_BAO_CAO'!$E$4-$G117&lt;=90,"61-90 ngày","Trên 90 ngày")))))))</f>
        <v/>
      </c>
      <c r="J117" s="51">
        <f>IF($A117="","",IF(COUNTIF($A$7:$A$206,$A117)&gt;1,"TRÙNG MÃ",IF(OR($B117="",$C117="",$D117&lt;0,$E117&lt;0,$F117&lt;0),"KIỂM TRA DỮ LIỆU",IF(AND($F117&gt;0,$G117=""),"THIẾU HẠN DƯ ĐẦU KỲ","OK"))))</f>
        <v/>
      </c>
    </row>
    <row r="118">
      <c r="A118" s="47" t="n"/>
      <c r="B118" s="41" t="n"/>
      <c r="C118" s="47" t="n"/>
      <c r="D118" s="207" t="n"/>
      <c r="E118" s="208" t="n"/>
      <c r="F118" s="207" t="n"/>
      <c r="G118" s="209" t="n"/>
      <c r="H118" s="210">
        <f>IF($A118="","",MAX(0,$F118-SUMIFS('02_NHAT_KY'!$H$7:$H$506,'02_NHAT_KY'!$C$7:$C$506,$A118,'02_NHAT_KY'!$A$7:$A$506,"&lt;="&amp;'03_BAO_CAO'!$E$4)))</f>
        <v/>
      </c>
      <c r="I118" s="51">
        <f>IF($A118="","",IF($H118&lt;=0,"Đã thanh toán",IF($G118="","Thiếu hạn",IF($G118&gt;='03_BAO_CAO'!$E$4,"Chưa đến hạn",IF('03_BAO_CAO'!$E$4-$G118&lt;=30,"1-30 ngày",IF('03_BAO_CAO'!$E$4-$G118&lt;=60,"31-60 ngày",IF('03_BAO_CAO'!$E$4-$G118&lt;=90,"61-90 ngày","Trên 90 ngày")))))))</f>
        <v/>
      </c>
      <c r="J118" s="51">
        <f>IF($A118="","",IF(COUNTIF($A$7:$A$206,$A118)&gt;1,"TRÙNG MÃ",IF(OR($B118="",$C118="",$D118&lt;0,$E118&lt;0,$F118&lt;0),"KIỂM TRA DỮ LIỆU",IF(AND($F118&gt;0,$G118=""),"THIẾU HẠN DƯ ĐẦU KỲ","OK"))))</f>
        <v/>
      </c>
    </row>
    <row r="119">
      <c r="A119" s="47" t="n"/>
      <c r="B119" s="41" t="n"/>
      <c r="C119" s="47" t="n"/>
      <c r="D119" s="207" t="n"/>
      <c r="E119" s="208" t="n"/>
      <c r="F119" s="207" t="n"/>
      <c r="G119" s="209" t="n"/>
      <c r="H119" s="210">
        <f>IF($A119="","",MAX(0,$F119-SUMIFS('02_NHAT_KY'!$H$7:$H$506,'02_NHAT_KY'!$C$7:$C$506,$A119,'02_NHAT_KY'!$A$7:$A$506,"&lt;="&amp;'03_BAO_CAO'!$E$4)))</f>
        <v/>
      </c>
      <c r="I119" s="51">
        <f>IF($A119="","",IF($H119&lt;=0,"Đã thanh toán",IF($G119="","Thiếu hạn",IF($G119&gt;='03_BAO_CAO'!$E$4,"Chưa đến hạn",IF('03_BAO_CAO'!$E$4-$G119&lt;=30,"1-30 ngày",IF('03_BAO_CAO'!$E$4-$G119&lt;=60,"31-60 ngày",IF('03_BAO_CAO'!$E$4-$G119&lt;=90,"61-90 ngày","Trên 90 ngày")))))))</f>
        <v/>
      </c>
      <c r="J119" s="51">
        <f>IF($A119="","",IF(COUNTIF($A$7:$A$206,$A119)&gt;1,"TRÙNG MÃ",IF(OR($B119="",$C119="",$D119&lt;0,$E119&lt;0,$F119&lt;0),"KIỂM TRA DỮ LIỆU",IF(AND($F119&gt;0,$G119=""),"THIẾU HẠN DƯ ĐẦU KỲ","OK"))))</f>
        <v/>
      </c>
    </row>
    <row r="120">
      <c r="A120" s="47" t="n"/>
      <c r="B120" s="41" t="n"/>
      <c r="C120" s="47" t="n"/>
      <c r="D120" s="207" t="n"/>
      <c r="E120" s="208" t="n"/>
      <c r="F120" s="207" t="n"/>
      <c r="G120" s="209" t="n"/>
      <c r="H120" s="210">
        <f>IF($A120="","",MAX(0,$F120-SUMIFS('02_NHAT_KY'!$H$7:$H$506,'02_NHAT_KY'!$C$7:$C$506,$A120,'02_NHAT_KY'!$A$7:$A$506,"&lt;="&amp;'03_BAO_CAO'!$E$4)))</f>
        <v/>
      </c>
      <c r="I120" s="51">
        <f>IF($A120="","",IF($H120&lt;=0,"Đã thanh toán",IF($G120="","Thiếu hạn",IF($G120&gt;='03_BAO_CAO'!$E$4,"Chưa đến hạn",IF('03_BAO_CAO'!$E$4-$G120&lt;=30,"1-30 ngày",IF('03_BAO_CAO'!$E$4-$G120&lt;=60,"31-60 ngày",IF('03_BAO_CAO'!$E$4-$G120&lt;=90,"61-90 ngày","Trên 90 ngày")))))))</f>
        <v/>
      </c>
      <c r="J120" s="51">
        <f>IF($A120="","",IF(COUNTIF($A$7:$A$206,$A120)&gt;1,"TRÙNG MÃ",IF(OR($B120="",$C120="",$D120&lt;0,$E120&lt;0,$F120&lt;0),"KIỂM TRA DỮ LIỆU",IF(AND($F120&gt;0,$G120=""),"THIẾU HẠN DƯ ĐẦU KỲ","OK"))))</f>
        <v/>
      </c>
    </row>
    <row r="121">
      <c r="A121" s="47" t="n"/>
      <c r="B121" s="41" t="n"/>
      <c r="C121" s="47" t="n"/>
      <c r="D121" s="207" t="n"/>
      <c r="E121" s="208" t="n"/>
      <c r="F121" s="207" t="n"/>
      <c r="G121" s="209" t="n"/>
      <c r="H121" s="210">
        <f>IF($A121="","",MAX(0,$F121-SUMIFS('02_NHAT_KY'!$H$7:$H$506,'02_NHAT_KY'!$C$7:$C$506,$A121,'02_NHAT_KY'!$A$7:$A$506,"&lt;="&amp;'03_BAO_CAO'!$E$4)))</f>
        <v/>
      </c>
      <c r="I121" s="51">
        <f>IF($A121="","",IF($H121&lt;=0,"Đã thanh toán",IF($G121="","Thiếu hạn",IF($G121&gt;='03_BAO_CAO'!$E$4,"Chưa đến hạn",IF('03_BAO_CAO'!$E$4-$G121&lt;=30,"1-30 ngày",IF('03_BAO_CAO'!$E$4-$G121&lt;=60,"31-60 ngày",IF('03_BAO_CAO'!$E$4-$G121&lt;=90,"61-90 ngày","Trên 90 ngày")))))))</f>
        <v/>
      </c>
      <c r="J121" s="51">
        <f>IF($A121="","",IF(COUNTIF($A$7:$A$206,$A121)&gt;1,"TRÙNG MÃ",IF(OR($B121="",$C121="",$D121&lt;0,$E121&lt;0,$F121&lt;0),"KIỂM TRA DỮ LIỆU",IF(AND($F121&gt;0,$G121=""),"THIẾU HẠN DƯ ĐẦU KỲ","OK"))))</f>
        <v/>
      </c>
    </row>
    <row r="122">
      <c r="A122" s="47" t="n"/>
      <c r="B122" s="41" t="n"/>
      <c r="C122" s="47" t="n"/>
      <c r="D122" s="207" t="n"/>
      <c r="E122" s="208" t="n"/>
      <c r="F122" s="207" t="n"/>
      <c r="G122" s="209" t="n"/>
      <c r="H122" s="210">
        <f>IF($A122="","",MAX(0,$F122-SUMIFS('02_NHAT_KY'!$H$7:$H$506,'02_NHAT_KY'!$C$7:$C$506,$A122,'02_NHAT_KY'!$A$7:$A$506,"&lt;="&amp;'03_BAO_CAO'!$E$4)))</f>
        <v/>
      </c>
      <c r="I122" s="51">
        <f>IF($A122="","",IF($H122&lt;=0,"Đã thanh toán",IF($G122="","Thiếu hạn",IF($G122&gt;='03_BAO_CAO'!$E$4,"Chưa đến hạn",IF('03_BAO_CAO'!$E$4-$G122&lt;=30,"1-30 ngày",IF('03_BAO_CAO'!$E$4-$G122&lt;=60,"31-60 ngày",IF('03_BAO_CAO'!$E$4-$G122&lt;=90,"61-90 ngày","Trên 90 ngày")))))))</f>
        <v/>
      </c>
      <c r="J122" s="51">
        <f>IF($A122="","",IF(COUNTIF($A$7:$A$206,$A122)&gt;1,"TRÙNG MÃ",IF(OR($B122="",$C122="",$D122&lt;0,$E122&lt;0,$F122&lt;0),"KIỂM TRA DỮ LIỆU",IF(AND($F122&gt;0,$G122=""),"THIẾU HẠN DƯ ĐẦU KỲ","OK"))))</f>
        <v/>
      </c>
    </row>
    <row r="123">
      <c r="A123" s="47" t="n"/>
      <c r="B123" s="41" t="n"/>
      <c r="C123" s="47" t="n"/>
      <c r="D123" s="207" t="n"/>
      <c r="E123" s="208" t="n"/>
      <c r="F123" s="207" t="n"/>
      <c r="G123" s="209" t="n"/>
      <c r="H123" s="210">
        <f>IF($A123="","",MAX(0,$F123-SUMIFS('02_NHAT_KY'!$H$7:$H$506,'02_NHAT_KY'!$C$7:$C$506,$A123,'02_NHAT_KY'!$A$7:$A$506,"&lt;="&amp;'03_BAO_CAO'!$E$4)))</f>
        <v/>
      </c>
      <c r="I123" s="51">
        <f>IF($A123="","",IF($H123&lt;=0,"Đã thanh toán",IF($G123="","Thiếu hạn",IF($G123&gt;='03_BAO_CAO'!$E$4,"Chưa đến hạn",IF('03_BAO_CAO'!$E$4-$G123&lt;=30,"1-30 ngày",IF('03_BAO_CAO'!$E$4-$G123&lt;=60,"31-60 ngày",IF('03_BAO_CAO'!$E$4-$G123&lt;=90,"61-90 ngày","Trên 90 ngày")))))))</f>
        <v/>
      </c>
      <c r="J123" s="51">
        <f>IF($A123="","",IF(COUNTIF($A$7:$A$206,$A123)&gt;1,"TRÙNG MÃ",IF(OR($B123="",$C123="",$D123&lt;0,$E123&lt;0,$F123&lt;0),"KIỂM TRA DỮ LIỆU",IF(AND($F123&gt;0,$G123=""),"THIẾU HẠN DƯ ĐẦU KỲ","OK"))))</f>
        <v/>
      </c>
    </row>
    <row r="124">
      <c r="A124" s="47" t="n"/>
      <c r="B124" s="41" t="n"/>
      <c r="C124" s="47" t="n"/>
      <c r="D124" s="207" t="n"/>
      <c r="E124" s="208" t="n"/>
      <c r="F124" s="207" t="n"/>
      <c r="G124" s="209" t="n"/>
      <c r="H124" s="210">
        <f>IF($A124="","",MAX(0,$F124-SUMIFS('02_NHAT_KY'!$H$7:$H$506,'02_NHAT_KY'!$C$7:$C$506,$A124,'02_NHAT_KY'!$A$7:$A$506,"&lt;="&amp;'03_BAO_CAO'!$E$4)))</f>
        <v/>
      </c>
      <c r="I124" s="51">
        <f>IF($A124="","",IF($H124&lt;=0,"Đã thanh toán",IF($G124="","Thiếu hạn",IF($G124&gt;='03_BAO_CAO'!$E$4,"Chưa đến hạn",IF('03_BAO_CAO'!$E$4-$G124&lt;=30,"1-30 ngày",IF('03_BAO_CAO'!$E$4-$G124&lt;=60,"31-60 ngày",IF('03_BAO_CAO'!$E$4-$G124&lt;=90,"61-90 ngày","Trên 90 ngày")))))))</f>
        <v/>
      </c>
      <c r="J124" s="51">
        <f>IF($A124="","",IF(COUNTIF($A$7:$A$206,$A124)&gt;1,"TRÙNG MÃ",IF(OR($B124="",$C124="",$D124&lt;0,$E124&lt;0,$F124&lt;0),"KIỂM TRA DỮ LIỆU",IF(AND($F124&gt;0,$G124=""),"THIẾU HẠN DƯ ĐẦU KỲ","OK"))))</f>
        <v/>
      </c>
    </row>
    <row r="125">
      <c r="A125" s="47" t="n"/>
      <c r="B125" s="41" t="n"/>
      <c r="C125" s="47" t="n"/>
      <c r="D125" s="207" t="n"/>
      <c r="E125" s="208" t="n"/>
      <c r="F125" s="207" t="n"/>
      <c r="G125" s="209" t="n"/>
      <c r="H125" s="210">
        <f>IF($A125="","",MAX(0,$F125-SUMIFS('02_NHAT_KY'!$H$7:$H$506,'02_NHAT_KY'!$C$7:$C$506,$A125,'02_NHAT_KY'!$A$7:$A$506,"&lt;="&amp;'03_BAO_CAO'!$E$4)))</f>
        <v/>
      </c>
      <c r="I125" s="51">
        <f>IF($A125="","",IF($H125&lt;=0,"Đã thanh toán",IF($G125="","Thiếu hạn",IF($G125&gt;='03_BAO_CAO'!$E$4,"Chưa đến hạn",IF('03_BAO_CAO'!$E$4-$G125&lt;=30,"1-30 ngày",IF('03_BAO_CAO'!$E$4-$G125&lt;=60,"31-60 ngày",IF('03_BAO_CAO'!$E$4-$G125&lt;=90,"61-90 ngày","Trên 90 ngày")))))))</f>
        <v/>
      </c>
      <c r="J125" s="51">
        <f>IF($A125="","",IF(COUNTIF($A$7:$A$206,$A125)&gt;1,"TRÙNG MÃ",IF(OR($B125="",$C125="",$D125&lt;0,$E125&lt;0,$F125&lt;0),"KIỂM TRA DỮ LIỆU",IF(AND($F125&gt;0,$G125=""),"THIẾU HẠN DƯ ĐẦU KỲ","OK"))))</f>
        <v/>
      </c>
    </row>
    <row r="126">
      <c r="A126" s="47" t="n"/>
      <c r="B126" s="41" t="n"/>
      <c r="C126" s="47" t="n"/>
      <c r="D126" s="207" t="n"/>
      <c r="E126" s="208" t="n"/>
      <c r="F126" s="207" t="n"/>
      <c r="G126" s="209" t="n"/>
      <c r="H126" s="210">
        <f>IF($A126="","",MAX(0,$F126-SUMIFS('02_NHAT_KY'!$H$7:$H$506,'02_NHAT_KY'!$C$7:$C$506,$A126,'02_NHAT_KY'!$A$7:$A$506,"&lt;="&amp;'03_BAO_CAO'!$E$4)))</f>
        <v/>
      </c>
      <c r="I126" s="51">
        <f>IF($A126="","",IF($H126&lt;=0,"Đã thanh toán",IF($G126="","Thiếu hạn",IF($G126&gt;='03_BAO_CAO'!$E$4,"Chưa đến hạn",IF('03_BAO_CAO'!$E$4-$G126&lt;=30,"1-30 ngày",IF('03_BAO_CAO'!$E$4-$G126&lt;=60,"31-60 ngày",IF('03_BAO_CAO'!$E$4-$G126&lt;=90,"61-90 ngày","Trên 90 ngày")))))))</f>
        <v/>
      </c>
      <c r="J126" s="51">
        <f>IF($A126="","",IF(COUNTIF($A$7:$A$206,$A126)&gt;1,"TRÙNG MÃ",IF(OR($B126="",$C126="",$D126&lt;0,$E126&lt;0,$F126&lt;0),"KIỂM TRA DỮ LIỆU",IF(AND($F126&gt;0,$G126=""),"THIẾU HẠN DƯ ĐẦU KỲ","OK"))))</f>
        <v/>
      </c>
    </row>
    <row r="127">
      <c r="A127" s="47" t="n"/>
      <c r="B127" s="41" t="n"/>
      <c r="C127" s="47" t="n"/>
      <c r="D127" s="207" t="n"/>
      <c r="E127" s="208" t="n"/>
      <c r="F127" s="207" t="n"/>
      <c r="G127" s="209" t="n"/>
      <c r="H127" s="210">
        <f>IF($A127="","",MAX(0,$F127-SUMIFS('02_NHAT_KY'!$H$7:$H$506,'02_NHAT_KY'!$C$7:$C$506,$A127,'02_NHAT_KY'!$A$7:$A$506,"&lt;="&amp;'03_BAO_CAO'!$E$4)))</f>
        <v/>
      </c>
      <c r="I127" s="51">
        <f>IF($A127="","",IF($H127&lt;=0,"Đã thanh toán",IF($G127="","Thiếu hạn",IF($G127&gt;='03_BAO_CAO'!$E$4,"Chưa đến hạn",IF('03_BAO_CAO'!$E$4-$G127&lt;=30,"1-30 ngày",IF('03_BAO_CAO'!$E$4-$G127&lt;=60,"31-60 ngày",IF('03_BAO_CAO'!$E$4-$G127&lt;=90,"61-90 ngày","Trên 90 ngày")))))))</f>
        <v/>
      </c>
      <c r="J127" s="51">
        <f>IF($A127="","",IF(COUNTIF($A$7:$A$206,$A127)&gt;1,"TRÙNG MÃ",IF(OR($B127="",$C127="",$D127&lt;0,$E127&lt;0,$F127&lt;0),"KIỂM TRA DỮ LIỆU",IF(AND($F127&gt;0,$G127=""),"THIẾU HẠN DƯ ĐẦU KỲ","OK"))))</f>
        <v/>
      </c>
    </row>
    <row r="128">
      <c r="A128" s="47" t="n"/>
      <c r="B128" s="41" t="n"/>
      <c r="C128" s="47" t="n"/>
      <c r="D128" s="207" t="n"/>
      <c r="E128" s="208" t="n"/>
      <c r="F128" s="207" t="n"/>
      <c r="G128" s="209" t="n"/>
      <c r="H128" s="210">
        <f>IF($A128="","",MAX(0,$F128-SUMIFS('02_NHAT_KY'!$H$7:$H$506,'02_NHAT_KY'!$C$7:$C$506,$A128,'02_NHAT_KY'!$A$7:$A$506,"&lt;="&amp;'03_BAO_CAO'!$E$4)))</f>
        <v/>
      </c>
      <c r="I128" s="51">
        <f>IF($A128="","",IF($H128&lt;=0,"Đã thanh toán",IF($G128="","Thiếu hạn",IF($G128&gt;='03_BAO_CAO'!$E$4,"Chưa đến hạn",IF('03_BAO_CAO'!$E$4-$G128&lt;=30,"1-30 ngày",IF('03_BAO_CAO'!$E$4-$G128&lt;=60,"31-60 ngày",IF('03_BAO_CAO'!$E$4-$G128&lt;=90,"61-90 ngày","Trên 90 ngày")))))))</f>
        <v/>
      </c>
      <c r="J128" s="51">
        <f>IF($A128="","",IF(COUNTIF($A$7:$A$206,$A128)&gt;1,"TRÙNG MÃ",IF(OR($B128="",$C128="",$D128&lt;0,$E128&lt;0,$F128&lt;0),"KIỂM TRA DỮ LIỆU",IF(AND($F128&gt;0,$G128=""),"THIẾU HẠN DƯ ĐẦU KỲ","OK"))))</f>
        <v/>
      </c>
    </row>
    <row r="129">
      <c r="A129" s="47" t="n"/>
      <c r="B129" s="41" t="n"/>
      <c r="C129" s="47" t="n"/>
      <c r="D129" s="207" t="n"/>
      <c r="E129" s="208" t="n"/>
      <c r="F129" s="207" t="n"/>
      <c r="G129" s="209" t="n"/>
      <c r="H129" s="210">
        <f>IF($A129="","",MAX(0,$F129-SUMIFS('02_NHAT_KY'!$H$7:$H$506,'02_NHAT_KY'!$C$7:$C$506,$A129,'02_NHAT_KY'!$A$7:$A$506,"&lt;="&amp;'03_BAO_CAO'!$E$4)))</f>
        <v/>
      </c>
      <c r="I129" s="51">
        <f>IF($A129="","",IF($H129&lt;=0,"Đã thanh toán",IF($G129="","Thiếu hạn",IF($G129&gt;='03_BAO_CAO'!$E$4,"Chưa đến hạn",IF('03_BAO_CAO'!$E$4-$G129&lt;=30,"1-30 ngày",IF('03_BAO_CAO'!$E$4-$G129&lt;=60,"31-60 ngày",IF('03_BAO_CAO'!$E$4-$G129&lt;=90,"61-90 ngày","Trên 90 ngày")))))))</f>
        <v/>
      </c>
      <c r="J129" s="51">
        <f>IF($A129="","",IF(COUNTIF($A$7:$A$206,$A129)&gt;1,"TRÙNG MÃ",IF(OR($B129="",$C129="",$D129&lt;0,$E129&lt;0,$F129&lt;0),"KIỂM TRA DỮ LIỆU",IF(AND($F129&gt;0,$G129=""),"THIẾU HẠN DƯ ĐẦU KỲ","OK"))))</f>
        <v/>
      </c>
    </row>
    <row r="130">
      <c r="A130" s="47" t="n"/>
      <c r="B130" s="41" t="n"/>
      <c r="C130" s="47" t="n"/>
      <c r="D130" s="207" t="n"/>
      <c r="E130" s="208" t="n"/>
      <c r="F130" s="207" t="n"/>
      <c r="G130" s="209" t="n"/>
      <c r="H130" s="210">
        <f>IF($A130="","",MAX(0,$F130-SUMIFS('02_NHAT_KY'!$H$7:$H$506,'02_NHAT_KY'!$C$7:$C$506,$A130,'02_NHAT_KY'!$A$7:$A$506,"&lt;="&amp;'03_BAO_CAO'!$E$4)))</f>
        <v/>
      </c>
      <c r="I130" s="51">
        <f>IF($A130="","",IF($H130&lt;=0,"Đã thanh toán",IF($G130="","Thiếu hạn",IF($G130&gt;='03_BAO_CAO'!$E$4,"Chưa đến hạn",IF('03_BAO_CAO'!$E$4-$G130&lt;=30,"1-30 ngày",IF('03_BAO_CAO'!$E$4-$G130&lt;=60,"31-60 ngày",IF('03_BAO_CAO'!$E$4-$G130&lt;=90,"61-90 ngày","Trên 90 ngày")))))))</f>
        <v/>
      </c>
      <c r="J130" s="51">
        <f>IF($A130="","",IF(COUNTIF($A$7:$A$206,$A130)&gt;1,"TRÙNG MÃ",IF(OR($B130="",$C130="",$D130&lt;0,$E130&lt;0,$F130&lt;0),"KIỂM TRA DỮ LIỆU",IF(AND($F130&gt;0,$G130=""),"THIẾU HẠN DƯ ĐẦU KỲ","OK"))))</f>
        <v/>
      </c>
    </row>
    <row r="131">
      <c r="A131" s="47" t="n"/>
      <c r="B131" s="41" t="n"/>
      <c r="C131" s="47" t="n"/>
      <c r="D131" s="207" t="n"/>
      <c r="E131" s="208" t="n"/>
      <c r="F131" s="207" t="n"/>
      <c r="G131" s="209" t="n"/>
      <c r="H131" s="210">
        <f>IF($A131="","",MAX(0,$F131-SUMIFS('02_NHAT_KY'!$H$7:$H$506,'02_NHAT_KY'!$C$7:$C$506,$A131,'02_NHAT_KY'!$A$7:$A$506,"&lt;="&amp;'03_BAO_CAO'!$E$4)))</f>
        <v/>
      </c>
      <c r="I131" s="51">
        <f>IF($A131="","",IF($H131&lt;=0,"Đã thanh toán",IF($G131="","Thiếu hạn",IF($G131&gt;='03_BAO_CAO'!$E$4,"Chưa đến hạn",IF('03_BAO_CAO'!$E$4-$G131&lt;=30,"1-30 ngày",IF('03_BAO_CAO'!$E$4-$G131&lt;=60,"31-60 ngày",IF('03_BAO_CAO'!$E$4-$G131&lt;=90,"61-90 ngày","Trên 90 ngày")))))))</f>
        <v/>
      </c>
      <c r="J131" s="51">
        <f>IF($A131="","",IF(COUNTIF($A$7:$A$206,$A131)&gt;1,"TRÙNG MÃ",IF(OR($B131="",$C131="",$D131&lt;0,$E131&lt;0,$F131&lt;0),"KIỂM TRA DỮ LIỆU",IF(AND($F131&gt;0,$G131=""),"THIẾU HẠN DƯ ĐẦU KỲ","OK"))))</f>
        <v/>
      </c>
    </row>
    <row r="132">
      <c r="A132" s="47" t="n"/>
      <c r="B132" s="41" t="n"/>
      <c r="C132" s="47" t="n"/>
      <c r="D132" s="207" t="n"/>
      <c r="E132" s="208" t="n"/>
      <c r="F132" s="207" t="n"/>
      <c r="G132" s="209" t="n"/>
      <c r="H132" s="210">
        <f>IF($A132="","",MAX(0,$F132-SUMIFS('02_NHAT_KY'!$H$7:$H$506,'02_NHAT_KY'!$C$7:$C$506,$A132,'02_NHAT_KY'!$A$7:$A$506,"&lt;="&amp;'03_BAO_CAO'!$E$4)))</f>
        <v/>
      </c>
      <c r="I132" s="51">
        <f>IF($A132="","",IF($H132&lt;=0,"Đã thanh toán",IF($G132="","Thiếu hạn",IF($G132&gt;='03_BAO_CAO'!$E$4,"Chưa đến hạn",IF('03_BAO_CAO'!$E$4-$G132&lt;=30,"1-30 ngày",IF('03_BAO_CAO'!$E$4-$G132&lt;=60,"31-60 ngày",IF('03_BAO_CAO'!$E$4-$G132&lt;=90,"61-90 ngày","Trên 90 ngày")))))))</f>
        <v/>
      </c>
      <c r="J132" s="51">
        <f>IF($A132="","",IF(COUNTIF($A$7:$A$206,$A132)&gt;1,"TRÙNG MÃ",IF(OR($B132="",$C132="",$D132&lt;0,$E132&lt;0,$F132&lt;0),"KIỂM TRA DỮ LIỆU",IF(AND($F132&gt;0,$G132=""),"THIẾU HẠN DƯ ĐẦU KỲ","OK"))))</f>
        <v/>
      </c>
    </row>
    <row r="133">
      <c r="A133" s="47" t="n"/>
      <c r="B133" s="41" t="n"/>
      <c r="C133" s="47" t="n"/>
      <c r="D133" s="207" t="n"/>
      <c r="E133" s="208" t="n"/>
      <c r="F133" s="207" t="n"/>
      <c r="G133" s="209" t="n"/>
      <c r="H133" s="210">
        <f>IF($A133="","",MAX(0,$F133-SUMIFS('02_NHAT_KY'!$H$7:$H$506,'02_NHAT_KY'!$C$7:$C$506,$A133,'02_NHAT_KY'!$A$7:$A$506,"&lt;="&amp;'03_BAO_CAO'!$E$4)))</f>
        <v/>
      </c>
      <c r="I133" s="51">
        <f>IF($A133="","",IF($H133&lt;=0,"Đã thanh toán",IF($G133="","Thiếu hạn",IF($G133&gt;='03_BAO_CAO'!$E$4,"Chưa đến hạn",IF('03_BAO_CAO'!$E$4-$G133&lt;=30,"1-30 ngày",IF('03_BAO_CAO'!$E$4-$G133&lt;=60,"31-60 ngày",IF('03_BAO_CAO'!$E$4-$G133&lt;=90,"61-90 ngày","Trên 90 ngày")))))))</f>
        <v/>
      </c>
      <c r="J133" s="51">
        <f>IF($A133="","",IF(COUNTIF($A$7:$A$206,$A133)&gt;1,"TRÙNG MÃ",IF(OR($B133="",$C133="",$D133&lt;0,$E133&lt;0,$F133&lt;0),"KIỂM TRA DỮ LIỆU",IF(AND($F133&gt;0,$G133=""),"THIẾU HẠN DƯ ĐẦU KỲ","OK"))))</f>
        <v/>
      </c>
    </row>
    <row r="134">
      <c r="A134" s="47" t="n"/>
      <c r="B134" s="41" t="n"/>
      <c r="C134" s="47" t="n"/>
      <c r="D134" s="207" t="n"/>
      <c r="E134" s="208" t="n"/>
      <c r="F134" s="207" t="n"/>
      <c r="G134" s="209" t="n"/>
      <c r="H134" s="210">
        <f>IF($A134="","",MAX(0,$F134-SUMIFS('02_NHAT_KY'!$H$7:$H$506,'02_NHAT_KY'!$C$7:$C$506,$A134,'02_NHAT_KY'!$A$7:$A$506,"&lt;="&amp;'03_BAO_CAO'!$E$4)))</f>
        <v/>
      </c>
      <c r="I134" s="51">
        <f>IF($A134="","",IF($H134&lt;=0,"Đã thanh toán",IF($G134="","Thiếu hạn",IF($G134&gt;='03_BAO_CAO'!$E$4,"Chưa đến hạn",IF('03_BAO_CAO'!$E$4-$G134&lt;=30,"1-30 ngày",IF('03_BAO_CAO'!$E$4-$G134&lt;=60,"31-60 ngày",IF('03_BAO_CAO'!$E$4-$G134&lt;=90,"61-90 ngày","Trên 90 ngày")))))))</f>
        <v/>
      </c>
      <c r="J134" s="51">
        <f>IF($A134="","",IF(COUNTIF($A$7:$A$206,$A134)&gt;1,"TRÙNG MÃ",IF(OR($B134="",$C134="",$D134&lt;0,$E134&lt;0,$F134&lt;0),"KIỂM TRA DỮ LIỆU",IF(AND($F134&gt;0,$G134=""),"THIẾU HẠN DƯ ĐẦU KỲ","OK"))))</f>
        <v/>
      </c>
    </row>
    <row r="135">
      <c r="A135" s="47" t="n"/>
      <c r="B135" s="41" t="n"/>
      <c r="C135" s="47" t="n"/>
      <c r="D135" s="207" t="n"/>
      <c r="E135" s="208" t="n"/>
      <c r="F135" s="207" t="n"/>
      <c r="G135" s="209" t="n"/>
      <c r="H135" s="210">
        <f>IF($A135="","",MAX(0,$F135-SUMIFS('02_NHAT_KY'!$H$7:$H$506,'02_NHAT_KY'!$C$7:$C$506,$A135,'02_NHAT_KY'!$A$7:$A$506,"&lt;="&amp;'03_BAO_CAO'!$E$4)))</f>
        <v/>
      </c>
      <c r="I135" s="51">
        <f>IF($A135="","",IF($H135&lt;=0,"Đã thanh toán",IF($G135="","Thiếu hạn",IF($G135&gt;='03_BAO_CAO'!$E$4,"Chưa đến hạn",IF('03_BAO_CAO'!$E$4-$G135&lt;=30,"1-30 ngày",IF('03_BAO_CAO'!$E$4-$G135&lt;=60,"31-60 ngày",IF('03_BAO_CAO'!$E$4-$G135&lt;=90,"61-90 ngày","Trên 90 ngày")))))))</f>
        <v/>
      </c>
      <c r="J135" s="51">
        <f>IF($A135="","",IF(COUNTIF($A$7:$A$206,$A135)&gt;1,"TRÙNG MÃ",IF(OR($B135="",$C135="",$D135&lt;0,$E135&lt;0,$F135&lt;0),"KIỂM TRA DỮ LIỆU",IF(AND($F135&gt;0,$G135=""),"THIẾU HẠN DƯ ĐẦU KỲ","OK"))))</f>
        <v/>
      </c>
    </row>
    <row r="136">
      <c r="A136" s="47" t="n"/>
      <c r="B136" s="41" t="n"/>
      <c r="C136" s="47" t="n"/>
      <c r="D136" s="207" t="n"/>
      <c r="E136" s="208" t="n"/>
      <c r="F136" s="207" t="n"/>
      <c r="G136" s="209" t="n"/>
      <c r="H136" s="210">
        <f>IF($A136="","",MAX(0,$F136-SUMIFS('02_NHAT_KY'!$H$7:$H$506,'02_NHAT_KY'!$C$7:$C$506,$A136,'02_NHAT_KY'!$A$7:$A$506,"&lt;="&amp;'03_BAO_CAO'!$E$4)))</f>
        <v/>
      </c>
      <c r="I136" s="51">
        <f>IF($A136="","",IF($H136&lt;=0,"Đã thanh toán",IF($G136="","Thiếu hạn",IF($G136&gt;='03_BAO_CAO'!$E$4,"Chưa đến hạn",IF('03_BAO_CAO'!$E$4-$G136&lt;=30,"1-30 ngày",IF('03_BAO_CAO'!$E$4-$G136&lt;=60,"31-60 ngày",IF('03_BAO_CAO'!$E$4-$G136&lt;=90,"61-90 ngày","Trên 90 ngày")))))))</f>
        <v/>
      </c>
      <c r="J136" s="51">
        <f>IF($A136="","",IF(COUNTIF($A$7:$A$206,$A136)&gt;1,"TRÙNG MÃ",IF(OR($B136="",$C136="",$D136&lt;0,$E136&lt;0,$F136&lt;0),"KIỂM TRA DỮ LIỆU",IF(AND($F136&gt;0,$G136=""),"THIẾU HẠN DƯ ĐẦU KỲ","OK"))))</f>
        <v/>
      </c>
    </row>
    <row r="137">
      <c r="A137" s="47" t="n"/>
      <c r="B137" s="41" t="n"/>
      <c r="C137" s="47" t="n"/>
      <c r="D137" s="207" t="n"/>
      <c r="E137" s="208" t="n"/>
      <c r="F137" s="207" t="n"/>
      <c r="G137" s="209" t="n"/>
      <c r="H137" s="210">
        <f>IF($A137="","",MAX(0,$F137-SUMIFS('02_NHAT_KY'!$H$7:$H$506,'02_NHAT_KY'!$C$7:$C$506,$A137,'02_NHAT_KY'!$A$7:$A$506,"&lt;="&amp;'03_BAO_CAO'!$E$4)))</f>
        <v/>
      </c>
      <c r="I137" s="51">
        <f>IF($A137="","",IF($H137&lt;=0,"Đã thanh toán",IF($G137="","Thiếu hạn",IF($G137&gt;='03_BAO_CAO'!$E$4,"Chưa đến hạn",IF('03_BAO_CAO'!$E$4-$G137&lt;=30,"1-30 ngày",IF('03_BAO_CAO'!$E$4-$G137&lt;=60,"31-60 ngày",IF('03_BAO_CAO'!$E$4-$G137&lt;=90,"61-90 ngày","Trên 90 ngày")))))))</f>
        <v/>
      </c>
      <c r="J137" s="51">
        <f>IF($A137="","",IF(COUNTIF($A$7:$A$206,$A137)&gt;1,"TRÙNG MÃ",IF(OR($B137="",$C137="",$D137&lt;0,$E137&lt;0,$F137&lt;0),"KIỂM TRA DỮ LIỆU",IF(AND($F137&gt;0,$G137=""),"THIẾU HẠN DƯ ĐẦU KỲ","OK"))))</f>
        <v/>
      </c>
    </row>
    <row r="138">
      <c r="A138" s="47" t="n"/>
      <c r="B138" s="41" t="n"/>
      <c r="C138" s="47" t="n"/>
      <c r="D138" s="207" t="n"/>
      <c r="E138" s="208" t="n"/>
      <c r="F138" s="207" t="n"/>
      <c r="G138" s="209" t="n"/>
      <c r="H138" s="210">
        <f>IF($A138="","",MAX(0,$F138-SUMIFS('02_NHAT_KY'!$H$7:$H$506,'02_NHAT_KY'!$C$7:$C$506,$A138,'02_NHAT_KY'!$A$7:$A$506,"&lt;="&amp;'03_BAO_CAO'!$E$4)))</f>
        <v/>
      </c>
      <c r="I138" s="51">
        <f>IF($A138="","",IF($H138&lt;=0,"Đã thanh toán",IF($G138="","Thiếu hạn",IF($G138&gt;='03_BAO_CAO'!$E$4,"Chưa đến hạn",IF('03_BAO_CAO'!$E$4-$G138&lt;=30,"1-30 ngày",IF('03_BAO_CAO'!$E$4-$G138&lt;=60,"31-60 ngày",IF('03_BAO_CAO'!$E$4-$G138&lt;=90,"61-90 ngày","Trên 90 ngày")))))))</f>
        <v/>
      </c>
      <c r="J138" s="51">
        <f>IF($A138="","",IF(COUNTIF($A$7:$A$206,$A138)&gt;1,"TRÙNG MÃ",IF(OR($B138="",$C138="",$D138&lt;0,$E138&lt;0,$F138&lt;0),"KIỂM TRA DỮ LIỆU",IF(AND($F138&gt;0,$G138=""),"THIẾU HẠN DƯ ĐẦU KỲ","OK"))))</f>
        <v/>
      </c>
    </row>
    <row r="139">
      <c r="A139" s="47" t="n"/>
      <c r="B139" s="41" t="n"/>
      <c r="C139" s="47" t="n"/>
      <c r="D139" s="207" t="n"/>
      <c r="E139" s="208" t="n"/>
      <c r="F139" s="207" t="n"/>
      <c r="G139" s="209" t="n"/>
      <c r="H139" s="210">
        <f>IF($A139="","",MAX(0,$F139-SUMIFS('02_NHAT_KY'!$H$7:$H$506,'02_NHAT_KY'!$C$7:$C$506,$A139,'02_NHAT_KY'!$A$7:$A$506,"&lt;="&amp;'03_BAO_CAO'!$E$4)))</f>
        <v/>
      </c>
      <c r="I139" s="51">
        <f>IF($A139="","",IF($H139&lt;=0,"Đã thanh toán",IF($G139="","Thiếu hạn",IF($G139&gt;='03_BAO_CAO'!$E$4,"Chưa đến hạn",IF('03_BAO_CAO'!$E$4-$G139&lt;=30,"1-30 ngày",IF('03_BAO_CAO'!$E$4-$G139&lt;=60,"31-60 ngày",IF('03_BAO_CAO'!$E$4-$G139&lt;=90,"61-90 ngày","Trên 90 ngày")))))))</f>
        <v/>
      </c>
      <c r="J139" s="51">
        <f>IF($A139="","",IF(COUNTIF($A$7:$A$206,$A139)&gt;1,"TRÙNG MÃ",IF(OR($B139="",$C139="",$D139&lt;0,$E139&lt;0,$F139&lt;0),"KIỂM TRA DỮ LIỆU",IF(AND($F139&gt;0,$G139=""),"THIẾU HẠN DƯ ĐẦU KỲ","OK"))))</f>
        <v/>
      </c>
    </row>
    <row r="140">
      <c r="A140" s="47" t="n"/>
      <c r="B140" s="41" t="n"/>
      <c r="C140" s="47" t="n"/>
      <c r="D140" s="207" t="n"/>
      <c r="E140" s="208" t="n"/>
      <c r="F140" s="207" t="n"/>
      <c r="G140" s="209" t="n"/>
      <c r="H140" s="210">
        <f>IF($A140="","",MAX(0,$F140-SUMIFS('02_NHAT_KY'!$H$7:$H$506,'02_NHAT_KY'!$C$7:$C$506,$A140,'02_NHAT_KY'!$A$7:$A$506,"&lt;="&amp;'03_BAO_CAO'!$E$4)))</f>
        <v/>
      </c>
      <c r="I140" s="51">
        <f>IF($A140="","",IF($H140&lt;=0,"Đã thanh toán",IF($G140="","Thiếu hạn",IF($G140&gt;='03_BAO_CAO'!$E$4,"Chưa đến hạn",IF('03_BAO_CAO'!$E$4-$G140&lt;=30,"1-30 ngày",IF('03_BAO_CAO'!$E$4-$G140&lt;=60,"31-60 ngày",IF('03_BAO_CAO'!$E$4-$G140&lt;=90,"61-90 ngày","Trên 90 ngày")))))))</f>
        <v/>
      </c>
      <c r="J140" s="51">
        <f>IF($A140="","",IF(COUNTIF($A$7:$A$206,$A140)&gt;1,"TRÙNG MÃ",IF(OR($B140="",$C140="",$D140&lt;0,$E140&lt;0,$F140&lt;0),"KIỂM TRA DỮ LIỆU",IF(AND($F140&gt;0,$G140=""),"THIẾU HẠN DƯ ĐẦU KỲ","OK"))))</f>
        <v/>
      </c>
    </row>
    <row r="141">
      <c r="A141" s="47" t="n"/>
      <c r="B141" s="41" t="n"/>
      <c r="C141" s="47" t="n"/>
      <c r="D141" s="207" t="n"/>
      <c r="E141" s="208" t="n"/>
      <c r="F141" s="207" t="n"/>
      <c r="G141" s="209" t="n"/>
      <c r="H141" s="210">
        <f>IF($A141="","",MAX(0,$F141-SUMIFS('02_NHAT_KY'!$H$7:$H$506,'02_NHAT_KY'!$C$7:$C$506,$A141,'02_NHAT_KY'!$A$7:$A$506,"&lt;="&amp;'03_BAO_CAO'!$E$4)))</f>
        <v/>
      </c>
      <c r="I141" s="51">
        <f>IF($A141="","",IF($H141&lt;=0,"Đã thanh toán",IF($G141="","Thiếu hạn",IF($G141&gt;='03_BAO_CAO'!$E$4,"Chưa đến hạn",IF('03_BAO_CAO'!$E$4-$G141&lt;=30,"1-30 ngày",IF('03_BAO_CAO'!$E$4-$G141&lt;=60,"31-60 ngày",IF('03_BAO_CAO'!$E$4-$G141&lt;=90,"61-90 ngày","Trên 90 ngày")))))))</f>
        <v/>
      </c>
      <c r="J141" s="51">
        <f>IF($A141="","",IF(COUNTIF($A$7:$A$206,$A141)&gt;1,"TRÙNG MÃ",IF(OR($B141="",$C141="",$D141&lt;0,$E141&lt;0,$F141&lt;0),"KIỂM TRA DỮ LIỆU",IF(AND($F141&gt;0,$G141=""),"THIẾU HẠN DƯ ĐẦU KỲ","OK"))))</f>
        <v/>
      </c>
    </row>
    <row r="142">
      <c r="A142" s="47" t="n"/>
      <c r="B142" s="41" t="n"/>
      <c r="C142" s="47" t="n"/>
      <c r="D142" s="207" t="n"/>
      <c r="E142" s="208" t="n"/>
      <c r="F142" s="207" t="n"/>
      <c r="G142" s="209" t="n"/>
      <c r="H142" s="210">
        <f>IF($A142="","",MAX(0,$F142-SUMIFS('02_NHAT_KY'!$H$7:$H$506,'02_NHAT_KY'!$C$7:$C$506,$A142,'02_NHAT_KY'!$A$7:$A$506,"&lt;="&amp;'03_BAO_CAO'!$E$4)))</f>
        <v/>
      </c>
      <c r="I142" s="51">
        <f>IF($A142="","",IF($H142&lt;=0,"Đã thanh toán",IF($G142="","Thiếu hạn",IF($G142&gt;='03_BAO_CAO'!$E$4,"Chưa đến hạn",IF('03_BAO_CAO'!$E$4-$G142&lt;=30,"1-30 ngày",IF('03_BAO_CAO'!$E$4-$G142&lt;=60,"31-60 ngày",IF('03_BAO_CAO'!$E$4-$G142&lt;=90,"61-90 ngày","Trên 90 ngày")))))))</f>
        <v/>
      </c>
      <c r="J142" s="51">
        <f>IF($A142="","",IF(COUNTIF($A$7:$A$206,$A142)&gt;1,"TRÙNG MÃ",IF(OR($B142="",$C142="",$D142&lt;0,$E142&lt;0,$F142&lt;0),"KIỂM TRA DỮ LIỆU",IF(AND($F142&gt;0,$G142=""),"THIẾU HẠN DƯ ĐẦU KỲ","OK"))))</f>
        <v/>
      </c>
    </row>
    <row r="143">
      <c r="A143" s="47" t="n"/>
      <c r="B143" s="41" t="n"/>
      <c r="C143" s="47" t="n"/>
      <c r="D143" s="207" t="n"/>
      <c r="E143" s="208" t="n"/>
      <c r="F143" s="207" t="n"/>
      <c r="G143" s="209" t="n"/>
      <c r="H143" s="210">
        <f>IF($A143="","",MAX(0,$F143-SUMIFS('02_NHAT_KY'!$H$7:$H$506,'02_NHAT_KY'!$C$7:$C$506,$A143,'02_NHAT_KY'!$A$7:$A$506,"&lt;="&amp;'03_BAO_CAO'!$E$4)))</f>
        <v/>
      </c>
      <c r="I143" s="51">
        <f>IF($A143="","",IF($H143&lt;=0,"Đã thanh toán",IF($G143="","Thiếu hạn",IF($G143&gt;='03_BAO_CAO'!$E$4,"Chưa đến hạn",IF('03_BAO_CAO'!$E$4-$G143&lt;=30,"1-30 ngày",IF('03_BAO_CAO'!$E$4-$G143&lt;=60,"31-60 ngày",IF('03_BAO_CAO'!$E$4-$G143&lt;=90,"61-90 ngày","Trên 90 ngày")))))))</f>
        <v/>
      </c>
      <c r="J143" s="51">
        <f>IF($A143="","",IF(COUNTIF($A$7:$A$206,$A143)&gt;1,"TRÙNG MÃ",IF(OR($B143="",$C143="",$D143&lt;0,$E143&lt;0,$F143&lt;0),"KIỂM TRA DỮ LIỆU",IF(AND($F143&gt;0,$G143=""),"THIẾU HẠN DƯ ĐẦU KỲ","OK"))))</f>
        <v/>
      </c>
    </row>
    <row r="144">
      <c r="A144" s="47" t="n"/>
      <c r="B144" s="41" t="n"/>
      <c r="C144" s="47" t="n"/>
      <c r="D144" s="207" t="n"/>
      <c r="E144" s="208" t="n"/>
      <c r="F144" s="207" t="n"/>
      <c r="G144" s="209" t="n"/>
      <c r="H144" s="210">
        <f>IF($A144="","",MAX(0,$F144-SUMIFS('02_NHAT_KY'!$H$7:$H$506,'02_NHAT_KY'!$C$7:$C$506,$A144,'02_NHAT_KY'!$A$7:$A$506,"&lt;="&amp;'03_BAO_CAO'!$E$4)))</f>
        <v/>
      </c>
      <c r="I144" s="51">
        <f>IF($A144="","",IF($H144&lt;=0,"Đã thanh toán",IF($G144="","Thiếu hạn",IF($G144&gt;='03_BAO_CAO'!$E$4,"Chưa đến hạn",IF('03_BAO_CAO'!$E$4-$G144&lt;=30,"1-30 ngày",IF('03_BAO_CAO'!$E$4-$G144&lt;=60,"31-60 ngày",IF('03_BAO_CAO'!$E$4-$G144&lt;=90,"61-90 ngày","Trên 90 ngày")))))))</f>
        <v/>
      </c>
      <c r="J144" s="51">
        <f>IF($A144="","",IF(COUNTIF($A$7:$A$206,$A144)&gt;1,"TRÙNG MÃ",IF(OR($B144="",$C144="",$D144&lt;0,$E144&lt;0,$F144&lt;0),"KIỂM TRA DỮ LIỆU",IF(AND($F144&gt;0,$G144=""),"THIẾU HẠN DƯ ĐẦU KỲ","OK"))))</f>
        <v/>
      </c>
    </row>
    <row r="145">
      <c r="A145" s="47" t="n"/>
      <c r="B145" s="41" t="n"/>
      <c r="C145" s="47" t="n"/>
      <c r="D145" s="207" t="n"/>
      <c r="E145" s="208" t="n"/>
      <c r="F145" s="207" t="n"/>
      <c r="G145" s="209" t="n"/>
      <c r="H145" s="210">
        <f>IF($A145="","",MAX(0,$F145-SUMIFS('02_NHAT_KY'!$H$7:$H$506,'02_NHAT_KY'!$C$7:$C$506,$A145,'02_NHAT_KY'!$A$7:$A$506,"&lt;="&amp;'03_BAO_CAO'!$E$4)))</f>
        <v/>
      </c>
      <c r="I145" s="51">
        <f>IF($A145="","",IF($H145&lt;=0,"Đã thanh toán",IF($G145="","Thiếu hạn",IF($G145&gt;='03_BAO_CAO'!$E$4,"Chưa đến hạn",IF('03_BAO_CAO'!$E$4-$G145&lt;=30,"1-30 ngày",IF('03_BAO_CAO'!$E$4-$G145&lt;=60,"31-60 ngày",IF('03_BAO_CAO'!$E$4-$G145&lt;=90,"61-90 ngày","Trên 90 ngày")))))))</f>
        <v/>
      </c>
      <c r="J145" s="51">
        <f>IF($A145="","",IF(COUNTIF($A$7:$A$206,$A145)&gt;1,"TRÙNG MÃ",IF(OR($B145="",$C145="",$D145&lt;0,$E145&lt;0,$F145&lt;0),"KIỂM TRA DỮ LIỆU",IF(AND($F145&gt;0,$G145=""),"THIẾU HẠN DƯ ĐẦU KỲ","OK"))))</f>
        <v/>
      </c>
    </row>
    <row r="146">
      <c r="A146" s="47" t="n"/>
      <c r="B146" s="41" t="n"/>
      <c r="C146" s="47" t="n"/>
      <c r="D146" s="207" t="n"/>
      <c r="E146" s="208" t="n"/>
      <c r="F146" s="207" t="n"/>
      <c r="G146" s="209" t="n"/>
      <c r="H146" s="210">
        <f>IF($A146="","",MAX(0,$F146-SUMIFS('02_NHAT_KY'!$H$7:$H$506,'02_NHAT_KY'!$C$7:$C$506,$A146,'02_NHAT_KY'!$A$7:$A$506,"&lt;="&amp;'03_BAO_CAO'!$E$4)))</f>
        <v/>
      </c>
      <c r="I146" s="51">
        <f>IF($A146="","",IF($H146&lt;=0,"Đã thanh toán",IF($G146="","Thiếu hạn",IF($G146&gt;='03_BAO_CAO'!$E$4,"Chưa đến hạn",IF('03_BAO_CAO'!$E$4-$G146&lt;=30,"1-30 ngày",IF('03_BAO_CAO'!$E$4-$G146&lt;=60,"31-60 ngày",IF('03_BAO_CAO'!$E$4-$G146&lt;=90,"61-90 ngày","Trên 90 ngày")))))))</f>
        <v/>
      </c>
      <c r="J146" s="51">
        <f>IF($A146="","",IF(COUNTIF($A$7:$A$206,$A146)&gt;1,"TRÙNG MÃ",IF(OR($B146="",$C146="",$D146&lt;0,$E146&lt;0,$F146&lt;0),"KIỂM TRA DỮ LIỆU",IF(AND($F146&gt;0,$G146=""),"THIẾU HẠN DƯ ĐẦU KỲ","OK"))))</f>
        <v/>
      </c>
    </row>
    <row r="147">
      <c r="A147" s="47" t="n"/>
      <c r="B147" s="41" t="n"/>
      <c r="C147" s="47" t="n"/>
      <c r="D147" s="207" t="n"/>
      <c r="E147" s="208" t="n"/>
      <c r="F147" s="207" t="n"/>
      <c r="G147" s="209" t="n"/>
      <c r="H147" s="210">
        <f>IF($A147="","",MAX(0,$F147-SUMIFS('02_NHAT_KY'!$H$7:$H$506,'02_NHAT_KY'!$C$7:$C$506,$A147,'02_NHAT_KY'!$A$7:$A$506,"&lt;="&amp;'03_BAO_CAO'!$E$4)))</f>
        <v/>
      </c>
      <c r="I147" s="51">
        <f>IF($A147="","",IF($H147&lt;=0,"Đã thanh toán",IF($G147="","Thiếu hạn",IF($G147&gt;='03_BAO_CAO'!$E$4,"Chưa đến hạn",IF('03_BAO_CAO'!$E$4-$G147&lt;=30,"1-30 ngày",IF('03_BAO_CAO'!$E$4-$G147&lt;=60,"31-60 ngày",IF('03_BAO_CAO'!$E$4-$G147&lt;=90,"61-90 ngày","Trên 90 ngày")))))))</f>
        <v/>
      </c>
      <c r="J147" s="51">
        <f>IF($A147="","",IF(COUNTIF($A$7:$A$206,$A147)&gt;1,"TRÙNG MÃ",IF(OR($B147="",$C147="",$D147&lt;0,$E147&lt;0,$F147&lt;0),"KIỂM TRA DỮ LIỆU",IF(AND($F147&gt;0,$G147=""),"THIẾU HẠN DƯ ĐẦU KỲ","OK"))))</f>
        <v/>
      </c>
    </row>
    <row r="148">
      <c r="A148" s="47" t="n"/>
      <c r="B148" s="41" t="n"/>
      <c r="C148" s="47" t="n"/>
      <c r="D148" s="207" t="n"/>
      <c r="E148" s="208" t="n"/>
      <c r="F148" s="207" t="n"/>
      <c r="G148" s="209" t="n"/>
      <c r="H148" s="210">
        <f>IF($A148="","",MAX(0,$F148-SUMIFS('02_NHAT_KY'!$H$7:$H$506,'02_NHAT_KY'!$C$7:$C$506,$A148,'02_NHAT_KY'!$A$7:$A$506,"&lt;="&amp;'03_BAO_CAO'!$E$4)))</f>
        <v/>
      </c>
      <c r="I148" s="51">
        <f>IF($A148="","",IF($H148&lt;=0,"Đã thanh toán",IF($G148="","Thiếu hạn",IF($G148&gt;='03_BAO_CAO'!$E$4,"Chưa đến hạn",IF('03_BAO_CAO'!$E$4-$G148&lt;=30,"1-30 ngày",IF('03_BAO_CAO'!$E$4-$G148&lt;=60,"31-60 ngày",IF('03_BAO_CAO'!$E$4-$G148&lt;=90,"61-90 ngày","Trên 90 ngày")))))))</f>
        <v/>
      </c>
      <c r="J148" s="51">
        <f>IF($A148="","",IF(COUNTIF($A$7:$A$206,$A148)&gt;1,"TRÙNG MÃ",IF(OR($B148="",$C148="",$D148&lt;0,$E148&lt;0,$F148&lt;0),"KIỂM TRA DỮ LIỆU",IF(AND($F148&gt;0,$G148=""),"THIẾU HẠN DƯ ĐẦU KỲ","OK"))))</f>
        <v/>
      </c>
    </row>
    <row r="149">
      <c r="A149" s="47" t="n"/>
      <c r="B149" s="41" t="n"/>
      <c r="C149" s="47" t="n"/>
      <c r="D149" s="207" t="n"/>
      <c r="E149" s="208" t="n"/>
      <c r="F149" s="207" t="n"/>
      <c r="G149" s="209" t="n"/>
      <c r="H149" s="210">
        <f>IF($A149="","",MAX(0,$F149-SUMIFS('02_NHAT_KY'!$H$7:$H$506,'02_NHAT_KY'!$C$7:$C$506,$A149,'02_NHAT_KY'!$A$7:$A$506,"&lt;="&amp;'03_BAO_CAO'!$E$4)))</f>
        <v/>
      </c>
      <c r="I149" s="51">
        <f>IF($A149="","",IF($H149&lt;=0,"Đã thanh toán",IF($G149="","Thiếu hạn",IF($G149&gt;='03_BAO_CAO'!$E$4,"Chưa đến hạn",IF('03_BAO_CAO'!$E$4-$G149&lt;=30,"1-30 ngày",IF('03_BAO_CAO'!$E$4-$G149&lt;=60,"31-60 ngày",IF('03_BAO_CAO'!$E$4-$G149&lt;=90,"61-90 ngày","Trên 90 ngày")))))))</f>
        <v/>
      </c>
      <c r="J149" s="51">
        <f>IF($A149="","",IF(COUNTIF($A$7:$A$206,$A149)&gt;1,"TRÙNG MÃ",IF(OR($B149="",$C149="",$D149&lt;0,$E149&lt;0,$F149&lt;0),"KIỂM TRA DỮ LIỆU",IF(AND($F149&gt;0,$G149=""),"THIẾU HẠN DƯ ĐẦU KỲ","OK"))))</f>
        <v/>
      </c>
    </row>
    <row r="150">
      <c r="A150" s="47" t="n"/>
      <c r="B150" s="41" t="n"/>
      <c r="C150" s="47" t="n"/>
      <c r="D150" s="207" t="n"/>
      <c r="E150" s="208" t="n"/>
      <c r="F150" s="207" t="n"/>
      <c r="G150" s="209" t="n"/>
      <c r="H150" s="210">
        <f>IF($A150="","",MAX(0,$F150-SUMIFS('02_NHAT_KY'!$H$7:$H$506,'02_NHAT_KY'!$C$7:$C$506,$A150,'02_NHAT_KY'!$A$7:$A$506,"&lt;="&amp;'03_BAO_CAO'!$E$4)))</f>
        <v/>
      </c>
      <c r="I150" s="51">
        <f>IF($A150="","",IF($H150&lt;=0,"Đã thanh toán",IF($G150="","Thiếu hạn",IF($G150&gt;='03_BAO_CAO'!$E$4,"Chưa đến hạn",IF('03_BAO_CAO'!$E$4-$G150&lt;=30,"1-30 ngày",IF('03_BAO_CAO'!$E$4-$G150&lt;=60,"31-60 ngày",IF('03_BAO_CAO'!$E$4-$G150&lt;=90,"61-90 ngày","Trên 90 ngày")))))))</f>
        <v/>
      </c>
      <c r="J150" s="51">
        <f>IF($A150="","",IF(COUNTIF($A$7:$A$206,$A150)&gt;1,"TRÙNG MÃ",IF(OR($B150="",$C150="",$D150&lt;0,$E150&lt;0,$F150&lt;0),"KIỂM TRA DỮ LIỆU",IF(AND($F150&gt;0,$G150=""),"THIẾU HẠN DƯ ĐẦU KỲ","OK"))))</f>
        <v/>
      </c>
    </row>
    <row r="151">
      <c r="A151" s="47" t="n"/>
      <c r="B151" s="41" t="n"/>
      <c r="C151" s="47" t="n"/>
      <c r="D151" s="207" t="n"/>
      <c r="E151" s="208" t="n"/>
      <c r="F151" s="207" t="n"/>
      <c r="G151" s="209" t="n"/>
      <c r="H151" s="210">
        <f>IF($A151="","",MAX(0,$F151-SUMIFS('02_NHAT_KY'!$H$7:$H$506,'02_NHAT_KY'!$C$7:$C$506,$A151,'02_NHAT_KY'!$A$7:$A$506,"&lt;="&amp;'03_BAO_CAO'!$E$4)))</f>
        <v/>
      </c>
      <c r="I151" s="51">
        <f>IF($A151="","",IF($H151&lt;=0,"Đã thanh toán",IF($G151="","Thiếu hạn",IF($G151&gt;='03_BAO_CAO'!$E$4,"Chưa đến hạn",IF('03_BAO_CAO'!$E$4-$G151&lt;=30,"1-30 ngày",IF('03_BAO_CAO'!$E$4-$G151&lt;=60,"31-60 ngày",IF('03_BAO_CAO'!$E$4-$G151&lt;=90,"61-90 ngày","Trên 90 ngày")))))))</f>
        <v/>
      </c>
      <c r="J151" s="51">
        <f>IF($A151="","",IF(COUNTIF($A$7:$A$206,$A151)&gt;1,"TRÙNG MÃ",IF(OR($B151="",$C151="",$D151&lt;0,$E151&lt;0,$F151&lt;0),"KIỂM TRA DỮ LIỆU",IF(AND($F151&gt;0,$G151=""),"THIẾU HẠN DƯ ĐẦU KỲ","OK"))))</f>
        <v/>
      </c>
    </row>
    <row r="152">
      <c r="A152" s="47" t="n"/>
      <c r="B152" s="41" t="n"/>
      <c r="C152" s="47" t="n"/>
      <c r="D152" s="207" t="n"/>
      <c r="E152" s="208" t="n"/>
      <c r="F152" s="207" t="n"/>
      <c r="G152" s="209" t="n"/>
      <c r="H152" s="210">
        <f>IF($A152="","",MAX(0,$F152-SUMIFS('02_NHAT_KY'!$H$7:$H$506,'02_NHAT_KY'!$C$7:$C$506,$A152,'02_NHAT_KY'!$A$7:$A$506,"&lt;="&amp;'03_BAO_CAO'!$E$4)))</f>
        <v/>
      </c>
      <c r="I152" s="51">
        <f>IF($A152="","",IF($H152&lt;=0,"Đã thanh toán",IF($G152="","Thiếu hạn",IF($G152&gt;='03_BAO_CAO'!$E$4,"Chưa đến hạn",IF('03_BAO_CAO'!$E$4-$G152&lt;=30,"1-30 ngày",IF('03_BAO_CAO'!$E$4-$G152&lt;=60,"31-60 ngày",IF('03_BAO_CAO'!$E$4-$G152&lt;=90,"61-90 ngày","Trên 90 ngày")))))))</f>
        <v/>
      </c>
      <c r="J152" s="51">
        <f>IF($A152="","",IF(COUNTIF($A$7:$A$206,$A152)&gt;1,"TRÙNG MÃ",IF(OR($B152="",$C152="",$D152&lt;0,$E152&lt;0,$F152&lt;0),"KIỂM TRA DỮ LIỆU",IF(AND($F152&gt;0,$G152=""),"THIẾU HẠN DƯ ĐẦU KỲ","OK"))))</f>
        <v/>
      </c>
    </row>
    <row r="153">
      <c r="A153" s="47" t="n"/>
      <c r="B153" s="41" t="n"/>
      <c r="C153" s="47" t="n"/>
      <c r="D153" s="207" t="n"/>
      <c r="E153" s="208" t="n"/>
      <c r="F153" s="207" t="n"/>
      <c r="G153" s="209" t="n"/>
      <c r="H153" s="210">
        <f>IF($A153="","",MAX(0,$F153-SUMIFS('02_NHAT_KY'!$H$7:$H$506,'02_NHAT_KY'!$C$7:$C$506,$A153,'02_NHAT_KY'!$A$7:$A$506,"&lt;="&amp;'03_BAO_CAO'!$E$4)))</f>
        <v/>
      </c>
      <c r="I153" s="51">
        <f>IF($A153="","",IF($H153&lt;=0,"Đã thanh toán",IF($G153="","Thiếu hạn",IF($G153&gt;='03_BAO_CAO'!$E$4,"Chưa đến hạn",IF('03_BAO_CAO'!$E$4-$G153&lt;=30,"1-30 ngày",IF('03_BAO_CAO'!$E$4-$G153&lt;=60,"31-60 ngày",IF('03_BAO_CAO'!$E$4-$G153&lt;=90,"61-90 ngày","Trên 90 ngày")))))))</f>
        <v/>
      </c>
      <c r="J153" s="51">
        <f>IF($A153="","",IF(COUNTIF($A$7:$A$206,$A153)&gt;1,"TRÙNG MÃ",IF(OR($B153="",$C153="",$D153&lt;0,$E153&lt;0,$F153&lt;0),"KIỂM TRA DỮ LIỆU",IF(AND($F153&gt;0,$G153=""),"THIẾU HẠN DƯ ĐẦU KỲ","OK"))))</f>
        <v/>
      </c>
    </row>
    <row r="154">
      <c r="A154" s="47" t="n"/>
      <c r="B154" s="41" t="n"/>
      <c r="C154" s="47" t="n"/>
      <c r="D154" s="207" t="n"/>
      <c r="E154" s="208" t="n"/>
      <c r="F154" s="207" t="n"/>
      <c r="G154" s="209" t="n"/>
      <c r="H154" s="210">
        <f>IF($A154="","",MAX(0,$F154-SUMIFS('02_NHAT_KY'!$H$7:$H$506,'02_NHAT_KY'!$C$7:$C$506,$A154,'02_NHAT_KY'!$A$7:$A$506,"&lt;="&amp;'03_BAO_CAO'!$E$4)))</f>
        <v/>
      </c>
      <c r="I154" s="51">
        <f>IF($A154="","",IF($H154&lt;=0,"Đã thanh toán",IF($G154="","Thiếu hạn",IF($G154&gt;='03_BAO_CAO'!$E$4,"Chưa đến hạn",IF('03_BAO_CAO'!$E$4-$G154&lt;=30,"1-30 ngày",IF('03_BAO_CAO'!$E$4-$G154&lt;=60,"31-60 ngày",IF('03_BAO_CAO'!$E$4-$G154&lt;=90,"61-90 ngày","Trên 90 ngày")))))))</f>
        <v/>
      </c>
      <c r="J154" s="51">
        <f>IF($A154="","",IF(COUNTIF($A$7:$A$206,$A154)&gt;1,"TRÙNG MÃ",IF(OR($B154="",$C154="",$D154&lt;0,$E154&lt;0,$F154&lt;0),"KIỂM TRA DỮ LIỆU",IF(AND($F154&gt;0,$G154=""),"THIẾU HẠN DƯ ĐẦU KỲ","OK"))))</f>
        <v/>
      </c>
    </row>
    <row r="155">
      <c r="A155" s="47" t="n"/>
      <c r="B155" s="41" t="n"/>
      <c r="C155" s="47" t="n"/>
      <c r="D155" s="207" t="n"/>
      <c r="E155" s="208" t="n"/>
      <c r="F155" s="207" t="n"/>
      <c r="G155" s="209" t="n"/>
      <c r="H155" s="210">
        <f>IF($A155="","",MAX(0,$F155-SUMIFS('02_NHAT_KY'!$H$7:$H$506,'02_NHAT_KY'!$C$7:$C$506,$A155,'02_NHAT_KY'!$A$7:$A$506,"&lt;="&amp;'03_BAO_CAO'!$E$4)))</f>
        <v/>
      </c>
      <c r="I155" s="51">
        <f>IF($A155="","",IF($H155&lt;=0,"Đã thanh toán",IF($G155="","Thiếu hạn",IF($G155&gt;='03_BAO_CAO'!$E$4,"Chưa đến hạn",IF('03_BAO_CAO'!$E$4-$G155&lt;=30,"1-30 ngày",IF('03_BAO_CAO'!$E$4-$G155&lt;=60,"31-60 ngày",IF('03_BAO_CAO'!$E$4-$G155&lt;=90,"61-90 ngày","Trên 90 ngày")))))))</f>
        <v/>
      </c>
      <c r="J155" s="51">
        <f>IF($A155="","",IF(COUNTIF($A$7:$A$206,$A155)&gt;1,"TRÙNG MÃ",IF(OR($B155="",$C155="",$D155&lt;0,$E155&lt;0,$F155&lt;0),"KIỂM TRA DỮ LIỆU",IF(AND($F155&gt;0,$G155=""),"THIẾU HẠN DƯ ĐẦU KỲ","OK"))))</f>
        <v/>
      </c>
    </row>
    <row r="156">
      <c r="A156" s="47" t="n"/>
      <c r="B156" s="41" t="n"/>
      <c r="C156" s="47" t="n"/>
      <c r="D156" s="207" t="n"/>
      <c r="E156" s="208" t="n"/>
      <c r="F156" s="207" t="n"/>
      <c r="G156" s="209" t="n"/>
      <c r="H156" s="210">
        <f>IF($A156="","",MAX(0,$F156-SUMIFS('02_NHAT_KY'!$H$7:$H$506,'02_NHAT_KY'!$C$7:$C$506,$A156,'02_NHAT_KY'!$A$7:$A$506,"&lt;="&amp;'03_BAO_CAO'!$E$4)))</f>
        <v/>
      </c>
      <c r="I156" s="51">
        <f>IF($A156="","",IF($H156&lt;=0,"Đã thanh toán",IF($G156="","Thiếu hạn",IF($G156&gt;='03_BAO_CAO'!$E$4,"Chưa đến hạn",IF('03_BAO_CAO'!$E$4-$G156&lt;=30,"1-30 ngày",IF('03_BAO_CAO'!$E$4-$G156&lt;=60,"31-60 ngày",IF('03_BAO_CAO'!$E$4-$G156&lt;=90,"61-90 ngày","Trên 90 ngày")))))))</f>
        <v/>
      </c>
      <c r="J156" s="51">
        <f>IF($A156="","",IF(COUNTIF($A$7:$A$206,$A156)&gt;1,"TRÙNG MÃ",IF(OR($B156="",$C156="",$D156&lt;0,$E156&lt;0,$F156&lt;0),"KIỂM TRA DỮ LIỆU",IF(AND($F156&gt;0,$G156=""),"THIẾU HẠN DƯ ĐẦU KỲ","OK"))))</f>
        <v/>
      </c>
    </row>
    <row r="157">
      <c r="A157" s="47" t="n"/>
      <c r="B157" s="41" t="n"/>
      <c r="C157" s="47" t="n"/>
      <c r="D157" s="207" t="n"/>
      <c r="E157" s="208" t="n"/>
      <c r="F157" s="207" t="n"/>
      <c r="G157" s="209" t="n"/>
      <c r="H157" s="210">
        <f>IF($A157="","",MAX(0,$F157-SUMIFS('02_NHAT_KY'!$H$7:$H$506,'02_NHAT_KY'!$C$7:$C$506,$A157,'02_NHAT_KY'!$A$7:$A$506,"&lt;="&amp;'03_BAO_CAO'!$E$4)))</f>
        <v/>
      </c>
      <c r="I157" s="51">
        <f>IF($A157="","",IF($H157&lt;=0,"Đã thanh toán",IF($G157="","Thiếu hạn",IF($G157&gt;='03_BAO_CAO'!$E$4,"Chưa đến hạn",IF('03_BAO_CAO'!$E$4-$G157&lt;=30,"1-30 ngày",IF('03_BAO_CAO'!$E$4-$G157&lt;=60,"31-60 ngày",IF('03_BAO_CAO'!$E$4-$G157&lt;=90,"61-90 ngày","Trên 90 ngày")))))))</f>
        <v/>
      </c>
      <c r="J157" s="51">
        <f>IF($A157="","",IF(COUNTIF($A$7:$A$206,$A157)&gt;1,"TRÙNG MÃ",IF(OR($B157="",$C157="",$D157&lt;0,$E157&lt;0,$F157&lt;0),"KIỂM TRA DỮ LIỆU",IF(AND($F157&gt;0,$G157=""),"THIẾU HẠN DƯ ĐẦU KỲ","OK"))))</f>
        <v/>
      </c>
    </row>
    <row r="158">
      <c r="A158" s="47" t="n"/>
      <c r="B158" s="41" t="n"/>
      <c r="C158" s="47" t="n"/>
      <c r="D158" s="207" t="n"/>
      <c r="E158" s="208" t="n"/>
      <c r="F158" s="207" t="n"/>
      <c r="G158" s="209" t="n"/>
      <c r="H158" s="210">
        <f>IF($A158="","",MAX(0,$F158-SUMIFS('02_NHAT_KY'!$H$7:$H$506,'02_NHAT_KY'!$C$7:$C$506,$A158,'02_NHAT_KY'!$A$7:$A$506,"&lt;="&amp;'03_BAO_CAO'!$E$4)))</f>
        <v/>
      </c>
      <c r="I158" s="51">
        <f>IF($A158="","",IF($H158&lt;=0,"Đã thanh toán",IF($G158="","Thiếu hạn",IF($G158&gt;='03_BAO_CAO'!$E$4,"Chưa đến hạn",IF('03_BAO_CAO'!$E$4-$G158&lt;=30,"1-30 ngày",IF('03_BAO_CAO'!$E$4-$G158&lt;=60,"31-60 ngày",IF('03_BAO_CAO'!$E$4-$G158&lt;=90,"61-90 ngày","Trên 90 ngày")))))))</f>
        <v/>
      </c>
      <c r="J158" s="51">
        <f>IF($A158="","",IF(COUNTIF($A$7:$A$206,$A158)&gt;1,"TRÙNG MÃ",IF(OR($B158="",$C158="",$D158&lt;0,$E158&lt;0,$F158&lt;0),"KIỂM TRA DỮ LIỆU",IF(AND($F158&gt;0,$G158=""),"THIẾU HẠN DƯ ĐẦU KỲ","OK"))))</f>
        <v/>
      </c>
    </row>
    <row r="159">
      <c r="A159" s="47" t="n"/>
      <c r="B159" s="41" t="n"/>
      <c r="C159" s="47" t="n"/>
      <c r="D159" s="207" t="n"/>
      <c r="E159" s="208" t="n"/>
      <c r="F159" s="207" t="n"/>
      <c r="G159" s="209" t="n"/>
      <c r="H159" s="210">
        <f>IF($A159="","",MAX(0,$F159-SUMIFS('02_NHAT_KY'!$H$7:$H$506,'02_NHAT_KY'!$C$7:$C$506,$A159,'02_NHAT_KY'!$A$7:$A$506,"&lt;="&amp;'03_BAO_CAO'!$E$4)))</f>
        <v/>
      </c>
      <c r="I159" s="51">
        <f>IF($A159="","",IF($H159&lt;=0,"Đã thanh toán",IF($G159="","Thiếu hạn",IF($G159&gt;='03_BAO_CAO'!$E$4,"Chưa đến hạn",IF('03_BAO_CAO'!$E$4-$G159&lt;=30,"1-30 ngày",IF('03_BAO_CAO'!$E$4-$G159&lt;=60,"31-60 ngày",IF('03_BAO_CAO'!$E$4-$G159&lt;=90,"61-90 ngày","Trên 90 ngày")))))))</f>
        <v/>
      </c>
      <c r="J159" s="51">
        <f>IF($A159="","",IF(COUNTIF($A$7:$A$206,$A159)&gt;1,"TRÙNG MÃ",IF(OR($B159="",$C159="",$D159&lt;0,$E159&lt;0,$F159&lt;0),"KIỂM TRA DỮ LIỆU",IF(AND($F159&gt;0,$G159=""),"THIẾU HẠN DƯ ĐẦU KỲ","OK"))))</f>
        <v/>
      </c>
    </row>
    <row r="160">
      <c r="A160" s="47" t="n"/>
      <c r="B160" s="41" t="n"/>
      <c r="C160" s="47" t="n"/>
      <c r="D160" s="207" t="n"/>
      <c r="E160" s="208" t="n"/>
      <c r="F160" s="207" t="n"/>
      <c r="G160" s="209" t="n"/>
      <c r="H160" s="210">
        <f>IF($A160="","",MAX(0,$F160-SUMIFS('02_NHAT_KY'!$H$7:$H$506,'02_NHAT_KY'!$C$7:$C$506,$A160,'02_NHAT_KY'!$A$7:$A$506,"&lt;="&amp;'03_BAO_CAO'!$E$4)))</f>
        <v/>
      </c>
      <c r="I160" s="51">
        <f>IF($A160="","",IF($H160&lt;=0,"Đã thanh toán",IF($G160="","Thiếu hạn",IF($G160&gt;='03_BAO_CAO'!$E$4,"Chưa đến hạn",IF('03_BAO_CAO'!$E$4-$G160&lt;=30,"1-30 ngày",IF('03_BAO_CAO'!$E$4-$G160&lt;=60,"31-60 ngày",IF('03_BAO_CAO'!$E$4-$G160&lt;=90,"61-90 ngày","Trên 90 ngày")))))))</f>
        <v/>
      </c>
      <c r="J160" s="51">
        <f>IF($A160="","",IF(COUNTIF($A$7:$A$206,$A160)&gt;1,"TRÙNG MÃ",IF(OR($B160="",$C160="",$D160&lt;0,$E160&lt;0,$F160&lt;0),"KIỂM TRA DỮ LIỆU",IF(AND($F160&gt;0,$G160=""),"THIẾU HẠN DƯ ĐẦU KỲ","OK"))))</f>
        <v/>
      </c>
    </row>
    <row r="161">
      <c r="A161" s="47" t="n"/>
      <c r="B161" s="41" t="n"/>
      <c r="C161" s="47" t="n"/>
      <c r="D161" s="207" t="n"/>
      <c r="E161" s="208" t="n"/>
      <c r="F161" s="207" t="n"/>
      <c r="G161" s="209" t="n"/>
      <c r="H161" s="210">
        <f>IF($A161="","",MAX(0,$F161-SUMIFS('02_NHAT_KY'!$H$7:$H$506,'02_NHAT_KY'!$C$7:$C$506,$A161,'02_NHAT_KY'!$A$7:$A$506,"&lt;="&amp;'03_BAO_CAO'!$E$4)))</f>
        <v/>
      </c>
      <c r="I161" s="51">
        <f>IF($A161="","",IF($H161&lt;=0,"Đã thanh toán",IF($G161="","Thiếu hạn",IF($G161&gt;='03_BAO_CAO'!$E$4,"Chưa đến hạn",IF('03_BAO_CAO'!$E$4-$G161&lt;=30,"1-30 ngày",IF('03_BAO_CAO'!$E$4-$G161&lt;=60,"31-60 ngày",IF('03_BAO_CAO'!$E$4-$G161&lt;=90,"61-90 ngày","Trên 90 ngày")))))))</f>
        <v/>
      </c>
      <c r="J161" s="51">
        <f>IF($A161="","",IF(COUNTIF($A$7:$A$206,$A161)&gt;1,"TRÙNG MÃ",IF(OR($B161="",$C161="",$D161&lt;0,$E161&lt;0,$F161&lt;0),"KIỂM TRA DỮ LIỆU",IF(AND($F161&gt;0,$G161=""),"THIẾU HẠN DƯ ĐẦU KỲ","OK"))))</f>
        <v/>
      </c>
    </row>
    <row r="162">
      <c r="A162" s="47" t="n"/>
      <c r="B162" s="41" t="n"/>
      <c r="C162" s="47" t="n"/>
      <c r="D162" s="207" t="n"/>
      <c r="E162" s="208" t="n"/>
      <c r="F162" s="207" t="n"/>
      <c r="G162" s="209" t="n"/>
      <c r="H162" s="210">
        <f>IF($A162="","",MAX(0,$F162-SUMIFS('02_NHAT_KY'!$H$7:$H$506,'02_NHAT_KY'!$C$7:$C$506,$A162,'02_NHAT_KY'!$A$7:$A$506,"&lt;="&amp;'03_BAO_CAO'!$E$4)))</f>
        <v/>
      </c>
      <c r="I162" s="51">
        <f>IF($A162="","",IF($H162&lt;=0,"Đã thanh toán",IF($G162="","Thiếu hạn",IF($G162&gt;='03_BAO_CAO'!$E$4,"Chưa đến hạn",IF('03_BAO_CAO'!$E$4-$G162&lt;=30,"1-30 ngày",IF('03_BAO_CAO'!$E$4-$G162&lt;=60,"31-60 ngày",IF('03_BAO_CAO'!$E$4-$G162&lt;=90,"61-90 ngày","Trên 90 ngày")))))))</f>
        <v/>
      </c>
      <c r="J162" s="51">
        <f>IF($A162="","",IF(COUNTIF($A$7:$A$206,$A162)&gt;1,"TRÙNG MÃ",IF(OR($B162="",$C162="",$D162&lt;0,$E162&lt;0,$F162&lt;0),"KIỂM TRA DỮ LIỆU",IF(AND($F162&gt;0,$G162=""),"THIẾU HẠN DƯ ĐẦU KỲ","OK"))))</f>
        <v/>
      </c>
    </row>
    <row r="163">
      <c r="A163" s="47" t="n"/>
      <c r="B163" s="41" t="n"/>
      <c r="C163" s="47" t="n"/>
      <c r="D163" s="207" t="n"/>
      <c r="E163" s="208" t="n"/>
      <c r="F163" s="207" t="n"/>
      <c r="G163" s="209" t="n"/>
      <c r="H163" s="210">
        <f>IF($A163="","",MAX(0,$F163-SUMIFS('02_NHAT_KY'!$H$7:$H$506,'02_NHAT_KY'!$C$7:$C$506,$A163,'02_NHAT_KY'!$A$7:$A$506,"&lt;="&amp;'03_BAO_CAO'!$E$4)))</f>
        <v/>
      </c>
      <c r="I163" s="51">
        <f>IF($A163="","",IF($H163&lt;=0,"Đã thanh toán",IF($G163="","Thiếu hạn",IF($G163&gt;='03_BAO_CAO'!$E$4,"Chưa đến hạn",IF('03_BAO_CAO'!$E$4-$G163&lt;=30,"1-30 ngày",IF('03_BAO_CAO'!$E$4-$G163&lt;=60,"31-60 ngày",IF('03_BAO_CAO'!$E$4-$G163&lt;=90,"61-90 ngày","Trên 90 ngày")))))))</f>
        <v/>
      </c>
      <c r="J163" s="51">
        <f>IF($A163="","",IF(COUNTIF($A$7:$A$206,$A163)&gt;1,"TRÙNG MÃ",IF(OR($B163="",$C163="",$D163&lt;0,$E163&lt;0,$F163&lt;0),"KIỂM TRA DỮ LIỆU",IF(AND($F163&gt;0,$G163=""),"THIẾU HẠN DƯ ĐẦU KỲ","OK"))))</f>
        <v/>
      </c>
    </row>
    <row r="164">
      <c r="A164" s="47" t="n"/>
      <c r="B164" s="41" t="n"/>
      <c r="C164" s="47" t="n"/>
      <c r="D164" s="207" t="n"/>
      <c r="E164" s="208" t="n"/>
      <c r="F164" s="207" t="n"/>
      <c r="G164" s="209" t="n"/>
      <c r="H164" s="210">
        <f>IF($A164="","",MAX(0,$F164-SUMIFS('02_NHAT_KY'!$H$7:$H$506,'02_NHAT_KY'!$C$7:$C$506,$A164,'02_NHAT_KY'!$A$7:$A$506,"&lt;="&amp;'03_BAO_CAO'!$E$4)))</f>
        <v/>
      </c>
      <c r="I164" s="51">
        <f>IF($A164="","",IF($H164&lt;=0,"Đã thanh toán",IF($G164="","Thiếu hạn",IF($G164&gt;='03_BAO_CAO'!$E$4,"Chưa đến hạn",IF('03_BAO_CAO'!$E$4-$G164&lt;=30,"1-30 ngày",IF('03_BAO_CAO'!$E$4-$G164&lt;=60,"31-60 ngày",IF('03_BAO_CAO'!$E$4-$G164&lt;=90,"61-90 ngày","Trên 90 ngày")))))))</f>
        <v/>
      </c>
      <c r="J164" s="51">
        <f>IF($A164="","",IF(COUNTIF($A$7:$A$206,$A164)&gt;1,"TRÙNG MÃ",IF(OR($B164="",$C164="",$D164&lt;0,$E164&lt;0,$F164&lt;0),"KIỂM TRA DỮ LIỆU",IF(AND($F164&gt;0,$G164=""),"THIẾU HẠN DƯ ĐẦU KỲ","OK"))))</f>
        <v/>
      </c>
    </row>
    <row r="165">
      <c r="A165" s="47" t="n"/>
      <c r="B165" s="41" t="n"/>
      <c r="C165" s="47" t="n"/>
      <c r="D165" s="207" t="n"/>
      <c r="E165" s="208" t="n"/>
      <c r="F165" s="207" t="n"/>
      <c r="G165" s="209" t="n"/>
      <c r="H165" s="210">
        <f>IF($A165="","",MAX(0,$F165-SUMIFS('02_NHAT_KY'!$H$7:$H$506,'02_NHAT_KY'!$C$7:$C$506,$A165,'02_NHAT_KY'!$A$7:$A$506,"&lt;="&amp;'03_BAO_CAO'!$E$4)))</f>
        <v/>
      </c>
      <c r="I165" s="51">
        <f>IF($A165="","",IF($H165&lt;=0,"Đã thanh toán",IF($G165="","Thiếu hạn",IF($G165&gt;='03_BAO_CAO'!$E$4,"Chưa đến hạn",IF('03_BAO_CAO'!$E$4-$G165&lt;=30,"1-30 ngày",IF('03_BAO_CAO'!$E$4-$G165&lt;=60,"31-60 ngày",IF('03_BAO_CAO'!$E$4-$G165&lt;=90,"61-90 ngày","Trên 90 ngày")))))))</f>
        <v/>
      </c>
      <c r="J165" s="51">
        <f>IF($A165="","",IF(COUNTIF($A$7:$A$206,$A165)&gt;1,"TRÙNG MÃ",IF(OR($B165="",$C165="",$D165&lt;0,$E165&lt;0,$F165&lt;0),"KIỂM TRA DỮ LIỆU",IF(AND($F165&gt;0,$G165=""),"THIẾU HẠN DƯ ĐẦU KỲ","OK"))))</f>
        <v/>
      </c>
    </row>
    <row r="166">
      <c r="A166" s="47" t="n"/>
      <c r="B166" s="41" t="n"/>
      <c r="C166" s="47" t="n"/>
      <c r="D166" s="207" t="n"/>
      <c r="E166" s="208" t="n"/>
      <c r="F166" s="207" t="n"/>
      <c r="G166" s="209" t="n"/>
      <c r="H166" s="210">
        <f>IF($A166="","",MAX(0,$F166-SUMIFS('02_NHAT_KY'!$H$7:$H$506,'02_NHAT_KY'!$C$7:$C$506,$A166,'02_NHAT_KY'!$A$7:$A$506,"&lt;="&amp;'03_BAO_CAO'!$E$4)))</f>
        <v/>
      </c>
      <c r="I166" s="51">
        <f>IF($A166="","",IF($H166&lt;=0,"Đã thanh toán",IF($G166="","Thiếu hạn",IF($G166&gt;='03_BAO_CAO'!$E$4,"Chưa đến hạn",IF('03_BAO_CAO'!$E$4-$G166&lt;=30,"1-30 ngày",IF('03_BAO_CAO'!$E$4-$G166&lt;=60,"31-60 ngày",IF('03_BAO_CAO'!$E$4-$G166&lt;=90,"61-90 ngày","Trên 90 ngày")))))))</f>
        <v/>
      </c>
      <c r="J166" s="51">
        <f>IF($A166="","",IF(COUNTIF($A$7:$A$206,$A166)&gt;1,"TRÙNG MÃ",IF(OR($B166="",$C166="",$D166&lt;0,$E166&lt;0,$F166&lt;0),"KIỂM TRA DỮ LIỆU",IF(AND($F166&gt;0,$G166=""),"THIẾU HẠN DƯ ĐẦU KỲ","OK"))))</f>
        <v/>
      </c>
    </row>
    <row r="167">
      <c r="A167" s="47" t="n"/>
      <c r="B167" s="41" t="n"/>
      <c r="C167" s="47" t="n"/>
      <c r="D167" s="207" t="n"/>
      <c r="E167" s="208" t="n"/>
      <c r="F167" s="207" t="n"/>
      <c r="G167" s="209" t="n"/>
      <c r="H167" s="210">
        <f>IF($A167="","",MAX(0,$F167-SUMIFS('02_NHAT_KY'!$H$7:$H$506,'02_NHAT_KY'!$C$7:$C$506,$A167,'02_NHAT_KY'!$A$7:$A$506,"&lt;="&amp;'03_BAO_CAO'!$E$4)))</f>
        <v/>
      </c>
      <c r="I167" s="51">
        <f>IF($A167="","",IF($H167&lt;=0,"Đã thanh toán",IF($G167="","Thiếu hạn",IF($G167&gt;='03_BAO_CAO'!$E$4,"Chưa đến hạn",IF('03_BAO_CAO'!$E$4-$G167&lt;=30,"1-30 ngày",IF('03_BAO_CAO'!$E$4-$G167&lt;=60,"31-60 ngày",IF('03_BAO_CAO'!$E$4-$G167&lt;=90,"61-90 ngày","Trên 90 ngày")))))))</f>
        <v/>
      </c>
      <c r="J167" s="51">
        <f>IF($A167="","",IF(COUNTIF($A$7:$A$206,$A167)&gt;1,"TRÙNG MÃ",IF(OR($B167="",$C167="",$D167&lt;0,$E167&lt;0,$F167&lt;0),"KIỂM TRA DỮ LIỆU",IF(AND($F167&gt;0,$G167=""),"THIẾU HẠN DƯ ĐẦU KỲ","OK"))))</f>
        <v/>
      </c>
    </row>
    <row r="168">
      <c r="A168" s="47" t="n"/>
      <c r="B168" s="41" t="n"/>
      <c r="C168" s="47" t="n"/>
      <c r="D168" s="207" t="n"/>
      <c r="E168" s="208" t="n"/>
      <c r="F168" s="207" t="n"/>
      <c r="G168" s="209" t="n"/>
      <c r="H168" s="210">
        <f>IF($A168="","",MAX(0,$F168-SUMIFS('02_NHAT_KY'!$H$7:$H$506,'02_NHAT_KY'!$C$7:$C$506,$A168,'02_NHAT_KY'!$A$7:$A$506,"&lt;="&amp;'03_BAO_CAO'!$E$4)))</f>
        <v/>
      </c>
      <c r="I168" s="51">
        <f>IF($A168="","",IF($H168&lt;=0,"Đã thanh toán",IF($G168="","Thiếu hạn",IF($G168&gt;='03_BAO_CAO'!$E$4,"Chưa đến hạn",IF('03_BAO_CAO'!$E$4-$G168&lt;=30,"1-30 ngày",IF('03_BAO_CAO'!$E$4-$G168&lt;=60,"31-60 ngày",IF('03_BAO_CAO'!$E$4-$G168&lt;=90,"61-90 ngày","Trên 90 ngày")))))))</f>
        <v/>
      </c>
      <c r="J168" s="51">
        <f>IF($A168="","",IF(COUNTIF($A$7:$A$206,$A168)&gt;1,"TRÙNG MÃ",IF(OR($B168="",$C168="",$D168&lt;0,$E168&lt;0,$F168&lt;0),"KIỂM TRA DỮ LIỆU",IF(AND($F168&gt;0,$G168=""),"THIẾU HẠN DƯ ĐẦU KỲ","OK"))))</f>
        <v/>
      </c>
    </row>
    <row r="169">
      <c r="A169" s="47" t="n"/>
      <c r="B169" s="41" t="n"/>
      <c r="C169" s="47" t="n"/>
      <c r="D169" s="207" t="n"/>
      <c r="E169" s="208" t="n"/>
      <c r="F169" s="207" t="n"/>
      <c r="G169" s="209" t="n"/>
      <c r="H169" s="210">
        <f>IF($A169="","",MAX(0,$F169-SUMIFS('02_NHAT_KY'!$H$7:$H$506,'02_NHAT_KY'!$C$7:$C$506,$A169,'02_NHAT_KY'!$A$7:$A$506,"&lt;="&amp;'03_BAO_CAO'!$E$4)))</f>
        <v/>
      </c>
      <c r="I169" s="51">
        <f>IF($A169="","",IF($H169&lt;=0,"Đã thanh toán",IF($G169="","Thiếu hạn",IF($G169&gt;='03_BAO_CAO'!$E$4,"Chưa đến hạn",IF('03_BAO_CAO'!$E$4-$G169&lt;=30,"1-30 ngày",IF('03_BAO_CAO'!$E$4-$G169&lt;=60,"31-60 ngày",IF('03_BAO_CAO'!$E$4-$G169&lt;=90,"61-90 ngày","Trên 90 ngày")))))))</f>
        <v/>
      </c>
      <c r="J169" s="51">
        <f>IF($A169="","",IF(COUNTIF($A$7:$A$206,$A169)&gt;1,"TRÙNG MÃ",IF(OR($B169="",$C169="",$D169&lt;0,$E169&lt;0,$F169&lt;0),"KIỂM TRA DỮ LIỆU",IF(AND($F169&gt;0,$G169=""),"THIẾU HẠN DƯ ĐẦU KỲ","OK"))))</f>
        <v/>
      </c>
    </row>
    <row r="170">
      <c r="A170" s="47" t="n"/>
      <c r="B170" s="41" t="n"/>
      <c r="C170" s="47" t="n"/>
      <c r="D170" s="207" t="n"/>
      <c r="E170" s="208" t="n"/>
      <c r="F170" s="207" t="n"/>
      <c r="G170" s="209" t="n"/>
      <c r="H170" s="210">
        <f>IF($A170="","",MAX(0,$F170-SUMIFS('02_NHAT_KY'!$H$7:$H$506,'02_NHAT_KY'!$C$7:$C$506,$A170,'02_NHAT_KY'!$A$7:$A$506,"&lt;="&amp;'03_BAO_CAO'!$E$4)))</f>
        <v/>
      </c>
      <c r="I170" s="51">
        <f>IF($A170="","",IF($H170&lt;=0,"Đã thanh toán",IF($G170="","Thiếu hạn",IF($G170&gt;='03_BAO_CAO'!$E$4,"Chưa đến hạn",IF('03_BAO_CAO'!$E$4-$G170&lt;=30,"1-30 ngày",IF('03_BAO_CAO'!$E$4-$G170&lt;=60,"31-60 ngày",IF('03_BAO_CAO'!$E$4-$G170&lt;=90,"61-90 ngày","Trên 90 ngày")))))))</f>
        <v/>
      </c>
      <c r="J170" s="51">
        <f>IF($A170="","",IF(COUNTIF($A$7:$A$206,$A170)&gt;1,"TRÙNG MÃ",IF(OR($B170="",$C170="",$D170&lt;0,$E170&lt;0,$F170&lt;0),"KIỂM TRA DỮ LIỆU",IF(AND($F170&gt;0,$G170=""),"THIẾU HẠN DƯ ĐẦU KỲ","OK"))))</f>
        <v/>
      </c>
    </row>
    <row r="171">
      <c r="A171" s="47" t="n"/>
      <c r="B171" s="41" t="n"/>
      <c r="C171" s="47" t="n"/>
      <c r="D171" s="207" t="n"/>
      <c r="E171" s="208" t="n"/>
      <c r="F171" s="207" t="n"/>
      <c r="G171" s="209" t="n"/>
      <c r="H171" s="210">
        <f>IF($A171="","",MAX(0,$F171-SUMIFS('02_NHAT_KY'!$H$7:$H$506,'02_NHAT_KY'!$C$7:$C$506,$A171,'02_NHAT_KY'!$A$7:$A$506,"&lt;="&amp;'03_BAO_CAO'!$E$4)))</f>
        <v/>
      </c>
      <c r="I171" s="51">
        <f>IF($A171="","",IF($H171&lt;=0,"Đã thanh toán",IF($G171="","Thiếu hạn",IF($G171&gt;='03_BAO_CAO'!$E$4,"Chưa đến hạn",IF('03_BAO_CAO'!$E$4-$G171&lt;=30,"1-30 ngày",IF('03_BAO_CAO'!$E$4-$G171&lt;=60,"31-60 ngày",IF('03_BAO_CAO'!$E$4-$G171&lt;=90,"61-90 ngày","Trên 90 ngày")))))))</f>
        <v/>
      </c>
      <c r="J171" s="51">
        <f>IF($A171="","",IF(COUNTIF($A$7:$A$206,$A171)&gt;1,"TRÙNG MÃ",IF(OR($B171="",$C171="",$D171&lt;0,$E171&lt;0,$F171&lt;0),"KIỂM TRA DỮ LIỆU",IF(AND($F171&gt;0,$G171=""),"THIẾU HẠN DƯ ĐẦU KỲ","OK"))))</f>
        <v/>
      </c>
    </row>
    <row r="172">
      <c r="A172" s="47" t="n"/>
      <c r="B172" s="41" t="n"/>
      <c r="C172" s="47" t="n"/>
      <c r="D172" s="207" t="n"/>
      <c r="E172" s="208" t="n"/>
      <c r="F172" s="207" t="n"/>
      <c r="G172" s="209" t="n"/>
      <c r="H172" s="210">
        <f>IF($A172="","",MAX(0,$F172-SUMIFS('02_NHAT_KY'!$H$7:$H$506,'02_NHAT_KY'!$C$7:$C$506,$A172,'02_NHAT_KY'!$A$7:$A$506,"&lt;="&amp;'03_BAO_CAO'!$E$4)))</f>
        <v/>
      </c>
      <c r="I172" s="51">
        <f>IF($A172="","",IF($H172&lt;=0,"Đã thanh toán",IF($G172="","Thiếu hạn",IF($G172&gt;='03_BAO_CAO'!$E$4,"Chưa đến hạn",IF('03_BAO_CAO'!$E$4-$G172&lt;=30,"1-30 ngày",IF('03_BAO_CAO'!$E$4-$G172&lt;=60,"31-60 ngày",IF('03_BAO_CAO'!$E$4-$G172&lt;=90,"61-90 ngày","Trên 90 ngày")))))))</f>
        <v/>
      </c>
      <c r="J172" s="51">
        <f>IF($A172="","",IF(COUNTIF($A$7:$A$206,$A172)&gt;1,"TRÙNG MÃ",IF(OR($B172="",$C172="",$D172&lt;0,$E172&lt;0,$F172&lt;0),"KIỂM TRA DỮ LIỆU",IF(AND($F172&gt;0,$G172=""),"THIẾU HẠN DƯ ĐẦU KỲ","OK"))))</f>
        <v/>
      </c>
    </row>
    <row r="173">
      <c r="A173" s="47" t="n"/>
      <c r="B173" s="41" t="n"/>
      <c r="C173" s="47" t="n"/>
      <c r="D173" s="207" t="n"/>
      <c r="E173" s="208" t="n"/>
      <c r="F173" s="207" t="n"/>
      <c r="G173" s="209" t="n"/>
      <c r="H173" s="210">
        <f>IF($A173="","",MAX(0,$F173-SUMIFS('02_NHAT_KY'!$H$7:$H$506,'02_NHAT_KY'!$C$7:$C$506,$A173,'02_NHAT_KY'!$A$7:$A$506,"&lt;="&amp;'03_BAO_CAO'!$E$4)))</f>
        <v/>
      </c>
      <c r="I173" s="51">
        <f>IF($A173="","",IF($H173&lt;=0,"Đã thanh toán",IF($G173="","Thiếu hạn",IF($G173&gt;='03_BAO_CAO'!$E$4,"Chưa đến hạn",IF('03_BAO_CAO'!$E$4-$G173&lt;=30,"1-30 ngày",IF('03_BAO_CAO'!$E$4-$G173&lt;=60,"31-60 ngày",IF('03_BAO_CAO'!$E$4-$G173&lt;=90,"61-90 ngày","Trên 90 ngày")))))))</f>
        <v/>
      </c>
      <c r="J173" s="51">
        <f>IF($A173="","",IF(COUNTIF($A$7:$A$206,$A173)&gt;1,"TRÙNG MÃ",IF(OR($B173="",$C173="",$D173&lt;0,$E173&lt;0,$F173&lt;0),"KIỂM TRA DỮ LIỆU",IF(AND($F173&gt;0,$G173=""),"THIẾU HẠN DƯ ĐẦU KỲ","OK"))))</f>
        <v/>
      </c>
    </row>
    <row r="174">
      <c r="A174" s="47" t="n"/>
      <c r="B174" s="41" t="n"/>
      <c r="C174" s="47" t="n"/>
      <c r="D174" s="207" t="n"/>
      <c r="E174" s="208" t="n"/>
      <c r="F174" s="207" t="n"/>
      <c r="G174" s="209" t="n"/>
      <c r="H174" s="210">
        <f>IF($A174="","",MAX(0,$F174-SUMIFS('02_NHAT_KY'!$H$7:$H$506,'02_NHAT_KY'!$C$7:$C$506,$A174,'02_NHAT_KY'!$A$7:$A$506,"&lt;="&amp;'03_BAO_CAO'!$E$4)))</f>
        <v/>
      </c>
      <c r="I174" s="51">
        <f>IF($A174="","",IF($H174&lt;=0,"Đã thanh toán",IF($G174="","Thiếu hạn",IF($G174&gt;='03_BAO_CAO'!$E$4,"Chưa đến hạn",IF('03_BAO_CAO'!$E$4-$G174&lt;=30,"1-30 ngày",IF('03_BAO_CAO'!$E$4-$G174&lt;=60,"31-60 ngày",IF('03_BAO_CAO'!$E$4-$G174&lt;=90,"61-90 ngày","Trên 90 ngày")))))))</f>
        <v/>
      </c>
      <c r="J174" s="51">
        <f>IF($A174="","",IF(COUNTIF($A$7:$A$206,$A174)&gt;1,"TRÙNG MÃ",IF(OR($B174="",$C174="",$D174&lt;0,$E174&lt;0,$F174&lt;0),"KIỂM TRA DỮ LIỆU",IF(AND($F174&gt;0,$G174=""),"THIẾU HẠN DƯ ĐẦU KỲ","OK"))))</f>
        <v/>
      </c>
    </row>
    <row r="175">
      <c r="A175" s="47" t="n"/>
      <c r="B175" s="41" t="n"/>
      <c r="C175" s="47" t="n"/>
      <c r="D175" s="207" t="n"/>
      <c r="E175" s="208" t="n"/>
      <c r="F175" s="207" t="n"/>
      <c r="G175" s="209" t="n"/>
      <c r="H175" s="210">
        <f>IF($A175="","",MAX(0,$F175-SUMIFS('02_NHAT_KY'!$H$7:$H$506,'02_NHAT_KY'!$C$7:$C$506,$A175,'02_NHAT_KY'!$A$7:$A$506,"&lt;="&amp;'03_BAO_CAO'!$E$4)))</f>
        <v/>
      </c>
      <c r="I175" s="51">
        <f>IF($A175="","",IF($H175&lt;=0,"Đã thanh toán",IF($G175="","Thiếu hạn",IF($G175&gt;='03_BAO_CAO'!$E$4,"Chưa đến hạn",IF('03_BAO_CAO'!$E$4-$G175&lt;=30,"1-30 ngày",IF('03_BAO_CAO'!$E$4-$G175&lt;=60,"31-60 ngày",IF('03_BAO_CAO'!$E$4-$G175&lt;=90,"61-90 ngày","Trên 90 ngày")))))))</f>
        <v/>
      </c>
      <c r="J175" s="51">
        <f>IF($A175="","",IF(COUNTIF($A$7:$A$206,$A175)&gt;1,"TRÙNG MÃ",IF(OR($B175="",$C175="",$D175&lt;0,$E175&lt;0,$F175&lt;0),"KIỂM TRA DỮ LIỆU",IF(AND($F175&gt;0,$G175=""),"THIẾU HẠN DƯ ĐẦU KỲ","OK"))))</f>
        <v/>
      </c>
    </row>
    <row r="176">
      <c r="A176" s="47" t="n"/>
      <c r="B176" s="41" t="n"/>
      <c r="C176" s="47" t="n"/>
      <c r="D176" s="207" t="n"/>
      <c r="E176" s="208" t="n"/>
      <c r="F176" s="207" t="n"/>
      <c r="G176" s="209" t="n"/>
      <c r="H176" s="210">
        <f>IF($A176="","",MAX(0,$F176-SUMIFS('02_NHAT_KY'!$H$7:$H$506,'02_NHAT_KY'!$C$7:$C$506,$A176,'02_NHAT_KY'!$A$7:$A$506,"&lt;="&amp;'03_BAO_CAO'!$E$4)))</f>
        <v/>
      </c>
      <c r="I176" s="51">
        <f>IF($A176="","",IF($H176&lt;=0,"Đã thanh toán",IF($G176="","Thiếu hạn",IF($G176&gt;='03_BAO_CAO'!$E$4,"Chưa đến hạn",IF('03_BAO_CAO'!$E$4-$G176&lt;=30,"1-30 ngày",IF('03_BAO_CAO'!$E$4-$G176&lt;=60,"31-60 ngày",IF('03_BAO_CAO'!$E$4-$G176&lt;=90,"61-90 ngày","Trên 90 ngày")))))))</f>
        <v/>
      </c>
      <c r="J176" s="51">
        <f>IF($A176="","",IF(COUNTIF($A$7:$A$206,$A176)&gt;1,"TRÙNG MÃ",IF(OR($B176="",$C176="",$D176&lt;0,$E176&lt;0,$F176&lt;0),"KIỂM TRA DỮ LIỆU",IF(AND($F176&gt;0,$G176=""),"THIẾU HẠN DƯ ĐẦU KỲ","OK"))))</f>
        <v/>
      </c>
    </row>
    <row r="177">
      <c r="A177" s="47" t="n"/>
      <c r="B177" s="41" t="n"/>
      <c r="C177" s="47" t="n"/>
      <c r="D177" s="207" t="n"/>
      <c r="E177" s="208" t="n"/>
      <c r="F177" s="207" t="n"/>
      <c r="G177" s="209" t="n"/>
      <c r="H177" s="210">
        <f>IF($A177="","",MAX(0,$F177-SUMIFS('02_NHAT_KY'!$H$7:$H$506,'02_NHAT_KY'!$C$7:$C$506,$A177,'02_NHAT_KY'!$A$7:$A$506,"&lt;="&amp;'03_BAO_CAO'!$E$4)))</f>
        <v/>
      </c>
      <c r="I177" s="51">
        <f>IF($A177="","",IF($H177&lt;=0,"Đã thanh toán",IF($G177="","Thiếu hạn",IF($G177&gt;='03_BAO_CAO'!$E$4,"Chưa đến hạn",IF('03_BAO_CAO'!$E$4-$G177&lt;=30,"1-30 ngày",IF('03_BAO_CAO'!$E$4-$G177&lt;=60,"31-60 ngày",IF('03_BAO_CAO'!$E$4-$G177&lt;=90,"61-90 ngày","Trên 90 ngày")))))))</f>
        <v/>
      </c>
      <c r="J177" s="51">
        <f>IF($A177="","",IF(COUNTIF($A$7:$A$206,$A177)&gt;1,"TRÙNG MÃ",IF(OR($B177="",$C177="",$D177&lt;0,$E177&lt;0,$F177&lt;0),"KIỂM TRA DỮ LIỆU",IF(AND($F177&gt;0,$G177=""),"THIẾU HẠN DƯ ĐẦU KỲ","OK"))))</f>
        <v/>
      </c>
    </row>
    <row r="178">
      <c r="A178" s="47" t="n"/>
      <c r="B178" s="41" t="n"/>
      <c r="C178" s="47" t="n"/>
      <c r="D178" s="207" t="n"/>
      <c r="E178" s="208" t="n"/>
      <c r="F178" s="207" t="n"/>
      <c r="G178" s="209" t="n"/>
      <c r="H178" s="210">
        <f>IF($A178="","",MAX(0,$F178-SUMIFS('02_NHAT_KY'!$H$7:$H$506,'02_NHAT_KY'!$C$7:$C$506,$A178,'02_NHAT_KY'!$A$7:$A$506,"&lt;="&amp;'03_BAO_CAO'!$E$4)))</f>
        <v/>
      </c>
      <c r="I178" s="51">
        <f>IF($A178="","",IF($H178&lt;=0,"Đã thanh toán",IF($G178="","Thiếu hạn",IF($G178&gt;='03_BAO_CAO'!$E$4,"Chưa đến hạn",IF('03_BAO_CAO'!$E$4-$G178&lt;=30,"1-30 ngày",IF('03_BAO_CAO'!$E$4-$G178&lt;=60,"31-60 ngày",IF('03_BAO_CAO'!$E$4-$G178&lt;=90,"61-90 ngày","Trên 90 ngày")))))))</f>
        <v/>
      </c>
      <c r="J178" s="51">
        <f>IF($A178="","",IF(COUNTIF($A$7:$A$206,$A178)&gt;1,"TRÙNG MÃ",IF(OR($B178="",$C178="",$D178&lt;0,$E178&lt;0,$F178&lt;0),"KIỂM TRA DỮ LIỆU",IF(AND($F178&gt;0,$G178=""),"THIẾU HẠN DƯ ĐẦU KỲ","OK"))))</f>
        <v/>
      </c>
    </row>
    <row r="179">
      <c r="A179" s="47" t="n"/>
      <c r="B179" s="41" t="n"/>
      <c r="C179" s="47" t="n"/>
      <c r="D179" s="207" t="n"/>
      <c r="E179" s="208" t="n"/>
      <c r="F179" s="207" t="n"/>
      <c r="G179" s="209" t="n"/>
      <c r="H179" s="210">
        <f>IF($A179="","",MAX(0,$F179-SUMIFS('02_NHAT_KY'!$H$7:$H$506,'02_NHAT_KY'!$C$7:$C$506,$A179,'02_NHAT_KY'!$A$7:$A$506,"&lt;="&amp;'03_BAO_CAO'!$E$4)))</f>
        <v/>
      </c>
      <c r="I179" s="51">
        <f>IF($A179="","",IF($H179&lt;=0,"Đã thanh toán",IF($G179="","Thiếu hạn",IF($G179&gt;='03_BAO_CAO'!$E$4,"Chưa đến hạn",IF('03_BAO_CAO'!$E$4-$G179&lt;=30,"1-30 ngày",IF('03_BAO_CAO'!$E$4-$G179&lt;=60,"31-60 ngày",IF('03_BAO_CAO'!$E$4-$G179&lt;=90,"61-90 ngày","Trên 90 ngày")))))))</f>
        <v/>
      </c>
      <c r="J179" s="51">
        <f>IF($A179="","",IF(COUNTIF($A$7:$A$206,$A179)&gt;1,"TRÙNG MÃ",IF(OR($B179="",$C179="",$D179&lt;0,$E179&lt;0,$F179&lt;0),"KIỂM TRA DỮ LIỆU",IF(AND($F179&gt;0,$G179=""),"THIẾU HẠN DƯ ĐẦU KỲ","OK"))))</f>
        <v/>
      </c>
    </row>
    <row r="180">
      <c r="A180" s="47" t="n"/>
      <c r="B180" s="41" t="n"/>
      <c r="C180" s="47" t="n"/>
      <c r="D180" s="207" t="n"/>
      <c r="E180" s="208" t="n"/>
      <c r="F180" s="207" t="n"/>
      <c r="G180" s="209" t="n"/>
      <c r="H180" s="210">
        <f>IF($A180="","",MAX(0,$F180-SUMIFS('02_NHAT_KY'!$H$7:$H$506,'02_NHAT_KY'!$C$7:$C$506,$A180,'02_NHAT_KY'!$A$7:$A$506,"&lt;="&amp;'03_BAO_CAO'!$E$4)))</f>
        <v/>
      </c>
      <c r="I180" s="51">
        <f>IF($A180="","",IF($H180&lt;=0,"Đã thanh toán",IF($G180="","Thiếu hạn",IF($G180&gt;='03_BAO_CAO'!$E$4,"Chưa đến hạn",IF('03_BAO_CAO'!$E$4-$G180&lt;=30,"1-30 ngày",IF('03_BAO_CAO'!$E$4-$G180&lt;=60,"31-60 ngày",IF('03_BAO_CAO'!$E$4-$G180&lt;=90,"61-90 ngày","Trên 90 ngày")))))))</f>
        <v/>
      </c>
      <c r="J180" s="51">
        <f>IF($A180="","",IF(COUNTIF($A$7:$A$206,$A180)&gt;1,"TRÙNG MÃ",IF(OR($B180="",$C180="",$D180&lt;0,$E180&lt;0,$F180&lt;0),"KIỂM TRA DỮ LIỆU",IF(AND($F180&gt;0,$G180=""),"THIẾU HẠN DƯ ĐẦU KỲ","OK"))))</f>
        <v/>
      </c>
    </row>
    <row r="181">
      <c r="A181" s="47" t="n"/>
      <c r="B181" s="41" t="n"/>
      <c r="C181" s="47" t="n"/>
      <c r="D181" s="207" t="n"/>
      <c r="E181" s="208" t="n"/>
      <c r="F181" s="207" t="n"/>
      <c r="G181" s="209" t="n"/>
      <c r="H181" s="210">
        <f>IF($A181="","",MAX(0,$F181-SUMIFS('02_NHAT_KY'!$H$7:$H$506,'02_NHAT_KY'!$C$7:$C$506,$A181,'02_NHAT_KY'!$A$7:$A$506,"&lt;="&amp;'03_BAO_CAO'!$E$4)))</f>
        <v/>
      </c>
      <c r="I181" s="51">
        <f>IF($A181="","",IF($H181&lt;=0,"Đã thanh toán",IF($G181="","Thiếu hạn",IF($G181&gt;='03_BAO_CAO'!$E$4,"Chưa đến hạn",IF('03_BAO_CAO'!$E$4-$G181&lt;=30,"1-30 ngày",IF('03_BAO_CAO'!$E$4-$G181&lt;=60,"31-60 ngày",IF('03_BAO_CAO'!$E$4-$G181&lt;=90,"61-90 ngày","Trên 90 ngày")))))))</f>
        <v/>
      </c>
      <c r="J181" s="51">
        <f>IF($A181="","",IF(COUNTIF($A$7:$A$206,$A181)&gt;1,"TRÙNG MÃ",IF(OR($B181="",$C181="",$D181&lt;0,$E181&lt;0,$F181&lt;0),"KIỂM TRA DỮ LIỆU",IF(AND($F181&gt;0,$G181=""),"THIẾU HẠN DƯ ĐẦU KỲ","OK"))))</f>
        <v/>
      </c>
    </row>
    <row r="182">
      <c r="A182" s="47" t="n"/>
      <c r="B182" s="41" t="n"/>
      <c r="C182" s="47" t="n"/>
      <c r="D182" s="207" t="n"/>
      <c r="E182" s="208" t="n"/>
      <c r="F182" s="207" t="n"/>
      <c r="G182" s="209" t="n"/>
      <c r="H182" s="210">
        <f>IF($A182="","",MAX(0,$F182-SUMIFS('02_NHAT_KY'!$H$7:$H$506,'02_NHAT_KY'!$C$7:$C$506,$A182,'02_NHAT_KY'!$A$7:$A$506,"&lt;="&amp;'03_BAO_CAO'!$E$4)))</f>
        <v/>
      </c>
      <c r="I182" s="51">
        <f>IF($A182="","",IF($H182&lt;=0,"Đã thanh toán",IF($G182="","Thiếu hạn",IF($G182&gt;='03_BAO_CAO'!$E$4,"Chưa đến hạn",IF('03_BAO_CAO'!$E$4-$G182&lt;=30,"1-30 ngày",IF('03_BAO_CAO'!$E$4-$G182&lt;=60,"31-60 ngày",IF('03_BAO_CAO'!$E$4-$G182&lt;=90,"61-90 ngày","Trên 90 ngày")))))))</f>
        <v/>
      </c>
      <c r="J182" s="51">
        <f>IF($A182="","",IF(COUNTIF($A$7:$A$206,$A182)&gt;1,"TRÙNG MÃ",IF(OR($B182="",$C182="",$D182&lt;0,$E182&lt;0,$F182&lt;0),"KIỂM TRA DỮ LIỆU",IF(AND($F182&gt;0,$G182=""),"THIẾU HẠN DƯ ĐẦU KỲ","OK"))))</f>
        <v/>
      </c>
    </row>
    <row r="183">
      <c r="A183" s="47" t="n"/>
      <c r="B183" s="41" t="n"/>
      <c r="C183" s="47" t="n"/>
      <c r="D183" s="207" t="n"/>
      <c r="E183" s="208" t="n"/>
      <c r="F183" s="207" t="n"/>
      <c r="G183" s="209" t="n"/>
      <c r="H183" s="210">
        <f>IF($A183="","",MAX(0,$F183-SUMIFS('02_NHAT_KY'!$H$7:$H$506,'02_NHAT_KY'!$C$7:$C$506,$A183,'02_NHAT_KY'!$A$7:$A$506,"&lt;="&amp;'03_BAO_CAO'!$E$4)))</f>
        <v/>
      </c>
      <c r="I183" s="51">
        <f>IF($A183="","",IF($H183&lt;=0,"Đã thanh toán",IF($G183="","Thiếu hạn",IF($G183&gt;='03_BAO_CAO'!$E$4,"Chưa đến hạn",IF('03_BAO_CAO'!$E$4-$G183&lt;=30,"1-30 ngày",IF('03_BAO_CAO'!$E$4-$G183&lt;=60,"31-60 ngày",IF('03_BAO_CAO'!$E$4-$G183&lt;=90,"61-90 ngày","Trên 90 ngày")))))))</f>
        <v/>
      </c>
      <c r="J183" s="51">
        <f>IF($A183="","",IF(COUNTIF($A$7:$A$206,$A183)&gt;1,"TRÙNG MÃ",IF(OR($B183="",$C183="",$D183&lt;0,$E183&lt;0,$F183&lt;0),"KIỂM TRA DỮ LIỆU",IF(AND($F183&gt;0,$G183=""),"THIẾU HẠN DƯ ĐẦU KỲ","OK"))))</f>
        <v/>
      </c>
    </row>
    <row r="184">
      <c r="A184" s="47" t="n"/>
      <c r="B184" s="41" t="n"/>
      <c r="C184" s="47" t="n"/>
      <c r="D184" s="207" t="n"/>
      <c r="E184" s="208" t="n"/>
      <c r="F184" s="207" t="n"/>
      <c r="G184" s="209" t="n"/>
      <c r="H184" s="210">
        <f>IF($A184="","",MAX(0,$F184-SUMIFS('02_NHAT_KY'!$H$7:$H$506,'02_NHAT_KY'!$C$7:$C$506,$A184,'02_NHAT_KY'!$A$7:$A$506,"&lt;="&amp;'03_BAO_CAO'!$E$4)))</f>
        <v/>
      </c>
      <c r="I184" s="51">
        <f>IF($A184="","",IF($H184&lt;=0,"Đã thanh toán",IF($G184="","Thiếu hạn",IF($G184&gt;='03_BAO_CAO'!$E$4,"Chưa đến hạn",IF('03_BAO_CAO'!$E$4-$G184&lt;=30,"1-30 ngày",IF('03_BAO_CAO'!$E$4-$G184&lt;=60,"31-60 ngày",IF('03_BAO_CAO'!$E$4-$G184&lt;=90,"61-90 ngày","Trên 90 ngày")))))))</f>
        <v/>
      </c>
      <c r="J184" s="51">
        <f>IF($A184="","",IF(COUNTIF($A$7:$A$206,$A184)&gt;1,"TRÙNG MÃ",IF(OR($B184="",$C184="",$D184&lt;0,$E184&lt;0,$F184&lt;0),"KIỂM TRA DỮ LIỆU",IF(AND($F184&gt;0,$G184=""),"THIẾU HẠN DƯ ĐẦU KỲ","OK"))))</f>
        <v/>
      </c>
    </row>
    <row r="185">
      <c r="A185" s="47" t="n"/>
      <c r="B185" s="41" t="n"/>
      <c r="C185" s="47" t="n"/>
      <c r="D185" s="207" t="n"/>
      <c r="E185" s="208" t="n"/>
      <c r="F185" s="207" t="n"/>
      <c r="G185" s="209" t="n"/>
      <c r="H185" s="210">
        <f>IF($A185="","",MAX(0,$F185-SUMIFS('02_NHAT_KY'!$H$7:$H$506,'02_NHAT_KY'!$C$7:$C$506,$A185,'02_NHAT_KY'!$A$7:$A$506,"&lt;="&amp;'03_BAO_CAO'!$E$4)))</f>
        <v/>
      </c>
      <c r="I185" s="51">
        <f>IF($A185="","",IF($H185&lt;=0,"Đã thanh toán",IF($G185="","Thiếu hạn",IF($G185&gt;='03_BAO_CAO'!$E$4,"Chưa đến hạn",IF('03_BAO_CAO'!$E$4-$G185&lt;=30,"1-30 ngày",IF('03_BAO_CAO'!$E$4-$G185&lt;=60,"31-60 ngày",IF('03_BAO_CAO'!$E$4-$G185&lt;=90,"61-90 ngày","Trên 90 ngày")))))))</f>
        <v/>
      </c>
      <c r="J185" s="51">
        <f>IF($A185="","",IF(COUNTIF($A$7:$A$206,$A185)&gt;1,"TRÙNG MÃ",IF(OR($B185="",$C185="",$D185&lt;0,$E185&lt;0,$F185&lt;0),"KIỂM TRA DỮ LIỆU",IF(AND($F185&gt;0,$G185=""),"THIẾU HẠN DƯ ĐẦU KỲ","OK"))))</f>
        <v/>
      </c>
    </row>
    <row r="186">
      <c r="A186" s="47" t="n"/>
      <c r="B186" s="41" t="n"/>
      <c r="C186" s="47" t="n"/>
      <c r="D186" s="207" t="n"/>
      <c r="E186" s="208" t="n"/>
      <c r="F186" s="207" t="n"/>
      <c r="G186" s="209" t="n"/>
      <c r="H186" s="210">
        <f>IF($A186="","",MAX(0,$F186-SUMIFS('02_NHAT_KY'!$H$7:$H$506,'02_NHAT_KY'!$C$7:$C$506,$A186,'02_NHAT_KY'!$A$7:$A$506,"&lt;="&amp;'03_BAO_CAO'!$E$4)))</f>
        <v/>
      </c>
      <c r="I186" s="51">
        <f>IF($A186="","",IF($H186&lt;=0,"Đã thanh toán",IF($G186="","Thiếu hạn",IF($G186&gt;='03_BAO_CAO'!$E$4,"Chưa đến hạn",IF('03_BAO_CAO'!$E$4-$G186&lt;=30,"1-30 ngày",IF('03_BAO_CAO'!$E$4-$G186&lt;=60,"31-60 ngày",IF('03_BAO_CAO'!$E$4-$G186&lt;=90,"61-90 ngày","Trên 90 ngày")))))))</f>
        <v/>
      </c>
      <c r="J186" s="51">
        <f>IF($A186="","",IF(COUNTIF($A$7:$A$206,$A186)&gt;1,"TRÙNG MÃ",IF(OR($B186="",$C186="",$D186&lt;0,$E186&lt;0,$F186&lt;0),"KIỂM TRA DỮ LIỆU",IF(AND($F186&gt;0,$G186=""),"THIẾU HẠN DƯ ĐẦU KỲ","OK"))))</f>
        <v/>
      </c>
    </row>
    <row r="187">
      <c r="A187" s="47" t="n"/>
      <c r="B187" s="41" t="n"/>
      <c r="C187" s="47" t="n"/>
      <c r="D187" s="207" t="n"/>
      <c r="E187" s="208" t="n"/>
      <c r="F187" s="207" t="n"/>
      <c r="G187" s="209" t="n"/>
      <c r="H187" s="210">
        <f>IF($A187="","",MAX(0,$F187-SUMIFS('02_NHAT_KY'!$H$7:$H$506,'02_NHAT_KY'!$C$7:$C$506,$A187,'02_NHAT_KY'!$A$7:$A$506,"&lt;="&amp;'03_BAO_CAO'!$E$4)))</f>
        <v/>
      </c>
      <c r="I187" s="51">
        <f>IF($A187="","",IF($H187&lt;=0,"Đã thanh toán",IF($G187="","Thiếu hạn",IF($G187&gt;='03_BAO_CAO'!$E$4,"Chưa đến hạn",IF('03_BAO_CAO'!$E$4-$G187&lt;=30,"1-30 ngày",IF('03_BAO_CAO'!$E$4-$G187&lt;=60,"31-60 ngày",IF('03_BAO_CAO'!$E$4-$G187&lt;=90,"61-90 ngày","Trên 90 ngày")))))))</f>
        <v/>
      </c>
      <c r="J187" s="51">
        <f>IF($A187="","",IF(COUNTIF($A$7:$A$206,$A187)&gt;1,"TRÙNG MÃ",IF(OR($B187="",$C187="",$D187&lt;0,$E187&lt;0,$F187&lt;0),"KIỂM TRA DỮ LIỆU",IF(AND($F187&gt;0,$G187=""),"THIẾU HẠN DƯ ĐẦU KỲ","OK"))))</f>
        <v/>
      </c>
    </row>
    <row r="188">
      <c r="A188" s="47" t="n"/>
      <c r="B188" s="41" t="n"/>
      <c r="C188" s="47" t="n"/>
      <c r="D188" s="207" t="n"/>
      <c r="E188" s="208" t="n"/>
      <c r="F188" s="207" t="n"/>
      <c r="G188" s="209" t="n"/>
      <c r="H188" s="210">
        <f>IF($A188="","",MAX(0,$F188-SUMIFS('02_NHAT_KY'!$H$7:$H$506,'02_NHAT_KY'!$C$7:$C$506,$A188,'02_NHAT_KY'!$A$7:$A$506,"&lt;="&amp;'03_BAO_CAO'!$E$4)))</f>
        <v/>
      </c>
      <c r="I188" s="51">
        <f>IF($A188="","",IF($H188&lt;=0,"Đã thanh toán",IF($G188="","Thiếu hạn",IF($G188&gt;='03_BAO_CAO'!$E$4,"Chưa đến hạn",IF('03_BAO_CAO'!$E$4-$G188&lt;=30,"1-30 ngày",IF('03_BAO_CAO'!$E$4-$G188&lt;=60,"31-60 ngày",IF('03_BAO_CAO'!$E$4-$G188&lt;=90,"61-90 ngày","Trên 90 ngày")))))))</f>
        <v/>
      </c>
      <c r="J188" s="51">
        <f>IF($A188="","",IF(COUNTIF($A$7:$A$206,$A188)&gt;1,"TRÙNG MÃ",IF(OR($B188="",$C188="",$D188&lt;0,$E188&lt;0,$F188&lt;0),"KIỂM TRA DỮ LIỆU",IF(AND($F188&gt;0,$G188=""),"THIẾU HẠN DƯ ĐẦU KỲ","OK"))))</f>
        <v/>
      </c>
    </row>
    <row r="189">
      <c r="A189" s="47" t="n"/>
      <c r="B189" s="41" t="n"/>
      <c r="C189" s="47" t="n"/>
      <c r="D189" s="207" t="n"/>
      <c r="E189" s="208" t="n"/>
      <c r="F189" s="207" t="n"/>
      <c r="G189" s="209" t="n"/>
      <c r="H189" s="210">
        <f>IF($A189="","",MAX(0,$F189-SUMIFS('02_NHAT_KY'!$H$7:$H$506,'02_NHAT_KY'!$C$7:$C$506,$A189,'02_NHAT_KY'!$A$7:$A$506,"&lt;="&amp;'03_BAO_CAO'!$E$4)))</f>
        <v/>
      </c>
      <c r="I189" s="51">
        <f>IF($A189="","",IF($H189&lt;=0,"Đã thanh toán",IF($G189="","Thiếu hạn",IF($G189&gt;='03_BAO_CAO'!$E$4,"Chưa đến hạn",IF('03_BAO_CAO'!$E$4-$G189&lt;=30,"1-30 ngày",IF('03_BAO_CAO'!$E$4-$G189&lt;=60,"31-60 ngày",IF('03_BAO_CAO'!$E$4-$G189&lt;=90,"61-90 ngày","Trên 90 ngày")))))))</f>
        <v/>
      </c>
      <c r="J189" s="51">
        <f>IF($A189="","",IF(COUNTIF($A$7:$A$206,$A189)&gt;1,"TRÙNG MÃ",IF(OR($B189="",$C189="",$D189&lt;0,$E189&lt;0,$F189&lt;0),"KIỂM TRA DỮ LIỆU",IF(AND($F189&gt;0,$G189=""),"THIẾU HẠN DƯ ĐẦU KỲ","OK"))))</f>
        <v/>
      </c>
    </row>
    <row r="190">
      <c r="A190" s="47" t="n"/>
      <c r="B190" s="41" t="n"/>
      <c r="C190" s="47" t="n"/>
      <c r="D190" s="207" t="n"/>
      <c r="E190" s="208" t="n"/>
      <c r="F190" s="207" t="n"/>
      <c r="G190" s="209" t="n"/>
      <c r="H190" s="210">
        <f>IF($A190="","",MAX(0,$F190-SUMIFS('02_NHAT_KY'!$H$7:$H$506,'02_NHAT_KY'!$C$7:$C$506,$A190,'02_NHAT_KY'!$A$7:$A$506,"&lt;="&amp;'03_BAO_CAO'!$E$4)))</f>
        <v/>
      </c>
      <c r="I190" s="51">
        <f>IF($A190="","",IF($H190&lt;=0,"Đã thanh toán",IF($G190="","Thiếu hạn",IF($G190&gt;='03_BAO_CAO'!$E$4,"Chưa đến hạn",IF('03_BAO_CAO'!$E$4-$G190&lt;=30,"1-30 ngày",IF('03_BAO_CAO'!$E$4-$G190&lt;=60,"31-60 ngày",IF('03_BAO_CAO'!$E$4-$G190&lt;=90,"61-90 ngày","Trên 90 ngày")))))))</f>
        <v/>
      </c>
      <c r="J190" s="51">
        <f>IF($A190="","",IF(COUNTIF($A$7:$A$206,$A190)&gt;1,"TRÙNG MÃ",IF(OR($B190="",$C190="",$D190&lt;0,$E190&lt;0,$F190&lt;0),"KIỂM TRA DỮ LIỆU",IF(AND($F190&gt;0,$G190=""),"THIẾU HẠN DƯ ĐẦU KỲ","OK"))))</f>
        <v/>
      </c>
    </row>
    <row r="191">
      <c r="A191" s="47" t="n"/>
      <c r="B191" s="41" t="n"/>
      <c r="C191" s="47" t="n"/>
      <c r="D191" s="207" t="n"/>
      <c r="E191" s="208" t="n"/>
      <c r="F191" s="207" t="n"/>
      <c r="G191" s="209" t="n"/>
      <c r="H191" s="210">
        <f>IF($A191="","",MAX(0,$F191-SUMIFS('02_NHAT_KY'!$H$7:$H$506,'02_NHAT_KY'!$C$7:$C$506,$A191,'02_NHAT_KY'!$A$7:$A$506,"&lt;="&amp;'03_BAO_CAO'!$E$4)))</f>
        <v/>
      </c>
      <c r="I191" s="51">
        <f>IF($A191="","",IF($H191&lt;=0,"Đã thanh toán",IF($G191="","Thiếu hạn",IF($G191&gt;='03_BAO_CAO'!$E$4,"Chưa đến hạn",IF('03_BAO_CAO'!$E$4-$G191&lt;=30,"1-30 ngày",IF('03_BAO_CAO'!$E$4-$G191&lt;=60,"31-60 ngày",IF('03_BAO_CAO'!$E$4-$G191&lt;=90,"61-90 ngày","Trên 90 ngày")))))))</f>
        <v/>
      </c>
      <c r="J191" s="51">
        <f>IF($A191="","",IF(COUNTIF($A$7:$A$206,$A191)&gt;1,"TRÙNG MÃ",IF(OR($B191="",$C191="",$D191&lt;0,$E191&lt;0,$F191&lt;0),"KIỂM TRA DỮ LIỆU",IF(AND($F191&gt;0,$G191=""),"THIẾU HẠN DƯ ĐẦU KỲ","OK"))))</f>
        <v/>
      </c>
    </row>
    <row r="192">
      <c r="A192" s="47" t="n"/>
      <c r="B192" s="41" t="n"/>
      <c r="C192" s="47" t="n"/>
      <c r="D192" s="207" t="n"/>
      <c r="E192" s="208" t="n"/>
      <c r="F192" s="207" t="n"/>
      <c r="G192" s="209" t="n"/>
      <c r="H192" s="210">
        <f>IF($A192="","",MAX(0,$F192-SUMIFS('02_NHAT_KY'!$H$7:$H$506,'02_NHAT_KY'!$C$7:$C$506,$A192,'02_NHAT_KY'!$A$7:$A$506,"&lt;="&amp;'03_BAO_CAO'!$E$4)))</f>
        <v/>
      </c>
      <c r="I192" s="51">
        <f>IF($A192="","",IF($H192&lt;=0,"Đã thanh toán",IF($G192="","Thiếu hạn",IF($G192&gt;='03_BAO_CAO'!$E$4,"Chưa đến hạn",IF('03_BAO_CAO'!$E$4-$G192&lt;=30,"1-30 ngày",IF('03_BAO_CAO'!$E$4-$G192&lt;=60,"31-60 ngày",IF('03_BAO_CAO'!$E$4-$G192&lt;=90,"61-90 ngày","Trên 90 ngày")))))))</f>
        <v/>
      </c>
      <c r="J192" s="51">
        <f>IF($A192="","",IF(COUNTIF($A$7:$A$206,$A192)&gt;1,"TRÙNG MÃ",IF(OR($B192="",$C192="",$D192&lt;0,$E192&lt;0,$F192&lt;0),"KIỂM TRA DỮ LIỆU",IF(AND($F192&gt;0,$G192=""),"THIẾU HẠN DƯ ĐẦU KỲ","OK"))))</f>
        <v/>
      </c>
    </row>
    <row r="193">
      <c r="A193" s="47" t="n"/>
      <c r="B193" s="41" t="n"/>
      <c r="C193" s="47" t="n"/>
      <c r="D193" s="207" t="n"/>
      <c r="E193" s="208" t="n"/>
      <c r="F193" s="207" t="n"/>
      <c r="G193" s="209" t="n"/>
      <c r="H193" s="210">
        <f>IF($A193="","",MAX(0,$F193-SUMIFS('02_NHAT_KY'!$H$7:$H$506,'02_NHAT_KY'!$C$7:$C$506,$A193,'02_NHAT_KY'!$A$7:$A$506,"&lt;="&amp;'03_BAO_CAO'!$E$4)))</f>
        <v/>
      </c>
      <c r="I193" s="51">
        <f>IF($A193="","",IF($H193&lt;=0,"Đã thanh toán",IF($G193="","Thiếu hạn",IF($G193&gt;='03_BAO_CAO'!$E$4,"Chưa đến hạn",IF('03_BAO_CAO'!$E$4-$G193&lt;=30,"1-30 ngày",IF('03_BAO_CAO'!$E$4-$G193&lt;=60,"31-60 ngày",IF('03_BAO_CAO'!$E$4-$G193&lt;=90,"61-90 ngày","Trên 90 ngày")))))))</f>
        <v/>
      </c>
      <c r="J193" s="51">
        <f>IF($A193="","",IF(COUNTIF($A$7:$A$206,$A193)&gt;1,"TRÙNG MÃ",IF(OR($B193="",$C193="",$D193&lt;0,$E193&lt;0,$F193&lt;0),"KIỂM TRA DỮ LIỆU",IF(AND($F193&gt;0,$G193=""),"THIẾU HẠN DƯ ĐẦU KỲ","OK"))))</f>
        <v/>
      </c>
    </row>
    <row r="194">
      <c r="A194" s="47" t="n"/>
      <c r="B194" s="41" t="n"/>
      <c r="C194" s="47" t="n"/>
      <c r="D194" s="207" t="n"/>
      <c r="E194" s="208" t="n"/>
      <c r="F194" s="207" t="n"/>
      <c r="G194" s="209" t="n"/>
      <c r="H194" s="210">
        <f>IF($A194="","",MAX(0,$F194-SUMIFS('02_NHAT_KY'!$H$7:$H$506,'02_NHAT_KY'!$C$7:$C$506,$A194,'02_NHAT_KY'!$A$7:$A$506,"&lt;="&amp;'03_BAO_CAO'!$E$4)))</f>
        <v/>
      </c>
      <c r="I194" s="51">
        <f>IF($A194="","",IF($H194&lt;=0,"Đã thanh toán",IF($G194="","Thiếu hạn",IF($G194&gt;='03_BAO_CAO'!$E$4,"Chưa đến hạn",IF('03_BAO_CAO'!$E$4-$G194&lt;=30,"1-30 ngày",IF('03_BAO_CAO'!$E$4-$G194&lt;=60,"31-60 ngày",IF('03_BAO_CAO'!$E$4-$G194&lt;=90,"61-90 ngày","Trên 90 ngày")))))))</f>
        <v/>
      </c>
      <c r="J194" s="51">
        <f>IF($A194="","",IF(COUNTIF($A$7:$A$206,$A194)&gt;1,"TRÙNG MÃ",IF(OR($B194="",$C194="",$D194&lt;0,$E194&lt;0,$F194&lt;0),"KIỂM TRA DỮ LIỆU",IF(AND($F194&gt;0,$G194=""),"THIẾU HẠN DƯ ĐẦU KỲ","OK"))))</f>
        <v/>
      </c>
    </row>
    <row r="195">
      <c r="A195" s="47" t="n"/>
      <c r="B195" s="41" t="n"/>
      <c r="C195" s="47" t="n"/>
      <c r="D195" s="207" t="n"/>
      <c r="E195" s="208" t="n"/>
      <c r="F195" s="207" t="n"/>
      <c r="G195" s="209" t="n"/>
      <c r="H195" s="210">
        <f>IF($A195="","",MAX(0,$F195-SUMIFS('02_NHAT_KY'!$H$7:$H$506,'02_NHAT_KY'!$C$7:$C$506,$A195,'02_NHAT_KY'!$A$7:$A$506,"&lt;="&amp;'03_BAO_CAO'!$E$4)))</f>
        <v/>
      </c>
      <c r="I195" s="51">
        <f>IF($A195="","",IF($H195&lt;=0,"Đã thanh toán",IF($G195="","Thiếu hạn",IF($G195&gt;='03_BAO_CAO'!$E$4,"Chưa đến hạn",IF('03_BAO_CAO'!$E$4-$G195&lt;=30,"1-30 ngày",IF('03_BAO_CAO'!$E$4-$G195&lt;=60,"31-60 ngày",IF('03_BAO_CAO'!$E$4-$G195&lt;=90,"61-90 ngày","Trên 90 ngày")))))))</f>
        <v/>
      </c>
      <c r="J195" s="51">
        <f>IF($A195="","",IF(COUNTIF($A$7:$A$206,$A195)&gt;1,"TRÙNG MÃ",IF(OR($B195="",$C195="",$D195&lt;0,$E195&lt;0,$F195&lt;0),"KIỂM TRA DỮ LIỆU",IF(AND($F195&gt;0,$G195=""),"THIẾU HẠN DƯ ĐẦU KỲ","OK"))))</f>
        <v/>
      </c>
    </row>
    <row r="196">
      <c r="A196" s="47" t="n"/>
      <c r="B196" s="41" t="n"/>
      <c r="C196" s="47" t="n"/>
      <c r="D196" s="207" t="n"/>
      <c r="E196" s="208" t="n"/>
      <c r="F196" s="207" t="n"/>
      <c r="G196" s="209" t="n"/>
      <c r="H196" s="210">
        <f>IF($A196="","",MAX(0,$F196-SUMIFS('02_NHAT_KY'!$H$7:$H$506,'02_NHAT_KY'!$C$7:$C$506,$A196,'02_NHAT_KY'!$A$7:$A$506,"&lt;="&amp;'03_BAO_CAO'!$E$4)))</f>
        <v/>
      </c>
      <c r="I196" s="51">
        <f>IF($A196="","",IF($H196&lt;=0,"Đã thanh toán",IF($G196="","Thiếu hạn",IF($G196&gt;='03_BAO_CAO'!$E$4,"Chưa đến hạn",IF('03_BAO_CAO'!$E$4-$G196&lt;=30,"1-30 ngày",IF('03_BAO_CAO'!$E$4-$G196&lt;=60,"31-60 ngày",IF('03_BAO_CAO'!$E$4-$G196&lt;=90,"61-90 ngày","Trên 90 ngày")))))))</f>
        <v/>
      </c>
      <c r="J196" s="51">
        <f>IF($A196="","",IF(COUNTIF($A$7:$A$206,$A196)&gt;1,"TRÙNG MÃ",IF(OR($B196="",$C196="",$D196&lt;0,$E196&lt;0,$F196&lt;0),"KIỂM TRA DỮ LIỆU",IF(AND($F196&gt;0,$G196=""),"THIẾU HẠN DƯ ĐẦU KỲ","OK"))))</f>
        <v/>
      </c>
    </row>
    <row r="197">
      <c r="A197" s="47" t="n"/>
      <c r="B197" s="41" t="n"/>
      <c r="C197" s="47" t="n"/>
      <c r="D197" s="207" t="n"/>
      <c r="E197" s="208" t="n"/>
      <c r="F197" s="207" t="n"/>
      <c r="G197" s="209" t="n"/>
      <c r="H197" s="210">
        <f>IF($A197="","",MAX(0,$F197-SUMIFS('02_NHAT_KY'!$H$7:$H$506,'02_NHAT_KY'!$C$7:$C$506,$A197,'02_NHAT_KY'!$A$7:$A$506,"&lt;="&amp;'03_BAO_CAO'!$E$4)))</f>
        <v/>
      </c>
      <c r="I197" s="51">
        <f>IF($A197="","",IF($H197&lt;=0,"Đã thanh toán",IF($G197="","Thiếu hạn",IF($G197&gt;='03_BAO_CAO'!$E$4,"Chưa đến hạn",IF('03_BAO_CAO'!$E$4-$G197&lt;=30,"1-30 ngày",IF('03_BAO_CAO'!$E$4-$G197&lt;=60,"31-60 ngày",IF('03_BAO_CAO'!$E$4-$G197&lt;=90,"61-90 ngày","Trên 90 ngày")))))))</f>
        <v/>
      </c>
      <c r="J197" s="51">
        <f>IF($A197="","",IF(COUNTIF($A$7:$A$206,$A197)&gt;1,"TRÙNG MÃ",IF(OR($B197="",$C197="",$D197&lt;0,$E197&lt;0,$F197&lt;0),"KIỂM TRA DỮ LIỆU",IF(AND($F197&gt;0,$G197=""),"THIẾU HẠN DƯ ĐẦU KỲ","OK"))))</f>
        <v/>
      </c>
    </row>
    <row r="198">
      <c r="A198" s="47" t="n"/>
      <c r="B198" s="41" t="n"/>
      <c r="C198" s="47" t="n"/>
      <c r="D198" s="207" t="n"/>
      <c r="E198" s="208" t="n"/>
      <c r="F198" s="207" t="n"/>
      <c r="G198" s="209" t="n"/>
      <c r="H198" s="210">
        <f>IF($A198="","",MAX(0,$F198-SUMIFS('02_NHAT_KY'!$H$7:$H$506,'02_NHAT_KY'!$C$7:$C$506,$A198,'02_NHAT_KY'!$A$7:$A$506,"&lt;="&amp;'03_BAO_CAO'!$E$4)))</f>
        <v/>
      </c>
      <c r="I198" s="51">
        <f>IF($A198="","",IF($H198&lt;=0,"Đã thanh toán",IF($G198="","Thiếu hạn",IF($G198&gt;='03_BAO_CAO'!$E$4,"Chưa đến hạn",IF('03_BAO_CAO'!$E$4-$G198&lt;=30,"1-30 ngày",IF('03_BAO_CAO'!$E$4-$G198&lt;=60,"31-60 ngày",IF('03_BAO_CAO'!$E$4-$G198&lt;=90,"61-90 ngày","Trên 90 ngày")))))))</f>
        <v/>
      </c>
      <c r="J198" s="51">
        <f>IF($A198="","",IF(COUNTIF($A$7:$A$206,$A198)&gt;1,"TRÙNG MÃ",IF(OR($B198="",$C198="",$D198&lt;0,$E198&lt;0,$F198&lt;0),"KIỂM TRA DỮ LIỆU",IF(AND($F198&gt;0,$G198=""),"THIẾU HẠN DƯ ĐẦU KỲ","OK"))))</f>
        <v/>
      </c>
    </row>
    <row r="199">
      <c r="A199" s="47" t="n"/>
      <c r="B199" s="41" t="n"/>
      <c r="C199" s="47" t="n"/>
      <c r="D199" s="207" t="n"/>
      <c r="E199" s="208" t="n"/>
      <c r="F199" s="207" t="n"/>
      <c r="G199" s="209" t="n"/>
      <c r="H199" s="210">
        <f>IF($A199="","",MAX(0,$F199-SUMIFS('02_NHAT_KY'!$H$7:$H$506,'02_NHAT_KY'!$C$7:$C$506,$A199,'02_NHAT_KY'!$A$7:$A$506,"&lt;="&amp;'03_BAO_CAO'!$E$4)))</f>
        <v/>
      </c>
      <c r="I199" s="51">
        <f>IF($A199="","",IF($H199&lt;=0,"Đã thanh toán",IF($G199="","Thiếu hạn",IF($G199&gt;='03_BAO_CAO'!$E$4,"Chưa đến hạn",IF('03_BAO_CAO'!$E$4-$G199&lt;=30,"1-30 ngày",IF('03_BAO_CAO'!$E$4-$G199&lt;=60,"31-60 ngày",IF('03_BAO_CAO'!$E$4-$G199&lt;=90,"61-90 ngày","Trên 90 ngày")))))))</f>
        <v/>
      </c>
      <c r="J199" s="51">
        <f>IF($A199="","",IF(COUNTIF($A$7:$A$206,$A199)&gt;1,"TRÙNG MÃ",IF(OR($B199="",$C199="",$D199&lt;0,$E199&lt;0,$F199&lt;0),"KIỂM TRA DỮ LIỆU",IF(AND($F199&gt;0,$G199=""),"THIẾU HẠN DƯ ĐẦU KỲ","OK"))))</f>
        <v/>
      </c>
    </row>
    <row r="200">
      <c r="A200" s="47" t="n"/>
      <c r="B200" s="41" t="n"/>
      <c r="C200" s="47" t="n"/>
      <c r="D200" s="207" t="n"/>
      <c r="E200" s="208" t="n"/>
      <c r="F200" s="207" t="n"/>
      <c r="G200" s="209" t="n"/>
      <c r="H200" s="210">
        <f>IF($A200="","",MAX(0,$F200-SUMIFS('02_NHAT_KY'!$H$7:$H$506,'02_NHAT_KY'!$C$7:$C$506,$A200,'02_NHAT_KY'!$A$7:$A$506,"&lt;="&amp;'03_BAO_CAO'!$E$4)))</f>
        <v/>
      </c>
      <c r="I200" s="51">
        <f>IF($A200="","",IF($H200&lt;=0,"Đã thanh toán",IF($G200="","Thiếu hạn",IF($G200&gt;='03_BAO_CAO'!$E$4,"Chưa đến hạn",IF('03_BAO_CAO'!$E$4-$G200&lt;=30,"1-30 ngày",IF('03_BAO_CAO'!$E$4-$G200&lt;=60,"31-60 ngày",IF('03_BAO_CAO'!$E$4-$G200&lt;=90,"61-90 ngày","Trên 90 ngày")))))))</f>
        <v/>
      </c>
      <c r="J200" s="51">
        <f>IF($A200="","",IF(COUNTIF($A$7:$A$206,$A200)&gt;1,"TRÙNG MÃ",IF(OR($B200="",$C200="",$D200&lt;0,$E200&lt;0,$F200&lt;0),"KIỂM TRA DỮ LIỆU",IF(AND($F200&gt;0,$G200=""),"THIẾU HẠN DƯ ĐẦU KỲ","OK"))))</f>
        <v/>
      </c>
    </row>
    <row r="201">
      <c r="A201" s="47" t="n"/>
      <c r="B201" s="41" t="n"/>
      <c r="C201" s="47" t="n"/>
      <c r="D201" s="207" t="n"/>
      <c r="E201" s="208" t="n"/>
      <c r="F201" s="207" t="n"/>
      <c r="G201" s="209" t="n"/>
      <c r="H201" s="210">
        <f>IF($A201="","",MAX(0,$F201-SUMIFS('02_NHAT_KY'!$H$7:$H$506,'02_NHAT_KY'!$C$7:$C$506,$A201,'02_NHAT_KY'!$A$7:$A$506,"&lt;="&amp;'03_BAO_CAO'!$E$4)))</f>
        <v/>
      </c>
      <c r="I201" s="51">
        <f>IF($A201="","",IF($H201&lt;=0,"Đã thanh toán",IF($G201="","Thiếu hạn",IF($G201&gt;='03_BAO_CAO'!$E$4,"Chưa đến hạn",IF('03_BAO_CAO'!$E$4-$G201&lt;=30,"1-30 ngày",IF('03_BAO_CAO'!$E$4-$G201&lt;=60,"31-60 ngày",IF('03_BAO_CAO'!$E$4-$G201&lt;=90,"61-90 ngày","Trên 90 ngày")))))))</f>
        <v/>
      </c>
      <c r="J201" s="51">
        <f>IF($A201="","",IF(COUNTIF($A$7:$A$206,$A201)&gt;1,"TRÙNG MÃ",IF(OR($B201="",$C201="",$D201&lt;0,$E201&lt;0,$F201&lt;0),"KIỂM TRA DỮ LIỆU",IF(AND($F201&gt;0,$G201=""),"THIẾU HẠN DƯ ĐẦU KỲ","OK"))))</f>
        <v/>
      </c>
    </row>
    <row r="202">
      <c r="A202" s="47" t="n"/>
      <c r="B202" s="41" t="n"/>
      <c r="C202" s="47" t="n"/>
      <c r="D202" s="207" t="n"/>
      <c r="E202" s="208" t="n"/>
      <c r="F202" s="207" t="n"/>
      <c r="G202" s="209" t="n"/>
      <c r="H202" s="210">
        <f>IF($A202="","",MAX(0,$F202-SUMIFS('02_NHAT_KY'!$H$7:$H$506,'02_NHAT_KY'!$C$7:$C$506,$A202,'02_NHAT_KY'!$A$7:$A$506,"&lt;="&amp;'03_BAO_CAO'!$E$4)))</f>
        <v/>
      </c>
      <c r="I202" s="51">
        <f>IF($A202="","",IF($H202&lt;=0,"Đã thanh toán",IF($G202="","Thiếu hạn",IF($G202&gt;='03_BAO_CAO'!$E$4,"Chưa đến hạn",IF('03_BAO_CAO'!$E$4-$G202&lt;=30,"1-30 ngày",IF('03_BAO_CAO'!$E$4-$G202&lt;=60,"31-60 ngày",IF('03_BAO_CAO'!$E$4-$G202&lt;=90,"61-90 ngày","Trên 90 ngày")))))))</f>
        <v/>
      </c>
      <c r="J202" s="51">
        <f>IF($A202="","",IF(COUNTIF($A$7:$A$206,$A202)&gt;1,"TRÙNG MÃ",IF(OR($B202="",$C202="",$D202&lt;0,$E202&lt;0,$F202&lt;0),"KIỂM TRA DỮ LIỆU",IF(AND($F202&gt;0,$G202=""),"THIẾU HẠN DƯ ĐẦU KỲ","OK"))))</f>
        <v/>
      </c>
    </row>
    <row r="203">
      <c r="A203" s="47" t="n"/>
      <c r="B203" s="41" t="n"/>
      <c r="C203" s="47" t="n"/>
      <c r="D203" s="207" t="n"/>
      <c r="E203" s="208" t="n"/>
      <c r="F203" s="207" t="n"/>
      <c r="G203" s="209" t="n"/>
      <c r="H203" s="210">
        <f>IF($A203="","",MAX(0,$F203-SUMIFS('02_NHAT_KY'!$H$7:$H$506,'02_NHAT_KY'!$C$7:$C$506,$A203,'02_NHAT_KY'!$A$7:$A$506,"&lt;="&amp;'03_BAO_CAO'!$E$4)))</f>
        <v/>
      </c>
      <c r="I203" s="51">
        <f>IF($A203="","",IF($H203&lt;=0,"Đã thanh toán",IF($G203="","Thiếu hạn",IF($G203&gt;='03_BAO_CAO'!$E$4,"Chưa đến hạn",IF('03_BAO_CAO'!$E$4-$G203&lt;=30,"1-30 ngày",IF('03_BAO_CAO'!$E$4-$G203&lt;=60,"31-60 ngày",IF('03_BAO_CAO'!$E$4-$G203&lt;=90,"61-90 ngày","Trên 90 ngày")))))))</f>
        <v/>
      </c>
      <c r="J203" s="51">
        <f>IF($A203="","",IF(COUNTIF($A$7:$A$206,$A203)&gt;1,"TRÙNG MÃ",IF(OR($B203="",$C203="",$D203&lt;0,$E203&lt;0,$F203&lt;0),"KIỂM TRA DỮ LIỆU",IF(AND($F203&gt;0,$G203=""),"THIẾU HẠN DƯ ĐẦU KỲ","OK"))))</f>
        <v/>
      </c>
    </row>
    <row r="204">
      <c r="A204" s="47" t="n"/>
      <c r="B204" s="41" t="n"/>
      <c r="C204" s="47" t="n"/>
      <c r="D204" s="207" t="n"/>
      <c r="E204" s="208" t="n"/>
      <c r="F204" s="207" t="n"/>
      <c r="G204" s="209" t="n"/>
      <c r="H204" s="210">
        <f>IF($A204="","",MAX(0,$F204-SUMIFS('02_NHAT_KY'!$H$7:$H$506,'02_NHAT_KY'!$C$7:$C$506,$A204,'02_NHAT_KY'!$A$7:$A$506,"&lt;="&amp;'03_BAO_CAO'!$E$4)))</f>
        <v/>
      </c>
      <c r="I204" s="51">
        <f>IF($A204="","",IF($H204&lt;=0,"Đã thanh toán",IF($G204="","Thiếu hạn",IF($G204&gt;='03_BAO_CAO'!$E$4,"Chưa đến hạn",IF('03_BAO_CAO'!$E$4-$G204&lt;=30,"1-30 ngày",IF('03_BAO_CAO'!$E$4-$G204&lt;=60,"31-60 ngày",IF('03_BAO_CAO'!$E$4-$G204&lt;=90,"61-90 ngày","Trên 90 ngày")))))))</f>
        <v/>
      </c>
      <c r="J204" s="51">
        <f>IF($A204="","",IF(COUNTIF($A$7:$A$206,$A204)&gt;1,"TRÙNG MÃ",IF(OR($B204="",$C204="",$D204&lt;0,$E204&lt;0,$F204&lt;0),"KIỂM TRA DỮ LIỆU",IF(AND($F204&gt;0,$G204=""),"THIẾU HẠN DƯ ĐẦU KỲ","OK"))))</f>
        <v/>
      </c>
    </row>
    <row r="205">
      <c r="A205" s="47" t="n"/>
      <c r="B205" s="41" t="n"/>
      <c r="C205" s="47" t="n"/>
      <c r="D205" s="207" t="n"/>
      <c r="E205" s="208" t="n"/>
      <c r="F205" s="207" t="n"/>
      <c r="G205" s="209" t="n"/>
      <c r="H205" s="210">
        <f>IF($A205="","",MAX(0,$F205-SUMIFS('02_NHAT_KY'!$H$7:$H$506,'02_NHAT_KY'!$C$7:$C$506,$A205,'02_NHAT_KY'!$A$7:$A$506,"&lt;="&amp;'03_BAO_CAO'!$E$4)))</f>
        <v/>
      </c>
      <c r="I205" s="51">
        <f>IF($A205="","",IF($H205&lt;=0,"Đã thanh toán",IF($G205="","Thiếu hạn",IF($G205&gt;='03_BAO_CAO'!$E$4,"Chưa đến hạn",IF('03_BAO_CAO'!$E$4-$G205&lt;=30,"1-30 ngày",IF('03_BAO_CAO'!$E$4-$G205&lt;=60,"31-60 ngày",IF('03_BAO_CAO'!$E$4-$G205&lt;=90,"61-90 ngày","Trên 90 ngày")))))))</f>
        <v/>
      </c>
      <c r="J205" s="51">
        <f>IF($A205="","",IF(COUNTIF($A$7:$A$206,$A205)&gt;1,"TRÙNG MÃ",IF(OR($B205="",$C205="",$D205&lt;0,$E205&lt;0,$F205&lt;0),"KIỂM TRA DỮ LIỆU",IF(AND($F205&gt;0,$G205=""),"THIẾU HẠN DƯ ĐẦU KỲ","OK"))))</f>
        <v/>
      </c>
    </row>
    <row r="206">
      <c r="A206" s="47" t="n"/>
      <c r="B206" s="41" t="n"/>
      <c r="C206" s="47" t="n"/>
      <c r="D206" s="207" t="n"/>
      <c r="E206" s="208" t="n"/>
      <c r="F206" s="207" t="n"/>
      <c r="G206" s="209" t="n"/>
      <c r="H206" s="210">
        <f>IF($A206="","",MAX(0,$F206-SUMIFS('02_NHAT_KY'!$H$7:$H$506,'02_NHAT_KY'!$C$7:$C$506,$A206,'02_NHAT_KY'!$A$7:$A$506,"&lt;="&amp;'03_BAO_CAO'!$E$4)))</f>
        <v/>
      </c>
      <c r="I206" s="51">
        <f>IF($A206="","",IF($H206&lt;=0,"Đã thanh toán",IF($G206="","Thiếu hạn",IF($G206&gt;='03_BAO_CAO'!$E$4,"Chưa đến hạn",IF('03_BAO_CAO'!$E$4-$G206&lt;=30,"1-30 ngày",IF('03_BAO_CAO'!$E$4-$G206&lt;=60,"31-60 ngày",IF('03_BAO_CAO'!$E$4-$G206&lt;=90,"61-90 ngày","Trên 90 ngày")))))))</f>
        <v/>
      </c>
      <c r="J206" s="51">
        <f>IF($A206="","",IF(COUNTIF($A$7:$A$206,$A206)&gt;1,"TRÙNG MÃ",IF(OR($B206="",$C206="",$D206&lt;0,$E206&lt;0,$F206&lt;0),"KIỂM TRA DỮ LIỆU",IF(AND($F206&gt;0,$G206=""),"THIẾU HẠN DƯ ĐẦU KỲ","OK"))))</f>
        <v/>
      </c>
    </row>
  </sheetData>
  <mergeCells count="4">
    <mergeCell ref="A1:J1"/>
    <mergeCell ref="A2:J2"/>
    <mergeCell ref="A3:J3"/>
    <mergeCell ref="A5:J5"/>
  </mergeCells>
  <conditionalFormatting sqref="A7:A206">
    <cfRule type="duplicateValues" priority="1" dxfId="0"/>
  </conditionalFormatting>
  <conditionalFormatting sqref="J7:J206">
    <cfRule type="containsText" priority="2" operator="containsText" dxfId="1" text="OK"/>
    <cfRule type="containsText" priority="3" operator="containsText" dxfId="0" text="TRÙNG"/>
    <cfRule type="containsText" priority="4" operator="containsText" dxfId="0" text="THIẾU"/>
    <cfRule type="containsText" priority="5" operator="containsText" dxfId="0" text="KIỂM TRA"/>
  </conditionalFormatting>
  <dataValidations count="3">
    <dataValidation sqref="C7:C206" showDropDown="0" showInputMessage="0" showErrorMessage="0" allowBlank="0" type="list">
      <formula1>"Phải thu,Phải trả"</formula1>
    </dataValidation>
    <dataValidation sqref="D7:F206" showDropDown="0" showInputMessage="0" showErrorMessage="0" allowBlank="0" type="decimal" operator="greaterThanOrEqual">
      <formula1>0</formula1>
    </dataValidation>
    <dataValidation sqref="E7:E206" showDropDown="0" showInputMessage="0" showErrorMessage="0" allowBlank="0" type="whole" operator="between">
      <formula1>0</formula1>
      <formula2>3650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30" customWidth="1" min="4" max="4"/>
    <col width="13" customWidth="1" min="5" max="5"/>
    <col width="34" customWidth="1" min="6" max="6"/>
    <col width="18" customWidth="1" min="7" max="7"/>
    <col width="18" customWidth="1" min="8" max="8"/>
    <col width="15" customWidth="1" min="9" max="9"/>
    <col width="15" customWidth="1" min="10" max="10"/>
    <col width="20" customWidth="1" min="11" max="11"/>
    <col width="15" customWidth="1" min="12" max="12"/>
    <col width="18" customWidth="1" min="13" max="13"/>
    <col width="30" customWidth="1" min="14" max="14"/>
  </cols>
  <sheetData>
    <row r="1" ht="34" customHeight="1">
      <c r="A1" s="4" t="inlineStr">
        <is>
          <t>HỆ THỐNG QUẢN LÝ CÔNG NỢ &amp; TUỔI NỢ ĐA NĂNG - THIẾT KẾ BỞI KK HOME</t>
        </is>
      </c>
    </row>
    <row r="2" ht="23" customHeight="1">
      <c r="A2" s="8" t="inlineStr">
        <is>
          <t>Số liệu phải sắc - Kiểm soát phải chắc.</t>
        </is>
      </c>
    </row>
    <row r="3" ht="28" customHeight="1">
      <c r="A3" s="13" t="inlineStr">
        <is>
          <t>Nhập nhật ký theo thứ tự ngày tăng dần. Mỗi dòng chỉ nhập Phát sinh Tăng hoặc Phát sinh Giảm; hệ thống tự cấn trừ FIFO theo từng đối tượng.</t>
        </is>
      </c>
    </row>
    <row r="4"/>
    <row r="5" ht="24" customHeight="1">
      <c r="A5" s="204" t="inlineStr">
        <is>
          <t>NHẬT KÝ PHÁT SINH CÔNG NỢ</t>
        </is>
      </c>
      <c r="B5" s="205" t="n"/>
      <c r="C5" s="205" t="n"/>
      <c r="D5" s="205" t="n"/>
      <c r="E5" s="205" t="n"/>
      <c r="F5" s="205" t="n"/>
      <c r="G5" s="205" t="n"/>
      <c r="H5" s="205" t="n"/>
      <c r="I5" s="205" t="n"/>
      <c r="J5" s="205" t="n"/>
      <c r="K5" s="205" t="n"/>
      <c r="L5" s="205" t="n"/>
      <c r="M5" s="205" t="n"/>
      <c r="N5" s="206" t="n"/>
    </row>
    <row r="6" ht="43" customHeight="1">
      <c r="A6" s="36" t="inlineStr">
        <is>
          <t>Ngày chứng từ</t>
        </is>
      </c>
      <c r="B6" s="37" t="inlineStr">
        <is>
          <t>Số chứng từ</t>
        </is>
      </c>
      <c r="C6" s="37" t="inlineStr">
        <is>
          <t>Mã Đối Tượng</t>
        </is>
      </c>
      <c r="D6" s="37" t="inlineStr">
        <is>
          <t>Tên Đối Tượng</t>
        </is>
      </c>
      <c r="E6" s="37" t="inlineStr">
        <is>
          <t>Phân loại</t>
        </is>
      </c>
      <c r="F6" s="37" t="inlineStr">
        <is>
          <t>Diễn giải</t>
        </is>
      </c>
      <c r="G6" s="37" t="inlineStr">
        <is>
          <t>Phát sinh Tăng (VND)</t>
        </is>
      </c>
      <c r="H6" s="37" t="inlineStr">
        <is>
          <t>Phát sinh Giảm (VND)</t>
        </is>
      </c>
      <c r="I6" s="37" t="inlineStr">
        <is>
          <t>Thời hạn nợ (ngày)</t>
        </is>
      </c>
      <c r="J6" s="37" t="inlineStr">
        <is>
          <t>Ngày đến hạn</t>
        </is>
      </c>
      <c r="K6" s="37" t="inlineStr">
        <is>
          <t>Dư chưa thanh toán (FIFO)</t>
        </is>
      </c>
      <c r="L6" s="37" t="inlineStr">
        <is>
          <t>Số ngày quá hạn</t>
        </is>
      </c>
      <c r="M6" s="37" t="inlineStr">
        <is>
          <t>Nhóm tuổi nợ</t>
        </is>
      </c>
      <c r="N6" s="38" t="inlineStr">
        <is>
          <t>Kiểm tra dữ liệu</t>
        </is>
      </c>
    </row>
    <row r="7">
      <c r="A7" s="209" t="n">
        <v>46027</v>
      </c>
      <c r="B7" s="47" t="inlineStr">
        <is>
          <t>BH001</t>
        </is>
      </c>
      <c r="C7" s="47" t="inlineStr">
        <is>
          <t>KH001</t>
        </is>
      </c>
      <c r="D7" s="51">
        <f>IF($C7="","",XLOOKUP($C7,'01_DANH_MUC'!$A$7:$A$206,'01_DANH_MUC'!$B$7:$B$206,"KHÔNG TÌM THẤY"))</f>
        <v/>
      </c>
      <c r="E7" s="51">
        <f>IF($C7="","",XLOOKUP($C7,'01_DANH_MUC'!$A$7:$A$206,'01_DANH_MUC'!$C$7:$C$206,"KHÔNG TÌM THẤY"))</f>
        <v/>
      </c>
      <c r="F7" s="57" t="inlineStr">
        <is>
          <t>Bán hàng theo HĐ BH001</t>
        </is>
      </c>
      <c r="G7" s="211" t="n">
        <v>180000000</v>
      </c>
      <c r="H7" s="211" t="n">
        <v>0</v>
      </c>
      <c r="I7" s="212">
        <f>IF($C7="","",XLOOKUP($C7,'01_DANH_MUC'!$A$7:$A$206,'01_DANH_MUC'!$E$7:$E$206,0))</f>
        <v/>
      </c>
      <c r="J7" s="213">
        <f>IF(OR($A7="",$C7="",$G7&lt;=0),"",$A7+$I7)</f>
        <v/>
      </c>
      <c r="K7" s="210">
        <f>IF($A7="","",IF(OR($C7="",$G7&lt;=0,$A7&gt;'03_BAO_CAO'!$E$4),0,MAX(0,$G7-MAX(0,SUMIFS($H$7:$H$506,$C$7:$C$506,$C7,$A$7:$A$506,"&lt;="&amp;'03_BAO_CAO'!$E$4)-XLOOKUP($C7,'01_DANH_MUC'!$A$7:$A$206,'01_DANH_MUC'!$F$7:$F$206,0)))))</f>
        <v/>
      </c>
      <c r="L7" s="212">
        <f>IF($A7="","",IF(OR($K7&lt;=0,$J7=""),0,MAX(0,'03_BAO_CAO'!$E$4-$J7)))</f>
        <v/>
      </c>
      <c r="M7" s="51">
        <f>IF($A7="","",IF($K7&lt;=0,"Đã thanh toán",IF($J7="","Thiếu ngày đến hạn",IF($J7&gt;='03_BAO_CAO'!$E$4,"Chưa đến hạn",IF($L7&lt;=30,"1-30 ngày",IF($L7&lt;=60,"31-60 ngày",IF($L7&lt;=90,"61-90 ngày","Trên 90 ngày")))))))</f>
        <v/>
      </c>
      <c r="N7" s="51">
        <f>IF($A7="","",IF(OR($B7="",$C7=""),"THIẾU THÔNG TIN",IF(AND($G7&gt;0,$H7&gt;0),"KHÔNG NHẬP ĐỒNG THỜI TĂNG/GIẢM",IF(AND($G7&lt;=0,$H7&lt;=0),"CHƯA NHẬP SỐ TIỀN",IF($D7="KHÔNG TÌM THẤY","MÃ KHÔNG HỢP LỆ",IF(AND($G7&gt;0,$J7=""),"THIẾU NGÀY ĐẾN HẠN","OK"))))))</f>
        <v/>
      </c>
    </row>
    <row r="8">
      <c r="A8" s="209" t="n">
        <v>46063</v>
      </c>
      <c r="B8" s="47" t="inlineStr">
        <is>
          <t>PT001</t>
        </is>
      </c>
      <c r="C8" s="47" t="inlineStr">
        <is>
          <t>KH001</t>
        </is>
      </c>
      <c r="D8" s="51">
        <f>IF($C8="","",XLOOKUP($C8,'01_DANH_MUC'!$A$7:$A$206,'01_DANH_MUC'!$B$7:$B$206,"KHÔNG TÌM THẤY"))</f>
        <v/>
      </c>
      <c r="E8" s="51">
        <f>IF($C8="","",XLOOKUP($C8,'01_DANH_MUC'!$A$7:$A$206,'01_DANH_MUC'!$C$7:$C$206,"KHÔNG TÌM THẤY"))</f>
        <v/>
      </c>
      <c r="F8" s="57" t="inlineStr">
        <is>
          <t>Thu tiền khách hàng</t>
        </is>
      </c>
      <c r="G8" s="211" t="n">
        <v>0</v>
      </c>
      <c r="H8" s="211" t="n">
        <v>100000000</v>
      </c>
      <c r="I8" s="212">
        <f>IF($C8="","",XLOOKUP($C8,'01_DANH_MUC'!$A$7:$A$206,'01_DANH_MUC'!$E$7:$E$206,0))</f>
        <v/>
      </c>
      <c r="J8" s="213">
        <f>IF(OR($A8="",$C8="",$G8&lt;=0),"",$A8+$I8)</f>
        <v/>
      </c>
      <c r="K8" s="210">
        <f>IF($A8="","",IF(OR($C8="",$G8&lt;=0,$A8&gt;'03_BAO_CAO'!$E$4),0,MAX(0,$G8-MAX(0,SUMIFS($H$7:$H$506,$C$7:$C$506,$C8,$A$7:$A$506,"&lt;="&amp;'03_BAO_CAO'!$E$4)-XLOOKUP($C8,'01_DANH_MUC'!$A$7:$A$206,'01_DANH_MUC'!$F$7:$F$206,0)-SUMIFS($G$7:G7,$C$7:C7,$C8,$A$7:A7,"&lt;="&amp;'03_BAO_CAO'!$E$4)))))</f>
        <v/>
      </c>
      <c r="L8" s="212">
        <f>IF($A8="","",IF(OR($K8&lt;=0,$J8=""),0,MAX(0,'03_BAO_CAO'!$E$4-$J8)))</f>
        <v/>
      </c>
      <c r="M8" s="51">
        <f>IF($A8="","",IF($K8&lt;=0,"Đã thanh toán",IF($J8="","Thiếu ngày đến hạn",IF($J8&gt;='03_BAO_CAO'!$E$4,"Chưa đến hạn",IF($L8&lt;=30,"1-30 ngày",IF($L8&lt;=60,"31-60 ngày",IF($L8&lt;=90,"61-90 ngày","Trên 90 ngày")))))))</f>
        <v/>
      </c>
      <c r="N8" s="51">
        <f>IF($A8="","",IF(OR($B8="",$C8=""),"THIẾU THÔNG TIN",IF(AND($G8&gt;0,$H8&gt;0),"KHÔNG NHẬP ĐỒNG THỜI TĂNG/GIẢM",IF(AND($G8&lt;=0,$H8&lt;=0),"CHƯA NHẬP SỐ TIỀN",IF($D8="KHÔNG TÌM THẤY","MÃ KHÔNG HỢP LỆ",IF(AND($G8&gt;0,$J8=""),"THIẾU NGÀY ĐẾN HẠN","OK"))))))</f>
        <v/>
      </c>
    </row>
    <row r="9">
      <c r="A9" s="209" t="n">
        <v>46096</v>
      </c>
      <c r="B9" s="47" t="inlineStr">
        <is>
          <t>BH002</t>
        </is>
      </c>
      <c r="C9" s="47" t="inlineStr">
        <is>
          <t>KH001</t>
        </is>
      </c>
      <c r="D9" s="51">
        <f>IF($C9="","",XLOOKUP($C9,'01_DANH_MUC'!$A$7:$A$206,'01_DANH_MUC'!$B$7:$B$206,"KHÔNG TÌM THẤY"))</f>
        <v/>
      </c>
      <c r="E9" s="51">
        <f>IF($C9="","",XLOOKUP($C9,'01_DANH_MUC'!$A$7:$A$206,'01_DANH_MUC'!$C$7:$C$206,"KHÔNG TÌM THẤY"))</f>
        <v/>
      </c>
      <c r="F9" s="57" t="inlineStr">
        <is>
          <t>Bán hàng theo HĐ BH002</t>
        </is>
      </c>
      <c r="G9" s="211" t="n">
        <v>120000000</v>
      </c>
      <c r="H9" s="211" t="n">
        <v>0</v>
      </c>
      <c r="I9" s="212">
        <f>IF($C9="","",XLOOKUP($C9,'01_DANH_MUC'!$A$7:$A$206,'01_DANH_MUC'!$E$7:$E$206,0))</f>
        <v/>
      </c>
      <c r="J9" s="213">
        <f>IF(OR($A9="",$C9="",$G9&lt;=0),"",$A9+$I9)</f>
        <v/>
      </c>
      <c r="K9" s="210">
        <f>IF($A9="","",IF(OR($C9="",$G9&lt;=0,$A9&gt;'03_BAO_CAO'!$E$4),0,MAX(0,$G9-MAX(0,SUMIFS($H$7:$H$506,$C$7:$C$506,$C9,$A$7:$A$506,"&lt;="&amp;'03_BAO_CAO'!$E$4)-XLOOKUP($C9,'01_DANH_MUC'!$A$7:$A$206,'01_DANH_MUC'!$F$7:$F$206,0)-SUMIFS($G$7:G8,$C$7:C8,$C9,$A$7:A8,"&lt;="&amp;'03_BAO_CAO'!$E$4)))))</f>
        <v/>
      </c>
      <c r="L9" s="212">
        <f>IF($A9="","",IF(OR($K9&lt;=0,$J9=""),0,MAX(0,'03_BAO_CAO'!$E$4-$J9)))</f>
        <v/>
      </c>
      <c r="M9" s="51">
        <f>IF($A9="","",IF($K9&lt;=0,"Đã thanh toán",IF($J9="","Thiếu ngày đến hạn",IF($J9&gt;='03_BAO_CAO'!$E$4,"Chưa đến hạn",IF($L9&lt;=30,"1-30 ngày",IF($L9&lt;=60,"31-60 ngày",IF($L9&lt;=90,"61-90 ngày","Trên 90 ngày")))))))</f>
        <v/>
      </c>
      <c r="N9" s="51">
        <f>IF($A9="","",IF(OR($B9="",$C9=""),"THIẾU THÔNG TIN",IF(AND($G9&gt;0,$H9&gt;0),"KHÔNG NHẬP ĐỒNG THỜI TĂNG/GIẢM",IF(AND($G9&lt;=0,$H9&lt;=0),"CHƯA NHẬP SỐ TIỀN",IF($D9="KHÔNG TÌM THẤY","MÃ KHÔNG HỢP LỆ",IF(AND($G9&gt;0,$J9=""),"THIẾU NGÀY ĐẾN HẠN","OK"))))))</f>
        <v/>
      </c>
    </row>
    <row r="10">
      <c r="A10" s="209" t="n">
        <v>46122</v>
      </c>
      <c r="B10" s="47" t="inlineStr">
        <is>
          <t>MH001</t>
        </is>
      </c>
      <c r="C10" s="47" t="inlineStr">
        <is>
          <t>NCC001</t>
        </is>
      </c>
      <c r="D10" s="51">
        <f>IF($C10="","",XLOOKUP($C10,'01_DANH_MUC'!$A$7:$A$206,'01_DANH_MUC'!$B$7:$B$206,"KHÔNG TÌM THẤY"))</f>
        <v/>
      </c>
      <c r="E10" s="51">
        <f>IF($C10="","",XLOOKUP($C10,'01_DANH_MUC'!$A$7:$A$206,'01_DANH_MUC'!$C$7:$C$206,"KHÔNG TÌM THẤY"))</f>
        <v/>
      </c>
      <c r="F10" s="57" t="inlineStr">
        <is>
          <t>Mua nguyên liệu</t>
        </is>
      </c>
      <c r="G10" s="211" t="n">
        <v>150000000</v>
      </c>
      <c r="H10" s="211" t="n">
        <v>0</v>
      </c>
      <c r="I10" s="212">
        <f>IF($C10="","",XLOOKUP($C10,'01_DANH_MUC'!$A$7:$A$206,'01_DANH_MUC'!$E$7:$E$206,0))</f>
        <v/>
      </c>
      <c r="J10" s="213">
        <f>IF(OR($A10="",$C10="",$G10&lt;=0),"",$A10+$I10)</f>
        <v/>
      </c>
      <c r="K10" s="210">
        <f>IF($A10="","",IF(OR($C10="",$G10&lt;=0,$A10&gt;'03_BAO_CAO'!$E$4),0,MAX(0,$G10-MAX(0,SUMIFS($H$7:$H$506,$C$7:$C$506,$C10,$A$7:$A$506,"&lt;="&amp;'03_BAO_CAO'!$E$4)-XLOOKUP($C10,'01_DANH_MUC'!$A$7:$A$206,'01_DANH_MUC'!$F$7:$F$206,0)-SUMIFS($G$7:G9,$C$7:C9,$C10,$A$7:A9,"&lt;="&amp;'03_BAO_CAO'!$E$4)))))</f>
        <v/>
      </c>
      <c r="L10" s="212">
        <f>IF($A10="","",IF(OR($K10&lt;=0,$J10=""),0,MAX(0,'03_BAO_CAO'!$E$4-$J10)))</f>
        <v/>
      </c>
      <c r="M10" s="51">
        <f>IF($A10="","",IF($K10&lt;=0,"Đã thanh toán",IF($J10="","Thiếu ngày đến hạn",IF($J10&gt;='03_BAO_CAO'!$E$4,"Chưa đến hạn",IF($L10&lt;=30,"1-30 ngày",IF($L10&lt;=60,"31-60 ngày",IF($L10&lt;=90,"61-90 ngày","Trên 90 ngày")))))))</f>
        <v/>
      </c>
      <c r="N10" s="51">
        <f>IF($A10="","",IF(OR($B10="",$C10=""),"THIẾU THÔNG TIN",IF(AND($G10&gt;0,$H10&gt;0),"KHÔNG NHẬP ĐỒNG THỜI TĂNG/GIẢM",IF(AND($G10&lt;=0,$H10&lt;=0),"CHƯA NHẬP SỐ TIỀN",IF($D10="KHÔNG TÌM THẤY","MÃ KHÔNG HỢP LỆ",IF(AND($G10&gt;0,$J10=""),"THIẾU NGÀY ĐẾN HẠN","OK"))))))</f>
        <v/>
      </c>
    </row>
    <row r="11">
      <c r="A11" s="209" t="n">
        <v>46162</v>
      </c>
      <c r="B11" s="47" t="inlineStr">
        <is>
          <t>PC001</t>
        </is>
      </c>
      <c r="C11" s="47" t="inlineStr">
        <is>
          <t>NCC001</t>
        </is>
      </c>
      <c r="D11" s="51">
        <f>IF($C11="","",XLOOKUP($C11,'01_DANH_MUC'!$A$7:$A$206,'01_DANH_MUC'!$B$7:$B$206,"KHÔNG TÌM THẤY"))</f>
        <v/>
      </c>
      <c r="E11" s="51">
        <f>IF($C11="","",XLOOKUP($C11,'01_DANH_MUC'!$A$7:$A$206,'01_DANH_MUC'!$C$7:$C$206,"KHÔNG TÌM THẤY"))</f>
        <v/>
      </c>
      <c r="F11" s="57" t="inlineStr">
        <is>
          <t>Thanh toán nhà cung cấp</t>
        </is>
      </c>
      <c r="G11" s="211" t="n">
        <v>0</v>
      </c>
      <c r="H11" s="211" t="n">
        <v>100000000</v>
      </c>
      <c r="I11" s="212">
        <f>IF($C11="","",XLOOKUP($C11,'01_DANH_MUC'!$A$7:$A$206,'01_DANH_MUC'!$E$7:$E$206,0))</f>
        <v/>
      </c>
      <c r="J11" s="213">
        <f>IF(OR($A11="",$C11="",$G11&lt;=0),"",$A11+$I11)</f>
        <v/>
      </c>
      <c r="K11" s="210">
        <f>IF($A11="","",IF(OR($C11="",$G11&lt;=0,$A11&gt;'03_BAO_CAO'!$E$4),0,MAX(0,$G11-MAX(0,SUMIFS($H$7:$H$506,$C$7:$C$506,$C11,$A$7:$A$506,"&lt;="&amp;'03_BAO_CAO'!$E$4)-XLOOKUP($C11,'01_DANH_MUC'!$A$7:$A$206,'01_DANH_MUC'!$F$7:$F$206,0)-SUMIFS($G$7:G10,$C$7:C10,$C11,$A$7:A10,"&lt;="&amp;'03_BAO_CAO'!$E$4)))))</f>
        <v/>
      </c>
      <c r="L11" s="212">
        <f>IF($A11="","",IF(OR($K11&lt;=0,$J11=""),0,MAX(0,'03_BAO_CAO'!$E$4-$J11)))</f>
        <v/>
      </c>
      <c r="M11" s="51">
        <f>IF($A11="","",IF($K11&lt;=0,"Đã thanh toán",IF($J11="","Thiếu ngày đến hạn",IF($J11&gt;='03_BAO_CAO'!$E$4,"Chưa đến hạn",IF($L11&lt;=30,"1-30 ngày",IF($L11&lt;=60,"31-60 ngày",IF($L11&lt;=90,"61-90 ngày","Trên 90 ngày")))))))</f>
        <v/>
      </c>
      <c r="N11" s="51">
        <f>IF($A11="","",IF(OR($B11="",$C11=""),"THIẾU THÔNG TIN",IF(AND($G11&gt;0,$H11&gt;0),"KHÔNG NHẬP ĐỒNG THỜI TĂNG/GIẢM",IF(AND($G11&lt;=0,$H11&lt;=0),"CHƯA NHẬP SỐ TIỀN",IF($D11="KHÔNG TÌM THẤY","MÃ KHÔNG HỢP LỆ",IF(AND($G11&gt;0,$J11=""),"THIẾU NGÀY ĐẾN HẠN","OK"))))))</f>
        <v/>
      </c>
    </row>
    <row r="12">
      <c r="A12" s="209" t="n">
        <v>46213</v>
      </c>
      <c r="B12" s="47" t="inlineStr">
        <is>
          <t>BH003</t>
        </is>
      </c>
      <c r="C12" s="47" t="inlineStr">
        <is>
          <t>KH002</t>
        </is>
      </c>
      <c r="D12" s="51">
        <f>IF($C12="","",XLOOKUP($C12,'01_DANH_MUC'!$A$7:$A$206,'01_DANH_MUC'!$B$7:$B$206,"KHÔNG TÌM THẤY"))</f>
        <v/>
      </c>
      <c r="E12" s="51">
        <f>IF($C12="","",XLOOKUP($C12,'01_DANH_MUC'!$A$7:$A$206,'01_DANH_MUC'!$C$7:$C$206,"KHÔNG TÌM THẤY"))</f>
        <v/>
      </c>
      <c r="F12" s="57" t="inlineStr">
        <is>
          <t>Bán hàng theo HĐ BH003</t>
        </is>
      </c>
      <c r="G12" s="211" t="n">
        <v>90000000</v>
      </c>
      <c r="H12" s="211" t="n">
        <v>0</v>
      </c>
      <c r="I12" s="212">
        <f>IF($C12="","",XLOOKUP($C12,'01_DANH_MUC'!$A$7:$A$206,'01_DANH_MUC'!$E$7:$E$206,0))</f>
        <v/>
      </c>
      <c r="J12" s="213">
        <f>IF(OR($A12="",$C12="",$G12&lt;=0),"",$A12+$I12)</f>
        <v/>
      </c>
      <c r="K12" s="210">
        <f>IF($A12="","",IF(OR($C12="",$G12&lt;=0,$A12&gt;'03_BAO_CAO'!$E$4),0,MAX(0,$G12-MAX(0,SUMIFS($H$7:$H$506,$C$7:$C$506,$C12,$A$7:$A$506,"&lt;="&amp;'03_BAO_CAO'!$E$4)-XLOOKUP($C12,'01_DANH_MUC'!$A$7:$A$206,'01_DANH_MUC'!$F$7:$F$206,0)-SUMIFS($G$7:G11,$C$7:C11,$C12,$A$7:A11,"&lt;="&amp;'03_BAO_CAO'!$E$4)))))</f>
        <v/>
      </c>
      <c r="L12" s="212">
        <f>IF($A12="","",IF(OR($K12&lt;=0,$J12=""),0,MAX(0,'03_BAO_CAO'!$E$4-$J12)))</f>
        <v/>
      </c>
      <c r="M12" s="51">
        <f>IF($A12="","",IF($K12&lt;=0,"Đã thanh toán",IF($J12="","Thiếu ngày đến hạn",IF($J12&gt;='03_BAO_CAO'!$E$4,"Chưa đến hạn",IF($L12&lt;=30,"1-30 ngày",IF($L12&lt;=60,"31-60 ngày",IF($L12&lt;=90,"61-90 ngày","Trên 90 ngày")))))))</f>
        <v/>
      </c>
      <c r="N12" s="51">
        <f>IF($A12="","",IF(OR($B12="",$C12=""),"THIẾU THÔNG TIN",IF(AND($G12&gt;0,$H12&gt;0),"KHÔNG NHẬP ĐỒNG THỜI TĂNG/GIẢM",IF(AND($G12&lt;=0,$H12&lt;=0),"CHƯA NHẬP SỐ TIỀN",IF($D12="KHÔNG TÌM THẤY","MÃ KHÔNG HỢP LỆ",IF(AND($G12&gt;0,$J12=""),"THIẾU NGÀY ĐẾN HẠN","OK"))))))</f>
        <v/>
      </c>
    </row>
    <row r="13">
      <c r="A13" s="209" t="n">
        <v>46221</v>
      </c>
      <c r="B13" s="47" t="inlineStr">
        <is>
          <t>MH002</t>
        </is>
      </c>
      <c r="C13" s="47" t="inlineStr">
        <is>
          <t>NCC002</t>
        </is>
      </c>
      <c r="D13" s="51">
        <f>IF($C13="","",XLOOKUP($C13,'01_DANH_MUC'!$A$7:$A$206,'01_DANH_MUC'!$B$7:$B$206,"KHÔNG TÌM THẤY"))</f>
        <v/>
      </c>
      <c r="E13" s="51">
        <f>IF($C13="","",XLOOKUP($C13,'01_DANH_MUC'!$A$7:$A$206,'01_DANH_MUC'!$C$7:$C$206,"KHÔNG TÌM THẤY"))</f>
        <v/>
      </c>
      <c r="F13" s="57" t="inlineStr">
        <is>
          <t>Phí logistics tháng 7</t>
        </is>
      </c>
      <c r="G13" s="211" t="n">
        <v>60000000</v>
      </c>
      <c r="H13" s="211" t="n">
        <v>0</v>
      </c>
      <c r="I13" s="212">
        <f>IF($C13="","",XLOOKUP($C13,'01_DANH_MUC'!$A$7:$A$206,'01_DANH_MUC'!$E$7:$E$206,0))</f>
        <v/>
      </c>
      <c r="J13" s="213">
        <f>IF(OR($A13="",$C13="",$G13&lt;=0),"",$A13+$I13)</f>
        <v/>
      </c>
      <c r="K13" s="210">
        <f>IF($A13="","",IF(OR($C13="",$G13&lt;=0,$A13&gt;'03_BAO_CAO'!$E$4),0,MAX(0,$G13-MAX(0,SUMIFS($H$7:$H$506,$C$7:$C$506,$C13,$A$7:$A$506,"&lt;="&amp;'03_BAO_CAO'!$E$4)-XLOOKUP($C13,'01_DANH_MUC'!$A$7:$A$206,'01_DANH_MUC'!$F$7:$F$206,0)-SUMIFS($G$7:G12,$C$7:C12,$C13,$A$7:A12,"&lt;="&amp;'03_BAO_CAO'!$E$4)))))</f>
        <v/>
      </c>
      <c r="L13" s="212">
        <f>IF($A13="","",IF(OR($K13&lt;=0,$J13=""),0,MAX(0,'03_BAO_CAO'!$E$4-$J13)))</f>
        <v/>
      </c>
      <c r="M13" s="51">
        <f>IF($A13="","",IF($K13&lt;=0,"Đã thanh toán",IF($J13="","Thiếu ngày đến hạn",IF($J13&gt;='03_BAO_CAO'!$E$4,"Chưa đến hạn",IF($L13&lt;=30,"1-30 ngày",IF($L13&lt;=60,"31-60 ngày",IF($L13&lt;=90,"61-90 ngày","Trên 90 ngày")))))))</f>
        <v/>
      </c>
      <c r="N13" s="51">
        <f>IF($A13="","",IF(OR($B13="",$C13=""),"THIẾU THÔNG TIN",IF(AND($G13&gt;0,$H13&gt;0),"KHÔNG NHẬP ĐỒNG THỜI TĂNG/GIẢM",IF(AND($G13&lt;=0,$H13&lt;=0),"CHƯA NHẬP SỐ TIỀN",IF($D13="KHÔNG TÌM THẤY","MÃ KHÔNG HỢP LỆ",IF(AND($G13&gt;0,$J13=""),"THIẾU NGÀY ĐẾN HẠN","OK"))))))</f>
        <v/>
      </c>
    </row>
    <row r="14">
      <c r="A14" s="209" t="n">
        <v>46223</v>
      </c>
      <c r="B14" s="47" t="inlineStr">
        <is>
          <t>PC002</t>
        </is>
      </c>
      <c r="C14" s="47" t="inlineStr">
        <is>
          <t>NCC002</t>
        </is>
      </c>
      <c r="D14" s="51">
        <f>IF($C14="","",XLOOKUP($C14,'01_DANH_MUC'!$A$7:$A$206,'01_DANH_MUC'!$B$7:$B$206,"KHÔNG TÌM THẤY"))</f>
        <v/>
      </c>
      <c r="E14" s="51">
        <f>IF($C14="","",XLOOKUP($C14,'01_DANH_MUC'!$A$7:$A$206,'01_DANH_MUC'!$C$7:$C$206,"KHÔNG TÌM THẤY"))</f>
        <v/>
      </c>
      <c r="F14" s="57" t="inlineStr">
        <is>
          <t>Thanh toán một phần</t>
        </is>
      </c>
      <c r="G14" s="211" t="n">
        <v>0</v>
      </c>
      <c r="H14" s="211" t="n">
        <v>10000000</v>
      </c>
      <c r="I14" s="212">
        <f>IF($C14="","",XLOOKUP($C14,'01_DANH_MUC'!$A$7:$A$206,'01_DANH_MUC'!$E$7:$E$206,0))</f>
        <v/>
      </c>
      <c r="J14" s="213">
        <f>IF(OR($A14="",$C14="",$G14&lt;=0),"",$A14+$I14)</f>
        <v/>
      </c>
      <c r="K14" s="210">
        <f>IF($A14="","",IF(OR($C14="",$G14&lt;=0,$A14&gt;'03_BAO_CAO'!$E$4),0,MAX(0,$G14-MAX(0,SUMIFS($H$7:$H$506,$C$7:$C$506,$C14,$A$7:$A$506,"&lt;="&amp;'03_BAO_CAO'!$E$4)-XLOOKUP($C14,'01_DANH_MUC'!$A$7:$A$206,'01_DANH_MUC'!$F$7:$F$206,0)-SUMIFS($G$7:G13,$C$7:C13,$C14,$A$7:A13,"&lt;="&amp;'03_BAO_CAO'!$E$4)))))</f>
        <v/>
      </c>
      <c r="L14" s="212">
        <f>IF($A14="","",IF(OR($K14&lt;=0,$J14=""),0,MAX(0,'03_BAO_CAO'!$E$4-$J14)))</f>
        <v/>
      </c>
      <c r="M14" s="51">
        <f>IF($A14="","",IF($K14&lt;=0,"Đã thanh toán",IF($J14="","Thiếu ngày đến hạn",IF($J14&gt;='03_BAO_CAO'!$E$4,"Chưa đến hạn",IF($L14&lt;=30,"1-30 ngày",IF($L14&lt;=60,"31-60 ngày",IF($L14&lt;=90,"61-90 ngày","Trên 90 ngày")))))))</f>
        <v/>
      </c>
      <c r="N14" s="51">
        <f>IF($A14="","",IF(OR($B14="",$C14=""),"THIẾU THÔNG TIN",IF(AND($G14&gt;0,$H14&gt;0),"KHÔNG NHẬP ĐỒNG THỜI TĂNG/GIẢM",IF(AND($G14&lt;=0,$H14&lt;=0),"CHƯA NHẬP SỐ TIỀN",IF($D14="KHÔNG TÌM THẤY","MÃ KHÔNG HỢP LỆ",IF(AND($G14&gt;0,$J14=""),"THIẾU NGÀY ĐẾN HẠN","OK"))))))</f>
        <v/>
      </c>
    </row>
    <row r="15">
      <c r="A15" s="209" t="n"/>
      <c r="B15" s="47" t="n"/>
      <c r="C15" s="47" t="n"/>
      <c r="D15" s="51">
        <f>IF($C15="","",XLOOKUP($C15,'01_DANH_MUC'!$A$7:$A$206,'01_DANH_MUC'!$B$7:$B$206,"KHÔNG TÌM THẤY"))</f>
        <v/>
      </c>
      <c r="E15" s="51">
        <f>IF($C15="","",XLOOKUP($C15,'01_DANH_MUC'!$A$7:$A$206,'01_DANH_MUC'!$C$7:$C$206,"KHÔNG TÌM THẤY"))</f>
        <v/>
      </c>
      <c r="F15" s="57" t="n"/>
      <c r="G15" s="211" t="n"/>
      <c r="H15" s="211" t="n"/>
      <c r="I15" s="212">
        <f>IF($C15="","",XLOOKUP($C15,'01_DANH_MUC'!$A$7:$A$206,'01_DANH_MUC'!$E$7:$E$206,0))</f>
        <v/>
      </c>
      <c r="J15" s="213">
        <f>IF(OR($A15="",$C15="",$G15&lt;=0),"",$A15+$I15)</f>
        <v/>
      </c>
      <c r="K15" s="210">
        <f>IF($A15="","",IF(OR($C15="",$G15&lt;=0,$A15&gt;'03_BAO_CAO'!$E$4),0,MAX(0,$G15-MAX(0,SUMIFS($H$7:$H$506,$C$7:$C$506,$C15,$A$7:$A$506,"&lt;="&amp;'03_BAO_CAO'!$E$4)-XLOOKUP($C15,'01_DANH_MUC'!$A$7:$A$206,'01_DANH_MUC'!$F$7:$F$206,0)-SUMIFS($G$7:G14,$C$7:C14,$C15,$A$7:A14,"&lt;="&amp;'03_BAO_CAO'!$E$4)))))</f>
        <v/>
      </c>
      <c r="L15" s="212">
        <f>IF($A15="","",IF(OR($K15&lt;=0,$J15=""),0,MAX(0,'03_BAO_CAO'!$E$4-$J15)))</f>
        <v/>
      </c>
      <c r="M15" s="51">
        <f>IF($A15="","",IF($K15&lt;=0,"Đã thanh toán",IF($J15="","Thiếu ngày đến hạn",IF($J15&gt;='03_BAO_CAO'!$E$4,"Chưa đến hạn",IF($L15&lt;=30,"1-30 ngày",IF($L15&lt;=60,"31-60 ngày",IF($L15&lt;=90,"61-90 ngày","Trên 90 ngày")))))))</f>
        <v/>
      </c>
      <c r="N15" s="51">
        <f>IF($A15="","",IF(OR($B15="",$C15=""),"THIẾU THÔNG TIN",IF(AND($G15&gt;0,$H15&gt;0),"KHÔNG NHẬP ĐỒNG THỜI TĂNG/GIẢM",IF(AND($G15&lt;=0,$H15&lt;=0),"CHƯA NHẬP SỐ TIỀN",IF($D15="KHÔNG TÌM THẤY","MÃ KHÔNG HỢP LỆ",IF(AND($G15&gt;0,$J15=""),"THIẾU NGÀY ĐẾN HẠN","OK"))))))</f>
        <v/>
      </c>
    </row>
    <row r="16">
      <c r="A16" s="209" t="n"/>
      <c r="B16" s="47" t="n"/>
      <c r="C16" s="47" t="n"/>
      <c r="D16" s="51">
        <f>IF($C16="","",XLOOKUP($C16,'01_DANH_MUC'!$A$7:$A$206,'01_DANH_MUC'!$B$7:$B$206,"KHÔNG TÌM THẤY"))</f>
        <v/>
      </c>
      <c r="E16" s="51">
        <f>IF($C16="","",XLOOKUP($C16,'01_DANH_MUC'!$A$7:$A$206,'01_DANH_MUC'!$C$7:$C$206,"KHÔNG TÌM THẤY"))</f>
        <v/>
      </c>
      <c r="F16" s="57" t="n"/>
      <c r="G16" s="211" t="n"/>
      <c r="H16" s="211" t="n"/>
      <c r="I16" s="212">
        <f>IF($C16="","",XLOOKUP($C16,'01_DANH_MUC'!$A$7:$A$206,'01_DANH_MUC'!$E$7:$E$206,0))</f>
        <v/>
      </c>
      <c r="J16" s="213">
        <f>IF(OR($A16="",$C16="",$G16&lt;=0),"",$A16+$I16)</f>
        <v/>
      </c>
      <c r="K16" s="210">
        <f>IF($A16="","",IF(OR($C16="",$G16&lt;=0,$A16&gt;'03_BAO_CAO'!$E$4),0,MAX(0,$G16-MAX(0,SUMIFS($H$7:$H$506,$C$7:$C$506,$C16,$A$7:$A$506,"&lt;="&amp;'03_BAO_CAO'!$E$4)-XLOOKUP($C16,'01_DANH_MUC'!$A$7:$A$206,'01_DANH_MUC'!$F$7:$F$206,0)-SUMIFS($G$7:G15,$C$7:C15,$C16,$A$7:A15,"&lt;="&amp;'03_BAO_CAO'!$E$4)))))</f>
        <v/>
      </c>
      <c r="L16" s="212">
        <f>IF($A16="","",IF(OR($K16&lt;=0,$J16=""),0,MAX(0,'03_BAO_CAO'!$E$4-$J16)))</f>
        <v/>
      </c>
      <c r="M16" s="51">
        <f>IF($A16="","",IF($K16&lt;=0,"Đã thanh toán",IF($J16="","Thiếu ngày đến hạn",IF($J16&gt;='03_BAO_CAO'!$E$4,"Chưa đến hạn",IF($L16&lt;=30,"1-30 ngày",IF($L16&lt;=60,"31-60 ngày",IF($L16&lt;=90,"61-90 ngày","Trên 90 ngày")))))))</f>
        <v/>
      </c>
      <c r="N16" s="51">
        <f>IF($A16="","",IF(OR($B16="",$C16=""),"THIẾU THÔNG TIN",IF(AND($G16&gt;0,$H16&gt;0),"KHÔNG NHẬP ĐỒNG THỜI TĂNG/GIẢM",IF(AND($G16&lt;=0,$H16&lt;=0),"CHƯA NHẬP SỐ TIỀN",IF($D16="KHÔNG TÌM THẤY","MÃ KHÔNG HỢP LỆ",IF(AND($G16&gt;0,$J16=""),"THIẾU NGÀY ĐẾN HẠN","OK"))))))</f>
        <v/>
      </c>
    </row>
    <row r="17">
      <c r="A17" s="209" t="n"/>
      <c r="B17" s="47" t="n"/>
      <c r="C17" s="47" t="n"/>
      <c r="D17" s="51">
        <f>IF($C17="","",XLOOKUP($C17,'01_DANH_MUC'!$A$7:$A$206,'01_DANH_MUC'!$B$7:$B$206,"KHÔNG TÌM THẤY"))</f>
        <v/>
      </c>
      <c r="E17" s="51">
        <f>IF($C17="","",XLOOKUP($C17,'01_DANH_MUC'!$A$7:$A$206,'01_DANH_MUC'!$C$7:$C$206,"KHÔNG TÌM THẤY"))</f>
        <v/>
      </c>
      <c r="F17" s="57" t="n"/>
      <c r="G17" s="211" t="n"/>
      <c r="H17" s="211" t="n"/>
      <c r="I17" s="212">
        <f>IF($C17="","",XLOOKUP($C17,'01_DANH_MUC'!$A$7:$A$206,'01_DANH_MUC'!$E$7:$E$206,0))</f>
        <v/>
      </c>
      <c r="J17" s="213">
        <f>IF(OR($A17="",$C17="",$G17&lt;=0),"",$A17+$I17)</f>
        <v/>
      </c>
      <c r="K17" s="210">
        <f>IF($A17="","",IF(OR($C17="",$G17&lt;=0,$A17&gt;'03_BAO_CAO'!$E$4),0,MAX(0,$G17-MAX(0,SUMIFS($H$7:$H$506,$C$7:$C$506,$C17,$A$7:$A$506,"&lt;="&amp;'03_BAO_CAO'!$E$4)-XLOOKUP($C17,'01_DANH_MUC'!$A$7:$A$206,'01_DANH_MUC'!$F$7:$F$206,0)-SUMIFS($G$7:G16,$C$7:C16,$C17,$A$7:A16,"&lt;="&amp;'03_BAO_CAO'!$E$4)))))</f>
        <v/>
      </c>
      <c r="L17" s="212">
        <f>IF($A17="","",IF(OR($K17&lt;=0,$J17=""),0,MAX(0,'03_BAO_CAO'!$E$4-$J17)))</f>
        <v/>
      </c>
      <c r="M17" s="51">
        <f>IF($A17="","",IF($K17&lt;=0,"Đã thanh toán",IF($J17="","Thiếu ngày đến hạn",IF($J17&gt;='03_BAO_CAO'!$E$4,"Chưa đến hạn",IF($L17&lt;=30,"1-30 ngày",IF($L17&lt;=60,"31-60 ngày",IF($L17&lt;=90,"61-90 ngày","Trên 90 ngày")))))))</f>
        <v/>
      </c>
      <c r="N17" s="51">
        <f>IF($A17="","",IF(OR($B17="",$C17=""),"THIẾU THÔNG TIN",IF(AND($G17&gt;0,$H17&gt;0),"KHÔNG NHẬP ĐỒNG THỜI TĂNG/GIẢM",IF(AND($G17&lt;=0,$H17&lt;=0),"CHƯA NHẬP SỐ TIỀN",IF($D17="KHÔNG TÌM THẤY","MÃ KHÔNG HỢP LỆ",IF(AND($G17&gt;0,$J17=""),"THIẾU NGÀY ĐẾN HẠN","OK"))))))</f>
        <v/>
      </c>
    </row>
    <row r="18">
      <c r="A18" s="209" t="n"/>
      <c r="B18" s="47" t="n"/>
      <c r="C18" s="47" t="n"/>
      <c r="D18" s="51">
        <f>IF($C18="","",XLOOKUP($C18,'01_DANH_MUC'!$A$7:$A$206,'01_DANH_MUC'!$B$7:$B$206,"KHÔNG TÌM THẤY"))</f>
        <v/>
      </c>
      <c r="E18" s="51">
        <f>IF($C18="","",XLOOKUP($C18,'01_DANH_MUC'!$A$7:$A$206,'01_DANH_MUC'!$C$7:$C$206,"KHÔNG TÌM THẤY"))</f>
        <v/>
      </c>
      <c r="F18" s="57" t="n"/>
      <c r="G18" s="211" t="n"/>
      <c r="H18" s="211" t="n"/>
      <c r="I18" s="212">
        <f>IF($C18="","",XLOOKUP($C18,'01_DANH_MUC'!$A$7:$A$206,'01_DANH_MUC'!$E$7:$E$206,0))</f>
        <v/>
      </c>
      <c r="J18" s="213">
        <f>IF(OR($A18="",$C18="",$G18&lt;=0),"",$A18+$I18)</f>
        <v/>
      </c>
      <c r="K18" s="210">
        <f>IF($A18="","",IF(OR($C18="",$G18&lt;=0,$A18&gt;'03_BAO_CAO'!$E$4),0,MAX(0,$G18-MAX(0,SUMIFS($H$7:$H$506,$C$7:$C$506,$C18,$A$7:$A$506,"&lt;="&amp;'03_BAO_CAO'!$E$4)-XLOOKUP($C18,'01_DANH_MUC'!$A$7:$A$206,'01_DANH_MUC'!$F$7:$F$206,0)-SUMIFS($G$7:G17,$C$7:C17,$C18,$A$7:A17,"&lt;="&amp;'03_BAO_CAO'!$E$4)))))</f>
        <v/>
      </c>
      <c r="L18" s="212">
        <f>IF($A18="","",IF(OR($K18&lt;=0,$J18=""),0,MAX(0,'03_BAO_CAO'!$E$4-$J18)))</f>
        <v/>
      </c>
      <c r="M18" s="51">
        <f>IF($A18="","",IF($K18&lt;=0,"Đã thanh toán",IF($J18="","Thiếu ngày đến hạn",IF($J18&gt;='03_BAO_CAO'!$E$4,"Chưa đến hạn",IF($L18&lt;=30,"1-30 ngày",IF($L18&lt;=60,"31-60 ngày",IF($L18&lt;=90,"61-90 ngày","Trên 90 ngày")))))))</f>
        <v/>
      </c>
      <c r="N18" s="51">
        <f>IF($A18="","",IF(OR($B18="",$C18=""),"THIẾU THÔNG TIN",IF(AND($G18&gt;0,$H18&gt;0),"KHÔNG NHẬP ĐỒNG THỜI TĂNG/GIẢM",IF(AND($G18&lt;=0,$H18&lt;=0),"CHƯA NHẬP SỐ TIỀN",IF($D18="KHÔNG TÌM THẤY","MÃ KHÔNG HỢP LỆ",IF(AND($G18&gt;0,$J18=""),"THIẾU NGÀY ĐẾN HẠN","OK"))))))</f>
        <v/>
      </c>
    </row>
    <row r="19">
      <c r="A19" s="209" t="n"/>
      <c r="B19" s="47" t="n"/>
      <c r="C19" s="47" t="n"/>
      <c r="D19" s="51">
        <f>IF($C19="","",XLOOKUP($C19,'01_DANH_MUC'!$A$7:$A$206,'01_DANH_MUC'!$B$7:$B$206,"KHÔNG TÌM THẤY"))</f>
        <v/>
      </c>
      <c r="E19" s="51">
        <f>IF($C19="","",XLOOKUP($C19,'01_DANH_MUC'!$A$7:$A$206,'01_DANH_MUC'!$C$7:$C$206,"KHÔNG TÌM THẤY"))</f>
        <v/>
      </c>
      <c r="F19" s="57" t="n"/>
      <c r="G19" s="211" t="n"/>
      <c r="H19" s="211" t="n"/>
      <c r="I19" s="212">
        <f>IF($C19="","",XLOOKUP($C19,'01_DANH_MUC'!$A$7:$A$206,'01_DANH_MUC'!$E$7:$E$206,0))</f>
        <v/>
      </c>
      <c r="J19" s="213">
        <f>IF(OR($A19="",$C19="",$G19&lt;=0),"",$A19+$I19)</f>
        <v/>
      </c>
      <c r="K19" s="210">
        <f>IF($A19="","",IF(OR($C19="",$G19&lt;=0,$A19&gt;'03_BAO_CAO'!$E$4),0,MAX(0,$G19-MAX(0,SUMIFS($H$7:$H$506,$C$7:$C$506,$C19,$A$7:$A$506,"&lt;="&amp;'03_BAO_CAO'!$E$4)-XLOOKUP($C19,'01_DANH_MUC'!$A$7:$A$206,'01_DANH_MUC'!$F$7:$F$206,0)-SUMIFS($G$7:G18,$C$7:C18,$C19,$A$7:A18,"&lt;="&amp;'03_BAO_CAO'!$E$4)))))</f>
        <v/>
      </c>
      <c r="L19" s="212">
        <f>IF($A19="","",IF(OR($K19&lt;=0,$J19=""),0,MAX(0,'03_BAO_CAO'!$E$4-$J19)))</f>
        <v/>
      </c>
      <c r="M19" s="51">
        <f>IF($A19="","",IF($K19&lt;=0,"Đã thanh toán",IF($J19="","Thiếu ngày đến hạn",IF($J19&gt;='03_BAO_CAO'!$E$4,"Chưa đến hạn",IF($L19&lt;=30,"1-30 ngày",IF($L19&lt;=60,"31-60 ngày",IF($L19&lt;=90,"61-90 ngày","Trên 90 ngày")))))))</f>
        <v/>
      </c>
      <c r="N19" s="51">
        <f>IF($A19="","",IF(OR($B19="",$C19=""),"THIẾU THÔNG TIN",IF(AND($G19&gt;0,$H19&gt;0),"KHÔNG NHẬP ĐỒNG THỜI TĂNG/GIẢM",IF(AND($G19&lt;=0,$H19&lt;=0),"CHƯA NHẬP SỐ TIỀN",IF($D19="KHÔNG TÌM THẤY","MÃ KHÔNG HỢP LỆ",IF(AND($G19&gt;0,$J19=""),"THIẾU NGÀY ĐẾN HẠN","OK"))))))</f>
        <v/>
      </c>
    </row>
    <row r="20">
      <c r="A20" s="209" t="n"/>
      <c r="B20" s="47" t="n"/>
      <c r="C20" s="47" t="n"/>
      <c r="D20" s="51">
        <f>IF($C20="","",XLOOKUP($C20,'01_DANH_MUC'!$A$7:$A$206,'01_DANH_MUC'!$B$7:$B$206,"KHÔNG TÌM THẤY"))</f>
        <v/>
      </c>
      <c r="E20" s="51">
        <f>IF($C20="","",XLOOKUP($C20,'01_DANH_MUC'!$A$7:$A$206,'01_DANH_MUC'!$C$7:$C$206,"KHÔNG TÌM THẤY"))</f>
        <v/>
      </c>
      <c r="F20" s="57" t="n"/>
      <c r="G20" s="211" t="n"/>
      <c r="H20" s="211" t="n"/>
      <c r="I20" s="212">
        <f>IF($C20="","",XLOOKUP($C20,'01_DANH_MUC'!$A$7:$A$206,'01_DANH_MUC'!$E$7:$E$206,0))</f>
        <v/>
      </c>
      <c r="J20" s="213">
        <f>IF(OR($A20="",$C20="",$G20&lt;=0),"",$A20+$I20)</f>
        <v/>
      </c>
      <c r="K20" s="210">
        <f>IF($A20="","",IF(OR($C20="",$G20&lt;=0,$A20&gt;'03_BAO_CAO'!$E$4),0,MAX(0,$G20-MAX(0,SUMIFS($H$7:$H$506,$C$7:$C$506,$C20,$A$7:$A$506,"&lt;="&amp;'03_BAO_CAO'!$E$4)-XLOOKUP($C20,'01_DANH_MUC'!$A$7:$A$206,'01_DANH_MUC'!$F$7:$F$206,0)-SUMIFS($G$7:G19,$C$7:C19,$C20,$A$7:A19,"&lt;="&amp;'03_BAO_CAO'!$E$4)))))</f>
        <v/>
      </c>
      <c r="L20" s="212">
        <f>IF($A20="","",IF(OR($K20&lt;=0,$J20=""),0,MAX(0,'03_BAO_CAO'!$E$4-$J20)))</f>
        <v/>
      </c>
      <c r="M20" s="51">
        <f>IF($A20="","",IF($K20&lt;=0,"Đã thanh toán",IF($J20="","Thiếu ngày đến hạn",IF($J20&gt;='03_BAO_CAO'!$E$4,"Chưa đến hạn",IF($L20&lt;=30,"1-30 ngày",IF($L20&lt;=60,"31-60 ngày",IF($L20&lt;=90,"61-90 ngày","Trên 90 ngày")))))))</f>
        <v/>
      </c>
      <c r="N20" s="51">
        <f>IF($A20="","",IF(OR($B20="",$C20=""),"THIẾU THÔNG TIN",IF(AND($G20&gt;0,$H20&gt;0),"KHÔNG NHẬP ĐỒNG THỜI TĂNG/GIẢM",IF(AND($G20&lt;=0,$H20&lt;=0),"CHƯA NHẬP SỐ TIỀN",IF($D20="KHÔNG TÌM THẤY","MÃ KHÔNG HỢP LỆ",IF(AND($G20&gt;0,$J20=""),"THIẾU NGÀY ĐẾN HẠN","OK"))))))</f>
        <v/>
      </c>
    </row>
    <row r="21">
      <c r="A21" s="209" t="n"/>
      <c r="B21" s="47" t="n"/>
      <c r="C21" s="47" t="n"/>
      <c r="D21" s="51">
        <f>IF($C21="","",XLOOKUP($C21,'01_DANH_MUC'!$A$7:$A$206,'01_DANH_MUC'!$B$7:$B$206,"KHÔNG TÌM THẤY"))</f>
        <v/>
      </c>
      <c r="E21" s="51">
        <f>IF($C21="","",XLOOKUP($C21,'01_DANH_MUC'!$A$7:$A$206,'01_DANH_MUC'!$C$7:$C$206,"KHÔNG TÌM THẤY"))</f>
        <v/>
      </c>
      <c r="F21" s="57" t="n"/>
      <c r="G21" s="211" t="n"/>
      <c r="H21" s="211" t="n"/>
      <c r="I21" s="212">
        <f>IF($C21="","",XLOOKUP($C21,'01_DANH_MUC'!$A$7:$A$206,'01_DANH_MUC'!$E$7:$E$206,0))</f>
        <v/>
      </c>
      <c r="J21" s="213">
        <f>IF(OR($A21="",$C21="",$G21&lt;=0),"",$A21+$I21)</f>
        <v/>
      </c>
      <c r="K21" s="210">
        <f>IF($A21="","",IF(OR($C21="",$G21&lt;=0,$A21&gt;'03_BAO_CAO'!$E$4),0,MAX(0,$G21-MAX(0,SUMIFS($H$7:$H$506,$C$7:$C$506,$C21,$A$7:$A$506,"&lt;="&amp;'03_BAO_CAO'!$E$4)-XLOOKUP($C21,'01_DANH_MUC'!$A$7:$A$206,'01_DANH_MUC'!$F$7:$F$206,0)-SUMIFS($G$7:G20,$C$7:C20,$C21,$A$7:A20,"&lt;="&amp;'03_BAO_CAO'!$E$4)))))</f>
        <v/>
      </c>
      <c r="L21" s="212">
        <f>IF($A21="","",IF(OR($K21&lt;=0,$J21=""),0,MAX(0,'03_BAO_CAO'!$E$4-$J21)))</f>
        <v/>
      </c>
      <c r="M21" s="51">
        <f>IF($A21="","",IF($K21&lt;=0,"Đã thanh toán",IF($J21="","Thiếu ngày đến hạn",IF($J21&gt;='03_BAO_CAO'!$E$4,"Chưa đến hạn",IF($L21&lt;=30,"1-30 ngày",IF($L21&lt;=60,"31-60 ngày",IF($L21&lt;=90,"61-90 ngày","Trên 90 ngày")))))))</f>
        <v/>
      </c>
      <c r="N21" s="51">
        <f>IF($A21="","",IF(OR($B21="",$C21=""),"THIẾU THÔNG TIN",IF(AND($G21&gt;0,$H21&gt;0),"KHÔNG NHẬP ĐỒNG THỜI TĂNG/GIẢM",IF(AND($G21&lt;=0,$H21&lt;=0),"CHƯA NHẬP SỐ TIỀN",IF($D21="KHÔNG TÌM THẤY","MÃ KHÔNG HỢP LỆ",IF(AND($G21&gt;0,$J21=""),"THIẾU NGÀY ĐẾN HẠN","OK"))))))</f>
        <v/>
      </c>
    </row>
    <row r="22">
      <c r="A22" s="209" t="n"/>
      <c r="B22" s="47" t="n"/>
      <c r="C22" s="47" t="n"/>
      <c r="D22" s="51">
        <f>IF($C22="","",XLOOKUP($C22,'01_DANH_MUC'!$A$7:$A$206,'01_DANH_MUC'!$B$7:$B$206,"KHÔNG TÌM THẤY"))</f>
        <v/>
      </c>
      <c r="E22" s="51">
        <f>IF($C22="","",XLOOKUP($C22,'01_DANH_MUC'!$A$7:$A$206,'01_DANH_MUC'!$C$7:$C$206,"KHÔNG TÌM THẤY"))</f>
        <v/>
      </c>
      <c r="F22" s="57" t="n"/>
      <c r="G22" s="211" t="n"/>
      <c r="H22" s="211" t="n"/>
      <c r="I22" s="212">
        <f>IF($C22="","",XLOOKUP($C22,'01_DANH_MUC'!$A$7:$A$206,'01_DANH_MUC'!$E$7:$E$206,0))</f>
        <v/>
      </c>
      <c r="J22" s="213">
        <f>IF(OR($A22="",$C22="",$G22&lt;=0),"",$A22+$I22)</f>
        <v/>
      </c>
      <c r="K22" s="210">
        <f>IF($A22="","",IF(OR($C22="",$G22&lt;=0,$A22&gt;'03_BAO_CAO'!$E$4),0,MAX(0,$G22-MAX(0,SUMIFS($H$7:$H$506,$C$7:$C$506,$C22,$A$7:$A$506,"&lt;="&amp;'03_BAO_CAO'!$E$4)-XLOOKUP($C22,'01_DANH_MUC'!$A$7:$A$206,'01_DANH_MUC'!$F$7:$F$206,0)-SUMIFS($G$7:G21,$C$7:C21,$C22,$A$7:A21,"&lt;="&amp;'03_BAO_CAO'!$E$4)))))</f>
        <v/>
      </c>
      <c r="L22" s="212">
        <f>IF($A22="","",IF(OR($K22&lt;=0,$J22=""),0,MAX(0,'03_BAO_CAO'!$E$4-$J22)))</f>
        <v/>
      </c>
      <c r="M22" s="51">
        <f>IF($A22="","",IF($K22&lt;=0,"Đã thanh toán",IF($J22="","Thiếu ngày đến hạn",IF($J22&gt;='03_BAO_CAO'!$E$4,"Chưa đến hạn",IF($L22&lt;=30,"1-30 ngày",IF($L22&lt;=60,"31-60 ngày",IF($L22&lt;=90,"61-90 ngày","Trên 90 ngày")))))))</f>
        <v/>
      </c>
      <c r="N22" s="51">
        <f>IF($A22="","",IF(OR($B22="",$C22=""),"THIẾU THÔNG TIN",IF(AND($G22&gt;0,$H22&gt;0),"KHÔNG NHẬP ĐỒNG THỜI TĂNG/GIẢM",IF(AND($G22&lt;=0,$H22&lt;=0),"CHƯA NHẬP SỐ TIỀN",IF($D22="KHÔNG TÌM THẤY","MÃ KHÔNG HỢP LỆ",IF(AND($G22&gt;0,$J22=""),"THIẾU NGÀY ĐẾN HẠN","OK"))))))</f>
        <v/>
      </c>
    </row>
    <row r="23">
      <c r="A23" s="209" t="n"/>
      <c r="B23" s="47" t="n"/>
      <c r="C23" s="47" t="n"/>
      <c r="D23" s="51">
        <f>IF($C23="","",XLOOKUP($C23,'01_DANH_MUC'!$A$7:$A$206,'01_DANH_MUC'!$B$7:$B$206,"KHÔNG TÌM THẤY"))</f>
        <v/>
      </c>
      <c r="E23" s="51">
        <f>IF($C23="","",XLOOKUP($C23,'01_DANH_MUC'!$A$7:$A$206,'01_DANH_MUC'!$C$7:$C$206,"KHÔNG TÌM THẤY"))</f>
        <v/>
      </c>
      <c r="F23" s="57" t="n"/>
      <c r="G23" s="211" t="n"/>
      <c r="H23" s="211" t="n"/>
      <c r="I23" s="212">
        <f>IF($C23="","",XLOOKUP($C23,'01_DANH_MUC'!$A$7:$A$206,'01_DANH_MUC'!$E$7:$E$206,0))</f>
        <v/>
      </c>
      <c r="J23" s="213">
        <f>IF(OR($A23="",$C23="",$G23&lt;=0),"",$A23+$I23)</f>
        <v/>
      </c>
      <c r="K23" s="210">
        <f>IF($A23="","",IF(OR($C23="",$G23&lt;=0,$A23&gt;'03_BAO_CAO'!$E$4),0,MAX(0,$G23-MAX(0,SUMIFS($H$7:$H$506,$C$7:$C$506,$C23,$A$7:$A$506,"&lt;="&amp;'03_BAO_CAO'!$E$4)-XLOOKUP($C23,'01_DANH_MUC'!$A$7:$A$206,'01_DANH_MUC'!$F$7:$F$206,0)-SUMIFS($G$7:G22,$C$7:C22,$C23,$A$7:A22,"&lt;="&amp;'03_BAO_CAO'!$E$4)))))</f>
        <v/>
      </c>
      <c r="L23" s="212">
        <f>IF($A23="","",IF(OR($K23&lt;=0,$J23=""),0,MAX(0,'03_BAO_CAO'!$E$4-$J23)))</f>
        <v/>
      </c>
      <c r="M23" s="51">
        <f>IF($A23="","",IF($K23&lt;=0,"Đã thanh toán",IF($J23="","Thiếu ngày đến hạn",IF($J23&gt;='03_BAO_CAO'!$E$4,"Chưa đến hạn",IF($L23&lt;=30,"1-30 ngày",IF($L23&lt;=60,"31-60 ngày",IF($L23&lt;=90,"61-90 ngày","Trên 90 ngày")))))))</f>
        <v/>
      </c>
      <c r="N23" s="51">
        <f>IF($A23="","",IF(OR($B23="",$C23=""),"THIẾU THÔNG TIN",IF(AND($G23&gt;0,$H23&gt;0),"KHÔNG NHẬP ĐỒNG THỜI TĂNG/GIẢM",IF(AND($G23&lt;=0,$H23&lt;=0),"CHƯA NHẬP SỐ TIỀN",IF($D23="KHÔNG TÌM THẤY","MÃ KHÔNG HỢP LỆ",IF(AND($G23&gt;0,$J23=""),"THIẾU NGÀY ĐẾN HẠN","OK"))))))</f>
        <v/>
      </c>
    </row>
    <row r="24">
      <c r="A24" s="209" t="n"/>
      <c r="B24" s="47" t="n"/>
      <c r="C24" s="47" t="n"/>
      <c r="D24" s="51">
        <f>IF($C24="","",XLOOKUP($C24,'01_DANH_MUC'!$A$7:$A$206,'01_DANH_MUC'!$B$7:$B$206,"KHÔNG TÌM THẤY"))</f>
        <v/>
      </c>
      <c r="E24" s="51">
        <f>IF($C24="","",XLOOKUP($C24,'01_DANH_MUC'!$A$7:$A$206,'01_DANH_MUC'!$C$7:$C$206,"KHÔNG TÌM THẤY"))</f>
        <v/>
      </c>
      <c r="F24" s="57" t="n"/>
      <c r="G24" s="211" t="n"/>
      <c r="H24" s="211" t="n"/>
      <c r="I24" s="212">
        <f>IF($C24="","",XLOOKUP($C24,'01_DANH_MUC'!$A$7:$A$206,'01_DANH_MUC'!$E$7:$E$206,0))</f>
        <v/>
      </c>
      <c r="J24" s="213">
        <f>IF(OR($A24="",$C24="",$G24&lt;=0),"",$A24+$I24)</f>
        <v/>
      </c>
      <c r="K24" s="210">
        <f>IF($A24="","",IF(OR($C24="",$G24&lt;=0,$A24&gt;'03_BAO_CAO'!$E$4),0,MAX(0,$G24-MAX(0,SUMIFS($H$7:$H$506,$C$7:$C$506,$C24,$A$7:$A$506,"&lt;="&amp;'03_BAO_CAO'!$E$4)-XLOOKUP($C24,'01_DANH_MUC'!$A$7:$A$206,'01_DANH_MUC'!$F$7:$F$206,0)-SUMIFS($G$7:G23,$C$7:C23,$C24,$A$7:A23,"&lt;="&amp;'03_BAO_CAO'!$E$4)))))</f>
        <v/>
      </c>
      <c r="L24" s="212">
        <f>IF($A24="","",IF(OR($K24&lt;=0,$J24=""),0,MAX(0,'03_BAO_CAO'!$E$4-$J24)))</f>
        <v/>
      </c>
      <c r="M24" s="51">
        <f>IF($A24="","",IF($K24&lt;=0,"Đã thanh toán",IF($J24="","Thiếu ngày đến hạn",IF($J24&gt;='03_BAO_CAO'!$E$4,"Chưa đến hạn",IF($L24&lt;=30,"1-30 ngày",IF($L24&lt;=60,"31-60 ngày",IF($L24&lt;=90,"61-90 ngày","Trên 90 ngày")))))))</f>
        <v/>
      </c>
      <c r="N24" s="51">
        <f>IF($A24="","",IF(OR($B24="",$C24=""),"THIẾU THÔNG TIN",IF(AND($G24&gt;0,$H24&gt;0),"KHÔNG NHẬP ĐỒNG THỜI TĂNG/GIẢM",IF(AND($G24&lt;=0,$H24&lt;=0),"CHƯA NHẬP SỐ TIỀN",IF($D24="KHÔNG TÌM THẤY","MÃ KHÔNG HỢP LỆ",IF(AND($G24&gt;0,$J24=""),"THIẾU NGÀY ĐẾN HẠN","OK"))))))</f>
        <v/>
      </c>
    </row>
    <row r="25">
      <c r="A25" s="209" t="n"/>
      <c r="B25" s="47" t="n"/>
      <c r="C25" s="47" t="n"/>
      <c r="D25" s="51">
        <f>IF($C25="","",XLOOKUP($C25,'01_DANH_MUC'!$A$7:$A$206,'01_DANH_MUC'!$B$7:$B$206,"KHÔNG TÌM THẤY"))</f>
        <v/>
      </c>
      <c r="E25" s="51">
        <f>IF($C25="","",XLOOKUP($C25,'01_DANH_MUC'!$A$7:$A$206,'01_DANH_MUC'!$C$7:$C$206,"KHÔNG TÌM THẤY"))</f>
        <v/>
      </c>
      <c r="F25" s="57" t="n"/>
      <c r="G25" s="211" t="n"/>
      <c r="H25" s="211" t="n"/>
      <c r="I25" s="212">
        <f>IF($C25="","",XLOOKUP($C25,'01_DANH_MUC'!$A$7:$A$206,'01_DANH_MUC'!$E$7:$E$206,0))</f>
        <v/>
      </c>
      <c r="J25" s="213">
        <f>IF(OR($A25="",$C25="",$G25&lt;=0),"",$A25+$I25)</f>
        <v/>
      </c>
      <c r="K25" s="210">
        <f>IF($A25="","",IF(OR($C25="",$G25&lt;=0,$A25&gt;'03_BAO_CAO'!$E$4),0,MAX(0,$G25-MAX(0,SUMIFS($H$7:$H$506,$C$7:$C$506,$C25,$A$7:$A$506,"&lt;="&amp;'03_BAO_CAO'!$E$4)-XLOOKUP($C25,'01_DANH_MUC'!$A$7:$A$206,'01_DANH_MUC'!$F$7:$F$206,0)-SUMIFS($G$7:G24,$C$7:C24,$C25,$A$7:A24,"&lt;="&amp;'03_BAO_CAO'!$E$4)))))</f>
        <v/>
      </c>
      <c r="L25" s="212">
        <f>IF($A25="","",IF(OR($K25&lt;=0,$J25=""),0,MAX(0,'03_BAO_CAO'!$E$4-$J25)))</f>
        <v/>
      </c>
      <c r="M25" s="51">
        <f>IF($A25="","",IF($K25&lt;=0,"Đã thanh toán",IF($J25="","Thiếu ngày đến hạn",IF($J25&gt;='03_BAO_CAO'!$E$4,"Chưa đến hạn",IF($L25&lt;=30,"1-30 ngày",IF($L25&lt;=60,"31-60 ngày",IF($L25&lt;=90,"61-90 ngày","Trên 90 ngày")))))))</f>
        <v/>
      </c>
      <c r="N25" s="51">
        <f>IF($A25="","",IF(OR($B25="",$C25=""),"THIẾU THÔNG TIN",IF(AND($G25&gt;0,$H25&gt;0),"KHÔNG NHẬP ĐỒNG THỜI TĂNG/GIẢM",IF(AND($G25&lt;=0,$H25&lt;=0),"CHƯA NHẬP SỐ TIỀN",IF($D25="KHÔNG TÌM THẤY","MÃ KHÔNG HỢP LỆ",IF(AND($G25&gt;0,$J25=""),"THIẾU NGÀY ĐẾN HẠN","OK"))))))</f>
        <v/>
      </c>
    </row>
    <row r="26">
      <c r="A26" s="209" t="n"/>
      <c r="B26" s="47" t="n"/>
      <c r="C26" s="47" t="n"/>
      <c r="D26" s="51">
        <f>IF($C26="","",XLOOKUP($C26,'01_DANH_MUC'!$A$7:$A$206,'01_DANH_MUC'!$B$7:$B$206,"KHÔNG TÌM THẤY"))</f>
        <v/>
      </c>
      <c r="E26" s="51">
        <f>IF($C26="","",XLOOKUP($C26,'01_DANH_MUC'!$A$7:$A$206,'01_DANH_MUC'!$C$7:$C$206,"KHÔNG TÌM THẤY"))</f>
        <v/>
      </c>
      <c r="F26" s="57" t="n"/>
      <c r="G26" s="211" t="n"/>
      <c r="H26" s="211" t="n"/>
      <c r="I26" s="212">
        <f>IF($C26="","",XLOOKUP($C26,'01_DANH_MUC'!$A$7:$A$206,'01_DANH_MUC'!$E$7:$E$206,0))</f>
        <v/>
      </c>
      <c r="J26" s="213">
        <f>IF(OR($A26="",$C26="",$G26&lt;=0),"",$A26+$I26)</f>
        <v/>
      </c>
      <c r="K26" s="210">
        <f>IF($A26="","",IF(OR($C26="",$G26&lt;=0,$A26&gt;'03_BAO_CAO'!$E$4),0,MAX(0,$G26-MAX(0,SUMIFS($H$7:$H$506,$C$7:$C$506,$C26,$A$7:$A$506,"&lt;="&amp;'03_BAO_CAO'!$E$4)-XLOOKUP($C26,'01_DANH_MUC'!$A$7:$A$206,'01_DANH_MUC'!$F$7:$F$206,0)-SUMIFS($G$7:G25,$C$7:C25,$C26,$A$7:A25,"&lt;="&amp;'03_BAO_CAO'!$E$4)))))</f>
        <v/>
      </c>
      <c r="L26" s="212">
        <f>IF($A26="","",IF(OR($K26&lt;=0,$J26=""),0,MAX(0,'03_BAO_CAO'!$E$4-$J26)))</f>
        <v/>
      </c>
      <c r="M26" s="51">
        <f>IF($A26="","",IF($K26&lt;=0,"Đã thanh toán",IF($J26="","Thiếu ngày đến hạn",IF($J26&gt;='03_BAO_CAO'!$E$4,"Chưa đến hạn",IF($L26&lt;=30,"1-30 ngày",IF($L26&lt;=60,"31-60 ngày",IF($L26&lt;=90,"61-90 ngày","Trên 90 ngày")))))))</f>
        <v/>
      </c>
      <c r="N26" s="51">
        <f>IF($A26="","",IF(OR($B26="",$C26=""),"THIẾU THÔNG TIN",IF(AND($G26&gt;0,$H26&gt;0),"KHÔNG NHẬP ĐỒNG THỜI TĂNG/GIẢM",IF(AND($G26&lt;=0,$H26&lt;=0),"CHƯA NHẬP SỐ TIỀN",IF($D26="KHÔNG TÌM THẤY","MÃ KHÔNG HỢP LỆ",IF(AND($G26&gt;0,$J26=""),"THIẾU NGÀY ĐẾN HẠN","OK"))))))</f>
        <v/>
      </c>
    </row>
    <row r="27">
      <c r="A27" s="209" t="n"/>
      <c r="B27" s="47" t="n"/>
      <c r="C27" s="47" t="n"/>
      <c r="D27" s="51">
        <f>IF($C27="","",XLOOKUP($C27,'01_DANH_MUC'!$A$7:$A$206,'01_DANH_MUC'!$B$7:$B$206,"KHÔNG TÌM THẤY"))</f>
        <v/>
      </c>
      <c r="E27" s="51">
        <f>IF($C27="","",XLOOKUP($C27,'01_DANH_MUC'!$A$7:$A$206,'01_DANH_MUC'!$C$7:$C$206,"KHÔNG TÌM THẤY"))</f>
        <v/>
      </c>
      <c r="F27" s="57" t="n"/>
      <c r="G27" s="211" t="n"/>
      <c r="H27" s="211" t="n"/>
      <c r="I27" s="212">
        <f>IF($C27="","",XLOOKUP($C27,'01_DANH_MUC'!$A$7:$A$206,'01_DANH_MUC'!$E$7:$E$206,0))</f>
        <v/>
      </c>
      <c r="J27" s="213">
        <f>IF(OR($A27="",$C27="",$G27&lt;=0),"",$A27+$I27)</f>
        <v/>
      </c>
      <c r="K27" s="210">
        <f>IF($A27="","",IF(OR($C27="",$G27&lt;=0,$A27&gt;'03_BAO_CAO'!$E$4),0,MAX(0,$G27-MAX(0,SUMIFS($H$7:$H$506,$C$7:$C$506,$C27,$A$7:$A$506,"&lt;="&amp;'03_BAO_CAO'!$E$4)-XLOOKUP($C27,'01_DANH_MUC'!$A$7:$A$206,'01_DANH_MUC'!$F$7:$F$206,0)-SUMIFS($G$7:G26,$C$7:C26,$C27,$A$7:A26,"&lt;="&amp;'03_BAO_CAO'!$E$4)))))</f>
        <v/>
      </c>
      <c r="L27" s="212">
        <f>IF($A27="","",IF(OR($K27&lt;=0,$J27=""),0,MAX(0,'03_BAO_CAO'!$E$4-$J27)))</f>
        <v/>
      </c>
      <c r="M27" s="51">
        <f>IF($A27="","",IF($K27&lt;=0,"Đã thanh toán",IF($J27="","Thiếu ngày đến hạn",IF($J27&gt;='03_BAO_CAO'!$E$4,"Chưa đến hạn",IF($L27&lt;=30,"1-30 ngày",IF($L27&lt;=60,"31-60 ngày",IF($L27&lt;=90,"61-90 ngày","Trên 90 ngày")))))))</f>
        <v/>
      </c>
      <c r="N27" s="51">
        <f>IF($A27="","",IF(OR($B27="",$C27=""),"THIẾU THÔNG TIN",IF(AND($G27&gt;0,$H27&gt;0),"KHÔNG NHẬP ĐỒNG THỜI TĂNG/GIẢM",IF(AND($G27&lt;=0,$H27&lt;=0),"CHƯA NHẬP SỐ TIỀN",IF($D27="KHÔNG TÌM THẤY","MÃ KHÔNG HỢP LỆ",IF(AND($G27&gt;0,$J27=""),"THIẾU NGÀY ĐẾN HẠN","OK"))))))</f>
        <v/>
      </c>
    </row>
    <row r="28">
      <c r="A28" s="209" t="n"/>
      <c r="B28" s="47" t="n"/>
      <c r="C28" s="47" t="n"/>
      <c r="D28" s="51">
        <f>IF($C28="","",XLOOKUP($C28,'01_DANH_MUC'!$A$7:$A$206,'01_DANH_MUC'!$B$7:$B$206,"KHÔNG TÌM THẤY"))</f>
        <v/>
      </c>
      <c r="E28" s="51">
        <f>IF($C28="","",XLOOKUP($C28,'01_DANH_MUC'!$A$7:$A$206,'01_DANH_MUC'!$C$7:$C$206,"KHÔNG TÌM THẤY"))</f>
        <v/>
      </c>
      <c r="F28" s="57" t="n"/>
      <c r="G28" s="211" t="n"/>
      <c r="H28" s="211" t="n"/>
      <c r="I28" s="212">
        <f>IF($C28="","",XLOOKUP($C28,'01_DANH_MUC'!$A$7:$A$206,'01_DANH_MUC'!$E$7:$E$206,0))</f>
        <v/>
      </c>
      <c r="J28" s="213">
        <f>IF(OR($A28="",$C28="",$G28&lt;=0),"",$A28+$I28)</f>
        <v/>
      </c>
      <c r="K28" s="210">
        <f>IF($A28="","",IF(OR($C28="",$G28&lt;=0,$A28&gt;'03_BAO_CAO'!$E$4),0,MAX(0,$G28-MAX(0,SUMIFS($H$7:$H$506,$C$7:$C$506,$C28,$A$7:$A$506,"&lt;="&amp;'03_BAO_CAO'!$E$4)-XLOOKUP($C28,'01_DANH_MUC'!$A$7:$A$206,'01_DANH_MUC'!$F$7:$F$206,0)-SUMIFS($G$7:G27,$C$7:C27,$C28,$A$7:A27,"&lt;="&amp;'03_BAO_CAO'!$E$4)))))</f>
        <v/>
      </c>
      <c r="L28" s="212">
        <f>IF($A28="","",IF(OR($K28&lt;=0,$J28=""),0,MAX(0,'03_BAO_CAO'!$E$4-$J28)))</f>
        <v/>
      </c>
      <c r="M28" s="51">
        <f>IF($A28="","",IF($K28&lt;=0,"Đã thanh toán",IF($J28="","Thiếu ngày đến hạn",IF($J28&gt;='03_BAO_CAO'!$E$4,"Chưa đến hạn",IF($L28&lt;=30,"1-30 ngày",IF($L28&lt;=60,"31-60 ngày",IF($L28&lt;=90,"61-90 ngày","Trên 90 ngày")))))))</f>
        <v/>
      </c>
      <c r="N28" s="51">
        <f>IF($A28="","",IF(OR($B28="",$C28=""),"THIẾU THÔNG TIN",IF(AND($G28&gt;0,$H28&gt;0),"KHÔNG NHẬP ĐỒNG THỜI TĂNG/GIẢM",IF(AND($G28&lt;=0,$H28&lt;=0),"CHƯA NHẬP SỐ TIỀN",IF($D28="KHÔNG TÌM THẤY","MÃ KHÔNG HỢP LỆ",IF(AND($G28&gt;0,$J28=""),"THIẾU NGÀY ĐẾN HẠN","OK"))))))</f>
        <v/>
      </c>
    </row>
    <row r="29">
      <c r="A29" s="209" t="n"/>
      <c r="B29" s="47" t="n"/>
      <c r="C29" s="47" t="n"/>
      <c r="D29" s="51">
        <f>IF($C29="","",XLOOKUP($C29,'01_DANH_MUC'!$A$7:$A$206,'01_DANH_MUC'!$B$7:$B$206,"KHÔNG TÌM THẤY"))</f>
        <v/>
      </c>
      <c r="E29" s="51">
        <f>IF($C29="","",XLOOKUP($C29,'01_DANH_MUC'!$A$7:$A$206,'01_DANH_MUC'!$C$7:$C$206,"KHÔNG TÌM THẤY"))</f>
        <v/>
      </c>
      <c r="F29" s="57" t="n"/>
      <c r="G29" s="211" t="n"/>
      <c r="H29" s="211" t="n"/>
      <c r="I29" s="212">
        <f>IF($C29="","",XLOOKUP($C29,'01_DANH_MUC'!$A$7:$A$206,'01_DANH_MUC'!$E$7:$E$206,0))</f>
        <v/>
      </c>
      <c r="J29" s="213">
        <f>IF(OR($A29="",$C29="",$G29&lt;=0),"",$A29+$I29)</f>
        <v/>
      </c>
      <c r="K29" s="210">
        <f>IF($A29="","",IF(OR($C29="",$G29&lt;=0,$A29&gt;'03_BAO_CAO'!$E$4),0,MAX(0,$G29-MAX(0,SUMIFS($H$7:$H$506,$C$7:$C$506,$C29,$A$7:$A$506,"&lt;="&amp;'03_BAO_CAO'!$E$4)-XLOOKUP($C29,'01_DANH_MUC'!$A$7:$A$206,'01_DANH_MUC'!$F$7:$F$206,0)-SUMIFS($G$7:G28,$C$7:C28,$C29,$A$7:A28,"&lt;="&amp;'03_BAO_CAO'!$E$4)))))</f>
        <v/>
      </c>
      <c r="L29" s="212">
        <f>IF($A29="","",IF(OR($K29&lt;=0,$J29=""),0,MAX(0,'03_BAO_CAO'!$E$4-$J29)))</f>
        <v/>
      </c>
      <c r="M29" s="51">
        <f>IF($A29="","",IF($K29&lt;=0,"Đã thanh toán",IF($J29="","Thiếu ngày đến hạn",IF($J29&gt;='03_BAO_CAO'!$E$4,"Chưa đến hạn",IF($L29&lt;=30,"1-30 ngày",IF($L29&lt;=60,"31-60 ngày",IF($L29&lt;=90,"61-90 ngày","Trên 90 ngày")))))))</f>
        <v/>
      </c>
      <c r="N29" s="51">
        <f>IF($A29="","",IF(OR($B29="",$C29=""),"THIẾU THÔNG TIN",IF(AND($G29&gt;0,$H29&gt;0),"KHÔNG NHẬP ĐỒNG THỜI TĂNG/GIẢM",IF(AND($G29&lt;=0,$H29&lt;=0),"CHƯA NHẬP SỐ TIỀN",IF($D29="KHÔNG TÌM THẤY","MÃ KHÔNG HỢP LỆ",IF(AND($G29&gt;0,$J29=""),"THIẾU NGÀY ĐẾN HẠN","OK"))))))</f>
        <v/>
      </c>
    </row>
    <row r="30">
      <c r="A30" s="209" t="n"/>
      <c r="B30" s="47" t="n"/>
      <c r="C30" s="47" t="n"/>
      <c r="D30" s="51">
        <f>IF($C30="","",XLOOKUP($C30,'01_DANH_MUC'!$A$7:$A$206,'01_DANH_MUC'!$B$7:$B$206,"KHÔNG TÌM THẤY"))</f>
        <v/>
      </c>
      <c r="E30" s="51">
        <f>IF($C30="","",XLOOKUP($C30,'01_DANH_MUC'!$A$7:$A$206,'01_DANH_MUC'!$C$7:$C$206,"KHÔNG TÌM THẤY"))</f>
        <v/>
      </c>
      <c r="F30" s="57" t="n"/>
      <c r="G30" s="211" t="n"/>
      <c r="H30" s="211" t="n"/>
      <c r="I30" s="212">
        <f>IF($C30="","",XLOOKUP($C30,'01_DANH_MUC'!$A$7:$A$206,'01_DANH_MUC'!$E$7:$E$206,0))</f>
        <v/>
      </c>
      <c r="J30" s="213">
        <f>IF(OR($A30="",$C30="",$G30&lt;=0),"",$A30+$I30)</f>
        <v/>
      </c>
      <c r="K30" s="210">
        <f>IF($A30="","",IF(OR($C30="",$G30&lt;=0,$A30&gt;'03_BAO_CAO'!$E$4),0,MAX(0,$G30-MAX(0,SUMIFS($H$7:$H$506,$C$7:$C$506,$C30,$A$7:$A$506,"&lt;="&amp;'03_BAO_CAO'!$E$4)-XLOOKUP($C30,'01_DANH_MUC'!$A$7:$A$206,'01_DANH_MUC'!$F$7:$F$206,0)-SUMIFS($G$7:G29,$C$7:C29,$C30,$A$7:A29,"&lt;="&amp;'03_BAO_CAO'!$E$4)))))</f>
        <v/>
      </c>
      <c r="L30" s="212">
        <f>IF($A30="","",IF(OR($K30&lt;=0,$J30=""),0,MAX(0,'03_BAO_CAO'!$E$4-$J30)))</f>
        <v/>
      </c>
      <c r="M30" s="51">
        <f>IF($A30="","",IF($K30&lt;=0,"Đã thanh toán",IF($J30="","Thiếu ngày đến hạn",IF($J30&gt;='03_BAO_CAO'!$E$4,"Chưa đến hạn",IF($L30&lt;=30,"1-30 ngày",IF($L30&lt;=60,"31-60 ngày",IF($L30&lt;=90,"61-90 ngày","Trên 90 ngày")))))))</f>
        <v/>
      </c>
      <c r="N30" s="51">
        <f>IF($A30="","",IF(OR($B30="",$C30=""),"THIẾU THÔNG TIN",IF(AND($G30&gt;0,$H30&gt;0),"KHÔNG NHẬP ĐỒNG THỜI TĂNG/GIẢM",IF(AND($G30&lt;=0,$H30&lt;=0),"CHƯA NHẬP SỐ TIỀN",IF($D30="KHÔNG TÌM THẤY","MÃ KHÔNG HỢP LỆ",IF(AND($G30&gt;0,$J30=""),"THIẾU NGÀY ĐẾN HẠN","OK"))))))</f>
        <v/>
      </c>
    </row>
    <row r="31">
      <c r="A31" s="209" t="n"/>
      <c r="B31" s="47" t="n"/>
      <c r="C31" s="47" t="n"/>
      <c r="D31" s="51">
        <f>IF($C31="","",XLOOKUP($C31,'01_DANH_MUC'!$A$7:$A$206,'01_DANH_MUC'!$B$7:$B$206,"KHÔNG TÌM THẤY"))</f>
        <v/>
      </c>
      <c r="E31" s="51">
        <f>IF($C31="","",XLOOKUP($C31,'01_DANH_MUC'!$A$7:$A$206,'01_DANH_MUC'!$C$7:$C$206,"KHÔNG TÌM THẤY"))</f>
        <v/>
      </c>
      <c r="F31" s="57" t="n"/>
      <c r="G31" s="211" t="n"/>
      <c r="H31" s="211" t="n"/>
      <c r="I31" s="212">
        <f>IF($C31="","",XLOOKUP($C31,'01_DANH_MUC'!$A$7:$A$206,'01_DANH_MUC'!$E$7:$E$206,0))</f>
        <v/>
      </c>
      <c r="J31" s="213">
        <f>IF(OR($A31="",$C31="",$G31&lt;=0),"",$A31+$I31)</f>
        <v/>
      </c>
      <c r="K31" s="210">
        <f>IF($A31="","",IF(OR($C31="",$G31&lt;=0,$A31&gt;'03_BAO_CAO'!$E$4),0,MAX(0,$G31-MAX(0,SUMIFS($H$7:$H$506,$C$7:$C$506,$C31,$A$7:$A$506,"&lt;="&amp;'03_BAO_CAO'!$E$4)-XLOOKUP($C31,'01_DANH_MUC'!$A$7:$A$206,'01_DANH_MUC'!$F$7:$F$206,0)-SUMIFS($G$7:G30,$C$7:C30,$C31,$A$7:A30,"&lt;="&amp;'03_BAO_CAO'!$E$4)))))</f>
        <v/>
      </c>
      <c r="L31" s="212">
        <f>IF($A31="","",IF(OR($K31&lt;=0,$J31=""),0,MAX(0,'03_BAO_CAO'!$E$4-$J31)))</f>
        <v/>
      </c>
      <c r="M31" s="51">
        <f>IF($A31="","",IF($K31&lt;=0,"Đã thanh toán",IF($J31="","Thiếu ngày đến hạn",IF($J31&gt;='03_BAO_CAO'!$E$4,"Chưa đến hạn",IF($L31&lt;=30,"1-30 ngày",IF($L31&lt;=60,"31-60 ngày",IF($L31&lt;=90,"61-90 ngày","Trên 90 ngày")))))))</f>
        <v/>
      </c>
      <c r="N31" s="51">
        <f>IF($A31="","",IF(OR($B31="",$C31=""),"THIẾU THÔNG TIN",IF(AND($G31&gt;0,$H31&gt;0),"KHÔNG NHẬP ĐỒNG THỜI TĂNG/GIẢM",IF(AND($G31&lt;=0,$H31&lt;=0),"CHƯA NHẬP SỐ TIỀN",IF($D31="KHÔNG TÌM THẤY","MÃ KHÔNG HỢP LỆ",IF(AND($G31&gt;0,$J31=""),"THIẾU NGÀY ĐẾN HẠN","OK"))))))</f>
        <v/>
      </c>
    </row>
    <row r="32">
      <c r="A32" s="209" t="n"/>
      <c r="B32" s="47" t="n"/>
      <c r="C32" s="47" t="n"/>
      <c r="D32" s="51">
        <f>IF($C32="","",XLOOKUP($C32,'01_DANH_MUC'!$A$7:$A$206,'01_DANH_MUC'!$B$7:$B$206,"KHÔNG TÌM THẤY"))</f>
        <v/>
      </c>
      <c r="E32" s="51">
        <f>IF($C32="","",XLOOKUP($C32,'01_DANH_MUC'!$A$7:$A$206,'01_DANH_MUC'!$C$7:$C$206,"KHÔNG TÌM THẤY"))</f>
        <v/>
      </c>
      <c r="F32" s="57" t="n"/>
      <c r="G32" s="211" t="n"/>
      <c r="H32" s="211" t="n"/>
      <c r="I32" s="212">
        <f>IF($C32="","",XLOOKUP($C32,'01_DANH_MUC'!$A$7:$A$206,'01_DANH_MUC'!$E$7:$E$206,0))</f>
        <v/>
      </c>
      <c r="J32" s="213">
        <f>IF(OR($A32="",$C32="",$G32&lt;=0),"",$A32+$I32)</f>
        <v/>
      </c>
      <c r="K32" s="210">
        <f>IF($A32="","",IF(OR($C32="",$G32&lt;=0,$A32&gt;'03_BAO_CAO'!$E$4),0,MAX(0,$G32-MAX(0,SUMIFS($H$7:$H$506,$C$7:$C$506,$C32,$A$7:$A$506,"&lt;="&amp;'03_BAO_CAO'!$E$4)-XLOOKUP($C32,'01_DANH_MUC'!$A$7:$A$206,'01_DANH_MUC'!$F$7:$F$206,0)-SUMIFS($G$7:G31,$C$7:C31,$C32,$A$7:A31,"&lt;="&amp;'03_BAO_CAO'!$E$4)))))</f>
        <v/>
      </c>
      <c r="L32" s="212">
        <f>IF($A32="","",IF(OR($K32&lt;=0,$J32=""),0,MAX(0,'03_BAO_CAO'!$E$4-$J32)))</f>
        <v/>
      </c>
      <c r="M32" s="51">
        <f>IF($A32="","",IF($K32&lt;=0,"Đã thanh toán",IF($J32="","Thiếu ngày đến hạn",IF($J32&gt;='03_BAO_CAO'!$E$4,"Chưa đến hạn",IF($L32&lt;=30,"1-30 ngày",IF($L32&lt;=60,"31-60 ngày",IF($L32&lt;=90,"61-90 ngày","Trên 90 ngày")))))))</f>
        <v/>
      </c>
      <c r="N32" s="51">
        <f>IF($A32="","",IF(OR($B32="",$C32=""),"THIẾU THÔNG TIN",IF(AND($G32&gt;0,$H32&gt;0),"KHÔNG NHẬP ĐỒNG THỜI TĂNG/GIẢM",IF(AND($G32&lt;=0,$H32&lt;=0),"CHƯA NHẬP SỐ TIỀN",IF($D32="KHÔNG TÌM THẤY","MÃ KHÔNG HỢP LỆ",IF(AND($G32&gt;0,$J32=""),"THIẾU NGÀY ĐẾN HẠN","OK"))))))</f>
        <v/>
      </c>
    </row>
    <row r="33">
      <c r="A33" s="209" t="n"/>
      <c r="B33" s="47" t="n"/>
      <c r="C33" s="47" t="n"/>
      <c r="D33" s="51">
        <f>IF($C33="","",XLOOKUP($C33,'01_DANH_MUC'!$A$7:$A$206,'01_DANH_MUC'!$B$7:$B$206,"KHÔNG TÌM THẤY"))</f>
        <v/>
      </c>
      <c r="E33" s="51">
        <f>IF($C33="","",XLOOKUP($C33,'01_DANH_MUC'!$A$7:$A$206,'01_DANH_MUC'!$C$7:$C$206,"KHÔNG TÌM THẤY"))</f>
        <v/>
      </c>
      <c r="F33" s="57" t="n"/>
      <c r="G33" s="211" t="n"/>
      <c r="H33" s="211" t="n"/>
      <c r="I33" s="212">
        <f>IF($C33="","",XLOOKUP($C33,'01_DANH_MUC'!$A$7:$A$206,'01_DANH_MUC'!$E$7:$E$206,0))</f>
        <v/>
      </c>
      <c r="J33" s="213">
        <f>IF(OR($A33="",$C33="",$G33&lt;=0),"",$A33+$I33)</f>
        <v/>
      </c>
      <c r="K33" s="210">
        <f>IF($A33="","",IF(OR($C33="",$G33&lt;=0,$A33&gt;'03_BAO_CAO'!$E$4),0,MAX(0,$G33-MAX(0,SUMIFS($H$7:$H$506,$C$7:$C$506,$C33,$A$7:$A$506,"&lt;="&amp;'03_BAO_CAO'!$E$4)-XLOOKUP($C33,'01_DANH_MUC'!$A$7:$A$206,'01_DANH_MUC'!$F$7:$F$206,0)-SUMIFS($G$7:G32,$C$7:C32,$C33,$A$7:A32,"&lt;="&amp;'03_BAO_CAO'!$E$4)))))</f>
        <v/>
      </c>
      <c r="L33" s="212">
        <f>IF($A33="","",IF(OR($K33&lt;=0,$J33=""),0,MAX(0,'03_BAO_CAO'!$E$4-$J33)))</f>
        <v/>
      </c>
      <c r="M33" s="51">
        <f>IF($A33="","",IF($K33&lt;=0,"Đã thanh toán",IF($J33="","Thiếu ngày đến hạn",IF($J33&gt;='03_BAO_CAO'!$E$4,"Chưa đến hạn",IF($L33&lt;=30,"1-30 ngày",IF($L33&lt;=60,"31-60 ngày",IF($L33&lt;=90,"61-90 ngày","Trên 90 ngày")))))))</f>
        <v/>
      </c>
      <c r="N33" s="51">
        <f>IF($A33="","",IF(OR($B33="",$C33=""),"THIẾU THÔNG TIN",IF(AND($G33&gt;0,$H33&gt;0),"KHÔNG NHẬP ĐỒNG THỜI TĂNG/GIẢM",IF(AND($G33&lt;=0,$H33&lt;=0),"CHƯA NHẬP SỐ TIỀN",IF($D33="KHÔNG TÌM THẤY","MÃ KHÔNG HỢP LỆ",IF(AND($G33&gt;0,$J33=""),"THIẾU NGÀY ĐẾN HẠN","OK"))))))</f>
        <v/>
      </c>
    </row>
    <row r="34">
      <c r="A34" s="209" t="n"/>
      <c r="B34" s="47" t="n"/>
      <c r="C34" s="47" t="n"/>
      <c r="D34" s="51">
        <f>IF($C34="","",XLOOKUP($C34,'01_DANH_MUC'!$A$7:$A$206,'01_DANH_MUC'!$B$7:$B$206,"KHÔNG TÌM THẤY"))</f>
        <v/>
      </c>
      <c r="E34" s="51">
        <f>IF($C34="","",XLOOKUP($C34,'01_DANH_MUC'!$A$7:$A$206,'01_DANH_MUC'!$C$7:$C$206,"KHÔNG TÌM THẤY"))</f>
        <v/>
      </c>
      <c r="F34" s="57" t="n"/>
      <c r="G34" s="211" t="n"/>
      <c r="H34" s="211" t="n"/>
      <c r="I34" s="212">
        <f>IF($C34="","",XLOOKUP($C34,'01_DANH_MUC'!$A$7:$A$206,'01_DANH_MUC'!$E$7:$E$206,0))</f>
        <v/>
      </c>
      <c r="J34" s="213">
        <f>IF(OR($A34="",$C34="",$G34&lt;=0),"",$A34+$I34)</f>
        <v/>
      </c>
      <c r="K34" s="210">
        <f>IF($A34="","",IF(OR($C34="",$G34&lt;=0,$A34&gt;'03_BAO_CAO'!$E$4),0,MAX(0,$G34-MAX(0,SUMIFS($H$7:$H$506,$C$7:$C$506,$C34,$A$7:$A$506,"&lt;="&amp;'03_BAO_CAO'!$E$4)-XLOOKUP($C34,'01_DANH_MUC'!$A$7:$A$206,'01_DANH_MUC'!$F$7:$F$206,0)-SUMIFS($G$7:G33,$C$7:C33,$C34,$A$7:A33,"&lt;="&amp;'03_BAO_CAO'!$E$4)))))</f>
        <v/>
      </c>
      <c r="L34" s="212">
        <f>IF($A34="","",IF(OR($K34&lt;=0,$J34=""),0,MAX(0,'03_BAO_CAO'!$E$4-$J34)))</f>
        <v/>
      </c>
      <c r="M34" s="51">
        <f>IF($A34="","",IF($K34&lt;=0,"Đã thanh toán",IF($J34="","Thiếu ngày đến hạn",IF($J34&gt;='03_BAO_CAO'!$E$4,"Chưa đến hạn",IF($L34&lt;=30,"1-30 ngày",IF($L34&lt;=60,"31-60 ngày",IF($L34&lt;=90,"61-90 ngày","Trên 90 ngày")))))))</f>
        <v/>
      </c>
      <c r="N34" s="51">
        <f>IF($A34="","",IF(OR($B34="",$C34=""),"THIẾU THÔNG TIN",IF(AND($G34&gt;0,$H34&gt;0),"KHÔNG NHẬP ĐỒNG THỜI TĂNG/GIẢM",IF(AND($G34&lt;=0,$H34&lt;=0),"CHƯA NHẬP SỐ TIỀN",IF($D34="KHÔNG TÌM THẤY","MÃ KHÔNG HỢP LỆ",IF(AND($G34&gt;0,$J34=""),"THIẾU NGÀY ĐẾN HẠN","OK"))))))</f>
        <v/>
      </c>
    </row>
    <row r="35">
      <c r="A35" s="209" t="n"/>
      <c r="B35" s="47" t="n"/>
      <c r="C35" s="47" t="n"/>
      <c r="D35" s="51">
        <f>IF($C35="","",XLOOKUP($C35,'01_DANH_MUC'!$A$7:$A$206,'01_DANH_MUC'!$B$7:$B$206,"KHÔNG TÌM THẤY"))</f>
        <v/>
      </c>
      <c r="E35" s="51">
        <f>IF($C35="","",XLOOKUP($C35,'01_DANH_MUC'!$A$7:$A$206,'01_DANH_MUC'!$C$7:$C$206,"KHÔNG TÌM THẤY"))</f>
        <v/>
      </c>
      <c r="F35" s="57" t="n"/>
      <c r="G35" s="211" t="n"/>
      <c r="H35" s="211" t="n"/>
      <c r="I35" s="212">
        <f>IF($C35="","",XLOOKUP($C35,'01_DANH_MUC'!$A$7:$A$206,'01_DANH_MUC'!$E$7:$E$206,0))</f>
        <v/>
      </c>
      <c r="J35" s="213">
        <f>IF(OR($A35="",$C35="",$G35&lt;=0),"",$A35+$I35)</f>
        <v/>
      </c>
      <c r="K35" s="210">
        <f>IF($A35="","",IF(OR($C35="",$G35&lt;=0,$A35&gt;'03_BAO_CAO'!$E$4),0,MAX(0,$G35-MAX(0,SUMIFS($H$7:$H$506,$C$7:$C$506,$C35,$A$7:$A$506,"&lt;="&amp;'03_BAO_CAO'!$E$4)-XLOOKUP($C35,'01_DANH_MUC'!$A$7:$A$206,'01_DANH_MUC'!$F$7:$F$206,0)-SUMIFS($G$7:G34,$C$7:C34,$C35,$A$7:A34,"&lt;="&amp;'03_BAO_CAO'!$E$4)))))</f>
        <v/>
      </c>
      <c r="L35" s="212">
        <f>IF($A35="","",IF(OR($K35&lt;=0,$J35=""),0,MAX(0,'03_BAO_CAO'!$E$4-$J35)))</f>
        <v/>
      </c>
      <c r="M35" s="51">
        <f>IF($A35="","",IF($K35&lt;=0,"Đã thanh toán",IF($J35="","Thiếu ngày đến hạn",IF($J35&gt;='03_BAO_CAO'!$E$4,"Chưa đến hạn",IF($L35&lt;=30,"1-30 ngày",IF($L35&lt;=60,"31-60 ngày",IF($L35&lt;=90,"61-90 ngày","Trên 90 ngày")))))))</f>
        <v/>
      </c>
      <c r="N35" s="51">
        <f>IF($A35="","",IF(OR($B35="",$C35=""),"THIẾU THÔNG TIN",IF(AND($G35&gt;0,$H35&gt;0),"KHÔNG NHẬP ĐỒNG THỜI TĂNG/GIẢM",IF(AND($G35&lt;=0,$H35&lt;=0),"CHƯA NHẬP SỐ TIỀN",IF($D35="KHÔNG TÌM THẤY","MÃ KHÔNG HỢP LỆ",IF(AND($G35&gt;0,$J35=""),"THIẾU NGÀY ĐẾN HẠN","OK"))))))</f>
        <v/>
      </c>
    </row>
    <row r="36">
      <c r="A36" s="209" t="n"/>
      <c r="B36" s="47" t="n"/>
      <c r="C36" s="47" t="n"/>
      <c r="D36" s="51">
        <f>IF($C36="","",XLOOKUP($C36,'01_DANH_MUC'!$A$7:$A$206,'01_DANH_MUC'!$B$7:$B$206,"KHÔNG TÌM THẤY"))</f>
        <v/>
      </c>
      <c r="E36" s="51">
        <f>IF($C36="","",XLOOKUP($C36,'01_DANH_MUC'!$A$7:$A$206,'01_DANH_MUC'!$C$7:$C$206,"KHÔNG TÌM THẤY"))</f>
        <v/>
      </c>
      <c r="F36" s="57" t="n"/>
      <c r="G36" s="211" t="n"/>
      <c r="H36" s="211" t="n"/>
      <c r="I36" s="212">
        <f>IF($C36="","",XLOOKUP($C36,'01_DANH_MUC'!$A$7:$A$206,'01_DANH_MUC'!$E$7:$E$206,0))</f>
        <v/>
      </c>
      <c r="J36" s="213">
        <f>IF(OR($A36="",$C36="",$G36&lt;=0),"",$A36+$I36)</f>
        <v/>
      </c>
      <c r="K36" s="210">
        <f>IF($A36="","",IF(OR($C36="",$G36&lt;=0,$A36&gt;'03_BAO_CAO'!$E$4),0,MAX(0,$G36-MAX(0,SUMIFS($H$7:$H$506,$C$7:$C$506,$C36,$A$7:$A$506,"&lt;="&amp;'03_BAO_CAO'!$E$4)-XLOOKUP($C36,'01_DANH_MUC'!$A$7:$A$206,'01_DANH_MUC'!$F$7:$F$206,0)-SUMIFS($G$7:G35,$C$7:C35,$C36,$A$7:A35,"&lt;="&amp;'03_BAO_CAO'!$E$4)))))</f>
        <v/>
      </c>
      <c r="L36" s="212">
        <f>IF($A36="","",IF(OR($K36&lt;=0,$J36=""),0,MAX(0,'03_BAO_CAO'!$E$4-$J36)))</f>
        <v/>
      </c>
      <c r="M36" s="51">
        <f>IF($A36="","",IF($K36&lt;=0,"Đã thanh toán",IF($J36="","Thiếu ngày đến hạn",IF($J36&gt;='03_BAO_CAO'!$E$4,"Chưa đến hạn",IF($L36&lt;=30,"1-30 ngày",IF($L36&lt;=60,"31-60 ngày",IF($L36&lt;=90,"61-90 ngày","Trên 90 ngày")))))))</f>
        <v/>
      </c>
      <c r="N36" s="51">
        <f>IF($A36="","",IF(OR($B36="",$C36=""),"THIẾU THÔNG TIN",IF(AND($G36&gt;0,$H36&gt;0),"KHÔNG NHẬP ĐỒNG THỜI TĂNG/GIẢM",IF(AND($G36&lt;=0,$H36&lt;=0),"CHƯA NHẬP SỐ TIỀN",IF($D36="KHÔNG TÌM THẤY","MÃ KHÔNG HỢP LỆ",IF(AND($G36&gt;0,$J36=""),"THIẾU NGÀY ĐẾN HẠN","OK"))))))</f>
        <v/>
      </c>
    </row>
    <row r="37">
      <c r="A37" s="209" t="n"/>
      <c r="B37" s="47" t="n"/>
      <c r="C37" s="47" t="n"/>
      <c r="D37" s="51">
        <f>IF($C37="","",XLOOKUP($C37,'01_DANH_MUC'!$A$7:$A$206,'01_DANH_MUC'!$B$7:$B$206,"KHÔNG TÌM THẤY"))</f>
        <v/>
      </c>
      <c r="E37" s="51">
        <f>IF($C37="","",XLOOKUP($C37,'01_DANH_MUC'!$A$7:$A$206,'01_DANH_MUC'!$C$7:$C$206,"KHÔNG TÌM THẤY"))</f>
        <v/>
      </c>
      <c r="F37" s="57" t="n"/>
      <c r="G37" s="211" t="n"/>
      <c r="H37" s="211" t="n"/>
      <c r="I37" s="212">
        <f>IF($C37="","",XLOOKUP($C37,'01_DANH_MUC'!$A$7:$A$206,'01_DANH_MUC'!$E$7:$E$206,0))</f>
        <v/>
      </c>
      <c r="J37" s="213">
        <f>IF(OR($A37="",$C37="",$G37&lt;=0),"",$A37+$I37)</f>
        <v/>
      </c>
      <c r="K37" s="210">
        <f>IF($A37="","",IF(OR($C37="",$G37&lt;=0,$A37&gt;'03_BAO_CAO'!$E$4),0,MAX(0,$G37-MAX(0,SUMIFS($H$7:$H$506,$C$7:$C$506,$C37,$A$7:$A$506,"&lt;="&amp;'03_BAO_CAO'!$E$4)-XLOOKUP($C37,'01_DANH_MUC'!$A$7:$A$206,'01_DANH_MUC'!$F$7:$F$206,0)-SUMIFS($G$7:G36,$C$7:C36,$C37,$A$7:A36,"&lt;="&amp;'03_BAO_CAO'!$E$4)))))</f>
        <v/>
      </c>
      <c r="L37" s="212">
        <f>IF($A37="","",IF(OR($K37&lt;=0,$J37=""),0,MAX(0,'03_BAO_CAO'!$E$4-$J37)))</f>
        <v/>
      </c>
      <c r="M37" s="51">
        <f>IF($A37="","",IF($K37&lt;=0,"Đã thanh toán",IF($J37="","Thiếu ngày đến hạn",IF($J37&gt;='03_BAO_CAO'!$E$4,"Chưa đến hạn",IF($L37&lt;=30,"1-30 ngày",IF($L37&lt;=60,"31-60 ngày",IF($L37&lt;=90,"61-90 ngày","Trên 90 ngày")))))))</f>
        <v/>
      </c>
      <c r="N37" s="51">
        <f>IF($A37="","",IF(OR($B37="",$C37=""),"THIẾU THÔNG TIN",IF(AND($G37&gt;0,$H37&gt;0),"KHÔNG NHẬP ĐỒNG THỜI TĂNG/GIẢM",IF(AND($G37&lt;=0,$H37&lt;=0),"CHƯA NHẬP SỐ TIỀN",IF($D37="KHÔNG TÌM THẤY","MÃ KHÔNG HỢP LỆ",IF(AND($G37&gt;0,$J37=""),"THIẾU NGÀY ĐẾN HẠN","OK"))))))</f>
        <v/>
      </c>
    </row>
    <row r="38">
      <c r="A38" s="209" t="n"/>
      <c r="B38" s="47" t="n"/>
      <c r="C38" s="47" t="n"/>
      <c r="D38" s="51">
        <f>IF($C38="","",XLOOKUP($C38,'01_DANH_MUC'!$A$7:$A$206,'01_DANH_MUC'!$B$7:$B$206,"KHÔNG TÌM THẤY"))</f>
        <v/>
      </c>
      <c r="E38" s="51">
        <f>IF($C38="","",XLOOKUP($C38,'01_DANH_MUC'!$A$7:$A$206,'01_DANH_MUC'!$C$7:$C$206,"KHÔNG TÌM THẤY"))</f>
        <v/>
      </c>
      <c r="F38" s="57" t="n"/>
      <c r="G38" s="211" t="n"/>
      <c r="H38" s="211" t="n"/>
      <c r="I38" s="212">
        <f>IF($C38="","",XLOOKUP($C38,'01_DANH_MUC'!$A$7:$A$206,'01_DANH_MUC'!$E$7:$E$206,0))</f>
        <v/>
      </c>
      <c r="J38" s="213">
        <f>IF(OR($A38="",$C38="",$G38&lt;=0),"",$A38+$I38)</f>
        <v/>
      </c>
      <c r="K38" s="210">
        <f>IF($A38="","",IF(OR($C38="",$G38&lt;=0,$A38&gt;'03_BAO_CAO'!$E$4),0,MAX(0,$G38-MAX(0,SUMIFS($H$7:$H$506,$C$7:$C$506,$C38,$A$7:$A$506,"&lt;="&amp;'03_BAO_CAO'!$E$4)-XLOOKUP($C38,'01_DANH_MUC'!$A$7:$A$206,'01_DANH_MUC'!$F$7:$F$206,0)-SUMIFS($G$7:G37,$C$7:C37,$C38,$A$7:A37,"&lt;="&amp;'03_BAO_CAO'!$E$4)))))</f>
        <v/>
      </c>
      <c r="L38" s="212">
        <f>IF($A38="","",IF(OR($K38&lt;=0,$J38=""),0,MAX(0,'03_BAO_CAO'!$E$4-$J38)))</f>
        <v/>
      </c>
      <c r="M38" s="51">
        <f>IF($A38="","",IF($K38&lt;=0,"Đã thanh toán",IF($J38="","Thiếu ngày đến hạn",IF($J38&gt;='03_BAO_CAO'!$E$4,"Chưa đến hạn",IF($L38&lt;=30,"1-30 ngày",IF($L38&lt;=60,"31-60 ngày",IF($L38&lt;=90,"61-90 ngày","Trên 90 ngày")))))))</f>
        <v/>
      </c>
      <c r="N38" s="51">
        <f>IF($A38="","",IF(OR($B38="",$C38=""),"THIẾU THÔNG TIN",IF(AND($G38&gt;0,$H38&gt;0),"KHÔNG NHẬP ĐỒNG THỜI TĂNG/GIẢM",IF(AND($G38&lt;=0,$H38&lt;=0),"CHƯA NHẬP SỐ TIỀN",IF($D38="KHÔNG TÌM THẤY","MÃ KHÔNG HỢP LỆ",IF(AND($G38&gt;0,$J38=""),"THIẾU NGÀY ĐẾN HẠN","OK"))))))</f>
        <v/>
      </c>
    </row>
    <row r="39">
      <c r="A39" s="209" t="n"/>
      <c r="B39" s="47" t="n"/>
      <c r="C39" s="47" t="n"/>
      <c r="D39" s="51">
        <f>IF($C39="","",XLOOKUP($C39,'01_DANH_MUC'!$A$7:$A$206,'01_DANH_MUC'!$B$7:$B$206,"KHÔNG TÌM THẤY"))</f>
        <v/>
      </c>
      <c r="E39" s="51">
        <f>IF($C39="","",XLOOKUP($C39,'01_DANH_MUC'!$A$7:$A$206,'01_DANH_MUC'!$C$7:$C$206,"KHÔNG TÌM THẤY"))</f>
        <v/>
      </c>
      <c r="F39" s="57" t="n"/>
      <c r="G39" s="211" t="n"/>
      <c r="H39" s="211" t="n"/>
      <c r="I39" s="212">
        <f>IF($C39="","",XLOOKUP($C39,'01_DANH_MUC'!$A$7:$A$206,'01_DANH_MUC'!$E$7:$E$206,0))</f>
        <v/>
      </c>
      <c r="J39" s="213">
        <f>IF(OR($A39="",$C39="",$G39&lt;=0),"",$A39+$I39)</f>
        <v/>
      </c>
      <c r="K39" s="210">
        <f>IF($A39="","",IF(OR($C39="",$G39&lt;=0,$A39&gt;'03_BAO_CAO'!$E$4),0,MAX(0,$G39-MAX(0,SUMIFS($H$7:$H$506,$C$7:$C$506,$C39,$A$7:$A$506,"&lt;="&amp;'03_BAO_CAO'!$E$4)-XLOOKUP($C39,'01_DANH_MUC'!$A$7:$A$206,'01_DANH_MUC'!$F$7:$F$206,0)-SUMIFS($G$7:G38,$C$7:C38,$C39,$A$7:A38,"&lt;="&amp;'03_BAO_CAO'!$E$4)))))</f>
        <v/>
      </c>
      <c r="L39" s="212">
        <f>IF($A39="","",IF(OR($K39&lt;=0,$J39=""),0,MAX(0,'03_BAO_CAO'!$E$4-$J39)))</f>
        <v/>
      </c>
      <c r="M39" s="51">
        <f>IF($A39="","",IF($K39&lt;=0,"Đã thanh toán",IF($J39="","Thiếu ngày đến hạn",IF($J39&gt;='03_BAO_CAO'!$E$4,"Chưa đến hạn",IF($L39&lt;=30,"1-30 ngày",IF($L39&lt;=60,"31-60 ngày",IF($L39&lt;=90,"61-90 ngày","Trên 90 ngày")))))))</f>
        <v/>
      </c>
      <c r="N39" s="51">
        <f>IF($A39="","",IF(OR($B39="",$C39=""),"THIẾU THÔNG TIN",IF(AND($G39&gt;0,$H39&gt;0),"KHÔNG NHẬP ĐỒNG THỜI TĂNG/GIẢM",IF(AND($G39&lt;=0,$H39&lt;=0),"CHƯA NHẬP SỐ TIỀN",IF($D39="KHÔNG TÌM THẤY","MÃ KHÔNG HỢP LỆ",IF(AND($G39&gt;0,$J39=""),"THIẾU NGÀY ĐẾN HẠN","OK"))))))</f>
        <v/>
      </c>
    </row>
    <row r="40">
      <c r="A40" s="209" t="n"/>
      <c r="B40" s="47" t="n"/>
      <c r="C40" s="47" t="n"/>
      <c r="D40" s="51">
        <f>IF($C40="","",XLOOKUP($C40,'01_DANH_MUC'!$A$7:$A$206,'01_DANH_MUC'!$B$7:$B$206,"KHÔNG TÌM THẤY"))</f>
        <v/>
      </c>
      <c r="E40" s="51">
        <f>IF($C40="","",XLOOKUP($C40,'01_DANH_MUC'!$A$7:$A$206,'01_DANH_MUC'!$C$7:$C$206,"KHÔNG TÌM THẤY"))</f>
        <v/>
      </c>
      <c r="F40" s="57" t="n"/>
      <c r="G40" s="211" t="n"/>
      <c r="H40" s="211" t="n"/>
      <c r="I40" s="212">
        <f>IF($C40="","",XLOOKUP($C40,'01_DANH_MUC'!$A$7:$A$206,'01_DANH_MUC'!$E$7:$E$206,0))</f>
        <v/>
      </c>
      <c r="J40" s="213">
        <f>IF(OR($A40="",$C40="",$G40&lt;=0),"",$A40+$I40)</f>
        <v/>
      </c>
      <c r="K40" s="210">
        <f>IF($A40="","",IF(OR($C40="",$G40&lt;=0,$A40&gt;'03_BAO_CAO'!$E$4),0,MAX(0,$G40-MAX(0,SUMIFS($H$7:$H$506,$C$7:$C$506,$C40,$A$7:$A$506,"&lt;="&amp;'03_BAO_CAO'!$E$4)-XLOOKUP($C40,'01_DANH_MUC'!$A$7:$A$206,'01_DANH_MUC'!$F$7:$F$206,0)-SUMIFS($G$7:G39,$C$7:C39,$C40,$A$7:A39,"&lt;="&amp;'03_BAO_CAO'!$E$4)))))</f>
        <v/>
      </c>
      <c r="L40" s="212">
        <f>IF($A40="","",IF(OR($K40&lt;=0,$J40=""),0,MAX(0,'03_BAO_CAO'!$E$4-$J40)))</f>
        <v/>
      </c>
      <c r="M40" s="51">
        <f>IF($A40="","",IF($K40&lt;=0,"Đã thanh toán",IF($J40="","Thiếu ngày đến hạn",IF($J40&gt;='03_BAO_CAO'!$E$4,"Chưa đến hạn",IF($L40&lt;=30,"1-30 ngày",IF($L40&lt;=60,"31-60 ngày",IF($L40&lt;=90,"61-90 ngày","Trên 90 ngày")))))))</f>
        <v/>
      </c>
      <c r="N40" s="51">
        <f>IF($A40="","",IF(OR($B40="",$C40=""),"THIẾU THÔNG TIN",IF(AND($G40&gt;0,$H40&gt;0),"KHÔNG NHẬP ĐỒNG THỜI TĂNG/GIẢM",IF(AND($G40&lt;=0,$H40&lt;=0),"CHƯA NHẬP SỐ TIỀN",IF($D40="KHÔNG TÌM THẤY","MÃ KHÔNG HỢP LỆ",IF(AND($G40&gt;0,$J40=""),"THIẾU NGÀY ĐẾN HẠN","OK"))))))</f>
        <v/>
      </c>
    </row>
    <row r="41">
      <c r="A41" s="209" t="n"/>
      <c r="B41" s="47" t="n"/>
      <c r="C41" s="47" t="n"/>
      <c r="D41" s="51">
        <f>IF($C41="","",XLOOKUP($C41,'01_DANH_MUC'!$A$7:$A$206,'01_DANH_MUC'!$B$7:$B$206,"KHÔNG TÌM THẤY"))</f>
        <v/>
      </c>
      <c r="E41" s="51">
        <f>IF($C41="","",XLOOKUP($C41,'01_DANH_MUC'!$A$7:$A$206,'01_DANH_MUC'!$C$7:$C$206,"KHÔNG TÌM THẤY"))</f>
        <v/>
      </c>
      <c r="F41" s="57" t="n"/>
      <c r="G41" s="211" t="n"/>
      <c r="H41" s="211" t="n"/>
      <c r="I41" s="212">
        <f>IF($C41="","",XLOOKUP($C41,'01_DANH_MUC'!$A$7:$A$206,'01_DANH_MUC'!$E$7:$E$206,0))</f>
        <v/>
      </c>
      <c r="J41" s="213">
        <f>IF(OR($A41="",$C41="",$G41&lt;=0),"",$A41+$I41)</f>
        <v/>
      </c>
      <c r="K41" s="210">
        <f>IF($A41="","",IF(OR($C41="",$G41&lt;=0,$A41&gt;'03_BAO_CAO'!$E$4),0,MAX(0,$G41-MAX(0,SUMIFS($H$7:$H$506,$C$7:$C$506,$C41,$A$7:$A$506,"&lt;="&amp;'03_BAO_CAO'!$E$4)-XLOOKUP($C41,'01_DANH_MUC'!$A$7:$A$206,'01_DANH_MUC'!$F$7:$F$206,0)-SUMIFS($G$7:G40,$C$7:C40,$C41,$A$7:A40,"&lt;="&amp;'03_BAO_CAO'!$E$4)))))</f>
        <v/>
      </c>
      <c r="L41" s="212">
        <f>IF($A41="","",IF(OR($K41&lt;=0,$J41=""),0,MAX(0,'03_BAO_CAO'!$E$4-$J41)))</f>
        <v/>
      </c>
      <c r="M41" s="51">
        <f>IF($A41="","",IF($K41&lt;=0,"Đã thanh toán",IF($J41="","Thiếu ngày đến hạn",IF($J41&gt;='03_BAO_CAO'!$E$4,"Chưa đến hạn",IF($L41&lt;=30,"1-30 ngày",IF($L41&lt;=60,"31-60 ngày",IF($L41&lt;=90,"61-90 ngày","Trên 90 ngày")))))))</f>
        <v/>
      </c>
      <c r="N41" s="51">
        <f>IF($A41="","",IF(OR($B41="",$C41=""),"THIẾU THÔNG TIN",IF(AND($G41&gt;0,$H41&gt;0),"KHÔNG NHẬP ĐỒNG THỜI TĂNG/GIẢM",IF(AND($G41&lt;=0,$H41&lt;=0),"CHƯA NHẬP SỐ TIỀN",IF($D41="KHÔNG TÌM THẤY","MÃ KHÔNG HỢP LỆ",IF(AND($G41&gt;0,$J41=""),"THIẾU NGÀY ĐẾN HẠN","OK"))))))</f>
        <v/>
      </c>
    </row>
    <row r="42">
      <c r="A42" s="209" t="n"/>
      <c r="B42" s="47" t="n"/>
      <c r="C42" s="47" t="n"/>
      <c r="D42" s="51">
        <f>IF($C42="","",XLOOKUP($C42,'01_DANH_MUC'!$A$7:$A$206,'01_DANH_MUC'!$B$7:$B$206,"KHÔNG TÌM THẤY"))</f>
        <v/>
      </c>
      <c r="E42" s="51">
        <f>IF($C42="","",XLOOKUP($C42,'01_DANH_MUC'!$A$7:$A$206,'01_DANH_MUC'!$C$7:$C$206,"KHÔNG TÌM THẤY"))</f>
        <v/>
      </c>
      <c r="F42" s="57" t="n"/>
      <c r="G42" s="211" t="n"/>
      <c r="H42" s="211" t="n"/>
      <c r="I42" s="212">
        <f>IF($C42="","",XLOOKUP($C42,'01_DANH_MUC'!$A$7:$A$206,'01_DANH_MUC'!$E$7:$E$206,0))</f>
        <v/>
      </c>
      <c r="J42" s="213">
        <f>IF(OR($A42="",$C42="",$G42&lt;=0),"",$A42+$I42)</f>
        <v/>
      </c>
      <c r="K42" s="210">
        <f>IF($A42="","",IF(OR($C42="",$G42&lt;=0,$A42&gt;'03_BAO_CAO'!$E$4),0,MAX(0,$G42-MAX(0,SUMIFS($H$7:$H$506,$C$7:$C$506,$C42,$A$7:$A$506,"&lt;="&amp;'03_BAO_CAO'!$E$4)-XLOOKUP($C42,'01_DANH_MUC'!$A$7:$A$206,'01_DANH_MUC'!$F$7:$F$206,0)-SUMIFS($G$7:G41,$C$7:C41,$C42,$A$7:A41,"&lt;="&amp;'03_BAO_CAO'!$E$4)))))</f>
        <v/>
      </c>
      <c r="L42" s="212">
        <f>IF($A42="","",IF(OR($K42&lt;=0,$J42=""),0,MAX(0,'03_BAO_CAO'!$E$4-$J42)))</f>
        <v/>
      </c>
      <c r="M42" s="51">
        <f>IF($A42="","",IF($K42&lt;=0,"Đã thanh toán",IF($J42="","Thiếu ngày đến hạn",IF($J42&gt;='03_BAO_CAO'!$E$4,"Chưa đến hạn",IF($L42&lt;=30,"1-30 ngày",IF($L42&lt;=60,"31-60 ngày",IF($L42&lt;=90,"61-90 ngày","Trên 90 ngày")))))))</f>
        <v/>
      </c>
      <c r="N42" s="51">
        <f>IF($A42="","",IF(OR($B42="",$C42=""),"THIẾU THÔNG TIN",IF(AND($G42&gt;0,$H42&gt;0),"KHÔNG NHẬP ĐỒNG THỜI TĂNG/GIẢM",IF(AND($G42&lt;=0,$H42&lt;=0),"CHƯA NHẬP SỐ TIỀN",IF($D42="KHÔNG TÌM THẤY","MÃ KHÔNG HỢP LỆ",IF(AND($G42&gt;0,$J42=""),"THIẾU NGÀY ĐẾN HẠN","OK"))))))</f>
        <v/>
      </c>
    </row>
    <row r="43">
      <c r="A43" s="209" t="n"/>
      <c r="B43" s="47" t="n"/>
      <c r="C43" s="47" t="n"/>
      <c r="D43" s="51">
        <f>IF($C43="","",XLOOKUP($C43,'01_DANH_MUC'!$A$7:$A$206,'01_DANH_MUC'!$B$7:$B$206,"KHÔNG TÌM THẤY"))</f>
        <v/>
      </c>
      <c r="E43" s="51">
        <f>IF($C43="","",XLOOKUP($C43,'01_DANH_MUC'!$A$7:$A$206,'01_DANH_MUC'!$C$7:$C$206,"KHÔNG TÌM THẤY"))</f>
        <v/>
      </c>
      <c r="F43" s="57" t="n"/>
      <c r="G43" s="211" t="n"/>
      <c r="H43" s="211" t="n"/>
      <c r="I43" s="212">
        <f>IF($C43="","",XLOOKUP($C43,'01_DANH_MUC'!$A$7:$A$206,'01_DANH_MUC'!$E$7:$E$206,0))</f>
        <v/>
      </c>
      <c r="J43" s="213">
        <f>IF(OR($A43="",$C43="",$G43&lt;=0),"",$A43+$I43)</f>
        <v/>
      </c>
      <c r="K43" s="210">
        <f>IF($A43="","",IF(OR($C43="",$G43&lt;=0,$A43&gt;'03_BAO_CAO'!$E$4),0,MAX(0,$G43-MAX(0,SUMIFS($H$7:$H$506,$C$7:$C$506,$C43,$A$7:$A$506,"&lt;="&amp;'03_BAO_CAO'!$E$4)-XLOOKUP($C43,'01_DANH_MUC'!$A$7:$A$206,'01_DANH_MUC'!$F$7:$F$206,0)-SUMIFS($G$7:G42,$C$7:C42,$C43,$A$7:A42,"&lt;="&amp;'03_BAO_CAO'!$E$4)))))</f>
        <v/>
      </c>
      <c r="L43" s="212">
        <f>IF($A43="","",IF(OR($K43&lt;=0,$J43=""),0,MAX(0,'03_BAO_CAO'!$E$4-$J43)))</f>
        <v/>
      </c>
      <c r="M43" s="51">
        <f>IF($A43="","",IF($K43&lt;=0,"Đã thanh toán",IF($J43="","Thiếu ngày đến hạn",IF($J43&gt;='03_BAO_CAO'!$E$4,"Chưa đến hạn",IF($L43&lt;=30,"1-30 ngày",IF($L43&lt;=60,"31-60 ngày",IF($L43&lt;=90,"61-90 ngày","Trên 90 ngày")))))))</f>
        <v/>
      </c>
      <c r="N43" s="51">
        <f>IF($A43="","",IF(OR($B43="",$C43=""),"THIẾU THÔNG TIN",IF(AND($G43&gt;0,$H43&gt;0),"KHÔNG NHẬP ĐỒNG THỜI TĂNG/GIẢM",IF(AND($G43&lt;=0,$H43&lt;=0),"CHƯA NHẬP SỐ TIỀN",IF($D43="KHÔNG TÌM THẤY","MÃ KHÔNG HỢP LỆ",IF(AND($G43&gt;0,$J43=""),"THIẾU NGÀY ĐẾN HẠN","OK"))))))</f>
        <v/>
      </c>
    </row>
    <row r="44">
      <c r="A44" s="209" t="n"/>
      <c r="B44" s="47" t="n"/>
      <c r="C44" s="47" t="n"/>
      <c r="D44" s="51">
        <f>IF($C44="","",XLOOKUP($C44,'01_DANH_MUC'!$A$7:$A$206,'01_DANH_MUC'!$B$7:$B$206,"KHÔNG TÌM THẤY"))</f>
        <v/>
      </c>
      <c r="E44" s="51">
        <f>IF($C44="","",XLOOKUP($C44,'01_DANH_MUC'!$A$7:$A$206,'01_DANH_MUC'!$C$7:$C$206,"KHÔNG TÌM THẤY"))</f>
        <v/>
      </c>
      <c r="F44" s="57" t="n"/>
      <c r="G44" s="211" t="n"/>
      <c r="H44" s="211" t="n"/>
      <c r="I44" s="212">
        <f>IF($C44="","",XLOOKUP($C44,'01_DANH_MUC'!$A$7:$A$206,'01_DANH_MUC'!$E$7:$E$206,0))</f>
        <v/>
      </c>
      <c r="J44" s="213">
        <f>IF(OR($A44="",$C44="",$G44&lt;=0),"",$A44+$I44)</f>
        <v/>
      </c>
      <c r="K44" s="210">
        <f>IF($A44="","",IF(OR($C44="",$G44&lt;=0,$A44&gt;'03_BAO_CAO'!$E$4),0,MAX(0,$G44-MAX(0,SUMIFS($H$7:$H$506,$C$7:$C$506,$C44,$A$7:$A$506,"&lt;="&amp;'03_BAO_CAO'!$E$4)-XLOOKUP($C44,'01_DANH_MUC'!$A$7:$A$206,'01_DANH_MUC'!$F$7:$F$206,0)-SUMIFS($G$7:G43,$C$7:C43,$C44,$A$7:A43,"&lt;="&amp;'03_BAO_CAO'!$E$4)))))</f>
        <v/>
      </c>
      <c r="L44" s="212">
        <f>IF($A44="","",IF(OR($K44&lt;=0,$J44=""),0,MAX(0,'03_BAO_CAO'!$E$4-$J44)))</f>
        <v/>
      </c>
      <c r="M44" s="51">
        <f>IF($A44="","",IF($K44&lt;=0,"Đã thanh toán",IF($J44="","Thiếu ngày đến hạn",IF($J44&gt;='03_BAO_CAO'!$E$4,"Chưa đến hạn",IF($L44&lt;=30,"1-30 ngày",IF($L44&lt;=60,"31-60 ngày",IF($L44&lt;=90,"61-90 ngày","Trên 90 ngày")))))))</f>
        <v/>
      </c>
      <c r="N44" s="51">
        <f>IF($A44="","",IF(OR($B44="",$C44=""),"THIẾU THÔNG TIN",IF(AND($G44&gt;0,$H44&gt;0),"KHÔNG NHẬP ĐỒNG THỜI TĂNG/GIẢM",IF(AND($G44&lt;=0,$H44&lt;=0),"CHƯA NHẬP SỐ TIỀN",IF($D44="KHÔNG TÌM THẤY","MÃ KHÔNG HỢP LỆ",IF(AND($G44&gt;0,$J44=""),"THIẾU NGÀY ĐẾN HẠN","OK"))))))</f>
        <v/>
      </c>
    </row>
    <row r="45">
      <c r="A45" s="209" t="n"/>
      <c r="B45" s="47" t="n"/>
      <c r="C45" s="47" t="n"/>
      <c r="D45" s="51">
        <f>IF($C45="","",XLOOKUP($C45,'01_DANH_MUC'!$A$7:$A$206,'01_DANH_MUC'!$B$7:$B$206,"KHÔNG TÌM THẤY"))</f>
        <v/>
      </c>
      <c r="E45" s="51">
        <f>IF($C45="","",XLOOKUP($C45,'01_DANH_MUC'!$A$7:$A$206,'01_DANH_MUC'!$C$7:$C$206,"KHÔNG TÌM THẤY"))</f>
        <v/>
      </c>
      <c r="F45" s="57" t="n"/>
      <c r="G45" s="211" t="n"/>
      <c r="H45" s="211" t="n"/>
      <c r="I45" s="212">
        <f>IF($C45="","",XLOOKUP($C45,'01_DANH_MUC'!$A$7:$A$206,'01_DANH_MUC'!$E$7:$E$206,0))</f>
        <v/>
      </c>
      <c r="J45" s="213">
        <f>IF(OR($A45="",$C45="",$G45&lt;=0),"",$A45+$I45)</f>
        <v/>
      </c>
      <c r="K45" s="210">
        <f>IF($A45="","",IF(OR($C45="",$G45&lt;=0,$A45&gt;'03_BAO_CAO'!$E$4),0,MAX(0,$G45-MAX(0,SUMIFS($H$7:$H$506,$C$7:$C$506,$C45,$A$7:$A$506,"&lt;="&amp;'03_BAO_CAO'!$E$4)-XLOOKUP($C45,'01_DANH_MUC'!$A$7:$A$206,'01_DANH_MUC'!$F$7:$F$206,0)-SUMIFS($G$7:G44,$C$7:C44,$C45,$A$7:A44,"&lt;="&amp;'03_BAO_CAO'!$E$4)))))</f>
        <v/>
      </c>
      <c r="L45" s="212">
        <f>IF($A45="","",IF(OR($K45&lt;=0,$J45=""),0,MAX(0,'03_BAO_CAO'!$E$4-$J45)))</f>
        <v/>
      </c>
      <c r="M45" s="51">
        <f>IF($A45="","",IF($K45&lt;=0,"Đã thanh toán",IF($J45="","Thiếu ngày đến hạn",IF($J45&gt;='03_BAO_CAO'!$E$4,"Chưa đến hạn",IF($L45&lt;=30,"1-30 ngày",IF($L45&lt;=60,"31-60 ngày",IF($L45&lt;=90,"61-90 ngày","Trên 90 ngày")))))))</f>
        <v/>
      </c>
      <c r="N45" s="51">
        <f>IF($A45="","",IF(OR($B45="",$C45=""),"THIẾU THÔNG TIN",IF(AND($G45&gt;0,$H45&gt;0),"KHÔNG NHẬP ĐỒNG THỜI TĂNG/GIẢM",IF(AND($G45&lt;=0,$H45&lt;=0),"CHƯA NHẬP SỐ TIỀN",IF($D45="KHÔNG TÌM THẤY","MÃ KHÔNG HỢP LỆ",IF(AND($G45&gt;0,$J45=""),"THIẾU NGÀY ĐẾN HẠN","OK"))))))</f>
        <v/>
      </c>
    </row>
    <row r="46">
      <c r="A46" s="209" t="n"/>
      <c r="B46" s="47" t="n"/>
      <c r="C46" s="47" t="n"/>
      <c r="D46" s="51">
        <f>IF($C46="","",XLOOKUP($C46,'01_DANH_MUC'!$A$7:$A$206,'01_DANH_MUC'!$B$7:$B$206,"KHÔNG TÌM THẤY"))</f>
        <v/>
      </c>
      <c r="E46" s="51">
        <f>IF($C46="","",XLOOKUP($C46,'01_DANH_MUC'!$A$7:$A$206,'01_DANH_MUC'!$C$7:$C$206,"KHÔNG TÌM THẤY"))</f>
        <v/>
      </c>
      <c r="F46" s="57" t="n"/>
      <c r="G46" s="211" t="n"/>
      <c r="H46" s="211" t="n"/>
      <c r="I46" s="212">
        <f>IF($C46="","",XLOOKUP($C46,'01_DANH_MUC'!$A$7:$A$206,'01_DANH_MUC'!$E$7:$E$206,0))</f>
        <v/>
      </c>
      <c r="J46" s="213">
        <f>IF(OR($A46="",$C46="",$G46&lt;=0),"",$A46+$I46)</f>
        <v/>
      </c>
      <c r="K46" s="210">
        <f>IF($A46="","",IF(OR($C46="",$G46&lt;=0,$A46&gt;'03_BAO_CAO'!$E$4),0,MAX(0,$G46-MAX(0,SUMIFS($H$7:$H$506,$C$7:$C$506,$C46,$A$7:$A$506,"&lt;="&amp;'03_BAO_CAO'!$E$4)-XLOOKUP($C46,'01_DANH_MUC'!$A$7:$A$206,'01_DANH_MUC'!$F$7:$F$206,0)-SUMIFS($G$7:G45,$C$7:C45,$C46,$A$7:A45,"&lt;="&amp;'03_BAO_CAO'!$E$4)))))</f>
        <v/>
      </c>
      <c r="L46" s="212">
        <f>IF($A46="","",IF(OR($K46&lt;=0,$J46=""),0,MAX(0,'03_BAO_CAO'!$E$4-$J46)))</f>
        <v/>
      </c>
      <c r="M46" s="51">
        <f>IF($A46="","",IF($K46&lt;=0,"Đã thanh toán",IF($J46="","Thiếu ngày đến hạn",IF($J46&gt;='03_BAO_CAO'!$E$4,"Chưa đến hạn",IF($L46&lt;=30,"1-30 ngày",IF($L46&lt;=60,"31-60 ngày",IF($L46&lt;=90,"61-90 ngày","Trên 90 ngày")))))))</f>
        <v/>
      </c>
      <c r="N46" s="51">
        <f>IF($A46="","",IF(OR($B46="",$C46=""),"THIẾU THÔNG TIN",IF(AND($G46&gt;0,$H46&gt;0),"KHÔNG NHẬP ĐỒNG THỜI TĂNG/GIẢM",IF(AND($G46&lt;=0,$H46&lt;=0),"CHƯA NHẬP SỐ TIỀN",IF($D46="KHÔNG TÌM THẤY","MÃ KHÔNG HỢP LỆ",IF(AND($G46&gt;0,$J46=""),"THIẾU NGÀY ĐẾN HẠN","OK"))))))</f>
        <v/>
      </c>
    </row>
    <row r="47">
      <c r="A47" s="209" t="n"/>
      <c r="B47" s="47" t="n"/>
      <c r="C47" s="47" t="n"/>
      <c r="D47" s="51">
        <f>IF($C47="","",XLOOKUP($C47,'01_DANH_MUC'!$A$7:$A$206,'01_DANH_MUC'!$B$7:$B$206,"KHÔNG TÌM THẤY"))</f>
        <v/>
      </c>
      <c r="E47" s="51">
        <f>IF($C47="","",XLOOKUP($C47,'01_DANH_MUC'!$A$7:$A$206,'01_DANH_MUC'!$C$7:$C$206,"KHÔNG TÌM THẤY"))</f>
        <v/>
      </c>
      <c r="F47" s="57" t="n"/>
      <c r="G47" s="211" t="n"/>
      <c r="H47" s="211" t="n"/>
      <c r="I47" s="212">
        <f>IF($C47="","",XLOOKUP($C47,'01_DANH_MUC'!$A$7:$A$206,'01_DANH_MUC'!$E$7:$E$206,0))</f>
        <v/>
      </c>
      <c r="J47" s="213">
        <f>IF(OR($A47="",$C47="",$G47&lt;=0),"",$A47+$I47)</f>
        <v/>
      </c>
      <c r="K47" s="210">
        <f>IF($A47="","",IF(OR($C47="",$G47&lt;=0,$A47&gt;'03_BAO_CAO'!$E$4),0,MAX(0,$G47-MAX(0,SUMIFS($H$7:$H$506,$C$7:$C$506,$C47,$A$7:$A$506,"&lt;="&amp;'03_BAO_CAO'!$E$4)-XLOOKUP($C47,'01_DANH_MUC'!$A$7:$A$206,'01_DANH_MUC'!$F$7:$F$206,0)-SUMIFS($G$7:G46,$C$7:C46,$C47,$A$7:A46,"&lt;="&amp;'03_BAO_CAO'!$E$4)))))</f>
        <v/>
      </c>
      <c r="L47" s="212">
        <f>IF($A47="","",IF(OR($K47&lt;=0,$J47=""),0,MAX(0,'03_BAO_CAO'!$E$4-$J47)))</f>
        <v/>
      </c>
      <c r="M47" s="51">
        <f>IF($A47="","",IF($K47&lt;=0,"Đã thanh toán",IF($J47="","Thiếu ngày đến hạn",IF($J47&gt;='03_BAO_CAO'!$E$4,"Chưa đến hạn",IF($L47&lt;=30,"1-30 ngày",IF($L47&lt;=60,"31-60 ngày",IF($L47&lt;=90,"61-90 ngày","Trên 90 ngày")))))))</f>
        <v/>
      </c>
      <c r="N47" s="51">
        <f>IF($A47="","",IF(OR($B47="",$C47=""),"THIẾU THÔNG TIN",IF(AND($G47&gt;0,$H47&gt;0),"KHÔNG NHẬP ĐỒNG THỜI TĂNG/GIẢM",IF(AND($G47&lt;=0,$H47&lt;=0),"CHƯA NHẬP SỐ TIỀN",IF($D47="KHÔNG TÌM THẤY","MÃ KHÔNG HỢP LỆ",IF(AND($G47&gt;0,$J47=""),"THIẾU NGÀY ĐẾN HẠN","OK"))))))</f>
        <v/>
      </c>
    </row>
    <row r="48">
      <c r="A48" s="209" t="n"/>
      <c r="B48" s="47" t="n"/>
      <c r="C48" s="47" t="n"/>
      <c r="D48" s="51">
        <f>IF($C48="","",XLOOKUP($C48,'01_DANH_MUC'!$A$7:$A$206,'01_DANH_MUC'!$B$7:$B$206,"KHÔNG TÌM THẤY"))</f>
        <v/>
      </c>
      <c r="E48" s="51">
        <f>IF($C48="","",XLOOKUP($C48,'01_DANH_MUC'!$A$7:$A$206,'01_DANH_MUC'!$C$7:$C$206,"KHÔNG TÌM THẤY"))</f>
        <v/>
      </c>
      <c r="F48" s="57" t="n"/>
      <c r="G48" s="211" t="n"/>
      <c r="H48" s="211" t="n"/>
      <c r="I48" s="212">
        <f>IF($C48="","",XLOOKUP($C48,'01_DANH_MUC'!$A$7:$A$206,'01_DANH_MUC'!$E$7:$E$206,0))</f>
        <v/>
      </c>
      <c r="J48" s="213">
        <f>IF(OR($A48="",$C48="",$G48&lt;=0),"",$A48+$I48)</f>
        <v/>
      </c>
      <c r="K48" s="210">
        <f>IF($A48="","",IF(OR($C48="",$G48&lt;=0,$A48&gt;'03_BAO_CAO'!$E$4),0,MAX(0,$G48-MAX(0,SUMIFS($H$7:$H$506,$C$7:$C$506,$C48,$A$7:$A$506,"&lt;="&amp;'03_BAO_CAO'!$E$4)-XLOOKUP($C48,'01_DANH_MUC'!$A$7:$A$206,'01_DANH_MUC'!$F$7:$F$206,0)-SUMIFS($G$7:G47,$C$7:C47,$C48,$A$7:A47,"&lt;="&amp;'03_BAO_CAO'!$E$4)))))</f>
        <v/>
      </c>
      <c r="L48" s="212">
        <f>IF($A48="","",IF(OR($K48&lt;=0,$J48=""),0,MAX(0,'03_BAO_CAO'!$E$4-$J48)))</f>
        <v/>
      </c>
      <c r="M48" s="51">
        <f>IF($A48="","",IF($K48&lt;=0,"Đã thanh toán",IF($J48="","Thiếu ngày đến hạn",IF($J48&gt;='03_BAO_CAO'!$E$4,"Chưa đến hạn",IF($L48&lt;=30,"1-30 ngày",IF($L48&lt;=60,"31-60 ngày",IF($L48&lt;=90,"61-90 ngày","Trên 90 ngày")))))))</f>
        <v/>
      </c>
      <c r="N48" s="51">
        <f>IF($A48="","",IF(OR($B48="",$C48=""),"THIẾU THÔNG TIN",IF(AND($G48&gt;0,$H48&gt;0),"KHÔNG NHẬP ĐỒNG THỜI TĂNG/GIẢM",IF(AND($G48&lt;=0,$H48&lt;=0),"CHƯA NHẬP SỐ TIỀN",IF($D48="KHÔNG TÌM THẤY","MÃ KHÔNG HỢP LỆ",IF(AND($G48&gt;0,$J48=""),"THIẾU NGÀY ĐẾN HẠN","OK"))))))</f>
        <v/>
      </c>
    </row>
    <row r="49">
      <c r="A49" s="209" t="n"/>
      <c r="B49" s="47" t="n"/>
      <c r="C49" s="47" t="n"/>
      <c r="D49" s="51">
        <f>IF($C49="","",XLOOKUP($C49,'01_DANH_MUC'!$A$7:$A$206,'01_DANH_MUC'!$B$7:$B$206,"KHÔNG TÌM THẤY"))</f>
        <v/>
      </c>
      <c r="E49" s="51">
        <f>IF($C49="","",XLOOKUP($C49,'01_DANH_MUC'!$A$7:$A$206,'01_DANH_MUC'!$C$7:$C$206,"KHÔNG TÌM THẤY"))</f>
        <v/>
      </c>
      <c r="F49" s="57" t="n"/>
      <c r="G49" s="211" t="n"/>
      <c r="H49" s="211" t="n"/>
      <c r="I49" s="212">
        <f>IF($C49="","",XLOOKUP($C49,'01_DANH_MUC'!$A$7:$A$206,'01_DANH_MUC'!$E$7:$E$206,0))</f>
        <v/>
      </c>
      <c r="J49" s="213">
        <f>IF(OR($A49="",$C49="",$G49&lt;=0),"",$A49+$I49)</f>
        <v/>
      </c>
      <c r="K49" s="210">
        <f>IF($A49="","",IF(OR($C49="",$G49&lt;=0,$A49&gt;'03_BAO_CAO'!$E$4),0,MAX(0,$G49-MAX(0,SUMIFS($H$7:$H$506,$C$7:$C$506,$C49,$A$7:$A$506,"&lt;="&amp;'03_BAO_CAO'!$E$4)-XLOOKUP($C49,'01_DANH_MUC'!$A$7:$A$206,'01_DANH_MUC'!$F$7:$F$206,0)-SUMIFS($G$7:G48,$C$7:C48,$C49,$A$7:A48,"&lt;="&amp;'03_BAO_CAO'!$E$4)))))</f>
        <v/>
      </c>
      <c r="L49" s="212">
        <f>IF($A49="","",IF(OR($K49&lt;=0,$J49=""),0,MAX(0,'03_BAO_CAO'!$E$4-$J49)))</f>
        <v/>
      </c>
      <c r="M49" s="51">
        <f>IF($A49="","",IF($K49&lt;=0,"Đã thanh toán",IF($J49="","Thiếu ngày đến hạn",IF($J49&gt;='03_BAO_CAO'!$E$4,"Chưa đến hạn",IF($L49&lt;=30,"1-30 ngày",IF($L49&lt;=60,"31-60 ngày",IF($L49&lt;=90,"61-90 ngày","Trên 90 ngày")))))))</f>
        <v/>
      </c>
      <c r="N49" s="51">
        <f>IF($A49="","",IF(OR($B49="",$C49=""),"THIẾU THÔNG TIN",IF(AND($G49&gt;0,$H49&gt;0),"KHÔNG NHẬP ĐỒNG THỜI TĂNG/GIẢM",IF(AND($G49&lt;=0,$H49&lt;=0),"CHƯA NHẬP SỐ TIỀN",IF($D49="KHÔNG TÌM THẤY","MÃ KHÔNG HỢP LỆ",IF(AND($G49&gt;0,$J49=""),"THIẾU NGÀY ĐẾN HẠN","OK"))))))</f>
        <v/>
      </c>
    </row>
    <row r="50">
      <c r="A50" s="209" t="n"/>
      <c r="B50" s="47" t="n"/>
      <c r="C50" s="47" t="n"/>
      <c r="D50" s="51">
        <f>IF($C50="","",XLOOKUP($C50,'01_DANH_MUC'!$A$7:$A$206,'01_DANH_MUC'!$B$7:$B$206,"KHÔNG TÌM THẤY"))</f>
        <v/>
      </c>
      <c r="E50" s="51">
        <f>IF($C50="","",XLOOKUP($C50,'01_DANH_MUC'!$A$7:$A$206,'01_DANH_MUC'!$C$7:$C$206,"KHÔNG TÌM THẤY"))</f>
        <v/>
      </c>
      <c r="F50" s="57" t="n"/>
      <c r="G50" s="211" t="n"/>
      <c r="H50" s="211" t="n"/>
      <c r="I50" s="212">
        <f>IF($C50="","",XLOOKUP($C50,'01_DANH_MUC'!$A$7:$A$206,'01_DANH_MUC'!$E$7:$E$206,0))</f>
        <v/>
      </c>
      <c r="J50" s="213">
        <f>IF(OR($A50="",$C50="",$G50&lt;=0),"",$A50+$I50)</f>
        <v/>
      </c>
      <c r="K50" s="210">
        <f>IF($A50="","",IF(OR($C50="",$G50&lt;=0,$A50&gt;'03_BAO_CAO'!$E$4),0,MAX(0,$G50-MAX(0,SUMIFS($H$7:$H$506,$C$7:$C$506,$C50,$A$7:$A$506,"&lt;="&amp;'03_BAO_CAO'!$E$4)-XLOOKUP($C50,'01_DANH_MUC'!$A$7:$A$206,'01_DANH_MUC'!$F$7:$F$206,0)-SUMIFS($G$7:G49,$C$7:C49,$C50,$A$7:A49,"&lt;="&amp;'03_BAO_CAO'!$E$4)))))</f>
        <v/>
      </c>
      <c r="L50" s="212">
        <f>IF($A50="","",IF(OR($K50&lt;=0,$J50=""),0,MAX(0,'03_BAO_CAO'!$E$4-$J50)))</f>
        <v/>
      </c>
      <c r="M50" s="51">
        <f>IF($A50="","",IF($K50&lt;=0,"Đã thanh toán",IF($J50="","Thiếu ngày đến hạn",IF($J50&gt;='03_BAO_CAO'!$E$4,"Chưa đến hạn",IF($L50&lt;=30,"1-30 ngày",IF($L50&lt;=60,"31-60 ngày",IF($L50&lt;=90,"61-90 ngày","Trên 90 ngày")))))))</f>
        <v/>
      </c>
      <c r="N50" s="51">
        <f>IF($A50="","",IF(OR($B50="",$C50=""),"THIẾU THÔNG TIN",IF(AND($G50&gt;0,$H50&gt;0),"KHÔNG NHẬP ĐỒNG THỜI TĂNG/GIẢM",IF(AND($G50&lt;=0,$H50&lt;=0),"CHƯA NHẬP SỐ TIỀN",IF($D50="KHÔNG TÌM THẤY","MÃ KHÔNG HỢP LỆ",IF(AND($G50&gt;0,$J50=""),"THIẾU NGÀY ĐẾN HẠN","OK"))))))</f>
        <v/>
      </c>
    </row>
    <row r="51">
      <c r="A51" s="209" t="n"/>
      <c r="B51" s="47" t="n"/>
      <c r="C51" s="47" t="n"/>
      <c r="D51" s="51">
        <f>IF($C51="","",XLOOKUP($C51,'01_DANH_MUC'!$A$7:$A$206,'01_DANH_MUC'!$B$7:$B$206,"KHÔNG TÌM THẤY"))</f>
        <v/>
      </c>
      <c r="E51" s="51">
        <f>IF($C51="","",XLOOKUP($C51,'01_DANH_MUC'!$A$7:$A$206,'01_DANH_MUC'!$C$7:$C$206,"KHÔNG TÌM THẤY"))</f>
        <v/>
      </c>
      <c r="F51" s="57" t="n"/>
      <c r="G51" s="211" t="n"/>
      <c r="H51" s="211" t="n"/>
      <c r="I51" s="212">
        <f>IF($C51="","",XLOOKUP($C51,'01_DANH_MUC'!$A$7:$A$206,'01_DANH_MUC'!$E$7:$E$206,0))</f>
        <v/>
      </c>
      <c r="J51" s="213">
        <f>IF(OR($A51="",$C51="",$G51&lt;=0),"",$A51+$I51)</f>
        <v/>
      </c>
      <c r="K51" s="210">
        <f>IF($A51="","",IF(OR($C51="",$G51&lt;=0,$A51&gt;'03_BAO_CAO'!$E$4),0,MAX(0,$G51-MAX(0,SUMIFS($H$7:$H$506,$C$7:$C$506,$C51,$A$7:$A$506,"&lt;="&amp;'03_BAO_CAO'!$E$4)-XLOOKUP($C51,'01_DANH_MUC'!$A$7:$A$206,'01_DANH_MUC'!$F$7:$F$206,0)-SUMIFS($G$7:G50,$C$7:C50,$C51,$A$7:A50,"&lt;="&amp;'03_BAO_CAO'!$E$4)))))</f>
        <v/>
      </c>
      <c r="L51" s="212">
        <f>IF($A51="","",IF(OR($K51&lt;=0,$J51=""),0,MAX(0,'03_BAO_CAO'!$E$4-$J51)))</f>
        <v/>
      </c>
      <c r="M51" s="51">
        <f>IF($A51="","",IF($K51&lt;=0,"Đã thanh toán",IF($J51="","Thiếu ngày đến hạn",IF($J51&gt;='03_BAO_CAO'!$E$4,"Chưa đến hạn",IF($L51&lt;=30,"1-30 ngày",IF($L51&lt;=60,"31-60 ngày",IF($L51&lt;=90,"61-90 ngày","Trên 90 ngày")))))))</f>
        <v/>
      </c>
      <c r="N51" s="51">
        <f>IF($A51="","",IF(OR($B51="",$C51=""),"THIẾU THÔNG TIN",IF(AND($G51&gt;0,$H51&gt;0),"KHÔNG NHẬP ĐỒNG THỜI TĂNG/GIẢM",IF(AND($G51&lt;=0,$H51&lt;=0),"CHƯA NHẬP SỐ TIỀN",IF($D51="KHÔNG TÌM THẤY","MÃ KHÔNG HỢP LỆ",IF(AND($G51&gt;0,$J51=""),"THIẾU NGÀY ĐẾN HẠN","OK"))))))</f>
        <v/>
      </c>
    </row>
    <row r="52">
      <c r="A52" s="209" t="n"/>
      <c r="B52" s="47" t="n"/>
      <c r="C52" s="47" t="n"/>
      <c r="D52" s="51">
        <f>IF($C52="","",XLOOKUP($C52,'01_DANH_MUC'!$A$7:$A$206,'01_DANH_MUC'!$B$7:$B$206,"KHÔNG TÌM THẤY"))</f>
        <v/>
      </c>
      <c r="E52" s="51">
        <f>IF($C52="","",XLOOKUP($C52,'01_DANH_MUC'!$A$7:$A$206,'01_DANH_MUC'!$C$7:$C$206,"KHÔNG TÌM THẤY"))</f>
        <v/>
      </c>
      <c r="F52" s="57" t="n"/>
      <c r="G52" s="211" t="n"/>
      <c r="H52" s="211" t="n"/>
      <c r="I52" s="212">
        <f>IF($C52="","",XLOOKUP($C52,'01_DANH_MUC'!$A$7:$A$206,'01_DANH_MUC'!$E$7:$E$206,0))</f>
        <v/>
      </c>
      <c r="J52" s="213">
        <f>IF(OR($A52="",$C52="",$G52&lt;=0),"",$A52+$I52)</f>
        <v/>
      </c>
      <c r="K52" s="210">
        <f>IF($A52="","",IF(OR($C52="",$G52&lt;=0,$A52&gt;'03_BAO_CAO'!$E$4),0,MAX(0,$G52-MAX(0,SUMIFS($H$7:$H$506,$C$7:$C$506,$C52,$A$7:$A$506,"&lt;="&amp;'03_BAO_CAO'!$E$4)-XLOOKUP($C52,'01_DANH_MUC'!$A$7:$A$206,'01_DANH_MUC'!$F$7:$F$206,0)-SUMIFS($G$7:G51,$C$7:C51,$C52,$A$7:A51,"&lt;="&amp;'03_BAO_CAO'!$E$4)))))</f>
        <v/>
      </c>
      <c r="L52" s="212">
        <f>IF($A52="","",IF(OR($K52&lt;=0,$J52=""),0,MAX(0,'03_BAO_CAO'!$E$4-$J52)))</f>
        <v/>
      </c>
      <c r="M52" s="51">
        <f>IF($A52="","",IF($K52&lt;=0,"Đã thanh toán",IF($J52="","Thiếu ngày đến hạn",IF($J52&gt;='03_BAO_CAO'!$E$4,"Chưa đến hạn",IF($L52&lt;=30,"1-30 ngày",IF($L52&lt;=60,"31-60 ngày",IF($L52&lt;=90,"61-90 ngày","Trên 90 ngày")))))))</f>
        <v/>
      </c>
      <c r="N52" s="51">
        <f>IF($A52="","",IF(OR($B52="",$C52=""),"THIẾU THÔNG TIN",IF(AND($G52&gt;0,$H52&gt;0),"KHÔNG NHẬP ĐỒNG THỜI TĂNG/GIẢM",IF(AND($G52&lt;=0,$H52&lt;=0),"CHƯA NHẬP SỐ TIỀN",IF($D52="KHÔNG TÌM THẤY","MÃ KHÔNG HỢP LỆ",IF(AND($G52&gt;0,$J52=""),"THIẾU NGÀY ĐẾN HẠN","OK"))))))</f>
        <v/>
      </c>
    </row>
    <row r="53">
      <c r="A53" s="209" t="n"/>
      <c r="B53" s="47" t="n"/>
      <c r="C53" s="47" t="n"/>
      <c r="D53" s="51">
        <f>IF($C53="","",XLOOKUP($C53,'01_DANH_MUC'!$A$7:$A$206,'01_DANH_MUC'!$B$7:$B$206,"KHÔNG TÌM THẤY"))</f>
        <v/>
      </c>
      <c r="E53" s="51">
        <f>IF($C53="","",XLOOKUP($C53,'01_DANH_MUC'!$A$7:$A$206,'01_DANH_MUC'!$C$7:$C$206,"KHÔNG TÌM THẤY"))</f>
        <v/>
      </c>
      <c r="F53" s="57" t="n"/>
      <c r="G53" s="211" t="n"/>
      <c r="H53" s="211" t="n"/>
      <c r="I53" s="212">
        <f>IF($C53="","",XLOOKUP($C53,'01_DANH_MUC'!$A$7:$A$206,'01_DANH_MUC'!$E$7:$E$206,0))</f>
        <v/>
      </c>
      <c r="J53" s="213">
        <f>IF(OR($A53="",$C53="",$G53&lt;=0),"",$A53+$I53)</f>
        <v/>
      </c>
      <c r="K53" s="210">
        <f>IF($A53="","",IF(OR($C53="",$G53&lt;=0,$A53&gt;'03_BAO_CAO'!$E$4),0,MAX(0,$G53-MAX(0,SUMIFS($H$7:$H$506,$C$7:$C$506,$C53,$A$7:$A$506,"&lt;="&amp;'03_BAO_CAO'!$E$4)-XLOOKUP($C53,'01_DANH_MUC'!$A$7:$A$206,'01_DANH_MUC'!$F$7:$F$206,0)-SUMIFS($G$7:G52,$C$7:C52,$C53,$A$7:A52,"&lt;="&amp;'03_BAO_CAO'!$E$4)))))</f>
        <v/>
      </c>
      <c r="L53" s="212">
        <f>IF($A53="","",IF(OR($K53&lt;=0,$J53=""),0,MAX(0,'03_BAO_CAO'!$E$4-$J53)))</f>
        <v/>
      </c>
      <c r="M53" s="51">
        <f>IF($A53="","",IF($K53&lt;=0,"Đã thanh toán",IF($J53="","Thiếu ngày đến hạn",IF($J53&gt;='03_BAO_CAO'!$E$4,"Chưa đến hạn",IF($L53&lt;=30,"1-30 ngày",IF($L53&lt;=60,"31-60 ngày",IF($L53&lt;=90,"61-90 ngày","Trên 90 ngày")))))))</f>
        <v/>
      </c>
      <c r="N53" s="51">
        <f>IF($A53="","",IF(OR($B53="",$C53=""),"THIẾU THÔNG TIN",IF(AND($G53&gt;0,$H53&gt;0),"KHÔNG NHẬP ĐỒNG THỜI TĂNG/GIẢM",IF(AND($G53&lt;=0,$H53&lt;=0),"CHƯA NHẬP SỐ TIỀN",IF($D53="KHÔNG TÌM THẤY","MÃ KHÔNG HỢP LỆ",IF(AND($G53&gt;0,$J53=""),"THIẾU NGÀY ĐẾN HẠN","OK"))))))</f>
        <v/>
      </c>
    </row>
    <row r="54">
      <c r="A54" s="209" t="n"/>
      <c r="B54" s="47" t="n"/>
      <c r="C54" s="47" t="n"/>
      <c r="D54" s="51">
        <f>IF($C54="","",XLOOKUP($C54,'01_DANH_MUC'!$A$7:$A$206,'01_DANH_MUC'!$B$7:$B$206,"KHÔNG TÌM THẤY"))</f>
        <v/>
      </c>
      <c r="E54" s="51">
        <f>IF($C54="","",XLOOKUP($C54,'01_DANH_MUC'!$A$7:$A$206,'01_DANH_MUC'!$C$7:$C$206,"KHÔNG TÌM THẤY"))</f>
        <v/>
      </c>
      <c r="F54" s="57" t="n"/>
      <c r="G54" s="211" t="n"/>
      <c r="H54" s="211" t="n"/>
      <c r="I54" s="212">
        <f>IF($C54="","",XLOOKUP($C54,'01_DANH_MUC'!$A$7:$A$206,'01_DANH_MUC'!$E$7:$E$206,0))</f>
        <v/>
      </c>
      <c r="J54" s="213">
        <f>IF(OR($A54="",$C54="",$G54&lt;=0),"",$A54+$I54)</f>
        <v/>
      </c>
      <c r="K54" s="210">
        <f>IF($A54="","",IF(OR($C54="",$G54&lt;=0,$A54&gt;'03_BAO_CAO'!$E$4),0,MAX(0,$G54-MAX(0,SUMIFS($H$7:$H$506,$C$7:$C$506,$C54,$A$7:$A$506,"&lt;="&amp;'03_BAO_CAO'!$E$4)-XLOOKUP($C54,'01_DANH_MUC'!$A$7:$A$206,'01_DANH_MUC'!$F$7:$F$206,0)-SUMIFS($G$7:G53,$C$7:C53,$C54,$A$7:A53,"&lt;="&amp;'03_BAO_CAO'!$E$4)))))</f>
        <v/>
      </c>
      <c r="L54" s="212">
        <f>IF($A54="","",IF(OR($K54&lt;=0,$J54=""),0,MAX(0,'03_BAO_CAO'!$E$4-$J54)))</f>
        <v/>
      </c>
      <c r="M54" s="51">
        <f>IF($A54="","",IF($K54&lt;=0,"Đã thanh toán",IF($J54="","Thiếu ngày đến hạn",IF($J54&gt;='03_BAO_CAO'!$E$4,"Chưa đến hạn",IF($L54&lt;=30,"1-30 ngày",IF($L54&lt;=60,"31-60 ngày",IF($L54&lt;=90,"61-90 ngày","Trên 90 ngày")))))))</f>
        <v/>
      </c>
      <c r="N54" s="51">
        <f>IF($A54="","",IF(OR($B54="",$C54=""),"THIẾU THÔNG TIN",IF(AND($G54&gt;0,$H54&gt;0),"KHÔNG NHẬP ĐỒNG THỜI TĂNG/GIẢM",IF(AND($G54&lt;=0,$H54&lt;=0),"CHƯA NHẬP SỐ TIỀN",IF($D54="KHÔNG TÌM THẤY","MÃ KHÔNG HỢP LỆ",IF(AND($G54&gt;0,$J54=""),"THIẾU NGÀY ĐẾN HẠN","OK"))))))</f>
        <v/>
      </c>
    </row>
    <row r="55">
      <c r="A55" s="209" t="n"/>
      <c r="B55" s="47" t="n"/>
      <c r="C55" s="47" t="n"/>
      <c r="D55" s="51">
        <f>IF($C55="","",XLOOKUP($C55,'01_DANH_MUC'!$A$7:$A$206,'01_DANH_MUC'!$B$7:$B$206,"KHÔNG TÌM THẤY"))</f>
        <v/>
      </c>
      <c r="E55" s="51">
        <f>IF($C55="","",XLOOKUP($C55,'01_DANH_MUC'!$A$7:$A$206,'01_DANH_MUC'!$C$7:$C$206,"KHÔNG TÌM THẤY"))</f>
        <v/>
      </c>
      <c r="F55" s="57" t="n"/>
      <c r="G55" s="211" t="n"/>
      <c r="H55" s="211" t="n"/>
      <c r="I55" s="212">
        <f>IF($C55="","",XLOOKUP($C55,'01_DANH_MUC'!$A$7:$A$206,'01_DANH_MUC'!$E$7:$E$206,0))</f>
        <v/>
      </c>
      <c r="J55" s="213">
        <f>IF(OR($A55="",$C55="",$G55&lt;=0),"",$A55+$I55)</f>
        <v/>
      </c>
      <c r="K55" s="210">
        <f>IF($A55="","",IF(OR($C55="",$G55&lt;=0,$A55&gt;'03_BAO_CAO'!$E$4),0,MAX(0,$G55-MAX(0,SUMIFS($H$7:$H$506,$C$7:$C$506,$C55,$A$7:$A$506,"&lt;="&amp;'03_BAO_CAO'!$E$4)-XLOOKUP($C55,'01_DANH_MUC'!$A$7:$A$206,'01_DANH_MUC'!$F$7:$F$206,0)-SUMIFS($G$7:G54,$C$7:C54,$C55,$A$7:A54,"&lt;="&amp;'03_BAO_CAO'!$E$4)))))</f>
        <v/>
      </c>
      <c r="L55" s="212">
        <f>IF($A55="","",IF(OR($K55&lt;=0,$J55=""),0,MAX(0,'03_BAO_CAO'!$E$4-$J55)))</f>
        <v/>
      </c>
      <c r="M55" s="51">
        <f>IF($A55="","",IF($K55&lt;=0,"Đã thanh toán",IF($J55="","Thiếu ngày đến hạn",IF($J55&gt;='03_BAO_CAO'!$E$4,"Chưa đến hạn",IF($L55&lt;=30,"1-30 ngày",IF($L55&lt;=60,"31-60 ngày",IF($L55&lt;=90,"61-90 ngày","Trên 90 ngày")))))))</f>
        <v/>
      </c>
      <c r="N55" s="51">
        <f>IF($A55="","",IF(OR($B55="",$C55=""),"THIẾU THÔNG TIN",IF(AND($G55&gt;0,$H55&gt;0),"KHÔNG NHẬP ĐỒNG THỜI TĂNG/GIẢM",IF(AND($G55&lt;=0,$H55&lt;=0),"CHƯA NHẬP SỐ TIỀN",IF($D55="KHÔNG TÌM THẤY","MÃ KHÔNG HỢP LỆ",IF(AND($G55&gt;0,$J55=""),"THIẾU NGÀY ĐẾN HẠN","OK"))))))</f>
        <v/>
      </c>
    </row>
    <row r="56">
      <c r="A56" s="209" t="n"/>
      <c r="B56" s="47" t="n"/>
      <c r="C56" s="47" t="n"/>
      <c r="D56" s="51">
        <f>IF($C56="","",XLOOKUP($C56,'01_DANH_MUC'!$A$7:$A$206,'01_DANH_MUC'!$B$7:$B$206,"KHÔNG TÌM THẤY"))</f>
        <v/>
      </c>
      <c r="E56" s="51">
        <f>IF($C56="","",XLOOKUP($C56,'01_DANH_MUC'!$A$7:$A$206,'01_DANH_MUC'!$C$7:$C$206,"KHÔNG TÌM THẤY"))</f>
        <v/>
      </c>
      <c r="F56" s="57" t="n"/>
      <c r="G56" s="211" t="n"/>
      <c r="H56" s="211" t="n"/>
      <c r="I56" s="212">
        <f>IF($C56="","",XLOOKUP($C56,'01_DANH_MUC'!$A$7:$A$206,'01_DANH_MUC'!$E$7:$E$206,0))</f>
        <v/>
      </c>
      <c r="J56" s="213">
        <f>IF(OR($A56="",$C56="",$G56&lt;=0),"",$A56+$I56)</f>
        <v/>
      </c>
      <c r="K56" s="210">
        <f>IF($A56="","",IF(OR($C56="",$G56&lt;=0,$A56&gt;'03_BAO_CAO'!$E$4),0,MAX(0,$G56-MAX(0,SUMIFS($H$7:$H$506,$C$7:$C$506,$C56,$A$7:$A$506,"&lt;="&amp;'03_BAO_CAO'!$E$4)-XLOOKUP($C56,'01_DANH_MUC'!$A$7:$A$206,'01_DANH_MUC'!$F$7:$F$206,0)-SUMIFS($G$7:G55,$C$7:C55,$C56,$A$7:A55,"&lt;="&amp;'03_BAO_CAO'!$E$4)))))</f>
        <v/>
      </c>
      <c r="L56" s="212">
        <f>IF($A56="","",IF(OR($K56&lt;=0,$J56=""),0,MAX(0,'03_BAO_CAO'!$E$4-$J56)))</f>
        <v/>
      </c>
      <c r="M56" s="51">
        <f>IF($A56="","",IF($K56&lt;=0,"Đã thanh toán",IF($J56="","Thiếu ngày đến hạn",IF($J56&gt;='03_BAO_CAO'!$E$4,"Chưa đến hạn",IF($L56&lt;=30,"1-30 ngày",IF($L56&lt;=60,"31-60 ngày",IF($L56&lt;=90,"61-90 ngày","Trên 90 ngày")))))))</f>
        <v/>
      </c>
      <c r="N56" s="51">
        <f>IF($A56="","",IF(OR($B56="",$C56=""),"THIẾU THÔNG TIN",IF(AND($G56&gt;0,$H56&gt;0),"KHÔNG NHẬP ĐỒNG THỜI TĂNG/GIẢM",IF(AND($G56&lt;=0,$H56&lt;=0),"CHƯA NHẬP SỐ TIỀN",IF($D56="KHÔNG TÌM THẤY","MÃ KHÔNG HỢP LỆ",IF(AND($G56&gt;0,$J56=""),"THIẾU NGÀY ĐẾN HẠN","OK"))))))</f>
        <v/>
      </c>
    </row>
    <row r="57">
      <c r="A57" s="209" t="n"/>
      <c r="B57" s="47" t="n"/>
      <c r="C57" s="47" t="n"/>
      <c r="D57" s="51">
        <f>IF($C57="","",XLOOKUP($C57,'01_DANH_MUC'!$A$7:$A$206,'01_DANH_MUC'!$B$7:$B$206,"KHÔNG TÌM THẤY"))</f>
        <v/>
      </c>
      <c r="E57" s="51">
        <f>IF($C57="","",XLOOKUP($C57,'01_DANH_MUC'!$A$7:$A$206,'01_DANH_MUC'!$C$7:$C$206,"KHÔNG TÌM THẤY"))</f>
        <v/>
      </c>
      <c r="F57" s="57" t="n"/>
      <c r="G57" s="211" t="n"/>
      <c r="H57" s="211" t="n"/>
      <c r="I57" s="212">
        <f>IF($C57="","",XLOOKUP($C57,'01_DANH_MUC'!$A$7:$A$206,'01_DANH_MUC'!$E$7:$E$206,0))</f>
        <v/>
      </c>
      <c r="J57" s="213">
        <f>IF(OR($A57="",$C57="",$G57&lt;=0),"",$A57+$I57)</f>
        <v/>
      </c>
      <c r="K57" s="210">
        <f>IF($A57="","",IF(OR($C57="",$G57&lt;=0,$A57&gt;'03_BAO_CAO'!$E$4),0,MAX(0,$G57-MAX(0,SUMIFS($H$7:$H$506,$C$7:$C$506,$C57,$A$7:$A$506,"&lt;="&amp;'03_BAO_CAO'!$E$4)-XLOOKUP($C57,'01_DANH_MUC'!$A$7:$A$206,'01_DANH_MUC'!$F$7:$F$206,0)-SUMIFS($G$7:G56,$C$7:C56,$C57,$A$7:A56,"&lt;="&amp;'03_BAO_CAO'!$E$4)))))</f>
        <v/>
      </c>
      <c r="L57" s="212">
        <f>IF($A57="","",IF(OR($K57&lt;=0,$J57=""),0,MAX(0,'03_BAO_CAO'!$E$4-$J57)))</f>
        <v/>
      </c>
      <c r="M57" s="51">
        <f>IF($A57="","",IF($K57&lt;=0,"Đã thanh toán",IF($J57="","Thiếu ngày đến hạn",IF($J57&gt;='03_BAO_CAO'!$E$4,"Chưa đến hạn",IF($L57&lt;=30,"1-30 ngày",IF($L57&lt;=60,"31-60 ngày",IF($L57&lt;=90,"61-90 ngày","Trên 90 ngày")))))))</f>
        <v/>
      </c>
      <c r="N57" s="51">
        <f>IF($A57="","",IF(OR($B57="",$C57=""),"THIẾU THÔNG TIN",IF(AND($G57&gt;0,$H57&gt;0),"KHÔNG NHẬP ĐỒNG THỜI TĂNG/GIẢM",IF(AND($G57&lt;=0,$H57&lt;=0),"CHƯA NHẬP SỐ TIỀN",IF($D57="KHÔNG TÌM THẤY","MÃ KHÔNG HỢP LỆ",IF(AND($G57&gt;0,$J57=""),"THIẾU NGÀY ĐẾN HẠN","OK"))))))</f>
        <v/>
      </c>
    </row>
    <row r="58">
      <c r="A58" s="209" t="n"/>
      <c r="B58" s="47" t="n"/>
      <c r="C58" s="47" t="n"/>
      <c r="D58" s="51">
        <f>IF($C58="","",XLOOKUP($C58,'01_DANH_MUC'!$A$7:$A$206,'01_DANH_MUC'!$B$7:$B$206,"KHÔNG TÌM THẤY"))</f>
        <v/>
      </c>
      <c r="E58" s="51">
        <f>IF($C58="","",XLOOKUP($C58,'01_DANH_MUC'!$A$7:$A$206,'01_DANH_MUC'!$C$7:$C$206,"KHÔNG TÌM THẤY"))</f>
        <v/>
      </c>
      <c r="F58" s="57" t="n"/>
      <c r="G58" s="211" t="n"/>
      <c r="H58" s="211" t="n"/>
      <c r="I58" s="212">
        <f>IF($C58="","",XLOOKUP($C58,'01_DANH_MUC'!$A$7:$A$206,'01_DANH_MUC'!$E$7:$E$206,0))</f>
        <v/>
      </c>
      <c r="J58" s="213">
        <f>IF(OR($A58="",$C58="",$G58&lt;=0),"",$A58+$I58)</f>
        <v/>
      </c>
      <c r="K58" s="210">
        <f>IF($A58="","",IF(OR($C58="",$G58&lt;=0,$A58&gt;'03_BAO_CAO'!$E$4),0,MAX(0,$G58-MAX(0,SUMIFS($H$7:$H$506,$C$7:$C$506,$C58,$A$7:$A$506,"&lt;="&amp;'03_BAO_CAO'!$E$4)-XLOOKUP($C58,'01_DANH_MUC'!$A$7:$A$206,'01_DANH_MUC'!$F$7:$F$206,0)-SUMIFS($G$7:G57,$C$7:C57,$C58,$A$7:A57,"&lt;="&amp;'03_BAO_CAO'!$E$4)))))</f>
        <v/>
      </c>
      <c r="L58" s="212">
        <f>IF($A58="","",IF(OR($K58&lt;=0,$J58=""),0,MAX(0,'03_BAO_CAO'!$E$4-$J58)))</f>
        <v/>
      </c>
      <c r="M58" s="51">
        <f>IF($A58="","",IF($K58&lt;=0,"Đã thanh toán",IF($J58="","Thiếu ngày đến hạn",IF($J58&gt;='03_BAO_CAO'!$E$4,"Chưa đến hạn",IF($L58&lt;=30,"1-30 ngày",IF($L58&lt;=60,"31-60 ngày",IF($L58&lt;=90,"61-90 ngày","Trên 90 ngày")))))))</f>
        <v/>
      </c>
      <c r="N58" s="51">
        <f>IF($A58="","",IF(OR($B58="",$C58=""),"THIẾU THÔNG TIN",IF(AND($G58&gt;0,$H58&gt;0),"KHÔNG NHẬP ĐỒNG THỜI TĂNG/GIẢM",IF(AND($G58&lt;=0,$H58&lt;=0),"CHƯA NHẬP SỐ TIỀN",IF($D58="KHÔNG TÌM THẤY","MÃ KHÔNG HỢP LỆ",IF(AND($G58&gt;0,$J58=""),"THIẾU NGÀY ĐẾN HẠN","OK"))))))</f>
        <v/>
      </c>
    </row>
    <row r="59">
      <c r="A59" s="209" t="n"/>
      <c r="B59" s="47" t="n"/>
      <c r="C59" s="47" t="n"/>
      <c r="D59" s="51">
        <f>IF($C59="","",XLOOKUP($C59,'01_DANH_MUC'!$A$7:$A$206,'01_DANH_MUC'!$B$7:$B$206,"KHÔNG TÌM THẤY"))</f>
        <v/>
      </c>
      <c r="E59" s="51">
        <f>IF($C59="","",XLOOKUP($C59,'01_DANH_MUC'!$A$7:$A$206,'01_DANH_MUC'!$C$7:$C$206,"KHÔNG TÌM THẤY"))</f>
        <v/>
      </c>
      <c r="F59" s="57" t="n"/>
      <c r="G59" s="211" t="n"/>
      <c r="H59" s="211" t="n"/>
      <c r="I59" s="212">
        <f>IF($C59="","",XLOOKUP($C59,'01_DANH_MUC'!$A$7:$A$206,'01_DANH_MUC'!$E$7:$E$206,0))</f>
        <v/>
      </c>
      <c r="J59" s="213">
        <f>IF(OR($A59="",$C59="",$G59&lt;=0),"",$A59+$I59)</f>
        <v/>
      </c>
      <c r="K59" s="210">
        <f>IF($A59="","",IF(OR($C59="",$G59&lt;=0,$A59&gt;'03_BAO_CAO'!$E$4),0,MAX(0,$G59-MAX(0,SUMIFS($H$7:$H$506,$C$7:$C$506,$C59,$A$7:$A$506,"&lt;="&amp;'03_BAO_CAO'!$E$4)-XLOOKUP($C59,'01_DANH_MUC'!$A$7:$A$206,'01_DANH_MUC'!$F$7:$F$206,0)-SUMIFS($G$7:G58,$C$7:C58,$C59,$A$7:A58,"&lt;="&amp;'03_BAO_CAO'!$E$4)))))</f>
        <v/>
      </c>
      <c r="L59" s="212">
        <f>IF($A59="","",IF(OR($K59&lt;=0,$J59=""),0,MAX(0,'03_BAO_CAO'!$E$4-$J59)))</f>
        <v/>
      </c>
      <c r="M59" s="51">
        <f>IF($A59="","",IF($K59&lt;=0,"Đã thanh toán",IF($J59="","Thiếu ngày đến hạn",IF($J59&gt;='03_BAO_CAO'!$E$4,"Chưa đến hạn",IF($L59&lt;=30,"1-30 ngày",IF($L59&lt;=60,"31-60 ngày",IF($L59&lt;=90,"61-90 ngày","Trên 90 ngày")))))))</f>
        <v/>
      </c>
      <c r="N59" s="51">
        <f>IF($A59="","",IF(OR($B59="",$C59=""),"THIẾU THÔNG TIN",IF(AND($G59&gt;0,$H59&gt;0),"KHÔNG NHẬP ĐỒNG THỜI TĂNG/GIẢM",IF(AND($G59&lt;=0,$H59&lt;=0),"CHƯA NHẬP SỐ TIỀN",IF($D59="KHÔNG TÌM THẤY","MÃ KHÔNG HỢP LỆ",IF(AND($G59&gt;0,$J59=""),"THIẾU NGÀY ĐẾN HẠN","OK"))))))</f>
        <v/>
      </c>
    </row>
    <row r="60">
      <c r="A60" s="209" t="n"/>
      <c r="B60" s="47" t="n"/>
      <c r="C60" s="47" t="n"/>
      <c r="D60" s="51">
        <f>IF($C60="","",XLOOKUP($C60,'01_DANH_MUC'!$A$7:$A$206,'01_DANH_MUC'!$B$7:$B$206,"KHÔNG TÌM THẤY"))</f>
        <v/>
      </c>
      <c r="E60" s="51">
        <f>IF($C60="","",XLOOKUP($C60,'01_DANH_MUC'!$A$7:$A$206,'01_DANH_MUC'!$C$7:$C$206,"KHÔNG TÌM THẤY"))</f>
        <v/>
      </c>
      <c r="F60" s="57" t="n"/>
      <c r="G60" s="211" t="n"/>
      <c r="H60" s="211" t="n"/>
      <c r="I60" s="212">
        <f>IF($C60="","",XLOOKUP($C60,'01_DANH_MUC'!$A$7:$A$206,'01_DANH_MUC'!$E$7:$E$206,0))</f>
        <v/>
      </c>
      <c r="J60" s="213">
        <f>IF(OR($A60="",$C60="",$G60&lt;=0),"",$A60+$I60)</f>
        <v/>
      </c>
      <c r="K60" s="210">
        <f>IF($A60="","",IF(OR($C60="",$G60&lt;=0,$A60&gt;'03_BAO_CAO'!$E$4),0,MAX(0,$G60-MAX(0,SUMIFS($H$7:$H$506,$C$7:$C$506,$C60,$A$7:$A$506,"&lt;="&amp;'03_BAO_CAO'!$E$4)-XLOOKUP($C60,'01_DANH_MUC'!$A$7:$A$206,'01_DANH_MUC'!$F$7:$F$206,0)-SUMIFS($G$7:G59,$C$7:C59,$C60,$A$7:A59,"&lt;="&amp;'03_BAO_CAO'!$E$4)))))</f>
        <v/>
      </c>
      <c r="L60" s="212">
        <f>IF($A60="","",IF(OR($K60&lt;=0,$J60=""),0,MAX(0,'03_BAO_CAO'!$E$4-$J60)))</f>
        <v/>
      </c>
      <c r="M60" s="51">
        <f>IF($A60="","",IF($K60&lt;=0,"Đã thanh toán",IF($J60="","Thiếu ngày đến hạn",IF($J60&gt;='03_BAO_CAO'!$E$4,"Chưa đến hạn",IF($L60&lt;=30,"1-30 ngày",IF($L60&lt;=60,"31-60 ngày",IF($L60&lt;=90,"61-90 ngày","Trên 90 ngày")))))))</f>
        <v/>
      </c>
      <c r="N60" s="51">
        <f>IF($A60="","",IF(OR($B60="",$C60=""),"THIẾU THÔNG TIN",IF(AND($G60&gt;0,$H60&gt;0),"KHÔNG NHẬP ĐỒNG THỜI TĂNG/GIẢM",IF(AND($G60&lt;=0,$H60&lt;=0),"CHƯA NHẬP SỐ TIỀN",IF($D60="KHÔNG TÌM THẤY","MÃ KHÔNG HỢP LỆ",IF(AND($G60&gt;0,$J60=""),"THIẾU NGÀY ĐẾN HẠN","OK"))))))</f>
        <v/>
      </c>
    </row>
    <row r="61">
      <c r="A61" s="209" t="n"/>
      <c r="B61" s="47" t="n"/>
      <c r="C61" s="47" t="n"/>
      <c r="D61" s="51">
        <f>IF($C61="","",XLOOKUP($C61,'01_DANH_MUC'!$A$7:$A$206,'01_DANH_MUC'!$B$7:$B$206,"KHÔNG TÌM THẤY"))</f>
        <v/>
      </c>
      <c r="E61" s="51">
        <f>IF($C61="","",XLOOKUP($C61,'01_DANH_MUC'!$A$7:$A$206,'01_DANH_MUC'!$C$7:$C$206,"KHÔNG TÌM THẤY"))</f>
        <v/>
      </c>
      <c r="F61" s="57" t="n"/>
      <c r="G61" s="211" t="n"/>
      <c r="H61" s="211" t="n"/>
      <c r="I61" s="212">
        <f>IF($C61="","",XLOOKUP($C61,'01_DANH_MUC'!$A$7:$A$206,'01_DANH_MUC'!$E$7:$E$206,0))</f>
        <v/>
      </c>
      <c r="J61" s="213">
        <f>IF(OR($A61="",$C61="",$G61&lt;=0),"",$A61+$I61)</f>
        <v/>
      </c>
      <c r="K61" s="210">
        <f>IF($A61="","",IF(OR($C61="",$G61&lt;=0,$A61&gt;'03_BAO_CAO'!$E$4),0,MAX(0,$G61-MAX(0,SUMIFS($H$7:$H$506,$C$7:$C$506,$C61,$A$7:$A$506,"&lt;="&amp;'03_BAO_CAO'!$E$4)-XLOOKUP($C61,'01_DANH_MUC'!$A$7:$A$206,'01_DANH_MUC'!$F$7:$F$206,0)-SUMIFS($G$7:G60,$C$7:C60,$C61,$A$7:A60,"&lt;="&amp;'03_BAO_CAO'!$E$4)))))</f>
        <v/>
      </c>
      <c r="L61" s="212">
        <f>IF($A61="","",IF(OR($K61&lt;=0,$J61=""),0,MAX(0,'03_BAO_CAO'!$E$4-$J61)))</f>
        <v/>
      </c>
      <c r="M61" s="51">
        <f>IF($A61="","",IF($K61&lt;=0,"Đã thanh toán",IF($J61="","Thiếu ngày đến hạn",IF($J61&gt;='03_BAO_CAO'!$E$4,"Chưa đến hạn",IF($L61&lt;=30,"1-30 ngày",IF($L61&lt;=60,"31-60 ngày",IF($L61&lt;=90,"61-90 ngày","Trên 90 ngày")))))))</f>
        <v/>
      </c>
      <c r="N61" s="51">
        <f>IF($A61="","",IF(OR($B61="",$C61=""),"THIẾU THÔNG TIN",IF(AND($G61&gt;0,$H61&gt;0),"KHÔNG NHẬP ĐỒNG THỜI TĂNG/GIẢM",IF(AND($G61&lt;=0,$H61&lt;=0),"CHƯA NHẬP SỐ TIỀN",IF($D61="KHÔNG TÌM THẤY","MÃ KHÔNG HỢP LỆ",IF(AND($G61&gt;0,$J61=""),"THIẾU NGÀY ĐẾN HẠN","OK"))))))</f>
        <v/>
      </c>
    </row>
    <row r="62">
      <c r="A62" s="209" t="n"/>
      <c r="B62" s="47" t="n"/>
      <c r="C62" s="47" t="n"/>
      <c r="D62" s="51">
        <f>IF($C62="","",XLOOKUP($C62,'01_DANH_MUC'!$A$7:$A$206,'01_DANH_MUC'!$B$7:$B$206,"KHÔNG TÌM THẤY"))</f>
        <v/>
      </c>
      <c r="E62" s="51">
        <f>IF($C62="","",XLOOKUP($C62,'01_DANH_MUC'!$A$7:$A$206,'01_DANH_MUC'!$C$7:$C$206,"KHÔNG TÌM THẤY"))</f>
        <v/>
      </c>
      <c r="F62" s="57" t="n"/>
      <c r="G62" s="211" t="n"/>
      <c r="H62" s="211" t="n"/>
      <c r="I62" s="212">
        <f>IF($C62="","",XLOOKUP($C62,'01_DANH_MUC'!$A$7:$A$206,'01_DANH_MUC'!$E$7:$E$206,0))</f>
        <v/>
      </c>
      <c r="J62" s="213">
        <f>IF(OR($A62="",$C62="",$G62&lt;=0),"",$A62+$I62)</f>
        <v/>
      </c>
      <c r="K62" s="210">
        <f>IF($A62="","",IF(OR($C62="",$G62&lt;=0,$A62&gt;'03_BAO_CAO'!$E$4),0,MAX(0,$G62-MAX(0,SUMIFS($H$7:$H$506,$C$7:$C$506,$C62,$A$7:$A$506,"&lt;="&amp;'03_BAO_CAO'!$E$4)-XLOOKUP($C62,'01_DANH_MUC'!$A$7:$A$206,'01_DANH_MUC'!$F$7:$F$206,0)-SUMIFS($G$7:G61,$C$7:C61,$C62,$A$7:A61,"&lt;="&amp;'03_BAO_CAO'!$E$4)))))</f>
        <v/>
      </c>
      <c r="L62" s="212">
        <f>IF($A62="","",IF(OR($K62&lt;=0,$J62=""),0,MAX(0,'03_BAO_CAO'!$E$4-$J62)))</f>
        <v/>
      </c>
      <c r="M62" s="51">
        <f>IF($A62="","",IF($K62&lt;=0,"Đã thanh toán",IF($J62="","Thiếu ngày đến hạn",IF($J62&gt;='03_BAO_CAO'!$E$4,"Chưa đến hạn",IF($L62&lt;=30,"1-30 ngày",IF($L62&lt;=60,"31-60 ngày",IF($L62&lt;=90,"61-90 ngày","Trên 90 ngày")))))))</f>
        <v/>
      </c>
      <c r="N62" s="51">
        <f>IF($A62="","",IF(OR($B62="",$C62=""),"THIẾU THÔNG TIN",IF(AND($G62&gt;0,$H62&gt;0),"KHÔNG NHẬP ĐỒNG THỜI TĂNG/GIẢM",IF(AND($G62&lt;=0,$H62&lt;=0),"CHƯA NHẬP SỐ TIỀN",IF($D62="KHÔNG TÌM THẤY","MÃ KHÔNG HỢP LỆ",IF(AND($G62&gt;0,$J62=""),"THIẾU NGÀY ĐẾN HẠN","OK"))))))</f>
        <v/>
      </c>
    </row>
    <row r="63">
      <c r="A63" s="209" t="n"/>
      <c r="B63" s="47" t="n"/>
      <c r="C63" s="47" t="n"/>
      <c r="D63" s="51">
        <f>IF($C63="","",XLOOKUP($C63,'01_DANH_MUC'!$A$7:$A$206,'01_DANH_MUC'!$B$7:$B$206,"KHÔNG TÌM THẤY"))</f>
        <v/>
      </c>
      <c r="E63" s="51">
        <f>IF($C63="","",XLOOKUP($C63,'01_DANH_MUC'!$A$7:$A$206,'01_DANH_MUC'!$C$7:$C$206,"KHÔNG TÌM THẤY"))</f>
        <v/>
      </c>
      <c r="F63" s="57" t="n"/>
      <c r="G63" s="211" t="n"/>
      <c r="H63" s="211" t="n"/>
      <c r="I63" s="212">
        <f>IF($C63="","",XLOOKUP($C63,'01_DANH_MUC'!$A$7:$A$206,'01_DANH_MUC'!$E$7:$E$206,0))</f>
        <v/>
      </c>
      <c r="J63" s="213">
        <f>IF(OR($A63="",$C63="",$G63&lt;=0),"",$A63+$I63)</f>
        <v/>
      </c>
      <c r="K63" s="210">
        <f>IF($A63="","",IF(OR($C63="",$G63&lt;=0,$A63&gt;'03_BAO_CAO'!$E$4),0,MAX(0,$G63-MAX(0,SUMIFS($H$7:$H$506,$C$7:$C$506,$C63,$A$7:$A$506,"&lt;="&amp;'03_BAO_CAO'!$E$4)-XLOOKUP($C63,'01_DANH_MUC'!$A$7:$A$206,'01_DANH_MUC'!$F$7:$F$206,0)-SUMIFS($G$7:G62,$C$7:C62,$C63,$A$7:A62,"&lt;="&amp;'03_BAO_CAO'!$E$4)))))</f>
        <v/>
      </c>
      <c r="L63" s="212">
        <f>IF($A63="","",IF(OR($K63&lt;=0,$J63=""),0,MAX(0,'03_BAO_CAO'!$E$4-$J63)))</f>
        <v/>
      </c>
      <c r="M63" s="51">
        <f>IF($A63="","",IF($K63&lt;=0,"Đã thanh toán",IF($J63="","Thiếu ngày đến hạn",IF($J63&gt;='03_BAO_CAO'!$E$4,"Chưa đến hạn",IF($L63&lt;=30,"1-30 ngày",IF($L63&lt;=60,"31-60 ngày",IF($L63&lt;=90,"61-90 ngày","Trên 90 ngày")))))))</f>
        <v/>
      </c>
      <c r="N63" s="51">
        <f>IF($A63="","",IF(OR($B63="",$C63=""),"THIẾU THÔNG TIN",IF(AND($G63&gt;0,$H63&gt;0),"KHÔNG NHẬP ĐỒNG THỜI TĂNG/GIẢM",IF(AND($G63&lt;=0,$H63&lt;=0),"CHƯA NHẬP SỐ TIỀN",IF($D63="KHÔNG TÌM THẤY","MÃ KHÔNG HỢP LỆ",IF(AND($G63&gt;0,$J63=""),"THIẾU NGÀY ĐẾN HẠN","OK"))))))</f>
        <v/>
      </c>
    </row>
    <row r="64">
      <c r="A64" s="209" t="n"/>
      <c r="B64" s="47" t="n"/>
      <c r="C64" s="47" t="n"/>
      <c r="D64" s="51">
        <f>IF($C64="","",XLOOKUP($C64,'01_DANH_MUC'!$A$7:$A$206,'01_DANH_MUC'!$B$7:$B$206,"KHÔNG TÌM THẤY"))</f>
        <v/>
      </c>
      <c r="E64" s="51">
        <f>IF($C64="","",XLOOKUP($C64,'01_DANH_MUC'!$A$7:$A$206,'01_DANH_MUC'!$C$7:$C$206,"KHÔNG TÌM THẤY"))</f>
        <v/>
      </c>
      <c r="F64" s="57" t="n"/>
      <c r="G64" s="211" t="n"/>
      <c r="H64" s="211" t="n"/>
      <c r="I64" s="212">
        <f>IF($C64="","",XLOOKUP($C64,'01_DANH_MUC'!$A$7:$A$206,'01_DANH_MUC'!$E$7:$E$206,0))</f>
        <v/>
      </c>
      <c r="J64" s="213">
        <f>IF(OR($A64="",$C64="",$G64&lt;=0),"",$A64+$I64)</f>
        <v/>
      </c>
      <c r="K64" s="210">
        <f>IF($A64="","",IF(OR($C64="",$G64&lt;=0,$A64&gt;'03_BAO_CAO'!$E$4),0,MAX(0,$G64-MAX(0,SUMIFS($H$7:$H$506,$C$7:$C$506,$C64,$A$7:$A$506,"&lt;="&amp;'03_BAO_CAO'!$E$4)-XLOOKUP($C64,'01_DANH_MUC'!$A$7:$A$206,'01_DANH_MUC'!$F$7:$F$206,0)-SUMIFS($G$7:G63,$C$7:C63,$C64,$A$7:A63,"&lt;="&amp;'03_BAO_CAO'!$E$4)))))</f>
        <v/>
      </c>
      <c r="L64" s="212">
        <f>IF($A64="","",IF(OR($K64&lt;=0,$J64=""),0,MAX(0,'03_BAO_CAO'!$E$4-$J64)))</f>
        <v/>
      </c>
      <c r="M64" s="51">
        <f>IF($A64="","",IF($K64&lt;=0,"Đã thanh toán",IF($J64="","Thiếu ngày đến hạn",IF($J64&gt;='03_BAO_CAO'!$E$4,"Chưa đến hạn",IF($L64&lt;=30,"1-30 ngày",IF($L64&lt;=60,"31-60 ngày",IF($L64&lt;=90,"61-90 ngày","Trên 90 ngày")))))))</f>
        <v/>
      </c>
      <c r="N64" s="51">
        <f>IF($A64="","",IF(OR($B64="",$C64=""),"THIẾU THÔNG TIN",IF(AND($G64&gt;0,$H64&gt;0),"KHÔNG NHẬP ĐỒNG THỜI TĂNG/GIẢM",IF(AND($G64&lt;=0,$H64&lt;=0),"CHƯA NHẬP SỐ TIỀN",IF($D64="KHÔNG TÌM THẤY","MÃ KHÔNG HỢP LỆ",IF(AND($G64&gt;0,$J64=""),"THIẾU NGÀY ĐẾN HẠN","OK"))))))</f>
        <v/>
      </c>
    </row>
    <row r="65">
      <c r="A65" s="209" t="n"/>
      <c r="B65" s="47" t="n"/>
      <c r="C65" s="47" t="n"/>
      <c r="D65" s="51">
        <f>IF($C65="","",XLOOKUP($C65,'01_DANH_MUC'!$A$7:$A$206,'01_DANH_MUC'!$B$7:$B$206,"KHÔNG TÌM THẤY"))</f>
        <v/>
      </c>
      <c r="E65" s="51">
        <f>IF($C65="","",XLOOKUP($C65,'01_DANH_MUC'!$A$7:$A$206,'01_DANH_MUC'!$C$7:$C$206,"KHÔNG TÌM THẤY"))</f>
        <v/>
      </c>
      <c r="F65" s="57" t="n"/>
      <c r="G65" s="211" t="n"/>
      <c r="H65" s="211" t="n"/>
      <c r="I65" s="212">
        <f>IF($C65="","",XLOOKUP($C65,'01_DANH_MUC'!$A$7:$A$206,'01_DANH_MUC'!$E$7:$E$206,0))</f>
        <v/>
      </c>
      <c r="J65" s="213">
        <f>IF(OR($A65="",$C65="",$G65&lt;=0),"",$A65+$I65)</f>
        <v/>
      </c>
      <c r="K65" s="210">
        <f>IF($A65="","",IF(OR($C65="",$G65&lt;=0,$A65&gt;'03_BAO_CAO'!$E$4),0,MAX(0,$G65-MAX(0,SUMIFS($H$7:$H$506,$C$7:$C$506,$C65,$A$7:$A$506,"&lt;="&amp;'03_BAO_CAO'!$E$4)-XLOOKUP($C65,'01_DANH_MUC'!$A$7:$A$206,'01_DANH_MUC'!$F$7:$F$206,0)-SUMIFS($G$7:G64,$C$7:C64,$C65,$A$7:A64,"&lt;="&amp;'03_BAO_CAO'!$E$4)))))</f>
        <v/>
      </c>
      <c r="L65" s="212">
        <f>IF($A65="","",IF(OR($K65&lt;=0,$J65=""),0,MAX(0,'03_BAO_CAO'!$E$4-$J65)))</f>
        <v/>
      </c>
      <c r="M65" s="51">
        <f>IF($A65="","",IF($K65&lt;=0,"Đã thanh toán",IF($J65="","Thiếu ngày đến hạn",IF($J65&gt;='03_BAO_CAO'!$E$4,"Chưa đến hạn",IF($L65&lt;=30,"1-30 ngày",IF($L65&lt;=60,"31-60 ngày",IF($L65&lt;=90,"61-90 ngày","Trên 90 ngày")))))))</f>
        <v/>
      </c>
      <c r="N65" s="51">
        <f>IF($A65="","",IF(OR($B65="",$C65=""),"THIẾU THÔNG TIN",IF(AND($G65&gt;0,$H65&gt;0),"KHÔNG NHẬP ĐỒNG THỜI TĂNG/GIẢM",IF(AND($G65&lt;=0,$H65&lt;=0),"CHƯA NHẬP SỐ TIỀN",IF($D65="KHÔNG TÌM THẤY","MÃ KHÔNG HỢP LỆ",IF(AND($G65&gt;0,$J65=""),"THIẾU NGÀY ĐẾN HẠN","OK"))))))</f>
        <v/>
      </c>
    </row>
    <row r="66">
      <c r="A66" s="209" t="n"/>
      <c r="B66" s="47" t="n"/>
      <c r="C66" s="47" t="n"/>
      <c r="D66" s="51">
        <f>IF($C66="","",XLOOKUP($C66,'01_DANH_MUC'!$A$7:$A$206,'01_DANH_MUC'!$B$7:$B$206,"KHÔNG TÌM THẤY"))</f>
        <v/>
      </c>
      <c r="E66" s="51">
        <f>IF($C66="","",XLOOKUP($C66,'01_DANH_MUC'!$A$7:$A$206,'01_DANH_MUC'!$C$7:$C$206,"KHÔNG TÌM THẤY"))</f>
        <v/>
      </c>
      <c r="F66" s="57" t="n"/>
      <c r="G66" s="211" t="n"/>
      <c r="H66" s="211" t="n"/>
      <c r="I66" s="212">
        <f>IF($C66="","",XLOOKUP($C66,'01_DANH_MUC'!$A$7:$A$206,'01_DANH_MUC'!$E$7:$E$206,0))</f>
        <v/>
      </c>
      <c r="J66" s="213">
        <f>IF(OR($A66="",$C66="",$G66&lt;=0),"",$A66+$I66)</f>
        <v/>
      </c>
      <c r="K66" s="210">
        <f>IF($A66="","",IF(OR($C66="",$G66&lt;=0,$A66&gt;'03_BAO_CAO'!$E$4),0,MAX(0,$G66-MAX(0,SUMIFS($H$7:$H$506,$C$7:$C$506,$C66,$A$7:$A$506,"&lt;="&amp;'03_BAO_CAO'!$E$4)-XLOOKUP($C66,'01_DANH_MUC'!$A$7:$A$206,'01_DANH_MUC'!$F$7:$F$206,0)-SUMIFS($G$7:G65,$C$7:C65,$C66,$A$7:A65,"&lt;="&amp;'03_BAO_CAO'!$E$4)))))</f>
        <v/>
      </c>
      <c r="L66" s="212">
        <f>IF($A66="","",IF(OR($K66&lt;=0,$J66=""),0,MAX(0,'03_BAO_CAO'!$E$4-$J66)))</f>
        <v/>
      </c>
      <c r="M66" s="51">
        <f>IF($A66="","",IF($K66&lt;=0,"Đã thanh toán",IF($J66="","Thiếu ngày đến hạn",IF($J66&gt;='03_BAO_CAO'!$E$4,"Chưa đến hạn",IF($L66&lt;=30,"1-30 ngày",IF($L66&lt;=60,"31-60 ngày",IF($L66&lt;=90,"61-90 ngày","Trên 90 ngày")))))))</f>
        <v/>
      </c>
      <c r="N66" s="51">
        <f>IF($A66="","",IF(OR($B66="",$C66=""),"THIẾU THÔNG TIN",IF(AND($G66&gt;0,$H66&gt;0),"KHÔNG NHẬP ĐỒNG THỜI TĂNG/GIẢM",IF(AND($G66&lt;=0,$H66&lt;=0),"CHƯA NHẬP SỐ TIỀN",IF($D66="KHÔNG TÌM THẤY","MÃ KHÔNG HỢP LỆ",IF(AND($G66&gt;0,$J66=""),"THIẾU NGÀY ĐẾN HẠN","OK"))))))</f>
        <v/>
      </c>
    </row>
    <row r="67">
      <c r="A67" s="209" t="n"/>
      <c r="B67" s="47" t="n"/>
      <c r="C67" s="47" t="n"/>
      <c r="D67" s="51">
        <f>IF($C67="","",XLOOKUP($C67,'01_DANH_MUC'!$A$7:$A$206,'01_DANH_MUC'!$B$7:$B$206,"KHÔNG TÌM THẤY"))</f>
        <v/>
      </c>
      <c r="E67" s="51">
        <f>IF($C67="","",XLOOKUP($C67,'01_DANH_MUC'!$A$7:$A$206,'01_DANH_MUC'!$C$7:$C$206,"KHÔNG TÌM THẤY"))</f>
        <v/>
      </c>
      <c r="F67" s="57" t="n"/>
      <c r="G67" s="211" t="n"/>
      <c r="H67" s="211" t="n"/>
      <c r="I67" s="212">
        <f>IF($C67="","",XLOOKUP($C67,'01_DANH_MUC'!$A$7:$A$206,'01_DANH_MUC'!$E$7:$E$206,0))</f>
        <v/>
      </c>
      <c r="J67" s="213">
        <f>IF(OR($A67="",$C67="",$G67&lt;=0),"",$A67+$I67)</f>
        <v/>
      </c>
      <c r="K67" s="210">
        <f>IF($A67="","",IF(OR($C67="",$G67&lt;=0,$A67&gt;'03_BAO_CAO'!$E$4),0,MAX(0,$G67-MAX(0,SUMIFS($H$7:$H$506,$C$7:$C$506,$C67,$A$7:$A$506,"&lt;="&amp;'03_BAO_CAO'!$E$4)-XLOOKUP($C67,'01_DANH_MUC'!$A$7:$A$206,'01_DANH_MUC'!$F$7:$F$206,0)-SUMIFS($G$7:G66,$C$7:C66,$C67,$A$7:A66,"&lt;="&amp;'03_BAO_CAO'!$E$4)))))</f>
        <v/>
      </c>
      <c r="L67" s="212">
        <f>IF($A67="","",IF(OR($K67&lt;=0,$J67=""),0,MAX(0,'03_BAO_CAO'!$E$4-$J67)))</f>
        <v/>
      </c>
      <c r="M67" s="51">
        <f>IF($A67="","",IF($K67&lt;=0,"Đã thanh toán",IF($J67="","Thiếu ngày đến hạn",IF($J67&gt;='03_BAO_CAO'!$E$4,"Chưa đến hạn",IF($L67&lt;=30,"1-30 ngày",IF($L67&lt;=60,"31-60 ngày",IF($L67&lt;=90,"61-90 ngày","Trên 90 ngày")))))))</f>
        <v/>
      </c>
      <c r="N67" s="51">
        <f>IF($A67="","",IF(OR($B67="",$C67=""),"THIẾU THÔNG TIN",IF(AND($G67&gt;0,$H67&gt;0),"KHÔNG NHẬP ĐỒNG THỜI TĂNG/GIẢM",IF(AND($G67&lt;=0,$H67&lt;=0),"CHƯA NHẬP SỐ TIỀN",IF($D67="KHÔNG TÌM THẤY","MÃ KHÔNG HỢP LỆ",IF(AND($G67&gt;0,$J67=""),"THIẾU NGÀY ĐẾN HẠN","OK"))))))</f>
        <v/>
      </c>
    </row>
    <row r="68">
      <c r="A68" s="209" t="n"/>
      <c r="B68" s="47" t="n"/>
      <c r="C68" s="47" t="n"/>
      <c r="D68" s="51">
        <f>IF($C68="","",XLOOKUP($C68,'01_DANH_MUC'!$A$7:$A$206,'01_DANH_MUC'!$B$7:$B$206,"KHÔNG TÌM THẤY"))</f>
        <v/>
      </c>
      <c r="E68" s="51">
        <f>IF($C68="","",XLOOKUP($C68,'01_DANH_MUC'!$A$7:$A$206,'01_DANH_MUC'!$C$7:$C$206,"KHÔNG TÌM THẤY"))</f>
        <v/>
      </c>
      <c r="F68" s="57" t="n"/>
      <c r="G68" s="211" t="n"/>
      <c r="H68" s="211" t="n"/>
      <c r="I68" s="212">
        <f>IF($C68="","",XLOOKUP($C68,'01_DANH_MUC'!$A$7:$A$206,'01_DANH_MUC'!$E$7:$E$206,0))</f>
        <v/>
      </c>
      <c r="J68" s="213">
        <f>IF(OR($A68="",$C68="",$G68&lt;=0),"",$A68+$I68)</f>
        <v/>
      </c>
      <c r="K68" s="210">
        <f>IF($A68="","",IF(OR($C68="",$G68&lt;=0,$A68&gt;'03_BAO_CAO'!$E$4),0,MAX(0,$G68-MAX(0,SUMIFS($H$7:$H$506,$C$7:$C$506,$C68,$A$7:$A$506,"&lt;="&amp;'03_BAO_CAO'!$E$4)-XLOOKUP($C68,'01_DANH_MUC'!$A$7:$A$206,'01_DANH_MUC'!$F$7:$F$206,0)-SUMIFS($G$7:G67,$C$7:C67,$C68,$A$7:A67,"&lt;="&amp;'03_BAO_CAO'!$E$4)))))</f>
        <v/>
      </c>
      <c r="L68" s="212">
        <f>IF($A68="","",IF(OR($K68&lt;=0,$J68=""),0,MAX(0,'03_BAO_CAO'!$E$4-$J68)))</f>
        <v/>
      </c>
      <c r="M68" s="51">
        <f>IF($A68="","",IF($K68&lt;=0,"Đã thanh toán",IF($J68="","Thiếu ngày đến hạn",IF($J68&gt;='03_BAO_CAO'!$E$4,"Chưa đến hạn",IF($L68&lt;=30,"1-30 ngày",IF($L68&lt;=60,"31-60 ngày",IF($L68&lt;=90,"61-90 ngày","Trên 90 ngày")))))))</f>
        <v/>
      </c>
      <c r="N68" s="51">
        <f>IF($A68="","",IF(OR($B68="",$C68=""),"THIẾU THÔNG TIN",IF(AND($G68&gt;0,$H68&gt;0),"KHÔNG NHẬP ĐỒNG THỜI TĂNG/GIẢM",IF(AND($G68&lt;=0,$H68&lt;=0),"CHƯA NHẬP SỐ TIỀN",IF($D68="KHÔNG TÌM THẤY","MÃ KHÔNG HỢP LỆ",IF(AND($G68&gt;0,$J68=""),"THIẾU NGÀY ĐẾN HẠN","OK"))))))</f>
        <v/>
      </c>
    </row>
    <row r="69">
      <c r="A69" s="209" t="n"/>
      <c r="B69" s="47" t="n"/>
      <c r="C69" s="47" t="n"/>
      <c r="D69" s="51">
        <f>IF($C69="","",XLOOKUP($C69,'01_DANH_MUC'!$A$7:$A$206,'01_DANH_MUC'!$B$7:$B$206,"KHÔNG TÌM THẤY"))</f>
        <v/>
      </c>
      <c r="E69" s="51">
        <f>IF($C69="","",XLOOKUP($C69,'01_DANH_MUC'!$A$7:$A$206,'01_DANH_MUC'!$C$7:$C$206,"KHÔNG TÌM THẤY"))</f>
        <v/>
      </c>
      <c r="F69" s="57" t="n"/>
      <c r="G69" s="211" t="n"/>
      <c r="H69" s="211" t="n"/>
      <c r="I69" s="212">
        <f>IF($C69="","",XLOOKUP($C69,'01_DANH_MUC'!$A$7:$A$206,'01_DANH_MUC'!$E$7:$E$206,0))</f>
        <v/>
      </c>
      <c r="J69" s="213">
        <f>IF(OR($A69="",$C69="",$G69&lt;=0),"",$A69+$I69)</f>
        <v/>
      </c>
      <c r="K69" s="210">
        <f>IF($A69="","",IF(OR($C69="",$G69&lt;=0,$A69&gt;'03_BAO_CAO'!$E$4),0,MAX(0,$G69-MAX(0,SUMIFS($H$7:$H$506,$C$7:$C$506,$C69,$A$7:$A$506,"&lt;="&amp;'03_BAO_CAO'!$E$4)-XLOOKUP($C69,'01_DANH_MUC'!$A$7:$A$206,'01_DANH_MUC'!$F$7:$F$206,0)-SUMIFS($G$7:G68,$C$7:C68,$C69,$A$7:A68,"&lt;="&amp;'03_BAO_CAO'!$E$4)))))</f>
        <v/>
      </c>
      <c r="L69" s="212">
        <f>IF($A69="","",IF(OR($K69&lt;=0,$J69=""),0,MAX(0,'03_BAO_CAO'!$E$4-$J69)))</f>
        <v/>
      </c>
      <c r="M69" s="51">
        <f>IF($A69="","",IF($K69&lt;=0,"Đã thanh toán",IF($J69="","Thiếu ngày đến hạn",IF($J69&gt;='03_BAO_CAO'!$E$4,"Chưa đến hạn",IF($L69&lt;=30,"1-30 ngày",IF($L69&lt;=60,"31-60 ngày",IF($L69&lt;=90,"61-90 ngày","Trên 90 ngày")))))))</f>
        <v/>
      </c>
      <c r="N69" s="51">
        <f>IF($A69="","",IF(OR($B69="",$C69=""),"THIẾU THÔNG TIN",IF(AND($G69&gt;0,$H69&gt;0),"KHÔNG NHẬP ĐỒNG THỜI TĂNG/GIẢM",IF(AND($G69&lt;=0,$H69&lt;=0),"CHƯA NHẬP SỐ TIỀN",IF($D69="KHÔNG TÌM THẤY","MÃ KHÔNG HỢP LỆ",IF(AND($G69&gt;0,$J69=""),"THIẾU NGÀY ĐẾN HẠN","OK"))))))</f>
        <v/>
      </c>
    </row>
    <row r="70">
      <c r="A70" s="209" t="n"/>
      <c r="B70" s="47" t="n"/>
      <c r="C70" s="47" t="n"/>
      <c r="D70" s="51">
        <f>IF($C70="","",XLOOKUP($C70,'01_DANH_MUC'!$A$7:$A$206,'01_DANH_MUC'!$B$7:$B$206,"KHÔNG TÌM THẤY"))</f>
        <v/>
      </c>
      <c r="E70" s="51">
        <f>IF($C70="","",XLOOKUP($C70,'01_DANH_MUC'!$A$7:$A$206,'01_DANH_MUC'!$C$7:$C$206,"KHÔNG TÌM THẤY"))</f>
        <v/>
      </c>
      <c r="F70" s="57" t="n"/>
      <c r="G70" s="211" t="n"/>
      <c r="H70" s="211" t="n"/>
      <c r="I70" s="212">
        <f>IF($C70="","",XLOOKUP($C70,'01_DANH_MUC'!$A$7:$A$206,'01_DANH_MUC'!$E$7:$E$206,0))</f>
        <v/>
      </c>
      <c r="J70" s="213">
        <f>IF(OR($A70="",$C70="",$G70&lt;=0),"",$A70+$I70)</f>
        <v/>
      </c>
      <c r="K70" s="210">
        <f>IF($A70="","",IF(OR($C70="",$G70&lt;=0,$A70&gt;'03_BAO_CAO'!$E$4),0,MAX(0,$G70-MAX(0,SUMIFS($H$7:$H$506,$C$7:$C$506,$C70,$A$7:$A$506,"&lt;="&amp;'03_BAO_CAO'!$E$4)-XLOOKUP($C70,'01_DANH_MUC'!$A$7:$A$206,'01_DANH_MUC'!$F$7:$F$206,0)-SUMIFS($G$7:G69,$C$7:C69,$C70,$A$7:A69,"&lt;="&amp;'03_BAO_CAO'!$E$4)))))</f>
        <v/>
      </c>
      <c r="L70" s="212">
        <f>IF($A70="","",IF(OR($K70&lt;=0,$J70=""),0,MAX(0,'03_BAO_CAO'!$E$4-$J70)))</f>
        <v/>
      </c>
      <c r="M70" s="51">
        <f>IF($A70="","",IF($K70&lt;=0,"Đã thanh toán",IF($J70="","Thiếu ngày đến hạn",IF($J70&gt;='03_BAO_CAO'!$E$4,"Chưa đến hạn",IF($L70&lt;=30,"1-30 ngày",IF($L70&lt;=60,"31-60 ngày",IF($L70&lt;=90,"61-90 ngày","Trên 90 ngày")))))))</f>
        <v/>
      </c>
      <c r="N70" s="51">
        <f>IF($A70="","",IF(OR($B70="",$C70=""),"THIẾU THÔNG TIN",IF(AND($G70&gt;0,$H70&gt;0),"KHÔNG NHẬP ĐỒNG THỜI TĂNG/GIẢM",IF(AND($G70&lt;=0,$H70&lt;=0),"CHƯA NHẬP SỐ TIỀN",IF($D70="KHÔNG TÌM THẤY","MÃ KHÔNG HỢP LỆ",IF(AND($G70&gt;0,$J70=""),"THIẾU NGÀY ĐẾN HẠN","OK"))))))</f>
        <v/>
      </c>
    </row>
    <row r="71">
      <c r="A71" s="209" t="n"/>
      <c r="B71" s="47" t="n"/>
      <c r="C71" s="47" t="n"/>
      <c r="D71" s="51">
        <f>IF($C71="","",XLOOKUP($C71,'01_DANH_MUC'!$A$7:$A$206,'01_DANH_MUC'!$B$7:$B$206,"KHÔNG TÌM THẤY"))</f>
        <v/>
      </c>
      <c r="E71" s="51">
        <f>IF($C71="","",XLOOKUP($C71,'01_DANH_MUC'!$A$7:$A$206,'01_DANH_MUC'!$C$7:$C$206,"KHÔNG TÌM THẤY"))</f>
        <v/>
      </c>
      <c r="F71" s="57" t="n"/>
      <c r="G71" s="211" t="n"/>
      <c r="H71" s="211" t="n"/>
      <c r="I71" s="212">
        <f>IF($C71="","",XLOOKUP($C71,'01_DANH_MUC'!$A$7:$A$206,'01_DANH_MUC'!$E$7:$E$206,0))</f>
        <v/>
      </c>
      <c r="J71" s="213">
        <f>IF(OR($A71="",$C71="",$G71&lt;=0),"",$A71+$I71)</f>
        <v/>
      </c>
      <c r="K71" s="210">
        <f>IF($A71="","",IF(OR($C71="",$G71&lt;=0,$A71&gt;'03_BAO_CAO'!$E$4),0,MAX(0,$G71-MAX(0,SUMIFS($H$7:$H$506,$C$7:$C$506,$C71,$A$7:$A$506,"&lt;="&amp;'03_BAO_CAO'!$E$4)-XLOOKUP($C71,'01_DANH_MUC'!$A$7:$A$206,'01_DANH_MUC'!$F$7:$F$206,0)-SUMIFS($G$7:G70,$C$7:C70,$C71,$A$7:A70,"&lt;="&amp;'03_BAO_CAO'!$E$4)))))</f>
        <v/>
      </c>
      <c r="L71" s="212">
        <f>IF($A71="","",IF(OR($K71&lt;=0,$J71=""),0,MAX(0,'03_BAO_CAO'!$E$4-$J71)))</f>
        <v/>
      </c>
      <c r="M71" s="51">
        <f>IF($A71="","",IF($K71&lt;=0,"Đã thanh toán",IF($J71="","Thiếu ngày đến hạn",IF($J71&gt;='03_BAO_CAO'!$E$4,"Chưa đến hạn",IF($L71&lt;=30,"1-30 ngày",IF($L71&lt;=60,"31-60 ngày",IF($L71&lt;=90,"61-90 ngày","Trên 90 ngày")))))))</f>
        <v/>
      </c>
      <c r="N71" s="51">
        <f>IF($A71="","",IF(OR($B71="",$C71=""),"THIẾU THÔNG TIN",IF(AND($G71&gt;0,$H71&gt;0),"KHÔNG NHẬP ĐỒNG THỜI TĂNG/GIẢM",IF(AND($G71&lt;=0,$H71&lt;=0),"CHƯA NHẬP SỐ TIỀN",IF($D71="KHÔNG TÌM THẤY","MÃ KHÔNG HỢP LỆ",IF(AND($G71&gt;0,$J71=""),"THIẾU NGÀY ĐẾN HẠN","OK"))))))</f>
        <v/>
      </c>
    </row>
    <row r="72">
      <c r="A72" s="209" t="n"/>
      <c r="B72" s="47" t="n"/>
      <c r="C72" s="47" t="n"/>
      <c r="D72" s="51">
        <f>IF($C72="","",XLOOKUP($C72,'01_DANH_MUC'!$A$7:$A$206,'01_DANH_MUC'!$B$7:$B$206,"KHÔNG TÌM THẤY"))</f>
        <v/>
      </c>
      <c r="E72" s="51">
        <f>IF($C72="","",XLOOKUP($C72,'01_DANH_MUC'!$A$7:$A$206,'01_DANH_MUC'!$C$7:$C$206,"KHÔNG TÌM THẤY"))</f>
        <v/>
      </c>
      <c r="F72" s="57" t="n"/>
      <c r="G72" s="211" t="n"/>
      <c r="H72" s="211" t="n"/>
      <c r="I72" s="212">
        <f>IF($C72="","",XLOOKUP($C72,'01_DANH_MUC'!$A$7:$A$206,'01_DANH_MUC'!$E$7:$E$206,0))</f>
        <v/>
      </c>
      <c r="J72" s="213">
        <f>IF(OR($A72="",$C72="",$G72&lt;=0),"",$A72+$I72)</f>
        <v/>
      </c>
      <c r="K72" s="210">
        <f>IF($A72="","",IF(OR($C72="",$G72&lt;=0,$A72&gt;'03_BAO_CAO'!$E$4),0,MAX(0,$G72-MAX(0,SUMIFS($H$7:$H$506,$C$7:$C$506,$C72,$A$7:$A$506,"&lt;="&amp;'03_BAO_CAO'!$E$4)-XLOOKUP($C72,'01_DANH_MUC'!$A$7:$A$206,'01_DANH_MUC'!$F$7:$F$206,0)-SUMIFS($G$7:G71,$C$7:C71,$C72,$A$7:A71,"&lt;="&amp;'03_BAO_CAO'!$E$4)))))</f>
        <v/>
      </c>
      <c r="L72" s="212">
        <f>IF($A72="","",IF(OR($K72&lt;=0,$J72=""),0,MAX(0,'03_BAO_CAO'!$E$4-$J72)))</f>
        <v/>
      </c>
      <c r="M72" s="51">
        <f>IF($A72="","",IF($K72&lt;=0,"Đã thanh toán",IF($J72="","Thiếu ngày đến hạn",IF($J72&gt;='03_BAO_CAO'!$E$4,"Chưa đến hạn",IF($L72&lt;=30,"1-30 ngày",IF($L72&lt;=60,"31-60 ngày",IF($L72&lt;=90,"61-90 ngày","Trên 90 ngày")))))))</f>
        <v/>
      </c>
      <c r="N72" s="51">
        <f>IF($A72="","",IF(OR($B72="",$C72=""),"THIẾU THÔNG TIN",IF(AND($G72&gt;0,$H72&gt;0),"KHÔNG NHẬP ĐỒNG THỜI TĂNG/GIẢM",IF(AND($G72&lt;=0,$H72&lt;=0),"CHƯA NHẬP SỐ TIỀN",IF($D72="KHÔNG TÌM THẤY","MÃ KHÔNG HỢP LỆ",IF(AND($G72&gt;0,$J72=""),"THIẾU NGÀY ĐẾN HẠN","OK"))))))</f>
        <v/>
      </c>
    </row>
    <row r="73">
      <c r="A73" s="209" t="n"/>
      <c r="B73" s="47" t="n"/>
      <c r="C73" s="47" t="n"/>
      <c r="D73" s="51">
        <f>IF($C73="","",XLOOKUP($C73,'01_DANH_MUC'!$A$7:$A$206,'01_DANH_MUC'!$B$7:$B$206,"KHÔNG TÌM THẤY"))</f>
        <v/>
      </c>
      <c r="E73" s="51">
        <f>IF($C73="","",XLOOKUP($C73,'01_DANH_MUC'!$A$7:$A$206,'01_DANH_MUC'!$C$7:$C$206,"KHÔNG TÌM THẤY"))</f>
        <v/>
      </c>
      <c r="F73" s="57" t="n"/>
      <c r="G73" s="211" t="n"/>
      <c r="H73" s="211" t="n"/>
      <c r="I73" s="212">
        <f>IF($C73="","",XLOOKUP($C73,'01_DANH_MUC'!$A$7:$A$206,'01_DANH_MUC'!$E$7:$E$206,0))</f>
        <v/>
      </c>
      <c r="J73" s="213">
        <f>IF(OR($A73="",$C73="",$G73&lt;=0),"",$A73+$I73)</f>
        <v/>
      </c>
      <c r="K73" s="210">
        <f>IF($A73="","",IF(OR($C73="",$G73&lt;=0,$A73&gt;'03_BAO_CAO'!$E$4),0,MAX(0,$G73-MAX(0,SUMIFS($H$7:$H$506,$C$7:$C$506,$C73,$A$7:$A$506,"&lt;="&amp;'03_BAO_CAO'!$E$4)-XLOOKUP($C73,'01_DANH_MUC'!$A$7:$A$206,'01_DANH_MUC'!$F$7:$F$206,0)-SUMIFS($G$7:G72,$C$7:C72,$C73,$A$7:A72,"&lt;="&amp;'03_BAO_CAO'!$E$4)))))</f>
        <v/>
      </c>
      <c r="L73" s="212">
        <f>IF($A73="","",IF(OR($K73&lt;=0,$J73=""),0,MAX(0,'03_BAO_CAO'!$E$4-$J73)))</f>
        <v/>
      </c>
      <c r="M73" s="51">
        <f>IF($A73="","",IF($K73&lt;=0,"Đã thanh toán",IF($J73="","Thiếu ngày đến hạn",IF($J73&gt;='03_BAO_CAO'!$E$4,"Chưa đến hạn",IF($L73&lt;=30,"1-30 ngày",IF($L73&lt;=60,"31-60 ngày",IF($L73&lt;=90,"61-90 ngày","Trên 90 ngày")))))))</f>
        <v/>
      </c>
      <c r="N73" s="51">
        <f>IF($A73="","",IF(OR($B73="",$C73=""),"THIẾU THÔNG TIN",IF(AND($G73&gt;0,$H73&gt;0),"KHÔNG NHẬP ĐỒNG THỜI TĂNG/GIẢM",IF(AND($G73&lt;=0,$H73&lt;=0),"CHƯA NHẬP SỐ TIỀN",IF($D73="KHÔNG TÌM THẤY","MÃ KHÔNG HỢP LỆ",IF(AND($G73&gt;0,$J73=""),"THIẾU NGÀY ĐẾN HẠN","OK"))))))</f>
        <v/>
      </c>
    </row>
    <row r="74">
      <c r="A74" s="209" t="n"/>
      <c r="B74" s="47" t="n"/>
      <c r="C74" s="47" t="n"/>
      <c r="D74" s="51">
        <f>IF($C74="","",XLOOKUP($C74,'01_DANH_MUC'!$A$7:$A$206,'01_DANH_MUC'!$B$7:$B$206,"KHÔNG TÌM THẤY"))</f>
        <v/>
      </c>
      <c r="E74" s="51">
        <f>IF($C74="","",XLOOKUP($C74,'01_DANH_MUC'!$A$7:$A$206,'01_DANH_MUC'!$C$7:$C$206,"KHÔNG TÌM THẤY"))</f>
        <v/>
      </c>
      <c r="F74" s="57" t="n"/>
      <c r="G74" s="211" t="n"/>
      <c r="H74" s="211" t="n"/>
      <c r="I74" s="212">
        <f>IF($C74="","",XLOOKUP($C74,'01_DANH_MUC'!$A$7:$A$206,'01_DANH_MUC'!$E$7:$E$206,0))</f>
        <v/>
      </c>
      <c r="J74" s="213">
        <f>IF(OR($A74="",$C74="",$G74&lt;=0),"",$A74+$I74)</f>
        <v/>
      </c>
      <c r="K74" s="210">
        <f>IF($A74="","",IF(OR($C74="",$G74&lt;=0,$A74&gt;'03_BAO_CAO'!$E$4),0,MAX(0,$G74-MAX(0,SUMIFS($H$7:$H$506,$C$7:$C$506,$C74,$A$7:$A$506,"&lt;="&amp;'03_BAO_CAO'!$E$4)-XLOOKUP($C74,'01_DANH_MUC'!$A$7:$A$206,'01_DANH_MUC'!$F$7:$F$206,0)-SUMIFS($G$7:G73,$C$7:C73,$C74,$A$7:A73,"&lt;="&amp;'03_BAO_CAO'!$E$4)))))</f>
        <v/>
      </c>
      <c r="L74" s="212">
        <f>IF($A74="","",IF(OR($K74&lt;=0,$J74=""),0,MAX(0,'03_BAO_CAO'!$E$4-$J74)))</f>
        <v/>
      </c>
      <c r="M74" s="51">
        <f>IF($A74="","",IF($K74&lt;=0,"Đã thanh toán",IF($J74="","Thiếu ngày đến hạn",IF($J74&gt;='03_BAO_CAO'!$E$4,"Chưa đến hạn",IF($L74&lt;=30,"1-30 ngày",IF($L74&lt;=60,"31-60 ngày",IF($L74&lt;=90,"61-90 ngày","Trên 90 ngày")))))))</f>
        <v/>
      </c>
      <c r="N74" s="51">
        <f>IF($A74="","",IF(OR($B74="",$C74=""),"THIẾU THÔNG TIN",IF(AND($G74&gt;0,$H74&gt;0),"KHÔNG NHẬP ĐỒNG THỜI TĂNG/GIẢM",IF(AND($G74&lt;=0,$H74&lt;=0),"CHƯA NHẬP SỐ TIỀN",IF($D74="KHÔNG TÌM THẤY","MÃ KHÔNG HỢP LỆ",IF(AND($G74&gt;0,$J74=""),"THIẾU NGÀY ĐẾN HẠN","OK"))))))</f>
        <v/>
      </c>
    </row>
    <row r="75">
      <c r="A75" s="209" t="n"/>
      <c r="B75" s="47" t="n"/>
      <c r="C75" s="47" t="n"/>
      <c r="D75" s="51">
        <f>IF($C75="","",XLOOKUP($C75,'01_DANH_MUC'!$A$7:$A$206,'01_DANH_MUC'!$B$7:$B$206,"KHÔNG TÌM THẤY"))</f>
        <v/>
      </c>
      <c r="E75" s="51">
        <f>IF($C75="","",XLOOKUP($C75,'01_DANH_MUC'!$A$7:$A$206,'01_DANH_MUC'!$C$7:$C$206,"KHÔNG TÌM THẤY"))</f>
        <v/>
      </c>
      <c r="F75" s="57" t="n"/>
      <c r="G75" s="211" t="n"/>
      <c r="H75" s="211" t="n"/>
      <c r="I75" s="212">
        <f>IF($C75="","",XLOOKUP($C75,'01_DANH_MUC'!$A$7:$A$206,'01_DANH_MUC'!$E$7:$E$206,0))</f>
        <v/>
      </c>
      <c r="J75" s="213">
        <f>IF(OR($A75="",$C75="",$G75&lt;=0),"",$A75+$I75)</f>
        <v/>
      </c>
      <c r="K75" s="210">
        <f>IF($A75="","",IF(OR($C75="",$G75&lt;=0,$A75&gt;'03_BAO_CAO'!$E$4),0,MAX(0,$G75-MAX(0,SUMIFS($H$7:$H$506,$C$7:$C$506,$C75,$A$7:$A$506,"&lt;="&amp;'03_BAO_CAO'!$E$4)-XLOOKUP($C75,'01_DANH_MUC'!$A$7:$A$206,'01_DANH_MUC'!$F$7:$F$206,0)-SUMIFS($G$7:G74,$C$7:C74,$C75,$A$7:A74,"&lt;="&amp;'03_BAO_CAO'!$E$4)))))</f>
        <v/>
      </c>
      <c r="L75" s="212">
        <f>IF($A75="","",IF(OR($K75&lt;=0,$J75=""),0,MAX(0,'03_BAO_CAO'!$E$4-$J75)))</f>
        <v/>
      </c>
      <c r="M75" s="51">
        <f>IF($A75="","",IF($K75&lt;=0,"Đã thanh toán",IF($J75="","Thiếu ngày đến hạn",IF($J75&gt;='03_BAO_CAO'!$E$4,"Chưa đến hạn",IF($L75&lt;=30,"1-30 ngày",IF($L75&lt;=60,"31-60 ngày",IF($L75&lt;=90,"61-90 ngày","Trên 90 ngày")))))))</f>
        <v/>
      </c>
      <c r="N75" s="51">
        <f>IF($A75="","",IF(OR($B75="",$C75=""),"THIẾU THÔNG TIN",IF(AND($G75&gt;0,$H75&gt;0),"KHÔNG NHẬP ĐỒNG THỜI TĂNG/GIẢM",IF(AND($G75&lt;=0,$H75&lt;=0),"CHƯA NHẬP SỐ TIỀN",IF($D75="KHÔNG TÌM THẤY","MÃ KHÔNG HỢP LỆ",IF(AND($G75&gt;0,$J75=""),"THIẾU NGÀY ĐẾN HẠN","OK"))))))</f>
        <v/>
      </c>
    </row>
    <row r="76">
      <c r="A76" s="209" t="n"/>
      <c r="B76" s="47" t="n"/>
      <c r="C76" s="47" t="n"/>
      <c r="D76" s="51">
        <f>IF($C76="","",XLOOKUP($C76,'01_DANH_MUC'!$A$7:$A$206,'01_DANH_MUC'!$B$7:$B$206,"KHÔNG TÌM THẤY"))</f>
        <v/>
      </c>
      <c r="E76" s="51">
        <f>IF($C76="","",XLOOKUP($C76,'01_DANH_MUC'!$A$7:$A$206,'01_DANH_MUC'!$C$7:$C$206,"KHÔNG TÌM THẤY"))</f>
        <v/>
      </c>
      <c r="F76" s="57" t="n"/>
      <c r="G76" s="211" t="n"/>
      <c r="H76" s="211" t="n"/>
      <c r="I76" s="212">
        <f>IF($C76="","",XLOOKUP($C76,'01_DANH_MUC'!$A$7:$A$206,'01_DANH_MUC'!$E$7:$E$206,0))</f>
        <v/>
      </c>
      <c r="J76" s="213">
        <f>IF(OR($A76="",$C76="",$G76&lt;=0),"",$A76+$I76)</f>
        <v/>
      </c>
      <c r="K76" s="210">
        <f>IF($A76="","",IF(OR($C76="",$G76&lt;=0,$A76&gt;'03_BAO_CAO'!$E$4),0,MAX(0,$G76-MAX(0,SUMIFS($H$7:$H$506,$C$7:$C$506,$C76,$A$7:$A$506,"&lt;="&amp;'03_BAO_CAO'!$E$4)-XLOOKUP($C76,'01_DANH_MUC'!$A$7:$A$206,'01_DANH_MUC'!$F$7:$F$206,0)-SUMIFS($G$7:G75,$C$7:C75,$C76,$A$7:A75,"&lt;="&amp;'03_BAO_CAO'!$E$4)))))</f>
        <v/>
      </c>
      <c r="L76" s="212">
        <f>IF($A76="","",IF(OR($K76&lt;=0,$J76=""),0,MAX(0,'03_BAO_CAO'!$E$4-$J76)))</f>
        <v/>
      </c>
      <c r="M76" s="51">
        <f>IF($A76="","",IF($K76&lt;=0,"Đã thanh toán",IF($J76="","Thiếu ngày đến hạn",IF($J76&gt;='03_BAO_CAO'!$E$4,"Chưa đến hạn",IF($L76&lt;=30,"1-30 ngày",IF($L76&lt;=60,"31-60 ngày",IF($L76&lt;=90,"61-90 ngày","Trên 90 ngày")))))))</f>
        <v/>
      </c>
      <c r="N76" s="51">
        <f>IF($A76="","",IF(OR($B76="",$C76=""),"THIẾU THÔNG TIN",IF(AND($G76&gt;0,$H76&gt;0),"KHÔNG NHẬP ĐỒNG THỜI TĂNG/GIẢM",IF(AND($G76&lt;=0,$H76&lt;=0),"CHƯA NHẬP SỐ TIỀN",IF($D76="KHÔNG TÌM THẤY","MÃ KHÔNG HỢP LỆ",IF(AND($G76&gt;0,$J76=""),"THIẾU NGÀY ĐẾN HẠN","OK"))))))</f>
        <v/>
      </c>
    </row>
    <row r="77">
      <c r="A77" s="209" t="n"/>
      <c r="B77" s="47" t="n"/>
      <c r="C77" s="47" t="n"/>
      <c r="D77" s="51">
        <f>IF($C77="","",XLOOKUP($C77,'01_DANH_MUC'!$A$7:$A$206,'01_DANH_MUC'!$B$7:$B$206,"KHÔNG TÌM THẤY"))</f>
        <v/>
      </c>
      <c r="E77" s="51">
        <f>IF($C77="","",XLOOKUP($C77,'01_DANH_MUC'!$A$7:$A$206,'01_DANH_MUC'!$C$7:$C$206,"KHÔNG TÌM THẤY"))</f>
        <v/>
      </c>
      <c r="F77" s="57" t="n"/>
      <c r="G77" s="211" t="n"/>
      <c r="H77" s="211" t="n"/>
      <c r="I77" s="212">
        <f>IF($C77="","",XLOOKUP($C77,'01_DANH_MUC'!$A$7:$A$206,'01_DANH_MUC'!$E$7:$E$206,0))</f>
        <v/>
      </c>
      <c r="J77" s="213">
        <f>IF(OR($A77="",$C77="",$G77&lt;=0),"",$A77+$I77)</f>
        <v/>
      </c>
      <c r="K77" s="210">
        <f>IF($A77="","",IF(OR($C77="",$G77&lt;=0,$A77&gt;'03_BAO_CAO'!$E$4),0,MAX(0,$G77-MAX(0,SUMIFS($H$7:$H$506,$C$7:$C$506,$C77,$A$7:$A$506,"&lt;="&amp;'03_BAO_CAO'!$E$4)-XLOOKUP($C77,'01_DANH_MUC'!$A$7:$A$206,'01_DANH_MUC'!$F$7:$F$206,0)-SUMIFS($G$7:G76,$C$7:C76,$C77,$A$7:A76,"&lt;="&amp;'03_BAO_CAO'!$E$4)))))</f>
        <v/>
      </c>
      <c r="L77" s="212">
        <f>IF($A77="","",IF(OR($K77&lt;=0,$J77=""),0,MAX(0,'03_BAO_CAO'!$E$4-$J77)))</f>
        <v/>
      </c>
      <c r="M77" s="51">
        <f>IF($A77="","",IF($K77&lt;=0,"Đã thanh toán",IF($J77="","Thiếu ngày đến hạn",IF($J77&gt;='03_BAO_CAO'!$E$4,"Chưa đến hạn",IF($L77&lt;=30,"1-30 ngày",IF($L77&lt;=60,"31-60 ngày",IF($L77&lt;=90,"61-90 ngày","Trên 90 ngày")))))))</f>
        <v/>
      </c>
      <c r="N77" s="51">
        <f>IF($A77="","",IF(OR($B77="",$C77=""),"THIẾU THÔNG TIN",IF(AND($G77&gt;0,$H77&gt;0),"KHÔNG NHẬP ĐỒNG THỜI TĂNG/GIẢM",IF(AND($G77&lt;=0,$H77&lt;=0),"CHƯA NHẬP SỐ TIỀN",IF($D77="KHÔNG TÌM THẤY","MÃ KHÔNG HỢP LỆ",IF(AND($G77&gt;0,$J77=""),"THIẾU NGÀY ĐẾN HẠN","OK"))))))</f>
        <v/>
      </c>
    </row>
    <row r="78">
      <c r="A78" s="209" t="n"/>
      <c r="B78" s="47" t="n"/>
      <c r="C78" s="47" t="n"/>
      <c r="D78" s="51">
        <f>IF($C78="","",XLOOKUP($C78,'01_DANH_MUC'!$A$7:$A$206,'01_DANH_MUC'!$B$7:$B$206,"KHÔNG TÌM THẤY"))</f>
        <v/>
      </c>
      <c r="E78" s="51">
        <f>IF($C78="","",XLOOKUP($C78,'01_DANH_MUC'!$A$7:$A$206,'01_DANH_MUC'!$C$7:$C$206,"KHÔNG TÌM THẤY"))</f>
        <v/>
      </c>
      <c r="F78" s="57" t="n"/>
      <c r="G78" s="211" t="n"/>
      <c r="H78" s="211" t="n"/>
      <c r="I78" s="212">
        <f>IF($C78="","",XLOOKUP($C78,'01_DANH_MUC'!$A$7:$A$206,'01_DANH_MUC'!$E$7:$E$206,0))</f>
        <v/>
      </c>
      <c r="J78" s="213">
        <f>IF(OR($A78="",$C78="",$G78&lt;=0),"",$A78+$I78)</f>
        <v/>
      </c>
      <c r="K78" s="210">
        <f>IF($A78="","",IF(OR($C78="",$G78&lt;=0,$A78&gt;'03_BAO_CAO'!$E$4),0,MAX(0,$G78-MAX(0,SUMIFS($H$7:$H$506,$C$7:$C$506,$C78,$A$7:$A$506,"&lt;="&amp;'03_BAO_CAO'!$E$4)-XLOOKUP($C78,'01_DANH_MUC'!$A$7:$A$206,'01_DANH_MUC'!$F$7:$F$206,0)-SUMIFS($G$7:G77,$C$7:C77,$C78,$A$7:A77,"&lt;="&amp;'03_BAO_CAO'!$E$4)))))</f>
        <v/>
      </c>
      <c r="L78" s="212">
        <f>IF($A78="","",IF(OR($K78&lt;=0,$J78=""),0,MAX(0,'03_BAO_CAO'!$E$4-$J78)))</f>
        <v/>
      </c>
      <c r="M78" s="51">
        <f>IF($A78="","",IF($K78&lt;=0,"Đã thanh toán",IF($J78="","Thiếu ngày đến hạn",IF($J78&gt;='03_BAO_CAO'!$E$4,"Chưa đến hạn",IF($L78&lt;=30,"1-30 ngày",IF($L78&lt;=60,"31-60 ngày",IF($L78&lt;=90,"61-90 ngày","Trên 90 ngày")))))))</f>
        <v/>
      </c>
      <c r="N78" s="51">
        <f>IF($A78="","",IF(OR($B78="",$C78=""),"THIẾU THÔNG TIN",IF(AND($G78&gt;0,$H78&gt;0),"KHÔNG NHẬP ĐỒNG THỜI TĂNG/GIẢM",IF(AND($G78&lt;=0,$H78&lt;=0),"CHƯA NHẬP SỐ TIỀN",IF($D78="KHÔNG TÌM THẤY","MÃ KHÔNG HỢP LỆ",IF(AND($G78&gt;0,$J78=""),"THIẾU NGÀY ĐẾN HẠN","OK"))))))</f>
        <v/>
      </c>
    </row>
    <row r="79">
      <c r="A79" s="209" t="n"/>
      <c r="B79" s="47" t="n"/>
      <c r="C79" s="47" t="n"/>
      <c r="D79" s="51">
        <f>IF($C79="","",XLOOKUP($C79,'01_DANH_MUC'!$A$7:$A$206,'01_DANH_MUC'!$B$7:$B$206,"KHÔNG TÌM THẤY"))</f>
        <v/>
      </c>
      <c r="E79" s="51">
        <f>IF($C79="","",XLOOKUP($C79,'01_DANH_MUC'!$A$7:$A$206,'01_DANH_MUC'!$C$7:$C$206,"KHÔNG TÌM THẤY"))</f>
        <v/>
      </c>
      <c r="F79" s="57" t="n"/>
      <c r="G79" s="211" t="n"/>
      <c r="H79" s="211" t="n"/>
      <c r="I79" s="212">
        <f>IF($C79="","",XLOOKUP($C79,'01_DANH_MUC'!$A$7:$A$206,'01_DANH_MUC'!$E$7:$E$206,0))</f>
        <v/>
      </c>
      <c r="J79" s="213">
        <f>IF(OR($A79="",$C79="",$G79&lt;=0),"",$A79+$I79)</f>
        <v/>
      </c>
      <c r="K79" s="210">
        <f>IF($A79="","",IF(OR($C79="",$G79&lt;=0,$A79&gt;'03_BAO_CAO'!$E$4),0,MAX(0,$G79-MAX(0,SUMIFS($H$7:$H$506,$C$7:$C$506,$C79,$A$7:$A$506,"&lt;="&amp;'03_BAO_CAO'!$E$4)-XLOOKUP($C79,'01_DANH_MUC'!$A$7:$A$206,'01_DANH_MUC'!$F$7:$F$206,0)-SUMIFS($G$7:G78,$C$7:C78,$C79,$A$7:A78,"&lt;="&amp;'03_BAO_CAO'!$E$4)))))</f>
        <v/>
      </c>
      <c r="L79" s="212">
        <f>IF($A79="","",IF(OR($K79&lt;=0,$J79=""),0,MAX(0,'03_BAO_CAO'!$E$4-$J79)))</f>
        <v/>
      </c>
      <c r="M79" s="51">
        <f>IF($A79="","",IF($K79&lt;=0,"Đã thanh toán",IF($J79="","Thiếu ngày đến hạn",IF($J79&gt;='03_BAO_CAO'!$E$4,"Chưa đến hạn",IF($L79&lt;=30,"1-30 ngày",IF($L79&lt;=60,"31-60 ngày",IF($L79&lt;=90,"61-90 ngày","Trên 90 ngày")))))))</f>
        <v/>
      </c>
      <c r="N79" s="51">
        <f>IF($A79="","",IF(OR($B79="",$C79=""),"THIẾU THÔNG TIN",IF(AND($G79&gt;0,$H79&gt;0),"KHÔNG NHẬP ĐỒNG THỜI TĂNG/GIẢM",IF(AND($G79&lt;=0,$H79&lt;=0),"CHƯA NHẬP SỐ TIỀN",IF($D79="KHÔNG TÌM THẤY","MÃ KHÔNG HỢP LỆ",IF(AND($G79&gt;0,$J79=""),"THIẾU NGÀY ĐẾN HẠN","OK"))))))</f>
        <v/>
      </c>
    </row>
    <row r="80">
      <c r="A80" s="209" t="n"/>
      <c r="B80" s="47" t="n"/>
      <c r="C80" s="47" t="n"/>
      <c r="D80" s="51">
        <f>IF($C80="","",XLOOKUP($C80,'01_DANH_MUC'!$A$7:$A$206,'01_DANH_MUC'!$B$7:$B$206,"KHÔNG TÌM THẤY"))</f>
        <v/>
      </c>
      <c r="E80" s="51">
        <f>IF($C80="","",XLOOKUP($C80,'01_DANH_MUC'!$A$7:$A$206,'01_DANH_MUC'!$C$7:$C$206,"KHÔNG TÌM THẤY"))</f>
        <v/>
      </c>
      <c r="F80" s="57" t="n"/>
      <c r="G80" s="211" t="n"/>
      <c r="H80" s="211" t="n"/>
      <c r="I80" s="212">
        <f>IF($C80="","",XLOOKUP($C80,'01_DANH_MUC'!$A$7:$A$206,'01_DANH_MUC'!$E$7:$E$206,0))</f>
        <v/>
      </c>
      <c r="J80" s="213">
        <f>IF(OR($A80="",$C80="",$G80&lt;=0),"",$A80+$I80)</f>
        <v/>
      </c>
      <c r="K80" s="210">
        <f>IF($A80="","",IF(OR($C80="",$G80&lt;=0,$A80&gt;'03_BAO_CAO'!$E$4),0,MAX(0,$G80-MAX(0,SUMIFS($H$7:$H$506,$C$7:$C$506,$C80,$A$7:$A$506,"&lt;="&amp;'03_BAO_CAO'!$E$4)-XLOOKUP($C80,'01_DANH_MUC'!$A$7:$A$206,'01_DANH_MUC'!$F$7:$F$206,0)-SUMIFS($G$7:G79,$C$7:C79,$C80,$A$7:A79,"&lt;="&amp;'03_BAO_CAO'!$E$4)))))</f>
        <v/>
      </c>
      <c r="L80" s="212">
        <f>IF($A80="","",IF(OR($K80&lt;=0,$J80=""),0,MAX(0,'03_BAO_CAO'!$E$4-$J80)))</f>
        <v/>
      </c>
      <c r="M80" s="51">
        <f>IF($A80="","",IF($K80&lt;=0,"Đã thanh toán",IF($J80="","Thiếu ngày đến hạn",IF($J80&gt;='03_BAO_CAO'!$E$4,"Chưa đến hạn",IF($L80&lt;=30,"1-30 ngày",IF($L80&lt;=60,"31-60 ngày",IF($L80&lt;=90,"61-90 ngày","Trên 90 ngày")))))))</f>
        <v/>
      </c>
      <c r="N80" s="51">
        <f>IF($A80="","",IF(OR($B80="",$C80=""),"THIẾU THÔNG TIN",IF(AND($G80&gt;0,$H80&gt;0),"KHÔNG NHẬP ĐỒNG THỜI TĂNG/GIẢM",IF(AND($G80&lt;=0,$H80&lt;=0),"CHƯA NHẬP SỐ TIỀN",IF($D80="KHÔNG TÌM THẤY","MÃ KHÔNG HỢP LỆ",IF(AND($G80&gt;0,$J80=""),"THIẾU NGÀY ĐẾN HẠN","OK"))))))</f>
        <v/>
      </c>
    </row>
    <row r="81">
      <c r="A81" s="209" t="n"/>
      <c r="B81" s="47" t="n"/>
      <c r="C81" s="47" t="n"/>
      <c r="D81" s="51">
        <f>IF($C81="","",XLOOKUP($C81,'01_DANH_MUC'!$A$7:$A$206,'01_DANH_MUC'!$B$7:$B$206,"KHÔNG TÌM THẤY"))</f>
        <v/>
      </c>
      <c r="E81" s="51">
        <f>IF($C81="","",XLOOKUP($C81,'01_DANH_MUC'!$A$7:$A$206,'01_DANH_MUC'!$C$7:$C$206,"KHÔNG TÌM THẤY"))</f>
        <v/>
      </c>
      <c r="F81" s="57" t="n"/>
      <c r="G81" s="211" t="n"/>
      <c r="H81" s="211" t="n"/>
      <c r="I81" s="212">
        <f>IF($C81="","",XLOOKUP($C81,'01_DANH_MUC'!$A$7:$A$206,'01_DANH_MUC'!$E$7:$E$206,0))</f>
        <v/>
      </c>
      <c r="J81" s="213">
        <f>IF(OR($A81="",$C81="",$G81&lt;=0),"",$A81+$I81)</f>
        <v/>
      </c>
      <c r="K81" s="210">
        <f>IF($A81="","",IF(OR($C81="",$G81&lt;=0,$A81&gt;'03_BAO_CAO'!$E$4),0,MAX(0,$G81-MAX(0,SUMIFS($H$7:$H$506,$C$7:$C$506,$C81,$A$7:$A$506,"&lt;="&amp;'03_BAO_CAO'!$E$4)-XLOOKUP($C81,'01_DANH_MUC'!$A$7:$A$206,'01_DANH_MUC'!$F$7:$F$206,0)-SUMIFS($G$7:G80,$C$7:C80,$C81,$A$7:A80,"&lt;="&amp;'03_BAO_CAO'!$E$4)))))</f>
        <v/>
      </c>
      <c r="L81" s="212">
        <f>IF($A81="","",IF(OR($K81&lt;=0,$J81=""),0,MAX(0,'03_BAO_CAO'!$E$4-$J81)))</f>
        <v/>
      </c>
      <c r="M81" s="51">
        <f>IF($A81="","",IF($K81&lt;=0,"Đã thanh toán",IF($J81="","Thiếu ngày đến hạn",IF($J81&gt;='03_BAO_CAO'!$E$4,"Chưa đến hạn",IF($L81&lt;=30,"1-30 ngày",IF($L81&lt;=60,"31-60 ngày",IF($L81&lt;=90,"61-90 ngày","Trên 90 ngày")))))))</f>
        <v/>
      </c>
      <c r="N81" s="51">
        <f>IF($A81="","",IF(OR($B81="",$C81=""),"THIẾU THÔNG TIN",IF(AND($G81&gt;0,$H81&gt;0),"KHÔNG NHẬP ĐỒNG THỜI TĂNG/GIẢM",IF(AND($G81&lt;=0,$H81&lt;=0),"CHƯA NHẬP SỐ TIỀN",IF($D81="KHÔNG TÌM THẤY","MÃ KHÔNG HỢP LỆ",IF(AND($G81&gt;0,$J81=""),"THIẾU NGÀY ĐẾN HẠN","OK"))))))</f>
        <v/>
      </c>
    </row>
    <row r="82">
      <c r="A82" s="209" t="n"/>
      <c r="B82" s="47" t="n"/>
      <c r="C82" s="47" t="n"/>
      <c r="D82" s="51">
        <f>IF($C82="","",XLOOKUP($C82,'01_DANH_MUC'!$A$7:$A$206,'01_DANH_MUC'!$B$7:$B$206,"KHÔNG TÌM THẤY"))</f>
        <v/>
      </c>
      <c r="E82" s="51">
        <f>IF($C82="","",XLOOKUP($C82,'01_DANH_MUC'!$A$7:$A$206,'01_DANH_MUC'!$C$7:$C$206,"KHÔNG TÌM THẤY"))</f>
        <v/>
      </c>
      <c r="F82" s="57" t="n"/>
      <c r="G82" s="211" t="n"/>
      <c r="H82" s="211" t="n"/>
      <c r="I82" s="212">
        <f>IF($C82="","",XLOOKUP($C82,'01_DANH_MUC'!$A$7:$A$206,'01_DANH_MUC'!$E$7:$E$206,0))</f>
        <v/>
      </c>
      <c r="J82" s="213">
        <f>IF(OR($A82="",$C82="",$G82&lt;=0),"",$A82+$I82)</f>
        <v/>
      </c>
      <c r="K82" s="210">
        <f>IF($A82="","",IF(OR($C82="",$G82&lt;=0,$A82&gt;'03_BAO_CAO'!$E$4),0,MAX(0,$G82-MAX(0,SUMIFS($H$7:$H$506,$C$7:$C$506,$C82,$A$7:$A$506,"&lt;="&amp;'03_BAO_CAO'!$E$4)-XLOOKUP($C82,'01_DANH_MUC'!$A$7:$A$206,'01_DANH_MUC'!$F$7:$F$206,0)-SUMIFS($G$7:G81,$C$7:C81,$C82,$A$7:A81,"&lt;="&amp;'03_BAO_CAO'!$E$4)))))</f>
        <v/>
      </c>
      <c r="L82" s="212">
        <f>IF($A82="","",IF(OR($K82&lt;=0,$J82=""),0,MAX(0,'03_BAO_CAO'!$E$4-$J82)))</f>
        <v/>
      </c>
      <c r="M82" s="51">
        <f>IF($A82="","",IF($K82&lt;=0,"Đã thanh toán",IF($J82="","Thiếu ngày đến hạn",IF($J82&gt;='03_BAO_CAO'!$E$4,"Chưa đến hạn",IF($L82&lt;=30,"1-30 ngày",IF($L82&lt;=60,"31-60 ngày",IF($L82&lt;=90,"61-90 ngày","Trên 90 ngày")))))))</f>
        <v/>
      </c>
      <c r="N82" s="51">
        <f>IF($A82="","",IF(OR($B82="",$C82=""),"THIẾU THÔNG TIN",IF(AND($G82&gt;0,$H82&gt;0),"KHÔNG NHẬP ĐỒNG THỜI TĂNG/GIẢM",IF(AND($G82&lt;=0,$H82&lt;=0),"CHƯA NHẬP SỐ TIỀN",IF($D82="KHÔNG TÌM THẤY","MÃ KHÔNG HỢP LỆ",IF(AND($G82&gt;0,$J82=""),"THIẾU NGÀY ĐẾN HẠN","OK"))))))</f>
        <v/>
      </c>
    </row>
    <row r="83">
      <c r="A83" s="209" t="n"/>
      <c r="B83" s="47" t="n"/>
      <c r="C83" s="47" t="n"/>
      <c r="D83" s="51">
        <f>IF($C83="","",XLOOKUP($C83,'01_DANH_MUC'!$A$7:$A$206,'01_DANH_MUC'!$B$7:$B$206,"KHÔNG TÌM THẤY"))</f>
        <v/>
      </c>
      <c r="E83" s="51">
        <f>IF($C83="","",XLOOKUP($C83,'01_DANH_MUC'!$A$7:$A$206,'01_DANH_MUC'!$C$7:$C$206,"KHÔNG TÌM THẤY"))</f>
        <v/>
      </c>
      <c r="F83" s="57" t="n"/>
      <c r="G83" s="211" t="n"/>
      <c r="H83" s="211" t="n"/>
      <c r="I83" s="212">
        <f>IF($C83="","",XLOOKUP($C83,'01_DANH_MUC'!$A$7:$A$206,'01_DANH_MUC'!$E$7:$E$206,0))</f>
        <v/>
      </c>
      <c r="J83" s="213">
        <f>IF(OR($A83="",$C83="",$G83&lt;=0),"",$A83+$I83)</f>
        <v/>
      </c>
      <c r="K83" s="210">
        <f>IF($A83="","",IF(OR($C83="",$G83&lt;=0,$A83&gt;'03_BAO_CAO'!$E$4),0,MAX(0,$G83-MAX(0,SUMIFS($H$7:$H$506,$C$7:$C$506,$C83,$A$7:$A$506,"&lt;="&amp;'03_BAO_CAO'!$E$4)-XLOOKUP($C83,'01_DANH_MUC'!$A$7:$A$206,'01_DANH_MUC'!$F$7:$F$206,0)-SUMIFS($G$7:G82,$C$7:C82,$C83,$A$7:A82,"&lt;="&amp;'03_BAO_CAO'!$E$4)))))</f>
        <v/>
      </c>
      <c r="L83" s="212">
        <f>IF($A83="","",IF(OR($K83&lt;=0,$J83=""),0,MAX(0,'03_BAO_CAO'!$E$4-$J83)))</f>
        <v/>
      </c>
      <c r="M83" s="51">
        <f>IF($A83="","",IF($K83&lt;=0,"Đã thanh toán",IF($J83="","Thiếu ngày đến hạn",IF($J83&gt;='03_BAO_CAO'!$E$4,"Chưa đến hạn",IF($L83&lt;=30,"1-30 ngày",IF($L83&lt;=60,"31-60 ngày",IF($L83&lt;=90,"61-90 ngày","Trên 90 ngày")))))))</f>
        <v/>
      </c>
      <c r="N83" s="51">
        <f>IF($A83="","",IF(OR($B83="",$C83=""),"THIẾU THÔNG TIN",IF(AND($G83&gt;0,$H83&gt;0),"KHÔNG NHẬP ĐỒNG THỜI TĂNG/GIẢM",IF(AND($G83&lt;=0,$H83&lt;=0),"CHƯA NHẬP SỐ TIỀN",IF($D83="KHÔNG TÌM THẤY","MÃ KHÔNG HỢP LỆ",IF(AND($G83&gt;0,$J83=""),"THIẾU NGÀY ĐẾN HẠN","OK"))))))</f>
        <v/>
      </c>
    </row>
    <row r="84">
      <c r="A84" s="209" t="n"/>
      <c r="B84" s="47" t="n"/>
      <c r="C84" s="47" t="n"/>
      <c r="D84" s="51">
        <f>IF($C84="","",XLOOKUP($C84,'01_DANH_MUC'!$A$7:$A$206,'01_DANH_MUC'!$B$7:$B$206,"KHÔNG TÌM THẤY"))</f>
        <v/>
      </c>
      <c r="E84" s="51">
        <f>IF($C84="","",XLOOKUP($C84,'01_DANH_MUC'!$A$7:$A$206,'01_DANH_MUC'!$C$7:$C$206,"KHÔNG TÌM THẤY"))</f>
        <v/>
      </c>
      <c r="F84" s="57" t="n"/>
      <c r="G84" s="211" t="n"/>
      <c r="H84" s="211" t="n"/>
      <c r="I84" s="212">
        <f>IF($C84="","",XLOOKUP($C84,'01_DANH_MUC'!$A$7:$A$206,'01_DANH_MUC'!$E$7:$E$206,0))</f>
        <v/>
      </c>
      <c r="J84" s="213">
        <f>IF(OR($A84="",$C84="",$G84&lt;=0),"",$A84+$I84)</f>
        <v/>
      </c>
      <c r="K84" s="210">
        <f>IF($A84="","",IF(OR($C84="",$G84&lt;=0,$A84&gt;'03_BAO_CAO'!$E$4),0,MAX(0,$G84-MAX(0,SUMIFS($H$7:$H$506,$C$7:$C$506,$C84,$A$7:$A$506,"&lt;="&amp;'03_BAO_CAO'!$E$4)-XLOOKUP($C84,'01_DANH_MUC'!$A$7:$A$206,'01_DANH_MUC'!$F$7:$F$206,0)-SUMIFS($G$7:G83,$C$7:C83,$C84,$A$7:A83,"&lt;="&amp;'03_BAO_CAO'!$E$4)))))</f>
        <v/>
      </c>
      <c r="L84" s="212">
        <f>IF($A84="","",IF(OR($K84&lt;=0,$J84=""),0,MAX(0,'03_BAO_CAO'!$E$4-$J84)))</f>
        <v/>
      </c>
      <c r="M84" s="51">
        <f>IF($A84="","",IF($K84&lt;=0,"Đã thanh toán",IF($J84="","Thiếu ngày đến hạn",IF($J84&gt;='03_BAO_CAO'!$E$4,"Chưa đến hạn",IF($L84&lt;=30,"1-30 ngày",IF($L84&lt;=60,"31-60 ngày",IF($L84&lt;=90,"61-90 ngày","Trên 90 ngày")))))))</f>
        <v/>
      </c>
      <c r="N84" s="51">
        <f>IF($A84="","",IF(OR($B84="",$C84=""),"THIẾU THÔNG TIN",IF(AND($G84&gt;0,$H84&gt;0),"KHÔNG NHẬP ĐỒNG THỜI TĂNG/GIẢM",IF(AND($G84&lt;=0,$H84&lt;=0),"CHƯA NHẬP SỐ TIỀN",IF($D84="KHÔNG TÌM THẤY","MÃ KHÔNG HỢP LỆ",IF(AND($G84&gt;0,$J84=""),"THIẾU NGÀY ĐẾN HẠN","OK"))))))</f>
        <v/>
      </c>
    </row>
    <row r="85">
      <c r="A85" s="209" t="n"/>
      <c r="B85" s="47" t="n"/>
      <c r="C85" s="47" t="n"/>
      <c r="D85" s="51">
        <f>IF($C85="","",XLOOKUP($C85,'01_DANH_MUC'!$A$7:$A$206,'01_DANH_MUC'!$B$7:$B$206,"KHÔNG TÌM THẤY"))</f>
        <v/>
      </c>
      <c r="E85" s="51">
        <f>IF($C85="","",XLOOKUP($C85,'01_DANH_MUC'!$A$7:$A$206,'01_DANH_MUC'!$C$7:$C$206,"KHÔNG TÌM THẤY"))</f>
        <v/>
      </c>
      <c r="F85" s="57" t="n"/>
      <c r="G85" s="211" t="n"/>
      <c r="H85" s="211" t="n"/>
      <c r="I85" s="212">
        <f>IF($C85="","",XLOOKUP($C85,'01_DANH_MUC'!$A$7:$A$206,'01_DANH_MUC'!$E$7:$E$206,0))</f>
        <v/>
      </c>
      <c r="J85" s="213">
        <f>IF(OR($A85="",$C85="",$G85&lt;=0),"",$A85+$I85)</f>
        <v/>
      </c>
      <c r="K85" s="210">
        <f>IF($A85="","",IF(OR($C85="",$G85&lt;=0,$A85&gt;'03_BAO_CAO'!$E$4),0,MAX(0,$G85-MAX(0,SUMIFS($H$7:$H$506,$C$7:$C$506,$C85,$A$7:$A$506,"&lt;="&amp;'03_BAO_CAO'!$E$4)-XLOOKUP($C85,'01_DANH_MUC'!$A$7:$A$206,'01_DANH_MUC'!$F$7:$F$206,0)-SUMIFS($G$7:G84,$C$7:C84,$C85,$A$7:A84,"&lt;="&amp;'03_BAO_CAO'!$E$4)))))</f>
        <v/>
      </c>
      <c r="L85" s="212">
        <f>IF($A85="","",IF(OR($K85&lt;=0,$J85=""),0,MAX(0,'03_BAO_CAO'!$E$4-$J85)))</f>
        <v/>
      </c>
      <c r="M85" s="51">
        <f>IF($A85="","",IF($K85&lt;=0,"Đã thanh toán",IF($J85="","Thiếu ngày đến hạn",IF($J85&gt;='03_BAO_CAO'!$E$4,"Chưa đến hạn",IF($L85&lt;=30,"1-30 ngày",IF($L85&lt;=60,"31-60 ngày",IF($L85&lt;=90,"61-90 ngày","Trên 90 ngày")))))))</f>
        <v/>
      </c>
      <c r="N85" s="51">
        <f>IF($A85="","",IF(OR($B85="",$C85=""),"THIẾU THÔNG TIN",IF(AND($G85&gt;0,$H85&gt;0),"KHÔNG NHẬP ĐỒNG THỜI TĂNG/GIẢM",IF(AND($G85&lt;=0,$H85&lt;=0),"CHƯA NHẬP SỐ TIỀN",IF($D85="KHÔNG TÌM THẤY","MÃ KHÔNG HỢP LỆ",IF(AND($G85&gt;0,$J85=""),"THIẾU NGÀY ĐẾN HẠN","OK"))))))</f>
        <v/>
      </c>
    </row>
    <row r="86">
      <c r="A86" s="209" t="n"/>
      <c r="B86" s="47" t="n"/>
      <c r="C86" s="47" t="n"/>
      <c r="D86" s="51">
        <f>IF($C86="","",XLOOKUP($C86,'01_DANH_MUC'!$A$7:$A$206,'01_DANH_MUC'!$B$7:$B$206,"KHÔNG TÌM THẤY"))</f>
        <v/>
      </c>
      <c r="E86" s="51">
        <f>IF($C86="","",XLOOKUP($C86,'01_DANH_MUC'!$A$7:$A$206,'01_DANH_MUC'!$C$7:$C$206,"KHÔNG TÌM THẤY"))</f>
        <v/>
      </c>
      <c r="F86" s="57" t="n"/>
      <c r="G86" s="211" t="n"/>
      <c r="H86" s="211" t="n"/>
      <c r="I86" s="212">
        <f>IF($C86="","",XLOOKUP($C86,'01_DANH_MUC'!$A$7:$A$206,'01_DANH_MUC'!$E$7:$E$206,0))</f>
        <v/>
      </c>
      <c r="J86" s="213">
        <f>IF(OR($A86="",$C86="",$G86&lt;=0),"",$A86+$I86)</f>
        <v/>
      </c>
      <c r="K86" s="210">
        <f>IF($A86="","",IF(OR($C86="",$G86&lt;=0,$A86&gt;'03_BAO_CAO'!$E$4),0,MAX(0,$G86-MAX(0,SUMIFS($H$7:$H$506,$C$7:$C$506,$C86,$A$7:$A$506,"&lt;="&amp;'03_BAO_CAO'!$E$4)-XLOOKUP($C86,'01_DANH_MUC'!$A$7:$A$206,'01_DANH_MUC'!$F$7:$F$206,0)-SUMIFS($G$7:G85,$C$7:C85,$C86,$A$7:A85,"&lt;="&amp;'03_BAO_CAO'!$E$4)))))</f>
        <v/>
      </c>
      <c r="L86" s="212">
        <f>IF($A86="","",IF(OR($K86&lt;=0,$J86=""),0,MAX(0,'03_BAO_CAO'!$E$4-$J86)))</f>
        <v/>
      </c>
      <c r="M86" s="51">
        <f>IF($A86="","",IF($K86&lt;=0,"Đã thanh toán",IF($J86="","Thiếu ngày đến hạn",IF($J86&gt;='03_BAO_CAO'!$E$4,"Chưa đến hạn",IF($L86&lt;=30,"1-30 ngày",IF($L86&lt;=60,"31-60 ngày",IF($L86&lt;=90,"61-90 ngày","Trên 90 ngày")))))))</f>
        <v/>
      </c>
      <c r="N86" s="51">
        <f>IF($A86="","",IF(OR($B86="",$C86=""),"THIẾU THÔNG TIN",IF(AND($G86&gt;0,$H86&gt;0),"KHÔNG NHẬP ĐỒNG THỜI TĂNG/GIẢM",IF(AND($G86&lt;=0,$H86&lt;=0),"CHƯA NHẬP SỐ TIỀN",IF($D86="KHÔNG TÌM THẤY","MÃ KHÔNG HỢP LỆ",IF(AND($G86&gt;0,$J86=""),"THIẾU NGÀY ĐẾN HẠN","OK"))))))</f>
        <v/>
      </c>
    </row>
    <row r="87">
      <c r="A87" s="209" t="n"/>
      <c r="B87" s="47" t="n"/>
      <c r="C87" s="47" t="n"/>
      <c r="D87" s="51">
        <f>IF($C87="","",XLOOKUP($C87,'01_DANH_MUC'!$A$7:$A$206,'01_DANH_MUC'!$B$7:$B$206,"KHÔNG TÌM THẤY"))</f>
        <v/>
      </c>
      <c r="E87" s="51">
        <f>IF($C87="","",XLOOKUP($C87,'01_DANH_MUC'!$A$7:$A$206,'01_DANH_MUC'!$C$7:$C$206,"KHÔNG TÌM THẤY"))</f>
        <v/>
      </c>
      <c r="F87" s="57" t="n"/>
      <c r="G87" s="211" t="n"/>
      <c r="H87" s="211" t="n"/>
      <c r="I87" s="212">
        <f>IF($C87="","",XLOOKUP($C87,'01_DANH_MUC'!$A$7:$A$206,'01_DANH_MUC'!$E$7:$E$206,0))</f>
        <v/>
      </c>
      <c r="J87" s="213">
        <f>IF(OR($A87="",$C87="",$G87&lt;=0),"",$A87+$I87)</f>
        <v/>
      </c>
      <c r="K87" s="210">
        <f>IF($A87="","",IF(OR($C87="",$G87&lt;=0,$A87&gt;'03_BAO_CAO'!$E$4),0,MAX(0,$G87-MAX(0,SUMIFS($H$7:$H$506,$C$7:$C$506,$C87,$A$7:$A$506,"&lt;="&amp;'03_BAO_CAO'!$E$4)-XLOOKUP($C87,'01_DANH_MUC'!$A$7:$A$206,'01_DANH_MUC'!$F$7:$F$206,0)-SUMIFS($G$7:G86,$C$7:C86,$C87,$A$7:A86,"&lt;="&amp;'03_BAO_CAO'!$E$4)))))</f>
        <v/>
      </c>
      <c r="L87" s="212">
        <f>IF($A87="","",IF(OR($K87&lt;=0,$J87=""),0,MAX(0,'03_BAO_CAO'!$E$4-$J87)))</f>
        <v/>
      </c>
      <c r="M87" s="51">
        <f>IF($A87="","",IF($K87&lt;=0,"Đã thanh toán",IF($J87="","Thiếu ngày đến hạn",IF($J87&gt;='03_BAO_CAO'!$E$4,"Chưa đến hạn",IF($L87&lt;=30,"1-30 ngày",IF($L87&lt;=60,"31-60 ngày",IF($L87&lt;=90,"61-90 ngày","Trên 90 ngày")))))))</f>
        <v/>
      </c>
      <c r="N87" s="51">
        <f>IF($A87="","",IF(OR($B87="",$C87=""),"THIẾU THÔNG TIN",IF(AND($G87&gt;0,$H87&gt;0),"KHÔNG NHẬP ĐỒNG THỜI TĂNG/GIẢM",IF(AND($G87&lt;=0,$H87&lt;=0),"CHƯA NHẬP SỐ TIỀN",IF($D87="KHÔNG TÌM THẤY","MÃ KHÔNG HỢP LỆ",IF(AND($G87&gt;0,$J87=""),"THIẾU NGÀY ĐẾN HẠN","OK"))))))</f>
        <v/>
      </c>
    </row>
    <row r="88">
      <c r="A88" s="209" t="n"/>
      <c r="B88" s="47" t="n"/>
      <c r="C88" s="47" t="n"/>
      <c r="D88" s="51">
        <f>IF($C88="","",XLOOKUP($C88,'01_DANH_MUC'!$A$7:$A$206,'01_DANH_MUC'!$B$7:$B$206,"KHÔNG TÌM THẤY"))</f>
        <v/>
      </c>
      <c r="E88" s="51">
        <f>IF($C88="","",XLOOKUP($C88,'01_DANH_MUC'!$A$7:$A$206,'01_DANH_MUC'!$C$7:$C$206,"KHÔNG TÌM THẤY"))</f>
        <v/>
      </c>
      <c r="F88" s="57" t="n"/>
      <c r="G88" s="211" t="n"/>
      <c r="H88" s="211" t="n"/>
      <c r="I88" s="212">
        <f>IF($C88="","",XLOOKUP($C88,'01_DANH_MUC'!$A$7:$A$206,'01_DANH_MUC'!$E$7:$E$206,0))</f>
        <v/>
      </c>
      <c r="J88" s="213">
        <f>IF(OR($A88="",$C88="",$G88&lt;=0),"",$A88+$I88)</f>
        <v/>
      </c>
      <c r="K88" s="210">
        <f>IF($A88="","",IF(OR($C88="",$G88&lt;=0,$A88&gt;'03_BAO_CAO'!$E$4),0,MAX(0,$G88-MAX(0,SUMIFS($H$7:$H$506,$C$7:$C$506,$C88,$A$7:$A$506,"&lt;="&amp;'03_BAO_CAO'!$E$4)-XLOOKUP($C88,'01_DANH_MUC'!$A$7:$A$206,'01_DANH_MUC'!$F$7:$F$206,0)-SUMIFS($G$7:G87,$C$7:C87,$C88,$A$7:A87,"&lt;="&amp;'03_BAO_CAO'!$E$4)))))</f>
        <v/>
      </c>
      <c r="L88" s="212">
        <f>IF($A88="","",IF(OR($K88&lt;=0,$J88=""),0,MAX(0,'03_BAO_CAO'!$E$4-$J88)))</f>
        <v/>
      </c>
      <c r="M88" s="51">
        <f>IF($A88="","",IF($K88&lt;=0,"Đã thanh toán",IF($J88="","Thiếu ngày đến hạn",IF($J88&gt;='03_BAO_CAO'!$E$4,"Chưa đến hạn",IF($L88&lt;=30,"1-30 ngày",IF($L88&lt;=60,"31-60 ngày",IF($L88&lt;=90,"61-90 ngày","Trên 90 ngày")))))))</f>
        <v/>
      </c>
      <c r="N88" s="51">
        <f>IF($A88="","",IF(OR($B88="",$C88=""),"THIẾU THÔNG TIN",IF(AND($G88&gt;0,$H88&gt;0),"KHÔNG NHẬP ĐỒNG THỜI TĂNG/GIẢM",IF(AND($G88&lt;=0,$H88&lt;=0),"CHƯA NHẬP SỐ TIỀN",IF($D88="KHÔNG TÌM THẤY","MÃ KHÔNG HỢP LỆ",IF(AND($G88&gt;0,$J88=""),"THIẾU NGÀY ĐẾN HẠN","OK"))))))</f>
        <v/>
      </c>
    </row>
    <row r="89">
      <c r="A89" s="209" t="n"/>
      <c r="B89" s="47" t="n"/>
      <c r="C89" s="47" t="n"/>
      <c r="D89" s="51">
        <f>IF($C89="","",XLOOKUP($C89,'01_DANH_MUC'!$A$7:$A$206,'01_DANH_MUC'!$B$7:$B$206,"KHÔNG TÌM THẤY"))</f>
        <v/>
      </c>
      <c r="E89" s="51">
        <f>IF($C89="","",XLOOKUP($C89,'01_DANH_MUC'!$A$7:$A$206,'01_DANH_MUC'!$C$7:$C$206,"KHÔNG TÌM THẤY"))</f>
        <v/>
      </c>
      <c r="F89" s="57" t="n"/>
      <c r="G89" s="211" t="n"/>
      <c r="H89" s="211" t="n"/>
      <c r="I89" s="212">
        <f>IF($C89="","",XLOOKUP($C89,'01_DANH_MUC'!$A$7:$A$206,'01_DANH_MUC'!$E$7:$E$206,0))</f>
        <v/>
      </c>
      <c r="J89" s="213">
        <f>IF(OR($A89="",$C89="",$G89&lt;=0),"",$A89+$I89)</f>
        <v/>
      </c>
      <c r="K89" s="210">
        <f>IF($A89="","",IF(OR($C89="",$G89&lt;=0,$A89&gt;'03_BAO_CAO'!$E$4),0,MAX(0,$G89-MAX(0,SUMIFS($H$7:$H$506,$C$7:$C$506,$C89,$A$7:$A$506,"&lt;="&amp;'03_BAO_CAO'!$E$4)-XLOOKUP($C89,'01_DANH_MUC'!$A$7:$A$206,'01_DANH_MUC'!$F$7:$F$206,0)-SUMIFS($G$7:G88,$C$7:C88,$C89,$A$7:A88,"&lt;="&amp;'03_BAO_CAO'!$E$4)))))</f>
        <v/>
      </c>
      <c r="L89" s="212">
        <f>IF($A89="","",IF(OR($K89&lt;=0,$J89=""),0,MAX(0,'03_BAO_CAO'!$E$4-$J89)))</f>
        <v/>
      </c>
      <c r="M89" s="51">
        <f>IF($A89="","",IF($K89&lt;=0,"Đã thanh toán",IF($J89="","Thiếu ngày đến hạn",IF($J89&gt;='03_BAO_CAO'!$E$4,"Chưa đến hạn",IF($L89&lt;=30,"1-30 ngày",IF($L89&lt;=60,"31-60 ngày",IF($L89&lt;=90,"61-90 ngày","Trên 90 ngày")))))))</f>
        <v/>
      </c>
      <c r="N89" s="51">
        <f>IF($A89="","",IF(OR($B89="",$C89=""),"THIẾU THÔNG TIN",IF(AND($G89&gt;0,$H89&gt;0),"KHÔNG NHẬP ĐỒNG THỜI TĂNG/GIẢM",IF(AND($G89&lt;=0,$H89&lt;=0),"CHƯA NHẬP SỐ TIỀN",IF($D89="KHÔNG TÌM THẤY","MÃ KHÔNG HỢP LỆ",IF(AND($G89&gt;0,$J89=""),"THIẾU NGÀY ĐẾN HẠN","OK"))))))</f>
        <v/>
      </c>
    </row>
    <row r="90">
      <c r="A90" s="209" t="n"/>
      <c r="B90" s="47" t="n"/>
      <c r="C90" s="47" t="n"/>
      <c r="D90" s="51">
        <f>IF($C90="","",XLOOKUP($C90,'01_DANH_MUC'!$A$7:$A$206,'01_DANH_MUC'!$B$7:$B$206,"KHÔNG TÌM THẤY"))</f>
        <v/>
      </c>
      <c r="E90" s="51">
        <f>IF($C90="","",XLOOKUP($C90,'01_DANH_MUC'!$A$7:$A$206,'01_DANH_MUC'!$C$7:$C$206,"KHÔNG TÌM THẤY"))</f>
        <v/>
      </c>
      <c r="F90" s="57" t="n"/>
      <c r="G90" s="211" t="n"/>
      <c r="H90" s="211" t="n"/>
      <c r="I90" s="212">
        <f>IF($C90="","",XLOOKUP($C90,'01_DANH_MUC'!$A$7:$A$206,'01_DANH_MUC'!$E$7:$E$206,0))</f>
        <v/>
      </c>
      <c r="J90" s="213">
        <f>IF(OR($A90="",$C90="",$G90&lt;=0),"",$A90+$I90)</f>
        <v/>
      </c>
      <c r="K90" s="210">
        <f>IF($A90="","",IF(OR($C90="",$G90&lt;=0,$A90&gt;'03_BAO_CAO'!$E$4),0,MAX(0,$G90-MAX(0,SUMIFS($H$7:$H$506,$C$7:$C$506,$C90,$A$7:$A$506,"&lt;="&amp;'03_BAO_CAO'!$E$4)-XLOOKUP($C90,'01_DANH_MUC'!$A$7:$A$206,'01_DANH_MUC'!$F$7:$F$206,0)-SUMIFS($G$7:G89,$C$7:C89,$C90,$A$7:A89,"&lt;="&amp;'03_BAO_CAO'!$E$4)))))</f>
        <v/>
      </c>
      <c r="L90" s="212">
        <f>IF($A90="","",IF(OR($K90&lt;=0,$J90=""),0,MAX(0,'03_BAO_CAO'!$E$4-$J90)))</f>
        <v/>
      </c>
      <c r="M90" s="51">
        <f>IF($A90="","",IF($K90&lt;=0,"Đã thanh toán",IF($J90="","Thiếu ngày đến hạn",IF($J90&gt;='03_BAO_CAO'!$E$4,"Chưa đến hạn",IF($L90&lt;=30,"1-30 ngày",IF($L90&lt;=60,"31-60 ngày",IF($L90&lt;=90,"61-90 ngày","Trên 90 ngày")))))))</f>
        <v/>
      </c>
      <c r="N90" s="51">
        <f>IF($A90="","",IF(OR($B90="",$C90=""),"THIẾU THÔNG TIN",IF(AND($G90&gt;0,$H90&gt;0),"KHÔNG NHẬP ĐỒNG THỜI TĂNG/GIẢM",IF(AND($G90&lt;=0,$H90&lt;=0),"CHƯA NHẬP SỐ TIỀN",IF($D90="KHÔNG TÌM THẤY","MÃ KHÔNG HỢP LỆ",IF(AND($G90&gt;0,$J90=""),"THIẾU NGÀY ĐẾN HẠN","OK"))))))</f>
        <v/>
      </c>
    </row>
    <row r="91">
      <c r="A91" s="209" t="n"/>
      <c r="B91" s="47" t="n"/>
      <c r="C91" s="47" t="n"/>
      <c r="D91" s="51">
        <f>IF($C91="","",XLOOKUP($C91,'01_DANH_MUC'!$A$7:$A$206,'01_DANH_MUC'!$B$7:$B$206,"KHÔNG TÌM THẤY"))</f>
        <v/>
      </c>
      <c r="E91" s="51">
        <f>IF($C91="","",XLOOKUP($C91,'01_DANH_MUC'!$A$7:$A$206,'01_DANH_MUC'!$C$7:$C$206,"KHÔNG TÌM THẤY"))</f>
        <v/>
      </c>
      <c r="F91" s="57" t="n"/>
      <c r="G91" s="211" t="n"/>
      <c r="H91" s="211" t="n"/>
      <c r="I91" s="212">
        <f>IF($C91="","",XLOOKUP($C91,'01_DANH_MUC'!$A$7:$A$206,'01_DANH_MUC'!$E$7:$E$206,0))</f>
        <v/>
      </c>
      <c r="J91" s="213">
        <f>IF(OR($A91="",$C91="",$G91&lt;=0),"",$A91+$I91)</f>
        <v/>
      </c>
      <c r="K91" s="210">
        <f>IF($A91="","",IF(OR($C91="",$G91&lt;=0,$A91&gt;'03_BAO_CAO'!$E$4),0,MAX(0,$G91-MAX(0,SUMIFS($H$7:$H$506,$C$7:$C$506,$C91,$A$7:$A$506,"&lt;="&amp;'03_BAO_CAO'!$E$4)-XLOOKUP($C91,'01_DANH_MUC'!$A$7:$A$206,'01_DANH_MUC'!$F$7:$F$206,0)-SUMIFS($G$7:G90,$C$7:C90,$C91,$A$7:A90,"&lt;="&amp;'03_BAO_CAO'!$E$4)))))</f>
        <v/>
      </c>
      <c r="L91" s="212">
        <f>IF($A91="","",IF(OR($K91&lt;=0,$J91=""),0,MAX(0,'03_BAO_CAO'!$E$4-$J91)))</f>
        <v/>
      </c>
      <c r="M91" s="51">
        <f>IF($A91="","",IF($K91&lt;=0,"Đã thanh toán",IF($J91="","Thiếu ngày đến hạn",IF($J91&gt;='03_BAO_CAO'!$E$4,"Chưa đến hạn",IF($L91&lt;=30,"1-30 ngày",IF($L91&lt;=60,"31-60 ngày",IF($L91&lt;=90,"61-90 ngày","Trên 90 ngày")))))))</f>
        <v/>
      </c>
      <c r="N91" s="51">
        <f>IF($A91="","",IF(OR($B91="",$C91=""),"THIẾU THÔNG TIN",IF(AND($G91&gt;0,$H91&gt;0),"KHÔNG NHẬP ĐỒNG THỜI TĂNG/GIẢM",IF(AND($G91&lt;=0,$H91&lt;=0),"CHƯA NHẬP SỐ TIỀN",IF($D91="KHÔNG TÌM THẤY","MÃ KHÔNG HỢP LỆ",IF(AND($G91&gt;0,$J91=""),"THIẾU NGÀY ĐẾN HẠN","OK"))))))</f>
        <v/>
      </c>
    </row>
    <row r="92">
      <c r="A92" s="209" t="n"/>
      <c r="B92" s="47" t="n"/>
      <c r="C92" s="47" t="n"/>
      <c r="D92" s="51">
        <f>IF($C92="","",XLOOKUP($C92,'01_DANH_MUC'!$A$7:$A$206,'01_DANH_MUC'!$B$7:$B$206,"KHÔNG TÌM THẤY"))</f>
        <v/>
      </c>
      <c r="E92" s="51">
        <f>IF($C92="","",XLOOKUP($C92,'01_DANH_MUC'!$A$7:$A$206,'01_DANH_MUC'!$C$7:$C$206,"KHÔNG TÌM THẤY"))</f>
        <v/>
      </c>
      <c r="F92" s="57" t="n"/>
      <c r="G92" s="211" t="n"/>
      <c r="H92" s="211" t="n"/>
      <c r="I92" s="212">
        <f>IF($C92="","",XLOOKUP($C92,'01_DANH_MUC'!$A$7:$A$206,'01_DANH_MUC'!$E$7:$E$206,0))</f>
        <v/>
      </c>
      <c r="J92" s="213">
        <f>IF(OR($A92="",$C92="",$G92&lt;=0),"",$A92+$I92)</f>
        <v/>
      </c>
      <c r="K92" s="210">
        <f>IF($A92="","",IF(OR($C92="",$G92&lt;=0,$A92&gt;'03_BAO_CAO'!$E$4),0,MAX(0,$G92-MAX(0,SUMIFS($H$7:$H$506,$C$7:$C$506,$C92,$A$7:$A$506,"&lt;="&amp;'03_BAO_CAO'!$E$4)-XLOOKUP($C92,'01_DANH_MUC'!$A$7:$A$206,'01_DANH_MUC'!$F$7:$F$206,0)-SUMIFS($G$7:G91,$C$7:C91,$C92,$A$7:A91,"&lt;="&amp;'03_BAO_CAO'!$E$4)))))</f>
        <v/>
      </c>
      <c r="L92" s="212">
        <f>IF($A92="","",IF(OR($K92&lt;=0,$J92=""),0,MAX(0,'03_BAO_CAO'!$E$4-$J92)))</f>
        <v/>
      </c>
      <c r="M92" s="51">
        <f>IF($A92="","",IF($K92&lt;=0,"Đã thanh toán",IF($J92="","Thiếu ngày đến hạn",IF($J92&gt;='03_BAO_CAO'!$E$4,"Chưa đến hạn",IF($L92&lt;=30,"1-30 ngày",IF($L92&lt;=60,"31-60 ngày",IF($L92&lt;=90,"61-90 ngày","Trên 90 ngày")))))))</f>
        <v/>
      </c>
      <c r="N92" s="51">
        <f>IF($A92="","",IF(OR($B92="",$C92=""),"THIẾU THÔNG TIN",IF(AND($G92&gt;0,$H92&gt;0),"KHÔNG NHẬP ĐỒNG THỜI TĂNG/GIẢM",IF(AND($G92&lt;=0,$H92&lt;=0),"CHƯA NHẬP SỐ TIỀN",IF($D92="KHÔNG TÌM THẤY","MÃ KHÔNG HỢP LỆ",IF(AND($G92&gt;0,$J92=""),"THIẾU NGÀY ĐẾN HẠN","OK"))))))</f>
        <v/>
      </c>
    </row>
    <row r="93">
      <c r="A93" s="209" t="n"/>
      <c r="B93" s="47" t="n"/>
      <c r="C93" s="47" t="n"/>
      <c r="D93" s="51">
        <f>IF($C93="","",XLOOKUP($C93,'01_DANH_MUC'!$A$7:$A$206,'01_DANH_MUC'!$B$7:$B$206,"KHÔNG TÌM THẤY"))</f>
        <v/>
      </c>
      <c r="E93" s="51">
        <f>IF($C93="","",XLOOKUP($C93,'01_DANH_MUC'!$A$7:$A$206,'01_DANH_MUC'!$C$7:$C$206,"KHÔNG TÌM THẤY"))</f>
        <v/>
      </c>
      <c r="F93" s="57" t="n"/>
      <c r="G93" s="211" t="n"/>
      <c r="H93" s="211" t="n"/>
      <c r="I93" s="212">
        <f>IF($C93="","",XLOOKUP($C93,'01_DANH_MUC'!$A$7:$A$206,'01_DANH_MUC'!$E$7:$E$206,0))</f>
        <v/>
      </c>
      <c r="J93" s="213">
        <f>IF(OR($A93="",$C93="",$G93&lt;=0),"",$A93+$I93)</f>
        <v/>
      </c>
      <c r="K93" s="210">
        <f>IF($A93="","",IF(OR($C93="",$G93&lt;=0,$A93&gt;'03_BAO_CAO'!$E$4),0,MAX(0,$G93-MAX(0,SUMIFS($H$7:$H$506,$C$7:$C$506,$C93,$A$7:$A$506,"&lt;="&amp;'03_BAO_CAO'!$E$4)-XLOOKUP($C93,'01_DANH_MUC'!$A$7:$A$206,'01_DANH_MUC'!$F$7:$F$206,0)-SUMIFS($G$7:G92,$C$7:C92,$C93,$A$7:A92,"&lt;="&amp;'03_BAO_CAO'!$E$4)))))</f>
        <v/>
      </c>
      <c r="L93" s="212">
        <f>IF($A93="","",IF(OR($K93&lt;=0,$J93=""),0,MAX(0,'03_BAO_CAO'!$E$4-$J93)))</f>
        <v/>
      </c>
      <c r="M93" s="51">
        <f>IF($A93="","",IF($K93&lt;=0,"Đã thanh toán",IF($J93="","Thiếu ngày đến hạn",IF($J93&gt;='03_BAO_CAO'!$E$4,"Chưa đến hạn",IF($L93&lt;=30,"1-30 ngày",IF($L93&lt;=60,"31-60 ngày",IF($L93&lt;=90,"61-90 ngày","Trên 90 ngày")))))))</f>
        <v/>
      </c>
      <c r="N93" s="51">
        <f>IF($A93="","",IF(OR($B93="",$C93=""),"THIẾU THÔNG TIN",IF(AND($G93&gt;0,$H93&gt;0),"KHÔNG NHẬP ĐỒNG THỜI TĂNG/GIẢM",IF(AND($G93&lt;=0,$H93&lt;=0),"CHƯA NHẬP SỐ TIỀN",IF($D93="KHÔNG TÌM THẤY","MÃ KHÔNG HỢP LỆ",IF(AND($G93&gt;0,$J93=""),"THIẾU NGÀY ĐẾN HẠN","OK"))))))</f>
        <v/>
      </c>
    </row>
    <row r="94">
      <c r="A94" s="209" t="n"/>
      <c r="B94" s="47" t="n"/>
      <c r="C94" s="47" t="n"/>
      <c r="D94" s="51">
        <f>IF($C94="","",XLOOKUP($C94,'01_DANH_MUC'!$A$7:$A$206,'01_DANH_MUC'!$B$7:$B$206,"KHÔNG TÌM THẤY"))</f>
        <v/>
      </c>
      <c r="E94" s="51">
        <f>IF($C94="","",XLOOKUP($C94,'01_DANH_MUC'!$A$7:$A$206,'01_DANH_MUC'!$C$7:$C$206,"KHÔNG TÌM THẤY"))</f>
        <v/>
      </c>
      <c r="F94" s="57" t="n"/>
      <c r="G94" s="211" t="n"/>
      <c r="H94" s="211" t="n"/>
      <c r="I94" s="212">
        <f>IF($C94="","",XLOOKUP($C94,'01_DANH_MUC'!$A$7:$A$206,'01_DANH_MUC'!$E$7:$E$206,0))</f>
        <v/>
      </c>
      <c r="J94" s="213">
        <f>IF(OR($A94="",$C94="",$G94&lt;=0),"",$A94+$I94)</f>
        <v/>
      </c>
      <c r="K94" s="210">
        <f>IF($A94="","",IF(OR($C94="",$G94&lt;=0,$A94&gt;'03_BAO_CAO'!$E$4),0,MAX(0,$G94-MAX(0,SUMIFS($H$7:$H$506,$C$7:$C$506,$C94,$A$7:$A$506,"&lt;="&amp;'03_BAO_CAO'!$E$4)-XLOOKUP($C94,'01_DANH_MUC'!$A$7:$A$206,'01_DANH_MUC'!$F$7:$F$206,0)-SUMIFS($G$7:G93,$C$7:C93,$C94,$A$7:A93,"&lt;="&amp;'03_BAO_CAO'!$E$4)))))</f>
        <v/>
      </c>
      <c r="L94" s="212">
        <f>IF($A94="","",IF(OR($K94&lt;=0,$J94=""),0,MAX(0,'03_BAO_CAO'!$E$4-$J94)))</f>
        <v/>
      </c>
      <c r="M94" s="51">
        <f>IF($A94="","",IF($K94&lt;=0,"Đã thanh toán",IF($J94="","Thiếu ngày đến hạn",IF($J94&gt;='03_BAO_CAO'!$E$4,"Chưa đến hạn",IF($L94&lt;=30,"1-30 ngày",IF($L94&lt;=60,"31-60 ngày",IF($L94&lt;=90,"61-90 ngày","Trên 90 ngày")))))))</f>
        <v/>
      </c>
      <c r="N94" s="51">
        <f>IF($A94="","",IF(OR($B94="",$C94=""),"THIẾU THÔNG TIN",IF(AND($G94&gt;0,$H94&gt;0),"KHÔNG NHẬP ĐỒNG THỜI TĂNG/GIẢM",IF(AND($G94&lt;=0,$H94&lt;=0),"CHƯA NHẬP SỐ TIỀN",IF($D94="KHÔNG TÌM THẤY","MÃ KHÔNG HỢP LỆ",IF(AND($G94&gt;0,$J94=""),"THIẾU NGÀY ĐẾN HẠN","OK"))))))</f>
        <v/>
      </c>
    </row>
    <row r="95">
      <c r="A95" s="209" t="n"/>
      <c r="B95" s="47" t="n"/>
      <c r="C95" s="47" t="n"/>
      <c r="D95" s="51">
        <f>IF($C95="","",XLOOKUP($C95,'01_DANH_MUC'!$A$7:$A$206,'01_DANH_MUC'!$B$7:$B$206,"KHÔNG TÌM THẤY"))</f>
        <v/>
      </c>
      <c r="E95" s="51">
        <f>IF($C95="","",XLOOKUP($C95,'01_DANH_MUC'!$A$7:$A$206,'01_DANH_MUC'!$C$7:$C$206,"KHÔNG TÌM THẤY"))</f>
        <v/>
      </c>
      <c r="F95" s="57" t="n"/>
      <c r="G95" s="211" t="n"/>
      <c r="H95" s="211" t="n"/>
      <c r="I95" s="212">
        <f>IF($C95="","",XLOOKUP($C95,'01_DANH_MUC'!$A$7:$A$206,'01_DANH_MUC'!$E$7:$E$206,0))</f>
        <v/>
      </c>
      <c r="J95" s="213">
        <f>IF(OR($A95="",$C95="",$G95&lt;=0),"",$A95+$I95)</f>
        <v/>
      </c>
      <c r="K95" s="210">
        <f>IF($A95="","",IF(OR($C95="",$G95&lt;=0,$A95&gt;'03_BAO_CAO'!$E$4),0,MAX(0,$G95-MAX(0,SUMIFS($H$7:$H$506,$C$7:$C$506,$C95,$A$7:$A$506,"&lt;="&amp;'03_BAO_CAO'!$E$4)-XLOOKUP($C95,'01_DANH_MUC'!$A$7:$A$206,'01_DANH_MUC'!$F$7:$F$206,0)-SUMIFS($G$7:G94,$C$7:C94,$C95,$A$7:A94,"&lt;="&amp;'03_BAO_CAO'!$E$4)))))</f>
        <v/>
      </c>
      <c r="L95" s="212">
        <f>IF($A95="","",IF(OR($K95&lt;=0,$J95=""),0,MAX(0,'03_BAO_CAO'!$E$4-$J95)))</f>
        <v/>
      </c>
      <c r="M95" s="51">
        <f>IF($A95="","",IF($K95&lt;=0,"Đã thanh toán",IF($J95="","Thiếu ngày đến hạn",IF($J95&gt;='03_BAO_CAO'!$E$4,"Chưa đến hạn",IF($L95&lt;=30,"1-30 ngày",IF($L95&lt;=60,"31-60 ngày",IF($L95&lt;=90,"61-90 ngày","Trên 90 ngày")))))))</f>
        <v/>
      </c>
      <c r="N95" s="51">
        <f>IF($A95="","",IF(OR($B95="",$C95=""),"THIẾU THÔNG TIN",IF(AND($G95&gt;0,$H95&gt;0),"KHÔNG NHẬP ĐỒNG THỜI TĂNG/GIẢM",IF(AND($G95&lt;=0,$H95&lt;=0),"CHƯA NHẬP SỐ TIỀN",IF($D95="KHÔNG TÌM THẤY","MÃ KHÔNG HỢP LỆ",IF(AND($G95&gt;0,$J95=""),"THIẾU NGÀY ĐẾN HẠN","OK"))))))</f>
        <v/>
      </c>
    </row>
    <row r="96">
      <c r="A96" s="209" t="n"/>
      <c r="B96" s="47" t="n"/>
      <c r="C96" s="47" t="n"/>
      <c r="D96" s="51">
        <f>IF($C96="","",XLOOKUP($C96,'01_DANH_MUC'!$A$7:$A$206,'01_DANH_MUC'!$B$7:$B$206,"KHÔNG TÌM THẤY"))</f>
        <v/>
      </c>
      <c r="E96" s="51">
        <f>IF($C96="","",XLOOKUP($C96,'01_DANH_MUC'!$A$7:$A$206,'01_DANH_MUC'!$C$7:$C$206,"KHÔNG TÌM THẤY"))</f>
        <v/>
      </c>
      <c r="F96" s="57" t="n"/>
      <c r="G96" s="211" t="n"/>
      <c r="H96" s="211" t="n"/>
      <c r="I96" s="212">
        <f>IF($C96="","",XLOOKUP($C96,'01_DANH_MUC'!$A$7:$A$206,'01_DANH_MUC'!$E$7:$E$206,0))</f>
        <v/>
      </c>
      <c r="J96" s="213">
        <f>IF(OR($A96="",$C96="",$G96&lt;=0),"",$A96+$I96)</f>
        <v/>
      </c>
      <c r="K96" s="210">
        <f>IF($A96="","",IF(OR($C96="",$G96&lt;=0,$A96&gt;'03_BAO_CAO'!$E$4),0,MAX(0,$G96-MAX(0,SUMIFS($H$7:$H$506,$C$7:$C$506,$C96,$A$7:$A$506,"&lt;="&amp;'03_BAO_CAO'!$E$4)-XLOOKUP($C96,'01_DANH_MUC'!$A$7:$A$206,'01_DANH_MUC'!$F$7:$F$206,0)-SUMIFS($G$7:G95,$C$7:C95,$C96,$A$7:A95,"&lt;="&amp;'03_BAO_CAO'!$E$4)))))</f>
        <v/>
      </c>
      <c r="L96" s="212">
        <f>IF($A96="","",IF(OR($K96&lt;=0,$J96=""),0,MAX(0,'03_BAO_CAO'!$E$4-$J96)))</f>
        <v/>
      </c>
      <c r="M96" s="51">
        <f>IF($A96="","",IF($K96&lt;=0,"Đã thanh toán",IF($J96="","Thiếu ngày đến hạn",IF($J96&gt;='03_BAO_CAO'!$E$4,"Chưa đến hạn",IF($L96&lt;=30,"1-30 ngày",IF($L96&lt;=60,"31-60 ngày",IF($L96&lt;=90,"61-90 ngày","Trên 90 ngày")))))))</f>
        <v/>
      </c>
      <c r="N96" s="51">
        <f>IF($A96="","",IF(OR($B96="",$C96=""),"THIẾU THÔNG TIN",IF(AND($G96&gt;0,$H96&gt;0),"KHÔNG NHẬP ĐỒNG THỜI TĂNG/GIẢM",IF(AND($G96&lt;=0,$H96&lt;=0),"CHƯA NHẬP SỐ TIỀN",IF($D96="KHÔNG TÌM THẤY","MÃ KHÔNG HỢP LỆ",IF(AND($G96&gt;0,$J96=""),"THIẾU NGÀY ĐẾN HẠN","OK"))))))</f>
        <v/>
      </c>
    </row>
    <row r="97">
      <c r="A97" s="209" t="n"/>
      <c r="B97" s="47" t="n"/>
      <c r="C97" s="47" t="n"/>
      <c r="D97" s="51">
        <f>IF($C97="","",XLOOKUP($C97,'01_DANH_MUC'!$A$7:$A$206,'01_DANH_MUC'!$B$7:$B$206,"KHÔNG TÌM THẤY"))</f>
        <v/>
      </c>
      <c r="E97" s="51">
        <f>IF($C97="","",XLOOKUP($C97,'01_DANH_MUC'!$A$7:$A$206,'01_DANH_MUC'!$C$7:$C$206,"KHÔNG TÌM THẤY"))</f>
        <v/>
      </c>
      <c r="F97" s="57" t="n"/>
      <c r="G97" s="211" t="n"/>
      <c r="H97" s="211" t="n"/>
      <c r="I97" s="212">
        <f>IF($C97="","",XLOOKUP($C97,'01_DANH_MUC'!$A$7:$A$206,'01_DANH_MUC'!$E$7:$E$206,0))</f>
        <v/>
      </c>
      <c r="J97" s="213">
        <f>IF(OR($A97="",$C97="",$G97&lt;=0),"",$A97+$I97)</f>
        <v/>
      </c>
      <c r="K97" s="210">
        <f>IF($A97="","",IF(OR($C97="",$G97&lt;=0,$A97&gt;'03_BAO_CAO'!$E$4),0,MAX(0,$G97-MAX(0,SUMIFS($H$7:$H$506,$C$7:$C$506,$C97,$A$7:$A$506,"&lt;="&amp;'03_BAO_CAO'!$E$4)-XLOOKUP($C97,'01_DANH_MUC'!$A$7:$A$206,'01_DANH_MUC'!$F$7:$F$206,0)-SUMIFS($G$7:G96,$C$7:C96,$C97,$A$7:A96,"&lt;="&amp;'03_BAO_CAO'!$E$4)))))</f>
        <v/>
      </c>
      <c r="L97" s="212">
        <f>IF($A97="","",IF(OR($K97&lt;=0,$J97=""),0,MAX(0,'03_BAO_CAO'!$E$4-$J97)))</f>
        <v/>
      </c>
      <c r="M97" s="51">
        <f>IF($A97="","",IF($K97&lt;=0,"Đã thanh toán",IF($J97="","Thiếu ngày đến hạn",IF($J97&gt;='03_BAO_CAO'!$E$4,"Chưa đến hạn",IF($L97&lt;=30,"1-30 ngày",IF($L97&lt;=60,"31-60 ngày",IF($L97&lt;=90,"61-90 ngày","Trên 90 ngày")))))))</f>
        <v/>
      </c>
      <c r="N97" s="51">
        <f>IF($A97="","",IF(OR($B97="",$C97=""),"THIẾU THÔNG TIN",IF(AND($G97&gt;0,$H97&gt;0),"KHÔNG NHẬP ĐỒNG THỜI TĂNG/GIẢM",IF(AND($G97&lt;=0,$H97&lt;=0),"CHƯA NHẬP SỐ TIỀN",IF($D97="KHÔNG TÌM THẤY","MÃ KHÔNG HỢP LỆ",IF(AND($G97&gt;0,$J97=""),"THIẾU NGÀY ĐẾN HẠN","OK"))))))</f>
        <v/>
      </c>
    </row>
    <row r="98">
      <c r="A98" s="209" t="n"/>
      <c r="B98" s="47" t="n"/>
      <c r="C98" s="47" t="n"/>
      <c r="D98" s="51">
        <f>IF($C98="","",XLOOKUP($C98,'01_DANH_MUC'!$A$7:$A$206,'01_DANH_MUC'!$B$7:$B$206,"KHÔNG TÌM THẤY"))</f>
        <v/>
      </c>
      <c r="E98" s="51">
        <f>IF($C98="","",XLOOKUP($C98,'01_DANH_MUC'!$A$7:$A$206,'01_DANH_MUC'!$C$7:$C$206,"KHÔNG TÌM THẤY"))</f>
        <v/>
      </c>
      <c r="F98" s="57" t="n"/>
      <c r="G98" s="211" t="n"/>
      <c r="H98" s="211" t="n"/>
      <c r="I98" s="212">
        <f>IF($C98="","",XLOOKUP($C98,'01_DANH_MUC'!$A$7:$A$206,'01_DANH_MUC'!$E$7:$E$206,0))</f>
        <v/>
      </c>
      <c r="J98" s="213">
        <f>IF(OR($A98="",$C98="",$G98&lt;=0),"",$A98+$I98)</f>
        <v/>
      </c>
      <c r="K98" s="210">
        <f>IF($A98="","",IF(OR($C98="",$G98&lt;=0,$A98&gt;'03_BAO_CAO'!$E$4),0,MAX(0,$G98-MAX(0,SUMIFS($H$7:$H$506,$C$7:$C$506,$C98,$A$7:$A$506,"&lt;="&amp;'03_BAO_CAO'!$E$4)-XLOOKUP($C98,'01_DANH_MUC'!$A$7:$A$206,'01_DANH_MUC'!$F$7:$F$206,0)-SUMIFS($G$7:G97,$C$7:C97,$C98,$A$7:A97,"&lt;="&amp;'03_BAO_CAO'!$E$4)))))</f>
        <v/>
      </c>
      <c r="L98" s="212">
        <f>IF($A98="","",IF(OR($K98&lt;=0,$J98=""),0,MAX(0,'03_BAO_CAO'!$E$4-$J98)))</f>
        <v/>
      </c>
      <c r="M98" s="51">
        <f>IF($A98="","",IF($K98&lt;=0,"Đã thanh toán",IF($J98="","Thiếu ngày đến hạn",IF($J98&gt;='03_BAO_CAO'!$E$4,"Chưa đến hạn",IF($L98&lt;=30,"1-30 ngày",IF($L98&lt;=60,"31-60 ngày",IF($L98&lt;=90,"61-90 ngày","Trên 90 ngày")))))))</f>
        <v/>
      </c>
      <c r="N98" s="51">
        <f>IF($A98="","",IF(OR($B98="",$C98=""),"THIẾU THÔNG TIN",IF(AND($G98&gt;0,$H98&gt;0),"KHÔNG NHẬP ĐỒNG THỜI TĂNG/GIẢM",IF(AND($G98&lt;=0,$H98&lt;=0),"CHƯA NHẬP SỐ TIỀN",IF($D98="KHÔNG TÌM THẤY","MÃ KHÔNG HỢP LỆ",IF(AND($G98&gt;0,$J98=""),"THIẾU NGÀY ĐẾN HẠN","OK"))))))</f>
        <v/>
      </c>
    </row>
    <row r="99">
      <c r="A99" s="209" t="n"/>
      <c r="B99" s="47" t="n"/>
      <c r="C99" s="47" t="n"/>
      <c r="D99" s="51">
        <f>IF($C99="","",XLOOKUP($C99,'01_DANH_MUC'!$A$7:$A$206,'01_DANH_MUC'!$B$7:$B$206,"KHÔNG TÌM THẤY"))</f>
        <v/>
      </c>
      <c r="E99" s="51">
        <f>IF($C99="","",XLOOKUP($C99,'01_DANH_MUC'!$A$7:$A$206,'01_DANH_MUC'!$C$7:$C$206,"KHÔNG TÌM THẤY"))</f>
        <v/>
      </c>
      <c r="F99" s="57" t="n"/>
      <c r="G99" s="211" t="n"/>
      <c r="H99" s="211" t="n"/>
      <c r="I99" s="212">
        <f>IF($C99="","",XLOOKUP($C99,'01_DANH_MUC'!$A$7:$A$206,'01_DANH_MUC'!$E$7:$E$206,0))</f>
        <v/>
      </c>
      <c r="J99" s="213">
        <f>IF(OR($A99="",$C99="",$G99&lt;=0),"",$A99+$I99)</f>
        <v/>
      </c>
      <c r="K99" s="210">
        <f>IF($A99="","",IF(OR($C99="",$G99&lt;=0,$A99&gt;'03_BAO_CAO'!$E$4),0,MAX(0,$G99-MAX(0,SUMIFS($H$7:$H$506,$C$7:$C$506,$C99,$A$7:$A$506,"&lt;="&amp;'03_BAO_CAO'!$E$4)-XLOOKUP($C99,'01_DANH_MUC'!$A$7:$A$206,'01_DANH_MUC'!$F$7:$F$206,0)-SUMIFS($G$7:G98,$C$7:C98,$C99,$A$7:A98,"&lt;="&amp;'03_BAO_CAO'!$E$4)))))</f>
        <v/>
      </c>
      <c r="L99" s="212">
        <f>IF($A99="","",IF(OR($K99&lt;=0,$J99=""),0,MAX(0,'03_BAO_CAO'!$E$4-$J99)))</f>
        <v/>
      </c>
      <c r="M99" s="51">
        <f>IF($A99="","",IF($K99&lt;=0,"Đã thanh toán",IF($J99="","Thiếu ngày đến hạn",IF($J99&gt;='03_BAO_CAO'!$E$4,"Chưa đến hạn",IF($L99&lt;=30,"1-30 ngày",IF($L99&lt;=60,"31-60 ngày",IF($L99&lt;=90,"61-90 ngày","Trên 90 ngày")))))))</f>
        <v/>
      </c>
      <c r="N99" s="51">
        <f>IF($A99="","",IF(OR($B99="",$C99=""),"THIẾU THÔNG TIN",IF(AND($G99&gt;0,$H99&gt;0),"KHÔNG NHẬP ĐỒNG THỜI TĂNG/GIẢM",IF(AND($G99&lt;=0,$H99&lt;=0),"CHƯA NHẬP SỐ TIỀN",IF($D99="KHÔNG TÌM THẤY","MÃ KHÔNG HỢP LỆ",IF(AND($G99&gt;0,$J99=""),"THIẾU NGÀY ĐẾN HẠN","OK"))))))</f>
        <v/>
      </c>
    </row>
    <row r="100">
      <c r="A100" s="209" t="n"/>
      <c r="B100" s="47" t="n"/>
      <c r="C100" s="47" t="n"/>
      <c r="D100" s="51">
        <f>IF($C100="","",XLOOKUP($C100,'01_DANH_MUC'!$A$7:$A$206,'01_DANH_MUC'!$B$7:$B$206,"KHÔNG TÌM THẤY"))</f>
        <v/>
      </c>
      <c r="E100" s="51">
        <f>IF($C100="","",XLOOKUP($C100,'01_DANH_MUC'!$A$7:$A$206,'01_DANH_MUC'!$C$7:$C$206,"KHÔNG TÌM THẤY"))</f>
        <v/>
      </c>
      <c r="F100" s="57" t="n"/>
      <c r="G100" s="211" t="n"/>
      <c r="H100" s="211" t="n"/>
      <c r="I100" s="212">
        <f>IF($C100="","",XLOOKUP($C100,'01_DANH_MUC'!$A$7:$A$206,'01_DANH_MUC'!$E$7:$E$206,0))</f>
        <v/>
      </c>
      <c r="J100" s="213">
        <f>IF(OR($A100="",$C100="",$G100&lt;=0),"",$A100+$I100)</f>
        <v/>
      </c>
      <c r="K100" s="210">
        <f>IF($A100="","",IF(OR($C100="",$G100&lt;=0,$A100&gt;'03_BAO_CAO'!$E$4),0,MAX(0,$G100-MAX(0,SUMIFS($H$7:$H$506,$C$7:$C$506,$C100,$A$7:$A$506,"&lt;="&amp;'03_BAO_CAO'!$E$4)-XLOOKUP($C100,'01_DANH_MUC'!$A$7:$A$206,'01_DANH_MUC'!$F$7:$F$206,0)-SUMIFS($G$7:G99,$C$7:C99,$C100,$A$7:A99,"&lt;="&amp;'03_BAO_CAO'!$E$4)))))</f>
        <v/>
      </c>
      <c r="L100" s="212">
        <f>IF($A100="","",IF(OR($K100&lt;=0,$J100=""),0,MAX(0,'03_BAO_CAO'!$E$4-$J100)))</f>
        <v/>
      </c>
      <c r="M100" s="51">
        <f>IF($A100="","",IF($K100&lt;=0,"Đã thanh toán",IF($J100="","Thiếu ngày đến hạn",IF($J100&gt;='03_BAO_CAO'!$E$4,"Chưa đến hạn",IF($L100&lt;=30,"1-30 ngày",IF($L100&lt;=60,"31-60 ngày",IF($L100&lt;=90,"61-90 ngày","Trên 90 ngày")))))))</f>
        <v/>
      </c>
      <c r="N100" s="51">
        <f>IF($A100="","",IF(OR($B100="",$C100=""),"THIẾU THÔNG TIN",IF(AND($G100&gt;0,$H100&gt;0),"KHÔNG NHẬP ĐỒNG THỜI TĂNG/GIẢM",IF(AND($G100&lt;=0,$H100&lt;=0),"CHƯA NHẬP SỐ TIỀN",IF($D100="KHÔNG TÌM THẤY","MÃ KHÔNG HỢP LỆ",IF(AND($G100&gt;0,$J100=""),"THIẾU NGÀY ĐẾN HẠN","OK"))))))</f>
        <v/>
      </c>
    </row>
    <row r="101">
      <c r="A101" s="209" t="n"/>
      <c r="B101" s="47" t="n"/>
      <c r="C101" s="47" t="n"/>
      <c r="D101" s="51">
        <f>IF($C101="","",XLOOKUP($C101,'01_DANH_MUC'!$A$7:$A$206,'01_DANH_MUC'!$B$7:$B$206,"KHÔNG TÌM THẤY"))</f>
        <v/>
      </c>
      <c r="E101" s="51">
        <f>IF($C101="","",XLOOKUP($C101,'01_DANH_MUC'!$A$7:$A$206,'01_DANH_MUC'!$C$7:$C$206,"KHÔNG TÌM THẤY"))</f>
        <v/>
      </c>
      <c r="F101" s="57" t="n"/>
      <c r="G101" s="211" t="n"/>
      <c r="H101" s="211" t="n"/>
      <c r="I101" s="212">
        <f>IF($C101="","",XLOOKUP($C101,'01_DANH_MUC'!$A$7:$A$206,'01_DANH_MUC'!$E$7:$E$206,0))</f>
        <v/>
      </c>
      <c r="J101" s="213">
        <f>IF(OR($A101="",$C101="",$G101&lt;=0),"",$A101+$I101)</f>
        <v/>
      </c>
      <c r="K101" s="210">
        <f>IF($A101="","",IF(OR($C101="",$G101&lt;=0,$A101&gt;'03_BAO_CAO'!$E$4),0,MAX(0,$G101-MAX(0,SUMIFS($H$7:$H$506,$C$7:$C$506,$C101,$A$7:$A$506,"&lt;="&amp;'03_BAO_CAO'!$E$4)-XLOOKUP($C101,'01_DANH_MUC'!$A$7:$A$206,'01_DANH_MUC'!$F$7:$F$206,0)-SUMIFS($G$7:G100,$C$7:C100,$C101,$A$7:A100,"&lt;="&amp;'03_BAO_CAO'!$E$4)))))</f>
        <v/>
      </c>
      <c r="L101" s="212">
        <f>IF($A101="","",IF(OR($K101&lt;=0,$J101=""),0,MAX(0,'03_BAO_CAO'!$E$4-$J101)))</f>
        <v/>
      </c>
      <c r="M101" s="51">
        <f>IF($A101="","",IF($K101&lt;=0,"Đã thanh toán",IF($J101="","Thiếu ngày đến hạn",IF($J101&gt;='03_BAO_CAO'!$E$4,"Chưa đến hạn",IF($L101&lt;=30,"1-30 ngày",IF($L101&lt;=60,"31-60 ngày",IF($L101&lt;=90,"61-90 ngày","Trên 90 ngày")))))))</f>
        <v/>
      </c>
      <c r="N101" s="51">
        <f>IF($A101="","",IF(OR($B101="",$C101=""),"THIẾU THÔNG TIN",IF(AND($G101&gt;0,$H101&gt;0),"KHÔNG NHẬP ĐỒNG THỜI TĂNG/GIẢM",IF(AND($G101&lt;=0,$H101&lt;=0),"CHƯA NHẬP SỐ TIỀN",IF($D101="KHÔNG TÌM THẤY","MÃ KHÔNG HỢP LỆ",IF(AND($G101&gt;0,$J101=""),"THIẾU NGÀY ĐẾN HẠN","OK"))))))</f>
        <v/>
      </c>
    </row>
    <row r="102">
      <c r="A102" s="209" t="n"/>
      <c r="B102" s="47" t="n"/>
      <c r="C102" s="47" t="n"/>
      <c r="D102" s="51">
        <f>IF($C102="","",XLOOKUP($C102,'01_DANH_MUC'!$A$7:$A$206,'01_DANH_MUC'!$B$7:$B$206,"KHÔNG TÌM THẤY"))</f>
        <v/>
      </c>
      <c r="E102" s="51">
        <f>IF($C102="","",XLOOKUP($C102,'01_DANH_MUC'!$A$7:$A$206,'01_DANH_MUC'!$C$7:$C$206,"KHÔNG TÌM THẤY"))</f>
        <v/>
      </c>
      <c r="F102" s="57" t="n"/>
      <c r="G102" s="211" t="n"/>
      <c r="H102" s="211" t="n"/>
      <c r="I102" s="212">
        <f>IF($C102="","",XLOOKUP($C102,'01_DANH_MUC'!$A$7:$A$206,'01_DANH_MUC'!$E$7:$E$206,0))</f>
        <v/>
      </c>
      <c r="J102" s="213">
        <f>IF(OR($A102="",$C102="",$G102&lt;=0),"",$A102+$I102)</f>
        <v/>
      </c>
      <c r="K102" s="210">
        <f>IF($A102="","",IF(OR($C102="",$G102&lt;=0,$A102&gt;'03_BAO_CAO'!$E$4),0,MAX(0,$G102-MAX(0,SUMIFS($H$7:$H$506,$C$7:$C$506,$C102,$A$7:$A$506,"&lt;="&amp;'03_BAO_CAO'!$E$4)-XLOOKUP($C102,'01_DANH_MUC'!$A$7:$A$206,'01_DANH_MUC'!$F$7:$F$206,0)-SUMIFS($G$7:G101,$C$7:C101,$C102,$A$7:A101,"&lt;="&amp;'03_BAO_CAO'!$E$4)))))</f>
        <v/>
      </c>
      <c r="L102" s="212">
        <f>IF($A102="","",IF(OR($K102&lt;=0,$J102=""),0,MAX(0,'03_BAO_CAO'!$E$4-$J102)))</f>
        <v/>
      </c>
      <c r="M102" s="51">
        <f>IF($A102="","",IF($K102&lt;=0,"Đã thanh toán",IF($J102="","Thiếu ngày đến hạn",IF($J102&gt;='03_BAO_CAO'!$E$4,"Chưa đến hạn",IF($L102&lt;=30,"1-30 ngày",IF($L102&lt;=60,"31-60 ngày",IF($L102&lt;=90,"61-90 ngày","Trên 90 ngày")))))))</f>
        <v/>
      </c>
      <c r="N102" s="51">
        <f>IF($A102="","",IF(OR($B102="",$C102=""),"THIẾU THÔNG TIN",IF(AND($G102&gt;0,$H102&gt;0),"KHÔNG NHẬP ĐỒNG THỜI TĂNG/GIẢM",IF(AND($G102&lt;=0,$H102&lt;=0),"CHƯA NHẬP SỐ TIỀN",IF($D102="KHÔNG TÌM THẤY","MÃ KHÔNG HỢP LỆ",IF(AND($G102&gt;0,$J102=""),"THIẾU NGÀY ĐẾN HẠN","OK"))))))</f>
        <v/>
      </c>
    </row>
    <row r="103">
      <c r="A103" s="209" t="n"/>
      <c r="B103" s="47" t="n"/>
      <c r="C103" s="47" t="n"/>
      <c r="D103" s="51">
        <f>IF($C103="","",XLOOKUP($C103,'01_DANH_MUC'!$A$7:$A$206,'01_DANH_MUC'!$B$7:$B$206,"KHÔNG TÌM THẤY"))</f>
        <v/>
      </c>
      <c r="E103" s="51">
        <f>IF($C103="","",XLOOKUP($C103,'01_DANH_MUC'!$A$7:$A$206,'01_DANH_MUC'!$C$7:$C$206,"KHÔNG TÌM THẤY"))</f>
        <v/>
      </c>
      <c r="F103" s="57" t="n"/>
      <c r="G103" s="211" t="n"/>
      <c r="H103" s="211" t="n"/>
      <c r="I103" s="212">
        <f>IF($C103="","",XLOOKUP($C103,'01_DANH_MUC'!$A$7:$A$206,'01_DANH_MUC'!$E$7:$E$206,0))</f>
        <v/>
      </c>
      <c r="J103" s="213">
        <f>IF(OR($A103="",$C103="",$G103&lt;=0),"",$A103+$I103)</f>
        <v/>
      </c>
      <c r="K103" s="210">
        <f>IF($A103="","",IF(OR($C103="",$G103&lt;=0,$A103&gt;'03_BAO_CAO'!$E$4),0,MAX(0,$G103-MAX(0,SUMIFS($H$7:$H$506,$C$7:$C$506,$C103,$A$7:$A$506,"&lt;="&amp;'03_BAO_CAO'!$E$4)-XLOOKUP($C103,'01_DANH_MUC'!$A$7:$A$206,'01_DANH_MUC'!$F$7:$F$206,0)-SUMIFS($G$7:G102,$C$7:C102,$C103,$A$7:A102,"&lt;="&amp;'03_BAO_CAO'!$E$4)))))</f>
        <v/>
      </c>
      <c r="L103" s="212">
        <f>IF($A103="","",IF(OR($K103&lt;=0,$J103=""),0,MAX(0,'03_BAO_CAO'!$E$4-$J103)))</f>
        <v/>
      </c>
      <c r="M103" s="51">
        <f>IF($A103="","",IF($K103&lt;=0,"Đã thanh toán",IF($J103="","Thiếu ngày đến hạn",IF($J103&gt;='03_BAO_CAO'!$E$4,"Chưa đến hạn",IF($L103&lt;=30,"1-30 ngày",IF($L103&lt;=60,"31-60 ngày",IF($L103&lt;=90,"61-90 ngày","Trên 90 ngày")))))))</f>
        <v/>
      </c>
      <c r="N103" s="51">
        <f>IF($A103="","",IF(OR($B103="",$C103=""),"THIẾU THÔNG TIN",IF(AND($G103&gt;0,$H103&gt;0),"KHÔNG NHẬP ĐỒNG THỜI TĂNG/GIẢM",IF(AND($G103&lt;=0,$H103&lt;=0),"CHƯA NHẬP SỐ TIỀN",IF($D103="KHÔNG TÌM THẤY","MÃ KHÔNG HỢP LỆ",IF(AND($G103&gt;0,$J103=""),"THIẾU NGÀY ĐẾN HẠN","OK"))))))</f>
        <v/>
      </c>
    </row>
    <row r="104">
      <c r="A104" s="209" t="n"/>
      <c r="B104" s="47" t="n"/>
      <c r="C104" s="47" t="n"/>
      <c r="D104" s="51">
        <f>IF($C104="","",XLOOKUP($C104,'01_DANH_MUC'!$A$7:$A$206,'01_DANH_MUC'!$B$7:$B$206,"KHÔNG TÌM THẤY"))</f>
        <v/>
      </c>
      <c r="E104" s="51">
        <f>IF($C104="","",XLOOKUP($C104,'01_DANH_MUC'!$A$7:$A$206,'01_DANH_MUC'!$C$7:$C$206,"KHÔNG TÌM THẤY"))</f>
        <v/>
      </c>
      <c r="F104" s="57" t="n"/>
      <c r="G104" s="211" t="n"/>
      <c r="H104" s="211" t="n"/>
      <c r="I104" s="212">
        <f>IF($C104="","",XLOOKUP($C104,'01_DANH_MUC'!$A$7:$A$206,'01_DANH_MUC'!$E$7:$E$206,0))</f>
        <v/>
      </c>
      <c r="J104" s="213">
        <f>IF(OR($A104="",$C104="",$G104&lt;=0),"",$A104+$I104)</f>
        <v/>
      </c>
      <c r="K104" s="210">
        <f>IF($A104="","",IF(OR($C104="",$G104&lt;=0,$A104&gt;'03_BAO_CAO'!$E$4),0,MAX(0,$G104-MAX(0,SUMIFS($H$7:$H$506,$C$7:$C$506,$C104,$A$7:$A$506,"&lt;="&amp;'03_BAO_CAO'!$E$4)-XLOOKUP($C104,'01_DANH_MUC'!$A$7:$A$206,'01_DANH_MUC'!$F$7:$F$206,0)-SUMIFS($G$7:G103,$C$7:C103,$C104,$A$7:A103,"&lt;="&amp;'03_BAO_CAO'!$E$4)))))</f>
        <v/>
      </c>
      <c r="L104" s="212">
        <f>IF($A104="","",IF(OR($K104&lt;=0,$J104=""),0,MAX(0,'03_BAO_CAO'!$E$4-$J104)))</f>
        <v/>
      </c>
      <c r="M104" s="51">
        <f>IF($A104="","",IF($K104&lt;=0,"Đã thanh toán",IF($J104="","Thiếu ngày đến hạn",IF($J104&gt;='03_BAO_CAO'!$E$4,"Chưa đến hạn",IF($L104&lt;=30,"1-30 ngày",IF($L104&lt;=60,"31-60 ngày",IF($L104&lt;=90,"61-90 ngày","Trên 90 ngày")))))))</f>
        <v/>
      </c>
      <c r="N104" s="51">
        <f>IF($A104="","",IF(OR($B104="",$C104=""),"THIẾU THÔNG TIN",IF(AND($G104&gt;0,$H104&gt;0),"KHÔNG NHẬP ĐỒNG THỜI TĂNG/GIẢM",IF(AND($G104&lt;=0,$H104&lt;=0),"CHƯA NHẬP SỐ TIỀN",IF($D104="KHÔNG TÌM THẤY","MÃ KHÔNG HỢP LỆ",IF(AND($G104&gt;0,$J104=""),"THIẾU NGÀY ĐẾN HẠN","OK"))))))</f>
        <v/>
      </c>
    </row>
    <row r="105">
      <c r="A105" s="209" t="n"/>
      <c r="B105" s="47" t="n"/>
      <c r="C105" s="47" t="n"/>
      <c r="D105" s="51">
        <f>IF($C105="","",XLOOKUP($C105,'01_DANH_MUC'!$A$7:$A$206,'01_DANH_MUC'!$B$7:$B$206,"KHÔNG TÌM THẤY"))</f>
        <v/>
      </c>
      <c r="E105" s="51">
        <f>IF($C105="","",XLOOKUP($C105,'01_DANH_MUC'!$A$7:$A$206,'01_DANH_MUC'!$C$7:$C$206,"KHÔNG TÌM THẤY"))</f>
        <v/>
      </c>
      <c r="F105" s="57" t="n"/>
      <c r="G105" s="211" t="n"/>
      <c r="H105" s="211" t="n"/>
      <c r="I105" s="212">
        <f>IF($C105="","",XLOOKUP($C105,'01_DANH_MUC'!$A$7:$A$206,'01_DANH_MUC'!$E$7:$E$206,0))</f>
        <v/>
      </c>
      <c r="J105" s="213">
        <f>IF(OR($A105="",$C105="",$G105&lt;=0),"",$A105+$I105)</f>
        <v/>
      </c>
      <c r="K105" s="210">
        <f>IF($A105="","",IF(OR($C105="",$G105&lt;=0,$A105&gt;'03_BAO_CAO'!$E$4),0,MAX(0,$G105-MAX(0,SUMIFS($H$7:$H$506,$C$7:$C$506,$C105,$A$7:$A$506,"&lt;="&amp;'03_BAO_CAO'!$E$4)-XLOOKUP($C105,'01_DANH_MUC'!$A$7:$A$206,'01_DANH_MUC'!$F$7:$F$206,0)-SUMIFS($G$7:G104,$C$7:C104,$C105,$A$7:A104,"&lt;="&amp;'03_BAO_CAO'!$E$4)))))</f>
        <v/>
      </c>
      <c r="L105" s="212">
        <f>IF($A105="","",IF(OR($K105&lt;=0,$J105=""),0,MAX(0,'03_BAO_CAO'!$E$4-$J105)))</f>
        <v/>
      </c>
      <c r="M105" s="51">
        <f>IF($A105="","",IF($K105&lt;=0,"Đã thanh toán",IF($J105="","Thiếu ngày đến hạn",IF($J105&gt;='03_BAO_CAO'!$E$4,"Chưa đến hạn",IF($L105&lt;=30,"1-30 ngày",IF($L105&lt;=60,"31-60 ngày",IF($L105&lt;=90,"61-90 ngày","Trên 90 ngày")))))))</f>
        <v/>
      </c>
      <c r="N105" s="51">
        <f>IF($A105="","",IF(OR($B105="",$C105=""),"THIẾU THÔNG TIN",IF(AND($G105&gt;0,$H105&gt;0),"KHÔNG NHẬP ĐỒNG THỜI TĂNG/GIẢM",IF(AND($G105&lt;=0,$H105&lt;=0),"CHƯA NHẬP SỐ TIỀN",IF($D105="KHÔNG TÌM THẤY","MÃ KHÔNG HỢP LỆ",IF(AND($G105&gt;0,$J105=""),"THIẾU NGÀY ĐẾN HẠN","OK"))))))</f>
        <v/>
      </c>
    </row>
    <row r="106">
      <c r="A106" s="209" t="n"/>
      <c r="B106" s="47" t="n"/>
      <c r="C106" s="47" t="n"/>
      <c r="D106" s="51">
        <f>IF($C106="","",XLOOKUP($C106,'01_DANH_MUC'!$A$7:$A$206,'01_DANH_MUC'!$B$7:$B$206,"KHÔNG TÌM THẤY"))</f>
        <v/>
      </c>
      <c r="E106" s="51">
        <f>IF($C106="","",XLOOKUP($C106,'01_DANH_MUC'!$A$7:$A$206,'01_DANH_MUC'!$C$7:$C$206,"KHÔNG TÌM THẤY"))</f>
        <v/>
      </c>
      <c r="F106" s="57" t="n"/>
      <c r="G106" s="211" t="n"/>
      <c r="H106" s="211" t="n"/>
      <c r="I106" s="212">
        <f>IF($C106="","",XLOOKUP($C106,'01_DANH_MUC'!$A$7:$A$206,'01_DANH_MUC'!$E$7:$E$206,0))</f>
        <v/>
      </c>
      <c r="J106" s="213">
        <f>IF(OR($A106="",$C106="",$G106&lt;=0),"",$A106+$I106)</f>
        <v/>
      </c>
      <c r="K106" s="210">
        <f>IF($A106="","",IF(OR($C106="",$G106&lt;=0,$A106&gt;'03_BAO_CAO'!$E$4),0,MAX(0,$G106-MAX(0,SUMIFS($H$7:$H$506,$C$7:$C$506,$C106,$A$7:$A$506,"&lt;="&amp;'03_BAO_CAO'!$E$4)-XLOOKUP($C106,'01_DANH_MUC'!$A$7:$A$206,'01_DANH_MUC'!$F$7:$F$206,0)-SUMIFS($G$7:G105,$C$7:C105,$C106,$A$7:A105,"&lt;="&amp;'03_BAO_CAO'!$E$4)))))</f>
        <v/>
      </c>
      <c r="L106" s="212">
        <f>IF($A106="","",IF(OR($K106&lt;=0,$J106=""),0,MAX(0,'03_BAO_CAO'!$E$4-$J106)))</f>
        <v/>
      </c>
      <c r="M106" s="51">
        <f>IF($A106="","",IF($K106&lt;=0,"Đã thanh toán",IF($J106="","Thiếu ngày đến hạn",IF($J106&gt;='03_BAO_CAO'!$E$4,"Chưa đến hạn",IF($L106&lt;=30,"1-30 ngày",IF($L106&lt;=60,"31-60 ngày",IF($L106&lt;=90,"61-90 ngày","Trên 90 ngày")))))))</f>
        <v/>
      </c>
      <c r="N106" s="51">
        <f>IF($A106="","",IF(OR($B106="",$C106=""),"THIẾU THÔNG TIN",IF(AND($G106&gt;0,$H106&gt;0),"KHÔNG NHẬP ĐỒNG THỜI TĂNG/GIẢM",IF(AND($G106&lt;=0,$H106&lt;=0),"CHƯA NHẬP SỐ TIỀN",IF($D106="KHÔNG TÌM THẤY","MÃ KHÔNG HỢP LỆ",IF(AND($G106&gt;0,$J106=""),"THIẾU NGÀY ĐẾN HẠN","OK"))))))</f>
        <v/>
      </c>
    </row>
    <row r="107">
      <c r="A107" s="209" t="n"/>
      <c r="B107" s="47" t="n"/>
      <c r="C107" s="47" t="n"/>
      <c r="D107" s="51">
        <f>IF($C107="","",XLOOKUP($C107,'01_DANH_MUC'!$A$7:$A$206,'01_DANH_MUC'!$B$7:$B$206,"KHÔNG TÌM THẤY"))</f>
        <v/>
      </c>
      <c r="E107" s="51">
        <f>IF($C107="","",XLOOKUP($C107,'01_DANH_MUC'!$A$7:$A$206,'01_DANH_MUC'!$C$7:$C$206,"KHÔNG TÌM THẤY"))</f>
        <v/>
      </c>
      <c r="F107" s="57" t="n"/>
      <c r="G107" s="211" t="n"/>
      <c r="H107" s="211" t="n"/>
      <c r="I107" s="212">
        <f>IF($C107="","",XLOOKUP($C107,'01_DANH_MUC'!$A$7:$A$206,'01_DANH_MUC'!$E$7:$E$206,0))</f>
        <v/>
      </c>
      <c r="J107" s="213">
        <f>IF(OR($A107="",$C107="",$G107&lt;=0),"",$A107+$I107)</f>
        <v/>
      </c>
      <c r="K107" s="210">
        <f>IF($A107="","",IF(OR($C107="",$G107&lt;=0,$A107&gt;'03_BAO_CAO'!$E$4),0,MAX(0,$G107-MAX(0,SUMIFS($H$7:$H$506,$C$7:$C$506,$C107,$A$7:$A$506,"&lt;="&amp;'03_BAO_CAO'!$E$4)-XLOOKUP($C107,'01_DANH_MUC'!$A$7:$A$206,'01_DANH_MUC'!$F$7:$F$206,0)-SUMIFS($G$7:G106,$C$7:C106,$C107,$A$7:A106,"&lt;="&amp;'03_BAO_CAO'!$E$4)))))</f>
        <v/>
      </c>
      <c r="L107" s="212">
        <f>IF($A107="","",IF(OR($K107&lt;=0,$J107=""),0,MAX(0,'03_BAO_CAO'!$E$4-$J107)))</f>
        <v/>
      </c>
      <c r="M107" s="51">
        <f>IF($A107="","",IF($K107&lt;=0,"Đã thanh toán",IF($J107="","Thiếu ngày đến hạn",IF($J107&gt;='03_BAO_CAO'!$E$4,"Chưa đến hạn",IF($L107&lt;=30,"1-30 ngày",IF($L107&lt;=60,"31-60 ngày",IF($L107&lt;=90,"61-90 ngày","Trên 90 ngày")))))))</f>
        <v/>
      </c>
      <c r="N107" s="51">
        <f>IF($A107="","",IF(OR($B107="",$C107=""),"THIẾU THÔNG TIN",IF(AND($G107&gt;0,$H107&gt;0),"KHÔNG NHẬP ĐỒNG THỜI TĂNG/GIẢM",IF(AND($G107&lt;=0,$H107&lt;=0),"CHƯA NHẬP SỐ TIỀN",IF($D107="KHÔNG TÌM THẤY","MÃ KHÔNG HỢP LỆ",IF(AND($G107&gt;0,$J107=""),"THIẾU NGÀY ĐẾN HẠN","OK"))))))</f>
        <v/>
      </c>
    </row>
    <row r="108">
      <c r="A108" s="209" t="n"/>
      <c r="B108" s="47" t="n"/>
      <c r="C108" s="47" t="n"/>
      <c r="D108" s="51">
        <f>IF($C108="","",XLOOKUP($C108,'01_DANH_MUC'!$A$7:$A$206,'01_DANH_MUC'!$B$7:$B$206,"KHÔNG TÌM THẤY"))</f>
        <v/>
      </c>
      <c r="E108" s="51">
        <f>IF($C108="","",XLOOKUP($C108,'01_DANH_MUC'!$A$7:$A$206,'01_DANH_MUC'!$C$7:$C$206,"KHÔNG TÌM THẤY"))</f>
        <v/>
      </c>
      <c r="F108" s="57" t="n"/>
      <c r="G108" s="211" t="n"/>
      <c r="H108" s="211" t="n"/>
      <c r="I108" s="212">
        <f>IF($C108="","",XLOOKUP($C108,'01_DANH_MUC'!$A$7:$A$206,'01_DANH_MUC'!$E$7:$E$206,0))</f>
        <v/>
      </c>
      <c r="J108" s="213">
        <f>IF(OR($A108="",$C108="",$G108&lt;=0),"",$A108+$I108)</f>
        <v/>
      </c>
      <c r="K108" s="210">
        <f>IF($A108="","",IF(OR($C108="",$G108&lt;=0,$A108&gt;'03_BAO_CAO'!$E$4),0,MAX(0,$G108-MAX(0,SUMIFS($H$7:$H$506,$C$7:$C$506,$C108,$A$7:$A$506,"&lt;="&amp;'03_BAO_CAO'!$E$4)-XLOOKUP($C108,'01_DANH_MUC'!$A$7:$A$206,'01_DANH_MUC'!$F$7:$F$206,0)-SUMIFS($G$7:G107,$C$7:C107,$C108,$A$7:A107,"&lt;="&amp;'03_BAO_CAO'!$E$4)))))</f>
        <v/>
      </c>
      <c r="L108" s="212">
        <f>IF($A108="","",IF(OR($K108&lt;=0,$J108=""),0,MAX(0,'03_BAO_CAO'!$E$4-$J108)))</f>
        <v/>
      </c>
      <c r="M108" s="51">
        <f>IF($A108="","",IF($K108&lt;=0,"Đã thanh toán",IF($J108="","Thiếu ngày đến hạn",IF($J108&gt;='03_BAO_CAO'!$E$4,"Chưa đến hạn",IF($L108&lt;=30,"1-30 ngày",IF($L108&lt;=60,"31-60 ngày",IF($L108&lt;=90,"61-90 ngày","Trên 90 ngày")))))))</f>
        <v/>
      </c>
      <c r="N108" s="51">
        <f>IF($A108="","",IF(OR($B108="",$C108=""),"THIẾU THÔNG TIN",IF(AND($G108&gt;0,$H108&gt;0),"KHÔNG NHẬP ĐỒNG THỜI TĂNG/GIẢM",IF(AND($G108&lt;=0,$H108&lt;=0),"CHƯA NHẬP SỐ TIỀN",IF($D108="KHÔNG TÌM THẤY","MÃ KHÔNG HỢP LỆ",IF(AND($G108&gt;0,$J108=""),"THIẾU NGÀY ĐẾN HẠN","OK"))))))</f>
        <v/>
      </c>
    </row>
    <row r="109">
      <c r="A109" s="209" t="n"/>
      <c r="B109" s="47" t="n"/>
      <c r="C109" s="47" t="n"/>
      <c r="D109" s="51">
        <f>IF($C109="","",XLOOKUP($C109,'01_DANH_MUC'!$A$7:$A$206,'01_DANH_MUC'!$B$7:$B$206,"KHÔNG TÌM THẤY"))</f>
        <v/>
      </c>
      <c r="E109" s="51">
        <f>IF($C109="","",XLOOKUP($C109,'01_DANH_MUC'!$A$7:$A$206,'01_DANH_MUC'!$C$7:$C$206,"KHÔNG TÌM THẤY"))</f>
        <v/>
      </c>
      <c r="F109" s="57" t="n"/>
      <c r="G109" s="211" t="n"/>
      <c r="H109" s="211" t="n"/>
      <c r="I109" s="212">
        <f>IF($C109="","",XLOOKUP($C109,'01_DANH_MUC'!$A$7:$A$206,'01_DANH_MUC'!$E$7:$E$206,0))</f>
        <v/>
      </c>
      <c r="J109" s="213">
        <f>IF(OR($A109="",$C109="",$G109&lt;=0),"",$A109+$I109)</f>
        <v/>
      </c>
      <c r="K109" s="210">
        <f>IF($A109="","",IF(OR($C109="",$G109&lt;=0,$A109&gt;'03_BAO_CAO'!$E$4),0,MAX(0,$G109-MAX(0,SUMIFS($H$7:$H$506,$C$7:$C$506,$C109,$A$7:$A$506,"&lt;="&amp;'03_BAO_CAO'!$E$4)-XLOOKUP($C109,'01_DANH_MUC'!$A$7:$A$206,'01_DANH_MUC'!$F$7:$F$206,0)-SUMIFS($G$7:G108,$C$7:C108,$C109,$A$7:A108,"&lt;="&amp;'03_BAO_CAO'!$E$4)))))</f>
        <v/>
      </c>
      <c r="L109" s="212">
        <f>IF($A109="","",IF(OR($K109&lt;=0,$J109=""),0,MAX(0,'03_BAO_CAO'!$E$4-$J109)))</f>
        <v/>
      </c>
      <c r="M109" s="51">
        <f>IF($A109="","",IF($K109&lt;=0,"Đã thanh toán",IF($J109="","Thiếu ngày đến hạn",IF($J109&gt;='03_BAO_CAO'!$E$4,"Chưa đến hạn",IF($L109&lt;=30,"1-30 ngày",IF($L109&lt;=60,"31-60 ngày",IF($L109&lt;=90,"61-90 ngày","Trên 90 ngày")))))))</f>
        <v/>
      </c>
      <c r="N109" s="51">
        <f>IF($A109="","",IF(OR($B109="",$C109=""),"THIẾU THÔNG TIN",IF(AND($G109&gt;0,$H109&gt;0),"KHÔNG NHẬP ĐỒNG THỜI TĂNG/GIẢM",IF(AND($G109&lt;=0,$H109&lt;=0),"CHƯA NHẬP SỐ TIỀN",IF($D109="KHÔNG TÌM THẤY","MÃ KHÔNG HỢP LỆ",IF(AND($G109&gt;0,$J109=""),"THIẾU NGÀY ĐẾN HẠN","OK"))))))</f>
        <v/>
      </c>
    </row>
    <row r="110">
      <c r="A110" s="209" t="n"/>
      <c r="B110" s="47" t="n"/>
      <c r="C110" s="47" t="n"/>
      <c r="D110" s="51">
        <f>IF($C110="","",XLOOKUP($C110,'01_DANH_MUC'!$A$7:$A$206,'01_DANH_MUC'!$B$7:$B$206,"KHÔNG TÌM THẤY"))</f>
        <v/>
      </c>
      <c r="E110" s="51">
        <f>IF($C110="","",XLOOKUP($C110,'01_DANH_MUC'!$A$7:$A$206,'01_DANH_MUC'!$C$7:$C$206,"KHÔNG TÌM THẤY"))</f>
        <v/>
      </c>
      <c r="F110" s="57" t="n"/>
      <c r="G110" s="211" t="n"/>
      <c r="H110" s="211" t="n"/>
      <c r="I110" s="212">
        <f>IF($C110="","",XLOOKUP($C110,'01_DANH_MUC'!$A$7:$A$206,'01_DANH_MUC'!$E$7:$E$206,0))</f>
        <v/>
      </c>
      <c r="J110" s="213">
        <f>IF(OR($A110="",$C110="",$G110&lt;=0),"",$A110+$I110)</f>
        <v/>
      </c>
      <c r="K110" s="210">
        <f>IF($A110="","",IF(OR($C110="",$G110&lt;=0,$A110&gt;'03_BAO_CAO'!$E$4),0,MAX(0,$G110-MAX(0,SUMIFS($H$7:$H$506,$C$7:$C$506,$C110,$A$7:$A$506,"&lt;="&amp;'03_BAO_CAO'!$E$4)-XLOOKUP($C110,'01_DANH_MUC'!$A$7:$A$206,'01_DANH_MUC'!$F$7:$F$206,0)-SUMIFS($G$7:G109,$C$7:C109,$C110,$A$7:A109,"&lt;="&amp;'03_BAO_CAO'!$E$4)))))</f>
        <v/>
      </c>
      <c r="L110" s="212">
        <f>IF($A110="","",IF(OR($K110&lt;=0,$J110=""),0,MAX(0,'03_BAO_CAO'!$E$4-$J110)))</f>
        <v/>
      </c>
      <c r="M110" s="51">
        <f>IF($A110="","",IF($K110&lt;=0,"Đã thanh toán",IF($J110="","Thiếu ngày đến hạn",IF($J110&gt;='03_BAO_CAO'!$E$4,"Chưa đến hạn",IF($L110&lt;=30,"1-30 ngày",IF($L110&lt;=60,"31-60 ngày",IF($L110&lt;=90,"61-90 ngày","Trên 90 ngày")))))))</f>
        <v/>
      </c>
      <c r="N110" s="51">
        <f>IF($A110="","",IF(OR($B110="",$C110=""),"THIẾU THÔNG TIN",IF(AND($G110&gt;0,$H110&gt;0),"KHÔNG NHẬP ĐỒNG THỜI TĂNG/GIẢM",IF(AND($G110&lt;=0,$H110&lt;=0),"CHƯA NHẬP SỐ TIỀN",IF($D110="KHÔNG TÌM THẤY","MÃ KHÔNG HỢP LỆ",IF(AND($G110&gt;0,$J110=""),"THIẾU NGÀY ĐẾN HẠN","OK"))))))</f>
        <v/>
      </c>
    </row>
    <row r="111">
      <c r="A111" s="209" t="n"/>
      <c r="B111" s="47" t="n"/>
      <c r="C111" s="47" t="n"/>
      <c r="D111" s="51">
        <f>IF($C111="","",XLOOKUP($C111,'01_DANH_MUC'!$A$7:$A$206,'01_DANH_MUC'!$B$7:$B$206,"KHÔNG TÌM THẤY"))</f>
        <v/>
      </c>
      <c r="E111" s="51">
        <f>IF($C111="","",XLOOKUP($C111,'01_DANH_MUC'!$A$7:$A$206,'01_DANH_MUC'!$C$7:$C$206,"KHÔNG TÌM THẤY"))</f>
        <v/>
      </c>
      <c r="F111" s="57" t="n"/>
      <c r="G111" s="211" t="n"/>
      <c r="H111" s="211" t="n"/>
      <c r="I111" s="212">
        <f>IF($C111="","",XLOOKUP($C111,'01_DANH_MUC'!$A$7:$A$206,'01_DANH_MUC'!$E$7:$E$206,0))</f>
        <v/>
      </c>
      <c r="J111" s="213">
        <f>IF(OR($A111="",$C111="",$G111&lt;=0),"",$A111+$I111)</f>
        <v/>
      </c>
      <c r="K111" s="210">
        <f>IF($A111="","",IF(OR($C111="",$G111&lt;=0,$A111&gt;'03_BAO_CAO'!$E$4),0,MAX(0,$G111-MAX(0,SUMIFS($H$7:$H$506,$C$7:$C$506,$C111,$A$7:$A$506,"&lt;="&amp;'03_BAO_CAO'!$E$4)-XLOOKUP($C111,'01_DANH_MUC'!$A$7:$A$206,'01_DANH_MUC'!$F$7:$F$206,0)-SUMIFS($G$7:G110,$C$7:C110,$C111,$A$7:A110,"&lt;="&amp;'03_BAO_CAO'!$E$4)))))</f>
        <v/>
      </c>
      <c r="L111" s="212">
        <f>IF($A111="","",IF(OR($K111&lt;=0,$J111=""),0,MAX(0,'03_BAO_CAO'!$E$4-$J111)))</f>
        <v/>
      </c>
      <c r="M111" s="51">
        <f>IF($A111="","",IF($K111&lt;=0,"Đã thanh toán",IF($J111="","Thiếu ngày đến hạn",IF($J111&gt;='03_BAO_CAO'!$E$4,"Chưa đến hạn",IF($L111&lt;=30,"1-30 ngày",IF($L111&lt;=60,"31-60 ngày",IF($L111&lt;=90,"61-90 ngày","Trên 90 ngày")))))))</f>
        <v/>
      </c>
      <c r="N111" s="51">
        <f>IF($A111="","",IF(OR($B111="",$C111=""),"THIẾU THÔNG TIN",IF(AND($G111&gt;0,$H111&gt;0),"KHÔNG NHẬP ĐỒNG THỜI TĂNG/GIẢM",IF(AND($G111&lt;=0,$H111&lt;=0),"CHƯA NHẬP SỐ TIỀN",IF($D111="KHÔNG TÌM THẤY","MÃ KHÔNG HỢP LỆ",IF(AND($G111&gt;0,$J111=""),"THIẾU NGÀY ĐẾN HẠN","OK"))))))</f>
        <v/>
      </c>
    </row>
    <row r="112">
      <c r="A112" s="209" t="n"/>
      <c r="B112" s="47" t="n"/>
      <c r="C112" s="47" t="n"/>
      <c r="D112" s="51">
        <f>IF($C112="","",XLOOKUP($C112,'01_DANH_MUC'!$A$7:$A$206,'01_DANH_MUC'!$B$7:$B$206,"KHÔNG TÌM THẤY"))</f>
        <v/>
      </c>
      <c r="E112" s="51">
        <f>IF($C112="","",XLOOKUP($C112,'01_DANH_MUC'!$A$7:$A$206,'01_DANH_MUC'!$C$7:$C$206,"KHÔNG TÌM THẤY"))</f>
        <v/>
      </c>
      <c r="F112" s="57" t="n"/>
      <c r="G112" s="211" t="n"/>
      <c r="H112" s="211" t="n"/>
      <c r="I112" s="212">
        <f>IF($C112="","",XLOOKUP($C112,'01_DANH_MUC'!$A$7:$A$206,'01_DANH_MUC'!$E$7:$E$206,0))</f>
        <v/>
      </c>
      <c r="J112" s="213">
        <f>IF(OR($A112="",$C112="",$G112&lt;=0),"",$A112+$I112)</f>
        <v/>
      </c>
      <c r="K112" s="210">
        <f>IF($A112="","",IF(OR($C112="",$G112&lt;=0,$A112&gt;'03_BAO_CAO'!$E$4),0,MAX(0,$G112-MAX(0,SUMIFS($H$7:$H$506,$C$7:$C$506,$C112,$A$7:$A$506,"&lt;="&amp;'03_BAO_CAO'!$E$4)-XLOOKUP($C112,'01_DANH_MUC'!$A$7:$A$206,'01_DANH_MUC'!$F$7:$F$206,0)-SUMIFS($G$7:G111,$C$7:C111,$C112,$A$7:A111,"&lt;="&amp;'03_BAO_CAO'!$E$4)))))</f>
        <v/>
      </c>
      <c r="L112" s="212">
        <f>IF($A112="","",IF(OR($K112&lt;=0,$J112=""),0,MAX(0,'03_BAO_CAO'!$E$4-$J112)))</f>
        <v/>
      </c>
      <c r="M112" s="51">
        <f>IF($A112="","",IF($K112&lt;=0,"Đã thanh toán",IF($J112="","Thiếu ngày đến hạn",IF($J112&gt;='03_BAO_CAO'!$E$4,"Chưa đến hạn",IF($L112&lt;=30,"1-30 ngày",IF($L112&lt;=60,"31-60 ngày",IF($L112&lt;=90,"61-90 ngày","Trên 90 ngày")))))))</f>
        <v/>
      </c>
      <c r="N112" s="51">
        <f>IF($A112="","",IF(OR($B112="",$C112=""),"THIẾU THÔNG TIN",IF(AND($G112&gt;0,$H112&gt;0),"KHÔNG NHẬP ĐỒNG THỜI TĂNG/GIẢM",IF(AND($G112&lt;=0,$H112&lt;=0),"CHƯA NHẬP SỐ TIỀN",IF($D112="KHÔNG TÌM THẤY","MÃ KHÔNG HỢP LỆ",IF(AND($G112&gt;0,$J112=""),"THIẾU NGÀY ĐẾN HẠN","OK"))))))</f>
        <v/>
      </c>
    </row>
    <row r="113">
      <c r="A113" s="209" t="n"/>
      <c r="B113" s="47" t="n"/>
      <c r="C113" s="47" t="n"/>
      <c r="D113" s="51">
        <f>IF($C113="","",XLOOKUP($C113,'01_DANH_MUC'!$A$7:$A$206,'01_DANH_MUC'!$B$7:$B$206,"KHÔNG TÌM THẤY"))</f>
        <v/>
      </c>
      <c r="E113" s="51">
        <f>IF($C113="","",XLOOKUP($C113,'01_DANH_MUC'!$A$7:$A$206,'01_DANH_MUC'!$C$7:$C$206,"KHÔNG TÌM THẤY"))</f>
        <v/>
      </c>
      <c r="F113" s="57" t="n"/>
      <c r="G113" s="211" t="n"/>
      <c r="H113" s="211" t="n"/>
      <c r="I113" s="212">
        <f>IF($C113="","",XLOOKUP($C113,'01_DANH_MUC'!$A$7:$A$206,'01_DANH_MUC'!$E$7:$E$206,0))</f>
        <v/>
      </c>
      <c r="J113" s="213">
        <f>IF(OR($A113="",$C113="",$G113&lt;=0),"",$A113+$I113)</f>
        <v/>
      </c>
      <c r="K113" s="210">
        <f>IF($A113="","",IF(OR($C113="",$G113&lt;=0,$A113&gt;'03_BAO_CAO'!$E$4),0,MAX(0,$G113-MAX(0,SUMIFS($H$7:$H$506,$C$7:$C$506,$C113,$A$7:$A$506,"&lt;="&amp;'03_BAO_CAO'!$E$4)-XLOOKUP($C113,'01_DANH_MUC'!$A$7:$A$206,'01_DANH_MUC'!$F$7:$F$206,0)-SUMIFS($G$7:G112,$C$7:C112,$C113,$A$7:A112,"&lt;="&amp;'03_BAO_CAO'!$E$4)))))</f>
        <v/>
      </c>
      <c r="L113" s="212">
        <f>IF($A113="","",IF(OR($K113&lt;=0,$J113=""),0,MAX(0,'03_BAO_CAO'!$E$4-$J113)))</f>
        <v/>
      </c>
      <c r="M113" s="51">
        <f>IF($A113="","",IF($K113&lt;=0,"Đã thanh toán",IF($J113="","Thiếu ngày đến hạn",IF($J113&gt;='03_BAO_CAO'!$E$4,"Chưa đến hạn",IF($L113&lt;=30,"1-30 ngày",IF($L113&lt;=60,"31-60 ngày",IF($L113&lt;=90,"61-90 ngày","Trên 90 ngày")))))))</f>
        <v/>
      </c>
      <c r="N113" s="51">
        <f>IF($A113="","",IF(OR($B113="",$C113=""),"THIẾU THÔNG TIN",IF(AND($G113&gt;0,$H113&gt;0),"KHÔNG NHẬP ĐỒNG THỜI TĂNG/GIẢM",IF(AND($G113&lt;=0,$H113&lt;=0),"CHƯA NHẬP SỐ TIỀN",IF($D113="KHÔNG TÌM THẤY","MÃ KHÔNG HỢP LỆ",IF(AND($G113&gt;0,$J113=""),"THIẾU NGÀY ĐẾN HẠN","OK"))))))</f>
        <v/>
      </c>
    </row>
    <row r="114">
      <c r="A114" s="209" t="n"/>
      <c r="B114" s="47" t="n"/>
      <c r="C114" s="47" t="n"/>
      <c r="D114" s="51">
        <f>IF($C114="","",XLOOKUP($C114,'01_DANH_MUC'!$A$7:$A$206,'01_DANH_MUC'!$B$7:$B$206,"KHÔNG TÌM THẤY"))</f>
        <v/>
      </c>
      <c r="E114" s="51">
        <f>IF($C114="","",XLOOKUP($C114,'01_DANH_MUC'!$A$7:$A$206,'01_DANH_MUC'!$C$7:$C$206,"KHÔNG TÌM THẤY"))</f>
        <v/>
      </c>
      <c r="F114" s="57" t="n"/>
      <c r="G114" s="211" t="n"/>
      <c r="H114" s="211" t="n"/>
      <c r="I114" s="212">
        <f>IF($C114="","",XLOOKUP($C114,'01_DANH_MUC'!$A$7:$A$206,'01_DANH_MUC'!$E$7:$E$206,0))</f>
        <v/>
      </c>
      <c r="J114" s="213">
        <f>IF(OR($A114="",$C114="",$G114&lt;=0),"",$A114+$I114)</f>
        <v/>
      </c>
      <c r="K114" s="210">
        <f>IF($A114="","",IF(OR($C114="",$G114&lt;=0,$A114&gt;'03_BAO_CAO'!$E$4),0,MAX(0,$G114-MAX(0,SUMIFS($H$7:$H$506,$C$7:$C$506,$C114,$A$7:$A$506,"&lt;="&amp;'03_BAO_CAO'!$E$4)-XLOOKUP($C114,'01_DANH_MUC'!$A$7:$A$206,'01_DANH_MUC'!$F$7:$F$206,0)-SUMIFS($G$7:G113,$C$7:C113,$C114,$A$7:A113,"&lt;="&amp;'03_BAO_CAO'!$E$4)))))</f>
        <v/>
      </c>
      <c r="L114" s="212">
        <f>IF($A114="","",IF(OR($K114&lt;=0,$J114=""),0,MAX(0,'03_BAO_CAO'!$E$4-$J114)))</f>
        <v/>
      </c>
      <c r="M114" s="51">
        <f>IF($A114="","",IF($K114&lt;=0,"Đã thanh toán",IF($J114="","Thiếu ngày đến hạn",IF($J114&gt;='03_BAO_CAO'!$E$4,"Chưa đến hạn",IF($L114&lt;=30,"1-30 ngày",IF($L114&lt;=60,"31-60 ngày",IF($L114&lt;=90,"61-90 ngày","Trên 90 ngày")))))))</f>
        <v/>
      </c>
      <c r="N114" s="51">
        <f>IF($A114="","",IF(OR($B114="",$C114=""),"THIẾU THÔNG TIN",IF(AND($G114&gt;0,$H114&gt;0),"KHÔNG NHẬP ĐỒNG THỜI TĂNG/GIẢM",IF(AND($G114&lt;=0,$H114&lt;=0),"CHƯA NHẬP SỐ TIỀN",IF($D114="KHÔNG TÌM THẤY","MÃ KHÔNG HỢP LỆ",IF(AND($G114&gt;0,$J114=""),"THIẾU NGÀY ĐẾN HẠN","OK"))))))</f>
        <v/>
      </c>
    </row>
    <row r="115">
      <c r="A115" s="209" t="n"/>
      <c r="B115" s="47" t="n"/>
      <c r="C115" s="47" t="n"/>
      <c r="D115" s="51">
        <f>IF($C115="","",XLOOKUP($C115,'01_DANH_MUC'!$A$7:$A$206,'01_DANH_MUC'!$B$7:$B$206,"KHÔNG TÌM THẤY"))</f>
        <v/>
      </c>
      <c r="E115" s="51">
        <f>IF($C115="","",XLOOKUP($C115,'01_DANH_MUC'!$A$7:$A$206,'01_DANH_MUC'!$C$7:$C$206,"KHÔNG TÌM THẤY"))</f>
        <v/>
      </c>
      <c r="F115" s="57" t="n"/>
      <c r="G115" s="211" t="n"/>
      <c r="H115" s="211" t="n"/>
      <c r="I115" s="212">
        <f>IF($C115="","",XLOOKUP($C115,'01_DANH_MUC'!$A$7:$A$206,'01_DANH_MUC'!$E$7:$E$206,0))</f>
        <v/>
      </c>
      <c r="J115" s="213">
        <f>IF(OR($A115="",$C115="",$G115&lt;=0),"",$A115+$I115)</f>
        <v/>
      </c>
      <c r="K115" s="210">
        <f>IF($A115="","",IF(OR($C115="",$G115&lt;=0,$A115&gt;'03_BAO_CAO'!$E$4),0,MAX(0,$G115-MAX(0,SUMIFS($H$7:$H$506,$C$7:$C$506,$C115,$A$7:$A$506,"&lt;="&amp;'03_BAO_CAO'!$E$4)-XLOOKUP($C115,'01_DANH_MUC'!$A$7:$A$206,'01_DANH_MUC'!$F$7:$F$206,0)-SUMIFS($G$7:G114,$C$7:C114,$C115,$A$7:A114,"&lt;="&amp;'03_BAO_CAO'!$E$4)))))</f>
        <v/>
      </c>
      <c r="L115" s="212">
        <f>IF($A115="","",IF(OR($K115&lt;=0,$J115=""),0,MAX(0,'03_BAO_CAO'!$E$4-$J115)))</f>
        <v/>
      </c>
      <c r="M115" s="51">
        <f>IF($A115="","",IF($K115&lt;=0,"Đã thanh toán",IF($J115="","Thiếu ngày đến hạn",IF($J115&gt;='03_BAO_CAO'!$E$4,"Chưa đến hạn",IF($L115&lt;=30,"1-30 ngày",IF($L115&lt;=60,"31-60 ngày",IF($L115&lt;=90,"61-90 ngày","Trên 90 ngày")))))))</f>
        <v/>
      </c>
      <c r="N115" s="51">
        <f>IF($A115="","",IF(OR($B115="",$C115=""),"THIẾU THÔNG TIN",IF(AND($G115&gt;0,$H115&gt;0),"KHÔNG NHẬP ĐỒNG THỜI TĂNG/GIẢM",IF(AND($G115&lt;=0,$H115&lt;=0),"CHƯA NHẬP SỐ TIỀN",IF($D115="KHÔNG TÌM THẤY","MÃ KHÔNG HỢP LỆ",IF(AND($G115&gt;0,$J115=""),"THIẾU NGÀY ĐẾN HẠN","OK"))))))</f>
        <v/>
      </c>
    </row>
    <row r="116">
      <c r="A116" s="209" t="n"/>
      <c r="B116" s="47" t="n"/>
      <c r="C116" s="47" t="n"/>
      <c r="D116" s="51">
        <f>IF($C116="","",XLOOKUP($C116,'01_DANH_MUC'!$A$7:$A$206,'01_DANH_MUC'!$B$7:$B$206,"KHÔNG TÌM THẤY"))</f>
        <v/>
      </c>
      <c r="E116" s="51">
        <f>IF($C116="","",XLOOKUP($C116,'01_DANH_MUC'!$A$7:$A$206,'01_DANH_MUC'!$C$7:$C$206,"KHÔNG TÌM THẤY"))</f>
        <v/>
      </c>
      <c r="F116" s="57" t="n"/>
      <c r="G116" s="211" t="n"/>
      <c r="H116" s="211" t="n"/>
      <c r="I116" s="212">
        <f>IF($C116="","",XLOOKUP($C116,'01_DANH_MUC'!$A$7:$A$206,'01_DANH_MUC'!$E$7:$E$206,0))</f>
        <v/>
      </c>
      <c r="J116" s="213">
        <f>IF(OR($A116="",$C116="",$G116&lt;=0),"",$A116+$I116)</f>
        <v/>
      </c>
      <c r="K116" s="210">
        <f>IF($A116="","",IF(OR($C116="",$G116&lt;=0,$A116&gt;'03_BAO_CAO'!$E$4),0,MAX(0,$G116-MAX(0,SUMIFS($H$7:$H$506,$C$7:$C$506,$C116,$A$7:$A$506,"&lt;="&amp;'03_BAO_CAO'!$E$4)-XLOOKUP($C116,'01_DANH_MUC'!$A$7:$A$206,'01_DANH_MUC'!$F$7:$F$206,0)-SUMIFS($G$7:G115,$C$7:C115,$C116,$A$7:A115,"&lt;="&amp;'03_BAO_CAO'!$E$4)))))</f>
        <v/>
      </c>
      <c r="L116" s="212">
        <f>IF($A116="","",IF(OR($K116&lt;=0,$J116=""),0,MAX(0,'03_BAO_CAO'!$E$4-$J116)))</f>
        <v/>
      </c>
      <c r="M116" s="51">
        <f>IF($A116="","",IF($K116&lt;=0,"Đã thanh toán",IF($J116="","Thiếu ngày đến hạn",IF($J116&gt;='03_BAO_CAO'!$E$4,"Chưa đến hạn",IF($L116&lt;=30,"1-30 ngày",IF($L116&lt;=60,"31-60 ngày",IF($L116&lt;=90,"61-90 ngày","Trên 90 ngày")))))))</f>
        <v/>
      </c>
      <c r="N116" s="51">
        <f>IF($A116="","",IF(OR($B116="",$C116=""),"THIẾU THÔNG TIN",IF(AND($G116&gt;0,$H116&gt;0),"KHÔNG NHẬP ĐỒNG THỜI TĂNG/GIẢM",IF(AND($G116&lt;=0,$H116&lt;=0),"CHƯA NHẬP SỐ TIỀN",IF($D116="KHÔNG TÌM THẤY","MÃ KHÔNG HỢP LỆ",IF(AND($G116&gt;0,$J116=""),"THIẾU NGÀY ĐẾN HẠN","OK"))))))</f>
        <v/>
      </c>
    </row>
    <row r="117">
      <c r="A117" s="209" t="n"/>
      <c r="B117" s="47" t="n"/>
      <c r="C117" s="47" t="n"/>
      <c r="D117" s="51">
        <f>IF($C117="","",XLOOKUP($C117,'01_DANH_MUC'!$A$7:$A$206,'01_DANH_MUC'!$B$7:$B$206,"KHÔNG TÌM THẤY"))</f>
        <v/>
      </c>
      <c r="E117" s="51">
        <f>IF($C117="","",XLOOKUP($C117,'01_DANH_MUC'!$A$7:$A$206,'01_DANH_MUC'!$C$7:$C$206,"KHÔNG TÌM THẤY"))</f>
        <v/>
      </c>
      <c r="F117" s="57" t="n"/>
      <c r="G117" s="211" t="n"/>
      <c r="H117" s="211" t="n"/>
      <c r="I117" s="212">
        <f>IF($C117="","",XLOOKUP($C117,'01_DANH_MUC'!$A$7:$A$206,'01_DANH_MUC'!$E$7:$E$206,0))</f>
        <v/>
      </c>
      <c r="J117" s="213">
        <f>IF(OR($A117="",$C117="",$G117&lt;=0),"",$A117+$I117)</f>
        <v/>
      </c>
      <c r="K117" s="210">
        <f>IF($A117="","",IF(OR($C117="",$G117&lt;=0,$A117&gt;'03_BAO_CAO'!$E$4),0,MAX(0,$G117-MAX(0,SUMIFS($H$7:$H$506,$C$7:$C$506,$C117,$A$7:$A$506,"&lt;="&amp;'03_BAO_CAO'!$E$4)-XLOOKUP($C117,'01_DANH_MUC'!$A$7:$A$206,'01_DANH_MUC'!$F$7:$F$206,0)-SUMIFS($G$7:G116,$C$7:C116,$C117,$A$7:A116,"&lt;="&amp;'03_BAO_CAO'!$E$4)))))</f>
        <v/>
      </c>
      <c r="L117" s="212">
        <f>IF($A117="","",IF(OR($K117&lt;=0,$J117=""),0,MAX(0,'03_BAO_CAO'!$E$4-$J117)))</f>
        <v/>
      </c>
      <c r="M117" s="51">
        <f>IF($A117="","",IF($K117&lt;=0,"Đã thanh toán",IF($J117="","Thiếu ngày đến hạn",IF($J117&gt;='03_BAO_CAO'!$E$4,"Chưa đến hạn",IF($L117&lt;=30,"1-30 ngày",IF($L117&lt;=60,"31-60 ngày",IF($L117&lt;=90,"61-90 ngày","Trên 90 ngày")))))))</f>
        <v/>
      </c>
      <c r="N117" s="51">
        <f>IF($A117="","",IF(OR($B117="",$C117=""),"THIẾU THÔNG TIN",IF(AND($G117&gt;0,$H117&gt;0),"KHÔNG NHẬP ĐỒNG THỜI TĂNG/GIẢM",IF(AND($G117&lt;=0,$H117&lt;=0),"CHƯA NHẬP SỐ TIỀN",IF($D117="KHÔNG TÌM THẤY","MÃ KHÔNG HỢP LỆ",IF(AND($G117&gt;0,$J117=""),"THIẾU NGÀY ĐẾN HẠN","OK"))))))</f>
        <v/>
      </c>
    </row>
    <row r="118">
      <c r="A118" s="209" t="n"/>
      <c r="B118" s="47" t="n"/>
      <c r="C118" s="47" t="n"/>
      <c r="D118" s="51">
        <f>IF($C118="","",XLOOKUP($C118,'01_DANH_MUC'!$A$7:$A$206,'01_DANH_MUC'!$B$7:$B$206,"KHÔNG TÌM THẤY"))</f>
        <v/>
      </c>
      <c r="E118" s="51">
        <f>IF($C118="","",XLOOKUP($C118,'01_DANH_MUC'!$A$7:$A$206,'01_DANH_MUC'!$C$7:$C$206,"KHÔNG TÌM THẤY"))</f>
        <v/>
      </c>
      <c r="F118" s="57" t="n"/>
      <c r="G118" s="211" t="n"/>
      <c r="H118" s="211" t="n"/>
      <c r="I118" s="212">
        <f>IF($C118="","",XLOOKUP($C118,'01_DANH_MUC'!$A$7:$A$206,'01_DANH_MUC'!$E$7:$E$206,0))</f>
        <v/>
      </c>
      <c r="J118" s="213">
        <f>IF(OR($A118="",$C118="",$G118&lt;=0),"",$A118+$I118)</f>
        <v/>
      </c>
      <c r="K118" s="210">
        <f>IF($A118="","",IF(OR($C118="",$G118&lt;=0,$A118&gt;'03_BAO_CAO'!$E$4),0,MAX(0,$G118-MAX(0,SUMIFS($H$7:$H$506,$C$7:$C$506,$C118,$A$7:$A$506,"&lt;="&amp;'03_BAO_CAO'!$E$4)-XLOOKUP($C118,'01_DANH_MUC'!$A$7:$A$206,'01_DANH_MUC'!$F$7:$F$206,0)-SUMIFS($G$7:G117,$C$7:C117,$C118,$A$7:A117,"&lt;="&amp;'03_BAO_CAO'!$E$4)))))</f>
        <v/>
      </c>
      <c r="L118" s="212">
        <f>IF($A118="","",IF(OR($K118&lt;=0,$J118=""),0,MAX(0,'03_BAO_CAO'!$E$4-$J118)))</f>
        <v/>
      </c>
      <c r="M118" s="51">
        <f>IF($A118="","",IF($K118&lt;=0,"Đã thanh toán",IF($J118="","Thiếu ngày đến hạn",IF($J118&gt;='03_BAO_CAO'!$E$4,"Chưa đến hạn",IF($L118&lt;=30,"1-30 ngày",IF($L118&lt;=60,"31-60 ngày",IF($L118&lt;=90,"61-90 ngày","Trên 90 ngày")))))))</f>
        <v/>
      </c>
      <c r="N118" s="51">
        <f>IF($A118="","",IF(OR($B118="",$C118=""),"THIẾU THÔNG TIN",IF(AND($G118&gt;0,$H118&gt;0),"KHÔNG NHẬP ĐỒNG THỜI TĂNG/GIẢM",IF(AND($G118&lt;=0,$H118&lt;=0),"CHƯA NHẬP SỐ TIỀN",IF($D118="KHÔNG TÌM THẤY","MÃ KHÔNG HỢP LỆ",IF(AND($G118&gt;0,$J118=""),"THIẾU NGÀY ĐẾN HẠN","OK"))))))</f>
        <v/>
      </c>
    </row>
    <row r="119">
      <c r="A119" s="209" t="n"/>
      <c r="B119" s="47" t="n"/>
      <c r="C119" s="47" t="n"/>
      <c r="D119" s="51">
        <f>IF($C119="","",XLOOKUP($C119,'01_DANH_MUC'!$A$7:$A$206,'01_DANH_MUC'!$B$7:$B$206,"KHÔNG TÌM THẤY"))</f>
        <v/>
      </c>
      <c r="E119" s="51">
        <f>IF($C119="","",XLOOKUP($C119,'01_DANH_MUC'!$A$7:$A$206,'01_DANH_MUC'!$C$7:$C$206,"KHÔNG TÌM THẤY"))</f>
        <v/>
      </c>
      <c r="F119" s="57" t="n"/>
      <c r="G119" s="211" t="n"/>
      <c r="H119" s="211" t="n"/>
      <c r="I119" s="212">
        <f>IF($C119="","",XLOOKUP($C119,'01_DANH_MUC'!$A$7:$A$206,'01_DANH_MUC'!$E$7:$E$206,0))</f>
        <v/>
      </c>
      <c r="J119" s="213">
        <f>IF(OR($A119="",$C119="",$G119&lt;=0),"",$A119+$I119)</f>
        <v/>
      </c>
      <c r="K119" s="210">
        <f>IF($A119="","",IF(OR($C119="",$G119&lt;=0,$A119&gt;'03_BAO_CAO'!$E$4),0,MAX(0,$G119-MAX(0,SUMIFS($H$7:$H$506,$C$7:$C$506,$C119,$A$7:$A$506,"&lt;="&amp;'03_BAO_CAO'!$E$4)-XLOOKUP($C119,'01_DANH_MUC'!$A$7:$A$206,'01_DANH_MUC'!$F$7:$F$206,0)-SUMIFS($G$7:G118,$C$7:C118,$C119,$A$7:A118,"&lt;="&amp;'03_BAO_CAO'!$E$4)))))</f>
        <v/>
      </c>
      <c r="L119" s="212">
        <f>IF($A119="","",IF(OR($K119&lt;=0,$J119=""),0,MAX(0,'03_BAO_CAO'!$E$4-$J119)))</f>
        <v/>
      </c>
      <c r="M119" s="51">
        <f>IF($A119="","",IF($K119&lt;=0,"Đã thanh toán",IF($J119="","Thiếu ngày đến hạn",IF($J119&gt;='03_BAO_CAO'!$E$4,"Chưa đến hạn",IF($L119&lt;=30,"1-30 ngày",IF($L119&lt;=60,"31-60 ngày",IF($L119&lt;=90,"61-90 ngày","Trên 90 ngày")))))))</f>
        <v/>
      </c>
      <c r="N119" s="51">
        <f>IF($A119="","",IF(OR($B119="",$C119=""),"THIẾU THÔNG TIN",IF(AND($G119&gt;0,$H119&gt;0),"KHÔNG NHẬP ĐỒNG THỜI TĂNG/GIẢM",IF(AND($G119&lt;=0,$H119&lt;=0),"CHƯA NHẬP SỐ TIỀN",IF($D119="KHÔNG TÌM THẤY","MÃ KHÔNG HỢP LỆ",IF(AND($G119&gt;0,$J119=""),"THIẾU NGÀY ĐẾN HẠN","OK"))))))</f>
        <v/>
      </c>
    </row>
    <row r="120">
      <c r="A120" s="209" t="n"/>
      <c r="B120" s="47" t="n"/>
      <c r="C120" s="47" t="n"/>
      <c r="D120" s="51">
        <f>IF($C120="","",XLOOKUP($C120,'01_DANH_MUC'!$A$7:$A$206,'01_DANH_MUC'!$B$7:$B$206,"KHÔNG TÌM THẤY"))</f>
        <v/>
      </c>
      <c r="E120" s="51">
        <f>IF($C120="","",XLOOKUP($C120,'01_DANH_MUC'!$A$7:$A$206,'01_DANH_MUC'!$C$7:$C$206,"KHÔNG TÌM THẤY"))</f>
        <v/>
      </c>
      <c r="F120" s="57" t="n"/>
      <c r="G120" s="211" t="n"/>
      <c r="H120" s="211" t="n"/>
      <c r="I120" s="212">
        <f>IF($C120="","",XLOOKUP($C120,'01_DANH_MUC'!$A$7:$A$206,'01_DANH_MUC'!$E$7:$E$206,0))</f>
        <v/>
      </c>
      <c r="J120" s="213">
        <f>IF(OR($A120="",$C120="",$G120&lt;=0),"",$A120+$I120)</f>
        <v/>
      </c>
      <c r="K120" s="210">
        <f>IF($A120="","",IF(OR($C120="",$G120&lt;=0,$A120&gt;'03_BAO_CAO'!$E$4),0,MAX(0,$G120-MAX(0,SUMIFS($H$7:$H$506,$C$7:$C$506,$C120,$A$7:$A$506,"&lt;="&amp;'03_BAO_CAO'!$E$4)-XLOOKUP($C120,'01_DANH_MUC'!$A$7:$A$206,'01_DANH_MUC'!$F$7:$F$206,0)-SUMIFS($G$7:G119,$C$7:C119,$C120,$A$7:A119,"&lt;="&amp;'03_BAO_CAO'!$E$4)))))</f>
        <v/>
      </c>
      <c r="L120" s="212">
        <f>IF($A120="","",IF(OR($K120&lt;=0,$J120=""),0,MAX(0,'03_BAO_CAO'!$E$4-$J120)))</f>
        <v/>
      </c>
      <c r="M120" s="51">
        <f>IF($A120="","",IF($K120&lt;=0,"Đã thanh toán",IF($J120="","Thiếu ngày đến hạn",IF($J120&gt;='03_BAO_CAO'!$E$4,"Chưa đến hạn",IF($L120&lt;=30,"1-30 ngày",IF($L120&lt;=60,"31-60 ngày",IF($L120&lt;=90,"61-90 ngày","Trên 90 ngày")))))))</f>
        <v/>
      </c>
      <c r="N120" s="51">
        <f>IF($A120="","",IF(OR($B120="",$C120=""),"THIẾU THÔNG TIN",IF(AND($G120&gt;0,$H120&gt;0),"KHÔNG NHẬP ĐỒNG THỜI TĂNG/GIẢM",IF(AND($G120&lt;=0,$H120&lt;=0),"CHƯA NHẬP SỐ TIỀN",IF($D120="KHÔNG TÌM THẤY","MÃ KHÔNG HỢP LỆ",IF(AND($G120&gt;0,$J120=""),"THIẾU NGÀY ĐẾN HẠN","OK"))))))</f>
        <v/>
      </c>
    </row>
    <row r="121">
      <c r="A121" s="209" t="n"/>
      <c r="B121" s="47" t="n"/>
      <c r="C121" s="47" t="n"/>
      <c r="D121" s="51">
        <f>IF($C121="","",XLOOKUP($C121,'01_DANH_MUC'!$A$7:$A$206,'01_DANH_MUC'!$B$7:$B$206,"KHÔNG TÌM THẤY"))</f>
        <v/>
      </c>
      <c r="E121" s="51">
        <f>IF($C121="","",XLOOKUP($C121,'01_DANH_MUC'!$A$7:$A$206,'01_DANH_MUC'!$C$7:$C$206,"KHÔNG TÌM THẤY"))</f>
        <v/>
      </c>
      <c r="F121" s="57" t="n"/>
      <c r="G121" s="211" t="n"/>
      <c r="H121" s="211" t="n"/>
      <c r="I121" s="212">
        <f>IF($C121="","",XLOOKUP($C121,'01_DANH_MUC'!$A$7:$A$206,'01_DANH_MUC'!$E$7:$E$206,0))</f>
        <v/>
      </c>
      <c r="J121" s="213">
        <f>IF(OR($A121="",$C121="",$G121&lt;=0),"",$A121+$I121)</f>
        <v/>
      </c>
      <c r="K121" s="210">
        <f>IF($A121="","",IF(OR($C121="",$G121&lt;=0,$A121&gt;'03_BAO_CAO'!$E$4),0,MAX(0,$G121-MAX(0,SUMIFS($H$7:$H$506,$C$7:$C$506,$C121,$A$7:$A$506,"&lt;="&amp;'03_BAO_CAO'!$E$4)-XLOOKUP($C121,'01_DANH_MUC'!$A$7:$A$206,'01_DANH_MUC'!$F$7:$F$206,0)-SUMIFS($G$7:G120,$C$7:C120,$C121,$A$7:A120,"&lt;="&amp;'03_BAO_CAO'!$E$4)))))</f>
        <v/>
      </c>
      <c r="L121" s="212">
        <f>IF($A121="","",IF(OR($K121&lt;=0,$J121=""),0,MAX(0,'03_BAO_CAO'!$E$4-$J121)))</f>
        <v/>
      </c>
      <c r="M121" s="51">
        <f>IF($A121="","",IF($K121&lt;=0,"Đã thanh toán",IF($J121="","Thiếu ngày đến hạn",IF($J121&gt;='03_BAO_CAO'!$E$4,"Chưa đến hạn",IF($L121&lt;=30,"1-30 ngày",IF($L121&lt;=60,"31-60 ngày",IF($L121&lt;=90,"61-90 ngày","Trên 90 ngày")))))))</f>
        <v/>
      </c>
      <c r="N121" s="51">
        <f>IF($A121="","",IF(OR($B121="",$C121=""),"THIẾU THÔNG TIN",IF(AND($G121&gt;0,$H121&gt;0),"KHÔNG NHẬP ĐỒNG THỜI TĂNG/GIẢM",IF(AND($G121&lt;=0,$H121&lt;=0),"CHƯA NHẬP SỐ TIỀN",IF($D121="KHÔNG TÌM THẤY","MÃ KHÔNG HỢP LỆ",IF(AND($G121&gt;0,$J121=""),"THIẾU NGÀY ĐẾN HẠN","OK"))))))</f>
        <v/>
      </c>
    </row>
    <row r="122">
      <c r="A122" s="209" t="n"/>
      <c r="B122" s="47" t="n"/>
      <c r="C122" s="47" t="n"/>
      <c r="D122" s="51">
        <f>IF($C122="","",XLOOKUP($C122,'01_DANH_MUC'!$A$7:$A$206,'01_DANH_MUC'!$B$7:$B$206,"KHÔNG TÌM THẤY"))</f>
        <v/>
      </c>
      <c r="E122" s="51">
        <f>IF($C122="","",XLOOKUP($C122,'01_DANH_MUC'!$A$7:$A$206,'01_DANH_MUC'!$C$7:$C$206,"KHÔNG TÌM THẤY"))</f>
        <v/>
      </c>
      <c r="F122" s="57" t="n"/>
      <c r="G122" s="211" t="n"/>
      <c r="H122" s="211" t="n"/>
      <c r="I122" s="212">
        <f>IF($C122="","",XLOOKUP($C122,'01_DANH_MUC'!$A$7:$A$206,'01_DANH_MUC'!$E$7:$E$206,0))</f>
        <v/>
      </c>
      <c r="J122" s="213">
        <f>IF(OR($A122="",$C122="",$G122&lt;=0),"",$A122+$I122)</f>
        <v/>
      </c>
      <c r="K122" s="210">
        <f>IF($A122="","",IF(OR($C122="",$G122&lt;=0,$A122&gt;'03_BAO_CAO'!$E$4),0,MAX(0,$G122-MAX(0,SUMIFS($H$7:$H$506,$C$7:$C$506,$C122,$A$7:$A$506,"&lt;="&amp;'03_BAO_CAO'!$E$4)-XLOOKUP($C122,'01_DANH_MUC'!$A$7:$A$206,'01_DANH_MUC'!$F$7:$F$206,0)-SUMIFS($G$7:G121,$C$7:C121,$C122,$A$7:A121,"&lt;="&amp;'03_BAO_CAO'!$E$4)))))</f>
        <v/>
      </c>
      <c r="L122" s="212">
        <f>IF($A122="","",IF(OR($K122&lt;=0,$J122=""),0,MAX(0,'03_BAO_CAO'!$E$4-$J122)))</f>
        <v/>
      </c>
      <c r="M122" s="51">
        <f>IF($A122="","",IF($K122&lt;=0,"Đã thanh toán",IF($J122="","Thiếu ngày đến hạn",IF($J122&gt;='03_BAO_CAO'!$E$4,"Chưa đến hạn",IF($L122&lt;=30,"1-30 ngày",IF($L122&lt;=60,"31-60 ngày",IF($L122&lt;=90,"61-90 ngày","Trên 90 ngày")))))))</f>
        <v/>
      </c>
      <c r="N122" s="51">
        <f>IF($A122="","",IF(OR($B122="",$C122=""),"THIẾU THÔNG TIN",IF(AND($G122&gt;0,$H122&gt;0),"KHÔNG NHẬP ĐỒNG THỜI TĂNG/GIẢM",IF(AND($G122&lt;=0,$H122&lt;=0),"CHƯA NHẬP SỐ TIỀN",IF($D122="KHÔNG TÌM THẤY","MÃ KHÔNG HỢP LỆ",IF(AND($G122&gt;0,$J122=""),"THIẾU NGÀY ĐẾN HẠN","OK"))))))</f>
        <v/>
      </c>
    </row>
    <row r="123">
      <c r="A123" s="209" t="n"/>
      <c r="B123" s="47" t="n"/>
      <c r="C123" s="47" t="n"/>
      <c r="D123" s="51">
        <f>IF($C123="","",XLOOKUP($C123,'01_DANH_MUC'!$A$7:$A$206,'01_DANH_MUC'!$B$7:$B$206,"KHÔNG TÌM THẤY"))</f>
        <v/>
      </c>
      <c r="E123" s="51">
        <f>IF($C123="","",XLOOKUP($C123,'01_DANH_MUC'!$A$7:$A$206,'01_DANH_MUC'!$C$7:$C$206,"KHÔNG TÌM THẤY"))</f>
        <v/>
      </c>
      <c r="F123" s="57" t="n"/>
      <c r="G123" s="211" t="n"/>
      <c r="H123" s="211" t="n"/>
      <c r="I123" s="212">
        <f>IF($C123="","",XLOOKUP($C123,'01_DANH_MUC'!$A$7:$A$206,'01_DANH_MUC'!$E$7:$E$206,0))</f>
        <v/>
      </c>
      <c r="J123" s="213">
        <f>IF(OR($A123="",$C123="",$G123&lt;=0),"",$A123+$I123)</f>
        <v/>
      </c>
      <c r="K123" s="210">
        <f>IF($A123="","",IF(OR($C123="",$G123&lt;=0,$A123&gt;'03_BAO_CAO'!$E$4),0,MAX(0,$G123-MAX(0,SUMIFS($H$7:$H$506,$C$7:$C$506,$C123,$A$7:$A$506,"&lt;="&amp;'03_BAO_CAO'!$E$4)-XLOOKUP($C123,'01_DANH_MUC'!$A$7:$A$206,'01_DANH_MUC'!$F$7:$F$206,0)-SUMIFS($G$7:G122,$C$7:C122,$C123,$A$7:A122,"&lt;="&amp;'03_BAO_CAO'!$E$4)))))</f>
        <v/>
      </c>
      <c r="L123" s="212">
        <f>IF($A123="","",IF(OR($K123&lt;=0,$J123=""),0,MAX(0,'03_BAO_CAO'!$E$4-$J123)))</f>
        <v/>
      </c>
      <c r="M123" s="51">
        <f>IF($A123="","",IF($K123&lt;=0,"Đã thanh toán",IF($J123="","Thiếu ngày đến hạn",IF($J123&gt;='03_BAO_CAO'!$E$4,"Chưa đến hạn",IF($L123&lt;=30,"1-30 ngày",IF($L123&lt;=60,"31-60 ngày",IF($L123&lt;=90,"61-90 ngày","Trên 90 ngày")))))))</f>
        <v/>
      </c>
      <c r="N123" s="51">
        <f>IF($A123="","",IF(OR($B123="",$C123=""),"THIẾU THÔNG TIN",IF(AND($G123&gt;0,$H123&gt;0),"KHÔNG NHẬP ĐỒNG THỜI TĂNG/GIẢM",IF(AND($G123&lt;=0,$H123&lt;=0),"CHƯA NHẬP SỐ TIỀN",IF($D123="KHÔNG TÌM THẤY","MÃ KHÔNG HỢP LỆ",IF(AND($G123&gt;0,$J123=""),"THIẾU NGÀY ĐẾN HẠN","OK"))))))</f>
        <v/>
      </c>
    </row>
    <row r="124">
      <c r="A124" s="209" t="n"/>
      <c r="B124" s="47" t="n"/>
      <c r="C124" s="47" t="n"/>
      <c r="D124" s="51">
        <f>IF($C124="","",XLOOKUP($C124,'01_DANH_MUC'!$A$7:$A$206,'01_DANH_MUC'!$B$7:$B$206,"KHÔNG TÌM THẤY"))</f>
        <v/>
      </c>
      <c r="E124" s="51">
        <f>IF($C124="","",XLOOKUP($C124,'01_DANH_MUC'!$A$7:$A$206,'01_DANH_MUC'!$C$7:$C$206,"KHÔNG TÌM THẤY"))</f>
        <v/>
      </c>
      <c r="F124" s="57" t="n"/>
      <c r="G124" s="211" t="n"/>
      <c r="H124" s="211" t="n"/>
      <c r="I124" s="212">
        <f>IF($C124="","",XLOOKUP($C124,'01_DANH_MUC'!$A$7:$A$206,'01_DANH_MUC'!$E$7:$E$206,0))</f>
        <v/>
      </c>
      <c r="J124" s="213">
        <f>IF(OR($A124="",$C124="",$G124&lt;=0),"",$A124+$I124)</f>
        <v/>
      </c>
      <c r="K124" s="210">
        <f>IF($A124="","",IF(OR($C124="",$G124&lt;=0,$A124&gt;'03_BAO_CAO'!$E$4),0,MAX(0,$G124-MAX(0,SUMIFS($H$7:$H$506,$C$7:$C$506,$C124,$A$7:$A$506,"&lt;="&amp;'03_BAO_CAO'!$E$4)-XLOOKUP($C124,'01_DANH_MUC'!$A$7:$A$206,'01_DANH_MUC'!$F$7:$F$206,0)-SUMIFS($G$7:G123,$C$7:C123,$C124,$A$7:A123,"&lt;="&amp;'03_BAO_CAO'!$E$4)))))</f>
        <v/>
      </c>
      <c r="L124" s="212">
        <f>IF($A124="","",IF(OR($K124&lt;=0,$J124=""),0,MAX(0,'03_BAO_CAO'!$E$4-$J124)))</f>
        <v/>
      </c>
      <c r="M124" s="51">
        <f>IF($A124="","",IF($K124&lt;=0,"Đã thanh toán",IF($J124="","Thiếu ngày đến hạn",IF($J124&gt;='03_BAO_CAO'!$E$4,"Chưa đến hạn",IF($L124&lt;=30,"1-30 ngày",IF($L124&lt;=60,"31-60 ngày",IF($L124&lt;=90,"61-90 ngày","Trên 90 ngày")))))))</f>
        <v/>
      </c>
      <c r="N124" s="51">
        <f>IF($A124="","",IF(OR($B124="",$C124=""),"THIẾU THÔNG TIN",IF(AND($G124&gt;0,$H124&gt;0),"KHÔNG NHẬP ĐỒNG THỜI TĂNG/GIẢM",IF(AND($G124&lt;=0,$H124&lt;=0),"CHƯA NHẬP SỐ TIỀN",IF($D124="KHÔNG TÌM THẤY","MÃ KHÔNG HỢP LỆ",IF(AND($G124&gt;0,$J124=""),"THIẾU NGÀY ĐẾN HẠN","OK"))))))</f>
        <v/>
      </c>
    </row>
    <row r="125">
      <c r="A125" s="209" t="n"/>
      <c r="B125" s="47" t="n"/>
      <c r="C125" s="47" t="n"/>
      <c r="D125" s="51">
        <f>IF($C125="","",XLOOKUP($C125,'01_DANH_MUC'!$A$7:$A$206,'01_DANH_MUC'!$B$7:$B$206,"KHÔNG TÌM THẤY"))</f>
        <v/>
      </c>
      <c r="E125" s="51">
        <f>IF($C125="","",XLOOKUP($C125,'01_DANH_MUC'!$A$7:$A$206,'01_DANH_MUC'!$C$7:$C$206,"KHÔNG TÌM THẤY"))</f>
        <v/>
      </c>
      <c r="F125" s="57" t="n"/>
      <c r="G125" s="211" t="n"/>
      <c r="H125" s="211" t="n"/>
      <c r="I125" s="212">
        <f>IF($C125="","",XLOOKUP($C125,'01_DANH_MUC'!$A$7:$A$206,'01_DANH_MUC'!$E$7:$E$206,0))</f>
        <v/>
      </c>
      <c r="J125" s="213">
        <f>IF(OR($A125="",$C125="",$G125&lt;=0),"",$A125+$I125)</f>
        <v/>
      </c>
      <c r="K125" s="210">
        <f>IF($A125="","",IF(OR($C125="",$G125&lt;=0,$A125&gt;'03_BAO_CAO'!$E$4),0,MAX(0,$G125-MAX(0,SUMIFS($H$7:$H$506,$C$7:$C$506,$C125,$A$7:$A$506,"&lt;="&amp;'03_BAO_CAO'!$E$4)-XLOOKUP($C125,'01_DANH_MUC'!$A$7:$A$206,'01_DANH_MUC'!$F$7:$F$206,0)-SUMIFS($G$7:G124,$C$7:C124,$C125,$A$7:A124,"&lt;="&amp;'03_BAO_CAO'!$E$4)))))</f>
        <v/>
      </c>
      <c r="L125" s="212">
        <f>IF($A125="","",IF(OR($K125&lt;=0,$J125=""),0,MAX(0,'03_BAO_CAO'!$E$4-$J125)))</f>
        <v/>
      </c>
      <c r="M125" s="51">
        <f>IF($A125="","",IF($K125&lt;=0,"Đã thanh toán",IF($J125="","Thiếu ngày đến hạn",IF($J125&gt;='03_BAO_CAO'!$E$4,"Chưa đến hạn",IF($L125&lt;=30,"1-30 ngày",IF($L125&lt;=60,"31-60 ngày",IF($L125&lt;=90,"61-90 ngày","Trên 90 ngày")))))))</f>
        <v/>
      </c>
      <c r="N125" s="51">
        <f>IF($A125="","",IF(OR($B125="",$C125=""),"THIẾU THÔNG TIN",IF(AND($G125&gt;0,$H125&gt;0),"KHÔNG NHẬP ĐỒNG THỜI TĂNG/GIẢM",IF(AND($G125&lt;=0,$H125&lt;=0),"CHƯA NHẬP SỐ TIỀN",IF($D125="KHÔNG TÌM THẤY","MÃ KHÔNG HỢP LỆ",IF(AND($G125&gt;0,$J125=""),"THIẾU NGÀY ĐẾN HẠN","OK"))))))</f>
        <v/>
      </c>
    </row>
    <row r="126">
      <c r="A126" s="209" t="n"/>
      <c r="B126" s="47" t="n"/>
      <c r="C126" s="47" t="n"/>
      <c r="D126" s="51">
        <f>IF($C126="","",XLOOKUP($C126,'01_DANH_MUC'!$A$7:$A$206,'01_DANH_MUC'!$B$7:$B$206,"KHÔNG TÌM THẤY"))</f>
        <v/>
      </c>
      <c r="E126" s="51">
        <f>IF($C126="","",XLOOKUP($C126,'01_DANH_MUC'!$A$7:$A$206,'01_DANH_MUC'!$C$7:$C$206,"KHÔNG TÌM THẤY"))</f>
        <v/>
      </c>
      <c r="F126" s="57" t="n"/>
      <c r="G126" s="211" t="n"/>
      <c r="H126" s="211" t="n"/>
      <c r="I126" s="212">
        <f>IF($C126="","",XLOOKUP($C126,'01_DANH_MUC'!$A$7:$A$206,'01_DANH_MUC'!$E$7:$E$206,0))</f>
        <v/>
      </c>
      <c r="J126" s="213">
        <f>IF(OR($A126="",$C126="",$G126&lt;=0),"",$A126+$I126)</f>
        <v/>
      </c>
      <c r="K126" s="210">
        <f>IF($A126="","",IF(OR($C126="",$G126&lt;=0,$A126&gt;'03_BAO_CAO'!$E$4),0,MAX(0,$G126-MAX(0,SUMIFS($H$7:$H$506,$C$7:$C$506,$C126,$A$7:$A$506,"&lt;="&amp;'03_BAO_CAO'!$E$4)-XLOOKUP($C126,'01_DANH_MUC'!$A$7:$A$206,'01_DANH_MUC'!$F$7:$F$206,0)-SUMIFS($G$7:G125,$C$7:C125,$C126,$A$7:A125,"&lt;="&amp;'03_BAO_CAO'!$E$4)))))</f>
        <v/>
      </c>
      <c r="L126" s="212">
        <f>IF($A126="","",IF(OR($K126&lt;=0,$J126=""),0,MAX(0,'03_BAO_CAO'!$E$4-$J126)))</f>
        <v/>
      </c>
      <c r="M126" s="51">
        <f>IF($A126="","",IF($K126&lt;=0,"Đã thanh toán",IF($J126="","Thiếu ngày đến hạn",IF($J126&gt;='03_BAO_CAO'!$E$4,"Chưa đến hạn",IF($L126&lt;=30,"1-30 ngày",IF($L126&lt;=60,"31-60 ngày",IF($L126&lt;=90,"61-90 ngày","Trên 90 ngày")))))))</f>
        <v/>
      </c>
      <c r="N126" s="51">
        <f>IF($A126="","",IF(OR($B126="",$C126=""),"THIẾU THÔNG TIN",IF(AND($G126&gt;0,$H126&gt;0),"KHÔNG NHẬP ĐỒNG THỜI TĂNG/GIẢM",IF(AND($G126&lt;=0,$H126&lt;=0),"CHƯA NHẬP SỐ TIỀN",IF($D126="KHÔNG TÌM THẤY","MÃ KHÔNG HỢP LỆ",IF(AND($G126&gt;0,$J126=""),"THIẾU NGÀY ĐẾN HẠN","OK"))))))</f>
        <v/>
      </c>
    </row>
    <row r="127">
      <c r="A127" s="209" t="n"/>
      <c r="B127" s="47" t="n"/>
      <c r="C127" s="47" t="n"/>
      <c r="D127" s="51">
        <f>IF($C127="","",XLOOKUP($C127,'01_DANH_MUC'!$A$7:$A$206,'01_DANH_MUC'!$B$7:$B$206,"KHÔNG TÌM THẤY"))</f>
        <v/>
      </c>
      <c r="E127" s="51">
        <f>IF($C127="","",XLOOKUP($C127,'01_DANH_MUC'!$A$7:$A$206,'01_DANH_MUC'!$C$7:$C$206,"KHÔNG TÌM THẤY"))</f>
        <v/>
      </c>
      <c r="F127" s="57" t="n"/>
      <c r="G127" s="211" t="n"/>
      <c r="H127" s="211" t="n"/>
      <c r="I127" s="212">
        <f>IF($C127="","",XLOOKUP($C127,'01_DANH_MUC'!$A$7:$A$206,'01_DANH_MUC'!$E$7:$E$206,0))</f>
        <v/>
      </c>
      <c r="J127" s="213">
        <f>IF(OR($A127="",$C127="",$G127&lt;=0),"",$A127+$I127)</f>
        <v/>
      </c>
      <c r="K127" s="210">
        <f>IF($A127="","",IF(OR($C127="",$G127&lt;=0,$A127&gt;'03_BAO_CAO'!$E$4),0,MAX(0,$G127-MAX(0,SUMIFS($H$7:$H$506,$C$7:$C$506,$C127,$A$7:$A$506,"&lt;="&amp;'03_BAO_CAO'!$E$4)-XLOOKUP($C127,'01_DANH_MUC'!$A$7:$A$206,'01_DANH_MUC'!$F$7:$F$206,0)-SUMIFS($G$7:G126,$C$7:C126,$C127,$A$7:A126,"&lt;="&amp;'03_BAO_CAO'!$E$4)))))</f>
        <v/>
      </c>
      <c r="L127" s="212">
        <f>IF($A127="","",IF(OR($K127&lt;=0,$J127=""),0,MAX(0,'03_BAO_CAO'!$E$4-$J127)))</f>
        <v/>
      </c>
      <c r="M127" s="51">
        <f>IF($A127="","",IF($K127&lt;=0,"Đã thanh toán",IF($J127="","Thiếu ngày đến hạn",IF($J127&gt;='03_BAO_CAO'!$E$4,"Chưa đến hạn",IF($L127&lt;=30,"1-30 ngày",IF($L127&lt;=60,"31-60 ngày",IF($L127&lt;=90,"61-90 ngày","Trên 90 ngày")))))))</f>
        <v/>
      </c>
      <c r="N127" s="51">
        <f>IF($A127="","",IF(OR($B127="",$C127=""),"THIẾU THÔNG TIN",IF(AND($G127&gt;0,$H127&gt;0),"KHÔNG NHẬP ĐỒNG THỜI TĂNG/GIẢM",IF(AND($G127&lt;=0,$H127&lt;=0),"CHƯA NHẬP SỐ TIỀN",IF($D127="KHÔNG TÌM THẤY","MÃ KHÔNG HỢP LỆ",IF(AND($G127&gt;0,$J127=""),"THIẾU NGÀY ĐẾN HẠN","OK"))))))</f>
        <v/>
      </c>
    </row>
    <row r="128">
      <c r="A128" s="209" t="n"/>
      <c r="B128" s="47" t="n"/>
      <c r="C128" s="47" t="n"/>
      <c r="D128" s="51">
        <f>IF($C128="","",XLOOKUP($C128,'01_DANH_MUC'!$A$7:$A$206,'01_DANH_MUC'!$B$7:$B$206,"KHÔNG TÌM THẤY"))</f>
        <v/>
      </c>
      <c r="E128" s="51">
        <f>IF($C128="","",XLOOKUP($C128,'01_DANH_MUC'!$A$7:$A$206,'01_DANH_MUC'!$C$7:$C$206,"KHÔNG TÌM THẤY"))</f>
        <v/>
      </c>
      <c r="F128" s="57" t="n"/>
      <c r="G128" s="211" t="n"/>
      <c r="H128" s="211" t="n"/>
      <c r="I128" s="212">
        <f>IF($C128="","",XLOOKUP($C128,'01_DANH_MUC'!$A$7:$A$206,'01_DANH_MUC'!$E$7:$E$206,0))</f>
        <v/>
      </c>
      <c r="J128" s="213">
        <f>IF(OR($A128="",$C128="",$G128&lt;=0),"",$A128+$I128)</f>
        <v/>
      </c>
      <c r="K128" s="210">
        <f>IF($A128="","",IF(OR($C128="",$G128&lt;=0,$A128&gt;'03_BAO_CAO'!$E$4),0,MAX(0,$G128-MAX(0,SUMIFS($H$7:$H$506,$C$7:$C$506,$C128,$A$7:$A$506,"&lt;="&amp;'03_BAO_CAO'!$E$4)-XLOOKUP($C128,'01_DANH_MUC'!$A$7:$A$206,'01_DANH_MUC'!$F$7:$F$206,0)-SUMIFS($G$7:G127,$C$7:C127,$C128,$A$7:A127,"&lt;="&amp;'03_BAO_CAO'!$E$4)))))</f>
        <v/>
      </c>
      <c r="L128" s="212">
        <f>IF($A128="","",IF(OR($K128&lt;=0,$J128=""),0,MAX(0,'03_BAO_CAO'!$E$4-$J128)))</f>
        <v/>
      </c>
      <c r="M128" s="51">
        <f>IF($A128="","",IF($K128&lt;=0,"Đã thanh toán",IF($J128="","Thiếu ngày đến hạn",IF($J128&gt;='03_BAO_CAO'!$E$4,"Chưa đến hạn",IF($L128&lt;=30,"1-30 ngày",IF($L128&lt;=60,"31-60 ngày",IF($L128&lt;=90,"61-90 ngày","Trên 90 ngày")))))))</f>
        <v/>
      </c>
      <c r="N128" s="51">
        <f>IF($A128="","",IF(OR($B128="",$C128=""),"THIẾU THÔNG TIN",IF(AND($G128&gt;0,$H128&gt;0),"KHÔNG NHẬP ĐỒNG THỜI TĂNG/GIẢM",IF(AND($G128&lt;=0,$H128&lt;=0),"CHƯA NHẬP SỐ TIỀN",IF($D128="KHÔNG TÌM THẤY","MÃ KHÔNG HỢP LỆ",IF(AND($G128&gt;0,$J128=""),"THIẾU NGÀY ĐẾN HẠN","OK"))))))</f>
        <v/>
      </c>
    </row>
    <row r="129">
      <c r="A129" s="209" t="n"/>
      <c r="B129" s="47" t="n"/>
      <c r="C129" s="47" t="n"/>
      <c r="D129" s="51">
        <f>IF($C129="","",XLOOKUP($C129,'01_DANH_MUC'!$A$7:$A$206,'01_DANH_MUC'!$B$7:$B$206,"KHÔNG TÌM THẤY"))</f>
        <v/>
      </c>
      <c r="E129" s="51">
        <f>IF($C129="","",XLOOKUP($C129,'01_DANH_MUC'!$A$7:$A$206,'01_DANH_MUC'!$C$7:$C$206,"KHÔNG TÌM THẤY"))</f>
        <v/>
      </c>
      <c r="F129" s="57" t="n"/>
      <c r="G129" s="211" t="n"/>
      <c r="H129" s="211" t="n"/>
      <c r="I129" s="212">
        <f>IF($C129="","",XLOOKUP($C129,'01_DANH_MUC'!$A$7:$A$206,'01_DANH_MUC'!$E$7:$E$206,0))</f>
        <v/>
      </c>
      <c r="J129" s="213">
        <f>IF(OR($A129="",$C129="",$G129&lt;=0),"",$A129+$I129)</f>
        <v/>
      </c>
      <c r="K129" s="210">
        <f>IF($A129="","",IF(OR($C129="",$G129&lt;=0,$A129&gt;'03_BAO_CAO'!$E$4),0,MAX(0,$G129-MAX(0,SUMIFS($H$7:$H$506,$C$7:$C$506,$C129,$A$7:$A$506,"&lt;="&amp;'03_BAO_CAO'!$E$4)-XLOOKUP($C129,'01_DANH_MUC'!$A$7:$A$206,'01_DANH_MUC'!$F$7:$F$206,0)-SUMIFS($G$7:G128,$C$7:C128,$C129,$A$7:A128,"&lt;="&amp;'03_BAO_CAO'!$E$4)))))</f>
        <v/>
      </c>
      <c r="L129" s="212">
        <f>IF($A129="","",IF(OR($K129&lt;=0,$J129=""),0,MAX(0,'03_BAO_CAO'!$E$4-$J129)))</f>
        <v/>
      </c>
      <c r="M129" s="51">
        <f>IF($A129="","",IF($K129&lt;=0,"Đã thanh toán",IF($J129="","Thiếu ngày đến hạn",IF($J129&gt;='03_BAO_CAO'!$E$4,"Chưa đến hạn",IF($L129&lt;=30,"1-30 ngày",IF($L129&lt;=60,"31-60 ngày",IF($L129&lt;=90,"61-90 ngày","Trên 90 ngày")))))))</f>
        <v/>
      </c>
      <c r="N129" s="51">
        <f>IF($A129="","",IF(OR($B129="",$C129=""),"THIẾU THÔNG TIN",IF(AND($G129&gt;0,$H129&gt;0),"KHÔNG NHẬP ĐỒNG THỜI TĂNG/GIẢM",IF(AND($G129&lt;=0,$H129&lt;=0),"CHƯA NHẬP SỐ TIỀN",IF($D129="KHÔNG TÌM THẤY","MÃ KHÔNG HỢP LỆ",IF(AND($G129&gt;0,$J129=""),"THIẾU NGÀY ĐẾN HẠN","OK"))))))</f>
        <v/>
      </c>
    </row>
    <row r="130">
      <c r="A130" s="209" t="n"/>
      <c r="B130" s="47" t="n"/>
      <c r="C130" s="47" t="n"/>
      <c r="D130" s="51">
        <f>IF($C130="","",XLOOKUP($C130,'01_DANH_MUC'!$A$7:$A$206,'01_DANH_MUC'!$B$7:$B$206,"KHÔNG TÌM THẤY"))</f>
        <v/>
      </c>
      <c r="E130" s="51">
        <f>IF($C130="","",XLOOKUP($C130,'01_DANH_MUC'!$A$7:$A$206,'01_DANH_MUC'!$C$7:$C$206,"KHÔNG TÌM THẤY"))</f>
        <v/>
      </c>
      <c r="F130" s="57" t="n"/>
      <c r="G130" s="211" t="n"/>
      <c r="H130" s="211" t="n"/>
      <c r="I130" s="212">
        <f>IF($C130="","",XLOOKUP($C130,'01_DANH_MUC'!$A$7:$A$206,'01_DANH_MUC'!$E$7:$E$206,0))</f>
        <v/>
      </c>
      <c r="J130" s="213">
        <f>IF(OR($A130="",$C130="",$G130&lt;=0),"",$A130+$I130)</f>
        <v/>
      </c>
      <c r="K130" s="210">
        <f>IF($A130="","",IF(OR($C130="",$G130&lt;=0,$A130&gt;'03_BAO_CAO'!$E$4),0,MAX(0,$G130-MAX(0,SUMIFS($H$7:$H$506,$C$7:$C$506,$C130,$A$7:$A$506,"&lt;="&amp;'03_BAO_CAO'!$E$4)-XLOOKUP($C130,'01_DANH_MUC'!$A$7:$A$206,'01_DANH_MUC'!$F$7:$F$206,0)-SUMIFS($G$7:G129,$C$7:C129,$C130,$A$7:A129,"&lt;="&amp;'03_BAO_CAO'!$E$4)))))</f>
        <v/>
      </c>
      <c r="L130" s="212">
        <f>IF($A130="","",IF(OR($K130&lt;=0,$J130=""),0,MAX(0,'03_BAO_CAO'!$E$4-$J130)))</f>
        <v/>
      </c>
      <c r="M130" s="51">
        <f>IF($A130="","",IF($K130&lt;=0,"Đã thanh toán",IF($J130="","Thiếu ngày đến hạn",IF($J130&gt;='03_BAO_CAO'!$E$4,"Chưa đến hạn",IF($L130&lt;=30,"1-30 ngày",IF($L130&lt;=60,"31-60 ngày",IF($L130&lt;=90,"61-90 ngày","Trên 90 ngày")))))))</f>
        <v/>
      </c>
      <c r="N130" s="51">
        <f>IF($A130="","",IF(OR($B130="",$C130=""),"THIẾU THÔNG TIN",IF(AND($G130&gt;0,$H130&gt;0),"KHÔNG NHẬP ĐỒNG THỜI TĂNG/GIẢM",IF(AND($G130&lt;=0,$H130&lt;=0),"CHƯA NHẬP SỐ TIỀN",IF($D130="KHÔNG TÌM THẤY","MÃ KHÔNG HỢP LỆ",IF(AND($G130&gt;0,$J130=""),"THIẾU NGÀY ĐẾN HẠN","OK"))))))</f>
        <v/>
      </c>
    </row>
    <row r="131">
      <c r="A131" s="209" t="n"/>
      <c r="B131" s="47" t="n"/>
      <c r="C131" s="47" t="n"/>
      <c r="D131" s="51">
        <f>IF($C131="","",XLOOKUP($C131,'01_DANH_MUC'!$A$7:$A$206,'01_DANH_MUC'!$B$7:$B$206,"KHÔNG TÌM THẤY"))</f>
        <v/>
      </c>
      <c r="E131" s="51">
        <f>IF($C131="","",XLOOKUP($C131,'01_DANH_MUC'!$A$7:$A$206,'01_DANH_MUC'!$C$7:$C$206,"KHÔNG TÌM THẤY"))</f>
        <v/>
      </c>
      <c r="F131" s="57" t="n"/>
      <c r="G131" s="211" t="n"/>
      <c r="H131" s="211" t="n"/>
      <c r="I131" s="212">
        <f>IF($C131="","",XLOOKUP($C131,'01_DANH_MUC'!$A$7:$A$206,'01_DANH_MUC'!$E$7:$E$206,0))</f>
        <v/>
      </c>
      <c r="J131" s="213">
        <f>IF(OR($A131="",$C131="",$G131&lt;=0),"",$A131+$I131)</f>
        <v/>
      </c>
      <c r="K131" s="210">
        <f>IF($A131="","",IF(OR($C131="",$G131&lt;=0,$A131&gt;'03_BAO_CAO'!$E$4),0,MAX(0,$G131-MAX(0,SUMIFS($H$7:$H$506,$C$7:$C$506,$C131,$A$7:$A$506,"&lt;="&amp;'03_BAO_CAO'!$E$4)-XLOOKUP($C131,'01_DANH_MUC'!$A$7:$A$206,'01_DANH_MUC'!$F$7:$F$206,0)-SUMIFS($G$7:G130,$C$7:C130,$C131,$A$7:A130,"&lt;="&amp;'03_BAO_CAO'!$E$4)))))</f>
        <v/>
      </c>
      <c r="L131" s="212">
        <f>IF($A131="","",IF(OR($K131&lt;=0,$J131=""),0,MAX(0,'03_BAO_CAO'!$E$4-$J131)))</f>
        <v/>
      </c>
      <c r="M131" s="51">
        <f>IF($A131="","",IF($K131&lt;=0,"Đã thanh toán",IF($J131="","Thiếu ngày đến hạn",IF($J131&gt;='03_BAO_CAO'!$E$4,"Chưa đến hạn",IF($L131&lt;=30,"1-30 ngày",IF($L131&lt;=60,"31-60 ngày",IF($L131&lt;=90,"61-90 ngày","Trên 90 ngày")))))))</f>
        <v/>
      </c>
      <c r="N131" s="51">
        <f>IF($A131="","",IF(OR($B131="",$C131=""),"THIẾU THÔNG TIN",IF(AND($G131&gt;0,$H131&gt;0),"KHÔNG NHẬP ĐỒNG THỜI TĂNG/GIẢM",IF(AND($G131&lt;=0,$H131&lt;=0),"CHƯA NHẬP SỐ TIỀN",IF($D131="KHÔNG TÌM THẤY","MÃ KHÔNG HỢP LỆ",IF(AND($G131&gt;0,$J131=""),"THIẾU NGÀY ĐẾN HẠN","OK"))))))</f>
        <v/>
      </c>
    </row>
    <row r="132">
      <c r="A132" s="209" t="n"/>
      <c r="B132" s="47" t="n"/>
      <c r="C132" s="47" t="n"/>
      <c r="D132" s="51">
        <f>IF($C132="","",XLOOKUP($C132,'01_DANH_MUC'!$A$7:$A$206,'01_DANH_MUC'!$B$7:$B$206,"KHÔNG TÌM THẤY"))</f>
        <v/>
      </c>
      <c r="E132" s="51">
        <f>IF($C132="","",XLOOKUP($C132,'01_DANH_MUC'!$A$7:$A$206,'01_DANH_MUC'!$C$7:$C$206,"KHÔNG TÌM THẤY"))</f>
        <v/>
      </c>
      <c r="F132" s="57" t="n"/>
      <c r="G132" s="211" t="n"/>
      <c r="H132" s="211" t="n"/>
      <c r="I132" s="212">
        <f>IF($C132="","",XLOOKUP($C132,'01_DANH_MUC'!$A$7:$A$206,'01_DANH_MUC'!$E$7:$E$206,0))</f>
        <v/>
      </c>
      <c r="J132" s="213">
        <f>IF(OR($A132="",$C132="",$G132&lt;=0),"",$A132+$I132)</f>
        <v/>
      </c>
      <c r="K132" s="210">
        <f>IF($A132="","",IF(OR($C132="",$G132&lt;=0,$A132&gt;'03_BAO_CAO'!$E$4),0,MAX(0,$G132-MAX(0,SUMIFS($H$7:$H$506,$C$7:$C$506,$C132,$A$7:$A$506,"&lt;="&amp;'03_BAO_CAO'!$E$4)-XLOOKUP($C132,'01_DANH_MUC'!$A$7:$A$206,'01_DANH_MUC'!$F$7:$F$206,0)-SUMIFS($G$7:G131,$C$7:C131,$C132,$A$7:A131,"&lt;="&amp;'03_BAO_CAO'!$E$4)))))</f>
        <v/>
      </c>
      <c r="L132" s="212">
        <f>IF($A132="","",IF(OR($K132&lt;=0,$J132=""),0,MAX(0,'03_BAO_CAO'!$E$4-$J132)))</f>
        <v/>
      </c>
      <c r="M132" s="51">
        <f>IF($A132="","",IF($K132&lt;=0,"Đã thanh toán",IF($J132="","Thiếu ngày đến hạn",IF($J132&gt;='03_BAO_CAO'!$E$4,"Chưa đến hạn",IF($L132&lt;=30,"1-30 ngày",IF($L132&lt;=60,"31-60 ngày",IF($L132&lt;=90,"61-90 ngày","Trên 90 ngày")))))))</f>
        <v/>
      </c>
      <c r="N132" s="51">
        <f>IF($A132="","",IF(OR($B132="",$C132=""),"THIẾU THÔNG TIN",IF(AND($G132&gt;0,$H132&gt;0),"KHÔNG NHẬP ĐỒNG THỜI TĂNG/GIẢM",IF(AND($G132&lt;=0,$H132&lt;=0),"CHƯA NHẬP SỐ TIỀN",IF($D132="KHÔNG TÌM THẤY","MÃ KHÔNG HỢP LỆ",IF(AND($G132&gt;0,$J132=""),"THIẾU NGÀY ĐẾN HẠN","OK"))))))</f>
        <v/>
      </c>
    </row>
    <row r="133">
      <c r="A133" s="209" t="n"/>
      <c r="B133" s="47" t="n"/>
      <c r="C133" s="47" t="n"/>
      <c r="D133" s="51">
        <f>IF($C133="","",XLOOKUP($C133,'01_DANH_MUC'!$A$7:$A$206,'01_DANH_MUC'!$B$7:$B$206,"KHÔNG TÌM THẤY"))</f>
        <v/>
      </c>
      <c r="E133" s="51">
        <f>IF($C133="","",XLOOKUP($C133,'01_DANH_MUC'!$A$7:$A$206,'01_DANH_MUC'!$C$7:$C$206,"KHÔNG TÌM THẤY"))</f>
        <v/>
      </c>
      <c r="F133" s="57" t="n"/>
      <c r="G133" s="211" t="n"/>
      <c r="H133" s="211" t="n"/>
      <c r="I133" s="212">
        <f>IF($C133="","",XLOOKUP($C133,'01_DANH_MUC'!$A$7:$A$206,'01_DANH_MUC'!$E$7:$E$206,0))</f>
        <v/>
      </c>
      <c r="J133" s="213">
        <f>IF(OR($A133="",$C133="",$G133&lt;=0),"",$A133+$I133)</f>
        <v/>
      </c>
      <c r="K133" s="210">
        <f>IF($A133="","",IF(OR($C133="",$G133&lt;=0,$A133&gt;'03_BAO_CAO'!$E$4),0,MAX(0,$G133-MAX(0,SUMIFS($H$7:$H$506,$C$7:$C$506,$C133,$A$7:$A$506,"&lt;="&amp;'03_BAO_CAO'!$E$4)-XLOOKUP($C133,'01_DANH_MUC'!$A$7:$A$206,'01_DANH_MUC'!$F$7:$F$206,0)-SUMIFS($G$7:G132,$C$7:C132,$C133,$A$7:A132,"&lt;="&amp;'03_BAO_CAO'!$E$4)))))</f>
        <v/>
      </c>
      <c r="L133" s="212">
        <f>IF($A133="","",IF(OR($K133&lt;=0,$J133=""),0,MAX(0,'03_BAO_CAO'!$E$4-$J133)))</f>
        <v/>
      </c>
      <c r="M133" s="51">
        <f>IF($A133="","",IF($K133&lt;=0,"Đã thanh toán",IF($J133="","Thiếu ngày đến hạn",IF($J133&gt;='03_BAO_CAO'!$E$4,"Chưa đến hạn",IF($L133&lt;=30,"1-30 ngày",IF($L133&lt;=60,"31-60 ngày",IF($L133&lt;=90,"61-90 ngày","Trên 90 ngày")))))))</f>
        <v/>
      </c>
      <c r="N133" s="51">
        <f>IF($A133="","",IF(OR($B133="",$C133=""),"THIẾU THÔNG TIN",IF(AND($G133&gt;0,$H133&gt;0),"KHÔNG NHẬP ĐỒNG THỜI TĂNG/GIẢM",IF(AND($G133&lt;=0,$H133&lt;=0),"CHƯA NHẬP SỐ TIỀN",IF($D133="KHÔNG TÌM THẤY","MÃ KHÔNG HỢP LỆ",IF(AND($G133&gt;0,$J133=""),"THIẾU NGÀY ĐẾN HẠN","OK"))))))</f>
        <v/>
      </c>
    </row>
    <row r="134">
      <c r="A134" s="209" t="n"/>
      <c r="B134" s="47" t="n"/>
      <c r="C134" s="47" t="n"/>
      <c r="D134" s="51">
        <f>IF($C134="","",XLOOKUP($C134,'01_DANH_MUC'!$A$7:$A$206,'01_DANH_MUC'!$B$7:$B$206,"KHÔNG TÌM THẤY"))</f>
        <v/>
      </c>
      <c r="E134" s="51">
        <f>IF($C134="","",XLOOKUP($C134,'01_DANH_MUC'!$A$7:$A$206,'01_DANH_MUC'!$C$7:$C$206,"KHÔNG TÌM THẤY"))</f>
        <v/>
      </c>
      <c r="F134" s="57" t="n"/>
      <c r="G134" s="211" t="n"/>
      <c r="H134" s="211" t="n"/>
      <c r="I134" s="212">
        <f>IF($C134="","",XLOOKUP($C134,'01_DANH_MUC'!$A$7:$A$206,'01_DANH_MUC'!$E$7:$E$206,0))</f>
        <v/>
      </c>
      <c r="J134" s="213">
        <f>IF(OR($A134="",$C134="",$G134&lt;=0),"",$A134+$I134)</f>
        <v/>
      </c>
      <c r="K134" s="210">
        <f>IF($A134="","",IF(OR($C134="",$G134&lt;=0,$A134&gt;'03_BAO_CAO'!$E$4),0,MAX(0,$G134-MAX(0,SUMIFS($H$7:$H$506,$C$7:$C$506,$C134,$A$7:$A$506,"&lt;="&amp;'03_BAO_CAO'!$E$4)-XLOOKUP($C134,'01_DANH_MUC'!$A$7:$A$206,'01_DANH_MUC'!$F$7:$F$206,0)-SUMIFS($G$7:G133,$C$7:C133,$C134,$A$7:A133,"&lt;="&amp;'03_BAO_CAO'!$E$4)))))</f>
        <v/>
      </c>
      <c r="L134" s="212">
        <f>IF($A134="","",IF(OR($K134&lt;=0,$J134=""),0,MAX(0,'03_BAO_CAO'!$E$4-$J134)))</f>
        <v/>
      </c>
      <c r="M134" s="51">
        <f>IF($A134="","",IF($K134&lt;=0,"Đã thanh toán",IF($J134="","Thiếu ngày đến hạn",IF($J134&gt;='03_BAO_CAO'!$E$4,"Chưa đến hạn",IF($L134&lt;=30,"1-30 ngày",IF($L134&lt;=60,"31-60 ngày",IF($L134&lt;=90,"61-90 ngày","Trên 90 ngày")))))))</f>
        <v/>
      </c>
      <c r="N134" s="51">
        <f>IF($A134="","",IF(OR($B134="",$C134=""),"THIẾU THÔNG TIN",IF(AND($G134&gt;0,$H134&gt;0),"KHÔNG NHẬP ĐỒNG THỜI TĂNG/GIẢM",IF(AND($G134&lt;=0,$H134&lt;=0),"CHƯA NHẬP SỐ TIỀN",IF($D134="KHÔNG TÌM THẤY","MÃ KHÔNG HỢP LỆ",IF(AND($G134&gt;0,$J134=""),"THIẾU NGÀY ĐẾN HẠN","OK"))))))</f>
        <v/>
      </c>
    </row>
    <row r="135">
      <c r="A135" s="209" t="n"/>
      <c r="B135" s="47" t="n"/>
      <c r="C135" s="47" t="n"/>
      <c r="D135" s="51">
        <f>IF($C135="","",XLOOKUP($C135,'01_DANH_MUC'!$A$7:$A$206,'01_DANH_MUC'!$B$7:$B$206,"KHÔNG TÌM THẤY"))</f>
        <v/>
      </c>
      <c r="E135" s="51">
        <f>IF($C135="","",XLOOKUP($C135,'01_DANH_MUC'!$A$7:$A$206,'01_DANH_MUC'!$C$7:$C$206,"KHÔNG TÌM THẤY"))</f>
        <v/>
      </c>
      <c r="F135" s="57" t="n"/>
      <c r="G135" s="211" t="n"/>
      <c r="H135" s="211" t="n"/>
      <c r="I135" s="212">
        <f>IF($C135="","",XLOOKUP($C135,'01_DANH_MUC'!$A$7:$A$206,'01_DANH_MUC'!$E$7:$E$206,0))</f>
        <v/>
      </c>
      <c r="J135" s="213">
        <f>IF(OR($A135="",$C135="",$G135&lt;=0),"",$A135+$I135)</f>
        <v/>
      </c>
      <c r="K135" s="210">
        <f>IF($A135="","",IF(OR($C135="",$G135&lt;=0,$A135&gt;'03_BAO_CAO'!$E$4),0,MAX(0,$G135-MAX(0,SUMIFS($H$7:$H$506,$C$7:$C$506,$C135,$A$7:$A$506,"&lt;="&amp;'03_BAO_CAO'!$E$4)-XLOOKUP($C135,'01_DANH_MUC'!$A$7:$A$206,'01_DANH_MUC'!$F$7:$F$206,0)-SUMIFS($G$7:G134,$C$7:C134,$C135,$A$7:A134,"&lt;="&amp;'03_BAO_CAO'!$E$4)))))</f>
        <v/>
      </c>
      <c r="L135" s="212">
        <f>IF($A135="","",IF(OR($K135&lt;=0,$J135=""),0,MAX(0,'03_BAO_CAO'!$E$4-$J135)))</f>
        <v/>
      </c>
      <c r="M135" s="51">
        <f>IF($A135="","",IF($K135&lt;=0,"Đã thanh toán",IF($J135="","Thiếu ngày đến hạn",IF($J135&gt;='03_BAO_CAO'!$E$4,"Chưa đến hạn",IF($L135&lt;=30,"1-30 ngày",IF($L135&lt;=60,"31-60 ngày",IF($L135&lt;=90,"61-90 ngày","Trên 90 ngày")))))))</f>
        <v/>
      </c>
      <c r="N135" s="51">
        <f>IF($A135="","",IF(OR($B135="",$C135=""),"THIẾU THÔNG TIN",IF(AND($G135&gt;0,$H135&gt;0),"KHÔNG NHẬP ĐỒNG THỜI TĂNG/GIẢM",IF(AND($G135&lt;=0,$H135&lt;=0),"CHƯA NHẬP SỐ TIỀN",IF($D135="KHÔNG TÌM THẤY","MÃ KHÔNG HỢP LỆ",IF(AND($G135&gt;0,$J135=""),"THIẾU NGÀY ĐẾN HẠN","OK"))))))</f>
        <v/>
      </c>
    </row>
    <row r="136">
      <c r="A136" s="209" t="n"/>
      <c r="B136" s="47" t="n"/>
      <c r="C136" s="47" t="n"/>
      <c r="D136" s="51">
        <f>IF($C136="","",XLOOKUP($C136,'01_DANH_MUC'!$A$7:$A$206,'01_DANH_MUC'!$B$7:$B$206,"KHÔNG TÌM THẤY"))</f>
        <v/>
      </c>
      <c r="E136" s="51">
        <f>IF($C136="","",XLOOKUP($C136,'01_DANH_MUC'!$A$7:$A$206,'01_DANH_MUC'!$C$7:$C$206,"KHÔNG TÌM THẤY"))</f>
        <v/>
      </c>
      <c r="F136" s="57" t="n"/>
      <c r="G136" s="211" t="n"/>
      <c r="H136" s="211" t="n"/>
      <c r="I136" s="212">
        <f>IF($C136="","",XLOOKUP($C136,'01_DANH_MUC'!$A$7:$A$206,'01_DANH_MUC'!$E$7:$E$206,0))</f>
        <v/>
      </c>
      <c r="J136" s="213">
        <f>IF(OR($A136="",$C136="",$G136&lt;=0),"",$A136+$I136)</f>
        <v/>
      </c>
      <c r="K136" s="210">
        <f>IF($A136="","",IF(OR($C136="",$G136&lt;=0,$A136&gt;'03_BAO_CAO'!$E$4),0,MAX(0,$G136-MAX(0,SUMIFS($H$7:$H$506,$C$7:$C$506,$C136,$A$7:$A$506,"&lt;="&amp;'03_BAO_CAO'!$E$4)-XLOOKUP($C136,'01_DANH_MUC'!$A$7:$A$206,'01_DANH_MUC'!$F$7:$F$206,0)-SUMIFS($G$7:G135,$C$7:C135,$C136,$A$7:A135,"&lt;="&amp;'03_BAO_CAO'!$E$4)))))</f>
        <v/>
      </c>
      <c r="L136" s="212">
        <f>IF($A136="","",IF(OR($K136&lt;=0,$J136=""),0,MAX(0,'03_BAO_CAO'!$E$4-$J136)))</f>
        <v/>
      </c>
      <c r="M136" s="51">
        <f>IF($A136="","",IF($K136&lt;=0,"Đã thanh toán",IF($J136="","Thiếu ngày đến hạn",IF($J136&gt;='03_BAO_CAO'!$E$4,"Chưa đến hạn",IF($L136&lt;=30,"1-30 ngày",IF($L136&lt;=60,"31-60 ngày",IF($L136&lt;=90,"61-90 ngày","Trên 90 ngày")))))))</f>
        <v/>
      </c>
      <c r="N136" s="51">
        <f>IF($A136="","",IF(OR($B136="",$C136=""),"THIẾU THÔNG TIN",IF(AND($G136&gt;0,$H136&gt;0),"KHÔNG NHẬP ĐỒNG THỜI TĂNG/GIẢM",IF(AND($G136&lt;=0,$H136&lt;=0),"CHƯA NHẬP SỐ TIỀN",IF($D136="KHÔNG TÌM THẤY","MÃ KHÔNG HỢP LỆ",IF(AND($G136&gt;0,$J136=""),"THIẾU NGÀY ĐẾN HẠN","OK"))))))</f>
        <v/>
      </c>
    </row>
    <row r="137">
      <c r="A137" s="209" t="n"/>
      <c r="B137" s="47" t="n"/>
      <c r="C137" s="47" t="n"/>
      <c r="D137" s="51">
        <f>IF($C137="","",XLOOKUP($C137,'01_DANH_MUC'!$A$7:$A$206,'01_DANH_MUC'!$B$7:$B$206,"KHÔNG TÌM THẤY"))</f>
        <v/>
      </c>
      <c r="E137" s="51">
        <f>IF($C137="","",XLOOKUP($C137,'01_DANH_MUC'!$A$7:$A$206,'01_DANH_MUC'!$C$7:$C$206,"KHÔNG TÌM THẤY"))</f>
        <v/>
      </c>
      <c r="F137" s="57" t="n"/>
      <c r="G137" s="211" t="n"/>
      <c r="H137" s="211" t="n"/>
      <c r="I137" s="212">
        <f>IF($C137="","",XLOOKUP($C137,'01_DANH_MUC'!$A$7:$A$206,'01_DANH_MUC'!$E$7:$E$206,0))</f>
        <v/>
      </c>
      <c r="J137" s="213">
        <f>IF(OR($A137="",$C137="",$G137&lt;=0),"",$A137+$I137)</f>
        <v/>
      </c>
      <c r="K137" s="210">
        <f>IF($A137="","",IF(OR($C137="",$G137&lt;=0,$A137&gt;'03_BAO_CAO'!$E$4),0,MAX(0,$G137-MAX(0,SUMIFS($H$7:$H$506,$C$7:$C$506,$C137,$A$7:$A$506,"&lt;="&amp;'03_BAO_CAO'!$E$4)-XLOOKUP($C137,'01_DANH_MUC'!$A$7:$A$206,'01_DANH_MUC'!$F$7:$F$206,0)-SUMIFS($G$7:G136,$C$7:C136,$C137,$A$7:A136,"&lt;="&amp;'03_BAO_CAO'!$E$4)))))</f>
        <v/>
      </c>
      <c r="L137" s="212">
        <f>IF($A137="","",IF(OR($K137&lt;=0,$J137=""),0,MAX(0,'03_BAO_CAO'!$E$4-$J137)))</f>
        <v/>
      </c>
      <c r="M137" s="51">
        <f>IF($A137="","",IF($K137&lt;=0,"Đã thanh toán",IF($J137="","Thiếu ngày đến hạn",IF($J137&gt;='03_BAO_CAO'!$E$4,"Chưa đến hạn",IF($L137&lt;=30,"1-30 ngày",IF($L137&lt;=60,"31-60 ngày",IF($L137&lt;=90,"61-90 ngày","Trên 90 ngày")))))))</f>
        <v/>
      </c>
      <c r="N137" s="51">
        <f>IF($A137="","",IF(OR($B137="",$C137=""),"THIẾU THÔNG TIN",IF(AND($G137&gt;0,$H137&gt;0),"KHÔNG NHẬP ĐỒNG THỜI TĂNG/GIẢM",IF(AND($G137&lt;=0,$H137&lt;=0),"CHƯA NHẬP SỐ TIỀN",IF($D137="KHÔNG TÌM THẤY","MÃ KHÔNG HỢP LỆ",IF(AND($G137&gt;0,$J137=""),"THIẾU NGÀY ĐẾN HẠN","OK"))))))</f>
        <v/>
      </c>
    </row>
    <row r="138">
      <c r="A138" s="209" t="n"/>
      <c r="B138" s="47" t="n"/>
      <c r="C138" s="47" t="n"/>
      <c r="D138" s="51">
        <f>IF($C138="","",XLOOKUP($C138,'01_DANH_MUC'!$A$7:$A$206,'01_DANH_MUC'!$B$7:$B$206,"KHÔNG TÌM THẤY"))</f>
        <v/>
      </c>
      <c r="E138" s="51">
        <f>IF($C138="","",XLOOKUP($C138,'01_DANH_MUC'!$A$7:$A$206,'01_DANH_MUC'!$C$7:$C$206,"KHÔNG TÌM THẤY"))</f>
        <v/>
      </c>
      <c r="F138" s="57" t="n"/>
      <c r="G138" s="211" t="n"/>
      <c r="H138" s="211" t="n"/>
      <c r="I138" s="212">
        <f>IF($C138="","",XLOOKUP($C138,'01_DANH_MUC'!$A$7:$A$206,'01_DANH_MUC'!$E$7:$E$206,0))</f>
        <v/>
      </c>
      <c r="J138" s="213">
        <f>IF(OR($A138="",$C138="",$G138&lt;=0),"",$A138+$I138)</f>
        <v/>
      </c>
      <c r="K138" s="210">
        <f>IF($A138="","",IF(OR($C138="",$G138&lt;=0,$A138&gt;'03_BAO_CAO'!$E$4),0,MAX(0,$G138-MAX(0,SUMIFS($H$7:$H$506,$C$7:$C$506,$C138,$A$7:$A$506,"&lt;="&amp;'03_BAO_CAO'!$E$4)-XLOOKUP($C138,'01_DANH_MUC'!$A$7:$A$206,'01_DANH_MUC'!$F$7:$F$206,0)-SUMIFS($G$7:G137,$C$7:C137,$C138,$A$7:A137,"&lt;="&amp;'03_BAO_CAO'!$E$4)))))</f>
        <v/>
      </c>
      <c r="L138" s="212">
        <f>IF($A138="","",IF(OR($K138&lt;=0,$J138=""),0,MAX(0,'03_BAO_CAO'!$E$4-$J138)))</f>
        <v/>
      </c>
      <c r="M138" s="51">
        <f>IF($A138="","",IF($K138&lt;=0,"Đã thanh toán",IF($J138="","Thiếu ngày đến hạn",IF($J138&gt;='03_BAO_CAO'!$E$4,"Chưa đến hạn",IF($L138&lt;=30,"1-30 ngày",IF($L138&lt;=60,"31-60 ngày",IF($L138&lt;=90,"61-90 ngày","Trên 90 ngày")))))))</f>
        <v/>
      </c>
      <c r="N138" s="51">
        <f>IF($A138="","",IF(OR($B138="",$C138=""),"THIẾU THÔNG TIN",IF(AND($G138&gt;0,$H138&gt;0),"KHÔNG NHẬP ĐỒNG THỜI TĂNG/GIẢM",IF(AND($G138&lt;=0,$H138&lt;=0),"CHƯA NHẬP SỐ TIỀN",IF($D138="KHÔNG TÌM THẤY","MÃ KHÔNG HỢP LỆ",IF(AND($G138&gt;0,$J138=""),"THIẾU NGÀY ĐẾN HẠN","OK"))))))</f>
        <v/>
      </c>
    </row>
    <row r="139">
      <c r="A139" s="209" t="n"/>
      <c r="B139" s="47" t="n"/>
      <c r="C139" s="47" t="n"/>
      <c r="D139" s="51">
        <f>IF($C139="","",XLOOKUP($C139,'01_DANH_MUC'!$A$7:$A$206,'01_DANH_MUC'!$B$7:$B$206,"KHÔNG TÌM THẤY"))</f>
        <v/>
      </c>
      <c r="E139" s="51">
        <f>IF($C139="","",XLOOKUP($C139,'01_DANH_MUC'!$A$7:$A$206,'01_DANH_MUC'!$C$7:$C$206,"KHÔNG TÌM THẤY"))</f>
        <v/>
      </c>
      <c r="F139" s="57" t="n"/>
      <c r="G139" s="211" t="n"/>
      <c r="H139" s="211" t="n"/>
      <c r="I139" s="212">
        <f>IF($C139="","",XLOOKUP($C139,'01_DANH_MUC'!$A$7:$A$206,'01_DANH_MUC'!$E$7:$E$206,0))</f>
        <v/>
      </c>
      <c r="J139" s="213">
        <f>IF(OR($A139="",$C139="",$G139&lt;=0),"",$A139+$I139)</f>
        <v/>
      </c>
      <c r="K139" s="210">
        <f>IF($A139="","",IF(OR($C139="",$G139&lt;=0,$A139&gt;'03_BAO_CAO'!$E$4),0,MAX(0,$G139-MAX(0,SUMIFS($H$7:$H$506,$C$7:$C$506,$C139,$A$7:$A$506,"&lt;="&amp;'03_BAO_CAO'!$E$4)-XLOOKUP($C139,'01_DANH_MUC'!$A$7:$A$206,'01_DANH_MUC'!$F$7:$F$206,0)-SUMIFS($G$7:G138,$C$7:C138,$C139,$A$7:A138,"&lt;="&amp;'03_BAO_CAO'!$E$4)))))</f>
        <v/>
      </c>
      <c r="L139" s="212">
        <f>IF($A139="","",IF(OR($K139&lt;=0,$J139=""),0,MAX(0,'03_BAO_CAO'!$E$4-$J139)))</f>
        <v/>
      </c>
      <c r="M139" s="51">
        <f>IF($A139="","",IF($K139&lt;=0,"Đã thanh toán",IF($J139="","Thiếu ngày đến hạn",IF($J139&gt;='03_BAO_CAO'!$E$4,"Chưa đến hạn",IF($L139&lt;=30,"1-30 ngày",IF($L139&lt;=60,"31-60 ngày",IF($L139&lt;=90,"61-90 ngày","Trên 90 ngày")))))))</f>
        <v/>
      </c>
      <c r="N139" s="51">
        <f>IF($A139="","",IF(OR($B139="",$C139=""),"THIẾU THÔNG TIN",IF(AND($G139&gt;0,$H139&gt;0),"KHÔNG NHẬP ĐỒNG THỜI TĂNG/GIẢM",IF(AND($G139&lt;=0,$H139&lt;=0),"CHƯA NHẬP SỐ TIỀN",IF($D139="KHÔNG TÌM THẤY","MÃ KHÔNG HỢP LỆ",IF(AND($G139&gt;0,$J139=""),"THIẾU NGÀY ĐẾN HẠN","OK"))))))</f>
        <v/>
      </c>
    </row>
    <row r="140">
      <c r="A140" s="209" t="n"/>
      <c r="B140" s="47" t="n"/>
      <c r="C140" s="47" t="n"/>
      <c r="D140" s="51">
        <f>IF($C140="","",XLOOKUP($C140,'01_DANH_MUC'!$A$7:$A$206,'01_DANH_MUC'!$B$7:$B$206,"KHÔNG TÌM THẤY"))</f>
        <v/>
      </c>
      <c r="E140" s="51">
        <f>IF($C140="","",XLOOKUP($C140,'01_DANH_MUC'!$A$7:$A$206,'01_DANH_MUC'!$C$7:$C$206,"KHÔNG TÌM THẤY"))</f>
        <v/>
      </c>
      <c r="F140" s="57" t="n"/>
      <c r="G140" s="211" t="n"/>
      <c r="H140" s="211" t="n"/>
      <c r="I140" s="212">
        <f>IF($C140="","",XLOOKUP($C140,'01_DANH_MUC'!$A$7:$A$206,'01_DANH_MUC'!$E$7:$E$206,0))</f>
        <v/>
      </c>
      <c r="J140" s="213">
        <f>IF(OR($A140="",$C140="",$G140&lt;=0),"",$A140+$I140)</f>
        <v/>
      </c>
      <c r="K140" s="210">
        <f>IF($A140="","",IF(OR($C140="",$G140&lt;=0,$A140&gt;'03_BAO_CAO'!$E$4),0,MAX(0,$G140-MAX(0,SUMIFS($H$7:$H$506,$C$7:$C$506,$C140,$A$7:$A$506,"&lt;="&amp;'03_BAO_CAO'!$E$4)-XLOOKUP($C140,'01_DANH_MUC'!$A$7:$A$206,'01_DANH_MUC'!$F$7:$F$206,0)-SUMIFS($G$7:G139,$C$7:C139,$C140,$A$7:A139,"&lt;="&amp;'03_BAO_CAO'!$E$4)))))</f>
        <v/>
      </c>
      <c r="L140" s="212">
        <f>IF($A140="","",IF(OR($K140&lt;=0,$J140=""),0,MAX(0,'03_BAO_CAO'!$E$4-$J140)))</f>
        <v/>
      </c>
      <c r="M140" s="51">
        <f>IF($A140="","",IF($K140&lt;=0,"Đã thanh toán",IF($J140="","Thiếu ngày đến hạn",IF($J140&gt;='03_BAO_CAO'!$E$4,"Chưa đến hạn",IF($L140&lt;=30,"1-30 ngày",IF($L140&lt;=60,"31-60 ngày",IF($L140&lt;=90,"61-90 ngày","Trên 90 ngày")))))))</f>
        <v/>
      </c>
      <c r="N140" s="51">
        <f>IF($A140="","",IF(OR($B140="",$C140=""),"THIẾU THÔNG TIN",IF(AND($G140&gt;0,$H140&gt;0),"KHÔNG NHẬP ĐỒNG THỜI TĂNG/GIẢM",IF(AND($G140&lt;=0,$H140&lt;=0),"CHƯA NHẬP SỐ TIỀN",IF($D140="KHÔNG TÌM THẤY","MÃ KHÔNG HỢP LỆ",IF(AND($G140&gt;0,$J140=""),"THIẾU NGÀY ĐẾN HẠN","OK"))))))</f>
        <v/>
      </c>
    </row>
    <row r="141">
      <c r="A141" s="209" t="n"/>
      <c r="B141" s="47" t="n"/>
      <c r="C141" s="47" t="n"/>
      <c r="D141" s="51">
        <f>IF($C141="","",XLOOKUP($C141,'01_DANH_MUC'!$A$7:$A$206,'01_DANH_MUC'!$B$7:$B$206,"KHÔNG TÌM THẤY"))</f>
        <v/>
      </c>
      <c r="E141" s="51">
        <f>IF($C141="","",XLOOKUP($C141,'01_DANH_MUC'!$A$7:$A$206,'01_DANH_MUC'!$C$7:$C$206,"KHÔNG TÌM THẤY"))</f>
        <v/>
      </c>
      <c r="F141" s="57" t="n"/>
      <c r="G141" s="211" t="n"/>
      <c r="H141" s="211" t="n"/>
      <c r="I141" s="212">
        <f>IF($C141="","",XLOOKUP($C141,'01_DANH_MUC'!$A$7:$A$206,'01_DANH_MUC'!$E$7:$E$206,0))</f>
        <v/>
      </c>
      <c r="J141" s="213">
        <f>IF(OR($A141="",$C141="",$G141&lt;=0),"",$A141+$I141)</f>
        <v/>
      </c>
      <c r="K141" s="210">
        <f>IF($A141="","",IF(OR($C141="",$G141&lt;=0,$A141&gt;'03_BAO_CAO'!$E$4),0,MAX(0,$G141-MAX(0,SUMIFS($H$7:$H$506,$C$7:$C$506,$C141,$A$7:$A$506,"&lt;="&amp;'03_BAO_CAO'!$E$4)-XLOOKUP($C141,'01_DANH_MUC'!$A$7:$A$206,'01_DANH_MUC'!$F$7:$F$206,0)-SUMIFS($G$7:G140,$C$7:C140,$C141,$A$7:A140,"&lt;="&amp;'03_BAO_CAO'!$E$4)))))</f>
        <v/>
      </c>
      <c r="L141" s="212">
        <f>IF($A141="","",IF(OR($K141&lt;=0,$J141=""),0,MAX(0,'03_BAO_CAO'!$E$4-$J141)))</f>
        <v/>
      </c>
      <c r="M141" s="51">
        <f>IF($A141="","",IF($K141&lt;=0,"Đã thanh toán",IF($J141="","Thiếu ngày đến hạn",IF($J141&gt;='03_BAO_CAO'!$E$4,"Chưa đến hạn",IF($L141&lt;=30,"1-30 ngày",IF($L141&lt;=60,"31-60 ngày",IF($L141&lt;=90,"61-90 ngày","Trên 90 ngày")))))))</f>
        <v/>
      </c>
      <c r="N141" s="51">
        <f>IF($A141="","",IF(OR($B141="",$C141=""),"THIẾU THÔNG TIN",IF(AND($G141&gt;0,$H141&gt;0),"KHÔNG NHẬP ĐỒNG THỜI TĂNG/GIẢM",IF(AND($G141&lt;=0,$H141&lt;=0),"CHƯA NHẬP SỐ TIỀN",IF($D141="KHÔNG TÌM THẤY","MÃ KHÔNG HỢP LỆ",IF(AND($G141&gt;0,$J141=""),"THIẾU NGÀY ĐẾN HẠN","OK"))))))</f>
        <v/>
      </c>
    </row>
    <row r="142">
      <c r="A142" s="209" t="n"/>
      <c r="B142" s="47" t="n"/>
      <c r="C142" s="47" t="n"/>
      <c r="D142" s="51">
        <f>IF($C142="","",XLOOKUP($C142,'01_DANH_MUC'!$A$7:$A$206,'01_DANH_MUC'!$B$7:$B$206,"KHÔNG TÌM THẤY"))</f>
        <v/>
      </c>
      <c r="E142" s="51">
        <f>IF($C142="","",XLOOKUP($C142,'01_DANH_MUC'!$A$7:$A$206,'01_DANH_MUC'!$C$7:$C$206,"KHÔNG TÌM THẤY"))</f>
        <v/>
      </c>
      <c r="F142" s="57" t="n"/>
      <c r="G142" s="211" t="n"/>
      <c r="H142" s="211" t="n"/>
      <c r="I142" s="212">
        <f>IF($C142="","",XLOOKUP($C142,'01_DANH_MUC'!$A$7:$A$206,'01_DANH_MUC'!$E$7:$E$206,0))</f>
        <v/>
      </c>
      <c r="J142" s="213">
        <f>IF(OR($A142="",$C142="",$G142&lt;=0),"",$A142+$I142)</f>
        <v/>
      </c>
      <c r="K142" s="210">
        <f>IF($A142="","",IF(OR($C142="",$G142&lt;=0,$A142&gt;'03_BAO_CAO'!$E$4),0,MAX(0,$G142-MAX(0,SUMIFS($H$7:$H$506,$C$7:$C$506,$C142,$A$7:$A$506,"&lt;="&amp;'03_BAO_CAO'!$E$4)-XLOOKUP($C142,'01_DANH_MUC'!$A$7:$A$206,'01_DANH_MUC'!$F$7:$F$206,0)-SUMIFS($G$7:G141,$C$7:C141,$C142,$A$7:A141,"&lt;="&amp;'03_BAO_CAO'!$E$4)))))</f>
        <v/>
      </c>
      <c r="L142" s="212">
        <f>IF($A142="","",IF(OR($K142&lt;=0,$J142=""),0,MAX(0,'03_BAO_CAO'!$E$4-$J142)))</f>
        <v/>
      </c>
      <c r="M142" s="51">
        <f>IF($A142="","",IF($K142&lt;=0,"Đã thanh toán",IF($J142="","Thiếu ngày đến hạn",IF($J142&gt;='03_BAO_CAO'!$E$4,"Chưa đến hạn",IF($L142&lt;=30,"1-30 ngày",IF($L142&lt;=60,"31-60 ngày",IF($L142&lt;=90,"61-90 ngày","Trên 90 ngày")))))))</f>
        <v/>
      </c>
      <c r="N142" s="51">
        <f>IF($A142="","",IF(OR($B142="",$C142=""),"THIẾU THÔNG TIN",IF(AND($G142&gt;0,$H142&gt;0),"KHÔNG NHẬP ĐỒNG THỜI TĂNG/GIẢM",IF(AND($G142&lt;=0,$H142&lt;=0),"CHƯA NHẬP SỐ TIỀN",IF($D142="KHÔNG TÌM THẤY","MÃ KHÔNG HỢP LỆ",IF(AND($G142&gt;0,$J142=""),"THIẾU NGÀY ĐẾN HẠN","OK"))))))</f>
        <v/>
      </c>
    </row>
    <row r="143">
      <c r="A143" s="209" t="n"/>
      <c r="B143" s="47" t="n"/>
      <c r="C143" s="47" t="n"/>
      <c r="D143" s="51">
        <f>IF($C143="","",XLOOKUP($C143,'01_DANH_MUC'!$A$7:$A$206,'01_DANH_MUC'!$B$7:$B$206,"KHÔNG TÌM THẤY"))</f>
        <v/>
      </c>
      <c r="E143" s="51">
        <f>IF($C143="","",XLOOKUP($C143,'01_DANH_MUC'!$A$7:$A$206,'01_DANH_MUC'!$C$7:$C$206,"KHÔNG TÌM THẤY"))</f>
        <v/>
      </c>
      <c r="F143" s="57" t="n"/>
      <c r="G143" s="211" t="n"/>
      <c r="H143" s="211" t="n"/>
      <c r="I143" s="212">
        <f>IF($C143="","",XLOOKUP($C143,'01_DANH_MUC'!$A$7:$A$206,'01_DANH_MUC'!$E$7:$E$206,0))</f>
        <v/>
      </c>
      <c r="J143" s="213">
        <f>IF(OR($A143="",$C143="",$G143&lt;=0),"",$A143+$I143)</f>
        <v/>
      </c>
      <c r="K143" s="210">
        <f>IF($A143="","",IF(OR($C143="",$G143&lt;=0,$A143&gt;'03_BAO_CAO'!$E$4),0,MAX(0,$G143-MAX(0,SUMIFS($H$7:$H$506,$C$7:$C$506,$C143,$A$7:$A$506,"&lt;="&amp;'03_BAO_CAO'!$E$4)-XLOOKUP($C143,'01_DANH_MUC'!$A$7:$A$206,'01_DANH_MUC'!$F$7:$F$206,0)-SUMIFS($G$7:G142,$C$7:C142,$C143,$A$7:A142,"&lt;="&amp;'03_BAO_CAO'!$E$4)))))</f>
        <v/>
      </c>
      <c r="L143" s="212">
        <f>IF($A143="","",IF(OR($K143&lt;=0,$J143=""),0,MAX(0,'03_BAO_CAO'!$E$4-$J143)))</f>
        <v/>
      </c>
      <c r="M143" s="51">
        <f>IF($A143="","",IF($K143&lt;=0,"Đã thanh toán",IF($J143="","Thiếu ngày đến hạn",IF($J143&gt;='03_BAO_CAO'!$E$4,"Chưa đến hạn",IF($L143&lt;=30,"1-30 ngày",IF($L143&lt;=60,"31-60 ngày",IF($L143&lt;=90,"61-90 ngày","Trên 90 ngày")))))))</f>
        <v/>
      </c>
      <c r="N143" s="51">
        <f>IF($A143="","",IF(OR($B143="",$C143=""),"THIẾU THÔNG TIN",IF(AND($G143&gt;0,$H143&gt;0),"KHÔNG NHẬP ĐỒNG THỜI TĂNG/GIẢM",IF(AND($G143&lt;=0,$H143&lt;=0),"CHƯA NHẬP SỐ TIỀN",IF($D143="KHÔNG TÌM THẤY","MÃ KHÔNG HỢP LỆ",IF(AND($G143&gt;0,$J143=""),"THIẾU NGÀY ĐẾN HẠN","OK"))))))</f>
        <v/>
      </c>
    </row>
    <row r="144">
      <c r="A144" s="209" t="n"/>
      <c r="B144" s="47" t="n"/>
      <c r="C144" s="47" t="n"/>
      <c r="D144" s="51">
        <f>IF($C144="","",XLOOKUP($C144,'01_DANH_MUC'!$A$7:$A$206,'01_DANH_MUC'!$B$7:$B$206,"KHÔNG TÌM THẤY"))</f>
        <v/>
      </c>
      <c r="E144" s="51">
        <f>IF($C144="","",XLOOKUP($C144,'01_DANH_MUC'!$A$7:$A$206,'01_DANH_MUC'!$C$7:$C$206,"KHÔNG TÌM THẤY"))</f>
        <v/>
      </c>
      <c r="F144" s="57" t="n"/>
      <c r="G144" s="211" t="n"/>
      <c r="H144" s="211" t="n"/>
      <c r="I144" s="212">
        <f>IF($C144="","",XLOOKUP($C144,'01_DANH_MUC'!$A$7:$A$206,'01_DANH_MUC'!$E$7:$E$206,0))</f>
        <v/>
      </c>
      <c r="J144" s="213">
        <f>IF(OR($A144="",$C144="",$G144&lt;=0),"",$A144+$I144)</f>
        <v/>
      </c>
      <c r="K144" s="210">
        <f>IF($A144="","",IF(OR($C144="",$G144&lt;=0,$A144&gt;'03_BAO_CAO'!$E$4),0,MAX(0,$G144-MAX(0,SUMIFS($H$7:$H$506,$C$7:$C$506,$C144,$A$7:$A$506,"&lt;="&amp;'03_BAO_CAO'!$E$4)-XLOOKUP($C144,'01_DANH_MUC'!$A$7:$A$206,'01_DANH_MUC'!$F$7:$F$206,0)-SUMIFS($G$7:G143,$C$7:C143,$C144,$A$7:A143,"&lt;="&amp;'03_BAO_CAO'!$E$4)))))</f>
        <v/>
      </c>
      <c r="L144" s="212">
        <f>IF($A144="","",IF(OR($K144&lt;=0,$J144=""),0,MAX(0,'03_BAO_CAO'!$E$4-$J144)))</f>
        <v/>
      </c>
      <c r="M144" s="51">
        <f>IF($A144="","",IF($K144&lt;=0,"Đã thanh toán",IF($J144="","Thiếu ngày đến hạn",IF($J144&gt;='03_BAO_CAO'!$E$4,"Chưa đến hạn",IF($L144&lt;=30,"1-30 ngày",IF($L144&lt;=60,"31-60 ngày",IF($L144&lt;=90,"61-90 ngày","Trên 90 ngày")))))))</f>
        <v/>
      </c>
      <c r="N144" s="51">
        <f>IF($A144="","",IF(OR($B144="",$C144=""),"THIẾU THÔNG TIN",IF(AND($G144&gt;0,$H144&gt;0),"KHÔNG NHẬP ĐỒNG THỜI TĂNG/GIẢM",IF(AND($G144&lt;=0,$H144&lt;=0),"CHƯA NHẬP SỐ TIỀN",IF($D144="KHÔNG TÌM THẤY","MÃ KHÔNG HỢP LỆ",IF(AND($G144&gt;0,$J144=""),"THIẾU NGÀY ĐẾN HẠN","OK"))))))</f>
        <v/>
      </c>
    </row>
    <row r="145">
      <c r="A145" s="209" t="n"/>
      <c r="B145" s="47" t="n"/>
      <c r="C145" s="47" t="n"/>
      <c r="D145" s="51">
        <f>IF($C145="","",XLOOKUP($C145,'01_DANH_MUC'!$A$7:$A$206,'01_DANH_MUC'!$B$7:$B$206,"KHÔNG TÌM THẤY"))</f>
        <v/>
      </c>
      <c r="E145" s="51">
        <f>IF($C145="","",XLOOKUP($C145,'01_DANH_MUC'!$A$7:$A$206,'01_DANH_MUC'!$C$7:$C$206,"KHÔNG TÌM THẤY"))</f>
        <v/>
      </c>
      <c r="F145" s="57" t="n"/>
      <c r="G145" s="211" t="n"/>
      <c r="H145" s="211" t="n"/>
      <c r="I145" s="212">
        <f>IF($C145="","",XLOOKUP($C145,'01_DANH_MUC'!$A$7:$A$206,'01_DANH_MUC'!$E$7:$E$206,0))</f>
        <v/>
      </c>
      <c r="J145" s="213">
        <f>IF(OR($A145="",$C145="",$G145&lt;=0),"",$A145+$I145)</f>
        <v/>
      </c>
      <c r="K145" s="210">
        <f>IF($A145="","",IF(OR($C145="",$G145&lt;=0,$A145&gt;'03_BAO_CAO'!$E$4),0,MAX(0,$G145-MAX(0,SUMIFS($H$7:$H$506,$C$7:$C$506,$C145,$A$7:$A$506,"&lt;="&amp;'03_BAO_CAO'!$E$4)-XLOOKUP($C145,'01_DANH_MUC'!$A$7:$A$206,'01_DANH_MUC'!$F$7:$F$206,0)-SUMIFS($G$7:G144,$C$7:C144,$C145,$A$7:A144,"&lt;="&amp;'03_BAO_CAO'!$E$4)))))</f>
        <v/>
      </c>
      <c r="L145" s="212">
        <f>IF($A145="","",IF(OR($K145&lt;=0,$J145=""),0,MAX(0,'03_BAO_CAO'!$E$4-$J145)))</f>
        <v/>
      </c>
      <c r="M145" s="51">
        <f>IF($A145="","",IF($K145&lt;=0,"Đã thanh toán",IF($J145="","Thiếu ngày đến hạn",IF($J145&gt;='03_BAO_CAO'!$E$4,"Chưa đến hạn",IF($L145&lt;=30,"1-30 ngày",IF($L145&lt;=60,"31-60 ngày",IF($L145&lt;=90,"61-90 ngày","Trên 90 ngày")))))))</f>
        <v/>
      </c>
      <c r="N145" s="51">
        <f>IF($A145="","",IF(OR($B145="",$C145=""),"THIẾU THÔNG TIN",IF(AND($G145&gt;0,$H145&gt;0),"KHÔNG NHẬP ĐỒNG THỜI TĂNG/GIẢM",IF(AND($G145&lt;=0,$H145&lt;=0),"CHƯA NHẬP SỐ TIỀN",IF($D145="KHÔNG TÌM THẤY","MÃ KHÔNG HỢP LỆ",IF(AND($G145&gt;0,$J145=""),"THIẾU NGÀY ĐẾN HẠN","OK"))))))</f>
        <v/>
      </c>
    </row>
    <row r="146">
      <c r="A146" s="209" t="n"/>
      <c r="B146" s="47" t="n"/>
      <c r="C146" s="47" t="n"/>
      <c r="D146" s="51">
        <f>IF($C146="","",XLOOKUP($C146,'01_DANH_MUC'!$A$7:$A$206,'01_DANH_MUC'!$B$7:$B$206,"KHÔNG TÌM THẤY"))</f>
        <v/>
      </c>
      <c r="E146" s="51">
        <f>IF($C146="","",XLOOKUP($C146,'01_DANH_MUC'!$A$7:$A$206,'01_DANH_MUC'!$C$7:$C$206,"KHÔNG TÌM THẤY"))</f>
        <v/>
      </c>
      <c r="F146" s="57" t="n"/>
      <c r="G146" s="211" t="n"/>
      <c r="H146" s="211" t="n"/>
      <c r="I146" s="212">
        <f>IF($C146="","",XLOOKUP($C146,'01_DANH_MUC'!$A$7:$A$206,'01_DANH_MUC'!$E$7:$E$206,0))</f>
        <v/>
      </c>
      <c r="J146" s="213">
        <f>IF(OR($A146="",$C146="",$G146&lt;=0),"",$A146+$I146)</f>
        <v/>
      </c>
      <c r="K146" s="210">
        <f>IF($A146="","",IF(OR($C146="",$G146&lt;=0,$A146&gt;'03_BAO_CAO'!$E$4),0,MAX(0,$G146-MAX(0,SUMIFS($H$7:$H$506,$C$7:$C$506,$C146,$A$7:$A$506,"&lt;="&amp;'03_BAO_CAO'!$E$4)-XLOOKUP($C146,'01_DANH_MUC'!$A$7:$A$206,'01_DANH_MUC'!$F$7:$F$206,0)-SUMIFS($G$7:G145,$C$7:C145,$C146,$A$7:A145,"&lt;="&amp;'03_BAO_CAO'!$E$4)))))</f>
        <v/>
      </c>
      <c r="L146" s="212">
        <f>IF($A146="","",IF(OR($K146&lt;=0,$J146=""),0,MAX(0,'03_BAO_CAO'!$E$4-$J146)))</f>
        <v/>
      </c>
      <c r="M146" s="51">
        <f>IF($A146="","",IF($K146&lt;=0,"Đã thanh toán",IF($J146="","Thiếu ngày đến hạn",IF($J146&gt;='03_BAO_CAO'!$E$4,"Chưa đến hạn",IF($L146&lt;=30,"1-30 ngày",IF($L146&lt;=60,"31-60 ngày",IF($L146&lt;=90,"61-90 ngày","Trên 90 ngày")))))))</f>
        <v/>
      </c>
      <c r="N146" s="51">
        <f>IF($A146="","",IF(OR($B146="",$C146=""),"THIẾU THÔNG TIN",IF(AND($G146&gt;0,$H146&gt;0),"KHÔNG NHẬP ĐỒNG THỜI TĂNG/GIẢM",IF(AND($G146&lt;=0,$H146&lt;=0),"CHƯA NHẬP SỐ TIỀN",IF($D146="KHÔNG TÌM THẤY","MÃ KHÔNG HỢP LỆ",IF(AND($G146&gt;0,$J146=""),"THIẾU NGÀY ĐẾN HẠN","OK"))))))</f>
        <v/>
      </c>
    </row>
    <row r="147">
      <c r="A147" s="209" t="n"/>
      <c r="B147" s="47" t="n"/>
      <c r="C147" s="47" t="n"/>
      <c r="D147" s="51">
        <f>IF($C147="","",XLOOKUP($C147,'01_DANH_MUC'!$A$7:$A$206,'01_DANH_MUC'!$B$7:$B$206,"KHÔNG TÌM THẤY"))</f>
        <v/>
      </c>
      <c r="E147" s="51">
        <f>IF($C147="","",XLOOKUP($C147,'01_DANH_MUC'!$A$7:$A$206,'01_DANH_MUC'!$C$7:$C$206,"KHÔNG TÌM THẤY"))</f>
        <v/>
      </c>
      <c r="F147" s="57" t="n"/>
      <c r="G147" s="211" t="n"/>
      <c r="H147" s="211" t="n"/>
      <c r="I147" s="212">
        <f>IF($C147="","",XLOOKUP($C147,'01_DANH_MUC'!$A$7:$A$206,'01_DANH_MUC'!$E$7:$E$206,0))</f>
        <v/>
      </c>
      <c r="J147" s="213">
        <f>IF(OR($A147="",$C147="",$G147&lt;=0),"",$A147+$I147)</f>
        <v/>
      </c>
      <c r="K147" s="210">
        <f>IF($A147="","",IF(OR($C147="",$G147&lt;=0,$A147&gt;'03_BAO_CAO'!$E$4),0,MAX(0,$G147-MAX(0,SUMIFS($H$7:$H$506,$C$7:$C$506,$C147,$A$7:$A$506,"&lt;="&amp;'03_BAO_CAO'!$E$4)-XLOOKUP($C147,'01_DANH_MUC'!$A$7:$A$206,'01_DANH_MUC'!$F$7:$F$206,0)-SUMIFS($G$7:G146,$C$7:C146,$C147,$A$7:A146,"&lt;="&amp;'03_BAO_CAO'!$E$4)))))</f>
        <v/>
      </c>
      <c r="L147" s="212">
        <f>IF($A147="","",IF(OR($K147&lt;=0,$J147=""),0,MAX(0,'03_BAO_CAO'!$E$4-$J147)))</f>
        <v/>
      </c>
      <c r="M147" s="51">
        <f>IF($A147="","",IF($K147&lt;=0,"Đã thanh toán",IF($J147="","Thiếu ngày đến hạn",IF($J147&gt;='03_BAO_CAO'!$E$4,"Chưa đến hạn",IF($L147&lt;=30,"1-30 ngày",IF($L147&lt;=60,"31-60 ngày",IF($L147&lt;=90,"61-90 ngày","Trên 90 ngày")))))))</f>
        <v/>
      </c>
      <c r="N147" s="51">
        <f>IF($A147="","",IF(OR($B147="",$C147=""),"THIẾU THÔNG TIN",IF(AND($G147&gt;0,$H147&gt;0),"KHÔNG NHẬP ĐỒNG THỜI TĂNG/GIẢM",IF(AND($G147&lt;=0,$H147&lt;=0),"CHƯA NHẬP SỐ TIỀN",IF($D147="KHÔNG TÌM THẤY","MÃ KHÔNG HỢP LỆ",IF(AND($G147&gt;0,$J147=""),"THIẾU NGÀY ĐẾN HẠN","OK"))))))</f>
        <v/>
      </c>
    </row>
    <row r="148">
      <c r="A148" s="209" t="n"/>
      <c r="B148" s="47" t="n"/>
      <c r="C148" s="47" t="n"/>
      <c r="D148" s="51">
        <f>IF($C148="","",XLOOKUP($C148,'01_DANH_MUC'!$A$7:$A$206,'01_DANH_MUC'!$B$7:$B$206,"KHÔNG TÌM THẤY"))</f>
        <v/>
      </c>
      <c r="E148" s="51">
        <f>IF($C148="","",XLOOKUP($C148,'01_DANH_MUC'!$A$7:$A$206,'01_DANH_MUC'!$C$7:$C$206,"KHÔNG TÌM THẤY"))</f>
        <v/>
      </c>
      <c r="F148" s="57" t="n"/>
      <c r="G148" s="211" t="n"/>
      <c r="H148" s="211" t="n"/>
      <c r="I148" s="212">
        <f>IF($C148="","",XLOOKUP($C148,'01_DANH_MUC'!$A$7:$A$206,'01_DANH_MUC'!$E$7:$E$206,0))</f>
        <v/>
      </c>
      <c r="J148" s="213">
        <f>IF(OR($A148="",$C148="",$G148&lt;=0),"",$A148+$I148)</f>
        <v/>
      </c>
      <c r="K148" s="210">
        <f>IF($A148="","",IF(OR($C148="",$G148&lt;=0,$A148&gt;'03_BAO_CAO'!$E$4),0,MAX(0,$G148-MAX(0,SUMIFS($H$7:$H$506,$C$7:$C$506,$C148,$A$7:$A$506,"&lt;="&amp;'03_BAO_CAO'!$E$4)-XLOOKUP($C148,'01_DANH_MUC'!$A$7:$A$206,'01_DANH_MUC'!$F$7:$F$206,0)-SUMIFS($G$7:G147,$C$7:C147,$C148,$A$7:A147,"&lt;="&amp;'03_BAO_CAO'!$E$4)))))</f>
        <v/>
      </c>
      <c r="L148" s="212">
        <f>IF($A148="","",IF(OR($K148&lt;=0,$J148=""),0,MAX(0,'03_BAO_CAO'!$E$4-$J148)))</f>
        <v/>
      </c>
      <c r="M148" s="51">
        <f>IF($A148="","",IF($K148&lt;=0,"Đã thanh toán",IF($J148="","Thiếu ngày đến hạn",IF($J148&gt;='03_BAO_CAO'!$E$4,"Chưa đến hạn",IF($L148&lt;=30,"1-30 ngày",IF($L148&lt;=60,"31-60 ngày",IF($L148&lt;=90,"61-90 ngày","Trên 90 ngày")))))))</f>
        <v/>
      </c>
      <c r="N148" s="51">
        <f>IF($A148="","",IF(OR($B148="",$C148=""),"THIẾU THÔNG TIN",IF(AND($G148&gt;0,$H148&gt;0),"KHÔNG NHẬP ĐỒNG THỜI TĂNG/GIẢM",IF(AND($G148&lt;=0,$H148&lt;=0),"CHƯA NHẬP SỐ TIỀN",IF($D148="KHÔNG TÌM THẤY","MÃ KHÔNG HỢP LỆ",IF(AND($G148&gt;0,$J148=""),"THIẾU NGÀY ĐẾN HẠN","OK"))))))</f>
        <v/>
      </c>
    </row>
    <row r="149">
      <c r="A149" s="209" t="n"/>
      <c r="B149" s="47" t="n"/>
      <c r="C149" s="47" t="n"/>
      <c r="D149" s="51">
        <f>IF($C149="","",XLOOKUP($C149,'01_DANH_MUC'!$A$7:$A$206,'01_DANH_MUC'!$B$7:$B$206,"KHÔNG TÌM THẤY"))</f>
        <v/>
      </c>
      <c r="E149" s="51">
        <f>IF($C149="","",XLOOKUP($C149,'01_DANH_MUC'!$A$7:$A$206,'01_DANH_MUC'!$C$7:$C$206,"KHÔNG TÌM THẤY"))</f>
        <v/>
      </c>
      <c r="F149" s="57" t="n"/>
      <c r="G149" s="211" t="n"/>
      <c r="H149" s="211" t="n"/>
      <c r="I149" s="212">
        <f>IF($C149="","",XLOOKUP($C149,'01_DANH_MUC'!$A$7:$A$206,'01_DANH_MUC'!$E$7:$E$206,0))</f>
        <v/>
      </c>
      <c r="J149" s="213">
        <f>IF(OR($A149="",$C149="",$G149&lt;=0),"",$A149+$I149)</f>
        <v/>
      </c>
      <c r="K149" s="210">
        <f>IF($A149="","",IF(OR($C149="",$G149&lt;=0,$A149&gt;'03_BAO_CAO'!$E$4),0,MAX(0,$G149-MAX(0,SUMIFS($H$7:$H$506,$C$7:$C$506,$C149,$A$7:$A$506,"&lt;="&amp;'03_BAO_CAO'!$E$4)-XLOOKUP($C149,'01_DANH_MUC'!$A$7:$A$206,'01_DANH_MUC'!$F$7:$F$206,0)-SUMIFS($G$7:G148,$C$7:C148,$C149,$A$7:A148,"&lt;="&amp;'03_BAO_CAO'!$E$4)))))</f>
        <v/>
      </c>
      <c r="L149" s="212">
        <f>IF($A149="","",IF(OR($K149&lt;=0,$J149=""),0,MAX(0,'03_BAO_CAO'!$E$4-$J149)))</f>
        <v/>
      </c>
      <c r="M149" s="51">
        <f>IF($A149="","",IF($K149&lt;=0,"Đã thanh toán",IF($J149="","Thiếu ngày đến hạn",IF($J149&gt;='03_BAO_CAO'!$E$4,"Chưa đến hạn",IF($L149&lt;=30,"1-30 ngày",IF($L149&lt;=60,"31-60 ngày",IF($L149&lt;=90,"61-90 ngày","Trên 90 ngày")))))))</f>
        <v/>
      </c>
      <c r="N149" s="51">
        <f>IF($A149="","",IF(OR($B149="",$C149=""),"THIẾU THÔNG TIN",IF(AND($G149&gt;0,$H149&gt;0),"KHÔNG NHẬP ĐỒNG THỜI TĂNG/GIẢM",IF(AND($G149&lt;=0,$H149&lt;=0),"CHƯA NHẬP SỐ TIỀN",IF($D149="KHÔNG TÌM THẤY","MÃ KHÔNG HỢP LỆ",IF(AND($G149&gt;0,$J149=""),"THIẾU NGÀY ĐẾN HẠN","OK"))))))</f>
        <v/>
      </c>
    </row>
    <row r="150">
      <c r="A150" s="209" t="n"/>
      <c r="B150" s="47" t="n"/>
      <c r="C150" s="47" t="n"/>
      <c r="D150" s="51">
        <f>IF($C150="","",XLOOKUP($C150,'01_DANH_MUC'!$A$7:$A$206,'01_DANH_MUC'!$B$7:$B$206,"KHÔNG TÌM THẤY"))</f>
        <v/>
      </c>
      <c r="E150" s="51">
        <f>IF($C150="","",XLOOKUP($C150,'01_DANH_MUC'!$A$7:$A$206,'01_DANH_MUC'!$C$7:$C$206,"KHÔNG TÌM THẤY"))</f>
        <v/>
      </c>
      <c r="F150" s="57" t="n"/>
      <c r="G150" s="211" t="n"/>
      <c r="H150" s="211" t="n"/>
      <c r="I150" s="212">
        <f>IF($C150="","",XLOOKUP($C150,'01_DANH_MUC'!$A$7:$A$206,'01_DANH_MUC'!$E$7:$E$206,0))</f>
        <v/>
      </c>
      <c r="J150" s="213">
        <f>IF(OR($A150="",$C150="",$G150&lt;=0),"",$A150+$I150)</f>
        <v/>
      </c>
      <c r="K150" s="210">
        <f>IF($A150="","",IF(OR($C150="",$G150&lt;=0,$A150&gt;'03_BAO_CAO'!$E$4),0,MAX(0,$G150-MAX(0,SUMIFS($H$7:$H$506,$C$7:$C$506,$C150,$A$7:$A$506,"&lt;="&amp;'03_BAO_CAO'!$E$4)-XLOOKUP($C150,'01_DANH_MUC'!$A$7:$A$206,'01_DANH_MUC'!$F$7:$F$206,0)-SUMIFS($G$7:G149,$C$7:C149,$C150,$A$7:A149,"&lt;="&amp;'03_BAO_CAO'!$E$4)))))</f>
        <v/>
      </c>
      <c r="L150" s="212">
        <f>IF($A150="","",IF(OR($K150&lt;=0,$J150=""),0,MAX(0,'03_BAO_CAO'!$E$4-$J150)))</f>
        <v/>
      </c>
      <c r="M150" s="51">
        <f>IF($A150="","",IF($K150&lt;=0,"Đã thanh toán",IF($J150="","Thiếu ngày đến hạn",IF($J150&gt;='03_BAO_CAO'!$E$4,"Chưa đến hạn",IF($L150&lt;=30,"1-30 ngày",IF($L150&lt;=60,"31-60 ngày",IF($L150&lt;=90,"61-90 ngày","Trên 90 ngày")))))))</f>
        <v/>
      </c>
      <c r="N150" s="51">
        <f>IF($A150="","",IF(OR($B150="",$C150=""),"THIẾU THÔNG TIN",IF(AND($G150&gt;0,$H150&gt;0),"KHÔNG NHẬP ĐỒNG THỜI TĂNG/GIẢM",IF(AND($G150&lt;=0,$H150&lt;=0),"CHƯA NHẬP SỐ TIỀN",IF($D150="KHÔNG TÌM THẤY","MÃ KHÔNG HỢP LỆ",IF(AND($G150&gt;0,$J150=""),"THIẾU NGÀY ĐẾN HẠN","OK"))))))</f>
        <v/>
      </c>
    </row>
    <row r="151">
      <c r="A151" s="209" t="n"/>
      <c r="B151" s="47" t="n"/>
      <c r="C151" s="47" t="n"/>
      <c r="D151" s="51">
        <f>IF($C151="","",XLOOKUP($C151,'01_DANH_MUC'!$A$7:$A$206,'01_DANH_MUC'!$B$7:$B$206,"KHÔNG TÌM THẤY"))</f>
        <v/>
      </c>
      <c r="E151" s="51">
        <f>IF($C151="","",XLOOKUP($C151,'01_DANH_MUC'!$A$7:$A$206,'01_DANH_MUC'!$C$7:$C$206,"KHÔNG TÌM THẤY"))</f>
        <v/>
      </c>
      <c r="F151" s="57" t="n"/>
      <c r="G151" s="211" t="n"/>
      <c r="H151" s="211" t="n"/>
      <c r="I151" s="212">
        <f>IF($C151="","",XLOOKUP($C151,'01_DANH_MUC'!$A$7:$A$206,'01_DANH_MUC'!$E$7:$E$206,0))</f>
        <v/>
      </c>
      <c r="J151" s="213">
        <f>IF(OR($A151="",$C151="",$G151&lt;=0),"",$A151+$I151)</f>
        <v/>
      </c>
      <c r="K151" s="210">
        <f>IF($A151="","",IF(OR($C151="",$G151&lt;=0,$A151&gt;'03_BAO_CAO'!$E$4),0,MAX(0,$G151-MAX(0,SUMIFS($H$7:$H$506,$C$7:$C$506,$C151,$A$7:$A$506,"&lt;="&amp;'03_BAO_CAO'!$E$4)-XLOOKUP($C151,'01_DANH_MUC'!$A$7:$A$206,'01_DANH_MUC'!$F$7:$F$206,0)-SUMIFS($G$7:G150,$C$7:C150,$C151,$A$7:A150,"&lt;="&amp;'03_BAO_CAO'!$E$4)))))</f>
        <v/>
      </c>
      <c r="L151" s="212">
        <f>IF($A151="","",IF(OR($K151&lt;=0,$J151=""),0,MAX(0,'03_BAO_CAO'!$E$4-$J151)))</f>
        <v/>
      </c>
      <c r="M151" s="51">
        <f>IF($A151="","",IF($K151&lt;=0,"Đã thanh toán",IF($J151="","Thiếu ngày đến hạn",IF($J151&gt;='03_BAO_CAO'!$E$4,"Chưa đến hạn",IF($L151&lt;=30,"1-30 ngày",IF($L151&lt;=60,"31-60 ngày",IF($L151&lt;=90,"61-90 ngày","Trên 90 ngày")))))))</f>
        <v/>
      </c>
      <c r="N151" s="51">
        <f>IF($A151="","",IF(OR($B151="",$C151=""),"THIẾU THÔNG TIN",IF(AND($G151&gt;0,$H151&gt;0),"KHÔNG NHẬP ĐỒNG THỜI TĂNG/GIẢM",IF(AND($G151&lt;=0,$H151&lt;=0),"CHƯA NHẬP SỐ TIỀN",IF($D151="KHÔNG TÌM THẤY","MÃ KHÔNG HỢP LỆ",IF(AND($G151&gt;0,$J151=""),"THIẾU NGÀY ĐẾN HẠN","OK"))))))</f>
        <v/>
      </c>
    </row>
    <row r="152">
      <c r="A152" s="209" t="n"/>
      <c r="B152" s="47" t="n"/>
      <c r="C152" s="47" t="n"/>
      <c r="D152" s="51">
        <f>IF($C152="","",XLOOKUP($C152,'01_DANH_MUC'!$A$7:$A$206,'01_DANH_MUC'!$B$7:$B$206,"KHÔNG TÌM THẤY"))</f>
        <v/>
      </c>
      <c r="E152" s="51">
        <f>IF($C152="","",XLOOKUP($C152,'01_DANH_MUC'!$A$7:$A$206,'01_DANH_MUC'!$C$7:$C$206,"KHÔNG TÌM THẤY"))</f>
        <v/>
      </c>
      <c r="F152" s="57" t="n"/>
      <c r="G152" s="211" t="n"/>
      <c r="H152" s="211" t="n"/>
      <c r="I152" s="212">
        <f>IF($C152="","",XLOOKUP($C152,'01_DANH_MUC'!$A$7:$A$206,'01_DANH_MUC'!$E$7:$E$206,0))</f>
        <v/>
      </c>
      <c r="J152" s="213">
        <f>IF(OR($A152="",$C152="",$G152&lt;=0),"",$A152+$I152)</f>
        <v/>
      </c>
      <c r="K152" s="210">
        <f>IF($A152="","",IF(OR($C152="",$G152&lt;=0,$A152&gt;'03_BAO_CAO'!$E$4),0,MAX(0,$G152-MAX(0,SUMIFS($H$7:$H$506,$C$7:$C$506,$C152,$A$7:$A$506,"&lt;="&amp;'03_BAO_CAO'!$E$4)-XLOOKUP($C152,'01_DANH_MUC'!$A$7:$A$206,'01_DANH_MUC'!$F$7:$F$206,0)-SUMIFS($G$7:G151,$C$7:C151,$C152,$A$7:A151,"&lt;="&amp;'03_BAO_CAO'!$E$4)))))</f>
        <v/>
      </c>
      <c r="L152" s="212">
        <f>IF($A152="","",IF(OR($K152&lt;=0,$J152=""),0,MAX(0,'03_BAO_CAO'!$E$4-$J152)))</f>
        <v/>
      </c>
      <c r="M152" s="51">
        <f>IF($A152="","",IF($K152&lt;=0,"Đã thanh toán",IF($J152="","Thiếu ngày đến hạn",IF($J152&gt;='03_BAO_CAO'!$E$4,"Chưa đến hạn",IF($L152&lt;=30,"1-30 ngày",IF($L152&lt;=60,"31-60 ngày",IF($L152&lt;=90,"61-90 ngày","Trên 90 ngày")))))))</f>
        <v/>
      </c>
      <c r="N152" s="51">
        <f>IF($A152="","",IF(OR($B152="",$C152=""),"THIẾU THÔNG TIN",IF(AND($G152&gt;0,$H152&gt;0),"KHÔNG NHẬP ĐỒNG THỜI TĂNG/GIẢM",IF(AND($G152&lt;=0,$H152&lt;=0),"CHƯA NHẬP SỐ TIỀN",IF($D152="KHÔNG TÌM THẤY","MÃ KHÔNG HỢP LỆ",IF(AND($G152&gt;0,$J152=""),"THIẾU NGÀY ĐẾN HẠN","OK"))))))</f>
        <v/>
      </c>
    </row>
    <row r="153">
      <c r="A153" s="209" t="n"/>
      <c r="B153" s="47" t="n"/>
      <c r="C153" s="47" t="n"/>
      <c r="D153" s="51">
        <f>IF($C153="","",XLOOKUP($C153,'01_DANH_MUC'!$A$7:$A$206,'01_DANH_MUC'!$B$7:$B$206,"KHÔNG TÌM THẤY"))</f>
        <v/>
      </c>
      <c r="E153" s="51">
        <f>IF($C153="","",XLOOKUP($C153,'01_DANH_MUC'!$A$7:$A$206,'01_DANH_MUC'!$C$7:$C$206,"KHÔNG TÌM THẤY"))</f>
        <v/>
      </c>
      <c r="F153" s="57" t="n"/>
      <c r="G153" s="211" t="n"/>
      <c r="H153" s="211" t="n"/>
      <c r="I153" s="212">
        <f>IF($C153="","",XLOOKUP($C153,'01_DANH_MUC'!$A$7:$A$206,'01_DANH_MUC'!$E$7:$E$206,0))</f>
        <v/>
      </c>
      <c r="J153" s="213">
        <f>IF(OR($A153="",$C153="",$G153&lt;=0),"",$A153+$I153)</f>
        <v/>
      </c>
      <c r="K153" s="210">
        <f>IF($A153="","",IF(OR($C153="",$G153&lt;=0,$A153&gt;'03_BAO_CAO'!$E$4),0,MAX(0,$G153-MAX(0,SUMIFS($H$7:$H$506,$C$7:$C$506,$C153,$A$7:$A$506,"&lt;="&amp;'03_BAO_CAO'!$E$4)-XLOOKUP($C153,'01_DANH_MUC'!$A$7:$A$206,'01_DANH_MUC'!$F$7:$F$206,0)-SUMIFS($G$7:G152,$C$7:C152,$C153,$A$7:A152,"&lt;="&amp;'03_BAO_CAO'!$E$4)))))</f>
        <v/>
      </c>
      <c r="L153" s="212">
        <f>IF($A153="","",IF(OR($K153&lt;=0,$J153=""),0,MAX(0,'03_BAO_CAO'!$E$4-$J153)))</f>
        <v/>
      </c>
      <c r="M153" s="51">
        <f>IF($A153="","",IF($K153&lt;=0,"Đã thanh toán",IF($J153="","Thiếu ngày đến hạn",IF($J153&gt;='03_BAO_CAO'!$E$4,"Chưa đến hạn",IF($L153&lt;=30,"1-30 ngày",IF($L153&lt;=60,"31-60 ngày",IF($L153&lt;=90,"61-90 ngày","Trên 90 ngày")))))))</f>
        <v/>
      </c>
      <c r="N153" s="51">
        <f>IF($A153="","",IF(OR($B153="",$C153=""),"THIẾU THÔNG TIN",IF(AND($G153&gt;0,$H153&gt;0),"KHÔNG NHẬP ĐỒNG THỜI TĂNG/GIẢM",IF(AND($G153&lt;=0,$H153&lt;=0),"CHƯA NHẬP SỐ TIỀN",IF($D153="KHÔNG TÌM THẤY","MÃ KHÔNG HỢP LỆ",IF(AND($G153&gt;0,$J153=""),"THIẾU NGÀY ĐẾN HẠN","OK"))))))</f>
        <v/>
      </c>
    </row>
    <row r="154">
      <c r="A154" s="209" t="n"/>
      <c r="B154" s="47" t="n"/>
      <c r="C154" s="47" t="n"/>
      <c r="D154" s="51">
        <f>IF($C154="","",XLOOKUP($C154,'01_DANH_MUC'!$A$7:$A$206,'01_DANH_MUC'!$B$7:$B$206,"KHÔNG TÌM THẤY"))</f>
        <v/>
      </c>
      <c r="E154" s="51">
        <f>IF($C154="","",XLOOKUP($C154,'01_DANH_MUC'!$A$7:$A$206,'01_DANH_MUC'!$C$7:$C$206,"KHÔNG TÌM THẤY"))</f>
        <v/>
      </c>
      <c r="F154" s="57" t="n"/>
      <c r="G154" s="211" t="n"/>
      <c r="H154" s="211" t="n"/>
      <c r="I154" s="212">
        <f>IF($C154="","",XLOOKUP($C154,'01_DANH_MUC'!$A$7:$A$206,'01_DANH_MUC'!$E$7:$E$206,0))</f>
        <v/>
      </c>
      <c r="J154" s="213">
        <f>IF(OR($A154="",$C154="",$G154&lt;=0),"",$A154+$I154)</f>
        <v/>
      </c>
      <c r="K154" s="210">
        <f>IF($A154="","",IF(OR($C154="",$G154&lt;=0,$A154&gt;'03_BAO_CAO'!$E$4),0,MAX(0,$G154-MAX(0,SUMIFS($H$7:$H$506,$C$7:$C$506,$C154,$A$7:$A$506,"&lt;="&amp;'03_BAO_CAO'!$E$4)-XLOOKUP($C154,'01_DANH_MUC'!$A$7:$A$206,'01_DANH_MUC'!$F$7:$F$206,0)-SUMIFS($G$7:G153,$C$7:C153,$C154,$A$7:A153,"&lt;="&amp;'03_BAO_CAO'!$E$4)))))</f>
        <v/>
      </c>
      <c r="L154" s="212">
        <f>IF($A154="","",IF(OR($K154&lt;=0,$J154=""),0,MAX(0,'03_BAO_CAO'!$E$4-$J154)))</f>
        <v/>
      </c>
      <c r="M154" s="51">
        <f>IF($A154="","",IF($K154&lt;=0,"Đã thanh toán",IF($J154="","Thiếu ngày đến hạn",IF($J154&gt;='03_BAO_CAO'!$E$4,"Chưa đến hạn",IF($L154&lt;=30,"1-30 ngày",IF($L154&lt;=60,"31-60 ngày",IF($L154&lt;=90,"61-90 ngày","Trên 90 ngày")))))))</f>
        <v/>
      </c>
      <c r="N154" s="51">
        <f>IF($A154="","",IF(OR($B154="",$C154=""),"THIẾU THÔNG TIN",IF(AND($G154&gt;0,$H154&gt;0),"KHÔNG NHẬP ĐỒNG THỜI TĂNG/GIẢM",IF(AND($G154&lt;=0,$H154&lt;=0),"CHƯA NHẬP SỐ TIỀN",IF($D154="KHÔNG TÌM THẤY","MÃ KHÔNG HỢP LỆ",IF(AND($G154&gt;0,$J154=""),"THIẾU NGÀY ĐẾN HẠN","OK"))))))</f>
        <v/>
      </c>
    </row>
    <row r="155">
      <c r="A155" s="209" t="n"/>
      <c r="B155" s="47" t="n"/>
      <c r="C155" s="47" t="n"/>
      <c r="D155" s="51">
        <f>IF($C155="","",XLOOKUP($C155,'01_DANH_MUC'!$A$7:$A$206,'01_DANH_MUC'!$B$7:$B$206,"KHÔNG TÌM THẤY"))</f>
        <v/>
      </c>
      <c r="E155" s="51">
        <f>IF($C155="","",XLOOKUP($C155,'01_DANH_MUC'!$A$7:$A$206,'01_DANH_MUC'!$C$7:$C$206,"KHÔNG TÌM THẤY"))</f>
        <v/>
      </c>
      <c r="F155" s="57" t="n"/>
      <c r="G155" s="211" t="n"/>
      <c r="H155" s="211" t="n"/>
      <c r="I155" s="212">
        <f>IF($C155="","",XLOOKUP($C155,'01_DANH_MUC'!$A$7:$A$206,'01_DANH_MUC'!$E$7:$E$206,0))</f>
        <v/>
      </c>
      <c r="J155" s="213">
        <f>IF(OR($A155="",$C155="",$G155&lt;=0),"",$A155+$I155)</f>
        <v/>
      </c>
      <c r="K155" s="210">
        <f>IF($A155="","",IF(OR($C155="",$G155&lt;=0,$A155&gt;'03_BAO_CAO'!$E$4),0,MAX(0,$G155-MAX(0,SUMIFS($H$7:$H$506,$C$7:$C$506,$C155,$A$7:$A$506,"&lt;="&amp;'03_BAO_CAO'!$E$4)-XLOOKUP($C155,'01_DANH_MUC'!$A$7:$A$206,'01_DANH_MUC'!$F$7:$F$206,0)-SUMIFS($G$7:G154,$C$7:C154,$C155,$A$7:A154,"&lt;="&amp;'03_BAO_CAO'!$E$4)))))</f>
        <v/>
      </c>
      <c r="L155" s="212">
        <f>IF($A155="","",IF(OR($K155&lt;=0,$J155=""),0,MAX(0,'03_BAO_CAO'!$E$4-$J155)))</f>
        <v/>
      </c>
      <c r="M155" s="51">
        <f>IF($A155="","",IF($K155&lt;=0,"Đã thanh toán",IF($J155="","Thiếu ngày đến hạn",IF($J155&gt;='03_BAO_CAO'!$E$4,"Chưa đến hạn",IF($L155&lt;=30,"1-30 ngày",IF($L155&lt;=60,"31-60 ngày",IF($L155&lt;=90,"61-90 ngày","Trên 90 ngày")))))))</f>
        <v/>
      </c>
      <c r="N155" s="51">
        <f>IF($A155="","",IF(OR($B155="",$C155=""),"THIẾU THÔNG TIN",IF(AND($G155&gt;0,$H155&gt;0),"KHÔNG NHẬP ĐỒNG THỜI TĂNG/GIẢM",IF(AND($G155&lt;=0,$H155&lt;=0),"CHƯA NHẬP SỐ TIỀN",IF($D155="KHÔNG TÌM THẤY","MÃ KHÔNG HỢP LỆ",IF(AND($G155&gt;0,$J155=""),"THIẾU NGÀY ĐẾN HẠN","OK"))))))</f>
        <v/>
      </c>
    </row>
    <row r="156">
      <c r="A156" s="209" t="n"/>
      <c r="B156" s="47" t="n"/>
      <c r="C156" s="47" t="n"/>
      <c r="D156" s="51">
        <f>IF($C156="","",XLOOKUP($C156,'01_DANH_MUC'!$A$7:$A$206,'01_DANH_MUC'!$B$7:$B$206,"KHÔNG TÌM THẤY"))</f>
        <v/>
      </c>
      <c r="E156" s="51">
        <f>IF($C156="","",XLOOKUP($C156,'01_DANH_MUC'!$A$7:$A$206,'01_DANH_MUC'!$C$7:$C$206,"KHÔNG TÌM THẤY"))</f>
        <v/>
      </c>
      <c r="F156" s="57" t="n"/>
      <c r="G156" s="211" t="n"/>
      <c r="H156" s="211" t="n"/>
      <c r="I156" s="212">
        <f>IF($C156="","",XLOOKUP($C156,'01_DANH_MUC'!$A$7:$A$206,'01_DANH_MUC'!$E$7:$E$206,0))</f>
        <v/>
      </c>
      <c r="J156" s="213">
        <f>IF(OR($A156="",$C156="",$G156&lt;=0),"",$A156+$I156)</f>
        <v/>
      </c>
      <c r="K156" s="210">
        <f>IF($A156="","",IF(OR($C156="",$G156&lt;=0,$A156&gt;'03_BAO_CAO'!$E$4),0,MAX(0,$G156-MAX(0,SUMIFS($H$7:$H$506,$C$7:$C$506,$C156,$A$7:$A$506,"&lt;="&amp;'03_BAO_CAO'!$E$4)-XLOOKUP($C156,'01_DANH_MUC'!$A$7:$A$206,'01_DANH_MUC'!$F$7:$F$206,0)-SUMIFS($G$7:G155,$C$7:C155,$C156,$A$7:A155,"&lt;="&amp;'03_BAO_CAO'!$E$4)))))</f>
        <v/>
      </c>
      <c r="L156" s="212">
        <f>IF($A156="","",IF(OR($K156&lt;=0,$J156=""),0,MAX(0,'03_BAO_CAO'!$E$4-$J156)))</f>
        <v/>
      </c>
      <c r="M156" s="51">
        <f>IF($A156="","",IF($K156&lt;=0,"Đã thanh toán",IF($J156="","Thiếu ngày đến hạn",IF($J156&gt;='03_BAO_CAO'!$E$4,"Chưa đến hạn",IF($L156&lt;=30,"1-30 ngày",IF($L156&lt;=60,"31-60 ngày",IF($L156&lt;=90,"61-90 ngày","Trên 90 ngày")))))))</f>
        <v/>
      </c>
      <c r="N156" s="51">
        <f>IF($A156="","",IF(OR($B156="",$C156=""),"THIẾU THÔNG TIN",IF(AND($G156&gt;0,$H156&gt;0),"KHÔNG NHẬP ĐỒNG THỜI TĂNG/GIẢM",IF(AND($G156&lt;=0,$H156&lt;=0),"CHƯA NHẬP SỐ TIỀN",IF($D156="KHÔNG TÌM THẤY","MÃ KHÔNG HỢP LỆ",IF(AND($G156&gt;0,$J156=""),"THIẾU NGÀY ĐẾN HẠN","OK"))))))</f>
        <v/>
      </c>
    </row>
    <row r="157">
      <c r="A157" s="209" t="n"/>
      <c r="B157" s="47" t="n"/>
      <c r="C157" s="47" t="n"/>
      <c r="D157" s="51">
        <f>IF($C157="","",XLOOKUP($C157,'01_DANH_MUC'!$A$7:$A$206,'01_DANH_MUC'!$B$7:$B$206,"KHÔNG TÌM THẤY"))</f>
        <v/>
      </c>
      <c r="E157" s="51">
        <f>IF($C157="","",XLOOKUP($C157,'01_DANH_MUC'!$A$7:$A$206,'01_DANH_MUC'!$C$7:$C$206,"KHÔNG TÌM THẤY"))</f>
        <v/>
      </c>
      <c r="F157" s="57" t="n"/>
      <c r="G157" s="211" t="n"/>
      <c r="H157" s="211" t="n"/>
      <c r="I157" s="212">
        <f>IF($C157="","",XLOOKUP($C157,'01_DANH_MUC'!$A$7:$A$206,'01_DANH_MUC'!$E$7:$E$206,0))</f>
        <v/>
      </c>
      <c r="J157" s="213">
        <f>IF(OR($A157="",$C157="",$G157&lt;=0),"",$A157+$I157)</f>
        <v/>
      </c>
      <c r="K157" s="210">
        <f>IF($A157="","",IF(OR($C157="",$G157&lt;=0,$A157&gt;'03_BAO_CAO'!$E$4),0,MAX(0,$G157-MAX(0,SUMIFS($H$7:$H$506,$C$7:$C$506,$C157,$A$7:$A$506,"&lt;="&amp;'03_BAO_CAO'!$E$4)-XLOOKUP($C157,'01_DANH_MUC'!$A$7:$A$206,'01_DANH_MUC'!$F$7:$F$206,0)-SUMIFS($G$7:G156,$C$7:C156,$C157,$A$7:A156,"&lt;="&amp;'03_BAO_CAO'!$E$4)))))</f>
        <v/>
      </c>
      <c r="L157" s="212">
        <f>IF($A157="","",IF(OR($K157&lt;=0,$J157=""),0,MAX(0,'03_BAO_CAO'!$E$4-$J157)))</f>
        <v/>
      </c>
      <c r="M157" s="51">
        <f>IF($A157="","",IF($K157&lt;=0,"Đã thanh toán",IF($J157="","Thiếu ngày đến hạn",IF($J157&gt;='03_BAO_CAO'!$E$4,"Chưa đến hạn",IF($L157&lt;=30,"1-30 ngày",IF($L157&lt;=60,"31-60 ngày",IF($L157&lt;=90,"61-90 ngày","Trên 90 ngày")))))))</f>
        <v/>
      </c>
      <c r="N157" s="51">
        <f>IF($A157="","",IF(OR($B157="",$C157=""),"THIẾU THÔNG TIN",IF(AND($G157&gt;0,$H157&gt;0),"KHÔNG NHẬP ĐỒNG THỜI TĂNG/GIẢM",IF(AND($G157&lt;=0,$H157&lt;=0),"CHƯA NHẬP SỐ TIỀN",IF($D157="KHÔNG TÌM THẤY","MÃ KHÔNG HỢP LỆ",IF(AND($G157&gt;0,$J157=""),"THIẾU NGÀY ĐẾN HẠN","OK"))))))</f>
        <v/>
      </c>
    </row>
    <row r="158">
      <c r="A158" s="209" t="n"/>
      <c r="B158" s="47" t="n"/>
      <c r="C158" s="47" t="n"/>
      <c r="D158" s="51">
        <f>IF($C158="","",XLOOKUP($C158,'01_DANH_MUC'!$A$7:$A$206,'01_DANH_MUC'!$B$7:$B$206,"KHÔNG TÌM THẤY"))</f>
        <v/>
      </c>
      <c r="E158" s="51">
        <f>IF($C158="","",XLOOKUP($C158,'01_DANH_MUC'!$A$7:$A$206,'01_DANH_MUC'!$C$7:$C$206,"KHÔNG TÌM THẤY"))</f>
        <v/>
      </c>
      <c r="F158" s="57" t="n"/>
      <c r="G158" s="211" t="n"/>
      <c r="H158" s="211" t="n"/>
      <c r="I158" s="212">
        <f>IF($C158="","",XLOOKUP($C158,'01_DANH_MUC'!$A$7:$A$206,'01_DANH_MUC'!$E$7:$E$206,0))</f>
        <v/>
      </c>
      <c r="J158" s="213">
        <f>IF(OR($A158="",$C158="",$G158&lt;=0),"",$A158+$I158)</f>
        <v/>
      </c>
      <c r="K158" s="210">
        <f>IF($A158="","",IF(OR($C158="",$G158&lt;=0,$A158&gt;'03_BAO_CAO'!$E$4),0,MAX(0,$G158-MAX(0,SUMIFS($H$7:$H$506,$C$7:$C$506,$C158,$A$7:$A$506,"&lt;="&amp;'03_BAO_CAO'!$E$4)-XLOOKUP($C158,'01_DANH_MUC'!$A$7:$A$206,'01_DANH_MUC'!$F$7:$F$206,0)-SUMIFS($G$7:G157,$C$7:C157,$C158,$A$7:A157,"&lt;="&amp;'03_BAO_CAO'!$E$4)))))</f>
        <v/>
      </c>
      <c r="L158" s="212">
        <f>IF($A158="","",IF(OR($K158&lt;=0,$J158=""),0,MAX(0,'03_BAO_CAO'!$E$4-$J158)))</f>
        <v/>
      </c>
      <c r="M158" s="51">
        <f>IF($A158="","",IF($K158&lt;=0,"Đã thanh toán",IF($J158="","Thiếu ngày đến hạn",IF($J158&gt;='03_BAO_CAO'!$E$4,"Chưa đến hạn",IF($L158&lt;=30,"1-30 ngày",IF($L158&lt;=60,"31-60 ngày",IF($L158&lt;=90,"61-90 ngày","Trên 90 ngày")))))))</f>
        <v/>
      </c>
      <c r="N158" s="51">
        <f>IF($A158="","",IF(OR($B158="",$C158=""),"THIẾU THÔNG TIN",IF(AND($G158&gt;0,$H158&gt;0),"KHÔNG NHẬP ĐỒNG THỜI TĂNG/GIẢM",IF(AND($G158&lt;=0,$H158&lt;=0),"CHƯA NHẬP SỐ TIỀN",IF($D158="KHÔNG TÌM THẤY","MÃ KHÔNG HỢP LỆ",IF(AND($G158&gt;0,$J158=""),"THIẾU NGÀY ĐẾN HẠN","OK"))))))</f>
        <v/>
      </c>
    </row>
    <row r="159">
      <c r="A159" s="209" t="n"/>
      <c r="B159" s="47" t="n"/>
      <c r="C159" s="47" t="n"/>
      <c r="D159" s="51">
        <f>IF($C159="","",XLOOKUP($C159,'01_DANH_MUC'!$A$7:$A$206,'01_DANH_MUC'!$B$7:$B$206,"KHÔNG TÌM THẤY"))</f>
        <v/>
      </c>
      <c r="E159" s="51">
        <f>IF($C159="","",XLOOKUP($C159,'01_DANH_MUC'!$A$7:$A$206,'01_DANH_MUC'!$C$7:$C$206,"KHÔNG TÌM THẤY"))</f>
        <v/>
      </c>
      <c r="F159" s="57" t="n"/>
      <c r="G159" s="211" t="n"/>
      <c r="H159" s="211" t="n"/>
      <c r="I159" s="212">
        <f>IF($C159="","",XLOOKUP($C159,'01_DANH_MUC'!$A$7:$A$206,'01_DANH_MUC'!$E$7:$E$206,0))</f>
        <v/>
      </c>
      <c r="J159" s="213">
        <f>IF(OR($A159="",$C159="",$G159&lt;=0),"",$A159+$I159)</f>
        <v/>
      </c>
      <c r="K159" s="210">
        <f>IF($A159="","",IF(OR($C159="",$G159&lt;=0,$A159&gt;'03_BAO_CAO'!$E$4),0,MAX(0,$G159-MAX(0,SUMIFS($H$7:$H$506,$C$7:$C$506,$C159,$A$7:$A$506,"&lt;="&amp;'03_BAO_CAO'!$E$4)-XLOOKUP($C159,'01_DANH_MUC'!$A$7:$A$206,'01_DANH_MUC'!$F$7:$F$206,0)-SUMIFS($G$7:G158,$C$7:C158,$C159,$A$7:A158,"&lt;="&amp;'03_BAO_CAO'!$E$4)))))</f>
        <v/>
      </c>
      <c r="L159" s="212">
        <f>IF($A159="","",IF(OR($K159&lt;=0,$J159=""),0,MAX(0,'03_BAO_CAO'!$E$4-$J159)))</f>
        <v/>
      </c>
      <c r="M159" s="51">
        <f>IF($A159="","",IF($K159&lt;=0,"Đã thanh toán",IF($J159="","Thiếu ngày đến hạn",IF($J159&gt;='03_BAO_CAO'!$E$4,"Chưa đến hạn",IF($L159&lt;=30,"1-30 ngày",IF($L159&lt;=60,"31-60 ngày",IF($L159&lt;=90,"61-90 ngày","Trên 90 ngày")))))))</f>
        <v/>
      </c>
      <c r="N159" s="51">
        <f>IF($A159="","",IF(OR($B159="",$C159=""),"THIẾU THÔNG TIN",IF(AND($G159&gt;0,$H159&gt;0),"KHÔNG NHẬP ĐỒNG THỜI TĂNG/GIẢM",IF(AND($G159&lt;=0,$H159&lt;=0),"CHƯA NHẬP SỐ TIỀN",IF($D159="KHÔNG TÌM THẤY","MÃ KHÔNG HỢP LỆ",IF(AND($G159&gt;0,$J159=""),"THIẾU NGÀY ĐẾN HẠN","OK"))))))</f>
        <v/>
      </c>
    </row>
    <row r="160">
      <c r="A160" s="209" t="n"/>
      <c r="B160" s="47" t="n"/>
      <c r="C160" s="47" t="n"/>
      <c r="D160" s="51">
        <f>IF($C160="","",XLOOKUP($C160,'01_DANH_MUC'!$A$7:$A$206,'01_DANH_MUC'!$B$7:$B$206,"KHÔNG TÌM THẤY"))</f>
        <v/>
      </c>
      <c r="E160" s="51">
        <f>IF($C160="","",XLOOKUP($C160,'01_DANH_MUC'!$A$7:$A$206,'01_DANH_MUC'!$C$7:$C$206,"KHÔNG TÌM THẤY"))</f>
        <v/>
      </c>
      <c r="F160" s="57" t="n"/>
      <c r="G160" s="211" t="n"/>
      <c r="H160" s="211" t="n"/>
      <c r="I160" s="212">
        <f>IF($C160="","",XLOOKUP($C160,'01_DANH_MUC'!$A$7:$A$206,'01_DANH_MUC'!$E$7:$E$206,0))</f>
        <v/>
      </c>
      <c r="J160" s="213">
        <f>IF(OR($A160="",$C160="",$G160&lt;=0),"",$A160+$I160)</f>
        <v/>
      </c>
      <c r="K160" s="210">
        <f>IF($A160="","",IF(OR($C160="",$G160&lt;=0,$A160&gt;'03_BAO_CAO'!$E$4),0,MAX(0,$G160-MAX(0,SUMIFS($H$7:$H$506,$C$7:$C$506,$C160,$A$7:$A$506,"&lt;="&amp;'03_BAO_CAO'!$E$4)-XLOOKUP($C160,'01_DANH_MUC'!$A$7:$A$206,'01_DANH_MUC'!$F$7:$F$206,0)-SUMIFS($G$7:G159,$C$7:C159,$C160,$A$7:A159,"&lt;="&amp;'03_BAO_CAO'!$E$4)))))</f>
        <v/>
      </c>
      <c r="L160" s="212">
        <f>IF($A160="","",IF(OR($K160&lt;=0,$J160=""),0,MAX(0,'03_BAO_CAO'!$E$4-$J160)))</f>
        <v/>
      </c>
      <c r="M160" s="51">
        <f>IF($A160="","",IF($K160&lt;=0,"Đã thanh toán",IF($J160="","Thiếu ngày đến hạn",IF($J160&gt;='03_BAO_CAO'!$E$4,"Chưa đến hạn",IF($L160&lt;=30,"1-30 ngày",IF($L160&lt;=60,"31-60 ngày",IF($L160&lt;=90,"61-90 ngày","Trên 90 ngày")))))))</f>
        <v/>
      </c>
      <c r="N160" s="51">
        <f>IF($A160="","",IF(OR($B160="",$C160=""),"THIẾU THÔNG TIN",IF(AND($G160&gt;0,$H160&gt;0),"KHÔNG NHẬP ĐỒNG THỜI TĂNG/GIẢM",IF(AND($G160&lt;=0,$H160&lt;=0),"CHƯA NHẬP SỐ TIỀN",IF($D160="KHÔNG TÌM THẤY","MÃ KHÔNG HỢP LỆ",IF(AND($G160&gt;0,$J160=""),"THIẾU NGÀY ĐẾN HẠN","OK"))))))</f>
        <v/>
      </c>
    </row>
    <row r="161">
      <c r="A161" s="209" t="n"/>
      <c r="B161" s="47" t="n"/>
      <c r="C161" s="47" t="n"/>
      <c r="D161" s="51">
        <f>IF($C161="","",XLOOKUP($C161,'01_DANH_MUC'!$A$7:$A$206,'01_DANH_MUC'!$B$7:$B$206,"KHÔNG TÌM THẤY"))</f>
        <v/>
      </c>
      <c r="E161" s="51">
        <f>IF($C161="","",XLOOKUP($C161,'01_DANH_MUC'!$A$7:$A$206,'01_DANH_MUC'!$C$7:$C$206,"KHÔNG TÌM THẤY"))</f>
        <v/>
      </c>
      <c r="F161" s="57" t="n"/>
      <c r="G161" s="211" t="n"/>
      <c r="H161" s="211" t="n"/>
      <c r="I161" s="212">
        <f>IF($C161="","",XLOOKUP($C161,'01_DANH_MUC'!$A$7:$A$206,'01_DANH_MUC'!$E$7:$E$206,0))</f>
        <v/>
      </c>
      <c r="J161" s="213">
        <f>IF(OR($A161="",$C161="",$G161&lt;=0),"",$A161+$I161)</f>
        <v/>
      </c>
      <c r="K161" s="210">
        <f>IF($A161="","",IF(OR($C161="",$G161&lt;=0,$A161&gt;'03_BAO_CAO'!$E$4),0,MAX(0,$G161-MAX(0,SUMIFS($H$7:$H$506,$C$7:$C$506,$C161,$A$7:$A$506,"&lt;="&amp;'03_BAO_CAO'!$E$4)-XLOOKUP($C161,'01_DANH_MUC'!$A$7:$A$206,'01_DANH_MUC'!$F$7:$F$206,0)-SUMIFS($G$7:G160,$C$7:C160,$C161,$A$7:A160,"&lt;="&amp;'03_BAO_CAO'!$E$4)))))</f>
        <v/>
      </c>
      <c r="L161" s="212">
        <f>IF($A161="","",IF(OR($K161&lt;=0,$J161=""),0,MAX(0,'03_BAO_CAO'!$E$4-$J161)))</f>
        <v/>
      </c>
      <c r="M161" s="51">
        <f>IF($A161="","",IF($K161&lt;=0,"Đã thanh toán",IF($J161="","Thiếu ngày đến hạn",IF($J161&gt;='03_BAO_CAO'!$E$4,"Chưa đến hạn",IF($L161&lt;=30,"1-30 ngày",IF($L161&lt;=60,"31-60 ngày",IF($L161&lt;=90,"61-90 ngày","Trên 90 ngày")))))))</f>
        <v/>
      </c>
      <c r="N161" s="51">
        <f>IF($A161="","",IF(OR($B161="",$C161=""),"THIẾU THÔNG TIN",IF(AND($G161&gt;0,$H161&gt;0),"KHÔNG NHẬP ĐỒNG THỜI TĂNG/GIẢM",IF(AND($G161&lt;=0,$H161&lt;=0),"CHƯA NHẬP SỐ TIỀN",IF($D161="KHÔNG TÌM THẤY","MÃ KHÔNG HỢP LỆ",IF(AND($G161&gt;0,$J161=""),"THIẾU NGÀY ĐẾN HẠN","OK"))))))</f>
        <v/>
      </c>
    </row>
    <row r="162">
      <c r="A162" s="209" t="n"/>
      <c r="B162" s="47" t="n"/>
      <c r="C162" s="47" t="n"/>
      <c r="D162" s="51">
        <f>IF($C162="","",XLOOKUP($C162,'01_DANH_MUC'!$A$7:$A$206,'01_DANH_MUC'!$B$7:$B$206,"KHÔNG TÌM THẤY"))</f>
        <v/>
      </c>
      <c r="E162" s="51">
        <f>IF($C162="","",XLOOKUP($C162,'01_DANH_MUC'!$A$7:$A$206,'01_DANH_MUC'!$C$7:$C$206,"KHÔNG TÌM THẤY"))</f>
        <v/>
      </c>
      <c r="F162" s="57" t="n"/>
      <c r="G162" s="211" t="n"/>
      <c r="H162" s="211" t="n"/>
      <c r="I162" s="212">
        <f>IF($C162="","",XLOOKUP($C162,'01_DANH_MUC'!$A$7:$A$206,'01_DANH_MUC'!$E$7:$E$206,0))</f>
        <v/>
      </c>
      <c r="J162" s="213">
        <f>IF(OR($A162="",$C162="",$G162&lt;=0),"",$A162+$I162)</f>
        <v/>
      </c>
      <c r="K162" s="210">
        <f>IF($A162="","",IF(OR($C162="",$G162&lt;=0,$A162&gt;'03_BAO_CAO'!$E$4),0,MAX(0,$G162-MAX(0,SUMIFS($H$7:$H$506,$C$7:$C$506,$C162,$A$7:$A$506,"&lt;="&amp;'03_BAO_CAO'!$E$4)-XLOOKUP($C162,'01_DANH_MUC'!$A$7:$A$206,'01_DANH_MUC'!$F$7:$F$206,0)-SUMIFS($G$7:G161,$C$7:C161,$C162,$A$7:A161,"&lt;="&amp;'03_BAO_CAO'!$E$4)))))</f>
        <v/>
      </c>
      <c r="L162" s="212">
        <f>IF($A162="","",IF(OR($K162&lt;=0,$J162=""),0,MAX(0,'03_BAO_CAO'!$E$4-$J162)))</f>
        <v/>
      </c>
      <c r="M162" s="51">
        <f>IF($A162="","",IF($K162&lt;=0,"Đã thanh toán",IF($J162="","Thiếu ngày đến hạn",IF($J162&gt;='03_BAO_CAO'!$E$4,"Chưa đến hạn",IF($L162&lt;=30,"1-30 ngày",IF($L162&lt;=60,"31-60 ngày",IF($L162&lt;=90,"61-90 ngày","Trên 90 ngày")))))))</f>
        <v/>
      </c>
      <c r="N162" s="51">
        <f>IF($A162="","",IF(OR($B162="",$C162=""),"THIẾU THÔNG TIN",IF(AND($G162&gt;0,$H162&gt;0),"KHÔNG NHẬP ĐỒNG THỜI TĂNG/GIẢM",IF(AND($G162&lt;=0,$H162&lt;=0),"CHƯA NHẬP SỐ TIỀN",IF($D162="KHÔNG TÌM THẤY","MÃ KHÔNG HỢP LỆ",IF(AND($G162&gt;0,$J162=""),"THIẾU NGÀY ĐẾN HẠN","OK"))))))</f>
        <v/>
      </c>
    </row>
    <row r="163">
      <c r="A163" s="209" t="n"/>
      <c r="B163" s="47" t="n"/>
      <c r="C163" s="47" t="n"/>
      <c r="D163" s="51">
        <f>IF($C163="","",XLOOKUP($C163,'01_DANH_MUC'!$A$7:$A$206,'01_DANH_MUC'!$B$7:$B$206,"KHÔNG TÌM THẤY"))</f>
        <v/>
      </c>
      <c r="E163" s="51">
        <f>IF($C163="","",XLOOKUP($C163,'01_DANH_MUC'!$A$7:$A$206,'01_DANH_MUC'!$C$7:$C$206,"KHÔNG TÌM THẤY"))</f>
        <v/>
      </c>
      <c r="F163" s="57" t="n"/>
      <c r="G163" s="211" t="n"/>
      <c r="H163" s="211" t="n"/>
      <c r="I163" s="212">
        <f>IF($C163="","",XLOOKUP($C163,'01_DANH_MUC'!$A$7:$A$206,'01_DANH_MUC'!$E$7:$E$206,0))</f>
        <v/>
      </c>
      <c r="J163" s="213">
        <f>IF(OR($A163="",$C163="",$G163&lt;=0),"",$A163+$I163)</f>
        <v/>
      </c>
      <c r="K163" s="210">
        <f>IF($A163="","",IF(OR($C163="",$G163&lt;=0,$A163&gt;'03_BAO_CAO'!$E$4),0,MAX(0,$G163-MAX(0,SUMIFS($H$7:$H$506,$C$7:$C$506,$C163,$A$7:$A$506,"&lt;="&amp;'03_BAO_CAO'!$E$4)-XLOOKUP($C163,'01_DANH_MUC'!$A$7:$A$206,'01_DANH_MUC'!$F$7:$F$206,0)-SUMIFS($G$7:G162,$C$7:C162,$C163,$A$7:A162,"&lt;="&amp;'03_BAO_CAO'!$E$4)))))</f>
        <v/>
      </c>
      <c r="L163" s="212">
        <f>IF($A163="","",IF(OR($K163&lt;=0,$J163=""),0,MAX(0,'03_BAO_CAO'!$E$4-$J163)))</f>
        <v/>
      </c>
      <c r="M163" s="51">
        <f>IF($A163="","",IF($K163&lt;=0,"Đã thanh toán",IF($J163="","Thiếu ngày đến hạn",IF($J163&gt;='03_BAO_CAO'!$E$4,"Chưa đến hạn",IF($L163&lt;=30,"1-30 ngày",IF($L163&lt;=60,"31-60 ngày",IF($L163&lt;=90,"61-90 ngày","Trên 90 ngày")))))))</f>
        <v/>
      </c>
      <c r="N163" s="51">
        <f>IF($A163="","",IF(OR($B163="",$C163=""),"THIẾU THÔNG TIN",IF(AND($G163&gt;0,$H163&gt;0),"KHÔNG NHẬP ĐỒNG THỜI TĂNG/GIẢM",IF(AND($G163&lt;=0,$H163&lt;=0),"CHƯA NHẬP SỐ TIỀN",IF($D163="KHÔNG TÌM THẤY","MÃ KHÔNG HỢP LỆ",IF(AND($G163&gt;0,$J163=""),"THIẾU NGÀY ĐẾN HẠN","OK"))))))</f>
        <v/>
      </c>
    </row>
    <row r="164">
      <c r="A164" s="209" t="n"/>
      <c r="B164" s="47" t="n"/>
      <c r="C164" s="47" t="n"/>
      <c r="D164" s="51">
        <f>IF($C164="","",XLOOKUP($C164,'01_DANH_MUC'!$A$7:$A$206,'01_DANH_MUC'!$B$7:$B$206,"KHÔNG TÌM THẤY"))</f>
        <v/>
      </c>
      <c r="E164" s="51">
        <f>IF($C164="","",XLOOKUP($C164,'01_DANH_MUC'!$A$7:$A$206,'01_DANH_MUC'!$C$7:$C$206,"KHÔNG TÌM THẤY"))</f>
        <v/>
      </c>
      <c r="F164" s="57" t="n"/>
      <c r="G164" s="211" t="n"/>
      <c r="H164" s="211" t="n"/>
      <c r="I164" s="212">
        <f>IF($C164="","",XLOOKUP($C164,'01_DANH_MUC'!$A$7:$A$206,'01_DANH_MUC'!$E$7:$E$206,0))</f>
        <v/>
      </c>
      <c r="J164" s="213">
        <f>IF(OR($A164="",$C164="",$G164&lt;=0),"",$A164+$I164)</f>
        <v/>
      </c>
      <c r="K164" s="210">
        <f>IF($A164="","",IF(OR($C164="",$G164&lt;=0,$A164&gt;'03_BAO_CAO'!$E$4),0,MAX(0,$G164-MAX(0,SUMIFS($H$7:$H$506,$C$7:$C$506,$C164,$A$7:$A$506,"&lt;="&amp;'03_BAO_CAO'!$E$4)-XLOOKUP($C164,'01_DANH_MUC'!$A$7:$A$206,'01_DANH_MUC'!$F$7:$F$206,0)-SUMIFS($G$7:G163,$C$7:C163,$C164,$A$7:A163,"&lt;="&amp;'03_BAO_CAO'!$E$4)))))</f>
        <v/>
      </c>
      <c r="L164" s="212">
        <f>IF($A164="","",IF(OR($K164&lt;=0,$J164=""),0,MAX(0,'03_BAO_CAO'!$E$4-$J164)))</f>
        <v/>
      </c>
      <c r="M164" s="51">
        <f>IF($A164="","",IF($K164&lt;=0,"Đã thanh toán",IF($J164="","Thiếu ngày đến hạn",IF($J164&gt;='03_BAO_CAO'!$E$4,"Chưa đến hạn",IF($L164&lt;=30,"1-30 ngày",IF($L164&lt;=60,"31-60 ngày",IF($L164&lt;=90,"61-90 ngày","Trên 90 ngày")))))))</f>
        <v/>
      </c>
      <c r="N164" s="51">
        <f>IF($A164="","",IF(OR($B164="",$C164=""),"THIẾU THÔNG TIN",IF(AND($G164&gt;0,$H164&gt;0),"KHÔNG NHẬP ĐỒNG THỜI TĂNG/GIẢM",IF(AND($G164&lt;=0,$H164&lt;=0),"CHƯA NHẬP SỐ TIỀN",IF($D164="KHÔNG TÌM THẤY","MÃ KHÔNG HỢP LỆ",IF(AND($G164&gt;0,$J164=""),"THIẾU NGÀY ĐẾN HẠN","OK"))))))</f>
        <v/>
      </c>
    </row>
    <row r="165">
      <c r="A165" s="209" t="n"/>
      <c r="B165" s="47" t="n"/>
      <c r="C165" s="47" t="n"/>
      <c r="D165" s="51">
        <f>IF($C165="","",XLOOKUP($C165,'01_DANH_MUC'!$A$7:$A$206,'01_DANH_MUC'!$B$7:$B$206,"KHÔNG TÌM THẤY"))</f>
        <v/>
      </c>
      <c r="E165" s="51">
        <f>IF($C165="","",XLOOKUP($C165,'01_DANH_MUC'!$A$7:$A$206,'01_DANH_MUC'!$C$7:$C$206,"KHÔNG TÌM THẤY"))</f>
        <v/>
      </c>
      <c r="F165" s="57" t="n"/>
      <c r="G165" s="211" t="n"/>
      <c r="H165" s="211" t="n"/>
      <c r="I165" s="212">
        <f>IF($C165="","",XLOOKUP($C165,'01_DANH_MUC'!$A$7:$A$206,'01_DANH_MUC'!$E$7:$E$206,0))</f>
        <v/>
      </c>
      <c r="J165" s="213">
        <f>IF(OR($A165="",$C165="",$G165&lt;=0),"",$A165+$I165)</f>
        <v/>
      </c>
      <c r="K165" s="210">
        <f>IF($A165="","",IF(OR($C165="",$G165&lt;=0,$A165&gt;'03_BAO_CAO'!$E$4),0,MAX(0,$G165-MAX(0,SUMIFS($H$7:$H$506,$C$7:$C$506,$C165,$A$7:$A$506,"&lt;="&amp;'03_BAO_CAO'!$E$4)-XLOOKUP($C165,'01_DANH_MUC'!$A$7:$A$206,'01_DANH_MUC'!$F$7:$F$206,0)-SUMIFS($G$7:G164,$C$7:C164,$C165,$A$7:A164,"&lt;="&amp;'03_BAO_CAO'!$E$4)))))</f>
        <v/>
      </c>
      <c r="L165" s="212">
        <f>IF($A165="","",IF(OR($K165&lt;=0,$J165=""),0,MAX(0,'03_BAO_CAO'!$E$4-$J165)))</f>
        <v/>
      </c>
      <c r="M165" s="51">
        <f>IF($A165="","",IF($K165&lt;=0,"Đã thanh toán",IF($J165="","Thiếu ngày đến hạn",IF($J165&gt;='03_BAO_CAO'!$E$4,"Chưa đến hạn",IF($L165&lt;=30,"1-30 ngày",IF($L165&lt;=60,"31-60 ngày",IF($L165&lt;=90,"61-90 ngày","Trên 90 ngày")))))))</f>
        <v/>
      </c>
      <c r="N165" s="51">
        <f>IF($A165="","",IF(OR($B165="",$C165=""),"THIẾU THÔNG TIN",IF(AND($G165&gt;0,$H165&gt;0),"KHÔNG NHẬP ĐỒNG THỜI TĂNG/GIẢM",IF(AND($G165&lt;=0,$H165&lt;=0),"CHƯA NHẬP SỐ TIỀN",IF($D165="KHÔNG TÌM THẤY","MÃ KHÔNG HỢP LỆ",IF(AND($G165&gt;0,$J165=""),"THIẾU NGÀY ĐẾN HẠN","OK"))))))</f>
        <v/>
      </c>
    </row>
    <row r="166">
      <c r="A166" s="209" t="n"/>
      <c r="B166" s="47" t="n"/>
      <c r="C166" s="47" t="n"/>
      <c r="D166" s="51">
        <f>IF($C166="","",XLOOKUP($C166,'01_DANH_MUC'!$A$7:$A$206,'01_DANH_MUC'!$B$7:$B$206,"KHÔNG TÌM THẤY"))</f>
        <v/>
      </c>
      <c r="E166" s="51">
        <f>IF($C166="","",XLOOKUP($C166,'01_DANH_MUC'!$A$7:$A$206,'01_DANH_MUC'!$C$7:$C$206,"KHÔNG TÌM THẤY"))</f>
        <v/>
      </c>
      <c r="F166" s="57" t="n"/>
      <c r="G166" s="211" t="n"/>
      <c r="H166" s="211" t="n"/>
      <c r="I166" s="212">
        <f>IF($C166="","",XLOOKUP($C166,'01_DANH_MUC'!$A$7:$A$206,'01_DANH_MUC'!$E$7:$E$206,0))</f>
        <v/>
      </c>
      <c r="J166" s="213">
        <f>IF(OR($A166="",$C166="",$G166&lt;=0),"",$A166+$I166)</f>
        <v/>
      </c>
      <c r="K166" s="210">
        <f>IF($A166="","",IF(OR($C166="",$G166&lt;=0,$A166&gt;'03_BAO_CAO'!$E$4),0,MAX(0,$G166-MAX(0,SUMIFS($H$7:$H$506,$C$7:$C$506,$C166,$A$7:$A$506,"&lt;="&amp;'03_BAO_CAO'!$E$4)-XLOOKUP($C166,'01_DANH_MUC'!$A$7:$A$206,'01_DANH_MUC'!$F$7:$F$206,0)-SUMIFS($G$7:G165,$C$7:C165,$C166,$A$7:A165,"&lt;="&amp;'03_BAO_CAO'!$E$4)))))</f>
        <v/>
      </c>
      <c r="L166" s="212">
        <f>IF($A166="","",IF(OR($K166&lt;=0,$J166=""),0,MAX(0,'03_BAO_CAO'!$E$4-$J166)))</f>
        <v/>
      </c>
      <c r="M166" s="51">
        <f>IF($A166="","",IF($K166&lt;=0,"Đã thanh toán",IF($J166="","Thiếu ngày đến hạn",IF($J166&gt;='03_BAO_CAO'!$E$4,"Chưa đến hạn",IF($L166&lt;=30,"1-30 ngày",IF($L166&lt;=60,"31-60 ngày",IF($L166&lt;=90,"61-90 ngày","Trên 90 ngày")))))))</f>
        <v/>
      </c>
      <c r="N166" s="51">
        <f>IF($A166="","",IF(OR($B166="",$C166=""),"THIẾU THÔNG TIN",IF(AND($G166&gt;0,$H166&gt;0),"KHÔNG NHẬP ĐỒNG THỜI TĂNG/GIẢM",IF(AND($G166&lt;=0,$H166&lt;=0),"CHƯA NHẬP SỐ TIỀN",IF($D166="KHÔNG TÌM THẤY","MÃ KHÔNG HỢP LỆ",IF(AND($G166&gt;0,$J166=""),"THIẾU NGÀY ĐẾN HẠN","OK"))))))</f>
        <v/>
      </c>
    </row>
    <row r="167">
      <c r="A167" s="209" t="n"/>
      <c r="B167" s="47" t="n"/>
      <c r="C167" s="47" t="n"/>
      <c r="D167" s="51">
        <f>IF($C167="","",XLOOKUP($C167,'01_DANH_MUC'!$A$7:$A$206,'01_DANH_MUC'!$B$7:$B$206,"KHÔNG TÌM THẤY"))</f>
        <v/>
      </c>
      <c r="E167" s="51">
        <f>IF($C167="","",XLOOKUP($C167,'01_DANH_MUC'!$A$7:$A$206,'01_DANH_MUC'!$C$7:$C$206,"KHÔNG TÌM THẤY"))</f>
        <v/>
      </c>
      <c r="F167" s="57" t="n"/>
      <c r="G167" s="211" t="n"/>
      <c r="H167" s="211" t="n"/>
      <c r="I167" s="212">
        <f>IF($C167="","",XLOOKUP($C167,'01_DANH_MUC'!$A$7:$A$206,'01_DANH_MUC'!$E$7:$E$206,0))</f>
        <v/>
      </c>
      <c r="J167" s="213">
        <f>IF(OR($A167="",$C167="",$G167&lt;=0),"",$A167+$I167)</f>
        <v/>
      </c>
      <c r="K167" s="210">
        <f>IF($A167="","",IF(OR($C167="",$G167&lt;=0,$A167&gt;'03_BAO_CAO'!$E$4),0,MAX(0,$G167-MAX(0,SUMIFS($H$7:$H$506,$C$7:$C$506,$C167,$A$7:$A$506,"&lt;="&amp;'03_BAO_CAO'!$E$4)-XLOOKUP($C167,'01_DANH_MUC'!$A$7:$A$206,'01_DANH_MUC'!$F$7:$F$206,0)-SUMIFS($G$7:G166,$C$7:C166,$C167,$A$7:A166,"&lt;="&amp;'03_BAO_CAO'!$E$4)))))</f>
        <v/>
      </c>
      <c r="L167" s="212">
        <f>IF($A167="","",IF(OR($K167&lt;=0,$J167=""),0,MAX(0,'03_BAO_CAO'!$E$4-$J167)))</f>
        <v/>
      </c>
      <c r="M167" s="51">
        <f>IF($A167="","",IF($K167&lt;=0,"Đã thanh toán",IF($J167="","Thiếu ngày đến hạn",IF($J167&gt;='03_BAO_CAO'!$E$4,"Chưa đến hạn",IF($L167&lt;=30,"1-30 ngày",IF($L167&lt;=60,"31-60 ngày",IF($L167&lt;=90,"61-90 ngày","Trên 90 ngày")))))))</f>
        <v/>
      </c>
      <c r="N167" s="51">
        <f>IF($A167="","",IF(OR($B167="",$C167=""),"THIẾU THÔNG TIN",IF(AND($G167&gt;0,$H167&gt;0),"KHÔNG NHẬP ĐỒNG THỜI TĂNG/GIẢM",IF(AND($G167&lt;=0,$H167&lt;=0),"CHƯA NHẬP SỐ TIỀN",IF($D167="KHÔNG TÌM THẤY","MÃ KHÔNG HỢP LỆ",IF(AND($G167&gt;0,$J167=""),"THIẾU NGÀY ĐẾN HẠN","OK"))))))</f>
        <v/>
      </c>
    </row>
    <row r="168">
      <c r="A168" s="209" t="n"/>
      <c r="B168" s="47" t="n"/>
      <c r="C168" s="47" t="n"/>
      <c r="D168" s="51">
        <f>IF($C168="","",XLOOKUP($C168,'01_DANH_MUC'!$A$7:$A$206,'01_DANH_MUC'!$B$7:$B$206,"KHÔNG TÌM THẤY"))</f>
        <v/>
      </c>
      <c r="E168" s="51">
        <f>IF($C168="","",XLOOKUP($C168,'01_DANH_MUC'!$A$7:$A$206,'01_DANH_MUC'!$C$7:$C$206,"KHÔNG TÌM THẤY"))</f>
        <v/>
      </c>
      <c r="F168" s="57" t="n"/>
      <c r="G168" s="211" t="n"/>
      <c r="H168" s="211" t="n"/>
      <c r="I168" s="212">
        <f>IF($C168="","",XLOOKUP($C168,'01_DANH_MUC'!$A$7:$A$206,'01_DANH_MUC'!$E$7:$E$206,0))</f>
        <v/>
      </c>
      <c r="J168" s="213">
        <f>IF(OR($A168="",$C168="",$G168&lt;=0),"",$A168+$I168)</f>
        <v/>
      </c>
      <c r="K168" s="210">
        <f>IF($A168="","",IF(OR($C168="",$G168&lt;=0,$A168&gt;'03_BAO_CAO'!$E$4),0,MAX(0,$G168-MAX(0,SUMIFS($H$7:$H$506,$C$7:$C$506,$C168,$A$7:$A$506,"&lt;="&amp;'03_BAO_CAO'!$E$4)-XLOOKUP($C168,'01_DANH_MUC'!$A$7:$A$206,'01_DANH_MUC'!$F$7:$F$206,0)-SUMIFS($G$7:G167,$C$7:C167,$C168,$A$7:A167,"&lt;="&amp;'03_BAO_CAO'!$E$4)))))</f>
        <v/>
      </c>
      <c r="L168" s="212">
        <f>IF($A168="","",IF(OR($K168&lt;=0,$J168=""),0,MAX(0,'03_BAO_CAO'!$E$4-$J168)))</f>
        <v/>
      </c>
      <c r="M168" s="51">
        <f>IF($A168="","",IF($K168&lt;=0,"Đã thanh toán",IF($J168="","Thiếu ngày đến hạn",IF($J168&gt;='03_BAO_CAO'!$E$4,"Chưa đến hạn",IF($L168&lt;=30,"1-30 ngày",IF($L168&lt;=60,"31-60 ngày",IF($L168&lt;=90,"61-90 ngày","Trên 90 ngày")))))))</f>
        <v/>
      </c>
      <c r="N168" s="51">
        <f>IF($A168="","",IF(OR($B168="",$C168=""),"THIẾU THÔNG TIN",IF(AND($G168&gt;0,$H168&gt;0),"KHÔNG NHẬP ĐỒNG THỜI TĂNG/GIẢM",IF(AND($G168&lt;=0,$H168&lt;=0),"CHƯA NHẬP SỐ TIỀN",IF($D168="KHÔNG TÌM THẤY","MÃ KHÔNG HỢP LỆ",IF(AND($G168&gt;0,$J168=""),"THIẾU NGÀY ĐẾN HẠN","OK"))))))</f>
        <v/>
      </c>
    </row>
    <row r="169">
      <c r="A169" s="209" t="n"/>
      <c r="B169" s="47" t="n"/>
      <c r="C169" s="47" t="n"/>
      <c r="D169" s="51">
        <f>IF($C169="","",XLOOKUP($C169,'01_DANH_MUC'!$A$7:$A$206,'01_DANH_MUC'!$B$7:$B$206,"KHÔNG TÌM THẤY"))</f>
        <v/>
      </c>
      <c r="E169" s="51">
        <f>IF($C169="","",XLOOKUP($C169,'01_DANH_MUC'!$A$7:$A$206,'01_DANH_MUC'!$C$7:$C$206,"KHÔNG TÌM THẤY"))</f>
        <v/>
      </c>
      <c r="F169" s="57" t="n"/>
      <c r="G169" s="211" t="n"/>
      <c r="H169" s="211" t="n"/>
      <c r="I169" s="212">
        <f>IF($C169="","",XLOOKUP($C169,'01_DANH_MUC'!$A$7:$A$206,'01_DANH_MUC'!$E$7:$E$206,0))</f>
        <v/>
      </c>
      <c r="J169" s="213">
        <f>IF(OR($A169="",$C169="",$G169&lt;=0),"",$A169+$I169)</f>
        <v/>
      </c>
      <c r="K169" s="210">
        <f>IF($A169="","",IF(OR($C169="",$G169&lt;=0,$A169&gt;'03_BAO_CAO'!$E$4),0,MAX(0,$G169-MAX(0,SUMIFS($H$7:$H$506,$C$7:$C$506,$C169,$A$7:$A$506,"&lt;="&amp;'03_BAO_CAO'!$E$4)-XLOOKUP($C169,'01_DANH_MUC'!$A$7:$A$206,'01_DANH_MUC'!$F$7:$F$206,0)-SUMIFS($G$7:G168,$C$7:C168,$C169,$A$7:A168,"&lt;="&amp;'03_BAO_CAO'!$E$4)))))</f>
        <v/>
      </c>
      <c r="L169" s="212">
        <f>IF($A169="","",IF(OR($K169&lt;=0,$J169=""),0,MAX(0,'03_BAO_CAO'!$E$4-$J169)))</f>
        <v/>
      </c>
      <c r="M169" s="51">
        <f>IF($A169="","",IF($K169&lt;=0,"Đã thanh toán",IF($J169="","Thiếu ngày đến hạn",IF($J169&gt;='03_BAO_CAO'!$E$4,"Chưa đến hạn",IF($L169&lt;=30,"1-30 ngày",IF($L169&lt;=60,"31-60 ngày",IF($L169&lt;=90,"61-90 ngày","Trên 90 ngày")))))))</f>
        <v/>
      </c>
      <c r="N169" s="51">
        <f>IF($A169="","",IF(OR($B169="",$C169=""),"THIẾU THÔNG TIN",IF(AND($G169&gt;0,$H169&gt;0),"KHÔNG NHẬP ĐỒNG THỜI TĂNG/GIẢM",IF(AND($G169&lt;=0,$H169&lt;=0),"CHƯA NHẬP SỐ TIỀN",IF($D169="KHÔNG TÌM THẤY","MÃ KHÔNG HỢP LỆ",IF(AND($G169&gt;0,$J169=""),"THIẾU NGÀY ĐẾN HẠN","OK"))))))</f>
        <v/>
      </c>
    </row>
    <row r="170">
      <c r="A170" s="209" t="n"/>
      <c r="B170" s="47" t="n"/>
      <c r="C170" s="47" t="n"/>
      <c r="D170" s="51">
        <f>IF($C170="","",XLOOKUP($C170,'01_DANH_MUC'!$A$7:$A$206,'01_DANH_MUC'!$B$7:$B$206,"KHÔNG TÌM THẤY"))</f>
        <v/>
      </c>
      <c r="E170" s="51">
        <f>IF($C170="","",XLOOKUP($C170,'01_DANH_MUC'!$A$7:$A$206,'01_DANH_MUC'!$C$7:$C$206,"KHÔNG TÌM THẤY"))</f>
        <v/>
      </c>
      <c r="F170" s="57" t="n"/>
      <c r="G170" s="211" t="n"/>
      <c r="H170" s="211" t="n"/>
      <c r="I170" s="212">
        <f>IF($C170="","",XLOOKUP($C170,'01_DANH_MUC'!$A$7:$A$206,'01_DANH_MUC'!$E$7:$E$206,0))</f>
        <v/>
      </c>
      <c r="J170" s="213">
        <f>IF(OR($A170="",$C170="",$G170&lt;=0),"",$A170+$I170)</f>
        <v/>
      </c>
      <c r="K170" s="210">
        <f>IF($A170="","",IF(OR($C170="",$G170&lt;=0,$A170&gt;'03_BAO_CAO'!$E$4),0,MAX(0,$G170-MAX(0,SUMIFS($H$7:$H$506,$C$7:$C$506,$C170,$A$7:$A$506,"&lt;="&amp;'03_BAO_CAO'!$E$4)-XLOOKUP($C170,'01_DANH_MUC'!$A$7:$A$206,'01_DANH_MUC'!$F$7:$F$206,0)-SUMIFS($G$7:G169,$C$7:C169,$C170,$A$7:A169,"&lt;="&amp;'03_BAO_CAO'!$E$4)))))</f>
        <v/>
      </c>
      <c r="L170" s="212">
        <f>IF($A170="","",IF(OR($K170&lt;=0,$J170=""),0,MAX(0,'03_BAO_CAO'!$E$4-$J170)))</f>
        <v/>
      </c>
      <c r="M170" s="51">
        <f>IF($A170="","",IF($K170&lt;=0,"Đã thanh toán",IF($J170="","Thiếu ngày đến hạn",IF($J170&gt;='03_BAO_CAO'!$E$4,"Chưa đến hạn",IF($L170&lt;=30,"1-30 ngày",IF($L170&lt;=60,"31-60 ngày",IF($L170&lt;=90,"61-90 ngày","Trên 90 ngày")))))))</f>
        <v/>
      </c>
      <c r="N170" s="51">
        <f>IF($A170="","",IF(OR($B170="",$C170=""),"THIẾU THÔNG TIN",IF(AND($G170&gt;0,$H170&gt;0),"KHÔNG NHẬP ĐỒNG THỜI TĂNG/GIẢM",IF(AND($G170&lt;=0,$H170&lt;=0),"CHƯA NHẬP SỐ TIỀN",IF($D170="KHÔNG TÌM THẤY","MÃ KHÔNG HỢP LỆ",IF(AND($G170&gt;0,$J170=""),"THIẾU NGÀY ĐẾN HẠN","OK"))))))</f>
        <v/>
      </c>
    </row>
    <row r="171">
      <c r="A171" s="209" t="n"/>
      <c r="B171" s="47" t="n"/>
      <c r="C171" s="47" t="n"/>
      <c r="D171" s="51">
        <f>IF($C171="","",XLOOKUP($C171,'01_DANH_MUC'!$A$7:$A$206,'01_DANH_MUC'!$B$7:$B$206,"KHÔNG TÌM THẤY"))</f>
        <v/>
      </c>
      <c r="E171" s="51">
        <f>IF($C171="","",XLOOKUP($C171,'01_DANH_MUC'!$A$7:$A$206,'01_DANH_MUC'!$C$7:$C$206,"KHÔNG TÌM THẤY"))</f>
        <v/>
      </c>
      <c r="F171" s="57" t="n"/>
      <c r="G171" s="211" t="n"/>
      <c r="H171" s="211" t="n"/>
      <c r="I171" s="212">
        <f>IF($C171="","",XLOOKUP($C171,'01_DANH_MUC'!$A$7:$A$206,'01_DANH_MUC'!$E$7:$E$206,0))</f>
        <v/>
      </c>
      <c r="J171" s="213">
        <f>IF(OR($A171="",$C171="",$G171&lt;=0),"",$A171+$I171)</f>
        <v/>
      </c>
      <c r="K171" s="210">
        <f>IF($A171="","",IF(OR($C171="",$G171&lt;=0,$A171&gt;'03_BAO_CAO'!$E$4),0,MAX(0,$G171-MAX(0,SUMIFS($H$7:$H$506,$C$7:$C$506,$C171,$A$7:$A$506,"&lt;="&amp;'03_BAO_CAO'!$E$4)-XLOOKUP($C171,'01_DANH_MUC'!$A$7:$A$206,'01_DANH_MUC'!$F$7:$F$206,0)-SUMIFS($G$7:G170,$C$7:C170,$C171,$A$7:A170,"&lt;="&amp;'03_BAO_CAO'!$E$4)))))</f>
        <v/>
      </c>
      <c r="L171" s="212">
        <f>IF($A171="","",IF(OR($K171&lt;=0,$J171=""),0,MAX(0,'03_BAO_CAO'!$E$4-$J171)))</f>
        <v/>
      </c>
      <c r="M171" s="51">
        <f>IF($A171="","",IF($K171&lt;=0,"Đã thanh toán",IF($J171="","Thiếu ngày đến hạn",IF($J171&gt;='03_BAO_CAO'!$E$4,"Chưa đến hạn",IF($L171&lt;=30,"1-30 ngày",IF($L171&lt;=60,"31-60 ngày",IF($L171&lt;=90,"61-90 ngày","Trên 90 ngày")))))))</f>
        <v/>
      </c>
      <c r="N171" s="51">
        <f>IF($A171="","",IF(OR($B171="",$C171=""),"THIẾU THÔNG TIN",IF(AND($G171&gt;0,$H171&gt;0),"KHÔNG NHẬP ĐỒNG THỜI TĂNG/GIẢM",IF(AND($G171&lt;=0,$H171&lt;=0),"CHƯA NHẬP SỐ TIỀN",IF($D171="KHÔNG TÌM THẤY","MÃ KHÔNG HỢP LỆ",IF(AND($G171&gt;0,$J171=""),"THIẾU NGÀY ĐẾN HẠN","OK"))))))</f>
        <v/>
      </c>
    </row>
    <row r="172">
      <c r="A172" s="209" t="n"/>
      <c r="B172" s="47" t="n"/>
      <c r="C172" s="47" t="n"/>
      <c r="D172" s="51">
        <f>IF($C172="","",XLOOKUP($C172,'01_DANH_MUC'!$A$7:$A$206,'01_DANH_MUC'!$B$7:$B$206,"KHÔNG TÌM THẤY"))</f>
        <v/>
      </c>
      <c r="E172" s="51">
        <f>IF($C172="","",XLOOKUP($C172,'01_DANH_MUC'!$A$7:$A$206,'01_DANH_MUC'!$C$7:$C$206,"KHÔNG TÌM THẤY"))</f>
        <v/>
      </c>
      <c r="F172" s="57" t="n"/>
      <c r="G172" s="211" t="n"/>
      <c r="H172" s="211" t="n"/>
      <c r="I172" s="212">
        <f>IF($C172="","",XLOOKUP($C172,'01_DANH_MUC'!$A$7:$A$206,'01_DANH_MUC'!$E$7:$E$206,0))</f>
        <v/>
      </c>
      <c r="J172" s="213">
        <f>IF(OR($A172="",$C172="",$G172&lt;=0),"",$A172+$I172)</f>
        <v/>
      </c>
      <c r="K172" s="210">
        <f>IF($A172="","",IF(OR($C172="",$G172&lt;=0,$A172&gt;'03_BAO_CAO'!$E$4),0,MAX(0,$G172-MAX(0,SUMIFS($H$7:$H$506,$C$7:$C$506,$C172,$A$7:$A$506,"&lt;="&amp;'03_BAO_CAO'!$E$4)-XLOOKUP($C172,'01_DANH_MUC'!$A$7:$A$206,'01_DANH_MUC'!$F$7:$F$206,0)-SUMIFS($G$7:G171,$C$7:C171,$C172,$A$7:A171,"&lt;="&amp;'03_BAO_CAO'!$E$4)))))</f>
        <v/>
      </c>
      <c r="L172" s="212">
        <f>IF($A172="","",IF(OR($K172&lt;=0,$J172=""),0,MAX(0,'03_BAO_CAO'!$E$4-$J172)))</f>
        <v/>
      </c>
      <c r="M172" s="51">
        <f>IF($A172="","",IF($K172&lt;=0,"Đã thanh toán",IF($J172="","Thiếu ngày đến hạn",IF($J172&gt;='03_BAO_CAO'!$E$4,"Chưa đến hạn",IF($L172&lt;=30,"1-30 ngày",IF($L172&lt;=60,"31-60 ngày",IF($L172&lt;=90,"61-90 ngày","Trên 90 ngày")))))))</f>
        <v/>
      </c>
      <c r="N172" s="51">
        <f>IF($A172="","",IF(OR($B172="",$C172=""),"THIẾU THÔNG TIN",IF(AND($G172&gt;0,$H172&gt;0),"KHÔNG NHẬP ĐỒNG THỜI TĂNG/GIẢM",IF(AND($G172&lt;=0,$H172&lt;=0),"CHƯA NHẬP SỐ TIỀN",IF($D172="KHÔNG TÌM THẤY","MÃ KHÔNG HỢP LỆ",IF(AND($G172&gt;0,$J172=""),"THIẾU NGÀY ĐẾN HẠN","OK"))))))</f>
        <v/>
      </c>
    </row>
    <row r="173">
      <c r="A173" s="209" t="n"/>
      <c r="B173" s="47" t="n"/>
      <c r="C173" s="47" t="n"/>
      <c r="D173" s="51">
        <f>IF($C173="","",XLOOKUP($C173,'01_DANH_MUC'!$A$7:$A$206,'01_DANH_MUC'!$B$7:$B$206,"KHÔNG TÌM THẤY"))</f>
        <v/>
      </c>
      <c r="E173" s="51">
        <f>IF($C173="","",XLOOKUP($C173,'01_DANH_MUC'!$A$7:$A$206,'01_DANH_MUC'!$C$7:$C$206,"KHÔNG TÌM THẤY"))</f>
        <v/>
      </c>
      <c r="F173" s="57" t="n"/>
      <c r="G173" s="211" t="n"/>
      <c r="H173" s="211" t="n"/>
      <c r="I173" s="212">
        <f>IF($C173="","",XLOOKUP($C173,'01_DANH_MUC'!$A$7:$A$206,'01_DANH_MUC'!$E$7:$E$206,0))</f>
        <v/>
      </c>
      <c r="J173" s="213">
        <f>IF(OR($A173="",$C173="",$G173&lt;=0),"",$A173+$I173)</f>
        <v/>
      </c>
      <c r="K173" s="210">
        <f>IF($A173="","",IF(OR($C173="",$G173&lt;=0,$A173&gt;'03_BAO_CAO'!$E$4),0,MAX(0,$G173-MAX(0,SUMIFS($H$7:$H$506,$C$7:$C$506,$C173,$A$7:$A$506,"&lt;="&amp;'03_BAO_CAO'!$E$4)-XLOOKUP($C173,'01_DANH_MUC'!$A$7:$A$206,'01_DANH_MUC'!$F$7:$F$206,0)-SUMIFS($G$7:G172,$C$7:C172,$C173,$A$7:A172,"&lt;="&amp;'03_BAO_CAO'!$E$4)))))</f>
        <v/>
      </c>
      <c r="L173" s="212">
        <f>IF($A173="","",IF(OR($K173&lt;=0,$J173=""),0,MAX(0,'03_BAO_CAO'!$E$4-$J173)))</f>
        <v/>
      </c>
      <c r="M173" s="51">
        <f>IF($A173="","",IF($K173&lt;=0,"Đã thanh toán",IF($J173="","Thiếu ngày đến hạn",IF($J173&gt;='03_BAO_CAO'!$E$4,"Chưa đến hạn",IF($L173&lt;=30,"1-30 ngày",IF($L173&lt;=60,"31-60 ngày",IF($L173&lt;=90,"61-90 ngày","Trên 90 ngày")))))))</f>
        <v/>
      </c>
      <c r="N173" s="51">
        <f>IF($A173="","",IF(OR($B173="",$C173=""),"THIẾU THÔNG TIN",IF(AND($G173&gt;0,$H173&gt;0),"KHÔNG NHẬP ĐỒNG THỜI TĂNG/GIẢM",IF(AND($G173&lt;=0,$H173&lt;=0),"CHƯA NHẬP SỐ TIỀN",IF($D173="KHÔNG TÌM THẤY","MÃ KHÔNG HỢP LỆ",IF(AND($G173&gt;0,$J173=""),"THIẾU NGÀY ĐẾN HẠN","OK"))))))</f>
        <v/>
      </c>
    </row>
    <row r="174">
      <c r="A174" s="209" t="n"/>
      <c r="B174" s="47" t="n"/>
      <c r="C174" s="47" t="n"/>
      <c r="D174" s="51">
        <f>IF($C174="","",XLOOKUP($C174,'01_DANH_MUC'!$A$7:$A$206,'01_DANH_MUC'!$B$7:$B$206,"KHÔNG TÌM THẤY"))</f>
        <v/>
      </c>
      <c r="E174" s="51">
        <f>IF($C174="","",XLOOKUP($C174,'01_DANH_MUC'!$A$7:$A$206,'01_DANH_MUC'!$C$7:$C$206,"KHÔNG TÌM THẤY"))</f>
        <v/>
      </c>
      <c r="F174" s="57" t="n"/>
      <c r="G174" s="211" t="n"/>
      <c r="H174" s="211" t="n"/>
      <c r="I174" s="212">
        <f>IF($C174="","",XLOOKUP($C174,'01_DANH_MUC'!$A$7:$A$206,'01_DANH_MUC'!$E$7:$E$206,0))</f>
        <v/>
      </c>
      <c r="J174" s="213">
        <f>IF(OR($A174="",$C174="",$G174&lt;=0),"",$A174+$I174)</f>
        <v/>
      </c>
      <c r="K174" s="210">
        <f>IF($A174="","",IF(OR($C174="",$G174&lt;=0,$A174&gt;'03_BAO_CAO'!$E$4),0,MAX(0,$G174-MAX(0,SUMIFS($H$7:$H$506,$C$7:$C$506,$C174,$A$7:$A$506,"&lt;="&amp;'03_BAO_CAO'!$E$4)-XLOOKUP($C174,'01_DANH_MUC'!$A$7:$A$206,'01_DANH_MUC'!$F$7:$F$206,0)-SUMIFS($G$7:G173,$C$7:C173,$C174,$A$7:A173,"&lt;="&amp;'03_BAO_CAO'!$E$4)))))</f>
        <v/>
      </c>
      <c r="L174" s="212">
        <f>IF($A174="","",IF(OR($K174&lt;=0,$J174=""),0,MAX(0,'03_BAO_CAO'!$E$4-$J174)))</f>
        <v/>
      </c>
      <c r="M174" s="51">
        <f>IF($A174="","",IF($K174&lt;=0,"Đã thanh toán",IF($J174="","Thiếu ngày đến hạn",IF($J174&gt;='03_BAO_CAO'!$E$4,"Chưa đến hạn",IF($L174&lt;=30,"1-30 ngày",IF($L174&lt;=60,"31-60 ngày",IF($L174&lt;=90,"61-90 ngày","Trên 90 ngày")))))))</f>
        <v/>
      </c>
      <c r="N174" s="51">
        <f>IF($A174="","",IF(OR($B174="",$C174=""),"THIẾU THÔNG TIN",IF(AND($G174&gt;0,$H174&gt;0),"KHÔNG NHẬP ĐỒNG THỜI TĂNG/GIẢM",IF(AND($G174&lt;=0,$H174&lt;=0),"CHƯA NHẬP SỐ TIỀN",IF($D174="KHÔNG TÌM THẤY","MÃ KHÔNG HỢP LỆ",IF(AND($G174&gt;0,$J174=""),"THIẾU NGÀY ĐẾN HẠN","OK"))))))</f>
        <v/>
      </c>
    </row>
    <row r="175">
      <c r="A175" s="209" t="n"/>
      <c r="B175" s="47" t="n"/>
      <c r="C175" s="47" t="n"/>
      <c r="D175" s="51">
        <f>IF($C175="","",XLOOKUP($C175,'01_DANH_MUC'!$A$7:$A$206,'01_DANH_MUC'!$B$7:$B$206,"KHÔNG TÌM THẤY"))</f>
        <v/>
      </c>
      <c r="E175" s="51">
        <f>IF($C175="","",XLOOKUP($C175,'01_DANH_MUC'!$A$7:$A$206,'01_DANH_MUC'!$C$7:$C$206,"KHÔNG TÌM THẤY"))</f>
        <v/>
      </c>
      <c r="F175" s="57" t="n"/>
      <c r="G175" s="211" t="n"/>
      <c r="H175" s="211" t="n"/>
      <c r="I175" s="212">
        <f>IF($C175="","",XLOOKUP($C175,'01_DANH_MUC'!$A$7:$A$206,'01_DANH_MUC'!$E$7:$E$206,0))</f>
        <v/>
      </c>
      <c r="J175" s="213">
        <f>IF(OR($A175="",$C175="",$G175&lt;=0),"",$A175+$I175)</f>
        <v/>
      </c>
      <c r="K175" s="210">
        <f>IF($A175="","",IF(OR($C175="",$G175&lt;=0,$A175&gt;'03_BAO_CAO'!$E$4),0,MAX(0,$G175-MAX(0,SUMIFS($H$7:$H$506,$C$7:$C$506,$C175,$A$7:$A$506,"&lt;="&amp;'03_BAO_CAO'!$E$4)-XLOOKUP($C175,'01_DANH_MUC'!$A$7:$A$206,'01_DANH_MUC'!$F$7:$F$206,0)-SUMIFS($G$7:G174,$C$7:C174,$C175,$A$7:A174,"&lt;="&amp;'03_BAO_CAO'!$E$4)))))</f>
        <v/>
      </c>
      <c r="L175" s="212">
        <f>IF($A175="","",IF(OR($K175&lt;=0,$J175=""),0,MAX(0,'03_BAO_CAO'!$E$4-$J175)))</f>
        <v/>
      </c>
      <c r="M175" s="51">
        <f>IF($A175="","",IF($K175&lt;=0,"Đã thanh toán",IF($J175="","Thiếu ngày đến hạn",IF($J175&gt;='03_BAO_CAO'!$E$4,"Chưa đến hạn",IF($L175&lt;=30,"1-30 ngày",IF($L175&lt;=60,"31-60 ngày",IF($L175&lt;=90,"61-90 ngày","Trên 90 ngày")))))))</f>
        <v/>
      </c>
      <c r="N175" s="51">
        <f>IF($A175="","",IF(OR($B175="",$C175=""),"THIẾU THÔNG TIN",IF(AND($G175&gt;0,$H175&gt;0),"KHÔNG NHẬP ĐỒNG THỜI TĂNG/GIẢM",IF(AND($G175&lt;=0,$H175&lt;=0),"CHƯA NHẬP SỐ TIỀN",IF($D175="KHÔNG TÌM THẤY","MÃ KHÔNG HỢP LỆ",IF(AND($G175&gt;0,$J175=""),"THIẾU NGÀY ĐẾN HẠN","OK"))))))</f>
        <v/>
      </c>
    </row>
    <row r="176">
      <c r="A176" s="209" t="n"/>
      <c r="B176" s="47" t="n"/>
      <c r="C176" s="47" t="n"/>
      <c r="D176" s="51">
        <f>IF($C176="","",XLOOKUP($C176,'01_DANH_MUC'!$A$7:$A$206,'01_DANH_MUC'!$B$7:$B$206,"KHÔNG TÌM THẤY"))</f>
        <v/>
      </c>
      <c r="E176" s="51">
        <f>IF($C176="","",XLOOKUP($C176,'01_DANH_MUC'!$A$7:$A$206,'01_DANH_MUC'!$C$7:$C$206,"KHÔNG TÌM THẤY"))</f>
        <v/>
      </c>
      <c r="F176" s="57" t="n"/>
      <c r="G176" s="211" t="n"/>
      <c r="H176" s="211" t="n"/>
      <c r="I176" s="212">
        <f>IF($C176="","",XLOOKUP($C176,'01_DANH_MUC'!$A$7:$A$206,'01_DANH_MUC'!$E$7:$E$206,0))</f>
        <v/>
      </c>
      <c r="J176" s="213">
        <f>IF(OR($A176="",$C176="",$G176&lt;=0),"",$A176+$I176)</f>
        <v/>
      </c>
      <c r="K176" s="210">
        <f>IF($A176="","",IF(OR($C176="",$G176&lt;=0,$A176&gt;'03_BAO_CAO'!$E$4),0,MAX(0,$G176-MAX(0,SUMIFS($H$7:$H$506,$C$7:$C$506,$C176,$A$7:$A$506,"&lt;="&amp;'03_BAO_CAO'!$E$4)-XLOOKUP($C176,'01_DANH_MUC'!$A$7:$A$206,'01_DANH_MUC'!$F$7:$F$206,0)-SUMIFS($G$7:G175,$C$7:C175,$C176,$A$7:A175,"&lt;="&amp;'03_BAO_CAO'!$E$4)))))</f>
        <v/>
      </c>
      <c r="L176" s="212">
        <f>IF($A176="","",IF(OR($K176&lt;=0,$J176=""),0,MAX(0,'03_BAO_CAO'!$E$4-$J176)))</f>
        <v/>
      </c>
      <c r="M176" s="51">
        <f>IF($A176="","",IF($K176&lt;=0,"Đã thanh toán",IF($J176="","Thiếu ngày đến hạn",IF($J176&gt;='03_BAO_CAO'!$E$4,"Chưa đến hạn",IF($L176&lt;=30,"1-30 ngày",IF($L176&lt;=60,"31-60 ngày",IF($L176&lt;=90,"61-90 ngày","Trên 90 ngày")))))))</f>
        <v/>
      </c>
      <c r="N176" s="51">
        <f>IF($A176="","",IF(OR($B176="",$C176=""),"THIẾU THÔNG TIN",IF(AND($G176&gt;0,$H176&gt;0),"KHÔNG NHẬP ĐỒNG THỜI TĂNG/GIẢM",IF(AND($G176&lt;=0,$H176&lt;=0),"CHƯA NHẬP SỐ TIỀN",IF($D176="KHÔNG TÌM THẤY","MÃ KHÔNG HỢP LỆ",IF(AND($G176&gt;0,$J176=""),"THIẾU NGÀY ĐẾN HẠN","OK"))))))</f>
        <v/>
      </c>
    </row>
    <row r="177">
      <c r="A177" s="209" t="n"/>
      <c r="B177" s="47" t="n"/>
      <c r="C177" s="47" t="n"/>
      <c r="D177" s="51">
        <f>IF($C177="","",XLOOKUP($C177,'01_DANH_MUC'!$A$7:$A$206,'01_DANH_MUC'!$B$7:$B$206,"KHÔNG TÌM THẤY"))</f>
        <v/>
      </c>
      <c r="E177" s="51">
        <f>IF($C177="","",XLOOKUP($C177,'01_DANH_MUC'!$A$7:$A$206,'01_DANH_MUC'!$C$7:$C$206,"KHÔNG TÌM THẤY"))</f>
        <v/>
      </c>
      <c r="F177" s="57" t="n"/>
      <c r="G177" s="211" t="n"/>
      <c r="H177" s="211" t="n"/>
      <c r="I177" s="212">
        <f>IF($C177="","",XLOOKUP($C177,'01_DANH_MUC'!$A$7:$A$206,'01_DANH_MUC'!$E$7:$E$206,0))</f>
        <v/>
      </c>
      <c r="J177" s="213">
        <f>IF(OR($A177="",$C177="",$G177&lt;=0),"",$A177+$I177)</f>
        <v/>
      </c>
      <c r="K177" s="210">
        <f>IF($A177="","",IF(OR($C177="",$G177&lt;=0,$A177&gt;'03_BAO_CAO'!$E$4),0,MAX(0,$G177-MAX(0,SUMIFS($H$7:$H$506,$C$7:$C$506,$C177,$A$7:$A$506,"&lt;="&amp;'03_BAO_CAO'!$E$4)-XLOOKUP($C177,'01_DANH_MUC'!$A$7:$A$206,'01_DANH_MUC'!$F$7:$F$206,0)-SUMIFS($G$7:G176,$C$7:C176,$C177,$A$7:A176,"&lt;="&amp;'03_BAO_CAO'!$E$4)))))</f>
        <v/>
      </c>
      <c r="L177" s="212">
        <f>IF($A177="","",IF(OR($K177&lt;=0,$J177=""),0,MAX(0,'03_BAO_CAO'!$E$4-$J177)))</f>
        <v/>
      </c>
      <c r="M177" s="51">
        <f>IF($A177="","",IF($K177&lt;=0,"Đã thanh toán",IF($J177="","Thiếu ngày đến hạn",IF($J177&gt;='03_BAO_CAO'!$E$4,"Chưa đến hạn",IF($L177&lt;=30,"1-30 ngày",IF($L177&lt;=60,"31-60 ngày",IF($L177&lt;=90,"61-90 ngày","Trên 90 ngày")))))))</f>
        <v/>
      </c>
      <c r="N177" s="51">
        <f>IF($A177="","",IF(OR($B177="",$C177=""),"THIẾU THÔNG TIN",IF(AND($G177&gt;0,$H177&gt;0),"KHÔNG NHẬP ĐỒNG THỜI TĂNG/GIẢM",IF(AND($G177&lt;=0,$H177&lt;=0),"CHƯA NHẬP SỐ TIỀN",IF($D177="KHÔNG TÌM THẤY","MÃ KHÔNG HỢP LỆ",IF(AND($G177&gt;0,$J177=""),"THIẾU NGÀY ĐẾN HẠN","OK"))))))</f>
        <v/>
      </c>
    </row>
    <row r="178">
      <c r="A178" s="209" t="n"/>
      <c r="B178" s="47" t="n"/>
      <c r="C178" s="47" t="n"/>
      <c r="D178" s="51">
        <f>IF($C178="","",XLOOKUP($C178,'01_DANH_MUC'!$A$7:$A$206,'01_DANH_MUC'!$B$7:$B$206,"KHÔNG TÌM THẤY"))</f>
        <v/>
      </c>
      <c r="E178" s="51">
        <f>IF($C178="","",XLOOKUP($C178,'01_DANH_MUC'!$A$7:$A$206,'01_DANH_MUC'!$C$7:$C$206,"KHÔNG TÌM THẤY"))</f>
        <v/>
      </c>
      <c r="F178" s="57" t="n"/>
      <c r="G178" s="211" t="n"/>
      <c r="H178" s="211" t="n"/>
      <c r="I178" s="212">
        <f>IF($C178="","",XLOOKUP($C178,'01_DANH_MUC'!$A$7:$A$206,'01_DANH_MUC'!$E$7:$E$206,0))</f>
        <v/>
      </c>
      <c r="J178" s="213">
        <f>IF(OR($A178="",$C178="",$G178&lt;=0),"",$A178+$I178)</f>
        <v/>
      </c>
      <c r="K178" s="210">
        <f>IF($A178="","",IF(OR($C178="",$G178&lt;=0,$A178&gt;'03_BAO_CAO'!$E$4),0,MAX(0,$G178-MAX(0,SUMIFS($H$7:$H$506,$C$7:$C$506,$C178,$A$7:$A$506,"&lt;="&amp;'03_BAO_CAO'!$E$4)-XLOOKUP($C178,'01_DANH_MUC'!$A$7:$A$206,'01_DANH_MUC'!$F$7:$F$206,0)-SUMIFS($G$7:G177,$C$7:C177,$C178,$A$7:A177,"&lt;="&amp;'03_BAO_CAO'!$E$4)))))</f>
        <v/>
      </c>
      <c r="L178" s="212">
        <f>IF($A178="","",IF(OR($K178&lt;=0,$J178=""),0,MAX(0,'03_BAO_CAO'!$E$4-$J178)))</f>
        <v/>
      </c>
      <c r="M178" s="51">
        <f>IF($A178="","",IF($K178&lt;=0,"Đã thanh toán",IF($J178="","Thiếu ngày đến hạn",IF($J178&gt;='03_BAO_CAO'!$E$4,"Chưa đến hạn",IF($L178&lt;=30,"1-30 ngày",IF($L178&lt;=60,"31-60 ngày",IF($L178&lt;=90,"61-90 ngày","Trên 90 ngày")))))))</f>
        <v/>
      </c>
      <c r="N178" s="51">
        <f>IF($A178="","",IF(OR($B178="",$C178=""),"THIẾU THÔNG TIN",IF(AND($G178&gt;0,$H178&gt;0),"KHÔNG NHẬP ĐỒNG THỜI TĂNG/GIẢM",IF(AND($G178&lt;=0,$H178&lt;=0),"CHƯA NHẬP SỐ TIỀN",IF($D178="KHÔNG TÌM THẤY","MÃ KHÔNG HỢP LỆ",IF(AND($G178&gt;0,$J178=""),"THIẾU NGÀY ĐẾN HẠN","OK"))))))</f>
        <v/>
      </c>
    </row>
    <row r="179">
      <c r="A179" s="209" t="n"/>
      <c r="B179" s="47" t="n"/>
      <c r="C179" s="47" t="n"/>
      <c r="D179" s="51">
        <f>IF($C179="","",XLOOKUP($C179,'01_DANH_MUC'!$A$7:$A$206,'01_DANH_MUC'!$B$7:$B$206,"KHÔNG TÌM THẤY"))</f>
        <v/>
      </c>
      <c r="E179" s="51">
        <f>IF($C179="","",XLOOKUP($C179,'01_DANH_MUC'!$A$7:$A$206,'01_DANH_MUC'!$C$7:$C$206,"KHÔNG TÌM THẤY"))</f>
        <v/>
      </c>
      <c r="F179" s="57" t="n"/>
      <c r="G179" s="211" t="n"/>
      <c r="H179" s="211" t="n"/>
      <c r="I179" s="212">
        <f>IF($C179="","",XLOOKUP($C179,'01_DANH_MUC'!$A$7:$A$206,'01_DANH_MUC'!$E$7:$E$206,0))</f>
        <v/>
      </c>
      <c r="J179" s="213">
        <f>IF(OR($A179="",$C179="",$G179&lt;=0),"",$A179+$I179)</f>
        <v/>
      </c>
      <c r="K179" s="210">
        <f>IF($A179="","",IF(OR($C179="",$G179&lt;=0,$A179&gt;'03_BAO_CAO'!$E$4),0,MAX(0,$G179-MAX(0,SUMIFS($H$7:$H$506,$C$7:$C$506,$C179,$A$7:$A$506,"&lt;="&amp;'03_BAO_CAO'!$E$4)-XLOOKUP($C179,'01_DANH_MUC'!$A$7:$A$206,'01_DANH_MUC'!$F$7:$F$206,0)-SUMIFS($G$7:G178,$C$7:C178,$C179,$A$7:A178,"&lt;="&amp;'03_BAO_CAO'!$E$4)))))</f>
        <v/>
      </c>
      <c r="L179" s="212">
        <f>IF($A179="","",IF(OR($K179&lt;=0,$J179=""),0,MAX(0,'03_BAO_CAO'!$E$4-$J179)))</f>
        <v/>
      </c>
      <c r="M179" s="51">
        <f>IF($A179="","",IF($K179&lt;=0,"Đã thanh toán",IF($J179="","Thiếu ngày đến hạn",IF($J179&gt;='03_BAO_CAO'!$E$4,"Chưa đến hạn",IF($L179&lt;=30,"1-30 ngày",IF($L179&lt;=60,"31-60 ngày",IF($L179&lt;=90,"61-90 ngày","Trên 90 ngày")))))))</f>
        <v/>
      </c>
      <c r="N179" s="51">
        <f>IF($A179="","",IF(OR($B179="",$C179=""),"THIẾU THÔNG TIN",IF(AND($G179&gt;0,$H179&gt;0),"KHÔNG NHẬP ĐỒNG THỜI TĂNG/GIẢM",IF(AND($G179&lt;=0,$H179&lt;=0),"CHƯA NHẬP SỐ TIỀN",IF($D179="KHÔNG TÌM THẤY","MÃ KHÔNG HỢP LỆ",IF(AND($G179&gt;0,$J179=""),"THIẾU NGÀY ĐẾN HẠN","OK"))))))</f>
        <v/>
      </c>
    </row>
    <row r="180">
      <c r="A180" s="209" t="n"/>
      <c r="B180" s="47" t="n"/>
      <c r="C180" s="47" t="n"/>
      <c r="D180" s="51">
        <f>IF($C180="","",XLOOKUP($C180,'01_DANH_MUC'!$A$7:$A$206,'01_DANH_MUC'!$B$7:$B$206,"KHÔNG TÌM THẤY"))</f>
        <v/>
      </c>
      <c r="E180" s="51">
        <f>IF($C180="","",XLOOKUP($C180,'01_DANH_MUC'!$A$7:$A$206,'01_DANH_MUC'!$C$7:$C$206,"KHÔNG TÌM THẤY"))</f>
        <v/>
      </c>
      <c r="F180" s="57" t="n"/>
      <c r="G180" s="211" t="n"/>
      <c r="H180" s="211" t="n"/>
      <c r="I180" s="212">
        <f>IF($C180="","",XLOOKUP($C180,'01_DANH_MUC'!$A$7:$A$206,'01_DANH_MUC'!$E$7:$E$206,0))</f>
        <v/>
      </c>
      <c r="J180" s="213">
        <f>IF(OR($A180="",$C180="",$G180&lt;=0),"",$A180+$I180)</f>
        <v/>
      </c>
      <c r="K180" s="210">
        <f>IF($A180="","",IF(OR($C180="",$G180&lt;=0,$A180&gt;'03_BAO_CAO'!$E$4),0,MAX(0,$G180-MAX(0,SUMIFS($H$7:$H$506,$C$7:$C$506,$C180,$A$7:$A$506,"&lt;="&amp;'03_BAO_CAO'!$E$4)-XLOOKUP($C180,'01_DANH_MUC'!$A$7:$A$206,'01_DANH_MUC'!$F$7:$F$206,0)-SUMIFS($G$7:G179,$C$7:C179,$C180,$A$7:A179,"&lt;="&amp;'03_BAO_CAO'!$E$4)))))</f>
        <v/>
      </c>
      <c r="L180" s="212">
        <f>IF($A180="","",IF(OR($K180&lt;=0,$J180=""),0,MAX(0,'03_BAO_CAO'!$E$4-$J180)))</f>
        <v/>
      </c>
      <c r="M180" s="51">
        <f>IF($A180="","",IF($K180&lt;=0,"Đã thanh toán",IF($J180="","Thiếu ngày đến hạn",IF($J180&gt;='03_BAO_CAO'!$E$4,"Chưa đến hạn",IF($L180&lt;=30,"1-30 ngày",IF($L180&lt;=60,"31-60 ngày",IF($L180&lt;=90,"61-90 ngày","Trên 90 ngày")))))))</f>
        <v/>
      </c>
      <c r="N180" s="51">
        <f>IF($A180="","",IF(OR($B180="",$C180=""),"THIẾU THÔNG TIN",IF(AND($G180&gt;0,$H180&gt;0),"KHÔNG NHẬP ĐỒNG THỜI TĂNG/GIẢM",IF(AND($G180&lt;=0,$H180&lt;=0),"CHƯA NHẬP SỐ TIỀN",IF($D180="KHÔNG TÌM THẤY","MÃ KHÔNG HỢP LỆ",IF(AND($G180&gt;0,$J180=""),"THIẾU NGÀY ĐẾN HẠN","OK"))))))</f>
        <v/>
      </c>
    </row>
    <row r="181">
      <c r="A181" s="209" t="n"/>
      <c r="B181" s="47" t="n"/>
      <c r="C181" s="47" t="n"/>
      <c r="D181" s="51">
        <f>IF($C181="","",XLOOKUP($C181,'01_DANH_MUC'!$A$7:$A$206,'01_DANH_MUC'!$B$7:$B$206,"KHÔNG TÌM THẤY"))</f>
        <v/>
      </c>
      <c r="E181" s="51">
        <f>IF($C181="","",XLOOKUP($C181,'01_DANH_MUC'!$A$7:$A$206,'01_DANH_MUC'!$C$7:$C$206,"KHÔNG TÌM THẤY"))</f>
        <v/>
      </c>
      <c r="F181" s="57" t="n"/>
      <c r="G181" s="211" t="n"/>
      <c r="H181" s="211" t="n"/>
      <c r="I181" s="212">
        <f>IF($C181="","",XLOOKUP($C181,'01_DANH_MUC'!$A$7:$A$206,'01_DANH_MUC'!$E$7:$E$206,0))</f>
        <v/>
      </c>
      <c r="J181" s="213">
        <f>IF(OR($A181="",$C181="",$G181&lt;=0),"",$A181+$I181)</f>
        <v/>
      </c>
      <c r="K181" s="210">
        <f>IF($A181="","",IF(OR($C181="",$G181&lt;=0,$A181&gt;'03_BAO_CAO'!$E$4),0,MAX(0,$G181-MAX(0,SUMIFS($H$7:$H$506,$C$7:$C$506,$C181,$A$7:$A$506,"&lt;="&amp;'03_BAO_CAO'!$E$4)-XLOOKUP($C181,'01_DANH_MUC'!$A$7:$A$206,'01_DANH_MUC'!$F$7:$F$206,0)-SUMIFS($G$7:G180,$C$7:C180,$C181,$A$7:A180,"&lt;="&amp;'03_BAO_CAO'!$E$4)))))</f>
        <v/>
      </c>
      <c r="L181" s="212">
        <f>IF($A181="","",IF(OR($K181&lt;=0,$J181=""),0,MAX(0,'03_BAO_CAO'!$E$4-$J181)))</f>
        <v/>
      </c>
      <c r="M181" s="51">
        <f>IF($A181="","",IF($K181&lt;=0,"Đã thanh toán",IF($J181="","Thiếu ngày đến hạn",IF($J181&gt;='03_BAO_CAO'!$E$4,"Chưa đến hạn",IF($L181&lt;=30,"1-30 ngày",IF($L181&lt;=60,"31-60 ngày",IF($L181&lt;=90,"61-90 ngày","Trên 90 ngày")))))))</f>
        <v/>
      </c>
      <c r="N181" s="51">
        <f>IF($A181="","",IF(OR($B181="",$C181=""),"THIẾU THÔNG TIN",IF(AND($G181&gt;0,$H181&gt;0),"KHÔNG NHẬP ĐỒNG THỜI TĂNG/GIẢM",IF(AND($G181&lt;=0,$H181&lt;=0),"CHƯA NHẬP SỐ TIỀN",IF($D181="KHÔNG TÌM THẤY","MÃ KHÔNG HỢP LỆ",IF(AND($G181&gt;0,$J181=""),"THIẾU NGÀY ĐẾN HẠN","OK"))))))</f>
        <v/>
      </c>
    </row>
    <row r="182">
      <c r="A182" s="209" t="n"/>
      <c r="B182" s="47" t="n"/>
      <c r="C182" s="47" t="n"/>
      <c r="D182" s="51">
        <f>IF($C182="","",XLOOKUP($C182,'01_DANH_MUC'!$A$7:$A$206,'01_DANH_MUC'!$B$7:$B$206,"KHÔNG TÌM THẤY"))</f>
        <v/>
      </c>
      <c r="E182" s="51">
        <f>IF($C182="","",XLOOKUP($C182,'01_DANH_MUC'!$A$7:$A$206,'01_DANH_MUC'!$C$7:$C$206,"KHÔNG TÌM THẤY"))</f>
        <v/>
      </c>
      <c r="F182" s="57" t="n"/>
      <c r="G182" s="211" t="n"/>
      <c r="H182" s="211" t="n"/>
      <c r="I182" s="212">
        <f>IF($C182="","",XLOOKUP($C182,'01_DANH_MUC'!$A$7:$A$206,'01_DANH_MUC'!$E$7:$E$206,0))</f>
        <v/>
      </c>
      <c r="J182" s="213">
        <f>IF(OR($A182="",$C182="",$G182&lt;=0),"",$A182+$I182)</f>
        <v/>
      </c>
      <c r="K182" s="210">
        <f>IF($A182="","",IF(OR($C182="",$G182&lt;=0,$A182&gt;'03_BAO_CAO'!$E$4),0,MAX(0,$G182-MAX(0,SUMIFS($H$7:$H$506,$C$7:$C$506,$C182,$A$7:$A$506,"&lt;="&amp;'03_BAO_CAO'!$E$4)-XLOOKUP($C182,'01_DANH_MUC'!$A$7:$A$206,'01_DANH_MUC'!$F$7:$F$206,0)-SUMIFS($G$7:G181,$C$7:C181,$C182,$A$7:A181,"&lt;="&amp;'03_BAO_CAO'!$E$4)))))</f>
        <v/>
      </c>
      <c r="L182" s="212">
        <f>IF($A182="","",IF(OR($K182&lt;=0,$J182=""),0,MAX(0,'03_BAO_CAO'!$E$4-$J182)))</f>
        <v/>
      </c>
      <c r="M182" s="51">
        <f>IF($A182="","",IF($K182&lt;=0,"Đã thanh toán",IF($J182="","Thiếu ngày đến hạn",IF($J182&gt;='03_BAO_CAO'!$E$4,"Chưa đến hạn",IF($L182&lt;=30,"1-30 ngày",IF($L182&lt;=60,"31-60 ngày",IF($L182&lt;=90,"61-90 ngày","Trên 90 ngày")))))))</f>
        <v/>
      </c>
      <c r="N182" s="51">
        <f>IF($A182="","",IF(OR($B182="",$C182=""),"THIẾU THÔNG TIN",IF(AND($G182&gt;0,$H182&gt;0),"KHÔNG NHẬP ĐỒNG THỜI TĂNG/GIẢM",IF(AND($G182&lt;=0,$H182&lt;=0),"CHƯA NHẬP SỐ TIỀN",IF($D182="KHÔNG TÌM THẤY","MÃ KHÔNG HỢP LỆ",IF(AND($G182&gt;0,$J182=""),"THIẾU NGÀY ĐẾN HẠN","OK"))))))</f>
        <v/>
      </c>
    </row>
    <row r="183">
      <c r="A183" s="209" t="n"/>
      <c r="B183" s="47" t="n"/>
      <c r="C183" s="47" t="n"/>
      <c r="D183" s="51">
        <f>IF($C183="","",XLOOKUP($C183,'01_DANH_MUC'!$A$7:$A$206,'01_DANH_MUC'!$B$7:$B$206,"KHÔNG TÌM THẤY"))</f>
        <v/>
      </c>
      <c r="E183" s="51">
        <f>IF($C183="","",XLOOKUP($C183,'01_DANH_MUC'!$A$7:$A$206,'01_DANH_MUC'!$C$7:$C$206,"KHÔNG TÌM THẤY"))</f>
        <v/>
      </c>
      <c r="F183" s="57" t="n"/>
      <c r="G183" s="211" t="n"/>
      <c r="H183" s="211" t="n"/>
      <c r="I183" s="212">
        <f>IF($C183="","",XLOOKUP($C183,'01_DANH_MUC'!$A$7:$A$206,'01_DANH_MUC'!$E$7:$E$206,0))</f>
        <v/>
      </c>
      <c r="J183" s="213">
        <f>IF(OR($A183="",$C183="",$G183&lt;=0),"",$A183+$I183)</f>
        <v/>
      </c>
      <c r="K183" s="210">
        <f>IF($A183="","",IF(OR($C183="",$G183&lt;=0,$A183&gt;'03_BAO_CAO'!$E$4),0,MAX(0,$G183-MAX(0,SUMIFS($H$7:$H$506,$C$7:$C$506,$C183,$A$7:$A$506,"&lt;="&amp;'03_BAO_CAO'!$E$4)-XLOOKUP($C183,'01_DANH_MUC'!$A$7:$A$206,'01_DANH_MUC'!$F$7:$F$206,0)-SUMIFS($G$7:G182,$C$7:C182,$C183,$A$7:A182,"&lt;="&amp;'03_BAO_CAO'!$E$4)))))</f>
        <v/>
      </c>
      <c r="L183" s="212">
        <f>IF($A183="","",IF(OR($K183&lt;=0,$J183=""),0,MAX(0,'03_BAO_CAO'!$E$4-$J183)))</f>
        <v/>
      </c>
      <c r="M183" s="51">
        <f>IF($A183="","",IF($K183&lt;=0,"Đã thanh toán",IF($J183="","Thiếu ngày đến hạn",IF($J183&gt;='03_BAO_CAO'!$E$4,"Chưa đến hạn",IF($L183&lt;=30,"1-30 ngày",IF($L183&lt;=60,"31-60 ngày",IF($L183&lt;=90,"61-90 ngày","Trên 90 ngày")))))))</f>
        <v/>
      </c>
      <c r="N183" s="51">
        <f>IF($A183="","",IF(OR($B183="",$C183=""),"THIẾU THÔNG TIN",IF(AND($G183&gt;0,$H183&gt;0),"KHÔNG NHẬP ĐỒNG THỜI TĂNG/GIẢM",IF(AND($G183&lt;=0,$H183&lt;=0),"CHƯA NHẬP SỐ TIỀN",IF($D183="KHÔNG TÌM THẤY","MÃ KHÔNG HỢP LỆ",IF(AND($G183&gt;0,$J183=""),"THIẾU NGÀY ĐẾN HẠN","OK"))))))</f>
        <v/>
      </c>
    </row>
    <row r="184">
      <c r="A184" s="209" t="n"/>
      <c r="B184" s="47" t="n"/>
      <c r="C184" s="47" t="n"/>
      <c r="D184" s="51">
        <f>IF($C184="","",XLOOKUP($C184,'01_DANH_MUC'!$A$7:$A$206,'01_DANH_MUC'!$B$7:$B$206,"KHÔNG TÌM THẤY"))</f>
        <v/>
      </c>
      <c r="E184" s="51">
        <f>IF($C184="","",XLOOKUP($C184,'01_DANH_MUC'!$A$7:$A$206,'01_DANH_MUC'!$C$7:$C$206,"KHÔNG TÌM THẤY"))</f>
        <v/>
      </c>
      <c r="F184" s="57" t="n"/>
      <c r="G184" s="211" t="n"/>
      <c r="H184" s="211" t="n"/>
      <c r="I184" s="212">
        <f>IF($C184="","",XLOOKUP($C184,'01_DANH_MUC'!$A$7:$A$206,'01_DANH_MUC'!$E$7:$E$206,0))</f>
        <v/>
      </c>
      <c r="J184" s="213">
        <f>IF(OR($A184="",$C184="",$G184&lt;=0),"",$A184+$I184)</f>
        <v/>
      </c>
      <c r="K184" s="210">
        <f>IF($A184="","",IF(OR($C184="",$G184&lt;=0,$A184&gt;'03_BAO_CAO'!$E$4),0,MAX(0,$G184-MAX(0,SUMIFS($H$7:$H$506,$C$7:$C$506,$C184,$A$7:$A$506,"&lt;="&amp;'03_BAO_CAO'!$E$4)-XLOOKUP($C184,'01_DANH_MUC'!$A$7:$A$206,'01_DANH_MUC'!$F$7:$F$206,0)-SUMIFS($G$7:G183,$C$7:C183,$C184,$A$7:A183,"&lt;="&amp;'03_BAO_CAO'!$E$4)))))</f>
        <v/>
      </c>
      <c r="L184" s="212">
        <f>IF($A184="","",IF(OR($K184&lt;=0,$J184=""),0,MAX(0,'03_BAO_CAO'!$E$4-$J184)))</f>
        <v/>
      </c>
      <c r="M184" s="51">
        <f>IF($A184="","",IF($K184&lt;=0,"Đã thanh toán",IF($J184="","Thiếu ngày đến hạn",IF($J184&gt;='03_BAO_CAO'!$E$4,"Chưa đến hạn",IF($L184&lt;=30,"1-30 ngày",IF($L184&lt;=60,"31-60 ngày",IF($L184&lt;=90,"61-90 ngày","Trên 90 ngày")))))))</f>
        <v/>
      </c>
      <c r="N184" s="51">
        <f>IF($A184="","",IF(OR($B184="",$C184=""),"THIẾU THÔNG TIN",IF(AND($G184&gt;0,$H184&gt;0),"KHÔNG NHẬP ĐỒNG THỜI TĂNG/GIẢM",IF(AND($G184&lt;=0,$H184&lt;=0),"CHƯA NHẬP SỐ TIỀN",IF($D184="KHÔNG TÌM THẤY","MÃ KHÔNG HỢP LỆ",IF(AND($G184&gt;0,$J184=""),"THIẾU NGÀY ĐẾN HẠN","OK"))))))</f>
        <v/>
      </c>
    </row>
    <row r="185">
      <c r="A185" s="209" t="n"/>
      <c r="B185" s="47" t="n"/>
      <c r="C185" s="47" t="n"/>
      <c r="D185" s="51">
        <f>IF($C185="","",XLOOKUP($C185,'01_DANH_MUC'!$A$7:$A$206,'01_DANH_MUC'!$B$7:$B$206,"KHÔNG TÌM THẤY"))</f>
        <v/>
      </c>
      <c r="E185" s="51">
        <f>IF($C185="","",XLOOKUP($C185,'01_DANH_MUC'!$A$7:$A$206,'01_DANH_MUC'!$C$7:$C$206,"KHÔNG TÌM THẤY"))</f>
        <v/>
      </c>
      <c r="F185" s="57" t="n"/>
      <c r="G185" s="211" t="n"/>
      <c r="H185" s="211" t="n"/>
      <c r="I185" s="212">
        <f>IF($C185="","",XLOOKUP($C185,'01_DANH_MUC'!$A$7:$A$206,'01_DANH_MUC'!$E$7:$E$206,0))</f>
        <v/>
      </c>
      <c r="J185" s="213">
        <f>IF(OR($A185="",$C185="",$G185&lt;=0),"",$A185+$I185)</f>
        <v/>
      </c>
      <c r="K185" s="210">
        <f>IF($A185="","",IF(OR($C185="",$G185&lt;=0,$A185&gt;'03_BAO_CAO'!$E$4),0,MAX(0,$G185-MAX(0,SUMIFS($H$7:$H$506,$C$7:$C$506,$C185,$A$7:$A$506,"&lt;="&amp;'03_BAO_CAO'!$E$4)-XLOOKUP($C185,'01_DANH_MUC'!$A$7:$A$206,'01_DANH_MUC'!$F$7:$F$206,0)-SUMIFS($G$7:G184,$C$7:C184,$C185,$A$7:A184,"&lt;="&amp;'03_BAO_CAO'!$E$4)))))</f>
        <v/>
      </c>
      <c r="L185" s="212">
        <f>IF($A185="","",IF(OR($K185&lt;=0,$J185=""),0,MAX(0,'03_BAO_CAO'!$E$4-$J185)))</f>
        <v/>
      </c>
      <c r="M185" s="51">
        <f>IF($A185="","",IF($K185&lt;=0,"Đã thanh toán",IF($J185="","Thiếu ngày đến hạn",IF($J185&gt;='03_BAO_CAO'!$E$4,"Chưa đến hạn",IF($L185&lt;=30,"1-30 ngày",IF($L185&lt;=60,"31-60 ngày",IF($L185&lt;=90,"61-90 ngày","Trên 90 ngày")))))))</f>
        <v/>
      </c>
      <c r="N185" s="51">
        <f>IF($A185="","",IF(OR($B185="",$C185=""),"THIẾU THÔNG TIN",IF(AND($G185&gt;0,$H185&gt;0),"KHÔNG NHẬP ĐỒNG THỜI TĂNG/GIẢM",IF(AND($G185&lt;=0,$H185&lt;=0),"CHƯA NHẬP SỐ TIỀN",IF($D185="KHÔNG TÌM THẤY","MÃ KHÔNG HỢP LỆ",IF(AND($G185&gt;0,$J185=""),"THIẾU NGÀY ĐẾN HẠN","OK"))))))</f>
        <v/>
      </c>
    </row>
    <row r="186">
      <c r="A186" s="209" t="n"/>
      <c r="B186" s="47" t="n"/>
      <c r="C186" s="47" t="n"/>
      <c r="D186" s="51">
        <f>IF($C186="","",XLOOKUP($C186,'01_DANH_MUC'!$A$7:$A$206,'01_DANH_MUC'!$B$7:$B$206,"KHÔNG TÌM THẤY"))</f>
        <v/>
      </c>
      <c r="E186" s="51">
        <f>IF($C186="","",XLOOKUP($C186,'01_DANH_MUC'!$A$7:$A$206,'01_DANH_MUC'!$C$7:$C$206,"KHÔNG TÌM THẤY"))</f>
        <v/>
      </c>
      <c r="F186" s="57" t="n"/>
      <c r="G186" s="211" t="n"/>
      <c r="H186" s="211" t="n"/>
      <c r="I186" s="212">
        <f>IF($C186="","",XLOOKUP($C186,'01_DANH_MUC'!$A$7:$A$206,'01_DANH_MUC'!$E$7:$E$206,0))</f>
        <v/>
      </c>
      <c r="J186" s="213">
        <f>IF(OR($A186="",$C186="",$G186&lt;=0),"",$A186+$I186)</f>
        <v/>
      </c>
      <c r="K186" s="210">
        <f>IF($A186="","",IF(OR($C186="",$G186&lt;=0,$A186&gt;'03_BAO_CAO'!$E$4),0,MAX(0,$G186-MAX(0,SUMIFS($H$7:$H$506,$C$7:$C$506,$C186,$A$7:$A$506,"&lt;="&amp;'03_BAO_CAO'!$E$4)-XLOOKUP($C186,'01_DANH_MUC'!$A$7:$A$206,'01_DANH_MUC'!$F$7:$F$206,0)-SUMIFS($G$7:G185,$C$7:C185,$C186,$A$7:A185,"&lt;="&amp;'03_BAO_CAO'!$E$4)))))</f>
        <v/>
      </c>
      <c r="L186" s="212">
        <f>IF($A186="","",IF(OR($K186&lt;=0,$J186=""),0,MAX(0,'03_BAO_CAO'!$E$4-$J186)))</f>
        <v/>
      </c>
      <c r="M186" s="51">
        <f>IF($A186="","",IF($K186&lt;=0,"Đã thanh toán",IF($J186="","Thiếu ngày đến hạn",IF($J186&gt;='03_BAO_CAO'!$E$4,"Chưa đến hạn",IF($L186&lt;=30,"1-30 ngày",IF($L186&lt;=60,"31-60 ngày",IF($L186&lt;=90,"61-90 ngày","Trên 90 ngày")))))))</f>
        <v/>
      </c>
      <c r="N186" s="51">
        <f>IF($A186="","",IF(OR($B186="",$C186=""),"THIẾU THÔNG TIN",IF(AND($G186&gt;0,$H186&gt;0),"KHÔNG NHẬP ĐỒNG THỜI TĂNG/GIẢM",IF(AND($G186&lt;=0,$H186&lt;=0),"CHƯA NHẬP SỐ TIỀN",IF($D186="KHÔNG TÌM THẤY","MÃ KHÔNG HỢP LỆ",IF(AND($G186&gt;0,$J186=""),"THIẾU NGÀY ĐẾN HẠN","OK"))))))</f>
        <v/>
      </c>
    </row>
    <row r="187">
      <c r="A187" s="209" t="n"/>
      <c r="B187" s="47" t="n"/>
      <c r="C187" s="47" t="n"/>
      <c r="D187" s="51">
        <f>IF($C187="","",XLOOKUP($C187,'01_DANH_MUC'!$A$7:$A$206,'01_DANH_MUC'!$B$7:$B$206,"KHÔNG TÌM THẤY"))</f>
        <v/>
      </c>
      <c r="E187" s="51">
        <f>IF($C187="","",XLOOKUP($C187,'01_DANH_MUC'!$A$7:$A$206,'01_DANH_MUC'!$C$7:$C$206,"KHÔNG TÌM THẤY"))</f>
        <v/>
      </c>
      <c r="F187" s="57" t="n"/>
      <c r="G187" s="211" t="n"/>
      <c r="H187" s="211" t="n"/>
      <c r="I187" s="212">
        <f>IF($C187="","",XLOOKUP($C187,'01_DANH_MUC'!$A$7:$A$206,'01_DANH_MUC'!$E$7:$E$206,0))</f>
        <v/>
      </c>
      <c r="J187" s="213">
        <f>IF(OR($A187="",$C187="",$G187&lt;=0),"",$A187+$I187)</f>
        <v/>
      </c>
      <c r="K187" s="210">
        <f>IF($A187="","",IF(OR($C187="",$G187&lt;=0,$A187&gt;'03_BAO_CAO'!$E$4),0,MAX(0,$G187-MAX(0,SUMIFS($H$7:$H$506,$C$7:$C$506,$C187,$A$7:$A$506,"&lt;="&amp;'03_BAO_CAO'!$E$4)-XLOOKUP($C187,'01_DANH_MUC'!$A$7:$A$206,'01_DANH_MUC'!$F$7:$F$206,0)-SUMIFS($G$7:G186,$C$7:C186,$C187,$A$7:A186,"&lt;="&amp;'03_BAO_CAO'!$E$4)))))</f>
        <v/>
      </c>
      <c r="L187" s="212">
        <f>IF($A187="","",IF(OR($K187&lt;=0,$J187=""),0,MAX(0,'03_BAO_CAO'!$E$4-$J187)))</f>
        <v/>
      </c>
      <c r="M187" s="51">
        <f>IF($A187="","",IF($K187&lt;=0,"Đã thanh toán",IF($J187="","Thiếu ngày đến hạn",IF($J187&gt;='03_BAO_CAO'!$E$4,"Chưa đến hạn",IF($L187&lt;=30,"1-30 ngày",IF($L187&lt;=60,"31-60 ngày",IF($L187&lt;=90,"61-90 ngày","Trên 90 ngày")))))))</f>
        <v/>
      </c>
      <c r="N187" s="51">
        <f>IF($A187="","",IF(OR($B187="",$C187=""),"THIẾU THÔNG TIN",IF(AND($G187&gt;0,$H187&gt;0),"KHÔNG NHẬP ĐỒNG THỜI TĂNG/GIẢM",IF(AND($G187&lt;=0,$H187&lt;=0),"CHƯA NHẬP SỐ TIỀN",IF($D187="KHÔNG TÌM THẤY","MÃ KHÔNG HỢP LỆ",IF(AND($G187&gt;0,$J187=""),"THIẾU NGÀY ĐẾN HẠN","OK"))))))</f>
        <v/>
      </c>
    </row>
    <row r="188">
      <c r="A188" s="209" t="n"/>
      <c r="B188" s="47" t="n"/>
      <c r="C188" s="47" t="n"/>
      <c r="D188" s="51">
        <f>IF($C188="","",XLOOKUP($C188,'01_DANH_MUC'!$A$7:$A$206,'01_DANH_MUC'!$B$7:$B$206,"KHÔNG TÌM THẤY"))</f>
        <v/>
      </c>
      <c r="E188" s="51">
        <f>IF($C188="","",XLOOKUP($C188,'01_DANH_MUC'!$A$7:$A$206,'01_DANH_MUC'!$C$7:$C$206,"KHÔNG TÌM THẤY"))</f>
        <v/>
      </c>
      <c r="F188" s="57" t="n"/>
      <c r="G188" s="211" t="n"/>
      <c r="H188" s="211" t="n"/>
      <c r="I188" s="212">
        <f>IF($C188="","",XLOOKUP($C188,'01_DANH_MUC'!$A$7:$A$206,'01_DANH_MUC'!$E$7:$E$206,0))</f>
        <v/>
      </c>
      <c r="J188" s="213">
        <f>IF(OR($A188="",$C188="",$G188&lt;=0),"",$A188+$I188)</f>
        <v/>
      </c>
      <c r="K188" s="210">
        <f>IF($A188="","",IF(OR($C188="",$G188&lt;=0,$A188&gt;'03_BAO_CAO'!$E$4),0,MAX(0,$G188-MAX(0,SUMIFS($H$7:$H$506,$C$7:$C$506,$C188,$A$7:$A$506,"&lt;="&amp;'03_BAO_CAO'!$E$4)-XLOOKUP($C188,'01_DANH_MUC'!$A$7:$A$206,'01_DANH_MUC'!$F$7:$F$206,0)-SUMIFS($G$7:G187,$C$7:C187,$C188,$A$7:A187,"&lt;="&amp;'03_BAO_CAO'!$E$4)))))</f>
        <v/>
      </c>
      <c r="L188" s="212">
        <f>IF($A188="","",IF(OR($K188&lt;=0,$J188=""),0,MAX(0,'03_BAO_CAO'!$E$4-$J188)))</f>
        <v/>
      </c>
      <c r="M188" s="51">
        <f>IF($A188="","",IF($K188&lt;=0,"Đã thanh toán",IF($J188="","Thiếu ngày đến hạn",IF($J188&gt;='03_BAO_CAO'!$E$4,"Chưa đến hạn",IF($L188&lt;=30,"1-30 ngày",IF($L188&lt;=60,"31-60 ngày",IF($L188&lt;=90,"61-90 ngày","Trên 90 ngày")))))))</f>
        <v/>
      </c>
      <c r="N188" s="51">
        <f>IF($A188="","",IF(OR($B188="",$C188=""),"THIẾU THÔNG TIN",IF(AND($G188&gt;0,$H188&gt;0),"KHÔNG NHẬP ĐỒNG THỜI TĂNG/GIẢM",IF(AND($G188&lt;=0,$H188&lt;=0),"CHƯA NHẬP SỐ TIỀN",IF($D188="KHÔNG TÌM THẤY","MÃ KHÔNG HỢP LỆ",IF(AND($G188&gt;0,$J188=""),"THIẾU NGÀY ĐẾN HẠN","OK"))))))</f>
        <v/>
      </c>
    </row>
    <row r="189">
      <c r="A189" s="209" t="n"/>
      <c r="B189" s="47" t="n"/>
      <c r="C189" s="47" t="n"/>
      <c r="D189" s="51">
        <f>IF($C189="","",XLOOKUP($C189,'01_DANH_MUC'!$A$7:$A$206,'01_DANH_MUC'!$B$7:$B$206,"KHÔNG TÌM THẤY"))</f>
        <v/>
      </c>
      <c r="E189" s="51">
        <f>IF($C189="","",XLOOKUP($C189,'01_DANH_MUC'!$A$7:$A$206,'01_DANH_MUC'!$C$7:$C$206,"KHÔNG TÌM THẤY"))</f>
        <v/>
      </c>
      <c r="F189" s="57" t="n"/>
      <c r="G189" s="211" t="n"/>
      <c r="H189" s="211" t="n"/>
      <c r="I189" s="212">
        <f>IF($C189="","",XLOOKUP($C189,'01_DANH_MUC'!$A$7:$A$206,'01_DANH_MUC'!$E$7:$E$206,0))</f>
        <v/>
      </c>
      <c r="J189" s="213">
        <f>IF(OR($A189="",$C189="",$G189&lt;=0),"",$A189+$I189)</f>
        <v/>
      </c>
      <c r="K189" s="210">
        <f>IF($A189="","",IF(OR($C189="",$G189&lt;=0,$A189&gt;'03_BAO_CAO'!$E$4),0,MAX(0,$G189-MAX(0,SUMIFS($H$7:$H$506,$C$7:$C$506,$C189,$A$7:$A$506,"&lt;="&amp;'03_BAO_CAO'!$E$4)-XLOOKUP($C189,'01_DANH_MUC'!$A$7:$A$206,'01_DANH_MUC'!$F$7:$F$206,0)-SUMIFS($G$7:G188,$C$7:C188,$C189,$A$7:A188,"&lt;="&amp;'03_BAO_CAO'!$E$4)))))</f>
        <v/>
      </c>
      <c r="L189" s="212">
        <f>IF($A189="","",IF(OR($K189&lt;=0,$J189=""),0,MAX(0,'03_BAO_CAO'!$E$4-$J189)))</f>
        <v/>
      </c>
      <c r="M189" s="51">
        <f>IF($A189="","",IF($K189&lt;=0,"Đã thanh toán",IF($J189="","Thiếu ngày đến hạn",IF($J189&gt;='03_BAO_CAO'!$E$4,"Chưa đến hạn",IF($L189&lt;=30,"1-30 ngày",IF($L189&lt;=60,"31-60 ngày",IF($L189&lt;=90,"61-90 ngày","Trên 90 ngày")))))))</f>
        <v/>
      </c>
      <c r="N189" s="51">
        <f>IF($A189="","",IF(OR($B189="",$C189=""),"THIẾU THÔNG TIN",IF(AND($G189&gt;0,$H189&gt;0),"KHÔNG NHẬP ĐỒNG THỜI TĂNG/GIẢM",IF(AND($G189&lt;=0,$H189&lt;=0),"CHƯA NHẬP SỐ TIỀN",IF($D189="KHÔNG TÌM THẤY","MÃ KHÔNG HỢP LỆ",IF(AND($G189&gt;0,$J189=""),"THIẾU NGÀY ĐẾN HẠN","OK"))))))</f>
        <v/>
      </c>
    </row>
    <row r="190">
      <c r="A190" s="209" t="n"/>
      <c r="B190" s="47" t="n"/>
      <c r="C190" s="47" t="n"/>
      <c r="D190" s="51">
        <f>IF($C190="","",XLOOKUP($C190,'01_DANH_MUC'!$A$7:$A$206,'01_DANH_MUC'!$B$7:$B$206,"KHÔNG TÌM THẤY"))</f>
        <v/>
      </c>
      <c r="E190" s="51">
        <f>IF($C190="","",XLOOKUP($C190,'01_DANH_MUC'!$A$7:$A$206,'01_DANH_MUC'!$C$7:$C$206,"KHÔNG TÌM THẤY"))</f>
        <v/>
      </c>
      <c r="F190" s="57" t="n"/>
      <c r="G190" s="211" t="n"/>
      <c r="H190" s="211" t="n"/>
      <c r="I190" s="212">
        <f>IF($C190="","",XLOOKUP($C190,'01_DANH_MUC'!$A$7:$A$206,'01_DANH_MUC'!$E$7:$E$206,0))</f>
        <v/>
      </c>
      <c r="J190" s="213">
        <f>IF(OR($A190="",$C190="",$G190&lt;=0),"",$A190+$I190)</f>
        <v/>
      </c>
      <c r="K190" s="210">
        <f>IF($A190="","",IF(OR($C190="",$G190&lt;=0,$A190&gt;'03_BAO_CAO'!$E$4),0,MAX(0,$G190-MAX(0,SUMIFS($H$7:$H$506,$C$7:$C$506,$C190,$A$7:$A$506,"&lt;="&amp;'03_BAO_CAO'!$E$4)-XLOOKUP($C190,'01_DANH_MUC'!$A$7:$A$206,'01_DANH_MUC'!$F$7:$F$206,0)-SUMIFS($G$7:G189,$C$7:C189,$C190,$A$7:A189,"&lt;="&amp;'03_BAO_CAO'!$E$4)))))</f>
        <v/>
      </c>
      <c r="L190" s="212">
        <f>IF($A190="","",IF(OR($K190&lt;=0,$J190=""),0,MAX(0,'03_BAO_CAO'!$E$4-$J190)))</f>
        <v/>
      </c>
      <c r="M190" s="51">
        <f>IF($A190="","",IF($K190&lt;=0,"Đã thanh toán",IF($J190="","Thiếu ngày đến hạn",IF($J190&gt;='03_BAO_CAO'!$E$4,"Chưa đến hạn",IF($L190&lt;=30,"1-30 ngày",IF($L190&lt;=60,"31-60 ngày",IF($L190&lt;=90,"61-90 ngày","Trên 90 ngày")))))))</f>
        <v/>
      </c>
      <c r="N190" s="51">
        <f>IF($A190="","",IF(OR($B190="",$C190=""),"THIẾU THÔNG TIN",IF(AND($G190&gt;0,$H190&gt;0),"KHÔNG NHẬP ĐỒNG THỜI TĂNG/GIẢM",IF(AND($G190&lt;=0,$H190&lt;=0),"CHƯA NHẬP SỐ TIỀN",IF($D190="KHÔNG TÌM THẤY","MÃ KHÔNG HỢP LỆ",IF(AND($G190&gt;0,$J190=""),"THIẾU NGÀY ĐẾN HẠN","OK"))))))</f>
        <v/>
      </c>
    </row>
    <row r="191">
      <c r="A191" s="209" t="n"/>
      <c r="B191" s="47" t="n"/>
      <c r="C191" s="47" t="n"/>
      <c r="D191" s="51">
        <f>IF($C191="","",XLOOKUP($C191,'01_DANH_MUC'!$A$7:$A$206,'01_DANH_MUC'!$B$7:$B$206,"KHÔNG TÌM THẤY"))</f>
        <v/>
      </c>
      <c r="E191" s="51">
        <f>IF($C191="","",XLOOKUP($C191,'01_DANH_MUC'!$A$7:$A$206,'01_DANH_MUC'!$C$7:$C$206,"KHÔNG TÌM THẤY"))</f>
        <v/>
      </c>
      <c r="F191" s="57" t="n"/>
      <c r="G191" s="211" t="n"/>
      <c r="H191" s="211" t="n"/>
      <c r="I191" s="212">
        <f>IF($C191="","",XLOOKUP($C191,'01_DANH_MUC'!$A$7:$A$206,'01_DANH_MUC'!$E$7:$E$206,0))</f>
        <v/>
      </c>
      <c r="J191" s="213">
        <f>IF(OR($A191="",$C191="",$G191&lt;=0),"",$A191+$I191)</f>
        <v/>
      </c>
      <c r="K191" s="210">
        <f>IF($A191="","",IF(OR($C191="",$G191&lt;=0,$A191&gt;'03_BAO_CAO'!$E$4),0,MAX(0,$G191-MAX(0,SUMIFS($H$7:$H$506,$C$7:$C$506,$C191,$A$7:$A$506,"&lt;="&amp;'03_BAO_CAO'!$E$4)-XLOOKUP($C191,'01_DANH_MUC'!$A$7:$A$206,'01_DANH_MUC'!$F$7:$F$206,0)-SUMIFS($G$7:G190,$C$7:C190,$C191,$A$7:A190,"&lt;="&amp;'03_BAO_CAO'!$E$4)))))</f>
        <v/>
      </c>
      <c r="L191" s="212">
        <f>IF($A191="","",IF(OR($K191&lt;=0,$J191=""),0,MAX(0,'03_BAO_CAO'!$E$4-$J191)))</f>
        <v/>
      </c>
      <c r="M191" s="51">
        <f>IF($A191="","",IF($K191&lt;=0,"Đã thanh toán",IF($J191="","Thiếu ngày đến hạn",IF($J191&gt;='03_BAO_CAO'!$E$4,"Chưa đến hạn",IF($L191&lt;=30,"1-30 ngày",IF($L191&lt;=60,"31-60 ngày",IF($L191&lt;=90,"61-90 ngày","Trên 90 ngày")))))))</f>
        <v/>
      </c>
      <c r="N191" s="51">
        <f>IF($A191="","",IF(OR($B191="",$C191=""),"THIẾU THÔNG TIN",IF(AND($G191&gt;0,$H191&gt;0),"KHÔNG NHẬP ĐỒNG THỜI TĂNG/GIẢM",IF(AND($G191&lt;=0,$H191&lt;=0),"CHƯA NHẬP SỐ TIỀN",IF($D191="KHÔNG TÌM THẤY","MÃ KHÔNG HỢP LỆ",IF(AND($G191&gt;0,$J191=""),"THIẾU NGÀY ĐẾN HẠN","OK"))))))</f>
        <v/>
      </c>
    </row>
    <row r="192">
      <c r="A192" s="209" t="n"/>
      <c r="B192" s="47" t="n"/>
      <c r="C192" s="47" t="n"/>
      <c r="D192" s="51">
        <f>IF($C192="","",XLOOKUP($C192,'01_DANH_MUC'!$A$7:$A$206,'01_DANH_MUC'!$B$7:$B$206,"KHÔNG TÌM THẤY"))</f>
        <v/>
      </c>
      <c r="E192" s="51">
        <f>IF($C192="","",XLOOKUP($C192,'01_DANH_MUC'!$A$7:$A$206,'01_DANH_MUC'!$C$7:$C$206,"KHÔNG TÌM THẤY"))</f>
        <v/>
      </c>
      <c r="F192" s="57" t="n"/>
      <c r="G192" s="211" t="n"/>
      <c r="H192" s="211" t="n"/>
      <c r="I192" s="212">
        <f>IF($C192="","",XLOOKUP($C192,'01_DANH_MUC'!$A$7:$A$206,'01_DANH_MUC'!$E$7:$E$206,0))</f>
        <v/>
      </c>
      <c r="J192" s="213">
        <f>IF(OR($A192="",$C192="",$G192&lt;=0),"",$A192+$I192)</f>
        <v/>
      </c>
      <c r="K192" s="210">
        <f>IF($A192="","",IF(OR($C192="",$G192&lt;=0,$A192&gt;'03_BAO_CAO'!$E$4),0,MAX(0,$G192-MAX(0,SUMIFS($H$7:$H$506,$C$7:$C$506,$C192,$A$7:$A$506,"&lt;="&amp;'03_BAO_CAO'!$E$4)-XLOOKUP($C192,'01_DANH_MUC'!$A$7:$A$206,'01_DANH_MUC'!$F$7:$F$206,0)-SUMIFS($G$7:G191,$C$7:C191,$C192,$A$7:A191,"&lt;="&amp;'03_BAO_CAO'!$E$4)))))</f>
        <v/>
      </c>
      <c r="L192" s="212">
        <f>IF($A192="","",IF(OR($K192&lt;=0,$J192=""),0,MAX(0,'03_BAO_CAO'!$E$4-$J192)))</f>
        <v/>
      </c>
      <c r="M192" s="51">
        <f>IF($A192="","",IF($K192&lt;=0,"Đã thanh toán",IF($J192="","Thiếu ngày đến hạn",IF($J192&gt;='03_BAO_CAO'!$E$4,"Chưa đến hạn",IF($L192&lt;=30,"1-30 ngày",IF($L192&lt;=60,"31-60 ngày",IF($L192&lt;=90,"61-90 ngày","Trên 90 ngày")))))))</f>
        <v/>
      </c>
      <c r="N192" s="51">
        <f>IF($A192="","",IF(OR($B192="",$C192=""),"THIẾU THÔNG TIN",IF(AND($G192&gt;0,$H192&gt;0),"KHÔNG NHẬP ĐỒNG THỜI TĂNG/GIẢM",IF(AND($G192&lt;=0,$H192&lt;=0),"CHƯA NHẬP SỐ TIỀN",IF($D192="KHÔNG TÌM THẤY","MÃ KHÔNG HỢP LỆ",IF(AND($G192&gt;0,$J192=""),"THIẾU NGÀY ĐẾN HẠN","OK"))))))</f>
        <v/>
      </c>
    </row>
    <row r="193">
      <c r="A193" s="209" t="n"/>
      <c r="B193" s="47" t="n"/>
      <c r="C193" s="47" t="n"/>
      <c r="D193" s="51">
        <f>IF($C193="","",XLOOKUP($C193,'01_DANH_MUC'!$A$7:$A$206,'01_DANH_MUC'!$B$7:$B$206,"KHÔNG TÌM THẤY"))</f>
        <v/>
      </c>
      <c r="E193" s="51">
        <f>IF($C193="","",XLOOKUP($C193,'01_DANH_MUC'!$A$7:$A$206,'01_DANH_MUC'!$C$7:$C$206,"KHÔNG TÌM THẤY"))</f>
        <v/>
      </c>
      <c r="F193" s="57" t="n"/>
      <c r="G193" s="211" t="n"/>
      <c r="H193" s="211" t="n"/>
      <c r="I193" s="212">
        <f>IF($C193="","",XLOOKUP($C193,'01_DANH_MUC'!$A$7:$A$206,'01_DANH_MUC'!$E$7:$E$206,0))</f>
        <v/>
      </c>
      <c r="J193" s="213">
        <f>IF(OR($A193="",$C193="",$G193&lt;=0),"",$A193+$I193)</f>
        <v/>
      </c>
      <c r="K193" s="210">
        <f>IF($A193="","",IF(OR($C193="",$G193&lt;=0,$A193&gt;'03_BAO_CAO'!$E$4),0,MAX(0,$G193-MAX(0,SUMIFS($H$7:$H$506,$C$7:$C$506,$C193,$A$7:$A$506,"&lt;="&amp;'03_BAO_CAO'!$E$4)-XLOOKUP($C193,'01_DANH_MUC'!$A$7:$A$206,'01_DANH_MUC'!$F$7:$F$206,0)-SUMIFS($G$7:G192,$C$7:C192,$C193,$A$7:A192,"&lt;="&amp;'03_BAO_CAO'!$E$4)))))</f>
        <v/>
      </c>
      <c r="L193" s="212">
        <f>IF($A193="","",IF(OR($K193&lt;=0,$J193=""),0,MAX(0,'03_BAO_CAO'!$E$4-$J193)))</f>
        <v/>
      </c>
      <c r="M193" s="51">
        <f>IF($A193="","",IF($K193&lt;=0,"Đã thanh toán",IF($J193="","Thiếu ngày đến hạn",IF($J193&gt;='03_BAO_CAO'!$E$4,"Chưa đến hạn",IF($L193&lt;=30,"1-30 ngày",IF($L193&lt;=60,"31-60 ngày",IF($L193&lt;=90,"61-90 ngày","Trên 90 ngày")))))))</f>
        <v/>
      </c>
      <c r="N193" s="51">
        <f>IF($A193="","",IF(OR($B193="",$C193=""),"THIẾU THÔNG TIN",IF(AND($G193&gt;0,$H193&gt;0),"KHÔNG NHẬP ĐỒNG THỜI TĂNG/GIẢM",IF(AND($G193&lt;=0,$H193&lt;=0),"CHƯA NHẬP SỐ TIỀN",IF($D193="KHÔNG TÌM THẤY","MÃ KHÔNG HỢP LỆ",IF(AND($G193&gt;0,$J193=""),"THIẾU NGÀY ĐẾN HẠN","OK"))))))</f>
        <v/>
      </c>
    </row>
    <row r="194">
      <c r="A194" s="209" t="n"/>
      <c r="B194" s="47" t="n"/>
      <c r="C194" s="47" t="n"/>
      <c r="D194" s="51">
        <f>IF($C194="","",XLOOKUP($C194,'01_DANH_MUC'!$A$7:$A$206,'01_DANH_MUC'!$B$7:$B$206,"KHÔNG TÌM THẤY"))</f>
        <v/>
      </c>
      <c r="E194" s="51">
        <f>IF($C194="","",XLOOKUP($C194,'01_DANH_MUC'!$A$7:$A$206,'01_DANH_MUC'!$C$7:$C$206,"KHÔNG TÌM THẤY"))</f>
        <v/>
      </c>
      <c r="F194" s="57" t="n"/>
      <c r="G194" s="211" t="n"/>
      <c r="H194" s="211" t="n"/>
      <c r="I194" s="212">
        <f>IF($C194="","",XLOOKUP($C194,'01_DANH_MUC'!$A$7:$A$206,'01_DANH_MUC'!$E$7:$E$206,0))</f>
        <v/>
      </c>
      <c r="J194" s="213">
        <f>IF(OR($A194="",$C194="",$G194&lt;=0),"",$A194+$I194)</f>
        <v/>
      </c>
      <c r="K194" s="210">
        <f>IF($A194="","",IF(OR($C194="",$G194&lt;=0,$A194&gt;'03_BAO_CAO'!$E$4),0,MAX(0,$G194-MAX(0,SUMIFS($H$7:$H$506,$C$7:$C$506,$C194,$A$7:$A$506,"&lt;="&amp;'03_BAO_CAO'!$E$4)-XLOOKUP($C194,'01_DANH_MUC'!$A$7:$A$206,'01_DANH_MUC'!$F$7:$F$206,0)-SUMIFS($G$7:G193,$C$7:C193,$C194,$A$7:A193,"&lt;="&amp;'03_BAO_CAO'!$E$4)))))</f>
        <v/>
      </c>
      <c r="L194" s="212">
        <f>IF($A194="","",IF(OR($K194&lt;=0,$J194=""),0,MAX(0,'03_BAO_CAO'!$E$4-$J194)))</f>
        <v/>
      </c>
      <c r="M194" s="51">
        <f>IF($A194="","",IF($K194&lt;=0,"Đã thanh toán",IF($J194="","Thiếu ngày đến hạn",IF($J194&gt;='03_BAO_CAO'!$E$4,"Chưa đến hạn",IF($L194&lt;=30,"1-30 ngày",IF($L194&lt;=60,"31-60 ngày",IF($L194&lt;=90,"61-90 ngày","Trên 90 ngày")))))))</f>
        <v/>
      </c>
      <c r="N194" s="51">
        <f>IF($A194="","",IF(OR($B194="",$C194=""),"THIẾU THÔNG TIN",IF(AND($G194&gt;0,$H194&gt;0),"KHÔNG NHẬP ĐỒNG THỜI TĂNG/GIẢM",IF(AND($G194&lt;=0,$H194&lt;=0),"CHƯA NHẬP SỐ TIỀN",IF($D194="KHÔNG TÌM THẤY","MÃ KHÔNG HỢP LỆ",IF(AND($G194&gt;0,$J194=""),"THIẾU NGÀY ĐẾN HẠN","OK"))))))</f>
        <v/>
      </c>
    </row>
    <row r="195">
      <c r="A195" s="209" t="n"/>
      <c r="B195" s="47" t="n"/>
      <c r="C195" s="47" t="n"/>
      <c r="D195" s="51">
        <f>IF($C195="","",XLOOKUP($C195,'01_DANH_MUC'!$A$7:$A$206,'01_DANH_MUC'!$B$7:$B$206,"KHÔNG TÌM THẤY"))</f>
        <v/>
      </c>
      <c r="E195" s="51">
        <f>IF($C195="","",XLOOKUP($C195,'01_DANH_MUC'!$A$7:$A$206,'01_DANH_MUC'!$C$7:$C$206,"KHÔNG TÌM THẤY"))</f>
        <v/>
      </c>
      <c r="F195" s="57" t="n"/>
      <c r="G195" s="211" t="n"/>
      <c r="H195" s="211" t="n"/>
      <c r="I195" s="212">
        <f>IF($C195="","",XLOOKUP($C195,'01_DANH_MUC'!$A$7:$A$206,'01_DANH_MUC'!$E$7:$E$206,0))</f>
        <v/>
      </c>
      <c r="J195" s="213">
        <f>IF(OR($A195="",$C195="",$G195&lt;=0),"",$A195+$I195)</f>
        <v/>
      </c>
      <c r="K195" s="210">
        <f>IF($A195="","",IF(OR($C195="",$G195&lt;=0,$A195&gt;'03_BAO_CAO'!$E$4),0,MAX(0,$G195-MAX(0,SUMIFS($H$7:$H$506,$C$7:$C$506,$C195,$A$7:$A$506,"&lt;="&amp;'03_BAO_CAO'!$E$4)-XLOOKUP($C195,'01_DANH_MUC'!$A$7:$A$206,'01_DANH_MUC'!$F$7:$F$206,0)-SUMIFS($G$7:G194,$C$7:C194,$C195,$A$7:A194,"&lt;="&amp;'03_BAO_CAO'!$E$4)))))</f>
        <v/>
      </c>
      <c r="L195" s="212">
        <f>IF($A195="","",IF(OR($K195&lt;=0,$J195=""),0,MAX(0,'03_BAO_CAO'!$E$4-$J195)))</f>
        <v/>
      </c>
      <c r="M195" s="51">
        <f>IF($A195="","",IF($K195&lt;=0,"Đã thanh toán",IF($J195="","Thiếu ngày đến hạn",IF($J195&gt;='03_BAO_CAO'!$E$4,"Chưa đến hạn",IF($L195&lt;=30,"1-30 ngày",IF($L195&lt;=60,"31-60 ngày",IF($L195&lt;=90,"61-90 ngày","Trên 90 ngày")))))))</f>
        <v/>
      </c>
      <c r="N195" s="51">
        <f>IF($A195="","",IF(OR($B195="",$C195=""),"THIẾU THÔNG TIN",IF(AND($G195&gt;0,$H195&gt;0),"KHÔNG NHẬP ĐỒNG THỜI TĂNG/GIẢM",IF(AND($G195&lt;=0,$H195&lt;=0),"CHƯA NHẬP SỐ TIỀN",IF($D195="KHÔNG TÌM THẤY","MÃ KHÔNG HỢP LỆ",IF(AND($G195&gt;0,$J195=""),"THIẾU NGÀY ĐẾN HẠN","OK"))))))</f>
        <v/>
      </c>
    </row>
    <row r="196">
      <c r="A196" s="209" t="n"/>
      <c r="B196" s="47" t="n"/>
      <c r="C196" s="47" t="n"/>
      <c r="D196" s="51">
        <f>IF($C196="","",XLOOKUP($C196,'01_DANH_MUC'!$A$7:$A$206,'01_DANH_MUC'!$B$7:$B$206,"KHÔNG TÌM THẤY"))</f>
        <v/>
      </c>
      <c r="E196" s="51">
        <f>IF($C196="","",XLOOKUP($C196,'01_DANH_MUC'!$A$7:$A$206,'01_DANH_MUC'!$C$7:$C$206,"KHÔNG TÌM THẤY"))</f>
        <v/>
      </c>
      <c r="F196" s="57" t="n"/>
      <c r="G196" s="211" t="n"/>
      <c r="H196" s="211" t="n"/>
      <c r="I196" s="212">
        <f>IF($C196="","",XLOOKUP($C196,'01_DANH_MUC'!$A$7:$A$206,'01_DANH_MUC'!$E$7:$E$206,0))</f>
        <v/>
      </c>
      <c r="J196" s="213">
        <f>IF(OR($A196="",$C196="",$G196&lt;=0),"",$A196+$I196)</f>
        <v/>
      </c>
      <c r="K196" s="210">
        <f>IF($A196="","",IF(OR($C196="",$G196&lt;=0,$A196&gt;'03_BAO_CAO'!$E$4),0,MAX(0,$G196-MAX(0,SUMIFS($H$7:$H$506,$C$7:$C$506,$C196,$A$7:$A$506,"&lt;="&amp;'03_BAO_CAO'!$E$4)-XLOOKUP($C196,'01_DANH_MUC'!$A$7:$A$206,'01_DANH_MUC'!$F$7:$F$206,0)-SUMIFS($G$7:G195,$C$7:C195,$C196,$A$7:A195,"&lt;="&amp;'03_BAO_CAO'!$E$4)))))</f>
        <v/>
      </c>
      <c r="L196" s="212">
        <f>IF($A196="","",IF(OR($K196&lt;=0,$J196=""),0,MAX(0,'03_BAO_CAO'!$E$4-$J196)))</f>
        <v/>
      </c>
      <c r="M196" s="51">
        <f>IF($A196="","",IF($K196&lt;=0,"Đã thanh toán",IF($J196="","Thiếu ngày đến hạn",IF($J196&gt;='03_BAO_CAO'!$E$4,"Chưa đến hạn",IF($L196&lt;=30,"1-30 ngày",IF($L196&lt;=60,"31-60 ngày",IF($L196&lt;=90,"61-90 ngày","Trên 90 ngày")))))))</f>
        <v/>
      </c>
      <c r="N196" s="51">
        <f>IF($A196="","",IF(OR($B196="",$C196=""),"THIẾU THÔNG TIN",IF(AND($G196&gt;0,$H196&gt;0),"KHÔNG NHẬP ĐỒNG THỜI TĂNG/GIẢM",IF(AND($G196&lt;=0,$H196&lt;=0),"CHƯA NHẬP SỐ TIỀN",IF($D196="KHÔNG TÌM THẤY","MÃ KHÔNG HỢP LỆ",IF(AND($G196&gt;0,$J196=""),"THIẾU NGÀY ĐẾN HẠN","OK"))))))</f>
        <v/>
      </c>
    </row>
    <row r="197">
      <c r="A197" s="209" t="n"/>
      <c r="B197" s="47" t="n"/>
      <c r="C197" s="47" t="n"/>
      <c r="D197" s="51">
        <f>IF($C197="","",XLOOKUP($C197,'01_DANH_MUC'!$A$7:$A$206,'01_DANH_MUC'!$B$7:$B$206,"KHÔNG TÌM THẤY"))</f>
        <v/>
      </c>
      <c r="E197" s="51">
        <f>IF($C197="","",XLOOKUP($C197,'01_DANH_MUC'!$A$7:$A$206,'01_DANH_MUC'!$C$7:$C$206,"KHÔNG TÌM THẤY"))</f>
        <v/>
      </c>
      <c r="F197" s="57" t="n"/>
      <c r="G197" s="211" t="n"/>
      <c r="H197" s="211" t="n"/>
      <c r="I197" s="212">
        <f>IF($C197="","",XLOOKUP($C197,'01_DANH_MUC'!$A$7:$A$206,'01_DANH_MUC'!$E$7:$E$206,0))</f>
        <v/>
      </c>
      <c r="J197" s="213">
        <f>IF(OR($A197="",$C197="",$G197&lt;=0),"",$A197+$I197)</f>
        <v/>
      </c>
      <c r="K197" s="210">
        <f>IF($A197="","",IF(OR($C197="",$G197&lt;=0,$A197&gt;'03_BAO_CAO'!$E$4),0,MAX(0,$G197-MAX(0,SUMIFS($H$7:$H$506,$C$7:$C$506,$C197,$A$7:$A$506,"&lt;="&amp;'03_BAO_CAO'!$E$4)-XLOOKUP($C197,'01_DANH_MUC'!$A$7:$A$206,'01_DANH_MUC'!$F$7:$F$206,0)-SUMIFS($G$7:G196,$C$7:C196,$C197,$A$7:A196,"&lt;="&amp;'03_BAO_CAO'!$E$4)))))</f>
        <v/>
      </c>
      <c r="L197" s="212">
        <f>IF($A197="","",IF(OR($K197&lt;=0,$J197=""),0,MAX(0,'03_BAO_CAO'!$E$4-$J197)))</f>
        <v/>
      </c>
      <c r="M197" s="51">
        <f>IF($A197="","",IF($K197&lt;=0,"Đã thanh toán",IF($J197="","Thiếu ngày đến hạn",IF($J197&gt;='03_BAO_CAO'!$E$4,"Chưa đến hạn",IF($L197&lt;=30,"1-30 ngày",IF($L197&lt;=60,"31-60 ngày",IF($L197&lt;=90,"61-90 ngày","Trên 90 ngày")))))))</f>
        <v/>
      </c>
      <c r="N197" s="51">
        <f>IF($A197="","",IF(OR($B197="",$C197=""),"THIẾU THÔNG TIN",IF(AND($G197&gt;0,$H197&gt;0),"KHÔNG NHẬP ĐỒNG THỜI TĂNG/GIẢM",IF(AND($G197&lt;=0,$H197&lt;=0),"CHƯA NHẬP SỐ TIỀN",IF($D197="KHÔNG TÌM THẤY","MÃ KHÔNG HỢP LỆ",IF(AND($G197&gt;0,$J197=""),"THIẾU NGÀY ĐẾN HẠN","OK"))))))</f>
        <v/>
      </c>
    </row>
    <row r="198">
      <c r="A198" s="209" t="n"/>
      <c r="B198" s="47" t="n"/>
      <c r="C198" s="47" t="n"/>
      <c r="D198" s="51">
        <f>IF($C198="","",XLOOKUP($C198,'01_DANH_MUC'!$A$7:$A$206,'01_DANH_MUC'!$B$7:$B$206,"KHÔNG TÌM THẤY"))</f>
        <v/>
      </c>
      <c r="E198" s="51">
        <f>IF($C198="","",XLOOKUP($C198,'01_DANH_MUC'!$A$7:$A$206,'01_DANH_MUC'!$C$7:$C$206,"KHÔNG TÌM THẤY"))</f>
        <v/>
      </c>
      <c r="F198" s="57" t="n"/>
      <c r="G198" s="211" t="n"/>
      <c r="H198" s="211" t="n"/>
      <c r="I198" s="212">
        <f>IF($C198="","",XLOOKUP($C198,'01_DANH_MUC'!$A$7:$A$206,'01_DANH_MUC'!$E$7:$E$206,0))</f>
        <v/>
      </c>
      <c r="J198" s="213">
        <f>IF(OR($A198="",$C198="",$G198&lt;=0),"",$A198+$I198)</f>
        <v/>
      </c>
      <c r="K198" s="210">
        <f>IF($A198="","",IF(OR($C198="",$G198&lt;=0,$A198&gt;'03_BAO_CAO'!$E$4),0,MAX(0,$G198-MAX(0,SUMIFS($H$7:$H$506,$C$7:$C$506,$C198,$A$7:$A$506,"&lt;="&amp;'03_BAO_CAO'!$E$4)-XLOOKUP($C198,'01_DANH_MUC'!$A$7:$A$206,'01_DANH_MUC'!$F$7:$F$206,0)-SUMIFS($G$7:G197,$C$7:C197,$C198,$A$7:A197,"&lt;="&amp;'03_BAO_CAO'!$E$4)))))</f>
        <v/>
      </c>
      <c r="L198" s="212">
        <f>IF($A198="","",IF(OR($K198&lt;=0,$J198=""),0,MAX(0,'03_BAO_CAO'!$E$4-$J198)))</f>
        <v/>
      </c>
      <c r="M198" s="51">
        <f>IF($A198="","",IF($K198&lt;=0,"Đã thanh toán",IF($J198="","Thiếu ngày đến hạn",IF($J198&gt;='03_BAO_CAO'!$E$4,"Chưa đến hạn",IF($L198&lt;=30,"1-30 ngày",IF($L198&lt;=60,"31-60 ngày",IF($L198&lt;=90,"61-90 ngày","Trên 90 ngày")))))))</f>
        <v/>
      </c>
      <c r="N198" s="51">
        <f>IF($A198="","",IF(OR($B198="",$C198=""),"THIẾU THÔNG TIN",IF(AND($G198&gt;0,$H198&gt;0),"KHÔNG NHẬP ĐỒNG THỜI TĂNG/GIẢM",IF(AND($G198&lt;=0,$H198&lt;=0),"CHƯA NHẬP SỐ TIỀN",IF($D198="KHÔNG TÌM THẤY","MÃ KHÔNG HỢP LỆ",IF(AND($G198&gt;0,$J198=""),"THIẾU NGÀY ĐẾN HẠN","OK"))))))</f>
        <v/>
      </c>
    </row>
    <row r="199">
      <c r="A199" s="209" t="n"/>
      <c r="B199" s="47" t="n"/>
      <c r="C199" s="47" t="n"/>
      <c r="D199" s="51">
        <f>IF($C199="","",XLOOKUP($C199,'01_DANH_MUC'!$A$7:$A$206,'01_DANH_MUC'!$B$7:$B$206,"KHÔNG TÌM THẤY"))</f>
        <v/>
      </c>
      <c r="E199" s="51">
        <f>IF($C199="","",XLOOKUP($C199,'01_DANH_MUC'!$A$7:$A$206,'01_DANH_MUC'!$C$7:$C$206,"KHÔNG TÌM THẤY"))</f>
        <v/>
      </c>
      <c r="F199" s="57" t="n"/>
      <c r="G199" s="211" t="n"/>
      <c r="H199" s="211" t="n"/>
      <c r="I199" s="212">
        <f>IF($C199="","",XLOOKUP($C199,'01_DANH_MUC'!$A$7:$A$206,'01_DANH_MUC'!$E$7:$E$206,0))</f>
        <v/>
      </c>
      <c r="J199" s="213">
        <f>IF(OR($A199="",$C199="",$G199&lt;=0),"",$A199+$I199)</f>
        <v/>
      </c>
      <c r="K199" s="210">
        <f>IF($A199="","",IF(OR($C199="",$G199&lt;=0,$A199&gt;'03_BAO_CAO'!$E$4),0,MAX(0,$G199-MAX(0,SUMIFS($H$7:$H$506,$C$7:$C$506,$C199,$A$7:$A$506,"&lt;="&amp;'03_BAO_CAO'!$E$4)-XLOOKUP($C199,'01_DANH_MUC'!$A$7:$A$206,'01_DANH_MUC'!$F$7:$F$206,0)-SUMIFS($G$7:G198,$C$7:C198,$C199,$A$7:A198,"&lt;="&amp;'03_BAO_CAO'!$E$4)))))</f>
        <v/>
      </c>
      <c r="L199" s="212">
        <f>IF($A199="","",IF(OR($K199&lt;=0,$J199=""),0,MAX(0,'03_BAO_CAO'!$E$4-$J199)))</f>
        <v/>
      </c>
      <c r="M199" s="51">
        <f>IF($A199="","",IF($K199&lt;=0,"Đã thanh toán",IF($J199="","Thiếu ngày đến hạn",IF($J199&gt;='03_BAO_CAO'!$E$4,"Chưa đến hạn",IF($L199&lt;=30,"1-30 ngày",IF($L199&lt;=60,"31-60 ngày",IF($L199&lt;=90,"61-90 ngày","Trên 90 ngày")))))))</f>
        <v/>
      </c>
      <c r="N199" s="51">
        <f>IF($A199="","",IF(OR($B199="",$C199=""),"THIẾU THÔNG TIN",IF(AND($G199&gt;0,$H199&gt;0),"KHÔNG NHẬP ĐỒNG THỜI TĂNG/GIẢM",IF(AND($G199&lt;=0,$H199&lt;=0),"CHƯA NHẬP SỐ TIỀN",IF($D199="KHÔNG TÌM THẤY","MÃ KHÔNG HỢP LỆ",IF(AND($G199&gt;0,$J199=""),"THIẾU NGÀY ĐẾN HẠN","OK"))))))</f>
        <v/>
      </c>
    </row>
    <row r="200">
      <c r="A200" s="209" t="n"/>
      <c r="B200" s="47" t="n"/>
      <c r="C200" s="47" t="n"/>
      <c r="D200" s="51">
        <f>IF($C200="","",XLOOKUP($C200,'01_DANH_MUC'!$A$7:$A$206,'01_DANH_MUC'!$B$7:$B$206,"KHÔNG TÌM THẤY"))</f>
        <v/>
      </c>
      <c r="E200" s="51">
        <f>IF($C200="","",XLOOKUP($C200,'01_DANH_MUC'!$A$7:$A$206,'01_DANH_MUC'!$C$7:$C$206,"KHÔNG TÌM THẤY"))</f>
        <v/>
      </c>
      <c r="F200" s="57" t="n"/>
      <c r="G200" s="211" t="n"/>
      <c r="H200" s="211" t="n"/>
      <c r="I200" s="212">
        <f>IF($C200="","",XLOOKUP($C200,'01_DANH_MUC'!$A$7:$A$206,'01_DANH_MUC'!$E$7:$E$206,0))</f>
        <v/>
      </c>
      <c r="J200" s="213">
        <f>IF(OR($A200="",$C200="",$G200&lt;=0),"",$A200+$I200)</f>
        <v/>
      </c>
      <c r="K200" s="210">
        <f>IF($A200="","",IF(OR($C200="",$G200&lt;=0,$A200&gt;'03_BAO_CAO'!$E$4),0,MAX(0,$G200-MAX(0,SUMIFS($H$7:$H$506,$C$7:$C$506,$C200,$A$7:$A$506,"&lt;="&amp;'03_BAO_CAO'!$E$4)-XLOOKUP($C200,'01_DANH_MUC'!$A$7:$A$206,'01_DANH_MUC'!$F$7:$F$206,0)-SUMIFS($G$7:G199,$C$7:C199,$C200,$A$7:A199,"&lt;="&amp;'03_BAO_CAO'!$E$4)))))</f>
        <v/>
      </c>
      <c r="L200" s="212">
        <f>IF($A200="","",IF(OR($K200&lt;=0,$J200=""),0,MAX(0,'03_BAO_CAO'!$E$4-$J200)))</f>
        <v/>
      </c>
      <c r="M200" s="51">
        <f>IF($A200="","",IF($K200&lt;=0,"Đã thanh toán",IF($J200="","Thiếu ngày đến hạn",IF($J200&gt;='03_BAO_CAO'!$E$4,"Chưa đến hạn",IF($L200&lt;=30,"1-30 ngày",IF($L200&lt;=60,"31-60 ngày",IF($L200&lt;=90,"61-90 ngày","Trên 90 ngày")))))))</f>
        <v/>
      </c>
      <c r="N200" s="51">
        <f>IF($A200="","",IF(OR($B200="",$C200=""),"THIẾU THÔNG TIN",IF(AND($G200&gt;0,$H200&gt;0),"KHÔNG NHẬP ĐỒNG THỜI TĂNG/GIẢM",IF(AND($G200&lt;=0,$H200&lt;=0),"CHƯA NHẬP SỐ TIỀN",IF($D200="KHÔNG TÌM THẤY","MÃ KHÔNG HỢP LỆ",IF(AND($G200&gt;0,$J200=""),"THIẾU NGÀY ĐẾN HẠN","OK"))))))</f>
        <v/>
      </c>
    </row>
    <row r="201">
      <c r="A201" s="209" t="n"/>
      <c r="B201" s="47" t="n"/>
      <c r="C201" s="47" t="n"/>
      <c r="D201" s="51">
        <f>IF($C201="","",XLOOKUP($C201,'01_DANH_MUC'!$A$7:$A$206,'01_DANH_MUC'!$B$7:$B$206,"KHÔNG TÌM THẤY"))</f>
        <v/>
      </c>
      <c r="E201" s="51">
        <f>IF($C201="","",XLOOKUP($C201,'01_DANH_MUC'!$A$7:$A$206,'01_DANH_MUC'!$C$7:$C$206,"KHÔNG TÌM THẤY"))</f>
        <v/>
      </c>
      <c r="F201" s="57" t="n"/>
      <c r="G201" s="211" t="n"/>
      <c r="H201" s="211" t="n"/>
      <c r="I201" s="212">
        <f>IF($C201="","",XLOOKUP($C201,'01_DANH_MUC'!$A$7:$A$206,'01_DANH_MUC'!$E$7:$E$206,0))</f>
        <v/>
      </c>
      <c r="J201" s="213">
        <f>IF(OR($A201="",$C201="",$G201&lt;=0),"",$A201+$I201)</f>
        <v/>
      </c>
      <c r="K201" s="210">
        <f>IF($A201="","",IF(OR($C201="",$G201&lt;=0,$A201&gt;'03_BAO_CAO'!$E$4),0,MAX(0,$G201-MAX(0,SUMIFS($H$7:$H$506,$C$7:$C$506,$C201,$A$7:$A$506,"&lt;="&amp;'03_BAO_CAO'!$E$4)-XLOOKUP($C201,'01_DANH_MUC'!$A$7:$A$206,'01_DANH_MUC'!$F$7:$F$206,0)-SUMIFS($G$7:G200,$C$7:C200,$C201,$A$7:A200,"&lt;="&amp;'03_BAO_CAO'!$E$4)))))</f>
        <v/>
      </c>
      <c r="L201" s="212">
        <f>IF($A201="","",IF(OR($K201&lt;=0,$J201=""),0,MAX(0,'03_BAO_CAO'!$E$4-$J201)))</f>
        <v/>
      </c>
      <c r="M201" s="51">
        <f>IF($A201="","",IF($K201&lt;=0,"Đã thanh toán",IF($J201="","Thiếu ngày đến hạn",IF($J201&gt;='03_BAO_CAO'!$E$4,"Chưa đến hạn",IF($L201&lt;=30,"1-30 ngày",IF($L201&lt;=60,"31-60 ngày",IF($L201&lt;=90,"61-90 ngày","Trên 90 ngày")))))))</f>
        <v/>
      </c>
      <c r="N201" s="51">
        <f>IF($A201="","",IF(OR($B201="",$C201=""),"THIẾU THÔNG TIN",IF(AND($G201&gt;0,$H201&gt;0),"KHÔNG NHẬP ĐỒNG THỜI TĂNG/GIẢM",IF(AND($G201&lt;=0,$H201&lt;=0),"CHƯA NHẬP SỐ TIỀN",IF($D201="KHÔNG TÌM THẤY","MÃ KHÔNG HỢP LỆ",IF(AND($G201&gt;0,$J201=""),"THIẾU NGÀY ĐẾN HẠN","OK"))))))</f>
        <v/>
      </c>
    </row>
    <row r="202">
      <c r="A202" s="209" t="n"/>
      <c r="B202" s="47" t="n"/>
      <c r="C202" s="47" t="n"/>
      <c r="D202" s="51">
        <f>IF($C202="","",XLOOKUP($C202,'01_DANH_MUC'!$A$7:$A$206,'01_DANH_MUC'!$B$7:$B$206,"KHÔNG TÌM THẤY"))</f>
        <v/>
      </c>
      <c r="E202" s="51">
        <f>IF($C202="","",XLOOKUP($C202,'01_DANH_MUC'!$A$7:$A$206,'01_DANH_MUC'!$C$7:$C$206,"KHÔNG TÌM THẤY"))</f>
        <v/>
      </c>
      <c r="F202" s="57" t="n"/>
      <c r="G202" s="211" t="n"/>
      <c r="H202" s="211" t="n"/>
      <c r="I202" s="212">
        <f>IF($C202="","",XLOOKUP($C202,'01_DANH_MUC'!$A$7:$A$206,'01_DANH_MUC'!$E$7:$E$206,0))</f>
        <v/>
      </c>
      <c r="J202" s="213">
        <f>IF(OR($A202="",$C202="",$G202&lt;=0),"",$A202+$I202)</f>
        <v/>
      </c>
      <c r="K202" s="210">
        <f>IF($A202="","",IF(OR($C202="",$G202&lt;=0,$A202&gt;'03_BAO_CAO'!$E$4),0,MAX(0,$G202-MAX(0,SUMIFS($H$7:$H$506,$C$7:$C$506,$C202,$A$7:$A$506,"&lt;="&amp;'03_BAO_CAO'!$E$4)-XLOOKUP($C202,'01_DANH_MUC'!$A$7:$A$206,'01_DANH_MUC'!$F$7:$F$206,0)-SUMIFS($G$7:G201,$C$7:C201,$C202,$A$7:A201,"&lt;="&amp;'03_BAO_CAO'!$E$4)))))</f>
        <v/>
      </c>
      <c r="L202" s="212">
        <f>IF($A202="","",IF(OR($K202&lt;=0,$J202=""),0,MAX(0,'03_BAO_CAO'!$E$4-$J202)))</f>
        <v/>
      </c>
      <c r="M202" s="51">
        <f>IF($A202="","",IF($K202&lt;=0,"Đã thanh toán",IF($J202="","Thiếu ngày đến hạn",IF($J202&gt;='03_BAO_CAO'!$E$4,"Chưa đến hạn",IF($L202&lt;=30,"1-30 ngày",IF($L202&lt;=60,"31-60 ngày",IF($L202&lt;=90,"61-90 ngày","Trên 90 ngày")))))))</f>
        <v/>
      </c>
      <c r="N202" s="51">
        <f>IF($A202="","",IF(OR($B202="",$C202=""),"THIẾU THÔNG TIN",IF(AND($G202&gt;0,$H202&gt;0),"KHÔNG NHẬP ĐỒNG THỜI TĂNG/GIẢM",IF(AND($G202&lt;=0,$H202&lt;=0),"CHƯA NHẬP SỐ TIỀN",IF($D202="KHÔNG TÌM THẤY","MÃ KHÔNG HỢP LỆ",IF(AND($G202&gt;0,$J202=""),"THIẾU NGÀY ĐẾN HẠN","OK"))))))</f>
        <v/>
      </c>
    </row>
    <row r="203">
      <c r="A203" s="209" t="n"/>
      <c r="B203" s="47" t="n"/>
      <c r="C203" s="47" t="n"/>
      <c r="D203" s="51">
        <f>IF($C203="","",XLOOKUP($C203,'01_DANH_MUC'!$A$7:$A$206,'01_DANH_MUC'!$B$7:$B$206,"KHÔNG TÌM THẤY"))</f>
        <v/>
      </c>
      <c r="E203" s="51">
        <f>IF($C203="","",XLOOKUP($C203,'01_DANH_MUC'!$A$7:$A$206,'01_DANH_MUC'!$C$7:$C$206,"KHÔNG TÌM THẤY"))</f>
        <v/>
      </c>
      <c r="F203" s="57" t="n"/>
      <c r="G203" s="211" t="n"/>
      <c r="H203" s="211" t="n"/>
      <c r="I203" s="212">
        <f>IF($C203="","",XLOOKUP($C203,'01_DANH_MUC'!$A$7:$A$206,'01_DANH_MUC'!$E$7:$E$206,0))</f>
        <v/>
      </c>
      <c r="J203" s="213">
        <f>IF(OR($A203="",$C203="",$G203&lt;=0),"",$A203+$I203)</f>
        <v/>
      </c>
      <c r="K203" s="210">
        <f>IF($A203="","",IF(OR($C203="",$G203&lt;=0,$A203&gt;'03_BAO_CAO'!$E$4),0,MAX(0,$G203-MAX(0,SUMIFS($H$7:$H$506,$C$7:$C$506,$C203,$A$7:$A$506,"&lt;="&amp;'03_BAO_CAO'!$E$4)-XLOOKUP($C203,'01_DANH_MUC'!$A$7:$A$206,'01_DANH_MUC'!$F$7:$F$206,0)-SUMIFS($G$7:G202,$C$7:C202,$C203,$A$7:A202,"&lt;="&amp;'03_BAO_CAO'!$E$4)))))</f>
        <v/>
      </c>
      <c r="L203" s="212">
        <f>IF($A203="","",IF(OR($K203&lt;=0,$J203=""),0,MAX(0,'03_BAO_CAO'!$E$4-$J203)))</f>
        <v/>
      </c>
      <c r="M203" s="51">
        <f>IF($A203="","",IF($K203&lt;=0,"Đã thanh toán",IF($J203="","Thiếu ngày đến hạn",IF($J203&gt;='03_BAO_CAO'!$E$4,"Chưa đến hạn",IF($L203&lt;=30,"1-30 ngày",IF($L203&lt;=60,"31-60 ngày",IF($L203&lt;=90,"61-90 ngày","Trên 90 ngày")))))))</f>
        <v/>
      </c>
      <c r="N203" s="51">
        <f>IF($A203="","",IF(OR($B203="",$C203=""),"THIẾU THÔNG TIN",IF(AND($G203&gt;0,$H203&gt;0),"KHÔNG NHẬP ĐỒNG THỜI TĂNG/GIẢM",IF(AND($G203&lt;=0,$H203&lt;=0),"CHƯA NHẬP SỐ TIỀN",IF($D203="KHÔNG TÌM THẤY","MÃ KHÔNG HỢP LỆ",IF(AND($G203&gt;0,$J203=""),"THIẾU NGÀY ĐẾN HẠN","OK"))))))</f>
        <v/>
      </c>
    </row>
    <row r="204">
      <c r="A204" s="209" t="n"/>
      <c r="B204" s="47" t="n"/>
      <c r="C204" s="47" t="n"/>
      <c r="D204" s="51">
        <f>IF($C204="","",XLOOKUP($C204,'01_DANH_MUC'!$A$7:$A$206,'01_DANH_MUC'!$B$7:$B$206,"KHÔNG TÌM THẤY"))</f>
        <v/>
      </c>
      <c r="E204" s="51">
        <f>IF($C204="","",XLOOKUP($C204,'01_DANH_MUC'!$A$7:$A$206,'01_DANH_MUC'!$C$7:$C$206,"KHÔNG TÌM THẤY"))</f>
        <v/>
      </c>
      <c r="F204" s="57" t="n"/>
      <c r="G204" s="211" t="n"/>
      <c r="H204" s="211" t="n"/>
      <c r="I204" s="212">
        <f>IF($C204="","",XLOOKUP($C204,'01_DANH_MUC'!$A$7:$A$206,'01_DANH_MUC'!$E$7:$E$206,0))</f>
        <v/>
      </c>
      <c r="J204" s="213">
        <f>IF(OR($A204="",$C204="",$G204&lt;=0),"",$A204+$I204)</f>
        <v/>
      </c>
      <c r="K204" s="210">
        <f>IF($A204="","",IF(OR($C204="",$G204&lt;=0,$A204&gt;'03_BAO_CAO'!$E$4),0,MAX(0,$G204-MAX(0,SUMIFS($H$7:$H$506,$C$7:$C$506,$C204,$A$7:$A$506,"&lt;="&amp;'03_BAO_CAO'!$E$4)-XLOOKUP($C204,'01_DANH_MUC'!$A$7:$A$206,'01_DANH_MUC'!$F$7:$F$206,0)-SUMIFS($G$7:G203,$C$7:C203,$C204,$A$7:A203,"&lt;="&amp;'03_BAO_CAO'!$E$4)))))</f>
        <v/>
      </c>
      <c r="L204" s="212">
        <f>IF($A204="","",IF(OR($K204&lt;=0,$J204=""),0,MAX(0,'03_BAO_CAO'!$E$4-$J204)))</f>
        <v/>
      </c>
      <c r="M204" s="51">
        <f>IF($A204="","",IF($K204&lt;=0,"Đã thanh toán",IF($J204="","Thiếu ngày đến hạn",IF($J204&gt;='03_BAO_CAO'!$E$4,"Chưa đến hạn",IF($L204&lt;=30,"1-30 ngày",IF($L204&lt;=60,"31-60 ngày",IF($L204&lt;=90,"61-90 ngày","Trên 90 ngày")))))))</f>
        <v/>
      </c>
      <c r="N204" s="51">
        <f>IF($A204="","",IF(OR($B204="",$C204=""),"THIẾU THÔNG TIN",IF(AND($G204&gt;0,$H204&gt;0),"KHÔNG NHẬP ĐỒNG THỜI TĂNG/GIẢM",IF(AND($G204&lt;=0,$H204&lt;=0),"CHƯA NHẬP SỐ TIỀN",IF($D204="KHÔNG TÌM THẤY","MÃ KHÔNG HỢP LỆ",IF(AND($G204&gt;0,$J204=""),"THIẾU NGÀY ĐẾN HẠN","OK"))))))</f>
        <v/>
      </c>
    </row>
    <row r="205">
      <c r="A205" s="209" t="n"/>
      <c r="B205" s="47" t="n"/>
      <c r="C205" s="47" t="n"/>
      <c r="D205" s="51">
        <f>IF($C205="","",XLOOKUP($C205,'01_DANH_MUC'!$A$7:$A$206,'01_DANH_MUC'!$B$7:$B$206,"KHÔNG TÌM THẤY"))</f>
        <v/>
      </c>
      <c r="E205" s="51">
        <f>IF($C205="","",XLOOKUP($C205,'01_DANH_MUC'!$A$7:$A$206,'01_DANH_MUC'!$C$7:$C$206,"KHÔNG TÌM THẤY"))</f>
        <v/>
      </c>
      <c r="F205" s="57" t="n"/>
      <c r="G205" s="211" t="n"/>
      <c r="H205" s="211" t="n"/>
      <c r="I205" s="212">
        <f>IF($C205="","",XLOOKUP($C205,'01_DANH_MUC'!$A$7:$A$206,'01_DANH_MUC'!$E$7:$E$206,0))</f>
        <v/>
      </c>
      <c r="J205" s="213">
        <f>IF(OR($A205="",$C205="",$G205&lt;=0),"",$A205+$I205)</f>
        <v/>
      </c>
      <c r="K205" s="210">
        <f>IF($A205="","",IF(OR($C205="",$G205&lt;=0,$A205&gt;'03_BAO_CAO'!$E$4),0,MAX(0,$G205-MAX(0,SUMIFS($H$7:$H$506,$C$7:$C$506,$C205,$A$7:$A$506,"&lt;="&amp;'03_BAO_CAO'!$E$4)-XLOOKUP($C205,'01_DANH_MUC'!$A$7:$A$206,'01_DANH_MUC'!$F$7:$F$206,0)-SUMIFS($G$7:G204,$C$7:C204,$C205,$A$7:A204,"&lt;="&amp;'03_BAO_CAO'!$E$4)))))</f>
        <v/>
      </c>
      <c r="L205" s="212">
        <f>IF($A205="","",IF(OR($K205&lt;=0,$J205=""),0,MAX(0,'03_BAO_CAO'!$E$4-$J205)))</f>
        <v/>
      </c>
      <c r="M205" s="51">
        <f>IF($A205="","",IF($K205&lt;=0,"Đã thanh toán",IF($J205="","Thiếu ngày đến hạn",IF($J205&gt;='03_BAO_CAO'!$E$4,"Chưa đến hạn",IF($L205&lt;=30,"1-30 ngày",IF($L205&lt;=60,"31-60 ngày",IF($L205&lt;=90,"61-90 ngày","Trên 90 ngày")))))))</f>
        <v/>
      </c>
      <c r="N205" s="51">
        <f>IF($A205="","",IF(OR($B205="",$C205=""),"THIẾU THÔNG TIN",IF(AND($G205&gt;0,$H205&gt;0),"KHÔNG NHẬP ĐỒNG THỜI TĂNG/GIẢM",IF(AND($G205&lt;=0,$H205&lt;=0),"CHƯA NHẬP SỐ TIỀN",IF($D205="KHÔNG TÌM THẤY","MÃ KHÔNG HỢP LỆ",IF(AND($G205&gt;0,$J205=""),"THIẾU NGÀY ĐẾN HẠN","OK"))))))</f>
        <v/>
      </c>
    </row>
    <row r="206">
      <c r="A206" s="209" t="n"/>
      <c r="B206" s="47" t="n"/>
      <c r="C206" s="47" t="n"/>
      <c r="D206" s="51">
        <f>IF($C206="","",XLOOKUP($C206,'01_DANH_MUC'!$A$7:$A$206,'01_DANH_MUC'!$B$7:$B$206,"KHÔNG TÌM THẤY"))</f>
        <v/>
      </c>
      <c r="E206" s="51">
        <f>IF($C206="","",XLOOKUP($C206,'01_DANH_MUC'!$A$7:$A$206,'01_DANH_MUC'!$C$7:$C$206,"KHÔNG TÌM THẤY"))</f>
        <v/>
      </c>
      <c r="F206" s="57" t="n"/>
      <c r="G206" s="211" t="n"/>
      <c r="H206" s="211" t="n"/>
      <c r="I206" s="212">
        <f>IF($C206="","",XLOOKUP($C206,'01_DANH_MUC'!$A$7:$A$206,'01_DANH_MUC'!$E$7:$E$206,0))</f>
        <v/>
      </c>
      <c r="J206" s="213">
        <f>IF(OR($A206="",$C206="",$G206&lt;=0),"",$A206+$I206)</f>
        <v/>
      </c>
      <c r="K206" s="210">
        <f>IF($A206="","",IF(OR($C206="",$G206&lt;=0,$A206&gt;'03_BAO_CAO'!$E$4),0,MAX(0,$G206-MAX(0,SUMIFS($H$7:$H$506,$C$7:$C$506,$C206,$A$7:$A$506,"&lt;="&amp;'03_BAO_CAO'!$E$4)-XLOOKUP($C206,'01_DANH_MUC'!$A$7:$A$206,'01_DANH_MUC'!$F$7:$F$206,0)-SUMIFS($G$7:G205,$C$7:C205,$C206,$A$7:A205,"&lt;="&amp;'03_BAO_CAO'!$E$4)))))</f>
        <v/>
      </c>
      <c r="L206" s="212">
        <f>IF($A206="","",IF(OR($K206&lt;=0,$J206=""),0,MAX(0,'03_BAO_CAO'!$E$4-$J206)))</f>
        <v/>
      </c>
      <c r="M206" s="51">
        <f>IF($A206="","",IF($K206&lt;=0,"Đã thanh toán",IF($J206="","Thiếu ngày đến hạn",IF($J206&gt;='03_BAO_CAO'!$E$4,"Chưa đến hạn",IF($L206&lt;=30,"1-30 ngày",IF($L206&lt;=60,"31-60 ngày",IF($L206&lt;=90,"61-90 ngày","Trên 90 ngày")))))))</f>
        <v/>
      </c>
      <c r="N206" s="51">
        <f>IF($A206="","",IF(OR($B206="",$C206=""),"THIẾU THÔNG TIN",IF(AND($G206&gt;0,$H206&gt;0),"KHÔNG NHẬP ĐỒNG THỜI TĂNG/GIẢM",IF(AND($G206&lt;=0,$H206&lt;=0),"CHƯA NHẬP SỐ TIỀN",IF($D206="KHÔNG TÌM THẤY","MÃ KHÔNG HỢP LỆ",IF(AND($G206&gt;0,$J206=""),"THIẾU NGÀY ĐẾN HẠN","OK"))))))</f>
        <v/>
      </c>
    </row>
    <row r="207">
      <c r="A207" s="209" t="n"/>
      <c r="B207" s="47" t="n"/>
      <c r="C207" s="47" t="n"/>
      <c r="D207" s="51">
        <f>IF($C207="","",XLOOKUP($C207,'01_DANH_MUC'!$A$7:$A$206,'01_DANH_MUC'!$B$7:$B$206,"KHÔNG TÌM THẤY"))</f>
        <v/>
      </c>
      <c r="E207" s="51">
        <f>IF($C207="","",XLOOKUP($C207,'01_DANH_MUC'!$A$7:$A$206,'01_DANH_MUC'!$C$7:$C$206,"KHÔNG TÌM THẤY"))</f>
        <v/>
      </c>
      <c r="F207" s="57" t="n"/>
      <c r="G207" s="211" t="n"/>
      <c r="H207" s="211" t="n"/>
      <c r="I207" s="212">
        <f>IF($C207="","",XLOOKUP($C207,'01_DANH_MUC'!$A$7:$A$206,'01_DANH_MUC'!$E$7:$E$206,0))</f>
        <v/>
      </c>
      <c r="J207" s="213">
        <f>IF(OR($A207="",$C207="",$G207&lt;=0),"",$A207+$I207)</f>
        <v/>
      </c>
      <c r="K207" s="210">
        <f>IF($A207="","",IF(OR($C207="",$G207&lt;=0,$A207&gt;'03_BAO_CAO'!$E$4),0,MAX(0,$G207-MAX(0,SUMIFS($H$7:$H$506,$C$7:$C$506,$C207,$A$7:$A$506,"&lt;="&amp;'03_BAO_CAO'!$E$4)-XLOOKUP($C207,'01_DANH_MUC'!$A$7:$A$206,'01_DANH_MUC'!$F$7:$F$206,0)-SUMIFS($G$7:G206,$C$7:C206,$C207,$A$7:A206,"&lt;="&amp;'03_BAO_CAO'!$E$4)))))</f>
        <v/>
      </c>
      <c r="L207" s="212">
        <f>IF($A207="","",IF(OR($K207&lt;=0,$J207=""),0,MAX(0,'03_BAO_CAO'!$E$4-$J207)))</f>
        <v/>
      </c>
      <c r="M207" s="51">
        <f>IF($A207="","",IF($K207&lt;=0,"Đã thanh toán",IF($J207="","Thiếu ngày đến hạn",IF($J207&gt;='03_BAO_CAO'!$E$4,"Chưa đến hạn",IF($L207&lt;=30,"1-30 ngày",IF($L207&lt;=60,"31-60 ngày",IF($L207&lt;=90,"61-90 ngày","Trên 90 ngày")))))))</f>
        <v/>
      </c>
      <c r="N207" s="51">
        <f>IF($A207="","",IF(OR($B207="",$C207=""),"THIẾU THÔNG TIN",IF(AND($G207&gt;0,$H207&gt;0),"KHÔNG NHẬP ĐỒNG THỜI TĂNG/GIẢM",IF(AND($G207&lt;=0,$H207&lt;=0),"CHƯA NHẬP SỐ TIỀN",IF($D207="KHÔNG TÌM THẤY","MÃ KHÔNG HỢP LỆ",IF(AND($G207&gt;0,$J207=""),"THIẾU NGÀY ĐẾN HẠN","OK"))))))</f>
        <v/>
      </c>
    </row>
    <row r="208">
      <c r="A208" s="209" t="n"/>
      <c r="B208" s="47" t="n"/>
      <c r="C208" s="47" t="n"/>
      <c r="D208" s="51">
        <f>IF($C208="","",XLOOKUP($C208,'01_DANH_MUC'!$A$7:$A$206,'01_DANH_MUC'!$B$7:$B$206,"KHÔNG TÌM THẤY"))</f>
        <v/>
      </c>
      <c r="E208" s="51">
        <f>IF($C208="","",XLOOKUP($C208,'01_DANH_MUC'!$A$7:$A$206,'01_DANH_MUC'!$C$7:$C$206,"KHÔNG TÌM THẤY"))</f>
        <v/>
      </c>
      <c r="F208" s="57" t="n"/>
      <c r="G208" s="211" t="n"/>
      <c r="H208" s="211" t="n"/>
      <c r="I208" s="212">
        <f>IF($C208="","",XLOOKUP($C208,'01_DANH_MUC'!$A$7:$A$206,'01_DANH_MUC'!$E$7:$E$206,0))</f>
        <v/>
      </c>
      <c r="J208" s="213">
        <f>IF(OR($A208="",$C208="",$G208&lt;=0),"",$A208+$I208)</f>
        <v/>
      </c>
      <c r="K208" s="210">
        <f>IF($A208="","",IF(OR($C208="",$G208&lt;=0,$A208&gt;'03_BAO_CAO'!$E$4),0,MAX(0,$G208-MAX(0,SUMIFS($H$7:$H$506,$C$7:$C$506,$C208,$A$7:$A$506,"&lt;="&amp;'03_BAO_CAO'!$E$4)-XLOOKUP($C208,'01_DANH_MUC'!$A$7:$A$206,'01_DANH_MUC'!$F$7:$F$206,0)-SUMIFS($G$7:G207,$C$7:C207,$C208,$A$7:A207,"&lt;="&amp;'03_BAO_CAO'!$E$4)))))</f>
        <v/>
      </c>
      <c r="L208" s="212">
        <f>IF($A208="","",IF(OR($K208&lt;=0,$J208=""),0,MAX(0,'03_BAO_CAO'!$E$4-$J208)))</f>
        <v/>
      </c>
      <c r="M208" s="51">
        <f>IF($A208="","",IF($K208&lt;=0,"Đã thanh toán",IF($J208="","Thiếu ngày đến hạn",IF($J208&gt;='03_BAO_CAO'!$E$4,"Chưa đến hạn",IF($L208&lt;=30,"1-30 ngày",IF($L208&lt;=60,"31-60 ngày",IF($L208&lt;=90,"61-90 ngày","Trên 90 ngày")))))))</f>
        <v/>
      </c>
      <c r="N208" s="51">
        <f>IF($A208="","",IF(OR($B208="",$C208=""),"THIẾU THÔNG TIN",IF(AND($G208&gt;0,$H208&gt;0),"KHÔNG NHẬP ĐỒNG THỜI TĂNG/GIẢM",IF(AND($G208&lt;=0,$H208&lt;=0),"CHƯA NHẬP SỐ TIỀN",IF($D208="KHÔNG TÌM THẤY","MÃ KHÔNG HỢP LỆ",IF(AND($G208&gt;0,$J208=""),"THIẾU NGÀY ĐẾN HẠN","OK"))))))</f>
        <v/>
      </c>
    </row>
    <row r="209">
      <c r="A209" s="209" t="n"/>
      <c r="B209" s="47" t="n"/>
      <c r="C209" s="47" t="n"/>
      <c r="D209" s="51">
        <f>IF($C209="","",XLOOKUP($C209,'01_DANH_MUC'!$A$7:$A$206,'01_DANH_MUC'!$B$7:$B$206,"KHÔNG TÌM THẤY"))</f>
        <v/>
      </c>
      <c r="E209" s="51">
        <f>IF($C209="","",XLOOKUP($C209,'01_DANH_MUC'!$A$7:$A$206,'01_DANH_MUC'!$C$7:$C$206,"KHÔNG TÌM THẤY"))</f>
        <v/>
      </c>
      <c r="F209" s="57" t="n"/>
      <c r="G209" s="211" t="n"/>
      <c r="H209" s="211" t="n"/>
      <c r="I209" s="212">
        <f>IF($C209="","",XLOOKUP($C209,'01_DANH_MUC'!$A$7:$A$206,'01_DANH_MUC'!$E$7:$E$206,0))</f>
        <v/>
      </c>
      <c r="J209" s="213">
        <f>IF(OR($A209="",$C209="",$G209&lt;=0),"",$A209+$I209)</f>
        <v/>
      </c>
      <c r="K209" s="210">
        <f>IF($A209="","",IF(OR($C209="",$G209&lt;=0,$A209&gt;'03_BAO_CAO'!$E$4),0,MAX(0,$G209-MAX(0,SUMIFS($H$7:$H$506,$C$7:$C$506,$C209,$A$7:$A$506,"&lt;="&amp;'03_BAO_CAO'!$E$4)-XLOOKUP($C209,'01_DANH_MUC'!$A$7:$A$206,'01_DANH_MUC'!$F$7:$F$206,0)-SUMIFS($G$7:G208,$C$7:C208,$C209,$A$7:A208,"&lt;="&amp;'03_BAO_CAO'!$E$4)))))</f>
        <v/>
      </c>
      <c r="L209" s="212">
        <f>IF($A209="","",IF(OR($K209&lt;=0,$J209=""),0,MAX(0,'03_BAO_CAO'!$E$4-$J209)))</f>
        <v/>
      </c>
      <c r="M209" s="51">
        <f>IF($A209="","",IF($K209&lt;=0,"Đã thanh toán",IF($J209="","Thiếu ngày đến hạn",IF($J209&gt;='03_BAO_CAO'!$E$4,"Chưa đến hạn",IF($L209&lt;=30,"1-30 ngày",IF($L209&lt;=60,"31-60 ngày",IF($L209&lt;=90,"61-90 ngày","Trên 90 ngày")))))))</f>
        <v/>
      </c>
      <c r="N209" s="51">
        <f>IF($A209="","",IF(OR($B209="",$C209=""),"THIẾU THÔNG TIN",IF(AND($G209&gt;0,$H209&gt;0),"KHÔNG NHẬP ĐỒNG THỜI TĂNG/GIẢM",IF(AND($G209&lt;=0,$H209&lt;=0),"CHƯA NHẬP SỐ TIỀN",IF($D209="KHÔNG TÌM THẤY","MÃ KHÔNG HỢP LỆ",IF(AND($G209&gt;0,$J209=""),"THIẾU NGÀY ĐẾN HẠN","OK"))))))</f>
        <v/>
      </c>
    </row>
    <row r="210">
      <c r="A210" s="209" t="n"/>
      <c r="B210" s="47" t="n"/>
      <c r="C210" s="47" t="n"/>
      <c r="D210" s="51">
        <f>IF($C210="","",XLOOKUP($C210,'01_DANH_MUC'!$A$7:$A$206,'01_DANH_MUC'!$B$7:$B$206,"KHÔNG TÌM THẤY"))</f>
        <v/>
      </c>
      <c r="E210" s="51">
        <f>IF($C210="","",XLOOKUP($C210,'01_DANH_MUC'!$A$7:$A$206,'01_DANH_MUC'!$C$7:$C$206,"KHÔNG TÌM THẤY"))</f>
        <v/>
      </c>
      <c r="F210" s="57" t="n"/>
      <c r="G210" s="211" t="n"/>
      <c r="H210" s="211" t="n"/>
      <c r="I210" s="212">
        <f>IF($C210="","",XLOOKUP($C210,'01_DANH_MUC'!$A$7:$A$206,'01_DANH_MUC'!$E$7:$E$206,0))</f>
        <v/>
      </c>
      <c r="J210" s="213">
        <f>IF(OR($A210="",$C210="",$G210&lt;=0),"",$A210+$I210)</f>
        <v/>
      </c>
      <c r="K210" s="210">
        <f>IF($A210="","",IF(OR($C210="",$G210&lt;=0,$A210&gt;'03_BAO_CAO'!$E$4),0,MAX(0,$G210-MAX(0,SUMIFS($H$7:$H$506,$C$7:$C$506,$C210,$A$7:$A$506,"&lt;="&amp;'03_BAO_CAO'!$E$4)-XLOOKUP($C210,'01_DANH_MUC'!$A$7:$A$206,'01_DANH_MUC'!$F$7:$F$206,0)-SUMIFS($G$7:G209,$C$7:C209,$C210,$A$7:A209,"&lt;="&amp;'03_BAO_CAO'!$E$4)))))</f>
        <v/>
      </c>
      <c r="L210" s="212">
        <f>IF($A210="","",IF(OR($K210&lt;=0,$J210=""),0,MAX(0,'03_BAO_CAO'!$E$4-$J210)))</f>
        <v/>
      </c>
      <c r="M210" s="51">
        <f>IF($A210="","",IF($K210&lt;=0,"Đã thanh toán",IF($J210="","Thiếu ngày đến hạn",IF($J210&gt;='03_BAO_CAO'!$E$4,"Chưa đến hạn",IF($L210&lt;=30,"1-30 ngày",IF($L210&lt;=60,"31-60 ngày",IF($L210&lt;=90,"61-90 ngày","Trên 90 ngày")))))))</f>
        <v/>
      </c>
      <c r="N210" s="51">
        <f>IF($A210="","",IF(OR($B210="",$C210=""),"THIẾU THÔNG TIN",IF(AND($G210&gt;0,$H210&gt;0),"KHÔNG NHẬP ĐỒNG THỜI TĂNG/GIẢM",IF(AND($G210&lt;=0,$H210&lt;=0),"CHƯA NHẬP SỐ TIỀN",IF($D210="KHÔNG TÌM THẤY","MÃ KHÔNG HỢP LỆ",IF(AND($G210&gt;0,$J210=""),"THIẾU NGÀY ĐẾN HẠN","OK"))))))</f>
        <v/>
      </c>
    </row>
    <row r="211">
      <c r="A211" s="209" t="n"/>
      <c r="B211" s="47" t="n"/>
      <c r="C211" s="47" t="n"/>
      <c r="D211" s="51">
        <f>IF($C211="","",XLOOKUP($C211,'01_DANH_MUC'!$A$7:$A$206,'01_DANH_MUC'!$B$7:$B$206,"KHÔNG TÌM THẤY"))</f>
        <v/>
      </c>
      <c r="E211" s="51">
        <f>IF($C211="","",XLOOKUP($C211,'01_DANH_MUC'!$A$7:$A$206,'01_DANH_MUC'!$C$7:$C$206,"KHÔNG TÌM THẤY"))</f>
        <v/>
      </c>
      <c r="F211" s="57" t="n"/>
      <c r="G211" s="211" t="n"/>
      <c r="H211" s="211" t="n"/>
      <c r="I211" s="212">
        <f>IF($C211="","",XLOOKUP($C211,'01_DANH_MUC'!$A$7:$A$206,'01_DANH_MUC'!$E$7:$E$206,0))</f>
        <v/>
      </c>
      <c r="J211" s="213">
        <f>IF(OR($A211="",$C211="",$G211&lt;=0),"",$A211+$I211)</f>
        <v/>
      </c>
      <c r="K211" s="210">
        <f>IF($A211="","",IF(OR($C211="",$G211&lt;=0,$A211&gt;'03_BAO_CAO'!$E$4),0,MAX(0,$G211-MAX(0,SUMIFS($H$7:$H$506,$C$7:$C$506,$C211,$A$7:$A$506,"&lt;="&amp;'03_BAO_CAO'!$E$4)-XLOOKUP($C211,'01_DANH_MUC'!$A$7:$A$206,'01_DANH_MUC'!$F$7:$F$206,0)-SUMIFS($G$7:G210,$C$7:C210,$C211,$A$7:A210,"&lt;="&amp;'03_BAO_CAO'!$E$4)))))</f>
        <v/>
      </c>
      <c r="L211" s="212">
        <f>IF($A211="","",IF(OR($K211&lt;=0,$J211=""),0,MAX(0,'03_BAO_CAO'!$E$4-$J211)))</f>
        <v/>
      </c>
      <c r="M211" s="51">
        <f>IF($A211="","",IF($K211&lt;=0,"Đã thanh toán",IF($J211="","Thiếu ngày đến hạn",IF($J211&gt;='03_BAO_CAO'!$E$4,"Chưa đến hạn",IF($L211&lt;=30,"1-30 ngày",IF($L211&lt;=60,"31-60 ngày",IF($L211&lt;=90,"61-90 ngày","Trên 90 ngày")))))))</f>
        <v/>
      </c>
      <c r="N211" s="51">
        <f>IF($A211="","",IF(OR($B211="",$C211=""),"THIẾU THÔNG TIN",IF(AND($G211&gt;0,$H211&gt;0),"KHÔNG NHẬP ĐỒNG THỜI TĂNG/GIẢM",IF(AND($G211&lt;=0,$H211&lt;=0),"CHƯA NHẬP SỐ TIỀN",IF($D211="KHÔNG TÌM THẤY","MÃ KHÔNG HỢP LỆ",IF(AND($G211&gt;0,$J211=""),"THIẾU NGÀY ĐẾN HẠN","OK"))))))</f>
        <v/>
      </c>
    </row>
    <row r="212">
      <c r="A212" s="209" t="n"/>
      <c r="B212" s="47" t="n"/>
      <c r="C212" s="47" t="n"/>
      <c r="D212" s="51">
        <f>IF($C212="","",XLOOKUP($C212,'01_DANH_MUC'!$A$7:$A$206,'01_DANH_MUC'!$B$7:$B$206,"KHÔNG TÌM THẤY"))</f>
        <v/>
      </c>
      <c r="E212" s="51">
        <f>IF($C212="","",XLOOKUP($C212,'01_DANH_MUC'!$A$7:$A$206,'01_DANH_MUC'!$C$7:$C$206,"KHÔNG TÌM THẤY"))</f>
        <v/>
      </c>
      <c r="F212" s="57" t="n"/>
      <c r="G212" s="211" t="n"/>
      <c r="H212" s="211" t="n"/>
      <c r="I212" s="212">
        <f>IF($C212="","",XLOOKUP($C212,'01_DANH_MUC'!$A$7:$A$206,'01_DANH_MUC'!$E$7:$E$206,0))</f>
        <v/>
      </c>
      <c r="J212" s="213">
        <f>IF(OR($A212="",$C212="",$G212&lt;=0),"",$A212+$I212)</f>
        <v/>
      </c>
      <c r="K212" s="210">
        <f>IF($A212="","",IF(OR($C212="",$G212&lt;=0,$A212&gt;'03_BAO_CAO'!$E$4),0,MAX(0,$G212-MAX(0,SUMIFS($H$7:$H$506,$C$7:$C$506,$C212,$A$7:$A$506,"&lt;="&amp;'03_BAO_CAO'!$E$4)-XLOOKUP($C212,'01_DANH_MUC'!$A$7:$A$206,'01_DANH_MUC'!$F$7:$F$206,0)-SUMIFS($G$7:G211,$C$7:C211,$C212,$A$7:A211,"&lt;="&amp;'03_BAO_CAO'!$E$4)))))</f>
        <v/>
      </c>
      <c r="L212" s="212">
        <f>IF($A212="","",IF(OR($K212&lt;=0,$J212=""),0,MAX(0,'03_BAO_CAO'!$E$4-$J212)))</f>
        <v/>
      </c>
      <c r="M212" s="51">
        <f>IF($A212="","",IF($K212&lt;=0,"Đã thanh toán",IF($J212="","Thiếu ngày đến hạn",IF($J212&gt;='03_BAO_CAO'!$E$4,"Chưa đến hạn",IF($L212&lt;=30,"1-30 ngày",IF($L212&lt;=60,"31-60 ngày",IF($L212&lt;=90,"61-90 ngày","Trên 90 ngày")))))))</f>
        <v/>
      </c>
      <c r="N212" s="51">
        <f>IF($A212="","",IF(OR($B212="",$C212=""),"THIẾU THÔNG TIN",IF(AND($G212&gt;0,$H212&gt;0),"KHÔNG NHẬP ĐỒNG THỜI TĂNG/GIẢM",IF(AND($G212&lt;=0,$H212&lt;=0),"CHƯA NHẬP SỐ TIỀN",IF($D212="KHÔNG TÌM THẤY","MÃ KHÔNG HỢP LỆ",IF(AND($G212&gt;0,$J212=""),"THIẾU NGÀY ĐẾN HẠN","OK"))))))</f>
        <v/>
      </c>
    </row>
    <row r="213">
      <c r="A213" s="209" t="n"/>
      <c r="B213" s="47" t="n"/>
      <c r="C213" s="47" t="n"/>
      <c r="D213" s="51">
        <f>IF($C213="","",XLOOKUP($C213,'01_DANH_MUC'!$A$7:$A$206,'01_DANH_MUC'!$B$7:$B$206,"KHÔNG TÌM THẤY"))</f>
        <v/>
      </c>
      <c r="E213" s="51">
        <f>IF($C213="","",XLOOKUP($C213,'01_DANH_MUC'!$A$7:$A$206,'01_DANH_MUC'!$C$7:$C$206,"KHÔNG TÌM THẤY"))</f>
        <v/>
      </c>
      <c r="F213" s="57" t="n"/>
      <c r="G213" s="211" t="n"/>
      <c r="H213" s="211" t="n"/>
      <c r="I213" s="212">
        <f>IF($C213="","",XLOOKUP($C213,'01_DANH_MUC'!$A$7:$A$206,'01_DANH_MUC'!$E$7:$E$206,0))</f>
        <v/>
      </c>
      <c r="J213" s="213">
        <f>IF(OR($A213="",$C213="",$G213&lt;=0),"",$A213+$I213)</f>
        <v/>
      </c>
      <c r="K213" s="210">
        <f>IF($A213="","",IF(OR($C213="",$G213&lt;=0,$A213&gt;'03_BAO_CAO'!$E$4),0,MAX(0,$G213-MAX(0,SUMIFS($H$7:$H$506,$C$7:$C$506,$C213,$A$7:$A$506,"&lt;="&amp;'03_BAO_CAO'!$E$4)-XLOOKUP($C213,'01_DANH_MUC'!$A$7:$A$206,'01_DANH_MUC'!$F$7:$F$206,0)-SUMIFS($G$7:G212,$C$7:C212,$C213,$A$7:A212,"&lt;="&amp;'03_BAO_CAO'!$E$4)))))</f>
        <v/>
      </c>
      <c r="L213" s="212">
        <f>IF($A213="","",IF(OR($K213&lt;=0,$J213=""),0,MAX(0,'03_BAO_CAO'!$E$4-$J213)))</f>
        <v/>
      </c>
      <c r="M213" s="51">
        <f>IF($A213="","",IF($K213&lt;=0,"Đã thanh toán",IF($J213="","Thiếu ngày đến hạn",IF($J213&gt;='03_BAO_CAO'!$E$4,"Chưa đến hạn",IF($L213&lt;=30,"1-30 ngày",IF($L213&lt;=60,"31-60 ngày",IF($L213&lt;=90,"61-90 ngày","Trên 90 ngày")))))))</f>
        <v/>
      </c>
      <c r="N213" s="51">
        <f>IF($A213="","",IF(OR($B213="",$C213=""),"THIẾU THÔNG TIN",IF(AND($G213&gt;0,$H213&gt;0),"KHÔNG NHẬP ĐỒNG THỜI TĂNG/GIẢM",IF(AND($G213&lt;=0,$H213&lt;=0),"CHƯA NHẬP SỐ TIỀN",IF($D213="KHÔNG TÌM THẤY","MÃ KHÔNG HỢP LỆ",IF(AND($G213&gt;0,$J213=""),"THIẾU NGÀY ĐẾN HẠN","OK"))))))</f>
        <v/>
      </c>
    </row>
    <row r="214">
      <c r="A214" s="209" t="n"/>
      <c r="B214" s="47" t="n"/>
      <c r="C214" s="47" t="n"/>
      <c r="D214" s="51">
        <f>IF($C214="","",XLOOKUP($C214,'01_DANH_MUC'!$A$7:$A$206,'01_DANH_MUC'!$B$7:$B$206,"KHÔNG TÌM THẤY"))</f>
        <v/>
      </c>
      <c r="E214" s="51">
        <f>IF($C214="","",XLOOKUP($C214,'01_DANH_MUC'!$A$7:$A$206,'01_DANH_MUC'!$C$7:$C$206,"KHÔNG TÌM THẤY"))</f>
        <v/>
      </c>
      <c r="F214" s="57" t="n"/>
      <c r="G214" s="211" t="n"/>
      <c r="H214" s="211" t="n"/>
      <c r="I214" s="212">
        <f>IF($C214="","",XLOOKUP($C214,'01_DANH_MUC'!$A$7:$A$206,'01_DANH_MUC'!$E$7:$E$206,0))</f>
        <v/>
      </c>
      <c r="J214" s="213">
        <f>IF(OR($A214="",$C214="",$G214&lt;=0),"",$A214+$I214)</f>
        <v/>
      </c>
      <c r="K214" s="210">
        <f>IF($A214="","",IF(OR($C214="",$G214&lt;=0,$A214&gt;'03_BAO_CAO'!$E$4),0,MAX(0,$G214-MAX(0,SUMIFS($H$7:$H$506,$C$7:$C$506,$C214,$A$7:$A$506,"&lt;="&amp;'03_BAO_CAO'!$E$4)-XLOOKUP($C214,'01_DANH_MUC'!$A$7:$A$206,'01_DANH_MUC'!$F$7:$F$206,0)-SUMIFS($G$7:G213,$C$7:C213,$C214,$A$7:A213,"&lt;="&amp;'03_BAO_CAO'!$E$4)))))</f>
        <v/>
      </c>
      <c r="L214" s="212">
        <f>IF($A214="","",IF(OR($K214&lt;=0,$J214=""),0,MAX(0,'03_BAO_CAO'!$E$4-$J214)))</f>
        <v/>
      </c>
      <c r="M214" s="51">
        <f>IF($A214="","",IF($K214&lt;=0,"Đã thanh toán",IF($J214="","Thiếu ngày đến hạn",IF($J214&gt;='03_BAO_CAO'!$E$4,"Chưa đến hạn",IF($L214&lt;=30,"1-30 ngày",IF($L214&lt;=60,"31-60 ngày",IF($L214&lt;=90,"61-90 ngày","Trên 90 ngày")))))))</f>
        <v/>
      </c>
      <c r="N214" s="51">
        <f>IF($A214="","",IF(OR($B214="",$C214=""),"THIẾU THÔNG TIN",IF(AND($G214&gt;0,$H214&gt;0),"KHÔNG NHẬP ĐỒNG THỜI TĂNG/GIẢM",IF(AND($G214&lt;=0,$H214&lt;=0),"CHƯA NHẬP SỐ TIỀN",IF($D214="KHÔNG TÌM THẤY","MÃ KHÔNG HỢP LỆ",IF(AND($G214&gt;0,$J214=""),"THIẾU NGÀY ĐẾN HẠN","OK"))))))</f>
        <v/>
      </c>
    </row>
    <row r="215">
      <c r="A215" s="209" t="n"/>
      <c r="B215" s="47" t="n"/>
      <c r="C215" s="47" t="n"/>
      <c r="D215" s="51">
        <f>IF($C215="","",XLOOKUP($C215,'01_DANH_MUC'!$A$7:$A$206,'01_DANH_MUC'!$B$7:$B$206,"KHÔNG TÌM THẤY"))</f>
        <v/>
      </c>
      <c r="E215" s="51">
        <f>IF($C215="","",XLOOKUP($C215,'01_DANH_MUC'!$A$7:$A$206,'01_DANH_MUC'!$C$7:$C$206,"KHÔNG TÌM THẤY"))</f>
        <v/>
      </c>
      <c r="F215" s="57" t="n"/>
      <c r="G215" s="211" t="n"/>
      <c r="H215" s="211" t="n"/>
      <c r="I215" s="212">
        <f>IF($C215="","",XLOOKUP($C215,'01_DANH_MUC'!$A$7:$A$206,'01_DANH_MUC'!$E$7:$E$206,0))</f>
        <v/>
      </c>
      <c r="J215" s="213">
        <f>IF(OR($A215="",$C215="",$G215&lt;=0),"",$A215+$I215)</f>
        <v/>
      </c>
      <c r="K215" s="210">
        <f>IF($A215="","",IF(OR($C215="",$G215&lt;=0,$A215&gt;'03_BAO_CAO'!$E$4),0,MAX(0,$G215-MAX(0,SUMIFS($H$7:$H$506,$C$7:$C$506,$C215,$A$7:$A$506,"&lt;="&amp;'03_BAO_CAO'!$E$4)-XLOOKUP($C215,'01_DANH_MUC'!$A$7:$A$206,'01_DANH_MUC'!$F$7:$F$206,0)-SUMIFS($G$7:G214,$C$7:C214,$C215,$A$7:A214,"&lt;="&amp;'03_BAO_CAO'!$E$4)))))</f>
        <v/>
      </c>
      <c r="L215" s="212">
        <f>IF($A215="","",IF(OR($K215&lt;=0,$J215=""),0,MAX(0,'03_BAO_CAO'!$E$4-$J215)))</f>
        <v/>
      </c>
      <c r="M215" s="51">
        <f>IF($A215="","",IF($K215&lt;=0,"Đã thanh toán",IF($J215="","Thiếu ngày đến hạn",IF($J215&gt;='03_BAO_CAO'!$E$4,"Chưa đến hạn",IF($L215&lt;=30,"1-30 ngày",IF($L215&lt;=60,"31-60 ngày",IF($L215&lt;=90,"61-90 ngày","Trên 90 ngày")))))))</f>
        <v/>
      </c>
      <c r="N215" s="51">
        <f>IF($A215="","",IF(OR($B215="",$C215=""),"THIẾU THÔNG TIN",IF(AND($G215&gt;0,$H215&gt;0),"KHÔNG NHẬP ĐỒNG THỜI TĂNG/GIẢM",IF(AND($G215&lt;=0,$H215&lt;=0),"CHƯA NHẬP SỐ TIỀN",IF($D215="KHÔNG TÌM THẤY","MÃ KHÔNG HỢP LỆ",IF(AND($G215&gt;0,$J215=""),"THIẾU NGÀY ĐẾN HẠN","OK"))))))</f>
        <v/>
      </c>
    </row>
    <row r="216">
      <c r="A216" s="209" t="n"/>
      <c r="B216" s="47" t="n"/>
      <c r="C216" s="47" t="n"/>
      <c r="D216" s="51">
        <f>IF($C216="","",XLOOKUP($C216,'01_DANH_MUC'!$A$7:$A$206,'01_DANH_MUC'!$B$7:$B$206,"KHÔNG TÌM THẤY"))</f>
        <v/>
      </c>
      <c r="E216" s="51">
        <f>IF($C216="","",XLOOKUP($C216,'01_DANH_MUC'!$A$7:$A$206,'01_DANH_MUC'!$C$7:$C$206,"KHÔNG TÌM THẤY"))</f>
        <v/>
      </c>
      <c r="F216" s="57" t="n"/>
      <c r="G216" s="211" t="n"/>
      <c r="H216" s="211" t="n"/>
      <c r="I216" s="212">
        <f>IF($C216="","",XLOOKUP($C216,'01_DANH_MUC'!$A$7:$A$206,'01_DANH_MUC'!$E$7:$E$206,0))</f>
        <v/>
      </c>
      <c r="J216" s="213">
        <f>IF(OR($A216="",$C216="",$G216&lt;=0),"",$A216+$I216)</f>
        <v/>
      </c>
      <c r="K216" s="210">
        <f>IF($A216="","",IF(OR($C216="",$G216&lt;=0,$A216&gt;'03_BAO_CAO'!$E$4),0,MAX(0,$G216-MAX(0,SUMIFS($H$7:$H$506,$C$7:$C$506,$C216,$A$7:$A$506,"&lt;="&amp;'03_BAO_CAO'!$E$4)-XLOOKUP($C216,'01_DANH_MUC'!$A$7:$A$206,'01_DANH_MUC'!$F$7:$F$206,0)-SUMIFS($G$7:G215,$C$7:C215,$C216,$A$7:A215,"&lt;="&amp;'03_BAO_CAO'!$E$4)))))</f>
        <v/>
      </c>
      <c r="L216" s="212">
        <f>IF($A216="","",IF(OR($K216&lt;=0,$J216=""),0,MAX(0,'03_BAO_CAO'!$E$4-$J216)))</f>
        <v/>
      </c>
      <c r="M216" s="51">
        <f>IF($A216="","",IF($K216&lt;=0,"Đã thanh toán",IF($J216="","Thiếu ngày đến hạn",IF($J216&gt;='03_BAO_CAO'!$E$4,"Chưa đến hạn",IF($L216&lt;=30,"1-30 ngày",IF($L216&lt;=60,"31-60 ngày",IF($L216&lt;=90,"61-90 ngày","Trên 90 ngày")))))))</f>
        <v/>
      </c>
      <c r="N216" s="51">
        <f>IF($A216="","",IF(OR($B216="",$C216=""),"THIẾU THÔNG TIN",IF(AND($G216&gt;0,$H216&gt;0),"KHÔNG NHẬP ĐỒNG THỜI TĂNG/GIẢM",IF(AND($G216&lt;=0,$H216&lt;=0),"CHƯA NHẬP SỐ TIỀN",IF($D216="KHÔNG TÌM THẤY","MÃ KHÔNG HỢP LỆ",IF(AND($G216&gt;0,$J216=""),"THIẾU NGÀY ĐẾN HẠN","OK"))))))</f>
        <v/>
      </c>
    </row>
    <row r="217">
      <c r="A217" s="209" t="n"/>
      <c r="B217" s="47" t="n"/>
      <c r="C217" s="47" t="n"/>
      <c r="D217" s="51">
        <f>IF($C217="","",XLOOKUP($C217,'01_DANH_MUC'!$A$7:$A$206,'01_DANH_MUC'!$B$7:$B$206,"KHÔNG TÌM THẤY"))</f>
        <v/>
      </c>
      <c r="E217" s="51">
        <f>IF($C217="","",XLOOKUP($C217,'01_DANH_MUC'!$A$7:$A$206,'01_DANH_MUC'!$C$7:$C$206,"KHÔNG TÌM THẤY"))</f>
        <v/>
      </c>
      <c r="F217" s="57" t="n"/>
      <c r="G217" s="211" t="n"/>
      <c r="H217" s="211" t="n"/>
      <c r="I217" s="212">
        <f>IF($C217="","",XLOOKUP($C217,'01_DANH_MUC'!$A$7:$A$206,'01_DANH_MUC'!$E$7:$E$206,0))</f>
        <v/>
      </c>
      <c r="J217" s="213">
        <f>IF(OR($A217="",$C217="",$G217&lt;=0),"",$A217+$I217)</f>
        <v/>
      </c>
      <c r="K217" s="210">
        <f>IF($A217="","",IF(OR($C217="",$G217&lt;=0,$A217&gt;'03_BAO_CAO'!$E$4),0,MAX(0,$G217-MAX(0,SUMIFS($H$7:$H$506,$C$7:$C$506,$C217,$A$7:$A$506,"&lt;="&amp;'03_BAO_CAO'!$E$4)-XLOOKUP($C217,'01_DANH_MUC'!$A$7:$A$206,'01_DANH_MUC'!$F$7:$F$206,0)-SUMIFS($G$7:G216,$C$7:C216,$C217,$A$7:A216,"&lt;="&amp;'03_BAO_CAO'!$E$4)))))</f>
        <v/>
      </c>
      <c r="L217" s="212">
        <f>IF($A217="","",IF(OR($K217&lt;=0,$J217=""),0,MAX(0,'03_BAO_CAO'!$E$4-$J217)))</f>
        <v/>
      </c>
      <c r="M217" s="51">
        <f>IF($A217="","",IF($K217&lt;=0,"Đã thanh toán",IF($J217="","Thiếu ngày đến hạn",IF($J217&gt;='03_BAO_CAO'!$E$4,"Chưa đến hạn",IF($L217&lt;=30,"1-30 ngày",IF($L217&lt;=60,"31-60 ngày",IF($L217&lt;=90,"61-90 ngày","Trên 90 ngày")))))))</f>
        <v/>
      </c>
      <c r="N217" s="51">
        <f>IF($A217="","",IF(OR($B217="",$C217=""),"THIẾU THÔNG TIN",IF(AND($G217&gt;0,$H217&gt;0),"KHÔNG NHẬP ĐỒNG THỜI TĂNG/GIẢM",IF(AND($G217&lt;=0,$H217&lt;=0),"CHƯA NHẬP SỐ TIỀN",IF($D217="KHÔNG TÌM THẤY","MÃ KHÔNG HỢP LỆ",IF(AND($G217&gt;0,$J217=""),"THIẾU NGÀY ĐẾN HẠN","OK"))))))</f>
        <v/>
      </c>
    </row>
    <row r="218">
      <c r="A218" s="209" t="n"/>
      <c r="B218" s="47" t="n"/>
      <c r="C218" s="47" t="n"/>
      <c r="D218" s="51">
        <f>IF($C218="","",XLOOKUP($C218,'01_DANH_MUC'!$A$7:$A$206,'01_DANH_MUC'!$B$7:$B$206,"KHÔNG TÌM THẤY"))</f>
        <v/>
      </c>
      <c r="E218" s="51">
        <f>IF($C218="","",XLOOKUP($C218,'01_DANH_MUC'!$A$7:$A$206,'01_DANH_MUC'!$C$7:$C$206,"KHÔNG TÌM THẤY"))</f>
        <v/>
      </c>
      <c r="F218" s="57" t="n"/>
      <c r="G218" s="211" t="n"/>
      <c r="H218" s="211" t="n"/>
      <c r="I218" s="212">
        <f>IF($C218="","",XLOOKUP($C218,'01_DANH_MUC'!$A$7:$A$206,'01_DANH_MUC'!$E$7:$E$206,0))</f>
        <v/>
      </c>
      <c r="J218" s="213">
        <f>IF(OR($A218="",$C218="",$G218&lt;=0),"",$A218+$I218)</f>
        <v/>
      </c>
      <c r="K218" s="210">
        <f>IF($A218="","",IF(OR($C218="",$G218&lt;=0,$A218&gt;'03_BAO_CAO'!$E$4),0,MAX(0,$G218-MAX(0,SUMIFS($H$7:$H$506,$C$7:$C$506,$C218,$A$7:$A$506,"&lt;="&amp;'03_BAO_CAO'!$E$4)-XLOOKUP($C218,'01_DANH_MUC'!$A$7:$A$206,'01_DANH_MUC'!$F$7:$F$206,0)-SUMIFS($G$7:G217,$C$7:C217,$C218,$A$7:A217,"&lt;="&amp;'03_BAO_CAO'!$E$4)))))</f>
        <v/>
      </c>
      <c r="L218" s="212">
        <f>IF($A218="","",IF(OR($K218&lt;=0,$J218=""),0,MAX(0,'03_BAO_CAO'!$E$4-$J218)))</f>
        <v/>
      </c>
      <c r="M218" s="51">
        <f>IF($A218="","",IF($K218&lt;=0,"Đã thanh toán",IF($J218="","Thiếu ngày đến hạn",IF($J218&gt;='03_BAO_CAO'!$E$4,"Chưa đến hạn",IF($L218&lt;=30,"1-30 ngày",IF($L218&lt;=60,"31-60 ngày",IF($L218&lt;=90,"61-90 ngày","Trên 90 ngày")))))))</f>
        <v/>
      </c>
      <c r="N218" s="51">
        <f>IF($A218="","",IF(OR($B218="",$C218=""),"THIẾU THÔNG TIN",IF(AND($G218&gt;0,$H218&gt;0),"KHÔNG NHẬP ĐỒNG THỜI TĂNG/GIẢM",IF(AND($G218&lt;=0,$H218&lt;=0),"CHƯA NHẬP SỐ TIỀN",IF($D218="KHÔNG TÌM THẤY","MÃ KHÔNG HỢP LỆ",IF(AND($G218&gt;0,$J218=""),"THIẾU NGÀY ĐẾN HẠN","OK"))))))</f>
        <v/>
      </c>
    </row>
    <row r="219">
      <c r="A219" s="209" t="n"/>
      <c r="B219" s="47" t="n"/>
      <c r="C219" s="47" t="n"/>
      <c r="D219" s="51">
        <f>IF($C219="","",XLOOKUP($C219,'01_DANH_MUC'!$A$7:$A$206,'01_DANH_MUC'!$B$7:$B$206,"KHÔNG TÌM THẤY"))</f>
        <v/>
      </c>
      <c r="E219" s="51">
        <f>IF($C219="","",XLOOKUP($C219,'01_DANH_MUC'!$A$7:$A$206,'01_DANH_MUC'!$C$7:$C$206,"KHÔNG TÌM THẤY"))</f>
        <v/>
      </c>
      <c r="F219" s="57" t="n"/>
      <c r="G219" s="211" t="n"/>
      <c r="H219" s="211" t="n"/>
      <c r="I219" s="212">
        <f>IF($C219="","",XLOOKUP($C219,'01_DANH_MUC'!$A$7:$A$206,'01_DANH_MUC'!$E$7:$E$206,0))</f>
        <v/>
      </c>
      <c r="J219" s="213">
        <f>IF(OR($A219="",$C219="",$G219&lt;=0),"",$A219+$I219)</f>
        <v/>
      </c>
      <c r="K219" s="210">
        <f>IF($A219="","",IF(OR($C219="",$G219&lt;=0,$A219&gt;'03_BAO_CAO'!$E$4),0,MAX(0,$G219-MAX(0,SUMIFS($H$7:$H$506,$C$7:$C$506,$C219,$A$7:$A$506,"&lt;="&amp;'03_BAO_CAO'!$E$4)-XLOOKUP($C219,'01_DANH_MUC'!$A$7:$A$206,'01_DANH_MUC'!$F$7:$F$206,0)-SUMIFS($G$7:G218,$C$7:C218,$C219,$A$7:A218,"&lt;="&amp;'03_BAO_CAO'!$E$4)))))</f>
        <v/>
      </c>
      <c r="L219" s="212">
        <f>IF($A219="","",IF(OR($K219&lt;=0,$J219=""),0,MAX(0,'03_BAO_CAO'!$E$4-$J219)))</f>
        <v/>
      </c>
      <c r="M219" s="51">
        <f>IF($A219="","",IF($K219&lt;=0,"Đã thanh toán",IF($J219="","Thiếu ngày đến hạn",IF($J219&gt;='03_BAO_CAO'!$E$4,"Chưa đến hạn",IF($L219&lt;=30,"1-30 ngày",IF($L219&lt;=60,"31-60 ngày",IF($L219&lt;=90,"61-90 ngày","Trên 90 ngày")))))))</f>
        <v/>
      </c>
      <c r="N219" s="51">
        <f>IF($A219="","",IF(OR($B219="",$C219=""),"THIẾU THÔNG TIN",IF(AND($G219&gt;0,$H219&gt;0),"KHÔNG NHẬP ĐỒNG THỜI TĂNG/GIẢM",IF(AND($G219&lt;=0,$H219&lt;=0),"CHƯA NHẬP SỐ TIỀN",IF($D219="KHÔNG TÌM THẤY","MÃ KHÔNG HỢP LỆ",IF(AND($G219&gt;0,$J219=""),"THIẾU NGÀY ĐẾN HẠN","OK"))))))</f>
        <v/>
      </c>
    </row>
    <row r="220">
      <c r="A220" s="209" t="n"/>
      <c r="B220" s="47" t="n"/>
      <c r="C220" s="47" t="n"/>
      <c r="D220" s="51">
        <f>IF($C220="","",XLOOKUP($C220,'01_DANH_MUC'!$A$7:$A$206,'01_DANH_MUC'!$B$7:$B$206,"KHÔNG TÌM THẤY"))</f>
        <v/>
      </c>
      <c r="E220" s="51">
        <f>IF($C220="","",XLOOKUP($C220,'01_DANH_MUC'!$A$7:$A$206,'01_DANH_MUC'!$C$7:$C$206,"KHÔNG TÌM THẤY"))</f>
        <v/>
      </c>
      <c r="F220" s="57" t="n"/>
      <c r="G220" s="211" t="n"/>
      <c r="H220" s="211" t="n"/>
      <c r="I220" s="212">
        <f>IF($C220="","",XLOOKUP($C220,'01_DANH_MUC'!$A$7:$A$206,'01_DANH_MUC'!$E$7:$E$206,0))</f>
        <v/>
      </c>
      <c r="J220" s="213">
        <f>IF(OR($A220="",$C220="",$G220&lt;=0),"",$A220+$I220)</f>
        <v/>
      </c>
      <c r="K220" s="210">
        <f>IF($A220="","",IF(OR($C220="",$G220&lt;=0,$A220&gt;'03_BAO_CAO'!$E$4),0,MAX(0,$G220-MAX(0,SUMIFS($H$7:$H$506,$C$7:$C$506,$C220,$A$7:$A$506,"&lt;="&amp;'03_BAO_CAO'!$E$4)-XLOOKUP($C220,'01_DANH_MUC'!$A$7:$A$206,'01_DANH_MUC'!$F$7:$F$206,0)-SUMIFS($G$7:G219,$C$7:C219,$C220,$A$7:A219,"&lt;="&amp;'03_BAO_CAO'!$E$4)))))</f>
        <v/>
      </c>
      <c r="L220" s="212">
        <f>IF($A220="","",IF(OR($K220&lt;=0,$J220=""),0,MAX(0,'03_BAO_CAO'!$E$4-$J220)))</f>
        <v/>
      </c>
      <c r="M220" s="51">
        <f>IF($A220="","",IF($K220&lt;=0,"Đã thanh toán",IF($J220="","Thiếu ngày đến hạn",IF($J220&gt;='03_BAO_CAO'!$E$4,"Chưa đến hạn",IF($L220&lt;=30,"1-30 ngày",IF($L220&lt;=60,"31-60 ngày",IF($L220&lt;=90,"61-90 ngày","Trên 90 ngày")))))))</f>
        <v/>
      </c>
      <c r="N220" s="51">
        <f>IF($A220="","",IF(OR($B220="",$C220=""),"THIẾU THÔNG TIN",IF(AND($G220&gt;0,$H220&gt;0),"KHÔNG NHẬP ĐỒNG THỜI TĂNG/GIẢM",IF(AND($G220&lt;=0,$H220&lt;=0),"CHƯA NHẬP SỐ TIỀN",IF($D220="KHÔNG TÌM THẤY","MÃ KHÔNG HỢP LỆ",IF(AND($G220&gt;0,$J220=""),"THIẾU NGÀY ĐẾN HẠN","OK"))))))</f>
        <v/>
      </c>
    </row>
    <row r="221">
      <c r="A221" s="209" t="n"/>
      <c r="B221" s="47" t="n"/>
      <c r="C221" s="47" t="n"/>
      <c r="D221" s="51">
        <f>IF($C221="","",XLOOKUP($C221,'01_DANH_MUC'!$A$7:$A$206,'01_DANH_MUC'!$B$7:$B$206,"KHÔNG TÌM THẤY"))</f>
        <v/>
      </c>
      <c r="E221" s="51">
        <f>IF($C221="","",XLOOKUP($C221,'01_DANH_MUC'!$A$7:$A$206,'01_DANH_MUC'!$C$7:$C$206,"KHÔNG TÌM THẤY"))</f>
        <v/>
      </c>
      <c r="F221" s="57" t="n"/>
      <c r="G221" s="211" t="n"/>
      <c r="H221" s="211" t="n"/>
      <c r="I221" s="212">
        <f>IF($C221="","",XLOOKUP($C221,'01_DANH_MUC'!$A$7:$A$206,'01_DANH_MUC'!$E$7:$E$206,0))</f>
        <v/>
      </c>
      <c r="J221" s="213">
        <f>IF(OR($A221="",$C221="",$G221&lt;=0),"",$A221+$I221)</f>
        <v/>
      </c>
      <c r="K221" s="210">
        <f>IF($A221="","",IF(OR($C221="",$G221&lt;=0,$A221&gt;'03_BAO_CAO'!$E$4),0,MAX(0,$G221-MAX(0,SUMIFS($H$7:$H$506,$C$7:$C$506,$C221,$A$7:$A$506,"&lt;="&amp;'03_BAO_CAO'!$E$4)-XLOOKUP($C221,'01_DANH_MUC'!$A$7:$A$206,'01_DANH_MUC'!$F$7:$F$206,0)-SUMIFS($G$7:G220,$C$7:C220,$C221,$A$7:A220,"&lt;="&amp;'03_BAO_CAO'!$E$4)))))</f>
        <v/>
      </c>
      <c r="L221" s="212">
        <f>IF($A221="","",IF(OR($K221&lt;=0,$J221=""),0,MAX(0,'03_BAO_CAO'!$E$4-$J221)))</f>
        <v/>
      </c>
      <c r="M221" s="51">
        <f>IF($A221="","",IF($K221&lt;=0,"Đã thanh toán",IF($J221="","Thiếu ngày đến hạn",IF($J221&gt;='03_BAO_CAO'!$E$4,"Chưa đến hạn",IF($L221&lt;=30,"1-30 ngày",IF($L221&lt;=60,"31-60 ngày",IF($L221&lt;=90,"61-90 ngày","Trên 90 ngày")))))))</f>
        <v/>
      </c>
      <c r="N221" s="51">
        <f>IF($A221="","",IF(OR($B221="",$C221=""),"THIẾU THÔNG TIN",IF(AND($G221&gt;0,$H221&gt;0),"KHÔNG NHẬP ĐỒNG THỜI TĂNG/GIẢM",IF(AND($G221&lt;=0,$H221&lt;=0),"CHƯA NHẬP SỐ TIỀN",IF($D221="KHÔNG TÌM THẤY","MÃ KHÔNG HỢP LỆ",IF(AND($G221&gt;0,$J221=""),"THIẾU NGÀY ĐẾN HẠN","OK"))))))</f>
        <v/>
      </c>
    </row>
    <row r="222">
      <c r="A222" s="209" t="n"/>
      <c r="B222" s="47" t="n"/>
      <c r="C222" s="47" t="n"/>
      <c r="D222" s="51">
        <f>IF($C222="","",XLOOKUP($C222,'01_DANH_MUC'!$A$7:$A$206,'01_DANH_MUC'!$B$7:$B$206,"KHÔNG TÌM THẤY"))</f>
        <v/>
      </c>
      <c r="E222" s="51">
        <f>IF($C222="","",XLOOKUP($C222,'01_DANH_MUC'!$A$7:$A$206,'01_DANH_MUC'!$C$7:$C$206,"KHÔNG TÌM THẤY"))</f>
        <v/>
      </c>
      <c r="F222" s="57" t="n"/>
      <c r="G222" s="211" t="n"/>
      <c r="H222" s="211" t="n"/>
      <c r="I222" s="212">
        <f>IF($C222="","",XLOOKUP($C222,'01_DANH_MUC'!$A$7:$A$206,'01_DANH_MUC'!$E$7:$E$206,0))</f>
        <v/>
      </c>
      <c r="J222" s="213">
        <f>IF(OR($A222="",$C222="",$G222&lt;=0),"",$A222+$I222)</f>
        <v/>
      </c>
      <c r="K222" s="210">
        <f>IF($A222="","",IF(OR($C222="",$G222&lt;=0,$A222&gt;'03_BAO_CAO'!$E$4),0,MAX(0,$G222-MAX(0,SUMIFS($H$7:$H$506,$C$7:$C$506,$C222,$A$7:$A$506,"&lt;="&amp;'03_BAO_CAO'!$E$4)-XLOOKUP($C222,'01_DANH_MUC'!$A$7:$A$206,'01_DANH_MUC'!$F$7:$F$206,0)-SUMIFS($G$7:G221,$C$7:C221,$C222,$A$7:A221,"&lt;="&amp;'03_BAO_CAO'!$E$4)))))</f>
        <v/>
      </c>
      <c r="L222" s="212">
        <f>IF($A222="","",IF(OR($K222&lt;=0,$J222=""),0,MAX(0,'03_BAO_CAO'!$E$4-$J222)))</f>
        <v/>
      </c>
      <c r="M222" s="51">
        <f>IF($A222="","",IF($K222&lt;=0,"Đã thanh toán",IF($J222="","Thiếu ngày đến hạn",IF($J222&gt;='03_BAO_CAO'!$E$4,"Chưa đến hạn",IF($L222&lt;=30,"1-30 ngày",IF($L222&lt;=60,"31-60 ngày",IF($L222&lt;=90,"61-90 ngày","Trên 90 ngày")))))))</f>
        <v/>
      </c>
      <c r="N222" s="51">
        <f>IF($A222="","",IF(OR($B222="",$C222=""),"THIẾU THÔNG TIN",IF(AND($G222&gt;0,$H222&gt;0),"KHÔNG NHẬP ĐỒNG THỜI TĂNG/GIẢM",IF(AND($G222&lt;=0,$H222&lt;=0),"CHƯA NHẬP SỐ TIỀN",IF($D222="KHÔNG TÌM THẤY","MÃ KHÔNG HỢP LỆ",IF(AND($G222&gt;0,$J222=""),"THIẾU NGÀY ĐẾN HẠN","OK"))))))</f>
        <v/>
      </c>
    </row>
    <row r="223">
      <c r="A223" s="209" t="n"/>
      <c r="B223" s="47" t="n"/>
      <c r="C223" s="47" t="n"/>
      <c r="D223" s="51">
        <f>IF($C223="","",XLOOKUP($C223,'01_DANH_MUC'!$A$7:$A$206,'01_DANH_MUC'!$B$7:$B$206,"KHÔNG TÌM THẤY"))</f>
        <v/>
      </c>
      <c r="E223" s="51">
        <f>IF($C223="","",XLOOKUP($C223,'01_DANH_MUC'!$A$7:$A$206,'01_DANH_MUC'!$C$7:$C$206,"KHÔNG TÌM THẤY"))</f>
        <v/>
      </c>
      <c r="F223" s="57" t="n"/>
      <c r="G223" s="211" t="n"/>
      <c r="H223" s="211" t="n"/>
      <c r="I223" s="212">
        <f>IF($C223="","",XLOOKUP($C223,'01_DANH_MUC'!$A$7:$A$206,'01_DANH_MUC'!$E$7:$E$206,0))</f>
        <v/>
      </c>
      <c r="J223" s="213">
        <f>IF(OR($A223="",$C223="",$G223&lt;=0),"",$A223+$I223)</f>
        <v/>
      </c>
      <c r="K223" s="210">
        <f>IF($A223="","",IF(OR($C223="",$G223&lt;=0,$A223&gt;'03_BAO_CAO'!$E$4),0,MAX(0,$G223-MAX(0,SUMIFS($H$7:$H$506,$C$7:$C$506,$C223,$A$7:$A$506,"&lt;="&amp;'03_BAO_CAO'!$E$4)-XLOOKUP($C223,'01_DANH_MUC'!$A$7:$A$206,'01_DANH_MUC'!$F$7:$F$206,0)-SUMIFS($G$7:G222,$C$7:C222,$C223,$A$7:A222,"&lt;="&amp;'03_BAO_CAO'!$E$4)))))</f>
        <v/>
      </c>
      <c r="L223" s="212">
        <f>IF($A223="","",IF(OR($K223&lt;=0,$J223=""),0,MAX(0,'03_BAO_CAO'!$E$4-$J223)))</f>
        <v/>
      </c>
      <c r="M223" s="51">
        <f>IF($A223="","",IF($K223&lt;=0,"Đã thanh toán",IF($J223="","Thiếu ngày đến hạn",IF($J223&gt;='03_BAO_CAO'!$E$4,"Chưa đến hạn",IF($L223&lt;=30,"1-30 ngày",IF($L223&lt;=60,"31-60 ngày",IF($L223&lt;=90,"61-90 ngày","Trên 90 ngày")))))))</f>
        <v/>
      </c>
      <c r="N223" s="51">
        <f>IF($A223="","",IF(OR($B223="",$C223=""),"THIẾU THÔNG TIN",IF(AND($G223&gt;0,$H223&gt;0),"KHÔNG NHẬP ĐỒNG THỜI TĂNG/GIẢM",IF(AND($G223&lt;=0,$H223&lt;=0),"CHƯA NHẬP SỐ TIỀN",IF($D223="KHÔNG TÌM THẤY","MÃ KHÔNG HỢP LỆ",IF(AND($G223&gt;0,$J223=""),"THIẾU NGÀY ĐẾN HẠN","OK"))))))</f>
        <v/>
      </c>
    </row>
    <row r="224">
      <c r="A224" s="209" t="n"/>
      <c r="B224" s="47" t="n"/>
      <c r="C224" s="47" t="n"/>
      <c r="D224" s="51">
        <f>IF($C224="","",XLOOKUP($C224,'01_DANH_MUC'!$A$7:$A$206,'01_DANH_MUC'!$B$7:$B$206,"KHÔNG TÌM THẤY"))</f>
        <v/>
      </c>
      <c r="E224" s="51">
        <f>IF($C224="","",XLOOKUP($C224,'01_DANH_MUC'!$A$7:$A$206,'01_DANH_MUC'!$C$7:$C$206,"KHÔNG TÌM THẤY"))</f>
        <v/>
      </c>
      <c r="F224" s="57" t="n"/>
      <c r="G224" s="211" t="n"/>
      <c r="H224" s="211" t="n"/>
      <c r="I224" s="212">
        <f>IF($C224="","",XLOOKUP($C224,'01_DANH_MUC'!$A$7:$A$206,'01_DANH_MUC'!$E$7:$E$206,0))</f>
        <v/>
      </c>
      <c r="J224" s="213">
        <f>IF(OR($A224="",$C224="",$G224&lt;=0),"",$A224+$I224)</f>
        <v/>
      </c>
      <c r="K224" s="210">
        <f>IF($A224="","",IF(OR($C224="",$G224&lt;=0,$A224&gt;'03_BAO_CAO'!$E$4),0,MAX(0,$G224-MAX(0,SUMIFS($H$7:$H$506,$C$7:$C$506,$C224,$A$7:$A$506,"&lt;="&amp;'03_BAO_CAO'!$E$4)-XLOOKUP($C224,'01_DANH_MUC'!$A$7:$A$206,'01_DANH_MUC'!$F$7:$F$206,0)-SUMIFS($G$7:G223,$C$7:C223,$C224,$A$7:A223,"&lt;="&amp;'03_BAO_CAO'!$E$4)))))</f>
        <v/>
      </c>
      <c r="L224" s="212">
        <f>IF($A224="","",IF(OR($K224&lt;=0,$J224=""),0,MAX(0,'03_BAO_CAO'!$E$4-$J224)))</f>
        <v/>
      </c>
      <c r="M224" s="51">
        <f>IF($A224="","",IF($K224&lt;=0,"Đã thanh toán",IF($J224="","Thiếu ngày đến hạn",IF($J224&gt;='03_BAO_CAO'!$E$4,"Chưa đến hạn",IF($L224&lt;=30,"1-30 ngày",IF($L224&lt;=60,"31-60 ngày",IF($L224&lt;=90,"61-90 ngày","Trên 90 ngày")))))))</f>
        <v/>
      </c>
      <c r="N224" s="51">
        <f>IF($A224="","",IF(OR($B224="",$C224=""),"THIẾU THÔNG TIN",IF(AND($G224&gt;0,$H224&gt;0),"KHÔNG NHẬP ĐỒNG THỜI TĂNG/GIẢM",IF(AND($G224&lt;=0,$H224&lt;=0),"CHƯA NHẬP SỐ TIỀN",IF($D224="KHÔNG TÌM THẤY","MÃ KHÔNG HỢP LỆ",IF(AND($G224&gt;0,$J224=""),"THIẾU NGÀY ĐẾN HẠN","OK"))))))</f>
        <v/>
      </c>
    </row>
    <row r="225">
      <c r="A225" s="209" t="n"/>
      <c r="B225" s="47" t="n"/>
      <c r="C225" s="47" t="n"/>
      <c r="D225" s="51">
        <f>IF($C225="","",XLOOKUP($C225,'01_DANH_MUC'!$A$7:$A$206,'01_DANH_MUC'!$B$7:$B$206,"KHÔNG TÌM THẤY"))</f>
        <v/>
      </c>
      <c r="E225" s="51">
        <f>IF($C225="","",XLOOKUP($C225,'01_DANH_MUC'!$A$7:$A$206,'01_DANH_MUC'!$C$7:$C$206,"KHÔNG TÌM THẤY"))</f>
        <v/>
      </c>
      <c r="F225" s="57" t="n"/>
      <c r="G225" s="211" t="n"/>
      <c r="H225" s="211" t="n"/>
      <c r="I225" s="212">
        <f>IF($C225="","",XLOOKUP($C225,'01_DANH_MUC'!$A$7:$A$206,'01_DANH_MUC'!$E$7:$E$206,0))</f>
        <v/>
      </c>
      <c r="J225" s="213">
        <f>IF(OR($A225="",$C225="",$G225&lt;=0),"",$A225+$I225)</f>
        <v/>
      </c>
      <c r="K225" s="210">
        <f>IF($A225="","",IF(OR($C225="",$G225&lt;=0,$A225&gt;'03_BAO_CAO'!$E$4),0,MAX(0,$G225-MAX(0,SUMIFS($H$7:$H$506,$C$7:$C$506,$C225,$A$7:$A$506,"&lt;="&amp;'03_BAO_CAO'!$E$4)-XLOOKUP($C225,'01_DANH_MUC'!$A$7:$A$206,'01_DANH_MUC'!$F$7:$F$206,0)-SUMIFS($G$7:G224,$C$7:C224,$C225,$A$7:A224,"&lt;="&amp;'03_BAO_CAO'!$E$4)))))</f>
        <v/>
      </c>
      <c r="L225" s="212">
        <f>IF($A225="","",IF(OR($K225&lt;=0,$J225=""),0,MAX(0,'03_BAO_CAO'!$E$4-$J225)))</f>
        <v/>
      </c>
      <c r="M225" s="51">
        <f>IF($A225="","",IF($K225&lt;=0,"Đã thanh toán",IF($J225="","Thiếu ngày đến hạn",IF($J225&gt;='03_BAO_CAO'!$E$4,"Chưa đến hạn",IF($L225&lt;=30,"1-30 ngày",IF($L225&lt;=60,"31-60 ngày",IF($L225&lt;=90,"61-90 ngày","Trên 90 ngày")))))))</f>
        <v/>
      </c>
      <c r="N225" s="51">
        <f>IF($A225="","",IF(OR($B225="",$C225=""),"THIẾU THÔNG TIN",IF(AND($G225&gt;0,$H225&gt;0),"KHÔNG NHẬP ĐỒNG THỜI TĂNG/GIẢM",IF(AND($G225&lt;=0,$H225&lt;=0),"CHƯA NHẬP SỐ TIỀN",IF($D225="KHÔNG TÌM THẤY","MÃ KHÔNG HỢP LỆ",IF(AND($G225&gt;0,$J225=""),"THIẾU NGÀY ĐẾN HẠN","OK"))))))</f>
        <v/>
      </c>
    </row>
    <row r="226">
      <c r="A226" s="209" t="n"/>
      <c r="B226" s="47" t="n"/>
      <c r="C226" s="47" t="n"/>
      <c r="D226" s="51">
        <f>IF($C226="","",XLOOKUP($C226,'01_DANH_MUC'!$A$7:$A$206,'01_DANH_MUC'!$B$7:$B$206,"KHÔNG TÌM THẤY"))</f>
        <v/>
      </c>
      <c r="E226" s="51">
        <f>IF($C226="","",XLOOKUP($C226,'01_DANH_MUC'!$A$7:$A$206,'01_DANH_MUC'!$C$7:$C$206,"KHÔNG TÌM THẤY"))</f>
        <v/>
      </c>
      <c r="F226" s="57" t="n"/>
      <c r="G226" s="211" t="n"/>
      <c r="H226" s="211" t="n"/>
      <c r="I226" s="212">
        <f>IF($C226="","",XLOOKUP($C226,'01_DANH_MUC'!$A$7:$A$206,'01_DANH_MUC'!$E$7:$E$206,0))</f>
        <v/>
      </c>
      <c r="J226" s="213">
        <f>IF(OR($A226="",$C226="",$G226&lt;=0),"",$A226+$I226)</f>
        <v/>
      </c>
      <c r="K226" s="210">
        <f>IF($A226="","",IF(OR($C226="",$G226&lt;=0,$A226&gt;'03_BAO_CAO'!$E$4),0,MAX(0,$G226-MAX(0,SUMIFS($H$7:$H$506,$C$7:$C$506,$C226,$A$7:$A$506,"&lt;="&amp;'03_BAO_CAO'!$E$4)-XLOOKUP($C226,'01_DANH_MUC'!$A$7:$A$206,'01_DANH_MUC'!$F$7:$F$206,0)-SUMIFS($G$7:G225,$C$7:C225,$C226,$A$7:A225,"&lt;="&amp;'03_BAO_CAO'!$E$4)))))</f>
        <v/>
      </c>
      <c r="L226" s="212">
        <f>IF($A226="","",IF(OR($K226&lt;=0,$J226=""),0,MAX(0,'03_BAO_CAO'!$E$4-$J226)))</f>
        <v/>
      </c>
      <c r="M226" s="51">
        <f>IF($A226="","",IF($K226&lt;=0,"Đã thanh toán",IF($J226="","Thiếu ngày đến hạn",IF($J226&gt;='03_BAO_CAO'!$E$4,"Chưa đến hạn",IF($L226&lt;=30,"1-30 ngày",IF($L226&lt;=60,"31-60 ngày",IF($L226&lt;=90,"61-90 ngày","Trên 90 ngày")))))))</f>
        <v/>
      </c>
      <c r="N226" s="51">
        <f>IF($A226="","",IF(OR($B226="",$C226=""),"THIẾU THÔNG TIN",IF(AND($G226&gt;0,$H226&gt;0),"KHÔNG NHẬP ĐỒNG THỜI TĂNG/GIẢM",IF(AND($G226&lt;=0,$H226&lt;=0),"CHƯA NHẬP SỐ TIỀN",IF($D226="KHÔNG TÌM THẤY","MÃ KHÔNG HỢP LỆ",IF(AND($G226&gt;0,$J226=""),"THIẾU NGÀY ĐẾN HẠN","OK"))))))</f>
        <v/>
      </c>
    </row>
    <row r="227">
      <c r="A227" s="209" t="n"/>
      <c r="B227" s="47" t="n"/>
      <c r="C227" s="47" t="n"/>
      <c r="D227" s="51">
        <f>IF($C227="","",XLOOKUP($C227,'01_DANH_MUC'!$A$7:$A$206,'01_DANH_MUC'!$B$7:$B$206,"KHÔNG TÌM THẤY"))</f>
        <v/>
      </c>
      <c r="E227" s="51">
        <f>IF($C227="","",XLOOKUP($C227,'01_DANH_MUC'!$A$7:$A$206,'01_DANH_MUC'!$C$7:$C$206,"KHÔNG TÌM THẤY"))</f>
        <v/>
      </c>
      <c r="F227" s="57" t="n"/>
      <c r="G227" s="211" t="n"/>
      <c r="H227" s="211" t="n"/>
      <c r="I227" s="212">
        <f>IF($C227="","",XLOOKUP($C227,'01_DANH_MUC'!$A$7:$A$206,'01_DANH_MUC'!$E$7:$E$206,0))</f>
        <v/>
      </c>
      <c r="J227" s="213">
        <f>IF(OR($A227="",$C227="",$G227&lt;=0),"",$A227+$I227)</f>
        <v/>
      </c>
      <c r="K227" s="210">
        <f>IF($A227="","",IF(OR($C227="",$G227&lt;=0,$A227&gt;'03_BAO_CAO'!$E$4),0,MAX(0,$G227-MAX(0,SUMIFS($H$7:$H$506,$C$7:$C$506,$C227,$A$7:$A$506,"&lt;="&amp;'03_BAO_CAO'!$E$4)-XLOOKUP($C227,'01_DANH_MUC'!$A$7:$A$206,'01_DANH_MUC'!$F$7:$F$206,0)-SUMIFS($G$7:G226,$C$7:C226,$C227,$A$7:A226,"&lt;="&amp;'03_BAO_CAO'!$E$4)))))</f>
        <v/>
      </c>
      <c r="L227" s="212">
        <f>IF($A227="","",IF(OR($K227&lt;=0,$J227=""),0,MAX(0,'03_BAO_CAO'!$E$4-$J227)))</f>
        <v/>
      </c>
      <c r="M227" s="51">
        <f>IF($A227="","",IF($K227&lt;=0,"Đã thanh toán",IF($J227="","Thiếu ngày đến hạn",IF($J227&gt;='03_BAO_CAO'!$E$4,"Chưa đến hạn",IF($L227&lt;=30,"1-30 ngày",IF($L227&lt;=60,"31-60 ngày",IF($L227&lt;=90,"61-90 ngày","Trên 90 ngày")))))))</f>
        <v/>
      </c>
      <c r="N227" s="51">
        <f>IF($A227="","",IF(OR($B227="",$C227=""),"THIẾU THÔNG TIN",IF(AND($G227&gt;0,$H227&gt;0),"KHÔNG NHẬP ĐỒNG THỜI TĂNG/GIẢM",IF(AND($G227&lt;=0,$H227&lt;=0),"CHƯA NHẬP SỐ TIỀN",IF($D227="KHÔNG TÌM THẤY","MÃ KHÔNG HỢP LỆ",IF(AND($G227&gt;0,$J227=""),"THIẾU NGÀY ĐẾN HẠN","OK"))))))</f>
        <v/>
      </c>
    </row>
    <row r="228">
      <c r="A228" s="209" t="n"/>
      <c r="B228" s="47" t="n"/>
      <c r="C228" s="47" t="n"/>
      <c r="D228" s="51">
        <f>IF($C228="","",XLOOKUP($C228,'01_DANH_MUC'!$A$7:$A$206,'01_DANH_MUC'!$B$7:$B$206,"KHÔNG TÌM THẤY"))</f>
        <v/>
      </c>
      <c r="E228" s="51">
        <f>IF($C228="","",XLOOKUP($C228,'01_DANH_MUC'!$A$7:$A$206,'01_DANH_MUC'!$C$7:$C$206,"KHÔNG TÌM THẤY"))</f>
        <v/>
      </c>
      <c r="F228" s="57" t="n"/>
      <c r="G228" s="211" t="n"/>
      <c r="H228" s="211" t="n"/>
      <c r="I228" s="212">
        <f>IF($C228="","",XLOOKUP($C228,'01_DANH_MUC'!$A$7:$A$206,'01_DANH_MUC'!$E$7:$E$206,0))</f>
        <v/>
      </c>
      <c r="J228" s="213">
        <f>IF(OR($A228="",$C228="",$G228&lt;=0),"",$A228+$I228)</f>
        <v/>
      </c>
      <c r="K228" s="210">
        <f>IF($A228="","",IF(OR($C228="",$G228&lt;=0,$A228&gt;'03_BAO_CAO'!$E$4),0,MAX(0,$G228-MAX(0,SUMIFS($H$7:$H$506,$C$7:$C$506,$C228,$A$7:$A$506,"&lt;="&amp;'03_BAO_CAO'!$E$4)-XLOOKUP($C228,'01_DANH_MUC'!$A$7:$A$206,'01_DANH_MUC'!$F$7:$F$206,0)-SUMIFS($G$7:G227,$C$7:C227,$C228,$A$7:A227,"&lt;="&amp;'03_BAO_CAO'!$E$4)))))</f>
        <v/>
      </c>
      <c r="L228" s="212">
        <f>IF($A228="","",IF(OR($K228&lt;=0,$J228=""),0,MAX(0,'03_BAO_CAO'!$E$4-$J228)))</f>
        <v/>
      </c>
      <c r="M228" s="51">
        <f>IF($A228="","",IF($K228&lt;=0,"Đã thanh toán",IF($J228="","Thiếu ngày đến hạn",IF($J228&gt;='03_BAO_CAO'!$E$4,"Chưa đến hạn",IF($L228&lt;=30,"1-30 ngày",IF($L228&lt;=60,"31-60 ngày",IF($L228&lt;=90,"61-90 ngày","Trên 90 ngày")))))))</f>
        <v/>
      </c>
      <c r="N228" s="51">
        <f>IF($A228="","",IF(OR($B228="",$C228=""),"THIẾU THÔNG TIN",IF(AND($G228&gt;0,$H228&gt;0),"KHÔNG NHẬP ĐỒNG THỜI TĂNG/GIẢM",IF(AND($G228&lt;=0,$H228&lt;=0),"CHƯA NHẬP SỐ TIỀN",IF($D228="KHÔNG TÌM THẤY","MÃ KHÔNG HỢP LỆ",IF(AND($G228&gt;0,$J228=""),"THIẾU NGÀY ĐẾN HẠN","OK"))))))</f>
        <v/>
      </c>
    </row>
    <row r="229">
      <c r="A229" s="209" t="n"/>
      <c r="B229" s="47" t="n"/>
      <c r="C229" s="47" t="n"/>
      <c r="D229" s="51">
        <f>IF($C229="","",XLOOKUP($C229,'01_DANH_MUC'!$A$7:$A$206,'01_DANH_MUC'!$B$7:$B$206,"KHÔNG TÌM THẤY"))</f>
        <v/>
      </c>
      <c r="E229" s="51">
        <f>IF($C229="","",XLOOKUP($C229,'01_DANH_MUC'!$A$7:$A$206,'01_DANH_MUC'!$C$7:$C$206,"KHÔNG TÌM THẤY"))</f>
        <v/>
      </c>
      <c r="F229" s="57" t="n"/>
      <c r="G229" s="211" t="n"/>
      <c r="H229" s="211" t="n"/>
      <c r="I229" s="212">
        <f>IF($C229="","",XLOOKUP($C229,'01_DANH_MUC'!$A$7:$A$206,'01_DANH_MUC'!$E$7:$E$206,0))</f>
        <v/>
      </c>
      <c r="J229" s="213">
        <f>IF(OR($A229="",$C229="",$G229&lt;=0),"",$A229+$I229)</f>
        <v/>
      </c>
      <c r="K229" s="210">
        <f>IF($A229="","",IF(OR($C229="",$G229&lt;=0,$A229&gt;'03_BAO_CAO'!$E$4),0,MAX(0,$G229-MAX(0,SUMIFS($H$7:$H$506,$C$7:$C$506,$C229,$A$7:$A$506,"&lt;="&amp;'03_BAO_CAO'!$E$4)-XLOOKUP($C229,'01_DANH_MUC'!$A$7:$A$206,'01_DANH_MUC'!$F$7:$F$206,0)-SUMIFS($G$7:G228,$C$7:C228,$C229,$A$7:A228,"&lt;="&amp;'03_BAO_CAO'!$E$4)))))</f>
        <v/>
      </c>
      <c r="L229" s="212">
        <f>IF($A229="","",IF(OR($K229&lt;=0,$J229=""),0,MAX(0,'03_BAO_CAO'!$E$4-$J229)))</f>
        <v/>
      </c>
      <c r="M229" s="51">
        <f>IF($A229="","",IF($K229&lt;=0,"Đã thanh toán",IF($J229="","Thiếu ngày đến hạn",IF($J229&gt;='03_BAO_CAO'!$E$4,"Chưa đến hạn",IF($L229&lt;=30,"1-30 ngày",IF($L229&lt;=60,"31-60 ngày",IF($L229&lt;=90,"61-90 ngày","Trên 90 ngày")))))))</f>
        <v/>
      </c>
      <c r="N229" s="51">
        <f>IF($A229="","",IF(OR($B229="",$C229=""),"THIẾU THÔNG TIN",IF(AND($G229&gt;0,$H229&gt;0),"KHÔNG NHẬP ĐỒNG THỜI TĂNG/GIẢM",IF(AND($G229&lt;=0,$H229&lt;=0),"CHƯA NHẬP SỐ TIỀN",IF($D229="KHÔNG TÌM THẤY","MÃ KHÔNG HỢP LỆ",IF(AND($G229&gt;0,$J229=""),"THIẾU NGÀY ĐẾN HẠN","OK"))))))</f>
        <v/>
      </c>
    </row>
    <row r="230">
      <c r="A230" s="209" t="n"/>
      <c r="B230" s="47" t="n"/>
      <c r="C230" s="47" t="n"/>
      <c r="D230" s="51">
        <f>IF($C230="","",XLOOKUP($C230,'01_DANH_MUC'!$A$7:$A$206,'01_DANH_MUC'!$B$7:$B$206,"KHÔNG TÌM THẤY"))</f>
        <v/>
      </c>
      <c r="E230" s="51">
        <f>IF($C230="","",XLOOKUP($C230,'01_DANH_MUC'!$A$7:$A$206,'01_DANH_MUC'!$C$7:$C$206,"KHÔNG TÌM THẤY"))</f>
        <v/>
      </c>
      <c r="F230" s="57" t="n"/>
      <c r="G230" s="211" t="n"/>
      <c r="H230" s="211" t="n"/>
      <c r="I230" s="212">
        <f>IF($C230="","",XLOOKUP($C230,'01_DANH_MUC'!$A$7:$A$206,'01_DANH_MUC'!$E$7:$E$206,0))</f>
        <v/>
      </c>
      <c r="J230" s="213">
        <f>IF(OR($A230="",$C230="",$G230&lt;=0),"",$A230+$I230)</f>
        <v/>
      </c>
      <c r="K230" s="210">
        <f>IF($A230="","",IF(OR($C230="",$G230&lt;=0,$A230&gt;'03_BAO_CAO'!$E$4),0,MAX(0,$G230-MAX(0,SUMIFS($H$7:$H$506,$C$7:$C$506,$C230,$A$7:$A$506,"&lt;="&amp;'03_BAO_CAO'!$E$4)-XLOOKUP($C230,'01_DANH_MUC'!$A$7:$A$206,'01_DANH_MUC'!$F$7:$F$206,0)-SUMIFS($G$7:G229,$C$7:C229,$C230,$A$7:A229,"&lt;="&amp;'03_BAO_CAO'!$E$4)))))</f>
        <v/>
      </c>
      <c r="L230" s="212">
        <f>IF($A230="","",IF(OR($K230&lt;=0,$J230=""),0,MAX(0,'03_BAO_CAO'!$E$4-$J230)))</f>
        <v/>
      </c>
      <c r="M230" s="51">
        <f>IF($A230="","",IF($K230&lt;=0,"Đã thanh toán",IF($J230="","Thiếu ngày đến hạn",IF($J230&gt;='03_BAO_CAO'!$E$4,"Chưa đến hạn",IF($L230&lt;=30,"1-30 ngày",IF($L230&lt;=60,"31-60 ngày",IF($L230&lt;=90,"61-90 ngày","Trên 90 ngày")))))))</f>
        <v/>
      </c>
      <c r="N230" s="51">
        <f>IF($A230="","",IF(OR($B230="",$C230=""),"THIẾU THÔNG TIN",IF(AND($G230&gt;0,$H230&gt;0),"KHÔNG NHẬP ĐỒNG THỜI TĂNG/GIẢM",IF(AND($G230&lt;=0,$H230&lt;=0),"CHƯA NHẬP SỐ TIỀN",IF($D230="KHÔNG TÌM THẤY","MÃ KHÔNG HỢP LỆ",IF(AND($G230&gt;0,$J230=""),"THIẾU NGÀY ĐẾN HẠN","OK"))))))</f>
        <v/>
      </c>
    </row>
    <row r="231">
      <c r="A231" s="209" t="n"/>
      <c r="B231" s="47" t="n"/>
      <c r="C231" s="47" t="n"/>
      <c r="D231" s="51">
        <f>IF($C231="","",XLOOKUP($C231,'01_DANH_MUC'!$A$7:$A$206,'01_DANH_MUC'!$B$7:$B$206,"KHÔNG TÌM THẤY"))</f>
        <v/>
      </c>
      <c r="E231" s="51">
        <f>IF($C231="","",XLOOKUP($C231,'01_DANH_MUC'!$A$7:$A$206,'01_DANH_MUC'!$C$7:$C$206,"KHÔNG TÌM THẤY"))</f>
        <v/>
      </c>
      <c r="F231" s="57" t="n"/>
      <c r="G231" s="211" t="n"/>
      <c r="H231" s="211" t="n"/>
      <c r="I231" s="212">
        <f>IF($C231="","",XLOOKUP($C231,'01_DANH_MUC'!$A$7:$A$206,'01_DANH_MUC'!$E$7:$E$206,0))</f>
        <v/>
      </c>
      <c r="J231" s="213">
        <f>IF(OR($A231="",$C231="",$G231&lt;=0),"",$A231+$I231)</f>
        <v/>
      </c>
      <c r="K231" s="210">
        <f>IF($A231="","",IF(OR($C231="",$G231&lt;=0,$A231&gt;'03_BAO_CAO'!$E$4),0,MAX(0,$G231-MAX(0,SUMIFS($H$7:$H$506,$C$7:$C$506,$C231,$A$7:$A$506,"&lt;="&amp;'03_BAO_CAO'!$E$4)-XLOOKUP($C231,'01_DANH_MUC'!$A$7:$A$206,'01_DANH_MUC'!$F$7:$F$206,0)-SUMIFS($G$7:G230,$C$7:C230,$C231,$A$7:A230,"&lt;="&amp;'03_BAO_CAO'!$E$4)))))</f>
        <v/>
      </c>
      <c r="L231" s="212">
        <f>IF($A231="","",IF(OR($K231&lt;=0,$J231=""),0,MAX(0,'03_BAO_CAO'!$E$4-$J231)))</f>
        <v/>
      </c>
      <c r="M231" s="51">
        <f>IF($A231="","",IF($K231&lt;=0,"Đã thanh toán",IF($J231="","Thiếu ngày đến hạn",IF($J231&gt;='03_BAO_CAO'!$E$4,"Chưa đến hạn",IF($L231&lt;=30,"1-30 ngày",IF($L231&lt;=60,"31-60 ngày",IF($L231&lt;=90,"61-90 ngày","Trên 90 ngày")))))))</f>
        <v/>
      </c>
      <c r="N231" s="51">
        <f>IF($A231="","",IF(OR($B231="",$C231=""),"THIẾU THÔNG TIN",IF(AND($G231&gt;0,$H231&gt;0),"KHÔNG NHẬP ĐỒNG THỜI TĂNG/GIẢM",IF(AND($G231&lt;=0,$H231&lt;=0),"CHƯA NHẬP SỐ TIỀN",IF($D231="KHÔNG TÌM THẤY","MÃ KHÔNG HỢP LỆ",IF(AND($G231&gt;0,$J231=""),"THIẾU NGÀY ĐẾN HẠN","OK"))))))</f>
        <v/>
      </c>
    </row>
    <row r="232">
      <c r="A232" s="209" t="n"/>
      <c r="B232" s="47" t="n"/>
      <c r="C232" s="47" t="n"/>
      <c r="D232" s="51">
        <f>IF($C232="","",XLOOKUP($C232,'01_DANH_MUC'!$A$7:$A$206,'01_DANH_MUC'!$B$7:$B$206,"KHÔNG TÌM THẤY"))</f>
        <v/>
      </c>
      <c r="E232" s="51">
        <f>IF($C232="","",XLOOKUP($C232,'01_DANH_MUC'!$A$7:$A$206,'01_DANH_MUC'!$C$7:$C$206,"KHÔNG TÌM THẤY"))</f>
        <v/>
      </c>
      <c r="F232" s="57" t="n"/>
      <c r="G232" s="211" t="n"/>
      <c r="H232" s="211" t="n"/>
      <c r="I232" s="212">
        <f>IF($C232="","",XLOOKUP($C232,'01_DANH_MUC'!$A$7:$A$206,'01_DANH_MUC'!$E$7:$E$206,0))</f>
        <v/>
      </c>
      <c r="J232" s="213">
        <f>IF(OR($A232="",$C232="",$G232&lt;=0),"",$A232+$I232)</f>
        <v/>
      </c>
      <c r="K232" s="210">
        <f>IF($A232="","",IF(OR($C232="",$G232&lt;=0,$A232&gt;'03_BAO_CAO'!$E$4),0,MAX(0,$G232-MAX(0,SUMIFS($H$7:$H$506,$C$7:$C$506,$C232,$A$7:$A$506,"&lt;="&amp;'03_BAO_CAO'!$E$4)-XLOOKUP($C232,'01_DANH_MUC'!$A$7:$A$206,'01_DANH_MUC'!$F$7:$F$206,0)-SUMIFS($G$7:G231,$C$7:C231,$C232,$A$7:A231,"&lt;="&amp;'03_BAO_CAO'!$E$4)))))</f>
        <v/>
      </c>
      <c r="L232" s="212">
        <f>IF($A232="","",IF(OR($K232&lt;=0,$J232=""),0,MAX(0,'03_BAO_CAO'!$E$4-$J232)))</f>
        <v/>
      </c>
      <c r="M232" s="51">
        <f>IF($A232="","",IF($K232&lt;=0,"Đã thanh toán",IF($J232="","Thiếu ngày đến hạn",IF($J232&gt;='03_BAO_CAO'!$E$4,"Chưa đến hạn",IF($L232&lt;=30,"1-30 ngày",IF($L232&lt;=60,"31-60 ngày",IF($L232&lt;=90,"61-90 ngày","Trên 90 ngày")))))))</f>
        <v/>
      </c>
      <c r="N232" s="51">
        <f>IF($A232="","",IF(OR($B232="",$C232=""),"THIẾU THÔNG TIN",IF(AND($G232&gt;0,$H232&gt;0),"KHÔNG NHẬP ĐỒNG THỜI TĂNG/GIẢM",IF(AND($G232&lt;=0,$H232&lt;=0),"CHƯA NHẬP SỐ TIỀN",IF($D232="KHÔNG TÌM THẤY","MÃ KHÔNG HỢP LỆ",IF(AND($G232&gt;0,$J232=""),"THIẾU NGÀY ĐẾN HẠN","OK"))))))</f>
        <v/>
      </c>
    </row>
    <row r="233">
      <c r="A233" s="209" t="n"/>
      <c r="B233" s="47" t="n"/>
      <c r="C233" s="47" t="n"/>
      <c r="D233" s="51">
        <f>IF($C233="","",XLOOKUP($C233,'01_DANH_MUC'!$A$7:$A$206,'01_DANH_MUC'!$B$7:$B$206,"KHÔNG TÌM THẤY"))</f>
        <v/>
      </c>
      <c r="E233" s="51">
        <f>IF($C233="","",XLOOKUP($C233,'01_DANH_MUC'!$A$7:$A$206,'01_DANH_MUC'!$C$7:$C$206,"KHÔNG TÌM THẤY"))</f>
        <v/>
      </c>
      <c r="F233" s="57" t="n"/>
      <c r="G233" s="211" t="n"/>
      <c r="H233" s="211" t="n"/>
      <c r="I233" s="212">
        <f>IF($C233="","",XLOOKUP($C233,'01_DANH_MUC'!$A$7:$A$206,'01_DANH_MUC'!$E$7:$E$206,0))</f>
        <v/>
      </c>
      <c r="J233" s="213">
        <f>IF(OR($A233="",$C233="",$G233&lt;=0),"",$A233+$I233)</f>
        <v/>
      </c>
      <c r="K233" s="210">
        <f>IF($A233="","",IF(OR($C233="",$G233&lt;=0,$A233&gt;'03_BAO_CAO'!$E$4),0,MAX(0,$G233-MAX(0,SUMIFS($H$7:$H$506,$C$7:$C$506,$C233,$A$7:$A$506,"&lt;="&amp;'03_BAO_CAO'!$E$4)-XLOOKUP($C233,'01_DANH_MUC'!$A$7:$A$206,'01_DANH_MUC'!$F$7:$F$206,0)-SUMIFS($G$7:G232,$C$7:C232,$C233,$A$7:A232,"&lt;="&amp;'03_BAO_CAO'!$E$4)))))</f>
        <v/>
      </c>
      <c r="L233" s="212">
        <f>IF($A233="","",IF(OR($K233&lt;=0,$J233=""),0,MAX(0,'03_BAO_CAO'!$E$4-$J233)))</f>
        <v/>
      </c>
      <c r="M233" s="51">
        <f>IF($A233="","",IF($K233&lt;=0,"Đã thanh toán",IF($J233="","Thiếu ngày đến hạn",IF($J233&gt;='03_BAO_CAO'!$E$4,"Chưa đến hạn",IF($L233&lt;=30,"1-30 ngày",IF($L233&lt;=60,"31-60 ngày",IF($L233&lt;=90,"61-90 ngày","Trên 90 ngày")))))))</f>
        <v/>
      </c>
      <c r="N233" s="51">
        <f>IF($A233="","",IF(OR($B233="",$C233=""),"THIẾU THÔNG TIN",IF(AND($G233&gt;0,$H233&gt;0),"KHÔNG NHẬP ĐỒNG THỜI TĂNG/GIẢM",IF(AND($G233&lt;=0,$H233&lt;=0),"CHƯA NHẬP SỐ TIỀN",IF($D233="KHÔNG TÌM THẤY","MÃ KHÔNG HỢP LỆ",IF(AND($G233&gt;0,$J233=""),"THIẾU NGÀY ĐẾN HẠN","OK"))))))</f>
        <v/>
      </c>
    </row>
    <row r="234">
      <c r="A234" s="209" t="n"/>
      <c r="B234" s="47" t="n"/>
      <c r="C234" s="47" t="n"/>
      <c r="D234" s="51">
        <f>IF($C234="","",XLOOKUP($C234,'01_DANH_MUC'!$A$7:$A$206,'01_DANH_MUC'!$B$7:$B$206,"KHÔNG TÌM THẤY"))</f>
        <v/>
      </c>
      <c r="E234" s="51">
        <f>IF($C234="","",XLOOKUP($C234,'01_DANH_MUC'!$A$7:$A$206,'01_DANH_MUC'!$C$7:$C$206,"KHÔNG TÌM THẤY"))</f>
        <v/>
      </c>
      <c r="F234" s="57" t="n"/>
      <c r="G234" s="211" t="n"/>
      <c r="H234" s="211" t="n"/>
      <c r="I234" s="212">
        <f>IF($C234="","",XLOOKUP($C234,'01_DANH_MUC'!$A$7:$A$206,'01_DANH_MUC'!$E$7:$E$206,0))</f>
        <v/>
      </c>
      <c r="J234" s="213">
        <f>IF(OR($A234="",$C234="",$G234&lt;=0),"",$A234+$I234)</f>
        <v/>
      </c>
      <c r="K234" s="210">
        <f>IF($A234="","",IF(OR($C234="",$G234&lt;=0,$A234&gt;'03_BAO_CAO'!$E$4),0,MAX(0,$G234-MAX(0,SUMIFS($H$7:$H$506,$C$7:$C$506,$C234,$A$7:$A$506,"&lt;="&amp;'03_BAO_CAO'!$E$4)-XLOOKUP($C234,'01_DANH_MUC'!$A$7:$A$206,'01_DANH_MUC'!$F$7:$F$206,0)-SUMIFS($G$7:G233,$C$7:C233,$C234,$A$7:A233,"&lt;="&amp;'03_BAO_CAO'!$E$4)))))</f>
        <v/>
      </c>
      <c r="L234" s="212">
        <f>IF($A234="","",IF(OR($K234&lt;=0,$J234=""),0,MAX(0,'03_BAO_CAO'!$E$4-$J234)))</f>
        <v/>
      </c>
      <c r="M234" s="51">
        <f>IF($A234="","",IF($K234&lt;=0,"Đã thanh toán",IF($J234="","Thiếu ngày đến hạn",IF($J234&gt;='03_BAO_CAO'!$E$4,"Chưa đến hạn",IF($L234&lt;=30,"1-30 ngày",IF($L234&lt;=60,"31-60 ngày",IF($L234&lt;=90,"61-90 ngày","Trên 90 ngày")))))))</f>
        <v/>
      </c>
      <c r="N234" s="51">
        <f>IF($A234="","",IF(OR($B234="",$C234=""),"THIẾU THÔNG TIN",IF(AND($G234&gt;0,$H234&gt;0),"KHÔNG NHẬP ĐỒNG THỜI TĂNG/GIẢM",IF(AND($G234&lt;=0,$H234&lt;=0),"CHƯA NHẬP SỐ TIỀN",IF($D234="KHÔNG TÌM THẤY","MÃ KHÔNG HỢP LỆ",IF(AND($G234&gt;0,$J234=""),"THIẾU NGÀY ĐẾN HẠN","OK"))))))</f>
        <v/>
      </c>
    </row>
    <row r="235">
      <c r="A235" s="209" t="n"/>
      <c r="B235" s="47" t="n"/>
      <c r="C235" s="47" t="n"/>
      <c r="D235" s="51">
        <f>IF($C235="","",XLOOKUP($C235,'01_DANH_MUC'!$A$7:$A$206,'01_DANH_MUC'!$B$7:$B$206,"KHÔNG TÌM THẤY"))</f>
        <v/>
      </c>
      <c r="E235" s="51">
        <f>IF($C235="","",XLOOKUP($C235,'01_DANH_MUC'!$A$7:$A$206,'01_DANH_MUC'!$C$7:$C$206,"KHÔNG TÌM THẤY"))</f>
        <v/>
      </c>
      <c r="F235" s="57" t="n"/>
      <c r="G235" s="211" t="n"/>
      <c r="H235" s="211" t="n"/>
      <c r="I235" s="212">
        <f>IF($C235="","",XLOOKUP($C235,'01_DANH_MUC'!$A$7:$A$206,'01_DANH_MUC'!$E$7:$E$206,0))</f>
        <v/>
      </c>
      <c r="J235" s="213">
        <f>IF(OR($A235="",$C235="",$G235&lt;=0),"",$A235+$I235)</f>
        <v/>
      </c>
      <c r="K235" s="210">
        <f>IF($A235="","",IF(OR($C235="",$G235&lt;=0,$A235&gt;'03_BAO_CAO'!$E$4),0,MAX(0,$G235-MAX(0,SUMIFS($H$7:$H$506,$C$7:$C$506,$C235,$A$7:$A$506,"&lt;="&amp;'03_BAO_CAO'!$E$4)-XLOOKUP($C235,'01_DANH_MUC'!$A$7:$A$206,'01_DANH_MUC'!$F$7:$F$206,0)-SUMIFS($G$7:G234,$C$7:C234,$C235,$A$7:A234,"&lt;="&amp;'03_BAO_CAO'!$E$4)))))</f>
        <v/>
      </c>
      <c r="L235" s="212">
        <f>IF($A235="","",IF(OR($K235&lt;=0,$J235=""),0,MAX(0,'03_BAO_CAO'!$E$4-$J235)))</f>
        <v/>
      </c>
      <c r="M235" s="51">
        <f>IF($A235="","",IF($K235&lt;=0,"Đã thanh toán",IF($J235="","Thiếu ngày đến hạn",IF($J235&gt;='03_BAO_CAO'!$E$4,"Chưa đến hạn",IF($L235&lt;=30,"1-30 ngày",IF($L235&lt;=60,"31-60 ngày",IF($L235&lt;=90,"61-90 ngày","Trên 90 ngày")))))))</f>
        <v/>
      </c>
      <c r="N235" s="51">
        <f>IF($A235="","",IF(OR($B235="",$C235=""),"THIẾU THÔNG TIN",IF(AND($G235&gt;0,$H235&gt;0),"KHÔNG NHẬP ĐỒNG THỜI TĂNG/GIẢM",IF(AND($G235&lt;=0,$H235&lt;=0),"CHƯA NHẬP SỐ TIỀN",IF($D235="KHÔNG TÌM THẤY","MÃ KHÔNG HỢP LỆ",IF(AND($G235&gt;0,$J235=""),"THIẾU NGÀY ĐẾN HẠN","OK"))))))</f>
        <v/>
      </c>
    </row>
    <row r="236">
      <c r="A236" s="209" t="n"/>
      <c r="B236" s="47" t="n"/>
      <c r="C236" s="47" t="n"/>
      <c r="D236" s="51">
        <f>IF($C236="","",XLOOKUP($C236,'01_DANH_MUC'!$A$7:$A$206,'01_DANH_MUC'!$B$7:$B$206,"KHÔNG TÌM THẤY"))</f>
        <v/>
      </c>
      <c r="E236" s="51">
        <f>IF($C236="","",XLOOKUP($C236,'01_DANH_MUC'!$A$7:$A$206,'01_DANH_MUC'!$C$7:$C$206,"KHÔNG TÌM THẤY"))</f>
        <v/>
      </c>
      <c r="F236" s="57" t="n"/>
      <c r="G236" s="211" t="n"/>
      <c r="H236" s="211" t="n"/>
      <c r="I236" s="212">
        <f>IF($C236="","",XLOOKUP($C236,'01_DANH_MUC'!$A$7:$A$206,'01_DANH_MUC'!$E$7:$E$206,0))</f>
        <v/>
      </c>
      <c r="J236" s="213">
        <f>IF(OR($A236="",$C236="",$G236&lt;=0),"",$A236+$I236)</f>
        <v/>
      </c>
      <c r="K236" s="210">
        <f>IF($A236="","",IF(OR($C236="",$G236&lt;=0,$A236&gt;'03_BAO_CAO'!$E$4),0,MAX(0,$G236-MAX(0,SUMIFS($H$7:$H$506,$C$7:$C$506,$C236,$A$7:$A$506,"&lt;="&amp;'03_BAO_CAO'!$E$4)-XLOOKUP($C236,'01_DANH_MUC'!$A$7:$A$206,'01_DANH_MUC'!$F$7:$F$206,0)-SUMIFS($G$7:G235,$C$7:C235,$C236,$A$7:A235,"&lt;="&amp;'03_BAO_CAO'!$E$4)))))</f>
        <v/>
      </c>
      <c r="L236" s="212">
        <f>IF($A236="","",IF(OR($K236&lt;=0,$J236=""),0,MAX(0,'03_BAO_CAO'!$E$4-$J236)))</f>
        <v/>
      </c>
      <c r="M236" s="51">
        <f>IF($A236="","",IF($K236&lt;=0,"Đã thanh toán",IF($J236="","Thiếu ngày đến hạn",IF($J236&gt;='03_BAO_CAO'!$E$4,"Chưa đến hạn",IF($L236&lt;=30,"1-30 ngày",IF($L236&lt;=60,"31-60 ngày",IF($L236&lt;=90,"61-90 ngày","Trên 90 ngày")))))))</f>
        <v/>
      </c>
      <c r="N236" s="51">
        <f>IF($A236="","",IF(OR($B236="",$C236=""),"THIẾU THÔNG TIN",IF(AND($G236&gt;0,$H236&gt;0),"KHÔNG NHẬP ĐỒNG THỜI TĂNG/GIẢM",IF(AND($G236&lt;=0,$H236&lt;=0),"CHƯA NHẬP SỐ TIỀN",IF($D236="KHÔNG TÌM THẤY","MÃ KHÔNG HỢP LỆ",IF(AND($G236&gt;0,$J236=""),"THIẾU NGÀY ĐẾN HẠN","OK"))))))</f>
        <v/>
      </c>
    </row>
    <row r="237">
      <c r="A237" s="209" t="n"/>
      <c r="B237" s="47" t="n"/>
      <c r="C237" s="47" t="n"/>
      <c r="D237" s="51">
        <f>IF($C237="","",XLOOKUP($C237,'01_DANH_MUC'!$A$7:$A$206,'01_DANH_MUC'!$B$7:$B$206,"KHÔNG TÌM THẤY"))</f>
        <v/>
      </c>
      <c r="E237" s="51">
        <f>IF($C237="","",XLOOKUP($C237,'01_DANH_MUC'!$A$7:$A$206,'01_DANH_MUC'!$C$7:$C$206,"KHÔNG TÌM THẤY"))</f>
        <v/>
      </c>
      <c r="F237" s="57" t="n"/>
      <c r="G237" s="211" t="n"/>
      <c r="H237" s="211" t="n"/>
      <c r="I237" s="212">
        <f>IF($C237="","",XLOOKUP($C237,'01_DANH_MUC'!$A$7:$A$206,'01_DANH_MUC'!$E$7:$E$206,0))</f>
        <v/>
      </c>
      <c r="J237" s="213">
        <f>IF(OR($A237="",$C237="",$G237&lt;=0),"",$A237+$I237)</f>
        <v/>
      </c>
      <c r="K237" s="210">
        <f>IF($A237="","",IF(OR($C237="",$G237&lt;=0,$A237&gt;'03_BAO_CAO'!$E$4),0,MAX(0,$G237-MAX(0,SUMIFS($H$7:$H$506,$C$7:$C$506,$C237,$A$7:$A$506,"&lt;="&amp;'03_BAO_CAO'!$E$4)-XLOOKUP($C237,'01_DANH_MUC'!$A$7:$A$206,'01_DANH_MUC'!$F$7:$F$206,0)-SUMIFS($G$7:G236,$C$7:C236,$C237,$A$7:A236,"&lt;="&amp;'03_BAO_CAO'!$E$4)))))</f>
        <v/>
      </c>
      <c r="L237" s="212">
        <f>IF($A237="","",IF(OR($K237&lt;=0,$J237=""),0,MAX(0,'03_BAO_CAO'!$E$4-$J237)))</f>
        <v/>
      </c>
      <c r="M237" s="51">
        <f>IF($A237="","",IF($K237&lt;=0,"Đã thanh toán",IF($J237="","Thiếu ngày đến hạn",IF($J237&gt;='03_BAO_CAO'!$E$4,"Chưa đến hạn",IF($L237&lt;=30,"1-30 ngày",IF($L237&lt;=60,"31-60 ngày",IF($L237&lt;=90,"61-90 ngày","Trên 90 ngày")))))))</f>
        <v/>
      </c>
      <c r="N237" s="51">
        <f>IF($A237="","",IF(OR($B237="",$C237=""),"THIẾU THÔNG TIN",IF(AND($G237&gt;0,$H237&gt;0),"KHÔNG NHẬP ĐỒNG THỜI TĂNG/GIẢM",IF(AND($G237&lt;=0,$H237&lt;=0),"CHƯA NHẬP SỐ TIỀN",IF($D237="KHÔNG TÌM THẤY","MÃ KHÔNG HỢP LỆ",IF(AND($G237&gt;0,$J237=""),"THIẾU NGÀY ĐẾN HẠN","OK"))))))</f>
        <v/>
      </c>
    </row>
    <row r="238">
      <c r="A238" s="209" t="n"/>
      <c r="B238" s="47" t="n"/>
      <c r="C238" s="47" t="n"/>
      <c r="D238" s="51">
        <f>IF($C238="","",XLOOKUP($C238,'01_DANH_MUC'!$A$7:$A$206,'01_DANH_MUC'!$B$7:$B$206,"KHÔNG TÌM THẤY"))</f>
        <v/>
      </c>
      <c r="E238" s="51">
        <f>IF($C238="","",XLOOKUP($C238,'01_DANH_MUC'!$A$7:$A$206,'01_DANH_MUC'!$C$7:$C$206,"KHÔNG TÌM THẤY"))</f>
        <v/>
      </c>
      <c r="F238" s="57" t="n"/>
      <c r="G238" s="211" t="n"/>
      <c r="H238" s="211" t="n"/>
      <c r="I238" s="212">
        <f>IF($C238="","",XLOOKUP($C238,'01_DANH_MUC'!$A$7:$A$206,'01_DANH_MUC'!$E$7:$E$206,0))</f>
        <v/>
      </c>
      <c r="J238" s="213">
        <f>IF(OR($A238="",$C238="",$G238&lt;=0),"",$A238+$I238)</f>
        <v/>
      </c>
      <c r="K238" s="210">
        <f>IF($A238="","",IF(OR($C238="",$G238&lt;=0,$A238&gt;'03_BAO_CAO'!$E$4),0,MAX(0,$G238-MAX(0,SUMIFS($H$7:$H$506,$C$7:$C$506,$C238,$A$7:$A$506,"&lt;="&amp;'03_BAO_CAO'!$E$4)-XLOOKUP($C238,'01_DANH_MUC'!$A$7:$A$206,'01_DANH_MUC'!$F$7:$F$206,0)-SUMIFS($G$7:G237,$C$7:C237,$C238,$A$7:A237,"&lt;="&amp;'03_BAO_CAO'!$E$4)))))</f>
        <v/>
      </c>
      <c r="L238" s="212">
        <f>IF($A238="","",IF(OR($K238&lt;=0,$J238=""),0,MAX(0,'03_BAO_CAO'!$E$4-$J238)))</f>
        <v/>
      </c>
      <c r="M238" s="51">
        <f>IF($A238="","",IF($K238&lt;=0,"Đã thanh toán",IF($J238="","Thiếu ngày đến hạn",IF($J238&gt;='03_BAO_CAO'!$E$4,"Chưa đến hạn",IF($L238&lt;=30,"1-30 ngày",IF($L238&lt;=60,"31-60 ngày",IF($L238&lt;=90,"61-90 ngày","Trên 90 ngày")))))))</f>
        <v/>
      </c>
      <c r="N238" s="51">
        <f>IF($A238="","",IF(OR($B238="",$C238=""),"THIẾU THÔNG TIN",IF(AND($G238&gt;0,$H238&gt;0),"KHÔNG NHẬP ĐỒNG THỜI TĂNG/GIẢM",IF(AND($G238&lt;=0,$H238&lt;=0),"CHƯA NHẬP SỐ TIỀN",IF($D238="KHÔNG TÌM THẤY","MÃ KHÔNG HỢP LỆ",IF(AND($G238&gt;0,$J238=""),"THIẾU NGÀY ĐẾN HẠN","OK"))))))</f>
        <v/>
      </c>
    </row>
    <row r="239">
      <c r="A239" s="209" t="n"/>
      <c r="B239" s="47" t="n"/>
      <c r="C239" s="47" t="n"/>
      <c r="D239" s="51">
        <f>IF($C239="","",XLOOKUP($C239,'01_DANH_MUC'!$A$7:$A$206,'01_DANH_MUC'!$B$7:$B$206,"KHÔNG TÌM THẤY"))</f>
        <v/>
      </c>
      <c r="E239" s="51">
        <f>IF($C239="","",XLOOKUP($C239,'01_DANH_MUC'!$A$7:$A$206,'01_DANH_MUC'!$C$7:$C$206,"KHÔNG TÌM THẤY"))</f>
        <v/>
      </c>
      <c r="F239" s="57" t="n"/>
      <c r="G239" s="211" t="n"/>
      <c r="H239" s="211" t="n"/>
      <c r="I239" s="212">
        <f>IF($C239="","",XLOOKUP($C239,'01_DANH_MUC'!$A$7:$A$206,'01_DANH_MUC'!$E$7:$E$206,0))</f>
        <v/>
      </c>
      <c r="J239" s="213">
        <f>IF(OR($A239="",$C239="",$G239&lt;=0),"",$A239+$I239)</f>
        <v/>
      </c>
      <c r="K239" s="210">
        <f>IF($A239="","",IF(OR($C239="",$G239&lt;=0,$A239&gt;'03_BAO_CAO'!$E$4),0,MAX(0,$G239-MAX(0,SUMIFS($H$7:$H$506,$C$7:$C$506,$C239,$A$7:$A$506,"&lt;="&amp;'03_BAO_CAO'!$E$4)-XLOOKUP($C239,'01_DANH_MUC'!$A$7:$A$206,'01_DANH_MUC'!$F$7:$F$206,0)-SUMIFS($G$7:G238,$C$7:C238,$C239,$A$7:A238,"&lt;="&amp;'03_BAO_CAO'!$E$4)))))</f>
        <v/>
      </c>
      <c r="L239" s="212">
        <f>IF($A239="","",IF(OR($K239&lt;=0,$J239=""),0,MAX(0,'03_BAO_CAO'!$E$4-$J239)))</f>
        <v/>
      </c>
      <c r="M239" s="51">
        <f>IF($A239="","",IF($K239&lt;=0,"Đã thanh toán",IF($J239="","Thiếu ngày đến hạn",IF($J239&gt;='03_BAO_CAO'!$E$4,"Chưa đến hạn",IF($L239&lt;=30,"1-30 ngày",IF($L239&lt;=60,"31-60 ngày",IF($L239&lt;=90,"61-90 ngày","Trên 90 ngày")))))))</f>
        <v/>
      </c>
      <c r="N239" s="51">
        <f>IF($A239="","",IF(OR($B239="",$C239=""),"THIẾU THÔNG TIN",IF(AND($G239&gt;0,$H239&gt;0),"KHÔNG NHẬP ĐỒNG THỜI TĂNG/GIẢM",IF(AND($G239&lt;=0,$H239&lt;=0),"CHƯA NHẬP SỐ TIỀN",IF($D239="KHÔNG TÌM THẤY","MÃ KHÔNG HỢP LỆ",IF(AND($G239&gt;0,$J239=""),"THIẾU NGÀY ĐẾN HẠN","OK"))))))</f>
        <v/>
      </c>
    </row>
    <row r="240">
      <c r="A240" s="209" t="n"/>
      <c r="B240" s="47" t="n"/>
      <c r="C240" s="47" t="n"/>
      <c r="D240" s="51">
        <f>IF($C240="","",XLOOKUP($C240,'01_DANH_MUC'!$A$7:$A$206,'01_DANH_MUC'!$B$7:$B$206,"KHÔNG TÌM THẤY"))</f>
        <v/>
      </c>
      <c r="E240" s="51">
        <f>IF($C240="","",XLOOKUP($C240,'01_DANH_MUC'!$A$7:$A$206,'01_DANH_MUC'!$C$7:$C$206,"KHÔNG TÌM THẤY"))</f>
        <v/>
      </c>
      <c r="F240" s="57" t="n"/>
      <c r="G240" s="211" t="n"/>
      <c r="H240" s="211" t="n"/>
      <c r="I240" s="212">
        <f>IF($C240="","",XLOOKUP($C240,'01_DANH_MUC'!$A$7:$A$206,'01_DANH_MUC'!$E$7:$E$206,0))</f>
        <v/>
      </c>
      <c r="J240" s="213">
        <f>IF(OR($A240="",$C240="",$G240&lt;=0),"",$A240+$I240)</f>
        <v/>
      </c>
      <c r="K240" s="210">
        <f>IF($A240="","",IF(OR($C240="",$G240&lt;=0,$A240&gt;'03_BAO_CAO'!$E$4),0,MAX(0,$G240-MAX(0,SUMIFS($H$7:$H$506,$C$7:$C$506,$C240,$A$7:$A$506,"&lt;="&amp;'03_BAO_CAO'!$E$4)-XLOOKUP($C240,'01_DANH_MUC'!$A$7:$A$206,'01_DANH_MUC'!$F$7:$F$206,0)-SUMIFS($G$7:G239,$C$7:C239,$C240,$A$7:A239,"&lt;="&amp;'03_BAO_CAO'!$E$4)))))</f>
        <v/>
      </c>
      <c r="L240" s="212">
        <f>IF($A240="","",IF(OR($K240&lt;=0,$J240=""),0,MAX(0,'03_BAO_CAO'!$E$4-$J240)))</f>
        <v/>
      </c>
      <c r="M240" s="51">
        <f>IF($A240="","",IF($K240&lt;=0,"Đã thanh toán",IF($J240="","Thiếu ngày đến hạn",IF($J240&gt;='03_BAO_CAO'!$E$4,"Chưa đến hạn",IF($L240&lt;=30,"1-30 ngày",IF($L240&lt;=60,"31-60 ngày",IF($L240&lt;=90,"61-90 ngày","Trên 90 ngày")))))))</f>
        <v/>
      </c>
      <c r="N240" s="51">
        <f>IF($A240="","",IF(OR($B240="",$C240=""),"THIẾU THÔNG TIN",IF(AND($G240&gt;0,$H240&gt;0),"KHÔNG NHẬP ĐỒNG THỜI TĂNG/GIẢM",IF(AND($G240&lt;=0,$H240&lt;=0),"CHƯA NHẬP SỐ TIỀN",IF($D240="KHÔNG TÌM THẤY","MÃ KHÔNG HỢP LỆ",IF(AND($G240&gt;0,$J240=""),"THIẾU NGÀY ĐẾN HẠN","OK"))))))</f>
        <v/>
      </c>
    </row>
    <row r="241">
      <c r="A241" s="209" t="n"/>
      <c r="B241" s="47" t="n"/>
      <c r="C241" s="47" t="n"/>
      <c r="D241" s="51">
        <f>IF($C241="","",XLOOKUP($C241,'01_DANH_MUC'!$A$7:$A$206,'01_DANH_MUC'!$B$7:$B$206,"KHÔNG TÌM THẤY"))</f>
        <v/>
      </c>
      <c r="E241" s="51">
        <f>IF($C241="","",XLOOKUP($C241,'01_DANH_MUC'!$A$7:$A$206,'01_DANH_MUC'!$C$7:$C$206,"KHÔNG TÌM THẤY"))</f>
        <v/>
      </c>
      <c r="F241" s="57" t="n"/>
      <c r="G241" s="211" t="n"/>
      <c r="H241" s="211" t="n"/>
      <c r="I241" s="212">
        <f>IF($C241="","",XLOOKUP($C241,'01_DANH_MUC'!$A$7:$A$206,'01_DANH_MUC'!$E$7:$E$206,0))</f>
        <v/>
      </c>
      <c r="J241" s="213">
        <f>IF(OR($A241="",$C241="",$G241&lt;=0),"",$A241+$I241)</f>
        <v/>
      </c>
      <c r="K241" s="210">
        <f>IF($A241="","",IF(OR($C241="",$G241&lt;=0,$A241&gt;'03_BAO_CAO'!$E$4),0,MAX(0,$G241-MAX(0,SUMIFS($H$7:$H$506,$C$7:$C$506,$C241,$A$7:$A$506,"&lt;="&amp;'03_BAO_CAO'!$E$4)-XLOOKUP($C241,'01_DANH_MUC'!$A$7:$A$206,'01_DANH_MUC'!$F$7:$F$206,0)-SUMIFS($G$7:G240,$C$7:C240,$C241,$A$7:A240,"&lt;="&amp;'03_BAO_CAO'!$E$4)))))</f>
        <v/>
      </c>
      <c r="L241" s="212">
        <f>IF($A241="","",IF(OR($K241&lt;=0,$J241=""),0,MAX(0,'03_BAO_CAO'!$E$4-$J241)))</f>
        <v/>
      </c>
      <c r="M241" s="51">
        <f>IF($A241="","",IF($K241&lt;=0,"Đã thanh toán",IF($J241="","Thiếu ngày đến hạn",IF($J241&gt;='03_BAO_CAO'!$E$4,"Chưa đến hạn",IF($L241&lt;=30,"1-30 ngày",IF($L241&lt;=60,"31-60 ngày",IF($L241&lt;=90,"61-90 ngày","Trên 90 ngày")))))))</f>
        <v/>
      </c>
      <c r="N241" s="51">
        <f>IF($A241="","",IF(OR($B241="",$C241=""),"THIẾU THÔNG TIN",IF(AND($G241&gt;0,$H241&gt;0),"KHÔNG NHẬP ĐỒNG THỜI TĂNG/GIẢM",IF(AND($G241&lt;=0,$H241&lt;=0),"CHƯA NHẬP SỐ TIỀN",IF($D241="KHÔNG TÌM THẤY","MÃ KHÔNG HỢP LỆ",IF(AND($G241&gt;0,$J241=""),"THIẾU NGÀY ĐẾN HẠN","OK"))))))</f>
        <v/>
      </c>
    </row>
    <row r="242">
      <c r="A242" s="209" t="n"/>
      <c r="B242" s="47" t="n"/>
      <c r="C242" s="47" t="n"/>
      <c r="D242" s="51">
        <f>IF($C242="","",XLOOKUP($C242,'01_DANH_MUC'!$A$7:$A$206,'01_DANH_MUC'!$B$7:$B$206,"KHÔNG TÌM THẤY"))</f>
        <v/>
      </c>
      <c r="E242" s="51">
        <f>IF($C242="","",XLOOKUP($C242,'01_DANH_MUC'!$A$7:$A$206,'01_DANH_MUC'!$C$7:$C$206,"KHÔNG TÌM THẤY"))</f>
        <v/>
      </c>
      <c r="F242" s="57" t="n"/>
      <c r="G242" s="211" t="n"/>
      <c r="H242" s="211" t="n"/>
      <c r="I242" s="212">
        <f>IF($C242="","",XLOOKUP($C242,'01_DANH_MUC'!$A$7:$A$206,'01_DANH_MUC'!$E$7:$E$206,0))</f>
        <v/>
      </c>
      <c r="J242" s="213">
        <f>IF(OR($A242="",$C242="",$G242&lt;=0),"",$A242+$I242)</f>
        <v/>
      </c>
      <c r="K242" s="210">
        <f>IF($A242="","",IF(OR($C242="",$G242&lt;=0,$A242&gt;'03_BAO_CAO'!$E$4),0,MAX(0,$G242-MAX(0,SUMIFS($H$7:$H$506,$C$7:$C$506,$C242,$A$7:$A$506,"&lt;="&amp;'03_BAO_CAO'!$E$4)-XLOOKUP($C242,'01_DANH_MUC'!$A$7:$A$206,'01_DANH_MUC'!$F$7:$F$206,0)-SUMIFS($G$7:G241,$C$7:C241,$C242,$A$7:A241,"&lt;="&amp;'03_BAO_CAO'!$E$4)))))</f>
        <v/>
      </c>
      <c r="L242" s="212">
        <f>IF($A242="","",IF(OR($K242&lt;=0,$J242=""),0,MAX(0,'03_BAO_CAO'!$E$4-$J242)))</f>
        <v/>
      </c>
      <c r="M242" s="51">
        <f>IF($A242="","",IF($K242&lt;=0,"Đã thanh toán",IF($J242="","Thiếu ngày đến hạn",IF($J242&gt;='03_BAO_CAO'!$E$4,"Chưa đến hạn",IF($L242&lt;=30,"1-30 ngày",IF($L242&lt;=60,"31-60 ngày",IF($L242&lt;=90,"61-90 ngày","Trên 90 ngày")))))))</f>
        <v/>
      </c>
      <c r="N242" s="51">
        <f>IF($A242="","",IF(OR($B242="",$C242=""),"THIẾU THÔNG TIN",IF(AND($G242&gt;0,$H242&gt;0),"KHÔNG NHẬP ĐỒNG THỜI TĂNG/GIẢM",IF(AND($G242&lt;=0,$H242&lt;=0),"CHƯA NHẬP SỐ TIỀN",IF($D242="KHÔNG TÌM THẤY","MÃ KHÔNG HỢP LỆ",IF(AND($G242&gt;0,$J242=""),"THIẾU NGÀY ĐẾN HẠN","OK"))))))</f>
        <v/>
      </c>
    </row>
    <row r="243">
      <c r="A243" s="209" t="n"/>
      <c r="B243" s="47" t="n"/>
      <c r="C243" s="47" t="n"/>
      <c r="D243" s="51">
        <f>IF($C243="","",XLOOKUP($C243,'01_DANH_MUC'!$A$7:$A$206,'01_DANH_MUC'!$B$7:$B$206,"KHÔNG TÌM THẤY"))</f>
        <v/>
      </c>
      <c r="E243" s="51">
        <f>IF($C243="","",XLOOKUP($C243,'01_DANH_MUC'!$A$7:$A$206,'01_DANH_MUC'!$C$7:$C$206,"KHÔNG TÌM THẤY"))</f>
        <v/>
      </c>
      <c r="F243" s="57" t="n"/>
      <c r="G243" s="211" t="n"/>
      <c r="H243" s="211" t="n"/>
      <c r="I243" s="212">
        <f>IF($C243="","",XLOOKUP($C243,'01_DANH_MUC'!$A$7:$A$206,'01_DANH_MUC'!$E$7:$E$206,0))</f>
        <v/>
      </c>
      <c r="J243" s="213">
        <f>IF(OR($A243="",$C243="",$G243&lt;=0),"",$A243+$I243)</f>
        <v/>
      </c>
      <c r="K243" s="210">
        <f>IF($A243="","",IF(OR($C243="",$G243&lt;=0,$A243&gt;'03_BAO_CAO'!$E$4),0,MAX(0,$G243-MAX(0,SUMIFS($H$7:$H$506,$C$7:$C$506,$C243,$A$7:$A$506,"&lt;="&amp;'03_BAO_CAO'!$E$4)-XLOOKUP($C243,'01_DANH_MUC'!$A$7:$A$206,'01_DANH_MUC'!$F$7:$F$206,0)-SUMIFS($G$7:G242,$C$7:C242,$C243,$A$7:A242,"&lt;="&amp;'03_BAO_CAO'!$E$4)))))</f>
        <v/>
      </c>
      <c r="L243" s="212">
        <f>IF($A243="","",IF(OR($K243&lt;=0,$J243=""),0,MAX(0,'03_BAO_CAO'!$E$4-$J243)))</f>
        <v/>
      </c>
      <c r="M243" s="51">
        <f>IF($A243="","",IF($K243&lt;=0,"Đã thanh toán",IF($J243="","Thiếu ngày đến hạn",IF($J243&gt;='03_BAO_CAO'!$E$4,"Chưa đến hạn",IF($L243&lt;=30,"1-30 ngày",IF($L243&lt;=60,"31-60 ngày",IF($L243&lt;=90,"61-90 ngày","Trên 90 ngày")))))))</f>
        <v/>
      </c>
      <c r="N243" s="51">
        <f>IF($A243="","",IF(OR($B243="",$C243=""),"THIẾU THÔNG TIN",IF(AND($G243&gt;0,$H243&gt;0),"KHÔNG NHẬP ĐỒNG THỜI TĂNG/GIẢM",IF(AND($G243&lt;=0,$H243&lt;=0),"CHƯA NHẬP SỐ TIỀN",IF($D243="KHÔNG TÌM THẤY","MÃ KHÔNG HỢP LỆ",IF(AND($G243&gt;0,$J243=""),"THIẾU NGÀY ĐẾN HẠN","OK"))))))</f>
        <v/>
      </c>
    </row>
    <row r="244">
      <c r="A244" s="209" t="n"/>
      <c r="B244" s="47" t="n"/>
      <c r="C244" s="47" t="n"/>
      <c r="D244" s="51">
        <f>IF($C244="","",XLOOKUP($C244,'01_DANH_MUC'!$A$7:$A$206,'01_DANH_MUC'!$B$7:$B$206,"KHÔNG TÌM THẤY"))</f>
        <v/>
      </c>
      <c r="E244" s="51">
        <f>IF($C244="","",XLOOKUP($C244,'01_DANH_MUC'!$A$7:$A$206,'01_DANH_MUC'!$C$7:$C$206,"KHÔNG TÌM THẤY"))</f>
        <v/>
      </c>
      <c r="F244" s="57" t="n"/>
      <c r="G244" s="211" t="n"/>
      <c r="H244" s="211" t="n"/>
      <c r="I244" s="212">
        <f>IF($C244="","",XLOOKUP($C244,'01_DANH_MUC'!$A$7:$A$206,'01_DANH_MUC'!$E$7:$E$206,0))</f>
        <v/>
      </c>
      <c r="J244" s="213">
        <f>IF(OR($A244="",$C244="",$G244&lt;=0),"",$A244+$I244)</f>
        <v/>
      </c>
      <c r="K244" s="210">
        <f>IF($A244="","",IF(OR($C244="",$G244&lt;=0,$A244&gt;'03_BAO_CAO'!$E$4),0,MAX(0,$G244-MAX(0,SUMIFS($H$7:$H$506,$C$7:$C$506,$C244,$A$7:$A$506,"&lt;="&amp;'03_BAO_CAO'!$E$4)-XLOOKUP($C244,'01_DANH_MUC'!$A$7:$A$206,'01_DANH_MUC'!$F$7:$F$206,0)-SUMIFS($G$7:G243,$C$7:C243,$C244,$A$7:A243,"&lt;="&amp;'03_BAO_CAO'!$E$4)))))</f>
        <v/>
      </c>
      <c r="L244" s="212">
        <f>IF($A244="","",IF(OR($K244&lt;=0,$J244=""),0,MAX(0,'03_BAO_CAO'!$E$4-$J244)))</f>
        <v/>
      </c>
      <c r="M244" s="51">
        <f>IF($A244="","",IF($K244&lt;=0,"Đã thanh toán",IF($J244="","Thiếu ngày đến hạn",IF($J244&gt;='03_BAO_CAO'!$E$4,"Chưa đến hạn",IF($L244&lt;=30,"1-30 ngày",IF($L244&lt;=60,"31-60 ngày",IF($L244&lt;=90,"61-90 ngày","Trên 90 ngày")))))))</f>
        <v/>
      </c>
      <c r="N244" s="51">
        <f>IF($A244="","",IF(OR($B244="",$C244=""),"THIẾU THÔNG TIN",IF(AND($G244&gt;0,$H244&gt;0),"KHÔNG NHẬP ĐỒNG THỜI TĂNG/GIẢM",IF(AND($G244&lt;=0,$H244&lt;=0),"CHƯA NHẬP SỐ TIỀN",IF($D244="KHÔNG TÌM THẤY","MÃ KHÔNG HỢP LỆ",IF(AND($G244&gt;0,$J244=""),"THIẾU NGÀY ĐẾN HẠN","OK"))))))</f>
        <v/>
      </c>
    </row>
    <row r="245">
      <c r="A245" s="209" t="n"/>
      <c r="B245" s="47" t="n"/>
      <c r="C245" s="47" t="n"/>
      <c r="D245" s="51">
        <f>IF($C245="","",XLOOKUP($C245,'01_DANH_MUC'!$A$7:$A$206,'01_DANH_MUC'!$B$7:$B$206,"KHÔNG TÌM THẤY"))</f>
        <v/>
      </c>
      <c r="E245" s="51">
        <f>IF($C245="","",XLOOKUP($C245,'01_DANH_MUC'!$A$7:$A$206,'01_DANH_MUC'!$C$7:$C$206,"KHÔNG TÌM THẤY"))</f>
        <v/>
      </c>
      <c r="F245" s="57" t="n"/>
      <c r="G245" s="211" t="n"/>
      <c r="H245" s="211" t="n"/>
      <c r="I245" s="212">
        <f>IF($C245="","",XLOOKUP($C245,'01_DANH_MUC'!$A$7:$A$206,'01_DANH_MUC'!$E$7:$E$206,0))</f>
        <v/>
      </c>
      <c r="J245" s="213">
        <f>IF(OR($A245="",$C245="",$G245&lt;=0),"",$A245+$I245)</f>
        <v/>
      </c>
      <c r="K245" s="210">
        <f>IF($A245="","",IF(OR($C245="",$G245&lt;=0,$A245&gt;'03_BAO_CAO'!$E$4),0,MAX(0,$G245-MAX(0,SUMIFS($H$7:$H$506,$C$7:$C$506,$C245,$A$7:$A$506,"&lt;="&amp;'03_BAO_CAO'!$E$4)-XLOOKUP($C245,'01_DANH_MUC'!$A$7:$A$206,'01_DANH_MUC'!$F$7:$F$206,0)-SUMIFS($G$7:G244,$C$7:C244,$C245,$A$7:A244,"&lt;="&amp;'03_BAO_CAO'!$E$4)))))</f>
        <v/>
      </c>
      <c r="L245" s="212">
        <f>IF($A245="","",IF(OR($K245&lt;=0,$J245=""),0,MAX(0,'03_BAO_CAO'!$E$4-$J245)))</f>
        <v/>
      </c>
      <c r="M245" s="51">
        <f>IF($A245="","",IF($K245&lt;=0,"Đã thanh toán",IF($J245="","Thiếu ngày đến hạn",IF($J245&gt;='03_BAO_CAO'!$E$4,"Chưa đến hạn",IF($L245&lt;=30,"1-30 ngày",IF($L245&lt;=60,"31-60 ngày",IF($L245&lt;=90,"61-90 ngày","Trên 90 ngày")))))))</f>
        <v/>
      </c>
      <c r="N245" s="51">
        <f>IF($A245="","",IF(OR($B245="",$C245=""),"THIẾU THÔNG TIN",IF(AND($G245&gt;0,$H245&gt;0),"KHÔNG NHẬP ĐỒNG THỜI TĂNG/GIẢM",IF(AND($G245&lt;=0,$H245&lt;=0),"CHƯA NHẬP SỐ TIỀN",IF($D245="KHÔNG TÌM THẤY","MÃ KHÔNG HỢP LỆ",IF(AND($G245&gt;0,$J245=""),"THIẾU NGÀY ĐẾN HẠN","OK"))))))</f>
        <v/>
      </c>
    </row>
    <row r="246">
      <c r="A246" s="209" t="n"/>
      <c r="B246" s="47" t="n"/>
      <c r="C246" s="47" t="n"/>
      <c r="D246" s="51">
        <f>IF($C246="","",XLOOKUP($C246,'01_DANH_MUC'!$A$7:$A$206,'01_DANH_MUC'!$B$7:$B$206,"KHÔNG TÌM THẤY"))</f>
        <v/>
      </c>
      <c r="E246" s="51">
        <f>IF($C246="","",XLOOKUP($C246,'01_DANH_MUC'!$A$7:$A$206,'01_DANH_MUC'!$C$7:$C$206,"KHÔNG TÌM THẤY"))</f>
        <v/>
      </c>
      <c r="F246" s="57" t="n"/>
      <c r="G246" s="211" t="n"/>
      <c r="H246" s="211" t="n"/>
      <c r="I246" s="212">
        <f>IF($C246="","",XLOOKUP($C246,'01_DANH_MUC'!$A$7:$A$206,'01_DANH_MUC'!$E$7:$E$206,0))</f>
        <v/>
      </c>
      <c r="J246" s="213">
        <f>IF(OR($A246="",$C246="",$G246&lt;=0),"",$A246+$I246)</f>
        <v/>
      </c>
      <c r="K246" s="210">
        <f>IF($A246="","",IF(OR($C246="",$G246&lt;=0,$A246&gt;'03_BAO_CAO'!$E$4),0,MAX(0,$G246-MAX(0,SUMIFS($H$7:$H$506,$C$7:$C$506,$C246,$A$7:$A$506,"&lt;="&amp;'03_BAO_CAO'!$E$4)-XLOOKUP($C246,'01_DANH_MUC'!$A$7:$A$206,'01_DANH_MUC'!$F$7:$F$206,0)-SUMIFS($G$7:G245,$C$7:C245,$C246,$A$7:A245,"&lt;="&amp;'03_BAO_CAO'!$E$4)))))</f>
        <v/>
      </c>
      <c r="L246" s="212">
        <f>IF($A246="","",IF(OR($K246&lt;=0,$J246=""),0,MAX(0,'03_BAO_CAO'!$E$4-$J246)))</f>
        <v/>
      </c>
      <c r="M246" s="51">
        <f>IF($A246="","",IF($K246&lt;=0,"Đã thanh toán",IF($J246="","Thiếu ngày đến hạn",IF($J246&gt;='03_BAO_CAO'!$E$4,"Chưa đến hạn",IF($L246&lt;=30,"1-30 ngày",IF($L246&lt;=60,"31-60 ngày",IF($L246&lt;=90,"61-90 ngày","Trên 90 ngày")))))))</f>
        <v/>
      </c>
      <c r="N246" s="51">
        <f>IF($A246="","",IF(OR($B246="",$C246=""),"THIẾU THÔNG TIN",IF(AND($G246&gt;0,$H246&gt;0),"KHÔNG NHẬP ĐỒNG THỜI TĂNG/GIẢM",IF(AND($G246&lt;=0,$H246&lt;=0),"CHƯA NHẬP SỐ TIỀN",IF($D246="KHÔNG TÌM THẤY","MÃ KHÔNG HỢP LỆ",IF(AND($G246&gt;0,$J246=""),"THIẾU NGÀY ĐẾN HẠN","OK"))))))</f>
        <v/>
      </c>
    </row>
    <row r="247">
      <c r="A247" s="209" t="n"/>
      <c r="B247" s="47" t="n"/>
      <c r="C247" s="47" t="n"/>
      <c r="D247" s="51">
        <f>IF($C247="","",XLOOKUP($C247,'01_DANH_MUC'!$A$7:$A$206,'01_DANH_MUC'!$B$7:$B$206,"KHÔNG TÌM THẤY"))</f>
        <v/>
      </c>
      <c r="E247" s="51">
        <f>IF($C247="","",XLOOKUP($C247,'01_DANH_MUC'!$A$7:$A$206,'01_DANH_MUC'!$C$7:$C$206,"KHÔNG TÌM THẤY"))</f>
        <v/>
      </c>
      <c r="F247" s="57" t="n"/>
      <c r="G247" s="211" t="n"/>
      <c r="H247" s="211" t="n"/>
      <c r="I247" s="212">
        <f>IF($C247="","",XLOOKUP($C247,'01_DANH_MUC'!$A$7:$A$206,'01_DANH_MUC'!$E$7:$E$206,0))</f>
        <v/>
      </c>
      <c r="J247" s="213">
        <f>IF(OR($A247="",$C247="",$G247&lt;=0),"",$A247+$I247)</f>
        <v/>
      </c>
      <c r="K247" s="210">
        <f>IF($A247="","",IF(OR($C247="",$G247&lt;=0,$A247&gt;'03_BAO_CAO'!$E$4),0,MAX(0,$G247-MAX(0,SUMIFS($H$7:$H$506,$C$7:$C$506,$C247,$A$7:$A$506,"&lt;="&amp;'03_BAO_CAO'!$E$4)-XLOOKUP($C247,'01_DANH_MUC'!$A$7:$A$206,'01_DANH_MUC'!$F$7:$F$206,0)-SUMIFS($G$7:G246,$C$7:C246,$C247,$A$7:A246,"&lt;="&amp;'03_BAO_CAO'!$E$4)))))</f>
        <v/>
      </c>
      <c r="L247" s="212">
        <f>IF($A247="","",IF(OR($K247&lt;=0,$J247=""),0,MAX(0,'03_BAO_CAO'!$E$4-$J247)))</f>
        <v/>
      </c>
      <c r="M247" s="51">
        <f>IF($A247="","",IF($K247&lt;=0,"Đã thanh toán",IF($J247="","Thiếu ngày đến hạn",IF($J247&gt;='03_BAO_CAO'!$E$4,"Chưa đến hạn",IF($L247&lt;=30,"1-30 ngày",IF($L247&lt;=60,"31-60 ngày",IF($L247&lt;=90,"61-90 ngày","Trên 90 ngày")))))))</f>
        <v/>
      </c>
      <c r="N247" s="51">
        <f>IF($A247="","",IF(OR($B247="",$C247=""),"THIẾU THÔNG TIN",IF(AND($G247&gt;0,$H247&gt;0),"KHÔNG NHẬP ĐỒNG THỜI TĂNG/GIẢM",IF(AND($G247&lt;=0,$H247&lt;=0),"CHƯA NHẬP SỐ TIỀN",IF($D247="KHÔNG TÌM THẤY","MÃ KHÔNG HỢP LỆ",IF(AND($G247&gt;0,$J247=""),"THIẾU NGÀY ĐẾN HẠN","OK"))))))</f>
        <v/>
      </c>
    </row>
    <row r="248">
      <c r="A248" s="209" t="n"/>
      <c r="B248" s="47" t="n"/>
      <c r="C248" s="47" t="n"/>
      <c r="D248" s="51">
        <f>IF($C248="","",XLOOKUP($C248,'01_DANH_MUC'!$A$7:$A$206,'01_DANH_MUC'!$B$7:$B$206,"KHÔNG TÌM THẤY"))</f>
        <v/>
      </c>
      <c r="E248" s="51">
        <f>IF($C248="","",XLOOKUP($C248,'01_DANH_MUC'!$A$7:$A$206,'01_DANH_MUC'!$C$7:$C$206,"KHÔNG TÌM THẤY"))</f>
        <v/>
      </c>
      <c r="F248" s="57" t="n"/>
      <c r="G248" s="211" t="n"/>
      <c r="H248" s="211" t="n"/>
      <c r="I248" s="212">
        <f>IF($C248="","",XLOOKUP($C248,'01_DANH_MUC'!$A$7:$A$206,'01_DANH_MUC'!$E$7:$E$206,0))</f>
        <v/>
      </c>
      <c r="J248" s="213">
        <f>IF(OR($A248="",$C248="",$G248&lt;=0),"",$A248+$I248)</f>
        <v/>
      </c>
      <c r="K248" s="210">
        <f>IF($A248="","",IF(OR($C248="",$G248&lt;=0,$A248&gt;'03_BAO_CAO'!$E$4),0,MAX(0,$G248-MAX(0,SUMIFS($H$7:$H$506,$C$7:$C$506,$C248,$A$7:$A$506,"&lt;="&amp;'03_BAO_CAO'!$E$4)-XLOOKUP($C248,'01_DANH_MUC'!$A$7:$A$206,'01_DANH_MUC'!$F$7:$F$206,0)-SUMIFS($G$7:G247,$C$7:C247,$C248,$A$7:A247,"&lt;="&amp;'03_BAO_CAO'!$E$4)))))</f>
        <v/>
      </c>
      <c r="L248" s="212">
        <f>IF($A248="","",IF(OR($K248&lt;=0,$J248=""),0,MAX(0,'03_BAO_CAO'!$E$4-$J248)))</f>
        <v/>
      </c>
      <c r="M248" s="51">
        <f>IF($A248="","",IF($K248&lt;=0,"Đã thanh toán",IF($J248="","Thiếu ngày đến hạn",IF($J248&gt;='03_BAO_CAO'!$E$4,"Chưa đến hạn",IF($L248&lt;=30,"1-30 ngày",IF($L248&lt;=60,"31-60 ngày",IF($L248&lt;=90,"61-90 ngày","Trên 90 ngày")))))))</f>
        <v/>
      </c>
      <c r="N248" s="51">
        <f>IF($A248="","",IF(OR($B248="",$C248=""),"THIẾU THÔNG TIN",IF(AND($G248&gt;0,$H248&gt;0),"KHÔNG NHẬP ĐỒNG THỜI TĂNG/GIẢM",IF(AND($G248&lt;=0,$H248&lt;=0),"CHƯA NHẬP SỐ TIỀN",IF($D248="KHÔNG TÌM THẤY","MÃ KHÔNG HỢP LỆ",IF(AND($G248&gt;0,$J248=""),"THIẾU NGÀY ĐẾN HẠN","OK"))))))</f>
        <v/>
      </c>
    </row>
    <row r="249">
      <c r="A249" s="209" t="n"/>
      <c r="B249" s="47" t="n"/>
      <c r="C249" s="47" t="n"/>
      <c r="D249" s="51">
        <f>IF($C249="","",XLOOKUP($C249,'01_DANH_MUC'!$A$7:$A$206,'01_DANH_MUC'!$B$7:$B$206,"KHÔNG TÌM THẤY"))</f>
        <v/>
      </c>
      <c r="E249" s="51">
        <f>IF($C249="","",XLOOKUP($C249,'01_DANH_MUC'!$A$7:$A$206,'01_DANH_MUC'!$C$7:$C$206,"KHÔNG TÌM THẤY"))</f>
        <v/>
      </c>
      <c r="F249" s="57" t="n"/>
      <c r="G249" s="211" t="n"/>
      <c r="H249" s="211" t="n"/>
      <c r="I249" s="212">
        <f>IF($C249="","",XLOOKUP($C249,'01_DANH_MUC'!$A$7:$A$206,'01_DANH_MUC'!$E$7:$E$206,0))</f>
        <v/>
      </c>
      <c r="J249" s="213">
        <f>IF(OR($A249="",$C249="",$G249&lt;=0),"",$A249+$I249)</f>
        <v/>
      </c>
      <c r="K249" s="210">
        <f>IF($A249="","",IF(OR($C249="",$G249&lt;=0,$A249&gt;'03_BAO_CAO'!$E$4),0,MAX(0,$G249-MAX(0,SUMIFS($H$7:$H$506,$C$7:$C$506,$C249,$A$7:$A$506,"&lt;="&amp;'03_BAO_CAO'!$E$4)-XLOOKUP($C249,'01_DANH_MUC'!$A$7:$A$206,'01_DANH_MUC'!$F$7:$F$206,0)-SUMIFS($G$7:G248,$C$7:C248,$C249,$A$7:A248,"&lt;="&amp;'03_BAO_CAO'!$E$4)))))</f>
        <v/>
      </c>
      <c r="L249" s="212">
        <f>IF($A249="","",IF(OR($K249&lt;=0,$J249=""),0,MAX(0,'03_BAO_CAO'!$E$4-$J249)))</f>
        <v/>
      </c>
      <c r="M249" s="51">
        <f>IF($A249="","",IF($K249&lt;=0,"Đã thanh toán",IF($J249="","Thiếu ngày đến hạn",IF($J249&gt;='03_BAO_CAO'!$E$4,"Chưa đến hạn",IF($L249&lt;=30,"1-30 ngày",IF($L249&lt;=60,"31-60 ngày",IF($L249&lt;=90,"61-90 ngày","Trên 90 ngày")))))))</f>
        <v/>
      </c>
      <c r="N249" s="51">
        <f>IF($A249="","",IF(OR($B249="",$C249=""),"THIẾU THÔNG TIN",IF(AND($G249&gt;0,$H249&gt;0),"KHÔNG NHẬP ĐỒNG THỜI TĂNG/GIẢM",IF(AND($G249&lt;=0,$H249&lt;=0),"CHƯA NHẬP SỐ TIỀN",IF($D249="KHÔNG TÌM THẤY","MÃ KHÔNG HỢP LỆ",IF(AND($G249&gt;0,$J249=""),"THIẾU NGÀY ĐẾN HẠN","OK"))))))</f>
        <v/>
      </c>
    </row>
    <row r="250">
      <c r="A250" s="209" t="n"/>
      <c r="B250" s="47" t="n"/>
      <c r="C250" s="47" t="n"/>
      <c r="D250" s="51">
        <f>IF($C250="","",XLOOKUP($C250,'01_DANH_MUC'!$A$7:$A$206,'01_DANH_MUC'!$B$7:$B$206,"KHÔNG TÌM THẤY"))</f>
        <v/>
      </c>
      <c r="E250" s="51">
        <f>IF($C250="","",XLOOKUP($C250,'01_DANH_MUC'!$A$7:$A$206,'01_DANH_MUC'!$C$7:$C$206,"KHÔNG TÌM THẤY"))</f>
        <v/>
      </c>
      <c r="F250" s="57" t="n"/>
      <c r="G250" s="211" t="n"/>
      <c r="H250" s="211" t="n"/>
      <c r="I250" s="212">
        <f>IF($C250="","",XLOOKUP($C250,'01_DANH_MUC'!$A$7:$A$206,'01_DANH_MUC'!$E$7:$E$206,0))</f>
        <v/>
      </c>
      <c r="J250" s="213">
        <f>IF(OR($A250="",$C250="",$G250&lt;=0),"",$A250+$I250)</f>
        <v/>
      </c>
      <c r="K250" s="210">
        <f>IF($A250="","",IF(OR($C250="",$G250&lt;=0,$A250&gt;'03_BAO_CAO'!$E$4),0,MAX(0,$G250-MAX(0,SUMIFS($H$7:$H$506,$C$7:$C$506,$C250,$A$7:$A$506,"&lt;="&amp;'03_BAO_CAO'!$E$4)-XLOOKUP($C250,'01_DANH_MUC'!$A$7:$A$206,'01_DANH_MUC'!$F$7:$F$206,0)-SUMIFS($G$7:G249,$C$7:C249,$C250,$A$7:A249,"&lt;="&amp;'03_BAO_CAO'!$E$4)))))</f>
        <v/>
      </c>
      <c r="L250" s="212">
        <f>IF($A250="","",IF(OR($K250&lt;=0,$J250=""),0,MAX(0,'03_BAO_CAO'!$E$4-$J250)))</f>
        <v/>
      </c>
      <c r="M250" s="51">
        <f>IF($A250="","",IF($K250&lt;=0,"Đã thanh toán",IF($J250="","Thiếu ngày đến hạn",IF($J250&gt;='03_BAO_CAO'!$E$4,"Chưa đến hạn",IF($L250&lt;=30,"1-30 ngày",IF($L250&lt;=60,"31-60 ngày",IF($L250&lt;=90,"61-90 ngày","Trên 90 ngày")))))))</f>
        <v/>
      </c>
      <c r="N250" s="51">
        <f>IF($A250="","",IF(OR($B250="",$C250=""),"THIẾU THÔNG TIN",IF(AND($G250&gt;0,$H250&gt;0),"KHÔNG NHẬP ĐỒNG THỜI TĂNG/GIẢM",IF(AND($G250&lt;=0,$H250&lt;=0),"CHƯA NHẬP SỐ TIỀN",IF($D250="KHÔNG TÌM THẤY","MÃ KHÔNG HỢP LỆ",IF(AND($G250&gt;0,$J250=""),"THIẾU NGÀY ĐẾN HẠN","OK"))))))</f>
        <v/>
      </c>
    </row>
    <row r="251">
      <c r="A251" s="209" t="n"/>
      <c r="B251" s="47" t="n"/>
      <c r="C251" s="47" t="n"/>
      <c r="D251" s="51">
        <f>IF($C251="","",XLOOKUP($C251,'01_DANH_MUC'!$A$7:$A$206,'01_DANH_MUC'!$B$7:$B$206,"KHÔNG TÌM THẤY"))</f>
        <v/>
      </c>
      <c r="E251" s="51">
        <f>IF($C251="","",XLOOKUP($C251,'01_DANH_MUC'!$A$7:$A$206,'01_DANH_MUC'!$C$7:$C$206,"KHÔNG TÌM THẤY"))</f>
        <v/>
      </c>
      <c r="F251" s="57" t="n"/>
      <c r="G251" s="211" t="n"/>
      <c r="H251" s="211" t="n"/>
      <c r="I251" s="212">
        <f>IF($C251="","",XLOOKUP($C251,'01_DANH_MUC'!$A$7:$A$206,'01_DANH_MUC'!$E$7:$E$206,0))</f>
        <v/>
      </c>
      <c r="J251" s="213">
        <f>IF(OR($A251="",$C251="",$G251&lt;=0),"",$A251+$I251)</f>
        <v/>
      </c>
      <c r="K251" s="210">
        <f>IF($A251="","",IF(OR($C251="",$G251&lt;=0,$A251&gt;'03_BAO_CAO'!$E$4),0,MAX(0,$G251-MAX(0,SUMIFS($H$7:$H$506,$C$7:$C$506,$C251,$A$7:$A$506,"&lt;="&amp;'03_BAO_CAO'!$E$4)-XLOOKUP($C251,'01_DANH_MUC'!$A$7:$A$206,'01_DANH_MUC'!$F$7:$F$206,0)-SUMIFS($G$7:G250,$C$7:C250,$C251,$A$7:A250,"&lt;="&amp;'03_BAO_CAO'!$E$4)))))</f>
        <v/>
      </c>
      <c r="L251" s="212">
        <f>IF($A251="","",IF(OR($K251&lt;=0,$J251=""),0,MAX(0,'03_BAO_CAO'!$E$4-$J251)))</f>
        <v/>
      </c>
      <c r="M251" s="51">
        <f>IF($A251="","",IF($K251&lt;=0,"Đã thanh toán",IF($J251="","Thiếu ngày đến hạn",IF($J251&gt;='03_BAO_CAO'!$E$4,"Chưa đến hạn",IF($L251&lt;=30,"1-30 ngày",IF($L251&lt;=60,"31-60 ngày",IF($L251&lt;=90,"61-90 ngày","Trên 90 ngày")))))))</f>
        <v/>
      </c>
      <c r="N251" s="51">
        <f>IF($A251="","",IF(OR($B251="",$C251=""),"THIẾU THÔNG TIN",IF(AND($G251&gt;0,$H251&gt;0),"KHÔNG NHẬP ĐỒNG THỜI TĂNG/GIẢM",IF(AND($G251&lt;=0,$H251&lt;=0),"CHƯA NHẬP SỐ TIỀN",IF($D251="KHÔNG TÌM THẤY","MÃ KHÔNG HỢP LỆ",IF(AND($G251&gt;0,$J251=""),"THIẾU NGÀY ĐẾN HẠN","OK"))))))</f>
        <v/>
      </c>
    </row>
    <row r="252">
      <c r="A252" s="209" t="n"/>
      <c r="B252" s="47" t="n"/>
      <c r="C252" s="47" t="n"/>
      <c r="D252" s="51">
        <f>IF($C252="","",XLOOKUP($C252,'01_DANH_MUC'!$A$7:$A$206,'01_DANH_MUC'!$B$7:$B$206,"KHÔNG TÌM THẤY"))</f>
        <v/>
      </c>
      <c r="E252" s="51">
        <f>IF($C252="","",XLOOKUP($C252,'01_DANH_MUC'!$A$7:$A$206,'01_DANH_MUC'!$C$7:$C$206,"KHÔNG TÌM THẤY"))</f>
        <v/>
      </c>
      <c r="F252" s="57" t="n"/>
      <c r="G252" s="211" t="n"/>
      <c r="H252" s="211" t="n"/>
      <c r="I252" s="212">
        <f>IF($C252="","",XLOOKUP($C252,'01_DANH_MUC'!$A$7:$A$206,'01_DANH_MUC'!$E$7:$E$206,0))</f>
        <v/>
      </c>
      <c r="J252" s="213">
        <f>IF(OR($A252="",$C252="",$G252&lt;=0),"",$A252+$I252)</f>
        <v/>
      </c>
      <c r="K252" s="210">
        <f>IF($A252="","",IF(OR($C252="",$G252&lt;=0,$A252&gt;'03_BAO_CAO'!$E$4),0,MAX(0,$G252-MAX(0,SUMIFS($H$7:$H$506,$C$7:$C$506,$C252,$A$7:$A$506,"&lt;="&amp;'03_BAO_CAO'!$E$4)-XLOOKUP($C252,'01_DANH_MUC'!$A$7:$A$206,'01_DANH_MUC'!$F$7:$F$206,0)-SUMIFS($G$7:G251,$C$7:C251,$C252,$A$7:A251,"&lt;="&amp;'03_BAO_CAO'!$E$4)))))</f>
        <v/>
      </c>
      <c r="L252" s="212">
        <f>IF($A252="","",IF(OR($K252&lt;=0,$J252=""),0,MAX(0,'03_BAO_CAO'!$E$4-$J252)))</f>
        <v/>
      </c>
      <c r="M252" s="51">
        <f>IF($A252="","",IF($K252&lt;=0,"Đã thanh toán",IF($J252="","Thiếu ngày đến hạn",IF($J252&gt;='03_BAO_CAO'!$E$4,"Chưa đến hạn",IF($L252&lt;=30,"1-30 ngày",IF($L252&lt;=60,"31-60 ngày",IF($L252&lt;=90,"61-90 ngày","Trên 90 ngày")))))))</f>
        <v/>
      </c>
      <c r="N252" s="51">
        <f>IF($A252="","",IF(OR($B252="",$C252=""),"THIẾU THÔNG TIN",IF(AND($G252&gt;0,$H252&gt;0),"KHÔNG NHẬP ĐỒNG THỜI TĂNG/GIẢM",IF(AND($G252&lt;=0,$H252&lt;=0),"CHƯA NHẬP SỐ TIỀN",IF($D252="KHÔNG TÌM THẤY","MÃ KHÔNG HỢP LỆ",IF(AND($G252&gt;0,$J252=""),"THIẾU NGÀY ĐẾN HẠN","OK"))))))</f>
        <v/>
      </c>
    </row>
    <row r="253">
      <c r="A253" s="209" t="n"/>
      <c r="B253" s="47" t="n"/>
      <c r="C253" s="47" t="n"/>
      <c r="D253" s="51">
        <f>IF($C253="","",XLOOKUP($C253,'01_DANH_MUC'!$A$7:$A$206,'01_DANH_MUC'!$B$7:$B$206,"KHÔNG TÌM THẤY"))</f>
        <v/>
      </c>
      <c r="E253" s="51">
        <f>IF($C253="","",XLOOKUP($C253,'01_DANH_MUC'!$A$7:$A$206,'01_DANH_MUC'!$C$7:$C$206,"KHÔNG TÌM THẤY"))</f>
        <v/>
      </c>
      <c r="F253" s="57" t="n"/>
      <c r="G253" s="211" t="n"/>
      <c r="H253" s="211" t="n"/>
      <c r="I253" s="212">
        <f>IF($C253="","",XLOOKUP($C253,'01_DANH_MUC'!$A$7:$A$206,'01_DANH_MUC'!$E$7:$E$206,0))</f>
        <v/>
      </c>
      <c r="J253" s="213">
        <f>IF(OR($A253="",$C253="",$G253&lt;=0),"",$A253+$I253)</f>
        <v/>
      </c>
      <c r="K253" s="210">
        <f>IF($A253="","",IF(OR($C253="",$G253&lt;=0,$A253&gt;'03_BAO_CAO'!$E$4),0,MAX(0,$G253-MAX(0,SUMIFS($H$7:$H$506,$C$7:$C$506,$C253,$A$7:$A$506,"&lt;="&amp;'03_BAO_CAO'!$E$4)-XLOOKUP($C253,'01_DANH_MUC'!$A$7:$A$206,'01_DANH_MUC'!$F$7:$F$206,0)-SUMIFS($G$7:G252,$C$7:C252,$C253,$A$7:A252,"&lt;="&amp;'03_BAO_CAO'!$E$4)))))</f>
        <v/>
      </c>
      <c r="L253" s="212">
        <f>IF($A253="","",IF(OR($K253&lt;=0,$J253=""),0,MAX(0,'03_BAO_CAO'!$E$4-$J253)))</f>
        <v/>
      </c>
      <c r="M253" s="51">
        <f>IF($A253="","",IF($K253&lt;=0,"Đã thanh toán",IF($J253="","Thiếu ngày đến hạn",IF($J253&gt;='03_BAO_CAO'!$E$4,"Chưa đến hạn",IF($L253&lt;=30,"1-30 ngày",IF($L253&lt;=60,"31-60 ngày",IF($L253&lt;=90,"61-90 ngày","Trên 90 ngày")))))))</f>
        <v/>
      </c>
      <c r="N253" s="51">
        <f>IF($A253="","",IF(OR($B253="",$C253=""),"THIẾU THÔNG TIN",IF(AND($G253&gt;0,$H253&gt;0),"KHÔNG NHẬP ĐỒNG THỜI TĂNG/GIẢM",IF(AND($G253&lt;=0,$H253&lt;=0),"CHƯA NHẬP SỐ TIỀN",IF($D253="KHÔNG TÌM THẤY","MÃ KHÔNG HỢP LỆ",IF(AND($G253&gt;0,$J253=""),"THIẾU NGÀY ĐẾN HẠN","OK"))))))</f>
        <v/>
      </c>
    </row>
    <row r="254">
      <c r="A254" s="209" t="n"/>
      <c r="B254" s="47" t="n"/>
      <c r="C254" s="47" t="n"/>
      <c r="D254" s="51">
        <f>IF($C254="","",XLOOKUP($C254,'01_DANH_MUC'!$A$7:$A$206,'01_DANH_MUC'!$B$7:$B$206,"KHÔNG TÌM THẤY"))</f>
        <v/>
      </c>
      <c r="E254" s="51">
        <f>IF($C254="","",XLOOKUP($C254,'01_DANH_MUC'!$A$7:$A$206,'01_DANH_MUC'!$C$7:$C$206,"KHÔNG TÌM THẤY"))</f>
        <v/>
      </c>
      <c r="F254" s="57" t="n"/>
      <c r="G254" s="211" t="n"/>
      <c r="H254" s="211" t="n"/>
      <c r="I254" s="212">
        <f>IF($C254="","",XLOOKUP($C254,'01_DANH_MUC'!$A$7:$A$206,'01_DANH_MUC'!$E$7:$E$206,0))</f>
        <v/>
      </c>
      <c r="J254" s="213">
        <f>IF(OR($A254="",$C254="",$G254&lt;=0),"",$A254+$I254)</f>
        <v/>
      </c>
      <c r="K254" s="210">
        <f>IF($A254="","",IF(OR($C254="",$G254&lt;=0,$A254&gt;'03_BAO_CAO'!$E$4),0,MAX(0,$G254-MAX(0,SUMIFS($H$7:$H$506,$C$7:$C$506,$C254,$A$7:$A$506,"&lt;="&amp;'03_BAO_CAO'!$E$4)-XLOOKUP($C254,'01_DANH_MUC'!$A$7:$A$206,'01_DANH_MUC'!$F$7:$F$206,0)-SUMIFS($G$7:G253,$C$7:C253,$C254,$A$7:A253,"&lt;="&amp;'03_BAO_CAO'!$E$4)))))</f>
        <v/>
      </c>
      <c r="L254" s="212">
        <f>IF($A254="","",IF(OR($K254&lt;=0,$J254=""),0,MAX(0,'03_BAO_CAO'!$E$4-$J254)))</f>
        <v/>
      </c>
      <c r="M254" s="51">
        <f>IF($A254="","",IF($K254&lt;=0,"Đã thanh toán",IF($J254="","Thiếu ngày đến hạn",IF($J254&gt;='03_BAO_CAO'!$E$4,"Chưa đến hạn",IF($L254&lt;=30,"1-30 ngày",IF($L254&lt;=60,"31-60 ngày",IF($L254&lt;=90,"61-90 ngày","Trên 90 ngày")))))))</f>
        <v/>
      </c>
      <c r="N254" s="51">
        <f>IF($A254="","",IF(OR($B254="",$C254=""),"THIẾU THÔNG TIN",IF(AND($G254&gt;0,$H254&gt;0),"KHÔNG NHẬP ĐỒNG THỜI TĂNG/GIẢM",IF(AND($G254&lt;=0,$H254&lt;=0),"CHƯA NHẬP SỐ TIỀN",IF($D254="KHÔNG TÌM THẤY","MÃ KHÔNG HỢP LỆ",IF(AND($G254&gt;0,$J254=""),"THIẾU NGÀY ĐẾN HẠN","OK"))))))</f>
        <v/>
      </c>
    </row>
    <row r="255">
      <c r="A255" s="209" t="n"/>
      <c r="B255" s="47" t="n"/>
      <c r="C255" s="47" t="n"/>
      <c r="D255" s="51">
        <f>IF($C255="","",XLOOKUP($C255,'01_DANH_MUC'!$A$7:$A$206,'01_DANH_MUC'!$B$7:$B$206,"KHÔNG TÌM THẤY"))</f>
        <v/>
      </c>
      <c r="E255" s="51">
        <f>IF($C255="","",XLOOKUP($C255,'01_DANH_MUC'!$A$7:$A$206,'01_DANH_MUC'!$C$7:$C$206,"KHÔNG TÌM THẤY"))</f>
        <v/>
      </c>
      <c r="F255" s="57" t="n"/>
      <c r="G255" s="211" t="n"/>
      <c r="H255" s="211" t="n"/>
      <c r="I255" s="212">
        <f>IF($C255="","",XLOOKUP($C255,'01_DANH_MUC'!$A$7:$A$206,'01_DANH_MUC'!$E$7:$E$206,0))</f>
        <v/>
      </c>
      <c r="J255" s="213">
        <f>IF(OR($A255="",$C255="",$G255&lt;=0),"",$A255+$I255)</f>
        <v/>
      </c>
      <c r="K255" s="210">
        <f>IF($A255="","",IF(OR($C255="",$G255&lt;=0,$A255&gt;'03_BAO_CAO'!$E$4),0,MAX(0,$G255-MAX(0,SUMIFS($H$7:$H$506,$C$7:$C$506,$C255,$A$7:$A$506,"&lt;="&amp;'03_BAO_CAO'!$E$4)-XLOOKUP($C255,'01_DANH_MUC'!$A$7:$A$206,'01_DANH_MUC'!$F$7:$F$206,0)-SUMIFS($G$7:G254,$C$7:C254,$C255,$A$7:A254,"&lt;="&amp;'03_BAO_CAO'!$E$4)))))</f>
        <v/>
      </c>
      <c r="L255" s="212">
        <f>IF($A255="","",IF(OR($K255&lt;=0,$J255=""),0,MAX(0,'03_BAO_CAO'!$E$4-$J255)))</f>
        <v/>
      </c>
      <c r="M255" s="51">
        <f>IF($A255="","",IF($K255&lt;=0,"Đã thanh toán",IF($J255="","Thiếu ngày đến hạn",IF($J255&gt;='03_BAO_CAO'!$E$4,"Chưa đến hạn",IF($L255&lt;=30,"1-30 ngày",IF($L255&lt;=60,"31-60 ngày",IF($L255&lt;=90,"61-90 ngày","Trên 90 ngày")))))))</f>
        <v/>
      </c>
      <c r="N255" s="51">
        <f>IF($A255="","",IF(OR($B255="",$C255=""),"THIẾU THÔNG TIN",IF(AND($G255&gt;0,$H255&gt;0),"KHÔNG NHẬP ĐỒNG THỜI TĂNG/GIẢM",IF(AND($G255&lt;=0,$H255&lt;=0),"CHƯA NHẬP SỐ TIỀN",IF($D255="KHÔNG TÌM THẤY","MÃ KHÔNG HỢP LỆ",IF(AND($G255&gt;0,$J255=""),"THIẾU NGÀY ĐẾN HẠN","OK"))))))</f>
        <v/>
      </c>
    </row>
    <row r="256">
      <c r="A256" s="209" t="n"/>
      <c r="B256" s="47" t="n"/>
      <c r="C256" s="47" t="n"/>
      <c r="D256" s="51">
        <f>IF($C256="","",XLOOKUP($C256,'01_DANH_MUC'!$A$7:$A$206,'01_DANH_MUC'!$B$7:$B$206,"KHÔNG TÌM THẤY"))</f>
        <v/>
      </c>
      <c r="E256" s="51">
        <f>IF($C256="","",XLOOKUP($C256,'01_DANH_MUC'!$A$7:$A$206,'01_DANH_MUC'!$C$7:$C$206,"KHÔNG TÌM THẤY"))</f>
        <v/>
      </c>
      <c r="F256" s="57" t="n"/>
      <c r="G256" s="211" t="n"/>
      <c r="H256" s="211" t="n"/>
      <c r="I256" s="212">
        <f>IF($C256="","",XLOOKUP($C256,'01_DANH_MUC'!$A$7:$A$206,'01_DANH_MUC'!$E$7:$E$206,0))</f>
        <v/>
      </c>
      <c r="J256" s="213">
        <f>IF(OR($A256="",$C256="",$G256&lt;=0),"",$A256+$I256)</f>
        <v/>
      </c>
      <c r="K256" s="210">
        <f>IF($A256="","",IF(OR($C256="",$G256&lt;=0,$A256&gt;'03_BAO_CAO'!$E$4),0,MAX(0,$G256-MAX(0,SUMIFS($H$7:$H$506,$C$7:$C$506,$C256,$A$7:$A$506,"&lt;="&amp;'03_BAO_CAO'!$E$4)-XLOOKUP($C256,'01_DANH_MUC'!$A$7:$A$206,'01_DANH_MUC'!$F$7:$F$206,0)-SUMIFS($G$7:G255,$C$7:C255,$C256,$A$7:A255,"&lt;="&amp;'03_BAO_CAO'!$E$4)))))</f>
        <v/>
      </c>
      <c r="L256" s="212">
        <f>IF($A256="","",IF(OR($K256&lt;=0,$J256=""),0,MAX(0,'03_BAO_CAO'!$E$4-$J256)))</f>
        <v/>
      </c>
      <c r="M256" s="51">
        <f>IF($A256="","",IF($K256&lt;=0,"Đã thanh toán",IF($J256="","Thiếu ngày đến hạn",IF($J256&gt;='03_BAO_CAO'!$E$4,"Chưa đến hạn",IF($L256&lt;=30,"1-30 ngày",IF($L256&lt;=60,"31-60 ngày",IF($L256&lt;=90,"61-90 ngày","Trên 90 ngày")))))))</f>
        <v/>
      </c>
      <c r="N256" s="51">
        <f>IF($A256="","",IF(OR($B256="",$C256=""),"THIẾU THÔNG TIN",IF(AND($G256&gt;0,$H256&gt;0),"KHÔNG NHẬP ĐỒNG THỜI TĂNG/GIẢM",IF(AND($G256&lt;=0,$H256&lt;=0),"CHƯA NHẬP SỐ TIỀN",IF($D256="KHÔNG TÌM THẤY","MÃ KHÔNG HỢP LỆ",IF(AND($G256&gt;0,$J256=""),"THIẾU NGÀY ĐẾN HẠN","OK"))))))</f>
        <v/>
      </c>
    </row>
    <row r="257">
      <c r="A257" s="209" t="n"/>
      <c r="B257" s="47" t="n"/>
      <c r="C257" s="47" t="n"/>
      <c r="D257" s="51">
        <f>IF($C257="","",XLOOKUP($C257,'01_DANH_MUC'!$A$7:$A$206,'01_DANH_MUC'!$B$7:$B$206,"KHÔNG TÌM THẤY"))</f>
        <v/>
      </c>
      <c r="E257" s="51">
        <f>IF($C257="","",XLOOKUP($C257,'01_DANH_MUC'!$A$7:$A$206,'01_DANH_MUC'!$C$7:$C$206,"KHÔNG TÌM THẤY"))</f>
        <v/>
      </c>
      <c r="F257" s="57" t="n"/>
      <c r="G257" s="211" t="n"/>
      <c r="H257" s="211" t="n"/>
      <c r="I257" s="212">
        <f>IF($C257="","",XLOOKUP($C257,'01_DANH_MUC'!$A$7:$A$206,'01_DANH_MUC'!$E$7:$E$206,0))</f>
        <v/>
      </c>
      <c r="J257" s="213">
        <f>IF(OR($A257="",$C257="",$G257&lt;=0),"",$A257+$I257)</f>
        <v/>
      </c>
      <c r="K257" s="210">
        <f>IF($A257="","",IF(OR($C257="",$G257&lt;=0,$A257&gt;'03_BAO_CAO'!$E$4),0,MAX(0,$G257-MAX(0,SUMIFS($H$7:$H$506,$C$7:$C$506,$C257,$A$7:$A$506,"&lt;="&amp;'03_BAO_CAO'!$E$4)-XLOOKUP($C257,'01_DANH_MUC'!$A$7:$A$206,'01_DANH_MUC'!$F$7:$F$206,0)-SUMIFS($G$7:G256,$C$7:C256,$C257,$A$7:A256,"&lt;="&amp;'03_BAO_CAO'!$E$4)))))</f>
        <v/>
      </c>
      <c r="L257" s="212">
        <f>IF($A257="","",IF(OR($K257&lt;=0,$J257=""),0,MAX(0,'03_BAO_CAO'!$E$4-$J257)))</f>
        <v/>
      </c>
      <c r="M257" s="51">
        <f>IF($A257="","",IF($K257&lt;=0,"Đã thanh toán",IF($J257="","Thiếu ngày đến hạn",IF($J257&gt;='03_BAO_CAO'!$E$4,"Chưa đến hạn",IF($L257&lt;=30,"1-30 ngày",IF($L257&lt;=60,"31-60 ngày",IF($L257&lt;=90,"61-90 ngày","Trên 90 ngày")))))))</f>
        <v/>
      </c>
      <c r="N257" s="51">
        <f>IF($A257="","",IF(OR($B257="",$C257=""),"THIẾU THÔNG TIN",IF(AND($G257&gt;0,$H257&gt;0),"KHÔNG NHẬP ĐỒNG THỜI TĂNG/GIẢM",IF(AND($G257&lt;=0,$H257&lt;=0),"CHƯA NHẬP SỐ TIỀN",IF($D257="KHÔNG TÌM THẤY","MÃ KHÔNG HỢP LỆ",IF(AND($G257&gt;0,$J257=""),"THIẾU NGÀY ĐẾN HẠN","OK"))))))</f>
        <v/>
      </c>
    </row>
    <row r="258">
      <c r="A258" s="209" t="n"/>
      <c r="B258" s="47" t="n"/>
      <c r="C258" s="47" t="n"/>
      <c r="D258" s="51">
        <f>IF($C258="","",XLOOKUP($C258,'01_DANH_MUC'!$A$7:$A$206,'01_DANH_MUC'!$B$7:$B$206,"KHÔNG TÌM THẤY"))</f>
        <v/>
      </c>
      <c r="E258" s="51">
        <f>IF($C258="","",XLOOKUP($C258,'01_DANH_MUC'!$A$7:$A$206,'01_DANH_MUC'!$C$7:$C$206,"KHÔNG TÌM THẤY"))</f>
        <v/>
      </c>
      <c r="F258" s="57" t="n"/>
      <c r="G258" s="211" t="n"/>
      <c r="H258" s="211" t="n"/>
      <c r="I258" s="212">
        <f>IF($C258="","",XLOOKUP($C258,'01_DANH_MUC'!$A$7:$A$206,'01_DANH_MUC'!$E$7:$E$206,0))</f>
        <v/>
      </c>
      <c r="J258" s="213">
        <f>IF(OR($A258="",$C258="",$G258&lt;=0),"",$A258+$I258)</f>
        <v/>
      </c>
      <c r="K258" s="210">
        <f>IF($A258="","",IF(OR($C258="",$G258&lt;=0,$A258&gt;'03_BAO_CAO'!$E$4),0,MAX(0,$G258-MAX(0,SUMIFS($H$7:$H$506,$C$7:$C$506,$C258,$A$7:$A$506,"&lt;="&amp;'03_BAO_CAO'!$E$4)-XLOOKUP($C258,'01_DANH_MUC'!$A$7:$A$206,'01_DANH_MUC'!$F$7:$F$206,0)-SUMIFS($G$7:G257,$C$7:C257,$C258,$A$7:A257,"&lt;="&amp;'03_BAO_CAO'!$E$4)))))</f>
        <v/>
      </c>
      <c r="L258" s="212">
        <f>IF($A258="","",IF(OR($K258&lt;=0,$J258=""),0,MAX(0,'03_BAO_CAO'!$E$4-$J258)))</f>
        <v/>
      </c>
      <c r="M258" s="51">
        <f>IF($A258="","",IF($K258&lt;=0,"Đã thanh toán",IF($J258="","Thiếu ngày đến hạn",IF($J258&gt;='03_BAO_CAO'!$E$4,"Chưa đến hạn",IF($L258&lt;=30,"1-30 ngày",IF($L258&lt;=60,"31-60 ngày",IF($L258&lt;=90,"61-90 ngày","Trên 90 ngày")))))))</f>
        <v/>
      </c>
      <c r="N258" s="51">
        <f>IF($A258="","",IF(OR($B258="",$C258=""),"THIẾU THÔNG TIN",IF(AND($G258&gt;0,$H258&gt;0),"KHÔNG NHẬP ĐỒNG THỜI TĂNG/GIẢM",IF(AND($G258&lt;=0,$H258&lt;=0),"CHƯA NHẬP SỐ TIỀN",IF($D258="KHÔNG TÌM THẤY","MÃ KHÔNG HỢP LỆ",IF(AND($G258&gt;0,$J258=""),"THIẾU NGÀY ĐẾN HẠN","OK"))))))</f>
        <v/>
      </c>
    </row>
    <row r="259">
      <c r="A259" s="209" t="n"/>
      <c r="B259" s="47" t="n"/>
      <c r="C259" s="47" t="n"/>
      <c r="D259" s="51">
        <f>IF($C259="","",XLOOKUP($C259,'01_DANH_MUC'!$A$7:$A$206,'01_DANH_MUC'!$B$7:$B$206,"KHÔNG TÌM THẤY"))</f>
        <v/>
      </c>
      <c r="E259" s="51">
        <f>IF($C259="","",XLOOKUP($C259,'01_DANH_MUC'!$A$7:$A$206,'01_DANH_MUC'!$C$7:$C$206,"KHÔNG TÌM THẤY"))</f>
        <v/>
      </c>
      <c r="F259" s="57" t="n"/>
      <c r="G259" s="211" t="n"/>
      <c r="H259" s="211" t="n"/>
      <c r="I259" s="212">
        <f>IF($C259="","",XLOOKUP($C259,'01_DANH_MUC'!$A$7:$A$206,'01_DANH_MUC'!$E$7:$E$206,0))</f>
        <v/>
      </c>
      <c r="J259" s="213">
        <f>IF(OR($A259="",$C259="",$G259&lt;=0),"",$A259+$I259)</f>
        <v/>
      </c>
      <c r="K259" s="210">
        <f>IF($A259="","",IF(OR($C259="",$G259&lt;=0,$A259&gt;'03_BAO_CAO'!$E$4),0,MAX(0,$G259-MAX(0,SUMIFS($H$7:$H$506,$C$7:$C$506,$C259,$A$7:$A$506,"&lt;="&amp;'03_BAO_CAO'!$E$4)-XLOOKUP($C259,'01_DANH_MUC'!$A$7:$A$206,'01_DANH_MUC'!$F$7:$F$206,0)-SUMIFS($G$7:G258,$C$7:C258,$C259,$A$7:A258,"&lt;="&amp;'03_BAO_CAO'!$E$4)))))</f>
        <v/>
      </c>
      <c r="L259" s="212">
        <f>IF($A259="","",IF(OR($K259&lt;=0,$J259=""),0,MAX(0,'03_BAO_CAO'!$E$4-$J259)))</f>
        <v/>
      </c>
      <c r="M259" s="51">
        <f>IF($A259="","",IF($K259&lt;=0,"Đã thanh toán",IF($J259="","Thiếu ngày đến hạn",IF($J259&gt;='03_BAO_CAO'!$E$4,"Chưa đến hạn",IF($L259&lt;=30,"1-30 ngày",IF($L259&lt;=60,"31-60 ngày",IF($L259&lt;=90,"61-90 ngày","Trên 90 ngày")))))))</f>
        <v/>
      </c>
      <c r="N259" s="51">
        <f>IF($A259="","",IF(OR($B259="",$C259=""),"THIẾU THÔNG TIN",IF(AND($G259&gt;0,$H259&gt;0),"KHÔNG NHẬP ĐỒNG THỜI TĂNG/GIẢM",IF(AND($G259&lt;=0,$H259&lt;=0),"CHƯA NHẬP SỐ TIỀN",IF($D259="KHÔNG TÌM THẤY","MÃ KHÔNG HỢP LỆ",IF(AND($G259&gt;0,$J259=""),"THIẾU NGÀY ĐẾN HẠN","OK"))))))</f>
        <v/>
      </c>
    </row>
    <row r="260">
      <c r="A260" s="209" t="n"/>
      <c r="B260" s="47" t="n"/>
      <c r="C260" s="47" t="n"/>
      <c r="D260" s="51">
        <f>IF($C260="","",XLOOKUP($C260,'01_DANH_MUC'!$A$7:$A$206,'01_DANH_MUC'!$B$7:$B$206,"KHÔNG TÌM THẤY"))</f>
        <v/>
      </c>
      <c r="E260" s="51">
        <f>IF($C260="","",XLOOKUP($C260,'01_DANH_MUC'!$A$7:$A$206,'01_DANH_MUC'!$C$7:$C$206,"KHÔNG TÌM THẤY"))</f>
        <v/>
      </c>
      <c r="F260" s="57" t="n"/>
      <c r="G260" s="211" t="n"/>
      <c r="H260" s="211" t="n"/>
      <c r="I260" s="212">
        <f>IF($C260="","",XLOOKUP($C260,'01_DANH_MUC'!$A$7:$A$206,'01_DANH_MUC'!$E$7:$E$206,0))</f>
        <v/>
      </c>
      <c r="J260" s="213">
        <f>IF(OR($A260="",$C260="",$G260&lt;=0),"",$A260+$I260)</f>
        <v/>
      </c>
      <c r="K260" s="210">
        <f>IF($A260="","",IF(OR($C260="",$G260&lt;=0,$A260&gt;'03_BAO_CAO'!$E$4),0,MAX(0,$G260-MAX(0,SUMIFS($H$7:$H$506,$C$7:$C$506,$C260,$A$7:$A$506,"&lt;="&amp;'03_BAO_CAO'!$E$4)-XLOOKUP($C260,'01_DANH_MUC'!$A$7:$A$206,'01_DANH_MUC'!$F$7:$F$206,0)-SUMIFS($G$7:G259,$C$7:C259,$C260,$A$7:A259,"&lt;="&amp;'03_BAO_CAO'!$E$4)))))</f>
        <v/>
      </c>
      <c r="L260" s="212">
        <f>IF($A260="","",IF(OR($K260&lt;=0,$J260=""),0,MAX(0,'03_BAO_CAO'!$E$4-$J260)))</f>
        <v/>
      </c>
      <c r="M260" s="51">
        <f>IF($A260="","",IF($K260&lt;=0,"Đã thanh toán",IF($J260="","Thiếu ngày đến hạn",IF($J260&gt;='03_BAO_CAO'!$E$4,"Chưa đến hạn",IF($L260&lt;=30,"1-30 ngày",IF($L260&lt;=60,"31-60 ngày",IF($L260&lt;=90,"61-90 ngày","Trên 90 ngày")))))))</f>
        <v/>
      </c>
      <c r="N260" s="51">
        <f>IF($A260="","",IF(OR($B260="",$C260=""),"THIẾU THÔNG TIN",IF(AND($G260&gt;0,$H260&gt;0),"KHÔNG NHẬP ĐỒNG THỜI TĂNG/GIẢM",IF(AND($G260&lt;=0,$H260&lt;=0),"CHƯA NHẬP SỐ TIỀN",IF($D260="KHÔNG TÌM THẤY","MÃ KHÔNG HỢP LỆ",IF(AND($G260&gt;0,$J260=""),"THIẾU NGÀY ĐẾN HẠN","OK"))))))</f>
        <v/>
      </c>
    </row>
    <row r="261">
      <c r="A261" s="209" t="n"/>
      <c r="B261" s="47" t="n"/>
      <c r="C261" s="47" t="n"/>
      <c r="D261" s="51">
        <f>IF($C261="","",XLOOKUP($C261,'01_DANH_MUC'!$A$7:$A$206,'01_DANH_MUC'!$B$7:$B$206,"KHÔNG TÌM THẤY"))</f>
        <v/>
      </c>
      <c r="E261" s="51">
        <f>IF($C261="","",XLOOKUP($C261,'01_DANH_MUC'!$A$7:$A$206,'01_DANH_MUC'!$C$7:$C$206,"KHÔNG TÌM THẤY"))</f>
        <v/>
      </c>
      <c r="F261" s="57" t="n"/>
      <c r="G261" s="211" t="n"/>
      <c r="H261" s="211" t="n"/>
      <c r="I261" s="212">
        <f>IF($C261="","",XLOOKUP($C261,'01_DANH_MUC'!$A$7:$A$206,'01_DANH_MUC'!$E$7:$E$206,0))</f>
        <v/>
      </c>
      <c r="J261" s="213">
        <f>IF(OR($A261="",$C261="",$G261&lt;=0),"",$A261+$I261)</f>
        <v/>
      </c>
      <c r="K261" s="210">
        <f>IF($A261="","",IF(OR($C261="",$G261&lt;=0,$A261&gt;'03_BAO_CAO'!$E$4),0,MAX(0,$G261-MAX(0,SUMIFS($H$7:$H$506,$C$7:$C$506,$C261,$A$7:$A$506,"&lt;="&amp;'03_BAO_CAO'!$E$4)-XLOOKUP($C261,'01_DANH_MUC'!$A$7:$A$206,'01_DANH_MUC'!$F$7:$F$206,0)-SUMIFS($G$7:G260,$C$7:C260,$C261,$A$7:A260,"&lt;="&amp;'03_BAO_CAO'!$E$4)))))</f>
        <v/>
      </c>
      <c r="L261" s="212">
        <f>IF($A261="","",IF(OR($K261&lt;=0,$J261=""),0,MAX(0,'03_BAO_CAO'!$E$4-$J261)))</f>
        <v/>
      </c>
      <c r="M261" s="51">
        <f>IF($A261="","",IF($K261&lt;=0,"Đã thanh toán",IF($J261="","Thiếu ngày đến hạn",IF($J261&gt;='03_BAO_CAO'!$E$4,"Chưa đến hạn",IF($L261&lt;=30,"1-30 ngày",IF($L261&lt;=60,"31-60 ngày",IF($L261&lt;=90,"61-90 ngày","Trên 90 ngày")))))))</f>
        <v/>
      </c>
      <c r="N261" s="51">
        <f>IF($A261="","",IF(OR($B261="",$C261=""),"THIẾU THÔNG TIN",IF(AND($G261&gt;0,$H261&gt;0),"KHÔNG NHẬP ĐỒNG THỜI TĂNG/GIẢM",IF(AND($G261&lt;=0,$H261&lt;=0),"CHƯA NHẬP SỐ TIỀN",IF($D261="KHÔNG TÌM THẤY","MÃ KHÔNG HỢP LỆ",IF(AND($G261&gt;0,$J261=""),"THIẾU NGÀY ĐẾN HẠN","OK"))))))</f>
        <v/>
      </c>
    </row>
    <row r="262">
      <c r="A262" s="209" t="n"/>
      <c r="B262" s="47" t="n"/>
      <c r="C262" s="47" t="n"/>
      <c r="D262" s="51">
        <f>IF($C262="","",XLOOKUP($C262,'01_DANH_MUC'!$A$7:$A$206,'01_DANH_MUC'!$B$7:$B$206,"KHÔNG TÌM THẤY"))</f>
        <v/>
      </c>
      <c r="E262" s="51">
        <f>IF($C262="","",XLOOKUP($C262,'01_DANH_MUC'!$A$7:$A$206,'01_DANH_MUC'!$C$7:$C$206,"KHÔNG TÌM THẤY"))</f>
        <v/>
      </c>
      <c r="F262" s="57" t="n"/>
      <c r="G262" s="211" t="n"/>
      <c r="H262" s="211" t="n"/>
      <c r="I262" s="212">
        <f>IF($C262="","",XLOOKUP($C262,'01_DANH_MUC'!$A$7:$A$206,'01_DANH_MUC'!$E$7:$E$206,0))</f>
        <v/>
      </c>
      <c r="J262" s="213">
        <f>IF(OR($A262="",$C262="",$G262&lt;=0),"",$A262+$I262)</f>
        <v/>
      </c>
      <c r="K262" s="210">
        <f>IF($A262="","",IF(OR($C262="",$G262&lt;=0,$A262&gt;'03_BAO_CAO'!$E$4),0,MAX(0,$G262-MAX(0,SUMIFS($H$7:$H$506,$C$7:$C$506,$C262,$A$7:$A$506,"&lt;="&amp;'03_BAO_CAO'!$E$4)-XLOOKUP($C262,'01_DANH_MUC'!$A$7:$A$206,'01_DANH_MUC'!$F$7:$F$206,0)-SUMIFS($G$7:G261,$C$7:C261,$C262,$A$7:A261,"&lt;="&amp;'03_BAO_CAO'!$E$4)))))</f>
        <v/>
      </c>
      <c r="L262" s="212">
        <f>IF($A262="","",IF(OR($K262&lt;=0,$J262=""),0,MAX(0,'03_BAO_CAO'!$E$4-$J262)))</f>
        <v/>
      </c>
      <c r="M262" s="51">
        <f>IF($A262="","",IF($K262&lt;=0,"Đã thanh toán",IF($J262="","Thiếu ngày đến hạn",IF($J262&gt;='03_BAO_CAO'!$E$4,"Chưa đến hạn",IF($L262&lt;=30,"1-30 ngày",IF($L262&lt;=60,"31-60 ngày",IF($L262&lt;=90,"61-90 ngày","Trên 90 ngày")))))))</f>
        <v/>
      </c>
      <c r="N262" s="51">
        <f>IF($A262="","",IF(OR($B262="",$C262=""),"THIẾU THÔNG TIN",IF(AND($G262&gt;0,$H262&gt;0),"KHÔNG NHẬP ĐỒNG THỜI TĂNG/GIẢM",IF(AND($G262&lt;=0,$H262&lt;=0),"CHƯA NHẬP SỐ TIỀN",IF($D262="KHÔNG TÌM THẤY","MÃ KHÔNG HỢP LỆ",IF(AND($G262&gt;0,$J262=""),"THIẾU NGÀY ĐẾN HẠN","OK"))))))</f>
        <v/>
      </c>
    </row>
    <row r="263">
      <c r="A263" s="209" t="n"/>
      <c r="B263" s="47" t="n"/>
      <c r="C263" s="47" t="n"/>
      <c r="D263" s="51">
        <f>IF($C263="","",XLOOKUP($C263,'01_DANH_MUC'!$A$7:$A$206,'01_DANH_MUC'!$B$7:$B$206,"KHÔNG TÌM THẤY"))</f>
        <v/>
      </c>
      <c r="E263" s="51">
        <f>IF($C263="","",XLOOKUP($C263,'01_DANH_MUC'!$A$7:$A$206,'01_DANH_MUC'!$C$7:$C$206,"KHÔNG TÌM THẤY"))</f>
        <v/>
      </c>
      <c r="F263" s="57" t="n"/>
      <c r="G263" s="211" t="n"/>
      <c r="H263" s="211" t="n"/>
      <c r="I263" s="212">
        <f>IF($C263="","",XLOOKUP($C263,'01_DANH_MUC'!$A$7:$A$206,'01_DANH_MUC'!$E$7:$E$206,0))</f>
        <v/>
      </c>
      <c r="J263" s="213">
        <f>IF(OR($A263="",$C263="",$G263&lt;=0),"",$A263+$I263)</f>
        <v/>
      </c>
      <c r="K263" s="210">
        <f>IF($A263="","",IF(OR($C263="",$G263&lt;=0,$A263&gt;'03_BAO_CAO'!$E$4),0,MAX(0,$G263-MAX(0,SUMIFS($H$7:$H$506,$C$7:$C$506,$C263,$A$7:$A$506,"&lt;="&amp;'03_BAO_CAO'!$E$4)-XLOOKUP($C263,'01_DANH_MUC'!$A$7:$A$206,'01_DANH_MUC'!$F$7:$F$206,0)-SUMIFS($G$7:G262,$C$7:C262,$C263,$A$7:A262,"&lt;="&amp;'03_BAO_CAO'!$E$4)))))</f>
        <v/>
      </c>
      <c r="L263" s="212">
        <f>IF($A263="","",IF(OR($K263&lt;=0,$J263=""),0,MAX(0,'03_BAO_CAO'!$E$4-$J263)))</f>
        <v/>
      </c>
      <c r="M263" s="51">
        <f>IF($A263="","",IF($K263&lt;=0,"Đã thanh toán",IF($J263="","Thiếu ngày đến hạn",IF($J263&gt;='03_BAO_CAO'!$E$4,"Chưa đến hạn",IF($L263&lt;=30,"1-30 ngày",IF($L263&lt;=60,"31-60 ngày",IF($L263&lt;=90,"61-90 ngày","Trên 90 ngày")))))))</f>
        <v/>
      </c>
      <c r="N263" s="51">
        <f>IF($A263="","",IF(OR($B263="",$C263=""),"THIẾU THÔNG TIN",IF(AND($G263&gt;0,$H263&gt;0),"KHÔNG NHẬP ĐỒNG THỜI TĂNG/GIẢM",IF(AND($G263&lt;=0,$H263&lt;=0),"CHƯA NHẬP SỐ TIỀN",IF($D263="KHÔNG TÌM THẤY","MÃ KHÔNG HỢP LỆ",IF(AND($G263&gt;0,$J263=""),"THIẾU NGÀY ĐẾN HẠN","OK"))))))</f>
        <v/>
      </c>
    </row>
    <row r="264">
      <c r="A264" s="209" t="n"/>
      <c r="B264" s="47" t="n"/>
      <c r="C264" s="47" t="n"/>
      <c r="D264" s="51">
        <f>IF($C264="","",XLOOKUP($C264,'01_DANH_MUC'!$A$7:$A$206,'01_DANH_MUC'!$B$7:$B$206,"KHÔNG TÌM THẤY"))</f>
        <v/>
      </c>
      <c r="E264" s="51">
        <f>IF($C264="","",XLOOKUP($C264,'01_DANH_MUC'!$A$7:$A$206,'01_DANH_MUC'!$C$7:$C$206,"KHÔNG TÌM THẤY"))</f>
        <v/>
      </c>
      <c r="F264" s="57" t="n"/>
      <c r="G264" s="211" t="n"/>
      <c r="H264" s="211" t="n"/>
      <c r="I264" s="212">
        <f>IF($C264="","",XLOOKUP($C264,'01_DANH_MUC'!$A$7:$A$206,'01_DANH_MUC'!$E$7:$E$206,0))</f>
        <v/>
      </c>
      <c r="J264" s="213">
        <f>IF(OR($A264="",$C264="",$G264&lt;=0),"",$A264+$I264)</f>
        <v/>
      </c>
      <c r="K264" s="210">
        <f>IF($A264="","",IF(OR($C264="",$G264&lt;=0,$A264&gt;'03_BAO_CAO'!$E$4),0,MAX(0,$G264-MAX(0,SUMIFS($H$7:$H$506,$C$7:$C$506,$C264,$A$7:$A$506,"&lt;="&amp;'03_BAO_CAO'!$E$4)-XLOOKUP($C264,'01_DANH_MUC'!$A$7:$A$206,'01_DANH_MUC'!$F$7:$F$206,0)-SUMIFS($G$7:G263,$C$7:C263,$C264,$A$7:A263,"&lt;="&amp;'03_BAO_CAO'!$E$4)))))</f>
        <v/>
      </c>
      <c r="L264" s="212">
        <f>IF($A264="","",IF(OR($K264&lt;=0,$J264=""),0,MAX(0,'03_BAO_CAO'!$E$4-$J264)))</f>
        <v/>
      </c>
      <c r="M264" s="51">
        <f>IF($A264="","",IF($K264&lt;=0,"Đã thanh toán",IF($J264="","Thiếu ngày đến hạn",IF($J264&gt;='03_BAO_CAO'!$E$4,"Chưa đến hạn",IF($L264&lt;=30,"1-30 ngày",IF($L264&lt;=60,"31-60 ngày",IF($L264&lt;=90,"61-90 ngày","Trên 90 ngày")))))))</f>
        <v/>
      </c>
      <c r="N264" s="51">
        <f>IF($A264="","",IF(OR($B264="",$C264=""),"THIẾU THÔNG TIN",IF(AND($G264&gt;0,$H264&gt;0),"KHÔNG NHẬP ĐỒNG THỜI TĂNG/GIẢM",IF(AND($G264&lt;=0,$H264&lt;=0),"CHƯA NHẬP SỐ TIỀN",IF($D264="KHÔNG TÌM THẤY","MÃ KHÔNG HỢP LỆ",IF(AND($G264&gt;0,$J264=""),"THIẾU NGÀY ĐẾN HẠN","OK"))))))</f>
        <v/>
      </c>
    </row>
    <row r="265">
      <c r="A265" s="209" t="n"/>
      <c r="B265" s="47" t="n"/>
      <c r="C265" s="47" t="n"/>
      <c r="D265" s="51">
        <f>IF($C265="","",XLOOKUP($C265,'01_DANH_MUC'!$A$7:$A$206,'01_DANH_MUC'!$B$7:$B$206,"KHÔNG TÌM THẤY"))</f>
        <v/>
      </c>
      <c r="E265" s="51">
        <f>IF($C265="","",XLOOKUP($C265,'01_DANH_MUC'!$A$7:$A$206,'01_DANH_MUC'!$C$7:$C$206,"KHÔNG TÌM THẤY"))</f>
        <v/>
      </c>
      <c r="F265" s="57" t="n"/>
      <c r="G265" s="211" t="n"/>
      <c r="H265" s="211" t="n"/>
      <c r="I265" s="212">
        <f>IF($C265="","",XLOOKUP($C265,'01_DANH_MUC'!$A$7:$A$206,'01_DANH_MUC'!$E$7:$E$206,0))</f>
        <v/>
      </c>
      <c r="J265" s="213">
        <f>IF(OR($A265="",$C265="",$G265&lt;=0),"",$A265+$I265)</f>
        <v/>
      </c>
      <c r="K265" s="210">
        <f>IF($A265="","",IF(OR($C265="",$G265&lt;=0,$A265&gt;'03_BAO_CAO'!$E$4),0,MAX(0,$G265-MAX(0,SUMIFS($H$7:$H$506,$C$7:$C$506,$C265,$A$7:$A$506,"&lt;="&amp;'03_BAO_CAO'!$E$4)-XLOOKUP($C265,'01_DANH_MUC'!$A$7:$A$206,'01_DANH_MUC'!$F$7:$F$206,0)-SUMIFS($G$7:G264,$C$7:C264,$C265,$A$7:A264,"&lt;="&amp;'03_BAO_CAO'!$E$4)))))</f>
        <v/>
      </c>
      <c r="L265" s="212">
        <f>IF($A265="","",IF(OR($K265&lt;=0,$J265=""),0,MAX(0,'03_BAO_CAO'!$E$4-$J265)))</f>
        <v/>
      </c>
      <c r="M265" s="51">
        <f>IF($A265="","",IF($K265&lt;=0,"Đã thanh toán",IF($J265="","Thiếu ngày đến hạn",IF($J265&gt;='03_BAO_CAO'!$E$4,"Chưa đến hạn",IF($L265&lt;=30,"1-30 ngày",IF($L265&lt;=60,"31-60 ngày",IF($L265&lt;=90,"61-90 ngày","Trên 90 ngày")))))))</f>
        <v/>
      </c>
      <c r="N265" s="51">
        <f>IF($A265="","",IF(OR($B265="",$C265=""),"THIẾU THÔNG TIN",IF(AND($G265&gt;0,$H265&gt;0),"KHÔNG NHẬP ĐỒNG THỜI TĂNG/GIẢM",IF(AND($G265&lt;=0,$H265&lt;=0),"CHƯA NHẬP SỐ TIỀN",IF($D265="KHÔNG TÌM THẤY","MÃ KHÔNG HỢP LỆ",IF(AND($G265&gt;0,$J265=""),"THIẾU NGÀY ĐẾN HẠN","OK"))))))</f>
        <v/>
      </c>
    </row>
    <row r="266">
      <c r="A266" s="209" t="n"/>
      <c r="B266" s="47" t="n"/>
      <c r="C266" s="47" t="n"/>
      <c r="D266" s="51">
        <f>IF($C266="","",XLOOKUP($C266,'01_DANH_MUC'!$A$7:$A$206,'01_DANH_MUC'!$B$7:$B$206,"KHÔNG TÌM THẤY"))</f>
        <v/>
      </c>
      <c r="E266" s="51">
        <f>IF($C266="","",XLOOKUP($C266,'01_DANH_MUC'!$A$7:$A$206,'01_DANH_MUC'!$C$7:$C$206,"KHÔNG TÌM THẤY"))</f>
        <v/>
      </c>
      <c r="F266" s="57" t="n"/>
      <c r="G266" s="211" t="n"/>
      <c r="H266" s="211" t="n"/>
      <c r="I266" s="212">
        <f>IF($C266="","",XLOOKUP($C266,'01_DANH_MUC'!$A$7:$A$206,'01_DANH_MUC'!$E$7:$E$206,0))</f>
        <v/>
      </c>
      <c r="J266" s="213">
        <f>IF(OR($A266="",$C266="",$G266&lt;=0),"",$A266+$I266)</f>
        <v/>
      </c>
      <c r="K266" s="210">
        <f>IF($A266="","",IF(OR($C266="",$G266&lt;=0,$A266&gt;'03_BAO_CAO'!$E$4),0,MAX(0,$G266-MAX(0,SUMIFS($H$7:$H$506,$C$7:$C$506,$C266,$A$7:$A$506,"&lt;="&amp;'03_BAO_CAO'!$E$4)-XLOOKUP($C266,'01_DANH_MUC'!$A$7:$A$206,'01_DANH_MUC'!$F$7:$F$206,0)-SUMIFS($G$7:G265,$C$7:C265,$C266,$A$7:A265,"&lt;="&amp;'03_BAO_CAO'!$E$4)))))</f>
        <v/>
      </c>
      <c r="L266" s="212">
        <f>IF($A266="","",IF(OR($K266&lt;=0,$J266=""),0,MAX(0,'03_BAO_CAO'!$E$4-$J266)))</f>
        <v/>
      </c>
      <c r="M266" s="51">
        <f>IF($A266="","",IF($K266&lt;=0,"Đã thanh toán",IF($J266="","Thiếu ngày đến hạn",IF($J266&gt;='03_BAO_CAO'!$E$4,"Chưa đến hạn",IF($L266&lt;=30,"1-30 ngày",IF($L266&lt;=60,"31-60 ngày",IF($L266&lt;=90,"61-90 ngày","Trên 90 ngày")))))))</f>
        <v/>
      </c>
      <c r="N266" s="51">
        <f>IF($A266="","",IF(OR($B266="",$C266=""),"THIẾU THÔNG TIN",IF(AND($G266&gt;0,$H266&gt;0),"KHÔNG NHẬP ĐỒNG THỜI TĂNG/GIẢM",IF(AND($G266&lt;=0,$H266&lt;=0),"CHƯA NHẬP SỐ TIỀN",IF($D266="KHÔNG TÌM THẤY","MÃ KHÔNG HỢP LỆ",IF(AND($G266&gt;0,$J266=""),"THIẾU NGÀY ĐẾN HẠN","OK"))))))</f>
        <v/>
      </c>
    </row>
    <row r="267">
      <c r="A267" s="209" t="n"/>
      <c r="B267" s="47" t="n"/>
      <c r="C267" s="47" t="n"/>
      <c r="D267" s="51">
        <f>IF($C267="","",XLOOKUP($C267,'01_DANH_MUC'!$A$7:$A$206,'01_DANH_MUC'!$B$7:$B$206,"KHÔNG TÌM THẤY"))</f>
        <v/>
      </c>
      <c r="E267" s="51">
        <f>IF($C267="","",XLOOKUP($C267,'01_DANH_MUC'!$A$7:$A$206,'01_DANH_MUC'!$C$7:$C$206,"KHÔNG TÌM THẤY"))</f>
        <v/>
      </c>
      <c r="F267" s="57" t="n"/>
      <c r="G267" s="211" t="n"/>
      <c r="H267" s="211" t="n"/>
      <c r="I267" s="212">
        <f>IF($C267="","",XLOOKUP($C267,'01_DANH_MUC'!$A$7:$A$206,'01_DANH_MUC'!$E$7:$E$206,0))</f>
        <v/>
      </c>
      <c r="J267" s="213">
        <f>IF(OR($A267="",$C267="",$G267&lt;=0),"",$A267+$I267)</f>
        <v/>
      </c>
      <c r="K267" s="210">
        <f>IF($A267="","",IF(OR($C267="",$G267&lt;=0,$A267&gt;'03_BAO_CAO'!$E$4),0,MAX(0,$G267-MAX(0,SUMIFS($H$7:$H$506,$C$7:$C$506,$C267,$A$7:$A$506,"&lt;="&amp;'03_BAO_CAO'!$E$4)-XLOOKUP($C267,'01_DANH_MUC'!$A$7:$A$206,'01_DANH_MUC'!$F$7:$F$206,0)-SUMIFS($G$7:G266,$C$7:C266,$C267,$A$7:A266,"&lt;="&amp;'03_BAO_CAO'!$E$4)))))</f>
        <v/>
      </c>
      <c r="L267" s="212">
        <f>IF($A267="","",IF(OR($K267&lt;=0,$J267=""),0,MAX(0,'03_BAO_CAO'!$E$4-$J267)))</f>
        <v/>
      </c>
      <c r="M267" s="51">
        <f>IF($A267="","",IF($K267&lt;=0,"Đã thanh toán",IF($J267="","Thiếu ngày đến hạn",IF($J267&gt;='03_BAO_CAO'!$E$4,"Chưa đến hạn",IF($L267&lt;=30,"1-30 ngày",IF($L267&lt;=60,"31-60 ngày",IF($L267&lt;=90,"61-90 ngày","Trên 90 ngày")))))))</f>
        <v/>
      </c>
      <c r="N267" s="51">
        <f>IF($A267="","",IF(OR($B267="",$C267=""),"THIẾU THÔNG TIN",IF(AND($G267&gt;0,$H267&gt;0),"KHÔNG NHẬP ĐỒNG THỜI TĂNG/GIẢM",IF(AND($G267&lt;=0,$H267&lt;=0),"CHƯA NHẬP SỐ TIỀN",IF($D267="KHÔNG TÌM THẤY","MÃ KHÔNG HỢP LỆ",IF(AND($G267&gt;0,$J267=""),"THIẾU NGÀY ĐẾN HẠN","OK"))))))</f>
        <v/>
      </c>
    </row>
    <row r="268">
      <c r="A268" s="209" t="n"/>
      <c r="B268" s="47" t="n"/>
      <c r="C268" s="47" t="n"/>
      <c r="D268" s="51">
        <f>IF($C268="","",XLOOKUP($C268,'01_DANH_MUC'!$A$7:$A$206,'01_DANH_MUC'!$B$7:$B$206,"KHÔNG TÌM THẤY"))</f>
        <v/>
      </c>
      <c r="E268" s="51">
        <f>IF($C268="","",XLOOKUP($C268,'01_DANH_MUC'!$A$7:$A$206,'01_DANH_MUC'!$C$7:$C$206,"KHÔNG TÌM THẤY"))</f>
        <v/>
      </c>
      <c r="F268" s="57" t="n"/>
      <c r="G268" s="211" t="n"/>
      <c r="H268" s="211" t="n"/>
      <c r="I268" s="212">
        <f>IF($C268="","",XLOOKUP($C268,'01_DANH_MUC'!$A$7:$A$206,'01_DANH_MUC'!$E$7:$E$206,0))</f>
        <v/>
      </c>
      <c r="J268" s="213">
        <f>IF(OR($A268="",$C268="",$G268&lt;=0),"",$A268+$I268)</f>
        <v/>
      </c>
      <c r="K268" s="210">
        <f>IF($A268="","",IF(OR($C268="",$G268&lt;=0,$A268&gt;'03_BAO_CAO'!$E$4),0,MAX(0,$G268-MAX(0,SUMIFS($H$7:$H$506,$C$7:$C$506,$C268,$A$7:$A$506,"&lt;="&amp;'03_BAO_CAO'!$E$4)-XLOOKUP($C268,'01_DANH_MUC'!$A$7:$A$206,'01_DANH_MUC'!$F$7:$F$206,0)-SUMIFS($G$7:G267,$C$7:C267,$C268,$A$7:A267,"&lt;="&amp;'03_BAO_CAO'!$E$4)))))</f>
        <v/>
      </c>
      <c r="L268" s="212">
        <f>IF($A268="","",IF(OR($K268&lt;=0,$J268=""),0,MAX(0,'03_BAO_CAO'!$E$4-$J268)))</f>
        <v/>
      </c>
      <c r="M268" s="51">
        <f>IF($A268="","",IF($K268&lt;=0,"Đã thanh toán",IF($J268="","Thiếu ngày đến hạn",IF($J268&gt;='03_BAO_CAO'!$E$4,"Chưa đến hạn",IF($L268&lt;=30,"1-30 ngày",IF($L268&lt;=60,"31-60 ngày",IF($L268&lt;=90,"61-90 ngày","Trên 90 ngày")))))))</f>
        <v/>
      </c>
      <c r="N268" s="51">
        <f>IF($A268="","",IF(OR($B268="",$C268=""),"THIẾU THÔNG TIN",IF(AND($G268&gt;0,$H268&gt;0),"KHÔNG NHẬP ĐỒNG THỜI TĂNG/GIẢM",IF(AND($G268&lt;=0,$H268&lt;=0),"CHƯA NHẬP SỐ TIỀN",IF($D268="KHÔNG TÌM THẤY","MÃ KHÔNG HỢP LỆ",IF(AND($G268&gt;0,$J268=""),"THIẾU NGÀY ĐẾN HẠN","OK"))))))</f>
        <v/>
      </c>
    </row>
    <row r="269">
      <c r="A269" s="209" t="n"/>
      <c r="B269" s="47" t="n"/>
      <c r="C269" s="47" t="n"/>
      <c r="D269" s="51">
        <f>IF($C269="","",XLOOKUP($C269,'01_DANH_MUC'!$A$7:$A$206,'01_DANH_MUC'!$B$7:$B$206,"KHÔNG TÌM THẤY"))</f>
        <v/>
      </c>
      <c r="E269" s="51">
        <f>IF($C269="","",XLOOKUP($C269,'01_DANH_MUC'!$A$7:$A$206,'01_DANH_MUC'!$C$7:$C$206,"KHÔNG TÌM THẤY"))</f>
        <v/>
      </c>
      <c r="F269" s="57" t="n"/>
      <c r="G269" s="211" t="n"/>
      <c r="H269" s="211" t="n"/>
      <c r="I269" s="212">
        <f>IF($C269="","",XLOOKUP($C269,'01_DANH_MUC'!$A$7:$A$206,'01_DANH_MUC'!$E$7:$E$206,0))</f>
        <v/>
      </c>
      <c r="J269" s="213">
        <f>IF(OR($A269="",$C269="",$G269&lt;=0),"",$A269+$I269)</f>
        <v/>
      </c>
      <c r="K269" s="210">
        <f>IF($A269="","",IF(OR($C269="",$G269&lt;=0,$A269&gt;'03_BAO_CAO'!$E$4),0,MAX(0,$G269-MAX(0,SUMIFS($H$7:$H$506,$C$7:$C$506,$C269,$A$7:$A$506,"&lt;="&amp;'03_BAO_CAO'!$E$4)-XLOOKUP($C269,'01_DANH_MUC'!$A$7:$A$206,'01_DANH_MUC'!$F$7:$F$206,0)-SUMIFS($G$7:G268,$C$7:C268,$C269,$A$7:A268,"&lt;="&amp;'03_BAO_CAO'!$E$4)))))</f>
        <v/>
      </c>
      <c r="L269" s="212">
        <f>IF($A269="","",IF(OR($K269&lt;=0,$J269=""),0,MAX(0,'03_BAO_CAO'!$E$4-$J269)))</f>
        <v/>
      </c>
      <c r="M269" s="51">
        <f>IF($A269="","",IF($K269&lt;=0,"Đã thanh toán",IF($J269="","Thiếu ngày đến hạn",IF($J269&gt;='03_BAO_CAO'!$E$4,"Chưa đến hạn",IF($L269&lt;=30,"1-30 ngày",IF($L269&lt;=60,"31-60 ngày",IF($L269&lt;=90,"61-90 ngày","Trên 90 ngày")))))))</f>
        <v/>
      </c>
      <c r="N269" s="51">
        <f>IF($A269="","",IF(OR($B269="",$C269=""),"THIẾU THÔNG TIN",IF(AND($G269&gt;0,$H269&gt;0),"KHÔNG NHẬP ĐỒNG THỜI TĂNG/GIẢM",IF(AND($G269&lt;=0,$H269&lt;=0),"CHƯA NHẬP SỐ TIỀN",IF($D269="KHÔNG TÌM THẤY","MÃ KHÔNG HỢP LỆ",IF(AND($G269&gt;0,$J269=""),"THIẾU NGÀY ĐẾN HẠN","OK"))))))</f>
        <v/>
      </c>
    </row>
    <row r="270">
      <c r="A270" s="209" t="n"/>
      <c r="B270" s="47" t="n"/>
      <c r="C270" s="47" t="n"/>
      <c r="D270" s="51">
        <f>IF($C270="","",XLOOKUP($C270,'01_DANH_MUC'!$A$7:$A$206,'01_DANH_MUC'!$B$7:$B$206,"KHÔNG TÌM THẤY"))</f>
        <v/>
      </c>
      <c r="E270" s="51">
        <f>IF($C270="","",XLOOKUP($C270,'01_DANH_MUC'!$A$7:$A$206,'01_DANH_MUC'!$C$7:$C$206,"KHÔNG TÌM THẤY"))</f>
        <v/>
      </c>
      <c r="F270" s="57" t="n"/>
      <c r="G270" s="211" t="n"/>
      <c r="H270" s="211" t="n"/>
      <c r="I270" s="212">
        <f>IF($C270="","",XLOOKUP($C270,'01_DANH_MUC'!$A$7:$A$206,'01_DANH_MUC'!$E$7:$E$206,0))</f>
        <v/>
      </c>
      <c r="J270" s="213">
        <f>IF(OR($A270="",$C270="",$G270&lt;=0),"",$A270+$I270)</f>
        <v/>
      </c>
      <c r="K270" s="210">
        <f>IF($A270="","",IF(OR($C270="",$G270&lt;=0,$A270&gt;'03_BAO_CAO'!$E$4),0,MAX(0,$G270-MAX(0,SUMIFS($H$7:$H$506,$C$7:$C$506,$C270,$A$7:$A$506,"&lt;="&amp;'03_BAO_CAO'!$E$4)-XLOOKUP($C270,'01_DANH_MUC'!$A$7:$A$206,'01_DANH_MUC'!$F$7:$F$206,0)-SUMIFS($G$7:G269,$C$7:C269,$C270,$A$7:A269,"&lt;="&amp;'03_BAO_CAO'!$E$4)))))</f>
        <v/>
      </c>
      <c r="L270" s="212">
        <f>IF($A270="","",IF(OR($K270&lt;=0,$J270=""),0,MAX(0,'03_BAO_CAO'!$E$4-$J270)))</f>
        <v/>
      </c>
      <c r="M270" s="51">
        <f>IF($A270="","",IF($K270&lt;=0,"Đã thanh toán",IF($J270="","Thiếu ngày đến hạn",IF($J270&gt;='03_BAO_CAO'!$E$4,"Chưa đến hạn",IF($L270&lt;=30,"1-30 ngày",IF($L270&lt;=60,"31-60 ngày",IF($L270&lt;=90,"61-90 ngày","Trên 90 ngày")))))))</f>
        <v/>
      </c>
      <c r="N270" s="51">
        <f>IF($A270="","",IF(OR($B270="",$C270=""),"THIẾU THÔNG TIN",IF(AND($G270&gt;0,$H270&gt;0),"KHÔNG NHẬP ĐỒNG THỜI TĂNG/GIẢM",IF(AND($G270&lt;=0,$H270&lt;=0),"CHƯA NHẬP SỐ TIỀN",IF($D270="KHÔNG TÌM THẤY","MÃ KHÔNG HỢP LỆ",IF(AND($G270&gt;0,$J270=""),"THIẾU NGÀY ĐẾN HẠN","OK"))))))</f>
        <v/>
      </c>
    </row>
    <row r="271">
      <c r="A271" s="209" t="n"/>
      <c r="B271" s="47" t="n"/>
      <c r="C271" s="47" t="n"/>
      <c r="D271" s="51">
        <f>IF($C271="","",XLOOKUP($C271,'01_DANH_MUC'!$A$7:$A$206,'01_DANH_MUC'!$B$7:$B$206,"KHÔNG TÌM THẤY"))</f>
        <v/>
      </c>
      <c r="E271" s="51">
        <f>IF($C271="","",XLOOKUP($C271,'01_DANH_MUC'!$A$7:$A$206,'01_DANH_MUC'!$C$7:$C$206,"KHÔNG TÌM THẤY"))</f>
        <v/>
      </c>
      <c r="F271" s="57" t="n"/>
      <c r="G271" s="211" t="n"/>
      <c r="H271" s="211" t="n"/>
      <c r="I271" s="212">
        <f>IF($C271="","",XLOOKUP($C271,'01_DANH_MUC'!$A$7:$A$206,'01_DANH_MUC'!$E$7:$E$206,0))</f>
        <v/>
      </c>
      <c r="J271" s="213">
        <f>IF(OR($A271="",$C271="",$G271&lt;=0),"",$A271+$I271)</f>
        <v/>
      </c>
      <c r="K271" s="210">
        <f>IF($A271="","",IF(OR($C271="",$G271&lt;=0,$A271&gt;'03_BAO_CAO'!$E$4),0,MAX(0,$G271-MAX(0,SUMIFS($H$7:$H$506,$C$7:$C$506,$C271,$A$7:$A$506,"&lt;="&amp;'03_BAO_CAO'!$E$4)-XLOOKUP($C271,'01_DANH_MUC'!$A$7:$A$206,'01_DANH_MUC'!$F$7:$F$206,0)-SUMIFS($G$7:G270,$C$7:C270,$C271,$A$7:A270,"&lt;="&amp;'03_BAO_CAO'!$E$4)))))</f>
        <v/>
      </c>
      <c r="L271" s="212">
        <f>IF($A271="","",IF(OR($K271&lt;=0,$J271=""),0,MAX(0,'03_BAO_CAO'!$E$4-$J271)))</f>
        <v/>
      </c>
      <c r="M271" s="51">
        <f>IF($A271="","",IF($K271&lt;=0,"Đã thanh toán",IF($J271="","Thiếu ngày đến hạn",IF($J271&gt;='03_BAO_CAO'!$E$4,"Chưa đến hạn",IF($L271&lt;=30,"1-30 ngày",IF($L271&lt;=60,"31-60 ngày",IF($L271&lt;=90,"61-90 ngày","Trên 90 ngày")))))))</f>
        <v/>
      </c>
      <c r="N271" s="51">
        <f>IF($A271="","",IF(OR($B271="",$C271=""),"THIẾU THÔNG TIN",IF(AND($G271&gt;0,$H271&gt;0),"KHÔNG NHẬP ĐỒNG THỜI TĂNG/GIẢM",IF(AND($G271&lt;=0,$H271&lt;=0),"CHƯA NHẬP SỐ TIỀN",IF($D271="KHÔNG TÌM THẤY","MÃ KHÔNG HỢP LỆ",IF(AND($G271&gt;0,$J271=""),"THIẾU NGÀY ĐẾN HẠN","OK"))))))</f>
        <v/>
      </c>
    </row>
    <row r="272">
      <c r="A272" s="209" t="n"/>
      <c r="B272" s="47" t="n"/>
      <c r="C272" s="47" t="n"/>
      <c r="D272" s="51">
        <f>IF($C272="","",XLOOKUP($C272,'01_DANH_MUC'!$A$7:$A$206,'01_DANH_MUC'!$B$7:$B$206,"KHÔNG TÌM THẤY"))</f>
        <v/>
      </c>
      <c r="E272" s="51">
        <f>IF($C272="","",XLOOKUP($C272,'01_DANH_MUC'!$A$7:$A$206,'01_DANH_MUC'!$C$7:$C$206,"KHÔNG TÌM THẤY"))</f>
        <v/>
      </c>
      <c r="F272" s="57" t="n"/>
      <c r="G272" s="211" t="n"/>
      <c r="H272" s="211" t="n"/>
      <c r="I272" s="212">
        <f>IF($C272="","",XLOOKUP($C272,'01_DANH_MUC'!$A$7:$A$206,'01_DANH_MUC'!$E$7:$E$206,0))</f>
        <v/>
      </c>
      <c r="J272" s="213">
        <f>IF(OR($A272="",$C272="",$G272&lt;=0),"",$A272+$I272)</f>
        <v/>
      </c>
      <c r="K272" s="210">
        <f>IF($A272="","",IF(OR($C272="",$G272&lt;=0,$A272&gt;'03_BAO_CAO'!$E$4),0,MAX(0,$G272-MAX(0,SUMIFS($H$7:$H$506,$C$7:$C$506,$C272,$A$7:$A$506,"&lt;="&amp;'03_BAO_CAO'!$E$4)-XLOOKUP($C272,'01_DANH_MUC'!$A$7:$A$206,'01_DANH_MUC'!$F$7:$F$206,0)-SUMIFS($G$7:G271,$C$7:C271,$C272,$A$7:A271,"&lt;="&amp;'03_BAO_CAO'!$E$4)))))</f>
        <v/>
      </c>
      <c r="L272" s="212">
        <f>IF($A272="","",IF(OR($K272&lt;=0,$J272=""),0,MAX(0,'03_BAO_CAO'!$E$4-$J272)))</f>
        <v/>
      </c>
      <c r="M272" s="51">
        <f>IF($A272="","",IF($K272&lt;=0,"Đã thanh toán",IF($J272="","Thiếu ngày đến hạn",IF($J272&gt;='03_BAO_CAO'!$E$4,"Chưa đến hạn",IF($L272&lt;=30,"1-30 ngày",IF($L272&lt;=60,"31-60 ngày",IF($L272&lt;=90,"61-90 ngày","Trên 90 ngày")))))))</f>
        <v/>
      </c>
      <c r="N272" s="51">
        <f>IF($A272="","",IF(OR($B272="",$C272=""),"THIẾU THÔNG TIN",IF(AND($G272&gt;0,$H272&gt;0),"KHÔNG NHẬP ĐỒNG THỜI TĂNG/GIẢM",IF(AND($G272&lt;=0,$H272&lt;=0),"CHƯA NHẬP SỐ TIỀN",IF($D272="KHÔNG TÌM THẤY","MÃ KHÔNG HỢP LỆ",IF(AND($G272&gt;0,$J272=""),"THIẾU NGÀY ĐẾN HẠN","OK"))))))</f>
        <v/>
      </c>
    </row>
    <row r="273">
      <c r="A273" s="209" t="n"/>
      <c r="B273" s="47" t="n"/>
      <c r="C273" s="47" t="n"/>
      <c r="D273" s="51">
        <f>IF($C273="","",XLOOKUP($C273,'01_DANH_MUC'!$A$7:$A$206,'01_DANH_MUC'!$B$7:$B$206,"KHÔNG TÌM THẤY"))</f>
        <v/>
      </c>
      <c r="E273" s="51">
        <f>IF($C273="","",XLOOKUP($C273,'01_DANH_MUC'!$A$7:$A$206,'01_DANH_MUC'!$C$7:$C$206,"KHÔNG TÌM THẤY"))</f>
        <v/>
      </c>
      <c r="F273" s="57" t="n"/>
      <c r="G273" s="211" t="n"/>
      <c r="H273" s="211" t="n"/>
      <c r="I273" s="212">
        <f>IF($C273="","",XLOOKUP($C273,'01_DANH_MUC'!$A$7:$A$206,'01_DANH_MUC'!$E$7:$E$206,0))</f>
        <v/>
      </c>
      <c r="J273" s="213">
        <f>IF(OR($A273="",$C273="",$G273&lt;=0),"",$A273+$I273)</f>
        <v/>
      </c>
      <c r="K273" s="210">
        <f>IF($A273="","",IF(OR($C273="",$G273&lt;=0,$A273&gt;'03_BAO_CAO'!$E$4),0,MAX(0,$G273-MAX(0,SUMIFS($H$7:$H$506,$C$7:$C$506,$C273,$A$7:$A$506,"&lt;="&amp;'03_BAO_CAO'!$E$4)-XLOOKUP($C273,'01_DANH_MUC'!$A$7:$A$206,'01_DANH_MUC'!$F$7:$F$206,0)-SUMIFS($G$7:G272,$C$7:C272,$C273,$A$7:A272,"&lt;="&amp;'03_BAO_CAO'!$E$4)))))</f>
        <v/>
      </c>
      <c r="L273" s="212">
        <f>IF($A273="","",IF(OR($K273&lt;=0,$J273=""),0,MAX(0,'03_BAO_CAO'!$E$4-$J273)))</f>
        <v/>
      </c>
      <c r="M273" s="51">
        <f>IF($A273="","",IF($K273&lt;=0,"Đã thanh toán",IF($J273="","Thiếu ngày đến hạn",IF($J273&gt;='03_BAO_CAO'!$E$4,"Chưa đến hạn",IF($L273&lt;=30,"1-30 ngày",IF($L273&lt;=60,"31-60 ngày",IF($L273&lt;=90,"61-90 ngày","Trên 90 ngày")))))))</f>
        <v/>
      </c>
      <c r="N273" s="51">
        <f>IF($A273="","",IF(OR($B273="",$C273=""),"THIẾU THÔNG TIN",IF(AND($G273&gt;0,$H273&gt;0),"KHÔNG NHẬP ĐỒNG THỜI TĂNG/GIẢM",IF(AND($G273&lt;=0,$H273&lt;=0),"CHƯA NHẬP SỐ TIỀN",IF($D273="KHÔNG TÌM THẤY","MÃ KHÔNG HỢP LỆ",IF(AND($G273&gt;0,$J273=""),"THIẾU NGÀY ĐẾN HẠN","OK"))))))</f>
        <v/>
      </c>
    </row>
    <row r="274">
      <c r="A274" s="209" t="n"/>
      <c r="B274" s="47" t="n"/>
      <c r="C274" s="47" t="n"/>
      <c r="D274" s="51">
        <f>IF($C274="","",XLOOKUP($C274,'01_DANH_MUC'!$A$7:$A$206,'01_DANH_MUC'!$B$7:$B$206,"KHÔNG TÌM THẤY"))</f>
        <v/>
      </c>
      <c r="E274" s="51">
        <f>IF($C274="","",XLOOKUP($C274,'01_DANH_MUC'!$A$7:$A$206,'01_DANH_MUC'!$C$7:$C$206,"KHÔNG TÌM THẤY"))</f>
        <v/>
      </c>
      <c r="F274" s="57" t="n"/>
      <c r="G274" s="211" t="n"/>
      <c r="H274" s="211" t="n"/>
      <c r="I274" s="212">
        <f>IF($C274="","",XLOOKUP($C274,'01_DANH_MUC'!$A$7:$A$206,'01_DANH_MUC'!$E$7:$E$206,0))</f>
        <v/>
      </c>
      <c r="J274" s="213">
        <f>IF(OR($A274="",$C274="",$G274&lt;=0),"",$A274+$I274)</f>
        <v/>
      </c>
      <c r="K274" s="210">
        <f>IF($A274="","",IF(OR($C274="",$G274&lt;=0,$A274&gt;'03_BAO_CAO'!$E$4),0,MAX(0,$G274-MAX(0,SUMIFS($H$7:$H$506,$C$7:$C$506,$C274,$A$7:$A$506,"&lt;="&amp;'03_BAO_CAO'!$E$4)-XLOOKUP($C274,'01_DANH_MUC'!$A$7:$A$206,'01_DANH_MUC'!$F$7:$F$206,0)-SUMIFS($G$7:G273,$C$7:C273,$C274,$A$7:A273,"&lt;="&amp;'03_BAO_CAO'!$E$4)))))</f>
        <v/>
      </c>
      <c r="L274" s="212">
        <f>IF($A274="","",IF(OR($K274&lt;=0,$J274=""),0,MAX(0,'03_BAO_CAO'!$E$4-$J274)))</f>
        <v/>
      </c>
      <c r="M274" s="51">
        <f>IF($A274="","",IF($K274&lt;=0,"Đã thanh toán",IF($J274="","Thiếu ngày đến hạn",IF($J274&gt;='03_BAO_CAO'!$E$4,"Chưa đến hạn",IF($L274&lt;=30,"1-30 ngày",IF($L274&lt;=60,"31-60 ngày",IF($L274&lt;=90,"61-90 ngày","Trên 90 ngày")))))))</f>
        <v/>
      </c>
      <c r="N274" s="51">
        <f>IF($A274="","",IF(OR($B274="",$C274=""),"THIẾU THÔNG TIN",IF(AND($G274&gt;0,$H274&gt;0),"KHÔNG NHẬP ĐỒNG THỜI TĂNG/GIẢM",IF(AND($G274&lt;=0,$H274&lt;=0),"CHƯA NHẬP SỐ TIỀN",IF($D274="KHÔNG TÌM THẤY","MÃ KHÔNG HỢP LỆ",IF(AND($G274&gt;0,$J274=""),"THIẾU NGÀY ĐẾN HẠN","OK"))))))</f>
        <v/>
      </c>
    </row>
    <row r="275">
      <c r="A275" s="209" t="n"/>
      <c r="B275" s="47" t="n"/>
      <c r="C275" s="47" t="n"/>
      <c r="D275" s="51">
        <f>IF($C275="","",XLOOKUP($C275,'01_DANH_MUC'!$A$7:$A$206,'01_DANH_MUC'!$B$7:$B$206,"KHÔNG TÌM THẤY"))</f>
        <v/>
      </c>
      <c r="E275" s="51">
        <f>IF($C275="","",XLOOKUP($C275,'01_DANH_MUC'!$A$7:$A$206,'01_DANH_MUC'!$C$7:$C$206,"KHÔNG TÌM THẤY"))</f>
        <v/>
      </c>
      <c r="F275" s="57" t="n"/>
      <c r="G275" s="211" t="n"/>
      <c r="H275" s="211" t="n"/>
      <c r="I275" s="212">
        <f>IF($C275="","",XLOOKUP($C275,'01_DANH_MUC'!$A$7:$A$206,'01_DANH_MUC'!$E$7:$E$206,0))</f>
        <v/>
      </c>
      <c r="J275" s="213">
        <f>IF(OR($A275="",$C275="",$G275&lt;=0),"",$A275+$I275)</f>
        <v/>
      </c>
      <c r="K275" s="210">
        <f>IF($A275="","",IF(OR($C275="",$G275&lt;=0,$A275&gt;'03_BAO_CAO'!$E$4),0,MAX(0,$G275-MAX(0,SUMIFS($H$7:$H$506,$C$7:$C$506,$C275,$A$7:$A$506,"&lt;="&amp;'03_BAO_CAO'!$E$4)-XLOOKUP($C275,'01_DANH_MUC'!$A$7:$A$206,'01_DANH_MUC'!$F$7:$F$206,0)-SUMIFS($G$7:G274,$C$7:C274,$C275,$A$7:A274,"&lt;="&amp;'03_BAO_CAO'!$E$4)))))</f>
        <v/>
      </c>
      <c r="L275" s="212">
        <f>IF($A275="","",IF(OR($K275&lt;=0,$J275=""),0,MAX(0,'03_BAO_CAO'!$E$4-$J275)))</f>
        <v/>
      </c>
      <c r="M275" s="51">
        <f>IF($A275="","",IF($K275&lt;=0,"Đã thanh toán",IF($J275="","Thiếu ngày đến hạn",IF($J275&gt;='03_BAO_CAO'!$E$4,"Chưa đến hạn",IF($L275&lt;=30,"1-30 ngày",IF($L275&lt;=60,"31-60 ngày",IF($L275&lt;=90,"61-90 ngày","Trên 90 ngày")))))))</f>
        <v/>
      </c>
      <c r="N275" s="51">
        <f>IF($A275="","",IF(OR($B275="",$C275=""),"THIẾU THÔNG TIN",IF(AND($G275&gt;0,$H275&gt;0),"KHÔNG NHẬP ĐỒNG THỜI TĂNG/GIẢM",IF(AND($G275&lt;=0,$H275&lt;=0),"CHƯA NHẬP SỐ TIỀN",IF($D275="KHÔNG TÌM THẤY","MÃ KHÔNG HỢP LỆ",IF(AND($G275&gt;0,$J275=""),"THIẾU NGÀY ĐẾN HẠN","OK"))))))</f>
        <v/>
      </c>
    </row>
    <row r="276">
      <c r="A276" s="209" t="n"/>
      <c r="B276" s="47" t="n"/>
      <c r="C276" s="47" t="n"/>
      <c r="D276" s="51">
        <f>IF($C276="","",XLOOKUP($C276,'01_DANH_MUC'!$A$7:$A$206,'01_DANH_MUC'!$B$7:$B$206,"KHÔNG TÌM THẤY"))</f>
        <v/>
      </c>
      <c r="E276" s="51">
        <f>IF($C276="","",XLOOKUP($C276,'01_DANH_MUC'!$A$7:$A$206,'01_DANH_MUC'!$C$7:$C$206,"KHÔNG TÌM THẤY"))</f>
        <v/>
      </c>
      <c r="F276" s="57" t="n"/>
      <c r="G276" s="211" t="n"/>
      <c r="H276" s="211" t="n"/>
      <c r="I276" s="212">
        <f>IF($C276="","",XLOOKUP($C276,'01_DANH_MUC'!$A$7:$A$206,'01_DANH_MUC'!$E$7:$E$206,0))</f>
        <v/>
      </c>
      <c r="J276" s="213">
        <f>IF(OR($A276="",$C276="",$G276&lt;=0),"",$A276+$I276)</f>
        <v/>
      </c>
      <c r="K276" s="210">
        <f>IF($A276="","",IF(OR($C276="",$G276&lt;=0,$A276&gt;'03_BAO_CAO'!$E$4),0,MAX(0,$G276-MAX(0,SUMIFS($H$7:$H$506,$C$7:$C$506,$C276,$A$7:$A$506,"&lt;="&amp;'03_BAO_CAO'!$E$4)-XLOOKUP($C276,'01_DANH_MUC'!$A$7:$A$206,'01_DANH_MUC'!$F$7:$F$206,0)-SUMIFS($G$7:G275,$C$7:C275,$C276,$A$7:A275,"&lt;="&amp;'03_BAO_CAO'!$E$4)))))</f>
        <v/>
      </c>
      <c r="L276" s="212">
        <f>IF($A276="","",IF(OR($K276&lt;=0,$J276=""),0,MAX(0,'03_BAO_CAO'!$E$4-$J276)))</f>
        <v/>
      </c>
      <c r="M276" s="51">
        <f>IF($A276="","",IF($K276&lt;=0,"Đã thanh toán",IF($J276="","Thiếu ngày đến hạn",IF($J276&gt;='03_BAO_CAO'!$E$4,"Chưa đến hạn",IF($L276&lt;=30,"1-30 ngày",IF($L276&lt;=60,"31-60 ngày",IF($L276&lt;=90,"61-90 ngày","Trên 90 ngày")))))))</f>
        <v/>
      </c>
      <c r="N276" s="51">
        <f>IF($A276="","",IF(OR($B276="",$C276=""),"THIẾU THÔNG TIN",IF(AND($G276&gt;0,$H276&gt;0),"KHÔNG NHẬP ĐỒNG THỜI TĂNG/GIẢM",IF(AND($G276&lt;=0,$H276&lt;=0),"CHƯA NHẬP SỐ TIỀN",IF($D276="KHÔNG TÌM THẤY","MÃ KHÔNG HỢP LỆ",IF(AND($G276&gt;0,$J276=""),"THIẾU NGÀY ĐẾN HẠN","OK"))))))</f>
        <v/>
      </c>
    </row>
    <row r="277">
      <c r="A277" s="209" t="n"/>
      <c r="B277" s="47" t="n"/>
      <c r="C277" s="47" t="n"/>
      <c r="D277" s="51">
        <f>IF($C277="","",XLOOKUP($C277,'01_DANH_MUC'!$A$7:$A$206,'01_DANH_MUC'!$B$7:$B$206,"KHÔNG TÌM THẤY"))</f>
        <v/>
      </c>
      <c r="E277" s="51">
        <f>IF($C277="","",XLOOKUP($C277,'01_DANH_MUC'!$A$7:$A$206,'01_DANH_MUC'!$C$7:$C$206,"KHÔNG TÌM THẤY"))</f>
        <v/>
      </c>
      <c r="F277" s="57" t="n"/>
      <c r="G277" s="211" t="n"/>
      <c r="H277" s="211" t="n"/>
      <c r="I277" s="212">
        <f>IF($C277="","",XLOOKUP($C277,'01_DANH_MUC'!$A$7:$A$206,'01_DANH_MUC'!$E$7:$E$206,0))</f>
        <v/>
      </c>
      <c r="J277" s="213">
        <f>IF(OR($A277="",$C277="",$G277&lt;=0),"",$A277+$I277)</f>
        <v/>
      </c>
      <c r="K277" s="210">
        <f>IF($A277="","",IF(OR($C277="",$G277&lt;=0,$A277&gt;'03_BAO_CAO'!$E$4),0,MAX(0,$G277-MAX(0,SUMIFS($H$7:$H$506,$C$7:$C$506,$C277,$A$7:$A$506,"&lt;="&amp;'03_BAO_CAO'!$E$4)-XLOOKUP($C277,'01_DANH_MUC'!$A$7:$A$206,'01_DANH_MUC'!$F$7:$F$206,0)-SUMIFS($G$7:G276,$C$7:C276,$C277,$A$7:A276,"&lt;="&amp;'03_BAO_CAO'!$E$4)))))</f>
        <v/>
      </c>
      <c r="L277" s="212">
        <f>IF($A277="","",IF(OR($K277&lt;=0,$J277=""),0,MAX(0,'03_BAO_CAO'!$E$4-$J277)))</f>
        <v/>
      </c>
      <c r="M277" s="51">
        <f>IF($A277="","",IF($K277&lt;=0,"Đã thanh toán",IF($J277="","Thiếu ngày đến hạn",IF($J277&gt;='03_BAO_CAO'!$E$4,"Chưa đến hạn",IF($L277&lt;=30,"1-30 ngày",IF($L277&lt;=60,"31-60 ngày",IF($L277&lt;=90,"61-90 ngày","Trên 90 ngày")))))))</f>
        <v/>
      </c>
      <c r="N277" s="51">
        <f>IF($A277="","",IF(OR($B277="",$C277=""),"THIẾU THÔNG TIN",IF(AND($G277&gt;0,$H277&gt;0),"KHÔNG NHẬP ĐỒNG THỜI TĂNG/GIẢM",IF(AND($G277&lt;=0,$H277&lt;=0),"CHƯA NHẬP SỐ TIỀN",IF($D277="KHÔNG TÌM THẤY","MÃ KHÔNG HỢP LỆ",IF(AND($G277&gt;0,$J277=""),"THIẾU NGÀY ĐẾN HẠN","OK"))))))</f>
        <v/>
      </c>
    </row>
    <row r="278">
      <c r="A278" s="209" t="n"/>
      <c r="B278" s="47" t="n"/>
      <c r="C278" s="47" t="n"/>
      <c r="D278" s="51">
        <f>IF($C278="","",XLOOKUP($C278,'01_DANH_MUC'!$A$7:$A$206,'01_DANH_MUC'!$B$7:$B$206,"KHÔNG TÌM THẤY"))</f>
        <v/>
      </c>
      <c r="E278" s="51">
        <f>IF($C278="","",XLOOKUP($C278,'01_DANH_MUC'!$A$7:$A$206,'01_DANH_MUC'!$C$7:$C$206,"KHÔNG TÌM THẤY"))</f>
        <v/>
      </c>
      <c r="F278" s="57" t="n"/>
      <c r="G278" s="211" t="n"/>
      <c r="H278" s="211" t="n"/>
      <c r="I278" s="212">
        <f>IF($C278="","",XLOOKUP($C278,'01_DANH_MUC'!$A$7:$A$206,'01_DANH_MUC'!$E$7:$E$206,0))</f>
        <v/>
      </c>
      <c r="J278" s="213">
        <f>IF(OR($A278="",$C278="",$G278&lt;=0),"",$A278+$I278)</f>
        <v/>
      </c>
      <c r="K278" s="210">
        <f>IF($A278="","",IF(OR($C278="",$G278&lt;=0,$A278&gt;'03_BAO_CAO'!$E$4),0,MAX(0,$G278-MAX(0,SUMIFS($H$7:$H$506,$C$7:$C$506,$C278,$A$7:$A$506,"&lt;="&amp;'03_BAO_CAO'!$E$4)-XLOOKUP($C278,'01_DANH_MUC'!$A$7:$A$206,'01_DANH_MUC'!$F$7:$F$206,0)-SUMIFS($G$7:G277,$C$7:C277,$C278,$A$7:A277,"&lt;="&amp;'03_BAO_CAO'!$E$4)))))</f>
        <v/>
      </c>
      <c r="L278" s="212">
        <f>IF($A278="","",IF(OR($K278&lt;=0,$J278=""),0,MAX(0,'03_BAO_CAO'!$E$4-$J278)))</f>
        <v/>
      </c>
      <c r="M278" s="51">
        <f>IF($A278="","",IF($K278&lt;=0,"Đã thanh toán",IF($J278="","Thiếu ngày đến hạn",IF($J278&gt;='03_BAO_CAO'!$E$4,"Chưa đến hạn",IF($L278&lt;=30,"1-30 ngày",IF($L278&lt;=60,"31-60 ngày",IF($L278&lt;=90,"61-90 ngày","Trên 90 ngày")))))))</f>
        <v/>
      </c>
      <c r="N278" s="51">
        <f>IF($A278="","",IF(OR($B278="",$C278=""),"THIẾU THÔNG TIN",IF(AND($G278&gt;0,$H278&gt;0),"KHÔNG NHẬP ĐỒNG THỜI TĂNG/GIẢM",IF(AND($G278&lt;=0,$H278&lt;=0),"CHƯA NHẬP SỐ TIỀN",IF($D278="KHÔNG TÌM THẤY","MÃ KHÔNG HỢP LỆ",IF(AND($G278&gt;0,$J278=""),"THIẾU NGÀY ĐẾN HẠN","OK"))))))</f>
        <v/>
      </c>
    </row>
    <row r="279">
      <c r="A279" s="209" t="n"/>
      <c r="B279" s="47" t="n"/>
      <c r="C279" s="47" t="n"/>
      <c r="D279" s="51">
        <f>IF($C279="","",XLOOKUP($C279,'01_DANH_MUC'!$A$7:$A$206,'01_DANH_MUC'!$B$7:$B$206,"KHÔNG TÌM THẤY"))</f>
        <v/>
      </c>
      <c r="E279" s="51">
        <f>IF($C279="","",XLOOKUP($C279,'01_DANH_MUC'!$A$7:$A$206,'01_DANH_MUC'!$C$7:$C$206,"KHÔNG TÌM THẤY"))</f>
        <v/>
      </c>
      <c r="F279" s="57" t="n"/>
      <c r="G279" s="211" t="n"/>
      <c r="H279" s="211" t="n"/>
      <c r="I279" s="212">
        <f>IF($C279="","",XLOOKUP($C279,'01_DANH_MUC'!$A$7:$A$206,'01_DANH_MUC'!$E$7:$E$206,0))</f>
        <v/>
      </c>
      <c r="J279" s="213">
        <f>IF(OR($A279="",$C279="",$G279&lt;=0),"",$A279+$I279)</f>
        <v/>
      </c>
      <c r="K279" s="210">
        <f>IF($A279="","",IF(OR($C279="",$G279&lt;=0,$A279&gt;'03_BAO_CAO'!$E$4),0,MAX(0,$G279-MAX(0,SUMIFS($H$7:$H$506,$C$7:$C$506,$C279,$A$7:$A$506,"&lt;="&amp;'03_BAO_CAO'!$E$4)-XLOOKUP($C279,'01_DANH_MUC'!$A$7:$A$206,'01_DANH_MUC'!$F$7:$F$206,0)-SUMIFS($G$7:G278,$C$7:C278,$C279,$A$7:A278,"&lt;="&amp;'03_BAO_CAO'!$E$4)))))</f>
        <v/>
      </c>
      <c r="L279" s="212">
        <f>IF($A279="","",IF(OR($K279&lt;=0,$J279=""),0,MAX(0,'03_BAO_CAO'!$E$4-$J279)))</f>
        <v/>
      </c>
      <c r="M279" s="51">
        <f>IF($A279="","",IF($K279&lt;=0,"Đã thanh toán",IF($J279="","Thiếu ngày đến hạn",IF($J279&gt;='03_BAO_CAO'!$E$4,"Chưa đến hạn",IF($L279&lt;=30,"1-30 ngày",IF($L279&lt;=60,"31-60 ngày",IF($L279&lt;=90,"61-90 ngày","Trên 90 ngày")))))))</f>
        <v/>
      </c>
      <c r="N279" s="51">
        <f>IF($A279="","",IF(OR($B279="",$C279=""),"THIẾU THÔNG TIN",IF(AND($G279&gt;0,$H279&gt;0),"KHÔNG NHẬP ĐỒNG THỜI TĂNG/GIẢM",IF(AND($G279&lt;=0,$H279&lt;=0),"CHƯA NHẬP SỐ TIỀN",IF($D279="KHÔNG TÌM THẤY","MÃ KHÔNG HỢP LỆ",IF(AND($G279&gt;0,$J279=""),"THIẾU NGÀY ĐẾN HẠN","OK"))))))</f>
        <v/>
      </c>
    </row>
    <row r="280">
      <c r="A280" s="209" t="n"/>
      <c r="B280" s="47" t="n"/>
      <c r="C280" s="47" t="n"/>
      <c r="D280" s="51">
        <f>IF($C280="","",XLOOKUP($C280,'01_DANH_MUC'!$A$7:$A$206,'01_DANH_MUC'!$B$7:$B$206,"KHÔNG TÌM THẤY"))</f>
        <v/>
      </c>
      <c r="E280" s="51">
        <f>IF($C280="","",XLOOKUP($C280,'01_DANH_MUC'!$A$7:$A$206,'01_DANH_MUC'!$C$7:$C$206,"KHÔNG TÌM THẤY"))</f>
        <v/>
      </c>
      <c r="F280" s="57" t="n"/>
      <c r="G280" s="211" t="n"/>
      <c r="H280" s="211" t="n"/>
      <c r="I280" s="212">
        <f>IF($C280="","",XLOOKUP($C280,'01_DANH_MUC'!$A$7:$A$206,'01_DANH_MUC'!$E$7:$E$206,0))</f>
        <v/>
      </c>
      <c r="J280" s="213">
        <f>IF(OR($A280="",$C280="",$G280&lt;=0),"",$A280+$I280)</f>
        <v/>
      </c>
      <c r="K280" s="210">
        <f>IF($A280="","",IF(OR($C280="",$G280&lt;=0,$A280&gt;'03_BAO_CAO'!$E$4),0,MAX(0,$G280-MAX(0,SUMIFS($H$7:$H$506,$C$7:$C$506,$C280,$A$7:$A$506,"&lt;="&amp;'03_BAO_CAO'!$E$4)-XLOOKUP($C280,'01_DANH_MUC'!$A$7:$A$206,'01_DANH_MUC'!$F$7:$F$206,0)-SUMIFS($G$7:G279,$C$7:C279,$C280,$A$7:A279,"&lt;="&amp;'03_BAO_CAO'!$E$4)))))</f>
        <v/>
      </c>
      <c r="L280" s="212">
        <f>IF($A280="","",IF(OR($K280&lt;=0,$J280=""),0,MAX(0,'03_BAO_CAO'!$E$4-$J280)))</f>
        <v/>
      </c>
      <c r="M280" s="51">
        <f>IF($A280="","",IF($K280&lt;=0,"Đã thanh toán",IF($J280="","Thiếu ngày đến hạn",IF($J280&gt;='03_BAO_CAO'!$E$4,"Chưa đến hạn",IF($L280&lt;=30,"1-30 ngày",IF($L280&lt;=60,"31-60 ngày",IF($L280&lt;=90,"61-90 ngày","Trên 90 ngày")))))))</f>
        <v/>
      </c>
      <c r="N280" s="51">
        <f>IF($A280="","",IF(OR($B280="",$C280=""),"THIẾU THÔNG TIN",IF(AND($G280&gt;0,$H280&gt;0),"KHÔNG NHẬP ĐỒNG THỜI TĂNG/GIẢM",IF(AND($G280&lt;=0,$H280&lt;=0),"CHƯA NHẬP SỐ TIỀN",IF($D280="KHÔNG TÌM THẤY","MÃ KHÔNG HỢP LỆ",IF(AND($G280&gt;0,$J280=""),"THIẾU NGÀY ĐẾN HẠN","OK"))))))</f>
        <v/>
      </c>
    </row>
    <row r="281">
      <c r="A281" s="209" t="n"/>
      <c r="B281" s="47" t="n"/>
      <c r="C281" s="47" t="n"/>
      <c r="D281" s="51">
        <f>IF($C281="","",XLOOKUP($C281,'01_DANH_MUC'!$A$7:$A$206,'01_DANH_MUC'!$B$7:$B$206,"KHÔNG TÌM THẤY"))</f>
        <v/>
      </c>
      <c r="E281" s="51">
        <f>IF($C281="","",XLOOKUP($C281,'01_DANH_MUC'!$A$7:$A$206,'01_DANH_MUC'!$C$7:$C$206,"KHÔNG TÌM THẤY"))</f>
        <v/>
      </c>
      <c r="F281" s="57" t="n"/>
      <c r="G281" s="211" t="n"/>
      <c r="H281" s="211" t="n"/>
      <c r="I281" s="212">
        <f>IF($C281="","",XLOOKUP($C281,'01_DANH_MUC'!$A$7:$A$206,'01_DANH_MUC'!$E$7:$E$206,0))</f>
        <v/>
      </c>
      <c r="J281" s="213">
        <f>IF(OR($A281="",$C281="",$G281&lt;=0),"",$A281+$I281)</f>
        <v/>
      </c>
      <c r="K281" s="210">
        <f>IF($A281="","",IF(OR($C281="",$G281&lt;=0,$A281&gt;'03_BAO_CAO'!$E$4),0,MAX(0,$G281-MAX(0,SUMIFS($H$7:$H$506,$C$7:$C$506,$C281,$A$7:$A$506,"&lt;="&amp;'03_BAO_CAO'!$E$4)-XLOOKUP($C281,'01_DANH_MUC'!$A$7:$A$206,'01_DANH_MUC'!$F$7:$F$206,0)-SUMIFS($G$7:G280,$C$7:C280,$C281,$A$7:A280,"&lt;="&amp;'03_BAO_CAO'!$E$4)))))</f>
        <v/>
      </c>
      <c r="L281" s="212">
        <f>IF($A281="","",IF(OR($K281&lt;=0,$J281=""),0,MAX(0,'03_BAO_CAO'!$E$4-$J281)))</f>
        <v/>
      </c>
      <c r="M281" s="51">
        <f>IF($A281="","",IF($K281&lt;=0,"Đã thanh toán",IF($J281="","Thiếu ngày đến hạn",IF($J281&gt;='03_BAO_CAO'!$E$4,"Chưa đến hạn",IF($L281&lt;=30,"1-30 ngày",IF($L281&lt;=60,"31-60 ngày",IF($L281&lt;=90,"61-90 ngày","Trên 90 ngày")))))))</f>
        <v/>
      </c>
      <c r="N281" s="51">
        <f>IF($A281="","",IF(OR($B281="",$C281=""),"THIẾU THÔNG TIN",IF(AND($G281&gt;0,$H281&gt;0),"KHÔNG NHẬP ĐỒNG THỜI TĂNG/GIẢM",IF(AND($G281&lt;=0,$H281&lt;=0),"CHƯA NHẬP SỐ TIỀN",IF($D281="KHÔNG TÌM THẤY","MÃ KHÔNG HỢP LỆ",IF(AND($G281&gt;0,$J281=""),"THIẾU NGÀY ĐẾN HẠN","OK"))))))</f>
        <v/>
      </c>
    </row>
    <row r="282">
      <c r="A282" s="209" t="n"/>
      <c r="B282" s="47" t="n"/>
      <c r="C282" s="47" t="n"/>
      <c r="D282" s="51">
        <f>IF($C282="","",XLOOKUP($C282,'01_DANH_MUC'!$A$7:$A$206,'01_DANH_MUC'!$B$7:$B$206,"KHÔNG TÌM THẤY"))</f>
        <v/>
      </c>
      <c r="E282" s="51">
        <f>IF($C282="","",XLOOKUP($C282,'01_DANH_MUC'!$A$7:$A$206,'01_DANH_MUC'!$C$7:$C$206,"KHÔNG TÌM THẤY"))</f>
        <v/>
      </c>
      <c r="F282" s="57" t="n"/>
      <c r="G282" s="211" t="n"/>
      <c r="H282" s="211" t="n"/>
      <c r="I282" s="212">
        <f>IF($C282="","",XLOOKUP($C282,'01_DANH_MUC'!$A$7:$A$206,'01_DANH_MUC'!$E$7:$E$206,0))</f>
        <v/>
      </c>
      <c r="J282" s="213">
        <f>IF(OR($A282="",$C282="",$G282&lt;=0),"",$A282+$I282)</f>
        <v/>
      </c>
      <c r="K282" s="210">
        <f>IF($A282="","",IF(OR($C282="",$G282&lt;=0,$A282&gt;'03_BAO_CAO'!$E$4),0,MAX(0,$G282-MAX(0,SUMIFS($H$7:$H$506,$C$7:$C$506,$C282,$A$7:$A$506,"&lt;="&amp;'03_BAO_CAO'!$E$4)-XLOOKUP($C282,'01_DANH_MUC'!$A$7:$A$206,'01_DANH_MUC'!$F$7:$F$206,0)-SUMIFS($G$7:G281,$C$7:C281,$C282,$A$7:A281,"&lt;="&amp;'03_BAO_CAO'!$E$4)))))</f>
        <v/>
      </c>
      <c r="L282" s="212">
        <f>IF($A282="","",IF(OR($K282&lt;=0,$J282=""),0,MAX(0,'03_BAO_CAO'!$E$4-$J282)))</f>
        <v/>
      </c>
      <c r="M282" s="51">
        <f>IF($A282="","",IF($K282&lt;=0,"Đã thanh toán",IF($J282="","Thiếu ngày đến hạn",IF($J282&gt;='03_BAO_CAO'!$E$4,"Chưa đến hạn",IF($L282&lt;=30,"1-30 ngày",IF($L282&lt;=60,"31-60 ngày",IF($L282&lt;=90,"61-90 ngày","Trên 90 ngày")))))))</f>
        <v/>
      </c>
      <c r="N282" s="51">
        <f>IF($A282="","",IF(OR($B282="",$C282=""),"THIẾU THÔNG TIN",IF(AND($G282&gt;0,$H282&gt;0),"KHÔNG NHẬP ĐỒNG THỜI TĂNG/GIẢM",IF(AND($G282&lt;=0,$H282&lt;=0),"CHƯA NHẬP SỐ TIỀN",IF($D282="KHÔNG TÌM THẤY","MÃ KHÔNG HỢP LỆ",IF(AND($G282&gt;0,$J282=""),"THIẾU NGÀY ĐẾN HẠN","OK"))))))</f>
        <v/>
      </c>
    </row>
    <row r="283">
      <c r="A283" s="209" t="n"/>
      <c r="B283" s="47" t="n"/>
      <c r="C283" s="47" t="n"/>
      <c r="D283" s="51">
        <f>IF($C283="","",XLOOKUP($C283,'01_DANH_MUC'!$A$7:$A$206,'01_DANH_MUC'!$B$7:$B$206,"KHÔNG TÌM THẤY"))</f>
        <v/>
      </c>
      <c r="E283" s="51">
        <f>IF($C283="","",XLOOKUP($C283,'01_DANH_MUC'!$A$7:$A$206,'01_DANH_MUC'!$C$7:$C$206,"KHÔNG TÌM THẤY"))</f>
        <v/>
      </c>
      <c r="F283" s="57" t="n"/>
      <c r="G283" s="211" t="n"/>
      <c r="H283" s="211" t="n"/>
      <c r="I283" s="212">
        <f>IF($C283="","",XLOOKUP($C283,'01_DANH_MUC'!$A$7:$A$206,'01_DANH_MUC'!$E$7:$E$206,0))</f>
        <v/>
      </c>
      <c r="J283" s="213">
        <f>IF(OR($A283="",$C283="",$G283&lt;=0),"",$A283+$I283)</f>
        <v/>
      </c>
      <c r="K283" s="210">
        <f>IF($A283="","",IF(OR($C283="",$G283&lt;=0,$A283&gt;'03_BAO_CAO'!$E$4),0,MAX(0,$G283-MAX(0,SUMIFS($H$7:$H$506,$C$7:$C$506,$C283,$A$7:$A$506,"&lt;="&amp;'03_BAO_CAO'!$E$4)-XLOOKUP($C283,'01_DANH_MUC'!$A$7:$A$206,'01_DANH_MUC'!$F$7:$F$206,0)-SUMIFS($G$7:G282,$C$7:C282,$C283,$A$7:A282,"&lt;="&amp;'03_BAO_CAO'!$E$4)))))</f>
        <v/>
      </c>
      <c r="L283" s="212">
        <f>IF($A283="","",IF(OR($K283&lt;=0,$J283=""),0,MAX(0,'03_BAO_CAO'!$E$4-$J283)))</f>
        <v/>
      </c>
      <c r="M283" s="51">
        <f>IF($A283="","",IF($K283&lt;=0,"Đã thanh toán",IF($J283="","Thiếu ngày đến hạn",IF($J283&gt;='03_BAO_CAO'!$E$4,"Chưa đến hạn",IF($L283&lt;=30,"1-30 ngày",IF($L283&lt;=60,"31-60 ngày",IF($L283&lt;=90,"61-90 ngày","Trên 90 ngày")))))))</f>
        <v/>
      </c>
      <c r="N283" s="51">
        <f>IF($A283="","",IF(OR($B283="",$C283=""),"THIẾU THÔNG TIN",IF(AND($G283&gt;0,$H283&gt;0),"KHÔNG NHẬP ĐỒNG THỜI TĂNG/GIẢM",IF(AND($G283&lt;=0,$H283&lt;=0),"CHƯA NHẬP SỐ TIỀN",IF($D283="KHÔNG TÌM THẤY","MÃ KHÔNG HỢP LỆ",IF(AND($G283&gt;0,$J283=""),"THIẾU NGÀY ĐẾN HẠN","OK"))))))</f>
        <v/>
      </c>
    </row>
    <row r="284">
      <c r="A284" s="209" t="n"/>
      <c r="B284" s="47" t="n"/>
      <c r="C284" s="47" t="n"/>
      <c r="D284" s="51">
        <f>IF($C284="","",XLOOKUP($C284,'01_DANH_MUC'!$A$7:$A$206,'01_DANH_MUC'!$B$7:$B$206,"KHÔNG TÌM THẤY"))</f>
        <v/>
      </c>
      <c r="E284" s="51">
        <f>IF($C284="","",XLOOKUP($C284,'01_DANH_MUC'!$A$7:$A$206,'01_DANH_MUC'!$C$7:$C$206,"KHÔNG TÌM THẤY"))</f>
        <v/>
      </c>
      <c r="F284" s="57" t="n"/>
      <c r="G284" s="211" t="n"/>
      <c r="H284" s="211" t="n"/>
      <c r="I284" s="212">
        <f>IF($C284="","",XLOOKUP($C284,'01_DANH_MUC'!$A$7:$A$206,'01_DANH_MUC'!$E$7:$E$206,0))</f>
        <v/>
      </c>
      <c r="J284" s="213">
        <f>IF(OR($A284="",$C284="",$G284&lt;=0),"",$A284+$I284)</f>
        <v/>
      </c>
      <c r="K284" s="210">
        <f>IF($A284="","",IF(OR($C284="",$G284&lt;=0,$A284&gt;'03_BAO_CAO'!$E$4),0,MAX(0,$G284-MAX(0,SUMIFS($H$7:$H$506,$C$7:$C$506,$C284,$A$7:$A$506,"&lt;="&amp;'03_BAO_CAO'!$E$4)-XLOOKUP($C284,'01_DANH_MUC'!$A$7:$A$206,'01_DANH_MUC'!$F$7:$F$206,0)-SUMIFS($G$7:G283,$C$7:C283,$C284,$A$7:A283,"&lt;="&amp;'03_BAO_CAO'!$E$4)))))</f>
        <v/>
      </c>
      <c r="L284" s="212">
        <f>IF($A284="","",IF(OR($K284&lt;=0,$J284=""),0,MAX(0,'03_BAO_CAO'!$E$4-$J284)))</f>
        <v/>
      </c>
      <c r="M284" s="51">
        <f>IF($A284="","",IF($K284&lt;=0,"Đã thanh toán",IF($J284="","Thiếu ngày đến hạn",IF($J284&gt;='03_BAO_CAO'!$E$4,"Chưa đến hạn",IF($L284&lt;=30,"1-30 ngày",IF($L284&lt;=60,"31-60 ngày",IF($L284&lt;=90,"61-90 ngày","Trên 90 ngày")))))))</f>
        <v/>
      </c>
      <c r="N284" s="51">
        <f>IF($A284="","",IF(OR($B284="",$C284=""),"THIẾU THÔNG TIN",IF(AND($G284&gt;0,$H284&gt;0),"KHÔNG NHẬP ĐỒNG THỜI TĂNG/GIẢM",IF(AND($G284&lt;=0,$H284&lt;=0),"CHƯA NHẬP SỐ TIỀN",IF($D284="KHÔNG TÌM THẤY","MÃ KHÔNG HỢP LỆ",IF(AND($G284&gt;0,$J284=""),"THIẾU NGÀY ĐẾN HẠN","OK"))))))</f>
        <v/>
      </c>
    </row>
    <row r="285">
      <c r="A285" s="209" t="n"/>
      <c r="B285" s="47" t="n"/>
      <c r="C285" s="47" t="n"/>
      <c r="D285" s="51">
        <f>IF($C285="","",XLOOKUP($C285,'01_DANH_MUC'!$A$7:$A$206,'01_DANH_MUC'!$B$7:$B$206,"KHÔNG TÌM THẤY"))</f>
        <v/>
      </c>
      <c r="E285" s="51">
        <f>IF($C285="","",XLOOKUP($C285,'01_DANH_MUC'!$A$7:$A$206,'01_DANH_MUC'!$C$7:$C$206,"KHÔNG TÌM THẤY"))</f>
        <v/>
      </c>
      <c r="F285" s="57" t="n"/>
      <c r="G285" s="211" t="n"/>
      <c r="H285" s="211" t="n"/>
      <c r="I285" s="212">
        <f>IF($C285="","",XLOOKUP($C285,'01_DANH_MUC'!$A$7:$A$206,'01_DANH_MUC'!$E$7:$E$206,0))</f>
        <v/>
      </c>
      <c r="J285" s="213">
        <f>IF(OR($A285="",$C285="",$G285&lt;=0),"",$A285+$I285)</f>
        <v/>
      </c>
      <c r="K285" s="210">
        <f>IF($A285="","",IF(OR($C285="",$G285&lt;=0,$A285&gt;'03_BAO_CAO'!$E$4),0,MAX(0,$G285-MAX(0,SUMIFS($H$7:$H$506,$C$7:$C$506,$C285,$A$7:$A$506,"&lt;="&amp;'03_BAO_CAO'!$E$4)-XLOOKUP($C285,'01_DANH_MUC'!$A$7:$A$206,'01_DANH_MUC'!$F$7:$F$206,0)-SUMIFS($G$7:G284,$C$7:C284,$C285,$A$7:A284,"&lt;="&amp;'03_BAO_CAO'!$E$4)))))</f>
        <v/>
      </c>
      <c r="L285" s="212">
        <f>IF($A285="","",IF(OR($K285&lt;=0,$J285=""),0,MAX(0,'03_BAO_CAO'!$E$4-$J285)))</f>
        <v/>
      </c>
      <c r="M285" s="51">
        <f>IF($A285="","",IF($K285&lt;=0,"Đã thanh toán",IF($J285="","Thiếu ngày đến hạn",IF($J285&gt;='03_BAO_CAO'!$E$4,"Chưa đến hạn",IF($L285&lt;=30,"1-30 ngày",IF($L285&lt;=60,"31-60 ngày",IF($L285&lt;=90,"61-90 ngày","Trên 90 ngày")))))))</f>
        <v/>
      </c>
      <c r="N285" s="51">
        <f>IF($A285="","",IF(OR($B285="",$C285=""),"THIẾU THÔNG TIN",IF(AND($G285&gt;0,$H285&gt;0),"KHÔNG NHẬP ĐỒNG THỜI TĂNG/GIẢM",IF(AND($G285&lt;=0,$H285&lt;=0),"CHƯA NHẬP SỐ TIỀN",IF($D285="KHÔNG TÌM THẤY","MÃ KHÔNG HỢP LỆ",IF(AND($G285&gt;0,$J285=""),"THIẾU NGÀY ĐẾN HẠN","OK"))))))</f>
        <v/>
      </c>
    </row>
    <row r="286">
      <c r="A286" s="209" t="n"/>
      <c r="B286" s="47" t="n"/>
      <c r="C286" s="47" t="n"/>
      <c r="D286" s="51">
        <f>IF($C286="","",XLOOKUP($C286,'01_DANH_MUC'!$A$7:$A$206,'01_DANH_MUC'!$B$7:$B$206,"KHÔNG TÌM THẤY"))</f>
        <v/>
      </c>
      <c r="E286" s="51">
        <f>IF($C286="","",XLOOKUP($C286,'01_DANH_MUC'!$A$7:$A$206,'01_DANH_MUC'!$C$7:$C$206,"KHÔNG TÌM THẤY"))</f>
        <v/>
      </c>
      <c r="F286" s="57" t="n"/>
      <c r="G286" s="211" t="n"/>
      <c r="H286" s="211" t="n"/>
      <c r="I286" s="212">
        <f>IF($C286="","",XLOOKUP($C286,'01_DANH_MUC'!$A$7:$A$206,'01_DANH_MUC'!$E$7:$E$206,0))</f>
        <v/>
      </c>
      <c r="J286" s="213">
        <f>IF(OR($A286="",$C286="",$G286&lt;=0),"",$A286+$I286)</f>
        <v/>
      </c>
      <c r="K286" s="210">
        <f>IF($A286="","",IF(OR($C286="",$G286&lt;=0,$A286&gt;'03_BAO_CAO'!$E$4),0,MAX(0,$G286-MAX(0,SUMIFS($H$7:$H$506,$C$7:$C$506,$C286,$A$7:$A$506,"&lt;="&amp;'03_BAO_CAO'!$E$4)-XLOOKUP($C286,'01_DANH_MUC'!$A$7:$A$206,'01_DANH_MUC'!$F$7:$F$206,0)-SUMIFS($G$7:G285,$C$7:C285,$C286,$A$7:A285,"&lt;="&amp;'03_BAO_CAO'!$E$4)))))</f>
        <v/>
      </c>
      <c r="L286" s="212">
        <f>IF($A286="","",IF(OR($K286&lt;=0,$J286=""),0,MAX(0,'03_BAO_CAO'!$E$4-$J286)))</f>
        <v/>
      </c>
      <c r="M286" s="51">
        <f>IF($A286="","",IF($K286&lt;=0,"Đã thanh toán",IF($J286="","Thiếu ngày đến hạn",IF($J286&gt;='03_BAO_CAO'!$E$4,"Chưa đến hạn",IF($L286&lt;=30,"1-30 ngày",IF($L286&lt;=60,"31-60 ngày",IF($L286&lt;=90,"61-90 ngày","Trên 90 ngày")))))))</f>
        <v/>
      </c>
      <c r="N286" s="51">
        <f>IF($A286="","",IF(OR($B286="",$C286=""),"THIẾU THÔNG TIN",IF(AND($G286&gt;0,$H286&gt;0),"KHÔNG NHẬP ĐỒNG THỜI TĂNG/GIẢM",IF(AND($G286&lt;=0,$H286&lt;=0),"CHƯA NHẬP SỐ TIỀN",IF($D286="KHÔNG TÌM THẤY","MÃ KHÔNG HỢP LỆ",IF(AND($G286&gt;0,$J286=""),"THIẾU NGÀY ĐẾN HẠN","OK"))))))</f>
        <v/>
      </c>
    </row>
    <row r="287">
      <c r="A287" s="209" t="n"/>
      <c r="B287" s="47" t="n"/>
      <c r="C287" s="47" t="n"/>
      <c r="D287" s="51">
        <f>IF($C287="","",XLOOKUP($C287,'01_DANH_MUC'!$A$7:$A$206,'01_DANH_MUC'!$B$7:$B$206,"KHÔNG TÌM THẤY"))</f>
        <v/>
      </c>
      <c r="E287" s="51">
        <f>IF($C287="","",XLOOKUP($C287,'01_DANH_MUC'!$A$7:$A$206,'01_DANH_MUC'!$C$7:$C$206,"KHÔNG TÌM THẤY"))</f>
        <v/>
      </c>
      <c r="F287" s="57" t="n"/>
      <c r="G287" s="211" t="n"/>
      <c r="H287" s="211" t="n"/>
      <c r="I287" s="212">
        <f>IF($C287="","",XLOOKUP($C287,'01_DANH_MUC'!$A$7:$A$206,'01_DANH_MUC'!$E$7:$E$206,0))</f>
        <v/>
      </c>
      <c r="J287" s="213">
        <f>IF(OR($A287="",$C287="",$G287&lt;=0),"",$A287+$I287)</f>
        <v/>
      </c>
      <c r="K287" s="210">
        <f>IF($A287="","",IF(OR($C287="",$G287&lt;=0,$A287&gt;'03_BAO_CAO'!$E$4),0,MAX(0,$G287-MAX(0,SUMIFS($H$7:$H$506,$C$7:$C$506,$C287,$A$7:$A$506,"&lt;="&amp;'03_BAO_CAO'!$E$4)-XLOOKUP($C287,'01_DANH_MUC'!$A$7:$A$206,'01_DANH_MUC'!$F$7:$F$206,0)-SUMIFS($G$7:G286,$C$7:C286,$C287,$A$7:A286,"&lt;="&amp;'03_BAO_CAO'!$E$4)))))</f>
        <v/>
      </c>
      <c r="L287" s="212">
        <f>IF($A287="","",IF(OR($K287&lt;=0,$J287=""),0,MAX(0,'03_BAO_CAO'!$E$4-$J287)))</f>
        <v/>
      </c>
      <c r="M287" s="51">
        <f>IF($A287="","",IF($K287&lt;=0,"Đã thanh toán",IF($J287="","Thiếu ngày đến hạn",IF($J287&gt;='03_BAO_CAO'!$E$4,"Chưa đến hạn",IF($L287&lt;=30,"1-30 ngày",IF($L287&lt;=60,"31-60 ngày",IF($L287&lt;=90,"61-90 ngày","Trên 90 ngày")))))))</f>
        <v/>
      </c>
      <c r="N287" s="51">
        <f>IF($A287="","",IF(OR($B287="",$C287=""),"THIẾU THÔNG TIN",IF(AND($G287&gt;0,$H287&gt;0),"KHÔNG NHẬP ĐỒNG THỜI TĂNG/GIẢM",IF(AND($G287&lt;=0,$H287&lt;=0),"CHƯA NHẬP SỐ TIỀN",IF($D287="KHÔNG TÌM THẤY","MÃ KHÔNG HỢP LỆ",IF(AND($G287&gt;0,$J287=""),"THIẾU NGÀY ĐẾN HẠN","OK"))))))</f>
        <v/>
      </c>
    </row>
    <row r="288">
      <c r="A288" s="209" t="n"/>
      <c r="B288" s="47" t="n"/>
      <c r="C288" s="47" t="n"/>
      <c r="D288" s="51">
        <f>IF($C288="","",XLOOKUP($C288,'01_DANH_MUC'!$A$7:$A$206,'01_DANH_MUC'!$B$7:$B$206,"KHÔNG TÌM THẤY"))</f>
        <v/>
      </c>
      <c r="E288" s="51">
        <f>IF($C288="","",XLOOKUP($C288,'01_DANH_MUC'!$A$7:$A$206,'01_DANH_MUC'!$C$7:$C$206,"KHÔNG TÌM THẤY"))</f>
        <v/>
      </c>
      <c r="F288" s="57" t="n"/>
      <c r="G288" s="211" t="n"/>
      <c r="H288" s="211" t="n"/>
      <c r="I288" s="212">
        <f>IF($C288="","",XLOOKUP($C288,'01_DANH_MUC'!$A$7:$A$206,'01_DANH_MUC'!$E$7:$E$206,0))</f>
        <v/>
      </c>
      <c r="J288" s="213">
        <f>IF(OR($A288="",$C288="",$G288&lt;=0),"",$A288+$I288)</f>
        <v/>
      </c>
      <c r="K288" s="210">
        <f>IF($A288="","",IF(OR($C288="",$G288&lt;=0,$A288&gt;'03_BAO_CAO'!$E$4),0,MAX(0,$G288-MAX(0,SUMIFS($H$7:$H$506,$C$7:$C$506,$C288,$A$7:$A$506,"&lt;="&amp;'03_BAO_CAO'!$E$4)-XLOOKUP($C288,'01_DANH_MUC'!$A$7:$A$206,'01_DANH_MUC'!$F$7:$F$206,0)-SUMIFS($G$7:G287,$C$7:C287,$C288,$A$7:A287,"&lt;="&amp;'03_BAO_CAO'!$E$4)))))</f>
        <v/>
      </c>
      <c r="L288" s="212">
        <f>IF($A288="","",IF(OR($K288&lt;=0,$J288=""),0,MAX(0,'03_BAO_CAO'!$E$4-$J288)))</f>
        <v/>
      </c>
      <c r="M288" s="51">
        <f>IF($A288="","",IF($K288&lt;=0,"Đã thanh toán",IF($J288="","Thiếu ngày đến hạn",IF($J288&gt;='03_BAO_CAO'!$E$4,"Chưa đến hạn",IF($L288&lt;=30,"1-30 ngày",IF($L288&lt;=60,"31-60 ngày",IF($L288&lt;=90,"61-90 ngày","Trên 90 ngày")))))))</f>
        <v/>
      </c>
      <c r="N288" s="51">
        <f>IF($A288="","",IF(OR($B288="",$C288=""),"THIẾU THÔNG TIN",IF(AND($G288&gt;0,$H288&gt;0),"KHÔNG NHẬP ĐỒNG THỜI TĂNG/GIẢM",IF(AND($G288&lt;=0,$H288&lt;=0),"CHƯA NHẬP SỐ TIỀN",IF($D288="KHÔNG TÌM THẤY","MÃ KHÔNG HỢP LỆ",IF(AND($G288&gt;0,$J288=""),"THIẾU NGÀY ĐẾN HẠN","OK"))))))</f>
        <v/>
      </c>
    </row>
    <row r="289">
      <c r="A289" s="209" t="n"/>
      <c r="B289" s="47" t="n"/>
      <c r="C289" s="47" t="n"/>
      <c r="D289" s="51">
        <f>IF($C289="","",XLOOKUP($C289,'01_DANH_MUC'!$A$7:$A$206,'01_DANH_MUC'!$B$7:$B$206,"KHÔNG TÌM THẤY"))</f>
        <v/>
      </c>
      <c r="E289" s="51">
        <f>IF($C289="","",XLOOKUP($C289,'01_DANH_MUC'!$A$7:$A$206,'01_DANH_MUC'!$C$7:$C$206,"KHÔNG TÌM THẤY"))</f>
        <v/>
      </c>
      <c r="F289" s="57" t="n"/>
      <c r="G289" s="211" t="n"/>
      <c r="H289" s="211" t="n"/>
      <c r="I289" s="212">
        <f>IF($C289="","",XLOOKUP($C289,'01_DANH_MUC'!$A$7:$A$206,'01_DANH_MUC'!$E$7:$E$206,0))</f>
        <v/>
      </c>
      <c r="J289" s="213">
        <f>IF(OR($A289="",$C289="",$G289&lt;=0),"",$A289+$I289)</f>
        <v/>
      </c>
      <c r="K289" s="210">
        <f>IF($A289="","",IF(OR($C289="",$G289&lt;=0,$A289&gt;'03_BAO_CAO'!$E$4),0,MAX(0,$G289-MAX(0,SUMIFS($H$7:$H$506,$C$7:$C$506,$C289,$A$7:$A$506,"&lt;="&amp;'03_BAO_CAO'!$E$4)-XLOOKUP($C289,'01_DANH_MUC'!$A$7:$A$206,'01_DANH_MUC'!$F$7:$F$206,0)-SUMIFS($G$7:G288,$C$7:C288,$C289,$A$7:A288,"&lt;="&amp;'03_BAO_CAO'!$E$4)))))</f>
        <v/>
      </c>
      <c r="L289" s="212">
        <f>IF($A289="","",IF(OR($K289&lt;=0,$J289=""),0,MAX(0,'03_BAO_CAO'!$E$4-$J289)))</f>
        <v/>
      </c>
      <c r="M289" s="51">
        <f>IF($A289="","",IF($K289&lt;=0,"Đã thanh toán",IF($J289="","Thiếu ngày đến hạn",IF($J289&gt;='03_BAO_CAO'!$E$4,"Chưa đến hạn",IF($L289&lt;=30,"1-30 ngày",IF($L289&lt;=60,"31-60 ngày",IF($L289&lt;=90,"61-90 ngày","Trên 90 ngày")))))))</f>
        <v/>
      </c>
      <c r="N289" s="51">
        <f>IF($A289="","",IF(OR($B289="",$C289=""),"THIẾU THÔNG TIN",IF(AND($G289&gt;0,$H289&gt;0),"KHÔNG NHẬP ĐỒNG THỜI TĂNG/GIẢM",IF(AND($G289&lt;=0,$H289&lt;=0),"CHƯA NHẬP SỐ TIỀN",IF($D289="KHÔNG TÌM THẤY","MÃ KHÔNG HỢP LỆ",IF(AND($G289&gt;0,$J289=""),"THIẾU NGÀY ĐẾN HẠN","OK"))))))</f>
        <v/>
      </c>
    </row>
    <row r="290">
      <c r="A290" s="209" t="n"/>
      <c r="B290" s="47" t="n"/>
      <c r="C290" s="47" t="n"/>
      <c r="D290" s="51">
        <f>IF($C290="","",XLOOKUP($C290,'01_DANH_MUC'!$A$7:$A$206,'01_DANH_MUC'!$B$7:$B$206,"KHÔNG TÌM THẤY"))</f>
        <v/>
      </c>
      <c r="E290" s="51">
        <f>IF($C290="","",XLOOKUP($C290,'01_DANH_MUC'!$A$7:$A$206,'01_DANH_MUC'!$C$7:$C$206,"KHÔNG TÌM THẤY"))</f>
        <v/>
      </c>
      <c r="F290" s="57" t="n"/>
      <c r="G290" s="211" t="n"/>
      <c r="H290" s="211" t="n"/>
      <c r="I290" s="212">
        <f>IF($C290="","",XLOOKUP($C290,'01_DANH_MUC'!$A$7:$A$206,'01_DANH_MUC'!$E$7:$E$206,0))</f>
        <v/>
      </c>
      <c r="J290" s="213">
        <f>IF(OR($A290="",$C290="",$G290&lt;=0),"",$A290+$I290)</f>
        <v/>
      </c>
      <c r="K290" s="210">
        <f>IF($A290="","",IF(OR($C290="",$G290&lt;=0,$A290&gt;'03_BAO_CAO'!$E$4),0,MAX(0,$G290-MAX(0,SUMIFS($H$7:$H$506,$C$7:$C$506,$C290,$A$7:$A$506,"&lt;="&amp;'03_BAO_CAO'!$E$4)-XLOOKUP($C290,'01_DANH_MUC'!$A$7:$A$206,'01_DANH_MUC'!$F$7:$F$206,0)-SUMIFS($G$7:G289,$C$7:C289,$C290,$A$7:A289,"&lt;="&amp;'03_BAO_CAO'!$E$4)))))</f>
        <v/>
      </c>
      <c r="L290" s="212">
        <f>IF($A290="","",IF(OR($K290&lt;=0,$J290=""),0,MAX(0,'03_BAO_CAO'!$E$4-$J290)))</f>
        <v/>
      </c>
      <c r="M290" s="51">
        <f>IF($A290="","",IF($K290&lt;=0,"Đã thanh toán",IF($J290="","Thiếu ngày đến hạn",IF($J290&gt;='03_BAO_CAO'!$E$4,"Chưa đến hạn",IF($L290&lt;=30,"1-30 ngày",IF($L290&lt;=60,"31-60 ngày",IF($L290&lt;=90,"61-90 ngày","Trên 90 ngày")))))))</f>
        <v/>
      </c>
      <c r="N290" s="51">
        <f>IF($A290="","",IF(OR($B290="",$C290=""),"THIẾU THÔNG TIN",IF(AND($G290&gt;0,$H290&gt;0),"KHÔNG NHẬP ĐỒNG THỜI TĂNG/GIẢM",IF(AND($G290&lt;=0,$H290&lt;=0),"CHƯA NHẬP SỐ TIỀN",IF($D290="KHÔNG TÌM THẤY","MÃ KHÔNG HỢP LỆ",IF(AND($G290&gt;0,$J290=""),"THIẾU NGÀY ĐẾN HẠN","OK"))))))</f>
        <v/>
      </c>
    </row>
    <row r="291">
      <c r="A291" s="209" t="n"/>
      <c r="B291" s="47" t="n"/>
      <c r="C291" s="47" t="n"/>
      <c r="D291" s="51">
        <f>IF($C291="","",XLOOKUP($C291,'01_DANH_MUC'!$A$7:$A$206,'01_DANH_MUC'!$B$7:$B$206,"KHÔNG TÌM THẤY"))</f>
        <v/>
      </c>
      <c r="E291" s="51">
        <f>IF($C291="","",XLOOKUP($C291,'01_DANH_MUC'!$A$7:$A$206,'01_DANH_MUC'!$C$7:$C$206,"KHÔNG TÌM THẤY"))</f>
        <v/>
      </c>
      <c r="F291" s="57" t="n"/>
      <c r="G291" s="211" t="n"/>
      <c r="H291" s="211" t="n"/>
      <c r="I291" s="212">
        <f>IF($C291="","",XLOOKUP($C291,'01_DANH_MUC'!$A$7:$A$206,'01_DANH_MUC'!$E$7:$E$206,0))</f>
        <v/>
      </c>
      <c r="J291" s="213">
        <f>IF(OR($A291="",$C291="",$G291&lt;=0),"",$A291+$I291)</f>
        <v/>
      </c>
      <c r="K291" s="210">
        <f>IF($A291="","",IF(OR($C291="",$G291&lt;=0,$A291&gt;'03_BAO_CAO'!$E$4),0,MAX(0,$G291-MAX(0,SUMIFS($H$7:$H$506,$C$7:$C$506,$C291,$A$7:$A$506,"&lt;="&amp;'03_BAO_CAO'!$E$4)-XLOOKUP($C291,'01_DANH_MUC'!$A$7:$A$206,'01_DANH_MUC'!$F$7:$F$206,0)-SUMIFS($G$7:G290,$C$7:C290,$C291,$A$7:A290,"&lt;="&amp;'03_BAO_CAO'!$E$4)))))</f>
        <v/>
      </c>
      <c r="L291" s="212">
        <f>IF($A291="","",IF(OR($K291&lt;=0,$J291=""),0,MAX(0,'03_BAO_CAO'!$E$4-$J291)))</f>
        <v/>
      </c>
      <c r="M291" s="51">
        <f>IF($A291="","",IF($K291&lt;=0,"Đã thanh toán",IF($J291="","Thiếu ngày đến hạn",IF($J291&gt;='03_BAO_CAO'!$E$4,"Chưa đến hạn",IF($L291&lt;=30,"1-30 ngày",IF($L291&lt;=60,"31-60 ngày",IF($L291&lt;=90,"61-90 ngày","Trên 90 ngày")))))))</f>
        <v/>
      </c>
      <c r="N291" s="51">
        <f>IF($A291="","",IF(OR($B291="",$C291=""),"THIẾU THÔNG TIN",IF(AND($G291&gt;0,$H291&gt;0),"KHÔNG NHẬP ĐỒNG THỜI TĂNG/GIẢM",IF(AND($G291&lt;=0,$H291&lt;=0),"CHƯA NHẬP SỐ TIỀN",IF($D291="KHÔNG TÌM THẤY","MÃ KHÔNG HỢP LỆ",IF(AND($G291&gt;0,$J291=""),"THIẾU NGÀY ĐẾN HẠN","OK"))))))</f>
        <v/>
      </c>
    </row>
    <row r="292">
      <c r="A292" s="209" t="n"/>
      <c r="B292" s="47" t="n"/>
      <c r="C292" s="47" t="n"/>
      <c r="D292" s="51">
        <f>IF($C292="","",XLOOKUP($C292,'01_DANH_MUC'!$A$7:$A$206,'01_DANH_MUC'!$B$7:$B$206,"KHÔNG TÌM THẤY"))</f>
        <v/>
      </c>
      <c r="E292" s="51">
        <f>IF($C292="","",XLOOKUP($C292,'01_DANH_MUC'!$A$7:$A$206,'01_DANH_MUC'!$C$7:$C$206,"KHÔNG TÌM THẤY"))</f>
        <v/>
      </c>
      <c r="F292" s="57" t="n"/>
      <c r="G292" s="211" t="n"/>
      <c r="H292" s="211" t="n"/>
      <c r="I292" s="212">
        <f>IF($C292="","",XLOOKUP($C292,'01_DANH_MUC'!$A$7:$A$206,'01_DANH_MUC'!$E$7:$E$206,0))</f>
        <v/>
      </c>
      <c r="J292" s="213">
        <f>IF(OR($A292="",$C292="",$G292&lt;=0),"",$A292+$I292)</f>
        <v/>
      </c>
      <c r="K292" s="210">
        <f>IF($A292="","",IF(OR($C292="",$G292&lt;=0,$A292&gt;'03_BAO_CAO'!$E$4),0,MAX(0,$G292-MAX(0,SUMIFS($H$7:$H$506,$C$7:$C$506,$C292,$A$7:$A$506,"&lt;="&amp;'03_BAO_CAO'!$E$4)-XLOOKUP($C292,'01_DANH_MUC'!$A$7:$A$206,'01_DANH_MUC'!$F$7:$F$206,0)-SUMIFS($G$7:G291,$C$7:C291,$C292,$A$7:A291,"&lt;="&amp;'03_BAO_CAO'!$E$4)))))</f>
        <v/>
      </c>
      <c r="L292" s="212">
        <f>IF($A292="","",IF(OR($K292&lt;=0,$J292=""),0,MAX(0,'03_BAO_CAO'!$E$4-$J292)))</f>
        <v/>
      </c>
      <c r="M292" s="51">
        <f>IF($A292="","",IF($K292&lt;=0,"Đã thanh toán",IF($J292="","Thiếu ngày đến hạn",IF($J292&gt;='03_BAO_CAO'!$E$4,"Chưa đến hạn",IF($L292&lt;=30,"1-30 ngày",IF($L292&lt;=60,"31-60 ngày",IF($L292&lt;=90,"61-90 ngày","Trên 90 ngày")))))))</f>
        <v/>
      </c>
      <c r="N292" s="51">
        <f>IF($A292="","",IF(OR($B292="",$C292=""),"THIẾU THÔNG TIN",IF(AND($G292&gt;0,$H292&gt;0),"KHÔNG NHẬP ĐỒNG THỜI TĂNG/GIẢM",IF(AND($G292&lt;=0,$H292&lt;=0),"CHƯA NHẬP SỐ TIỀN",IF($D292="KHÔNG TÌM THẤY","MÃ KHÔNG HỢP LỆ",IF(AND($G292&gt;0,$J292=""),"THIẾU NGÀY ĐẾN HẠN","OK"))))))</f>
        <v/>
      </c>
    </row>
    <row r="293">
      <c r="A293" s="209" t="n"/>
      <c r="B293" s="47" t="n"/>
      <c r="C293" s="47" t="n"/>
      <c r="D293" s="51">
        <f>IF($C293="","",XLOOKUP($C293,'01_DANH_MUC'!$A$7:$A$206,'01_DANH_MUC'!$B$7:$B$206,"KHÔNG TÌM THẤY"))</f>
        <v/>
      </c>
      <c r="E293" s="51">
        <f>IF($C293="","",XLOOKUP($C293,'01_DANH_MUC'!$A$7:$A$206,'01_DANH_MUC'!$C$7:$C$206,"KHÔNG TÌM THẤY"))</f>
        <v/>
      </c>
      <c r="F293" s="57" t="n"/>
      <c r="G293" s="211" t="n"/>
      <c r="H293" s="211" t="n"/>
      <c r="I293" s="212">
        <f>IF($C293="","",XLOOKUP($C293,'01_DANH_MUC'!$A$7:$A$206,'01_DANH_MUC'!$E$7:$E$206,0))</f>
        <v/>
      </c>
      <c r="J293" s="213">
        <f>IF(OR($A293="",$C293="",$G293&lt;=0),"",$A293+$I293)</f>
        <v/>
      </c>
      <c r="K293" s="210">
        <f>IF($A293="","",IF(OR($C293="",$G293&lt;=0,$A293&gt;'03_BAO_CAO'!$E$4),0,MAX(0,$G293-MAX(0,SUMIFS($H$7:$H$506,$C$7:$C$506,$C293,$A$7:$A$506,"&lt;="&amp;'03_BAO_CAO'!$E$4)-XLOOKUP($C293,'01_DANH_MUC'!$A$7:$A$206,'01_DANH_MUC'!$F$7:$F$206,0)-SUMIFS($G$7:G292,$C$7:C292,$C293,$A$7:A292,"&lt;="&amp;'03_BAO_CAO'!$E$4)))))</f>
        <v/>
      </c>
      <c r="L293" s="212">
        <f>IF($A293="","",IF(OR($K293&lt;=0,$J293=""),0,MAX(0,'03_BAO_CAO'!$E$4-$J293)))</f>
        <v/>
      </c>
      <c r="M293" s="51">
        <f>IF($A293="","",IF($K293&lt;=0,"Đã thanh toán",IF($J293="","Thiếu ngày đến hạn",IF($J293&gt;='03_BAO_CAO'!$E$4,"Chưa đến hạn",IF($L293&lt;=30,"1-30 ngày",IF($L293&lt;=60,"31-60 ngày",IF($L293&lt;=90,"61-90 ngày","Trên 90 ngày")))))))</f>
        <v/>
      </c>
      <c r="N293" s="51">
        <f>IF($A293="","",IF(OR($B293="",$C293=""),"THIẾU THÔNG TIN",IF(AND($G293&gt;0,$H293&gt;0),"KHÔNG NHẬP ĐỒNG THỜI TĂNG/GIẢM",IF(AND($G293&lt;=0,$H293&lt;=0),"CHƯA NHẬP SỐ TIỀN",IF($D293="KHÔNG TÌM THẤY","MÃ KHÔNG HỢP LỆ",IF(AND($G293&gt;0,$J293=""),"THIẾU NGÀY ĐẾN HẠN","OK"))))))</f>
        <v/>
      </c>
    </row>
    <row r="294">
      <c r="A294" s="209" t="n"/>
      <c r="B294" s="47" t="n"/>
      <c r="C294" s="47" t="n"/>
      <c r="D294" s="51">
        <f>IF($C294="","",XLOOKUP($C294,'01_DANH_MUC'!$A$7:$A$206,'01_DANH_MUC'!$B$7:$B$206,"KHÔNG TÌM THẤY"))</f>
        <v/>
      </c>
      <c r="E294" s="51">
        <f>IF($C294="","",XLOOKUP($C294,'01_DANH_MUC'!$A$7:$A$206,'01_DANH_MUC'!$C$7:$C$206,"KHÔNG TÌM THẤY"))</f>
        <v/>
      </c>
      <c r="F294" s="57" t="n"/>
      <c r="G294" s="211" t="n"/>
      <c r="H294" s="211" t="n"/>
      <c r="I294" s="212">
        <f>IF($C294="","",XLOOKUP($C294,'01_DANH_MUC'!$A$7:$A$206,'01_DANH_MUC'!$E$7:$E$206,0))</f>
        <v/>
      </c>
      <c r="J294" s="213">
        <f>IF(OR($A294="",$C294="",$G294&lt;=0),"",$A294+$I294)</f>
        <v/>
      </c>
      <c r="K294" s="210">
        <f>IF($A294="","",IF(OR($C294="",$G294&lt;=0,$A294&gt;'03_BAO_CAO'!$E$4),0,MAX(0,$G294-MAX(0,SUMIFS($H$7:$H$506,$C$7:$C$506,$C294,$A$7:$A$506,"&lt;="&amp;'03_BAO_CAO'!$E$4)-XLOOKUP($C294,'01_DANH_MUC'!$A$7:$A$206,'01_DANH_MUC'!$F$7:$F$206,0)-SUMIFS($G$7:G293,$C$7:C293,$C294,$A$7:A293,"&lt;="&amp;'03_BAO_CAO'!$E$4)))))</f>
        <v/>
      </c>
      <c r="L294" s="212">
        <f>IF($A294="","",IF(OR($K294&lt;=0,$J294=""),0,MAX(0,'03_BAO_CAO'!$E$4-$J294)))</f>
        <v/>
      </c>
      <c r="M294" s="51">
        <f>IF($A294="","",IF($K294&lt;=0,"Đã thanh toán",IF($J294="","Thiếu ngày đến hạn",IF($J294&gt;='03_BAO_CAO'!$E$4,"Chưa đến hạn",IF($L294&lt;=30,"1-30 ngày",IF($L294&lt;=60,"31-60 ngày",IF($L294&lt;=90,"61-90 ngày","Trên 90 ngày")))))))</f>
        <v/>
      </c>
      <c r="N294" s="51">
        <f>IF($A294="","",IF(OR($B294="",$C294=""),"THIẾU THÔNG TIN",IF(AND($G294&gt;0,$H294&gt;0),"KHÔNG NHẬP ĐỒNG THỜI TĂNG/GIẢM",IF(AND($G294&lt;=0,$H294&lt;=0),"CHƯA NHẬP SỐ TIỀN",IF($D294="KHÔNG TÌM THẤY","MÃ KHÔNG HỢP LỆ",IF(AND($G294&gt;0,$J294=""),"THIẾU NGÀY ĐẾN HẠN","OK"))))))</f>
        <v/>
      </c>
    </row>
    <row r="295">
      <c r="A295" s="209" t="n"/>
      <c r="B295" s="47" t="n"/>
      <c r="C295" s="47" t="n"/>
      <c r="D295" s="51">
        <f>IF($C295="","",XLOOKUP($C295,'01_DANH_MUC'!$A$7:$A$206,'01_DANH_MUC'!$B$7:$B$206,"KHÔNG TÌM THẤY"))</f>
        <v/>
      </c>
      <c r="E295" s="51">
        <f>IF($C295="","",XLOOKUP($C295,'01_DANH_MUC'!$A$7:$A$206,'01_DANH_MUC'!$C$7:$C$206,"KHÔNG TÌM THẤY"))</f>
        <v/>
      </c>
      <c r="F295" s="57" t="n"/>
      <c r="G295" s="211" t="n"/>
      <c r="H295" s="211" t="n"/>
      <c r="I295" s="212">
        <f>IF($C295="","",XLOOKUP($C295,'01_DANH_MUC'!$A$7:$A$206,'01_DANH_MUC'!$E$7:$E$206,0))</f>
        <v/>
      </c>
      <c r="J295" s="213">
        <f>IF(OR($A295="",$C295="",$G295&lt;=0),"",$A295+$I295)</f>
        <v/>
      </c>
      <c r="K295" s="210">
        <f>IF($A295="","",IF(OR($C295="",$G295&lt;=0,$A295&gt;'03_BAO_CAO'!$E$4),0,MAX(0,$G295-MAX(0,SUMIFS($H$7:$H$506,$C$7:$C$506,$C295,$A$7:$A$506,"&lt;="&amp;'03_BAO_CAO'!$E$4)-XLOOKUP($C295,'01_DANH_MUC'!$A$7:$A$206,'01_DANH_MUC'!$F$7:$F$206,0)-SUMIFS($G$7:G294,$C$7:C294,$C295,$A$7:A294,"&lt;="&amp;'03_BAO_CAO'!$E$4)))))</f>
        <v/>
      </c>
      <c r="L295" s="212">
        <f>IF($A295="","",IF(OR($K295&lt;=0,$J295=""),0,MAX(0,'03_BAO_CAO'!$E$4-$J295)))</f>
        <v/>
      </c>
      <c r="M295" s="51">
        <f>IF($A295="","",IF($K295&lt;=0,"Đã thanh toán",IF($J295="","Thiếu ngày đến hạn",IF($J295&gt;='03_BAO_CAO'!$E$4,"Chưa đến hạn",IF($L295&lt;=30,"1-30 ngày",IF($L295&lt;=60,"31-60 ngày",IF($L295&lt;=90,"61-90 ngày","Trên 90 ngày")))))))</f>
        <v/>
      </c>
      <c r="N295" s="51">
        <f>IF($A295="","",IF(OR($B295="",$C295=""),"THIẾU THÔNG TIN",IF(AND($G295&gt;0,$H295&gt;0),"KHÔNG NHẬP ĐỒNG THỜI TĂNG/GIẢM",IF(AND($G295&lt;=0,$H295&lt;=0),"CHƯA NHẬP SỐ TIỀN",IF($D295="KHÔNG TÌM THẤY","MÃ KHÔNG HỢP LỆ",IF(AND($G295&gt;0,$J295=""),"THIẾU NGÀY ĐẾN HẠN","OK"))))))</f>
        <v/>
      </c>
    </row>
    <row r="296">
      <c r="A296" s="209" t="n"/>
      <c r="B296" s="47" t="n"/>
      <c r="C296" s="47" t="n"/>
      <c r="D296" s="51">
        <f>IF($C296="","",XLOOKUP($C296,'01_DANH_MUC'!$A$7:$A$206,'01_DANH_MUC'!$B$7:$B$206,"KHÔNG TÌM THẤY"))</f>
        <v/>
      </c>
      <c r="E296" s="51">
        <f>IF($C296="","",XLOOKUP($C296,'01_DANH_MUC'!$A$7:$A$206,'01_DANH_MUC'!$C$7:$C$206,"KHÔNG TÌM THẤY"))</f>
        <v/>
      </c>
      <c r="F296" s="57" t="n"/>
      <c r="G296" s="211" t="n"/>
      <c r="H296" s="211" t="n"/>
      <c r="I296" s="212">
        <f>IF($C296="","",XLOOKUP($C296,'01_DANH_MUC'!$A$7:$A$206,'01_DANH_MUC'!$E$7:$E$206,0))</f>
        <v/>
      </c>
      <c r="J296" s="213">
        <f>IF(OR($A296="",$C296="",$G296&lt;=0),"",$A296+$I296)</f>
        <v/>
      </c>
      <c r="K296" s="210">
        <f>IF($A296="","",IF(OR($C296="",$G296&lt;=0,$A296&gt;'03_BAO_CAO'!$E$4),0,MAX(0,$G296-MAX(0,SUMIFS($H$7:$H$506,$C$7:$C$506,$C296,$A$7:$A$506,"&lt;="&amp;'03_BAO_CAO'!$E$4)-XLOOKUP($C296,'01_DANH_MUC'!$A$7:$A$206,'01_DANH_MUC'!$F$7:$F$206,0)-SUMIFS($G$7:G295,$C$7:C295,$C296,$A$7:A295,"&lt;="&amp;'03_BAO_CAO'!$E$4)))))</f>
        <v/>
      </c>
      <c r="L296" s="212">
        <f>IF($A296="","",IF(OR($K296&lt;=0,$J296=""),0,MAX(0,'03_BAO_CAO'!$E$4-$J296)))</f>
        <v/>
      </c>
      <c r="M296" s="51">
        <f>IF($A296="","",IF($K296&lt;=0,"Đã thanh toán",IF($J296="","Thiếu ngày đến hạn",IF($J296&gt;='03_BAO_CAO'!$E$4,"Chưa đến hạn",IF($L296&lt;=30,"1-30 ngày",IF($L296&lt;=60,"31-60 ngày",IF($L296&lt;=90,"61-90 ngày","Trên 90 ngày")))))))</f>
        <v/>
      </c>
      <c r="N296" s="51">
        <f>IF($A296="","",IF(OR($B296="",$C296=""),"THIẾU THÔNG TIN",IF(AND($G296&gt;0,$H296&gt;0),"KHÔNG NHẬP ĐỒNG THỜI TĂNG/GIẢM",IF(AND($G296&lt;=0,$H296&lt;=0),"CHƯA NHẬP SỐ TIỀN",IF($D296="KHÔNG TÌM THẤY","MÃ KHÔNG HỢP LỆ",IF(AND($G296&gt;0,$J296=""),"THIẾU NGÀY ĐẾN HẠN","OK"))))))</f>
        <v/>
      </c>
    </row>
    <row r="297">
      <c r="A297" s="209" t="n"/>
      <c r="B297" s="47" t="n"/>
      <c r="C297" s="47" t="n"/>
      <c r="D297" s="51">
        <f>IF($C297="","",XLOOKUP($C297,'01_DANH_MUC'!$A$7:$A$206,'01_DANH_MUC'!$B$7:$B$206,"KHÔNG TÌM THẤY"))</f>
        <v/>
      </c>
      <c r="E297" s="51">
        <f>IF($C297="","",XLOOKUP($C297,'01_DANH_MUC'!$A$7:$A$206,'01_DANH_MUC'!$C$7:$C$206,"KHÔNG TÌM THẤY"))</f>
        <v/>
      </c>
      <c r="F297" s="57" t="n"/>
      <c r="G297" s="211" t="n"/>
      <c r="H297" s="211" t="n"/>
      <c r="I297" s="212">
        <f>IF($C297="","",XLOOKUP($C297,'01_DANH_MUC'!$A$7:$A$206,'01_DANH_MUC'!$E$7:$E$206,0))</f>
        <v/>
      </c>
      <c r="J297" s="213">
        <f>IF(OR($A297="",$C297="",$G297&lt;=0),"",$A297+$I297)</f>
        <v/>
      </c>
      <c r="K297" s="210">
        <f>IF($A297="","",IF(OR($C297="",$G297&lt;=0,$A297&gt;'03_BAO_CAO'!$E$4),0,MAX(0,$G297-MAX(0,SUMIFS($H$7:$H$506,$C$7:$C$506,$C297,$A$7:$A$506,"&lt;="&amp;'03_BAO_CAO'!$E$4)-XLOOKUP($C297,'01_DANH_MUC'!$A$7:$A$206,'01_DANH_MUC'!$F$7:$F$206,0)-SUMIFS($G$7:G296,$C$7:C296,$C297,$A$7:A296,"&lt;="&amp;'03_BAO_CAO'!$E$4)))))</f>
        <v/>
      </c>
      <c r="L297" s="212">
        <f>IF($A297="","",IF(OR($K297&lt;=0,$J297=""),0,MAX(0,'03_BAO_CAO'!$E$4-$J297)))</f>
        <v/>
      </c>
      <c r="M297" s="51">
        <f>IF($A297="","",IF($K297&lt;=0,"Đã thanh toán",IF($J297="","Thiếu ngày đến hạn",IF($J297&gt;='03_BAO_CAO'!$E$4,"Chưa đến hạn",IF($L297&lt;=30,"1-30 ngày",IF($L297&lt;=60,"31-60 ngày",IF($L297&lt;=90,"61-90 ngày","Trên 90 ngày")))))))</f>
        <v/>
      </c>
      <c r="N297" s="51">
        <f>IF($A297="","",IF(OR($B297="",$C297=""),"THIẾU THÔNG TIN",IF(AND($G297&gt;0,$H297&gt;0),"KHÔNG NHẬP ĐỒNG THỜI TĂNG/GIẢM",IF(AND($G297&lt;=0,$H297&lt;=0),"CHƯA NHẬP SỐ TIỀN",IF($D297="KHÔNG TÌM THẤY","MÃ KHÔNG HỢP LỆ",IF(AND($G297&gt;0,$J297=""),"THIẾU NGÀY ĐẾN HẠN","OK"))))))</f>
        <v/>
      </c>
    </row>
    <row r="298">
      <c r="A298" s="209" t="n"/>
      <c r="B298" s="47" t="n"/>
      <c r="C298" s="47" t="n"/>
      <c r="D298" s="51">
        <f>IF($C298="","",XLOOKUP($C298,'01_DANH_MUC'!$A$7:$A$206,'01_DANH_MUC'!$B$7:$B$206,"KHÔNG TÌM THẤY"))</f>
        <v/>
      </c>
      <c r="E298" s="51">
        <f>IF($C298="","",XLOOKUP($C298,'01_DANH_MUC'!$A$7:$A$206,'01_DANH_MUC'!$C$7:$C$206,"KHÔNG TÌM THẤY"))</f>
        <v/>
      </c>
      <c r="F298" s="57" t="n"/>
      <c r="G298" s="211" t="n"/>
      <c r="H298" s="211" t="n"/>
      <c r="I298" s="212">
        <f>IF($C298="","",XLOOKUP($C298,'01_DANH_MUC'!$A$7:$A$206,'01_DANH_MUC'!$E$7:$E$206,0))</f>
        <v/>
      </c>
      <c r="J298" s="213">
        <f>IF(OR($A298="",$C298="",$G298&lt;=0),"",$A298+$I298)</f>
        <v/>
      </c>
      <c r="K298" s="210">
        <f>IF($A298="","",IF(OR($C298="",$G298&lt;=0,$A298&gt;'03_BAO_CAO'!$E$4),0,MAX(0,$G298-MAX(0,SUMIFS($H$7:$H$506,$C$7:$C$506,$C298,$A$7:$A$506,"&lt;="&amp;'03_BAO_CAO'!$E$4)-XLOOKUP($C298,'01_DANH_MUC'!$A$7:$A$206,'01_DANH_MUC'!$F$7:$F$206,0)-SUMIFS($G$7:G297,$C$7:C297,$C298,$A$7:A297,"&lt;="&amp;'03_BAO_CAO'!$E$4)))))</f>
        <v/>
      </c>
      <c r="L298" s="212">
        <f>IF($A298="","",IF(OR($K298&lt;=0,$J298=""),0,MAX(0,'03_BAO_CAO'!$E$4-$J298)))</f>
        <v/>
      </c>
      <c r="M298" s="51">
        <f>IF($A298="","",IF($K298&lt;=0,"Đã thanh toán",IF($J298="","Thiếu ngày đến hạn",IF($J298&gt;='03_BAO_CAO'!$E$4,"Chưa đến hạn",IF($L298&lt;=30,"1-30 ngày",IF($L298&lt;=60,"31-60 ngày",IF($L298&lt;=90,"61-90 ngày","Trên 90 ngày")))))))</f>
        <v/>
      </c>
      <c r="N298" s="51">
        <f>IF($A298="","",IF(OR($B298="",$C298=""),"THIẾU THÔNG TIN",IF(AND($G298&gt;0,$H298&gt;0),"KHÔNG NHẬP ĐỒNG THỜI TĂNG/GIẢM",IF(AND($G298&lt;=0,$H298&lt;=0),"CHƯA NHẬP SỐ TIỀN",IF($D298="KHÔNG TÌM THẤY","MÃ KHÔNG HỢP LỆ",IF(AND($G298&gt;0,$J298=""),"THIẾU NGÀY ĐẾN HẠN","OK"))))))</f>
        <v/>
      </c>
    </row>
    <row r="299">
      <c r="A299" s="209" t="n"/>
      <c r="B299" s="47" t="n"/>
      <c r="C299" s="47" t="n"/>
      <c r="D299" s="51">
        <f>IF($C299="","",XLOOKUP($C299,'01_DANH_MUC'!$A$7:$A$206,'01_DANH_MUC'!$B$7:$B$206,"KHÔNG TÌM THẤY"))</f>
        <v/>
      </c>
      <c r="E299" s="51">
        <f>IF($C299="","",XLOOKUP($C299,'01_DANH_MUC'!$A$7:$A$206,'01_DANH_MUC'!$C$7:$C$206,"KHÔNG TÌM THẤY"))</f>
        <v/>
      </c>
      <c r="F299" s="57" t="n"/>
      <c r="G299" s="211" t="n"/>
      <c r="H299" s="211" t="n"/>
      <c r="I299" s="212">
        <f>IF($C299="","",XLOOKUP($C299,'01_DANH_MUC'!$A$7:$A$206,'01_DANH_MUC'!$E$7:$E$206,0))</f>
        <v/>
      </c>
      <c r="J299" s="213">
        <f>IF(OR($A299="",$C299="",$G299&lt;=0),"",$A299+$I299)</f>
        <v/>
      </c>
      <c r="K299" s="210">
        <f>IF($A299="","",IF(OR($C299="",$G299&lt;=0,$A299&gt;'03_BAO_CAO'!$E$4),0,MAX(0,$G299-MAX(0,SUMIFS($H$7:$H$506,$C$7:$C$506,$C299,$A$7:$A$506,"&lt;="&amp;'03_BAO_CAO'!$E$4)-XLOOKUP($C299,'01_DANH_MUC'!$A$7:$A$206,'01_DANH_MUC'!$F$7:$F$206,0)-SUMIFS($G$7:G298,$C$7:C298,$C299,$A$7:A298,"&lt;="&amp;'03_BAO_CAO'!$E$4)))))</f>
        <v/>
      </c>
      <c r="L299" s="212">
        <f>IF($A299="","",IF(OR($K299&lt;=0,$J299=""),0,MAX(0,'03_BAO_CAO'!$E$4-$J299)))</f>
        <v/>
      </c>
      <c r="M299" s="51">
        <f>IF($A299="","",IF($K299&lt;=0,"Đã thanh toán",IF($J299="","Thiếu ngày đến hạn",IF($J299&gt;='03_BAO_CAO'!$E$4,"Chưa đến hạn",IF($L299&lt;=30,"1-30 ngày",IF($L299&lt;=60,"31-60 ngày",IF($L299&lt;=90,"61-90 ngày","Trên 90 ngày")))))))</f>
        <v/>
      </c>
      <c r="N299" s="51">
        <f>IF($A299="","",IF(OR($B299="",$C299=""),"THIẾU THÔNG TIN",IF(AND($G299&gt;0,$H299&gt;0),"KHÔNG NHẬP ĐỒNG THỜI TĂNG/GIẢM",IF(AND($G299&lt;=0,$H299&lt;=0),"CHƯA NHẬP SỐ TIỀN",IF($D299="KHÔNG TÌM THẤY","MÃ KHÔNG HỢP LỆ",IF(AND($G299&gt;0,$J299=""),"THIẾU NGÀY ĐẾN HẠN","OK"))))))</f>
        <v/>
      </c>
    </row>
    <row r="300">
      <c r="A300" s="209" t="n"/>
      <c r="B300" s="47" t="n"/>
      <c r="C300" s="47" t="n"/>
      <c r="D300" s="51">
        <f>IF($C300="","",XLOOKUP($C300,'01_DANH_MUC'!$A$7:$A$206,'01_DANH_MUC'!$B$7:$B$206,"KHÔNG TÌM THẤY"))</f>
        <v/>
      </c>
      <c r="E300" s="51">
        <f>IF($C300="","",XLOOKUP($C300,'01_DANH_MUC'!$A$7:$A$206,'01_DANH_MUC'!$C$7:$C$206,"KHÔNG TÌM THẤY"))</f>
        <v/>
      </c>
      <c r="F300" s="57" t="n"/>
      <c r="G300" s="211" t="n"/>
      <c r="H300" s="211" t="n"/>
      <c r="I300" s="212">
        <f>IF($C300="","",XLOOKUP($C300,'01_DANH_MUC'!$A$7:$A$206,'01_DANH_MUC'!$E$7:$E$206,0))</f>
        <v/>
      </c>
      <c r="J300" s="213">
        <f>IF(OR($A300="",$C300="",$G300&lt;=0),"",$A300+$I300)</f>
        <v/>
      </c>
      <c r="K300" s="210">
        <f>IF($A300="","",IF(OR($C300="",$G300&lt;=0,$A300&gt;'03_BAO_CAO'!$E$4),0,MAX(0,$G300-MAX(0,SUMIFS($H$7:$H$506,$C$7:$C$506,$C300,$A$7:$A$506,"&lt;="&amp;'03_BAO_CAO'!$E$4)-XLOOKUP($C300,'01_DANH_MUC'!$A$7:$A$206,'01_DANH_MUC'!$F$7:$F$206,0)-SUMIFS($G$7:G299,$C$7:C299,$C300,$A$7:A299,"&lt;="&amp;'03_BAO_CAO'!$E$4)))))</f>
        <v/>
      </c>
      <c r="L300" s="212">
        <f>IF($A300="","",IF(OR($K300&lt;=0,$J300=""),0,MAX(0,'03_BAO_CAO'!$E$4-$J300)))</f>
        <v/>
      </c>
      <c r="M300" s="51">
        <f>IF($A300="","",IF($K300&lt;=0,"Đã thanh toán",IF($J300="","Thiếu ngày đến hạn",IF($J300&gt;='03_BAO_CAO'!$E$4,"Chưa đến hạn",IF($L300&lt;=30,"1-30 ngày",IF($L300&lt;=60,"31-60 ngày",IF($L300&lt;=90,"61-90 ngày","Trên 90 ngày")))))))</f>
        <v/>
      </c>
      <c r="N300" s="51">
        <f>IF($A300="","",IF(OR($B300="",$C300=""),"THIẾU THÔNG TIN",IF(AND($G300&gt;0,$H300&gt;0),"KHÔNG NHẬP ĐỒNG THỜI TĂNG/GIẢM",IF(AND($G300&lt;=0,$H300&lt;=0),"CHƯA NHẬP SỐ TIỀN",IF($D300="KHÔNG TÌM THẤY","MÃ KHÔNG HỢP LỆ",IF(AND($G300&gt;0,$J300=""),"THIẾU NGÀY ĐẾN HẠN","OK"))))))</f>
        <v/>
      </c>
    </row>
    <row r="301">
      <c r="A301" s="209" t="n"/>
      <c r="B301" s="47" t="n"/>
      <c r="C301" s="47" t="n"/>
      <c r="D301" s="51">
        <f>IF($C301="","",XLOOKUP($C301,'01_DANH_MUC'!$A$7:$A$206,'01_DANH_MUC'!$B$7:$B$206,"KHÔNG TÌM THẤY"))</f>
        <v/>
      </c>
      <c r="E301" s="51">
        <f>IF($C301="","",XLOOKUP($C301,'01_DANH_MUC'!$A$7:$A$206,'01_DANH_MUC'!$C$7:$C$206,"KHÔNG TÌM THẤY"))</f>
        <v/>
      </c>
      <c r="F301" s="57" t="n"/>
      <c r="G301" s="211" t="n"/>
      <c r="H301" s="211" t="n"/>
      <c r="I301" s="212">
        <f>IF($C301="","",XLOOKUP($C301,'01_DANH_MUC'!$A$7:$A$206,'01_DANH_MUC'!$E$7:$E$206,0))</f>
        <v/>
      </c>
      <c r="J301" s="213">
        <f>IF(OR($A301="",$C301="",$G301&lt;=0),"",$A301+$I301)</f>
        <v/>
      </c>
      <c r="K301" s="210">
        <f>IF($A301="","",IF(OR($C301="",$G301&lt;=0,$A301&gt;'03_BAO_CAO'!$E$4),0,MAX(0,$G301-MAX(0,SUMIFS($H$7:$H$506,$C$7:$C$506,$C301,$A$7:$A$506,"&lt;="&amp;'03_BAO_CAO'!$E$4)-XLOOKUP($C301,'01_DANH_MUC'!$A$7:$A$206,'01_DANH_MUC'!$F$7:$F$206,0)-SUMIFS($G$7:G300,$C$7:C300,$C301,$A$7:A300,"&lt;="&amp;'03_BAO_CAO'!$E$4)))))</f>
        <v/>
      </c>
      <c r="L301" s="212">
        <f>IF($A301="","",IF(OR($K301&lt;=0,$J301=""),0,MAX(0,'03_BAO_CAO'!$E$4-$J301)))</f>
        <v/>
      </c>
      <c r="M301" s="51">
        <f>IF($A301="","",IF($K301&lt;=0,"Đã thanh toán",IF($J301="","Thiếu ngày đến hạn",IF($J301&gt;='03_BAO_CAO'!$E$4,"Chưa đến hạn",IF($L301&lt;=30,"1-30 ngày",IF($L301&lt;=60,"31-60 ngày",IF($L301&lt;=90,"61-90 ngày","Trên 90 ngày")))))))</f>
        <v/>
      </c>
      <c r="N301" s="51">
        <f>IF($A301="","",IF(OR($B301="",$C301=""),"THIẾU THÔNG TIN",IF(AND($G301&gt;0,$H301&gt;0),"KHÔNG NHẬP ĐỒNG THỜI TĂNG/GIẢM",IF(AND($G301&lt;=0,$H301&lt;=0),"CHƯA NHẬP SỐ TIỀN",IF($D301="KHÔNG TÌM THẤY","MÃ KHÔNG HỢP LỆ",IF(AND($G301&gt;0,$J301=""),"THIẾU NGÀY ĐẾN HẠN","OK"))))))</f>
        <v/>
      </c>
    </row>
    <row r="302">
      <c r="A302" s="209" t="n"/>
      <c r="B302" s="47" t="n"/>
      <c r="C302" s="47" t="n"/>
      <c r="D302" s="51">
        <f>IF($C302="","",XLOOKUP($C302,'01_DANH_MUC'!$A$7:$A$206,'01_DANH_MUC'!$B$7:$B$206,"KHÔNG TÌM THẤY"))</f>
        <v/>
      </c>
      <c r="E302" s="51">
        <f>IF($C302="","",XLOOKUP($C302,'01_DANH_MUC'!$A$7:$A$206,'01_DANH_MUC'!$C$7:$C$206,"KHÔNG TÌM THẤY"))</f>
        <v/>
      </c>
      <c r="F302" s="57" t="n"/>
      <c r="G302" s="211" t="n"/>
      <c r="H302" s="211" t="n"/>
      <c r="I302" s="212">
        <f>IF($C302="","",XLOOKUP($C302,'01_DANH_MUC'!$A$7:$A$206,'01_DANH_MUC'!$E$7:$E$206,0))</f>
        <v/>
      </c>
      <c r="J302" s="213">
        <f>IF(OR($A302="",$C302="",$G302&lt;=0),"",$A302+$I302)</f>
        <v/>
      </c>
      <c r="K302" s="210">
        <f>IF($A302="","",IF(OR($C302="",$G302&lt;=0,$A302&gt;'03_BAO_CAO'!$E$4),0,MAX(0,$G302-MAX(0,SUMIFS($H$7:$H$506,$C$7:$C$506,$C302,$A$7:$A$506,"&lt;="&amp;'03_BAO_CAO'!$E$4)-XLOOKUP($C302,'01_DANH_MUC'!$A$7:$A$206,'01_DANH_MUC'!$F$7:$F$206,0)-SUMIFS($G$7:G301,$C$7:C301,$C302,$A$7:A301,"&lt;="&amp;'03_BAO_CAO'!$E$4)))))</f>
        <v/>
      </c>
      <c r="L302" s="212">
        <f>IF($A302="","",IF(OR($K302&lt;=0,$J302=""),0,MAX(0,'03_BAO_CAO'!$E$4-$J302)))</f>
        <v/>
      </c>
      <c r="M302" s="51">
        <f>IF($A302="","",IF($K302&lt;=0,"Đã thanh toán",IF($J302="","Thiếu ngày đến hạn",IF($J302&gt;='03_BAO_CAO'!$E$4,"Chưa đến hạn",IF($L302&lt;=30,"1-30 ngày",IF($L302&lt;=60,"31-60 ngày",IF($L302&lt;=90,"61-90 ngày","Trên 90 ngày")))))))</f>
        <v/>
      </c>
      <c r="N302" s="51">
        <f>IF($A302="","",IF(OR($B302="",$C302=""),"THIẾU THÔNG TIN",IF(AND($G302&gt;0,$H302&gt;0),"KHÔNG NHẬP ĐỒNG THỜI TĂNG/GIẢM",IF(AND($G302&lt;=0,$H302&lt;=0),"CHƯA NHẬP SỐ TIỀN",IF($D302="KHÔNG TÌM THẤY","MÃ KHÔNG HỢP LỆ",IF(AND($G302&gt;0,$J302=""),"THIẾU NGÀY ĐẾN HẠN","OK"))))))</f>
        <v/>
      </c>
    </row>
    <row r="303">
      <c r="A303" s="209" t="n"/>
      <c r="B303" s="47" t="n"/>
      <c r="C303" s="47" t="n"/>
      <c r="D303" s="51">
        <f>IF($C303="","",XLOOKUP($C303,'01_DANH_MUC'!$A$7:$A$206,'01_DANH_MUC'!$B$7:$B$206,"KHÔNG TÌM THẤY"))</f>
        <v/>
      </c>
      <c r="E303" s="51">
        <f>IF($C303="","",XLOOKUP($C303,'01_DANH_MUC'!$A$7:$A$206,'01_DANH_MUC'!$C$7:$C$206,"KHÔNG TÌM THẤY"))</f>
        <v/>
      </c>
      <c r="F303" s="57" t="n"/>
      <c r="G303" s="211" t="n"/>
      <c r="H303" s="211" t="n"/>
      <c r="I303" s="212">
        <f>IF($C303="","",XLOOKUP($C303,'01_DANH_MUC'!$A$7:$A$206,'01_DANH_MUC'!$E$7:$E$206,0))</f>
        <v/>
      </c>
      <c r="J303" s="213">
        <f>IF(OR($A303="",$C303="",$G303&lt;=0),"",$A303+$I303)</f>
        <v/>
      </c>
      <c r="K303" s="210">
        <f>IF($A303="","",IF(OR($C303="",$G303&lt;=0,$A303&gt;'03_BAO_CAO'!$E$4),0,MAX(0,$G303-MAX(0,SUMIFS($H$7:$H$506,$C$7:$C$506,$C303,$A$7:$A$506,"&lt;="&amp;'03_BAO_CAO'!$E$4)-XLOOKUP($C303,'01_DANH_MUC'!$A$7:$A$206,'01_DANH_MUC'!$F$7:$F$206,0)-SUMIFS($G$7:G302,$C$7:C302,$C303,$A$7:A302,"&lt;="&amp;'03_BAO_CAO'!$E$4)))))</f>
        <v/>
      </c>
      <c r="L303" s="212">
        <f>IF($A303="","",IF(OR($K303&lt;=0,$J303=""),0,MAX(0,'03_BAO_CAO'!$E$4-$J303)))</f>
        <v/>
      </c>
      <c r="M303" s="51">
        <f>IF($A303="","",IF($K303&lt;=0,"Đã thanh toán",IF($J303="","Thiếu ngày đến hạn",IF($J303&gt;='03_BAO_CAO'!$E$4,"Chưa đến hạn",IF($L303&lt;=30,"1-30 ngày",IF($L303&lt;=60,"31-60 ngày",IF($L303&lt;=90,"61-90 ngày","Trên 90 ngày")))))))</f>
        <v/>
      </c>
      <c r="N303" s="51">
        <f>IF($A303="","",IF(OR($B303="",$C303=""),"THIẾU THÔNG TIN",IF(AND($G303&gt;0,$H303&gt;0),"KHÔNG NHẬP ĐỒNG THỜI TĂNG/GIẢM",IF(AND($G303&lt;=0,$H303&lt;=0),"CHƯA NHẬP SỐ TIỀN",IF($D303="KHÔNG TÌM THẤY","MÃ KHÔNG HỢP LỆ",IF(AND($G303&gt;0,$J303=""),"THIẾU NGÀY ĐẾN HẠN","OK"))))))</f>
        <v/>
      </c>
    </row>
    <row r="304">
      <c r="A304" s="209" t="n"/>
      <c r="B304" s="47" t="n"/>
      <c r="C304" s="47" t="n"/>
      <c r="D304" s="51">
        <f>IF($C304="","",XLOOKUP($C304,'01_DANH_MUC'!$A$7:$A$206,'01_DANH_MUC'!$B$7:$B$206,"KHÔNG TÌM THẤY"))</f>
        <v/>
      </c>
      <c r="E304" s="51">
        <f>IF($C304="","",XLOOKUP($C304,'01_DANH_MUC'!$A$7:$A$206,'01_DANH_MUC'!$C$7:$C$206,"KHÔNG TÌM THẤY"))</f>
        <v/>
      </c>
      <c r="F304" s="57" t="n"/>
      <c r="G304" s="211" t="n"/>
      <c r="H304" s="211" t="n"/>
      <c r="I304" s="212">
        <f>IF($C304="","",XLOOKUP($C304,'01_DANH_MUC'!$A$7:$A$206,'01_DANH_MUC'!$E$7:$E$206,0))</f>
        <v/>
      </c>
      <c r="J304" s="213">
        <f>IF(OR($A304="",$C304="",$G304&lt;=0),"",$A304+$I304)</f>
        <v/>
      </c>
      <c r="K304" s="210">
        <f>IF($A304="","",IF(OR($C304="",$G304&lt;=0,$A304&gt;'03_BAO_CAO'!$E$4),0,MAX(0,$G304-MAX(0,SUMIFS($H$7:$H$506,$C$7:$C$506,$C304,$A$7:$A$506,"&lt;="&amp;'03_BAO_CAO'!$E$4)-XLOOKUP($C304,'01_DANH_MUC'!$A$7:$A$206,'01_DANH_MUC'!$F$7:$F$206,0)-SUMIFS($G$7:G303,$C$7:C303,$C304,$A$7:A303,"&lt;="&amp;'03_BAO_CAO'!$E$4)))))</f>
        <v/>
      </c>
      <c r="L304" s="212">
        <f>IF($A304="","",IF(OR($K304&lt;=0,$J304=""),0,MAX(0,'03_BAO_CAO'!$E$4-$J304)))</f>
        <v/>
      </c>
      <c r="M304" s="51">
        <f>IF($A304="","",IF($K304&lt;=0,"Đã thanh toán",IF($J304="","Thiếu ngày đến hạn",IF($J304&gt;='03_BAO_CAO'!$E$4,"Chưa đến hạn",IF($L304&lt;=30,"1-30 ngày",IF($L304&lt;=60,"31-60 ngày",IF($L304&lt;=90,"61-90 ngày","Trên 90 ngày")))))))</f>
        <v/>
      </c>
      <c r="N304" s="51">
        <f>IF($A304="","",IF(OR($B304="",$C304=""),"THIẾU THÔNG TIN",IF(AND($G304&gt;0,$H304&gt;0),"KHÔNG NHẬP ĐỒNG THỜI TĂNG/GIẢM",IF(AND($G304&lt;=0,$H304&lt;=0),"CHƯA NHẬP SỐ TIỀN",IF($D304="KHÔNG TÌM THẤY","MÃ KHÔNG HỢP LỆ",IF(AND($G304&gt;0,$J304=""),"THIẾU NGÀY ĐẾN HẠN","OK"))))))</f>
        <v/>
      </c>
    </row>
    <row r="305">
      <c r="A305" s="209" t="n"/>
      <c r="B305" s="47" t="n"/>
      <c r="C305" s="47" t="n"/>
      <c r="D305" s="51">
        <f>IF($C305="","",XLOOKUP($C305,'01_DANH_MUC'!$A$7:$A$206,'01_DANH_MUC'!$B$7:$B$206,"KHÔNG TÌM THẤY"))</f>
        <v/>
      </c>
      <c r="E305" s="51">
        <f>IF($C305="","",XLOOKUP($C305,'01_DANH_MUC'!$A$7:$A$206,'01_DANH_MUC'!$C$7:$C$206,"KHÔNG TÌM THẤY"))</f>
        <v/>
      </c>
      <c r="F305" s="57" t="n"/>
      <c r="G305" s="211" t="n"/>
      <c r="H305" s="211" t="n"/>
      <c r="I305" s="212">
        <f>IF($C305="","",XLOOKUP($C305,'01_DANH_MUC'!$A$7:$A$206,'01_DANH_MUC'!$E$7:$E$206,0))</f>
        <v/>
      </c>
      <c r="J305" s="213">
        <f>IF(OR($A305="",$C305="",$G305&lt;=0),"",$A305+$I305)</f>
        <v/>
      </c>
      <c r="K305" s="210">
        <f>IF($A305="","",IF(OR($C305="",$G305&lt;=0,$A305&gt;'03_BAO_CAO'!$E$4),0,MAX(0,$G305-MAX(0,SUMIFS($H$7:$H$506,$C$7:$C$506,$C305,$A$7:$A$506,"&lt;="&amp;'03_BAO_CAO'!$E$4)-XLOOKUP($C305,'01_DANH_MUC'!$A$7:$A$206,'01_DANH_MUC'!$F$7:$F$206,0)-SUMIFS($G$7:G304,$C$7:C304,$C305,$A$7:A304,"&lt;="&amp;'03_BAO_CAO'!$E$4)))))</f>
        <v/>
      </c>
      <c r="L305" s="212">
        <f>IF($A305="","",IF(OR($K305&lt;=0,$J305=""),0,MAX(0,'03_BAO_CAO'!$E$4-$J305)))</f>
        <v/>
      </c>
      <c r="M305" s="51">
        <f>IF($A305="","",IF($K305&lt;=0,"Đã thanh toán",IF($J305="","Thiếu ngày đến hạn",IF($J305&gt;='03_BAO_CAO'!$E$4,"Chưa đến hạn",IF($L305&lt;=30,"1-30 ngày",IF($L305&lt;=60,"31-60 ngày",IF($L305&lt;=90,"61-90 ngày","Trên 90 ngày")))))))</f>
        <v/>
      </c>
      <c r="N305" s="51">
        <f>IF($A305="","",IF(OR($B305="",$C305=""),"THIẾU THÔNG TIN",IF(AND($G305&gt;0,$H305&gt;0),"KHÔNG NHẬP ĐỒNG THỜI TĂNG/GIẢM",IF(AND($G305&lt;=0,$H305&lt;=0),"CHƯA NHẬP SỐ TIỀN",IF($D305="KHÔNG TÌM THẤY","MÃ KHÔNG HỢP LỆ",IF(AND($G305&gt;0,$J305=""),"THIẾU NGÀY ĐẾN HẠN","OK"))))))</f>
        <v/>
      </c>
    </row>
    <row r="306">
      <c r="A306" s="209" t="n"/>
      <c r="B306" s="47" t="n"/>
      <c r="C306" s="47" t="n"/>
      <c r="D306" s="51">
        <f>IF($C306="","",XLOOKUP($C306,'01_DANH_MUC'!$A$7:$A$206,'01_DANH_MUC'!$B$7:$B$206,"KHÔNG TÌM THẤY"))</f>
        <v/>
      </c>
      <c r="E306" s="51">
        <f>IF($C306="","",XLOOKUP($C306,'01_DANH_MUC'!$A$7:$A$206,'01_DANH_MUC'!$C$7:$C$206,"KHÔNG TÌM THẤY"))</f>
        <v/>
      </c>
      <c r="F306" s="57" t="n"/>
      <c r="G306" s="211" t="n"/>
      <c r="H306" s="211" t="n"/>
      <c r="I306" s="212">
        <f>IF($C306="","",XLOOKUP($C306,'01_DANH_MUC'!$A$7:$A$206,'01_DANH_MUC'!$E$7:$E$206,0))</f>
        <v/>
      </c>
      <c r="J306" s="213">
        <f>IF(OR($A306="",$C306="",$G306&lt;=0),"",$A306+$I306)</f>
        <v/>
      </c>
      <c r="K306" s="210">
        <f>IF($A306="","",IF(OR($C306="",$G306&lt;=0,$A306&gt;'03_BAO_CAO'!$E$4),0,MAX(0,$G306-MAX(0,SUMIFS($H$7:$H$506,$C$7:$C$506,$C306,$A$7:$A$506,"&lt;="&amp;'03_BAO_CAO'!$E$4)-XLOOKUP($C306,'01_DANH_MUC'!$A$7:$A$206,'01_DANH_MUC'!$F$7:$F$206,0)-SUMIFS($G$7:G305,$C$7:C305,$C306,$A$7:A305,"&lt;="&amp;'03_BAO_CAO'!$E$4)))))</f>
        <v/>
      </c>
      <c r="L306" s="212">
        <f>IF($A306="","",IF(OR($K306&lt;=0,$J306=""),0,MAX(0,'03_BAO_CAO'!$E$4-$J306)))</f>
        <v/>
      </c>
      <c r="M306" s="51">
        <f>IF($A306="","",IF($K306&lt;=0,"Đã thanh toán",IF($J306="","Thiếu ngày đến hạn",IF($J306&gt;='03_BAO_CAO'!$E$4,"Chưa đến hạn",IF($L306&lt;=30,"1-30 ngày",IF($L306&lt;=60,"31-60 ngày",IF($L306&lt;=90,"61-90 ngày","Trên 90 ngày")))))))</f>
        <v/>
      </c>
      <c r="N306" s="51">
        <f>IF($A306="","",IF(OR($B306="",$C306=""),"THIẾU THÔNG TIN",IF(AND($G306&gt;0,$H306&gt;0),"KHÔNG NHẬP ĐỒNG THỜI TĂNG/GIẢM",IF(AND($G306&lt;=0,$H306&lt;=0),"CHƯA NHẬP SỐ TIỀN",IF($D306="KHÔNG TÌM THẤY","MÃ KHÔNG HỢP LỆ",IF(AND($G306&gt;0,$J306=""),"THIẾU NGÀY ĐẾN HẠN","OK"))))))</f>
        <v/>
      </c>
    </row>
    <row r="307">
      <c r="A307" s="209" t="n"/>
      <c r="B307" s="47" t="n"/>
      <c r="C307" s="47" t="n"/>
      <c r="D307" s="51">
        <f>IF($C307="","",XLOOKUP($C307,'01_DANH_MUC'!$A$7:$A$206,'01_DANH_MUC'!$B$7:$B$206,"KHÔNG TÌM THẤY"))</f>
        <v/>
      </c>
      <c r="E307" s="51">
        <f>IF($C307="","",XLOOKUP($C307,'01_DANH_MUC'!$A$7:$A$206,'01_DANH_MUC'!$C$7:$C$206,"KHÔNG TÌM THẤY"))</f>
        <v/>
      </c>
      <c r="F307" s="57" t="n"/>
      <c r="G307" s="211" t="n"/>
      <c r="H307" s="211" t="n"/>
      <c r="I307" s="212">
        <f>IF($C307="","",XLOOKUP($C307,'01_DANH_MUC'!$A$7:$A$206,'01_DANH_MUC'!$E$7:$E$206,0))</f>
        <v/>
      </c>
      <c r="J307" s="213">
        <f>IF(OR($A307="",$C307="",$G307&lt;=0),"",$A307+$I307)</f>
        <v/>
      </c>
      <c r="K307" s="210">
        <f>IF($A307="","",IF(OR($C307="",$G307&lt;=0,$A307&gt;'03_BAO_CAO'!$E$4),0,MAX(0,$G307-MAX(0,SUMIFS($H$7:$H$506,$C$7:$C$506,$C307,$A$7:$A$506,"&lt;="&amp;'03_BAO_CAO'!$E$4)-XLOOKUP($C307,'01_DANH_MUC'!$A$7:$A$206,'01_DANH_MUC'!$F$7:$F$206,0)-SUMIFS($G$7:G306,$C$7:C306,$C307,$A$7:A306,"&lt;="&amp;'03_BAO_CAO'!$E$4)))))</f>
        <v/>
      </c>
      <c r="L307" s="212">
        <f>IF($A307="","",IF(OR($K307&lt;=0,$J307=""),0,MAX(0,'03_BAO_CAO'!$E$4-$J307)))</f>
        <v/>
      </c>
      <c r="M307" s="51">
        <f>IF($A307="","",IF($K307&lt;=0,"Đã thanh toán",IF($J307="","Thiếu ngày đến hạn",IF($J307&gt;='03_BAO_CAO'!$E$4,"Chưa đến hạn",IF($L307&lt;=30,"1-30 ngày",IF($L307&lt;=60,"31-60 ngày",IF($L307&lt;=90,"61-90 ngày","Trên 90 ngày")))))))</f>
        <v/>
      </c>
      <c r="N307" s="51">
        <f>IF($A307="","",IF(OR($B307="",$C307=""),"THIẾU THÔNG TIN",IF(AND($G307&gt;0,$H307&gt;0),"KHÔNG NHẬP ĐỒNG THỜI TĂNG/GIẢM",IF(AND($G307&lt;=0,$H307&lt;=0),"CHƯA NHẬP SỐ TIỀN",IF($D307="KHÔNG TÌM THẤY","MÃ KHÔNG HỢP LỆ",IF(AND($G307&gt;0,$J307=""),"THIẾU NGÀY ĐẾN HẠN","OK"))))))</f>
        <v/>
      </c>
    </row>
    <row r="308">
      <c r="A308" s="209" t="n"/>
      <c r="B308" s="47" t="n"/>
      <c r="C308" s="47" t="n"/>
      <c r="D308" s="51">
        <f>IF($C308="","",XLOOKUP($C308,'01_DANH_MUC'!$A$7:$A$206,'01_DANH_MUC'!$B$7:$B$206,"KHÔNG TÌM THẤY"))</f>
        <v/>
      </c>
      <c r="E308" s="51">
        <f>IF($C308="","",XLOOKUP($C308,'01_DANH_MUC'!$A$7:$A$206,'01_DANH_MUC'!$C$7:$C$206,"KHÔNG TÌM THẤY"))</f>
        <v/>
      </c>
      <c r="F308" s="57" t="n"/>
      <c r="G308" s="211" t="n"/>
      <c r="H308" s="211" t="n"/>
      <c r="I308" s="212">
        <f>IF($C308="","",XLOOKUP($C308,'01_DANH_MUC'!$A$7:$A$206,'01_DANH_MUC'!$E$7:$E$206,0))</f>
        <v/>
      </c>
      <c r="J308" s="213">
        <f>IF(OR($A308="",$C308="",$G308&lt;=0),"",$A308+$I308)</f>
        <v/>
      </c>
      <c r="K308" s="210">
        <f>IF($A308="","",IF(OR($C308="",$G308&lt;=0,$A308&gt;'03_BAO_CAO'!$E$4),0,MAX(0,$G308-MAX(0,SUMIFS($H$7:$H$506,$C$7:$C$506,$C308,$A$7:$A$506,"&lt;="&amp;'03_BAO_CAO'!$E$4)-XLOOKUP($C308,'01_DANH_MUC'!$A$7:$A$206,'01_DANH_MUC'!$F$7:$F$206,0)-SUMIFS($G$7:G307,$C$7:C307,$C308,$A$7:A307,"&lt;="&amp;'03_BAO_CAO'!$E$4)))))</f>
        <v/>
      </c>
      <c r="L308" s="212">
        <f>IF($A308="","",IF(OR($K308&lt;=0,$J308=""),0,MAX(0,'03_BAO_CAO'!$E$4-$J308)))</f>
        <v/>
      </c>
      <c r="M308" s="51">
        <f>IF($A308="","",IF($K308&lt;=0,"Đã thanh toán",IF($J308="","Thiếu ngày đến hạn",IF($J308&gt;='03_BAO_CAO'!$E$4,"Chưa đến hạn",IF($L308&lt;=30,"1-30 ngày",IF($L308&lt;=60,"31-60 ngày",IF($L308&lt;=90,"61-90 ngày","Trên 90 ngày")))))))</f>
        <v/>
      </c>
      <c r="N308" s="51">
        <f>IF($A308="","",IF(OR($B308="",$C308=""),"THIẾU THÔNG TIN",IF(AND($G308&gt;0,$H308&gt;0),"KHÔNG NHẬP ĐỒNG THỜI TĂNG/GIẢM",IF(AND($G308&lt;=0,$H308&lt;=0),"CHƯA NHẬP SỐ TIỀN",IF($D308="KHÔNG TÌM THẤY","MÃ KHÔNG HỢP LỆ",IF(AND($G308&gt;0,$J308=""),"THIẾU NGÀY ĐẾN HẠN","OK"))))))</f>
        <v/>
      </c>
    </row>
    <row r="309">
      <c r="A309" s="209" t="n"/>
      <c r="B309" s="47" t="n"/>
      <c r="C309" s="47" t="n"/>
      <c r="D309" s="51">
        <f>IF($C309="","",XLOOKUP($C309,'01_DANH_MUC'!$A$7:$A$206,'01_DANH_MUC'!$B$7:$B$206,"KHÔNG TÌM THẤY"))</f>
        <v/>
      </c>
      <c r="E309" s="51">
        <f>IF($C309="","",XLOOKUP($C309,'01_DANH_MUC'!$A$7:$A$206,'01_DANH_MUC'!$C$7:$C$206,"KHÔNG TÌM THẤY"))</f>
        <v/>
      </c>
      <c r="F309" s="57" t="n"/>
      <c r="G309" s="211" t="n"/>
      <c r="H309" s="211" t="n"/>
      <c r="I309" s="212">
        <f>IF($C309="","",XLOOKUP($C309,'01_DANH_MUC'!$A$7:$A$206,'01_DANH_MUC'!$E$7:$E$206,0))</f>
        <v/>
      </c>
      <c r="J309" s="213">
        <f>IF(OR($A309="",$C309="",$G309&lt;=0),"",$A309+$I309)</f>
        <v/>
      </c>
      <c r="K309" s="210">
        <f>IF($A309="","",IF(OR($C309="",$G309&lt;=0,$A309&gt;'03_BAO_CAO'!$E$4),0,MAX(0,$G309-MAX(0,SUMIFS($H$7:$H$506,$C$7:$C$506,$C309,$A$7:$A$506,"&lt;="&amp;'03_BAO_CAO'!$E$4)-XLOOKUP($C309,'01_DANH_MUC'!$A$7:$A$206,'01_DANH_MUC'!$F$7:$F$206,0)-SUMIFS($G$7:G308,$C$7:C308,$C309,$A$7:A308,"&lt;="&amp;'03_BAO_CAO'!$E$4)))))</f>
        <v/>
      </c>
      <c r="L309" s="212">
        <f>IF($A309="","",IF(OR($K309&lt;=0,$J309=""),0,MAX(0,'03_BAO_CAO'!$E$4-$J309)))</f>
        <v/>
      </c>
      <c r="M309" s="51">
        <f>IF($A309="","",IF($K309&lt;=0,"Đã thanh toán",IF($J309="","Thiếu ngày đến hạn",IF($J309&gt;='03_BAO_CAO'!$E$4,"Chưa đến hạn",IF($L309&lt;=30,"1-30 ngày",IF($L309&lt;=60,"31-60 ngày",IF($L309&lt;=90,"61-90 ngày","Trên 90 ngày")))))))</f>
        <v/>
      </c>
      <c r="N309" s="51">
        <f>IF($A309="","",IF(OR($B309="",$C309=""),"THIẾU THÔNG TIN",IF(AND($G309&gt;0,$H309&gt;0),"KHÔNG NHẬP ĐỒNG THỜI TĂNG/GIẢM",IF(AND($G309&lt;=0,$H309&lt;=0),"CHƯA NHẬP SỐ TIỀN",IF($D309="KHÔNG TÌM THẤY","MÃ KHÔNG HỢP LỆ",IF(AND($G309&gt;0,$J309=""),"THIẾU NGÀY ĐẾN HẠN","OK"))))))</f>
        <v/>
      </c>
    </row>
    <row r="310">
      <c r="A310" s="209" t="n"/>
      <c r="B310" s="47" t="n"/>
      <c r="C310" s="47" t="n"/>
      <c r="D310" s="51">
        <f>IF($C310="","",XLOOKUP($C310,'01_DANH_MUC'!$A$7:$A$206,'01_DANH_MUC'!$B$7:$B$206,"KHÔNG TÌM THẤY"))</f>
        <v/>
      </c>
      <c r="E310" s="51">
        <f>IF($C310="","",XLOOKUP($C310,'01_DANH_MUC'!$A$7:$A$206,'01_DANH_MUC'!$C$7:$C$206,"KHÔNG TÌM THẤY"))</f>
        <v/>
      </c>
      <c r="F310" s="57" t="n"/>
      <c r="G310" s="211" t="n"/>
      <c r="H310" s="211" t="n"/>
      <c r="I310" s="212">
        <f>IF($C310="","",XLOOKUP($C310,'01_DANH_MUC'!$A$7:$A$206,'01_DANH_MUC'!$E$7:$E$206,0))</f>
        <v/>
      </c>
      <c r="J310" s="213">
        <f>IF(OR($A310="",$C310="",$G310&lt;=0),"",$A310+$I310)</f>
        <v/>
      </c>
      <c r="K310" s="210">
        <f>IF($A310="","",IF(OR($C310="",$G310&lt;=0,$A310&gt;'03_BAO_CAO'!$E$4),0,MAX(0,$G310-MAX(0,SUMIFS($H$7:$H$506,$C$7:$C$506,$C310,$A$7:$A$506,"&lt;="&amp;'03_BAO_CAO'!$E$4)-XLOOKUP($C310,'01_DANH_MUC'!$A$7:$A$206,'01_DANH_MUC'!$F$7:$F$206,0)-SUMIFS($G$7:G309,$C$7:C309,$C310,$A$7:A309,"&lt;="&amp;'03_BAO_CAO'!$E$4)))))</f>
        <v/>
      </c>
      <c r="L310" s="212">
        <f>IF($A310="","",IF(OR($K310&lt;=0,$J310=""),0,MAX(0,'03_BAO_CAO'!$E$4-$J310)))</f>
        <v/>
      </c>
      <c r="M310" s="51">
        <f>IF($A310="","",IF($K310&lt;=0,"Đã thanh toán",IF($J310="","Thiếu ngày đến hạn",IF($J310&gt;='03_BAO_CAO'!$E$4,"Chưa đến hạn",IF($L310&lt;=30,"1-30 ngày",IF($L310&lt;=60,"31-60 ngày",IF($L310&lt;=90,"61-90 ngày","Trên 90 ngày")))))))</f>
        <v/>
      </c>
      <c r="N310" s="51">
        <f>IF($A310="","",IF(OR($B310="",$C310=""),"THIẾU THÔNG TIN",IF(AND($G310&gt;0,$H310&gt;0),"KHÔNG NHẬP ĐỒNG THỜI TĂNG/GIẢM",IF(AND($G310&lt;=0,$H310&lt;=0),"CHƯA NHẬP SỐ TIỀN",IF($D310="KHÔNG TÌM THẤY","MÃ KHÔNG HỢP LỆ",IF(AND($G310&gt;0,$J310=""),"THIẾU NGÀY ĐẾN HẠN","OK"))))))</f>
        <v/>
      </c>
    </row>
    <row r="311">
      <c r="A311" s="209" t="n"/>
      <c r="B311" s="47" t="n"/>
      <c r="C311" s="47" t="n"/>
      <c r="D311" s="51">
        <f>IF($C311="","",XLOOKUP($C311,'01_DANH_MUC'!$A$7:$A$206,'01_DANH_MUC'!$B$7:$B$206,"KHÔNG TÌM THẤY"))</f>
        <v/>
      </c>
      <c r="E311" s="51">
        <f>IF($C311="","",XLOOKUP($C311,'01_DANH_MUC'!$A$7:$A$206,'01_DANH_MUC'!$C$7:$C$206,"KHÔNG TÌM THẤY"))</f>
        <v/>
      </c>
      <c r="F311" s="57" t="n"/>
      <c r="G311" s="211" t="n"/>
      <c r="H311" s="211" t="n"/>
      <c r="I311" s="212">
        <f>IF($C311="","",XLOOKUP($C311,'01_DANH_MUC'!$A$7:$A$206,'01_DANH_MUC'!$E$7:$E$206,0))</f>
        <v/>
      </c>
      <c r="J311" s="213">
        <f>IF(OR($A311="",$C311="",$G311&lt;=0),"",$A311+$I311)</f>
        <v/>
      </c>
      <c r="K311" s="210">
        <f>IF($A311="","",IF(OR($C311="",$G311&lt;=0,$A311&gt;'03_BAO_CAO'!$E$4),0,MAX(0,$G311-MAX(0,SUMIFS($H$7:$H$506,$C$7:$C$506,$C311,$A$7:$A$506,"&lt;="&amp;'03_BAO_CAO'!$E$4)-XLOOKUP($C311,'01_DANH_MUC'!$A$7:$A$206,'01_DANH_MUC'!$F$7:$F$206,0)-SUMIFS($G$7:G310,$C$7:C310,$C311,$A$7:A310,"&lt;="&amp;'03_BAO_CAO'!$E$4)))))</f>
        <v/>
      </c>
      <c r="L311" s="212">
        <f>IF($A311="","",IF(OR($K311&lt;=0,$J311=""),0,MAX(0,'03_BAO_CAO'!$E$4-$J311)))</f>
        <v/>
      </c>
      <c r="M311" s="51">
        <f>IF($A311="","",IF($K311&lt;=0,"Đã thanh toán",IF($J311="","Thiếu ngày đến hạn",IF($J311&gt;='03_BAO_CAO'!$E$4,"Chưa đến hạn",IF($L311&lt;=30,"1-30 ngày",IF($L311&lt;=60,"31-60 ngày",IF($L311&lt;=90,"61-90 ngày","Trên 90 ngày")))))))</f>
        <v/>
      </c>
      <c r="N311" s="51">
        <f>IF($A311="","",IF(OR($B311="",$C311=""),"THIẾU THÔNG TIN",IF(AND($G311&gt;0,$H311&gt;0),"KHÔNG NHẬP ĐỒNG THỜI TĂNG/GIẢM",IF(AND($G311&lt;=0,$H311&lt;=0),"CHƯA NHẬP SỐ TIỀN",IF($D311="KHÔNG TÌM THẤY","MÃ KHÔNG HỢP LỆ",IF(AND($G311&gt;0,$J311=""),"THIẾU NGÀY ĐẾN HẠN","OK"))))))</f>
        <v/>
      </c>
    </row>
    <row r="312">
      <c r="A312" s="209" t="n"/>
      <c r="B312" s="47" t="n"/>
      <c r="C312" s="47" t="n"/>
      <c r="D312" s="51">
        <f>IF($C312="","",XLOOKUP($C312,'01_DANH_MUC'!$A$7:$A$206,'01_DANH_MUC'!$B$7:$B$206,"KHÔNG TÌM THẤY"))</f>
        <v/>
      </c>
      <c r="E312" s="51">
        <f>IF($C312="","",XLOOKUP($C312,'01_DANH_MUC'!$A$7:$A$206,'01_DANH_MUC'!$C$7:$C$206,"KHÔNG TÌM THẤY"))</f>
        <v/>
      </c>
      <c r="F312" s="57" t="n"/>
      <c r="G312" s="211" t="n"/>
      <c r="H312" s="211" t="n"/>
      <c r="I312" s="212">
        <f>IF($C312="","",XLOOKUP($C312,'01_DANH_MUC'!$A$7:$A$206,'01_DANH_MUC'!$E$7:$E$206,0))</f>
        <v/>
      </c>
      <c r="J312" s="213">
        <f>IF(OR($A312="",$C312="",$G312&lt;=0),"",$A312+$I312)</f>
        <v/>
      </c>
      <c r="K312" s="210">
        <f>IF($A312="","",IF(OR($C312="",$G312&lt;=0,$A312&gt;'03_BAO_CAO'!$E$4),0,MAX(0,$G312-MAX(0,SUMIFS($H$7:$H$506,$C$7:$C$506,$C312,$A$7:$A$506,"&lt;="&amp;'03_BAO_CAO'!$E$4)-XLOOKUP($C312,'01_DANH_MUC'!$A$7:$A$206,'01_DANH_MUC'!$F$7:$F$206,0)-SUMIFS($G$7:G311,$C$7:C311,$C312,$A$7:A311,"&lt;="&amp;'03_BAO_CAO'!$E$4)))))</f>
        <v/>
      </c>
      <c r="L312" s="212">
        <f>IF($A312="","",IF(OR($K312&lt;=0,$J312=""),0,MAX(0,'03_BAO_CAO'!$E$4-$J312)))</f>
        <v/>
      </c>
      <c r="M312" s="51">
        <f>IF($A312="","",IF($K312&lt;=0,"Đã thanh toán",IF($J312="","Thiếu ngày đến hạn",IF($J312&gt;='03_BAO_CAO'!$E$4,"Chưa đến hạn",IF($L312&lt;=30,"1-30 ngày",IF($L312&lt;=60,"31-60 ngày",IF($L312&lt;=90,"61-90 ngày","Trên 90 ngày")))))))</f>
        <v/>
      </c>
      <c r="N312" s="51">
        <f>IF($A312="","",IF(OR($B312="",$C312=""),"THIẾU THÔNG TIN",IF(AND($G312&gt;0,$H312&gt;0),"KHÔNG NHẬP ĐỒNG THỜI TĂNG/GIẢM",IF(AND($G312&lt;=0,$H312&lt;=0),"CHƯA NHẬP SỐ TIỀN",IF($D312="KHÔNG TÌM THẤY","MÃ KHÔNG HỢP LỆ",IF(AND($G312&gt;0,$J312=""),"THIẾU NGÀY ĐẾN HẠN","OK"))))))</f>
        <v/>
      </c>
    </row>
    <row r="313">
      <c r="A313" s="209" t="n"/>
      <c r="B313" s="47" t="n"/>
      <c r="C313" s="47" t="n"/>
      <c r="D313" s="51">
        <f>IF($C313="","",XLOOKUP($C313,'01_DANH_MUC'!$A$7:$A$206,'01_DANH_MUC'!$B$7:$B$206,"KHÔNG TÌM THẤY"))</f>
        <v/>
      </c>
      <c r="E313" s="51">
        <f>IF($C313="","",XLOOKUP($C313,'01_DANH_MUC'!$A$7:$A$206,'01_DANH_MUC'!$C$7:$C$206,"KHÔNG TÌM THẤY"))</f>
        <v/>
      </c>
      <c r="F313" s="57" t="n"/>
      <c r="G313" s="211" t="n"/>
      <c r="H313" s="211" t="n"/>
      <c r="I313" s="212">
        <f>IF($C313="","",XLOOKUP($C313,'01_DANH_MUC'!$A$7:$A$206,'01_DANH_MUC'!$E$7:$E$206,0))</f>
        <v/>
      </c>
      <c r="J313" s="213">
        <f>IF(OR($A313="",$C313="",$G313&lt;=0),"",$A313+$I313)</f>
        <v/>
      </c>
      <c r="K313" s="210">
        <f>IF($A313="","",IF(OR($C313="",$G313&lt;=0,$A313&gt;'03_BAO_CAO'!$E$4),0,MAX(0,$G313-MAX(0,SUMIFS($H$7:$H$506,$C$7:$C$506,$C313,$A$7:$A$506,"&lt;="&amp;'03_BAO_CAO'!$E$4)-XLOOKUP($C313,'01_DANH_MUC'!$A$7:$A$206,'01_DANH_MUC'!$F$7:$F$206,0)-SUMIFS($G$7:G312,$C$7:C312,$C313,$A$7:A312,"&lt;="&amp;'03_BAO_CAO'!$E$4)))))</f>
        <v/>
      </c>
      <c r="L313" s="212">
        <f>IF($A313="","",IF(OR($K313&lt;=0,$J313=""),0,MAX(0,'03_BAO_CAO'!$E$4-$J313)))</f>
        <v/>
      </c>
      <c r="M313" s="51">
        <f>IF($A313="","",IF($K313&lt;=0,"Đã thanh toán",IF($J313="","Thiếu ngày đến hạn",IF($J313&gt;='03_BAO_CAO'!$E$4,"Chưa đến hạn",IF($L313&lt;=30,"1-30 ngày",IF($L313&lt;=60,"31-60 ngày",IF($L313&lt;=90,"61-90 ngày","Trên 90 ngày")))))))</f>
        <v/>
      </c>
      <c r="N313" s="51">
        <f>IF($A313="","",IF(OR($B313="",$C313=""),"THIẾU THÔNG TIN",IF(AND($G313&gt;0,$H313&gt;0),"KHÔNG NHẬP ĐỒNG THỜI TĂNG/GIẢM",IF(AND($G313&lt;=0,$H313&lt;=0),"CHƯA NHẬP SỐ TIỀN",IF($D313="KHÔNG TÌM THẤY","MÃ KHÔNG HỢP LỆ",IF(AND($G313&gt;0,$J313=""),"THIẾU NGÀY ĐẾN HẠN","OK"))))))</f>
        <v/>
      </c>
    </row>
    <row r="314">
      <c r="A314" s="209" t="n"/>
      <c r="B314" s="47" t="n"/>
      <c r="C314" s="47" t="n"/>
      <c r="D314" s="51">
        <f>IF($C314="","",XLOOKUP($C314,'01_DANH_MUC'!$A$7:$A$206,'01_DANH_MUC'!$B$7:$B$206,"KHÔNG TÌM THẤY"))</f>
        <v/>
      </c>
      <c r="E314" s="51">
        <f>IF($C314="","",XLOOKUP($C314,'01_DANH_MUC'!$A$7:$A$206,'01_DANH_MUC'!$C$7:$C$206,"KHÔNG TÌM THẤY"))</f>
        <v/>
      </c>
      <c r="F314" s="57" t="n"/>
      <c r="G314" s="211" t="n"/>
      <c r="H314" s="211" t="n"/>
      <c r="I314" s="212">
        <f>IF($C314="","",XLOOKUP($C314,'01_DANH_MUC'!$A$7:$A$206,'01_DANH_MUC'!$E$7:$E$206,0))</f>
        <v/>
      </c>
      <c r="J314" s="213">
        <f>IF(OR($A314="",$C314="",$G314&lt;=0),"",$A314+$I314)</f>
        <v/>
      </c>
      <c r="K314" s="210">
        <f>IF($A314="","",IF(OR($C314="",$G314&lt;=0,$A314&gt;'03_BAO_CAO'!$E$4),0,MAX(0,$G314-MAX(0,SUMIFS($H$7:$H$506,$C$7:$C$506,$C314,$A$7:$A$506,"&lt;="&amp;'03_BAO_CAO'!$E$4)-XLOOKUP($C314,'01_DANH_MUC'!$A$7:$A$206,'01_DANH_MUC'!$F$7:$F$206,0)-SUMIFS($G$7:G313,$C$7:C313,$C314,$A$7:A313,"&lt;="&amp;'03_BAO_CAO'!$E$4)))))</f>
        <v/>
      </c>
      <c r="L314" s="212">
        <f>IF($A314="","",IF(OR($K314&lt;=0,$J314=""),0,MAX(0,'03_BAO_CAO'!$E$4-$J314)))</f>
        <v/>
      </c>
      <c r="M314" s="51">
        <f>IF($A314="","",IF($K314&lt;=0,"Đã thanh toán",IF($J314="","Thiếu ngày đến hạn",IF($J314&gt;='03_BAO_CAO'!$E$4,"Chưa đến hạn",IF($L314&lt;=30,"1-30 ngày",IF($L314&lt;=60,"31-60 ngày",IF($L314&lt;=90,"61-90 ngày","Trên 90 ngày")))))))</f>
        <v/>
      </c>
      <c r="N314" s="51">
        <f>IF($A314="","",IF(OR($B314="",$C314=""),"THIẾU THÔNG TIN",IF(AND($G314&gt;0,$H314&gt;0),"KHÔNG NHẬP ĐỒNG THỜI TĂNG/GIẢM",IF(AND($G314&lt;=0,$H314&lt;=0),"CHƯA NHẬP SỐ TIỀN",IF($D314="KHÔNG TÌM THẤY","MÃ KHÔNG HỢP LỆ",IF(AND($G314&gt;0,$J314=""),"THIẾU NGÀY ĐẾN HẠN","OK"))))))</f>
        <v/>
      </c>
    </row>
    <row r="315">
      <c r="A315" s="209" t="n"/>
      <c r="B315" s="47" t="n"/>
      <c r="C315" s="47" t="n"/>
      <c r="D315" s="51">
        <f>IF($C315="","",XLOOKUP($C315,'01_DANH_MUC'!$A$7:$A$206,'01_DANH_MUC'!$B$7:$B$206,"KHÔNG TÌM THẤY"))</f>
        <v/>
      </c>
      <c r="E315" s="51">
        <f>IF($C315="","",XLOOKUP($C315,'01_DANH_MUC'!$A$7:$A$206,'01_DANH_MUC'!$C$7:$C$206,"KHÔNG TÌM THẤY"))</f>
        <v/>
      </c>
      <c r="F315" s="57" t="n"/>
      <c r="G315" s="211" t="n"/>
      <c r="H315" s="211" t="n"/>
      <c r="I315" s="212">
        <f>IF($C315="","",XLOOKUP($C315,'01_DANH_MUC'!$A$7:$A$206,'01_DANH_MUC'!$E$7:$E$206,0))</f>
        <v/>
      </c>
      <c r="J315" s="213">
        <f>IF(OR($A315="",$C315="",$G315&lt;=0),"",$A315+$I315)</f>
        <v/>
      </c>
      <c r="K315" s="210">
        <f>IF($A315="","",IF(OR($C315="",$G315&lt;=0,$A315&gt;'03_BAO_CAO'!$E$4),0,MAX(0,$G315-MAX(0,SUMIFS($H$7:$H$506,$C$7:$C$506,$C315,$A$7:$A$506,"&lt;="&amp;'03_BAO_CAO'!$E$4)-XLOOKUP($C315,'01_DANH_MUC'!$A$7:$A$206,'01_DANH_MUC'!$F$7:$F$206,0)-SUMIFS($G$7:G314,$C$7:C314,$C315,$A$7:A314,"&lt;="&amp;'03_BAO_CAO'!$E$4)))))</f>
        <v/>
      </c>
      <c r="L315" s="212">
        <f>IF($A315="","",IF(OR($K315&lt;=0,$J315=""),0,MAX(0,'03_BAO_CAO'!$E$4-$J315)))</f>
        <v/>
      </c>
      <c r="M315" s="51">
        <f>IF($A315="","",IF($K315&lt;=0,"Đã thanh toán",IF($J315="","Thiếu ngày đến hạn",IF($J315&gt;='03_BAO_CAO'!$E$4,"Chưa đến hạn",IF($L315&lt;=30,"1-30 ngày",IF($L315&lt;=60,"31-60 ngày",IF($L315&lt;=90,"61-90 ngày","Trên 90 ngày")))))))</f>
        <v/>
      </c>
      <c r="N315" s="51">
        <f>IF($A315="","",IF(OR($B315="",$C315=""),"THIẾU THÔNG TIN",IF(AND($G315&gt;0,$H315&gt;0),"KHÔNG NHẬP ĐỒNG THỜI TĂNG/GIẢM",IF(AND($G315&lt;=0,$H315&lt;=0),"CHƯA NHẬP SỐ TIỀN",IF($D315="KHÔNG TÌM THẤY","MÃ KHÔNG HỢP LỆ",IF(AND($G315&gt;0,$J315=""),"THIẾU NGÀY ĐẾN HẠN","OK"))))))</f>
        <v/>
      </c>
    </row>
    <row r="316">
      <c r="A316" s="209" t="n"/>
      <c r="B316" s="47" t="n"/>
      <c r="C316" s="47" t="n"/>
      <c r="D316" s="51">
        <f>IF($C316="","",XLOOKUP($C316,'01_DANH_MUC'!$A$7:$A$206,'01_DANH_MUC'!$B$7:$B$206,"KHÔNG TÌM THẤY"))</f>
        <v/>
      </c>
      <c r="E316" s="51">
        <f>IF($C316="","",XLOOKUP($C316,'01_DANH_MUC'!$A$7:$A$206,'01_DANH_MUC'!$C$7:$C$206,"KHÔNG TÌM THẤY"))</f>
        <v/>
      </c>
      <c r="F316" s="57" t="n"/>
      <c r="G316" s="211" t="n"/>
      <c r="H316" s="211" t="n"/>
      <c r="I316" s="212">
        <f>IF($C316="","",XLOOKUP($C316,'01_DANH_MUC'!$A$7:$A$206,'01_DANH_MUC'!$E$7:$E$206,0))</f>
        <v/>
      </c>
      <c r="J316" s="213">
        <f>IF(OR($A316="",$C316="",$G316&lt;=0),"",$A316+$I316)</f>
        <v/>
      </c>
      <c r="K316" s="210">
        <f>IF($A316="","",IF(OR($C316="",$G316&lt;=0,$A316&gt;'03_BAO_CAO'!$E$4),0,MAX(0,$G316-MAX(0,SUMIFS($H$7:$H$506,$C$7:$C$506,$C316,$A$7:$A$506,"&lt;="&amp;'03_BAO_CAO'!$E$4)-XLOOKUP($C316,'01_DANH_MUC'!$A$7:$A$206,'01_DANH_MUC'!$F$7:$F$206,0)-SUMIFS($G$7:G315,$C$7:C315,$C316,$A$7:A315,"&lt;="&amp;'03_BAO_CAO'!$E$4)))))</f>
        <v/>
      </c>
      <c r="L316" s="212">
        <f>IF($A316="","",IF(OR($K316&lt;=0,$J316=""),0,MAX(0,'03_BAO_CAO'!$E$4-$J316)))</f>
        <v/>
      </c>
      <c r="M316" s="51">
        <f>IF($A316="","",IF($K316&lt;=0,"Đã thanh toán",IF($J316="","Thiếu ngày đến hạn",IF($J316&gt;='03_BAO_CAO'!$E$4,"Chưa đến hạn",IF($L316&lt;=30,"1-30 ngày",IF($L316&lt;=60,"31-60 ngày",IF($L316&lt;=90,"61-90 ngày","Trên 90 ngày")))))))</f>
        <v/>
      </c>
      <c r="N316" s="51">
        <f>IF($A316="","",IF(OR($B316="",$C316=""),"THIẾU THÔNG TIN",IF(AND($G316&gt;0,$H316&gt;0),"KHÔNG NHẬP ĐỒNG THỜI TĂNG/GIẢM",IF(AND($G316&lt;=0,$H316&lt;=0),"CHƯA NHẬP SỐ TIỀN",IF($D316="KHÔNG TÌM THẤY","MÃ KHÔNG HỢP LỆ",IF(AND($G316&gt;0,$J316=""),"THIẾU NGÀY ĐẾN HẠN","OK"))))))</f>
        <v/>
      </c>
    </row>
    <row r="317">
      <c r="A317" s="209" t="n"/>
      <c r="B317" s="47" t="n"/>
      <c r="C317" s="47" t="n"/>
      <c r="D317" s="51">
        <f>IF($C317="","",XLOOKUP($C317,'01_DANH_MUC'!$A$7:$A$206,'01_DANH_MUC'!$B$7:$B$206,"KHÔNG TÌM THẤY"))</f>
        <v/>
      </c>
      <c r="E317" s="51">
        <f>IF($C317="","",XLOOKUP($C317,'01_DANH_MUC'!$A$7:$A$206,'01_DANH_MUC'!$C$7:$C$206,"KHÔNG TÌM THẤY"))</f>
        <v/>
      </c>
      <c r="F317" s="57" t="n"/>
      <c r="G317" s="211" t="n"/>
      <c r="H317" s="211" t="n"/>
      <c r="I317" s="212">
        <f>IF($C317="","",XLOOKUP($C317,'01_DANH_MUC'!$A$7:$A$206,'01_DANH_MUC'!$E$7:$E$206,0))</f>
        <v/>
      </c>
      <c r="J317" s="213">
        <f>IF(OR($A317="",$C317="",$G317&lt;=0),"",$A317+$I317)</f>
        <v/>
      </c>
      <c r="K317" s="210">
        <f>IF($A317="","",IF(OR($C317="",$G317&lt;=0,$A317&gt;'03_BAO_CAO'!$E$4),0,MAX(0,$G317-MAX(0,SUMIFS($H$7:$H$506,$C$7:$C$506,$C317,$A$7:$A$506,"&lt;="&amp;'03_BAO_CAO'!$E$4)-XLOOKUP($C317,'01_DANH_MUC'!$A$7:$A$206,'01_DANH_MUC'!$F$7:$F$206,0)-SUMIFS($G$7:G316,$C$7:C316,$C317,$A$7:A316,"&lt;="&amp;'03_BAO_CAO'!$E$4)))))</f>
        <v/>
      </c>
      <c r="L317" s="212">
        <f>IF($A317="","",IF(OR($K317&lt;=0,$J317=""),0,MAX(0,'03_BAO_CAO'!$E$4-$J317)))</f>
        <v/>
      </c>
      <c r="M317" s="51">
        <f>IF($A317="","",IF($K317&lt;=0,"Đã thanh toán",IF($J317="","Thiếu ngày đến hạn",IF($J317&gt;='03_BAO_CAO'!$E$4,"Chưa đến hạn",IF($L317&lt;=30,"1-30 ngày",IF($L317&lt;=60,"31-60 ngày",IF($L317&lt;=90,"61-90 ngày","Trên 90 ngày")))))))</f>
        <v/>
      </c>
      <c r="N317" s="51">
        <f>IF($A317="","",IF(OR($B317="",$C317=""),"THIẾU THÔNG TIN",IF(AND($G317&gt;0,$H317&gt;0),"KHÔNG NHẬP ĐỒNG THỜI TĂNG/GIẢM",IF(AND($G317&lt;=0,$H317&lt;=0),"CHƯA NHẬP SỐ TIỀN",IF($D317="KHÔNG TÌM THẤY","MÃ KHÔNG HỢP LỆ",IF(AND($G317&gt;0,$J317=""),"THIẾU NGÀY ĐẾN HẠN","OK"))))))</f>
        <v/>
      </c>
    </row>
    <row r="318">
      <c r="A318" s="209" t="n"/>
      <c r="B318" s="47" t="n"/>
      <c r="C318" s="47" t="n"/>
      <c r="D318" s="51">
        <f>IF($C318="","",XLOOKUP($C318,'01_DANH_MUC'!$A$7:$A$206,'01_DANH_MUC'!$B$7:$B$206,"KHÔNG TÌM THẤY"))</f>
        <v/>
      </c>
      <c r="E318" s="51">
        <f>IF($C318="","",XLOOKUP($C318,'01_DANH_MUC'!$A$7:$A$206,'01_DANH_MUC'!$C$7:$C$206,"KHÔNG TÌM THẤY"))</f>
        <v/>
      </c>
      <c r="F318" s="57" t="n"/>
      <c r="G318" s="211" t="n"/>
      <c r="H318" s="211" t="n"/>
      <c r="I318" s="212">
        <f>IF($C318="","",XLOOKUP($C318,'01_DANH_MUC'!$A$7:$A$206,'01_DANH_MUC'!$E$7:$E$206,0))</f>
        <v/>
      </c>
      <c r="J318" s="213">
        <f>IF(OR($A318="",$C318="",$G318&lt;=0),"",$A318+$I318)</f>
        <v/>
      </c>
      <c r="K318" s="210">
        <f>IF($A318="","",IF(OR($C318="",$G318&lt;=0,$A318&gt;'03_BAO_CAO'!$E$4),0,MAX(0,$G318-MAX(0,SUMIFS($H$7:$H$506,$C$7:$C$506,$C318,$A$7:$A$506,"&lt;="&amp;'03_BAO_CAO'!$E$4)-XLOOKUP($C318,'01_DANH_MUC'!$A$7:$A$206,'01_DANH_MUC'!$F$7:$F$206,0)-SUMIFS($G$7:G317,$C$7:C317,$C318,$A$7:A317,"&lt;="&amp;'03_BAO_CAO'!$E$4)))))</f>
        <v/>
      </c>
      <c r="L318" s="212">
        <f>IF($A318="","",IF(OR($K318&lt;=0,$J318=""),0,MAX(0,'03_BAO_CAO'!$E$4-$J318)))</f>
        <v/>
      </c>
      <c r="M318" s="51">
        <f>IF($A318="","",IF($K318&lt;=0,"Đã thanh toán",IF($J318="","Thiếu ngày đến hạn",IF($J318&gt;='03_BAO_CAO'!$E$4,"Chưa đến hạn",IF($L318&lt;=30,"1-30 ngày",IF($L318&lt;=60,"31-60 ngày",IF($L318&lt;=90,"61-90 ngày","Trên 90 ngày")))))))</f>
        <v/>
      </c>
      <c r="N318" s="51">
        <f>IF($A318="","",IF(OR($B318="",$C318=""),"THIẾU THÔNG TIN",IF(AND($G318&gt;0,$H318&gt;0),"KHÔNG NHẬP ĐỒNG THỜI TĂNG/GIẢM",IF(AND($G318&lt;=0,$H318&lt;=0),"CHƯA NHẬP SỐ TIỀN",IF($D318="KHÔNG TÌM THẤY","MÃ KHÔNG HỢP LỆ",IF(AND($G318&gt;0,$J318=""),"THIẾU NGÀY ĐẾN HẠN","OK"))))))</f>
        <v/>
      </c>
    </row>
    <row r="319">
      <c r="A319" s="209" t="n"/>
      <c r="B319" s="47" t="n"/>
      <c r="C319" s="47" t="n"/>
      <c r="D319" s="51">
        <f>IF($C319="","",XLOOKUP($C319,'01_DANH_MUC'!$A$7:$A$206,'01_DANH_MUC'!$B$7:$B$206,"KHÔNG TÌM THẤY"))</f>
        <v/>
      </c>
      <c r="E319" s="51">
        <f>IF($C319="","",XLOOKUP($C319,'01_DANH_MUC'!$A$7:$A$206,'01_DANH_MUC'!$C$7:$C$206,"KHÔNG TÌM THẤY"))</f>
        <v/>
      </c>
      <c r="F319" s="57" t="n"/>
      <c r="G319" s="211" t="n"/>
      <c r="H319" s="211" t="n"/>
      <c r="I319" s="212">
        <f>IF($C319="","",XLOOKUP($C319,'01_DANH_MUC'!$A$7:$A$206,'01_DANH_MUC'!$E$7:$E$206,0))</f>
        <v/>
      </c>
      <c r="J319" s="213">
        <f>IF(OR($A319="",$C319="",$G319&lt;=0),"",$A319+$I319)</f>
        <v/>
      </c>
      <c r="K319" s="210">
        <f>IF($A319="","",IF(OR($C319="",$G319&lt;=0,$A319&gt;'03_BAO_CAO'!$E$4),0,MAX(0,$G319-MAX(0,SUMIFS($H$7:$H$506,$C$7:$C$506,$C319,$A$7:$A$506,"&lt;="&amp;'03_BAO_CAO'!$E$4)-XLOOKUP($C319,'01_DANH_MUC'!$A$7:$A$206,'01_DANH_MUC'!$F$7:$F$206,0)-SUMIFS($G$7:G318,$C$7:C318,$C319,$A$7:A318,"&lt;="&amp;'03_BAO_CAO'!$E$4)))))</f>
        <v/>
      </c>
      <c r="L319" s="212">
        <f>IF($A319="","",IF(OR($K319&lt;=0,$J319=""),0,MAX(0,'03_BAO_CAO'!$E$4-$J319)))</f>
        <v/>
      </c>
      <c r="M319" s="51">
        <f>IF($A319="","",IF($K319&lt;=0,"Đã thanh toán",IF($J319="","Thiếu ngày đến hạn",IF($J319&gt;='03_BAO_CAO'!$E$4,"Chưa đến hạn",IF($L319&lt;=30,"1-30 ngày",IF($L319&lt;=60,"31-60 ngày",IF($L319&lt;=90,"61-90 ngày","Trên 90 ngày")))))))</f>
        <v/>
      </c>
      <c r="N319" s="51">
        <f>IF($A319="","",IF(OR($B319="",$C319=""),"THIẾU THÔNG TIN",IF(AND($G319&gt;0,$H319&gt;0),"KHÔNG NHẬP ĐỒNG THỜI TĂNG/GIẢM",IF(AND($G319&lt;=0,$H319&lt;=0),"CHƯA NHẬP SỐ TIỀN",IF($D319="KHÔNG TÌM THẤY","MÃ KHÔNG HỢP LỆ",IF(AND($G319&gt;0,$J319=""),"THIẾU NGÀY ĐẾN HẠN","OK"))))))</f>
        <v/>
      </c>
    </row>
    <row r="320">
      <c r="A320" s="209" t="n"/>
      <c r="B320" s="47" t="n"/>
      <c r="C320" s="47" t="n"/>
      <c r="D320" s="51">
        <f>IF($C320="","",XLOOKUP($C320,'01_DANH_MUC'!$A$7:$A$206,'01_DANH_MUC'!$B$7:$B$206,"KHÔNG TÌM THẤY"))</f>
        <v/>
      </c>
      <c r="E320" s="51">
        <f>IF($C320="","",XLOOKUP($C320,'01_DANH_MUC'!$A$7:$A$206,'01_DANH_MUC'!$C$7:$C$206,"KHÔNG TÌM THẤY"))</f>
        <v/>
      </c>
      <c r="F320" s="57" t="n"/>
      <c r="G320" s="211" t="n"/>
      <c r="H320" s="211" t="n"/>
      <c r="I320" s="212">
        <f>IF($C320="","",XLOOKUP($C320,'01_DANH_MUC'!$A$7:$A$206,'01_DANH_MUC'!$E$7:$E$206,0))</f>
        <v/>
      </c>
      <c r="J320" s="213">
        <f>IF(OR($A320="",$C320="",$G320&lt;=0),"",$A320+$I320)</f>
        <v/>
      </c>
      <c r="K320" s="210">
        <f>IF($A320="","",IF(OR($C320="",$G320&lt;=0,$A320&gt;'03_BAO_CAO'!$E$4),0,MAX(0,$G320-MAX(0,SUMIFS($H$7:$H$506,$C$7:$C$506,$C320,$A$7:$A$506,"&lt;="&amp;'03_BAO_CAO'!$E$4)-XLOOKUP($C320,'01_DANH_MUC'!$A$7:$A$206,'01_DANH_MUC'!$F$7:$F$206,0)-SUMIFS($G$7:G319,$C$7:C319,$C320,$A$7:A319,"&lt;="&amp;'03_BAO_CAO'!$E$4)))))</f>
        <v/>
      </c>
      <c r="L320" s="212">
        <f>IF($A320="","",IF(OR($K320&lt;=0,$J320=""),0,MAX(0,'03_BAO_CAO'!$E$4-$J320)))</f>
        <v/>
      </c>
      <c r="M320" s="51">
        <f>IF($A320="","",IF($K320&lt;=0,"Đã thanh toán",IF($J320="","Thiếu ngày đến hạn",IF($J320&gt;='03_BAO_CAO'!$E$4,"Chưa đến hạn",IF($L320&lt;=30,"1-30 ngày",IF($L320&lt;=60,"31-60 ngày",IF($L320&lt;=90,"61-90 ngày","Trên 90 ngày")))))))</f>
        <v/>
      </c>
      <c r="N320" s="51">
        <f>IF($A320="","",IF(OR($B320="",$C320=""),"THIẾU THÔNG TIN",IF(AND($G320&gt;0,$H320&gt;0),"KHÔNG NHẬP ĐỒNG THỜI TĂNG/GIẢM",IF(AND($G320&lt;=0,$H320&lt;=0),"CHƯA NHẬP SỐ TIỀN",IF($D320="KHÔNG TÌM THẤY","MÃ KHÔNG HỢP LỆ",IF(AND($G320&gt;0,$J320=""),"THIẾU NGÀY ĐẾN HẠN","OK"))))))</f>
        <v/>
      </c>
    </row>
    <row r="321">
      <c r="A321" s="209" t="n"/>
      <c r="B321" s="47" t="n"/>
      <c r="C321" s="47" t="n"/>
      <c r="D321" s="51">
        <f>IF($C321="","",XLOOKUP($C321,'01_DANH_MUC'!$A$7:$A$206,'01_DANH_MUC'!$B$7:$B$206,"KHÔNG TÌM THẤY"))</f>
        <v/>
      </c>
      <c r="E321" s="51">
        <f>IF($C321="","",XLOOKUP($C321,'01_DANH_MUC'!$A$7:$A$206,'01_DANH_MUC'!$C$7:$C$206,"KHÔNG TÌM THẤY"))</f>
        <v/>
      </c>
      <c r="F321" s="57" t="n"/>
      <c r="G321" s="211" t="n"/>
      <c r="H321" s="211" t="n"/>
      <c r="I321" s="212">
        <f>IF($C321="","",XLOOKUP($C321,'01_DANH_MUC'!$A$7:$A$206,'01_DANH_MUC'!$E$7:$E$206,0))</f>
        <v/>
      </c>
      <c r="J321" s="213">
        <f>IF(OR($A321="",$C321="",$G321&lt;=0),"",$A321+$I321)</f>
        <v/>
      </c>
      <c r="K321" s="210">
        <f>IF($A321="","",IF(OR($C321="",$G321&lt;=0,$A321&gt;'03_BAO_CAO'!$E$4),0,MAX(0,$G321-MAX(0,SUMIFS($H$7:$H$506,$C$7:$C$506,$C321,$A$7:$A$506,"&lt;="&amp;'03_BAO_CAO'!$E$4)-XLOOKUP($C321,'01_DANH_MUC'!$A$7:$A$206,'01_DANH_MUC'!$F$7:$F$206,0)-SUMIFS($G$7:G320,$C$7:C320,$C321,$A$7:A320,"&lt;="&amp;'03_BAO_CAO'!$E$4)))))</f>
        <v/>
      </c>
      <c r="L321" s="212">
        <f>IF($A321="","",IF(OR($K321&lt;=0,$J321=""),0,MAX(0,'03_BAO_CAO'!$E$4-$J321)))</f>
        <v/>
      </c>
      <c r="M321" s="51">
        <f>IF($A321="","",IF($K321&lt;=0,"Đã thanh toán",IF($J321="","Thiếu ngày đến hạn",IF($J321&gt;='03_BAO_CAO'!$E$4,"Chưa đến hạn",IF($L321&lt;=30,"1-30 ngày",IF($L321&lt;=60,"31-60 ngày",IF($L321&lt;=90,"61-90 ngày","Trên 90 ngày")))))))</f>
        <v/>
      </c>
      <c r="N321" s="51">
        <f>IF($A321="","",IF(OR($B321="",$C321=""),"THIẾU THÔNG TIN",IF(AND($G321&gt;0,$H321&gt;0),"KHÔNG NHẬP ĐỒNG THỜI TĂNG/GIẢM",IF(AND($G321&lt;=0,$H321&lt;=0),"CHƯA NHẬP SỐ TIỀN",IF($D321="KHÔNG TÌM THẤY","MÃ KHÔNG HỢP LỆ",IF(AND($G321&gt;0,$J321=""),"THIẾU NGÀY ĐẾN HẠN","OK"))))))</f>
        <v/>
      </c>
    </row>
    <row r="322">
      <c r="A322" s="209" t="n"/>
      <c r="B322" s="47" t="n"/>
      <c r="C322" s="47" t="n"/>
      <c r="D322" s="51">
        <f>IF($C322="","",XLOOKUP($C322,'01_DANH_MUC'!$A$7:$A$206,'01_DANH_MUC'!$B$7:$B$206,"KHÔNG TÌM THẤY"))</f>
        <v/>
      </c>
      <c r="E322" s="51">
        <f>IF($C322="","",XLOOKUP($C322,'01_DANH_MUC'!$A$7:$A$206,'01_DANH_MUC'!$C$7:$C$206,"KHÔNG TÌM THẤY"))</f>
        <v/>
      </c>
      <c r="F322" s="57" t="n"/>
      <c r="G322" s="211" t="n"/>
      <c r="H322" s="211" t="n"/>
      <c r="I322" s="212">
        <f>IF($C322="","",XLOOKUP($C322,'01_DANH_MUC'!$A$7:$A$206,'01_DANH_MUC'!$E$7:$E$206,0))</f>
        <v/>
      </c>
      <c r="J322" s="213">
        <f>IF(OR($A322="",$C322="",$G322&lt;=0),"",$A322+$I322)</f>
        <v/>
      </c>
      <c r="K322" s="210">
        <f>IF($A322="","",IF(OR($C322="",$G322&lt;=0,$A322&gt;'03_BAO_CAO'!$E$4),0,MAX(0,$G322-MAX(0,SUMIFS($H$7:$H$506,$C$7:$C$506,$C322,$A$7:$A$506,"&lt;="&amp;'03_BAO_CAO'!$E$4)-XLOOKUP($C322,'01_DANH_MUC'!$A$7:$A$206,'01_DANH_MUC'!$F$7:$F$206,0)-SUMIFS($G$7:G321,$C$7:C321,$C322,$A$7:A321,"&lt;="&amp;'03_BAO_CAO'!$E$4)))))</f>
        <v/>
      </c>
      <c r="L322" s="212">
        <f>IF($A322="","",IF(OR($K322&lt;=0,$J322=""),0,MAX(0,'03_BAO_CAO'!$E$4-$J322)))</f>
        <v/>
      </c>
      <c r="M322" s="51">
        <f>IF($A322="","",IF($K322&lt;=0,"Đã thanh toán",IF($J322="","Thiếu ngày đến hạn",IF($J322&gt;='03_BAO_CAO'!$E$4,"Chưa đến hạn",IF($L322&lt;=30,"1-30 ngày",IF($L322&lt;=60,"31-60 ngày",IF($L322&lt;=90,"61-90 ngày","Trên 90 ngày")))))))</f>
        <v/>
      </c>
      <c r="N322" s="51">
        <f>IF($A322="","",IF(OR($B322="",$C322=""),"THIẾU THÔNG TIN",IF(AND($G322&gt;0,$H322&gt;0),"KHÔNG NHẬP ĐỒNG THỜI TĂNG/GIẢM",IF(AND($G322&lt;=0,$H322&lt;=0),"CHƯA NHẬP SỐ TIỀN",IF($D322="KHÔNG TÌM THẤY","MÃ KHÔNG HỢP LỆ",IF(AND($G322&gt;0,$J322=""),"THIẾU NGÀY ĐẾN HẠN","OK"))))))</f>
        <v/>
      </c>
    </row>
    <row r="323">
      <c r="A323" s="209" t="n"/>
      <c r="B323" s="47" t="n"/>
      <c r="C323" s="47" t="n"/>
      <c r="D323" s="51">
        <f>IF($C323="","",XLOOKUP($C323,'01_DANH_MUC'!$A$7:$A$206,'01_DANH_MUC'!$B$7:$B$206,"KHÔNG TÌM THẤY"))</f>
        <v/>
      </c>
      <c r="E323" s="51">
        <f>IF($C323="","",XLOOKUP($C323,'01_DANH_MUC'!$A$7:$A$206,'01_DANH_MUC'!$C$7:$C$206,"KHÔNG TÌM THẤY"))</f>
        <v/>
      </c>
      <c r="F323" s="57" t="n"/>
      <c r="G323" s="211" t="n"/>
      <c r="H323" s="211" t="n"/>
      <c r="I323" s="212">
        <f>IF($C323="","",XLOOKUP($C323,'01_DANH_MUC'!$A$7:$A$206,'01_DANH_MUC'!$E$7:$E$206,0))</f>
        <v/>
      </c>
      <c r="J323" s="213">
        <f>IF(OR($A323="",$C323="",$G323&lt;=0),"",$A323+$I323)</f>
        <v/>
      </c>
      <c r="K323" s="210">
        <f>IF($A323="","",IF(OR($C323="",$G323&lt;=0,$A323&gt;'03_BAO_CAO'!$E$4),0,MAX(0,$G323-MAX(0,SUMIFS($H$7:$H$506,$C$7:$C$506,$C323,$A$7:$A$506,"&lt;="&amp;'03_BAO_CAO'!$E$4)-XLOOKUP($C323,'01_DANH_MUC'!$A$7:$A$206,'01_DANH_MUC'!$F$7:$F$206,0)-SUMIFS($G$7:G322,$C$7:C322,$C323,$A$7:A322,"&lt;="&amp;'03_BAO_CAO'!$E$4)))))</f>
        <v/>
      </c>
      <c r="L323" s="212">
        <f>IF($A323="","",IF(OR($K323&lt;=0,$J323=""),0,MAX(0,'03_BAO_CAO'!$E$4-$J323)))</f>
        <v/>
      </c>
      <c r="M323" s="51">
        <f>IF($A323="","",IF($K323&lt;=0,"Đã thanh toán",IF($J323="","Thiếu ngày đến hạn",IF($J323&gt;='03_BAO_CAO'!$E$4,"Chưa đến hạn",IF($L323&lt;=30,"1-30 ngày",IF($L323&lt;=60,"31-60 ngày",IF($L323&lt;=90,"61-90 ngày","Trên 90 ngày")))))))</f>
        <v/>
      </c>
      <c r="N323" s="51">
        <f>IF($A323="","",IF(OR($B323="",$C323=""),"THIẾU THÔNG TIN",IF(AND($G323&gt;0,$H323&gt;0),"KHÔNG NHẬP ĐỒNG THỜI TĂNG/GIẢM",IF(AND($G323&lt;=0,$H323&lt;=0),"CHƯA NHẬP SỐ TIỀN",IF($D323="KHÔNG TÌM THẤY","MÃ KHÔNG HỢP LỆ",IF(AND($G323&gt;0,$J323=""),"THIẾU NGÀY ĐẾN HẠN","OK"))))))</f>
        <v/>
      </c>
    </row>
    <row r="324">
      <c r="A324" s="209" t="n"/>
      <c r="B324" s="47" t="n"/>
      <c r="C324" s="47" t="n"/>
      <c r="D324" s="51">
        <f>IF($C324="","",XLOOKUP($C324,'01_DANH_MUC'!$A$7:$A$206,'01_DANH_MUC'!$B$7:$B$206,"KHÔNG TÌM THẤY"))</f>
        <v/>
      </c>
      <c r="E324" s="51">
        <f>IF($C324="","",XLOOKUP($C324,'01_DANH_MUC'!$A$7:$A$206,'01_DANH_MUC'!$C$7:$C$206,"KHÔNG TÌM THẤY"))</f>
        <v/>
      </c>
      <c r="F324" s="57" t="n"/>
      <c r="G324" s="211" t="n"/>
      <c r="H324" s="211" t="n"/>
      <c r="I324" s="212">
        <f>IF($C324="","",XLOOKUP($C324,'01_DANH_MUC'!$A$7:$A$206,'01_DANH_MUC'!$E$7:$E$206,0))</f>
        <v/>
      </c>
      <c r="J324" s="213">
        <f>IF(OR($A324="",$C324="",$G324&lt;=0),"",$A324+$I324)</f>
        <v/>
      </c>
      <c r="K324" s="210">
        <f>IF($A324="","",IF(OR($C324="",$G324&lt;=0,$A324&gt;'03_BAO_CAO'!$E$4),0,MAX(0,$G324-MAX(0,SUMIFS($H$7:$H$506,$C$7:$C$506,$C324,$A$7:$A$506,"&lt;="&amp;'03_BAO_CAO'!$E$4)-XLOOKUP($C324,'01_DANH_MUC'!$A$7:$A$206,'01_DANH_MUC'!$F$7:$F$206,0)-SUMIFS($G$7:G323,$C$7:C323,$C324,$A$7:A323,"&lt;="&amp;'03_BAO_CAO'!$E$4)))))</f>
        <v/>
      </c>
      <c r="L324" s="212">
        <f>IF($A324="","",IF(OR($K324&lt;=0,$J324=""),0,MAX(0,'03_BAO_CAO'!$E$4-$J324)))</f>
        <v/>
      </c>
      <c r="M324" s="51">
        <f>IF($A324="","",IF($K324&lt;=0,"Đã thanh toán",IF($J324="","Thiếu ngày đến hạn",IF($J324&gt;='03_BAO_CAO'!$E$4,"Chưa đến hạn",IF($L324&lt;=30,"1-30 ngày",IF($L324&lt;=60,"31-60 ngày",IF($L324&lt;=90,"61-90 ngày","Trên 90 ngày")))))))</f>
        <v/>
      </c>
      <c r="N324" s="51">
        <f>IF($A324="","",IF(OR($B324="",$C324=""),"THIẾU THÔNG TIN",IF(AND($G324&gt;0,$H324&gt;0),"KHÔNG NHẬP ĐỒNG THỜI TĂNG/GIẢM",IF(AND($G324&lt;=0,$H324&lt;=0),"CHƯA NHẬP SỐ TIỀN",IF($D324="KHÔNG TÌM THẤY","MÃ KHÔNG HỢP LỆ",IF(AND($G324&gt;0,$J324=""),"THIẾU NGÀY ĐẾN HẠN","OK"))))))</f>
        <v/>
      </c>
    </row>
    <row r="325">
      <c r="A325" s="209" t="n"/>
      <c r="B325" s="47" t="n"/>
      <c r="C325" s="47" t="n"/>
      <c r="D325" s="51">
        <f>IF($C325="","",XLOOKUP($C325,'01_DANH_MUC'!$A$7:$A$206,'01_DANH_MUC'!$B$7:$B$206,"KHÔNG TÌM THẤY"))</f>
        <v/>
      </c>
      <c r="E325" s="51">
        <f>IF($C325="","",XLOOKUP($C325,'01_DANH_MUC'!$A$7:$A$206,'01_DANH_MUC'!$C$7:$C$206,"KHÔNG TÌM THẤY"))</f>
        <v/>
      </c>
      <c r="F325" s="57" t="n"/>
      <c r="G325" s="211" t="n"/>
      <c r="H325" s="211" t="n"/>
      <c r="I325" s="212">
        <f>IF($C325="","",XLOOKUP($C325,'01_DANH_MUC'!$A$7:$A$206,'01_DANH_MUC'!$E$7:$E$206,0))</f>
        <v/>
      </c>
      <c r="J325" s="213">
        <f>IF(OR($A325="",$C325="",$G325&lt;=0),"",$A325+$I325)</f>
        <v/>
      </c>
      <c r="K325" s="210">
        <f>IF($A325="","",IF(OR($C325="",$G325&lt;=0,$A325&gt;'03_BAO_CAO'!$E$4),0,MAX(0,$G325-MAX(0,SUMIFS($H$7:$H$506,$C$7:$C$506,$C325,$A$7:$A$506,"&lt;="&amp;'03_BAO_CAO'!$E$4)-XLOOKUP($C325,'01_DANH_MUC'!$A$7:$A$206,'01_DANH_MUC'!$F$7:$F$206,0)-SUMIFS($G$7:G324,$C$7:C324,$C325,$A$7:A324,"&lt;="&amp;'03_BAO_CAO'!$E$4)))))</f>
        <v/>
      </c>
      <c r="L325" s="212">
        <f>IF($A325="","",IF(OR($K325&lt;=0,$J325=""),0,MAX(0,'03_BAO_CAO'!$E$4-$J325)))</f>
        <v/>
      </c>
      <c r="M325" s="51">
        <f>IF($A325="","",IF($K325&lt;=0,"Đã thanh toán",IF($J325="","Thiếu ngày đến hạn",IF($J325&gt;='03_BAO_CAO'!$E$4,"Chưa đến hạn",IF($L325&lt;=30,"1-30 ngày",IF($L325&lt;=60,"31-60 ngày",IF($L325&lt;=90,"61-90 ngày","Trên 90 ngày")))))))</f>
        <v/>
      </c>
      <c r="N325" s="51">
        <f>IF($A325="","",IF(OR($B325="",$C325=""),"THIẾU THÔNG TIN",IF(AND($G325&gt;0,$H325&gt;0),"KHÔNG NHẬP ĐỒNG THỜI TĂNG/GIẢM",IF(AND($G325&lt;=0,$H325&lt;=0),"CHƯA NHẬP SỐ TIỀN",IF($D325="KHÔNG TÌM THẤY","MÃ KHÔNG HỢP LỆ",IF(AND($G325&gt;0,$J325=""),"THIẾU NGÀY ĐẾN HẠN","OK"))))))</f>
        <v/>
      </c>
    </row>
    <row r="326">
      <c r="A326" s="209" t="n"/>
      <c r="B326" s="47" t="n"/>
      <c r="C326" s="47" t="n"/>
      <c r="D326" s="51">
        <f>IF($C326="","",XLOOKUP($C326,'01_DANH_MUC'!$A$7:$A$206,'01_DANH_MUC'!$B$7:$B$206,"KHÔNG TÌM THẤY"))</f>
        <v/>
      </c>
      <c r="E326" s="51">
        <f>IF($C326="","",XLOOKUP($C326,'01_DANH_MUC'!$A$7:$A$206,'01_DANH_MUC'!$C$7:$C$206,"KHÔNG TÌM THẤY"))</f>
        <v/>
      </c>
      <c r="F326" s="57" t="n"/>
      <c r="G326" s="211" t="n"/>
      <c r="H326" s="211" t="n"/>
      <c r="I326" s="212">
        <f>IF($C326="","",XLOOKUP($C326,'01_DANH_MUC'!$A$7:$A$206,'01_DANH_MUC'!$E$7:$E$206,0))</f>
        <v/>
      </c>
      <c r="J326" s="213">
        <f>IF(OR($A326="",$C326="",$G326&lt;=0),"",$A326+$I326)</f>
        <v/>
      </c>
      <c r="K326" s="210">
        <f>IF($A326="","",IF(OR($C326="",$G326&lt;=0,$A326&gt;'03_BAO_CAO'!$E$4),0,MAX(0,$G326-MAX(0,SUMIFS($H$7:$H$506,$C$7:$C$506,$C326,$A$7:$A$506,"&lt;="&amp;'03_BAO_CAO'!$E$4)-XLOOKUP($C326,'01_DANH_MUC'!$A$7:$A$206,'01_DANH_MUC'!$F$7:$F$206,0)-SUMIFS($G$7:G325,$C$7:C325,$C326,$A$7:A325,"&lt;="&amp;'03_BAO_CAO'!$E$4)))))</f>
        <v/>
      </c>
      <c r="L326" s="212">
        <f>IF($A326="","",IF(OR($K326&lt;=0,$J326=""),0,MAX(0,'03_BAO_CAO'!$E$4-$J326)))</f>
        <v/>
      </c>
      <c r="M326" s="51">
        <f>IF($A326="","",IF($K326&lt;=0,"Đã thanh toán",IF($J326="","Thiếu ngày đến hạn",IF($J326&gt;='03_BAO_CAO'!$E$4,"Chưa đến hạn",IF($L326&lt;=30,"1-30 ngày",IF($L326&lt;=60,"31-60 ngày",IF($L326&lt;=90,"61-90 ngày","Trên 90 ngày")))))))</f>
        <v/>
      </c>
      <c r="N326" s="51">
        <f>IF($A326="","",IF(OR($B326="",$C326=""),"THIẾU THÔNG TIN",IF(AND($G326&gt;0,$H326&gt;0),"KHÔNG NHẬP ĐỒNG THỜI TĂNG/GIẢM",IF(AND($G326&lt;=0,$H326&lt;=0),"CHƯA NHẬP SỐ TIỀN",IF($D326="KHÔNG TÌM THẤY","MÃ KHÔNG HỢP LỆ",IF(AND($G326&gt;0,$J326=""),"THIẾU NGÀY ĐẾN HẠN","OK"))))))</f>
        <v/>
      </c>
    </row>
    <row r="327">
      <c r="A327" s="209" t="n"/>
      <c r="B327" s="47" t="n"/>
      <c r="C327" s="47" t="n"/>
      <c r="D327" s="51">
        <f>IF($C327="","",XLOOKUP($C327,'01_DANH_MUC'!$A$7:$A$206,'01_DANH_MUC'!$B$7:$B$206,"KHÔNG TÌM THẤY"))</f>
        <v/>
      </c>
      <c r="E327" s="51">
        <f>IF($C327="","",XLOOKUP($C327,'01_DANH_MUC'!$A$7:$A$206,'01_DANH_MUC'!$C$7:$C$206,"KHÔNG TÌM THẤY"))</f>
        <v/>
      </c>
      <c r="F327" s="57" t="n"/>
      <c r="G327" s="211" t="n"/>
      <c r="H327" s="211" t="n"/>
      <c r="I327" s="212">
        <f>IF($C327="","",XLOOKUP($C327,'01_DANH_MUC'!$A$7:$A$206,'01_DANH_MUC'!$E$7:$E$206,0))</f>
        <v/>
      </c>
      <c r="J327" s="213">
        <f>IF(OR($A327="",$C327="",$G327&lt;=0),"",$A327+$I327)</f>
        <v/>
      </c>
      <c r="K327" s="210">
        <f>IF($A327="","",IF(OR($C327="",$G327&lt;=0,$A327&gt;'03_BAO_CAO'!$E$4),0,MAX(0,$G327-MAX(0,SUMIFS($H$7:$H$506,$C$7:$C$506,$C327,$A$7:$A$506,"&lt;="&amp;'03_BAO_CAO'!$E$4)-XLOOKUP($C327,'01_DANH_MUC'!$A$7:$A$206,'01_DANH_MUC'!$F$7:$F$206,0)-SUMIFS($G$7:G326,$C$7:C326,$C327,$A$7:A326,"&lt;="&amp;'03_BAO_CAO'!$E$4)))))</f>
        <v/>
      </c>
      <c r="L327" s="212">
        <f>IF($A327="","",IF(OR($K327&lt;=0,$J327=""),0,MAX(0,'03_BAO_CAO'!$E$4-$J327)))</f>
        <v/>
      </c>
      <c r="M327" s="51">
        <f>IF($A327="","",IF($K327&lt;=0,"Đã thanh toán",IF($J327="","Thiếu ngày đến hạn",IF($J327&gt;='03_BAO_CAO'!$E$4,"Chưa đến hạn",IF($L327&lt;=30,"1-30 ngày",IF($L327&lt;=60,"31-60 ngày",IF($L327&lt;=90,"61-90 ngày","Trên 90 ngày")))))))</f>
        <v/>
      </c>
      <c r="N327" s="51">
        <f>IF($A327="","",IF(OR($B327="",$C327=""),"THIẾU THÔNG TIN",IF(AND($G327&gt;0,$H327&gt;0),"KHÔNG NHẬP ĐỒNG THỜI TĂNG/GIẢM",IF(AND($G327&lt;=0,$H327&lt;=0),"CHƯA NHẬP SỐ TIỀN",IF($D327="KHÔNG TÌM THẤY","MÃ KHÔNG HỢP LỆ",IF(AND($G327&gt;0,$J327=""),"THIẾU NGÀY ĐẾN HẠN","OK"))))))</f>
        <v/>
      </c>
    </row>
    <row r="328">
      <c r="A328" s="209" t="n"/>
      <c r="B328" s="47" t="n"/>
      <c r="C328" s="47" t="n"/>
      <c r="D328" s="51">
        <f>IF($C328="","",XLOOKUP($C328,'01_DANH_MUC'!$A$7:$A$206,'01_DANH_MUC'!$B$7:$B$206,"KHÔNG TÌM THẤY"))</f>
        <v/>
      </c>
      <c r="E328" s="51">
        <f>IF($C328="","",XLOOKUP($C328,'01_DANH_MUC'!$A$7:$A$206,'01_DANH_MUC'!$C$7:$C$206,"KHÔNG TÌM THẤY"))</f>
        <v/>
      </c>
      <c r="F328" s="57" t="n"/>
      <c r="G328" s="211" t="n"/>
      <c r="H328" s="211" t="n"/>
      <c r="I328" s="212">
        <f>IF($C328="","",XLOOKUP($C328,'01_DANH_MUC'!$A$7:$A$206,'01_DANH_MUC'!$E$7:$E$206,0))</f>
        <v/>
      </c>
      <c r="J328" s="213">
        <f>IF(OR($A328="",$C328="",$G328&lt;=0),"",$A328+$I328)</f>
        <v/>
      </c>
      <c r="K328" s="210">
        <f>IF($A328="","",IF(OR($C328="",$G328&lt;=0,$A328&gt;'03_BAO_CAO'!$E$4),0,MAX(0,$G328-MAX(0,SUMIFS($H$7:$H$506,$C$7:$C$506,$C328,$A$7:$A$506,"&lt;="&amp;'03_BAO_CAO'!$E$4)-XLOOKUP($C328,'01_DANH_MUC'!$A$7:$A$206,'01_DANH_MUC'!$F$7:$F$206,0)-SUMIFS($G$7:G327,$C$7:C327,$C328,$A$7:A327,"&lt;="&amp;'03_BAO_CAO'!$E$4)))))</f>
        <v/>
      </c>
      <c r="L328" s="212">
        <f>IF($A328="","",IF(OR($K328&lt;=0,$J328=""),0,MAX(0,'03_BAO_CAO'!$E$4-$J328)))</f>
        <v/>
      </c>
      <c r="M328" s="51">
        <f>IF($A328="","",IF($K328&lt;=0,"Đã thanh toán",IF($J328="","Thiếu ngày đến hạn",IF($J328&gt;='03_BAO_CAO'!$E$4,"Chưa đến hạn",IF($L328&lt;=30,"1-30 ngày",IF($L328&lt;=60,"31-60 ngày",IF($L328&lt;=90,"61-90 ngày","Trên 90 ngày")))))))</f>
        <v/>
      </c>
      <c r="N328" s="51">
        <f>IF($A328="","",IF(OR($B328="",$C328=""),"THIẾU THÔNG TIN",IF(AND($G328&gt;0,$H328&gt;0),"KHÔNG NHẬP ĐỒNG THỜI TĂNG/GIẢM",IF(AND($G328&lt;=0,$H328&lt;=0),"CHƯA NHẬP SỐ TIỀN",IF($D328="KHÔNG TÌM THẤY","MÃ KHÔNG HỢP LỆ",IF(AND($G328&gt;0,$J328=""),"THIẾU NGÀY ĐẾN HẠN","OK"))))))</f>
        <v/>
      </c>
    </row>
    <row r="329">
      <c r="A329" s="209" t="n"/>
      <c r="B329" s="47" t="n"/>
      <c r="C329" s="47" t="n"/>
      <c r="D329" s="51">
        <f>IF($C329="","",XLOOKUP($C329,'01_DANH_MUC'!$A$7:$A$206,'01_DANH_MUC'!$B$7:$B$206,"KHÔNG TÌM THẤY"))</f>
        <v/>
      </c>
      <c r="E329" s="51">
        <f>IF($C329="","",XLOOKUP($C329,'01_DANH_MUC'!$A$7:$A$206,'01_DANH_MUC'!$C$7:$C$206,"KHÔNG TÌM THẤY"))</f>
        <v/>
      </c>
      <c r="F329" s="57" t="n"/>
      <c r="G329" s="211" t="n"/>
      <c r="H329" s="211" t="n"/>
      <c r="I329" s="212">
        <f>IF($C329="","",XLOOKUP($C329,'01_DANH_MUC'!$A$7:$A$206,'01_DANH_MUC'!$E$7:$E$206,0))</f>
        <v/>
      </c>
      <c r="J329" s="213">
        <f>IF(OR($A329="",$C329="",$G329&lt;=0),"",$A329+$I329)</f>
        <v/>
      </c>
      <c r="K329" s="210">
        <f>IF($A329="","",IF(OR($C329="",$G329&lt;=0,$A329&gt;'03_BAO_CAO'!$E$4),0,MAX(0,$G329-MAX(0,SUMIFS($H$7:$H$506,$C$7:$C$506,$C329,$A$7:$A$506,"&lt;="&amp;'03_BAO_CAO'!$E$4)-XLOOKUP($C329,'01_DANH_MUC'!$A$7:$A$206,'01_DANH_MUC'!$F$7:$F$206,0)-SUMIFS($G$7:G328,$C$7:C328,$C329,$A$7:A328,"&lt;="&amp;'03_BAO_CAO'!$E$4)))))</f>
        <v/>
      </c>
      <c r="L329" s="212">
        <f>IF($A329="","",IF(OR($K329&lt;=0,$J329=""),0,MAX(0,'03_BAO_CAO'!$E$4-$J329)))</f>
        <v/>
      </c>
      <c r="M329" s="51">
        <f>IF($A329="","",IF($K329&lt;=0,"Đã thanh toán",IF($J329="","Thiếu ngày đến hạn",IF($J329&gt;='03_BAO_CAO'!$E$4,"Chưa đến hạn",IF($L329&lt;=30,"1-30 ngày",IF($L329&lt;=60,"31-60 ngày",IF($L329&lt;=90,"61-90 ngày","Trên 90 ngày")))))))</f>
        <v/>
      </c>
      <c r="N329" s="51">
        <f>IF($A329="","",IF(OR($B329="",$C329=""),"THIẾU THÔNG TIN",IF(AND($G329&gt;0,$H329&gt;0),"KHÔNG NHẬP ĐỒNG THỜI TĂNG/GIẢM",IF(AND($G329&lt;=0,$H329&lt;=0),"CHƯA NHẬP SỐ TIỀN",IF($D329="KHÔNG TÌM THẤY","MÃ KHÔNG HỢP LỆ",IF(AND($G329&gt;0,$J329=""),"THIẾU NGÀY ĐẾN HẠN","OK"))))))</f>
        <v/>
      </c>
    </row>
    <row r="330">
      <c r="A330" s="209" t="n"/>
      <c r="B330" s="47" t="n"/>
      <c r="C330" s="47" t="n"/>
      <c r="D330" s="51">
        <f>IF($C330="","",XLOOKUP($C330,'01_DANH_MUC'!$A$7:$A$206,'01_DANH_MUC'!$B$7:$B$206,"KHÔNG TÌM THẤY"))</f>
        <v/>
      </c>
      <c r="E330" s="51">
        <f>IF($C330="","",XLOOKUP($C330,'01_DANH_MUC'!$A$7:$A$206,'01_DANH_MUC'!$C$7:$C$206,"KHÔNG TÌM THẤY"))</f>
        <v/>
      </c>
      <c r="F330" s="57" t="n"/>
      <c r="G330" s="211" t="n"/>
      <c r="H330" s="211" t="n"/>
      <c r="I330" s="212">
        <f>IF($C330="","",XLOOKUP($C330,'01_DANH_MUC'!$A$7:$A$206,'01_DANH_MUC'!$E$7:$E$206,0))</f>
        <v/>
      </c>
      <c r="J330" s="213">
        <f>IF(OR($A330="",$C330="",$G330&lt;=0),"",$A330+$I330)</f>
        <v/>
      </c>
      <c r="K330" s="210">
        <f>IF($A330="","",IF(OR($C330="",$G330&lt;=0,$A330&gt;'03_BAO_CAO'!$E$4),0,MAX(0,$G330-MAX(0,SUMIFS($H$7:$H$506,$C$7:$C$506,$C330,$A$7:$A$506,"&lt;="&amp;'03_BAO_CAO'!$E$4)-XLOOKUP($C330,'01_DANH_MUC'!$A$7:$A$206,'01_DANH_MUC'!$F$7:$F$206,0)-SUMIFS($G$7:G329,$C$7:C329,$C330,$A$7:A329,"&lt;="&amp;'03_BAO_CAO'!$E$4)))))</f>
        <v/>
      </c>
      <c r="L330" s="212">
        <f>IF($A330="","",IF(OR($K330&lt;=0,$J330=""),0,MAX(0,'03_BAO_CAO'!$E$4-$J330)))</f>
        <v/>
      </c>
      <c r="M330" s="51">
        <f>IF($A330="","",IF($K330&lt;=0,"Đã thanh toán",IF($J330="","Thiếu ngày đến hạn",IF($J330&gt;='03_BAO_CAO'!$E$4,"Chưa đến hạn",IF($L330&lt;=30,"1-30 ngày",IF($L330&lt;=60,"31-60 ngày",IF($L330&lt;=90,"61-90 ngày","Trên 90 ngày")))))))</f>
        <v/>
      </c>
      <c r="N330" s="51">
        <f>IF($A330="","",IF(OR($B330="",$C330=""),"THIẾU THÔNG TIN",IF(AND($G330&gt;0,$H330&gt;0),"KHÔNG NHẬP ĐỒNG THỜI TĂNG/GIẢM",IF(AND($G330&lt;=0,$H330&lt;=0),"CHƯA NHẬP SỐ TIỀN",IF($D330="KHÔNG TÌM THẤY","MÃ KHÔNG HỢP LỆ",IF(AND($G330&gt;0,$J330=""),"THIẾU NGÀY ĐẾN HẠN","OK"))))))</f>
        <v/>
      </c>
    </row>
    <row r="331">
      <c r="A331" s="209" t="n"/>
      <c r="B331" s="47" t="n"/>
      <c r="C331" s="47" t="n"/>
      <c r="D331" s="51">
        <f>IF($C331="","",XLOOKUP($C331,'01_DANH_MUC'!$A$7:$A$206,'01_DANH_MUC'!$B$7:$B$206,"KHÔNG TÌM THẤY"))</f>
        <v/>
      </c>
      <c r="E331" s="51">
        <f>IF($C331="","",XLOOKUP($C331,'01_DANH_MUC'!$A$7:$A$206,'01_DANH_MUC'!$C$7:$C$206,"KHÔNG TÌM THẤY"))</f>
        <v/>
      </c>
      <c r="F331" s="57" t="n"/>
      <c r="G331" s="211" t="n"/>
      <c r="H331" s="211" t="n"/>
      <c r="I331" s="212">
        <f>IF($C331="","",XLOOKUP($C331,'01_DANH_MUC'!$A$7:$A$206,'01_DANH_MUC'!$E$7:$E$206,0))</f>
        <v/>
      </c>
      <c r="J331" s="213">
        <f>IF(OR($A331="",$C331="",$G331&lt;=0),"",$A331+$I331)</f>
        <v/>
      </c>
      <c r="K331" s="210">
        <f>IF($A331="","",IF(OR($C331="",$G331&lt;=0,$A331&gt;'03_BAO_CAO'!$E$4),0,MAX(0,$G331-MAX(0,SUMIFS($H$7:$H$506,$C$7:$C$506,$C331,$A$7:$A$506,"&lt;="&amp;'03_BAO_CAO'!$E$4)-XLOOKUP($C331,'01_DANH_MUC'!$A$7:$A$206,'01_DANH_MUC'!$F$7:$F$206,0)-SUMIFS($G$7:G330,$C$7:C330,$C331,$A$7:A330,"&lt;="&amp;'03_BAO_CAO'!$E$4)))))</f>
        <v/>
      </c>
      <c r="L331" s="212">
        <f>IF($A331="","",IF(OR($K331&lt;=0,$J331=""),0,MAX(0,'03_BAO_CAO'!$E$4-$J331)))</f>
        <v/>
      </c>
      <c r="M331" s="51">
        <f>IF($A331="","",IF($K331&lt;=0,"Đã thanh toán",IF($J331="","Thiếu ngày đến hạn",IF($J331&gt;='03_BAO_CAO'!$E$4,"Chưa đến hạn",IF($L331&lt;=30,"1-30 ngày",IF($L331&lt;=60,"31-60 ngày",IF($L331&lt;=90,"61-90 ngày","Trên 90 ngày")))))))</f>
        <v/>
      </c>
      <c r="N331" s="51">
        <f>IF($A331="","",IF(OR($B331="",$C331=""),"THIẾU THÔNG TIN",IF(AND($G331&gt;0,$H331&gt;0),"KHÔNG NHẬP ĐỒNG THỜI TĂNG/GIẢM",IF(AND($G331&lt;=0,$H331&lt;=0),"CHƯA NHẬP SỐ TIỀN",IF($D331="KHÔNG TÌM THẤY","MÃ KHÔNG HỢP LỆ",IF(AND($G331&gt;0,$J331=""),"THIẾU NGÀY ĐẾN HẠN","OK"))))))</f>
        <v/>
      </c>
    </row>
    <row r="332">
      <c r="A332" s="209" t="n"/>
      <c r="B332" s="47" t="n"/>
      <c r="C332" s="47" t="n"/>
      <c r="D332" s="51">
        <f>IF($C332="","",XLOOKUP($C332,'01_DANH_MUC'!$A$7:$A$206,'01_DANH_MUC'!$B$7:$B$206,"KHÔNG TÌM THẤY"))</f>
        <v/>
      </c>
      <c r="E332" s="51">
        <f>IF($C332="","",XLOOKUP($C332,'01_DANH_MUC'!$A$7:$A$206,'01_DANH_MUC'!$C$7:$C$206,"KHÔNG TÌM THẤY"))</f>
        <v/>
      </c>
      <c r="F332" s="57" t="n"/>
      <c r="G332" s="211" t="n"/>
      <c r="H332" s="211" t="n"/>
      <c r="I332" s="212">
        <f>IF($C332="","",XLOOKUP($C332,'01_DANH_MUC'!$A$7:$A$206,'01_DANH_MUC'!$E$7:$E$206,0))</f>
        <v/>
      </c>
      <c r="J332" s="213">
        <f>IF(OR($A332="",$C332="",$G332&lt;=0),"",$A332+$I332)</f>
        <v/>
      </c>
      <c r="K332" s="210">
        <f>IF($A332="","",IF(OR($C332="",$G332&lt;=0,$A332&gt;'03_BAO_CAO'!$E$4),0,MAX(0,$G332-MAX(0,SUMIFS($H$7:$H$506,$C$7:$C$506,$C332,$A$7:$A$506,"&lt;="&amp;'03_BAO_CAO'!$E$4)-XLOOKUP($C332,'01_DANH_MUC'!$A$7:$A$206,'01_DANH_MUC'!$F$7:$F$206,0)-SUMIFS($G$7:G331,$C$7:C331,$C332,$A$7:A331,"&lt;="&amp;'03_BAO_CAO'!$E$4)))))</f>
        <v/>
      </c>
      <c r="L332" s="212">
        <f>IF($A332="","",IF(OR($K332&lt;=0,$J332=""),0,MAX(0,'03_BAO_CAO'!$E$4-$J332)))</f>
        <v/>
      </c>
      <c r="M332" s="51">
        <f>IF($A332="","",IF($K332&lt;=0,"Đã thanh toán",IF($J332="","Thiếu ngày đến hạn",IF($J332&gt;='03_BAO_CAO'!$E$4,"Chưa đến hạn",IF($L332&lt;=30,"1-30 ngày",IF($L332&lt;=60,"31-60 ngày",IF($L332&lt;=90,"61-90 ngày","Trên 90 ngày")))))))</f>
        <v/>
      </c>
      <c r="N332" s="51">
        <f>IF($A332="","",IF(OR($B332="",$C332=""),"THIẾU THÔNG TIN",IF(AND($G332&gt;0,$H332&gt;0),"KHÔNG NHẬP ĐỒNG THỜI TĂNG/GIẢM",IF(AND($G332&lt;=0,$H332&lt;=0),"CHƯA NHẬP SỐ TIỀN",IF($D332="KHÔNG TÌM THẤY","MÃ KHÔNG HỢP LỆ",IF(AND($G332&gt;0,$J332=""),"THIẾU NGÀY ĐẾN HẠN","OK"))))))</f>
        <v/>
      </c>
    </row>
    <row r="333">
      <c r="A333" s="209" t="n"/>
      <c r="B333" s="47" t="n"/>
      <c r="C333" s="47" t="n"/>
      <c r="D333" s="51">
        <f>IF($C333="","",XLOOKUP($C333,'01_DANH_MUC'!$A$7:$A$206,'01_DANH_MUC'!$B$7:$B$206,"KHÔNG TÌM THẤY"))</f>
        <v/>
      </c>
      <c r="E333" s="51">
        <f>IF($C333="","",XLOOKUP($C333,'01_DANH_MUC'!$A$7:$A$206,'01_DANH_MUC'!$C$7:$C$206,"KHÔNG TÌM THẤY"))</f>
        <v/>
      </c>
      <c r="F333" s="57" t="n"/>
      <c r="G333" s="211" t="n"/>
      <c r="H333" s="211" t="n"/>
      <c r="I333" s="212">
        <f>IF($C333="","",XLOOKUP($C333,'01_DANH_MUC'!$A$7:$A$206,'01_DANH_MUC'!$E$7:$E$206,0))</f>
        <v/>
      </c>
      <c r="J333" s="213">
        <f>IF(OR($A333="",$C333="",$G333&lt;=0),"",$A333+$I333)</f>
        <v/>
      </c>
      <c r="K333" s="210">
        <f>IF($A333="","",IF(OR($C333="",$G333&lt;=0,$A333&gt;'03_BAO_CAO'!$E$4),0,MAX(0,$G333-MAX(0,SUMIFS($H$7:$H$506,$C$7:$C$506,$C333,$A$7:$A$506,"&lt;="&amp;'03_BAO_CAO'!$E$4)-XLOOKUP($C333,'01_DANH_MUC'!$A$7:$A$206,'01_DANH_MUC'!$F$7:$F$206,0)-SUMIFS($G$7:G332,$C$7:C332,$C333,$A$7:A332,"&lt;="&amp;'03_BAO_CAO'!$E$4)))))</f>
        <v/>
      </c>
      <c r="L333" s="212">
        <f>IF($A333="","",IF(OR($K333&lt;=0,$J333=""),0,MAX(0,'03_BAO_CAO'!$E$4-$J333)))</f>
        <v/>
      </c>
      <c r="M333" s="51">
        <f>IF($A333="","",IF($K333&lt;=0,"Đã thanh toán",IF($J333="","Thiếu ngày đến hạn",IF($J333&gt;='03_BAO_CAO'!$E$4,"Chưa đến hạn",IF($L333&lt;=30,"1-30 ngày",IF($L333&lt;=60,"31-60 ngày",IF($L333&lt;=90,"61-90 ngày","Trên 90 ngày")))))))</f>
        <v/>
      </c>
      <c r="N333" s="51">
        <f>IF($A333="","",IF(OR($B333="",$C333=""),"THIẾU THÔNG TIN",IF(AND($G333&gt;0,$H333&gt;0),"KHÔNG NHẬP ĐỒNG THỜI TĂNG/GIẢM",IF(AND($G333&lt;=0,$H333&lt;=0),"CHƯA NHẬP SỐ TIỀN",IF($D333="KHÔNG TÌM THẤY","MÃ KHÔNG HỢP LỆ",IF(AND($G333&gt;0,$J333=""),"THIẾU NGÀY ĐẾN HẠN","OK"))))))</f>
        <v/>
      </c>
    </row>
    <row r="334">
      <c r="A334" s="209" t="n"/>
      <c r="B334" s="47" t="n"/>
      <c r="C334" s="47" t="n"/>
      <c r="D334" s="51">
        <f>IF($C334="","",XLOOKUP($C334,'01_DANH_MUC'!$A$7:$A$206,'01_DANH_MUC'!$B$7:$B$206,"KHÔNG TÌM THẤY"))</f>
        <v/>
      </c>
      <c r="E334" s="51">
        <f>IF($C334="","",XLOOKUP($C334,'01_DANH_MUC'!$A$7:$A$206,'01_DANH_MUC'!$C$7:$C$206,"KHÔNG TÌM THẤY"))</f>
        <v/>
      </c>
      <c r="F334" s="57" t="n"/>
      <c r="G334" s="211" t="n"/>
      <c r="H334" s="211" t="n"/>
      <c r="I334" s="212">
        <f>IF($C334="","",XLOOKUP($C334,'01_DANH_MUC'!$A$7:$A$206,'01_DANH_MUC'!$E$7:$E$206,0))</f>
        <v/>
      </c>
      <c r="J334" s="213">
        <f>IF(OR($A334="",$C334="",$G334&lt;=0),"",$A334+$I334)</f>
        <v/>
      </c>
      <c r="K334" s="210">
        <f>IF($A334="","",IF(OR($C334="",$G334&lt;=0,$A334&gt;'03_BAO_CAO'!$E$4),0,MAX(0,$G334-MAX(0,SUMIFS($H$7:$H$506,$C$7:$C$506,$C334,$A$7:$A$506,"&lt;="&amp;'03_BAO_CAO'!$E$4)-XLOOKUP($C334,'01_DANH_MUC'!$A$7:$A$206,'01_DANH_MUC'!$F$7:$F$206,0)-SUMIFS($G$7:G333,$C$7:C333,$C334,$A$7:A333,"&lt;="&amp;'03_BAO_CAO'!$E$4)))))</f>
        <v/>
      </c>
      <c r="L334" s="212">
        <f>IF($A334="","",IF(OR($K334&lt;=0,$J334=""),0,MAX(0,'03_BAO_CAO'!$E$4-$J334)))</f>
        <v/>
      </c>
      <c r="M334" s="51">
        <f>IF($A334="","",IF($K334&lt;=0,"Đã thanh toán",IF($J334="","Thiếu ngày đến hạn",IF($J334&gt;='03_BAO_CAO'!$E$4,"Chưa đến hạn",IF($L334&lt;=30,"1-30 ngày",IF($L334&lt;=60,"31-60 ngày",IF($L334&lt;=90,"61-90 ngày","Trên 90 ngày")))))))</f>
        <v/>
      </c>
      <c r="N334" s="51">
        <f>IF($A334="","",IF(OR($B334="",$C334=""),"THIẾU THÔNG TIN",IF(AND($G334&gt;0,$H334&gt;0),"KHÔNG NHẬP ĐỒNG THỜI TĂNG/GIẢM",IF(AND($G334&lt;=0,$H334&lt;=0),"CHƯA NHẬP SỐ TIỀN",IF($D334="KHÔNG TÌM THẤY","MÃ KHÔNG HỢP LỆ",IF(AND($G334&gt;0,$J334=""),"THIẾU NGÀY ĐẾN HẠN","OK"))))))</f>
        <v/>
      </c>
    </row>
    <row r="335">
      <c r="A335" s="209" t="n"/>
      <c r="B335" s="47" t="n"/>
      <c r="C335" s="47" t="n"/>
      <c r="D335" s="51">
        <f>IF($C335="","",XLOOKUP($C335,'01_DANH_MUC'!$A$7:$A$206,'01_DANH_MUC'!$B$7:$B$206,"KHÔNG TÌM THẤY"))</f>
        <v/>
      </c>
      <c r="E335" s="51">
        <f>IF($C335="","",XLOOKUP($C335,'01_DANH_MUC'!$A$7:$A$206,'01_DANH_MUC'!$C$7:$C$206,"KHÔNG TÌM THẤY"))</f>
        <v/>
      </c>
      <c r="F335" s="57" t="n"/>
      <c r="G335" s="211" t="n"/>
      <c r="H335" s="211" t="n"/>
      <c r="I335" s="212">
        <f>IF($C335="","",XLOOKUP($C335,'01_DANH_MUC'!$A$7:$A$206,'01_DANH_MUC'!$E$7:$E$206,0))</f>
        <v/>
      </c>
      <c r="J335" s="213">
        <f>IF(OR($A335="",$C335="",$G335&lt;=0),"",$A335+$I335)</f>
        <v/>
      </c>
      <c r="K335" s="210">
        <f>IF($A335="","",IF(OR($C335="",$G335&lt;=0,$A335&gt;'03_BAO_CAO'!$E$4),0,MAX(0,$G335-MAX(0,SUMIFS($H$7:$H$506,$C$7:$C$506,$C335,$A$7:$A$506,"&lt;="&amp;'03_BAO_CAO'!$E$4)-XLOOKUP($C335,'01_DANH_MUC'!$A$7:$A$206,'01_DANH_MUC'!$F$7:$F$206,0)-SUMIFS($G$7:G334,$C$7:C334,$C335,$A$7:A334,"&lt;="&amp;'03_BAO_CAO'!$E$4)))))</f>
        <v/>
      </c>
      <c r="L335" s="212">
        <f>IF($A335="","",IF(OR($K335&lt;=0,$J335=""),0,MAX(0,'03_BAO_CAO'!$E$4-$J335)))</f>
        <v/>
      </c>
      <c r="M335" s="51">
        <f>IF($A335="","",IF($K335&lt;=0,"Đã thanh toán",IF($J335="","Thiếu ngày đến hạn",IF($J335&gt;='03_BAO_CAO'!$E$4,"Chưa đến hạn",IF($L335&lt;=30,"1-30 ngày",IF($L335&lt;=60,"31-60 ngày",IF($L335&lt;=90,"61-90 ngày","Trên 90 ngày")))))))</f>
        <v/>
      </c>
      <c r="N335" s="51">
        <f>IF($A335="","",IF(OR($B335="",$C335=""),"THIẾU THÔNG TIN",IF(AND($G335&gt;0,$H335&gt;0),"KHÔNG NHẬP ĐỒNG THỜI TĂNG/GIẢM",IF(AND($G335&lt;=0,$H335&lt;=0),"CHƯA NHẬP SỐ TIỀN",IF($D335="KHÔNG TÌM THẤY","MÃ KHÔNG HỢP LỆ",IF(AND($G335&gt;0,$J335=""),"THIẾU NGÀY ĐẾN HẠN","OK"))))))</f>
        <v/>
      </c>
    </row>
    <row r="336">
      <c r="A336" s="209" t="n"/>
      <c r="B336" s="47" t="n"/>
      <c r="C336" s="47" t="n"/>
      <c r="D336" s="51">
        <f>IF($C336="","",XLOOKUP($C336,'01_DANH_MUC'!$A$7:$A$206,'01_DANH_MUC'!$B$7:$B$206,"KHÔNG TÌM THẤY"))</f>
        <v/>
      </c>
      <c r="E336" s="51">
        <f>IF($C336="","",XLOOKUP($C336,'01_DANH_MUC'!$A$7:$A$206,'01_DANH_MUC'!$C$7:$C$206,"KHÔNG TÌM THẤY"))</f>
        <v/>
      </c>
      <c r="F336" s="57" t="n"/>
      <c r="G336" s="211" t="n"/>
      <c r="H336" s="211" t="n"/>
      <c r="I336" s="212">
        <f>IF($C336="","",XLOOKUP($C336,'01_DANH_MUC'!$A$7:$A$206,'01_DANH_MUC'!$E$7:$E$206,0))</f>
        <v/>
      </c>
      <c r="J336" s="213">
        <f>IF(OR($A336="",$C336="",$G336&lt;=0),"",$A336+$I336)</f>
        <v/>
      </c>
      <c r="K336" s="210">
        <f>IF($A336="","",IF(OR($C336="",$G336&lt;=0,$A336&gt;'03_BAO_CAO'!$E$4),0,MAX(0,$G336-MAX(0,SUMIFS($H$7:$H$506,$C$7:$C$506,$C336,$A$7:$A$506,"&lt;="&amp;'03_BAO_CAO'!$E$4)-XLOOKUP($C336,'01_DANH_MUC'!$A$7:$A$206,'01_DANH_MUC'!$F$7:$F$206,0)-SUMIFS($G$7:G335,$C$7:C335,$C336,$A$7:A335,"&lt;="&amp;'03_BAO_CAO'!$E$4)))))</f>
        <v/>
      </c>
      <c r="L336" s="212">
        <f>IF($A336="","",IF(OR($K336&lt;=0,$J336=""),0,MAX(0,'03_BAO_CAO'!$E$4-$J336)))</f>
        <v/>
      </c>
      <c r="M336" s="51">
        <f>IF($A336="","",IF($K336&lt;=0,"Đã thanh toán",IF($J336="","Thiếu ngày đến hạn",IF($J336&gt;='03_BAO_CAO'!$E$4,"Chưa đến hạn",IF($L336&lt;=30,"1-30 ngày",IF($L336&lt;=60,"31-60 ngày",IF($L336&lt;=90,"61-90 ngày","Trên 90 ngày")))))))</f>
        <v/>
      </c>
      <c r="N336" s="51">
        <f>IF($A336="","",IF(OR($B336="",$C336=""),"THIẾU THÔNG TIN",IF(AND($G336&gt;0,$H336&gt;0),"KHÔNG NHẬP ĐỒNG THỜI TĂNG/GIẢM",IF(AND($G336&lt;=0,$H336&lt;=0),"CHƯA NHẬP SỐ TIỀN",IF($D336="KHÔNG TÌM THẤY","MÃ KHÔNG HỢP LỆ",IF(AND($G336&gt;0,$J336=""),"THIẾU NGÀY ĐẾN HẠN","OK"))))))</f>
        <v/>
      </c>
    </row>
    <row r="337">
      <c r="A337" s="209" t="n"/>
      <c r="B337" s="47" t="n"/>
      <c r="C337" s="47" t="n"/>
      <c r="D337" s="51">
        <f>IF($C337="","",XLOOKUP($C337,'01_DANH_MUC'!$A$7:$A$206,'01_DANH_MUC'!$B$7:$B$206,"KHÔNG TÌM THẤY"))</f>
        <v/>
      </c>
      <c r="E337" s="51">
        <f>IF($C337="","",XLOOKUP($C337,'01_DANH_MUC'!$A$7:$A$206,'01_DANH_MUC'!$C$7:$C$206,"KHÔNG TÌM THẤY"))</f>
        <v/>
      </c>
      <c r="F337" s="57" t="n"/>
      <c r="G337" s="211" t="n"/>
      <c r="H337" s="211" t="n"/>
      <c r="I337" s="212">
        <f>IF($C337="","",XLOOKUP($C337,'01_DANH_MUC'!$A$7:$A$206,'01_DANH_MUC'!$E$7:$E$206,0))</f>
        <v/>
      </c>
      <c r="J337" s="213">
        <f>IF(OR($A337="",$C337="",$G337&lt;=0),"",$A337+$I337)</f>
        <v/>
      </c>
      <c r="K337" s="210">
        <f>IF($A337="","",IF(OR($C337="",$G337&lt;=0,$A337&gt;'03_BAO_CAO'!$E$4),0,MAX(0,$G337-MAX(0,SUMIFS($H$7:$H$506,$C$7:$C$506,$C337,$A$7:$A$506,"&lt;="&amp;'03_BAO_CAO'!$E$4)-XLOOKUP($C337,'01_DANH_MUC'!$A$7:$A$206,'01_DANH_MUC'!$F$7:$F$206,0)-SUMIFS($G$7:G336,$C$7:C336,$C337,$A$7:A336,"&lt;="&amp;'03_BAO_CAO'!$E$4)))))</f>
        <v/>
      </c>
      <c r="L337" s="212">
        <f>IF($A337="","",IF(OR($K337&lt;=0,$J337=""),0,MAX(0,'03_BAO_CAO'!$E$4-$J337)))</f>
        <v/>
      </c>
      <c r="M337" s="51">
        <f>IF($A337="","",IF($K337&lt;=0,"Đã thanh toán",IF($J337="","Thiếu ngày đến hạn",IF($J337&gt;='03_BAO_CAO'!$E$4,"Chưa đến hạn",IF($L337&lt;=30,"1-30 ngày",IF($L337&lt;=60,"31-60 ngày",IF($L337&lt;=90,"61-90 ngày","Trên 90 ngày")))))))</f>
        <v/>
      </c>
      <c r="N337" s="51">
        <f>IF($A337="","",IF(OR($B337="",$C337=""),"THIẾU THÔNG TIN",IF(AND($G337&gt;0,$H337&gt;0),"KHÔNG NHẬP ĐỒNG THỜI TĂNG/GIẢM",IF(AND($G337&lt;=0,$H337&lt;=0),"CHƯA NHẬP SỐ TIỀN",IF($D337="KHÔNG TÌM THẤY","MÃ KHÔNG HỢP LỆ",IF(AND($G337&gt;0,$J337=""),"THIẾU NGÀY ĐẾN HẠN","OK"))))))</f>
        <v/>
      </c>
    </row>
    <row r="338">
      <c r="A338" s="209" t="n"/>
      <c r="B338" s="47" t="n"/>
      <c r="C338" s="47" t="n"/>
      <c r="D338" s="51">
        <f>IF($C338="","",XLOOKUP($C338,'01_DANH_MUC'!$A$7:$A$206,'01_DANH_MUC'!$B$7:$B$206,"KHÔNG TÌM THẤY"))</f>
        <v/>
      </c>
      <c r="E338" s="51">
        <f>IF($C338="","",XLOOKUP($C338,'01_DANH_MUC'!$A$7:$A$206,'01_DANH_MUC'!$C$7:$C$206,"KHÔNG TÌM THẤY"))</f>
        <v/>
      </c>
      <c r="F338" s="57" t="n"/>
      <c r="G338" s="211" t="n"/>
      <c r="H338" s="211" t="n"/>
      <c r="I338" s="212">
        <f>IF($C338="","",XLOOKUP($C338,'01_DANH_MUC'!$A$7:$A$206,'01_DANH_MUC'!$E$7:$E$206,0))</f>
        <v/>
      </c>
      <c r="J338" s="213">
        <f>IF(OR($A338="",$C338="",$G338&lt;=0),"",$A338+$I338)</f>
        <v/>
      </c>
      <c r="K338" s="210">
        <f>IF($A338="","",IF(OR($C338="",$G338&lt;=0,$A338&gt;'03_BAO_CAO'!$E$4),0,MAX(0,$G338-MAX(0,SUMIFS($H$7:$H$506,$C$7:$C$506,$C338,$A$7:$A$506,"&lt;="&amp;'03_BAO_CAO'!$E$4)-XLOOKUP($C338,'01_DANH_MUC'!$A$7:$A$206,'01_DANH_MUC'!$F$7:$F$206,0)-SUMIFS($G$7:G337,$C$7:C337,$C338,$A$7:A337,"&lt;="&amp;'03_BAO_CAO'!$E$4)))))</f>
        <v/>
      </c>
      <c r="L338" s="212">
        <f>IF($A338="","",IF(OR($K338&lt;=0,$J338=""),0,MAX(0,'03_BAO_CAO'!$E$4-$J338)))</f>
        <v/>
      </c>
      <c r="M338" s="51">
        <f>IF($A338="","",IF($K338&lt;=0,"Đã thanh toán",IF($J338="","Thiếu ngày đến hạn",IF($J338&gt;='03_BAO_CAO'!$E$4,"Chưa đến hạn",IF($L338&lt;=30,"1-30 ngày",IF($L338&lt;=60,"31-60 ngày",IF($L338&lt;=90,"61-90 ngày","Trên 90 ngày")))))))</f>
        <v/>
      </c>
      <c r="N338" s="51">
        <f>IF($A338="","",IF(OR($B338="",$C338=""),"THIẾU THÔNG TIN",IF(AND($G338&gt;0,$H338&gt;0),"KHÔNG NHẬP ĐỒNG THỜI TĂNG/GIẢM",IF(AND($G338&lt;=0,$H338&lt;=0),"CHƯA NHẬP SỐ TIỀN",IF($D338="KHÔNG TÌM THẤY","MÃ KHÔNG HỢP LỆ",IF(AND($G338&gt;0,$J338=""),"THIẾU NGÀY ĐẾN HẠN","OK"))))))</f>
        <v/>
      </c>
    </row>
    <row r="339">
      <c r="A339" s="209" t="n"/>
      <c r="B339" s="47" t="n"/>
      <c r="C339" s="47" t="n"/>
      <c r="D339" s="51">
        <f>IF($C339="","",XLOOKUP($C339,'01_DANH_MUC'!$A$7:$A$206,'01_DANH_MUC'!$B$7:$B$206,"KHÔNG TÌM THẤY"))</f>
        <v/>
      </c>
      <c r="E339" s="51">
        <f>IF($C339="","",XLOOKUP($C339,'01_DANH_MUC'!$A$7:$A$206,'01_DANH_MUC'!$C$7:$C$206,"KHÔNG TÌM THẤY"))</f>
        <v/>
      </c>
      <c r="F339" s="57" t="n"/>
      <c r="G339" s="211" t="n"/>
      <c r="H339" s="211" t="n"/>
      <c r="I339" s="212">
        <f>IF($C339="","",XLOOKUP($C339,'01_DANH_MUC'!$A$7:$A$206,'01_DANH_MUC'!$E$7:$E$206,0))</f>
        <v/>
      </c>
      <c r="J339" s="213">
        <f>IF(OR($A339="",$C339="",$G339&lt;=0),"",$A339+$I339)</f>
        <v/>
      </c>
      <c r="K339" s="210">
        <f>IF($A339="","",IF(OR($C339="",$G339&lt;=0,$A339&gt;'03_BAO_CAO'!$E$4),0,MAX(0,$G339-MAX(0,SUMIFS($H$7:$H$506,$C$7:$C$506,$C339,$A$7:$A$506,"&lt;="&amp;'03_BAO_CAO'!$E$4)-XLOOKUP($C339,'01_DANH_MUC'!$A$7:$A$206,'01_DANH_MUC'!$F$7:$F$206,0)-SUMIFS($G$7:G338,$C$7:C338,$C339,$A$7:A338,"&lt;="&amp;'03_BAO_CAO'!$E$4)))))</f>
        <v/>
      </c>
      <c r="L339" s="212">
        <f>IF($A339="","",IF(OR($K339&lt;=0,$J339=""),0,MAX(0,'03_BAO_CAO'!$E$4-$J339)))</f>
        <v/>
      </c>
      <c r="M339" s="51">
        <f>IF($A339="","",IF($K339&lt;=0,"Đã thanh toán",IF($J339="","Thiếu ngày đến hạn",IF($J339&gt;='03_BAO_CAO'!$E$4,"Chưa đến hạn",IF($L339&lt;=30,"1-30 ngày",IF($L339&lt;=60,"31-60 ngày",IF($L339&lt;=90,"61-90 ngày","Trên 90 ngày")))))))</f>
        <v/>
      </c>
      <c r="N339" s="51">
        <f>IF($A339="","",IF(OR($B339="",$C339=""),"THIẾU THÔNG TIN",IF(AND($G339&gt;0,$H339&gt;0),"KHÔNG NHẬP ĐỒNG THỜI TĂNG/GIẢM",IF(AND($G339&lt;=0,$H339&lt;=0),"CHƯA NHẬP SỐ TIỀN",IF($D339="KHÔNG TÌM THẤY","MÃ KHÔNG HỢP LỆ",IF(AND($G339&gt;0,$J339=""),"THIẾU NGÀY ĐẾN HẠN","OK"))))))</f>
        <v/>
      </c>
    </row>
    <row r="340">
      <c r="A340" s="209" t="n"/>
      <c r="B340" s="47" t="n"/>
      <c r="C340" s="47" t="n"/>
      <c r="D340" s="51">
        <f>IF($C340="","",XLOOKUP($C340,'01_DANH_MUC'!$A$7:$A$206,'01_DANH_MUC'!$B$7:$B$206,"KHÔNG TÌM THẤY"))</f>
        <v/>
      </c>
      <c r="E340" s="51">
        <f>IF($C340="","",XLOOKUP($C340,'01_DANH_MUC'!$A$7:$A$206,'01_DANH_MUC'!$C$7:$C$206,"KHÔNG TÌM THẤY"))</f>
        <v/>
      </c>
      <c r="F340" s="57" t="n"/>
      <c r="G340" s="211" t="n"/>
      <c r="H340" s="211" t="n"/>
      <c r="I340" s="212">
        <f>IF($C340="","",XLOOKUP($C340,'01_DANH_MUC'!$A$7:$A$206,'01_DANH_MUC'!$E$7:$E$206,0))</f>
        <v/>
      </c>
      <c r="J340" s="213">
        <f>IF(OR($A340="",$C340="",$G340&lt;=0),"",$A340+$I340)</f>
        <v/>
      </c>
      <c r="K340" s="210">
        <f>IF($A340="","",IF(OR($C340="",$G340&lt;=0,$A340&gt;'03_BAO_CAO'!$E$4),0,MAX(0,$G340-MAX(0,SUMIFS($H$7:$H$506,$C$7:$C$506,$C340,$A$7:$A$506,"&lt;="&amp;'03_BAO_CAO'!$E$4)-XLOOKUP($C340,'01_DANH_MUC'!$A$7:$A$206,'01_DANH_MUC'!$F$7:$F$206,0)-SUMIFS($G$7:G339,$C$7:C339,$C340,$A$7:A339,"&lt;="&amp;'03_BAO_CAO'!$E$4)))))</f>
        <v/>
      </c>
      <c r="L340" s="212">
        <f>IF($A340="","",IF(OR($K340&lt;=0,$J340=""),0,MAX(0,'03_BAO_CAO'!$E$4-$J340)))</f>
        <v/>
      </c>
      <c r="M340" s="51">
        <f>IF($A340="","",IF($K340&lt;=0,"Đã thanh toán",IF($J340="","Thiếu ngày đến hạn",IF($J340&gt;='03_BAO_CAO'!$E$4,"Chưa đến hạn",IF($L340&lt;=30,"1-30 ngày",IF($L340&lt;=60,"31-60 ngày",IF($L340&lt;=90,"61-90 ngày","Trên 90 ngày")))))))</f>
        <v/>
      </c>
      <c r="N340" s="51">
        <f>IF($A340="","",IF(OR($B340="",$C340=""),"THIẾU THÔNG TIN",IF(AND($G340&gt;0,$H340&gt;0),"KHÔNG NHẬP ĐỒNG THỜI TĂNG/GIẢM",IF(AND($G340&lt;=0,$H340&lt;=0),"CHƯA NHẬP SỐ TIỀN",IF($D340="KHÔNG TÌM THẤY","MÃ KHÔNG HỢP LỆ",IF(AND($G340&gt;0,$J340=""),"THIẾU NGÀY ĐẾN HẠN","OK"))))))</f>
        <v/>
      </c>
    </row>
    <row r="341">
      <c r="A341" s="209" t="n"/>
      <c r="B341" s="47" t="n"/>
      <c r="C341" s="47" t="n"/>
      <c r="D341" s="51">
        <f>IF($C341="","",XLOOKUP($C341,'01_DANH_MUC'!$A$7:$A$206,'01_DANH_MUC'!$B$7:$B$206,"KHÔNG TÌM THẤY"))</f>
        <v/>
      </c>
      <c r="E341" s="51">
        <f>IF($C341="","",XLOOKUP($C341,'01_DANH_MUC'!$A$7:$A$206,'01_DANH_MUC'!$C$7:$C$206,"KHÔNG TÌM THẤY"))</f>
        <v/>
      </c>
      <c r="F341" s="57" t="n"/>
      <c r="G341" s="211" t="n"/>
      <c r="H341" s="211" t="n"/>
      <c r="I341" s="212">
        <f>IF($C341="","",XLOOKUP($C341,'01_DANH_MUC'!$A$7:$A$206,'01_DANH_MUC'!$E$7:$E$206,0))</f>
        <v/>
      </c>
      <c r="J341" s="213">
        <f>IF(OR($A341="",$C341="",$G341&lt;=0),"",$A341+$I341)</f>
        <v/>
      </c>
      <c r="K341" s="210">
        <f>IF($A341="","",IF(OR($C341="",$G341&lt;=0,$A341&gt;'03_BAO_CAO'!$E$4),0,MAX(0,$G341-MAX(0,SUMIFS($H$7:$H$506,$C$7:$C$506,$C341,$A$7:$A$506,"&lt;="&amp;'03_BAO_CAO'!$E$4)-XLOOKUP($C341,'01_DANH_MUC'!$A$7:$A$206,'01_DANH_MUC'!$F$7:$F$206,0)-SUMIFS($G$7:G340,$C$7:C340,$C341,$A$7:A340,"&lt;="&amp;'03_BAO_CAO'!$E$4)))))</f>
        <v/>
      </c>
      <c r="L341" s="212">
        <f>IF($A341="","",IF(OR($K341&lt;=0,$J341=""),0,MAX(0,'03_BAO_CAO'!$E$4-$J341)))</f>
        <v/>
      </c>
      <c r="M341" s="51">
        <f>IF($A341="","",IF($K341&lt;=0,"Đã thanh toán",IF($J341="","Thiếu ngày đến hạn",IF($J341&gt;='03_BAO_CAO'!$E$4,"Chưa đến hạn",IF($L341&lt;=30,"1-30 ngày",IF($L341&lt;=60,"31-60 ngày",IF($L341&lt;=90,"61-90 ngày","Trên 90 ngày")))))))</f>
        <v/>
      </c>
      <c r="N341" s="51">
        <f>IF($A341="","",IF(OR($B341="",$C341=""),"THIẾU THÔNG TIN",IF(AND($G341&gt;0,$H341&gt;0),"KHÔNG NHẬP ĐỒNG THỜI TĂNG/GIẢM",IF(AND($G341&lt;=0,$H341&lt;=0),"CHƯA NHẬP SỐ TIỀN",IF($D341="KHÔNG TÌM THẤY","MÃ KHÔNG HỢP LỆ",IF(AND($G341&gt;0,$J341=""),"THIẾU NGÀY ĐẾN HẠN","OK"))))))</f>
        <v/>
      </c>
    </row>
    <row r="342">
      <c r="A342" s="209" t="n"/>
      <c r="B342" s="47" t="n"/>
      <c r="C342" s="47" t="n"/>
      <c r="D342" s="51">
        <f>IF($C342="","",XLOOKUP($C342,'01_DANH_MUC'!$A$7:$A$206,'01_DANH_MUC'!$B$7:$B$206,"KHÔNG TÌM THẤY"))</f>
        <v/>
      </c>
      <c r="E342" s="51">
        <f>IF($C342="","",XLOOKUP($C342,'01_DANH_MUC'!$A$7:$A$206,'01_DANH_MUC'!$C$7:$C$206,"KHÔNG TÌM THẤY"))</f>
        <v/>
      </c>
      <c r="F342" s="57" t="n"/>
      <c r="G342" s="211" t="n"/>
      <c r="H342" s="211" t="n"/>
      <c r="I342" s="212">
        <f>IF($C342="","",XLOOKUP($C342,'01_DANH_MUC'!$A$7:$A$206,'01_DANH_MUC'!$E$7:$E$206,0))</f>
        <v/>
      </c>
      <c r="J342" s="213">
        <f>IF(OR($A342="",$C342="",$G342&lt;=0),"",$A342+$I342)</f>
        <v/>
      </c>
      <c r="K342" s="210">
        <f>IF($A342="","",IF(OR($C342="",$G342&lt;=0,$A342&gt;'03_BAO_CAO'!$E$4),0,MAX(0,$G342-MAX(0,SUMIFS($H$7:$H$506,$C$7:$C$506,$C342,$A$7:$A$506,"&lt;="&amp;'03_BAO_CAO'!$E$4)-XLOOKUP($C342,'01_DANH_MUC'!$A$7:$A$206,'01_DANH_MUC'!$F$7:$F$206,0)-SUMIFS($G$7:G341,$C$7:C341,$C342,$A$7:A341,"&lt;="&amp;'03_BAO_CAO'!$E$4)))))</f>
        <v/>
      </c>
      <c r="L342" s="212">
        <f>IF($A342="","",IF(OR($K342&lt;=0,$J342=""),0,MAX(0,'03_BAO_CAO'!$E$4-$J342)))</f>
        <v/>
      </c>
      <c r="M342" s="51">
        <f>IF($A342="","",IF($K342&lt;=0,"Đã thanh toán",IF($J342="","Thiếu ngày đến hạn",IF($J342&gt;='03_BAO_CAO'!$E$4,"Chưa đến hạn",IF($L342&lt;=30,"1-30 ngày",IF($L342&lt;=60,"31-60 ngày",IF($L342&lt;=90,"61-90 ngày","Trên 90 ngày")))))))</f>
        <v/>
      </c>
      <c r="N342" s="51">
        <f>IF($A342="","",IF(OR($B342="",$C342=""),"THIẾU THÔNG TIN",IF(AND($G342&gt;0,$H342&gt;0),"KHÔNG NHẬP ĐỒNG THỜI TĂNG/GIẢM",IF(AND($G342&lt;=0,$H342&lt;=0),"CHƯA NHẬP SỐ TIỀN",IF($D342="KHÔNG TÌM THẤY","MÃ KHÔNG HỢP LỆ",IF(AND($G342&gt;0,$J342=""),"THIẾU NGÀY ĐẾN HẠN","OK"))))))</f>
        <v/>
      </c>
    </row>
    <row r="343">
      <c r="A343" s="209" t="n"/>
      <c r="B343" s="47" t="n"/>
      <c r="C343" s="47" t="n"/>
      <c r="D343" s="51">
        <f>IF($C343="","",XLOOKUP($C343,'01_DANH_MUC'!$A$7:$A$206,'01_DANH_MUC'!$B$7:$B$206,"KHÔNG TÌM THẤY"))</f>
        <v/>
      </c>
      <c r="E343" s="51">
        <f>IF($C343="","",XLOOKUP($C343,'01_DANH_MUC'!$A$7:$A$206,'01_DANH_MUC'!$C$7:$C$206,"KHÔNG TÌM THẤY"))</f>
        <v/>
      </c>
      <c r="F343" s="57" t="n"/>
      <c r="G343" s="211" t="n"/>
      <c r="H343" s="211" t="n"/>
      <c r="I343" s="212">
        <f>IF($C343="","",XLOOKUP($C343,'01_DANH_MUC'!$A$7:$A$206,'01_DANH_MUC'!$E$7:$E$206,0))</f>
        <v/>
      </c>
      <c r="J343" s="213">
        <f>IF(OR($A343="",$C343="",$G343&lt;=0),"",$A343+$I343)</f>
        <v/>
      </c>
      <c r="K343" s="210">
        <f>IF($A343="","",IF(OR($C343="",$G343&lt;=0,$A343&gt;'03_BAO_CAO'!$E$4),0,MAX(0,$G343-MAX(0,SUMIFS($H$7:$H$506,$C$7:$C$506,$C343,$A$7:$A$506,"&lt;="&amp;'03_BAO_CAO'!$E$4)-XLOOKUP($C343,'01_DANH_MUC'!$A$7:$A$206,'01_DANH_MUC'!$F$7:$F$206,0)-SUMIFS($G$7:G342,$C$7:C342,$C343,$A$7:A342,"&lt;="&amp;'03_BAO_CAO'!$E$4)))))</f>
        <v/>
      </c>
      <c r="L343" s="212">
        <f>IF($A343="","",IF(OR($K343&lt;=0,$J343=""),0,MAX(0,'03_BAO_CAO'!$E$4-$J343)))</f>
        <v/>
      </c>
      <c r="M343" s="51">
        <f>IF($A343="","",IF($K343&lt;=0,"Đã thanh toán",IF($J343="","Thiếu ngày đến hạn",IF($J343&gt;='03_BAO_CAO'!$E$4,"Chưa đến hạn",IF($L343&lt;=30,"1-30 ngày",IF($L343&lt;=60,"31-60 ngày",IF($L343&lt;=90,"61-90 ngày","Trên 90 ngày")))))))</f>
        <v/>
      </c>
      <c r="N343" s="51">
        <f>IF($A343="","",IF(OR($B343="",$C343=""),"THIẾU THÔNG TIN",IF(AND($G343&gt;0,$H343&gt;0),"KHÔNG NHẬP ĐỒNG THỜI TĂNG/GIẢM",IF(AND($G343&lt;=0,$H343&lt;=0),"CHƯA NHẬP SỐ TIỀN",IF($D343="KHÔNG TÌM THẤY","MÃ KHÔNG HỢP LỆ",IF(AND($G343&gt;0,$J343=""),"THIẾU NGÀY ĐẾN HẠN","OK"))))))</f>
        <v/>
      </c>
    </row>
    <row r="344">
      <c r="A344" s="209" t="n"/>
      <c r="B344" s="47" t="n"/>
      <c r="C344" s="47" t="n"/>
      <c r="D344" s="51">
        <f>IF($C344="","",XLOOKUP($C344,'01_DANH_MUC'!$A$7:$A$206,'01_DANH_MUC'!$B$7:$B$206,"KHÔNG TÌM THẤY"))</f>
        <v/>
      </c>
      <c r="E344" s="51">
        <f>IF($C344="","",XLOOKUP($C344,'01_DANH_MUC'!$A$7:$A$206,'01_DANH_MUC'!$C$7:$C$206,"KHÔNG TÌM THẤY"))</f>
        <v/>
      </c>
      <c r="F344" s="57" t="n"/>
      <c r="G344" s="211" t="n"/>
      <c r="H344" s="211" t="n"/>
      <c r="I344" s="212">
        <f>IF($C344="","",XLOOKUP($C344,'01_DANH_MUC'!$A$7:$A$206,'01_DANH_MUC'!$E$7:$E$206,0))</f>
        <v/>
      </c>
      <c r="J344" s="213">
        <f>IF(OR($A344="",$C344="",$G344&lt;=0),"",$A344+$I344)</f>
        <v/>
      </c>
      <c r="K344" s="210">
        <f>IF($A344="","",IF(OR($C344="",$G344&lt;=0,$A344&gt;'03_BAO_CAO'!$E$4),0,MAX(0,$G344-MAX(0,SUMIFS($H$7:$H$506,$C$7:$C$506,$C344,$A$7:$A$506,"&lt;="&amp;'03_BAO_CAO'!$E$4)-XLOOKUP($C344,'01_DANH_MUC'!$A$7:$A$206,'01_DANH_MUC'!$F$7:$F$206,0)-SUMIFS($G$7:G343,$C$7:C343,$C344,$A$7:A343,"&lt;="&amp;'03_BAO_CAO'!$E$4)))))</f>
        <v/>
      </c>
      <c r="L344" s="212">
        <f>IF($A344="","",IF(OR($K344&lt;=0,$J344=""),0,MAX(0,'03_BAO_CAO'!$E$4-$J344)))</f>
        <v/>
      </c>
      <c r="M344" s="51">
        <f>IF($A344="","",IF($K344&lt;=0,"Đã thanh toán",IF($J344="","Thiếu ngày đến hạn",IF($J344&gt;='03_BAO_CAO'!$E$4,"Chưa đến hạn",IF($L344&lt;=30,"1-30 ngày",IF($L344&lt;=60,"31-60 ngày",IF($L344&lt;=90,"61-90 ngày","Trên 90 ngày")))))))</f>
        <v/>
      </c>
      <c r="N344" s="51">
        <f>IF($A344="","",IF(OR($B344="",$C344=""),"THIẾU THÔNG TIN",IF(AND($G344&gt;0,$H344&gt;0),"KHÔNG NHẬP ĐỒNG THỜI TĂNG/GIẢM",IF(AND($G344&lt;=0,$H344&lt;=0),"CHƯA NHẬP SỐ TIỀN",IF($D344="KHÔNG TÌM THẤY","MÃ KHÔNG HỢP LỆ",IF(AND($G344&gt;0,$J344=""),"THIẾU NGÀY ĐẾN HẠN","OK"))))))</f>
        <v/>
      </c>
    </row>
    <row r="345">
      <c r="A345" s="209" t="n"/>
      <c r="B345" s="47" t="n"/>
      <c r="C345" s="47" t="n"/>
      <c r="D345" s="51">
        <f>IF($C345="","",XLOOKUP($C345,'01_DANH_MUC'!$A$7:$A$206,'01_DANH_MUC'!$B$7:$B$206,"KHÔNG TÌM THẤY"))</f>
        <v/>
      </c>
      <c r="E345" s="51">
        <f>IF($C345="","",XLOOKUP($C345,'01_DANH_MUC'!$A$7:$A$206,'01_DANH_MUC'!$C$7:$C$206,"KHÔNG TÌM THẤY"))</f>
        <v/>
      </c>
      <c r="F345" s="57" t="n"/>
      <c r="G345" s="211" t="n"/>
      <c r="H345" s="211" t="n"/>
      <c r="I345" s="212">
        <f>IF($C345="","",XLOOKUP($C345,'01_DANH_MUC'!$A$7:$A$206,'01_DANH_MUC'!$E$7:$E$206,0))</f>
        <v/>
      </c>
      <c r="J345" s="213">
        <f>IF(OR($A345="",$C345="",$G345&lt;=0),"",$A345+$I345)</f>
        <v/>
      </c>
      <c r="K345" s="210">
        <f>IF($A345="","",IF(OR($C345="",$G345&lt;=0,$A345&gt;'03_BAO_CAO'!$E$4),0,MAX(0,$G345-MAX(0,SUMIFS($H$7:$H$506,$C$7:$C$506,$C345,$A$7:$A$506,"&lt;="&amp;'03_BAO_CAO'!$E$4)-XLOOKUP($C345,'01_DANH_MUC'!$A$7:$A$206,'01_DANH_MUC'!$F$7:$F$206,0)-SUMIFS($G$7:G344,$C$7:C344,$C345,$A$7:A344,"&lt;="&amp;'03_BAO_CAO'!$E$4)))))</f>
        <v/>
      </c>
      <c r="L345" s="212">
        <f>IF($A345="","",IF(OR($K345&lt;=0,$J345=""),0,MAX(0,'03_BAO_CAO'!$E$4-$J345)))</f>
        <v/>
      </c>
      <c r="M345" s="51">
        <f>IF($A345="","",IF($K345&lt;=0,"Đã thanh toán",IF($J345="","Thiếu ngày đến hạn",IF($J345&gt;='03_BAO_CAO'!$E$4,"Chưa đến hạn",IF($L345&lt;=30,"1-30 ngày",IF($L345&lt;=60,"31-60 ngày",IF($L345&lt;=90,"61-90 ngày","Trên 90 ngày")))))))</f>
        <v/>
      </c>
      <c r="N345" s="51">
        <f>IF($A345="","",IF(OR($B345="",$C345=""),"THIẾU THÔNG TIN",IF(AND($G345&gt;0,$H345&gt;0),"KHÔNG NHẬP ĐỒNG THỜI TĂNG/GIẢM",IF(AND($G345&lt;=0,$H345&lt;=0),"CHƯA NHẬP SỐ TIỀN",IF($D345="KHÔNG TÌM THẤY","MÃ KHÔNG HỢP LỆ",IF(AND($G345&gt;0,$J345=""),"THIẾU NGÀY ĐẾN HẠN","OK"))))))</f>
        <v/>
      </c>
    </row>
    <row r="346">
      <c r="A346" s="209" t="n"/>
      <c r="B346" s="47" t="n"/>
      <c r="C346" s="47" t="n"/>
      <c r="D346" s="51">
        <f>IF($C346="","",XLOOKUP($C346,'01_DANH_MUC'!$A$7:$A$206,'01_DANH_MUC'!$B$7:$B$206,"KHÔNG TÌM THẤY"))</f>
        <v/>
      </c>
      <c r="E346" s="51">
        <f>IF($C346="","",XLOOKUP($C346,'01_DANH_MUC'!$A$7:$A$206,'01_DANH_MUC'!$C$7:$C$206,"KHÔNG TÌM THẤY"))</f>
        <v/>
      </c>
      <c r="F346" s="57" t="n"/>
      <c r="G346" s="211" t="n"/>
      <c r="H346" s="211" t="n"/>
      <c r="I346" s="212">
        <f>IF($C346="","",XLOOKUP($C346,'01_DANH_MUC'!$A$7:$A$206,'01_DANH_MUC'!$E$7:$E$206,0))</f>
        <v/>
      </c>
      <c r="J346" s="213">
        <f>IF(OR($A346="",$C346="",$G346&lt;=0),"",$A346+$I346)</f>
        <v/>
      </c>
      <c r="K346" s="210">
        <f>IF($A346="","",IF(OR($C346="",$G346&lt;=0,$A346&gt;'03_BAO_CAO'!$E$4),0,MAX(0,$G346-MAX(0,SUMIFS($H$7:$H$506,$C$7:$C$506,$C346,$A$7:$A$506,"&lt;="&amp;'03_BAO_CAO'!$E$4)-XLOOKUP($C346,'01_DANH_MUC'!$A$7:$A$206,'01_DANH_MUC'!$F$7:$F$206,0)-SUMIFS($G$7:G345,$C$7:C345,$C346,$A$7:A345,"&lt;="&amp;'03_BAO_CAO'!$E$4)))))</f>
        <v/>
      </c>
      <c r="L346" s="212">
        <f>IF($A346="","",IF(OR($K346&lt;=0,$J346=""),0,MAX(0,'03_BAO_CAO'!$E$4-$J346)))</f>
        <v/>
      </c>
      <c r="M346" s="51">
        <f>IF($A346="","",IF($K346&lt;=0,"Đã thanh toán",IF($J346="","Thiếu ngày đến hạn",IF($J346&gt;='03_BAO_CAO'!$E$4,"Chưa đến hạn",IF($L346&lt;=30,"1-30 ngày",IF($L346&lt;=60,"31-60 ngày",IF($L346&lt;=90,"61-90 ngày","Trên 90 ngày")))))))</f>
        <v/>
      </c>
      <c r="N346" s="51">
        <f>IF($A346="","",IF(OR($B346="",$C346=""),"THIẾU THÔNG TIN",IF(AND($G346&gt;0,$H346&gt;0),"KHÔNG NHẬP ĐỒNG THỜI TĂNG/GIẢM",IF(AND($G346&lt;=0,$H346&lt;=0),"CHƯA NHẬP SỐ TIỀN",IF($D346="KHÔNG TÌM THẤY","MÃ KHÔNG HỢP LỆ",IF(AND($G346&gt;0,$J346=""),"THIẾU NGÀY ĐẾN HẠN","OK"))))))</f>
        <v/>
      </c>
    </row>
    <row r="347">
      <c r="A347" s="209" t="n"/>
      <c r="B347" s="47" t="n"/>
      <c r="C347" s="47" t="n"/>
      <c r="D347" s="51">
        <f>IF($C347="","",XLOOKUP($C347,'01_DANH_MUC'!$A$7:$A$206,'01_DANH_MUC'!$B$7:$B$206,"KHÔNG TÌM THẤY"))</f>
        <v/>
      </c>
      <c r="E347" s="51">
        <f>IF($C347="","",XLOOKUP($C347,'01_DANH_MUC'!$A$7:$A$206,'01_DANH_MUC'!$C$7:$C$206,"KHÔNG TÌM THẤY"))</f>
        <v/>
      </c>
      <c r="F347" s="57" t="n"/>
      <c r="G347" s="211" t="n"/>
      <c r="H347" s="211" t="n"/>
      <c r="I347" s="212">
        <f>IF($C347="","",XLOOKUP($C347,'01_DANH_MUC'!$A$7:$A$206,'01_DANH_MUC'!$E$7:$E$206,0))</f>
        <v/>
      </c>
      <c r="J347" s="213">
        <f>IF(OR($A347="",$C347="",$G347&lt;=0),"",$A347+$I347)</f>
        <v/>
      </c>
      <c r="K347" s="210">
        <f>IF($A347="","",IF(OR($C347="",$G347&lt;=0,$A347&gt;'03_BAO_CAO'!$E$4),0,MAX(0,$G347-MAX(0,SUMIFS($H$7:$H$506,$C$7:$C$506,$C347,$A$7:$A$506,"&lt;="&amp;'03_BAO_CAO'!$E$4)-XLOOKUP($C347,'01_DANH_MUC'!$A$7:$A$206,'01_DANH_MUC'!$F$7:$F$206,0)-SUMIFS($G$7:G346,$C$7:C346,$C347,$A$7:A346,"&lt;="&amp;'03_BAO_CAO'!$E$4)))))</f>
        <v/>
      </c>
      <c r="L347" s="212">
        <f>IF($A347="","",IF(OR($K347&lt;=0,$J347=""),0,MAX(0,'03_BAO_CAO'!$E$4-$J347)))</f>
        <v/>
      </c>
      <c r="M347" s="51">
        <f>IF($A347="","",IF($K347&lt;=0,"Đã thanh toán",IF($J347="","Thiếu ngày đến hạn",IF($J347&gt;='03_BAO_CAO'!$E$4,"Chưa đến hạn",IF($L347&lt;=30,"1-30 ngày",IF($L347&lt;=60,"31-60 ngày",IF($L347&lt;=90,"61-90 ngày","Trên 90 ngày")))))))</f>
        <v/>
      </c>
      <c r="N347" s="51">
        <f>IF($A347="","",IF(OR($B347="",$C347=""),"THIẾU THÔNG TIN",IF(AND($G347&gt;0,$H347&gt;0),"KHÔNG NHẬP ĐỒNG THỜI TĂNG/GIẢM",IF(AND($G347&lt;=0,$H347&lt;=0),"CHƯA NHẬP SỐ TIỀN",IF($D347="KHÔNG TÌM THẤY","MÃ KHÔNG HỢP LỆ",IF(AND($G347&gt;0,$J347=""),"THIẾU NGÀY ĐẾN HẠN","OK"))))))</f>
        <v/>
      </c>
    </row>
    <row r="348">
      <c r="A348" s="209" t="n"/>
      <c r="B348" s="47" t="n"/>
      <c r="C348" s="47" t="n"/>
      <c r="D348" s="51">
        <f>IF($C348="","",XLOOKUP($C348,'01_DANH_MUC'!$A$7:$A$206,'01_DANH_MUC'!$B$7:$B$206,"KHÔNG TÌM THẤY"))</f>
        <v/>
      </c>
      <c r="E348" s="51">
        <f>IF($C348="","",XLOOKUP($C348,'01_DANH_MUC'!$A$7:$A$206,'01_DANH_MUC'!$C$7:$C$206,"KHÔNG TÌM THẤY"))</f>
        <v/>
      </c>
      <c r="F348" s="57" t="n"/>
      <c r="G348" s="211" t="n"/>
      <c r="H348" s="211" t="n"/>
      <c r="I348" s="212">
        <f>IF($C348="","",XLOOKUP($C348,'01_DANH_MUC'!$A$7:$A$206,'01_DANH_MUC'!$E$7:$E$206,0))</f>
        <v/>
      </c>
      <c r="J348" s="213">
        <f>IF(OR($A348="",$C348="",$G348&lt;=0),"",$A348+$I348)</f>
        <v/>
      </c>
      <c r="K348" s="210">
        <f>IF($A348="","",IF(OR($C348="",$G348&lt;=0,$A348&gt;'03_BAO_CAO'!$E$4),0,MAX(0,$G348-MAX(0,SUMIFS($H$7:$H$506,$C$7:$C$506,$C348,$A$7:$A$506,"&lt;="&amp;'03_BAO_CAO'!$E$4)-XLOOKUP($C348,'01_DANH_MUC'!$A$7:$A$206,'01_DANH_MUC'!$F$7:$F$206,0)-SUMIFS($G$7:G347,$C$7:C347,$C348,$A$7:A347,"&lt;="&amp;'03_BAO_CAO'!$E$4)))))</f>
        <v/>
      </c>
      <c r="L348" s="212">
        <f>IF($A348="","",IF(OR($K348&lt;=0,$J348=""),0,MAX(0,'03_BAO_CAO'!$E$4-$J348)))</f>
        <v/>
      </c>
      <c r="M348" s="51">
        <f>IF($A348="","",IF($K348&lt;=0,"Đã thanh toán",IF($J348="","Thiếu ngày đến hạn",IF($J348&gt;='03_BAO_CAO'!$E$4,"Chưa đến hạn",IF($L348&lt;=30,"1-30 ngày",IF($L348&lt;=60,"31-60 ngày",IF($L348&lt;=90,"61-90 ngày","Trên 90 ngày")))))))</f>
        <v/>
      </c>
      <c r="N348" s="51">
        <f>IF($A348="","",IF(OR($B348="",$C348=""),"THIẾU THÔNG TIN",IF(AND($G348&gt;0,$H348&gt;0),"KHÔNG NHẬP ĐỒNG THỜI TĂNG/GIẢM",IF(AND($G348&lt;=0,$H348&lt;=0),"CHƯA NHẬP SỐ TIỀN",IF($D348="KHÔNG TÌM THẤY","MÃ KHÔNG HỢP LỆ",IF(AND($G348&gt;0,$J348=""),"THIẾU NGÀY ĐẾN HẠN","OK"))))))</f>
        <v/>
      </c>
    </row>
    <row r="349">
      <c r="A349" s="209" t="n"/>
      <c r="B349" s="47" t="n"/>
      <c r="C349" s="47" t="n"/>
      <c r="D349" s="51">
        <f>IF($C349="","",XLOOKUP($C349,'01_DANH_MUC'!$A$7:$A$206,'01_DANH_MUC'!$B$7:$B$206,"KHÔNG TÌM THẤY"))</f>
        <v/>
      </c>
      <c r="E349" s="51">
        <f>IF($C349="","",XLOOKUP($C349,'01_DANH_MUC'!$A$7:$A$206,'01_DANH_MUC'!$C$7:$C$206,"KHÔNG TÌM THẤY"))</f>
        <v/>
      </c>
      <c r="F349" s="57" t="n"/>
      <c r="G349" s="211" t="n"/>
      <c r="H349" s="211" t="n"/>
      <c r="I349" s="212">
        <f>IF($C349="","",XLOOKUP($C349,'01_DANH_MUC'!$A$7:$A$206,'01_DANH_MUC'!$E$7:$E$206,0))</f>
        <v/>
      </c>
      <c r="J349" s="213">
        <f>IF(OR($A349="",$C349="",$G349&lt;=0),"",$A349+$I349)</f>
        <v/>
      </c>
      <c r="K349" s="210">
        <f>IF($A349="","",IF(OR($C349="",$G349&lt;=0,$A349&gt;'03_BAO_CAO'!$E$4),0,MAX(0,$G349-MAX(0,SUMIFS($H$7:$H$506,$C$7:$C$506,$C349,$A$7:$A$506,"&lt;="&amp;'03_BAO_CAO'!$E$4)-XLOOKUP($C349,'01_DANH_MUC'!$A$7:$A$206,'01_DANH_MUC'!$F$7:$F$206,0)-SUMIFS($G$7:G348,$C$7:C348,$C349,$A$7:A348,"&lt;="&amp;'03_BAO_CAO'!$E$4)))))</f>
        <v/>
      </c>
      <c r="L349" s="212">
        <f>IF($A349="","",IF(OR($K349&lt;=0,$J349=""),0,MAX(0,'03_BAO_CAO'!$E$4-$J349)))</f>
        <v/>
      </c>
      <c r="M349" s="51">
        <f>IF($A349="","",IF($K349&lt;=0,"Đã thanh toán",IF($J349="","Thiếu ngày đến hạn",IF($J349&gt;='03_BAO_CAO'!$E$4,"Chưa đến hạn",IF($L349&lt;=30,"1-30 ngày",IF($L349&lt;=60,"31-60 ngày",IF($L349&lt;=90,"61-90 ngày","Trên 90 ngày")))))))</f>
        <v/>
      </c>
      <c r="N349" s="51">
        <f>IF($A349="","",IF(OR($B349="",$C349=""),"THIẾU THÔNG TIN",IF(AND($G349&gt;0,$H349&gt;0),"KHÔNG NHẬP ĐỒNG THỜI TĂNG/GIẢM",IF(AND($G349&lt;=0,$H349&lt;=0),"CHƯA NHẬP SỐ TIỀN",IF($D349="KHÔNG TÌM THẤY","MÃ KHÔNG HỢP LỆ",IF(AND($G349&gt;0,$J349=""),"THIẾU NGÀY ĐẾN HẠN","OK"))))))</f>
        <v/>
      </c>
    </row>
    <row r="350">
      <c r="A350" s="209" t="n"/>
      <c r="B350" s="47" t="n"/>
      <c r="C350" s="47" t="n"/>
      <c r="D350" s="51">
        <f>IF($C350="","",XLOOKUP($C350,'01_DANH_MUC'!$A$7:$A$206,'01_DANH_MUC'!$B$7:$B$206,"KHÔNG TÌM THẤY"))</f>
        <v/>
      </c>
      <c r="E350" s="51">
        <f>IF($C350="","",XLOOKUP($C350,'01_DANH_MUC'!$A$7:$A$206,'01_DANH_MUC'!$C$7:$C$206,"KHÔNG TÌM THẤY"))</f>
        <v/>
      </c>
      <c r="F350" s="57" t="n"/>
      <c r="G350" s="211" t="n"/>
      <c r="H350" s="211" t="n"/>
      <c r="I350" s="212">
        <f>IF($C350="","",XLOOKUP($C350,'01_DANH_MUC'!$A$7:$A$206,'01_DANH_MUC'!$E$7:$E$206,0))</f>
        <v/>
      </c>
      <c r="J350" s="213">
        <f>IF(OR($A350="",$C350="",$G350&lt;=0),"",$A350+$I350)</f>
        <v/>
      </c>
      <c r="K350" s="210">
        <f>IF($A350="","",IF(OR($C350="",$G350&lt;=0,$A350&gt;'03_BAO_CAO'!$E$4),0,MAX(0,$G350-MAX(0,SUMIFS($H$7:$H$506,$C$7:$C$506,$C350,$A$7:$A$506,"&lt;="&amp;'03_BAO_CAO'!$E$4)-XLOOKUP($C350,'01_DANH_MUC'!$A$7:$A$206,'01_DANH_MUC'!$F$7:$F$206,0)-SUMIFS($G$7:G349,$C$7:C349,$C350,$A$7:A349,"&lt;="&amp;'03_BAO_CAO'!$E$4)))))</f>
        <v/>
      </c>
      <c r="L350" s="212">
        <f>IF($A350="","",IF(OR($K350&lt;=0,$J350=""),0,MAX(0,'03_BAO_CAO'!$E$4-$J350)))</f>
        <v/>
      </c>
      <c r="M350" s="51">
        <f>IF($A350="","",IF($K350&lt;=0,"Đã thanh toán",IF($J350="","Thiếu ngày đến hạn",IF($J350&gt;='03_BAO_CAO'!$E$4,"Chưa đến hạn",IF($L350&lt;=30,"1-30 ngày",IF($L350&lt;=60,"31-60 ngày",IF($L350&lt;=90,"61-90 ngày","Trên 90 ngày")))))))</f>
        <v/>
      </c>
      <c r="N350" s="51">
        <f>IF($A350="","",IF(OR($B350="",$C350=""),"THIẾU THÔNG TIN",IF(AND($G350&gt;0,$H350&gt;0),"KHÔNG NHẬP ĐỒNG THỜI TĂNG/GIẢM",IF(AND($G350&lt;=0,$H350&lt;=0),"CHƯA NHẬP SỐ TIỀN",IF($D350="KHÔNG TÌM THẤY","MÃ KHÔNG HỢP LỆ",IF(AND($G350&gt;0,$J350=""),"THIẾU NGÀY ĐẾN HẠN","OK"))))))</f>
        <v/>
      </c>
    </row>
    <row r="351">
      <c r="A351" s="209" t="n"/>
      <c r="B351" s="47" t="n"/>
      <c r="C351" s="47" t="n"/>
      <c r="D351" s="51">
        <f>IF($C351="","",XLOOKUP($C351,'01_DANH_MUC'!$A$7:$A$206,'01_DANH_MUC'!$B$7:$B$206,"KHÔNG TÌM THẤY"))</f>
        <v/>
      </c>
      <c r="E351" s="51">
        <f>IF($C351="","",XLOOKUP($C351,'01_DANH_MUC'!$A$7:$A$206,'01_DANH_MUC'!$C$7:$C$206,"KHÔNG TÌM THẤY"))</f>
        <v/>
      </c>
      <c r="F351" s="57" t="n"/>
      <c r="G351" s="211" t="n"/>
      <c r="H351" s="211" t="n"/>
      <c r="I351" s="212">
        <f>IF($C351="","",XLOOKUP($C351,'01_DANH_MUC'!$A$7:$A$206,'01_DANH_MUC'!$E$7:$E$206,0))</f>
        <v/>
      </c>
      <c r="J351" s="213">
        <f>IF(OR($A351="",$C351="",$G351&lt;=0),"",$A351+$I351)</f>
        <v/>
      </c>
      <c r="K351" s="210">
        <f>IF($A351="","",IF(OR($C351="",$G351&lt;=0,$A351&gt;'03_BAO_CAO'!$E$4),0,MAX(0,$G351-MAX(0,SUMIFS($H$7:$H$506,$C$7:$C$506,$C351,$A$7:$A$506,"&lt;="&amp;'03_BAO_CAO'!$E$4)-XLOOKUP($C351,'01_DANH_MUC'!$A$7:$A$206,'01_DANH_MUC'!$F$7:$F$206,0)-SUMIFS($G$7:G350,$C$7:C350,$C351,$A$7:A350,"&lt;="&amp;'03_BAO_CAO'!$E$4)))))</f>
        <v/>
      </c>
      <c r="L351" s="212">
        <f>IF($A351="","",IF(OR($K351&lt;=0,$J351=""),0,MAX(0,'03_BAO_CAO'!$E$4-$J351)))</f>
        <v/>
      </c>
      <c r="M351" s="51">
        <f>IF($A351="","",IF($K351&lt;=0,"Đã thanh toán",IF($J351="","Thiếu ngày đến hạn",IF($J351&gt;='03_BAO_CAO'!$E$4,"Chưa đến hạn",IF($L351&lt;=30,"1-30 ngày",IF($L351&lt;=60,"31-60 ngày",IF($L351&lt;=90,"61-90 ngày","Trên 90 ngày")))))))</f>
        <v/>
      </c>
      <c r="N351" s="51">
        <f>IF($A351="","",IF(OR($B351="",$C351=""),"THIẾU THÔNG TIN",IF(AND($G351&gt;0,$H351&gt;0),"KHÔNG NHẬP ĐỒNG THỜI TĂNG/GIẢM",IF(AND($G351&lt;=0,$H351&lt;=0),"CHƯA NHẬP SỐ TIỀN",IF($D351="KHÔNG TÌM THẤY","MÃ KHÔNG HỢP LỆ",IF(AND($G351&gt;0,$J351=""),"THIẾU NGÀY ĐẾN HẠN","OK"))))))</f>
        <v/>
      </c>
    </row>
    <row r="352">
      <c r="A352" s="209" t="n"/>
      <c r="B352" s="47" t="n"/>
      <c r="C352" s="47" t="n"/>
      <c r="D352" s="51">
        <f>IF($C352="","",XLOOKUP($C352,'01_DANH_MUC'!$A$7:$A$206,'01_DANH_MUC'!$B$7:$B$206,"KHÔNG TÌM THẤY"))</f>
        <v/>
      </c>
      <c r="E352" s="51">
        <f>IF($C352="","",XLOOKUP($C352,'01_DANH_MUC'!$A$7:$A$206,'01_DANH_MUC'!$C$7:$C$206,"KHÔNG TÌM THẤY"))</f>
        <v/>
      </c>
      <c r="F352" s="57" t="n"/>
      <c r="G352" s="211" t="n"/>
      <c r="H352" s="211" t="n"/>
      <c r="I352" s="212">
        <f>IF($C352="","",XLOOKUP($C352,'01_DANH_MUC'!$A$7:$A$206,'01_DANH_MUC'!$E$7:$E$206,0))</f>
        <v/>
      </c>
      <c r="J352" s="213">
        <f>IF(OR($A352="",$C352="",$G352&lt;=0),"",$A352+$I352)</f>
        <v/>
      </c>
      <c r="K352" s="210">
        <f>IF($A352="","",IF(OR($C352="",$G352&lt;=0,$A352&gt;'03_BAO_CAO'!$E$4),0,MAX(0,$G352-MAX(0,SUMIFS($H$7:$H$506,$C$7:$C$506,$C352,$A$7:$A$506,"&lt;="&amp;'03_BAO_CAO'!$E$4)-XLOOKUP($C352,'01_DANH_MUC'!$A$7:$A$206,'01_DANH_MUC'!$F$7:$F$206,0)-SUMIFS($G$7:G351,$C$7:C351,$C352,$A$7:A351,"&lt;="&amp;'03_BAO_CAO'!$E$4)))))</f>
        <v/>
      </c>
      <c r="L352" s="212">
        <f>IF($A352="","",IF(OR($K352&lt;=0,$J352=""),0,MAX(0,'03_BAO_CAO'!$E$4-$J352)))</f>
        <v/>
      </c>
      <c r="M352" s="51">
        <f>IF($A352="","",IF($K352&lt;=0,"Đã thanh toán",IF($J352="","Thiếu ngày đến hạn",IF($J352&gt;='03_BAO_CAO'!$E$4,"Chưa đến hạn",IF($L352&lt;=30,"1-30 ngày",IF($L352&lt;=60,"31-60 ngày",IF($L352&lt;=90,"61-90 ngày","Trên 90 ngày")))))))</f>
        <v/>
      </c>
      <c r="N352" s="51">
        <f>IF($A352="","",IF(OR($B352="",$C352=""),"THIẾU THÔNG TIN",IF(AND($G352&gt;0,$H352&gt;0),"KHÔNG NHẬP ĐỒNG THỜI TĂNG/GIẢM",IF(AND($G352&lt;=0,$H352&lt;=0),"CHƯA NHẬP SỐ TIỀN",IF($D352="KHÔNG TÌM THẤY","MÃ KHÔNG HỢP LỆ",IF(AND($G352&gt;0,$J352=""),"THIẾU NGÀY ĐẾN HẠN","OK"))))))</f>
        <v/>
      </c>
    </row>
    <row r="353">
      <c r="A353" s="209" t="n"/>
      <c r="B353" s="47" t="n"/>
      <c r="C353" s="47" t="n"/>
      <c r="D353" s="51">
        <f>IF($C353="","",XLOOKUP($C353,'01_DANH_MUC'!$A$7:$A$206,'01_DANH_MUC'!$B$7:$B$206,"KHÔNG TÌM THẤY"))</f>
        <v/>
      </c>
      <c r="E353" s="51">
        <f>IF($C353="","",XLOOKUP($C353,'01_DANH_MUC'!$A$7:$A$206,'01_DANH_MUC'!$C$7:$C$206,"KHÔNG TÌM THẤY"))</f>
        <v/>
      </c>
      <c r="F353" s="57" t="n"/>
      <c r="G353" s="211" t="n"/>
      <c r="H353" s="211" t="n"/>
      <c r="I353" s="212">
        <f>IF($C353="","",XLOOKUP($C353,'01_DANH_MUC'!$A$7:$A$206,'01_DANH_MUC'!$E$7:$E$206,0))</f>
        <v/>
      </c>
      <c r="J353" s="213">
        <f>IF(OR($A353="",$C353="",$G353&lt;=0),"",$A353+$I353)</f>
        <v/>
      </c>
      <c r="K353" s="210">
        <f>IF($A353="","",IF(OR($C353="",$G353&lt;=0,$A353&gt;'03_BAO_CAO'!$E$4),0,MAX(0,$G353-MAX(0,SUMIFS($H$7:$H$506,$C$7:$C$506,$C353,$A$7:$A$506,"&lt;="&amp;'03_BAO_CAO'!$E$4)-XLOOKUP($C353,'01_DANH_MUC'!$A$7:$A$206,'01_DANH_MUC'!$F$7:$F$206,0)-SUMIFS($G$7:G352,$C$7:C352,$C353,$A$7:A352,"&lt;="&amp;'03_BAO_CAO'!$E$4)))))</f>
        <v/>
      </c>
      <c r="L353" s="212">
        <f>IF($A353="","",IF(OR($K353&lt;=0,$J353=""),0,MAX(0,'03_BAO_CAO'!$E$4-$J353)))</f>
        <v/>
      </c>
      <c r="M353" s="51">
        <f>IF($A353="","",IF($K353&lt;=0,"Đã thanh toán",IF($J353="","Thiếu ngày đến hạn",IF($J353&gt;='03_BAO_CAO'!$E$4,"Chưa đến hạn",IF($L353&lt;=30,"1-30 ngày",IF($L353&lt;=60,"31-60 ngày",IF($L353&lt;=90,"61-90 ngày","Trên 90 ngày")))))))</f>
        <v/>
      </c>
      <c r="N353" s="51">
        <f>IF($A353="","",IF(OR($B353="",$C353=""),"THIẾU THÔNG TIN",IF(AND($G353&gt;0,$H353&gt;0),"KHÔNG NHẬP ĐỒNG THỜI TĂNG/GIẢM",IF(AND($G353&lt;=0,$H353&lt;=0),"CHƯA NHẬP SỐ TIỀN",IF($D353="KHÔNG TÌM THẤY","MÃ KHÔNG HỢP LỆ",IF(AND($G353&gt;0,$J353=""),"THIẾU NGÀY ĐẾN HẠN","OK"))))))</f>
        <v/>
      </c>
    </row>
    <row r="354">
      <c r="A354" s="209" t="n"/>
      <c r="B354" s="47" t="n"/>
      <c r="C354" s="47" t="n"/>
      <c r="D354" s="51">
        <f>IF($C354="","",XLOOKUP($C354,'01_DANH_MUC'!$A$7:$A$206,'01_DANH_MUC'!$B$7:$B$206,"KHÔNG TÌM THẤY"))</f>
        <v/>
      </c>
      <c r="E354" s="51">
        <f>IF($C354="","",XLOOKUP($C354,'01_DANH_MUC'!$A$7:$A$206,'01_DANH_MUC'!$C$7:$C$206,"KHÔNG TÌM THẤY"))</f>
        <v/>
      </c>
      <c r="F354" s="57" t="n"/>
      <c r="G354" s="211" t="n"/>
      <c r="H354" s="211" t="n"/>
      <c r="I354" s="212">
        <f>IF($C354="","",XLOOKUP($C354,'01_DANH_MUC'!$A$7:$A$206,'01_DANH_MUC'!$E$7:$E$206,0))</f>
        <v/>
      </c>
      <c r="J354" s="213">
        <f>IF(OR($A354="",$C354="",$G354&lt;=0),"",$A354+$I354)</f>
        <v/>
      </c>
      <c r="K354" s="210">
        <f>IF($A354="","",IF(OR($C354="",$G354&lt;=0,$A354&gt;'03_BAO_CAO'!$E$4),0,MAX(0,$G354-MAX(0,SUMIFS($H$7:$H$506,$C$7:$C$506,$C354,$A$7:$A$506,"&lt;="&amp;'03_BAO_CAO'!$E$4)-XLOOKUP($C354,'01_DANH_MUC'!$A$7:$A$206,'01_DANH_MUC'!$F$7:$F$206,0)-SUMIFS($G$7:G353,$C$7:C353,$C354,$A$7:A353,"&lt;="&amp;'03_BAO_CAO'!$E$4)))))</f>
        <v/>
      </c>
      <c r="L354" s="212">
        <f>IF($A354="","",IF(OR($K354&lt;=0,$J354=""),0,MAX(0,'03_BAO_CAO'!$E$4-$J354)))</f>
        <v/>
      </c>
      <c r="M354" s="51">
        <f>IF($A354="","",IF($K354&lt;=0,"Đã thanh toán",IF($J354="","Thiếu ngày đến hạn",IF($J354&gt;='03_BAO_CAO'!$E$4,"Chưa đến hạn",IF($L354&lt;=30,"1-30 ngày",IF($L354&lt;=60,"31-60 ngày",IF($L354&lt;=90,"61-90 ngày","Trên 90 ngày")))))))</f>
        <v/>
      </c>
      <c r="N354" s="51">
        <f>IF($A354="","",IF(OR($B354="",$C354=""),"THIẾU THÔNG TIN",IF(AND($G354&gt;0,$H354&gt;0),"KHÔNG NHẬP ĐỒNG THỜI TĂNG/GIẢM",IF(AND($G354&lt;=0,$H354&lt;=0),"CHƯA NHẬP SỐ TIỀN",IF($D354="KHÔNG TÌM THẤY","MÃ KHÔNG HỢP LỆ",IF(AND($G354&gt;0,$J354=""),"THIẾU NGÀY ĐẾN HẠN","OK"))))))</f>
        <v/>
      </c>
    </row>
    <row r="355">
      <c r="A355" s="209" t="n"/>
      <c r="B355" s="47" t="n"/>
      <c r="C355" s="47" t="n"/>
      <c r="D355" s="51">
        <f>IF($C355="","",XLOOKUP($C355,'01_DANH_MUC'!$A$7:$A$206,'01_DANH_MUC'!$B$7:$B$206,"KHÔNG TÌM THẤY"))</f>
        <v/>
      </c>
      <c r="E355" s="51">
        <f>IF($C355="","",XLOOKUP($C355,'01_DANH_MUC'!$A$7:$A$206,'01_DANH_MUC'!$C$7:$C$206,"KHÔNG TÌM THẤY"))</f>
        <v/>
      </c>
      <c r="F355" s="57" t="n"/>
      <c r="G355" s="211" t="n"/>
      <c r="H355" s="211" t="n"/>
      <c r="I355" s="212">
        <f>IF($C355="","",XLOOKUP($C355,'01_DANH_MUC'!$A$7:$A$206,'01_DANH_MUC'!$E$7:$E$206,0))</f>
        <v/>
      </c>
      <c r="J355" s="213">
        <f>IF(OR($A355="",$C355="",$G355&lt;=0),"",$A355+$I355)</f>
        <v/>
      </c>
      <c r="K355" s="210">
        <f>IF($A355="","",IF(OR($C355="",$G355&lt;=0,$A355&gt;'03_BAO_CAO'!$E$4),0,MAX(0,$G355-MAX(0,SUMIFS($H$7:$H$506,$C$7:$C$506,$C355,$A$7:$A$506,"&lt;="&amp;'03_BAO_CAO'!$E$4)-XLOOKUP($C355,'01_DANH_MUC'!$A$7:$A$206,'01_DANH_MUC'!$F$7:$F$206,0)-SUMIFS($G$7:G354,$C$7:C354,$C355,$A$7:A354,"&lt;="&amp;'03_BAO_CAO'!$E$4)))))</f>
        <v/>
      </c>
      <c r="L355" s="212">
        <f>IF($A355="","",IF(OR($K355&lt;=0,$J355=""),0,MAX(0,'03_BAO_CAO'!$E$4-$J355)))</f>
        <v/>
      </c>
      <c r="M355" s="51">
        <f>IF($A355="","",IF($K355&lt;=0,"Đã thanh toán",IF($J355="","Thiếu ngày đến hạn",IF($J355&gt;='03_BAO_CAO'!$E$4,"Chưa đến hạn",IF($L355&lt;=30,"1-30 ngày",IF($L355&lt;=60,"31-60 ngày",IF($L355&lt;=90,"61-90 ngày","Trên 90 ngày")))))))</f>
        <v/>
      </c>
      <c r="N355" s="51">
        <f>IF($A355="","",IF(OR($B355="",$C355=""),"THIẾU THÔNG TIN",IF(AND($G355&gt;0,$H355&gt;0),"KHÔNG NHẬP ĐỒNG THỜI TĂNG/GIẢM",IF(AND($G355&lt;=0,$H355&lt;=0),"CHƯA NHẬP SỐ TIỀN",IF($D355="KHÔNG TÌM THẤY","MÃ KHÔNG HỢP LỆ",IF(AND($G355&gt;0,$J355=""),"THIẾU NGÀY ĐẾN HẠN","OK"))))))</f>
        <v/>
      </c>
    </row>
    <row r="356">
      <c r="A356" s="209" t="n"/>
      <c r="B356" s="47" t="n"/>
      <c r="C356" s="47" t="n"/>
      <c r="D356" s="51">
        <f>IF($C356="","",XLOOKUP($C356,'01_DANH_MUC'!$A$7:$A$206,'01_DANH_MUC'!$B$7:$B$206,"KHÔNG TÌM THẤY"))</f>
        <v/>
      </c>
      <c r="E356" s="51">
        <f>IF($C356="","",XLOOKUP($C356,'01_DANH_MUC'!$A$7:$A$206,'01_DANH_MUC'!$C$7:$C$206,"KHÔNG TÌM THẤY"))</f>
        <v/>
      </c>
      <c r="F356" s="57" t="n"/>
      <c r="G356" s="211" t="n"/>
      <c r="H356" s="211" t="n"/>
      <c r="I356" s="212">
        <f>IF($C356="","",XLOOKUP($C356,'01_DANH_MUC'!$A$7:$A$206,'01_DANH_MUC'!$E$7:$E$206,0))</f>
        <v/>
      </c>
      <c r="J356" s="213">
        <f>IF(OR($A356="",$C356="",$G356&lt;=0),"",$A356+$I356)</f>
        <v/>
      </c>
      <c r="K356" s="210">
        <f>IF($A356="","",IF(OR($C356="",$G356&lt;=0,$A356&gt;'03_BAO_CAO'!$E$4),0,MAX(0,$G356-MAX(0,SUMIFS($H$7:$H$506,$C$7:$C$506,$C356,$A$7:$A$506,"&lt;="&amp;'03_BAO_CAO'!$E$4)-XLOOKUP($C356,'01_DANH_MUC'!$A$7:$A$206,'01_DANH_MUC'!$F$7:$F$206,0)-SUMIFS($G$7:G355,$C$7:C355,$C356,$A$7:A355,"&lt;="&amp;'03_BAO_CAO'!$E$4)))))</f>
        <v/>
      </c>
      <c r="L356" s="212">
        <f>IF($A356="","",IF(OR($K356&lt;=0,$J356=""),0,MAX(0,'03_BAO_CAO'!$E$4-$J356)))</f>
        <v/>
      </c>
      <c r="M356" s="51">
        <f>IF($A356="","",IF($K356&lt;=0,"Đã thanh toán",IF($J356="","Thiếu ngày đến hạn",IF($J356&gt;='03_BAO_CAO'!$E$4,"Chưa đến hạn",IF($L356&lt;=30,"1-30 ngày",IF($L356&lt;=60,"31-60 ngày",IF($L356&lt;=90,"61-90 ngày","Trên 90 ngày")))))))</f>
        <v/>
      </c>
      <c r="N356" s="51">
        <f>IF($A356="","",IF(OR($B356="",$C356=""),"THIẾU THÔNG TIN",IF(AND($G356&gt;0,$H356&gt;0),"KHÔNG NHẬP ĐỒNG THỜI TĂNG/GIẢM",IF(AND($G356&lt;=0,$H356&lt;=0),"CHƯA NHẬP SỐ TIỀN",IF($D356="KHÔNG TÌM THẤY","MÃ KHÔNG HỢP LỆ",IF(AND($G356&gt;0,$J356=""),"THIẾU NGÀY ĐẾN HẠN","OK"))))))</f>
        <v/>
      </c>
    </row>
    <row r="357">
      <c r="A357" s="209" t="n"/>
      <c r="B357" s="47" t="n"/>
      <c r="C357" s="47" t="n"/>
      <c r="D357" s="51">
        <f>IF($C357="","",XLOOKUP($C357,'01_DANH_MUC'!$A$7:$A$206,'01_DANH_MUC'!$B$7:$B$206,"KHÔNG TÌM THẤY"))</f>
        <v/>
      </c>
      <c r="E357" s="51">
        <f>IF($C357="","",XLOOKUP($C357,'01_DANH_MUC'!$A$7:$A$206,'01_DANH_MUC'!$C$7:$C$206,"KHÔNG TÌM THẤY"))</f>
        <v/>
      </c>
      <c r="F357" s="57" t="n"/>
      <c r="G357" s="211" t="n"/>
      <c r="H357" s="211" t="n"/>
      <c r="I357" s="212">
        <f>IF($C357="","",XLOOKUP($C357,'01_DANH_MUC'!$A$7:$A$206,'01_DANH_MUC'!$E$7:$E$206,0))</f>
        <v/>
      </c>
      <c r="J357" s="213">
        <f>IF(OR($A357="",$C357="",$G357&lt;=0),"",$A357+$I357)</f>
        <v/>
      </c>
      <c r="K357" s="210">
        <f>IF($A357="","",IF(OR($C357="",$G357&lt;=0,$A357&gt;'03_BAO_CAO'!$E$4),0,MAX(0,$G357-MAX(0,SUMIFS($H$7:$H$506,$C$7:$C$506,$C357,$A$7:$A$506,"&lt;="&amp;'03_BAO_CAO'!$E$4)-XLOOKUP($C357,'01_DANH_MUC'!$A$7:$A$206,'01_DANH_MUC'!$F$7:$F$206,0)-SUMIFS($G$7:G356,$C$7:C356,$C357,$A$7:A356,"&lt;="&amp;'03_BAO_CAO'!$E$4)))))</f>
        <v/>
      </c>
      <c r="L357" s="212">
        <f>IF($A357="","",IF(OR($K357&lt;=0,$J357=""),0,MAX(0,'03_BAO_CAO'!$E$4-$J357)))</f>
        <v/>
      </c>
      <c r="M357" s="51">
        <f>IF($A357="","",IF($K357&lt;=0,"Đã thanh toán",IF($J357="","Thiếu ngày đến hạn",IF($J357&gt;='03_BAO_CAO'!$E$4,"Chưa đến hạn",IF($L357&lt;=30,"1-30 ngày",IF($L357&lt;=60,"31-60 ngày",IF($L357&lt;=90,"61-90 ngày","Trên 90 ngày")))))))</f>
        <v/>
      </c>
      <c r="N357" s="51">
        <f>IF($A357="","",IF(OR($B357="",$C357=""),"THIẾU THÔNG TIN",IF(AND($G357&gt;0,$H357&gt;0),"KHÔNG NHẬP ĐỒNG THỜI TĂNG/GIẢM",IF(AND($G357&lt;=0,$H357&lt;=0),"CHƯA NHẬP SỐ TIỀN",IF($D357="KHÔNG TÌM THẤY","MÃ KHÔNG HỢP LỆ",IF(AND($G357&gt;0,$J357=""),"THIẾU NGÀY ĐẾN HẠN","OK"))))))</f>
        <v/>
      </c>
    </row>
    <row r="358">
      <c r="A358" s="209" t="n"/>
      <c r="B358" s="47" t="n"/>
      <c r="C358" s="47" t="n"/>
      <c r="D358" s="51">
        <f>IF($C358="","",XLOOKUP($C358,'01_DANH_MUC'!$A$7:$A$206,'01_DANH_MUC'!$B$7:$B$206,"KHÔNG TÌM THẤY"))</f>
        <v/>
      </c>
      <c r="E358" s="51">
        <f>IF($C358="","",XLOOKUP($C358,'01_DANH_MUC'!$A$7:$A$206,'01_DANH_MUC'!$C$7:$C$206,"KHÔNG TÌM THẤY"))</f>
        <v/>
      </c>
      <c r="F358" s="57" t="n"/>
      <c r="G358" s="211" t="n"/>
      <c r="H358" s="211" t="n"/>
      <c r="I358" s="212">
        <f>IF($C358="","",XLOOKUP($C358,'01_DANH_MUC'!$A$7:$A$206,'01_DANH_MUC'!$E$7:$E$206,0))</f>
        <v/>
      </c>
      <c r="J358" s="213">
        <f>IF(OR($A358="",$C358="",$G358&lt;=0),"",$A358+$I358)</f>
        <v/>
      </c>
      <c r="K358" s="210">
        <f>IF($A358="","",IF(OR($C358="",$G358&lt;=0,$A358&gt;'03_BAO_CAO'!$E$4),0,MAX(0,$G358-MAX(0,SUMIFS($H$7:$H$506,$C$7:$C$506,$C358,$A$7:$A$506,"&lt;="&amp;'03_BAO_CAO'!$E$4)-XLOOKUP($C358,'01_DANH_MUC'!$A$7:$A$206,'01_DANH_MUC'!$F$7:$F$206,0)-SUMIFS($G$7:G357,$C$7:C357,$C358,$A$7:A357,"&lt;="&amp;'03_BAO_CAO'!$E$4)))))</f>
        <v/>
      </c>
      <c r="L358" s="212">
        <f>IF($A358="","",IF(OR($K358&lt;=0,$J358=""),0,MAX(0,'03_BAO_CAO'!$E$4-$J358)))</f>
        <v/>
      </c>
      <c r="M358" s="51">
        <f>IF($A358="","",IF($K358&lt;=0,"Đã thanh toán",IF($J358="","Thiếu ngày đến hạn",IF($J358&gt;='03_BAO_CAO'!$E$4,"Chưa đến hạn",IF($L358&lt;=30,"1-30 ngày",IF($L358&lt;=60,"31-60 ngày",IF($L358&lt;=90,"61-90 ngày","Trên 90 ngày")))))))</f>
        <v/>
      </c>
      <c r="N358" s="51">
        <f>IF($A358="","",IF(OR($B358="",$C358=""),"THIẾU THÔNG TIN",IF(AND($G358&gt;0,$H358&gt;0),"KHÔNG NHẬP ĐỒNG THỜI TĂNG/GIẢM",IF(AND($G358&lt;=0,$H358&lt;=0),"CHƯA NHẬP SỐ TIỀN",IF($D358="KHÔNG TÌM THẤY","MÃ KHÔNG HỢP LỆ",IF(AND($G358&gt;0,$J358=""),"THIẾU NGÀY ĐẾN HẠN","OK"))))))</f>
        <v/>
      </c>
    </row>
    <row r="359">
      <c r="A359" s="209" t="n"/>
      <c r="B359" s="47" t="n"/>
      <c r="C359" s="47" t="n"/>
      <c r="D359" s="51">
        <f>IF($C359="","",XLOOKUP($C359,'01_DANH_MUC'!$A$7:$A$206,'01_DANH_MUC'!$B$7:$B$206,"KHÔNG TÌM THẤY"))</f>
        <v/>
      </c>
      <c r="E359" s="51">
        <f>IF($C359="","",XLOOKUP($C359,'01_DANH_MUC'!$A$7:$A$206,'01_DANH_MUC'!$C$7:$C$206,"KHÔNG TÌM THẤY"))</f>
        <v/>
      </c>
      <c r="F359" s="57" t="n"/>
      <c r="G359" s="211" t="n"/>
      <c r="H359" s="211" t="n"/>
      <c r="I359" s="212">
        <f>IF($C359="","",XLOOKUP($C359,'01_DANH_MUC'!$A$7:$A$206,'01_DANH_MUC'!$E$7:$E$206,0))</f>
        <v/>
      </c>
      <c r="J359" s="213">
        <f>IF(OR($A359="",$C359="",$G359&lt;=0),"",$A359+$I359)</f>
        <v/>
      </c>
      <c r="K359" s="210">
        <f>IF($A359="","",IF(OR($C359="",$G359&lt;=0,$A359&gt;'03_BAO_CAO'!$E$4),0,MAX(0,$G359-MAX(0,SUMIFS($H$7:$H$506,$C$7:$C$506,$C359,$A$7:$A$506,"&lt;="&amp;'03_BAO_CAO'!$E$4)-XLOOKUP($C359,'01_DANH_MUC'!$A$7:$A$206,'01_DANH_MUC'!$F$7:$F$206,0)-SUMIFS($G$7:G358,$C$7:C358,$C359,$A$7:A358,"&lt;="&amp;'03_BAO_CAO'!$E$4)))))</f>
        <v/>
      </c>
      <c r="L359" s="212">
        <f>IF($A359="","",IF(OR($K359&lt;=0,$J359=""),0,MAX(0,'03_BAO_CAO'!$E$4-$J359)))</f>
        <v/>
      </c>
      <c r="M359" s="51">
        <f>IF($A359="","",IF($K359&lt;=0,"Đã thanh toán",IF($J359="","Thiếu ngày đến hạn",IF($J359&gt;='03_BAO_CAO'!$E$4,"Chưa đến hạn",IF($L359&lt;=30,"1-30 ngày",IF($L359&lt;=60,"31-60 ngày",IF($L359&lt;=90,"61-90 ngày","Trên 90 ngày")))))))</f>
        <v/>
      </c>
      <c r="N359" s="51">
        <f>IF($A359="","",IF(OR($B359="",$C359=""),"THIẾU THÔNG TIN",IF(AND($G359&gt;0,$H359&gt;0),"KHÔNG NHẬP ĐỒNG THỜI TĂNG/GIẢM",IF(AND($G359&lt;=0,$H359&lt;=0),"CHƯA NHẬP SỐ TIỀN",IF($D359="KHÔNG TÌM THẤY","MÃ KHÔNG HỢP LỆ",IF(AND($G359&gt;0,$J359=""),"THIẾU NGÀY ĐẾN HẠN","OK"))))))</f>
        <v/>
      </c>
    </row>
    <row r="360">
      <c r="A360" s="209" t="n"/>
      <c r="B360" s="47" t="n"/>
      <c r="C360" s="47" t="n"/>
      <c r="D360" s="51">
        <f>IF($C360="","",XLOOKUP($C360,'01_DANH_MUC'!$A$7:$A$206,'01_DANH_MUC'!$B$7:$B$206,"KHÔNG TÌM THẤY"))</f>
        <v/>
      </c>
      <c r="E360" s="51">
        <f>IF($C360="","",XLOOKUP($C360,'01_DANH_MUC'!$A$7:$A$206,'01_DANH_MUC'!$C$7:$C$206,"KHÔNG TÌM THẤY"))</f>
        <v/>
      </c>
      <c r="F360" s="57" t="n"/>
      <c r="G360" s="211" t="n"/>
      <c r="H360" s="211" t="n"/>
      <c r="I360" s="212">
        <f>IF($C360="","",XLOOKUP($C360,'01_DANH_MUC'!$A$7:$A$206,'01_DANH_MUC'!$E$7:$E$206,0))</f>
        <v/>
      </c>
      <c r="J360" s="213">
        <f>IF(OR($A360="",$C360="",$G360&lt;=0),"",$A360+$I360)</f>
        <v/>
      </c>
      <c r="K360" s="210">
        <f>IF($A360="","",IF(OR($C360="",$G360&lt;=0,$A360&gt;'03_BAO_CAO'!$E$4),0,MAX(0,$G360-MAX(0,SUMIFS($H$7:$H$506,$C$7:$C$506,$C360,$A$7:$A$506,"&lt;="&amp;'03_BAO_CAO'!$E$4)-XLOOKUP($C360,'01_DANH_MUC'!$A$7:$A$206,'01_DANH_MUC'!$F$7:$F$206,0)-SUMIFS($G$7:G359,$C$7:C359,$C360,$A$7:A359,"&lt;="&amp;'03_BAO_CAO'!$E$4)))))</f>
        <v/>
      </c>
      <c r="L360" s="212">
        <f>IF($A360="","",IF(OR($K360&lt;=0,$J360=""),0,MAX(0,'03_BAO_CAO'!$E$4-$J360)))</f>
        <v/>
      </c>
      <c r="M360" s="51">
        <f>IF($A360="","",IF($K360&lt;=0,"Đã thanh toán",IF($J360="","Thiếu ngày đến hạn",IF($J360&gt;='03_BAO_CAO'!$E$4,"Chưa đến hạn",IF($L360&lt;=30,"1-30 ngày",IF($L360&lt;=60,"31-60 ngày",IF($L360&lt;=90,"61-90 ngày","Trên 90 ngày")))))))</f>
        <v/>
      </c>
      <c r="N360" s="51">
        <f>IF($A360="","",IF(OR($B360="",$C360=""),"THIẾU THÔNG TIN",IF(AND($G360&gt;0,$H360&gt;0),"KHÔNG NHẬP ĐỒNG THỜI TĂNG/GIẢM",IF(AND($G360&lt;=0,$H360&lt;=0),"CHƯA NHẬP SỐ TIỀN",IF($D360="KHÔNG TÌM THẤY","MÃ KHÔNG HỢP LỆ",IF(AND($G360&gt;0,$J360=""),"THIẾU NGÀY ĐẾN HẠN","OK"))))))</f>
        <v/>
      </c>
    </row>
    <row r="361">
      <c r="A361" s="209" t="n"/>
      <c r="B361" s="47" t="n"/>
      <c r="C361" s="47" t="n"/>
      <c r="D361" s="51">
        <f>IF($C361="","",XLOOKUP($C361,'01_DANH_MUC'!$A$7:$A$206,'01_DANH_MUC'!$B$7:$B$206,"KHÔNG TÌM THẤY"))</f>
        <v/>
      </c>
      <c r="E361" s="51">
        <f>IF($C361="","",XLOOKUP($C361,'01_DANH_MUC'!$A$7:$A$206,'01_DANH_MUC'!$C$7:$C$206,"KHÔNG TÌM THẤY"))</f>
        <v/>
      </c>
      <c r="F361" s="57" t="n"/>
      <c r="G361" s="211" t="n"/>
      <c r="H361" s="211" t="n"/>
      <c r="I361" s="212">
        <f>IF($C361="","",XLOOKUP($C361,'01_DANH_MUC'!$A$7:$A$206,'01_DANH_MUC'!$E$7:$E$206,0))</f>
        <v/>
      </c>
      <c r="J361" s="213">
        <f>IF(OR($A361="",$C361="",$G361&lt;=0),"",$A361+$I361)</f>
        <v/>
      </c>
      <c r="K361" s="210">
        <f>IF($A361="","",IF(OR($C361="",$G361&lt;=0,$A361&gt;'03_BAO_CAO'!$E$4),0,MAX(0,$G361-MAX(0,SUMIFS($H$7:$H$506,$C$7:$C$506,$C361,$A$7:$A$506,"&lt;="&amp;'03_BAO_CAO'!$E$4)-XLOOKUP($C361,'01_DANH_MUC'!$A$7:$A$206,'01_DANH_MUC'!$F$7:$F$206,0)-SUMIFS($G$7:G360,$C$7:C360,$C361,$A$7:A360,"&lt;="&amp;'03_BAO_CAO'!$E$4)))))</f>
        <v/>
      </c>
      <c r="L361" s="212">
        <f>IF($A361="","",IF(OR($K361&lt;=0,$J361=""),0,MAX(0,'03_BAO_CAO'!$E$4-$J361)))</f>
        <v/>
      </c>
      <c r="M361" s="51">
        <f>IF($A361="","",IF($K361&lt;=0,"Đã thanh toán",IF($J361="","Thiếu ngày đến hạn",IF($J361&gt;='03_BAO_CAO'!$E$4,"Chưa đến hạn",IF($L361&lt;=30,"1-30 ngày",IF($L361&lt;=60,"31-60 ngày",IF($L361&lt;=90,"61-90 ngày","Trên 90 ngày")))))))</f>
        <v/>
      </c>
      <c r="N361" s="51">
        <f>IF($A361="","",IF(OR($B361="",$C361=""),"THIẾU THÔNG TIN",IF(AND($G361&gt;0,$H361&gt;0),"KHÔNG NHẬP ĐỒNG THỜI TĂNG/GIẢM",IF(AND($G361&lt;=0,$H361&lt;=0),"CHƯA NHẬP SỐ TIỀN",IF($D361="KHÔNG TÌM THẤY","MÃ KHÔNG HỢP LỆ",IF(AND($G361&gt;0,$J361=""),"THIẾU NGÀY ĐẾN HẠN","OK"))))))</f>
        <v/>
      </c>
    </row>
    <row r="362">
      <c r="A362" s="209" t="n"/>
      <c r="B362" s="47" t="n"/>
      <c r="C362" s="47" t="n"/>
      <c r="D362" s="51">
        <f>IF($C362="","",XLOOKUP($C362,'01_DANH_MUC'!$A$7:$A$206,'01_DANH_MUC'!$B$7:$B$206,"KHÔNG TÌM THẤY"))</f>
        <v/>
      </c>
      <c r="E362" s="51">
        <f>IF($C362="","",XLOOKUP($C362,'01_DANH_MUC'!$A$7:$A$206,'01_DANH_MUC'!$C$7:$C$206,"KHÔNG TÌM THẤY"))</f>
        <v/>
      </c>
      <c r="F362" s="57" t="n"/>
      <c r="G362" s="211" t="n"/>
      <c r="H362" s="211" t="n"/>
      <c r="I362" s="212">
        <f>IF($C362="","",XLOOKUP($C362,'01_DANH_MUC'!$A$7:$A$206,'01_DANH_MUC'!$E$7:$E$206,0))</f>
        <v/>
      </c>
      <c r="J362" s="213">
        <f>IF(OR($A362="",$C362="",$G362&lt;=0),"",$A362+$I362)</f>
        <v/>
      </c>
      <c r="K362" s="210">
        <f>IF($A362="","",IF(OR($C362="",$G362&lt;=0,$A362&gt;'03_BAO_CAO'!$E$4),0,MAX(0,$G362-MAX(0,SUMIFS($H$7:$H$506,$C$7:$C$506,$C362,$A$7:$A$506,"&lt;="&amp;'03_BAO_CAO'!$E$4)-XLOOKUP($C362,'01_DANH_MUC'!$A$7:$A$206,'01_DANH_MUC'!$F$7:$F$206,0)-SUMIFS($G$7:G361,$C$7:C361,$C362,$A$7:A361,"&lt;="&amp;'03_BAO_CAO'!$E$4)))))</f>
        <v/>
      </c>
      <c r="L362" s="212">
        <f>IF($A362="","",IF(OR($K362&lt;=0,$J362=""),0,MAX(0,'03_BAO_CAO'!$E$4-$J362)))</f>
        <v/>
      </c>
      <c r="M362" s="51">
        <f>IF($A362="","",IF($K362&lt;=0,"Đã thanh toán",IF($J362="","Thiếu ngày đến hạn",IF($J362&gt;='03_BAO_CAO'!$E$4,"Chưa đến hạn",IF($L362&lt;=30,"1-30 ngày",IF($L362&lt;=60,"31-60 ngày",IF($L362&lt;=90,"61-90 ngày","Trên 90 ngày")))))))</f>
        <v/>
      </c>
      <c r="N362" s="51">
        <f>IF($A362="","",IF(OR($B362="",$C362=""),"THIẾU THÔNG TIN",IF(AND($G362&gt;0,$H362&gt;0),"KHÔNG NHẬP ĐỒNG THỜI TĂNG/GIẢM",IF(AND($G362&lt;=0,$H362&lt;=0),"CHƯA NHẬP SỐ TIỀN",IF($D362="KHÔNG TÌM THẤY","MÃ KHÔNG HỢP LỆ",IF(AND($G362&gt;0,$J362=""),"THIẾU NGÀY ĐẾN HẠN","OK"))))))</f>
        <v/>
      </c>
    </row>
    <row r="363">
      <c r="A363" s="209" t="n"/>
      <c r="B363" s="47" t="n"/>
      <c r="C363" s="47" t="n"/>
      <c r="D363" s="51">
        <f>IF($C363="","",XLOOKUP($C363,'01_DANH_MUC'!$A$7:$A$206,'01_DANH_MUC'!$B$7:$B$206,"KHÔNG TÌM THẤY"))</f>
        <v/>
      </c>
      <c r="E363" s="51">
        <f>IF($C363="","",XLOOKUP($C363,'01_DANH_MUC'!$A$7:$A$206,'01_DANH_MUC'!$C$7:$C$206,"KHÔNG TÌM THẤY"))</f>
        <v/>
      </c>
      <c r="F363" s="57" t="n"/>
      <c r="G363" s="211" t="n"/>
      <c r="H363" s="211" t="n"/>
      <c r="I363" s="212">
        <f>IF($C363="","",XLOOKUP($C363,'01_DANH_MUC'!$A$7:$A$206,'01_DANH_MUC'!$E$7:$E$206,0))</f>
        <v/>
      </c>
      <c r="J363" s="213">
        <f>IF(OR($A363="",$C363="",$G363&lt;=0),"",$A363+$I363)</f>
        <v/>
      </c>
      <c r="K363" s="210">
        <f>IF($A363="","",IF(OR($C363="",$G363&lt;=0,$A363&gt;'03_BAO_CAO'!$E$4),0,MAX(0,$G363-MAX(0,SUMIFS($H$7:$H$506,$C$7:$C$506,$C363,$A$7:$A$506,"&lt;="&amp;'03_BAO_CAO'!$E$4)-XLOOKUP($C363,'01_DANH_MUC'!$A$7:$A$206,'01_DANH_MUC'!$F$7:$F$206,0)-SUMIFS($G$7:G362,$C$7:C362,$C363,$A$7:A362,"&lt;="&amp;'03_BAO_CAO'!$E$4)))))</f>
        <v/>
      </c>
      <c r="L363" s="212">
        <f>IF($A363="","",IF(OR($K363&lt;=0,$J363=""),0,MAX(0,'03_BAO_CAO'!$E$4-$J363)))</f>
        <v/>
      </c>
      <c r="M363" s="51">
        <f>IF($A363="","",IF($K363&lt;=0,"Đã thanh toán",IF($J363="","Thiếu ngày đến hạn",IF($J363&gt;='03_BAO_CAO'!$E$4,"Chưa đến hạn",IF($L363&lt;=30,"1-30 ngày",IF($L363&lt;=60,"31-60 ngày",IF($L363&lt;=90,"61-90 ngày","Trên 90 ngày")))))))</f>
        <v/>
      </c>
      <c r="N363" s="51">
        <f>IF($A363="","",IF(OR($B363="",$C363=""),"THIẾU THÔNG TIN",IF(AND($G363&gt;0,$H363&gt;0),"KHÔNG NHẬP ĐỒNG THỜI TĂNG/GIẢM",IF(AND($G363&lt;=0,$H363&lt;=0),"CHƯA NHẬP SỐ TIỀN",IF($D363="KHÔNG TÌM THẤY","MÃ KHÔNG HỢP LỆ",IF(AND($G363&gt;0,$J363=""),"THIẾU NGÀY ĐẾN HẠN","OK"))))))</f>
        <v/>
      </c>
    </row>
    <row r="364">
      <c r="A364" s="209" t="n"/>
      <c r="B364" s="47" t="n"/>
      <c r="C364" s="47" t="n"/>
      <c r="D364" s="51">
        <f>IF($C364="","",XLOOKUP($C364,'01_DANH_MUC'!$A$7:$A$206,'01_DANH_MUC'!$B$7:$B$206,"KHÔNG TÌM THẤY"))</f>
        <v/>
      </c>
      <c r="E364" s="51">
        <f>IF($C364="","",XLOOKUP($C364,'01_DANH_MUC'!$A$7:$A$206,'01_DANH_MUC'!$C$7:$C$206,"KHÔNG TÌM THẤY"))</f>
        <v/>
      </c>
      <c r="F364" s="57" t="n"/>
      <c r="G364" s="211" t="n"/>
      <c r="H364" s="211" t="n"/>
      <c r="I364" s="212">
        <f>IF($C364="","",XLOOKUP($C364,'01_DANH_MUC'!$A$7:$A$206,'01_DANH_MUC'!$E$7:$E$206,0))</f>
        <v/>
      </c>
      <c r="J364" s="213">
        <f>IF(OR($A364="",$C364="",$G364&lt;=0),"",$A364+$I364)</f>
        <v/>
      </c>
      <c r="K364" s="210">
        <f>IF($A364="","",IF(OR($C364="",$G364&lt;=0,$A364&gt;'03_BAO_CAO'!$E$4),0,MAX(0,$G364-MAX(0,SUMIFS($H$7:$H$506,$C$7:$C$506,$C364,$A$7:$A$506,"&lt;="&amp;'03_BAO_CAO'!$E$4)-XLOOKUP($C364,'01_DANH_MUC'!$A$7:$A$206,'01_DANH_MUC'!$F$7:$F$206,0)-SUMIFS($G$7:G363,$C$7:C363,$C364,$A$7:A363,"&lt;="&amp;'03_BAO_CAO'!$E$4)))))</f>
        <v/>
      </c>
      <c r="L364" s="212">
        <f>IF($A364="","",IF(OR($K364&lt;=0,$J364=""),0,MAX(0,'03_BAO_CAO'!$E$4-$J364)))</f>
        <v/>
      </c>
      <c r="M364" s="51">
        <f>IF($A364="","",IF($K364&lt;=0,"Đã thanh toán",IF($J364="","Thiếu ngày đến hạn",IF($J364&gt;='03_BAO_CAO'!$E$4,"Chưa đến hạn",IF($L364&lt;=30,"1-30 ngày",IF($L364&lt;=60,"31-60 ngày",IF($L364&lt;=90,"61-90 ngày","Trên 90 ngày")))))))</f>
        <v/>
      </c>
      <c r="N364" s="51">
        <f>IF($A364="","",IF(OR($B364="",$C364=""),"THIẾU THÔNG TIN",IF(AND($G364&gt;0,$H364&gt;0),"KHÔNG NHẬP ĐỒNG THỜI TĂNG/GIẢM",IF(AND($G364&lt;=0,$H364&lt;=0),"CHƯA NHẬP SỐ TIỀN",IF($D364="KHÔNG TÌM THẤY","MÃ KHÔNG HỢP LỆ",IF(AND($G364&gt;0,$J364=""),"THIẾU NGÀY ĐẾN HẠN","OK"))))))</f>
        <v/>
      </c>
    </row>
    <row r="365">
      <c r="A365" s="209" t="n"/>
      <c r="B365" s="47" t="n"/>
      <c r="C365" s="47" t="n"/>
      <c r="D365" s="51">
        <f>IF($C365="","",XLOOKUP($C365,'01_DANH_MUC'!$A$7:$A$206,'01_DANH_MUC'!$B$7:$B$206,"KHÔNG TÌM THẤY"))</f>
        <v/>
      </c>
      <c r="E365" s="51">
        <f>IF($C365="","",XLOOKUP($C365,'01_DANH_MUC'!$A$7:$A$206,'01_DANH_MUC'!$C$7:$C$206,"KHÔNG TÌM THẤY"))</f>
        <v/>
      </c>
      <c r="F365" s="57" t="n"/>
      <c r="G365" s="211" t="n"/>
      <c r="H365" s="211" t="n"/>
      <c r="I365" s="212">
        <f>IF($C365="","",XLOOKUP($C365,'01_DANH_MUC'!$A$7:$A$206,'01_DANH_MUC'!$E$7:$E$206,0))</f>
        <v/>
      </c>
      <c r="J365" s="213">
        <f>IF(OR($A365="",$C365="",$G365&lt;=0),"",$A365+$I365)</f>
        <v/>
      </c>
      <c r="K365" s="210">
        <f>IF($A365="","",IF(OR($C365="",$G365&lt;=0,$A365&gt;'03_BAO_CAO'!$E$4),0,MAX(0,$G365-MAX(0,SUMIFS($H$7:$H$506,$C$7:$C$506,$C365,$A$7:$A$506,"&lt;="&amp;'03_BAO_CAO'!$E$4)-XLOOKUP($C365,'01_DANH_MUC'!$A$7:$A$206,'01_DANH_MUC'!$F$7:$F$206,0)-SUMIFS($G$7:G364,$C$7:C364,$C365,$A$7:A364,"&lt;="&amp;'03_BAO_CAO'!$E$4)))))</f>
        <v/>
      </c>
      <c r="L365" s="212">
        <f>IF($A365="","",IF(OR($K365&lt;=0,$J365=""),0,MAX(0,'03_BAO_CAO'!$E$4-$J365)))</f>
        <v/>
      </c>
      <c r="M365" s="51">
        <f>IF($A365="","",IF($K365&lt;=0,"Đã thanh toán",IF($J365="","Thiếu ngày đến hạn",IF($J365&gt;='03_BAO_CAO'!$E$4,"Chưa đến hạn",IF($L365&lt;=30,"1-30 ngày",IF($L365&lt;=60,"31-60 ngày",IF($L365&lt;=90,"61-90 ngày","Trên 90 ngày")))))))</f>
        <v/>
      </c>
      <c r="N365" s="51">
        <f>IF($A365="","",IF(OR($B365="",$C365=""),"THIẾU THÔNG TIN",IF(AND($G365&gt;0,$H365&gt;0),"KHÔNG NHẬP ĐỒNG THỜI TĂNG/GIẢM",IF(AND($G365&lt;=0,$H365&lt;=0),"CHƯA NHẬP SỐ TIỀN",IF($D365="KHÔNG TÌM THẤY","MÃ KHÔNG HỢP LỆ",IF(AND($G365&gt;0,$J365=""),"THIẾU NGÀY ĐẾN HẠN","OK"))))))</f>
        <v/>
      </c>
    </row>
    <row r="366">
      <c r="A366" s="209" t="n"/>
      <c r="B366" s="47" t="n"/>
      <c r="C366" s="47" t="n"/>
      <c r="D366" s="51">
        <f>IF($C366="","",XLOOKUP($C366,'01_DANH_MUC'!$A$7:$A$206,'01_DANH_MUC'!$B$7:$B$206,"KHÔNG TÌM THẤY"))</f>
        <v/>
      </c>
      <c r="E366" s="51">
        <f>IF($C366="","",XLOOKUP($C366,'01_DANH_MUC'!$A$7:$A$206,'01_DANH_MUC'!$C$7:$C$206,"KHÔNG TÌM THẤY"))</f>
        <v/>
      </c>
      <c r="F366" s="57" t="n"/>
      <c r="G366" s="211" t="n"/>
      <c r="H366" s="211" t="n"/>
      <c r="I366" s="212">
        <f>IF($C366="","",XLOOKUP($C366,'01_DANH_MUC'!$A$7:$A$206,'01_DANH_MUC'!$E$7:$E$206,0))</f>
        <v/>
      </c>
      <c r="J366" s="213">
        <f>IF(OR($A366="",$C366="",$G366&lt;=0),"",$A366+$I366)</f>
        <v/>
      </c>
      <c r="K366" s="210">
        <f>IF($A366="","",IF(OR($C366="",$G366&lt;=0,$A366&gt;'03_BAO_CAO'!$E$4),0,MAX(0,$G366-MAX(0,SUMIFS($H$7:$H$506,$C$7:$C$506,$C366,$A$7:$A$506,"&lt;="&amp;'03_BAO_CAO'!$E$4)-XLOOKUP($C366,'01_DANH_MUC'!$A$7:$A$206,'01_DANH_MUC'!$F$7:$F$206,0)-SUMIFS($G$7:G365,$C$7:C365,$C366,$A$7:A365,"&lt;="&amp;'03_BAO_CAO'!$E$4)))))</f>
        <v/>
      </c>
      <c r="L366" s="212">
        <f>IF($A366="","",IF(OR($K366&lt;=0,$J366=""),0,MAX(0,'03_BAO_CAO'!$E$4-$J366)))</f>
        <v/>
      </c>
      <c r="M366" s="51">
        <f>IF($A366="","",IF($K366&lt;=0,"Đã thanh toán",IF($J366="","Thiếu ngày đến hạn",IF($J366&gt;='03_BAO_CAO'!$E$4,"Chưa đến hạn",IF($L366&lt;=30,"1-30 ngày",IF($L366&lt;=60,"31-60 ngày",IF($L366&lt;=90,"61-90 ngày","Trên 90 ngày")))))))</f>
        <v/>
      </c>
      <c r="N366" s="51">
        <f>IF($A366="","",IF(OR($B366="",$C366=""),"THIẾU THÔNG TIN",IF(AND($G366&gt;0,$H366&gt;0),"KHÔNG NHẬP ĐỒNG THỜI TĂNG/GIẢM",IF(AND($G366&lt;=0,$H366&lt;=0),"CHƯA NHẬP SỐ TIỀN",IF($D366="KHÔNG TÌM THẤY","MÃ KHÔNG HỢP LỆ",IF(AND($G366&gt;0,$J366=""),"THIẾU NGÀY ĐẾN HẠN","OK"))))))</f>
        <v/>
      </c>
    </row>
    <row r="367">
      <c r="A367" s="209" t="n"/>
      <c r="B367" s="47" t="n"/>
      <c r="C367" s="47" t="n"/>
      <c r="D367" s="51">
        <f>IF($C367="","",XLOOKUP($C367,'01_DANH_MUC'!$A$7:$A$206,'01_DANH_MUC'!$B$7:$B$206,"KHÔNG TÌM THẤY"))</f>
        <v/>
      </c>
      <c r="E367" s="51">
        <f>IF($C367="","",XLOOKUP($C367,'01_DANH_MUC'!$A$7:$A$206,'01_DANH_MUC'!$C$7:$C$206,"KHÔNG TÌM THẤY"))</f>
        <v/>
      </c>
      <c r="F367" s="57" t="n"/>
      <c r="G367" s="211" t="n"/>
      <c r="H367" s="211" t="n"/>
      <c r="I367" s="212">
        <f>IF($C367="","",XLOOKUP($C367,'01_DANH_MUC'!$A$7:$A$206,'01_DANH_MUC'!$E$7:$E$206,0))</f>
        <v/>
      </c>
      <c r="J367" s="213">
        <f>IF(OR($A367="",$C367="",$G367&lt;=0),"",$A367+$I367)</f>
        <v/>
      </c>
      <c r="K367" s="210">
        <f>IF($A367="","",IF(OR($C367="",$G367&lt;=0,$A367&gt;'03_BAO_CAO'!$E$4),0,MAX(0,$G367-MAX(0,SUMIFS($H$7:$H$506,$C$7:$C$506,$C367,$A$7:$A$506,"&lt;="&amp;'03_BAO_CAO'!$E$4)-XLOOKUP($C367,'01_DANH_MUC'!$A$7:$A$206,'01_DANH_MUC'!$F$7:$F$206,0)-SUMIFS($G$7:G366,$C$7:C366,$C367,$A$7:A366,"&lt;="&amp;'03_BAO_CAO'!$E$4)))))</f>
        <v/>
      </c>
      <c r="L367" s="212">
        <f>IF($A367="","",IF(OR($K367&lt;=0,$J367=""),0,MAX(0,'03_BAO_CAO'!$E$4-$J367)))</f>
        <v/>
      </c>
      <c r="M367" s="51">
        <f>IF($A367="","",IF($K367&lt;=0,"Đã thanh toán",IF($J367="","Thiếu ngày đến hạn",IF($J367&gt;='03_BAO_CAO'!$E$4,"Chưa đến hạn",IF($L367&lt;=30,"1-30 ngày",IF($L367&lt;=60,"31-60 ngày",IF($L367&lt;=90,"61-90 ngày","Trên 90 ngày")))))))</f>
        <v/>
      </c>
      <c r="N367" s="51">
        <f>IF($A367="","",IF(OR($B367="",$C367=""),"THIẾU THÔNG TIN",IF(AND($G367&gt;0,$H367&gt;0),"KHÔNG NHẬP ĐỒNG THỜI TĂNG/GIẢM",IF(AND($G367&lt;=0,$H367&lt;=0),"CHƯA NHẬP SỐ TIỀN",IF($D367="KHÔNG TÌM THẤY","MÃ KHÔNG HỢP LỆ",IF(AND($G367&gt;0,$J367=""),"THIẾU NGÀY ĐẾN HẠN","OK"))))))</f>
        <v/>
      </c>
    </row>
    <row r="368">
      <c r="A368" s="209" t="n"/>
      <c r="B368" s="47" t="n"/>
      <c r="C368" s="47" t="n"/>
      <c r="D368" s="51">
        <f>IF($C368="","",XLOOKUP($C368,'01_DANH_MUC'!$A$7:$A$206,'01_DANH_MUC'!$B$7:$B$206,"KHÔNG TÌM THẤY"))</f>
        <v/>
      </c>
      <c r="E368" s="51">
        <f>IF($C368="","",XLOOKUP($C368,'01_DANH_MUC'!$A$7:$A$206,'01_DANH_MUC'!$C$7:$C$206,"KHÔNG TÌM THẤY"))</f>
        <v/>
      </c>
      <c r="F368" s="57" t="n"/>
      <c r="G368" s="211" t="n"/>
      <c r="H368" s="211" t="n"/>
      <c r="I368" s="212">
        <f>IF($C368="","",XLOOKUP($C368,'01_DANH_MUC'!$A$7:$A$206,'01_DANH_MUC'!$E$7:$E$206,0))</f>
        <v/>
      </c>
      <c r="J368" s="213">
        <f>IF(OR($A368="",$C368="",$G368&lt;=0),"",$A368+$I368)</f>
        <v/>
      </c>
      <c r="K368" s="210">
        <f>IF($A368="","",IF(OR($C368="",$G368&lt;=0,$A368&gt;'03_BAO_CAO'!$E$4),0,MAX(0,$G368-MAX(0,SUMIFS($H$7:$H$506,$C$7:$C$506,$C368,$A$7:$A$506,"&lt;="&amp;'03_BAO_CAO'!$E$4)-XLOOKUP($C368,'01_DANH_MUC'!$A$7:$A$206,'01_DANH_MUC'!$F$7:$F$206,0)-SUMIFS($G$7:G367,$C$7:C367,$C368,$A$7:A367,"&lt;="&amp;'03_BAO_CAO'!$E$4)))))</f>
        <v/>
      </c>
      <c r="L368" s="212">
        <f>IF($A368="","",IF(OR($K368&lt;=0,$J368=""),0,MAX(0,'03_BAO_CAO'!$E$4-$J368)))</f>
        <v/>
      </c>
      <c r="M368" s="51">
        <f>IF($A368="","",IF($K368&lt;=0,"Đã thanh toán",IF($J368="","Thiếu ngày đến hạn",IF($J368&gt;='03_BAO_CAO'!$E$4,"Chưa đến hạn",IF($L368&lt;=30,"1-30 ngày",IF($L368&lt;=60,"31-60 ngày",IF($L368&lt;=90,"61-90 ngày","Trên 90 ngày")))))))</f>
        <v/>
      </c>
      <c r="N368" s="51">
        <f>IF($A368="","",IF(OR($B368="",$C368=""),"THIẾU THÔNG TIN",IF(AND($G368&gt;0,$H368&gt;0),"KHÔNG NHẬP ĐỒNG THỜI TĂNG/GIẢM",IF(AND($G368&lt;=0,$H368&lt;=0),"CHƯA NHẬP SỐ TIỀN",IF($D368="KHÔNG TÌM THẤY","MÃ KHÔNG HỢP LỆ",IF(AND($G368&gt;0,$J368=""),"THIẾU NGÀY ĐẾN HẠN","OK"))))))</f>
        <v/>
      </c>
    </row>
    <row r="369">
      <c r="A369" s="209" t="n"/>
      <c r="B369" s="47" t="n"/>
      <c r="C369" s="47" t="n"/>
      <c r="D369" s="51">
        <f>IF($C369="","",XLOOKUP($C369,'01_DANH_MUC'!$A$7:$A$206,'01_DANH_MUC'!$B$7:$B$206,"KHÔNG TÌM THẤY"))</f>
        <v/>
      </c>
      <c r="E369" s="51">
        <f>IF($C369="","",XLOOKUP($C369,'01_DANH_MUC'!$A$7:$A$206,'01_DANH_MUC'!$C$7:$C$206,"KHÔNG TÌM THẤY"))</f>
        <v/>
      </c>
      <c r="F369" s="57" t="n"/>
      <c r="G369" s="211" t="n"/>
      <c r="H369" s="211" t="n"/>
      <c r="I369" s="212">
        <f>IF($C369="","",XLOOKUP($C369,'01_DANH_MUC'!$A$7:$A$206,'01_DANH_MUC'!$E$7:$E$206,0))</f>
        <v/>
      </c>
      <c r="J369" s="213">
        <f>IF(OR($A369="",$C369="",$G369&lt;=0),"",$A369+$I369)</f>
        <v/>
      </c>
      <c r="K369" s="210">
        <f>IF($A369="","",IF(OR($C369="",$G369&lt;=0,$A369&gt;'03_BAO_CAO'!$E$4),0,MAX(0,$G369-MAX(0,SUMIFS($H$7:$H$506,$C$7:$C$506,$C369,$A$7:$A$506,"&lt;="&amp;'03_BAO_CAO'!$E$4)-XLOOKUP($C369,'01_DANH_MUC'!$A$7:$A$206,'01_DANH_MUC'!$F$7:$F$206,0)-SUMIFS($G$7:G368,$C$7:C368,$C369,$A$7:A368,"&lt;="&amp;'03_BAO_CAO'!$E$4)))))</f>
        <v/>
      </c>
      <c r="L369" s="212">
        <f>IF($A369="","",IF(OR($K369&lt;=0,$J369=""),0,MAX(0,'03_BAO_CAO'!$E$4-$J369)))</f>
        <v/>
      </c>
      <c r="M369" s="51">
        <f>IF($A369="","",IF($K369&lt;=0,"Đã thanh toán",IF($J369="","Thiếu ngày đến hạn",IF($J369&gt;='03_BAO_CAO'!$E$4,"Chưa đến hạn",IF($L369&lt;=30,"1-30 ngày",IF($L369&lt;=60,"31-60 ngày",IF($L369&lt;=90,"61-90 ngày","Trên 90 ngày")))))))</f>
        <v/>
      </c>
      <c r="N369" s="51">
        <f>IF($A369="","",IF(OR($B369="",$C369=""),"THIẾU THÔNG TIN",IF(AND($G369&gt;0,$H369&gt;0),"KHÔNG NHẬP ĐỒNG THỜI TĂNG/GIẢM",IF(AND($G369&lt;=0,$H369&lt;=0),"CHƯA NHẬP SỐ TIỀN",IF($D369="KHÔNG TÌM THẤY","MÃ KHÔNG HỢP LỆ",IF(AND($G369&gt;0,$J369=""),"THIẾU NGÀY ĐẾN HẠN","OK"))))))</f>
        <v/>
      </c>
    </row>
    <row r="370">
      <c r="A370" s="209" t="n"/>
      <c r="B370" s="47" t="n"/>
      <c r="C370" s="47" t="n"/>
      <c r="D370" s="51">
        <f>IF($C370="","",XLOOKUP($C370,'01_DANH_MUC'!$A$7:$A$206,'01_DANH_MUC'!$B$7:$B$206,"KHÔNG TÌM THẤY"))</f>
        <v/>
      </c>
      <c r="E370" s="51">
        <f>IF($C370="","",XLOOKUP($C370,'01_DANH_MUC'!$A$7:$A$206,'01_DANH_MUC'!$C$7:$C$206,"KHÔNG TÌM THẤY"))</f>
        <v/>
      </c>
      <c r="F370" s="57" t="n"/>
      <c r="G370" s="211" t="n"/>
      <c r="H370" s="211" t="n"/>
      <c r="I370" s="212">
        <f>IF($C370="","",XLOOKUP($C370,'01_DANH_MUC'!$A$7:$A$206,'01_DANH_MUC'!$E$7:$E$206,0))</f>
        <v/>
      </c>
      <c r="J370" s="213">
        <f>IF(OR($A370="",$C370="",$G370&lt;=0),"",$A370+$I370)</f>
        <v/>
      </c>
      <c r="K370" s="210">
        <f>IF($A370="","",IF(OR($C370="",$G370&lt;=0,$A370&gt;'03_BAO_CAO'!$E$4),0,MAX(0,$G370-MAX(0,SUMIFS($H$7:$H$506,$C$7:$C$506,$C370,$A$7:$A$506,"&lt;="&amp;'03_BAO_CAO'!$E$4)-XLOOKUP($C370,'01_DANH_MUC'!$A$7:$A$206,'01_DANH_MUC'!$F$7:$F$206,0)-SUMIFS($G$7:G369,$C$7:C369,$C370,$A$7:A369,"&lt;="&amp;'03_BAO_CAO'!$E$4)))))</f>
        <v/>
      </c>
      <c r="L370" s="212">
        <f>IF($A370="","",IF(OR($K370&lt;=0,$J370=""),0,MAX(0,'03_BAO_CAO'!$E$4-$J370)))</f>
        <v/>
      </c>
      <c r="M370" s="51">
        <f>IF($A370="","",IF($K370&lt;=0,"Đã thanh toán",IF($J370="","Thiếu ngày đến hạn",IF($J370&gt;='03_BAO_CAO'!$E$4,"Chưa đến hạn",IF($L370&lt;=30,"1-30 ngày",IF($L370&lt;=60,"31-60 ngày",IF($L370&lt;=90,"61-90 ngày","Trên 90 ngày")))))))</f>
        <v/>
      </c>
      <c r="N370" s="51">
        <f>IF($A370="","",IF(OR($B370="",$C370=""),"THIẾU THÔNG TIN",IF(AND($G370&gt;0,$H370&gt;0),"KHÔNG NHẬP ĐỒNG THỜI TĂNG/GIẢM",IF(AND($G370&lt;=0,$H370&lt;=0),"CHƯA NHẬP SỐ TIỀN",IF($D370="KHÔNG TÌM THẤY","MÃ KHÔNG HỢP LỆ",IF(AND($G370&gt;0,$J370=""),"THIẾU NGÀY ĐẾN HẠN","OK"))))))</f>
        <v/>
      </c>
    </row>
    <row r="371">
      <c r="A371" s="209" t="n"/>
      <c r="B371" s="47" t="n"/>
      <c r="C371" s="47" t="n"/>
      <c r="D371" s="51">
        <f>IF($C371="","",XLOOKUP($C371,'01_DANH_MUC'!$A$7:$A$206,'01_DANH_MUC'!$B$7:$B$206,"KHÔNG TÌM THẤY"))</f>
        <v/>
      </c>
      <c r="E371" s="51">
        <f>IF($C371="","",XLOOKUP($C371,'01_DANH_MUC'!$A$7:$A$206,'01_DANH_MUC'!$C$7:$C$206,"KHÔNG TÌM THẤY"))</f>
        <v/>
      </c>
      <c r="F371" s="57" t="n"/>
      <c r="G371" s="211" t="n"/>
      <c r="H371" s="211" t="n"/>
      <c r="I371" s="212">
        <f>IF($C371="","",XLOOKUP($C371,'01_DANH_MUC'!$A$7:$A$206,'01_DANH_MUC'!$E$7:$E$206,0))</f>
        <v/>
      </c>
      <c r="J371" s="213">
        <f>IF(OR($A371="",$C371="",$G371&lt;=0),"",$A371+$I371)</f>
        <v/>
      </c>
      <c r="K371" s="210">
        <f>IF($A371="","",IF(OR($C371="",$G371&lt;=0,$A371&gt;'03_BAO_CAO'!$E$4),0,MAX(0,$G371-MAX(0,SUMIFS($H$7:$H$506,$C$7:$C$506,$C371,$A$7:$A$506,"&lt;="&amp;'03_BAO_CAO'!$E$4)-XLOOKUP($C371,'01_DANH_MUC'!$A$7:$A$206,'01_DANH_MUC'!$F$7:$F$206,0)-SUMIFS($G$7:G370,$C$7:C370,$C371,$A$7:A370,"&lt;="&amp;'03_BAO_CAO'!$E$4)))))</f>
        <v/>
      </c>
      <c r="L371" s="212">
        <f>IF($A371="","",IF(OR($K371&lt;=0,$J371=""),0,MAX(0,'03_BAO_CAO'!$E$4-$J371)))</f>
        <v/>
      </c>
      <c r="M371" s="51">
        <f>IF($A371="","",IF($K371&lt;=0,"Đã thanh toán",IF($J371="","Thiếu ngày đến hạn",IF($J371&gt;='03_BAO_CAO'!$E$4,"Chưa đến hạn",IF($L371&lt;=30,"1-30 ngày",IF($L371&lt;=60,"31-60 ngày",IF($L371&lt;=90,"61-90 ngày","Trên 90 ngày")))))))</f>
        <v/>
      </c>
      <c r="N371" s="51">
        <f>IF($A371="","",IF(OR($B371="",$C371=""),"THIẾU THÔNG TIN",IF(AND($G371&gt;0,$H371&gt;0),"KHÔNG NHẬP ĐỒNG THỜI TĂNG/GIẢM",IF(AND($G371&lt;=0,$H371&lt;=0),"CHƯA NHẬP SỐ TIỀN",IF($D371="KHÔNG TÌM THẤY","MÃ KHÔNG HỢP LỆ",IF(AND($G371&gt;0,$J371=""),"THIẾU NGÀY ĐẾN HẠN","OK"))))))</f>
        <v/>
      </c>
    </row>
    <row r="372">
      <c r="A372" s="209" t="n"/>
      <c r="B372" s="47" t="n"/>
      <c r="C372" s="47" t="n"/>
      <c r="D372" s="51">
        <f>IF($C372="","",XLOOKUP($C372,'01_DANH_MUC'!$A$7:$A$206,'01_DANH_MUC'!$B$7:$B$206,"KHÔNG TÌM THẤY"))</f>
        <v/>
      </c>
      <c r="E372" s="51">
        <f>IF($C372="","",XLOOKUP($C372,'01_DANH_MUC'!$A$7:$A$206,'01_DANH_MUC'!$C$7:$C$206,"KHÔNG TÌM THẤY"))</f>
        <v/>
      </c>
      <c r="F372" s="57" t="n"/>
      <c r="G372" s="211" t="n"/>
      <c r="H372" s="211" t="n"/>
      <c r="I372" s="212">
        <f>IF($C372="","",XLOOKUP($C372,'01_DANH_MUC'!$A$7:$A$206,'01_DANH_MUC'!$E$7:$E$206,0))</f>
        <v/>
      </c>
      <c r="J372" s="213">
        <f>IF(OR($A372="",$C372="",$G372&lt;=0),"",$A372+$I372)</f>
        <v/>
      </c>
      <c r="K372" s="210">
        <f>IF($A372="","",IF(OR($C372="",$G372&lt;=0,$A372&gt;'03_BAO_CAO'!$E$4),0,MAX(0,$G372-MAX(0,SUMIFS($H$7:$H$506,$C$7:$C$506,$C372,$A$7:$A$506,"&lt;="&amp;'03_BAO_CAO'!$E$4)-XLOOKUP($C372,'01_DANH_MUC'!$A$7:$A$206,'01_DANH_MUC'!$F$7:$F$206,0)-SUMIFS($G$7:G371,$C$7:C371,$C372,$A$7:A371,"&lt;="&amp;'03_BAO_CAO'!$E$4)))))</f>
        <v/>
      </c>
      <c r="L372" s="212">
        <f>IF($A372="","",IF(OR($K372&lt;=0,$J372=""),0,MAX(0,'03_BAO_CAO'!$E$4-$J372)))</f>
        <v/>
      </c>
      <c r="M372" s="51">
        <f>IF($A372="","",IF($K372&lt;=0,"Đã thanh toán",IF($J372="","Thiếu ngày đến hạn",IF($J372&gt;='03_BAO_CAO'!$E$4,"Chưa đến hạn",IF($L372&lt;=30,"1-30 ngày",IF($L372&lt;=60,"31-60 ngày",IF($L372&lt;=90,"61-90 ngày","Trên 90 ngày")))))))</f>
        <v/>
      </c>
      <c r="N372" s="51">
        <f>IF($A372="","",IF(OR($B372="",$C372=""),"THIẾU THÔNG TIN",IF(AND($G372&gt;0,$H372&gt;0),"KHÔNG NHẬP ĐỒNG THỜI TĂNG/GIẢM",IF(AND($G372&lt;=0,$H372&lt;=0),"CHƯA NHẬP SỐ TIỀN",IF($D372="KHÔNG TÌM THẤY","MÃ KHÔNG HỢP LỆ",IF(AND($G372&gt;0,$J372=""),"THIẾU NGÀY ĐẾN HẠN","OK"))))))</f>
        <v/>
      </c>
    </row>
    <row r="373">
      <c r="A373" s="209" t="n"/>
      <c r="B373" s="47" t="n"/>
      <c r="C373" s="47" t="n"/>
      <c r="D373" s="51">
        <f>IF($C373="","",XLOOKUP($C373,'01_DANH_MUC'!$A$7:$A$206,'01_DANH_MUC'!$B$7:$B$206,"KHÔNG TÌM THẤY"))</f>
        <v/>
      </c>
      <c r="E373" s="51">
        <f>IF($C373="","",XLOOKUP($C373,'01_DANH_MUC'!$A$7:$A$206,'01_DANH_MUC'!$C$7:$C$206,"KHÔNG TÌM THẤY"))</f>
        <v/>
      </c>
      <c r="F373" s="57" t="n"/>
      <c r="G373" s="211" t="n"/>
      <c r="H373" s="211" t="n"/>
      <c r="I373" s="212">
        <f>IF($C373="","",XLOOKUP($C373,'01_DANH_MUC'!$A$7:$A$206,'01_DANH_MUC'!$E$7:$E$206,0))</f>
        <v/>
      </c>
      <c r="J373" s="213">
        <f>IF(OR($A373="",$C373="",$G373&lt;=0),"",$A373+$I373)</f>
        <v/>
      </c>
      <c r="K373" s="210">
        <f>IF($A373="","",IF(OR($C373="",$G373&lt;=0,$A373&gt;'03_BAO_CAO'!$E$4),0,MAX(0,$G373-MAX(0,SUMIFS($H$7:$H$506,$C$7:$C$506,$C373,$A$7:$A$506,"&lt;="&amp;'03_BAO_CAO'!$E$4)-XLOOKUP($C373,'01_DANH_MUC'!$A$7:$A$206,'01_DANH_MUC'!$F$7:$F$206,0)-SUMIFS($G$7:G372,$C$7:C372,$C373,$A$7:A372,"&lt;="&amp;'03_BAO_CAO'!$E$4)))))</f>
        <v/>
      </c>
      <c r="L373" s="212">
        <f>IF($A373="","",IF(OR($K373&lt;=0,$J373=""),0,MAX(0,'03_BAO_CAO'!$E$4-$J373)))</f>
        <v/>
      </c>
      <c r="M373" s="51">
        <f>IF($A373="","",IF($K373&lt;=0,"Đã thanh toán",IF($J373="","Thiếu ngày đến hạn",IF($J373&gt;='03_BAO_CAO'!$E$4,"Chưa đến hạn",IF($L373&lt;=30,"1-30 ngày",IF($L373&lt;=60,"31-60 ngày",IF($L373&lt;=90,"61-90 ngày","Trên 90 ngày")))))))</f>
        <v/>
      </c>
      <c r="N373" s="51">
        <f>IF($A373="","",IF(OR($B373="",$C373=""),"THIẾU THÔNG TIN",IF(AND($G373&gt;0,$H373&gt;0),"KHÔNG NHẬP ĐỒNG THỜI TĂNG/GIẢM",IF(AND($G373&lt;=0,$H373&lt;=0),"CHƯA NHẬP SỐ TIỀN",IF($D373="KHÔNG TÌM THẤY","MÃ KHÔNG HỢP LỆ",IF(AND($G373&gt;0,$J373=""),"THIẾU NGÀY ĐẾN HẠN","OK"))))))</f>
        <v/>
      </c>
    </row>
    <row r="374">
      <c r="A374" s="209" t="n"/>
      <c r="B374" s="47" t="n"/>
      <c r="C374" s="47" t="n"/>
      <c r="D374" s="51">
        <f>IF($C374="","",XLOOKUP($C374,'01_DANH_MUC'!$A$7:$A$206,'01_DANH_MUC'!$B$7:$B$206,"KHÔNG TÌM THẤY"))</f>
        <v/>
      </c>
      <c r="E374" s="51">
        <f>IF($C374="","",XLOOKUP($C374,'01_DANH_MUC'!$A$7:$A$206,'01_DANH_MUC'!$C$7:$C$206,"KHÔNG TÌM THẤY"))</f>
        <v/>
      </c>
      <c r="F374" s="57" t="n"/>
      <c r="G374" s="211" t="n"/>
      <c r="H374" s="211" t="n"/>
      <c r="I374" s="212">
        <f>IF($C374="","",XLOOKUP($C374,'01_DANH_MUC'!$A$7:$A$206,'01_DANH_MUC'!$E$7:$E$206,0))</f>
        <v/>
      </c>
      <c r="J374" s="213">
        <f>IF(OR($A374="",$C374="",$G374&lt;=0),"",$A374+$I374)</f>
        <v/>
      </c>
      <c r="K374" s="210">
        <f>IF($A374="","",IF(OR($C374="",$G374&lt;=0,$A374&gt;'03_BAO_CAO'!$E$4),0,MAX(0,$G374-MAX(0,SUMIFS($H$7:$H$506,$C$7:$C$506,$C374,$A$7:$A$506,"&lt;="&amp;'03_BAO_CAO'!$E$4)-XLOOKUP($C374,'01_DANH_MUC'!$A$7:$A$206,'01_DANH_MUC'!$F$7:$F$206,0)-SUMIFS($G$7:G373,$C$7:C373,$C374,$A$7:A373,"&lt;="&amp;'03_BAO_CAO'!$E$4)))))</f>
        <v/>
      </c>
      <c r="L374" s="212">
        <f>IF($A374="","",IF(OR($K374&lt;=0,$J374=""),0,MAX(0,'03_BAO_CAO'!$E$4-$J374)))</f>
        <v/>
      </c>
      <c r="M374" s="51">
        <f>IF($A374="","",IF($K374&lt;=0,"Đã thanh toán",IF($J374="","Thiếu ngày đến hạn",IF($J374&gt;='03_BAO_CAO'!$E$4,"Chưa đến hạn",IF($L374&lt;=30,"1-30 ngày",IF($L374&lt;=60,"31-60 ngày",IF($L374&lt;=90,"61-90 ngày","Trên 90 ngày")))))))</f>
        <v/>
      </c>
      <c r="N374" s="51">
        <f>IF($A374="","",IF(OR($B374="",$C374=""),"THIẾU THÔNG TIN",IF(AND($G374&gt;0,$H374&gt;0),"KHÔNG NHẬP ĐỒNG THỜI TĂNG/GIẢM",IF(AND($G374&lt;=0,$H374&lt;=0),"CHƯA NHẬP SỐ TIỀN",IF($D374="KHÔNG TÌM THẤY","MÃ KHÔNG HỢP LỆ",IF(AND($G374&gt;0,$J374=""),"THIẾU NGÀY ĐẾN HẠN","OK"))))))</f>
        <v/>
      </c>
    </row>
    <row r="375">
      <c r="A375" s="209" t="n"/>
      <c r="B375" s="47" t="n"/>
      <c r="C375" s="47" t="n"/>
      <c r="D375" s="51">
        <f>IF($C375="","",XLOOKUP($C375,'01_DANH_MUC'!$A$7:$A$206,'01_DANH_MUC'!$B$7:$B$206,"KHÔNG TÌM THẤY"))</f>
        <v/>
      </c>
      <c r="E375" s="51">
        <f>IF($C375="","",XLOOKUP($C375,'01_DANH_MUC'!$A$7:$A$206,'01_DANH_MUC'!$C$7:$C$206,"KHÔNG TÌM THẤY"))</f>
        <v/>
      </c>
      <c r="F375" s="57" t="n"/>
      <c r="G375" s="211" t="n"/>
      <c r="H375" s="211" t="n"/>
      <c r="I375" s="212">
        <f>IF($C375="","",XLOOKUP($C375,'01_DANH_MUC'!$A$7:$A$206,'01_DANH_MUC'!$E$7:$E$206,0))</f>
        <v/>
      </c>
      <c r="J375" s="213">
        <f>IF(OR($A375="",$C375="",$G375&lt;=0),"",$A375+$I375)</f>
        <v/>
      </c>
      <c r="K375" s="210">
        <f>IF($A375="","",IF(OR($C375="",$G375&lt;=0,$A375&gt;'03_BAO_CAO'!$E$4),0,MAX(0,$G375-MAX(0,SUMIFS($H$7:$H$506,$C$7:$C$506,$C375,$A$7:$A$506,"&lt;="&amp;'03_BAO_CAO'!$E$4)-XLOOKUP($C375,'01_DANH_MUC'!$A$7:$A$206,'01_DANH_MUC'!$F$7:$F$206,0)-SUMIFS($G$7:G374,$C$7:C374,$C375,$A$7:A374,"&lt;="&amp;'03_BAO_CAO'!$E$4)))))</f>
        <v/>
      </c>
      <c r="L375" s="212">
        <f>IF($A375="","",IF(OR($K375&lt;=0,$J375=""),0,MAX(0,'03_BAO_CAO'!$E$4-$J375)))</f>
        <v/>
      </c>
      <c r="M375" s="51">
        <f>IF($A375="","",IF($K375&lt;=0,"Đã thanh toán",IF($J375="","Thiếu ngày đến hạn",IF($J375&gt;='03_BAO_CAO'!$E$4,"Chưa đến hạn",IF($L375&lt;=30,"1-30 ngày",IF($L375&lt;=60,"31-60 ngày",IF($L375&lt;=90,"61-90 ngày","Trên 90 ngày")))))))</f>
        <v/>
      </c>
      <c r="N375" s="51">
        <f>IF($A375="","",IF(OR($B375="",$C375=""),"THIẾU THÔNG TIN",IF(AND($G375&gt;0,$H375&gt;0),"KHÔNG NHẬP ĐỒNG THỜI TĂNG/GIẢM",IF(AND($G375&lt;=0,$H375&lt;=0),"CHƯA NHẬP SỐ TIỀN",IF($D375="KHÔNG TÌM THẤY","MÃ KHÔNG HỢP LỆ",IF(AND($G375&gt;0,$J375=""),"THIẾU NGÀY ĐẾN HẠN","OK"))))))</f>
        <v/>
      </c>
    </row>
    <row r="376">
      <c r="A376" s="209" t="n"/>
      <c r="B376" s="47" t="n"/>
      <c r="C376" s="47" t="n"/>
      <c r="D376" s="51">
        <f>IF($C376="","",XLOOKUP($C376,'01_DANH_MUC'!$A$7:$A$206,'01_DANH_MUC'!$B$7:$B$206,"KHÔNG TÌM THẤY"))</f>
        <v/>
      </c>
      <c r="E376" s="51">
        <f>IF($C376="","",XLOOKUP($C376,'01_DANH_MUC'!$A$7:$A$206,'01_DANH_MUC'!$C$7:$C$206,"KHÔNG TÌM THẤY"))</f>
        <v/>
      </c>
      <c r="F376" s="57" t="n"/>
      <c r="G376" s="211" t="n"/>
      <c r="H376" s="211" t="n"/>
      <c r="I376" s="212">
        <f>IF($C376="","",XLOOKUP($C376,'01_DANH_MUC'!$A$7:$A$206,'01_DANH_MUC'!$E$7:$E$206,0))</f>
        <v/>
      </c>
      <c r="J376" s="213">
        <f>IF(OR($A376="",$C376="",$G376&lt;=0),"",$A376+$I376)</f>
        <v/>
      </c>
      <c r="K376" s="210">
        <f>IF($A376="","",IF(OR($C376="",$G376&lt;=0,$A376&gt;'03_BAO_CAO'!$E$4),0,MAX(0,$G376-MAX(0,SUMIFS($H$7:$H$506,$C$7:$C$506,$C376,$A$7:$A$506,"&lt;="&amp;'03_BAO_CAO'!$E$4)-XLOOKUP($C376,'01_DANH_MUC'!$A$7:$A$206,'01_DANH_MUC'!$F$7:$F$206,0)-SUMIFS($G$7:G375,$C$7:C375,$C376,$A$7:A375,"&lt;="&amp;'03_BAO_CAO'!$E$4)))))</f>
        <v/>
      </c>
      <c r="L376" s="212">
        <f>IF($A376="","",IF(OR($K376&lt;=0,$J376=""),0,MAX(0,'03_BAO_CAO'!$E$4-$J376)))</f>
        <v/>
      </c>
      <c r="M376" s="51">
        <f>IF($A376="","",IF($K376&lt;=0,"Đã thanh toán",IF($J376="","Thiếu ngày đến hạn",IF($J376&gt;='03_BAO_CAO'!$E$4,"Chưa đến hạn",IF($L376&lt;=30,"1-30 ngày",IF($L376&lt;=60,"31-60 ngày",IF($L376&lt;=90,"61-90 ngày","Trên 90 ngày")))))))</f>
        <v/>
      </c>
      <c r="N376" s="51">
        <f>IF($A376="","",IF(OR($B376="",$C376=""),"THIẾU THÔNG TIN",IF(AND($G376&gt;0,$H376&gt;0),"KHÔNG NHẬP ĐỒNG THỜI TĂNG/GIẢM",IF(AND($G376&lt;=0,$H376&lt;=0),"CHƯA NHẬP SỐ TIỀN",IF($D376="KHÔNG TÌM THẤY","MÃ KHÔNG HỢP LỆ",IF(AND($G376&gt;0,$J376=""),"THIẾU NGÀY ĐẾN HẠN","OK"))))))</f>
        <v/>
      </c>
    </row>
    <row r="377">
      <c r="A377" s="209" t="n"/>
      <c r="B377" s="47" t="n"/>
      <c r="C377" s="47" t="n"/>
      <c r="D377" s="51">
        <f>IF($C377="","",XLOOKUP($C377,'01_DANH_MUC'!$A$7:$A$206,'01_DANH_MUC'!$B$7:$B$206,"KHÔNG TÌM THẤY"))</f>
        <v/>
      </c>
      <c r="E377" s="51">
        <f>IF($C377="","",XLOOKUP($C377,'01_DANH_MUC'!$A$7:$A$206,'01_DANH_MUC'!$C$7:$C$206,"KHÔNG TÌM THẤY"))</f>
        <v/>
      </c>
      <c r="F377" s="57" t="n"/>
      <c r="G377" s="211" t="n"/>
      <c r="H377" s="211" t="n"/>
      <c r="I377" s="212">
        <f>IF($C377="","",XLOOKUP($C377,'01_DANH_MUC'!$A$7:$A$206,'01_DANH_MUC'!$E$7:$E$206,0))</f>
        <v/>
      </c>
      <c r="J377" s="213">
        <f>IF(OR($A377="",$C377="",$G377&lt;=0),"",$A377+$I377)</f>
        <v/>
      </c>
      <c r="K377" s="210">
        <f>IF($A377="","",IF(OR($C377="",$G377&lt;=0,$A377&gt;'03_BAO_CAO'!$E$4),0,MAX(0,$G377-MAX(0,SUMIFS($H$7:$H$506,$C$7:$C$506,$C377,$A$7:$A$506,"&lt;="&amp;'03_BAO_CAO'!$E$4)-XLOOKUP($C377,'01_DANH_MUC'!$A$7:$A$206,'01_DANH_MUC'!$F$7:$F$206,0)-SUMIFS($G$7:G376,$C$7:C376,$C377,$A$7:A376,"&lt;="&amp;'03_BAO_CAO'!$E$4)))))</f>
        <v/>
      </c>
      <c r="L377" s="212">
        <f>IF($A377="","",IF(OR($K377&lt;=0,$J377=""),0,MAX(0,'03_BAO_CAO'!$E$4-$J377)))</f>
        <v/>
      </c>
      <c r="M377" s="51">
        <f>IF($A377="","",IF($K377&lt;=0,"Đã thanh toán",IF($J377="","Thiếu ngày đến hạn",IF($J377&gt;='03_BAO_CAO'!$E$4,"Chưa đến hạn",IF($L377&lt;=30,"1-30 ngày",IF($L377&lt;=60,"31-60 ngày",IF($L377&lt;=90,"61-90 ngày","Trên 90 ngày")))))))</f>
        <v/>
      </c>
      <c r="N377" s="51">
        <f>IF($A377="","",IF(OR($B377="",$C377=""),"THIẾU THÔNG TIN",IF(AND($G377&gt;0,$H377&gt;0),"KHÔNG NHẬP ĐỒNG THỜI TĂNG/GIẢM",IF(AND($G377&lt;=0,$H377&lt;=0),"CHƯA NHẬP SỐ TIỀN",IF($D377="KHÔNG TÌM THẤY","MÃ KHÔNG HỢP LỆ",IF(AND($G377&gt;0,$J377=""),"THIẾU NGÀY ĐẾN HẠN","OK"))))))</f>
        <v/>
      </c>
    </row>
    <row r="378">
      <c r="A378" s="209" t="n"/>
      <c r="B378" s="47" t="n"/>
      <c r="C378" s="47" t="n"/>
      <c r="D378" s="51">
        <f>IF($C378="","",XLOOKUP($C378,'01_DANH_MUC'!$A$7:$A$206,'01_DANH_MUC'!$B$7:$B$206,"KHÔNG TÌM THẤY"))</f>
        <v/>
      </c>
      <c r="E378" s="51">
        <f>IF($C378="","",XLOOKUP($C378,'01_DANH_MUC'!$A$7:$A$206,'01_DANH_MUC'!$C$7:$C$206,"KHÔNG TÌM THẤY"))</f>
        <v/>
      </c>
      <c r="F378" s="57" t="n"/>
      <c r="G378" s="211" t="n"/>
      <c r="H378" s="211" t="n"/>
      <c r="I378" s="212">
        <f>IF($C378="","",XLOOKUP($C378,'01_DANH_MUC'!$A$7:$A$206,'01_DANH_MUC'!$E$7:$E$206,0))</f>
        <v/>
      </c>
      <c r="J378" s="213">
        <f>IF(OR($A378="",$C378="",$G378&lt;=0),"",$A378+$I378)</f>
        <v/>
      </c>
      <c r="K378" s="210">
        <f>IF($A378="","",IF(OR($C378="",$G378&lt;=0,$A378&gt;'03_BAO_CAO'!$E$4),0,MAX(0,$G378-MAX(0,SUMIFS($H$7:$H$506,$C$7:$C$506,$C378,$A$7:$A$506,"&lt;="&amp;'03_BAO_CAO'!$E$4)-XLOOKUP($C378,'01_DANH_MUC'!$A$7:$A$206,'01_DANH_MUC'!$F$7:$F$206,0)-SUMIFS($G$7:G377,$C$7:C377,$C378,$A$7:A377,"&lt;="&amp;'03_BAO_CAO'!$E$4)))))</f>
        <v/>
      </c>
      <c r="L378" s="212">
        <f>IF($A378="","",IF(OR($K378&lt;=0,$J378=""),0,MAX(0,'03_BAO_CAO'!$E$4-$J378)))</f>
        <v/>
      </c>
      <c r="M378" s="51">
        <f>IF($A378="","",IF($K378&lt;=0,"Đã thanh toán",IF($J378="","Thiếu ngày đến hạn",IF($J378&gt;='03_BAO_CAO'!$E$4,"Chưa đến hạn",IF($L378&lt;=30,"1-30 ngày",IF($L378&lt;=60,"31-60 ngày",IF($L378&lt;=90,"61-90 ngày","Trên 90 ngày")))))))</f>
        <v/>
      </c>
      <c r="N378" s="51">
        <f>IF($A378="","",IF(OR($B378="",$C378=""),"THIẾU THÔNG TIN",IF(AND($G378&gt;0,$H378&gt;0),"KHÔNG NHẬP ĐỒNG THỜI TĂNG/GIẢM",IF(AND($G378&lt;=0,$H378&lt;=0),"CHƯA NHẬP SỐ TIỀN",IF($D378="KHÔNG TÌM THẤY","MÃ KHÔNG HỢP LỆ",IF(AND($G378&gt;0,$J378=""),"THIẾU NGÀY ĐẾN HẠN","OK"))))))</f>
        <v/>
      </c>
    </row>
    <row r="379">
      <c r="A379" s="209" t="n"/>
      <c r="B379" s="47" t="n"/>
      <c r="C379" s="47" t="n"/>
      <c r="D379" s="51">
        <f>IF($C379="","",XLOOKUP($C379,'01_DANH_MUC'!$A$7:$A$206,'01_DANH_MUC'!$B$7:$B$206,"KHÔNG TÌM THẤY"))</f>
        <v/>
      </c>
      <c r="E379" s="51">
        <f>IF($C379="","",XLOOKUP($C379,'01_DANH_MUC'!$A$7:$A$206,'01_DANH_MUC'!$C$7:$C$206,"KHÔNG TÌM THẤY"))</f>
        <v/>
      </c>
      <c r="F379" s="57" t="n"/>
      <c r="G379" s="211" t="n"/>
      <c r="H379" s="211" t="n"/>
      <c r="I379" s="212">
        <f>IF($C379="","",XLOOKUP($C379,'01_DANH_MUC'!$A$7:$A$206,'01_DANH_MUC'!$E$7:$E$206,0))</f>
        <v/>
      </c>
      <c r="J379" s="213">
        <f>IF(OR($A379="",$C379="",$G379&lt;=0),"",$A379+$I379)</f>
        <v/>
      </c>
      <c r="K379" s="210">
        <f>IF($A379="","",IF(OR($C379="",$G379&lt;=0,$A379&gt;'03_BAO_CAO'!$E$4),0,MAX(0,$G379-MAX(0,SUMIFS($H$7:$H$506,$C$7:$C$506,$C379,$A$7:$A$506,"&lt;="&amp;'03_BAO_CAO'!$E$4)-XLOOKUP($C379,'01_DANH_MUC'!$A$7:$A$206,'01_DANH_MUC'!$F$7:$F$206,0)-SUMIFS($G$7:G378,$C$7:C378,$C379,$A$7:A378,"&lt;="&amp;'03_BAO_CAO'!$E$4)))))</f>
        <v/>
      </c>
      <c r="L379" s="212">
        <f>IF($A379="","",IF(OR($K379&lt;=0,$J379=""),0,MAX(0,'03_BAO_CAO'!$E$4-$J379)))</f>
        <v/>
      </c>
      <c r="M379" s="51">
        <f>IF($A379="","",IF($K379&lt;=0,"Đã thanh toán",IF($J379="","Thiếu ngày đến hạn",IF($J379&gt;='03_BAO_CAO'!$E$4,"Chưa đến hạn",IF($L379&lt;=30,"1-30 ngày",IF($L379&lt;=60,"31-60 ngày",IF($L379&lt;=90,"61-90 ngày","Trên 90 ngày")))))))</f>
        <v/>
      </c>
      <c r="N379" s="51">
        <f>IF($A379="","",IF(OR($B379="",$C379=""),"THIẾU THÔNG TIN",IF(AND($G379&gt;0,$H379&gt;0),"KHÔNG NHẬP ĐỒNG THỜI TĂNG/GIẢM",IF(AND($G379&lt;=0,$H379&lt;=0),"CHƯA NHẬP SỐ TIỀN",IF($D379="KHÔNG TÌM THẤY","MÃ KHÔNG HỢP LỆ",IF(AND($G379&gt;0,$J379=""),"THIẾU NGÀY ĐẾN HẠN","OK"))))))</f>
        <v/>
      </c>
    </row>
    <row r="380">
      <c r="A380" s="209" t="n"/>
      <c r="B380" s="47" t="n"/>
      <c r="C380" s="47" t="n"/>
      <c r="D380" s="51">
        <f>IF($C380="","",XLOOKUP($C380,'01_DANH_MUC'!$A$7:$A$206,'01_DANH_MUC'!$B$7:$B$206,"KHÔNG TÌM THẤY"))</f>
        <v/>
      </c>
      <c r="E380" s="51">
        <f>IF($C380="","",XLOOKUP($C380,'01_DANH_MUC'!$A$7:$A$206,'01_DANH_MUC'!$C$7:$C$206,"KHÔNG TÌM THẤY"))</f>
        <v/>
      </c>
      <c r="F380" s="57" t="n"/>
      <c r="G380" s="211" t="n"/>
      <c r="H380" s="211" t="n"/>
      <c r="I380" s="212">
        <f>IF($C380="","",XLOOKUP($C380,'01_DANH_MUC'!$A$7:$A$206,'01_DANH_MUC'!$E$7:$E$206,0))</f>
        <v/>
      </c>
      <c r="J380" s="213">
        <f>IF(OR($A380="",$C380="",$G380&lt;=0),"",$A380+$I380)</f>
        <v/>
      </c>
      <c r="K380" s="210">
        <f>IF($A380="","",IF(OR($C380="",$G380&lt;=0,$A380&gt;'03_BAO_CAO'!$E$4),0,MAX(0,$G380-MAX(0,SUMIFS($H$7:$H$506,$C$7:$C$506,$C380,$A$7:$A$506,"&lt;="&amp;'03_BAO_CAO'!$E$4)-XLOOKUP($C380,'01_DANH_MUC'!$A$7:$A$206,'01_DANH_MUC'!$F$7:$F$206,0)-SUMIFS($G$7:G379,$C$7:C379,$C380,$A$7:A379,"&lt;="&amp;'03_BAO_CAO'!$E$4)))))</f>
        <v/>
      </c>
      <c r="L380" s="212">
        <f>IF($A380="","",IF(OR($K380&lt;=0,$J380=""),0,MAX(0,'03_BAO_CAO'!$E$4-$J380)))</f>
        <v/>
      </c>
      <c r="M380" s="51">
        <f>IF($A380="","",IF($K380&lt;=0,"Đã thanh toán",IF($J380="","Thiếu ngày đến hạn",IF($J380&gt;='03_BAO_CAO'!$E$4,"Chưa đến hạn",IF($L380&lt;=30,"1-30 ngày",IF($L380&lt;=60,"31-60 ngày",IF($L380&lt;=90,"61-90 ngày","Trên 90 ngày")))))))</f>
        <v/>
      </c>
      <c r="N380" s="51">
        <f>IF($A380="","",IF(OR($B380="",$C380=""),"THIẾU THÔNG TIN",IF(AND($G380&gt;0,$H380&gt;0),"KHÔNG NHẬP ĐỒNG THỜI TĂNG/GIẢM",IF(AND($G380&lt;=0,$H380&lt;=0),"CHƯA NHẬP SỐ TIỀN",IF($D380="KHÔNG TÌM THẤY","MÃ KHÔNG HỢP LỆ",IF(AND($G380&gt;0,$J380=""),"THIẾU NGÀY ĐẾN HẠN","OK"))))))</f>
        <v/>
      </c>
    </row>
    <row r="381">
      <c r="A381" s="209" t="n"/>
      <c r="B381" s="47" t="n"/>
      <c r="C381" s="47" t="n"/>
      <c r="D381" s="51">
        <f>IF($C381="","",XLOOKUP($C381,'01_DANH_MUC'!$A$7:$A$206,'01_DANH_MUC'!$B$7:$B$206,"KHÔNG TÌM THẤY"))</f>
        <v/>
      </c>
      <c r="E381" s="51">
        <f>IF($C381="","",XLOOKUP($C381,'01_DANH_MUC'!$A$7:$A$206,'01_DANH_MUC'!$C$7:$C$206,"KHÔNG TÌM THẤY"))</f>
        <v/>
      </c>
      <c r="F381" s="57" t="n"/>
      <c r="G381" s="211" t="n"/>
      <c r="H381" s="211" t="n"/>
      <c r="I381" s="212">
        <f>IF($C381="","",XLOOKUP($C381,'01_DANH_MUC'!$A$7:$A$206,'01_DANH_MUC'!$E$7:$E$206,0))</f>
        <v/>
      </c>
      <c r="J381" s="213">
        <f>IF(OR($A381="",$C381="",$G381&lt;=0),"",$A381+$I381)</f>
        <v/>
      </c>
      <c r="K381" s="210">
        <f>IF($A381="","",IF(OR($C381="",$G381&lt;=0,$A381&gt;'03_BAO_CAO'!$E$4),0,MAX(0,$G381-MAX(0,SUMIFS($H$7:$H$506,$C$7:$C$506,$C381,$A$7:$A$506,"&lt;="&amp;'03_BAO_CAO'!$E$4)-XLOOKUP($C381,'01_DANH_MUC'!$A$7:$A$206,'01_DANH_MUC'!$F$7:$F$206,0)-SUMIFS($G$7:G380,$C$7:C380,$C381,$A$7:A380,"&lt;="&amp;'03_BAO_CAO'!$E$4)))))</f>
        <v/>
      </c>
      <c r="L381" s="212">
        <f>IF($A381="","",IF(OR($K381&lt;=0,$J381=""),0,MAX(0,'03_BAO_CAO'!$E$4-$J381)))</f>
        <v/>
      </c>
      <c r="M381" s="51">
        <f>IF($A381="","",IF($K381&lt;=0,"Đã thanh toán",IF($J381="","Thiếu ngày đến hạn",IF($J381&gt;='03_BAO_CAO'!$E$4,"Chưa đến hạn",IF($L381&lt;=30,"1-30 ngày",IF($L381&lt;=60,"31-60 ngày",IF($L381&lt;=90,"61-90 ngày","Trên 90 ngày")))))))</f>
        <v/>
      </c>
      <c r="N381" s="51">
        <f>IF($A381="","",IF(OR($B381="",$C381=""),"THIẾU THÔNG TIN",IF(AND($G381&gt;0,$H381&gt;0),"KHÔNG NHẬP ĐỒNG THỜI TĂNG/GIẢM",IF(AND($G381&lt;=0,$H381&lt;=0),"CHƯA NHẬP SỐ TIỀN",IF($D381="KHÔNG TÌM THẤY","MÃ KHÔNG HỢP LỆ",IF(AND($G381&gt;0,$J381=""),"THIẾU NGÀY ĐẾN HẠN","OK"))))))</f>
        <v/>
      </c>
    </row>
    <row r="382">
      <c r="A382" s="209" t="n"/>
      <c r="B382" s="47" t="n"/>
      <c r="C382" s="47" t="n"/>
      <c r="D382" s="51">
        <f>IF($C382="","",XLOOKUP($C382,'01_DANH_MUC'!$A$7:$A$206,'01_DANH_MUC'!$B$7:$B$206,"KHÔNG TÌM THẤY"))</f>
        <v/>
      </c>
      <c r="E382" s="51">
        <f>IF($C382="","",XLOOKUP($C382,'01_DANH_MUC'!$A$7:$A$206,'01_DANH_MUC'!$C$7:$C$206,"KHÔNG TÌM THẤY"))</f>
        <v/>
      </c>
      <c r="F382" s="57" t="n"/>
      <c r="G382" s="211" t="n"/>
      <c r="H382" s="211" t="n"/>
      <c r="I382" s="212">
        <f>IF($C382="","",XLOOKUP($C382,'01_DANH_MUC'!$A$7:$A$206,'01_DANH_MUC'!$E$7:$E$206,0))</f>
        <v/>
      </c>
      <c r="J382" s="213">
        <f>IF(OR($A382="",$C382="",$G382&lt;=0),"",$A382+$I382)</f>
        <v/>
      </c>
      <c r="K382" s="210">
        <f>IF($A382="","",IF(OR($C382="",$G382&lt;=0,$A382&gt;'03_BAO_CAO'!$E$4),0,MAX(0,$G382-MAX(0,SUMIFS($H$7:$H$506,$C$7:$C$506,$C382,$A$7:$A$506,"&lt;="&amp;'03_BAO_CAO'!$E$4)-XLOOKUP($C382,'01_DANH_MUC'!$A$7:$A$206,'01_DANH_MUC'!$F$7:$F$206,0)-SUMIFS($G$7:G381,$C$7:C381,$C382,$A$7:A381,"&lt;="&amp;'03_BAO_CAO'!$E$4)))))</f>
        <v/>
      </c>
      <c r="L382" s="212">
        <f>IF($A382="","",IF(OR($K382&lt;=0,$J382=""),0,MAX(0,'03_BAO_CAO'!$E$4-$J382)))</f>
        <v/>
      </c>
      <c r="M382" s="51">
        <f>IF($A382="","",IF($K382&lt;=0,"Đã thanh toán",IF($J382="","Thiếu ngày đến hạn",IF($J382&gt;='03_BAO_CAO'!$E$4,"Chưa đến hạn",IF($L382&lt;=30,"1-30 ngày",IF($L382&lt;=60,"31-60 ngày",IF($L382&lt;=90,"61-90 ngày","Trên 90 ngày")))))))</f>
        <v/>
      </c>
      <c r="N382" s="51">
        <f>IF($A382="","",IF(OR($B382="",$C382=""),"THIẾU THÔNG TIN",IF(AND($G382&gt;0,$H382&gt;0),"KHÔNG NHẬP ĐỒNG THỜI TĂNG/GIẢM",IF(AND($G382&lt;=0,$H382&lt;=0),"CHƯA NHẬP SỐ TIỀN",IF($D382="KHÔNG TÌM THẤY","MÃ KHÔNG HỢP LỆ",IF(AND($G382&gt;0,$J382=""),"THIẾU NGÀY ĐẾN HẠN","OK"))))))</f>
        <v/>
      </c>
    </row>
    <row r="383">
      <c r="A383" s="209" t="n"/>
      <c r="B383" s="47" t="n"/>
      <c r="C383" s="47" t="n"/>
      <c r="D383" s="51">
        <f>IF($C383="","",XLOOKUP($C383,'01_DANH_MUC'!$A$7:$A$206,'01_DANH_MUC'!$B$7:$B$206,"KHÔNG TÌM THẤY"))</f>
        <v/>
      </c>
      <c r="E383" s="51">
        <f>IF($C383="","",XLOOKUP($C383,'01_DANH_MUC'!$A$7:$A$206,'01_DANH_MUC'!$C$7:$C$206,"KHÔNG TÌM THẤY"))</f>
        <v/>
      </c>
      <c r="F383" s="57" t="n"/>
      <c r="G383" s="211" t="n"/>
      <c r="H383" s="211" t="n"/>
      <c r="I383" s="212">
        <f>IF($C383="","",XLOOKUP($C383,'01_DANH_MUC'!$A$7:$A$206,'01_DANH_MUC'!$E$7:$E$206,0))</f>
        <v/>
      </c>
      <c r="J383" s="213">
        <f>IF(OR($A383="",$C383="",$G383&lt;=0),"",$A383+$I383)</f>
        <v/>
      </c>
      <c r="K383" s="210">
        <f>IF($A383="","",IF(OR($C383="",$G383&lt;=0,$A383&gt;'03_BAO_CAO'!$E$4),0,MAX(0,$G383-MAX(0,SUMIFS($H$7:$H$506,$C$7:$C$506,$C383,$A$7:$A$506,"&lt;="&amp;'03_BAO_CAO'!$E$4)-XLOOKUP($C383,'01_DANH_MUC'!$A$7:$A$206,'01_DANH_MUC'!$F$7:$F$206,0)-SUMIFS($G$7:G382,$C$7:C382,$C383,$A$7:A382,"&lt;="&amp;'03_BAO_CAO'!$E$4)))))</f>
        <v/>
      </c>
      <c r="L383" s="212">
        <f>IF($A383="","",IF(OR($K383&lt;=0,$J383=""),0,MAX(0,'03_BAO_CAO'!$E$4-$J383)))</f>
        <v/>
      </c>
      <c r="M383" s="51">
        <f>IF($A383="","",IF($K383&lt;=0,"Đã thanh toán",IF($J383="","Thiếu ngày đến hạn",IF($J383&gt;='03_BAO_CAO'!$E$4,"Chưa đến hạn",IF($L383&lt;=30,"1-30 ngày",IF($L383&lt;=60,"31-60 ngày",IF($L383&lt;=90,"61-90 ngày","Trên 90 ngày")))))))</f>
        <v/>
      </c>
      <c r="N383" s="51">
        <f>IF($A383="","",IF(OR($B383="",$C383=""),"THIẾU THÔNG TIN",IF(AND($G383&gt;0,$H383&gt;0),"KHÔNG NHẬP ĐỒNG THỜI TĂNG/GIẢM",IF(AND($G383&lt;=0,$H383&lt;=0),"CHƯA NHẬP SỐ TIỀN",IF($D383="KHÔNG TÌM THẤY","MÃ KHÔNG HỢP LỆ",IF(AND($G383&gt;0,$J383=""),"THIẾU NGÀY ĐẾN HẠN","OK"))))))</f>
        <v/>
      </c>
    </row>
    <row r="384">
      <c r="A384" s="209" t="n"/>
      <c r="B384" s="47" t="n"/>
      <c r="C384" s="47" t="n"/>
      <c r="D384" s="51">
        <f>IF($C384="","",XLOOKUP($C384,'01_DANH_MUC'!$A$7:$A$206,'01_DANH_MUC'!$B$7:$B$206,"KHÔNG TÌM THẤY"))</f>
        <v/>
      </c>
      <c r="E384" s="51">
        <f>IF($C384="","",XLOOKUP($C384,'01_DANH_MUC'!$A$7:$A$206,'01_DANH_MUC'!$C$7:$C$206,"KHÔNG TÌM THẤY"))</f>
        <v/>
      </c>
      <c r="F384" s="57" t="n"/>
      <c r="G384" s="211" t="n"/>
      <c r="H384" s="211" t="n"/>
      <c r="I384" s="212">
        <f>IF($C384="","",XLOOKUP($C384,'01_DANH_MUC'!$A$7:$A$206,'01_DANH_MUC'!$E$7:$E$206,0))</f>
        <v/>
      </c>
      <c r="J384" s="213">
        <f>IF(OR($A384="",$C384="",$G384&lt;=0),"",$A384+$I384)</f>
        <v/>
      </c>
      <c r="K384" s="210">
        <f>IF($A384="","",IF(OR($C384="",$G384&lt;=0,$A384&gt;'03_BAO_CAO'!$E$4),0,MAX(0,$G384-MAX(0,SUMIFS($H$7:$H$506,$C$7:$C$506,$C384,$A$7:$A$506,"&lt;="&amp;'03_BAO_CAO'!$E$4)-XLOOKUP($C384,'01_DANH_MUC'!$A$7:$A$206,'01_DANH_MUC'!$F$7:$F$206,0)-SUMIFS($G$7:G383,$C$7:C383,$C384,$A$7:A383,"&lt;="&amp;'03_BAO_CAO'!$E$4)))))</f>
        <v/>
      </c>
      <c r="L384" s="212">
        <f>IF($A384="","",IF(OR($K384&lt;=0,$J384=""),0,MAX(0,'03_BAO_CAO'!$E$4-$J384)))</f>
        <v/>
      </c>
      <c r="M384" s="51">
        <f>IF($A384="","",IF($K384&lt;=0,"Đã thanh toán",IF($J384="","Thiếu ngày đến hạn",IF($J384&gt;='03_BAO_CAO'!$E$4,"Chưa đến hạn",IF($L384&lt;=30,"1-30 ngày",IF($L384&lt;=60,"31-60 ngày",IF($L384&lt;=90,"61-90 ngày","Trên 90 ngày")))))))</f>
        <v/>
      </c>
      <c r="N384" s="51">
        <f>IF($A384="","",IF(OR($B384="",$C384=""),"THIẾU THÔNG TIN",IF(AND($G384&gt;0,$H384&gt;0),"KHÔNG NHẬP ĐỒNG THỜI TĂNG/GIẢM",IF(AND($G384&lt;=0,$H384&lt;=0),"CHƯA NHẬP SỐ TIỀN",IF($D384="KHÔNG TÌM THẤY","MÃ KHÔNG HỢP LỆ",IF(AND($G384&gt;0,$J384=""),"THIẾU NGÀY ĐẾN HẠN","OK"))))))</f>
        <v/>
      </c>
    </row>
    <row r="385">
      <c r="A385" s="209" t="n"/>
      <c r="B385" s="47" t="n"/>
      <c r="C385" s="47" t="n"/>
      <c r="D385" s="51">
        <f>IF($C385="","",XLOOKUP($C385,'01_DANH_MUC'!$A$7:$A$206,'01_DANH_MUC'!$B$7:$B$206,"KHÔNG TÌM THẤY"))</f>
        <v/>
      </c>
      <c r="E385" s="51">
        <f>IF($C385="","",XLOOKUP($C385,'01_DANH_MUC'!$A$7:$A$206,'01_DANH_MUC'!$C$7:$C$206,"KHÔNG TÌM THẤY"))</f>
        <v/>
      </c>
      <c r="F385" s="57" t="n"/>
      <c r="G385" s="211" t="n"/>
      <c r="H385" s="211" t="n"/>
      <c r="I385" s="212">
        <f>IF($C385="","",XLOOKUP($C385,'01_DANH_MUC'!$A$7:$A$206,'01_DANH_MUC'!$E$7:$E$206,0))</f>
        <v/>
      </c>
      <c r="J385" s="213">
        <f>IF(OR($A385="",$C385="",$G385&lt;=0),"",$A385+$I385)</f>
        <v/>
      </c>
      <c r="K385" s="210">
        <f>IF($A385="","",IF(OR($C385="",$G385&lt;=0,$A385&gt;'03_BAO_CAO'!$E$4),0,MAX(0,$G385-MAX(0,SUMIFS($H$7:$H$506,$C$7:$C$506,$C385,$A$7:$A$506,"&lt;="&amp;'03_BAO_CAO'!$E$4)-XLOOKUP($C385,'01_DANH_MUC'!$A$7:$A$206,'01_DANH_MUC'!$F$7:$F$206,0)-SUMIFS($G$7:G384,$C$7:C384,$C385,$A$7:A384,"&lt;="&amp;'03_BAO_CAO'!$E$4)))))</f>
        <v/>
      </c>
      <c r="L385" s="212">
        <f>IF($A385="","",IF(OR($K385&lt;=0,$J385=""),0,MAX(0,'03_BAO_CAO'!$E$4-$J385)))</f>
        <v/>
      </c>
      <c r="M385" s="51">
        <f>IF($A385="","",IF($K385&lt;=0,"Đã thanh toán",IF($J385="","Thiếu ngày đến hạn",IF($J385&gt;='03_BAO_CAO'!$E$4,"Chưa đến hạn",IF($L385&lt;=30,"1-30 ngày",IF($L385&lt;=60,"31-60 ngày",IF($L385&lt;=90,"61-90 ngày","Trên 90 ngày")))))))</f>
        <v/>
      </c>
      <c r="N385" s="51">
        <f>IF($A385="","",IF(OR($B385="",$C385=""),"THIẾU THÔNG TIN",IF(AND($G385&gt;0,$H385&gt;0),"KHÔNG NHẬP ĐỒNG THỜI TĂNG/GIẢM",IF(AND($G385&lt;=0,$H385&lt;=0),"CHƯA NHẬP SỐ TIỀN",IF($D385="KHÔNG TÌM THẤY","MÃ KHÔNG HỢP LỆ",IF(AND($G385&gt;0,$J385=""),"THIẾU NGÀY ĐẾN HẠN","OK"))))))</f>
        <v/>
      </c>
    </row>
    <row r="386">
      <c r="A386" s="209" t="n"/>
      <c r="B386" s="47" t="n"/>
      <c r="C386" s="47" t="n"/>
      <c r="D386" s="51">
        <f>IF($C386="","",XLOOKUP($C386,'01_DANH_MUC'!$A$7:$A$206,'01_DANH_MUC'!$B$7:$B$206,"KHÔNG TÌM THẤY"))</f>
        <v/>
      </c>
      <c r="E386" s="51">
        <f>IF($C386="","",XLOOKUP($C386,'01_DANH_MUC'!$A$7:$A$206,'01_DANH_MUC'!$C$7:$C$206,"KHÔNG TÌM THẤY"))</f>
        <v/>
      </c>
      <c r="F386" s="57" t="n"/>
      <c r="G386" s="211" t="n"/>
      <c r="H386" s="211" t="n"/>
      <c r="I386" s="212">
        <f>IF($C386="","",XLOOKUP($C386,'01_DANH_MUC'!$A$7:$A$206,'01_DANH_MUC'!$E$7:$E$206,0))</f>
        <v/>
      </c>
      <c r="J386" s="213">
        <f>IF(OR($A386="",$C386="",$G386&lt;=0),"",$A386+$I386)</f>
        <v/>
      </c>
      <c r="K386" s="210">
        <f>IF($A386="","",IF(OR($C386="",$G386&lt;=0,$A386&gt;'03_BAO_CAO'!$E$4),0,MAX(0,$G386-MAX(0,SUMIFS($H$7:$H$506,$C$7:$C$506,$C386,$A$7:$A$506,"&lt;="&amp;'03_BAO_CAO'!$E$4)-XLOOKUP($C386,'01_DANH_MUC'!$A$7:$A$206,'01_DANH_MUC'!$F$7:$F$206,0)-SUMIFS($G$7:G385,$C$7:C385,$C386,$A$7:A385,"&lt;="&amp;'03_BAO_CAO'!$E$4)))))</f>
        <v/>
      </c>
      <c r="L386" s="212">
        <f>IF($A386="","",IF(OR($K386&lt;=0,$J386=""),0,MAX(0,'03_BAO_CAO'!$E$4-$J386)))</f>
        <v/>
      </c>
      <c r="M386" s="51">
        <f>IF($A386="","",IF($K386&lt;=0,"Đã thanh toán",IF($J386="","Thiếu ngày đến hạn",IF($J386&gt;='03_BAO_CAO'!$E$4,"Chưa đến hạn",IF($L386&lt;=30,"1-30 ngày",IF($L386&lt;=60,"31-60 ngày",IF($L386&lt;=90,"61-90 ngày","Trên 90 ngày")))))))</f>
        <v/>
      </c>
      <c r="N386" s="51">
        <f>IF($A386="","",IF(OR($B386="",$C386=""),"THIẾU THÔNG TIN",IF(AND($G386&gt;0,$H386&gt;0),"KHÔNG NHẬP ĐỒNG THỜI TĂNG/GIẢM",IF(AND($G386&lt;=0,$H386&lt;=0),"CHƯA NHẬP SỐ TIỀN",IF($D386="KHÔNG TÌM THẤY","MÃ KHÔNG HỢP LỆ",IF(AND($G386&gt;0,$J386=""),"THIẾU NGÀY ĐẾN HẠN","OK"))))))</f>
        <v/>
      </c>
    </row>
    <row r="387">
      <c r="A387" s="209" t="n"/>
      <c r="B387" s="47" t="n"/>
      <c r="C387" s="47" t="n"/>
      <c r="D387" s="51">
        <f>IF($C387="","",XLOOKUP($C387,'01_DANH_MUC'!$A$7:$A$206,'01_DANH_MUC'!$B$7:$B$206,"KHÔNG TÌM THẤY"))</f>
        <v/>
      </c>
      <c r="E387" s="51">
        <f>IF($C387="","",XLOOKUP($C387,'01_DANH_MUC'!$A$7:$A$206,'01_DANH_MUC'!$C$7:$C$206,"KHÔNG TÌM THẤY"))</f>
        <v/>
      </c>
      <c r="F387" s="57" t="n"/>
      <c r="G387" s="211" t="n"/>
      <c r="H387" s="211" t="n"/>
      <c r="I387" s="212">
        <f>IF($C387="","",XLOOKUP($C387,'01_DANH_MUC'!$A$7:$A$206,'01_DANH_MUC'!$E$7:$E$206,0))</f>
        <v/>
      </c>
      <c r="J387" s="213">
        <f>IF(OR($A387="",$C387="",$G387&lt;=0),"",$A387+$I387)</f>
        <v/>
      </c>
      <c r="K387" s="210">
        <f>IF($A387="","",IF(OR($C387="",$G387&lt;=0,$A387&gt;'03_BAO_CAO'!$E$4),0,MAX(0,$G387-MAX(0,SUMIFS($H$7:$H$506,$C$7:$C$506,$C387,$A$7:$A$506,"&lt;="&amp;'03_BAO_CAO'!$E$4)-XLOOKUP($C387,'01_DANH_MUC'!$A$7:$A$206,'01_DANH_MUC'!$F$7:$F$206,0)-SUMIFS($G$7:G386,$C$7:C386,$C387,$A$7:A386,"&lt;="&amp;'03_BAO_CAO'!$E$4)))))</f>
        <v/>
      </c>
      <c r="L387" s="212">
        <f>IF($A387="","",IF(OR($K387&lt;=0,$J387=""),0,MAX(0,'03_BAO_CAO'!$E$4-$J387)))</f>
        <v/>
      </c>
      <c r="M387" s="51">
        <f>IF($A387="","",IF($K387&lt;=0,"Đã thanh toán",IF($J387="","Thiếu ngày đến hạn",IF($J387&gt;='03_BAO_CAO'!$E$4,"Chưa đến hạn",IF($L387&lt;=30,"1-30 ngày",IF($L387&lt;=60,"31-60 ngày",IF($L387&lt;=90,"61-90 ngày","Trên 90 ngày")))))))</f>
        <v/>
      </c>
      <c r="N387" s="51">
        <f>IF($A387="","",IF(OR($B387="",$C387=""),"THIẾU THÔNG TIN",IF(AND($G387&gt;0,$H387&gt;0),"KHÔNG NHẬP ĐỒNG THỜI TĂNG/GIẢM",IF(AND($G387&lt;=0,$H387&lt;=0),"CHƯA NHẬP SỐ TIỀN",IF($D387="KHÔNG TÌM THẤY","MÃ KHÔNG HỢP LỆ",IF(AND($G387&gt;0,$J387=""),"THIẾU NGÀY ĐẾN HẠN","OK"))))))</f>
        <v/>
      </c>
    </row>
    <row r="388">
      <c r="A388" s="209" t="n"/>
      <c r="B388" s="47" t="n"/>
      <c r="C388" s="47" t="n"/>
      <c r="D388" s="51">
        <f>IF($C388="","",XLOOKUP($C388,'01_DANH_MUC'!$A$7:$A$206,'01_DANH_MUC'!$B$7:$B$206,"KHÔNG TÌM THẤY"))</f>
        <v/>
      </c>
      <c r="E388" s="51">
        <f>IF($C388="","",XLOOKUP($C388,'01_DANH_MUC'!$A$7:$A$206,'01_DANH_MUC'!$C$7:$C$206,"KHÔNG TÌM THẤY"))</f>
        <v/>
      </c>
      <c r="F388" s="57" t="n"/>
      <c r="G388" s="211" t="n"/>
      <c r="H388" s="211" t="n"/>
      <c r="I388" s="212">
        <f>IF($C388="","",XLOOKUP($C388,'01_DANH_MUC'!$A$7:$A$206,'01_DANH_MUC'!$E$7:$E$206,0))</f>
        <v/>
      </c>
      <c r="J388" s="213">
        <f>IF(OR($A388="",$C388="",$G388&lt;=0),"",$A388+$I388)</f>
        <v/>
      </c>
      <c r="K388" s="210">
        <f>IF($A388="","",IF(OR($C388="",$G388&lt;=0,$A388&gt;'03_BAO_CAO'!$E$4),0,MAX(0,$G388-MAX(0,SUMIFS($H$7:$H$506,$C$7:$C$506,$C388,$A$7:$A$506,"&lt;="&amp;'03_BAO_CAO'!$E$4)-XLOOKUP($C388,'01_DANH_MUC'!$A$7:$A$206,'01_DANH_MUC'!$F$7:$F$206,0)-SUMIFS($G$7:G387,$C$7:C387,$C388,$A$7:A387,"&lt;="&amp;'03_BAO_CAO'!$E$4)))))</f>
        <v/>
      </c>
      <c r="L388" s="212">
        <f>IF($A388="","",IF(OR($K388&lt;=0,$J388=""),0,MAX(0,'03_BAO_CAO'!$E$4-$J388)))</f>
        <v/>
      </c>
      <c r="M388" s="51">
        <f>IF($A388="","",IF($K388&lt;=0,"Đã thanh toán",IF($J388="","Thiếu ngày đến hạn",IF($J388&gt;='03_BAO_CAO'!$E$4,"Chưa đến hạn",IF($L388&lt;=30,"1-30 ngày",IF($L388&lt;=60,"31-60 ngày",IF($L388&lt;=90,"61-90 ngày","Trên 90 ngày")))))))</f>
        <v/>
      </c>
      <c r="N388" s="51">
        <f>IF($A388="","",IF(OR($B388="",$C388=""),"THIẾU THÔNG TIN",IF(AND($G388&gt;0,$H388&gt;0),"KHÔNG NHẬP ĐỒNG THỜI TĂNG/GIẢM",IF(AND($G388&lt;=0,$H388&lt;=0),"CHƯA NHẬP SỐ TIỀN",IF($D388="KHÔNG TÌM THẤY","MÃ KHÔNG HỢP LỆ",IF(AND($G388&gt;0,$J388=""),"THIẾU NGÀY ĐẾN HẠN","OK"))))))</f>
        <v/>
      </c>
    </row>
    <row r="389">
      <c r="A389" s="209" t="n"/>
      <c r="B389" s="47" t="n"/>
      <c r="C389" s="47" t="n"/>
      <c r="D389" s="51">
        <f>IF($C389="","",XLOOKUP($C389,'01_DANH_MUC'!$A$7:$A$206,'01_DANH_MUC'!$B$7:$B$206,"KHÔNG TÌM THẤY"))</f>
        <v/>
      </c>
      <c r="E389" s="51">
        <f>IF($C389="","",XLOOKUP($C389,'01_DANH_MUC'!$A$7:$A$206,'01_DANH_MUC'!$C$7:$C$206,"KHÔNG TÌM THẤY"))</f>
        <v/>
      </c>
      <c r="F389" s="57" t="n"/>
      <c r="G389" s="211" t="n"/>
      <c r="H389" s="211" t="n"/>
      <c r="I389" s="212">
        <f>IF($C389="","",XLOOKUP($C389,'01_DANH_MUC'!$A$7:$A$206,'01_DANH_MUC'!$E$7:$E$206,0))</f>
        <v/>
      </c>
      <c r="J389" s="213">
        <f>IF(OR($A389="",$C389="",$G389&lt;=0),"",$A389+$I389)</f>
        <v/>
      </c>
      <c r="K389" s="210">
        <f>IF($A389="","",IF(OR($C389="",$G389&lt;=0,$A389&gt;'03_BAO_CAO'!$E$4),0,MAX(0,$G389-MAX(0,SUMIFS($H$7:$H$506,$C$7:$C$506,$C389,$A$7:$A$506,"&lt;="&amp;'03_BAO_CAO'!$E$4)-XLOOKUP($C389,'01_DANH_MUC'!$A$7:$A$206,'01_DANH_MUC'!$F$7:$F$206,0)-SUMIFS($G$7:G388,$C$7:C388,$C389,$A$7:A388,"&lt;="&amp;'03_BAO_CAO'!$E$4)))))</f>
        <v/>
      </c>
      <c r="L389" s="212">
        <f>IF($A389="","",IF(OR($K389&lt;=0,$J389=""),0,MAX(0,'03_BAO_CAO'!$E$4-$J389)))</f>
        <v/>
      </c>
      <c r="M389" s="51">
        <f>IF($A389="","",IF($K389&lt;=0,"Đã thanh toán",IF($J389="","Thiếu ngày đến hạn",IF($J389&gt;='03_BAO_CAO'!$E$4,"Chưa đến hạn",IF($L389&lt;=30,"1-30 ngày",IF($L389&lt;=60,"31-60 ngày",IF($L389&lt;=90,"61-90 ngày","Trên 90 ngày")))))))</f>
        <v/>
      </c>
      <c r="N389" s="51">
        <f>IF($A389="","",IF(OR($B389="",$C389=""),"THIẾU THÔNG TIN",IF(AND($G389&gt;0,$H389&gt;0),"KHÔNG NHẬP ĐỒNG THỜI TĂNG/GIẢM",IF(AND($G389&lt;=0,$H389&lt;=0),"CHƯA NHẬP SỐ TIỀN",IF($D389="KHÔNG TÌM THẤY","MÃ KHÔNG HỢP LỆ",IF(AND($G389&gt;0,$J389=""),"THIẾU NGÀY ĐẾN HẠN","OK"))))))</f>
        <v/>
      </c>
    </row>
    <row r="390">
      <c r="A390" s="209" t="n"/>
      <c r="B390" s="47" t="n"/>
      <c r="C390" s="47" t="n"/>
      <c r="D390" s="51">
        <f>IF($C390="","",XLOOKUP($C390,'01_DANH_MUC'!$A$7:$A$206,'01_DANH_MUC'!$B$7:$B$206,"KHÔNG TÌM THẤY"))</f>
        <v/>
      </c>
      <c r="E390" s="51">
        <f>IF($C390="","",XLOOKUP($C390,'01_DANH_MUC'!$A$7:$A$206,'01_DANH_MUC'!$C$7:$C$206,"KHÔNG TÌM THẤY"))</f>
        <v/>
      </c>
      <c r="F390" s="57" t="n"/>
      <c r="G390" s="211" t="n"/>
      <c r="H390" s="211" t="n"/>
      <c r="I390" s="212">
        <f>IF($C390="","",XLOOKUP($C390,'01_DANH_MUC'!$A$7:$A$206,'01_DANH_MUC'!$E$7:$E$206,0))</f>
        <v/>
      </c>
      <c r="J390" s="213">
        <f>IF(OR($A390="",$C390="",$G390&lt;=0),"",$A390+$I390)</f>
        <v/>
      </c>
      <c r="K390" s="210">
        <f>IF($A390="","",IF(OR($C390="",$G390&lt;=0,$A390&gt;'03_BAO_CAO'!$E$4),0,MAX(0,$G390-MAX(0,SUMIFS($H$7:$H$506,$C$7:$C$506,$C390,$A$7:$A$506,"&lt;="&amp;'03_BAO_CAO'!$E$4)-XLOOKUP($C390,'01_DANH_MUC'!$A$7:$A$206,'01_DANH_MUC'!$F$7:$F$206,0)-SUMIFS($G$7:G389,$C$7:C389,$C390,$A$7:A389,"&lt;="&amp;'03_BAO_CAO'!$E$4)))))</f>
        <v/>
      </c>
      <c r="L390" s="212">
        <f>IF($A390="","",IF(OR($K390&lt;=0,$J390=""),0,MAX(0,'03_BAO_CAO'!$E$4-$J390)))</f>
        <v/>
      </c>
      <c r="M390" s="51">
        <f>IF($A390="","",IF($K390&lt;=0,"Đã thanh toán",IF($J390="","Thiếu ngày đến hạn",IF($J390&gt;='03_BAO_CAO'!$E$4,"Chưa đến hạn",IF($L390&lt;=30,"1-30 ngày",IF($L390&lt;=60,"31-60 ngày",IF($L390&lt;=90,"61-90 ngày","Trên 90 ngày")))))))</f>
        <v/>
      </c>
      <c r="N390" s="51">
        <f>IF($A390="","",IF(OR($B390="",$C390=""),"THIẾU THÔNG TIN",IF(AND($G390&gt;0,$H390&gt;0),"KHÔNG NHẬP ĐỒNG THỜI TĂNG/GIẢM",IF(AND($G390&lt;=0,$H390&lt;=0),"CHƯA NHẬP SỐ TIỀN",IF($D390="KHÔNG TÌM THẤY","MÃ KHÔNG HỢP LỆ",IF(AND($G390&gt;0,$J390=""),"THIẾU NGÀY ĐẾN HẠN","OK"))))))</f>
        <v/>
      </c>
    </row>
    <row r="391">
      <c r="A391" s="209" t="n"/>
      <c r="B391" s="47" t="n"/>
      <c r="C391" s="47" t="n"/>
      <c r="D391" s="51">
        <f>IF($C391="","",XLOOKUP($C391,'01_DANH_MUC'!$A$7:$A$206,'01_DANH_MUC'!$B$7:$B$206,"KHÔNG TÌM THẤY"))</f>
        <v/>
      </c>
      <c r="E391" s="51">
        <f>IF($C391="","",XLOOKUP($C391,'01_DANH_MUC'!$A$7:$A$206,'01_DANH_MUC'!$C$7:$C$206,"KHÔNG TÌM THẤY"))</f>
        <v/>
      </c>
      <c r="F391" s="57" t="n"/>
      <c r="G391" s="211" t="n"/>
      <c r="H391" s="211" t="n"/>
      <c r="I391" s="212">
        <f>IF($C391="","",XLOOKUP($C391,'01_DANH_MUC'!$A$7:$A$206,'01_DANH_MUC'!$E$7:$E$206,0))</f>
        <v/>
      </c>
      <c r="J391" s="213">
        <f>IF(OR($A391="",$C391="",$G391&lt;=0),"",$A391+$I391)</f>
        <v/>
      </c>
      <c r="K391" s="210">
        <f>IF($A391="","",IF(OR($C391="",$G391&lt;=0,$A391&gt;'03_BAO_CAO'!$E$4),0,MAX(0,$G391-MAX(0,SUMIFS($H$7:$H$506,$C$7:$C$506,$C391,$A$7:$A$506,"&lt;="&amp;'03_BAO_CAO'!$E$4)-XLOOKUP($C391,'01_DANH_MUC'!$A$7:$A$206,'01_DANH_MUC'!$F$7:$F$206,0)-SUMIFS($G$7:G390,$C$7:C390,$C391,$A$7:A390,"&lt;="&amp;'03_BAO_CAO'!$E$4)))))</f>
        <v/>
      </c>
      <c r="L391" s="212">
        <f>IF($A391="","",IF(OR($K391&lt;=0,$J391=""),0,MAX(0,'03_BAO_CAO'!$E$4-$J391)))</f>
        <v/>
      </c>
      <c r="M391" s="51">
        <f>IF($A391="","",IF($K391&lt;=0,"Đã thanh toán",IF($J391="","Thiếu ngày đến hạn",IF($J391&gt;='03_BAO_CAO'!$E$4,"Chưa đến hạn",IF($L391&lt;=30,"1-30 ngày",IF($L391&lt;=60,"31-60 ngày",IF($L391&lt;=90,"61-90 ngày","Trên 90 ngày")))))))</f>
        <v/>
      </c>
      <c r="N391" s="51">
        <f>IF($A391="","",IF(OR($B391="",$C391=""),"THIẾU THÔNG TIN",IF(AND($G391&gt;0,$H391&gt;0),"KHÔNG NHẬP ĐỒNG THỜI TĂNG/GIẢM",IF(AND($G391&lt;=0,$H391&lt;=0),"CHƯA NHẬP SỐ TIỀN",IF($D391="KHÔNG TÌM THẤY","MÃ KHÔNG HỢP LỆ",IF(AND($G391&gt;0,$J391=""),"THIẾU NGÀY ĐẾN HẠN","OK"))))))</f>
        <v/>
      </c>
    </row>
    <row r="392">
      <c r="A392" s="209" t="n"/>
      <c r="B392" s="47" t="n"/>
      <c r="C392" s="47" t="n"/>
      <c r="D392" s="51">
        <f>IF($C392="","",XLOOKUP($C392,'01_DANH_MUC'!$A$7:$A$206,'01_DANH_MUC'!$B$7:$B$206,"KHÔNG TÌM THẤY"))</f>
        <v/>
      </c>
      <c r="E392" s="51">
        <f>IF($C392="","",XLOOKUP($C392,'01_DANH_MUC'!$A$7:$A$206,'01_DANH_MUC'!$C$7:$C$206,"KHÔNG TÌM THẤY"))</f>
        <v/>
      </c>
      <c r="F392" s="57" t="n"/>
      <c r="G392" s="211" t="n"/>
      <c r="H392" s="211" t="n"/>
      <c r="I392" s="212">
        <f>IF($C392="","",XLOOKUP($C392,'01_DANH_MUC'!$A$7:$A$206,'01_DANH_MUC'!$E$7:$E$206,0))</f>
        <v/>
      </c>
      <c r="J392" s="213">
        <f>IF(OR($A392="",$C392="",$G392&lt;=0),"",$A392+$I392)</f>
        <v/>
      </c>
      <c r="K392" s="210">
        <f>IF($A392="","",IF(OR($C392="",$G392&lt;=0,$A392&gt;'03_BAO_CAO'!$E$4),0,MAX(0,$G392-MAX(0,SUMIFS($H$7:$H$506,$C$7:$C$506,$C392,$A$7:$A$506,"&lt;="&amp;'03_BAO_CAO'!$E$4)-XLOOKUP($C392,'01_DANH_MUC'!$A$7:$A$206,'01_DANH_MUC'!$F$7:$F$206,0)-SUMIFS($G$7:G391,$C$7:C391,$C392,$A$7:A391,"&lt;="&amp;'03_BAO_CAO'!$E$4)))))</f>
        <v/>
      </c>
      <c r="L392" s="212">
        <f>IF($A392="","",IF(OR($K392&lt;=0,$J392=""),0,MAX(0,'03_BAO_CAO'!$E$4-$J392)))</f>
        <v/>
      </c>
      <c r="M392" s="51">
        <f>IF($A392="","",IF($K392&lt;=0,"Đã thanh toán",IF($J392="","Thiếu ngày đến hạn",IF($J392&gt;='03_BAO_CAO'!$E$4,"Chưa đến hạn",IF($L392&lt;=30,"1-30 ngày",IF($L392&lt;=60,"31-60 ngày",IF($L392&lt;=90,"61-90 ngày","Trên 90 ngày")))))))</f>
        <v/>
      </c>
      <c r="N392" s="51">
        <f>IF($A392="","",IF(OR($B392="",$C392=""),"THIẾU THÔNG TIN",IF(AND($G392&gt;0,$H392&gt;0),"KHÔNG NHẬP ĐỒNG THỜI TĂNG/GIẢM",IF(AND($G392&lt;=0,$H392&lt;=0),"CHƯA NHẬP SỐ TIỀN",IF($D392="KHÔNG TÌM THẤY","MÃ KHÔNG HỢP LỆ",IF(AND($G392&gt;0,$J392=""),"THIẾU NGÀY ĐẾN HẠN","OK"))))))</f>
        <v/>
      </c>
    </row>
    <row r="393">
      <c r="A393" s="209" t="n"/>
      <c r="B393" s="47" t="n"/>
      <c r="C393" s="47" t="n"/>
      <c r="D393" s="51">
        <f>IF($C393="","",XLOOKUP($C393,'01_DANH_MUC'!$A$7:$A$206,'01_DANH_MUC'!$B$7:$B$206,"KHÔNG TÌM THẤY"))</f>
        <v/>
      </c>
      <c r="E393" s="51">
        <f>IF($C393="","",XLOOKUP($C393,'01_DANH_MUC'!$A$7:$A$206,'01_DANH_MUC'!$C$7:$C$206,"KHÔNG TÌM THẤY"))</f>
        <v/>
      </c>
      <c r="F393" s="57" t="n"/>
      <c r="G393" s="211" t="n"/>
      <c r="H393" s="211" t="n"/>
      <c r="I393" s="212">
        <f>IF($C393="","",XLOOKUP($C393,'01_DANH_MUC'!$A$7:$A$206,'01_DANH_MUC'!$E$7:$E$206,0))</f>
        <v/>
      </c>
      <c r="J393" s="213">
        <f>IF(OR($A393="",$C393="",$G393&lt;=0),"",$A393+$I393)</f>
        <v/>
      </c>
      <c r="K393" s="210">
        <f>IF($A393="","",IF(OR($C393="",$G393&lt;=0,$A393&gt;'03_BAO_CAO'!$E$4),0,MAX(0,$G393-MAX(0,SUMIFS($H$7:$H$506,$C$7:$C$506,$C393,$A$7:$A$506,"&lt;="&amp;'03_BAO_CAO'!$E$4)-XLOOKUP($C393,'01_DANH_MUC'!$A$7:$A$206,'01_DANH_MUC'!$F$7:$F$206,0)-SUMIFS($G$7:G392,$C$7:C392,$C393,$A$7:A392,"&lt;="&amp;'03_BAO_CAO'!$E$4)))))</f>
        <v/>
      </c>
      <c r="L393" s="212">
        <f>IF($A393="","",IF(OR($K393&lt;=0,$J393=""),0,MAX(0,'03_BAO_CAO'!$E$4-$J393)))</f>
        <v/>
      </c>
      <c r="M393" s="51">
        <f>IF($A393="","",IF($K393&lt;=0,"Đã thanh toán",IF($J393="","Thiếu ngày đến hạn",IF($J393&gt;='03_BAO_CAO'!$E$4,"Chưa đến hạn",IF($L393&lt;=30,"1-30 ngày",IF($L393&lt;=60,"31-60 ngày",IF($L393&lt;=90,"61-90 ngày","Trên 90 ngày")))))))</f>
        <v/>
      </c>
      <c r="N393" s="51">
        <f>IF($A393="","",IF(OR($B393="",$C393=""),"THIẾU THÔNG TIN",IF(AND($G393&gt;0,$H393&gt;0),"KHÔNG NHẬP ĐỒNG THỜI TĂNG/GIẢM",IF(AND($G393&lt;=0,$H393&lt;=0),"CHƯA NHẬP SỐ TIỀN",IF($D393="KHÔNG TÌM THẤY","MÃ KHÔNG HỢP LỆ",IF(AND($G393&gt;0,$J393=""),"THIẾU NGÀY ĐẾN HẠN","OK"))))))</f>
        <v/>
      </c>
    </row>
    <row r="394">
      <c r="A394" s="209" t="n"/>
      <c r="B394" s="47" t="n"/>
      <c r="C394" s="47" t="n"/>
      <c r="D394" s="51">
        <f>IF($C394="","",XLOOKUP($C394,'01_DANH_MUC'!$A$7:$A$206,'01_DANH_MUC'!$B$7:$B$206,"KHÔNG TÌM THẤY"))</f>
        <v/>
      </c>
      <c r="E394" s="51">
        <f>IF($C394="","",XLOOKUP($C394,'01_DANH_MUC'!$A$7:$A$206,'01_DANH_MUC'!$C$7:$C$206,"KHÔNG TÌM THẤY"))</f>
        <v/>
      </c>
      <c r="F394" s="57" t="n"/>
      <c r="G394" s="211" t="n"/>
      <c r="H394" s="211" t="n"/>
      <c r="I394" s="212">
        <f>IF($C394="","",XLOOKUP($C394,'01_DANH_MUC'!$A$7:$A$206,'01_DANH_MUC'!$E$7:$E$206,0))</f>
        <v/>
      </c>
      <c r="J394" s="213">
        <f>IF(OR($A394="",$C394="",$G394&lt;=0),"",$A394+$I394)</f>
        <v/>
      </c>
      <c r="K394" s="210">
        <f>IF($A394="","",IF(OR($C394="",$G394&lt;=0,$A394&gt;'03_BAO_CAO'!$E$4),0,MAX(0,$G394-MAX(0,SUMIFS($H$7:$H$506,$C$7:$C$506,$C394,$A$7:$A$506,"&lt;="&amp;'03_BAO_CAO'!$E$4)-XLOOKUP($C394,'01_DANH_MUC'!$A$7:$A$206,'01_DANH_MUC'!$F$7:$F$206,0)-SUMIFS($G$7:G393,$C$7:C393,$C394,$A$7:A393,"&lt;="&amp;'03_BAO_CAO'!$E$4)))))</f>
        <v/>
      </c>
      <c r="L394" s="212">
        <f>IF($A394="","",IF(OR($K394&lt;=0,$J394=""),0,MAX(0,'03_BAO_CAO'!$E$4-$J394)))</f>
        <v/>
      </c>
      <c r="M394" s="51">
        <f>IF($A394="","",IF($K394&lt;=0,"Đã thanh toán",IF($J394="","Thiếu ngày đến hạn",IF($J394&gt;='03_BAO_CAO'!$E$4,"Chưa đến hạn",IF($L394&lt;=30,"1-30 ngày",IF($L394&lt;=60,"31-60 ngày",IF($L394&lt;=90,"61-90 ngày","Trên 90 ngày")))))))</f>
        <v/>
      </c>
      <c r="N394" s="51">
        <f>IF($A394="","",IF(OR($B394="",$C394=""),"THIẾU THÔNG TIN",IF(AND($G394&gt;0,$H394&gt;0),"KHÔNG NHẬP ĐỒNG THỜI TĂNG/GIẢM",IF(AND($G394&lt;=0,$H394&lt;=0),"CHƯA NHẬP SỐ TIỀN",IF($D394="KHÔNG TÌM THẤY","MÃ KHÔNG HỢP LỆ",IF(AND($G394&gt;0,$J394=""),"THIẾU NGÀY ĐẾN HẠN","OK"))))))</f>
        <v/>
      </c>
    </row>
    <row r="395">
      <c r="A395" s="209" t="n"/>
      <c r="B395" s="47" t="n"/>
      <c r="C395" s="47" t="n"/>
      <c r="D395" s="51">
        <f>IF($C395="","",XLOOKUP($C395,'01_DANH_MUC'!$A$7:$A$206,'01_DANH_MUC'!$B$7:$B$206,"KHÔNG TÌM THẤY"))</f>
        <v/>
      </c>
      <c r="E395" s="51">
        <f>IF($C395="","",XLOOKUP($C395,'01_DANH_MUC'!$A$7:$A$206,'01_DANH_MUC'!$C$7:$C$206,"KHÔNG TÌM THẤY"))</f>
        <v/>
      </c>
      <c r="F395" s="57" t="n"/>
      <c r="G395" s="211" t="n"/>
      <c r="H395" s="211" t="n"/>
      <c r="I395" s="212">
        <f>IF($C395="","",XLOOKUP($C395,'01_DANH_MUC'!$A$7:$A$206,'01_DANH_MUC'!$E$7:$E$206,0))</f>
        <v/>
      </c>
      <c r="J395" s="213">
        <f>IF(OR($A395="",$C395="",$G395&lt;=0),"",$A395+$I395)</f>
        <v/>
      </c>
      <c r="K395" s="210">
        <f>IF($A395="","",IF(OR($C395="",$G395&lt;=0,$A395&gt;'03_BAO_CAO'!$E$4),0,MAX(0,$G395-MAX(0,SUMIFS($H$7:$H$506,$C$7:$C$506,$C395,$A$7:$A$506,"&lt;="&amp;'03_BAO_CAO'!$E$4)-XLOOKUP($C395,'01_DANH_MUC'!$A$7:$A$206,'01_DANH_MUC'!$F$7:$F$206,0)-SUMIFS($G$7:G394,$C$7:C394,$C395,$A$7:A394,"&lt;="&amp;'03_BAO_CAO'!$E$4)))))</f>
        <v/>
      </c>
      <c r="L395" s="212">
        <f>IF($A395="","",IF(OR($K395&lt;=0,$J395=""),0,MAX(0,'03_BAO_CAO'!$E$4-$J395)))</f>
        <v/>
      </c>
      <c r="M395" s="51">
        <f>IF($A395="","",IF($K395&lt;=0,"Đã thanh toán",IF($J395="","Thiếu ngày đến hạn",IF($J395&gt;='03_BAO_CAO'!$E$4,"Chưa đến hạn",IF($L395&lt;=30,"1-30 ngày",IF($L395&lt;=60,"31-60 ngày",IF($L395&lt;=90,"61-90 ngày","Trên 90 ngày")))))))</f>
        <v/>
      </c>
      <c r="N395" s="51">
        <f>IF($A395="","",IF(OR($B395="",$C395=""),"THIẾU THÔNG TIN",IF(AND($G395&gt;0,$H395&gt;0),"KHÔNG NHẬP ĐỒNG THỜI TĂNG/GIẢM",IF(AND($G395&lt;=0,$H395&lt;=0),"CHƯA NHẬP SỐ TIỀN",IF($D395="KHÔNG TÌM THẤY","MÃ KHÔNG HỢP LỆ",IF(AND($G395&gt;0,$J395=""),"THIẾU NGÀY ĐẾN HẠN","OK"))))))</f>
        <v/>
      </c>
    </row>
    <row r="396">
      <c r="A396" s="209" t="n"/>
      <c r="B396" s="47" t="n"/>
      <c r="C396" s="47" t="n"/>
      <c r="D396" s="51">
        <f>IF($C396="","",XLOOKUP($C396,'01_DANH_MUC'!$A$7:$A$206,'01_DANH_MUC'!$B$7:$B$206,"KHÔNG TÌM THẤY"))</f>
        <v/>
      </c>
      <c r="E396" s="51">
        <f>IF($C396="","",XLOOKUP($C396,'01_DANH_MUC'!$A$7:$A$206,'01_DANH_MUC'!$C$7:$C$206,"KHÔNG TÌM THẤY"))</f>
        <v/>
      </c>
      <c r="F396" s="57" t="n"/>
      <c r="G396" s="211" t="n"/>
      <c r="H396" s="211" t="n"/>
      <c r="I396" s="212">
        <f>IF($C396="","",XLOOKUP($C396,'01_DANH_MUC'!$A$7:$A$206,'01_DANH_MUC'!$E$7:$E$206,0))</f>
        <v/>
      </c>
      <c r="J396" s="213">
        <f>IF(OR($A396="",$C396="",$G396&lt;=0),"",$A396+$I396)</f>
        <v/>
      </c>
      <c r="K396" s="210">
        <f>IF($A396="","",IF(OR($C396="",$G396&lt;=0,$A396&gt;'03_BAO_CAO'!$E$4),0,MAX(0,$G396-MAX(0,SUMIFS($H$7:$H$506,$C$7:$C$506,$C396,$A$7:$A$506,"&lt;="&amp;'03_BAO_CAO'!$E$4)-XLOOKUP($C396,'01_DANH_MUC'!$A$7:$A$206,'01_DANH_MUC'!$F$7:$F$206,0)-SUMIFS($G$7:G395,$C$7:C395,$C396,$A$7:A395,"&lt;="&amp;'03_BAO_CAO'!$E$4)))))</f>
        <v/>
      </c>
      <c r="L396" s="212">
        <f>IF($A396="","",IF(OR($K396&lt;=0,$J396=""),0,MAX(0,'03_BAO_CAO'!$E$4-$J396)))</f>
        <v/>
      </c>
      <c r="M396" s="51">
        <f>IF($A396="","",IF($K396&lt;=0,"Đã thanh toán",IF($J396="","Thiếu ngày đến hạn",IF($J396&gt;='03_BAO_CAO'!$E$4,"Chưa đến hạn",IF($L396&lt;=30,"1-30 ngày",IF($L396&lt;=60,"31-60 ngày",IF($L396&lt;=90,"61-90 ngày","Trên 90 ngày")))))))</f>
        <v/>
      </c>
      <c r="N396" s="51">
        <f>IF($A396="","",IF(OR($B396="",$C396=""),"THIẾU THÔNG TIN",IF(AND($G396&gt;0,$H396&gt;0),"KHÔNG NHẬP ĐỒNG THỜI TĂNG/GIẢM",IF(AND($G396&lt;=0,$H396&lt;=0),"CHƯA NHẬP SỐ TIỀN",IF($D396="KHÔNG TÌM THẤY","MÃ KHÔNG HỢP LỆ",IF(AND($G396&gt;0,$J396=""),"THIẾU NGÀY ĐẾN HẠN","OK"))))))</f>
        <v/>
      </c>
    </row>
    <row r="397">
      <c r="A397" s="209" t="n"/>
      <c r="B397" s="47" t="n"/>
      <c r="C397" s="47" t="n"/>
      <c r="D397" s="51">
        <f>IF($C397="","",XLOOKUP($C397,'01_DANH_MUC'!$A$7:$A$206,'01_DANH_MUC'!$B$7:$B$206,"KHÔNG TÌM THẤY"))</f>
        <v/>
      </c>
      <c r="E397" s="51">
        <f>IF($C397="","",XLOOKUP($C397,'01_DANH_MUC'!$A$7:$A$206,'01_DANH_MUC'!$C$7:$C$206,"KHÔNG TÌM THẤY"))</f>
        <v/>
      </c>
      <c r="F397" s="57" t="n"/>
      <c r="G397" s="211" t="n"/>
      <c r="H397" s="211" t="n"/>
      <c r="I397" s="212">
        <f>IF($C397="","",XLOOKUP($C397,'01_DANH_MUC'!$A$7:$A$206,'01_DANH_MUC'!$E$7:$E$206,0))</f>
        <v/>
      </c>
      <c r="J397" s="213">
        <f>IF(OR($A397="",$C397="",$G397&lt;=0),"",$A397+$I397)</f>
        <v/>
      </c>
      <c r="K397" s="210">
        <f>IF($A397="","",IF(OR($C397="",$G397&lt;=0,$A397&gt;'03_BAO_CAO'!$E$4),0,MAX(0,$G397-MAX(0,SUMIFS($H$7:$H$506,$C$7:$C$506,$C397,$A$7:$A$506,"&lt;="&amp;'03_BAO_CAO'!$E$4)-XLOOKUP($C397,'01_DANH_MUC'!$A$7:$A$206,'01_DANH_MUC'!$F$7:$F$206,0)-SUMIFS($G$7:G396,$C$7:C396,$C397,$A$7:A396,"&lt;="&amp;'03_BAO_CAO'!$E$4)))))</f>
        <v/>
      </c>
      <c r="L397" s="212">
        <f>IF($A397="","",IF(OR($K397&lt;=0,$J397=""),0,MAX(0,'03_BAO_CAO'!$E$4-$J397)))</f>
        <v/>
      </c>
      <c r="M397" s="51">
        <f>IF($A397="","",IF($K397&lt;=0,"Đã thanh toán",IF($J397="","Thiếu ngày đến hạn",IF($J397&gt;='03_BAO_CAO'!$E$4,"Chưa đến hạn",IF($L397&lt;=30,"1-30 ngày",IF($L397&lt;=60,"31-60 ngày",IF($L397&lt;=90,"61-90 ngày","Trên 90 ngày")))))))</f>
        <v/>
      </c>
      <c r="N397" s="51">
        <f>IF($A397="","",IF(OR($B397="",$C397=""),"THIẾU THÔNG TIN",IF(AND($G397&gt;0,$H397&gt;0),"KHÔNG NHẬP ĐỒNG THỜI TĂNG/GIẢM",IF(AND($G397&lt;=0,$H397&lt;=0),"CHƯA NHẬP SỐ TIỀN",IF($D397="KHÔNG TÌM THẤY","MÃ KHÔNG HỢP LỆ",IF(AND($G397&gt;0,$J397=""),"THIẾU NGÀY ĐẾN HẠN","OK"))))))</f>
        <v/>
      </c>
    </row>
    <row r="398">
      <c r="A398" s="209" t="n"/>
      <c r="B398" s="47" t="n"/>
      <c r="C398" s="47" t="n"/>
      <c r="D398" s="51">
        <f>IF($C398="","",XLOOKUP($C398,'01_DANH_MUC'!$A$7:$A$206,'01_DANH_MUC'!$B$7:$B$206,"KHÔNG TÌM THẤY"))</f>
        <v/>
      </c>
      <c r="E398" s="51">
        <f>IF($C398="","",XLOOKUP($C398,'01_DANH_MUC'!$A$7:$A$206,'01_DANH_MUC'!$C$7:$C$206,"KHÔNG TÌM THẤY"))</f>
        <v/>
      </c>
      <c r="F398" s="57" t="n"/>
      <c r="G398" s="211" t="n"/>
      <c r="H398" s="211" t="n"/>
      <c r="I398" s="212">
        <f>IF($C398="","",XLOOKUP($C398,'01_DANH_MUC'!$A$7:$A$206,'01_DANH_MUC'!$E$7:$E$206,0))</f>
        <v/>
      </c>
      <c r="J398" s="213">
        <f>IF(OR($A398="",$C398="",$G398&lt;=0),"",$A398+$I398)</f>
        <v/>
      </c>
      <c r="K398" s="210">
        <f>IF($A398="","",IF(OR($C398="",$G398&lt;=0,$A398&gt;'03_BAO_CAO'!$E$4),0,MAX(0,$G398-MAX(0,SUMIFS($H$7:$H$506,$C$7:$C$506,$C398,$A$7:$A$506,"&lt;="&amp;'03_BAO_CAO'!$E$4)-XLOOKUP($C398,'01_DANH_MUC'!$A$7:$A$206,'01_DANH_MUC'!$F$7:$F$206,0)-SUMIFS($G$7:G397,$C$7:C397,$C398,$A$7:A397,"&lt;="&amp;'03_BAO_CAO'!$E$4)))))</f>
        <v/>
      </c>
      <c r="L398" s="212">
        <f>IF($A398="","",IF(OR($K398&lt;=0,$J398=""),0,MAX(0,'03_BAO_CAO'!$E$4-$J398)))</f>
        <v/>
      </c>
      <c r="M398" s="51">
        <f>IF($A398="","",IF($K398&lt;=0,"Đã thanh toán",IF($J398="","Thiếu ngày đến hạn",IF($J398&gt;='03_BAO_CAO'!$E$4,"Chưa đến hạn",IF($L398&lt;=30,"1-30 ngày",IF($L398&lt;=60,"31-60 ngày",IF($L398&lt;=90,"61-90 ngày","Trên 90 ngày")))))))</f>
        <v/>
      </c>
      <c r="N398" s="51">
        <f>IF($A398="","",IF(OR($B398="",$C398=""),"THIẾU THÔNG TIN",IF(AND($G398&gt;0,$H398&gt;0),"KHÔNG NHẬP ĐỒNG THỜI TĂNG/GIẢM",IF(AND($G398&lt;=0,$H398&lt;=0),"CHƯA NHẬP SỐ TIỀN",IF($D398="KHÔNG TÌM THẤY","MÃ KHÔNG HỢP LỆ",IF(AND($G398&gt;0,$J398=""),"THIẾU NGÀY ĐẾN HẠN","OK"))))))</f>
        <v/>
      </c>
    </row>
    <row r="399">
      <c r="A399" s="209" t="n"/>
      <c r="B399" s="47" t="n"/>
      <c r="C399" s="47" t="n"/>
      <c r="D399" s="51">
        <f>IF($C399="","",XLOOKUP($C399,'01_DANH_MUC'!$A$7:$A$206,'01_DANH_MUC'!$B$7:$B$206,"KHÔNG TÌM THẤY"))</f>
        <v/>
      </c>
      <c r="E399" s="51">
        <f>IF($C399="","",XLOOKUP($C399,'01_DANH_MUC'!$A$7:$A$206,'01_DANH_MUC'!$C$7:$C$206,"KHÔNG TÌM THẤY"))</f>
        <v/>
      </c>
      <c r="F399" s="57" t="n"/>
      <c r="G399" s="211" t="n"/>
      <c r="H399" s="211" t="n"/>
      <c r="I399" s="212">
        <f>IF($C399="","",XLOOKUP($C399,'01_DANH_MUC'!$A$7:$A$206,'01_DANH_MUC'!$E$7:$E$206,0))</f>
        <v/>
      </c>
      <c r="J399" s="213">
        <f>IF(OR($A399="",$C399="",$G399&lt;=0),"",$A399+$I399)</f>
        <v/>
      </c>
      <c r="K399" s="210">
        <f>IF($A399="","",IF(OR($C399="",$G399&lt;=0,$A399&gt;'03_BAO_CAO'!$E$4),0,MAX(0,$G399-MAX(0,SUMIFS($H$7:$H$506,$C$7:$C$506,$C399,$A$7:$A$506,"&lt;="&amp;'03_BAO_CAO'!$E$4)-XLOOKUP($C399,'01_DANH_MUC'!$A$7:$A$206,'01_DANH_MUC'!$F$7:$F$206,0)-SUMIFS($G$7:G398,$C$7:C398,$C399,$A$7:A398,"&lt;="&amp;'03_BAO_CAO'!$E$4)))))</f>
        <v/>
      </c>
      <c r="L399" s="212">
        <f>IF($A399="","",IF(OR($K399&lt;=0,$J399=""),0,MAX(0,'03_BAO_CAO'!$E$4-$J399)))</f>
        <v/>
      </c>
      <c r="M399" s="51">
        <f>IF($A399="","",IF($K399&lt;=0,"Đã thanh toán",IF($J399="","Thiếu ngày đến hạn",IF($J399&gt;='03_BAO_CAO'!$E$4,"Chưa đến hạn",IF($L399&lt;=30,"1-30 ngày",IF($L399&lt;=60,"31-60 ngày",IF($L399&lt;=90,"61-90 ngày","Trên 90 ngày")))))))</f>
        <v/>
      </c>
      <c r="N399" s="51">
        <f>IF($A399="","",IF(OR($B399="",$C399=""),"THIẾU THÔNG TIN",IF(AND($G399&gt;0,$H399&gt;0),"KHÔNG NHẬP ĐỒNG THỜI TĂNG/GIẢM",IF(AND($G399&lt;=0,$H399&lt;=0),"CHƯA NHẬP SỐ TIỀN",IF($D399="KHÔNG TÌM THẤY","MÃ KHÔNG HỢP LỆ",IF(AND($G399&gt;0,$J399=""),"THIẾU NGÀY ĐẾN HẠN","OK"))))))</f>
        <v/>
      </c>
    </row>
    <row r="400">
      <c r="A400" s="209" t="n"/>
      <c r="B400" s="47" t="n"/>
      <c r="C400" s="47" t="n"/>
      <c r="D400" s="51">
        <f>IF($C400="","",XLOOKUP($C400,'01_DANH_MUC'!$A$7:$A$206,'01_DANH_MUC'!$B$7:$B$206,"KHÔNG TÌM THẤY"))</f>
        <v/>
      </c>
      <c r="E400" s="51">
        <f>IF($C400="","",XLOOKUP($C400,'01_DANH_MUC'!$A$7:$A$206,'01_DANH_MUC'!$C$7:$C$206,"KHÔNG TÌM THẤY"))</f>
        <v/>
      </c>
      <c r="F400" s="57" t="n"/>
      <c r="G400" s="211" t="n"/>
      <c r="H400" s="211" t="n"/>
      <c r="I400" s="212">
        <f>IF($C400="","",XLOOKUP($C400,'01_DANH_MUC'!$A$7:$A$206,'01_DANH_MUC'!$E$7:$E$206,0))</f>
        <v/>
      </c>
      <c r="J400" s="213">
        <f>IF(OR($A400="",$C400="",$G400&lt;=0),"",$A400+$I400)</f>
        <v/>
      </c>
      <c r="K400" s="210">
        <f>IF($A400="","",IF(OR($C400="",$G400&lt;=0,$A400&gt;'03_BAO_CAO'!$E$4),0,MAX(0,$G400-MAX(0,SUMIFS($H$7:$H$506,$C$7:$C$506,$C400,$A$7:$A$506,"&lt;="&amp;'03_BAO_CAO'!$E$4)-XLOOKUP($C400,'01_DANH_MUC'!$A$7:$A$206,'01_DANH_MUC'!$F$7:$F$206,0)-SUMIFS($G$7:G399,$C$7:C399,$C400,$A$7:A399,"&lt;="&amp;'03_BAO_CAO'!$E$4)))))</f>
        <v/>
      </c>
      <c r="L400" s="212">
        <f>IF($A400="","",IF(OR($K400&lt;=0,$J400=""),0,MAX(0,'03_BAO_CAO'!$E$4-$J400)))</f>
        <v/>
      </c>
      <c r="M400" s="51">
        <f>IF($A400="","",IF($K400&lt;=0,"Đã thanh toán",IF($J400="","Thiếu ngày đến hạn",IF($J400&gt;='03_BAO_CAO'!$E$4,"Chưa đến hạn",IF($L400&lt;=30,"1-30 ngày",IF($L400&lt;=60,"31-60 ngày",IF($L400&lt;=90,"61-90 ngày","Trên 90 ngày")))))))</f>
        <v/>
      </c>
      <c r="N400" s="51">
        <f>IF($A400="","",IF(OR($B400="",$C400=""),"THIẾU THÔNG TIN",IF(AND($G400&gt;0,$H400&gt;0),"KHÔNG NHẬP ĐỒNG THỜI TĂNG/GIẢM",IF(AND($G400&lt;=0,$H400&lt;=0),"CHƯA NHẬP SỐ TIỀN",IF($D400="KHÔNG TÌM THẤY","MÃ KHÔNG HỢP LỆ",IF(AND($G400&gt;0,$J400=""),"THIẾU NGÀY ĐẾN HẠN","OK"))))))</f>
        <v/>
      </c>
    </row>
    <row r="401">
      <c r="A401" s="209" t="n"/>
      <c r="B401" s="47" t="n"/>
      <c r="C401" s="47" t="n"/>
      <c r="D401" s="51">
        <f>IF($C401="","",XLOOKUP($C401,'01_DANH_MUC'!$A$7:$A$206,'01_DANH_MUC'!$B$7:$B$206,"KHÔNG TÌM THẤY"))</f>
        <v/>
      </c>
      <c r="E401" s="51">
        <f>IF($C401="","",XLOOKUP($C401,'01_DANH_MUC'!$A$7:$A$206,'01_DANH_MUC'!$C$7:$C$206,"KHÔNG TÌM THẤY"))</f>
        <v/>
      </c>
      <c r="F401" s="57" t="n"/>
      <c r="G401" s="211" t="n"/>
      <c r="H401" s="211" t="n"/>
      <c r="I401" s="212">
        <f>IF($C401="","",XLOOKUP($C401,'01_DANH_MUC'!$A$7:$A$206,'01_DANH_MUC'!$E$7:$E$206,0))</f>
        <v/>
      </c>
      <c r="J401" s="213">
        <f>IF(OR($A401="",$C401="",$G401&lt;=0),"",$A401+$I401)</f>
        <v/>
      </c>
      <c r="K401" s="210">
        <f>IF($A401="","",IF(OR($C401="",$G401&lt;=0,$A401&gt;'03_BAO_CAO'!$E$4),0,MAX(0,$G401-MAX(0,SUMIFS($H$7:$H$506,$C$7:$C$506,$C401,$A$7:$A$506,"&lt;="&amp;'03_BAO_CAO'!$E$4)-XLOOKUP($C401,'01_DANH_MUC'!$A$7:$A$206,'01_DANH_MUC'!$F$7:$F$206,0)-SUMIFS($G$7:G400,$C$7:C400,$C401,$A$7:A400,"&lt;="&amp;'03_BAO_CAO'!$E$4)))))</f>
        <v/>
      </c>
      <c r="L401" s="212">
        <f>IF($A401="","",IF(OR($K401&lt;=0,$J401=""),0,MAX(0,'03_BAO_CAO'!$E$4-$J401)))</f>
        <v/>
      </c>
      <c r="M401" s="51">
        <f>IF($A401="","",IF($K401&lt;=0,"Đã thanh toán",IF($J401="","Thiếu ngày đến hạn",IF($J401&gt;='03_BAO_CAO'!$E$4,"Chưa đến hạn",IF($L401&lt;=30,"1-30 ngày",IF($L401&lt;=60,"31-60 ngày",IF($L401&lt;=90,"61-90 ngày","Trên 90 ngày")))))))</f>
        <v/>
      </c>
      <c r="N401" s="51">
        <f>IF($A401="","",IF(OR($B401="",$C401=""),"THIẾU THÔNG TIN",IF(AND($G401&gt;0,$H401&gt;0),"KHÔNG NHẬP ĐỒNG THỜI TĂNG/GIẢM",IF(AND($G401&lt;=0,$H401&lt;=0),"CHƯA NHẬP SỐ TIỀN",IF($D401="KHÔNG TÌM THẤY","MÃ KHÔNG HỢP LỆ",IF(AND($G401&gt;0,$J401=""),"THIẾU NGÀY ĐẾN HẠN","OK"))))))</f>
        <v/>
      </c>
    </row>
    <row r="402">
      <c r="A402" s="209" t="n"/>
      <c r="B402" s="47" t="n"/>
      <c r="C402" s="47" t="n"/>
      <c r="D402" s="51">
        <f>IF($C402="","",XLOOKUP($C402,'01_DANH_MUC'!$A$7:$A$206,'01_DANH_MUC'!$B$7:$B$206,"KHÔNG TÌM THẤY"))</f>
        <v/>
      </c>
      <c r="E402" s="51">
        <f>IF($C402="","",XLOOKUP($C402,'01_DANH_MUC'!$A$7:$A$206,'01_DANH_MUC'!$C$7:$C$206,"KHÔNG TÌM THẤY"))</f>
        <v/>
      </c>
      <c r="F402" s="57" t="n"/>
      <c r="G402" s="211" t="n"/>
      <c r="H402" s="211" t="n"/>
      <c r="I402" s="212">
        <f>IF($C402="","",XLOOKUP($C402,'01_DANH_MUC'!$A$7:$A$206,'01_DANH_MUC'!$E$7:$E$206,0))</f>
        <v/>
      </c>
      <c r="J402" s="213">
        <f>IF(OR($A402="",$C402="",$G402&lt;=0),"",$A402+$I402)</f>
        <v/>
      </c>
      <c r="K402" s="210">
        <f>IF($A402="","",IF(OR($C402="",$G402&lt;=0,$A402&gt;'03_BAO_CAO'!$E$4),0,MAX(0,$G402-MAX(0,SUMIFS($H$7:$H$506,$C$7:$C$506,$C402,$A$7:$A$506,"&lt;="&amp;'03_BAO_CAO'!$E$4)-XLOOKUP($C402,'01_DANH_MUC'!$A$7:$A$206,'01_DANH_MUC'!$F$7:$F$206,0)-SUMIFS($G$7:G401,$C$7:C401,$C402,$A$7:A401,"&lt;="&amp;'03_BAO_CAO'!$E$4)))))</f>
        <v/>
      </c>
      <c r="L402" s="212">
        <f>IF($A402="","",IF(OR($K402&lt;=0,$J402=""),0,MAX(0,'03_BAO_CAO'!$E$4-$J402)))</f>
        <v/>
      </c>
      <c r="M402" s="51">
        <f>IF($A402="","",IF($K402&lt;=0,"Đã thanh toán",IF($J402="","Thiếu ngày đến hạn",IF($J402&gt;='03_BAO_CAO'!$E$4,"Chưa đến hạn",IF($L402&lt;=30,"1-30 ngày",IF($L402&lt;=60,"31-60 ngày",IF($L402&lt;=90,"61-90 ngày","Trên 90 ngày")))))))</f>
        <v/>
      </c>
      <c r="N402" s="51">
        <f>IF($A402="","",IF(OR($B402="",$C402=""),"THIẾU THÔNG TIN",IF(AND($G402&gt;0,$H402&gt;0),"KHÔNG NHẬP ĐỒNG THỜI TĂNG/GIẢM",IF(AND($G402&lt;=0,$H402&lt;=0),"CHƯA NHẬP SỐ TIỀN",IF($D402="KHÔNG TÌM THẤY","MÃ KHÔNG HỢP LỆ",IF(AND($G402&gt;0,$J402=""),"THIẾU NGÀY ĐẾN HẠN","OK"))))))</f>
        <v/>
      </c>
    </row>
    <row r="403">
      <c r="A403" s="209" t="n"/>
      <c r="B403" s="47" t="n"/>
      <c r="C403" s="47" t="n"/>
      <c r="D403" s="51">
        <f>IF($C403="","",XLOOKUP($C403,'01_DANH_MUC'!$A$7:$A$206,'01_DANH_MUC'!$B$7:$B$206,"KHÔNG TÌM THẤY"))</f>
        <v/>
      </c>
      <c r="E403" s="51">
        <f>IF($C403="","",XLOOKUP($C403,'01_DANH_MUC'!$A$7:$A$206,'01_DANH_MUC'!$C$7:$C$206,"KHÔNG TÌM THẤY"))</f>
        <v/>
      </c>
      <c r="F403" s="57" t="n"/>
      <c r="G403" s="211" t="n"/>
      <c r="H403" s="211" t="n"/>
      <c r="I403" s="212">
        <f>IF($C403="","",XLOOKUP($C403,'01_DANH_MUC'!$A$7:$A$206,'01_DANH_MUC'!$E$7:$E$206,0))</f>
        <v/>
      </c>
      <c r="J403" s="213">
        <f>IF(OR($A403="",$C403="",$G403&lt;=0),"",$A403+$I403)</f>
        <v/>
      </c>
      <c r="K403" s="210">
        <f>IF($A403="","",IF(OR($C403="",$G403&lt;=0,$A403&gt;'03_BAO_CAO'!$E$4),0,MAX(0,$G403-MAX(0,SUMIFS($H$7:$H$506,$C$7:$C$506,$C403,$A$7:$A$506,"&lt;="&amp;'03_BAO_CAO'!$E$4)-XLOOKUP($C403,'01_DANH_MUC'!$A$7:$A$206,'01_DANH_MUC'!$F$7:$F$206,0)-SUMIFS($G$7:G402,$C$7:C402,$C403,$A$7:A402,"&lt;="&amp;'03_BAO_CAO'!$E$4)))))</f>
        <v/>
      </c>
      <c r="L403" s="212">
        <f>IF($A403="","",IF(OR($K403&lt;=0,$J403=""),0,MAX(0,'03_BAO_CAO'!$E$4-$J403)))</f>
        <v/>
      </c>
      <c r="M403" s="51">
        <f>IF($A403="","",IF($K403&lt;=0,"Đã thanh toán",IF($J403="","Thiếu ngày đến hạn",IF($J403&gt;='03_BAO_CAO'!$E$4,"Chưa đến hạn",IF($L403&lt;=30,"1-30 ngày",IF($L403&lt;=60,"31-60 ngày",IF($L403&lt;=90,"61-90 ngày","Trên 90 ngày")))))))</f>
        <v/>
      </c>
      <c r="N403" s="51">
        <f>IF($A403="","",IF(OR($B403="",$C403=""),"THIẾU THÔNG TIN",IF(AND($G403&gt;0,$H403&gt;0),"KHÔNG NHẬP ĐỒNG THỜI TĂNG/GIẢM",IF(AND($G403&lt;=0,$H403&lt;=0),"CHƯA NHẬP SỐ TIỀN",IF($D403="KHÔNG TÌM THẤY","MÃ KHÔNG HỢP LỆ",IF(AND($G403&gt;0,$J403=""),"THIẾU NGÀY ĐẾN HẠN","OK"))))))</f>
        <v/>
      </c>
    </row>
    <row r="404">
      <c r="A404" s="209" t="n"/>
      <c r="B404" s="47" t="n"/>
      <c r="C404" s="47" t="n"/>
      <c r="D404" s="51">
        <f>IF($C404="","",XLOOKUP($C404,'01_DANH_MUC'!$A$7:$A$206,'01_DANH_MUC'!$B$7:$B$206,"KHÔNG TÌM THẤY"))</f>
        <v/>
      </c>
      <c r="E404" s="51">
        <f>IF($C404="","",XLOOKUP($C404,'01_DANH_MUC'!$A$7:$A$206,'01_DANH_MUC'!$C$7:$C$206,"KHÔNG TÌM THẤY"))</f>
        <v/>
      </c>
      <c r="F404" s="57" t="n"/>
      <c r="G404" s="211" t="n"/>
      <c r="H404" s="211" t="n"/>
      <c r="I404" s="212">
        <f>IF($C404="","",XLOOKUP($C404,'01_DANH_MUC'!$A$7:$A$206,'01_DANH_MUC'!$E$7:$E$206,0))</f>
        <v/>
      </c>
      <c r="J404" s="213">
        <f>IF(OR($A404="",$C404="",$G404&lt;=0),"",$A404+$I404)</f>
        <v/>
      </c>
      <c r="K404" s="210">
        <f>IF($A404="","",IF(OR($C404="",$G404&lt;=0,$A404&gt;'03_BAO_CAO'!$E$4),0,MAX(0,$G404-MAX(0,SUMIFS($H$7:$H$506,$C$7:$C$506,$C404,$A$7:$A$506,"&lt;="&amp;'03_BAO_CAO'!$E$4)-XLOOKUP($C404,'01_DANH_MUC'!$A$7:$A$206,'01_DANH_MUC'!$F$7:$F$206,0)-SUMIFS($G$7:G403,$C$7:C403,$C404,$A$7:A403,"&lt;="&amp;'03_BAO_CAO'!$E$4)))))</f>
        <v/>
      </c>
      <c r="L404" s="212">
        <f>IF($A404="","",IF(OR($K404&lt;=0,$J404=""),0,MAX(0,'03_BAO_CAO'!$E$4-$J404)))</f>
        <v/>
      </c>
      <c r="M404" s="51">
        <f>IF($A404="","",IF($K404&lt;=0,"Đã thanh toán",IF($J404="","Thiếu ngày đến hạn",IF($J404&gt;='03_BAO_CAO'!$E$4,"Chưa đến hạn",IF($L404&lt;=30,"1-30 ngày",IF($L404&lt;=60,"31-60 ngày",IF($L404&lt;=90,"61-90 ngày","Trên 90 ngày")))))))</f>
        <v/>
      </c>
      <c r="N404" s="51">
        <f>IF($A404="","",IF(OR($B404="",$C404=""),"THIẾU THÔNG TIN",IF(AND($G404&gt;0,$H404&gt;0),"KHÔNG NHẬP ĐỒNG THỜI TĂNG/GIẢM",IF(AND($G404&lt;=0,$H404&lt;=0),"CHƯA NHẬP SỐ TIỀN",IF($D404="KHÔNG TÌM THẤY","MÃ KHÔNG HỢP LỆ",IF(AND($G404&gt;0,$J404=""),"THIẾU NGÀY ĐẾN HẠN","OK"))))))</f>
        <v/>
      </c>
    </row>
    <row r="405">
      <c r="A405" s="209" t="n"/>
      <c r="B405" s="47" t="n"/>
      <c r="C405" s="47" t="n"/>
      <c r="D405" s="51">
        <f>IF($C405="","",XLOOKUP($C405,'01_DANH_MUC'!$A$7:$A$206,'01_DANH_MUC'!$B$7:$B$206,"KHÔNG TÌM THẤY"))</f>
        <v/>
      </c>
      <c r="E405" s="51">
        <f>IF($C405="","",XLOOKUP($C405,'01_DANH_MUC'!$A$7:$A$206,'01_DANH_MUC'!$C$7:$C$206,"KHÔNG TÌM THẤY"))</f>
        <v/>
      </c>
      <c r="F405" s="57" t="n"/>
      <c r="G405" s="211" t="n"/>
      <c r="H405" s="211" t="n"/>
      <c r="I405" s="212">
        <f>IF($C405="","",XLOOKUP($C405,'01_DANH_MUC'!$A$7:$A$206,'01_DANH_MUC'!$E$7:$E$206,0))</f>
        <v/>
      </c>
      <c r="J405" s="213">
        <f>IF(OR($A405="",$C405="",$G405&lt;=0),"",$A405+$I405)</f>
        <v/>
      </c>
      <c r="K405" s="210">
        <f>IF($A405="","",IF(OR($C405="",$G405&lt;=0,$A405&gt;'03_BAO_CAO'!$E$4),0,MAX(0,$G405-MAX(0,SUMIFS($H$7:$H$506,$C$7:$C$506,$C405,$A$7:$A$506,"&lt;="&amp;'03_BAO_CAO'!$E$4)-XLOOKUP($C405,'01_DANH_MUC'!$A$7:$A$206,'01_DANH_MUC'!$F$7:$F$206,0)-SUMIFS($G$7:G404,$C$7:C404,$C405,$A$7:A404,"&lt;="&amp;'03_BAO_CAO'!$E$4)))))</f>
        <v/>
      </c>
      <c r="L405" s="212">
        <f>IF($A405="","",IF(OR($K405&lt;=0,$J405=""),0,MAX(0,'03_BAO_CAO'!$E$4-$J405)))</f>
        <v/>
      </c>
      <c r="M405" s="51">
        <f>IF($A405="","",IF($K405&lt;=0,"Đã thanh toán",IF($J405="","Thiếu ngày đến hạn",IF($J405&gt;='03_BAO_CAO'!$E$4,"Chưa đến hạn",IF($L405&lt;=30,"1-30 ngày",IF($L405&lt;=60,"31-60 ngày",IF($L405&lt;=90,"61-90 ngày","Trên 90 ngày")))))))</f>
        <v/>
      </c>
      <c r="N405" s="51">
        <f>IF($A405="","",IF(OR($B405="",$C405=""),"THIẾU THÔNG TIN",IF(AND($G405&gt;0,$H405&gt;0),"KHÔNG NHẬP ĐỒNG THỜI TĂNG/GIẢM",IF(AND($G405&lt;=0,$H405&lt;=0),"CHƯA NHẬP SỐ TIỀN",IF($D405="KHÔNG TÌM THẤY","MÃ KHÔNG HỢP LỆ",IF(AND($G405&gt;0,$J405=""),"THIẾU NGÀY ĐẾN HẠN","OK"))))))</f>
        <v/>
      </c>
    </row>
    <row r="406">
      <c r="A406" s="209" t="n"/>
      <c r="B406" s="47" t="n"/>
      <c r="C406" s="47" t="n"/>
      <c r="D406" s="51">
        <f>IF($C406="","",XLOOKUP($C406,'01_DANH_MUC'!$A$7:$A$206,'01_DANH_MUC'!$B$7:$B$206,"KHÔNG TÌM THẤY"))</f>
        <v/>
      </c>
      <c r="E406" s="51">
        <f>IF($C406="","",XLOOKUP($C406,'01_DANH_MUC'!$A$7:$A$206,'01_DANH_MUC'!$C$7:$C$206,"KHÔNG TÌM THẤY"))</f>
        <v/>
      </c>
      <c r="F406" s="57" t="n"/>
      <c r="G406" s="211" t="n"/>
      <c r="H406" s="211" t="n"/>
      <c r="I406" s="212">
        <f>IF($C406="","",XLOOKUP($C406,'01_DANH_MUC'!$A$7:$A$206,'01_DANH_MUC'!$E$7:$E$206,0))</f>
        <v/>
      </c>
      <c r="J406" s="213">
        <f>IF(OR($A406="",$C406="",$G406&lt;=0),"",$A406+$I406)</f>
        <v/>
      </c>
      <c r="K406" s="210">
        <f>IF($A406="","",IF(OR($C406="",$G406&lt;=0,$A406&gt;'03_BAO_CAO'!$E$4),0,MAX(0,$G406-MAX(0,SUMIFS($H$7:$H$506,$C$7:$C$506,$C406,$A$7:$A$506,"&lt;="&amp;'03_BAO_CAO'!$E$4)-XLOOKUP($C406,'01_DANH_MUC'!$A$7:$A$206,'01_DANH_MUC'!$F$7:$F$206,0)-SUMIFS($G$7:G405,$C$7:C405,$C406,$A$7:A405,"&lt;="&amp;'03_BAO_CAO'!$E$4)))))</f>
        <v/>
      </c>
      <c r="L406" s="212">
        <f>IF($A406="","",IF(OR($K406&lt;=0,$J406=""),0,MAX(0,'03_BAO_CAO'!$E$4-$J406)))</f>
        <v/>
      </c>
      <c r="M406" s="51">
        <f>IF($A406="","",IF($K406&lt;=0,"Đã thanh toán",IF($J406="","Thiếu ngày đến hạn",IF($J406&gt;='03_BAO_CAO'!$E$4,"Chưa đến hạn",IF($L406&lt;=30,"1-30 ngày",IF($L406&lt;=60,"31-60 ngày",IF($L406&lt;=90,"61-90 ngày","Trên 90 ngày")))))))</f>
        <v/>
      </c>
      <c r="N406" s="51">
        <f>IF($A406="","",IF(OR($B406="",$C406=""),"THIẾU THÔNG TIN",IF(AND($G406&gt;0,$H406&gt;0),"KHÔNG NHẬP ĐỒNG THỜI TĂNG/GIẢM",IF(AND($G406&lt;=0,$H406&lt;=0),"CHƯA NHẬP SỐ TIỀN",IF($D406="KHÔNG TÌM THẤY","MÃ KHÔNG HỢP LỆ",IF(AND($G406&gt;0,$J406=""),"THIẾU NGÀY ĐẾN HẠN","OK"))))))</f>
        <v/>
      </c>
    </row>
    <row r="407">
      <c r="A407" s="209" t="n"/>
      <c r="B407" s="47" t="n"/>
      <c r="C407" s="47" t="n"/>
      <c r="D407" s="51">
        <f>IF($C407="","",XLOOKUP($C407,'01_DANH_MUC'!$A$7:$A$206,'01_DANH_MUC'!$B$7:$B$206,"KHÔNG TÌM THẤY"))</f>
        <v/>
      </c>
      <c r="E407" s="51">
        <f>IF($C407="","",XLOOKUP($C407,'01_DANH_MUC'!$A$7:$A$206,'01_DANH_MUC'!$C$7:$C$206,"KHÔNG TÌM THẤY"))</f>
        <v/>
      </c>
      <c r="F407" s="57" t="n"/>
      <c r="G407" s="211" t="n"/>
      <c r="H407" s="211" t="n"/>
      <c r="I407" s="212">
        <f>IF($C407="","",XLOOKUP($C407,'01_DANH_MUC'!$A$7:$A$206,'01_DANH_MUC'!$E$7:$E$206,0))</f>
        <v/>
      </c>
      <c r="J407" s="213">
        <f>IF(OR($A407="",$C407="",$G407&lt;=0),"",$A407+$I407)</f>
        <v/>
      </c>
      <c r="K407" s="210">
        <f>IF($A407="","",IF(OR($C407="",$G407&lt;=0,$A407&gt;'03_BAO_CAO'!$E$4),0,MAX(0,$G407-MAX(0,SUMIFS($H$7:$H$506,$C$7:$C$506,$C407,$A$7:$A$506,"&lt;="&amp;'03_BAO_CAO'!$E$4)-XLOOKUP($C407,'01_DANH_MUC'!$A$7:$A$206,'01_DANH_MUC'!$F$7:$F$206,0)-SUMIFS($G$7:G406,$C$7:C406,$C407,$A$7:A406,"&lt;="&amp;'03_BAO_CAO'!$E$4)))))</f>
        <v/>
      </c>
      <c r="L407" s="212">
        <f>IF($A407="","",IF(OR($K407&lt;=0,$J407=""),0,MAX(0,'03_BAO_CAO'!$E$4-$J407)))</f>
        <v/>
      </c>
      <c r="M407" s="51">
        <f>IF($A407="","",IF($K407&lt;=0,"Đã thanh toán",IF($J407="","Thiếu ngày đến hạn",IF($J407&gt;='03_BAO_CAO'!$E$4,"Chưa đến hạn",IF($L407&lt;=30,"1-30 ngày",IF($L407&lt;=60,"31-60 ngày",IF($L407&lt;=90,"61-90 ngày","Trên 90 ngày")))))))</f>
        <v/>
      </c>
      <c r="N407" s="51">
        <f>IF($A407="","",IF(OR($B407="",$C407=""),"THIẾU THÔNG TIN",IF(AND($G407&gt;0,$H407&gt;0),"KHÔNG NHẬP ĐỒNG THỜI TĂNG/GIẢM",IF(AND($G407&lt;=0,$H407&lt;=0),"CHƯA NHẬP SỐ TIỀN",IF($D407="KHÔNG TÌM THẤY","MÃ KHÔNG HỢP LỆ",IF(AND($G407&gt;0,$J407=""),"THIẾU NGÀY ĐẾN HẠN","OK"))))))</f>
        <v/>
      </c>
    </row>
    <row r="408">
      <c r="A408" s="209" t="n"/>
      <c r="B408" s="47" t="n"/>
      <c r="C408" s="47" t="n"/>
      <c r="D408" s="51">
        <f>IF($C408="","",XLOOKUP($C408,'01_DANH_MUC'!$A$7:$A$206,'01_DANH_MUC'!$B$7:$B$206,"KHÔNG TÌM THẤY"))</f>
        <v/>
      </c>
      <c r="E408" s="51">
        <f>IF($C408="","",XLOOKUP($C408,'01_DANH_MUC'!$A$7:$A$206,'01_DANH_MUC'!$C$7:$C$206,"KHÔNG TÌM THẤY"))</f>
        <v/>
      </c>
      <c r="F408" s="57" t="n"/>
      <c r="G408" s="211" t="n"/>
      <c r="H408" s="211" t="n"/>
      <c r="I408" s="212">
        <f>IF($C408="","",XLOOKUP($C408,'01_DANH_MUC'!$A$7:$A$206,'01_DANH_MUC'!$E$7:$E$206,0))</f>
        <v/>
      </c>
      <c r="J408" s="213">
        <f>IF(OR($A408="",$C408="",$G408&lt;=0),"",$A408+$I408)</f>
        <v/>
      </c>
      <c r="K408" s="210">
        <f>IF($A408="","",IF(OR($C408="",$G408&lt;=0,$A408&gt;'03_BAO_CAO'!$E$4),0,MAX(0,$G408-MAX(0,SUMIFS($H$7:$H$506,$C$7:$C$506,$C408,$A$7:$A$506,"&lt;="&amp;'03_BAO_CAO'!$E$4)-XLOOKUP($C408,'01_DANH_MUC'!$A$7:$A$206,'01_DANH_MUC'!$F$7:$F$206,0)-SUMIFS($G$7:G407,$C$7:C407,$C408,$A$7:A407,"&lt;="&amp;'03_BAO_CAO'!$E$4)))))</f>
        <v/>
      </c>
      <c r="L408" s="212">
        <f>IF($A408="","",IF(OR($K408&lt;=0,$J408=""),0,MAX(0,'03_BAO_CAO'!$E$4-$J408)))</f>
        <v/>
      </c>
      <c r="M408" s="51">
        <f>IF($A408="","",IF($K408&lt;=0,"Đã thanh toán",IF($J408="","Thiếu ngày đến hạn",IF($J408&gt;='03_BAO_CAO'!$E$4,"Chưa đến hạn",IF($L408&lt;=30,"1-30 ngày",IF($L408&lt;=60,"31-60 ngày",IF($L408&lt;=90,"61-90 ngày","Trên 90 ngày")))))))</f>
        <v/>
      </c>
      <c r="N408" s="51">
        <f>IF($A408="","",IF(OR($B408="",$C408=""),"THIẾU THÔNG TIN",IF(AND($G408&gt;0,$H408&gt;0),"KHÔNG NHẬP ĐỒNG THỜI TĂNG/GIẢM",IF(AND($G408&lt;=0,$H408&lt;=0),"CHƯA NHẬP SỐ TIỀN",IF($D408="KHÔNG TÌM THẤY","MÃ KHÔNG HỢP LỆ",IF(AND($G408&gt;0,$J408=""),"THIẾU NGÀY ĐẾN HẠN","OK"))))))</f>
        <v/>
      </c>
    </row>
    <row r="409">
      <c r="A409" s="209" t="n"/>
      <c r="B409" s="47" t="n"/>
      <c r="C409" s="47" t="n"/>
      <c r="D409" s="51">
        <f>IF($C409="","",XLOOKUP($C409,'01_DANH_MUC'!$A$7:$A$206,'01_DANH_MUC'!$B$7:$B$206,"KHÔNG TÌM THẤY"))</f>
        <v/>
      </c>
      <c r="E409" s="51">
        <f>IF($C409="","",XLOOKUP($C409,'01_DANH_MUC'!$A$7:$A$206,'01_DANH_MUC'!$C$7:$C$206,"KHÔNG TÌM THẤY"))</f>
        <v/>
      </c>
      <c r="F409" s="57" t="n"/>
      <c r="G409" s="211" t="n"/>
      <c r="H409" s="211" t="n"/>
      <c r="I409" s="212">
        <f>IF($C409="","",XLOOKUP($C409,'01_DANH_MUC'!$A$7:$A$206,'01_DANH_MUC'!$E$7:$E$206,0))</f>
        <v/>
      </c>
      <c r="J409" s="213">
        <f>IF(OR($A409="",$C409="",$G409&lt;=0),"",$A409+$I409)</f>
        <v/>
      </c>
      <c r="K409" s="210">
        <f>IF($A409="","",IF(OR($C409="",$G409&lt;=0,$A409&gt;'03_BAO_CAO'!$E$4),0,MAX(0,$G409-MAX(0,SUMIFS($H$7:$H$506,$C$7:$C$506,$C409,$A$7:$A$506,"&lt;="&amp;'03_BAO_CAO'!$E$4)-XLOOKUP($C409,'01_DANH_MUC'!$A$7:$A$206,'01_DANH_MUC'!$F$7:$F$206,0)-SUMIFS($G$7:G408,$C$7:C408,$C409,$A$7:A408,"&lt;="&amp;'03_BAO_CAO'!$E$4)))))</f>
        <v/>
      </c>
      <c r="L409" s="212">
        <f>IF($A409="","",IF(OR($K409&lt;=0,$J409=""),0,MAX(0,'03_BAO_CAO'!$E$4-$J409)))</f>
        <v/>
      </c>
      <c r="M409" s="51">
        <f>IF($A409="","",IF($K409&lt;=0,"Đã thanh toán",IF($J409="","Thiếu ngày đến hạn",IF($J409&gt;='03_BAO_CAO'!$E$4,"Chưa đến hạn",IF($L409&lt;=30,"1-30 ngày",IF($L409&lt;=60,"31-60 ngày",IF($L409&lt;=90,"61-90 ngày","Trên 90 ngày")))))))</f>
        <v/>
      </c>
      <c r="N409" s="51">
        <f>IF($A409="","",IF(OR($B409="",$C409=""),"THIẾU THÔNG TIN",IF(AND($G409&gt;0,$H409&gt;0),"KHÔNG NHẬP ĐỒNG THỜI TĂNG/GIẢM",IF(AND($G409&lt;=0,$H409&lt;=0),"CHƯA NHẬP SỐ TIỀN",IF($D409="KHÔNG TÌM THẤY","MÃ KHÔNG HỢP LỆ",IF(AND($G409&gt;0,$J409=""),"THIẾU NGÀY ĐẾN HẠN","OK"))))))</f>
        <v/>
      </c>
    </row>
    <row r="410">
      <c r="A410" s="209" t="n"/>
      <c r="B410" s="47" t="n"/>
      <c r="C410" s="47" t="n"/>
      <c r="D410" s="51">
        <f>IF($C410="","",XLOOKUP($C410,'01_DANH_MUC'!$A$7:$A$206,'01_DANH_MUC'!$B$7:$B$206,"KHÔNG TÌM THẤY"))</f>
        <v/>
      </c>
      <c r="E410" s="51">
        <f>IF($C410="","",XLOOKUP($C410,'01_DANH_MUC'!$A$7:$A$206,'01_DANH_MUC'!$C$7:$C$206,"KHÔNG TÌM THẤY"))</f>
        <v/>
      </c>
      <c r="F410" s="57" t="n"/>
      <c r="G410" s="211" t="n"/>
      <c r="H410" s="211" t="n"/>
      <c r="I410" s="212">
        <f>IF($C410="","",XLOOKUP($C410,'01_DANH_MUC'!$A$7:$A$206,'01_DANH_MUC'!$E$7:$E$206,0))</f>
        <v/>
      </c>
      <c r="J410" s="213">
        <f>IF(OR($A410="",$C410="",$G410&lt;=0),"",$A410+$I410)</f>
        <v/>
      </c>
      <c r="K410" s="210">
        <f>IF($A410="","",IF(OR($C410="",$G410&lt;=0,$A410&gt;'03_BAO_CAO'!$E$4),0,MAX(0,$G410-MAX(0,SUMIFS($H$7:$H$506,$C$7:$C$506,$C410,$A$7:$A$506,"&lt;="&amp;'03_BAO_CAO'!$E$4)-XLOOKUP($C410,'01_DANH_MUC'!$A$7:$A$206,'01_DANH_MUC'!$F$7:$F$206,0)-SUMIFS($G$7:G409,$C$7:C409,$C410,$A$7:A409,"&lt;="&amp;'03_BAO_CAO'!$E$4)))))</f>
        <v/>
      </c>
      <c r="L410" s="212">
        <f>IF($A410="","",IF(OR($K410&lt;=0,$J410=""),0,MAX(0,'03_BAO_CAO'!$E$4-$J410)))</f>
        <v/>
      </c>
      <c r="M410" s="51">
        <f>IF($A410="","",IF($K410&lt;=0,"Đã thanh toán",IF($J410="","Thiếu ngày đến hạn",IF($J410&gt;='03_BAO_CAO'!$E$4,"Chưa đến hạn",IF($L410&lt;=30,"1-30 ngày",IF($L410&lt;=60,"31-60 ngày",IF($L410&lt;=90,"61-90 ngày","Trên 90 ngày")))))))</f>
        <v/>
      </c>
      <c r="N410" s="51">
        <f>IF($A410="","",IF(OR($B410="",$C410=""),"THIẾU THÔNG TIN",IF(AND($G410&gt;0,$H410&gt;0),"KHÔNG NHẬP ĐỒNG THỜI TĂNG/GIẢM",IF(AND($G410&lt;=0,$H410&lt;=0),"CHƯA NHẬP SỐ TIỀN",IF($D410="KHÔNG TÌM THẤY","MÃ KHÔNG HỢP LỆ",IF(AND($G410&gt;0,$J410=""),"THIẾU NGÀY ĐẾN HẠN","OK"))))))</f>
        <v/>
      </c>
    </row>
    <row r="411">
      <c r="A411" s="209" t="n"/>
      <c r="B411" s="47" t="n"/>
      <c r="C411" s="47" t="n"/>
      <c r="D411" s="51">
        <f>IF($C411="","",XLOOKUP($C411,'01_DANH_MUC'!$A$7:$A$206,'01_DANH_MUC'!$B$7:$B$206,"KHÔNG TÌM THẤY"))</f>
        <v/>
      </c>
      <c r="E411" s="51">
        <f>IF($C411="","",XLOOKUP($C411,'01_DANH_MUC'!$A$7:$A$206,'01_DANH_MUC'!$C$7:$C$206,"KHÔNG TÌM THẤY"))</f>
        <v/>
      </c>
      <c r="F411" s="57" t="n"/>
      <c r="G411" s="211" t="n"/>
      <c r="H411" s="211" t="n"/>
      <c r="I411" s="212">
        <f>IF($C411="","",XLOOKUP($C411,'01_DANH_MUC'!$A$7:$A$206,'01_DANH_MUC'!$E$7:$E$206,0))</f>
        <v/>
      </c>
      <c r="J411" s="213">
        <f>IF(OR($A411="",$C411="",$G411&lt;=0),"",$A411+$I411)</f>
        <v/>
      </c>
      <c r="K411" s="210">
        <f>IF($A411="","",IF(OR($C411="",$G411&lt;=0,$A411&gt;'03_BAO_CAO'!$E$4),0,MAX(0,$G411-MAX(0,SUMIFS($H$7:$H$506,$C$7:$C$506,$C411,$A$7:$A$506,"&lt;="&amp;'03_BAO_CAO'!$E$4)-XLOOKUP($C411,'01_DANH_MUC'!$A$7:$A$206,'01_DANH_MUC'!$F$7:$F$206,0)-SUMIFS($G$7:G410,$C$7:C410,$C411,$A$7:A410,"&lt;="&amp;'03_BAO_CAO'!$E$4)))))</f>
        <v/>
      </c>
      <c r="L411" s="212">
        <f>IF($A411="","",IF(OR($K411&lt;=0,$J411=""),0,MAX(0,'03_BAO_CAO'!$E$4-$J411)))</f>
        <v/>
      </c>
      <c r="M411" s="51">
        <f>IF($A411="","",IF($K411&lt;=0,"Đã thanh toán",IF($J411="","Thiếu ngày đến hạn",IF($J411&gt;='03_BAO_CAO'!$E$4,"Chưa đến hạn",IF($L411&lt;=30,"1-30 ngày",IF($L411&lt;=60,"31-60 ngày",IF($L411&lt;=90,"61-90 ngày","Trên 90 ngày")))))))</f>
        <v/>
      </c>
      <c r="N411" s="51">
        <f>IF($A411="","",IF(OR($B411="",$C411=""),"THIẾU THÔNG TIN",IF(AND($G411&gt;0,$H411&gt;0),"KHÔNG NHẬP ĐỒNG THỜI TĂNG/GIẢM",IF(AND($G411&lt;=0,$H411&lt;=0),"CHƯA NHẬP SỐ TIỀN",IF($D411="KHÔNG TÌM THẤY","MÃ KHÔNG HỢP LỆ",IF(AND($G411&gt;0,$J411=""),"THIẾU NGÀY ĐẾN HẠN","OK"))))))</f>
        <v/>
      </c>
    </row>
    <row r="412">
      <c r="A412" s="209" t="n"/>
      <c r="B412" s="47" t="n"/>
      <c r="C412" s="47" t="n"/>
      <c r="D412" s="51">
        <f>IF($C412="","",XLOOKUP($C412,'01_DANH_MUC'!$A$7:$A$206,'01_DANH_MUC'!$B$7:$B$206,"KHÔNG TÌM THẤY"))</f>
        <v/>
      </c>
      <c r="E412" s="51">
        <f>IF($C412="","",XLOOKUP($C412,'01_DANH_MUC'!$A$7:$A$206,'01_DANH_MUC'!$C$7:$C$206,"KHÔNG TÌM THẤY"))</f>
        <v/>
      </c>
      <c r="F412" s="57" t="n"/>
      <c r="G412" s="211" t="n"/>
      <c r="H412" s="211" t="n"/>
      <c r="I412" s="212">
        <f>IF($C412="","",XLOOKUP($C412,'01_DANH_MUC'!$A$7:$A$206,'01_DANH_MUC'!$E$7:$E$206,0))</f>
        <v/>
      </c>
      <c r="J412" s="213">
        <f>IF(OR($A412="",$C412="",$G412&lt;=0),"",$A412+$I412)</f>
        <v/>
      </c>
      <c r="K412" s="210">
        <f>IF($A412="","",IF(OR($C412="",$G412&lt;=0,$A412&gt;'03_BAO_CAO'!$E$4),0,MAX(0,$G412-MAX(0,SUMIFS($H$7:$H$506,$C$7:$C$506,$C412,$A$7:$A$506,"&lt;="&amp;'03_BAO_CAO'!$E$4)-XLOOKUP($C412,'01_DANH_MUC'!$A$7:$A$206,'01_DANH_MUC'!$F$7:$F$206,0)-SUMIFS($G$7:G411,$C$7:C411,$C412,$A$7:A411,"&lt;="&amp;'03_BAO_CAO'!$E$4)))))</f>
        <v/>
      </c>
      <c r="L412" s="212">
        <f>IF($A412="","",IF(OR($K412&lt;=0,$J412=""),0,MAX(0,'03_BAO_CAO'!$E$4-$J412)))</f>
        <v/>
      </c>
      <c r="M412" s="51">
        <f>IF($A412="","",IF($K412&lt;=0,"Đã thanh toán",IF($J412="","Thiếu ngày đến hạn",IF($J412&gt;='03_BAO_CAO'!$E$4,"Chưa đến hạn",IF($L412&lt;=30,"1-30 ngày",IF($L412&lt;=60,"31-60 ngày",IF($L412&lt;=90,"61-90 ngày","Trên 90 ngày")))))))</f>
        <v/>
      </c>
      <c r="N412" s="51">
        <f>IF($A412="","",IF(OR($B412="",$C412=""),"THIẾU THÔNG TIN",IF(AND($G412&gt;0,$H412&gt;0),"KHÔNG NHẬP ĐỒNG THỜI TĂNG/GIẢM",IF(AND($G412&lt;=0,$H412&lt;=0),"CHƯA NHẬP SỐ TIỀN",IF($D412="KHÔNG TÌM THẤY","MÃ KHÔNG HỢP LỆ",IF(AND($G412&gt;0,$J412=""),"THIẾU NGÀY ĐẾN HẠN","OK"))))))</f>
        <v/>
      </c>
    </row>
    <row r="413">
      <c r="A413" s="209" t="n"/>
      <c r="B413" s="47" t="n"/>
      <c r="C413" s="47" t="n"/>
      <c r="D413" s="51">
        <f>IF($C413="","",XLOOKUP($C413,'01_DANH_MUC'!$A$7:$A$206,'01_DANH_MUC'!$B$7:$B$206,"KHÔNG TÌM THẤY"))</f>
        <v/>
      </c>
      <c r="E413" s="51">
        <f>IF($C413="","",XLOOKUP($C413,'01_DANH_MUC'!$A$7:$A$206,'01_DANH_MUC'!$C$7:$C$206,"KHÔNG TÌM THẤY"))</f>
        <v/>
      </c>
      <c r="F413" s="57" t="n"/>
      <c r="G413" s="211" t="n"/>
      <c r="H413" s="211" t="n"/>
      <c r="I413" s="212">
        <f>IF($C413="","",XLOOKUP($C413,'01_DANH_MUC'!$A$7:$A$206,'01_DANH_MUC'!$E$7:$E$206,0))</f>
        <v/>
      </c>
      <c r="J413" s="213">
        <f>IF(OR($A413="",$C413="",$G413&lt;=0),"",$A413+$I413)</f>
        <v/>
      </c>
      <c r="K413" s="210">
        <f>IF($A413="","",IF(OR($C413="",$G413&lt;=0,$A413&gt;'03_BAO_CAO'!$E$4),0,MAX(0,$G413-MAX(0,SUMIFS($H$7:$H$506,$C$7:$C$506,$C413,$A$7:$A$506,"&lt;="&amp;'03_BAO_CAO'!$E$4)-XLOOKUP($C413,'01_DANH_MUC'!$A$7:$A$206,'01_DANH_MUC'!$F$7:$F$206,0)-SUMIFS($G$7:G412,$C$7:C412,$C413,$A$7:A412,"&lt;="&amp;'03_BAO_CAO'!$E$4)))))</f>
        <v/>
      </c>
      <c r="L413" s="212">
        <f>IF($A413="","",IF(OR($K413&lt;=0,$J413=""),0,MAX(0,'03_BAO_CAO'!$E$4-$J413)))</f>
        <v/>
      </c>
      <c r="M413" s="51">
        <f>IF($A413="","",IF($K413&lt;=0,"Đã thanh toán",IF($J413="","Thiếu ngày đến hạn",IF($J413&gt;='03_BAO_CAO'!$E$4,"Chưa đến hạn",IF($L413&lt;=30,"1-30 ngày",IF($L413&lt;=60,"31-60 ngày",IF($L413&lt;=90,"61-90 ngày","Trên 90 ngày")))))))</f>
        <v/>
      </c>
      <c r="N413" s="51">
        <f>IF($A413="","",IF(OR($B413="",$C413=""),"THIẾU THÔNG TIN",IF(AND($G413&gt;0,$H413&gt;0),"KHÔNG NHẬP ĐỒNG THỜI TĂNG/GIẢM",IF(AND($G413&lt;=0,$H413&lt;=0),"CHƯA NHẬP SỐ TIỀN",IF($D413="KHÔNG TÌM THẤY","MÃ KHÔNG HỢP LỆ",IF(AND($G413&gt;0,$J413=""),"THIẾU NGÀY ĐẾN HẠN","OK"))))))</f>
        <v/>
      </c>
    </row>
    <row r="414">
      <c r="A414" s="209" t="n"/>
      <c r="B414" s="47" t="n"/>
      <c r="C414" s="47" t="n"/>
      <c r="D414" s="51">
        <f>IF($C414="","",XLOOKUP($C414,'01_DANH_MUC'!$A$7:$A$206,'01_DANH_MUC'!$B$7:$B$206,"KHÔNG TÌM THẤY"))</f>
        <v/>
      </c>
      <c r="E414" s="51">
        <f>IF($C414="","",XLOOKUP($C414,'01_DANH_MUC'!$A$7:$A$206,'01_DANH_MUC'!$C$7:$C$206,"KHÔNG TÌM THẤY"))</f>
        <v/>
      </c>
      <c r="F414" s="57" t="n"/>
      <c r="G414" s="211" t="n"/>
      <c r="H414" s="211" t="n"/>
      <c r="I414" s="212">
        <f>IF($C414="","",XLOOKUP($C414,'01_DANH_MUC'!$A$7:$A$206,'01_DANH_MUC'!$E$7:$E$206,0))</f>
        <v/>
      </c>
      <c r="J414" s="213">
        <f>IF(OR($A414="",$C414="",$G414&lt;=0),"",$A414+$I414)</f>
        <v/>
      </c>
      <c r="K414" s="210">
        <f>IF($A414="","",IF(OR($C414="",$G414&lt;=0,$A414&gt;'03_BAO_CAO'!$E$4),0,MAX(0,$G414-MAX(0,SUMIFS($H$7:$H$506,$C$7:$C$506,$C414,$A$7:$A$506,"&lt;="&amp;'03_BAO_CAO'!$E$4)-XLOOKUP($C414,'01_DANH_MUC'!$A$7:$A$206,'01_DANH_MUC'!$F$7:$F$206,0)-SUMIFS($G$7:G413,$C$7:C413,$C414,$A$7:A413,"&lt;="&amp;'03_BAO_CAO'!$E$4)))))</f>
        <v/>
      </c>
      <c r="L414" s="212">
        <f>IF($A414="","",IF(OR($K414&lt;=0,$J414=""),0,MAX(0,'03_BAO_CAO'!$E$4-$J414)))</f>
        <v/>
      </c>
      <c r="M414" s="51">
        <f>IF($A414="","",IF($K414&lt;=0,"Đã thanh toán",IF($J414="","Thiếu ngày đến hạn",IF($J414&gt;='03_BAO_CAO'!$E$4,"Chưa đến hạn",IF($L414&lt;=30,"1-30 ngày",IF($L414&lt;=60,"31-60 ngày",IF($L414&lt;=90,"61-90 ngày","Trên 90 ngày")))))))</f>
        <v/>
      </c>
      <c r="N414" s="51">
        <f>IF($A414="","",IF(OR($B414="",$C414=""),"THIẾU THÔNG TIN",IF(AND($G414&gt;0,$H414&gt;0),"KHÔNG NHẬP ĐỒNG THỜI TĂNG/GIẢM",IF(AND($G414&lt;=0,$H414&lt;=0),"CHƯA NHẬP SỐ TIỀN",IF($D414="KHÔNG TÌM THẤY","MÃ KHÔNG HỢP LỆ",IF(AND($G414&gt;0,$J414=""),"THIẾU NGÀY ĐẾN HẠN","OK"))))))</f>
        <v/>
      </c>
    </row>
    <row r="415">
      <c r="A415" s="209" t="n"/>
      <c r="B415" s="47" t="n"/>
      <c r="C415" s="47" t="n"/>
      <c r="D415" s="51">
        <f>IF($C415="","",XLOOKUP($C415,'01_DANH_MUC'!$A$7:$A$206,'01_DANH_MUC'!$B$7:$B$206,"KHÔNG TÌM THẤY"))</f>
        <v/>
      </c>
      <c r="E415" s="51">
        <f>IF($C415="","",XLOOKUP($C415,'01_DANH_MUC'!$A$7:$A$206,'01_DANH_MUC'!$C$7:$C$206,"KHÔNG TÌM THẤY"))</f>
        <v/>
      </c>
      <c r="F415" s="57" t="n"/>
      <c r="G415" s="211" t="n"/>
      <c r="H415" s="211" t="n"/>
      <c r="I415" s="212">
        <f>IF($C415="","",XLOOKUP($C415,'01_DANH_MUC'!$A$7:$A$206,'01_DANH_MUC'!$E$7:$E$206,0))</f>
        <v/>
      </c>
      <c r="J415" s="213">
        <f>IF(OR($A415="",$C415="",$G415&lt;=0),"",$A415+$I415)</f>
        <v/>
      </c>
      <c r="K415" s="210">
        <f>IF($A415="","",IF(OR($C415="",$G415&lt;=0,$A415&gt;'03_BAO_CAO'!$E$4),0,MAX(0,$G415-MAX(0,SUMIFS($H$7:$H$506,$C$7:$C$506,$C415,$A$7:$A$506,"&lt;="&amp;'03_BAO_CAO'!$E$4)-XLOOKUP($C415,'01_DANH_MUC'!$A$7:$A$206,'01_DANH_MUC'!$F$7:$F$206,0)-SUMIFS($G$7:G414,$C$7:C414,$C415,$A$7:A414,"&lt;="&amp;'03_BAO_CAO'!$E$4)))))</f>
        <v/>
      </c>
      <c r="L415" s="212">
        <f>IF($A415="","",IF(OR($K415&lt;=0,$J415=""),0,MAX(0,'03_BAO_CAO'!$E$4-$J415)))</f>
        <v/>
      </c>
      <c r="M415" s="51">
        <f>IF($A415="","",IF($K415&lt;=0,"Đã thanh toán",IF($J415="","Thiếu ngày đến hạn",IF($J415&gt;='03_BAO_CAO'!$E$4,"Chưa đến hạn",IF($L415&lt;=30,"1-30 ngày",IF($L415&lt;=60,"31-60 ngày",IF($L415&lt;=90,"61-90 ngày","Trên 90 ngày")))))))</f>
        <v/>
      </c>
      <c r="N415" s="51">
        <f>IF($A415="","",IF(OR($B415="",$C415=""),"THIẾU THÔNG TIN",IF(AND($G415&gt;0,$H415&gt;0),"KHÔNG NHẬP ĐỒNG THỜI TĂNG/GIẢM",IF(AND($G415&lt;=0,$H415&lt;=0),"CHƯA NHẬP SỐ TIỀN",IF($D415="KHÔNG TÌM THẤY","MÃ KHÔNG HỢP LỆ",IF(AND($G415&gt;0,$J415=""),"THIẾU NGÀY ĐẾN HẠN","OK"))))))</f>
        <v/>
      </c>
    </row>
    <row r="416">
      <c r="A416" s="209" t="n"/>
      <c r="B416" s="47" t="n"/>
      <c r="C416" s="47" t="n"/>
      <c r="D416" s="51">
        <f>IF($C416="","",XLOOKUP($C416,'01_DANH_MUC'!$A$7:$A$206,'01_DANH_MUC'!$B$7:$B$206,"KHÔNG TÌM THẤY"))</f>
        <v/>
      </c>
      <c r="E416" s="51">
        <f>IF($C416="","",XLOOKUP($C416,'01_DANH_MUC'!$A$7:$A$206,'01_DANH_MUC'!$C$7:$C$206,"KHÔNG TÌM THẤY"))</f>
        <v/>
      </c>
      <c r="F416" s="57" t="n"/>
      <c r="G416" s="211" t="n"/>
      <c r="H416" s="211" t="n"/>
      <c r="I416" s="212">
        <f>IF($C416="","",XLOOKUP($C416,'01_DANH_MUC'!$A$7:$A$206,'01_DANH_MUC'!$E$7:$E$206,0))</f>
        <v/>
      </c>
      <c r="J416" s="213">
        <f>IF(OR($A416="",$C416="",$G416&lt;=0),"",$A416+$I416)</f>
        <v/>
      </c>
      <c r="K416" s="210">
        <f>IF($A416="","",IF(OR($C416="",$G416&lt;=0,$A416&gt;'03_BAO_CAO'!$E$4),0,MAX(0,$G416-MAX(0,SUMIFS($H$7:$H$506,$C$7:$C$506,$C416,$A$7:$A$506,"&lt;="&amp;'03_BAO_CAO'!$E$4)-XLOOKUP($C416,'01_DANH_MUC'!$A$7:$A$206,'01_DANH_MUC'!$F$7:$F$206,0)-SUMIFS($G$7:G415,$C$7:C415,$C416,$A$7:A415,"&lt;="&amp;'03_BAO_CAO'!$E$4)))))</f>
        <v/>
      </c>
      <c r="L416" s="212">
        <f>IF($A416="","",IF(OR($K416&lt;=0,$J416=""),0,MAX(0,'03_BAO_CAO'!$E$4-$J416)))</f>
        <v/>
      </c>
      <c r="M416" s="51">
        <f>IF($A416="","",IF($K416&lt;=0,"Đã thanh toán",IF($J416="","Thiếu ngày đến hạn",IF($J416&gt;='03_BAO_CAO'!$E$4,"Chưa đến hạn",IF($L416&lt;=30,"1-30 ngày",IF($L416&lt;=60,"31-60 ngày",IF($L416&lt;=90,"61-90 ngày","Trên 90 ngày")))))))</f>
        <v/>
      </c>
      <c r="N416" s="51">
        <f>IF($A416="","",IF(OR($B416="",$C416=""),"THIẾU THÔNG TIN",IF(AND($G416&gt;0,$H416&gt;0),"KHÔNG NHẬP ĐỒNG THỜI TĂNG/GIẢM",IF(AND($G416&lt;=0,$H416&lt;=0),"CHƯA NHẬP SỐ TIỀN",IF($D416="KHÔNG TÌM THẤY","MÃ KHÔNG HỢP LỆ",IF(AND($G416&gt;0,$J416=""),"THIẾU NGÀY ĐẾN HẠN","OK"))))))</f>
        <v/>
      </c>
    </row>
    <row r="417">
      <c r="A417" s="209" t="n"/>
      <c r="B417" s="47" t="n"/>
      <c r="C417" s="47" t="n"/>
      <c r="D417" s="51">
        <f>IF($C417="","",XLOOKUP($C417,'01_DANH_MUC'!$A$7:$A$206,'01_DANH_MUC'!$B$7:$B$206,"KHÔNG TÌM THẤY"))</f>
        <v/>
      </c>
      <c r="E417" s="51">
        <f>IF($C417="","",XLOOKUP($C417,'01_DANH_MUC'!$A$7:$A$206,'01_DANH_MUC'!$C$7:$C$206,"KHÔNG TÌM THẤY"))</f>
        <v/>
      </c>
      <c r="F417" s="57" t="n"/>
      <c r="G417" s="211" t="n"/>
      <c r="H417" s="211" t="n"/>
      <c r="I417" s="212">
        <f>IF($C417="","",XLOOKUP($C417,'01_DANH_MUC'!$A$7:$A$206,'01_DANH_MUC'!$E$7:$E$206,0))</f>
        <v/>
      </c>
      <c r="J417" s="213">
        <f>IF(OR($A417="",$C417="",$G417&lt;=0),"",$A417+$I417)</f>
        <v/>
      </c>
      <c r="K417" s="210">
        <f>IF($A417="","",IF(OR($C417="",$G417&lt;=0,$A417&gt;'03_BAO_CAO'!$E$4),0,MAX(0,$G417-MAX(0,SUMIFS($H$7:$H$506,$C$7:$C$506,$C417,$A$7:$A$506,"&lt;="&amp;'03_BAO_CAO'!$E$4)-XLOOKUP($C417,'01_DANH_MUC'!$A$7:$A$206,'01_DANH_MUC'!$F$7:$F$206,0)-SUMIFS($G$7:G416,$C$7:C416,$C417,$A$7:A416,"&lt;="&amp;'03_BAO_CAO'!$E$4)))))</f>
        <v/>
      </c>
      <c r="L417" s="212">
        <f>IF($A417="","",IF(OR($K417&lt;=0,$J417=""),0,MAX(0,'03_BAO_CAO'!$E$4-$J417)))</f>
        <v/>
      </c>
      <c r="M417" s="51">
        <f>IF($A417="","",IF($K417&lt;=0,"Đã thanh toán",IF($J417="","Thiếu ngày đến hạn",IF($J417&gt;='03_BAO_CAO'!$E$4,"Chưa đến hạn",IF($L417&lt;=30,"1-30 ngày",IF($L417&lt;=60,"31-60 ngày",IF($L417&lt;=90,"61-90 ngày","Trên 90 ngày")))))))</f>
        <v/>
      </c>
      <c r="N417" s="51">
        <f>IF($A417="","",IF(OR($B417="",$C417=""),"THIẾU THÔNG TIN",IF(AND($G417&gt;0,$H417&gt;0),"KHÔNG NHẬP ĐỒNG THỜI TĂNG/GIẢM",IF(AND($G417&lt;=0,$H417&lt;=0),"CHƯA NHẬP SỐ TIỀN",IF($D417="KHÔNG TÌM THẤY","MÃ KHÔNG HỢP LỆ",IF(AND($G417&gt;0,$J417=""),"THIẾU NGÀY ĐẾN HẠN","OK"))))))</f>
        <v/>
      </c>
    </row>
    <row r="418">
      <c r="A418" s="209" t="n"/>
      <c r="B418" s="47" t="n"/>
      <c r="C418" s="47" t="n"/>
      <c r="D418" s="51">
        <f>IF($C418="","",XLOOKUP($C418,'01_DANH_MUC'!$A$7:$A$206,'01_DANH_MUC'!$B$7:$B$206,"KHÔNG TÌM THẤY"))</f>
        <v/>
      </c>
      <c r="E418" s="51">
        <f>IF($C418="","",XLOOKUP($C418,'01_DANH_MUC'!$A$7:$A$206,'01_DANH_MUC'!$C$7:$C$206,"KHÔNG TÌM THẤY"))</f>
        <v/>
      </c>
      <c r="F418" s="57" t="n"/>
      <c r="G418" s="211" t="n"/>
      <c r="H418" s="211" t="n"/>
      <c r="I418" s="212">
        <f>IF($C418="","",XLOOKUP($C418,'01_DANH_MUC'!$A$7:$A$206,'01_DANH_MUC'!$E$7:$E$206,0))</f>
        <v/>
      </c>
      <c r="J418" s="213">
        <f>IF(OR($A418="",$C418="",$G418&lt;=0),"",$A418+$I418)</f>
        <v/>
      </c>
      <c r="K418" s="210">
        <f>IF($A418="","",IF(OR($C418="",$G418&lt;=0,$A418&gt;'03_BAO_CAO'!$E$4),0,MAX(0,$G418-MAX(0,SUMIFS($H$7:$H$506,$C$7:$C$506,$C418,$A$7:$A$506,"&lt;="&amp;'03_BAO_CAO'!$E$4)-XLOOKUP($C418,'01_DANH_MUC'!$A$7:$A$206,'01_DANH_MUC'!$F$7:$F$206,0)-SUMIFS($G$7:G417,$C$7:C417,$C418,$A$7:A417,"&lt;="&amp;'03_BAO_CAO'!$E$4)))))</f>
        <v/>
      </c>
      <c r="L418" s="212">
        <f>IF($A418="","",IF(OR($K418&lt;=0,$J418=""),0,MAX(0,'03_BAO_CAO'!$E$4-$J418)))</f>
        <v/>
      </c>
      <c r="M418" s="51">
        <f>IF($A418="","",IF($K418&lt;=0,"Đã thanh toán",IF($J418="","Thiếu ngày đến hạn",IF($J418&gt;='03_BAO_CAO'!$E$4,"Chưa đến hạn",IF($L418&lt;=30,"1-30 ngày",IF($L418&lt;=60,"31-60 ngày",IF($L418&lt;=90,"61-90 ngày","Trên 90 ngày")))))))</f>
        <v/>
      </c>
      <c r="N418" s="51">
        <f>IF($A418="","",IF(OR($B418="",$C418=""),"THIẾU THÔNG TIN",IF(AND($G418&gt;0,$H418&gt;0),"KHÔNG NHẬP ĐỒNG THỜI TĂNG/GIẢM",IF(AND($G418&lt;=0,$H418&lt;=0),"CHƯA NHẬP SỐ TIỀN",IF($D418="KHÔNG TÌM THẤY","MÃ KHÔNG HỢP LỆ",IF(AND($G418&gt;0,$J418=""),"THIẾU NGÀY ĐẾN HẠN","OK"))))))</f>
        <v/>
      </c>
    </row>
    <row r="419">
      <c r="A419" s="209" t="n"/>
      <c r="B419" s="47" t="n"/>
      <c r="C419" s="47" t="n"/>
      <c r="D419" s="51">
        <f>IF($C419="","",XLOOKUP($C419,'01_DANH_MUC'!$A$7:$A$206,'01_DANH_MUC'!$B$7:$B$206,"KHÔNG TÌM THẤY"))</f>
        <v/>
      </c>
      <c r="E419" s="51">
        <f>IF($C419="","",XLOOKUP($C419,'01_DANH_MUC'!$A$7:$A$206,'01_DANH_MUC'!$C$7:$C$206,"KHÔNG TÌM THẤY"))</f>
        <v/>
      </c>
      <c r="F419" s="57" t="n"/>
      <c r="G419" s="211" t="n"/>
      <c r="H419" s="211" t="n"/>
      <c r="I419" s="212">
        <f>IF($C419="","",XLOOKUP($C419,'01_DANH_MUC'!$A$7:$A$206,'01_DANH_MUC'!$E$7:$E$206,0))</f>
        <v/>
      </c>
      <c r="J419" s="213">
        <f>IF(OR($A419="",$C419="",$G419&lt;=0),"",$A419+$I419)</f>
        <v/>
      </c>
      <c r="K419" s="210">
        <f>IF($A419="","",IF(OR($C419="",$G419&lt;=0,$A419&gt;'03_BAO_CAO'!$E$4),0,MAX(0,$G419-MAX(0,SUMIFS($H$7:$H$506,$C$7:$C$506,$C419,$A$7:$A$506,"&lt;="&amp;'03_BAO_CAO'!$E$4)-XLOOKUP($C419,'01_DANH_MUC'!$A$7:$A$206,'01_DANH_MUC'!$F$7:$F$206,0)-SUMIFS($G$7:G418,$C$7:C418,$C419,$A$7:A418,"&lt;="&amp;'03_BAO_CAO'!$E$4)))))</f>
        <v/>
      </c>
      <c r="L419" s="212">
        <f>IF($A419="","",IF(OR($K419&lt;=0,$J419=""),0,MAX(0,'03_BAO_CAO'!$E$4-$J419)))</f>
        <v/>
      </c>
      <c r="M419" s="51">
        <f>IF($A419="","",IF($K419&lt;=0,"Đã thanh toán",IF($J419="","Thiếu ngày đến hạn",IF($J419&gt;='03_BAO_CAO'!$E$4,"Chưa đến hạn",IF($L419&lt;=30,"1-30 ngày",IF($L419&lt;=60,"31-60 ngày",IF($L419&lt;=90,"61-90 ngày","Trên 90 ngày")))))))</f>
        <v/>
      </c>
      <c r="N419" s="51">
        <f>IF($A419="","",IF(OR($B419="",$C419=""),"THIẾU THÔNG TIN",IF(AND($G419&gt;0,$H419&gt;0),"KHÔNG NHẬP ĐỒNG THỜI TĂNG/GIẢM",IF(AND($G419&lt;=0,$H419&lt;=0),"CHƯA NHẬP SỐ TIỀN",IF($D419="KHÔNG TÌM THẤY","MÃ KHÔNG HỢP LỆ",IF(AND($G419&gt;0,$J419=""),"THIẾU NGÀY ĐẾN HẠN","OK"))))))</f>
        <v/>
      </c>
    </row>
    <row r="420">
      <c r="A420" s="209" t="n"/>
      <c r="B420" s="47" t="n"/>
      <c r="C420" s="47" t="n"/>
      <c r="D420" s="51">
        <f>IF($C420="","",XLOOKUP($C420,'01_DANH_MUC'!$A$7:$A$206,'01_DANH_MUC'!$B$7:$B$206,"KHÔNG TÌM THẤY"))</f>
        <v/>
      </c>
      <c r="E420" s="51">
        <f>IF($C420="","",XLOOKUP($C420,'01_DANH_MUC'!$A$7:$A$206,'01_DANH_MUC'!$C$7:$C$206,"KHÔNG TÌM THẤY"))</f>
        <v/>
      </c>
      <c r="F420" s="57" t="n"/>
      <c r="G420" s="211" t="n"/>
      <c r="H420" s="211" t="n"/>
      <c r="I420" s="212">
        <f>IF($C420="","",XLOOKUP($C420,'01_DANH_MUC'!$A$7:$A$206,'01_DANH_MUC'!$E$7:$E$206,0))</f>
        <v/>
      </c>
      <c r="J420" s="213">
        <f>IF(OR($A420="",$C420="",$G420&lt;=0),"",$A420+$I420)</f>
        <v/>
      </c>
      <c r="K420" s="210">
        <f>IF($A420="","",IF(OR($C420="",$G420&lt;=0,$A420&gt;'03_BAO_CAO'!$E$4),0,MAX(0,$G420-MAX(0,SUMIFS($H$7:$H$506,$C$7:$C$506,$C420,$A$7:$A$506,"&lt;="&amp;'03_BAO_CAO'!$E$4)-XLOOKUP($C420,'01_DANH_MUC'!$A$7:$A$206,'01_DANH_MUC'!$F$7:$F$206,0)-SUMIFS($G$7:G419,$C$7:C419,$C420,$A$7:A419,"&lt;="&amp;'03_BAO_CAO'!$E$4)))))</f>
        <v/>
      </c>
      <c r="L420" s="212">
        <f>IF($A420="","",IF(OR($K420&lt;=0,$J420=""),0,MAX(0,'03_BAO_CAO'!$E$4-$J420)))</f>
        <v/>
      </c>
      <c r="M420" s="51">
        <f>IF($A420="","",IF($K420&lt;=0,"Đã thanh toán",IF($J420="","Thiếu ngày đến hạn",IF($J420&gt;='03_BAO_CAO'!$E$4,"Chưa đến hạn",IF($L420&lt;=30,"1-30 ngày",IF($L420&lt;=60,"31-60 ngày",IF($L420&lt;=90,"61-90 ngày","Trên 90 ngày")))))))</f>
        <v/>
      </c>
      <c r="N420" s="51">
        <f>IF($A420="","",IF(OR($B420="",$C420=""),"THIẾU THÔNG TIN",IF(AND($G420&gt;0,$H420&gt;0),"KHÔNG NHẬP ĐỒNG THỜI TĂNG/GIẢM",IF(AND($G420&lt;=0,$H420&lt;=0),"CHƯA NHẬP SỐ TIỀN",IF($D420="KHÔNG TÌM THẤY","MÃ KHÔNG HỢP LỆ",IF(AND($G420&gt;0,$J420=""),"THIẾU NGÀY ĐẾN HẠN","OK"))))))</f>
        <v/>
      </c>
    </row>
    <row r="421">
      <c r="A421" s="209" t="n"/>
      <c r="B421" s="47" t="n"/>
      <c r="C421" s="47" t="n"/>
      <c r="D421" s="51">
        <f>IF($C421="","",XLOOKUP($C421,'01_DANH_MUC'!$A$7:$A$206,'01_DANH_MUC'!$B$7:$B$206,"KHÔNG TÌM THẤY"))</f>
        <v/>
      </c>
      <c r="E421" s="51">
        <f>IF($C421="","",XLOOKUP($C421,'01_DANH_MUC'!$A$7:$A$206,'01_DANH_MUC'!$C$7:$C$206,"KHÔNG TÌM THẤY"))</f>
        <v/>
      </c>
      <c r="F421" s="57" t="n"/>
      <c r="G421" s="211" t="n"/>
      <c r="H421" s="211" t="n"/>
      <c r="I421" s="212">
        <f>IF($C421="","",XLOOKUP($C421,'01_DANH_MUC'!$A$7:$A$206,'01_DANH_MUC'!$E$7:$E$206,0))</f>
        <v/>
      </c>
      <c r="J421" s="213">
        <f>IF(OR($A421="",$C421="",$G421&lt;=0),"",$A421+$I421)</f>
        <v/>
      </c>
      <c r="K421" s="210">
        <f>IF($A421="","",IF(OR($C421="",$G421&lt;=0,$A421&gt;'03_BAO_CAO'!$E$4),0,MAX(0,$G421-MAX(0,SUMIFS($H$7:$H$506,$C$7:$C$506,$C421,$A$7:$A$506,"&lt;="&amp;'03_BAO_CAO'!$E$4)-XLOOKUP($C421,'01_DANH_MUC'!$A$7:$A$206,'01_DANH_MUC'!$F$7:$F$206,0)-SUMIFS($G$7:G420,$C$7:C420,$C421,$A$7:A420,"&lt;="&amp;'03_BAO_CAO'!$E$4)))))</f>
        <v/>
      </c>
      <c r="L421" s="212">
        <f>IF($A421="","",IF(OR($K421&lt;=0,$J421=""),0,MAX(0,'03_BAO_CAO'!$E$4-$J421)))</f>
        <v/>
      </c>
      <c r="M421" s="51">
        <f>IF($A421="","",IF($K421&lt;=0,"Đã thanh toán",IF($J421="","Thiếu ngày đến hạn",IF($J421&gt;='03_BAO_CAO'!$E$4,"Chưa đến hạn",IF($L421&lt;=30,"1-30 ngày",IF($L421&lt;=60,"31-60 ngày",IF($L421&lt;=90,"61-90 ngày","Trên 90 ngày")))))))</f>
        <v/>
      </c>
      <c r="N421" s="51">
        <f>IF($A421="","",IF(OR($B421="",$C421=""),"THIẾU THÔNG TIN",IF(AND($G421&gt;0,$H421&gt;0),"KHÔNG NHẬP ĐỒNG THỜI TĂNG/GIẢM",IF(AND($G421&lt;=0,$H421&lt;=0),"CHƯA NHẬP SỐ TIỀN",IF($D421="KHÔNG TÌM THẤY","MÃ KHÔNG HỢP LỆ",IF(AND($G421&gt;0,$J421=""),"THIẾU NGÀY ĐẾN HẠN","OK"))))))</f>
        <v/>
      </c>
    </row>
    <row r="422">
      <c r="A422" s="209" t="n"/>
      <c r="B422" s="47" t="n"/>
      <c r="C422" s="47" t="n"/>
      <c r="D422" s="51">
        <f>IF($C422="","",XLOOKUP($C422,'01_DANH_MUC'!$A$7:$A$206,'01_DANH_MUC'!$B$7:$B$206,"KHÔNG TÌM THẤY"))</f>
        <v/>
      </c>
      <c r="E422" s="51">
        <f>IF($C422="","",XLOOKUP($C422,'01_DANH_MUC'!$A$7:$A$206,'01_DANH_MUC'!$C$7:$C$206,"KHÔNG TÌM THẤY"))</f>
        <v/>
      </c>
      <c r="F422" s="57" t="n"/>
      <c r="G422" s="211" t="n"/>
      <c r="H422" s="211" t="n"/>
      <c r="I422" s="212">
        <f>IF($C422="","",XLOOKUP($C422,'01_DANH_MUC'!$A$7:$A$206,'01_DANH_MUC'!$E$7:$E$206,0))</f>
        <v/>
      </c>
      <c r="J422" s="213">
        <f>IF(OR($A422="",$C422="",$G422&lt;=0),"",$A422+$I422)</f>
        <v/>
      </c>
      <c r="K422" s="210">
        <f>IF($A422="","",IF(OR($C422="",$G422&lt;=0,$A422&gt;'03_BAO_CAO'!$E$4),0,MAX(0,$G422-MAX(0,SUMIFS($H$7:$H$506,$C$7:$C$506,$C422,$A$7:$A$506,"&lt;="&amp;'03_BAO_CAO'!$E$4)-XLOOKUP($C422,'01_DANH_MUC'!$A$7:$A$206,'01_DANH_MUC'!$F$7:$F$206,0)-SUMIFS($G$7:G421,$C$7:C421,$C422,$A$7:A421,"&lt;="&amp;'03_BAO_CAO'!$E$4)))))</f>
        <v/>
      </c>
      <c r="L422" s="212">
        <f>IF($A422="","",IF(OR($K422&lt;=0,$J422=""),0,MAX(0,'03_BAO_CAO'!$E$4-$J422)))</f>
        <v/>
      </c>
      <c r="M422" s="51">
        <f>IF($A422="","",IF($K422&lt;=0,"Đã thanh toán",IF($J422="","Thiếu ngày đến hạn",IF($J422&gt;='03_BAO_CAO'!$E$4,"Chưa đến hạn",IF($L422&lt;=30,"1-30 ngày",IF($L422&lt;=60,"31-60 ngày",IF($L422&lt;=90,"61-90 ngày","Trên 90 ngày")))))))</f>
        <v/>
      </c>
      <c r="N422" s="51">
        <f>IF($A422="","",IF(OR($B422="",$C422=""),"THIẾU THÔNG TIN",IF(AND($G422&gt;0,$H422&gt;0),"KHÔNG NHẬP ĐỒNG THỜI TĂNG/GIẢM",IF(AND($G422&lt;=0,$H422&lt;=0),"CHƯA NHẬP SỐ TIỀN",IF($D422="KHÔNG TÌM THẤY","MÃ KHÔNG HỢP LỆ",IF(AND($G422&gt;0,$J422=""),"THIẾU NGÀY ĐẾN HẠN","OK"))))))</f>
        <v/>
      </c>
    </row>
    <row r="423">
      <c r="A423" s="209" t="n"/>
      <c r="B423" s="47" t="n"/>
      <c r="C423" s="47" t="n"/>
      <c r="D423" s="51">
        <f>IF($C423="","",XLOOKUP($C423,'01_DANH_MUC'!$A$7:$A$206,'01_DANH_MUC'!$B$7:$B$206,"KHÔNG TÌM THẤY"))</f>
        <v/>
      </c>
      <c r="E423" s="51">
        <f>IF($C423="","",XLOOKUP($C423,'01_DANH_MUC'!$A$7:$A$206,'01_DANH_MUC'!$C$7:$C$206,"KHÔNG TÌM THẤY"))</f>
        <v/>
      </c>
      <c r="F423" s="57" t="n"/>
      <c r="G423" s="211" t="n"/>
      <c r="H423" s="211" t="n"/>
      <c r="I423" s="212">
        <f>IF($C423="","",XLOOKUP($C423,'01_DANH_MUC'!$A$7:$A$206,'01_DANH_MUC'!$E$7:$E$206,0))</f>
        <v/>
      </c>
      <c r="J423" s="213">
        <f>IF(OR($A423="",$C423="",$G423&lt;=0),"",$A423+$I423)</f>
        <v/>
      </c>
      <c r="K423" s="210">
        <f>IF($A423="","",IF(OR($C423="",$G423&lt;=0,$A423&gt;'03_BAO_CAO'!$E$4),0,MAX(0,$G423-MAX(0,SUMIFS($H$7:$H$506,$C$7:$C$506,$C423,$A$7:$A$506,"&lt;="&amp;'03_BAO_CAO'!$E$4)-XLOOKUP($C423,'01_DANH_MUC'!$A$7:$A$206,'01_DANH_MUC'!$F$7:$F$206,0)-SUMIFS($G$7:G422,$C$7:C422,$C423,$A$7:A422,"&lt;="&amp;'03_BAO_CAO'!$E$4)))))</f>
        <v/>
      </c>
      <c r="L423" s="212">
        <f>IF($A423="","",IF(OR($K423&lt;=0,$J423=""),0,MAX(0,'03_BAO_CAO'!$E$4-$J423)))</f>
        <v/>
      </c>
      <c r="M423" s="51">
        <f>IF($A423="","",IF($K423&lt;=0,"Đã thanh toán",IF($J423="","Thiếu ngày đến hạn",IF($J423&gt;='03_BAO_CAO'!$E$4,"Chưa đến hạn",IF($L423&lt;=30,"1-30 ngày",IF($L423&lt;=60,"31-60 ngày",IF($L423&lt;=90,"61-90 ngày","Trên 90 ngày")))))))</f>
        <v/>
      </c>
      <c r="N423" s="51">
        <f>IF($A423="","",IF(OR($B423="",$C423=""),"THIẾU THÔNG TIN",IF(AND($G423&gt;0,$H423&gt;0),"KHÔNG NHẬP ĐỒNG THỜI TĂNG/GIẢM",IF(AND($G423&lt;=0,$H423&lt;=0),"CHƯA NHẬP SỐ TIỀN",IF($D423="KHÔNG TÌM THẤY","MÃ KHÔNG HỢP LỆ",IF(AND($G423&gt;0,$J423=""),"THIẾU NGÀY ĐẾN HẠN","OK"))))))</f>
        <v/>
      </c>
    </row>
    <row r="424">
      <c r="A424" s="209" t="n"/>
      <c r="B424" s="47" t="n"/>
      <c r="C424" s="47" t="n"/>
      <c r="D424" s="51">
        <f>IF($C424="","",XLOOKUP($C424,'01_DANH_MUC'!$A$7:$A$206,'01_DANH_MUC'!$B$7:$B$206,"KHÔNG TÌM THẤY"))</f>
        <v/>
      </c>
      <c r="E424" s="51">
        <f>IF($C424="","",XLOOKUP($C424,'01_DANH_MUC'!$A$7:$A$206,'01_DANH_MUC'!$C$7:$C$206,"KHÔNG TÌM THẤY"))</f>
        <v/>
      </c>
      <c r="F424" s="57" t="n"/>
      <c r="G424" s="211" t="n"/>
      <c r="H424" s="211" t="n"/>
      <c r="I424" s="212">
        <f>IF($C424="","",XLOOKUP($C424,'01_DANH_MUC'!$A$7:$A$206,'01_DANH_MUC'!$E$7:$E$206,0))</f>
        <v/>
      </c>
      <c r="J424" s="213">
        <f>IF(OR($A424="",$C424="",$G424&lt;=0),"",$A424+$I424)</f>
        <v/>
      </c>
      <c r="K424" s="210">
        <f>IF($A424="","",IF(OR($C424="",$G424&lt;=0,$A424&gt;'03_BAO_CAO'!$E$4),0,MAX(0,$G424-MAX(0,SUMIFS($H$7:$H$506,$C$7:$C$506,$C424,$A$7:$A$506,"&lt;="&amp;'03_BAO_CAO'!$E$4)-XLOOKUP($C424,'01_DANH_MUC'!$A$7:$A$206,'01_DANH_MUC'!$F$7:$F$206,0)-SUMIFS($G$7:G423,$C$7:C423,$C424,$A$7:A423,"&lt;="&amp;'03_BAO_CAO'!$E$4)))))</f>
        <v/>
      </c>
      <c r="L424" s="212">
        <f>IF($A424="","",IF(OR($K424&lt;=0,$J424=""),0,MAX(0,'03_BAO_CAO'!$E$4-$J424)))</f>
        <v/>
      </c>
      <c r="M424" s="51">
        <f>IF($A424="","",IF($K424&lt;=0,"Đã thanh toán",IF($J424="","Thiếu ngày đến hạn",IF($J424&gt;='03_BAO_CAO'!$E$4,"Chưa đến hạn",IF($L424&lt;=30,"1-30 ngày",IF($L424&lt;=60,"31-60 ngày",IF($L424&lt;=90,"61-90 ngày","Trên 90 ngày")))))))</f>
        <v/>
      </c>
      <c r="N424" s="51">
        <f>IF($A424="","",IF(OR($B424="",$C424=""),"THIẾU THÔNG TIN",IF(AND($G424&gt;0,$H424&gt;0),"KHÔNG NHẬP ĐỒNG THỜI TĂNG/GIẢM",IF(AND($G424&lt;=0,$H424&lt;=0),"CHƯA NHẬP SỐ TIỀN",IF($D424="KHÔNG TÌM THẤY","MÃ KHÔNG HỢP LỆ",IF(AND($G424&gt;0,$J424=""),"THIẾU NGÀY ĐẾN HẠN","OK"))))))</f>
        <v/>
      </c>
    </row>
    <row r="425">
      <c r="A425" s="209" t="n"/>
      <c r="B425" s="47" t="n"/>
      <c r="C425" s="47" t="n"/>
      <c r="D425" s="51">
        <f>IF($C425="","",XLOOKUP($C425,'01_DANH_MUC'!$A$7:$A$206,'01_DANH_MUC'!$B$7:$B$206,"KHÔNG TÌM THẤY"))</f>
        <v/>
      </c>
      <c r="E425" s="51">
        <f>IF($C425="","",XLOOKUP($C425,'01_DANH_MUC'!$A$7:$A$206,'01_DANH_MUC'!$C$7:$C$206,"KHÔNG TÌM THẤY"))</f>
        <v/>
      </c>
      <c r="F425" s="57" t="n"/>
      <c r="G425" s="211" t="n"/>
      <c r="H425" s="211" t="n"/>
      <c r="I425" s="212">
        <f>IF($C425="","",XLOOKUP($C425,'01_DANH_MUC'!$A$7:$A$206,'01_DANH_MUC'!$E$7:$E$206,0))</f>
        <v/>
      </c>
      <c r="J425" s="213">
        <f>IF(OR($A425="",$C425="",$G425&lt;=0),"",$A425+$I425)</f>
        <v/>
      </c>
      <c r="K425" s="210">
        <f>IF($A425="","",IF(OR($C425="",$G425&lt;=0,$A425&gt;'03_BAO_CAO'!$E$4),0,MAX(0,$G425-MAX(0,SUMIFS($H$7:$H$506,$C$7:$C$506,$C425,$A$7:$A$506,"&lt;="&amp;'03_BAO_CAO'!$E$4)-XLOOKUP($C425,'01_DANH_MUC'!$A$7:$A$206,'01_DANH_MUC'!$F$7:$F$206,0)-SUMIFS($G$7:G424,$C$7:C424,$C425,$A$7:A424,"&lt;="&amp;'03_BAO_CAO'!$E$4)))))</f>
        <v/>
      </c>
      <c r="L425" s="212">
        <f>IF($A425="","",IF(OR($K425&lt;=0,$J425=""),0,MAX(0,'03_BAO_CAO'!$E$4-$J425)))</f>
        <v/>
      </c>
      <c r="M425" s="51">
        <f>IF($A425="","",IF($K425&lt;=0,"Đã thanh toán",IF($J425="","Thiếu ngày đến hạn",IF($J425&gt;='03_BAO_CAO'!$E$4,"Chưa đến hạn",IF($L425&lt;=30,"1-30 ngày",IF($L425&lt;=60,"31-60 ngày",IF($L425&lt;=90,"61-90 ngày","Trên 90 ngày")))))))</f>
        <v/>
      </c>
      <c r="N425" s="51">
        <f>IF($A425="","",IF(OR($B425="",$C425=""),"THIẾU THÔNG TIN",IF(AND($G425&gt;0,$H425&gt;0),"KHÔNG NHẬP ĐỒNG THỜI TĂNG/GIẢM",IF(AND($G425&lt;=0,$H425&lt;=0),"CHƯA NHẬP SỐ TIỀN",IF($D425="KHÔNG TÌM THẤY","MÃ KHÔNG HỢP LỆ",IF(AND($G425&gt;0,$J425=""),"THIẾU NGÀY ĐẾN HẠN","OK"))))))</f>
        <v/>
      </c>
    </row>
    <row r="426">
      <c r="A426" s="209" t="n"/>
      <c r="B426" s="47" t="n"/>
      <c r="C426" s="47" t="n"/>
      <c r="D426" s="51">
        <f>IF($C426="","",XLOOKUP($C426,'01_DANH_MUC'!$A$7:$A$206,'01_DANH_MUC'!$B$7:$B$206,"KHÔNG TÌM THẤY"))</f>
        <v/>
      </c>
      <c r="E426" s="51">
        <f>IF($C426="","",XLOOKUP($C426,'01_DANH_MUC'!$A$7:$A$206,'01_DANH_MUC'!$C$7:$C$206,"KHÔNG TÌM THẤY"))</f>
        <v/>
      </c>
      <c r="F426" s="57" t="n"/>
      <c r="G426" s="211" t="n"/>
      <c r="H426" s="211" t="n"/>
      <c r="I426" s="212">
        <f>IF($C426="","",XLOOKUP($C426,'01_DANH_MUC'!$A$7:$A$206,'01_DANH_MUC'!$E$7:$E$206,0))</f>
        <v/>
      </c>
      <c r="J426" s="213">
        <f>IF(OR($A426="",$C426="",$G426&lt;=0),"",$A426+$I426)</f>
        <v/>
      </c>
      <c r="K426" s="210">
        <f>IF($A426="","",IF(OR($C426="",$G426&lt;=0,$A426&gt;'03_BAO_CAO'!$E$4),0,MAX(0,$G426-MAX(0,SUMIFS($H$7:$H$506,$C$7:$C$506,$C426,$A$7:$A$506,"&lt;="&amp;'03_BAO_CAO'!$E$4)-XLOOKUP($C426,'01_DANH_MUC'!$A$7:$A$206,'01_DANH_MUC'!$F$7:$F$206,0)-SUMIFS($G$7:G425,$C$7:C425,$C426,$A$7:A425,"&lt;="&amp;'03_BAO_CAO'!$E$4)))))</f>
        <v/>
      </c>
      <c r="L426" s="212">
        <f>IF($A426="","",IF(OR($K426&lt;=0,$J426=""),0,MAX(0,'03_BAO_CAO'!$E$4-$J426)))</f>
        <v/>
      </c>
      <c r="M426" s="51">
        <f>IF($A426="","",IF($K426&lt;=0,"Đã thanh toán",IF($J426="","Thiếu ngày đến hạn",IF($J426&gt;='03_BAO_CAO'!$E$4,"Chưa đến hạn",IF($L426&lt;=30,"1-30 ngày",IF($L426&lt;=60,"31-60 ngày",IF($L426&lt;=90,"61-90 ngày","Trên 90 ngày")))))))</f>
        <v/>
      </c>
      <c r="N426" s="51">
        <f>IF($A426="","",IF(OR($B426="",$C426=""),"THIẾU THÔNG TIN",IF(AND($G426&gt;0,$H426&gt;0),"KHÔNG NHẬP ĐỒNG THỜI TĂNG/GIẢM",IF(AND($G426&lt;=0,$H426&lt;=0),"CHƯA NHẬP SỐ TIỀN",IF($D426="KHÔNG TÌM THẤY","MÃ KHÔNG HỢP LỆ",IF(AND($G426&gt;0,$J426=""),"THIẾU NGÀY ĐẾN HẠN","OK"))))))</f>
        <v/>
      </c>
    </row>
    <row r="427">
      <c r="A427" s="209" t="n"/>
      <c r="B427" s="47" t="n"/>
      <c r="C427" s="47" t="n"/>
      <c r="D427" s="51">
        <f>IF($C427="","",XLOOKUP($C427,'01_DANH_MUC'!$A$7:$A$206,'01_DANH_MUC'!$B$7:$B$206,"KHÔNG TÌM THẤY"))</f>
        <v/>
      </c>
      <c r="E427" s="51">
        <f>IF($C427="","",XLOOKUP($C427,'01_DANH_MUC'!$A$7:$A$206,'01_DANH_MUC'!$C$7:$C$206,"KHÔNG TÌM THẤY"))</f>
        <v/>
      </c>
      <c r="F427" s="57" t="n"/>
      <c r="G427" s="211" t="n"/>
      <c r="H427" s="211" t="n"/>
      <c r="I427" s="212">
        <f>IF($C427="","",XLOOKUP($C427,'01_DANH_MUC'!$A$7:$A$206,'01_DANH_MUC'!$E$7:$E$206,0))</f>
        <v/>
      </c>
      <c r="J427" s="213">
        <f>IF(OR($A427="",$C427="",$G427&lt;=0),"",$A427+$I427)</f>
        <v/>
      </c>
      <c r="K427" s="210">
        <f>IF($A427="","",IF(OR($C427="",$G427&lt;=0,$A427&gt;'03_BAO_CAO'!$E$4),0,MAX(0,$G427-MAX(0,SUMIFS($H$7:$H$506,$C$7:$C$506,$C427,$A$7:$A$506,"&lt;="&amp;'03_BAO_CAO'!$E$4)-XLOOKUP($C427,'01_DANH_MUC'!$A$7:$A$206,'01_DANH_MUC'!$F$7:$F$206,0)-SUMIFS($G$7:G426,$C$7:C426,$C427,$A$7:A426,"&lt;="&amp;'03_BAO_CAO'!$E$4)))))</f>
        <v/>
      </c>
      <c r="L427" s="212">
        <f>IF($A427="","",IF(OR($K427&lt;=0,$J427=""),0,MAX(0,'03_BAO_CAO'!$E$4-$J427)))</f>
        <v/>
      </c>
      <c r="M427" s="51">
        <f>IF($A427="","",IF($K427&lt;=0,"Đã thanh toán",IF($J427="","Thiếu ngày đến hạn",IF($J427&gt;='03_BAO_CAO'!$E$4,"Chưa đến hạn",IF($L427&lt;=30,"1-30 ngày",IF($L427&lt;=60,"31-60 ngày",IF($L427&lt;=90,"61-90 ngày","Trên 90 ngày")))))))</f>
        <v/>
      </c>
      <c r="N427" s="51">
        <f>IF($A427="","",IF(OR($B427="",$C427=""),"THIẾU THÔNG TIN",IF(AND($G427&gt;0,$H427&gt;0),"KHÔNG NHẬP ĐỒNG THỜI TĂNG/GIẢM",IF(AND($G427&lt;=0,$H427&lt;=0),"CHƯA NHẬP SỐ TIỀN",IF($D427="KHÔNG TÌM THẤY","MÃ KHÔNG HỢP LỆ",IF(AND($G427&gt;0,$J427=""),"THIẾU NGÀY ĐẾN HẠN","OK"))))))</f>
        <v/>
      </c>
    </row>
    <row r="428">
      <c r="A428" s="209" t="n"/>
      <c r="B428" s="47" t="n"/>
      <c r="C428" s="47" t="n"/>
      <c r="D428" s="51">
        <f>IF($C428="","",XLOOKUP($C428,'01_DANH_MUC'!$A$7:$A$206,'01_DANH_MUC'!$B$7:$B$206,"KHÔNG TÌM THẤY"))</f>
        <v/>
      </c>
      <c r="E428" s="51">
        <f>IF($C428="","",XLOOKUP($C428,'01_DANH_MUC'!$A$7:$A$206,'01_DANH_MUC'!$C$7:$C$206,"KHÔNG TÌM THẤY"))</f>
        <v/>
      </c>
      <c r="F428" s="57" t="n"/>
      <c r="G428" s="211" t="n"/>
      <c r="H428" s="211" t="n"/>
      <c r="I428" s="212">
        <f>IF($C428="","",XLOOKUP($C428,'01_DANH_MUC'!$A$7:$A$206,'01_DANH_MUC'!$E$7:$E$206,0))</f>
        <v/>
      </c>
      <c r="J428" s="213">
        <f>IF(OR($A428="",$C428="",$G428&lt;=0),"",$A428+$I428)</f>
        <v/>
      </c>
      <c r="K428" s="210">
        <f>IF($A428="","",IF(OR($C428="",$G428&lt;=0,$A428&gt;'03_BAO_CAO'!$E$4),0,MAX(0,$G428-MAX(0,SUMIFS($H$7:$H$506,$C$7:$C$506,$C428,$A$7:$A$506,"&lt;="&amp;'03_BAO_CAO'!$E$4)-XLOOKUP($C428,'01_DANH_MUC'!$A$7:$A$206,'01_DANH_MUC'!$F$7:$F$206,0)-SUMIFS($G$7:G427,$C$7:C427,$C428,$A$7:A427,"&lt;="&amp;'03_BAO_CAO'!$E$4)))))</f>
        <v/>
      </c>
      <c r="L428" s="212">
        <f>IF($A428="","",IF(OR($K428&lt;=0,$J428=""),0,MAX(0,'03_BAO_CAO'!$E$4-$J428)))</f>
        <v/>
      </c>
      <c r="M428" s="51">
        <f>IF($A428="","",IF($K428&lt;=0,"Đã thanh toán",IF($J428="","Thiếu ngày đến hạn",IF($J428&gt;='03_BAO_CAO'!$E$4,"Chưa đến hạn",IF($L428&lt;=30,"1-30 ngày",IF($L428&lt;=60,"31-60 ngày",IF($L428&lt;=90,"61-90 ngày","Trên 90 ngày")))))))</f>
        <v/>
      </c>
      <c r="N428" s="51">
        <f>IF($A428="","",IF(OR($B428="",$C428=""),"THIẾU THÔNG TIN",IF(AND($G428&gt;0,$H428&gt;0),"KHÔNG NHẬP ĐỒNG THỜI TĂNG/GIẢM",IF(AND($G428&lt;=0,$H428&lt;=0),"CHƯA NHẬP SỐ TIỀN",IF($D428="KHÔNG TÌM THẤY","MÃ KHÔNG HỢP LỆ",IF(AND($G428&gt;0,$J428=""),"THIẾU NGÀY ĐẾN HẠN","OK"))))))</f>
        <v/>
      </c>
    </row>
    <row r="429">
      <c r="A429" s="209" t="n"/>
      <c r="B429" s="47" t="n"/>
      <c r="C429" s="47" t="n"/>
      <c r="D429" s="51">
        <f>IF($C429="","",XLOOKUP($C429,'01_DANH_MUC'!$A$7:$A$206,'01_DANH_MUC'!$B$7:$B$206,"KHÔNG TÌM THẤY"))</f>
        <v/>
      </c>
      <c r="E429" s="51">
        <f>IF($C429="","",XLOOKUP($C429,'01_DANH_MUC'!$A$7:$A$206,'01_DANH_MUC'!$C$7:$C$206,"KHÔNG TÌM THẤY"))</f>
        <v/>
      </c>
      <c r="F429" s="57" t="n"/>
      <c r="G429" s="211" t="n"/>
      <c r="H429" s="211" t="n"/>
      <c r="I429" s="212">
        <f>IF($C429="","",XLOOKUP($C429,'01_DANH_MUC'!$A$7:$A$206,'01_DANH_MUC'!$E$7:$E$206,0))</f>
        <v/>
      </c>
      <c r="J429" s="213">
        <f>IF(OR($A429="",$C429="",$G429&lt;=0),"",$A429+$I429)</f>
        <v/>
      </c>
      <c r="K429" s="210">
        <f>IF($A429="","",IF(OR($C429="",$G429&lt;=0,$A429&gt;'03_BAO_CAO'!$E$4),0,MAX(0,$G429-MAX(0,SUMIFS($H$7:$H$506,$C$7:$C$506,$C429,$A$7:$A$506,"&lt;="&amp;'03_BAO_CAO'!$E$4)-XLOOKUP($C429,'01_DANH_MUC'!$A$7:$A$206,'01_DANH_MUC'!$F$7:$F$206,0)-SUMIFS($G$7:G428,$C$7:C428,$C429,$A$7:A428,"&lt;="&amp;'03_BAO_CAO'!$E$4)))))</f>
        <v/>
      </c>
      <c r="L429" s="212">
        <f>IF($A429="","",IF(OR($K429&lt;=0,$J429=""),0,MAX(0,'03_BAO_CAO'!$E$4-$J429)))</f>
        <v/>
      </c>
      <c r="M429" s="51">
        <f>IF($A429="","",IF($K429&lt;=0,"Đã thanh toán",IF($J429="","Thiếu ngày đến hạn",IF($J429&gt;='03_BAO_CAO'!$E$4,"Chưa đến hạn",IF($L429&lt;=30,"1-30 ngày",IF($L429&lt;=60,"31-60 ngày",IF($L429&lt;=90,"61-90 ngày","Trên 90 ngày")))))))</f>
        <v/>
      </c>
      <c r="N429" s="51">
        <f>IF($A429="","",IF(OR($B429="",$C429=""),"THIẾU THÔNG TIN",IF(AND($G429&gt;0,$H429&gt;0),"KHÔNG NHẬP ĐỒNG THỜI TĂNG/GIẢM",IF(AND($G429&lt;=0,$H429&lt;=0),"CHƯA NHẬP SỐ TIỀN",IF($D429="KHÔNG TÌM THẤY","MÃ KHÔNG HỢP LỆ",IF(AND($G429&gt;0,$J429=""),"THIẾU NGÀY ĐẾN HẠN","OK"))))))</f>
        <v/>
      </c>
    </row>
    <row r="430">
      <c r="A430" s="209" t="n"/>
      <c r="B430" s="47" t="n"/>
      <c r="C430" s="47" t="n"/>
      <c r="D430" s="51">
        <f>IF($C430="","",XLOOKUP($C430,'01_DANH_MUC'!$A$7:$A$206,'01_DANH_MUC'!$B$7:$B$206,"KHÔNG TÌM THẤY"))</f>
        <v/>
      </c>
      <c r="E430" s="51">
        <f>IF($C430="","",XLOOKUP($C430,'01_DANH_MUC'!$A$7:$A$206,'01_DANH_MUC'!$C$7:$C$206,"KHÔNG TÌM THẤY"))</f>
        <v/>
      </c>
      <c r="F430" s="57" t="n"/>
      <c r="G430" s="211" t="n"/>
      <c r="H430" s="211" t="n"/>
      <c r="I430" s="212">
        <f>IF($C430="","",XLOOKUP($C430,'01_DANH_MUC'!$A$7:$A$206,'01_DANH_MUC'!$E$7:$E$206,0))</f>
        <v/>
      </c>
      <c r="J430" s="213">
        <f>IF(OR($A430="",$C430="",$G430&lt;=0),"",$A430+$I430)</f>
        <v/>
      </c>
      <c r="K430" s="210">
        <f>IF($A430="","",IF(OR($C430="",$G430&lt;=0,$A430&gt;'03_BAO_CAO'!$E$4),0,MAX(0,$G430-MAX(0,SUMIFS($H$7:$H$506,$C$7:$C$506,$C430,$A$7:$A$506,"&lt;="&amp;'03_BAO_CAO'!$E$4)-XLOOKUP($C430,'01_DANH_MUC'!$A$7:$A$206,'01_DANH_MUC'!$F$7:$F$206,0)-SUMIFS($G$7:G429,$C$7:C429,$C430,$A$7:A429,"&lt;="&amp;'03_BAO_CAO'!$E$4)))))</f>
        <v/>
      </c>
      <c r="L430" s="212">
        <f>IF($A430="","",IF(OR($K430&lt;=0,$J430=""),0,MAX(0,'03_BAO_CAO'!$E$4-$J430)))</f>
        <v/>
      </c>
      <c r="M430" s="51">
        <f>IF($A430="","",IF($K430&lt;=0,"Đã thanh toán",IF($J430="","Thiếu ngày đến hạn",IF($J430&gt;='03_BAO_CAO'!$E$4,"Chưa đến hạn",IF($L430&lt;=30,"1-30 ngày",IF($L430&lt;=60,"31-60 ngày",IF($L430&lt;=90,"61-90 ngày","Trên 90 ngày")))))))</f>
        <v/>
      </c>
      <c r="N430" s="51">
        <f>IF($A430="","",IF(OR($B430="",$C430=""),"THIẾU THÔNG TIN",IF(AND($G430&gt;0,$H430&gt;0),"KHÔNG NHẬP ĐỒNG THỜI TĂNG/GIẢM",IF(AND($G430&lt;=0,$H430&lt;=0),"CHƯA NHẬP SỐ TIỀN",IF($D430="KHÔNG TÌM THẤY","MÃ KHÔNG HỢP LỆ",IF(AND($G430&gt;0,$J430=""),"THIẾU NGÀY ĐẾN HẠN","OK"))))))</f>
        <v/>
      </c>
    </row>
    <row r="431">
      <c r="A431" s="209" t="n"/>
      <c r="B431" s="47" t="n"/>
      <c r="C431" s="47" t="n"/>
      <c r="D431" s="51">
        <f>IF($C431="","",XLOOKUP($C431,'01_DANH_MUC'!$A$7:$A$206,'01_DANH_MUC'!$B$7:$B$206,"KHÔNG TÌM THẤY"))</f>
        <v/>
      </c>
      <c r="E431" s="51">
        <f>IF($C431="","",XLOOKUP($C431,'01_DANH_MUC'!$A$7:$A$206,'01_DANH_MUC'!$C$7:$C$206,"KHÔNG TÌM THẤY"))</f>
        <v/>
      </c>
      <c r="F431" s="57" t="n"/>
      <c r="G431" s="211" t="n"/>
      <c r="H431" s="211" t="n"/>
      <c r="I431" s="212">
        <f>IF($C431="","",XLOOKUP($C431,'01_DANH_MUC'!$A$7:$A$206,'01_DANH_MUC'!$E$7:$E$206,0))</f>
        <v/>
      </c>
      <c r="J431" s="213">
        <f>IF(OR($A431="",$C431="",$G431&lt;=0),"",$A431+$I431)</f>
        <v/>
      </c>
      <c r="K431" s="210">
        <f>IF($A431="","",IF(OR($C431="",$G431&lt;=0,$A431&gt;'03_BAO_CAO'!$E$4),0,MAX(0,$G431-MAX(0,SUMIFS($H$7:$H$506,$C$7:$C$506,$C431,$A$7:$A$506,"&lt;="&amp;'03_BAO_CAO'!$E$4)-XLOOKUP($C431,'01_DANH_MUC'!$A$7:$A$206,'01_DANH_MUC'!$F$7:$F$206,0)-SUMIFS($G$7:G430,$C$7:C430,$C431,$A$7:A430,"&lt;="&amp;'03_BAO_CAO'!$E$4)))))</f>
        <v/>
      </c>
      <c r="L431" s="212">
        <f>IF($A431="","",IF(OR($K431&lt;=0,$J431=""),0,MAX(0,'03_BAO_CAO'!$E$4-$J431)))</f>
        <v/>
      </c>
      <c r="M431" s="51">
        <f>IF($A431="","",IF($K431&lt;=0,"Đã thanh toán",IF($J431="","Thiếu ngày đến hạn",IF($J431&gt;='03_BAO_CAO'!$E$4,"Chưa đến hạn",IF($L431&lt;=30,"1-30 ngày",IF($L431&lt;=60,"31-60 ngày",IF($L431&lt;=90,"61-90 ngày","Trên 90 ngày")))))))</f>
        <v/>
      </c>
      <c r="N431" s="51">
        <f>IF($A431="","",IF(OR($B431="",$C431=""),"THIẾU THÔNG TIN",IF(AND($G431&gt;0,$H431&gt;0),"KHÔNG NHẬP ĐỒNG THỜI TĂNG/GIẢM",IF(AND($G431&lt;=0,$H431&lt;=0),"CHƯA NHẬP SỐ TIỀN",IF($D431="KHÔNG TÌM THẤY","MÃ KHÔNG HỢP LỆ",IF(AND($G431&gt;0,$J431=""),"THIẾU NGÀY ĐẾN HẠN","OK"))))))</f>
        <v/>
      </c>
    </row>
    <row r="432">
      <c r="A432" s="209" t="n"/>
      <c r="B432" s="47" t="n"/>
      <c r="C432" s="47" t="n"/>
      <c r="D432" s="51">
        <f>IF($C432="","",XLOOKUP($C432,'01_DANH_MUC'!$A$7:$A$206,'01_DANH_MUC'!$B$7:$B$206,"KHÔNG TÌM THẤY"))</f>
        <v/>
      </c>
      <c r="E432" s="51">
        <f>IF($C432="","",XLOOKUP($C432,'01_DANH_MUC'!$A$7:$A$206,'01_DANH_MUC'!$C$7:$C$206,"KHÔNG TÌM THẤY"))</f>
        <v/>
      </c>
      <c r="F432" s="57" t="n"/>
      <c r="G432" s="211" t="n"/>
      <c r="H432" s="211" t="n"/>
      <c r="I432" s="212">
        <f>IF($C432="","",XLOOKUP($C432,'01_DANH_MUC'!$A$7:$A$206,'01_DANH_MUC'!$E$7:$E$206,0))</f>
        <v/>
      </c>
      <c r="J432" s="213">
        <f>IF(OR($A432="",$C432="",$G432&lt;=0),"",$A432+$I432)</f>
        <v/>
      </c>
      <c r="K432" s="210">
        <f>IF($A432="","",IF(OR($C432="",$G432&lt;=0,$A432&gt;'03_BAO_CAO'!$E$4),0,MAX(0,$G432-MAX(0,SUMIFS($H$7:$H$506,$C$7:$C$506,$C432,$A$7:$A$506,"&lt;="&amp;'03_BAO_CAO'!$E$4)-XLOOKUP($C432,'01_DANH_MUC'!$A$7:$A$206,'01_DANH_MUC'!$F$7:$F$206,0)-SUMIFS($G$7:G431,$C$7:C431,$C432,$A$7:A431,"&lt;="&amp;'03_BAO_CAO'!$E$4)))))</f>
        <v/>
      </c>
      <c r="L432" s="212">
        <f>IF($A432="","",IF(OR($K432&lt;=0,$J432=""),0,MAX(0,'03_BAO_CAO'!$E$4-$J432)))</f>
        <v/>
      </c>
      <c r="M432" s="51">
        <f>IF($A432="","",IF($K432&lt;=0,"Đã thanh toán",IF($J432="","Thiếu ngày đến hạn",IF($J432&gt;='03_BAO_CAO'!$E$4,"Chưa đến hạn",IF($L432&lt;=30,"1-30 ngày",IF($L432&lt;=60,"31-60 ngày",IF($L432&lt;=90,"61-90 ngày","Trên 90 ngày")))))))</f>
        <v/>
      </c>
      <c r="N432" s="51">
        <f>IF($A432="","",IF(OR($B432="",$C432=""),"THIẾU THÔNG TIN",IF(AND($G432&gt;0,$H432&gt;0),"KHÔNG NHẬP ĐỒNG THỜI TĂNG/GIẢM",IF(AND($G432&lt;=0,$H432&lt;=0),"CHƯA NHẬP SỐ TIỀN",IF($D432="KHÔNG TÌM THẤY","MÃ KHÔNG HỢP LỆ",IF(AND($G432&gt;0,$J432=""),"THIẾU NGÀY ĐẾN HẠN","OK"))))))</f>
        <v/>
      </c>
    </row>
    <row r="433">
      <c r="A433" s="209" t="n"/>
      <c r="B433" s="47" t="n"/>
      <c r="C433" s="47" t="n"/>
      <c r="D433" s="51">
        <f>IF($C433="","",XLOOKUP($C433,'01_DANH_MUC'!$A$7:$A$206,'01_DANH_MUC'!$B$7:$B$206,"KHÔNG TÌM THẤY"))</f>
        <v/>
      </c>
      <c r="E433" s="51">
        <f>IF($C433="","",XLOOKUP($C433,'01_DANH_MUC'!$A$7:$A$206,'01_DANH_MUC'!$C$7:$C$206,"KHÔNG TÌM THẤY"))</f>
        <v/>
      </c>
      <c r="F433" s="57" t="n"/>
      <c r="G433" s="211" t="n"/>
      <c r="H433" s="211" t="n"/>
      <c r="I433" s="212">
        <f>IF($C433="","",XLOOKUP($C433,'01_DANH_MUC'!$A$7:$A$206,'01_DANH_MUC'!$E$7:$E$206,0))</f>
        <v/>
      </c>
      <c r="J433" s="213">
        <f>IF(OR($A433="",$C433="",$G433&lt;=0),"",$A433+$I433)</f>
        <v/>
      </c>
      <c r="K433" s="210">
        <f>IF($A433="","",IF(OR($C433="",$G433&lt;=0,$A433&gt;'03_BAO_CAO'!$E$4),0,MAX(0,$G433-MAX(0,SUMIFS($H$7:$H$506,$C$7:$C$506,$C433,$A$7:$A$506,"&lt;="&amp;'03_BAO_CAO'!$E$4)-XLOOKUP($C433,'01_DANH_MUC'!$A$7:$A$206,'01_DANH_MUC'!$F$7:$F$206,0)-SUMIFS($G$7:G432,$C$7:C432,$C433,$A$7:A432,"&lt;="&amp;'03_BAO_CAO'!$E$4)))))</f>
        <v/>
      </c>
      <c r="L433" s="212">
        <f>IF($A433="","",IF(OR($K433&lt;=0,$J433=""),0,MAX(0,'03_BAO_CAO'!$E$4-$J433)))</f>
        <v/>
      </c>
      <c r="M433" s="51">
        <f>IF($A433="","",IF($K433&lt;=0,"Đã thanh toán",IF($J433="","Thiếu ngày đến hạn",IF($J433&gt;='03_BAO_CAO'!$E$4,"Chưa đến hạn",IF($L433&lt;=30,"1-30 ngày",IF($L433&lt;=60,"31-60 ngày",IF($L433&lt;=90,"61-90 ngày","Trên 90 ngày")))))))</f>
        <v/>
      </c>
      <c r="N433" s="51">
        <f>IF($A433="","",IF(OR($B433="",$C433=""),"THIẾU THÔNG TIN",IF(AND($G433&gt;0,$H433&gt;0),"KHÔNG NHẬP ĐỒNG THỜI TĂNG/GIẢM",IF(AND($G433&lt;=0,$H433&lt;=0),"CHƯA NHẬP SỐ TIỀN",IF($D433="KHÔNG TÌM THẤY","MÃ KHÔNG HỢP LỆ",IF(AND($G433&gt;0,$J433=""),"THIẾU NGÀY ĐẾN HẠN","OK"))))))</f>
        <v/>
      </c>
    </row>
    <row r="434">
      <c r="A434" s="209" t="n"/>
      <c r="B434" s="47" t="n"/>
      <c r="C434" s="47" t="n"/>
      <c r="D434" s="51">
        <f>IF($C434="","",XLOOKUP($C434,'01_DANH_MUC'!$A$7:$A$206,'01_DANH_MUC'!$B$7:$B$206,"KHÔNG TÌM THẤY"))</f>
        <v/>
      </c>
      <c r="E434" s="51">
        <f>IF($C434="","",XLOOKUP($C434,'01_DANH_MUC'!$A$7:$A$206,'01_DANH_MUC'!$C$7:$C$206,"KHÔNG TÌM THẤY"))</f>
        <v/>
      </c>
      <c r="F434" s="57" t="n"/>
      <c r="G434" s="211" t="n"/>
      <c r="H434" s="211" t="n"/>
      <c r="I434" s="212">
        <f>IF($C434="","",XLOOKUP($C434,'01_DANH_MUC'!$A$7:$A$206,'01_DANH_MUC'!$E$7:$E$206,0))</f>
        <v/>
      </c>
      <c r="J434" s="213">
        <f>IF(OR($A434="",$C434="",$G434&lt;=0),"",$A434+$I434)</f>
        <v/>
      </c>
      <c r="K434" s="210">
        <f>IF($A434="","",IF(OR($C434="",$G434&lt;=0,$A434&gt;'03_BAO_CAO'!$E$4),0,MAX(0,$G434-MAX(0,SUMIFS($H$7:$H$506,$C$7:$C$506,$C434,$A$7:$A$506,"&lt;="&amp;'03_BAO_CAO'!$E$4)-XLOOKUP($C434,'01_DANH_MUC'!$A$7:$A$206,'01_DANH_MUC'!$F$7:$F$206,0)-SUMIFS($G$7:G433,$C$7:C433,$C434,$A$7:A433,"&lt;="&amp;'03_BAO_CAO'!$E$4)))))</f>
        <v/>
      </c>
      <c r="L434" s="212">
        <f>IF($A434="","",IF(OR($K434&lt;=0,$J434=""),0,MAX(0,'03_BAO_CAO'!$E$4-$J434)))</f>
        <v/>
      </c>
      <c r="M434" s="51">
        <f>IF($A434="","",IF($K434&lt;=0,"Đã thanh toán",IF($J434="","Thiếu ngày đến hạn",IF($J434&gt;='03_BAO_CAO'!$E$4,"Chưa đến hạn",IF($L434&lt;=30,"1-30 ngày",IF($L434&lt;=60,"31-60 ngày",IF($L434&lt;=90,"61-90 ngày","Trên 90 ngày")))))))</f>
        <v/>
      </c>
      <c r="N434" s="51">
        <f>IF($A434="","",IF(OR($B434="",$C434=""),"THIẾU THÔNG TIN",IF(AND($G434&gt;0,$H434&gt;0),"KHÔNG NHẬP ĐỒNG THỜI TĂNG/GIẢM",IF(AND($G434&lt;=0,$H434&lt;=0),"CHƯA NHẬP SỐ TIỀN",IF($D434="KHÔNG TÌM THẤY","MÃ KHÔNG HỢP LỆ",IF(AND($G434&gt;0,$J434=""),"THIẾU NGÀY ĐẾN HẠN","OK"))))))</f>
        <v/>
      </c>
    </row>
    <row r="435">
      <c r="A435" s="209" t="n"/>
      <c r="B435" s="47" t="n"/>
      <c r="C435" s="47" t="n"/>
      <c r="D435" s="51">
        <f>IF($C435="","",XLOOKUP($C435,'01_DANH_MUC'!$A$7:$A$206,'01_DANH_MUC'!$B$7:$B$206,"KHÔNG TÌM THẤY"))</f>
        <v/>
      </c>
      <c r="E435" s="51">
        <f>IF($C435="","",XLOOKUP($C435,'01_DANH_MUC'!$A$7:$A$206,'01_DANH_MUC'!$C$7:$C$206,"KHÔNG TÌM THẤY"))</f>
        <v/>
      </c>
      <c r="F435" s="57" t="n"/>
      <c r="G435" s="211" t="n"/>
      <c r="H435" s="211" t="n"/>
      <c r="I435" s="212">
        <f>IF($C435="","",XLOOKUP($C435,'01_DANH_MUC'!$A$7:$A$206,'01_DANH_MUC'!$E$7:$E$206,0))</f>
        <v/>
      </c>
      <c r="J435" s="213">
        <f>IF(OR($A435="",$C435="",$G435&lt;=0),"",$A435+$I435)</f>
        <v/>
      </c>
      <c r="K435" s="210">
        <f>IF($A435="","",IF(OR($C435="",$G435&lt;=0,$A435&gt;'03_BAO_CAO'!$E$4),0,MAX(0,$G435-MAX(0,SUMIFS($H$7:$H$506,$C$7:$C$506,$C435,$A$7:$A$506,"&lt;="&amp;'03_BAO_CAO'!$E$4)-XLOOKUP($C435,'01_DANH_MUC'!$A$7:$A$206,'01_DANH_MUC'!$F$7:$F$206,0)-SUMIFS($G$7:G434,$C$7:C434,$C435,$A$7:A434,"&lt;="&amp;'03_BAO_CAO'!$E$4)))))</f>
        <v/>
      </c>
      <c r="L435" s="212">
        <f>IF($A435="","",IF(OR($K435&lt;=0,$J435=""),0,MAX(0,'03_BAO_CAO'!$E$4-$J435)))</f>
        <v/>
      </c>
      <c r="M435" s="51">
        <f>IF($A435="","",IF($K435&lt;=0,"Đã thanh toán",IF($J435="","Thiếu ngày đến hạn",IF($J435&gt;='03_BAO_CAO'!$E$4,"Chưa đến hạn",IF($L435&lt;=30,"1-30 ngày",IF($L435&lt;=60,"31-60 ngày",IF($L435&lt;=90,"61-90 ngày","Trên 90 ngày")))))))</f>
        <v/>
      </c>
      <c r="N435" s="51">
        <f>IF($A435="","",IF(OR($B435="",$C435=""),"THIẾU THÔNG TIN",IF(AND($G435&gt;0,$H435&gt;0),"KHÔNG NHẬP ĐỒNG THỜI TĂNG/GIẢM",IF(AND($G435&lt;=0,$H435&lt;=0),"CHƯA NHẬP SỐ TIỀN",IF($D435="KHÔNG TÌM THẤY","MÃ KHÔNG HỢP LỆ",IF(AND($G435&gt;0,$J435=""),"THIẾU NGÀY ĐẾN HẠN","OK"))))))</f>
        <v/>
      </c>
    </row>
    <row r="436">
      <c r="A436" s="209" t="n"/>
      <c r="B436" s="47" t="n"/>
      <c r="C436" s="47" t="n"/>
      <c r="D436" s="51">
        <f>IF($C436="","",XLOOKUP($C436,'01_DANH_MUC'!$A$7:$A$206,'01_DANH_MUC'!$B$7:$B$206,"KHÔNG TÌM THẤY"))</f>
        <v/>
      </c>
      <c r="E436" s="51">
        <f>IF($C436="","",XLOOKUP($C436,'01_DANH_MUC'!$A$7:$A$206,'01_DANH_MUC'!$C$7:$C$206,"KHÔNG TÌM THẤY"))</f>
        <v/>
      </c>
      <c r="F436" s="57" t="n"/>
      <c r="G436" s="211" t="n"/>
      <c r="H436" s="211" t="n"/>
      <c r="I436" s="212">
        <f>IF($C436="","",XLOOKUP($C436,'01_DANH_MUC'!$A$7:$A$206,'01_DANH_MUC'!$E$7:$E$206,0))</f>
        <v/>
      </c>
      <c r="J436" s="213">
        <f>IF(OR($A436="",$C436="",$G436&lt;=0),"",$A436+$I436)</f>
        <v/>
      </c>
      <c r="K436" s="210">
        <f>IF($A436="","",IF(OR($C436="",$G436&lt;=0,$A436&gt;'03_BAO_CAO'!$E$4),0,MAX(0,$G436-MAX(0,SUMIFS($H$7:$H$506,$C$7:$C$506,$C436,$A$7:$A$506,"&lt;="&amp;'03_BAO_CAO'!$E$4)-XLOOKUP($C436,'01_DANH_MUC'!$A$7:$A$206,'01_DANH_MUC'!$F$7:$F$206,0)-SUMIFS($G$7:G435,$C$7:C435,$C436,$A$7:A435,"&lt;="&amp;'03_BAO_CAO'!$E$4)))))</f>
        <v/>
      </c>
      <c r="L436" s="212">
        <f>IF($A436="","",IF(OR($K436&lt;=0,$J436=""),0,MAX(0,'03_BAO_CAO'!$E$4-$J436)))</f>
        <v/>
      </c>
      <c r="M436" s="51">
        <f>IF($A436="","",IF($K436&lt;=0,"Đã thanh toán",IF($J436="","Thiếu ngày đến hạn",IF($J436&gt;='03_BAO_CAO'!$E$4,"Chưa đến hạn",IF($L436&lt;=30,"1-30 ngày",IF($L436&lt;=60,"31-60 ngày",IF($L436&lt;=90,"61-90 ngày","Trên 90 ngày")))))))</f>
        <v/>
      </c>
      <c r="N436" s="51">
        <f>IF($A436="","",IF(OR($B436="",$C436=""),"THIẾU THÔNG TIN",IF(AND($G436&gt;0,$H436&gt;0),"KHÔNG NHẬP ĐỒNG THỜI TĂNG/GIẢM",IF(AND($G436&lt;=0,$H436&lt;=0),"CHƯA NHẬP SỐ TIỀN",IF($D436="KHÔNG TÌM THẤY","MÃ KHÔNG HỢP LỆ",IF(AND($G436&gt;0,$J436=""),"THIẾU NGÀY ĐẾN HẠN","OK"))))))</f>
        <v/>
      </c>
    </row>
    <row r="437">
      <c r="A437" s="209" t="n"/>
      <c r="B437" s="47" t="n"/>
      <c r="C437" s="47" t="n"/>
      <c r="D437" s="51">
        <f>IF($C437="","",XLOOKUP($C437,'01_DANH_MUC'!$A$7:$A$206,'01_DANH_MUC'!$B$7:$B$206,"KHÔNG TÌM THẤY"))</f>
        <v/>
      </c>
      <c r="E437" s="51">
        <f>IF($C437="","",XLOOKUP($C437,'01_DANH_MUC'!$A$7:$A$206,'01_DANH_MUC'!$C$7:$C$206,"KHÔNG TÌM THẤY"))</f>
        <v/>
      </c>
      <c r="F437" s="57" t="n"/>
      <c r="G437" s="211" t="n"/>
      <c r="H437" s="211" t="n"/>
      <c r="I437" s="212">
        <f>IF($C437="","",XLOOKUP($C437,'01_DANH_MUC'!$A$7:$A$206,'01_DANH_MUC'!$E$7:$E$206,0))</f>
        <v/>
      </c>
      <c r="J437" s="213">
        <f>IF(OR($A437="",$C437="",$G437&lt;=0),"",$A437+$I437)</f>
        <v/>
      </c>
      <c r="K437" s="210">
        <f>IF($A437="","",IF(OR($C437="",$G437&lt;=0,$A437&gt;'03_BAO_CAO'!$E$4),0,MAX(0,$G437-MAX(0,SUMIFS($H$7:$H$506,$C$7:$C$506,$C437,$A$7:$A$506,"&lt;="&amp;'03_BAO_CAO'!$E$4)-XLOOKUP($C437,'01_DANH_MUC'!$A$7:$A$206,'01_DANH_MUC'!$F$7:$F$206,0)-SUMIFS($G$7:G436,$C$7:C436,$C437,$A$7:A436,"&lt;="&amp;'03_BAO_CAO'!$E$4)))))</f>
        <v/>
      </c>
      <c r="L437" s="212">
        <f>IF($A437="","",IF(OR($K437&lt;=0,$J437=""),0,MAX(0,'03_BAO_CAO'!$E$4-$J437)))</f>
        <v/>
      </c>
      <c r="M437" s="51">
        <f>IF($A437="","",IF($K437&lt;=0,"Đã thanh toán",IF($J437="","Thiếu ngày đến hạn",IF($J437&gt;='03_BAO_CAO'!$E$4,"Chưa đến hạn",IF($L437&lt;=30,"1-30 ngày",IF($L437&lt;=60,"31-60 ngày",IF($L437&lt;=90,"61-90 ngày","Trên 90 ngày")))))))</f>
        <v/>
      </c>
      <c r="N437" s="51">
        <f>IF($A437="","",IF(OR($B437="",$C437=""),"THIẾU THÔNG TIN",IF(AND($G437&gt;0,$H437&gt;0),"KHÔNG NHẬP ĐỒNG THỜI TĂNG/GIẢM",IF(AND($G437&lt;=0,$H437&lt;=0),"CHƯA NHẬP SỐ TIỀN",IF($D437="KHÔNG TÌM THẤY","MÃ KHÔNG HỢP LỆ",IF(AND($G437&gt;0,$J437=""),"THIẾU NGÀY ĐẾN HẠN","OK"))))))</f>
        <v/>
      </c>
    </row>
    <row r="438">
      <c r="A438" s="209" t="n"/>
      <c r="B438" s="47" t="n"/>
      <c r="C438" s="47" t="n"/>
      <c r="D438" s="51">
        <f>IF($C438="","",XLOOKUP($C438,'01_DANH_MUC'!$A$7:$A$206,'01_DANH_MUC'!$B$7:$B$206,"KHÔNG TÌM THẤY"))</f>
        <v/>
      </c>
      <c r="E438" s="51">
        <f>IF($C438="","",XLOOKUP($C438,'01_DANH_MUC'!$A$7:$A$206,'01_DANH_MUC'!$C$7:$C$206,"KHÔNG TÌM THẤY"))</f>
        <v/>
      </c>
      <c r="F438" s="57" t="n"/>
      <c r="G438" s="211" t="n"/>
      <c r="H438" s="211" t="n"/>
      <c r="I438" s="212">
        <f>IF($C438="","",XLOOKUP($C438,'01_DANH_MUC'!$A$7:$A$206,'01_DANH_MUC'!$E$7:$E$206,0))</f>
        <v/>
      </c>
      <c r="J438" s="213">
        <f>IF(OR($A438="",$C438="",$G438&lt;=0),"",$A438+$I438)</f>
        <v/>
      </c>
      <c r="K438" s="210">
        <f>IF($A438="","",IF(OR($C438="",$G438&lt;=0,$A438&gt;'03_BAO_CAO'!$E$4),0,MAX(0,$G438-MAX(0,SUMIFS($H$7:$H$506,$C$7:$C$506,$C438,$A$7:$A$506,"&lt;="&amp;'03_BAO_CAO'!$E$4)-XLOOKUP($C438,'01_DANH_MUC'!$A$7:$A$206,'01_DANH_MUC'!$F$7:$F$206,0)-SUMIFS($G$7:G437,$C$7:C437,$C438,$A$7:A437,"&lt;="&amp;'03_BAO_CAO'!$E$4)))))</f>
        <v/>
      </c>
      <c r="L438" s="212">
        <f>IF($A438="","",IF(OR($K438&lt;=0,$J438=""),0,MAX(0,'03_BAO_CAO'!$E$4-$J438)))</f>
        <v/>
      </c>
      <c r="M438" s="51">
        <f>IF($A438="","",IF($K438&lt;=0,"Đã thanh toán",IF($J438="","Thiếu ngày đến hạn",IF($J438&gt;='03_BAO_CAO'!$E$4,"Chưa đến hạn",IF($L438&lt;=30,"1-30 ngày",IF($L438&lt;=60,"31-60 ngày",IF($L438&lt;=90,"61-90 ngày","Trên 90 ngày")))))))</f>
        <v/>
      </c>
      <c r="N438" s="51">
        <f>IF($A438="","",IF(OR($B438="",$C438=""),"THIẾU THÔNG TIN",IF(AND($G438&gt;0,$H438&gt;0),"KHÔNG NHẬP ĐỒNG THỜI TĂNG/GIẢM",IF(AND($G438&lt;=0,$H438&lt;=0),"CHƯA NHẬP SỐ TIỀN",IF($D438="KHÔNG TÌM THẤY","MÃ KHÔNG HỢP LỆ",IF(AND($G438&gt;0,$J438=""),"THIẾU NGÀY ĐẾN HẠN","OK"))))))</f>
        <v/>
      </c>
    </row>
    <row r="439">
      <c r="A439" s="209" t="n"/>
      <c r="B439" s="47" t="n"/>
      <c r="C439" s="47" t="n"/>
      <c r="D439" s="51">
        <f>IF($C439="","",XLOOKUP($C439,'01_DANH_MUC'!$A$7:$A$206,'01_DANH_MUC'!$B$7:$B$206,"KHÔNG TÌM THẤY"))</f>
        <v/>
      </c>
      <c r="E439" s="51">
        <f>IF($C439="","",XLOOKUP($C439,'01_DANH_MUC'!$A$7:$A$206,'01_DANH_MUC'!$C$7:$C$206,"KHÔNG TÌM THẤY"))</f>
        <v/>
      </c>
      <c r="F439" s="57" t="n"/>
      <c r="G439" s="211" t="n"/>
      <c r="H439" s="211" t="n"/>
      <c r="I439" s="212">
        <f>IF($C439="","",XLOOKUP($C439,'01_DANH_MUC'!$A$7:$A$206,'01_DANH_MUC'!$E$7:$E$206,0))</f>
        <v/>
      </c>
      <c r="J439" s="213">
        <f>IF(OR($A439="",$C439="",$G439&lt;=0),"",$A439+$I439)</f>
        <v/>
      </c>
      <c r="K439" s="210">
        <f>IF($A439="","",IF(OR($C439="",$G439&lt;=0,$A439&gt;'03_BAO_CAO'!$E$4),0,MAX(0,$G439-MAX(0,SUMIFS($H$7:$H$506,$C$7:$C$506,$C439,$A$7:$A$506,"&lt;="&amp;'03_BAO_CAO'!$E$4)-XLOOKUP($C439,'01_DANH_MUC'!$A$7:$A$206,'01_DANH_MUC'!$F$7:$F$206,0)-SUMIFS($G$7:G438,$C$7:C438,$C439,$A$7:A438,"&lt;="&amp;'03_BAO_CAO'!$E$4)))))</f>
        <v/>
      </c>
      <c r="L439" s="212">
        <f>IF($A439="","",IF(OR($K439&lt;=0,$J439=""),0,MAX(0,'03_BAO_CAO'!$E$4-$J439)))</f>
        <v/>
      </c>
      <c r="M439" s="51">
        <f>IF($A439="","",IF($K439&lt;=0,"Đã thanh toán",IF($J439="","Thiếu ngày đến hạn",IF($J439&gt;='03_BAO_CAO'!$E$4,"Chưa đến hạn",IF($L439&lt;=30,"1-30 ngày",IF($L439&lt;=60,"31-60 ngày",IF($L439&lt;=90,"61-90 ngày","Trên 90 ngày")))))))</f>
        <v/>
      </c>
      <c r="N439" s="51">
        <f>IF($A439="","",IF(OR($B439="",$C439=""),"THIẾU THÔNG TIN",IF(AND($G439&gt;0,$H439&gt;0),"KHÔNG NHẬP ĐỒNG THỜI TĂNG/GIẢM",IF(AND($G439&lt;=0,$H439&lt;=0),"CHƯA NHẬP SỐ TIỀN",IF($D439="KHÔNG TÌM THẤY","MÃ KHÔNG HỢP LỆ",IF(AND($G439&gt;0,$J439=""),"THIẾU NGÀY ĐẾN HẠN","OK"))))))</f>
        <v/>
      </c>
    </row>
    <row r="440">
      <c r="A440" s="209" t="n"/>
      <c r="B440" s="47" t="n"/>
      <c r="C440" s="47" t="n"/>
      <c r="D440" s="51">
        <f>IF($C440="","",XLOOKUP($C440,'01_DANH_MUC'!$A$7:$A$206,'01_DANH_MUC'!$B$7:$B$206,"KHÔNG TÌM THẤY"))</f>
        <v/>
      </c>
      <c r="E440" s="51">
        <f>IF($C440="","",XLOOKUP($C440,'01_DANH_MUC'!$A$7:$A$206,'01_DANH_MUC'!$C$7:$C$206,"KHÔNG TÌM THẤY"))</f>
        <v/>
      </c>
      <c r="F440" s="57" t="n"/>
      <c r="G440" s="211" t="n"/>
      <c r="H440" s="211" t="n"/>
      <c r="I440" s="212">
        <f>IF($C440="","",XLOOKUP($C440,'01_DANH_MUC'!$A$7:$A$206,'01_DANH_MUC'!$E$7:$E$206,0))</f>
        <v/>
      </c>
      <c r="J440" s="213">
        <f>IF(OR($A440="",$C440="",$G440&lt;=0),"",$A440+$I440)</f>
        <v/>
      </c>
      <c r="K440" s="210">
        <f>IF($A440="","",IF(OR($C440="",$G440&lt;=0,$A440&gt;'03_BAO_CAO'!$E$4),0,MAX(0,$G440-MAX(0,SUMIFS($H$7:$H$506,$C$7:$C$506,$C440,$A$7:$A$506,"&lt;="&amp;'03_BAO_CAO'!$E$4)-XLOOKUP($C440,'01_DANH_MUC'!$A$7:$A$206,'01_DANH_MUC'!$F$7:$F$206,0)-SUMIFS($G$7:G439,$C$7:C439,$C440,$A$7:A439,"&lt;="&amp;'03_BAO_CAO'!$E$4)))))</f>
        <v/>
      </c>
      <c r="L440" s="212">
        <f>IF($A440="","",IF(OR($K440&lt;=0,$J440=""),0,MAX(0,'03_BAO_CAO'!$E$4-$J440)))</f>
        <v/>
      </c>
      <c r="M440" s="51">
        <f>IF($A440="","",IF($K440&lt;=0,"Đã thanh toán",IF($J440="","Thiếu ngày đến hạn",IF($J440&gt;='03_BAO_CAO'!$E$4,"Chưa đến hạn",IF($L440&lt;=30,"1-30 ngày",IF($L440&lt;=60,"31-60 ngày",IF($L440&lt;=90,"61-90 ngày","Trên 90 ngày")))))))</f>
        <v/>
      </c>
      <c r="N440" s="51">
        <f>IF($A440="","",IF(OR($B440="",$C440=""),"THIẾU THÔNG TIN",IF(AND($G440&gt;0,$H440&gt;0),"KHÔNG NHẬP ĐỒNG THỜI TĂNG/GIẢM",IF(AND($G440&lt;=0,$H440&lt;=0),"CHƯA NHẬP SỐ TIỀN",IF($D440="KHÔNG TÌM THẤY","MÃ KHÔNG HỢP LỆ",IF(AND($G440&gt;0,$J440=""),"THIẾU NGÀY ĐẾN HẠN","OK"))))))</f>
        <v/>
      </c>
    </row>
    <row r="441">
      <c r="A441" s="209" t="n"/>
      <c r="B441" s="47" t="n"/>
      <c r="C441" s="47" t="n"/>
      <c r="D441" s="51">
        <f>IF($C441="","",XLOOKUP($C441,'01_DANH_MUC'!$A$7:$A$206,'01_DANH_MUC'!$B$7:$B$206,"KHÔNG TÌM THẤY"))</f>
        <v/>
      </c>
      <c r="E441" s="51">
        <f>IF($C441="","",XLOOKUP($C441,'01_DANH_MUC'!$A$7:$A$206,'01_DANH_MUC'!$C$7:$C$206,"KHÔNG TÌM THẤY"))</f>
        <v/>
      </c>
      <c r="F441" s="57" t="n"/>
      <c r="G441" s="211" t="n"/>
      <c r="H441" s="211" t="n"/>
      <c r="I441" s="212">
        <f>IF($C441="","",XLOOKUP($C441,'01_DANH_MUC'!$A$7:$A$206,'01_DANH_MUC'!$E$7:$E$206,0))</f>
        <v/>
      </c>
      <c r="J441" s="213">
        <f>IF(OR($A441="",$C441="",$G441&lt;=0),"",$A441+$I441)</f>
        <v/>
      </c>
      <c r="K441" s="210">
        <f>IF($A441="","",IF(OR($C441="",$G441&lt;=0,$A441&gt;'03_BAO_CAO'!$E$4),0,MAX(0,$G441-MAX(0,SUMIFS($H$7:$H$506,$C$7:$C$506,$C441,$A$7:$A$506,"&lt;="&amp;'03_BAO_CAO'!$E$4)-XLOOKUP($C441,'01_DANH_MUC'!$A$7:$A$206,'01_DANH_MUC'!$F$7:$F$206,0)-SUMIFS($G$7:G440,$C$7:C440,$C441,$A$7:A440,"&lt;="&amp;'03_BAO_CAO'!$E$4)))))</f>
        <v/>
      </c>
      <c r="L441" s="212">
        <f>IF($A441="","",IF(OR($K441&lt;=0,$J441=""),0,MAX(0,'03_BAO_CAO'!$E$4-$J441)))</f>
        <v/>
      </c>
      <c r="M441" s="51">
        <f>IF($A441="","",IF($K441&lt;=0,"Đã thanh toán",IF($J441="","Thiếu ngày đến hạn",IF($J441&gt;='03_BAO_CAO'!$E$4,"Chưa đến hạn",IF($L441&lt;=30,"1-30 ngày",IF($L441&lt;=60,"31-60 ngày",IF($L441&lt;=90,"61-90 ngày","Trên 90 ngày")))))))</f>
        <v/>
      </c>
      <c r="N441" s="51">
        <f>IF($A441="","",IF(OR($B441="",$C441=""),"THIẾU THÔNG TIN",IF(AND($G441&gt;0,$H441&gt;0),"KHÔNG NHẬP ĐỒNG THỜI TĂNG/GIẢM",IF(AND($G441&lt;=0,$H441&lt;=0),"CHƯA NHẬP SỐ TIỀN",IF($D441="KHÔNG TÌM THẤY","MÃ KHÔNG HỢP LỆ",IF(AND($G441&gt;0,$J441=""),"THIẾU NGÀY ĐẾN HẠN","OK"))))))</f>
        <v/>
      </c>
    </row>
    <row r="442">
      <c r="A442" s="209" t="n"/>
      <c r="B442" s="47" t="n"/>
      <c r="C442" s="47" t="n"/>
      <c r="D442" s="51">
        <f>IF($C442="","",XLOOKUP($C442,'01_DANH_MUC'!$A$7:$A$206,'01_DANH_MUC'!$B$7:$B$206,"KHÔNG TÌM THẤY"))</f>
        <v/>
      </c>
      <c r="E442" s="51">
        <f>IF($C442="","",XLOOKUP($C442,'01_DANH_MUC'!$A$7:$A$206,'01_DANH_MUC'!$C$7:$C$206,"KHÔNG TÌM THẤY"))</f>
        <v/>
      </c>
      <c r="F442" s="57" t="n"/>
      <c r="G442" s="211" t="n"/>
      <c r="H442" s="211" t="n"/>
      <c r="I442" s="212">
        <f>IF($C442="","",XLOOKUP($C442,'01_DANH_MUC'!$A$7:$A$206,'01_DANH_MUC'!$E$7:$E$206,0))</f>
        <v/>
      </c>
      <c r="J442" s="213">
        <f>IF(OR($A442="",$C442="",$G442&lt;=0),"",$A442+$I442)</f>
        <v/>
      </c>
      <c r="K442" s="210">
        <f>IF($A442="","",IF(OR($C442="",$G442&lt;=0,$A442&gt;'03_BAO_CAO'!$E$4),0,MAX(0,$G442-MAX(0,SUMIFS($H$7:$H$506,$C$7:$C$506,$C442,$A$7:$A$506,"&lt;="&amp;'03_BAO_CAO'!$E$4)-XLOOKUP($C442,'01_DANH_MUC'!$A$7:$A$206,'01_DANH_MUC'!$F$7:$F$206,0)-SUMIFS($G$7:G441,$C$7:C441,$C442,$A$7:A441,"&lt;="&amp;'03_BAO_CAO'!$E$4)))))</f>
        <v/>
      </c>
      <c r="L442" s="212">
        <f>IF($A442="","",IF(OR($K442&lt;=0,$J442=""),0,MAX(0,'03_BAO_CAO'!$E$4-$J442)))</f>
        <v/>
      </c>
      <c r="M442" s="51">
        <f>IF($A442="","",IF($K442&lt;=0,"Đã thanh toán",IF($J442="","Thiếu ngày đến hạn",IF($J442&gt;='03_BAO_CAO'!$E$4,"Chưa đến hạn",IF($L442&lt;=30,"1-30 ngày",IF($L442&lt;=60,"31-60 ngày",IF($L442&lt;=90,"61-90 ngày","Trên 90 ngày")))))))</f>
        <v/>
      </c>
      <c r="N442" s="51">
        <f>IF($A442="","",IF(OR($B442="",$C442=""),"THIẾU THÔNG TIN",IF(AND($G442&gt;0,$H442&gt;0),"KHÔNG NHẬP ĐỒNG THỜI TĂNG/GIẢM",IF(AND($G442&lt;=0,$H442&lt;=0),"CHƯA NHẬP SỐ TIỀN",IF($D442="KHÔNG TÌM THẤY","MÃ KHÔNG HỢP LỆ",IF(AND($G442&gt;0,$J442=""),"THIẾU NGÀY ĐẾN HẠN","OK"))))))</f>
        <v/>
      </c>
    </row>
    <row r="443">
      <c r="A443" s="209" t="n"/>
      <c r="B443" s="47" t="n"/>
      <c r="C443" s="47" t="n"/>
      <c r="D443" s="51">
        <f>IF($C443="","",XLOOKUP($C443,'01_DANH_MUC'!$A$7:$A$206,'01_DANH_MUC'!$B$7:$B$206,"KHÔNG TÌM THẤY"))</f>
        <v/>
      </c>
      <c r="E443" s="51">
        <f>IF($C443="","",XLOOKUP($C443,'01_DANH_MUC'!$A$7:$A$206,'01_DANH_MUC'!$C$7:$C$206,"KHÔNG TÌM THẤY"))</f>
        <v/>
      </c>
      <c r="F443" s="57" t="n"/>
      <c r="G443" s="211" t="n"/>
      <c r="H443" s="211" t="n"/>
      <c r="I443" s="212">
        <f>IF($C443="","",XLOOKUP($C443,'01_DANH_MUC'!$A$7:$A$206,'01_DANH_MUC'!$E$7:$E$206,0))</f>
        <v/>
      </c>
      <c r="J443" s="213">
        <f>IF(OR($A443="",$C443="",$G443&lt;=0),"",$A443+$I443)</f>
        <v/>
      </c>
      <c r="K443" s="210">
        <f>IF($A443="","",IF(OR($C443="",$G443&lt;=0,$A443&gt;'03_BAO_CAO'!$E$4),0,MAX(0,$G443-MAX(0,SUMIFS($H$7:$H$506,$C$7:$C$506,$C443,$A$7:$A$506,"&lt;="&amp;'03_BAO_CAO'!$E$4)-XLOOKUP($C443,'01_DANH_MUC'!$A$7:$A$206,'01_DANH_MUC'!$F$7:$F$206,0)-SUMIFS($G$7:G442,$C$7:C442,$C443,$A$7:A442,"&lt;="&amp;'03_BAO_CAO'!$E$4)))))</f>
        <v/>
      </c>
      <c r="L443" s="212">
        <f>IF($A443="","",IF(OR($K443&lt;=0,$J443=""),0,MAX(0,'03_BAO_CAO'!$E$4-$J443)))</f>
        <v/>
      </c>
      <c r="M443" s="51">
        <f>IF($A443="","",IF($K443&lt;=0,"Đã thanh toán",IF($J443="","Thiếu ngày đến hạn",IF($J443&gt;='03_BAO_CAO'!$E$4,"Chưa đến hạn",IF($L443&lt;=30,"1-30 ngày",IF($L443&lt;=60,"31-60 ngày",IF($L443&lt;=90,"61-90 ngày","Trên 90 ngày")))))))</f>
        <v/>
      </c>
      <c r="N443" s="51">
        <f>IF($A443="","",IF(OR($B443="",$C443=""),"THIẾU THÔNG TIN",IF(AND($G443&gt;0,$H443&gt;0),"KHÔNG NHẬP ĐỒNG THỜI TĂNG/GIẢM",IF(AND($G443&lt;=0,$H443&lt;=0),"CHƯA NHẬP SỐ TIỀN",IF($D443="KHÔNG TÌM THẤY","MÃ KHÔNG HỢP LỆ",IF(AND($G443&gt;0,$J443=""),"THIẾU NGÀY ĐẾN HẠN","OK"))))))</f>
        <v/>
      </c>
    </row>
    <row r="444">
      <c r="A444" s="209" t="n"/>
      <c r="B444" s="47" t="n"/>
      <c r="C444" s="47" t="n"/>
      <c r="D444" s="51">
        <f>IF($C444="","",XLOOKUP($C444,'01_DANH_MUC'!$A$7:$A$206,'01_DANH_MUC'!$B$7:$B$206,"KHÔNG TÌM THẤY"))</f>
        <v/>
      </c>
      <c r="E444" s="51">
        <f>IF($C444="","",XLOOKUP($C444,'01_DANH_MUC'!$A$7:$A$206,'01_DANH_MUC'!$C$7:$C$206,"KHÔNG TÌM THẤY"))</f>
        <v/>
      </c>
      <c r="F444" s="57" t="n"/>
      <c r="G444" s="211" t="n"/>
      <c r="H444" s="211" t="n"/>
      <c r="I444" s="212">
        <f>IF($C444="","",XLOOKUP($C444,'01_DANH_MUC'!$A$7:$A$206,'01_DANH_MUC'!$E$7:$E$206,0))</f>
        <v/>
      </c>
      <c r="J444" s="213">
        <f>IF(OR($A444="",$C444="",$G444&lt;=0),"",$A444+$I444)</f>
        <v/>
      </c>
      <c r="K444" s="210">
        <f>IF($A444="","",IF(OR($C444="",$G444&lt;=0,$A444&gt;'03_BAO_CAO'!$E$4),0,MAX(0,$G444-MAX(0,SUMIFS($H$7:$H$506,$C$7:$C$506,$C444,$A$7:$A$506,"&lt;="&amp;'03_BAO_CAO'!$E$4)-XLOOKUP($C444,'01_DANH_MUC'!$A$7:$A$206,'01_DANH_MUC'!$F$7:$F$206,0)-SUMIFS($G$7:G443,$C$7:C443,$C444,$A$7:A443,"&lt;="&amp;'03_BAO_CAO'!$E$4)))))</f>
        <v/>
      </c>
      <c r="L444" s="212">
        <f>IF($A444="","",IF(OR($K444&lt;=0,$J444=""),0,MAX(0,'03_BAO_CAO'!$E$4-$J444)))</f>
        <v/>
      </c>
      <c r="M444" s="51">
        <f>IF($A444="","",IF($K444&lt;=0,"Đã thanh toán",IF($J444="","Thiếu ngày đến hạn",IF($J444&gt;='03_BAO_CAO'!$E$4,"Chưa đến hạn",IF($L444&lt;=30,"1-30 ngày",IF($L444&lt;=60,"31-60 ngày",IF($L444&lt;=90,"61-90 ngày","Trên 90 ngày")))))))</f>
        <v/>
      </c>
      <c r="N444" s="51">
        <f>IF($A444="","",IF(OR($B444="",$C444=""),"THIẾU THÔNG TIN",IF(AND($G444&gt;0,$H444&gt;0),"KHÔNG NHẬP ĐỒNG THỜI TĂNG/GIẢM",IF(AND($G444&lt;=0,$H444&lt;=0),"CHƯA NHẬP SỐ TIỀN",IF($D444="KHÔNG TÌM THẤY","MÃ KHÔNG HỢP LỆ",IF(AND($G444&gt;0,$J444=""),"THIẾU NGÀY ĐẾN HẠN","OK"))))))</f>
        <v/>
      </c>
    </row>
    <row r="445">
      <c r="A445" s="209" t="n"/>
      <c r="B445" s="47" t="n"/>
      <c r="C445" s="47" t="n"/>
      <c r="D445" s="51">
        <f>IF($C445="","",XLOOKUP($C445,'01_DANH_MUC'!$A$7:$A$206,'01_DANH_MUC'!$B$7:$B$206,"KHÔNG TÌM THẤY"))</f>
        <v/>
      </c>
      <c r="E445" s="51">
        <f>IF($C445="","",XLOOKUP($C445,'01_DANH_MUC'!$A$7:$A$206,'01_DANH_MUC'!$C$7:$C$206,"KHÔNG TÌM THẤY"))</f>
        <v/>
      </c>
      <c r="F445" s="57" t="n"/>
      <c r="G445" s="211" t="n"/>
      <c r="H445" s="211" t="n"/>
      <c r="I445" s="212">
        <f>IF($C445="","",XLOOKUP($C445,'01_DANH_MUC'!$A$7:$A$206,'01_DANH_MUC'!$E$7:$E$206,0))</f>
        <v/>
      </c>
      <c r="J445" s="213">
        <f>IF(OR($A445="",$C445="",$G445&lt;=0),"",$A445+$I445)</f>
        <v/>
      </c>
      <c r="K445" s="210">
        <f>IF($A445="","",IF(OR($C445="",$G445&lt;=0,$A445&gt;'03_BAO_CAO'!$E$4),0,MAX(0,$G445-MAX(0,SUMIFS($H$7:$H$506,$C$7:$C$506,$C445,$A$7:$A$506,"&lt;="&amp;'03_BAO_CAO'!$E$4)-XLOOKUP($C445,'01_DANH_MUC'!$A$7:$A$206,'01_DANH_MUC'!$F$7:$F$206,0)-SUMIFS($G$7:G444,$C$7:C444,$C445,$A$7:A444,"&lt;="&amp;'03_BAO_CAO'!$E$4)))))</f>
        <v/>
      </c>
      <c r="L445" s="212">
        <f>IF($A445="","",IF(OR($K445&lt;=0,$J445=""),0,MAX(0,'03_BAO_CAO'!$E$4-$J445)))</f>
        <v/>
      </c>
      <c r="M445" s="51">
        <f>IF($A445="","",IF($K445&lt;=0,"Đã thanh toán",IF($J445="","Thiếu ngày đến hạn",IF($J445&gt;='03_BAO_CAO'!$E$4,"Chưa đến hạn",IF($L445&lt;=30,"1-30 ngày",IF($L445&lt;=60,"31-60 ngày",IF($L445&lt;=90,"61-90 ngày","Trên 90 ngày")))))))</f>
        <v/>
      </c>
      <c r="N445" s="51">
        <f>IF($A445="","",IF(OR($B445="",$C445=""),"THIẾU THÔNG TIN",IF(AND($G445&gt;0,$H445&gt;0),"KHÔNG NHẬP ĐỒNG THỜI TĂNG/GIẢM",IF(AND($G445&lt;=0,$H445&lt;=0),"CHƯA NHẬP SỐ TIỀN",IF($D445="KHÔNG TÌM THẤY","MÃ KHÔNG HỢP LỆ",IF(AND($G445&gt;0,$J445=""),"THIẾU NGÀY ĐẾN HẠN","OK"))))))</f>
        <v/>
      </c>
    </row>
    <row r="446">
      <c r="A446" s="209" t="n"/>
      <c r="B446" s="47" t="n"/>
      <c r="C446" s="47" t="n"/>
      <c r="D446" s="51">
        <f>IF($C446="","",XLOOKUP($C446,'01_DANH_MUC'!$A$7:$A$206,'01_DANH_MUC'!$B$7:$B$206,"KHÔNG TÌM THẤY"))</f>
        <v/>
      </c>
      <c r="E446" s="51">
        <f>IF($C446="","",XLOOKUP($C446,'01_DANH_MUC'!$A$7:$A$206,'01_DANH_MUC'!$C$7:$C$206,"KHÔNG TÌM THẤY"))</f>
        <v/>
      </c>
      <c r="F446" s="57" t="n"/>
      <c r="G446" s="211" t="n"/>
      <c r="H446" s="211" t="n"/>
      <c r="I446" s="212">
        <f>IF($C446="","",XLOOKUP($C446,'01_DANH_MUC'!$A$7:$A$206,'01_DANH_MUC'!$E$7:$E$206,0))</f>
        <v/>
      </c>
      <c r="J446" s="213">
        <f>IF(OR($A446="",$C446="",$G446&lt;=0),"",$A446+$I446)</f>
        <v/>
      </c>
      <c r="K446" s="210">
        <f>IF($A446="","",IF(OR($C446="",$G446&lt;=0,$A446&gt;'03_BAO_CAO'!$E$4),0,MAX(0,$G446-MAX(0,SUMIFS($H$7:$H$506,$C$7:$C$506,$C446,$A$7:$A$506,"&lt;="&amp;'03_BAO_CAO'!$E$4)-XLOOKUP($C446,'01_DANH_MUC'!$A$7:$A$206,'01_DANH_MUC'!$F$7:$F$206,0)-SUMIFS($G$7:G445,$C$7:C445,$C446,$A$7:A445,"&lt;="&amp;'03_BAO_CAO'!$E$4)))))</f>
        <v/>
      </c>
      <c r="L446" s="212">
        <f>IF($A446="","",IF(OR($K446&lt;=0,$J446=""),0,MAX(0,'03_BAO_CAO'!$E$4-$J446)))</f>
        <v/>
      </c>
      <c r="M446" s="51">
        <f>IF($A446="","",IF($K446&lt;=0,"Đã thanh toán",IF($J446="","Thiếu ngày đến hạn",IF($J446&gt;='03_BAO_CAO'!$E$4,"Chưa đến hạn",IF($L446&lt;=30,"1-30 ngày",IF($L446&lt;=60,"31-60 ngày",IF($L446&lt;=90,"61-90 ngày","Trên 90 ngày")))))))</f>
        <v/>
      </c>
      <c r="N446" s="51">
        <f>IF($A446="","",IF(OR($B446="",$C446=""),"THIẾU THÔNG TIN",IF(AND($G446&gt;0,$H446&gt;0),"KHÔNG NHẬP ĐỒNG THỜI TĂNG/GIẢM",IF(AND($G446&lt;=0,$H446&lt;=0),"CHƯA NHẬP SỐ TIỀN",IF($D446="KHÔNG TÌM THẤY","MÃ KHÔNG HỢP LỆ",IF(AND($G446&gt;0,$J446=""),"THIẾU NGÀY ĐẾN HẠN","OK"))))))</f>
        <v/>
      </c>
    </row>
    <row r="447">
      <c r="A447" s="209" t="n"/>
      <c r="B447" s="47" t="n"/>
      <c r="C447" s="47" t="n"/>
      <c r="D447" s="51">
        <f>IF($C447="","",XLOOKUP($C447,'01_DANH_MUC'!$A$7:$A$206,'01_DANH_MUC'!$B$7:$B$206,"KHÔNG TÌM THẤY"))</f>
        <v/>
      </c>
      <c r="E447" s="51">
        <f>IF($C447="","",XLOOKUP($C447,'01_DANH_MUC'!$A$7:$A$206,'01_DANH_MUC'!$C$7:$C$206,"KHÔNG TÌM THẤY"))</f>
        <v/>
      </c>
      <c r="F447" s="57" t="n"/>
      <c r="G447" s="211" t="n"/>
      <c r="H447" s="211" t="n"/>
      <c r="I447" s="212">
        <f>IF($C447="","",XLOOKUP($C447,'01_DANH_MUC'!$A$7:$A$206,'01_DANH_MUC'!$E$7:$E$206,0))</f>
        <v/>
      </c>
      <c r="J447" s="213">
        <f>IF(OR($A447="",$C447="",$G447&lt;=0),"",$A447+$I447)</f>
        <v/>
      </c>
      <c r="K447" s="210">
        <f>IF($A447="","",IF(OR($C447="",$G447&lt;=0,$A447&gt;'03_BAO_CAO'!$E$4),0,MAX(0,$G447-MAX(0,SUMIFS($H$7:$H$506,$C$7:$C$506,$C447,$A$7:$A$506,"&lt;="&amp;'03_BAO_CAO'!$E$4)-XLOOKUP($C447,'01_DANH_MUC'!$A$7:$A$206,'01_DANH_MUC'!$F$7:$F$206,0)-SUMIFS($G$7:G446,$C$7:C446,$C447,$A$7:A446,"&lt;="&amp;'03_BAO_CAO'!$E$4)))))</f>
        <v/>
      </c>
      <c r="L447" s="212">
        <f>IF($A447="","",IF(OR($K447&lt;=0,$J447=""),0,MAX(0,'03_BAO_CAO'!$E$4-$J447)))</f>
        <v/>
      </c>
      <c r="M447" s="51">
        <f>IF($A447="","",IF($K447&lt;=0,"Đã thanh toán",IF($J447="","Thiếu ngày đến hạn",IF($J447&gt;='03_BAO_CAO'!$E$4,"Chưa đến hạn",IF($L447&lt;=30,"1-30 ngày",IF($L447&lt;=60,"31-60 ngày",IF($L447&lt;=90,"61-90 ngày","Trên 90 ngày")))))))</f>
        <v/>
      </c>
      <c r="N447" s="51">
        <f>IF($A447="","",IF(OR($B447="",$C447=""),"THIẾU THÔNG TIN",IF(AND($G447&gt;0,$H447&gt;0),"KHÔNG NHẬP ĐỒNG THỜI TĂNG/GIẢM",IF(AND($G447&lt;=0,$H447&lt;=0),"CHƯA NHẬP SỐ TIỀN",IF($D447="KHÔNG TÌM THẤY","MÃ KHÔNG HỢP LỆ",IF(AND($G447&gt;0,$J447=""),"THIẾU NGÀY ĐẾN HẠN","OK"))))))</f>
        <v/>
      </c>
    </row>
    <row r="448">
      <c r="A448" s="209" t="n"/>
      <c r="B448" s="47" t="n"/>
      <c r="C448" s="47" t="n"/>
      <c r="D448" s="51">
        <f>IF($C448="","",XLOOKUP($C448,'01_DANH_MUC'!$A$7:$A$206,'01_DANH_MUC'!$B$7:$B$206,"KHÔNG TÌM THẤY"))</f>
        <v/>
      </c>
      <c r="E448" s="51">
        <f>IF($C448="","",XLOOKUP($C448,'01_DANH_MUC'!$A$7:$A$206,'01_DANH_MUC'!$C$7:$C$206,"KHÔNG TÌM THẤY"))</f>
        <v/>
      </c>
      <c r="F448" s="57" t="n"/>
      <c r="G448" s="211" t="n"/>
      <c r="H448" s="211" t="n"/>
      <c r="I448" s="212">
        <f>IF($C448="","",XLOOKUP($C448,'01_DANH_MUC'!$A$7:$A$206,'01_DANH_MUC'!$E$7:$E$206,0))</f>
        <v/>
      </c>
      <c r="J448" s="213">
        <f>IF(OR($A448="",$C448="",$G448&lt;=0),"",$A448+$I448)</f>
        <v/>
      </c>
      <c r="K448" s="210">
        <f>IF($A448="","",IF(OR($C448="",$G448&lt;=0,$A448&gt;'03_BAO_CAO'!$E$4),0,MAX(0,$G448-MAX(0,SUMIFS($H$7:$H$506,$C$7:$C$506,$C448,$A$7:$A$506,"&lt;="&amp;'03_BAO_CAO'!$E$4)-XLOOKUP($C448,'01_DANH_MUC'!$A$7:$A$206,'01_DANH_MUC'!$F$7:$F$206,0)-SUMIFS($G$7:G447,$C$7:C447,$C448,$A$7:A447,"&lt;="&amp;'03_BAO_CAO'!$E$4)))))</f>
        <v/>
      </c>
      <c r="L448" s="212">
        <f>IF($A448="","",IF(OR($K448&lt;=0,$J448=""),0,MAX(0,'03_BAO_CAO'!$E$4-$J448)))</f>
        <v/>
      </c>
      <c r="M448" s="51">
        <f>IF($A448="","",IF($K448&lt;=0,"Đã thanh toán",IF($J448="","Thiếu ngày đến hạn",IF($J448&gt;='03_BAO_CAO'!$E$4,"Chưa đến hạn",IF($L448&lt;=30,"1-30 ngày",IF($L448&lt;=60,"31-60 ngày",IF($L448&lt;=90,"61-90 ngày","Trên 90 ngày")))))))</f>
        <v/>
      </c>
      <c r="N448" s="51">
        <f>IF($A448="","",IF(OR($B448="",$C448=""),"THIẾU THÔNG TIN",IF(AND($G448&gt;0,$H448&gt;0),"KHÔNG NHẬP ĐỒNG THỜI TĂNG/GIẢM",IF(AND($G448&lt;=0,$H448&lt;=0),"CHƯA NHẬP SỐ TIỀN",IF($D448="KHÔNG TÌM THẤY","MÃ KHÔNG HỢP LỆ",IF(AND($G448&gt;0,$J448=""),"THIẾU NGÀY ĐẾN HẠN","OK"))))))</f>
        <v/>
      </c>
    </row>
    <row r="449">
      <c r="A449" s="209" t="n"/>
      <c r="B449" s="47" t="n"/>
      <c r="C449" s="47" t="n"/>
      <c r="D449" s="51">
        <f>IF($C449="","",XLOOKUP($C449,'01_DANH_MUC'!$A$7:$A$206,'01_DANH_MUC'!$B$7:$B$206,"KHÔNG TÌM THẤY"))</f>
        <v/>
      </c>
      <c r="E449" s="51">
        <f>IF($C449="","",XLOOKUP($C449,'01_DANH_MUC'!$A$7:$A$206,'01_DANH_MUC'!$C$7:$C$206,"KHÔNG TÌM THẤY"))</f>
        <v/>
      </c>
      <c r="F449" s="57" t="n"/>
      <c r="G449" s="211" t="n"/>
      <c r="H449" s="211" t="n"/>
      <c r="I449" s="212">
        <f>IF($C449="","",XLOOKUP($C449,'01_DANH_MUC'!$A$7:$A$206,'01_DANH_MUC'!$E$7:$E$206,0))</f>
        <v/>
      </c>
      <c r="J449" s="213">
        <f>IF(OR($A449="",$C449="",$G449&lt;=0),"",$A449+$I449)</f>
        <v/>
      </c>
      <c r="K449" s="210">
        <f>IF($A449="","",IF(OR($C449="",$G449&lt;=0,$A449&gt;'03_BAO_CAO'!$E$4),0,MAX(0,$G449-MAX(0,SUMIFS($H$7:$H$506,$C$7:$C$506,$C449,$A$7:$A$506,"&lt;="&amp;'03_BAO_CAO'!$E$4)-XLOOKUP($C449,'01_DANH_MUC'!$A$7:$A$206,'01_DANH_MUC'!$F$7:$F$206,0)-SUMIFS($G$7:G448,$C$7:C448,$C449,$A$7:A448,"&lt;="&amp;'03_BAO_CAO'!$E$4)))))</f>
        <v/>
      </c>
      <c r="L449" s="212">
        <f>IF($A449="","",IF(OR($K449&lt;=0,$J449=""),0,MAX(0,'03_BAO_CAO'!$E$4-$J449)))</f>
        <v/>
      </c>
      <c r="M449" s="51">
        <f>IF($A449="","",IF($K449&lt;=0,"Đã thanh toán",IF($J449="","Thiếu ngày đến hạn",IF($J449&gt;='03_BAO_CAO'!$E$4,"Chưa đến hạn",IF($L449&lt;=30,"1-30 ngày",IF($L449&lt;=60,"31-60 ngày",IF($L449&lt;=90,"61-90 ngày","Trên 90 ngày")))))))</f>
        <v/>
      </c>
      <c r="N449" s="51">
        <f>IF($A449="","",IF(OR($B449="",$C449=""),"THIẾU THÔNG TIN",IF(AND($G449&gt;0,$H449&gt;0),"KHÔNG NHẬP ĐỒNG THỜI TĂNG/GIẢM",IF(AND($G449&lt;=0,$H449&lt;=0),"CHƯA NHẬP SỐ TIỀN",IF($D449="KHÔNG TÌM THẤY","MÃ KHÔNG HỢP LỆ",IF(AND($G449&gt;0,$J449=""),"THIẾU NGÀY ĐẾN HẠN","OK"))))))</f>
        <v/>
      </c>
    </row>
    <row r="450">
      <c r="A450" s="209" t="n"/>
      <c r="B450" s="47" t="n"/>
      <c r="C450" s="47" t="n"/>
      <c r="D450" s="51">
        <f>IF($C450="","",XLOOKUP($C450,'01_DANH_MUC'!$A$7:$A$206,'01_DANH_MUC'!$B$7:$B$206,"KHÔNG TÌM THẤY"))</f>
        <v/>
      </c>
      <c r="E450" s="51">
        <f>IF($C450="","",XLOOKUP($C450,'01_DANH_MUC'!$A$7:$A$206,'01_DANH_MUC'!$C$7:$C$206,"KHÔNG TÌM THẤY"))</f>
        <v/>
      </c>
      <c r="F450" s="57" t="n"/>
      <c r="G450" s="211" t="n"/>
      <c r="H450" s="211" t="n"/>
      <c r="I450" s="212">
        <f>IF($C450="","",XLOOKUP($C450,'01_DANH_MUC'!$A$7:$A$206,'01_DANH_MUC'!$E$7:$E$206,0))</f>
        <v/>
      </c>
      <c r="J450" s="213">
        <f>IF(OR($A450="",$C450="",$G450&lt;=0),"",$A450+$I450)</f>
        <v/>
      </c>
      <c r="K450" s="210">
        <f>IF($A450="","",IF(OR($C450="",$G450&lt;=0,$A450&gt;'03_BAO_CAO'!$E$4),0,MAX(0,$G450-MAX(0,SUMIFS($H$7:$H$506,$C$7:$C$506,$C450,$A$7:$A$506,"&lt;="&amp;'03_BAO_CAO'!$E$4)-XLOOKUP($C450,'01_DANH_MUC'!$A$7:$A$206,'01_DANH_MUC'!$F$7:$F$206,0)-SUMIFS($G$7:G449,$C$7:C449,$C450,$A$7:A449,"&lt;="&amp;'03_BAO_CAO'!$E$4)))))</f>
        <v/>
      </c>
      <c r="L450" s="212">
        <f>IF($A450="","",IF(OR($K450&lt;=0,$J450=""),0,MAX(0,'03_BAO_CAO'!$E$4-$J450)))</f>
        <v/>
      </c>
      <c r="M450" s="51">
        <f>IF($A450="","",IF($K450&lt;=0,"Đã thanh toán",IF($J450="","Thiếu ngày đến hạn",IF($J450&gt;='03_BAO_CAO'!$E$4,"Chưa đến hạn",IF($L450&lt;=30,"1-30 ngày",IF($L450&lt;=60,"31-60 ngày",IF($L450&lt;=90,"61-90 ngày","Trên 90 ngày")))))))</f>
        <v/>
      </c>
      <c r="N450" s="51">
        <f>IF($A450="","",IF(OR($B450="",$C450=""),"THIẾU THÔNG TIN",IF(AND($G450&gt;0,$H450&gt;0),"KHÔNG NHẬP ĐỒNG THỜI TĂNG/GIẢM",IF(AND($G450&lt;=0,$H450&lt;=0),"CHƯA NHẬP SỐ TIỀN",IF($D450="KHÔNG TÌM THẤY","MÃ KHÔNG HỢP LỆ",IF(AND($G450&gt;0,$J450=""),"THIẾU NGÀY ĐẾN HẠN","OK"))))))</f>
        <v/>
      </c>
    </row>
    <row r="451">
      <c r="A451" s="209" t="n"/>
      <c r="B451" s="47" t="n"/>
      <c r="C451" s="47" t="n"/>
      <c r="D451" s="51">
        <f>IF($C451="","",XLOOKUP($C451,'01_DANH_MUC'!$A$7:$A$206,'01_DANH_MUC'!$B$7:$B$206,"KHÔNG TÌM THẤY"))</f>
        <v/>
      </c>
      <c r="E451" s="51">
        <f>IF($C451="","",XLOOKUP($C451,'01_DANH_MUC'!$A$7:$A$206,'01_DANH_MUC'!$C$7:$C$206,"KHÔNG TÌM THẤY"))</f>
        <v/>
      </c>
      <c r="F451" s="57" t="n"/>
      <c r="G451" s="211" t="n"/>
      <c r="H451" s="211" t="n"/>
      <c r="I451" s="212">
        <f>IF($C451="","",XLOOKUP($C451,'01_DANH_MUC'!$A$7:$A$206,'01_DANH_MUC'!$E$7:$E$206,0))</f>
        <v/>
      </c>
      <c r="J451" s="213">
        <f>IF(OR($A451="",$C451="",$G451&lt;=0),"",$A451+$I451)</f>
        <v/>
      </c>
      <c r="K451" s="210">
        <f>IF($A451="","",IF(OR($C451="",$G451&lt;=0,$A451&gt;'03_BAO_CAO'!$E$4),0,MAX(0,$G451-MAX(0,SUMIFS($H$7:$H$506,$C$7:$C$506,$C451,$A$7:$A$506,"&lt;="&amp;'03_BAO_CAO'!$E$4)-XLOOKUP($C451,'01_DANH_MUC'!$A$7:$A$206,'01_DANH_MUC'!$F$7:$F$206,0)-SUMIFS($G$7:G450,$C$7:C450,$C451,$A$7:A450,"&lt;="&amp;'03_BAO_CAO'!$E$4)))))</f>
        <v/>
      </c>
      <c r="L451" s="212">
        <f>IF($A451="","",IF(OR($K451&lt;=0,$J451=""),0,MAX(0,'03_BAO_CAO'!$E$4-$J451)))</f>
        <v/>
      </c>
      <c r="M451" s="51">
        <f>IF($A451="","",IF($K451&lt;=0,"Đã thanh toán",IF($J451="","Thiếu ngày đến hạn",IF($J451&gt;='03_BAO_CAO'!$E$4,"Chưa đến hạn",IF($L451&lt;=30,"1-30 ngày",IF($L451&lt;=60,"31-60 ngày",IF($L451&lt;=90,"61-90 ngày","Trên 90 ngày")))))))</f>
        <v/>
      </c>
      <c r="N451" s="51">
        <f>IF($A451="","",IF(OR($B451="",$C451=""),"THIẾU THÔNG TIN",IF(AND($G451&gt;0,$H451&gt;0),"KHÔNG NHẬP ĐỒNG THỜI TĂNG/GIẢM",IF(AND($G451&lt;=0,$H451&lt;=0),"CHƯA NHẬP SỐ TIỀN",IF($D451="KHÔNG TÌM THẤY","MÃ KHÔNG HỢP LỆ",IF(AND($G451&gt;0,$J451=""),"THIẾU NGÀY ĐẾN HẠN","OK"))))))</f>
        <v/>
      </c>
    </row>
    <row r="452">
      <c r="A452" s="209" t="n"/>
      <c r="B452" s="47" t="n"/>
      <c r="C452" s="47" t="n"/>
      <c r="D452" s="51">
        <f>IF($C452="","",XLOOKUP($C452,'01_DANH_MUC'!$A$7:$A$206,'01_DANH_MUC'!$B$7:$B$206,"KHÔNG TÌM THẤY"))</f>
        <v/>
      </c>
      <c r="E452" s="51">
        <f>IF($C452="","",XLOOKUP($C452,'01_DANH_MUC'!$A$7:$A$206,'01_DANH_MUC'!$C$7:$C$206,"KHÔNG TÌM THẤY"))</f>
        <v/>
      </c>
      <c r="F452" s="57" t="n"/>
      <c r="G452" s="211" t="n"/>
      <c r="H452" s="211" t="n"/>
      <c r="I452" s="212">
        <f>IF($C452="","",XLOOKUP($C452,'01_DANH_MUC'!$A$7:$A$206,'01_DANH_MUC'!$E$7:$E$206,0))</f>
        <v/>
      </c>
      <c r="J452" s="213">
        <f>IF(OR($A452="",$C452="",$G452&lt;=0),"",$A452+$I452)</f>
        <v/>
      </c>
      <c r="K452" s="210">
        <f>IF($A452="","",IF(OR($C452="",$G452&lt;=0,$A452&gt;'03_BAO_CAO'!$E$4),0,MAX(0,$G452-MAX(0,SUMIFS($H$7:$H$506,$C$7:$C$506,$C452,$A$7:$A$506,"&lt;="&amp;'03_BAO_CAO'!$E$4)-XLOOKUP($C452,'01_DANH_MUC'!$A$7:$A$206,'01_DANH_MUC'!$F$7:$F$206,0)-SUMIFS($G$7:G451,$C$7:C451,$C452,$A$7:A451,"&lt;="&amp;'03_BAO_CAO'!$E$4)))))</f>
        <v/>
      </c>
      <c r="L452" s="212">
        <f>IF($A452="","",IF(OR($K452&lt;=0,$J452=""),0,MAX(0,'03_BAO_CAO'!$E$4-$J452)))</f>
        <v/>
      </c>
      <c r="M452" s="51">
        <f>IF($A452="","",IF($K452&lt;=0,"Đã thanh toán",IF($J452="","Thiếu ngày đến hạn",IF($J452&gt;='03_BAO_CAO'!$E$4,"Chưa đến hạn",IF($L452&lt;=30,"1-30 ngày",IF($L452&lt;=60,"31-60 ngày",IF($L452&lt;=90,"61-90 ngày","Trên 90 ngày")))))))</f>
        <v/>
      </c>
      <c r="N452" s="51">
        <f>IF($A452="","",IF(OR($B452="",$C452=""),"THIẾU THÔNG TIN",IF(AND($G452&gt;0,$H452&gt;0),"KHÔNG NHẬP ĐỒNG THỜI TĂNG/GIẢM",IF(AND($G452&lt;=0,$H452&lt;=0),"CHƯA NHẬP SỐ TIỀN",IF($D452="KHÔNG TÌM THẤY","MÃ KHÔNG HỢP LỆ",IF(AND($G452&gt;0,$J452=""),"THIẾU NGÀY ĐẾN HẠN","OK"))))))</f>
        <v/>
      </c>
    </row>
    <row r="453">
      <c r="A453" s="209" t="n"/>
      <c r="B453" s="47" t="n"/>
      <c r="C453" s="47" t="n"/>
      <c r="D453" s="51">
        <f>IF($C453="","",XLOOKUP($C453,'01_DANH_MUC'!$A$7:$A$206,'01_DANH_MUC'!$B$7:$B$206,"KHÔNG TÌM THẤY"))</f>
        <v/>
      </c>
      <c r="E453" s="51">
        <f>IF($C453="","",XLOOKUP($C453,'01_DANH_MUC'!$A$7:$A$206,'01_DANH_MUC'!$C$7:$C$206,"KHÔNG TÌM THẤY"))</f>
        <v/>
      </c>
      <c r="F453" s="57" t="n"/>
      <c r="G453" s="211" t="n"/>
      <c r="H453" s="211" t="n"/>
      <c r="I453" s="212">
        <f>IF($C453="","",XLOOKUP($C453,'01_DANH_MUC'!$A$7:$A$206,'01_DANH_MUC'!$E$7:$E$206,0))</f>
        <v/>
      </c>
      <c r="J453" s="213">
        <f>IF(OR($A453="",$C453="",$G453&lt;=0),"",$A453+$I453)</f>
        <v/>
      </c>
      <c r="K453" s="210">
        <f>IF($A453="","",IF(OR($C453="",$G453&lt;=0,$A453&gt;'03_BAO_CAO'!$E$4),0,MAX(0,$G453-MAX(0,SUMIFS($H$7:$H$506,$C$7:$C$506,$C453,$A$7:$A$506,"&lt;="&amp;'03_BAO_CAO'!$E$4)-XLOOKUP($C453,'01_DANH_MUC'!$A$7:$A$206,'01_DANH_MUC'!$F$7:$F$206,0)-SUMIFS($G$7:G452,$C$7:C452,$C453,$A$7:A452,"&lt;="&amp;'03_BAO_CAO'!$E$4)))))</f>
        <v/>
      </c>
      <c r="L453" s="212">
        <f>IF($A453="","",IF(OR($K453&lt;=0,$J453=""),0,MAX(0,'03_BAO_CAO'!$E$4-$J453)))</f>
        <v/>
      </c>
      <c r="M453" s="51">
        <f>IF($A453="","",IF($K453&lt;=0,"Đã thanh toán",IF($J453="","Thiếu ngày đến hạn",IF($J453&gt;='03_BAO_CAO'!$E$4,"Chưa đến hạn",IF($L453&lt;=30,"1-30 ngày",IF($L453&lt;=60,"31-60 ngày",IF($L453&lt;=90,"61-90 ngày","Trên 90 ngày")))))))</f>
        <v/>
      </c>
      <c r="N453" s="51">
        <f>IF($A453="","",IF(OR($B453="",$C453=""),"THIẾU THÔNG TIN",IF(AND($G453&gt;0,$H453&gt;0),"KHÔNG NHẬP ĐỒNG THỜI TĂNG/GIẢM",IF(AND($G453&lt;=0,$H453&lt;=0),"CHƯA NHẬP SỐ TIỀN",IF($D453="KHÔNG TÌM THẤY","MÃ KHÔNG HỢP LỆ",IF(AND($G453&gt;0,$J453=""),"THIẾU NGÀY ĐẾN HẠN","OK"))))))</f>
        <v/>
      </c>
    </row>
    <row r="454">
      <c r="A454" s="209" t="n"/>
      <c r="B454" s="47" t="n"/>
      <c r="C454" s="47" t="n"/>
      <c r="D454" s="51">
        <f>IF($C454="","",XLOOKUP($C454,'01_DANH_MUC'!$A$7:$A$206,'01_DANH_MUC'!$B$7:$B$206,"KHÔNG TÌM THẤY"))</f>
        <v/>
      </c>
      <c r="E454" s="51">
        <f>IF($C454="","",XLOOKUP($C454,'01_DANH_MUC'!$A$7:$A$206,'01_DANH_MUC'!$C$7:$C$206,"KHÔNG TÌM THẤY"))</f>
        <v/>
      </c>
      <c r="F454" s="57" t="n"/>
      <c r="G454" s="211" t="n"/>
      <c r="H454" s="211" t="n"/>
      <c r="I454" s="212">
        <f>IF($C454="","",XLOOKUP($C454,'01_DANH_MUC'!$A$7:$A$206,'01_DANH_MUC'!$E$7:$E$206,0))</f>
        <v/>
      </c>
      <c r="J454" s="213">
        <f>IF(OR($A454="",$C454="",$G454&lt;=0),"",$A454+$I454)</f>
        <v/>
      </c>
      <c r="K454" s="210">
        <f>IF($A454="","",IF(OR($C454="",$G454&lt;=0,$A454&gt;'03_BAO_CAO'!$E$4),0,MAX(0,$G454-MAX(0,SUMIFS($H$7:$H$506,$C$7:$C$506,$C454,$A$7:$A$506,"&lt;="&amp;'03_BAO_CAO'!$E$4)-XLOOKUP($C454,'01_DANH_MUC'!$A$7:$A$206,'01_DANH_MUC'!$F$7:$F$206,0)-SUMIFS($G$7:G453,$C$7:C453,$C454,$A$7:A453,"&lt;="&amp;'03_BAO_CAO'!$E$4)))))</f>
        <v/>
      </c>
      <c r="L454" s="212">
        <f>IF($A454="","",IF(OR($K454&lt;=0,$J454=""),0,MAX(0,'03_BAO_CAO'!$E$4-$J454)))</f>
        <v/>
      </c>
      <c r="M454" s="51">
        <f>IF($A454="","",IF($K454&lt;=0,"Đã thanh toán",IF($J454="","Thiếu ngày đến hạn",IF($J454&gt;='03_BAO_CAO'!$E$4,"Chưa đến hạn",IF($L454&lt;=30,"1-30 ngày",IF($L454&lt;=60,"31-60 ngày",IF($L454&lt;=90,"61-90 ngày","Trên 90 ngày")))))))</f>
        <v/>
      </c>
      <c r="N454" s="51">
        <f>IF($A454="","",IF(OR($B454="",$C454=""),"THIẾU THÔNG TIN",IF(AND($G454&gt;0,$H454&gt;0),"KHÔNG NHẬP ĐỒNG THỜI TĂNG/GIẢM",IF(AND($G454&lt;=0,$H454&lt;=0),"CHƯA NHẬP SỐ TIỀN",IF($D454="KHÔNG TÌM THẤY","MÃ KHÔNG HỢP LỆ",IF(AND($G454&gt;0,$J454=""),"THIẾU NGÀY ĐẾN HẠN","OK"))))))</f>
        <v/>
      </c>
    </row>
    <row r="455">
      <c r="A455" s="209" t="n"/>
      <c r="B455" s="47" t="n"/>
      <c r="C455" s="47" t="n"/>
      <c r="D455" s="51">
        <f>IF($C455="","",XLOOKUP($C455,'01_DANH_MUC'!$A$7:$A$206,'01_DANH_MUC'!$B$7:$B$206,"KHÔNG TÌM THẤY"))</f>
        <v/>
      </c>
      <c r="E455" s="51">
        <f>IF($C455="","",XLOOKUP($C455,'01_DANH_MUC'!$A$7:$A$206,'01_DANH_MUC'!$C$7:$C$206,"KHÔNG TÌM THẤY"))</f>
        <v/>
      </c>
      <c r="F455" s="57" t="n"/>
      <c r="G455" s="211" t="n"/>
      <c r="H455" s="211" t="n"/>
      <c r="I455" s="212">
        <f>IF($C455="","",XLOOKUP($C455,'01_DANH_MUC'!$A$7:$A$206,'01_DANH_MUC'!$E$7:$E$206,0))</f>
        <v/>
      </c>
      <c r="J455" s="213">
        <f>IF(OR($A455="",$C455="",$G455&lt;=0),"",$A455+$I455)</f>
        <v/>
      </c>
      <c r="K455" s="210">
        <f>IF($A455="","",IF(OR($C455="",$G455&lt;=0,$A455&gt;'03_BAO_CAO'!$E$4),0,MAX(0,$G455-MAX(0,SUMIFS($H$7:$H$506,$C$7:$C$506,$C455,$A$7:$A$506,"&lt;="&amp;'03_BAO_CAO'!$E$4)-XLOOKUP($C455,'01_DANH_MUC'!$A$7:$A$206,'01_DANH_MUC'!$F$7:$F$206,0)-SUMIFS($G$7:G454,$C$7:C454,$C455,$A$7:A454,"&lt;="&amp;'03_BAO_CAO'!$E$4)))))</f>
        <v/>
      </c>
      <c r="L455" s="212">
        <f>IF($A455="","",IF(OR($K455&lt;=0,$J455=""),0,MAX(0,'03_BAO_CAO'!$E$4-$J455)))</f>
        <v/>
      </c>
      <c r="M455" s="51">
        <f>IF($A455="","",IF($K455&lt;=0,"Đã thanh toán",IF($J455="","Thiếu ngày đến hạn",IF($J455&gt;='03_BAO_CAO'!$E$4,"Chưa đến hạn",IF($L455&lt;=30,"1-30 ngày",IF($L455&lt;=60,"31-60 ngày",IF($L455&lt;=90,"61-90 ngày","Trên 90 ngày")))))))</f>
        <v/>
      </c>
      <c r="N455" s="51">
        <f>IF($A455="","",IF(OR($B455="",$C455=""),"THIẾU THÔNG TIN",IF(AND($G455&gt;0,$H455&gt;0),"KHÔNG NHẬP ĐỒNG THỜI TĂNG/GIẢM",IF(AND($G455&lt;=0,$H455&lt;=0),"CHƯA NHẬP SỐ TIỀN",IF($D455="KHÔNG TÌM THẤY","MÃ KHÔNG HỢP LỆ",IF(AND($G455&gt;0,$J455=""),"THIẾU NGÀY ĐẾN HẠN","OK"))))))</f>
        <v/>
      </c>
    </row>
    <row r="456">
      <c r="A456" s="209" t="n"/>
      <c r="B456" s="47" t="n"/>
      <c r="C456" s="47" t="n"/>
      <c r="D456" s="51">
        <f>IF($C456="","",XLOOKUP($C456,'01_DANH_MUC'!$A$7:$A$206,'01_DANH_MUC'!$B$7:$B$206,"KHÔNG TÌM THẤY"))</f>
        <v/>
      </c>
      <c r="E456" s="51">
        <f>IF($C456="","",XLOOKUP($C456,'01_DANH_MUC'!$A$7:$A$206,'01_DANH_MUC'!$C$7:$C$206,"KHÔNG TÌM THẤY"))</f>
        <v/>
      </c>
      <c r="F456" s="57" t="n"/>
      <c r="G456" s="211" t="n"/>
      <c r="H456" s="211" t="n"/>
      <c r="I456" s="212">
        <f>IF($C456="","",XLOOKUP($C456,'01_DANH_MUC'!$A$7:$A$206,'01_DANH_MUC'!$E$7:$E$206,0))</f>
        <v/>
      </c>
      <c r="J456" s="213">
        <f>IF(OR($A456="",$C456="",$G456&lt;=0),"",$A456+$I456)</f>
        <v/>
      </c>
      <c r="K456" s="210">
        <f>IF($A456="","",IF(OR($C456="",$G456&lt;=0,$A456&gt;'03_BAO_CAO'!$E$4),0,MAX(0,$G456-MAX(0,SUMIFS($H$7:$H$506,$C$7:$C$506,$C456,$A$7:$A$506,"&lt;="&amp;'03_BAO_CAO'!$E$4)-XLOOKUP($C456,'01_DANH_MUC'!$A$7:$A$206,'01_DANH_MUC'!$F$7:$F$206,0)-SUMIFS($G$7:G455,$C$7:C455,$C456,$A$7:A455,"&lt;="&amp;'03_BAO_CAO'!$E$4)))))</f>
        <v/>
      </c>
      <c r="L456" s="212">
        <f>IF($A456="","",IF(OR($K456&lt;=0,$J456=""),0,MAX(0,'03_BAO_CAO'!$E$4-$J456)))</f>
        <v/>
      </c>
      <c r="M456" s="51">
        <f>IF($A456="","",IF($K456&lt;=0,"Đã thanh toán",IF($J456="","Thiếu ngày đến hạn",IF($J456&gt;='03_BAO_CAO'!$E$4,"Chưa đến hạn",IF($L456&lt;=30,"1-30 ngày",IF($L456&lt;=60,"31-60 ngày",IF($L456&lt;=90,"61-90 ngày","Trên 90 ngày")))))))</f>
        <v/>
      </c>
      <c r="N456" s="51">
        <f>IF($A456="","",IF(OR($B456="",$C456=""),"THIẾU THÔNG TIN",IF(AND($G456&gt;0,$H456&gt;0),"KHÔNG NHẬP ĐỒNG THỜI TĂNG/GIẢM",IF(AND($G456&lt;=0,$H456&lt;=0),"CHƯA NHẬP SỐ TIỀN",IF($D456="KHÔNG TÌM THẤY","MÃ KHÔNG HỢP LỆ",IF(AND($G456&gt;0,$J456=""),"THIẾU NGÀY ĐẾN HẠN","OK"))))))</f>
        <v/>
      </c>
    </row>
    <row r="457">
      <c r="A457" s="209" t="n"/>
      <c r="B457" s="47" t="n"/>
      <c r="C457" s="47" t="n"/>
      <c r="D457" s="51">
        <f>IF($C457="","",XLOOKUP($C457,'01_DANH_MUC'!$A$7:$A$206,'01_DANH_MUC'!$B$7:$B$206,"KHÔNG TÌM THẤY"))</f>
        <v/>
      </c>
      <c r="E457" s="51">
        <f>IF($C457="","",XLOOKUP($C457,'01_DANH_MUC'!$A$7:$A$206,'01_DANH_MUC'!$C$7:$C$206,"KHÔNG TÌM THẤY"))</f>
        <v/>
      </c>
      <c r="F457" s="57" t="n"/>
      <c r="G457" s="211" t="n"/>
      <c r="H457" s="211" t="n"/>
      <c r="I457" s="212">
        <f>IF($C457="","",XLOOKUP($C457,'01_DANH_MUC'!$A$7:$A$206,'01_DANH_MUC'!$E$7:$E$206,0))</f>
        <v/>
      </c>
      <c r="J457" s="213">
        <f>IF(OR($A457="",$C457="",$G457&lt;=0),"",$A457+$I457)</f>
        <v/>
      </c>
      <c r="K457" s="210">
        <f>IF($A457="","",IF(OR($C457="",$G457&lt;=0,$A457&gt;'03_BAO_CAO'!$E$4),0,MAX(0,$G457-MAX(0,SUMIFS($H$7:$H$506,$C$7:$C$506,$C457,$A$7:$A$506,"&lt;="&amp;'03_BAO_CAO'!$E$4)-XLOOKUP($C457,'01_DANH_MUC'!$A$7:$A$206,'01_DANH_MUC'!$F$7:$F$206,0)-SUMIFS($G$7:G456,$C$7:C456,$C457,$A$7:A456,"&lt;="&amp;'03_BAO_CAO'!$E$4)))))</f>
        <v/>
      </c>
      <c r="L457" s="212">
        <f>IF($A457="","",IF(OR($K457&lt;=0,$J457=""),0,MAX(0,'03_BAO_CAO'!$E$4-$J457)))</f>
        <v/>
      </c>
      <c r="M457" s="51">
        <f>IF($A457="","",IF($K457&lt;=0,"Đã thanh toán",IF($J457="","Thiếu ngày đến hạn",IF($J457&gt;='03_BAO_CAO'!$E$4,"Chưa đến hạn",IF($L457&lt;=30,"1-30 ngày",IF($L457&lt;=60,"31-60 ngày",IF($L457&lt;=90,"61-90 ngày","Trên 90 ngày")))))))</f>
        <v/>
      </c>
      <c r="N457" s="51">
        <f>IF($A457="","",IF(OR($B457="",$C457=""),"THIẾU THÔNG TIN",IF(AND($G457&gt;0,$H457&gt;0),"KHÔNG NHẬP ĐỒNG THỜI TĂNG/GIẢM",IF(AND($G457&lt;=0,$H457&lt;=0),"CHƯA NHẬP SỐ TIỀN",IF($D457="KHÔNG TÌM THẤY","MÃ KHÔNG HỢP LỆ",IF(AND($G457&gt;0,$J457=""),"THIẾU NGÀY ĐẾN HẠN","OK"))))))</f>
        <v/>
      </c>
    </row>
    <row r="458">
      <c r="A458" s="209" t="n"/>
      <c r="B458" s="47" t="n"/>
      <c r="C458" s="47" t="n"/>
      <c r="D458" s="51">
        <f>IF($C458="","",XLOOKUP($C458,'01_DANH_MUC'!$A$7:$A$206,'01_DANH_MUC'!$B$7:$B$206,"KHÔNG TÌM THẤY"))</f>
        <v/>
      </c>
      <c r="E458" s="51">
        <f>IF($C458="","",XLOOKUP($C458,'01_DANH_MUC'!$A$7:$A$206,'01_DANH_MUC'!$C$7:$C$206,"KHÔNG TÌM THẤY"))</f>
        <v/>
      </c>
      <c r="F458" s="57" t="n"/>
      <c r="G458" s="211" t="n"/>
      <c r="H458" s="211" t="n"/>
      <c r="I458" s="212">
        <f>IF($C458="","",XLOOKUP($C458,'01_DANH_MUC'!$A$7:$A$206,'01_DANH_MUC'!$E$7:$E$206,0))</f>
        <v/>
      </c>
      <c r="J458" s="213">
        <f>IF(OR($A458="",$C458="",$G458&lt;=0),"",$A458+$I458)</f>
        <v/>
      </c>
      <c r="K458" s="210">
        <f>IF($A458="","",IF(OR($C458="",$G458&lt;=0,$A458&gt;'03_BAO_CAO'!$E$4),0,MAX(0,$G458-MAX(0,SUMIFS($H$7:$H$506,$C$7:$C$506,$C458,$A$7:$A$506,"&lt;="&amp;'03_BAO_CAO'!$E$4)-XLOOKUP($C458,'01_DANH_MUC'!$A$7:$A$206,'01_DANH_MUC'!$F$7:$F$206,0)-SUMIFS($G$7:G457,$C$7:C457,$C458,$A$7:A457,"&lt;="&amp;'03_BAO_CAO'!$E$4)))))</f>
        <v/>
      </c>
      <c r="L458" s="212">
        <f>IF($A458="","",IF(OR($K458&lt;=0,$J458=""),0,MAX(0,'03_BAO_CAO'!$E$4-$J458)))</f>
        <v/>
      </c>
      <c r="M458" s="51">
        <f>IF($A458="","",IF($K458&lt;=0,"Đã thanh toán",IF($J458="","Thiếu ngày đến hạn",IF($J458&gt;='03_BAO_CAO'!$E$4,"Chưa đến hạn",IF($L458&lt;=30,"1-30 ngày",IF($L458&lt;=60,"31-60 ngày",IF($L458&lt;=90,"61-90 ngày","Trên 90 ngày")))))))</f>
        <v/>
      </c>
      <c r="N458" s="51">
        <f>IF($A458="","",IF(OR($B458="",$C458=""),"THIẾU THÔNG TIN",IF(AND($G458&gt;0,$H458&gt;0),"KHÔNG NHẬP ĐỒNG THỜI TĂNG/GIẢM",IF(AND($G458&lt;=0,$H458&lt;=0),"CHƯA NHẬP SỐ TIỀN",IF($D458="KHÔNG TÌM THẤY","MÃ KHÔNG HỢP LỆ",IF(AND($G458&gt;0,$J458=""),"THIẾU NGÀY ĐẾN HẠN","OK"))))))</f>
        <v/>
      </c>
    </row>
    <row r="459">
      <c r="A459" s="209" t="n"/>
      <c r="B459" s="47" t="n"/>
      <c r="C459" s="47" t="n"/>
      <c r="D459" s="51">
        <f>IF($C459="","",XLOOKUP($C459,'01_DANH_MUC'!$A$7:$A$206,'01_DANH_MUC'!$B$7:$B$206,"KHÔNG TÌM THẤY"))</f>
        <v/>
      </c>
      <c r="E459" s="51">
        <f>IF($C459="","",XLOOKUP($C459,'01_DANH_MUC'!$A$7:$A$206,'01_DANH_MUC'!$C$7:$C$206,"KHÔNG TÌM THẤY"))</f>
        <v/>
      </c>
      <c r="F459" s="57" t="n"/>
      <c r="G459" s="211" t="n"/>
      <c r="H459" s="211" t="n"/>
      <c r="I459" s="212">
        <f>IF($C459="","",XLOOKUP($C459,'01_DANH_MUC'!$A$7:$A$206,'01_DANH_MUC'!$E$7:$E$206,0))</f>
        <v/>
      </c>
      <c r="J459" s="213">
        <f>IF(OR($A459="",$C459="",$G459&lt;=0),"",$A459+$I459)</f>
        <v/>
      </c>
      <c r="K459" s="210">
        <f>IF($A459="","",IF(OR($C459="",$G459&lt;=0,$A459&gt;'03_BAO_CAO'!$E$4),0,MAX(0,$G459-MAX(0,SUMIFS($H$7:$H$506,$C$7:$C$506,$C459,$A$7:$A$506,"&lt;="&amp;'03_BAO_CAO'!$E$4)-XLOOKUP($C459,'01_DANH_MUC'!$A$7:$A$206,'01_DANH_MUC'!$F$7:$F$206,0)-SUMIFS($G$7:G458,$C$7:C458,$C459,$A$7:A458,"&lt;="&amp;'03_BAO_CAO'!$E$4)))))</f>
        <v/>
      </c>
      <c r="L459" s="212">
        <f>IF($A459="","",IF(OR($K459&lt;=0,$J459=""),0,MAX(0,'03_BAO_CAO'!$E$4-$J459)))</f>
        <v/>
      </c>
      <c r="M459" s="51">
        <f>IF($A459="","",IF($K459&lt;=0,"Đã thanh toán",IF($J459="","Thiếu ngày đến hạn",IF($J459&gt;='03_BAO_CAO'!$E$4,"Chưa đến hạn",IF($L459&lt;=30,"1-30 ngày",IF($L459&lt;=60,"31-60 ngày",IF($L459&lt;=90,"61-90 ngày","Trên 90 ngày")))))))</f>
        <v/>
      </c>
      <c r="N459" s="51">
        <f>IF($A459="","",IF(OR($B459="",$C459=""),"THIẾU THÔNG TIN",IF(AND($G459&gt;0,$H459&gt;0),"KHÔNG NHẬP ĐỒNG THỜI TĂNG/GIẢM",IF(AND($G459&lt;=0,$H459&lt;=0),"CHƯA NHẬP SỐ TIỀN",IF($D459="KHÔNG TÌM THẤY","MÃ KHÔNG HỢP LỆ",IF(AND($G459&gt;0,$J459=""),"THIẾU NGÀY ĐẾN HẠN","OK"))))))</f>
        <v/>
      </c>
    </row>
    <row r="460">
      <c r="A460" s="209" t="n"/>
      <c r="B460" s="47" t="n"/>
      <c r="C460" s="47" t="n"/>
      <c r="D460" s="51">
        <f>IF($C460="","",XLOOKUP($C460,'01_DANH_MUC'!$A$7:$A$206,'01_DANH_MUC'!$B$7:$B$206,"KHÔNG TÌM THẤY"))</f>
        <v/>
      </c>
      <c r="E460" s="51">
        <f>IF($C460="","",XLOOKUP($C460,'01_DANH_MUC'!$A$7:$A$206,'01_DANH_MUC'!$C$7:$C$206,"KHÔNG TÌM THẤY"))</f>
        <v/>
      </c>
      <c r="F460" s="57" t="n"/>
      <c r="G460" s="211" t="n"/>
      <c r="H460" s="211" t="n"/>
      <c r="I460" s="212">
        <f>IF($C460="","",XLOOKUP($C460,'01_DANH_MUC'!$A$7:$A$206,'01_DANH_MUC'!$E$7:$E$206,0))</f>
        <v/>
      </c>
      <c r="J460" s="213">
        <f>IF(OR($A460="",$C460="",$G460&lt;=0),"",$A460+$I460)</f>
        <v/>
      </c>
      <c r="K460" s="210">
        <f>IF($A460="","",IF(OR($C460="",$G460&lt;=0,$A460&gt;'03_BAO_CAO'!$E$4),0,MAX(0,$G460-MAX(0,SUMIFS($H$7:$H$506,$C$7:$C$506,$C460,$A$7:$A$506,"&lt;="&amp;'03_BAO_CAO'!$E$4)-XLOOKUP($C460,'01_DANH_MUC'!$A$7:$A$206,'01_DANH_MUC'!$F$7:$F$206,0)-SUMIFS($G$7:G459,$C$7:C459,$C460,$A$7:A459,"&lt;="&amp;'03_BAO_CAO'!$E$4)))))</f>
        <v/>
      </c>
      <c r="L460" s="212">
        <f>IF($A460="","",IF(OR($K460&lt;=0,$J460=""),0,MAX(0,'03_BAO_CAO'!$E$4-$J460)))</f>
        <v/>
      </c>
      <c r="M460" s="51">
        <f>IF($A460="","",IF($K460&lt;=0,"Đã thanh toán",IF($J460="","Thiếu ngày đến hạn",IF($J460&gt;='03_BAO_CAO'!$E$4,"Chưa đến hạn",IF($L460&lt;=30,"1-30 ngày",IF($L460&lt;=60,"31-60 ngày",IF($L460&lt;=90,"61-90 ngày","Trên 90 ngày")))))))</f>
        <v/>
      </c>
      <c r="N460" s="51">
        <f>IF($A460="","",IF(OR($B460="",$C460=""),"THIẾU THÔNG TIN",IF(AND($G460&gt;0,$H460&gt;0),"KHÔNG NHẬP ĐỒNG THỜI TĂNG/GIẢM",IF(AND($G460&lt;=0,$H460&lt;=0),"CHƯA NHẬP SỐ TIỀN",IF($D460="KHÔNG TÌM THẤY","MÃ KHÔNG HỢP LỆ",IF(AND($G460&gt;0,$J460=""),"THIẾU NGÀY ĐẾN HẠN","OK"))))))</f>
        <v/>
      </c>
    </row>
    <row r="461">
      <c r="A461" s="209" t="n"/>
      <c r="B461" s="47" t="n"/>
      <c r="C461" s="47" t="n"/>
      <c r="D461" s="51">
        <f>IF($C461="","",XLOOKUP($C461,'01_DANH_MUC'!$A$7:$A$206,'01_DANH_MUC'!$B$7:$B$206,"KHÔNG TÌM THẤY"))</f>
        <v/>
      </c>
      <c r="E461" s="51">
        <f>IF($C461="","",XLOOKUP($C461,'01_DANH_MUC'!$A$7:$A$206,'01_DANH_MUC'!$C$7:$C$206,"KHÔNG TÌM THẤY"))</f>
        <v/>
      </c>
      <c r="F461" s="57" t="n"/>
      <c r="G461" s="211" t="n"/>
      <c r="H461" s="211" t="n"/>
      <c r="I461" s="212">
        <f>IF($C461="","",XLOOKUP($C461,'01_DANH_MUC'!$A$7:$A$206,'01_DANH_MUC'!$E$7:$E$206,0))</f>
        <v/>
      </c>
      <c r="J461" s="213">
        <f>IF(OR($A461="",$C461="",$G461&lt;=0),"",$A461+$I461)</f>
        <v/>
      </c>
      <c r="K461" s="210">
        <f>IF($A461="","",IF(OR($C461="",$G461&lt;=0,$A461&gt;'03_BAO_CAO'!$E$4),0,MAX(0,$G461-MAX(0,SUMIFS($H$7:$H$506,$C$7:$C$506,$C461,$A$7:$A$506,"&lt;="&amp;'03_BAO_CAO'!$E$4)-XLOOKUP($C461,'01_DANH_MUC'!$A$7:$A$206,'01_DANH_MUC'!$F$7:$F$206,0)-SUMIFS($G$7:G460,$C$7:C460,$C461,$A$7:A460,"&lt;="&amp;'03_BAO_CAO'!$E$4)))))</f>
        <v/>
      </c>
      <c r="L461" s="212">
        <f>IF($A461="","",IF(OR($K461&lt;=0,$J461=""),0,MAX(0,'03_BAO_CAO'!$E$4-$J461)))</f>
        <v/>
      </c>
      <c r="M461" s="51">
        <f>IF($A461="","",IF($K461&lt;=0,"Đã thanh toán",IF($J461="","Thiếu ngày đến hạn",IF($J461&gt;='03_BAO_CAO'!$E$4,"Chưa đến hạn",IF($L461&lt;=30,"1-30 ngày",IF($L461&lt;=60,"31-60 ngày",IF($L461&lt;=90,"61-90 ngày","Trên 90 ngày")))))))</f>
        <v/>
      </c>
      <c r="N461" s="51">
        <f>IF($A461="","",IF(OR($B461="",$C461=""),"THIẾU THÔNG TIN",IF(AND($G461&gt;0,$H461&gt;0),"KHÔNG NHẬP ĐỒNG THỜI TĂNG/GIẢM",IF(AND($G461&lt;=0,$H461&lt;=0),"CHƯA NHẬP SỐ TIỀN",IF($D461="KHÔNG TÌM THẤY","MÃ KHÔNG HỢP LỆ",IF(AND($G461&gt;0,$J461=""),"THIẾU NGÀY ĐẾN HẠN","OK"))))))</f>
        <v/>
      </c>
    </row>
    <row r="462">
      <c r="A462" s="209" t="n"/>
      <c r="B462" s="47" t="n"/>
      <c r="C462" s="47" t="n"/>
      <c r="D462" s="51">
        <f>IF($C462="","",XLOOKUP($C462,'01_DANH_MUC'!$A$7:$A$206,'01_DANH_MUC'!$B$7:$B$206,"KHÔNG TÌM THẤY"))</f>
        <v/>
      </c>
      <c r="E462" s="51">
        <f>IF($C462="","",XLOOKUP($C462,'01_DANH_MUC'!$A$7:$A$206,'01_DANH_MUC'!$C$7:$C$206,"KHÔNG TÌM THẤY"))</f>
        <v/>
      </c>
      <c r="F462" s="57" t="n"/>
      <c r="G462" s="211" t="n"/>
      <c r="H462" s="211" t="n"/>
      <c r="I462" s="212">
        <f>IF($C462="","",XLOOKUP($C462,'01_DANH_MUC'!$A$7:$A$206,'01_DANH_MUC'!$E$7:$E$206,0))</f>
        <v/>
      </c>
      <c r="J462" s="213">
        <f>IF(OR($A462="",$C462="",$G462&lt;=0),"",$A462+$I462)</f>
        <v/>
      </c>
      <c r="K462" s="210">
        <f>IF($A462="","",IF(OR($C462="",$G462&lt;=0,$A462&gt;'03_BAO_CAO'!$E$4),0,MAX(0,$G462-MAX(0,SUMIFS($H$7:$H$506,$C$7:$C$506,$C462,$A$7:$A$506,"&lt;="&amp;'03_BAO_CAO'!$E$4)-XLOOKUP($C462,'01_DANH_MUC'!$A$7:$A$206,'01_DANH_MUC'!$F$7:$F$206,0)-SUMIFS($G$7:G461,$C$7:C461,$C462,$A$7:A461,"&lt;="&amp;'03_BAO_CAO'!$E$4)))))</f>
        <v/>
      </c>
      <c r="L462" s="212">
        <f>IF($A462="","",IF(OR($K462&lt;=0,$J462=""),0,MAX(0,'03_BAO_CAO'!$E$4-$J462)))</f>
        <v/>
      </c>
      <c r="M462" s="51">
        <f>IF($A462="","",IF($K462&lt;=0,"Đã thanh toán",IF($J462="","Thiếu ngày đến hạn",IF($J462&gt;='03_BAO_CAO'!$E$4,"Chưa đến hạn",IF($L462&lt;=30,"1-30 ngày",IF($L462&lt;=60,"31-60 ngày",IF($L462&lt;=90,"61-90 ngày","Trên 90 ngày")))))))</f>
        <v/>
      </c>
      <c r="N462" s="51">
        <f>IF($A462="","",IF(OR($B462="",$C462=""),"THIẾU THÔNG TIN",IF(AND($G462&gt;0,$H462&gt;0),"KHÔNG NHẬP ĐỒNG THỜI TĂNG/GIẢM",IF(AND($G462&lt;=0,$H462&lt;=0),"CHƯA NHẬP SỐ TIỀN",IF($D462="KHÔNG TÌM THẤY","MÃ KHÔNG HỢP LỆ",IF(AND($G462&gt;0,$J462=""),"THIẾU NGÀY ĐẾN HẠN","OK"))))))</f>
        <v/>
      </c>
    </row>
    <row r="463">
      <c r="A463" s="209" t="n"/>
      <c r="B463" s="47" t="n"/>
      <c r="C463" s="47" t="n"/>
      <c r="D463" s="51">
        <f>IF($C463="","",XLOOKUP($C463,'01_DANH_MUC'!$A$7:$A$206,'01_DANH_MUC'!$B$7:$B$206,"KHÔNG TÌM THẤY"))</f>
        <v/>
      </c>
      <c r="E463" s="51">
        <f>IF($C463="","",XLOOKUP($C463,'01_DANH_MUC'!$A$7:$A$206,'01_DANH_MUC'!$C$7:$C$206,"KHÔNG TÌM THẤY"))</f>
        <v/>
      </c>
      <c r="F463" s="57" t="n"/>
      <c r="G463" s="211" t="n"/>
      <c r="H463" s="211" t="n"/>
      <c r="I463" s="212">
        <f>IF($C463="","",XLOOKUP($C463,'01_DANH_MUC'!$A$7:$A$206,'01_DANH_MUC'!$E$7:$E$206,0))</f>
        <v/>
      </c>
      <c r="J463" s="213">
        <f>IF(OR($A463="",$C463="",$G463&lt;=0),"",$A463+$I463)</f>
        <v/>
      </c>
      <c r="K463" s="210">
        <f>IF($A463="","",IF(OR($C463="",$G463&lt;=0,$A463&gt;'03_BAO_CAO'!$E$4),0,MAX(0,$G463-MAX(0,SUMIFS($H$7:$H$506,$C$7:$C$506,$C463,$A$7:$A$506,"&lt;="&amp;'03_BAO_CAO'!$E$4)-XLOOKUP($C463,'01_DANH_MUC'!$A$7:$A$206,'01_DANH_MUC'!$F$7:$F$206,0)-SUMIFS($G$7:G462,$C$7:C462,$C463,$A$7:A462,"&lt;="&amp;'03_BAO_CAO'!$E$4)))))</f>
        <v/>
      </c>
      <c r="L463" s="212">
        <f>IF($A463="","",IF(OR($K463&lt;=0,$J463=""),0,MAX(0,'03_BAO_CAO'!$E$4-$J463)))</f>
        <v/>
      </c>
      <c r="M463" s="51">
        <f>IF($A463="","",IF($K463&lt;=0,"Đã thanh toán",IF($J463="","Thiếu ngày đến hạn",IF($J463&gt;='03_BAO_CAO'!$E$4,"Chưa đến hạn",IF($L463&lt;=30,"1-30 ngày",IF($L463&lt;=60,"31-60 ngày",IF($L463&lt;=90,"61-90 ngày","Trên 90 ngày")))))))</f>
        <v/>
      </c>
      <c r="N463" s="51">
        <f>IF($A463="","",IF(OR($B463="",$C463=""),"THIẾU THÔNG TIN",IF(AND($G463&gt;0,$H463&gt;0),"KHÔNG NHẬP ĐỒNG THỜI TĂNG/GIẢM",IF(AND($G463&lt;=0,$H463&lt;=0),"CHƯA NHẬP SỐ TIỀN",IF($D463="KHÔNG TÌM THẤY","MÃ KHÔNG HỢP LỆ",IF(AND($G463&gt;0,$J463=""),"THIẾU NGÀY ĐẾN HẠN","OK"))))))</f>
        <v/>
      </c>
    </row>
    <row r="464">
      <c r="A464" s="209" t="n"/>
      <c r="B464" s="47" t="n"/>
      <c r="C464" s="47" t="n"/>
      <c r="D464" s="51">
        <f>IF($C464="","",XLOOKUP($C464,'01_DANH_MUC'!$A$7:$A$206,'01_DANH_MUC'!$B$7:$B$206,"KHÔNG TÌM THẤY"))</f>
        <v/>
      </c>
      <c r="E464" s="51">
        <f>IF($C464="","",XLOOKUP($C464,'01_DANH_MUC'!$A$7:$A$206,'01_DANH_MUC'!$C$7:$C$206,"KHÔNG TÌM THẤY"))</f>
        <v/>
      </c>
      <c r="F464" s="57" t="n"/>
      <c r="G464" s="211" t="n"/>
      <c r="H464" s="211" t="n"/>
      <c r="I464" s="212">
        <f>IF($C464="","",XLOOKUP($C464,'01_DANH_MUC'!$A$7:$A$206,'01_DANH_MUC'!$E$7:$E$206,0))</f>
        <v/>
      </c>
      <c r="J464" s="213">
        <f>IF(OR($A464="",$C464="",$G464&lt;=0),"",$A464+$I464)</f>
        <v/>
      </c>
      <c r="K464" s="210">
        <f>IF($A464="","",IF(OR($C464="",$G464&lt;=0,$A464&gt;'03_BAO_CAO'!$E$4),0,MAX(0,$G464-MAX(0,SUMIFS($H$7:$H$506,$C$7:$C$506,$C464,$A$7:$A$506,"&lt;="&amp;'03_BAO_CAO'!$E$4)-XLOOKUP($C464,'01_DANH_MUC'!$A$7:$A$206,'01_DANH_MUC'!$F$7:$F$206,0)-SUMIFS($G$7:G463,$C$7:C463,$C464,$A$7:A463,"&lt;="&amp;'03_BAO_CAO'!$E$4)))))</f>
        <v/>
      </c>
      <c r="L464" s="212">
        <f>IF($A464="","",IF(OR($K464&lt;=0,$J464=""),0,MAX(0,'03_BAO_CAO'!$E$4-$J464)))</f>
        <v/>
      </c>
      <c r="M464" s="51">
        <f>IF($A464="","",IF($K464&lt;=0,"Đã thanh toán",IF($J464="","Thiếu ngày đến hạn",IF($J464&gt;='03_BAO_CAO'!$E$4,"Chưa đến hạn",IF($L464&lt;=30,"1-30 ngày",IF($L464&lt;=60,"31-60 ngày",IF($L464&lt;=90,"61-90 ngày","Trên 90 ngày")))))))</f>
        <v/>
      </c>
      <c r="N464" s="51">
        <f>IF($A464="","",IF(OR($B464="",$C464=""),"THIẾU THÔNG TIN",IF(AND($G464&gt;0,$H464&gt;0),"KHÔNG NHẬP ĐỒNG THỜI TĂNG/GIẢM",IF(AND($G464&lt;=0,$H464&lt;=0),"CHƯA NHẬP SỐ TIỀN",IF($D464="KHÔNG TÌM THẤY","MÃ KHÔNG HỢP LỆ",IF(AND($G464&gt;0,$J464=""),"THIẾU NGÀY ĐẾN HẠN","OK"))))))</f>
        <v/>
      </c>
    </row>
    <row r="465">
      <c r="A465" s="209" t="n"/>
      <c r="B465" s="47" t="n"/>
      <c r="C465" s="47" t="n"/>
      <c r="D465" s="51">
        <f>IF($C465="","",XLOOKUP($C465,'01_DANH_MUC'!$A$7:$A$206,'01_DANH_MUC'!$B$7:$B$206,"KHÔNG TÌM THẤY"))</f>
        <v/>
      </c>
      <c r="E465" s="51">
        <f>IF($C465="","",XLOOKUP($C465,'01_DANH_MUC'!$A$7:$A$206,'01_DANH_MUC'!$C$7:$C$206,"KHÔNG TÌM THẤY"))</f>
        <v/>
      </c>
      <c r="F465" s="57" t="n"/>
      <c r="G465" s="211" t="n"/>
      <c r="H465" s="211" t="n"/>
      <c r="I465" s="212">
        <f>IF($C465="","",XLOOKUP($C465,'01_DANH_MUC'!$A$7:$A$206,'01_DANH_MUC'!$E$7:$E$206,0))</f>
        <v/>
      </c>
      <c r="J465" s="213">
        <f>IF(OR($A465="",$C465="",$G465&lt;=0),"",$A465+$I465)</f>
        <v/>
      </c>
      <c r="K465" s="210">
        <f>IF($A465="","",IF(OR($C465="",$G465&lt;=0,$A465&gt;'03_BAO_CAO'!$E$4),0,MAX(0,$G465-MAX(0,SUMIFS($H$7:$H$506,$C$7:$C$506,$C465,$A$7:$A$506,"&lt;="&amp;'03_BAO_CAO'!$E$4)-XLOOKUP($C465,'01_DANH_MUC'!$A$7:$A$206,'01_DANH_MUC'!$F$7:$F$206,0)-SUMIFS($G$7:G464,$C$7:C464,$C465,$A$7:A464,"&lt;="&amp;'03_BAO_CAO'!$E$4)))))</f>
        <v/>
      </c>
      <c r="L465" s="212">
        <f>IF($A465="","",IF(OR($K465&lt;=0,$J465=""),0,MAX(0,'03_BAO_CAO'!$E$4-$J465)))</f>
        <v/>
      </c>
      <c r="M465" s="51">
        <f>IF($A465="","",IF($K465&lt;=0,"Đã thanh toán",IF($J465="","Thiếu ngày đến hạn",IF($J465&gt;='03_BAO_CAO'!$E$4,"Chưa đến hạn",IF($L465&lt;=30,"1-30 ngày",IF($L465&lt;=60,"31-60 ngày",IF($L465&lt;=90,"61-90 ngày","Trên 90 ngày")))))))</f>
        <v/>
      </c>
      <c r="N465" s="51">
        <f>IF($A465="","",IF(OR($B465="",$C465=""),"THIẾU THÔNG TIN",IF(AND($G465&gt;0,$H465&gt;0),"KHÔNG NHẬP ĐỒNG THỜI TĂNG/GIẢM",IF(AND($G465&lt;=0,$H465&lt;=0),"CHƯA NHẬP SỐ TIỀN",IF($D465="KHÔNG TÌM THẤY","MÃ KHÔNG HỢP LỆ",IF(AND($G465&gt;0,$J465=""),"THIẾU NGÀY ĐẾN HẠN","OK"))))))</f>
        <v/>
      </c>
    </row>
    <row r="466">
      <c r="A466" s="209" t="n"/>
      <c r="B466" s="47" t="n"/>
      <c r="C466" s="47" t="n"/>
      <c r="D466" s="51">
        <f>IF($C466="","",XLOOKUP($C466,'01_DANH_MUC'!$A$7:$A$206,'01_DANH_MUC'!$B$7:$B$206,"KHÔNG TÌM THẤY"))</f>
        <v/>
      </c>
      <c r="E466" s="51">
        <f>IF($C466="","",XLOOKUP($C466,'01_DANH_MUC'!$A$7:$A$206,'01_DANH_MUC'!$C$7:$C$206,"KHÔNG TÌM THẤY"))</f>
        <v/>
      </c>
      <c r="F466" s="57" t="n"/>
      <c r="G466" s="211" t="n"/>
      <c r="H466" s="211" t="n"/>
      <c r="I466" s="212">
        <f>IF($C466="","",XLOOKUP($C466,'01_DANH_MUC'!$A$7:$A$206,'01_DANH_MUC'!$E$7:$E$206,0))</f>
        <v/>
      </c>
      <c r="J466" s="213">
        <f>IF(OR($A466="",$C466="",$G466&lt;=0),"",$A466+$I466)</f>
        <v/>
      </c>
      <c r="K466" s="210">
        <f>IF($A466="","",IF(OR($C466="",$G466&lt;=0,$A466&gt;'03_BAO_CAO'!$E$4),0,MAX(0,$G466-MAX(0,SUMIFS($H$7:$H$506,$C$7:$C$506,$C466,$A$7:$A$506,"&lt;="&amp;'03_BAO_CAO'!$E$4)-XLOOKUP($C466,'01_DANH_MUC'!$A$7:$A$206,'01_DANH_MUC'!$F$7:$F$206,0)-SUMIFS($G$7:G465,$C$7:C465,$C466,$A$7:A465,"&lt;="&amp;'03_BAO_CAO'!$E$4)))))</f>
        <v/>
      </c>
      <c r="L466" s="212">
        <f>IF($A466="","",IF(OR($K466&lt;=0,$J466=""),0,MAX(0,'03_BAO_CAO'!$E$4-$J466)))</f>
        <v/>
      </c>
      <c r="M466" s="51">
        <f>IF($A466="","",IF($K466&lt;=0,"Đã thanh toán",IF($J466="","Thiếu ngày đến hạn",IF($J466&gt;='03_BAO_CAO'!$E$4,"Chưa đến hạn",IF($L466&lt;=30,"1-30 ngày",IF($L466&lt;=60,"31-60 ngày",IF($L466&lt;=90,"61-90 ngày","Trên 90 ngày")))))))</f>
        <v/>
      </c>
      <c r="N466" s="51">
        <f>IF($A466="","",IF(OR($B466="",$C466=""),"THIẾU THÔNG TIN",IF(AND($G466&gt;0,$H466&gt;0),"KHÔNG NHẬP ĐỒNG THỜI TĂNG/GIẢM",IF(AND($G466&lt;=0,$H466&lt;=0),"CHƯA NHẬP SỐ TIỀN",IF($D466="KHÔNG TÌM THẤY","MÃ KHÔNG HỢP LỆ",IF(AND($G466&gt;0,$J466=""),"THIẾU NGÀY ĐẾN HẠN","OK"))))))</f>
        <v/>
      </c>
    </row>
    <row r="467">
      <c r="A467" s="209" t="n"/>
      <c r="B467" s="47" t="n"/>
      <c r="C467" s="47" t="n"/>
      <c r="D467" s="51">
        <f>IF($C467="","",XLOOKUP($C467,'01_DANH_MUC'!$A$7:$A$206,'01_DANH_MUC'!$B$7:$B$206,"KHÔNG TÌM THẤY"))</f>
        <v/>
      </c>
      <c r="E467" s="51">
        <f>IF($C467="","",XLOOKUP($C467,'01_DANH_MUC'!$A$7:$A$206,'01_DANH_MUC'!$C$7:$C$206,"KHÔNG TÌM THẤY"))</f>
        <v/>
      </c>
      <c r="F467" s="57" t="n"/>
      <c r="G467" s="211" t="n"/>
      <c r="H467" s="211" t="n"/>
      <c r="I467" s="212">
        <f>IF($C467="","",XLOOKUP($C467,'01_DANH_MUC'!$A$7:$A$206,'01_DANH_MUC'!$E$7:$E$206,0))</f>
        <v/>
      </c>
      <c r="J467" s="213">
        <f>IF(OR($A467="",$C467="",$G467&lt;=0),"",$A467+$I467)</f>
        <v/>
      </c>
      <c r="K467" s="210">
        <f>IF($A467="","",IF(OR($C467="",$G467&lt;=0,$A467&gt;'03_BAO_CAO'!$E$4),0,MAX(0,$G467-MAX(0,SUMIFS($H$7:$H$506,$C$7:$C$506,$C467,$A$7:$A$506,"&lt;="&amp;'03_BAO_CAO'!$E$4)-XLOOKUP($C467,'01_DANH_MUC'!$A$7:$A$206,'01_DANH_MUC'!$F$7:$F$206,0)-SUMIFS($G$7:G466,$C$7:C466,$C467,$A$7:A466,"&lt;="&amp;'03_BAO_CAO'!$E$4)))))</f>
        <v/>
      </c>
      <c r="L467" s="212">
        <f>IF($A467="","",IF(OR($K467&lt;=0,$J467=""),0,MAX(0,'03_BAO_CAO'!$E$4-$J467)))</f>
        <v/>
      </c>
      <c r="M467" s="51">
        <f>IF($A467="","",IF($K467&lt;=0,"Đã thanh toán",IF($J467="","Thiếu ngày đến hạn",IF($J467&gt;='03_BAO_CAO'!$E$4,"Chưa đến hạn",IF($L467&lt;=30,"1-30 ngày",IF($L467&lt;=60,"31-60 ngày",IF($L467&lt;=90,"61-90 ngày","Trên 90 ngày")))))))</f>
        <v/>
      </c>
      <c r="N467" s="51">
        <f>IF($A467="","",IF(OR($B467="",$C467=""),"THIẾU THÔNG TIN",IF(AND($G467&gt;0,$H467&gt;0),"KHÔNG NHẬP ĐỒNG THỜI TĂNG/GIẢM",IF(AND($G467&lt;=0,$H467&lt;=0),"CHƯA NHẬP SỐ TIỀN",IF($D467="KHÔNG TÌM THẤY","MÃ KHÔNG HỢP LỆ",IF(AND($G467&gt;0,$J467=""),"THIẾU NGÀY ĐẾN HẠN","OK"))))))</f>
        <v/>
      </c>
    </row>
    <row r="468">
      <c r="A468" s="209" t="n"/>
      <c r="B468" s="47" t="n"/>
      <c r="C468" s="47" t="n"/>
      <c r="D468" s="51">
        <f>IF($C468="","",XLOOKUP($C468,'01_DANH_MUC'!$A$7:$A$206,'01_DANH_MUC'!$B$7:$B$206,"KHÔNG TÌM THẤY"))</f>
        <v/>
      </c>
      <c r="E468" s="51">
        <f>IF($C468="","",XLOOKUP($C468,'01_DANH_MUC'!$A$7:$A$206,'01_DANH_MUC'!$C$7:$C$206,"KHÔNG TÌM THẤY"))</f>
        <v/>
      </c>
      <c r="F468" s="57" t="n"/>
      <c r="G468" s="211" t="n"/>
      <c r="H468" s="211" t="n"/>
      <c r="I468" s="212">
        <f>IF($C468="","",XLOOKUP($C468,'01_DANH_MUC'!$A$7:$A$206,'01_DANH_MUC'!$E$7:$E$206,0))</f>
        <v/>
      </c>
      <c r="J468" s="213">
        <f>IF(OR($A468="",$C468="",$G468&lt;=0),"",$A468+$I468)</f>
        <v/>
      </c>
      <c r="K468" s="210">
        <f>IF($A468="","",IF(OR($C468="",$G468&lt;=0,$A468&gt;'03_BAO_CAO'!$E$4),0,MAX(0,$G468-MAX(0,SUMIFS($H$7:$H$506,$C$7:$C$506,$C468,$A$7:$A$506,"&lt;="&amp;'03_BAO_CAO'!$E$4)-XLOOKUP($C468,'01_DANH_MUC'!$A$7:$A$206,'01_DANH_MUC'!$F$7:$F$206,0)-SUMIFS($G$7:G467,$C$7:C467,$C468,$A$7:A467,"&lt;="&amp;'03_BAO_CAO'!$E$4)))))</f>
        <v/>
      </c>
      <c r="L468" s="212">
        <f>IF($A468="","",IF(OR($K468&lt;=0,$J468=""),0,MAX(0,'03_BAO_CAO'!$E$4-$J468)))</f>
        <v/>
      </c>
      <c r="M468" s="51">
        <f>IF($A468="","",IF($K468&lt;=0,"Đã thanh toán",IF($J468="","Thiếu ngày đến hạn",IF($J468&gt;='03_BAO_CAO'!$E$4,"Chưa đến hạn",IF($L468&lt;=30,"1-30 ngày",IF($L468&lt;=60,"31-60 ngày",IF($L468&lt;=90,"61-90 ngày","Trên 90 ngày")))))))</f>
        <v/>
      </c>
      <c r="N468" s="51">
        <f>IF($A468="","",IF(OR($B468="",$C468=""),"THIẾU THÔNG TIN",IF(AND($G468&gt;0,$H468&gt;0),"KHÔNG NHẬP ĐỒNG THỜI TĂNG/GIẢM",IF(AND($G468&lt;=0,$H468&lt;=0),"CHƯA NHẬP SỐ TIỀN",IF($D468="KHÔNG TÌM THẤY","MÃ KHÔNG HỢP LỆ",IF(AND($G468&gt;0,$J468=""),"THIẾU NGÀY ĐẾN HẠN","OK"))))))</f>
        <v/>
      </c>
    </row>
    <row r="469">
      <c r="A469" s="209" t="n"/>
      <c r="B469" s="47" t="n"/>
      <c r="C469" s="47" t="n"/>
      <c r="D469" s="51">
        <f>IF($C469="","",XLOOKUP($C469,'01_DANH_MUC'!$A$7:$A$206,'01_DANH_MUC'!$B$7:$B$206,"KHÔNG TÌM THẤY"))</f>
        <v/>
      </c>
      <c r="E469" s="51">
        <f>IF($C469="","",XLOOKUP($C469,'01_DANH_MUC'!$A$7:$A$206,'01_DANH_MUC'!$C$7:$C$206,"KHÔNG TÌM THẤY"))</f>
        <v/>
      </c>
      <c r="F469" s="57" t="n"/>
      <c r="G469" s="211" t="n"/>
      <c r="H469" s="211" t="n"/>
      <c r="I469" s="212">
        <f>IF($C469="","",XLOOKUP($C469,'01_DANH_MUC'!$A$7:$A$206,'01_DANH_MUC'!$E$7:$E$206,0))</f>
        <v/>
      </c>
      <c r="J469" s="213">
        <f>IF(OR($A469="",$C469="",$G469&lt;=0),"",$A469+$I469)</f>
        <v/>
      </c>
      <c r="K469" s="210">
        <f>IF($A469="","",IF(OR($C469="",$G469&lt;=0,$A469&gt;'03_BAO_CAO'!$E$4),0,MAX(0,$G469-MAX(0,SUMIFS($H$7:$H$506,$C$7:$C$506,$C469,$A$7:$A$506,"&lt;="&amp;'03_BAO_CAO'!$E$4)-XLOOKUP($C469,'01_DANH_MUC'!$A$7:$A$206,'01_DANH_MUC'!$F$7:$F$206,0)-SUMIFS($G$7:G468,$C$7:C468,$C469,$A$7:A468,"&lt;="&amp;'03_BAO_CAO'!$E$4)))))</f>
        <v/>
      </c>
      <c r="L469" s="212">
        <f>IF($A469="","",IF(OR($K469&lt;=0,$J469=""),0,MAX(0,'03_BAO_CAO'!$E$4-$J469)))</f>
        <v/>
      </c>
      <c r="M469" s="51">
        <f>IF($A469="","",IF($K469&lt;=0,"Đã thanh toán",IF($J469="","Thiếu ngày đến hạn",IF($J469&gt;='03_BAO_CAO'!$E$4,"Chưa đến hạn",IF($L469&lt;=30,"1-30 ngày",IF($L469&lt;=60,"31-60 ngày",IF($L469&lt;=90,"61-90 ngày","Trên 90 ngày")))))))</f>
        <v/>
      </c>
      <c r="N469" s="51">
        <f>IF($A469="","",IF(OR($B469="",$C469=""),"THIẾU THÔNG TIN",IF(AND($G469&gt;0,$H469&gt;0),"KHÔNG NHẬP ĐỒNG THỜI TĂNG/GIẢM",IF(AND($G469&lt;=0,$H469&lt;=0),"CHƯA NHẬP SỐ TIỀN",IF($D469="KHÔNG TÌM THẤY","MÃ KHÔNG HỢP LỆ",IF(AND($G469&gt;0,$J469=""),"THIẾU NGÀY ĐẾN HẠN","OK"))))))</f>
        <v/>
      </c>
    </row>
    <row r="470">
      <c r="A470" s="209" t="n"/>
      <c r="B470" s="47" t="n"/>
      <c r="C470" s="47" t="n"/>
      <c r="D470" s="51">
        <f>IF($C470="","",XLOOKUP($C470,'01_DANH_MUC'!$A$7:$A$206,'01_DANH_MUC'!$B$7:$B$206,"KHÔNG TÌM THẤY"))</f>
        <v/>
      </c>
      <c r="E470" s="51">
        <f>IF($C470="","",XLOOKUP($C470,'01_DANH_MUC'!$A$7:$A$206,'01_DANH_MUC'!$C$7:$C$206,"KHÔNG TÌM THẤY"))</f>
        <v/>
      </c>
      <c r="F470" s="57" t="n"/>
      <c r="G470" s="211" t="n"/>
      <c r="H470" s="211" t="n"/>
      <c r="I470" s="212">
        <f>IF($C470="","",XLOOKUP($C470,'01_DANH_MUC'!$A$7:$A$206,'01_DANH_MUC'!$E$7:$E$206,0))</f>
        <v/>
      </c>
      <c r="J470" s="213">
        <f>IF(OR($A470="",$C470="",$G470&lt;=0),"",$A470+$I470)</f>
        <v/>
      </c>
      <c r="K470" s="210">
        <f>IF($A470="","",IF(OR($C470="",$G470&lt;=0,$A470&gt;'03_BAO_CAO'!$E$4),0,MAX(0,$G470-MAX(0,SUMIFS($H$7:$H$506,$C$7:$C$506,$C470,$A$7:$A$506,"&lt;="&amp;'03_BAO_CAO'!$E$4)-XLOOKUP($C470,'01_DANH_MUC'!$A$7:$A$206,'01_DANH_MUC'!$F$7:$F$206,0)-SUMIFS($G$7:G469,$C$7:C469,$C470,$A$7:A469,"&lt;="&amp;'03_BAO_CAO'!$E$4)))))</f>
        <v/>
      </c>
      <c r="L470" s="212">
        <f>IF($A470="","",IF(OR($K470&lt;=0,$J470=""),0,MAX(0,'03_BAO_CAO'!$E$4-$J470)))</f>
        <v/>
      </c>
      <c r="M470" s="51">
        <f>IF($A470="","",IF($K470&lt;=0,"Đã thanh toán",IF($J470="","Thiếu ngày đến hạn",IF($J470&gt;='03_BAO_CAO'!$E$4,"Chưa đến hạn",IF($L470&lt;=30,"1-30 ngày",IF($L470&lt;=60,"31-60 ngày",IF($L470&lt;=90,"61-90 ngày","Trên 90 ngày")))))))</f>
        <v/>
      </c>
      <c r="N470" s="51">
        <f>IF($A470="","",IF(OR($B470="",$C470=""),"THIẾU THÔNG TIN",IF(AND($G470&gt;0,$H470&gt;0),"KHÔNG NHẬP ĐỒNG THỜI TĂNG/GIẢM",IF(AND($G470&lt;=0,$H470&lt;=0),"CHƯA NHẬP SỐ TIỀN",IF($D470="KHÔNG TÌM THẤY","MÃ KHÔNG HỢP LỆ",IF(AND($G470&gt;0,$J470=""),"THIẾU NGÀY ĐẾN HẠN","OK"))))))</f>
        <v/>
      </c>
    </row>
    <row r="471">
      <c r="A471" s="209" t="n"/>
      <c r="B471" s="47" t="n"/>
      <c r="C471" s="47" t="n"/>
      <c r="D471" s="51">
        <f>IF($C471="","",XLOOKUP($C471,'01_DANH_MUC'!$A$7:$A$206,'01_DANH_MUC'!$B$7:$B$206,"KHÔNG TÌM THẤY"))</f>
        <v/>
      </c>
      <c r="E471" s="51">
        <f>IF($C471="","",XLOOKUP($C471,'01_DANH_MUC'!$A$7:$A$206,'01_DANH_MUC'!$C$7:$C$206,"KHÔNG TÌM THẤY"))</f>
        <v/>
      </c>
      <c r="F471" s="57" t="n"/>
      <c r="G471" s="211" t="n"/>
      <c r="H471" s="211" t="n"/>
      <c r="I471" s="212">
        <f>IF($C471="","",XLOOKUP($C471,'01_DANH_MUC'!$A$7:$A$206,'01_DANH_MUC'!$E$7:$E$206,0))</f>
        <v/>
      </c>
      <c r="J471" s="213">
        <f>IF(OR($A471="",$C471="",$G471&lt;=0),"",$A471+$I471)</f>
        <v/>
      </c>
      <c r="K471" s="210">
        <f>IF($A471="","",IF(OR($C471="",$G471&lt;=0,$A471&gt;'03_BAO_CAO'!$E$4),0,MAX(0,$G471-MAX(0,SUMIFS($H$7:$H$506,$C$7:$C$506,$C471,$A$7:$A$506,"&lt;="&amp;'03_BAO_CAO'!$E$4)-XLOOKUP($C471,'01_DANH_MUC'!$A$7:$A$206,'01_DANH_MUC'!$F$7:$F$206,0)-SUMIFS($G$7:G470,$C$7:C470,$C471,$A$7:A470,"&lt;="&amp;'03_BAO_CAO'!$E$4)))))</f>
        <v/>
      </c>
      <c r="L471" s="212">
        <f>IF($A471="","",IF(OR($K471&lt;=0,$J471=""),0,MAX(0,'03_BAO_CAO'!$E$4-$J471)))</f>
        <v/>
      </c>
      <c r="M471" s="51">
        <f>IF($A471="","",IF($K471&lt;=0,"Đã thanh toán",IF($J471="","Thiếu ngày đến hạn",IF($J471&gt;='03_BAO_CAO'!$E$4,"Chưa đến hạn",IF($L471&lt;=30,"1-30 ngày",IF($L471&lt;=60,"31-60 ngày",IF($L471&lt;=90,"61-90 ngày","Trên 90 ngày")))))))</f>
        <v/>
      </c>
      <c r="N471" s="51">
        <f>IF($A471="","",IF(OR($B471="",$C471=""),"THIẾU THÔNG TIN",IF(AND($G471&gt;0,$H471&gt;0),"KHÔNG NHẬP ĐỒNG THỜI TĂNG/GIẢM",IF(AND($G471&lt;=0,$H471&lt;=0),"CHƯA NHẬP SỐ TIỀN",IF($D471="KHÔNG TÌM THẤY","MÃ KHÔNG HỢP LỆ",IF(AND($G471&gt;0,$J471=""),"THIẾU NGÀY ĐẾN HẠN","OK"))))))</f>
        <v/>
      </c>
    </row>
    <row r="472">
      <c r="A472" s="209" t="n"/>
      <c r="B472" s="47" t="n"/>
      <c r="C472" s="47" t="n"/>
      <c r="D472" s="51">
        <f>IF($C472="","",XLOOKUP($C472,'01_DANH_MUC'!$A$7:$A$206,'01_DANH_MUC'!$B$7:$B$206,"KHÔNG TÌM THẤY"))</f>
        <v/>
      </c>
      <c r="E472" s="51">
        <f>IF($C472="","",XLOOKUP($C472,'01_DANH_MUC'!$A$7:$A$206,'01_DANH_MUC'!$C$7:$C$206,"KHÔNG TÌM THẤY"))</f>
        <v/>
      </c>
      <c r="F472" s="57" t="n"/>
      <c r="G472" s="211" t="n"/>
      <c r="H472" s="211" t="n"/>
      <c r="I472" s="212">
        <f>IF($C472="","",XLOOKUP($C472,'01_DANH_MUC'!$A$7:$A$206,'01_DANH_MUC'!$E$7:$E$206,0))</f>
        <v/>
      </c>
      <c r="J472" s="213">
        <f>IF(OR($A472="",$C472="",$G472&lt;=0),"",$A472+$I472)</f>
        <v/>
      </c>
      <c r="K472" s="210">
        <f>IF($A472="","",IF(OR($C472="",$G472&lt;=0,$A472&gt;'03_BAO_CAO'!$E$4),0,MAX(0,$G472-MAX(0,SUMIFS($H$7:$H$506,$C$7:$C$506,$C472,$A$7:$A$506,"&lt;="&amp;'03_BAO_CAO'!$E$4)-XLOOKUP($C472,'01_DANH_MUC'!$A$7:$A$206,'01_DANH_MUC'!$F$7:$F$206,0)-SUMIFS($G$7:G471,$C$7:C471,$C472,$A$7:A471,"&lt;="&amp;'03_BAO_CAO'!$E$4)))))</f>
        <v/>
      </c>
      <c r="L472" s="212">
        <f>IF($A472="","",IF(OR($K472&lt;=0,$J472=""),0,MAX(0,'03_BAO_CAO'!$E$4-$J472)))</f>
        <v/>
      </c>
      <c r="M472" s="51">
        <f>IF($A472="","",IF($K472&lt;=0,"Đã thanh toán",IF($J472="","Thiếu ngày đến hạn",IF($J472&gt;='03_BAO_CAO'!$E$4,"Chưa đến hạn",IF($L472&lt;=30,"1-30 ngày",IF($L472&lt;=60,"31-60 ngày",IF($L472&lt;=90,"61-90 ngày","Trên 90 ngày")))))))</f>
        <v/>
      </c>
      <c r="N472" s="51">
        <f>IF($A472="","",IF(OR($B472="",$C472=""),"THIẾU THÔNG TIN",IF(AND($G472&gt;0,$H472&gt;0),"KHÔNG NHẬP ĐỒNG THỜI TĂNG/GIẢM",IF(AND($G472&lt;=0,$H472&lt;=0),"CHƯA NHẬP SỐ TIỀN",IF($D472="KHÔNG TÌM THẤY","MÃ KHÔNG HỢP LỆ",IF(AND($G472&gt;0,$J472=""),"THIẾU NGÀY ĐẾN HẠN","OK"))))))</f>
        <v/>
      </c>
    </row>
    <row r="473">
      <c r="A473" s="209" t="n"/>
      <c r="B473" s="47" t="n"/>
      <c r="C473" s="47" t="n"/>
      <c r="D473" s="51">
        <f>IF($C473="","",XLOOKUP($C473,'01_DANH_MUC'!$A$7:$A$206,'01_DANH_MUC'!$B$7:$B$206,"KHÔNG TÌM THẤY"))</f>
        <v/>
      </c>
      <c r="E473" s="51">
        <f>IF($C473="","",XLOOKUP($C473,'01_DANH_MUC'!$A$7:$A$206,'01_DANH_MUC'!$C$7:$C$206,"KHÔNG TÌM THẤY"))</f>
        <v/>
      </c>
      <c r="F473" s="57" t="n"/>
      <c r="G473" s="211" t="n"/>
      <c r="H473" s="211" t="n"/>
      <c r="I473" s="212">
        <f>IF($C473="","",XLOOKUP($C473,'01_DANH_MUC'!$A$7:$A$206,'01_DANH_MUC'!$E$7:$E$206,0))</f>
        <v/>
      </c>
      <c r="J473" s="213">
        <f>IF(OR($A473="",$C473="",$G473&lt;=0),"",$A473+$I473)</f>
        <v/>
      </c>
      <c r="K473" s="210">
        <f>IF($A473="","",IF(OR($C473="",$G473&lt;=0,$A473&gt;'03_BAO_CAO'!$E$4),0,MAX(0,$G473-MAX(0,SUMIFS($H$7:$H$506,$C$7:$C$506,$C473,$A$7:$A$506,"&lt;="&amp;'03_BAO_CAO'!$E$4)-XLOOKUP($C473,'01_DANH_MUC'!$A$7:$A$206,'01_DANH_MUC'!$F$7:$F$206,0)-SUMIFS($G$7:G472,$C$7:C472,$C473,$A$7:A472,"&lt;="&amp;'03_BAO_CAO'!$E$4)))))</f>
        <v/>
      </c>
      <c r="L473" s="212">
        <f>IF($A473="","",IF(OR($K473&lt;=0,$J473=""),0,MAX(0,'03_BAO_CAO'!$E$4-$J473)))</f>
        <v/>
      </c>
      <c r="M473" s="51">
        <f>IF($A473="","",IF($K473&lt;=0,"Đã thanh toán",IF($J473="","Thiếu ngày đến hạn",IF($J473&gt;='03_BAO_CAO'!$E$4,"Chưa đến hạn",IF($L473&lt;=30,"1-30 ngày",IF($L473&lt;=60,"31-60 ngày",IF($L473&lt;=90,"61-90 ngày","Trên 90 ngày")))))))</f>
        <v/>
      </c>
      <c r="N473" s="51">
        <f>IF($A473="","",IF(OR($B473="",$C473=""),"THIẾU THÔNG TIN",IF(AND($G473&gt;0,$H473&gt;0),"KHÔNG NHẬP ĐỒNG THỜI TĂNG/GIẢM",IF(AND($G473&lt;=0,$H473&lt;=0),"CHƯA NHẬP SỐ TIỀN",IF($D473="KHÔNG TÌM THẤY","MÃ KHÔNG HỢP LỆ",IF(AND($G473&gt;0,$J473=""),"THIẾU NGÀY ĐẾN HẠN","OK"))))))</f>
        <v/>
      </c>
    </row>
    <row r="474">
      <c r="A474" s="209" t="n"/>
      <c r="B474" s="47" t="n"/>
      <c r="C474" s="47" t="n"/>
      <c r="D474" s="51">
        <f>IF($C474="","",XLOOKUP($C474,'01_DANH_MUC'!$A$7:$A$206,'01_DANH_MUC'!$B$7:$B$206,"KHÔNG TÌM THẤY"))</f>
        <v/>
      </c>
      <c r="E474" s="51">
        <f>IF($C474="","",XLOOKUP($C474,'01_DANH_MUC'!$A$7:$A$206,'01_DANH_MUC'!$C$7:$C$206,"KHÔNG TÌM THẤY"))</f>
        <v/>
      </c>
      <c r="F474" s="57" t="n"/>
      <c r="G474" s="211" t="n"/>
      <c r="H474" s="211" t="n"/>
      <c r="I474" s="212">
        <f>IF($C474="","",XLOOKUP($C474,'01_DANH_MUC'!$A$7:$A$206,'01_DANH_MUC'!$E$7:$E$206,0))</f>
        <v/>
      </c>
      <c r="J474" s="213">
        <f>IF(OR($A474="",$C474="",$G474&lt;=0),"",$A474+$I474)</f>
        <v/>
      </c>
      <c r="K474" s="210">
        <f>IF($A474="","",IF(OR($C474="",$G474&lt;=0,$A474&gt;'03_BAO_CAO'!$E$4),0,MAX(0,$G474-MAX(0,SUMIFS($H$7:$H$506,$C$7:$C$506,$C474,$A$7:$A$506,"&lt;="&amp;'03_BAO_CAO'!$E$4)-XLOOKUP($C474,'01_DANH_MUC'!$A$7:$A$206,'01_DANH_MUC'!$F$7:$F$206,0)-SUMIFS($G$7:G473,$C$7:C473,$C474,$A$7:A473,"&lt;="&amp;'03_BAO_CAO'!$E$4)))))</f>
        <v/>
      </c>
      <c r="L474" s="212">
        <f>IF($A474="","",IF(OR($K474&lt;=0,$J474=""),0,MAX(0,'03_BAO_CAO'!$E$4-$J474)))</f>
        <v/>
      </c>
      <c r="M474" s="51">
        <f>IF($A474="","",IF($K474&lt;=0,"Đã thanh toán",IF($J474="","Thiếu ngày đến hạn",IF($J474&gt;='03_BAO_CAO'!$E$4,"Chưa đến hạn",IF($L474&lt;=30,"1-30 ngày",IF($L474&lt;=60,"31-60 ngày",IF($L474&lt;=90,"61-90 ngày","Trên 90 ngày")))))))</f>
        <v/>
      </c>
      <c r="N474" s="51">
        <f>IF($A474="","",IF(OR($B474="",$C474=""),"THIẾU THÔNG TIN",IF(AND($G474&gt;0,$H474&gt;0),"KHÔNG NHẬP ĐỒNG THỜI TĂNG/GIẢM",IF(AND($G474&lt;=0,$H474&lt;=0),"CHƯA NHẬP SỐ TIỀN",IF($D474="KHÔNG TÌM THẤY","MÃ KHÔNG HỢP LỆ",IF(AND($G474&gt;0,$J474=""),"THIẾU NGÀY ĐẾN HẠN","OK"))))))</f>
        <v/>
      </c>
    </row>
    <row r="475">
      <c r="A475" s="209" t="n"/>
      <c r="B475" s="47" t="n"/>
      <c r="C475" s="47" t="n"/>
      <c r="D475" s="51">
        <f>IF($C475="","",XLOOKUP($C475,'01_DANH_MUC'!$A$7:$A$206,'01_DANH_MUC'!$B$7:$B$206,"KHÔNG TÌM THẤY"))</f>
        <v/>
      </c>
      <c r="E475" s="51">
        <f>IF($C475="","",XLOOKUP($C475,'01_DANH_MUC'!$A$7:$A$206,'01_DANH_MUC'!$C$7:$C$206,"KHÔNG TÌM THẤY"))</f>
        <v/>
      </c>
      <c r="F475" s="57" t="n"/>
      <c r="G475" s="211" t="n"/>
      <c r="H475" s="211" t="n"/>
      <c r="I475" s="212">
        <f>IF($C475="","",XLOOKUP($C475,'01_DANH_MUC'!$A$7:$A$206,'01_DANH_MUC'!$E$7:$E$206,0))</f>
        <v/>
      </c>
      <c r="J475" s="213">
        <f>IF(OR($A475="",$C475="",$G475&lt;=0),"",$A475+$I475)</f>
        <v/>
      </c>
      <c r="K475" s="210">
        <f>IF($A475="","",IF(OR($C475="",$G475&lt;=0,$A475&gt;'03_BAO_CAO'!$E$4),0,MAX(0,$G475-MAX(0,SUMIFS($H$7:$H$506,$C$7:$C$506,$C475,$A$7:$A$506,"&lt;="&amp;'03_BAO_CAO'!$E$4)-XLOOKUP($C475,'01_DANH_MUC'!$A$7:$A$206,'01_DANH_MUC'!$F$7:$F$206,0)-SUMIFS($G$7:G474,$C$7:C474,$C475,$A$7:A474,"&lt;="&amp;'03_BAO_CAO'!$E$4)))))</f>
        <v/>
      </c>
      <c r="L475" s="212">
        <f>IF($A475="","",IF(OR($K475&lt;=0,$J475=""),0,MAX(0,'03_BAO_CAO'!$E$4-$J475)))</f>
        <v/>
      </c>
      <c r="M475" s="51">
        <f>IF($A475="","",IF($K475&lt;=0,"Đã thanh toán",IF($J475="","Thiếu ngày đến hạn",IF($J475&gt;='03_BAO_CAO'!$E$4,"Chưa đến hạn",IF($L475&lt;=30,"1-30 ngày",IF($L475&lt;=60,"31-60 ngày",IF($L475&lt;=90,"61-90 ngày","Trên 90 ngày")))))))</f>
        <v/>
      </c>
      <c r="N475" s="51">
        <f>IF($A475="","",IF(OR($B475="",$C475=""),"THIẾU THÔNG TIN",IF(AND($G475&gt;0,$H475&gt;0),"KHÔNG NHẬP ĐỒNG THỜI TĂNG/GIẢM",IF(AND($G475&lt;=0,$H475&lt;=0),"CHƯA NHẬP SỐ TIỀN",IF($D475="KHÔNG TÌM THẤY","MÃ KHÔNG HỢP LỆ",IF(AND($G475&gt;0,$J475=""),"THIẾU NGÀY ĐẾN HẠN","OK"))))))</f>
        <v/>
      </c>
    </row>
    <row r="476">
      <c r="A476" s="209" t="n"/>
      <c r="B476" s="47" t="n"/>
      <c r="C476" s="47" t="n"/>
      <c r="D476" s="51">
        <f>IF($C476="","",XLOOKUP($C476,'01_DANH_MUC'!$A$7:$A$206,'01_DANH_MUC'!$B$7:$B$206,"KHÔNG TÌM THẤY"))</f>
        <v/>
      </c>
      <c r="E476" s="51">
        <f>IF($C476="","",XLOOKUP($C476,'01_DANH_MUC'!$A$7:$A$206,'01_DANH_MUC'!$C$7:$C$206,"KHÔNG TÌM THẤY"))</f>
        <v/>
      </c>
      <c r="F476" s="57" t="n"/>
      <c r="G476" s="211" t="n"/>
      <c r="H476" s="211" t="n"/>
      <c r="I476" s="212">
        <f>IF($C476="","",XLOOKUP($C476,'01_DANH_MUC'!$A$7:$A$206,'01_DANH_MUC'!$E$7:$E$206,0))</f>
        <v/>
      </c>
      <c r="J476" s="213">
        <f>IF(OR($A476="",$C476="",$G476&lt;=0),"",$A476+$I476)</f>
        <v/>
      </c>
      <c r="K476" s="210">
        <f>IF($A476="","",IF(OR($C476="",$G476&lt;=0,$A476&gt;'03_BAO_CAO'!$E$4),0,MAX(0,$G476-MAX(0,SUMIFS($H$7:$H$506,$C$7:$C$506,$C476,$A$7:$A$506,"&lt;="&amp;'03_BAO_CAO'!$E$4)-XLOOKUP($C476,'01_DANH_MUC'!$A$7:$A$206,'01_DANH_MUC'!$F$7:$F$206,0)-SUMIFS($G$7:G475,$C$7:C475,$C476,$A$7:A475,"&lt;="&amp;'03_BAO_CAO'!$E$4)))))</f>
        <v/>
      </c>
      <c r="L476" s="212">
        <f>IF($A476="","",IF(OR($K476&lt;=0,$J476=""),0,MAX(0,'03_BAO_CAO'!$E$4-$J476)))</f>
        <v/>
      </c>
      <c r="M476" s="51">
        <f>IF($A476="","",IF($K476&lt;=0,"Đã thanh toán",IF($J476="","Thiếu ngày đến hạn",IF($J476&gt;='03_BAO_CAO'!$E$4,"Chưa đến hạn",IF($L476&lt;=30,"1-30 ngày",IF($L476&lt;=60,"31-60 ngày",IF($L476&lt;=90,"61-90 ngày","Trên 90 ngày")))))))</f>
        <v/>
      </c>
      <c r="N476" s="51">
        <f>IF($A476="","",IF(OR($B476="",$C476=""),"THIẾU THÔNG TIN",IF(AND($G476&gt;0,$H476&gt;0),"KHÔNG NHẬP ĐỒNG THỜI TĂNG/GIẢM",IF(AND($G476&lt;=0,$H476&lt;=0),"CHƯA NHẬP SỐ TIỀN",IF($D476="KHÔNG TÌM THẤY","MÃ KHÔNG HỢP LỆ",IF(AND($G476&gt;0,$J476=""),"THIẾU NGÀY ĐẾN HẠN","OK"))))))</f>
        <v/>
      </c>
    </row>
    <row r="477">
      <c r="A477" s="209" t="n"/>
      <c r="B477" s="47" t="n"/>
      <c r="C477" s="47" t="n"/>
      <c r="D477" s="51">
        <f>IF($C477="","",XLOOKUP($C477,'01_DANH_MUC'!$A$7:$A$206,'01_DANH_MUC'!$B$7:$B$206,"KHÔNG TÌM THẤY"))</f>
        <v/>
      </c>
      <c r="E477" s="51">
        <f>IF($C477="","",XLOOKUP($C477,'01_DANH_MUC'!$A$7:$A$206,'01_DANH_MUC'!$C$7:$C$206,"KHÔNG TÌM THẤY"))</f>
        <v/>
      </c>
      <c r="F477" s="57" t="n"/>
      <c r="G477" s="211" t="n"/>
      <c r="H477" s="211" t="n"/>
      <c r="I477" s="212">
        <f>IF($C477="","",XLOOKUP($C477,'01_DANH_MUC'!$A$7:$A$206,'01_DANH_MUC'!$E$7:$E$206,0))</f>
        <v/>
      </c>
      <c r="J477" s="213">
        <f>IF(OR($A477="",$C477="",$G477&lt;=0),"",$A477+$I477)</f>
        <v/>
      </c>
      <c r="K477" s="210">
        <f>IF($A477="","",IF(OR($C477="",$G477&lt;=0,$A477&gt;'03_BAO_CAO'!$E$4),0,MAX(0,$G477-MAX(0,SUMIFS($H$7:$H$506,$C$7:$C$506,$C477,$A$7:$A$506,"&lt;="&amp;'03_BAO_CAO'!$E$4)-XLOOKUP($C477,'01_DANH_MUC'!$A$7:$A$206,'01_DANH_MUC'!$F$7:$F$206,0)-SUMIFS($G$7:G476,$C$7:C476,$C477,$A$7:A476,"&lt;="&amp;'03_BAO_CAO'!$E$4)))))</f>
        <v/>
      </c>
      <c r="L477" s="212">
        <f>IF($A477="","",IF(OR($K477&lt;=0,$J477=""),0,MAX(0,'03_BAO_CAO'!$E$4-$J477)))</f>
        <v/>
      </c>
      <c r="M477" s="51">
        <f>IF($A477="","",IF($K477&lt;=0,"Đã thanh toán",IF($J477="","Thiếu ngày đến hạn",IF($J477&gt;='03_BAO_CAO'!$E$4,"Chưa đến hạn",IF($L477&lt;=30,"1-30 ngày",IF($L477&lt;=60,"31-60 ngày",IF($L477&lt;=90,"61-90 ngày","Trên 90 ngày")))))))</f>
        <v/>
      </c>
      <c r="N477" s="51">
        <f>IF($A477="","",IF(OR($B477="",$C477=""),"THIẾU THÔNG TIN",IF(AND($G477&gt;0,$H477&gt;0),"KHÔNG NHẬP ĐỒNG THỜI TĂNG/GIẢM",IF(AND($G477&lt;=0,$H477&lt;=0),"CHƯA NHẬP SỐ TIỀN",IF($D477="KHÔNG TÌM THẤY","MÃ KHÔNG HỢP LỆ",IF(AND($G477&gt;0,$J477=""),"THIẾU NGÀY ĐẾN HẠN","OK"))))))</f>
        <v/>
      </c>
    </row>
    <row r="478">
      <c r="A478" s="209" t="n"/>
      <c r="B478" s="47" t="n"/>
      <c r="C478" s="47" t="n"/>
      <c r="D478" s="51">
        <f>IF($C478="","",XLOOKUP($C478,'01_DANH_MUC'!$A$7:$A$206,'01_DANH_MUC'!$B$7:$B$206,"KHÔNG TÌM THẤY"))</f>
        <v/>
      </c>
      <c r="E478" s="51">
        <f>IF($C478="","",XLOOKUP($C478,'01_DANH_MUC'!$A$7:$A$206,'01_DANH_MUC'!$C$7:$C$206,"KHÔNG TÌM THẤY"))</f>
        <v/>
      </c>
      <c r="F478" s="57" t="n"/>
      <c r="G478" s="211" t="n"/>
      <c r="H478" s="211" t="n"/>
      <c r="I478" s="212">
        <f>IF($C478="","",XLOOKUP($C478,'01_DANH_MUC'!$A$7:$A$206,'01_DANH_MUC'!$E$7:$E$206,0))</f>
        <v/>
      </c>
      <c r="J478" s="213">
        <f>IF(OR($A478="",$C478="",$G478&lt;=0),"",$A478+$I478)</f>
        <v/>
      </c>
      <c r="K478" s="210">
        <f>IF($A478="","",IF(OR($C478="",$G478&lt;=0,$A478&gt;'03_BAO_CAO'!$E$4),0,MAX(0,$G478-MAX(0,SUMIFS($H$7:$H$506,$C$7:$C$506,$C478,$A$7:$A$506,"&lt;="&amp;'03_BAO_CAO'!$E$4)-XLOOKUP($C478,'01_DANH_MUC'!$A$7:$A$206,'01_DANH_MUC'!$F$7:$F$206,0)-SUMIFS($G$7:G477,$C$7:C477,$C478,$A$7:A477,"&lt;="&amp;'03_BAO_CAO'!$E$4)))))</f>
        <v/>
      </c>
      <c r="L478" s="212">
        <f>IF($A478="","",IF(OR($K478&lt;=0,$J478=""),0,MAX(0,'03_BAO_CAO'!$E$4-$J478)))</f>
        <v/>
      </c>
      <c r="M478" s="51">
        <f>IF($A478="","",IF($K478&lt;=0,"Đã thanh toán",IF($J478="","Thiếu ngày đến hạn",IF($J478&gt;='03_BAO_CAO'!$E$4,"Chưa đến hạn",IF($L478&lt;=30,"1-30 ngày",IF($L478&lt;=60,"31-60 ngày",IF($L478&lt;=90,"61-90 ngày","Trên 90 ngày")))))))</f>
        <v/>
      </c>
      <c r="N478" s="51">
        <f>IF($A478="","",IF(OR($B478="",$C478=""),"THIẾU THÔNG TIN",IF(AND($G478&gt;0,$H478&gt;0),"KHÔNG NHẬP ĐỒNG THỜI TĂNG/GIẢM",IF(AND($G478&lt;=0,$H478&lt;=0),"CHƯA NHẬP SỐ TIỀN",IF($D478="KHÔNG TÌM THẤY","MÃ KHÔNG HỢP LỆ",IF(AND($G478&gt;0,$J478=""),"THIẾU NGÀY ĐẾN HẠN","OK"))))))</f>
        <v/>
      </c>
    </row>
    <row r="479">
      <c r="A479" s="209" t="n"/>
      <c r="B479" s="47" t="n"/>
      <c r="C479" s="47" t="n"/>
      <c r="D479" s="51">
        <f>IF($C479="","",XLOOKUP($C479,'01_DANH_MUC'!$A$7:$A$206,'01_DANH_MUC'!$B$7:$B$206,"KHÔNG TÌM THẤY"))</f>
        <v/>
      </c>
      <c r="E479" s="51">
        <f>IF($C479="","",XLOOKUP($C479,'01_DANH_MUC'!$A$7:$A$206,'01_DANH_MUC'!$C$7:$C$206,"KHÔNG TÌM THẤY"))</f>
        <v/>
      </c>
      <c r="F479" s="57" t="n"/>
      <c r="G479" s="211" t="n"/>
      <c r="H479" s="211" t="n"/>
      <c r="I479" s="212">
        <f>IF($C479="","",XLOOKUP($C479,'01_DANH_MUC'!$A$7:$A$206,'01_DANH_MUC'!$E$7:$E$206,0))</f>
        <v/>
      </c>
      <c r="J479" s="213">
        <f>IF(OR($A479="",$C479="",$G479&lt;=0),"",$A479+$I479)</f>
        <v/>
      </c>
      <c r="K479" s="210">
        <f>IF($A479="","",IF(OR($C479="",$G479&lt;=0,$A479&gt;'03_BAO_CAO'!$E$4),0,MAX(0,$G479-MAX(0,SUMIFS($H$7:$H$506,$C$7:$C$506,$C479,$A$7:$A$506,"&lt;="&amp;'03_BAO_CAO'!$E$4)-XLOOKUP($C479,'01_DANH_MUC'!$A$7:$A$206,'01_DANH_MUC'!$F$7:$F$206,0)-SUMIFS($G$7:G478,$C$7:C478,$C479,$A$7:A478,"&lt;="&amp;'03_BAO_CAO'!$E$4)))))</f>
        <v/>
      </c>
      <c r="L479" s="212">
        <f>IF($A479="","",IF(OR($K479&lt;=0,$J479=""),0,MAX(0,'03_BAO_CAO'!$E$4-$J479)))</f>
        <v/>
      </c>
      <c r="M479" s="51">
        <f>IF($A479="","",IF($K479&lt;=0,"Đã thanh toán",IF($J479="","Thiếu ngày đến hạn",IF($J479&gt;='03_BAO_CAO'!$E$4,"Chưa đến hạn",IF($L479&lt;=30,"1-30 ngày",IF($L479&lt;=60,"31-60 ngày",IF($L479&lt;=90,"61-90 ngày","Trên 90 ngày")))))))</f>
        <v/>
      </c>
      <c r="N479" s="51">
        <f>IF($A479="","",IF(OR($B479="",$C479=""),"THIẾU THÔNG TIN",IF(AND($G479&gt;0,$H479&gt;0),"KHÔNG NHẬP ĐỒNG THỜI TĂNG/GIẢM",IF(AND($G479&lt;=0,$H479&lt;=0),"CHƯA NHẬP SỐ TIỀN",IF($D479="KHÔNG TÌM THẤY","MÃ KHÔNG HỢP LỆ",IF(AND($G479&gt;0,$J479=""),"THIẾU NGÀY ĐẾN HẠN","OK"))))))</f>
        <v/>
      </c>
    </row>
    <row r="480">
      <c r="A480" s="209" t="n"/>
      <c r="B480" s="47" t="n"/>
      <c r="C480" s="47" t="n"/>
      <c r="D480" s="51">
        <f>IF($C480="","",XLOOKUP($C480,'01_DANH_MUC'!$A$7:$A$206,'01_DANH_MUC'!$B$7:$B$206,"KHÔNG TÌM THẤY"))</f>
        <v/>
      </c>
      <c r="E480" s="51">
        <f>IF($C480="","",XLOOKUP($C480,'01_DANH_MUC'!$A$7:$A$206,'01_DANH_MUC'!$C$7:$C$206,"KHÔNG TÌM THẤY"))</f>
        <v/>
      </c>
      <c r="F480" s="57" t="n"/>
      <c r="G480" s="211" t="n"/>
      <c r="H480" s="211" t="n"/>
      <c r="I480" s="212">
        <f>IF($C480="","",XLOOKUP($C480,'01_DANH_MUC'!$A$7:$A$206,'01_DANH_MUC'!$E$7:$E$206,0))</f>
        <v/>
      </c>
      <c r="J480" s="213">
        <f>IF(OR($A480="",$C480="",$G480&lt;=0),"",$A480+$I480)</f>
        <v/>
      </c>
      <c r="K480" s="210">
        <f>IF($A480="","",IF(OR($C480="",$G480&lt;=0,$A480&gt;'03_BAO_CAO'!$E$4),0,MAX(0,$G480-MAX(0,SUMIFS($H$7:$H$506,$C$7:$C$506,$C480,$A$7:$A$506,"&lt;="&amp;'03_BAO_CAO'!$E$4)-XLOOKUP($C480,'01_DANH_MUC'!$A$7:$A$206,'01_DANH_MUC'!$F$7:$F$206,0)-SUMIFS($G$7:G479,$C$7:C479,$C480,$A$7:A479,"&lt;="&amp;'03_BAO_CAO'!$E$4)))))</f>
        <v/>
      </c>
      <c r="L480" s="212">
        <f>IF($A480="","",IF(OR($K480&lt;=0,$J480=""),0,MAX(0,'03_BAO_CAO'!$E$4-$J480)))</f>
        <v/>
      </c>
      <c r="M480" s="51">
        <f>IF($A480="","",IF($K480&lt;=0,"Đã thanh toán",IF($J480="","Thiếu ngày đến hạn",IF($J480&gt;='03_BAO_CAO'!$E$4,"Chưa đến hạn",IF($L480&lt;=30,"1-30 ngày",IF($L480&lt;=60,"31-60 ngày",IF($L480&lt;=90,"61-90 ngày","Trên 90 ngày")))))))</f>
        <v/>
      </c>
      <c r="N480" s="51">
        <f>IF($A480="","",IF(OR($B480="",$C480=""),"THIẾU THÔNG TIN",IF(AND($G480&gt;0,$H480&gt;0),"KHÔNG NHẬP ĐỒNG THỜI TĂNG/GIẢM",IF(AND($G480&lt;=0,$H480&lt;=0),"CHƯA NHẬP SỐ TIỀN",IF($D480="KHÔNG TÌM THẤY","MÃ KHÔNG HỢP LỆ",IF(AND($G480&gt;0,$J480=""),"THIẾU NGÀY ĐẾN HẠN","OK"))))))</f>
        <v/>
      </c>
    </row>
    <row r="481">
      <c r="A481" s="209" t="n"/>
      <c r="B481" s="47" t="n"/>
      <c r="C481" s="47" t="n"/>
      <c r="D481" s="51">
        <f>IF($C481="","",XLOOKUP($C481,'01_DANH_MUC'!$A$7:$A$206,'01_DANH_MUC'!$B$7:$B$206,"KHÔNG TÌM THẤY"))</f>
        <v/>
      </c>
      <c r="E481" s="51">
        <f>IF($C481="","",XLOOKUP($C481,'01_DANH_MUC'!$A$7:$A$206,'01_DANH_MUC'!$C$7:$C$206,"KHÔNG TÌM THẤY"))</f>
        <v/>
      </c>
      <c r="F481" s="57" t="n"/>
      <c r="G481" s="211" t="n"/>
      <c r="H481" s="211" t="n"/>
      <c r="I481" s="212">
        <f>IF($C481="","",XLOOKUP($C481,'01_DANH_MUC'!$A$7:$A$206,'01_DANH_MUC'!$E$7:$E$206,0))</f>
        <v/>
      </c>
      <c r="J481" s="213">
        <f>IF(OR($A481="",$C481="",$G481&lt;=0),"",$A481+$I481)</f>
        <v/>
      </c>
      <c r="K481" s="210">
        <f>IF($A481="","",IF(OR($C481="",$G481&lt;=0,$A481&gt;'03_BAO_CAO'!$E$4),0,MAX(0,$G481-MAX(0,SUMIFS($H$7:$H$506,$C$7:$C$506,$C481,$A$7:$A$506,"&lt;="&amp;'03_BAO_CAO'!$E$4)-XLOOKUP($C481,'01_DANH_MUC'!$A$7:$A$206,'01_DANH_MUC'!$F$7:$F$206,0)-SUMIFS($G$7:G480,$C$7:C480,$C481,$A$7:A480,"&lt;="&amp;'03_BAO_CAO'!$E$4)))))</f>
        <v/>
      </c>
      <c r="L481" s="212">
        <f>IF($A481="","",IF(OR($K481&lt;=0,$J481=""),0,MAX(0,'03_BAO_CAO'!$E$4-$J481)))</f>
        <v/>
      </c>
      <c r="M481" s="51">
        <f>IF($A481="","",IF($K481&lt;=0,"Đã thanh toán",IF($J481="","Thiếu ngày đến hạn",IF($J481&gt;='03_BAO_CAO'!$E$4,"Chưa đến hạn",IF($L481&lt;=30,"1-30 ngày",IF($L481&lt;=60,"31-60 ngày",IF($L481&lt;=90,"61-90 ngày","Trên 90 ngày")))))))</f>
        <v/>
      </c>
      <c r="N481" s="51">
        <f>IF($A481="","",IF(OR($B481="",$C481=""),"THIẾU THÔNG TIN",IF(AND($G481&gt;0,$H481&gt;0),"KHÔNG NHẬP ĐỒNG THỜI TĂNG/GIẢM",IF(AND($G481&lt;=0,$H481&lt;=0),"CHƯA NHẬP SỐ TIỀN",IF($D481="KHÔNG TÌM THẤY","MÃ KHÔNG HỢP LỆ",IF(AND($G481&gt;0,$J481=""),"THIẾU NGÀY ĐẾN HẠN","OK"))))))</f>
        <v/>
      </c>
    </row>
    <row r="482">
      <c r="A482" s="209" t="n"/>
      <c r="B482" s="47" t="n"/>
      <c r="C482" s="47" t="n"/>
      <c r="D482" s="51">
        <f>IF($C482="","",XLOOKUP($C482,'01_DANH_MUC'!$A$7:$A$206,'01_DANH_MUC'!$B$7:$B$206,"KHÔNG TÌM THẤY"))</f>
        <v/>
      </c>
      <c r="E482" s="51">
        <f>IF($C482="","",XLOOKUP($C482,'01_DANH_MUC'!$A$7:$A$206,'01_DANH_MUC'!$C$7:$C$206,"KHÔNG TÌM THẤY"))</f>
        <v/>
      </c>
      <c r="F482" s="57" t="n"/>
      <c r="G482" s="211" t="n"/>
      <c r="H482" s="211" t="n"/>
      <c r="I482" s="212">
        <f>IF($C482="","",XLOOKUP($C482,'01_DANH_MUC'!$A$7:$A$206,'01_DANH_MUC'!$E$7:$E$206,0))</f>
        <v/>
      </c>
      <c r="J482" s="213">
        <f>IF(OR($A482="",$C482="",$G482&lt;=0),"",$A482+$I482)</f>
        <v/>
      </c>
      <c r="K482" s="210">
        <f>IF($A482="","",IF(OR($C482="",$G482&lt;=0,$A482&gt;'03_BAO_CAO'!$E$4),0,MAX(0,$G482-MAX(0,SUMIFS($H$7:$H$506,$C$7:$C$506,$C482,$A$7:$A$506,"&lt;="&amp;'03_BAO_CAO'!$E$4)-XLOOKUP($C482,'01_DANH_MUC'!$A$7:$A$206,'01_DANH_MUC'!$F$7:$F$206,0)-SUMIFS($G$7:G481,$C$7:C481,$C482,$A$7:A481,"&lt;="&amp;'03_BAO_CAO'!$E$4)))))</f>
        <v/>
      </c>
      <c r="L482" s="212">
        <f>IF($A482="","",IF(OR($K482&lt;=0,$J482=""),0,MAX(0,'03_BAO_CAO'!$E$4-$J482)))</f>
        <v/>
      </c>
      <c r="M482" s="51">
        <f>IF($A482="","",IF($K482&lt;=0,"Đã thanh toán",IF($J482="","Thiếu ngày đến hạn",IF($J482&gt;='03_BAO_CAO'!$E$4,"Chưa đến hạn",IF($L482&lt;=30,"1-30 ngày",IF($L482&lt;=60,"31-60 ngày",IF($L482&lt;=90,"61-90 ngày","Trên 90 ngày")))))))</f>
        <v/>
      </c>
      <c r="N482" s="51">
        <f>IF($A482="","",IF(OR($B482="",$C482=""),"THIẾU THÔNG TIN",IF(AND($G482&gt;0,$H482&gt;0),"KHÔNG NHẬP ĐỒNG THỜI TĂNG/GIẢM",IF(AND($G482&lt;=0,$H482&lt;=0),"CHƯA NHẬP SỐ TIỀN",IF($D482="KHÔNG TÌM THẤY","MÃ KHÔNG HỢP LỆ",IF(AND($G482&gt;0,$J482=""),"THIẾU NGÀY ĐẾN HẠN","OK"))))))</f>
        <v/>
      </c>
    </row>
    <row r="483">
      <c r="A483" s="209" t="n"/>
      <c r="B483" s="47" t="n"/>
      <c r="C483" s="47" t="n"/>
      <c r="D483" s="51">
        <f>IF($C483="","",XLOOKUP($C483,'01_DANH_MUC'!$A$7:$A$206,'01_DANH_MUC'!$B$7:$B$206,"KHÔNG TÌM THẤY"))</f>
        <v/>
      </c>
      <c r="E483" s="51">
        <f>IF($C483="","",XLOOKUP($C483,'01_DANH_MUC'!$A$7:$A$206,'01_DANH_MUC'!$C$7:$C$206,"KHÔNG TÌM THẤY"))</f>
        <v/>
      </c>
      <c r="F483" s="57" t="n"/>
      <c r="G483" s="211" t="n"/>
      <c r="H483" s="211" t="n"/>
      <c r="I483" s="212">
        <f>IF($C483="","",XLOOKUP($C483,'01_DANH_MUC'!$A$7:$A$206,'01_DANH_MUC'!$E$7:$E$206,0))</f>
        <v/>
      </c>
      <c r="J483" s="213">
        <f>IF(OR($A483="",$C483="",$G483&lt;=0),"",$A483+$I483)</f>
        <v/>
      </c>
      <c r="K483" s="210">
        <f>IF($A483="","",IF(OR($C483="",$G483&lt;=0,$A483&gt;'03_BAO_CAO'!$E$4),0,MAX(0,$G483-MAX(0,SUMIFS($H$7:$H$506,$C$7:$C$506,$C483,$A$7:$A$506,"&lt;="&amp;'03_BAO_CAO'!$E$4)-XLOOKUP($C483,'01_DANH_MUC'!$A$7:$A$206,'01_DANH_MUC'!$F$7:$F$206,0)-SUMIFS($G$7:G482,$C$7:C482,$C483,$A$7:A482,"&lt;="&amp;'03_BAO_CAO'!$E$4)))))</f>
        <v/>
      </c>
      <c r="L483" s="212">
        <f>IF($A483="","",IF(OR($K483&lt;=0,$J483=""),0,MAX(0,'03_BAO_CAO'!$E$4-$J483)))</f>
        <v/>
      </c>
      <c r="M483" s="51">
        <f>IF($A483="","",IF($K483&lt;=0,"Đã thanh toán",IF($J483="","Thiếu ngày đến hạn",IF($J483&gt;='03_BAO_CAO'!$E$4,"Chưa đến hạn",IF($L483&lt;=30,"1-30 ngày",IF($L483&lt;=60,"31-60 ngày",IF($L483&lt;=90,"61-90 ngày","Trên 90 ngày")))))))</f>
        <v/>
      </c>
      <c r="N483" s="51">
        <f>IF($A483="","",IF(OR($B483="",$C483=""),"THIẾU THÔNG TIN",IF(AND($G483&gt;0,$H483&gt;0),"KHÔNG NHẬP ĐỒNG THỜI TĂNG/GIẢM",IF(AND($G483&lt;=0,$H483&lt;=0),"CHƯA NHẬP SỐ TIỀN",IF($D483="KHÔNG TÌM THẤY","MÃ KHÔNG HỢP LỆ",IF(AND($G483&gt;0,$J483=""),"THIẾU NGÀY ĐẾN HẠN","OK"))))))</f>
        <v/>
      </c>
    </row>
    <row r="484">
      <c r="A484" s="209" t="n"/>
      <c r="B484" s="47" t="n"/>
      <c r="C484" s="47" t="n"/>
      <c r="D484" s="51">
        <f>IF($C484="","",XLOOKUP($C484,'01_DANH_MUC'!$A$7:$A$206,'01_DANH_MUC'!$B$7:$B$206,"KHÔNG TÌM THẤY"))</f>
        <v/>
      </c>
      <c r="E484" s="51">
        <f>IF($C484="","",XLOOKUP($C484,'01_DANH_MUC'!$A$7:$A$206,'01_DANH_MUC'!$C$7:$C$206,"KHÔNG TÌM THẤY"))</f>
        <v/>
      </c>
      <c r="F484" s="57" t="n"/>
      <c r="G484" s="211" t="n"/>
      <c r="H484" s="211" t="n"/>
      <c r="I484" s="212">
        <f>IF($C484="","",XLOOKUP($C484,'01_DANH_MUC'!$A$7:$A$206,'01_DANH_MUC'!$E$7:$E$206,0))</f>
        <v/>
      </c>
      <c r="J484" s="213">
        <f>IF(OR($A484="",$C484="",$G484&lt;=0),"",$A484+$I484)</f>
        <v/>
      </c>
      <c r="K484" s="210">
        <f>IF($A484="","",IF(OR($C484="",$G484&lt;=0,$A484&gt;'03_BAO_CAO'!$E$4),0,MAX(0,$G484-MAX(0,SUMIFS($H$7:$H$506,$C$7:$C$506,$C484,$A$7:$A$506,"&lt;="&amp;'03_BAO_CAO'!$E$4)-XLOOKUP($C484,'01_DANH_MUC'!$A$7:$A$206,'01_DANH_MUC'!$F$7:$F$206,0)-SUMIFS($G$7:G483,$C$7:C483,$C484,$A$7:A483,"&lt;="&amp;'03_BAO_CAO'!$E$4)))))</f>
        <v/>
      </c>
      <c r="L484" s="212">
        <f>IF($A484="","",IF(OR($K484&lt;=0,$J484=""),0,MAX(0,'03_BAO_CAO'!$E$4-$J484)))</f>
        <v/>
      </c>
      <c r="M484" s="51">
        <f>IF($A484="","",IF($K484&lt;=0,"Đã thanh toán",IF($J484="","Thiếu ngày đến hạn",IF($J484&gt;='03_BAO_CAO'!$E$4,"Chưa đến hạn",IF($L484&lt;=30,"1-30 ngày",IF($L484&lt;=60,"31-60 ngày",IF($L484&lt;=90,"61-90 ngày","Trên 90 ngày")))))))</f>
        <v/>
      </c>
      <c r="N484" s="51">
        <f>IF($A484="","",IF(OR($B484="",$C484=""),"THIẾU THÔNG TIN",IF(AND($G484&gt;0,$H484&gt;0),"KHÔNG NHẬP ĐỒNG THỜI TĂNG/GIẢM",IF(AND($G484&lt;=0,$H484&lt;=0),"CHƯA NHẬP SỐ TIỀN",IF($D484="KHÔNG TÌM THẤY","MÃ KHÔNG HỢP LỆ",IF(AND($G484&gt;0,$J484=""),"THIẾU NGÀY ĐẾN HẠN","OK"))))))</f>
        <v/>
      </c>
    </row>
    <row r="485">
      <c r="A485" s="209" t="n"/>
      <c r="B485" s="47" t="n"/>
      <c r="C485" s="47" t="n"/>
      <c r="D485" s="51">
        <f>IF($C485="","",XLOOKUP($C485,'01_DANH_MUC'!$A$7:$A$206,'01_DANH_MUC'!$B$7:$B$206,"KHÔNG TÌM THẤY"))</f>
        <v/>
      </c>
      <c r="E485" s="51">
        <f>IF($C485="","",XLOOKUP($C485,'01_DANH_MUC'!$A$7:$A$206,'01_DANH_MUC'!$C$7:$C$206,"KHÔNG TÌM THẤY"))</f>
        <v/>
      </c>
      <c r="F485" s="57" t="n"/>
      <c r="G485" s="211" t="n"/>
      <c r="H485" s="211" t="n"/>
      <c r="I485" s="212">
        <f>IF($C485="","",XLOOKUP($C485,'01_DANH_MUC'!$A$7:$A$206,'01_DANH_MUC'!$E$7:$E$206,0))</f>
        <v/>
      </c>
      <c r="J485" s="213">
        <f>IF(OR($A485="",$C485="",$G485&lt;=0),"",$A485+$I485)</f>
        <v/>
      </c>
      <c r="K485" s="210">
        <f>IF($A485="","",IF(OR($C485="",$G485&lt;=0,$A485&gt;'03_BAO_CAO'!$E$4),0,MAX(0,$G485-MAX(0,SUMIFS($H$7:$H$506,$C$7:$C$506,$C485,$A$7:$A$506,"&lt;="&amp;'03_BAO_CAO'!$E$4)-XLOOKUP($C485,'01_DANH_MUC'!$A$7:$A$206,'01_DANH_MUC'!$F$7:$F$206,0)-SUMIFS($G$7:G484,$C$7:C484,$C485,$A$7:A484,"&lt;="&amp;'03_BAO_CAO'!$E$4)))))</f>
        <v/>
      </c>
      <c r="L485" s="212">
        <f>IF($A485="","",IF(OR($K485&lt;=0,$J485=""),0,MAX(0,'03_BAO_CAO'!$E$4-$J485)))</f>
        <v/>
      </c>
      <c r="M485" s="51">
        <f>IF($A485="","",IF($K485&lt;=0,"Đã thanh toán",IF($J485="","Thiếu ngày đến hạn",IF($J485&gt;='03_BAO_CAO'!$E$4,"Chưa đến hạn",IF($L485&lt;=30,"1-30 ngày",IF($L485&lt;=60,"31-60 ngày",IF($L485&lt;=90,"61-90 ngày","Trên 90 ngày")))))))</f>
        <v/>
      </c>
      <c r="N485" s="51">
        <f>IF($A485="","",IF(OR($B485="",$C485=""),"THIẾU THÔNG TIN",IF(AND($G485&gt;0,$H485&gt;0),"KHÔNG NHẬP ĐỒNG THỜI TĂNG/GIẢM",IF(AND($G485&lt;=0,$H485&lt;=0),"CHƯA NHẬP SỐ TIỀN",IF($D485="KHÔNG TÌM THẤY","MÃ KHÔNG HỢP LỆ",IF(AND($G485&gt;0,$J485=""),"THIẾU NGÀY ĐẾN HẠN","OK"))))))</f>
        <v/>
      </c>
    </row>
    <row r="486">
      <c r="A486" s="209" t="n"/>
      <c r="B486" s="47" t="n"/>
      <c r="C486" s="47" t="n"/>
      <c r="D486" s="51">
        <f>IF($C486="","",XLOOKUP($C486,'01_DANH_MUC'!$A$7:$A$206,'01_DANH_MUC'!$B$7:$B$206,"KHÔNG TÌM THẤY"))</f>
        <v/>
      </c>
      <c r="E486" s="51">
        <f>IF($C486="","",XLOOKUP($C486,'01_DANH_MUC'!$A$7:$A$206,'01_DANH_MUC'!$C$7:$C$206,"KHÔNG TÌM THẤY"))</f>
        <v/>
      </c>
      <c r="F486" s="57" t="n"/>
      <c r="G486" s="211" t="n"/>
      <c r="H486" s="211" t="n"/>
      <c r="I486" s="212">
        <f>IF($C486="","",XLOOKUP($C486,'01_DANH_MUC'!$A$7:$A$206,'01_DANH_MUC'!$E$7:$E$206,0))</f>
        <v/>
      </c>
      <c r="J486" s="213">
        <f>IF(OR($A486="",$C486="",$G486&lt;=0),"",$A486+$I486)</f>
        <v/>
      </c>
      <c r="K486" s="210">
        <f>IF($A486="","",IF(OR($C486="",$G486&lt;=0,$A486&gt;'03_BAO_CAO'!$E$4),0,MAX(0,$G486-MAX(0,SUMIFS($H$7:$H$506,$C$7:$C$506,$C486,$A$7:$A$506,"&lt;="&amp;'03_BAO_CAO'!$E$4)-XLOOKUP($C486,'01_DANH_MUC'!$A$7:$A$206,'01_DANH_MUC'!$F$7:$F$206,0)-SUMIFS($G$7:G485,$C$7:C485,$C486,$A$7:A485,"&lt;="&amp;'03_BAO_CAO'!$E$4)))))</f>
        <v/>
      </c>
      <c r="L486" s="212">
        <f>IF($A486="","",IF(OR($K486&lt;=0,$J486=""),0,MAX(0,'03_BAO_CAO'!$E$4-$J486)))</f>
        <v/>
      </c>
      <c r="M486" s="51">
        <f>IF($A486="","",IF($K486&lt;=0,"Đã thanh toán",IF($J486="","Thiếu ngày đến hạn",IF($J486&gt;='03_BAO_CAO'!$E$4,"Chưa đến hạn",IF($L486&lt;=30,"1-30 ngày",IF($L486&lt;=60,"31-60 ngày",IF($L486&lt;=90,"61-90 ngày","Trên 90 ngày")))))))</f>
        <v/>
      </c>
      <c r="N486" s="51">
        <f>IF($A486="","",IF(OR($B486="",$C486=""),"THIẾU THÔNG TIN",IF(AND($G486&gt;0,$H486&gt;0),"KHÔNG NHẬP ĐỒNG THỜI TĂNG/GIẢM",IF(AND($G486&lt;=0,$H486&lt;=0),"CHƯA NHẬP SỐ TIỀN",IF($D486="KHÔNG TÌM THẤY","MÃ KHÔNG HỢP LỆ",IF(AND($G486&gt;0,$J486=""),"THIẾU NGÀY ĐẾN HẠN","OK"))))))</f>
        <v/>
      </c>
    </row>
    <row r="487">
      <c r="A487" s="209" t="n"/>
      <c r="B487" s="47" t="n"/>
      <c r="C487" s="47" t="n"/>
      <c r="D487" s="51">
        <f>IF($C487="","",XLOOKUP($C487,'01_DANH_MUC'!$A$7:$A$206,'01_DANH_MUC'!$B$7:$B$206,"KHÔNG TÌM THẤY"))</f>
        <v/>
      </c>
      <c r="E487" s="51">
        <f>IF($C487="","",XLOOKUP($C487,'01_DANH_MUC'!$A$7:$A$206,'01_DANH_MUC'!$C$7:$C$206,"KHÔNG TÌM THẤY"))</f>
        <v/>
      </c>
      <c r="F487" s="57" t="n"/>
      <c r="G487" s="211" t="n"/>
      <c r="H487" s="211" t="n"/>
      <c r="I487" s="212">
        <f>IF($C487="","",XLOOKUP($C487,'01_DANH_MUC'!$A$7:$A$206,'01_DANH_MUC'!$E$7:$E$206,0))</f>
        <v/>
      </c>
      <c r="J487" s="213">
        <f>IF(OR($A487="",$C487="",$G487&lt;=0),"",$A487+$I487)</f>
        <v/>
      </c>
      <c r="K487" s="210">
        <f>IF($A487="","",IF(OR($C487="",$G487&lt;=0,$A487&gt;'03_BAO_CAO'!$E$4),0,MAX(0,$G487-MAX(0,SUMIFS($H$7:$H$506,$C$7:$C$506,$C487,$A$7:$A$506,"&lt;="&amp;'03_BAO_CAO'!$E$4)-XLOOKUP($C487,'01_DANH_MUC'!$A$7:$A$206,'01_DANH_MUC'!$F$7:$F$206,0)-SUMIFS($G$7:G486,$C$7:C486,$C487,$A$7:A486,"&lt;="&amp;'03_BAO_CAO'!$E$4)))))</f>
        <v/>
      </c>
      <c r="L487" s="212">
        <f>IF($A487="","",IF(OR($K487&lt;=0,$J487=""),0,MAX(0,'03_BAO_CAO'!$E$4-$J487)))</f>
        <v/>
      </c>
      <c r="M487" s="51">
        <f>IF($A487="","",IF($K487&lt;=0,"Đã thanh toán",IF($J487="","Thiếu ngày đến hạn",IF($J487&gt;='03_BAO_CAO'!$E$4,"Chưa đến hạn",IF($L487&lt;=30,"1-30 ngày",IF($L487&lt;=60,"31-60 ngày",IF($L487&lt;=90,"61-90 ngày","Trên 90 ngày")))))))</f>
        <v/>
      </c>
      <c r="N487" s="51">
        <f>IF($A487="","",IF(OR($B487="",$C487=""),"THIẾU THÔNG TIN",IF(AND($G487&gt;0,$H487&gt;0),"KHÔNG NHẬP ĐỒNG THỜI TĂNG/GIẢM",IF(AND($G487&lt;=0,$H487&lt;=0),"CHƯA NHẬP SỐ TIỀN",IF($D487="KHÔNG TÌM THẤY","MÃ KHÔNG HỢP LỆ",IF(AND($G487&gt;0,$J487=""),"THIẾU NGÀY ĐẾN HẠN","OK"))))))</f>
        <v/>
      </c>
    </row>
    <row r="488">
      <c r="A488" s="209" t="n"/>
      <c r="B488" s="47" t="n"/>
      <c r="C488" s="47" t="n"/>
      <c r="D488" s="51">
        <f>IF($C488="","",XLOOKUP($C488,'01_DANH_MUC'!$A$7:$A$206,'01_DANH_MUC'!$B$7:$B$206,"KHÔNG TÌM THẤY"))</f>
        <v/>
      </c>
      <c r="E488" s="51">
        <f>IF($C488="","",XLOOKUP($C488,'01_DANH_MUC'!$A$7:$A$206,'01_DANH_MUC'!$C$7:$C$206,"KHÔNG TÌM THẤY"))</f>
        <v/>
      </c>
      <c r="F488" s="57" t="n"/>
      <c r="G488" s="211" t="n"/>
      <c r="H488" s="211" t="n"/>
      <c r="I488" s="212">
        <f>IF($C488="","",XLOOKUP($C488,'01_DANH_MUC'!$A$7:$A$206,'01_DANH_MUC'!$E$7:$E$206,0))</f>
        <v/>
      </c>
      <c r="J488" s="213">
        <f>IF(OR($A488="",$C488="",$G488&lt;=0),"",$A488+$I488)</f>
        <v/>
      </c>
      <c r="K488" s="210">
        <f>IF($A488="","",IF(OR($C488="",$G488&lt;=0,$A488&gt;'03_BAO_CAO'!$E$4),0,MAX(0,$G488-MAX(0,SUMIFS($H$7:$H$506,$C$7:$C$506,$C488,$A$7:$A$506,"&lt;="&amp;'03_BAO_CAO'!$E$4)-XLOOKUP($C488,'01_DANH_MUC'!$A$7:$A$206,'01_DANH_MUC'!$F$7:$F$206,0)-SUMIFS($G$7:G487,$C$7:C487,$C488,$A$7:A487,"&lt;="&amp;'03_BAO_CAO'!$E$4)))))</f>
        <v/>
      </c>
      <c r="L488" s="212">
        <f>IF($A488="","",IF(OR($K488&lt;=0,$J488=""),0,MAX(0,'03_BAO_CAO'!$E$4-$J488)))</f>
        <v/>
      </c>
      <c r="M488" s="51">
        <f>IF($A488="","",IF($K488&lt;=0,"Đã thanh toán",IF($J488="","Thiếu ngày đến hạn",IF($J488&gt;='03_BAO_CAO'!$E$4,"Chưa đến hạn",IF($L488&lt;=30,"1-30 ngày",IF($L488&lt;=60,"31-60 ngày",IF($L488&lt;=90,"61-90 ngày","Trên 90 ngày")))))))</f>
        <v/>
      </c>
      <c r="N488" s="51">
        <f>IF($A488="","",IF(OR($B488="",$C488=""),"THIẾU THÔNG TIN",IF(AND($G488&gt;0,$H488&gt;0),"KHÔNG NHẬP ĐỒNG THỜI TĂNG/GIẢM",IF(AND($G488&lt;=0,$H488&lt;=0),"CHƯA NHẬP SỐ TIỀN",IF($D488="KHÔNG TÌM THẤY","MÃ KHÔNG HỢP LỆ",IF(AND($G488&gt;0,$J488=""),"THIẾU NGÀY ĐẾN HẠN","OK"))))))</f>
        <v/>
      </c>
    </row>
    <row r="489">
      <c r="A489" s="209" t="n"/>
      <c r="B489" s="47" t="n"/>
      <c r="C489" s="47" t="n"/>
      <c r="D489" s="51">
        <f>IF($C489="","",XLOOKUP($C489,'01_DANH_MUC'!$A$7:$A$206,'01_DANH_MUC'!$B$7:$B$206,"KHÔNG TÌM THẤY"))</f>
        <v/>
      </c>
      <c r="E489" s="51">
        <f>IF($C489="","",XLOOKUP($C489,'01_DANH_MUC'!$A$7:$A$206,'01_DANH_MUC'!$C$7:$C$206,"KHÔNG TÌM THẤY"))</f>
        <v/>
      </c>
      <c r="F489" s="57" t="n"/>
      <c r="G489" s="211" t="n"/>
      <c r="H489" s="211" t="n"/>
      <c r="I489" s="212">
        <f>IF($C489="","",XLOOKUP($C489,'01_DANH_MUC'!$A$7:$A$206,'01_DANH_MUC'!$E$7:$E$206,0))</f>
        <v/>
      </c>
      <c r="J489" s="213">
        <f>IF(OR($A489="",$C489="",$G489&lt;=0),"",$A489+$I489)</f>
        <v/>
      </c>
      <c r="K489" s="210">
        <f>IF($A489="","",IF(OR($C489="",$G489&lt;=0,$A489&gt;'03_BAO_CAO'!$E$4),0,MAX(0,$G489-MAX(0,SUMIFS($H$7:$H$506,$C$7:$C$506,$C489,$A$7:$A$506,"&lt;="&amp;'03_BAO_CAO'!$E$4)-XLOOKUP($C489,'01_DANH_MUC'!$A$7:$A$206,'01_DANH_MUC'!$F$7:$F$206,0)-SUMIFS($G$7:G488,$C$7:C488,$C489,$A$7:A488,"&lt;="&amp;'03_BAO_CAO'!$E$4)))))</f>
        <v/>
      </c>
      <c r="L489" s="212">
        <f>IF($A489="","",IF(OR($K489&lt;=0,$J489=""),0,MAX(0,'03_BAO_CAO'!$E$4-$J489)))</f>
        <v/>
      </c>
      <c r="M489" s="51">
        <f>IF($A489="","",IF($K489&lt;=0,"Đã thanh toán",IF($J489="","Thiếu ngày đến hạn",IF($J489&gt;='03_BAO_CAO'!$E$4,"Chưa đến hạn",IF($L489&lt;=30,"1-30 ngày",IF($L489&lt;=60,"31-60 ngày",IF($L489&lt;=90,"61-90 ngày","Trên 90 ngày")))))))</f>
        <v/>
      </c>
      <c r="N489" s="51">
        <f>IF($A489="","",IF(OR($B489="",$C489=""),"THIẾU THÔNG TIN",IF(AND($G489&gt;0,$H489&gt;0),"KHÔNG NHẬP ĐỒNG THỜI TĂNG/GIẢM",IF(AND($G489&lt;=0,$H489&lt;=0),"CHƯA NHẬP SỐ TIỀN",IF($D489="KHÔNG TÌM THẤY","MÃ KHÔNG HỢP LỆ",IF(AND($G489&gt;0,$J489=""),"THIẾU NGÀY ĐẾN HẠN","OK"))))))</f>
        <v/>
      </c>
    </row>
    <row r="490">
      <c r="A490" s="209" t="n"/>
      <c r="B490" s="47" t="n"/>
      <c r="C490" s="47" t="n"/>
      <c r="D490" s="51">
        <f>IF($C490="","",XLOOKUP($C490,'01_DANH_MUC'!$A$7:$A$206,'01_DANH_MUC'!$B$7:$B$206,"KHÔNG TÌM THẤY"))</f>
        <v/>
      </c>
      <c r="E490" s="51">
        <f>IF($C490="","",XLOOKUP($C490,'01_DANH_MUC'!$A$7:$A$206,'01_DANH_MUC'!$C$7:$C$206,"KHÔNG TÌM THẤY"))</f>
        <v/>
      </c>
      <c r="F490" s="57" t="n"/>
      <c r="G490" s="211" t="n"/>
      <c r="H490" s="211" t="n"/>
      <c r="I490" s="212">
        <f>IF($C490="","",XLOOKUP($C490,'01_DANH_MUC'!$A$7:$A$206,'01_DANH_MUC'!$E$7:$E$206,0))</f>
        <v/>
      </c>
      <c r="J490" s="213">
        <f>IF(OR($A490="",$C490="",$G490&lt;=0),"",$A490+$I490)</f>
        <v/>
      </c>
      <c r="K490" s="210">
        <f>IF($A490="","",IF(OR($C490="",$G490&lt;=0,$A490&gt;'03_BAO_CAO'!$E$4),0,MAX(0,$G490-MAX(0,SUMIFS($H$7:$H$506,$C$7:$C$506,$C490,$A$7:$A$506,"&lt;="&amp;'03_BAO_CAO'!$E$4)-XLOOKUP($C490,'01_DANH_MUC'!$A$7:$A$206,'01_DANH_MUC'!$F$7:$F$206,0)-SUMIFS($G$7:G489,$C$7:C489,$C490,$A$7:A489,"&lt;="&amp;'03_BAO_CAO'!$E$4)))))</f>
        <v/>
      </c>
      <c r="L490" s="212">
        <f>IF($A490="","",IF(OR($K490&lt;=0,$J490=""),0,MAX(0,'03_BAO_CAO'!$E$4-$J490)))</f>
        <v/>
      </c>
      <c r="M490" s="51">
        <f>IF($A490="","",IF($K490&lt;=0,"Đã thanh toán",IF($J490="","Thiếu ngày đến hạn",IF($J490&gt;='03_BAO_CAO'!$E$4,"Chưa đến hạn",IF($L490&lt;=30,"1-30 ngày",IF($L490&lt;=60,"31-60 ngày",IF($L490&lt;=90,"61-90 ngày","Trên 90 ngày")))))))</f>
        <v/>
      </c>
      <c r="N490" s="51">
        <f>IF($A490="","",IF(OR($B490="",$C490=""),"THIẾU THÔNG TIN",IF(AND($G490&gt;0,$H490&gt;0),"KHÔNG NHẬP ĐỒNG THỜI TĂNG/GIẢM",IF(AND($G490&lt;=0,$H490&lt;=0),"CHƯA NHẬP SỐ TIỀN",IF($D490="KHÔNG TÌM THẤY","MÃ KHÔNG HỢP LỆ",IF(AND($G490&gt;0,$J490=""),"THIẾU NGÀY ĐẾN HẠN","OK"))))))</f>
        <v/>
      </c>
    </row>
    <row r="491">
      <c r="A491" s="209" t="n"/>
      <c r="B491" s="47" t="n"/>
      <c r="C491" s="47" t="n"/>
      <c r="D491" s="51">
        <f>IF($C491="","",XLOOKUP($C491,'01_DANH_MUC'!$A$7:$A$206,'01_DANH_MUC'!$B$7:$B$206,"KHÔNG TÌM THẤY"))</f>
        <v/>
      </c>
      <c r="E491" s="51">
        <f>IF($C491="","",XLOOKUP($C491,'01_DANH_MUC'!$A$7:$A$206,'01_DANH_MUC'!$C$7:$C$206,"KHÔNG TÌM THẤY"))</f>
        <v/>
      </c>
      <c r="F491" s="57" t="n"/>
      <c r="G491" s="211" t="n"/>
      <c r="H491" s="211" t="n"/>
      <c r="I491" s="212">
        <f>IF($C491="","",XLOOKUP($C491,'01_DANH_MUC'!$A$7:$A$206,'01_DANH_MUC'!$E$7:$E$206,0))</f>
        <v/>
      </c>
      <c r="J491" s="213">
        <f>IF(OR($A491="",$C491="",$G491&lt;=0),"",$A491+$I491)</f>
        <v/>
      </c>
      <c r="K491" s="210">
        <f>IF($A491="","",IF(OR($C491="",$G491&lt;=0,$A491&gt;'03_BAO_CAO'!$E$4),0,MAX(0,$G491-MAX(0,SUMIFS($H$7:$H$506,$C$7:$C$506,$C491,$A$7:$A$506,"&lt;="&amp;'03_BAO_CAO'!$E$4)-XLOOKUP($C491,'01_DANH_MUC'!$A$7:$A$206,'01_DANH_MUC'!$F$7:$F$206,0)-SUMIFS($G$7:G490,$C$7:C490,$C491,$A$7:A490,"&lt;="&amp;'03_BAO_CAO'!$E$4)))))</f>
        <v/>
      </c>
      <c r="L491" s="212">
        <f>IF($A491="","",IF(OR($K491&lt;=0,$J491=""),0,MAX(0,'03_BAO_CAO'!$E$4-$J491)))</f>
        <v/>
      </c>
      <c r="M491" s="51">
        <f>IF($A491="","",IF($K491&lt;=0,"Đã thanh toán",IF($J491="","Thiếu ngày đến hạn",IF($J491&gt;='03_BAO_CAO'!$E$4,"Chưa đến hạn",IF($L491&lt;=30,"1-30 ngày",IF($L491&lt;=60,"31-60 ngày",IF($L491&lt;=90,"61-90 ngày","Trên 90 ngày")))))))</f>
        <v/>
      </c>
      <c r="N491" s="51">
        <f>IF($A491="","",IF(OR($B491="",$C491=""),"THIẾU THÔNG TIN",IF(AND($G491&gt;0,$H491&gt;0),"KHÔNG NHẬP ĐỒNG THỜI TĂNG/GIẢM",IF(AND($G491&lt;=0,$H491&lt;=0),"CHƯA NHẬP SỐ TIỀN",IF($D491="KHÔNG TÌM THẤY","MÃ KHÔNG HỢP LỆ",IF(AND($G491&gt;0,$J491=""),"THIẾU NGÀY ĐẾN HẠN","OK"))))))</f>
        <v/>
      </c>
    </row>
    <row r="492">
      <c r="A492" s="209" t="n"/>
      <c r="B492" s="47" t="n"/>
      <c r="C492" s="47" t="n"/>
      <c r="D492" s="51">
        <f>IF($C492="","",XLOOKUP($C492,'01_DANH_MUC'!$A$7:$A$206,'01_DANH_MUC'!$B$7:$B$206,"KHÔNG TÌM THẤY"))</f>
        <v/>
      </c>
      <c r="E492" s="51">
        <f>IF($C492="","",XLOOKUP($C492,'01_DANH_MUC'!$A$7:$A$206,'01_DANH_MUC'!$C$7:$C$206,"KHÔNG TÌM THẤY"))</f>
        <v/>
      </c>
      <c r="F492" s="57" t="n"/>
      <c r="G492" s="211" t="n"/>
      <c r="H492" s="211" t="n"/>
      <c r="I492" s="212">
        <f>IF($C492="","",XLOOKUP($C492,'01_DANH_MUC'!$A$7:$A$206,'01_DANH_MUC'!$E$7:$E$206,0))</f>
        <v/>
      </c>
      <c r="J492" s="213">
        <f>IF(OR($A492="",$C492="",$G492&lt;=0),"",$A492+$I492)</f>
        <v/>
      </c>
      <c r="K492" s="210">
        <f>IF($A492="","",IF(OR($C492="",$G492&lt;=0,$A492&gt;'03_BAO_CAO'!$E$4),0,MAX(0,$G492-MAX(0,SUMIFS($H$7:$H$506,$C$7:$C$506,$C492,$A$7:$A$506,"&lt;="&amp;'03_BAO_CAO'!$E$4)-XLOOKUP($C492,'01_DANH_MUC'!$A$7:$A$206,'01_DANH_MUC'!$F$7:$F$206,0)-SUMIFS($G$7:G491,$C$7:C491,$C492,$A$7:A491,"&lt;="&amp;'03_BAO_CAO'!$E$4)))))</f>
        <v/>
      </c>
      <c r="L492" s="212">
        <f>IF($A492="","",IF(OR($K492&lt;=0,$J492=""),0,MAX(0,'03_BAO_CAO'!$E$4-$J492)))</f>
        <v/>
      </c>
      <c r="M492" s="51">
        <f>IF($A492="","",IF($K492&lt;=0,"Đã thanh toán",IF($J492="","Thiếu ngày đến hạn",IF($J492&gt;='03_BAO_CAO'!$E$4,"Chưa đến hạn",IF($L492&lt;=30,"1-30 ngày",IF($L492&lt;=60,"31-60 ngày",IF($L492&lt;=90,"61-90 ngày","Trên 90 ngày")))))))</f>
        <v/>
      </c>
      <c r="N492" s="51">
        <f>IF($A492="","",IF(OR($B492="",$C492=""),"THIẾU THÔNG TIN",IF(AND($G492&gt;0,$H492&gt;0),"KHÔNG NHẬP ĐỒNG THỜI TĂNG/GIẢM",IF(AND($G492&lt;=0,$H492&lt;=0),"CHƯA NHẬP SỐ TIỀN",IF($D492="KHÔNG TÌM THẤY","MÃ KHÔNG HỢP LỆ",IF(AND($G492&gt;0,$J492=""),"THIẾU NGÀY ĐẾN HẠN","OK"))))))</f>
        <v/>
      </c>
    </row>
    <row r="493">
      <c r="A493" s="209" t="n"/>
      <c r="B493" s="47" t="n"/>
      <c r="C493" s="47" t="n"/>
      <c r="D493" s="51">
        <f>IF($C493="","",XLOOKUP($C493,'01_DANH_MUC'!$A$7:$A$206,'01_DANH_MUC'!$B$7:$B$206,"KHÔNG TÌM THẤY"))</f>
        <v/>
      </c>
      <c r="E493" s="51">
        <f>IF($C493="","",XLOOKUP($C493,'01_DANH_MUC'!$A$7:$A$206,'01_DANH_MUC'!$C$7:$C$206,"KHÔNG TÌM THẤY"))</f>
        <v/>
      </c>
      <c r="F493" s="57" t="n"/>
      <c r="G493" s="211" t="n"/>
      <c r="H493" s="211" t="n"/>
      <c r="I493" s="212">
        <f>IF($C493="","",XLOOKUP($C493,'01_DANH_MUC'!$A$7:$A$206,'01_DANH_MUC'!$E$7:$E$206,0))</f>
        <v/>
      </c>
      <c r="J493" s="213">
        <f>IF(OR($A493="",$C493="",$G493&lt;=0),"",$A493+$I493)</f>
        <v/>
      </c>
      <c r="K493" s="210">
        <f>IF($A493="","",IF(OR($C493="",$G493&lt;=0,$A493&gt;'03_BAO_CAO'!$E$4),0,MAX(0,$G493-MAX(0,SUMIFS($H$7:$H$506,$C$7:$C$506,$C493,$A$7:$A$506,"&lt;="&amp;'03_BAO_CAO'!$E$4)-XLOOKUP($C493,'01_DANH_MUC'!$A$7:$A$206,'01_DANH_MUC'!$F$7:$F$206,0)-SUMIFS($G$7:G492,$C$7:C492,$C493,$A$7:A492,"&lt;="&amp;'03_BAO_CAO'!$E$4)))))</f>
        <v/>
      </c>
      <c r="L493" s="212">
        <f>IF($A493="","",IF(OR($K493&lt;=0,$J493=""),0,MAX(0,'03_BAO_CAO'!$E$4-$J493)))</f>
        <v/>
      </c>
      <c r="M493" s="51">
        <f>IF($A493="","",IF($K493&lt;=0,"Đã thanh toán",IF($J493="","Thiếu ngày đến hạn",IF($J493&gt;='03_BAO_CAO'!$E$4,"Chưa đến hạn",IF($L493&lt;=30,"1-30 ngày",IF($L493&lt;=60,"31-60 ngày",IF($L493&lt;=90,"61-90 ngày","Trên 90 ngày")))))))</f>
        <v/>
      </c>
      <c r="N493" s="51">
        <f>IF($A493="","",IF(OR($B493="",$C493=""),"THIẾU THÔNG TIN",IF(AND($G493&gt;0,$H493&gt;0),"KHÔNG NHẬP ĐỒNG THỜI TĂNG/GIẢM",IF(AND($G493&lt;=0,$H493&lt;=0),"CHƯA NHẬP SỐ TIỀN",IF($D493="KHÔNG TÌM THẤY","MÃ KHÔNG HỢP LỆ",IF(AND($G493&gt;0,$J493=""),"THIẾU NGÀY ĐẾN HẠN","OK"))))))</f>
        <v/>
      </c>
    </row>
    <row r="494">
      <c r="A494" s="209" t="n"/>
      <c r="B494" s="47" t="n"/>
      <c r="C494" s="47" t="n"/>
      <c r="D494" s="51">
        <f>IF($C494="","",XLOOKUP($C494,'01_DANH_MUC'!$A$7:$A$206,'01_DANH_MUC'!$B$7:$B$206,"KHÔNG TÌM THẤY"))</f>
        <v/>
      </c>
      <c r="E494" s="51">
        <f>IF($C494="","",XLOOKUP($C494,'01_DANH_MUC'!$A$7:$A$206,'01_DANH_MUC'!$C$7:$C$206,"KHÔNG TÌM THẤY"))</f>
        <v/>
      </c>
      <c r="F494" s="57" t="n"/>
      <c r="G494" s="211" t="n"/>
      <c r="H494" s="211" t="n"/>
      <c r="I494" s="212">
        <f>IF($C494="","",XLOOKUP($C494,'01_DANH_MUC'!$A$7:$A$206,'01_DANH_MUC'!$E$7:$E$206,0))</f>
        <v/>
      </c>
      <c r="J494" s="213">
        <f>IF(OR($A494="",$C494="",$G494&lt;=0),"",$A494+$I494)</f>
        <v/>
      </c>
      <c r="K494" s="210">
        <f>IF($A494="","",IF(OR($C494="",$G494&lt;=0,$A494&gt;'03_BAO_CAO'!$E$4),0,MAX(0,$G494-MAX(0,SUMIFS($H$7:$H$506,$C$7:$C$506,$C494,$A$7:$A$506,"&lt;="&amp;'03_BAO_CAO'!$E$4)-XLOOKUP($C494,'01_DANH_MUC'!$A$7:$A$206,'01_DANH_MUC'!$F$7:$F$206,0)-SUMIFS($G$7:G493,$C$7:C493,$C494,$A$7:A493,"&lt;="&amp;'03_BAO_CAO'!$E$4)))))</f>
        <v/>
      </c>
      <c r="L494" s="212">
        <f>IF($A494="","",IF(OR($K494&lt;=0,$J494=""),0,MAX(0,'03_BAO_CAO'!$E$4-$J494)))</f>
        <v/>
      </c>
      <c r="M494" s="51">
        <f>IF($A494="","",IF($K494&lt;=0,"Đã thanh toán",IF($J494="","Thiếu ngày đến hạn",IF($J494&gt;='03_BAO_CAO'!$E$4,"Chưa đến hạn",IF($L494&lt;=30,"1-30 ngày",IF($L494&lt;=60,"31-60 ngày",IF($L494&lt;=90,"61-90 ngày","Trên 90 ngày")))))))</f>
        <v/>
      </c>
      <c r="N494" s="51">
        <f>IF($A494="","",IF(OR($B494="",$C494=""),"THIẾU THÔNG TIN",IF(AND($G494&gt;0,$H494&gt;0),"KHÔNG NHẬP ĐỒNG THỜI TĂNG/GIẢM",IF(AND($G494&lt;=0,$H494&lt;=0),"CHƯA NHẬP SỐ TIỀN",IF($D494="KHÔNG TÌM THẤY","MÃ KHÔNG HỢP LỆ",IF(AND($G494&gt;0,$J494=""),"THIẾU NGÀY ĐẾN HẠN","OK"))))))</f>
        <v/>
      </c>
    </row>
    <row r="495">
      <c r="A495" s="209" t="n"/>
      <c r="B495" s="47" t="n"/>
      <c r="C495" s="47" t="n"/>
      <c r="D495" s="51">
        <f>IF($C495="","",XLOOKUP($C495,'01_DANH_MUC'!$A$7:$A$206,'01_DANH_MUC'!$B$7:$B$206,"KHÔNG TÌM THẤY"))</f>
        <v/>
      </c>
      <c r="E495" s="51">
        <f>IF($C495="","",XLOOKUP($C495,'01_DANH_MUC'!$A$7:$A$206,'01_DANH_MUC'!$C$7:$C$206,"KHÔNG TÌM THẤY"))</f>
        <v/>
      </c>
      <c r="F495" s="57" t="n"/>
      <c r="G495" s="211" t="n"/>
      <c r="H495" s="211" t="n"/>
      <c r="I495" s="212">
        <f>IF($C495="","",XLOOKUP($C495,'01_DANH_MUC'!$A$7:$A$206,'01_DANH_MUC'!$E$7:$E$206,0))</f>
        <v/>
      </c>
      <c r="J495" s="213">
        <f>IF(OR($A495="",$C495="",$G495&lt;=0),"",$A495+$I495)</f>
        <v/>
      </c>
      <c r="K495" s="210">
        <f>IF($A495="","",IF(OR($C495="",$G495&lt;=0,$A495&gt;'03_BAO_CAO'!$E$4),0,MAX(0,$G495-MAX(0,SUMIFS($H$7:$H$506,$C$7:$C$506,$C495,$A$7:$A$506,"&lt;="&amp;'03_BAO_CAO'!$E$4)-XLOOKUP($C495,'01_DANH_MUC'!$A$7:$A$206,'01_DANH_MUC'!$F$7:$F$206,0)-SUMIFS($G$7:G494,$C$7:C494,$C495,$A$7:A494,"&lt;="&amp;'03_BAO_CAO'!$E$4)))))</f>
        <v/>
      </c>
      <c r="L495" s="212">
        <f>IF($A495="","",IF(OR($K495&lt;=0,$J495=""),0,MAX(0,'03_BAO_CAO'!$E$4-$J495)))</f>
        <v/>
      </c>
      <c r="M495" s="51">
        <f>IF($A495="","",IF($K495&lt;=0,"Đã thanh toán",IF($J495="","Thiếu ngày đến hạn",IF($J495&gt;='03_BAO_CAO'!$E$4,"Chưa đến hạn",IF($L495&lt;=30,"1-30 ngày",IF($L495&lt;=60,"31-60 ngày",IF($L495&lt;=90,"61-90 ngày","Trên 90 ngày")))))))</f>
        <v/>
      </c>
      <c r="N495" s="51">
        <f>IF($A495="","",IF(OR($B495="",$C495=""),"THIẾU THÔNG TIN",IF(AND($G495&gt;0,$H495&gt;0),"KHÔNG NHẬP ĐỒNG THỜI TĂNG/GIẢM",IF(AND($G495&lt;=0,$H495&lt;=0),"CHƯA NHẬP SỐ TIỀN",IF($D495="KHÔNG TÌM THẤY","MÃ KHÔNG HỢP LỆ",IF(AND($G495&gt;0,$J495=""),"THIẾU NGÀY ĐẾN HẠN","OK"))))))</f>
        <v/>
      </c>
    </row>
    <row r="496">
      <c r="A496" s="209" t="n"/>
      <c r="B496" s="47" t="n"/>
      <c r="C496" s="47" t="n"/>
      <c r="D496" s="51">
        <f>IF($C496="","",XLOOKUP($C496,'01_DANH_MUC'!$A$7:$A$206,'01_DANH_MUC'!$B$7:$B$206,"KHÔNG TÌM THẤY"))</f>
        <v/>
      </c>
      <c r="E496" s="51">
        <f>IF($C496="","",XLOOKUP($C496,'01_DANH_MUC'!$A$7:$A$206,'01_DANH_MUC'!$C$7:$C$206,"KHÔNG TÌM THẤY"))</f>
        <v/>
      </c>
      <c r="F496" s="57" t="n"/>
      <c r="G496" s="211" t="n"/>
      <c r="H496" s="211" t="n"/>
      <c r="I496" s="212">
        <f>IF($C496="","",XLOOKUP($C496,'01_DANH_MUC'!$A$7:$A$206,'01_DANH_MUC'!$E$7:$E$206,0))</f>
        <v/>
      </c>
      <c r="J496" s="213">
        <f>IF(OR($A496="",$C496="",$G496&lt;=0),"",$A496+$I496)</f>
        <v/>
      </c>
      <c r="K496" s="210">
        <f>IF($A496="","",IF(OR($C496="",$G496&lt;=0,$A496&gt;'03_BAO_CAO'!$E$4),0,MAX(0,$G496-MAX(0,SUMIFS($H$7:$H$506,$C$7:$C$506,$C496,$A$7:$A$506,"&lt;="&amp;'03_BAO_CAO'!$E$4)-XLOOKUP($C496,'01_DANH_MUC'!$A$7:$A$206,'01_DANH_MUC'!$F$7:$F$206,0)-SUMIFS($G$7:G495,$C$7:C495,$C496,$A$7:A495,"&lt;="&amp;'03_BAO_CAO'!$E$4)))))</f>
        <v/>
      </c>
      <c r="L496" s="212">
        <f>IF($A496="","",IF(OR($K496&lt;=0,$J496=""),0,MAX(0,'03_BAO_CAO'!$E$4-$J496)))</f>
        <v/>
      </c>
      <c r="M496" s="51">
        <f>IF($A496="","",IF($K496&lt;=0,"Đã thanh toán",IF($J496="","Thiếu ngày đến hạn",IF($J496&gt;='03_BAO_CAO'!$E$4,"Chưa đến hạn",IF($L496&lt;=30,"1-30 ngày",IF($L496&lt;=60,"31-60 ngày",IF($L496&lt;=90,"61-90 ngày","Trên 90 ngày")))))))</f>
        <v/>
      </c>
      <c r="N496" s="51">
        <f>IF($A496="","",IF(OR($B496="",$C496=""),"THIẾU THÔNG TIN",IF(AND($G496&gt;0,$H496&gt;0),"KHÔNG NHẬP ĐỒNG THỜI TĂNG/GIẢM",IF(AND($G496&lt;=0,$H496&lt;=0),"CHƯA NHẬP SỐ TIỀN",IF($D496="KHÔNG TÌM THẤY","MÃ KHÔNG HỢP LỆ",IF(AND($G496&gt;0,$J496=""),"THIẾU NGÀY ĐẾN HẠN","OK"))))))</f>
        <v/>
      </c>
    </row>
    <row r="497">
      <c r="A497" s="209" t="n"/>
      <c r="B497" s="47" t="n"/>
      <c r="C497" s="47" t="n"/>
      <c r="D497" s="51">
        <f>IF($C497="","",XLOOKUP($C497,'01_DANH_MUC'!$A$7:$A$206,'01_DANH_MUC'!$B$7:$B$206,"KHÔNG TÌM THẤY"))</f>
        <v/>
      </c>
      <c r="E497" s="51">
        <f>IF($C497="","",XLOOKUP($C497,'01_DANH_MUC'!$A$7:$A$206,'01_DANH_MUC'!$C$7:$C$206,"KHÔNG TÌM THẤY"))</f>
        <v/>
      </c>
      <c r="F497" s="57" t="n"/>
      <c r="G497" s="211" t="n"/>
      <c r="H497" s="211" t="n"/>
      <c r="I497" s="212">
        <f>IF($C497="","",XLOOKUP($C497,'01_DANH_MUC'!$A$7:$A$206,'01_DANH_MUC'!$E$7:$E$206,0))</f>
        <v/>
      </c>
      <c r="J497" s="213">
        <f>IF(OR($A497="",$C497="",$G497&lt;=0),"",$A497+$I497)</f>
        <v/>
      </c>
      <c r="K497" s="210">
        <f>IF($A497="","",IF(OR($C497="",$G497&lt;=0,$A497&gt;'03_BAO_CAO'!$E$4),0,MAX(0,$G497-MAX(0,SUMIFS($H$7:$H$506,$C$7:$C$506,$C497,$A$7:$A$506,"&lt;="&amp;'03_BAO_CAO'!$E$4)-XLOOKUP($C497,'01_DANH_MUC'!$A$7:$A$206,'01_DANH_MUC'!$F$7:$F$206,0)-SUMIFS($G$7:G496,$C$7:C496,$C497,$A$7:A496,"&lt;="&amp;'03_BAO_CAO'!$E$4)))))</f>
        <v/>
      </c>
      <c r="L497" s="212">
        <f>IF($A497="","",IF(OR($K497&lt;=0,$J497=""),0,MAX(0,'03_BAO_CAO'!$E$4-$J497)))</f>
        <v/>
      </c>
      <c r="M497" s="51">
        <f>IF($A497="","",IF($K497&lt;=0,"Đã thanh toán",IF($J497="","Thiếu ngày đến hạn",IF($J497&gt;='03_BAO_CAO'!$E$4,"Chưa đến hạn",IF($L497&lt;=30,"1-30 ngày",IF($L497&lt;=60,"31-60 ngày",IF($L497&lt;=90,"61-90 ngày","Trên 90 ngày")))))))</f>
        <v/>
      </c>
      <c r="N497" s="51">
        <f>IF($A497="","",IF(OR($B497="",$C497=""),"THIẾU THÔNG TIN",IF(AND($G497&gt;0,$H497&gt;0),"KHÔNG NHẬP ĐỒNG THỜI TĂNG/GIẢM",IF(AND($G497&lt;=0,$H497&lt;=0),"CHƯA NHẬP SỐ TIỀN",IF($D497="KHÔNG TÌM THẤY","MÃ KHÔNG HỢP LỆ",IF(AND($G497&gt;0,$J497=""),"THIẾU NGÀY ĐẾN HẠN","OK"))))))</f>
        <v/>
      </c>
    </row>
    <row r="498">
      <c r="A498" s="209" t="n"/>
      <c r="B498" s="47" t="n"/>
      <c r="C498" s="47" t="n"/>
      <c r="D498" s="51">
        <f>IF($C498="","",XLOOKUP($C498,'01_DANH_MUC'!$A$7:$A$206,'01_DANH_MUC'!$B$7:$B$206,"KHÔNG TÌM THẤY"))</f>
        <v/>
      </c>
      <c r="E498" s="51">
        <f>IF($C498="","",XLOOKUP($C498,'01_DANH_MUC'!$A$7:$A$206,'01_DANH_MUC'!$C$7:$C$206,"KHÔNG TÌM THẤY"))</f>
        <v/>
      </c>
      <c r="F498" s="57" t="n"/>
      <c r="G498" s="211" t="n"/>
      <c r="H498" s="211" t="n"/>
      <c r="I498" s="212">
        <f>IF($C498="","",XLOOKUP($C498,'01_DANH_MUC'!$A$7:$A$206,'01_DANH_MUC'!$E$7:$E$206,0))</f>
        <v/>
      </c>
      <c r="J498" s="213">
        <f>IF(OR($A498="",$C498="",$G498&lt;=0),"",$A498+$I498)</f>
        <v/>
      </c>
      <c r="K498" s="210">
        <f>IF($A498="","",IF(OR($C498="",$G498&lt;=0,$A498&gt;'03_BAO_CAO'!$E$4),0,MAX(0,$G498-MAX(0,SUMIFS($H$7:$H$506,$C$7:$C$506,$C498,$A$7:$A$506,"&lt;="&amp;'03_BAO_CAO'!$E$4)-XLOOKUP($C498,'01_DANH_MUC'!$A$7:$A$206,'01_DANH_MUC'!$F$7:$F$206,0)-SUMIFS($G$7:G497,$C$7:C497,$C498,$A$7:A497,"&lt;="&amp;'03_BAO_CAO'!$E$4)))))</f>
        <v/>
      </c>
      <c r="L498" s="212">
        <f>IF($A498="","",IF(OR($K498&lt;=0,$J498=""),0,MAX(0,'03_BAO_CAO'!$E$4-$J498)))</f>
        <v/>
      </c>
      <c r="M498" s="51">
        <f>IF($A498="","",IF($K498&lt;=0,"Đã thanh toán",IF($J498="","Thiếu ngày đến hạn",IF($J498&gt;='03_BAO_CAO'!$E$4,"Chưa đến hạn",IF($L498&lt;=30,"1-30 ngày",IF($L498&lt;=60,"31-60 ngày",IF($L498&lt;=90,"61-90 ngày","Trên 90 ngày")))))))</f>
        <v/>
      </c>
      <c r="N498" s="51">
        <f>IF($A498="","",IF(OR($B498="",$C498=""),"THIẾU THÔNG TIN",IF(AND($G498&gt;0,$H498&gt;0),"KHÔNG NHẬP ĐỒNG THỜI TĂNG/GIẢM",IF(AND($G498&lt;=0,$H498&lt;=0),"CHƯA NHẬP SỐ TIỀN",IF($D498="KHÔNG TÌM THẤY","MÃ KHÔNG HỢP LỆ",IF(AND($G498&gt;0,$J498=""),"THIẾU NGÀY ĐẾN HẠN","OK"))))))</f>
        <v/>
      </c>
    </row>
    <row r="499">
      <c r="A499" s="209" t="n"/>
      <c r="B499" s="47" t="n"/>
      <c r="C499" s="47" t="n"/>
      <c r="D499" s="51">
        <f>IF($C499="","",XLOOKUP($C499,'01_DANH_MUC'!$A$7:$A$206,'01_DANH_MUC'!$B$7:$B$206,"KHÔNG TÌM THẤY"))</f>
        <v/>
      </c>
      <c r="E499" s="51">
        <f>IF($C499="","",XLOOKUP($C499,'01_DANH_MUC'!$A$7:$A$206,'01_DANH_MUC'!$C$7:$C$206,"KHÔNG TÌM THẤY"))</f>
        <v/>
      </c>
      <c r="F499" s="57" t="n"/>
      <c r="G499" s="211" t="n"/>
      <c r="H499" s="211" t="n"/>
      <c r="I499" s="212">
        <f>IF($C499="","",XLOOKUP($C499,'01_DANH_MUC'!$A$7:$A$206,'01_DANH_MUC'!$E$7:$E$206,0))</f>
        <v/>
      </c>
      <c r="J499" s="213">
        <f>IF(OR($A499="",$C499="",$G499&lt;=0),"",$A499+$I499)</f>
        <v/>
      </c>
      <c r="K499" s="210">
        <f>IF($A499="","",IF(OR($C499="",$G499&lt;=0,$A499&gt;'03_BAO_CAO'!$E$4),0,MAX(0,$G499-MAX(0,SUMIFS($H$7:$H$506,$C$7:$C$506,$C499,$A$7:$A$506,"&lt;="&amp;'03_BAO_CAO'!$E$4)-XLOOKUP($C499,'01_DANH_MUC'!$A$7:$A$206,'01_DANH_MUC'!$F$7:$F$206,0)-SUMIFS($G$7:G498,$C$7:C498,$C499,$A$7:A498,"&lt;="&amp;'03_BAO_CAO'!$E$4)))))</f>
        <v/>
      </c>
      <c r="L499" s="212">
        <f>IF($A499="","",IF(OR($K499&lt;=0,$J499=""),0,MAX(0,'03_BAO_CAO'!$E$4-$J499)))</f>
        <v/>
      </c>
      <c r="M499" s="51">
        <f>IF($A499="","",IF($K499&lt;=0,"Đã thanh toán",IF($J499="","Thiếu ngày đến hạn",IF($J499&gt;='03_BAO_CAO'!$E$4,"Chưa đến hạn",IF($L499&lt;=30,"1-30 ngày",IF($L499&lt;=60,"31-60 ngày",IF($L499&lt;=90,"61-90 ngày","Trên 90 ngày")))))))</f>
        <v/>
      </c>
      <c r="N499" s="51">
        <f>IF($A499="","",IF(OR($B499="",$C499=""),"THIẾU THÔNG TIN",IF(AND($G499&gt;0,$H499&gt;0),"KHÔNG NHẬP ĐỒNG THỜI TĂNG/GIẢM",IF(AND($G499&lt;=0,$H499&lt;=0),"CHƯA NHẬP SỐ TIỀN",IF($D499="KHÔNG TÌM THẤY","MÃ KHÔNG HỢP LỆ",IF(AND($G499&gt;0,$J499=""),"THIẾU NGÀY ĐẾN HẠN","OK"))))))</f>
        <v/>
      </c>
    </row>
    <row r="500">
      <c r="A500" s="209" t="n"/>
      <c r="B500" s="47" t="n"/>
      <c r="C500" s="47" t="n"/>
      <c r="D500" s="51">
        <f>IF($C500="","",XLOOKUP($C500,'01_DANH_MUC'!$A$7:$A$206,'01_DANH_MUC'!$B$7:$B$206,"KHÔNG TÌM THẤY"))</f>
        <v/>
      </c>
      <c r="E500" s="51">
        <f>IF($C500="","",XLOOKUP($C500,'01_DANH_MUC'!$A$7:$A$206,'01_DANH_MUC'!$C$7:$C$206,"KHÔNG TÌM THẤY"))</f>
        <v/>
      </c>
      <c r="F500" s="57" t="n"/>
      <c r="G500" s="211" t="n"/>
      <c r="H500" s="211" t="n"/>
      <c r="I500" s="212">
        <f>IF($C500="","",XLOOKUP($C500,'01_DANH_MUC'!$A$7:$A$206,'01_DANH_MUC'!$E$7:$E$206,0))</f>
        <v/>
      </c>
      <c r="J500" s="213">
        <f>IF(OR($A500="",$C500="",$G500&lt;=0),"",$A500+$I500)</f>
        <v/>
      </c>
      <c r="K500" s="210">
        <f>IF($A500="","",IF(OR($C500="",$G500&lt;=0,$A500&gt;'03_BAO_CAO'!$E$4),0,MAX(0,$G500-MAX(0,SUMIFS($H$7:$H$506,$C$7:$C$506,$C500,$A$7:$A$506,"&lt;="&amp;'03_BAO_CAO'!$E$4)-XLOOKUP($C500,'01_DANH_MUC'!$A$7:$A$206,'01_DANH_MUC'!$F$7:$F$206,0)-SUMIFS($G$7:G499,$C$7:C499,$C500,$A$7:A499,"&lt;="&amp;'03_BAO_CAO'!$E$4)))))</f>
        <v/>
      </c>
      <c r="L500" s="212">
        <f>IF($A500="","",IF(OR($K500&lt;=0,$J500=""),0,MAX(0,'03_BAO_CAO'!$E$4-$J500)))</f>
        <v/>
      </c>
      <c r="M500" s="51">
        <f>IF($A500="","",IF($K500&lt;=0,"Đã thanh toán",IF($J500="","Thiếu ngày đến hạn",IF($J500&gt;='03_BAO_CAO'!$E$4,"Chưa đến hạn",IF($L500&lt;=30,"1-30 ngày",IF($L500&lt;=60,"31-60 ngày",IF($L500&lt;=90,"61-90 ngày","Trên 90 ngày")))))))</f>
        <v/>
      </c>
      <c r="N500" s="51">
        <f>IF($A500="","",IF(OR($B500="",$C500=""),"THIẾU THÔNG TIN",IF(AND($G500&gt;0,$H500&gt;0),"KHÔNG NHẬP ĐỒNG THỜI TĂNG/GIẢM",IF(AND($G500&lt;=0,$H500&lt;=0),"CHƯA NHẬP SỐ TIỀN",IF($D500="KHÔNG TÌM THẤY","MÃ KHÔNG HỢP LỆ",IF(AND($G500&gt;0,$J500=""),"THIẾU NGÀY ĐẾN HẠN","OK"))))))</f>
        <v/>
      </c>
    </row>
    <row r="501">
      <c r="A501" s="209" t="n"/>
      <c r="B501" s="47" t="n"/>
      <c r="C501" s="47" t="n"/>
      <c r="D501" s="51">
        <f>IF($C501="","",XLOOKUP($C501,'01_DANH_MUC'!$A$7:$A$206,'01_DANH_MUC'!$B$7:$B$206,"KHÔNG TÌM THẤY"))</f>
        <v/>
      </c>
      <c r="E501" s="51">
        <f>IF($C501="","",XLOOKUP($C501,'01_DANH_MUC'!$A$7:$A$206,'01_DANH_MUC'!$C$7:$C$206,"KHÔNG TÌM THẤY"))</f>
        <v/>
      </c>
      <c r="F501" s="57" t="n"/>
      <c r="G501" s="211" t="n"/>
      <c r="H501" s="211" t="n"/>
      <c r="I501" s="212">
        <f>IF($C501="","",XLOOKUP($C501,'01_DANH_MUC'!$A$7:$A$206,'01_DANH_MUC'!$E$7:$E$206,0))</f>
        <v/>
      </c>
      <c r="J501" s="213">
        <f>IF(OR($A501="",$C501="",$G501&lt;=0),"",$A501+$I501)</f>
        <v/>
      </c>
      <c r="K501" s="210">
        <f>IF($A501="","",IF(OR($C501="",$G501&lt;=0,$A501&gt;'03_BAO_CAO'!$E$4),0,MAX(0,$G501-MAX(0,SUMIFS($H$7:$H$506,$C$7:$C$506,$C501,$A$7:$A$506,"&lt;="&amp;'03_BAO_CAO'!$E$4)-XLOOKUP($C501,'01_DANH_MUC'!$A$7:$A$206,'01_DANH_MUC'!$F$7:$F$206,0)-SUMIFS($G$7:G500,$C$7:C500,$C501,$A$7:A500,"&lt;="&amp;'03_BAO_CAO'!$E$4)))))</f>
        <v/>
      </c>
      <c r="L501" s="212">
        <f>IF($A501="","",IF(OR($K501&lt;=0,$J501=""),0,MAX(0,'03_BAO_CAO'!$E$4-$J501)))</f>
        <v/>
      </c>
      <c r="M501" s="51">
        <f>IF($A501="","",IF($K501&lt;=0,"Đã thanh toán",IF($J501="","Thiếu ngày đến hạn",IF($J501&gt;='03_BAO_CAO'!$E$4,"Chưa đến hạn",IF($L501&lt;=30,"1-30 ngày",IF($L501&lt;=60,"31-60 ngày",IF($L501&lt;=90,"61-90 ngày","Trên 90 ngày")))))))</f>
        <v/>
      </c>
      <c r="N501" s="51">
        <f>IF($A501="","",IF(OR($B501="",$C501=""),"THIẾU THÔNG TIN",IF(AND($G501&gt;0,$H501&gt;0),"KHÔNG NHẬP ĐỒNG THỜI TĂNG/GIẢM",IF(AND($G501&lt;=0,$H501&lt;=0),"CHƯA NHẬP SỐ TIỀN",IF($D501="KHÔNG TÌM THẤY","MÃ KHÔNG HỢP LỆ",IF(AND($G501&gt;0,$J501=""),"THIẾU NGÀY ĐẾN HẠN","OK"))))))</f>
        <v/>
      </c>
    </row>
    <row r="502">
      <c r="A502" s="209" t="n"/>
      <c r="B502" s="47" t="n"/>
      <c r="C502" s="47" t="n"/>
      <c r="D502" s="51">
        <f>IF($C502="","",XLOOKUP($C502,'01_DANH_MUC'!$A$7:$A$206,'01_DANH_MUC'!$B$7:$B$206,"KHÔNG TÌM THẤY"))</f>
        <v/>
      </c>
      <c r="E502" s="51">
        <f>IF($C502="","",XLOOKUP($C502,'01_DANH_MUC'!$A$7:$A$206,'01_DANH_MUC'!$C$7:$C$206,"KHÔNG TÌM THẤY"))</f>
        <v/>
      </c>
      <c r="F502" s="57" t="n"/>
      <c r="G502" s="211" t="n"/>
      <c r="H502" s="211" t="n"/>
      <c r="I502" s="212">
        <f>IF($C502="","",XLOOKUP($C502,'01_DANH_MUC'!$A$7:$A$206,'01_DANH_MUC'!$E$7:$E$206,0))</f>
        <v/>
      </c>
      <c r="J502" s="213">
        <f>IF(OR($A502="",$C502="",$G502&lt;=0),"",$A502+$I502)</f>
        <v/>
      </c>
      <c r="K502" s="210">
        <f>IF($A502="","",IF(OR($C502="",$G502&lt;=0,$A502&gt;'03_BAO_CAO'!$E$4),0,MAX(0,$G502-MAX(0,SUMIFS($H$7:$H$506,$C$7:$C$506,$C502,$A$7:$A$506,"&lt;="&amp;'03_BAO_CAO'!$E$4)-XLOOKUP($C502,'01_DANH_MUC'!$A$7:$A$206,'01_DANH_MUC'!$F$7:$F$206,0)-SUMIFS($G$7:G501,$C$7:C501,$C502,$A$7:A501,"&lt;="&amp;'03_BAO_CAO'!$E$4)))))</f>
        <v/>
      </c>
      <c r="L502" s="212">
        <f>IF($A502="","",IF(OR($K502&lt;=0,$J502=""),0,MAX(0,'03_BAO_CAO'!$E$4-$J502)))</f>
        <v/>
      </c>
      <c r="M502" s="51">
        <f>IF($A502="","",IF($K502&lt;=0,"Đã thanh toán",IF($J502="","Thiếu ngày đến hạn",IF($J502&gt;='03_BAO_CAO'!$E$4,"Chưa đến hạn",IF($L502&lt;=30,"1-30 ngày",IF($L502&lt;=60,"31-60 ngày",IF($L502&lt;=90,"61-90 ngày","Trên 90 ngày")))))))</f>
        <v/>
      </c>
      <c r="N502" s="51">
        <f>IF($A502="","",IF(OR($B502="",$C502=""),"THIẾU THÔNG TIN",IF(AND($G502&gt;0,$H502&gt;0),"KHÔNG NHẬP ĐỒNG THỜI TĂNG/GIẢM",IF(AND($G502&lt;=0,$H502&lt;=0),"CHƯA NHẬP SỐ TIỀN",IF($D502="KHÔNG TÌM THẤY","MÃ KHÔNG HỢP LỆ",IF(AND($G502&gt;0,$J502=""),"THIẾU NGÀY ĐẾN HẠN","OK"))))))</f>
        <v/>
      </c>
    </row>
    <row r="503">
      <c r="A503" s="209" t="n"/>
      <c r="B503" s="47" t="n"/>
      <c r="C503" s="47" t="n"/>
      <c r="D503" s="51">
        <f>IF($C503="","",XLOOKUP($C503,'01_DANH_MUC'!$A$7:$A$206,'01_DANH_MUC'!$B$7:$B$206,"KHÔNG TÌM THẤY"))</f>
        <v/>
      </c>
      <c r="E503" s="51">
        <f>IF($C503="","",XLOOKUP($C503,'01_DANH_MUC'!$A$7:$A$206,'01_DANH_MUC'!$C$7:$C$206,"KHÔNG TÌM THẤY"))</f>
        <v/>
      </c>
      <c r="F503" s="57" t="n"/>
      <c r="G503" s="211" t="n"/>
      <c r="H503" s="211" t="n"/>
      <c r="I503" s="212">
        <f>IF($C503="","",XLOOKUP($C503,'01_DANH_MUC'!$A$7:$A$206,'01_DANH_MUC'!$E$7:$E$206,0))</f>
        <v/>
      </c>
      <c r="J503" s="213">
        <f>IF(OR($A503="",$C503="",$G503&lt;=0),"",$A503+$I503)</f>
        <v/>
      </c>
      <c r="K503" s="210">
        <f>IF($A503="","",IF(OR($C503="",$G503&lt;=0,$A503&gt;'03_BAO_CAO'!$E$4),0,MAX(0,$G503-MAX(0,SUMIFS($H$7:$H$506,$C$7:$C$506,$C503,$A$7:$A$506,"&lt;="&amp;'03_BAO_CAO'!$E$4)-XLOOKUP($C503,'01_DANH_MUC'!$A$7:$A$206,'01_DANH_MUC'!$F$7:$F$206,0)-SUMIFS($G$7:G502,$C$7:C502,$C503,$A$7:A502,"&lt;="&amp;'03_BAO_CAO'!$E$4)))))</f>
        <v/>
      </c>
      <c r="L503" s="212">
        <f>IF($A503="","",IF(OR($K503&lt;=0,$J503=""),0,MAX(0,'03_BAO_CAO'!$E$4-$J503)))</f>
        <v/>
      </c>
      <c r="M503" s="51">
        <f>IF($A503="","",IF($K503&lt;=0,"Đã thanh toán",IF($J503="","Thiếu ngày đến hạn",IF($J503&gt;='03_BAO_CAO'!$E$4,"Chưa đến hạn",IF($L503&lt;=30,"1-30 ngày",IF($L503&lt;=60,"31-60 ngày",IF($L503&lt;=90,"61-90 ngày","Trên 90 ngày")))))))</f>
        <v/>
      </c>
      <c r="N503" s="51">
        <f>IF($A503="","",IF(OR($B503="",$C503=""),"THIẾU THÔNG TIN",IF(AND($G503&gt;0,$H503&gt;0),"KHÔNG NHẬP ĐỒNG THỜI TĂNG/GIẢM",IF(AND($G503&lt;=0,$H503&lt;=0),"CHƯA NHẬP SỐ TIỀN",IF($D503="KHÔNG TÌM THẤY","MÃ KHÔNG HỢP LỆ",IF(AND($G503&gt;0,$J503=""),"THIẾU NGÀY ĐẾN HẠN","OK"))))))</f>
        <v/>
      </c>
    </row>
    <row r="504">
      <c r="A504" s="209" t="n"/>
      <c r="B504" s="47" t="n"/>
      <c r="C504" s="47" t="n"/>
      <c r="D504" s="51">
        <f>IF($C504="","",XLOOKUP($C504,'01_DANH_MUC'!$A$7:$A$206,'01_DANH_MUC'!$B$7:$B$206,"KHÔNG TÌM THẤY"))</f>
        <v/>
      </c>
      <c r="E504" s="51">
        <f>IF($C504="","",XLOOKUP($C504,'01_DANH_MUC'!$A$7:$A$206,'01_DANH_MUC'!$C$7:$C$206,"KHÔNG TÌM THẤY"))</f>
        <v/>
      </c>
      <c r="F504" s="57" t="n"/>
      <c r="G504" s="211" t="n"/>
      <c r="H504" s="211" t="n"/>
      <c r="I504" s="212">
        <f>IF($C504="","",XLOOKUP($C504,'01_DANH_MUC'!$A$7:$A$206,'01_DANH_MUC'!$E$7:$E$206,0))</f>
        <v/>
      </c>
      <c r="J504" s="213">
        <f>IF(OR($A504="",$C504="",$G504&lt;=0),"",$A504+$I504)</f>
        <v/>
      </c>
      <c r="K504" s="210">
        <f>IF($A504="","",IF(OR($C504="",$G504&lt;=0,$A504&gt;'03_BAO_CAO'!$E$4),0,MAX(0,$G504-MAX(0,SUMIFS($H$7:$H$506,$C$7:$C$506,$C504,$A$7:$A$506,"&lt;="&amp;'03_BAO_CAO'!$E$4)-XLOOKUP($C504,'01_DANH_MUC'!$A$7:$A$206,'01_DANH_MUC'!$F$7:$F$206,0)-SUMIFS($G$7:G503,$C$7:C503,$C504,$A$7:A503,"&lt;="&amp;'03_BAO_CAO'!$E$4)))))</f>
        <v/>
      </c>
      <c r="L504" s="212">
        <f>IF($A504="","",IF(OR($K504&lt;=0,$J504=""),0,MAX(0,'03_BAO_CAO'!$E$4-$J504)))</f>
        <v/>
      </c>
      <c r="M504" s="51">
        <f>IF($A504="","",IF($K504&lt;=0,"Đã thanh toán",IF($J504="","Thiếu ngày đến hạn",IF($J504&gt;='03_BAO_CAO'!$E$4,"Chưa đến hạn",IF($L504&lt;=30,"1-30 ngày",IF($L504&lt;=60,"31-60 ngày",IF($L504&lt;=90,"61-90 ngày","Trên 90 ngày")))))))</f>
        <v/>
      </c>
      <c r="N504" s="51">
        <f>IF($A504="","",IF(OR($B504="",$C504=""),"THIẾU THÔNG TIN",IF(AND($G504&gt;0,$H504&gt;0),"KHÔNG NHẬP ĐỒNG THỜI TĂNG/GIẢM",IF(AND($G504&lt;=0,$H504&lt;=0),"CHƯA NHẬP SỐ TIỀN",IF($D504="KHÔNG TÌM THẤY","MÃ KHÔNG HỢP LỆ",IF(AND($G504&gt;0,$J504=""),"THIẾU NGÀY ĐẾN HẠN","OK"))))))</f>
        <v/>
      </c>
    </row>
    <row r="505">
      <c r="A505" s="209" t="n"/>
      <c r="B505" s="47" t="n"/>
      <c r="C505" s="47" t="n"/>
      <c r="D505" s="51">
        <f>IF($C505="","",XLOOKUP($C505,'01_DANH_MUC'!$A$7:$A$206,'01_DANH_MUC'!$B$7:$B$206,"KHÔNG TÌM THẤY"))</f>
        <v/>
      </c>
      <c r="E505" s="51">
        <f>IF($C505="","",XLOOKUP($C505,'01_DANH_MUC'!$A$7:$A$206,'01_DANH_MUC'!$C$7:$C$206,"KHÔNG TÌM THẤY"))</f>
        <v/>
      </c>
      <c r="F505" s="57" t="n"/>
      <c r="G505" s="211" t="n"/>
      <c r="H505" s="211" t="n"/>
      <c r="I505" s="212">
        <f>IF($C505="","",XLOOKUP($C505,'01_DANH_MUC'!$A$7:$A$206,'01_DANH_MUC'!$E$7:$E$206,0))</f>
        <v/>
      </c>
      <c r="J505" s="213">
        <f>IF(OR($A505="",$C505="",$G505&lt;=0),"",$A505+$I505)</f>
        <v/>
      </c>
      <c r="K505" s="210">
        <f>IF($A505="","",IF(OR($C505="",$G505&lt;=0,$A505&gt;'03_BAO_CAO'!$E$4),0,MAX(0,$G505-MAX(0,SUMIFS($H$7:$H$506,$C$7:$C$506,$C505,$A$7:$A$506,"&lt;="&amp;'03_BAO_CAO'!$E$4)-XLOOKUP($C505,'01_DANH_MUC'!$A$7:$A$206,'01_DANH_MUC'!$F$7:$F$206,0)-SUMIFS($G$7:G504,$C$7:C504,$C505,$A$7:A504,"&lt;="&amp;'03_BAO_CAO'!$E$4)))))</f>
        <v/>
      </c>
      <c r="L505" s="212">
        <f>IF($A505="","",IF(OR($K505&lt;=0,$J505=""),0,MAX(0,'03_BAO_CAO'!$E$4-$J505)))</f>
        <v/>
      </c>
      <c r="M505" s="51">
        <f>IF($A505="","",IF($K505&lt;=0,"Đã thanh toán",IF($J505="","Thiếu ngày đến hạn",IF($J505&gt;='03_BAO_CAO'!$E$4,"Chưa đến hạn",IF($L505&lt;=30,"1-30 ngày",IF($L505&lt;=60,"31-60 ngày",IF($L505&lt;=90,"61-90 ngày","Trên 90 ngày")))))))</f>
        <v/>
      </c>
      <c r="N505" s="51">
        <f>IF($A505="","",IF(OR($B505="",$C505=""),"THIẾU THÔNG TIN",IF(AND($G505&gt;0,$H505&gt;0),"KHÔNG NHẬP ĐỒNG THỜI TĂNG/GIẢM",IF(AND($G505&lt;=0,$H505&lt;=0),"CHƯA NHẬP SỐ TIỀN",IF($D505="KHÔNG TÌM THẤY","MÃ KHÔNG HỢP LỆ",IF(AND($G505&gt;0,$J505=""),"THIẾU NGÀY ĐẾN HẠN","OK"))))))</f>
        <v/>
      </c>
    </row>
    <row r="506">
      <c r="A506" s="209" t="n"/>
      <c r="B506" s="47" t="n"/>
      <c r="C506" s="47" t="n"/>
      <c r="D506" s="51">
        <f>IF($C506="","",XLOOKUP($C506,'01_DANH_MUC'!$A$7:$A$206,'01_DANH_MUC'!$B$7:$B$206,"KHÔNG TÌM THẤY"))</f>
        <v/>
      </c>
      <c r="E506" s="51">
        <f>IF($C506="","",XLOOKUP($C506,'01_DANH_MUC'!$A$7:$A$206,'01_DANH_MUC'!$C$7:$C$206,"KHÔNG TÌM THẤY"))</f>
        <v/>
      </c>
      <c r="F506" s="57" t="n"/>
      <c r="G506" s="211" t="n"/>
      <c r="H506" s="211" t="n"/>
      <c r="I506" s="212">
        <f>IF($C506="","",XLOOKUP($C506,'01_DANH_MUC'!$A$7:$A$206,'01_DANH_MUC'!$E$7:$E$206,0))</f>
        <v/>
      </c>
      <c r="J506" s="213">
        <f>IF(OR($A506="",$C506="",$G506&lt;=0),"",$A506+$I506)</f>
        <v/>
      </c>
      <c r="K506" s="210">
        <f>IF($A506="","",IF(OR($C506="",$G506&lt;=0,$A506&gt;'03_BAO_CAO'!$E$4),0,MAX(0,$G506-MAX(0,SUMIFS($H$7:$H$506,$C$7:$C$506,$C506,$A$7:$A$506,"&lt;="&amp;'03_BAO_CAO'!$E$4)-XLOOKUP($C506,'01_DANH_MUC'!$A$7:$A$206,'01_DANH_MUC'!$F$7:$F$206,0)-SUMIFS($G$7:G505,$C$7:C505,$C506,$A$7:A505,"&lt;="&amp;'03_BAO_CAO'!$E$4)))))</f>
        <v/>
      </c>
      <c r="L506" s="212">
        <f>IF($A506="","",IF(OR($K506&lt;=0,$J506=""),0,MAX(0,'03_BAO_CAO'!$E$4-$J506)))</f>
        <v/>
      </c>
      <c r="M506" s="51">
        <f>IF($A506="","",IF($K506&lt;=0,"Đã thanh toán",IF($J506="","Thiếu ngày đến hạn",IF($J506&gt;='03_BAO_CAO'!$E$4,"Chưa đến hạn",IF($L506&lt;=30,"1-30 ngày",IF($L506&lt;=60,"31-60 ngày",IF($L506&lt;=90,"61-90 ngày","Trên 90 ngày")))))))</f>
        <v/>
      </c>
      <c r="N506" s="51">
        <f>IF($A506="","",IF(OR($B506="",$C506=""),"THIẾU THÔNG TIN",IF(AND($G506&gt;0,$H506&gt;0),"KHÔNG NHẬP ĐỒNG THỜI TĂNG/GIẢM",IF(AND($G506&lt;=0,$H506&lt;=0),"CHƯA NHẬP SỐ TIỀN",IF($D506="KHÔNG TÌM THẤY","MÃ KHÔNG HỢP LỆ",IF(AND($G506&gt;0,$J506=""),"THIẾU NGÀY ĐẾN HẠN","OK"))))))</f>
        <v/>
      </c>
    </row>
  </sheetData>
  <mergeCells count="4">
    <mergeCell ref="A5:N5"/>
    <mergeCell ref="A3:N3"/>
    <mergeCell ref="A2:N2"/>
    <mergeCell ref="A1:N1"/>
  </mergeCells>
  <conditionalFormatting sqref="N7:N506">
    <cfRule type="containsText" priority="1" operator="containsText" dxfId="1" text="OK"/>
    <cfRule type="containsText" priority="2" operator="containsText" dxfId="0" text="THIẾU"/>
    <cfRule type="containsText" priority="3" operator="containsText" dxfId="0" text="KHÔNG"/>
    <cfRule type="containsText" priority="4" operator="containsText" dxfId="0" text="CHƯA"/>
    <cfRule type="containsText" priority="5" operator="containsText" dxfId="0" text="HỢP LỆ"/>
  </conditionalFormatting>
  <conditionalFormatting sqref="M7:M506">
    <cfRule type="containsText" priority="6" operator="containsText" dxfId="0" text="Trên 90 ngày"/>
  </conditionalFormatting>
  <dataValidations count="2">
    <dataValidation sqref="C7:C506" showDropDown="0" showInputMessage="0" showErrorMessage="0" allowBlank="0" type="list">
      <formula1>'01_DANH_MUC'!$A$7:$A$206</formula1>
    </dataValidation>
    <dataValidation sqref="G7:H506" showDropDown="0" showInputMessage="0" showErrorMessage="0" allowBlank="0" type="decimal" operator="greaterThanOrEqual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15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8" customWidth="1" min="16" max="16"/>
  </cols>
  <sheetData>
    <row r="1" ht="34" customHeight="1">
      <c r="A1" s="4" t="inlineStr">
        <is>
          <t>HỆ THỐNG QUẢN LÝ CÔNG NỢ &amp; TUỔI NỢ ĐA NĂNG - THIẾT KẾ BỞI KK HOME</t>
        </is>
      </c>
    </row>
    <row r="2" ht="23" customHeight="1">
      <c r="A2" s="8" t="inlineStr">
        <is>
          <t>Số liệu phải sắc - Kiểm soát phải chắc.</t>
        </is>
      </c>
    </row>
    <row r="3"/>
    <row r="4">
      <c r="A4" s="60" t="inlineStr">
        <is>
          <t>TỪ NGÀY</t>
        </is>
      </c>
      <c r="B4" s="214">
        <f>DATE(YEAR($E$4),1,1)</f>
        <v/>
      </c>
      <c r="D4" s="60" t="inlineStr">
        <is>
          <t>NGÀY BÁO CÁO</t>
        </is>
      </c>
      <c r="E4" s="214">
        <f>TODAY()</f>
        <v/>
      </c>
      <c r="F4" s="60" t="inlineStr">
        <is>
          <t>VƯỢT HẠN MỨC</t>
        </is>
      </c>
      <c r="G4" s="215">
        <f>SUMPRODUCT(--($H$17:$H$216&gt;$D$17:$D$216),--($D$17:$D$216&gt;0))</f>
        <v/>
      </c>
      <c r="H4" s="36" t="inlineStr">
        <is>
          <t>Nhóm tuổi nợ</t>
        </is>
      </c>
      <c r="I4" s="38" t="inlineStr">
        <is>
          <t>Giá trị (VND)</t>
        </is>
      </c>
    </row>
    <row r="5" ht="28" customHeight="1">
      <c r="A5" s="13" t="inlineStr">
        <is>
          <t>Tuổi nợ được tính trên số dư từng chứng từ còn lại theo FIFO. Có thể ghi đè hai ô ngày màu vàng để lập báo cáo tại thời điểm khác.</t>
        </is>
      </c>
      <c r="H5" s="184" t="inlineStr">
        <is>
          <t>Chưa đến hạn</t>
        </is>
      </c>
      <c r="I5" s="216">
        <f>SUM($K$17:$K$216)</f>
        <v/>
      </c>
    </row>
    <row r="6">
      <c r="H6" s="185" t="inlineStr">
        <is>
          <t>1-30 ngày</t>
        </is>
      </c>
      <c r="I6" s="217">
        <f>SUM($L$17:$L$216)</f>
        <v/>
      </c>
    </row>
    <row r="7">
      <c r="A7" s="218" t="inlineStr">
        <is>
          <t>TỔNG PHẢI THU</t>
        </is>
      </c>
      <c r="B7" s="219" t="n"/>
      <c r="C7" s="220" t="n"/>
      <c r="D7" s="218" t="inlineStr">
        <is>
          <t>TỔNG PHẢI TRẢ</t>
        </is>
      </c>
      <c r="E7" s="219" t="n"/>
      <c r="F7" s="220" t="n"/>
      <c r="H7" s="185" t="inlineStr">
        <is>
          <t>31-60 ngày</t>
        </is>
      </c>
      <c r="I7" s="217">
        <f>SUM($M$17:$M$216)</f>
        <v/>
      </c>
    </row>
    <row r="8">
      <c r="A8" s="221">
        <f>SUMIFS($H$17:$H$216,$C$17:$C$216,"Phải thu")</f>
        <v/>
      </c>
      <c r="B8" s="222" t="n"/>
      <c r="C8" s="223" t="n"/>
      <c r="D8" s="224">
        <f>SUMIFS($H$17:$H$216,$C$17:$C$216,"Phải trả")</f>
        <v/>
      </c>
      <c r="E8" s="222" t="n"/>
      <c r="F8" s="223" t="n"/>
      <c r="H8" s="185" t="inlineStr">
        <is>
          <t>61-90 ngày</t>
        </is>
      </c>
      <c r="I8" s="217">
        <f>SUM($N$17:$N$216)</f>
        <v/>
      </c>
    </row>
    <row r="9">
      <c r="A9" s="225" t="n"/>
      <c r="B9" s="226" t="n"/>
      <c r="C9" s="227" t="n"/>
      <c r="D9" s="225" t="n"/>
      <c r="E9" s="226" t="n"/>
      <c r="F9" s="227" t="n"/>
      <c r="H9" s="186" t="inlineStr">
        <is>
          <t>Trên 90 ngày</t>
        </is>
      </c>
      <c r="I9" s="228">
        <f>SUM($O$17:$O$216)</f>
        <v/>
      </c>
    </row>
    <row r="10"/>
    <row r="11">
      <c r="A11" s="218" t="inlineStr">
        <is>
          <t>TỔNG NỢ QUÁ HẠN</t>
        </is>
      </c>
      <c r="B11" s="219" t="n"/>
      <c r="C11" s="220" t="n"/>
      <c r="D11" s="218" t="inlineStr">
        <is>
          <t>QUÁ HẠN TRÊN 90 NGÀY</t>
        </is>
      </c>
      <c r="E11" s="219" t="n"/>
      <c r="F11" s="220" t="n"/>
    </row>
    <row r="12">
      <c r="A12" s="229">
        <f>SUM($L$17:$O$216)</f>
        <v/>
      </c>
      <c r="B12" s="222" t="n"/>
      <c r="C12" s="223" t="n"/>
      <c r="D12" s="230">
        <f>SUM($O$17:$O$216)</f>
        <v/>
      </c>
      <c r="E12" s="222" t="n"/>
      <c r="F12" s="223" t="n"/>
    </row>
    <row r="13">
      <c r="A13" s="225" t="n"/>
      <c r="B13" s="226" t="n"/>
      <c r="C13" s="227" t="n"/>
      <c r="D13" s="225" t="n"/>
      <c r="E13" s="226" t="n"/>
      <c r="F13" s="227" t="n"/>
    </row>
    <row r="14"/>
    <row r="15" ht="24" customHeight="1">
      <c r="A15" s="204" t="inlineStr">
        <is>
          <t>BÁO CÁO TỔNG HỢP CÔNG NỢ &amp; PHÂN TÍCH TUỔI NỢ</t>
        </is>
      </c>
      <c r="B15" s="205" t="n"/>
      <c r="C15" s="205" t="n"/>
      <c r="D15" s="205" t="n"/>
      <c r="E15" s="205" t="n"/>
      <c r="F15" s="205" t="n"/>
      <c r="G15" s="205" t="n"/>
      <c r="H15" s="205" t="n"/>
      <c r="I15" s="205" t="n"/>
      <c r="J15" s="205" t="n"/>
      <c r="K15" s="205" t="n"/>
      <c r="L15" s="205" t="n"/>
      <c r="M15" s="205" t="n"/>
      <c r="N15" s="205" t="n"/>
      <c r="O15" s="205" t="n"/>
      <c r="P15" s="206" t="n"/>
    </row>
    <row r="16" ht="44" customHeight="1">
      <c r="A16" s="36" t="inlineStr">
        <is>
          <t>Mã Đối Tượng</t>
        </is>
      </c>
      <c r="B16" s="37" t="inlineStr">
        <is>
          <t>Tên Đối Tượng</t>
        </is>
      </c>
      <c r="C16" s="37" t="inlineStr">
        <is>
          <t>Phân loại</t>
        </is>
      </c>
      <c r="D16" s="37" t="inlineStr">
        <is>
          <t>Hạn mức nợ (VND)</t>
        </is>
      </c>
      <c r="E16" s="37" t="inlineStr">
        <is>
          <t>Dư đầu kỳ (VND)</t>
        </is>
      </c>
      <c r="F16" s="37" t="inlineStr">
        <is>
          <t>Phát sinh Tăng trong kỳ</t>
        </is>
      </c>
      <c r="G16" s="37" t="inlineStr">
        <is>
          <t>Phát sinh Giảm trong kỳ</t>
        </is>
      </c>
      <c r="H16" s="37" t="inlineStr">
        <is>
          <t>Dư cuối kỳ (VND)</t>
        </is>
      </c>
      <c r="I16" s="37" t="inlineStr">
        <is>
          <t>Số ngày quá hạn lớn nhất</t>
        </is>
      </c>
      <c r="J16" s="37" t="inlineStr">
        <is>
          <t>Trạng thái</t>
        </is>
      </c>
      <c r="K16" s="37" t="inlineStr">
        <is>
          <t>Chưa đến hạn</t>
        </is>
      </c>
      <c r="L16" s="37" t="inlineStr">
        <is>
          <t>Quá hạn 1-30 ngày</t>
        </is>
      </c>
      <c r="M16" s="37" t="inlineStr">
        <is>
          <t>Quá hạn 31-60 ngày</t>
        </is>
      </c>
      <c r="N16" s="37" t="inlineStr">
        <is>
          <t>Quá hạn 61-90 ngày</t>
        </is>
      </c>
      <c r="O16" s="37" t="inlineStr">
        <is>
          <t>Quá hạn trên 90 ngày</t>
        </is>
      </c>
      <c r="P16" s="38" t="inlineStr">
        <is>
          <t>Kiểm tra</t>
        </is>
      </c>
    </row>
    <row r="17">
      <c r="A17" s="201">
        <f>IF('01_DANH_MUC'!$A7="","",'01_DANH_MUC'!$A7)</f>
        <v/>
      </c>
      <c r="B17" s="198">
        <f>IF($A17="","",'01_DANH_MUC'!$B7)</f>
        <v/>
      </c>
      <c r="C17" s="201">
        <f>IF($A17="","",'01_DANH_MUC'!$C7)</f>
        <v/>
      </c>
      <c r="D17" s="231">
        <f>IF($A17="","",'01_DANH_MUC'!$D7)</f>
        <v/>
      </c>
      <c r="E17" s="232">
        <f>IF($A17="","",'01_DANH_MUC'!$F7+SUMIFS('02_NHAT_KY'!$G$7:$G$506,'02_NHAT_KY'!$C$7:$C$506,$A17,'02_NHAT_KY'!$A$7:$A$506,"&lt;"&amp;$B$4)-SUMIFS('02_NHAT_KY'!$H$7:$H$506,'02_NHAT_KY'!$C$7:$C$506,$A17,'02_NHAT_KY'!$A$7:$A$506,"&lt;"&amp;$B$4))</f>
        <v/>
      </c>
      <c r="F17" s="232">
        <f>IF($A17="","",SUMIFS('02_NHAT_KY'!$G$7:$G$506,'02_NHAT_KY'!$C$7:$C$506,$A17,'02_NHAT_KY'!$A$7:$A$506,"&gt;="&amp;$B$4,'02_NHAT_KY'!$A$7:$A$506,"&lt;="&amp;$E$4))</f>
        <v/>
      </c>
      <c r="G17" s="232">
        <f>IF($A17="","",SUMIFS('02_NHAT_KY'!$H$7:$H$506,'02_NHAT_KY'!$C$7:$C$506,$A17,'02_NHAT_KY'!$A$7:$A$506,"&gt;="&amp;$B$4,'02_NHAT_KY'!$A$7:$A$506,"&lt;="&amp;$E$4))</f>
        <v/>
      </c>
      <c r="H17" s="232">
        <f>IF($A17="","",$E17+$F17-$G17)</f>
        <v/>
      </c>
      <c r="I17" s="233">
        <f>IF($A17="","",IF($H17&lt;=0,0,MAX(IF(AND('01_DANH_MUC'!$H7&gt;0,'01_DANH_MUC'!$G7&lt;&gt;""),MAX(0,$E$4-'01_DANH_MUC'!$G7),0),IFERROR(MAXIFS('02_NHAT_KY'!$L$7:$L$506,'02_NHAT_KY'!$C$7:$C$506,$A17),0))))</f>
        <v/>
      </c>
      <c r="J17" s="201">
        <f>IF($A17="","",IF($H17&lt;=0,"Không có dư nợ",IF($I17&gt;0,"Quá hạn","Trong hạn")))</f>
        <v/>
      </c>
      <c r="K17" s="232">
        <f>IF($A17="","",IF(AND('01_DANH_MUC'!$H7&gt;0,OR('01_DANH_MUC'!$G7="",'01_DANH_MUC'!$G7&gt;=$E$4)),'01_DANH_MUC'!$H7,0)+SUMIFS('02_NHAT_KY'!$K$7:$K$506,'02_NHAT_KY'!$C$7:$C$506,$A17,'02_NHAT_KY'!$J$7:$J$506,"&gt;="&amp;$E$4)+SUMIFS('02_NHAT_KY'!$K$7:$K$506,'02_NHAT_KY'!$C$7:$C$506,$A17,'02_NHAT_KY'!$J$7:$J$506,""))</f>
        <v/>
      </c>
      <c r="L17" s="232">
        <f>IF($A17="","",IF(AND('01_DANH_MUC'!$H7&gt;0,'01_DANH_MUC'!$G7&lt;$E$4,$E$4-'01_DANH_MUC'!$G7&lt;=30),'01_DANH_MUC'!$H7,0)+SUMIFS('02_NHAT_KY'!$K$7:$K$506,'02_NHAT_KY'!$C$7:$C$506,$A17,'02_NHAT_KY'!$L$7:$L$506,"&gt;=1",'02_NHAT_KY'!$L$7:$L$506,"&lt;=30"))</f>
        <v/>
      </c>
      <c r="M17" s="232">
        <f>IF($A17="","",IF(AND('01_DANH_MUC'!$H7&gt;0,'01_DANH_MUC'!$G7&lt;$E$4,$E$4-'01_DANH_MUC'!$G7&gt;=31,$E$4-'01_DANH_MUC'!$G7&lt;=60),'01_DANH_MUC'!$H7,0)+SUMIFS('02_NHAT_KY'!$K$7:$K$506,'02_NHAT_KY'!$C$7:$C$506,$A17,'02_NHAT_KY'!$L$7:$L$506,"&gt;=31",'02_NHAT_KY'!$L$7:$L$506,"&lt;=60"))</f>
        <v/>
      </c>
      <c r="N17" s="232">
        <f>IF($A17="","",IF(AND('01_DANH_MUC'!$H7&gt;0,'01_DANH_MUC'!$G7&lt;$E$4,$E$4-'01_DANH_MUC'!$G7&gt;=61,$E$4-'01_DANH_MUC'!$G7&lt;=90),'01_DANH_MUC'!$H7,0)+SUMIFS('02_NHAT_KY'!$K$7:$K$506,'02_NHAT_KY'!$C$7:$C$506,$A17,'02_NHAT_KY'!$L$7:$L$506,"&gt;=61",'02_NHAT_KY'!$L$7:$L$506,"&lt;=90"))</f>
        <v/>
      </c>
      <c r="O17" s="232">
        <f>IF($A17="","",IF(AND('01_DANH_MUC'!$H7&gt;0,'01_DANH_MUC'!$G7&lt;$E$4,$E$4-'01_DANH_MUC'!$G7&gt;90),'01_DANH_MUC'!$H7,0)+SUMIFS('02_NHAT_KY'!$K$7:$K$506,'02_NHAT_KY'!$C$7:$C$506,$A17,'02_NHAT_KY'!$L$7:$L$506,"&gt;90"))</f>
        <v/>
      </c>
      <c r="P17" s="201">
        <f>IF($A17="","",IF($H17&lt;0,"DƯ ÂM/TRẢ TRƯỚC",IF(ABS($H17-SUM($K17:$O17))&lt;1,"OK","LỆCH TUỔI NỢ")))</f>
        <v/>
      </c>
    </row>
    <row r="18">
      <c r="A18" s="201">
        <f>IF('01_DANH_MUC'!$A8="","",'01_DANH_MUC'!$A8)</f>
        <v/>
      </c>
      <c r="B18" s="198">
        <f>IF($A18="","",'01_DANH_MUC'!$B8)</f>
        <v/>
      </c>
      <c r="C18" s="201">
        <f>IF($A18="","",'01_DANH_MUC'!$C8)</f>
        <v/>
      </c>
      <c r="D18" s="231">
        <f>IF($A18="","",'01_DANH_MUC'!$D8)</f>
        <v/>
      </c>
      <c r="E18" s="232">
        <f>IF($A18="","",'01_DANH_MUC'!$F8+SUMIFS('02_NHAT_KY'!$G$7:$G$506,'02_NHAT_KY'!$C$7:$C$506,$A18,'02_NHAT_KY'!$A$7:$A$506,"&lt;"&amp;$B$4)-SUMIFS('02_NHAT_KY'!$H$7:$H$506,'02_NHAT_KY'!$C$7:$C$506,$A18,'02_NHAT_KY'!$A$7:$A$506,"&lt;"&amp;$B$4))</f>
        <v/>
      </c>
      <c r="F18" s="232">
        <f>IF($A18="","",SUMIFS('02_NHAT_KY'!$G$7:$G$506,'02_NHAT_KY'!$C$7:$C$506,$A18,'02_NHAT_KY'!$A$7:$A$506,"&gt;="&amp;$B$4,'02_NHAT_KY'!$A$7:$A$506,"&lt;="&amp;$E$4))</f>
        <v/>
      </c>
      <c r="G18" s="232">
        <f>IF($A18="","",SUMIFS('02_NHAT_KY'!$H$7:$H$506,'02_NHAT_KY'!$C$7:$C$506,$A18,'02_NHAT_KY'!$A$7:$A$506,"&gt;="&amp;$B$4,'02_NHAT_KY'!$A$7:$A$506,"&lt;="&amp;$E$4))</f>
        <v/>
      </c>
      <c r="H18" s="232">
        <f>IF($A18="","",$E18+$F18-$G18)</f>
        <v/>
      </c>
      <c r="I18" s="233">
        <f>IF($A18="","",IF($H18&lt;=0,0,MAX(IF(AND('01_DANH_MUC'!$H8&gt;0,'01_DANH_MUC'!$G8&lt;&gt;""),MAX(0,$E$4-'01_DANH_MUC'!$G8),0),IFERROR(MAXIFS('02_NHAT_KY'!$L$7:$L$506,'02_NHAT_KY'!$C$7:$C$506,$A18),0))))</f>
        <v/>
      </c>
      <c r="J18" s="201">
        <f>IF($A18="","",IF($H18&lt;=0,"Không có dư nợ",IF($I18&gt;0,"Quá hạn","Trong hạn")))</f>
        <v/>
      </c>
      <c r="K18" s="232">
        <f>IF($A18="","",IF(AND('01_DANH_MUC'!$H8&gt;0,OR('01_DANH_MUC'!$G8="",'01_DANH_MUC'!$G8&gt;=$E$4)),'01_DANH_MUC'!$H8,0)+SUMIFS('02_NHAT_KY'!$K$7:$K$506,'02_NHAT_KY'!$C$7:$C$506,$A18,'02_NHAT_KY'!$J$7:$J$506,"&gt;="&amp;$E$4)+SUMIFS('02_NHAT_KY'!$K$7:$K$506,'02_NHAT_KY'!$C$7:$C$506,$A18,'02_NHAT_KY'!$J$7:$J$506,""))</f>
        <v/>
      </c>
      <c r="L18" s="232">
        <f>IF($A18="","",IF(AND('01_DANH_MUC'!$H8&gt;0,'01_DANH_MUC'!$G8&lt;$E$4,$E$4-'01_DANH_MUC'!$G8&lt;=30),'01_DANH_MUC'!$H8,0)+SUMIFS('02_NHAT_KY'!$K$7:$K$506,'02_NHAT_KY'!$C$7:$C$506,$A18,'02_NHAT_KY'!$L$7:$L$506,"&gt;=1",'02_NHAT_KY'!$L$7:$L$506,"&lt;=30"))</f>
        <v/>
      </c>
      <c r="M18" s="232">
        <f>IF($A18="","",IF(AND('01_DANH_MUC'!$H8&gt;0,'01_DANH_MUC'!$G8&lt;$E$4,$E$4-'01_DANH_MUC'!$G8&gt;=31,$E$4-'01_DANH_MUC'!$G8&lt;=60),'01_DANH_MUC'!$H8,0)+SUMIFS('02_NHAT_KY'!$K$7:$K$506,'02_NHAT_KY'!$C$7:$C$506,$A18,'02_NHAT_KY'!$L$7:$L$506,"&gt;=31",'02_NHAT_KY'!$L$7:$L$506,"&lt;=60"))</f>
        <v/>
      </c>
      <c r="N18" s="232">
        <f>IF($A18="","",IF(AND('01_DANH_MUC'!$H8&gt;0,'01_DANH_MUC'!$G8&lt;$E$4,$E$4-'01_DANH_MUC'!$G8&gt;=61,$E$4-'01_DANH_MUC'!$G8&lt;=90),'01_DANH_MUC'!$H8,0)+SUMIFS('02_NHAT_KY'!$K$7:$K$506,'02_NHAT_KY'!$C$7:$C$506,$A18,'02_NHAT_KY'!$L$7:$L$506,"&gt;=61",'02_NHAT_KY'!$L$7:$L$506,"&lt;=90"))</f>
        <v/>
      </c>
      <c r="O18" s="232">
        <f>IF($A18="","",IF(AND('01_DANH_MUC'!$H8&gt;0,'01_DANH_MUC'!$G8&lt;$E$4,$E$4-'01_DANH_MUC'!$G8&gt;90),'01_DANH_MUC'!$H8,0)+SUMIFS('02_NHAT_KY'!$K$7:$K$506,'02_NHAT_KY'!$C$7:$C$506,$A18,'02_NHAT_KY'!$L$7:$L$506,"&gt;90"))</f>
        <v/>
      </c>
      <c r="P18" s="201">
        <f>IF($A18="","",IF($H18&lt;0,"DƯ ÂM/TRẢ TRƯỚC",IF(ABS($H18-SUM($K18:$O18))&lt;1,"OK","LỆCH TUỔI NỢ")))</f>
        <v/>
      </c>
    </row>
    <row r="19">
      <c r="A19" s="201">
        <f>IF('01_DANH_MUC'!$A9="","",'01_DANH_MUC'!$A9)</f>
        <v/>
      </c>
      <c r="B19" s="198">
        <f>IF($A19="","",'01_DANH_MUC'!$B9)</f>
        <v/>
      </c>
      <c r="C19" s="201">
        <f>IF($A19="","",'01_DANH_MUC'!$C9)</f>
        <v/>
      </c>
      <c r="D19" s="231">
        <f>IF($A19="","",'01_DANH_MUC'!$D9)</f>
        <v/>
      </c>
      <c r="E19" s="232">
        <f>IF($A19="","",'01_DANH_MUC'!$F9+SUMIFS('02_NHAT_KY'!$G$7:$G$506,'02_NHAT_KY'!$C$7:$C$506,$A19,'02_NHAT_KY'!$A$7:$A$506,"&lt;"&amp;$B$4)-SUMIFS('02_NHAT_KY'!$H$7:$H$506,'02_NHAT_KY'!$C$7:$C$506,$A19,'02_NHAT_KY'!$A$7:$A$506,"&lt;"&amp;$B$4))</f>
        <v/>
      </c>
      <c r="F19" s="232">
        <f>IF($A19="","",SUMIFS('02_NHAT_KY'!$G$7:$G$506,'02_NHAT_KY'!$C$7:$C$506,$A19,'02_NHAT_KY'!$A$7:$A$506,"&gt;="&amp;$B$4,'02_NHAT_KY'!$A$7:$A$506,"&lt;="&amp;$E$4))</f>
        <v/>
      </c>
      <c r="G19" s="232">
        <f>IF($A19="","",SUMIFS('02_NHAT_KY'!$H$7:$H$506,'02_NHAT_KY'!$C$7:$C$506,$A19,'02_NHAT_KY'!$A$7:$A$506,"&gt;="&amp;$B$4,'02_NHAT_KY'!$A$7:$A$506,"&lt;="&amp;$E$4))</f>
        <v/>
      </c>
      <c r="H19" s="232">
        <f>IF($A19="","",$E19+$F19-$G19)</f>
        <v/>
      </c>
      <c r="I19" s="233">
        <f>IF($A19="","",IF($H19&lt;=0,0,MAX(IF(AND('01_DANH_MUC'!$H9&gt;0,'01_DANH_MUC'!$G9&lt;&gt;""),MAX(0,$E$4-'01_DANH_MUC'!$G9),0),IFERROR(MAXIFS('02_NHAT_KY'!$L$7:$L$506,'02_NHAT_KY'!$C$7:$C$506,$A19),0))))</f>
        <v/>
      </c>
      <c r="J19" s="201">
        <f>IF($A19="","",IF($H19&lt;=0,"Không có dư nợ",IF($I19&gt;0,"Quá hạn","Trong hạn")))</f>
        <v/>
      </c>
      <c r="K19" s="232">
        <f>IF($A19="","",IF(AND('01_DANH_MUC'!$H9&gt;0,OR('01_DANH_MUC'!$G9="",'01_DANH_MUC'!$G9&gt;=$E$4)),'01_DANH_MUC'!$H9,0)+SUMIFS('02_NHAT_KY'!$K$7:$K$506,'02_NHAT_KY'!$C$7:$C$506,$A19,'02_NHAT_KY'!$J$7:$J$506,"&gt;="&amp;$E$4)+SUMIFS('02_NHAT_KY'!$K$7:$K$506,'02_NHAT_KY'!$C$7:$C$506,$A19,'02_NHAT_KY'!$J$7:$J$506,""))</f>
        <v/>
      </c>
      <c r="L19" s="232">
        <f>IF($A19="","",IF(AND('01_DANH_MUC'!$H9&gt;0,'01_DANH_MUC'!$G9&lt;$E$4,$E$4-'01_DANH_MUC'!$G9&lt;=30),'01_DANH_MUC'!$H9,0)+SUMIFS('02_NHAT_KY'!$K$7:$K$506,'02_NHAT_KY'!$C$7:$C$506,$A19,'02_NHAT_KY'!$L$7:$L$506,"&gt;=1",'02_NHAT_KY'!$L$7:$L$506,"&lt;=30"))</f>
        <v/>
      </c>
      <c r="M19" s="232">
        <f>IF($A19="","",IF(AND('01_DANH_MUC'!$H9&gt;0,'01_DANH_MUC'!$G9&lt;$E$4,$E$4-'01_DANH_MUC'!$G9&gt;=31,$E$4-'01_DANH_MUC'!$G9&lt;=60),'01_DANH_MUC'!$H9,0)+SUMIFS('02_NHAT_KY'!$K$7:$K$506,'02_NHAT_KY'!$C$7:$C$506,$A19,'02_NHAT_KY'!$L$7:$L$506,"&gt;=31",'02_NHAT_KY'!$L$7:$L$506,"&lt;=60"))</f>
        <v/>
      </c>
      <c r="N19" s="232">
        <f>IF($A19="","",IF(AND('01_DANH_MUC'!$H9&gt;0,'01_DANH_MUC'!$G9&lt;$E$4,$E$4-'01_DANH_MUC'!$G9&gt;=61,$E$4-'01_DANH_MUC'!$G9&lt;=90),'01_DANH_MUC'!$H9,0)+SUMIFS('02_NHAT_KY'!$K$7:$K$506,'02_NHAT_KY'!$C$7:$C$506,$A19,'02_NHAT_KY'!$L$7:$L$506,"&gt;=61",'02_NHAT_KY'!$L$7:$L$506,"&lt;=90"))</f>
        <v/>
      </c>
      <c r="O19" s="232">
        <f>IF($A19="","",IF(AND('01_DANH_MUC'!$H9&gt;0,'01_DANH_MUC'!$G9&lt;$E$4,$E$4-'01_DANH_MUC'!$G9&gt;90),'01_DANH_MUC'!$H9,0)+SUMIFS('02_NHAT_KY'!$K$7:$K$506,'02_NHAT_KY'!$C$7:$C$506,$A19,'02_NHAT_KY'!$L$7:$L$506,"&gt;90"))</f>
        <v/>
      </c>
      <c r="P19" s="201">
        <f>IF($A19="","",IF($H19&lt;0,"DƯ ÂM/TRẢ TRƯỚC",IF(ABS($H19-SUM($K19:$O19))&lt;1,"OK","LỆCH TUỔI NỢ")))</f>
        <v/>
      </c>
    </row>
    <row r="20">
      <c r="A20" s="201">
        <f>IF('01_DANH_MUC'!$A10="","",'01_DANH_MUC'!$A10)</f>
        <v/>
      </c>
      <c r="B20" s="198">
        <f>IF($A20="","",'01_DANH_MUC'!$B10)</f>
        <v/>
      </c>
      <c r="C20" s="201">
        <f>IF($A20="","",'01_DANH_MUC'!$C10)</f>
        <v/>
      </c>
      <c r="D20" s="231">
        <f>IF($A20="","",'01_DANH_MUC'!$D10)</f>
        <v/>
      </c>
      <c r="E20" s="232">
        <f>IF($A20="","",'01_DANH_MUC'!$F10+SUMIFS('02_NHAT_KY'!$G$7:$G$506,'02_NHAT_KY'!$C$7:$C$506,$A20,'02_NHAT_KY'!$A$7:$A$506,"&lt;"&amp;$B$4)-SUMIFS('02_NHAT_KY'!$H$7:$H$506,'02_NHAT_KY'!$C$7:$C$506,$A20,'02_NHAT_KY'!$A$7:$A$506,"&lt;"&amp;$B$4))</f>
        <v/>
      </c>
      <c r="F20" s="232">
        <f>IF($A20="","",SUMIFS('02_NHAT_KY'!$G$7:$G$506,'02_NHAT_KY'!$C$7:$C$506,$A20,'02_NHAT_KY'!$A$7:$A$506,"&gt;="&amp;$B$4,'02_NHAT_KY'!$A$7:$A$506,"&lt;="&amp;$E$4))</f>
        <v/>
      </c>
      <c r="G20" s="232">
        <f>IF($A20="","",SUMIFS('02_NHAT_KY'!$H$7:$H$506,'02_NHAT_KY'!$C$7:$C$506,$A20,'02_NHAT_KY'!$A$7:$A$506,"&gt;="&amp;$B$4,'02_NHAT_KY'!$A$7:$A$506,"&lt;="&amp;$E$4))</f>
        <v/>
      </c>
      <c r="H20" s="232">
        <f>IF($A20="","",$E20+$F20-$G20)</f>
        <v/>
      </c>
      <c r="I20" s="233">
        <f>IF($A20="","",IF($H20&lt;=0,0,MAX(IF(AND('01_DANH_MUC'!$H10&gt;0,'01_DANH_MUC'!$G10&lt;&gt;""),MAX(0,$E$4-'01_DANH_MUC'!$G10),0),IFERROR(MAXIFS('02_NHAT_KY'!$L$7:$L$506,'02_NHAT_KY'!$C$7:$C$506,$A20),0))))</f>
        <v/>
      </c>
      <c r="J20" s="201">
        <f>IF($A20="","",IF($H20&lt;=0,"Không có dư nợ",IF($I20&gt;0,"Quá hạn","Trong hạn")))</f>
        <v/>
      </c>
      <c r="K20" s="232">
        <f>IF($A20="","",IF(AND('01_DANH_MUC'!$H10&gt;0,OR('01_DANH_MUC'!$G10="",'01_DANH_MUC'!$G10&gt;=$E$4)),'01_DANH_MUC'!$H10,0)+SUMIFS('02_NHAT_KY'!$K$7:$K$506,'02_NHAT_KY'!$C$7:$C$506,$A20,'02_NHAT_KY'!$J$7:$J$506,"&gt;="&amp;$E$4)+SUMIFS('02_NHAT_KY'!$K$7:$K$506,'02_NHAT_KY'!$C$7:$C$506,$A20,'02_NHAT_KY'!$J$7:$J$506,""))</f>
        <v/>
      </c>
      <c r="L20" s="232">
        <f>IF($A20="","",IF(AND('01_DANH_MUC'!$H10&gt;0,'01_DANH_MUC'!$G10&lt;$E$4,$E$4-'01_DANH_MUC'!$G10&lt;=30),'01_DANH_MUC'!$H10,0)+SUMIFS('02_NHAT_KY'!$K$7:$K$506,'02_NHAT_KY'!$C$7:$C$506,$A20,'02_NHAT_KY'!$L$7:$L$506,"&gt;=1",'02_NHAT_KY'!$L$7:$L$506,"&lt;=30"))</f>
        <v/>
      </c>
      <c r="M20" s="232">
        <f>IF($A20="","",IF(AND('01_DANH_MUC'!$H10&gt;0,'01_DANH_MUC'!$G10&lt;$E$4,$E$4-'01_DANH_MUC'!$G10&gt;=31,$E$4-'01_DANH_MUC'!$G10&lt;=60),'01_DANH_MUC'!$H10,0)+SUMIFS('02_NHAT_KY'!$K$7:$K$506,'02_NHAT_KY'!$C$7:$C$506,$A20,'02_NHAT_KY'!$L$7:$L$506,"&gt;=31",'02_NHAT_KY'!$L$7:$L$506,"&lt;=60"))</f>
        <v/>
      </c>
      <c r="N20" s="232">
        <f>IF($A20="","",IF(AND('01_DANH_MUC'!$H10&gt;0,'01_DANH_MUC'!$G10&lt;$E$4,$E$4-'01_DANH_MUC'!$G10&gt;=61,$E$4-'01_DANH_MUC'!$G10&lt;=90),'01_DANH_MUC'!$H10,0)+SUMIFS('02_NHAT_KY'!$K$7:$K$506,'02_NHAT_KY'!$C$7:$C$506,$A20,'02_NHAT_KY'!$L$7:$L$506,"&gt;=61",'02_NHAT_KY'!$L$7:$L$506,"&lt;=90"))</f>
        <v/>
      </c>
      <c r="O20" s="232">
        <f>IF($A20="","",IF(AND('01_DANH_MUC'!$H10&gt;0,'01_DANH_MUC'!$G10&lt;$E$4,$E$4-'01_DANH_MUC'!$G10&gt;90),'01_DANH_MUC'!$H10,0)+SUMIFS('02_NHAT_KY'!$K$7:$K$506,'02_NHAT_KY'!$C$7:$C$506,$A20,'02_NHAT_KY'!$L$7:$L$506,"&gt;90"))</f>
        <v/>
      </c>
      <c r="P20" s="201">
        <f>IF($A20="","",IF($H20&lt;0,"DƯ ÂM/TRẢ TRƯỚC",IF(ABS($H20-SUM($K20:$O20))&lt;1,"OK","LỆCH TUỔI NỢ")))</f>
        <v/>
      </c>
    </row>
    <row r="21">
      <c r="A21" s="201">
        <f>IF('01_DANH_MUC'!$A11="","",'01_DANH_MUC'!$A11)</f>
        <v/>
      </c>
      <c r="B21" s="198">
        <f>IF($A21="","",'01_DANH_MUC'!$B11)</f>
        <v/>
      </c>
      <c r="C21" s="201">
        <f>IF($A21="","",'01_DANH_MUC'!$C11)</f>
        <v/>
      </c>
      <c r="D21" s="231">
        <f>IF($A21="","",'01_DANH_MUC'!$D11)</f>
        <v/>
      </c>
      <c r="E21" s="232">
        <f>IF($A21="","",'01_DANH_MUC'!$F11+SUMIFS('02_NHAT_KY'!$G$7:$G$506,'02_NHAT_KY'!$C$7:$C$506,$A21,'02_NHAT_KY'!$A$7:$A$506,"&lt;"&amp;$B$4)-SUMIFS('02_NHAT_KY'!$H$7:$H$506,'02_NHAT_KY'!$C$7:$C$506,$A21,'02_NHAT_KY'!$A$7:$A$506,"&lt;"&amp;$B$4))</f>
        <v/>
      </c>
      <c r="F21" s="232">
        <f>IF($A21="","",SUMIFS('02_NHAT_KY'!$G$7:$G$506,'02_NHAT_KY'!$C$7:$C$506,$A21,'02_NHAT_KY'!$A$7:$A$506,"&gt;="&amp;$B$4,'02_NHAT_KY'!$A$7:$A$506,"&lt;="&amp;$E$4))</f>
        <v/>
      </c>
      <c r="G21" s="232">
        <f>IF($A21="","",SUMIFS('02_NHAT_KY'!$H$7:$H$506,'02_NHAT_KY'!$C$7:$C$506,$A21,'02_NHAT_KY'!$A$7:$A$506,"&gt;="&amp;$B$4,'02_NHAT_KY'!$A$7:$A$506,"&lt;="&amp;$E$4))</f>
        <v/>
      </c>
      <c r="H21" s="232">
        <f>IF($A21="","",$E21+$F21-$G21)</f>
        <v/>
      </c>
      <c r="I21" s="233">
        <f>IF($A21="","",IF($H21&lt;=0,0,MAX(IF(AND('01_DANH_MUC'!$H11&gt;0,'01_DANH_MUC'!$G11&lt;&gt;""),MAX(0,$E$4-'01_DANH_MUC'!$G11),0),IFERROR(MAXIFS('02_NHAT_KY'!$L$7:$L$506,'02_NHAT_KY'!$C$7:$C$506,$A21),0))))</f>
        <v/>
      </c>
      <c r="J21" s="201">
        <f>IF($A21="","",IF($H21&lt;=0,"Không có dư nợ",IF($I21&gt;0,"Quá hạn","Trong hạn")))</f>
        <v/>
      </c>
      <c r="K21" s="232">
        <f>IF($A21="","",IF(AND('01_DANH_MUC'!$H11&gt;0,OR('01_DANH_MUC'!$G11="",'01_DANH_MUC'!$G11&gt;=$E$4)),'01_DANH_MUC'!$H11,0)+SUMIFS('02_NHAT_KY'!$K$7:$K$506,'02_NHAT_KY'!$C$7:$C$506,$A21,'02_NHAT_KY'!$J$7:$J$506,"&gt;="&amp;$E$4)+SUMIFS('02_NHAT_KY'!$K$7:$K$506,'02_NHAT_KY'!$C$7:$C$506,$A21,'02_NHAT_KY'!$J$7:$J$506,""))</f>
        <v/>
      </c>
      <c r="L21" s="232">
        <f>IF($A21="","",IF(AND('01_DANH_MUC'!$H11&gt;0,'01_DANH_MUC'!$G11&lt;$E$4,$E$4-'01_DANH_MUC'!$G11&lt;=30),'01_DANH_MUC'!$H11,0)+SUMIFS('02_NHAT_KY'!$K$7:$K$506,'02_NHAT_KY'!$C$7:$C$506,$A21,'02_NHAT_KY'!$L$7:$L$506,"&gt;=1",'02_NHAT_KY'!$L$7:$L$506,"&lt;=30"))</f>
        <v/>
      </c>
      <c r="M21" s="232">
        <f>IF($A21="","",IF(AND('01_DANH_MUC'!$H11&gt;0,'01_DANH_MUC'!$G11&lt;$E$4,$E$4-'01_DANH_MUC'!$G11&gt;=31,$E$4-'01_DANH_MUC'!$G11&lt;=60),'01_DANH_MUC'!$H11,0)+SUMIFS('02_NHAT_KY'!$K$7:$K$506,'02_NHAT_KY'!$C$7:$C$506,$A21,'02_NHAT_KY'!$L$7:$L$506,"&gt;=31",'02_NHAT_KY'!$L$7:$L$506,"&lt;=60"))</f>
        <v/>
      </c>
      <c r="N21" s="232">
        <f>IF($A21="","",IF(AND('01_DANH_MUC'!$H11&gt;0,'01_DANH_MUC'!$G11&lt;$E$4,$E$4-'01_DANH_MUC'!$G11&gt;=61,$E$4-'01_DANH_MUC'!$G11&lt;=90),'01_DANH_MUC'!$H11,0)+SUMIFS('02_NHAT_KY'!$K$7:$K$506,'02_NHAT_KY'!$C$7:$C$506,$A21,'02_NHAT_KY'!$L$7:$L$506,"&gt;=61",'02_NHAT_KY'!$L$7:$L$506,"&lt;=90"))</f>
        <v/>
      </c>
      <c r="O21" s="232">
        <f>IF($A21="","",IF(AND('01_DANH_MUC'!$H11&gt;0,'01_DANH_MUC'!$G11&lt;$E$4,$E$4-'01_DANH_MUC'!$G11&gt;90),'01_DANH_MUC'!$H11,0)+SUMIFS('02_NHAT_KY'!$K$7:$K$506,'02_NHAT_KY'!$C$7:$C$506,$A21,'02_NHAT_KY'!$L$7:$L$506,"&gt;90"))</f>
        <v/>
      </c>
      <c r="P21" s="201">
        <f>IF($A21="","",IF($H21&lt;0,"DƯ ÂM/TRẢ TRƯỚC",IF(ABS($H21-SUM($K21:$O21))&lt;1,"OK","LỆCH TUỔI NỢ")))</f>
        <v/>
      </c>
    </row>
    <row r="22">
      <c r="A22" s="201">
        <f>IF('01_DANH_MUC'!$A12="","",'01_DANH_MUC'!$A12)</f>
        <v/>
      </c>
      <c r="B22" s="198">
        <f>IF($A22="","",'01_DANH_MUC'!$B12)</f>
        <v/>
      </c>
      <c r="C22" s="201">
        <f>IF($A22="","",'01_DANH_MUC'!$C12)</f>
        <v/>
      </c>
      <c r="D22" s="231">
        <f>IF($A22="","",'01_DANH_MUC'!$D12)</f>
        <v/>
      </c>
      <c r="E22" s="232">
        <f>IF($A22="","",'01_DANH_MUC'!$F12+SUMIFS('02_NHAT_KY'!$G$7:$G$506,'02_NHAT_KY'!$C$7:$C$506,$A22,'02_NHAT_KY'!$A$7:$A$506,"&lt;"&amp;$B$4)-SUMIFS('02_NHAT_KY'!$H$7:$H$506,'02_NHAT_KY'!$C$7:$C$506,$A22,'02_NHAT_KY'!$A$7:$A$506,"&lt;"&amp;$B$4))</f>
        <v/>
      </c>
      <c r="F22" s="232">
        <f>IF($A22="","",SUMIFS('02_NHAT_KY'!$G$7:$G$506,'02_NHAT_KY'!$C$7:$C$506,$A22,'02_NHAT_KY'!$A$7:$A$506,"&gt;="&amp;$B$4,'02_NHAT_KY'!$A$7:$A$506,"&lt;="&amp;$E$4))</f>
        <v/>
      </c>
      <c r="G22" s="232">
        <f>IF($A22="","",SUMIFS('02_NHAT_KY'!$H$7:$H$506,'02_NHAT_KY'!$C$7:$C$506,$A22,'02_NHAT_KY'!$A$7:$A$506,"&gt;="&amp;$B$4,'02_NHAT_KY'!$A$7:$A$506,"&lt;="&amp;$E$4))</f>
        <v/>
      </c>
      <c r="H22" s="232">
        <f>IF($A22="","",$E22+$F22-$G22)</f>
        <v/>
      </c>
      <c r="I22" s="233">
        <f>IF($A22="","",IF($H22&lt;=0,0,MAX(IF(AND('01_DANH_MUC'!$H12&gt;0,'01_DANH_MUC'!$G12&lt;&gt;""),MAX(0,$E$4-'01_DANH_MUC'!$G12),0),IFERROR(MAXIFS('02_NHAT_KY'!$L$7:$L$506,'02_NHAT_KY'!$C$7:$C$506,$A22),0))))</f>
        <v/>
      </c>
      <c r="J22" s="201">
        <f>IF($A22="","",IF($H22&lt;=0,"Không có dư nợ",IF($I22&gt;0,"Quá hạn","Trong hạn")))</f>
        <v/>
      </c>
      <c r="K22" s="232">
        <f>IF($A22="","",IF(AND('01_DANH_MUC'!$H12&gt;0,OR('01_DANH_MUC'!$G12="",'01_DANH_MUC'!$G12&gt;=$E$4)),'01_DANH_MUC'!$H12,0)+SUMIFS('02_NHAT_KY'!$K$7:$K$506,'02_NHAT_KY'!$C$7:$C$506,$A22,'02_NHAT_KY'!$J$7:$J$506,"&gt;="&amp;$E$4)+SUMIFS('02_NHAT_KY'!$K$7:$K$506,'02_NHAT_KY'!$C$7:$C$506,$A22,'02_NHAT_KY'!$J$7:$J$506,""))</f>
        <v/>
      </c>
      <c r="L22" s="232">
        <f>IF($A22="","",IF(AND('01_DANH_MUC'!$H12&gt;0,'01_DANH_MUC'!$G12&lt;$E$4,$E$4-'01_DANH_MUC'!$G12&lt;=30),'01_DANH_MUC'!$H12,0)+SUMIFS('02_NHAT_KY'!$K$7:$K$506,'02_NHAT_KY'!$C$7:$C$506,$A22,'02_NHAT_KY'!$L$7:$L$506,"&gt;=1",'02_NHAT_KY'!$L$7:$L$506,"&lt;=30"))</f>
        <v/>
      </c>
      <c r="M22" s="232">
        <f>IF($A22="","",IF(AND('01_DANH_MUC'!$H12&gt;0,'01_DANH_MUC'!$G12&lt;$E$4,$E$4-'01_DANH_MUC'!$G12&gt;=31,$E$4-'01_DANH_MUC'!$G12&lt;=60),'01_DANH_MUC'!$H12,0)+SUMIFS('02_NHAT_KY'!$K$7:$K$506,'02_NHAT_KY'!$C$7:$C$506,$A22,'02_NHAT_KY'!$L$7:$L$506,"&gt;=31",'02_NHAT_KY'!$L$7:$L$506,"&lt;=60"))</f>
        <v/>
      </c>
      <c r="N22" s="232">
        <f>IF($A22="","",IF(AND('01_DANH_MUC'!$H12&gt;0,'01_DANH_MUC'!$G12&lt;$E$4,$E$4-'01_DANH_MUC'!$G12&gt;=61,$E$4-'01_DANH_MUC'!$G12&lt;=90),'01_DANH_MUC'!$H12,0)+SUMIFS('02_NHAT_KY'!$K$7:$K$506,'02_NHAT_KY'!$C$7:$C$506,$A22,'02_NHAT_KY'!$L$7:$L$506,"&gt;=61",'02_NHAT_KY'!$L$7:$L$506,"&lt;=90"))</f>
        <v/>
      </c>
      <c r="O22" s="232">
        <f>IF($A22="","",IF(AND('01_DANH_MUC'!$H12&gt;0,'01_DANH_MUC'!$G12&lt;$E$4,$E$4-'01_DANH_MUC'!$G12&gt;90),'01_DANH_MUC'!$H12,0)+SUMIFS('02_NHAT_KY'!$K$7:$K$506,'02_NHAT_KY'!$C$7:$C$506,$A22,'02_NHAT_KY'!$L$7:$L$506,"&gt;90"))</f>
        <v/>
      </c>
      <c r="P22" s="201">
        <f>IF($A22="","",IF($H22&lt;0,"DƯ ÂM/TRẢ TRƯỚC",IF(ABS($H22-SUM($K22:$O22))&lt;1,"OK","LỆCH TUỔI NỢ")))</f>
        <v/>
      </c>
    </row>
    <row r="23">
      <c r="A23" s="201">
        <f>IF('01_DANH_MUC'!$A13="","",'01_DANH_MUC'!$A13)</f>
        <v/>
      </c>
      <c r="B23" s="198">
        <f>IF($A23="","",'01_DANH_MUC'!$B13)</f>
        <v/>
      </c>
      <c r="C23" s="201">
        <f>IF($A23="","",'01_DANH_MUC'!$C13)</f>
        <v/>
      </c>
      <c r="D23" s="231">
        <f>IF($A23="","",'01_DANH_MUC'!$D13)</f>
        <v/>
      </c>
      <c r="E23" s="232">
        <f>IF($A23="","",'01_DANH_MUC'!$F13+SUMIFS('02_NHAT_KY'!$G$7:$G$506,'02_NHAT_KY'!$C$7:$C$506,$A23,'02_NHAT_KY'!$A$7:$A$506,"&lt;"&amp;$B$4)-SUMIFS('02_NHAT_KY'!$H$7:$H$506,'02_NHAT_KY'!$C$7:$C$506,$A23,'02_NHAT_KY'!$A$7:$A$506,"&lt;"&amp;$B$4))</f>
        <v/>
      </c>
      <c r="F23" s="232">
        <f>IF($A23="","",SUMIFS('02_NHAT_KY'!$G$7:$G$506,'02_NHAT_KY'!$C$7:$C$506,$A23,'02_NHAT_KY'!$A$7:$A$506,"&gt;="&amp;$B$4,'02_NHAT_KY'!$A$7:$A$506,"&lt;="&amp;$E$4))</f>
        <v/>
      </c>
      <c r="G23" s="232">
        <f>IF($A23="","",SUMIFS('02_NHAT_KY'!$H$7:$H$506,'02_NHAT_KY'!$C$7:$C$506,$A23,'02_NHAT_KY'!$A$7:$A$506,"&gt;="&amp;$B$4,'02_NHAT_KY'!$A$7:$A$506,"&lt;="&amp;$E$4))</f>
        <v/>
      </c>
      <c r="H23" s="232">
        <f>IF($A23="","",$E23+$F23-$G23)</f>
        <v/>
      </c>
      <c r="I23" s="233">
        <f>IF($A23="","",IF($H23&lt;=0,0,MAX(IF(AND('01_DANH_MUC'!$H13&gt;0,'01_DANH_MUC'!$G13&lt;&gt;""),MAX(0,$E$4-'01_DANH_MUC'!$G13),0),IFERROR(MAXIFS('02_NHAT_KY'!$L$7:$L$506,'02_NHAT_KY'!$C$7:$C$506,$A23),0))))</f>
        <v/>
      </c>
      <c r="J23" s="201">
        <f>IF($A23="","",IF($H23&lt;=0,"Không có dư nợ",IF($I23&gt;0,"Quá hạn","Trong hạn")))</f>
        <v/>
      </c>
      <c r="K23" s="232">
        <f>IF($A23="","",IF(AND('01_DANH_MUC'!$H13&gt;0,OR('01_DANH_MUC'!$G13="",'01_DANH_MUC'!$G13&gt;=$E$4)),'01_DANH_MUC'!$H13,0)+SUMIFS('02_NHAT_KY'!$K$7:$K$506,'02_NHAT_KY'!$C$7:$C$506,$A23,'02_NHAT_KY'!$J$7:$J$506,"&gt;="&amp;$E$4)+SUMIFS('02_NHAT_KY'!$K$7:$K$506,'02_NHAT_KY'!$C$7:$C$506,$A23,'02_NHAT_KY'!$J$7:$J$506,""))</f>
        <v/>
      </c>
      <c r="L23" s="232">
        <f>IF($A23="","",IF(AND('01_DANH_MUC'!$H13&gt;0,'01_DANH_MUC'!$G13&lt;$E$4,$E$4-'01_DANH_MUC'!$G13&lt;=30),'01_DANH_MUC'!$H13,0)+SUMIFS('02_NHAT_KY'!$K$7:$K$506,'02_NHAT_KY'!$C$7:$C$506,$A23,'02_NHAT_KY'!$L$7:$L$506,"&gt;=1",'02_NHAT_KY'!$L$7:$L$506,"&lt;=30"))</f>
        <v/>
      </c>
      <c r="M23" s="232">
        <f>IF($A23="","",IF(AND('01_DANH_MUC'!$H13&gt;0,'01_DANH_MUC'!$G13&lt;$E$4,$E$4-'01_DANH_MUC'!$G13&gt;=31,$E$4-'01_DANH_MUC'!$G13&lt;=60),'01_DANH_MUC'!$H13,0)+SUMIFS('02_NHAT_KY'!$K$7:$K$506,'02_NHAT_KY'!$C$7:$C$506,$A23,'02_NHAT_KY'!$L$7:$L$506,"&gt;=31",'02_NHAT_KY'!$L$7:$L$506,"&lt;=60"))</f>
        <v/>
      </c>
      <c r="N23" s="232">
        <f>IF($A23="","",IF(AND('01_DANH_MUC'!$H13&gt;0,'01_DANH_MUC'!$G13&lt;$E$4,$E$4-'01_DANH_MUC'!$G13&gt;=61,$E$4-'01_DANH_MUC'!$G13&lt;=90),'01_DANH_MUC'!$H13,0)+SUMIFS('02_NHAT_KY'!$K$7:$K$506,'02_NHAT_KY'!$C$7:$C$506,$A23,'02_NHAT_KY'!$L$7:$L$506,"&gt;=61",'02_NHAT_KY'!$L$7:$L$506,"&lt;=90"))</f>
        <v/>
      </c>
      <c r="O23" s="232">
        <f>IF($A23="","",IF(AND('01_DANH_MUC'!$H13&gt;0,'01_DANH_MUC'!$G13&lt;$E$4,$E$4-'01_DANH_MUC'!$G13&gt;90),'01_DANH_MUC'!$H13,0)+SUMIFS('02_NHAT_KY'!$K$7:$K$506,'02_NHAT_KY'!$C$7:$C$506,$A23,'02_NHAT_KY'!$L$7:$L$506,"&gt;90"))</f>
        <v/>
      </c>
      <c r="P23" s="201">
        <f>IF($A23="","",IF($H23&lt;0,"DƯ ÂM/TRẢ TRƯỚC",IF(ABS($H23-SUM($K23:$O23))&lt;1,"OK","LỆCH TUỔI NỢ")))</f>
        <v/>
      </c>
    </row>
    <row r="24">
      <c r="A24" s="201">
        <f>IF('01_DANH_MUC'!$A14="","",'01_DANH_MUC'!$A14)</f>
        <v/>
      </c>
      <c r="B24" s="198">
        <f>IF($A24="","",'01_DANH_MUC'!$B14)</f>
        <v/>
      </c>
      <c r="C24" s="201">
        <f>IF($A24="","",'01_DANH_MUC'!$C14)</f>
        <v/>
      </c>
      <c r="D24" s="231">
        <f>IF($A24="","",'01_DANH_MUC'!$D14)</f>
        <v/>
      </c>
      <c r="E24" s="232">
        <f>IF($A24="","",'01_DANH_MUC'!$F14+SUMIFS('02_NHAT_KY'!$G$7:$G$506,'02_NHAT_KY'!$C$7:$C$506,$A24,'02_NHAT_KY'!$A$7:$A$506,"&lt;"&amp;$B$4)-SUMIFS('02_NHAT_KY'!$H$7:$H$506,'02_NHAT_KY'!$C$7:$C$506,$A24,'02_NHAT_KY'!$A$7:$A$506,"&lt;"&amp;$B$4))</f>
        <v/>
      </c>
      <c r="F24" s="232">
        <f>IF($A24="","",SUMIFS('02_NHAT_KY'!$G$7:$G$506,'02_NHAT_KY'!$C$7:$C$506,$A24,'02_NHAT_KY'!$A$7:$A$506,"&gt;="&amp;$B$4,'02_NHAT_KY'!$A$7:$A$506,"&lt;="&amp;$E$4))</f>
        <v/>
      </c>
      <c r="G24" s="232">
        <f>IF($A24="","",SUMIFS('02_NHAT_KY'!$H$7:$H$506,'02_NHAT_KY'!$C$7:$C$506,$A24,'02_NHAT_KY'!$A$7:$A$506,"&gt;="&amp;$B$4,'02_NHAT_KY'!$A$7:$A$506,"&lt;="&amp;$E$4))</f>
        <v/>
      </c>
      <c r="H24" s="232">
        <f>IF($A24="","",$E24+$F24-$G24)</f>
        <v/>
      </c>
      <c r="I24" s="233">
        <f>IF($A24="","",IF($H24&lt;=0,0,MAX(IF(AND('01_DANH_MUC'!$H14&gt;0,'01_DANH_MUC'!$G14&lt;&gt;""),MAX(0,$E$4-'01_DANH_MUC'!$G14),0),IFERROR(MAXIFS('02_NHAT_KY'!$L$7:$L$506,'02_NHAT_KY'!$C$7:$C$506,$A24),0))))</f>
        <v/>
      </c>
      <c r="J24" s="201">
        <f>IF($A24="","",IF($H24&lt;=0,"Không có dư nợ",IF($I24&gt;0,"Quá hạn","Trong hạn")))</f>
        <v/>
      </c>
      <c r="K24" s="232">
        <f>IF($A24="","",IF(AND('01_DANH_MUC'!$H14&gt;0,OR('01_DANH_MUC'!$G14="",'01_DANH_MUC'!$G14&gt;=$E$4)),'01_DANH_MUC'!$H14,0)+SUMIFS('02_NHAT_KY'!$K$7:$K$506,'02_NHAT_KY'!$C$7:$C$506,$A24,'02_NHAT_KY'!$J$7:$J$506,"&gt;="&amp;$E$4)+SUMIFS('02_NHAT_KY'!$K$7:$K$506,'02_NHAT_KY'!$C$7:$C$506,$A24,'02_NHAT_KY'!$J$7:$J$506,""))</f>
        <v/>
      </c>
      <c r="L24" s="232">
        <f>IF($A24="","",IF(AND('01_DANH_MUC'!$H14&gt;0,'01_DANH_MUC'!$G14&lt;$E$4,$E$4-'01_DANH_MUC'!$G14&lt;=30),'01_DANH_MUC'!$H14,0)+SUMIFS('02_NHAT_KY'!$K$7:$K$506,'02_NHAT_KY'!$C$7:$C$506,$A24,'02_NHAT_KY'!$L$7:$L$506,"&gt;=1",'02_NHAT_KY'!$L$7:$L$506,"&lt;=30"))</f>
        <v/>
      </c>
      <c r="M24" s="232">
        <f>IF($A24="","",IF(AND('01_DANH_MUC'!$H14&gt;0,'01_DANH_MUC'!$G14&lt;$E$4,$E$4-'01_DANH_MUC'!$G14&gt;=31,$E$4-'01_DANH_MUC'!$G14&lt;=60),'01_DANH_MUC'!$H14,0)+SUMIFS('02_NHAT_KY'!$K$7:$K$506,'02_NHAT_KY'!$C$7:$C$506,$A24,'02_NHAT_KY'!$L$7:$L$506,"&gt;=31",'02_NHAT_KY'!$L$7:$L$506,"&lt;=60"))</f>
        <v/>
      </c>
      <c r="N24" s="232">
        <f>IF($A24="","",IF(AND('01_DANH_MUC'!$H14&gt;0,'01_DANH_MUC'!$G14&lt;$E$4,$E$4-'01_DANH_MUC'!$G14&gt;=61,$E$4-'01_DANH_MUC'!$G14&lt;=90),'01_DANH_MUC'!$H14,0)+SUMIFS('02_NHAT_KY'!$K$7:$K$506,'02_NHAT_KY'!$C$7:$C$506,$A24,'02_NHAT_KY'!$L$7:$L$506,"&gt;=61",'02_NHAT_KY'!$L$7:$L$506,"&lt;=90"))</f>
        <v/>
      </c>
      <c r="O24" s="232">
        <f>IF($A24="","",IF(AND('01_DANH_MUC'!$H14&gt;0,'01_DANH_MUC'!$G14&lt;$E$4,$E$4-'01_DANH_MUC'!$G14&gt;90),'01_DANH_MUC'!$H14,0)+SUMIFS('02_NHAT_KY'!$K$7:$K$506,'02_NHAT_KY'!$C$7:$C$506,$A24,'02_NHAT_KY'!$L$7:$L$506,"&gt;90"))</f>
        <v/>
      </c>
      <c r="P24" s="201">
        <f>IF($A24="","",IF($H24&lt;0,"DƯ ÂM/TRẢ TRƯỚC",IF(ABS($H24-SUM($K24:$O24))&lt;1,"OK","LỆCH TUỔI NỢ")))</f>
        <v/>
      </c>
    </row>
    <row r="25">
      <c r="A25" s="201">
        <f>IF('01_DANH_MUC'!$A15="","",'01_DANH_MUC'!$A15)</f>
        <v/>
      </c>
      <c r="B25" s="198">
        <f>IF($A25="","",'01_DANH_MUC'!$B15)</f>
        <v/>
      </c>
      <c r="C25" s="201">
        <f>IF($A25="","",'01_DANH_MUC'!$C15)</f>
        <v/>
      </c>
      <c r="D25" s="231">
        <f>IF($A25="","",'01_DANH_MUC'!$D15)</f>
        <v/>
      </c>
      <c r="E25" s="232">
        <f>IF($A25="","",'01_DANH_MUC'!$F15+SUMIFS('02_NHAT_KY'!$G$7:$G$506,'02_NHAT_KY'!$C$7:$C$506,$A25,'02_NHAT_KY'!$A$7:$A$506,"&lt;"&amp;$B$4)-SUMIFS('02_NHAT_KY'!$H$7:$H$506,'02_NHAT_KY'!$C$7:$C$506,$A25,'02_NHAT_KY'!$A$7:$A$506,"&lt;"&amp;$B$4))</f>
        <v/>
      </c>
      <c r="F25" s="232">
        <f>IF($A25="","",SUMIFS('02_NHAT_KY'!$G$7:$G$506,'02_NHAT_KY'!$C$7:$C$506,$A25,'02_NHAT_KY'!$A$7:$A$506,"&gt;="&amp;$B$4,'02_NHAT_KY'!$A$7:$A$506,"&lt;="&amp;$E$4))</f>
        <v/>
      </c>
      <c r="G25" s="232">
        <f>IF($A25="","",SUMIFS('02_NHAT_KY'!$H$7:$H$506,'02_NHAT_KY'!$C$7:$C$506,$A25,'02_NHAT_KY'!$A$7:$A$506,"&gt;="&amp;$B$4,'02_NHAT_KY'!$A$7:$A$506,"&lt;="&amp;$E$4))</f>
        <v/>
      </c>
      <c r="H25" s="232">
        <f>IF($A25="","",$E25+$F25-$G25)</f>
        <v/>
      </c>
      <c r="I25" s="233">
        <f>IF($A25="","",IF($H25&lt;=0,0,MAX(IF(AND('01_DANH_MUC'!$H15&gt;0,'01_DANH_MUC'!$G15&lt;&gt;""),MAX(0,$E$4-'01_DANH_MUC'!$G15),0),IFERROR(MAXIFS('02_NHAT_KY'!$L$7:$L$506,'02_NHAT_KY'!$C$7:$C$506,$A25),0))))</f>
        <v/>
      </c>
      <c r="J25" s="201">
        <f>IF($A25="","",IF($H25&lt;=0,"Không có dư nợ",IF($I25&gt;0,"Quá hạn","Trong hạn")))</f>
        <v/>
      </c>
      <c r="K25" s="232">
        <f>IF($A25="","",IF(AND('01_DANH_MUC'!$H15&gt;0,OR('01_DANH_MUC'!$G15="",'01_DANH_MUC'!$G15&gt;=$E$4)),'01_DANH_MUC'!$H15,0)+SUMIFS('02_NHAT_KY'!$K$7:$K$506,'02_NHAT_KY'!$C$7:$C$506,$A25,'02_NHAT_KY'!$J$7:$J$506,"&gt;="&amp;$E$4)+SUMIFS('02_NHAT_KY'!$K$7:$K$506,'02_NHAT_KY'!$C$7:$C$506,$A25,'02_NHAT_KY'!$J$7:$J$506,""))</f>
        <v/>
      </c>
      <c r="L25" s="232">
        <f>IF($A25="","",IF(AND('01_DANH_MUC'!$H15&gt;0,'01_DANH_MUC'!$G15&lt;$E$4,$E$4-'01_DANH_MUC'!$G15&lt;=30),'01_DANH_MUC'!$H15,0)+SUMIFS('02_NHAT_KY'!$K$7:$K$506,'02_NHAT_KY'!$C$7:$C$506,$A25,'02_NHAT_KY'!$L$7:$L$506,"&gt;=1",'02_NHAT_KY'!$L$7:$L$506,"&lt;=30"))</f>
        <v/>
      </c>
      <c r="M25" s="232">
        <f>IF($A25="","",IF(AND('01_DANH_MUC'!$H15&gt;0,'01_DANH_MUC'!$G15&lt;$E$4,$E$4-'01_DANH_MUC'!$G15&gt;=31,$E$4-'01_DANH_MUC'!$G15&lt;=60),'01_DANH_MUC'!$H15,0)+SUMIFS('02_NHAT_KY'!$K$7:$K$506,'02_NHAT_KY'!$C$7:$C$506,$A25,'02_NHAT_KY'!$L$7:$L$506,"&gt;=31",'02_NHAT_KY'!$L$7:$L$506,"&lt;=60"))</f>
        <v/>
      </c>
      <c r="N25" s="232">
        <f>IF($A25="","",IF(AND('01_DANH_MUC'!$H15&gt;0,'01_DANH_MUC'!$G15&lt;$E$4,$E$4-'01_DANH_MUC'!$G15&gt;=61,$E$4-'01_DANH_MUC'!$G15&lt;=90),'01_DANH_MUC'!$H15,0)+SUMIFS('02_NHAT_KY'!$K$7:$K$506,'02_NHAT_KY'!$C$7:$C$506,$A25,'02_NHAT_KY'!$L$7:$L$506,"&gt;=61",'02_NHAT_KY'!$L$7:$L$506,"&lt;=90"))</f>
        <v/>
      </c>
      <c r="O25" s="232">
        <f>IF($A25="","",IF(AND('01_DANH_MUC'!$H15&gt;0,'01_DANH_MUC'!$G15&lt;$E$4,$E$4-'01_DANH_MUC'!$G15&gt;90),'01_DANH_MUC'!$H15,0)+SUMIFS('02_NHAT_KY'!$K$7:$K$506,'02_NHAT_KY'!$C$7:$C$506,$A25,'02_NHAT_KY'!$L$7:$L$506,"&gt;90"))</f>
        <v/>
      </c>
      <c r="P25" s="201">
        <f>IF($A25="","",IF($H25&lt;0,"DƯ ÂM/TRẢ TRƯỚC",IF(ABS($H25-SUM($K25:$O25))&lt;1,"OK","LỆCH TUỔI NỢ")))</f>
        <v/>
      </c>
    </row>
    <row r="26">
      <c r="A26" s="201">
        <f>IF('01_DANH_MUC'!$A16="","",'01_DANH_MUC'!$A16)</f>
        <v/>
      </c>
      <c r="B26" s="198">
        <f>IF($A26="","",'01_DANH_MUC'!$B16)</f>
        <v/>
      </c>
      <c r="C26" s="201">
        <f>IF($A26="","",'01_DANH_MUC'!$C16)</f>
        <v/>
      </c>
      <c r="D26" s="231">
        <f>IF($A26="","",'01_DANH_MUC'!$D16)</f>
        <v/>
      </c>
      <c r="E26" s="232">
        <f>IF($A26="","",'01_DANH_MUC'!$F16+SUMIFS('02_NHAT_KY'!$G$7:$G$506,'02_NHAT_KY'!$C$7:$C$506,$A26,'02_NHAT_KY'!$A$7:$A$506,"&lt;"&amp;$B$4)-SUMIFS('02_NHAT_KY'!$H$7:$H$506,'02_NHAT_KY'!$C$7:$C$506,$A26,'02_NHAT_KY'!$A$7:$A$506,"&lt;"&amp;$B$4))</f>
        <v/>
      </c>
      <c r="F26" s="232">
        <f>IF($A26="","",SUMIFS('02_NHAT_KY'!$G$7:$G$506,'02_NHAT_KY'!$C$7:$C$506,$A26,'02_NHAT_KY'!$A$7:$A$506,"&gt;="&amp;$B$4,'02_NHAT_KY'!$A$7:$A$506,"&lt;="&amp;$E$4))</f>
        <v/>
      </c>
      <c r="G26" s="232">
        <f>IF($A26="","",SUMIFS('02_NHAT_KY'!$H$7:$H$506,'02_NHAT_KY'!$C$7:$C$506,$A26,'02_NHAT_KY'!$A$7:$A$506,"&gt;="&amp;$B$4,'02_NHAT_KY'!$A$7:$A$506,"&lt;="&amp;$E$4))</f>
        <v/>
      </c>
      <c r="H26" s="232">
        <f>IF($A26="","",$E26+$F26-$G26)</f>
        <v/>
      </c>
      <c r="I26" s="233">
        <f>IF($A26="","",IF($H26&lt;=0,0,MAX(IF(AND('01_DANH_MUC'!$H16&gt;0,'01_DANH_MUC'!$G16&lt;&gt;""),MAX(0,$E$4-'01_DANH_MUC'!$G16),0),IFERROR(MAXIFS('02_NHAT_KY'!$L$7:$L$506,'02_NHAT_KY'!$C$7:$C$506,$A26),0))))</f>
        <v/>
      </c>
      <c r="J26" s="201">
        <f>IF($A26="","",IF($H26&lt;=0,"Không có dư nợ",IF($I26&gt;0,"Quá hạn","Trong hạn")))</f>
        <v/>
      </c>
      <c r="K26" s="232">
        <f>IF($A26="","",IF(AND('01_DANH_MUC'!$H16&gt;0,OR('01_DANH_MUC'!$G16="",'01_DANH_MUC'!$G16&gt;=$E$4)),'01_DANH_MUC'!$H16,0)+SUMIFS('02_NHAT_KY'!$K$7:$K$506,'02_NHAT_KY'!$C$7:$C$506,$A26,'02_NHAT_KY'!$J$7:$J$506,"&gt;="&amp;$E$4)+SUMIFS('02_NHAT_KY'!$K$7:$K$506,'02_NHAT_KY'!$C$7:$C$506,$A26,'02_NHAT_KY'!$J$7:$J$506,""))</f>
        <v/>
      </c>
      <c r="L26" s="232">
        <f>IF($A26="","",IF(AND('01_DANH_MUC'!$H16&gt;0,'01_DANH_MUC'!$G16&lt;$E$4,$E$4-'01_DANH_MUC'!$G16&lt;=30),'01_DANH_MUC'!$H16,0)+SUMIFS('02_NHAT_KY'!$K$7:$K$506,'02_NHAT_KY'!$C$7:$C$506,$A26,'02_NHAT_KY'!$L$7:$L$506,"&gt;=1",'02_NHAT_KY'!$L$7:$L$506,"&lt;=30"))</f>
        <v/>
      </c>
      <c r="M26" s="232">
        <f>IF($A26="","",IF(AND('01_DANH_MUC'!$H16&gt;0,'01_DANH_MUC'!$G16&lt;$E$4,$E$4-'01_DANH_MUC'!$G16&gt;=31,$E$4-'01_DANH_MUC'!$G16&lt;=60),'01_DANH_MUC'!$H16,0)+SUMIFS('02_NHAT_KY'!$K$7:$K$506,'02_NHAT_KY'!$C$7:$C$506,$A26,'02_NHAT_KY'!$L$7:$L$506,"&gt;=31",'02_NHAT_KY'!$L$7:$L$506,"&lt;=60"))</f>
        <v/>
      </c>
      <c r="N26" s="232">
        <f>IF($A26="","",IF(AND('01_DANH_MUC'!$H16&gt;0,'01_DANH_MUC'!$G16&lt;$E$4,$E$4-'01_DANH_MUC'!$G16&gt;=61,$E$4-'01_DANH_MUC'!$G16&lt;=90),'01_DANH_MUC'!$H16,0)+SUMIFS('02_NHAT_KY'!$K$7:$K$506,'02_NHAT_KY'!$C$7:$C$506,$A26,'02_NHAT_KY'!$L$7:$L$506,"&gt;=61",'02_NHAT_KY'!$L$7:$L$506,"&lt;=90"))</f>
        <v/>
      </c>
      <c r="O26" s="232">
        <f>IF($A26="","",IF(AND('01_DANH_MUC'!$H16&gt;0,'01_DANH_MUC'!$G16&lt;$E$4,$E$4-'01_DANH_MUC'!$G16&gt;90),'01_DANH_MUC'!$H16,0)+SUMIFS('02_NHAT_KY'!$K$7:$K$506,'02_NHAT_KY'!$C$7:$C$506,$A26,'02_NHAT_KY'!$L$7:$L$506,"&gt;90"))</f>
        <v/>
      </c>
      <c r="P26" s="201">
        <f>IF($A26="","",IF($H26&lt;0,"DƯ ÂM/TRẢ TRƯỚC",IF(ABS($H26-SUM($K26:$O26))&lt;1,"OK","LỆCH TUỔI NỢ")))</f>
        <v/>
      </c>
    </row>
    <row r="27">
      <c r="A27" s="201">
        <f>IF('01_DANH_MUC'!$A17="","",'01_DANH_MUC'!$A17)</f>
        <v/>
      </c>
      <c r="B27" s="198">
        <f>IF($A27="","",'01_DANH_MUC'!$B17)</f>
        <v/>
      </c>
      <c r="C27" s="201">
        <f>IF($A27="","",'01_DANH_MUC'!$C17)</f>
        <v/>
      </c>
      <c r="D27" s="231">
        <f>IF($A27="","",'01_DANH_MUC'!$D17)</f>
        <v/>
      </c>
      <c r="E27" s="232">
        <f>IF($A27="","",'01_DANH_MUC'!$F17+SUMIFS('02_NHAT_KY'!$G$7:$G$506,'02_NHAT_KY'!$C$7:$C$506,$A27,'02_NHAT_KY'!$A$7:$A$506,"&lt;"&amp;$B$4)-SUMIFS('02_NHAT_KY'!$H$7:$H$506,'02_NHAT_KY'!$C$7:$C$506,$A27,'02_NHAT_KY'!$A$7:$A$506,"&lt;"&amp;$B$4))</f>
        <v/>
      </c>
      <c r="F27" s="232">
        <f>IF($A27="","",SUMIFS('02_NHAT_KY'!$G$7:$G$506,'02_NHAT_KY'!$C$7:$C$506,$A27,'02_NHAT_KY'!$A$7:$A$506,"&gt;="&amp;$B$4,'02_NHAT_KY'!$A$7:$A$506,"&lt;="&amp;$E$4))</f>
        <v/>
      </c>
      <c r="G27" s="232">
        <f>IF($A27="","",SUMIFS('02_NHAT_KY'!$H$7:$H$506,'02_NHAT_KY'!$C$7:$C$506,$A27,'02_NHAT_KY'!$A$7:$A$506,"&gt;="&amp;$B$4,'02_NHAT_KY'!$A$7:$A$506,"&lt;="&amp;$E$4))</f>
        <v/>
      </c>
      <c r="H27" s="232">
        <f>IF($A27="","",$E27+$F27-$G27)</f>
        <v/>
      </c>
      <c r="I27" s="233">
        <f>IF($A27="","",IF($H27&lt;=0,0,MAX(IF(AND('01_DANH_MUC'!$H17&gt;0,'01_DANH_MUC'!$G17&lt;&gt;""),MAX(0,$E$4-'01_DANH_MUC'!$G17),0),IFERROR(MAXIFS('02_NHAT_KY'!$L$7:$L$506,'02_NHAT_KY'!$C$7:$C$506,$A27),0))))</f>
        <v/>
      </c>
      <c r="J27" s="201">
        <f>IF($A27="","",IF($H27&lt;=0,"Không có dư nợ",IF($I27&gt;0,"Quá hạn","Trong hạn")))</f>
        <v/>
      </c>
      <c r="K27" s="232">
        <f>IF($A27="","",IF(AND('01_DANH_MUC'!$H17&gt;0,OR('01_DANH_MUC'!$G17="",'01_DANH_MUC'!$G17&gt;=$E$4)),'01_DANH_MUC'!$H17,0)+SUMIFS('02_NHAT_KY'!$K$7:$K$506,'02_NHAT_KY'!$C$7:$C$506,$A27,'02_NHAT_KY'!$J$7:$J$506,"&gt;="&amp;$E$4)+SUMIFS('02_NHAT_KY'!$K$7:$K$506,'02_NHAT_KY'!$C$7:$C$506,$A27,'02_NHAT_KY'!$J$7:$J$506,""))</f>
        <v/>
      </c>
      <c r="L27" s="232">
        <f>IF($A27="","",IF(AND('01_DANH_MUC'!$H17&gt;0,'01_DANH_MUC'!$G17&lt;$E$4,$E$4-'01_DANH_MUC'!$G17&lt;=30),'01_DANH_MUC'!$H17,0)+SUMIFS('02_NHAT_KY'!$K$7:$K$506,'02_NHAT_KY'!$C$7:$C$506,$A27,'02_NHAT_KY'!$L$7:$L$506,"&gt;=1",'02_NHAT_KY'!$L$7:$L$506,"&lt;=30"))</f>
        <v/>
      </c>
      <c r="M27" s="232">
        <f>IF($A27="","",IF(AND('01_DANH_MUC'!$H17&gt;0,'01_DANH_MUC'!$G17&lt;$E$4,$E$4-'01_DANH_MUC'!$G17&gt;=31,$E$4-'01_DANH_MUC'!$G17&lt;=60),'01_DANH_MUC'!$H17,0)+SUMIFS('02_NHAT_KY'!$K$7:$K$506,'02_NHAT_KY'!$C$7:$C$506,$A27,'02_NHAT_KY'!$L$7:$L$506,"&gt;=31",'02_NHAT_KY'!$L$7:$L$506,"&lt;=60"))</f>
        <v/>
      </c>
      <c r="N27" s="232">
        <f>IF($A27="","",IF(AND('01_DANH_MUC'!$H17&gt;0,'01_DANH_MUC'!$G17&lt;$E$4,$E$4-'01_DANH_MUC'!$G17&gt;=61,$E$4-'01_DANH_MUC'!$G17&lt;=90),'01_DANH_MUC'!$H17,0)+SUMIFS('02_NHAT_KY'!$K$7:$K$506,'02_NHAT_KY'!$C$7:$C$506,$A27,'02_NHAT_KY'!$L$7:$L$506,"&gt;=61",'02_NHAT_KY'!$L$7:$L$506,"&lt;=90"))</f>
        <v/>
      </c>
      <c r="O27" s="232">
        <f>IF($A27="","",IF(AND('01_DANH_MUC'!$H17&gt;0,'01_DANH_MUC'!$G17&lt;$E$4,$E$4-'01_DANH_MUC'!$G17&gt;90),'01_DANH_MUC'!$H17,0)+SUMIFS('02_NHAT_KY'!$K$7:$K$506,'02_NHAT_KY'!$C$7:$C$506,$A27,'02_NHAT_KY'!$L$7:$L$506,"&gt;90"))</f>
        <v/>
      </c>
      <c r="P27" s="201">
        <f>IF($A27="","",IF($H27&lt;0,"DƯ ÂM/TRẢ TRƯỚC",IF(ABS($H27-SUM($K27:$O27))&lt;1,"OK","LỆCH TUỔI NỢ")))</f>
        <v/>
      </c>
    </row>
    <row r="28">
      <c r="A28" s="201">
        <f>IF('01_DANH_MUC'!$A18="","",'01_DANH_MUC'!$A18)</f>
        <v/>
      </c>
      <c r="B28" s="198">
        <f>IF($A28="","",'01_DANH_MUC'!$B18)</f>
        <v/>
      </c>
      <c r="C28" s="201">
        <f>IF($A28="","",'01_DANH_MUC'!$C18)</f>
        <v/>
      </c>
      <c r="D28" s="231">
        <f>IF($A28="","",'01_DANH_MUC'!$D18)</f>
        <v/>
      </c>
      <c r="E28" s="232">
        <f>IF($A28="","",'01_DANH_MUC'!$F18+SUMIFS('02_NHAT_KY'!$G$7:$G$506,'02_NHAT_KY'!$C$7:$C$506,$A28,'02_NHAT_KY'!$A$7:$A$506,"&lt;"&amp;$B$4)-SUMIFS('02_NHAT_KY'!$H$7:$H$506,'02_NHAT_KY'!$C$7:$C$506,$A28,'02_NHAT_KY'!$A$7:$A$506,"&lt;"&amp;$B$4))</f>
        <v/>
      </c>
      <c r="F28" s="232">
        <f>IF($A28="","",SUMIFS('02_NHAT_KY'!$G$7:$G$506,'02_NHAT_KY'!$C$7:$C$506,$A28,'02_NHAT_KY'!$A$7:$A$506,"&gt;="&amp;$B$4,'02_NHAT_KY'!$A$7:$A$506,"&lt;="&amp;$E$4))</f>
        <v/>
      </c>
      <c r="G28" s="232">
        <f>IF($A28="","",SUMIFS('02_NHAT_KY'!$H$7:$H$506,'02_NHAT_KY'!$C$7:$C$506,$A28,'02_NHAT_KY'!$A$7:$A$506,"&gt;="&amp;$B$4,'02_NHAT_KY'!$A$7:$A$506,"&lt;="&amp;$E$4))</f>
        <v/>
      </c>
      <c r="H28" s="232">
        <f>IF($A28="","",$E28+$F28-$G28)</f>
        <v/>
      </c>
      <c r="I28" s="233">
        <f>IF($A28="","",IF($H28&lt;=0,0,MAX(IF(AND('01_DANH_MUC'!$H18&gt;0,'01_DANH_MUC'!$G18&lt;&gt;""),MAX(0,$E$4-'01_DANH_MUC'!$G18),0),IFERROR(MAXIFS('02_NHAT_KY'!$L$7:$L$506,'02_NHAT_KY'!$C$7:$C$506,$A28),0))))</f>
        <v/>
      </c>
      <c r="J28" s="201">
        <f>IF($A28="","",IF($H28&lt;=0,"Không có dư nợ",IF($I28&gt;0,"Quá hạn","Trong hạn")))</f>
        <v/>
      </c>
      <c r="K28" s="232">
        <f>IF($A28="","",IF(AND('01_DANH_MUC'!$H18&gt;0,OR('01_DANH_MUC'!$G18="",'01_DANH_MUC'!$G18&gt;=$E$4)),'01_DANH_MUC'!$H18,0)+SUMIFS('02_NHAT_KY'!$K$7:$K$506,'02_NHAT_KY'!$C$7:$C$506,$A28,'02_NHAT_KY'!$J$7:$J$506,"&gt;="&amp;$E$4)+SUMIFS('02_NHAT_KY'!$K$7:$K$506,'02_NHAT_KY'!$C$7:$C$506,$A28,'02_NHAT_KY'!$J$7:$J$506,""))</f>
        <v/>
      </c>
      <c r="L28" s="232">
        <f>IF($A28="","",IF(AND('01_DANH_MUC'!$H18&gt;0,'01_DANH_MUC'!$G18&lt;$E$4,$E$4-'01_DANH_MUC'!$G18&lt;=30),'01_DANH_MUC'!$H18,0)+SUMIFS('02_NHAT_KY'!$K$7:$K$506,'02_NHAT_KY'!$C$7:$C$506,$A28,'02_NHAT_KY'!$L$7:$L$506,"&gt;=1",'02_NHAT_KY'!$L$7:$L$506,"&lt;=30"))</f>
        <v/>
      </c>
      <c r="M28" s="232">
        <f>IF($A28="","",IF(AND('01_DANH_MUC'!$H18&gt;0,'01_DANH_MUC'!$G18&lt;$E$4,$E$4-'01_DANH_MUC'!$G18&gt;=31,$E$4-'01_DANH_MUC'!$G18&lt;=60),'01_DANH_MUC'!$H18,0)+SUMIFS('02_NHAT_KY'!$K$7:$K$506,'02_NHAT_KY'!$C$7:$C$506,$A28,'02_NHAT_KY'!$L$7:$L$506,"&gt;=31",'02_NHAT_KY'!$L$7:$L$506,"&lt;=60"))</f>
        <v/>
      </c>
      <c r="N28" s="232">
        <f>IF($A28="","",IF(AND('01_DANH_MUC'!$H18&gt;0,'01_DANH_MUC'!$G18&lt;$E$4,$E$4-'01_DANH_MUC'!$G18&gt;=61,$E$4-'01_DANH_MUC'!$G18&lt;=90),'01_DANH_MUC'!$H18,0)+SUMIFS('02_NHAT_KY'!$K$7:$K$506,'02_NHAT_KY'!$C$7:$C$506,$A28,'02_NHAT_KY'!$L$7:$L$506,"&gt;=61",'02_NHAT_KY'!$L$7:$L$506,"&lt;=90"))</f>
        <v/>
      </c>
      <c r="O28" s="232">
        <f>IF($A28="","",IF(AND('01_DANH_MUC'!$H18&gt;0,'01_DANH_MUC'!$G18&lt;$E$4,$E$4-'01_DANH_MUC'!$G18&gt;90),'01_DANH_MUC'!$H18,0)+SUMIFS('02_NHAT_KY'!$K$7:$K$506,'02_NHAT_KY'!$C$7:$C$506,$A28,'02_NHAT_KY'!$L$7:$L$506,"&gt;90"))</f>
        <v/>
      </c>
      <c r="P28" s="201">
        <f>IF($A28="","",IF($H28&lt;0,"DƯ ÂM/TRẢ TRƯỚC",IF(ABS($H28-SUM($K28:$O28))&lt;1,"OK","LỆCH TUỔI NỢ")))</f>
        <v/>
      </c>
    </row>
    <row r="29">
      <c r="A29" s="201">
        <f>IF('01_DANH_MUC'!$A19="","",'01_DANH_MUC'!$A19)</f>
        <v/>
      </c>
      <c r="B29" s="198">
        <f>IF($A29="","",'01_DANH_MUC'!$B19)</f>
        <v/>
      </c>
      <c r="C29" s="201">
        <f>IF($A29="","",'01_DANH_MUC'!$C19)</f>
        <v/>
      </c>
      <c r="D29" s="231">
        <f>IF($A29="","",'01_DANH_MUC'!$D19)</f>
        <v/>
      </c>
      <c r="E29" s="232">
        <f>IF($A29="","",'01_DANH_MUC'!$F19+SUMIFS('02_NHAT_KY'!$G$7:$G$506,'02_NHAT_KY'!$C$7:$C$506,$A29,'02_NHAT_KY'!$A$7:$A$506,"&lt;"&amp;$B$4)-SUMIFS('02_NHAT_KY'!$H$7:$H$506,'02_NHAT_KY'!$C$7:$C$506,$A29,'02_NHAT_KY'!$A$7:$A$506,"&lt;"&amp;$B$4))</f>
        <v/>
      </c>
      <c r="F29" s="232">
        <f>IF($A29="","",SUMIFS('02_NHAT_KY'!$G$7:$G$506,'02_NHAT_KY'!$C$7:$C$506,$A29,'02_NHAT_KY'!$A$7:$A$506,"&gt;="&amp;$B$4,'02_NHAT_KY'!$A$7:$A$506,"&lt;="&amp;$E$4))</f>
        <v/>
      </c>
      <c r="G29" s="232">
        <f>IF($A29="","",SUMIFS('02_NHAT_KY'!$H$7:$H$506,'02_NHAT_KY'!$C$7:$C$506,$A29,'02_NHAT_KY'!$A$7:$A$506,"&gt;="&amp;$B$4,'02_NHAT_KY'!$A$7:$A$506,"&lt;="&amp;$E$4))</f>
        <v/>
      </c>
      <c r="H29" s="232">
        <f>IF($A29="","",$E29+$F29-$G29)</f>
        <v/>
      </c>
      <c r="I29" s="233">
        <f>IF($A29="","",IF($H29&lt;=0,0,MAX(IF(AND('01_DANH_MUC'!$H19&gt;0,'01_DANH_MUC'!$G19&lt;&gt;""),MAX(0,$E$4-'01_DANH_MUC'!$G19),0),IFERROR(MAXIFS('02_NHAT_KY'!$L$7:$L$506,'02_NHAT_KY'!$C$7:$C$506,$A29),0))))</f>
        <v/>
      </c>
      <c r="J29" s="201">
        <f>IF($A29="","",IF($H29&lt;=0,"Không có dư nợ",IF($I29&gt;0,"Quá hạn","Trong hạn")))</f>
        <v/>
      </c>
      <c r="K29" s="232">
        <f>IF($A29="","",IF(AND('01_DANH_MUC'!$H19&gt;0,OR('01_DANH_MUC'!$G19="",'01_DANH_MUC'!$G19&gt;=$E$4)),'01_DANH_MUC'!$H19,0)+SUMIFS('02_NHAT_KY'!$K$7:$K$506,'02_NHAT_KY'!$C$7:$C$506,$A29,'02_NHAT_KY'!$J$7:$J$506,"&gt;="&amp;$E$4)+SUMIFS('02_NHAT_KY'!$K$7:$K$506,'02_NHAT_KY'!$C$7:$C$506,$A29,'02_NHAT_KY'!$J$7:$J$506,""))</f>
        <v/>
      </c>
      <c r="L29" s="232">
        <f>IF($A29="","",IF(AND('01_DANH_MUC'!$H19&gt;0,'01_DANH_MUC'!$G19&lt;$E$4,$E$4-'01_DANH_MUC'!$G19&lt;=30),'01_DANH_MUC'!$H19,0)+SUMIFS('02_NHAT_KY'!$K$7:$K$506,'02_NHAT_KY'!$C$7:$C$506,$A29,'02_NHAT_KY'!$L$7:$L$506,"&gt;=1",'02_NHAT_KY'!$L$7:$L$506,"&lt;=30"))</f>
        <v/>
      </c>
      <c r="M29" s="232">
        <f>IF($A29="","",IF(AND('01_DANH_MUC'!$H19&gt;0,'01_DANH_MUC'!$G19&lt;$E$4,$E$4-'01_DANH_MUC'!$G19&gt;=31,$E$4-'01_DANH_MUC'!$G19&lt;=60),'01_DANH_MUC'!$H19,0)+SUMIFS('02_NHAT_KY'!$K$7:$K$506,'02_NHAT_KY'!$C$7:$C$506,$A29,'02_NHAT_KY'!$L$7:$L$506,"&gt;=31",'02_NHAT_KY'!$L$7:$L$506,"&lt;=60"))</f>
        <v/>
      </c>
      <c r="N29" s="232">
        <f>IF($A29="","",IF(AND('01_DANH_MUC'!$H19&gt;0,'01_DANH_MUC'!$G19&lt;$E$4,$E$4-'01_DANH_MUC'!$G19&gt;=61,$E$4-'01_DANH_MUC'!$G19&lt;=90),'01_DANH_MUC'!$H19,0)+SUMIFS('02_NHAT_KY'!$K$7:$K$506,'02_NHAT_KY'!$C$7:$C$506,$A29,'02_NHAT_KY'!$L$7:$L$506,"&gt;=61",'02_NHAT_KY'!$L$7:$L$506,"&lt;=90"))</f>
        <v/>
      </c>
      <c r="O29" s="232">
        <f>IF($A29="","",IF(AND('01_DANH_MUC'!$H19&gt;0,'01_DANH_MUC'!$G19&lt;$E$4,$E$4-'01_DANH_MUC'!$G19&gt;90),'01_DANH_MUC'!$H19,0)+SUMIFS('02_NHAT_KY'!$K$7:$K$506,'02_NHAT_KY'!$C$7:$C$506,$A29,'02_NHAT_KY'!$L$7:$L$506,"&gt;90"))</f>
        <v/>
      </c>
      <c r="P29" s="201">
        <f>IF($A29="","",IF($H29&lt;0,"DƯ ÂM/TRẢ TRƯỚC",IF(ABS($H29-SUM($K29:$O29))&lt;1,"OK","LỆCH TUỔI NỢ")))</f>
        <v/>
      </c>
    </row>
    <row r="30">
      <c r="A30" s="201">
        <f>IF('01_DANH_MUC'!$A20="","",'01_DANH_MUC'!$A20)</f>
        <v/>
      </c>
      <c r="B30" s="198">
        <f>IF($A30="","",'01_DANH_MUC'!$B20)</f>
        <v/>
      </c>
      <c r="C30" s="201">
        <f>IF($A30="","",'01_DANH_MUC'!$C20)</f>
        <v/>
      </c>
      <c r="D30" s="231">
        <f>IF($A30="","",'01_DANH_MUC'!$D20)</f>
        <v/>
      </c>
      <c r="E30" s="232">
        <f>IF($A30="","",'01_DANH_MUC'!$F20+SUMIFS('02_NHAT_KY'!$G$7:$G$506,'02_NHAT_KY'!$C$7:$C$506,$A30,'02_NHAT_KY'!$A$7:$A$506,"&lt;"&amp;$B$4)-SUMIFS('02_NHAT_KY'!$H$7:$H$506,'02_NHAT_KY'!$C$7:$C$506,$A30,'02_NHAT_KY'!$A$7:$A$506,"&lt;"&amp;$B$4))</f>
        <v/>
      </c>
      <c r="F30" s="232">
        <f>IF($A30="","",SUMIFS('02_NHAT_KY'!$G$7:$G$506,'02_NHAT_KY'!$C$7:$C$506,$A30,'02_NHAT_KY'!$A$7:$A$506,"&gt;="&amp;$B$4,'02_NHAT_KY'!$A$7:$A$506,"&lt;="&amp;$E$4))</f>
        <v/>
      </c>
      <c r="G30" s="232">
        <f>IF($A30="","",SUMIFS('02_NHAT_KY'!$H$7:$H$506,'02_NHAT_KY'!$C$7:$C$506,$A30,'02_NHAT_KY'!$A$7:$A$506,"&gt;="&amp;$B$4,'02_NHAT_KY'!$A$7:$A$506,"&lt;="&amp;$E$4))</f>
        <v/>
      </c>
      <c r="H30" s="232">
        <f>IF($A30="","",$E30+$F30-$G30)</f>
        <v/>
      </c>
      <c r="I30" s="233">
        <f>IF($A30="","",IF($H30&lt;=0,0,MAX(IF(AND('01_DANH_MUC'!$H20&gt;0,'01_DANH_MUC'!$G20&lt;&gt;""),MAX(0,$E$4-'01_DANH_MUC'!$G20),0),IFERROR(MAXIFS('02_NHAT_KY'!$L$7:$L$506,'02_NHAT_KY'!$C$7:$C$506,$A30),0))))</f>
        <v/>
      </c>
      <c r="J30" s="201">
        <f>IF($A30="","",IF($H30&lt;=0,"Không có dư nợ",IF($I30&gt;0,"Quá hạn","Trong hạn")))</f>
        <v/>
      </c>
      <c r="K30" s="232">
        <f>IF($A30="","",IF(AND('01_DANH_MUC'!$H20&gt;0,OR('01_DANH_MUC'!$G20="",'01_DANH_MUC'!$G20&gt;=$E$4)),'01_DANH_MUC'!$H20,0)+SUMIFS('02_NHAT_KY'!$K$7:$K$506,'02_NHAT_KY'!$C$7:$C$506,$A30,'02_NHAT_KY'!$J$7:$J$506,"&gt;="&amp;$E$4)+SUMIFS('02_NHAT_KY'!$K$7:$K$506,'02_NHAT_KY'!$C$7:$C$506,$A30,'02_NHAT_KY'!$J$7:$J$506,""))</f>
        <v/>
      </c>
      <c r="L30" s="232">
        <f>IF($A30="","",IF(AND('01_DANH_MUC'!$H20&gt;0,'01_DANH_MUC'!$G20&lt;$E$4,$E$4-'01_DANH_MUC'!$G20&lt;=30),'01_DANH_MUC'!$H20,0)+SUMIFS('02_NHAT_KY'!$K$7:$K$506,'02_NHAT_KY'!$C$7:$C$506,$A30,'02_NHAT_KY'!$L$7:$L$506,"&gt;=1",'02_NHAT_KY'!$L$7:$L$506,"&lt;=30"))</f>
        <v/>
      </c>
      <c r="M30" s="232">
        <f>IF($A30="","",IF(AND('01_DANH_MUC'!$H20&gt;0,'01_DANH_MUC'!$G20&lt;$E$4,$E$4-'01_DANH_MUC'!$G20&gt;=31,$E$4-'01_DANH_MUC'!$G20&lt;=60),'01_DANH_MUC'!$H20,0)+SUMIFS('02_NHAT_KY'!$K$7:$K$506,'02_NHAT_KY'!$C$7:$C$506,$A30,'02_NHAT_KY'!$L$7:$L$506,"&gt;=31",'02_NHAT_KY'!$L$7:$L$506,"&lt;=60"))</f>
        <v/>
      </c>
      <c r="N30" s="232">
        <f>IF($A30="","",IF(AND('01_DANH_MUC'!$H20&gt;0,'01_DANH_MUC'!$G20&lt;$E$4,$E$4-'01_DANH_MUC'!$G20&gt;=61,$E$4-'01_DANH_MUC'!$G20&lt;=90),'01_DANH_MUC'!$H20,0)+SUMIFS('02_NHAT_KY'!$K$7:$K$506,'02_NHAT_KY'!$C$7:$C$506,$A30,'02_NHAT_KY'!$L$7:$L$506,"&gt;=61",'02_NHAT_KY'!$L$7:$L$506,"&lt;=90"))</f>
        <v/>
      </c>
      <c r="O30" s="232">
        <f>IF($A30="","",IF(AND('01_DANH_MUC'!$H20&gt;0,'01_DANH_MUC'!$G20&lt;$E$4,$E$4-'01_DANH_MUC'!$G20&gt;90),'01_DANH_MUC'!$H20,0)+SUMIFS('02_NHAT_KY'!$K$7:$K$506,'02_NHAT_KY'!$C$7:$C$506,$A30,'02_NHAT_KY'!$L$7:$L$506,"&gt;90"))</f>
        <v/>
      </c>
      <c r="P30" s="201">
        <f>IF($A30="","",IF($H30&lt;0,"DƯ ÂM/TRẢ TRƯỚC",IF(ABS($H30-SUM($K30:$O30))&lt;1,"OK","LỆCH TUỔI NỢ")))</f>
        <v/>
      </c>
    </row>
    <row r="31">
      <c r="A31" s="201">
        <f>IF('01_DANH_MUC'!$A21="","",'01_DANH_MUC'!$A21)</f>
        <v/>
      </c>
      <c r="B31" s="198">
        <f>IF($A31="","",'01_DANH_MUC'!$B21)</f>
        <v/>
      </c>
      <c r="C31" s="201">
        <f>IF($A31="","",'01_DANH_MUC'!$C21)</f>
        <v/>
      </c>
      <c r="D31" s="231">
        <f>IF($A31="","",'01_DANH_MUC'!$D21)</f>
        <v/>
      </c>
      <c r="E31" s="232">
        <f>IF($A31="","",'01_DANH_MUC'!$F21+SUMIFS('02_NHAT_KY'!$G$7:$G$506,'02_NHAT_KY'!$C$7:$C$506,$A31,'02_NHAT_KY'!$A$7:$A$506,"&lt;"&amp;$B$4)-SUMIFS('02_NHAT_KY'!$H$7:$H$506,'02_NHAT_KY'!$C$7:$C$506,$A31,'02_NHAT_KY'!$A$7:$A$506,"&lt;"&amp;$B$4))</f>
        <v/>
      </c>
      <c r="F31" s="232">
        <f>IF($A31="","",SUMIFS('02_NHAT_KY'!$G$7:$G$506,'02_NHAT_KY'!$C$7:$C$506,$A31,'02_NHAT_KY'!$A$7:$A$506,"&gt;="&amp;$B$4,'02_NHAT_KY'!$A$7:$A$506,"&lt;="&amp;$E$4))</f>
        <v/>
      </c>
      <c r="G31" s="232">
        <f>IF($A31="","",SUMIFS('02_NHAT_KY'!$H$7:$H$506,'02_NHAT_KY'!$C$7:$C$506,$A31,'02_NHAT_KY'!$A$7:$A$506,"&gt;="&amp;$B$4,'02_NHAT_KY'!$A$7:$A$506,"&lt;="&amp;$E$4))</f>
        <v/>
      </c>
      <c r="H31" s="232">
        <f>IF($A31="","",$E31+$F31-$G31)</f>
        <v/>
      </c>
      <c r="I31" s="233">
        <f>IF($A31="","",IF($H31&lt;=0,0,MAX(IF(AND('01_DANH_MUC'!$H21&gt;0,'01_DANH_MUC'!$G21&lt;&gt;""),MAX(0,$E$4-'01_DANH_MUC'!$G21),0),IFERROR(MAXIFS('02_NHAT_KY'!$L$7:$L$506,'02_NHAT_KY'!$C$7:$C$506,$A31),0))))</f>
        <v/>
      </c>
      <c r="J31" s="201">
        <f>IF($A31="","",IF($H31&lt;=0,"Không có dư nợ",IF($I31&gt;0,"Quá hạn","Trong hạn")))</f>
        <v/>
      </c>
      <c r="K31" s="232">
        <f>IF($A31="","",IF(AND('01_DANH_MUC'!$H21&gt;0,OR('01_DANH_MUC'!$G21="",'01_DANH_MUC'!$G21&gt;=$E$4)),'01_DANH_MUC'!$H21,0)+SUMIFS('02_NHAT_KY'!$K$7:$K$506,'02_NHAT_KY'!$C$7:$C$506,$A31,'02_NHAT_KY'!$J$7:$J$506,"&gt;="&amp;$E$4)+SUMIFS('02_NHAT_KY'!$K$7:$K$506,'02_NHAT_KY'!$C$7:$C$506,$A31,'02_NHAT_KY'!$J$7:$J$506,""))</f>
        <v/>
      </c>
      <c r="L31" s="232">
        <f>IF($A31="","",IF(AND('01_DANH_MUC'!$H21&gt;0,'01_DANH_MUC'!$G21&lt;$E$4,$E$4-'01_DANH_MUC'!$G21&lt;=30),'01_DANH_MUC'!$H21,0)+SUMIFS('02_NHAT_KY'!$K$7:$K$506,'02_NHAT_KY'!$C$7:$C$506,$A31,'02_NHAT_KY'!$L$7:$L$506,"&gt;=1",'02_NHAT_KY'!$L$7:$L$506,"&lt;=30"))</f>
        <v/>
      </c>
      <c r="M31" s="232">
        <f>IF($A31="","",IF(AND('01_DANH_MUC'!$H21&gt;0,'01_DANH_MUC'!$G21&lt;$E$4,$E$4-'01_DANH_MUC'!$G21&gt;=31,$E$4-'01_DANH_MUC'!$G21&lt;=60),'01_DANH_MUC'!$H21,0)+SUMIFS('02_NHAT_KY'!$K$7:$K$506,'02_NHAT_KY'!$C$7:$C$506,$A31,'02_NHAT_KY'!$L$7:$L$506,"&gt;=31",'02_NHAT_KY'!$L$7:$L$506,"&lt;=60"))</f>
        <v/>
      </c>
      <c r="N31" s="232">
        <f>IF($A31="","",IF(AND('01_DANH_MUC'!$H21&gt;0,'01_DANH_MUC'!$G21&lt;$E$4,$E$4-'01_DANH_MUC'!$G21&gt;=61,$E$4-'01_DANH_MUC'!$G21&lt;=90),'01_DANH_MUC'!$H21,0)+SUMIFS('02_NHAT_KY'!$K$7:$K$506,'02_NHAT_KY'!$C$7:$C$506,$A31,'02_NHAT_KY'!$L$7:$L$506,"&gt;=61",'02_NHAT_KY'!$L$7:$L$506,"&lt;=90"))</f>
        <v/>
      </c>
      <c r="O31" s="232">
        <f>IF($A31="","",IF(AND('01_DANH_MUC'!$H21&gt;0,'01_DANH_MUC'!$G21&lt;$E$4,$E$4-'01_DANH_MUC'!$G21&gt;90),'01_DANH_MUC'!$H21,0)+SUMIFS('02_NHAT_KY'!$K$7:$K$506,'02_NHAT_KY'!$C$7:$C$506,$A31,'02_NHAT_KY'!$L$7:$L$506,"&gt;90"))</f>
        <v/>
      </c>
      <c r="P31" s="201">
        <f>IF($A31="","",IF($H31&lt;0,"DƯ ÂM/TRẢ TRƯỚC",IF(ABS($H31-SUM($K31:$O31))&lt;1,"OK","LỆCH TUỔI NỢ")))</f>
        <v/>
      </c>
    </row>
    <row r="32">
      <c r="A32" s="201">
        <f>IF('01_DANH_MUC'!$A22="","",'01_DANH_MUC'!$A22)</f>
        <v/>
      </c>
      <c r="B32" s="198">
        <f>IF($A32="","",'01_DANH_MUC'!$B22)</f>
        <v/>
      </c>
      <c r="C32" s="201">
        <f>IF($A32="","",'01_DANH_MUC'!$C22)</f>
        <v/>
      </c>
      <c r="D32" s="231">
        <f>IF($A32="","",'01_DANH_MUC'!$D22)</f>
        <v/>
      </c>
      <c r="E32" s="232">
        <f>IF($A32="","",'01_DANH_MUC'!$F22+SUMIFS('02_NHAT_KY'!$G$7:$G$506,'02_NHAT_KY'!$C$7:$C$506,$A32,'02_NHAT_KY'!$A$7:$A$506,"&lt;"&amp;$B$4)-SUMIFS('02_NHAT_KY'!$H$7:$H$506,'02_NHAT_KY'!$C$7:$C$506,$A32,'02_NHAT_KY'!$A$7:$A$506,"&lt;"&amp;$B$4))</f>
        <v/>
      </c>
      <c r="F32" s="232">
        <f>IF($A32="","",SUMIFS('02_NHAT_KY'!$G$7:$G$506,'02_NHAT_KY'!$C$7:$C$506,$A32,'02_NHAT_KY'!$A$7:$A$506,"&gt;="&amp;$B$4,'02_NHAT_KY'!$A$7:$A$506,"&lt;="&amp;$E$4))</f>
        <v/>
      </c>
      <c r="G32" s="232">
        <f>IF($A32="","",SUMIFS('02_NHAT_KY'!$H$7:$H$506,'02_NHAT_KY'!$C$7:$C$506,$A32,'02_NHAT_KY'!$A$7:$A$506,"&gt;="&amp;$B$4,'02_NHAT_KY'!$A$7:$A$506,"&lt;="&amp;$E$4))</f>
        <v/>
      </c>
      <c r="H32" s="232">
        <f>IF($A32="","",$E32+$F32-$G32)</f>
        <v/>
      </c>
      <c r="I32" s="233">
        <f>IF($A32="","",IF($H32&lt;=0,0,MAX(IF(AND('01_DANH_MUC'!$H22&gt;0,'01_DANH_MUC'!$G22&lt;&gt;""),MAX(0,$E$4-'01_DANH_MUC'!$G22),0),IFERROR(MAXIFS('02_NHAT_KY'!$L$7:$L$506,'02_NHAT_KY'!$C$7:$C$506,$A32),0))))</f>
        <v/>
      </c>
      <c r="J32" s="201">
        <f>IF($A32="","",IF($H32&lt;=0,"Không có dư nợ",IF($I32&gt;0,"Quá hạn","Trong hạn")))</f>
        <v/>
      </c>
      <c r="K32" s="232">
        <f>IF($A32="","",IF(AND('01_DANH_MUC'!$H22&gt;0,OR('01_DANH_MUC'!$G22="",'01_DANH_MUC'!$G22&gt;=$E$4)),'01_DANH_MUC'!$H22,0)+SUMIFS('02_NHAT_KY'!$K$7:$K$506,'02_NHAT_KY'!$C$7:$C$506,$A32,'02_NHAT_KY'!$J$7:$J$506,"&gt;="&amp;$E$4)+SUMIFS('02_NHAT_KY'!$K$7:$K$506,'02_NHAT_KY'!$C$7:$C$506,$A32,'02_NHAT_KY'!$J$7:$J$506,""))</f>
        <v/>
      </c>
      <c r="L32" s="232">
        <f>IF($A32="","",IF(AND('01_DANH_MUC'!$H22&gt;0,'01_DANH_MUC'!$G22&lt;$E$4,$E$4-'01_DANH_MUC'!$G22&lt;=30),'01_DANH_MUC'!$H22,0)+SUMIFS('02_NHAT_KY'!$K$7:$K$506,'02_NHAT_KY'!$C$7:$C$506,$A32,'02_NHAT_KY'!$L$7:$L$506,"&gt;=1",'02_NHAT_KY'!$L$7:$L$506,"&lt;=30"))</f>
        <v/>
      </c>
      <c r="M32" s="232">
        <f>IF($A32="","",IF(AND('01_DANH_MUC'!$H22&gt;0,'01_DANH_MUC'!$G22&lt;$E$4,$E$4-'01_DANH_MUC'!$G22&gt;=31,$E$4-'01_DANH_MUC'!$G22&lt;=60),'01_DANH_MUC'!$H22,0)+SUMIFS('02_NHAT_KY'!$K$7:$K$506,'02_NHAT_KY'!$C$7:$C$506,$A32,'02_NHAT_KY'!$L$7:$L$506,"&gt;=31",'02_NHAT_KY'!$L$7:$L$506,"&lt;=60"))</f>
        <v/>
      </c>
      <c r="N32" s="232">
        <f>IF($A32="","",IF(AND('01_DANH_MUC'!$H22&gt;0,'01_DANH_MUC'!$G22&lt;$E$4,$E$4-'01_DANH_MUC'!$G22&gt;=61,$E$4-'01_DANH_MUC'!$G22&lt;=90),'01_DANH_MUC'!$H22,0)+SUMIFS('02_NHAT_KY'!$K$7:$K$506,'02_NHAT_KY'!$C$7:$C$506,$A32,'02_NHAT_KY'!$L$7:$L$506,"&gt;=61",'02_NHAT_KY'!$L$7:$L$506,"&lt;=90"))</f>
        <v/>
      </c>
      <c r="O32" s="232">
        <f>IF($A32="","",IF(AND('01_DANH_MUC'!$H22&gt;0,'01_DANH_MUC'!$G22&lt;$E$4,$E$4-'01_DANH_MUC'!$G22&gt;90),'01_DANH_MUC'!$H22,0)+SUMIFS('02_NHAT_KY'!$K$7:$K$506,'02_NHAT_KY'!$C$7:$C$506,$A32,'02_NHAT_KY'!$L$7:$L$506,"&gt;90"))</f>
        <v/>
      </c>
      <c r="P32" s="201">
        <f>IF($A32="","",IF($H32&lt;0,"DƯ ÂM/TRẢ TRƯỚC",IF(ABS($H32-SUM($K32:$O32))&lt;1,"OK","LỆCH TUỔI NỢ")))</f>
        <v/>
      </c>
    </row>
    <row r="33">
      <c r="A33" s="201">
        <f>IF('01_DANH_MUC'!$A23="","",'01_DANH_MUC'!$A23)</f>
        <v/>
      </c>
      <c r="B33" s="198">
        <f>IF($A33="","",'01_DANH_MUC'!$B23)</f>
        <v/>
      </c>
      <c r="C33" s="201">
        <f>IF($A33="","",'01_DANH_MUC'!$C23)</f>
        <v/>
      </c>
      <c r="D33" s="231">
        <f>IF($A33="","",'01_DANH_MUC'!$D23)</f>
        <v/>
      </c>
      <c r="E33" s="232">
        <f>IF($A33="","",'01_DANH_MUC'!$F23+SUMIFS('02_NHAT_KY'!$G$7:$G$506,'02_NHAT_KY'!$C$7:$C$506,$A33,'02_NHAT_KY'!$A$7:$A$506,"&lt;"&amp;$B$4)-SUMIFS('02_NHAT_KY'!$H$7:$H$506,'02_NHAT_KY'!$C$7:$C$506,$A33,'02_NHAT_KY'!$A$7:$A$506,"&lt;"&amp;$B$4))</f>
        <v/>
      </c>
      <c r="F33" s="232">
        <f>IF($A33="","",SUMIFS('02_NHAT_KY'!$G$7:$G$506,'02_NHAT_KY'!$C$7:$C$506,$A33,'02_NHAT_KY'!$A$7:$A$506,"&gt;="&amp;$B$4,'02_NHAT_KY'!$A$7:$A$506,"&lt;="&amp;$E$4))</f>
        <v/>
      </c>
      <c r="G33" s="232">
        <f>IF($A33="","",SUMIFS('02_NHAT_KY'!$H$7:$H$506,'02_NHAT_KY'!$C$7:$C$506,$A33,'02_NHAT_KY'!$A$7:$A$506,"&gt;="&amp;$B$4,'02_NHAT_KY'!$A$7:$A$506,"&lt;="&amp;$E$4))</f>
        <v/>
      </c>
      <c r="H33" s="232">
        <f>IF($A33="","",$E33+$F33-$G33)</f>
        <v/>
      </c>
      <c r="I33" s="233">
        <f>IF($A33="","",IF($H33&lt;=0,0,MAX(IF(AND('01_DANH_MUC'!$H23&gt;0,'01_DANH_MUC'!$G23&lt;&gt;""),MAX(0,$E$4-'01_DANH_MUC'!$G23),0),IFERROR(MAXIFS('02_NHAT_KY'!$L$7:$L$506,'02_NHAT_KY'!$C$7:$C$506,$A33),0))))</f>
        <v/>
      </c>
      <c r="J33" s="201">
        <f>IF($A33="","",IF($H33&lt;=0,"Không có dư nợ",IF($I33&gt;0,"Quá hạn","Trong hạn")))</f>
        <v/>
      </c>
      <c r="K33" s="232">
        <f>IF($A33="","",IF(AND('01_DANH_MUC'!$H23&gt;0,OR('01_DANH_MUC'!$G23="",'01_DANH_MUC'!$G23&gt;=$E$4)),'01_DANH_MUC'!$H23,0)+SUMIFS('02_NHAT_KY'!$K$7:$K$506,'02_NHAT_KY'!$C$7:$C$506,$A33,'02_NHAT_KY'!$J$7:$J$506,"&gt;="&amp;$E$4)+SUMIFS('02_NHAT_KY'!$K$7:$K$506,'02_NHAT_KY'!$C$7:$C$506,$A33,'02_NHAT_KY'!$J$7:$J$506,""))</f>
        <v/>
      </c>
      <c r="L33" s="232">
        <f>IF($A33="","",IF(AND('01_DANH_MUC'!$H23&gt;0,'01_DANH_MUC'!$G23&lt;$E$4,$E$4-'01_DANH_MUC'!$G23&lt;=30),'01_DANH_MUC'!$H23,0)+SUMIFS('02_NHAT_KY'!$K$7:$K$506,'02_NHAT_KY'!$C$7:$C$506,$A33,'02_NHAT_KY'!$L$7:$L$506,"&gt;=1",'02_NHAT_KY'!$L$7:$L$506,"&lt;=30"))</f>
        <v/>
      </c>
      <c r="M33" s="232">
        <f>IF($A33="","",IF(AND('01_DANH_MUC'!$H23&gt;0,'01_DANH_MUC'!$G23&lt;$E$4,$E$4-'01_DANH_MUC'!$G23&gt;=31,$E$4-'01_DANH_MUC'!$G23&lt;=60),'01_DANH_MUC'!$H23,0)+SUMIFS('02_NHAT_KY'!$K$7:$K$506,'02_NHAT_KY'!$C$7:$C$506,$A33,'02_NHAT_KY'!$L$7:$L$506,"&gt;=31",'02_NHAT_KY'!$L$7:$L$506,"&lt;=60"))</f>
        <v/>
      </c>
      <c r="N33" s="232">
        <f>IF($A33="","",IF(AND('01_DANH_MUC'!$H23&gt;0,'01_DANH_MUC'!$G23&lt;$E$4,$E$4-'01_DANH_MUC'!$G23&gt;=61,$E$4-'01_DANH_MUC'!$G23&lt;=90),'01_DANH_MUC'!$H23,0)+SUMIFS('02_NHAT_KY'!$K$7:$K$506,'02_NHAT_KY'!$C$7:$C$506,$A33,'02_NHAT_KY'!$L$7:$L$506,"&gt;=61",'02_NHAT_KY'!$L$7:$L$506,"&lt;=90"))</f>
        <v/>
      </c>
      <c r="O33" s="232">
        <f>IF($A33="","",IF(AND('01_DANH_MUC'!$H23&gt;0,'01_DANH_MUC'!$G23&lt;$E$4,$E$4-'01_DANH_MUC'!$G23&gt;90),'01_DANH_MUC'!$H23,0)+SUMIFS('02_NHAT_KY'!$K$7:$K$506,'02_NHAT_KY'!$C$7:$C$506,$A33,'02_NHAT_KY'!$L$7:$L$506,"&gt;90"))</f>
        <v/>
      </c>
      <c r="P33" s="201">
        <f>IF($A33="","",IF($H33&lt;0,"DƯ ÂM/TRẢ TRƯỚC",IF(ABS($H33-SUM($K33:$O33))&lt;1,"OK","LỆCH TUỔI NỢ")))</f>
        <v/>
      </c>
    </row>
    <row r="34">
      <c r="A34" s="201">
        <f>IF('01_DANH_MUC'!$A24="","",'01_DANH_MUC'!$A24)</f>
        <v/>
      </c>
      <c r="B34" s="198">
        <f>IF($A34="","",'01_DANH_MUC'!$B24)</f>
        <v/>
      </c>
      <c r="C34" s="201">
        <f>IF($A34="","",'01_DANH_MUC'!$C24)</f>
        <v/>
      </c>
      <c r="D34" s="231">
        <f>IF($A34="","",'01_DANH_MUC'!$D24)</f>
        <v/>
      </c>
      <c r="E34" s="232">
        <f>IF($A34="","",'01_DANH_MUC'!$F24+SUMIFS('02_NHAT_KY'!$G$7:$G$506,'02_NHAT_KY'!$C$7:$C$506,$A34,'02_NHAT_KY'!$A$7:$A$506,"&lt;"&amp;$B$4)-SUMIFS('02_NHAT_KY'!$H$7:$H$506,'02_NHAT_KY'!$C$7:$C$506,$A34,'02_NHAT_KY'!$A$7:$A$506,"&lt;"&amp;$B$4))</f>
        <v/>
      </c>
      <c r="F34" s="232">
        <f>IF($A34="","",SUMIFS('02_NHAT_KY'!$G$7:$G$506,'02_NHAT_KY'!$C$7:$C$506,$A34,'02_NHAT_KY'!$A$7:$A$506,"&gt;="&amp;$B$4,'02_NHAT_KY'!$A$7:$A$506,"&lt;="&amp;$E$4))</f>
        <v/>
      </c>
      <c r="G34" s="232">
        <f>IF($A34="","",SUMIFS('02_NHAT_KY'!$H$7:$H$506,'02_NHAT_KY'!$C$7:$C$506,$A34,'02_NHAT_KY'!$A$7:$A$506,"&gt;="&amp;$B$4,'02_NHAT_KY'!$A$7:$A$506,"&lt;="&amp;$E$4))</f>
        <v/>
      </c>
      <c r="H34" s="232">
        <f>IF($A34="","",$E34+$F34-$G34)</f>
        <v/>
      </c>
      <c r="I34" s="233">
        <f>IF($A34="","",IF($H34&lt;=0,0,MAX(IF(AND('01_DANH_MUC'!$H24&gt;0,'01_DANH_MUC'!$G24&lt;&gt;""),MAX(0,$E$4-'01_DANH_MUC'!$G24),0),IFERROR(MAXIFS('02_NHAT_KY'!$L$7:$L$506,'02_NHAT_KY'!$C$7:$C$506,$A34),0))))</f>
        <v/>
      </c>
      <c r="J34" s="201">
        <f>IF($A34="","",IF($H34&lt;=0,"Không có dư nợ",IF($I34&gt;0,"Quá hạn","Trong hạn")))</f>
        <v/>
      </c>
      <c r="K34" s="232">
        <f>IF($A34="","",IF(AND('01_DANH_MUC'!$H24&gt;0,OR('01_DANH_MUC'!$G24="",'01_DANH_MUC'!$G24&gt;=$E$4)),'01_DANH_MUC'!$H24,0)+SUMIFS('02_NHAT_KY'!$K$7:$K$506,'02_NHAT_KY'!$C$7:$C$506,$A34,'02_NHAT_KY'!$J$7:$J$506,"&gt;="&amp;$E$4)+SUMIFS('02_NHAT_KY'!$K$7:$K$506,'02_NHAT_KY'!$C$7:$C$506,$A34,'02_NHAT_KY'!$J$7:$J$506,""))</f>
        <v/>
      </c>
      <c r="L34" s="232">
        <f>IF($A34="","",IF(AND('01_DANH_MUC'!$H24&gt;0,'01_DANH_MUC'!$G24&lt;$E$4,$E$4-'01_DANH_MUC'!$G24&lt;=30),'01_DANH_MUC'!$H24,0)+SUMIFS('02_NHAT_KY'!$K$7:$K$506,'02_NHAT_KY'!$C$7:$C$506,$A34,'02_NHAT_KY'!$L$7:$L$506,"&gt;=1",'02_NHAT_KY'!$L$7:$L$506,"&lt;=30"))</f>
        <v/>
      </c>
      <c r="M34" s="232">
        <f>IF($A34="","",IF(AND('01_DANH_MUC'!$H24&gt;0,'01_DANH_MUC'!$G24&lt;$E$4,$E$4-'01_DANH_MUC'!$G24&gt;=31,$E$4-'01_DANH_MUC'!$G24&lt;=60),'01_DANH_MUC'!$H24,0)+SUMIFS('02_NHAT_KY'!$K$7:$K$506,'02_NHAT_KY'!$C$7:$C$506,$A34,'02_NHAT_KY'!$L$7:$L$506,"&gt;=31",'02_NHAT_KY'!$L$7:$L$506,"&lt;=60"))</f>
        <v/>
      </c>
      <c r="N34" s="232">
        <f>IF($A34="","",IF(AND('01_DANH_MUC'!$H24&gt;0,'01_DANH_MUC'!$G24&lt;$E$4,$E$4-'01_DANH_MUC'!$G24&gt;=61,$E$4-'01_DANH_MUC'!$G24&lt;=90),'01_DANH_MUC'!$H24,0)+SUMIFS('02_NHAT_KY'!$K$7:$K$506,'02_NHAT_KY'!$C$7:$C$506,$A34,'02_NHAT_KY'!$L$7:$L$506,"&gt;=61",'02_NHAT_KY'!$L$7:$L$506,"&lt;=90"))</f>
        <v/>
      </c>
      <c r="O34" s="232">
        <f>IF($A34="","",IF(AND('01_DANH_MUC'!$H24&gt;0,'01_DANH_MUC'!$G24&lt;$E$4,$E$4-'01_DANH_MUC'!$G24&gt;90),'01_DANH_MUC'!$H24,0)+SUMIFS('02_NHAT_KY'!$K$7:$K$506,'02_NHAT_KY'!$C$7:$C$506,$A34,'02_NHAT_KY'!$L$7:$L$506,"&gt;90"))</f>
        <v/>
      </c>
      <c r="P34" s="201">
        <f>IF($A34="","",IF($H34&lt;0,"DƯ ÂM/TRẢ TRƯỚC",IF(ABS($H34-SUM($K34:$O34))&lt;1,"OK","LỆCH TUỔI NỢ")))</f>
        <v/>
      </c>
    </row>
    <row r="35">
      <c r="A35" s="201">
        <f>IF('01_DANH_MUC'!$A25="","",'01_DANH_MUC'!$A25)</f>
        <v/>
      </c>
      <c r="B35" s="198">
        <f>IF($A35="","",'01_DANH_MUC'!$B25)</f>
        <v/>
      </c>
      <c r="C35" s="201">
        <f>IF($A35="","",'01_DANH_MUC'!$C25)</f>
        <v/>
      </c>
      <c r="D35" s="231">
        <f>IF($A35="","",'01_DANH_MUC'!$D25)</f>
        <v/>
      </c>
      <c r="E35" s="232">
        <f>IF($A35="","",'01_DANH_MUC'!$F25+SUMIFS('02_NHAT_KY'!$G$7:$G$506,'02_NHAT_KY'!$C$7:$C$506,$A35,'02_NHAT_KY'!$A$7:$A$506,"&lt;"&amp;$B$4)-SUMIFS('02_NHAT_KY'!$H$7:$H$506,'02_NHAT_KY'!$C$7:$C$506,$A35,'02_NHAT_KY'!$A$7:$A$506,"&lt;"&amp;$B$4))</f>
        <v/>
      </c>
      <c r="F35" s="232">
        <f>IF($A35="","",SUMIFS('02_NHAT_KY'!$G$7:$G$506,'02_NHAT_KY'!$C$7:$C$506,$A35,'02_NHAT_KY'!$A$7:$A$506,"&gt;="&amp;$B$4,'02_NHAT_KY'!$A$7:$A$506,"&lt;="&amp;$E$4))</f>
        <v/>
      </c>
      <c r="G35" s="232">
        <f>IF($A35="","",SUMIFS('02_NHAT_KY'!$H$7:$H$506,'02_NHAT_KY'!$C$7:$C$506,$A35,'02_NHAT_KY'!$A$7:$A$506,"&gt;="&amp;$B$4,'02_NHAT_KY'!$A$7:$A$506,"&lt;="&amp;$E$4))</f>
        <v/>
      </c>
      <c r="H35" s="232">
        <f>IF($A35="","",$E35+$F35-$G35)</f>
        <v/>
      </c>
      <c r="I35" s="233">
        <f>IF($A35="","",IF($H35&lt;=0,0,MAX(IF(AND('01_DANH_MUC'!$H25&gt;0,'01_DANH_MUC'!$G25&lt;&gt;""),MAX(0,$E$4-'01_DANH_MUC'!$G25),0),IFERROR(MAXIFS('02_NHAT_KY'!$L$7:$L$506,'02_NHAT_KY'!$C$7:$C$506,$A35),0))))</f>
        <v/>
      </c>
      <c r="J35" s="201">
        <f>IF($A35="","",IF($H35&lt;=0,"Không có dư nợ",IF($I35&gt;0,"Quá hạn","Trong hạn")))</f>
        <v/>
      </c>
      <c r="K35" s="232">
        <f>IF($A35="","",IF(AND('01_DANH_MUC'!$H25&gt;0,OR('01_DANH_MUC'!$G25="",'01_DANH_MUC'!$G25&gt;=$E$4)),'01_DANH_MUC'!$H25,0)+SUMIFS('02_NHAT_KY'!$K$7:$K$506,'02_NHAT_KY'!$C$7:$C$506,$A35,'02_NHAT_KY'!$J$7:$J$506,"&gt;="&amp;$E$4)+SUMIFS('02_NHAT_KY'!$K$7:$K$506,'02_NHAT_KY'!$C$7:$C$506,$A35,'02_NHAT_KY'!$J$7:$J$506,""))</f>
        <v/>
      </c>
      <c r="L35" s="232">
        <f>IF($A35="","",IF(AND('01_DANH_MUC'!$H25&gt;0,'01_DANH_MUC'!$G25&lt;$E$4,$E$4-'01_DANH_MUC'!$G25&lt;=30),'01_DANH_MUC'!$H25,0)+SUMIFS('02_NHAT_KY'!$K$7:$K$506,'02_NHAT_KY'!$C$7:$C$506,$A35,'02_NHAT_KY'!$L$7:$L$506,"&gt;=1",'02_NHAT_KY'!$L$7:$L$506,"&lt;=30"))</f>
        <v/>
      </c>
      <c r="M35" s="232">
        <f>IF($A35="","",IF(AND('01_DANH_MUC'!$H25&gt;0,'01_DANH_MUC'!$G25&lt;$E$4,$E$4-'01_DANH_MUC'!$G25&gt;=31,$E$4-'01_DANH_MUC'!$G25&lt;=60),'01_DANH_MUC'!$H25,0)+SUMIFS('02_NHAT_KY'!$K$7:$K$506,'02_NHAT_KY'!$C$7:$C$506,$A35,'02_NHAT_KY'!$L$7:$L$506,"&gt;=31",'02_NHAT_KY'!$L$7:$L$506,"&lt;=60"))</f>
        <v/>
      </c>
      <c r="N35" s="232">
        <f>IF($A35="","",IF(AND('01_DANH_MUC'!$H25&gt;0,'01_DANH_MUC'!$G25&lt;$E$4,$E$4-'01_DANH_MUC'!$G25&gt;=61,$E$4-'01_DANH_MUC'!$G25&lt;=90),'01_DANH_MUC'!$H25,0)+SUMIFS('02_NHAT_KY'!$K$7:$K$506,'02_NHAT_KY'!$C$7:$C$506,$A35,'02_NHAT_KY'!$L$7:$L$506,"&gt;=61",'02_NHAT_KY'!$L$7:$L$506,"&lt;=90"))</f>
        <v/>
      </c>
      <c r="O35" s="232">
        <f>IF($A35="","",IF(AND('01_DANH_MUC'!$H25&gt;0,'01_DANH_MUC'!$G25&lt;$E$4,$E$4-'01_DANH_MUC'!$G25&gt;90),'01_DANH_MUC'!$H25,0)+SUMIFS('02_NHAT_KY'!$K$7:$K$506,'02_NHAT_KY'!$C$7:$C$506,$A35,'02_NHAT_KY'!$L$7:$L$506,"&gt;90"))</f>
        <v/>
      </c>
      <c r="P35" s="201">
        <f>IF($A35="","",IF($H35&lt;0,"DƯ ÂM/TRẢ TRƯỚC",IF(ABS($H35-SUM($K35:$O35))&lt;1,"OK","LỆCH TUỔI NỢ")))</f>
        <v/>
      </c>
    </row>
    <row r="36">
      <c r="A36" s="201">
        <f>IF('01_DANH_MUC'!$A26="","",'01_DANH_MUC'!$A26)</f>
        <v/>
      </c>
      <c r="B36" s="198">
        <f>IF($A36="","",'01_DANH_MUC'!$B26)</f>
        <v/>
      </c>
      <c r="C36" s="201">
        <f>IF($A36="","",'01_DANH_MUC'!$C26)</f>
        <v/>
      </c>
      <c r="D36" s="231">
        <f>IF($A36="","",'01_DANH_MUC'!$D26)</f>
        <v/>
      </c>
      <c r="E36" s="232">
        <f>IF($A36="","",'01_DANH_MUC'!$F26+SUMIFS('02_NHAT_KY'!$G$7:$G$506,'02_NHAT_KY'!$C$7:$C$506,$A36,'02_NHAT_KY'!$A$7:$A$506,"&lt;"&amp;$B$4)-SUMIFS('02_NHAT_KY'!$H$7:$H$506,'02_NHAT_KY'!$C$7:$C$506,$A36,'02_NHAT_KY'!$A$7:$A$506,"&lt;"&amp;$B$4))</f>
        <v/>
      </c>
      <c r="F36" s="232">
        <f>IF($A36="","",SUMIFS('02_NHAT_KY'!$G$7:$G$506,'02_NHAT_KY'!$C$7:$C$506,$A36,'02_NHAT_KY'!$A$7:$A$506,"&gt;="&amp;$B$4,'02_NHAT_KY'!$A$7:$A$506,"&lt;="&amp;$E$4))</f>
        <v/>
      </c>
      <c r="G36" s="232">
        <f>IF($A36="","",SUMIFS('02_NHAT_KY'!$H$7:$H$506,'02_NHAT_KY'!$C$7:$C$506,$A36,'02_NHAT_KY'!$A$7:$A$506,"&gt;="&amp;$B$4,'02_NHAT_KY'!$A$7:$A$506,"&lt;="&amp;$E$4))</f>
        <v/>
      </c>
      <c r="H36" s="232">
        <f>IF($A36="","",$E36+$F36-$G36)</f>
        <v/>
      </c>
      <c r="I36" s="233">
        <f>IF($A36="","",IF($H36&lt;=0,0,MAX(IF(AND('01_DANH_MUC'!$H26&gt;0,'01_DANH_MUC'!$G26&lt;&gt;""),MAX(0,$E$4-'01_DANH_MUC'!$G26),0),IFERROR(MAXIFS('02_NHAT_KY'!$L$7:$L$506,'02_NHAT_KY'!$C$7:$C$506,$A36),0))))</f>
        <v/>
      </c>
      <c r="J36" s="201">
        <f>IF($A36="","",IF($H36&lt;=0,"Không có dư nợ",IF($I36&gt;0,"Quá hạn","Trong hạn")))</f>
        <v/>
      </c>
      <c r="K36" s="232">
        <f>IF($A36="","",IF(AND('01_DANH_MUC'!$H26&gt;0,OR('01_DANH_MUC'!$G26="",'01_DANH_MUC'!$G26&gt;=$E$4)),'01_DANH_MUC'!$H26,0)+SUMIFS('02_NHAT_KY'!$K$7:$K$506,'02_NHAT_KY'!$C$7:$C$506,$A36,'02_NHAT_KY'!$J$7:$J$506,"&gt;="&amp;$E$4)+SUMIFS('02_NHAT_KY'!$K$7:$K$506,'02_NHAT_KY'!$C$7:$C$506,$A36,'02_NHAT_KY'!$J$7:$J$506,""))</f>
        <v/>
      </c>
      <c r="L36" s="232">
        <f>IF($A36="","",IF(AND('01_DANH_MUC'!$H26&gt;0,'01_DANH_MUC'!$G26&lt;$E$4,$E$4-'01_DANH_MUC'!$G26&lt;=30),'01_DANH_MUC'!$H26,0)+SUMIFS('02_NHAT_KY'!$K$7:$K$506,'02_NHAT_KY'!$C$7:$C$506,$A36,'02_NHAT_KY'!$L$7:$L$506,"&gt;=1",'02_NHAT_KY'!$L$7:$L$506,"&lt;=30"))</f>
        <v/>
      </c>
      <c r="M36" s="232">
        <f>IF($A36="","",IF(AND('01_DANH_MUC'!$H26&gt;0,'01_DANH_MUC'!$G26&lt;$E$4,$E$4-'01_DANH_MUC'!$G26&gt;=31,$E$4-'01_DANH_MUC'!$G26&lt;=60),'01_DANH_MUC'!$H26,0)+SUMIFS('02_NHAT_KY'!$K$7:$K$506,'02_NHAT_KY'!$C$7:$C$506,$A36,'02_NHAT_KY'!$L$7:$L$506,"&gt;=31",'02_NHAT_KY'!$L$7:$L$506,"&lt;=60"))</f>
        <v/>
      </c>
      <c r="N36" s="232">
        <f>IF($A36="","",IF(AND('01_DANH_MUC'!$H26&gt;0,'01_DANH_MUC'!$G26&lt;$E$4,$E$4-'01_DANH_MUC'!$G26&gt;=61,$E$4-'01_DANH_MUC'!$G26&lt;=90),'01_DANH_MUC'!$H26,0)+SUMIFS('02_NHAT_KY'!$K$7:$K$506,'02_NHAT_KY'!$C$7:$C$506,$A36,'02_NHAT_KY'!$L$7:$L$506,"&gt;=61",'02_NHAT_KY'!$L$7:$L$506,"&lt;=90"))</f>
        <v/>
      </c>
      <c r="O36" s="232">
        <f>IF($A36="","",IF(AND('01_DANH_MUC'!$H26&gt;0,'01_DANH_MUC'!$G26&lt;$E$4,$E$4-'01_DANH_MUC'!$G26&gt;90),'01_DANH_MUC'!$H26,0)+SUMIFS('02_NHAT_KY'!$K$7:$K$506,'02_NHAT_KY'!$C$7:$C$506,$A36,'02_NHAT_KY'!$L$7:$L$506,"&gt;90"))</f>
        <v/>
      </c>
      <c r="P36" s="201">
        <f>IF($A36="","",IF($H36&lt;0,"DƯ ÂM/TRẢ TRƯỚC",IF(ABS($H36-SUM($K36:$O36))&lt;1,"OK","LỆCH TUỔI NỢ")))</f>
        <v/>
      </c>
    </row>
    <row r="37">
      <c r="A37" s="201">
        <f>IF('01_DANH_MUC'!$A27="","",'01_DANH_MUC'!$A27)</f>
        <v/>
      </c>
      <c r="B37" s="198">
        <f>IF($A37="","",'01_DANH_MUC'!$B27)</f>
        <v/>
      </c>
      <c r="C37" s="201">
        <f>IF($A37="","",'01_DANH_MUC'!$C27)</f>
        <v/>
      </c>
      <c r="D37" s="231">
        <f>IF($A37="","",'01_DANH_MUC'!$D27)</f>
        <v/>
      </c>
      <c r="E37" s="232">
        <f>IF($A37="","",'01_DANH_MUC'!$F27+SUMIFS('02_NHAT_KY'!$G$7:$G$506,'02_NHAT_KY'!$C$7:$C$506,$A37,'02_NHAT_KY'!$A$7:$A$506,"&lt;"&amp;$B$4)-SUMIFS('02_NHAT_KY'!$H$7:$H$506,'02_NHAT_KY'!$C$7:$C$506,$A37,'02_NHAT_KY'!$A$7:$A$506,"&lt;"&amp;$B$4))</f>
        <v/>
      </c>
      <c r="F37" s="232">
        <f>IF($A37="","",SUMIFS('02_NHAT_KY'!$G$7:$G$506,'02_NHAT_KY'!$C$7:$C$506,$A37,'02_NHAT_KY'!$A$7:$A$506,"&gt;="&amp;$B$4,'02_NHAT_KY'!$A$7:$A$506,"&lt;="&amp;$E$4))</f>
        <v/>
      </c>
      <c r="G37" s="232">
        <f>IF($A37="","",SUMIFS('02_NHAT_KY'!$H$7:$H$506,'02_NHAT_KY'!$C$7:$C$506,$A37,'02_NHAT_KY'!$A$7:$A$506,"&gt;="&amp;$B$4,'02_NHAT_KY'!$A$7:$A$506,"&lt;="&amp;$E$4))</f>
        <v/>
      </c>
      <c r="H37" s="232">
        <f>IF($A37="","",$E37+$F37-$G37)</f>
        <v/>
      </c>
      <c r="I37" s="233">
        <f>IF($A37="","",IF($H37&lt;=0,0,MAX(IF(AND('01_DANH_MUC'!$H27&gt;0,'01_DANH_MUC'!$G27&lt;&gt;""),MAX(0,$E$4-'01_DANH_MUC'!$G27),0),IFERROR(MAXIFS('02_NHAT_KY'!$L$7:$L$506,'02_NHAT_KY'!$C$7:$C$506,$A37),0))))</f>
        <v/>
      </c>
      <c r="J37" s="201">
        <f>IF($A37="","",IF($H37&lt;=0,"Không có dư nợ",IF($I37&gt;0,"Quá hạn","Trong hạn")))</f>
        <v/>
      </c>
      <c r="K37" s="232">
        <f>IF($A37="","",IF(AND('01_DANH_MUC'!$H27&gt;0,OR('01_DANH_MUC'!$G27="",'01_DANH_MUC'!$G27&gt;=$E$4)),'01_DANH_MUC'!$H27,0)+SUMIFS('02_NHAT_KY'!$K$7:$K$506,'02_NHAT_KY'!$C$7:$C$506,$A37,'02_NHAT_KY'!$J$7:$J$506,"&gt;="&amp;$E$4)+SUMIFS('02_NHAT_KY'!$K$7:$K$506,'02_NHAT_KY'!$C$7:$C$506,$A37,'02_NHAT_KY'!$J$7:$J$506,""))</f>
        <v/>
      </c>
      <c r="L37" s="232">
        <f>IF($A37="","",IF(AND('01_DANH_MUC'!$H27&gt;0,'01_DANH_MUC'!$G27&lt;$E$4,$E$4-'01_DANH_MUC'!$G27&lt;=30),'01_DANH_MUC'!$H27,0)+SUMIFS('02_NHAT_KY'!$K$7:$K$506,'02_NHAT_KY'!$C$7:$C$506,$A37,'02_NHAT_KY'!$L$7:$L$506,"&gt;=1",'02_NHAT_KY'!$L$7:$L$506,"&lt;=30"))</f>
        <v/>
      </c>
      <c r="M37" s="232">
        <f>IF($A37="","",IF(AND('01_DANH_MUC'!$H27&gt;0,'01_DANH_MUC'!$G27&lt;$E$4,$E$4-'01_DANH_MUC'!$G27&gt;=31,$E$4-'01_DANH_MUC'!$G27&lt;=60),'01_DANH_MUC'!$H27,0)+SUMIFS('02_NHAT_KY'!$K$7:$K$506,'02_NHAT_KY'!$C$7:$C$506,$A37,'02_NHAT_KY'!$L$7:$L$506,"&gt;=31",'02_NHAT_KY'!$L$7:$L$506,"&lt;=60"))</f>
        <v/>
      </c>
      <c r="N37" s="232">
        <f>IF($A37="","",IF(AND('01_DANH_MUC'!$H27&gt;0,'01_DANH_MUC'!$G27&lt;$E$4,$E$4-'01_DANH_MUC'!$G27&gt;=61,$E$4-'01_DANH_MUC'!$G27&lt;=90),'01_DANH_MUC'!$H27,0)+SUMIFS('02_NHAT_KY'!$K$7:$K$506,'02_NHAT_KY'!$C$7:$C$506,$A37,'02_NHAT_KY'!$L$7:$L$506,"&gt;=61",'02_NHAT_KY'!$L$7:$L$506,"&lt;=90"))</f>
        <v/>
      </c>
      <c r="O37" s="232">
        <f>IF($A37="","",IF(AND('01_DANH_MUC'!$H27&gt;0,'01_DANH_MUC'!$G27&lt;$E$4,$E$4-'01_DANH_MUC'!$G27&gt;90),'01_DANH_MUC'!$H27,0)+SUMIFS('02_NHAT_KY'!$K$7:$K$506,'02_NHAT_KY'!$C$7:$C$506,$A37,'02_NHAT_KY'!$L$7:$L$506,"&gt;90"))</f>
        <v/>
      </c>
      <c r="P37" s="201">
        <f>IF($A37="","",IF($H37&lt;0,"DƯ ÂM/TRẢ TRƯỚC",IF(ABS($H37-SUM($K37:$O37))&lt;1,"OK","LỆCH TUỔI NỢ")))</f>
        <v/>
      </c>
    </row>
    <row r="38">
      <c r="A38" s="201">
        <f>IF('01_DANH_MUC'!$A28="","",'01_DANH_MUC'!$A28)</f>
        <v/>
      </c>
      <c r="B38" s="198">
        <f>IF($A38="","",'01_DANH_MUC'!$B28)</f>
        <v/>
      </c>
      <c r="C38" s="201">
        <f>IF($A38="","",'01_DANH_MUC'!$C28)</f>
        <v/>
      </c>
      <c r="D38" s="231">
        <f>IF($A38="","",'01_DANH_MUC'!$D28)</f>
        <v/>
      </c>
      <c r="E38" s="232">
        <f>IF($A38="","",'01_DANH_MUC'!$F28+SUMIFS('02_NHAT_KY'!$G$7:$G$506,'02_NHAT_KY'!$C$7:$C$506,$A38,'02_NHAT_KY'!$A$7:$A$506,"&lt;"&amp;$B$4)-SUMIFS('02_NHAT_KY'!$H$7:$H$506,'02_NHAT_KY'!$C$7:$C$506,$A38,'02_NHAT_KY'!$A$7:$A$506,"&lt;"&amp;$B$4))</f>
        <v/>
      </c>
      <c r="F38" s="232">
        <f>IF($A38="","",SUMIFS('02_NHAT_KY'!$G$7:$G$506,'02_NHAT_KY'!$C$7:$C$506,$A38,'02_NHAT_KY'!$A$7:$A$506,"&gt;="&amp;$B$4,'02_NHAT_KY'!$A$7:$A$506,"&lt;="&amp;$E$4))</f>
        <v/>
      </c>
      <c r="G38" s="232">
        <f>IF($A38="","",SUMIFS('02_NHAT_KY'!$H$7:$H$506,'02_NHAT_KY'!$C$7:$C$506,$A38,'02_NHAT_KY'!$A$7:$A$506,"&gt;="&amp;$B$4,'02_NHAT_KY'!$A$7:$A$506,"&lt;="&amp;$E$4))</f>
        <v/>
      </c>
      <c r="H38" s="232">
        <f>IF($A38="","",$E38+$F38-$G38)</f>
        <v/>
      </c>
      <c r="I38" s="233">
        <f>IF($A38="","",IF($H38&lt;=0,0,MAX(IF(AND('01_DANH_MUC'!$H28&gt;0,'01_DANH_MUC'!$G28&lt;&gt;""),MAX(0,$E$4-'01_DANH_MUC'!$G28),0),IFERROR(MAXIFS('02_NHAT_KY'!$L$7:$L$506,'02_NHAT_KY'!$C$7:$C$506,$A38),0))))</f>
        <v/>
      </c>
      <c r="J38" s="201">
        <f>IF($A38="","",IF($H38&lt;=0,"Không có dư nợ",IF($I38&gt;0,"Quá hạn","Trong hạn")))</f>
        <v/>
      </c>
      <c r="K38" s="232">
        <f>IF($A38="","",IF(AND('01_DANH_MUC'!$H28&gt;0,OR('01_DANH_MUC'!$G28="",'01_DANH_MUC'!$G28&gt;=$E$4)),'01_DANH_MUC'!$H28,0)+SUMIFS('02_NHAT_KY'!$K$7:$K$506,'02_NHAT_KY'!$C$7:$C$506,$A38,'02_NHAT_KY'!$J$7:$J$506,"&gt;="&amp;$E$4)+SUMIFS('02_NHAT_KY'!$K$7:$K$506,'02_NHAT_KY'!$C$7:$C$506,$A38,'02_NHAT_KY'!$J$7:$J$506,""))</f>
        <v/>
      </c>
      <c r="L38" s="232">
        <f>IF($A38="","",IF(AND('01_DANH_MUC'!$H28&gt;0,'01_DANH_MUC'!$G28&lt;$E$4,$E$4-'01_DANH_MUC'!$G28&lt;=30),'01_DANH_MUC'!$H28,0)+SUMIFS('02_NHAT_KY'!$K$7:$K$506,'02_NHAT_KY'!$C$7:$C$506,$A38,'02_NHAT_KY'!$L$7:$L$506,"&gt;=1",'02_NHAT_KY'!$L$7:$L$506,"&lt;=30"))</f>
        <v/>
      </c>
      <c r="M38" s="232">
        <f>IF($A38="","",IF(AND('01_DANH_MUC'!$H28&gt;0,'01_DANH_MUC'!$G28&lt;$E$4,$E$4-'01_DANH_MUC'!$G28&gt;=31,$E$4-'01_DANH_MUC'!$G28&lt;=60),'01_DANH_MUC'!$H28,0)+SUMIFS('02_NHAT_KY'!$K$7:$K$506,'02_NHAT_KY'!$C$7:$C$506,$A38,'02_NHAT_KY'!$L$7:$L$506,"&gt;=31",'02_NHAT_KY'!$L$7:$L$506,"&lt;=60"))</f>
        <v/>
      </c>
      <c r="N38" s="232">
        <f>IF($A38="","",IF(AND('01_DANH_MUC'!$H28&gt;0,'01_DANH_MUC'!$G28&lt;$E$4,$E$4-'01_DANH_MUC'!$G28&gt;=61,$E$4-'01_DANH_MUC'!$G28&lt;=90),'01_DANH_MUC'!$H28,0)+SUMIFS('02_NHAT_KY'!$K$7:$K$506,'02_NHAT_KY'!$C$7:$C$506,$A38,'02_NHAT_KY'!$L$7:$L$506,"&gt;=61",'02_NHAT_KY'!$L$7:$L$506,"&lt;=90"))</f>
        <v/>
      </c>
      <c r="O38" s="232">
        <f>IF($A38="","",IF(AND('01_DANH_MUC'!$H28&gt;0,'01_DANH_MUC'!$G28&lt;$E$4,$E$4-'01_DANH_MUC'!$G28&gt;90),'01_DANH_MUC'!$H28,0)+SUMIFS('02_NHAT_KY'!$K$7:$K$506,'02_NHAT_KY'!$C$7:$C$506,$A38,'02_NHAT_KY'!$L$7:$L$506,"&gt;90"))</f>
        <v/>
      </c>
      <c r="P38" s="201">
        <f>IF($A38="","",IF($H38&lt;0,"DƯ ÂM/TRẢ TRƯỚC",IF(ABS($H38-SUM($K38:$O38))&lt;1,"OK","LỆCH TUỔI NỢ")))</f>
        <v/>
      </c>
    </row>
    <row r="39">
      <c r="A39" s="201">
        <f>IF('01_DANH_MUC'!$A29="","",'01_DANH_MUC'!$A29)</f>
        <v/>
      </c>
      <c r="B39" s="198">
        <f>IF($A39="","",'01_DANH_MUC'!$B29)</f>
        <v/>
      </c>
      <c r="C39" s="201">
        <f>IF($A39="","",'01_DANH_MUC'!$C29)</f>
        <v/>
      </c>
      <c r="D39" s="231">
        <f>IF($A39="","",'01_DANH_MUC'!$D29)</f>
        <v/>
      </c>
      <c r="E39" s="232">
        <f>IF($A39="","",'01_DANH_MUC'!$F29+SUMIFS('02_NHAT_KY'!$G$7:$G$506,'02_NHAT_KY'!$C$7:$C$506,$A39,'02_NHAT_KY'!$A$7:$A$506,"&lt;"&amp;$B$4)-SUMIFS('02_NHAT_KY'!$H$7:$H$506,'02_NHAT_KY'!$C$7:$C$506,$A39,'02_NHAT_KY'!$A$7:$A$506,"&lt;"&amp;$B$4))</f>
        <v/>
      </c>
      <c r="F39" s="232">
        <f>IF($A39="","",SUMIFS('02_NHAT_KY'!$G$7:$G$506,'02_NHAT_KY'!$C$7:$C$506,$A39,'02_NHAT_KY'!$A$7:$A$506,"&gt;="&amp;$B$4,'02_NHAT_KY'!$A$7:$A$506,"&lt;="&amp;$E$4))</f>
        <v/>
      </c>
      <c r="G39" s="232">
        <f>IF($A39="","",SUMIFS('02_NHAT_KY'!$H$7:$H$506,'02_NHAT_KY'!$C$7:$C$506,$A39,'02_NHAT_KY'!$A$7:$A$506,"&gt;="&amp;$B$4,'02_NHAT_KY'!$A$7:$A$506,"&lt;="&amp;$E$4))</f>
        <v/>
      </c>
      <c r="H39" s="232">
        <f>IF($A39="","",$E39+$F39-$G39)</f>
        <v/>
      </c>
      <c r="I39" s="233">
        <f>IF($A39="","",IF($H39&lt;=0,0,MAX(IF(AND('01_DANH_MUC'!$H29&gt;0,'01_DANH_MUC'!$G29&lt;&gt;""),MAX(0,$E$4-'01_DANH_MUC'!$G29),0),IFERROR(MAXIFS('02_NHAT_KY'!$L$7:$L$506,'02_NHAT_KY'!$C$7:$C$506,$A39),0))))</f>
        <v/>
      </c>
      <c r="J39" s="201">
        <f>IF($A39="","",IF($H39&lt;=0,"Không có dư nợ",IF($I39&gt;0,"Quá hạn","Trong hạn")))</f>
        <v/>
      </c>
      <c r="K39" s="232">
        <f>IF($A39="","",IF(AND('01_DANH_MUC'!$H29&gt;0,OR('01_DANH_MUC'!$G29="",'01_DANH_MUC'!$G29&gt;=$E$4)),'01_DANH_MUC'!$H29,0)+SUMIFS('02_NHAT_KY'!$K$7:$K$506,'02_NHAT_KY'!$C$7:$C$506,$A39,'02_NHAT_KY'!$J$7:$J$506,"&gt;="&amp;$E$4)+SUMIFS('02_NHAT_KY'!$K$7:$K$506,'02_NHAT_KY'!$C$7:$C$506,$A39,'02_NHAT_KY'!$J$7:$J$506,""))</f>
        <v/>
      </c>
      <c r="L39" s="232">
        <f>IF($A39="","",IF(AND('01_DANH_MUC'!$H29&gt;0,'01_DANH_MUC'!$G29&lt;$E$4,$E$4-'01_DANH_MUC'!$G29&lt;=30),'01_DANH_MUC'!$H29,0)+SUMIFS('02_NHAT_KY'!$K$7:$K$506,'02_NHAT_KY'!$C$7:$C$506,$A39,'02_NHAT_KY'!$L$7:$L$506,"&gt;=1",'02_NHAT_KY'!$L$7:$L$506,"&lt;=30"))</f>
        <v/>
      </c>
      <c r="M39" s="232">
        <f>IF($A39="","",IF(AND('01_DANH_MUC'!$H29&gt;0,'01_DANH_MUC'!$G29&lt;$E$4,$E$4-'01_DANH_MUC'!$G29&gt;=31,$E$4-'01_DANH_MUC'!$G29&lt;=60),'01_DANH_MUC'!$H29,0)+SUMIFS('02_NHAT_KY'!$K$7:$K$506,'02_NHAT_KY'!$C$7:$C$506,$A39,'02_NHAT_KY'!$L$7:$L$506,"&gt;=31",'02_NHAT_KY'!$L$7:$L$506,"&lt;=60"))</f>
        <v/>
      </c>
      <c r="N39" s="232">
        <f>IF($A39="","",IF(AND('01_DANH_MUC'!$H29&gt;0,'01_DANH_MUC'!$G29&lt;$E$4,$E$4-'01_DANH_MUC'!$G29&gt;=61,$E$4-'01_DANH_MUC'!$G29&lt;=90),'01_DANH_MUC'!$H29,0)+SUMIFS('02_NHAT_KY'!$K$7:$K$506,'02_NHAT_KY'!$C$7:$C$506,$A39,'02_NHAT_KY'!$L$7:$L$506,"&gt;=61",'02_NHAT_KY'!$L$7:$L$506,"&lt;=90"))</f>
        <v/>
      </c>
      <c r="O39" s="232">
        <f>IF($A39="","",IF(AND('01_DANH_MUC'!$H29&gt;0,'01_DANH_MUC'!$G29&lt;$E$4,$E$4-'01_DANH_MUC'!$G29&gt;90),'01_DANH_MUC'!$H29,0)+SUMIFS('02_NHAT_KY'!$K$7:$K$506,'02_NHAT_KY'!$C$7:$C$506,$A39,'02_NHAT_KY'!$L$7:$L$506,"&gt;90"))</f>
        <v/>
      </c>
      <c r="P39" s="201">
        <f>IF($A39="","",IF($H39&lt;0,"DƯ ÂM/TRẢ TRƯỚC",IF(ABS($H39-SUM($K39:$O39))&lt;1,"OK","LỆCH TUỔI NỢ")))</f>
        <v/>
      </c>
    </row>
    <row r="40">
      <c r="A40" s="201">
        <f>IF('01_DANH_MUC'!$A30="","",'01_DANH_MUC'!$A30)</f>
        <v/>
      </c>
      <c r="B40" s="198">
        <f>IF($A40="","",'01_DANH_MUC'!$B30)</f>
        <v/>
      </c>
      <c r="C40" s="201">
        <f>IF($A40="","",'01_DANH_MUC'!$C30)</f>
        <v/>
      </c>
      <c r="D40" s="231">
        <f>IF($A40="","",'01_DANH_MUC'!$D30)</f>
        <v/>
      </c>
      <c r="E40" s="232">
        <f>IF($A40="","",'01_DANH_MUC'!$F30+SUMIFS('02_NHAT_KY'!$G$7:$G$506,'02_NHAT_KY'!$C$7:$C$506,$A40,'02_NHAT_KY'!$A$7:$A$506,"&lt;"&amp;$B$4)-SUMIFS('02_NHAT_KY'!$H$7:$H$506,'02_NHAT_KY'!$C$7:$C$506,$A40,'02_NHAT_KY'!$A$7:$A$506,"&lt;"&amp;$B$4))</f>
        <v/>
      </c>
      <c r="F40" s="232">
        <f>IF($A40="","",SUMIFS('02_NHAT_KY'!$G$7:$G$506,'02_NHAT_KY'!$C$7:$C$506,$A40,'02_NHAT_KY'!$A$7:$A$506,"&gt;="&amp;$B$4,'02_NHAT_KY'!$A$7:$A$506,"&lt;="&amp;$E$4))</f>
        <v/>
      </c>
      <c r="G40" s="232">
        <f>IF($A40="","",SUMIFS('02_NHAT_KY'!$H$7:$H$506,'02_NHAT_KY'!$C$7:$C$506,$A40,'02_NHAT_KY'!$A$7:$A$506,"&gt;="&amp;$B$4,'02_NHAT_KY'!$A$7:$A$506,"&lt;="&amp;$E$4))</f>
        <v/>
      </c>
      <c r="H40" s="232">
        <f>IF($A40="","",$E40+$F40-$G40)</f>
        <v/>
      </c>
      <c r="I40" s="233">
        <f>IF($A40="","",IF($H40&lt;=0,0,MAX(IF(AND('01_DANH_MUC'!$H30&gt;0,'01_DANH_MUC'!$G30&lt;&gt;""),MAX(0,$E$4-'01_DANH_MUC'!$G30),0),IFERROR(MAXIFS('02_NHAT_KY'!$L$7:$L$506,'02_NHAT_KY'!$C$7:$C$506,$A40),0))))</f>
        <v/>
      </c>
      <c r="J40" s="201">
        <f>IF($A40="","",IF($H40&lt;=0,"Không có dư nợ",IF($I40&gt;0,"Quá hạn","Trong hạn")))</f>
        <v/>
      </c>
      <c r="K40" s="232">
        <f>IF($A40="","",IF(AND('01_DANH_MUC'!$H30&gt;0,OR('01_DANH_MUC'!$G30="",'01_DANH_MUC'!$G30&gt;=$E$4)),'01_DANH_MUC'!$H30,0)+SUMIFS('02_NHAT_KY'!$K$7:$K$506,'02_NHAT_KY'!$C$7:$C$506,$A40,'02_NHAT_KY'!$J$7:$J$506,"&gt;="&amp;$E$4)+SUMIFS('02_NHAT_KY'!$K$7:$K$506,'02_NHAT_KY'!$C$7:$C$506,$A40,'02_NHAT_KY'!$J$7:$J$506,""))</f>
        <v/>
      </c>
      <c r="L40" s="232">
        <f>IF($A40="","",IF(AND('01_DANH_MUC'!$H30&gt;0,'01_DANH_MUC'!$G30&lt;$E$4,$E$4-'01_DANH_MUC'!$G30&lt;=30),'01_DANH_MUC'!$H30,0)+SUMIFS('02_NHAT_KY'!$K$7:$K$506,'02_NHAT_KY'!$C$7:$C$506,$A40,'02_NHAT_KY'!$L$7:$L$506,"&gt;=1",'02_NHAT_KY'!$L$7:$L$506,"&lt;=30"))</f>
        <v/>
      </c>
      <c r="M40" s="232">
        <f>IF($A40="","",IF(AND('01_DANH_MUC'!$H30&gt;0,'01_DANH_MUC'!$G30&lt;$E$4,$E$4-'01_DANH_MUC'!$G30&gt;=31,$E$4-'01_DANH_MUC'!$G30&lt;=60),'01_DANH_MUC'!$H30,0)+SUMIFS('02_NHAT_KY'!$K$7:$K$506,'02_NHAT_KY'!$C$7:$C$506,$A40,'02_NHAT_KY'!$L$7:$L$506,"&gt;=31",'02_NHAT_KY'!$L$7:$L$506,"&lt;=60"))</f>
        <v/>
      </c>
      <c r="N40" s="232">
        <f>IF($A40="","",IF(AND('01_DANH_MUC'!$H30&gt;0,'01_DANH_MUC'!$G30&lt;$E$4,$E$4-'01_DANH_MUC'!$G30&gt;=61,$E$4-'01_DANH_MUC'!$G30&lt;=90),'01_DANH_MUC'!$H30,0)+SUMIFS('02_NHAT_KY'!$K$7:$K$506,'02_NHAT_KY'!$C$7:$C$506,$A40,'02_NHAT_KY'!$L$7:$L$506,"&gt;=61",'02_NHAT_KY'!$L$7:$L$506,"&lt;=90"))</f>
        <v/>
      </c>
      <c r="O40" s="232">
        <f>IF($A40="","",IF(AND('01_DANH_MUC'!$H30&gt;0,'01_DANH_MUC'!$G30&lt;$E$4,$E$4-'01_DANH_MUC'!$G30&gt;90),'01_DANH_MUC'!$H30,0)+SUMIFS('02_NHAT_KY'!$K$7:$K$506,'02_NHAT_KY'!$C$7:$C$506,$A40,'02_NHAT_KY'!$L$7:$L$506,"&gt;90"))</f>
        <v/>
      </c>
      <c r="P40" s="201">
        <f>IF($A40="","",IF($H40&lt;0,"DƯ ÂM/TRẢ TRƯỚC",IF(ABS($H40-SUM($K40:$O40))&lt;1,"OK","LỆCH TUỔI NỢ")))</f>
        <v/>
      </c>
    </row>
    <row r="41">
      <c r="A41" s="201">
        <f>IF('01_DANH_MUC'!$A31="","",'01_DANH_MUC'!$A31)</f>
        <v/>
      </c>
      <c r="B41" s="198">
        <f>IF($A41="","",'01_DANH_MUC'!$B31)</f>
        <v/>
      </c>
      <c r="C41" s="201">
        <f>IF($A41="","",'01_DANH_MUC'!$C31)</f>
        <v/>
      </c>
      <c r="D41" s="231">
        <f>IF($A41="","",'01_DANH_MUC'!$D31)</f>
        <v/>
      </c>
      <c r="E41" s="232">
        <f>IF($A41="","",'01_DANH_MUC'!$F31+SUMIFS('02_NHAT_KY'!$G$7:$G$506,'02_NHAT_KY'!$C$7:$C$506,$A41,'02_NHAT_KY'!$A$7:$A$506,"&lt;"&amp;$B$4)-SUMIFS('02_NHAT_KY'!$H$7:$H$506,'02_NHAT_KY'!$C$7:$C$506,$A41,'02_NHAT_KY'!$A$7:$A$506,"&lt;"&amp;$B$4))</f>
        <v/>
      </c>
      <c r="F41" s="232">
        <f>IF($A41="","",SUMIFS('02_NHAT_KY'!$G$7:$G$506,'02_NHAT_KY'!$C$7:$C$506,$A41,'02_NHAT_KY'!$A$7:$A$506,"&gt;="&amp;$B$4,'02_NHAT_KY'!$A$7:$A$506,"&lt;="&amp;$E$4))</f>
        <v/>
      </c>
      <c r="G41" s="232">
        <f>IF($A41="","",SUMIFS('02_NHAT_KY'!$H$7:$H$506,'02_NHAT_KY'!$C$7:$C$506,$A41,'02_NHAT_KY'!$A$7:$A$506,"&gt;="&amp;$B$4,'02_NHAT_KY'!$A$7:$A$506,"&lt;="&amp;$E$4))</f>
        <v/>
      </c>
      <c r="H41" s="232">
        <f>IF($A41="","",$E41+$F41-$G41)</f>
        <v/>
      </c>
      <c r="I41" s="233">
        <f>IF($A41="","",IF($H41&lt;=0,0,MAX(IF(AND('01_DANH_MUC'!$H31&gt;0,'01_DANH_MUC'!$G31&lt;&gt;""),MAX(0,$E$4-'01_DANH_MUC'!$G31),0),IFERROR(MAXIFS('02_NHAT_KY'!$L$7:$L$506,'02_NHAT_KY'!$C$7:$C$506,$A41),0))))</f>
        <v/>
      </c>
      <c r="J41" s="201">
        <f>IF($A41="","",IF($H41&lt;=0,"Không có dư nợ",IF($I41&gt;0,"Quá hạn","Trong hạn")))</f>
        <v/>
      </c>
      <c r="K41" s="232">
        <f>IF($A41="","",IF(AND('01_DANH_MUC'!$H31&gt;0,OR('01_DANH_MUC'!$G31="",'01_DANH_MUC'!$G31&gt;=$E$4)),'01_DANH_MUC'!$H31,0)+SUMIFS('02_NHAT_KY'!$K$7:$K$506,'02_NHAT_KY'!$C$7:$C$506,$A41,'02_NHAT_KY'!$J$7:$J$506,"&gt;="&amp;$E$4)+SUMIFS('02_NHAT_KY'!$K$7:$K$506,'02_NHAT_KY'!$C$7:$C$506,$A41,'02_NHAT_KY'!$J$7:$J$506,""))</f>
        <v/>
      </c>
      <c r="L41" s="232">
        <f>IF($A41="","",IF(AND('01_DANH_MUC'!$H31&gt;0,'01_DANH_MUC'!$G31&lt;$E$4,$E$4-'01_DANH_MUC'!$G31&lt;=30),'01_DANH_MUC'!$H31,0)+SUMIFS('02_NHAT_KY'!$K$7:$K$506,'02_NHAT_KY'!$C$7:$C$506,$A41,'02_NHAT_KY'!$L$7:$L$506,"&gt;=1",'02_NHAT_KY'!$L$7:$L$506,"&lt;=30"))</f>
        <v/>
      </c>
      <c r="M41" s="232">
        <f>IF($A41="","",IF(AND('01_DANH_MUC'!$H31&gt;0,'01_DANH_MUC'!$G31&lt;$E$4,$E$4-'01_DANH_MUC'!$G31&gt;=31,$E$4-'01_DANH_MUC'!$G31&lt;=60),'01_DANH_MUC'!$H31,0)+SUMIFS('02_NHAT_KY'!$K$7:$K$506,'02_NHAT_KY'!$C$7:$C$506,$A41,'02_NHAT_KY'!$L$7:$L$506,"&gt;=31",'02_NHAT_KY'!$L$7:$L$506,"&lt;=60"))</f>
        <v/>
      </c>
      <c r="N41" s="232">
        <f>IF($A41="","",IF(AND('01_DANH_MUC'!$H31&gt;0,'01_DANH_MUC'!$G31&lt;$E$4,$E$4-'01_DANH_MUC'!$G31&gt;=61,$E$4-'01_DANH_MUC'!$G31&lt;=90),'01_DANH_MUC'!$H31,0)+SUMIFS('02_NHAT_KY'!$K$7:$K$506,'02_NHAT_KY'!$C$7:$C$506,$A41,'02_NHAT_KY'!$L$7:$L$506,"&gt;=61",'02_NHAT_KY'!$L$7:$L$506,"&lt;=90"))</f>
        <v/>
      </c>
      <c r="O41" s="232">
        <f>IF($A41="","",IF(AND('01_DANH_MUC'!$H31&gt;0,'01_DANH_MUC'!$G31&lt;$E$4,$E$4-'01_DANH_MUC'!$G31&gt;90),'01_DANH_MUC'!$H31,0)+SUMIFS('02_NHAT_KY'!$K$7:$K$506,'02_NHAT_KY'!$C$7:$C$506,$A41,'02_NHAT_KY'!$L$7:$L$506,"&gt;90"))</f>
        <v/>
      </c>
      <c r="P41" s="201">
        <f>IF($A41="","",IF($H41&lt;0,"DƯ ÂM/TRẢ TRƯỚC",IF(ABS($H41-SUM($K41:$O41))&lt;1,"OK","LỆCH TUỔI NỢ")))</f>
        <v/>
      </c>
    </row>
    <row r="42">
      <c r="A42" s="201">
        <f>IF('01_DANH_MUC'!$A32="","",'01_DANH_MUC'!$A32)</f>
        <v/>
      </c>
      <c r="B42" s="198">
        <f>IF($A42="","",'01_DANH_MUC'!$B32)</f>
        <v/>
      </c>
      <c r="C42" s="201">
        <f>IF($A42="","",'01_DANH_MUC'!$C32)</f>
        <v/>
      </c>
      <c r="D42" s="231">
        <f>IF($A42="","",'01_DANH_MUC'!$D32)</f>
        <v/>
      </c>
      <c r="E42" s="232">
        <f>IF($A42="","",'01_DANH_MUC'!$F32+SUMIFS('02_NHAT_KY'!$G$7:$G$506,'02_NHAT_KY'!$C$7:$C$506,$A42,'02_NHAT_KY'!$A$7:$A$506,"&lt;"&amp;$B$4)-SUMIFS('02_NHAT_KY'!$H$7:$H$506,'02_NHAT_KY'!$C$7:$C$506,$A42,'02_NHAT_KY'!$A$7:$A$506,"&lt;"&amp;$B$4))</f>
        <v/>
      </c>
      <c r="F42" s="232">
        <f>IF($A42="","",SUMIFS('02_NHAT_KY'!$G$7:$G$506,'02_NHAT_KY'!$C$7:$C$506,$A42,'02_NHAT_KY'!$A$7:$A$506,"&gt;="&amp;$B$4,'02_NHAT_KY'!$A$7:$A$506,"&lt;="&amp;$E$4))</f>
        <v/>
      </c>
      <c r="G42" s="232">
        <f>IF($A42="","",SUMIFS('02_NHAT_KY'!$H$7:$H$506,'02_NHAT_KY'!$C$7:$C$506,$A42,'02_NHAT_KY'!$A$7:$A$506,"&gt;="&amp;$B$4,'02_NHAT_KY'!$A$7:$A$506,"&lt;="&amp;$E$4))</f>
        <v/>
      </c>
      <c r="H42" s="232">
        <f>IF($A42="","",$E42+$F42-$G42)</f>
        <v/>
      </c>
      <c r="I42" s="233">
        <f>IF($A42="","",IF($H42&lt;=0,0,MAX(IF(AND('01_DANH_MUC'!$H32&gt;0,'01_DANH_MUC'!$G32&lt;&gt;""),MAX(0,$E$4-'01_DANH_MUC'!$G32),0),IFERROR(MAXIFS('02_NHAT_KY'!$L$7:$L$506,'02_NHAT_KY'!$C$7:$C$506,$A42),0))))</f>
        <v/>
      </c>
      <c r="J42" s="201">
        <f>IF($A42="","",IF($H42&lt;=0,"Không có dư nợ",IF($I42&gt;0,"Quá hạn","Trong hạn")))</f>
        <v/>
      </c>
      <c r="K42" s="232">
        <f>IF($A42="","",IF(AND('01_DANH_MUC'!$H32&gt;0,OR('01_DANH_MUC'!$G32="",'01_DANH_MUC'!$G32&gt;=$E$4)),'01_DANH_MUC'!$H32,0)+SUMIFS('02_NHAT_KY'!$K$7:$K$506,'02_NHAT_KY'!$C$7:$C$506,$A42,'02_NHAT_KY'!$J$7:$J$506,"&gt;="&amp;$E$4)+SUMIFS('02_NHAT_KY'!$K$7:$K$506,'02_NHAT_KY'!$C$7:$C$506,$A42,'02_NHAT_KY'!$J$7:$J$506,""))</f>
        <v/>
      </c>
      <c r="L42" s="232">
        <f>IF($A42="","",IF(AND('01_DANH_MUC'!$H32&gt;0,'01_DANH_MUC'!$G32&lt;$E$4,$E$4-'01_DANH_MUC'!$G32&lt;=30),'01_DANH_MUC'!$H32,0)+SUMIFS('02_NHAT_KY'!$K$7:$K$506,'02_NHAT_KY'!$C$7:$C$506,$A42,'02_NHAT_KY'!$L$7:$L$506,"&gt;=1",'02_NHAT_KY'!$L$7:$L$506,"&lt;=30"))</f>
        <v/>
      </c>
      <c r="M42" s="232">
        <f>IF($A42="","",IF(AND('01_DANH_MUC'!$H32&gt;0,'01_DANH_MUC'!$G32&lt;$E$4,$E$4-'01_DANH_MUC'!$G32&gt;=31,$E$4-'01_DANH_MUC'!$G32&lt;=60),'01_DANH_MUC'!$H32,0)+SUMIFS('02_NHAT_KY'!$K$7:$K$506,'02_NHAT_KY'!$C$7:$C$506,$A42,'02_NHAT_KY'!$L$7:$L$506,"&gt;=31",'02_NHAT_KY'!$L$7:$L$506,"&lt;=60"))</f>
        <v/>
      </c>
      <c r="N42" s="232">
        <f>IF($A42="","",IF(AND('01_DANH_MUC'!$H32&gt;0,'01_DANH_MUC'!$G32&lt;$E$4,$E$4-'01_DANH_MUC'!$G32&gt;=61,$E$4-'01_DANH_MUC'!$G32&lt;=90),'01_DANH_MUC'!$H32,0)+SUMIFS('02_NHAT_KY'!$K$7:$K$506,'02_NHAT_KY'!$C$7:$C$506,$A42,'02_NHAT_KY'!$L$7:$L$506,"&gt;=61",'02_NHAT_KY'!$L$7:$L$506,"&lt;=90"))</f>
        <v/>
      </c>
      <c r="O42" s="232">
        <f>IF($A42="","",IF(AND('01_DANH_MUC'!$H32&gt;0,'01_DANH_MUC'!$G32&lt;$E$4,$E$4-'01_DANH_MUC'!$G32&gt;90),'01_DANH_MUC'!$H32,0)+SUMIFS('02_NHAT_KY'!$K$7:$K$506,'02_NHAT_KY'!$C$7:$C$506,$A42,'02_NHAT_KY'!$L$7:$L$506,"&gt;90"))</f>
        <v/>
      </c>
      <c r="P42" s="201">
        <f>IF($A42="","",IF($H42&lt;0,"DƯ ÂM/TRẢ TRƯỚC",IF(ABS($H42-SUM($K42:$O42))&lt;1,"OK","LỆCH TUỔI NỢ")))</f>
        <v/>
      </c>
    </row>
    <row r="43">
      <c r="A43" s="201">
        <f>IF('01_DANH_MUC'!$A33="","",'01_DANH_MUC'!$A33)</f>
        <v/>
      </c>
      <c r="B43" s="198">
        <f>IF($A43="","",'01_DANH_MUC'!$B33)</f>
        <v/>
      </c>
      <c r="C43" s="201">
        <f>IF($A43="","",'01_DANH_MUC'!$C33)</f>
        <v/>
      </c>
      <c r="D43" s="231">
        <f>IF($A43="","",'01_DANH_MUC'!$D33)</f>
        <v/>
      </c>
      <c r="E43" s="232">
        <f>IF($A43="","",'01_DANH_MUC'!$F33+SUMIFS('02_NHAT_KY'!$G$7:$G$506,'02_NHAT_KY'!$C$7:$C$506,$A43,'02_NHAT_KY'!$A$7:$A$506,"&lt;"&amp;$B$4)-SUMIFS('02_NHAT_KY'!$H$7:$H$506,'02_NHAT_KY'!$C$7:$C$506,$A43,'02_NHAT_KY'!$A$7:$A$506,"&lt;"&amp;$B$4))</f>
        <v/>
      </c>
      <c r="F43" s="232">
        <f>IF($A43="","",SUMIFS('02_NHAT_KY'!$G$7:$G$506,'02_NHAT_KY'!$C$7:$C$506,$A43,'02_NHAT_KY'!$A$7:$A$506,"&gt;="&amp;$B$4,'02_NHAT_KY'!$A$7:$A$506,"&lt;="&amp;$E$4))</f>
        <v/>
      </c>
      <c r="G43" s="232">
        <f>IF($A43="","",SUMIFS('02_NHAT_KY'!$H$7:$H$506,'02_NHAT_KY'!$C$7:$C$506,$A43,'02_NHAT_KY'!$A$7:$A$506,"&gt;="&amp;$B$4,'02_NHAT_KY'!$A$7:$A$506,"&lt;="&amp;$E$4))</f>
        <v/>
      </c>
      <c r="H43" s="232">
        <f>IF($A43="","",$E43+$F43-$G43)</f>
        <v/>
      </c>
      <c r="I43" s="233">
        <f>IF($A43="","",IF($H43&lt;=0,0,MAX(IF(AND('01_DANH_MUC'!$H33&gt;0,'01_DANH_MUC'!$G33&lt;&gt;""),MAX(0,$E$4-'01_DANH_MUC'!$G33),0),IFERROR(MAXIFS('02_NHAT_KY'!$L$7:$L$506,'02_NHAT_KY'!$C$7:$C$506,$A43),0))))</f>
        <v/>
      </c>
      <c r="J43" s="201">
        <f>IF($A43="","",IF($H43&lt;=0,"Không có dư nợ",IF($I43&gt;0,"Quá hạn","Trong hạn")))</f>
        <v/>
      </c>
      <c r="K43" s="232">
        <f>IF($A43="","",IF(AND('01_DANH_MUC'!$H33&gt;0,OR('01_DANH_MUC'!$G33="",'01_DANH_MUC'!$G33&gt;=$E$4)),'01_DANH_MUC'!$H33,0)+SUMIFS('02_NHAT_KY'!$K$7:$K$506,'02_NHAT_KY'!$C$7:$C$506,$A43,'02_NHAT_KY'!$J$7:$J$506,"&gt;="&amp;$E$4)+SUMIFS('02_NHAT_KY'!$K$7:$K$506,'02_NHAT_KY'!$C$7:$C$506,$A43,'02_NHAT_KY'!$J$7:$J$506,""))</f>
        <v/>
      </c>
      <c r="L43" s="232">
        <f>IF($A43="","",IF(AND('01_DANH_MUC'!$H33&gt;0,'01_DANH_MUC'!$G33&lt;$E$4,$E$4-'01_DANH_MUC'!$G33&lt;=30),'01_DANH_MUC'!$H33,0)+SUMIFS('02_NHAT_KY'!$K$7:$K$506,'02_NHAT_KY'!$C$7:$C$506,$A43,'02_NHAT_KY'!$L$7:$L$506,"&gt;=1",'02_NHAT_KY'!$L$7:$L$506,"&lt;=30"))</f>
        <v/>
      </c>
      <c r="M43" s="232">
        <f>IF($A43="","",IF(AND('01_DANH_MUC'!$H33&gt;0,'01_DANH_MUC'!$G33&lt;$E$4,$E$4-'01_DANH_MUC'!$G33&gt;=31,$E$4-'01_DANH_MUC'!$G33&lt;=60),'01_DANH_MUC'!$H33,0)+SUMIFS('02_NHAT_KY'!$K$7:$K$506,'02_NHAT_KY'!$C$7:$C$506,$A43,'02_NHAT_KY'!$L$7:$L$506,"&gt;=31",'02_NHAT_KY'!$L$7:$L$506,"&lt;=60"))</f>
        <v/>
      </c>
      <c r="N43" s="232">
        <f>IF($A43="","",IF(AND('01_DANH_MUC'!$H33&gt;0,'01_DANH_MUC'!$G33&lt;$E$4,$E$4-'01_DANH_MUC'!$G33&gt;=61,$E$4-'01_DANH_MUC'!$G33&lt;=90),'01_DANH_MUC'!$H33,0)+SUMIFS('02_NHAT_KY'!$K$7:$K$506,'02_NHAT_KY'!$C$7:$C$506,$A43,'02_NHAT_KY'!$L$7:$L$506,"&gt;=61",'02_NHAT_KY'!$L$7:$L$506,"&lt;=90"))</f>
        <v/>
      </c>
      <c r="O43" s="232">
        <f>IF($A43="","",IF(AND('01_DANH_MUC'!$H33&gt;0,'01_DANH_MUC'!$G33&lt;$E$4,$E$4-'01_DANH_MUC'!$G33&gt;90),'01_DANH_MUC'!$H33,0)+SUMIFS('02_NHAT_KY'!$K$7:$K$506,'02_NHAT_KY'!$C$7:$C$506,$A43,'02_NHAT_KY'!$L$7:$L$506,"&gt;90"))</f>
        <v/>
      </c>
      <c r="P43" s="201">
        <f>IF($A43="","",IF($H43&lt;0,"DƯ ÂM/TRẢ TRƯỚC",IF(ABS($H43-SUM($K43:$O43))&lt;1,"OK","LỆCH TUỔI NỢ")))</f>
        <v/>
      </c>
    </row>
    <row r="44">
      <c r="A44" s="201">
        <f>IF('01_DANH_MUC'!$A34="","",'01_DANH_MUC'!$A34)</f>
        <v/>
      </c>
      <c r="B44" s="198">
        <f>IF($A44="","",'01_DANH_MUC'!$B34)</f>
        <v/>
      </c>
      <c r="C44" s="201">
        <f>IF($A44="","",'01_DANH_MUC'!$C34)</f>
        <v/>
      </c>
      <c r="D44" s="231">
        <f>IF($A44="","",'01_DANH_MUC'!$D34)</f>
        <v/>
      </c>
      <c r="E44" s="232">
        <f>IF($A44="","",'01_DANH_MUC'!$F34+SUMIFS('02_NHAT_KY'!$G$7:$G$506,'02_NHAT_KY'!$C$7:$C$506,$A44,'02_NHAT_KY'!$A$7:$A$506,"&lt;"&amp;$B$4)-SUMIFS('02_NHAT_KY'!$H$7:$H$506,'02_NHAT_KY'!$C$7:$C$506,$A44,'02_NHAT_KY'!$A$7:$A$506,"&lt;"&amp;$B$4))</f>
        <v/>
      </c>
      <c r="F44" s="232">
        <f>IF($A44="","",SUMIFS('02_NHAT_KY'!$G$7:$G$506,'02_NHAT_KY'!$C$7:$C$506,$A44,'02_NHAT_KY'!$A$7:$A$506,"&gt;="&amp;$B$4,'02_NHAT_KY'!$A$7:$A$506,"&lt;="&amp;$E$4))</f>
        <v/>
      </c>
      <c r="G44" s="232">
        <f>IF($A44="","",SUMIFS('02_NHAT_KY'!$H$7:$H$506,'02_NHAT_KY'!$C$7:$C$506,$A44,'02_NHAT_KY'!$A$7:$A$506,"&gt;="&amp;$B$4,'02_NHAT_KY'!$A$7:$A$506,"&lt;="&amp;$E$4))</f>
        <v/>
      </c>
      <c r="H44" s="232">
        <f>IF($A44="","",$E44+$F44-$G44)</f>
        <v/>
      </c>
      <c r="I44" s="233">
        <f>IF($A44="","",IF($H44&lt;=0,0,MAX(IF(AND('01_DANH_MUC'!$H34&gt;0,'01_DANH_MUC'!$G34&lt;&gt;""),MAX(0,$E$4-'01_DANH_MUC'!$G34),0),IFERROR(MAXIFS('02_NHAT_KY'!$L$7:$L$506,'02_NHAT_KY'!$C$7:$C$506,$A44),0))))</f>
        <v/>
      </c>
      <c r="J44" s="201">
        <f>IF($A44="","",IF($H44&lt;=0,"Không có dư nợ",IF($I44&gt;0,"Quá hạn","Trong hạn")))</f>
        <v/>
      </c>
      <c r="K44" s="232">
        <f>IF($A44="","",IF(AND('01_DANH_MUC'!$H34&gt;0,OR('01_DANH_MUC'!$G34="",'01_DANH_MUC'!$G34&gt;=$E$4)),'01_DANH_MUC'!$H34,0)+SUMIFS('02_NHAT_KY'!$K$7:$K$506,'02_NHAT_KY'!$C$7:$C$506,$A44,'02_NHAT_KY'!$J$7:$J$506,"&gt;="&amp;$E$4)+SUMIFS('02_NHAT_KY'!$K$7:$K$506,'02_NHAT_KY'!$C$7:$C$506,$A44,'02_NHAT_KY'!$J$7:$J$506,""))</f>
        <v/>
      </c>
      <c r="L44" s="232">
        <f>IF($A44="","",IF(AND('01_DANH_MUC'!$H34&gt;0,'01_DANH_MUC'!$G34&lt;$E$4,$E$4-'01_DANH_MUC'!$G34&lt;=30),'01_DANH_MUC'!$H34,0)+SUMIFS('02_NHAT_KY'!$K$7:$K$506,'02_NHAT_KY'!$C$7:$C$506,$A44,'02_NHAT_KY'!$L$7:$L$506,"&gt;=1",'02_NHAT_KY'!$L$7:$L$506,"&lt;=30"))</f>
        <v/>
      </c>
      <c r="M44" s="232">
        <f>IF($A44="","",IF(AND('01_DANH_MUC'!$H34&gt;0,'01_DANH_MUC'!$G34&lt;$E$4,$E$4-'01_DANH_MUC'!$G34&gt;=31,$E$4-'01_DANH_MUC'!$G34&lt;=60),'01_DANH_MUC'!$H34,0)+SUMIFS('02_NHAT_KY'!$K$7:$K$506,'02_NHAT_KY'!$C$7:$C$506,$A44,'02_NHAT_KY'!$L$7:$L$506,"&gt;=31",'02_NHAT_KY'!$L$7:$L$506,"&lt;=60"))</f>
        <v/>
      </c>
      <c r="N44" s="232">
        <f>IF($A44="","",IF(AND('01_DANH_MUC'!$H34&gt;0,'01_DANH_MUC'!$G34&lt;$E$4,$E$4-'01_DANH_MUC'!$G34&gt;=61,$E$4-'01_DANH_MUC'!$G34&lt;=90),'01_DANH_MUC'!$H34,0)+SUMIFS('02_NHAT_KY'!$K$7:$K$506,'02_NHAT_KY'!$C$7:$C$506,$A44,'02_NHAT_KY'!$L$7:$L$506,"&gt;=61",'02_NHAT_KY'!$L$7:$L$506,"&lt;=90"))</f>
        <v/>
      </c>
      <c r="O44" s="232">
        <f>IF($A44="","",IF(AND('01_DANH_MUC'!$H34&gt;0,'01_DANH_MUC'!$G34&lt;$E$4,$E$4-'01_DANH_MUC'!$G34&gt;90),'01_DANH_MUC'!$H34,0)+SUMIFS('02_NHAT_KY'!$K$7:$K$506,'02_NHAT_KY'!$C$7:$C$506,$A44,'02_NHAT_KY'!$L$7:$L$506,"&gt;90"))</f>
        <v/>
      </c>
      <c r="P44" s="201">
        <f>IF($A44="","",IF($H44&lt;0,"DƯ ÂM/TRẢ TRƯỚC",IF(ABS($H44-SUM($K44:$O44))&lt;1,"OK","LỆCH TUỔI NỢ")))</f>
        <v/>
      </c>
    </row>
    <row r="45">
      <c r="A45" s="201">
        <f>IF('01_DANH_MUC'!$A35="","",'01_DANH_MUC'!$A35)</f>
        <v/>
      </c>
      <c r="B45" s="198">
        <f>IF($A45="","",'01_DANH_MUC'!$B35)</f>
        <v/>
      </c>
      <c r="C45" s="201">
        <f>IF($A45="","",'01_DANH_MUC'!$C35)</f>
        <v/>
      </c>
      <c r="D45" s="231">
        <f>IF($A45="","",'01_DANH_MUC'!$D35)</f>
        <v/>
      </c>
      <c r="E45" s="232">
        <f>IF($A45="","",'01_DANH_MUC'!$F35+SUMIFS('02_NHAT_KY'!$G$7:$G$506,'02_NHAT_KY'!$C$7:$C$506,$A45,'02_NHAT_KY'!$A$7:$A$506,"&lt;"&amp;$B$4)-SUMIFS('02_NHAT_KY'!$H$7:$H$506,'02_NHAT_KY'!$C$7:$C$506,$A45,'02_NHAT_KY'!$A$7:$A$506,"&lt;"&amp;$B$4))</f>
        <v/>
      </c>
      <c r="F45" s="232">
        <f>IF($A45="","",SUMIFS('02_NHAT_KY'!$G$7:$G$506,'02_NHAT_KY'!$C$7:$C$506,$A45,'02_NHAT_KY'!$A$7:$A$506,"&gt;="&amp;$B$4,'02_NHAT_KY'!$A$7:$A$506,"&lt;="&amp;$E$4))</f>
        <v/>
      </c>
      <c r="G45" s="232">
        <f>IF($A45="","",SUMIFS('02_NHAT_KY'!$H$7:$H$506,'02_NHAT_KY'!$C$7:$C$506,$A45,'02_NHAT_KY'!$A$7:$A$506,"&gt;="&amp;$B$4,'02_NHAT_KY'!$A$7:$A$506,"&lt;="&amp;$E$4))</f>
        <v/>
      </c>
      <c r="H45" s="232">
        <f>IF($A45="","",$E45+$F45-$G45)</f>
        <v/>
      </c>
      <c r="I45" s="233">
        <f>IF($A45="","",IF($H45&lt;=0,0,MAX(IF(AND('01_DANH_MUC'!$H35&gt;0,'01_DANH_MUC'!$G35&lt;&gt;""),MAX(0,$E$4-'01_DANH_MUC'!$G35),0),IFERROR(MAXIFS('02_NHAT_KY'!$L$7:$L$506,'02_NHAT_KY'!$C$7:$C$506,$A45),0))))</f>
        <v/>
      </c>
      <c r="J45" s="201">
        <f>IF($A45="","",IF($H45&lt;=0,"Không có dư nợ",IF($I45&gt;0,"Quá hạn","Trong hạn")))</f>
        <v/>
      </c>
      <c r="K45" s="232">
        <f>IF($A45="","",IF(AND('01_DANH_MUC'!$H35&gt;0,OR('01_DANH_MUC'!$G35="",'01_DANH_MUC'!$G35&gt;=$E$4)),'01_DANH_MUC'!$H35,0)+SUMIFS('02_NHAT_KY'!$K$7:$K$506,'02_NHAT_KY'!$C$7:$C$506,$A45,'02_NHAT_KY'!$J$7:$J$506,"&gt;="&amp;$E$4)+SUMIFS('02_NHAT_KY'!$K$7:$K$506,'02_NHAT_KY'!$C$7:$C$506,$A45,'02_NHAT_KY'!$J$7:$J$506,""))</f>
        <v/>
      </c>
      <c r="L45" s="232">
        <f>IF($A45="","",IF(AND('01_DANH_MUC'!$H35&gt;0,'01_DANH_MUC'!$G35&lt;$E$4,$E$4-'01_DANH_MUC'!$G35&lt;=30),'01_DANH_MUC'!$H35,0)+SUMIFS('02_NHAT_KY'!$K$7:$K$506,'02_NHAT_KY'!$C$7:$C$506,$A45,'02_NHAT_KY'!$L$7:$L$506,"&gt;=1",'02_NHAT_KY'!$L$7:$L$506,"&lt;=30"))</f>
        <v/>
      </c>
      <c r="M45" s="232">
        <f>IF($A45="","",IF(AND('01_DANH_MUC'!$H35&gt;0,'01_DANH_MUC'!$G35&lt;$E$4,$E$4-'01_DANH_MUC'!$G35&gt;=31,$E$4-'01_DANH_MUC'!$G35&lt;=60),'01_DANH_MUC'!$H35,0)+SUMIFS('02_NHAT_KY'!$K$7:$K$506,'02_NHAT_KY'!$C$7:$C$506,$A45,'02_NHAT_KY'!$L$7:$L$506,"&gt;=31",'02_NHAT_KY'!$L$7:$L$506,"&lt;=60"))</f>
        <v/>
      </c>
      <c r="N45" s="232">
        <f>IF($A45="","",IF(AND('01_DANH_MUC'!$H35&gt;0,'01_DANH_MUC'!$G35&lt;$E$4,$E$4-'01_DANH_MUC'!$G35&gt;=61,$E$4-'01_DANH_MUC'!$G35&lt;=90),'01_DANH_MUC'!$H35,0)+SUMIFS('02_NHAT_KY'!$K$7:$K$506,'02_NHAT_KY'!$C$7:$C$506,$A45,'02_NHAT_KY'!$L$7:$L$506,"&gt;=61",'02_NHAT_KY'!$L$7:$L$506,"&lt;=90"))</f>
        <v/>
      </c>
      <c r="O45" s="232">
        <f>IF($A45="","",IF(AND('01_DANH_MUC'!$H35&gt;0,'01_DANH_MUC'!$G35&lt;$E$4,$E$4-'01_DANH_MUC'!$G35&gt;90),'01_DANH_MUC'!$H35,0)+SUMIFS('02_NHAT_KY'!$K$7:$K$506,'02_NHAT_KY'!$C$7:$C$506,$A45,'02_NHAT_KY'!$L$7:$L$506,"&gt;90"))</f>
        <v/>
      </c>
      <c r="P45" s="201">
        <f>IF($A45="","",IF($H45&lt;0,"DƯ ÂM/TRẢ TRƯỚC",IF(ABS($H45-SUM($K45:$O45))&lt;1,"OK","LỆCH TUỔI NỢ")))</f>
        <v/>
      </c>
    </row>
    <row r="46">
      <c r="A46" s="201">
        <f>IF('01_DANH_MUC'!$A36="","",'01_DANH_MUC'!$A36)</f>
        <v/>
      </c>
      <c r="B46" s="198">
        <f>IF($A46="","",'01_DANH_MUC'!$B36)</f>
        <v/>
      </c>
      <c r="C46" s="201">
        <f>IF($A46="","",'01_DANH_MUC'!$C36)</f>
        <v/>
      </c>
      <c r="D46" s="231">
        <f>IF($A46="","",'01_DANH_MUC'!$D36)</f>
        <v/>
      </c>
      <c r="E46" s="232">
        <f>IF($A46="","",'01_DANH_MUC'!$F36+SUMIFS('02_NHAT_KY'!$G$7:$G$506,'02_NHAT_KY'!$C$7:$C$506,$A46,'02_NHAT_KY'!$A$7:$A$506,"&lt;"&amp;$B$4)-SUMIFS('02_NHAT_KY'!$H$7:$H$506,'02_NHAT_KY'!$C$7:$C$506,$A46,'02_NHAT_KY'!$A$7:$A$506,"&lt;"&amp;$B$4))</f>
        <v/>
      </c>
      <c r="F46" s="232">
        <f>IF($A46="","",SUMIFS('02_NHAT_KY'!$G$7:$G$506,'02_NHAT_KY'!$C$7:$C$506,$A46,'02_NHAT_KY'!$A$7:$A$506,"&gt;="&amp;$B$4,'02_NHAT_KY'!$A$7:$A$506,"&lt;="&amp;$E$4))</f>
        <v/>
      </c>
      <c r="G46" s="232">
        <f>IF($A46="","",SUMIFS('02_NHAT_KY'!$H$7:$H$506,'02_NHAT_KY'!$C$7:$C$506,$A46,'02_NHAT_KY'!$A$7:$A$506,"&gt;="&amp;$B$4,'02_NHAT_KY'!$A$7:$A$506,"&lt;="&amp;$E$4))</f>
        <v/>
      </c>
      <c r="H46" s="232">
        <f>IF($A46="","",$E46+$F46-$G46)</f>
        <v/>
      </c>
      <c r="I46" s="233">
        <f>IF($A46="","",IF($H46&lt;=0,0,MAX(IF(AND('01_DANH_MUC'!$H36&gt;0,'01_DANH_MUC'!$G36&lt;&gt;""),MAX(0,$E$4-'01_DANH_MUC'!$G36),0),IFERROR(MAXIFS('02_NHAT_KY'!$L$7:$L$506,'02_NHAT_KY'!$C$7:$C$506,$A46),0))))</f>
        <v/>
      </c>
      <c r="J46" s="201">
        <f>IF($A46="","",IF($H46&lt;=0,"Không có dư nợ",IF($I46&gt;0,"Quá hạn","Trong hạn")))</f>
        <v/>
      </c>
      <c r="K46" s="232">
        <f>IF($A46="","",IF(AND('01_DANH_MUC'!$H36&gt;0,OR('01_DANH_MUC'!$G36="",'01_DANH_MUC'!$G36&gt;=$E$4)),'01_DANH_MUC'!$H36,0)+SUMIFS('02_NHAT_KY'!$K$7:$K$506,'02_NHAT_KY'!$C$7:$C$506,$A46,'02_NHAT_KY'!$J$7:$J$506,"&gt;="&amp;$E$4)+SUMIFS('02_NHAT_KY'!$K$7:$K$506,'02_NHAT_KY'!$C$7:$C$506,$A46,'02_NHAT_KY'!$J$7:$J$506,""))</f>
        <v/>
      </c>
      <c r="L46" s="232">
        <f>IF($A46="","",IF(AND('01_DANH_MUC'!$H36&gt;0,'01_DANH_MUC'!$G36&lt;$E$4,$E$4-'01_DANH_MUC'!$G36&lt;=30),'01_DANH_MUC'!$H36,0)+SUMIFS('02_NHAT_KY'!$K$7:$K$506,'02_NHAT_KY'!$C$7:$C$506,$A46,'02_NHAT_KY'!$L$7:$L$506,"&gt;=1",'02_NHAT_KY'!$L$7:$L$506,"&lt;=30"))</f>
        <v/>
      </c>
      <c r="M46" s="232">
        <f>IF($A46="","",IF(AND('01_DANH_MUC'!$H36&gt;0,'01_DANH_MUC'!$G36&lt;$E$4,$E$4-'01_DANH_MUC'!$G36&gt;=31,$E$4-'01_DANH_MUC'!$G36&lt;=60),'01_DANH_MUC'!$H36,0)+SUMIFS('02_NHAT_KY'!$K$7:$K$506,'02_NHAT_KY'!$C$7:$C$506,$A46,'02_NHAT_KY'!$L$7:$L$506,"&gt;=31",'02_NHAT_KY'!$L$7:$L$506,"&lt;=60"))</f>
        <v/>
      </c>
      <c r="N46" s="232">
        <f>IF($A46="","",IF(AND('01_DANH_MUC'!$H36&gt;0,'01_DANH_MUC'!$G36&lt;$E$4,$E$4-'01_DANH_MUC'!$G36&gt;=61,$E$4-'01_DANH_MUC'!$G36&lt;=90),'01_DANH_MUC'!$H36,0)+SUMIFS('02_NHAT_KY'!$K$7:$K$506,'02_NHAT_KY'!$C$7:$C$506,$A46,'02_NHAT_KY'!$L$7:$L$506,"&gt;=61",'02_NHAT_KY'!$L$7:$L$506,"&lt;=90"))</f>
        <v/>
      </c>
      <c r="O46" s="232">
        <f>IF($A46="","",IF(AND('01_DANH_MUC'!$H36&gt;0,'01_DANH_MUC'!$G36&lt;$E$4,$E$4-'01_DANH_MUC'!$G36&gt;90),'01_DANH_MUC'!$H36,0)+SUMIFS('02_NHAT_KY'!$K$7:$K$506,'02_NHAT_KY'!$C$7:$C$506,$A46,'02_NHAT_KY'!$L$7:$L$506,"&gt;90"))</f>
        <v/>
      </c>
      <c r="P46" s="201">
        <f>IF($A46="","",IF($H46&lt;0,"DƯ ÂM/TRẢ TRƯỚC",IF(ABS($H46-SUM($K46:$O46))&lt;1,"OK","LỆCH TUỔI NỢ")))</f>
        <v/>
      </c>
    </row>
    <row r="47">
      <c r="A47" s="201">
        <f>IF('01_DANH_MUC'!$A37="","",'01_DANH_MUC'!$A37)</f>
        <v/>
      </c>
      <c r="B47" s="198">
        <f>IF($A47="","",'01_DANH_MUC'!$B37)</f>
        <v/>
      </c>
      <c r="C47" s="201">
        <f>IF($A47="","",'01_DANH_MUC'!$C37)</f>
        <v/>
      </c>
      <c r="D47" s="231">
        <f>IF($A47="","",'01_DANH_MUC'!$D37)</f>
        <v/>
      </c>
      <c r="E47" s="232">
        <f>IF($A47="","",'01_DANH_MUC'!$F37+SUMIFS('02_NHAT_KY'!$G$7:$G$506,'02_NHAT_KY'!$C$7:$C$506,$A47,'02_NHAT_KY'!$A$7:$A$506,"&lt;"&amp;$B$4)-SUMIFS('02_NHAT_KY'!$H$7:$H$506,'02_NHAT_KY'!$C$7:$C$506,$A47,'02_NHAT_KY'!$A$7:$A$506,"&lt;"&amp;$B$4))</f>
        <v/>
      </c>
      <c r="F47" s="232">
        <f>IF($A47="","",SUMIFS('02_NHAT_KY'!$G$7:$G$506,'02_NHAT_KY'!$C$7:$C$506,$A47,'02_NHAT_KY'!$A$7:$A$506,"&gt;="&amp;$B$4,'02_NHAT_KY'!$A$7:$A$506,"&lt;="&amp;$E$4))</f>
        <v/>
      </c>
      <c r="G47" s="232">
        <f>IF($A47="","",SUMIFS('02_NHAT_KY'!$H$7:$H$506,'02_NHAT_KY'!$C$7:$C$506,$A47,'02_NHAT_KY'!$A$7:$A$506,"&gt;="&amp;$B$4,'02_NHAT_KY'!$A$7:$A$506,"&lt;="&amp;$E$4))</f>
        <v/>
      </c>
      <c r="H47" s="232">
        <f>IF($A47="","",$E47+$F47-$G47)</f>
        <v/>
      </c>
      <c r="I47" s="233">
        <f>IF($A47="","",IF($H47&lt;=0,0,MAX(IF(AND('01_DANH_MUC'!$H37&gt;0,'01_DANH_MUC'!$G37&lt;&gt;""),MAX(0,$E$4-'01_DANH_MUC'!$G37),0),IFERROR(MAXIFS('02_NHAT_KY'!$L$7:$L$506,'02_NHAT_KY'!$C$7:$C$506,$A47),0))))</f>
        <v/>
      </c>
      <c r="J47" s="201">
        <f>IF($A47="","",IF($H47&lt;=0,"Không có dư nợ",IF($I47&gt;0,"Quá hạn","Trong hạn")))</f>
        <v/>
      </c>
      <c r="K47" s="232">
        <f>IF($A47="","",IF(AND('01_DANH_MUC'!$H37&gt;0,OR('01_DANH_MUC'!$G37="",'01_DANH_MUC'!$G37&gt;=$E$4)),'01_DANH_MUC'!$H37,0)+SUMIFS('02_NHAT_KY'!$K$7:$K$506,'02_NHAT_KY'!$C$7:$C$506,$A47,'02_NHAT_KY'!$J$7:$J$506,"&gt;="&amp;$E$4)+SUMIFS('02_NHAT_KY'!$K$7:$K$506,'02_NHAT_KY'!$C$7:$C$506,$A47,'02_NHAT_KY'!$J$7:$J$506,""))</f>
        <v/>
      </c>
      <c r="L47" s="232">
        <f>IF($A47="","",IF(AND('01_DANH_MUC'!$H37&gt;0,'01_DANH_MUC'!$G37&lt;$E$4,$E$4-'01_DANH_MUC'!$G37&lt;=30),'01_DANH_MUC'!$H37,0)+SUMIFS('02_NHAT_KY'!$K$7:$K$506,'02_NHAT_KY'!$C$7:$C$506,$A47,'02_NHAT_KY'!$L$7:$L$506,"&gt;=1",'02_NHAT_KY'!$L$7:$L$506,"&lt;=30"))</f>
        <v/>
      </c>
      <c r="M47" s="232">
        <f>IF($A47="","",IF(AND('01_DANH_MUC'!$H37&gt;0,'01_DANH_MUC'!$G37&lt;$E$4,$E$4-'01_DANH_MUC'!$G37&gt;=31,$E$4-'01_DANH_MUC'!$G37&lt;=60),'01_DANH_MUC'!$H37,0)+SUMIFS('02_NHAT_KY'!$K$7:$K$506,'02_NHAT_KY'!$C$7:$C$506,$A47,'02_NHAT_KY'!$L$7:$L$506,"&gt;=31",'02_NHAT_KY'!$L$7:$L$506,"&lt;=60"))</f>
        <v/>
      </c>
      <c r="N47" s="232">
        <f>IF($A47="","",IF(AND('01_DANH_MUC'!$H37&gt;0,'01_DANH_MUC'!$G37&lt;$E$4,$E$4-'01_DANH_MUC'!$G37&gt;=61,$E$4-'01_DANH_MUC'!$G37&lt;=90),'01_DANH_MUC'!$H37,0)+SUMIFS('02_NHAT_KY'!$K$7:$K$506,'02_NHAT_KY'!$C$7:$C$506,$A47,'02_NHAT_KY'!$L$7:$L$506,"&gt;=61",'02_NHAT_KY'!$L$7:$L$506,"&lt;=90"))</f>
        <v/>
      </c>
      <c r="O47" s="232">
        <f>IF($A47="","",IF(AND('01_DANH_MUC'!$H37&gt;0,'01_DANH_MUC'!$G37&lt;$E$4,$E$4-'01_DANH_MUC'!$G37&gt;90),'01_DANH_MUC'!$H37,0)+SUMIFS('02_NHAT_KY'!$K$7:$K$506,'02_NHAT_KY'!$C$7:$C$506,$A47,'02_NHAT_KY'!$L$7:$L$506,"&gt;90"))</f>
        <v/>
      </c>
      <c r="P47" s="201">
        <f>IF($A47="","",IF($H47&lt;0,"DƯ ÂM/TRẢ TRƯỚC",IF(ABS($H47-SUM($K47:$O47))&lt;1,"OK","LỆCH TUỔI NỢ")))</f>
        <v/>
      </c>
    </row>
    <row r="48">
      <c r="A48" s="201">
        <f>IF('01_DANH_MUC'!$A38="","",'01_DANH_MUC'!$A38)</f>
        <v/>
      </c>
      <c r="B48" s="198">
        <f>IF($A48="","",'01_DANH_MUC'!$B38)</f>
        <v/>
      </c>
      <c r="C48" s="201">
        <f>IF($A48="","",'01_DANH_MUC'!$C38)</f>
        <v/>
      </c>
      <c r="D48" s="231">
        <f>IF($A48="","",'01_DANH_MUC'!$D38)</f>
        <v/>
      </c>
      <c r="E48" s="232">
        <f>IF($A48="","",'01_DANH_MUC'!$F38+SUMIFS('02_NHAT_KY'!$G$7:$G$506,'02_NHAT_KY'!$C$7:$C$506,$A48,'02_NHAT_KY'!$A$7:$A$506,"&lt;"&amp;$B$4)-SUMIFS('02_NHAT_KY'!$H$7:$H$506,'02_NHAT_KY'!$C$7:$C$506,$A48,'02_NHAT_KY'!$A$7:$A$506,"&lt;"&amp;$B$4))</f>
        <v/>
      </c>
      <c r="F48" s="232">
        <f>IF($A48="","",SUMIFS('02_NHAT_KY'!$G$7:$G$506,'02_NHAT_KY'!$C$7:$C$506,$A48,'02_NHAT_KY'!$A$7:$A$506,"&gt;="&amp;$B$4,'02_NHAT_KY'!$A$7:$A$506,"&lt;="&amp;$E$4))</f>
        <v/>
      </c>
      <c r="G48" s="232">
        <f>IF($A48="","",SUMIFS('02_NHAT_KY'!$H$7:$H$506,'02_NHAT_KY'!$C$7:$C$506,$A48,'02_NHAT_KY'!$A$7:$A$506,"&gt;="&amp;$B$4,'02_NHAT_KY'!$A$7:$A$506,"&lt;="&amp;$E$4))</f>
        <v/>
      </c>
      <c r="H48" s="232">
        <f>IF($A48="","",$E48+$F48-$G48)</f>
        <v/>
      </c>
      <c r="I48" s="233">
        <f>IF($A48="","",IF($H48&lt;=0,0,MAX(IF(AND('01_DANH_MUC'!$H38&gt;0,'01_DANH_MUC'!$G38&lt;&gt;""),MAX(0,$E$4-'01_DANH_MUC'!$G38),0),IFERROR(MAXIFS('02_NHAT_KY'!$L$7:$L$506,'02_NHAT_KY'!$C$7:$C$506,$A48),0))))</f>
        <v/>
      </c>
      <c r="J48" s="201">
        <f>IF($A48="","",IF($H48&lt;=0,"Không có dư nợ",IF($I48&gt;0,"Quá hạn","Trong hạn")))</f>
        <v/>
      </c>
      <c r="K48" s="232">
        <f>IF($A48="","",IF(AND('01_DANH_MUC'!$H38&gt;0,OR('01_DANH_MUC'!$G38="",'01_DANH_MUC'!$G38&gt;=$E$4)),'01_DANH_MUC'!$H38,0)+SUMIFS('02_NHAT_KY'!$K$7:$K$506,'02_NHAT_KY'!$C$7:$C$506,$A48,'02_NHAT_KY'!$J$7:$J$506,"&gt;="&amp;$E$4)+SUMIFS('02_NHAT_KY'!$K$7:$K$506,'02_NHAT_KY'!$C$7:$C$506,$A48,'02_NHAT_KY'!$J$7:$J$506,""))</f>
        <v/>
      </c>
      <c r="L48" s="232">
        <f>IF($A48="","",IF(AND('01_DANH_MUC'!$H38&gt;0,'01_DANH_MUC'!$G38&lt;$E$4,$E$4-'01_DANH_MUC'!$G38&lt;=30),'01_DANH_MUC'!$H38,0)+SUMIFS('02_NHAT_KY'!$K$7:$K$506,'02_NHAT_KY'!$C$7:$C$506,$A48,'02_NHAT_KY'!$L$7:$L$506,"&gt;=1",'02_NHAT_KY'!$L$7:$L$506,"&lt;=30"))</f>
        <v/>
      </c>
      <c r="M48" s="232">
        <f>IF($A48="","",IF(AND('01_DANH_MUC'!$H38&gt;0,'01_DANH_MUC'!$G38&lt;$E$4,$E$4-'01_DANH_MUC'!$G38&gt;=31,$E$4-'01_DANH_MUC'!$G38&lt;=60),'01_DANH_MUC'!$H38,0)+SUMIFS('02_NHAT_KY'!$K$7:$K$506,'02_NHAT_KY'!$C$7:$C$506,$A48,'02_NHAT_KY'!$L$7:$L$506,"&gt;=31",'02_NHAT_KY'!$L$7:$L$506,"&lt;=60"))</f>
        <v/>
      </c>
      <c r="N48" s="232">
        <f>IF($A48="","",IF(AND('01_DANH_MUC'!$H38&gt;0,'01_DANH_MUC'!$G38&lt;$E$4,$E$4-'01_DANH_MUC'!$G38&gt;=61,$E$4-'01_DANH_MUC'!$G38&lt;=90),'01_DANH_MUC'!$H38,0)+SUMIFS('02_NHAT_KY'!$K$7:$K$506,'02_NHAT_KY'!$C$7:$C$506,$A48,'02_NHAT_KY'!$L$7:$L$506,"&gt;=61",'02_NHAT_KY'!$L$7:$L$506,"&lt;=90"))</f>
        <v/>
      </c>
      <c r="O48" s="232">
        <f>IF($A48="","",IF(AND('01_DANH_MUC'!$H38&gt;0,'01_DANH_MUC'!$G38&lt;$E$4,$E$4-'01_DANH_MUC'!$G38&gt;90),'01_DANH_MUC'!$H38,0)+SUMIFS('02_NHAT_KY'!$K$7:$K$506,'02_NHAT_KY'!$C$7:$C$506,$A48,'02_NHAT_KY'!$L$7:$L$506,"&gt;90"))</f>
        <v/>
      </c>
      <c r="P48" s="201">
        <f>IF($A48="","",IF($H48&lt;0,"DƯ ÂM/TRẢ TRƯỚC",IF(ABS($H48-SUM($K48:$O48))&lt;1,"OK","LỆCH TUỔI NỢ")))</f>
        <v/>
      </c>
    </row>
    <row r="49">
      <c r="A49" s="201">
        <f>IF('01_DANH_MUC'!$A39="","",'01_DANH_MUC'!$A39)</f>
        <v/>
      </c>
      <c r="B49" s="198">
        <f>IF($A49="","",'01_DANH_MUC'!$B39)</f>
        <v/>
      </c>
      <c r="C49" s="201">
        <f>IF($A49="","",'01_DANH_MUC'!$C39)</f>
        <v/>
      </c>
      <c r="D49" s="231">
        <f>IF($A49="","",'01_DANH_MUC'!$D39)</f>
        <v/>
      </c>
      <c r="E49" s="232">
        <f>IF($A49="","",'01_DANH_MUC'!$F39+SUMIFS('02_NHAT_KY'!$G$7:$G$506,'02_NHAT_KY'!$C$7:$C$506,$A49,'02_NHAT_KY'!$A$7:$A$506,"&lt;"&amp;$B$4)-SUMIFS('02_NHAT_KY'!$H$7:$H$506,'02_NHAT_KY'!$C$7:$C$506,$A49,'02_NHAT_KY'!$A$7:$A$506,"&lt;"&amp;$B$4))</f>
        <v/>
      </c>
      <c r="F49" s="232">
        <f>IF($A49="","",SUMIFS('02_NHAT_KY'!$G$7:$G$506,'02_NHAT_KY'!$C$7:$C$506,$A49,'02_NHAT_KY'!$A$7:$A$506,"&gt;="&amp;$B$4,'02_NHAT_KY'!$A$7:$A$506,"&lt;="&amp;$E$4))</f>
        <v/>
      </c>
      <c r="G49" s="232">
        <f>IF($A49="","",SUMIFS('02_NHAT_KY'!$H$7:$H$506,'02_NHAT_KY'!$C$7:$C$506,$A49,'02_NHAT_KY'!$A$7:$A$506,"&gt;="&amp;$B$4,'02_NHAT_KY'!$A$7:$A$506,"&lt;="&amp;$E$4))</f>
        <v/>
      </c>
      <c r="H49" s="232">
        <f>IF($A49="","",$E49+$F49-$G49)</f>
        <v/>
      </c>
      <c r="I49" s="233">
        <f>IF($A49="","",IF($H49&lt;=0,0,MAX(IF(AND('01_DANH_MUC'!$H39&gt;0,'01_DANH_MUC'!$G39&lt;&gt;""),MAX(0,$E$4-'01_DANH_MUC'!$G39),0),IFERROR(MAXIFS('02_NHAT_KY'!$L$7:$L$506,'02_NHAT_KY'!$C$7:$C$506,$A49),0))))</f>
        <v/>
      </c>
      <c r="J49" s="201">
        <f>IF($A49="","",IF($H49&lt;=0,"Không có dư nợ",IF($I49&gt;0,"Quá hạn","Trong hạn")))</f>
        <v/>
      </c>
      <c r="K49" s="232">
        <f>IF($A49="","",IF(AND('01_DANH_MUC'!$H39&gt;0,OR('01_DANH_MUC'!$G39="",'01_DANH_MUC'!$G39&gt;=$E$4)),'01_DANH_MUC'!$H39,0)+SUMIFS('02_NHAT_KY'!$K$7:$K$506,'02_NHAT_KY'!$C$7:$C$506,$A49,'02_NHAT_KY'!$J$7:$J$506,"&gt;="&amp;$E$4)+SUMIFS('02_NHAT_KY'!$K$7:$K$506,'02_NHAT_KY'!$C$7:$C$506,$A49,'02_NHAT_KY'!$J$7:$J$506,""))</f>
        <v/>
      </c>
      <c r="L49" s="232">
        <f>IF($A49="","",IF(AND('01_DANH_MUC'!$H39&gt;0,'01_DANH_MUC'!$G39&lt;$E$4,$E$4-'01_DANH_MUC'!$G39&lt;=30),'01_DANH_MUC'!$H39,0)+SUMIFS('02_NHAT_KY'!$K$7:$K$506,'02_NHAT_KY'!$C$7:$C$506,$A49,'02_NHAT_KY'!$L$7:$L$506,"&gt;=1",'02_NHAT_KY'!$L$7:$L$506,"&lt;=30"))</f>
        <v/>
      </c>
      <c r="M49" s="232">
        <f>IF($A49="","",IF(AND('01_DANH_MUC'!$H39&gt;0,'01_DANH_MUC'!$G39&lt;$E$4,$E$4-'01_DANH_MUC'!$G39&gt;=31,$E$4-'01_DANH_MUC'!$G39&lt;=60),'01_DANH_MUC'!$H39,0)+SUMIFS('02_NHAT_KY'!$K$7:$K$506,'02_NHAT_KY'!$C$7:$C$506,$A49,'02_NHAT_KY'!$L$7:$L$506,"&gt;=31",'02_NHAT_KY'!$L$7:$L$506,"&lt;=60"))</f>
        <v/>
      </c>
      <c r="N49" s="232">
        <f>IF($A49="","",IF(AND('01_DANH_MUC'!$H39&gt;0,'01_DANH_MUC'!$G39&lt;$E$4,$E$4-'01_DANH_MUC'!$G39&gt;=61,$E$4-'01_DANH_MUC'!$G39&lt;=90),'01_DANH_MUC'!$H39,0)+SUMIFS('02_NHAT_KY'!$K$7:$K$506,'02_NHAT_KY'!$C$7:$C$506,$A49,'02_NHAT_KY'!$L$7:$L$506,"&gt;=61",'02_NHAT_KY'!$L$7:$L$506,"&lt;=90"))</f>
        <v/>
      </c>
      <c r="O49" s="232">
        <f>IF($A49="","",IF(AND('01_DANH_MUC'!$H39&gt;0,'01_DANH_MUC'!$G39&lt;$E$4,$E$4-'01_DANH_MUC'!$G39&gt;90),'01_DANH_MUC'!$H39,0)+SUMIFS('02_NHAT_KY'!$K$7:$K$506,'02_NHAT_KY'!$C$7:$C$506,$A49,'02_NHAT_KY'!$L$7:$L$506,"&gt;90"))</f>
        <v/>
      </c>
      <c r="P49" s="201">
        <f>IF($A49="","",IF($H49&lt;0,"DƯ ÂM/TRẢ TRƯỚC",IF(ABS($H49-SUM($K49:$O49))&lt;1,"OK","LỆCH TUỔI NỢ")))</f>
        <v/>
      </c>
    </row>
    <row r="50">
      <c r="A50" s="201">
        <f>IF('01_DANH_MUC'!$A40="","",'01_DANH_MUC'!$A40)</f>
        <v/>
      </c>
      <c r="B50" s="198">
        <f>IF($A50="","",'01_DANH_MUC'!$B40)</f>
        <v/>
      </c>
      <c r="C50" s="201">
        <f>IF($A50="","",'01_DANH_MUC'!$C40)</f>
        <v/>
      </c>
      <c r="D50" s="231">
        <f>IF($A50="","",'01_DANH_MUC'!$D40)</f>
        <v/>
      </c>
      <c r="E50" s="232">
        <f>IF($A50="","",'01_DANH_MUC'!$F40+SUMIFS('02_NHAT_KY'!$G$7:$G$506,'02_NHAT_KY'!$C$7:$C$506,$A50,'02_NHAT_KY'!$A$7:$A$506,"&lt;"&amp;$B$4)-SUMIFS('02_NHAT_KY'!$H$7:$H$506,'02_NHAT_KY'!$C$7:$C$506,$A50,'02_NHAT_KY'!$A$7:$A$506,"&lt;"&amp;$B$4))</f>
        <v/>
      </c>
      <c r="F50" s="232">
        <f>IF($A50="","",SUMIFS('02_NHAT_KY'!$G$7:$G$506,'02_NHAT_KY'!$C$7:$C$506,$A50,'02_NHAT_KY'!$A$7:$A$506,"&gt;="&amp;$B$4,'02_NHAT_KY'!$A$7:$A$506,"&lt;="&amp;$E$4))</f>
        <v/>
      </c>
      <c r="G50" s="232">
        <f>IF($A50="","",SUMIFS('02_NHAT_KY'!$H$7:$H$506,'02_NHAT_KY'!$C$7:$C$506,$A50,'02_NHAT_KY'!$A$7:$A$506,"&gt;="&amp;$B$4,'02_NHAT_KY'!$A$7:$A$506,"&lt;="&amp;$E$4))</f>
        <v/>
      </c>
      <c r="H50" s="232">
        <f>IF($A50="","",$E50+$F50-$G50)</f>
        <v/>
      </c>
      <c r="I50" s="233">
        <f>IF($A50="","",IF($H50&lt;=0,0,MAX(IF(AND('01_DANH_MUC'!$H40&gt;0,'01_DANH_MUC'!$G40&lt;&gt;""),MAX(0,$E$4-'01_DANH_MUC'!$G40),0),IFERROR(MAXIFS('02_NHAT_KY'!$L$7:$L$506,'02_NHAT_KY'!$C$7:$C$506,$A50),0))))</f>
        <v/>
      </c>
      <c r="J50" s="201">
        <f>IF($A50="","",IF($H50&lt;=0,"Không có dư nợ",IF($I50&gt;0,"Quá hạn","Trong hạn")))</f>
        <v/>
      </c>
      <c r="K50" s="232">
        <f>IF($A50="","",IF(AND('01_DANH_MUC'!$H40&gt;0,OR('01_DANH_MUC'!$G40="",'01_DANH_MUC'!$G40&gt;=$E$4)),'01_DANH_MUC'!$H40,0)+SUMIFS('02_NHAT_KY'!$K$7:$K$506,'02_NHAT_KY'!$C$7:$C$506,$A50,'02_NHAT_KY'!$J$7:$J$506,"&gt;="&amp;$E$4)+SUMIFS('02_NHAT_KY'!$K$7:$K$506,'02_NHAT_KY'!$C$7:$C$506,$A50,'02_NHAT_KY'!$J$7:$J$506,""))</f>
        <v/>
      </c>
      <c r="L50" s="232">
        <f>IF($A50="","",IF(AND('01_DANH_MUC'!$H40&gt;0,'01_DANH_MUC'!$G40&lt;$E$4,$E$4-'01_DANH_MUC'!$G40&lt;=30),'01_DANH_MUC'!$H40,0)+SUMIFS('02_NHAT_KY'!$K$7:$K$506,'02_NHAT_KY'!$C$7:$C$506,$A50,'02_NHAT_KY'!$L$7:$L$506,"&gt;=1",'02_NHAT_KY'!$L$7:$L$506,"&lt;=30"))</f>
        <v/>
      </c>
      <c r="M50" s="232">
        <f>IF($A50="","",IF(AND('01_DANH_MUC'!$H40&gt;0,'01_DANH_MUC'!$G40&lt;$E$4,$E$4-'01_DANH_MUC'!$G40&gt;=31,$E$4-'01_DANH_MUC'!$G40&lt;=60),'01_DANH_MUC'!$H40,0)+SUMIFS('02_NHAT_KY'!$K$7:$K$506,'02_NHAT_KY'!$C$7:$C$506,$A50,'02_NHAT_KY'!$L$7:$L$506,"&gt;=31",'02_NHAT_KY'!$L$7:$L$506,"&lt;=60"))</f>
        <v/>
      </c>
      <c r="N50" s="232">
        <f>IF($A50="","",IF(AND('01_DANH_MUC'!$H40&gt;0,'01_DANH_MUC'!$G40&lt;$E$4,$E$4-'01_DANH_MUC'!$G40&gt;=61,$E$4-'01_DANH_MUC'!$G40&lt;=90),'01_DANH_MUC'!$H40,0)+SUMIFS('02_NHAT_KY'!$K$7:$K$506,'02_NHAT_KY'!$C$7:$C$506,$A50,'02_NHAT_KY'!$L$7:$L$506,"&gt;=61",'02_NHAT_KY'!$L$7:$L$506,"&lt;=90"))</f>
        <v/>
      </c>
      <c r="O50" s="232">
        <f>IF($A50="","",IF(AND('01_DANH_MUC'!$H40&gt;0,'01_DANH_MUC'!$G40&lt;$E$4,$E$4-'01_DANH_MUC'!$G40&gt;90),'01_DANH_MUC'!$H40,0)+SUMIFS('02_NHAT_KY'!$K$7:$K$506,'02_NHAT_KY'!$C$7:$C$506,$A50,'02_NHAT_KY'!$L$7:$L$506,"&gt;90"))</f>
        <v/>
      </c>
      <c r="P50" s="201">
        <f>IF($A50="","",IF($H50&lt;0,"DƯ ÂM/TRẢ TRƯỚC",IF(ABS($H50-SUM($K50:$O50))&lt;1,"OK","LỆCH TUỔI NỢ")))</f>
        <v/>
      </c>
    </row>
    <row r="51">
      <c r="A51" s="201">
        <f>IF('01_DANH_MUC'!$A41="","",'01_DANH_MUC'!$A41)</f>
        <v/>
      </c>
      <c r="B51" s="198">
        <f>IF($A51="","",'01_DANH_MUC'!$B41)</f>
        <v/>
      </c>
      <c r="C51" s="201">
        <f>IF($A51="","",'01_DANH_MUC'!$C41)</f>
        <v/>
      </c>
      <c r="D51" s="231">
        <f>IF($A51="","",'01_DANH_MUC'!$D41)</f>
        <v/>
      </c>
      <c r="E51" s="232">
        <f>IF($A51="","",'01_DANH_MUC'!$F41+SUMIFS('02_NHAT_KY'!$G$7:$G$506,'02_NHAT_KY'!$C$7:$C$506,$A51,'02_NHAT_KY'!$A$7:$A$506,"&lt;"&amp;$B$4)-SUMIFS('02_NHAT_KY'!$H$7:$H$506,'02_NHAT_KY'!$C$7:$C$506,$A51,'02_NHAT_KY'!$A$7:$A$506,"&lt;"&amp;$B$4))</f>
        <v/>
      </c>
      <c r="F51" s="232">
        <f>IF($A51="","",SUMIFS('02_NHAT_KY'!$G$7:$G$506,'02_NHAT_KY'!$C$7:$C$506,$A51,'02_NHAT_KY'!$A$7:$A$506,"&gt;="&amp;$B$4,'02_NHAT_KY'!$A$7:$A$506,"&lt;="&amp;$E$4))</f>
        <v/>
      </c>
      <c r="G51" s="232">
        <f>IF($A51="","",SUMIFS('02_NHAT_KY'!$H$7:$H$506,'02_NHAT_KY'!$C$7:$C$506,$A51,'02_NHAT_KY'!$A$7:$A$506,"&gt;="&amp;$B$4,'02_NHAT_KY'!$A$7:$A$506,"&lt;="&amp;$E$4))</f>
        <v/>
      </c>
      <c r="H51" s="232">
        <f>IF($A51="","",$E51+$F51-$G51)</f>
        <v/>
      </c>
      <c r="I51" s="233">
        <f>IF($A51="","",IF($H51&lt;=0,0,MAX(IF(AND('01_DANH_MUC'!$H41&gt;0,'01_DANH_MUC'!$G41&lt;&gt;""),MAX(0,$E$4-'01_DANH_MUC'!$G41),0),IFERROR(MAXIFS('02_NHAT_KY'!$L$7:$L$506,'02_NHAT_KY'!$C$7:$C$506,$A51),0))))</f>
        <v/>
      </c>
      <c r="J51" s="201">
        <f>IF($A51="","",IF($H51&lt;=0,"Không có dư nợ",IF($I51&gt;0,"Quá hạn","Trong hạn")))</f>
        <v/>
      </c>
      <c r="K51" s="232">
        <f>IF($A51="","",IF(AND('01_DANH_MUC'!$H41&gt;0,OR('01_DANH_MUC'!$G41="",'01_DANH_MUC'!$G41&gt;=$E$4)),'01_DANH_MUC'!$H41,0)+SUMIFS('02_NHAT_KY'!$K$7:$K$506,'02_NHAT_KY'!$C$7:$C$506,$A51,'02_NHAT_KY'!$J$7:$J$506,"&gt;="&amp;$E$4)+SUMIFS('02_NHAT_KY'!$K$7:$K$506,'02_NHAT_KY'!$C$7:$C$506,$A51,'02_NHAT_KY'!$J$7:$J$506,""))</f>
        <v/>
      </c>
      <c r="L51" s="232">
        <f>IF($A51="","",IF(AND('01_DANH_MUC'!$H41&gt;0,'01_DANH_MUC'!$G41&lt;$E$4,$E$4-'01_DANH_MUC'!$G41&lt;=30),'01_DANH_MUC'!$H41,0)+SUMIFS('02_NHAT_KY'!$K$7:$K$506,'02_NHAT_KY'!$C$7:$C$506,$A51,'02_NHAT_KY'!$L$7:$L$506,"&gt;=1",'02_NHAT_KY'!$L$7:$L$506,"&lt;=30"))</f>
        <v/>
      </c>
      <c r="M51" s="232">
        <f>IF($A51="","",IF(AND('01_DANH_MUC'!$H41&gt;0,'01_DANH_MUC'!$G41&lt;$E$4,$E$4-'01_DANH_MUC'!$G41&gt;=31,$E$4-'01_DANH_MUC'!$G41&lt;=60),'01_DANH_MUC'!$H41,0)+SUMIFS('02_NHAT_KY'!$K$7:$K$506,'02_NHAT_KY'!$C$7:$C$506,$A51,'02_NHAT_KY'!$L$7:$L$506,"&gt;=31",'02_NHAT_KY'!$L$7:$L$506,"&lt;=60"))</f>
        <v/>
      </c>
      <c r="N51" s="232">
        <f>IF($A51="","",IF(AND('01_DANH_MUC'!$H41&gt;0,'01_DANH_MUC'!$G41&lt;$E$4,$E$4-'01_DANH_MUC'!$G41&gt;=61,$E$4-'01_DANH_MUC'!$G41&lt;=90),'01_DANH_MUC'!$H41,0)+SUMIFS('02_NHAT_KY'!$K$7:$K$506,'02_NHAT_KY'!$C$7:$C$506,$A51,'02_NHAT_KY'!$L$7:$L$506,"&gt;=61",'02_NHAT_KY'!$L$7:$L$506,"&lt;=90"))</f>
        <v/>
      </c>
      <c r="O51" s="232">
        <f>IF($A51="","",IF(AND('01_DANH_MUC'!$H41&gt;0,'01_DANH_MUC'!$G41&lt;$E$4,$E$4-'01_DANH_MUC'!$G41&gt;90),'01_DANH_MUC'!$H41,0)+SUMIFS('02_NHAT_KY'!$K$7:$K$506,'02_NHAT_KY'!$C$7:$C$506,$A51,'02_NHAT_KY'!$L$7:$L$506,"&gt;90"))</f>
        <v/>
      </c>
      <c r="P51" s="201">
        <f>IF($A51="","",IF($H51&lt;0,"DƯ ÂM/TRẢ TRƯỚC",IF(ABS($H51-SUM($K51:$O51))&lt;1,"OK","LỆCH TUỔI NỢ")))</f>
        <v/>
      </c>
    </row>
    <row r="52">
      <c r="A52" s="201">
        <f>IF('01_DANH_MUC'!$A42="","",'01_DANH_MUC'!$A42)</f>
        <v/>
      </c>
      <c r="B52" s="198">
        <f>IF($A52="","",'01_DANH_MUC'!$B42)</f>
        <v/>
      </c>
      <c r="C52" s="201">
        <f>IF($A52="","",'01_DANH_MUC'!$C42)</f>
        <v/>
      </c>
      <c r="D52" s="231">
        <f>IF($A52="","",'01_DANH_MUC'!$D42)</f>
        <v/>
      </c>
      <c r="E52" s="232">
        <f>IF($A52="","",'01_DANH_MUC'!$F42+SUMIFS('02_NHAT_KY'!$G$7:$G$506,'02_NHAT_KY'!$C$7:$C$506,$A52,'02_NHAT_KY'!$A$7:$A$506,"&lt;"&amp;$B$4)-SUMIFS('02_NHAT_KY'!$H$7:$H$506,'02_NHAT_KY'!$C$7:$C$506,$A52,'02_NHAT_KY'!$A$7:$A$506,"&lt;"&amp;$B$4))</f>
        <v/>
      </c>
      <c r="F52" s="232">
        <f>IF($A52="","",SUMIFS('02_NHAT_KY'!$G$7:$G$506,'02_NHAT_KY'!$C$7:$C$506,$A52,'02_NHAT_KY'!$A$7:$A$506,"&gt;="&amp;$B$4,'02_NHAT_KY'!$A$7:$A$506,"&lt;="&amp;$E$4))</f>
        <v/>
      </c>
      <c r="G52" s="232">
        <f>IF($A52="","",SUMIFS('02_NHAT_KY'!$H$7:$H$506,'02_NHAT_KY'!$C$7:$C$506,$A52,'02_NHAT_KY'!$A$7:$A$506,"&gt;="&amp;$B$4,'02_NHAT_KY'!$A$7:$A$506,"&lt;="&amp;$E$4))</f>
        <v/>
      </c>
      <c r="H52" s="232">
        <f>IF($A52="","",$E52+$F52-$G52)</f>
        <v/>
      </c>
      <c r="I52" s="233">
        <f>IF($A52="","",IF($H52&lt;=0,0,MAX(IF(AND('01_DANH_MUC'!$H42&gt;0,'01_DANH_MUC'!$G42&lt;&gt;""),MAX(0,$E$4-'01_DANH_MUC'!$G42),0),IFERROR(MAXIFS('02_NHAT_KY'!$L$7:$L$506,'02_NHAT_KY'!$C$7:$C$506,$A52),0))))</f>
        <v/>
      </c>
      <c r="J52" s="201">
        <f>IF($A52="","",IF($H52&lt;=0,"Không có dư nợ",IF($I52&gt;0,"Quá hạn","Trong hạn")))</f>
        <v/>
      </c>
      <c r="K52" s="232">
        <f>IF($A52="","",IF(AND('01_DANH_MUC'!$H42&gt;0,OR('01_DANH_MUC'!$G42="",'01_DANH_MUC'!$G42&gt;=$E$4)),'01_DANH_MUC'!$H42,0)+SUMIFS('02_NHAT_KY'!$K$7:$K$506,'02_NHAT_KY'!$C$7:$C$506,$A52,'02_NHAT_KY'!$J$7:$J$506,"&gt;="&amp;$E$4)+SUMIFS('02_NHAT_KY'!$K$7:$K$506,'02_NHAT_KY'!$C$7:$C$506,$A52,'02_NHAT_KY'!$J$7:$J$506,""))</f>
        <v/>
      </c>
      <c r="L52" s="232">
        <f>IF($A52="","",IF(AND('01_DANH_MUC'!$H42&gt;0,'01_DANH_MUC'!$G42&lt;$E$4,$E$4-'01_DANH_MUC'!$G42&lt;=30),'01_DANH_MUC'!$H42,0)+SUMIFS('02_NHAT_KY'!$K$7:$K$506,'02_NHAT_KY'!$C$7:$C$506,$A52,'02_NHAT_KY'!$L$7:$L$506,"&gt;=1",'02_NHAT_KY'!$L$7:$L$506,"&lt;=30"))</f>
        <v/>
      </c>
      <c r="M52" s="232">
        <f>IF($A52="","",IF(AND('01_DANH_MUC'!$H42&gt;0,'01_DANH_MUC'!$G42&lt;$E$4,$E$4-'01_DANH_MUC'!$G42&gt;=31,$E$4-'01_DANH_MUC'!$G42&lt;=60),'01_DANH_MUC'!$H42,0)+SUMIFS('02_NHAT_KY'!$K$7:$K$506,'02_NHAT_KY'!$C$7:$C$506,$A52,'02_NHAT_KY'!$L$7:$L$506,"&gt;=31",'02_NHAT_KY'!$L$7:$L$506,"&lt;=60"))</f>
        <v/>
      </c>
      <c r="N52" s="232">
        <f>IF($A52="","",IF(AND('01_DANH_MUC'!$H42&gt;0,'01_DANH_MUC'!$G42&lt;$E$4,$E$4-'01_DANH_MUC'!$G42&gt;=61,$E$4-'01_DANH_MUC'!$G42&lt;=90),'01_DANH_MUC'!$H42,0)+SUMIFS('02_NHAT_KY'!$K$7:$K$506,'02_NHAT_KY'!$C$7:$C$506,$A52,'02_NHAT_KY'!$L$7:$L$506,"&gt;=61",'02_NHAT_KY'!$L$7:$L$506,"&lt;=90"))</f>
        <v/>
      </c>
      <c r="O52" s="232">
        <f>IF($A52="","",IF(AND('01_DANH_MUC'!$H42&gt;0,'01_DANH_MUC'!$G42&lt;$E$4,$E$4-'01_DANH_MUC'!$G42&gt;90),'01_DANH_MUC'!$H42,0)+SUMIFS('02_NHAT_KY'!$K$7:$K$506,'02_NHAT_KY'!$C$7:$C$506,$A52,'02_NHAT_KY'!$L$7:$L$506,"&gt;90"))</f>
        <v/>
      </c>
      <c r="P52" s="201">
        <f>IF($A52="","",IF($H52&lt;0,"DƯ ÂM/TRẢ TRƯỚC",IF(ABS($H52-SUM($K52:$O52))&lt;1,"OK","LỆCH TUỔI NỢ")))</f>
        <v/>
      </c>
    </row>
    <row r="53">
      <c r="A53" s="201">
        <f>IF('01_DANH_MUC'!$A43="","",'01_DANH_MUC'!$A43)</f>
        <v/>
      </c>
      <c r="B53" s="198">
        <f>IF($A53="","",'01_DANH_MUC'!$B43)</f>
        <v/>
      </c>
      <c r="C53" s="201">
        <f>IF($A53="","",'01_DANH_MUC'!$C43)</f>
        <v/>
      </c>
      <c r="D53" s="231">
        <f>IF($A53="","",'01_DANH_MUC'!$D43)</f>
        <v/>
      </c>
      <c r="E53" s="232">
        <f>IF($A53="","",'01_DANH_MUC'!$F43+SUMIFS('02_NHAT_KY'!$G$7:$G$506,'02_NHAT_KY'!$C$7:$C$506,$A53,'02_NHAT_KY'!$A$7:$A$506,"&lt;"&amp;$B$4)-SUMIFS('02_NHAT_KY'!$H$7:$H$506,'02_NHAT_KY'!$C$7:$C$506,$A53,'02_NHAT_KY'!$A$7:$A$506,"&lt;"&amp;$B$4))</f>
        <v/>
      </c>
      <c r="F53" s="232">
        <f>IF($A53="","",SUMIFS('02_NHAT_KY'!$G$7:$G$506,'02_NHAT_KY'!$C$7:$C$506,$A53,'02_NHAT_KY'!$A$7:$A$506,"&gt;="&amp;$B$4,'02_NHAT_KY'!$A$7:$A$506,"&lt;="&amp;$E$4))</f>
        <v/>
      </c>
      <c r="G53" s="232">
        <f>IF($A53="","",SUMIFS('02_NHAT_KY'!$H$7:$H$506,'02_NHAT_KY'!$C$7:$C$506,$A53,'02_NHAT_KY'!$A$7:$A$506,"&gt;="&amp;$B$4,'02_NHAT_KY'!$A$7:$A$506,"&lt;="&amp;$E$4))</f>
        <v/>
      </c>
      <c r="H53" s="232">
        <f>IF($A53="","",$E53+$F53-$G53)</f>
        <v/>
      </c>
      <c r="I53" s="233">
        <f>IF($A53="","",IF($H53&lt;=0,0,MAX(IF(AND('01_DANH_MUC'!$H43&gt;0,'01_DANH_MUC'!$G43&lt;&gt;""),MAX(0,$E$4-'01_DANH_MUC'!$G43),0),IFERROR(MAXIFS('02_NHAT_KY'!$L$7:$L$506,'02_NHAT_KY'!$C$7:$C$506,$A53),0))))</f>
        <v/>
      </c>
      <c r="J53" s="201">
        <f>IF($A53="","",IF($H53&lt;=0,"Không có dư nợ",IF($I53&gt;0,"Quá hạn","Trong hạn")))</f>
        <v/>
      </c>
      <c r="K53" s="232">
        <f>IF($A53="","",IF(AND('01_DANH_MUC'!$H43&gt;0,OR('01_DANH_MUC'!$G43="",'01_DANH_MUC'!$G43&gt;=$E$4)),'01_DANH_MUC'!$H43,0)+SUMIFS('02_NHAT_KY'!$K$7:$K$506,'02_NHAT_KY'!$C$7:$C$506,$A53,'02_NHAT_KY'!$J$7:$J$506,"&gt;="&amp;$E$4)+SUMIFS('02_NHAT_KY'!$K$7:$K$506,'02_NHAT_KY'!$C$7:$C$506,$A53,'02_NHAT_KY'!$J$7:$J$506,""))</f>
        <v/>
      </c>
      <c r="L53" s="232">
        <f>IF($A53="","",IF(AND('01_DANH_MUC'!$H43&gt;0,'01_DANH_MUC'!$G43&lt;$E$4,$E$4-'01_DANH_MUC'!$G43&lt;=30),'01_DANH_MUC'!$H43,0)+SUMIFS('02_NHAT_KY'!$K$7:$K$506,'02_NHAT_KY'!$C$7:$C$506,$A53,'02_NHAT_KY'!$L$7:$L$506,"&gt;=1",'02_NHAT_KY'!$L$7:$L$506,"&lt;=30"))</f>
        <v/>
      </c>
      <c r="M53" s="232">
        <f>IF($A53="","",IF(AND('01_DANH_MUC'!$H43&gt;0,'01_DANH_MUC'!$G43&lt;$E$4,$E$4-'01_DANH_MUC'!$G43&gt;=31,$E$4-'01_DANH_MUC'!$G43&lt;=60),'01_DANH_MUC'!$H43,0)+SUMIFS('02_NHAT_KY'!$K$7:$K$506,'02_NHAT_KY'!$C$7:$C$506,$A53,'02_NHAT_KY'!$L$7:$L$506,"&gt;=31",'02_NHAT_KY'!$L$7:$L$506,"&lt;=60"))</f>
        <v/>
      </c>
      <c r="N53" s="232">
        <f>IF($A53="","",IF(AND('01_DANH_MUC'!$H43&gt;0,'01_DANH_MUC'!$G43&lt;$E$4,$E$4-'01_DANH_MUC'!$G43&gt;=61,$E$4-'01_DANH_MUC'!$G43&lt;=90),'01_DANH_MUC'!$H43,0)+SUMIFS('02_NHAT_KY'!$K$7:$K$506,'02_NHAT_KY'!$C$7:$C$506,$A53,'02_NHAT_KY'!$L$7:$L$506,"&gt;=61",'02_NHAT_KY'!$L$7:$L$506,"&lt;=90"))</f>
        <v/>
      </c>
      <c r="O53" s="232">
        <f>IF($A53="","",IF(AND('01_DANH_MUC'!$H43&gt;0,'01_DANH_MUC'!$G43&lt;$E$4,$E$4-'01_DANH_MUC'!$G43&gt;90),'01_DANH_MUC'!$H43,0)+SUMIFS('02_NHAT_KY'!$K$7:$K$506,'02_NHAT_KY'!$C$7:$C$506,$A53,'02_NHAT_KY'!$L$7:$L$506,"&gt;90"))</f>
        <v/>
      </c>
      <c r="P53" s="201">
        <f>IF($A53="","",IF($H53&lt;0,"DƯ ÂM/TRẢ TRƯỚC",IF(ABS($H53-SUM($K53:$O53))&lt;1,"OK","LỆCH TUỔI NỢ")))</f>
        <v/>
      </c>
    </row>
    <row r="54">
      <c r="A54" s="201">
        <f>IF('01_DANH_MUC'!$A44="","",'01_DANH_MUC'!$A44)</f>
        <v/>
      </c>
      <c r="B54" s="198">
        <f>IF($A54="","",'01_DANH_MUC'!$B44)</f>
        <v/>
      </c>
      <c r="C54" s="201">
        <f>IF($A54="","",'01_DANH_MUC'!$C44)</f>
        <v/>
      </c>
      <c r="D54" s="231">
        <f>IF($A54="","",'01_DANH_MUC'!$D44)</f>
        <v/>
      </c>
      <c r="E54" s="232">
        <f>IF($A54="","",'01_DANH_MUC'!$F44+SUMIFS('02_NHAT_KY'!$G$7:$G$506,'02_NHAT_KY'!$C$7:$C$506,$A54,'02_NHAT_KY'!$A$7:$A$506,"&lt;"&amp;$B$4)-SUMIFS('02_NHAT_KY'!$H$7:$H$506,'02_NHAT_KY'!$C$7:$C$506,$A54,'02_NHAT_KY'!$A$7:$A$506,"&lt;"&amp;$B$4))</f>
        <v/>
      </c>
      <c r="F54" s="232">
        <f>IF($A54="","",SUMIFS('02_NHAT_KY'!$G$7:$G$506,'02_NHAT_KY'!$C$7:$C$506,$A54,'02_NHAT_KY'!$A$7:$A$506,"&gt;="&amp;$B$4,'02_NHAT_KY'!$A$7:$A$506,"&lt;="&amp;$E$4))</f>
        <v/>
      </c>
      <c r="G54" s="232">
        <f>IF($A54="","",SUMIFS('02_NHAT_KY'!$H$7:$H$506,'02_NHAT_KY'!$C$7:$C$506,$A54,'02_NHAT_KY'!$A$7:$A$506,"&gt;="&amp;$B$4,'02_NHAT_KY'!$A$7:$A$506,"&lt;="&amp;$E$4))</f>
        <v/>
      </c>
      <c r="H54" s="232">
        <f>IF($A54="","",$E54+$F54-$G54)</f>
        <v/>
      </c>
      <c r="I54" s="233">
        <f>IF($A54="","",IF($H54&lt;=0,0,MAX(IF(AND('01_DANH_MUC'!$H44&gt;0,'01_DANH_MUC'!$G44&lt;&gt;""),MAX(0,$E$4-'01_DANH_MUC'!$G44),0),IFERROR(MAXIFS('02_NHAT_KY'!$L$7:$L$506,'02_NHAT_KY'!$C$7:$C$506,$A54),0))))</f>
        <v/>
      </c>
      <c r="J54" s="201">
        <f>IF($A54="","",IF($H54&lt;=0,"Không có dư nợ",IF($I54&gt;0,"Quá hạn","Trong hạn")))</f>
        <v/>
      </c>
      <c r="K54" s="232">
        <f>IF($A54="","",IF(AND('01_DANH_MUC'!$H44&gt;0,OR('01_DANH_MUC'!$G44="",'01_DANH_MUC'!$G44&gt;=$E$4)),'01_DANH_MUC'!$H44,0)+SUMIFS('02_NHAT_KY'!$K$7:$K$506,'02_NHAT_KY'!$C$7:$C$506,$A54,'02_NHAT_KY'!$J$7:$J$506,"&gt;="&amp;$E$4)+SUMIFS('02_NHAT_KY'!$K$7:$K$506,'02_NHAT_KY'!$C$7:$C$506,$A54,'02_NHAT_KY'!$J$7:$J$506,""))</f>
        <v/>
      </c>
      <c r="L54" s="232">
        <f>IF($A54="","",IF(AND('01_DANH_MUC'!$H44&gt;0,'01_DANH_MUC'!$G44&lt;$E$4,$E$4-'01_DANH_MUC'!$G44&lt;=30),'01_DANH_MUC'!$H44,0)+SUMIFS('02_NHAT_KY'!$K$7:$K$506,'02_NHAT_KY'!$C$7:$C$506,$A54,'02_NHAT_KY'!$L$7:$L$506,"&gt;=1",'02_NHAT_KY'!$L$7:$L$506,"&lt;=30"))</f>
        <v/>
      </c>
      <c r="M54" s="232">
        <f>IF($A54="","",IF(AND('01_DANH_MUC'!$H44&gt;0,'01_DANH_MUC'!$G44&lt;$E$4,$E$4-'01_DANH_MUC'!$G44&gt;=31,$E$4-'01_DANH_MUC'!$G44&lt;=60),'01_DANH_MUC'!$H44,0)+SUMIFS('02_NHAT_KY'!$K$7:$K$506,'02_NHAT_KY'!$C$7:$C$506,$A54,'02_NHAT_KY'!$L$7:$L$506,"&gt;=31",'02_NHAT_KY'!$L$7:$L$506,"&lt;=60"))</f>
        <v/>
      </c>
      <c r="N54" s="232">
        <f>IF($A54="","",IF(AND('01_DANH_MUC'!$H44&gt;0,'01_DANH_MUC'!$G44&lt;$E$4,$E$4-'01_DANH_MUC'!$G44&gt;=61,$E$4-'01_DANH_MUC'!$G44&lt;=90),'01_DANH_MUC'!$H44,0)+SUMIFS('02_NHAT_KY'!$K$7:$K$506,'02_NHAT_KY'!$C$7:$C$506,$A54,'02_NHAT_KY'!$L$7:$L$506,"&gt;=61",'02_NHAT_KY'!$L$7:$L$506,"&lt;=90"))</f>
        <v/>
      </c>
      <c r="O54" s="232">
        <f>IF($A54="","",IF(AND('01_DANH_MUC'!$H44&gt;0,'01_DANH_MUC'!$G44&lt;$E$4,$E$4-'01_DANH_MUC'!$G44&gt;90),'01_DANH_MUC'!$H44,0)+SUMIFS('02_NHAT_KY'!$K$7:$K$506,'02_NHAT_KY'!$C$7:$C$506,$A54,'02_NHAT_KY'!$L$7:$L$506,"&gt;90"))</f>
        <v/>
      </c>
      <c r="P54" s="201">
        <f>IF($A54="","",IF($H54&lt;0,"DƯ ÂM/TRẢ TRƯỚC",IF(ABS($H54-SUM($K54:$O54))&lt;1,"OK","LỆCH TUỔI NỢ")))</f>
        <v/>
      </c>
    </row>
    <row r="55">
      <c r="A55" s="201">
        <f>IF('01_DANH_MUC'!$A45="","",'01_DANH_MUC'!$A45)</f>
        <v/>
      </c>
      <c r="B55" s="198">
        <f>IF($A55="","",'01_DANH_MUC'!$B45)</f>
        <v/>
      </c>
      <c r="C55" s="201">
        <f>IF($A55="","",'01_DANH_MUC'!$C45)</f>
        <v/>
      </c>
      <c r="D55" s="231">
        <f>IF($A55="","",'01_DANH_MUC'!$D45)</f>
        <v/>
      </c>
      <c r="E55" s="232">
        <f>IF($A55="","",'01_DANH_MUC'!$F45+SUMIFS('02_NHAT_KY'!$G$7:$G$506,'02_NHAT_KY'!$C$7:$C$506,$A55,'02_NHAT_KY'!$A$7:$A$506,"&lt;"&amp;$B$4)-SUMIFS('02_NHAT_KY'!$H$7:$H$506,'02_NHAT_KY'!$C$7:$C$506,$A55,'02_NHAT_KY'!$A$7:$A$506,"&lt;"&amp;$B$4))</f>
        <v/>
      </c>
      <c r="F55" s="232">
        <f>IF($A55="","",SUMIFS('02_NHAT_KY'!$G$7:$G$506,'02_NHAT_KY'!$C$7:$C$506,$A55,'02_NHAT_KY'!$A$7:$A$506,"&gt;="&amp;$B$4,'02_NHAT_KY'!$A$7:$A$506,"&lt;="&amp;$E$4))</f>
        <v/>
      </c>
      <c r="G55" s="232">
        <f>IF($A55="","",SUMIFS('02_NHAT_KY'!$H$7:$H$506,'02_NHAT_KY'!$C$7:$C$506,$A55,'02_NHAT_KY'!$A$7:$A$506,"&gt;="&amp;$B$4,'02_NHAT_KY'!$A$7:$A$506,"&lt;="&amp;$E$4))</f>
        <v/>
      </c>
      <c r="H55" s="232">
        <f>IF($A55="","",$E55+$F55-$G55)</f>
        <v/>
      </c>
      <c r="I55" s="233">
        <f>IF($A55="","",IF($H55&lt;=0,0,MAX(IF(AND('01_DANH_MUC'!$H45&gt;0,'01_DANH_MUC'!$G45&lt;&gt;""),MAX(0,$E$4-'01_DANH_MUC'!$G45),0),IFERROR(MAXIFS('02_NHAT_KY'!$L$7:$L$506,'02_NHAT_KY'!$C$7:$C$506,$A55),0))))</f>
        <v/>
      </c>
      <c r="J55" s="201">
        <f>IF($A55="","",IF($H55&lt;=0,"Không có dư nợ",IF($I55&gt;0,"Quá hạn","Trong hạn")))</f>
        <v/>
      </c>
      <c r="K55" s="232">
        <f>IF($A55="","",IF(AND('01_DANH_MUC'!$H45&gt;0,OR('01_DANH_MUC'!$G45="",'01_DANH_MUC'!$G45&gt;=$E$4)),'01_DANH_MUC'!$H45,0)+SUMIFS('02_NHAT_KY'!$K$7:$K$506,'02_NHAT_KY'!$C$7:$C$506,$A55,'02_NHAT_KY'!$J$7:$J$506,"&gt;="&amp;$E$4)+SUMIFS('02_NHAT_KY'!$K$7:$K$506,'02_NHAT_KY'!$C$7:$C$506,$A55,'02_NHAT_KY'!$J$7:$J$506,""))</f>
        <v/>
      </c>
      <c r="L55" s="232">
        <f>IF($A55="","",IF(AND('01_DANH_MUC'!$H45&gt;0,'01_DANH_MUC'!$G45&lt;$E$4,$E$4-'01_DANH_MUC'!$G45&lt;=30),'01_DANH_MUC'!$H45,0)+SUMIFS('02_NHAT_KY'!$K$7:$K$506,'02_NHAT_KY'!$C$7:$C$506,$A55,'02_NHAT_KY'!$L$7:$L$506,"&gt;=1",'02_NHAT_KY'!$L$7:$L$506,"&lt;=30"))</f>
        <v/>
      </c>
      <c r="M55" s="232">
        <f>IF($A55="","",IF(AND('01_DANH_MUC'!$H45&gt;0,'01_DANH_MUC'!$G45&lt;$E$4,$E$4-'01_DANH_MUC'!$G45&gt;=31,$E$4-'01_DANH_MUC'!$G45&lt;=60),'01_DANH_MUC'!$H45,0)+SUMIFS('02_NHAT_KY'!$K$7:$K$506,'02_NHAT_KY'!$C$7:$C$506,$A55,'02_NHAT_KY'!$L$7:$L$506,"&gt;=31",'02_NHAT_KY'!$L$7:$L$506,"&lt;=60"))</f>
        <v/>
      </c>
      <c r="N55" s="232">
        <f>IF($A55="","",IF(AND('01_DANH_MUC'!$H45&gt;0,'01_DANH_MUC'!$G45&lt;$E$4,$E$4-'01_DANH_MUC'!$G45&gt;=61,$E$4-'01_DANH_MUC'!$G45&lt;=90),'01_DANH_MUC'!$H45,0)+SUMIFS('02_NHAT_KY'!$K$7:$K$506,'02_NHAT_KY'!$C$7:$C$506,$A55,'02_NHAT_KY'!$L$7:$L$506,"&gt;=61",'02_NHAT_KY'!$L$7:$L$506,"&lt;=90"))</f>
        <v/>
      </c>
      <c r="O55" s="232">
        <f>IF($A55="","",IF(AND('01_DANH_MUC'!$H45&gt;0,'01_DANH_MUC'!$G45&lt;$E$4,$E$4-'01_DANH_MUC'!$G45&gt;90),'01_DANH_MUC'!$H45,0)+SUMIFS('02_NHAT_KY'!$K$7:$K$506,'02_NHAT_KY'!$C$7:$C$506,$A55,'02_NHAT_KY'!$L$7:$L$506,"&gt;90"))</f>
        <v/>
      </c>
      <c r="P55" s="201">
        <f>IF($A55="","",IF($H55&lt;0,"DƯ ÂM/TRẢ TRƯỚC",IF(ABS($H55-SUM($K55:$O55))&lt;1,"OK","LỆCH TUỔI NỢ")))</f>
        <v/>
      </c>
    </row>
    <row r="56">
      <c r="A56" s="201">
        <f>IF('01_DANH_MUC'!$A46="","",'01_DANH_MUC'!$A46)</f>
        <v/>
      </c>
      <c r="B56" s="198">
        <f>IF($A56="","",'01_DANH_MUC'!$B46)</f>
        <v/>
      </c>
      <c r="C56" s="201">
        <f>IF($A56="","",'01_DANH_MUC'!$C46)</f>
        <v/>
      </c>
      <c r="D56" s="231">
        <f>IF($A56="","",'01_DANH_MUC'!$D46)</f>
        <v/>
      </c>
      <c r="E56" s="232">
        <f>IF($A56="","",'01_DANH_MUC'!$F46+SUMIFS('02_NHAT_KY'!$G$7:$G$506,'02_NHAT_KY'!$C$7:$C$506,$A56,'02_NHAT_KY'!$A$7:$A$506,"&lt;"&amp;$B$4)-SUMIFS('02_NHAT_KY'!$H$7:$H$506,'02_NHAT_KY'!$C$7:$C$506,$A56,'02_NHAT_KY'!$A$7:$A$506,"&lt;"&amp;$B$4))</f>
        <v/>
      </c>
      <c r="F56" s="232">
        <f>IF($A56="","",SUMIFS('02_NHAT_KY'!$G$7:$G$506,'02_NHAT_KY'!$C$7:$C$506,$A56,'02_NHAT_KY'!$A$7:$A$506,"&gt;="&amp;$B$4,'02_NHAT_KY'!$A$7:$A$506,"&lt;="&amp;$E$4))</f>
        <v/>
      </c>
      <c r="G56" s="232">
        <f>IF($A56="","",SUMIFS('02_NHAT_KY'!$H$7:$H$506,'02_NHAT_KY'!$C$7:$C$506,$A56,'02_NHAT_KY'!$A$7:$A$506,"&gt;="&amp;$B$4,'02_NHAT_KY'!$A$7:$A$506,"&lt;="&amp;$E$4))</f>
        <v/>
      </c>
      <c r="H56" s="232">
        <f>IF($A56="","",$E56+$F56-$G56)</f>
        <v/>
      </c>
      <c r="I56" s="233">
        <f>IF($A56="","",IF($H56&lt;=0,0,MAX(IF(AND('01_DANH_MUC'!$H46&gt;0,'01_DANH_MUC'!$G46&lt;&gt;""),MAX(0,$E$4-'01_DANH_MUC'!$G46),0),IFERROR(MAXIFS('02_NHAT_KY'!$L$7:$L$506,'02_NHAT_KY'!$C$7:$C$506,$A56),0))))</f>
        <v/>
      </c>
      <c r="J56" s="201">
        <f>IF($A56="","",IF($H56&lt;=0,"Không có dư nợ",IF($I56&gt;0,"Quá hạn","Trong hạn")))</f>
        <v/>
      </c>
      <c r="K56" s="232">
        <f>IF($A56="","",IF(AND('01_DANH_MUC'!$H46&gt;0,OR('01_DANH_MUC'!$G46="",'01_DANH_MUC'!$G46&gt;=$E$4)),'01_DANH_MUC'!$H46,0)+SUMIFS('02_NHAT_KY'!$K$7:$K$506,'02_NHAT_KY'!$C$7:$C$506,$A56,'02_NHAT_KY'!$J$7:$J$506,"&gt;="&amp;$E$4)+SUMIFS('02_NHAT_KY'!$K$7:$K$506,'02_NHAT_KY'!$C$7:$C$506,$A56,'02_NHAT_KY'!$J$7:$J$506,""))</f>
        <v/>
      </c>
      <c r="L56" s="232">
        <f>IF($A56="","",IF(AND('01_DANH_MUC'!$H46&gt;0,'01_DANH_MUC'!$G46&lt;$E$4,$E$4-'01_DANH_MUC'!$G46&lt;=30),'01_DANH_MUC'!$H46,0)+SUMIFS('02_NHAT_KY'!$K$7:$K$506,'02_NHAT_KY'!$C$7:$C$506,$A56,'02_NHAT_KY'!$L$7:$L$506,"&gt;=1",'02_NHAT_KY'!$L$7:$L$506,"&lt;=30"))</f>
        <v/>
      </c>
      <c r="M56" s="232">
        <f>IF($A56="","",IF(AND('01_DANH_MUC'!$H46&gt;0,'01_DANH_MUC'!$G46&lt;$E$4,$E$4-'01_DANH_MUC'!$G46&gt;=31,$E$4-'01_DANH_MUC'!$G46&lt;=60),'01_DANH_MUC'!$H46,0)+SUMIFS('02_NHAT_KY'!$K$7:$K$506,'02_NHAT_KY'!$C$7:$C$506,$A56,'02_NHAT_KY'!$L$7:$L$506,"&gt;=31",'02_NHAT_KY'!$L$7:$L$506,"&lt;=60"))</f>
        <v/>
      </c>
      <c r="N56" s="232">
        <f>IF($A56="","",IF(AND('01_DANH_MUC'!$H46&gt;0,'01_DANH_MUC'!$G46&lt;$E$4,$E$4-'01_DANH_MUC'!$G46&gt;=61,$E$4-'01_DANH_MUC'!$G46&lt;=90),'01_DANH_MUC'!$H46,0)+SUMIFS('02_NHAT_KY'!$K$7:$K$506,'02_NHAT_KY'!$C$7:$C$506,$A56,'02_NHAT_KY'!$L$7:$L$506,"&gt;=61",'02_NHAT_KY'!$L$7:$L$506,"&lt;=90"))</f>
        <v/>
      </c>
      <c r="O56" s="232">
        <f>IF($A56="","",IF(AND('01_DANH_MUC'!$H46&gt;0,'01_DANH_MUC'!$G46&lt;$E$4,$E$4-'01_DANH_MUC'!$G46&gt;90),'01_DANH_MUC'!$H46,0)+SUMIFS('02_NHAT_KY'!$K$7:$K$506,'02_NHAT_KY'!$C$7:$C$506,$A56,'02_NHAT_KY'!$L$7:$L$506,"&gt;90"))</f>
        <v/>
      </c>
      <c r="P56" s="201">
        <f>IF($A56="","",IF($H56&lt;0,"DƯ ÂM/TRẢ TRƯỚC",IF(ABS($H56-SUM($K56:$O56))&lt;1,"OK","LỆCH TUỔI NỢ")))</f>
        <v/>
      </c>
    </row>
    <row r="57">
      <c r="A57" s="201">
        <f>IF('01_DANH_MUC'!$A47="","",'01_DANH_MUC'!$A47)</f>
        <v/>
      </c>
      <c r="B57" s="198">
        <f>IF($A57="","",'01_DANH_MUC'!$B47)</f>
        <v/>
      </c>
      <c r="C57" s="201">
        <f>IF($A57="","",'01_DANH_MUC'!$C47)</f>
        <v/>
      </c>
      <c r="D57" s="231">
        <f>IF($A57="","",'01_DANH_MUC'!$D47)</f>
        <v/>
      </c>
      <c r="E57" s="232">
        <f>IF($A57="","",'01_DANH_MUC'!$F47+SUMIFS('02_NHAT_KY'!$G$7:$G$506,'02_NHAT_KY'!$C$7:$C$506,$A57,'02_NHAT_KY'!$A$7:$A$506,"&lt;"&amp;$B$4)-SUMIFS('02_NHAT_KY'!$H$7:$H$506,'02_NHAT_KY'!$C$7:$C$506,$A57,'02_NHAT_KY'!$A$7:$A$506,"&lt;"&amp;$B$4))</f>
        <v/>
      </c>
      <c r="F57" s="232">
        <f>IF($A57="","",SUMIFS('02_NHAT_KY'!$G$7:$G$506,'02_NHAT_KY'!$C$7:$C$506,$A57,'02_NHAT_KY'!$A$7:$A$506,"&gt;="&amp;$B$4,'02_NHAT_KY'!$A$7:$A$506,"&lt;="&amp;$E$4))</f>
        <v/>
      </c>
      <c r="G57" s="232">
        <f>IF($A57="","",SUMIFS('02_NHAT_KY'!$H$7:$H$506,'02_NHAT_KY'!$C$7:$C$506,$A57,'02_NHAT_KY'!$A$7:$A$506,"&gt;="&amp;$B$4,'02_NHAT_KY'!$A$7:$A$506,"&lt;="&amp;$E$4))</f>
        <v/>
      </c>
      <c r="H57" s="232">
        <f>IF($A57="","",$E57+$F57-$G57)</f>
        <v/>
      </c>
      <c r="I57" s="233">
        <f>IF($A57="","",IF($H57&lt;=0,0,MAX(IF(AND('01_DANH_MUC'!$H47&gt;0,'01_DANH_MUC'!$G47&lt;&gt;""),MAX(0,$E$4-'01_DANH_MUC'!$G47),0),IFERROR(MAXIFS('02_NHAT_KY'!$L$7:$L$506,'02_NHAT_KY'!$C$7:$C$506,$A57),0))))</f>
        <v/>
      </c>
      <c r="J57" s="201">
        <f>IF($A57="","",IF($H57&lt;=0,"Không có dư nợ",IF($I57&gt;0,"Quá hạn","Trong hạn")))</f>
        <v/>
      </c>
      <c r="K57" s="232">
        <f>IF($A57="","",IF(AND('01_DANH_MUC'!$H47&gt;0,OR('01_DANH_MUC'!$G47="",'01_DANH_MUC'!$G47&gt;=$E$4)),'01_DANH_MUC'!$H47,0)+SUMIFS('02_NHAT_KY'!$K$7:$K$506,'02_NHAT_KY'!$C$7:$C$506,$A57,'02_NHAT_KY'!$J$7:$J$506,"&gt;="&amp;$E$4)+SUMIFS('02_NHAT_KY'!$K$7:$K$506,'02_NHAT_KY'!$C$7:$C$506,$A57,'02_NHAT_KY'!$J$7:$J$506,""))</f>
        <v/>
      </c>
      <c r="L57" s="232">
        <f>IF($A57="","",IF(AND('01_DANH_MUC'!$H47&gt;0,'01_DANH_MUC'!$G47&lt;$E$4,$E$4-'01_DANH_MUC'!$G47&lt;=30),'01_DANH_MUC'!$H47,0)+SUMIFS('02_NHAT_KY'!$K$7:$K$506,'02_NHAT_KY'!$C$7:$C$506,$A57,'02_NHAT_KY'!$L$7:$L$506,"&gt;=1",'02_NHAT_KY'!$L$7:$L$506,"&lt;=30"))</f>
        <v/>
      </c>
      <c r="M57" s="232">
        <f>IF($A57="","",IF(AND('01_DANH_MUC'!$H47&gt;0,'01_DANH_MUC'!$G47&lt;$E$4,$E$4-'01_DANH_MUC'!$G47&gt;=31,$E$4-'01_DANH_MUC'!$G47&lt;=60),'01_DANH_MUC'!$H47,0)+SUMIFS('02_NHAT_KY'!$K$7:$K$506,'02_NHAT_KY'!$C$7:$C$506,$A57,'02_NHAT_KY'!$L$7:$L$506,"&gt;=31",'02_NHAT_KY'!$L$7:$L$506,"&lt;=60"))</f>
        <v/>
      </c>
      <c r="N57" s="232">
        <f>IF($A57="","",IF(AND('01_DANH_MUC'!$H47&gt;0,'01_DANH_MUC'!$G47&lt;$E$4,$E$4-'01_DANH_MUC'!$G47&gt;=61,$E$4-'01_DANH_MUC'!$G47&lt;=90),'01_DANH_MUC'!$H47,0)+SUMIFS('02_NHAT_KY'!$K$7:$K$506,'02_NHAT_KY'!$C$7:$C$506,$A57,'02_NHAT_KY'!$L$7:$L$506,"&gt;=61",'02_NHAT_KY'!$L$7:$L$506,"&lt;=90"))</f>
        <v/>
      </c>
      <c r="O57" s="232">
        <f>IF($A57="","",IF(AND('01_DANH_MUC'!$H47&gt;0,'01_DANH_MUC'!$G47&lt;$E$4,$E$4-'01_DANH_MUC'!$G47&gt;90),'01_DANH_MUC'!$H47,0)+SUMIFS('02_NHAT_KY'!$K$7:$K$506,'02_NHAT_KY'!$C$7:$C$506,$A57,'02_NHAT_KY'!$L$7:$L$506,"&gt;90"))</f>
        <v/>
      </c>
      <c r="P57" s="201">
        <f>IF($A57="","",IF($H57&lt;0,"DƯ ÂM/TRẢ TRƯỚC",IF(ABS($H57-SUM($K57:$O57))&lt;1,"OK","LỆCH TUỔI NỢ")))</f>
        <v/>
      </c>
    </row>
    <row r="58">
      <c r="A58" s="201">
        <f>IF('01_DANH_MUC'!$A48="","",'01_DANH_MUC'!$A48)</f>
        <v/>
      </c>
      <c r="B58" s="198">
        <f>IF($A58="","",'01_DANH_MUC'!$B48)</f>
        <v/>
      </c>
      <c r="C58" s="201">
        <f>IF($A58="","",'01_DANH_MUC'!$C48)</f>
        <v/>
      </c>
      <c r="D58" s="231">
        <f>IF($A58="","",'01_DANH_MUC'!$D48)</f>
        <v/>
      </c>
      <c r="E58" s="232">
        <f>IF($A58="","",'01_DANH_MUC'!$F48+SUMIFS('02_NHAT_KY'!$G$7:$G$506,'02_NHAT_KY'!$C$7:$C$506,$A58,'02_NHAT_KY'!$A$7:$A$506,"&lt;"&amp;$B$4)-SUMIFS('02_NHAT_KY'!$H$7:$H$506,'02_NHAT_KY'!$C$7:$C$506,$A58,'02_NHAT_KY'!$A$7:$A$506,"&lt;"&amp;$B$4))</f>
        <v/>
      </c>
      <c r="F58" s="232">
        <f>IF($A58="","",SUMIFS('02_NHAT_KY'!$G$7:$G$506,'02_NHAT_KY'!$C$7:$C$506,$A58,'02_NHAT_KY'!$A$7:$A$506,"&gt;="&amp;$B$4,'02_NHAT_KY'!$A$7:$A$506,"&lt;="&amp;$E$4))</f>
        <v/>
      </c>
      <c r="G58" s="232">
        <f>IF($A58="","",SUMIFS('02_NHAT_KY'!$H$7:$H$506,'02_NHAT_KY'!$C$7:$C$506,$A58,'02_NHAT_KY'!$A$7:$A$506,"&gt;="&amp;$B$4,'02_NHAT_KY'!$A$7:$A$506,"&lt;="&amp;$E$4))</f>
        <v/>
      </c>
      <c r="H58" s="232">
        <f>IF($A58="","",$E58+$F58-$G58)</f>
        <v/>
      </c>
      <c r="I58" s="233">
        <f>IF($A58="","",IF($H58&lt;=0,0,MAX(IF(AND('01_DANH_MUC'!$H48&gt;0,'01_DANH_MUC'!$G48&lt;&gt;""),MAX(0,$E$4-'01_DANH_MUC'!$G48),0),IFERROR(MAXIFS('02_NHAT_KY'!$L$7:$L$506,'02_NHAT_KY'!$C$7:$C$506,$A58),0))))</f>
        <v/>
      </c>
      <c r="J58" s="201">
        <f>IF($A58="","",IF($H58&lt;=0,"Không có dư nợ",IF($I58&gt;0,"Quá hạn","Trong hạn")))</f>
        <v/>
      </c>
      <c r="K58" s="232">
        <f>IF($A58="","",IF(AND('01_DANH_MUC'!$H48&gt;0,OR('01_DANH_MUC'!$G48="",'01_DANH_MUC'!$G48&gt;=$E$4)),'01_DANH_MUC'!$H48,0)+SUMIFS('02_NHAT_KY'!$K$7:$K$506,'02_NHAT_KY'!$C$7:$C$506,$A58,'02_NHAT_KY'!$J$7:$J$506,"&gt;="&amp;$E$4)+SUMIFS('02_NHAT_KY'!$K$7:$K$506,'02_NHAT_KY'!$C$7:$C$506,$A58,'02_NHAT_KY'!$J$7:$J$506,""))</f>
        <v/>
      </c>
      <c r="L58" s="232">
        <f>IF($A58="","",IF(AND('01_DANH_MUC'!$H48&gt;0,'01_DANH_MUC'!$G48&lt;$E$4,$E$4-'01_DANH_MUC'!$G48&lt;=30),'01_DANH_MUC'!$H48,0)+SUMIFS('02_NHAT_KY'!$K$7:$K$506,'02_NHAT_KY'!$C$7:$C$506,$A58,'02_NHAT_KY'!$L$7:$L$506,"&gt;=1",'02_NHAT_KY'!$L$7:$L$506,"&lt;=30"))</f>
        <v/>
      </c>
      <c r="M58" s="232">
        <f>IF($A58="","",IF(AND('01_DANH_MUC'!$H48&gt;0,'01_DANH_MUC'!$G48&lt;$E$4,$E$4-'01_DANH_MUC'!$G48&gt;=31,$E$4-'01_DANH_MUC'!$G48&lt;=60),'01_DANH_MUC'!$H48,0)+SUMIFS('02_NHAT_KY'!$K$7:$K$506,'02_NHAT_KY'!$C$7:$C$506,$A58,'02_NHAT_KY'!$L$7:$L$506,"&gt;=31",'02_NHAT_KY'!$L$7:$L$506,"&lt;=60"))</f>
        <v/>
      </c>
      <c r="N58" s="232">
        <f>IF($A58="","",IF(AND('01_DANH_MUC'!$H48&gt;0,'01_DANH_MUC'!$G48&lt;$E$4,$E$4-'01_DANH_MUC'!$G48&gt;=61,$E$4-'01_DANH_MUC'!$G48&lt;=90),'01_DANH_MUC'!$H48,0)+SUMIFS('02_NHAT_KY'!$K$7:$K$506,'02_NHAT_KY'!$C$7:$C$506,$A58,'02_NHAT_KY'!$L$7:$L$506,"&gt;=61",'02_NHAT_KY'!$L$7:$L$506,"&lt;=90"))</f>
        <v/>
      </c>
      <c r="O58" s="232">
        <f>IF($A58="","",IF(AND('01_DANH_MUC'!$H48&gt;0,'01_DANH_MUC'!$G48&lt;$E$4,$E$4-'01_DANH_MUC'!$G48&gt;90),'01_DANH_MUC'!$H48,0)+SUMIFS('02_NHAT_KY'!$K$7:$K$506,'02_NHAT_KY'!$C$7:$C$506,$A58,'02_NHAT_KY'!$L$7:$L$506,"&gt;90"))</f>
        <v/>
      </c>
      <c r="P58" s="201">
        <f>IF($A58="","",IF($H58&lt;0,"DƯ ÂM/TRẢ TRƯỚC",IF(ABS($H58-SUM($K58:$O58))&lt;1,"OK","LỆCH TUỔI NỢ")))</f>
        <v/>
      </c>
    </row>
    <row r="59">
      <c r="A59" s="201">
        <f>IF('01_DANH_MUC'!$A49="","",'01_DANH_MUC'!$A49)</f>
        <v/>
      </c>
      <c r="B59" s="198">
        <f>IF($A59="","",'01_DANH_MUC'!$B49)</f>
        <v/>
      </c>
      <c r="C59" s="201">
        <f>IF($A59="","",'01_DANH_MUC'!$C49)</f>
        <v/>
      </c>
      <c r="D59" s="231">
        <f>IF($A59="","",'01_DANH_MUC'!$D49)</f>
        <v/>
      </c>
      <c r="E59" s="232">
        <f>IF($A59="","",'01_DANH_MUC'!$F49+SUMIFS('02_NHAT_KY'!$G$7:$G$506,'02_NHAT_KY'!$C$7:$C$506,$A59,'02_NHAT_KY'!$A$7:$A$506,"&lt;"&amp;$B$4)-SUMIFS('02_NHAT_KY'!$H$7:$H$506,'02_NHAT_KY'!$C$7:$C$506,$A59,'02_NHAT_KY'!$A$7:$A$506,"&lt;"&amp;$B$4))</f>
        <v/>
      </c>
      <c r="F59" s="232">
        <f>IF($A59="","",SUMIFS('02_NHAT_KY'!$G$7:$G$506,'02_NHAT_KY'!$C$7:$C$506,$A59,'02_NHAT_KY'!$A$7:$A$506,"&gt;="&amp;$B$4,'02_NHAT_KY'!$A$7:$A$506,"&lt;="&amp;$E$4))</f>
        <v/>
      </c>
      <c r="G59" s="232">
        <f>IF($A59="","",SUMIFS('02_NHAT_KY'!$H$7:$H$506,'02_NHAT_KY'!$C$7:$C$506,$A59,'02_NHAT_KY'!$A$7:$A$506,"&gt;="&amp;$B$4,'02_NHAT_KY'!$A$7:$A$506,"&lt;="&amp;$E$4))</f>
        <v/>
      </c>
      <c r="H59" s="232">
        <f>IF($A59="","",$E59+$F59-$G59)</f>
        <v/>
      </c>
      <c r="I59" s="233">
        <f>IF($A59="","",IF($H59&lt;=0,0,MAX(IF(AND('01_DANH_MUC'!$H49&gt;0,'01_DANH_MUC'!$G49&lt;&gt;""),MAX(0,$E$4-'01_DANH_MUC'!$G49),0),IFERROR(MAXIFS('02_NHAT_KY'!$L$7:$L$506,'02_NHAT_KY'!$C$7:$C$506,$A59),0))))</f>
        <v/>
      </c>
      <c r="J59" s="201">
        <f>IF($A59="","",IF($H59&lt;=0,"Không có dư nợ",IF($I59&gt;0,"Quá hạn","Trong hạn")))</f>
        <v/>
      </c>
      <c r="K59" s="232">
        <f>IF($A59="","",IF(AND('01_DANH_MUC'!$H49&gt;0,OR('01_DANH_MUC'!$G49="",'01_DANH_MUC'!$G49&gt;=$E$4)),'01_DANH_MUC'!$H49,0)+SUMIFS('02_NHAT_KY'!$K$7:$K$506,'02_NHAT_KY'!$C$7:$C$506,$A59,'02_NHAT_KY'!$J$7:$J$506,"&gt;="&amp;$E$4)+SUMIFS('02_NHAT_KY'!$K$7:$K$506,'02_NHAT_KY'!$C$7:$C$506,$A59,'02_NHAT_KY'!$J$7:$J$506,""))</f>
        <v/>
      </c>
      <c r="L59" s="232">
        <f>IF($A59="","",IF(AND('01_DANH_MUC'!$H49&gt;0,'01_DANH_MUC'!$G49&lt;$E$4,$E$4-'01_DANH_MUC'!$G49&lt;=30),'01_DANH_MUC'!$H49,0)+SUMIFS('02_NHAT_KY'!$K$7:$K$506,'02_NHAT_KY'!$C$7:$C$506,$A59,'02_NHAT_KY'!$L$7:$L$506,"&gt;=1",'02_NHAT_KY'!$L$7:$L$506,"&lt;=30"))</f>
        <v/>
      </c>
      <c r="M59" s="232">
        <f>IF($A59="","",IF(AND('01_DANH_MUC'!$H49&gt;0,'01_DANH_MUC'!$G49&lt;$E$4,$E$4-'01_DANH_MUC'!$G49&gt;=31,$E$4-'01_DANH_MUC'!$G49&lt;=60),'01_DANH_MUC'!$H49,0)+SUMIFS('02_NHAT_KY'!$K$7:$K$506,'02_NHAT_KY'!$C$7:$C$506,$A59,'02_NHAT_KY'!$L$7:$L$506,"&gt;=31",'02_NHAT_KY'!$L$7:$L$506,"&lt;=60"))</f>
        <v/>
      </c>
      <c r="N59" s="232">
        <f>IF($A59="","",IF(AND('01_DANH_MUC'!$H49&gt;0,'01_DANH_MUC'!$G49&lt;$E$4,$E$4-'01_DANH_MUC'!$G49&gt;=61,$E$4-'01_DANH_MUC'!$G49&lt;=90),'01_DANH_MUC'!$H49,0)+SUMIFS('02_NHAT_KY'!$K$7:$K$506,'02_NHAT_KY'!$C$7:$C$506,$A59,'02_NHAT_KY'!$L$7:$L$506,"&gt;=61",'02_NHAT_KY'!$L$7:$L$506,"&lt;=90"))</f>
        <v/>
      </c>
      <c r="O59" s="232">
        <f>IF($A59="","",IF(AND('01_DANH_MUC'!$H49&gt;0,'01_DANH_MUC'!$G49&lt;$E$4,$E$4-'01_DANH_MUC'!$G49&gt;90),'01_DANH_MUC'!$H49,0)+SUMIFS('02_NHAT_KY'!$K$7:$K$506,'02_NHAT_KY'!$C$7:$C$506,$A59,'02_NHAT_KY'!$L$7:$L$506,"&gt;90"))</f>
        <v/>
      </c>
      <c r="P59" s="201">
        <f>IF($A59="","",IF($H59&lt;0,"DƯ ÂM/TRẢ TRƯỚC",IF(ABS($H59-SUM($K59:$O59))&lt;1,"OK","LỆCH TUỔI NỢ")))</f>
        <v/>
      </c>
    </row>
    <row r="60">
      <c r="A60" s="201">
        <f>IF('01_DANH_MUC'!$A50="","",'01_DANH_MUC'!$A50)</f>
        <v/>
      </c>
      <c r="B60" s="198">
        <f>IF($A60="","",'01_DANH_MUC'!$B50)</f>
        <v/>
      </c>
      <c r="C60" s="201">
        <f>IF($A60="","",'01_DANH_MUC'!$C50)</f>
        <v/>
      </c>
      <c r="D60" s="231">
        <f>IF($A60="","",'01_DANH_MUC'!$D50)</f>
        <v/>
      </c>
      <c r="E60" s="232">
        <f>IF($A60="","",'01_DANH_MUC'!$F50+SUMIFS('02_NHAT_KY'!$G$7:$G$506,'02_NHAT_KY'!$C$7:$C$506,$A60,'02_NHAT_KY'!$A$7:$A$506,"&lt;"&amp;$B$4)-SUMIFS('02_NHAT_KY'!$H$7:$H$506,'02_NHAT_KY'!$C$7:$C$506,$A60,'02_NHAT_KY'!$A$7:$A$506,"&lt;"&amp;$B$4))</f>
        <v/>
      </c>
      <c r="F60" s="232">
        <f>IF($A60="","",SUMIFS('02_NHAT_KY'!$G$7:$G$506,'02_NHAT_KY'!$C$7:$C$506,$A60,'02_NHAT_KY'!$A$7:$A$506,"&gt;="&amp;$B$4,'02_NHAT_KY'!$A$7:$A$506,"&lt;="&amp;$E$4))</f>
        <v/>
      </c>
      <c r="G60" s="232">
        <f>IF($A60="","",SUMIFS('02_NHAT_KY'!$H$7:$H$506,'02_NHAT_KY'!$C$7:$C$506,$A60,'02_NHAT_KY'!$A$7:$A$506,"&gt;="&amp;$B$4,'02_NHAT_KY'!$A$7:$A$506,"&lt;="&amp;$E$4))</f>
        <v/>
      </c>
      <c r="H60" s="232">
        <f>IF($A60="","",$E60+$F60-$G60)</f>
        <v/>
      </c>
      <c r="I60" s="233">
        <f>IF($A60="","",IF($H60&lt;=0,0,MAX(IF(AND('01_DANH_MUC'!$H50&gt;0,'01_DANH_MUC'!$G50&lt;&gt;""),MAX(0,$E$4-'01_DANH_MUC'!$G50),0),IFERROR(MAXIFS('02_NHAT_KY'!$L$7:$L$506,'02_NHAT_KY'!$C$7:$C$506,$A60),0))))</f>
        <v/>
      </c>
      <c r="J60" s="201">
        <f>IF($A60="","",IF($H60&lt;=0,"Không có dư nợ",IF($I60&gt;0,"Quá hạn","Trong hạn")))</f>
        <v/>
      </c>
      <c r="K60" s="232">
        <f>IF($A60="","",IF(AND('01_DANH_MUC'!$H50&gt;0,OR('01_DANH_MUC'!$G50="",'01_DANH_MUC'!$G50&gt;=$E$4)),'01_DANH_MUC'!$H50,0)+SUMIFS('02_NHAT_KY'!$K$7:$K$506,'02_NHAT_KY'!$C$7:$C$506,$A60,'02_NHAT_KY'!$J$7:$J$506,"&gt;="&amp;$E$4)+SUMIFS('02_NHAT_KY'!$K$7:$K$506,'02_NHAT_KY'!$C$7:$C$506,$A60,'02_NHAT_KY'!$J$7:$J$506,""))</f>
        <v/>
      </c>
      <c r="L60" s="232">
        <f>IF($A60="","",IF(AND('01_DANH_MUC'!$H50&gt;0,'01_DANH_MUC'!$G50&lt;$E$4,$E$4-'01_DANH_MUC'!$G50&lt;=30),'01_DANH_MUC'!$H50,0)+SUMIFS('02_NHAT_KY'!$K$7:$K$506,'02_NHAT_KY'!$C$7:$C$506,$A60,'02_NHAT_KY'!$L$7:$L$506,"&gt;=1",'02_NHAT_KY'!$L$7:$L$506,"&lt;=30"))</f>
        <v/>
      </c>
      <c r="M60" s="232">
        <f>IF($A60="","",IF(AND('01_DANH_MUC'!$H50&gt;0,'01_DANH_MUC'!$G50&lt;$E$4,$E$4-'01_DANH_MUC'!$G50&gt;=31,$E$4-'01_DANH_MUC'!$G50&lt;=60),'01_DANH_MUC'!$H50,0)+SUMIFS('02_NHAT_KY'!$K$7:$K$506,'02_NHAT_KY'!$C$7:$C$506,$A60,'02_NHAT_KY'!$L$7:$L$506,"&gt;=31",'02_NHAT_KY'!$L$7:$L$506,"&lt;=60"))</f>
        <v/>
      </c>
      <c r="N60" s="232">
        <f>IF($A60="","",IF(AND('01_DANH_MUC'!$H50&gt;0,'01_DANH_MUC'!$G50&lt;$E$4,$E$4-'01_DANH_MUC'!$G50&gt;=61,$E$4-'01_DANH_MUC'!$G50&lt;=90),'01_DANH_MUC'!$H50,0)+SUMIFS('02_NHAT_KY'!$K$7:$K$506,'02_NHAT_KY'!$C$7:$C$506,$A60,'02_NHAT_KY'!$L$7:$L$506,"&gt;=61",'02_NHAT_KY'!$L$7:$L$506,"&lt;=90"))</f>
        <v/>
      </c>
      <c r="O60" s="232">
        <f>IF($A60="","",IF(AND('01_DANH_MUC'!$H50&gt;0,'01_DANH_MUC'!$G50&lt;$E$4,$E$4-'01_DANH_MUC'!$G50&gt;90),'01_DANH_MUC'!$H50,0)+SUMIFS('02_NHAT_KY'!$K$7:$K$506,'02_NHAT_KY'!$C$7:$C$506,$A60,'02_NHAT_KY'!$L$7:$L$506,"&gt;90"))</f>
        <v/>
      </c>
      <c r="P60" s="201">
        <f>IF($A60="","",IF($H60&lt;0,"DƯ ÂM/TRẢ TRƯỚC",IF(ABS($H60-SUM($K60:$O60))&lt;1,"OK","LỆCH TUỔI NỢ")))</f>
        <v/>
      </c>
    </row>
    <row r="61">
      <c r="A61" s="201">
        <f>IF('01_DANH_MUC'!$A51="","",'01_DANH_MUC'!$A51)</f>
        <v/>
      </c>
      <c r="B61" s="198">
        <f>IF($A61="","",'01_DANH_MUC'!$B51)</f>
        <v/>
      </c>
      <c r="C61" s="201">
        <f>IF($A61="","",'01_DANH_MUC'!$C51)</f>
        <v/>
      </c>
      <c r="D61" s="231">
        <f>IF($A61="","",'01_DANH_MUC'!$D51)</f>
        <v/>
      </c>
      <c r="E61" s="232">
        <f>IF($A61="","",'01_DANH_MUC'!$F51+SUMIFS('02_NHAT_KY'!$G$7:$G$506,'02_NHAT_KY'!$C$7:$C$506,$A61,'02_NHAT_KY'!$A$7:$A$506,"&lt;"&amp;$B$4)-SUMIFS('02_NHAT_KY'!$H$7:$H$506,'02_NHAT_KY'!$C$7:$C$506,$A61,'02_NHAT_KY'!$A$7:$A$506,"&lt;"&amp;$B$4))</f>
        <v/>
      </c>
      <c r="F61" s="232">
        <f>IF($A61="","",SUMIFS('02_NHAT_KY'!$G$7:$G$506,'02_NHAT_KY'!$C$7:$C$506,$A61,'02_NHAT_KY'!$A$7:$A$506,"&gt;="&amp;$B$4,'02_NHAT_KY'!$A$7:$A$506,"&lt;="&amp;$E$4))</f>
        <v/>
      </c>
      <c r="G61" s="232">
        <f>IF($A61="","",SUMIFS('02_NHAT_KY'!$H$7:$H$506,'02_NHAT_KY'!$C$7:$C$506,$A61,'02_NHAT_KY'!$A$7:$A$506,"&gt;="&amp;$B$4,'02_NHAT_KY'!$A$7:$A$506,"&lt;="&amp;$E$4))</f>
        <v/>
      </c>
      <c r="H61" s="232">
        <f>IF($A61="","",$E61+$F61-$G61)</f>
        <v/>
      </c>
      <c r="I61" s="233">
        <f>IF($A61="","",IF($H61&lt;=0,0,MAX(IF(AND('01_DANH_MUC'!$H51&gt;0,'01_DANH_MUC'!$G51&lt;&gt;""),MAX(0,$E$4-'01_DANH_MUC'!$G51),0),IFERROR(MAXIFS('02_NHAT_KY'!$L$7:$L$506,'02_NHAT_KY'!$C$7:$C$506,$A61),0))))</f>
        <v/>
      </c>
      <c r="J61" s="201">
        <f>IF($A61="","",IF($H61&lt;=0,"Không có dư nợ",IF($I61&gt;0,"Quá hạn","Trong hạn")))</f>
        <v/>
      </c>
      <c r="K61" s="232">
        <f>IF($A61="","",IF(AND('01_DANH_MUC'!$H51&gt;0,OR('01_DANH_MUC'!$G51="",'01_DANH_MUC'!$G51&gt;=$E$4)),'01_DANH_MUC'!$H51,0)+SUMIFS('02_NHAT_KY'!$K$7:$K$506,'02_NHAT_KY'!$C$7:$C$506,$A61,'02_NHAT_KY'!$J$7:$J$506,"&gt;="&amp;$E$4)+SUMIFS('02_NHAT_KY'!$K$7:$K$506,'02_NHAT_KY'!$C$7:$C$506,$A61,'02_NHAT_KY'!$J$7:$J$506,""))</f>
        <v/>
      </c>
      <c r="L61" s="232">
        <f>IF($A61="","",IF(AND('01_DANH_MUC'!$H51&gt;0,'01_DANH_MUC'!$G51&lt;$E$4,$E$4-'01_DANH_MUC'!$G51&lt;=30),'01_DANH_MUC'!$H51,0)+SUMIFS('02_NHAT_KY'!$K$7:$K$506,'02_NHAT_KY'!$C$7:$C$506,$A61,'02_NHAT_KY'!$L$7:$L$506,"&gt;=1",'02_NHAT_KY'!$L$7:$L$506,"&lt;=30"))</f>
        <v/>
      </c>
      <c r="M61" s="232">
        <f>IF($A61="","",IF(AND('01_DANH_MUC'!$H51&gt;0,'01_DANH_MUC'!$G51&lt;$E$4,$E$4-'01_DANH_MUC'!$G51&gt;=31,$E$4-'01_DANH_MUC'!$G51&lt;=60),'01_DANH_MUC'!$H51,0)+SUMIFS('02_NHAT_KY'!$K$7:$K$506,'02_NHAT_KY'!$C$7:$C$506,$A61,'02_NHAT_KY'!$L$7:$L$506,"&gt;=31",'02_NHAT_KY'!$L$7:$L$506,"&lt;=60"))</f>
        <v/>
      </c>
      <c r="N61" s="232">
        <f>IF($A61="","",IF(AND('01_DANH_MUC'!$H51&gt;0,'01_DANH_MUC'!$G51&lt;$E$4,$E$4-'01_DANH_MUC'!$G51&gt;=61,$E$4-'01_DANH_MUC'!$G51&lt;=90),'01_DANH_MUC'!$H51,0)+SUMIFS('02_NHAT_KY'!$K$7:$K$506,'02_NHAT_KY'!$C$7:$C$506,$A61,'02_NHAT_KY'!$L$7:$L$506,"&gt;=61",'02_NHAT_KY'!$L$7:$L$506,"&lt;=90"))</f>
        <v/>
      </c>
      <c r="O61" s="232">
        <f>IF($A61="","",IF(AND('01_DANH_MUC'!$H51&gt;0,'01_DANH_MUC'!$G51&lt;$E$4,$E$4-'01_DANH_MUC'!$G51&gt;90),'01_DANH_MUC'!$H51,0)+SUMIFS('02_NHAT_KY'!$K$7:$K$506,'02_NHAT_KY'!$C$7:$C$506,$A61,'02_NHAT_KY'!$L$7:$L$506,"&gt;90"))</f>
        <v/>
      </c>
      <c r="P61" s="201">
        <f>IF($A61="","",IF($H61&lt;0,"DƯ ÂM/TRẢ TRƯỚC",IF(ABS($H61-SUM($K61:$O61))&lt;1,"OK","LỆCH TUỔI NỢ")))</f>
        <v/>
      </c>
    </row>
    <row r="62">
      <c r="A62" s="201">
        <f>IF('01_DANH_MUC'!$A52="","",'01_DANH_MUC'!$A52)</f>
        <v/>
      </c>
      <c r="B62" s="198">
        <f>IF($A62="","",'01_DANH_MUC'!$B52)</f>
        <v/>
      </c>
      <c r="C62" s="201">
        <f>IF($A62="","",'01_DANH_MUC'!$C52)</f>
        <v/>
      </c>
      <c r="D62" s="231">
        <f>IF($A62="","",'01_DANH_MUC'!$D52)</f>
        <v/>
      </c>
      <c r="E62" s="232">
        <f>IF($A62="","",'01_DANH_MUC'!$F52+SUMIFS('02_NHAT_KY'!$G$7:$G$506,'02_NHAT_KY'!$C$7:$C$506,$A62,'02_NHAT_KY'!$A$7:$A$506,"&lt;"&amp;$B$4)-SUMIFS('02_NHAT_KY'!$H$7:$H$506,'02_NHAT_KY'!$C$7:$C$506,$A62,'02_NHAT_KY'!$A$7:$A$506,"&lt;"&amp;$B$4))</f>
        <v/>
      </c>
      <c r="F62" s="232">
        <f>IF($A62="","",SUMIFS('02_NHAT_KY'!$G$7:$G$506,'02_NHAT_KY'!$C$7:$C$506,$A62,'02_NHAT_KY'!$A$7:$A$506,"&gt;="&amp;$B$4,'02_NHAT_KY'!$A$7:$A$506,"&lt;="&amp;$E$4))</f>
        <v/>
      </c>
      <c r="G62" s="232">
        <f>IF($A62="","",SUMIFS('02_NHAT_KY'!$H$7:$H$506,'02_NHAT_KY'!$C$7:$C$506,$A62,'02_NHAT_KY'!$A$7:$A$506,"&gt;="&amp;$B$4,'02_NHAT_KY'!$A$7:$A$506,"&lt;="&amp;$E$4))</f>
        <v/>
      </c>
      <c r="H62" s="232">
        <f>IF($A62="","",$E62+$F62-$G62)</f>
        <v/>
      </c>
      <c r="I62" s="233">
        <f>IF($A62="","",IF($H62&lt;=0,0,MAX(IF(AND('01_DANH_MUC'!$H52&gt;0,'01_DANH_MUC'!$G52&lt;&gt;""),MAX(0,$E$4-'01_DANH_MUC'!$G52),0),IFERROR(MAXIFS('02_NHAT_KY'!$L$7:$L$506,'02_NHAT_KY'!$C$7:$C$506,$A62),0))))</f>
        <v/>
      </c>
      <c r="J62" s="201">
        <f>IF($A62="","",IF($H62&lt;=0,"Không có dư nợ",IF($I62&gt;0,"Quá hạn","Trong hạn")))</f>
        <v/>
      </c>
      <c r="K62" s="232">
        <f>IF($A62="","",IF(AND('01_DANH_MUC'!$H52&gt;0,OR('01_DANH_MUC'!$G52="",'01_DANH_MUC'!$G52&gt;=$E$4)),'01_DANH_MUC'!$H52,0)+SUMIFS('02_NHAT_KY'!$K$7:$K$506,'02_NHAT_KY'!$C$7:$C$506,$A62,'02_NHAT_KY'!$J$7:$J$506,"&gt;="&amp;$E$4)+SUMIFS('02_NHAT_KY'!$K$7:$K$506,'02_NHAT_KY'!$C$7:$C$506,$A62,'02_NHAT_KY'!$J$7:$J$506,""))</f>
        <v/>
      </c>
      <c r="L62" s="232">
        <f>IF($A62="","",IF(AND('01_DANH_MUC'!$H52&gt;0,'01_DANH_MUC'!$G52&lt;$E$4,$E$4-'01_DANH_MUC'!$G52&lt;=30),'01_DANH_MUC'!$H52,0)+SUMIFS('02_NHAT_KY'!$K$7:$K$506,'02_NHAT_KY'!$C$7:$C$506,$A62,'02_NHAT_KY'!$L$7:$L$506,"&gt;=1",'02_NHAT_KY'!$L$7:$L$506,"&lt;=30"))</f>
        <v/>
      </c>
      <c r="M62" s="232">
        <f>IF($A62="","",IF(AND('01_DANH_MUC'!$H52&gt;0,'01_DANH_MUC'!$G52&lt;$E$4,$E$4-'01_DANH_MUC'!$G52&gt;=31,$E$4-'01_DANH_MUC'!$G52&lt;=60),'01_DANH_MUC'!$H52,0)+SUMIFS('02_NHAT_KY'!$K$7:$K$506,'02_NHAT_KY'!$C$7:$C$506,$A62,'02_NHAT_KY'!$L$7:$L$506,"&gt;=31",'02_NHAT_KY'!$L$7:$L$506,"&lt;=60"))</f>
        <v/>
      </c>
      <c r="N62" s="232">
        <f>IF($A62="","",IF(AND('01_DANH_MUC'!$H52&gt;0,'01_DANH_MUC'!$G52&lt;$E$4,$E$4-'01_DANH_MUC'!$G52&gt;=61,$E$4-'01_DANH_MUC'!$G52&lt;=90),'01_DANH_MUC'!$H52,0)+SUMIFS('02_NHAT_KY'!$K$7:$K$506,'02_NHAT_KY'!$C$7:$C$506,$A62,'02_NHAT_KY'!$L$7:$L$506,"&gt;=61",'02_NHAT_KY'!$L$7:$L$506,"&lt;=90"))</f>
        <v/>
      </c>
      <c r="O62" s="232">
        <f>IF($A62="","",IF(AND('01_DANH_MUC'!$H52&gt;0,'01_DANH_MUC'!$G52&lt;$E$4,$E$4-'01_DANH_MUC'!$G52&gt;90),'01_DANH_MUC'!$H52,0)+SUMIFS('02_NHAT_KY'!$K$7:$K$506,'02_NHAT_KY'!$C$7:$C$506,$A62,'02_NHAT_KY'!$L$7:$L$506,"&gt;90"))</f>
        <v/>
      </c>
      <c r="P62" s="201">
        <f>IF($A62="","",IF($H62&lt;0,"DƯ ÂM/TRẢ TRƯỚC",IF(ABS($H62-SUM($K62:$O62))&lt;1,"OK","LỆCH TUỔI NỢ")))</f>
        <v/>
      </c>
    </row>
    <row r="63">
      <c r="A63" s="201">
        <f>IF('01_DANH_MUC'!$A53="","",'01_DANH_MUC'!$A53)</f>
        <v/>
      </c>
      <c r="B63" s="198">
        <f>IF($A63="","",'01_DANH_MUC'!$B53)</f>
        <v/>
      </c>
      <c r="C63" s="201">
        <f>IF($A63="","",'01_DANH_MUC'!$C53)</f>
        <v/>
      </c>
      <c r="D63" s="231">
        <f>IF($A63="","",'01_DANH_MUC'!$D53)</f>
        <v/>
      </c>
      <c r="E63" s="232">
        <f>IF($A63="","",'01_DANH_MUC'!$F53+SUMIFS('02_NHAT_KY'!$G$7:$G$506,'02_NHAT_KY'!$C$7:$C$506,$A63,'02_NHAT_KY'!$A$7:$A$506,"&lt;"&amp;$B$4)-SUMIFS('02_NHAT_KY'!$H$7:$H$506,'02_NHAT_KY'!$C$7:$C$506,$A63,'02_NHAT_KY'!$A$7:$A$506,"&lt;"&amp;$B$4))</f>
        <v/>
      </c>
      <c r="F63" s="232">
        <f>IF($A63="","",SUMIFS('02_NHAT_KY'!$G$7:$G$506,'02_NHAT_KY'!$C$7:$C$506,$A63,'02_NHAT_KY'!$A$7:$A$506,"&gt;="&amp;$B$4,'02_NHAT_KY'!$A$7:$A$506,"&lt;="&amp;$E$4))</f>
        <v/>
      </c>
      <c r="G63" s="232">
        <f>IF($A63="","",SUMIFS('02_NHAT_KY'!$H$7:$H$506,'02_NHAT_KY'!$C$7:$C$506,$A63,'02_NHAT_KY'!$A$7:$A$506,"&gt;="&amp;$B$4,'02_NHAT_KY'!$A$7:$A$506,"&lt;="&amp;$E$4))</f>
        <v/>
      </c>
      <c r="H63" s="232">
        <f>IF($A63="","",$E63+$F63-$G63)</f>
        <v/>
      </c>
      <c r="I63" s="233">
        <f>IF($A63="","",IF($H63&lt;=0,0,MAX(IF(AND('01_DANH_MUC'!$H53&gt;0,'01_DANH_MUC'!$G53&lt;&gt;""),MAX(0,$E$4-'01_DANH_MUC'!$G53),0),IFERROR(MAXIFS('02_NHAT_KY'!$L$7:$L$506,'02_NHAT_KY'!$C$7:$C$506,$A63),0))))</f>
        <v/>
      </c>
      <c r="J63" s="201">
        <f>IF($A63="","",IF($H63&lt;=0,"Không có dư nợ",IF($I63&gt;0,"Quá hạn","Trong hạn")))</f>
        <v/>
      </c>
      <c r="K63" s="232">
        <f>IF($A63="","",IF(AND('01_DANH_MUC'!$H53&gt;0,OR('01_DANH_MUC'!$G53="",'01_DANH_MUC'!$G53&gt;=$E$4)),'01_DANH_MUC'!$H53,0)+SUMIFS('02_NHAT_KY'!$K$7:$K$506,'02_NHAT_KY'!$C$7:$C$506,$A63,'02_NHAT_KY'!$J$7:$J$506,"&gt;="&amp;$E$4)+SUMIFS('02_NHAT_KY'!$K$7:$K$506,'02_NHAT_KY'!$C$7:$C$506,$A63,'02_NHAT_KY'!$J$7:$J$506,""))</f>
        <v/>
      </c>
      <c r="L63" s="232">
        <f>IF($A63="","",IF(AND('01_DANH_MUC'!$H53&gt;0,'01_DANH_MUC'!$G53&lt;$E$4,$E$4-'01_DANH_MUC'!$G53&lt;=30),'01_DANH_MUC'!$H53,0)+SUMIFS('02_NHAT_KY'!$K$7:$K$506,'02_NHAT_KY'!$C$7:$C$506,$A63,'02_NHAT_KY'!$L$7:$L$506,"&gt;=1",'02_NHAT_KY'!$L$7:$L$506,"&lt;=30"))</f>
        <v/>
      </c>
      <c r="M63" s="232">
        <f>IF($A63="","",IF(AND('01_DANH_MUC'!$H53&gt;0,'01_DANH_MUC'!$G53&lt;$E$4,$E$4-'01_DANH_MUC'!$G53&gt;=31,$E$4-'01_DANH_MUC'!$G53&lt;=60),'01_DANH_MUC'!$H53,0)+SUMIFS('02_NHAT_KY'!$K$7:$K$506,'02_NHAT_KY'!$C$7:$C$506,$A63,'02_NHAT_KY'!$L$7:$L$506,"&gt;=31",'02_NHAT_KY'!$L$7:$L$506,"&lt;=60"))</f>
        <v/>
      </c>
      <c r="N63" s="232">
        <f>IF($A63="","",IF(AND('01_DANH_MUC'!$H53&gt;0,'01_DANH_MUC'!$G53&lt;$E$4,$E$4-'01_DANH_MUC'!$G53&gt;=61,$E$4-'01_DANH_MUC'!$G53&lt;=90),'01_DANH_MUC'!$H53,0)+SUMIFS('02_NHAT_KY'!$K$7:$K$506,'02_NHAT_KY'!$C$7:$C$506,$A63,'02_NHAT_KY'!$L$7:$L$506,"&gt;=61",'02_NHAT_KY'!$L$7:$L$506,"&lt;=90"))</f>
        <v/>
      </c>
      <c r="O63" s="232">
        <f>IF($A63="","",IF(AND('01_DANH_MUC'!$H53&gt;0,'01_DANH_MUC'!$G53&lt;$E$4,$E$4-'01_DANH_MUC'!$G53&gt;90),'01_DANH_MUC'!$H53,0)+SUMIFS('02_NHAT_KY'!$K$7:$K$506,'02_NHAT_KY'!$C$7:$C$506,$A63,'02_NHAT_KY'!$L$7:$L$506,"&gt;90"))</f>
        <v/>
      </c>
      <c r="P63" s="201">
        <f>IF($A63="","",IF($H63&lt;0,"DƯ ÂM/TRẢ TRƯỚC",IF(ABS($H63-SUM($K63:$O63))&lt;1,"OK","LỆCH TUỔI NỢ")))</f>
        <v/>
      </c>
    </row>
    <row r="64">
      <c r="A64" s="201">
        <f>IF('01_DANH_MUC'!$A54="","",'01_DANH_MUC'!$A54)</f>
        <v/>
      </c>
      <c r="B64" s="198">
        <f>IF($A64="","",'01_DANH_MUC'!$B54)</f>
        <v/>
      </c>
      <c r="C64" s="201">
        <f>IF($A64="","",'01_DANH_MUC'!$C54)</f>
        <v/>
      </c>
      <c r="D64" s="231">
        <f>IF($A64="","",'01_DANH_MUC'!$D54)</f>
        <v/>
      </c>
      <c r="E64" s="232">
        <f>IF($A64="","",'01_DANH_MUC'!$F54+SUMIFS('02_NHAT_KY'!$G$7:$G$506,'02_NHAT_KY'!$C$7:$C$506,$A64,'02_NHAT_KY'!$A$7:$A$506,"&lt;"&amp;$B$4)-SUMIFS('02_NHAT_KY'!$H$7:$H$506,'02_NHAT_KY'!$C$7:$C$506,$A64,'02_NHAT_KY'!$A$7:$A$506,"&lt;"&amp;$B$4))</f>
        <v/>
      </c>
      <c r="F64" s="232">
        <f>IF($A64="","",SUMIFS('02_NHAT_KY'!$G$7:$G$506,'02_NHAT_KY'!$C$7:$C$506,$A64,'02_NHAT_KY'!$A$7:$A$506,"&gt;="&amp;$B$4,'02_NHAT_KY'!$A$7:$A$506,"&lt;="&amp;$E$4))</f>
        <v/>
      </c>
      <c r="G64" s="232">
        <f>IF($A64="","",SUMIFS('02_NHAT_KY'!$H$7:$H$506,'02_NHAT_KY'!$C$7:$C$506,$A64,'02_NHAT_KY'!$A$7:$A$506,"&gt;="&amp;$B$4,'02_NHAT_KY'!$A$7:$A$506,"&lt;="&amp;$E$4))</f>
        <v/>
      </c>
      <c r="H64" s="232">
        <f>IF($A64="","",$E64+$F64-$G64)</f>
        <v/>
      </c>
      <c r="I64" s="233">
        <f>IF($A64="","",IF($H64&lt;=0,0,MAX(IF(AND('01_DANH_MUC'!$H54&gt;0,'01_DANH_MUC'!$G54&lt;&gt;""),MAX(0,$E$4-'01_DANH_MUC'!$G54),0),IFERROR(MAXIFS('02_NHAT_KY'!$L$7:$L$506,'02_NHAT_KY'!$C$7:$C$506,$A64),0))))</f>
        <v/>
      </c>
      <c r="J64" s="201">
        <f>IF($A64="","",IF($H64&lt;=0,"Không có dư nợ",IF($I64&gt;0,"Quá hạn","Trong hạn")))</f>
        <v/>
      </c>
      <c r="K64" s="232">
        <f>IF($A64="","",IF(AND('01_DANH_MUC'!$H54&gt;0,OR('01_DANH_MUC'!$G54="",'01_DANH_MUC'!$G54&gt;=$E$4)),'01_DANH_MUC'!$H54,0)+SUMIFS('02_NHAT_KY'!$K$7:$K$506,'02_NHAT_KY'!$C$7:$C$506,$A64,'02_NHAT_KY'!$J$7:$J$506,"&gt;="&amp;$E$4)+SUMIFS('02_NHAT_KY'!$K$7:$K$506,'02_NHAT_KY'!$C$7:$C$506,$A64,'02_NHAT_KY'!$J$7:$J$506,""))</f>
        <v/>
      </c>
      <c r="L64" s="232">
        <f>IF($A64="","",IF(AND('01_DANH_MUC'!$H54&gt;0,'01_DANH_MUC'!$G54&lt;$E$4,$E$4-'01_DANH_MUC'!$G54&lt;=30),'01_DANH_MUC'!$H54,0)+SUMIFS('02_NHAT_KY'!$K$7:$K$506,'02_NHAT_KY'!$C$7:$C$506,$A64,'02_NHAT_KY'!$L$7:$L$506,"&gt;=1",'02_NHAT_KY'!$L$7:$L$506,"&lt;=30"))</f>
        <v/>
      </c>
      <c r="M64" s="232">
        <f>IF($A64="","",IF(AND('01_DANH_MUC'!$H54&gt;0,'01_DANH_MUC'!$G54&lt;$E$4,$E$4-'01_DANH_MUC'!$G54&gt;=31,$E$4-'01_DANH_MUC'!$G54&lt;=60),'01_DANH_MUC'!$H54,0)+SUMIFS('02_NHAT_KY'!$K$7:$K$506,'02_NHAT_KY'!$C$7:$C$506,$A64,'02_NHAT_KY'!$L$7:$L$506,"&gt;=31",'02_NHAT_KY'!$L$7:$L$506,"&lt;=60"))</f>
        <v/>
      </c>
      <c r="N64" s="232">
        <f>IF($A64="","",IF(AND('01_DANH_MUC'!$H54&gt;0,'01_DANH_MUC'!$G54&lt;$E$4,$E$4-'01_DANH_MUC'!$G54&gt;=61,$E$4-'01_DANH_MUC'!$G54&lt;=90),'01_DANH_MUC'!$H54,0)+SUMIFS('02_NHAT_KY'!$K$7:$K$506,'02_NHAT_KY'!$C$7:$C$506,$A64,'02_NHAT_KY'!$L$7:$L$506,"&gt;=61",'02_NHAT_KY'!$L$7:$L$506,"&lt;=90"))</f>
        <v/>
      </c>
      <c r="O64" s="232">
        <f>IF($A64="","",IF(AND('01_DANH_MUC'!$H54&gt;0,'01_DANH_MUC'!$G54&lt;$E$4,$E$4-'01_DANH_MUC'!$G54&gt;90),'01_DANH_MUC'!$H54,0)+SUMIFS('02_NHAT_KY'!$K$7:$K$506,'02_NHAT_KY'!$C$7:$C$506,$A64,'02_NHAT_KY'!$L$7:$L$506,"&gt;90"))</f>
        <v/>
      </c>
      <c r="P64" s="201">
        <f>IF($A64="","",IF($H64&lt;0,"DƯ ÂM/TRẢ TRƯỚC",IF(ABS($H64-SUM($K64:$O64))&lt;1,"OK","LỆCH TUỔI NỢ")))</f>
        <v/>
      </c>
    </row>
    <row r="65">
      <c r="A65" s="201">
        <f>IF('01_DANH_MUC'!$A55="","",'01_DANH_MUC'!$A55)</f>
        <v/>
      </c>
      <c r="B65" s="198">
        <f>IF($A65="","",'01_DANH_MUC'!$B55)</f>
        <v/>
      </c>
      <c r="C65" s="201">
        <f>IF($A65="","",'01_DANH_MUC'!$C55)</f>
        <v/>
      </c>
      <c r="D65" s="231">
        <f>IF($A65="","",'01_DANH_MUC'!$D55)</f>
        <v/>
      </c>
      <c r="E65" s="232">
        <f>IF($A65="","",'01_DANH_MUC'!$F55+SUMIFS('02_NHAT_KY'!$G$7:$G$506,'02_NHAT_KY'!$C$7:$C$506,$A65,'02_NHAT_KY'!$A$7:$A$506,"&lt;"&amp;$B$4)-SUMIFS('02_NHAT_KY'!$H$7:$H$506,'02_NHAT_KY'!$C$7:$C$506,$A65,'02_NHAT_KY'!$A$7:$A$506,"&lt;"&amp;$B$4))</f>
        <v/>
      </c>
      <c r="F65" s="232">
        <f>IF($A65="","",SUMIFS('02_NHAT_KY'!$G$7:$G$506,'02_NHAT_KY'!$C$7:$C$506,$A65,'02_NHAT_KY'!$A$7:$A$506,"&gt;="&amp;$B$4,'02_NHAT_KY'!$A$7:$A$506,"&lt;="&amp;$E$4))</f>
        <v/>
      </c>
      <c r="G65" s="232">
        <f>IF($A65="","",SUMIFS('02_NHAT_KY'!$H$7:$H$506,'02_NHAT_KY'!$C$7:$C$506,$A65,'02_NHAT_KY'!$A$7:$A$506,"&gt;="&amp;$B$4,'02_NHAT_KY'!$A$7:$A$506,"&lt;="&amp;$E$4))</f>
        <v/>
      </c>
      <c r="H65" s="232">
        <f>IF($A65="","",$E65+$F65-$G65)</f>
        <v/>
      </c>
      <c r="I65" s="233">
        <f>IF($A65="","",IF($H65&lt;=0,0,MAX(IF(AND('01_DANH_MUC'!$H55&gt;0,'01_DANH_MUC'!$G55&lt;&gt;""),MAX(0,$E$4-'01_DANH_MUC'!$G55),0),IFERROR(MAXIFS('02_NHAT_KY'!$L$7:$L$506,'02_NHAT_KY'!$C$7:$C$506,$A65),0))))</f>
        <v/>
      </c>
      <c r="J65" s="201">
        <f>IF($A65="","",IF($H65&lt;=0,"Không có dư nợ",IF($I65&gt;0,"Quá hạn","Trong hạn")))</f>
        <v/>
      </c>
      <c r="K65" s="232">
        <f>IF($A65="","",IF(AND('01_DANH_MUC'!$H55&gt;0,OR('01_DANH_MUC'!$G55="",'01_DANH_MUC'!$G55&gt;=$E$4)),'01_DANH_MUC'!$H55,0)+SUMIFS('02_NHAT_KY'!$K$7:$K$506,'02_NHAT_KY'!$C$7:$C$506,$A65,'02_NHAT_KY'!$J$7:$J$506,"&gt;="&amp;$E$4)+SUMIFS('02_NHAT_KY'!$K$7:$K$506,'02_NHAT_KY'!$C$7:$C$506,$A65,'02_NHAT_KY'!$J$7:$J$506,""))</f>
        <v/>
      </c>
      <c r="L65" s="232">
        <f>IF($A65="","",IF(AND('01_DANH_MUC'!$H55&gt;0,'01_DANH_MUC'!$G55&lt;$E$4,$E$4-'01_DANH_MUC'!$G55&lt;=30),'01_DANH_MUC'!$H55,0)+SUMIFS('02_NHAT_KY'!$K$7:$K$506,'02_NHAT_KY'!$C$7:$C$506,$A65,'02_NHAT_KY'!$L$7:$L$506,"&gt;=1",'02_NHAT_KY'!$L$7:$L$506,"&lt;=30"))</f>
        <v/>
      </c>
      <c r="M65" s="232">
        <f>IF($A65="","",IF(AND('01_DANH_MUC'!$H55&gt;0,'01_DANH_MUC'!$G55&lt;$E$4,$E$4-'01_DANH_MUC'!$G55&gt;=31,$E$4-'01_DANH_MUC'!$G55&lt;=60),'01_DANH_MUC'!$H55,0)+SUMIFS('02_NHAT_KY'!$K$7:$K$506,'02_NHAT_KY'!$C$7:$C$506,$A65,'02_NHAT_KY'!$L$7:$L$506,"&gt;=31",'02_NHAT_KY'!$L$7:$L$506,"&lt;=60"))</f>
        <v/>
      </c>
      <c r="N65" s="232">
        <f>IF($A65="","",IF(AND('01_DANH_MUC'!$H55&gt;0,'01_DANH_MUC'!$G55&lt;$E$4,$E$4-'01_DANH_MUC'!$G55&gt;=61,$E$4-'01_DANH_MUC'!$G55&lt;=90),'01_DANH_MUC'!$H55,0)+SUMIFS('02_NHAT_KY'!$K$7:$K$506,'02_NHAT_KY'!$C$7:$C$506,$A65,'02_NHAT_KY'!$L$7:$L$506,"&gt;=61",'02_NHAT_KY'!$L$7:$L$506,"&lt;=90"))</f>
        <v/>
      </c>
      <c r="O65" s="232">
        <f>IF($A65="","",IF(AND('01_DANH_MUC'!$H55&gt;0,'01_DANH_MUC'!$G55&lt;$E$4,$E$4-'01_DANH_MUC'!$G55&gt;90),'01_DANH_MUC'!$H55,0)+SUMIFS('02_NHAT_KY'!$K$7:$K$506,'02_NHAT_KY'!$C$7:$C$506,$A65,'02_NHAT_KY'!$L$7:$L$506,"&gt;90"))</f>
        <v/>
      </c>
      <c r="P65" s="201">
        <f>IF($A65="","",IF($H65&lt;0,"DƯ ÂM/TRẢ TRƯỚC",IF(ABS($H65-SUM($K65:$O65))&lt;1,"OK","LỆCH TUỔI NỢ")))</f>
        <v/>
      </c>
    </row>
    <row r="66">
      <c r="A66" s="201">
        <f>IF('01_DANH_MUC'!$A56="","",'01_DANH_MUC'!$A56)</f>
        <v/>
      </c>
      <c r="B66" s="198">
        <f>IF($A66="","",'01_DANH_MUC'!$B56)</f>
        <v/>
      </c>
      <c r="C66" s="201">
        <f>IF($A66="","",'01_DANH_MUC'!$C56)</f>
        <v/>
      </c>
      <c r="D66" s="231">
        <f>IF($A66="","",'01_DANH_MUC'!$D56)</f>
        <v/>
      </c>
      <c r="E66" s="232">
        <f>IF($A66="","",'01_DANH_MUC'!$F56+SUMIFS('02_NHAT_KY'!$G$7:$G$506,'02_NHAT_KY'!$C$7:$C$506,$A66,'02_NHAT_KY'!$A$7:$A$506,"&lt;"&amp;$B$4)-SUMIFS('02_NHAT_KY'!$H$7:$H$506,'02_NHAT_KY'!$C$7:$C$506,$A66,'02_NHAT_KY'!$A$7:$A$506,"&lt;"&amp;$B$4))</f>
        <v/>
      </c>
      <c r="F66" s="232">
        <f>IF($A66="","",SUMIFS('02_NHAT_KY'!$G$7:$G$506,'02_NHAT_KY'!$C$7:$C$506,$A66,'02_NHAT_KY'!$A$7:$A$506,"&gt;="&amp;$B$4,'02_NHAT_KY'!$A$7:$A$506,"&lt;="&amp;$E$4))</f>
        <v/>
      </c>
      <c r="G66" s="232">
        <f>IF($A66="","",SUMIFS('02_NHAT_KY'!$H$7:$H$506,'02_NHAT_KY'!$C$7:$C$506,$A66,'02_NHAT_KY'!$A$7:$A$506,"&gt;="&amp;$B$4,'02_NHAT_KY'!$A$7:$A$506,"&lt;="&amp;$E$4))</f>
        <v/>
      </c>
      <c r="H66" s="232">
        <f>IF($A66="","",$E66+$F66-$G66)</f>
        <v/>
      </c>
      <c r="I66" s="233">
        <f>IF($A66="","",IF($H66&lt;=0,0,MAX(IF(AND('01_DANH_MUC'!$H56&gt;0,'01_DANH_MUC'!$G56&lt;&gt;""),MAX(0,$E$4-'01_DANH_MUC'!$G56),0),IFERROR(MAXIFS('02_NHAT_KY'!$L$7:$L$506,'02_NHAT_KY'!$C$7:$C$506,$A66),0))))</f>
        <v/>
      </c>
      <c r="J66" s="201">
        <f>IF($A66="","",IF($H66&lt;=0,"Không có dư nợ",IF($I66&gt;0,"Quá hạn","Trong hạn")))</f>
        <v/>
      </c>
      <c r="K66" s="232">
        <f>IF($A66="","",IF(AND('01_DANH_MUC'!$H56&gt;0,OR('01_DANH_MUC'!$G56="",'01_DANH_MUC'!$G56&gt;=$E$4)),'01_DANH_MUC'!$H56,0)+SUMIFS('02_NHAT_KY'!$K$7:$K$506,'02_NHAT_KY'!$C$7:$C$506,$A66,'02_NHAT_KY'!$J$7:$J$506,"&gt;="&amp;$E$4)+SUMIFS('02_NHAT_KY'!$K$7:$K$506,'02_NHAT_KY'!$C$7:$C$506,$A66,'02_NHAT_KY'!$J$7:$J$506,""))</f>
        <v/>
      </c>
      <c r="L66" s="232">
        <f>IF($A66="","",IF(AND('01_DANH_MUC'!$H56&gt;0,'01_DANH_MUC'!$G56&lt;$E$4,$E$4-'01_DANH_MUC'!$G56&lt;=30),'01_DANH_MUC'!$H56,0)+SUMIFS('02_NHAT_KY'!$K$7:$K$506,'02_NHAT_KY'!$C$7:$C$506,$A66,'02_NHAT_KY'!$L$7:$L$506,"&gt;=1",'02_NHAT_KY'!$L$7:$L$506,"&lt;=30"))</f>
        <v/>
      </c>
      <c r="M66" s="232">
        <f>IF($A66="","",IF(AND('01_DANH_MUC'!$H56&gt;0,'01_DANH_MUC'!$G56&lt;$E$4,$E$4-'01_DANH_MUC'!$G56&gt;=31,$E$4-'01_DANH_MUC'!$G56&lt;=60),'01_DANH_MUC'!$H56,0)+SUMIFS('02_NHAT_KY'!$K$7:$K$506,'02_NHAT_KY'!$C$7:$C$506,$A66,'02_NHAT_KY'!$L$7:$L$506,"&gt;=31",'02_NHAT_KY'!$L$7:$L$506,"&lt;=60"))</f>
        <v/>
      </c>
      <c r="N66" s="232">
        <f>IF($A66="","",IF(AND('01_DANH_MUC'!$H56&gt;0,'01_DANH_MUC'!$G56&lt;$E$4,$E$4-'01_DANH_MUC'!$G56&gt;=61,$E$4-'01_DANH_MUC'!$G56&lt;=90),'01_DANH_MUC'!$H56,0)+SUMIFS('02_NHAT_KY'!$K$7:$K$506,'02_NHAT_KY'!$C$7:$C$506,$A66,'02_NHAT_KY'!$L$7:$L$506,"&gt;=61",'02_NHAT_KY'!$L$7:$L$506,"&lt;=90"))</f>
        <v/>
      </c>
      <c r="O66" s="232">
        <f>IF($A66="","",IF(AND('01_DANH_MUC'!$H56&gt;0,'01_DANH_MUC'!$G56&lt;$E$4,$E$4-'01_DANH_MUC'!$G56&gt;90),'01_DANH_MUC'!$H56,0)+SUMIFS('02_NHAT_KY'!$K$7:$K$506,'02_NHAT_KY'!$C$7:$C$506,$A66,'02_NHAT_KY'!$L$7:$L$506,"&gt;90"))</f>
        <v/>
      </c>
      <c r="P66" s="201">
        <f>IF($A66="","",IF($H66&lt;0,"DƯ ÂM/TRẢ TRƯỚC",IF(ABS($H66-SUM($K66:$O66))&lt;1,"OK","LỆCH TUỔI NỢ")))</f>
        <v/>
      </c>
    </row>
    <row r="67">
      <c r="A67" s="201">
        <f>IF('01_DANH_MUC'!$A57="","",'01_DANH_MUC'!$A57)</f>
        <v/>
      </c>
      <c r="B67" s="198">
        <f>IF($A67="","",'01_DANH_MUC'!$B57)</f>
        <v/>
      </c>
      <c r="C67" s="201">
        <f>IF($A67="","",'01_DANH_MUC'!$C57)</f>
        <v/>
      </c>
      <c r="D67" s="231">
        <f>IF($A67="","",'01_DANH_MUC'!$D57)</f>
        <v/>
      </c>
      <c r="E67" s="232">
        <f>IF($A67="","",'01_DANH_MUC'!$F57+SUMIFS('02_NHAT_KY'!$G$7:$G$506,'02_NHAT_KY'!$C$7:$C$506,$A67,'02_NHAT_KY'!$A$7:$A$506,"&lt;"&amp;$B$4)-SUMIFS('02_NHAT_KY'!$H$7:$H$506,'02_NHAT_KY'!$C$7:$C$506,$A67,'02_NHAT_KY'!$A$7:$A$506,"&lt;"&amp;$B$4))</f>
        <v/>
      </c>
      <c r="F67" s="232">
        <f>IF($A67="","",SUMIFS('02_NHAT_KY'!$G$7:$G$506,'02_NHAT_KY'!$C$7:$C$506,$A67,'02_NHAT_KY'!$A$7:$A$506,"&gt;="&amp;$B$4,'02_NHAT_KY'!$A$7:$A$506,"&lt;="&amp;$E$4))</f>
        <v/>
      </c>
      <c r="G67" s="232">
        <f>IF($A67="","",SUMIFS('02_NHAT_KY'!$H$7:$H$506,'02_NHAT_KY'!$C$7:$C$506,$A67,'02_NHAT_KY'!$A$7:$A$506,"&gt;="&amp;$B$4,'02_NHAT_KY'!$A$7:$A$506,"&lt;="&amp;$E$4))</f>
        <v/>
      </c>
      <c r="H67" s="232">
        <f>IF($A67="","",$E67+$F67-$G67)</f>
        <v/>
      </c>
      <c r="I67" s="233">
        <f>IF($A67="","",IF($H67&lt;=0,0,MAX(IF(AND('01_DANH_MUC'!$H57&gt;0,'01_DANH_MUC'!$G57&lt;&gt;""),MAX(0,$E$4-'01_DANH_MUC'!$G57),0),IFERROR(MAXIFS('02_NHAT_KY'!$L$7:$L$506,'02_NHAT_KY'!$C$7:$C$506,$A67),0))))</f>
        <v/>
      </c>
      <c r="J67" s="201">
        <f>IF($A67="","",IF($H67&lt;=0,"Không có dư nợ",IF($I67&gt;0,"Quá hạn","Trong hạn")))</f>
        <v/>
      </c>
      <c r="K67" s="232">
        <f>IF($A67="","",IF(AND('01_DANH_MUC'!$H57&gt;0,OR('01_DANH_MUC'!$G57="",'01_DANH_MUC'!$G57&gt;=$E$4)),'01_DANH_MUC'!$H57,0)+SUMIFS('02_NHAT_KY'!$K$7:$K$506,'02_NHAT_KY'!$C$7:$C$506,$A67,'02_NHAT_KY'!$J$7:$J$506,"&gt;="&amp;$E$4)+SUMIFS('02_NHAT_KY'!$K$7:$K$506,'02_NHAT_KY'!$C$7:$C$506,$A67,'02_NHAT_KY'!$J$7:$J$506,""))</f>
        <v/>
      </c>
      <c r="L67" s="232">
        <f>IF($A67="","",IF(AND('01_DANH_MUC'!$H57&gt;0,'01_DANH_MUC'!$G57&lt;$E$4,$E$4-'01_DANH_MUC'!$G57&lt;=30),'01_DANH_MUC'!$H57,0)+SUMIFS('02_NHAT_KY'!$K$7:$K$506,'02_NHAT_KY'!$C$7:$C$506,$A67,'02_NHAT_KY'!$L$7:$L$506,"&gt;=1",'02_NHAT_KY'!$L$7:$L$506,"&lt;=30"))</f>
        <v/>
      </c>
      <c r="M67" s="232">
        <f>IF($A67="","",IF(AND('01_DANH_MUC'!$H57&gt;0,'01_DANH_MUC'!$G57&lt;$E$4,$E$4-'01_DANH_MUC'!$G57&gt;=31,$E$4-'01_DANH_MUC'!$G57&lt;=60),'01_DANH_MUC'!$H57,0)+SUMIFS('02_NHAT_KY'!$K$7:$K$506,'02_NHAT_KY'!$C$7:$C$506,$A67,'02_NHAT_KY'!$L$7:$L$506,"&gt;=31",'02_NHAT_KY'!$L$7:$L$506,"&lt;=60"))</f>
        <v/>
      </c>
      <c r="N67" s="232">
        <f>IF($A67="","",IF(AND('01_DANH_MUC'!$H57&gt;0,'01_DANH_MUC'!$G57&lt;$E$4,$E$4-'01_DANH_MUC'!$G57&gt;=61,$E$4-'01_DANH_MUC'!$G57&lt;=90),'01_DANH_MUC'!$H57,0)+SUMIFS('02_NHAT_KY'!$K$7:$K$506,'02_NHAT_KY'!$C$7:$C$506,$A67,'02_NHAT_KY'!$L$7:$L$506,"&gt;=61",'02_NHAT_KY'!$L$7:$L$506,"&lt;=90"))</f>
        <v/>
      </c>
      <c r="O67" s="232">
        <f>IF($A67="","",IF(AND('01_DANH_MUC'!$H57&gt;0,'01_DANH_MUC'!$G57&lt;$E$4,$E$4-'01_DANH_MUC'!$G57&gt;90),'01_DANH_MUC'!$H57,0)+SUMIFS('02_NHAT_KY'!$K$7:$K$506,'02_NHAT_KY'!$C$7:$C$506,$A67,'02_NHAT_KY'!$L$7:$L$506,"&gt;90"))</f>
        <v/>
      </c>
      <c r="P67" s="201">
        <f>IF($A67="","",IF($H67&lt;0,"DƯ ÂM/TRẢ TRƯỚC",IF(ABS($H67-SUM($K67:$O67))&lt;1,"OK","LỆCH TUỔI NỢ")))</f>
        <v/>
      </c>
    </row>
    <row r="68">
      <c r="A68" s="201">
        <f>IF('01_DANH_MUC'!$A58="","",'01_DANH_MUC'!$A58)</f>
        <v/>
      </c>
      <c r="B68" s="198">
        <f>IF($A68="","",'01_DANH_MUC'!$B58)</f>
        <v/>
      </c>
      <c r="C68" s="201">
        <f>IF($A68="","",'01_DANH_MUC'!$C58)</f>
        <v/>
      </c>
      <c r="D68" s="231">
        <f>IF($A68="","",'01_DANH_MUC'!$D58)</f>
        <v/>
      </c>
      <c r="E68" s="232">
        <f>IF($A68="","",'01_DANH_MUC'!$F58+SUMIFS('02_NHAT_KY'!$G$7:$G$506,'02_NHAT_KY'!$C$7:$C$506,$A68,'02_NHAT_KY'!$A$7:$A$506,"&lt;"&amp;$B$4)-SUMIFS('02_NHAT_KY'!$H$7:$H$506,'02_NHAT_KY'!$C$7:$C$506,$A68,'02_NHAT_KY'!$A$7:$A$506,"&lt;"&amp;$B$4))</f>
        <v/>
      </c>
      <c r="F68" s="232">
        <f>IF($A68="","",SUMIFS('02_NHAT_KY'!$G$7:$G$506,'02_NHAT_KY'!$C$7:$C$506,$A68,'02_NHAT_KY'!$A$7:$A$506,"&gt;="&amp;$B$4,'02_NHAT_KY'!$A$7:$A$506,"&lt;="&amp;$E$4))</f>
        <v/>
      </c>
      <c r="G68" s="232">
        <f>IF($A68="","",SUMIFS('02_NHAT_KY'!$H$7:$H$506,'02_NHAT_KY'!$C$7:$C$506,$A68,'02_NHAT_KY'!$A$7:$A$506,"&gt;="&amp;$B$4,'02_NHAT_KY'!$A$7:$A$506,"&lt;="&amp;$E$4))</f>
        <v/>
      </c>
      <c r="H68" s="232">
        <f>IF($A68="","",$E68+$F68-$G68)</f>
        <v/>
      </c>
      <c r="I68" s="233">
        <f>IF($A68="","",IF($H68&lt;=0,0,MAX(IF(AND('01_DANH_MUC'!$H58&gt;0,'01_DANH_MUC'!$G58&lt;&gt;""),MAX(0,$E$4-'01_DANH_MUC'!$G58),0),IFERROR(MAXIFS('02_NHAT_KY'!$L$7:$L$506,'02_NHAT_KY'!$C$7:$C$506,$A68),0))))</f>
        <v/>
      </c>
      <c r="J68" s="201">
        <f>IF($A68="","",IF($H68&lt;=0,"Không có dư nợ",IF($I68&gt;0,"Quá hạn","Trong hạn")))</f>
        <v/>
      </c>
      <c r="K68" s="232">
        <f>IF($A68="","",IF(AND('01_DANH_MUC'!$H58&gt;0,OR('01_DANH_MUC'!$G58="",'01_DANH_MUC'!$G58&gt;=$E$4)),'01_DANH_MUC'!$H58,0)+SUMIFS('02_NHAT_KY'!$K$7:$K$506,'02_NHAT_KY'!$C$7:$C$506,$A68,'02_NHAT_KY'!$J$7:$J$506,"&gt;="&amp;$E$4)+SUMIFS('02_NHAT_KY'!$K$7:$K$506,'02_NHAT_KY'!$C$7:$C$506,$A68,'02_NHAT_KY'!$J$7:$J$506,""))</f>
        <v/>
      </c>
      <c r="L68" s="232">
        <f>IF($A68="","",IF(AND('01_DANH_MUC'!$H58&gt;0,'01_DANH_MUC'!$G58&lt;$E$4,$E$4-'01_DANH_MUC'!$G58&lt;=30),'01_DANH_MUC'!$H58,0)+SUMIFS('02_NHAT_KY'!$K$7:$K$506,'02_NHAT_KY'!$C$7:$C$506,$A68,'02_NHAT_KY'!$L$7:$L$506,"&gt;=1",'02_NHAT_KY'!$L$7:$L$506,"&lt;=30"))</f>
        <v/>
      </c>
      <c r="M68" s="232">
        <f>IF($A68="","",IF(AND('01_DANH_MUC'!$H58&gt;0,'01_DANH_MUC'!$G58&lt;$E$4,$E$4-'01_DANH_MUC'!$G58&gt;=31,$E$4-'01_DANH_MUC'!$G58&lt;=60),'01_DANH_MUC'!$H58,0)+SUMIFS('02_NHAT_KY'!$K$7:$K$506,'02_NHAT_KY'!$C$7:$C$506,$A68,'02_NHAT_KY'!$L$7:$L$506,"&gt;=31",'02_NHAT_KY'!$L$7:$L$506,"&lt;=60"))</f>
        <v/>
      </c>
      <c r="N68" s="232">
        <f>IF($A68="","",IF(AND('01_DANH_MUC'!$H58&gt;0,'01_DANH_MUC'!$G58&lt;$E$4,$E$4-'01_DANH_MUC'!$G58&gt;=61,$E$4-'01_DANH_MUC'!$G58&lt;=90),'01_DANH_MUC'!$H58,0)+SUMIFS('02_NHAT_KY'!$K$7:$K$506,'02_NHAT_KY'!$C$7:$C$506,$A68,'02_NHAT_KY'!$L$7:$L$506,"&gt;=61",'02_NHAT_KY'!$L$7:$L$506,"&lt;=90"))</f>
        <v/>
      </c>
      <c r="O68" s="232">
        <f>IF($A68="","",IF(AND('01_DANH_MUC'!$H58&gt;0,'01_DANH_MUC'!$G58&lt;$E$4,$E$4-'01_DANH_MUC'!$G58&gt;90),'01_DANH_MUC'!$H58,0)+SUMIFS('02_NHAT_KY'!$K$7:$K$506,'02_NHAT_KY'!$C$7:$C$506,$A68,'02_NHAT_KY'!$L$7:$L$506,"&gt;90"))</f>
        <v/>
      </c>
      <c r="P68" s="201">
        <f>IF($A68="","",IF($H68&lt;0,"DƯ ÂM/TRẢ TRƯỚC",IF(ABS($H68-SUM($K68:$O68))&lt;1,"OK","LỆCH TUỔI NỢ")))</f>
        <v/>
      </c>
    </row>
    <row r="69">
      <c r="A69" s="201">
        <f>IF('01_DANH_MUC'!$A59="","",'01_DANH_MUC'!$A59)</f>
        <v/>
      </c>
      <c r="B69" s="198">
        <f>IF($A69="","",'01_DANH_MUC'!$B59)</f>
        <v/>
      </c>
      <c r="C69" s="201">
        <f>IF($A69="","",'01_DANH_MUC'!$C59)</f>
        <v/>
      </c>
      <c r="D69" s="231">
        <f>IF($A69="","",'01_DANH_MUC'!$D59)</f>
        <v/>
      </c>
      <c r="E69" s="232">
        <f>IF($A69="","",'01_DANH_MUC'!$F59+SUMIFS('02_NHAT_KY'!$G$7:$G$506,'02_NHAT_KY'!$C$7:$C$506,$A69,'02_NHAT_KY'!$A$7:$A$506,"&lt;"&amp;$B$4)-SUMIFS('02_NHAT_KY'!$H$7:$H$506,'02_NHAT_KY'!$C$7:$C$506,$A69,'02_NHAT_KY'!$A$7:$A$506,"&lt;"&amp;$B$4))</f>
        <v/>
      </c>
      <c r="F69" s="232">
        <f>IF($A69="","",SUMIFS('02_NHAT_KY'!$G$7:$G$506,'02_NHAT_KY'!$C$7:$C$506,$A69,'02_NHAT_KY'!$A$7:$A$506,"&gt;="&amp;$B$4,'02_NHAT_KY'!$A$7:$A$506,"&lt;="&amp;$E$4))</f>
        <v/>
      </c>
      <c r="G69" s="232">
        <f>IF($A69="","",SUMIFS('02_NHAT_KY'!$H$7:$H$506,'02_NHAT_KY'!$C$7:$C$506,$A69,'02_NHAT_KY'!$A$7:$A$506,"&gt;="&amp;$B$4,'02_NHAT_KY'!$A$7:$A$506,"&lt;="&amp;$E$4))</f>
        <v/>
      </c>
      <c r="H69" s="232">
        <f>IF($A69="","",$E69+$F69-$G69)</f>
        <v/>
      </c>
      <c r="I69" s="233">
        <f>IF($A69="","",IF($H69&lt;=0,0,MAX(IF(AND('01_DANH_MUC'!$H59&gt;0,'01_DANH_MUC'!$G59&lt;&gt;""),MAX(0,$E$4-'01_DANH_MUC'!$G59),0),IFERROR(MAXIFS('02_NHAT_KY'!$L$7:$L$506,'02_NHAT_KY'!$C$7:$C$506,$A69),0))))</f>
        <v/>
      </c>
      <c r="J69" s="201">
        <f>IF($A69="","",IF($H69&lt;=0,"Không có dư nợ",IF($I69&gt;0,"Quá hạn","Trong hạn")))</f>
        <v/>
      </c>
      <c r="K69" s="232">
        <f>IF($A69="","",IF(AND('01_DANH_MUC'!$H59&gt;0,OR('01_DANH_MUC'!$G59="",'01_DANH_MUC'!$G59&gt;=$E$4)),'01_DANH_MUC'!$H59,0)+SUMIFS('02_NHAT_KY'!$K$7:$K$506,'02_NHAT_KY'!$C$7:$C$506,$A69,'02_NHAT_KY'!$J$7:$J$506,"&gt;="&amp;$E$4)+SUMIFS('02_NHAT_KY'!$K$7:$K$506,'02_NHAT_KY'!$C$7:$C$506,$A69,'02_NHAT_KY'!$J$7:$J$506,""))</f>
        <v/>
      </c>
      <c r="L69" s="232">
        <f>IF($A69="","",IF(AND('01_DANH_MUC'!$H59&gt;0,'01_DANH_MUC'!$G59&lt;$E$4,$E$4-'01_DANH_MUC'!$G59&lt;=30),'01_DANH_MUC'!$H59,0)+SUMIFS('02_NHAT_KY'!$K$7:$K$506,'02_NHAT_KY'!$C$7:$C$506,$A69,'02_NHAT_KY'!$L$7:$L$506,"&gt;=1",'02_NHAT_KY'!$L$7:$L$506,"&lt;=30"))</f>
        <v/>
      </c>
      <c r="M69" s="232">
        <f>IF($A69="","",IF(AND('01_DANH_MUC'!$H59&gt;0,'01_DANH_MUC'!$G59&lt;$E$4,$E$4-'01_DANH_MUC'!$G59&gt;=31,$E$4-'01_DANH_MUC'!$G59&lt;=60),'01_DANH_MUC'!$H59,0)+SUMIFS('02_NHAT_KY'!$K$7:$K$506,'02_NHAT_KY'!$C$7:$C$506,$A69,'02_NHAT_KY'!$L$7:$L$506,"&gt;=31",'02_NHAT_KY'!$L$7:$L$506,"&lt;=60"))</f>
        <v/>
      </c>
      <c r="N69" s="232">
        <f>IF($A69="","",IF(AND('01_DANH_MUC'!$H59&gt;0,'01_DANH_MUC'!$G59&lt;$E$4,$E$4-'01_DANH_MUC'!$G59&gt;=61,$E$4-'01_DANH_MUC'!$G59&lt;=90),'01_DANH_MUC'!$H59,0)+SUMIFS('02_NHAT_KY'!$K$7:$K$506,'02_NHAT_KY'!$C$7:$C$506,$A69,'02_NHAT_KY'!$L$7:$L$506,"&gt;=61",'02_NHAT_KY'!$L$7:$L$506,"&lt;=90"))</f>
        <v/>
      </c>
      <c r="O69" s="232">
        <f>IF($A69="","",IF(AND('01_DANH_MUC'!$H59&gt;0,'01_DANH_MUC'!$G59&lt;$E$4,$E$4-'01_DANH_MUC'!$G59&gt;90),'01_DANH_MUC'!$H59,0)+SUMIFS('02_NHAT_KY'!$K$7:$K$506,'02_NHAT_KY'!$C$7:$C$506,$A69,'02_NHAT_KY'!$L$7:$L$506,"&gt;90"))</f>
        <v/>
      </c>
      <c r="P69" s="201">
        <f>IF($A69="","",IF($H69&lt;0,"DƯ ÂM/TRẢ TRƯỚC",IF(ABS($H69-SUM($K69:$O69))&lt;1,"OK","LỆCH TUỔI NỢ")))</f>
        <v/>
      </c>
    </row>
    <row r="70">
      <c r="A70" s="201">
        <f>IF('01_DANH_MUC'!$A60="","",'01_DANH_MUC'!$A60)</f>
        <v/>
      </c>
      <c r="B70" s="198">
        <f>IF($A70="","",'01_DANH_MUC'!$B60)</f>
        <v/>
      </c>
      <c r="C70" s="201">
        <f>IF($A70="","",'01_DANH_MUC'!$C60)</f>
        <v/>
      </c>
      <c r="D70" s="231">
        <f>IF($A70="","",'01_DANH_MUC'!$D60)</f>
        <v/>
      </c>
      <c r="E70" s="232">
        <f>IF($A70="","",'01_DANH_MUC'!$F60+SUMIFS('02_NHAT_KY'!$G$7:$G$506,'02_NHAT_KY'!$C$7:$C$506,$A70,'02_NHAT_KY'!$A$7:$A$506,"&lt;"&amp;$B$4)-SUMIFS('02_NHAT_KY'!$H$7:$H$506,'02_NHAT_KY'!$C$7:$C$506,$A70,'02_NHAT_KY'!$A$7:$A$506,"&lt;"&amp;$B$4))</f>
        <v/>
      </c>
      <c r="F70" s="232">
        <f>IF($A70="","",SUMIFS('02_NHAT_KY'!$G$7:$G$506,'02_NHAT_KY'!$C$7:$C$506,$A70,'02_NHAT_KY'!$A$7:$A$506,"&gt;="&amp;$B$4,'02_NHAT_KY'!$A$7:$A$506,"&lt;="&amp;$E$4))</f>
        <v/>
      </c>
      <c r="G70" s="232">
        <f>IF($A70="","",SUMIFS('02_NHAT_KY'!$H$7:$H$506,'02_NHAT_KY'!$C$7:$C$506,$A70,'02_NHAT_KY'!$A$7:$A$506,"&gt;="&amp;$B$4,'02_NHAT_KY'!$A$7:$A$506,"&lt;="&amp;$E$4))</f>
        <v/>
      </c>
      <c r="H70" s="232">
        <f>IF($A70="","",$E70+$F70-$G70)</f>
        <v/>
      </c>
      <c r="I70" s="233">
        <f>IF($A70="","",IF($H70&lt;=0,0,MAX(IF(AND('01_DANH_MUC'!$H60&gt;0,'01_DANH_MUC'!$G60&lt;&gt;""),MAX(0,$E$4-'01_DANH_MUC'!$G60),0),IFERROR(MAXIFS('02_NHAT_KY'!$L$7:$L$506,'02_NHAT_KY'!$C$7:$C$506,$A70),0))))</f>
        <v/>
      </c>
      <c r="J70" s="201">
        <f>IF($A70="","",IF($H70&lt;=0,"Không có dư nợ",IF($I70&gt;0,"Quá hạn","Trong hạn")))</f>
        <v/>
      </c>
      <c r="K70" s="232">
        <f>IF($A70="","",IF(AND('01_DANH_MUC'!$H60&gt;0,OR('01_DANH_MUC'!$G60="",'01_DANH_MUC'!$G60&gt;=$E$4)),'01_DANH_MUC'!$H60,0)+SUMIFS('02_NHAT_KY'!$K$7:$K$506,'02_NHAT_KY'!$C$7:$C$506,$A70,'02_NHAT_KY'!$J$7:$J$506,"&gt;="&amp;$E$4)+SUMIFS('02_NHAT_KY'!$K$7:$K$506,'02_NHAT_KY'!$C$7:$C$506,$A70,'02_NHAT_KY'!$J$7:$J$506,""))</f>
        <v/>
      </c>
      <c r="L70" s="232">
        <f>IF($A70="","",IF(AND('01_DANH_MUC'!$H60&gt;0,'01_DANH_MUC'!$G60&lt;$E$4,$E$4-'01_DANH_MUC'!$G60&lt;=30),'01_DANH_MUC'!$H60,0)+SUMIFS('02_NHAT_KY'!$K$7:$K$506,'02_NHAT_KY'!$C$7:$C$506,$A70,'02_NHAT_KY'!$L$7:$L$506,"&gt;=1",'02_NHAT_KY'!$L$7:$L$506,"&lt;=30"))</f>
        <v/>
      </c>
      <c r="M70" s="232">
        <f>IF($A70="","",IF(AND('01_DANH_MUC'!$H60&gt;0,'01_DANH_MUC'!$G60&lt;$E$4,$E$4-'01_DANH_MUC'!$G60&gt;=31,$E$4-'01_DANH_MUC'!$G60&lt;=60),'01_DANH_MUC'!$H60,0)+SUMIFS('02_NHAT_KY'!$K$7:$K$506,'02_NHAT_KY'!$C$7:$C$506,$A70,'02_NHAT_KY'!$L$7:$L$506,"&gt;=31",'02_NHAT_KY'!$L$7:$L$506,"&lt;=60"))</f>
        <v/>
      </c>
      <c r="N70" s="232">
        <f>IF($A70="","",IF(AND('01_DANH_MUC'!$H60&gt;0,'01_DANH_MUC'!$G60&lt;$E$4,$E$4-'01_DANH_MUC'!$G60&gt;=61,$E$4-'01_DANH_MUC'!$G60&lt;=90),'01_DANH_MUC'!$H60,0)+SUMIFS('02_NHAT_KY'!$K$7:$K$506,'02_NHAT_KY'!$C$7:$C$506,$A70,'02_NHAT_KY'!$L$7:$L$506,"&gt;=61",'02_NHAT_KY'!$L$7:$L$506,"&lt;=90"))</f>
        <v/>
      </c>
      <c r="O70" s="232">
        <f>IF($A70="","",IF(AND('01_DANH_MUC'!$H60&gt;0,'01_DANH_MUC'!$G60&lt;$E$4,$E$4-'01_DANH_MUC'!$G60&gt;90),'01_DANH_MUC'!$H60,0)+SUMIFS('02_NHAT_KY'!$K$7:$K$506,'02_NHAT_KY'!$C$7:$C$506,$A70,'02_NHAT_KY'!$L$7:$L$506,"&gt;90"))</f>
        <v/>
      </c>
      <c r="P70" s="201">
        <f>IF($A70="","",IF($H70&lt;0,"DƯ ÂM/TRẢ TRƯỚC",IF(ABS($H70-SUM($K70:$O70))&lt;1,"OK","LỆCH TUỔI NỢ")))</f>
        <v/>
      </c>
    </row>
    <row r="71">
      <c r="A71" s="201">
        <f>IF('01_DANH_MUC'!$A61="","",'01_DANH_MUC'!$A61)</f>
        <v/>
      </c>
      <c r="B71" s="198">
        <f>IF($A71="","",'01_DANH_MUC'!$B61)</f>
        <v/>
      </c>
      <c r="C71" s="201">
        <f>IF($A71="","",'01_DANH_MUC'!$C61)</f>
        <v/>
      </c>
      <c r="D71" s="231">
        <f>IF($A71="","",'01_DANH_MUC'!$D61)</f>
        <v/>
      </c>
      <c r="E71" s="232">
        <f>IF($A71="","",'01_DANH_MUC'!$F61+SUMIFS('02_NHAT_KY'!$G$7:$G$506,'02_NHAT_KY'!$C$7:$C$506,$A71,'02_NHAT_KY'!$A$7:$A$506,"&lt;"&amp;$B$4)-SUMIFS('02_NHAT_KY'!$H$7:$H$506,'02_NHAT_KY'!$C$7:$C$506,$A71,'02_NHAT_KY'!$A$7:$A$506,"&lt;"&amp;$B$4))</f>
        <v/>
      </c>
      <c r="F71" s="232">
        <f>IF($A71="","",SUMIFS('02_NHAT_KY'!$G$7:$G$506,'02_NHAT_KY'!$C$7:$C$506,$A71,'02_NHAT_KY'!$A$7:$A$506,"&gt;="&amp;$B$4,'02_NHAT_KY'!$A$7:$A$506,"&lt;="&amp;$E$4))</f>
        <v/>
      </c>
      <c r="G71" s="232">
        <f>IF($A71="","",SUMIFS('02_NHAT_KY'!$H$7:$H$506,'02_NHAT_KY'!$C$7:$C$506,$A71,'02_NHAT_KY'!$A$7:$A$506,"&gt;="&amp;$B$4,'02_NHAT_KY'!$A$7:$A$506,"&lt;="&amp;$E$4))</f>
        <v/>
      </c>
      <c r="H71" s="232">
        <f>IF($A71="","",$E71+$F71-$G71)</f>
        <v/>
      </c>
      <c r="I71" s="233">
        <f>IF($A71="","",IF($H71&lt;=0,0,MAX(IF(AND('01_DANH_MUC'!$H61&gt;0,'01_DANH_MUC'!$G61&lt;&gt;""),MAX(0,$E$4-'01_DANH_MUC'!$G61),0),IFERROR(MAXIFS('02_NHAT_KY'!$L$7:$L$506,'02_NHAT_KY'!$C$7:$C$506,$A71),0))))</f>
        <v/>
      </c>
      <c r="J71" s="201">
        <f>IF($A71="","",IF($H71&lt;=0,"Không có dư nợ",IF($I71&gt;0,"Quá hạn","Trong hạn")))</f>
        <v/>
      </c>
      <c r="K71" s="232">
        <f>IF($A71="","",IF(AND('01_DANH_MUC'!$H61&gt;0,OR('01_DANH_MUC'!$G61="",'01_DANH_MUC'!$G61&gt;=$E$4)),'01_DANH_MUC'!$H61,0)+SUMIFS('02_NHAT_KY'!$K$7:$K$506,'02_NHAT_KY'!$C$7:$C$506,$A71,'02_NHAT_KY'!$J$7:$J$506,"&gt;="&amp;$E$4)+SUMIFS('02_NHAT_KY'!$K$7:$K$506,'02_NHAT_KY'!$C$7:$C$506,$A71,'02_NHAT_KY'!$J$7:$J$506,""))</f>
        <v/>
      </c>
      <c r="L71" s="232">
        <f>IF($A71="","",IF(AND('01_DANH_MUC'!$H61&gt;0,'01_DANH_MUC'!$G61&lt;$E$4,$E$4-'01_DANH_MUC'!$G61&lt;=30),'01_DANH_MUC'!$H61,0)+SUMIFS('02_NHAT_KY'!$K$7:$K$506,'02_NHAT_KY'!$C$7:$C$506,$A71,'02_NHAT_KY'!$L$7:$L$506,"&gt;=1",'02_NHAT_KY'!$L$7:$L$506,"&lt;=30"))</f>
        <v/>
      </c>
      <c r="M71" s="232">
        <f>IF($A71="","",IF(AND('01_DANH_MUC'!$H61&gt;0,'01_DANH_MUC'!$G61&lt;$E$4,$E$4-'01_DANH_MUC'!$G61&gt;=31,$E$4-'01_DANH_MUC'!$G61&lt;=60),'01_DANH_MUC'!$H61,0)+SUMIFS('02_NHAT_KY'!$K$7:$K$506,'02_NHAT_KY'!$C$7:$C$506,$A71,'02_NHAT_KY'!$L$7:$L$506,"&gt;=31",'02_NHAT_KY'!$L$7:$L$506,"&lt;=60"))</f>
        <v/>
      </c>
      <c r="N71" s="232">
        <f>IF($A71="","",IF(AND('01_DANH_MUC'!$H61&gt;0,'01_DANH_MUC'!$G61&lt;$E$4,$E$4-'01_DANH_MUC'!$G61&gt;=61,$E$4-'01_DANH_MUC'!$G61&lt;=90),'01_DANH_MUC'!$H61,0)+SUMIFS('02_NHAT_KY'!$K$7:$K$506,'02_NHAT_KY'!$C$7:$C$506,$A71,'02_NHAT_KY'!$L$7:$L$506,"&gt;=61",'02_NHAT_KY'!$L$7:$L$506,"&lt;=90"))</f>
        <v/>
      </c>
      <c r="O71" s="232">
        <f>IF($A71="","",IF(AND('01_DANH_MUC'!$H61&gt;0,'01_DANH_MUC'!$G61&lt;$E$4,$E$4-'01_DANH_MUC'!$G61&gt;90),'01_DANH_MUC'!$H61,0)+SUMIFS('02_NHAT_KY'!$K$7:$K$506,'02_NHAT_KY'!$C$7:$C$506,$A71,'02_NHAT_KY'!$L$7:$L$506,"&gt;90"))</f>
        <v/>
      </c>
      <c r="P71" s="201">
        <f>IF($A71="","",IF($H71&lt;0,"DƯ ÂM/TRẢ TRƯỚC",IF(ABS($H71-SUM($K71:$O71))&lt;1,"OK","LỆCH TUỔI NỢ")))</f>
        <v/>
      </c>
    </row>
    <row r="72">
      <c r="A72" s="201">
        <f>IF('01_DANH_MUC'!$A62="","",'01_DANH_MUC'!$A62)</f>
        <v/>
      </c>
      <c r="B72" s="198">
        <f>IF($A72="","",'01_DANH_MUC'!$B62)</f>
        <v/>
      </c>
      <c r="C72" s="201">
        <f>IF($A72="","",'01_DANH_MUC'!$C62)</f>
        <v/>
      </c>
      <c r="D72" s="231">
        <f>IF($A72="","",'01_DANH_MUC'!$D62)</f>
        <v/>
      </c>
      <c r="E72" s="232">
        <f>IF($A72="","",'01_DANH_MUC'!$F62+SUMIFS('02_NHAT_KY'!$G$7:$G$506,'02_NHAT_KY'!$C$7:$C$506,$A72,'02_NHAT_KY'!$A$7:$A$506,"&lt;"&amp;$B$4)-SUMIFS('02_NHAT_KY'!$H$7:$H$506,'02_NHAT_KY'!$C$7:$C$506,$A72,'02_NHAT_KY'!$A$7:$A$506,"&lt;"&amp;$B$4))</f>
        <v/>
      </c>
      <c r="F72" s="232">
        <f>IF($A72="","",SUMIFS('02_NHAT_KY'!$G$7:$G$506,'02_NHAT_KY'!$C$7:$C$506,$A72,'02_NHAT_KY'!$A$7:$A$506,"&gt;="&amp;$B$4,'02_NHAT_KY'!$A$7:$A$506,"&lt;="&amp;$E$4))</f>
        <v/>
      </c>
      <c r="G72" s="232">
        <f>IF($A72="","",SUMIFS('02_NHAT_KY'!$H$7:$H$506,'02_NHAT_KY'!$C$7:$C$506,$A72,'02_NHAT_KY'!$A$7:$A$506,"&gt;="&amp;$B$4,'02_NHAT_KY'!$A$7:$A$506,"&lt;="&amp;$E$4))</f>
        <v/>
      </c>
      <c r="H72" s="232">
        <f>IF($A72="","",$E72+$F72-$G72)</f>
        <v/>
      </c>
      <c r="I72" s="233">
        <f>IF($A72="","",IF($H72&lt;=0,0,MAX(IF(AND('01_DANH_MUC'!$H62&gt;0,'01_DANH_MUC'!$G62&lt;&gt;""),MAX(0,$E$4-'01_DANH_MUC'!$G62),0),IFERROR(MAXIFS('02_NHAT_KY'!$L$7:$L$506,'02_NHAT_KY'!$C$7:$C$506,$A72),0))))</f>
        <v/>
      </c>
      <c r="J72" s="201">
        <f>IF($A72="","",IF($H72&lt;=0,"Không có dư nợ",IF($I72&gt;0,"Quá hạn","Trong hạn")))</f>
        <v/>
      </c>
      <c r="K72" s="232">
        <f>IF($A72="","",IF(AND('01_DANH_MUC'!$H62&gt;0,OR('01_DANH_MUC'!$G62="",'01_DANH_MUC'!$G62&gt;=$E$4)),'01_DANH_MUC'!$H62,0)+SUMIFS('02_NHAT_KY'!$K$7:$K$506,'02_NHAT_KY'!$C$7:$C$506,$A72,'02_NHAT_KY'!$J$7:$J$506,"&gt;="&amp;$E$4)+SUMIFS('02_NHAT_KY'!$K$7:$K$506,'02_NHAT_KY'!$C$7:$C$506,$A72,'02_NHAT_KY'!$J$7:$J$506,""))</f>
        <v/>
      </c>
      <c r="L72" s="232">
        <f>IF($A72="","",IF(AND('01_DANH_MUC'!$H62&gt;0,'01_DANH_MUC'!$G62&lt;$E$4,$E$4-'01_DANH_MUC'!$G62&lt;=30),'01_DANH_MUC'!$H62,0)+SUMIFS('02_NHAT_KY'!$K$7:$K$506,'02_NHAT_KY'!$C$7:$C$506,$A72,'02_NHAT_KY'!$L$7:$L$506,"&gt;=1",'02_NHAT_KY'!$L$7:$L$506,"&lt;=30"))</f>
        <v/>
      </c>
      <c r="M72" s="232">
        <f>IF($A72="","",IF(AND('01_DANH_MUC'!$H62&gt;0,'01_DANH_MUC'!$G62&lt;$E$4,$E$4-'01_DANH_MUC'!$G62&gt;=31,$E$4-'01_DANH_MUC'!$G62&lt;=60),'01_DANH_MUC'!$H62,0)+SUMIFS('02_NHAT_KY'!$K$7:$K$506,'02_NHAT_KY'!$C$7:$C$506,$A72,'02_NHAT_KY'!$L$7:$L$506,"&gt;=31",'02_NHAT_KY'!$L$7:$L$506,"&lt;=60"))</f>
        <v/>
      </c>
      <c r="N72" s="232">
        <f>IF($A72="","",IF(AND('01_DANH_MUC'!$H62&gt;0,'01_DANH_MUC'!$G62&lt;$E$4,$E$4-'01_DANH_MUC'!$G62&gt;=61,$E$4-'01_DANH_MUC'!$G62&lt;=90),'01_DANH_MUC'!$H62,0)+SUMIFS('02_NHAT_KY'!$K$7:$K$506,'02_NHAT_KY'!$C$7:$C$506,$A72,'02_NHAT_KY'!$L$7:$L$506,"&gt;=61",'02_NHAT_KY'!$L$7:$L$506,"&lt;=90"))</f>
        <v/>
      </c>
      <c r="O72" s="232">
        <f>IF($A72="","",IF(AND('01_DANH_MUC'!$H62&gt;0,'01_DANH_MUC'!$G62&lt;$E$4,$E$4-'01_DANH_MUC'!$G62&gt;90),'01_DANH_MUC'!$H62,0)+SUMIFS('02_NHAT_KY'!$K$7:$K$506,'02_NHAT_KY'!$C$7:$C$506,$A72,'02_NHAT_KY'!$L$7:$L$506,"&gt;90"))</f>
        <v/>
      </c>
      <c r="P72" s="201">
        <f>IF($A72="","",IF($H72&lt;0,"DƯ ÂM/TRẢ TRƯỚC",IF(ABS($H72-SUM($K72:$O72))&lt;1,"OK","LỆCH TUỔI NỢ")))</f>
        <v/>
      </c>
    </row>
    <row r="73">
      <c r="A73" s="201">
        <f>IF('01_DANH_MUC'!$A63="","",'01_DANH_MUC'!$A63)</f>
        <v/>
      </c>
      <c r="B73" s="198">
        <f>IF($A73="","",'01_DANH_MUC'!$B63)</f>
        <v/>
      </c>
      <c r="C73" s="201">
        <f>IF($A73="","",'01_DANH_MUC'!$C63)</f>
        <v/>
      </c>
      <c r="D73" s="231">
        <f>IF($A73="","",'01_DANH_MUC'!$D63)</f>
        <v/>
      </c>
      <c r="E73" s="232">
        <f>IF($A73="","",'01_DANH_MUC'!$F63+SUMIFS('02_NHAT_KY'!$G$7:$G$506,'02_NHAT_KY'!$C$7:$C$506,$A73,'02_NHAT_KY'!$A$7:$A$506,"&lt;"&amp;$B$4)-SUMIFS('02_NHAT_KY'!$H$7:$H$506,'02_NHAT_KY'!$C$7:$C$506,$A73,'02_NHAT_KY'!$A$7:$A$506,"&lt;"&amp;$B$4))</f>
        <v/>
      </c>
      <c r="F73" s="232">
        <f>IF($A73="","",SUMIFS('02_NHAT_KY'!$G$7:$G$506,'02_NHAT_KY'!$C$7:$C$506,$A73,'02_NHAT_KY'!$A$7:$A$506,"&gt;="&amp;$B$4,'02_NHAT_KY'!$A$7:$A$506,"&lt;="&amp;$E$4))</f>
        <v/>
      </c>
      <c r="G73" s="232">
        <f>IF($A73="","",SUMIFS('02_NHAT_KY'!$H$7:$H$506,'02_NHAT_KY'!$C$7:$C$506,$A73,'02_NHAT_KY'!$A$7:$A$506,"&gt;="&amp;$B$4,'02_NHAT_KY'!$A$7:$A$506,"&lt;="&amp;$E$4))</f>
        <v/>
      </c>
      <c r="H73" s="232">
        <f>IF($A73="","",$E73+$F73-$G73)</f>
        <v/>
      </c>
      <c r="I73" s="233">
        <f>IF($A73="","",IF($H73&lt;=0,0,MAX(IF(AND('01_DANH_MUC'!$H63&gt;0,'01_DANH_MUC'!$G63&lt;&gt;""),MAX(0,$E$4-'01_DANH_MUC'!$G63),0),IFERROR(MAXIFS('02_NHAT_KY'!$L$7:$L$506,'02_NHAT_KY'!$C$7:$C$506,$A73),0))))</f>
        <v/>
      </c>
      <c r="J73" s="201">
        <f>IF($A73="","",IF($H73&lt;=0,"Không có dư nợ",IF($I73&gt;0,"Quá hạn","Trong hạn")))</f>
        <v/>
      </c>
      <c r="K73" s="232">
        <f>IF($A73="","",IF(AND('01_DANH_MUC'!$H63&gt;0,OR('01_DANH_MUC'!$G63="",'01_DANH_MUC'!$G63&gt;=$E$4)),'01_DANH_MUC'!$H63,0)+SUMIFS('02_NHAT_KY'!$K$7:$K$506,'02_NHAT_KY'!$C$7:$C$506,$A73,'02_NHAT_KY'!$J$7:$J$506,"&gt;="&amp;$E$4)+SUMIFS('02_NHAT_KY'!$K$7:$K$506,'02_NHAT_KY'!$C$7:$C$506,$A73,'02_NHAT_KY'!$J$7:$J$506,""))</f>
        <v/>
      </c>
      <c r="L73" s="232">
        <f>IF($A73="","",IF(AND('01_DANH_MUC'!$H63&gt;0,'01_DANH_MUC'!$G63&lt;$E$4,$E$4-'01_DANH_MUC'!$G63&lt;=30),'01_DANH_MUC'!$H63,0)+SUMIFS('02_NHAT_KY'!$K$7:$K$506,'02_NHAT_KY'!$C$7:$C$506,$A73,'02_NHAT_KY'!$L$7:$L$506,"&gt;=1",'02_NHAT_KY'!$L$7:$L$506,"&lt;=30"))</f>
        <v/>
      </c>
      <c r="M73" s="232">
        <f>IF($A73="","",IF(AND('01_DANH_MUC'!$H63&gt;0,'01_DANH_MUC'!$G63&lt;$E$4,$E$4-'01_DANH_MUC'!$G63&gt;=31,$E$4-'01_DANH_MUC'!$G63&lt;=60),'01_DANH_MUC'!$H63,0)+SUMIFS('02_NHAT_KY'!$K$7:$K$506,'02_NHAT_KY'!$C$7:$C$506,$A73,'02_NHAT_KY'!$L$7:$L$506,"&gt;=31",'02_NHAT_KY'!$L$7:$L$506,"&lt;=60"))</f>
        <v/>
      </c>
      <c r="N73" s="232">
        <f>IF($A73="","",IF(AND('01_DANH_MUC'!$H63&gt;0,'01_DANH_MUC'!$G63&lt;$E$4,$E$4-'01_DANH_MUC'!$G63&gt;=61,$E$4-'01_DANH_MUC'!$G63&lt;=90),'01_DANH_MUC'!$H63,0)+SUMIFS('02_NHAT_KY'!$K$7:$K$506,'02_NHAT_KY'!$C$7:$C$506,$A73,'02_NHAT_KY'!$L$7:$L$506,"&gt;=61",'02_NHAT_KY'!$L$7:$L$506,"&lt;=90"))</f>
        <v/>
      </c>
      <c r="O73" s="232">
        <f>IF($A73="","",IF(AND('01_DANH_MUC'!$H63&gt;0,'01_DANH_MUC'!$G63&lt;$E$4,$E$4-'01_DANH_MUC'!$G63&gt;90),'01_DANH_MUC'!$H63,0)+SUMIFS('02_NHAT_KY'!$K$7:$K$506,'02_NHAT_KY'!$C$7:$C$506,$A73,'02_NHAT_KY'!$L$7:$L$506,"&gt;90"))</f>
        <v/>
      </c>
      <c r="P73" s="201">
        <f>IF($A73="","",IF($H73&lt;0,"DƯ ÂM/TRẢ TRƯỚC",IF(ABS($H73-SUM($K73:$O73))&lt;1,"OK","LỆCH TUỔI NỢ")))</f>
        <v/>
      </c>
    </row>
    <row r="74">
      <c r="A74" s="201">
        <f>IF('01_DANH_MUC'!$A64="","",'01_DANH_MUC'!$A64)</f>
        <v/>
      </c>
      <c r="B74" s="198">
        <f>IF($A74="","",'01_DANH_MUC'!$B64)</f>
        <v/>
      </c>
      <c r="C74" s="201">
        <f>IF($A74="","",'01_DANH_MUC'!$C64)</f>
        <v/>
      </c>
      <c r="D74" s="231">
        <f>IF($A74="","",'01_DANH_MUC'!$D64)</f>
        <v/>
      </c>
      <c r="E74" s="232">
        <f>IF($A74="","",'01_DANH_MUC'!$F64+SUMIFS('02_NHAT_KY'!$G$7:$G$506,'02_NHAT_KY'!$C$7:$C$506,$A74,'02_NHAT_KY'!$A$7:$A$506,"&lt;"&amp;$B$4)-SUMIFS('02_NHAT_KY'!$H$7:$H$506,'02_NHAT_KY'!$C$7:$C$506,$A74,'02_NHAT_KY'!$A$7:$A$506,"&lt;"&amp;$B$4))</f>
        <v/>
      </c>
      <c r="F74" s="232">
        <f>IF($A74="","",SUMIFS('02_NHAT_KY'!$G$7:$G$506,'02_NHAT_KY'!$C$7:$C$506,$A74,'02_NHAT_KY'!$A$7:$A$506,"&gt;="&amp;$B$4,'02_NHAT_KY'!$A$7:$A$506,"&lt;="&amp;$E$4))</f>
        <v/>
      </c>
      <c r="G74" s="232">
        <f>IF($A74="","",SUMIFS('02_NHAT_KY'!$H$7:$H$506,'02_NHAT_KY'!$C$7:$C$506,$A74,'02_NHAT_KY'!$A$7:$A$506,"&gt;="&amp;$B$4,'02_NHAT_KY'!$A$7:$A$506,"&lt;="&amp;$E$4))</f>
        <v/>
      </c>
      <c r="H74" s="232">
        <f>IF($A74="","",$E74+$F74-$G74)</f>
        <v/>
      </c>
      <c r="I74" s="233">
        <f>IF($A74="","",IF($H74&lt;=0,0,MAX(IF(AND('01_DANH_MUC'!$H64&gt;0,'01_DANH_MUC'!$G64&lt;&gt;""),MAX(0,$E$4-'01_DANH_MUC'!$G64),0),IFERROR(MAXIFS('02_NHAT_KY'!$L$7:$L$506,'02_NHAT_KY'!$C$7:$C$506,$A74),0))))</f>
        <v/>
      </c>
      <c r="J74" s="201">
        <f>IF($A74="","",IF($H74&lt;=0,"Không có dư nợ",IF($I74&gt;0,"Quá hạn","Trong hạn")))</f>
        <v/>
      </c>
      <c r="K74" s="232">
        <f>IF($A74="","",IF(AND('01_DANH_MUC'!$H64&gt;0,OR('01_DANH_MUC'!$G64="",'01_DANH_MUC'!$G64&gt;=$E$4)),'01_DANH_MUC'!$H64,0)+SUMIFS('02_NHAT_KY'!$K$7:$K$506,'02_NHAT_KY'!$C$7:$C$506,$A74,'02_NHAT_KY'!$J$7:$J$506,"&gt;="&amp;$E$4)+SUMIFS('02_NHAT_KY'!$K$7:$K$506,'02_NHAT_KY'!$C$7:$C$506,$A74,'02_NHAT_KY'!$J$7:$J$506,""))</f>
        <v/>
      </c>
      <c r="L74" s="232">
        <f>IF($A74="","",IF(AND('01_DANH_MUC'!$H64&gt;0,'01_DANH_MUC'!$G64&lt;$E$4,$E$4-'01_DANH_MUC'!$G64&lt;=30),'01_DANH_MUC'!$H64,0)+SUMIFS('02_NHAT_KY'!$K$7:$K$506,'02_NHAT_KY'!$C$7:$C$506,$A74,'02_NHAT_KY'!$L$7:$L$506,"&gt;=1",'02_NHAT_KY'!$L$7:$L$506,"&lt;=30"))</f>
        <v/>
      </c>
      <c r="M74" s="232">
        <f>IF($A74="","",IF(AND('01_DANH_MUC'!$H64&gt;0,'01_DANH_MUC'!$G64&lt;$E$4,$E$4-'01_DANH_MUC'!$G64&gt;=31,$E$4-'01_DANH_MUC'!$G64&lt;=60),'01_DANH_MUC'!$H64,0)+SUMIFS('02_NHAT_KY'!$K$7:$K$506,'02_NHAT_KY'!$C$7:$C$506,$A74,'02_NHAT_KY'!$L$7:$L$506,"&gt;=31",'02_NHAT_KY'!$L$7:$L$506,"&lt;=60"))</f>
        <v/>
      </c>
      <c r="N74" s="232">
        <f>IF($A74="","",IF(AND('01_DANH_MUC'!$H64&gt;0,'01_DANH_MUC'!$G64&lt;$E$4,$E$4-'01_DANH_MUC'!$G64&gt;=61,$E$4-'01_DANH_MUC'!$G64&lt;=90),'01_DANH_MUC'!$H64,0)+SUMIFS('02_NHAT_KY'!$K$7:$K$506,'02_NHAT_KY'!$C$7:$C$506,$A74,'02_NHAT_KY'!$L$7:$L$506,"&gt;=61",'02_NHAT_KY'!$L$7:$L$506,"&lt;=90"))</f>
        <v/>
      </c>
      <c r="O74" s="232">
        <f>IF($A74="","",IF(AND('01_DANH_MUC'!$H64&gt;0,'01_DANH_MUC'!$G64&lt;$E$4,$E$4-'01_DANH_MUC'!$G64&gt;90),'01_DANH_MUC'!$H64,0)+SUMIFS('02_NHAT_KY'!$K$7:$K$506,'02_NHAT_KY'!$C$7:$C$506,$A74,'02_NHAT_KY'!$L$7:$L$506,"&gt;90"))</f>
        <v/>
      </c>
      <c r="P74" s="201">
        <f>IF($A74="","",IF($H74&lt;0,"DƯ ÂM/TRẢ TRƯỚC",IF(ABS($H74-SUM($K74:$O74))&lt;1,"OK","LỆCH TUỔI NỢ")))</f>
        <v/>
      </c>
    </row>
    <row r="75">
      <c r="A75" s="201">
        <f>IF('01_DANH_MUC'!$A65="","",'01_DANH_MUC'!$A65)</f>
        <v/>
      </c>
      <c r="B75" s="198">
        <f>IF($A75="","",'01_DANH_MUC'!$B65)</f>
        <v/>
      </c>
      <c r="C75" s="201">
        <f>IF($A75="","",'01_DANH_MUC'!$C65)</f>
        <v/>
      </c>
      <c r="D75" s="231">
        <f>IF($A75="","",'01_DANH_MUC'!$D65)</f>
        <v/>
      </c>
      <c r="E75" s="232">
        <f>IF($A75="","",'01_DANH_MUC'!$F65+SUMIFS('02_NHAT_KY'!$G$7:$G$506,'02_NHAT_KY'!$C$7:$C$506,$A75,'02_NHAT_KY'!$A$7:$A$506,"&lt;"&amp;$B$4)-SUMIFS('02_NHAT_KY'!$H$7:$H$506,'02_NHAT_KY'!$C$7:$C$506,$A75,'02_NHAT_KY'!$A$7:$A$506,"&lt;"&amp;$B$4))</f>
        <v/>
      </c>
      <c r="F75" s="232">
        <f>IF($A75="","",SUMIFS('02_NHAT_KY'!$G$7:$G$506,'02_NHAT_KY'!$C$7:$C$506,$A75,'02_NHAT_KY'!$A$7:$A$506,"&gt;="&amp;$B$4,'02_NHAT_KY'!$A$7:$A$506,"&lt;="&amp;$E$4))</f>
        <v/>
      </c>
      <c r="G75" s="232">
        <f>IF($A75="","",SUMIFS('02_NHAT_KY'!$H$7:$H$506,'02_NHAT_KY'!$C$7:$C$506,$A75,'02_NHAT_KY'!$A$7:$A$506,"&gt;="&amp;$B$4,'02_NHAT_KY'!$A$7:$A$506,"&lt;="&amp;$E$4))</f>
        <v/>
      </c>
      <c r="H75" s="232">
        <f>IF($A75="","",$E75+$F75-$G75)</f>
        <v/>
      </c>
      <c r="I75" s="233">
        <f>IF($A75="","",IF($H75&lt;=0,0,MAX(IF(AND('01_DANH_MUC'!$H65&gt;0,'01_DANH_MUC'!$G65&lt;&gt;""),MAX(0,$E$4-'01_DANH_MUC'!$G65),0),IFERROR(MAXIFS('02_NHAT_KY'!$L$7:$L$506,'02_NHAT_KY'!$C$7:$C$506,$A75),0))))</f>
        <v/>
      </c>
      <c r="J75" s="201">
        <f>IF($A75="","",IF($H75&lt;=0,"Không có dư nợ",IF($I75&gt;0,"Quá hạn","Trong hạn")))</f>
        <v/>
      </c>
      <c r="K75" s="232">
        <f>IF($A75="","",IF(AND('01_DANH_MUC'!$H65&gt;0,OR('01_DANH_MUC'!$G65="",'01_DANH_MUC'!$G65&gt;=$E$4)),'01_DANH_MUC'!$H65,0)+SUMIFS('02_NHAT_KY'!$K$7:$K$506,'02_NHAT_KY'!$C$7:$C$506,$A75,'02_NHAT_KY'!$J$7:$J$506,"&gt;="&amp;$E$4)+SUMIFS('02_NHAT_KY'!$K$7:$K$506,'02_NHAT_KY'!$C$7:$C$506,$A75,'02_NHAT_KY'!$J$7:$J$506,""))</f>
        <v/>
      </c>
      <c r="L75" s="232">
        <f>IF($A75="","",IF(AND('01_DANH_MUC'!$H65&gt;0,'01_DANH_MUC'!$G65&lt;$E$4,$E$4-'01_DANH_MUC'!$G65&lt;=30),'01_DANH_MUC'!$H65,0)+SUMIFS('02_NHAT_KY'!$K$7:$K$506,'02_NHAT_KY'!$C$7:$C$506,$A75,'02_NHAT_KY'!$L$7:$L$506,"&gt;=1",'02_NHAT_KY'!$L$7:$L$506,"&lt;=30"))</f>
        <v/>
      </c>
      <c r="M75" s="232">
        <f>IF($A75="","",IF(AND('01_DANH_MUC'!$H65&gt;0,'01_DANH_MUC'!$G65&lt;$E$4,$E$4-'01_DANH_MUC'!$G65&gt;=31,$E$4-'01_DANH_MUC'!$G65&lt;=60),'01_DANH_MUC'!$H65,0)+SUMIFS('02_NHAT_KY'!$K$7:$K$506,'02_NHAT_KY'!$C$7:$C$506,$A75,'02_NHAT_KY'!$L$7:$L$506,"&gt;=31",'02_NHAT_KY'!$L$7:$L$506,"&lt;=60"))</f>
        <v/>
      </c>
      <c r="N75" s="232">
        <f>IF($A75="","",IF(AND('01_DANH_MUC'!$H65&gt;0,'01_DANH_MUC'!$G65&lt;$E$4,$E$4-'01_DANH_MUC'!$G65&gt;=61,$E$4-'01_DANH_MUC'!$G65&lt;=90),'01_DANH_MUC'!$H65,0)+SUMIFS('02_NHAT_KY'!$K$7:$K$506,'02_NHAT_KY'!$C$7:$C$506,$A75,'02_NHAT_KY'!$L$7:$L$506,"&gt;=61",'02_NHAT_KY'!$L$7:$L$506,"&lt;=90"))</f>
        <v/>
      </c>
      <c r="O75" s="232">
        <f>IF($A75="","",IF(AND('01_DANH_MUC'!$H65&gt;0,'01_DANH_MUC'!$G65&lt;$E$4,$E$4-'01_DANH_MUC'!$G65&gt;90),'01_DANH_MUC'!$H65,0)+SUMIFS('02_NHAT_KY'!$K$7:$K$506,'02_NHAT_KY'!$C$7:$C$506,$A75,'02_NHAT_KY'!$L$7:$L$506,"&gt;90"))</f>
        <v/>
      </c>
      <c r="P75" s="201">
        <f>IF($A75="","",IF($H75&lt;0,"DƯ ÂM/TRẢ TRƯỚC",IF(ABS($H75-SUM($K75:$O75))&lt;1,"OK","LỆCH TUỔI NỢ")))</f>
        <v/>
      </c>
    </row>
    <row r="76">
      <c r="A76" s="201">
        <f>IF('01_DANH_MUC'!$A66="","",'01_DANH_MUC'!$A66)</f>
        <v/>
      </c>
      <c r="B76" s="198">
        <f>IF($A76="","",'01_DANH_MUC'!$B66)</f>
        <v/>
      </c>
      <c r="C76" s="201">
        <f>IF($A76="","",'01_DANH_MUC'!$C66)</f>
        <v/>
      </c>
      <c r="D76" s="231">
        <f>IF($A76="","",'01_DANH_MUC'!$D66)</f>
        <v/>
      </c>
      <c r="E76" s="232">
        <f>IF($A76="","",'01_DANH_MUC'!$F66+SUMIFS('02_NHAT_KY'!$G$7:$G$506,'02_NHAT_KY'!$C$7:$C$506,$A76,'02_NHAT_KY'!$A$7:$A$506,"&lt;"&amp;$B$4)-SUMIFS('02_NHAT_KY'!$H$7:$H$506,'02_NHAT_KY'!$C$7:$C$506,$A76,'02_NHAT_KY'!$A$7:$A$506,"&lt;"&amp;$B$4))</f>
        <v/>
      </c>
      <c r="F76" s="232">
        <f>IF($A76="","",SUMIFS('02_NHAT_KY'!$G$7:$G$506,'02_NHAT_KY'!$C$7:$C$506,$A76,'02_NHAT_KY'!$A$7:$A$506,"&gt;="&amp;$B$4,'02_NHAT_KY'!$A$7:$A$506,"&lt;="&amp;$E$4))</f>
        <v/>
      </c>
      <c r="G76" s="232">
        <f>IF($A76="","",SUMIFS('02_NHAT_KY'!$H$7:$H$506,'02_NHAT_KY'!$C$7:$C$506,$A76,'02_NHAT_KY'!$A$7:$A$506,"&gt;="&amp;$B$4,'02_NHAT_KY'!$A$7:$A$506,"&lt;="&amp;$E$4))</f>
        <v/>
      </c>
      <c r="H76" s="232">
        <f>IF($A76="","",$E76+$F76-$G76)</f>
        <v/>
      </c>
      <c r="I76" s="233">
        <f>IF($A76="","",IF($H76&lt;=0,0,MAX(IF(AND('01_DANH_MUC'!$H66&gt;0,'01_DANH_MUC'!$G66&lt;&gt;""),MAX(0,$E$4-'01_DANH_MUC'!$G66),0),IFERROR(MAXIFS('02_NHAT_KY'!$L$7:$L$506,'02_NHAT_KY'!$C$7:$C$506,$A76),0))))</f>
        <v/>
      </c>
      <c r="J76" s="201">
        <f>IF($A76="","",IF($H76&lt;=0,"Không có dư nợ",IF($I76&gt;0,"Quá hạn","Trong hạn")))</f>
        <v/>
      </c>
      <c r="K76" s="232">
        <f>IF($A76="","",IF(AND('01_DANH_MUC'!$H66&gt;0,OR('01_DANH_MUC'!$G66="",'01_DANH_MUC'!$G66&gt;=$E$4)),'01_DANH_MUC'!$H66,0)+SUMIFS('02_NHAT_KY'!$K$7:$K$506,'02_NHAT_KY'!$C$7:$C$506,$A76,'02_NHAT_KY'!$J$7:$J$506,"&gt;="&amp;$E$4)+SUMIFS('02_NHAT_KY'!$K$7:$K$506,'02_NHAT_KY'!$C$7:$C$506,$A76,'02_NHAT_KY'!$J$7:$J$506,""))</f>
        <v/>
      </c>
      <c r="L76" s="232">
        <f>IF($A76="","",IF(AND('01_DANH_MUC'!$H66&gt;0,'01_DANH_MUC'!$G66&lt;$E$4,$E$4-'01_DANH_MUC'!$G66&lt;=30),'01_DANH_MUC'!$H66,0)+SUMIFS('02_NHAT_KY'!$K$7:$K$506,'02_NHAT_KY'!$C$7:$C$506,$A76,'02_NHAT_KY'!$L$7:$L$506,"&gt;=1",'02_NHAT_KY'!$L$7:$L$506,"&lt;=30"))</f>
        <v/>
      </c>
      <c r="M76" s="232">
        <f>IF($A76="","",IF(AND('01_DANH_MUC'!$H66&gt;0,'01_DANH_MUC'!$G66&lt;$E$4,$E$4-'01_DANH_MUC'!$G66&gt;=31,$E$4-'01_DANH_MUC'!$G66&lt;=60),'01_DANH_MUC'!$H66,0)+SUMIFS('02_NHAT_KY'!$K$7:$K$506,'02_NHAT_KY'!$C$7:$C$506,$A76,'02_NHAT_KY'!$L$7:$L$506,"&gt;=31",'02_NHAT_KY'!$L$7:$L$506,"&lt;=60"))</f>
        <v/>
      </c>
      <c r="N76" s="232">
        <f>IF($A76="","",IF(AND('01_DANH_MUC'!$H66&gt;0,'01_DANH_MUC'!$G66&lt;$E$4,$E$4-'01_DANH_MUC'!$G66&gt;=61,$E$4-'01_DANH_MUC'!$G66&lt;=90),'01_DANH_MUC'!$H66,0)+SUMIFS('02_NHAT_KY'!$K$7:$K$506,'02_NHAT_KY'!$C$7:$C$506,$A76,'02_NHAT_KY'!$L$7:$L$506,"&gt;=61",'02_NHAT_KY'!$L$7:$L$506,"&lt;=90"))</f>
        <v/>
      </c>
      <c r="O76" s="232">
        <f>IF($A76="","",IF(AND('01_DANH_MUC'!$H66&gt;0,'01_DANH_MUC'!$G66&lt;$E$4,$E$4-'01_DANH_MUC'!$G66&gt;90),'01_DANH_MUC'!$H66,0)+SUMIFS('02_NHAT_KY'!$K$7:$K$506,'02_NHAT_KY'!$C$7:$C$506,$A76,'02_NHAT_KY'!$L$7:$L$506,"&gt;90"))</f>
        <v/>
      </c>
      <c r="P76" s="201">
        <f>IF($A76="","",IF($H76&lt;0,"DƯ ÂM/TRẢ TRƯỚC",IF(ABS($H76-SUM($K76:$O76))&lt;1,"OK","LỆCH TUỔI NỢ")))</f>
        <v/>
      </c>
    </row>
    <row r="77">
      <c r="A77" s="201">
        <f>IF('01_DANH_MUC'!$A67="","",'01_DANH_MUC'!$A67)</f>
        <v/>
      </c>
      <c r="B77" s="198">
        <f>IF($A77="","",'01_DANH_MUC'!$B67)</f>
        <v/>
      </c>
      <c r="C77" s="201">
        <f>IF($A77="","",'01_DANH_MUC'!$C67)</f>
        <v/>
      </c>
      <c r="D77" s="231">
        <f>IF($A77="","",'01_DANH_MUC'!$D67)</f>
        <v/>
      </c>
      <c r="E77" s="232">
        <f>IF($A77="","",'01_DANH_MUC'!$F67+SUMIFS('02_NHAT_KY'!$G$7:$G$506,'02_NHAT_KY'!$C$7:$C$506,$A77,'02_NHAT_KY'!$A$7:$A$506,"&lt;"&amp;$B$4)-SUMIFS('02_NHAT_KY'!$H$7:$H$506,'02_NHAT_KY'!$C$7:$C$506,$A77,'02_NHAT_KY'!$A$7:$A$506,"&lt;"&amp;$B$4))</f>
        <v/>
      </c>
      <c r="F77" s="232">
        <f>IF($A77="","",SUMIFS('02_NHAT_KY'!$G$7:$G$506,'02_NHAT_KY'!$C$7:$C$506,$A77,'02_NHAT_KY'!$A$7:$A$506,"&gt;="&amp;$B$4,'02_NHAT_KY'!$A$7:$A$506,"&lt;="&amp;$E$4))</f>
        <v/>
      </c>
      <c r="G77" s="232">
        <f>IF($A77="","",SUMIFS('02_NHAT_KY'!$H$7:$H$506,'02_NHAT_KY'!$C$7:$C$506,$A77,'02_NHAT_KY'!$A$7:$A$506,"&gt;="&amp;$B$4,'02_NHAT_KY'!$A$7:$A$506,"&lt;="&amp;$E$4))</f>
        <v/>
      </c>
      <c r="H77" s="232">
        <f>IF($A77="","",$E77+$F77-$G77)</f>
        <v/>
      </c>
      <c r="I77" s="233">
        <f>IF($A77="","",IF($H77&lt;=0,0,MAX(IF(AND('01_DANH_MUC'!$H67&gt;0,'01_DANH_MUC'!$G67&lt;&gt;""),MAX(0,$E$4-'01_DANH_MUC'!$G67),0),IFERROR(MAXIFS('02_NHAT_KY'!$L$7:$L$506,'02_NHAT_KY'!$C$7:$C$506,$A77),0))))</f>
        <v/>
      </c>
      <c r="J77" s="201">
        <f>IF($A77="","",IF($H77&lt;=0,"Không có dư nợ",IF($I77&gt;0,"Quá hạn","Trong hạn")))</f>
        <v/>
      </c>
      <c r="K77" s="232">
        <f>IF($A77="","",IF(AND('01_DANH_MUC'!$H67&gt;0,OR('01_DANH_MUC'!$G67="",'01_DANH_MUC'!$G67&gt;=$E$4)),'01_DANH_MUC'!$H67,0)+SUMIFS('02_NHAT_KY'!$K$7:$K$506,'02_NHAT_KY'!$C$7:$C$506,$A77,'02_NHAT_KY'!$J$7:$J$506,"&gt;="&amp;$E$4)+SUMIFS('02_NHAT_KY'!$K$7:$K$506,'02_NHAT_KY'!$C$7:$C$506,$A77,'02_NHAT_KY'!$J$7:$J$506,""))</f>
        <v/>
      </c>
      <c r="L77" s="232">
        <f>IF($A77="","",IF(AND('01_DANH_MUC'!$H67&gt;0,'01_DANH_MUC'!$G67&lt;$E$4,$E$4-'01_DANH_MUC'!$G67&lt;=30),'01_DANH_MUC'!$H67,0)+SUMIFS('02_NHAT_KY'!$K$7:$K$506,'02_NHAT_KY'!$C$7:$C$506,$A77,'02_NHAT_KY'!$L$7:$L$506,"&gt;=1",'02_NHAT_KY'!$L$7:$L$506,"&lt;=30"))</f>
        <v/>
      </c>
      <c r="M77" s="232">
        <f>IF($A77="","",IF(AND('01_DANH_MUC'!$H67&gt;0,'01_DANH_MUC'!$G67&lt;$E$4,$E$4-'01_DANH_MUC'!$G67&gt;=31,$E$4-'01_DANH_MUC'!$G67&lt;=60),'01_DANH_MUC'!$H67,0)+SUMIFS('02_NHAT_KY'!$K$7:$K$506,'02_NHAT_KY'!$C$7:$C$506,$A77,'02_NHAT_KY'!$L$7:$L$506,"&gt;=31",'02_NHAT_KY'!$L$7:$L$506,"&lt;=60"))</f>
        <v/>
      </c>
      <c r="N77" s="232">
        <f>IF($A77="","",IF(AND('01_DANH_MUC'!$H67&gt;0,'01_DANH_MUC'!$G67&lt;$E$4,$E$4-'01_DANH_MUC'!$G67&gt;=61,$E$4-'01_DANH_MUC'!$G67&lt;=90),'01_DANH_MUC'!$H67,0)+SUMIFS('02_NHAT_KY'!$K$7:$K$506,'02_NHAT_KY'!$C$7:$C$506,$A77,'02_NHAT_KY'!$L$7:$L$506,"&gt;=61",'02_NHAT_KY'!$L$7:$L$506,"&lt;=90"))</f>
        <v/>
      </c>
      <c r="O77" s="232">
        <f>IF($A77="","",IF(AND('01_DANH_MUC'!$H67&gt;0,'01_DANH_MUC'!$G67&lt;$E$4,$E$4-'01_DANH_MUC'!$G67&gt;90),'01_DANH_MUC'!$H67,0)+SUMIFS('02_NHAT_KY'!$K$7:$K$506,'02_NHAT_KY'!$C$7:$C$506,$A77,'02_NHAT_KY'!$L$7:$L$506,"&gt;90"))</f>
        <v/>
      </c>
      <c r="P77" s="201">
        <f>IF($A77="","",IF($H77&lt;0,"DƯ ÂM/TRẢ TRƯỚC",IF(ABS($H77-SUM($K77:$O77))&lt;1,"OK","LỆCH TUỔI NỢ")))</f>
        <v/>
      </c>
    </row>
    <row r="78">
      <c r="A78" s="201">
        <f>IF('01_DANH_MUC'!$A68="","",'01_DANH_MUC'!$A68)</f>
        <v/>
      </c>
      <c r="B78" s="198">
        <f>IF($A78="","",'01_DANH_MUC'!$B68)</f>
        <v/>
      </c>
      <c r="C78" s="201">
        <f>IF($A78="","",'01_DANH_MUC'!$C68)</f>
        <v/>
      </c>
      <c r="D78" s="231">
        <f>IF($A78="","",'01_DANH_MUC'!$D68)</f>
        <v/>
      </c>
      <c r="E78" s="232">
        <f>IF($A78="","",'01_DANH_MUC'!$F68+SUMIFS('02_NHAT_KY'!$G$7:$G$506,'02_NHAT_KY'!$C$7:$C$506,$A78,'02_NHAT_KY'!$A$7:$A$506,"&lt;"&amp;$B$4)-SUMIFS('02_NHAT_KY'!$H$7:$H$506,'02_NHAT_KY'!$C$7:$C$506,$A78,'02_NHAT_KY'!$A$7:$A$506,"&lt;"&amp;$B$4))</f>
        <v/>
      </c>
      <c r="F78" s="232">
        <f>IF($A78="","",SUMIFS('02_NHAT_KY'!$G$7:$G$506,'02_NHAT_KY'!$C$7:$C$506,$A78,'02_NHAT_KY'!$A$7:$A$506,"&gt;="&amp;$B$4,'02_NHAT_KY'!$A$7:$A$506,"&lt;="&amp;$E$4))</f>
        <v/>
      </c>
      <c r="G78" s="232">
        <f>IF($A78="","",SUMIFS('02_NHAT_KY'!$H$7:$H$506,'02_NHAT_KY'!$C$7:$C$506,$A78,'02_NHAT_KY'!$A$7:$A$506,"&gt;="&amp;$B$4,'02_NHAT_KY'!$A$7:$A$506,"&lt;="&amp;$E$4))</f>
        <v/>
      </c>
      <c r="H78" s="232">
        <f>IF($A78="","",$E78+$F78-$G78)</f>
        <v/>
      </c>
      <c r="I78" s="233">
        <f>IF($A78="","",IF($H78&lt;=0,0,MAX(IF(AND('01_DANH_MUC'!$H68&gt;0,'01_DANH_MUC'!$G68&lt;&gt;""),MAX(0,$E$4-'01_DANH_MUC'!$G68),0),IFERROR(MAXIFS('02_NHAT_KY'!$L$7:$L$506,'02_NHAT_KY'!$C$7:$C$506,$A78),0))))</f>
        <v/>
      </c>
      <c r="J78" s="201">
        <f>IF($A78="","",IF($H78&lt;=0,"Không có dư nợ",IF($I78&gt;0,"Quá hạn","Trong hạn")))</f>
        <v/>
      </c>
      <c r="K78" s="232">
        <f>IF($A78="","",IF(AND('01_DANH_MUC'!$H68&gt;0,OR('01_DANH_MUC'!$G68="",'01_DANH_MUC'!$G68&gt;=$E$4)),'01_DANH_MUC'!$H68,0)+SUMIFS('02_NHAT_KY'!$K$7:$K$506,'02_NHAT_KY'!$C$7:$C$506,$A78,'02_NHAT_KY'!$J$7:$J$506,"&gt;="&amp;$E$4)+SUMIFS('02_NHAT_KY'!$K$7:$K$506,'02_NHAT_KY'!$C$7:$C$506,$A78,'02_NHAT_KY'!$J$7:$J$506,""))</f>
        <v/>
      </c>
      <c r="L78" s="232">
        <f>IF($A78="","",IF(AND('01_DANH_MUC'!$H68&gt;0,'01_DANH_MUC'!$G68&lt;$E$4,$E$4-'01_DANH_MUC'!$G68&lt;=30),'01_DANH_MUC'!$H68,0)+SUMIFS('02_NHAT_KY'!$K$7:$K$506,'02_NHAT_KY'!$C$7:$C$506,$A78,'02_NHAT_KY'!$L$7:$L$506,"&gt;=1",'02_NHAT_KY'!$L$7:$L$506,"&lt;=30"))</f>
        <v/>
      </c>
      <c r="M78" s="232">
        <f>IF($A78="","",IF(AND('01_DANH_MUC'!$H68&gt;0,'01_DANH_MUC'!$G68&lt;$E$4,$E$4-'01_DANH_MUC'!$G68&gt;=31,$E$4-'01_DANH_MUC'!$G68&lt;=60),'01_DANH_MUC'!$H68,0)+SUMIFS('02_NHAT_KY'!$K$7:$K$506,'02_NHAT_KY'!$C$7:$C$506,$A78,'02_NHAT_KY'!$L$7:$L$506,"&gt;=31",'02_NHAT_KY'!$L$7:$L$506,"&lt;=60"))</f>
        <v/>
      </c>
      <c r="N78" s="232">
        <f>IF($A78="","",IF(AND('01_DANH_MUC'!$H68&gt;0,'01_DANH_MUC'!$G68&lt;$E$4,$E$4-'01_DANH_MUC'!$G68&gt;=61,$E$4-'01_DANH_MUC'!$G68&lt;=90),'01_DANH_MUC'!$H68,0)+SUMIFS('02_NHAT_KY'!$K$7:$K$506,'02_NHAT_KY'!$C$7:$C$506,$A78,'02_NHAT_KY'!$L$7:$L$506,"&gt;=61",'02_NHAT_KY'!$L$7:$L$506,"&lt;=90"))</f>
        <v/>
      </c>
      <c r="O78" s="232">
        <f>IF($A78="","",IF(AND('01_DANH_MUC'!$H68&gt;0,'01_DANH_MUC'!$G68&lt;$E$4,$E$4-'01_DANH_MUC'!$G68&gt;90),'01_DANH_MUC'!$H68,0)+SUMIFS('02_NHAT_KY'!$K$7:$K$506,'02_NHAT_KY'!$C$7:$C$506,$A78,'02_NHAT_KY'!$L$7:$L$506,"&gt;90"))</f>
        <v/>
      </c>
      <c r="P78" s="201">
        <f>IF($A78="","",IF($H78&lt;0,"DƯ ÂM/TRẢ TRƯỚC",IF(ABS($H78-SUM($K78:$O78))&lt;1,"OK","LỆCH TUỔI NỢ")))</f>
        <v/>
      </c>
    </row>
    <row r="79">
      <c r="A79" s="201">
        <f>IF('01_DANH_MUC'!$A69="","",'01_DANH_MUC'!$A69)</f>
        <v/>
      </c>
      <c r="B79" s="198">
        <f>IF($A79="","",'01_DANH_MUC'!$B69)</f>
        <v/>
      </c>
      <c r="C79" s="201">
        <f>IF($A79="","",'01_DANH_MUC'!$C69)</f>
        <v/>
      </c>
      <c r="D79" s="231">
        <f>IF($A79="","",'01_DANH_MUC'!$D69)</f>
        <v/>
      </c>
      <c r="E79" s="232">
        <f>IF($A79="","",'01_DANH_MUC'!$F69+SUMIFS('02_NHAT_KY'!$G$7:$G$506,'02_NHAT_KY'!$C$7:$C$506,$A79,'02_NHAT_KY'!$A$7:$A$506,"&lt;"&amp;$B$4)-SUMIFS('02_NHAT_KY'!$H$7:$H$506,'02_NHAT_KY'!$C$7:$C$506,$A79,'02_NHAT_KY'!$A$7:$A$506,"&lt;"&amp;$B$4))</f>
        <v/>
      </c>
      <c r="F79" s="232">
        <f>IF($A79="","",SUMIFS('02_NHAT_KY'!$G$7:$G$506,'02_NHAT_KY'!$C$7:$C$506,$A79,'02_NHAT_KY'!$A$7:$A$506,"&gt;="&amp;$B$4,'02_NHAT_KY'!$A$7:$A$506,"&lt;="&amp;$E$4))</f>
        <v/>
      </c>
      <c r="G79" s="232">
        <f>IF($A79="","",SUMIFS('02_NHAT_KY'!$H$7:$H$506,'02_NHAT_KY'!$C$7:$C$506,$A79,'02_NHAT_KY'!$A$7:$A$506,"&gt;="&amp;$B$4,'02_NHAT_KY'!$A$7:$A$506,"&lt;="&amp;$E$4))</f>
        <v/>
      </c>
      <c r="H79" s="232">
        <f>IF($A79="","",$E79+$F79-$G79)</f>
        <v/>
      </c>
      <c r="I79" s="233">
        <f>IF($A79="","",IF($H79&lt;=0,0,MAX(IF(AND('01_DANH_MUC'!$H69&gt;0,'01_DANH_MUC'!$G69&lt;&gt;""),MAX(0,$E$4-'01_DANH_MUC'!$G69),0),IFERROR(MAXIFS('02_NHAT_KY'!$L$7:$L$506,'02_NHAT_KY'!$C$7:$C$506,$A79),0))))</f>
        <v/>
      </c>
      <c r="J79" s="201">
        <f>IF($A79="","",IF($H79&lt;=0,"Không có dư nợ",IF($I79&gt;0,"Quá hạn","Trong hạn")))</f>
        <v/>
      </c>
      <c r="K79" s="232">
        <f>IF($A79="","",IF(AND('01_DANH_MUC'!$H69&gt;0,OR('01_DANH_MUC'!$G69="",'01_DANH_MUC'!$G69&gt;=$E$4)),'01_DANH_MUC'!$H69,0)+SUMIFS('02_NHAT_KY'!$K$7:$K$506,'02_NHAT_KY'!$C$7:$C$506,$A79,'02_NHAT_KY'!$J$7:$J$506,"&gt;="&amp;$E$4)+SUMIFS('02_NHAT_KY'!$K$7:$K$506,'02_NHAT_KY'!$C$7:$C$506,$A79,'02_NHAT_KY'!$J$7:$J$506,""))</f>
        <v/>
      </c>
      <c r="L79" s="232">
        <f>IF($A79="","",IF(AND('01_DANH_MUC'!$H69&gt;0,'01_DANH_MUC'!$G69&lt;$E$4,$E$4-'01_DANH_MUC'!$G69&lt;=30),'01_DANH_MUC'!$H69,0)+SUMIFS('02_NHAT_KY'!$K$7:$K$506,'02_NHAT_KY'!$C$7:$C$506,$A79,'02_NHAT_KY'!$L$7:$L$506,"&gt;=1",'02_NHAT_KY'!$L$7:$L$506,"&lt;=30"))</f>
        <v/>
      </c>
      <c r="M79" s="232">
        <f>IF($A79="","",IF(AND('01_DANH_MUC'!$H69&gt;0,'01_DANH_MUC'!$G69&lt;$E$4,$E$4-'01_DANH_MUC'!$G69&gt;=31,$E$4-'01_DANH_MUC'!$G69&lt;=60),'01_DANH_MUC'!$H69,0)+SUMIFS('02_NHAT_KY'!$K$7:$K$506,'02_NHAT_KY'!$C$7:$C$506,$A79,'02_NHAT_KY'!$L$7:$L$506,"&gt;=31",'02_NHAT_KY'!$L$7:$L$506,"&lt;=60"))</f>
        <v/>
      </c>
      <c r="N79" s="232">
        <f>IF($A79="","",IF(AND('01_DANH_MUC'!$H69&gt;0,'01_DANH_MUC'!$G69&lt;$E$4,$E$4-'01_DANH_MUC'!$G69&gt;=61,$E$4-'01_DANH_MUC'!$G69&lt;=90),'01_DANH_MUC'!$H69,0)+SUMIFS('02_NHAT_KY'!$K$7:$K$506,'02_NHAT_KY'!$C$7:$C$506,$A79,'02_NHAT_KY'!$L$7:$L$506,"&gt;=61",'02_NHAT_KY'!$L$7:$L$506,"&lt;=90"))</f>
        <v/>
      </c>
      <c r="O79" s="232">
        <f>IF($A79="","",IF(AND('01_DANH_MUC'!$H69&gt;0,'01_DANH_MUC'!$G69&lt;$E$4,$E$4-'01_DANH_MUC'!$G69&gt;90),'01_DANH_MUC'!$H69,0)+SUMIFS('02_NHAT_KY'!$K$7:$K$506,'02_NHAT_KY'!$C$7:$C$506,$A79,'02_NHAT_KY'!$L$7:$L$506,"&gt;90"))</f>
        <v/>
      </c>
      <c r="P79" s="201">
        <f>IF($A79="","",IF($H79&lt;0,"DƯ ÂM/TRẢ TRƯỚC",IF(ABS($H79-SUM($K79:$O79))&lt;1,"OK","LỆCH TUỔI NỢ")))</f>
        <v/>
      </c>
    </row>
    <row r="80">
      <c r="A80" s="201">
        <f>IF('01_DANH_MUC'!$A70="","",'01_DANH_MUC'!$A70)</f>
        <v/>
      </c>
      <c r="B80" s="198">
        <f>IF($A80="","",'01_DANH_MUC'!$B70)</f>
        <v/>
      </c>
      <c r="C80" s="201">
        <f>IF($A80="","",'01_DANH_MUC'!$C70)</f>
        <v/>
      </c>
      <c r="D80" s="231">
        <f>IF($A80="","",'01_DANH_MUC'!$D70)</f>
        <v/>
      </c>
      <c r="E80" s="232">
        <f>IF($A80="","",'01_DANH_MUC'!$F70+SUMIFS('02_NHAT_KY'!$G$7:$G$506,'02_NHAT_KY'!$C$7:$C$506,$A80,'02_NHAT_KY'!$A$7:$A$506,"&lt;"&amp;$B$4)-SUMIFS('02_NHAT_KY'!$H$7:$H$506,'02_NHAT_KY'!$C$7:$C$506,$A80,'02_NHAT_KY'!$A$7:$A$506,"&lt;"&amp;$B$4))</f>
        <v/>
      </c>
      <c r="F80" s="232">
        <f>IF($A80="","",SUMIFS('02_NHAT_KY'!$G$7:$G$506,'02_NHAT_KY'!$C$7:$C$506,$A80,'02_NHAT_KY'!$A$7:$A$506,"&gt;="&amp;$B$4,'02_NHAT_KY'!$A$7:$A$506,"&lt;="&amp;$E$4))</f>
        <v/>
      </c>
      <c r="G80" s="232">
        <f>IF($A80="","",SUMIFS('02_NHAT_KY'!$H$7:$H$506,'02_NHAT_KY'!$C$7:$C$506,$A80,'02_NHAT_KY'!$A$7:$A$506,"&gt;="&amp;$B$4,'02_NHAT_KY'!$A$7:$A$506,"&lt;="&amp;$E$4))</f>
        <v/>
      </c>
      <c r="H80" s="232">
        <f>IF($A80="","",$E80+$F80-$G80)</f>
        <v/>
      </c>
      <c r="I80" s="233">
        <f>IF($A80="","",IF($H80&lt;=0,0,MAX(IF(AND('01_DANH_MUC'!$H70&gt;0,'01_DANH_MUC'!$G70&lt;&gt;""),MAX(0,$E$4-'01_DANH_MUC'!$G70),0),IFERROR(MAXIFS('02_NHAT_KY'!$L$7:$L$506,'02_NHAT_KY'!$C$7:$C$506,$A80),0))))</f>
        <v/>
      </c>
      <c r="J80" s="201">
        <f>IF($A80="","",IF($H80&lt;=0,"Không có dư nợ",IF($I80&gt;0,"Quá hạn","Trong hạn")))</f>
        <v/>
      </c>
      <c r="K80" s="232">
        <f>IF($A80="","",IF(AND('01_DANH_MUC'!$H70&gt;0,OR('01_DANH_MUC'!$G70="",'01_DANH_MUC'!$G70&gt;=$E$4)),'01_DANH_MUC'!$H70,0)+SUMIFS('02_NHAT_KY'!$K$7:$K$506,'02_NHAT_KY'!$C$7:$C$506,$A80,'02_NHAT_KY'!$J$7:$J$506,"&gt;="&amp;$E$4)+SUMIFS('02_NHAT_KY'!$K$7:$K$506,'02_NHAT_KY'!$C$7:$C$506,$A80,'02_NHAT_KY'!$J$7:$J$506,""))</f>
        <v/>
      </c>
      <c r="L80" s="232">
        <f>IF($A80="","",IF(AND('01_DANH_MUC'!$H70&gt;0,'01_DANH_MUC'!$G70&lt;$E$4,$E$4-'01_DANH_MUC'!$G70&lt;=30),'01_DANH_MUC'!$H70,0)+SUMIFS('02_NHAT_KY'!$K$7:$K$506,'02_NHAT_KY'!$C$7:$C$506,$A80,'02_NHAT_KY'!$L$7:$L$506,"&gt;=1",'02_NHAT_KY'!$L$7:$L$506,"&lt;=30"))</f>
        <v/>
      </c>
      <c r="M80" s="232">
        <f>IF($A80="","",IF(AND('01_DANH_MUC'!$H70&gt;0,'01_DANH_MUC'!$G70&lt;$E$4,$E$4-'01_DANH_MUC'!$G70&gt;=31,$E$4-'01_DANH_MUC'!$G70&lt;=60),'01_DANH_MUC'!$H70,0)+SUMIFS('02_NHAT_KY'!$K$7:$K$506,'02_NHAT_KY'!$C$7:$C$506,$A80,'02_NHAT_KY'!$L$7:$L$506,"&gt;=31",'02_NHAT_KY'!$L$7:$L$506,"&lt;=60"))</f>
        <v/>
      </c>
      <c r="N80" s="232">
        <f>IF($A80="","",IF(AND('01_DANH_MUC'!$H70&gt;0,'01_DANH_MUC'!$G70&lt;$E$4,$E$4-'01_DANH_MUC'!$G70&gt;=61,$E$4-'01_DANH_MUC'!$G70&lt;=90),'01_DANH_MUC'!$H70,0)+SUMIFS('02_NHAT_KY'!$K$7:$K$506,'02_NHAT_KY'!$C$7:$C$506,$A80,'02_NHAT_KY'!$L$7:$L$506,"&gt;=61",'02_NHAT_KY'!$L$7:$L$506,"&lt;=90"))</f>
        <v/>
      </c>
      <c r="O80" s="232">
        <f>IF($A80="","",IF(AND('01_DANH_MUC'!$H70&gt;0,'01_DANH_MUC'!$G70&lt;$E$4,$E$4-'01_DANH_MUC'!$G70&gt;90),'01_DANH_MUC'!$H70,0)+SUMIFS('02_NHAT_KY'!$K$7:$K$506,'02_NHAT_KY'!$C$7:$C$506,$A80,'02_NHAT_KY'!$L$7:$L$506,"&gt;90"))</f>
        <v/>
      </c>
      <c r="P80" s="201">
        <f>IF($A80="","",IF($H80&lt;0,"DƯ ÂM/TRẢ TRƯỚC",IF(ABS($H80-SUM($K80:$O80))&lt;1,"OK","LỆCH TUỔI NỢ")))</f>
        <v/>
      </c>
    </row>
    <row r="81">
      <c r="A81" s="201">
        <f>IF('01_DANH_MUC'!$A71="","",'01_DANH_MUC'!$A71)</f>
        <v/>
      </c>
      <c r="B81" s="198">
        <f>IF($A81="","",'01_DANH_MUC'!$B71)</f>
        <v/>
      </c>
      <c r="C81" s="201">
        <f>IF($A81="","",'01_DANH_MUC'!$C71)</f>
        <v/>
      </c>
      <c r="D81" s="231">
        <f>IF($A81="","",'01_DANH_MUC'!$D71)</f>
        <v/>
      </c>
      <c r="E81" s="232">
        <f>IF($A81="","",'01_DANH_MUC'!$F71+SUMIFS('02_NHAT_KY'!$G$7:$G$506,'02_NHAT_KY'!$C$7:$C$506,$A81,'02_NHAT_KY'!$A$7:$A$506,"&lt;"&amp;$B$4)-SUMIFS('02_NHAT_KY'!$H$7:$H$506,'02_NHAT_KY'!$C$7:$C$506,$A81,'02_NHAT_KY'!$A$7:$A$506,"&lt;"&amp;$B$4))</f>
        <v/>
      </c>
      <c r="F81" s="232">
        <f>IF($A81="","",SUMIFS('02_NHAT_KY'!$G$7:$G$506,'02_NHAT_KY'!$C$7:$C$506,$A81,'02_NHAT_KY'!$A$7:$A$506,"&gt;="&amp;$B$4,'02_NHAT_KY'!$A$7:$A$506,"&lt;="&amp;$E$4))</f>
        <v/>
      </c>
      <c r="G81" s="232">
        <f>IF($A81="","",SUMIFS('02_NHAT_KY'!$H$7:$H$506,'02_NHAT_KY'!$C$7:$C$506,$A81,'02_NHAT_KY'!$A$7:$A$506,"&gt;="&amp;$B$4,'02_NHAT_KY'!$A$7:$A$506,"&lt;="&amp;$E$4))</f>
        <v/>
      </c>
      <c r="H81" s="232">
        <f>IF($A81="","",$E81+$F81-$G81)</f>
        <v/>
      </c>
      <c r="I81" s="233">
        <f>IF($A81="","",IF($H81&lt;=0,0,MAX(IF(AND('01_DANH_MUC'!$H71&gt;0,'01_DANH_MUC'!$G71&lt;&gt;""),MAX(0,$E$4-'01_DANH_MUC'!$G71),0),IFERROR(MAXIFS('02_NHAT_KY'!$L$7:$L$506,'02_NHAT_KY'!$C$7:$C$506,$A81),0))))</f>
        <v/>
      </c>
      <c r="J81" s="201">
        <f>IF($A81="","",IF($H81&lt;=0,"Không có dư nợ",IF($I81&gt;0,"Quá hạn","Trong hạn")))</f>
        <v/>
      </c>
      <c r="K81" s="232">
        <f>IF($A81="","",IF(AND('01_DANH_MUC'!$H71&gt;0,OR('01_DANH_MUC'!$G71="",'01_DANH_MUC'!$G71&gt;=$E$4)),'01_DANH_MUC'!$H71,0)+SUMIFS('02_NHAT_KY'!$K$7:$K$506,'02_NHAT_KY'!$C$7:$C$506,$A81,'02_NHAT_KY'!$J$7:$J$506,"&gt;="&amp;$E$4)+SUMIFS('02_NHAT_KY'!$K$7:$K$506,'02_NHAT_KY'!$C$7:$C$506,$A81,'02_NHAT_KY'!$J$7:$J$506,""))</f>
        <v/>
      </c>
      <c r="L81" s="232">
        <f>IF($A81="","",IF(AND('01_DANH_MUC'!$H71&gt;0,'01_DANH_MUC'!$G71&lt;$E$4,$E$4-'01_DANH_MUC'!$G71&lt;=30),'01_DANH_MUC'!$H71,0)+SUMIFS('02_NHAT_KY'!$K$7:$K$506,'02_NHAT_KY'!$C$7:$C$506,$A81,'02_NHAT_KY'!$L$7:$L$506,"&gt;=1",'02_NHAT_KY'!$L$7:$L$506,"&lt;=30"))</f>
        <v/>
      </c>
      <c r="M81" s="232">
        <f>IF($A81="","",IF(AND('01_DANH_MUC'!$H71&gt;0,'01_DANH_MUC'!$G71&lt;$E$4,$E$4-'01_DANH_MUC'!$G71&gt;=31,$E$4-'01_DANH_MUC'!$G71&lt;=60),'01_DANH_MUC'!$H71,0)+SUMIFS('02_NHAT_KY'!$K$7:$K$506,'02_NHAT_KY'!$C$7:$C$506,$A81,'02_NHAT_KY'!$L$7:$L$506,"&gt;=31",'02_NHAT_KY'!$L$7:$L$506,"&lt;=60"))</f>
        <v/>
      </c>
      <c r="N81" s="232">
        <f>IF($A81="","",IF(AND('01_DANH_MUC'!$H71&gt;0,'01_DANH_MUC'!$G71&lt;$E$4,$E$4-'01_DANH_MUC'!$G71&gt;=61,$E$4-'01_DANH_MUC'!$G71&lt;=90),'01_DANH_MUC'!$H71,0)+SUMIFS('02_NHAT_KY'!$K$7:$K$506,'02_NHAT_KY'!$C$7:$C$506,$A81,'02_NHAT_KY'!$L$7:$L$506,"&gt;=61",'02_NHAT_KY'!$L$7:$L$506,"&lt;=90"))</f>
        <v/>
      </c>
      <c r="O81" s="232">
        <f>IF($A81="","",IF(AND('01_DANH_MUC'!$H71&gt;0,'01_DANH_MUC'!$G71&lt;$E$4,$E$4-'01_DANH_MUC'!$G71&gt;90),'01_DANH_MUC'!$H71,0)+SUMIFS('02_NHAT_KY'!$K$7:$K$506,'02_NHAT_KY'!$C$7:$C$506,$A81,'02_NHAT_KY'!$L$7:$L$506,"&gt;90"))</f>
        <v/>
      </c>
      <c r="P81" s="201">
        <f>IF($A81="","",IF($H81&lt;0,"DƯ ÂM/TRẢ TRƯỚC",IF(ABS($H81-SUM($K81:$O81))&lt;1,"OK","LỆCH TUỔI NỢ")))</f>
        <v/>
      </c>
    </row>
    <row r="82">
      <c r="A82" s="201">
        <f>IF('01_DANH_MUC'!$A72="","",'01_DANH_MUC'!$A72)</f>
        <v/>
      </c>
      <c r="B82" s="198">
        <f>IF($A82="","",'01_DANH_MUC'!$B72)</f>
        <v/>
      </c>
      <c r="C82" s="201">
        <f>IF($A82="","",'01_DANH_MUC'!$C72)</f>
        <v/>
      </c>
      <c r="D82" s="231">
        <f>IF($A82="","",'01_DANH_MUC'!$D72)</f>
        <v/>
      </c>
      <c r="E82" s="232">
        <f>IF($A82="","",'01_DANH_MUC'!$F72+SUMIFS('02_NHAT_KY'!$G$7:$G$506,'02_NHAT_KY'!$C$7:$C$506,$A82,'02_NHAT_KY'!$A$7:$A$506,"&lt;"&amp;$B$4)-SUMIFS('02_NHAT_KY'!$H$7:$H$506,'02_NHAT_KY'!$C$7:$C$506,$A82,'02_NHAT_KY'!$A$7:$A$506,"&lt;"&amp;$B$4))</f>
        <v/>
      </c>
      <c r="F82" s="232">
        <f>IF($A82="","",SUMIFS('02_NHAT_KY'!$G$7:$G$506,'02_NHAT_KY'!$C$7:$C$506,$A82,'02_NHAT_KY'!$A$7:$A$506,"&gt;="&amp;$B$4,'02_NHAT_KY'!$A$7:$A$506,"&lt;="&amp;$E$4))</f>
        <v/>
      </c>
      <c r="G82" s="232">
        <f>IF($A82="","",SUMIFS('02_NHAT_KY'!$H$7:$H$506,'02_NHAT_KY'!$C$7:$C$506,$A82,'02_NHAT_KY'!$A$7:$A$506,"&gt;="&amp;$B$4,'02_NHAT_KY'!$A$7:$A$506,"&lt;="&amp;$E$4))</f>
        <v/>
      </c>
      <c r="H82" s="232">
        <f>IF($A82="","",$E82+$F82-$G82)</f>
        <v/>
      </c>
      <c r="I82" s="233">
        <f>IF($A82="","",IF($H82&lt;=0,0,MAX(IF(AND('01_DANH_MUC'!$H72&gt;0,'01_DANH_MUC'!$G72&lt;&gt;""),MAX(0,$E$4-'01_DANH_MUC'!$G72),0),IFERROR(MAXIFS('02_NHAT_KY'!$L$7:$L$506,'02_NHAT_KY'!$C$7:$C$506,$A82),0))))</f>
        <v/>
      </c>
      <c r="J82" s="201">
        <f>IF($A82="","",IF($H82&lt;=0,"Không có dư nợ",IF($I82&gt;0,"Quá hạn","Trong hạn")))</f>
        <v/>
      </c>
      <c r="K82" s="232">
        <f>IF($A82="","",IF(AND('01_DANH_MUC'!$H72&gt;0,OR('01_DANH_MUC'!$G72="",'01_DANH_MUC'!$G72&gt;=$E$4)),'01_DANH_MUC'!$H72,0)+SUMIFS('02_NHAT_KY'!$K$7:$K$506,'02_NHAT_KY'!$C$7:$C$506,$A82,'02_NHAT_KY'!$J$7:$J$506,"&gt;="&amp;$E$4)+SUMIFS('02_NHAT_KY'!$K$7:$K$506,'02_NHAT_KY'!$C$7:$C$506,$A82,'02_NHAT_KY'!$J$7:$J$506,""))</f>
        <v/>
      </c>
      <c r="L82" s="232">
        <f>IF($A82="","",IF(AND('01_DANH_MUC'!$H72&gt;0,'01_DANH_MUC'!$G72&lt;$E$4,$E$4-'01_DANH_MUC'!$G72&lt;=30),'01_DANH_MUC'!$H72,0)+SUMIFS('02_NHAT_KY'!$K$7:$K$506,'02_NHAT_KY'!$C$7:$C$506,$A82,'02_NHAT_KY'!$L$7:$L$506,"&gt;=1",'02_NHAT_KY'!$L$7:$L$506,"&lt;=30"))</f>
        <v/>
      </c>
      <c r="M82" s="232">
        <f>IF($A82="","",IF(AND('01_DANH_MUC'!$H72&gt;0,'01_DANH_MUC'!$G72&lt;$E$4,$E$4-'01_DANH_MUC'!$G72&gt;=31,$E$4-'01_DANH_MUC'!$G72&lt;=60),'01_DANH_MUC'!$H72,0)+SUMIFS('02_NHAT_KY'!$K$7:$K$506,'02_NHAT_KY'!$C$7:$C$506,$A82,'02_NHAT_KY'!$L$7:$L$506,"&gt;=31",'02_NHAT_KY'!$L$7:$L$506,"&lt;=60"))</f>
        <v/>
      </c>
      <c r="N82" s="232">
        <f>IF($A82="","",IF(AND('01_DANH_MUC'!$H72&gt;0,'01_DANH_MUC'!$G72&lt;$E$4,$E$4-'01_DANH_MUC'!$G72&gt;=61,$E$4-'01_DANH_MUC'!$G72&lt;=90),'01_DANH_MUC'!$H72,0)+SUMIFS('02_NHAT_KY'!$K$7:$K$506,'02_NHAT_KY'!$C$7:$C$506,$A82,'02_NHAT_KY'!$L$7:$L$506,"&gt;=61",'02_NHAT_KY'!$L$7:$L$506,"&lt;=90"))</f>
        <v/>
      </c>
      <c r="O82" s="232">
        <f>IF($A82="","",IF(AND('01_DANH_MUC'!$H72&gt;0,'01_DANH_MUC'!$G72&lt;$E$4,$E$4-'01_DANH_MUC'!$G72&gt;90),'01_DANH_MUC'!$H72,0)+SUMIFS('02_NHAT_KY'!$K$7:$K$506,'02_NHAT_KY'!$C$7:$C$506,$A82,'02_NHAT_KY'!$L$7:$L$506,"&gt;90"))</f>
        <v/>
      </c>
      <c r="P82" s="201">
        <f>IF($A82="","",IF($H82&lt;0,"DƯ ÂM/TRẢ TRƯỚC",IF(ABS($H82-SUM($K82:$O82))&lt;1,"OK","LỆCH TUỔI NỢ")))</f>
        <v/>
      </c>
    </row>
    <row r="83">
      <c r="A83" s="201">
        <f>IF('01_DANH_MUC'!$A73="","",'01_DANH_MUC'!$A73)</f>
        <v/>
      </c>
      <c r="B83" s="198">
        <f>IF($A83="","",'01_DANH_MUC'!$B73)</f>
        <v/>
      </c>
      <c r="C83" s="201">
        <f>IF($A83="","",'01_DANH_MUC'!$C73)</f>
        <v/>
      </c>
      <c r="D83" s="231">
        <f>IF($A83="","",'01_DANH_MUC'!$D73)</f>
        <v/>
      </c>
      <c r="E83" s="232">
        <f>IF($A83="","",'01_DANH_MUC'!$F73+SUMIFS('02_NHAT_KY'!$G$7:$G$506,'02_NHAT_KY'!$C$7:$C$506,$A83,'02_NHAT_KY'!$A$7:$A$506,"&lt;"&amp;$B$4)-SUMIFS('02_NHAT_KY'!$H$7:$H$506,'02_NHAT_KY'!$C$7:$C$506,$A83,'02_NHAT_KY'!$A$7:$A$506,"&lt;"&amp;$B$4))</f>
        <v/>
      </c>
      <c r="F83" s="232">
        <f>IF($A83="","",SUMIFS('02_NHAT_KY'!$G$7:$G$506,'02_NHAT_KY'!$C$7:$C$506,$A83,'02_NHAT_KY'!$A$7:$A$506,"&gt;="&amp;$B$4,'02_NHAT_KY'!$A$7:$A$506,"&lt;="&amp;$E$4))</f>
        <v/>
      </c>
      <c r="G83" s="232">
        <f>IF($A83="","",SUMIFS('02_NHAT_KY'!$H$7:$H$506,'02_NHAT_KY'!$C$7:$C$506,$A83,'02_NHAT_KY'!$A$7:$A$506,"&gt;="&amp;$B$4,'02_NHAT_KY'!$A$7:$A$506,"&lt;="&amp;$E$4))</f>
        <v/>
      </c>
      <c r="H83" s="232">
        <f>IF($A83="","",$E83+$F83-$G83)</f>
        <v/>
      </c>
      <c r="I83" s="233">
        <f>IF($A83="","",IF($H83&lt;=0,0,MAX(IF(AND('01_DANH_MUC'!$H73&gt;0,'01_DANH_MUC'!$G73&lt;&gt;""),MAX(0,$E$4-'01_DANH_MUC'!$G73),0),IFERROR(MAXIFS('02_NHAT_KY'!$L$7:$L$506,'02_NHAT_KY'!$C$7:$C$506,$A83),0))))</f>
        <v/>
      </c>
      <c r="J83" s="201">
        <f>IF($A83="","",IF($H83&lt;=0,"Không có dư nợ",IF($I83&gt;0,"Quá hạn","Trong hạn")))</f>
        <v/>
      </c>
      <c r="K83" s="232">
        <f>IF($A83="","",IF(AND('01_DANH_MUC'!$H73&gt;0,OR('01_DANH_MUC'!$G73="",'01_DANH_MUC'!$G73&gt;=$E$4)),'01_DANH_MUC'!$H73,0)+SUMIFS('02_NHAT_KY'!$K$7:$K$506,'02_NHAT_KY'!$C$7:$C$506,$A83,'02_NHAT_KY'!$J$7:$J$506,"&gt;="&amp;$E$4)+SUMIFS('02_NHAT_KY'!$K$7:$K$506,'02_NHAT_KY'!$C$7:$C$506,$A83,'02_NHAT_KY'!$J$7:$J$506,""))</f>
        <v/>
      </c>
      <c r="L83" s="232">
        <f>IF($A83="","",IF(AND('01_DANH_MUC'!$H73&gt;0,'01_DANH_MUC'!$G73&lt;$E$4,$E$4-'01_DANH_MUC'!$G73&lt;=30),'01_DANH_MUC'!$H73,0)+SUMIFS('02_NHAT_KY'!$K$7:$K$506,'02_NHAT_KY'!$C$7:$C$506,$A83,'02_NHAT_KY'!$L$7:$L$506,"&gt;=1",'02_NHAT_KY'!$L$7:$L$506,"&lt;=30"))</f>
        <v/>
      </c>
      <c r="M83" s="232">
        <f>IF($A83="","",IF(AND('01_DANH_MUC'!$H73&gt;0,'01_DANH_MUC'!$G73&lt;$E$4,$E$4-'01_DANH_MUC'!$G73&gt;=31,$E$4-'01_DANH_MUC'!$G73&lt;=60),'01_DANH_MUC'!$H73,0)+SUMIFS('02_NHAT_KY'!$K$7:$K$506,'02_NHAT_KY'!$C$7:$C$506,$A83,'02_NHAT_KY'!$L$7:$L$506,"&gt;=31",'02_NHAT_KY'!$L$7:$L$506,"&lt;=60"))</f>
        <v/>
      </c>
      <c r="N83" s="232">
        <f>IF($A83="","",IF(AND('01_DANH_MUC'!$H73&gt;0,'01_DANH_MUC'!$G73&lt;$E$4,$E$4-'01_DANH_MUC'!$G73&gt;=61,$E$4-'01_DANH_MUC'!$G73&lt;=90),'01_DANH_MUC'!$H73,0)+SUMIFS('02_NHAT_KY'!$K$7:$K$506,'02_NHAT_KY'!$C$7:$C$506,$A83,'02_NHAT_KY'!$L$7:$L$506,"&gt;=61",'02_NHAT_KY'!$L$7:$L$506,"&lt;=90"))</f>
        <v/>
      </c>
      <c r="O83" s="232">
        <f>IF($A83="","",IF(AND('01_DANH_MUC'!$H73&gt;0,'01_DANH_MUC'!$G73&lt;$E$4,$E$4-'01_DANH_MUC'!$G73&gt;90),'01_DANH_MUC'!$H73,0)+SUMIFS('02_NHAT_KY'!$K$7:$K$506,'02_NHAT_KY'!$C$7:$C$506,$A83,'02_NHAT_KY'!$L$7:$L$506,"&gt;90"))</f>
        <v/>
      </c>
      <c r="P83" s="201">
        <f>IF($A83="","",IF($H83&lt;0,"DƯ ÂM/TRẢ TRƯỚC",IF(ABS($H83-SUM($K83:$O83))&lt;1,"OK","LỆCH TUỔI NỢ")))</f>
        <v/>
      </c>
    </row>
    <row r="84">
      <c r="A84" s="201">
        <f>IF('01_DANH_MUC'!$A74="","",'01_DANH_MUC'!$A74)</f>
        <v/>
      </c>
      <c r="B84" s="198">
        <f>IF($A84="","",'01_DANH_MUC'!$B74)</f>
        <v/>
      </c>
      <c r="C84" s="201">
        <f>IF($A84="","",'01_DANH_MUC'!$C74)</f>
        <v/>
      </c>
      <c r="D84" s="231">
        <f>IF($A84="","",'01_DANH_MUC'!$D74)</f>
        <v/>
      </c>
      <c r="E84" s="232">
        <f>IF($A84="","",'01_DANH_MUC'!$F74+SUMIFS('02_NHAT_KY'!$G$7:$G$506,'02_NHAT_KY'!$C$7:$C$506,$A84,'02_NHAT_KY'!$A$7:$A$506,"&lt;"&amp;$B$4)-SUMIFS('02_NHAT_KY'!$H$7:$H$506,'02_NHAT_KY'!$C$7:$C$506,$A84,'02_NHAT_KY'!$A$7:$A$506,"&lt;"&amp;$B$4))</f>
        <v/>
      </c>
      <c r="F84" s="232">
        <f>IF($A84="","",SUMIFS('02_NHAT_KY'!$G$7:$G$506,'02_NHAT_KY'!$C$7:$C$506,$A84,'02_NHAT_KY'!$A$7:$A$506,"&gt;="&amp;$B$4,'02_NHAT_KY'!$A$7:$A$506,"&lt;="&amp;$E$4))</f>
        <v/>
      </c>
      <c r="G84" s="232">
        <f>IF($A84="","",SUMIFS('02_NHAT_KY'!$H$7:$H$506,'02_NHAT_KY'!$C$7:$C$506,$A84,'02_NHAT_KY'!$A$7:$A$506,"&gt;="&amp;$B$4,'02_NHAT_KY'!$A$7:$A$506,"&lt;="&amp;$E$4))</f>
        <v/>
      </c>
      <c r="H84" s="232">
        <f>IF($A84="","",$E84+$F84-$G84)</f>
        <v/>
      </c>
      <c r="I84" s="233">
        <f>IF($A84="","",IF($H84&lt;=0,0,MAX(IF(AND('01_DANH_MUC'!$H74&gt;0,'01_DANH_MUC'!$G74&lt;&gt;""),MAX(0,$E$4-'01_DANH_MUC'!$G74),0),IFERROR(MAXIFS('02_NHAT_KY'!$L$7:$L$506,'02_NHAT_KY'!$C$7:$C$506,$A84),0))))</f>
        <v/>
      </c>
      <c r="J84" s="201">
        <f>IF($A84="","",IF($H84&lt;=0,"Không có dư nợ",IF($I84&gt;0,"Quá hạn","Trong hạn")))</f>
        <v/>
      </c>
      <c r="K84" s="232">
        <f>IF($A84="","",IF(AND('01_DANH_MUC'!$H74&gt;0,OR('01_DANH_MUC'!$G74="",'01_DANH_MUC'!$G74&gt;=$E$4)),'01_DANH_MUC'!$H74,0)+SUMIFS('02_NHAT_KY'!$K$7:$K$506,'02_NHAT_KY'!$C$7:$C$506,$A84,'02_NHAT_KY'!$J$7:$J$506,"&gt;="&amp;$E$4)+SUMIFS('02_NHAT_KY'!$K$7:$K$506,'02_NHAT_KY'!$C$7:$C$506,$A84,'02_NHAT_KY'!$J$7:$J$506,""))</f>
        <v/>
      </c>
      <c r="L84" s="232">
        <f>IF($A84="","",IF(AND('01_DANH_MUC'!$H74&gt;0,'01_DANH_MUC'!$G74&lt;$E$4,$E$4-'01_DANH_MUC'!$G74&lt;=30),'01_DANH_MUC'!$H74,0)+SUMIFS('02_NHAT_KY'!$K$7:$K$506,'02_NHAT_KY'!$C$7:$C$506,$A84,'02_NHAT_KY'!$L$7:$L$506,"&gt;=1",'02_NHAT_KY'!$L$7:$L$506,"&lt;=30"))</f>
        <v/>
      </c>
      <c r="M84" s="232">
        <f>IF($A84="","",IF(AND('01_DANH_MUC'!$H74&gt;0,'01_DANH_MUC'!$G74&lt;$E$4,$E$4-'01_DANH_MUC'!$G74&gt;=31,$E$4-'01_DANH_MUC'!$G74&lt;=60),'01_DANH_MUC'!$H74,0)+SUMIFS('02_NHAT_KY'!$K$7:$K$506,'02_NHAT_KY'!$C$7:$C$506,$A84,'02_NHAT_KY'!$L$7:$L$506,"&gt;=31",'02_NHAT_KY'!$L$7:$L$506,"&lt;=60"))</f>
        <v/>
      </c>
      <c r="N84" s="232">
        <f>IF($A84="","",IF(AND('01_DANH_MUC'!$H74&gt;0,'01_DANH_MUC'!$G74&lt;$E$4,$E$4-'01_DANH_MUC'!$G74&gt;=61,$E$4-'01_DANH_MUC'!$G74&lt;=90),'01_DANH_MUC'!$H74,0)+SUMIFS('02_NHAT_KY'!$K$7:$K$506,'02_NHAT_KY'!$C$7:$C$506,$A84,'02_NHAT_KY'!$L$7:$L$506,"&gt;=61",'02_NHAT_KY'!$L$7:$L$506,"&lt;=90"))</f>
        <v/>
      </c>
      <c r="O84" s="232">
        <f>IF($A84="","",IF(AND('01_DANH_MUC'!$H74&gt;0,'01_DANH_MUC'!$G74&lt;$E$4,$E$4-'01_DANH_MUC'!$G74&gt;90),'01_DANH_MUC'!$H74,0)+SUMIFS('02_NHAT_KY'!$K$7:$K$506,'02_NHAT_KY'!$C$7:$C$506,$A84,'02_NHAT_KY'!$L$7:$L$506,"&gt;90"))</f>
        <v/>
      </c>
      <c r="P84" s="201">
        <f>IF($A84="","",IF($H84&lt;0,"DƯ ÂM/TRẢ TRƯỚC",IF(ABS($H84-SUM($K84:$O84))&lt;1,"OK","LỆCH TUỔI NỢ")))</f>
        <v/>
      </c>
    </row>
    <row r="85">
      <c r="A85" s="201">
        <f>IF('01_DANH_MUC'!$A75="","",'01_DANH_MUC'!$A75)</f>
        <v/>
      </c>
      <c r="B85" s="198">
        <f>IF($A85="","",'01_DANH_MUC'!$B75)</f>
        <v/>
      </c>
      <c r="C85" s="201">
        <f>IF($A85="","",'01_DANH_MUC'!$C75)</f>
        <v/>
      </c>
      <c r="D85" s="231">
        <f>IF($A85="","",'01_DANH_MUC'!$D75)</f>
        <v/>
      </c>
      <c r="E85" s="232">
        <f>IF($A85="","",'01_DANH_MUC'!$F75+SUMIFS('02_NHAT_KY'!$G$7:$G$506,'02_NHAT_KY'!$C$7:$C$506,$A85,'02_NHAT_KY'!$A$7:$A$506,"&lt;"&amp;$B$4)-SUMIFS('02_NHAT_KY'!$H$7:$H$506,'02_NHAT_KY'!$C$7:$C$506,$A85,'02_NHAT_KY'!$A$7:$A$506,"&lt;"&amp;$B$4))</f>
        <v/>
      </c>
      <c r="F85" s="232">
        <f>IF($A85="","",SUMIFS('02_NHAT_KY'!$G$7:$G$506,'02_NHAT_KY'!$C$7:$C$506,$A85,'02_NHAT_KY'!$A$7:$A$506,"&gt;="&amp;$B$4,'02_NHAT_KY'!$A$7:$A$506,"&lt;="&amp;$E$4))</f>
        <v/>
      </c>
      <c r="G85" s="232">
        <f>IF($A85="","",SUMIFS('02_NHAT_KY'!$H$7:$H$506,'02_NHAT_KY'!$C$7:$C$506,$A85,'02_NHAT_KY'!$A$7:$A$506,"&gt;="&amp;$B$4,'02_NHAT_KY'!$A$7:$A$506,"&lt;="&amp;$E$4))</f>
        <v/>
      </c>
      <c r="H85" s="232">
        <f>IF($A85="","",$E85+$F85-$G85)</f>
        <v/>
      </c>
      <c r="I85" s="233">
        <f>IF($A85="","",IF($H85&lt;=0,0,MAX(IF(AND('01_DANH_MUC'!$H75&gt;0,'01_DANH_MUC'!$G75&lt;&gt;""),MAX(0,$E$4-'01_DANH_MUC'!$G75),0),IFERROR(MAXIFS('02_NHAT_KY'!$L$7:$L$506,'02_NHAT_KY'!$C$7:$C$506,$A85),0))))</f>
        <v/>
      </c>
      <c r="J85" s="201">
        <f>IF($A85="","",IF($H85&lt;=0,"Không có dư nợ",IF($I85&gt;0,"Quá hạn","Trong hạn")))</f>
        <v/>
      </c>
      <c r="K85" s="232">
        <f>IF($A85="","",IF(AND('01_DANH_MUC'!$H75&gt;0,OR('01_DANH_MUC'!$G75="",'01_DANH_MUC'!$G75&gt;=$E$4)),'01_DANH_MUC'!$H75,0)+SUMIFS('02_NHAT_KY'!$K$7:$K$506,'02_NHAT_KY'!$C$7:$C$506,$A85,'02_NHAT_KY'!$J$7:$J$506,"&gt;="&amp;$E$4)+SUMIFS('02_NHAT_KY'!$K$7:$K$506,'02_NHAT_KY'!$C$7:$C$506,$A85,'02_NHAT_KY'!$J$7:$J$506,""))</f>
        <v/>
      </c>
      <c r="L85" s="232">
        <f>IF($A85="","",IF(AND('01_DANH_MUC'!$H75&gt;0,'01_DANH_MUC'!$G75&lt;$E$4,$E$4-'01_DANH_MUC'!$G75&lt;=30),'01_DANH_MUC'!$H75,0)+SUMIFS('02_NHAT_KY'!$K$7:$K$506,'02_NHAT_KY'!$C$7:$C$506,$A85,'02_NHAT_KY'!$L$7:$L$506,"&gt;=1",'02_NHAT_KY'!$L$7:$L$506,"&lt;=30"))</f>
        <v/>
      </c>
      <c r="M85" s="232">
        <f>IF($A85="","",IF(AND('01_DANH_MUC'!$H75&gt;0,'01_DANH_MUC'!$G75&lt;$E$4,$E$4-'01_DANH_MUC'!$G75&gt;=31,$E$4-'01_DANH_MUC'!$G75&lt;=60),'01_DANH_MUC'!$H75,0)+SUMIFS('02_NHAT_KY'!$K$7:$K$506,'02_NHAT_KY'!$C$7:$C$506,$A85,'02_NHAT_KY'!$L$7:$L$506,"&gt;=31",'02_NHAT_KY'!$L$7:$L$506,"&lt;=60"))</f>
        <v/>
      </c>
      <c r="N85" s="232">
        <f>IF($A85="","",IF(AND('01_DANH_MUC'!$H75&gt;0,'01_DANH_MUC'!$G75&lt;$E$4,$E$4-'01_DANH_MUC'!$G75&gt;=61,$E$4-'01_DANH_MUC'!$G75&lt;=90),'01_DANH_MUC'!$H75,0)+SUMIFS('02_NHAT_KY'!$K$7:$K$506,'02_NHAT_KY'!$C$7:$C$506,$A85,'02_NHAT_KY'!$L$7:$L$506,"&gt;=61",'02_NHAT_KY'!$L$7:$L$506,"&lt;=90"))</f>
        <v/>
      </c>
      <c r="O85" s="232">
        <f>IF($A85="","",IF(AND('01_DANH_MUC'!$H75&gt;0,'01_DANH_MUC'!$G75&lt;$E$4,$E$4-'01_DANH_MUC'!$G75&gt;90),'01_DANH_MUC'!$H75,0)+SUMIFS('02_NHAT_KY'!$K$7:$K$506,'02_NHAT_KY'!$C$7:$C$506,$A85,'02_NHAT_KY'!$L$7:$L$506,"&gt;90"))</f>
        <v/>
      </c>
      <c r="P85" s="201">
        <f>IF($A85="","",IF($H85&lt;0,"DƯ ÂM/TRẢ TRƯỚC",IF(ABS($H85-SUM($K85:$O85))&lt;1,"OK","LỆCH TUỔI NỢ")))</f>
        <v/>
      </c>
    </row>
    <row r="86">
      <c r="A86" s="201">
        <f>IF('01_DANH_MUC'!$A76="","",'01_DANH_MUC'!$A76)</f>
        <v/>
      </c>
      <c r="B86" s="198">
        <f>IF($A86="","",'01_DANH_MUC'!$B76)</f>
        <v/>
      </c>
      <c r="C86" s="201">
        <f>IF($A86="","",'01_DANH_MUC'!$C76)</f>
        <v/>
      </c>
      <c r="D86" s="231">
        <f>IF($A86="","",'01_DANH_MUC'!$D76)</f>
        <v/>
      </c>
      <c r="E86" s="232">
        <f>IF($A86="","",'01_DANH_MUC'!$F76+SUMIFS('02_NHAT_KY'!$G$7:$G$506,'02_NHAT_KY'!$C$7:$C$506,$A86,'02_NHAT_KY'!$A$7:$A$506,"&lt;"&amp;$B$4)-SUMIFS('02_NHAT_KY'!$H$7:$H$506,'02_NHAT_KY'!$C$7:$C$506,$A86,'02_NHAT_KY'!$A$7:$A$506,"&lt;"&amp;$B$4))</f>
        <v/>
      </c>
      <c r="F86" s="232">
        <f>IF($A86="","",SUMIFS('02_NHAT_KY'!$G$7:$G$506,'02_NHAT_KY'!$C$7:$C$506,$A86,'02_NHAT_KY'!$A$7:$A$506,"&gt;="&amp;$B$4,'02_NHAT_KY'!$A$7:$A$506,"&lt;="&amp;$E$4))</f>
        <v/>
      </c>
      <c r="G86" s="232">
        <f>IF($A86="","",SUMIFS('02_NHAT_KY'!$H$7:$H$506,'02_NHAT_KY'!$C$7:$C$506,$A86,'02_NHAT_KY'!$A$7:$A$506,"&gt;="&amp;$B$4,'02_NHAT_KY'!$A$7:$A$506,"&lt;="&amp;$E$4))</f>
        <v/>
      </c>
      <c r="H86" s="232">
        <f>IF($A86="","",$E86+$F86-$G86)</f>
        <v/>
      </c>
      <c r="I86" s="233">
        <f>IF($A86="","",IF($H86&lt;=0,0,MAX(IF(AND('01_DANH_MUC'!$H76&gt;0,'01_DANH_MUC'!$G76&lt;&gt;""),MAX(0,$E$4-'01_DANH_MUC'!$G76),0),IFERROR(MAXIFS('02_NHAT_KY'!$L$7:$L$506,'02_NHAT_KY'!$C$7:$C$506,$A86),0))))</f>
        <v/>
      </c>
      <c r="J86" s="201">
        <f>IF($A86="","",IF($H86&lt;=0,"Không có dư nợ",IF($I86&gt;0,"Quá hạn","Trong hạn")))</f>
        <v/>
      </c>
      <c r="K86" s="232">
        <f>IF($A86="","",IF(AND('01_DANH_MUC'!$H76&gt;0,OR('01_DANH_MUC'!$G76="",'01_DANH_MUC'!$G76&gt;=$E$4)),'01_DANH_MUC'!$H76,0)+SUMIFS('02_NHAT_KY'!$K$7:$K$506,'02_NHAT_KY'!$C$7:$C$506,$A86,'02_NHAT_KY'!$J$7:$J$506,"&gt;="&amp;$E$4)+SUMIFS('02_NHAT_KY'!$K$7:$K$506,'02_NHAT_KY'!$C$7:$C$506,$A86,'02_NHAT_KY'!$J$7:$J$506,""))</f>
        <v/>
      </c>
      <c r="L86" s="232">
        <f>IF($A86="","",IF(AND('01_DANH_MUC'!$H76&gt;0,'01_DANH_MUC'!$G76&lt;$E$4,$E$4-'01_DANH_MUC'!$G76&lt;=30),'01_DANH_MUC'!$H76,0)+SUMIFS('02_NHAT_KY'!$K$7:$K$506,'02_NHAT_KY'!$C$7:$C$506,$A86,'02_NHAT_KY'!$L$7:$L$506,"&gt;=1",'02_NHAT_KY'!$L$7:$L$506,"&lt;=30"))</f>
        <v/>
      </c>
      <c r="M86" s="232">
        <f>IF($A86="","",IF(AND('01_DANH_MUC'!$H76&gt;0,'01_DANH_MUC'!$G76&lt;$E$4,$E$4-'01_DANH_MUC'!$G76&gt;=31,$E$4-'01_DANH_MUC'!$G76&lt;=60),'01_DANH_MUC'!$H76,0)+SUMIFS('02_NHAT_KY'!$K$7:$K$506,'02_NHAT_KY'!$C$7:$C$506,$A86,'02_NHAT_KY'!$L$7:$L$506,"&gt;=31",'02_NHAT_KY'!$L$7:$L$506,"&lt;=60"))</f>
        <v/>
      </c>
      <c r="N86" s="232">
        <f>IF($A86="","",IF(AND('01_DANH_MUC'!$H76&gt;0,'01_DANH_MUC'!$G76&lt;$E$4,$E$4-'01_DANH_MUC'!$G76&gt;=61,$E$4-'01_DANH_MUC'!$G76&lt;=90),'01_DANH_MUC'!$H76,0)+SUMIFS('02_NHAT_KY'!$K$7:$K$506,'02_NHAT_KY'!$C$7:$C$506,$A86,'02_NHAT_KY'!$L$7:$L$506,"&gt;=61",'02_NHAT_KY'!$L$7:$L$506,"&lt;=90"))</f>
        <v/>
      </c>
      <c r="O86" s="232">
        <f>IF($A86="","",IF(AND('01_DANH_MUC'!$H76&gt;0,'01_DANH_MUC'!$G76&lt;$E$4,$E$4-'01_DANH_MUC'!$G76&gt;90),'01_DANH_MUC'!$H76,0)+SUMIFS('02_NHAT_KY'!$K$7:$K$506,'02_NHAT_KY'!$C$7:$C$506,$A86,'02_NHAT_KY'!$L$7:$L$506,"&gt;90"))</f>
        <v/>
      </c>
      <c r="P86" s="201">
        <f>IF($A86="","",IF($H86&lt;0,"DƯ ÂM/TRẢ TRƯỚC",IF(ABS($H86-SUM($K86:$O86))&lt;1,"OK","LỆCH TUỔI NỢ")))</f>
        <v/>
      </c>
    </row>
    <row r="87">
      <c r="A87" s="201">
        <f>IF('01_DANH_MUC'!$A77="","",'01_DANH_MUC'!$A77)</f>
        <v/>
      </c>
      <c r="B87" s="198">
        <f>IF($A87="","",'01_DANH_MUC'!$B77)</f>
        <v/>
      </c>
      <c r="C87" s="201">
        <f>IF($A87="","",'01_DANH_MUC'!$C77)</f>
        <v/>
      </c>
      <c r="D87" s="231">
        <f>IF($A87="","",'01_DANH_MUC'!$D77)</f>
        <v/>
      </c>
      <c r="E87" s="232">
        <f>IF($A87="","",'01_DANH_MUC'!$F77+SUMIFS('02_NHAT_KY'!$G$7:$G$506,'02_NHAT_KY'!$C$7:$C$506,$A87,'02_NHAT_KY'!$A$7:$A$506,"&lt;"&amp;$B$4)-SUMIFS('02_NHAT_KY'!$H$7:$H$506,'02_NHAT_KY'!$C$7:$C$506,$A87,'02_NHAT_KY'!$A$7:$A$506,"&lt;"&amp;$B$4))</f>
        <v/>
      </c>
      <c r="F87" s="232">
        <f>IF($A87="","",SUMIFS('02_NHAT_KY'!$G$7:$G$506,'02_NHAT_KY'!$C$7:$C$506,$A87,'02_NHAT_KY'!$A$7:$A$506,"&gt;="&amp;$B$4,'02_NHAT_KY'!$A$7:$A$506,"&lt;="&amp;$E$4))</f>
        <v/>
      </c>
      <c r="G87" s="232">
        <f>IF($A87="","",SUMIFS('02_NHAT_KY'!$H$7:$H$506,'02_NHAT_KY'!$C$7:$C$506,$A87,'02_NHAT_KY'!$A$7:$A$506,"&gt;="&amp;$B$4,'02_NHAT_KY'!$A$7:$A$506,"&lt;="&amp;$E$4))</f>
        <v/>
      </c>
      <c r="H87" s="232">
        <f>IF($A87="","",$E87+$F87-$G87)</f>
        <v/>
      </c>
      <c r="I87" s="233">
        <f>IF($A87="","",IF($H87&lt;=0,0,MAX(IF(AND('01_DANH_MUC'!$H77&gt;0,'01_DANH_MUC'!$G77&lt;&gt;""),MAX(0,$E$4-'01_DANH_MUC'!$G77),0),IFERROR(MAXIFS('02_NHAT_KY'!$L$7:$L$506,'02_NHAT_KY'!$C$7:$C$506,$A87),0))))</f>
        <v/>
      </c>
      <c r="J87" s="201">
        <f>IF($A87="","",IF($H87&lt;=0,"Không có dư nợ",IF($I87&gt;0,"Quá hạn","Trong hạn")))</f>
        <v/>
      </c>
      <c r="K87" s="232">
        <f>IF($A87="","",IF(AND('01_DANH_MUC'!$H77&gt;0,OR('01_DANH_MUC'!$G77="",'01_DANH_MUC'!$G77&gt;=$E$4)),'01_DANH_MUC'!$H77,0)+SUMIFS('02_NHAT_KY'!$K$7:$K$506,'02_NHAT_KY'!$C$7:$C$506,$A87,'02_NHAT_KY'!$J$7:$J$506,"&gt;="&amp;$E$4)+SUMIFS('02_NHAT_KY'!$K$7:$K$506,'02_NHAT_KY'!$C$7:$C$506,$A87,'02_NHAT_KY'!$J$7:$J$506,""))</f>
        <v/>
      </c>
      <c r="L87" s="232">
        <f>IF($A87="","",IF(AND('01_DANH_MUC'!$H77&gt;0,'01_DANH_MUC'!$G77&lt;$E$4,$E$4-'01_DANH_MUC'!$G77&lt;=30),'01_DANH_MUC'!$H77,0)+SUMIFS('02_NHAT_KY'!$K$7:$K$506,'02_NHAT_KY'!$C$7:$C$506,$A87,'02_NHAT_KY'!$L$7:$L$506,"&gt;=1",'02_NHAT_KY'!$L$7:$L$506,"&lt;=30"))</f>
        <v/>
      </c>
      <c r="M87" s="232">
        <f>IF($A87="","",IF(AND('01_DANH_MUC'!$H77&gt;0,'01_DANH_MUC'!$G77&lt;$E$4,$E$4-'01_DANH_MUC'!$G77&gt;=31,$E$4-'01_DANH_MUC'!$G77&lt;=60),'01_DANH_MUC'!$H77,0)+SUMIFS('02_NHAT_KY'!$K$7:$K$506,'02_NHAT_KY'!$C$7:$C$506,$A87,'02_NHAT_KY'!$L$7:$L$506,"&gt;=31",'02_NHAT_KY'!$L$7:$L$506,"&lt;=60"))</f>
        <v/>
      </c>
      <c r="N87" s="232">
        <f>IF($A87="","",IF(AND('01_DANH_MUC'!$H77&gt;0,'01_DANH_MUC'!$G77&lt;$E$4,$E$4-'01_DANH_MUC'!$G77&gt;=61,$E$4-'01_DANH_MUC'!$G77&lt;=90),'01_DANH_MUC'!$H77,0)+SUMIFS('02_NHAT_KY'!$K$7:$K$506,'02_NHAT_KY'!$C$7:$C$506,$A87,'02_NHAT_KY'!$L$7:$L$506,"&gt;=61",'02_NHAT_KY'!$L$7:$L$506,"&lt;=90"))</f>
        <v/>
      </c>
      <c r="O87" s="232">
        <f>IF($A87="","",IF(AND('01_DANH_MUC'!$H77&gt;0,'01_DANH_MUC'!$G77&lt;$E$4,$E$4-'01_DANH_MUC'!$G77&gt;90),'01_DANH_MUC'!$H77,0)+SUMIFS('02_NHAT_KY'!$K$7:$K$506,'02_NHAT_KY'!$C$7:$C$506,$A87,'02_NHAT_KY'!$L$7:$L$506,"&gt;90"))</f>
        <v/>
      </c>
      <c r="P87" s="201">
        <f>IF($A87="","",IF($H87&lt;0,"DƯ ÂM/TRẢ TRƯỚC",IF(ABS($H87-SUM($K87:$O87))&lt;1,"OK","LỆCH TUỔI NỢ")))</f>
        <v/>
      </c>
    </row>
    <row r="88">
      <c r="A88" s="201">
        <f>IF('01_DANH_MUC'!$A78="","",'01_DANH_MUC'!$A78)</f>
        <v/>
      </c>
      <c r="B88" s="198">
        <f>IF($A88="","",'01_DANH_MUC'!$B78)</f>
        <v/>
      </c>
      <c r="C88" s="201">
        <f>IF($A88="","",'01_DANH_MUC'!$C78)</f>
        <v/>
      </c>
      <c r="D88" s="231">
        <f>IF($A88="","",'01_DANH_MUC'!$D78)</f>
        <v/>
      </c>
      <c r="E88" s="232">
        <f>IF($A88="","",'01_DANH_MUC'!$F78+SUMIFS('02_NHAT_KY'!$G$7:$G$506,'02_NHAT_KY'!$C$7:$C$506,$A88,'02_NHAT_KY'!$A$7:$A$506,"&lt;"&amp;$B$4)-SUMIFS('02_NHAT_KY'!$H$7:$H$506,'02_NHAT_KY'!$C$7:$C$506,$A88,'02_NHAT_KY'!$A$7:$A$506,"&lt;"&amp;$B$4))</f>
        <v/>
      </c>
      <c r="F88" s="232">
        <f>IF($A88="","",SUMIFS('02_NHAT_KY'!$G$7:$G$506,'02_NHAT_KY'!$C$7:$C$506,$A88,'02_NHAT_KY'!$A$7:$A$506,"&gt;="&amp;$B$4,'02_NHAT_KY'!$A$7:$A$506,"&lt;="&amp;$E$4))</f>
        <v/>
      </c>
      <c r="G88" s="232">
        <f>IF($A88="","",SUMIFS('02_NHAT_KY'!$H$7:$H$506,'02_NHAT_KY'!$C$7:$C$506,$A88,'02_NHAT_KY'!$A$7:$A$506,"&gt;="&amp;$B$4,'02_NHAT_KY'!$A$7:$A$506,"&lt;="&amp;$E$4))</f>
        <v/>
      </c>
      <c r="H88" s="232">
        <f>IF($A88="","",$E88+$F88-$G88)</f>
        <v/>
      </c>
      <c r="I88" s="233">
        <f>IF($A88="","",IF($H88&lt;=0,0,MAX(IF(AND('01_DANH_MUC'!$H78&gt;0,'01_DANH_MUC'!$G78&lt;&gt;""),MAX(0,$E$4-'01_DANH_MUC'!$G78),0),IFERROR(MAXIFS('02_NHAT_KY'!$L$7:$L$506,'02_NHAT_KY'!$C$7:$C$506,$A88),0))))</f>
        <v/>
      </c>
      <c r="J88" s="201">
        <f>IF($A88="","",IF($H88&lt;=0,"Không có dư nợ",IF($I88&gt;0,"Quá hạn","Trong hạn")))</f>
        <v/>
      </c>
      <c r="K88" s="232">
        <f>IF($A88="","",IF(AND('01_DANH_MUC'!$H78&gt;0,OR('01_DANH_MUC'!$G78="",'01_DANH_MUC'!$G78&gt;=$E$4)),'01_DANH_MUC'!$H78,0)+SUMIFS('02_NHAT_KY'!$K$7:$K$506,'02_NHAT_KY'!$C$7:$C$506,$A88,'02_NHAT_KY'!$J$7:$J$506,"&gt;="&amp;$E$4)+SUMIFS('02_NHAT_KY'!$K$7:$K$506,'02_NHAT_KY'!$C$7:$C$506,$A88,'02_NHAT_KY'!$J$7:$J$506,""))</f>
        <v/>
      </c>
      <c r="L88" s="232">
        <f>IF($A88="","",IF(AND('01_DANH_MUC'!$H78&gt;0,'01_DANH_MUC'!$G78&lt;$E$4,$E$4-'01_DANH_MUC'!$G78&lt;=30),'01_DANH_MUC'!$H78,0)+SUMIFS('02_NHAT_KY'!$K$7:$K$506,'02_NHAT_KY'!$C$7:$C$506,$A88,'02_NHAT_KY'!$L$7:$L$506,"&gt;=1",'02_NHAT_KY'!$L$7:$L$506,"&lt;=30"))</f>
        <v/>
      </c>
      <c r="M88" s="232">
        <f>IF($A88="","",IF(AND('01_DANH_MUC'!$H78&gt;0,'01_DANH_MUC'!$G78&lt;$E$4,$E$4-'01_DANH_MUC'!$G78&gt;=31,$E$4-'01_DANH_MUC'!$G78&lt;=60),'01_DANH_MUC'!$H78,0)+SUMIFS('02_NHAT_KY'!$K$7:$K$506,'02_NHAT_KY'!$C$7:$C$506,$A88,'02_NHAT_KY'!$L$7:$L$506,"&gt;=31",'02_NHAT_KY'!$L$7:$L$506,"&lt;=60"))</f>
        <v/>
      </c>
      <c r="N88" s="232">
        <f>IF($A88="","",IF(AND('01_DANH_MUC'!$H78&gt;0,'01_DANH_MUC'!$G78&lt;$E$4,$E$4-'01_DANH_MUC'!$G78&gt;=61,$E$4-'01_DANH_MUC'!$G78&lt;=90),'01_DANH_MUC'!$H78,0)+SUMIFS('02_NHAT_KY'!$K$7:$K$506,'02_NHAT_KY'!$C$7:$C$506,$A88,'02_NHAT_KY'!$L$7:$L$506,"&gt;=61",'02_NHAT_KY'!$L$7:$L$506,"&lt;=90"))</f>
        <v/>
      </c>
      <c r="O88" s="232">
        <f>IF($A88="","",IF(AND('01_DANH_MUC'!$H78&gt;0,'01_DANH_MUC'!$G78&lt;$E$4,$E$4-'01_DANH_MUC'!$G78&gt;90),'01_DANH_MUC'!$H78,0)+SUMIFS('02_NHAT_KY'!$K$7:$K$506,'02_NHAT_KY'!$C$7:$C$506,$A88,'02_NHAT_KY'!$L$7:$L$506,"&gt;90"))</f>
        <v/>
      </c>
      <c r="P88" s="201">
        <f>IF($A88="","",IF($H88&lt;0,"DƯ ÂM/TRẢ TRƯỚC",IF(ABS($H88-SUM($K88:$O88))&lt;1,"OK","LỆCH TUỔI NỢ")))</f>
        <v/>
      </c>
    </row>
    <row r="89">
      <c r="A89" s="201">
        <f>IF('01_DANH_MUC'!$A79="","",'01_DANH_MUC'!$A79)</f>
        <v/>
      </c>
      <c r="B89" s="198">
        <f>IF($A89="","",'01_DANH_MUC'!$B79)</f>
        <v/>
      </c>
      <c r="C89" s="201">
        <f>IF($A89="","",'01_DANH_MUC'!$C79)</f>
        <v/>
      </c>
      <c r="D89" s="231">
        <f>IF($A89="","",'01_DANH_MUC'!$D79)</f>
        <v/>
      </c>
      <c r="E89" s="232">
        <f>IF($A89="","",'01_DANH_MUC'!$F79+SUMIFS('02_NHAT_KY'!$G$7:$G$506,'02_NHAT_KY'!$C$7:$C$506,$A89,'02_NHAT_KY'!$A$7:$A$506,"&lt;"&amp;$B$4)-SUMIFS('02_NHAT_KY'!$H$7:$H$506,'02_NHAT_KY'!$C$7:$C$506,$A89,'02_NHAT_KY'!$A$7:$A$506,"&lt;"&amp;$B$4))</f>
        <v/>
      </c>
      <c r="F89" s="232">
        <f>IF($A89="","",SUMIFS('02_NHAT_KY'!$G$7:$G$506,'02_NHAT_KY'!$C$7:$C$506,$A89,'02_NHAT_KY'!$A$7:$A$506,"&gt;="&amp;$B$4,'02_NHAT_KY'!$A$7:$A$506,"&lt;="&amp;$E$4))</f>
        <v/>
      </c>
      <c r="G89" s="232">
        <f>IF($A89="","",SUMIFS('02_NHAT_KY'!$H$7:$H$506,'02_NHAT_KY'!$C$7:$C$506,$A89,'02_NHAT_KY'!$A$7:$A$506,"&gt;="&amp;$B$4,'02_NHAT_KY'!$A$7:$A$506,"&lt;="&amp;$E$4))</f>
        <v/>
      </c>
      <c r="H89" s="232">
        <f>IF($A89="","",$E89+$F89-$G89)</f>
        <v/>
      </c>
      <c r="I89" s="233">
        <f>IF($A89="","",IF($H89&lt;=0,0,MAX(IF(AND('01_DANH_MUC'!$H79&gt;0,'01_DANH_MUC'!$G79&lt;&gt;""),MAX(0,$E$4-'01_DANH_MUC'!$G79),0),IFERROR(MAXIFS('02_NHAT_KY'!$L$7:$L$506,'02_NHAT_KY'!$C$7:$C$506,$A89),0))))</f>
        <v/>
      </c>
      <c r="J89" s="201">
        <f>IF($A89="","",IF($H89&lt;=0,"Không có dư nợ",IF($I89&gt;0,"Quá hạn","Trong hạn")))</f>
        <v/>
      </c>
      <c r="K89" s="232">
        <f>IF($A89="","",IF(AND('01_DANH_MUC'!$H79&gt;0,OR('01_DANH_MUC'!$G79="",'01_DANH_MUC'!$G79&gt;=$E$4)),'01_DANH_MUC'!$H79,0)+SUMIFS('02_NHAT_KY'!$K$7:$K$506,'02_NHAT_KY'!$C$7:$C$506,$A89,'02_NHAT_KY'!$J$7:$J$506,"&gt;="&amp;$E$4)+SUMIFS('02_NHAT_KY'!$K$7:$K$506,'02_NHAT_KY'!$C$7:$C$506,$A89,'02_NHAT_KY'!$J$7:$J$506,""))</f>
        <v/>
      </c>
      <c r="L89" s="232">
        <f>IF($A89="","",IF(AND('01_DANH_MUC'!$H79&gt;0,'01_DANH_MUC'!$G79&lt;$E$4,$E$4-'01_DANH_MUC'!$G79&lt;=30),'01_DANH_MUC'!$H79,0)+SUMIFS('02_NHAT_KY'!$K$7:$K$506,'02_NHAT_KY'!$C$7:$C$506,$A89,'02_NHAT_KY'!$L$7:$L$506,"&gt;=1",'02_NHAT_KY'!$L$7:$L$506,"&lt;=30"))</f>
        <v/>
      </c>
      <c r="M89" s="232">
        <f>IF($A89="","",IF(AND('01_DANH_MUC'!$H79&gt;0,'01_DANH_MUC'!$G79&lt;$E$4,$E$4-'01_DANH_MUC'!$G79&gt;=31,$E$4-'01_DANH_MUC'!$G79&lt;=60),'01_DANH_MUC'!$H79,0)+SUMIFS('02_NHAT_KY'!$K$7:$K$506,'02_NHAT_KY'!$C$7:$C$506,$A89,'02_NHAT_KY'!$L$7:$L$506,"&gt;=31",'02_NHAT_KY'!$L$7:$L$506,"&lt;=60"))</f>
        <v/>
      </c>
      <c r="N89" s="232">
        <f>IF($A89="","",IF(AND('01_DANH_MUC'!$H79&gt;0,'01_DANH_MUC'!$G79&lt;$E$4,$E$4-'01_DANH_MUC'!$G79&gt;=61,$E$4-'01_DANH_MUC'!$G79&lt;=90),'01_DANH_MUC'!$H79,0)+SUMIFS('02_NHAT_KY'!$K$7:$K$506,'02_NHAT_KY'!$C$7:$C$506,$A89,'02_NHAT_KY'!$L$7:$L$506,"&gt;=61",'02_NHAT_KY'!$L$7:$L$506,"&lt;=90"))</f>
        <v/>
      </c>
      <c r="O89" s="232">
        <f>IF($A89="","",IF(AND('01_DANH_MUC'!$H79&gt;0,'01_DANH_MUC'!$G79&lt;$E$4,$E$4-'01_DANH_MUC'!$G79&gt;90),'01_DANH_MUC'!$H79,0)+SUMIFS('02_NHAT_KY'!$K$7:$K$506,'02_NHAT_KY'!$C$7:$C$506,$A89,'02_NHAT_KY'!$L$7:$L$506,"&gt;90"))</f>
        <v/>
      </c>
      <c r="P89" s="201">
        <f>IF($A89="","",IF($H89&lt;0,"DƯ ÂM/TRẢ TRƯỚC",IF(ABS($H89-SUM($K89:$O89))&lt;1,"OK","LỆCH TUỔI NỢ")))</f>
        <v/>
      </c>
    </row>
    <row r="90">
      <c r="A90" s="201">
        <f>IF('01_DANH_MUC'!$A80="","",'01_DANH_MUC'!$A80)</f>
        <v/>
      </c>
      <c r="B90" s="198">
        <f>IF($A90="","",'01_DANH_MUC'!$B80)</f>
        <v/>
      </c>
      <c r="C90" s="201">
        <f>IF($A90="","",'01_DANH_MUC'!$C80)</f>
        <v/>
      </c>
      <c r="D90" s="231">
        <f>IF($A90="","",'01_DANH_MUC'!$D80)</f>
        <v/>
      </c>
      <c r="E90" s="232">
        <f>IF($A90="","",'01_DANH_MUC'!$F80+SUMIFS('02_NHAT_KY'!$G$7:$G$506,'02_NHAT_KY'!$C$7:$C$506,$A90,'02_NHAT_KY'!$A$7:$A$506,"&lt;"&amp;$B$4)-SUMIFS('02_NHAT_KY'!$H$7:$H$506,'02_NHAT_KY'!$C$7:$C$506,$A90,'02_NHAT_KY'!$A$7:$A$506,"&lt;"&amp;$B$4))</f>
        <v/>
      </c>
      <c r="F90" s="232">
        <f>IF($A90="","",SUMIFS('02_NHAT_KY'!$G$7:$G$506,'02_NHAT_KY'!$C$7:$C$506,$A90,'02_NHAT_KY'!$A$7:$A$506,"&gt;="&amp;$B$4,'02_NHAT_KY'!$A$7:$A$506,"&lt;="&amp;$E$4))</f>
        <v/>
      </c>
      <c r="G90" s="232">
        <f>IF($A90="","",SUMIFS('02_NHAT_KY'!$H$7:$H$506,'02_NHAT_KY'!$C$7:$C$506,$A90,'02_NHAT_KY'!$A$7:$A$506,"&gt;="&amp;$B$4,'02_NHAT_KY'!$A$7:$A$506,"&lt;="&amp;$E$4))</f>
        <v/>
      </c>
      <c r="H90" s="232">
        <f>IF($A90="","",$E90+$F90-$G90)</f>
        <v/>
      </c>
      <c r="I90" s="233">
        <f>IF($A90="","",IF($H90&lt;=0,0,MAX(IF(AND('01_DANH_MUC'!$H80&gt;0,'01_DANH_MUC'!$G80&lt;&gt;""),MAX(0,$E$4-'01_DANH_MUC'!$G80),0),IFERROR(MAXIFS('02_NHAT_KY'!$L$7:$L$506,'02_NHAT_KY'!$C$7:$C$506,$A90),0))))</f>
        <v/>
      </c>
      <c r="J90" s="201">
        <f>IF($A90="","",IF($H90&lt;=0,"Không có dư nợ",IF($I90&gt;0,"Quá hạn","Trong hạn")))</f>
        <v/>
      </c>
      <c r="K90" s="232">
        <f>IF($A90="","",IF(AND('01_DANH_MUC'!$H80&gt;0,OR('01_DANH_MUC'!$G80="",'01_DANH_MUC'!$G80&gt;=$E$4)),'01_DANH_MUC'!$H80,0)+SUMIFS('02_NHAT_KY'!$K$7:$K$506,'02_NHAT_KY'!$C$7:$C$506,$A90,'02_NHAT_KY'!$J$7:$J$506,"&gt;="&amp;$E$4)+SUMIFS('02_NHAT_KY'!$K$7:$K$506,'02_NHAT_KY'!$C$7:$C$506,$A90,'02_NHAT_KY'!$J$7:$J$506,""))</f>
        <v/>
      </c>
      <c r="L90" s="232">
        <f>IF($A90="","",IF(AND('01_DANH_MUC'!$H80&gt;0,'01_DANH_MUC'!$G80&lt;$E$4,$E$4-'01_DANH_MUC'!$G80&lt;=30),'01_DANH_MUC'!$H80,0)+SUMIFS('02_NHAT_KY'!$K$7:$K$506,'02_NHAT_KY'!$C$7:$C$506,$A90,'02_NHAT_KY'!$L$7:$L$506,"&gt;=1",'02_NHAT_KY'!$L$7:$L$506,"&lt;=30"))</f>
        <v/>
      </c>
      <c r="M90" s="232">
        <f>IF($A90="","",IF(AND('01_DANH_MUC'!$H80&gt;0,'01_DANH_MUC'!$G80&lt;$E$4,$E$4-'01_DANH_MUC'!$G80&gt;=31,$E$4-'01_DANH_MUC'!$G80&lt;=60),'01_DANH_MUC'!$H80,0)+SUMIFS('02_NHAT_KY'!$K$7:$K$506,'02_NHAT_KY'!$C$7:$C$506,$A90,'02_NHAT_KY'!$L$7:$L$506,"&gt;=31",'02_NHAT_KY'!$L$7:$L$506,"&lt;=60"))</f>
        <v/>
      </c>
      <c r="N90" s="232">
        <f>IF($A90="","",IF(AND('01_DANH_MUC'!$H80&gt;0,'01_DANH_MUC'!$G80&lt;$E$4,$E$4-'01_DANH_MUC'!$G80&gt;=61,$E$4-'01_DANH_MUC'!$G80&lt;=90),'01_DANH_MUC'!$H80,0)+SUMIFS('02_NHAT_KY'!$K$7:$K$506,'02_NHAT_KY'!$C$7:$C$506,$A90,'02_NHAT_KY'!$L$7:$L$506,"&gt;=61",'02_NHAT_KY'!$L$7:$L$506,"&lt;=90"))</f>
        <v/>
      </c>
      <c r="O90" s="232">
        <f>IF($A90="","",IF(AND('01_DANH_MUC'!$H80&gt;0,'01_DANH_MUC'!$G80&lt;$E$4,$E$4-'01_DANH_MUC'!$G80&gt;90),'01_DANH_MUC'!$H80,0)+SUMIFS('02_NHAT_KY'!$K$7:$K$506,'02_NHAT_KY'!$C$7:$C$506,$A90,'02_NHAT_KY'!$L$7:$L$506,"&gt;90"))</f>
        <v/>
      </c>
      <c r="P90" s="201">
        <f>IF($A90="","",IF($H90&lt;0,"DƯ ÂM/TRẢ TRƯỚC",IF(ABS($H90-SUM($K90:$O90))&lt;1,"OK","LỆCH TUỔI NỢ")))</f>
        <v/>
      </c>
    </row>
    <row r="91">
      <c r="A91" s="201">
        <f>IF('01_DANH_MUC'!$A81="","",'01_DANH_MUC'!$A81)</f>
        <v/>
      </c>
      <c r="B91" s="198">
        <f>IF($A91="","",'01_DANH_MUC'!$B81)</f>
        <v/>
      </c>
      <c r="C91" s="201">
        <f>IF($A91="","",'01_DANH_MUC'!$C81)</f>
        <v/>
      </c>
      <c r="D91" s="231">
        <f>IF($A91="","",'01_DANH_MUC'!$D81)</f>
        <v/>
      </c>
      <c r="E91" s="232">
        <f>IF($A91="","",'01_DANH_MUC'!$F81+SUMIFS('02_NHAT_KY'!$G$7:$G$506,'02_NHAT_KY'!$C$7:$C$506,$A91,'02_NHAT_KY'!$A$7:$A$506,"&lt;"&amp;$B$4)-SUMIFS('02_NHAT_KY'!$H$7:$H$506,'02_NHAT_KY'!$C$7:$C$506,$A91,'02_NHAT_KY'!$A$7:$A$506,"&lt;"&amp;$B$4))</f>
        <v/>
      </c>
      <c r="F91" s="232">
        <f>IF($A91="","",SUMIFS('02_NHAT_KY'!$G$7:$G$506,'02_NHAT_KY'!$C$7:$C$506,$A91,'02_NHAT_KY'!$A$7:$A$506,"&gt;="&amp;$B$4,'02_NHAT_KY'!$A$7:$A$506,"&lt;="&amp;$E$4))</f>
        <v/>
      </c>
      <c r="G91" s="232">
        <f>IF($A91="","",SUMIFS('02_NHAT_KY'!$H$7:$H$506,'02_NHAT_KY'!$C$7:$C$506,$A91,'02_NHAT_KY'!$A$7:$A$506,"&gt;="&amp;$B$4,'02_NHAT_KY'!$A$7:$A$506,"&lt;="&amp;$E$4))</f>
        <v/>
      </c>
      <c r="H91" s="232">
        <f>IF($A91="","",$E91+$F91-$G91)</f>
        <v/>
      </c>
      <c r="I91" s="233">
        <f>IF($A91="","",IF($H91&lt;=0,0,MAX(IF(AND('01_DANH_MUC'!$H81&gt;0,'01_DANH_MUC'!$G81&lt;&gt;""),MAX(0,$E$4-'01_DANH_MUC'!$G81),0),IFERROR(MAXIFS('02_NHAT_KY'!$L$7:$L$506,'02_NHAT_KY'!$C$7:$C$506,$A91),0))))</f>
        <v/>
      </c>
      <c r="J91" s="201">
        <f>IF($A91="","",IF($H91&lt;=0,"Không có dư nợ",IF($I91&gt;0,"Quá hạn","Trong hạn")))</f>
        <v/>
      </c>
      <c r="K91" s="232">
        <f>IF($A91="","",IF(AND('01_DANH_MUC'!$H81&gt;0,OR('01_DANH_MUC'!$G81="",'01_DANH_MUC'!$G81&gt;=$E$4)),'01_DANH_MUC'!$H81,0)+SUMIFS('02_NHAT_KY'!$K$7:$K$506,'02_NHAT_KY'!$C$7:$C$506,$A91,'02_NHAT_KY'!$J$7:$J$506,"&gt;="&amp;$E$4)+SUMIFS('02_NHAT_KY'!$K$7:$K$506,'02_NHAT_KY'!$C$7:$C$506,$A91,'02_NHAT_KY'!$J$7:$J$506,""))</f>
        <v/>
      </c>
      <c r="L91" s="232">
        <f>IF($A91="","",IF(AND('01_DANH_MUC'!$H81&gt;0,'01_DANH_MUC'!$G81&lt;$E$4,$E$4-'01_DANH_MUC'!$G81&lt;=30),'01_DANH_MUC'!$H81,0)+SUMIFS('02_NHAT_KY'!$K$7:$K$506,'02_NHAT_KY'!$C$7:$C$506,$A91,'02_NHAT_KY'!$L$7:$L$506,"&gt;=1",'02_NHAT_KY'!$L$7:$L$506,"&lt;=30"))</f>
        <v/>
      </c>
      <c r="M91" s="232">
        <f>IF($A91="","",IF(AND('01_DANH_MUC'!$H81&gt;0,'01_DANH_MUC'!$G81&lt;$E$4,$E$4-'01_DANH_MUC'!$G81&gt;=31,$E$4-'01_DANH_MUC'!$G81&lt;=60),'01_DANH_MUC'!$H81,0)+SUMIFS('02_NHAT_KY'!$K$7:$K$506,'02_NHAT_KY'!$C$7:$C$506,$A91,'02_NHAT_KY'!$L$7:$L$506,"&gt;=31",'02_NHAT_KY'!$L$7:$L$506,"&lt;=60"))</f>
        <v/>
      </c>
      <c r="N91" s="232">
        <f>IF($A91="","",IF(AND('01_DANH_MUC'!$H81&gt;0,'01_DANH_MUC'!$G81&lt;$E$4,$E$4-'01_DANH_MUC'!$G81&gt;=61,$E$4-'01_DANH_MUC'!$G81&lt;=90),'01_DANH_MUC'!$H81,0)+SUMIFS('02_NHAT_KY'!$K$7:$K$506,'02_NHAT_KY'!$C$7:$C$506,$A91,'02_NHAT_KY'!$L$7:$L$506,"&gt;=61",'02_NHAT_KY'!$L$7:$L$506,"&lt;=90"))</f>
        <v/>
      </c>
      <c r="O91" s="232">
        <f>IF($A91="","",IF(AND('01_DANH_MUC'!$H81&gt;0,'01_DANH_MUC'!$G81&lt;$E$4,$E$4-'01_DANH_MUC'!$G81&gt;90),'01_DANH_MUC'!$H81,0)+SUMIFS('02_NHAT_KY'!$K$7:$K$506,'02_NHAT_KY'!$C$7:$C$506,$A91,'02_NHAT_KY'!$L$7:$L$506,"&gt;90"))</f>
        <v/>
      </c>
      <c r="P91" s="201">
        <f>IF($A91="","",IF($H91&lt;0,"DƯ ÂM/TRẢ TRƯỚC",IF(ABS($H91-SUM($K91:$O91))&lt;1,"OK","LỆCH TUỔI NỢ")))</f>
        <v/>
      </c>
    </row>
    <row r="92">
      <c r="A92" s="201">
        <f>IF('01_DANH_MUC'!$A82="","",'01_DANH_MUC'!$A82)</f>
        <v/>
      </c>
      <c r="B92" s="198">
        <f>IF($A92="","",'01_DANH_MUC'!$B82)</f>
        <v/>
      </c>
      <c r="C92" s="201">
        <f>IF($A92="","",'01_DANH_MUC'!$C82)</f>
        <v/>
      </c>
      <c r="D92" s="231">
        <f>IF($A92="","",'01_DANH_MUC'!$D82)</f>
        <v/>
      </c>
      <c r="E92" s="232">
        <f>IF($A92="","",'01_DANH_MUC'!$F82+SUMIFS('02_NHAT_KY'!$G$7:$G$506,'02_NHAT_KY'!$C$7:$C$506,$A92,'02_NHAT_KY'!$A$7:$A$506,"&lt;"&amp;$B$4)-SUMIFS('02_NHAT_KY'!$H$7:$H$506,'02_NHAT_KY'!$C$7:$C$506,$A92,'02_NHAT_KY'!$A$7:$A$506,"&lt;"&amp;$B$4))</f>
        <v/>
      </c>
      <c r="F92" s="232">
        <f>IF($A92="","",SUMIFS('02_NHAT_KY'!$G$7:$G$506,'02_NHAT_KY'!$C$7:$C$506,$A92,'02_NHAT_KY'!$A$7:$A$506,"&gt;="&amp;$B$4,'02_NHAT_KY'!$A$7:$A$506,"&lt;="&amp;$E$4))</f>
        <v/>
      </c>
      <c r="G92" s="232">
        <f>IF($A92="","",SUMIFS('02_NHAT_KY'!$H$7:$H$506,'02_NHAT_KY'!$C$7:$C$506,$A92,'02_NHAT_KY'!$A$7:$A$506,"&gt;="&amp;$B$4,'02_NHAT_KY'!$A$7:$A$506,"&lt;="&amp;$E$4))</f>
        <v/>
      </c>
      <c r="H92" s="232">
        <f>IF($A92="","",$E92+$F92-$G92)</f>
        <v/>
      </c>
      <c r="I92" s="233">
        <f>IF($A92="","",IF($H92&lt;=0,0,MAX(IF(AND('01_DANH_MUC'!$H82&gt;0,'01_DANH_MUC'!$G82&lt;&gt;""),MAX(0,$E$4-'01_DANH_MUC'!$G82),0),IFERROR(MAXIFS('02_NHAT_KY'!$L$7:$L$506,'02_NHAT_KY'!$C$7:$C$506,$A92),0))))</f>
        <v/>
      </c>
      <c r="J92" s="201">
        <f>IF($A92="","",IF($H92&lt;=0,"Không có dư nợ",IF($I92&gt;0,"Quá hạn","Trong hạn")))</f>
        <v/>
      </c>
      <c r="K92" s="232">
        <f>IF($A92="","",IF(AND('01_DANH_MUC'!$H82&gt;0,OR('01_DANH_MUC'!$G82="",'01_DANH_MUC'!$G82&gt;=$E$4)),'01_DANH_MUC'!$H82,0)+SUMIFS('02_NHAT_KY'!$K$7:$K$506,'02_NHAT_KY'!$C$7:$C$506,$A92,'02_NHAT_KY'!$J$7:$J$506,"&gt;="&amp;$E$4)+SUMIFS('02_NHAT_KY'!$K$7:$K$506,'02_NHAT_KY'!$C$7:$C$506,$A92,'02_NHAT_KY'!$J$7:$J$506,""))</f>
        <v/>
      </c>
      <c r="L92" s="232">
        <f>IF($A92="","",IF(AND('01_DANH_MUC'!$H82&gt;0,'01_DANH_MUC'!$G82&lt;$E$4,$E$4-'01_DANH_MUC'!$G82&lt;=30),'01_DANH_MUC'!$H82,0)+SUMIFS('02_NHAT_KY'!$K$7:$K$506,'02_NHAT_KY'!$C$7:$C$506,$A92,'02_NHAT_KY'!$L$7:$L$506,"&gt;=1",'02_NHAT_KY'!$L$7:$L$506,"&lt;=30"))</f>
        <v/>
      </c>
      <c r="M92" s="232">
        <f>IF($A92="","",IF(AND('01_DANH_MUC'!$H82&gt;0,'01_DANH_MUC'!$G82&lt;$E$4,$E$4-'01_DANH_MUC'!$G82&gt;=31,$E$4-'01_DANH_MUC'!$G82&lt;=60),'01_DANH_MUC'!$H82,0)+SUMIFS('02_NHAT_KY'!$K$7:$K$506,'02_NHAT_KY'!$C$7:$C$506,$A92,'02_NHAT_KY'!$L$7:$L$506,"&gt;=31",'02_NHAT_KY'!$L$7:$L$506,"&lt;=60"))</f>
        <v/>
      </c>
      <c r="N92" s="232">
        <f>IF($A92="","",IF(AND('01_DANH_MUC'!$H82&gt;0,'01_DANH_MUC'!$G82&lt;$E$4,$E$4-'01_DANH_MUC'!$G82&gt;=61,$E$4-'01_DANH_MUC'!$G82&lt;=90),'01_DANH_MUC'!$H82,0)+SUMIFS('02_NHAT_KY'!$K$7:$K$506,'02_NHAT_KY'!$C$7:$C$506,$A92,'02_NHAT_KY'!$L$7:$L$506,"&gt;=61",'02_NHAT_KY'!$L$7:$L$506,"&lt;=90"))</f>
        <v/>
      </c>
      <c r="O92" s="232">
        <f>IF($A92="","",IF(AND('01_DANH_MUC'!$H82&gt;0,'01_DANH_MUC'!$G82&lt;$E$4,$E$4-'01_DANH_MUC'!$G82&gt;90),'01_DANH_MUC'!$H82,0)+SUMIFS('02_NHAT_KY'!$K$7:$K$506,'02_NHAT_KY'!$C$7:$C$506,$A92,'02_NHAT_KY'!$L$7:$L$506,"&gt;90"))</f>
        <v/>
      </c>
      <c r="P92" s="201">
        <f>IF($A92="","",IF($H92&lt;0,"DƯ ÂM/TRẢ TRƯỚC",IF(ABS($H92-SUM($K92:$O92))&lt;1,"OK","LỆCH TUỔI NỢ")))</f>
        <v/>
      </c>
    </row>
    <row r="93">
      <c r="A93" s="201">
        <f>IF('01_DANH_MUC'!$A83="","",'01_DANH_MUC'!$A83)</f>
        <v/>
      </c>
      <c r="B93" s="198">
        <f>IF($A93="","",'01_DANH_MUC'!$B83)</f>
        <v/>
      </c>
      <c r="C93" s="201">
        <f>IF($A93="","",'01_DANH_MUC'!$C83)</f>
        <v/>
      </c>
      <c r="D93" s="231">
        <f>IF($A93="","",'01_DANH_MUC'!$D83)</f>
        <v/>
      </c>
      <c r="E93" s="232">
        <f>IF($A93="","",'01_DANH_MUC'!$F83+SUMIFS('02_NHAT_KY'!$G$7:$G$506,'02_NHAT_KY'!$C$7:$C$506,$A93,'02_NHAT_KY'!$A$7:$A$506,"&lt;"&amp;$B$4)-SUMIFS('02_NHAT_KY'!$H$7:$H$506,'02_NHAT_KY'!$C$7:$C$506,$A93,'02_NHAT_KY'!$A$7:$A$506,"&lt;"&amp;$B$4))</f>
        <v/>
      </c>
      <c r="F93" s="232">
        <f>IF($A93="","",SUMIFS('02_NHAT_KY'!$G$7:$G$506,'02_NHAT_KY'!$C$7:$C$506,$A93,'02_NHAT_KY'!$A$7:$A$506,"&gt;="&amp;$B$4,'02_NHAT_KY'!$A$7:$A$506,"&lt;="&amp;$E$4))</f>
        <v/>
      </c>
      <c r="G93" s="232">
        <f>IF($A93="","",SUMIFS('02_NHAT_KY'!$H$7:$H$506,'02_NHAT_KY'!$C$7:$C$506,$A93,'02_NHAT_KY'!$A$7:$A$506,"&gt;="&amp;$B$4,'02_NHAT_KY'!$A$7:$A$506,"&lt;="&amp;$E$4))</f>
        <v/>
      </c>
      <c r="H93" s="232">
        <f>IF($A93="","",$E93+$F93-$G93)</f>
        <v/>
      </c>
      <c r="I93" s="233">
        <f>IF($A93="","",IF($H93&lt;=0,0,MAX(IF(AND('01_DANH_MUC'!$H83&gt;0,'01_DANH_MUC'!$G83&lt;&gt;""),MAX(0,$E$4-'01_DANH_MUC'!$G83),0),IFERROR(MAXIFS('02_NHAT_KY'!$L$7:$L$506,'02_NHAT_KY'!$C$7:$C$506,$A93),0))))</f>
        <v/>
      </c>
      <c r="J93" s="201">
        <f>IF($A93="","",IF($H93&lt;=0,"Không có dư nợ",IF($I93&gt;0,"Quá hạn","Trong hạn")))</f>
        <v/>
      </c>
      <c r="K93" s="232">
        <f>IF($A93="","",IF(AND('01_DANH_MUC'!$H83&gt;0,OR('01_DANH_MUC'!$G83="",'01_DANH_MUC'!$G83&gt;=$E$4)),'01_DANH_MUC'!$H83,0)+SUMIFS('02_NHAT_KY'!$K$7:$K$506,'02_NHAT_KY'!$C$7:$C$506,$A93,'02_NHAT_KY'!$J$7:$J$506,"&gt;="&amp;$E$4)+SUMIFS('02_NHAT_KY'!$K$7:$K$506,'02_NHAT_KY'!$C$7:$C$506,$A93,'02_NHAT_KY'!$J$7:$J$506,""))</f>
        <v/>
      </c>
      <c r="L93" s="232">
        <f>IF($A93="","",IF(AND('01_DANH_MUC'!$H83&gt;0,'01_DANH_MUC'!$G83&lt;$E$4,$E$4-'01_DANH_MUC'!$G83&lt;=30),'01_DANH_MUC'!$H83,0)+SUMIFS('02_NHAT_KY'!$K$7:$K$506,'02_NHAT_KY'!$C$7:$C$506,$A93,'02_NHAT_KY'!$L$7:$L$506,"&gt;=1",'02_NHAT_KY'!$L$7:$L$506,"&lt;=30"))</f>
        <v/>
      </c>
      <c r="M93" s="232">
        <f>IF($A93="","",IF(AND('01_DANH_MUC'!$H83&gt;0,'01_DANH_MUC'!$G83&lt;$E$4,$E$4-'01_DANH_MUC'!$G83&gt;=31,$E$4-'01_DANH_MUC'!$G83&lt;=60),'01_DANH_MUC'!$H83,0)+SUMIFS('02_NHAT_KY'!$K$7:$K$506,'02_NHAT_KY'!$C$7:$C$506,$A93,'02_NHAT_KY'!$L$7:$L$506,"&gt;=31",'02_NHAT_KY'!$L$7:$L$506,"&lt;=60"))</f>
        <v/>
      </c>
      <c r="N93" s="232">
        <f>IF($A93="","",IF(AND('01_DANH_MUC'!$H83&gt;0,'01_DANH_MUC'!$G83&lt;$E$4,$E$4-'01_DANH_MUC'!$G83&gt;=61,$E$4-'01_DANH_MUC'!$G83&lt;=90),'01_DANH_MUC'!$H83,0)+SUMIFS('02_NHAT_KY'!$K$7:$K$506,'02_NHAT_KY'!$C$7:$C$506,$A93,'02_NHAT_KY'!$L$7:$L$506,"&gt;=61",'02_NHAT_KY'!$L$7:$L$506,"&lt;=90"))</f>
        <v/>
      </c>
      <c r="O93" s="232">
        <f>IF($A93="","",IF(AND('01_DANH_MUC'!$H83&gt;0,'01_DANH_MUC'!$G83&lt;$E$4,$E$4-'01_DANH_MUC'!$G83&gt;90),'01_DANH_MUC'!$H83,0)+SUMIFS('02_NHAT_KY'!$K$7:$K$506,'02_NHAT_KY'!$C$7:$C$506,$A93,'02_NHAT_KY'!$L$7:$L$506,"&gt;90"))</f>
        <v/>
      </c>
      <c r="P93" s="201">
        <f>IF($A93="","",IF($H93&lt;0,"DƯ ÂM/TRẢ TRƯỚC",IF(ABS($H93-SUM($K93:$O93))&lt;1,"OK","LỆCH TUỔI NỢ")))</f>
        <v/>
      </c>
    </row>
    <row r="94">
      <c r="A94" s="201">
        <f>IF('01_DANH_MUC'!$A84="","",'01_DANH_MUC'!$A84)</f>
        <v/>
      </c>
      <c r="B94" s="198">
        <f>IF($A94="","",'01_DANH_MUC'!$B84)</f>
        <v/>
      </c>
      <c r="C94" s="201">
        <f>IF($A94="","",'01_DANH_MUC'!$C84)</f>
        <v/>
      </c>
      <c r="D94" s="231">
        <f>IF($A94="","",'01_DANH_MUC'!$D84)</f>
        <v/>
      </c>
      <c r="E94" s="232">
        <f>IF($A94="","",'01_DANH_MUC'!$F84+SUMIFS('02_NHAT_KY'!$G$7:$G$506,'02_NHAT_KY'!$C$7:$C$506,$A94,'02_NHAT_KY'!$A$7:$A$506,"&lt;"&amp;$B$4)-SUMIFS('02_NHAT_KY'!$H$7:$H$506,'02_NHAT_KY'!$C$7:$C$506,$A94,'02_NHAT_KY'!$A$7:$A$506,"&lt;"&amp;$B$4))</f>
        <v/>
      </c>
      <c r="F94" s="232">
        <f>IF($A94="","",SUMIFS('02_NHAT_KY'!$G$7:$G$506,'02_NHAT_KY'!$C$7:$C$506,$A94,'02_NHAT_KY'!$A$7:$A$506,"&gt;="&amp;$B$4,'02_NHAT_KY'!$A$7:$A$506,"&lt;="&amp;$E$4))</f>
        <v/>
      </c>
      <c r="G94" s="232">
        <f>IF($A94="","",SUMIFS('02_NHAT_KY'!$H$7:$H$506,'02_NHAT_KY'!$C$7:$C$506,$A94,'02_NHAT_KY'!$A$7:$A$506,"&gt;="&amp;$B$4,'02_NHAT_KY'!$A$7:$A$506,"&lt;="&amp;$E$4))</f>
        <v/>
      </c>
      <c r="H94" s="232">
        <f>IF($A94="","",$E94+$F94-$G94)</f>
        <v/>
      </c>
      <c r="I94" s="233">
        <f>IF($A94="","",IF($H94&lt;=0,0,MAX(IF(AND('01_DANH_MUC'!$H84&gt;0,'01_DANH_MUC'!$G84&lt;&gt;""),MAX(0,$E$4-'01_DANH_MUC'!$G84),0),IFERROR(MAXIFS('02_NHAT_KY'!$L$7:$L$506,'02_NHAT_KY'!$C$7:$C$506,$A94),0))))</f>
        <v/>
      </c>
      <c r="J94" s="201">
        <f>IF($A94="","",IF($H94&lt;=0,"Không có dư nợ",IF($I94&gt;0,"Quá hạn","Trong hạn")))</f>
        <v/>
      </c>
      <c r="K94" s="232">
        <f>IF($A94="","",IF(AND('01_DANH_MUC'!$H84&gt;0,OR('01_DANH_MUC'!$G84="",'01_DANH_MUC'!$G84&gt;=$E$4)),'01_DANH_MUC'!$H84,0)+SUMIFS('02_NHAT_KY'!$K$7:$K$506,'02_NHAT_KY'!$C$7:$C$506,$A94,'02_NHAT_KY'!$J$7:$J$506,"&gt;="&amp;$E$4)+SUMIFS('02_NHAT_KY'!$K$7:$K$506,'02_NHAT_KY'!$C$7:$C$506,$A94,'02_NHAT_KY'!$J$7:$J$506,""))</f>
        <v/>
      </c>
      <c r="L94" s="232">
        <f>IF($A94="","",IF(AND('01_DANH_MUC'!$H84&gt;0,'01_DANH_MUC'!$G84&lt;$E$4,$E$4-'01_DANH_MUC'!$G84&lt;=30),'01_DANH_MUC'!$H84,0)+SUMIFS('02_NHAT_KY'!$K$7:$K$506,'02_NHAT_KY'!$C$7:$C$506,$A94,'02_NHAT_KY'!$L$7:$L$506,"&gt;=1",'02_NHAT_KY'!$L$7:$L$506,"&lt;=30"))</f>
        <v/>
      </c>
      <c r="M94" s="232">
        <f>IF($A94="","",IF(AND('01_DANH_MUC'!$H84&gt;0,'01_DANH_MUC'!$G84&lt;$E$4,$E$4-'01_DANH_MUC'!$G84&gt;=31,$E$4-'01_DANH_MUC'!$G84&lt;=60),'01_DANH_MUC'!$H84,0)+SUMIFS('02_NHAT_KY'!$K$7:$K$506,'02_NHAT_KY'!$C$7:$C$506,$A94,'02_NHAT_KY'!$L$7:$L$506,"&gt;=31",'02_NHAT_KY'!$L$7:$L$506,"&lt;=60"))</f>
        <v/>
      </c>
      <c r="N94" s="232">
        <f>IF($A94="","",IF(AND('01_DANH_MUC'!$H84&gt;0,'01_DANH_MUC'!$G84&lt;$E$4,$E$4-'01_DANH_MUC'!$G84&gt;=61,$E$4-'01_DANH_MUC'!$G84&lt;=90),'01_DANH_MUC'!$H84,0)+SUMIFS('02_NHAT_KY'!$K$7:$K$506,'02_NHAT_KY'!$C$7:$C$506,$A94,'02_NHAT_KY'!$L$7:$L$506,"&gt;=61",'02_NHAT_KY'!$L$7:$L$506,"&lt;=90"))</f>
        <v/>
      </c>
      <c r="O94" s="232">
        <f>IF($A94="","",IF(AND('01_DANH_MUC'!$H84&gt;0,'01_DANH_MUC'!$G84&lt;$E$4,$E$4-'01_DANH_MUC'!$G84&gt;90),'01_DANH_MUC'!$H84,0)+SUMIFS('02_NHAT_KY'!$K$7:$K$506,'02_NHAT_KY'!$C$7:$C$506,$A94,'02_NHAT_KY'!$L$7:$L$506,"&gt;90"))</f>
        <v/>
      </c>
      <c r="P94" s="201">
        <f>IF($A94="","",IF($H94&lt;0,"DƯ ÂM/TRẢ TRƯỚC",IF(ABS($H94-SUM($K94:$O94))&lt;1,"OK","LỆCH TUỔI NỢ")))</f>
        <v/>
      </c>
    </row>
    <row r="95">
      <c r="A95" s="201">
        <f>IF('01_DANH_MUC'!$A85="","",'01_DANH_MUC'!$A85)</f>
        <v/>
      </c>
      <c r="B95" s="198">
        <f>IF($A95="","",'01_DANH_MUC'!$B85)</f>
        <v/>
      </c>
      <c r="C95" s="201">
        <f>IF($A95="","",'01_DANH_MUC'!$C85)</f>
        <v/>
      </c>
      <c r="D95" s="231">
        <f>IF($A95="","",'01_DANH_MUC'!$D85)</f>
        <v/>
      </c>
      <c r="E95" s="232">
        <f>IF($A95="","",'01_DANH_MUC'!$F85+SUMIFS('02_NHAT_KY'!$G$7:$G$506,'02_NHAT_KY'!$C$7:$C$506,$A95,'02_NHAT_KY'!$A$7:$A$506,"&lt;"&amp;$B$4)-SUMIFS('02_NHAT_KY'!$H$7:$H$506,'02_NHAT_KY'!$C$7:$C$506,$A95,'02_NHAT_KY'!$A$7:$A$506,"&lt;"&amp;$B$4))</f>
        <v/>
      </c>
      <c r="F95" s="232">
        <f>IF($A95="","",SUMIFS('02_NHAT_KY'!$G$7:$G$506,'02_NHAT_KY'!$C$7:$C$506,$A95,'02_NHAT_KY'!$A$7:$A$506,"&gt;="&amp;$B$4,'02_NHAT_KY'!$A$7:$A$506,"&lt;="&amp;$E$4))</f>
        <v/>
      </c>
      <c r="G95" s="232">
        <f>IF($A95="","",SUMIFS('02_NHAT_KY'!$H$7:$H$506,'02_NHAT_KY'!$C$7:$C$506,$A95,'02_NHAT_KY'!$A$7:$A$506,"&gt;="&amp;$B$4,'02_NHAT_KY'!$A$7:$A$506,"&lt;="&amp;$E$4))</f>
        <v/>
      </c>
      <c r="H95" s="232">
        <f>IF($A95="","",$E95+$F95-$G95)</f>
        <v/>
      </c>
      <c r="I95" s="233">
        <f>IF($A95="","",IF($H95&lt;=0,0,MAX(IF(AND('01_DANH_MUC'!$H85&gt;0,'01_DANH_MUC'!$G85&lt;&gt;""),MAX(0,$E$4-'01_DANH_MUC'!$G85),0),IFERROR(MAXIFS('02_NHAT_KY'!$L$7:$L$506,'02_NHAT_KY'!$C$7:$C$506,$A95),0))))</f>
        <v/>
      </c>
      <c r="J95" s="201">
        <f>IF($A95="","",IF($H95&lt;=0,"Không có dư nợ",IF($I95&gt;0,"Quá hạn","Trong hạn")))</f>
        <v/>
      </c>
      <c r="K95" s="232">
        <f>IF($A95="","",IF(AND('01_DANH_MUC'!$H85&gt;0,OR('01_DANH_MUC'!$G85="",'01_DANH_MUC'!$G85&gt;=$E$4)),'01_DANH_MUC'!$H85,0)+SUMIFS('02_NHAT_KY'!$K$7:$K$506,'02_NHAT_KY'!$C$7:$C$506,$A95,'02_NHAT_KY'!$J$7:$J$506,"&gt;="&amp;$E$4)+SUMIFS('02_NHAT_KY'!$K$7:$K$506,'02_NHAT_KY'!$C$7:$C$506,$A95,'02_NHAT_KY'!$J$7:$J$506,""))</f>
        <v/>
      </c>
      <c r="L95" s="232">
        <f>IF($A95="","",IF(AND('01_DANH_MUC'!$H85&gt;0,'01_DANH_MUC'!$G85&lt;$E$4,$E$4-'01_DANH_MUC'!$G85&lt;=30),'01_DANH_MUC'!$H85,0)+SUMIFS('02_NHAT_KY'!$K$7:$K$506,'02_NHAT_KY'!$C$7:$C$506,$A95,'02_NHAT_KY'!$L$7:$L$506,"&gt;=1",'02_NHAT_KY'!$L$7:$L$506,"&lt;=30"))</f>
        <v/>
      </c>
      <c r="M95" s="232">
        <f>IF($A95="","",IF(AND('01_DANH_MUC'!$H85&gt;0,'01_DANH_MUC'!$G85&lt;$E$4,$E$4-'01_DANH_MUC'!$G85&gt;=31,$E$4-'01_DANH_MUC'!$G85&lt;=60),'01_DANH_MUC'!$H85,0)+SUMIFS('02_NHAT_KY'!$K$7:$K$506,'02_NHAT_KY'!$C$7:$C$506,$A95,'02_NHAT_KY'!$L$7:$L$506,"&gt;=31",'02_NHAT_KY'!$L$7:$L$506,"&lt;=60"))</f>
        <v/>
      </c>
      <c r="N95" s="232">
        <f>IF($A95="","",IF(AND('01_DANH_MUC'!$H85&gt;0,'01_DANH_MUC'!$G85&lt;$E$4,$E$4-'01_DANH_MUC'!$G85&gt;=61,$E$4-'01_DANH_MUC'!$G85&lt;=90),'01_DANH_MUC'!$H85,0)+SUMIFS('02_NHAT_KY'!$K$7:$K$506,'02_NHAT_KY'!$C$7:$C$506,$A95,'02_NHAT_KY'!$L$7:$L$506,"&gt;=61",'02_NHAT_KY'!$L$7:$L$506,"&lt;=90"))</f>
        <v/>
      </c>
      <c r="O95" s="232">
        <f>IF($A95="","",IF(AND('01_DANH_MUC'!$H85&gt;0,'01_DANH_MUC'!$G85&lt;$E$4,$E$4-'01_DANH_MUC'!$G85&gt;90),'01_DANH_MUC'!$H85,0)+SUMIFS('02_NHAT_KY'!$K$7:$K$506,'02_NHAT_KY'!$C$7:$C$506,$A95,'02_NHAT_KY'!$L$7:$L$506,"&gt;90"))</f>
        <v/>
      </c>
      <c r="P95" s="201">
        <f>IF($A95="","",IF($H95&lt;0,"DƯ ÂM/TRẢ TRƯỚC",IF(ABS($H95-SUM($K95:$O95))&lt;1,"OK","LỆCH TUỔI NỢ")))</f>
        <v/>
      </c>
    </row>
    <row r="96">
      <c r="A96" s="201">
        <f>IF('01_DANH_MUC'!$A86="","",'01_DANH_MUC'!$A86)</f>
        <v/>
      </c>
      <c r="B96" s="198">
        <f>IF($A96="","",'01_DANH_MUC'!$B86)</f>
        <v/>
      </c>
      <c r="C96" s="201">
        <f>IF($A96="","",'01_DANH_MUC'!$C86)</f>
        <v/>
      </c>
      <c r="D96" s="231">
        <f>IF($A96="","",'01_DANH_MUC'!$D86)</f>
        <v/>
      </c>
      <c r="E96" s="232">
        <f>IF($A96="","",'01_DANH_MUC'!$F86+SUMIFS('02_NHAT_KY'!$G$7:$G$506,'02_NHAT_KY'!$C$7:$C$506,$A96,'02_NHAT_KY'!$A$7:$A$506,"&lt;"&amp;$B$4)-SUMIFS('02_NHAT_KY'!$H$7:$H$506,'02_NHAT_KY'!$C$7:$C$506,$A96,'02_NHAT_KY'!$A$7:$A$506,"&lt;"&amp;$B$4))</f>
        <v/>
      </c>
      <c r="F96" s="232">
        <f>IF($A96="","",SUMIFS('02_NHAT_KY'!$G$7:$G$506,'02_NHAT_KY'!$C$7:$C$506,$A96,'02_NHAT_KY'!$A$7:$A$506,"&gt;="&amp;$B$4,'02_NHAT_KY'!$A$7:$A$506,"&lt;="&amp;$E$4))</f>
        <v/>
      </c>
      <c r="G96" s="232">
        <f>IF($A96="","",SUMIFS('02_NHAT_KY'!$H$7:$H$506,'02_NHAT_KY'!$C$7:$C$506,$A96,'02_NHAT_KY'!$A$7:$A$506,"&gt;="&amp;$B$4,'02_NHAT_KY'!$A$7:$A$506,"&lt;="&amp;$E$4))</f>
        <v/>
      </c>
      <c r="H96" s="232">
        <f>IF($A96="","",$E96+$F96-$G96)</f>
        <v/>
      </c>
      <c r="I96" s="233">
        <f>IF($A96="","",IF($H96&lt;=0,0,MAX(IF(AND('01_DANH_MUC'!$H86&gt;0,'01_DANH_MUC'!$G86&lt;&gt;""),MAX(0,$E$4-'01_DANH_MUC'!$G86),0),IFERROR(MAXIFS('02_NHAT_KY'!$L$7:$L$506,'02_NHAT_KY'!$C$7:$C$506,$A96),0))))</f>
        <v/>
      </c>
      <c r="J96" s="201">
        <f>IF($A96="","",IF($H96&lt;=0,"Không có dư nợ",IF($I96&gt;0,"Quá hạn","Trong hạn")))</f>
        <v/>
      </c>
      <c r="K96" s="232">
        <f>IF($A96="","",IF(AND('01_DANH_MUC'!$H86&gt;0,OR('01_DANH_MUC'!$G86="",'01_DANH_MUC'!$G86&gt;=$E$4)),'01_DANH_MUC'!$H86,0)+SUMIFS('02_NHAT_KY'!$K$7:$K$506,'02_NHAT_KY'!$C$7:$C$506,$A96,'02_NHAT_KY'!$J$7:$J$506,"&gt;="&amp;$E$4)+SUMIFS('02_NHAT_KY'!$K$7:$K$506,'02_NHAT_KY'!$C$7:$C$506,$A96,'02_NHAT_KY'!$J$7:$J$506,""))</f>
        <v/>
      </c>
      <c r="L96" s="232">
        <f>IF($A96="","",IF(AND('01_DANH_MUC'!$H86&gt;0,'01_DANH_MUC'!$G86&lt;$E$4,$E$4-'01_DANH_MUC'!$G86&lt;=30),'01_DANH_MUC'!$H86,0)+SUMIFS('02_NHAT_KY'!$K$7:$K$506,'02_NHAT_KY'!$C$7:$C$506,$A96,'02_NHAT_KY'!$L$7:$L$506,"&gt;=1",'02_NHAT_KY'!$L$7:$L$506,"&lt;=30"))</f>
        <v/>
      </c>
      <c r="M96" s="232">
        <f>IF($A96="","",IF(AND('01_DANH_MUC'!$H86&gt;0,'01_DANH_MUC'!$G86&lt;$E$4,$E$4-'01_DANH_MUC'!$G86&gt;=31,$E$4-'01_DANH_MUC'!$G86&lt;=60),'01_DANH_MUC'!$H86,0)+SUMIFS('02_NHAT_KY'!$K$7:$K$506,'02_NHAT_KY'!$C$7:$C$506,$A96,'02_NHAT_KY'!$L$7:$L$506,"&gt;=31",'02_NHAT_KY'!$L$7:$L$506,"&lt;=60"))</f>
        <v/>
      </c>
      <c r="N96" s="232">
        <f>IF($A96="","",IF(AND('01_DANH_MUC'!$H86&gt;0,'01_DANH_MUC'!$G86&lt;$E$4,$E$4-'01_DANH_MUC'!$G86&gt;=61,$E$4-'01_DANH_MUC'!$G86&lt;=90),'01_DANH_MUC'!$H86,0)+SUMIFS('02_NHAT_KY'!$K$7:$K$506,'02_NHAT_KY'!$C$7:$C$506,$A96,'02_NHAT_KY'!$L$7:$L$506,"&gt;=61",'02_NHAT_KY'!$L$7:$L$506,"&lt;=90"))</f>
        <v/>
      </c>
      <c r="O96" s="232">
        <f>IF($A96="","",IF(AND('01_DANH_MUC'!$H86&gt;0,'01_DANH_MUC'!$G86&lt;$E$4,$E$4-'01_DANH_MUC'!$G86&gt;90),'01_DANH_MUC'!$H86,0)+SUMIFS('02_NHAT_KY'!$K$7:$K$506,'02_NHAT_KY'!$C$7:$C$506,$A96,'02_NHAT_KY'!$L$7:$L$506,"&gt;90"))</f>
        <v/>
      </c>
      <c r="P96" s="201">
        <f>IF($A96="","",IF($H96&lt;0,"DƯ ÂM/TRẢ TRƯỚC",IF(ABS($H96-SUM($K96:$O96))&lt;1,"OK","LỆCH TUỔI NỢ")))</f>
        <v/>
      </c>
    </row>
    <row r="97">
      <c r="A97" s="201">
        <f>IF('01_DANH_MUC'!$A87="","",'01_DANH_MUC'!$A87)</f>
        <v/>
      </c>
      <c r="B97" s="198">
        <f>IF($A97="","",'01_DANH_MUC'!$B87)</f>
        <v/>
      </c>
      <c r="C97" s="201">
        <f>IF($A97="","",'01_DANH_MUC'!$C87)</f>
        <v/>
      </c>
      <c r="D97" s="231">
        <f>IF($A97="","",'01_DANH_MUC'!$D87)</f>
        <v/>
      </c>
      <c r="E97" s="232">
        <f>IF($A97="","",'01_DANH_MUC'!$F87+SUMIFS('02_NHAT_KY'!$G$7:$G$506,'02_NHAT_KY'!$C$7:$C$506,$A97,'02_NHAT_KY'!$A$7:$A$506,"&lt;"&amp;$B$4)-SUMIFS('02_NHAT_KY'!$H$7:$H$506,'02_NHAT_KY'!$C$7:$C$506,$A97,'02_NHAT_KY'!$A$7:$A$506,"&lt;"&amp;$B$4))</f>
        <v/>
      </c>
      <c r="F97" s="232">
        <f>IF($A97="","",SUMIFS('02_NHAT_KY'!$G$7:$G$506,'02_NHAT_KY'!$C$7:$C$506,$A97,'02_NHAT_KY'!$A$7:$A$506,"&gt;="&amp;$B$4,'02_NHAT_KY'!$A$7:$A$506,"&lt;="&amp;$E$4))</f>
        <v/>
      </c>
      <c r="G97" s="232">
        <f>IF($A97="","",SUMIFS('02_NHAT_KY'!$H$7:$H$506,'02_NHAT_KY'!$C$7:$C$506,$A97,'02_NHAT_KY'!$A$7:$A$506,"&gt;="&amp;$B$4,'02_NHAT_KY'!$A$7:$A$506,"&lt;="&amp;$E$4))</f>
        <v/>
      </c>
      <c r="H97" s="232">
        <f>IF($A97="","",$E97+$F97-$G97)</f>
        <v/>
      </c>
      <c r="I97" s="233">
        <f>IF($A97="","",IF($H97&lt;=0,0,MAX(IF(AND('01_DANH_MUC'!$H87&gt;0,'01_DANH_MUC'!$G87&lt;&gt;""),MAX(0,$E$4-'01_DANH_MUC'!$G87),0),IFERROR(MAXIFS('02_NHAT_KY'!$L$7:$L$506,'02_NHAT_KY'!$C$7:$C$506,$A97),0))))</f>
        <v/>
      </c>
      <c r="J97" s="201">
        <f>IF($A97="","",IF($H97&lt;=0,"Không có dư nợ",IF($I97&gt;0,"Quá hạn","Trong hạn")))</f>
        <v/>
      </c>
      <c r="K97" s="232">
        <f>IF($A97="","",IF(AND('01_DANH_MUC'!$H87&gt;0,OR('01_DANH_MUC'!$G87="",'01_DANH_MUC'!$G87&gt;=$E$4)),'01_DANH_MUC'!$H87,0)+SUMIFS('02_NHAT_KY'!$K$7:$K$506,'02_NHAT_KY'!$C$7:$C$506,$A97,'02_NHAT_KY'!$J$7:$J$506,"&gt;="&amp;$E$4)+SUMIFS('02_NHAT_KY'!$K$7:$K$506,'02_NHAT_KY'!$C$7:$C$506,$A97,'02_NHAT_KY'!$J$7:$J$506,""))</f>
        <v/>
      </c>
      <c r="L97" s="232">
        <f>IF($A97="","",IF(AND('01_DANH_MUC'!$H87&gt;0,'01_DANH_MUC'!$G87&lt;$E$4,$E$4-'01_DANH_MUC'!$G87&lt;=30),'01_DANH_MUC'!$H87,0)+SUMIFS('02_NHAT_KY'!$K$7:$K$506,'02_NHAT_KY'!$C$7:$C$506,$A97,'02_NHAT_KY'!$L$7:$L$506,"&gt;=1",'02_NHAT_KY'!$L$7:$L$506,"&lt;=30"))</f>
        <v/>
      </c>
      <c r="M97" s="232">
        <f>IF($A97="","",IF(AND('01_DANH_MUC'!$H87&gt;0,'01_DANH_MUC'!$G87&lt;$E$4,$E$4-'01_DANH_MUC'!$G87&gt;=31,$E$4-'01_DANH_MUC'!$G87&lt;=60),'01_DANH_MUC'!$H87,0)+SUMIFS('02_NHAT_KY'!$K$7:$K$506,'02_NHAT_KY'!$C$7:$C$506,$A97,'02_NHAT_KY'!$L$7:$L$506,"&gt;=31",'02_NHAT_KY'!$L$7:$L$506,"&lt;=60"))</f>
        <v/>
      </c>
      <c r="N97" s="232">
        <f>IF($A97="","",IF(AND('01_DANH_MUC'!$H87&gt;0,'01_DANH_MUC'!$G87&lt;$E$4,$E$4-'01_DANH_MUC'!$G87&gt;=61,$E$4-'01_DANH_MUC'!$G87&lt;=90),'01_DANH_MUC'!$H87,0)+SUMIFS('02_NHAT_KY'!$K$7:$K$506,'02_NHAT_KY'!$C$7:$C$506,$A97,'02_NHAT_KY'!$L$7:$L$506,"&gt;=61",'02_NHAT_KY'!$L$7:$L$506,"&lt;=90"))</f>
        <v/>
      </c>
      <c r="O97" s="232">
        <f>IF($A97="","",IF(AND('01_DANH_MUC'!$H87&gt;0,'01_DANH_MUC'!$G87&lt;$E$4,$E$4-'01_DANH_MUC'!$G87&gt;90),'01_DANH_MUC'!$H87,0)+SUMIFS('02_NHAT_KY'!$K$7:$K$506,'02_NHAT_KY'!$C$7:$C$506,$A97,'02_NHAT_KY'!$L$7:$L$506,"&gt;90"))</f>
        <v/>
      </c>
      <c r="P97" s="201">
        <f>IF($A97="","",IF($H97&lt;0,"DƯ ÂM/TRẢ TRƯỚC",IF(ABS($H97-SUM($K97:$O97))&lt;1,"OK","LỆCH TUỔI NỢ")))</f>
        <v/>
      </c>
    </row>
    <row r="98">
      <c r="A98" s="201">
        <f>IF('01_DANH_MUC'!$A88="","",'01_DANH_MUC'!$A88)</f>
        <v/>
      </c>
      <c r="B98" s="198">
        <f>IF($A98="","",'01_DANH_MUC'!$B88)</f>
        <v/>
      </c>
      <c r="C98" s="201">
        <f>IF($A98="","",'01_DANH_MUC'!$C88)</f>
        <v/>
      </c>
      <c r="D98" s="231">
        <f>IF($A98="","",'01_DANH_MUC'!$D88)</f>
        <v/>
      </c>
      <c r="E98" s="232">
        <f>IF($A98="","",'01_DANH_MUC'!$F88+SUMIFS('02_NHAT_KY'!$G$7:$G$506,'02_NHAT_KY'!$C$7:$C$506,$A98,'02_NHAT_KY'!$A$7:$A$506,"&lt;"&amp;$B$4)-SUMIFS('02_NHAT_KY'!$H$7:$H$506,'02_NHAT_KY'!$C$7:$C$506,$A98,'02_NHAT_KY'!$A$7:$A$506,"&lt;"&amp;$B$4))</f>
        <v/>
      </c>
      <c r="F98" s="232">
        <f>IF($A98="","",SUMIFS('02_NHAT_KY'!$G$7:$G$506,'02_NHAT_KY'!$C$7:$C$506,$A98,'02_NHAT_KY'!$A$7:$A$506,"&gt;="&amp;$B$4,'02_NHAT_KY'!$A$7:$A$506,"&lt;="&amp;$E$4))</f>
        <v/>
      </c>
      <c r="G98" s="232">
        <f>IF($A98="","",SUMIFS('02_NHAT_KY'!$H$7:$H$506,'02_NHAT_KY'!$C$7:$C$506,$A98,'02_NHAT_KY'!$A$7:$A$506,"&gt;="&amp;$B$4,'02_NHAT_KY'!$A$7:$A$506,"&lt;="&amp;$E$4))</f>
        <v/>
      </c>
      <c r="H98" s="232">
        <f>IF($A98="","",$E98+$F98-$G98)</f>
        <v/>
      </c>
      <c r="I98" s="233">
        <f>IF($A98="","",IF($H98&lt;=0,0,MAX(IF(AND('01_DANH_MUC'!$H88&gt;0,'01_DANH_MUC'!$G88&lt;&gt;""),MAX(0,$E$4-'01_DANH_MUC'!$G88),0),IFERROR(MAXIFS('02_NHAT_KY'!$L$7:$L$506,'02_NHAT_KY'!$C$7:$C$506,$A98),0))))</f>
        <v/>
      </c>
      <c r="J98" s="201">
        <f>IF($A98="","",IF($H98&lt;=0,"Không có dư nợ",IF($I98&gt;0,"Quá hạn","Trong hạn")))</f>
        <v/>
      </c>
      <c r="K98" s="232">
        <f>IF($A98="","",IF(AND('01_DANH_MUC'!$H88&gt;0,OR('01_DANH_MUC'!$G88="",'01_DANH_MUC'!$G88&gt;=$E$4)),'01_DANH_MUC'!$H88,0)+SUMIFS('02_NHAT_KY'!$K$7:$K$506,'02_NHAT_KY'!$C$7:$C$506,$A98,'02_NHAT_KY'!$J$7:$J$506,"&gt;="&amp;$E$4)+SUMIFS('02_NHAT_KY'!$K$7:$K$506,'02_NHAT_KY'!$C$7:$C$506,$A98,'02_NHAT_KY'!$J$7:$J$506,""))</f>
        <v/>
      </c>
      <c r="L98" s="232">
        <f>IF($A98="","",IF(AND('01_DANH_MUC'!$H88&gt;0,'01_DANH_MUC'!$G88&lt;$E$4,$E$4-'01_DANH_MUC'!$G88&lt;=30),'01_DANH_MUC'!$H88,0)+SUMIFS('02_NHAT_KY'!$K$7:$K$506,'02_NHAT_KY'!$C$7:$C$506,$A98,'02_NHAT_KY'!$L$7:$L$506,"&gt;=1",'02_NHAT_KY'!$L$7:$L$506,"&lt;=30"))</f>
        <v/>
      </c>
      <c r="M98" s="232">
        <f>IF($A98="","",IF(AND('01_DANH_MUC'!$H88&gt;0,'01_DANH_MUC'!$G88&lt;$E$4,$E$4-'01_DANH_MUC'!$G88&gt;=31,$E$4-'01_DANH_MUC'!$G88&lt;=60),'01_DANH_MUC'!$H88,0)+SUMIFS('02_NHAT_KY'!$K$7:$K$506,'02_NHAT_KY'!$C$7:$C$506,$A98,'02_NHAT_KY'!$L$7:$L$506,"&gt;=31",'02_NHAT_KY'!$L$7:$L$506,"&lt;=60"))</f>
        <v/>
      </c>
      <c r="N98" s="232">
        <f>IF($A98="","",IF(AND('01_DANH_MUC'!$H88&gt;0,'01_DANH_MUC'!$G88&lt;$E$4,$E$4-'01_DANH_MUC'!$G88&gt;=61,$E$4-'01_DANH_MUC'!$G88&lt;=90),'01_DANH_MUC'!$H88,0)+SUMIFS('02_NHAT_KY'!$K$7:$K$506,'02_NHAT_KY'!$C$7:$C$506,$A98,'02_NHAT_KY'!$L$7:$L$506,"&gt;=61",'02_NHAT_KY'!$L$7:$L$506,"&lt;=90"))</f>
        <v/>
      </c>
      <c r="O98" s="232">
        <f>IF($A98="","",IF(AND('01_DANH_MUC'!$H88&gt;0,'01_DANH_MUC'!$G88&lt;$E$4,$E$4-'01_DANH_MUC'!$G88&gt;90),'01_DANH_MUC'!$H88,0)+SUMIFS('02_NHAT_KY'!$K$7:$K$506,'02_NHAT_KY'!$C$7:$C$506,$A98,'02_NHAT_KY'!$L$7:$L$506,"&gt;90"))</f>
        <v/>
      </c>
      <c r="P98" s="201">
        <f>IF($A98="","",IF($H98&lt;0,"DƯ ÂM/TRẢ TRƯỚC",IF(ABS($H98-SUM($K98:$O98))&lt;1,"OK","LỆCH TUỔI NỢ")))</f>
        <v/>
      </c>
    </row>
    <row r="99">
      <c r="A99" s="201">
        <f>IF('01_DANH_MUC'!$A89="","",'01_DANH_MUC'!$A89)</f>
        <v/>
      </c>
      <c r="B99" s="198">
        <f>IF($A99="","",'01_DANH_MUC'!$B89)</f>
        <v/>
      </c>
      <c r="C99" s="201">
        <f>IF($A99="","",'01_DANH_MUC'!$C89)</f>
        <v/>
      </c>
      <c r="D99" s="231">
        <f>IF($A99="","",'01_DANH_MUC'!$D89)</f>
        <v/>
      </c>
      <c r="E99" s="232">
        <f>IF($A99="","",'01_DANH_MUC'!$F89+SUMIFS('02_NHAT_KY'!$G$7:$G$506,'02_NHAT_KY'!$C$7:$C$506,$A99,'02_NHAT_KY'!$A$7:$A$506,"&lt;"&amp;$B$4)-SUMIFS('02_NHAT_KY'!$H$7:$H$506,'02_NHAT_KY'!$C$7:$C$506,$A99,'02_NHAT_KY'!$A$7:$A$506,"&lt;"&amp;$B$4))</f>
        <v/>
      </c>
      <c r="F99" s="232">
        <f>IF($A99="","",SUMIFS('02_NHAT_KY'!$G$7:$G$506,'02_NHAT_KY'!$C$7:$C$506,$A99,'02_NHAT_KY'!$A$7:$A$506,"&gt;="&amp;$B$4,'02_NHAT_KY'!$A$7:$A$506,"&lt;="&amp;$E$4))</f>
        <v/>
      </c>
      <c r="G99" s="232">
        <f>IF($A99="","",SUMIFS('02_NHAT_KY'!$H$7:$H$506,'02_NHAT_KY'!$C$7:$C$506,$A99,'02_NHAT_KY'!$A$7:$A$506,"&gt;="&amp;$B$4,'02_NHAT_KY'!$A$7:$A$506,"&lt;="&amp;$E$4))</f>
        <v/>
      </c>
      <c r="H99" s="232">
        <f>IF($A99="","",$E99+$F99-$G99)</f>
        <v/>
      </c>
      <c r="I99" s="233">
        <f>IF($A99="","",IF($H99&lt;=0,0,MAX(IF(AND('01_DANH_MUC'!$H89&gt;0,'01_DANH_MUC'!$G89&lt;&gt;""),MAX(0,$E$4-'01_DANH_MUC'!$G89),0),IFERROR(MAXIFS('02_NHAT_KY'!$L$7:$L$506,'02_NHAT_KY'!$C$7:$C$506,$A99),0))))</f>
        <v/>
      </c>
      <c r="J99" s="201">
        <f>IF($A99="","",IF($H99&lt;=0,"Không có dư nợ",IF($I99&gt;0,"Quá hạn","Trong hạn")))</f>
        <v/>
      </c>
      <c r="K99" s="232">
        <f>IF($A99="","",IF(AND('01_DANH_MUC'!$H89&gt;0,OR('01_DANH_MUC'!$G89="",'01_DANH_MUC'!$G89&gt;=$E$4)),'01_DANH_MUC'!$H89,0)+SUMIFS('02_NHAT_KY'!$K$7:$K$506,'02_NHAT_KY'!$C$7:$C$506,$A99,'02_NHAT_KY'!$J$7:$J$506,"&gt;="&amp;$E$4)+SUMIFS('02_NHAT_KY'!$K$7:$K$506,'02_NHAT_KY'!$C$7:$C$506,$A99,'02_NHAT_KY'!$J$7:$J$506,""))</f>
        <v/>
      </c>
      <c r="L99" s="232">
        <f>IF($A99="","",IF(AND('01_DANH_MUC'!$H89&gt;0,'01_DANH_MUC'!$G89&lt;$E$4,$E$4-'01_DANH_MUC'!$G89&lt;=30),'01_DANH_MUC'!$H89,0)+SUMIFS('02_NHAT_KY'!$K$7:$K$506,'02_NHAT_KY'!$C$7:$C$506,$A99,'02_NHAT_KY'!$L$7:$L$506,"&gt;=1",'02_NHAT_KY'!$L$7:$L$506,"&lt;=30"))</f>
        <v/>
      </c>
      <c r="M99" s="232">
        <f>IF($A99="","",IF(AND('01_DANH_MUC'!$H89&gt;0,'01_DANH_MUC'!$G89&lt;$E$4,$E$4-'01_DANH_MUC'!$G89&gt;=31,$E$4-'01_DANH_MUC'!$G89&lt;=60),'01_DANH_MUC'!$H89,0)+SUMIFS('02_NHAT_KY'!$K$7:$K$506,'02_NHAT_KY'!$C$7:$C$506,$A99,'02_NHAT_KY'!$L$7:$L$506,"&gt;=31",'02_NHAT_KY'!$L$7:$L$506,"&lt;=60"))</f>
        <v/>
      </c>
      <c r="N99" s="232">
        <f>IF($A99="","",IF(AND('01_DANH_MUC'!$H89&gt;0,'01_DANH_MUC'!$G89&lt;$E$4,$E$4-'01_DANH_MUC'!$G89&gt;=61,$E$4-'01_DANH_MUC'!$G89&lt;=90),'01_DANH_MUC'!$H89,0)+SUMIFS('02_NHAT_KY'!$K$7:$K$506,'02_NHAT_KY'!$C$7:$C$506,$A99,'02_NHAT_KY'!$L$7:$L$506,"&gt;=61",'02_NHAT_KY'!$L$7:$L$506,"&lt;=90"))</f>
        <v/>
      </c>
      <c r="O99" s="232">
        <f>IF($A99="","",IF(AND('01_DANH_MUC'!$H89&gt;0,'01_DANH_MUC'!$G89&lt;$E$4,$E$4-'01_DANH_MUC'!$G89&gt;90),'01_DANH_MUC'!$H89,0)+SUMIFS('02_NHAT_KY'!$K$7:$K$506,'02_NHAT_KY'!$C$7:$C$506,$A99,'02_NHAT_KY'!$L$7:$L$506,"&gt;90"))</f>
        <v/>
      </c>
      <c r="P99" s="201">
        <f>IF($A99="","",IF($H99&lt;0,"DƯ ÂM/TRẢ TRƯỚC",IF(ABS($H99-SUM($K99:$O99))&lt;1,"OK","LỆCH TUỔI NỢ")))</f>
        <v/>
      </c>
    </row>
    <row r="100">
      <c r="A100" s="201">
        <f>IF('01_DANH_MUC'!$A90="","",'01_DANH_MUC'!$A90)</f>
        <v/>
      </c>
      <c r="B100" s="198">
        <f>IF($A100="","",'01_DANH_MUC'!$B90)</f>
        <v/>
      </c>
      <c r="C100" s="201">
        <f>IF($A100="","",'01_DANH_MUC'!$C90)</f>
        <v/>
      </c>
      <c r="D100" s="231">
        <f>IF($A100="","",'01_DANH_MUC'!$D90)</f>
        <v/>
      </c>
      <c r="E100" s="232">
        <f>IF($A100="","",'01_DANH_MUC'!$F90+SUMIFS('02_NHAT_KY'!$G$7:$G$506,'02_NHAT_KY'!$C$7:$C$506,$A100,'02_NHAT_KY'!$A$7:$A$506,"&lt;"&amp;$B$4)-SUMIFS('02_NHAT_KY'!$H$7:$H$506,'02_NHAT_KY'!$C$7:$C$506,$A100,'02_NHAT_KY'!$A$7:$A$506,"&lt;"&amp;$B$4))</f>
        <v/>
      </c>
      <c r="F100" s="232">
        <f>IF($A100="","",SUMIFS('02_NHAT_KY'!$G$7:$G$506,'02_NHAT_KY'!$C$7:$C$506,$A100,'02_NHAT_KY'!$A$7:$A$506,"&gt;="&amp;$B$4,'02_NHAT_KY'!$A$7:$A$506,"&lt;="&amp;$E$4))</f>
        <v/>
      </c>
      <c r="G100" s="232">
        <f>IF($A100="","",SUMIFS('02_NHAT_KY'!$H$7:$H$506,'02_NHAT_KY'!$C$7:$C$506,$A100,'02_NHAT_KY'!$A$7:$A$506,"&gt;="&amp;$B$4,'02_NHAT_KY'!$A$7:$A$506,"&lt;="&amp;$E$4))</f>
        <v/>
      </c>
      <c r="H100" s="232">
        <f>IF($A100="","",$E100+$F100-$G100)</f>
        <v/>
      </c>
      <c r="I100" s="233">
        <f>IF($A100="","",IF($H100&lt;=0,0,MAX(IF(AND('01_DANH_MUC'!$H90&gt;0,'01_DANH_MUC'!$G90&lt;&gt;""),MAX(0,$E$4-'01_DANH_MUC'!$G90),0),IFERROR(MAXIFS('02_NHAT_KY'!$L$7:$L$506,'02_NHAT_KY'!$C$7:$C$506,$A100),0))))</f>
        <v/>
      </c>
      <c r="J100" s="201">
        <f>IF($A100="","",IF($H100&lt;=0,"Không có dư nợ",IF($I100&gt;0,"Quá hạn","Trong hạn")))</f>
        <v/>
      </c>
      <c r="K100" s="232">
        <f>IF($A100="","",IF(AND('01_DANH_MUC'!$H90&gt;0,OR('01_DANH_MUC'!$G90="",'01_DANH_MUC'!$G90&gt;=$E$4)),'01_DANH_MUC'!$H90,0)+SUMIFS('02_NHAT_KY'!$K$7:$K$506,'02_NHAT_KY'!$C$7:$C$506,$A100,'02_NHAT_KY'!$J$7:$J$506,"&gt;="&amp;$E$4)+SUMIFS('02_NHAT_KY'!$K$7:$K$506,'02_NHAT_KY'!$C$7:$C$506,$A100,'02_NHAT_KY'!$J$7:$J$506,""))</f>
        <v/>
      </c>
      <c r="L100" s="232">
        <f>IF($A100="","",IF(AND('01_DANH_MUC'!$H90&gt;0,'01_DANH_MUC'!$G90&lt;$E$4,$E$4-'01_DANH_MUC'!$G90&lt;=30),'01_DANH_MUC'!$H90,0)+SUMIFS('02_NHAT_KY'!$K$7:$K$506,'02_NHAT_KY'!$C$7:$C$506,$A100,'02_NHAT_KY'!$L$7:$L$506,"&gt;=1",'02_NHAT_KY'!$L$7:$L$506,"&lt;=30"))</f>
        <v/>
      </c>
      <c r="M100" s="232">
        <f>IF($A100="","",IF(AND('01_DANH_MUC'!$H90&gt;0,'01_DANH_MUC'!$G90&lt;$E$4,$E$4-'01_DANH_MUC'!$G90&gt;=31,$E$4-'01_DANH_MUC'!$G90&lt;=60),'01_DANH_MUC'!$H90,0)+SUMIFS('02_NHAT_KY'!$K$7:$K$506,'02_NHAT_KY'!$C$7:$C$506,$A100,'02_NHAT_KY'!$L$7:$L$506,"&gt;=31",'02_NHAT_KY'!$L$7:$L$506,"&lt;=60"))</f>
        <v/>
      </c>
      <c r="N100" s="232">
        <f>IF($A100="","",IF(AND('01_DANH_MUC'!$H90&gt;0,'01_DANH_MUC'!$G90&lt;$E$4,$E$4-'01_DANH_MUC'!$G90&gt;=61,$E$4-'01_DANH_MUC'!$G90&lt;=90),'01_DANH_MUC'!$H90,0)+SUMIFS('02_NHAT_KY'!$K$7:$K$506,'02_NHAT_KY'!$C$7:$C$506,$A100,'02_NHAT_KY'!$L$7:$L$506,"&gt;=61",'02_NHAT_KY'!$L$7:$L$506,"&lt;=90"))</f>
        <v/>
      </c>
      <c r="O100" s="232">
        <f>IF($A100="","",IF(AND('01_DANH_MUC'!$H90&gt;0,'01_DANH_MUC'!$G90&lt;$E$4,$E$4-'01_DANH_MUC'!$G90&gt;90),'01_DANH_MUC'!$H90,0)+SUMIFS('02_NHAT_KY'!$K$7:$K$506,'02_NHAT_KY'!$C$7:$C$506,$A100,'02_NHAT_KY'!$L$7:$L$506,"&gt;90"))</f>
        <v/>
      </c>
      <c r="P100" s="201">
        <f>IF($A100="","",IF($H100&lt;0,"DƯ ÂM/TRẢ TRƯỚC",IF(ABS($H100-SUM($K100:$O100))&lt;1,"OK","LỆCH TUỔI NỢ")))</f>
        <v/>
      </c>
    </row>
    <row r="101">
      <c r="A101" s="201">
        <f>IF('01_DANH_MUC'!$A91="","",'01_DANH_MUC'!$A91)</f>
        <v/>
      </c>
      <c r="B101" s="198">
        <f>IF($A101="","",'01_DANH_MUC'!$B91)</f>
        <v/>
      </c>
      <c r="C101" s="201">
        <f>IF($A101="","",'01_DANH_MUC'!$C91)</f>
        <v/>
      </c>
      <c r="D101" s="231">
        <f>IF($A101="","",'01_DANH_MUC'!$D91)</f>
        <v/>
      </c>
      <c r="E101" s="232">
        <f>IF($A101="","",'01_DANH_MUC'!$F91+SUMIFS('02_NHAT_KY'!$G$7:$G$506,'02_NHAT_KY'!$C$7:$C$506,$A101,'02_NHAT_KY'!$A$7:$A$506,"&lt;"&amp;$B$4)-SUMIFS('02_NHAT_KY'!$H$7:$H$506,'02_NHAT_KY'!$C$7:$C$506,$A101,'02_NHAT_KY'!$A$7:$A$506,"&lt;"&amp;$B$4))</f>
        <v/>
      </c>
      <c r="F101" s="232">
        <f>IF($A101="","",SUMIFS('02_NHAT_KY'!$G$7:$G$506,'02_NHAT_KY'!$C$7:$C$506,$A101,'02_NHAT_KY'!$A$7:$A$506,"&gt;="&amp;$B$4,'02_NHAT_KY'!$A$7:$A$506,"&lt;="&amp;$E$4))</f>
        <v/>
      </c>
      <c r="G101" s="232">
        <f>IF($A101="","",SUMIFS('02_NHAT_KY'!$H$7:$H$506,'02_NHAT_KY'!$C$7:$C$506,$A101,'02_NHAT_KY'!$A$7:$A$506,"&gt;="&amp;$B$4,'02_NHAT_KY'!$A$7:$A$506,"&lt;="&amp;$E$4))</f>
        <v/>
      </c>
      <c r="H101" s="232">
        <f>IF($A101="","",$E101+$F101-$G101)</f>
        <v/>
      </c>
      <c r="I101" s="233">
        <f>IF($A101="","",IF($H101&lt;=0,0,MAX(IF(AND('01_DANH_MUC'!$H91&gt;0,'01_DANH_MUC'!$G91&lt;&gt;""),MAX(0,$E$4-'01_DANH_MUC'!$G91),0),IFERROR(MAXIFS('02_NHAT_KY'!$L$7:$L$506,'02_NHAT_KY'!$C$7:$C$506,$A101),0))))</f>
        <v/>
      </c>
      <c r="J101" s="201">
        <f>IF($A101="","",IF($H101&lt;=0,"Không có dư nợ",IF($I101&gt;0,"Quá hạn","Trong hạn")))</f>
        <v/>
      </c>
      <c r="K101" s="232">
        <f>IF($A101="","",IF(AND('01_DANH_MUC'!$H91&gt;0,OR('01_DANH_MUC'!$G91="",'01_DANH_MUC'!$G91&gt;=$E$4)),'01_DANH_MUC'!$H91,0)+SUMIFS('02_NHAT_KY'!$K$7:$K$506,'02_NHAT_KY'!$C$7:$C$506,$A101,'02_NHAT_KY'!$J$7:$J$506,"&gt;="&amp;$E$4)+SUMIFS('02_NHAT_KY'!$K$7:$K$506,'02_NHAT_KY'!$C$7:$C$506,$A101,'02_NHAT_KY'!$J$7:$J$506,""))</f>
        <v/>
      </c>
      <c r="L101" s="232">
        <f>IF($A101="","",IF(AND('01_DANH_MUC'!$H91&gt;0,'01_DANH_MUC'!$G91&lt;$E$4,$E$4-'01_DANH_MUC'!$G91&lt;=30),'01_DANH_MUC'!$H91,0)+SUMIFS('02_NHAT_KY'!$K$7:$K$506,'02_NHAT_KY'!$C$7:$C$506,$A101,'02_NHAT_KY'!$L$7:$L$506,"&gt;=1",'02_NHAT_KY'!$L$7:$L$506,"&lt;=30"))</f>
        <v/>
      </c>
      <c r="M101" s="232">
        <f>IF($A101="","",IF(AND('01_DANH_MUC'!$H91&gt;0,'01_DANH_MUC'!$G91&lt;$E$4,$E$4-'01_DANH_MUC'!$G91&gt;=31,$E$4-'01_DANH_MUC'!$G91&lt;=60),'01_DANH_MUC'!$H91,0)+SUMIFS('02_NHAT_KY'!$K$7:$K$506,'02_NHAT_KY'!$C$7:$C$506,$A101,'02_NHAT_KY'!$L$7:$L$506,"&gt;=31",'02_NHAT_KY'!$L$7:$L$506,"&lt;=60"))</f>
        <v/>
      </c>
      <c r="N101" s="232">
        <f>IF($A101="","",IF(AND('01_DANH_MUC'!$H91&gt;0,'01_DANH_MUC'!$G91&lt;$E$4,$E$4-'01_DANH_MUC'!$G91&gt;=61,$E$4-'01_DANH_MUC'!$G91&lt;=90),'01_DANH_MUC'!$H91,0)+SUMIFS('02_NHAT_KY'!$K$7:$K$506,'02_NHAT_KY'!$C$7:$C$506,$A101,'02_NHAT_KY'!$L$7:$L$506,"&gt;=61",'02_NHAT_KY'!$L$7:$L$506,"&lt;=90"))</f>
        <v/>
      </c>
      <c r="O101" s="232">
        <f>IF($A101="","",IF(AND('01_DANH_MUC'!$H91&gt;0,'01_DANH_MUC'!$G91&lt;$E$4,$E$4-'01_DANH_MUC'!$G91&gt;90),'01_DANH_MUC'!$H91,0)+SUMIFS('02_NHAT_KY'!$K$7:$K$506,'02_NHAT_KY'!$C$7:$C$506,$A101,'02_NHAT_KY'!$L$7:$L$506,"&gt;90"))</f>
        <v/>
      </c>
      <c r="P101" s="201">
        <f>IF($A101="","",IF($H101&lt;0,"DƯ ÂM/TRẢ TRƯỚC",IF(ABS($H101-SUM($K101:$O101))&lt;1,"OK","LỆCH TUỔI NỢ")))</f>
        <v/>
      </c>
    </row>
    <row r="102">
      <c r="A102" s="201">
        <f>IF('01_DANH_MUC'!$A92="","",'01_DANH_MUC'!$A92)</f>
        <v/>
      </c>
      <c r="B102" s="198">
        <f>IF($A102="","",'01_DANH_MUC'!$B92)</f>
        <v/>
      </c>
      <c r="C102" s="201">
        <f>IF($A102="","",'01_DANH_MUC'!$C92)</f>
        <v/>
      </c>
      <c r="D102" s="231">
        <f>IF($A102="","",'01_DANH_MUC'!$D92)</f>
        <v/>
      </c>
      <c r="E102" s="232">
        <f>IF($A102="","",'01_DANH_MUC'!$F92+SUMIFS('02_NHAT_KY'!$G$7:$G$506,'02_NHAT_KY'!$C$7:$C$506,$A102,'02_NHAT_KY'!$A$7:$A$506,"&lt;"&amp;$B$4)-SUMIFS('02_NHAT_KY'!$H$7:$H$506,'02_NHAT_KY'!$C$7:$C$506,$A102,'02_NHAT_KY'!$A$7:$A$506,"&lt;"&amp;$B$4))</f>
        <v/>
      </c>
      <c r="F102" s="232">
        <f>IF($A102="","",SUMIFS('02_NHAT_KY'!$G$7:$G$506,'02_NHAT_KY'!$C$7:$C$506,$A102,'02_NHAT_KY'!$A$7:$A$506,"&gt;="&amp;$B$4,'02_NHAT_KY'!$A$7:$A$506,"&lt;="&amp;$E$4))</f>
        <v/>
      </c>
      <c r="G102" s="232">
        <f>IF($A102="","",SUMIFS('02_NHAT_KY'!$H$7:$H$506,'02_NHAT_KY'!$C$7:$C$506,$A102,'02_NHAT_KY'!$A$7:$A$506,"&gt;="&amp;$B$4,'02_NHAT_KY'!$A$7:$A$506,"&lt;="&amp;$E$4))</f>
        <v/>
      </c>
      <c r="H102" s="232">
        <f>IF($A102="","",$E102+$F102-$G102)</f>
        <v/>
      </c>
      <c r="I102" s="233">
        <f>IF($A102="","",IF($H102&lt;=0,0,MAX(IF(AND('01_DANH_MUC'!$H92&gt;0,'01_DANH_MUC'!$G92&lt;&gt;""),MAX(0,$E$4-'01_DANH_MUC'!$G92),0),IFERROR(MAXIFS('02_NHAT_KY'!$L$7:$L$506,'02_NHAT_KY'!$C$7:$C$506,$A102),0))))</f>
        <v/>
      </c>
      <c r="J102" s="201">
        <f>IF($A102="","",IF($H102&lt;=0,"Không có dư nợ",IF($I102&gt;0,"Quá hạn","Trong hạn")))</f>
        <v/>
      </c>
      <c r="K102" s="232">
        <f>IF($A102="","",IF(AND('01_DANH_MUC'!$H92&gt;0,OR('01_DANH_MUC'!$G92="",'01_DANH_MUC'!$G92&gt;=$E$4)),'01_DANH_MUC'!$H92,0)+SUMIFS('02_NHAT_KY'!$K$7:$K$506,'02_NHAT_KY'!$C$7:$C$506,$A102,'02_NHAT_KY'!$J$7:$J$506,"&gt;="&amp;$E$4)+SUMIFS('02_NHAT_KY'!$K$7:$K$506,'02_NHAT_KY'!$C$7:$C$506,$A102,'02_NHAT_KY'!$J$7:$J$506,""))</f>
        <v/>
      </c>
      <c r="L102" s="232">
        <f>IF($A102="","",IF(AND('01_DANH_MUC'!$H92&gt;0,'01_DANH_MUC'!$G92&lt;$E$4,$E$4-'01_DANH_MUC'!$G92&lt;=30),'01_DANH_MUC'!$H92,0)+SUMIFS('02_NHAT_KY'!$K$7:$K$506,'02_NHAT_KY'!$C$7:$C$506,$A102,'02_NHAT_KY'!$L$7:$L$506,"&gt;=1",'02_NHAT_KY'!$L$7:$L$506,"&lt;=30"))</f>
        <v/>
      </c>
      <c r="M102" s="232">
        <f>IF($A102="","",IF(AND('01_DANH_MUC'!$H92&gt;0,'01_DANH_MUC'!$G92&lt;$E$4,$E$4-'01_DANH_MUC'!$G92&gt;=31,$E$4-'01_DANH_MUC'!$G92&lt;=60),'01_DANH_MUC'!$H92,0)+SUMIFS('02_NHAT_KY'!$K$7:$K$506,'02_NHAT_KY'!$C$7:$C$506,$A102,'02_NHAT_KY'!$L$7:$L$506,"&gt;=31",'02_NHAT_KY'!$L$7:$L$506,"&lt;=60"))</f>
        <v/>
      </c>
      <c r="N102" s="232">
        <f>IF($A102="","",IF(AND('01_DANH_MUC'!$H92&gt;0,'01_DANH_MUC'!$G92&lt;$E$4,$E$4-'01_DANH_MUC'!$G92&gt;=61,$E$4-'01_DANH_MUC'!$G92&lt;=90),'01_DANH_MUC'!$H92,0)+SUMIFS('02_NHAT_KY'!$K$7:$K$506,'02_NHAT_KY'!$C$7:$C$506,$A102,'02_NHAT_KY'!$L$7:$L$506,"&gt;=61",'02_NHAT_KY'!$L$7:$L$506,"&lt;=90"))</f>
        <v/>
      </c>
      <c r="O102" s="232">
        <f>IF($A102="","",IF(AND('01_DANH_MUC'!$H92&gt;0,'01_DANH_MUC'!$G92&lt;$E$4,$E$4-'01_DANH_MUC'!$G92&gt;90),'01_DANH_MUC'!$H92,0)+SUMIFS('02_NHAT_KY'!$K$7:$K$506,'02_NHAT_KY'!$C$7:$C$506,$A102,'02_NHAT_KY'!$L$7:$L$506,"&gt;90"))</f>
        <v/>
      </c>
      <c r="P102" s="201">
        <f>IF($A102="","",IF($H102&lt;0,"DƯ ÂM/TRẢ TRƯỚC",IF(ABS($H102-SUM($K102:$O102))&lt;1,"OK","LỆCH TUỔI NỢ")))</f>
        <v/>
      </c>
    </row>
    <row r="103">
      <c r="A103" s="201">
        <f>IF('01_DANH_MUC'!$A93="","",'01_DANH_MUC'!$A93)</f>
        <v/>
      </c>
      <c r="B103" s="198">
        <f>IF($A103="","",'01_DANH_MUC'!$B93)</f>
        <v/>
      </c>
      <c r="C103" s="201">
        <f>IF($A103="","",'01_DANH_MUC'!$C93)</f>
        <v/>
      </c>
      <c r="D103" s="231">
        <f>IF($A103="","",'01_DANH_MUC'!$D93)</f>
        <v/>
      </c>
      <c r="E103" s="232">
        <f>IF($A103="","",'01_DANH_MUC'!$F93+SUMIFS('02_NHAT_KY'!$G$7:$G$506,'02_NHAT_KY'!$C$7:$C$506,$A103,'02_NHAT_KY'!$A$7:$A$506,"&lt;"&amp;$B$4)-SUMIFS('02_NHAT_KY'!$H$7:$H$506,'02_NHAT_KY'!$C$7:$C$506,$A103,'02_NHAT_KY'!$A$7:$A$506,"&lt;"&amp;$B$4))</f>
        <v/>
      </c>
      <c r="F103" s="232">
        <f>IF($A103="","",SUMIFS('02_NHAT_KY'!$G$7:$G$506,'02_NHAT_KY'!$C$7:$C$506,$A103,'02_NHAT_KY'!$A$7:$A$506,"&gt;="&amp;$B$4,'02_NHAT_KY'!$A$7:$A$506,"&lt;="&amp;$E$4))</f>
        <v/>
      </c>
      <c r="G103" s="232">
        <f>IF($A103="","",SUMIFS('02_NHAT_KY'!$H$7:$H$506,'02_NHAT_KY'!$C$7:$C$506,$A103,'02_NHAT_KY'!$A$7:$A$506,"&gt;="&amp;$B$4,'02_NHAT_KY'!$A$7:$A$506,"&lt;="&amp;$E$4))</f>
        <v/>
      </c>
      <c r="H103" s="232">
        <f>IF($A103="","",$E103+$F103-$G103)</f>
        <v/>
      </c>
      <c r="I103" s="233">
        <f>IF($A103="","",IF($H103&lt;=0,0,MAX(IF(AND('01_DANH_MUC'!$H93&gt;0,'01_DANH_MUC'!$G93&lt;&gt;""),MAX(0,$E$4-'01_DANH_MUC'!$G93),0),IFERROR(MAXIFS('02_NHAT_KY'!$L$7:$L$506,'02_NHAT_KY'!$C$7:$C$506,$A103),0))))</f>
        <v/>
      </c>
      <c r="J103" s="201">
        <f>IF($A103="","",IF($H103&lt;=0,"Không có dư nợ",IF($I103&gt;0,"Quá hạn","Trong hạn")))</f>
        <v/>
      </c>
      <c r="K103" s="232">
        <f>IF($A103="","",IF(AND('01_DANH_MUC'!$H93&gt;0,OR('01_DANH_MUC'!$G93="",'01_DANH_MUC'!$G93&gt;=$E$4)),'01_DANH_MUC'!$H93,0)+SUMIFS('02_NHAT_KY'!$K$7:$K$506,'02_NHAT_KY'!$C$7:$C$506,$A103,'02_NHAT_KY'!$J$7:$J$506,"&gt;="&amp;$E$4)+SUMIFS('02_NHAT_KY'!$K$7:$K$506,'02_NHAT_KY'!$C$7:$C$506,$A103,'02_NHAT_KY'!$J$7:$J$506,""))</f>
        <v/>
      </c>
      <c r="L103" s="232">
        <f>IF($A103="","",IF(AND('01_DANH_MUC'!$H93&gt;0,'01_DANH_MUC'!$G93&lt;$E$4,$E$4-'01_DANH_MUC'!$G93&lt;=30),'01_DANH_MUC'!$H93,0)+SUMIFS('02_NHAT_KY'!$K$7:$K$506,'02_NHAT_KY'!$C$7:$C$506,$A103,'02_NHAT_KY'!$L$7:$L$506,"&gt;=1",'02_NHAT_KY'!$L$7:$L$506,"&lt;=30"))</f>
        <v/>
      </c>
      <c r="M103" s="232">
        <f>IF($A103="","",IF(AND('01_DANH_MUC'!$H93&gt;0,'01_DANH_MUC'!$G93&lt;$E$4,$E$4-'01_DANH_MUC'!$G93&gt;=31,$E$4-'01_DANH_MUC'!$G93&lt;=60),'01_DANH_MUC'!$H93,0)+SUMIFS('02_NHAT_KY'!$K$7:$K$506,'02_NHAT_KY'!$C$7:$C$506,$A103,'02_NHAT_KY'!$L$7:$L$506,"&gt;=31",'02_NHAT_KY'!$L$7:$L$506,"&lt;=60"))</f>
        <v/>
      </c>
      <c r="N103" s="232">
        <f>IF($A103="","",IF(AND('01_DANH_MUC'!$H93&gt;0,'01_DANH_MUC'!$G93&lt;$E$4,$E$4-'01_DANH_MUC'!$G93&gt;=61,$E$4-'01_DANH_MUC'!$G93&lt;=90),'01_DANH_MUC'!$H93,0)+SUMIFS('02_NHAT_KY'!$K$7:$K$506,'02_NHAT_KY'!$C$7:$C$506,$A103,'02_NHAT_KY'!$L$7:$L$506,"&gt;=61",'02_NHAT_KY'!$L$7:$L$506,"&lt;=90"))</f>
        <v/>
      </c>
      <c r="O103" s="232">
        <f>IF($A103="","",IF(AND('01_DANH_MUC'!$H93&gt;0,'01_DANH_MUC'!$G93&lt;$E$4,$E$4-'01_DANH_MUC'!$G93&gt;90),'01_DANH_MUC'!$H93,0)+SUMIFS('02_NHAT_KY'!$K$7:$K$506,'02_NHAT_KY'!$C$7:$C$506,$A103,'02_NHAT_KY'!$L$7:$L$506,"&gt;90"))</f>
        <v/>
      </c>
      <c r="P103" s="201">
        <f>IF($A103="","",IF($H103&lt;0,"DƯ ÂM/TRẢ TRƯỚC",IF(ABS($H103-SUM($K103:$O103))&lt;1,"OK","LỆCH TUỔI NỢ")))</f>
        <v/>
      </c>
    </row>
    <row r="104">
      <c r="A104" s="201">
        <f>IF('01_DANH_MUC'!$A94="","",'01_DANH_MUC'!$A94)</f>
        <v/>
      </c>
      <c r="B104" s="198">
        <f>IF($A104="","",'01_DANH_MUC'!$B94)</f>
        <v/>
      </c>
      <c r="C104" s="201">
        <f>IF($A104="","",'01_DANH_MUC'!$C94)</f>
        <v/>
      </c>
      <c r="D104" s="231">
        <f>IF($A104="","",'01_DANH_MUC'!$D94)</f>
        <v/>
      </c>
      <c r="E104" s="232">
        <f>IF($A104="","",'01_DANH_MUC'!$F94+SUMIFS('02_NHAT_KY'!$G$7:$G$506,'02_NHAT_KY'!$C$7:$C$506,$A104,'02_NHAT_KY'!$A$7:$A$506,"&lt;"&amp;$B$4)-SUMIFS('02_NHAT_KY'!$H$7:$H$506,'02_NHAT_KY'!$C$7:$C$506,$A104,'02_NHAT_KY'!$A$7:$A$506,"&lt;"&amp;$B$4))</f>
        <v/>
      </c>
      <c r="F104" s="232">
        <f>IF($A104="","",SUMIFS('02_NHAT_KY'!$G$7:$G$506,'02_NHAT_KY'!$C$7:$C$506,$A104,'02_NHAT_KY'!$A$7:$A$506,"&gt;="&amp;$B$4,'02_NHAT_KY'!$A$7:$A$506,"&lt;="&amp;$E$4))</f>
        <v/>
      </c>
      <c r="G104" s="232">
        <f>IF($A104="","",SUMIFS('02_NHAT_KY'!$H$7:$H$506,'02_NHAT_KY'!$C$7:$C$506,$A104,'02_NHAT_KY'!$A$7:$A$506,"&gt;="&amp;$B$4,'02_NHAT_KY'!$A$7:$A$506,"&lt;="&amp;$E$4))</f>
        <v/>
      </c>
      <c r="H104" s="232">
        <f>IF($A104="","",$E104+$F104-$G104)</f>
        <v/>
      </c>
      <c r="I104" s="233">
        <f>IF($A104="","",IF($H104&lt;=0,0,MAX(IF(AND('01_DANH_MUC'!$H94&gt;0,'01_DANH_MUC'!$G94&lt;&gt;""),MAX(0,$E$4-'01_DANH_MUC'!$G94),0),IFERROR(MAXIFS('02_NHAT_KY'!$L$7:$L$506,'02_NHAT_KY'!$C$7:$C$506,$A104),0))))</f>
        <v/>
      </c>
      <c r="J104" s="201">
        <f>IF($A104="","",IF($H104&lt;=0,"Không có dư nợ",IF($I104&gt;0,"Quá hạn","Trong hạn")))</f>
        <v/>
      </c>
      <c r="K104" s="232">
        <f>IF($A104="","",IF(AND('01_DANH_MUC'!$H94&gt;0,OR('01_DANH_MUC'!$G94="",'01_DANH_MUC'!$G94&gt;=$E$4)),'01_DANH_MUC'!$H94,0)+SUMIFS('02_NHAT_KY'!$K$7:$K$506,'02_NHAT_KY'!$C$7:$C$506,$A104,'02_NHAT_KY'!$J$7:$J$506,"&gt;="&amp;$E$4)+SUMIFS('02_NHAT_KY'!$K$7:$K$506,'02_NHAT_KY'!$C$7:$C$506,$A104,'02_NHAT_KY'!$J$7:$J$506,""))</f>
        <v/>
      </c>
      <c r="L104" s="232">
        <f>IF($A104="","",IF(AND('01_DANH_MUC'!$H94&gt;0,'01_DANH_MUC'!$G94&lt;$E$4,$E$4-'01_DANH_MUC'!$G94&lt;=30),'01_DANH_MUC'!$H94,0)+SUMIFS('02_NHAT_KY'!$K$7:$K$506,'02_NHAT_KY'!$C$7:$C$506,$A104,'02_NHAT_KY'!$L$7:$L$506,"&gt;=1",'02_NHAT_KY'!$L$7:$L$506,"&lt;=30"))</f>
        <v/>
      </c>
      <c r="M104" s="232">
        <f>IF($A104="","",IF(AND('01_DANH_MUC'!$H94&gt;0,'01_DANH_MUC'!$G94&lt;$E$4,$E$4-'01_DANH_MUC'!$G94&gt;=31,$E$4-'01_DANH_MUC'!$G94&lt;=60),'01_DANH_MUC'!$H94,0)+SUMIFS('02_NHAT_KY'!$K$7:$K$506,'02_NHAT_KY'!$C$7:$C$506,$A104,'02_NHAT_KY'!$L$7:$L$506,"&gt;=31",'02_NHAT_KY'!$L$7:$L$506,"&lt;=60"))</f>
        <v/>
      </c>
      <c r="N104" s="232">
        <f>IF($A104="","",IF(AND('01_DANH_MUC'!$H94&gt;0,'01_DANH_MUC'!$G94&lt;$E$4,$E$4-'01_DANH_MUC'!$G94&gt;=61,$E$4-'01_DANH_MUC'!$G94&lt;=90),'01_DANH_MUC'!$H94,0)+SUMIFS('02_NHAT_KY'!$K$7:$K$506,'02_NHAT_KY'!$C$7:$C$506,$A104,'02_NHAT_KY'!$L$7:$L$506,"&gt;=61",'02_NHAT_KY'!$L$7:$L$506,"&lt;=90"))</f>
        <v/>
      </c>
      <c r="O104" s="232">
        <f>IF($A104="","",IF(AND('01_DANH_MUC'!$H94&gt;0,'01_DANH_MUC'!$G94&lt;$E$4,$E$4-'01_DANH_MUC'!$G94&gt;90),'01_DANH_MUC'!$H94,0)+SUMIFS('02_NHAT_KY'!$K$7:$K$506,'02_NHAT_KY'!$C$7:$C$506,$A104,'02_NHAT_KY'!$L$7:$L$506,"&gt;90"))</f>
        <v/>
      </c>
      <c r="P104" s="201">
        <f>IF($A104="","",IF($H104&lt;0,"DƯ ÂM/TRẢ TRƯỚC",IF(ABS($H104-SUM($K104:$O104))&lt;1,"OK","LỆCH TUỔI NỢ")))</f>
        <v/>
      </c>
    </row>
    <row r="105">
      <c r="A105" s="201">
        <f>IF('01_DANH_MUC'!$A95="","",'01_DANH_MUC'!$A95)</f>
        <v/>
      </c>
      <c r="B105" s="198">
        <f>IF($A105="","",'01_DANH_MUC'!$B95)</f>
        <v/>
      </c>
      <c r="C105" s="201">
        <f>IF($A105="","",'01_DANH_MUC'!$C95)</f>
        <v/>
      </c>
      <c r="D105" s="231">
        <f>IF($A105="","",'01_DANH_MUC'!$D95)</f>
        <v/>
      </c>
      <c r="E105" s="232">
        <f>IF($A105="","",'01_DANH_MUC'!$F95+SUMIFS('02_NHAT_KY'!$G$7:$G$506,'02_NHAT_KY'!$C$7:$C$506,$A105,'02_NHAT_KY'!$A$7:$A$506,"&lt;"&amp;$B$4)-SUMIFS('02_NHAT_KY'!$H$7:$H$506,'02_NHAT_KY'!$C$7:$C$506,$A105,'02_NHAT_KY'!$A$7:$A$506,"&lt;"&amp;$B$4))</f>
        <v/>
      </c>
      <c r="F105" s="232">
        <f>IF($A105="","",SUMIFS('02_NHAT_KY'!$G$7:$G$506,'02_NHAT_KY'!$C$7:$C$506,$A105,'02_NHAT_KY'!$A$7:$A$506,"&gt;="&amp;$B$4,'02_NHAT_KY'!$A$7:$A$506,"&lt;="&amp;$E$4))</f>
        <v/>
      </c>
      <c r="G105" s="232">
        <f>IF($A105="","",SUMIFS('02_NHAT_KY'!$H$7:$H$506,'02_NHAT_KY'!$C$7:$C$506,$A105,'02_NHAT_KY'!$A$7:$A$506,"&gt;="&amp;$B$4,'02_NHAT_KY'!$A$7:$A$506,"&lt;="&amp;$E$4))</f>
        <v/>
      </c>
      <c r="H105" s="232">
        <f>IF($A105="","",$E105+$F105-$G105)</f>
        <v/>
      </c>
      <c r="I105" s="233">
        <f>IF($A105="","",IF($H105&lt;=0,0,MAX(IF(AND('01_DANH_MUC'!$H95&gt;0,'01_DANH_MUC'!$G95&lt;&gt;""),MAX(0,$E$4-'01_DANH_MUC'!$G95),0),IFERROR(MAXIFS('02_NHAT_KY'!$L$7:$L$506,'02_NHAT_KY'!$C$7:$C$506,$A105),0))))</f>
        <v/>
      </c>
      <c r="J105" s="201">
        <f>IF($A105="","",IF($H105&lt;=0,"Không có dư nợ",IF($I105&gt;0,"Quá hạn","Trong hạn")))</f>
        <v/>
      </c>
      <c r="K105" s="232">
        <f>IF($A105="","",IF(AND('01_DANH_MUC'!$H95&gt;0,OR('01_DANH_MUC'!$G95="",'01_DANH_MUC'!$G95&gt;=$E$4)),'01_DANH_MUC'!$H95,0)+SUMIFS('02_NHAT_KY'!$K$7:$K$506,'02_NHAT_KY'!$C$7:$C$506,$A105,'02_NHAT_KY'!$J$7:$J$506,"&gt;="&amp;$E$4)+SUMIFS('02_NHAT_KY'!$K$7:$K$506,'02_NHAT_KY'!$C$7:$C$506,$A105,'02_NHAT_KY'!$J$7:$J$506,""))</f>
        <v/>
      </c>
      <c r="L105" s="232">
        <f>IF($A105="","",IF(AND('01_DANH_MUC'!$H95&gt;0,'01_DANH_MUC'!$G95&lt;$E$4,$E$4-'01_DANH_MUC'!$G95&lt;=30),'01_DANH_MUC'!$H95,0)+SUMIFS('02_NHAT_KY'!$K$7:$K$506,'02_NHAT_KY'!$C$7:$C$506,$A105,'02_NHAT_KY'!$L$7:$L$506,"&gt;=1",'02_NHAT_KY'!$L$7:$L$506,"&lt;=30"))</f>
        <v/>
      </c>
      <c r="M105" s="232">
        <f>IF($A105="","",IF(AND('01_DANH_MUC'!$H95&gt;0,'01_DANH_MUC'!$G95&lt;$E$4,$E$4-'01_DANH_MUC'!$G95&gt;=31,$E$4-'01_DANH_MUC'!$G95&lt;=60),'01_DANH_MUC'!$H95,0)+SUMIFS('02_NHAT_KY'!$K$7:$K$506,'02_NHAT_KY'!$C$7:$C$506,$A105,'02_NHAT_KY'!$L$7:$L$506,"&gt;=31",'02_NHAT_KY'!$L$7:$L$506,"&lt;=60"))</f>
        <v/>
      </c>
      <c r="N105" s="232">
        <f>IF($A105="","",IF(AND('01_DANH_MUC'!$H95&gt;0,'01_DANH_MUC'!$G95&lt;$E$4,$E$4-'01_DANH_MUC'!$G95&gt;=61,$E$4-'01_DANH_MUC'!$G95&lt;=90),'01_DANH_MUC'!$H95,0)+SUMIFS('02_NHAT_KY'!$K$7:$K$506,'02_NHAT_KY'!$C$7:$C$506,$A105,'02_NHAT_KY'!$L$7:$L$506,"&gt;=61",'02_NHAT_KY'!$L$7:$L$506,"&lt;=90"))</f>
        <v/>
      </c>
      <c r="O105" s="232">
        <f>IF($A105="","",IF(AND('01_DANH_MUC'!$H95&gt;0,'01_DANH_MUC'!$G95&lt;$E$4,$E$4-'01_DANH_MUC'!$G95&gt;90),'01_DANH_MUC'!$H95,0)+SUMIFS('02_NHAT_KY'!$K$7:$K$506,'02_NHAT_KY'!$C$7:$C$506,$A105,'02_NHAT_KY'!$L$7:$L$506,"&gt;90"))</f>
        <v/>
      </c>
      <c r="P105" s="201">
        <f>IF($A105="","",IF($H105&lt;0,"DƯ ÂM/TRẢ TRƯỚC",IF(ABS($H105-SUM($K105:$O105))&lt;1,"OK","LỆCH TUỔI NỢ")))</f>
        <v/>
      </c>
    </row>
    <row r="106">
      <c r="A106" s="201">
        <f>IF('01_DANH_MUC'!$A96="","",'01_DANH_MUC'!$A96)</f>
        <v/>
      </c>
      <c r="B106" s="198">
        <f>IF($A106="","",'01_DANH_MUC'!$B96)</f>
        <v/>
      </c>
      <c r="C106" s="201">
        <f>IF($A106="","",'01_DANH_MUC'!$C96)</f>
        <v/>
      </c>
      <c r="D106" s="231">
        <f>IF($A106="","",'01_DANH_MUC'!$D96)</f>
        <v/>
      </c>
      <c r="E106" s="232">
        <f>IF($A106="","",'01_DANH_MUC'!$F96+SUMIFS('02_NHAT_KY'!$G$7:$G$506,'02_NHAT_KY'!$C$7:$C$506,$A106,'02_NHAT_KY'!$A$7:$A$506,"&lt;"&amp;$B$4)-SUMIFS('02_NHAT_KY'!$H$7:$H$506,'02_NHAT_KY'!$C$7:$C$506,$A106,'02_NHAT_KY'!$A$7:$A$506,"&lt;"&amp;$B$4))</f>
        <v/>
      </c>
      <c r="F106" s="232">
        <f>IF($A106="","",SUMIFS('02_NHAT_KY'!$G$7:$G$506,'02_NHAT_KY'!$C$7:$C$506,$A106,'02_NHAT_KY'!$A$7:$A$506,"&gt;="&amp;$B$4,'02_NHAT_KY'!$A$7:$A$506,"&lt;="&amp;$E$4))</f>
        <v/>
      </c>
      <c r="G106" s="232">
        <f>IF($A106="","",SUMIFS('02_NHAT_KY'!$H$7:$H$506,'02_NHAT_KY'!$C$7:$C$506,$A106,'02_NHAT_KY'!$A$7:$A$506,"&gt;="&amp;$B$4,'02_NHAT_KY'!$A$7:$A$506,"&lt;="&amp;$E$4))</f>
        <v/>
      </c>
      <c r="H106" s="232">
        <f>IF($A106="","",$E106+$F106-$G106)</f>
        <v/>
      </c>
      <c r="I106" s="233">
        <f>IF($A106="","",IF($H106&lt;=0,0,MAX(IF(AND('01_DANH_MUC'!$H96&gt;0,'01_DANH_MUC'!$G96&lt;&gt;""),MAX(0,$E$4-'01_DANH_MUC'!$G96),0),IFERROR(MAXIFS('02_NHAT_KY'!$L$7:$L$506,'02_NHAT_KY'!$C$7:$C$506,$A106),0))))</f>
        <v/>
      </c>
      <c r="J106" s="201">
        <f>IF($A106="","",IF($H106&lt;=0,"Không có dư nợ",IF($I106&gt;0,"Quá hạn","Trong hạn")))</f>
        <v/>
      </c>
      <c r="K106" s="232">
        <f>IF($A106="","",IF(AND('01_DANH_MUC'!$H96&gt;0,OR('01_DANH_MUC'!$G96="",'01_DANH_MUC'!$G96&gt;=$E$4)),'01_DANH_MUC'!$H96,0)+SUMIFS('02_NHAT_KY'!$K$7:$K$506,'02_NHAT_KY'!$C$7:$C$506,$A106,'02_NHAT_KY'!$J$7:$J$506,"&gt;="&amp;$E$4)+SUMIFS('02_NHAT_KY'!$K$7:$K$506,'02_NHAT_KY'!$C$7:$C$506,$A106,'02_NHAT_KY'!$J$7:$J$506,""))</f>
        <v/>
      </c>
      <c r="L106" s="232">
        <f>IF($A106="","",IF(AND('01_DANH_MUC'!$H96&gt;0,'01_DANH_MUC'!$G96&lt;$E$4,$E$4-'01_DANH_MUC'!$G96&lt;=30),'01_DANH_MUC'!$H96,0)+SUMIFS('02_NHAT_KY'!$K$7:$K$506,'02_NHAT_KY'!$C$7:$C$506,$A106,'02_NHAT_KY'!$L$7:$L$506,"&gt;=1",'02_NHAT_KY'!$L$7:$L$506,"&lt;=30"))</f>
        <v/>
      </c>
      <c r="M106" s="232">
        <f>IF($A106="","",IF(AND('01_DANH_MUC'!$H96&gt;0,'01_DANH_MUC'!$G96&lt;$E$4,$E$4-'01_DANH_MUC'!$G96&gt;=31,$E$4-'01_DANH_MUC'!$G96&lt;=60),'01_DANH_MUC'!$H96,0)+SUMIFS('02_NHAT_KY'!$K$7:$K$506,'02_NHAT_KY'!$C$7:$C$506,$A106,'02_NHAT_KY'!$L$7:$L$506,"&gt;=31",'02_NHAT_KY'!$L$7:$L$506,"&lt;=60"))</f>
        <v/>
      </c>
      <c r="N106" s="232">
        <f>IF($A106="","",IF(AND('01_DANH_MUC'!$H96&gt;0,'01_DANH_MUC'!$G96&lt;$E$4,$E$4-'01_DANH_MUC'!$G96&gt;=61,$E$4-'01_DANH_MUC'!$G96&lt;=90),'01_DANH_MUC'!$H96,0)+SUMIFS('02_NHAT_KY'!$K$7:$K$506,'02_NHAT_KY'!$C$7:$C$506,$A106,'02_NHAT_KY'!$L$7:$L$506,"&gt;=61",'02_NHAT_KY'!$L$7:$L$506,"&lt;=90"))</f>
        <v/>
      </c>
      <c r="O106" s="232">
        <f>IF($A106="","",IF(AND('01_DANH_MUC'!$H96&gt;0,'01_DANH_MUC'!$G96&lt;$E$4,$E$4-'01_DANH_MUC'!$G96&gt;90),'01_DANH_MUC'!$H96,0)+SUMIFS('02_NHAT_KY'!$K$7:$K$506,'02_NHAT_KY'!$C$7:$C$506,$A106,'02_NHAT_KY'!$L$7:$L$506,"&gt;90"))</f>
        <v/>
      </c>
      <c r="P106" s="201">
        <f>IF($A106="","",IF($H106&lt;0,"DƯ ÂM/TRẢ TRƯỚC",IF(ABS($H106-SUM($K106:$O106))&lt;1,"OK","LỆCH TUỔI NỢ")))</f>
        <v/>
      </c>
    </row>
    <row r="107">
      <c r="A107" s="201">
        <f>IF('01_DANH_MUC'!$A97="","",'01_DANH_MUC'!$A97)</f>
        <v/>
      </c>
      <c r="B107" s="198">
        <f>IF($A107="","",'01_DANH_MUC'!$B97)</f>
        <v/>
      </c>
      <c r="C107" s="201">
        <f>IF($A107="","",'01_DANH_MUC'!$C97)</f>
        <v/>
      </c>
      <c r="D107" s="231">
        <f>IF($A107="","",'01_DANH_MUC'!$D97)</f>
        <v/>
      </c>
      <c r="E107" s="232">
        <f>IF($A107="","",'01_DANH_MUC'!$F97+SUMIFS('02_NHAT_KY'!$G$7:$G$506,'02_NHAT_KY'!$C$7:$C$506,$A107,'02_NHAT_KY'!$A$7:$A$506,"&lt;"&amp;$B$4)-SUMIFS('02_NHAT_KY'!$H$7:$H$506,'02_NHAT_KY'!$C$7:$C$506,$A107,'02_NHAT_KY'!$A$7:$A$506,"&lt;"&amp;$B$4))</f>
        <v/>
      </c>
      <c r="F107" s="232">
        <f>IF($A107="","",SUMIFS('02_NHAT_KY'!$G$7:$G$506,'02_NHAT_KY'!$C$7:$C$506,$A107,'02_NHAT_KY'!$A$7:$A$506,"&gt;="&amp;$B$4,'02_NHAT_KY'!$A$7:$A$506,"&lt;="&amp;$E$4))</f>
        <v/>
      </c>
      <c r="G107" s="232">
        <f>IF($A107="","",SUMIFS('02_NHAT_KY'!$H$7:$H$506,'02_NHAT_KY'!$C$7:$C$506,$A107,'02_NHAT_KY'!$A$7:$A$506,"&gt;="&amp;$B$4,'02_NHAT_KY'!$A$7:$A$506,"&lt;="&amp;$E$4))</f>
        <v/>
      </c>
      <c r="H107" s="232">
        <f>IF($A107="","",$E107+$F107-$G107)</f>
        <v/>
      </c>
      <c r="I107" s="233">
        <f>IF($A107="","",IF($H107&lt;=0,0,MAX(IF(AND('01_DANH_MUC'!$H97&gt;0,'01_DANH_MUC'!$G97&lt;&gt;""),MAX(0,$E$4-'01_DANH_MUC'!$G97),0),IFERROR(MAXIFS('02_NHAT_KY'!$L$7:$L$506,'02_NHAT_KY'!$C$7:$C$506,$A107),0))))</f>
        <v/>
      </c>
      <c r="J107" s="201">
        <f>IF($A107="","",IF($H107&lt;=0,"Không có dư nợ",IF($I107&gt;0,"Quá hạn","Trong hạn")))</f>
        <v/>
      </c>
      <c r="K107" s="232">
        <f>IF($A107="","",IF(AND('01_DANH_MUC'!$H97&gt;0,OR('01_DANH_MUC'!$G97="",'01_DANH_MUC'!$G97&gt;=$E$4)),'01_DANH_MUC'!$H97,0)+SUMIFS('02_NHAT_KY'!$K$7:$K$506,'02_NHAT_KY'!$C$7:$C$506,$A107,'02_NHAT_KY'!$J$7:$J$506,"&gt;="&amp;$E$4)+SUMIFS('02_NHAT_KY'!$K$7:$K$506,'02_NHAT_KY'!$C$7:$C$506,$A107,'02_NHAT_KY'!$J$7:$J$506,""))</f>
        <v/>
      </c>
      <c r="L107" s="232">
        <f>IF($A107="","",IF(AND('01_DANH_MUC'!$H97&gt;0,'01_DANH_MUC'!$G97&lt;$E$4,$E$4-'01_DANH_MUC'!$G97&lt;=30),'01_DANH_MUC'!$H97,0)+SUMIFS('02_NHAT_KY'!$K$7:$K$506,'02_NHAT_KY'!$C$7:$C$506,$A107,'02_NHAT_KY'!$L$7:$L$506,"&gt;=1",'02_NHAT_KY'!$L$7:$L$506,"&lt;=30"))</f>
        <v/>
      </c>
      <c r="M107" s="232">
        <f>IF($A107="","",IF(AND('01_DANH_MUC'!$H97&gt;0,'01_DANH_MUC'!$G97&lt;$E$4,$E$4-'01_DANH_MUC'!$G97&gt;=31,$E$4-'01_DANH_MUC'!$G97&lt;=60),'01_DANH_MUC'!$H97,0)+SUMIFS('02_NHAT_KY'!$K$7:$K$506,'02_NHAT_KY'!$C$7:$C$506,$A107,'02_NHAT_KY'!$L$7:$L$506,"&gt;=31",'02_NHAT_KY'!$L$7:$L$506,"&lt;=60"))</f>
        <v/>
      </c>
      <c r="N107" s="232">
        <f>IF($A107="","",IF(AND('01_DANH_MUC'!$H97&gt;0,'01_DANH_MUC'!$G97&lt;$E$4,$E$4-'01_DANH_MUC'!$G97&gt;=61,$E$4-'01_DANH_MUC'!$G97&lt;=90),'01_DANH_MUC'!$H97,0)+SUMIFS('02_NHAT_KY'!$K$7:$K$506,'02_NHAT_KY'!$C$7:$C$506,$A107,'02_NHAT_KY'!$L$7:$L$506,"&gt;=61",'02_NHAT_KY'!$L$7:$L$506,"&lt;=90"))</f>
        <v/>
      </c>
      <c r="O107" s="232">
        <f>IF($A107="","",IF(AND('01_DANH_MUC'!$H97&gt;0,'01_DANH_MUC'!$G97&lt;$E$4,$E$4-'01_DANH_MUC'!$G97&gt;90),'01_DANH_MUC'!$H97,0)+SUMIFS('02_NHAT_KY'!$K$7:$K$506,'02_NHAT_KY'!$C$7:$C$506,$A107,'02_NHAT_KY'!$L$7:$L$506,"&gt;90"))</f>
        <v/>
      </c>
      <c r="P107" s="201">
        <f>IF($A107="","",IF($H107&lt;0,"DƯ ÂM/TRẢ TRƯỚC",IF(ABS($H107-SUM($K107:$O107))&lt;1,"OK","LỆCH TUỔI NỢ")))</f>
        <v/>
      </c>
    </row>
    <row r="108">
      <c r="A108" s="201">
        <f>IF('01_DANH_MUC'!$A98="","",'01_DANH_MUC'!$A98)</f>
        <v/>
      </c>
      <c r="B108" s="198">
        <f>IF($A108="","",'01_DANH_MUC'!$B98)</f>
        <v/>
      </c>
      <c r="C108" s="201">
        <f>IF($A108="","",'01_DANH_MUC'!$C98)</f>
        <v/>
      </c>
      <c r="D108" s="231">
        <f>IF($A108="","",'01_DANH_MUC'!$D98)</f>
        <v/>
      </c>
      <c r="E108" s="232">
        <f>IF($A108="","",'01_DANH_MUC'!$F98+SUMIFS('02_NHAT_KY'!$G$7:$G$506,'02_NHAT_KY'!$C$7:$C$506,$A108,'02_NHAT_KY'!$A$7:$A$506,"&lt;"&amp;$B$4)-SUMIFS('02_NHAT_KY'!$H$7:$H$506,'02_NHAT_KY'!$C$7:$C$506,$A108,'02_NHAT_KY'!$A$7:$A$506,"&lt;"&amp;$B$4))</f>
        <v/>
      </c>
      <c r="F108" s="232">
        <f>IF($A108="","",SUMIFS('02_NHAT_KY'!$G$7:$G$506,'02_NHAT_KY'!$C$7:$C$506,$A108,'02_NHAT_KY'!$A$7:$A$506,"&gt;="&amp;$B$4,'02_NHAT_KY'!$A$7:$A$506,"&lt;="&amp;$E$4))</f>
        <v/>
      </c>
      <c r="G108" s="232">
        <f>IF($A108="","",SUMIFS('02_NHAT_KY'!$H$7:$H$506,'02_NHAT_KY'!$C$7:$C$506,$A108,'02_NHAT_KY'!$A$7:$A$506,"&gt;="&amp;$B$4,'02_NHAT_KY'!$A$7:$A$506,"&lt;="&amp;$E$4))</f>
        <v/>
      </c>
      <c r="H108" s="232">
        <f>IF($A108="","",$E108+$F108-$G108)</f>
        <v/>
      </c>
      <c r="I108" s="233">
        <f>IF($A108="","",IF($H108&lt;=0,0,MAX(IF(AND('01_DANH_MUC'!$H98&gt;0,'01_DANH_MUC'!$G98&lt;&gt;""),MAX(0,$E$4-'01_DANH_MUC'!$G98),0),IFERROR(MAXIFS('02_NHAT_KY'!$L$7:$L$506,'02_NHAT_KY'!$C$7:$C$506,$A108),0))))</f>
        <v/>
      </c>
      <c r="J108" s="201">
        <f>IF($A108="","",IF($H108&lt;=0,"Không có dư nợ",IF($I108&gt;0,"Quá hạn","Trong hạn")))</f>
        <v/>
      </c>
      <c r="K108" s="232">
        <f>IF($A108="","",IF(AND('01_DANH_MUC'!$H98&gt;0,OR('01_DANH_MUC'!$G98="",'01_DANH_MUC'!$G98&gt;=$E$4)),'01_DANH_MUC'!$H98,0)+SUMIFS('02_NHAT_KY'!$K$7:$K$506,'02_NHAT_KY'!$C$7:$C$506,$A108,'02_NHAT_KY'!$J$7:$J$506,"&gt;="&amp;$E$4)+SUMIFS('02_NHAT_KY'!$K$7:$K$506,'02_NHAT_KY'!$C$7:$C$506,$A108,'02_NHAT_KY'!$J$7:$J$506,""))</f>
        <v/>
      </c>
      <c r="L108" s="232">
        <f>IF($A108="","",IF(AND('01_DANH_MUC'!$H98&gt;0,'01_DANH_MUC'!$G98&lt;$E$4,$E$4-'01_DANH_MUC'!$G98&lt;=30),'01_DANH_MUC'!$H98,0)+SUMIFS('02_NHAT_KY'!$K$7:$K$506,'02_NHAT_KY'!$C$7:$C$506,$A108,'02_NHAT_KY'!$L$7:$L$506,"&gt;=1",'02_NHAT_KY'!$L$7:$L$506,"&lt;=30"))</f>
        <v/>
      </c>
      <c r="M108" s="232">
        <f>IF($A108="","",IF(AND('01_DANH_MUC'!$H98&gt;0,'01_DANH_MUC'!$G98&lt;$E$4,$E$4-'01_DANH_MUC'!$G98&gt;=31,$E$4-'01_DANH_MUC'!$G98&lt;=60),'01_DANH_MUC'!$H98,0)+SUMIFS('02_NHAT_KY'!$K$7:$K$506,'02_NHAT_KY'!$C$7:$C$506,$A108,'02_NHAT_KY'!$L$7:$L$506,"&gt;=31",'02_NHAT_KY'!$L$7:$L$506,"&lt;=60"))</f>
        <v/>
      </c>
      <c r="N108" s="232">
        <f>IF($A108="","",IF(AND('01_DANH_MUC'!$H98&gt;0,'01_DANH_MUC'!$G98&lt;$E$4,$E$4-'01_DANH_MUC'!$G98&gt;=61,$E$4-'01_DANH_MUC'!$G98&lt;=90),'01_DANH_MUC'!$H98,0)+SUMIFS('02_NHAT_KY'!$K$7:$K$506,'02_NHAT_KY'!$C$7:$C$506,$A108,'02_NHAT_KY'!$L$7:$L$506,"&gt;=61",'02_NHAT_KY'!$L$7:$L$506,"&lt;=90"))</f>
        <v/>
      </c>
      <c r="O108" s="232">
        <f>IF($A108="","",IF(AND('01_DANH_MUC'!$H98&gt;0,'01_DANH_MUC'!$G98&lt;$E$4,$E$4-'01_DANH_MUC'!$G98&gt;90),'01_DANH_MUC'!$H98,0)+SUMIFS('02_NHAT_KY'!$K$7:$K$506,'02_NHAT_KY'!$C$7:$C$506,$A108,'02_NHAT_KY'!$L$7:$L$506,"&gt;90"))</f>
        <v/>
      </c>
      <c r="P108" s="201">
        <f>IF($A108="","",IF($H108&lt;0,"DƯ ÂM/TRẢ TRƯỚC",IF(ABS($H108-SUM($K108:$O108))&lt;1,"OK","LỆCH TUỔI NỢ")))</f>
        <v/>
      </c>
    </row>
    <row r="109">
      <c r="A109" s="201">
        <f>IF('01_DANH_MUC'!$A99="","",'01_DANH_MUC'!$A99)</f>
        <v/>
      </c>
      <c r="B109" s="198">
        <f>IF($A109="","",'01_DANH_MUC'!$B99)</f>
        <v/>
      </c>
      <c r="C109" s="201">
        <f>IF($A109="","",'01_DANH_MUC'!$C99)</f>
        <v/>
      </c>
      <c r="D109" s="231">
        <f>IF($A109="","",'01_DANH_MUC'!$D99)</f>
        <v/>
      </c>
      <c r="E109" s="232">
        <f>IF($A109="","",'01_DANH_MUC'!$F99+SUMIFS('02_NHAT_KY'!$G$7:$G$506,'02_NHAT_KY'!$C$7:$C$506,$A109,'02_NHAT_KY'!$A$7:$A$506,"&lt;"&amp;$B$4)-SUMIFS('02_NHAT_KY'!$H$7:$H$506,'02_NHAT_KY'!$C$7:$C$506,$A109,'02_NHAT_KY'!$A$7:$A$506,"&lt;"&amp;$B$4))</f>
        <v/>
      </c>
      <c r="F109" s="232">
        <f>IF($A109="","",SUMIFS('02_NHAT_KY'!$G$7:$G$506,'02_NHAT_KY'!$C$7:$C$506,$A109,'02_NHAT_KY'!$A$7:$A$506,"&gt;="&amp;$B$4,'02_NHAT_KY'!$A$7:$A$506,"&lt;="&amp;$E$4))</f>
        <v/>
      </c>
      <c r="G109" s="232">
        <f>IF($A109="","",SUMIFS('02_NHAT_KY'!$H$7:$H$506,'02_NHAT_KY'!$C$7:$C$506,$A109,'02_NHAT_KY'!$A$7:$A$506,"&gt;="&amp;$B$4,'02_NHAT_KY'!$A$7:$A$506,"&lt;="&amp;$E$4))</f>
        <v/>
      </c>
      <c r="H109" s="232">
        <f>IF($A109="","",$E109+$F109-$G109)</f>
        <v/>
      </c>
      <c r="I109" s="233">
        <f>IF($A109="","",IF($H109&lt;=0,0,MAX(IF(AND('01_DANH_MUC'!$H99&gt;0,'01_DANH_MUC'!$G99&lt;&gt;""),MAX(0,$E$4-'01_DANH_MUC'!$G99),0),IFERROR(MAXIFS('02_NHAT_KY'!$L$7:$L$506,'02_NHAT_KY'!$C$7:$C$506,$A109),0))))</f>
        <v/>
      </c>
      <c r="J109" s="201">
        <f>IF($A109="","",IF($H109&lt;=0,"Không có dư nợ",IF($I109&gt;0,"Quá hạn","Trong hạn")))</f>
        <v/>
      </c>
      <c r="K109" s="232">
        <f>IF($A109="","",IF(AND('01_DANH_MUC'!$H99&gt;0,OR('01_DANH_MUC'!$G99="",'01_DANH_MUC'!$G99&gt;=$E$4)),'01_DANH_MUC'!$H99,0)+SUMIFS('02_NHAT_KY'!$K$7:$K$506,'02_NHAT_KY'!$C$7:$C$506,$A109,'02_NHAT_KY'!$J$7:$J$506,"&gt;="&amp;$E$4)+SUMIFS('02_NHAT_KY'!$K$7:$K$506,'02_NHAT_KY'!$C$7:$C$506,$A109,'02_NHAT_KY'!$J$7:$J$506,""))</f>
        <v/>
      </c>
      <c r="L109" s="232">
        <f>IF($A109="","",IF(AND('01_DANH_MUC'!$H99&gt;0,'01_DANH_MUC'!$G99&lt;$E$4,$E$4-'01_DANH_MUC'!$G99&lt;=30),'01_DANH_MUC'!$H99,0)+SUMIFS('02_NHAT_KY'!$K$7:$K$506,'02_NHAT_KY'!$C$7:$C$506,$A109,'02_NHAT_KY'!$L$7:$L$506,"&gt;=1",'02_NHAT_KY'!$L$7:$L$506,"&lt;=30"))</f>
        <v/>
      </c>
      <c r="M109" s="232">
        <f>IF($A109="","",IF(AND('01_DANH_MUC'!$H99&gt;0,'01_DANH_MUC'!$G99&lt;$E$4,$E$4-'01_DANH_MUC'!$G99&gt;=31,$E$4-'01_DANH_MUC'!$G99&lt;=60),'01_DANH_MUC'!$H99,0)+SUMIFS('02_NHAT_KY'!$K$7:$K$506,'02_NHAT_KY'!$C$7:$C$506,$A109,'02_NHAT_KY'!$L$7:$L$506,"&gt;=31",'02_NHAT_KY'!$L$7:$L$506,"&lt;=60"))</f>
        <v/>
      </c>
      <c r="N109" s="232">
        <f>IF($A109="","",IF(AND('01_DANH_MUC'!$H99&gt;0,'01_DANH_MUC'!$G99&lt;$E$4,$E$4-'01_DANH_MUC'!$G99&gt;=61,$E$4-'01_DANH_MUC'!$G99&lt;=90),'01_DANH_MUC'!$H99,0)+SUMIFS('02_NHAT_KY'!$K$7:$K$506,'02_NHAT_KY'!$C$7:$C$506,$A109,'02_NHAT_KY'!$L$7:$L$506,"&gt;=61",'02_NHAT_KY'!$L$7:$L$506,"&lt;=90"))</f>
        <v/>
      </c>
      <c r="O109" s="232">
        <f>IF($A109="","",IF(AND('01_DANH_MUC'!$H99&gt;0,'01_DANH_MUC'!$G99&lt;$E$4,$E$4-'01_DANH_MUC'!$G99&gt;90),'01_DANH_MUC'!$H99,0)+SUMIFS('02_NHAT_KY'!$K$7:$K$506,'02_NHAT_KY'!$C$7:$C$506,$A109,'02_NHAT_KY'!$L$7:$L$506,"&gt;90"))</f>
        <v/>
      </c>
      <c r="P109" s="201">
        <f>IF($A109="","",IF($H109&lt;0,"DƯ ÂM/TRẢ TRƯỚC",IF(ABS($H109-SUM($K109:$O109))&lt;1,"OK","LỆCH TUỔI NỢ")))</f>
        <v/>
      </c>
    </row>
    <row r="110">
      <c r="A110" s="201">
        <f>IF('01_DANH_MUC'!$A100="","",'01_DANH_MUC'!$A100)</f>
        <v/>
      </c>
      <c r="B110" s="198">
        <f>IF($A110="","",'01_DANH_MUC'!$B100)</f>
        <v/>
      </c>
      <c r="C110" s="201">
        <f>IF($A110="","",'01_DANH_MUC'!$C100)</f>
        <v/>
      </c>
      <c r="D110" s="231">
        <f>IF($A110="","",'01_DANH_MUC'!$D100)</f>
        <v/>
      </c>
      <c r="E110" s="232">
        <f>IF($A110="","",'01_DANH_MUC'!$F100+SUMIFS('02_NHAT_KY'!$G$7:$G$506,'02_NHAT_KY'!$C$7:$C$506,$A110,'02_NHAT_KY'!$A$7:$A$506,"&lt;"&amp;$B$4)-SUMIFS('02_NHAT_KY'!$H$7:$H$506,'02_NHAT_KY'!$C$7:$C$506,$A110,'02_NHAT_KY'!$A$7:$A$506,"&lt;"&amp;$B$4))</f>
        <v/>
      </c>
      <c r="F110" s="232">
        <f>IF($A110="","",SUMIFS('02_NHAT_KY'!$G$7:$G$506,'02_NHAT_KY'!$C$7:$C$506,$A110,'02_NHAT_KY'!$A$7:$A$506,"&gt;="&amp;$B$4,'02_NHAT_KY'!$A$7:$A$506,"&lt;="&amp;$E$4))</f>
        <v/>
      </c>
      <c r="G110" s="232">
        <f>IF($A110="","",SUMIFS('02_NHAT_KY'!$H$7:$H$506,'02_NHAT_KY'!$C$7:$C$506,$A110,'02_NHAT_KY'!$A$7:$A$506,"&gt;="&amp;$B$4,'02_NHAT_KY'!$A$7:$A$506,"&lt;="&amp;$E$4))</f>
        <v/>
      </c>
      <c r="H110" s="232">
        <f>IF($A110="","",$E110+$F110-$G110)</f>
        <v/>
      </c>
      <c r="I110" s="233">
        <f>IF($A110="","",IF($H110&lt;=0,0,MAX(IF(AND('01_DANH_MUC'!$H100&gt;0,'01_DANH_MUC'!$G100&lt;&gt;""),MAX(0,$E$4-'01_DANH_MUC'!$G100),0),IFERROR(MAXIFS('02_NHAT_KY'!$L$7:$L$506,'02_NHAT_KY'!$C$7:$C$506,$A110),0))))</f>
        <v/>
      </c>
      <c r="J110" s="201">
        <f>IF($A110="","",IF($H110&lt;=0,"Không có dư nợ",IF($I110&gt;0,"Quá hạn","Trong hạn")))</f>
        <v/>
      </c>
      <c r="K110" s="232">
        <f>IF($A110="","",IF(AND('01_DANH_MUC'!$H100&gt;0,OR('01_DANH_MUC'!$G100="",'01_DANH_MUC'!$G100&gt;=$E$4)),'01_DANH_MUC'!$H100,0)+SUMIFS('02_NHAT_KY'!$K$7:$K$506,'02_NHAT_KY'!$C$7:$C$506,$A110,'02_NHAT_KY'!$J$7:$J$506,"&gt;="&amp;$E$4)+SUMIFS('02_NHAT_KY'!$K$7:$K$506,'02_NHAT_KY'!$C$7:$C$506,$A110,'02_NHAT_KY'!$J$7:$J$506,""))</f>
        <v/>
      </c>
      <c r="L110" s="232">
        <f>IF($A110="","",IF(AND('01_DANH_MUC'!$H100&gt;0,'01_DANH_MUC'!$G100&lt;$E$4,$E$4-'01_DANH_MUC'!$G100&lt;=30),'01_DANH_MUC'!$H100,0)+SUMIFS('02_NHAT_KY'!$K$7:$K$506,'02_NHAT_KY'!$C$7:$C$506,$A110,'02_NHAT_KY'!$L$7:$L$506,"&gt;=1",'02_NHAT_KY'!$L$7:$L$506,"&lt;=30"))</f>
        <v/>
      </c>
      <c r="M110" s="232">
        <f>IF($A110="","",IF(AND('01_DANH_MUC'!$H100&gt;0,'01_DANH_MUC'!$G100&lt;$E$4,$E$4-'01_DANH_MUC'!$G100&gt;=31,$E$4-'01_DANH_MUC'!$G100&lt;=60),'01_DANH_MUC'!$H100,0)+SUMIFS('02_NHAT_KY'!$K$7:$K$506,'02_NHAT_KY'!$C$7:$C$506,$A110,'02_NHAT_KY'!$L$7:$L$506,"&gt;=31",'02_NHAT_KY'!$L$7:$L$506,"&lt;=60"))</f>
        <v/>
      </c>
      <c r="N110" s="232">
        <f>IF($A110="","",IF(AND('01_DANH_MUC'!$H100&gt;0,'01_DANH_MUC'!$G100&lt;$E$4,$E$4-'01_DANH_MUC'!$G100&gt;=61,$E$4-'01_DANH_MUC'!$G100&lt;=90),'01_DANH_MUC'!$H100,0)+SUMIFS('02_NHAT_KY'!$K$7:$K$506,'02_NHAT_KY'!$C$7:$C$506,$A110,'02_NHAT_KY'!$L$7:$L$506,"&gt;=61",'02_NHAT_KY'!$L$7:$L$506,"&lt;=90"))</f>
        <v/>
      </c>
      <c r="O110" s="232">
        <f>IF($A110="","",IF(AND('01_DANH_MUC'!$H100&gt;0,'01_DANH_MUC'!$G100&lt;$E$4,$E$4-'01_DANH_MUC'!$G100&gt;90),'01_DANH_MUC'!$H100,0)+SUMIFS('02_NHAT_KY'!$K$7:$K$506,'02_NHAT_KY'!$C$7:$C$506,$A110,'02_NHAT_KY'!$L$7:$L$506,"&gt;90"))</f>
        <v/>
      </c>
      <c r="P110" s="201">
        <f>IF($A110="","",IF($H110&lt;0,"DƯ ÂM/TRẢ TRƯỚC",IF(ABS($H110-SUM($K110:$O110))&lt;1,"OK","LỆCH TUỔI NỢ")))</f>
        <v/>
      </c>
    </row>
    <row r="111">
      <c r="A111" s="201">
        <f>IF('01_DANH_MUC'!$A101="","",'01_DANH_MUC'!$A101)</f>
        <v/>
      </c>
      <c r="B111" s="198">
        <f>IF($A111="","",'01_DANH_MUC'!$B101)</f>
        <v/>
      </c>
      <c r="C111" s="201">
        <f>IF($A111="","",'01_DANH_MUC'!$C101)</f>
        <v/>
      </c>
      <c r="D111" s="231">
        <f>IF($A111="","",'01_DANH_MUC'!$D101)</f>
        <v/>
      </c>
      <c r="E111" s="232">
        <f>IF($A111="","",'01_DANH_MUC'!$F101+SUMIFS('02_NHAT_KY'!$G$7:$G$506,'02_NHAT_KY'!$C$7:$C$506,$A111,'02_NHAT_KY'!$A$7:$A$506,"&lt;"&amp;$B$4)-SUMIFS('02_NHAT_KY'!$H$7:$H$506,'02_NHAT_KY'!$C$7:$C$506,$A111,'02_NHAT_KY'!$A$7:$A$506,"&lt;"&amp;$B$4))</f>
        <v/>
      </c>
      <c r="F111" s="232">
        <f>IF($A111="","",SUMIFS('02_NHAT_KY'!$G$7:$G$506,'02_NHAT_KY'!$C$7:$C$506,$A111,'02_NHAT_KY'!$A$7:$A$506,"&gt;="&amp;$B$4,'02_NHAT_KY'!$A$7:$A$506,"&lt;="&amp;$E$4))</f>
        <v/>
      </c>
      <c r="G111" s="232">
        <f>IF($A111="","",SUMIFS('02_NHAT_KY'!$H$7:$H$506,'02_NHAT_KY'!$C$7:$C$506,$A111,'02_NHAT_KY'!$A$7:$A$506,"&gt;="&amp;$B$4,'02_NHAT_KY'!$A$7:$A$506,"&lt;="&amp;$E$4))</f>
        <v/>
      </c>
      <c r="H111" s="232">
        <f>IF($A111="","",$E111+$F111-$G111)</f>
        <v/>
      </c>
      <c r="I111" s="233">
        <f>IF($A111="","",IF($H111&lt;=0,0,MAX(IF(AND('01_DANH_MUC'!$H101&gt;0,'01_DANH_MUC'!$G101&lt;&gt;""),MAX(0,$E$4-'01_DANH_MUC'!$G101),0),IFERROR(MAXIFS('02_NHAT_KY'!$L$7:$L$506,'02_NHAT_KY'!$C$7:$C$506,$A111),0))))</f>
        <v/>
      </c>
      <c r="J111" s="201">
        <f>IF($A111="","",IF($H111&lt;=0,"Không có dư nợ",IF($I111&gt;0,"Quá hạn","Trong hạn")))</f>
        <v/>
      </c>
      <c r="K111" s="232">
        <f>IF($A111="","",IF(AND('01_DANH_MUC'!$H101&gt;0,OR('01_DANH_MUC'!$G101="",'01_DANH_MUC'!$G101&gt;=$E$4)),'01_DANH_MUC'!$H101,0)+SUMIFS('02_NHAT_KY'!$K$7:$K$506,'02_NHAT_KY'!$C$7:$C$506,$A111,'02_NHAT_KY'!$J$7:$J$506,"&gt;="&amp;$E$4)+SUMIFS('02_NHAT_KY'!$K$7:$K$506,'02_NHAT_KY'!$C$7:$C$506,$A111,'02_NHAT_KY'!$J$7:$J$506,""))</f>
        <v/>
      </c>
      <c r="L111" s="232">
        <f>IF($A111="","",IF(AND('01_DANH_MUC'!$H101&gt;0,'01_DANH_MUC'!$G101&lt;$E$4,$E$4-'01_DANH_MUC'!$G101&lt;=30),'01_DANH_MUC'!$H101,0)+SUMIFS('02_NHAT_KY'!$K$7:$K$506,'02_NHAT_KY'!$C$7:$C$506,$A111,'02_NHAT_KY'!$L$7:$L$506,"&gt;=1",'02_NHAT_KY'!$L$7:$L$506,"&lt;=30"))</f>
        <v/>
      </c>
      <c r="M111" s="232">
        <f>IF($A111="","",IF(AND('01_DANH_MUC'!$H101&gt;0,'01_DANH_MUC'!$G101&lt;$E$4,$E$4-'01_DANH_MUC'!$G101&gt;=31,$E$4-'01_DANH_MUC'!$G101&lt;=60),'01_DANH_MUC'!$H101,0)+SUMIFS('02_NHAT_KY'!$K$7:$K$506,'02_NHAT_KY'!$C$7:$C$506,$A111,'02_NHAT_KY'!$L$7:$L$506,"&gt;=31",'02_NHAT_KY'!$L$7:$L$506,"&lt;=60"))</f>
        <v/>
      </c>
      <c r="N111" s="232">
        <f>IF($A111="","",IF(AND('01_DANH_MUC'!$H101&gt;0,'01_DANH_MUC'!$G101&lt;$E$4,$E$4-'01_DANH_MUC'!$G101&gt;=61,$E$4-'01_DANH_MUC'!$G101&lt;=90),'01_DANH_MUC'!$H101,0)+SUMIFS('02_NHAT_KY'!$K$7:$K$506,'02_NHAT_KY'!$C$7:$C$506,$A111,'02_NHAT_KY'!$L$7:$L$506,"&gt;=61",'02_NHAT_KY'!$L$7:$L$506,"&lt;=90"))</f>
        <v/>
      </c>
      <c r="O111" s="232">
        <f>IF($A111="","",IF(AND('01_DANH_MUC'!$H101&gt;0,'01_DANH_MUC'!$G101&lt;$E$4,$E$4-'01_DANH_MUC'!$G101&gt;90),'01_DANH_MUC'!$H101,0)+SUMIFS('02_NHAT_KY'!$K$7:$K$506,'02_NHAT_KY'!$C$7:$C$506,$A111,'02_NHAT_KY'!$L$7:$L$506,"&gt;90"))</f>
        <v/>
      </c>
      <c r="P111" s="201">
        <f>IF($A111="","",IF($H111&lt;0,"DƯ ÂM/TRẢ TRƯỚC",IF(ABS($H111-SUM($K111:$O111))&lt;1,"OK","LỆCH TUỔI NỢ")))</f>
        <v/>
      </c>
    </row>
    <row r="112">
      <c r="A112" s="201">
        <f>IF('01_DANH_MUC'!$A102="","",'01_DANH_MUC'!$A102)</f>
        <v/>
      </c>
      <c r="B112" s="198">
        <f>IF($A112="","",'01_DANH_MUC'!$B102)</f>
        <v/>
      </c>
      <c r="C112" s="201">
        <f>IF($A112="","",'01_DANH_MUC'!$C102)</f>
        <v/>
      </c>
      <c r="D112" s="231">
        <f>IF($A112="","",'01_DANH_MUC'!$D102)</f>
        <v/>
      </c>
      <c r="E112" s="232">
        <f>IF($A112="","",'01_DANH_MUC'!$F102+SUMIFS('02_NHAT_KY'!$G$7:$G$506,'02_NHAT_KY'!$C$7:$C$506,$A112,'02_NHAT_KY'!$A$7:$A$506,"&lt;"&amp;$B$4)-SUMIFS('02_NHAT_KY'!$H$7:$H$506,'02_NHAT_KY'!$C$7:$C$506,$A112,'02_NHAT_KY'!$A$7:$A$506,"&lt;"&amp;$B$4))</f>
        <v/>
      </c>
      <c r="F112" s="232">
        <f>IF($A112="","",SUMIFS('02_NHAT_KY'!$G$7:$G$506,'02_NHAT_KY'!$C$7:$C$506,$A112,'02_NHAT_KY'!$A$7:$A$506,"&gt;="&amp;$B$4,'02_NHAT_KY'!$A$7:$A$506,"&lt;="&amp;$E$4))</f>
        <v/>
      </c>
      <c r="G112" s="232">
        <f>IF($A112="","",SUMIFS('02_NHAT_KY'!$H$7:$H$506,'02_NHAT_KY'!$C$7:$C$506,$A112,'02_NHAT_KY'!$A$7:$A$506,"&gt;="&amp;$B$4,'02_NHAT_KY'!$A$7:$A$506,"&lt;="&amp;$E$4))</f>
        <v/>
      </c>
      <c r="H112" s="232">
        <f>IF($A112="","",$E112+$F112-$G112)</f>
        <v/>
      </c>
      <c r="I112" s="233">
        <f>IF($A112="","",IF($H112&lt;=0,0,MAX(IF(AND('01_DANH_MUC'!$H102&gt;0,'01_DANH_MUC'!$G102&lt;&gt;""),MAX(0,$E$4-'01_DANH_MUC'!$G102),0),IFERROR(MAXIFS('02_NHAT_KY'!$L$7:$L$506,'02_NHAT_KY'!$C$7:$C$506,$A112),0))))</f>
        <v/>
      </c>
      <c r="J112" s="201">
        <f>IF($A112="","",IF($H112&lt;=0,"Không có dư nợ",IF($I112&gt;0,"Quá hạn","Trong hạn")))</f>
        <v/>
      </c>
      <c r="K112" s="232">
        <f>IF($A112="","",IF(AND('01_DANH_MUC'!$H102&gt;0,OR('01_DANH_MUC'!$G102="",'01_DANH_MUC'!$G102&gt;=$E$4)),'01_DANH_MUC'!$H102,0)+SUMIFS('02_NHAT_KY'!$K$7:$K$506,'02_NHAT_KY'!$C$7:$C$506,$A112,'02_NHAT_KY'!$J$7:$J$506,"&gt;="&amp;$E$4)+SUMIFS('02_NHAT_KY'!$K$7:$K$506,'02_NHAT_KY'!$C$7:$C$506,$A112,'02_NHAT_KY'!$J$7:$J$506,""))</f>
        <v/>
      </c>
      <c r="L112" s="232">
        <f>IF($A112="","",IF(AND('01_DANH_MUC'!$H102&gt;0,'01_DANH_MUC'!$G102&lt;$E$4,$E$4-'01_DANH_MUC'!$G102&lt;=30),'01_DANH_MUC'!$H102,0)+SUMIFS('02_NHAT_KY'!$K$7:$K$506,'02_NHAT_KY'!$C$7:$C$506,$A112,'02_NHAT_KY'!$L$7:$L$506,"&gt;=1",'02_NHAT_KY'!$L$7:$L$506,"&lt;=30"))</f>
        <v/>
      </c>
      <c r="M112" s="232">
        <f>IF($A112="","",IF(AND('01_DANH_MUC'!$H102&gt;0,'01_DANH_MUC'!$G102&lt;$E$4,$E$4-'01_DANH_MUC'!$G102&gt;=31,$E$4-'01_DANH_MUC'!$G102&lt;=60),'01_DANH_MUC'!$H102,0)+SUMIFS('02_NHAT_KY'!$K$7:$K$506,'02_NHAT_KY'!$C$7:$C$506,$A112,'02_NHAT_KY'!$L$7:$L$506,"&gt;=31",'02_NHAT_KY'!$L$7:$L$506,"&lt;=60"))</f>
        <v/>
      </c>
      <c r="N112" s="232">
        <f>IF($A112="","",IF(AND('01_DANH_MUC'!$H102&gt;0,'01_DANH_MUC'!$G102&lt;$E$4,$E$4-'01_DANH_MUC'!$G102&gt;=61,$E$4-'01_DANH_MUC'!$G102&lt;=90),'01_DANH_MUC'!$H102,0)+SUMIFS('02_NHAT_KY'!$K$7:$K$506,'02_NHAT_KY'!$C$7:$C$506,$A112,'02_NHAT_KY'!$L$7:$L$506,"&gt;=61",'02_NHAT_KY'!$L$7:$L$506,"&lt;=90"))</f>
        <v/>
      </c>
      <c r="O112" s="232">
        <f>IF($A112="","",IF(AND('01_DANH_MUC'!$H102&gt;0,'01_DANH_MUC'!$G102&lt;$E$4,$E$4-'01_DANH_MUC'!$G102&gt;90),'01_DANH_MUC'!$H102,0)+SUMIFS('02_NHAT_KY'!$K$7:$K$506,'02_NHAT_KY'!$C$7:$C$506,$A112,'02_NHAT_KY'!$L$7:$L$506,"&gt;90"))</f>
        <v/>
      </c>
      <c r="P112" s="201">
        <f>IF($A112="","",IF($H112&lt;0,"DƯ ÂM/TRẢ TRƯỚC",IF(ABS($H112-SUM($K112:$O112))&lt;1,"OK","LỆCH TUỔI NỢ")))</f>
        <v/>
      </c>
    </row>
    <row r="113">
      <c r="A113" s="201">
        <f>IF('01_DANH_MUC'!$A103="","",'01_DANH_MUC'!$A103)</f>
        <v/>
      </c>
      <c r="B113" s="198">
        <f>IF($A113="","",'01_DANH_MUC'!$B103)</f>
        <v/>
      </c>
      <c r="C113" s="201">
        <f>IF($A113="","",'01_DANH_MUC'!$C103)</f>
        <v/>
      </c>
      <c r="D113" s="231">
        <f>IF($A113="","",'01_DANH_MUC'!$D103)</f>
        <v/>
      </c>
      <c r="E113" s="232">
        <f>IF($A113="","",'01_DANH_MUC'!$F103+SUMIFS('02_NHAT_KY'!$G$7:$G$506,'02_NHAT_KY'!$C$7:$C$506,$A113,'02_NHAT_KY'!$A$7:$A$506,"&lt;"&amp;$B$4)-SUMIFS('02_NHAT_KY'!$H$7:$H$506,'02_NHAT_KY'!$C$7:$C$506,$A113,'02_NHAT_KY'!$A$7:$A$506,"&lt;"&amp;$B$4))</f>
        <v/>
      </c>
      <c r="F113" s="232">
        <f>IF($A113="","",SUMIFS('02_NHAT_KY'!$G$7:$G$506,'02_NHAT_KY'!$C$7:$C$506,$A113,'02_NHAT_KY'!$A$7:$A$506,"&gt;="&amp;$B$4,'02_NHAT_KY'!$A$7:$A$506,"&lt;="&amp;$E$4))</f>
        <v/>
      </c>
      <c r="G113" s="232">
        <f>IF($A113="","",SUMIFS('02_NHAT_KY'!$H$7:$H$506,'02_NHAT_KY'!$C$7:$C$506,$A113,'02_NHAT_KY'!$A$7:$A$506,"&gt;="&amp;$B$4,'02_NHAT_KY'!$A$7:$A$506,"&lt;="&amp;$E$4))</f>
        <v/>
      </c>
      <c r="H113" s="232">
        <f>IF($A113="","",$E113+$F113-$G113)</f>
        <v/>
      </c>
      <c r="I113" s="233">
        <f>IF($A113="","",IF($H113&lt;=0,0,MAX(IF(AND('01_DANH_MUC'!$H103&gt;0,'01_DANH_MUC'!$G103&lt;&gt;""),MAX(0,$E$4-'01_DANH_MUC'!$G103),0),IFERROR(MAXIFS('02_NHAT_KY'!$L$7:$L$506,'02_NHAT_KY'!$C$7:$C$506,$A113),0))))</f>
        <v/>
      </c>
      <c r="J113" s="201">
        <f>IF($A113="","",IF($H113&lt;=0,"Không có dư nợ",IF($I113&gt;0,"Quá hạn","Trong hạn")))</f>
        <v/>
      </c>
      <c r="K113" s="232">
        <f>IF($A113="","",IF(AND('01_DANH_MUC'!$H103&gt;0,OR('01_DANH_MUC'!$G103="",'01_DANH_MUC'!$G103&gt;=$E$4)),'01_DANH_MUC'!$H103,0)+SUMIFS('02_NHAT_KY'!$K$7:$K$506,'02_NHAT_KY'!$C$7:$C$506,$A113,'02_NHAT_KY'!$J$7:$J$506,"&gt;="&amp;$E$4)+SUMIFS('02_NHAT_KY'!$K$7:$K$506,'02_NHAT_KY'!$C$7:$C$506,$A113,'02_NHAT_KY'!$J$7:$J$506,""))</f>
        <v/>
      </c>
      <c r="L113" s="232">
        <f>IF($A113="","",IF(AND('01_DANH_MUC'!$H103&gt;0,'01_DANH_MUC'!$G103&lt;$E$4,$E$4-'01_DANH_MUC'!$G103&lt;=30),'01_DANH_MUC'!$H103,0)+SUMIFS('02_NHAT_KY'!$K$7:$K$506,'02_NHAT_KY'!$C$7:$C$506,$A113,'02_NHAT_KY'!$L$7:$L$506,"&gt;=1",'02_NHAT_KY'!$L$7:$L$506,"&lt;=30"))</f>
        <v/>
      </c>
      <c r="M113" s="232">
        <f>IF($A113="","",IF(AND('01_DANH_MUC'!$H103&gt;0,'01_DANH_MUC'!$G103&lt;$E$4,$E$4-'01_DANH_MUC'!$G103&gt;=31,$E$4-'01_DANH_MUC'!$G103&lt;=60),'01_DANH_MUC'!$H103,0)+SUMIFS('02_NHAT_KY'!$K$7:$K$506,'02_NHAT_KY'!$C$7:$C$506,$A113,'02_NHAT_KY'!$L$7:$L$506,"&gt;=31",'02_NHAT_KY'!$L$7:$L$506,"&lt;=60"))</f>
        <v/>
      </c>
      <c r="N113" s="232">
        <f>IF($A113="","",IF(AND('01_DANH_MUC'!$H103&gt;0,'01_DANH_MUC'!$G103&lt;$E$4,$E$4-'01_DANH_MUC'!$G103&gt;=61,$E$4-'01_DANH_MUC'!$G103&lt;=90),'01_DANH_MUC'!$H103,0)+SUMIFS('02_NHAT_KY'!$K$7:$K$506,'02_NHAT_KY'!$C$7:$C$506,$A113,'02_NHAT_KY'!$L$7:$L$506,"&gt;=61",'02_NHAT_KY'!$L$7:$L$506,"&lt;=90"))</f>
        <v/>
      </c>
      <c r="O113" s="232">
        <f>IF($A113="","",IF(AND('01_DANH_MUC'!$H103&gt;0,'01_DANH_MUC'!$G103&lt;$E$4,$E$4-'01_DANH_MUC'!$G103&gt;90),'01_DANH_MUC'!$H103,0)+SUMIFS('02_NHAT_KY'!$K$7:$K$506,'02_NHAT_KY'!$C$7:$C$506,$A113,'02_NHAT_KY'!$L$7:$L$506,"&gt;90"))</f>
        <v/>
      </c>
      <c r="P113" s="201">
        <f>IF($A113="","",IF($H113&lt;0,"DƯ ÂM/TRẢ TRƯỚC",IF(ABS($H113-SUM($K113:$O113))&lt;1,"OK","LỆCH TUỔI NỢ")))</f>
        <v/>
      </c>
    </row>
    <row r="114">
      <c r="A114" s="201">
        <f>IF('01_DANH_MUC'!$A104="","",'01_DANH_MUC'!$A104)</f>
        <v/>
      </c>
      <c r="B114" s="198">
        <f>IF($A114="","",'01_DANH_MUC'!$B104)</f>
        <v/>
      </c>
      <c r="C114" s="201">
        <f>IF($A114="","",'01_DANH_MUC'!$C104)</f>
        <v/>
      </c>
      <c r="D114" s="231">
        <f>IF($A114="","",'01_DANH_MUC'!$D104)</f>
        <v/>
      </c>
      <c r="E114" s="232">
        <f>IF($A114="","",'01_DANH_MUC'!$F104+SUMIFS('02_NHAT_KY'!$G$7:$G$506,'02_NHAT_KY'!$C$7:$C$506,$A114,'02_NHAT_KY'!$A$7:$A$506,"&lt;"&amp;$B$4)-SUMIFS('02_NHAT_KY'!$H$7:$H$506,'02_NHAT_KY'!$C$7:$C$506,$A114,'02_NHAT_KY'!$A$7:$A$506,"&lt;"&amp;$B$4))</f>
        <v/>
      </c>
      <c r="F114" s="232">
        <f>IF($A114="","",SUMIFS('02_NHAT_KY'!$G$7:$G$506,'02_NHAT_KY'!$C$7:$C$506,$A114,'02_NHAT_KY'!$A$7:$A$506,"&gt;="&amp;$B$4,'02_NHAT_KY'!$A$7:$A$506,"&lt;="&amp;$E$4))</f>
        <v/>
      </c>
      <c r="G114" s="232">
        <f>IF($A114="","",SUMIFS('02_NHAT_KY'!$H$7:$H$506,'02_NHAT_KY'!$C$7:$C$506,$A114,'02_NHAT_KY'!$A$7:$A$506,"&gt;="&amp;$B$4,'02_NHAT_KY'!$A$7:$A$506,"&lt;="&amp;$E$4))</f>
        <v/>
      </c>
      <c r="H114" s="232">
        <f>IF($A114="","",$E114+$F114-$G114)</f>
        <v/>
      </c>
      <c r="I114" s="233">
        <f>IF($A114="","",IF($H114&lt;=0,0,MAX(IF(AND('01_DANH_MUC'!$H104&gt;0,'01_DANH_MUC'!$G104&lt;&gt;""),MAX(0,$E$4-'01_DANH_MUC'!$G104),0),IFERROR(MAXIFS('02_NHAT_KY'!$L$7:$L$506,'02_NHAT_KY'!$C$7:$C$506,$A114),0))))</f>
        <v/>
      </c>
      <c r="J114" s="201">
        <f>IF($A114="","",IF($H114&lt;=0,"Không có dư nợ",IF($I114&gt;0,"Quá hạn","Trong hạn")))</f>
        <v/>
      </c>
      <c r="K114" s="232">
        <f>IF($A114="","",IF(AND('01_DANH_MUC'!$H104&gt;0,OR('01_DANH_MUC'!$G104="",'01_DANH_MUC'!$G104&gt;=$E$4)),'01_DANH_MUC'!$H104,0)+SUMIFS('02_NHAT_KY'!$K$7:$K$506,'02_NHAT_KY'!$C$7:$C$506,$A114,'02_NHAT_KY'!$J$7:$J$506,"&gt;="&amp;$E$4)+SUMIFS('02_NHAT_KY'!$K$7:$K$506,'02_NHAT_KY'!$C$7:$C$506,$A114,'02_NHAT_KY'!$J$7:$J$506,""))</f>
        <v/>
      </c>
      <c r="L114" s="232">
        <f>IF($A114="","",IF(AND('01_DANH_MUC'!$H104&gt;0,'01_DANH_MUC'!$G104&lt;$E$4,$E$4-'01_DANH_MUC'!$G104&lt;=30),'01_DANH_MUC'!$H104,0)+SUMIFS('02_NHAT_KY'!$K$7:$K$506,'02_NHAT_KY'!$C$7:$C$506,$A114,'02_NHAT_KY'!$L$7:$L$506,"&gt;=1",'02_NHAT_KY'!$L$7:$L$506,"&lt;=30"))</f>
        <v/>
      </c>
      <c r="M114" s="232">
        <f>IF($A114="","",IF(AND('01_DANH_MUC'!$H104&gt;0,'01_DANH_MUC'!$G104&lt;$E$4,$E$4-'01_DANH_MUC'!$G104&gt;=31,$E$4-'01_DANH_MUC'!$G104&lt;=60),'01_DANH_MUC'!$H104,0)+SUMIFS('02_NHAT_KY'!$K$7:$K$506,'02_NHAT_KY'!$C$7:$C$506,$A114,'02_NHAT_KY'!$L$7:$L$506,"&gt;=31",'02_NHAT_KY'!$L$7:$L$506,"&lt;=60"))</f>
        <v/>
      </c>
      <c r="N114" s="232">
        <f>IF($A114="","",IF(AND('01_DANH_MUC'!$H104&gt;0,'01_DANH_MUC'!$G104&lt;$E$4,$E$4-'01_DANH_MUC'!$G104&gt;=61,$E$4-'01_DANH_MUC'!$G104&lt;=90),'01_DANH_MUC'!$H104,0)+SUMIFS('02_NHAT_KY'!$K$7:$K$506,'02_NHAT_KY'!$C$7:$C$506,$A114,'02_NHAT_KY'!$L$7:$L$506,"&gt;=61",'02_NHAT_KY'!$L$7:$L$506,"&lt;=90"))</f>
        <v/>
      </c>
      <c r="O114" s="232">
        <f>IF($A114="","",IF(AND('01_DANH_MUC'!$H104&gt;0,'01_DANH_MUC'!$G104&lt;$E$4,$E$4-'01_DANH_MUC'!$G104&gt;90),'01_DANH_MUC'!$H104,0)+SUMIFS('02_NHAT_KY'!$K$7:$K$506,'02_NHAT_KY'!$C$7:$C$506,$A114,'02_NHAT_KY'!$L$7:$L$506,"&gt;90"))</f>
        <v/>
      </c>
      <c r="P114" s="201">
        <f>IF($A114="","",IF($H114&lt;0,"DƯ ÂM/TRẢ TRƯỚC",IF(ABS($H114-SUM($K114:$O114))&lt;1,"OK","LỆCH TUỔI NỢ")))</f>
        <v/>
      </c>
    </row>
    <row r="115">
      <c r="A115" s="201">
        <f>IF('01_DANH_MUC'!$A105="","",'01_DANH_MUC'!$A105)</f>
        <v/>
      </c>
      <c r="B115" s="198">
        <f>IF($A115="","",'01_DANH_MUC'!$B105)</f>
        <v/>
      </c>
      <c r="C115" s="201">
        <f>IF($A115="","",'01_DANH_MUC'!$C105)</f>
        <v/>
      </c>
      <c r="D115" s="231">
        <f>IF($A115="","",'01_DANH_MUC'!$D105)</f>
        <v/>
      </c>
      <c r="E115" s="232">
        <f>IF($A115="","",'01_DANH_MUC'!$F105+SUMIFS('02_NHAT_KY'!$G$7:$G$506,'02_NHAT_KY'!$C$7:$C$506,$A115,'02_NHAT_KY'!$A$7:$A$506,"&lt;"&amp;$B$4)-SUMIFS('02_NHAT_KY'!$H$7:$H$506,'02_NHAT_KY'!$C$7:$C$506,$A115,'02_NHAT_KY'!$A$7:$A$506,"&lt;"&amp;$B$4))</f>
        <v/>
      </c>
      <c r="F115" s="232">
        <f>IF($A115="","",SUMIFS('02_NHAT_KY'!$G$7:$G$506,'02_NHAT_KY'!$C$7:$C$506,$A115,'02_NHAT_KY'!$A$7:$A$506,"&gt;="&amp;$B$4,'02_NHAT_KY'!$A$7:$A$506,"&lt;="&amp;$E$4))</f>
        <v/>
      </c>
      <c r="G115" s="232">
        <f>IF($A115="","",SUMIFS('02_NHAT_KY'!$H$7:$H$506,'02_NHAT_KY'!$C$7:$C$506,$A115,'02_NHAT_KY'!$A$7:$A$506,"&gt;="&amp;$B$4,'02_NHAT_KY'!$A$7:$A$506,"&lt;="&amp;$E$4))</f>
        <v/>
      </c>
      <c r="H115" s="232">
        <f>IF($A115="","",$E115+$F115-$G115)</f>
        <v/>
      </c>
      <c r="I115" s="233">
        <f>IF($A115="","",IF($H115&lt;=0,0,MAX(IF(AND('01_DANH_MUC'!$H105&gt;0,'01_DANH_MUC'!$G105&lt;&gt;""),MAX(0,$E$4-'01_DANH_MUC'!$G105),0),IFERROR(MAXIFS('02_NHAT_KY'!$L$7:$L$506,'02_NHAT_KY'!$C$7:$C$506,$A115),0))))</f>
        <v/>
      </c>
      <c r="J115" s="201">
        <f>IF($A115="","",IF($H115&lt;=0,"Không có dư nợ",IF($I115&gt;0,"Quá hạn","Trong hạn")))</f>
        <v/>
      </c>
      <c r="K115" s="232">
        <f>IF($A115="","",IF(AND('01_DANH_MUC'!$H105&gt;0,OR('01_DANH_MUC'!$G105="",'01_DANH_MUC'!$G105&gt;=$E$4)),'01_DANH_MUC'!$H105,0)+SUMIFS('02_NHAT_KY'!$K$7:$K$506,'02_NHAT_KY'!$C$7:$C$506,$A115,'02_NHAT_KY'!$J$7:$J$506,"&gt;="&amp;$E$4)+SUMIFS('02_NHAT_KY'!$K$7:$K$506,'02_NHAT_KY'!$C$7:$C$506,$A115,'02_NHAT_KY'!$J$7:$J$506,""))</f>
        <v/>
      </c>
      <c r="L115" s="232">
        <f>IF($A115="","",IF(AND('01_DANH_MUC'!$H105&gt;0,'01_DANH_MUC'!$G105&lt;$E$4,$E$4-'01_DANH_MUC'!$G105&lt;=30),'01_DANH_MUC'!$H105,0)+SUMIFS('02_NHAT_KY'!$K$7:$K$506,'02_NHAT_KY'!$C$7:$C$506,$A115,'02_NHAT_KY'!$L$7:$L$506,"&gt;=1",'02_NHAT_KY'!$L$7:$L$506,"&lt;=30"))</f>
        <v/>
      </c>
      <c r="M115" s="232">
        <f>IF($A115="","",IF(AND('01_DANH_MUC'!$H105&gt;0,'01_DANH_MUC'!$G105&lt;$E$4,$E$4-'01_DANH_MUC'!$G105&gt;=31,$E$4-'01_DANH_MUC'!$G105&lt;=60),'01_DANH_MUC'!$H105,0)+SUMIFS('02_NHAT_KY'!$K$7:$K$506,'02_NHAT_KY'!$C$7:$C$506,$A115,'02_NHAT_KY'!$L$7:$L$506,"&gt;=31",'02_NHAT_KY'!$L$7:$L$506,"&lt;=60"))</f>
        <v/>
      </c>
      <c r="N115" s="232">
        <f>IF($A115="","",IF(AND('01_DANH_MUC'!$H105&gt;0,'01_DANH_MUC'!$G105&lt;$E$4,$E$4-'01_DANH_MUC'!$G105&gt;=61,$E$4-'01_DANH_MUC'!$G105&lt;=90),'01_DANH_MUC'!$H105,0)+SUMIFS('02_NHAT_KY'!$K$7:$K$506,'02_NHAT_KY'!$C$7:$C$506,$A115,'02_NHAT_KY'!$L$7:$L$506,"&gt;=61",'02_NHAT_KY'!$L$7:$L$506,"&lt;=90"))</f>
        <v/>
      </c>
      <c r="O115" s="232">
        <f>IF($A115="","",IF(AND('01_DANH_MUC'!$H105&gt;0,'01_DANH_MUC'!$G105&lt;$E$4,$E$4-'01_DANH_MUC'!$G105&gt;90),'01_DANH_MUC'!$H105,0)+SUMIFS('02_NHAT_KY'!$K$7:$K$506,'02_NHAT_KY'!$C$7:$C$506,$A115,'02_NHAT_KY'!$L$7:$L$506,"&gt;90"))</f>
        <v/>
      </c>
      <c r="P115" s="201">
        <f>IF($A115="","",IF($H115&lt;0,"DƯ ÂM/TRẢ TRƯỚC",IF(ABS($H115-SUM($K115:$O115))&lt;1,"OK","LỆCH TUỔI NỢ")))</f>
        <v/>
      </c>
    </row>
    <row r="116">
      <c r="A116" s="201">
        <f>IF('01_DANH_MUC'!$A106="","",'01_DANH_MUC'!$A106)</f>
        <v/>
      </c>
      <c r="B116" s="198">
        <f>IF($A116="","",'01_DANH_MUC'!$B106)</f>
        <v/>
      </c>
      <c r="C116" s="201">
        <f>IF($A116="","",'01_DANH_MUC'!$C106)</f>
        <v/>
      </c>
      <c r="D116" s="231">
        <f>IF($A116="","",'01_DANH_MUC'!$D106)</f>
        <v/>
      </c>
      <c r="E116" s="232">
        <f>IF($A116="","",'01_DANH_MUC'!$F106+SUMIFS('02_NHAT_KY'!$G$7:$G$506,'02_NHAT_KY'!$C$7:$C$506,$A116,'02_NHAT_KY'!$A$7:$A$506,"&lt;"&amp;$B$4)-SUMIFS('02_NHAT_KY'!$H$7:$H$506,'02_NHAT_KY'!$C$7:$C$506,$A116,'02_NHAT_KY'!$A$7:$A$506,"&lt;"&amp;$B$4))</f>
        <v/>
      </c>
      <c r="F116" s="232">
        <f>IF($A116="","",SUMIFS('02_NHAT_KY'!$G$7:$G$506,'02_NHAT_KY'!$C$7:$C$506,$A116,'02_NHAT_KY'!$A$7:$A$506,"&gt;="&amp;$B$4,'02_NHAT_KY'!$A$7:$A$506,"&lt;="&amp;$E$4))</f>
        <v/>
      </c>
      <c r="G116" s="232">
        <f>IF($A116="","",SUMIFS('02_NHAT_KY'!$H$7:$H$506,'02_NHAT_KY'!$C$7:$C$506,$A116,'02_NHAT_KY'!$A$7:$A$506,"&gt;="&amp;$B$4,'02_NHAT_KY'!$A$7:$A$506,"&lt;="&amp;$E$4))</f>
        <v/>
      </c>
      <c r="H116" s="232">
        <f>IF($A116="","",$E116+$F116-$G116)</f>
        <v/>
      </c>
      <c r="I116" s="233">
        <f>IF($A116="","",IF($H116&lt;=0,0,MAX(IF(AND('01_DANH_MUC'!$H106&gt;0,'01_DANH_MUC'!$G106&lt;&gt;""),MAX(0,$E$4-'01_DANH_MUC'!$G106),0),IFERROR(MAXIFS('02_NHAT_KY'!$L$7:$L$506,'02_NHAT_KY'!$C$7:$C$506,$A116),0))))</f>
        <v/>
      </c>
      <c r="J116" s="201">
        <f>IF($A116="","",IF($H116&lt;=0,"Không có dư nợ",IF($I116&gt;0,"Quá hạn","Trong hạn")))</f>
        <v/>
      </c>
      <c r="K116" s="232">
        <f>IF($A116="","",IF(AND('01_DANH_MUC'!$H106&gt;0,OR('01_DANH_MUC'!$G106="",'01_DANH_MUC'!$G106&gt;=$E$4)),'01_DANH_MUC'!$H106,0)+SUMIFS('02_NHAT_KY'!$K$7:$K$506,'02_NHAT_KY'!$C$7:$C$506,$A116,'02_NHAT_KY'!$J$7:$J$506,"&gt;="&amp;$E$4)+SUMIFS('02_NHAT_KY'!$K$7:$K$506,'02_NHAT_KY'!$C$7:$C$506,$A116,'02_NHAT_KY'!$J$7:$J$506,""))</f>
        <v/>
      </c>
      <c r="L116" s="232">
        <f>IF($A116="","",IF(AND('01_DANH_MUC'!$H106&gt;0,'01_DANH_MUC'!$G106&lt;$E$4,$E$4-'01_DANH_MUC'!$G106&lt;=30),'01_DANH_MUC'!$H106,0)+SUMIFS('02_NHAT_KY'!$K$7:$K$506,'02_NHAT_KY'!$C$7:$C$506,$A116,'02_NHAT_KY'!$L$7:$L$506,"&gt;=1",'02_NHAT_KY'!$L$7:$L$506,"&lt;=30"))</f>
        <v/>
      </c>
      <c r="M116" s="232">
        <f>IF($A116="","",IF(AND('01_DANH_MUC'!$H106&gt;0,'01_DANH_MUC'!$G106&lt;$E$4,$E$4-'01_DANH_MUC'!$G106&gt;=31,$E$4-'01_DANH_MUC'!$G106&lt;=60),'01_DANH_MUC'!$H106,0)+SUMIFS('02_NHAT_KY'!$K$7:$K$506,'02_NHAT_KY'!$C$7:$C$506,$A116,'02_NHAT_KY'!$L$7:$L$506,"&gt;=31",'02_NHAT_KY'!$L$7:$L$506,"&lt;=60"))</f>
        <v/>
      </c>
      <c r="N116" s="232">
        <f>IF($A116="","",IF(AND('01_DANH_MUC'!$H106&gt;0,'01_DANH_MUC'!$G106&lt;$E$4,$E$4-'01_DANH_MUC'!$G106&gt;=61,$E$4-'01_DANH_MUC'!$G106&lt;=90),'01_DANH_MUC'!$H106,0)+SUMIFS('02_NHAT_KY'!$K$7:$K$506,'02_NHAT_KY'!$C$7:$C$506,$A116,'02_NHAT_KY'!$L$7:$L$506,"&gt;=61",'02_NHAT_KY'!$L$7:$L$506,"&lt;=90"))</f>
        <v/>
      </c>
      <c r="O116" s="232">
        <f>IF($A116="","",IF(AND('01_DANH_MUC'!$H106&gt;0,'01_DANH_MUC'!$G106&lt;$E$4,$E$4-'01_DANH_MUC'!$G106&gt;90),'01_DANH_MUC'!$H106,0)+SUMIFS('02_NHAT_KY'!$K$7:$K$506,'02_NHAT_KY'!$C$7:$C$506,$A116,'02_NHAT_KY'!$L$7:$L$506,"&gt;90"))</f>
        <v/>
      </c>
      <c r="P116" s="201">
        <f>IF($A116="","",IF($H116&lt;0,"DƯ ÂM/TRẢ TRƯỚC",IF(ABS($H116-SUM($K116:$O116))&lt;1,"OK","LỆCH TUỔI NỢ")))</f>
        <v/>
      </c>
    </row>
    <row r="117">
      <c r="A117" s="201">
        <f>IF('01_DANH_MUC'!$A107="","",'01_DANH_MUC'!$A107)</f>
        <v/>
      </c>
      <c r="B117" s="198">
        <f>IF($A117="","",'01_DANH_MUC'!$B107)</f>
        <v/>
      </c>
      <c r="C117" s="201">
        <f>IF($A117="","",'01_DANH_MUC'!$C107)</f>
        <v/>
      </c>
      <c r="D117" s="231">
        <f>IF($A117="","",'01_DANH_MUC'!$D107)</f>
        <v/>
      </c>
      <c r="E117" s="232">
        <f>IF($A117="","",'01_DANH_MUC'!$F107+SUMIFS('02_NHAT_KY'!$G$7:$G$506,'02_NHAT_KY'!$C$7:$C$506,$A117,'02_NHAT_KY'!$A$7:$A$506,"&lt;"&amp;$B$4)-SUMIFS('02_NHAT_KY'!$H$7:$H$506,'02_NHAT_KY'!$C$7:$C$506,$A117,'02_NHAT_KY'!$A$7:$A$506,"&lt;"&amp;$B$4))</f>
        <v/>
      </c>
      <c r="F117" s="232">
        <f>IF($A117="","",SUMIFS('02_NHAT_KY'!$G$7:$G$506,'02_NHAT_KY'!$C$7:$C$506,$A117,'02_NHAT_KY'!$A$7:$A$506,"&gt;="&amp;$B$4,'02_NHAT_KY'!$A$7:$A$506,"&lt;="&amp;$E$4))</f>
        <v/>
      </c>
      <c r="G117" s="232">
        <f>IF($A117="","",SUMIFS('02_NHAT_KY'!$H$7:$H$506,'02_NHAT_KY'!$C$7:$C$506,$A117,'02_NHAT_KY'!$A$7:$A$506,"&gt;="&amp;$B$4,'02_NHAT_KY'!$A$7:$A$506,"&lt;="&amp;$E$4))</f>
        <v/>
      </c>
      <c r="H117" s="232">
        <f>IF($A117="","",$E117+$F117-$G117)</f>
        <v/>
      </c>
      <c r="I117" s="233">
        <f>IF($A117="","",IF($H117&lt;=0,0,MAX(IF(AND('01_DANH_MUC'!$H107&gt;0,'01_DANH_MUC'!$G107&lt;&gt;""),MAX(0,$E$4-'01_DANH_MUC'!$G107),0),IFERROR(MAXIFS('02_NHAT_KY'!$L$7:$L$506,'02_NHAT_KY'!$C$7:$C$506,$A117),0))))</f>
        <v/>
      </c>
      <c r="J117" s="201">
        <f>IF($A117="","",IF($H117&lt;=0,"Không có dư nợ",IF($I117&gt;0,"Quá hạn","Trong hạn")))</f>
        <v/>
      </c>
      <c r="K117" s="232">
        <f>IF($A117="","",IF(AND('01_DANH_MUC'!$H107&gt;0,OR('01_DANH_MUC'!$G107="",'01_DANH_MUC'!$G107&gt;=$E$4)),'01_DANH_MUC'!$H107,0)+SUMIFS('02_NHAT_KY'!$K$7:$K$506,'02_NHAT_KY'!$C$7:$C$506,$A117,'02_NHAT_KY'!$J$7:$J$506,"&gt;="&amp;$E$4)+SUMIFS('02_NHAT_KY'!$K$7:$K$506,'02_NHAT_KY'!$C$7:$C$506,$A117,'02_NHAT_KY'!$J$7:$J$506,""))</f>
        <v/>
      </c>
      <c r="L117" s="232">
        <f>IF($A117="","",IF(AND('01_DANH_MUC'!$H107&gt;0,'01_DANH_MUC'!$G107&lt;$E$4,$E$4-'01_DANH_MUC'!$G107&lt;=30),'01_DANH_MUC'!$H107,0)+SUMIFS('02_NHAT_KY'!$K$7:$K$506,'02_NHAT_KY'!$C$7:$C$506,$A117,'02_NHAT_KY'!$L$7:$L$506,"&gt;=1",'02_NHAT_KY'!$L$7:$L$506,"&lt;=30"))</f>
        <v/>
      </c>
      <c r="M117" s="232">
        <f>IF($A117="","",IF(AND('01_DANH_MUC'!$H107&gt;0,'01_DANH_MUC'!$G107&lt;$E$4,$E$4-'01_DANH_MUC'!$G107&gt;=31,$E$4-'01_DANH_MUC'!$G107&lt;=60),'01_DANH_MUC'!$H107,0)+SUMIFS('02_NHAT_KY'!$K$7:$K$506,'02_NHAT_KY'!$C$7:$C$506,$A117,'02_NHAT_KY'!$L$7:$L$506,"&gt;=31",'02_NHAT_KY'!$L$7:$L$506,"&lt;=60"))</f>
        <v/>
      </c>
      <c r="N117" s="232">
        <f>IF($A117="","",IF(AND('01_DANH_MUC'!$H107&gt;0,'01_DANH_MUC'!$G107&lt;$E$4,$E$4-'01_DANH_MUC'!$G107&gt;=61,$E$4-'01_DANH_MUC'!$G107&lt;=90),'01_DANH_MUC'!$H107,0)+SUMIFS('02_NHAT_KY'!$K$7:$K$506,'02_NHAT_KY'!$C$7:$C$506,$A117,'02_NHAT_KY'!$L$7:$L$506,"&gt;=61",'02_NHAT_KY'!$L$7:$L$506,"&lt;=90"))</f>
        <v/>
      </c>
      <c r="O117" s="232">
        <f>IF($A117="","",IF(AND('01_DANH_MUC'!$H107&gt;0,'01_DANH_MUC'!$G107&lt;$E$4,$E$4-'01_DANH_MUC'!$G107&gt;90),'01_DANH_MUC'!$H107,0)+SUMIFS('02_NHAT_KY'!$K$7:$K$506,'02_NHAT_KY'!$C$7:$C$506,$A117,'02_NHAT_KY'!$L$7:$L$506,"&gt;90"))</f>
        <v/>
      </c>
      <c r="P117" s="201">
        <f>IF($A117="","",IF($H117&lt;0,"DƯ ÂM/TRẢ TRƯỚC",IF(ABS($H117-SUM($K117:$O117))&lt;1,"OK","LỆCH TUỔI NỢ")))</f>
        <v/>
      </c>
    </row>
    <row r="118">
      <c r="A118" s="201">
        <f>IF('01_DANH_MUC'!$A108="","",'01_DANH_MUC'!$A108)</f>
        <v/>
      </c>
      <c r="B118" s="198">
        <f>IF($A118="","",'01_DANH_MUC'!$B108)</f>
        <v/>
      </c>
      <c r="C118" s="201">
        <f>IF($A118="","",'01_DANH_MUC'!$C108)</f>
        <v/>
      </c>
      <c r="D118" s="231">
        <f>IF($A118="","",'01_DANH_MUC'!$D108)</f>
        <v/>
      </c>
      <c r="E118" s="232">
        <f>IF($A118="","",'01_DANH_MUC'!$F108+SUMIFS('02_NHAT_KY'!$G$7:$G$506,'02_NHAT_KY'!$C$7:$C$506,$A118,'02_NHAT_KY'!$A$7:$A$506,"&lt;"&amp;$B$4)-SUMIFS('02_NHAT_KY'!$H$7:$H$506,'02_NHAT_KY'!$C$7:$C$506,$A118,'02_NHAT_KY'!$A$7:$A$506,"&lt;"&amp;$B$4))</f>
        <v/>
      </c>
      <c r="F118" s="232">
        <f>IF($A118="","",SUMIFS('02_NHAT_KY'!$G$7:$G$506,'02_NHAT_KY'!$C$7:$C$506,$A118,'02_NHAT_KY'!$A$7:$A$506,"&gt;="&amp;$B$4,'02_NHAT_KY'!$A$7:$A$506,"&lt;="&amp;$E$4))</f>
        <v/>
      </c>
      <c r="G118" s="232">
        <f>IF($A118="","",SUMIFS('02_NHAT_KY'!$H$7:$H$506,'02_NHAT_KY'!$C$7:$C$506,$A118,'02_NHAT_KY'!$A$7:$A$506,"&gt;="&amp;$B$4,'02_NHAT_KY'!$A$7:$A$506,"&lt;="&amp;$E$4))</f>
        <v/>
      </c>
      <c r="H118" s="232">
        <f>IF($A118="","",$E118+$F118-$G118)</f>
        <v/>
      </c>
      <c r="I118" s="233">
        <f>IF($A118="","",IF($H118&lt;=0,0,MAX(IF(AND('01_DANH_MUC'!$H108&gt;0,'01_DANH_MUC'!$G108&lt;&gt;""),MAX(0,$E$4-'01_DANH_MUC'!$G108),0),IFERROR(MAXIFS('02_NHAT_KY'!$L$7:$L$506,'02_NHAT_KY'!$C$7:$C$506,$A118),0))))</f>
        <v/>
      </c>
      <c r="J118" s="201">
        <f>IF($A118="","",IF($H118&lt;=0,"Không có dư nợ",IF($I118&gt;0,"Quá hạn","Trong hạn")))</f>
        <v/>
      </c>
      <c r="K118" s="232">
        <f>IF($A118="","",IF(AND('01_DANH_MUC'!$H108&gt;0,OR('01_DANH_MUC'!$G108="",'01_DANH_MUC'!$G108&gt;=$E$4)),'01_DANH_MUC'!$H108,0)+SUMIFS('02_NHAT_KY'!$K$7:$K$506,'02_NHAT_KY'!$C$7:$C$506,$A118,'02_NHAT_KY'!$J$7:$J$506,"&gt;="&amp;$E$4)+SUMIFS('02_NHAT_KY'!$K$7:$K$506,'02_NHAT_KY'!$C$7:$C$506,$A118,'02_NHAT_KY'!$J$7:$J$506,""))</f>
        <v/>
      </c>
      <c r="L118" s="232">
        <f>IF($A118="","",IF(AND('01_DANH_MUC'!$H108&gt;0,'01_DANH_MUC'!$G108&lt;$E$4,$E$4-'01_DANH_MUC'!$G108&lt;=30),'01_DANH_MUC'!$H108,0)+SUMIFS('02_NHAT_KY'!$K$7:$K$506,'02_NHAT_KY'!$C$7:$C$506,$A118,'02_NHAT_KY'!$L$7:$L$506,"&gt;=1",'02_NHAT_KY'!$L$7:$L$506,"&lt;=30"))</f>
        <v/>
      </c>
      <c r="M118" s="232">
        <f>IF($A118="","",IF(AND('01_DANH_MUC'!$H108&gt;0,'01_DANH_MUC'!$G108&lt;$E$4,$E$4-'01_DANH_MUC'!$G108&gt;=31,$E$4-'01_DANH_MUC'!$G108&lt;=60),'01_DANH_MUC'!$H108,0)+SUMIFS('02_NHAT_KY'!$K$7:$K$506,'02_NHAT_KY'!$C$7:$C$506,$A118,'02_NHAT_KY'!$L$7:$L$506,"&gt;=31",'02_NHAT_KY'!$L$7:$L$506,"&lt;=60"))</f>
        <v/>
      </c>
      <c r="N118" s="232">
        <f>IF($A118="","",IF(AND('01_DANH_MUC'!$H108&gt;0,'01_DANH_MUC'!$G108&lt;$E$4,$E$4-'01_DANH_MUC'!$G108&gt;=61,$E$4-'01_DANH_MUC'!$G108&lt;=90),'01_DANH_MUC'!$H108,0)+SUMIFS('02_NHAT_KY'!$K$7:$K$506,'02_NHAT_KY'!$C$7:$C$506,$A118,'02_NHAT_KY'!$L$7:$L$506,"&gt;=61",'02_NHAT_KY'!$L$7:$L$506,"&lt;=90"))</f>
        <v/>
      </c>
      <c r="O118" s="232">
        <f>IF($A118="","",IF(AND('01_DANH_MUC'!$H108&gt;0,'01_DANH_MUC'!$G108&lt;$E$4,$E$4-'01_DANH_MUC'!$G108&gt;90),'01_DANH_MUC'!$H108,0)+SUMIFS('02_NHAT_KY'!$K$7:$K$506,'02_NHAT_KY'!$C$7:$C$506,$A118,'02_NHAT_KY'!$L$7:$L$506,"&gt;90"))</f>
        <v/>
      </c>
      <c r="P118" s="201">
        <f>IF($A118="","",IF($H118&lt;0,"DƯ ÂM/TRẢ TRƯỚC",IF(ABS($H118-SUM($K118:$O118))&lt;1,"OK","LỆCH TUỔI NỢ")))</f>
        <v/>
      </c>
    </row>
    <row r="119">
      <c r="A119" s="201">
        <f>IF('01_DANH_MUC'!$A109="","",'01_DANH_MUC'!$A109)</f>
        <v/>
      </c>
      <c r="B119" s="198">
        <f>IF($A119="","",'01_DANH_MUC'!$B109)</f>
        <v/>
      </c>
      <c r="C119" s="201">
        <f>IF($A119="","",'01_DANH_MUC'!$C109)</f>
        <v/>
      </c>
      <c r="D119" s="231">
        <f>IF($A119="","",'01_DANH_MUC'!$D109)</f>
        <v/>
      </c>
      <c r="E119" s="232">
        <f>IF($A119="","",'01_DANH_MUC'!$F109+SUMIFS('02_NHAT_KY'!$G$7:$G$506,'02_NHAT_KY'!$C$7:$C$506,$A119,'02_NHAT_KY'!$A$7:$A$506,"&lt;"&amp;$B$4)-SUMIFS('02_NHAT_KY'!$H$7:$H$506,'02_NHAT_KY'!$C$7:$C$506,$A119,'02_NHAT_KY'!$A$7:$A$506,"&lt;"&amp;$B$4))</f>
        <v/>
      </c>
      <c r="F119" s="232">
        <f>IF($A119="","",SUMIFS('02_NHAT_KY'!$G$7:$G$506,'02_NHAT_KY'!$C$7:$C$506,$A119,'02_NHAT_KY'!$A$7:$A$506,"&gt;="&amp;$B$4,'02_NHAT_KY'!$A$7:$A$506,"&lt;="&amp;$E$4))</f>
        <v/>
      </c>
      <c r="G119" s="232">
        <f>IF($A119="","",SUMIFS('02_NHAT_KY'!$H$7:$H$506,'02_NHAT_KY'!$C$7:$C$506,$A119,'02_NHAT_KY'!$A$7:$A$506,"&gt;="&amp;$B$4,'02_NHAT_KY'!$A$7:$A$506,"&lt;="&amp;$E$4))</f>
        <v/>
      </c>
      <c r="H119" s="232">
        <f>IF($A119="","",$E119+$F119-$G119)</f>
        <v/>
      </c>
      <c r="I119" s="233">
        <f>IF($A119="","",IF($H119&lt;=0,0,MAX(IF(AND('01_DANH_MUC'!$H109&gt;0,'01_DANH_MUC'!$G109&lt;&gt;""),MAX(0,$E$4-'01_DANH_MUC'!$G109),0),IFERROR(MAXIFS('02_NHAT_KY'!$L$7:$L$506,'02_NHAT_KY'!$C$7:$C$506,$A119),0))))</f>
        <v/>
      </c>
      <c r="J119" s="201">
        <f>IF($A119="","",IF($H119&lt;=0,"Không có dư nợ",IF($I119&gt;0,"Quá hạn","Trong hạn")))</f>
        <v/>
      </c>
      <c r="K119" s="232">
        <f>IF($A119="","",IF(AND('01_DANH_MUC'!$H109&gt;0,OR('01_DANH_MUC'!$G109="",'01_DANH_MUC'!$G109&gt;=$E$4)),'01_DANH_MUC'!$H109,0)+SUMIFS('02_NHAT_KY'!$K$7:$K$506,'02_NHAT_KY'!$C$7:$C$506,$A119,'02_NHAT_KY'!$J$7:$J$506,"&gt;="&amp;$E$4)+SUMIFS('02_NHAT_KY'!$K$7:$K$506,'02_NHAT_KY'!$C$7:$C$506,$A119,'02_NHAT_KY'!$J$7:$J$506,""))</f>
        <v/>
      </c>
      <c r="L119" s="232">
        <f>IF($A119="","",IF(AND('01_DANH_MUC'!$H109&gt;0,'01_DANH_MUC'!$G109&lt;$E$4,$E$4-'01_DANH_MUC'!$G109&lt;=30),'01_DANH_MUC'!$H109,0)+SUMIFS('02_NHAT_KY'!$K$7:$K$506,'02_NHAT_KY'!$C$7:$C$506,$A119,'02_NHAT_KY'!$L$7:$L$506,"&gt;=1",'02_NHAT_KY'!$L$7:$L$506,"&lt;=30"))</f>
        <v/>
      </c>
      <c r="M119" s="232">
        <f>IF($A119="","",IF(AND('01_DANH_MUC'!$H109&gt;0,'01_DANH_MUC'!$G109&lt;$E$4,$E$4-'01_DANH_MUC'!$G109&gt;=31,$E$4-'01_DANH_MUC'!$G109&lt;=60),'01_DANH_MUC'!$H109,0)+SUMIFS('02_NHAT_KY'!$K$7:$K$506,'02_NHAT_KY'!$C$7:$C$506,$A119,'02_NHAT_KY'!$L$7:$L$506,"&gt;=31",'02_NHAT_KY'!$L$7:$L$506,"&lt;=60"))</f>
        <v/>
      </c>
      <c r="N119" s="232">
        <f>IF($A119="","",IF(AND('01_DANH_MUC'!$H109&gt;0,'01_DANH_MUC'!$G109&lt;$E$4,$E$4-'01_DANH_MUC'!$G109&gt;=61,$E$4-'01_DANH_MUC'!$G109&lt;=90),'01_DANH_MUC'!$H109,0)+SUMIFS('02_NHAT_KY'!$K$7:$K$506,'02_NHAT_KY'!$C$7:$C$506,$A119,'02_NHAT_KY'!$L$7:$L$506,"&gt;=61",'02_NHAT_KY'!$L$7:$L$506,"&lt;=90"))</f>
        <v/>
      </c>
      <c r="O119" s="232">
        <f>IF($A119="","",IF(AND('01_DANH_MUC'!$H109&gt;0,'01_DANH_MUC'!$G109&lt;$E$4,$E$4-'01_DANH_MUC'!$G109&gt;90),'01_DANH_MUC'!$H109,0)+SUMIFS('02_NHAT_KY'!$K$7:$K$506,'02_NHAT_KY'!$C$7:$C$506,$A119,'02_NHAT_KY'!$L$7:$L$506,"&gt;90"))</f>
        <v/>
      </c>
      <c r="P119" s="201">
        <f>IF($A119="","",IF($H119&lt;0,"DƯ ÂM/TRẢ TRƯỚC",IF(ABS($H119-SUM($K119:$O119))&lt;1,"OK","LỆCH TUỔI NỢ")))</f>
        <v/>
      </c>
    </row>
    <row r="120">
      <c r="A120" s="201">
        <f>IF('01_DANH_MUC'!$A110="","",'01_DANH_MUC'!$A110)</f>
        <v/>
      </c>
      <c r="B120" s="198">
        <f>IF($A120="","",'01_DANH_MUC'!$B110)</f>
        <v/>
      </c>
      <c r="C120" s="201">
        <f>IF($A120="","",'01_DANH_MUC'!$C110)</f>
        <v/>
      </c>
      <c r="D120" s="231">
        <f>IF($A120="","",'01_DANH_MUC'!$D110)</f>
        <v/>
      </c>
      <c r="E120" s="232">
        <f>IF($A120="","",'01_DANH_MUC'!$F110+SUMIFS('02_NHAT_KY'!$G$7:$G$506,'02_NHAT_KY'!$C$7:$C$506,$A120,'02_NHAT_KY'!$A$7:$A$506,"&lt;"&amp;$B$4)-SUMIFS('02_NHAT_KY'!$H$7:$H$506,'02_NHAT_KY'!$C$7:$C$506,$A120,'02_NHAT_KY'!$A$7:$A$506,"&lt;"&amp;$B$4))</f>
        <v/>
      </c>
      <c r="F120" s="232">
        <f>IF($A120="","",SUMIFS('02_NHAT_KY'!$G$7:$G$506,'02_NHAT_KY'!$C$7:$C$506,$A120,'02_NHAT_KY'!$A$7:$A$506,"&gt;="&amp;$B$4,'02_NHAT_KY'!$A$7:$A$506,"&lt;="&amp;$E$4))</f>
        <v/>
      </c>
      <c r="G120" s="232">
        <f>IF($A120="","",SUMIFS('02_NHAT_KY'!$H$7:$H$506,'02_NHAT_KY'!$C$7:$C$506,$A120,'02_NHAT_KY'!$A$7:$A$506,"&gt;="&amp;$B$4,'02_NHAT_KY'!$A$7:$A$506,"&lt;="&amp;$E$4))</f>
        <v/>
      </c>
      <c r="H120" s="232">
        <f>IF($A120="","",$E120+$F120-$G120)</f>
        <v/>
      </c>
      <c r="I120" s="233">
        <f>IF($A120="","",IF($H120&lt;=0,0,MAX(IF(AND('01_DANH_MUC'!$H110&gt;0,'01_DANH_MUC'!$G110&lt;&gt;""),MAX(0,$E$4-'01_DANH_MUC'!$G110),0),IFERROR(MAXIFS('02_NHAT_KY'!$L$7:$L$506,'02_NHAT_KY'!$C$7:$C$506,$A120),0))))</f>
        <v/>
      </c>
      <c r="J120" s="201">
        <f>IF($A120="","",IF($H120&lt;=0,"Không có dư nợ",IF($I120&gt;0,"Quá hạn","Trong hạn")))</f>
        <v/>
      </c>
      <c r="K120" s="232">
        <f>IF($A120="","",IF(AND('01_DANH_MUC'!$H110&gt;0,OR('01_DANH_MUC'!$G110="",'01_DANH_MUC'!$G110&gt;=$E$4)),'01_DANH_MUC'!$H110,0)+SUMIFS('02_NHAT_KY'!$K$7:$K$506,'02_NHAT_KY'!$C$7:$C$506,$A120,'02_NHAT_KY'!$J$7:$J$506,"&gt;="&amp;$E$4)+SUMIFS('02_NHAT_KY'!$K$7:$K$506,'02_NHAT_KY'!$C$7:$C$506,$A120,'02_NHAT_KY'!$J$7:$J$506,""))</f>
        <v/>
      </c>
      <c r="L120" s="232">
        <f>IF($A120="","",IF(AND('01_DANH_MUC'!$H110&gt;0,'01_DANH_MUC'!$G110&lt;$E$4,$E$4-'01_DANH_MUC'!$G110&lt;=30),'01_DANH_MUC'!$H110,0)+SUMIFS('02_NHAT_KY'!$K$7:$K$506,'02_NHAT_KY'!$C$7:$C$506,$A120,'02_NHAT_KY'!$L$7:$L$506,"&gt;=1",'02_NHAT_KY'!$L$7:$L$506,"&lt;=30"))</f>
        <v/>
      </c>
      <c r="M120" s="232">
        <f>IF($A120="","",IF(AND('01_DANH_MUC'!$H110&gt;0,'01_DANH_MUC'!$G110&lt;$E$4,$E$4-'01_DANH_MUC'!$G110&gt;=31,$E$4-'01_DANH_MUC'!$G110&lt;=60),'01_DANH_MUC'!$H110,0)+SUMIFS('02_NHAT_KY'!$K$7:$K$506,'02_NHAT_KY'!$C$7:$C$506,$A120,'02_NHAT_KY'!$L$7:$L$506,"&gt;=31",'02_NHAT_KY'!$L$7:$L$506,"&lt;=60"))</f>
        <v/>
      </c>
      <c r="N120" s="232">
        <f>IF($A120="","",IF(AND('01_DANH_MUC'!$H110&gt;0,'01_DANH_MUC'!$G110&lt;$E$4,$E$4-'01_DANH_MUC'!$G110&gt;=61,$E$4-'01_DANH_MUC'!$G110&lt;=90),'01_DANH_MUC'!$H110,0)+SUMIFS('02_NHAT_KY'!$K$7:$K$506,'02_NHAT_KY'!$C$7:$C$506,$A120,'02_NHAT_KY'!$L$7:$L$506,"&gt;=61",'02_NHAT_KY'!$L$7:$L$506,"&lt;=90"))</f>
        <v/>
      </c>
      <c r="O120" s="232">
        <f>IF($A120="","",IF(AND('01_DANH_MUC'!$H110&gt;0,'01_DANH_MUC'!$G110&lt;$E$4,$E$4-'01_DANH_MUC'!$G110&gt;90),'01_DANH_MUC'!$H110,0)+SUMIFS('02_NHAT_KY'!$K$7:$K$506,'02_NHAT_KY'!$C$7:$C$506,$A120,'02_NHAT_KY'!$L$7:$L$506,"&gt;90"))</f>
        <v/>
      </c>
      <c r="P120" s="201">
        <f>IF($A120="","",IF($H120&lt;0,"DƯ ÂM/TRẢ TRƯỚC",IF(ABS($H120-SUM($K120:$O120))&lt;1,"OK","LỆCH TUỔI NỢ")))</f>
        <v/>
      </c>
    </row>
    <row r="121">
      <c r="A121" s="201">
        <f>IF('01_DANH_MUC'!$A111="","",'01_DANH_MUC'!$A111)</f>
        <v/>
      </c>
      <c r="B121" s="198">
        <f>IF($A121="","",'01_DANH_MUC'!$B111)</f>
        <v/>
      </c>
      <c r="C121" s="201">
        <f>IF($A121="","",'01_DANH_MUC'!$C111)</f>
        <v/>
      </c>
      <c r="D121" s="231">
        <f>IF($A121="","",'01_DANH_MUC'!$D111)</f>
        <v/>
      </c>
      <c r="E121" s="232">
        <f>IF($A121="","",'01_DANH_MUC'!$F111+SUMIFS('02_NHAT_KY'!$G$7:$G$506,'02_NHAT_KY'!$C$7:$C$506,$A121,'02_NHAT_KY'!$A$7:$A$506,"&lt;"&amp;$B$4)-SUMIFS('02_NHAT_KY'!$H$7:$H$506,'02_NHAT_KY'!$C$7:$C$506,$A121,'02_NHAT_KY'!$A$7:$A$506,"&lt;"&amp;$B$4))</f>
        <v/>
      </c>
      <c r="F121" s="232">
        <f>IF($A121="","",SUMIFS('02_NHAT_KY'!$G$7:$G$506,'02_NHAT_KY'!$C$7:$C$506,$A121,'02_NHAT_KY'!$A$7:$A$506,"&gt;="&amp;$B$4,'02_NHAT_KY'!$A$7:$A$506,"&lt;="&amp;$E$4))</f>
        <v/>
      </c>
      <c r="G121" s="232">
        <f>IF($A121="","",SUMIFS('02_NHAT_KY'!$H$7:$H$506,'02_NHAT_KY'!$C$7:$C$506,$A121,'02_NHAT_KY'!$A$7:$A$506,"&gt;="&amp;$B$4,'02_NHAT_KY'!$A$7:$A$506,"&lt;="&amp;$E$4))</f>
        <v/>
      </c>
      <c r="H121" s="232">
        <f>IF($A121="","",$E121+$F121-$G121)</f>
        <v/>
      </c>
      <c r="I121" s="233">
        <f>IF($A121="","",IF($H121&lt;=0,0,MAX(IF(AND('01_DANH_MUC'!$H111&gt;0,'01_DANH_MUC'!$G111&lt;&gt;""),MAX(0,$E$4-'01_DANH_MUC'!$G111),0),IFERROR(MAXIFS('02_NHAT_KY'!$L$7:$L$506,'02_NHAT_KY'!$C$7:$C$506,$A121),0))))</f>
        <v/>
      </c>
      <c r="J121" s="201">
        <f>IF($A121="","",IF($H121&lt;=0,"Không có dư nợ",IF($I121&gt;0,"Quá hạn","Trong hạn")))</f>
        <v/>
      </c>
      <c r="K121" s="232">
        <f>IF($A121="","",IF(AND('01_DANH_MUC'!$H111&gt;0,OR('01_DANH_MUC'!$G111="",'01_DANH_MUC'!$G111&gt;=$E$4)),'01_DANH_MUC'!$H111,0)+SUMIFS('02_NHAT_KY'!$K$7:$K$506,'02_NHAT_KY'!$C$7:$C$506,$A121,'02_NHAT_KY'!$J$7:$J$506,"&gt;="&amp;$E$4)+SUMIFS('02_NHAT_KY'!$K$7:$K$506,'02_NHAT_KY'!$C$7:$C$506,$A121,'02_NHAT_KY'!$J$7:$J$506,""))</f>
        <v/>
      </c>
      <c r="L121" s="232">
        <f>IF($A121="","",IF(AND('01_DANH_MUC'!$H111&gt;0,'01_DANH_MUC'!$G111&lt;$E$4,$E$4-'01_DANH_MUC'!$G111&lt;=30),'01_DANH_MUC'!$H111,0)+SUMIFS('02_NHAT_KY'!$K$7:$K$506,'02_NHAT_KY'!$C$7:$C$506,$A121,'02_NHAT_KY'!$L$7:$L$506,"&gt;=1",'02_NHAT_KY'!$L$7:$L$506,"&lt;=30"))</f>
        <v/>
      </c>
      <c r="M121" s="232">
        <f>IF($A121="","",IF(AND('01_DANH_MUC'!$H111&gt;0,'01_DANH_MUC'!$G111&lt;$E$4,$E$4-'01_DANH_MUC'!$G111&gt;=31,$E$4-'01_DANH_MUC'!$G111&lt;=60),'01_DANH_MUC'!$H111,0)+SUMIFS('02_NHAT_KY'!$K$7:$K$506,'02_NHAT_KY'!$C$7:$C$506,$A121,'02_NHAT_KY'!$L$7:$L$506,"&gt;=31",'02_NHAT_KY'!$L$7:$L$506,"&lt;=60"))</f>
        <v/>
      </c>
      <c r="N121" s="232">
        <f>IF($A121="","",IF(AND('01_DANH_MUC'!$H111&gt;0,'01_DANH_MUC'!$G111&lt;$E$4,$E$4-'01_DANH_MUC'!$G111&gt;=61,$E$4-'01_DANH_MUC'!$G111&lt;=90),'01_DANH_MUC'!$H111,0)+SUMIFS('02_NHAT_KY'!$K$7:$K$506,'02_NHAT_KY'!$C$7:$C$506,$A121,'02_NHAT_KY'!$L$7:$L$506,"&gt;=61",'02_NHAT_KY'!$L$7:$L$506,"&lt;=90"))</f>
        <v/>
      </c>
      <c r="O121" s="232">
        <f>IF($A121="","",IF(AND('01_DANH_MUC'!$H111&gt;0,'01_DANH_MUC'!$G111&lt;$E$4,$E$4-'01_DANH_MUC'!$G111&gt;90),'01_DANH_MUC'!$H111,0)+SUMIFS('02_NHAT_KY'!$K$7:$K$506,'02_NHAT_KY'!$C$7:$C$506,$A121,'02_NHAT_KY'!$L$7:$L$506,"&gt;90"))</f>
        <v/>
      </c>
      <c r="P121" s="201">
        <f>IF($A121="","",IF($H121&lt;0,"DƯ ÂM/TRẢ TRƯỚC",IF(ABS($H121-SUM($K121:$O121))&lt;1,"OK","LỆCH TUỔI NỢ")))</f>
        <v/>
      </c>
    </row>
    <row r="122">
      <c r="A122" s="201">
        <f>IF('01_DANH_MUC'!$A112="","",'01_DANH_MUC'!$A112)</f>
        <v/>
      </c>
      <c r="B122" s="198">
        <f>IF($A122="","",'01_DANH_MUC'!$B112)</f>
        <v/>
      </c>
      <c r="C122" s="201">
        <f>IF($A122="","",'01_DANH_MUC'!$C112)</f>
        <v/>
      </c>
      <c r="D122" s="231">
        <f>IF($A122="","",'01_DANH_MUC'!$D112)</f>
        <v/>
      </c>
      <c r="E122" s="232">
        <f>IF($A122="","",'01_DANH_MUC'!$F112+SUMIFS('02_NHAT_KY'!$G$7:$G$506,'02_NHAT_KY'!$C$7:$C$506,$A122,'02_NHAT_KY'!$A$7:$A$506,"&lt;"&amp;$B$4)-SUMIFS('02_NHAT_KY'!$H$7:$H$506,'02_NHAT_KY'!$C$7:$C$506,$A122,'02_NHAT_KY'!$A$7:$A$506,"&lt;"&amp;$B$4))</f>
        <v/>
      </c>
      <c r="F122" s="232">
        <f>IF($A122="","",SUMIFS('02_NHAT_KY'!$G$7:$G$506,'02_NHAT_KY'!$C$7:$C$506,$A122,'02_NHAT_KY'!$A$7:$A$506,"&gt;="&amp;$B$4,'02_NHAT_KY'!$A$7:$A$506,"&lt;="&amp;$E$4))</f>
        <v/>
      </c>
      <c r="G122" s="232">
        <f>IF($A122="","",SUMIFS('02_NHAT_KY'!$H$7:$H$506,'02_NHAT_KY'!$C$7:$C$506,$A122,'02_NHAT_KY'!$A$7:$A$506,"&gt;="&amp;$B$4,'02_NHAT_KY'!$A$7:$A$506,"&lt;="&amp;$E$4))</f>
        <v/>
      </c>
      <c r="H122" s="232">
        <f>IF($A122="","",$E122+$F122-$G122)</f>
        <v/>
      </c>
      <c r="I122" s="233">
        <f>IF($A122="","",IF($H122&lt;=0,0,MAX(IF(AND('01_DANH_MUC'!$H112&gt;0,'01_DANH_MUC'!$G112&lt;&gt;""),MAX(0,$E$4-'01_DANH_MUC'!$G112),0),IFERROR(MAXIFS('02_NHAT_KY'!$L$7:$L$506,'02_NHAT_KY'!$C$7:$C$506,$A122),0))))</f>
        <v/>
      </c>
      <c r="J122" s="201">
        <f>IF($A122="","",IF($H122&lt;=0,"Không có dư nợ",IF($I122&gt;0,"Quá hạn","Trong hạn")))</f>
        <v/>
      </c>
      <c r="K122" s="232">
        <f>IF($A122="","",IF(AND('01_DANH_MUC'!$H112&gt;0,OR('01_DANH_MUC'!$G112="",'01_DANH_MUC'!$G112&gt;=$E$4)),'01_DANH_MUC'!$H112,0)+SUMIFS('02_NHAT_KY'!$K$7:$K$506,'02_NHAT_KY'!$C$7:$C$506,$A122,'02_NHAT_KY'!$J$7:$J$506,"&gt;="&amp;$E$4)+SUMIFS('02_NHAT_KY'!$K$7:$K$506,'02_NHAT_KY'!$C$7:$C$506,$A122,'02_NHAT_KY'!$J$7:$J$506,""))</f>
        <v/>
      </c>
      <c r="L122" s="232">
        <f>IF($A122="","",IF(AND('01_DANH_MUC'!$H112&gt;0,'01_DANH_MUC'!$G112&lt;$E$4,$E$4-'01_DANH_MUC'!$G112&lt;=30),'01_DANH_MUC'!$H112,0)+SUMIFS('02_NHAT_KY'!$K$7:$K$506,'02_NHAT_KY'!$C$7:$C$506,$A122,'02_NHAT_KY'!$L$7:$L$506,"&gt;=1",'02_NHAT_KY'!$L$7:$L$506,"&lt;=30"))</f>
        <v/>
      </c>
      <c r="M122" s="232">
        <f>IF($A122="","",IF(AND('01_DANH_MUC'!$H112&gt;0,'01_DANH_MUC'!$G112&lt;$E$4,$E$4-'01_DANH_MUC'!$G112&gt;=31,$E$4-'01_DANH_MUC'!$G112&lt;=60),'01_DANH_MUC'!$H112,0)+SUMIFS('02_NHAT_KY'!$K$7:$K$506,'02_NHAT_KY'!$C$7:$C$506,$A122,'02_NHAT_KY'!$L$7:$L$506,"&gt;=31",'02_NHAT_KY'!$L$7:$L$506,"&lt;=60"))</f>
        <v/>
      </c>
      <c r="N122" s="232">
        <f>IF($A122="","",IF(AND('01_DANH_MUC'!$H112&gt;0,'01_DANH_MUC'!$G112&lt;$E$4,$E$4-'01_DANH_MUC'!$G112&gt;=61,$E$4-'01_DANH_MUC'!$G112&lt;=90),'01_DANH_MUC'!$H112,0)+SUMIFS('02_NHAT_KY'!$K$7:$K$506,'02_NHAT_KY'!$C$7:$C$506,$A122,'02_NHAT_KY'!$L$7:$L$506,"&gt;=61",'02_NHAT_KY'!$L$7:$L$506,"&lt;=90"))</f>
        <v/>
      </c>
      <c r="O122" s="232">
        <f>IF($A122="","",IF(AND('01_DANH_MUC'!$H112&gt;0,'01_DANH_MUC'!$G112&lt;$E$4,$E$4-'01_DANH_MUC'!$G112&gt;90),'01_DANH_MUC'!$H112,0)+SUMIFS('02_NHAT_KY'!$K$7:$K$506,'02_NHAT_KY'!$C$7:$C$506,$A122,'02_NHAT_KY'!$L$7:$L$506,"&gt;90"))</f>
        <v/>
      </c>
      <c r="P122" s="201">
        <f>IF($A122="","",IF($H122&lt;0,"DƯ ÂM/TRẢ TRƯỚC",IF(ABS($H122-SUM($K122:$O122))&lt;1,"OK","LỆCH TUỔI NỢ")))</f>
        <v/>
      </c>
    </row>
    <row r="123">
      <c r="A123" s="201">
        <f>IF('01_DANH_MUC'!$A113="","",'01_DANH_MUC'!$A113)</f>
        <v/>
      </c>
      <c r="B123" s="198">
        <f>IF($A123="","",'01_DANH_MUC'!$B113)</f>
        <v/>
      </c>
      <c r="C123" s="201">
        <f>IF($A123="","",'01_DANH_MUC'!$C113)</f>
        <v/>
      </c>
      <c r="D123" s="231">
        <f>IF($A123="","",'01_DANH_MUC'!$D113)</f>
        <v/>
      </c>
      <c r="E123" s="232">
        <f>IF($A123="","",'01_DANH_MUC'!$F113+SUMIFS('02_NHAT_KY'!$G$7:$G$506,'02_NHAT_KY'!$C$7:$C$506,$A123,'02_NHAT_KY'!$A$7:$A$506,"&lt;"&amp;$B$4)-SUMIFS('02_NHAT_KY'!$H$7:$H$506,'02_NHAT_KY'!$C$7:$C$506,$A123,'02_NHAT_KY'!$A$7:$A$506,"&lt;"&amp;$B$4))</f>
        <v/>
      </c>
      <c r="F123" s="232">
        <f>IF($A123="","",SUMIFS('02_NHAT_KY'!$G$7:$G$506,'02_NHAT_KY'!$C$7:$C$506,$A123,'02_NHAT_KY'!$A$7:$A$506,"&gt;="&amp;$B$4,'02_NHAT_KY'!$A$7:$A$506,"&lt;="&amp;$E$4))</f>
        <v/>
      </c>
      <c r="G123" s="232">
        <f>IF($A123="","",SUMIFS('02_NHAT_KY'!$H$7:$H$506,'02_NHAT_KY'!$C$7:$C$506,$A123,'02_NHAT_KY'!$A$7:$A$506,"&gt;="&amp;$B$4,'02_NHAT_KY'!$A$7:$A$506,"&lt;="&amp;$E$4))</f>
        <v/>
      </c>
      <c r="H123" s="232">
        <f>IF($A123="","",$E123+$F123-$G123)</f>
        <v/>
      </c>
      <c r="I123" s="233">
        <f>IF($A123="","",IF($H123&lt;=0,0,MAX(IF(AND('01_DANH_MUC'!$H113&gt;0,'01_DANH_MUC'!$G113&lt;&gt;""),MAX(0,$E$4-'01_DANH_MUC'!$G113),0),IFERROR(MAXIFS('02_NHAT_KY'!$L$7:$L$506,'02_NHAT_KY'!$C$7:$C$506,$A123),0))))</f>
        <v/>
      </c>
      <c r="J123" s="201">
        <f>IF($A123="","",IF($H123&lt;=0,"Không có dư nợ",IF($I123&gt;0,"Quá hạn","Trong hạn")))</f>
        <v/>
      </c>
      <c r="K123" s="232">
        <f>IF($A123="","",IF(AND('01_DANH_MUC'!$H113&gt;0,OR('01_DANH_MUC'!$G113="",'01_DANH_MUC'!$G113&gt;=$E$4)),'01_DANH_MUC'!$H113,0)+SUMIFS('02_NHAT_KY'!$K$7:$K$506,'02_NHAT_KY'!$C$7:$C$506,$A123,'02_NHAT_KY'!$J$7:$J$506,"&gt;="&amp;$E$4)+SUMIFS('02_NHAT_KY'!$K$7:$K$506,'02_NHAT_KY'!$C$7:$C$506,$A123,'02_NHAT_KY'!$J$7:$J$506,""))</f>
        <v/>
      </c>
      <c r="L123" s="232">
        <f>IF($A123="","",IF(AND('01_DANH_MUC'!$H113&gt;0,'01_DANH_MUC'!$G113&lt;$E$4,$E$4-'01_DANH_MUC'!$G113&lt;=30),'01_DANH_MUC'!$H113,0)+SUMIFS('02_NHAT_KY'!$K$7:$K$506,'02_NHAT_KY'!$C$7:$C$506,$A123,'02_NHAT_KY'!$L$7:$L$506,"&gt;=1",'02_NHAT_KY'!$L$7:$L$506,"&lt;=30"))</f>
        <v/>
      </c>
      <c r="M123" s="232">
        <f>IF($A123="","",IF(AND('01_DANH_MUC'!$H113&gt;0,'01_DANH_MUC'!$G113&lt;$E$4,$E$4-'01_DANH_MUC'!$G113&gt;=31,$E$4-'01_DANH_MUC'!$G113&lt;=60),'01_DANH_MUC'!$H113,0)+SUMIFS('02_NHAT_KY'!$K$7:$K$506,'02_NHAT_KY'!$C$7:$C$506,$A123,'02_NHAT_KY'!$L$7:$L$506,"&gt;=31",'02_NHAT_KY'!$L$7:$L$506,"&lt;=60"))</f>
        <v/>
      </c>
      <c r="N123" s="232">
        <f>IF($A123="","",IF(AND('01_DANH_MUC'!$H113&gt;0,'01_DANH_MUC'!$G113&lt;$E$4,$E$4-'01_DANH_MUC'!$G113&gt;=61,$E$4-'01_DANH_MUC'!$G113&lt;=90),'01_DANH_MUC'!$H113,0)+SUMIFS('02_NHAT_KY'!$K$7:$K$506,'02_NHAT_KY'!$C$7:$C$506,$A123,'02_NHAT_KY'!$L$7:$L$506,"&gt;=61",'02_NHAT_KY'!$L$7:$L$506,"&lt;=90"))</f>
        <v/>
      </c>
      <c r="O123" s="232">
        <f>IF($A123="","",IF(AND('01_DANH_MUC'!$H113&gt;0,'01_DANH_MUC'!$G113&lt;$E$4,$E$4-'01_DANH_MUC'!$G113&gt;90),'01_DANH_MUC'!$H113,0)+SUMIFS('02_NHAT_KY'!$K$7:$K$506,'02_NHAT_KY'!$C$7:$C$506,$A123,'02_NHAT_KY'!$L$7:$L$506,"&gt;90"))</f>
        <v/>
      </c>
      <c r="P123" s="201">
        <f>IF($A123="","",IF($H123&lt;0,"DƯ ÂM/TRẢ TRƯỚC",IF(ABS($H123-SUM($K123:$O123))&lt;1,"OK","LỆCH TUỔI NỢ")))</f>
        <v/>
      </c>
    </row>
    <row r="124">
      <c r="A124" s="201">
        <f>IF('01_DANH_MUC'!$A114="","",'01_DANH_MUC'!$A114)</f>
        <v/>
      </c>
      <c r="B124" s="198">
        <f>IF($A124="","",'01_DANH_MUC'!$B114)</f>
        <v/>
      </c>
      <c r="C124" s="201">
        <f>IF($A124="","",'01_DANH_MUC'!$C114)</f>
        <v/>
      </c>
      <c r="D124" s="231">
        <f>IF($A124="","",'01_DANH_MUC'!$D114)</f>
        <v/>
      </c>
      <c r="E124" s="232">
        <f>IF($A124="","",'01_DANH_MUC'!$F114+SUMIFS('02_NHAT_KY'!$G$7:$G$506,'02_NHAT_KY'!$C$7:$C$506,$A124,'02_NHAT_KY'!$A$7:$A$506,"&lt;"&amp;$B$4)-SUMIFS('02_NHAT_KY'!$H$7:$H$506,'02_NHAT_KY'!$C$7:$C$506,$A124,'02_NHAT_KY'!$A$7:$A$506,"&lt;"&amp;$B$4))</f>
        <v/>
      </c>
      <c r="F124" s="232">
        <f>IF($A124="","",SUMIFS('02_NHAT_KY'!$G$7:$G$506,'02_NHAT_KY'!$C$7:$C$506,$A124,'02_NHAT_KY'!$A$7:$A$506,"&gt;="&amp;$B$4,'02_NHAT_KY'!$A$7:$A$506,"&lt;="&amp;$E$4))</f>
        <v/>
      </c>
      <c r="G124" s="232">
        <f>IF($A124="","",SUMIFS('02_NHAT_KY'!$H$7:$H$506,'02_NHAT_KY'!$C$7:$C$506,$A124,'02_NHAT_KY'!$A$7:$A$506,"&gt;="&amp;$B$4,'02_NHAT_KY'!$A$7:$A$506,"&lt;="&amp;$E$4))</f>
        <v/>
      </c>
      <c r="H124" s="232">
        <f>IF($A124="","",$E124+$F124-$G124)</f>
        <v/>
      </c>
      <c r="I124" s="233">
        <f>IF($A124="","",IF($H124&lt;=0,0,MAX(IF(AND('01_DANH_MUC'!$H114&gt;0,'01_DANH_MUC'!$G114&lt;&gt;""),MAX(0,$E$4-'01_DANH_MUC'!$G114),0),IFERROR(MAXIFS('02_NHAT_KY'!$L$7:$L$506,'02_NHAT_KY'!$C$7:$C$506,$A124),0))))</f>
        <v/>
      </c>
      <c r="J124" s="201">
        <f>IF($A124="","",IF($H124&lt;=0,"Không có dư nợ",IF($I124&gt;0,"Quá hạn","Trong hạn")))</f>
        <v/>
      </c>
      <c r="K124" s="232">
        <f>IF($A124="","",IF(AND('01_DANH_MUC'!$H114&gt;0,OR('01_DANH_MUC'!$G114="",'01_DANH_MUC'!$G114&gt;=$E$4)),'01_DANH_MUC'!$H114,0)+SUMIFS('02_NHAT_KY'!$K$7:$K$506,'02_NHAT_KY'!$C$7:$C$506,$A124,'02_NHAT_KY'!$J$7:$J$506,"&gt;="&amp;$E$4)+SUMIFS('02_NHAT_KY'!$K$7:$K$506,'02_NHAT_KY'!$C$7:$C$506,$A124,'02_NHAT_KY'!$J$7:$J$506,""))</f>
        <v/>
      </c>
      <c r="L124" s="232">
        <f>IF($A124="","",IF(AND('01_DANH_MUC'!$H114&gt;0,'01_DANH_MUC'!$G114&lt;$E$4,$E$4-'01_DANH_MUC'!$G114&lt;=30),'01_DANH_MUC'!$H114,0)+SUMIFS('02_NHAT_KY'!$K$7:$K$506,'02_NHAT_KY'!$C$7:$C$506,$A124,'02_NHAT_KY'!$L$7:$L$506,"&gt;=1",'02_NHAT_KY'!$L$7:$L$506,"&lt;=30"))</f>
        <v/>
      </c>
      <c r="M124" s="232">
        <f>IF($A124="","",IF(AND('01_DANH_MUC'!$H114&gt;0,'01_DANH_MUC'!$G114&lt;$E$4,$E$4-'01_DANH_MUC'!$G114&gt;=31,$E$4-'01_DANH_MUC'!$G114&lt;=60),'01_DANH_MUC'!$H114,0)+SUMIFS('02_NHAT_KY'!$K$7:$K$506,'02_NHAT_KY'!$C$7:$C$506,$A124,'02_NHAT_KY'!$L$7:$L$506,"&gt;=31",'02_NHAT_KY'!$L$7:$L$506,"&lt;=60"))</f>
        <v/>
      </c>
      <c r="N124" s="232">
        <f>IF($A124="","",IF(AND('01_DANH_MUC'!$H114&gt;0,'01_DANH_MUC'!$G114&lt;$E$4,$E$4-'01_DANH_MUC'!$G114&gt;=61,$E$4-'01_DANH_MUC'!$G114&lt;=90),'01_DANH_MUC'!$H114,0)+SUMIFS('02_NHAT_KY'!$K$7:$K$506,'02_NHAT_KY'!$C$7:$C$506,$A124,'02_NHAT_KY'!$L$7:$L$506,"&gt;=61",'02_NHAT_KY'!$L$7:$L$506,"&lt;=90"))</f>
        <v/>
      </c>
      <c r="O124" s="232">
        <f>IF($A124="","",IF(AND('01_DANH_MUC'!$H114&gt;0,'01_DANH_MUC'!$G114&lt;$E$4,$E$4-'01_DANH_MUC'!$G114&gt;90),'01_DANH_MUC'!$H114,0)+SUMIFS('02_NHAT_KY'!$K$7:$K$506,'02_NHAT_KY'!$C$7:$C$506,$A124,'02_NHAT_KY'!$L$7:$L$506,"&gt;90"))</f>
        <v/>
      </c>
      <c r="P124" s="201">
        <f>IF($A124="","",IF($H124&lt;0,"DƯ ÂM/TRẢ TRƯỚC",IF(ABS($H124-SUM($K124:$O124))&lt;1,"OK","LỆCH TUỔI NỢ")))</f>
        <v/>
      </c>
    </row>
    <row r="125">
      <c r="A125" s="201">
        <f>IF('01_DANH_MUC'!$A115="","",'01_DANH_MUC'!$A115)</f>
        <v/>
      </c>
      <c r="B125" s="198">
        <f>IF($A125="","",'01_DANH_MUC'!$B115)</f>
        <v/>
      </c>
      <c r="C125" s="201">
        <f>IF($A125="","",'01_DANH_MUC'!$C115)</f>
        <v/>
      </c>
      <c r="D125" s="231">
        <f>IF($A125="","",'01_DANH_MUC'!$D115)</f>
        <v/>
      </c>
      <c r="E125" s="232">
        <f>IF($A125="","",'01_DANH_MUC'!$F115+SUMIFS('02_NHAT_KY'!$G$7:$G$506,'02_NHAT_KY'!$C$7:$C$506,$A125,'02_NHAT_KY'!$A$7:$A$506,"&lt;"&amp;$B$4)-SUMIFS('02_NHAT_KY'!$H$7:$H$506,'02_NHAT_KY'!$C$7:$C$506,$A125,'02_NHAT_KY'!$A$7:$A$506,"&lt;"&amp;$B$4))</f>
        <v/>
      </c>
      <c r="F125" s="232">
        <f>IF($A125="","",SUMIFS('02_NHAT_KY'!$G$7:$G$506,'02_NHAT_KY'!$C$7:$C$506,$A125,'02_NHAT_KY'!$A$7:$A$506,"&gt;="&amp;$B$4,'02_NHAT_KY'!$A$7:$A$506,"&lt;="&amp;$E$4))</f>
        <v/>
      </c>
      <c r="G125" s="232">
        <f>IF($A125="","",SUMIFS('02_NHAT_KY'!$H$7:$H$506,'02_NHAT_KY'!$C$7:$C$506,$A125,'02_NHAT_KY'!$A$7:$A$506,"&gt;="&amp;$B$4,'02_NHAT_KY'!$A$7:$A$506,"&lt;="&amp;$E$4))</f>
        <v/>
      </c>
      <c r="H125" s="232">
        <f>IF($A125="","",$E125+$F125-$G125)</f>
        <v/>
      </c>
      <c r="I125" s="233">
        <f>IF($A125="","",IF($H125&lt;=0,0,MAX(IF(AND('01_DANH_MUC'!$H115&gt;0,'01_DANH_MUC'!$G115&lt;&gt;""),MAX(0,$E$4-'01_DANH_MUC'!$G115),0),IFERROR(MAXIFS('02_NHAT_KY'!$L$7:$L$506,'02_NHAT_KY'!$C$7:$C$506,$A125),0))))</f>
        <v/>
      </c>
      <c r="J125" s="201">
        <f>IF($A125="","",IF($H125&lt;=0,"Không có dư nợ",IF($I125&gt;0,"Quá hạn","Trong hạn")))</f>
        <v/>
      </c>
      <c r="K125" s="232">
        <f>IF($A125="","",IF(AND('01_DANH_MUC'!$H115&gt;0,OR('01_DANH_MUC'!$G115="",'01_DANH_MUC'!$G115&gt;=$E$4)),'01_DANH_MUC'!$H115,0)+SUMIFS('02_NHAT_KY'!$K$7:$K$506,'02_NHAT_KY'!$C$7:$C$506,$A125,'02_NHAT_KY'!$J$7:$J$506,"&gt;="&amp;$E$4)+SUMIFS('02_NHAT_KY'!$K$7:$K$506,'02_NHAT_KY'!$C$7:$C$506,$A125,'02_NHAT_KY'!$J$7:$J$506,""))</f>
        <v/>
      </c>
      <c r="L125" s="232">
        <f>IF($A125="","",IF(AND('01_DANH_MUC'!$H115&gt;0,'01_DANH_MUC'!$G115&lt;$E$4,$E$4-'01_DANH_MUC'!$G115&lt;=30),'01_DANH_MUC'!$H115,0)+SUMIFS('02_NHAT_KY'!$K$7:$K$506,'02_NHAT_KY'!$C$7:$C$506,$A125,'02_NHAT_KY'!$L$7:$L$506,"&gt;=1",'02_NHAT_KY'!$L$7:$L$506,"&lt;=30"))</f>
        <v/>
      </c>
      <c r="M125" s="232">
        <f>IF($A125="","",IF(AND('01_DANH_MUC'!$H115&gt;0,'01_DANH_MUC'!$G115&lt;$E$4,$E$4-'01_DANH_MUC'!$G115&gt;=31,$E$4-'01_DANH_MUC'!$G115&lt;=60),'01_DANH_MUC'!$H115,0)+SUMIFS('02_NHAT_KY'!$K$7:$K$506,'02_NHAT_KY'!$C$7:$C$506,$A125,'02_NHAT_KY'!$L$7:$L$506,"&gt;=31",'02_NHAT_KY'!$L$7:$L$506,"&lt;=60"))</f>
        <v/>
      </c>
      <c r="N125" s="232">
        <f>IF($A125="","",IF(AND('01_DANH_MUC'!$H115&gt;0,'01_DANH_MUC'!$G115&lt;$E$4,$E$4-'01_DANH_MUC'!$G115&gt;=61,$E$4-'01_DANH_MUC'!$G115&lt;=90),'01_DANH_MUC'!$H115,0)+SUMIFS('02_NHAT_KY'!$K$7:$K$506,'02_NHAT_KY'!$C$7:$C$506,$A125,'02_NHAT_KY'!$L$7:$L$506,"&gt;=61",'02_NHAT_KY'!$L$7:$L$506,"&lt;=90"))</f>
        <v/>
      </c>
      <c r="O125" s="232">
        <f>IF($A125="","",IF(AND('01_DANH_MUC'!$H115&gt;0,'01_DANH_MUC'!$G115&lt;$E$4,$E$4-'01_DANH_MUC'!$G115&gt;90),'01_DANH_MUC'!$H115,0)+SUMIFS('02_NHAT_KY'!$K$7:$K$506,'02_NHAT_KY'!$C$7:$C$506,$A125,'02_NHAT_KY'!$L$7:$L$506,"&gt;90"))</f>
        <v/>
      </c>
      <c r="P125" s="201">
        <f>IF($A125="","",IF($H125&lt;0,"DƯ ÂM/TRẢ TRƯỚC",IF(ABS($H125-SUM($K125:$O125))&lt;1,"OK","LỆCH TUỔI NỢ")))</f>
        <v/>
      </c>
    </row>
    <row r="126">
      <c r="A126" s="201">
        <f>IF('01_DANH_MUC'!$A116="","",'01_DANH_MUC'!$A116)</f>
        <v/>
      </c>
      <c r="B126" s="198">
        <f>IF($A126="","",'01_DANH_MUC'!$B116)</f>
        <v/>
      </c>
      <c r="C126" s="201">
        <f>IF($A126="","",'01_DANH_MUC'!$C116)</f>
        <v/>
      </c>
      <c r="D126" s="231">
        <f>IF($A126="","",'01_DANH_MUC'!$D116)</f>
        <v/>
      </c>
      <c r="E126" s="232">
        <f>IF($A126="","",'01_DANH_MUC'!$F116+SUMIFS('02_NHAT_KY'!$G$7:$G$506,'02_NHAT_KY'!$C$7:$C$506,$A126,'02_NHAT_KY'!$A$7:$A$506,"&lt;"&amp;$B$4)-SUMIFS('02_NHAT_KY'!$H$7:$H$506,'02_NHAT_KY'!$C$7:$C$506,$A126,'02_NHAT_KY'!$A$7:$A$506,"&lt;"&amp;$B$4))</f>
        <v/>
      </c>
      <c r="F126" s="232">
        <f>IF($A126="","",SUMIFS('02_NHAT_KY'!$G$7:$G$506,'02_NHAT_KY'!$C$7:$C$506,$A126,'02_NHAT_KY'!$A$7:$A$506,"&gt;="&amp;$B$4,'02_NHAT_KY'!$A$7:$A$506,"&lt;="&amp;$E$4))</f>
        <v/>
      </c>
      <c r="G126" s="232">
        <f>IF($A126="","",SUMIFS('02_NHAT_KY'!$H$7:$H$506,'02_NHAT_KY'!$C$7:$C$506,$A126,'02_NHAT_KY'!$A$7:$A$506,"&gt;="&amp;$B$4,'02_NHAT_KY'!$A$7:$A$506,"&lt;="&amp;$E$4))</f>
        <v/>
      </c>
      <c r="H126" s="232">
        <f>IF($A126="","",$E126+$F126-$G126)</f>
        <v/>
      </c>
      <c r="I126" s="233">
        <f>IF($A126="","",IF($H126&lt;=0,0,MAX(IF(AND('01_DANH_MUC'!$H116&gt;0,'01_DANH_MUC'!$G116&lt;&gt;""),MAX(0,$E$4-'01_DANH_MUC'!$G116),0),IFERROR(MAXIFS('02_NHAT_KY'!$L$7:$L$506,'02_NHAT_KY'!$C$7:$C$506,$A126),0))))</f>
        <v/>
      </c>
      <c r="J126" s="201">
        <f>IF($A126="","",IF($H126&lt;=0,"Không có dư nợ",IF($I126&gt;0,"Quá hạn","Trong hạn")))</f>
        <v/>
      </c>
      <c r="K126" s="232">
        <f>IF($A126="","",IF(AND('01_DANH_MUC'!$H116&gt;0,OR('01_DANH_MUC'!$G116="",'01_DANH_MUC'!$G116&gt;=$E$4)),'01_DANH_MUC'!$H116,0)+SUMIFS('02_NHAT_KY'!$K$7:$K$506,'02_NHAT_KY'!$C$7:$C$506,$A126,'02_NHAT_KY'!$J$7:$J$506,"&gt;="&amp;$E$4)+SUMIFS('02_NHAT_KY'!$K$7:$K$506,'02_NHAT_KY'!$C$7:$C$506,$A126,'02_NHAT_KY'!$J$7:$J$506,""))</f>
        <v/>
      </c>
      <c r="L126" s="232">
        <f>IF($A126="","",IF(AND('01_DANH_MUC'!$H116&gt;0,'01_DANH_MUC'!$G116&lt;$E$4,$E$4-'01_DANH_MUC'!$G116&lt;=30),'01_DANH_MUC'!$H116,0)+SUMIFS('02_NHAT_KY'!$K$7:$K$506,'02_NHAT_KY'!$C$7:$C$506,$A126,'02_NHAT_KY'!$L$7:$L$506,"&gt;=1",'02_NHAT_KY'!$L$7:$L$506,"&lt;=30"))</f>
        <v/>
      </c>
      <c r="M126" s="232">
        <f>IF($A126="","",IF(AND('01_DANH_MUC'!$H116&gt;0,'01_DANH_MUC'!$G116&lt;$E$4,$E$4-'01_DANH_MUC'!$G116&gt;=31,$E$4-'01_DANH_MUC'!$G116&lt;=60),'01_DANH_MUC'!$H116,0)+SUMIFS('02_NHAT_KY'!$K$7:$K$506,'02_NHAT_KY'!$C$7:$C$506,$A126,'02_NHAT_KY'!$L$7:$L$506,"&gt;=31",'02_NHAT_KY'!$L$7:$L$506,"&lt;=60"))</f>
        <v/>
      </c>
      <c r="N126" s="232">
        <f>IF($A126="","",IF(AND('01_DANH_MUC'!$H116&gt;0,'01_DANH_MUC'!$G116&lt;$E$4,$E$4-'01_DANH_MUC'!$G116&gt;=61,$E$4-'01_DANH_MUC'!$G116&lt;=90),'01_DANH_MUC'!$H116,0)+SUMIFS('02_NHAT_KY'!$K$7:$K$506,'02_NHAT_KY'!$C$7:$C$506,$A126,'02_NHAT_KY'!$L$7:$L$506,"&gt;=61",'02_NHAT_KY'!$L$7:$L$506,"&lt;=90"))</f>
        <v/>
      </c>
      <c r="O126" s="232">
        <f>IF($A126="","",IF(AND('01_DANH_MUC'!$H116&gt;0,'01_DANH_MUC'!$G116&lt;$E$4,$E$4-'01_DANH_MUC'!$G116&gt;90),'01_DANH_MUC'!$H116,0)+SUMIFS('02_NHAT_KY'!$K$7:$K$506,'02_NHAT_KY'!$C$7:$C$506,$A126,'02_NHAT_KY'!$L$7:$L$506,"&gt;90"))</f>
        <v/>
      </c>
      <c r="P126" s="201">
        <f>IF($A126="","",IF($H126&lt;0,"DƯ ÂM/TRẢ TRƯỚC",IF(ABS($H126-SUM($K126:$O126))&lt;1,"OK","LỆCH TUỔI NỢ")))</f>
        <v/>
      </c>
    </row>
    <row r="127">
      <c r="A127" s="201">
        <f>IF('01_DANH_MUC'!$A117="","",'01_DANH_MUC'!$A117)</f>
        <v/>
      </c>
      <c r="B127" s="198">
        <f>IF($A127="","",'01_DANH_MUC'!$B117)</f>
        <v/>
      </c>
      <c r="C127" s="201">
        <f>IF($A127="","",'01_DANH_MUC'!$C117)</f>
        <v/>
      </c>
      <c r="D127" s="231">
        <f>IF($A127="","",'01_DANH_MUC'!$D117)</f>
        <v/>
      </c>
      <c r="E127" s="232">
        <f>IF($A127="","",'01_DANH_MUC'!$F117+SUMIFS('02_NHAT_KY'!$G$7:$G$506,'02_NHAT_KY'!$C$7:$C$506,$A127,'02_NHAT_KY'!$A$7:$A$506,"&lt;"&amp;$B$4)-SUMIFS('02_NHAT_KY'!$H$7:$H$506,'02_NHAT_KY'!$C$7:$C$506,$A127,'02_NHAT_KY'!$A$7:$A$506,"&lt;"&amp;$B$4))</f>
        <v/>
      </c>
      <c r="F127" s="232">
        <f>IF($A127="","",SUMIFS('02_NHAT_KY'!$G$7:$G$506,'02_NHAT_KY'!$C$7:$C$506,$A127,'02_NHAT_KY'!$A$7:$A$506,"&gt;="&amp;$B$4,'02_NHAT_KY'!$A$7:$A$506,"&lt;="&amp;$E$4))</f>
        <v/>
      </c>
      <c r="G127" s="232">
        <f>IF($A127="","",SUMIFS('02_NHAT_KY'!$H$7:$H$506,'02_NHAT_KY'!$C$7:$C$506,$A127,'02_NHAT_KY'!$A$7:$A$506,"&gt;="&amp;$B$4,'02_NHAT_KY'!$A$7:$A$506,"&lt;="&amp;$E$4))</f>
        <v/>
      </c>
      <c r="H127" s="232">
        <f>IF($A127="","",$E127+$F127-$G127)</f>
        <v/>
      </c>
      <c r="I127" s="233">
        <f>IF($A127="","",IF($H127&lt;=0,0,MAX(IF(AND('01_DANH_MUC'!$H117&gt;0,'01_DANH_MUC'!$G117&lt;&gt;""),MAX(0,$E$4-'01_DANH_MUC'!$G117),0),IFERROR(MAXIFS('02_NHAT_KY'!$L$7:$L$506,'02_NHAT_KY'!$C$7:$C$506,$A127),0))))</f>
        <v/>
      </c>
      <c r="J127" s="201">
        <f>IF($A127="","",IF($H127&lt;=0,"Không có dư nợ",IF($I127&gt;0,"Quá hạn","Trong hạn")))</f>
        <v/>
      </c>
      <c r="K127" s="232">
        <f>IF($A127="","",IF(AND('01_DANH_MUC'!$H117&gt;0,OR('01_DANH_MUC'!$G117="",'01_DANH_MUC'!$G117&gt;=$E$4)),'01_DANH_MUC'!$H117,0)+SUMIFS('02_NHAT_KY'!$K$7:$K$506,'02_NHAT_KY'!$C$7:$C$506,$A127,'02_NHAT_KY'!$J$7:$J$506,"&gt;="&amp;$E$4)+SUMIFS('02_NHAT_KY'!$K$7:$K$506,'02_NHAT_KY'!$C$7:$C$506,$A127,'02_NHAT_KY'!$J$7:$J$506,""))</f>
        <v/>
      </c>
      <c r="L127" s="232">
        <f>IF($A127="","",IF(AND('01_DANH_MUC'!$H117&gt;0,'01_DANH_MUC'!$G117&lt;$E$4,$E$4-'01_DANH_MUC'!$G117&lt;=30),'01_DANH_MUC'!$H117,0)+SUMIFS('02_NHAT_KY'!$K$7:$K$506,'02_NHAT_KY'!$C$7:$C$506,$A127,'02_NHAT_KY'!$L$7:$L$506,"&gt;=1",'02_NHAT_KY'!$L$7:$L$506,"&lt;=30"))</f>
        <v/>
      </c>
      <c r="M127" s="232">
        <f>IF($A127="","",IF(AND('01_DANH_MUC'!$H117&gt;0,'01_DANH_MUC'!$G117&lt;$E$4,$E$4-'01_DANH_MUC'!$G117&gt;=31,$E$4-'01_DANH_MUC'!$G117&lt;=60),'01_DANH_MUC'!$H117,0)+SUMIFS('02_NHAT_KY'!$K$7:$K$506,'02_NHAT_KY'!$C$7:$C$506,$A127,'02_NHAT_KY'!$L$7:$L$506,"&gt;=31",'02_NHAT_KY'!$L$7:$L$506,"&lt;=60"))</f>
        <v/>
      </c>
      <c r="N127" s="232">
        <f>IF($A127="","",IF(AND('01_DANH_MUC'!$H117&gt;0,'01_DANH_MUC'!$G117&lt;$E$4,$E$4-'01_DANH_MUC'!$G117&gt;=61,$E$4-'01_DANH_MUC'!$G117&lt;=90),'01_DANH_MUC'!$H117,0)+SUMIFS('02_NHAT_KY'!$K$7:$K$506,'02_NHAT_KY'!$C$7:$C$506,$A127,'02_NHAT_KY'!$L$7:$L$506,"&gt;=61",'02_NHAT_KY'!$L$7:$L$506,"&lt;=90"))</f>
        <v/>
      </c>
      <c r="O127" s="232">
        <f>IF($A127="","",IF(AND('01_DANH_MUC'!$H117&gt;0,'01_DANH_MUC'!$G117&lt;$E$4,$E$4-'01_DANH_MUC'!$G117&gt;90),'01_DANH_MUC'!$H117,0)+SUMIFS('02_NHAT_KY'!$K$7:$K$506,'02_NHAT_KY'!$C$7:$C$506,$A127,'02_NHAT_KY'!$L$7:$L$506,"&gt;90"))</f>
        <v/>
      </c>
      <c r="P127" s="201">
        <f>IF($A127="","",IF($H127&lt;0,"DƯ ÂM/TRẢ TRƯỚC",IF(ABS($H127-SUM($K127:$O127))&lt;1,"OK","LỆCH TUỔI NỢ")))</f>
        <v/>
      </c>
    </row>
    <row r="128">
      <c r="A128" s="201">
        <f>IF('01_DANH_MUC'!$A118="","",'01_DANH_MUC'!$A118)</f>
        <v/>
      </c>
      <c r="B128" s="198">
        <f>IF($A128="","",'01_DANH_MUC'!$B118)</f>
        <v/>
      </c>
      <c r="C128" s="201">
        <f>IF($A128="","",'01_DANH_MUC'!$C118)</f>
        <v/>
      </c>
      <c r="D128" s="231">
        <f>IF($A128="","",'01_DANH_MUC'!$D118)</f>
        <v/>
      </c>
      <c r="E128" s="232">
        <f>IF($A128="","",'01_DANH_MUC'!$F118+SUMIFS('02_NHAT_KY'!$G$7:$G$506,'02_NHAT_KY'!$C$7:$C$506,$A128,'02_NHAT_KY'!$A$7:$A$506,"&lt;"&amp;$B$4)-SUMIFS('02_NHAT_KY'!$H$7:$H$506,'02_NHAT_KY'!$C$7:$C$506,$A128,'02_NHAT_KY'!$A$7:$A$506,"&lt;"&amp;$B$4))</f>
        <v/>
      </c>
      <c r="F128" s="232">
        <f>IF($A128="","",SUMIFS('02_NHAT_KY'!$G$7:$G$506,'02_NHAT_KY'!$C$7:$C$506,$A128,'02_NHAT_KY'!$A$7:$A$506,"&gt;="&amp;$B$4,'02_NHAT_KY'!$A$7:$A$506,"&lt;="&amp;$E$4))</f>
        <v/>
      </c>
      <c r="G128" s="232">
        <f>IF($A128="","",SUMIFS('02_NHAT_KY'!$H$7:$H$506,'02_NHAT_KY'!$C$7:$C$506,$A128,'02_NHAT_KY'!$A$7:$A$506,"&gt;="&amp;$B$4,'02_NHAT_KY'!$A$7:$A$506,"&lt;="&amp;$E$4))</f>
        <v/>
      </c>
      <c r="H128" s="232">
        <f>IF($A128="","",$E128+$F128-$G128)</f>
        <v/>
      </c>
      <c r="I128" s="233">
        <f>IF($A128="","",IF($H128&lt;=0,0,MAX(IF(AND('01_DANH_MUC'!$H118&gt;0,'01_DANH_MUC'!$G118&lt;&gt;""),MAX(0,$E$4-'01_DANH_MUC'!$G118),0),IFERROR(MAXIFS('02_NHAT_KY'!$L$7:$L$506,'02_NHAT_KY'!$C$7:$C$506,$A128),0))))</f>
        <v/>
      </c>
      <c r="J128" s="201">
        <f>IF($A128="","",IF($H128&lt;=0,"Không có dư nợ",IF($I128&gt;0,"Quá hạn","Trong hạn")))</f>
        <v/>
      </c>
      <c r="K128" s="232">
        <f>IF($A128="","",IF(AND('01_DANH_MUC'!$H118&gt;0,OR('01_DANH_MUC'!$G118="",'01_DANH_MUC'!$G118&gt;=$E$4)),'01_DANH_MUC'!$H118,0)+SUMIFS('02_NHAT_KY'!$K$7:$K$506,'02_NHAT_KY'!$C$7:$C$506,$A128,'02_NHAT_KY'!$J$7:$J$506,"&gt;="&amp;$E$4)+SUMIFS('02_NHAT_KY'!$K$7:$K$506,'02_NHAT_KY'!$C$7:$C$506,$A128,'02_NHAT_KY'!$J$7:$J$506,""))</f>
        <v/>
      </c>
      <c r="L128" s="232">
        <f>IF($A128="","",IF(AND('01_DANH_MUC'!$H118&gt;0,'01_DANH_MUC'!$G118&lt;$E$4,$E$4-'01_DANH_MUC'!$G118&lt;=30),'01_DANH_MUC'!$H118,0)+SUMIFS('02_NHAT_KY'!$K$7:$K$506,'02_NHAT_KY'!$C$7:$C$506,$A128,'02_NHAT_KY'!$L$7:$L$506,"&gt;=1",'02_NHAT_KY'!$L$7:$L$506,"&lt;=30"))</f>
        <v/>
      </c>
      <c r="M128" s="232">
        <f>IF($A128="","",IF(AND('01_DANH_MUC'!$H118&gt;0,'01_DANH_MUC'!$G118&lt;$E$4,$E$4-'01_DANH_MUC'!$G118&gt;=31,$E$4-'01_DANH_MUC'!$G118&lt;=60),'01_DANH_MUC'!$H118,0)+SUMIFS('02_NHAT_KY'!$K$7:$K$506,'02_NHAT_KY'!$C$7:$C$506,$A128,'02_NHAT_KY'!$L$7:$L$506,"&gt;=31",'02_NHAT_KY'!$L$7:$L$506,"&lt;=60"))</f>
        <v/>
      </c>
      <c r="N128" s="232">
        <f>IF($A128="","",IF(AND('01_DANH_MUC'!$H118&gt;0,'01_DANH_MUC'!$G118&lt;$E$4,$E$4-'01_DANH_MUC'!$G118&gt;=61,$E$4-'01_DANH_MUC'!$G118&lt;=90),'01_DANH_MUC'!$H118,0)+SUMIFS('02_NHAT_KY'!$K$7:$K$506,'02_NHAT_KY'!$C$7:$C$506,$A128,'02_NHAT_KY'!$L$7:$L$506,"&gt;=61",'02_NHAT_KY'!$L$7:$L$506,"&lt;=90"))</f>
        <v/>
      </c>
      <c r="O128" s="232">
        <f>IF($A128="","",IF(AND('01_DANH_MUC'!$H118&gt;0,'01_DANH_MUC'!$G118&lt;$E$4,$E$4-'01_DANH_MUC'!$G118&gt;90),'01_DANH_MUC'!$H118,0)+SUMIFS('02_NHAT_KY'!$K$7:$K$506,'02_NHAT_KY'!$C$7:$C$506,$A128,'02_NHAT_KY'!$L$7:$L$506,"&gt;90"))</f>
        <v/>
      </c>
      <c r="P128" s="201">
        <f>IF($A128="","",IF($H128&lt;0,"DƯ ÂM/TRẢ TRƯỚC",IF(ABS($H128-SUM($K128:$O128))&lt;1,"OK","LỆCH TUỔI NỢ")))</f>
        <v/>
      </c>
    </row>
    <row r="129">
      <c r="A129" s="201">
        <f>IF('01_DANH_MUC'!$A119="","",'01_DANH_MUC'!$A119)</f>
        <v/>
      </c>
      <c r="B129" s="198">
        <f>IF($A129="","",'01_DANH_MUC'!$B119)</f>
        <v/>
      </c>
      <c r="C129" s="201">
        <f>IF($A129="","",'01_DANH_MUC'!$C119)</f>
        <v/>
      </c>
      <c r="D129" s="231">
        <f>IF($A129="","",'01_DANH_MUC'!$D119)</f>
        <v/>
      </c>
      <c r="E129" s="232">
        <f>IF($A129="","",'01_DANH_MUC'!$F119+SUMIFS('02_NHAT_KY'!$G$7:$G$506,'02_NHAT_KY'!$C$7:$C$506,$A129,'02_NHAT_KY'!$A$7:$A$506,"&lt;"&amp;$B$4)-SUMIFS('02_NHAT_KY'!$H$7:$H$506,'02_NHAT_KY'!$C$7:$C$506,$A129,'02_NHAT_KY'!$A$7:$A$506,"&lt;"&amp;$B$4))</f>
        <v/>
      </c>
      <c r="F129" s="232">
        <f>IF($A129="","",SUMIFS('02_NHAT_KY'!$G$7:$G$506,'02_NHAT_KY'!$C$7:$C$506,$A129,'02_NHAT_KY'!$A$7:$A$506,"&gt;="&amp;$B$4,'02_NHAT_KY'!$A$7:$A$506,"&lt;="&amp;$E$4))</f>
        <v/>
      </c>
      <c r="G129" s="232">
        <f>IF($A129="","",SUMIFS('02_NHAT_KY'!$H$7:$H$506,'02_NHAT_KY'!$C$7:$C$506,$A129,'02_NHAT_KY'!$A$7:$A$506,"&gt;="&amp;$B$4,'02_NHAT_KY'!$A$7:$A$506,"&lt;="&amp;$E$4))</f>
        <v/>
      </c>
      <c r="H129" s="232">
        <f>IF($A129="","",$E129+$F129-$G129)</f>
        <v/>
      </c>
      <c r="I129" s="233">
        <f>IF($A129="","",IF($H129&lt;=0,0,MAX(IF(AND('01_DANH_MUC'!$H119&gt;0,'01_DANH_MUC'!$G119&lt;&gt;""),MAX(0,$E$4-'01_DANH_MUC'!$G119),0),IFERROR(MAXIFS('02_NHAT_KY'!$L$7:$L$506,'02_NHAT_KY'!$C$7:$C$506,$A129),0))))</f>
        <v/>
      </c>
      <c r="J129" s="201">
        <f>IF($A129="","",IF($H129&lt;=0,"Không có dư nợ",IF($I129&gt;0,"Quá hạn","Trong hạn")))</f>
        <v/>
      </c>
      <c r="K129" s="232">
        <f>IF($A129="","",IF(AND('01_DANH_MUC'!$H119&gt;0,OR('01_DANH_MUC'!$G119="",'01_DANH_MUC'!$G119&gt;=$E$4)),'01_DANH_MUC'!$H119,0)+SUMIFS('02_NHAT_KY'!$K$7:$K$506,'02_NHAT_KY'!$C$7:$C$506,$A129,'02_NHAT_KY'!$J$7:$J$506,"&gt;="&amp;$E$4)+SUMIFS('02_NHAT_KY'!$K$7:$K$506,'02_NHAT_KY'!$C$7:$C$506,$A129,'02_NHAT_KY'!$J$7:$J$506,""))</f>
        <v/>
      </c>
      <c r="L129" s="232">
        <f>IF($A129="","",IF(AND('01_DANH_MUC'!$H119&gt;0,'01_DANH_MUC'!$G119&lt;$E$4,$E$4-'01_DANH_MUC'!$G119&lt;=30),'01_DANH_MUC'!$H119,0)+SUMIFS('02_NHAT_KY'!$K$7:$K$506,'02_NHAT_KY'!$C$7:$C$506,$A129,'02_NHAT_KY'!$L$7:$L$506,"&gt;=1",'02_NHAT_KY'!$L$7:$L$506,"&lt;=30"))</f>
        <v/>
      </c>
      <c r="M129" s="232">
        <f>IF($A129="","",IF(AND('01_DANH_MUC'!$H119&gt;0,'01_DANH_MUC'!$G119&lt;$E$4,$E$4-'01_DANH_MUC'!$G119&gt;=31,$E$4-'01_DANH_MUC'!$G119&lt;=60),'01_DANH_MUC'!$H119,0)+SUMIFS('02_NHAT_KY'!$K$7:$K$506,'02_NHAT_KY'!$C$7:$C$506,$A129,'02_NHAT_KY'!$L$7:$L$506,"&gt;=31",'02_NHAT_KY'!$L$7:$L$506,"&lt;=60"))</f>
        <v/>
      </c>
      <c r="N129" s="232">
        <f>IF($A129="","",IF(AND('01_DANH_MUC'!$H119&gt;0,'01_DANH_MUC'!$G119&lt;$E$4,$E$4-'01_DANH_MUC'!$G119&gt;=61,$E$4-'01_DANH_MUC'!$G119&lt;=90),'01_DANH_MUC'!$H119,0)+SUMIFS('02_NHAT_KY'!$K$7:$K$506,'02_NHAT_KY'!$C$7:$C$506,$A129,'02_NHAT_KY'!$L$7:$L$506,"&gt;=61",'02_NHAT_KY'!$L$7:$L$506,"&lt;=90"))</f>
        <v/>
      </c>
      <c r="O129" s="232">
        <f>IF($A129="","",IF(AND('01_DANH_MUC'!$H119&gt;0,'01_DANH_MUC'!$G119&lt;$E$4,$E$4-'01_DANH_MUC'!$G119&gt;90),'01_DANH_MUC'!$H119,0)+SUMIFS('02_NHAT_KY'!$K$7:$K$506,'02_NHAT_KY'!$C$7:$C$506,$A129,'02_NHAT_KY'!$L$7:$L$506,"&gt;90"))</f>
        <v/>
      </c>
      <c r="P129" s="201">
        <f>IF($A129="","",IF($H129&lt;0,"DƯ ÂM/TRẢ TRƯỚC",IF(ABS($H129-SUM($K129:$O129))&lt;1,"OK","LỆCH TUỔI NỢ")))</f>
        <v/>
      </c>
    </row>
    <row r="130">
      <c r="A130" s="201">
        <f>IF('01_DANH_MUC'!$A120="","",'01_DANH_MUC'!$A120)</f>
        <v/>
      </c>
      <c r="B130" s="198">
        <f>IF($A130="","",'01_DANH_MUC'!$B120)</f>
        <v/>
      </c>
      <c r="C130" s="201">
        <f>IF($A130="","",'01_DANH_MUC'!$C120)</f>
        <v/>
      </c>
      <c r="D130" s="231">
        <f>IF($A130="","",'01_DANH_MUC'!$D120)</f>
        <v/>
      </c>
      <c r="E130" s="232">
        <f>IF($A130="","",'01_DANH_MUC'!$F120+SUMIFS('02_NHAT_KY'!$G$7:$G$506,'02_NHAT_KY'!$C$7:$C$506,$A130,'02_NHAT_KY'!$A$7:$A$506,"&lt;"&amp;$B$4)-SUMIFS('02_NHAT_KY'!$H$7:$H$506,'02_NHAT_KY'!$C$7:$C$506,$A130,'02_NHAT_KY'!$A$7:$A$506,"&lt;"&amp;$B$4))</f>
        <v/>
      </c>
      <c r="F130" s="232">
        <f>IF($A130="","",SUMIFS('02_NHAT_KY'!$G$7:$G$506,'02_NHAT_KY'!$C$7:$C$506,$A130,'02_NHAT_KY'!$A$7:$A$506,"&gt;="&amp;$B$4,'02_NHAT_KY'!$A$7:$A$506,"&lt;="&amp;$E$4))</f>
        <v/>
      </c>
      <c r="G130" s="232">
        <f>IF($A130="","",SUMIFS('02_NHAT_KY'!$H$7:$H$506,'02_NHAT_KY'!$C$7:$C$506,$A130,'02_NHAT_KY'!$A$7:$A$506,"&gt;="&amp;$B$4,'02_NHAT_KY'!$A$7:$A$506,"&lt;="&amp;$E$4))</f>
        <v/>
      </c>
      <c r="H130" s="232">
        <f>IF($A130="","",$E130+$F130-$G130)</f>
        <v/>
      </c>
      <c r="I130" s="233">
        <f>IF($A130="","",IF($H130&lt;=0,0,MAX(IF(AND('01_DANH_MUC'!$H120&gt;0,'01_DANH_MUC'!$G120&lt;&gt;""),MAX(0,$E$4-'01_DANH_MUC'!$G120),0),IFERROR(MAXIFS('02_NHAT_KY'!$L$7:$L$506,'02_NHAT_KY'!$C$7:$C$506,$A130),0))))</f>
        <v/>
      </c>
      <c r="J130" s="201">
        <f>IF($A130="","",IF($H130&lt;=0,"Không có dư nợ",IF($I130&gt;0,"Quá hạn","Trong hạn")))</f>
        <v/>
      </c>
      <c r="K130" s="232">
        <f>IF($A130="","",IF(AND('01_DANH_MUC'!$H120&gt;0,OR('01_DANH_MUC'!$G120="",'01_DANH_MUC'!$G120&gt;=$E$4)),'01_DANH_MUC'!$H120,0)+SUMIFS('02_NHAT_KY'!$K$7:$K$506,'02_NHAT_KY'!$C$7:$C$506,$A130,'02_NHAT_KY'!$J$7:$J$506,"&gt;="&amp;$E$4)+SUMIFS('02_NHAT_KY'!$K$7:$K$506,'02_NHAT_KY'!$C$7:$C$506,$A130,'02_NHAT_KY'!$J$7:$J$506,""))</f>
        <v/>
      </c>
      <c r="L130" s="232">
        <f>IF($A130="","",IF(AND('01_DANH_MUC'!$H120&gt;0,'01_DANH_MUC'!$G120&lt;$E$4,$E$4-'01_DANH_MUC'!$G120&lt;=30),'01_DANH_MUC'!$H120,0)+SUMIFS('02_NHAT_KY'!$K$7:$K$506,'02_NHAT_KY'!$C$7:$C$506,$A130,'02_NHAT_KY'!$L$7:$L$506,"&gt;=1",'02_NHAT_KY'!$L$7:$L$506,"&lt;=30"))</f>
        <v/>
      </c>
      <c r="M130" s="232">
        <f>IF($A130="","",IF(AND('01_DANH_MUC'!$H120&gt;0,'01_DANH_MUC'!$G120&lt;$E$4,$E$4-'01_DANH_MUC'!$G120&gt;=31,$E$4-'01_DANH_MUC'!$G120&lt;=60),'01_DANH_MUC'!$H120,0)+SUMIFS('02_NHAT_KY'!$K$7:$K$506,'02_NHAT_KY'!$C$7:$C$506,$A130,'02_NHAT_KY'!$L$7:$L$506,"&gt;=31",'02_NHAT_KY'!$L$7:$L$506,"&lt;=60"))</f>
        <v/>
      </c>
      <c r="N130" s="232">
        <f>IF($A130="","",IF(AND('01_DANH_MUC'!$H120&gt;0,'01_DANH_MUC'!$G120&lt;$E$4,$E$4-'01_DANH_MUC'!$G120&gt;=61,$E$4-'01_DANH_MUC'!$G120&lt;=90),'01_DANH_MUC'!$H120,0)+SUMIFS('02_NHAT_KY'!$K$7:$K$506,'02_NHAT_KY'!$C$7:$C$506,$A130,'02_NHAT_KY'!$L$7:$L$506,"&gt;=61",'02_NHAT_KY'!$L$7:$L$506,"&lt;=90"))</f>
        <v/>
      </c>
      <c r="O130" s="232">
        <f>IF($A130="","",IF(AND('01_DANH_MUC'!$H120&gt;0,'01_DANH_MUC'!$G120&lt;$E$4,$E$4-'01_DANH_MUC'!$G120&gt;90),'01_DANH_MUC'!$H120,0)+SUMIFS('02_NHAT_KY'!$K$7:$K$506,'02_NHAT_KY'!$C$7:$C$506,$A130,'02_NHAT_KY'!$L$7:$L$506,"&gt;90"))</f>
        <v/>
      </c>
      <c r="P130" s="201">
        <f>IF($A130="","",IF($H130&lt;0,"DƯ ÂM/TRẢ TRƯỚC",IF(ABS($H130-SUM($K130:$O130))&lt;1,"OK","LỆCH TUỔI NỢ")))</f>
        <v/>
      </c>
    </row>
    <row r="131">
      <c r="A131" s="201">
        <f>IF('01_DANH_MUC'!$A121="","",'01_DANH_MUC'!$A121)</f>
        <v/>
      </c>
      <c r="B131" s="198">
        <f>IF($A131="","",'01_DANH_MUC'!$B121)</f>
        <v/>
      </c>
      <c r="C131" s="201">
        <f>IF($A131="","",'01_DANH_MUC'!$C121)</f>
        <v/>
      </c>
      <c r="D131" s="231">
        <f>IF($A131="","",'01_DANH_MUC'!$D121)</f>
        <v/>
      </c>
      <c r="E131" s="232">
        <f>IF($A131="","",'01_DANH_MUC'!$F121+SUMIFS('02_NHAT_KY'!$G$7:$G$506,'02_NHAT_KY'!$C$7:$C$506,$A131,'02_NHAT_KY'!$A$7:$A$506,"&lt;"&amp;$B$4)-SUMIFS('02_NHAT_KY'!$H$7:$H$506,'02_NHAT_KY'!$C$7:$C$506,$A131,'02_NHAT_KY'!$A$7:$A$506,"&lt;"&amp;$B$4))</f>
        <v/>
      </c>
      <c r="F131" s="232">
        <f>IF($A131="","",SUMIFS('02_NHAT_KY'!$G$7:$G$506,'02_NHAT_KY'!$C$7:$C$506,$A131,'02_NHAT_KY'!$A$7:$A$506,"&gt;="&amp;$B$4,'02_NHAT_KY'!$A$7:$A$506,"&lt;="&amp;$E$4))</f>
        <v/>
      </c>
      <c r="G131" s="232">
        <f>IF($A131="","",SUMIFS('02_NHAT_KY'!$H$7:$H$506,'02_NHAT_KY'!$C$7:$C$506,$A131,'02_NHAT_KY'!$A$7:$A$506,"&gt;="&amp;$B$4,'02_NHAT_KY'!$A$7:$A$506,"&lt;="&amp;$E$4))</f>
        <v/>
      </c>
      <c r="H131" s="232">
        <f>IF($A131="","",$E131+$F131-$G131)</f>
        <v/>
      </c>
      <c r="I131" s="233">
        <f>IF($A131="","",IF($H131&lt;=0,0,MAX(IF(AND('01_DANH_MUC'!$H121&gt;0,'01_DANH_MUC'!$G121&lt;&gt;""),MAX(0,$E$4-'01_DANH_MUC'!$G121),0),IFERROR(MAXIFS('02_NHAT_KY'!$L$7:$L$506,'02_NHAT_KY'!$C$7:$C$506,$A131),0))))</f>
        <v/>
      </c>
      <c r="J131" s="201">
        <f>IF($A131="","",IF($H131&lt;=0,"Không có dư nợ",IF($I131&gt;0,"Quá hạn","Trong hạn")))</f>
        <v/>
      </c>
      <c r="K131" s="232">
        <f>IF($A131="","",IF(AND('01_DANH_MUC'!$H121&gt;0,OR('01_DANH_MUC'!$G121="",'01_DANH_MUC'!$G121&gt;=$E$4)),'01_DANH_MUC'!$H121,0)+SUMIFS('02_NHAT_KY'!$K$7:$K$506,'02_NHAT_KY'!$C$7:$C$506,$A131,'02_NHAT_KY'!$J$7:$J$506,"&gt;="&amp;$E$4)+SUMIFS('02_NHAT_KY'!$K$7:$K$506,'02_NHAT_KY'!$C$7:$C$506,$A131,'02_NHAT_KY'!$J$7:$J$506,""))</f>
        <v/>
      </c>
      <c r="L131" s="232">
        <f>IF($A131="","",IF(AND('01_DANH_MUC'!$H121&gt;0,'01_DANH_MUC'!$G121&lt;$E$4,$E$4-'01_DANH_MUC'!$G121&lt;=30),'01_DANH_MUC'!$H121,0)+SUMIFS('02_NHAT_KY'!$K$7:$K$506,'02_NHAT_KY'!$C$7:$C$506,$A131,'02_NHAT_KY'!$L$7:$L$506,"&gt;=1",'02_NHAT_KY'!$L$7:$L$506,"&lt;=30"))</f>
        <v/>
      </c>
      <c r="M131" s="232">
        <f>IF($A131="","",IF(AND('01_DANH_MUC'!$H121&gt;0,'01_DANH_MUC'!$G121&lt;$E$4,$E$4-'01_DANH_MUC'!$G121&gt;=31,$E$4-'01_DANH_MUC'!$G121&lt;=60),'01_DANH_MUC'!$H121,0)+SUMIFS('02_NHAT_KY'!$K$7:$K$506,'02_NHAT_KY'!$C$7:$C$506,$A131,'02_NHAT_KY'!$L$7:$L$506,"&gt;=31",'02_NHAT_KY'!$L$7:$L$506,"&lt;=60"))</f>
        <v/>
      </c>
      <c r="N131" s="232">
        <f>IF($A131="","",IF(AND('01_DANH_MUC'!$H121&gt;0,'01_DANH_MUC'!$G121&lt;$E$4,$E$4-'01_DANH_MUC'!$G121&gt;=61,$E$4-'01_DANH_MUC'!$G121&lt;=90),'01_DANH_MUC'!$H121,0)+SUMIFS('02_NHAT_KY'!$K$7:$K$506,'02_NHAT_KY'!$C$7:$C$506,$A131,'02_NHAT_KY'!$L$7:$L$506,"&gt;=61",'02_NHAT_KY'!$L$7:$L$506,"&lt;=90"))</f>
        <v/>
      </c>
      <c r="O131" s="232">
        <f>IF($A131="","",IF(AND('01_DANH_MUC'!$H121&gt;0,'01_DANH_MUC'!$G121&lt;$E$4,$E$4-'01_DANH_MUC'!$G121&gt;90),'01_DANH_MUC'!$H121,0)+SUMIFS('02_NHAT_KY'!$K$7:$K$506,'02_NHAT_KY'!$C$7:$C$506,$A131,'02_NHAT_KY'!$L$7:$L$506,"&gt;90"))</f>
        <v/>
      </c>
      <c r="P131" s="201">
        <f>IF($A131="","",IF($H131&lt;0,"DƯ ÂM/TRẢ TRƯỚC",IF(ABS($H131-SUM($K131:$O131))&lt;1,"OK","LỆCH TUỔI NỢ")))</f>
        <v/>
      </c>
    </row>
    <row r="132">
      <c r="A132" s="201">
        <f>IF('01_DANH_MUC'!$A122="","",'01_DANH_MUC'!$A122)</f>
        <v/>
      </c>
      <c r="B132" s="198">
        <f>IF($A132="","",'01_DANH_MUC'!$B122)</f>
        <v/>
      </c>
      <c r="C132" s="201">
        <f>IF($A132="","",'01_DANH_MUC'!$C122)</f>
        <v/>
      </c>
      <c r="D132" s="231">
        <f>IF($A132="","",'01_DANH_MUC'!$D122)</f>
        <v/>
      </c>
      <c r="E132" s="232">
        <f>IF($A132="","",'01_DANH_MUC'!$F122+SUMIFS('02_NHAT_KY'!$G$7:$G$506,'02_NHAT_KY'!$C$7:$C$506,$A132,'02_NHAT_KY'!$A$7:$A$506,"&lt;"&amp;$B$4)-SUMIFS('02_NHAT_KY'!$H$7:$H$506,'02_NHAT_KY'!$C$7:$C$506,$A132,'02_NHAT_KY'!$A$7:$A$506,"&lt;"&amp;$B$4))</f>
        <v/>
      </c>
      <c r="F132" s="232">
        <f>IF($A132="","",SUMIFS('02_NHAT_KY'!$G$7:$G$506,'02_NHAT_KY'!$C$7:$C$506,$A132,'02_NHAT_KY'!$A$7:$A$506,"&gt;="&amp;$B$4,'02_NHAT_KY'!$A$7:$A$506,"&lt;="&amp;$E$4))</f>
        <v/>
      </c>
      <c r="G132" s="232">
        <f>IF($A132="","",SUMIFS('02_NHAT_KY'!$H$7:$H$506,'02_NHAT_KY'!$C$7:$C$506,$A132,'02_NHAT_KY'!$A$7:$A$506,"&gt;="&amp;$B$4,'02_NHAT_KY'!$A$7:$A$506,"&lt;="&amp;$E$4))</f>
        <v/>
      </c>
      <c r="H132" s="232">
        <f>IF($A132="","",$E132+$F132-$G132)</f>
        <v/>
      </c>
      <c r="I132" s="233">
        <f>IF($A132="","",IF($H132&lt;=0,0,MAX(IF(AND('01_DANH_MUC'!$H122&gt;0,'01_DANH_MUC'!$G122&lt;&gt;""),MAX(0,$E$4-'01_DANH_MUC'!$G122),0),IFERROR(MAXIFS('02_NHAT_KY'!$L$7:$L$506,'02_NHAT_KY'!$C$7:$C$506,$A132),0))))</f>
        <v/>
      </c>
      <c r="J132" s="201">
        <f>IF($A132="","",IF($H132&lt;=0,"Không có dư nợ",IF($I132&gt;0,"Quá hạn","Trong hạn")))</f>
        <v/>
      </c>
      <c r="K132" s="232">
        <f>IF($A132="","",IF(AND('01_DANH_MUC'!$H122&gt;0,OR('01_DANH_MUC'!$G122="",'01_DANH_MUC'!$G122&gt;=$E$4)),'01_DANH_MUC'!$H122,0)+SUMIFS('02_NHAT_KY'!$K$7:$K$506,'02_NHAT_KY'!$C$7:$C$506,$A132,'02_NHAT_KY'!$J$7:$J$506,"&gt;="&amp;$E$4)+SUMIFS('02_NHAT_KY'!$K$7:$K$506,'02_NHAT_KY'!$C$7:$C$506,$A132,'02_NHAT_KY'!$J$7:$J$506,""))</f>
        <v/>
      </c>
      <c r="L132" s="232">
        <f>IF($A132="","",IF(AND('01_DANH_MUC'!$H122&gt;0,'01_DANH_MUC'!$G122&lt;$E$4,$E$4-'01_DANH_MUC'!$G122&lt;=30),'01_DANH_MUC'!$H122,0)+SUMIFS('02_NHAT_KY'!$K$7:$K$506,'02_NHAT_KY'!$C$7:$C$506,$A132,'02_NHAT_KY'!$L$7:$L$506,"&gt;=1",'02_NHAT_KY'!$L$7:$L$506,"&lt;=30"))</f>
        <v/>
      </c>
      <c r="M132" s="232">
        <f>IF($A132="","",IF(AND('01_DANH_MUC'!$H122&gt;0,'01_DANH_MUC'!$G122&lt;$E$4,$E$4-'01_DANH_MUC'!$G122&gt;=31,$E$4-'01_DANH_MUC'!$G122&lt;=60),'01_DANH_MUC'!$H122,0)+SUMIFS('02_NHAT_KY'!$K$7:$K$506,'02_NHAT_KY'!$C$7:$C$506,$A132,'02_NHAT_KY'!$L$7:$L$506,"&gt;=31",'02_NHAT_KY'!$L$7:$L$506,"&lt;=60"))</f>
        <v/>
      </c>
      <c r="N132" s="232">
        <f>IF($A132="","",IF(AND('01_DANH_MUC'!$H122&gt;0,'01_DANH_MUC'!$G122&lt;$E$4,$E$4-'01_DANH_MUC'!$G122&gt;=61,$E$4-'01_DANH_MUC'!$G122&lt;=90),'01_DANH_MUC'!$H122,0)+SUMIFS('02_NHAT_KY'!$K$7:$K$506,'02_NHAT_KY'!$C$7:$C$506,$A132,'02_NHAT_KY'!$L$7:$L$506,"&gt;=61",'02_NHAT_KY'!$L$7:$L$506,"&lt;=90"))</f>
        <v/>
      </c>
      <c r="O132" s="232">
        <f>IF($A132="","",IF(AND('01_DANH_MUC'!$H122&gt;0,'01_DANH_MUC'!$G122&lt;$E$4,$E$4-'01_DANH_MUC'!$G122&gt;90),'01_DANH_MUC'!$H122,0)+SUMIFS('02_NHAT_KY'!$K$7:$K$506,'02_NHAT_KY'!$C$7:$C$506,$A132,'02_NHAT_KY'!$L$7:$L$506,"&gt;90"))</f>
        <v/>
      </c>
      <c r="P132" s="201">
        <f>IF($A132="","",IF($H132&lt;0,"DƯ ÂM/TRẢ TRƯỚC",IF(ABS($H132-SUM($K132:$O132))&lt;1,"OK","LỆCH TUỔI NỢ")))</f>
        <v/>
      </c>
    </row>
    <row r="133">
      <c r="A133" s="201">
        <f>IF('01_DANH_MUC'!$A123="","",'01_DANH_MUC'!$A123)</f>
        <v/>
      </c>
      <c r="B133" s="198">
        <f>IF($A133="","",'01_DANH_MUC'!$B123)</f>
        <v/>
      </c>
      <c r="C133" s="201">
        <f>IF($A133="","",'01_DANH_MUC'!$C123)</f>
        <v/>
      </c>
      <c r="D133" s="231">
        <f>IF($A133="","",'01_DANH_MUC'!$D123)</f>
        <v/>
      </c>
      <c r="E133" s="232">
        <f>IF($A133="","",'01_DANH_MUC'!$F123+SUMIFS('02_NHAT_KY'!$G$7:$G$506,'02_NHAT_KY'!$C$7:$C$506,$A133,'02_NHAT_KY'!$A$7:$A$506,"&lt;"&amp;$B$4)-SUMIFS('02_NHAT_KY'!$H$7:$H$506,'02_NHAT_KY'!$C$7:$C$506,$A133,'02_NHAT_KY'!$A$7:$A$506,"&lt;"&amp;$B$4))</f>
        <v/>
      </c>
      <c r="F133" s="232">
        <f>IF($A133="","",SUMIFS('02_NHAT_KY'!$G$7:$G$506,'02_NHAT_KY'!$C$7:$C$506,$A133,'02_NHAT_KY'!$A$7:$A$506,"&gt;="&amp;$B$4,'02_NHAT_KY'!$A$7:$A$506,"&lt;="&amp;$E$4))</f>
        <v/>
      </c>
      <c r="G133" s="232">
        <f>IF($A133="","",SUMIFS('02_NHAT_KY'!$H$7:$H$506,'02_NHAT_KY'!$C$7:$C$506,$A133,'02_NHAT_KY'!$A$7:$A$506,"&gt;="&amp;$B$4,'02_NHAT_KY'!$A$7:$A$506,"&lt;="&amp;$E$4))</f>
        <v/>
      </c>
      <c r="H133" s="232">
        <f>IF($A133="","",$E133+$F133-$G133)</f>
        <v/>
      </c>
      <c r="I133" s="233">
        <f>IF($A133="","",IF($H133&lt;=0,0,MAX(IF(AND('01_DANH_MUC'!$H123&gt;0,'01_DANH_MUC'!$G123&lt;&gt;""),MAX(0,$E$4-'01_DANH_MUC'!$G123),0),IFERROR(MAXIFS('02_NHAT_KY'!$L$7:$L$506,'02_NHAT_KY'!$C$7:$C$506,$A133),0))))</f>
        <v/>
      </c>
      <c r="J133" s="201">
        <f>IF($A133="","",IF($H133&lt;=0,"Không có dư nợ",IF($I133&gt;0,"Quá hạn","Trong hạn")))</f>
        <v/>
      </c>
      <c r="K133" s="232">
        <f>IF($A133="","",IF(AND('01_DANH_MUC'!$H123&gt;0,OR('01_DANH_MUC'!$G123="",'01_DANH_MUC'!$G123&gt;=$E$4)),'01_DANH_MUC'!$H123,0)+SUMIFS('02_NHAT_KY'!$K$7:$K$506,'02_NHAT_KY'!$C$7:$C$506,$A133,'02_NHAT_KY'!$J$7:$J$506,"&gt;="&amp;$E$4)+SUMIFS('02_NHAT_KY'!$K$7:$K$506,'02_NHAT_KY'!$C$7:$C$506,$A133,'02_NHAT_KY'!$J$7:$J$506,""))</f>
        <v/>
      </c>
      <c r="L133" s="232">
        <f>IF($A133="","",IF(AND('01_DANH_MUC'!$H123&gt;0,'01_DANH_MUC'!$G123&lt;$E$4,$E$4-'01_DANH_MUC'!$G123&lt;=30),'01_DANH_MUC'!$H123,0)+SUMIFS('02_NHAT_KY'!$K$7:$K$506,'02_NHAT_KY'!$C$7:$C$506,$A133,'02_NHAT_KY'!$L$7:$L$506,"&gt;=1",'02_NHAT_KY'!$L$7:$L$506,"&lt;=30"))</f>
        <v/>
      </c>
      <c r="M133" s="232">
        <f>IF($A133="","",IF(AND('01_DANH_MUC'!$H123&gt;0,'01_DANH_MUC'!$G123&lt;$E$4,$E$4-'01_DANH_MUC'!$G123&gt;=31,$E$4-'01_DANH_MUC'!$G123&lt;=60),'01_DANH_MUC'!$H123,0)+SUMIFS('02_NHAT_KY'!$K$7:$K$506,'02_NHAT_KY'!$C$7:$C$506,$A133,'02_NHAT_KY'!$L$7:$L$506,"&gt;=31",'02_NHAT_KY'!$L$7:$L$506,"&lt;=60"))</f>
        <v/>
      </c>
      <c r="N133" s="232">
        <f>IF($A133="","",IF(AND('01_DANH_MUC'!$H123&gt;0,'01_DANH_MUC'!$G123&lt;$E$4,$E$4-'01_DANH_MUC'!$G123&gt;=61,$E$4-'01_DANH_MUC'!$G123&lt;=90),'01_DANH_MUC'!$H123,0)+SUMIFS('02_NHAT_KY'!$K$7:$K$506,'02_NHAT_KY'!$C$7:$C$506,$A133,'02_NHAT_KY'!$L$7:$L$506,"&gt;=61",'02_NHAT_KY'!$L$7:$L$506,"&lt;=90"))</f>
        <v/>
      </c>
      <c r="O133" s="232">
        <f>IF($A133="","",IF(AND('01_DANH_MUC'!$H123&gt;0,'01_DANH_MUC'!$G123&lt;$E$4,$E$4-'01_DANH_MUC'!$G123&gt;90),'01_DANH_MUC'!$H123,0)+SUMIFS('02_NHAT_KY'!$K$7:$K$506,'02_NHAT_KY'!$C$7:$C$506,$A133,'02_NHAT_KY'!$L$7:$L$506,"&gt;90"))</f>
        <v/>
      </c>
      <c r="P133" s="201">
        <f>IF($A133="","",IF($H133&lt;0,"DƯ ÂM/TRẢ TRƯỚC",IF(ABS($H133-SUM($K133:$O133))&lt;1,"OK","LỆCH TUỔI NỢ")))</f>
        <v/>
      </c>
    </row>
    <row r="134">
      <c r="A134" s="201">
        <f>IF('01_DANH_MUC'!$A124="","",'01_DANH_MUC'!$A124)</f>
        <v/>
      </c>
      <c r="B134" s="198">
        <f>IF($A134="","",'01_DANH_MUC'!$B124)</f>
        <v/>
      </c>
      <c r="C134" s="201">
        <f>IF($A134="","",'01_DANH_MUC'!$C124)</f>
        <v/>
      </c>
      <c r="D134" s="231">
        <f>IF($A134="","",'01_DANH_MUC'!$D124)</f>
        <v/>
      </c>
      <c r="E134" s="232">
        <f>IF($A134="","",'01_DANH_MUC'!$F124+SUMIFS('02_NHAT_KY'!$G$7:$G$506,'02_NHAT_KY'!$C$7:$C$506,$A134,'02_NHAT_KY'!$A$7:$A$506,"&lt;"&amp;$B$4)-SUMIFS('02_NHAT_KY'!$H$7:$H$506,'02_NHAT_KY'!$C$7:$C$506,$A134,'02_NHAT_KY'!$A$7:$A$506,"&lt;"&amp;$B$4))</f>
        <v/>
      </c>
      <c r="F134" s="232">
        <f>IF($A134="","",SUMIFS('02_NHAT_KY'!$G$7:$G$506,'02_NHAT_KY'!$C$7:$C$506,$A134,'02_NHAT_KY'!$A$7:$A$506,"&gt;="&amp;$B$4,'02_NHAT_KY'!$A$7:$A$506,"&lt;="&amp;$E$4))</f>
        <v/>
      </c>
      <c r="G134" s="232">
        <f>IF($A134="","",SUMIFS('02_NHAT_KY'!$H$7:$H$506,'02_NHAT_KY'!$C$7:$C$506,$A134,'02_NHAT_KY'!$A$7:$A$506,"&gt;="&amp;$B$4,'02_NHAT_KY'!$A$7:$A$506,"&lt;="&amp;$E$4))</f>
        <v/>
      </c>
      <c r="H134" s="232">
        <f>IF($A134="","",$E134+$F134-$G134)</f>
        <v/>
      </c>
      <c r="I134" s="233">
        <f>IF($A134="","",IF($H134&lt;=0,0,MAX(IF(AND('01_DANH_MUC'!$H124&gt;0,'01_DANH_MUC'!$G124&lt;&gt;""),MAX(0,$E$4-'01_DANH_MUC'!$G124),0),IFERROR(MAXIFS('02_NHAT_KY'!$L$7:$L$506,'02_NHAT_KY'!$C$7:$C$506,$A134),0))))</f>
        <v/>
      </c>
      <c r="J134" s="201">
        <f>IF($A134="","",IF($H134&lt;=0,"Không có dư nợ",IF($I134&gt;0,"Quá hạn","Trong hạn")))</f>
        <v/>
      </c>
      <c r="K134" s="232">
        <f>IF($A134="","",IF(AND('01_DANH_MUC'!$H124&gt;0,OR('01_DANH_MUC'!$G124="",'01_DANH_MUC'!$G124&gt;=$E$4)),'01_DANH_MUC'!$H124,0)+SUMIFS('02_NHAT_KY'!$K$7:$K$506,'02_NHAT_KY'!$C$7:$C$506,$A134,'02_NHAT_KY'!$J$7:$J$506,"&gt;="&amp;$E$4)+SUMIFS('02_NHAT_KY'!$K$7:$K$506,'02_NHAT_KY'!$C$7:$C$506,$A134,'02_NHAT_KY'!$J$7:$J$506,""))</f>
        <v/>
      </c>
      <c r="L134" s="232">
        <f>IF($A134="","",IF(AND('01_DANH_MUC'!$H124&gt;0,'01_DANH_MUC'!$G124&lt;$E$4,$E$4-'01_DANH_MUC'!$G124&lt;=30),'01_DANH_MUC'!$H124,0)+SUMIFS('02_NHAT_KY'!$K$7:$K$506,'02_NHAT_KY'!$C$7:$C$506,$A134,'02_NHAT_KY'!$L$7:$L$506,"&gt;=1",'02_NHAT_KY'!$L$7:$L$506,"&lt;=30"))</f>
        <v/>
      </c>
      <c r="M134" s="232">
        <f>IF($A134="","",IF(AND('01_DANH_MUC'!$H124&gt;0,'01_DANH_MUC'!$G124&lt;$E$4,$E$4-'01_DANH_MUC'!$G124&gt;=31,$E$4-'01_DANH_MUC'!$G124&lt;=60),'01_DANH_MUC'!$H124,0)+SUMIFS('02_NHAT_KY'!$K$7:$K$506,'02_NHAT_KY'!$C$7:$C$506,$A134,'02_NHAT_KY'!$L$7:$L$506,"&gt;=31",'02_NHAT_KY'!$L$7:$L$506,"&lt;=60"))</f>
        <v/>
      </c>
      <c r="N134" s="232">
        <f>IF($A134="","",IF(AND('01_DANH_MUC'!$H124&gt;0,'01_DANH_MUC'!$G124&lt;$E$4,$E$4-'01_DANH_MUC'!$G124&gt;=61,$E$4-'01_DANH_MUC'!$G124&lt;=90),'01_DANH_MUC'!$H124,0)+SUMIFS('02_NHAT_KY'!$K$7:$K$506,'02_NHAT_KY'!$C$7:$C$506,$A134,'02_NHAT_KY'!$L$7:$L$506,"&gt;=61",'02_NHAT_KY'!$L$7:$L$506,"&lt;=90"))</f>
        <v/>
      </c>
      <c r="O134" s="232">
        <f>IF($A134="","",IF(AND('01_DANH_MUC'!$H124&gt;0,'01_DANH_MUC'!$G124&lt;$E$4,$E$4-'01_DANH_MUC'!$G124&gt;90),'01_DANH_MUC'!$H124,0)+SUMIFS('02_NHAT_KY'!$K$7:$K$506,'02_NHAT_KY'!$C$7:$C$506,$A134,'02_NHAT_KY'!$L$7:$L$506,"&gt;90"))</f>
        <v/>
      </c>
      <c r="P134" s="201">
        <f>IF($A134="","",IF($H134&lt;0,"DƯ ÂM/TRẢ TRƯỚC",IF(ABS($H134-SUM($K134:$O134))&lt;1,"OK","LỆCH TUỔI NỢ")))</f>
        <v/>
      </c>
    </row>
    <row r="135">
      <c r="A135" s="201">
        <f>IF('01_DANH_MUC'!$A125="","",'01_DANH_MUC'!$A125)</f>
        <v/>
      </c>
      <c r="B135" s="198">
        <f>IF($A135="","",'01_DANH_MUC'!$B125)</f>
        <v/>
      </c>
      <c r="C135" s="201">
        <f>IF($A135="","",'01_DANH_MUC'!$C125)</f>
        <v/>
      </c>
      <c r="D135" s="231">
        <f>IF($A135="","",'01_DANH_MUC'!$D125)</f>
        <v/>
      </c>
      <c r="E135" s="232">
        <f>IF($A135="","",'01_DANH_MUC'!$F125+SUMIFS('02_NHAT_KY'!$G$7:$G$506,'02_NHAT_KY'!$C$7:$C$506,$A135,'02_NHAT_KY'!$A$7:$A$506,"&lt;"&amp;$B$4)-SUMIFS('02_NHAT_KY'!$H$7:$H$506,'02_NHAT_KY'!$C$7:$C$506,$A135,'02_NHAT_KY'!$A$7:$A$506,"&lt;"&amp;$B$4))</f>
        <v/>
      </c>
      <c r="F135" s="232">
        <f>IF($A135="","",SUMIFS('02_NHAT_KY'!$G$7:$G$506,'02_NHAT_KY'!$C$7:$C$506,$A135,'02_NHAT_KY'!$A$7:$A$506,"&gt;="&amp;$B$4,'02_NHAT_KY'!$A$7:$A$506,"&lt;="&amp;$E$4))</f>
        <v/>
      </c>
      <c r="G135" s="232">
        <f>IF($A135="","",SUMIFS('02_NHAT_KY'!$H$7:$H$506,'02_NHAT_KY'!$C$7:$C$506,$A135,'02_NHAT_KY'!$A$7:$A$506,"&gt;="&amp;$B$4,'02_NHAT_KY'!$A$7:$A$506,"&lt;="&amp;$E$4))</f>
        <v/>
      </c>
      <c r="H135" s="232">
        <f>IF($A135="","",$E135+$F135-$G135)</f>
        <v/>
      </c>
      <c r="I135" s="233">
        <f>IF($A135="","",IF($H135&lt;=0,0,MAX(IF(AND('01_DANH_MUC'!$H125&gt;0,'01_DANH_MUC'!$G125&lt;&gt;""),MAX(0,$E$4-'01_DANH_MUC'!$G125),0),IFERROR(MAXIFS('02_NHAT_KY'!$L$7:$L$506,'02_NHAT_KY'!$C$7:$C$506,$A135),0))))</f>
        <v/>
      </c>
      <c r="J135" s="201">
        <f>IF($A135="","",IF($H135&lt;=0,"Không có dư nợ",IF($I135&gt;0,"Quá hạn","Trong hạn")))</f>
        <v/>
      </c>
      <c r="K135" s="232">
        <f>IF($A135="","",IF(AND('01_DANH_MUC'!$H125&gt;0,OR('01_DANH_MUC'!$G125="",'01_DANH_MUC'!$G125&gt;=$E$4)),'01_DANH_MUC'!$H125,0)+SUMIFS('02_NHAT_KY'!$K$7:$K$506,'02_NHAT_KY'!$C$7:$C$506,$A135,'02_NHAT_KY'!$J$7:$J$506,"&gt;="&amp;$E$4)+SUMIFS('02_NHAT_KY'!$K$7:$K$506,'02_NHAT_KY'!$C$7:$C$506,$A135,'02_NHAT_KY'!$J$7:$J$506,""))</f>
        <v/>
      </c>
      <c r="L135" s="232">
        <f>IF($A135="","",IF(AND('01_DANH_MUC'!$H125&gt;0,'01_DANH_MUC'!$G125&lt;$E$4,$E$4-'01_DANH_MUC'!$G125&lt;=30),'01_DANH_MUC'!$H125,0)+SUMIFS('02_NHAT_KY'!$K$7:$K$506,'02_NHAT_KY'!$C$7:$C$506,$A135,'02_NHAT_KY'!$L$7:$L$506,"&gt;=1",'02_NHAT_KY'!$L$7:$L$506,"&lt;=30"))</f>
        <v/>
      </c>
      <c r="M135" s="232">
        <f>IF($A135="","",IF(AND('01_DANH_MUC'!$H125&gt;0,'01_DANH_MUC'!$G125&lt;$E$4,$E$4-'01_DANH_MUC'!$G125&gt;=31,$E$4-'01_DANH_MUC'!$G125&lt;=60),'01_DANH_MUC'!$H125,0)+SUMIFS('02_NHAT_KY'!$K$7:$K$506,'02_NHAT_KY'!$C$7:$C$506,$A135,'02_NHAT_KY'!$L$7:$L$506,"&gt;=31",'02_NHAT_KY'!$L$7:$L$506,"&lt;=60"))</f>
        <v/>
      </c>
      <c r="N135" s="232">
        <f>IF($A135="","",IF(AND('01_DANH_MUC'!$H125&gt;0,'01_DANH_MUC'!$G125&lt;$E$4,$E$4-'01_DANH_MUC'!$G125&gt;=61,$E$4-'01_DANH_MUC'!$G125&lt;=90),'01_DANH_MUC'!$H125,0)+SUMIFS('02_NHAT_KY'!$K$7:$K$506,'02_NHAT_KY'!$C$7:$C$506,$A135,'02_NHAT_KY'!$L$7:$L$506,"&gt;=61",'02_NHAT_KY'!$L$7:$L$506,"&lt;=90"))</f>
        <v/>
      </c>
      <c r="O135" s="232">
        <f>IF($A135="","",IF(AND('01_DANH_MUC'!$H125&gt;0,'01_DANH_MUC'!$G125&lt;$E$4,$E$4-'01_DANH_MUC'!$G125&gt;90),'01_DANH_MUC'!$H125,0)+SUMIFS('02_NHAT_KY'!$K$7:$K$506,'02_NHAT_KY'!$C$7:$C$506,$A135,'02_NHAT_KY'!$L$7:$L$506,"&gt;90"))</f>
        <v/>
      </c>
      <c r="P135" s="201">
        <f>IF($A135="","",IF($H135&lt;0,"DƯ ÂM/TRẢ TRƯỚC",IF(ABS($H135-SUM($K135:$O135))&lt;1,"OK","LỆCH TUỔI NỢ")))</f>
        <v/>
      </c>
    </row>
    <row r="136">
      <c r="A136" s="201">
        <f>IF('01_DANH_MUC'!$A126="","",'01_DANH_MUC'!$A126)</f>
        <v/>
      </c>
      <c r="B136" s="198">
        <f>IF($A136="","",'01_DANH_MUC'!$B126)</f>
        <v/>
      </c>
      <c r="C136" s="201">
        <f>IF($A136="","",'01_DANH_MUC'!$C126)</f>
        <v/>
      </c>
      <c r="D136" s="231">
        <f>IF($A136="","",'01_DANH_MUC'!$D126)</f>
        <v/>
      </c>
      <c r="E136" s="232">
        <f>IF($A136="","",'01_DANH_MUC'!$F126+SUMIFS('02_NHAT_KY'!$G$7:$G$506,'02_NHAT_KY'!$C$7:$C$506,$A136,'02_NHAT_KY'!$A$7:$A$506,"&lt;"&amp;$B$4)-SUMIFS('02_NHAT_KY'!$H$7:$H$506,'02_NHAT_KY'!$C$7:$C$506,$A136,'02_NHAT_KY'!$A$7:$A$506,"&lt;"&amp;$B$4))</f>
        <v/>
      </c>
      <c r="F136" s="232">
        <f>IF($A136="","",SUMIFS('02_NHAT_KY'!$G$7:$G$506,'02_NHAT_KY'!$C$7:$C$506,$A136,'02_NHAT_KY'!$A$7:$A$506,"&gt;="&amp;$B$4,'02_NHAT_KY'!$A$7:$A$506,"&lt;="&amp;$E$4))</f>
        <v/>
      </c>
      <c r="G136" s="232">
        <f>IF($A136="","",SUMIFS('02_NHAT_KY'!$H$7:$H$506,'02_NHAT_KY'!$C$7:$C$506,$A136,'02_NHAT_KY'!$A$7:$A$506,"&gt;="&amp;$B$4,'02_NHAT_KY'!$A$7:$A$506,"&lt;="&amp;$E$4))</f>
        <v/>
      </c>
      <c r="H136" s="232">
        <f>IF($A136="","",$E136+$F136-$G136)</f>
        <v/>
      </c>
      <c r="I136" s="233">
        <f>IF($A136="","",IF($H136&lt;=0,0,MAX(IF(AND('01_DANH_MUC'!$H126&gt;0,'01_DANH_MUC'!$G126&lt;&gt;""),MAX(0,$E$4-'01_DANH_MUC'!$G126),0),IFERROR(MAXIFS('02_NHAT_KY'!$L$7:$L$506,'02_NHAT_KY'!$C$7:$C$506,$A136),0))))</f>
        <v/>
      </c>
      <c r="J136" s="201">
        <f>IF($A136="","",IF($H136&lt;=0,"Không có dư nợ",IF($I136&gt;0,"Quá hạn","Trong hạn")))</f>
        <v/>
      </c>
      <c r="K136" s="232">
        <f>IF($A136="","",IF(AND('01_DANH_MUC'!$H126&gt;0,OR('01_DANH_MUC'!$G126="",'01_DANH_MUC'!$G126&gt;=$E$4)),'01_DANH_MUC'!$H126,0)+SUMIFS('02_NHAT_KY'!$K$7:$K$506,'02_NHAT_KY'!$C$7:$C$506,$A136,'02_NHAT_KY'!$J$7:$J$506,"&gt;="&amp;$E$4)+SUMIFS('02_NHAT_KY'!$K$7:$K$506,'02_NHAT_KY'!$C$7:$C$506,$A136,'02_NHAT_KY'!$J$7:$J$506,""))</f>
        <v/>
      </c>
      <c r="L136" s="232">
        <f>IF($A136="","",IF(AND('01_DANH_MUC'!$H126&gt;0,'01_DANH_MUC'!$G126&lt;$E$4,$E$4-'01_DANH_MUC'!$G126&lt;=30),'01_DANH_MUC'!$H126,0)+SUMIFS('02_NHAT_KY'!$K$7:$K$506,'02_NHAT_KY'!$C$7:$C$506,$A136,'02_NHAT_KY'!$L$7:$L$506,"&gt;=1",'02_NHAT_KY'!$L$7:$L$506,"&lt;=30"))</f>
        <v/>
      </c>
      <c r="M136" s="232">
        <f>IF($A136="","",IF(AND('01_DANH_MUC'!$H126&gt;0,'01_DANH_MUC'!$G126&lt;$E$4,$E$4-'01_DANH_MUC'!$G126&gt;=31,$E$4-'01_DANH_MUC'!$G126&lt;=60),'01_DANH_MUC'!$H126,0)+SUMIFS('02_NHAT_KY'!$K$7:$K$506,'02_NHAT_KY'!$C$7:$C$506,$A136,'02_NHAT_KY'!$L$7:$L$506,"&gt;=31",'02_NHAT_KY'!$L$7:$L$506,"&lt;=60"))</f>
        <v/>
      </c>
      <c r="N136" s="232">
        <f>IF($A136="","",IF(AND('01_DANH_MUC'!$H126&gt;0,'01_DANH_MUC'!$G126&lt;$E$4,$E$4-'01_DANH_MUC'!$G126&gt;=61,$E$4-'01_DANH_MUC'!$G126&lt;=90),'01_DANH_MUC'!$H126,0)+SUMIFS('02_NHAT_KY'!$K$7:$K$506,'02_NHAT_KY'!$C$7:$C$506,$A136,'02_NHAT_KY'!$L$7:$L$506,"&gt;=61",'02_NHAT_KY'!$L$7:$L$506,"&lt;=90"))</f>
        <v/>
      </c>
      <c r="O136" s="232">
        <f>IF($A136="","",IF(AND('01_DANH_MUC'!$H126&gt;0,'01_DANH_MUC'!$G126&lt;$E$4,$E$4-'01_DANH_MUC'!$G126&gt;90),'01_DANH_MUC'!$H126,0)+SUMIFS('02_NHAT_KY'!$K$7:$K$506,'02_NHAT_KY'!$C$7:$C$506,$A136,'02_NHAT_KY'!$L$7:$L$506,"&gt;90"))</f>
        <v/>
      </c>
      <c r="P136" s="201">
        <f>IF($A136="","",IF($H136&lt;0,"DƯ ÂM/TRẢ TRƯỚC",IF(ABS($H136-SUM($K136:$O136))&lt;1,"OK","LỆCH TUỔI NỢ")))</f>
        <v/>
      </c>
    </row>
    <row r="137">
      <c r="A137" s="201">
        <f>IF('01_DANH_MUC'!$A127="","",'01_DANH_MUC'!$A127)</f>
        <v/>
      </c>
      <c r="B137" s="198">
        <f>IF($A137="","",'01_DANH_MUC'!$B127)</f>
        <v/>
      </c>
      <c r="C137" s="201">
        <f>IF($A137="","",'01_DANH_MUC'!$C127)</f>
        <v/>
      </c>
      <c r="D137" s="231">
        <f>IF($A137="","",'01_DANH_MUC'!$D127)</f>
        <v/>
      </c>
      <c r="E137" s="232">
        <f>IF($A137="","",'01_DANH_MUC'!$F127+SUMIFS('02_NHAT_KY'!$G$7:$G$506,'02_NHAT_KY'!$C$7:$C$506,$A137,'02_NHAT_KY'!$A$7:$A$506,"&lt;"&amp;$B$4)-SUMIFS('02_NHAT_KY'!$H$7:$H$506,'02_NHAT_KY'!$C$7:$C$506,$A137,'02_NHAT_KY'!$A$7:$A$506,"&lt;"&amp;$B$4))</f>
        <v/>
      </c>
      <c r="F137" s="232">
        <f>IF($A137="","",SUMIFS('02_NHAT_KY'!$G$7:$G$506,'02_NHAT_KY'!$C$7:$C$506,$A137,'02_NHAT_KY'!$A$7:$A$506,"&gt;="&amp;$B$4,'02_NHAT_KY'!$A$7:$A$506,"&lt;="&amp;$E$4))</f>
        <v/>
      </c>
      <c r="G137" s="232">
        <f>IF($A137="","",SUMIFS('02_NHAT_KY'!$H$7:$H$506,'02_NHAT_KY'!$C$7:$C$506,$A137,'02_NHAT_KY'!$A$7:$A$506,"&gt;="&amp;$B$4,'02_NHAT_KY'!$A$7:$A$506,"&lt;="&amp;$E$4))</f>
        <v/>
      </c>
      <c r="H137" s="232">
        <f>IF($A137="","",$E137+$F137-$G137)</f>
        <v/>
      </c>
      <c r="I137" s="233">
        <f>IF($A137="","",IF($H137&lt;=0,0,MAX(IF(AND('01_DANH_MUC'!$H127&gt;0,'01_DANH_MUC'!$G127&lt;&gt;""),MAX(0,$E$4-'01_DANH_MUC'!$G127),0),IFERROR(MAXIFS('02_NHAT_KY'!$L$7:$L$506,'02_NHAT_KY'!$C$7:$C$506,$A137),0))))</f>
        <v/>
      </c>
      <c r="J137" s="201">
        <f>IF($A137="","",IF($H137&lt;=0,"Không có dư nợ",IF($I137&gt;0,"Quá hạn","Trong hạn")))</f>
        <v/>
      </c>
      <c r="K137" s="232">
        <f>IF($A137="","",IF(AND('01_DANH_MUC'!$H127&gt;0,OR('01_DANH_MUC'!$G127="",'01_DANH_MUC'!$G127&gt;=$E$4)),'01_DANH_MUC'!$H127,0)+SUMIFS('02_NHAT_KY'!$K$7:$K$506,'02_NHAT_KY'!$C$7:$C$506,$A137,'02_NHAT_KY'!$J$7:$J$506,"&gt;="&amp;$E$4)+SUMIFS('02_NHAT_KY'!$K$7:$K$506,'02_NHAT_KY'!$C$7:$C$506,$A137,'02_NHAT_KY'!$J$7:$J$506,""))</f>
        <v/>
      </c>
      <c r="L137" s="232">
        <f>IF($A137="","",IF(AND('01_DANH_MUC'!$H127&gt;0,'01_DANH_MUC'!$G127&lt;$E$4,$E$4-'01_DANH_MUC'!$G127&lt;=30),'01_DANH_MUC'!$H127,0)+SUMIFS('02_NHAT_KY'!$K$7:$K$506,'02_NHAT_KY'!$C$7:$C$506,$A137,'02_NHAT_KY'!$L$7:$L$506,"&gt;=1",'02_NHAT_KY'!$L$7:$L$506,"&lt;=30"))</f>
        <v/>
      </c>
      <c r="M137" s="232">
        <f>IF($A137="","",IF(AND('01_DANH_MUC'!$H127&gt;0,'01_DANH_MUC'!$G127&lt;$E$4,$E$4-'01_DANH_MUC'!$G127&gt;=31,$E$4-'01_DANH_MUC'!$G127&lt;=60),'01_DANH_MUC'!$H127,0)+SUMIFS('02_NHAT_KY'!$K$7:$K$506,'02_NHAT_KY'!$C$7:$C$506,$A137,'02_NHAT_KY'!$L$7:$L$506,"&gt;=31",'02_NHAT_KY'!$L$7:$L$506,"&lt;=60"))</f>
        <v/>
      </c>
      <c r="N137" s="232">
        <f>IF($A137="","",IF(AND('01_DANH_MUC'!$H127&gt;0,'01_DANH_MUC'!$G127&lt;$E$4,$E$4-'01_DANH_MUC'!$G127&gt;=61,$E$4-'01_DANH_MUC'!$G127&lt;=90),'01_DANH_MUC'!$H127,0)+SUMIFS('02_NHAT_KY'!$K$7:$K$506,'02_NHAT_KY'!$C$7:$C$506,$A137,'02_NHAT_KY'!$L$7:$L$506,"&gt;=61",'02_NHAT_KY'!$L$7:$L$506,"&lt;=90"))</f>
        <v/>
      </c>
      <c r="O137" s="232">
        <f>IF($A137="","",IF(AND('01_DANH_MUC'!$H127&gt;0,'01_DANH_MUC'!$G127&lt;$E$4,$E$4-'01_DANH_MUC'!$G127&gt;90),'01_DANH_MUC'!$H127,0)+SUMIFS('02_NHAT_KY'!$K$7:$K$506,'02_NHAT_KY'!$C$7:$C$506,$A137,'02_NHAT_KY'!$L$7:$L$506,"&gt;90"))</f>
        <v/>
      </c>
      <c r="P137" s="201">
        <f>IF($A137="","",IF($H137&lt;0,"DƯ ÂM/TRẢ TRƯỚC",IF(ABS($H137-SUM($K137:$O137))&lt;1,"OK","LỆCH TUỔI NỢ")))</f>
        <v/>
      </c>
    </row>
    <row r="138">
      <c r="A138" s="201">
        <f>IF('01_DANH_MUC'!$A128="","",'01_DANH_MUC'!$A128)</f>
        <v/>
      </c>
      <c r="B138" s="198">
        <f>IF($A138="","",'01_DANH_MUC'!$B128)</f>
        <v/>
      </c>
      <c r="C138" s="201">
        <f>IF($A138="","",'01_DANH_MUC'!$C128)</f>
        <v/>
      </c>
      <c r="D138" s="231">
        <f>IF($A138="","",'01_DANH_MUC'!$D128)</f>
        <v/>
      </c>
      <c r="E138" s="232">
        <f>IF($A138="","",'01_DANH_MUC'!$F128+SUMIFS('02_NHAT_KY'!$G$7:$G$506,'02_NHAT_KY'!$C$7:$C$506,$A138,'02_NHAT_KY'!$A$7:$A$506,"&lt;"&amp;$B$4)-SUMIFS('02_NHAT_KY'!$H$7:$H$506,'02_NHAT_KY'!$C$7:$C$506,$A138,'02_NHAT_KY'!$A$7:$A$506,"&lt;"&amp;$B$4))</f>
        <v/>
      </c>
      <c r="F138" s="232">
        <f>IF($A138="","",SUMIFS('02_NHAT_KY'!$G$7:$G$506,'02_NHAT_KY'!$C$7:$C$506,$A138,'02_NHAT_KY'!$A$7:$A$506,"&gt;="&amp;$B$4,'02_NHAT_KY'!$A$7:$A$506,"&lt;="&amp;$E$4))</f>
        <v/>
      </c>
      <c r="G138" s="232">
        <f>IF($A138="","",SUMIFS('02_NHAT_KY'!$H$7:$H$506,'02_NHAT_KY'!$C$7:$C$506,$A138,'02_NHAT_KY'!$A$7:$A$506,"&gt;="&amp;$B$4,'02_NHAT_KY'!$A$7:$A$506,"&lt;="&amp;$E$4))</f>
        <v/>
      </c>
      <c r="H138" s="232">
        <f>IF($A138="","",$E138+$F138-$G138)</f>
        <v/>
      </c>
      <c r="I138" s="233">
        <f>IF($A138="","",IF($H138&lt;=0,0,MAX(IF(AND('01_DANH_MUC'!$H128&gt;0,'01_DANH_MUC'!$G128&lt;&gt;""),MAX(0,$E$4-'01_DANH_MUC'!$G128),0),IFERROR(MAXIFS('02_NHAT_KY'!$L$7:$L$506,'02_NHAT_KY'!$C$7:$C$506,$A138),0))))</f>
        <v/>
      </c>
      <c r="J138" s="201">
        <f>IF($A138="","",IF($H138&lt;=0,"Không có dư nợ",IF($I138&gt;0,"Quá hạn","Trong hạn")))</f>
        <v/>
      </c>
      <c r="K138" s="232">
        <f>IF($A138="","",IF(AND('01_DANH_MUC'!$H128&gt;0,OR('01_DANH_MUC'!$G128="",'01_DANH_MUC'!$G128&gt;=$E$4)),'01_DANH_MUC'!$H128,0)+SUMIFS('02_NHAT_KY'!$K$7:$K$506,'02_NHAT_KY'!$C$7:$C$506,$A138,'02_NHAT_KY'!$J$7:$J$506,"&gt;="&amp;$E$4)+SUMIFS('02_NHAT_KY'!$K$7:$K$506,'02_NHAT_KY'!$C$7:$C$506,$A138,'02_NHAT_KY'!$J$7:$J$506,""))</f>
        <v/>
      </c>
      <c r="L138" s="232">
        <f>IF($A138="","",IF(AND('01_DANH_MUC'!$H128&gt;0,'01_DANH_MUC'!$G128&lt;$E$4,$E$4-'01_DANH_MUC'!$G128&lt;=30),'01_DANH_MUC'!$H128,0)+SUMIFS('02_NHAT_KY'!$K$7:$K$506,'02_NHAT_KY'!$C$7:$C$506,$A138,'02_NHAT_KY'!$L$7:$L$506,"&gt;=1",'02_NHAT_KY'!$L$7:$L$506,"&lt;=30"))</f>
        <v/>
      </c>
      <c r="M138" s="232">
        <f>IF($A138="","",IF(AND('01_DANH_MUC'!$H128&gt;0,'01_DANH_MUC'!$G128&lt;$E$4,$E$4-'01_DANH_MUC'!$G128&gt;=31,$E$4-'01_DANH_MUC'!$G128&lt;=60),'01_DANH_MUC'!$H128,0)+SUMIFS('02_NHAT_KY'!$K$7:$K$506,'02_NHAT_KY'!$C$7:$C$506,$A138,'02_NHAT_KY'!$L$7:$L$506,"&gt;=31",'02_NHAT_KY'!$L$7:$L$506,"&lt;=60"))</f>
        <v/>
      </c>
      <c r="N138" s="232">
        <f>IF($A138="","",IF(AND('01_DANH_MUC'!$H128&gt;0,'01_DANH_MUC'!$G128&lt;$E$4,$E$4-'01_DANH_MUC'!$G128&gt;=61,$E$4-'01_DANH_MUC'!$G128&lt;=90),'01_DANH_MUC'!$H128,0)+SUMIFS('02_NHAT_KY'!$K$7:$K$506,'02_NHAT_KY'!$C$7:$C$506,$A138,'02_NHAT_KY'!$L$7:$L$506,"&gt;=61",'02_NHAT_KY'!$L$7:$L$506,"&lt;=90"))</f>
        <v/>
      </c>
      <c r="O138" s="232">
        <f>IF($A138="","",IF(AND('01_DANH_MUC'!$H128&gt;0,'01_DANH_MUC'!$G128&lt;$E$4,$E$4-'01_DANH_MUC'!$G128&gt;90),'01_DANH_MUC'!$H128,0)+SUMIFS('02_NHAT_KY'!$K$7:$K$506,'02_NHAT_KY'!$C$7:$C$506,$A138,'02_NHAT_KY'!$L$7:$L$506,"&gt;90"))</f>
        <v/>
      </c>
      <c r="P138" s="201">
        <f>IF($A138="","",IF($H138&lt;0,"DƯ ÂM/TRẢ TRƯỚC",IF(ABS($H138-SUM($K138:$O138))&lt;1,"OK","LỆCH TUỔI NỢ")))</f>
        <v/>
      </c>
    </row>
    <row r="139">
      <c r="A139" s="201">
        <f>IF('01_DANH_MUC'!$A129="","",'01_DANH_MUC'!$A129)</f>
        <v/>
      </c>
      <c r="B139" s="198">
        <f>IF($A139="","",'01_DANH_MUC'!$B129)</f>
        <v/>
      </c>
      <c r="C139" s="201">
        <f>IF($A139="","",'01_DANH_MUC'!$C129)</f>
        <v/>
      </c>
      <c r="D139" s="231">
        <f>IF($A139="","",'01_DANH_MUC'!$D129)</f>
        <v/>
      </c>
      <c r="E139" s="232">
        <f>IF($A139="","",'01_DANH_MUC'!$F129+SUMIFS('02_NHAT_KY'!$G$7:$G$506,'02_NHAT_KY'!$C$7:$C$506,$A139,'02_NHAT_KY'!$A$7:$A$506,"&lt;"&amp;$B$4)-SUMIFS('02_NHAT_KY'!$H$7:$H$506,'02_NHAT_KY'!$C$7:$C$506,$A139,'02_NHAT_KY'!$A$7:$A$506,"&lt;"&amp;$B$4))</f>
        <v/>
      </c>
      <c r="F139" s="232">
        <f>IF($A139="","",SUMIFS('02_NHAT_KY'!$G$7:$G$506,'02_NHAT_KY'!$C$7:$C$506,$A139,'02_NHAT_KY'!$A$7:$A$506,"&gt;="&amp;$B$4,'02_NHAT_KY'!$A$7:$A$506,"&lt;="&amp;$E$4))</f>
        <v/>
      </c>
      <c r="G139" s="232">
        <f>IF($A139="","",SUMIFS('02_NHAT_KY'!$H$7:$H$506,'02_NHAT_KY'!$C$7:$C$506,$A139,'02_NHAT_KY'!$A$7:$A$506,"&gt;="&amp;$B$4,'02_NHAT_KY'!$A$7:$A$506,"&lt;="&amp;$E$4))</f>
        <v/>
      </c>
      <c r="H139" s="232">
        <f>IF($A139="","",$E139+$F139-$G139)</f>
        <v/>
      </c>
      <c r="I139" s="233">
        <f>IF($A139="","",IF($H139&lt;=0,0,MAX(IF(AND('01_DANH_MUC'!$H129&gt;0,'01_DANH_MUC'!$G129&lt;&gt;""),MAX(0,$E$4-'01_DANH_MUC'!$G129),0),IFERROR(MAXIFS('02_NHAT_KY'!$L$7:$L$506,'02_NHAT_KY'!$C$7:$C$506,$A139),0))))</f>
        <v/>
      </c>
      <c r="J139" s="201">
        <f>IF($A139="","",IF($H139&lt;=0,"Không có dư nợ",IF($I139&gt;0,"Quá hạn","Trong hạn")))</f>
        <v/>
      </c>
      <c r="K139" s="232">
        <f>IF($A139="","",IF(AND('01_DANH_MUC'!$H129&gt;0,OR('01_DANH_MUC'!$G129="",'01_DANH_MUC'!$G129&gt;=$E$4)),'01_DANH_MUC'!$H129,0)+SUMIFS('02_NHAT_KY'!$K$7:$K$506,'02_NHAT_KY'!$C$7:$C$506,$A139,'02_NHAT_KY'!$J$7:$J$506,"&gt;="&amp;$E$4)+SUMIFS('02_NHAT_KY'!$K$7:$K$506,'02_NHAT_KY'!$C$7:$C$506,$A139,'02_NHAT_KY'!$J$7:$J$506,""))</f>
        <v/>
      </c>
      <c r="L139" s="232">
        <f>IF($A139="","",IF(AND('01_DANH_MUC'!$H129&gt;0,'01_DANH_MUC'!$G129&lt;$E$4,$E$4-'01_DANH_MUC'!$G129&lt;=30),'01_DANH_MUC'!$H129,0)+SUMIFS('02_NHAT_KY'!$K$7:$K$506,'02_NHAT_KY'!$C$7:$C$506,$A139,'02_NHAT_KY'!$L$7:$L$506,"&gt;=1",'02_NHAT_KY'!$L$7:$L$506,"&lt;=30"))</f>
        <v/>
      </c>
      <c r="M139" s="232">
        <f>IF($A139="","",IF(AND('01_DANH_MUC'!$H129&gt;0,'01_DANH_MUC'!$G129&lt;$E$4,$E$4-'01_DANH_MUC'!$G129&gt;=31,$E$4-'01_DANH_MUC'!$G129&lt;=60),'01_DANH_MUC'!$H129,0)+SUMIFS('02_NHAT_KY'!$K$7:$K$506,'02_NHAT_KY'!$C$7:$C$506,$A139,'02_NHAT_KY'!$L$7:$L$506,"&gt;=31",'02_NHAT_KY'!$L$7:$L$506,"&lt;=60"))</f>
        <v/>
      </c>
      <c r="N139" s="232">
        <f>IF($A139="","",IF(AND('01_DANH_MUC'!$H129&gt;0,'01_DANH_MUC'!$G129&lt;$E$4,$E$4-'01_DANH_MUC'!$G129&gt;=61,$E$4-'01_DANH_MUC'!$G129&lt;=90),'01_DANH_MUC'!$H129,0)+SUMIFS('02_NHAT_KY'!$K$7:$K$506,'02_NHAT_KY'!$C$7:$C$506,$A139,'02_NHAT_KY'!$L$7:$L$506,"&gt;=61",'02_NHAT_KY'!$L$7:$L$506,"&lt;=90"))</f>
        <v/>
      </c>
      <c r="O139" s="232">
        <f>IF($A139="","",IF(AND('01_DANH_MUC'!$H129&gt;0,'01_DANH_MUC'!$G129&lt;$E$4,$E$4-'01_DANH_MUC'!$G129&gt;90),'01_DANH_MUC'!$H129,0)+SUMIFS('02_NHAT_KY'!$K$7:$K$506,'02_NHAT_KY'!$C$7:$C$506,$A139,'02_NHAT_KY'!$L$7:$L$506,"&gt;90"))</f>
        <v/>
      </c>
      <c r="P139" s="201">
        <f>IF($A139="","",IF($H139&lt;0,"DƯ ÂM/TRẢ TRƯỚC",IF(ABS($H139-SUM($K139:$O139))&lt;1,"OK","LỆCH TUỔI NỢ")))</f>
        <v/>
      </c>
    </row>
    <row r="140">
      <c r="A140" s="201">
        <f>IF('01_DANH_MUC'!$A130="","",'01_DANH_MUC'!$A130)</f>
        <v/>
      </c>
      <c r="B140" s="198">
        <f>IF($A140="","",'01_DANH_MUC'!$B130)</f>
        <v/>
      </c>
      <c r="C140" s="201">
        <f>IF($A140="","",'01_DANH_MUC'!$C130)</f>
        <v/>
      </c>
      <c r="D140" s="231">
        <f>IF($A140="","",'01_DANH_MUC'!$D130)</f>
        <v/>
      </c>
      <c r="E140" s="232">
        <f>IF($A140="","",'01_DANH_MUC'!$F130+SUMIFS('02_NHAT_KY'!$G$7:$G$506,'02_NHAT_KY'!$C$7:$C$506,$A140,'02_NHAT_KY'!$A$7:$A$506,"&lt;"&amp;$B$4)-SUMIFS('02_NHAT_KY'!$H$7:$H$506,'02_NHAT_KY'!$C$7:$C$506,$A140,'02_NHAT_KY'!$A$7:$A$506,"&lt;"&amp;$B$4))</f>
        <v/>
      </c>
      <c r="F140" s="232">
        <f>IF($A140="","",SUMIFS('02_NHAT_KY'!$G$7:$G$506,'02_NHAT_KY'!$C$7:$C$506,$A140,'02_NHAT_KY'!$A$7:$A$506,"&gt;="&amp;$B$4,'02_NHAT_KY'!$A$7:$A$506,"&lt;="&amp;$E$4))</f>
        <v/>
      </c>
      <c r="G140" s="232">
        <f>IF($A140="","",SUMIFS('02_NHAT_KY'!$H$7:$H$506,'02_NHAT_KY'!$C$7:$C$506,$A140,'02_NHAT_KY'!$A$7:$A$506,"&gt;="&amp;$B$4,'02_NHAT_KY'!$A$7:$A$506,"&lt;="&amp;$E$4))</f>
        <v/>
      </c>
      <c r="H140" s="232">
        <f>IF($A140="","",$E140+$F140-$G140)</f>
        <v/>
      </c>
      <c r="I140" s="233">
        <f>IF($A140="","",IF($H140&lt;=0,0,MAX(IF(AND('01_DANH_MUC'!$H130&gt;0,'01_DANH_MUC'!$G130&lt;&gt;""),MAX(0,$E$4-'01_DANH_MUC'!$G130),0),IFERROR(MAXIFS('02_NHAT_KY'!$L$7:$L$506,'02_NHAT_KY'!$C$7:$C$506,$A140),0))))</f>
        <v/>
      </c>
      <c r="J140" s="201">
        <f>IF($A140="","",IF($H140&lt;=0,"Không có dư nợ",IF($I140&gt;0,"Quá hạn","Trong hạn")))</f>
        <v/>
      </c>
      <c r="K140" s="232">
        <f>IF($A140="","",IF(AND('01_DANH_MUC'!$H130&gt;0,OR('01_DANH_MUC'!$G130="",'01_DANH_MUC'!$G130&gt;=$E$4)),'01_DANH_MUC'!$H130,0)+SUMIFS('02_NHAT_KY'!$K$7:$K$506,'02_NHAT_KY'!$C$7:$C$506,$A140,'02_NHAT_KY'!$J$7:$J$506,"&gt;="&amp;$E$4)+SUMIFS('02_NHAT_KY'!$K$7:$K$506,'02_NHAT_KY'!$C$7:$C$506,$A140,'02_NHAT_KY'!$J$7:$J$506,""))</f>
        <v/>
      </c>
      <c r="L140" s="232">
        <f>IF($A140="","",IF(AND('01_DANH_MUC'!$H130&gt;0,'01_DANH_MUC'!$G130&lt;$E$4,$E$4-'01_DANH_MUC'!$G130&lt;=30),'01_DANH_MUC'!$H130,0)+SUMIFS('02_NHAT_KY'!$K$7:$K$506,'02_NHAT_KY'!$C$7:$C$506,$A140,'02_NHAT_KY'!$L$7:$L$506,"&gt;=1",'02_NHAT_KY'!$L$7:$L$506,"&lt;=30"))</f>
        <v/>
      </c>
      <c r="M140" s="232">
        <f>IF($A140="","",IF(AND('01_DANH_MUC'!$H130&gt;0,'01_DANH_MUC'!$G130&lt;$E$4,$E$4-'01_DANH_MUC'!$G130&gt;=31,$E$4-'01_DANH_MUC'!$G130&lt;=60),'01_DANH_MUC'!$H130,0)+SUMIFS('02_NHAT_KY'!$K$7:$K$506,'02_NHAT_KY'!$C$7:$C$506,$A140,'02_NHAT_KY'!$L$7:$L$506,"&gt;=31",'02_NHAT_KY'!$L$7:$L$506,"&lt;=60"))</f>
        <v/>
      </c>
      <c r="N140" s="232">
        <f>IF($A140="","",IF(AND('01_DANH_MUC'!$H130&gt;0,'01_DANH_MUC'!$G130&lt;$E$4,$E$4-'01_DANH_MUC'!$G130&gt;=61,$E$4-'01_DANH_MUC'!$G130&lt;=90),'01_DANH_MUC'!$H130,0)+SUMIFS('02_NHAT_KY'!$K$7:$K$506,'02_NHAT_KY'!$C$7:$C$506,$A140,'02_NHAT_KY'!$L$7:$L$506,"&gt;=61",'02_NHAT_KY'!$L$7:$L$506,"&lt;=90"))</f>
        <v/>
      </c>
      <c r="O140" s="232">
        <f>IF($A140="","",IF(AND('01_DANH_MUC'!$H130&gt;0,'01_DANH_MUC'!$G130&lt;$E$4,$E$4-'01_DANH_MUC'!$G130&gt;90),'01_DANH_MUC'!$H130,0)+SUMIFS('02_NHAT_KY'!$K$7:$K$506,'02_NHAT_KY'!$C$7:$C$506,$A140,'02_NHAT_KY'!$L$7:$L$506,"&gt;90"))</f>
        <v/>
      </c>
      <c r="P140" s="201">
        <f>IF($A140="","",IF($H140&lt;0,"DƯ ÂM/TRẢ TRƯỚC",IF(ABS($H140-SUM($K140:$O140))&lt;1,"OK","LỆCH TUỔI NỢ")))</f>
        <v/>
      </c>
    </row>
    <row r="141">
      <c r="A141" s="201">
        <f>IF('01_DANH_MUC'!$A131="","",'01_DANH_MUC'!$A131)</f>
        <v/>
      </c>
      <c r="B141" s="198">
        <f>IF($A141="","",'01_DANH_MUC'!$B131)</f>
        <v/>
      </c>
      <c r="C141" s="201">
        <f>IF($A141="","",'01_DANH_MUC'!$C131)</f>
        <v/>
      </c>
      <c r="D141" s="231">
        <f>IF($A141="","",'01_DANH_MUC'!$D131)</f>
        <v/>
      </c>
      <c r="E141" s="232">
        <f>IF($A141="","",'01_DANH_MUC'!$F131+SUMIFS('02_NHAT_KY'!$G$7:$G$506,'02_NHAT_KY'!$C$7:$C$506,$A141,'02_NHAT_KY'!$A$7:$A$506,"&lt;"&amp;$B$4)-SUMIFS('02_NHAT_KY'!$H$7:$H$506,'02_NHAT_KY'!$C$7:$C$506,$A141,'02_NHAT_KY'!$A$7:$A$506,"&lt;"&amp;$B$4))</f>
        <v/>
      </c>
      <c r="F141" s="232">
        <f>IF($A141="","",SUMIFS('02_NHAT_KY'!$G$7:$G$506,'02_NHAT_KY'!$C$7:$C$506,$A141,'02_NHAT_KY'!$A$7:$A$506,"&gt;="&amp;$B$4,'02_NHAT_KY'!$A$7:$A$506,"&lt;="&amp;$E$4))</f>
        <v/>
      </c>
      <c r="G141" s="232">
        <f>IF($A141="","",SUMIFS('02_NHAT_KY'!$H$7:$H$506,'02_NHAT_KY'!$C$7:$C$506,$A141,'02_NHAT_KY'!$A$7:$A$506,"&gt;="&amp;$B$4,'02_NHAT_KY'!$A$7:$A$506,"&lt;="&amp;$E$4))</f>
        <v/>
      </c>
      <c r="H141" s="232">
        <f>IF($A141="","",$E141+$F141-$G141)</f>
        <v/>
      </c>
      <c r="I141" s="233">
        <f>IF($A141="","",IF($H141&lt;=0,0,MAX(IF(AND('01_DANH_MUC'!$H131&gt;0,'01_DANH_MUC'!$G131&lt;&gt;""),MAX(0,$E$4-'01_DANH_MUC'!$G131),0),IFERROR(MAXIFS('02_NHAT_KY'!$L$7:$L$506,'02_NHAT_KY'!$C$7:$C$506,$A141),0))))</f>
        <v/>
      </c>
      <c r="J141" s="201">
        <f>IF($A141="","",IF($H141&lt;=0,"Không có dư nợ",IF($I141&gt;0,"Quá hạn","Trong hạn")))</f>
        <v/>
      </c>
      <c r="K141" s="232">
        <f>IF($A141="","",IF(AND('01_DANH_MUC'!$H131&gt;0,OR('01_DANH_MUC'!$G131="",'01_DANH_MUC'!$G131&gt;=$E$4)),'01_DANH_MUC'!$H131,0)+SUMIFS('02_NHAT_KY'!$K$7:$K$506,'02_NHAT_KY'!$C$7:$C$506,$A141,'02_NHAT_KY'!$J$7:$J$506,"&gt;="&amp;$E$4)+SUMIFS('02_NHAT_KY'!$K$7:$K$506,'02_NHAT_KY'!$C$7:$C$506,$A141,'02_NHAT_KY'!$J$7:$J$506,""))</f>
        <v/>
      </c>
      <c r="L141" s="232">
        <f>IF($A141="","",IF(AND('01_DANH_MUC'!$H131&gt;0,'01_DANH_MUC'!$G131&lt;$E$4,$E$4-'01_DANH_MUC'!$G131&lt;=30),'01_DANH_MUC'!$H131,0)+SUMIFS('02_NHAT_KY'!$K$7:$K$506,'02_NHAT_KY'!$C$7:$C$506,$A141,'02_NHAT_KY'!$L$7:$L$506,"&gt;=1",'02_NHAT_KY'!$L$7:$L$506,"&lt;=30"))</f>
        <v/>
      </c>
      <c r="M141" s="232">
        <f>IF($A141="","",IF(AND('01_DANH_MUC'!$H131&gt;0,'01_DANH_MUC'!$G131&lt;$E$4,$E$4-'01_DANH_MUC'!$G131&gt;=31,$E$4-'01_DANH_MUC'!$G131&lt;=60),'01_DANH_MUC'!$H131,0)+SUMIFS('02_NHAT_KY'!$K$7:$K$506,'02_NHAT_KY'!$C$7:$C$506,$A141,'02_NHAT_KY'!$L$7:$L$506,"&gt;=31",'02_NHAT_KY'!$L$7:$L$506,"&lt;=60"))</f>
        <v/>
      </c>
      <c r="N141" s="232">
        <f>IF($A141="","",IF(AND('01_DANH_MUC'!$H131&gt;0,'01_DANH_MUC'!$G131&lt;$E$4,$E$4-'01_DANH_MUC'!$G131&gt;=61,$E$4-'01_DANH_MUC'!$G131&lt;=90),'01_DANH_MUC'!$H131,0)+SUMIFS('02_NHAT_KY'!$K$7:$K$506,'02_NHAT_KY'!$C$7:$C$506,$A141,'02_NHAT_KY'!$L$7:$L$506,"&gt;=61",'02_NHAT_KY'!$L$7:$L$506,"&lt;=90"))</f>
        <v/>
      </c>
      <c r="O141" s="232">
        <f>IF($A141="","",IF(AND('01_DANH_MUC'!$H131&gt;0,'01_DANH_MUC'!$G131&lt;$E$4,$E$4-'01_DANH_MUC'!$G131&gt;90),'01_DANH_MUC'!$H131,0)+SUMIFS('02_NHAT_KY'!$K$7:$K$506,'02_NHAT_KY'!$C$7:$C$506,$A141,'02_NHAT_KY'!$L$7:$L$506,"&gt;90"))</f>
        <v/>
      </c>
      <c r="P141" s="201">
        <f>IF($A141="","",IF($H141&lt;0,"DƯ ÂM/TRẢ TRƯỚC",IF(ABS($H141-SUM($K141:$O141))&lt;1,"OK","LỆCH TUỔI NỢ")))</f>
        <v/>
      </c>
    </row>
    <row r="142">
      <c r="A142" s="201">
        <f>IF('01_DANH_MUC'!$A132="","",'01_DANH_MUC'!$A132)</f>
        <v/>
      </c>
      <c r="B142" s="198">
        <f>IF($A142="","",'01_DANH_MUC'!$B132)</f>
        <v/>
      </c>
      <c r="C142" s="201">
        <f>IF($A142="","",'01_DANH_MUC'!$C132)</f>
        <v/>
      </c>
      <c r="D142" s="231">
        <f>IF($A142="","",'01_DANH_MUC'!$D132)</f>
        <v/>
      </c>
      <c r="E142" s="232">
        <f>IF($A142="","",'01_DANH_MUC'!$F132+SUMIFS('02_NHAT_KY'!$G$7:$G$506,'02_NHAT_KY'!$C$7:$C$506,$A142,'02_NHAT_KY'!$A$7:$A$506,"&lt;"&amp;$B$4)-SUMIFS('02_NHAT_KY'!$H$7:$H$506,'02_NHAT_KY'!$C$7:$C$506,$A142,'02_NHAT_KY'!$A$7:$A$506,"&lt;"&amp;$B$4))</f>
        <v/>
      </c>
      <c r="F142" s="232">
        <f>IF($A142="","",SUMIFS('02_NHAT_KY'!$G$7:$G$506,'02_NHAT_KY'!$C$7:$C$506,$A142,'02_NHAT_KY'!$A$7:$A$506,"&gt;="&amp;$B$4,'02_NHAT_KY'!$A$7:$A$506,"&lt;="&amp;$E$4))</f>
        <v/>
      </c>
      <c r="G142" s="232">
        <f>IF($A142="","",SUMIFS('02_NHAT_KY'!$H$7:$H$506,'02_NHAT_KY'!$C$7:$C$506,$A142,'02_NHAT_KY'!$A$7:$A$506,"&gt;="&amp;$B$4,'02_NHAT_KY'!$A$7:$A$506,"&lt;="&amp;$E$4))</f>
        <v/>
      </c>
      <c r="H142" s="232">
        <f>IF($A142="","",$E142+$F142-$G142)</f>
        <v/>
      </c>
      <c r="I142" s="233">
        <f>IF($A142="","",IF($H142&lt;=0,0,MAX(IF(AND('01_DANH_MUC'!$H132&gt;0,'01_DANH_MUC'!$G132&lt;&gt;""),MAX(0,$E$4-'01_DANH_MUC'!$G132),0),IFERROR(MAXIFS('02_NHAT_KY'!$L$7:$L$506,'02_NHAT_KY'!$C$7:$C$506,$A142),0))))</f>
        <v/>
      </c>
      <c r="J142" s="201">
        <f>IF($A142="","",IF($H142&lt;=0,"Không có dư nợ",IF($I142&gt;0,"Quá hạn","Trong hạn")))</f>
        <v/>
      </c>
      <c r="K142" s="232">
        <f>IF($A142="","",IF(AND('01_DANH_MUC'!$H132&gt;0,OR('01_DANH_MUC'!$G132="",'01_DANH_MUC'!$G132&gt;=$E$4)),'01_DANH_MUC'!$H132,0)+SUMIFS('02_NHAT_KY'!$K$7:$K$506,'02_NHAT_KY'!$C$7:$C$506,$A142,'02_NHAT_KY'!$J$7:$J$506,"&gt;="&amp;$E$4)+SUMIFS('02_NHAT_KY'!$K$7:$K$506,'02_NHAT_KY'!$C$7:$C$506,$A142,'02_NHAT_KY'!$J$7:$J$506,""))</f>
        <v/>
      </c>
      <c r="L142" s="232">
        <f>IF($A142="","",IF(AND('01_DANH_MUC'!$H132&gt;0,'01_DANH_MUC'!$G132&lt;$E$4,$E$4-'01_DANH_MUC'!$G132&lt;=30),'01_DANH_MUC'!$H132,0)+SUMIFS('02_NHAT_KY'!$K$7:$K$506,'02_NHAT_KY'!$C$7:$C$506,$A142,'02_NHAT_KY'!$L$7:$L$506,"&gt;=1",'02_NHAT_KY'!$L$7:$L$506,"&lt;=30"))</f>
        <v/>
      </c>
      <c r="M142" s="232">
        <f>IF($A142="","",IF(AND('01_DANH_MUC'!$H132&gt;0,'01_DANH_MUC'!$G132&lt;$E$4,$E$4-'01_DANH_MUC'!$G132&gt;=31,$E$4-'01_DANH_MUC'!$G132&lt;=60),'01_DANH_MUC'!$H132,0)+SUMIFS('02_NHAT_KY'!$K$7:$K$506,'02_NHAT_KY'!$C$7:$C$506,$A142,'02_NHAT_KY'!$L$7:$L$506,"&gt;=31",'02_NHAT_KY'!$L$7:$L$506,"&lt;=60"))</f>
        <v/>
      </c>
      <c r="N142" s="232">
        <f>IF($A142="","",IF(AND('01_DANH_MUC'!$H132&gt;0,'01_DANH_MUC'!$G132&lt;$E$4,$E$4-'01_DANH_MUC'!$G132&gt;=61,$E$4-'01_DANH_MUC'!$G132&lt;=90),'01_DANH_MUC'!$H132,0)+SUMIFS('02_NHAT_KY'!$K$7:$K$506,'02_NHAT_KY'!$C$7:$C$506,$A142,'02_NHAT_KY'!$L$7:$L$506,"&gt;=61",'02_NHAT_KY'!$L$7:$L$506,"&lt;=90"))</f>
        <v/>
      </c>
      <c r="O142" s="232">
        <f>IF($A142="","",IF(AND('01_DANH_MUC'!$H132&gt;0,'01_DANH_MUC'!$G132&lt;$E$4,$E$4-'01_DANH_MUC'!$G132&gt;90),'01_DANH_MUC'!$H132,0)+SUMIFS('02_NHAT_KY'!$K$7:$K$506,'02_NHAT_KY'!$C$7:$C$506,$A142,'02_NHAT_KY'!$L$7:$L$506,"&gt;90"))</f>
        <v/>
      </c>
      <c r="P142" s="201">
        <f>IF($A142="","",IF($H142&lt;0,"DƯ ÂM/TRẢ TRƯỚC",IF(ABS($H142-SUM($K142:$O142))&lt;1,"OK","LỆCH TUỔI NỢ")))</f>
        <v/>
      </c>
    </row>
    <row r="143">
      <c r="A143" s="201">
        <f>IF('01_DANH_MUC'!$A133="","",'01_DANH_MUC'!$A133)</f>
        <v/>
      </c>
      <c r="B143" s="198">
        <f>IF($A143="","",'01_DANH_MUC'!$B133)</f>
        <v/>
      </c>
      <c r="C143" s="201">
        <f>IF($A143="","",'01_DANH_MUC'!$C133)</f>
        <v/>
      </c>
      <c r="D143" s="231">
        <f>IF($A143="","",'01_DANH_MUC'!$D133)</f>
        <v/>
      </c>
      <c r="E143" s="232">
        <f>IF($A143="","",'01_DANH_MUC'!$F133+SUMIFS('02_NHAT_KY'!$G$7:$G$506,'02_NHAT_KY'!$C$7:$C$506,$A143,'02_NHAT_KY'!$A$7:$A$506,"&lt;"&amp;$B$4)-SUMIFS('02_NHAT_KY'!$H$7:$H$506,'02_NHAT_KY'!$C$7:$C$506,$A143,'02_NHAT_KY'!$A$7:$A$506,"&lt;"&amp;$B$4))</f>
        <v/>
      </c>
      <c r="F143" s="232">
        <f>IF($A143="","",SUMIFS('02_NHAT_KY'!$G$7:$G$506,'02_NHAT_KY'!$C$7:$C$506,$A143,'02_NHAT_KY'!$A$7:$A$506,"&gt;="&amp;$B$4,'02_NHAT_KY'!$A$7:$A$506,"&lt;="&amp;$E$4))</f>
        <v/>
      </c>
      <c r="G143" s="232">
        <f>IF($A143="","",SUMIFS('02_NHAT_KY'!$H$7:$H$506,'02_NHAT_KY'!$C$7:$C$506,$A143,'02_NHAT_KY'!$A$7:$A$506,"&gt;="&amp;$B$4,'02_NHAT_KY'!$A$7:$A$506,"&lt;="&amp;$E$4))</f>
        <v/>
      </c>
      <c r="H143" s="232">
        <f>IF($A143="","",$E143+$F143-$G143)</f>
        <v/>
      </c>
      <c r="I143" s="233">
        <f>IF($A143="","",IF($H143&lt;=0,0,MAX(IF(AND('01_DANH_MUC'!$H133&gt;0,'01_DANH_MUC'!$G133&lt;&gt;""),MAX(0,$E$4-'01_DANH_MUC'!$G133),0),IFERROR(MAXIFS('02_NHAT_KY'!$L$7:$L$506,'02_NHAT_KY'!$C$7:$C$506,$A143),0))))</f>
        <v/>
      </c>
      <c r="J143" s="201">
        <f>IF($A143="","",IF($H143&lt;=0,"Không có dư nợ",IF($I143&gt;0,"Quá hạn","Trong hạn")))</f>
        <v/>
      </c>
      <c r="K143" s="232">
        <f>IF($A143="","",IF(AND('01_DANH_MUC'!$H133&gt;0,OR('01_DANH_MUC'!$G133="",'01_DANH_MUC'!$G133&gt;=$E$4)),'01_DANH_MUC'!$H133,0)+SUMIFS('02_NHAT_KY'!$K$7:$K$506,'02_NHAT_KY'!$C$7:$C$506,$A143,'02_NHAT_KY'!$J$7:$J$506,"&gt;="&amp;$E$4)+SUMIFS('02_NHAT_KY'!$K$7:$K$506,'02_NHAT_KY'!$C$7:$C$506,$A143,'02_NHAT_KY'!$J$7:$J$506,""))</f>
        <v/>
      </c>
      <c r="L143" s="232">
        <f>IF($A143="","",IF(AND('01_DANH_MUC'!$H133&gt;0,'01_DANH_MUC'!$G133&lt;$E$4,$E$4-'01_DANH_MUC'!$G133&lt;=30),'01_DANH_MUC'!$H133,0)+SUMIFS('02_NHAT_KY'!$K$7:$K$506,'02_NHAT_KY'!$C$7:$C$506,$A143,'02_NHAT_KY'!$L$7:$L$506,"&gt;=1",'02_NHAT_KY'!$L$7:$L$506,"&lt;=30"))</f>
        <v/>
      </c>
      <c r="M143" s="232">
        <f>IF($A143="","",IF(AND('01_DANH_MUC'!$H133&gt;0,'01_DANH_MUC'!$G133&lt;$E$4,$E$4-'01_DANH_MUC'!$G133&gt;=31,$E$4-'01_DANH_MUC'!$G133&lt;=60),'01_DANH_MUC'!$H133,0)+SUMIFS('02_NHAT_KY'!$K$7:$K$506,'02_NHAT_KY'!$C$7:$C$506,$A143,'02_NHAT_KY'!$L$7:$L$506,"&gt;=31",'02_NHAT_KY'!$L$7:$L$506,"&lt;=60"))</f>
        <v/>
      </c>
      <c r="N143" s="232">
        <f>IF($A143="","",IF(AND('01_DANH_MUC'!$H133&gt;0,'01_DANH_MUC'!$G133&lt;$E$4,$E$4-'01_DANH_MUC'!$G133&gt;=61,$E$4-'01_DANH_MUC'!$G133&lt;=90),'01_DANH_MUC'!$H133,0)+SUMIFS('02_NHAT_KY'!$K$7:$K$506,'02_NHAT_KY'!$C$7:$C$506,$A143,'02_NHAT_KY'!$L$7:$L$506,"&gt;=61",'02_NHAT_KY'!$L$7:$L$506,"&lt;=90"))</f>
        <v/>
      </c>
      <c r="O143" s="232">
        <f>IF($A143="","",IF(AND('01_DANH_MUC'!$H133&gt;0,'01_DANH_MUC'!$G133&lt;$E$4,$E$4-'01_DANH_MUC'!$G133&gt;90),'01_DANH_MUC'!$H133,0)+SUMIFS('02_NHAT_KY'!$K$7:$K$506,'02_NHAT_KY'!$C$7:$C$506,$A143,'02_NHAT_KY'!$L$7:$L$506,"&gt;90"))</f>
        <v/>
      </c>
      <c r="P143" s="201">
        <f>IF($A143="","",IF($H143&lt;0,"DƯ ÂM/TRẢ TRƯỚC",IF(ABS($H143-SUM($K143:$O143))&lt;1,"OK","LỆCH TUỔI NỢ")))</f>
        <v/>
      </c>
    </row>
    <row r="144">
      <c r="A144" s="201">
        <f>IF('01_DANH_MUC'!$A134="","",'01_DANH_MUC'!$A134)</f>
        <v/>
      </c>
      <c r="B144" s="198">
        <f>IF($A144="","",'01_DANH_MUC'!$B134)</f>
        <v/>
      </c>
      <c r="C144" s="201">
        <f>IF($A144="","",'01_DANH_MUC'!$C134)</f>
        <v/>
      </c>
      <c r="D144" s="231">
        <f>IF($A144="","",'01_DANH_MUC'!$D134)</f>
        <v/>
      </c>
      <c r="E144" s="232">
        <f>IF($A144="","",'01_DANH_MUC'!$F134+SUMIFS('02_NHAT_KY'!$G$7:$G$506,'02_NHAT_KY'!$C$7:$C$506,$A144,'02_NHAT_KY'!$A$7:$A$506,"&lt;"&amp;$B$4)-SUMIFS('02_NHAT_KY'!$H$7:$H$506,'02_NHAT_KY'!$C$7:$C$506,$A144,'02_NHAT_KY'!$A$7:$A$506,"&lt;"&amp;$B$4))</f>
        <v/>
      </c>
      <c r="F144" s="232">
        <f>IF($A144="","",SUMIFS('02_NHAT_KY'!$G$7:$G$506,'02_NHAT_KY'!$C$7:$C$506,$A144,'02_NHAT_KY'!$A$7:$A$506,"&gt;="&amp;$B$4,'02_NHAT_KY'!$A$7:$A$506,"&lt;="&amp;$E$4))</f>
        <v/>
      </c>
      <c r="G144" s="232">
        <f>IF($A144="","",SUMIFS('02_NHAT_KY'!$H$7:$H$506,'02_NHAT_KY'!$C$7:$C$506,$A144,'02_NHAT_KY'!$A$7:$A$506,"&gt;="&amp;$B$4,'02_NHAT_KY'!$A$7:$A$506,"&lt;="&amp;$E$4))</f>
        <v/>
      </c>
      <c r="H144" s="232">
        <f>IF($A144="","",$E144+$F144-$G144)</f>
        <v/>
      </c>
      <c r="I144" s="233">
        <f>IF($A144="","",IF($H144&lt;=0,0,MAX(IF(AND('01_DANH_MUC'!$H134&gt;0,'01_DANH_MUC'!$G134&lt;&gt;""),MAX(0,$E$4-'01_DANH_MUC'!$G134),0),IFERROR(MAXIFS('02_NHAT_KY'!$L$7:$L$506,'02_NHAT_KY'!$C$7:$C$506,$A144),0))))</f>
        <v/>
      </c>
      <c r="J144" s="201">
        <f>IF($A144="","",IF($H144&lt;=0,"Không có dư nợ",IF($I144&gt;0,"Quá hạn","Trong hạn")))</f>
        <v/>
      </c>
      <c r="K144" s="232">
        <f>IF($A144="","",IF(AND('01_DANH_MUC'!$H134&gt;0,OR('01_DANH_MUC'!$G134="",'01_DANH_MUC'!$G134&gt;=$E$4)),'01_DANH_MUC'!$H134,0)+SUMIFS('02_NHAT_KY'!$K$7:$K$506,'02_NHAT_KY'!$C$7:$C$506,$A144,'02_NHAT_KY'!$J$7:$J$506,"&gt;="&amp;$E$4)+SUMIFS('02_NHAT_KY'!$K$7:$K$506,'02_NHAT_KY'!$C$7:$C$506,$A144,'02_NHAT_KY'!$J$7:$J$506,""))</f>
        <v/>
      </c>
      <c r="L144" s="232">
        <f>IF($A144="","",IF(AND('01_DANH_MUC'!$H134&gt;0,'01_DANH_MUC'!$G134&lt;$E$4,$E$4-'01_DANH_MUC'!$G134&lt;=30),'01_DANH_MUC'!$H134,0)+SUMIFS('02_NHAT_KY'!$K$7:$K$506,'02_NHAT_KY'!$C$7:$C$506,$A144,'02_NHAT_KY'!$L$7:$L$506,"&gt;=1",'02_NHAT_KY'!$L$7:$L$506,"&lt;=30"))</f>
        <v/>
      </c>
      <c r="M144" s="232">
        <f>IF($A144="","",IF(AND('01_DANH_MUC'!$H134&gt;0,'01_DANH_MUC'!$G134&lt;$E$4,$E$4-'01_DANH_MUC'!$G134&gt;=31,$E$4-'01_DANH_MUC'!$G134&lt;=60),'01_DANH_MUC'!$H134,0)+SUMIFS('02_NHAT_KY'!$K$7:$K$506,'02_NHAT_KY'!$C$7:$C$506,$A144,'02_NHAT_KY'!$L$7:$L$506,"&gt;=31",'02_NHAT_KY'!$L$7:$L$506,"&lt;=60"))</f>
        <v/>
      </c>
      <c r="N144" s="232">
        <f>IF($A144="","",IF(AND('01_DANH_MUC'!$H134&gt;0,'01_DANH_MUC'!$G134&lt;$E$4,$E$4-'01_DANH_MUC'!$G134&gt;=61,$E$4-'01_DANH_MUC'!$G134&lt;=90),'01_DANH_MUC'!$H134,0)+SUMIFS('02_NHAT_KY'!$K$7:$K$506,'02_NHAT_KY'!$C$7:$C$506,$A144,'02_NHAT_KY'!$L$7:$L$506,"&gt;=61",'02_NHAT_KY'!$L$7:$L$506,"&lt;=90"))</f>
        <v/>
      </c>
      <c r="O144" s="232">
        <f>IF($A144="","",IF(AND('01_DANH_MUC'!$H134&gt;0,'01_DANH_MUC'!$G134&lt;$E$4,$E$4-'01_DANH_MUC'!$G134&gt;90),'01_DANH_MUC'!$H134,0)+SUMIFS('02_NHAT_KY'!$K$7:$K$506,'02_NHAT_KY'!$C$7:$C$506,$A144,'02_NHAT_KY'!$L$7:$L$506,"&gt;90"))</f>
        <v/>
      </c>
      <c r="P144" s="201">
        <f>IF($A144="","",IF($H144&lt;0,"DƯ ÂM/TRẢ TRƯỚC",IF(ABS($H144-SUM($K144:$O144))&lt;1,"OK","LỆCH TUỔI NỢ")))</f>
        <v/>
      </c>
    </row>
    <row r="145">
      <c r="A145" s="201">
        <f>IF('01_DANH_MUC'!$A135="","",'01_DANH_MUC'!$A135)</f>
        <v/>
      </c>
      <c r="B145" s="198">
        <f>IF($A145="","",'01_DANH_MUC'!$B135)</f>
        <v/>
      </c>
      <c r="C145" s="201">
        <f>IF($A145="","",'01_DANH_MUC'!$C135)</f>
        <v/>
      </c>
      <c r="D145" s="231">
        <f>IF($A145="","",'01_DANH_MUC'!$D135)</f>
        <v/>
      </c>
      <c r="E145" s="232">
        <f>IF($A145="","",'01_DANH_MUC'!$F135+SUMIFS('02_NHAT_KY'!$G$7:$G$506,'02_NHAT_KY'!$C$7:$C$506,$A145,'02_NHAT_KY'!$A$7:$A$506,"&lt;"&amp;$B$4)-SUMIFS('02_NHAT_KY'!$H$7:$H$506,'02_NHAT_KY'!$C$7:$C$506,$A145,'02_NHAT_KY'!$A$7:$A$506,"&lt;"&amp;$B$4))</f>
        <v/>
      </c>
      <c r="F145" s="232">
        <f>IF($A145="","",SUMIFS('02_NHAT_KY'!$G$7:$G$506,'02_NHAT_KY'!$C$7:$C$506,$A145,'02_NHAT_KY'!$A$7:$A$506,"&gt;="&amp;$B$4,'02_NHAT_KY'!$A$7:$A$506,"&lt;="&amp;$E$4))</f>
        <v/>
      </c>
      <c r="G145" s="232">
        <f>IF($A145="","",SUMIFS('02_NHAT_KY'!$H$7:$H$506,'02_NHAT_KY'!$C$7:$C$506,$A145,'02_NHAT_KY'!$A$7:$A$506,"&gt;="&amp;$B$4,'02_NHAT_KY'!$A$7:$A$506,"&lt;="&amp;$E$4))</f>
        <v/>
      </c>
      <c r="H145" s="232">
        <f>IF($A145="","",$E145+$F145-$G145)</f>
        <v/>
      </c>
      <c r="I145" s="233">
        <f>IF($A145="","",IF($H145&lt;=0,0,MAX(IF(AND('01_DANH_MUC'!$H135&gt;0,'01_DANH_MUC'!$G135&lt;&gt;""),MAX(0,$E$4-'01_DANH_MUC'!$G135),0),IFERROR(MAXIFS('02_NHAT_KY'!$L$7:$L$506,'02_NHAT_KY'!$C$7:$C$506,$A145),0))))</f>
        <v/>
      </c>
      <c r="J145" s="201">
        <f>IF($A145="","",IF($H145&lt;=0,"Không có dư nợ",IF($I145&gt;0,"Quá hạn","Trong hạn")))</f>
        <v/>
      </c>
      <c r="K145" s="232">
        <f>IF($A145="","",IF(AND('01_DANH_MUC'!$H135&gt;0,OR('01_DANH_MUC'!$G135="",'01_DANH_MUC'!$G135&gt;=$E$4)),'01_DANH_MUC'!$H135,0)+SUMIFS('02_NHAT_KY'!$K$7:$K$506,'02_NHAT_KY'!$C$7:$C$506,$A145,'02_NHAT_KY'!$J$7:$J$506,"&gt;="&amp;$E$4)+SUMIFS('02_NHAT_KY'!$K$7:$K$506,'02_NHAT_KY'!$C$7:$C$506,$A145,'02_NHAT_KY'!$J$7:$J$506,""))</f>
        <v/>
      </c>
      <c r="L145" s="232">
        <f>IF($A145="","",IF(AND('01_DANH_MUC'!$H135&gt;0,'01_DANH_MUC'!$G135&lt;$E$4,$E$4-'01_DANH_MUC'!$G135&lt;=30),'01_DANH_MUC'!$H135,0)+SUMIFS('02_NHAT_KY'!$K$7:$K$506,'02_NHAT_KY'!$C$7:$C$506,$A145,'02_NHAT_KY'!$L$7:$L$506,"&gt;=1",'02_NHAT_KY'!$L$7:$L$506,"&lt;=30"))</f>
        <v/>
      </c>
      <c r="M145" s="232">
        <f>IF($A145="","",IF(AND('01_DANH_MUC'!$H135&gt;0,'01_DANH_MUC'!$G135&lt;$E$4,$E$4-'01_DANH_MUC'!$G135&gt;=31,$E$4-'01_DANH_MUC'!$G135&lt;=60),'01_DANH_MUC'!$H135,0)+SUMIFS('02_NHAT_KY'!$K$7:$K$506,'02_NHAT_KY'!$C$7:$C$506,$A145,'02_NHAT_KY'!$L$7:$L$506,"&gt;=31",'02_NHAT_KY'!$L$7:$L$506,"&lt;=60"))</f>
        <v/>
      </c>
      <c r="N145" s="232">
        <f>IF($A145="","",IF(AND('01_DANH_MUC'!$H135&gt;0,'01_DANH_MUC'!$G135&lt;$E$4,$E$4-'01_DANH_MUC'!$G135&gt;=61,$E$4-'01_DANH_MUC'!$G135&lt;=90),'01_DANH_MUC'!$H135,0)+SUMIFS('02_NHAT_KY'!$K$7:$K$506,'02_NHAT_KY'!$C$7:$C$506,$A145,'02_NHAT_KY'!$L$7:$L$506,"&gt;=61",'02_NHAT_KY'!$L$7:$L$506,"&lt;=90"))</f>
        <v/>
      </c>
      <c r="O145" s="232">
        <f>IF($A145="","",IF(AND('01_DANH_MUC'!$H135&gt;0,'01_DANH_MUC'!$G135&lt;$E$4,$E$4-'01_DANH_MUC'!$G135&gt;90),'01_DANH_MUC'!$H135,0)+SUMIFS('02_NHAT_KY'!$K$7:$K$506,'02_NHAT_KY'!$C$7:$C$506,$A145,'02_NHAT_KY'!$L$7:$L$506,"&gt;90"))</f>
        <v/>
      </c>
      <c r="P145" s="201">
        <f>IF($A145="","",IF($H145&lt;0,"DƯ ÂM/TRẢ TRƯỚC",IF(ABS($H145-SUM($K145:$O145))&lt;1,"OK","LỆCH TUỔI NỢ")))</f>
        <v/>
      </c>
    </row>
    <row r="146">
      <c r="A146" s="201">
        <f>IF('01_DANH_MUC'!$A136="","",'01_DANH_MUC'!$A136)</f>
        <v/>
      </c>
      <c r="B146" s="198">
        <f>IF($A146="","",'01_DANH_MUC'!$B136)</f>
        <v/>
      </c>
      <c r="C146" s="201">
        <f>IF($A146="","",'01_DANH_MUC'!$C136)</f>
        <v/>
      </c>
      <c r="D146" s="231">
        <f>IF($A146="","",'01_DANH_MUC'!$D136)</f>
        <v/>
      </c>
      <c r="E146" s="232">
        <f>IF($A146="","",'01_DANH_MUC'!$F136+SUMIFS('02_NHAT_KY'!$G$7:$G$506,'02_NHAT_KY'!$C$7:$C$506,$A146,'02_NHAT_KY'!$A$7:$A$506,"&lt;"&amp;$B$4)-SUMIFS('02_NHAT_KY'!$H$7:$H$506,'02_NHAT_KY'!$C$7:$C$506,$A146,'02_NHAT_KY'!$A$7:$A$506,"&lt;"&amp;$B$4))</f>
        <v/>
      </c>
      <c r="F146" s="232">
        <f>IF($A146="","",SUMIFS('02_NHAT_KY'!$G$7:$G$506,'02_NHAT_KY'!$C$7:$C$506,$A146,'02_NHAT_KY'!$A$7:$A$506,"&gt;="&amp;$B$4,'02_NHAT_KY'!$A$7:$A$506,"&lt;="&amp;$E$4))</f>
        <v/>
      </c>
      <c r="G146" s="232">
        <f>IF($A146="","",SUMIFS('02_NHAT_KY'!$H$7:$H$506,'02_NHAT_KY'!$C$7:$C$506,$A146,'02_NHAT_KY'!$A$7:$A$506,"&gt;="&amp;$B$4,'02_NHAT_KY'!$A$7:$A$506,"&lt;="&amp;$E$4))</f>
        <v/>
      </c>
      <c r="H146" s="232">
        <f>IF($A146="","",$E146+$F146-$G146)</f>
        <v/>
      </c>
      <c r="I146" s="233">
        <f>IF($A146="","",IF($H146&lt;=0,0,MAX(IF(AND('01_DANH_MUC'!$H136&gt;0,'01_DANH_MUC'!$G136&lt;&gt;""),MAX(0,$E$4-'01_DANH_MUC'!$G136),0),IFERROR(MAXIFS('02_NHAT_KY'!$L$7:$L$506,'02_NHAT_KY'!$C$7:$C$506,$A146),0))))</f>
        <v/>
      </c>
      <c r="J146" s="201">
        <f>IF($A146="","",IF($H146&lt;=0,"Không có dư nợ",IF($I146&gt;0,"Quá hạn","Trong hạn")))</f>
        <v/>
      </c>
      <c r="K146" s="232">
        <f>IF($A146="","",IF(AND('01_DANH_MUC'!$H136&gt;0,OR('01_DANH_MUC'!$G136="",'01_DANH_MUC'!$G136&gt;=$E$4)),'01_DANH_MUC'!$H136,0)+SUMIFS('02_NHAT_KY'!$K$7:$K$506,'02_NHAT_KY'!$C$7:$C$506,$A146,'02_NHAT_KY'!$J$7:$J$506,"&gt;="&amp;$E$4)+SUMIFS('02_NHAT_KY'!$K$7:$K$506,'02_NHAT_KY'!$C$7:$C$506,$A146,'02_NHAT_KY'!$J$7:$J$506,""))</f>
        <v/>
      </c>
      <c r="L146" s="232">
        <f>IF($A146="","",IF(AND('01_DANH_MUC'!$H136&gt;0,'01_DANH_MUC'!$G136&lt;$E$4,$E$4-'01_DANH_MUC'!$G136&lt;=30),'01_DANH_MUC'!$H136,0)+SUMIFS('02_NHAT_KY'!$K$7:$K$506,'02_NHAT_KY'!$C$7:$C$506,$A146,'02_NHAT_KY'!$L$7:$L$506,"&gt;=1",'02_NHAT_KY'!$L$7:$L$506,"&lt;=30"))</f>
        <v/>
      </c>
      <c r="M146" s="232">
        <f>IF($A146="","",IF(AND('01_DANH_MUC'!$H136&gt;0,'01_DANH_MUC'!$G136&lt;$E$4,$E$4-'01_DANH_MUC'!$G136&gt;=31,$E$4-'01_DANH_MUC'!$G136&lt;=60),'01_DANH_MUC'!$H136,0)+SUMIFS('02_NHAT_KY'!$K$7:$K$506,'02_NHAT_KY'!$C$7:$C$506,$A146,'02_NHAT_KY'!$L$7:$L$506,"&gt;=31",'02_NHAT_KY'!$L$7:$L$506,"&lt;=60"))</f>
        <v/>
      </c>
      <c r="N146" s="232">
        <f>IF($A146="","",IF(AND('01_DANH_MUC'!$H136&gt;0,'01_DANH_MUC'!$G136&lt;$E$4,$E$4-'01_DANH_MUC'!$G136&gt;=61,$E$4-'01_DANH_MUC'!$G136&lt;=90),'01_DANH_MUC'!$H136,0)+SUMIFS('02_NHAT_KY'!$K$7:$K$506,'02_NHAT_KY'!$C$7:$C$506,$A146,'02_NHAT_KY'!$L$7:$L$506,"&gt;=61",'02_NHAT_KY'!$L$7:$L$506,"&lt;=90"))</f>
        <v/>
      </c>
      <c r="O146" s="232">
        <f>IF($A146="","",IF(AND('01_DANH_MUC'!$H136&gt;0,'01_DANH_MUC'!$G136&lt;$E$4,$E$4-'01_DANH_MUC'!$G136&gt;90),'01_DANH_MUC'!$H136,0)+SUMIFS('02_NHAT_KY'!$K$7:$K$506,'02_NHAT_KY'!$C$7:$C$506,$A146,'02_NHAT_KY'!$L$7:$L$506,"&gt;90"))</f>
        <v/>
      </c>
      <c r="P146" s="201">
        <f>IF($A146="","",IF($H146&lt;0,"DƯ ÂM/TRẢ TRƯỚC",IF(ABS($H146-SUM($K146:$O146))&lt;1,"OK","LỆCH TUỔI NỢ")))</f>
        <v/>
      </c>
    </row>
    <row r="147">
      <c r="A147" s="201">
        <f>IF('01_DANH_MUC'!$A137="","",'01_DANH_MUC'!$A137)</f>
        <v/>
      </c>
      <c r="B147" s="198">
        <f>IF($A147="","",'01_DANH_MUC'!$B137)</f>
        <v/>
      </c>
      <c r="C147" s="201">
        <f>IF($A147="","",'01_DANH_MUC'!$C137)</f>
        <v/>
      </c>
      <c r="D147" s="231">
        <f>IF($A147="","",'01_DANH_MUC'!$D137)</f>
        <v/>
      </c>
      <c r="E147" s="232">
        <f>IF($A147="","",'01_DANH_MUC'!$F137+SUMIFS('02_NHAT_KY'!$G$7:$G$506,'02_NHAT_KY'!$C$7:$C$506,$A147,'02_NHAT_KY'!$A$7:$A$506,"&lt;"&amp;$B$4)-SUMIFS('02_NHAT_KY'!$H$7:$H$506,'02_NHAT_KY'!$C$7:$C$506,$A147,'02_NHAT_KY'!$A$7:$A$506,"&lt;"&amp;$B$4))</f>
        <v/>
      </c>
      <c r="F147" s="232">
        <f>IF($A147="","",SUMIFS('02_NHAT_KY'!$G$7:$G$506,'02_NHAT_KY'!$C$7:$C$506,$A147,'02_NHAT_KY'!$A$7:$A$506,"&gt;="&amp;$B$4,'02_NHAT_KY'!$A$7:$A$506,"&lt;="&amp;$E$4))</f>
        <v/>
      </c>
      <c r="G147" s="232">
        <f>IF($A147="","",SUMIFS('02_NHAT_KY'!$H$7:$H$506,'02_NHAT_KY'!$C$7:$C$506,$A147,'02_NHAT_KY'!$A$7:$A$506,"&gt;="&amp;$B$4,'02_NHAT_KY'!$A$7:$A$506,"&lt;="&amp;$E$4))</f>
        <v/>
      </c>
      <c r="H147" s="232">
        <f>IF($A147="","",$E147+$F147-$G147)</f>
        <v/>
      </c>
      <c r="I147" s="233">
        <f>IF($A147="","",IF($H147&lt;=0,0,MAX(IF(AND('01_DANH_MUC'!$H137&gt;0,'01_DANH_MUC'!$G137&lt;&gt;""),MAX(0,$E$4-'01_DANH_MUC'!$G137),0),IFERROR(MAXIFS('02_NHAT_KY'!$L$7:$L$506,'02_NHAT_KY'!$C$7:$C$506,$A147),0))))</f>
        <v/>
      </c>
      <c r="J147" s="201">
        <f>IF($A147="","",IF($H147&lt;=0,"Không có dư nợ",IF($I147&gt;0,"Quá hạn","Trong hạn")))</f>
        <v/>
      </c>
      <c r="K147" s="232">
        <f>IF($A147="","",IF(AND('01_DANH_MUC'!$H137&gt;0,OR('01_DANH_MUC'!$G137="",'01_DANH_MUC'!$G137&gt;=$E$4)),'01_DANH_MUC'!$H137,0)+SUMIFS('02_NHAT_KY'!$K$7:$K$506,'02_NHAT_KY'!$C$7:$C$506,$A147,'02_NHAT_KY'!$J$7:$J$506,"&gt;="&amp;$E$4)+SUMIFS('02_NHAT_KY'!$K$7:$K$506,'02_NHAT_KY'!$C$7:$C$506,$A147,'02_NHAT_KY'!$J$7:$J$506,""))</f>
        <v/>
      </c>
      <c r="L147" s="232">
        <f>IF($A147="","",IF(AND('01_DANH_MUC'!$H137&gt;0,'01_DANH_MUC'!$G137&lt;$E$4,$E$4-'01_DANH_MUC'!$G137&lt;=30),'01_DANH_MUC'!$H137,0)+SUMIFS('02_NHAT_KY'!$K$7:$K$506,'02_NHAT_KY'!$C$7:$C$506,$A147,'02_NHAT_KY'!$L$7:$L$506,"&gt;=1",'02_NHAT_KY'!$L$7:$L$506,"&lt;=30"))</f>
        <v/>
      </c>
      <c r="M147" s="232">
        <f>IF($A147="","",IF(AND('01_DANH_MUC'!$H137&gt;0,'01_DANH_MUC'!$G137&lt;$E$4,$E$4-'01_DANH_MUC'!$G137&gt;=31,$E$4-'01_DANH_MUC'!$G137&lt;=60),'01_DANH_MUC'!$H137,0)+SUMIFS('02_NHAT_KY'!$K$7:$K$506,'02_NHAT_KY'!$C$7:$C$506,$A147,'02_NHAT_KY'!$L$7:$L$506,"&gt;=31",'02_NHAT_KY'!$L$7:$L$506,"&lt;=60"))</f>
        <v/>
      </c>
      <c r="N147" s="232">
        <f>IF($A147="","",IF(AND('01_DANH_MUC'!$H137&gt;0,'01_DANH_MUC'!$G137&lt;$E$4,$E$4-'01_DANH_MUC'!$G137&gt;=61,$E$4-'01_DANH_MUC'!$G137&lt;=90),'01_DANH_MUC'!$H137,0)+SUMIFS('02_NHAT_KY'!$K$7:$K$506,'02_NHAT_KY'!$C$7:$C$506,$A147,'02_NHAT_KY'!$L$7:$L$506,"&gt;=61",'02_NHAT_KY'!$L$7:$L$506,"&lt;=90"))</f>
        <v/>
      </c>
      <c r="O147" s="232">
        <f>IF($A147="","",IF(AND('01_DANH_MUC'!$H137&gt;0,'01_DANH_MUC'!$G137&lt;$E$4,$E$4-'01_DANH_MUC'!$G137&gt;90),'01_DANH_MUC'!$H137,0)+SUMIFS('02_NHAT_KY'!$K$7:$K$506,'02_NHAT_KY'!$C$7:$C$506,$A147,'02_NHAT_KY'!$L$7:$L$506,"&gt;90"))</f>
        <v/>
      </c>
      <c r="P147" s="201">
        <f>IF($A147="","",IF($H147&lt;0,"DƯ ÂM/TRẢ TRƯỚC",IF(ABS($H147-SUM($K147:$O147))&lt;1,"OK","LỆCH TUỔI NỢ")))</f>
        <v/>
      </c>
    </row>
    <row r="148">
      <c r="A148" s="201">
        <f>IF('01_DANH_MUC'!$A138="","",'01_DANH_MUC'!$A138)</f>
        <v/>
      </c>
      <c r="B148" s="198">
        <f>IF($A148="","",'01_DANH_MUC'!$B138)</f>
        <v/>
      </c>
      <c r="C148" s="201">
        <f>IF($A148="","",'01_DANH_MUC'!$C138)</f>
        <v/>
      </c>
      <c r="D148" s="231">
        <f>IF($A148="","",'01_DANH_MUC'!$D138)</f>
        <v/>
      </c>
      <c r="E148" s="232">
        <f>IF($A148="","",'01_DANH_MUC'!$F138+SUMIFS('02_NHAT_KY'!$G$7:$G$506,'02_NHAT_KY'!$C$7:$C$506,$A148,'02_NHAT_KY'!$A$7:$A$506,"&lt;"&amp;$B$4)-SUMIFS('02_NHAT_KY'!$H$7:$H$506,'02_NHAT_KY'!$C$7:$C$506,$A148,'02_NHAT_KY'!$A$7:$A$506,"&lt;"&amp;$B$4))</f>
        <v/>
      </c>
      <c r="F148" s="232">
        <f>IF($A148="","",SUMIFS('02_NHAT_KY'!$G$7:$G$506,'02_NHAT_KY'!$C$7:$C$506,$A148,'02_NHAT_KY'!$A$7:$A$506,"&gt;="&amp;$B$4,'02_NHAT_KY'!$A$7:$A$506,"&lt;="&amp;$E$4))</f>
        <v/>
      </c>
      <c r="G148" s="232">
        <f>IF($A148="","",SUMIFS('02_NHAT_KY'!$H$7:$H$506,'02_NHAT_KY'!$C$7:$C$506,$A148,'02_NHAT_KY'!$A$7:$A$506,"&gt;="&amp;$B$4,'02_NHAT_KY'!$A$7:$A$506,"&lt;="&amp;$E$4))</f>
        <v/>
      </c>
      <c r="H148" s="232">
        <f>IF($A148="","",$E148+$F148-$G148)</f>
        <v/>
      </c>
      <c r="I148" s="233">
        <f>IF($A148="","",IF($H148&lt;=0,0,MAX(IF(AND('01_DANH_MUC'!$H138&gt;0,'01_DANH_MUC'!$G138&lt;&gt;""),MAX(0,$E$4-'01_DANH_MUC'!$G138),0),IFERROR(MAXIFS('02_NHAT_KY'!$L$7:$L$506,'02_NHAT_KY'!$C$7:$C$506,$A148),0))))</f>
        <v/>
      </c>
      <c r="J148" s="201">
        <f>IF($A148="","",IF($H148&lt;=0,"Không có dư nợ",IF($I148&gt;0,"Quá hạn","Trong hạn")))</f>
        <v/>
      </c>
      <c r="K148" s="232">
        <f>IF($A148="","",IF(AND('01_DANH_MUC'!$H138&gt;0,OR('01_DANH_MUC'!$G138="",'01_DANH_MUC'!$G138&gt;=$E$4)),'01_DANH_MUC'!$H138,0)+SUMIFS('02_NHAT_KY'!$K$7:$K$506,'02_NHAT_KY'!$C$7:$C$506,$A148,'02_NHAT_KY'!$J$7:$J$506,"&gt;="&amp;$E$4)+SUMIFS('02_NHAT_KY'!$K$7:$K$506,'02_NHAT_KY'!$C$7:$C$506,$A148,'02_NHAT_KY'!$J$7:$J$506,""))</f>
        <v/>
      </c>
      <c r="L148" s="232">
        <f>IF($A148="","",IF(AND('01_DANH_MUC'!$H138&gt;0,'01_DANH_MUC'!$G138&lt;$E$4,$E$4-'01_DANH_MUC'!$G138&lt;=30),'01_DANH_MUC'!$H138,0)+SUMIFS('02_NHAT_KY'!$K$7:$K$506,'02_NHAT_KY'!$C$7:$C$506,$A148,'02_NHAT_KY'!$L$7:$L$506,"&gt;=1",'02_NHAT_KY'!$L$7:$L$506,"&lt;=30"))</f>
        <v/>
      </c>
      <c r="M148" s="232">
        <f>IF($A148="","",IF(AND('01_DANH_MUC'!$H138&gt;0,'01_DANH_MUC'!$G138&lt;$E$4,$E$4-'01_DANH_MUC'!$G138&gt;=31,$E$4-'01_DANH_MUC'!$G138&lt;=60),'01_DANH_MUC'!$H138,0)+SUMIFS('02_NHAT_KY'!$K$7:$K$506,'02_NHAT_KY'!$C$7:$C$506,$A148,'02_NHAT_KY'!$L$7:$L$506,"&gt;=31",'02_NHAT_KY'!$L$7:$L$506,"&lt;=60"))</f>
        <v/>
      </c>
      <c r="N148" s="232">
        <f>IF($A148="","",IF(AND('01_DANH_MUC'!$H138&gt;0,'01_DANH_MUC'!$G138&lt;$E$4,$E$4-'01_DANH_MUC'!$G138&gt;=61,$E$4-'01_DANH_MUC'!$G138&lt;=90),'01_DANH_MUC'!$H138,0)+SUMIFS('02_NHAT_KY'!$K$7:$K$506,'02_NHAT_KY'!$C$7:$C$506,$A148,'02_NHAT_KY'!$L$7:$L$506,"&gt;=61",'02_NHAT_KY'!$L$7:$L$506,"&lt;=90"))</f>
        <v/>
      </c>
      <c r="O148" s="232">
        <f>IF($A148="","",IF(AND('01_DANH_MUC'!$H138&gt;0,'01_DANH_MUC'!$G138&lt;$E$4,$E$4-'01_DANH_MUC'!$G138&gt;90),'01_DANH_MUC'!$H138,0)+SUMIFS('02_NHAT_KY'!$K$7:$K$506,'02_NHAT_KY'!$C$7:$C$506,$A148,'02_NHAT_KY'!$L$7:$L$506,"&gt;90"))</f>
        <v/>
      </c>
      <c r="P148" s="201">
        <f>IF($A148="","",IF($H148&lt;0,"DƯ ÂM/TRẢ TRƯỚC",IF(ABS($H148-SUM($K148:$O148))&lt;1,"OK","LỆCH TUỔI NỢ")))</f>
        <v/>
      </c>
    </row>
    <row r="149">
      <c r="A149" s="201">
        <f>IF('01_DANH_MUC'!$A139="","",'01_DANH_MUC'!$A139)</f>
        <v/>
      </c>
      <c r="B149" s="198">
        <f>IF($A149="","",'01_DANH_MUC'!$B139)</f>
        <v/>
      </c>
      <c r="C149" s="201">
        <f>IF($A149="","",'01_DANH_MUC'!$C139)</f>
        <v/>
      </c>
      <c r="D149" s="231">
        <f>IF($A149="","",'01_DANH_MUC'!$D139)</f>
        <v/>
      </c>
      <c r="E149" s="232">
        <f>IF($A149="","",'01_DANH_MUC'!$F139+SUMIFS('02_NHAT_KY'!$G$7:$G$506,'02_NHAT_KY'!$C$7:$C$506,$A149,'02_NHAT_KY'!$A$7:$A$506,"&lt;"&amp;$B$4)-SUMIFS('02_NHAT_KY'!$H$7:$H$506,'02_NHAT_KY'!$C$7:$C$506,$A149,'02_NHAT_KY'!$A$7:$A$506,"&lt;"&amp;$B$4))</f>
        <v/>
      </c>
      <c r="F149" s="232">
        <f>IF($A149="","",SUMIFS('02_NHAT_KY'!$G$7:$G$506,'02_NHAT_KY'!$C$7:$C$506,$A149,'02_NHAT_KY'!$A$7:$A$506,"&gt;="&amp;$B$4,'02_NHAT_KY'!$A$7:$A$506,"&lt;="&amp;$E$4))</f>
        <v/>
      </c>
      <c r="G149" s="232">
        <f>IF($A149="","",SUMIFS('02_NHAT_KY'!$H$7:$H$506,'02_NHAT_KY'!$C$7:$C$506,$A149,'02_NHAT_KY'!$A$7:$A$506,"&gt;="&amp;$B$4,'02_NHAT_KY'!$A$7:$A$506,"&lt;="&amp;$E$4))</f>
        <v/>
      </c>
      <c r="H149" s="232">
        <f>IF($A149="","",$E149+$F149-$G149)</f>
        <v/>
      </c>
      <c r="I149" s="233">
        <f>IF($A149="","",IF($H149&lt;=0,0,MAX(IF(AND('01_DANH_MUC'!$H139&gt;0,'01_DANH_MUC'!$G139&lt;&gt;""),MAX(0,$E$4-'01_DANH_MUC'!$G139),0),IFERROR(MAXIFS('02_NHAT_KY'!$L$7:$L$506,'02_NHAT_KY'!$C$7:$C$506,$A149),0))))</f>
        <v/>
      </c>
      <c r="J149" s="201">
        <f>IF($A149="","",IF($H149&lt;=0,"Không có dư nợ",IF($I149&gt;0,"Quá hạn","Trong hạn")))</f>
        <v/>
      </c>
      <c r="K149" s="232">
        <f>IF($A149="","",IF(AND('01_DANH_MUC'!$H139&gt;0,OR('01_DANH_MUC'!$G139="",'01_DANH_MUC'!$G139&gt;=$E$4)),'01_DANH_MUC'!$H139,0)+SUMIFS('02_NHAT_KY'!$K$7:$K$506,'02_NHAT_KY'!$C$7:$C$506,$A149,'02_NHAT_KY'!$J$7:$J$506,"&gt;="&amp;$E$4)+SUMIFS('02_NHAT_KY'!$K$7:$K$506,'02_NHAT_KY'!$C$7:$C$506,$A149,'02_NHAT_KY'!$J$7:$J$506,""))</f>
        <v/>
      </c>
      <c r="L149" s="232">
        <f>IF($A149="","",IF(AND('01_DANH_MUC'!$H139&gt;0,'01_DANH_MUC'!$G139&lt;$E$4,$E$4-'01_DANH_MUC'!$G139&lt;=30),'01_DANH_MUC'!$H139,0)+SUMIFS('02_NHAT_KY'!$K$7:$K$506,'02_NHAT_KY'!$C$7:$C$506,$A149,'02_NHAT_KY'!$L$7:$L$506,"&gt;=1",'02_NHAT_KY'!$L$7:$L$506,"&lt;=30"))</f>
        <v/>
      </c>
      <c r="M149" s="232">
        <f>IF($A149="","",IF(AND('01_DANH_MUC'!$H139&gt;0,'01_DANH_MUC'!$G139&lt;$E$4,$E$4-'01_DANH_MUC'!$G139&gt;=31,$E$4-'01_DANH_MUC'!$G139&lt;=60),'01_DANH_MUC'!$H139,0)+SUMIFS('02_NHAT_KY'!$K$7:$K$506,'02_NHAT_KY'!$C$7:$C$506,$A149,'02_NHAT_KY'!$L$7:$L$506,"&gt;=31",'02_NHAT_KY'!$L$7:$L$506,"&lt;=60"))</f>
        <v/>
      </c>
      <c r="N149" s="232">
        <f>IF($A149="","",IF(AND('01_DANH_MUC'!$H139&gt;0,'01_DANH_MUC'!$G139&lt;$E$4,$E$4-'01_DANH_MUC'!$G139&gt;=61,$E$4-'01_DANH_MUC'!$G139&lt;=90),'01_DANH_MUC'!$H139,0)+SUMIFS('02_NHAT_KY'!$K$7:$K$506,'02_NHAT_KY'!$C$7:$C$506,$A149,'02_NHAT_KY'!$L$7:$L$506,"&gt;=61",'02_NHAT_KY'!$L$7:$L$506,"&lt;=90"))</f>
        <v/>
      </c>
      <c r="O149" s="232">
        <f>IF($A149="","",IF(AND('01_DANH_MUC'!$H139&gt;0,'01_DANH_MUC'!$G139&lt;$E$4,$E$4-'01_DANH_MUC'!$G139&gt;90),'01_DANH_MUC'!$H139,0)+SUMIFS('02_NHAT_KY'!$K$7:$K$506,'02_NHAT_KY'!$C$7:$C$506,$A149,'02_NHAT_KY'!$L$7:$L$506,"&gt;90"))</f>
        <v/>
      </c>
      <c r="P149" s="201">
        <f>IF($A149="","",IF($H149&lt;0,"DƯ ÂM/TRẢ TRƯỚC",IF(ABS($H149-SUM($K149:$O149))&lt;1,"OK","LỆCH TUỔI NỢ")))</f>
        <v/>
      </c>
    </row>
    <row r="150">
      <c r="A150" s="201">
        <f>IF('01_DANH_MUC'!$A140="","",'01_DANH_MUC'!$A140)</f>
        <v/>
      </c>
      <c r="B150" s="198">
        <f>IF($A150="","",'01_DANH_MUC'!$B140)</f>
        <v/>
      </c>
      <c r="C150" s="201">
        <f>IF($A150="","",'01_DANH_MUC'!$C140)</f>
        <v/>
      </c>
      <c r="D150" s="231">
        <f>IF($A150="","",'01_DANH_MUC'!$D140)</f>
        <v/>
      </c>
      <c r="E150" s="232">
        <f>IF($A150="","",'01_DANH_MUC'!$F140+SUMIFS('02_NHAT_KY'!$G$7:$G$506,'02_NHAT_KY'!$C$7:$C$506,$A150,'02_NHAT_KY'!$A$7:$A$506,"&lt;"&amp;$B$4)-SUMIFS('02_NHAT_KY'!$H$7:$H$506,'02_NHAT_KY'!$C$7:$C$506,$A150,'02_NHAT_KY'!$A$7:$A$506,"&lt;"&amp;$B$4))</f>
        <v/>
      </c>
      <c r="F150" s="232">
        <f>IF($A150="","",SUMIFS('02_NHAT_KY'!$G$7:$G$506,'02_NHAT_KY'!$C$7:$C$506,$A150,'02_NHAT_KY'!$A$7:$A$506,"&gt;="&amp;$B$4,'02_NHAT_KY'!$A$7:$A$506,"&lt;="&amp;$E$4))</f>
        <v/>
      </c>
      <c r="G150" s="232">
        <f>IF($A150="","",SUMIFS('02_NHAT_KY'!$H$7:$H$506,'02_NHAT_KY'!$C$7:$C$506,$A150,'02_NHAT_KY'!$A$7:$A$506,"&gt;="&amp;$B$4,'02_NHAT_KY'!$A$7:$A$506,"&lt;="&amp;$E$4))</f>
        <v/>
      </c>
      <c r="H150" s="232">
        <f>IF($A150="","",$E150+$F150-$G150)</f>
        <v/>
      </c>
      <c r="I150" s="233">
        <f>IF($A150="","",IF($H150&lt;=0,0,MAX(IF(AND('01_DANH_MUC'!$H140&gt;0,'01_DANH_MUC'!$G140&lt;&gt;""),MAX(0,$E$4-'01_DANH_MUC'!$G140),0),IFERROR(MAXIFS('02_NHAT_KY'!$L$7:$L$506,'02_NHAT_KY'!$C$7:$C$506,$A150),0))))</f>
        <v/>
      </c>
      <c r="J150" s="201">
        <f>IF($A150="","",IF($H150&lt;=0,"Không có dư nợ",IF($I150&gt;0,"Quá hạn","Trong hạn")))</f>
        <v/>
      </c>
      <c r="K150" s="232">
        <f>IF($A150="","",IF(AND('01_DANH_MUC'!$H140&gt;0,OR('01_DANH_MUC'!$G140="",'01_DANH_MUC'!$G140&gt;=$E$4)),'01_DANH_MUC'!$H140,0)+SUMIFS('02_NHAT_KY'!$K$7:$K$506,'02_NHAT_KY'!$C$7:$C$506,$A150,'02_NHAT_KY'!$J$7:$J$506,"&gt;="&amp;$E$4)+SUMIFS('02_NHAT_KY'!$K$7:$K$506,'02_NHAT_KY'!$C$7:$C$506,$A150,'02_NHAT_KY'!$J$7:$J$506,""))</f>
        <v/>
      </c>
      <c r="L150" s="232">
        <f>IF($A150="","",IF(AND('01_DANH_MUC'!$H140&gt;0,'01_DANH_MUC'!$G140&lt;$E$4,$E$4-'01_DANH_MUC'!$G140&lt;=30),'01_DANH_MUC'!$H140,0)+SUMIFS('02_NHAT_KY'!$K$7:$K$506,'02_NHAT_KY'!$C$7:$C$506,$A150,'02_NHAT_KY'!$L$7:$L$506,"&gt;=1",'02_NHAT_KY'!$L$7:$L$506,"&lt;=30"))</f>
        <v/>
      </c>
      <c r="M150" s="232">
        <f>IF($A150="","",IF(AND('01_DANH_MUC'!$H140&gt;0,'01_DANH_MUC'!$G140&lt;$E$4,$E$4-'01_DANH_MUC'!$G140&gt;=31,$E$4-'01_DANH_MUC'!$G140&lt;=60),'01_DANH_MUC'!$H140,0)+SUMIFS('02_NHAT_KY'!$K$7:$K$506,'02_NHAT_KY'!$C$7:$C$506,$A150,'02_NHAT_KY'!$L$7:$L$506,"&gt;=31",'02_NHAT_KY'!$L$7:$L$506,"&lt;=60"))</f>
        <v/>
      </c>
      <c r="N150" s="232">
        <f>IF($A150="","",IF(AND('01_DANH_MUC'!$H140&gt;0,'01_DANH_MUC'!$G140&lt;$E$4,$E$4-'01_DANH_MUC'!$G140&gt;=61,$E$4-'01_DANH_MUC'!$G140&lt;=90),'01_DANH_MUC'!$H140,0)+SUMIFS('02_NHAT_KY'!$K$7:$K$506,'02_NHAT_KY'!$C$7:$C$506,$A150,'02_NHAT_KY'!$L$7:$L$506,"&gt;=61",'02_NHAT_KY'!$L$7:$L$506,"&lt;=90"))</f>
        <v/>
      </c>
      <c r="O150" s="232">
        <f>IF($A150="","",IF(AND('01_DANH_MUC'!$H140&gt;0,'01_DANH_MUC'!$G140&lt;$E$4,$E$4-'01_DANH_MUC'!$G140&gt;90),'01_DANH_MUC'!$H140,0)+SUMIFS('02_NHAT_KY'!$K$7:$K$506,'02_NHAT_KY'!$C$7:$C$506,$A150,'02_NHAT_KY'!$L$7:$L$506,"&gt;90"))</f>
        <v/>
      </c>
      <c r="P150" s="201">
        <f>IF($A150="","",IF($H150&lt;0,"DƯ ÂM/TRẢ TRƯỚC",IF(ABS($H150-SUM($K150:$O150))&lt;1,"OK","LỆCH TUỔI NỢ")))</f>
        <v/>
      </c>
    </row>
    <row r="151">
      <c r="A151" s="201">
        <f>IF('01_DANH_MUC'!$A141="","",'01_DANH_MUC'!$A141)</f>
        <v/>
      </c>
      <c r="B151" s="198">
        <f>IF($A151="","",'01_DANH_MUC'!$B141)</f>
        <v/>
      </c>
      <c r="C151" s="201">
        <f>IF($A151="","",'01_DANH_MUC'!$C141)</f>
        <v/>
      </c>
      <c r="D151" s="231">
        <f>IF($A151="","",'01_DANH_MUC'!$D141)</f>
        <v/>
      </c>
      <c r="E151" s="232">
        <f>IF($A151="","",'01_DANH_MUC'!$F141+SUMIFS('02_NHAT_KY'!$G$7:$G$506,'02_NHAT_KY'!$C$7:$C$506,$A151,'02_NHAT_KY'!$A$7:$A$506,"&lt;"&amp;$B$4)-SUMIFS('02_NHAT_KY'!$H$7:$H$506,'02_NHAT_KY'!$C$7:$C$506,$A151,'02_NHAT_KY'!$A$7:$A$506,"&lt;"&amp;$B$4))</f>
        <v/>
      </c>
      <c r="F151" s="232">
        <f>IF($A151="","",SUMIFS('02_NHAT_KY'!$G$7:$G$506,'02_NHAT_KY'!$C$7:$C$506,$A151,'02_NHAT_KY'!$A$7:$A$506,"&gt;="&amp;$B$4,'02_NHAT_KY'!$A$7:$A$506,"&lt;="&amp;$E$4))</f>
        <v/>
      </c>
      <c r="G151" s="232">
        <f>IF($A151="","",SUMIFS('02_NHAT_KY'!$H$7:$H$506,'02_NHAT_KY'!$C$7:$C$506,$A151,'02_NHAT_KY'!$A$7:$A$506,"&gt;="&amp;$B$4,'02_NHAT_KY'!$A$7:$A$506,"&lt;="&amp;$E$4))</f>
        <v/>
      </c>
      <c r="H151" s="232">
        <f>IF($A151="","",$E151+$F151-$G151)</f>
        <v/>
      </c>
      <c r="I151" s="233">
        <f>IF($A151="","",IF($H151&lt;=0,0,MAX(IF(AND('01_DANH_MUC'!$H141&gt;0,'01_DANH_MUC'!$G141&lt;&gt;""),MAX(0,$E$4-'01_DANH_MUC'!$G141),0),IFERROR(MAXIFS('02_NHAT_KY'!$L$7:$L$506,'02_NHAT_KY'!$C$7:$C$506,$A151),0))))</f>
        <v/>
      </c>
      <c r="J151" s="201">
        <f>IF($A151="","",IF($H151&lt;=0,"Không có dư nợ",IF($I151&gt;0,"Quá hạn","Trong hạn")))</f>
        <v/>
      </c>
      <c r="K151" s="232">
        <f>IF($A151="","",IF(AND('01_DANH_MUC'!$H141&gt;0,OR('01_DANH_MUC'!$G141="",'01_DANH_MUC'!$G141&gt;=$E$4)),'01_DANH_MUC'!$H141,0)+SUMIFS('02_NHAT_KY'!$K$7:$K$506,'02_NHAT_KY'!$C$7:$C$506,$A151,'02_NHAT_KY'!$J$7:$J$506,"&gt;="&amp;$E$4)+SUMIFS('02_NHAT_KY'!$K$7:$K$506,'02_NHAT_KY'!$C$7:$C$506,$A151,'02_NHAT_KY'!$J$7:$J$506,""))</f>
        <v/>
      </c>
      <c r="L151" s="232">
        <f>IF($A151="","",IF(AND('01_DANH_MUC'!$H141&gt;0,'01_DANH_MUC'!$G141&lt;$E$4,$E$4-'01_DANH_MUC'!$G141&lt;=30),'01_DANH_MUC'!$H141,0)+SUMIFS('02_NHAT_KY'!$K$7:$K$506,'02_NHAT_KY'!$C$7:$C$506,$A151,'02_NHAT_KY'!$L$7:$L$506,"&gt;=1",'02_NHAT_KY'!$L$7:$L$506,"&lt;=30"))</f>
        <v/>
      </c>
      <c r="M151" s="232">
        <f>IF($A151="","",IF(AND('01_DANH_MUC'!$H141&gt;0,'01_DANH_MUC'!$G141&lt;$E$4,$E$4-'01_DANH_MUC'!$G141&gt;=31,$E$4-'01_DANH_MUC'!$G141&lt;=60),'01_DANH_MUC'!$H141,0)+SUMIFS('02_NHAT_KY'!$K$7:$K$506,'02_NHAT_KY'!$C$7:$C$506,$A151,'02_NHAT_KY'!$L$7:$L$506,"&gt;=31",'02_NHAT_KY'!$L$7:$L$506,"&lt;=60"))</f>
        <v/>
      </c>
      <c r="N151" s="232">
        <f>IF($A151="","",IF(AND('01_DANH_MUC'!$H141&gt;0,'01_DANH_MUC'!$G141&lt;$E$4,$E$4-'01_DANH_MUC'!$G141&gt;=61,$E$4-'01_DANH_MUC'!$G141&lt;=90),'01_DANH_MUC'!$H141,0)+SUMIFS('02_NHAT_KY'!$K$7:$K$506,'02_NHAT_KY'!$C$7:$C$506,$A151,'02_NHAT_KY'!$L$7:$L$506,"&gt;=61",'02_NHAT_KY'!$L$7:$L$506,"&lt;=90"))</f>
        <v/>
      </c>
      <c r="O151" s="232">
        <f>IF($A151="","",IF(AND('01_DANH_MUC'!$H141&gt;0,'01_DANH_MUC'!$G141&lt;$E$4,$E$4-'01_DANH_MUC'!$G141&gt;90),'01_DANH_MUC'!$H141,0)+SUMIFS('02_NHAT_KY'!$K$7:$K$506,'02_NHAT_KY'!$C$7:$C$506,$A151,'02_NHAT_KY'!$L$7:$L$506,"&gt;90"))</f>
        <v/>
      </c>
      <c r="P151" s="201">
        <f>IF($A151="","",IF($H151&lt;0,"DƯ ÂM/TRẢ TRƯỚC",IF(ABS($H151-SUM($K151:$O151))&lt;1,"OK","LỆCH TUỔI NỢ")))</f>
        <v/>
      </c>
    </row>
    <row r="152">
      <c r="A152" s="201">
        <f>IF('01_DANH_MUC'!$A142="","",'01_DANH_MUC'!$A142)</f>
        <v/>
      </c>
      <c r="B152" s="198">
        <f>IF($A152="","",'01_DANH_MUC'!$B142)</f>
        <v/>
      </c>
      <c r="C152" s="201">
        <f>IF($A152="","",'01_DANH_MUC'!$C142)</f>
        <v/>
      </c>
      <c r="D152" s="231">
        <f>IF($A152="","",'01_DANH_MUC'!$D142)</f>
        <v/>
      </c>
      <c r="E152" s="232">
        <f>IF($A152="","",'01_DANH_MUC'!$F142+SUMIFS('02_NHAT_KY'!$G$7:$G$506,'02_NHAT_KY'!$C$7:$C$506,$A152,'02_NHAT_KY'!$A$7:$A$506,"&lt;"&amp;$B$4)-SUMIFS('02_NHAT_KY'!$H$7:$H$506,'02_NHAT_KY'!$C$7:$C$506,$A152,'02_NHAT_KY'!$A$7:$A$506,"&lt;"&amp;$B$4))</f>
        <v/>
      </c>
      <c r="F152" s="232">
        <f>IF($A152="","",SUMIFS('02_NHAT_KY'!$G$7:$G$506,'02_NHAT_KY'!$C$7:$C$506,$A152,'02_NHAT_KY'!$A$7:$A$506,"&gt;="&amp;$B$4,'02_NHAT_KY'!$A$7:$A$506,"&lt;="&amp;$E$4))</f>
        <v/>
      </c>
      <c r="G152" s="232">
        <f>IF($A152="","",SUMIFS('02_NHAT_KY'!$H$7:$H$506,'02_NHAT_KY'!$C$7:$C$506,$A152,'02_NHAT_KY'!$A$7:$A$506,"&gt;="&amp;$B$4,'02_NHAT_KY'!$A$7:$A$506,"&lt;="&amp;$E$4))</f>
        <v/>
      </c>
      <c r="H152" s="232">
        <f>IF($A152="","",$E152+$F152-$G152)</f>
        <v/>
      </c>
      <c r="I152" s="233">
        <f>IF($A152="","",IF($H152&lt;=0,0,MAX(IF(AND('01_DANH_MUC'!$H142&gt;0,'01_DANH_MUC'!$G142&lt;&gt;""),MAX(0,$E$4-'01_DANH_MUC'!$G142),0),IFERROR(MAXIFS('02_NHAT_KY'!$L$7:$L$506,'02_NHAT_KY'!$C$7:$C$506,$A152),0))))</f>
        <v/>
      </c>
      <c r="J152" s="201">
        <f>IF($A152="","",IF($H152&lt;=0,"Không có dư nợ",IF($I152&gt;0,"Quá hạn","Trong hạn")))</f>
        <v/>
      </c>
      <c r="K152" s="232">
        <f>IF($A152="","",IF(AND('01_DANH_MUC'!$H142&gt;0,OR('01_DANH_MUC'!$G142="",'01_DANH_MUC'!$G142&gt;=$E$4)),'01_DANH_MUC'!$H142,0)+SUMIFS('02_NHAT_KY'!$K$7:$K$506,'02_NHAT_KY'!$C$7:$C$506,$A152,'02_NHAT_KY'!$J$7:$J$506,"&gt;="&amp;$E$4)+SUMIFS('02_NHAT_KY'!$K$7:$K$506,'02_NHAT_KY'!$C$7:$C$506,$A152,'02_NHAT_KY'!$J$7:$J$506,""))</f>
        <v/>
      </c>
      <c r="L152" s="232">
        <f>IF($A152="","",IF(AND('01_DANH_MUC'!$H142&gt;0,'01_DANH_MUC'!$G142&lt;$E$4,$E$4-'01_DANH_MUC'!$G142&lt;=30),'01_DANH_MUC'!$H142,0)+SUMIFS('02_NHAT_KY'!$K$7:$K$506,'02_NHAT_KY'!$C$7:$C$506,$A152,'02_NHAT_KY'!$L$7:$L$506,"&gt;=1",'02_NHAT_KY'!$L$7:$L$506,"&lt;=30"))</f>
        <v/>
      </c>
      <c r="M152" s="232">
        <f>IF($A152="","",IF(AND('01_DANH_MUC'!$H142&gt;0,'01_DANH_MUC'!$G142&lt;$E$4,$E$4-'01_DANH_MUC'!$G142&gt;=31,$E$4-'01_DANH_MUC'!$G142&lt;=60),'01_DANH_MUC'!$H142,0)+SUMIFS('02_NHAT_KY'!$K$7:$K$506,'02_NHAT_KY'!$C$7:$C$506,$A152,'02_NHAT_KY'!$L$7:$L$506,"&gt;=31",'02_NHAT_KY'!$L$7:$L$506,"&lt;=60"))</f>
        <v/>
      </c>
      <c r="N152" s="232">
        <f>IF($A152="","",IF(AND('01_DANH_MUC'!$H142&gt;0,'01_DANH_MUC'!$G142&lt;$E$4,$E$4-'01_DANH_MUC'!$G142&gt;=61,$E$4-'01_DANH_MUC'!$G142&lt;=90),'01_DANH_MUC'!$H142,0)+SUMIFS('02_NHAT_KY'!$K$7:$K$506,'02_NHAT_KY'!$C$7:$C$506,$A152,'02_NHAT_KY'!$L$7:$L$506,"&gt;=61",'02_NHAT_KY'!$L$7:$L$506,"&lt;=90"))</f>
        <v/>
      </c>
      <c r="O152" s="232">
        <f>IF($A152="","",IF(AND('01_DANH_MUC'!$H142&gt;0,'01_DANH_MUC'!$G142&lt;$E$4,$E$4-'01_DANH_MUC'!$G142&gt;90),'01_DANH_MUC'!$H142,0)+SUMIFS('02_NHAT_KY'!$K$7:$K$506,'02_NHAT_KY'!$C$7:$C$506,$A152,'02_NHAT_KY'!$L$7:$L$506,"&gt;90"))</f>
        <v/>
      </c>
      <c r="P152" s="201">
        <f>IF($A152="","",IF($H152&lt;0,"DƯ ÂM/TRẢ TRƯỚC",IF(ABS($H152-SUM($K152:$O152))&lt;1,"OK","LỆCH TUỔI NỢ")))</f>
        <v/>
      </c>
    </row>
    <row r="153">
      <c r="A153" s="201">
        <f>IF('01_DANH_MUC'!$A143="","",'01_DANH_MUC'!$A143)</f>
        <v/>
      </c>
      <c r="B153" s="198">
        <f>IF($A153="","",'01_DANH_MUC'!$B143)</f>
        <v/>
      </c>
      <c r="C153" s="201">
        <f>IF($A153="","",'01_DANH_MUC'!$C143)</f>
        <v/>
      </c>
      <c r="D153" s="231">
        <f>IF($A153="","",'01_DANH_MUC'!$D143)</f>
        <v/>
      </c>
      <c r="E153" s="232">
        <f>IF($A153="","",'01_DANH_MUC'!$F143+SUMIFS('02_NHAT_KY'!$G$7:$G$506,'02_NHAT_KY'!$C$7:$C$506,$A153,'02_NHAT_KY'!$A$7:$A$506,"&lt;"&amp;$B$4)-SUMIFS('02_NHAT_KY'!$H$7:$H$506,'02_NHAT_KY'!$C$7:$C$506,$A153,'02_NHAT_KY'!$A$7:$A$506,"&lt;"&amp;$B$4))</f>
        <v/>
      </c>
      <c r="F153" s="232">
        <f>IF($A153="","",SUMIFS('02_NHAT_KY'!$G$7:$G$506,'02_NHAT_KY'!$C$7:$C$506,$A153,'02_NHAT_KY'!$A$7:$A$506,"&gt;="&amp;$B$4,'02_NHAT_KY'!$A$7:$A$506,"&lt;="&amp;$E$4))</f>
        <v/>
      </c>
      <c r="G153" s="232">
        <f>IF($A153="","",SUMIFS('02_NHAT_KY'!$H$7:$H$506,'02_NHAT_KY'!$C$7:$C$506,$A153,'02_NHAT_KY'!$A$7:$A$506,"&gt;="&amp;$B$4,'02_NHAT_KY'!$A$7:$A$506,"&lt;="&amp;$E$4))</f>
        <v/>
      </c>
      <c r="H153" s="232">
        <f>IF($A153="","",$E153+$F153-$G153)</f>
        <v/>
      </c>
      <c r="I153" s="233">
        <f>IF($A153="","",IF($H153&lt;=0,0,MAX(IF(AND('01_DANH_MUC'!$H143&gt;0,'01_DANH_MUC'!$G143&lt;&gt;""),MAX(0,$E$4-'01_DANH_MUC'!$G143),0),IFERROR(MAXIFS('02_NHAT_KY'!$L$7:$L$506,'02_NHAT_KY'!$C$7:$C$506,$A153),0))))</f>
        <v/>
      </c>
      <c r="J153" s="201">
        <f>IF($A153="","",IF($H153&lt;=0,"Không có dư nợ",IF($I153&gt;0,"Quá hạn","Trong hạn")))</f>
        <v/>
      </c>
      <c r="K153" s="232">
        <f>IF($A153="","",IF(AND('01_DANH_MUC'!$H143&gt;0,OR('01_DANH_MUC'!$G143="",'01_DANH_MUC'!$G143&gt;=$E$4)),'01_DANH_MUC'!$H143,0)+SUMIFS('02_NHAT_KY'!$K$7:$K$506,'02_NHAT_KY'!$C$7:$C$506,$A153,'02_NHAT_KY'!$J$7:$J$506,"&gt;="&amp;$E$4)+SUMIFS('02_NHAT_KY'!$K$7:$K$506,'02_NHAT_KY'!$C$7:$C$506,$A153,'02_NHAT_KY'!$J$7:$J$506,""))</f>
        <v/>
      </c>
      <c r="L153" s="232">
        <f>IF($A153="","",IF(AND('01_DANH_MUC'!$H143&gt;0,'01_DANH_MUC'!$G143&lt;$E$4,$E$4-'01_DANH_MUC'!$G143&lt;=30),'01_DANH_MUC'!$H143,0)+SUMIFS('02_NHAT_KY'!$K$7:$K$506,'02_NHAT_KY'!$C$7:$C$506,$A153,'02_NHAT_KY'!$L$7:$L$506,"&gt;=1",'02_NHAT_KY'!$L$7:$L$506,"&lt;=30"))</f>
        <v/>
      </c>
      <c r="M153" s="232">
        <f>IF($A153="","",IF(AND('01_DANH_MUC'!$H143&gt;0,'01_DANH_MUC'!$G143&lt;$E$4,$E$4-'01_DANH_MUC'!$G143&gt;=31,$E$4-'01_DANH_MUC'!$G143&lt;=60),'01_DANH_MUC'!$H143,0)+SUMIFS('02_NHAT_KY'!$K$7:$K$506,'02_NHAT_KY'!$C$7:$C$506,$A153,'02_NHAT_KY'!$L$7:$L$506,"&gt;=31",'02_NHAT_KY'!$L$7:$L$506,"&lt;=60"))</f>
        <v/>
      </c>
      <c r="N153" s="232">
        <f>IF($A153="","",IF(AND('01_DANH_MUC'!$H143&gt;0,'01_DANH_MUC'!$G143&lt;$E$4,$E$4-'01_DANH_MUC'!$G143&gt;=61,$E$4-'01_DANH_MUC'!$G143&lt;=90),'01_DANH_MUC'!$H143,0)+SUMIFS('02_NHAT_KY'!$K$7:$K$506,'02_NHAT_KY'!$C$7:$C$506,$A153,'02_NHAT_KY'!$L$7:$L$506,"&gt;=61",'02_NHAT_KY'!$L$7:$L$506,"&lt;=90"))</f>
        <v/>
      </c>
      <c r="O153" s="232">
        <f>IF($A153="","",IF(AND('01_DANH_MUC'!$H143&gt;0,'01_DANH_MUC'!$G143&lt;$E$4,$E$4-'01_DANH_MUC'!$G143&gt;90),'01_DANH_MUC'!$H143,0)+SUMIFS('02_NHAT_KY'!$K$7:$K$506,'02_NHAT_KY'!$C$7:$C$506,$A153,'02_NHAT_KY'!$L$7:$L$506,"&gt;90"))</f>
        <v/>
      </c>
      <c r="P153" s="201">
        <f>IF($A153="","",IF($H153&lt;0,"DƯ ÂM/TRẢ TRƯỚC",IF(ABS($H153-SUM($K153:$O153))&lt;1,"OK","LỆCH TUỔI NỢ")))</f>
        <v/>
      </c>
    </row>
    <row r="154">
      <c r="A154" s="201">
        <f>IF('01_DANH_MUC'!$A144="","",'01_DANH_MUC'!$A144)</f>
        <v/>
      </c>
      <c r="B154" s="198">
        <f>IF($A154="","",'01_DANH_MUC'!$B144)</f>
        <v/>
      </c>
      <c r="C154" s="201">
        <f>IF($A154="","",'01_DANH_MUC'!$C144)</f>
        <v/>
      </c>
      <c r="D154" s="231">
        <f>IF($A154="","",'01_DANH_MUC'!$D144)</f>
        <v/>
      </c>
      <c r="E154" s="232">
        <f>IF($A154="","",'01_DANH_MUC'!$F144+SUMIFS('02_NHAT_KY'!$G$7:$G$506,'02_NHAT_KY'!$C$7:$C$506,$A154,'02_NHAT_KY'!$A$7:$A$506,"&lt;"&amp;$B$4)-SUMIFS('02_NHAT_KY'!$H$7:$H$506,'02_NHAT_KY'!$C$7:$C$506,$A154,'02_NHAT_KY'!$A$7:$A$506,"&lt;"&amp;$B$4))</f>
        <v/>
      </c>
      <c r="F154" s="232">
        <f>IF($A154="","",SUMIFS('02_NHAT_KY'!$G$7:$G$506,'02_NHAT_KY'!$C$7:$C$506,$A154,'02_NHAT_KY'!$A$7:$A$506,"&gt;="&amp;$B$4,'02_NHAT_KY'!$A$7:$A$506,"&lt;="&amp;$E$4))</f>
        <v/>
      </c>
      <c r="G154" s="232">
        <f>IF($A154="","",SUMIFS('02_NHAT_KY'!$H$7:$H$506,'02_NHAT_KY'!$C$7:$C$506,$A154,'02_NHAT_KY'!$A$7:$A$506,"&gt;="&amp;$B$4,'02_NHAT_KY'!$A$7:$A$506,"&lt;="&amp;$E$4))</f>
        <v/>
      </c>
      <c r="H154" s="232">
        <f>IF($A154="","",$E154+$F154-$G154)</f>
        <v/>
      </c>
      <c r="I154" s="233">
        <f>IF($A154="","",IF($H154&lt;=0,0,MAX(IF(AND('01_DANH_MUC'!$H144&gt;0,'01_DANH_MUC'!$G144&lt;&gt;""),MAX(0,$E$4-'01_DANH_MUC'!$G144),0),IFERROR(MAXIFS('02_NHAT_KY'!$L$7:$L$506,'02_NHAT_KY'!$C$7:$C$506,$A154),0))))</f>
        <v/>
      </c>
      <c r="J154" s="201">
        <f>IF($A154="","",IF($H154&lt;=0,"Không có dư nợ",IF($I154&gt;0,"Quá hạn","Trong hạn")))</f>
        <v/>
      </c>
      <c r="K154" s="232">
        <f>IF($A154="","",IF(AND('01_DANH_MUC'!$H144&gt;0,OR('01_DANH_MUC'!$G144="",'01_DANH_MUC'!$G144&gt;=$E$4)),'01_DANH_MUC'!$H144,0)+SUMIFS('02_NHAT_KY'!$K$7:$K$506,'02_NHAT_KY'!$C$7:$C$506,$A154,'02_NHAT_KY'!$J$7:$J$506,"&gt;="&amp;$E$4)+SUMIFS('02_NHAT_KY'!$K$7:$K$506,'02_NHAT_KY'!$C$7:$C$506,$A154,'02_NHAT_KY'!$J$7:$J$506,""))</f>
        <v/>
      </c>
      <c r="L154" s="232">
        <f>IF($A154="","",IF(AND('01_DANH_MUC'!$H144&gt;0,'01_DANH_MUC'!$G144&lt;$E$4,$E$4-'01_DANH_MUC'!$G144&lt;=30),'01_DANH_MUC'!$H144,0)+SUMIFS('02_NHAT_KY'!$K$7:$K$506,'02_NHAT_KY'!$C$7:$C$506,$A154,'02_NHAT_KY'!$L$7:$L$506,"&gt;=1",'02_NHAT_KY'!$L$7:$L$506,"&lt;=30"))</f>
        <v/>
      </c>
      <c r="M154" s="232">
        <f>IF($A154="","",IF(AND('01_DANH_MUC'!$H144&gt;0,'01_DANH_MUC'!$G144&lt;$E$4,$E$4-'01_DANH_MUC'!$G144&gt;=31,$E$4-'01_DANH_MUC'!$G144&lt;=60),'01_DANH_MUC'!$H144,0)+SUMIFS('02_NHAT_KY'!$K$7:$K$506,'02_NHAT_KY'!$C$7:$C$506,$A154,'02_NHAT_KY'!$L$7:$L$506,"&gt;=31",'02_NHAT_KY'!$L$7:$L$506,"&lt;=60"))</f>
        <v/>
      </c>
      <c r="N154" s="232">
        <f>IF($A154="","",IF(AND('01_DANH_MUC'!$H144&gt;0,'01_DANH_MUC'!$G144&lt;$E$4,$E$4-'01_DANH_MUC'!$G144&gt;=61,$E$4-'01_DANH_MUC'!$G144&lt;=90),'01_DANH_MUC'!$H144,0)+SUMIFS('02_NHAT_KY'!$K$7:$K$506,'02_NHAT_KY'!$C$7:$C$506,$A154,'02_NHAT_KY'!$L$7:$L$506,"&gt;=61",'02_NHAT_KY'!$L$7:$L$506,"&lt;=90"))</f>
        <v/>
      </c>
      <c r="O154" s="232">
        <f>IF($A154="","",IF(AND('01_DANH_MUC'!$H144&gt;0,'01_DANH_MUC'!$G144&lt;$E$4,$E$4-'01_DANH_MUC'!$G144&gt;90),'01_DANH_MUC'!$H144,0)+SUMIFS('02_NHAT_KY'!$K$7:$K$506,'02_NHAT_KY'!$C$7:$C$506,$A154,'02_NHAT_KY'!$L$7:$L$506,"&gt;90"))</f>
        <v/>
      </c>
      <c r="P154" s="201">
        <f>IF($A154="","",IF($H154&lt;0,"DƯ ÂM/TRẢ TRƯỚC",IF(ABS($H154-SUM($K154:$O154))&lt;1,"OK","LỆCH TUỔI NỢ")))</f>
        <v/>
      </c>
    </row>
    <row r="155">
      <c r="A155" s="201">
        <f>IF('01_DANH_MUC'!$A145="","",'01_DANH_MUC'!$A145)</f>
        <v/>
      </c>
      <c r="B155" s="198">
        <f>IF($A155="","",'01_DANH_MUC'!$B145)</f>
        <v/>
      </c>
      <c r="C155" s="201">
        <f>IF($A155="","",'01_DANH_MUC'!$C145)</f>
        <v/>
      </c>
      <c r="D155" s="231">
        <f>IF($A155="","",'01_DANH_MUC'!$D145)</f>
        <v/>
      </c>
      <c r="E155" s="232">
        <f>IF($A155="","",'01_DANH_MUC'!$F145+SUMIFS('02_NHAT_KY'!$G$7:$G$506,'02_NHAT_KY'!$C$7:$C$506,$A155,'02_NHAT_KY'!$A$7:$A$506,"&lt;"&amp;$B$4)-SUMIFS('02_NHAT_KY'!$H$7:$H$506,'02_NHAT_KY'!$C$7:$C$506,$A155,'02_NHAT_KY'!$A$7:$A$506,"&lt;"&amp;$B$4))</f>
        <v/>
      </c>
      <c r="F155" s="232">
        <f>IF($A155="","",SUMIFS('02_NHAT_KY'!$G$7:$G$506,'02_NHAT_KY'!$C$7:$C$506,$A155,'02_NHAT_KY'!$A$7:$A$506,"&gt;="&amp;$B$4,'02_NHAT_KY'!$A$7:$A$506,"&lt;="&amp;$E$4))</f>
        <v/>
      </c>
      <c r="G155" s="232">
        <f>IF($A155="","",SUMIFS('02_NHAT_KY'!$H$7:$H$506,'02_NHAT_KY'!$C$7:$C$506,$A155,'02_NHAT_KY'!$A$7:$A$506,"&gt;="&amp;$B$4,'02_NHAT_KY'!$A$7:$A$506,"&lt;="&amp;$E$4))</f>
        <v/>
      </c>
      <c r="H155" s="232">
        <f>IF($A155="","",$E155+$F155-$G155)</f>
        <v/>
      </c>
      <c r="I155" s="233">
        <f>IF($A155="","",IF($H155&lt;=0,0,MAX(IF(AND('01_DANH_MUC'!$H145&gt;0,'01_DANH_MUC'!$G145&lt;&gt;""),MAX(0,$E$4-'01_DANH_MUC'!$G145),0),IFERROR(MAXIFS('02_NHAT_KY'!$L$7:$L$506,'02_NHAT_KY'!$C$7:$C$506,$A155),0))))</f>
        <v/>
      </c>
      <c r="J155" s="201">
        <f>IF($A155="","",IF($H155&lt;=0,"Không có dư nợ",IF($I155&gt;0,"Quá hạn","Trong hạn")))</f>
        <v/>
      </c>
      <c r="K155" s="232">
        <f>IF($A155="","",IF(AND('01_DANH_MUC'!$H145&gt;0,OR('01_DANH_MUC'!$G145="",'01_DANH_MUC'!$G145&gt;=$E$4)),'01_DANH_MUC'!$H145,0)+SUMIFS('02_NHAT_KY'!$K$7:$K$506,'02_NHAT_KY'!$C$7:$C$506,$A155,'02_NHAT_KY'!$J$7:$J$506,"&gt;="&amp;$E$4)+SUMIFS('02_NHAT_KY'!$K$7:$K$506,'02_NHAT_KY'!$C$7:$C$506,$A155,'02_NHAT_KY'!$J$7:$J$506,""))</f>
        <v/>
      </c>
      <c r="L155" s="232">
        <f>IF($A155="","",IF(AND('01_DANH_MUC'!$H145&gt;0,'01_DANH_MUC'!$G145&lt;$E$4,$E$4-'01_DANH_MUC'!$G145&lt;=30),'01_DANH_MUC'!$H145,0)+SUMIFS('02_NHAT_KY'!$K$7:$K$506,'02_NHAT_KY'!$C$7:$C$506,$A155,'02_NHAT_KY'!$L$7:$L$506,"&gt;=1",'02_NHAT_KY'!$L$7:$L$506,"&lt;=30"))</f>
        <v/>
      </c>
      <c r="M155" s="232">
        <f>IF($A155="","",IF(AND('01_DANH_MUC'!$H145&gt;0,'01_DANH_MUC'!$G145&lt;$E$4,$E$4-'01_DANH_MUC'!$G145&gt;=31,$E$4-'01_DANH_MUC'!$G145&lt;=60),'01_DANH_MUC'!$H145,0)+SUMIFS('02_NHAT_KY'!$K$7:$K$506,'02_NHAT_KY'!$C$7:$C$506,$A155,'02_NHAT_KY'!$L$7:$L$506,"&gt;=31",'02_NHAT_KY'!$L$7:$L$506,"&lt;=60"))</f>
        <v/>
      </c>
      <c r="N155" s="232">
        <f>IF($A155="","",IF(AND('01_DANH_MUC'!$H145&gt;0,'01_DANH_MUC'!$G145&lt;$E$4,$E$4-'01_DANH_MUC'!$G145&gt;=61,$E$4-'01_DANH_MUC'!$G145&lt;=90),'01_DANH_MUC'!$H145,0)+SUMIFS('02_NHAT_KY'!$K$7:$K$506,'02_NHAT_KY'!$C$7:$C$506,$A155,'02_NHAT_KY'!$L$7:$L$506,"&gt;=61",'02_NHAT_KY'!$L$7:$L$506,"&lt;=90"))</f>
        <v/>
      </c>
      <c r="O155" s="232">
        <f>IF($A155="","",IF(AND('01_DANH_MUC'!$H145&gt;0,'01_DANH_MUC'!$G145&lt;$E$4,$E$4-'01_DANH_MUC'!$G145&gt;90),'01_DANH_MUC'!$H145,0)+SUMIFS('02_NHAT_KY'!$K$7:$K$506,'02_NHAT_KY'!$C$7:$C$506,$A155,'02_NHAT_KY'!$L$7:$L$506,"&gt;90"))</f>
        <v/>
      </c>
      <c r="P155" s="201">
        <f>IF($A155="","",IF($H155&lt;0,"DƯ ÂM/TRẢ TRƯỚC",IF(ABS($H155-SUM($K155:$O155))&lt;1,"OK","LỆCH TUỔI NỢ")))</f>
        <v/>
      </c>
    </row>
    <row r="156">
      <c r="A156" s="201">
        <f>IF('01_DANH_MUC'!$A146="","",'01_DANH_MUC'!$A146)</f>
        <v/>
      </c>
      <c r="B156" s="198">
        <f>IF($A156="","",'01_DANH_MUC'!$B146)</f>
        <v/>
      </c>
      <c r="C156" s="201">
        <f>IF($A156="","",'01_DANH_MUC'!$C146)</f>
        <v/>
      </c>
      <c r="D156" s="231">
        <f>IF($A156="","",'01_DANH_MUC'!$D146)</f>
        <v/>
      </c>
      <c r="E156" s="232">
        <f>IF($A156="","",'01_DANH_MUC'!$F146+SUMIFS('02_NHAT_KY'!$G$7:$G$506,'02_NHAT_KY'!$C$7:$C$506,$A156,'02_NHAT_KY'!$A$7:$A$506,"&lt;"&amp;$B$4)-SUMIFS('02_NHAT_KY'!$H$7:$H$506,'02_NHAT_KY'!$C$7:$C$506,$A156,'02_NHAT_KY'!$A$7:$A$506,"&lt;"&amp;$B$4))</f>
        <v/>
      </c>
      <c r="F156" s="232">
        <f>IF($A156="","",SUMIFS('02_NHAT_KY'!$G$7:$G$506,'02_NHAT_KY'!$C$7:$C$506,$A156,'02_NHAT_KY'!$A$7:$A$506,"&gt;="&amp;$B$4,'02_NHAT_KY'!$A$7:$A$506,"&lt;="&amp;$E$4))</f>
        <v/>
      </c>
      <c r="G156" s="232">
        <f>IF($A156="","",SUMIFS('02_NHAT_KY'!$H$7:$H$506,'02_NHAT_KY'!$C$7:$C$506,$A156,'02_NHAT_KY'!$A$7:$A$506,"&gt;="&amp;$B$4,'02_NHAT_KY'!$A$7:$A$506,"&lt;="&amp;$E$4))</f>
        <v/>
      </c>
      <c r="H156" s="232">
        <f>IF($A156="","",$E156+$F156-$G156)</f>
        <v/>
      </c>
      <c r="I156" s="233">
        <f>IF($A156="","",IF($H156&lt;=0,0,MAX(IF(AND('01_DANH_MUC'!$H146&gt;0,'01_DANH_MUC'!$G146&lt;&gt;""),MAX(0,$E$4-'01_DANH_MUC'!$G146),0),IFERROR(MAXIFS('02_NHAT_KY'!$L$7:$L$506,'02_NHAT_KY'!$C$7:$C$506,$A156),0))))</f>
        <v/>
      </c>
      <c r="J156" s="201">
        <f>IF($A156="","",IF($H156&lt;=0,"Không có dư nợ",IF($I156&gt;0,"Quá hạn","Trong hạn")))</f>
        <v/>
      </c>
      <c r="K156" s="232">
        <f>IF($A156="","",IF(AND('01_DANH_MUC'!$H146&gt;0,OR('01_DANH_MUC'!$G146="",'01_DANH_MUC'!$G146&gt;=$E$4)),'01_DANH_MUC'!$H146,0)+SUMIFS('02_NHAT_KY'!$K$7:$K$506,'02_NHAT_KY'!$C$7:$C$506,$A156,'02_NHAT_KY'!$J$7:$J$506,"&gt;="&amp;$E$4)+SUMIFS('02_NHAT_KY'!$K$7:$K$506,'02_NHAT_KY'!$C$7:$C$506,$A156,'02_NHAT_KY'!$J$7:$J$506,""))</f>
        <v/>
      </c>
      <c r="L156" s="232">
        <f>IF($A156="","",IF(AND('01_DANH_MUC'!$H146&gt;0,'01_DANH_MUC'!$G146&lt;$E$4,$E$4-'01_DANH_MUC'!$G146&lt;=30),'01_DANH_MUC'!$H146,0)+SUMIFS('02_NHAT_KY'!$K$7:$K$506,'02_NHAT_KY'!$C$7:$C$506,$A156,'02_NHAT_KY'!$L$7:$L$506,"&gt;=1",'02_NHAT_KY'!$L$7:$L$506,"&lt;=30"))</f>
        <v/>
      </c>
      <c r="M156" s="232">
        <f>IF($A156="","",IF(AND('01_DANH_MUC'!$H146&gt;0,'01_DANH_MUC'!$G146&lt;$E$4,$E$4-'01_DANH_MUC'!$G146&gt;=31,$E$4-'01_DANH_MUC'!$G146&lt;=60),'01_DANH_MUC'!$H146,0)+SUMIFS('02_NHAT_KY'!$K$7:$K$506,'02_NHAT_KY'!$C$7:$C$506,$A156,'02_NHAT_KY'!$L$7:$L$506,"&gt;=31",'02_NHAT_KY'!$L$7:$L$506,"&lt;=60"))</f>
        <v/>
      </c>
      <c r="N156" s="232">
        <f>IF($A156="","",IF(AND('01_DANH_MUC'!$H146&gt;0,'01_DANH_MUC'!$G146&lt;$E$4,$E$4-'01_DANH_MUC'!$G146&gt;=61,$E$4-'01_DANH_MUC'!$G146&lt;=90),'01_DANH_MUC'!$H146,0)+SUMIFS('02_NHAT_KY'!$K$7:$K$506,'02_NHAT_KY'!$C$7:$C$506,$A156,'02_NHAT_KY'!$L$7:$L$506,"&gt;=61",'02_NHAT_KY'!$L$7:$L$506,"&lt;=90"))</f>
        <v/>
      </c>
      <c r="O156" s="232">
        <f>IF($A156="","",IF(AND('01_DANH_MUC'!$H146&gt;0,'01_DANH_MUC'!$G146&lt;$E$4,$E$4-'01_DANH_MUC'!$G146&gt;90),'01_DANH_MUC'!$H146,0)+SUMIFS('02_NHAT_KY'!$K$7:$K$506,'02_NHAT_KY'!$C$7:$C$506,$A156,'02_NHAT_KY'!$L$7:$L$506,"&gt;90"))</f>
        <v/>
      </c>
      <c r="P156" s="201">
        <f>IF($A156="","",IF($H156&lt;0,"DƯ ÂM/TRẢ TRƯỚC",IF(ABS($H156-SUM($K156:$O156))&lt;1,"OK","LỆCH TUỔI NỢ")))</f>
        <v/>
      </c>
    </row>
    <row r="157">
      <c r="A157" s="201">
        <f>IF('01_DANH_MUC'!$A147="","",'01_DANH_MUC'!$A147)</f>
        <v/>
      </c>
      <c r="B157" s="198">
        <f>IF($A157="","",'01_DANH_MUC'!$B147)</f>
        <v/>
      </c>
      <c r="C157" s="201">
        <f>IF($A157="","",'01_DANH_MUC'!$C147)</f>
        <v/>
      </c>
      <c r="D157" s="231">
        <f>IF($A157="","",'01_DANH_MUC'!$D147)</f>
        <v/>
      </c>
      <c r="E157" s="232">
        <f>IF($A157="","",'01_DANH_MUC'!$F147+SUMIFS('02_NHAT_KY'!$G$7:$G$506,'02_NHAT_KY'!$C$7:$C$506,$A157,'02_NHAT_KY'!$A$7:$A$506,"&lt;"&amp;$B$4)-SUMIFS('02_NHAT_KY'!$H$7:$H$506,'02_NHAT_KY'!$C$7:$C$506,$A157,'02_NHAT_KY'!$A$7:$A$506,"&lt;"&amp;$B$4))</f>
        <v/>
      </c>
      <c r="F157" s="232">
        <f>IF($A157="","",SUMIFS('02_NHAT_KY'!$G$7:$G$506,'02_NHAT_KY'!$C$7:$C$506,$A157,'02_NHAT_KY'!$A$7:$A$506,"&gt;="&amp;$B$4,'02_NHAT_KY'!$A$7:$A$506,"&lt;="&amp;$E$4))</f>
        <v/>
      </c>
      <c r="G157" s="232">
        <f>IF($A157="","",SUMIFS('02_NHAT_KY'!$H$7:$H$506,'02_NHAT_KY'!$C$7:$C$506,$A157,'02_NHAT_KY'!$A$7:$A$506,"&gt;="&amp;$B$4,'02_NHAT_KY'!$A$7:$A$506,"&lt;="&amp;$E$4))</f>
        <v/>
      </c>
      <c r="H157" s="232">
        <f>IF($A157="","",$E157+$F157-$G157)</f>
        <v/>
      </c>
      <c r="I157" s="233">
        <f>IF($A157="","",IF($H157&lt;=0,0,MAX(IF(AND('01_DANH_MUC'!$H147&gt;0,'01_DANH_MUC'!$G147&lt;&gt;""),MAX(0,$E$4-'01_DANH_MUC'!$G147),0),IFERROR(MAXIFS('02_NHAT_KY'!$L$7:$L$506,'02_NHAT_KY'!$C$7:$C$506,$A157),0))))</f>
        <v/>
      </c>
      <c r="J157" s="201">
        <f>IF($A157="","",IF($H157&lt;=0,"Không có dư nợ",IF($I157&gt;0,"Quá hạn","Trong hạn")))</f>
        <v/>
      </c>
      <c r="K157" s="232">
        <f>IF($A157="","",IF(AND('01_DANH_MUC'!$H147&gt;0,OR('01_DANH_MUC'!$G147="",'01_DANH_MUC'!$G147&gt;=$E$4)),'01_DANH_MUC'!$H147,0)+SUMIFS('02_NHAT_KY'!$K$7:$K$506,'02_NHAT_KY'!$C$7:$C$506,$A157,'02_NHAT_KY'!$J$7:$J$506,"&gt;="&amp;$E$4)+SUMIFS('02_NHAT_KY'!$K$7:$K$506,'02_NHAT_KY'!$C$7:$C$506,$A157,'02_NHAT_KY'!$J$7:$J$506,""))</f>
        <v/>
      </c>
      <c r="L157" s="232">
        <f>IF($A157="","",IF(AND('01_DANH_MUC'!$H147&gt;0,'01_DANH_MUC'!$G147&lt;$E$4,$E$4-'01_DANH_MUC'!$G147&lt;=30),'01_DANH_MUC'!$H147,0)+SUMIFS('02_NHAT_KY'!$K$7:$K$506,'02_NHAT_KY'!$C$7:$C$506,$A157,'02_NHAT_KY'!$L$7:$L$506,"&gt;=1",'02_NHAT_KY'!$L$7:$L$506,"&lt;=30"))</f>
        <v/>
      </c>
      <c r="M157" s="232">
        <f>IF($A157="","",IF(AND('01_DANH_MUC'!$H147&gt;0,'01_DANH_MUC'!$G147&lt;$E$4,$E$4-'01_DANH_MUC'!$G147&gt;=31,$E$4-'01_DANH_MUC'!$G147&lt;=60),'01_DANH_MUC'!$H147,0)+SUMIFS('02_NHAT_KY'!$K$7:$K$506,'02_NHAT_KY'!$C$7:$C$506,$A157,'02_NHAT_KY'!$L$7:$L$506,"&gt;=31",'02_NHAT_KY'!$L$7:$L$506,"&lt;=60"))</f>
        <v/>
      </c>
      <c r="N157" s="232">
        <f>IF($A157="","",IF(AND('01_DANH_MUC'!$H147&gt;0,'01_DANH_MUC'!$G147&lt;$E$4,$E$4-'01_DANH_MUC'!$G147&gt;=61,$E$4-'01_DANH_MUC'!$G147&lt;=90),'01_DANH_MUC'!$H147,0)+SUMIFS('02_NHAT_KY'!$K$7:$K$506,'02_NHAT_KY'!$C$7:$C$506,$A157,'02_NHAT_KY'!$L$7:$L$506,"&gt;=61",'02_NHAT_KY'!$L$7:$L$506,"&lt;=90"))</f>
        <v/>
      </c>
      <c r="O157" s="232">
        <f>IF($A157="","",IF(AND('01_DANH_MUC'!$H147&gt;0,'01_DANH_MUC'!$G147&lt;$E$4,$E$4-'01_DANH_MUC'!$G147&gt;90),'01_DANH_MUC'!$H147,0)+SUMIFS('02_NHAT_KY'!$K$7:$K$506,'02_NHAT_KY'!$C$7:$C$506,$A157,'02_NHAT_KY'!$L$7:$L$506,"&gt;90"))</f>
        <v/>
      </c>
      <c r="P157" s="201">
        <f>IF($A157="","",IF($H157&lt;0,"DƯ ÂM/TRẢ TRƯỚC",IF(ABS($H157-SUM($K157:$O157))&lt;1,"OK","LỆCH TUỔI NỢ")))</f>
        <v/>
      </c>
    </row>
    <row r="158">
      <c r="A158" s="201">
        <f>IF('01_DANH_MUC'!$A148="","",'01_DANH_MUC'!$A148)</f>
        <v/>
      </c>
      <c r="B158" s="198">
        <f>IF($A158="","",'01_DANH_MUC'!$B148)</f>
        <v/>
      </c>
      <c r="C158" s="201">
        <f>IF($A158="","",'01_DANH_MUC'!$C148)</f>
        <v/>
      </c>
      <c r="D158" s="231">
        <f>IF($A158="","",'01_DANH_MUC'!$D148)</f>
        <v/>
      </c>
      <c r="E158" s="232">
        <f>IF($A158="","",'01_DANH_MUC'!$F148+SUMIFS('02_NHAT_KY'!$G$7:$G$506,'02_NHAT_KY'!$C$7:$C$506,$A158,'02_NHAT_KY'!$A$7:$A$506,"&lt;"&amp;$B$4)-SUMIFS('02_NHAT_KY'!$H$7:$H$506,'02_NHAT_KY'!$C$7:$C$506,$A158,'02_NHAT_KY'!$A$7:$A$506,"&lt;"&amp;$B$4))</f>
        <v/>
      </c>
      <c r="F158" s="232">
        <f>IF($A158="","",SUMIFS('02_NHAT_KY'!$G$7:$G$506,'02_NHAT_KY'!$C$7:$C$506,$A158,'02_NHAT_KY'!$A$7:$A$506,"&gt;="&amp;$B$4,'02_NHAT_KY'!$A$7:$A$506,"&lt;="&amp;$E$4))</f>
        <v/>
      </c>
      <c r="G158" s="232">
        <f>IF($A158="","",SUMIFS('02_NHAT_KY'!$H$7:$H$506,'02_NHAT_KY'!$C$7:$C$506,$A158,'02_NHAT_KY'!$A$7:$A$506,"&gt;="&amp;$B$4,'02_NHAT_KY'!$A$7:$A$506,"&lt;="&amp;$E$4))</f>
        <v/>
      </c>
      <c r="H158" s="232">
        <f>IF($A158="","",$E158+$F158-$G158)</f>
        <v/>
      </c>
      <c r="I158" s="233">
        <f>IF($A158="","",IF($H158&lt;=0,0,MAX(IF(AND('01_DANH_MUC'!$H148&gt;0,'01_DANH_MUC'!$G148&lt;&gt;""),MAX(0,$E$4-'01_DANH_MUC'!$G148),0),IFERROR(MAXIFS('02_NHAT_KY'!$L$7:$L$506,'02_NHAT_KY'!$C$7:$C$506,$A158),0))))</f>
        <v/>
      </c>
      <c r="J158" s="201">
        <f>IF($A158="","",IF($H158&lt;=0,"Không có dư nợ",IF($I158&gt;0,"Quá hạn","Trong hạn")))</f>
        <v/>
      </c>
      <c r="K158" s="232">
        <f>IF($A158="","",IF(AND('01_DANH_MUC'!$H148&gt;0,OR('01_DANH_MUC'!$G148="",'01_DANH_MUC'!$G148&gt;=$E$4)),'01_DANH_MUC'!$H148,0)+SUMIFS('02_NHAT_KY'!$K$7:$K$506,'02_NHAT_KY'!$C$7:$C$506,$A158,'02_NHAT_KY'!$J$7:$J$506,"&gt;="&amp;$E$4)+SUMIFS('02_NHAT_KY'!$K$7:$K$506,'02_NHAT_KY'!$C$7:$C$506,$A158,'02_NHAT_KY'!$J$7:$J$506,""))</f>
        <v/>
      </c>
      <c r="L158" s="232">
        <f>IF($A158="","",IF(AND('01_DANH_MUC'!$H148&gt;0,'01_DANH_MUC'!$G148&lt;$E$4,$E$4-'01_DANH_MUC'!$G148&lt;=30),'01_DANH_MUC'!$H148,0)+SUMIFS('02_NHAT_KY'!$K$7:$K$506,'02_NHAT_KY'!$C$7:$C$506,$A158,'02_NHAT_KY'!$L$7:$L$506,"&gt;=1",'02_NHAT_KY'!$L$7:$L$506,"&lt;=30"))</f>
        <v/>
      </c>
      <c r="M158" s="232">
        <f>IF($A158="","",IF(AND('01_DANH_MUC'!$H148&gt;0,'01_DANH_MUC'!$G148&lt;$E$4,$E$4-'01_DANH_MUC'!$G148&gt;=31,$E$4-'01_DANH_MUC'!$G148&lt;=60),'01_DANH_MUC'!$H148,0)+SUMIFS('02_NHAT_KY'!$K$7:$K$506,'02_NHAT_KY'!$C$7:$C$506,$A158,'02_NHAT_KY'!$L$7:$L$506,"&gt;=31",'02_NHAT_KY'!$L$7:$L$506,"&lt;=60"))</f>
        <v/>
      </c>
      <c r="N158" s="232">
        <f>IF($A158="","",IF(AND('01_DANH_MUC'!$H148&gt;0,'01_DANH_MUC'!$G148&lt;$E$4,$E$4-'01_DANH_MUC'!$G148&gt;=61,$E$4-'01_DANH_MUC'!$G148&lt;=90),'01_DANH_MUC'!$H148,0)+SUMIFS('02_NHAT_KY'!$K$7:$K$506,'02_NHAT_KY'!$C$7:$C$506,$A158,'02_NHAT_KY'!$L$7:$L$506,"&gt;=61",'02_NHAT_KY'!$L$7:$L$506,"&lt;=90"))</f>
        <v/>
      </c>
      <c r="O158" s="232">
        <f>IF($A158="","",IF(AND('01_DANH_MUC'!$H148&gt;0,'01_DANH_MUC'!$G148&lt;$E$4,$E$4-'01_DANH_MUC'!$G148&gt;90),'01_DANH_MUC'!$H148,0)+SUMIFS('02_NHAT_KY'!$K$7:$K$506,'02_NHAT_KY'!$C$7:$C$506,$A158,'02_NHAT_KY'!$L$7:$L$506,"&gt;90"))</f>
        <v/>
      </c>
      <c r="P158" s="201">
        <f>IF($A158="","",IF($H158&lt;0,"DƯ ÂM/TRẢ TRƯỚC",IF(ABS($H158-SUM($K158:$O158))&lt;1,"OK","LỆCH TUỔI NỢ")))</f>
        <v/>
      </c>
    </row>
    <row r="159">
      <c r="A159" s="201">
        <f>IF('01_DANH_MUC'!$A149="","",'01_DANH_MUC'!$A149)</f>
        <v/>
      </c>
      <c r="B159" s="198">
        <f>IF($A159="","",'01_DANH_MUC'!$B149)</f>
        <v/>
      </c>
      <c r="C159" s="201">
        <f>IF($A159="","",'01_DANH_MUC'!$C149)</f>
        <v/>
      </c>
      <c r="D159" s="231">
        <f>IF($A159="","",'01_DANH_MUC'!$D149)</f>
        <v/>
      </c>
      <c r="E159" s="232">
        <f>IF($A159="","",'01_DANH_MUC'!$F149+SUMIFS('02_NHAT_KY'!$G$7:$G$506,'02_NHAT_KY'!$C$7:$C$506,$A159,'02_NHAT_KY'!$A$7:$A$506,"&lt;"&amp;$B$4)-SUMIFS('02_NHAT_KY'!$H$7:$H$506,'02_NHAT_KY'!$C$7:$C$506,$A159,'02_NHAT_KY'!$A$7:$A$506,"&lt;"&amp;$B$4))</f>
        <v/>
      </c>
      <c r="F159" s="232">
        <f>IF($A159="","",SUMIFS('02_NHAT_KY'!$G$7:$G$506,'02_NHAT_KY'!$C$7:$C$506,$A159,'02_NHAT_KY'!$A$7:$A$506,"&gt;="&amp;$B$4,'02_NHAT_KY'!$A$7:$A$506,"&lt;="&amp;$E$4))</f>
        <v/>
      </c>
      <c r="G159" s="232">
        <f>IF($A159="","",SUMIFS('02_NHAT_KY'!$H$7:$H$506,'02_NHAT_KY'!$C$7:$C$506,$A159,'02_NHAT_KY'!$A$7:$A$506,"&gt;="&amp;$B$4,'02_NHAT_KY'!$A$7:$A$506,"&lt;="&amp;$E$4))</f>
        <v/>
      </c>
      <c r="H159" s="232">
        <f>IF($A159="","",$E159+$F159-$G159)</f>
        <v/>
      </c>
      <c r="I159" s="233">
        <f>IF($A159="","",IF($H159&lt;=0,0,MAX(IF(AND('01_DANH_MUC'!$H149&gt;0,'01_DANH_MUC'!$G149&lt;&gt;""),MAX(0,$E$4-'01_DANH_MUC'!$G149),0),IFERROR(MAXIFS('02_NHAT_KY'!$L$7:$L$506,'02_NHAT_KY'!$C$7:$C$506,$A159),0))))</f>
        <v/>
      </c>
      <c r="J159" s="201">
        <f>IF($A159="","",IF($H159&lt;=0,"Không có dư nợ",IF($I159&gt;0,"Quá hạn","Trong hạn")))</f>
        <v/>
      </c>
      <c r="K159" s="232">
        <f>IF($A159="","",IF(AND('01_DANH_MUC'!$H149&gt;0,OR('01_DANH_MUC'!$G149="",'01_DANH_MUC'!$G149&gt;=$E$4)),'01_DANH_MUC'!$H149,0)+SUMIFS('02_NHAT_KY'!$K$7:$K$506,'02_NHAT_KY'!$C$7:$C$506,$A159,'02_NHAT_KY'!$J$7:$J$506,"&gt;="&amp;$E$4)+SUMIFS('02_NHAT_KY'!$K$7:$K$506,'02_NHAT_KY'!$C$7:$C$506,$A159,'02_NHAT_KY'!$J$7:$J$506,""))</f>
        <v/>
      </c>
      <c r="L159" s="232">
        <f>IF($A159="","",IF(AND('01_DANH_MUC'!$H149&gt;0,'01_DANH_MUC'!$G149&lt;$E$4,$E$4-'01_DANH_MUC'!$G149&lt;=30),'01_DANH_MUC'!$H149,0)+SUMIFS('02_NHAT_KY'!$K$7:$K$506,'02_NHAT_KY'!$C$7:$C$506,$A159,'02_NHAT_KY'!$L$7:$L$506,"&gt;=1",'02_NHAT_KY'!$L$7:$L$506,"&lt;=30"))</f>
        <v/>
      </c>
      <c r="M159" s="232">
        <f>IF($A159="","",IF(AND('01_DANH_MUC'!$H149&gt;0,'01_DANH_MUC'!$G149&lt;$E$4,$E$4-'01_DANH_MUC'!$G149&gt;=31,$E$4-'01_DANH_MUC'!$G149&lt;=60),'01_DANH_MUC'!$H149,0)+SUMIFS('02_NHAT_KY'!$K$7:$K$506,'02_NHAT_KY'!$C$7:$C$506,$A159,'02_NHAT_KY'!$L$7:$L$506,"&gt;=31",'02_NHAT_KY'!$L$7:$L$506,"&lt;=60"))</f>
        <v/>
      </c>
      <c r="N159" s="232">
        <f>IF($A159="","",IF(AND('01_DANH_MUC'!$H149&gt;0,'01_DANH_MUC'!$G149&lt;$E$4,$E$4-'01_DANH_MUC'!$G149&gt;=61,$E$4-'01_DANH_MUC'!$G149&lt;=90),'01_DANH_MUC'!$H149,0)+SUMIFS('02_NHAT_KY'!$K$7:$K$506,'02_NHAT_KY'!$C$7:$C$506,$A159,'02_NHAT_KY'!$L$7:$L$506,"&gt;=61",'02_NHAT_KY'!$L$7:$L$506,"&lt;=90"))</f>
        <v/>
      </c>
      <c r="O159" s="232">
        <f>IF($A159="","",IF(AND('01_DANH_MUC'!$H149&gt;0,'01_DANH_MUC'!$G149&lt;$E$4,$E$4-'01_DANH_MUC'!$G149&gt;90),'01_DANH_MUC'!$H149,0)+SUMIFS('02_NHAT_KY'!$K$7:$K$506,'02_NHAT_KY'!$C$7:$C$506,$A159,'02_NHAT_KY'!$L$7:$L$506,"&gt;90"))</f>
        <v/>
      </c>
      <c r="P159" s="201">
        <f>IF($A159="","",IF($H159&lt;0,"DƯ ÂM/TRẢ TRƯỚC",IF(ABS($H159-SUM($K159:$O159))&lt;1,"OK","LỆCH TUỔI NỢ")))</f>
        <v/>
      </c>
    </row>
    <row r="160">
      <c r="A160" s="201">
        <f>IF('01_DANH_MUC'!$A150="","",'01_DANH_MUC'!$A150)</f>
        <v/>
      </c>
      <c r="B160" s="198">
        <f>IF($A160="","",'01_DANH_MUC'!$B150)</f>
        <v/>
      </c>
      <c r="C160" s="201">
        <f>IF($A160="","",'01_DANH_MUC'!$C150)</f>
        <v/>
      </c>
      <c r="D160" s="231">
        <f>IF($A160="","",'01_DANH_MUC'!$D150)</f>
        <v/>
      </c>
      <c r="E160" s="232">
        <f>IF($A160="","",'01_DANH_MUC'!$F150+SUMIFS('02_NHAT_KY'!$G$7:$G$506,'02_NHAT_KY'!$C$7:$C$506,$A160,'02_NHAT_KY'!$A$7:$A$506,"&lt;"&amp;$B$4)-SUMIFS('02_NHAT_KY'!$H$7:$H$506,'02_NHAT_KY'!$C$7:$C$506,$A160,'02_NHAT_KY'!$A$7:$A$506,"&lt;"&amp;$B$4))</f>
        <v/>
      </c>
      <c r="F160" s="232">
        <f>IF($A160="","",SUMIFS('02_NHAT_KY'!$G$7:$G$506,'02_NHAT_KY'!$C$7:$C$506,$A160,'02_NHAT_KY'!$A$7:$A$506,"&gt;="&amp;$B$4,'02_NHAT_KY'!$A$7:$A$506,"&lt;="&amp;$E$4))</f>
        <v/>
      </c>
      <c r="G160" s="232">
        <f>IF($A160="","",SUMIFS('02_NHAT_KY'!$H$7:$H$506,'02_NHAT_KY'!$C$7:$C$506,$A160,'02_NHAT_KY'!$A$7:$A$506,"&gt;="&amp;$B$4,'02_NHAT_KY'!$A$7:$A$506,"&lt;="&amp;$E$4))</f>
        <v/>
      </c>
      <c r="H160" s="232">
        <f>IF($A160="","",$E160+$F160-$G160)</f>
        <v/>
      </c>
      <c r="I160" s="233">
        <f>IF($A160="","",IF($H160&lt;=0,0,MAX(IF(AND('01_DANH_MUC'!$H150&gt;0,'01_DANH_MUC'!$G150&lt;&gt;""),MAX(0,$E$4-'01_DANH_MUC'!$G150),0),IFERROR(MAXIFS('02_NHAT_KY'!$L$7:$L$506,'02_NHAT_KY'!$C$7:$C$506,$A160),0))))</f>
        <v/>
      </c>
      <c r="J160" s="201">
        <f>IF($A160="","",IF($H160&lt;=0,"Không có dư nợ",IF($I160&gt;0,"Quá hạn","Trong hạn")))</f>
        <v/>
      </c>
      <c r="K160" s="232">
        <f>IF($A160="","",IF(AND('01_DANH_MUC'!$H150&gt;0,OR('01_DANH_MUC'!$G150="",'01_DANH_MUC'!$G150&gt;=$E$4)),'01_DANH_MUC'!$H150,0)+SUMIFS('02_NHAT_KY'!$K$7:$K$506,'02_NHAT_KY'!$C$7:$C$506,$A160,'02_NHAT_KY'!$J$7:$J$506,"&gt;="&amp;$E$4)+SUMIFS('02_NHAT_KY'!$K$7:$K$506,'02_NHAT_KY'!$C$7:$C$506,$A160,'02_NHAT_KY'!$J$7:$J$506,""))</f>
        <v/>
      </c>
      <c r="L160" s="232">
        <f>IF($A160="","",IF(AND('01_DANH_MUC'!$H150&gt;0,'01_DANH_MUC'!$G150&lt;$E$4,$E$4-'01_DANH_MUC'!$G150&lt;=30),'01_DANH_MUC'!$H150,0)+SUMIFS('02_NHAT_KY'!$K$7:$K$506,'02_NHAT_KY'!$C$7:$C$506,$A160,'02_NHAT_KY'!$L$7:$L$506,"&gt;=1",'02_NHAT_KY'!$L$7:$L$506,"&lt;=30"))</f>
        <v/>
      </c>
      <c r="M160" s="232">
        <f>IF($A160="","",IF(AND('01_DANH_MUC'!$H150&gt;0,'01_DANH_MUC'!$G150&lt;$E$4,$E$4-'01_DANH_MUC'!$G150&gt;=31,$E$4-'01_DANH_MUC'!$G150&lt;=60),'01_DANH_MUC'!$H150,0)+SUMIFS('02_NHAT_KY'!$K$7:$K$506,'02_NHAT_KY'!$C$7:$C$506,$A160,'02_NHAT_KY'!$L$7:$L$506,"&gt;=31",'02_NHAT_KY'!$L$7:$L$506,"&lt;=60"))</f>
        <v/>
      </c>
      <c r="N160" s="232">
        <f>IF($A160="","",IF(AND('01_DANH_MUC'!$H150&gt;0,'01_DANH_MUC'!$G150&lt;$E$4,$E$4-'01_DANH_MUC'!$G150&gt;=61,$E$4-'01_DANH_MUC'!$G150&lt;=90),'01_DANH_MUC'!$H150,0)+SUMIFS('02_NHAT_KY'!$K$7:$K$506,'02_NHAT_KY'!$C$7:$C$506,$A160,'02_NHAT_KY'!$L$7:$L$506,"&gt;=61",'02_NHAT_KY'!$L$7:$L$506,"&lt;=90"))</f>
        <v/>
      </c>
      <c r="O160" s="232">
        <f>IF($A160="","",IF(AND('01_DANH_MUC'!$H150&gt;0,'01_DANH_MUC'!$G150&lt;$E$4,$E$4-'01_DANH_MUC'!$G150&gt;90),'01_DANH_MUC'!$H150,0)+SUMIFS('02_NHAT_KY'!$K$7:$K$506,'02_NHAT_KY'!$C$7:$C$506,$A160,'02_NHAT_KY'!$L$7:$L$506,"&gt;90"))</f>
        <v/>
      </c>
      <c r="P160" s="201">
        <f>IF($A160="","",IF($H160&lt;0,"DƯ ÂM/TRẢ TRƯỚC",IF(ABS($H160-SUM($K160:$O160))&lt;1,"OK","LỆCH TUỔI NỢ")))</f>
        <v/>
      </c>
    </row>
    <row r="161">
      <c r="A161" s="201">
        <f>IF('01_DANH_MUC'!$A151="","",'01_DANH_MUC'!$A151)</f>
        <v/>
      </c>
      <c r="B161" s="198">
        <f>IF($A161="","",'01_DANH_MUC'!$B151)</f>
        <v/>
      </c>
      <c r="C161" s="201">
        <f>IF($A161="","",'01_DANH_MUC'!$C151)</f>
        <v/>
      </c>
      <c r="D161" s="231">
        <f>IF($A161="","",'01_DANH_MUC'!$D151)</f>
        <v/>
      </c>
      <c r="E161" s="232">
        <f>IF($A161="","",'01_DANH_MUC'!$F151+SUMIFS('02_NHAT_KY'!$G$7:$G$506,'02_NHAT_KY'!$C$7:$C$506,$A161,'02_NHAT_KY'!$A$7:$A$506,"&lt;"&amp;$B$4)-SUMIFS('02_NHAT_KY'!$H$7:$H$506,'02_NHAT_KY'!$C$7:$C$506,$A161,'02_NHAT_KY'!$A$7:$A$506,"&lt;"&amp;$B$4))</f>
        <v/>
      </c>
      <c r="F161" s="232">
        <f>IF($A161="","",SUMIFS('02_NHAT_KY'!$G$7:$G$506,'02_NHAT_KY'!$C$7:$C$506,$A161,'02_NHAT_KY'!$A$7:$A$506,"&gt;="&amp;$B$4,'02_NHAT_KY'!$A$7:$A$506,"&lt;="&amp;$E$4))</f>
        <v/>
      </c>
      <c r="G161" s="232">
        <f>IF($A161="","",SUMIFS('02_NHAT_KY'!$H$7:$H$506,'02_NHAT_KY'!$C$7:$C$506,$A161,'02_NHAT_KY'!$A$7:$A$506,"&gt;="&amp;$B$4,'02_NHAT_KY'!$A$7:$A$506,"&lt;="&amp;$E$4))</f>
        <v/>
      </c>
      <c r="H161" s="232">
        <f>IF($A161="","",$E161+$F161-$G161)</f>
        <v/>
      </c>
      <c r="I161" s="233">
        <f>IF($A161="","",IF($H161&lt;=0,0,MAX(IF(AND('01_DANH_MUC'!$H151&gt;0,'01_DANH_MUC'!$G151&lt;&gt;""),MAX(0,$E$4-'01_DANH_MUC'!$G151),0),IFERROR(MAXIFS('02_NHAT_KY'!$L$7:$L$506,'02_NHAT_KY'!$C$7:$C$506,$A161),0))))</f>
        <v/>
      </c>
      <c r="J161" s="201">
        <f>IF($A161="","",IF($H161&lt;=0,"Không có dư nợ",IF($I161&gt;0,"Quá hạn","Trong hạn")))</f>
        <v/>
      </c>
      <c r="K161" s="232">
        <f>IF($A161="","",IF(AND('01_DANH_MUC'!$H151&gt;0,OR('01_DANH_MUC'!$G151="",'01_DANH_MUC'!$G151&gt;=$E$4)),'01_DANH_MUC'!$H151,0)+SUMIFS('02_NHAT_KY'!$K$7:$K$506,'02_NHAT_KY'!$C$7:$C$506,$A161,'02_NHAT_KY'!$J$7:$J$506,"&gt;="&amp;$E$4)+SUMIFS('02_NHAT_KY'!$K$7:$K$506,'02_NHAT_KY'!$C$7:$C$506,$A161,'02_NHAT_KY'!$J$7:$J$506,""))</f>
        <v/>
      </c>
      <c r="L161" s="232">
        <f>IF($A161="","",IF(AND('01_DANH_MUC'!$H151&gt;0,'01_DANH_MUC'!$G151&lt;$E$4,$E$4-'01_DANH_MUC'!$G151&lt;=30),'01_DANH_MUC'!$H151,0)+SUMIFS('02_NHAT_KY'!$K$7:$K$506,'02_NHAT_KY'!$C$7:$C$506,$A161,'02_NHAT_KY'!$L$7:$L$506,"&gt;=1",'02_NHAT_KY'!$L$7:$L$506,"&lt;=30"))</f>
        <v/>
      </c>
      <c r="M161" s="232">
        <f>IF($A161="","",IF(AND('01_DANH_MUC'!$H151&gt;0,'01_DANH_MUC'!$G151&lt;$E$4,$E$4-'01_DANH_MUC'!$G151&gt;=31,$E$4-'01_DANH_MUC'!$G151&lt;=60),'01_DANH_MUC'!$H151,0)+SUMIFS('02_NHAT_KY'!$K$7:$K$506,'02_NHAT_KY'!$C$7:$C$506,$A161,'02_NHAT_KY'!$L$7:$L$506,"&gt;=31",'02_NHAT_KY'!$L$7:$L$506,"&lt;=60"))</f>
        <v/>
      </c>
      <c r="N161" s="232">
        <f>IF($A161="","",IF(AND('01_DANH_MUC'!$H151&gt;0,'01_DANH_MUC'!$G151&lt;$E$4,$E$4-'01_DANH_MUC'!$G151&gt;=61,$E$4-'01_DANH_MUC'!$G151&lt;=90),'01_DANH_MUC'!$H151,0)+SUMIFS('02_NHAT_KY'!$K$7:$K$506,'02_NHAT_KY'!$C$7:$C$506,$A161,'02_NHAT_KY'!$L$7:$L$506,"&gt;=61",'02_NHAT_KY'!$L$7:$L$506,"&lt;=90"))</f>
        <v/>
      </c>
      <c r="O161" s="232">
        <f>IF($A161="","",IF(AND('01_DANH_MUC'!$H151&gt;0,'01_DANH_MUC'!$G151&lt;$E$4,$E$4-'01_DANH_MUC'!$G151&gt;90),'01_DANH_MUC'!$H151,0)+SUMIFS('02_NHAT_KY'!$K$7:$K$506,'02_NHAT_KY'!$C$7:$C$506,$A161,'02_NHAT_KY'!$L$7:$L$506,"&gt;90"))</f>
        <v/>
      </c>
      <c r="P161" s="201">
        <f>IF($A161="","",IF($H161&lt;0,"DƯ ÂM/TRẢ TRƯỚC",IF(ABS($H161-SUM($K161:$O161))&lt;1,"OK","LỆCH TUỔI NỢ")))</f>
        <v/>
      </c>
    </row>
    <row r="162">
      <c r="A162" s="201">
        <f>IF('01_DANH_MUC'!$A152="","",'01_DANH_MUC'!$A152)</f>
        <v/>
      </c>
      <c r="B162" s="198">
        <f>IF($A162="","",'01_DANH_MUC'!$B152)</f>
        <v/>
      </c>
      <c r="C162" s="201">
        <f>IF($A162="","",'01_DANH_MUC'!$C152)</f>
        <v/>
      </c>
      <c r="D162" s="231">
        <f>IF($A162="","",'01_DANH_MUC'!$D152)</f>
        <v/>
      </c>
      <c r="E162" s="232">
        <f>IF($A162="","",'01_DANH_MUC'!$F152+SUMIFS('02_NHAT_KY'!$G$7:$G$506,'02_NHAT_KY'!$C$7:$C$506,$A162,'02_NHAT_KY'!$A$7:$A$506,"&lt;"&amp;$B$4)-SUMIFS('02_NHAT_KY'!$H$7:$H$506,'02_NHAT_KY'!$C$7:$C$506,$A162,'02_NHAT_KY'!$A$7:$A$506,"&lt;"&amp;$B$4))</f>
        <v/>
      </c>
      <c r="F162" s="232">
        <f>IF($A162="","",SUMIFS('02_NHAT_KY'!$G$7:$G$506,'02_NHAT_KY'!$C$7:$C$506,$A162,'02_NHAT_KY'!$A$7:$A$506,"&gt;="&amp;$B$4,'02_NHAT_KY'!$A$7:$A$506,"&lt;="&amp;$E$4))</f>
        <v/>
      </c>
      <c r="G162" s="232">
        <f>IF($A162="","",SUMIFS('02_NHAT_KY'!$H$7:$H$506,'02_NHAT_KY'!$C$7:$C$506,$A162,'02_NHAT_KY'!$A$7:$A$506,"&gt;="&amp;$B$4,'02_NHAT_KY'!$A$7:$A$506,"&lt;="&amp;$E$4))</f>
        <v/>
      </c>
      <c r="H162" s="232">
        <f>IF($A162="","",$E162+$F162-$G162)</f>
        <v/>
      </c>
      <c r="I162" s="233">
        <f>IF($A162="","",IF($H162&lt;=0,0,MAX(IF(AND('01_DANH_MUC'!$H152&gt;0,'01_DANH_MUC'!$G152&lt;&gt;""),MAX(0,$E$4-'01_DANH_MUC'!$G152),0),IFERROR(MAXIFS('02_NHAT_KY'!$L$7:$L$506,'02_NHAT_KY'!$C$7:$C$506,$A162),0))))</f>
        <v/>
      </c>
      <c r="J162" s="201">
        <f>IF($A162="","",IF($H162&lt;=0,"Không có dư nợ",IF($I162&gt;0,"Quá hạn","Trong hạn")))</f>
        <v/>
      </c>
      <c r="K162" s="232">
        <f>IF($A162="","",IF(AND('01_DANH_MUC'!$H152&gt;0,OR('01_DANH_MUC'!$G152="",'01_DANH_MUC'!$G152&gt;=$E$4)),'01_DANH_MUC'!$H152,0)+SUMIFS('02_NHAT_KY'!$K$7:$K$506,'02_NHAT_KY'!$C$7:$C$506,$A162,'02_NHAT_KY'!$J$7:$J$506,"&gt;="&amp;$E$4)+SUMIFS('02_NHAT_KY'!$K$7:$K$506,'02_NHAT_KY'!$C$7:$C$506,$A162,'02_NHAT_KY'!$J$7:$J$506,""))</f>
        <v/>
      </c>
      <c r="L162" s="232">
        <f>IF($A162="","",IF(AND('01_DANH_MUC'!$H152&gt;0,'01_DANH_MUC'!$G152&lt;$E$4,$E$4-'01_DANH_MUC'!$G152&lt;=30),'01_DANH_MUC'!$H152,0)+SUMIFS('02_NHAT_KY'!$K$7:$K$506,'02_NHAT_KY'!$C$7:$C$506,$A162,'02_NHAT_KY'!$L$7:$L$506,"&gt;=1",'02_NHAT_KY'!$L$7:$L$506,"&lt;=30"))</f>
        <v/>
      </c>
      <c r="M162" s="232">
        <f>IF($A162="","",IF(AND('01_DANH_MUC'!$H152&gt;0,'01_DANH_MUC'!$G152&lt;$E$4,$E$4-'01_DANH_MUC'!$G152&gt;=31,$E$4-'01_DANH_MUC'!$G152&lt;=60),'01_DANH_MUC'!$H152,0)+SUMIFS('02_NHAT_KY'!$K$7:$K$506,'02_NHAT_KY'!$C$7:$C$506,$A162,'02_NHAT_KY'!$L$7:$L$506,"&gt;=31",'02_NHAT_KY'!$L$7:$L$506,"&lt;=60"))</f>
        <v/>
      </c>
      <c r="N162" s="232">
        <f>IF($A162="","",IF(AND('01_DANH_MUC'!$H152&gt;0,'01_DANH_MUC'!$G152&lt;$E$4,$E$4-'01_DANH_MUC'!$G152&gt;=61,$E$4-'01_DANH_MUC'!$G152&lt;=90),'01_DANH_MUC'!$H152,0)+SUMIFS('02_NHAT_KY'!$K$7:$K$506,'02_NHAT_KY'!$C$7:$C$506,$A162,'02_NHAT_KY'!$L$7:$L$506,"&gt;=61",'02_NHAT_KY'!$L$7:$L$506,"&lt;=90"))</f>
        <v/>
      </c>
      <c r="O162" s="232">
        <f>IF($A162="","",IF(AND('01_DANH_MUC'!$H152&gt;0,'01_DANH_MUC'!$G152&lt;$E$4,$E$4-'01_DANH_MUC'!$G152&gt;90),'01_DANH_MUC'!$H152,0)+SUMIFS('02_NHAT_KY'!$K$7:$K$506,'02_NHAT_KY'!$C$7:$C$506,$A162,'02_NHAT_KY'!$L$7:$L$506,"&gt;90"))</f>
        <v/>
      </c>
      <c r="P162" s="201">
        <f>IF($A162="","",IF($H162&lt;0,"DƯ ÂM/TRẢ TRƯỚC",IF(ABS($H162-SUM($K162:$O162))&lt;1,"OK","LỆCH TUỔI NỢ")))</f>
        <v/>
      </c>
    </row>
    <row r="163">
      <c r="A163" s="201">
        <f>IF('01_DANH_MUC'!$A153="","",'01_DANH_MUC'!$A153)</f>
        <v/>
      </c>
      <c r="B163" s="198">
        <f>IF($A163="","",'01_DANH_MUC'!$B153)</f>
        <v/>
      </c>
      <c r="C163" s="201">
        <f>IF($A163="","",'01_DANH_MUC'!$C153)</f>
        <v/>
      </c>
      <c r="D163" s="231">
        <f>IF($A163="","",'01_DANH_MUC'!$D153)</f>
        <v/>
      </c>
      <c r="E163" s="232">
        <f>IF($A163="","",'01_DANH_MUC'!$F153+SUMIFS('02_NHAT_KY'!$G$7:$G$506,'02_NHAT_KY'!$C$7:$C$506,$A163,'02_NHAT_KY'!$A$7:$A$506,"&lt;"&amp;$B$4)-SUMIFS('02_NHAT_KY'!$H$7:$H$506,'02_NHAT_KY'!$C$7:$C$506,$A163,'02_NHAT_KY'!$A$7:$A$506,"&lt;"&amp;$B$4))</f>
        <v/>
      </c>
      <c r="F163" s="232">
        <f>IF($A163="","",SUMIFS('02_NHAT_KY'!$G$7:$G$506,'02_NHAT_KY'!$C$7:$C$506,$A163,'02_NHAT_KY'!$A$7:$A$506,"&gt;="&amp;$B$4,'02_NHAT_KY'!$A$7:$A$506,"&lt;="&amp;$E$4))</f>
        <v/>
      </c>
      <c r="G163" s="232">
        <f>IF($A163="","",SUMIFS('02_NHAT_KY'!$H$7:$H$506,'02_NHAT_KY'!$C$7:$C$506,$A163,'02_NHAT_KY'!$A$7:$A$506,"&gt;="&amp;$B$4,'02_NHAT_KY'!$A$7:$A$506,"&lt;="&amp;$E$4))</f>
        <v/>
      </c>
      <c r="H163" s="232">
        <f>IF($A163="","",$E163+$F163-$G163)</f>
        <v/>
      </c>
      <c r="I163" s="233">
        <f>IF($A163="","",IF($H163&lt;=0,0,MAX(IF(AND('01_DANH_MUC'!$H153&gt;0,'01_DANH_MUC'!$G153&lt;&gt;""),MAX(0,$E$4-'01_DANH_MUC'!$G153),0),IFERROR(MAXIFS('02_NHAT_KY'!$L$7:$L$506,'02_NHAT_KY'!$C$7:$C$506,$A163),0))))</f>
        <v/>
      </c>
      <c r="J163" s="201">
        <f>IF($A163="","",IF($H163&lt;=0,"Không có dư nợ",IF($I163&gt;0,"Quá hạn","Trong hạn")))</f>
        <v/>
      </c>
      <c r="K163" s="232">
        <f>IF($A163="","",IF(AND('01_DANH_MUC'!$H153&gt;0,OR('01_DANH_MUC'!$G153="",'01_DANH_MUC'!$G153&gt;=$E$4)),'01_DANH_MUC'!$H153,0)+SUMIFS('02_NHAT_KY'!$K$7:$K$506,'02_NHAT_KY'!$C$7:$C$506,$A163,'02_NHAT_KY'!$J$7:$J$506,"&gt;="&amp;$E$4)+SUMIFS('02_NHAT_KY'!$K$7:$K$506,'02_NHAT_KY'!$C$7:$C$506,$A163,'02_NHAT_KY'!$J$7:$J$506,""))</f>
        <v/>
      </c>
      <c r="L163" s="232">
        <f>IF($A163="","",IF(AND('01_DANH_MUC'!$H153&gt;0,'01_DANH_MUC'!$G153&lt;$E$4,$E$4-'01_DANH_MUC'!$G153&lt;=30),'01_DANH_MUC'!$H153,0)+SUMIFS('02_NHAT_KY'!$K$7:$K$506,'02_NHAT_KY'!$C$7:$C$506,$A163,'02_NHAT_KY'!$L$7:$L$506,"&gt;=1",'02_NHAT_KY'!$L$7:$L$506,"&lt;=30"))</f>
        <v/>
      </c>
      <c r="M163" s="232">
        <f>IF($A163="","",IF(AND('01_DANH_MUC'!$H153&gt;0,'01_DANH_MUC'!$G153&lt;$E$4,$E$4-'01_DANH_MUC'!$G153&gt;=31,$E$4-'01_DANH_MUC'!$G153&lt;=60),'01_DANH_MUC'!$H153,0)+SUMIFS('02_NHAT_KY'!$K$7:$K$506,'02_NHAT_KY'!$C$7:$C$506,$A163,'02_NHAT_KY'!$L$7:$L$506,"&gt;=31",'02_NHAT_KY'!$L$7:$L$506,"&lt;=60"))</f>
        <v/>
      </c>
      <c r="N163" s="232">
        <f>IF($A163="","",IF(AND('01_DANH_MUC'!$H153&gt;0,'01_DANH_MUC'!$G153&lt;$E$4,$E$4-'01_DANH_MUC'!$G153&gt;=61,$E$4-'01_DANH_MUC'!$G153&lt;=90),'01_DANH_MUC'!$H153,0)+SUMIFS('02_NHAT_KY'!$K$7:$K$506,'02_NHAT_KY'!$C$7:$C$506,$A163,'02_NHAT_KY'!$L$7:$L$506,"&gt;=61",'02_NHAT_KY'!$L$7:$L$506,"&lt;=90"))</f>
        <v/>
      </c>
      <c r="O163" s="232">
        <f>IF($A163="","",IF(AND('01_DANH_MUC'!$H153&gt;0,'01_DANH_MUC'!$G153&lt;$E$4,$E$4-'01_DANH_MUC'!$G153&gt;90),'01_DANH_MUC'!$H153,0)+SUMIFS('02_NHAT_KY'!$K$7:$K$506,'02_NHAT_KY'!$C$7:$C$506,$A163,'02_NHAT_KY'!$L$7:$L$506,"&gt;90"))</f>
        <v/>
      </c>
      <c r="P163" s="201">
        <f>IF($A163="","",IF($H163&lt;0,"DƯ ÂM/TRẢ TRƯỚC",IF(ABS($H163-SUM($K163:$O163))&lt;1,"OK","LỆCH TUỔI NỢ")))</f>
        <v/>
      </c>
    </row>
    <row r="164">
      <c r="A164" s="201">
        <f>IF('01_DANH_MUC'!$A154="","",'01_DANH_MUC'!$A154)</f>
        <v/>
      </c>
      <c r="B164" s="198">
        <f>IF($A164="","",'01_DANH_MUC'!$B154)</f>
        <v/>
      </c>
      <c r="C164" s="201">
        <f>IF($A164="","",'01_DANH_MUC'!$C154)</f>
        <v/>
      </c>
      <c r="D164" s="231">
        <f>IF($A164="","",'01_DANH_MUC'!$D154)</f>
        <v/>
      </c>
      <c r="E164" s="232">
        <f>IF($A164="","",'01_DANH_MUC'!$F154+SUMIFS('02_NHAT_KY'!$G$7:$G$506,'02_NHAT_KY'!$C$7:$C$506,$A164,'02_NHAT_KY'!$A$7:$A$506,"&lt;"&amp;$B$4)-SUMIFS('02_NHAT_KY'!$H$7:$H$506,'02_NHAT_KY'!$C$7:$C$506,$A164,'02_NHAT_KY'!$A$7:$A$506,"&lt;"&amp;$B$4))</f>
        <v/>
      </c>
      <c r="F164" s="232">
        <f>IF($A164="","",SUMIFS('02_NHAT_KY'!$G$7:$G$506,'02_NHAT_KY'!$C$7:$C$506,$A164,'02_NHAT_KY'!$A$7:$A$506,"&gt;="&amp;$B$4,'02_NHAT_KY'!$A$7:$A$506,"&lt;="&amp;$E$4))</f>
        <v/>
      </c>
      <c r="G164" s="232">
        <f>IF($A164="","",SUMIFS('02_NHAT_KY'!$H$7:$H$506,'02_NHAT_KY'!$C$7:$C$506,$A164,'02_NHAT_KY'!$A$7:$A$506,"&gt;="&amp;$B$4,'02_NHAT_KY'!$A$7:$A$506,"&lt;="&amp;$E$4))</f>
        <v/>
      </c>
      <c r="H164" s="232">
        <f>IF($A164="","",$E164+$F164-$G164)</f>
        <v/>
      </c>
      <c r="I164" s="233">
        <f>IF($A164="","",IF($H164&lt;=0,0,MAX(IF(AND('01_DANH_MUC'!$H154&gt;0,'01_DANH_MUC'!$G154&lt;&gt;""),MAX(0,$E$4-'01_DANH_MUC'!$G154),0),IFERROR(MAXIFS('02_NHAT_KY'!$L$7:$L$506,'02_NHAT_KY'!$C$7:$C$506,$A164),0))))</f>
        <v/>
      </c>
      <c r="J164" s="201">
        <f>IF($A164="","",IF($H164&lt;=0,"Không có dư nợ",IF($I164&gt;0,"Quá hạn","Trong hạn")))</f>
        <v/>
      </c>
      <c r="K164" s="232">
        <f>IF($A164="","",IF(AND('01_DANH_MUC'!$H154&gt;0,OR('01_DANH_MUC'!$G154="",'01_DANH_MUC'!$G154&gt;=$E$4)),'01_DANH_MUC'!$H154,0)+SUMIFS('02_NHAT_KY'!$K$7:$K$506,'02_NHAT_KY'!$C$7:$C$506,$A164,'02_NHAT_KY'!$J$7:$J$506,"&gt;="&amp;$E$4)+SUMIFS('02_NHAT_KY'!$K$7:$K$506,'02_NHAT_KY'!$C$7:$C$506,$A164,'02_NHAT_KY'!$J$7:$J$506,""))</f>
        <v/>
      </c>
      <c r="L164" s="232">
        <f>IF($A164="","",IF(AND('01_DANH_MUC'!$H154&gt;0,'01_DANH_MUC'!$G154&lt;$E$4,$E$4-'01_DANH_MUC'!$G154&lt;=30),'01_DANH_MUC'!$H154,0)+SUMIFS('02_NHAT_KY'!$K$7:$K$506,'02_NHAT_KY'!$C$7:$C$506,$A164,'02_NHAT_KY'!$L$7:$L$506,"&gt;=1",'02_NHAT_KY'!$L$7:$L$506,"&lt;=30"))</f>
        <v/>
      </c>
      <c r="M164" s="232">
        <f>IF($A164="","",IF(AND('01_DANH_MUC'!$H154&gt;0,'01_DANH_MUC'!$G154&lt;$E$4,$E$4-'01_DANH_MUC'!$G154&gt;=31,$E$4-'01_DANH_MUC'!$G154&lt;=60),'01_DANH_MUC'!$H154,0)+SUMIFS('02_NHAT_KY'!$K$7:$K$506,'02_NHAT_KY'!$C$7:$C$506,$A164,'02_NHAT_KY'!$L$7:$L$506,"&gt;=31",'02_NHAT_KY'!$L$7:$L$506,"&lt;=60"))</f>
        <v/>
      </c>
      <c r="N164" s="232">
        <f>IF($A164="","",IF(AND('01_DANH_MUC'!$H154&gt;0,'01_DANH_MUC'!$G154&lt;$E$4,$E$4-'01_DANH_MUC'!$G154&gt;=61,$E$4-'01_DANH_MUC'!$G154&lt;=90),'01_DANH_MUC'!$H154,0)+SUMIFS('02_NHAT_KY'!$K$7:$K$506,'02_NHAT_KY'!$C$7:$C$506,$A164,'02_NHAT_KY'!$L$7:$L$506,"&gt;=61",'02_NHAT_KY'!$L$7:$L$506,"&lt;=90"))</f>
        <v/>
      </c>
      <c r="O164" s="232">
        <f>IF($A164="","",IF(AND('01_DANH_MUC'!$H154&gt;0,'01_DANH_MUC'!$G154&lt;$E$4,$E$4-'01_DANH_MUC'!$G154&gt;90),'01_DANH_MUC'!$H154,0)+SUMIFS('02_NHAT_KY'!$K$7:$K$506,'02_NHAT_KY'!$C$7:$C$506,$A164,'02_NHAT_KY'!$L$7:$L$506,"&gt;90"))</f>
        <v/>
      </c>
      <c r="P164" s="201">
        <f>IF($A164="","",IF($H164&lt;0,"DƯ ÂM/TRẢ TRƯỚC",IF(ABS($H164-SUM($K164:$O164))&lt;1,"OK","LỆCH TUỔI NỢ")))</f>
        <v/>
      </c>
    </row>
    <row r="165">
      <c r="A165" s="201">
        <f>IF('01_DANH_MUC'!$A155="","",'01_DANH_MUC'!$A155)</f>
        <v/>
      </c>
      <c r="B165" s="198">
        <f>IF($A165="","",'01_DANH_MUC'!$B155)</f>
        <v/>
      </c>
      <c r="C165" s="201">
        <f>IF($A165="","",'01_DANH_MUC'!$C155)</f>
        <v/>
      </c>
      <c r="D165" s="231">
        <f>IF($A165="","",'01_DANH_MUC'!$D155)</f>
        <v/>
      </c>
      <c r="E165" s="232">
        <f>IF($A165="","",'01_DANH_MUC'!$F155+SUMIFS('02_NHAT_KY'!$G$7:$G$506,'02_NHAT_KY'!$C$7:$C$506,$A165,'02_NHAT_KY'!$A$7:$A$506,"&lt;"&amp;$B$4)-SUMIFS('02_NHAT_KY'!$H$7:$H$506,'02_NHAT_KY'!$C$7:$C$506,$A165,'02_NHAT_KY'!$A$7:$A$506,"&lt;"&amp;$B$4))</f>
        <v/>
      </c>
      <c r="F165" s="232">
        <f>IF($A165="","",SUMIFS('02_NHAT_KY'!$G$7:$G$506,'02_NHAT_KY'!$C$7:$C$506,$A165,'02_NHAT_KY'!$A$7:$A$506,"&gt;="&amp;$B$4,'02_NHAT_KY'!$A$7:$A$506,"&lt;="&amp;$E$4))</f>
        <v/>
      </c>
      <c r="G165" s="232">
        <f>IF($A165="","",SUMIFS('02_NHAT_KY'!$H$7:$H$506,'02_NHAT_KY'!$C$7:$C$506,$A165,'02_NHAT_KY'!$A$7:$A$506,"&gt;="&amp;$B$4,'02_NHAT_KY'!$A$7:$A$506,"&lt;="&amp;$E$4))</f>
        <v/>
      </c>
      <c r="H165" s="232">
        <f>IF($A165="","",$E165+$F165-$G165)</f>
        <v/>
      </c>
      <c r="I165" s="233">
        <f>IF($A165="","",IF($H165&lt;=0,0,MAX(IF(AND('01_DANH_MUC'!$H155&gt;0,'01_DANH_MUC'!$G155&lt;&gt;""),MAX(0,$E$4-'01_DANH_MUC'!$G155),0),IFERROR(MAXIFS('02_NHAT_KY'!$L$7:$L$506,'02_NHAT_KY'!$C$7:$C$506,$A165),0))))</f>
        <v/>
      </c>
      <c r="J165" s="201">
        <f>IF($A165="","",IF($H165&lt;=0,"Không có dư nợ",IF($I165&gt;0,"Quá hạn","Trong hạn")))</f>
        <v/>
      </c>
      <c r="K165" s="232">
        <f>IF($A165="","",IF(AND('01_DANH_MUC'!$H155&gt;0,OR('01_DANH_MUC'!$G155="",'01_DANH_MUC'!$G155&gt;=$E$4)),'01_DANH_MUC'!$H155,0)+SUMIFS('02_NHAT_KY'!$K$7:$K$506,'02_NHAT_KY'!$C$7:$C$506,$A165,'02_NHAT_KY'!$J$7:$J$506,"&gt;="&amp;$E$4)+SUMIFS('02_NHAT_KY'!$K$7:$K$506,'02_NHAT_KY'!$C$7:$C$506,$A165,'02_NHAT_KY'!$J$7:$J$506,""))</f>
        <v/>
      </c>
      <c r="L165" s="232">
        <f>IF($A165="","",IF(AND('01_DANH_MUC'!$H155&gt;0,'01_DANH_MUC'!$G155&lt;$E$4,$E$4-'01_DANH_MUC'!$G155&lt;=30),'01_DANH_MUC'!$H155,0)+SUMIFS('02_NHAT_KY'!$K$7:$K$506,'02_NHAT_KY'!$C$7:$C$506,$A165,'02_NHAT_KY'!$L$7:$L$506,"&gt;=1",'02_NHAT_KY'!$L$7:$L$506,"&lt;=30"))</f>
        <v/>
      </c>
      <c r="M165" s="232">
        <f>IF($A165="","",IF(AND('01_DANH_MUC'!$H155&gt;0,'01_DANH_MUC'!$G155&lt;$E$4,$E$4-'01_DANH_MUC'!$G155&gt;=31,$E$4-'01_DANH_MUC'!$G155&lt;=60),'01_DANH_MUC'!$H155,0)+SUMIFS('02_NHAT_KY'!$K$7:$K$506,'02_NHAT_KY'!$C$7:$C$506,$A165,'02_NHAT_KY'!$L$7:$L$506,"&gt;=31",'02_NHAT_KY'!$L$7:$L$506,"&lt;=60"))</f>
        <v/>
      </c>
      <c r="N165" s="232">
        <f>IF($A165="","",IF(AND('01_DANH_MUC'!$H155&gt;0,'01_DANH_MUC'!$G155&lt;$E$4,$E$4-'01_DANH_MUC'!$G155&gt;=61,$E$4-'01_DANH_MUC'!$G155&lt;=90),'01_DANH_MUC'!$H155,0)+SUMIFS('02_NHAT_KY'!$K$7:$K$506,'02_NHAT_KY'!$C$7:$C$506,$A165,'02_NHAT_KY'!$L$7:$L$506,"&gt;=61",'02_NHAT_KY'!$L$7:$L$506,"&lt;=90"))</f>
        <v/>
      </c>
      <c r="O165" s="232">
        <f>IF($A165="","",IF(AND('01_DANH_MUC'!$H155&gt;0,'01_DANH_MUC'!$G155&lt;$E$4,$E$4-'01_DANH_MUC'!$G155&gt;90),'01_DANH_MUC'!$H155,0)+SUMIFS('02_NHAT_KY'!$K$7:$K$506,'02_NHAT_KY'!$C$7:$C$506,$A165,'02_NHAT_KY'!$L$7:$L$506,"&gt;90"))</f>
        <v/>
      </c>
      <c r="P165" s="201">
        <f>IF($A165="","",IF($H165&lt;0,"DƯ ÂM/TRẢ TRƯỚC",IF(ABS($H165-SUM($K165:$O165))&lt;1,"OK","LỆCH TUỔI NỢ")))</f>
        <v/>
      </c>
    </row>
    <row r="166">
      <c r="A166" s="201">
        <f>IF('01_DANH_MUC'!$A156="","",'01_DANH_MUC'!$A156)</f>
        <v/>
      </c>
      <c r="B166" s="198">
        <f>IF($A166="","",'01_DANH_MUC'!$B156)</f>
        <v/>
      </c>
      <c r="C166" s="201">
        <f>IF($A166="","",'01_DANH_MUC'!$C156)</f>
        <v/>
      </c>
      <c r="D166" s="231">
        <f>IF($A166="","",'01_DANH_MUC'!$D156)</f>
        <v/>
      </c>
      <c r="E166" s="232">
        <f>IF($A166="","",'01_DANH_MUC'!$F156+SUMIFS('02_NHAT_KY'!$G$7:$G$506,'02_NHAT_KY'!$C$7:$C$506,$A166,'02_NHAT_KY'!$A$7:$A$506,"&lt;"&amp;$B$4)-SUMIFS('02_NHAT_KY'!$H$7:$H$506,'02_NHAT_KY'!$C$7:$C$506,$A166,'02_NHAT_KY'!$A$7:$A$506,"&lt;"&amp;$B$4))</f>
        <v/>
      </c>
      <c r="F166" s="232">
        <f>IF($A166="","",SUMIFS('02_NHAT_KY'!$G$7:$G$506,'02_NHAT_KY'!$C$7:$C$506,$A166,'02_NHAT_KY'!$A$7:$A$506,"&gt;="&amp;$B$4,'02_NHAT_KY'!$A$7:$A$506,"&lt;="&amp;$E$4))</f>
        <v/>
      </c>
      <c r="G166" s="232">
        <f>IF($A166="","",SUMIFS('02_NHAT_KY'!$H$7:$H$506,'02_NHAT_KY'!$C$7:$C$506,$A166,'02_NHAT_KY'!$A$7:$A$506,"&gt;="&amp;$B$4,'02_NHAT_KY'!$A$7:$A$506,"&lt;="&amp;$E$4))</f>
        <v/>
      </c>
      <c r="H166" s="232">
        <f>IF($A166="","",$E166+$F166-$G166)</f>
        <v/>
      </c>
      <c r="I166" s="233">
        <f>IF($A166="","",IF($H166&lt;=0,0,MAX(IF(AND('01_DANH_MUC'!$H156&gt;0,'01_DANH_MUC'!$G156&lt;&gt;""),MAX(0,$E$4-'01_DANH_MUC'!$G156),0),IFERROR(MAXIFS('02_NHAT_KY'!$L$7:$L$506,'02_NHAT_KY'!$C$7:$C$506,$A166),0))))</f>
        <v/>
      </c>
      <c r="J166" s="201">
        <f>IF($A166="","",IF($H166&lt;=0,"Không có dư nợ",IF($I166&gt;0,"Quá hạn","Trong hạn")))</f>
        <v/>
      </c>
      <c r="K166" s="232">
        <f>IF($A166="","",IF(AND('01_DANH_MUC'!$H156&gt;0,OR('01_DANH_MUC'!$G156="",'01_DANH_MUC'!$G156&gt;=$E$4)),'01_DANH_MUC'!$H156,0)+SUMIFS('02_NHAT_KY'!$K$7:$K$506,'02_NHAT_KY'!$C$7:$C$506,$A166,'02_NHAT_KY'!$J$7:$J$506,"&gt;="&amp;$E$4)+SUMIFS('02_NHAT_KY'!$K$7:$K$506,'02_NHAT_KY'!$C$7:$C$506,$A166,'02_NHAT_KY'!$J$7:$J$506,""))</f>
        <v/>
      </c>
      <c r="L166" s="232">
        <f>IF($A166="","",IF(AND('01_DANH_MUC'!$H156&gt;0,'01_DANH_MUC'!$G156&lt;$E$4,$E$4-'01_DANH_MUC'!$G156&lt;=30),'01_DANH_MUC'!$H156,0)+SUMIFS('02_NHAT_KY'!$K$7:$K$506,'02_NHAT_KY'!$C$7:$C$506,$A166,'02_NHAT_KY'!$L$7:$L$506,"&gt;=1",'02_NHAT_KY'!$L$7:$L$506,"&lt;=30"))</f>
        <v/>
      </c>
      <c r="M166" s="232">
        <f>IF($A166="","",IF(AND('01_DANH_MUC'!$H156&gt;0,'01_DANH_MUC'!$G156&lt;$E$4,$E$4-'01_DANH_MUC'!$G156&gt;=31,$E$4-'01_DANH_MUC'!$G156&lt;=60),'01_DANH_MUC'!$H156,0)+SUMIFS('02_NHAT_KY'!$K$7:$K$506,'02_NHAT_KY'!$C$7:$C$506,$A166,'02_NHAT_KY'!$L$7:$L$506,"&gt;=31",'02_NHAT_KY'!$L$7:$L$506,"&lt;=60"))</f>
        <v/>
      </c>
      <c r="N166" s="232">
        <f>IF($A166="","",IF(AND('01_DANH_MUC'!$H156&gt;0,'01_DANH_MUC'!$G156&lt;$E$4,$E$4-'01_DANH_MUC'!$G156&gt;=61,$E$4-'01_DANH_MUC'!$G156&lt;=90),'01_DANH_MUC'!$H156,0)+SUMIFS('02_NHAT_KY'!$K$7:$K$506,'02_NHAT_KY'!$C$7:$C$506,$A166,'02_NHAT_KY'!$L$7:$L$506,"&gt;=61",'02_NHAT_KY'!$L$7:$L$506,"&lt;=90"))</f>
        <v/>
      </c>
      <c r="O166" s="232">
        <f>IF($A166="","",IF(AND('01_DANH_MUC'!$H156&gt;0,'01_DANH_MUC'!$G156&lt;$E$4,$E$4-'01_DANH_MUC'!$G156&gt;90),'01_DANH_MUC'!$H156,0)+SUMIFS('02_NHAT_KY'!$K$7:$K$506,'02_NHAT_KY'!$C$7:$C$506,$A166,'02_NHAT_KY'!$L$7:$L$506,"&gt;90"))</f>
        <v/>
      </c>
      <c r="P166" s="201">
        <f>IF($A166="","",IF($H166&lt;0,"DƯ ÂM/TRẢ TRƯỚC",IF(ABS($H166-SUM($K166:$O166))&lt;1,"OK","LỆCH TUỔI NỢ")))</f>
        <v/>
      </c>
    </row>
    <row r="167">
      <c r="A167" s="201">
        <f>IF('01_DANH_MUC'!$A157="","",'01_DANH_MUC'!$A157)</f>
        <v/>
      </c>
      <c r="B167" s="198">
        <f>IF($A167="","",'01_DANH_MUC'!$B157)</f>
        <v/>
      </c>
      <c r="C167" s="201">
        <f>IF($A167="","",'01_DANH_MUC'!$C157)</f>
        <v/>
      </c>
      <c r="D167" s="231">
        <f>IF($A167="","",'01_DANH_MUC'!$D157)</f>
        <v/>
      </c>
      <c r="E167" s="232">
        <f>IF($A167="","",'01_DANH_MUC'!$F157+SUMIFS('02_NHAT_KY'!$G$7:$G$506,'02_NHAT_KY'!$C$7:$C$506,$A167,'02_NHAT_KY'!$A$7:$A$506,"&lt;"&amp;$B$4)-SUMIFS('02_NHAT_KY'!$H$7:$H$506,'02_NHAT_KY'!$C$7:$C$506,$A167,'02_NHAT_KY'!$A$7:$A$506,"&lt;"&amp;$B$4))</f>
        <v/>
      </c>
      <c r="F167" s="232">
        <f>IF($A167="","",SUMIFS('02_NHAT_KY'!$G$7:$G$506,'02_NHAT_KY'!$C$7:$C$506,$A167,'02_NHAT_KY'!$A$7:$A$506,"&gt;="&amp;$B$4,'02_NHAT_KY'!$A$7:$A$506,"&lt;="&amp;$E$4))</f>
        <v/>
      </c>
      <c r="G167" s="232">
        <f>IF($A167="","",SUMIFS('02_NHAT_KY'!$H$7:$H$506,'02_NHAT_KY'!$C$7:$C$506,$A167,'02_NHAT_KY'!$A$7:$A$506,"&gt;="&amp;$B$4,'02_NHAT_KY'!$A$7:$A$506,"&lt;="&amp;$E$4))</f>
        <v/>
      </c>
      <c r="H167" s="232">
        <f>IF($A167="","",$E167+$F167-$G167)</f>
        <v/>
      </c>
      <c r="I167" s="233">
        <f>IF($A167="","",IF($H167&lt;=0,0,MAX(IF(AND('01_DANH_MUC'!$H157&gt;0,'01_DANH_MUC'!$G157&lt;&gt;""),MAX(0,$E$4-'01_DANH_MUC'!$G157),0),IFERROR(MAXIFS('02_NHAT_KY'!$L$7:$L$506,'02_NHAT_KY'!$C$7:$C$506,$A167),0))))</f>
        <v/>
      </c>
      <c r="J167" s="201">
        <f>IF($A167="","",IF($H167&lt;=0,"Không có dư nợ",IF($I167&gt;0,"Quá hạn","Trong hạn")))</f>
        <v/>
      </c>
      <c r="K167" s="232">
        <f>IF($A167="","",IF(AND('01_DANH_MUC'!$H157&gt;0,OR('01_DANH_MUC'!$G157="",'01_DANH_MUC'!$G157&gt;=$E$4)),'01_DANH_MUC'!$H157,0)+SUMIFS('02_NHAT_KY'!$K$7:$K$506,'02_NHAT_KY'!$C$7:$C$506,$A167,'02_NHAT_KY'!$J$7:$J$506,"&gt;="&amp;$E$4)+SUMIFS('02_NHAT_KY'!$K$7:$K$506,'02_NHAT_KY'!$C$7:$C$506,$A167,'02_NHAT_KY'!$J$7:$J$506,""))</f>
        <v/>
      </c>
      <c r="L167" s="232">
        <f>IF($A167="","",IF(AND('01_DANH_MUC'!$H157&gt;0,'01_DANH_MUC'!$G157&lt;$E$4,$E$4-'01_DANH_MUC'!$G157&lt;=30),'01_DANH_MUC'!$H157,0)+SUMIFS('02_NHAT_KY'!$K$7:$K$506,'02_NHAT_KY'!$C$7:$C$506,$A167,'02_NHAT_KY'!$L$7:$L$506,"&gt;=1",'02_NHAT_KY'!$L$7:$L$506,"&lt;=30"))</f>
        <v/>
      </c>
      <c r="M167" s="232">
        <f>IF($A167="","",IF(AND('01_DANH_MUC'!$H157&gt;0,'01_DANH_MUC'!$G157&lt;$E$4,$E$4-'01_DANH_MUC'!$G157&gt;=31,$E$4-'01_DANH_MUC'!$G157&lt;=60),'01_DANH_MUC'!$H157,0)+SUMIFS('02_NHAT_KY'!$K$7:$K$506,'02_NHAT_KY'!$C$7:$C$506,$A167,'02_NHAT_KY'!$L$7:$L$506,"&gt;=31",'02_NHAT_KY'!$L$7:$L$506,"&lt;=60"))</f>
        <v/>
      </c>
      <c r="N167" s="232">
        <f>IF($A167="","",IF(AND('01_DANH_MUC'!$H157&gt;0,'01_DANH_MUC'!$G157&lt;$E$4,$E$4-'01_DANH_MUC'!$G157&gt;=61,$E$4-'01_DANH_MUC'!$G157&lt;=90),'01_DANH_MUC'!$H157,0)+SUMIFS('02_NHAT_KY'!$K$7:$K$506,'02_NHAT_KY'!$C$7:$C$506,$A167,'02_NHAT_KY'!$L$7:$L$506,"&gt;=61",'02_NHAT_KY'!$L$7:$L$506,"&lt;=90"))</f>
        <v/>
      </c>
      <c r="O167" s="232">
        <f>IF($A167="","",IF(AND('01_DANH_MUC'!$H157&gt;0,'01_DANH_MUC'!$G157&lt;$E$4,$E$4-'01_DANH_MUC'!$G157&gt;90),'01_DANH_MUC'!$H157,0)+SUMIFS('02_NHAT_KY'!$K$7:$K$506,'02_NHAT_KY'!$C$7:$C$506,$A167,'02_NHAT_KY'!$L$7:$L$506,"&gt;90"))</f>
        <v/>
      </c>
      <c r="P167" s="201">
        <f>IF($A167="","",IF($H167&lt;0,"DƯ ÂM/TRẢ TRƯỚC",IF(ABS($H167-SUM($K167:$O167))&lt;1,"OK","LỆCH TUỔI NỢ")))</f>
        <v/>
      </c>
    </row>
    <row r="168">
      <c r="A168" s="201">
        <f>IF('01_DANH_MUC'!$A158="","",'01_DANH_MUC'!$A158)</f>
        <v/>
      </c>
      <c r="B168" s="198">
        <f>IF($A168="","",'01_DANH_MUC'!$B158)</f>
        <v/>
      </c>
      <c r="C168" s="201">
        <f>IF($A168="","",'01_DANH_MUC'!$C158)</f>
        <v/>
      </c>
      <c r="D168" s="231">
        <f>IF($A168="","",'01_DANH_MUC'!$D158)</f>
        <v/>
      </c>
      <c r="E168" s="232">
        <f>IF($A168="","",'01_DANH_MUC'!$F158+SUMIFS('02_NHAT_KY'!$G$7:$G$506,'02_NHAT_KY'!$C$7:$C$506,$A168,'02_NHAT_KY'!$A$7:$A$506,"&lt;"&amp;$B$4)-SUMIFS('02_NHAT_KY'!$H$7:$H$506,'02_NHAT_KY'!$C$7:$C$506,$A168,'02_NHAT_KY'!$A$7:$A$506,"&lt;"&amp;$B$4))</f>
        <v/>
      </c>
      <c r="F168" s="232">
        <f>IF($A168="","",SUMIFS('02_NHAT_KY'!$G$7:$G$506,'02_NHAT_KY'!$C$7:$C$506,$A168,'02_NHAT_KY'!$A$7:$A$506,"&gt;="&amp;$B$4,'02_NHAT_KY'!$A$7:$A$506,"&lt;="&amp;$E$4))</f>
        <v/>
      </c>
      <c r="G168" s="232">
        <f>IF($A168="","",SUMIFS('02_NHAT_KY'!$H$7:$H$506,'02_NHAT_KY'!$C$7:$C$506,$A168,'02_NHAT_KY'!$A$7:$A$506,"&gt;="&amp;$B$4,'02_NHAT_KY'!$A$7:$A$506,"&lt;="&amp;$E$4))</f>
        <v/>
      </c>
      <c r="H168" s="232">
        <f>IF($A168="","",$E168+$F168-$G168)</f>
        <v/>
      </c>
      <c r="I168" s="233">
        <f>IF($A168="","",IF($H168&lt;=0,0,MAX(IF(AND('01_DANH_MUC'!$H158&gt;0,'01_DANH_MUC'!$G158&lt;&gt;""),MAX(0,$E$4-'01_DANH_MUC'!$G158),0),IFERROR(MAXIFS('02_NHAT_KY'!$L$7:$L$506,'02_NHAT_KY'!$C$7:$C$506,$A168),0))))</f>
        <v/>
      </c>
      <c r="J168" s="201">
        <f>IF($A168="","",IF($H168&lt;=0,"Không có dư nợ",IF($I168&gt;0,"Quá hạn","Trong hạn")))</f>
        <v/>
      </c>
      <c r="K168" s="232">
        <f>IF($A168="","",IF(AND('01_DANH_MUC'!$H158&gt;0,OR('01_DANH_MUC'!$G158="",'01_DANH_MUC'!$G158&gt;=$E$4)),'01_DANH_MUC'!$H158,0)+SUMIFS('02_NHAT_KY'!$K$7:$K$506,'02_NHAT_KY'!$C$7:$C$506,$A168,'02_NHAT_KY'!$J$7:$J$506,"&gt;="&amp;$E$4)+SUMIFS('02_NHAT_KY'!$K$7:$K$506,'02_NHAT_KY'!$C$7:$C$506,$A168,'02_NHAT_KY'!$J$7:$J$506,""))</f>
        <v/>
      </c>
      <c r="L168" s="232">
        <f>IF($A168="","",IF(AND('01_DANH_MUC'!$H158&gt;0,'01_DANH_MUC'!$G158&lt;$E$4,$E$4-'01_DANH_MUC'!$G158&lt;=30),'01_DANH_MUC'!$H158,0)+SUMIFS('02_NHAT_KY'!$K$7:$K$506,'02_NHAT_KY'!$C$7:$C$506,$A168,'02_NHAT_KY'!$L$7:$L$506,"&gt;=1",'02_NHAT_KY'!$L$7:$L$506,"&lt;=30"))</f>
        <v/>
      </c>
      <c r="M168" s="232">
        <f>IF($A168="","",IF(AND('01_DANH_MUC'!$H158&gt;0,'01_DANH_MUC'!$G158&lt;$E$4,$E$4-'01_DANH_MUC'!$G158&gt;=31,$E$4-'01_DANH_MUC'!$G158&lt;=60),'01_DANH_MUC'!$H158,0)+SUMIFS('02_NHAT_KY'!$K$7:$K$506,'02_NHAT_KY'!$C$7:$C$506,$A168,'02_NHAT_KY'!$L$7:$L$506,"&gt;=31",'02_NHAT_KY'!$L$7:$L$506,"&lt;=60"))</f>
        <v/>
      </c>
      <c r="N168" s="232">
        <f>IF($A168="","",IF(AND('01_DANH_MUC'!$H158&gt;0,'01_DANH_MUC'!$G158&lt;$E$4,$E$4-'01_DANH_MUC'!$G158&gt;=61,$E$4-'01_DANH_MUC'!$G158&lt;=90),'01_DANH_MUC'!$H158,0)+SUMIFS('02_NHAT_KY'!$K$7:$K$506,'02_NHAT_KY'!$C$7:$C$506,$A168,'02_NHAT_KY'!$L$7:$L$506,"&gt;=61",'02_NHAT_KY'!$L$7:$L$506,"&lt;=90"))</f>
        <v/>
      </c>
      <c r="O168" s="232">
        <f>IF($A168="","",IF(AND('01_DANH_MUC'!$H158&gt;0,'01_DANH_MUC'!$G158&lt;$E$4,$E$4-'01_DANH_MUC'!$G158&gt;90),'01_DANH_MUC'!$H158,0)+SUMIFS('02_NHAT_KY'!$K$7:$K$506,'02_NHAT_KY'!$C$7:$C$506,$A168,'02_NHAT_KY'!$L$7:$L$506,"&gt;90"))</f>
        <v/>
      </c>
      <c r="P168" s="201">
        <f>IF($A168="","",IF($H168&lt;0,"DƯ ÂM/TRẢ TRƯỚC",IF(ABS($H168-SUM($K168:$O168))&lt;1,"OK","LỆCH TUỔI NỢ")))</f>
        <v/>
      </c>
    </row>
    <row r="169">
      <c r="A169" s="201">
        <f>IF('01_DANH_MUC'!$A159="","",'01_DANH_MUC'!$A159)</f>
        <v/>
      </c>
      <c r="B169" s="198">
        <f>IF($A169="","",'01_DANH_MUC'!$B159)</f>
        <v/>
      </c>
      <c r="C169" s="201">
        <f>IF($A169="","",'01_DANH_MUC'!$C159)</f>
        <v/>
      </c>
      <c r="D169" s="231">
        <f>IF($A169="","",'01_DANH_MUC'!$D159)</f>
        <v/>
      </c>
      <c r="E169" s="232">
        <f>IF($A169="","",'01_DANH_MUC'!$F159+SUMIFS('02_NHAT_KY'!$G$7:$G$506,'02_NHAT_KY'!$C$7:$C$506,$A169,'02_NHAT_KY'!$A$7:$A$506,"&lt;"&amp;$B$4)-SUMIFS('02_NHAT_KY'!$H$7:$H$506,'02_NHAT_KY'!$C$7:$C$506,$A169,'02_NHAT_KY'!$A$7:$A$506,"&lt;"&amp;$B$4))</f>
        <v/>
      </c>
      <c r="F169" s="232">
        <f>IF($A169="","",SUMIFS('02_NHAT_KY'!$G$7:$G$506,'02_NHAT_KY'!$C$7:$C$506,$A169,'02_NHAT_KY'!$A$7:$A$506,"&gt;="&amp;$B$4,'02_NHAT_KY'!$A$7:$A$506,"&lt;="&amp;$E$4))</f>
        <v/>
      </c>
      <c r="G169" s="232">
        <f>IF($A169="","",SUMIFS('02_NHAT_KY'!$H$7:$H$506,'02_NHAT_KY'!$C$7:$C$506,$A169,'02_NHAT_KY'!$A$7:$A$506,"&gt;="&amp;$B$4,'02_NHAT_KY'!$A$7:$A$506,"&lt;="&amp;$E$4))</f>
        <v/>
      </c>
      <c r="H169" s="232">
        <f>IF($A169="","",$E169+$F169-$G169)</f>
        <v/>
      </c>
      <c r="I169" s="233">
        <f>IF($A169="","",IF($H169&lt;=0,0,MAX(IF(AND('01_DANH_MUC'!$H159&gt;0,'01_DANH_MUC'!$G159&lt;&gt;""),MAX(0,$E$4-'01_DANH_MUC'!$G159),0),IFERROR(MAXIFS('02_NHAT_KY'!$L$7:$L$506,'02_NHAT_KY'!$C$7:$C$506,$A169),0))))</f>
        <v/>
      </c>
      <c r="J169" s="201">
        <f>IF($A169="","",IF($H169&lt;=0,"Không có dư nợ",IF($I169&gt;0,"Quá hạn","Trong hạn")))</f>
        <v/>
      </c>
      <c r="K169" s="232">
        <f>IF($A169="","",IF(AND('01_DANH_MUC'!$H159&gt;0,OR('01_DANH_MUC'!$G159="",'01_DANH_MUC'!$G159&gt;=$E$4)),'01_DANH_MUC'!$H159,0)+SUMIFS('02_NHAT_KY'!$K$7:$K$506,'02_NHAT_KY'!$C$7:$C$506,$A169,'02_NHAT_KY'!$J$7:$J$506,"&gt;="&amp;$E$4)+SUMIFS('02_NHAT_KY'!$K$7:$K$506,'02_NHAT_KY'!$C$7:$C$506,$A169,'02_NHAT_KY'!$J$7:$J$506,""))</f>
        <v/>
      </c>
      <c r="L169" s="232">
        <f>IF($A169="","",IF(AND('01_DANH_MUC'!$H159&gt;0,'01_DANH_MUC'!$G159&lt;$E$4,$E$4-'01_DANH_MUC'!$G159&lt;=30),'01_DANH_MUC'!$H159,0)+SUMIFS('02_NHAT_KY'!$K$7:$K$506,'02_NHAT_KY'!$C$7:$C$506,$A169,'02_NHAT_KY'!$L$7:$L$506,"&gt;=1",'02_NHAT_KY'!$L$7:$L$506,"&lt;=30"))</f>
        <v/>
      </c>
      <c r="M169" s="232">
        <f>IF($A169="","",IF(AND('01_DANH_MUC'!$H159&gt;0,'01_DANH_MUC'!$G159&lt;$E$4,$E$4-'01_DANH_MUC'!$G159&gt;=31,$E$4-'01_DANH_MUC'!$G159&lt;=60),'01_DANH_MUC'!$H159,0)+SUMIFS('02_NHAT_KY'!$K$7:$K$506,'02_NHAT_KY'!$C$7:$C$506,$A169,'02_NHAT_KY'!$L$7:$L$506,"&gt;=31",'02_NHAT_KY'!$L$7:$L$506,"&lt;=60"))</f>
        <v/>
      </c>
      <c r="N169" s="232">
        <f>IF($A169="","",IF(AND('01_DANH_MUC'!$H159&gt;0,'01_DANH_MUC'!$G159&lt;$E$4,$E$4-'01_DANH_MUC'!$G159&gt;=61,$E$4-'01_DANH_MUC'!$G159&lt;=90),'01_DANH_MUC'!$H159,0)+SUMIFS('02_NHAT_KY'!$K$7:$K$506,'02_NHAT_KY'!$C$7:$C$506,$A169,'02_NHAT_KY'!$L$7:$L$506,"&gt;=61",'02_NHAT_KY'!$L$7:$L$506,"&lt;=90"))</f>
        <v/>
      </c>
      <c r="O169" s="232">
        <f>IF($A169="","",IF(AND('01_DANH_MUC'!$H159&gt;0,'01_DANH_MUC'!$G159&lt;$E$4,$E$4-'01_DANH_MUC'!$G159&gt;90),'01_DANH_MUC'!$H159,0)+SUMIFS('02_NHAT_KY'!$K$7:$K$506,'02_NHAT_KY'!$C$7:$C$506,$A169,'02_NHAT_KY'!$L$7:$L$506,"&gt;90"))</f>
        <v/>
      </c>
      <c r="P169" s="201">
        <f>IF($A169="","",IF($H169&lt;0,"DƯ ÂM/TRẢ TRƯỚC",IF(ABS($H169-SUM($K169:$O169))&lt;1,"OK","LỆCH TUỔI NỢ")))</f>
        <v/>
      </c>
    </row>
    <row r="170">
      <c r="A170" s="201">
        <f>IF('01_DANH_MUC'!$A160="","",'01_DANH_MUC'!$A160)</f>
        <v/>
      </c>
      <c r="B170" s="198">
        <f>IF($A170="","",'01_DANH_MUC'!$B160)</f>
        <v/>
      </c>
      <c r="C170" s="201">
        <f>IF($A170="","",'01_DANH_MUC'!$C160)</f>
        <v/>
      </c>
      <c r="D170" s="231">
        <f>IF($A170="","",'01_DANH_MUC'!$D160)</f>
        <v/>
      </c>
      <c r="E170" s="232">
        <f>IF($A170="","",'01_DANH_MUC'!$F160+SUMIFS('02_NHAT_KY'!$G$7:$G$506,'02_NHAT_KY'!$C$7:$C$506,$A170,'02_NHAT_KY'!$A$7:$A$506,"&lt;"&amp;$B$4)-SUMIFS('02_NHAT_KY'!$H$7:$H$506,'02_NHAT_KY'!$C$7:$C$506,$A170,'02_NHAT_KY'!$A$7:$A$506,"&lt;"&amp;$B$4))</f>
        <v/>
      </c>
      <c r="F170" s="232">
        <f>IF($A170="","",SUMIFS('02_NHAT_KY'!$G$7:$G$506,'02_NHAT_KY'!$C$7:$C$506,$A170,'02_NHAT_KY'!$A$7:$A$506,"&gt;="&amp;$B$4,'02_NHAT_KY'!$A$7:$A$506,"&lt;="&amp;$E$4))</f>
        <v/>
      </c>
      <c r="G170" s="232">
        <f>IF($A170="","",SUMIFS('02_NHAT_KY'!$H$7:$H$506,'02_NHAT_KY'!$C$7:$C$506,$A170,'02_NHAT_KY'!$A$7:$A$506,"&gt;="&amp;$B$4,'02_NHAT_KY'!$A$7:$A$506,"&lt;="&amp;$E$4))</f>
        <v/>
      </c>
      <c r="H170" s="232">
        <f>IF($A170="","",$E170+$F170-$G170)</f>
        <v/>
      </c>
      <c r="I170" s="233">
        <f>IF($A170="","",IF($H170&lt;=0,0,MAX(IF(AND('01_DANH_MUC'!$H160&gt;0,'01_DANH_MUC'!$G160&lt;&gt;""),MAX(0,$E$4-'01_DANH_MUC'!$G160),0),IFERROR(MAXIFS('02_NHAT_KY'!$L$7:$L$506,'02_NHAT_KY'!$C$7:$C$506,$A170),0))))</f>
        <v/>
      </c>
      <c r="J170" s="201">
        <f>IF($A170="","",IF($H170&lt;=0,"Không có dư nợ",IF($I170&gt;0,"Quá hạn","Trong hạn")))</f>
        <v/>
      </c>
      <c r="K170" s="232">
        <f>IF($A170="","",IF(AND('01_DANH_MUC'!$H160&gt;0,OR('01_DANH_MUC'!$G160="",'01_DANH_MUC'!$G160&gt;=$E$4)),'01_DANH_MUC'!$H160,0)+SUMIFS('02_NHAT_KY'!$K$7:$K$506,'02_NHAT_KY'!$C$7:$C$506,$A170,'02_NHAT_KY'!$J$7:$J$506,"&gt;="&amp;$E$4)+SUMIFS('02_NHAT_KY'!$K$7:$K$506,'02_NHAT_KY'!$C$7:$C$506,$A170,'02_NHAT_KY'!$J$7:$J$506,""))</f>
        <v/>
      </c>
      <c r="L170" s="232">
        <f>IF($A170="","",IF(AND('01_DANH_MUC'!$H160&gt;0,'01_DANH_MUC'!$G160&lt;$E$4,$E$4-'01_DANH_MUC'!$G160&lt;=30),'01_DANH_MUC'!$H160,0)+SUMIFS('02_NHAT_KY'!$K$7:$K$506,'02_NHAT_KY'!$C$7:$C$506,$A170,'02_NHAT_KY'!$L$7:$L$506,"&gt;=1",'02_NHAT_KY'!$L$7:$L$506,"&lt;=30"))</f>
        <v/>
      </c>
      <c r="M170" s="232">
        <f>IF($A170="","",IF(AND('01_DANH_MUC'!$H160&gt;0,'01_DANH_MUC'!$G160&lt;$E$4,$E$4-'01_DANH_MUC'!$G160&gt;=31,$E$4-'01_DANH_MUC'!$G160&lt;=60),'01_DANH_MUC'!$H160,0)+SUMIFS('02_NHAT_KY'!$K$7:$K$506,'02_NHAT_KY'!$C$7:$C$506,$A170,'02_NHAT_KY'!$L$7:$L$506,"&gt;=31",'02_NHAT_KY'!$L$7:$L$506,"&lt;=60"))</f>
        <v/>
      </c>
      <c r="N170" s="232">
        <f>IF($A170="","",IF(AND('01_DANH_MUC'!$H160&gt;0,'01_DANH_MUC'!$G160&lt;$E$4,$E$4-'01_DANH_MUC'!$G160&gt;=61,$E$4-'01_DANH_MUC'!$G160&lt;=90),'01_DANH_MUC'!$H160,0)+SUMIFS('02_NHAT_KY'!$K$7:$K$506,'02_NHAT_KY'!$C$7:$C$506,$A170,'02_NHAT_KY'!$L$7:$L$506,"&gt;=61",'02_NHAT_KY'!$L$7:$L$506,"&lt;=90"))</f>
        <v/>
      </c>
      <c r="O170" s="232">
        <f>IF($A170="","",IF(AND('01_DANH_MUC'!$H160&gt;0,'01_DANH_MUC'!$G160&lt;$E$4,$E$4-'01_DANH_MUC'!$G160&gt;90),'01_DANH_MUC'!$H160,0)+SUMIFS('02_NHAT_KY'!$K$7:$K$506,'02_NHAT_KY'!$C$7:$C$506,$A170,'02_NHAT_KY'!$L$7:$L$506,"&gt;90"))</f>
        <v/>
      </c>
      <c r="P170" s="201">
        <f>IF($A170="","",IF($H170&lt;0,"DƯ ÂM/TRẢ TRƯỚC",IF(ABS($H170-SUM($K170:$O170))&lt;1,"OK","LỆCH TUỔI NỢ")))</f>
        <v/>
      </c>
    </row>
    <row r="171">
      <c r="A171" s="201">
        <f>IF('01_DANH_MUC'!$A161="","",'01_DANH_MUC'!$A161)</f>
        <v/>
      </c>
      <c r="B171" s="198">
        <f>IF($A171="","",'01_DANH_MUC'!$B161)</f>
        <v/>
      </c>
      <c r="C171" s="201">
        <f>IF($A171="","",'01_DANH_MUC'!$C161)</f>
        <v/>
      </c>
      <c r="D171" s="231">
        <f>IF($A171="","",'01_DANH_MUC'!$D161)</f>
        <v/>
      </c>
      <c r="E171" s="232">
        <f>IF($A171="","",'01_DANH_MUC'!$F161+SUMIFS('02_NHAT_KY'!$G$7:$G$506,'02_NHAT_KY'!$C$7:$C$506,$A171,'02_NHAT_KY'!$A$7:$A$506,"&lt;"&amp;$B$4)-SUMIFS('02_NHAT_KY'!$H$7:$H$506,'02_NHAT_KY'!$C$7:$C$506,$A171,'02_NHAT_KY'!$A$7:$A$506,"&lt;"&amp;$B$4))</f>
        <v/>
      </c>
      <c r="F171" s="232">
        <f>IF($A171="","",SUMIFS('02_NHAT_KY'!$G$7:$G$506,'02_NHAT_KY'!$C$7:$C$506,$A171,'02_NHAT_KY'!$A$7:$A$506,"&gt;="&amp;$B$4,'02_NHAT_KY'!$A$7:$A$506,"&lt;="&amp;$E$4))</f>
        <v/>
      </c>
      <c r="G171" s="232">
        <f>IF($A171="","",SUMIFS('02_NHAT_KY'!$H$7:$H$506,'02_NHAT_KY'!$C$7:$C$506,$A171,'02_NHAT_KY'!$A$7:$A$506,"&gt;="&amp;$B$4,'02_NHAT_KY'!$A$7:$A$506,"&lt;="&amp;$E$4))</f>
        <v/>
      </c>
      <c r="H171" s="232">
        <f>IF($A171="","",$E171+$F171-$G171)</f>
        <v/>
      </c>
      <c r="I171" s="233">
        <f>IF($A171="","",IF($H171&lt;=0,0,MAX(IF(AND('01_DANH_MUC'!$H161&gt;0,'01_DANH_MUC'!$G161&lt;&gt;""),MAX(0,$E$4-'01_DANH_MUC'!$G161),0),IFERROR(MAXIFS('02_NHAT_KY'!$L$7:$L$506,'02_NHAT_KY'!$C$7:$C$506,$A171),0))))</f>
        <v/>
      </c>
      <c r="J171" s="201">
        <f>IF($A171="","",IF($H171&lt;=0,"Không có dư nợ",IF($I171&gt;0,"Quá hạn","Trong hạn")))</f>
        <v/>
      </c>
      <c r="K171" s="232">
        <f>IF($A171="","",IF(AND('01_DANH_MUC'!$H161&gt;0,OR('01_DANH_MUC'!$G161="",'01_DANH_MUC'!$G161&gt;=$E$4)),'01_DANH_MUC'!$H161,0)+SUMIFS('02_NHAT_KY'!$K$7:$K$506,'02_NHAT_KY'!$C$7:$C$506,$A171,'02_NHAT_KY'!$J$7:$J$506,"&gt;="&amp;$E$4)+SUMIFS('02_NHAT_KY'!$K$7:$K$506,'02_NHAT_KY'!$C$7:$C$506,$A171,'02_NHAT_KY'!$J$7:$J$506,""))</f>
        <v/>
      </c>
      <c r="L171" s="232">
        <f>IF($A171="","",IF(AND('01_DANH_MUC'!$H161&gt;0,'01_DANH_MUC'!$G161&lt;$E$4,$E$4-'01_DANH_MUC'!$G161&lt;=30),'01_DANH_MUC'!$H161,0)+SUMIFS('02_NHAT_KY'!$K$7:$K$506,'02_NHAT_KY'!$C$7:$C$506,$A171,'02_NHAT_KY'!$L$7:$L$506,"&gt;=1",'02_NHAT_KY'!$L$7:$L$506,"&lt;=30"))</f>
        <v/>
      </c>
      <c r="M171" s="232">
        <f>IF($A171="","",IF(AND('01_DANH_MUC'!$H161&gt;0,'01_DANH_MUC'!$G161&lt;$E$4,$E$4-'01_DANH_MUC'!$G161&gt;=31,$E$4-'01_DANH_MUC'!$G161&lt;=60),'01_DANH_MUC'!$H161,0)+SUMIFS('02_NHAT_KY'!$K$7:$K$506,'02_NHAT_KY'!$C$7:$C$506,$A171,'02_NHAT_KY'!$L$7:$L$506,"&gt;=31",'02_NHAT_KY'!$L$7:$L$506,"&lt;=60"))</f>
        <v/>
      </c>
      <c r="N171" s="232">
        <f>IF($A171="","",IF(AND('01_DANH_MUC'!$H161&gt;0,'01_DANH_MUC'!$G161&lt;$E$4,$E$4-'01_DANH_MUC'!$G161&gt;=61,$E$4-'01_DANH_MUC'!$G161&lt;=90),'01_DANH_MUC'!$H161,0)+SUMIFS('02_NHAT_KY'!$K$7:$K$506,'02_NHAT_KY'!$C$7:$C$506,$A171,'02_NHAT_KY'!$L$7:$L$506,"&gt;=61",'02_NHAT_KY'!$L$7:$L$506,"&lt;=90"))</f>
        <v/>
      </c>
      <c r="O171" s="232">
        <f>IF($A171="","",IF(AND('01_DANH_MUC'!$H161&gt;0,'01_DANH_MUC'!$G161&lt;$E$4,$E$4-'01_DANH_MUC'!$G161&gt;90),'01_DANH_MUC'!$H161,0)+SUMIFS('02_NHAT_KY'!$K$7:$K$506,'02_NHAT_KY'!$C$7:$C$506,$A171,'02_NHAT_KY'!$L$7:$L$506,"&gt;90"))</f>
        <v/>
      </c>
      <c r="P171" s="201">
        <f>IF($A171="","",IF($H171&lt;0,"DƯ ÂM/TRẢ TRƯỚC",IF(ABS($H171-SUM($K171:$O171))&lt;1,"OK","LỆCH TUỔI NỢ")))</f>
        <v/>
      </c>
    </row>
    <row r="172">
      <c r="A172" s="201">
        <f>IF('01_DANH_MUC'!$A162="","",'01_DANH_MUC'!$A162)</f>
        <v/>
      </c>
      <c r="B172" s="198">
        <f>IF($A172="","",'01_DANH_MUC'!$B162)</f>
        <v/>
      </c>
      <c r="C172" s="201">
        <f>IF($A172="","",'01_DANH_MUC'!$C162)</f>
        <v/>
      </c>
      <c r="D172" s="231">
        <f>IF($A172="","",'01_DANH_MUC'!$D162)</f>
        <v/>
      </c>
      <c r="E172" s="232">
        <f>IF($A172="","",'01_DANH_MUC'!$F162+SUMIFS('02_NHAT_KY'!$G$7:$G$506,'02_NHAT_KY'!$C$7:$C$506,$A172,'02_NHAT_KY'!$A$7:$A$506,"&lt;"&amp;$B$4)-SUMIFS('02_NHAT_KY'!$H$7:$H$506,'02_NHAT_KY'!$C$7:$C$506,$A172,'02_NHAT_KY'!$A$7:$A$506,"&lt;"&amp;$B$4))</f>
        <v/>
      </c>
      <c r="F172" s="232">
        <f>IF($A172="","",SUMIFS('02_NHAT_KY'!$G$7:$G$506,'02_NHAT_KY'!$C$7:$C$506,$A172,'02_NHAT_KY'!$A$7:$A$506,"&gt;="&amp;$B$4,'02_NHAT_KY'!$A$7:$A$506,"&lt;="&amp;$E$4))</f>
        <v/>
      </c>
      <c r="G172" s="232">
        <f>IF($A172="","",SUMIFS('02_NHAT_KY'!$H$7:$H$506,'02_NHAT_KY'!$C$7:$C$506,$A172,'02_NHAT_KY'!$A$7:$A$506,"&gt;="&amp;$B$4,'02_NHAT_KY'!$A$7:$A$506,"&lt;="&amp;$E$4))</f>
        <v/>
      </c>
      <c r="H172" s="232">
        <f>IF($A172="","",$E172+$F172-$G172)</f>
        <v/>
      </c>
      <c r="I172" s="233">
        <f>IF($A172="","",IF($H172&lt;=0,0,MAX(IF(AND('01_DANH_MUC'!$H162&gt;0,'01_DANH_MUC'!$G162&lt;&gt;""),MAX(0,$E$4-'01_DANH_MUC'!$G162),0),IFERROR(MAXIFS('02_NHAT_KY'!$L$7:$L$506,'02_NHAT_KY'!$C$7:$C$506,$A172),0))))</f>
        <v/>
      </c>
      <c r="J172" s="201">
        <f>IF($A172="","",IF($H172&lt;=0,"Không có dư nợ",IF($I172&gt;0,"Quá hạn","Trong hạn")))</f>
        <v/>
      </c>
      <c r="K172" s="232">
        <f>IF($A172="","",IF(AND('01_DANH_MUC'!$H162&gt;0,OR('01_DANH_MUC'!$G162="",'01_DANH_MUC'!$G162&gt;=$E$4)),'01_DANH_MUC'!$H162,0)+SUMIFS('02_NHAT_KY'!$K$7:$K$506,'02_NHAT_KY'!$C$7:$C$506,$A172,'02_NHAT_KY'!$J$7:$J$506,"&gt;="&amp;$E$4)+SUMIFS('02_NHAT_KY'!$K$7:$K$506,'02_NHAT_KY'!$C$7:$C$506,$A172,'02_NHAT_KY'!$J$7:$J$506,""))</f>
        <v/>
      </c>
      <c r="L172" s="232">
        <f>IF($A172="","",IF(AND('01_DANH_MUC'!$H162&gt;0,'01_DANH_MUC'!$G162&lt;$E$4,$E$4-'01_DANH_MUC'!$G162&lt;=30),'01_DANH_MUC'!$H162,0)+SUMIFS('02_NHAT_KY'!$K$7:$K$506,'02_NHAT_KY'!$C$7:$C$506,$A172,'02_NHAT_KY'!$L$7:$L$506,"&gt;=1",'02_NHAT_KY'!$L$7:$L$506,"&lt;=30"))</f>
        <v/>
      </c>
      <c r="M172" s="232">
        <f>IF($A172="","",IF(AND('01_DANH_MUC'!$H162&gt;0,'01_DANH_MUC'!$G162&lt;$E$4,$E$4-'01_DANH_MUC'!$G162&gt;=31,$E$4-'01_DANH_MUC'!$G162&lt;=60),'01_DANH_MUC'!$H162,0)+SUMIFS('02_NHAT_KY'!$K$7:$K$506,'02_NHAT_KY'!$C$7:$C$506,$A172,'02_NHAT_KY'!$L$7:$L$506,"&gt;=31",'02_NHAT_KY'!$L$7:$L$506,"&lt;=60"))</f>
        <v/>
      </c>
      <c r="N172" s="232">
        <f>IF($A172="","",IF(AND('01_DANH_MUC'!$H162&gt;0,'01_DANH_MUC'!$G162&lt;$E$4,$E$4-'01_DANH_MUC'!$G162&gt;=61,$E$4-'01_DANH_MUC'!$G162&lt;=90),'01_DANH_MUC'!$H162,0)+SUMIFS('02_NHAT_KY'!$K$7:$K$506,'02_NHAT_KY'!$C$7:$C$506,$A172,'02_NHAT_KY'!$L$7:$L$506,"&gt;=61",'02_NHAT_KY'!$L$7:$L$506,"&lt;=90"))</f>
        <v/>
      </c>
      <c r="O172" s="232">
        <f>IF($A172="","",IF(AND('01_DANH_MUC'!$H162&gt;0,'01_DANH_MUC'!$G162&lt;$E$4,$E$4-'01_DANH_MUC'!$G162&gt;90),'01_DANH_MUC'!$H162,0)+SUMIFS('02_NHAT_KY'!$K$7:$K$506,'02_NHAT_KY'!$C$7:$C$506,$A172,'02_NHAT_KY'!$L$7:$L$506,"&gt;90"))</f>
        <v/>
      </c>
      <c r="P172" s="201">
        <f>IF($A172="","",IF($H172&lt;0,"DƯ ÂM/TRẢ TRƯỚC",IF(ABS($H172-SUM($K172:$O172))&lt;1,"OK","LỆCH TUỔI NỢ")))</f>
        <v/>
      </c>
    </row>
    <row r="173">
      <c r="A173" s="201">
        <f>IF('01_DANH_MUC'!$A163="","",'01_DANH_MUC'!$A163)</f>
        <v/>
      </c>
      <c r="B173" s="198">
        <f>IF($A173="","",'01_DANH_MUC'!$B163)</f>
        <v/>
      </c>
      <c r="C173" s="201">
        <f>IF($A173="","",'01_DANH_MUC'!$C163)</f>
        <v/>
      </c>
      <c r="D173" s="231">
        <f>IF($A173="","",'01_DANH_MUC'!$D163)</f>
        <v/>
      </c>
      <c r="E173" s="232">
        <f>IF($A173="","",'01_DANH_MUC'!$F163+SUMIFS('02_NHAT_KY'!$G$7:$G$506,'02_NHAT_KY'!$C$7:$C$506,$A173,'02_NHAT_KY'!$A$7:$A$506,"&lt;"&amp;$B$4)-SUMIFS('02_NHAT_KY'!$H$7:$H$506,'02_NHAT_KY'!$C$7:$C$506,$A173,'02_NHAT_KY'!$A$7:$A$506,"&lt;"&amp;$B$4))</f>
        <v/>
      </c>
      <c r="F173" s="232">
        <f>IF($A173="","",SUMIFS('02_NHAT_KY'!$G$7:$G$506,'02_NHAT_KY'!$C$7:$C$506,$A173,'02_NHAT_KY'!$A$7:$A$506,"&gt;="&amp;$B$4,'02_NHAT_KY'!$A$7:$A$506,"&lt;="&amp;$E$4))</f>
        <v/>
      </c>
      <c r="G173" s="232">
        <f>IF($A173="","",SUMIFS('02_NHAT_KY'!$H$7:$H$506,'02_NHAT_KY'!$C$7:$C$506,$A173,'02_NHAT_KY'!$A$7:$A$506,"&gt;="&amp;$B$4,'02_NHAT_KY'!$A$7:$A$506,"&lt;="&amp;$E$4))</f>
        <v/>
      </c>
      <c r="H173" s="232">
        <f>IF($A173="","",$E173+$F173-$G173)</f>
        <v/>
      </c>
      <c r="I173" s="233">
        <f>IF($A173="","",IF($H173&lt;=0,0,MAX(IF(AND('01_DANH_MUC'!$H163&gt;0,'01_DANH_MUC'!$G163&lt;&gt;""),MAX(0,$E$4-'01_DANH_MUC'!$G163),0),IFERROR(MAXIFS('02_NHAT_KY'!$L$7:$L$506,'02_NHAT_KY'!$C$7:$C$506,$A173),0))))</f>
        <v/>
      </c>
      <c r="J173" s="201">
        <f>IF($A173="","",IF($H173&lt;=0,"Không có dư nợ",IF($I173&gt;0,"Quá hạn","Trong hạn")))</f>
        <v/>
      </c>
      <c r="K173" s="232">
        <f>IF($A173="","",IF(AND('01_DANH_MUC'!$H163&gt;0,OR('01_DANH_MUC'!$G163="",'01_DANH_MUC'!$G163&gt;=$E$4)),'01_DANH_MUC'!$H163,0)+SUMIFS('02_NHAT_KY'!$K$7:$K$506,'02_NHAT_KY'!$C$7:$C$506,$A173,'02_NHAT_KY'!$J$7:$J$506,"&gt;="&amp;$E$4)+SUMIFS('02_NHAT_KY'!$K$7:$K$506,'02_NHAT_KY'!$C$7:$C$506,$A173,'02_NHAT_KY'!$J$7:$J$506,""))</f>
        <v/>
      </c>
      <c r="L173" s="232">
        <f>IF($A173="","",IF(AND('01_DANH_MUC'!$H163&gt;0,'01_DANH_MUC'!$G163&lt;$E$4,$E$4-'01_DANH_MUC'!$G163&lt;=30),'01_DANH_MUC'!$H163,0)+SUMIFS('02_NHAT_KY'!$K$7:$K$506,'02_NHAT_KY'!$C$7:$C$506,$A173,'02_NHAT_KY'!$L$7:$L$506,"&gt;=1",'02_NHAT_KY'!$L$7:$L$506,"&lt;=30"))</f>
        <v/>
      </c>
      <c r="M173" s="232">
        <f>IF($A173="","",IF(AND('01_DANH_MUC'!$H163&gt;0,'01_DANH_MUC'!$G163&lt;$E$4,$E$4-'01_DANH_MUC'!$G163&gt;=31,$E$4-'01_DANH_MUC'!$G163&lt;=60),'01_DANH_MUC'!$H163,0)+SUMIFS('02_NHAT_KY'!$K$7:$K$506,'02_NHAT_KY'!$C$7:$C$506,$A173,'02_NHAT_KY'!$L$7:$L$506,"&gt;=31",'02_NHAT_KY'!$L$7:$L$506,"&lt;=60"))</f>
        <v/>
      </c>
      <c r="N173" s="232">
        <f>IF($A173="","",IF(AND('01_DANH_MUC'!$H163&gt;0,'01_DANH_MUC'!$G163&lt;$E$4,$E$4-'01_DANH_MUC'!$G163&gt;=61,$E$4-'01_DANH_MUC'!$G163&lt;=90),'01_DANH_MUC'!$H163,0)+SUMIFS('02_NHAT_KY'!$K$7:$K$506,'02_NHAT_KY'!$C$7:$C$506,$A173,'02_NHAT_KY'!$L$7:$L$506,"&gt;=61",'02_NHAT_KY'!$L$7:$L$506,"&lt;=90"))</f>
        <v/>
      </c>
      <c r="O173" s="232">
        <f>IF($A173="","",IF(AND('01_DANH_MUC'!$H163&gt;0,'01_DANH_MUC'!$G163&lt;$E$4,$E$4-'01_DANH_MUC'!$G163&gt;90),'01_DANH_MUC'!$H163,0)+SUMIFS('02_NHAT_KY'!$K$7:$K$506,'02_NHAT_KY'!$C$7:$C$506,$A173,'02_NHAT_KY'!$L$7:$L$506,"&gt;90"))</f>
        <v/>
      </c>
      <c r="P173" s="201">
        <f>IF($A173="","",IF($H173&lt;0,"DƯ ÂM/TRẢ TRƯỚC",IF(ABS($H173-SUM($K173:$O173))&lt;1,"OK","LỆCH TUỔI NỢ")))</f>
        <v/>
      </c>
    </row>
    <row r="174">
      <c r="A174" s="201">
        <f>IF('01_DANH_MUC'!$A164="","",'01_DANH_MUC'!$A164)</f>
        <v/>
      </c>
      <c r="B174" s="198">
        <f>IF($A174="","",'01_DANH_MUC'!$B164)</f>
        <v/>
      </c>
      <c r="C174" s="201">
        <f>IF($A174="","",'01_DANH_MUC'!$C164)</f>
        <v/>
      </c>
      <c r="D174" s="231">
        <f>IF($A174="","",'01_DANH_MUC'!$D164)</f>
        <v/>
      </c>
      <c r="E174" s="232">
        <f>IF($A174="","",'01_DANH_MUC'!$F164+SUMIFS('02_NHAT_KY'!$G$7:$G$506,'02_NHAT_KY'!$C$7:$C$506,$A174,'02_NHAT_KY'!$A$7:$A$506,"&lt;"&amp;$B$4)-SUMIFS('02_NHAT_KY'!$H$7:$H$506,'02_NHAT_KY'!$C$7:$C$506,$A174,'02_NHAT_KY'!$A$7:$A$506,"&lt;"&amp;$B$4))</f>
        <v/>
      </c>
      <c r="F174" s="232">
        <f>IF($A174="","",SUMIFS('02_NHAT_KY'!$G$7:$G$506,'02_NHAT_KY'!$C$7:$C$506,$A174,'02_NHAT_KY'!$A$7:$A$506,"&gt;="&amp;$B$4,'02_NHAT_KY'!$A$7:$A$506,"&lt;="&amp;$E$4))</f>
        <v/>
      </c>
      <c r="G174" s="232">
        <f>IF($A174="","",SUMIFS('02_NHAT_KY'!$H$7:$H$506,'02_NHAT_KY'!$C$7:$C$506,$A174,'02_NHAT_KY'!$A$7:$A$506,"&gt;="&amp;$B$4,'02_NHAT_KY'!$A$7:$A$506,"&lt;="&amp;$E$4))</f>
        <v/>
      </c>
      <c r="H174" s="232">
        <f>IF($A174="","",$E174+$F174-$G174)</f>
        <v/>
      </c>
      <c r="I174" s="233">
        <f>IF($A174="","",IF($H174&lt;=0,0,MAX(IF(AND('01_DANH_MUC'!$H164&gt;0,'01_DANH_MUC'!$G164&lt;&gt;""),MAX(0,$E$4-'01_DANH_MUC'!$G164),0),IFERROR(MAXIFS('02_NHAT_KY'!$L$7:$L$506,'02_NHAT_KY'!$C$7:$C$506,$A174),0))))</f>
        <v/>
      </c>
      <c r="J174" s="201">
        <f>IF($A174="","",IF($H174&lt;=0,"Không có dư nợ",IF($I174&gt;0,"Quá hạn","Trong hạn")))</f>
        <v/>
      </c>
      <c r="K174" s="232">
        <f>IF($A174="","",IF(AND('01_DANH_MUC'!$H164&gt;0,OR('01_DANH_MUC'!$G164="",'01_DANH_MUC'!$G164&gt;=$E$4)),'01_DANH_MUC'!$H164,0)+SUMIFS('02_NHAT_KY'!$K$7:$K$506,'02_NHAT_KY'!$C$7:$C$506,$A174,'02_NHAT_KY'!$J$7:$J$506,"&gt;="&amp;$E$4)+SUMIFS('02_NHAT_KY'!$K$7:$K$506,'02_NHAT_KY'!$C$7:$C$506,$A174,'02_NHAT_KY'!$J$7:$J$506,""))</f>
        <v/>
      </c>
      <c r="L174" s="232">
        <f>IF($A174="","",IF(AND('01_DANH_MUC'!$H164&gt;0,'01_DANH_MUC'!$G164&lt;$E$4,$E$4-'01_DANH_MUC'!$G164&lt;=30),'01_DANH_MUC'!$H164,0)+SUMIFS('02_NHAT_KY'!$K$7:$K$506,'02_NHAT_KY'!$C$7:$C$506,$A174,'02_NHAT_KY'!$L$7:$L$506,"&gt;=1",'02_NHAT_KY'!$L$7:$L$506,"&lt;=30"))</f>
        <v/>
      </c>
      <c r="M174" s="232">
        <f>IF($A174="","",IF(AND('01_DANH_MUC'!$H164&gt;0,'01_DANH_MUC'!$G164&lt;$E$4,$E$4-'01_DANH_MUC'!$G164&gt;=31,$E$4-'01_DANH_MUC'!$G164&lt;=60),'01_DANH_MUC'!$H164,0)+SUMIFS('02_NHAT_KY'!$K$7:$K$506,'02_NHAT_KY'!$C$7:$C$506,$A174,'02_NHAT_KY'!$L$7:$L$506,"&gt;=31",'02_NHAT_KY'!$L$7:$L$506,"&lt;=60"))</f>
        <v/>
      </c>
      <c r="N174" s="232">
        <f>IF($A174="","",IF(AND('01_DANH_MUC'!$H164&gt;0,'01_DANH_MUC'!$G164&lt;$E$4,$E$4-'01_DANH_MUC'!$G164&gt;=61,$E$4-'01_DANH_MUC'!$G164&lt;=90),'01_DANH_MUC'!$H164,0)+SUMIFS('02_NHAT_KY'!$K$7:$K$506,'02_NHAT_KY'!$C$7:$C$506,$A174,'02_NHAT_KY'!$L$7:$L$506,"&gt;=61",'02_NHAT_KY'!$L$7:$L$506,"&lt;=90"))</f>
        <v/>
      </c>
      <c r="O174" s="232">
        <f>IF($A174="","",IF(AND('01_DANH_MUC'!$H164&gt;0,'01_DANH_MUC'!$G164&lt;$E$4,$E$4-'01_DANH_MUC'!$G164&gt;90),'01_DANH_MUC'!$H164,0)+SUMIFS('02_NHAT_KY'!$K$7:$K$506,'02_NHAT_KY'!$C$7:$C$506,$A174,'02_NHAT_KY'!$L$7:$L$506,"&gt;90"))</f>
        <v/>
      </c>
      <c r="P174" s="201">
        <f>IF($A174="","",IF($H174&lt;0,"DƯ ÂM/TRẢ TRƯỚC",IF(ABS($H174-SUM($K174:$O174))&lt;1,"OK","LỆCH TUỔI NỢ")))</f>
        <v/>
      </c>
    </row>
    <row r="175">
      <c r="A175" s="201">
        <f>IF('01_DANH_MUC'!$A165="","",'01_DANH_MUC'!$A165)</f>
        <v/>
      </c>
      <c r="B175" s="198">
        <f>IF($A175="","",'01_DANH_MUC'!$B165)</f>
        <v/>
      </c>
      <c r="C175" s="201">
        <f>IF($A175="","",'01_DANH_MUC'!$C165)</f>
        <v/>
      </c>
      <c r="D175" s="231">
        <f>IF($A175="","",'01_DANH_MUC'!$D165)</f>
        <v/>
      </c>
      <c r="E175" s="232">
        <f>IF($A175="","",'01_DANH_MUC'!$F165+SUMIFS('02_NHAT_KY'!$G$7:$G$506,'02_NHAT_KY'!$C$7:$C$506,$A175,'02_NHAT_KY'!$A$7:$A$506,"&lt;"&amp;$B$4)-SUMIFS('02_NHAT_KY'!$H$7:$H$506,'02_NHAT_KY'!$C$7:$C$506,$A175,'02_NHAT_KY'!$A$7:$A$506,"&lt;"&amp;$B$4))</f>
        <v/>
      </c>
      <c r="F175" s="232">
        <f>IF($A175="","",SUMIFS('02_NHAT_KY'!$G$7:$G$506,'02_NHAT_KY'!$C$7:$C$506,$A175,'02_NHAT_KY'!$A$7:$A$506,"&gt;="&amp;$B$4,'02_NHAT_KY'!$A$7:$A$506,"&lt;="&amp;$E$4))</f>
        <v/>
      </c>
      <c r="G175" s="232">
        <f>IF($A175="","",SUMIFS('02_NHAT_KY'!$H$7:$H$506,'02_NHAT_KY'!$C$7:$C$506,$A175,'02_NHAT_KY'!$A$7:$A$506,"&gt;="&amp;$B$4,'02_NHAT_KY'!$A$7:$A$506,"&lt;="&amp;$E$4))</f>
        <v/>
      </c>
      <c r="H175" s="232">
        <f>IF($A175="","",$E175+$F175-$G175)</f>
        <v/>
      </c>
      <c r="I175" s="233">
        <f>IF($A175="","",IF($H175&lt;=0,0,MAX(IF(AND('01_DANH_MUC'!$H165&gt;0,'01_DANH_MUC'!$G165&lt;&gt;""),MAX(0,$E$4-'01_DANH_MUC'!$G165),0),IFERROR(MAXIFS('02_NHAT_KY'!$L$7:$L$506,'02_NHAT_KY'!$C$7:$C$506,$A175),0))))</f>
        <v/>
      </c>
      <c r="J175" s="201">
        <f>IF($A175="","",IF($H175&lt;=0,"Không có dư nợ",IF($I175&gt;0,"Quá hạn","Trong hạn")))</f>
        <v/>
      </c>
      <c r="K175" s="232">
        <f>IF($A175="","",IF(AND('01_DANH_MUC'!$H165&gt;0,OR('01_DANH_MUC'!$G165="",'01_DANH_MUC'!$G165&gt;=$E$4)),'01_DANH_MUC'!$H165,0)+SUMIFS('02_NHAT_KY'!$K$7:$K$506,'02_NHAT_KY'!$C$7:$C$506,$A175,'02_NHAT_KY'!$J$7:$J$506,"&gt;="&amp;$E$4)+SUMIFS('02_NHAT_KY'!$K$7:$K$506,'02_NHAT_KY'!$C$7:$C$506,$A175,'02_NHAT_KY'!$J$7:$J$506,""))</f>
        <v/>
      </c>
      <c r="L175" s="232">
        <f>IF($A175="","",IF(AND('01_DANH_MUC'!$H165&gt;0,'01_DANH_MUC'!$G165&lt;$E$4,$E$4-'01_DANH_MUC'!$G165&lt;=30),'01_DANH_MUC'!$H165,0)+SUMIFS('02_NHAT_KY'!$K$7:$K$506,'02_NHAT_KY'!$C$7:$C$506,$A175,'02_NHAT_KY'!$L$7:$L$506,"&gt;=1",'02_NHAT_KY'!$L$7:$L$506,"&lt;=30"))</f>
        <v/>
      </c>
      <c r="M175" s="232">
        <f>IF($A175="","",IF(AND('01_DANH_MUC'!$H165&gt;0,'01_DANH_MUC'!$G165&lt;$E$4,$E$4-'01_DANH_MUC'!$G165&gt;=31,$E$4-'01_DANH_MUC'!$G165&lt;=60),'01_DANH_MUC'!$H165,0)+SUMIFS('02_NHAT_KY'!$K$7:$K$506,'02_NHAT_KY'!$C$7:$C$506,$A175,'02_NHAT_KY'!$L$7:$L$506,"&gt;=31",'02_NHAT_KY'!$L$7:$L$506,"&lt;=60"))</f>
        <v/>
      </c>
      <c r="N175" s="232">
        <f>IF($A175="","",IF(AND('01_DANH_MUC'!$H165&gt;0,'01_DANH_MUC'!$G165&lt;$E$4,$E$4-'01_DANH_MUC'!$G165&gt;=61,$E$4-'01_DANH_MUC'!$G165&lt;=90),'01_DANH_MUC'!$H165,0)+SUMIFS('02_NHAT_KY'!$K$7:$K$506,'02_NHAT_KY'!$C$7:$C$506,$A175,'02_NHAT_KY'!$L$7:$L$506,"&gt;=61",'02_NHAT_KY'!$L$7:$L$506,"&lt;=90"))</f>
        <v/>
      </c>
      <c r="O175" s="232">
        <f>IF($A175="","",IF(AND('01_DANH_MUC'!$H165&gt;0,'01_DANH_MUC'!$G165&lt;$E$4,$E$4-'01_DANH_MUC'!$G165&gt;90),'01_DANH_MUC'!$H165,0)+SUMIFS('02_NHAT_KY'!$K$7:$K$506,'02_NHAT_KY'!$C$7:$C$506,$A175,'02_NHAT_KY'!$L$7:$L$506,"&gt;90"))</f>
        <v/>
      </c>
      <c r="P175" s="201">
        <f>IF($A175="","",IF($H175&lt;0,"DƯ ÂM/TRẢ TRƯỚC",IF(ABS($H175-SUM($K175:$O175))&lt;1,"OK","LỆCH TUỔI NỢ")))</f>
        <v/>
      </c>
    </row>
    <row r="176">
      <c r="A176" s="201">
        <f>IF('01_DANH_MUC'!$A166="","",'01_DANH_MUC'!$A166)</f>
        <v/>
      </c>
      <c r="B176" s="198">
        <f>IF($A176="","",'01_DANH_MUC'!$B166)</f>
        <v/>
      </c>
      <c r="C176" s="201">
        <f>IF($A176="","",'01_DANH_MUC'!$C166)</f>
        <v/>
      </c>
      <c r="D176" s="231">
        <f>IF($A176="","",'01_DANH_MUC'!$D166)</f>
        <v/>
      </c>
      <c r="E176" s="232">
        <f>IF($A176="","",'01_DANH_MUC'!$F166+SUMIFS('02_NHAT_KY'!$G$7:$G$506,'02_NHAT_KY'!$C$7:$C$506,$A176,'02_NHAT_KY'!$A$7:$A$506,"&lt;"&amp;$B$4)-SUMIFS('02_NHAT_KY'!$H$7:$H$506,'02_NHAT_KY'!$C$7:$C$506,$A176,'02_NHAT_KY'!$A$7:$A$506,"&lt;"&amp;$B$4))</f>
        <v/>
      </c>
      <c r="F176" s="232">
        <f>IF($A176="","",SUMIFS('02_NHAT_KY'!$G$7:$G$506,'02_NHAT_KY'!$C$7:$C$506,$A176,'02_NHAT_KY'!$A$7:$A$506,"&gt;="&amp;$B$4,'02_NHAT_KY'!$A$7:$A$506,"&lt;="&amp;$E$4))</f>
        <v/>
      </c>
      <c r="G176" s="232">
        <f>IF($A176="","",SUMIFS('02_NHAT_KY'!$H$7:$H$506,'02_NHAT_KY'!$C$7:$C$506,$A176,'02_NHAT_KY'!$A$7:$A$506,"&gt;="&amp;$B$4,'02_NHAT_KY'!$A$7:$A$506,"&lt;="&amp;$E$4))</f>
        <v/>
      </c>
      <c r="H176" s="232">
        <f>IF($A176="","",$E176+$F176-$G176)</f>
        <v/>
      </c>
      <c r="I176" s="233">
        <f>IF($A176="","",IF($H176&lt;=0,0,MAX(IF(AND('01_DANH_MUC'!$H166&gt;0,'01_DANH_MUC'!$G166&lt;&gt;""),MAX(0,$E$4-'01_DANH_MUC'!$G166),0),IFERROR(MAXIFS('02_NHAT_KY'!$L$7:$L$506,'02_NHAT_KY'!$C$7:$C$506,$A176),0))))</f>
        <v/>
      </c>
      <c r="J176" s="201">
        <f>IF($A176="","",IF($H176&lt;=0,"Không có dư nợ",IF($I176&gt;0,"Quá hạn","Trong hạn")))</f>
        <v/>
      </c>
      <c r="K176" s="232">
        <f>IF($A176="","",IF(AND('01_DANH_MUC'!$H166&gt;0,OR('01_DANH_MUC'!$G166="",'01_DANH_MUC'!$G166&gt;=$E$4)),'01_DANH_MUC'!$H166,0)+SUMIFS('02_NHAT_KY'!$K$7:$K$506,'02_NHAT_KY'!$C$7:$C$506,$A176,'02_NHAT_KY'!$J$7:$J$506,"&gt;="&amp;$E$4)+SUMIFS('02_NHAT_KY'!$K$7:$K$506,'02_NHAT_KY'!$C$7:$C$506,$A176,'02_NHAT_KY'!$J$7:$J$506,""))</f>
        <v/>
      </c>
      <c r="L176" s="232">
        <f>IF($A176="","",IF(AND('01_DANH_MUC'!$H166&gt;0,'01_DANH_MUC'!$G166&lt;$E$4,$E$4-'01_DANH_MUC'!$G166&lt;=30),'01_DANH_MUC'!$H166,0)+SUMIFS('02_NHAT_KY'!$K$7:$K$506,'02_NHAT_KY'!$C$7:$C$506,$A176,'02_NHAT_KY'!$L$7:$L$506,"&gt;=1",'02_NHAT_KY'!$L$7:$L$506,"&lt;=30"))</f>
        <v/>
      </c>
      <c r="M176" s="232">
        <f>IF($A176="","",IF(AND('01_DANH_MUC'!$H166&gt;0,'01_DANH_MUC'!$G166&lt;$E$4,$E$4-'01_DANH_MUC'!$G166&gt;=31,$E$4-'01_DANH_MUC'!$G166&lt;=60),'01_DANH_MUC'!$H166,0)+SUMIFS('02_NHAT_KY'!$K$7:$K$506,'02_NHAT_KY'!$C$7:$C$506,$A176,'02_NHAT_KY'!$L$7:$L$506,"&gt;=31",'02_NHAT_KY'!$L$7:$L$506,"&lt;=60"))</f>
        <v/>
      </c>
      <c r="N176" s="232">
        <f>IF($A176="","",IF(AND('01_DANH_MUC'!$H166&gt;0,'01_DANH_MUC'!$G166&lt;$E$4,$E$4-'01_DANH_MUC'!$G166&gt;=61,$E$4-'01_DANH_MUC'!$G166&lt;=90),'01_DANH_MUC'!$H166,0)+SUMIFS('02_NHAT_KY'!$K$7:$K$506,'02_NHAT_KY'!$C$7:$C$506,$A176,'02_NHAT_KY'!$L$7:$L$506,"&gt;=61",'02_NHAT_KY'!$L$7:$L$506,"&lt;=90"))</f>
        <v/>
      </c>
      <c r="O176" s="232">
        <f>IF($A176="","",IF(AND('01_DANH_MUC'!$H166&gt;0,'01_DANH_MUC'!$G166&lt;$E$4,$E$4-'01_DANH_MUC'!$G166&gt;90),'01_DANH_MUC'!$H166,0)+SUMIFS('02_NHAT_KY'!$K$7:$K$506,'02_NHAT_KY'!$C$7:$C$506,$A176,'02_NHAT_KY'!$L$7:$L$506,"&gt;90"))</f>
        <v/>
      </c>
      <c r="P176" s="201">
        <f>IF($A176="","",IF($H176&lt;0,"DƯ ÂM/TRẢ TRƯỚC",IF(ABS($H176-SUM($K176:$O176))&lt;1,"OK","LỆCH TUỔI NỢ")))</f>
        <v/>
      </c>
    </row>
    <row r="177">
      <c r="A177" s="201">
        <f>IF('01_DANH_MUC'!$A167="","",'01_DANH_MUC'!$A167)</f>
        <v/>
      </c>
      <c r="B177" s="198">
        <f>IF($A177="","",'01_DANH_MUC'!$B167)</f>
        <v/>
      </c>
      <c r="C177" s="201">
        <f>IF($A177="","",'01_DANH_MUC'!$C167)</f>
        <v/>
      </c>
      <c r="D177" s="231">
        <f>IF($A177="","",'01_DANH_MUC'!$D167)</f>
        <v/>
      </c>
      <c r="E177" s="232">
        <f>IF($A177="","",'01_DANH_MUC'!$F167+SUMIFS('02_NHAT_KY'!$G$7:$G$506,'02_NHAT_KY'!$C$7:$C$506,$A177,'02_NHAT_KY'!$A$7:$A$506,"&lt;"&amp;$B$4)-SUMIFS('02_NHAT_KY'!$H$7:$H$506,'02_NHAT_KY'!$C$7:$C$506,$A177,'02_NHAT_KY'!$A$7:$A$506,"&lt;"&amp;$B$4))</f>
        <v/>
      </c>
      <c r="F177" s="232">
        <f>IF($A177="","",SUMIFS('02_NHAT_KY'!$G$7:$G$506,'02_NHAT_KY'!$C$7:$C$506,$A177,'02_NHAT_KY'!$A$7:$A$506,"&gt;="&amp;$B$4,'02_NHAT_KY'!$A$7:$A$506,"&lt;="&amp;$E$4))</f>
        <v/>
      </c>
      <c r="G177" s="232">
        <f>IF($A177="","",SUMIFS('02_NHAT_KY'!$H$7:$H$506,'02_NHAT_KY'!$C$7:$C$506,$A177,'02_NHAT_KY'!$A$7:$A$506,"&gt;="&amp;$B$4,'02_NHAT_KY'!$A$7:$A$506,"&lt;="&amp;$E$4))</f>
        <v/>
      </c>
      <c r="H177" s="232">
        <f>IF($A177="","",$E177+$F177-$G177)</f>
        <v/>
      </c>
      <c r="I177" s="233">
        <f>IF($A177="","",IF($H177&lt;=0,0,MAX(IF(AND('01_DANH_MUC'!$H167&gt;0,'01_DANH_MUC'!$G167&lt;&gt;""),MAX(0,$E$4-'01_DANH_MUC'!$G167),0),IFERROR(MAXIFS('02_NHAT_KY'!$L$7:$L$506,'02_NHAT_KY'!$C$7:$C$506,$A177),0))))</f>
        <v/>
      </c>
      <c r="J177" s="201">
        <f>IF($A177="","",IF($H177&lt;=0,"Không có dư nợ",IF($I177&gt;0,"Quá hạn","Trong hạn")))</f>
        <v/>
      </c>
      <c r="K177" s="232">
        <f>IF($A177="","",IF(AND('01_DANH_MUC'!$H167&gt;0,OR('01_DANH_MUC'!$G167="",'01_DANH_MUC'!$G167&gt;=$E$4)),'01_DANH_MUC'!$H167,0)+SUMIFS('02_NHAT_KY'!$K$7:$K$506,'02_NHAT_KY'!$C$7:$C$506,$A177,'02_NHAT_KY'!$J$7:$J$506,"&gt;="&amp;$E$4)+SUMIFS('02_NHAT_KY'!$K$7:$K$506,'02_NHAT_KY'!$C$7:$C$506,$A177,'02_NHAT_KY'!$J$7:$J$506,""))</f>
        <v/>
      </c>
      <c r="L177" s="232">
        <f>IF($A177="","",IF(AND('01_DANH_MUC'!$H167&gt;0,'01_DANH_MUC'!$G167&lt;$E$4,$E$4-'01_DANH_MUC'!$G167&lt;=30),'01_DANH_MUC'!$H167,0)+SUMIFS('02_NHAT_KY'!$K$7:$K$506,'02_NHAT_KY'!$C$7:$C$506,$A177,'02_NHAT_KY'!$L$7:$L$506,"&gt;=1",'02_NHAT_KY'!$L$7:$L$506,"&lt;=30"))</f>
        <v/>
      </c>
      <c r="M177" s="232">
        <f>IF($A177="","",IF(AND('01_DANH_MUC'!$H167&gt;0,'01_DANH_MUC'!$G167&lt;$E$4,$E$4-'01_DANH_MUC'!$G167&gt;=31,$E$4-'01_DANH_MUC'!$G167&lt;=60),'01_DANH_MUC'!$H167,0)+SUMIFS('02_NHAT_KY'!$K$7:$K$506,'02_NHAT_KY'!$C$7:$C$506,$A177,'02_NHAT_KY'!$L$7:$L$506,"&gt;=31",'02_NHAT_KY'!$L$7:$L$506,"&lt;=60"))</f>
        <v/>
      </c>
      <c r="N177" s="232">
        <f>IF($A177="","",IF(AND('01_DANH_MUC'!$H167&gt;0,'01_DANH_MUC'!$G167&lt;$E$4,$E$4-'01_DANH_MUC'!$G167&gt;=61,$E$4-'01_DANH_MUC'!$G167&lt;=90),'01_DANH_MUC'!$H167,0)+SUMIFS('02_NHAT_KY'!$K$7:$K$506,'02_NHAT_KY'!$C$7:$C$506,$A177,'02_NHAT_KY'!$L$7:$L$506,"&gt;=61",'02_NHAT_KY'!$L$7:$L$506,"&lt;=90"))</f>
        <v/>
      </c>
      <c r="O177" s="232">
        <f>IF($A177="","",IF(AND('01_DANH_MUC'!$H167&gt;0,'01_DANH_MUC'!$G167&lt;$E$4,$E$4-'01_DANH_MUC'!$G167&gt;90),'01_DANH_MUC'!$H167,0)+SUMIFS('02_NHAT_KY'!$K$7:$K$506,'02_NHAT_KY'!$C$7:$C$506,$A177,'02_NHAT_KY'!$L$7:$L$506,"&gt;90"))</f>
        <v/>
      </c>
      <c r="P177" s="201">
        <f>IF($A177="","",IF($H177&lt;0,"DƯ ÂM/TRẢ TRƯỚC",IF(ABS($H177-SUM($K177:$O177))&lt;1,"OK","LỆCH TUỔI NỢ")))</f>
        <v/>
      </c>
    </row>
    <row r="178">
      <c r="A178" s="201">
        <f>IF('01_DANH_MUC'!$A168="","",'01_DANH_MUC'!$A168)</f>
        <v/>
      </c>
      <c r="B178" s="198">
        <f>IF($A178="","",'01_DANH_MUC'!$B168)</f>
        <v/>
      </c>
      <c r="C178" s="201">
        <f>IF($A178="","",'01_DANH_MUC'!$C168)</f>
        <v/>
      </c>
      <c r="D178" s="231">
        <f>IF($A178="","",'01_DANH_MUC'!$D168)</f>
        <v/>
      </c>
      <c r="E178" s="232">
        <f>IF($A178="","",'01_DANH_MUC'!$F168+SUMIFS('02_NHAT_KY'!$G$7:$G$506,'02_NHAT_KY'!$C$7:$C$506,$A178,'02_NHAT_KY'!$A$7:$A$506,"&lt;"&amp;$B$4)-SUMIFS('02_NHAT_KY'!$H$7:$H$506,'02_NHAT_KY'!$C$7:$C$506,$A178,'02_NHAT_KY'!$A$7:$A$506,"&lt;"&amp;$B$4))</f>
        <v/>
      </c>
      <c r="F178" s="232">
        <f>IF($A178="","",SUMIFS('02_NHAT_KY'!$G$7:$G$506,'02_NHAT_KY'!$C$7:$C$506,$A178,'02_NHAT_KY'!$A$7:$A$506,"&gt;="&amp;$B$4,'02_NHAT_KY'!$A$7:$A$506,"&lt;="&amp;$E$4))</f>
        <v/>
      </c>
      <c r="G178" s="232">
        <f>IF($A178="","",SUMIFS('02_NHAT_KY'!$H$7:$H$506,'02_NHAT_KY'!$C$7:$C$506,$A178,'02_NHAT_KY'!$A$7:$A$506,"&gt;="&amp;$B$4,'02_NHAT_KY'!$A$7:$A$506,"&lt;="&amp;$E$4))</f>
        <v/>
      </c>
      <c r="H178" s="232">
        <f>IF($A178="","",$E178+$F178-$G178)</f>
        <v/>
      </c>
      <c r="I178" s="233">
        <f>IF($A178="","",IF($H178&lt;=0,0,MAX(IF(AND('01_DANH_MUC'!$H168&gt;0,'01_DANH_MUC'!$G168&lt;&gt;""),MAX(0,$E$4-'01_DANH_MUC'!$G168),0),IFERROR(MAXIFS('02_NHAT_KY'!$L$7:$L$506,'02_NHAT_KY'!$C$7:$C$506,$A178),0))))</f>
        <v/>
      </c>
      <c r="J178" s="201">
        <f>IF($A178="","",IF($H178&lt;=0,"Không có dư nợ",IF($I178&gt;0,"Quá hạn","Trong hạn")))</f>
        <v/>
      </c>
      <c r="K178" s="232">
        <f>IF($A178="","",IF(AND('01_DANH_MUC'!$H168&gt;0,OR('01_DANH_MUC'!$G168="",'01_DANH_MUC'!$G168&gt;=$E$4)),'01_DANH_MUC'!$H168,0)+SUMIFS('02_NHAT_KY'!$K$7:$K$506,'02_NHAT_KY'!$C$7:$C$506,$A178,'02_NHAT_KY'!$J$7:$J$506,"&gt;="&amp;$E$4)+SUMIFS('02_NHAT_KY'!$K$7:$K$506,'02_NHAT_KY'!$C$7:$C$506,$A178,'02_NHAT_KY'!$J$7:$J$506,""))</f>
        <v/>
      </c>
      <c r="L178" s="232">
        <f>IF($A178="","",IF(AND('01_DANH_MUC'!$H168&gt;0,'01_DANH_MUC'!$G168&lt;$E$4,$E$4-'01_DANH_MUC'!$G168&lt;=30),'01_DANH_MUC'!$H168,0)+SUMIFS('02_NHAT_KY'!$K$7:$K$506,'02_NHAT_KY'!$C$7:$C$506,$A178,'02_NHAT_KY'!$L$7:$L$506,"&gt;=1",'02_NHAT_KY'!$L$7:$L$506,"&lt;=30"))</f>
        <v/>
      </c>
      <c r="M178" s="232">
        <f>IF($A178="","",IF(AND('01_DANH_MUC'!$H168&gt;0,'01_DANH_MUC'!$G168&lt;$E$4,$E$4-'01_DANH_MUC'!$G168&gt;=31,$E$4-'01_DANH_MUC'!$G168&lt;=60),'01_DANH_MUC'!$H168,0)+SUMIFS('02_NHAT_KY'!$K$7:$K$506,'02_NHAT_KY'!$C$7:$C$506,$A178,'02_NHAT_KY'!$L$7:$L$506,"&gt;=31",'02_NHAT_KY'!$L$7:$L$506,"&lt;=60"))</f>
        <v/>
      </c>
      <c r="N178" s="232">
        <f>IF($A178="","",IF(AND('01_DANH_MUC'!$H168&gt;0,'01_DANH_MUC'!$G168&lt;$E$4,$E$4-'01_DANH_MUC'!$G168&gt;=61,$E$4-'01_DANH_MUC'!$G168&lt;=90),'01_DANH_MUC'!$H168,0)+SUMIFS('02_NHAT_KY'!$K$7:$K$506,'02_NHAT_KY'!$C$7:$C$506,$A178,'02_NHAT_KY'!$L$7:$L$506,"&gt;=61",'02_NHAT_KY'!$L$7:$L$506,"&lt;=90"))</f>
        <v/>
      </c>
      <c r="O178" s="232">
        <f>IF($A178="","",IF(AND('01_DANH_MUC'!$H168&gt;0,'01_DANH_MUC'!$G168&lt;$E$4,$E$4-'01_DANH_MUC'!$G168&gt;90),'01_DANH_MUC'!$H168,0)+SUMIFS('02_NHAT_KY'!$K$7:$K$506,'02_NHAT_KY'!$C$7:$C$506,$A178,'02_NHAT_KY'!$L$7:$L$506,"&gt;90"))</f>
        <v/>
      </c>
      <c r="P178" s="201">
        <f>IF($A178="","",IF($H178&lt;0,"DƯ ÂM/TRẢ TRƯỚC",IF(ABS($H178-SUM($K178:$O178))&lt;1,"OK","LỆCH TUỔI NỢ")))</f>
        <v/>
      </c>
    </row>
    <row r="179">
      <c r="A179" s="201">
        <f>IF('01_DANH_MUC'!$A169="","",'01_DANH_MUC'!$A169)</f>
        <v/>
      </c>
      <c r="B179" s="198">
        <f>IF($A179="","",'01_DANH_MUC'!$B169)</f>
        <v/>
      </c>
      <c r="C179" s="201">
        <f>IF($A179="","",'01_DANH_MUC'!$C169)</f>
        <v/>
      </c>
      <c r="D179" s="231">
        <f>IF($A179="","",'01_DANH_MUC'!$D169)</f>
        <v/>
      </c>
      <c r="E179" s="232">
        <f>IF($A179="","",'01_DANH_MUC'!$F169+SUMIFS('02_NHAT_KY'!$G$7:$G$506,'02_NHAT_KY'!$C$7:$C$506,$A179,'02_NHAT_KY'!$A$7:$A$506,"&lt;"&amp;$B$4)-SUMIFS('02_NHAT_KY'!$H$7:$H$506,'02_NHAT_KY'!$C$7:$C$506,$A179,'02_NHAT_KY'!$A$7:$A$506,"&lt;"&amp;$B$4))</f>
        <v/>
      </c>
      <c r="F179" s="232">
        <f>IF($A179="","",SUMIFS('02_NHAT_KY'!$G$7:$G$506,'02_NHAT_KY'!$C$7:$C$506,$A179,'02_NHAT_KY'!$A$7:$A$506,"&gt;="&amp;$B$4,'02_NHAT_KY'!$A$7:$A$506,"&lt;="&amp;$E$4))</f>
        <v/>
      </c>
      <c r="G179" s="232">
        <f>IF($A179="","",SUMIFS('02_NHAT_KY'!$H$7:$H$506,'02_NHAT_KY'!$C$7:$C$506,$A179,'02_NHAT_KY'!$A$7:$A$506,"&gt;="&amp;$B$4,'02_NHAT_KY'!$A$7:$A$506,"&lt;="&amp;$E$4))</f>
        <v/>
      </c>
      <c r="H179" s="232">
        <f>IF($A179="","",$E179+$F179-$G179)</f>
        <v/>
      </c>
      <c r="I179" s="233">
        <f>IF($A179="","",IF($H179&lt;=0,0,MAX(IF(AND('01_DANH_MUC'!$H169&gt;0,'01_DANH_MUC'!$G169&lt;&gt;""),MAX(0,$E$4-'01_DANH_MUC'!$G169),0),IFERROR(MAXIFS('02_NHAT_KY'!$L$7:$L$506,'02_NHAT_KY'!$C$7:$C$506,$A179),0))))</f>
        <v/>
      </c>
      <c r="J179" s="201">
        <f>IF($A179="","",IF($H179&lt;=0,"Không có dư nợ",IF($I179&gt;0,"Quá hạn","Trong hạn")))</f>
        <v/>
      </c>
      <c r="K179" s="232">
        <f>IF($A179="","",IF(AND('01_DANH_MUC'!$H169&gt;0,OR('01_DANH_MUC'!$G169="",'01_DANH_MUC'!$G169&gt;=$E$4)),'01_DANH_MUC'!$H169,0)+SUMIFS('02_NHAT_KY'!$K$7:$K$506,'02_NHAT_KY'!$C$7:$C$506,$A179,'02_NHAT_KY'!$J$7:$J$506,"&gt;="&amp;$E$4)+SUMIFS('02_NHAT_KY'!$K$7:$K$506,'02_NHAT_KY'!$C$7:$C$506,$A179,'02_NHAT_KY'!$J$7:$J$506,""))</f>
        <v/>
      </c>
      <c r="L179" s="232">
        <f>IF($A179="","",IF(AND('01_DANH_MUC'!$H169&gt;0,'01_DANH_MUC'!$G169&lt;$E$4,$E$4-'01_DANH_MUC'!$G169&lt;=30),'01_DANH_MUC'!$H169,0)+SUMIFS('02_NHAT_KY'!$K$7:$K$506,'02_NHAT_KY'!$C$7:$C$506,$A179,'02_NHAT_KY'!$L$7:$L$506,"&gt;=1",'02_NHAT_KY'!$L$7:$L$506,"&lt;=30"))</f>
        <v/>
      </c>
      <c r="M179" s="232">
        <f>IF($A179="","",IF(AND('01_DANH_MUC'!$H169&gt;0,'01_DANH_MUC'!$G169&lt;$E$4,$E$4-'01_DANH_MUC'!$G169&gt;=31,$E$4-'01_DANH_MUC'!$G169&lt;=60),'01_DANH_MUC'!$H169,0)+SUMIFS('02_NHAT_KY'!$K$7:$K$506,'02_NHAT_KY'!$C$7:$C$506,$A179,'02_NHAT_KY'!$L$7:$L$506,"&gt;=31",'02_NHAT_KY'!$L$7:$L$506,"&lt;=60"))</f>
        <v/>
      </c>
      <c r="N179" s="232">
        <f>IF($A179="","",IF(AND('01_DANH_MUC'!$H169&gt;0,'01_DANH_MUC'!$G169&lt;$E$4,$E$4-'01_DANH_MUC'!$G169&gt;=61,$E$4-'01_DANH_MUC'!$G169&lt;=90),'01_DANH_MUC'!$H169,0)+SUMIFS('02_NHAT_KY'!$K$7:$K$506,'02_NHAT_KY'!$C$7:$C$506,$A179,'02_NHAT_KY'!$L$7:$L$506,"&gt;=61",'02_NHAT_KY'!$L$7:$L$506,"&lt;=90"))</f>
        <v/>
      </c>
      <c r="O179" s="232">
        <f>IF($A179="","",IF(AND('01_DANH_MUC'!$H169&gt;0,'01_DANH_MUC'!$G169&lt;$E$4,$E$4-'01_DANH_MUC'!$G169&gt;90),'01_DANH_MUC'!$H169,0)+SUMIFS('02_NHAT_KY'!$K$7:$K$506,'02_NHAT_KY'!$C$7:$C$506,$A179,'02_NHAT_KY'!$L$7:$L$506,"&gt;90"))</f>
        <v/>
      </c>
      <c r="P179" s="201">
        <f>IF($A179="","",IF($H179&lt;0,"DƯ ÂM/TRẢ TRƯỚC",IF(ABS($H179-SUM($K179:$O179))&lt;1,"OK","LỆCH TUỔI NỢ")))</f>
        <v/>
      </c>
    </row>
    <row r="180">
      <c r="A180" s="201">
        <f>IF('01_DANH_MUC'!$A170="","",'01_DANH_MUC'!$A170)</f>
        <v/>
      </c>
      <c r="B180" s="198">
        <f>IF($A180="","",'01_DANH_MUC'!$B170)</f>
        <v/>
      </c>
      <c r="C180" s="201">
        <f>IF($A180="","",'01_DANH_MUC'!$C170)</f>
        <v/>
      </c>
      <c r="D180" s="231">
        <f>IF($A180="","",'01_DANH_MUC'!$D170)</f>
        <v/>
      </c>
      <c r="E180" s="232">
        <f>IF($A180="","",'01_DANH_MUC'!$F170+SUMIFS('02_NHAT_KY'!$G$7:$G$506,'02_NHAT_KY'!$C$7:$C$506,$A180,'02_NHAT_KY'!$A$7:$A$506,"&lt;"&amp;$B$4)-SUMIFS('02_NHAT_KY'!$H$7:$H$506,'02_NHAT_KY'!$C$7:$C$506,$A180,'02_NHAT_KY'!$A$7:$A$506,"&lt;"&amp;$B$4))</f>
        <v/>
      </c>
      <c r="F180" s="232">
        <f>IF($A180="","",SUMIFS('02_NHAT_KY'!$G$7:$G$506,'02_NHAT_KY'!$C$7:$C$506,$A180,'02_NHAT_KY'!$A$7:$A$506,"&gt;="&amp;$B$4,'02_NHAT_KY'!$A$7:$A$506,"&lt;="&amp;$E$4))</f>
        <v/>
      </c>
      <c r="G180" s="232">
        <f>IF($A180="","",SUMIFS('02_NHAT_KY'!$H$7:$H$506,'02_NHAT_KY'!$C$7:$C$506,$A180,'02_NHAT_KY'!$A$7:$A$506,"&gt;="&amp;$B$4,'02_NHAT_KY'!$A$7:$A$506,"&lt;="&amp;$E$4))</f>
        <v/>
      </c>
      <c r="H180" s="232">
        <f>IF($A180="","",$E180+$F180-$G180)</f>
        <v/>
      </c>
      <c r="I180" s="233">
        <f>IF($A180="","",IF($H180&lt;=0,0,MAX(IF(AND('01_DANH_MUC'!$H170&gt;0,'01_DANH_MUC'!$G170&lt;&gt;""),MAX(0,$E$4-'01_DANH_MUC'!$G170),0),IFERROR(MAXIFS('02_NHAT_KY'!$L$7:$L$506,'02_NHAT_KY'!$C$7:$C$506,$A180),0))))</f>
        <v/>
      </c>
      <c r="J180" s="201">
        <f>IF($A180="","",IF($H180&lt;=0,"Không có dư nợ",IF($I180&gt;0,"Quá hạn","Trong hạn")))</f>
        <v/>
      </c>
      <c r="K180" s="232">
        <f>IF($A180="","",IF(AND('01_DANH_MUC'!$H170&gt;0,OR('01_DANH_MUC'!$G170="",'01_DANH_MUC'!$G170&gt;=$E$4)),'01_DANH_MUC'!$H170,0)+SUMIFS('02_NHAT_KY'!$K$7:$K$506,'02_NHAT_KY'!$C$7:$C$506,$A180,'02_NHAT_KY'!$J$7:$J$506,"&gt;="&amp;$E$4)+SUMIFS('02_NHAT_KY'!$K$7:$K$506,'02_NHAT_KY'!$C$7:$C$506,$A180,'02_NHAT_KY'!$J$7:$J$506,""))</f>
        <v/>
      </c>
      <c r="L180" s="232">
        <f>IF($A180="","",IF(AND('01_DANH_MUC'!$H170&gt;0,'01_DANH_MUC'!$G170&lt;$E$4,$E$4-'01_DANH_MUC'!$G170&lt;=30),'01_DANH_MUC'!$H170,0)+SUMIFS('02_NHAT_KY'!$K$7:$K$506,'02_NHAT_KY'!$C$7:$C$506,$A180,'02_NHAT_KY'!$L$7:$L$506,"&gt;=1",'02_NHAT_KY'!$L$7:$L$506,"&lt;=30"))</f>
        <v/>
      </c>
      <c r="M180" s="232">
        <f>IF($A180="","",IF(AND('01_DANH_MUC'!$H170&gt;0,'01_DANH_MUC'!$G170&lt;$E$4,$E$4-'01_DANH_MUC'!$G170&gt;=31,$E$4-'01_DANH_MUC'!$G170&lt;=60),'01_DANH_MUC'!$H170,0)+SUMIFS('02_NHAT_KY'!$K$7:$K$506,'02_NHAT_KY'!$C$7:$C$506,$A180,'02_NHAT_KY'!$L$7:$L$506,"&gt;=31",'02_NHAT_KY'!$L$7:$L$506,"&lt;=60"))</f>
        <v/>
      </c>
      <c r="N180" s="232">
        <f>IF($A180="","",IF(AND('01_DANH_MUC'!$H170&gt;0,'01_DANH_MUC'!$G170&lt;$E$4,$E$4-'01_DANH_MUC'!$G170&gt;=61,$E$4-'01_DANH_MUC'!$G170&lt;=90),'01_DANH_MUC'!$H170,0)+SUMIFS('02_NHAT_KY'!$K$7:$K$506,'02_NHAT_KY'!$C$7:$C$506,$A180,'02_NHAT_KY'!$L$7:$L$506,"&gt;=61",'02_NHAT_KY'!$L$7:$L$506,"&lt;=90"))</f>
        <v/>
      </c>
      <c r="O180" s="232">
        <f>IF($A180="","",IF(AND('01_DANH_MUC'!$H170&gt;0,'01_DANH_MUC'!$G170&lt;$E$4,$E$4-'01_DANH_MUC'!$G170&gt;90),'01_DANH_MUC'!$H170,0)+SUMIFS('02_NHAT_KY'!$K$7:$K$506,'02_NHAT_KY'!$C$7:$C$506,$A180,'02_NHAT_KY'!$L$7:$L$506,"&gt;90"))</f>
        <v/>
      </c>
      <c r="P180" s="201">
        <f>IF($A180="","",IF($H180&lt;0,"DƯ ÂM/TRẢ TRƯỚC",IF(ABS($H180-SUM($K180:$O180))&lt;1,"OK","LỆCH TUỔI NỢ")))</f>
        <v/>
      </c>
    </row>
    <row r="181">
      <c r="A181" s="201">
        <f>IF('01_DANH_MUC'!$A171="","",'01_DANH_MUC'!$A171)</f>
        <v/>
      </c>
      <c r="B181" s="198">
        <f>IF($A181="","",'01_DANH_MUC'!$B171)</f>
        <v/>
      </c>
      <c r="C181" s="201">
        <f>IF($A181="","",'01_DANH_MUC'!$C171)</f>
        <v/>
      </c>
      <c r="D181" s="231">
        <f>IF($A181="","",'01_DANH_MUC'!$D171)</f>
        <v/>
      </c>
      <c r="E181" s="232">
        <f>IF($A181="","",'01_DANH_MUC'!$F171+SUMIFS('02_NHAT_KY'!$G$7:$G$506,'02_NHAT_KY'!$C$7:$C$506,$A181,'02_NHAT_KY'!$A$7:$A$506,"&lt;"&amp;$B$4)-SUMIFS('02_NHAT_KY'!$H$7:$H$506,'02_NHAT_KY'!$C$7:$C$506,$A181,'02_NHAT_KY'!$A$7:$A$506,"&lt;"&amp;$B$4))</f>
        <v/>
      </c>
      <c r="F181" s="232">
        <f>IF($A181="","",SUMIFS('02_NHAT_KY'!$G$7:$G$506,'02_NHAT_KY'!$C$7:$C$506,$A181,'02_NHAT_KY'!$A$7:$A$506,"&gt;="&amp;$B$4,'02_NHAT_KY'!$A$7:$A$506,"&lt;="&amp;$E$4))</f>
        <v/>
      </c>
      <c r="G181" s="232">
        <f>IF($A181="","",SUMIFS('02_NHAT_KY'!$H$7:$H$506,'02_NHAT_KY'!$C$7:$C$506,$A181,'02_NHAT_KY'!$A$7:$A$506,"&gt;="&amp;$B$4,'02_NHAT_KY'!$A$7:$A$506,"&lt;="&amp;$E$4))</f>
        <v/>
      </c>
      <c r="H181" s="232">
        <f>IF($A181="","",$E181+$F181-$G181)</f>
        <v/>
      </c>
      <c r="I181" s="233">
        <f>IF($A181="","",IF($H181&lt;=0,0,MAX(IF(AND('01_DANH_MUC'!$H171&gt;0,'01_DANH_MUC'!$G171&lt;&gt;""),MAX(0,$E$4-'01_DANH_MUC'!$G171),0),IFERROR(MAXIFS('02_NHAT_KY'!$L$7:$L$506,'02_NHAT_KY'!$C$7:$C$506,$A181),0))))</f>
        <v/>
      </c>
      <c r="J181" s="201">
        <f>IF($A181="","",IF($H181&lt;=0,"Không có dư nợ",IF($I181&gt;0,"Quá hạn","Trong hạn")))</f>
        <v/>
      </c>
      <c r="K181" s="232">
        <f>IF($A181="","",IF(AND('01_DANH_MUC'!$H171&gt;0,OR('01_DANH_MUC'!$G171="",'01_DANH_MUC'!$G171&gt;=$E$4)),'01_DANH_MUC'!$H171,0)+SUMIFS('02_NHAT_KY'!$K$7:$K$506,'02_NHAT_KY'!$C$7:$C$506,$A181,'02_NHAT_KY'!$J$7:$J$506,"&gt;="&amp;$E$4)+SUMIFS('02_NHAT_KY'!$K$7:$K$506,'02_NHAT_KY'!$C$7:$C$506,$A181,'02_NHAT_KY'!$J$7:$J$506,""))</f>
        <v/>
      </c>
      <c r="L181" s="232">
        <f>IF($A181="","",IF(AND('01_DANH_MUC'!$H171&gt;0,'01_DANH_MUC'!$G171&lt;$E$4,$E$4-'01_DANH_MUC'!$G171&lt;=30),'01_DANH_MUC'!$H171,0)+SUMIFS('02_NHAT_KY'!$K$7:$K$506,'02_NHAT_KY'!$C$7:$C$506,$A181,'02_NHAT_KY'!$L$7:$L$506,"&gt;=1",'02_NHAT_KY'!$L$7:$L$506,"&lt;=30"))</f>
        <v/>
      </c>
      <c r="M181" s="232">
        <f>IF($A181="","",IF(AND('01_DANH_MUC'!$H171&gt;0,'01_DANH_MUC'!$G171&lt;$E$4,$E$4-'01_DANH_MUC'!$G171&gt;=31,$E$4-'01_DANH_MUC'!$G171&lt;=60),'01_DANH_MUC'!$H171,0)+SUMIFS('02_NHAT_KY'!$K$7:$K$506,'02_NHAT_KY'!$C$7:$C$506,$A181,'02_NHAT_KY'!$L$7:$L$506,"&gt;=31",'02_NHAT_KY'!$L$7:$L$506,"&lt;=60"))</f>
        <v/>
      </c>
      <c r="N181" s="232">
        <f>IF($A181="","",IF(AND('01_DANH_MUC'!$H171&gt;0,'01_DANH_MUC'!$G171&lt;$E$4,$E$4-'01_DANH_MUC'!$G171&gt;=61,$E$4-'01_DANH_MUC'!$G171&lt;=90),'01_DANH_MUC'!$H171,0)+SUMIFS('02_NHAT_KY'!$K$7:$K$506,'02_NHAT_KY'!$C$7:$C$506,$A181,'02_NHAT_KY'!$L$7:$L$506,"&gt;=61",'02_NHAT_KY'!$L$7:$L$506,"&lt;=90"))</f>
        <v/>
      </c>
      <c r="O181" s="232">
        <f>IF($A181="","",IF(AND('01_DANH_MUC'!$H171&gt;0,'01_DANH_MUC'!$G171&lt;$E$4,$E$4-'01_DANH_MUC'!$G171&gt;90),'01_DANH_MUC'!$H171,0)+SUMIFS('02_NHAT_KY'!$K$7:$K$506,'02_NHAT_KY'!$C$7:$C$506,$A181,'02_NHAT_KY'!$L$7:$L$506,"&gt;90"))</f>
        <v/>
      </c>
      <c r="P181" s="201">
        <f>IF($A181="","",IF($H181&lt;0,"DƯ ÂM/TRẢ TRƯỚC",IF(ABS($H181-SUM($K181:$O181))&lt;1,"OK","LỆCH TUỔI NỢ")))</f>
        <v/>
      </c>
    </row>
    <row r="182">
      <c r="A182" s="201">
        <f>IF('01_DANH_MUC'!$A172="","",'01_DANH_MUC'!$A172)</f>
        <v/>
      </c>
      <c r="B182" s="198">
        <f>IF($A182="","",'01_DANH_MUC'!$B172)</f>
        <v/>
      </c>
      <c r="C182" s="201">
        <f>IF($A182="","",'01_DANH_MUC'!$C172)</f>
        <v/>
      </c>
      <c r="D182" s="231">
        <f>IF($A182="","",'01_DANH_MUC'!$D172)</f>
        <v/>
      </c>
      <c r="E182" s="232">
        <f>IF($A182="","",'01_DANH_MUC'!$F172+SUMIFS('02_NHAT_KY'!$G$7:$G$506,'02_NHAT_KY'!$C$7:$C$506,$A182,'02_NHAT_KY'!$A$7:$A$506,"&lt;"&amp;$B$4)-SUMIFS('02_NHAT_KY'!$H$7:$H$506,'02_NHAT_KY'!$C$7:$C$506,$A182,'02_NHAT_KY'!$A$7:$A$506,"&lt;"&amp;$B$4))</f>
        <v/>
      </c>
      <c r="F182" s="232">
        <f>IF($A182="","",SUMIFS('02_NHAT_KY'!$G$7:$G$506,'02_NHAT_KY'!$C$7:$C$506,$A182,'02_NHAT_KY'!$A$7:$A$506,"&gt;="&amp;$B$4,'02_NHAT_KY'!$A$7:$A$506,"&lt;="&amp;$E$4))</f>
        <v/>
      </c>
      <c r="G182" s="232">
        <f>IF($A182="","",SUMIFS('02_NHAT_KY'!$H$7:$H$506,'02_NHAT_KY'!$C$7:$C$506,$A182,'02_NHAT_KY'!$A$7:$A$506,"&gt;="&amp;$B$4,'02_NHAT_KY'!$A$7:$A$506,"&lt;="&amp;$E$4))</f>
        <v/>
      </c>
      <c r="H182" s="232">
        <f>IF($A182="","",$E182+$F182-$G182)</f>
        <v/>
      </c>
      <c r="I182" s="233">
        <f>IF($A182="","",IF($H182&lt;=0,0,MAX(IF(AND('01_DANH_MUC'!$H172&gt;0,'01_DANH_MUC'!$G172&lt;&gt;""),MAX(0,$E$4-'01_DANH_MUC'!$G172),0),IFERROR(MAXIFS('02_NHAT_KY'!$L$7:$L$506,'02_NHAT_KY'!$C$7:$C$506,$A182),0))))</f>
        <v/>
      </c>
      <c r="J182" s="201">
        <f>IF($A182="","",IF($H182&lt;=0,"Không có dư nợ",IF($I182&gt;0,"Quá hạn","Trong hạn")))</f>
        <v/>
      </c>
      <c r="K182" s="232">
        <f>IF($A182="","",IF(AND('01_DANH_MUC'!$H172&gt;0,OR('01_DANH_MUC'!$G172="",'01_DANH_MUC'!$G172&gt;=$E$4)),'01_DANH_MUC'!$H172,0)+SUMIFS('02_NHAT_KY'!$K$7:$K$506,'02_NHAT_KY'!$C$7:$C$506,$A182,'02_NHAT_KY'!$J$7:$J$506,"&gt;="&amp;$E$4)+SUMIFS('02_NHAT_KY'!$K$7:$K$506,'02_NHAT_KY'!$C$7:$C$506,$A182,'02_NHAT_KY'!$J$7:$J$506,""))</f>
        <v/>
      </c>
      <c r="L182" s="232">
        <f>IF($A182="","",IF(AND('01_DANH_MUC'!$H172&gt;0,'01_DANH_MUC'!$G172&lt;$E$4,$E$4-'01_DANH_MUC'!$G172&lt;=30),'01_DANH_MUC'!$H172,0)+SUMIFS('02_NHAT_KY'!$K$7:$K$506,'02_NHAT_KY'!$C$7:$C$506,$A182,'02_NHAT_KY'!$L$7:$L$506,"&gt;=1",'02_NHAT_KY'!$L$7:$L$506,"&lt;=30"))</f>
        <v/>
      </c>
      <c r="M182" s="232">
        <f>IF($A182="","",IF(AND('01_DANH_MUC'!$H172&gt;0,'01_DANH_MUC'!$G172&lt;$E$4,$E$4-'01_DANH_MUC'!$G172&gt;=31,$E$4-'01_DANH_MUC'!$G172&lt;=60),'01_DANH_MUC'!$H172,0)+SUMIFS('02_NHAT_KY'!$K$7:$K$506,'02_NHAT_KY'!$C$7:$C$506,$A182,'02_NHAT_KY'!$L$7:$L$506,"&gt;=31",'02_NHAT_KY'!$L$7:$L$506,"&lt;=60"))</f>
        <v/>
      </c>
      <c r="N182" s="232">
        <f>IF($A182="","",IF(AND('01_DANH_MUC'!$H172&gt;0,'01_DANH_MUC'!$G172&lt;$E$4,$E$4-'01_DANH_MUC'!$G172&gt;=61,$E$4-'01_DANH_MUC'!$G172&lt;=90),'01_DANH_MUC'!$H172,0)+SUMIFS('02_NHAT_KY'!$K$7:$K$506,'02_NHAT_KY'!$C$7:$C$506,$A182,'02_NHAT_KY'!$L$7:$L$506,"&gt;=61",'02_NHAT_KY'!$L$7:$L$506,"&lt;=90"))</f>
        <v/>
      </c>
      <c r="O182" s="232">
        <f>IF($A182="","",IF(AND('01_DANH_MUC'!$H172&gt;0,'01_DANH_MUC'!$G172&lt;$E$4,$E$4-'01_DANH_MUC'!$G172&gt;90),'01_DANH_MUC'!$H172,0)+SUMIFS('02_NHAT_KY'!$K$7:$K$506,'02_NHAT_KY'!$C$7:$C$506,$A182,'02_NHAT_KY'!$L$7:$L$506,"&gt;90"))</f>
        <v/>
      </c>
      <c r="P182" s="201">
        <f>IF($A182="","",IF($H182&lt;0,"DƯ ÂM/TRẢ TRƯỚC",IF(ABS($H182-SUM($K182:$O182))&lt;1,"OK","LỆCH TUỔI NỢ")))</f>
        <v/>
      </c>
    </row>
    <row r="183">
      <c r="A183" s="201">
        <f>IF('01_DANH_MUC'!$A173="","",'01_DANH_MUC'!$A173)</f>
        <v/>
      </c>
      <c r="B183" s="198">
        <f>IF($A183="","",'01_DANH_MUC'!$B173)</f>
        <v/>
      </c>
      <c r="C183" s="201">
        <f>IF($A183="","",'01_DANH_MUC'!$C173)</f>
        <v/>
      </c>
      <c r="D183" s="231">
        <f>IF($A183="","",'01_DANH_MUC'!$D173)</f>
        <v/>
      </c>
      <c r="E183" s="232">
        <f>IF($A183="","",'01_DANH_MUC'!$F173+SUMIFS('02_NHAT_KY'!$G$7:$G$506,'02_NHAT_KY'!$C$7:$C$506,$A183,'02_NHAT_KY'!$A$7:$A$506,"&lt;"&amp;$B$4)-SUMIFS('02_NHAT_KY'!$H$7:$H$506,'02_NHAT_KY'!$C$7:$C$506,$A183,'02_NHAT_KY'!$A$7:$A$506,"&lt;"&amp;$B$4))</f>
        <v/>
      </c>
      <c r="F183" s="232">
        <f>IF($A183="","",SUMIFS('02_NHAT_KY'!$G$7:$G$506,'02_NHAT_KY'!$C$7:$C$506,$A183,'02_NHAT_KY'!$A$7:$A$506,"&gt;="&amp;$B$4,'02_NHAT_KY'!$A$7:$A$506,"&lt;="&amp;$E$4))</f>
        <v/>
      </c>
      <c r="G183" s="232">
        <f>IF($A183="","",SUMIFS('02_NHAT_KY'!$H$7:$H$506,'02_NHAT_KY'!$C$7:$C$506,$A183,'02_NHAT_KY'!$A$7:$A$506,"&gt;="&amp;$B$4,'02_NHAT_KY'!$A$7:$A$506,"&lt;="&amp;$E$4))</f>
        <v/>
      </c>
      <c r="H183" s="232">
        <f>IF($A183="","",$E183+$F183-$G183)</f>
        <v/>
      </c>
      <c r="I183" s="233">
        <f>IF($A183="","",IF($H183&lt;=0,0,MAX(IF(AND('01_DANH_MUC'!$H173&gt;0,'01_DANH_MUC'!$G173&lt;&gt;""),MAX(0,$E$4-'01_DANH_MUC'!$G173),0),IFERROR(MAXIFS('02_NHAT_KY'!$L$7:$L$506,'02_NHAT_KY'!$C$7:$C$506,$A183),0))))</f>
        <v/>
      </c>
      <c r="J183" s="201">
        <f>IF($A183="","",IF($H183&lt;=0,"Không có dư nợ",IF($I183&gt;0,"Quá hạn","Trong hạn")))</f>
        <v/>
      </c>
      <c r="K183" s="232">
        <f>IF($A183="","",IF(AND('01_DANH_MUC'!$H173&gt;0,OR('01_DANH_MUC'!$G173="",'01_DANH_MUC'!$G173&gt;=$E$4)),'01_DANH_MUC'!$H173,0)+SUMIFS('02_NHAT_KY'!$K$7:$K$506,'02_NHAT_KY'!$C$7:$C$506,$A183,'02_NHAT_KY'!$J$7:$J$506,"&gt;="&amp;$E$4)+SUMIFS('02_NHAT_KY'!$K$7:$K$506,'02_NHAT_KY'!$C$7:$C$506,$A183,'02_NHAT_KY'!$J$7:$J$506,""))</f>
        <v/>
      </c>
      <c r="L183" s="232">
        <f>IF($A183="","",IF(AND('01_DANH_MUC'!$H173&gt;0,'01_DANH_MUC'!$G173&lt;$E$4,$E$4-'01_DANH_MUC'!$G173&lt;=30),'01_DANH_MUC'!$H173,0)+SUMIFS('02_NHAT_KY'!$K$7:$K$506,'02_NHAT_KY'!$C$7:$C$506,$A183,'02_NHAT_KY'!$L$7:$L$506,"&gt;=1",'02_NHAT_KY'!$L$7:$L$506,"&lt;=30"))</f>
        <v/>
      </c>
      <c r="M183" s="232">
        <f>IF($A183="","",IF(AND('01_DANH_MUC'!$H173&gt;0,'01_DANH_MUC'!$G173&lt;$E$4,$E$4-'01_DANH_MUC'!$G173&gt;=31,$E$4-'01_DANH_MUC'!$G173&lt;=60),'01_DANH_MUC'!$H173,0)+SUMIFS('02_NHAT_KY'!$K$7:$K$506,'02_NHAT_KY'!$C$7:$C$506,$A183,'02_NHAT_KY'!$L$7:$L$506,"&gt;=31",'02_NHAT_KY'!$L$7:$L$506,"&lt;=60"))</f>
        <v/>
      </c>
      <c r="N183" s="232">
        <f>IF($A183="","",IF(AND('01_DANH_MUC'!$H173&gt;0,'01_DANH_MUC'!$G173&lt;$E$4,$E$4-'01_DANH_MUC'!$G173&gt;=61,$E$4-'01_DANH_MUC'!$G173&lt;=90),'01_DANH_MUC'!$H173,0)+SUMIFS('02_NHAT_KY'!$K$7:$K$506,'02_NHAT_KY'!$C$7:$C$506,$A183,'02_NHAT_KY'!$L$7:$L$506,"&gt;=61",'02_NHAT_KY'!$L$7:$L$506,"&lt;=90"))</f>
        <v/>
      </c>
      <c r="O183" s="232">
        <f>IF($A183="","",IF(AND('01_DANH_MUC'!$H173&gt;0,'01_DANH_MUC'!$G173&lt;$E$4,$E$4-'01_DANH_MUC'!$G173&gt;90),'01_DANH_MUC'!$H173,0)+SUMIFS('02_NHAT_KY'!$K$7:$K$506,'02_NHAT_KY'!$C$7:$C$506,$A183,'02_NHAT_KY'!$L$7:$L$506,"&gt;90"))</f>
        <v/>
      </c>
      <c r="P183" s="201">
        <f>IF($A183="","",IF($H183&lt;0,"DƯ ÂM/TRẢ TRƯỚC",IF(ABS($H183-SUM($K183:$O183))&lt;1,"OK","LỆCH TUỔI NỢ")))</f>
        <v/>
      </c>
    </row>
    <row r="184">
      <c r="A184" s="201">
        <f>IF('01_DANH_MUC'!$A174="","",'01_DANH_MUC'!$A174)</f>
        <v/>
      </c>
      <c r="B184" s="198">
        <f>IF($A184="","",'01_DANH_MUC'!$B174)</f>
        <v/>
      </c>
      <c r="C184" s="201">
        <f>IF($A184="","",'01_DANH_MUC'!$C174)</f>
        <v/>
      </c>
      <c r="D184" s="231">
        <f>IF($A184="","",'01_DANH_MUC'!$D174)</f>
        <v/>
      </c>
      <c r="E184" s="232">
        <f>IF($A184="","",'01_DANH_MUC'!$F174+SUMIFS('02_NHAT_KY'!$G$7:$G$506,'02_NHAT_KY'!$C$7:$C$506,$A184,'02_NHAT_KY'!$A$7:$A$506,"&lt;"&amp;$B$4)-SUMIFS('02_NHAT_KY'!$H$7:$H$506,'02_NHAT_KY'!$C$7:$C$506,$A184,'02_NHAT_KY'!$A$7:$A$506,"&lt;"&amp;$B$4))</f>
        <v/>
      </c>
      <c r="F184" s="232">
        <f>IF($A184="","",SUMIFS('02_NHAT_KY'!$G$7:$G$506,'02_NHAT_KY'!$C$7:$C$506,$A184,'02_NHAT_KY'!$A$7:$A$506,"&gt;="&amp;$B$4,'02_NHAT_KY'!$A$7:$A$506,"&lt;="&amp;$E$4))</f>
        <v/>
      </c>
      <c r="G184" s="232">
        <f>IF($A184="","",SUMIFS('02_NHAT_KY'!$H$7:$H$506,'02_NHAT_KY'!$C$7:$C$506,$A184,'02_NHAT_KY'!$A$7:$A$506,"&gt;="&amp;$B$4,'02_NHAT_KY'!$A$7:$A$506,"&lt;="&amp;$E$4))</f>
        <v/>
      </c>
      <c r="H184" s="232">
        <f>IF($A184="","",$E184+$F184-$G184)</f>
        <v/>
      </c>
      <c r="I184" s="233">
        <f>IF($A184="","",IF($H184&lt;=0,0,MAX(IF(AND('01_DANH_MUC'!$H174&gt;0,'01_DANH_MUC'!$G174&lt;&gt;""),MAX(0,$E$4-'01_DANH_MUC'!$G174),0),IFERROR(MAXIFS('02_NHAT_KY'!$L$7:$L$506,'02_NHAT_KY'!$C$7:$C$506,$A184),0))))</f>
        <v/>
      </c>
      <c r="J184" s="201">
        <f>IF($A184="","",IF($H184&lt;=0,"Không có dư nợ",IF($I184&gt;0,"Quá hạn","Trong hạn")))</f>
        <v/>
      </c>
      <c r="K184" s="232">
        <f>IF($A184="","",IF(AND('01_DANH_MUC'!$H174&gt;0,OR('01_DANH_MUC'!$G174="",'01_DANH_MUC'!$G174&gt;=$E$4)),'01_DANH_MUC'!$H174,0)+SUMIFS('02_NHAT_KY'!$K$7:$K$506,'02_NHAT_KY'!$C$7:$C$506,$A184,'02_NHAT_KY'!$J$7:$J$506,"&gt;="&amp;$E$4)+SUMIFS('02_NHAT_KY'!$K$7:$K$506,'02_NHAT_KY'!$C$7:$C$506,$A184,'02_NHAT_KY'!$J$7:$J$506,""))</f>
        <v/>
      </c>
      <c r="L184" s="232">
        <f>IF($A184="","",IF(AND('01_DANH_MUC'!$H174&gt;0,'01_DANH_MUC'!$G174&lt;$E$4,$E$4-'01_DANH_MUC'!$G174&lt;=30),'01_DANH_MUC'!$H174,0)+SUMIFS('02_NHAT_KY'!$K$7:$K$506,'02_NHAT_KY'!$C$7:$C$506,$A184,'02_NHAT_KY'!$L$7:$L$506,"&gt;=1",'02_NHAT_KY'!$L$7:$L$506,"&lt;=30"))</f>
        <v/>
      </c>
      <c r="M184" s="232">
        <f>IF($A184="","",IF(AND('01_DANH_MUC'!$H174&gt;0,'01_DANH_MUC'!$G174&lt;$E$4,$E$4-'01_DANH_MUC'!$G174&gt;=31,$E$4-'01_DANH_MUC'!$G174&lt;=60),'01_DANH_MUC'!$H174,0)+SUMIFS('02_NHAT_KY'!$K$7:$K$506,'02_NHAT_KY'!$C$7:$C$506,$A184,'02_NHAT_KY'!$L$7:$L$506,"&gt;=31",'02_NHAT_KY'!$L$7:$L$506,"&lt;=60"))</f>
        <v/>
      </c>
      <c r="N184" s="232">
        <f>IF($A184="","",IF(AND('01_DANH_MUC'!$H174&gt;0,'01_DANH_MUC'!$G174&lt;$E$4,$E$4-'01_DANH_MUC'!$G174&gt;=61,$E$4-'01_DANH_MUC'!$G174&lt;=90),'01_DANH_MUC'!$H174,0)+SUMIFS('02_NHAT_KY'!$K$7:$K$506,'02_NHAT_KY'!$C$7:$C$506,$A184,'02_NHAT_KY'!$L$7:$L$506,"&gt;=61",'02_NHAT_KY'!$L$7:$L$506,"&lt;=90"))</f>
        <v/>
      </c>
      <c r="O184" s="232">
        <f>IF($A184="","",IF(AND('01_DANH_MUC'!$H174&gt;0,'01_DANH_MUC'!$G174&lt;$E$4,$E$4-'01_DANH_MUC'!$G174&gt;90),'01_DANH_MUC'!$H174,0)+SUMIFS('02_NHAT_KY'!$K$7:$K$506,'02_NHAT_KY'!$C$7:$C$506,$A184,'02_NHAT_KY'!$L$7:$L$506,"&gt;90"))</f>
        <v/>
      </c>
      <c r="P184" s="201">
        <f>IF($A184="","",IF($H184&lt;0,"DƯ ÂM/TRẢ TRƯỚC",IF(ABS($H184-SUM($K184:$O184))&lt;1,"OK","LỆCH TUỔI NỢ")))</f>
        <v/>
      </c>
    </row>
    <row r="185">
      <c r="A185" s="201">
        <f>IF('01_DANH_MUC'!$A175="","",'01_DANH_MUC'!$A175)</f>
        <v/>
      </c>
      <c r="B185" s="198">
        <f>IF($A185="","",'01_DANH_MUC'!$B175)</f>
        <v/>
      </c>
      <c r="C185" s="201">
        <f>IF($A185="","",'01_DANH_MUC'!$C175)</f>
        <v/>
      </c>
      <c r="D185" s="231">
        <f>IF($A185="","",'01_DANH_MUC'!$D175)</f>
        <v/>
      </c>
      <c r="E185" s="232">
        <f>IF($A185="","",'01_DANH_MUC'!$F175+SUMIFS('02_NHAT_KY'!$G$7:$G$506,'02_NHAT_KY'!$C$7:$C$506,$A185,'02_NHAT_KY'!$A$7:$A$506,"&lt;"&amp;$B$4)-SUMIFS('02_NHAT_KY'!$H$7:$H$506,'02_NHAT_KY'!$C$7:$C$506,$A185,'02_NHAT_KY'!$A$7:$A$506,"&lt;"&amp;$B$4))</f>
        <v/>
      </c>
      <c r="F185" s="232">
        <f>IF($A185="","",SUMIFS('02_NHAT_KY'!$G$7:$G$506,'02_NHAT_KY'!$C$7:$C$506,$A185,'02_NHAT_KY'!$A$7:$A$506,"&gt;="&amp;$B$4,'02_NHAT_KY'!$A$7:$A$506,"&lt;="&amp;$E$4))</f>
        <v/>
      </c>
      <c r="G185" s="232">
        <f>IF($A185="","",SUMIFS('02_NHAT_KY'!$H$7:$H$506,'02_NHAT_KY'!$C$7:$C$506,$A185,'02_NHAT_KY'!$A$7:$A$506,"&gt;="&amp;$B$4,'02_NHAT_KY'!$A$7:$A$506,"&lt;="&amp;$E$4))</f>
        <v/>
      </c>
      <c r="H185" s="232">
        <f>IF($A185="","",$E185+$F185-$G185)</f>
        <v/>
      </c>
      <c r="I185" s="233">
        <f>IF($A185="","",IF($H185&lt;=0,0,MAX(IF(AND('01_DANH_MUC'!$H175&gt;0,'01_DANH_MUC'!$G175&lt;&gt;""),MAX(0,$E$4-'01_DANH_MUC'!$G175),0),IFERROR(MAXIFS('02_NHAT_KY'!$L$7:$L$506,'02_NHAT_KY'!$C$7:$C$506,$A185),0))))</f>
        <v/>
      </c>
      <c r="J185" s="201">
        <f>IF($A185="","",IF($H185&lt;=0,"Không có dư nợ",IF($I185&gt;0,"Quá hạn","Trong hạn")))</f>
        <v/>
      </c>
      <c r="K185" s="232">
        <f>IF($A185="","",IF(AND('01_DANH_MUC'!$H175&gt;0,OR('01_DANH_MUC'!$G175="",'01_DANH_MUC'!$G175&gt;=$E$4)),'01_DANH_MUC'!$H175,0)+SUMIFS('02_NHAT_KY'!$K$7:$K$506,'02_NHAT_KY'!$C$7:$C$506,$A185,'02_NHAT_KY'!$J$7:$J$506,"&gt;="&amp;$E$4)+SUMIFS('02_NHAT_KY'!$K$7:$K$506,'02_NHAT_KY'!$C$7:$C$506,$A185,'02_NHAT_KY'!$J$7:$J$506,""))</f>
        <v/>
      </c>
      <c r="L185" s="232">
        <f>IF($A185="","",IF(AND('01_DANH_MUC'!$H175&gt;0,'01_DANH_MUC'!$G175&lt;$E$4,$E$4-'01_DANH_MUC'!$G175&lt;=30),'01_DANH_MUC'!$H175,0)+SUMIFS('02_NHAT_KY'!$K$7:$K$506,'02_NHAT_KY'!$C$7:$C$506,$A185,'02_NHAT_KY'!$L$7:$L$506,"&gt;=1",'02_NHAT_KY'!$L$7:$L$506,"&lt;=30"))</f>
        <v/>
      </c>
      <c r="M185" s="232">
        <f>IF($A185="","",IF(AND('01_DANH_MUC'!$H175&gt;0,'01_DANH_MUC'!$G175&lt;$E$4,$E$4-'01_DANH_MUC'!$G175&gt;=31,$E$4-'01_DANH_MUC'!$G175&lt;=60),'01_DANH_MUC'!$H175,0)+SUMIFS('02_NHAT_KY'!$K$7:$K$506,'02_NHAT_KY'!$C$7:$C$506,$A185,'02_NHAT_KY'!$L$7:$L$506,"&gt;=31",'02_NHAT_KY'!$L$7:$L$506,"&lt;=60"))</f>
        <v/>
      </c>
      <c r="N185" s="232">
        <f>IF($A185="","",IF(AND('01_DANH_MUC'!$H175&gt;0,'01_DANH_MUC'!$G175&lt;$E$4,$E$4-'01_DANH_MUC'!$G175&gt;=61,$E$4-'01_DANH_MUC'!$G175&lt;=90),'01_DANH_MUC'!$H175,0)+SUMIFS('02_NHAT_KY'!$K$7:$K$506,'02_NHAT_KY'!$C$7:$C$506,$A185,'02_NHAT_KY'!$L$7:$L$506,"&gt;=61",'02_NHAT_KY'!$L$7:$L$506,"&lt;=90"))</f>
        <v/>
      </c>
      <c r="O185" s="232">
        <f>IF($A185="","",IF(AND('01_DANH_MUC'!$H175&gt;0,'01_DANH_MUC'!$G175&lt;$E$4,$E$4-'01_DANH_MUC'!$G175&gt;90),'01_DANH_MUC'!$H175,0)+SUMIFS('02_NHAT_KY'!$K$7:$K$506,'02_NHAT_KY'!$C$7:$C$506,$A185,'02_NHAT_KY'!$L$7:$L$506,"&gt;90"))</f>
        <v/>
      </c>
      <c r="P185" s="201">
        <f>IF($A185="","",IF($H185&lt;0,"DƯ ÂM/TRẢ TRƯỚC",IF(ABS($H185-SUM($K185:$O185))&lt;1,"OK","LỆCH TUỔI NỢ")))</f>
        <v/>
      </c>
    </row>
    <row r="186">
      <c r="A186" s="201">
        <f>IF('01_DANH_MUC'!$A176="","",'01_DANH_MUC'!$A176)</f>
        <v/>
      </c>
      <c r="B186" s="198">
        <f>IF($A186="","",'01_DANH_MUC'!$B176)</f>
        <v/>
      </c>
      <c r="C186" s="201">
        <f>IF($A186="","",'01_DANH_MUC'!$C176)</f>
        <v/>
      </c>
      <c r="D186" s="231">
        <f>IF($A186="","",'01_DANH_MUC'!$D176)</f>
        <v/>
      </c>
      <c r="E186" s="232">
        <f>IF($A186="","",'01_DANH_MUC'!$F176+SUMIFS('02_NHAT_KY'!$G$7:$G$506,'02_NHAT_KY'!$C$7:$C$506,$A186,'02_NHAT_KY'!$A$7:$A$506,"&lt;"&amp;$B$4)-SUMIFS('02_NHAT_KY'!$H$7:$H$506,'02_NHAT_KY'!$C$7:$C$506,$A186,'02_NHAT_KY'!$A$7:$A$506,"&lt;"&amp;$B$4))</f>
        <v/>
      </c>
      <c r="F186" s="232">
        <f>IF($A186="","",SUMIFS('02_NHAT_KY'!$G$7:$G$506,'02_NHAT_KY'!$C$7:$C$506,$A186,'02_NHAT_KY'!$A$7:$A$506,"&gt;="&amp;$B$4,'02_NHAT_KY'!$A$7:$A$506,"&lt;="&amp;$E$4))</f>
        <v/>
      </c>
      <c r="G186" s="232">
        <f>IF($A186="","",SUMIFS('02_NHAT_KY'!$H$7:$H$506,'02_NHAT_KY'!$C$7:$C$506,$A186,'02_NHAT_KY'!$A$7:$A$506,"&gt;="&amp;$B$4,'02_NHAT_KY'!$A$7:$A$506,"&lt;="&amp;$E$4))</f>
        <v/>
      </c>
      <c r="H186" s="232">
        <f>IF($A186="","",$E186+$F186-$G186)</f>
        <v/>
      </c>
      <c r="I186" s="233">
        <f>IF($A186="","",IF($H186&lt;=0,0,MAX(IF(AND('01_DANH_MUC'!$H176&gt;0,'01_DANH_MUC'!$G176&lt;&gt;""),MAX(0,$E$4-'01_DANH_MUC'!$G176),0),IFERROR(MAXIFS('02_NHAT_KY'!$L$7:$L$506,'02_NHAT_KY'!$C$7:$C$506,$A186),0))))</f>
        <v/>
      </c>
      <c r="J186" s="201">
        <f>IF($A186="","",IF($H186&lt;=0,"Không có dư nợ",IF($I186&gt;0,"Quá hạn","Trong hạn")))</f>
        <v/>
      </c>
      <c r="K186" s="232">
        <f>IF($A186="","",IF(AND('01_DANH_MUC'!$H176&gt;0,OR('01_DANH_MUC'!$G176="",'01_DANH_MUC'!$G176&gt;=$E$4)),'01_DANH_MUC'!$H176,0)+SUMIFS('02_NHAT_KY'!$K$7:$K$506,'02_NHAT_KY'!$C$7:$C$506,$A186,'02_NHAT_KY'!$J$7:$J$506,"&gt;="&amp;$E$4)+SUMIFS('02_NHAT_KY'!$K$7:$K$506,'02_NHAT_KY'!$C$7:$C$506,$A186,'02_NHAT_KY'!$J$7:$J$506,""))</f>
        <v/>
      </c>
      <c r="L186" s="232">
        <f>IF($A186="","",IF(AND('01_DANH_MUC'!$H176&gt;0,'01_DANH_MUC'!$G176&lt;$E$4,$E$4-'01_DANH_MUC'!$G176&lt;=30),'01_DANH_MUC'!$H176,0)+SUMIFS('02_NHAT_KY'!$K$7:$K$506,'02_NHAT_KY'!$C$7:$C$506,$A186,'02_NHAT_KY'!$L$7:$L$506,"&gt;=1",'02_NHAT_KY'!$L$7:$L$506,"&lt;=30"))</f>
        <v/>
      </c>
      <c r="M186" s="232">
        <f>IF($A186="","",IF(AND('01_DANH_MUC'!$H176&gt;0,'01_DANH_MUC'!$G176&lt;$E$4,$E$4-'01_DANH_MUC'!$G176&gt;=31,$E$4-'01_DANH_MUC'!$G176&lt;=60),'01_DANH_MUC'!$H176,0)+SUMIFS('02_NHAT_KY'!$K$7:$K$506,'02_NHAT_KY'!$C$7:$C$506,$A186,'02_NHAT_KY'!$L$7:$L$506,"&gt;=31",'02_NHAT_KY'!$L$7:$L$506,"&lt;=60"))</f>
        <v/>
      </c>
      <c r="N186" s="232">
        <f>IF($A186="","",IF(AND('01_DANH_MUC'!$H176&gt;0,'01_DANH_MUC'!$G176&lt;$E$4,$E$4-'01_DANH_MUC'!$G176&gt;=61,$E$4-'01_DANH_MUC'!$G176&lt;=90),'01_DANH_MUC'!$H176,0)+SUMIFS('02_NHAT_KY'!$K$7:$K$506,'02_NHAT_KY'!$C$7:$C$506,$A186,'02_NHAT_KY'!$L$7:$L$506,"&gt;=61",'02_NHAT_KY'!$L$7:$L$506,"&lt;=90"))</f>
        <v/>
      </c>
      <c r="O186" s="232">
        <f>IF($A186="","",IF(AND('01_DANH_MUC'!$H176&gt;0,'01_DANH_MUC'!$G176&lt;$E$4,$E$4-'01_DANH_MUC'!$G176&gt;90),'01_DANH_MUC'!$H176,0)+SUMIFS('02_NHAT_KY'!$K$7:$K$506,'02_NHAT_KY'!$C$7:$C$506,$A186,'02_NHAT_KY'!$L$7:$L$506,"&gt;90"))</f>
        <v/>
      </c>
      <c r="P186" s="201">
        <f>IF($A186="","",IF($H186&lt;0,"DƯ ÂM/TRẢ TRƯỚC",IF(ABS($H186-SUM($K186:$O186))&lt;1,"OK","LỆCH TUỔI NỢ")))</f>
        <v/>
      </c>
    </row>
    <row r="187">
      <c r="A187" s="201">
        <f>IF('01_DANH_MUC'!$A177="","",'01_DANH_MUC'!$A177)</f>
        <v/>
      </c>
      <c r="B187" s="198">
        <f>IF($A187="","",'01_DANH_MUC'!$B177)</f>
        <v/>
      </c>
      <c r="C187" s="201">
        <f>IF($A187="","",'01_DANH_MUC'!$C177)</f>
        <v/>
      </c>
      <c r="D187" s="231">
        <f>IF($A187="","",'01_DANH_MUC'!$D177)</f>
        <v/>
      </c>
      <c r="E187" s="232">
        <f>IF($A187="","",'01_DANH_MUC'!$F177+SUMIFS('02_NHAT_KY'!$G$7:$G$506,'02_NHAT_KY'!$C$7:$C$506,$A187,'02_NHAT_KY'!$A$7:$A$506,"&lt;"&amp;$B$4)-SUMIFS('02_NHAT_KY'!$H$7:$H$506,'02_NHAT_KY'!$C$7:$C$506,$A187,'02_NHAT_KY'!$A$7:$A$506,"&lt;"&amp;$B$4))</f>
        <v/>
      </c>
      <c r="F187" s="232">
        <f>IF($A187="","",SUMIFS('02_NHAT_KY'!$G$7:$G$506,'02_NHAT_KY'!$C$7:$C$506,$A187,'02_NHAT_KY'!$A$7:$A$506,"&gt;="&amp;$B$4,'02_NHAT_KY'!$A$7:$A$506,"&lt;="&amp;$E$4))</f>
        <v/>
      </c>
      <c r="G187" s="232">
        <f>IF($A187="","",SUMIFS('02_NHAT_KY'!$H$7:$H$506,'02_NHAT_KY'!$C$7:$C$506,$A187,'02_NHAT_KY'!$A$7:$A$506,"&gt;="&amp;$B$4,'02_NHAT_KY'!$A$7:$A$506,"&lt;="&amp;$E$4))</f>
        <v/>
      </c>
      <c r="H187" s="232">
        <f>IF($A187="","",$E187+$F187-$G187)</f>
        <v/>
      </c>
      <c r="I187" s="233">
        <f>IF($A187="","",IF($H187&lt;=0,0,MAX(IF(AND('01_DANH_MUC'!$H177&gt;0,'01_DANH_MUC'!$G177&lt;&gt;""),MAX(0,$E$4-'01_DANH_MUC'!$G177),0),IFERROR(MAXIFS('02_NHAT_KY'!$L$7:$L$506,'02_NHAT_KY'!$C$7:$C$506,$A187),0))))</f>
        <v/>
      </c>
      <c r="J187" s="201">
        <f>IF($A187="","",IF($H187&lt;=0,"Không có dư nợ",IF($I187&gt;0,"Quá hạn","Trong hạn")))</f>
        <v/>
      </c>
      <c r="K187" s="232">
        <f>IF($A187="","",IF(AND('01_DANH_MUC'!$H177&gt;0,OR('01_DANH_MUC'!$G177="",'01_DANH_MUC'!$G177&gt;=$E$4)),'01_DANH_MUC'!$H177,0)+SUMIFS('02_NHAT_KY'!$K$7:$K$506,'02_NHAT_KY'!$C$7:$C$506,$A187,'02_NHAT_KY'!$J$7:$J$506,"&gt;="&amp;$E$4)+SUMIFS('02_NHAT_KY'!$K$7:$K$506,'02_NHAT_KY'!$C$7:$C$506,$A187,'02_NHAT_KY'!$J$7:$J$506,""))</f>
        <v/>
      </c>
      <c r="L187" s="232">
        <f>IF($A187="","",IF(AND('01_DANH_MUC'!$H177&gt;0,'01_DANH_MUC'!$G177&lt;$E$4,$E$4-'01_DANH_MUC'!$G177&lt;=30),'01_DANH_MUC'!$H177,0)+SUMIFS('02_NHAT_KY'!$K$7:$K$506,'02_NHAT_KY'!$C$7:$C$506,$A187,'02_NHAT_KY'!$L$7:$L$506,"&gt;=1",'02_NHAT_KY'!$L$7:$L$506,"&lt;=30"))</f>
        <v/>
      </c>
      <c r="M187" s="232">
        <f>IF($A187="","",IF(AND('01_DANH_MUC'!$H177&gt;0,'01_DANH_MUC'!$G177&lt;$E$4,$E$4-'01_DANH_MUC'!$G177&gt;=31,$E$4-'01_DANH_MUC'!$G177&lt;=60),'01_DANH_MUC'!$H177,0)+SUMIFS('02_NHAT_KY'!$K$7:$K$506,'02_NHAT_KY'!$C$7:$C$506,$A187,'02_NHAT_KY'!$L$7:$L$506,"&gt;=31",'02_NHAT_KY'!$L$7:$L$506,"&lt;=60"))</f>
        <v/>
      </c>
      <c r="N187" s="232">
        <f>IF($A187="","",IF(AND('01_DANH_MUC'!$H177&gt;0,'01_DANH_MUC'!$G177&lt;$E$4,$E$4-'01_DANH_MUC'!$G177&gt;=61,$E$4-'01_DANH_MUC'!$G177&lt;=90),'01_DANH_MUC'!$H177,0)+SUMIFS('02_NHAT_KY'!$K$7:$K$506,'02_NHAT_KY'!$C$7:$C$506,$A187,'02_NHAT_KY'!$L$7:$L$506,"&gt;=61",'02_NHAT_KY'!$L$7:$L$506,"&lt;=90"))</f>
        <v/>
      </c>
      <c r="O187" s="232">
        <f>IF($A187="","",IF(AND('01_DANH_MUC'!$H177&gt;0,'01_DANH_MUC'!$G177&lt;$E$4,$E$4-'01_DANH_MUC'!$G177&gt;90),'01_DANH_MUC'!$H177,0)+SUMIFS('02_NHAT_KY'!$K$7:$K$506,'02_NHAT_KY'!$C$7:$C$506,$A187,'02_NHAT_KY'!$L$7:$L$506,"&gt;90"))</f>
        <v/>
      </c>
      <c r="P187" s="201">
        <f>IF($A187="","",IF($H187&lt;0,"DƯ ÂM/TRẢ TRƯỚC",IF(ABS($H187-SUM($K187:$O187))&lt;1,"OK","LỆCH TUỔI NỢ")))</f>
        <v/>
      </c>
    </row>
    <row r="188">
      <c r="A188" s="201">
        <f>IF('01_DANH_MUC'!$A178="","",'01_DANH_MUC'!$A178)</f>
        <v/>
      </c>
      <c r="B188" s="198">
        <f>IF($A188="","",'01_DANH_MUC'!$B178)</f>
        <v/>
      </c>
      <c r="C188" s="201">
        <f>IF($A188="","",'01_DANH_MUC'!$C178)</f>
        <v/>
      </c>
      <c r="D188" s="231">
        <f>IF($A188="","",'01_DANH_MUC'!$D178)</f>
        <v/>
      </c>
      <c r="E188" s="232">
        <f>IF($A188="","",'01_DANH_MUC'!$F178+SUMIFS('02_NHAT_KY'!$G$7:$G$506,'02_NHAT_KY'!$C$7:$C$506,$A188,'02_NHAT_KY'!$A$7:$A$506,"&lt;"&amp;$B$4)-SUMIFS('02_NHAT_KY'!$H$7:$H$506,'02_NHAT_KY'!$C$7:$C$506,$A188,'02_NHAT_KY'!$A$7:$A$506,"&lt;"&amp;$B$4))</f>
        <v/>
      </c>
      <c r="F188" s="232">
        <f>IF($A188="","",SUMIFS('02_NHAT_KY'!$G$7:$G$506,'02_NHAT_KY'!$C$7:$C$506,$A188,'02_NHAT_KY'!$A$7:$A$506,"&gt;="&amp;$B$4,'02_NHAT_KY'!$A$7:$A$506,"&lt;="&amp;$E$4))</f>
        <v/>
      </c>
      <c r="G188" s="232">
        <f>IF($A188="","",SUMIFS('02_NHAT_KY'!$H$7:$H$506,'02_NHAT_KY'!$C$7:$C$506,$A188,'02_NHAT_KY'!$A$7:$A$506,"&gt;="&amp;$B$4,'02_NHAT_KY'!$A$7:$A$506,"&lt;="&amp;$E$4))</f>
        <v/>
      </c>
      <c r="H188" s="232">
        <f>IF($A188="","",$E188+$F188-$G188)</f>
        <v/>
      </c>
      <c r="I188" s="233">
        <f>IF($A188="","",IF($H188&lt;=0,0,MAX(IF(AND('01_DANH_MUC'!$H178&gt;0,'01_DANH_MUC'!$G178&lt;&gt;""),MAX(0,$E$4-'01_DANH_MUC'!$G178),0),IFERROR(MAXIFS('02_NHAT_KY'!$L$7:$L$506,'02_NHAT_KY'!$C$7:$C$506,$A188),0))))</f>
        <v/>
      </c>
      <c r="J188" s="201">
        <f>IF($A188="","",IF($H188&lt;=0,"Không có dư nợ",IF($I188&gt;0,"Quá hạn","Trong hạn")))</f>
        <v/>
      </c>
      <c r="K188" s="232">
        <f>IF($A188="","",IF(AND('01_DANH_MUC'!$H178&gt;0,OR('01_DANH_MUC'!$G178="",'01_DANH_MUC'!$G178&gt;=$E$4)),'01_DANH_MUC'!$H178,0)+SUMIFS('02_NHAT_KY'!$K$7:$K$506,'02_NHAT_KY'!$C$7:$C$506,$A188,'02_NHAT_KY'!$J$7:$J$506,"&gt;="&amp;$E$4)+SUMIFS('02_NHAT_KY'!$K$7:$K$506,'02_NHAT_KY'!$C$7:$C$506,$A188,'02_NHAT_KY'!$J$7:$J$506,""))</f>
        <v/>
      </c>
      <c r="L188" s="232">
        <f>IF($A188="","",IF(AND('01_DANH_MUC'!$H178&gt;0,'01_DANH_MUC'!$G178&lt;$E$4,$E$4-'01_DANH_MUC'!$G178&lt;=30),'01_DANH_MUC'!$H178,0)+SUMIFS('02_NHAT_KY'!$K$7:$K$506,'02_NHAT_KY'!$C$7:$C$506,$A188,'02_NHAT_KY'!$L$7:$L$506,"&gt;=1",'02_NHAT_KY'!$L$7:$L$506,"&lt;=30"))</f>
        <v/>
      </c>
      <c r="M188" s="232">
        <f>IF($A188="","",IF(AND('01_DANH_MUC'!$H178&gt;0,'01_DANH_MUC'!$G178&lt;$E$4,$E$4-'01_DANH_MUC'!$G178&gt;=31,$E$4-'01_DANH_MUC'!$G178&lt;=60),'01_DANH_MUC'!$H178,0)+SUMIFS('02_NHAT_KY'!$K$7:$K$506,'02_NHAT_KY'!$C$7:$C$506,$A188,'02_NHAT_KY'!$L$7:$L$506,"&gt;=31",'02_NHAT_KY'!$L$7:$L$506,"&lt;=60"))</f>
        <v/>
      </c>
      <c r="N188" s="232">
        <f>IF($A188="","",IF(AND('01_DANH_MUC'!$H178&gt;0,'01_DANH_MUC'!$G178&lt;$E$4,$E$4-'01_DANH_MUC'!$G178&gt;=61,$E$4-'01_DANH_MUC'!$G178&lt;=90),'01_DANH_MUC'!$H178,0)+SUMIFS('02_NHAT_KY'!$K$7:$K$506,'02_NHAT_KY'!$C$7:$C$506,$A188,'02_NHAT_KY'!$L$7:$L$506,"&gt;=61",'02_NHAT_KY'!$L$7:$L$506,"&lt;=90"))</f>
        <v/>
      </c>
      <c r="O188" s="232">
        <f>IF($A188="","",IF(AND('01_DANH_MUC'!$H178&gt;0,'01_DANH_MUC'!$G178&lt;$E$4,$E$4-'01_DANH_MUC'!$G178&gt;90),'01_DANH_MUC'!$H178,0)+SUMIFS('02_NHAT_KY'!$K$7:$K$506,'02_NHAT_KY'!$C$7:$C$506,$A188,'02_NHAT_KY'!$L$7:$L$506,"&gt;90"))</f>
        <v/>
      </c>
      <c r="P188" s="201">
        <f>IF($A188="","",IF($H188&lt;0,"DƯ ÂM/TRẢ TRƯỚC",IF(ABS($H188-SUM($K188:$O188))&lt;1,"OK","LỆCH TUỔI NỢ")))</f>
        <v/>
      </c>
    </row>
    <row r="189">
      <c r="A189" s="201">
        <f>IF('01_DANH_MUC'!$A179="","",'01_DANH_MUC'!$A179)</f>
        <v/>
      </c>
      <c r="B189" s="198">
        <f>IF($A189="","",'01_DANH_MUC'!$B179)</f>
        <v/>
      </c>
      <c r="C189" s="201">
        <f>IF($A189="","",'01_DANH_MUC'!$C179)</f>
        <v/>
      </c>
      <c r="D189" s="231">
        <f>IF($A189="","",'01_DANH_MUC'!$D179)</f>
        <v/>
      </c>
      <c r="E189" s="232">
        <f>IF($A189="","",'01_DANH_MUC'!$F179+SUMIFS('02_NHAT_KY'!$G$7:$G$506,'02_NHAT_KY'!$C$7:$C$506,$A189,'02_NHAT_KY'!$A$7:$A$506,"&lt;"&amp;$B$4)-SUMIFS('02_NHAT_KY'!$H$7:$H$506,'02_NHAT_KY'!$C$7:$C$506,$A189,'02_NHAT_KY'!$A$7:$A$506,"&lt;"&amp;$B$4))</f>
        <v/>
      </c>
      <c r="F189" s="232">
        <f>IF($A189="","",SUMIFS('02_NHAT_KY'!$G$7:$G$506,'02_NHAT_KY'!$C$7:$C$506,$A189,'02_NHAT_KY'!$A$7:$A$506,"&gt;="&amp;$B$4,'02_NHAT_KY'!$A$7:$A$506,"&lt;="&amp;$E$4))</f>
        <v/>
      </c>
      <c r="G189" s="232">
        <f>IF($A189="","",SUMIFS('02_NHAT_KY'!$H$7:$H$506,'02_NHAT_KY'!$C$7:$C$506,$A189,'02_NHAT_KY'!$A$7:$A$506,"&gt;="&amp;$B$4,'02_NHAT_KY'!$A$7:$A$506,"&lt;="&amp;$E$4))</f>
        <v/>
      </c>
      <c r="H189" s="232">
        <f>IF($A189="","",$E189+$F189-$G189)</f>
        <v/>
      </c>
      <c r="I189" s="233">
        <f>IF($A189="","",IF($H189&lt;=0,0,MAX(IF(AND('01_DANH_MUC'!$H179&gt;0,'01_DANH_MUC'!$G179&lt;&gt;""),MAX(0,$E$4-'01_DANH_MUC'!$G179),0),IFERROR(MAXIFS('02_NHAT_KY'!$L$7:$L$506,'02_NHAT_KY'!$C$7:$C$506,$A189),0))))</f>
        <v/>
      </c>
      <c r="J189" s="201">
        <f>IF($A189="","",IF($H189&lt;=0,"Không có dư nợ",IF($I189&gt;0,"Quá hạn","Trong hạn")))</f>
        <v/>
      </c>
      <c r="K189" s="232">
        <f>IF($A189="","",IF(AND('01_DANH_MUC'!$H179&gt;0,OR('01_DANH_MUC'!$G179="",'01_DANH_MUC'!$G179&gt;=$E$4)),'01_DANH_MUC'!$H179,0)+SUMIFS('02_NHAT_KY'!$K$7:$K$506,'02_NHAT_KY'!$C$7:$C$506,$A189,'02_NHAT_KY'!$J$7:$J$506,"&gt;="&amp;$E$4)+SUMIFS('02_NHAT_KY'!$K$7:$K$506,'02_NHAT_KY'!$C$7:$C$506,$A189,'02_NHAT_KY'!$J$7:$J$506,""))</f>
        <v/>
      </c>
      <c r="L189" s="232">
        <f>IF($A189="","",IF(AND('01_DANH_MUC'!$H179&gt;0,'01_DANH_MUC'!$G179&lt;$E$4,$E$4-'01_DANH_MUC'!$G179&lt;=30),'01_DANH_MUC'!$H179,0)+SUMIFS('02_NHAT_KY'!$K$7:$K$506,'02_NHAT_KY'!$C$7:$C$506,$A189,'02_NHAT_KY'!$L$7:$L$506,"&gt;=1",'02_NHAT_KY'!$L$7:$L$506,"&lt;=30"))</f>
        <v/>
      </c>
      <c r="M189" s="232">
        <f>IF($A189="","",IF(AND('01_DANH_MUC'!$H179&gt;0,'01_DANH_MUC'!$G179&lt;$E$4,$E$4-'01_DANH_MUC'!$G179&gt;=31,$E$4-'01_DANH_MUC'!$G179&lt;=60),'01_DANH_MUC'!$H179,0)+SUMIFS('02_NHAT_KY'!$K$7:$K$506,'02_NHAT_KY'!$C$7:$C$506,$A189,'02_NHAT_KY'!$L$7:$L$506,"&gt;=31",'02_NHAT_KY'!$L$7:$L$506,"&lt;=60"))</f>
        <v/>
      </c>
      <c r="N189" s="232">
        <f>IF($A189="","",IF(AND('01_DANH_MUC'!$H179&gt;0,'01_DANH_MUC'!$G179&lt;$E$4,$E$4-'01_DANH_MUC'!$G179&gt;=61,$E$4-'01_DANH_MUC'!$G179&lt;=90),'01_DANH_MUC'!$H179,0)+SUMIFS('02_NHAT_KY'!$K$7:$K$506,'02_NHAT_KY'!$C$7:$C$506,$A189,'02_NHAT_KY'!$L$7:$L$506,"&gt;=61",'02_NHAT_KY'!$L$7:$L$506,"&lt;=90"))</f>
        <v/>
      </c>
      <c r="O189" s="232">
        <f>IF($A189="","",IF(AND('01_DANH_MUC'!$H179&gt;0,'01_DANH_MUC'!$G179&lt;$E$4,$E$4-'01_DANH_MUC'!$G179&gt;90),'01_DANH_MUC'!$H179,0)+SUMIFS('02_NHAT_KY'!$K$7:$K$506,'02_NHAT_KY'!$C$7:$C$506,$A189,'02_NHAT_KY'!$L$7:$L$506,"&gt;90"))</f>
        <v/>
      </c>
      <c r="P189" s="201">
        <f>IF($A189="","",IF($H189&lt;0,"DƯ ÂM/TRẢ TRƯỚC",IF(ABS($H189-SUM($K189:$O189))&lt;1,"OK","LỆCH TUỔI NỢ")))</f>
        <v/>
      </c>
    </row>
    <row r="190">
      <c r="A190" s="201">
        <f>IF('01_DANH_MUC'!$A180="","",'01_DANH_MUC'!$A180)</f>
        <v/>
      </c>
      <c r="B190" s="198">
        <f>IF($A190="","",'01_DANH_MUC'!$B180)</f>
        <v/>
      </c>
      <c r="C190" s="201">
        <f>IF($A190="","",'01_DANH_MUC'!$C180)</f>
        <v/>
      </c>
      <c r="D190" s="231">
        <f>IF($A190="","",'01_DANH_MUC'!$D180)</f>
        <v/>
      </c>
      <c r="E190" s="232">
        <f>IF($A190="","",'01_DANH_MUC'!$F180+SUMIFS('02_NHAT_KY'!$G$7:$G$506,'02_NHAT_KY'!$C$7:$C$506,$A190,'02_NHAT_KY'!$A$7:$A$506,"&lt;"&amp;$B$4)-SUMIFS('02_NHAT_KY'!$H$7:$H$506,'02_NHAT_KY'!$C$7:$C$506,$A190,'02_NHAT_KY'!$A$7:$A$506,"&lt;"&amp;$B$4))</f>
        <v/>
      </c>
      <c r="F190" s="232">
        <f>IF($A190="","",SUMIFS('02_NHAT_KY'!$G$7:$G$506,'02_NHAT_KY'!$C$7:$C$506,$A190,'02_NHAT_KY'!$A$7:$A$506,"&gt;="&amp;$B$4,'02_NHAT_KY'!$A$7:$A$506,"&lt;="&amp;$E$4))</f>
        <v/>
      </c>
      <c r="G190" s="232">
        <f>IF($A190="","",SUMIFS('02_NHAT_KY'!$H$7:$H$506,'02_NHAT_KY'!$C$7:$C$506,$A190,'02_NHAT_KY'!$A$7:$A$506,"&gt;="&amp;$B$4,'02_NHAT_KY'!$A$7:$A$506,"&lt;="&amp;$E$4))</f>
        <v/>
      </c>
      <c r="H190" s="232">
        <f>IF($A190="","",$E190+$F190-$G190)</f>
        <v/>
      </c>
      <c r="I190" s="233">
        <f>IF($A190="","",IF($H190&lt;=0,0,MAX(IF(AND('01_DANH_MUC'!$H180&gt;0,'01_DANH_MUC'!$G180&lt;&gt;""),MAX(0,$E$4-'01_DANH_MUC'!$G180),0),IFERROR(MAXIFS('02_NHAT_KY'!$L$7:$L$506,'02_NHAT_KY'!$C$7:$C$506,$A190),0))))</f>
        <v/>
      </c>
      <c r="J190" s="201">
        <f>IF($A190="","",IF($H190&lt;=0,"Không có dư nợ",IF($I190&gt;0,"Quá hạn","Trong hạn")))</f>
        <v/>
      </c>
      <c r="K190" s="232">
        <f>IF($A190="","",IF(AND('01_DANH_MUC'!$H180&gt;0,OR('01_DANH_MUC'!$G180="",'01_DANH_MUC'!$G180&gt;=$E$4)),'01_DANH_MUC'!$H180,0)+SUMIFS('02_NHAT_KY'!$K$7:$K$506,'02_NHAT_KY'!$C$7:$C$506,$A190,'02_NHAT_KY'!$J$7:$J$506,"&gt;="&amp;$E$4)+SUMIFS('02_NHAT_KY'!$K$7:$K$506,'02_NHAT_KY'!$C$7:$C$506,$A190,'02_NHAT_KY'!$J$7:$J$506,""))</f>
        <v/>
      </c>
      <c r="L190" s="232">
        <f>IF($A190="","",IF(AND('01_DANH_MUC'!$H180&gt;0,'01_DANH_MUC'!$G180&lt;$E$4,$E$4-'01_DANH_MUC'!$G180&lt;=30),'01_DANH_MUC'!$H180,0)+SUMIFS('02_NHAT_KY'!$K$7:$K$506,'02_NHAT_KY'!$C$7:$C$506,$A190,'02_NHAT_KY'!$L$7:$L$506,"&gt;=1",'02_NHAT_KY'!$L$7:$L$506,"&lt;=30"))</f>
        <v/>
      </c>
      <c r="M190" s="232">
        <f>IF($A190="","",IF(AND('01_DANH_MUC'!$H180&gt;0,'01_DANH_MUC'!$G180&lt;$E$4,$E$4-'01_DANH_MUC'!$G180&gt;=31,$E$4-'01_DANH_MUC'!$G180&lt;=60),'01_DANH_MUC'!$H180,0)+SUMIFS('02_NHAT_KY'!$K$7:$K$506,'02_NHAT_KY'!$C$7:$C$506,$A190,'02_NHAT_KY'!$L$7:$L$506,"&gt;=31",'02_NHAT_KY'!$L$7:$L$506,"&lt;=60"))</f>
        <v/>
      </c>
      <c r="N190" s="232">
        <f>IF($A190="","",IF(AND('01_DANH_MUC'!$H180&gt;0,'01_DANH_MUC'!$G180&lt;$E$4,$E$4-'01_DANH_MUC'!$G180&gt;=61,$E$4-'01_DANH_MUC'!$G180&lt;=90),'01_DANH_MUC'!$H180,0)+SUMIFS('02_NHAT_KY'!$K$7:$K$506,'02_NHAT_KY'!$C$7:$C$506,$A190,'02_NHAT_KY'!$L$7:$L$506,"&gt;=61",'02_NHAT_KY'!$L$7:$L$506,"&lt;=90"))</f>
        <v/>
      </c>
      <c r="O190" s="232">
        <f>IF($A190="","",IF(AND('01_DANH_MUC'!$H180&gt;0,'01_DANH_MUC'!$G180&lt;$E$4,$E$4-'01_DANH_MUC'!$G180&gt;90),'01_DANH_MUC'!$H180,0)+SUMIFS('02_NHAT_KY'!$K$7:$K$506,'02_NHAT_KY'!$C$7:$C$506,$A190,'02_NHAT_KY'!$L$7:$L$506,"&gt;90"))</f>
        <v/>
      </c>
      <c r="P190" s="201">
        <f>IF($A190="","",IF($H190&lt;0,"DƯ ÂM/TRẢ TRƯỚC",IF(ABS($H190-SUM($K190:$O190))&lt;1,"OK","LỆCH TUỔI NỢ")))</f>
        <v/>
      </c>
    </row>
    <row r="191">
      <c r="A191" s="201">
        <f>IF('01_DANH_MUC'!$A181="","",'01_DANH_MUC'!$A181)</f>
        <v/>
      </c>
      <c r="B191" s="198">
        <f>IF($A191="","",'01_DANH_MUC'!$B181)</f>
        <v/>
      </c>
      <c r="C191" s="201">
        <f>IF($A191="","",'01_DANH_MUC'!$C181)</f>
        <v/>
      </c>
      <c r="D191" s="231">
        <f>IF($A191="","",'01_DANH_MUC'!$D181)</f>
        <v/>
      </c>
      <c r="E191" s="232">
        <f>IF($A191="","",'01_DANH_MUC'!$F181+SUMIFS('02_NHAT_KY'!$G$7:$G$506,'02_NHAT_KY'!$C$7:$C$506,$A191,'02_NHAT_KY'!$A$7:$A$506,"&lt;"&amp;$B$4)-SUMIFS('02_NHAT_KY'!$H$7:$H$506,'02_NHAT_KY'!$C$7:$C$506,$A191,'02_NHAT_KY'!$A$7:$A$506,"&lt;"&amp;$B$4))</f>
        <v/>
      </c>
      <c r="F191" s="232">
        <f>IF($A191="","",SUMIFS('02_NHAT_KY'!$G$7:$G$506,'02_NHAT_KY'!$C$7:$C$506,$A191,'02_NHAT_KY'!$A$7:$A$506,"&gt;="&amp;$B$4,'02_NHAT_KY'!$A$7:$A$506,"&lt;="&amp;$E$4))</f>
        <v/>
      </c>
      <c r="G191" s="232">
        <f>IF($A191="","",SUMIFS('02_NHAT_KY'!$H$7:$H$506,'02_NHAT_KY'!$C$7:$C$506,$A191,'02_NHAT_KY'!$A$7:$A$506,"&gt;="&amp;$B$4,'02_NHAT_KY'!$A$7:$A$506,"&lt;="&amp;$E$4))</f>
        <v/>
      </c>
      <c r="H191" s="232">
        <f>IF($A191="","",$E191+$F191-$G191)</f>
        <v/>
      </c>
      <c r="I191" s="233">
        <f>IF($A191="","",IF($H191&lt;=0,0,MAX(IF(AND('01_DANH_MUC'!$H181&gt;0,'01_DANH_MUC'!$G181&lt;&gt;""),MAX(0,$E$4-'01_DANH_MUC'!$G181),0),IFERROR(MAXIFS('02_NHAT_KY'!$L$7:$L$506,'02_NHAT_KY'!$C$7:$C$506,$A191),0))))</f>
        <v/>
      </c>
      <c r="J191" s="201">
        <f>IF($A191="","",IF($H191&lt;=0,"Không có dư nợ",IF($I191&gt;0,"Quá hạn","Trong hạn")))</f>
        <v/>
      </c>
      <c r="K191" s="232">
        <f>IF($A191="","",IF(AND('01_DANH_MUC'!$H181&gt;0,OR('01_DANH_MUC'!$G181="",'01_DANH_MUC'!$G181&gt;=$E$4)),'01_DANH_MUC'!$H181,0)+SUMIFS('02_NHAT_KY'!$K$7:$K$506,'02_NHAT_KY'!$C$7:$C$506,$A191,'02_NHAT_KY'!$J$7:$J$506,"&gt;="&amp;$E$4)+SUMIFS('02_NHAT_KY'!$K$7:$K$506,'02_NHAT_KY'!$C$7:$C$506,$A191,'02_NHAT_KY'!$J$7:$J$506,""))</f>
        <v/>
      </c>
      <c r="L191" s="232">
        <f>IF($A191="","",IF(AND('01_DANH_MUC'!$H181&gt;0,'01_DANH_MUC'!$G181&lt;$E$4,$E$4-'01_DANH_MUC'!$G181&lt;=30),'01_DANH_MUC'!$H181,0)+SUMIFS('02_NHAT_KY'!$K$7:$K$506,'02_NHAT_KY'!$C$7:$C$506,$A191,'02_NHAT_KY'!$L$7:$L$506,"&gt;=1",'02_NHAT_KY'!$L$7:$L$506,"&lt;=30"))</f>
        <v/>
      </c>
      <c r="M191" s="232">
        <f>IF($A191="","",IF(AND('01_DANH_MUC'!$H181&gt;0,'01_DANH_MUC'!$G181&lt;$E$4,$E$4-'01_DANH_MUC'!$G181&gt;=31,$E$4-'01_DANH_MUC'!$G181&lt;=60),'01_DANH_MUC'!$H181,0)+SUMIFS('02_NHAT_KY'!$K$7:$K$506,'02_NHAT_KY'!$C$7:$C$506,$A191,'02_NHAT_KY'!$L$7:$L$506,"&gt;=31",'02_NHAT_KY'!$L$7:$L$506,"&lt;=60"))</f>
        <v/>
      </c>
      <c r="N191" s="232">
        <f>IF($A191="","",IF(AND('01_DANH_MUC'!$H181&gt;0,'01_DANH_MUC'!$G181&lt;$E$4,$E$4-'01_DANH_MUC'!$G181&gt;=61,$E$4-'01_DANH_MUC'!$G181&lt;=90),'01_DANH_MUC'!$H181,0)+SUMIFS('02_NHAT_KY'!$K$7:$K$506,'02_NHAT_KY'!$C$7:$C$506,$A191,'02_NHAT_KY'!$L$7:$L$506,"&gt;=61",'02_NHAT_KY'!$L$7:$L$506,"&lt;=90"))</f>
        <v/>
      </c>
      <c r="O191" s="232">
        <f>IF($A191="","",IF(AND('01_DANH_MUC'!$H181&gt;0,'01_DANH_MUC'!$G181&lt;$E$4,$E$4-'01_DANH_MUC'!$G181&gt;90),'01_DANH_MUC'!$H181,0)+SUMIFS('02_NHAT_KY'!$K$7:$K$506,'02_NHAT_KY'!$C$7:$C$506,$A191,'02_NHAT_KY'!$L$7:$L$506,"&gt;90"))</f>
        <v/>
      </c>
      <c r="P191" s="201">
        <f>IF($A191="","",IF($H191&lt;0,"DƯ ÂM/TRẢ TRƯỚC",IF(ABS($H191-SUM($K191:$O191))&lt;1,"OK","LỆCH TUỔI NỢ")))</f>
        <v/>
      </c>
    </row>
    <row r="192">
      <c r="A192" s="201">
        <f>IF('01_DANH_MUC'!$A182="","",'01_DANH_MUC'!$A182)</f>
        <v/>
      </c>
      <c r="B192" s="198">
        <f>IF($A192="","",'01_DANH_MUC'!$B182)</f>
        <v/>
      </c>
      <c r="C192" s="201">
        <f>IF($A192="","",'01_DANH_MUC'!$C182)</f>
        <v/>
      </c>
      <c r="D192" s="231">
        <f>IF($A192="","",'01_DANH_MUC'!$D182)</f>
        <v/>
      </c>
      <c r="E192" s="232">
        <f>IF($A192="","",'01_DANH_MUC'!$F182+SUMIFS('02_NHAT_KY'!$G$7:$G$506,'02_NHAT_KY'!$C$7:$C$506,$A192,'02_NHAT_KY'!$A$7:$A$506,"&lt;"&amp;$B$4)-SUMIFS('02_NHAT_KY'!$H$7:$H$506,'02_NHAT_KY'!$C$7:$C$506,$A192,'02_NHAT_KY'!$A$7:$A$506,"&lt;"&amp;$B$4))</f>
        <v/>
      </c>
      <c r="F192" s="232">
        <f>IF($A192="","",SUMIFS('02_NHAT_KY'!$G$7:$G$506,'02_NHAT_KY'!$C$7:$C$506,$A192,'02_NHAT_KY'!$A$7:$A$506,"&gt;="&amp;$B$4,'02_NHAT_KY'!$A$7:$A$506,"&lt;="&amp;$E$4))</f>
        <v/>
      </c>
      <c r="G192" s="232">
        <f>IF($A192="","",SUMIFS('02_NHAT_KY'!$H$7:$H$506,'02_NHAT_KY'!$C$7:$C$506,$A192,'02_NHAT_KY'!$A$7:$A$506,"&gt;="&amp;$B$4,'02_NHAT_KY'!$A$7:$A$506,"&lt;="&amp;$E$4))</f>
        <v/>
      </c>
      <c r="H192" s="232">
        <f>IF($A192="","",$E192+$F192-$G192)</f>
        <v/>
      </c>
      <c r="I192" s="233">
        <f>IF($A192="","",IF($H192&lt;=0,0,MAX(IF(AND('01_DANH_MUC'!$H182&gt;0,'01_DANH_MUC'!$G182&lt;&gt;""),MAX(0,$E$4-'01_DANH_MUC'!$G182),0),IFERROR(MAXIFS('02_NHAT_KY'!$L$7:$L$506,'02_NHAT_KY'!$C$7:$C$506,$A192),0))))</f>
        <v/>
      </c>
      <c r="J192" s="201">
        <f>IF($A192="","",IF($H192&lt;=0,"Không có dư nợ",IF($I192&gt;0,"Quá hạn","Trong hạn")))</f>
        <v/>
      </c>
      <c r="K192" s="232">
        <f>IF($A192="","",IF(AND('01_DANH_MUC'!$H182&gt;0,OR('01_DANH_MUC'!$G182="",'01_DANH_MUC'!$G182&gt;=$E$4)),'01_DANH_MUC'!$H182,0)+SUMIFS('02_NHAT_KY'!$K$7:$K$506,'02_NHAT_KY'!$C$7:$C$506,$A192,'02_NHAT_KY'!$J$7:$J$506,"&gt;="&amp;$E$4)+SUMIFS('02_NHAT_KY'!$K$7:$K$506,'02_NHAT_KY'!$C$7:$C$506,$A192,'02_NHAT_KY'!$J$7:$J$506,""))</f>
        <v/>
      </c>
      <c r="L192" s="232">
        <f>IF($A192="","",IF(AND('01_DANH_MUC'!$H182&gt;0,'01_DANH_MUC'!$G182&lt;$E$4,$E$4-'01_DANH_MUC'!$G182&lt;=30),'01_DANH_MUC'!$H182,0)+SUMIFS('02_NHAT_KY'!$K$7:$K$506,'02_NHAT_KY'!$C$7:$C$506,$A192,'02_NHAT_KY'!$L$7:$L$506,"&gt;=1",'02_NHAT_KY'!$L$7:$L$506,"&lt;=30"))</f>
        <v/>
      </c>
      <c r="M192" s="232">
        <f>IF($A192="","",IF(AND('01_DANH_MUC'!$H182&gt;0,'01_DANH_MUC'!$G182&lt;$E$4,$E$4-'01_DANH_MUC'!$G182&gt;=31,$E$4-'01_DANH_MUC'!$G182&lt;=60),'01_DANH_MUC'!$H182,0)+SUMIFS('02_NHAT_KY'!$K$7:$K$506,'02_NHAT_KY'!$C$7:$C$506,$A192,'02_NHAT_KY'!$L$7:$L$506,"&gt;=31",'02_NHAT_KY'!$L$7:$L$506,"&lt;=60"))</f>
        <v/>
      </c>
      <c r="N192" s="232">
        <f>IF($A192="","",IF(AND('01_DANH_MUC'!$H182&gt;0,'01_DANH_MUC'!$G182&lt;$E$4,$E$4-'01_DANH_MUC'!$G182&gt;=61,$E$4-'01_DANH_MUC'!$G182&lt;=90),'01_DANH_MUC'!$H182,0)+SUMIFS('02_NHAT_KY'!$K$7:$K$506,'02_NHAT_KY'!$C$7:$C$506,$A192,'02_NHAT_KY'!$L$7:$L$506,"&gt;=61",'02_NHAT_KY'!$L$7:$L$506,"&lt;=90"))</f>
        <v/>
      </c>
      <c r="O192" s="232">
        <f>IF($A192="","",IF(AND('01_DANH_MUC'!$H182&gt;0,'01_DANH_MUC'!$G182&lt;$E$4,$E$4-'01_DANH_MUC'!$G182&gt;90),'01_DANH_MUC'!$H182,0)+SUMIFS('02_NHAT_KY'!$K$7:$K$506,'02_NHAT_KY'!$C$7:$C$506,$A192,'02_NHAT_KY'!$L$7:$L$506,"&gt;90"))</f>
        <v/>
      </c>
      <c r="P192" s="201">
        <f>IF($A192="","",IF($H192&lt;0,"DƯ ÂM/TRẢ TRƯỚC",IF(ABS($H192-SUM($K192:$O192))&lt;1,"OK","LỆCH TUỔI NỢ")))</f>
        <v/>
      </c>
    </row>
    <row r="193">
      <c r="A193" s="201">
        <f>IF('01_DANH_MUC'!$A183="","",'01_DANH_MUC'!$A183)</f>
        <v/>
      </c>
      <c r="B193" s="198">
        <f>IF($A193="","",'01_DANH_MUC'!$B183)</f>
        <v/>
      </c>
      <c r="C193" s="201">
        <f>IF($A193="","",'01_DANH_MUC'!$C183)</f>
        <v/>
      </c>
      <c r="D193" s="231">
        <f>IF($A193="","",'01_DANH_MUC'!$D183)</f>
        <v/>
      </c>
      <c r="E193" s="232">
        <f>IF($A193="","",'01_DANH_MUC'!$F183+SUMIFS('02_NHAT_KY'!$G$7:$G$506,'02_NHAT_KY'!$C$7:$C$506,$A193,'02_NHAT_KY'!$A$7:$A$506,"&lt;"&amp;$B$4)-SUMIFS('02_NHAT_KY'!$H$7:$H$506,'02_NHAT_KY'!$C$7:$C$506,$A193,'02_NHAT_KY'!$A$7:$A$506,"&lt;"&amp;$B$4))</f>
        <v/>
      </c>
      <c r="F193" s="232">
        <f>IF($A193="","",SUMIFS('02_NHAT_KY'!$G$7:$G$506,'02_NHAT_KY'!$C$7:$C$506,$A193,'02_NHAT_KY'!$A$7:$A$506,"&gt;="&amp;$B$4,'02_NHAT_KY'!$A$7:$A$506,"&lt;="&amp;$E$4))</f>
        <v/>
      </c>
      <c r="G193" s="232">
        <f>IF($A193="","",SUMIFS('02_NHAT_KY'!$H$7:$H$506,'02_NHAT_KY'!$C$7:$C$506,$A193,'02_NHAT_KY'!$A$7:$A$506,"&gt;="&amp;$B$4,'02_NHAT_KY'!$A$7:$A$506,"&lt;="&amp;$E$4))</f>
        <v/>
      </c>
      <c r="H193" s="232">
        <f>IF($A193="","",$E193+$F193-$G193)</f>
        <v/>
      </c>
      <c r="I193" s="233">
        <f>IF($A193="","",IF($H193&lt;=0,0,MAX(IF(AND('01_DANH_MUC'!$H183&gt;0,'01_DANH_MUC'!$G183&lt;&gt;""),MAX(0,$E$4-'01_DANH_MUC'!$G183),0),IFERROR(MAXIFS('02_NHAT_KY'!$L$7:$L$506,'02_NHAT_KY'!$C$7:$C$506,$A193),0))))</f>
        <v/>
      </c>
      <c r="J193" s="201">
        <f>IF($A193="","",IF($H193&lt;=0,"Không có dư nợ",IF($I193&gt;0,"Quá hạn","Trong hạn")))</f>
        <v/>
      </c>
      <c r="K193" s="232">
        <f>IF($A193="","",IF(AND('01_DANH_MUC'!$H183&gt;0,OR('01_DANH_MUC'!$G183="",'01_DANH_MUC'!$G183&gt;=$E$4)),'01_DANH_MUC'!$H183,0)+SUMIFS('02_NHAT_KY'!$K$7:$K$506,'02_NHAT_KY'!$C$7:$C$506,$A193,'02_NHAT_KY'!$J$7:$J$506,"&gt;="&amp;$E$4)+SUMIFS('02_NHAT_KY'!$K$7:$K$506,'02_NHAT_KY'!$C$7:$C$506,$A193,'02_NHAT_KY'!$J$7:$J$506,""))</f>
        <v/>
      </c>
      <c r="L193" s="232">
        <f>IF($A193="","",IF(AND('01_DANH_MUC'!$H183&gt;0,'01_DANH_MUC'!$G183&lt;$E$4,$E$4-'01_DANH_MUC'!$G183&lt;=30),'01_DANH_MUC'!$H183,0)+SUMIFS('02_NHAT_KY'!$K$7:$K$506,'02_NHAT_KY'!$C$7:$C$506,$A193,'02_NHAT_KY'!$L$7:$L$506,"&gt;=1",'02_NHAT_KY'!$L$7:$L$506,"&lt;=30"))</f>
        <v/>
      </c>
      <c r="M193" s="232">
        <f>IF($A193="","",IF(AND('01_DANH_MUC'!$H183&gt;0,'01_DANH_MUC'!$G183&lt;$E$4,$E$4-'01_DANH_MUC'!$G183&gt;=31,$E$4-'01_DANH_MUC'!$G183&lt;=60),'01_DANH_MUC'!$H183,0)+SUMIFS('02_NHAT_KY'!$K$7:$K$506,'02_NHAT_KY'!$C$7:$C$506,$A193,'02_NHAT_KY'!$L$7:$L$506,"&gt;=31",'02_NHAT_KY'!$L$7:$L$506,"&lt;=60"))</f>
        <v/>
      </c>
      <c r="N193" s="232">
        <f>IF($A193="","",IF(AND('01_DANH_MUC'!$H183&gt;0,'01_DANH_MUC'!$G183&lt;$E$4,$E$4-'01_DANH_MUC'!$G183&gt;=61,$E$4-'01_DANH_MUC'!$G183&lt;=90),'01_DANH_MUC'!$H183,0)+SUMIFS('02_NHAT_KY'!$K$7:$K$506,'02_NHAT_KY'!$C$7:$C$506,$A193,'02_NHAT_KY'!$L$7:$L$506,"&gt;=61",'02_NHAT_KY'!$L$7:$L$506,"&lt;=90"))</f>
        <v/>
      </c>
      <c r="O193" s="232">
        <f>IF($A193="","",IF(AND('01_DANH_MUC'!$H183&gt;0,'01_DANH_MUC'!$G183&lt;$E$4,$E$4-'01_DANH_MUC'!$G183&gt;90),'01_DANH_MUC'!$H183,0)+SUMIFS('02_NHAT_KY'!$K$7:$K$506,'02_NHAT_KY'!$C$7:$C$506,$A193,'02_NHAT_KY'!$L$7:$L$506,"&gt;90"))</f>
        <v/>
      </c>
      <c r="P193" s="201">
        <f>IF($A193="","",IF($H193&lt;0,"DƯ ÂM/TRẢ TRƯỚC",IF(ABS($H193-SUM($K193:$O193))&lt;1,"OK","LỆCH TUỔI NỢ")))</f>
        <v/>
      </c>
    </row>
    <row r="194">
      <c r="A194" s="201">
        <f>IF('01_DANH_MUC'!$A184="","",'01_DANH_MUC'!$A184)</f>
        <v/>
      </c>
      <c r="B194" s="198">
        <f>IF($A194="","",'01_DANH_MUC'!$B184)</f>
        <v/>
      </c>
      <c r="C194" s="201">
        <f>IF($A194="","",'01_DANH_MUC'!$C184)</f>
        <v/>
      </c>
      <c r="D194" s="231">
        <f>IF($A194="","",'01_DANH_MUC'!$D184)</f>
        <v/>
      </c>
      <c r="E194" s="232">
        <f>IF($A194="","",'01_DANH_MUC'!$F184+SUMIFS('02_NHAT_KY'!$G$7:$G$506,'02_NHAT_KY'!$C$7:$C$506,$A194,'02_NHAT_KY'!$A$7:$A$506,"&lt;"&amp;$B$4)-SUMIFS('02_NHAT_KY'!$H$7:$H$506,'02_NHAT_KY'!$C$7:$C$506,$A194,'02_NHAT_KY'!$A$7:$A$506,"&lt;"&amp;$B$4))</f>
        <v/>
      </c>
      <c r="F194" s="232">
        <f>IF($A194="","",SUMIFS('02_NHAT_KY'!$G$7:$G$506,'02_NHAT_KY'!$C$7:$C$506,$A194,'02_NHAT_KY'!$A$7:$A$506,"&gt;="&amp;$B$4,'02_NHAT_KY'!$A$7:$A$506,"&lt;="&amp;$E$4))</f>
        <v/>
      </c>
      <c r="G194" s="232">
        <f>IF($A194="","",SUMIFS('02_NHAT_KY'!$H$7:$H$506,'02_NHAT_KY'!$C$7:$C$506,$A194,'02_NHAT_KY'!$A$7:$A$506,"&gt;="&amp;$B$4,'02_NHAT_KY'!$A$7:$A$506,"&lt;="&amp;$E$4))</f>
        <v/>
      </c>
      <c r="H194" s="232">
        <f>IF($A194="","",$E194+$F194-$G194)</f>
        <v/>
      </c>
      <c r="I194" s="233">
        <f>IF($A194="","",IF($H194&lt;=0,0,MAX(IF(AND('01_DANH_MUC'!$H184&gt;0,'01_DANH_MUC'!$G184&lt;&gt;""),MAX(0,$E$4-'01_DANH_MUC'!$G184),0),IFERROR(MAXIFS('02_NHAT_KY'!$L$7:$L$506,'02_NHAT_KY'!$C$7:$C$506,$A194),0))))</f>
        <v/>
      </c>
      <c r="J194" s="201">
        <f>IF($A194="","",IF($H194&lt;=0,"Không có dư nợ",IF($I194&gt;0,"Quá hạn","Trong hạn")))</f>
        <v/>
      </c>
      <c r="K194" s="232">
        <f>IF($A194="","",IF(AND('01_DANH_MUC'!$H184&gt;0,OR('01_DANH_MUC'!$G184="",'01_DANH_MUC'!$G184&gt;=$E$4)),'01_DANH_MUC'!$H184,0)+SUMIFS('02_NHAT_KY'!$K$7:$K$506,'02_NHAT_KY'!$C$7:$C$506,$A194,'02_NHAT_KY'!$J$7:$J$506,"&gt;="&amp;$E$4)+SUMIFS('02_NHAT_KY'!$K$7:$K$506,'02_NHAT_KY'!$C$7:$C$506,$A194,'02_NHAT_KY'!$J$7:$J$506,""))</f>
        <v/>
      </c>
      <c r="L194" s="232">
        <f>IF($A194="","",IF(AND('01_DANH_MUC'!$H184&gt;0,'01_DANH_MUC'!$G184&lt;$E$4,$E$4-'01_DANH_MUC'!$G184&lt;=30),'01_DANH_MUC'!$H184,0)+SUMIFS('02_NHAT_KY'!$K$7:$K$506,'02_NHAT_KY'!$C$7:$C$506,$A194,'02_NHAT_KY'!$L$7:$L$506,"&gt;=1",'02_NHAT_KY'!$L$7:$L$506,"&lt;=30"))</f>
        <v/>
      </c>
      <c r="M194" s="232">
        <f>IF($A194="","",IF(AND('01_DANH_MUC'!$H184&gt;0,'01_DANH_MUC'!$G184&lt;$E$4,$E$4-'01_DANH_MUC'!$G184&gt;=31,$E$4-'01_DANH_MUC'!$G184&lt;=60),'01_DANH_MUC'!$H184,0)+SUMIFS('02_NHAT_KY'!$K$7:$K$506,'02_NHAT_KY'!$C$7:$C$506,$A194,'02_NHAT_KY'!$L$7:$L$506,"&gt;=31",'02_NHAT_KY'!$L$7:$L$506,"&lt;=60"))</f>
        <v/>
      </c>
      <c r="N194" s="232">
        <f>IF($A194="","",IF(AND('01_DANH_MUC'!$H184&gt;0,'01_DANH_MUC'!$G184&lt;$E$4,$E$4-'01_DANH_MUC'!$G184&gt;=61,$E$4-'01_DANH_MUC'!$G184&lt;=90),'01_DANH_MUC'!$H184,0)+SUMIFS('02_NHAT_KY'!$K$7:$K$506,'02_NHAT_KY'!$C$7:$C$506,$A194,'02_NHAT_KY'!$L$7:$L$506,"&gt;=61",'02_NHAT_KY'!$L$7:$L$506,"&lt;=90"))</f>
        <v/>
      </c>
      <c r="O194" s="232">
        <f>IF($A194="","",IF(AND('01_DANH_MUC'!$H184&gt;0,'01_DANH_MUC'!$G184&lt;$E$4,$E$4-'01_DANH_MUC'!$G184&gt;90),'01_DANH_MUC'!$H184,0)+SUMIFS('02_NHAT_KY'!$K$7:$K$506,'02_NHAT_KY'!$C$7:$C$506,$A194,'02_NHAT_KY'!$L$7:$L$506,"&gt;90"))</f>
        <v/>
      </c>
      <c r="P194" s="201">
        <f>IF($A194="","",IF($H194&lt;0,"DƯ ÂM/TRẢ TRƯỚC",IF(ABS($H194-SUM($K194:$O194))&lt;1,"OK","LỆCH TUỔI NỢ")))</f>
        <v/>
      </c>
    </row>
    <row r="195">
      <c r="A195" s="201">
        <f>IF('01_DANH_MUC'!$A185="","",'01_DANH_MUC'!$A185)</f>
        <v/>
      </c>
      <c r="B195" s="198">
        <f>IF($A195="","",'01_DANH_MUC'!$B185)</f>
        <v/>
      </c>
      <c r="C195" s="201">
        <f>IF($A195="","",'01_DANH_MUC'!$C185)</f>
        <v/>
      </c>
      <c r="D195" s="231">
        <f>IF($A195="","",'01_DANH_MUC'!$D185)</f>
        <v/>
      </c>
      <c r="E195" s="232">
        <f>IF($A195="","",'01_DANH_MUC'!$F185+SUMIFS('02_NHAT_KY'!$G$7:$G$506,'02_NHAT_KY'!$C$7:$C$506,$A195,'02_NHAT_KY'!$A$7:$A$506,"&lt;"&amp;$B$4)-SUMIFS('02_NHAT_KY'!$H$7:$H$506,'02_NHAT_KY'!$C$7:$C$506,$A195,'02_NHAT_KY'!$A$7:$A$506,"&lt;"&amp;$B$4))</f>
        <v/>
      </c>
      <c r="F195" s="232">
        <f>IF($A195="","",SUMIFS('02_NHAT_KY'!$G$7:$G$506,'02_NHAT_KY'!$C$7:$C$506,$A195,'02_NHAT_KY'!$A$7:$A$506,"&gt;="&amp;$B$4,'02_NHAT_KY'!$A$7:$A$506,"&lt;="&amp;$E$4))</f>
        <v/>
      </c>
      <c r="G195" s="232">
        <f>IF($A195="","",SUMIFS('02_NHAT_KY'!$H$7:$H$506,'02_NHAT_KY'!$C$7:$C$506,$A195,'02_NHAT_KY'!$A$7:$A$506,"&gt;="&amp;$B$4,'02_NHAT_KY'!$A$7:$A$506,"&lt;="&amp;$E$4))</f>
        <v/>
      </c>
      <c r="H195" s="232">
        <f>IF($A195="","",$E195+$F195-$G195)</f>
        <v/>
      </c>
      <c r="I195" s="233">
        <f>IF($A195="","",IF($H195&lt;=0,0,MAX(IF(AND('01_DANH_MUC'!$H185&gt;0,'01_DANH_MUC'!$G185&lt;&gt;""),MAX(0,$E$4-'01_DANH_MUC'!$G185),0),IFERROR(MAXIFS('02_NHAT_KY'!$L$7:$L$506,'02_NHAT_KY'!$C$7:$C$506,$A195),0))))</f>
        <v/>
      </c>
      <c r="J195" s="201">
        <f>IF($A195="","",IF($H195&lt;=0,"Không có dư nợ",IF($I195&gt;0,"Quá hạn","Trong hạn")))</f>
        <v/>
      </c>
      <c r="K195" s="232">
        <f>IF($A195="","",IF(AND('01_DANH_MUC'!$H185&gt;0,OR('01_DANH_MUC'!$G185="",'01_DANH_MUC'!$G185&gt;=$E$4)),'01_DANH_MUC'!$H185,0)+SUMIFS('02_NHAT_KY'!$K$7:$K$506,'02_NHAT_KY'!$C$7:$C$506,$A195,'02_NHAT_KY'!$J$7:$J$506,"&gt;="&amp;$E$4)+SUMIFS('02_NHAT_KY'!$K$7:$K$506,'02_NHAT_KY'!$C$7:$C$506,$A195,'02_NHAT_KY'!$J$7:$J$506,""))</f>
        <v/>
      </c>
      <c r="L195" s="232">
        <f>IF($A195="","",IF(AND('01_DANH_MUC'!$H185&gt;0,'01_DANH_MUC'!$G185&lt;$E$4,$E$4-'01_DANH_MUC'!$G185&lt;=30),'01_DANH_MUC'!$H185,0)+SUMIFS('02_NHAT_KY'!$K$7:$K$506,'02_NHAT_KY'!$C$7:$C$506,$A195,'02_NHAT_KY'!$L$7:$L$506,"&gt;=1",'02_NHAT_KY'!$L$7:$L$506,"&lt;=30"))</f>
        <v/>
      </c>
      <c r="M195" s="232">
        <f>IF($A195="","",IF(AND('01_DANH_MUC'!$H185&gt;0,'01_DANH_MUC'!$G185&lt;$E$4,$E$4-'01_DANH_MUC'!$G185&gt;=31,$E$4-'01_DANH_MUC'!$G185&lt;=60),'01_DANH_MUC'!$H185,0)+SUMIFS('02_NHAT_KY'!$K$7:$K$506,'02_NHAT_KY'!$C$7:$C$506,$A195,'02_NHAT_KY'!$L$7:$L$506,"&gt;=31",'02_NHAT_KY'!$L$7:$L$506,"&lt;=60"))</f>
        <v/>
      </c>
      <c r="N195" s="232">
        <f>IF($A195="","",IF(AND('01_DANH_MUC'!$H185&gt;0,'01_DANH_MUC'!$G185&lt;$E$4,$E$4-'01_DANH_MUC'!$G185&gt;=61,$E$4-'01_DANH_MUC'!$G185&lt;=90),'01_DANH_MUC'!$H185,0)+SUMIFS('02_NHAT_KY'!$K$7:$K$506,'02_NHAT_KY'!$C$7:$C$506,$A195,'02_NHAT_KY'!$L$7:$L$506,"&gt;=61",'02_NHAT_KY'!$L$7:$L$506,"&lt;=90"))</f>
        <v/>
      </c>
      <c r="O195" s="232">
        <f>IF($A195="","",IF(AND('01_DANH_MUC'!$H185&gt;0,'01_DANH_MUC'!$G185&lt;$E$4,$E$4-'01_DANH_MUC'!$G185&gt;90),'01_DANH_MUC'!$H185,0)+SUMIFS('02_NHAT_KY'!$K$7:$K$506,'02_NHAT_KY'!$C$7:$C$506,$A195,'02_NHAT_KY'!$L$7:$L$506,"&gt;90"))</f>
        <v/>
      </c>
      <c r="P195" s="201">
        <f>IF($A195="","",IF($H195&lt;0,"DƯ ÂM/TRẢ TRƯỚC",IF(ABS($H195-SUM($K195:$O195))&lt;1,"OK","LỆCH TUỔI NỢ")))</f>
        <v/>
      </c>
    </row>
    <row r="196">
      <c r="A196" s="201">
        <f>IF('01_DANH_MUC'!$A186="","",'01_DANH_MUC'!$A186)</f>
        <v/>
      </c>
      <c r="B196" s="198">
        <f>IF($A196="","",'01_DANH_MUC'!$B186)</f>
        <v/>
      </c>
      <c r="C196" s="201">
        <f>IF($A196="","",'01_DANH_MUC'!$C186)</f>
        <v/>
      </c>
      <c r="D196" s="231">
        <f>IF($A196="","",'01_DANH_MUC'!$D186)</f>
        <v/>
      </c>
      <c r="E196" s="232">
        <f>IF($A196="","",'01_DANH_MUC'!$F186+SUMIFS('02_NHAT_KY'!$G$7:$G$506,'02_NHAT_KY'!$C$7:$C$506,$A196,'02_NHAT_KY'!$A$7:$A$506,"&lt;"&amp;$B$4)-SUMIFS('02_NHAT_KY'!$H$7:$H$506,'02_NHAT_KY'!$C$7:$C$506,$A196,'02_NHAT_KY'!$A$7:$A$506,"&lt;"&amp;$B$4))</f>
        <v/>
      </c>
      <c r="F196" s="232">
        <f>IF($A196="","",SUMIFS('02_NHAT_KY'!$G$7:$G$506,'02_NHAT_KY'!$C$7:$C$506,$A196,'02_NHAT_KY'!$A$7:$A$506,"&gt;="&amp;$B$4,'02_NHAT_KY'!$A$7:$A$506,"&lt;="&amp;$E$4))</f>
        <v/>
      </c>
      <c r="G196" s="232">
        <f>IF($A196="","",SUMIFS('02_NHAT_KY'!$H$7:$H$506,'02_NHAT_KY'!$C$7:$C$506,$A196,'02_NHAT_KY'!$A$7:$A$506,"&gt;="&amp;$B$4,'02_NHAT_KY'!$A$7:$A$506,"&lt;="&amp;$E$4))</f>
        <v/>
      </c>
      <c r="H196" s="232">
        <f>IF($A196="","",$E196+$F196-$G196)</f>
        <v/>
      </c>
      <c r="I196" s="233">
        <f>IF($A196="","",IF($H196&lt;=0,0,MAX(IF(AND('01_DANH_MUC'!$H186&gt;0,'01_DANH_MUC'!$G186&lt;&gt;""),MAX(0,$E$4-'01_DANH_MUC'!$G186),0),IFERROR(MAXIFS('02_NHAT_KY'!$L$7:$L$506,'02_NHAT_KY'!$C$7:$C$506,$A196),0))))</f>
        <v/>
      </c>
      <c r="J196" s="201">
        <f>IF($A196="","",IF($H196&lt;=0,"Không có dư nợ",IF($I196&gt;0,"Quá hạn","Trong hạn")))</f>
        <v/>
      </c>
      <c r="K196" s="232">
        <f>IF($A196="","",IF(AND('01_DANH_MUC'!$H186&gt;0,OR('01_DANH_MUC'!$G186="",'01_DANH_MUC'!$G186&gt;=$E$4)),'01_DANH_MUC'!$H186,0)+SUMIFS('02_NHAT_KY'!$K$7:$K$506,'02_NHAT_KY'!$C$7:$C$506,$A196,'02_NHAT_KY'!$J$7:$J$506,"&gt;="&amp;$E$4)+SUMIFS('02_NHAT_KY'!$K$7:$K$506,'02_NHAT_KY'!$C$7:$C$506,$A196,'02_NHAT_KY'!$J$7:$J$506,""))</f>
        <v/>
      </c>
      <c r="L196" s="232">
        <f>IF($A196="","",IF(AND('01_DANH_MUC'!$H186&gt;0,'01_DANH_MUC'!$G186&lt;$E$4,$E$4-'01_DANH_MUC'!$G186&lt;=30),'01_DANH_MUC'!$H186,0)+SUMIFS('02_NHAT_KY'!$K$7:$K$506,'02_NHAT_KY'!$C$7:$C$506,$A196,'02_NHAT_KY'!$L$7:$L$506,"&gt;=1",'02_NHAT_KY'!$L$7:$L$506,"&lt;=30"))</f>
        <v/>
      </c>
      <c r="M196" s="232">
        <f>IF($A196="","",IF(AND('01_DANH_MUC'!$H186&gt;0,'01_DANH_MUC'!$G186&lt;$E$4,$E$4-'01_DANH_MUC'!$G186&gt;=31,$E$4-'01_DANH_MUC'!$G186&lt;=60),'01_DANH_MUC'!$H186,0)+SUMIFS('02_NHAT_KY'!$K$7:$K$506,'02_NHAT_KY'!$C$7:$C$506,$A196,'02_NHAT_KY'!$L$7:$L$506,"&gt;=31",'02_NHAT_KY'!$L$7:$L$506,"&lt;=60"))</f>
        <v/>
      </c>
      <c r="N196" s="232">
        <f>IF($A196="","",IF(AND('01_DANH_MUC'!$H186&gt;0,'01_DANH_MUC'!$G186&lt;$E$4,$E$4-'01_DANH_MUC'!$G186&gt;=61,$E$4-'01_DANH_MUC'!$G186&lt;=90),'01_DANH_MUC'!$H186,0)+SUMIFS('02_NHAT_KY'!$K$7:$K$506,'02_NHAT_KY'!$C$7:$C$506,$A196,'02_NHAT_KY'!$L$7:$L$506,"&gt;=61",'02_NHAT_KY'!$L$7:$L$506,"&lt;=90"))</f>
        <v/>
      </c>
      <c r="O196" s="232">
        <f>IF($A196="","",IF(AND('01_DANH_MUC'!$H186&gt;0,'01_DANH_MUC'!$G186&lt;$E$4,$E$4-'01_DANH_MUC'!$G186&gt;90),'01_DANH_MUC'!$H186,0)+SUMIFS('02_NHAT_KY'!$K$7:$K$506,'02_NHAT_KY'!$C$7:$C$506,$A196,'02_NHAT_KY'!$L$7:$L$506,"&gt;90"))</f>
        <v/>
      </c>
      <c r="P196" s="201">
        <f>IF($A196="","",IF($H196&lt;0,"DƯ ÂM/TRẢ TRƯỚC",IF(ABS($H196-SUM($K196:$O196))&lt;1,"OK","LỆCH TUỔI NỢ")))</f>
        <v/>
      </c>
    </row>
    <row r="197">
      <c r="A197" s="201">
        <f>IF('01_DANH_MUC'!$A187="","",'01_DANH_MUC'!$A187)</f>
        <v/>
      </c>
      <c r="B197" s="198">
        <f>IF($A197="","",'01_DANH_MUC'!$B187)</f>
        <v/>
      </c>
      <c r="C197" s="201">
        <f>IF($A197="","",'01_DANH_MUC'!$C187)</f>
        <v/>
      </c>
      <c r="D197" s="231">
        <f>IF($A197="","",'01_DANH_MUC'!$D187)</f>
        <v/>
      </c>
      <c r="E197" s="232">
        <f>IF($A197="","",'01_DANH_MUC'!$F187+SUMIFS('02_NHAT_KY'!$G$7:$G$506,'02_NHAT_KY'!$C$7:$C$506,$A197,'02_NHAT_KY'!$A$7:$A$506,"&lt;"&amp;$B$4)-SUMIFS('02_NHAT_KY'!$H$7:$H$506,'02_NHAT_KY'!$C$7:$C$506,$A197,'02_NHAT_KY'!$A$7:$A$506,"&lt;"&amp;$B$4))</f>
        <v/>
      </c>
      <c r="F197" s="232">
        <f>IF($A197="","",SUMIFS('02_NHAT_KY'!$G$7:$G$506,'02_NHAT_KY'!$C$7:$C$506,$A197,'02_NHAT_KY'!$A$7:$A$506,"&gt;="&amp;$B$4,'02_NHAT_KY'!$A$7:$A$506,"&lt;="&amp;$E$4))</f>
        <v/>
      </c>
      <c r="G197" s="232">
        <f>IF($A197="","",SUMIFS('02_NHAT_KY'!$H$7:$H$506,'02_NHAT_KY'!$C$7:$C$506,$A197,'02_NHAT_KY'!$A$7:$A$506,"&gt;="&amp;$B$4,'02_NHAT_KY'!$A$7:$A$506,"&lt;="&amp;$E$4))</f>
        <v/>
      </c>
      <c r="H197" s="232">
        <f>IF($A197="","",$E197+$F197-$G197)</f>
        <v/>
      </c>
      <c r="I197" s="233">
        <f>IF($A197="","",IF($H197&lt;=0,0,MAX(IF(AND('01_DANH_MUC'!$H187&gt;0,'01_DANH_MUC'!$G187&lt;&gt;""),MAX(0,$E$4-'01_DANH_MUC'!$G187),0),IFERROR(MAXIFS('02_NHAT_KY'!$L$7:$L$506,'02_NHAT_KY'!$C$7:$C$506,$A197),0))))</f>
        <v/>
      </c>
      <c r="J197" s="201">
        <f>IF($A197="","",IF($H197&lt;=0,"Không có dư nợ",IF($I197&gt;0,"Quá hạn","Trong hạn")))</f>
        <v/>
      </c>
      <c r="K197" s="232">
        <f>IF($A197="","",IF(AND('01_DANH_MUC'!$H187&gt;0,OR('01_DANH_MUC'!$G187="",'01_DANH_MUC'!$G187&gt;=$E$4)),'01_DANH_MUC'!$H187,0)+SUMIFS('02_NHAT_KY'!$K$7:$K$506,'02_NHAT_KY'!$C$7:$C$506,$A197,'02_NHAT_KY'!$J$7:$J$506,"&gt;="&amp;$E$4)+SUMIFS('02_NHAT_KY'!$K$7:$K$506,'02_NHAT_KY'!$C$7:$C$506,$A197,'02_NHAT_KY'!$J$7:$J$506,""))</f>
        <v/>
      </c>
      <c r="L197" s="232">
        <f>IF($A197="","",IF(AND('01_DANH_MUC'!$H187&gt;0,'01_DANH_MUC'!$G187&lt;$E$4,$E$4-'01_DANH_MUC'!$G187&lt;=30),'01_DANH_MUC'!$H187,0)+SUMIFS('02_NHAT_KY'!$K$7:$K$506,'02_NHAT_KY'!$C$7:$C$506,$A197,'02_NHAT_KY'!$L$7:$L$506,"&gt;=1",'02_NHAT_KY'!$L$7:$L$506,"&lt;=30"))</f>
        <v/>
      </c>
      <c r="M197" s="232">
        <f>IF($A197="","",IF(AND('01_DANH_MUC'!$H187&gt;0,'01_DANH_MUC'!$G187&lt;$E$4,$E$4-'01_DANH_MUC'!$G187&gt;=31,$E$4-'01_DANH_MUC'!$G187&lt;=60),'01_DANH_MUC'!$H187,0)+SUMIFS('02_NHAT_KY'!$K$7:$K$506,'02_NHAT_KY'!$C$7:$C$506,$A197,'02_NHAT_KY'!$L$7:$L$506,"&gt;=31",'02_NHAT_KY'!$L$7:$L$506,"&lt;=60"))</f>
        <v/>
      </c>
      <c r="N197" s="232">
        <f>IF($A197="","",IF(AND('01_DANH_MUC'!$H187&gt;0,'01_DANH_MUC'!$G187&lt;$E$4,$E$4-'01_DANH_MUC'!$G187&gt;=61,$E$4-'01_DANH_MUC'!$G187&lt;=90),'01_DANH_MUC'!$H187,0)+SUMIFS('02_NHAT_KY'!$K$7:$K$506,'02_NHAT_KY'!$C$7:$C$506,$A197,'02_NHAT_KY'!$L$7:$L$506,"&gt;=61",'02_NHAT_KY'!$L$7:$L$506,"&lt;=90"))</f>
        <v/>
      </c>
      <c r="O197" s="232">
        <f>IF($A197="","",IF(AND('01_DANH_MUC'!$H187&gt;0,'01_DANH_MUC'!$G187&lt;$E$4,$E$4-'01_DANH_MUC'!$G187&gt;90),'01_DANH_MUC'!$H187,0)+SUMIFS('02_NHAT_KY'!$K$7:$K$506,'02_NHAT_KY'!$C$7:$C$506,$A197,'02_NHAT_KY'!$L$7:$L$506,"&gt;90"))</f>
        <v/>
      </c>
      <c r="P197" s="201">
        <f>IF($A197="","",IF($H197&lt;0,"DƯ ÂM/TRẢ TRƯỚC",IF(ABS($H197-SUM($K197:$O197))&lt;1,"OK","LỆCH TUỔI NỢ")))</f>
        <v/>
      </c>
    </row>
    <row r="198">
      <c r="A198" s="201">
        <f>IF('01_DANH_MUC'!$A188="","",'01_DANH_MUC'!$A188)</f>
        <v/>
      </c>
      <c r="B198" s="198">
        <f>IF($A198="","",'01_DANH_MUC'!$B188)</f>
        <v/>
      </c>
      <c r="C198" s="201">
        <f>IF($A198="","",'01_DANH_MUC'!$C188)</f>
        <v/>
      </c>
      <c r="D198" s="231">
        <f>IF($A198="","",'01_DANH_MUC'!$D188)</f>
        <v/>
      </c>
      <c r="E198" s="232">
        <f>IF($A198="","",'01_DANH_MUC'!$F188+SUMIFS('02_NHAT_KY'!$G$7:$G$506,'02_NHAT_KY'!$C$7:$C$506,$A198,'02_NHAT_KY'!$A$7:$A$506,"&lt;"&amp;$B$4)-SUMIFS('02_NHAT_KY'!$H$7:$H$506,'02_NHAT_KY'!$C$7:$C$506,$A198,'02_NHAT_KY'!$A$7:$A$506,"&lt;"&amp;$B$4))</f>
        <v/>
      </c>
      <c r="F198" s="232">
        <f>IF($A198="","",SUMIFS('02_NHAT_KY'!$G$7:$G$506,'02_NHAT_KY'!$C$7:$C$506,$A198,'02_NHAT_KY'!$A$7:$A$506,"&gt;="&amp;$B$4,'02_NHAT_KY'!$A$7:$A$506,"&lt;="&amp;$E$4))</f>
        <v/>
      </c>
      <c r="G198" s="232">
        <f>IF($A198="","",SUMIFS('02_NHAT_KY'!$H$7:$H$506,'02_NHAT_KY'!$C$7:$C$506,$A198,'02_NHAT_KY'!$A$7:$A$506,"&gt;="&amp;$B$4,'02_NHAT_KY'!$A$7:$A$506,"&lt;="&amp;$E$4))</f>
        <v/>
      </c>
      <c r="H198" s="232">
        <f>IF($A198="","",$E198+$F198-$G198)</f>
        <v/>
      </c>
      <c r="I198" s="233">
        <f>IF($A198="","",IF($H198&lt;=0,0,MAX(IF(AND('01_DANH_MUC'!$H188&gt;0,'01_DANH_MUC'!$G188&lt;&gt;""),MAX(0,$E$4-'01_DANH_MUC'!$G188),0),IFERROR(MAXIFS('02_NHAT_KY'!$L$7:$L$506,'02_NHAT_KY'!$C$7:$C$506,$A198),0))))</f>
        <v/>
      </c>
      <c r="J198" s="201">
        <f>IF($A198="","",IF($H198&lt;=0,"Không có dư nợ",IF($I198&gt;0,"Quá hạn","Trong hạn")))</f>
        <v/>
      </c>
      <c r="K198" s="232">
        <f>IF($A198="","",IF(AND('01_DANH_MUC'!$H188&gt;0,OR('01_DANH_MUC'!$G188="",'01_DANH_MUC'!$G188&gt;=$E$4)),'01_DANH_MUC'!$H188,0)+SUMIFS('02_NHAT_KY'!$K$7:$K$506,'02_NHAT_KY'!$C$7:$C$506,$A198,'02_NHAT_KY'!$J$7:$J$506,"&gt;="&amp;$E$4)+SUMIFS('02_NHAT_KY'!$K$7:$K$506,'02_NHAT_KY'!$C$7:$C$506,$A198,'02_NHAT_KY'!$J$7:$J$506,""))</f>
        <v/>
      </c>
      <c r="L198" s="232">
        <f>IF($A198="","",IF(AND('01_DANH_MUC'!$H188&gt;0,'01_DANH_MUC'!$G188&lt;$E$4,$E$4-'01_DANH_MUC'!$G188&lt;=30),'01_DANH_MUC'!$H188,0)+SUMIFS('02_NHAT_KY'!$K$7:$K$506,'02_NHAT_KY'!$C$7:$C$506,$A198,'02_NHAT_KY'!$L$7:$L$506,"&gt;=1",'02_NHAT_KY'!$L$7:$L$506,"&lt;=30"))</f>
        <v/>
      </c>
      <c r="M198" s="232">
        <f>IF($A198="","",IF(AND('01_DANH_MUC'!$H188&gt;0,'01_DANH_MUC'!$G188&lt;$E$4,$E$4-'01_DANH_MUC'!$G188&gt;=31,$E$4-'01_DANH_MUC'!$G188&lt;=60),'01_DANH_MUC'!$H188,0)+SUMIFS('02_NHAT_KY'!$K$7:$K$506,'02_NHAT_KY'!$C$7:$C$506,$A198,'02_NHAT_KY'!$L$7:$L$506,"&gt;=31",'02_NHAT_KY'!$L$7:$L$506,"&lt;=60"))</f>
        <v/>
      </c>
      <c r="N198" s="232">
        <f>IF($A198="","",IF(AND('01_DANH_MUC'!$H188&gt;0,'01_DANH_MUC'!$G188&lt;$E$4,$E$4-'01_DANH_MUC'!$G188&gt;=61,$E$4-'01_DANH_MUC'!$G188&lt;=90),'01_DANH_MUC'!$H188,0)+SUMIFS('02_NHAT_KY'!$K$7:$K$506,'02_NHAT_KY'!$C$7:$C$506,$A198,'02_NHAT_KY'!$L$7:$L$506,"&gt;=61",'02_NHAT_KY'!$L$7:$L$506,"&lt;=90"))</f>
        <v/>
      </c>
      <c r="O198" s="232">
        <f>IF($A198="","",IF(AND('01_DANH_MUC'!$H188&gt;0,'01_DANH_MUC'!$G188&lt;$E$4,$E$4-'01_DANH_MUC'!$G188&gt;90),'01_DANH_MUC'!$H188,0)+SUMIFS('02_NHAT_KY'!$K$7:$K$506,'02_NHAT_KY'!$C$7:$C$506,$A198,'02_NHAT_KY'!$L$7:$L$506,"&gt;90"))</f>
        <v/>
      </c>
      <c r="P198" s="201">
        <f>IF($A198="","",IF($H198&lt;0,"DƯ ÂM/TRẢ TRƯỚC",IF(ABS($H198-SUM($K198:$O198))&lt;1,"OK","LỆCH TUỔI NỢ")))</f>
        <v/>
      </c>
    </row>
    <row r="199">
      <c r="A199" s="201">
        <f>IF('01_DANH_MUC'!$A189="","",'01_DANH_MUC'!$A189)</f>
        <v/>
      </c>
      <c r="B199" s="198">
        <f>IF($A199="","",'01_DANH_MUC'!$B189)</f>
        <v/>
      </c>
      <c r="C199" s="201">
        <f>IF($A199="","",'01_DANH_MUC'!$C189)</f>
        <v/>
      </c>
      <c r="D199" s="231">
        <f>IF($A199="","",'01_DANH_MUC'!$D189)</f>
        <v/>
      </c>
      <c r="E199" s="232">
        <f>IF($A199="","",'01_DANH_MUC'!$F189+SUMIFS('02_NHAT_KY'!$G$7:$G$506,'02_NHAT_KY'!$C$7:$C$506,$A199,'02_NHAT_KY'!$A$7:$A$506,"&lt;"&amp;$B$4)-SUMIFS('02_NHAT_KY'!$H$7:$H$506,'02_NHAT_KY'!$C$7:$C$506,$A199,'02_NHAT_KY'!$A$7:$A$506,"&lt;"&amp;$B$4))</f>
        <v/>
      </c>
      <c r="F199" s="232">
        <f>IF($A199="","",SUMIFS('02_NHAT_KY'!$G$7:$G$506,'02_NHAT_KY'!$C$7:$C$506,$A199,'02_NHAT_KY'!$A$7:$A$506,"&gt;="&amp;$B$4,'02_NHAT_KY'!$A$7:$A$506,"&lt;="&amp;$E$4))</f>
        <v/>
      </c>
      <c r="G199" s="232">
        <f>IF($A199="","",SUMIFS('02_NHAT_KY'!$H$7:$H$506,'02_NHAT_KY'!$C$7:$C$506,$A199,'02_NHAT_KY'!$A$7:$A$506,"&gt;="&amp;$B$4,'02_NHAT_KY'!$A$7:$A$506,"&lt;="&amp;$E$4))</f>
        <v/>
      </c>
      <c r="H199" s="232">
        <f>IF($A199="","",$E199+$F199-$G199)</f>
        <v/>
      </c>
      <c r="I199" s="233">
        <f>IF($A199="","",IF($H199&lt;=0,0,MAX(IF(AND('01_DANH_MUC'!$H189&gt;0,'01_DANH_MUC'!$G189&lt;&gt;""),MAX(0,$E$4-'01_DANH_MUC'!$G189),0),IFERROR(MAXIFS('02_NHAT_KY'!$L$7:$L$506,'02_NHAT_KY'!$C$7:$C$506,$A199),0))))</f>
        <v/>
      </c>
      <c r="J199" s="201">
        <f>IF($A199="","",IF($H199&lt;=0,"Không có dư nợ",IF($I199&gt;0,"Quá hạn","Trong hạn")))</f>
        <v/>
      </c>
      <c r="K199" s="232">
        <f>IF($A199="","",IF(AND('01_DANH_MUC'!$H189&gt;0,OR('01_DANH_MUC'!$G189="",'01_DANH_MUC'!$G189&gt;=$E$4)),'01_DANH_MUC'!$H189,0)+SUMIFS('02_NHAT_KY'!$K$7:$K$506,'02_NHAT_KY'!$C$7:$C$506,$A199,'02_NHAT_KY'!$J$7:$J$506,"&gt;="&amp;$E$4)+SUMIFS('02_NHAT_KY'!$K$7:$K$506,'02_NHAT_KY'!$C$7:$C$506,$A199,'02_NHAT_KY'!$J$7:$J$506,""))</f>
        <v/>
      </c>
      <c r="L199" s="232">
        <f>IF($A199="","",IF(AND('01_DANH_MUC'!$H189&gt;0,'01_DANH_MUC'!$G189&lt;$E$4,$E$4-'01_DANH_MUC'!$G189&lt;=30),'01_DANH_MUC'!$H189,0)+SUMIFS('02_NHAT_KY'!$K$7:$K$506,'02_NHAT_KY'!$C$7:$C$506,$A199,'02_NHAT_KY'!$L$7:$L$506,"&gt;=1",'02_NHAT_KY'!$L$7:$L$506,"&lt;=30"))</f>
        <v/>
      </c>
      <c r="M199" s="232">
        <f>IF($A199="","",IF(AND('01_DANH_MUC'!$H189&gt;0,'01_DANH_MUC'!$G189&lt;$E$4,$E$4-'01_DANH_MUC'!$G189&gt;=31,$E$4-'01_DANH_MUC'!$G189&lt;=60),'01_DANH_MUC'!$H189,0)+SUMIFS('02_NHAT_KY'!$K$7:$K$506,'02_NHAT_KY'!$C$7:$C$506,$A199,'02_NHAT_KY'!$L$7:$L$506,"&gt;=31",'02_NHAT_KY'!$L$7:$L$506,"&lt;=60"))</f>
        <v/>
      </c>
      <c r="N199" s="232">
        <f>IF($A199="","",IF(AND('01_DANH_MUC'!$H189&gt;0,'01_DANH_MUC'!$G189&lt;$E$4,$E$4-'01_DANH_MUC'!$G189&gt;=61,$E$4-'01_DANH_MUC'!$G189&lt;=90),'01_DANH_MUC'!$H189,0)+SUMIFS('02_NHAT_KY'!$K$7:$K$506,'02_NHAT_KY'!$C$7:$C$506,$A199,'02_NHAT_KY'!$L$7:$L$506,"&gt;=61",'02_NHAT_KY'!$L$7:$L$506,"&lt;=90"))</f>
        <v/>
      </c>
      <c r="O199" s="232">
        <f>IF($A199="","",IF(AND('01_DANH_MUC'!$H189&gt;0,'01_DANH_MUC'!$G189&lt;$E$4,$E$4-'01_DANH_MUC'!$G189&gt;90),'01_DANH_MUC'!$H189,0)+SUMIFS('02_NHAT_KY'!$K$7:$K$506,'02_NHAT_KY'!$C$7:$C$506,$A199,'02_NHAT_KY'!$L$7:$L$506,"&gt;90"))</f>
        <v/>
      </c>
      <c r="P199" s="201">
        <f>IF($A199="","",IF($H199&lt;0,"DƯ ÂM/TRẢ TRƯỚC",IF(ABS($H199-SUM($K199:$O199))&lt;1,"OK","LỆCH TUỔI NỢ")))</f>
        <v/>
      </c>
    </row>
    <row r="200">
      <c r="A200" s="201">
        <f>IF('01_DANH_MUC'!$A190="","",'01_DANH_MUC'!$A190)</f>
        <v/>
      </c>
      <c r="B200" s="198">
        <f>IF($A200="","",'01_DANH_MUC'!$B190)</f>
        <v/>
      </c>
      <c r="C200" s="201">
        <f>IF($A200="","",'01_DANH_MUC'!$C190)</f>
        <v/>
      </c>
      <c r="D200" s="231">
        <f>IF($A200="","",'01_DANH_MUC'!$D190)</f>
        <v/>
      </c>
      <c r="E200" s="232">
        <f>IF($A200="","",'01_DANH_MUC'!$F190+SUMIFS('02_NHAT_KY'!$G$7:$G$506,'02_NHAT_KY'!$C$7:$C$506,$A200,'02_NHAT_KY'!$A$7:$A$506,"&lt;"&amp;$B$4)-SUMIFS('02_NHAT_KY'!$H$7:$H$506,'02_NHAT_KY'!$C$7:$C$506,$A200,'02_NHAT_KY'!$A$7:$A$506,"&lt;"&amp;$B$4))</f>
        <v/>
      </c>
      <c r="F200" s="232">
        <f>IF($A200="","",SUMIFS('02_NHAT_KY'!$G$7:$G$506,'02_NHAT_KY'!$C$7:$C$506,$A200,'02_NHAT_KY'!$A$7:$A$506,"&gt;="&amp;$B$4,'02_NHAT_KY'!$A$7:$A$506,"&lt;="&amp;$E$4))</f>
        <v/>
      </c>
      <c r="G200" s="232">
        <f>IF($A200="","",SUMIFS('02_NHAT_KY'!$H$7:$H$506,'02_NHAT_KY'!$C$7:$C$506,$A200,'02_NHAT_KY'!$A$7:$A$506,"&gt;="&amp;$B$4,'02_NHAT_KY'!$A$7:$A$506,"&lt;="&amp;$E$4))</f>
        <v/>
      </c>
      <c r="H200" s="232">
        <f>IF($A200="","",$E200+$F200-$G200)</f>
        <v/>
      </c>
      <c r="I200" s="233">
        <f>IF($A200="","",IF($H200&lt;=0,0,MAX(IF(AND('01_DANH_MUC'!$H190&gt;0,'01_DANH_MUC'!$G190&lt;&gt;""),MAX(0,$E$4-'01_DANH_MUC'!$G190),0),IFERROR(MAXIFS('02_NHAT_KY'!$L$7:$L$506,'02_NHAT_KY'!$C$7:$C$506,$A200),0))))</f>
        <v/>
      </c>
      <c r="J200" s="201">
        <f>IF($A200="","",IF($H200&lt;=0,"Không có dư nợ",IF($I200&gt;0,"Quá hạn","Trong hạn")))</f>
        <v/>
      </c>
      <c r="K200" s="232">
        <f>IF($A200="","",IF(AND('01_DANH_MUC'!$H190&gt;0,OR('01_DANH_MUC'!$G190="",'01_DANH_MUC'!$G190&gt;=$E$4)),'01_DANH_MUC'!$H190,0)+SUMIFS('02_NHAT_KY'!$K$7:$K$506,'02_NHAT_KY'!$C$7:$C$506,$A200,'02_NHAT_KY'!$J$7:$J$506,"&gt;="&amp;$E$4)+SUMIFS('02_NHAT_KY'!$K$7:$K$506,'02_NHAT_KY'!$C$7:$C$506,$A200,'02_NHAT_KY'!$J$7:$J$506,""))</f>
        <v/>
      </c>
      <c r="L200" s="232">
        <f>IF($A200="","",IF(AND('01_DANH_MUC'!$H190&gt;0,'01_DANH_MUC'!$G190&lt;$E$4,$E$4-'01_DANH_MUC'!$G190&lt;=30),'01_DANH_MUC'!$H190,0)+SUMIFS('02_NHAT_KY'!$K$7:$K$506,'02_NHAT_KY'!$C$7:$C$506,$A200,'02_NHAT_KY'!$L$7:$L$506,"&gt;=1",'02_NHAT_KY'!$L$7:$L$506,"&lt;=30"))</f>
        <v/>
      </c>
      <c r="M200" s="232">
        <f>IF($A200="","",IF(AND('01_DANH_MUC'!$H190&gt;0,'01_DANH_MUC'!$G190&lt;$E$4,$E$4-'01_DANH_MUC'!$G190&gt;=31,$E$4-'01_DANH_MUC'!$G190&lt;=60),'01_DANH_MUC'!$H190,0)+SUMIFS('02_NHAT_KY'!$K$7:$K$506,'02_NHAT_KY'!$C$7:$C$506,$A200,'02_NHAT_KY'!$L$7:$L$506,"&gt;=31",'02_NHAT_KY'!$L$7:$L$506,"&lt;=60"))</f>
        <v/>
      </c>
      <c r="N200" s="232">
        <f>IF($A200="","",IF(AND('01_DANH_MUC'!$H190&gt;0,'01_DANH_MUC'!$G190&lt;$E$4,$E$4-'01_DANH_MUC'!$G190&gt;=61,$E$4-'01_DANH_MUC'!$G190&lt;=90),'01_DANH_MUC'!$H190,0)+SUMIFS('02_NHAT_KY'!$K$7:$K$506,'02_NHAT_KY'!$C$7:$C$506,$A200,'02_NHAT_KY'!$L$7:$L$506,"&gt;=61",'02_NHAT_KY'!$L$7:$L$506,"&lt;=90"))</f>
        <v/>
      </c>
      <c r="O200" s="232">
        <f>IF($A200="","",IF(AND('01_DANH_MUC'!$H190&gt;0,'01_DANH_MUC'!$G190&lt;$E$4,$E$4-'01_DANH_MUC'!$G190&gt;90),'01_DANH_MUC'!$H190,0)+SUMIFS('02_NHAT_KY'!$K$7:$K$506,'02_NHAT_KY'!$C$7:$C$506,$A200,'02_NHAT_KY'!$L$7:$L$506,"&gt;90"))</f>
        <v/>
      </c>
      <c r="P200" s="201">
        <f>IF($A200="","",IF($H200&lt;0,"DƯ ÂM/TRẢ TRƯỚC",IF(ABS($H200-SUM($K200:$O200))&lt;1,"OK","LỆCH TUỔI NỢ")))</f>
        <v/>
      </c>
    </row>
    <row r="201">
      <c r="A201" s="201">
        <f>IF('01_DANH_MUC'!$A191="","",'01_DANH_MUC'!$A191)</f>
        <v/>
      </c>
      <c r="B201" s="198">
        <f>IF($A201="","",'01_DANH_MUC'!$B191)</f>
        <v/>
      </c>
      <c r="C201" s="201">
        <f>IF($A201="","",'01_DANH_MUC'!$C191)</f>
        <v/>
      </c>
      <c r="D201" s="231">
        <f>IF($A201="","",'01_DANH_MUC'!$D191)</f>
        <v/>
      </c>
      <c r="E201" s="232">
        <f>IF($A201="","",'01_DANH_MUC'!$F191+SUMIFS('02_NHAT_KY'!$G$7:$G$506,'02_NHAT_KY'!$C$7:$C$506,$A201,'02_NHAT_KY'!$A$7:$A$506,"&lt;"&amp;$B$4)-SUMIFS('02_NHAT_KY'!$H$7:$H$506,'02_NHAT_KY'!$C$7:$C$506,$A201,'02_NHAT_KY'!$A$7:$A$506,"&lt;"&amp;$B$4))</f>
        <v/>
      </c>
      <c r="F201" s="232">
        <f>IF($A201="","",SUMIFS('02_NHAT_KY'!$G$7:$G$506,'02_NHAT_KY'!$C$7:$C$506,$A201,'02_NHAT_KY'!$A$7:$A$506,"&gt;="&amp;$B$4,'02_NHAT_KY'!$A$7:$A$506,"&lt;="&amp;$E$4))</f>
        <v/>
      </c>
      <c r="G201" s="232">
        <f>IF($A201="","",SUMIFS('02_NHAT_KY'!$H$7:$H$506,'02_NHAT_KY'!$C$7:$C$506,$A201,'02_NHAT_KY'!$A$7:$A$506,"&gt;="&amp;$B$4,'02_NHAT_KY'!$A$7:$A$506,"&lt;="&amp;$E$4))</f>
        <v/>
      </c>
      <c r="H201" s="232">
        <f>IF($A201="","",$E201+$F201-$G201)</f>
        <v/>
      </c>
      <c r="I201" s="233">
        <f>IF($A201="","",IF($H201&lt;=0,0,MAX(IF(AND('01_DANH_MUC'!$H191&gt;0,'01_DANH_MUC'!$G191&lt;&gt;""),MAX(0,$E$4-'01_DANH_MUC'!$G191),0),IFERROR(MAXIFS('02_NHAT_KY'!$L$7:$L$506,'02_NHAT_KY'!$C$7:$C$506,$A201),0))))</f>
        <v/>
      </c>
      <c r="J201" s="201">
        <f>IF($A201="","",IF($H201&lt;=0,"Không có dư nợ",IF($I201&gt;0,"Quá hạn","Trong hạn")))</f>
        <v/>
      </c>
      <c r="K201" s="232">
        <f>IF($A201="","",IF(AND('01_DANH_MUC'!$H191&gt;0,OR('01_DANH_MUC'!$G191="",'01_DANH_MUC'!$G191&gt;=$E$4)),'01_DANH_MUC'!$H191,0)+SUMIFS('02_NHAT_KY'!$K$7:$K$506,'02_NHAT_KY'!$C$7:$C$506,$A201,'02_NHAT_KY'!$J$7:$J$506,"&gt;="&amp;$E$4)+SUMIFS('02_NHAT_KY'!$K$7:$K$506,'02_NHAT_KY'!$C$7:$C$506,$A201,'02_NHAT_KY'!$J$7:$J$506,""))</f>
        <v/>
      </c>
      <c r="L201" s="232">
        <f>IF($A201="","",IF(AND('01_DANH_MUC'!$H191&gt;0,'01_DANH_MUC'!$G191&lt;$E$4,$E$4-'01_DANH_MUC'!$G191&lt;=30),'01_DANH_MUC'!$H191,0)+SUMIFS('02_NHAT_KY'!$K$7:$K$506,'02_NHAT_KY'!$C$7:$C$506,$A201,'02_NHAT_KY'!$L$7:$L$506,"&gt;=1",'02_NHAT_KY'!$L$7:$L$506,"&lt;=30"))</f>
        <v/>
      </c>
      <c r="M201" s="232">
        <f>IF($A201="","",IF(AND('01_DANH_MUC'!$H191&gt;0,'01_DANH_MUC'!$G191&lt;$E$4,$E$4-'01_DANH_MUC'!$G191&gt;=31,$E$4-'01_DANH_MUC'!$G191&lt;=60),'01_DANH_MUC'!$H191,0)+SUMIFS('02_NHAT_KY'!$K$7:$K$506,'02_NHAT_KY'!$C$7:$C$506,$A201,'02_NHAT_KY'!$L$7:$L$506,"&gt;=31",'02_NHAT_KY'!$L$7:$L$506,"&lt;=60"))</f>
        <v/>
      </c>
      <c r="N201" s="232">
        <f>IF($A201="","",IF(AND('01_DANH_MUC'!$H191&gt;0,'01_DANH_MUC'!$G191&lt;$E$4,$E$4-'01_DANH_MUC'!$G191&gt;=61,$E$4-'01_DANH_MUC'!$G191&lt;=90),'01_DANH_MUC'!$H191,0)+SUMIFS('02_NHAT_KY'!$K$7:$K$506,'02_NHAT_KY'!$C$7:$C$506,$A201,'02_NHAT_KY'!$L$7:$L$506,"&gt;=61",'02_NHAT_KY'!$L$7:$L$506,"&lt;=90"))</f>
        <v/>
      </c>
      <c r="O201" s="232">
        <f>IF($A201="","",IF(AND('01_DANH_MUC'!$H191&gt;0,'01_DANH_MUC'!$G191&lt;$E$4,$E$4-'01_DANH_MUC'!$G191&gt;90),'01_DANH_MUC'!$H191,0)+SUMIFS('02_NHAT_KY'!$K$7:$K$506,'02_NHAT_KY'!$C$7:$C$506,$A201,'02_NHAT_KY'!$L$7:$L$506,"&gt;90"))</f>
        <v/>
      </c>
      <c r="P201" s="201">
        <f>IF($A201="","",IF($H201&lt;0,"DƯ ÂM/TRẢ TRƯỚC",IF(ABS($H201-SUM($K201:$O201))&lt;1,"OK","LỆCH TUỔI NỢ")))</f>
        <v/>
      </c>
    </row>
    <row r="202">
      <c r="A202" s="201">
        <f>IF('01_DANH_MUC'!$A192="","",'01_DANH_MUC'!$A192)</f>
        <v/>
      </c>
      <c r="B202" s="198">
        <f>IF($A202="","",'01_DANH_MUC'!$B192)</f>
        <v/>
      </c>
      <c r="C202" s="201">
        <f>IF($A202="","",'01_DANH_MUC'!$C192)</f>
        <v/>
      </c>
      <c r="D202" s="231">
        <f>IF($A202="","",'01_DANH_MUC'!$D192)</f>
        <v/>
      </c>
      <c r="E202" s="232">
        <f>IF($A202="","",'01_DANH_MUC'!$F192+SUMIFS('02_NHAT_KY'!$G$7:$G$506,'02_NHAT_KY'!$C$7:$C$506,$A202,'02_NHAT_KY'!$A$7:$A$506,"&lt;"&amp;$B$4)-SUMIFS('02_NHAT_KY'!$H$7:$H$506,'02_NHAT_KY'!$C$7:$C$506,$A202,'02_NHAT_KY'!$A$7:$A$506,"&lt;"&amp;$B$4))</f>
        <v/>
      </c>
      <c r="F202" s="232">
        <f>IF($A202="","",SUMIFS('02_NHAT_KY'!$G$7:$G$506,'02_NHAT_KY'!$C$7:$C$506,$A202,'02_NHAT_KY'!$A$7:$A$506,"&gt;="&amp;$B$4,'02_NHAT_KY'!$A$7:$A$506,"&lt;="&amp;$E$4))</f>
        <v/>
      </c>
      <c r="G202" s="232">
        <f>IF($A202="","",SUMIFS('02_NHAT_KY'!$H$7:$H$506,'02_NHAT_KY'!$C$7:$C$506,$A202,'02_NHAT_KY'!$A$7:$A$506,"&gt;="&amp;$B$4,'02_NHAT_KY'!$A$7:$A$506,"&lt;="&amp;$E$4))</f>
        <v/>
      </c>
      <c r="H202" s="232">
        <f>IF($A202="","",$E202+$F202-$G202)</f>
        <v/>
      </c>
      <c r="I202" s="233">
        <f>IF($A202="","",IF($H202&lt;=0,0,MAX(IF(AND('01_DANH_MUC'!$H192&gt;0,'01_DANH_MUC'!$G192&lt;&gt;""),MAX(0,$E$4-'01_DANH_MUC'!$G192),0),IFERROR(MAXIFS('02_NHAT_KY'!$L$7:$L$506,'02_NHAT_KY'!$C$7:$C$506,$A202),0))))</f>
        <v/>
      </c>
      <c r="J202" s="201">
        <f>IF($A202="","",IF($H202&lt;=0,"Không có dư nợ",IF($I202&gt;0,"Quá hạn","Trong hạn")))</f>
        <v/>
      </c>
      <c r="K202" s="232">
        <f>IF($A202="","",IF(AND('01_DANH_MUC'!$H192&gt;0,OR('01_DANH_MUC'!$G192="",'01_DANH_MUC'!$G192&gt;=$E$4)),'01_DANH_MUC'!$H192,0)+SUMIFS('02_NHAT_KY'!$K$7:$K$506,'02_NHAT_KY'!$C$7:$C$506,$A202,'02_NHAT_KY'!$J$7:$J$506,"&gt;="&amp;$E$4)+SUMIFS('02_NHAT_KY'!$K$7:$K$506,'02_NHAT_KY'!$C$7:$C$506,$A202,'02_NHAT_KY'!$J$7:$J$506,""))</f>
        <v/>
      </c>
      <c r="L202" s="232">
        <f>IF($A202="","",IF(AND('01_DANH_MUC'!$H192&gt;0,'01_DANH_MUC'!$G192&lt;$E$4,$E$4-'01_DANH_MUC'!$G192&lt;=30),'01_DANH_MUC'!$H192,0)+SUMIFS('02_NHAT_KY'!$K$7:$K$506,'02_NHAT_KY'!$C$7:$C$506,$A202,'02_NHAT_KY'!$L$7:$L$506,"&gt;=1",'02_NHAT_KY'!$L$7:$L$506,"&lt;=30"))</f>
        <v/>
      </c>
      <c r="M202" s="232">
        <f>IF($A202="","",IF(AND('01_DANH_MUC'!$H192&gt;0,'01_DANH_MUC'!$G192&lt;$E$4,$E$4-'01_DANH_MUC'!$G192&gt;=31,$E$4-'01_DANH_MUC'!$G192&lt;=60),'01_DANH_MUC'!$H192,0)+SUMIFS('02_NHAT_KY'!$K$7:$K$506,'02_NHAT_KY'!$C$7:$C$506,$A202,'02_NHAT_KY'!$L$7:$L$506,"&gt;=31",'02_NHAT_KY'!$L$7:$L$506,"&lt;=60"))</f>
        <v/>
      </c>
      <c r="N202" s="232">
        <f>IF($A202="","",IF(AND('01_DANH_MUC'!$H192&gt;0,'01_DANH_MUC'!$G192&lt;$E$4,$E$4-'01_DANH_MUC'!$G192&gt;=61,$E$4-'01_DANH_MUC'!$G192&lt;=90),'01_DANH_MUC'!$H192,0)+SUMIFS('02_NHAT_KY'!$K$7:$K$506,'02_NHAT_KY'!$C$7:$C$506,$A202,'02_NHAT_KY'!$L$7:$L$506,"&gt;=61",'02_NHAT_KY'!$L$7:$L$506,"&lt;=90"))</f>
        <v/>
      </c>
      <c r="O202" s="232">
        <f>IF($A202="","",IF(AND('01_DANH_MUC'!$H192&gt;0,'01_DANH_MUC'!$G192&lt;$E$4,$E$4-'01_DANH_MUC'!$G192&gt;90),'01_DANH_MUC'!$H192,0)+SUMIFS('02_NHAT_KY'!$K$7:$K$506,'02_NHAT_KY'!$C$7:$C$506,$A202,'02_NHAT_KY'!$L$7:$L$506,"&gt;90"))</f>
        <v/>
      </c>
      <c r="P202" s="201">
        <f>IF($A202="","",IF($H202&lt;0,"DƯ ÂM/TRẢ TRƯỚC",IF(ABS($H202-SUM($K202:$O202))&lt;1,"OK","LỆCH TUỔI NỢ")))</f>
        <v/>
      </c>
    </row>
    <row r="203">
      <c r="A203" s="201">
        <f>IF('01_DANH_MUC'!$A193="","",'01_DANH_MUC'!$A193)</f>
        <v/>
      </c>
      <c r="B203" s="198">
        <f>IF($A203="","",'01_DANH_MUC'!$B193)</f>
        <v/>
      </c>
      <c r="C203" s="201">
        <f>IF($A203="","",'01_DANH_MUC'!$C193)</f>
        <v/>
      </c>
      <c r="D203" s="231">
        <f>IF($A203="","",'01_DANH_MUC'!$D193)</f>
        <v/>
      </c>
      <c r="E203" s="232">
        <f>IF($A203="","",'01_DANH_MUC'!$F193+SUMIFS('02_NHAT_KY'!$G$7:$G$506,'02_NHAT_KY'!$C$7:$C$506,$A203,'02_NHAT_KY'!$A$7:$A$506,"&lt;"&amp;$B$4)-SUMIFS('02_NHAT_KY'!$H$7:$H$506,'02_NHAT_KY'!$C$7:$C$506,$A203,'02_NHAT_KY'!$A$7:$A$506,"&lt;"&amp;$B$4))</f>
        <v/>
      </c>
      <c r="F203" s="232">
        <f>IF($A203="","",SUMIFS('02_NHAT_KY'!$G$7:$G$506,'02_NHAT_KY'!$C$7:$C$506,$A203,'02_NHAT_KY'!$A$7:$A$506,"&gt;="&amp;$B$4,'02_NHAT_KY'!$A$7:$A$506,"&lt;="&amp;$E$4))</f>
        <v/>
      </c>
      <c r="G203" s="232">
        <f>IF($A203="","",SUMIFS('02_NHAT_KY'!$H$7:$H$506,'02_NHAT_KY'!$C$7:$C$506,$A203,'02_NHAT_KY'!$A$7:$A$506,"&gt;="&amp;$B$4,'02_NHAT_KY'!$A$7:$A$506,"&lt;="&amp;$E$4))</f>
        <v/>
      </c>
      <c r="H203" s="232">
        <f>IF($A203="","",$E203+$F203-$G203)</f>
        <v/>
      </c>
      <c r="I203" s="233">
        <f>IF($A203="","",IF($H203&lt;=0,0,MAX(IF(AND('01_DANH_MUC'!$H193&gt;0,'01_DANH_MUC'!$G193&lt;&gt;""),MAX(0,$E$4-'01_DANH_MUC'!$G193),0),IFERROR(MAXIFS('02_NHAT_KY'!$L$7:$L$506,'02_NHAT_KY'!$C$7:$C$506,$A203),0))))</f>
        <v/>
      </c>
      <c r="J203" s="201">
        <f>IF($A203="","",IF($H203&lt;=0,"Không có dư nợ",IF($I203&gt;0,"Quá hạn","Trong hạn")))</f>
        <v/>
      </c>
      <c r="K203" s="232">
        <f>IF($A203="","",IF(AND('01_DANH_MUC'!$H193&gt;0,OR('01_DANH_MUC'!$G193="",'01_DANH_MUC'!$G193&gt;=$E$4)),'01_DANH_MUC'!$H193,0)+SUMIFS('02_NHAT_KY'!$K$7:$K$506,'02_NHAT_KY'!$C$7:$C$506,$A203,'02_NHAT_KY'!$J$7:$J$506,"&gt;="&amp;$E$4)+SUMIFS('02_NHAT_KY'!$K$7:$K$506,'02_NHAT_KY'!$C$7:$C$506,$A203,'02_NHAT_KY'!$J$7:$J$506,""))</f>
        <v/>
      </c>
      <c r="L203" s="232">
        <f>IF($A203="","",IF(AND('01_DANH_MUC'!$H193&gt;0,'01_DANH_MUC'!$G193&lt;$E$4,$E$4-'01_DANH_MUC'!$G193&lt;=30),'01_DANH_MUC'!$H193,0)+SUMIFS('02_NHAT_KY'!$K$7:$K$506,'02_NHAT_KY'!$C$7:$C$506,$A203,'02_NHAT_KY'!$L$7:$L$506,"&gt;=1",'02_NHAT_KY'!$L$7:$L$506,"&lt;=30"))</f>
        <v/>
      </c>
      <c r="M203" s="232">
        <f>IF($A203="","",IF(AND('01_DANH_MUC'!$H193&gt;0,'01_DANH_MUC'!$G193&lt;$E$4,$E$4-'01_DANH_MUC'!$G193&gt;=31,$E$4-'01_DANH_MUC'!$G193&lt;=60),'01_DANH_MUC'!$H193,0)+SUMIFS('02_NHAT_KY'!$K$7:$K$506,'02_NHAT_KY'!$C$7:$C$506,$A203,'02_NHAT_KY'!$L$7:$L$506,"&gt;=31",'02_NHAT_KY'!$L$7:$L$506,"&lt;=60"))</f>
        <v/>
      </c>
      <c r="N203" s="232">
        <f>IF($A203="","",IF(AND('01_DANH_MUC'!$H193&gt;0,'01_DANH_MUC'!$G193&lt;$E$4,$E$4-'01_DANH_MUC'!$G193&gt;=61,$E$4-'01_DANH_MUC'!$G193&lt;=90),'01_DANH_MUC'!$H193,0)+SUMIFS('02_NHAT_KY'!$K$7:$K$506,'02_NHAT_KY'!$C$7:$C$506,$A203,'02_NHAT_KY'!$L$7:$L$506,"&gt;=61",'02_NHAT_KY'!$L$7:$L$506,"&lt;=90"))</f>
        <v/>
      </c>
      <c r="O203" s="232">
        <f>IF($A203="","",IF(AND('01_DANH_MUC'!$H193&gt;0,'01_DANH_MUC'!$G193&lt;$E$4,$E$4-'01_DANH_MUC'!$G193&gt;90),'01_DANH_MUC'!$H193,0)+SUMIFS('02_NHAT_KY'!$K$7:$K$506,'02_NHAT_KY'!$C$7:$C$506,$A203,'02_NHAT_KY'!$L$7:$L$506,"&gt;90"))</f>
        <v/>
      </c>
      <c r="P203" s="201">
        <f>IF($A203="","",IF($H203&lt;0,"DƯ ÂM/TRẢ TRƯỚC",IF(ABS($H203-SUM($K203:$O203))&lt;1,"OK","LỆCH TUỔI NỢ")))</f>
        <v/>
      </c>
    </row>
    <row r="204">
      <c r="A204" s="201">
        <f>IF('01_DANH_MUC'!$A194="","",'01_DANH_MUC'!$A194)</f>
        <v/>
      </c>
      <c r="B204" s="198">
        <f>IF($A204="","",'01_DANH_MUC'!$B194)</f>
        <v/>
      </c>
      <c r="C204" s="201">
        <f>IF($A204="","",'01_DANH_MUC'!$C194)</f>
        <v/>
      </c>
      <c r="D204" s="231">
        <f>IF($A204="","",'01_DANH_MUC'!$D194)</f>
        <v/>
      </c>
      <c r="E204" s="232">
        <f>IF($A204="","",'01_DANH_MUC'!$F194+SUMIFS('02_NHAT_KY'!$G$7:$G$506,'02_NHAT_KY'!$C$7:$C$506,$A204,'02_NHAT_KY'!$A$7:$A$506,"&lt;"&amp;$B$4)-SUMIFS('02_NHAT_KY'!$H$7:$H$506,'02_NHAT_KY'!$C$7:$C$506,$A204,'02_NHAT_KY'!$A$7:$A$506,"&lt;"&amp;$B$4))</f>
        <v/>
      </c>
      <c r="F204" s="232">
        <f>IF($A204="","",SUMIFS('02_NHAT_KY'!$G$7:$G$506,'02_NHAT_KY'!$C$7:$C$506,$A204,'02_NHAT_KY'!$A$7:$A$506,"&gt;="&amp;$B$4,'02_NHAT_KY'!$A$7:$A$506,"&lt;="&amp;$E$4))</f>
        <v/>
      </c>
      <c r="G204" s="232">
        <f>IF($A204="","",SUMIFS('02_NHAT_KY'!$H$7:$H$506,'02_NHAT_KY'!$C$7:$C$506,$A204,'02_NHAT_KY'!$A$7:$A$506,"&gt;="&amp;$B$4,'02_NHAT_KY'!$A$7:$A$506,"&lt;="&amp;$E$4))</f>
        <v/>
      </c>
      <c r="H204" s="232">
        <f>IF($A204="","",$E204+$F204-$G204)</f>
        <v/>
      </c>
      <c r="I204" s="233">
        <f>IF($A204="","",IF($H204&lt;=0,0,MAX(IF(AND('01_DANH_MUC'!$H194&gt;0,'01_DANH_MUC'!$G194&lt;&gt;""),MAX(0,$E$4-'01_DANH_MUC'!$G194),0),IFERROR(MAXIFS('02_NHAT_KY'!$L$7:$L$506,'02_NHAT_KY'!$C$7:$C$506,$A204),0))))</f>
        <v/>
      </c>
      <c r="J204" s="201">
        <f>IF($A204="","",IF($H204&lt;=0,"Không có dư nợ",IF($I204&gt;0,"Quá hạn","Trong hạn")))</f>
        <v/>
      </c>
      <c r="K204" s="232">
        <f>IF($A204="","",IF(AND('01_DANH_MUC'!$H194&gt;0,OR('01_DANH_MUC'!$G194="",'01_DANH_MUC'!$G194&gt;=$E$4)),'01_DANH_MUC'!$H194,0)+SUMIFS('02_NHAT_KY'!$K$7:$K$506,'02_NHAT_KY'!$C$7:$C$506,$A204,'02_NHAT_KY'!$J$7:$J$506,"&gt;="&amp;$E$4)+SUMIFS('02_NHAT_KY'!$K$7:$K$506,'02_NHAT_KY'!$C$7:$C$506,$A204,'02_NHAT_KY'!$J$7:$J$506,""))</f>
        <v/>
      </c>
      <c r="L204" s="232">
        <f>IF($A204="","",IF(AND('01_DANH_MUC'!$H194&gt;0,'01_DANH_MUC'!$G194&lt;$E$4,$E$4-'01_DANH_MUC'!$G194&lt;=30),'01_DANH_MUC'!$H194,0)+SUMIFS('02_NHAT_KY'!$K$7:$K$506,'02_NHAT_KY'!$C$7:$C$506,$A204,'02_NHAT_KY'!$L$7:$L$506,"&gt;=1",'02_NHAT_KY'!$L$7:$L$506,"&lt;=30"))</f>
        <v/>
      </c>
      <c r="M204" s="232">
        <f>IF($A204="","",IF(AND('01_DANH_MUC'!$H194&gt;0,'01_DANH_MUC'!$G194&lt;$E$4,$E$4-'01_DANH_MUC'!$G194&gt;=31,$E$4-'01_DANH_MUC'!$G194&lt;=60),'01_DANH_MUC'!$H194,0)+SUMIFS('02_NHAT_KY'!$K$7:$K$506,'02_NHAT_KY'!$C$7:$C$506,$A204,'02_NHAT_KY'!$L$7:$L$506,"&gt;=31",'02_NHAT_KY'!$L$7:$L$506,"&lt;=60"))</f>
        <v/>
      </c>
      <c r="N204" s="232">
        <f>IF($A204="","",IF(AND('01_DANH_MUC'!$H194&gt;0,'01_DANH_MUC'!$G194&lt;$E$4,$E$4-'01_DANH_MUC'!$G194&gt;=61,$E$4-'01_DANH_MUC'!$G194&lt;=90),'01_DANH_MUC'!$H194,0)+SUMIFS('02_NHAT_KY'!$K$7:$K$506,'02_NHAT_KY'!$C$7:$C$506,$A204,'02_NHAT_KY'!$L$7:$L$506,"&gt;=61",'02_NHAT_KY'!$L$7:$L$506,"&lt;=90"))</f>
        <v/>
      </c>
      <c r="O204" s="232">
        <f>IF($A204="","",IF(AND('01_DANH_MUC'!$H194&gt;0,'01_DANH_MUC'!$G194&lt;$E$4,$E$4-'01_DANH_MUC'!$G194&gt;90),'01_DANH_MUC'!$H194,0)+SUMIFS('02_NHAT_KY'!$K$7:$K$506,'02_NHAT_KY'!$C$7:$C$506,$A204,'02_NHAT_KY'!$L$7:$L$506,"&gt;90"))</f>
        <v/>
      </c>
      <c r="P204" s="201">
        <f>IF($A204="","",IF($H204&lt;0,"DƯ ÂM/TRẢ TRƯỚC",IF(ABS($H204-SUM($K204:$O204))&lt;1,"OK","LỆCH TUỔI NỢ")))</f>
        <v/>
      </c>
    </row>
    <row r="205">
      <c r="A205" s="201">
        <f>IF('01_DANH_MUC'!$A195="","",'01_DANH_MUC'!$A195)</f>
        <v/>
      </c>
      <c r="B205" s="198">
        <f>IF($A205="","",'01_DANH_MUC'!$B195)</f>
        <v/>
      </c>
      <c r="C205" s="201">
        <f>IF($A205="","",'01_DANH_MUC'!$C195)</f>
        <v/>
      </c>
      <c r="D205" s="231">
        <f>IF($A205="","",'01_DANH_MUC'!$D195)</f>
        <v/>
      </c>
      <c r="E205" s="232">
        <f>IF($A205="","",'01_DANH_MUC'!$F195+SUMIFS('02_NHAT_KY'!$G$7:$G$506,'02_NHAT_KY'!$C$7:$C$506,$A205,'02_NHAT_KY'!$A$7:$A$506,"&lt;"&amp;$B$4)-SUMIFS('02_NHAT_KY'!$H$7:$H$506,'02_NHAT_KY'!$C$7:$C$506,$A205,'02_NHAT_KY'!$A$7:$A$506,"&lt;"&amp;$B$4))</f>
        <v/>
      </c>
      <c r="F205" s="232">
        <f>IF($A205="","",SUMIFS('02_NHAT_KY'!$G$7:$G$506,'02_NHAT_KY'!$C$7:$C$506,$A205,'02_NHAT_KY'!$A$7:$A$506,"&gt;="&amp;$B$4,'02_NHAT_KY'!$A$7:$A$506,"&lt;="&amp;$E$4))</f>
        <v/>
      </c>
      <c r="G205" s="232">
        <f>IF($A205="","",SUMIFS('02_NHAT_KY'!$H$7:$H$506,'02_NHAT_KY'!$C$7:$C$506,$A205,'02_NHAT_KY'!$A$7:$A$506,"&gt;="&amp;$B$4,'02_NHAT_KY'!$A$7:$A$506,"&lt;="&amp;$E$4))</f>
        <v/>
      </c>
      <c r="H205" s="232">
        <f>IF($A205="","",$E205+$F205-$G205)</f>
        <v/>
      </c>
      <c r="I205" s="233">
        <f>IF($A205="","",IF($H205&lt;=0,0,MAX(IF(AND('01_DANH_MUC'!$H195&gt;0,'01_DANH_MUC'!$G195&lt;&gt;""),MAX(0,$E$4-'01_DANH_MUC'!$G195),0),IFERROR(MAXIFS('02_NHAT_KY'!$L$7:$L$506,'02_NHAT_KY'!$C$7:$C$506,$A205),0))))</f>
        <v/>
      </c>
      <c r="J205" s="201">
        <f>IF($A205="","",IF($H205&lt;=0,"Không có dư nợ",IF($I205&gt;0,"Quá hạn","Trong hạn")))</f>
        <v/>
      </c>
      <c r="K205" s="232">
        <f>IF($A205="","",IF(AND('01_DANH_MUC'!$H195&gt;0,OR('01_DANH_MUC'!$G195="",'01_DANH_MUC'!$G195&gt;=$E$4)),'01_DANH_MUC'!$H195,0)+SUMIFS('02_NHAT_KY'!$K$7:$K$506,'02_NHAT_KY'!$C$7:$C$506,$A205,'02_NHAT_KY'!$J$7:$J$506,"&gt;="&amp;$E$4)+SUMIFS('02_NHAT_KY'!$K$7:$K$506,'02_NHAT_KY'!$C$7:$C$506,$A205,'02_NHAT_KY'!$J$7:$J$506,""))</f>
        <v/>
      </c>
      <c r="L205" s="232">
        <f>IF($A205="","",IF(AND('01_DANH_MUC'!$H195&gt;0,'01_DANH_MUC'!$G195&lt;$E$4,$E$4-'01_DANH_MUC'!$G195&lt;=30),'01_DANH_MUC'!$H195,0)+SUMIFS('02_NHAT_KY'!$K$7:$K$506,'02_NHAT_KY'!$C$7:$C$506,$A205,'02_NHAT_KY'!$L$7:$L$506,"&gt;=1",'02_NHAT_KY'!$L$7:$L$506,"&lt;=30"))</f>
        <v/>
      </c>
      <c r="M205" s="232">
        <f>IF($A205="","",IF(AND('01_DANH_MUC'!$H195&gt;0,'01_DANH_MUC'!$G195&lt;$E$4,$E$4-'01_DANH_MUC'!$G195&gt;=31,$E$4-'01_DANH_MUC'!$G195&lt;=60),'01_DANH_MUC'!$H195,0)+SUMIFS('02_NHAT_KY'!$K$7:$K$506,'02_NHAT_KY'!$C$7:$C$506,$A205,'02_NHAT_KY'!$L$7:$L$506,"&gt;=31",'02_NHAT_KY'!$L$7:$L$506,"&lt;=60"))</f>
        <v/>
      </c>
      <c r="N205" s="232">
        <f>IF($A205="","",IF(AND('01_DANH_MUC'!$H195&gt;0,'01_DANH_MUC'!$G195&lt;$E$4,$E$4-'01_DANH_MUC'!$G195&gt;=61,$E$4-'01_DANH_MUC'!$G195&lt;=90),'01_DANH_MUC'!$H195,0)+SUMIFS('02_NHAT_KY'!$K$7:$K$506,'02_NHAT_KY'!$C$7:$C$506,$A205,'02_NHAT_KY'!$L$7:$L$506,"&gt;=61",'02_NHAT_KY'!$L$7:$L$506,"&lt;=90"))</f>
        <v/>
      </c>
      <c r="O205" s="232">
        <f>IF($A205="","",IF(AND('01_DANH_MUC'!$H195&gt;0,'01_DANH_MUC'!$G195&lt;$E$4,$E$4-'01_DANH_MUC'!$G195&gt;90),'01_DANH_MUC'!$H195,0)+SUMIFS('02_NHAT_KY'!$K$7:$K$506,'02_NHAT_KY'!$C$7:$C$506,$A205,'02_NHAT_KY'!$L$7:$L$506,"&gt;90"))</f>
        <v/>
      </c>
      <c r="P205" s="201">
        <f>IF($A205="","",IF($H205&lt;0,"DƯ ÂM/TRẢ TRƯỚC",IF(ABS($H205-SUM($K205:$O205))&lt;1,"OK","LỆCH TUỔI NỢ")))</f>
        <v/>
      </c>
    </row>
    <row r="206">
      <c r="A206" s="201">
        <f>IF('01_DANH_MUC'!$A196="","",'01_DANH_MUC'!$A196)</f>
        <v/>
      </c>
      <c r="B206" s="198">
        <f>IF($A206="","",'01_DANH_MUC'!$B196)</f>
        <v/>
      </c>
      <c r="C206" s="201">
        <f>IF($A206="","",'01_DANH_MUC'!$C196)</f>
        <v/>
      </c>
      <c r="D206" s="231">
        <f>IF($A206="","",'01_DANH_MUC'!$D196)</f>
        <v/>
      </c>
      <c r="E206" s="232">
        <f>IF($A206="","",'01_DANH_MUC'!$F196+SUMIFS('02_NHAT_KY'!$G$7:$G$506,'02_NHAT_KY'!$C$7:$C$506,$A206,'02_NHAT_KY'!$A$7:$A$506,"&lt;"&amp;$B$4)-SUMIFS('02_NHAT_KY'!$H$7:$H$506,'02_NHAT_KY'!$C$7:$C$506,$A206,'02_NHAT_KY'!$A$7:$A$506,"&lt;"&amp;$B$4))</f>
        <v/>
      </c>
      <c r="F206" s="232">
        <f>IF($A206="","",SUMIFS('02_NHAT_KY'!$G$7:$G$506,'02_NHAT_KY'!$C$7:$C$506,$A206,'02_NHAT_KY'!$A$7:$A$506,"&gt;="&amp;$B$4,'02_NHAT_KY'!$A$7:$A$506,"&lt;="&amp;$E$4))</f>
        <v/>
      </c>
      <c r="G206" s="232">
        <f>IF($A206="","",SUMIFS('02_NHAT_KY'!$H$7:$H$506,'02_NHAT_KY'!$C$7:$C$506,$A206,'02_NHAT_KY'!$A$7:$A$506,"&gt;="&amp;$B$4,'02_NHAT_KY'!$A$7:$A$506,"&lt;="&amp;$E$4))</f>
        <v/>
      </c>
      <c r="H206" s="232">
        <f>IF($A206="","",$E206+$F206-$G206)</f>
        <v/>
      </c>
      <c r="I206" s="233">
        <f>IF($A206="","",IF($H206&lt;=0,0,MAX(IF(AND('01_DANH_MUC'!$H196&gt;0,'01_DANH_MUC'!$G196&lt;&gt;""),MAX(0,$E$4-'01_DANH_MUC'!$G196),0),IFERROR(MAXIFS('02_NHAT_KY'!$L$7:$L$506,'02_NHAT_KY'!$C$7:$C$506,$A206),0))))</f>
        <v/>
      </c>
      <c r="J206" s="201">
        <f>IF($A206="","",IF($H206&lt;=0,"Không có dư nợ",IF($I206&gt;0,"Quá hạn","Trong hạn")))</f>
        <v/>
      </c>
      <c r="K206" s="232">
        <f>IF($A206="","",IF(AND('01_DANH_MUC'!$H196&gt;0,OR('01_DANH_MUC'!$G196="",'01_DANH_MUC'!$G196&gt;=$E$4)),'01_DANH_MUC'!$H196,0)+SUMIFS('02_NHAT_KY'!$K$7:$K$506,'02_NHAT_KY'!$C$7:$C$506,$A206,'02_NHAT_KY'!$J$7:$J$506,"&gt;="&amp;$E$4)+SUMIFS('02_NHAT_KY'!$K$7:$K$506,'02_NHAT_KY'!$C$7:$C$506,$A206,'02_NHAT_KY'!$J$7:$J$506,""))</f>
        <v/>
      </c>
      <c r="L206" s="232">
        <f>IF($A206="","",IF(AND('01_DANH_MUC'!$H196&gt;0,'01_DANH_MUC'!$G196&lt;$E$4,$E$4-'01_DANH_MUC'!$G196&lt;=30),'01_DANH_MUC'!$H196,0)+SUMIFS('02_NHAT_KY'!$K$7:$K$506,'02_NHAT_KY'!$C$7:$C$506,$A206,'02_NHAT_KY'!$L$7:$L$506,"&gt;=1",'02_NHAT_KY'!$L$7:$L$506,"&lt;=30"))</f>
        <v/>
      </c>
      <c r="M206" s="232">
        <f>IF($A206="","",IF(AND('01_DANH_MUC'!$H196&gt;0,'01_DANH_MUC'!$G196&lt;$E$4,$E$4-'01_DANH_MUC'!$G196&gt;=31,$E$4-'01_DANH_MUC'!$G196&lt;=60),'01_DANH_MUC'!$H196,0)+SUMIFS('02_NHAT_KY'!$K$7:$K$506,'02_NHAT_KY'!$C$7:$C$506,$A206,'02_NHAT_KY'!$L$7:$L$506,"&gt;=31",'02_NHAT_KY'!$L$7:$L$506,"&lt;=60"))</f>
        <v/>
      </c>
      <c r="N206" s="232">
        <f>IF($A206="","",IF(AND('01_DANH_MUC'!$H196&gt;0,'01_DANH_MUC'!$G196&lt;$E$4,$E$4-'01_DANH_MUC'!$G196&gt;=61,$E$4-'01_DANH_MUC'!$G196&lt;=90),'01_DANH_MUC'!$H196,0)+SUMIFS('02_NHAT_KY'!$K$7:$K$506,'02_NHAT_KY'!$C$7:$C$506,$A206,'02_NHAT_KY'!$L$7:$L$506,"&gt;=61",'02_NHAT_KY'!$L$7:$L$506,"&lt;=90"))</f>
        <v/>
      </c>
      <c r="O206" s="232">
        <f>IF($A206="","",IF(AND('01_DANH_MUC'!$H196&gt;0,'01_DANH_MUC'!$G196&lt;$E$4,$E$4-'01_DANH_MUC'!$G196&gt;90),'01_DANH_MUC'!$H196,0)+SUMIFS('02_NHAT_KY'!$K$7:$K$506,'02_NHAT_KY'!$C$7:$C$506,$A206,'02_NHAT_KY'!$L$7:$L$506,"&gt;90"))</f>
        <v/>
      </c>
      <c r="P206" s="201">
        <f>IF($A206="","",IF($H206&lt;0,"DƯ ÂM/TRẢ TRƯỚC",IF(ABS($H206-SUM($K206:$O206))&lt;1,"OK","LỆCH TUỔI NỢ")))</f>
        <v/>
      </c>
    </row>
    <row r="207">
      <c r="A207" s="201">
        <f>IF('01_DANH_MUC'!$A197="","",'01_DANH_MUC'!$A197)</f>
        <v/>
      </c>
      <c r="B207" s="198">
        <f>IF($A207="","",'01_DANH_MUC'!$B197)</f>
        <v/>
      </c>
      <c r="C207" s="201">
        <f>IF($A207="","",'01_DANH_MUC'!$C197)</f>
        <v/>
      </c>
      <c r="D207" s="231">
        <f>IF($A207="","",'01_DANH_MUC'!$D197)</f>
        <v/>
      </c>
      <c r="E207" s="232">
        <f>IF($A207="","",'01_DANH_MUC'!$F197+SUMIFS('02_NHAT_KY'!$G$7:$G$506,'02_NHAT_KY'!$C$7:$C$506,$A207,'02_NHAT_KY'!$A$7:$A$506,"&lt;"&amp;$B$4)-SUMIFS('02_NHAT_KY'!$H$7:$H$506,'02_NHAT_KY'!$C$7:$C$506,$A207,'02_NHAT_KY'!$A$7:$A$506,"&lt;"&amp;$B$4))</f>
        <v/>
      </c>
      <c r="F207" s="232">
        <f>IF($A207="","",SUMIFS('02_NHAT_KY'!$G$7:$G$506,'02_NHAT_KY'!$C$7:$C$506,$A207,'02_NHAT_KY'!$A$7:$A$506,"&gt;="&amp;$B$4,'02_NHAT_KY'!$A$7:$A$506,"&lt;="&amp;$E$4))</f>
        <v/>
      </c>
      <c r="G207" s="232">
        <f>IF($A207="","",SUMIFS('02_NHAT_KY'!$H$7:$H$506,'02_NHAT_KY'!$C$7:$C$506,$A207,'02_NHAT_KY'!$A$7:$A$506,"&gt;="&amp;$B$4,'02_NHAT_KY'!$A$7:$A$506,"&lt;="&amp;$E$4))</f>
        <v/>
      </c>
      <c r="H207" s="232">
        <f>IF($A207="","",$E207+$F207-$G207)</f>
        <v/>
      </c>
      <c r="I207" s="233">
        <f>IF($A207="","",IF($H207&lt;=0,0,MAX(IF(AND('01_DANH_MUC'!$H197&gt;0,'01_DANH_MUC'!$G197&lt;&gt;""),MAX(0,$E$4-'01_DANH_MUC'!$G197),0),IFERROR(MAXIFS('02_NHAT_KY'!$L$7:$L$506,'02_NHAT_KY'!$C$7:$C$506,$A207),0))))</f>
        <v/>
      </c>
      <c r="J207" s="201">
        <f>IF($A207="","",IF($H207&lt;=0,"Không có dư nợ",IF($I207&gt;0,"Quá hạn","Trong hạn")))</f>
        <v/>
      </c>
      <c r="K207" s="232">
        <f>IF($A207="","",IF(AND('01_DANH_MUC'!$H197&gt;0,OR('01_DANH_MUC'!$G197="",'01_DANH_MUC'!$G197&gt;=$E$4)),'01_DANH_MUC'!$H197,0)+SUMIFS('02_NHAT_KY'!$K$7:$K$506,'02_NHAT_KY'!$C$7:$C$506,$A207,'02_NHAT_KY'!$J$7:$J$506,"&gt;="&amp;$E$4)+SUMIFS('02_NHAT_KY'!$K$7:$K$506,'02_NHAT_KY'!$C$7:$C$506,$A207,'02_NHAT_KY'!$J$7:$J$506,""))</f>
        <v/>
      </c>
      <c r="L207" s="232">
        <f>IF($A207="","",IF(AND('01_DANH_MUC'!$H197&gt;0,'01_DANH_MUC'!$G197&lt;$E$4,$E$4-'01_DANH_MUC'!$G197&lt;=30),'01_DANH_MUC'!$H197,0)+SUMIFS('02_NHAT_KY'!$K$7:$K$506,'02_NHAT_KY'!$C$7:$C$506,$A207,'02_NHAT_KY'!$L$7:$L$506,"&gt;=1",'02_NHAT_KY'!$L$7:$L$506,"&lt;=30"))</f>
        <v/>
      </c>
      <c r="M207" s="232">
        <f>IF($A207="","",IF(AND('01_DANH_MUC'!$H197&gt;0,'01_DANH_MUC'!$G197&lt;$E$4,$E$4-'01_DANH_MUC'!$G197&gt;=31,$E$4-'01_DANH_MUC'!$G197&lt;=60),'01_DANH_MUC'!$H197,0)+SUMIFS('02_NHAT_KY'!$K$7:$K$506,'02_NHAT_KY'!$C$7:$C$506,$A207,'02_NHAT_KY'!$L$7:$L$506,"&gt;=31",'02_NHAT_KY'!$L$7:$L$506,"&lt;=60"))</f>
        <v/>
      </c>
      <c r="N207" s="232">
        <f>IF($A207="","",IF(AND('01_DANH_MUC'!$H197&gt;0,'01_DANH_MUC'!$G197&lt;$E$4,$E$4-'01_DANH_MUC'!$G197&gt;=61,$E$4-'01_DANH_MUC'!$G197&lt;=90),'01_DANH_MUC'!$H197,0)+SUMIFS('02_NHAT_KY'!$K$7:$K$506,'02_NHAT_KY'!$C$7:$C$506,$A207,'02_NHAT_KY'!$L$7:$L$506,"&gt;=61",'02_NHAT_KY'!$L$7:$L$506,"&lt;=90"))</f>
        <v/>
      </c>
      <c r="O207" s="232">
        <f>IF($A207="","",IF(AND('01_DANH_MUC'!$H197&gt;0,'01_DANH_MUC'!$G197&lt;$E$4,$E$4-'01_DANH_MUC'!$G197&gt;90),'01_DANH_MUC'!$H197,0)+SUMIFS('02_NHAT_KY'!$K$7:$K$506,'02_NHAT_KY'!$C$7:$C$506,$A207,'02_NHAT_KY'!$L$7:$L$506,"&gt;90"))</f>
        <v/>
      </c>
      <c r="P207" s="201">
        <f>IF($A207="","",IF($H207&lt;0,"DƯ ÂM/TRẢ TRƯỚC",IF(ABS($H207-SUM($K207:$O207))&lt;1,"OK","LỆCH TUỔI NỢ")))</f>
        <v/>
      </c>
    </row>
    <row r="208">
      <c r="A208" s="201">
        <f>IF('01_DANH_MUC'!$A198="","",'01_DANH_MUC'!$A198)</f>
        <v/>
      </c>
      <c r="B208" s="198">
        <f>IF($A208="","",'01_DANH_MUC'!$B198)</f>
        <v/>
      </c>
      <c r="C208" s="201">
        <f>IF($A208="","",'01_DANH_MUC'!$C198)</f>
        <v/>
      </c>
      <c r="D208" s="231">
        <f>IF($A208="","",'01_DANH_MUC'!$D198)</f>
        <v/>
      </c>
      <c r="E208" s="232">
        <f>IF($A208="","",'01_DANH_MUC'!$F198+SUMIFS('02_NHAT_KY'!$G$7:$G$506,'02_NHAT_KY'!$C$7:$C$506,$A208,'02_NHAT_KY'!$A$7:$A$506,"&lt;"&amp;$B$4)-SUMIFS('02_NHAT_KY'!$H$7:$H$506,'02_NHAT_KY'!$C$7:$C$506,$A208,'02_NHAT_KY'!$A$7:$A$506,"&lt;"&amp;$B$4))</f>
        <v/>
      </c>
      <c r="F208" s="232">
        <f>IF($A208="","",SUMIFS('02_NHAT_KY'!$G$7:$G$506,'02_NHAT_KY'!$C$7:$C$506,$A208,'02_NHAT_KY'!$A$7:$A$506,"&gt;="&amp;$B$4,'02_NHAT_KY'!$A$7:$A$506,"&lt;="&amp;$E$4))</f>
        <v/>
      </c>
      <c r="G208" s="232">
        <f>IF($A208="","",SUMIFS('02_NHAT_KY'!$H$7:$H$506,'02_NHAT_KY'!$C$7:$C$506,$A208,'02_NHAT_KY'!$A$7:$A$506,"&gt;="&amp;$B$4,'02_NHAT_KY'!$A$7:$A$506,"&lt;="&amp;$E$4))</f>
        <v/>
      </c>
      <c r="H208" s="232">
        <f>IF($A208="","",$E208+$F208-$G208)</f>
        <v/>
      </c>
      <c r="I208" s="233">
        <f>IF($A208="","",IF($H208&lt;=0,0,MAX(IF(AND('01_DANH_MUC'!$H198&gt;0,'01_DANH_MUC'!$G198&lt;&gt;""),MAX(0,$E$4-'01_DANH_MUC'!$G198),0),IFERROR(MAXIFS('02_NHAT_KY'!$L$7:$L$506,'02_NHAT_KY'!$C$7:$C$506,$A208),0))))</f>
        <v/>
      </c>
      <c r="J208" s="201">
        <f>IF($A208="","",IF($H208&lt;=0,"Không có dư nợ",IF($I208&gt;0,"Quá hạn","Trong hạn")))</f>
        <v/>
      </c>
      <c r="K208" s="232">
        <f>IF($A208="","",IF(AND('01_DANH_MUC'!$H198&gt;0,OR('01_DANH_MUC'!$G198="",'01_DANH_MUC'!$G198&gt;=$E$4)),'01_DANH_MUC'!$H198,0)+SUMIFS('02_NHAT_KY'!$K$7:$K$506,'02_NHAT_KY'!$C$7:$C$506,$A208,'02_NHAT_KY'!$J$7:$J$506,"&gt;="&amp;$E$4)+SUMIFS('02_NHAT_KY'!$K$7:$K$506,'02_NHAT_KY'!$C$7:$C$506,$A208,'02_NHAT_KY'!$J$7:$J$506,""))</f>
        <v/>
      </c>
      <c r="L208" s="232">
        <f>IF($A208="","",IF(AND('01_DANH_MUC'!$H198&gt;0,'01_DANH_MUC'!$G198&lt;$E$4,$E$4-'01_DANH_MUC'!$G198&lt;=30),'01_DANH_MUC'!$H198,0)+SUMIFS('02_NHAT_KY'!$K$7:$K$506,'02_NHAT_KY'!$C$7:$C$506,$A208,'02_NHAT_KY'!$L$7:$L$506,"&gt;=1",'02_NHAT_KY'!$L$7:$L$506,"&lt;=30"))</f>
        <v/>
      </c>
      <c r="M208" s="232">
        <f>IF($A208="","",IF(AND('01_DANH_MUC'!$H198&gt;0,'01_DANH_MUC'!$G198&lt;$E$4,$E$4-'01_DANH_MUC'!$G198&gt;=31,$E$4-'01_DANH_MUC'!$G198&lt;=60),'01_DANH_MUC'!$H198,0)+SUMIFS('02_NHAT_KY'!$K$7:$K$506,'02_NHAT_KY'!$C$7:$C$506,$A208,'02_NHAT_KY'!$L$7:$L$506,"&gt;=31",'02_NHAT_KY'!$L$7:$L$506,"&lt;=60"))</f>
        <v/>
      </c>
      <c r="N208" s="232">
        <f>IF($A208="","",IF(AND('01_DANH_MUC'!$H198&gt;0,'01_DANH_MUC'!$G198&lt;$E$4,$E$4-'01_DANH_MUC'!$G198&gt;=61,$E$4-'01_DANH_MUC'!$G198&lt;=90),'01_DANH_MUC'!$H198,0)+SUMIFS('02_NHAT_KY'!$K$7:$K$506,'02_NHAT_KY'!$C$7:$C$506,$A208,'02_NHAT_KY'!$L$7:$L$506,"&gt;=61",'02_NHAT_KY'!$L$7:$L$506,"&lt;=90"))</f>
        <v/>
      </c>
      <c r="O208" s="232">
        <f>IF($A208="","",IF(AND('01_DANH_MUC'!$H198&gt;0,'01_DANH_MUC'!$G198&lt;$E$4,$E$4-'01_DANH_MUC'!$G198&gt;90),'01_DANH_MUC'!$H198,0)+SUMIFS('02_NHAT_KY'!$K$7:$K$506,'02_NHAT_KY'!$C$7:$C$506,$A208,'02_NHAT_KY'!$L$7:$L$506,"&gt;90"))</f>
        <v/>
      </c>
      <c r="P208" s="201">
        <f>IF($A208="","",IF($H208&lt;0,"DƯ ÂM/TRẢ TRƯỚC",IF(ABS($H208-SUM($K208:$O208))&lt;1,"OK","LỆCH TUỔI NỢ")))</f>
        <v/>
      </c>
    </row>
    <row r="209">
      <c r="A209" s="201">
        <f>IF('01_DANH_MUC'!$A199="","",'01_DANH_MUC'!$A199)</f>
        <v/>
      </c>
      <c r="B209" s="198">
        <f>IF($A209="","",'01_DANH_MUC'!$B199)</f>
        <v/>
      </c>
      <c r="C209" s="201">
        <f>IF($A209="","",'01_DANH_MUC'!$C199)</f>
        <v/>
      </c>
      <c r="D209" s="231">
        <f>IF($A209="","",'01_DANH_MUC'!$D199)</f>
        <v/>
      </c>
      <c r="E209" s="232">
        <f>IF($A209="","",'01_DANH_MUC'!$F199+SUMIFS('02_NHAT_KY'!$G$7:$G$506,'02_NHAT_KY'!$C$7:$C$506,$A209,'02_NHAT_KY'!$A$7:$A$506,"&lt;"&amp;$B$4)-SUMIFS('02_NHAT_KY'!$H$7:$H$506,'02_NHAT_KY'!$C$7:$C$506,$A209,'02_NHAT_KY'!$A$7:$A$506,"&lt;"&amp;$B$4))</f>
        <v/>
      </c>
      <c r="F209" s="232">
        <f>IF($A209="","",SUMIFS('02_NHAT_KY'!$G$7:$G$506,'02_NHAT_KY'!$C$7:$C$506,$A209,'02_NHAT_KY'!$A$7:$A$506,"&gt;="&amp;$B$4,'02_NHAT_KY'!$A$7:$A$506,"&lt;="&amp;$E$4))</f>
        <v/>
      </c>
      <c r="G209" s="232">
        <f>IF($A209="","",SUMIFS('02_NHAT_KY'!$H$7:$H$506,'02_NHAT_KY'!$C$7:$C$506,$A209,'02_NHAT_KY'!$A$7:$A$506,"&gt;="&amp;$B$4,'02_NHAT_KY'!$A$7:$A$506,"&lt;="&amp;$E$4))</f>
        <v/>
      </c>
      <c r="H209" s="232">
        <f>IF($A209="","",$E209+$F209-$G209)</f>
        <v/>
      </c>
      <c r="I209" s="233">
        <f>IF($A209="","",IF($H209&lt;=0,0,MAX(IF(AND('01_DANH_MUC'!$H199&gt;0,'01_DANH_MUC'!$G199&lt;&gt;""),MAX(0,$E$4-'01_DANH_MUC'!$G199),0),IFERROR(MAXIFS('02_NHAT_KY'!$L$7:$L$506,'02_NHAT_KY'!$C$7:$C$506,$A209),0))))</f>
        <v/>
      </c>
      <c r="J209" s="201">
        <f>IF($A209="","",IF($H209&lt;=0,"Không có dư nợ",IF($I209&gt;0,"Quá hạn","Trong hạn")))</f>
        <v/>
      </c>
      <c r="K209" s="232">
        <f>IF($A209="","",IF(AND('01_DANH_MUC'!$H199&gt;0,OR('01_DANH_MUC'!$G199="",'01_DANH_MUC'!$G199&gt;=$E$4)),'01_DANH_MUC'!$H199,0)+SUMIFS('02_NHAT_KY'!$K$7:$K$506,'02_NHAT_KY'!$C$7:$C$506,$A209,'02_NHAT_KY'!$J$7:$J$506,"&gt;="&amp;$E$4)+SUMIFS('02_NHAT_KY'!$K$7:$K$506,'02_NHAT_KY'!$C$7:$C$506,$A209,'02_NHAT_KY'!$J$7:$J$506,""))</f>
        <v/>
      </c>
      <c r="L209" s="232">
        <f>IF($A209="","",IF(AND('01_DANH_MUC'!$H199&gt;0,'01_DANH_MUC'!$G199&lt;$E$4,$E$4-'01_DANH_MUC'!$G199&lt;=30),'01_DANH_MUC'!$H199,0)+SUMIFS('02_NHAT_KY'!$K$7:$K$506,'02_NHAT_KY'!$C$7:$C$506,$A209,'02_NHAT_KY'!$L$7:$L$506,"&gt;=1",'02_NHAT_KY'!$L$7:$L$506,"&lt;=30"))</f>
        <v/>
      </c>
      <c r="M209" s="232">
        <f>IF($A209="","",IF(AND('01_DANH_MUC'!$H199&gt;0,'01_DANH_MUC'!$G199&lt;$E$4,$E$4-'01_DANH_MUC'!$G199&gt;=31,$E$4-'01_DANH_MUC'!$G199&lt;=60),'01_DANH_MUC'!$H199,0)+SUMIFS('02_NHAT_KY'!$K$7:$K$506,'02_NHAT_KY'!$C$7:$C$506,$A209,'02_NHAT_KY'!$L$7:$L$506,"&gt;=31",'02_NHAT_KY'!$L$7:$L$506,"&lt;=60"))</f>
        <v/>
      </c>
      <c r="N209" s="232">
        <f>IF($A209="","",IF(AND('01_DANH_MUC'!$H199&gt;0,'01_DANH_MUC'!$G199&lt;$E$4,$E$4-'01_DANH_MUC'!$G199&gt;=61,$E$4-'01_DANH_MUC'!$G199&lt;=90),'01_DANH_MUC'!$H199,0)+SUMIFS('02_NHAT_KY'!$K$7:$K$506,'02_NHAT_KY'!$C$7:$C$506,$A209,'02_NHAT_KY'!$L$7:$L$506,"&gt;=61",'02_NHAT_KY'!$L$7:$L$506,"&lt;=90"))</f>
        <v/>
      </c>
      <c r="O209" s="232">
        <f>IF($A209="","",IF(AND('01_DANH_MUC'!$H199&gt;0,'01_DANH_MUC'!$G199&lt;$E$4,$E$4-'01_DANH_MUC'!$G199&gt;90),'01_DANH_MUC'!$H199,0)+SUMIFS('02_NHAT_KY'!$K$7:$K$506,'02_NHAT_KY'!$C$7:$C$506,$A209,'02_NHAT_KY'!$L$7:$L$506,"&gt;90"))</f>
        <v/>
      </c>
      <c r="P209" s="201">
        <f>IF($A209="","",IF($H209&lt;0,"DƯ ÂM/TRẢ TRƯỚC",IF(ABS($H209-SUM($K209:$O209))&lt;1,"OK","LỆCH TUỔI NỢ")))</f>
        <v/>
      </c>
    </row>
    <row r="210">
      <c r="A210" s="201">
        <f>IF('01_DANH_MUC'!$A200="","",'01_DANH_MUC'!$A200)</f>
        <v/>
      </c>
      <c r="B210" s="198">
        <f>IF($A210="","",'01_DANH_MUC'!$B200)</f>
        <v/>
      </c>
      <c r="C210" s="201">
        <f>IF($A210="","",'01_DANH_MUC'!$C200)</f>
        <v/>
      </c>
      <c r="D210" s="231">
        <f>IF($A210="","",'01_DANH_MUC'!$D200)</f>
        <v/>
      </c>
      <c r="E210" s="232">
        <f>IF($A210="","",'01_DANH_MUC'!$F200+SUMIFS('02_NHAT_KY'!$G$7:$G$506,'02_NHAT_KY'!$C$7:$C$506,$A210,'02_NHAT_KY'!$A$7:$A$506,"&lt;"&amp;$B$4)-SUMIFS('02_NHAT_KY'!$H$7:$H$506,'02_NHAT_KY'!$C$7:$C$506,$A210,'02_NHAT_KY'!$A$7:$A$506,"&lt;"&amp;$B$4))</f>
        <v/>
      </c>
      <c r="F210" s="232">
        <f>IF($A210="","",SUMIFS('02_NHAT_KY'!$G$7:$G$506,'02_NHAT_KY'!$C$7:$C$506,$A210,'02_NHAT_KY'!$A$7:$A$506,"&gt;="&amp;$B$4,'02_NHAT_KY'!$A$7:$A$506,"&lt;="&amp;$E$4))</f>
        <v/>
      </c>
      <c r="G210" s="232">
        <f>IF($A210="","",SUMIFS('02_NHAT_KY'!$H$7:$H$506,'02_NHAT_KY'!$C$7:$C$506,$A210,'02_NHAT_KY'!$A$7:$A$506,"&gt;="&amp;$B$4,'02_NHAT_KY'!$A$7:$A$506,"&lt;="&amp;$E$4))</f>
        <v/>
      </c>
      <c r="H210" s="232">
        <f>IF($A210="","",$E210+$F210-$G210)</f>
        <v/>
      </c>
      <c r="I210" s="233">
        <f>IF($A210="","",IF($H210&lt;=0,0,MAX(IF(AND('01_DANH_MUC'!$H200&gt;0,'01_DANH_MUC'!$G200&lt;&gt;""),MAX(0,$E$4-'01_DANH_MUC'!$G200),0),IFERROR(MAXIFS('02_NHAT_KY'!$L$7:$L$506,'02_NHAT_KY'!$C$7:$C$506,$A210),0))))</f>
        <v/>
      </c>
      <c r="J210" s="201">
        <f>IF($A210="","",IF($H210&lt;=0,"Không có dư nợ",IF($I210&gt;0,"Quá hạn","Trong hạn")))</f>
        <v/>
      </c>
      <c r="K210" s="232">
        <f>IF($A210="","",IF(AND('01_DANH_MUC'!$H200&gt;0,OR('01_DANH_MUC'!$G200="",'01_DANH_MUC'!$G200&gt;=$E$4)),'01_DANH_MUC'!$H200,0)+SUMIFS('02_NHAT_KY'!$K$7:$K$506,'02_NHAT_KY'!$C$7:$C$506,$A210,'02_NHAT_KY'!$J$7:$J$506,"&gt;="&amp;$E$4)+SUMIFS('02_NHAT_KY'!$K$7:$K$506,'02_NHAT_KY'!$C$7:$C$506,$A210,'02_NHAT_KY'!$J$7:$J$506,""))</f>
        <v/>
      </c>
      <c r="L210" s="232">
        <f>IF($A210="","",IF(AND('01_DANH_MUC'!$H200&gt;0,'01_DANH_MUC'!$G200&lt;$E$4,$E$4-'01_DANH_MUC'!$G200&lt;=30),'01_DANH_MUC'!$H200,0)+SUMIFS('02_NHAT_KY'!$K$7:$K$506,'02_NHAT_KY'!$C$7:$C$506,$A210,'02_NHAT_KY'!$L$7:$L$506,"&gt;=1",'02_NHAT_KY'!$L$7:$L$506,"&lt;=30"))</f>
        <v/>
      </c>
      <c r="M210" s="232">
        <f>IF($A210="","",IF(AND('01_DANH_MUC'!$H200&gt;0,'01_DANH_MUC'!$G200&lt;$E$4,$E$4-'01_DANH_MUC'!$G200&gt;=31,$E$4-'01_DANH_MUC'!$G200&lt;=60),'01_DANH_MUC'!$H200,0)+SUMIFS('02_NHAT_KY'!$K$7:$K$506,'02_NHAT_KY'!$C$7:$C$506,$A210,'02_NHAT_KY'!$L$7:$L$506,"&gt;=31",'02_NHAT_KY'!$L$7:$L$506,"&lt;=60"))</f>
        <v/>
      </c>
      <c r="N210" s="232">
        <f>IF($A210="","",IF(AND('01_DANH_MUC'!$H200&gt;0,'01_DANH_MUC'!$G200&lt;$E$4,$E$4-'01_DANH_MUC'!$G200&gt;=61,$E$4-'01_DANH_MUC'!$G200&lt;=90),'01_DANH_MUC'!$H200,0)+SUMIFS('02_NHAT_KY'!$K$7:$K$506,'02_NHAT_KY'!$C$7:$C$506,$A210,'02_NHAT_KY'!$L$7:$L$506,"&gt;=61",'02_NHAT_KY'!$L$7:$L$506,"&lt;=90"))</f>
        <v/>
      </c>
      <c r="O210" s="232">
        <f>IF($A210="","",IF(AND('01_DANH_MUC'!$H200&gt;0,'01_DANH_MUC'!$G200&lt;$E$4,$E$4-'01_DANH_MUC'!$G200&gt;90),'01_DANH_MUC'!$H200,0)+SUMIFS('02_NHAT_KY'!$K$7:$K$506,'02_NHAT_KY'!$C$7:$C$506,$A210,'02_NHAT_KY'!$L$7:$L$506,"&gt;90"))</f>
        <v/>
      </c>
      <c r="P210" s="201">
        <f>IF($A210="","",IF($H210&lt;0,"DƯ ÂM/TRẢ TRƯỚC",IF(ABS($H210-SUM($K210:$O210))&lt;1,"OK","LỆCH TUỔI NỢ")))</f>
        <v/>
      </c>
    </row>
    <row r="211">
      <c r="A211" s="201">
        <f>IF('01_DANH_MUC'!$A201="","",'01_DANH_MUC'!$A201)</f>
        <v/>
      </c>
      <c r="B211" s="198">
        <f>IF($A211="","",'01_DANH_MUC'!$B201)</f>
        <v/>
      </c>
      <c r="C211" s="201">
        <f>IF($A211="","",'01_DANH_MUC'!$C201)</f>
        <v/>
      </c>
      <c r="D211" s="231">
        <f>IF($A211="","",'01_DANH_MUC'!$D201)</f>
        <v/>
      </c>
      <c r="E211" s="232">
        <f>IF($A211="","",'01_DANH_MUC'!$F201+SUMIFS('02_NHAT_KY'!$G$7:$G$506,'02_NHAT_KY'!$C$7:$C$506,$A211,'02_NHAT_KY'!$A$7:$A$506,"&lt;"&amp;$B$4)-SUMIFS('02_NHAT_KY'!$H$7:$H$506,'02_NHAT_KY'!$C$7:$C$506,$A211,'02_NHAT_KY'!$A$7:$A$506,"&lt;"&amp;$B$4))</f>
        <v/>
      </c>
      <c r="F211" s="232">
        <f>IF($A211="","",SUMIFS('02_NHAT_KY'!$G$7:$G$506,'02_NHAT_KY'!$C$7:$C$506,$A211,'02_NHAT_KY'!$A$7:$A$506,"&gt;="&amp;$B$4,'02_NHAT_KY'!$A$7:$A$506,"&lt;="&amp;$E$4))</f>
        <v/>
      </c>
      <c r="G211" s="232">
        <f>IF($A211="","",SUMIFS('02_NHAT_KY'!$H$7:$H$506,'02_NHAT_KY'!$C$7:$C$506,$A211,'02_NHAT_KY'!$A$7:$A$506,"&gt;="&amp;$B$4,'02_NHAT_KY'!$A$7:$A$506,"&lt;="&amp;$E$4))</f>
        <v/>
      </c>
      <c r="H211" s="232">
        <f>IF($A211="","",$E211+$F211-$G211)</f>
        <v/>
      </c>
      <c r="I211" s="233">
        <f>IF($A211="","",IF($H211&lt;=0,0,MAX(IF(AND('01_DANH_MUC'!$H201&gt;0,'01_DANH_MUC'!$G201&lt;&gt;""),MAX(0,$E$4-'01_DANH_MUC'!$G201),0),IFERROR(MAXIFS('02_NHAT_KY'!$L$7:$L$506,'02_NHAT_KY'!$C$7:$C$506,$A211),0))))</f>
        <v/>
      </c>
      <c r="J211" s="201">
        <f>IF($A211="","",IF($H211&lt;=0,"Không có dư nợ",IF($I211&gt;0,"Quá hạn","Trong hạn")))</f>
        <v/>
      </c>
      <c r="K211" s="232">
        <f>IF($A211="","",IF(AND('01_DANH_MUC'!$H201&gt;0,OR('01_DANH_MUC'!$G201="",'01_DANH_MUC'!$G201&gt;=$E$4)),'01_DANH_MUC'!$H201,0)+SUMIFS('02_NHAT_KY'!$K$7:$K$506,'02_NHAT_KY'!$C$7:$C$506,$A211,'02_NHAT_KY'!$J$7:$J$506,"&gt;="&amp;$E$4)+SUMIFS('02_NHAT_KY'!$K$7:$K$506,'02_NHAT_KY'!$C$7:$C$506,$A211,'02_NHAT_KY'!$J$7:$J$506,""))</f>
        <v/>
      </c>
      <c r="L211" s="232">
        <f>IF($A211="","",IF(AND('01_DANH_MUC'!$H201&gt;0,'01_DANH_MUC'!$G201&lt;$E$4,$E$4-'01_DANH_MUC'!$G201&lt;=30),'01_DANH_MUC'!$H201,0)+SUMIFS('02_NHAT_KY'!$K$7:$K$506,'02_NHAT_KY'!$C$7:$C$506,$A211,'02_NHAT_KY'!$L$7:$L$506,"&gt;=1",'02_NHAT_KY'!$L$7:$L$506,"&lt;=30"))</f>
        <v/>
      </c>
      <c r="M211" s="232">
        <f>IF($A211="","",IF(AND('01_DANH_MUC'!$H201&gt;0,'01_DANH_MUC'!$G201&lt;$E$4,$E$4-'01_DANH_MUC'!$G201&gt;=31,$E$4-'01_DANH_MUC'!$G201&lt;=60),'01_DANH_MUC'!$H201,0)+SUMIFS('02_NHAT_KY'!$K$7:$K$506,'02_NHAT_KY'!$C$7:$C$506,$A211,'02_NHAT_KY'!$L$7:$L$506,"&gt;=31",'02_NHAT_KY'!$L$7:$L$506,"&lt;=60"))</f>
        <v/>
      </c>
      <c r="N211" s="232">
        <f>IF($A211="","",IF(AND('01_DANH_MUC'!$H201&gt;0,'01_DANH_MUC'!$G201&lt;$E$4,$E$4-'01_DANH_MUC'!$G201&gt;=61,$E$4-'01_DANH_MUC'!$G201&lt;=90),'01_DANH_MUC'!$H201,0)+SUMIFS('02_NHAT_KY'!$K$7:$K$506,'02_NHAT_KY'!$C$7:$C$506,$A211,'02_NHAT_KY'!$L$7:$L$506,"&gt;=61",'02_NHAT_KY'!$L$7:$L$506,"&lt;=90"))</f>
        <v/>
      </c>
      <c r="O211" s="232">
        <f>IF($A211="","",IF(AND('01_DANH_MUC'!$H201&gt;0,'01_DANH_MUC'!$G201&lt;$E$4,$E$4-'01_DANH_MUC'!$G201&gt;90),'01_DANH_MUC'!$H201,0)+SUMIFS('02_NHAT_KY'!$K$7:$K$506,'02_NHAT_KY'!$C$7:$C$506,$A211,'02_NHAT_KY'!$L$7:$L$506,"&gt;90"))</f>
        <v/>
      </c>
      <c r="P211" s="201">
        <f>IF($A211="","",IF($H211&lt;0,"DƯ ÂM/TRẢ TRƯỚC",IF(ABS($H211-SUM($K211:$O211))&lt;1,"OK","LỆCH TUỔI NỢ")))</f>
        <v/>
      </c>
    </row>
    <row r="212">
      <c r="A212" s="201">
        <f>IF('01_DANH_MUC'!$A202="","",'01_DANH_MUC'!$A202)</f>
        <v/>
      </c>
      <c r="B212" s="198">
        <f>IF($A212="","",'01_DANH_MUC'!$B202)</f>
        <v/>
      </c>
      <c r="C212" s="201">
        <f>IF($A212="","",'01_DANH_MUC'!$C202)</f>
        <v/>
      </c>
      <c r="D212" s="231">
        <f>IF($A212="","",'01_DANH_MUC'!$D202)</f>
        <v/>
      </c>
      <c r="E212" s="232">
        <f>IF($A212="","",'01_DANH_MUC'!$F202+SUMIFS('02_NHAT_KY'!$G$7:$G$506,'02_NHAT_KY'!$C$7:$C$506,$A212,'02_NHAT_KY'!$A$7:$A$506,"&lt;"&amp;$B$4)-SUMIFS('02_NHAT_KY'!$H$7:$H$506,'02_NHAT_KY'!$C$7:$C$506,$A212,'02_NHAT_KY'!$A$7:$A$506,"&lt;"&amp;$B$4))</f>
        <v/>
      </c>
      <c r="F212" s="232">
        <f>IF($A212="","",SUMIFS('02_NHAT_KY'!$G$7:$G$506,'02_NHAT_KY'!$C$7:$C$506,$A212,'02_NHAT_KY'!$A$7:$A$506,"&gt;="&amp;$B$4,'02_NHAT_KY'!$A$7:$A$506,"&lt;="&amp;$E$4))</f>
        <v/>
      </c>
      <c r="G212" s="232">
        <f>IF($A212="","",SUMIFS('02_NHAT_KY'!$H$7:$H$506,'02_NHAT_KY'!$C$7:$C$506,$A212,'02_NHAT_KY'!$A$7:$A$506,"&gt;="&amp;$B$4,'02_NHAT_KY'!$A$7:$A$506,"&lt;="&amp;$E$4))</f>
        <v/>
      </c>
      <c r="H212" s="232">
        <f>IF($A212="","",$E212+$F212-$G212)</f>
        <v/>
      </c>
      <c r="I212" s="233">
        <f>IF($A212="","",IF($H212&lt;=0,0,MAX(IF(AND('01_DANH_MUC'!$H202&gt;0,'01_DANH_MUC'!$G202&lt;&gt;""),MAX(0,$E$4-'01_DANH_MUC'!$G202),0),IFERROR(MAXIFS('02_NHAT_KY'!$L$7:$L$506,'02_NHAT_KY'!$C$7:$C$506,$A212),0))))</f>
        <v/>
      </c>
      <c r="J212" s="201">
        <f>IF($A212="","",IF($H212&lt;=0,"Không có dư nợ",IF($I212&gt;0,"Quá hạn","Trong hạn")))</f>
        <v/>
      </c>
      <c r="K212" s="232">
        <f>IF($A212="","",IF(AND('01_DANH_MUC'!$H202&gt;0,OR('01_DANH_MUC'!$G202="",'01_DANH_MUC'!$G202&gt;=$E$4)),'01_DANH_MUC'!$H202,0)+SUMIFS('02_NHAT_KY'!$K$7:$K$506,'02_NHAT_KY'!$C$7:$C$506,$A212,'02_NHAT_KY'!$J$7:$J$506,"&gt;="&amp;$E$4)+SUMIFS('02_NHAT_KY'!$K$7:$K$506,'02_NHAT_KY'!$C$7:$C$506,$A212,'02_NHAT_KY'!$J$7:$J$506,""))</f>
        <v/>
      </c>
      <c r="L212" s="232">
        <f>IF($A212="","",IF(AND('01_DANH_MUC'!$H202&gt;0,'01_DANH_MUC'!$G202&lt;$E$4,$E$4-'01_DANH_MUC'!$G202&lt;=30),'01_DANH_MUC'!$H202,0)+SUMIFS('02_NHAT_KY'!$K$7:$K$506,'02_NHAT_KY'!$C$7:$C$506,$A212,'02_NHAT_KY'!$L$7:$L$506,"&gt;=1",'02_NHAT_KY'!$L$7:$L$506,"&lt;=30"))</f>
        <v/>
      </c>
      <c r="M212" s="232">
        <f>IF($A212="","",IF(AND('01_DANH_MUC'!$H202&gt;0,'01_DANH_MUC'!$G202&lt;$E$4,$E$4-'01_DANH_MUC'!$G202&gt;=31,$E$4-'01_DANH_MUC'!$G202&lt;=60),'01_DANH_MUC'!$H202,0)+SUMIFS('02_NHAT_KY'!$K$7:$K$506,'02_NHAT_KY'!$C$7:$C$506,$A212,'02_NHAT_KY'!$L$7:$L$506,"&gt;=31",'02_NHAT_KY'!$L$7:$L$506,"&lt;=60"))</f>
        <v/>
      </c>
      <c r="N212" s="232">
        <f>IF($A212="","",IF(AND('01_DANH_MUC'!$H202&gt;0,'01_DANH_MUC'!$G202&lt;$E$4,$E$4-'01_DANH_MUC'!$G202&gt;=61,$E$4-'01_DANH_MUC'!$G202&lt;=90),'01_DANH_MUC'!$H202,0)+SUMIFS('02_NHAT_KY'!$K$7:$K$506,'02_NHAT_KY'!$C$7:$C$506,$A212,'02_NHAT_KY'!$L$7:$L$506,"&gt;=61",'02_NHAT_KY'!$L$7:$L$506,"&lt;=90"))</f>
        <v/>
      </c>
      <c r="O212" s="232">
        <f>IF($A212="","",IF(AND('01_DANH_MUC'!$H202&gt;0,'01_DANH_MUC'!$G202&lt;$E$4,$E$4-'01_DANH_MUC'!$G202&gt;90),'01_DANH_MUC'!$H202,0)+SUMIFS('02_NHAT_KY'!$K$7:$K$506,'02_NHAT_KY'!$C$7:$C$506,$A212,'02_NHAT_KY'!$L$7:$L$506,"&gt;90"))</f>
        <v/>
      </c>
      <c r="P212" s="201">
        <f>IF($A212="","",IF($H212&lt;0,"DƯ ÂM/TRẢ TRƯỚC",IF(ABS($H212-SUM($K212:$O212))&lt;1,"OK","LỆCH TUỔI NỢ")))</f>
        <v/>
      </c>
    </row>
    <row r="213">
      <c r="A213" s="201">
        <f>IF('01_DANH_MUC'!$A203="","",'01_DANH_MUC'!$A203)</f>
        <v/>
      </c>
      <c r="B213" s="198">
        <f>IF($A213="","",'01_DANH_MUC'!$B203)</f>
        <v/>
      </c>
      <c r="C213" s="201">
        <f>IF($A213="","",'01_DANH_MUC'!$C203)</f>
        <v/>
      </c>
      <c r="D213" s="231">
        <f>IF($A213="","",'01_DANH_MUC'!$D203)</f>
        <v/>
      </c>
      <c r="E213" s="232">
        <f>IF($A213="","",'01_DANH_MUC'!$F203+SUMIFS('02_NHAT_KY'!$G$7:$G$506,'02_NHAT_KY'!$C$7:$C$506,$A213,'02_NHAT_KY'!$A$7:$A$506,"&lt;"&amp;$B$4)-SUMIFS('02_NHAT_KY'!$H$7:$H$506,'02_NHAT_KY'!$C$7:$C$506,$A213,'02_NHAT_KY'!$A$7:$A$506,"&lt;"&amp;$B$4))</f>
        <v/>
      </c>
      <c r="F213" s="232">
        <f>IF($A213="","",SUMIFS('02_NHAT_KY'!$G$7:$G$506,'02_NHAT_KY'!$C$7:$C$506,$A213,'02_NHAT_KY'!$A$7:$A$506,"&gt;="&amp;$B$4,'02_NHAT_KY'!$A$7:$A$506,"&lt;="&amp;$E$4))</f>
        <v/>
      </c>
      <c r="G213" s="232">
        <f>IF($A213="","",SUMIFS('02_NHAT_KY'!$H$7:$H$506,'02_NHAT_KY'!$C$7:$C$506,$A213,'02_NHAT_KY'!$A$7:$A$506,"&gt;="&amp;$B$4,'02_NHAT_KY'!$A$7:$A$506,"&lt;="&amp;$E$4))</f>
        <v/>
      </c>
      <c r="H213" s="232">
        <f>IF($A213="","",$E213+$F213-$G213)</f>
        <v/>
      </c>
      <c r="I213" s="233">
        <f>IF($A213="","",IF($H213&lt;=0,0,MAX(IF(AND('01_DANH_MUC'!$H203&gt;0,'01_DANH_MUC'!$G203&lt;&gt;""),MAX(0,$E$4-'01_DANH_MUC'!$G203),0),IFERROR(MAXIFS('02_NHAT_KY'!$L$7:$L$506,'02_NHAT_KY'!$C$7:$C$506,$A213),0))))</f>
        <v/>
      </c>
      <c r="J213" s="201">
        <f>IF($A213="","",IF($H213&lt;=0,"Không có dư nợ",IF($I213&gt;0,"Quá hạn","Trong hạn")))</f>
        <v/>
      </c>
      <c r="K213" s="232">
        <f>IF($A213="","",IF(AND('01_DANH_MUC'!$H203&gt;0,OR('01_DANH_MUC'!$G203="",'01_DANH_MUC'!$G203&gt;=$E$4)),'01_DANH_MUC'!$H203,0)+SUMIFS('02_NHAT_KY'!$K$7:$K$506,'02_NHAT_KY'!$C$7:$C$506,$A213,'02_NHAT_KY'!$J$7:$J$506,"&gt;="&amp;$E$4)+SUMIFS('02_NHAT_KY'!$K$7:$K$506,'02_NHAT_KY'!$C$7:$C$506,$A213,'02_NHAT_KY'!$J$7:$J$506,""))</f>
        <v/>
      </c>
      <c r="L213" s="232">
        <f>IF($A213="","",IF(AND('01_DANH_MUC'!$H203&gt;0,'01_DANH_MUC'!$G203&lt;$E$4,$E$4-'01_DANH_MUC'!$G203&lt;=30),'01_DANH_MUC'!$H203,0)+SUMIFS('02_NHAT_KY'!$K$7:$K$506,'02_NHAT_KY'!$C$7:$C$506,$A213,'02_NHAT_KY'!$L$7:$L$506,"&gt;=1",'02_NHAT_KY'!$L$7:$L$506,"&lt;=30"))</f>
        <v/>
      </c>
      <c r="M213" s="232">
        <f>IF($A213="","",IF(AND('01_DANH_MUC'!$H203&gt;0,'01_DANH_MUC'!$G203&lt;$E$4,$E$4-'01_DANH_MUC'!$G203&gt;=31,$E$4-'01_DANH_MUC'!$G203&lt;=60),'01_DANH_MUC'!$H203,0)+SUMIFS('02_NHAT_KY'!$K$7:$K$506,'02_NHAT_KY'!$C$7:$C$506,$A213,'02_NHAT_KY'!$L$7:$L$506,"&gt;=31",'02_NHAT_KY'!$L$7:$L$506,"&lt;=60"))</f>
        <v/>
      </c>
      <c r="N213" s="232">
        <f>IF($A213="","",IF(AND('01_DANH_MUC'!$H203&gt;0,'01_DANH_MUC'!$G203&lt;$E$4,$E$4-'01_DANH_MUC'!$G203&gt;=61,$E$4-'01_DANH_MUC'!$G203&lt;=90),'01_DANH_MUC'!$H203,0)+SUMIFS('02_NHAT_KY'!$K$7:$K$506,'02_NHAT_KY'!$C$7:$C$506,$A213,'02_NHAT_KY'!$L$7:$L$506,"&gt;=61",'02_NHAT_KY'!$L$7:$L$506,"&lt;=90"))</f>
        <v/>
      </c>
      <c r="O213" s="232">
        <f>IF($A213="","",IF(AND('01_DANH_MUC'!$H203&gt;0,'01_DANH_MUC'!$G203&lt;$E$4,$E$4-'01_DANH_MUC'!$G203&gt;90),'01_DANH_MUC'!$H203,0)+SUMIFS('02_NHAT_KY'!$K$7:$K$506,'02_NHAT_KY'!$C$7:$C$506,$A213,'02_NHAT_KY'!$L$7:$L$506,"&gt;90"))</f>
        <v/>
      </c>
      <c r="P213" s="201">
        <f>IF($A213="","",IF($H213&lt;0,"DƯ ÂM/TRẢ TRƯỚC",IF(ABS($H213-SUM($K213:$O213))&lt;1,"OK","LỆCH TUỔI NỢ")))</f>
        <v/>
      </c>
    </row>
    <row r="214">
      <c r="A214" s="201">
        <f>IF('01_DANH_MUC'!$A204="","",'01_DANH_MUC'!$A204)</f>
        <v/>
      </c>
      <c r="B214" s="198">
        <f>IF($A214="","",'01_DANH_MUC'!$B204)</f>
        <v/>
      </c>
      <c r="C214" s="201">
        <f>IF($A214="","",'01_DANH_MUC'!$C204)</f>
        <v/>
      </c>
      <c r="D214" s="231">
        <f>IF($A214="","",'01_DANH_MUC'!$D204)</f>
        <v/>
      </c>
      <c r="E214" s="232">
        <f>IF($A214="","",'01_DANH_MUC'!$F204+SUMIFS('02_NHAT_KY'!$G$7:$G$506,'02_NHAT_KY'!$C$7:$C$506,$A214,'02_NHAT_KY'!$A$7:$A$506,"&lt;"&amp;$B$4)-SUMIFS('02_NHAT_KY'!$H$7:$H$506,'02_NHAT_KY'!$C$7:$C$506,$A214,'02_NHAT_KY'!$A$7:$A$506,"&lt;"&amp;$B$4))</f>
        <v/>
      </c>
      <c r="F214" s="232">
        <f>IF($A214="","",SUMIFS('02_NHAT_KY'!$G$7:$G$506,'02_NHAT_KY'!$C$7:$C$506,$A214,'02_NHAT_KY'!$A$7:$A$506,"&gt;="&amp;$B$4,'02_NHAT_KY'!$A$7:$A$506,"&lt;="&amp;$E$4))</f>
        <v/>
      </c>
      <c r="G214" s="232">
        <f>IF($A214="","",SUMIFS('02_NHAT_KY'!$H$7:$H$506,'02_NHAT_KY'!$C$7:$C$506,$A214,'02_NHAT_KY'!$A$7:$A$506,"&gt;="&amp;$B$4,'02_NHAT_KY'!$A$7:$A$506,"&lt;="&amp;$E$4))</f>
        <v/>
      </c>
      <c r="H214" s="232">
        <f>IF($A214="","",$E214+$F214-$G214)</f>
        <v/>
      </c>
      <c r="I214" s="233">
        <f>IF($A214="","",IF($H214&lt;=0,0,MAX(IF(AND('01_DANH_MUC'!$H204&gt;0,'01_DANH_MUC'!$G204&lt;&gt;""),MAX(0,$E$4-'01_DANH_MUC'!$G204),0),IFERROR(MAXIFS('02_NHAT_KY'!$L$7:$L$506,'02_NHAT_KY'!$C$7:$C$506,$A214),0))))</f>
        <v/>
      </c>
      <c r="J214" s="201">
        <f>IF($A214="","",IF($H214&lt;=0,"Không có dư nợ",IF($I214&gt;0,"Quá hạn","Trong hạn")))</f>
        <v/>
      </c>
      <c r="K214" s="232">
        <f>IF($A214="","",IF(AND('01_DANH_MUC'!$H204&gt;0,OR('01_DANH_MUC'!$G204="",'01_DANH_MUC'!$G204&gt;=$E$4)),'01_DANH_MUC'!$H204,0)+SUMIFS('02_NHAT_KY'!$K$7:$K$506,'02_NHAT_KY'!$C$7:$C$506,$A214,'02_NHAT_KY'!$J$7:$J$506,"&gt;="&amp;$E$4)+SUMIFS('02_NHAT_KY'!$K$7:$K$506,'02_NHAT_KY'!$C$7:$C$506,$A214,'02_NHAT_KY'!$J$7:$J$506,""))</f>
        <v/>
      </c>
      <c r="L214" s="232">
        <f>IF($A214="","",IF(AND('01_DANH_MUC'!$H204&gt;0,'01_DANH_MUC'!$G204&lt;$E$4,$E$4-'01_DANH_MUC'!$G204&lt;=30),'01_DANH_MUC'!$H204,0)+SUMIFS('02_NHAT_KY'!$K$7:$K$506,'02_NHAT_KY'!$C$7:$C$506,$A214,'02_NHAT_KY'!$L$7:$L$506,"&gt;=1",'02_NHAT_KY'!$L$7:$L$506,"&lt;=30"))</f>
        <v/>
      </c>
      <c r="M214" s="232">
        <f>IF($A214="","",IF(AND('01_DANH_MUC'!$H204&gt;0,'01_DANH_MUC'!$G204&lt;$E$4,$E$4-'01_DANH_MUC'!$G204&gt;=31,$E$4-'01_DANH_MUC'!$G204&lt;=60),'01_DANH_MUC'!$H204,0)+SUMIFS('02_NHAT_KY'!$K$7:$K$506,'02_NHAT_KY'!$C$7:$C$506,$A214,'02_NHAT_KY'!$L$7:$L$506,"&gt;=31",'02_NHAT_KY'!$L$7:$L$506,"&lt;=60"))</f>
        <v/>
      </c>
      <c r="N214" s="232">
        <f>IF($A214="","",IF(AND('01_DANH_MUC'!$H204&gt;0,'01_DANH_MUC'!$G204&lt;$E$4,$E$4-'01_DANH_MUC'!$G204&gt;=61,$E$4-'01_DANH_MUC'!$G204&lt;=90),'01_DANH_MUC'!$H204,0)+SUMIFS('02_NHAT_KY'!$K$7:$K$506,'02_NHAT_KY'!$C$7:$C$506,$A214,'02_NHAT_KY'!$L$7:$L$506,"&gt;=61",'02_NHAT_KY'!$L$7:$L$506,"&lt;=90"))</f>
        <v/>
      </c>
      <c r="O214" s="232">
        <f>IF($A214="","",IF(AND('01_DANH_MUC'!$H204&gt;0,'01_DANH_MUC'!$G204&lt;$E$4,$E$4-'01_DANH_MUC'!$G204&gt;90),'01_DANH_MUC'!$H204,0)+SUMIFS('02_NHAT_KY'!$K$7:$K$506,'02_NHAT_KY'!$C$7:$C$506,$A214,'02_NHAT_KY'!$L$7:$L$506,"&gt;90"))</f>
        <v/>
      </c>
      <c r="P214" s="201">
        <f>IF($A214="","",IF($H214&lt;0,"DƯ ÂM/TRẢ TRƯỚC",IF(ABS($H214-SUM($K214:$O214))&lt;1,"OK","LỆCH TUỔI NỢ")))</f>
        <v/>
      </c>
    </row>
    <row r="215">
      <c r="A215" s="201">
        <f>IF('01_DANH_MUC'!$A205="","",'01_DANH_MUC'!$A205)</f>
        <v/>
      </c>
      <c r="B215" s="198">
        <f>IF($A215="","",'01_DANH_MUC'!$B205)</f>
        <v/>
      </c>
      <c r="C215" s="201">
        <f>IF($A215="","",'01_DANH_MUC'!$C205)</f>
        <v/>
      </c>
      <c r="D215" s="231">
        <f>IF($A215="","",'01_DANH_MUC'!$D205)</f>
        <v/>
      </c>
      <c r="E215" s="232">
        <f>IF($A215="","",'01_DANH_MUC'!$F205+SUMIFS('02_NHAT_KY'!$G$7:$G$506,'02_NHAT_KY'!$C$7:$C$506,$A215,'02_NHAT_KY'!$A$7:$A$506,"&lt;"&amp;$B$4)-SUMIFS('02_NHAT_KY'!$H$7:$H$506,'02_NHAT_KY'!$C$7:$C$506,$A215,'02_NHAT_KY'!$A$7:$A$506,"&lt;"&amp;$B$4))</f>
        <v/>
      </c>
      <c r="F215" s="232">
        <f>IF($A215="","",SUMIFS('02_NHAT_KY'!$G$7:$G$506,'02_NHAT_KY'!$C$7:$C$506,$A215,'02_NHAT_KY'!$A$7:$A$506,"&gt;="&amp;$B$4,'02_NHAT_KY'!$A$7:$A$506,"&lt;="&amp;$E$4))</f>
        <v/>
      </c>
      <c r="G215" s="232">
        <f>IF($A215="","",SUMIFS('02_NHAT_KY'!$H$7:$H$506,'02_NHAT_KY'!$C$7:$C$506,$A215,'02_NHAT_KY'!$A$7:$A$506,"&gt;="&amp;$B$4,'02_NHAT_KY'!$A$7:$A$506,"&lt;="&amp;$E$4))</f>
        <v/>
      </c>
      <c r="H215" s="232">
        <f>IF($A215="","",$E215+$F215-$G215)</f>
        <v/>
      </c>
      <c r="I215" s="233">
        <f>IF($A215="","",IF($H215&lt;=0,0,MAX(IF(AND('01_DANH_MUC'!$H205&gt;0,'01_DANH_MUC'!$G205&lt;&gt;""),MAX(0,$E$4-'01_DANH_MUC'!$G205),0),IFERROR(MAXIFS('02_NHAT_KY'!$L$7:$L$506,'02_NHAT_KY'!$C$7:$C$506,$A215),0))))</f>
        <v/>
      </c>
      <c r="J215" s="201">
        <f>IF($A215="","",IF($H215&lt;=0,"Không có dư nợ",IF($I215&gt;0,"Quá hạn","Trong hạn")))</f>
        <v/>
      </c>
      <c r="K215" s="232">
        <f>IF($A215="","",IF(AND('01_DANH_MUC'!$H205&gt;0,OR('01_DANH_MUC'!$G205="",'01_DANH_MUC'!$G205&gt;=$E$4)),'01_DANH_MUC'!$H205,0)+SUMIFS('02_NHAT_KY'!$K$7:$K$506,'02_NHAT_KY'!$C$7:$C$506,$A215,'02_NHAT_KY'!$J$7:$J$506,"&gt;="&amp;$E$4)+SUMIFS('02_NHAT_KY'!$K$7:$K$506,'02_NHAT_KY'!$C$7:$C$506,$A215,'02_NHAT_KY'!$J$7:$J$506,""))</f>
        <v/>
      </c>
      <c r="L215" s="232">
        <f>IF($A215="","",IF(AND('01_DANH_MUC'!$H205&gt;0,'01_DANH_MUC'!$G205&lt;$E$4,$E$4-'01_DANH_MUC'!$G205&lt;=30),'01_DANH_MUC'!$H205,0)+SUMIFS('02_NHAT_KY'!$K$7:$K$506,'02_NHAT_KY'!$C$7:$C$506,$A215,'02_NHAT_KY'!$L$7:$L$506,"&gt;=1",'02_NHAT_KY'!$L$7:$L$506,"&lt;=30"))</f>
        <v/>
      </c>
      <c r="M215" s="232">
        <f>IF($A215="","",IF(AND('01_DANH_MUC'!$H205&gt;0,'01_DANH_MUC'!$G205&lt;$E$4,$E$4-'01_DANH_MUC'!$G205&gt;=31,$E$4-'01_DANH_MUC'!$G205&lt;=60),'01_DANH_MUC'!$H205,0)+SUMIFS('02_NHAT_KY'!$K$7:$K$506,'02_NHAT_KY'!$C$7:$C$506,$A215,'02_NHAT_KY'!$L$7:$L$506,"&gt;=31",'02_NHAT_KY'!$L$7:$L$506,"&lt;=60"))</f>
        <v/>
      </c>
      <c r="N215" s="232">
        <f>IF($A215="","",IF(AND('01_DANH_MUC'!$H205&gt;0,'01_DANH_MUC'!$G205&lt;$E$4,$E$4-'01_DANH_MUC'!$G205&gt;=61,$E$4-'01_DANH_MUC'!$G205&lt;=90),'01_DANH_MUC'!$H205,0)+SUMIFS('02_NHAT_KY'!$K$7:$K$506,'02_NHAT_KY'!$C$7:$C$506,$A215,'02_NHAT_KY'!$L$7:$L$506,"&gt;=61",'02_NHAT_KY'!$L$7:$L$506,"&lt;=90"))</f>
        <v/>
      </c>
      <c r="O215" s="232">
        <f>IF($A215="","",IF(AND('01_DANH_MUC'!$H205&gt;0,'01_DANH_MUC'!$G205&lt;$E$4,$E$4-'01_DANH_MUC'!$G205&gt;90),'01_DANH_MUC'!$H205,0)+SUMIFS('02_NHAT_KY'!$K$7:$K$506,'02_NHAT_KY'!$C$7:$C$506,$A215,'02_NHAT_KY'!$L$7:$L$506,"&gt;90"))</f>
        <v/>
      </c>
      <c r="P215" s="201">
        <f>IF($A215="","",IF($H215&lt;0,"DƯ ÂM/TRẢ TRƯỚC",IF(ABS($H215-SUM($K215:$O215))&lt;1,"OK","LỆCH TUỔI NỢ")))</f>
        <v/>
      </c>
    </row>
    <row r="216">
      <c r="A216" s="201">
        <f>IF('01_DANH_MUC'!$A206="","",'01_DANH_MUC'!$A206)</f>
        <v/>
      </c>
      <c r="B216" s="198">
        <f>IF($A216="","",'01_DANH_MUC'!$B206)</f>
        <v/>
      </c>
      <c r="C216" s="201">
        <f>IF($A216="","",'01_DANH_MUC'!$C206)</f>
        <v/>
      </c>
      <c r="D216" s="231">
        <f>IF($A216="","",'01_DANH_MUC'!$D206)</f>
        <v/>
      </c>
      <c r="E216" s="232">
        <f>IF($A216="","",'01_DANH_MUC'!$F206+SUMIFS('02_NHAT_KY'!$G$7:$G$506,'02_NHAT_KY'!$C$7:$C$506,$A216,'02_NHAT_KY'!$A$7:$A$506,"&lt;"&amp;$B$4)-SUMIFS('02_NHAT_KY'!$H$7:$H$506,'02_NHAT_KY'!$C$7:$C$506,$A216,'02_NHAT_KY'!$A$7:$A$506,"&lt;"&amp;$B$4))</f>
        <v/>
      </c>
      <c r="F216" s="232">
        <f>IF($A216="","",SUMIFS('02_NHAT_KY'!$G$7:$G$506,'02_NHAT_KY'!$C$7:$C$506,$A216,'02_NHAT_KY'!$A$7:$A$506,"&gt;="&amp;$B$4,'02_NHAT_KY'!$A$7:$A$506,"&lt;="&amp;$E$4))</f>
        <v/>
      </c>
      <c r="G216" s="232">
        <f>IF($A216="","",SUMIFS('02_NHAT_KY'!$H$7:$H$506,'02_NHAT_KY'!$C$7:$C$506,$A216,'02_NHAT_KY'!$A$7:$A$506,"&gt;="&amp;$B$4,'02_NHAT_KY'!$A$7:$A$506,"&lt;="&amp;$E$4))</f>
        <v/>
      </c>
      <c r="H216" s="232">
        <f>IF($A216="","",$E216+$F216-$G216)</f>
        <v/>
      </c>
      <c r="I216" s="233">
        <f>IF($A216="","",IF($H216&lt;=0,0,MAX(IF(AND('01_DANH_MUC'!$H206&gt;0,'01_DANH_MUC'!$G206&lt;&gt;""),MAX(0,$E$4-'01_DANH_MUC'!$G206),0),IFERROR(MAXIFS('02_NHAT_KY'!$L$7:$L$506,'02_NHAT_KY'!$C$7:$C$506,$A216),0))))</f>
        <v/>
      </c>
      <c r="J216" s="201">
        <f>IF($A216="","",IF($H216&lt;=0,"Không có dư nợ",IF($I216&gt;0,"Quá hạn","Trong hạn")))</f>
        <v/>
      </c>
      <c r="K216" s="232">
        <f>IF($A216="","",IF(AND('01_DANH_MUC'!$H206&gt;0,OR('01_DANH_MUC'!$G206="",'01_DANH_MUC'!$G206&gt;=$E$4)),'01_DANH_MUC'!$H206,0)+SUMIFS('02_NHAT_KY'!$K$7:$K$506,'02_NHAT_KY'!$C$7:$C$506,$A216,'02_NHAT_KY'!$J$7:$J$506,"&gt;="&amp;$E$4)+SUMIFS('02_NHAT_KY'!$K$7:$K$506,'02_NHAT_KY'!$C$7:$C$506,$A216,'02_NHAT_KY'!$J$7:$J$506,""))</f>
        <v/>
      </c>
      <c r="L216" s="232">
        <f>IF($A216="","",IF(AND('01_DANH_MUC'!$H206&gt;0,'01_DANH_MUC'!$G206&lt;$E$4,$E$4-'01_DANH_MUC'!$G206&lt;=30),'01_DANH_MUC'!$H206,0)+SUMIFS('02_NHAT_KY'!$K$7:$K$506,'02_NHAT_KY'!$C$7:$C$506,$A216,'02_NHAT_KY'!$L$7:$L$506,"&gt;=1",'02_NHAT_KY'!$L$7:$L$506,"&lt;=30"))</f>
        <v/>
      </c>
      <c r="M216" s="232">
        <f>IF($A216="","",IF(AND('01_DANH_MUC'!$H206&gt;0,'01_DANH_MUC'!$G206&lt;$E$4,$E$4-'01_DANH_MUC'!$G206&gt;=31,$E$4-'01_DANH_MUC'!$G206&lt;=60),'01_DANH_MUC'!$H206,0)+SUMIFS('02_NHAT_KY'!$K$7:$K$506,'02_NHAT_KY'!$C$7:$C$506,$A216,'02_NHAT_KY'!$L$7:$L$506,"&gt;=31",'02_NHAT_KY'!$L$7:$L$506,"&lt;=60"))</f>
        <v/>
      </c>
      <c r="N216" s="232">
        <f>IF($A216="","",IF(AND('01_DANH_MUC'!$H206&gt;0,'01_DANH_MUC'!$G206&lt;$E$4,$E$4-'01_DANH_MUC'!$G206&gt;=61,$E$4-'01_DANH_MUC'!$G206&lt;=90),'01_DANH_MUC'!$H206,0)+SUMIFS('02_NHAT_KY'!$K$7:$K$506,'02_NHAT_KY'!$C$7:$C$506,$A216,'02_NHAT_KY'!$L$7:$L$506,"&gt;=61",'02_NHAT_KY'!$L$7:$L$506,"&lt;=90"))</f>
        <v/>
      </c>
      <c r="O216" s="232">
        <f>IF($A216="","",IF(AND('01_DANH_MUC'!$H206&gt;0,'01_DANH_MUC'!$G206&lt;$E$4,$E$4-'01_DANH_MUC'!$G206&gt;90),'01_DANH_MUC'!$H206,0)+SUMIFS('02_NHAT_KY'!$K$7:$K$506,'02_NHAT_KY'!$C$7:$C$506,$A216,'02_NHAT_KY'!$L$7:$L$506,"&gt;90"))</f>
        <v/>
      </c>
      <c r="P216" s="201">
        <f>IF($A216="","",IF($H216&lt;0,"DƯ ÂM/TRẢ TRƯỚC",IF(ABS($H216-SUM($K216:$O216))&lt;1,"OK","LỆCH TUỔI NỢ")))</f>
        <v/>
      </c>
    </row>
  </sheetData>
  <mergeCells count="12">
    <mergeCell ref="D12:F13"/>
    <mergeCell ref="D11:F11"/>
    <mergeCell ref="A11:C11"/>
    <mergeCell ref="A1:P1"/>
    <mergeCell ref="A8:C9"/>
    <mergeCell ref="D7:F7"/>
    <mergeCell ref="A7:C7"/>
    <mergeCell ref="A15:P15"/>
    <mergeCell ref="A12:C13"/>
    <mergeCell ref="D8:F9"/>
    <mergeCell ref="A5:G5"/>
    <mergeCell ref="A2:P2"/>
  </mergeCells>
  <conditionalFormatting sqref="O17:O216">
    <cfRule type="cellIs" priority="1" operator="greaterThan" dxfId="11">
      <formula>0</formula>
    </cfRule>
  </conditionalFormatting>
  <conditionalFormatting sqref="A17:P216">
    <cfRule type="expression" priority="2" dxfId="12">
      <formula>AND($A17&lt;&gt;"",$D17&gt;0,$H17&gt;$D17)</formula>
    </cfRule>
  </conditionalFormatting>
  <conditionalFormatting sqref="J17:J216">
    <cfRule type="containsText" priority="3" operator="containsText" dxfId="0" text="Quá hạn"/>
  </conditionalFormatting>
  <conditionalFormatting sqref="P17:P216">
    <cfRule type="containsText" priority="4" operator="containsText" dxfId="1" text="OK"/>
    <cfRule type="containsText" priority="5" operator="containsText" dxfId="0" text="LỆCH"/>
    <cfRule type="containsText" priority="6" operator="containsText" dxfId="0" text="DƯ ÂM"/>
  </conditionalFormatting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2026-10-25T09:13:45Z</dcterms:created>
  <dcterms:modified xmlns:dcterms="http://purl.org/dc/terms/" xmlns:xsi="http://www.w3.org/2001/XMLSchema-instance" xsi:type="dcterms:W3CDTF">2026-10-25T09:13:45Z</dcterms:modified>
</cp:coreProperties>
</file>