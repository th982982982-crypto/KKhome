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20" windowWidth="51200" windowHeight="26580" tabRatio="600" firstSheet="0" activeTab="10" autoFilterDateGrouping="1"/>
  </bookViews>
  <sheets>
    <sheet xmlns:r="http://schemas.openxmlformats.org/officeDocument/2006/relationships" name="HUONG_DAN" sheetId="1" state="visible" r:id="rId1"/>
    <sheet xmlns:r="http://schemas.openxmlformats.org/officeDocument/2006/relationships" name="THONG_TIN_DN" sheetId="2" state="visible" r:id="rId2"/>
    <sheet xmlns:r="http://schemas.openxmlformats.org/officeDocument/2006/relationships" name="DATA_F01" sheetId="3" state="visible" r:id="rId3"/>
    <sheet xmlns:r="http://schemas.openxmlformats.org/officeDocument/2006/relationships" name="MAPPING" sheetId="4" state="visible" r:id="rId4"/>
    <sheet xmlns:r="http://schemas.openxmlformats.org/officeDocument/2006/relationships" name="ADJUSTMENT" sheetId="5" state="visible" r:id="rId5"/>
    <sheet xmlns:r="http://schemas.openxmlformats.org/officeDocument/2006/relationships" name="B01A_DNN" sheetId="6" state="visible" r:id="rId6"/>
    <sheet xmlns:r="http://schemas.openxmlformats.org/officeDocument/2006/relationships" name="B02_DNN" sheetId="7" state="visible" r:id="rId7"/>
    <sheet xmlns:r="http://schemas.openxmlformats.org/officeDocument/2006/relationships" name="B09_DNN" sheetId="8" state="visible" r:id="rId8"/>
    <sheet xmlns:r="http://schemas.openxmlformats.org/officeDocument/2006/relationships" name="F01_DNN" sheetId="9" state="visible" r:id="rId9"/>
    <sheet xmlns:r="http://schemas.openxmlformats.org/officeDocument/2006/relationships" name="KIEM_TRA_BCTC" sheetId="10" state="visible" r:id="rId10"/>
    <sheet xmlns:r="http://schemas.openxmlformats.org/officeDocument/2006/relationships" name="DOI_CHIEU_THUE" sheetId="11" state="visible" r:id="rId11"/>
  </sheets>
  <definedNames>
    <definedName name="_xlnm._FilterDatabase" localSheetId="2" hidden="1">'DATA_F01'!$A$3:$I$108</definedName>
    <definedName name="_xlnm.Print_Titles" localSheetId="2">'DATA_F01'!$1:$3</definedName>
    <definedName name="_xlnm._FilterDatabase" localSheetId="3" hidden="1">'MAPPING'!$A$3:$E$68</definedName>
    <definedName name="_xlnm.Print_Titles" localSheetId="3">'MAPPING'!$1:$3</definedName>
    <definedName name="_xlnm._FilterDatabase" localSheetId="4" hidden="1">'ADJUSTMENT'!$A$3:$H$4</definedName>
    <definedName name="_xlnm.Print_Titles" localSheetId="4">'ADJUSTMENT'!$1:$3</definedName>
    <definedName name="_xlnm.Print_Titles" localSheetId="5">'B01A_DNN'!$1:$7</definedName>
    <definedName name="_xlnm.Print_Titles" localSheetId="6">'B02_DNN'!$1:$7</definedName>
    <definedName name="_xlnm._FilterDatabase" localSheetId="8" hidden="1">'F01_DNN'!$A$8:$H$53</definedName>
    <definedName name="_xlnm.Print_Titles" localSheetId="8">'F01_DNN'!$1:$8</definedName>
    <definedName name="_xlnm._FilterDatabase" localSheetId="9" hidden="1">'KIEM_TRA_BCTC'!$A$5:$D$28</definedName>
    <definedName name="_xlnm.Print_Titles" localSheetId="9">'KIEM_TRA_BCTC'!$1:$5</definedName>
    <definedName name="_xlnm._FilterDatabase" localSheetId="10" hidden="1">'DOI_CHIEU_THUE'!$A$3:$E$24</definedName>
    <definedName name="_xlnm.Print_Titles" localSheetId="10">'DOI_CHIEU_THUE'!$1:$3</definedName>
  </definedNames>
  <calcPr calcId="191029" fullCalcOnLoad="1"/>
</workbook>
</file>

<file path=xl/styles.xml><?xml version="1.0" encoding="utf-8"?>
<styleSheet xmlns="http://schemas.openxmlformats.org/spreadsheetml/2006/main">
  <numFmts count="2">
    <numFmt numFmtId="164" formatCode="#,##0;\(#,##0\)"/>
    <numFmt numFmtId="165" formatCode="0.00&quot;%&quot;"/>
  </numFmts>
  <fonts count="20">
    <font>
      <name val="Calibri"/>
      <family val="2"/>
      <color theme="1"/>
      <sz val="11"/>
      <scheme val="minor"/>
    </font>
    <font>
      <name val="Calibri"/>
      <b val="1"/>
      <color rgb="FFFFFFFF"/>
      <sz val="13"/>
    </font>
    <font>
      <name val="Calibri"/>
      <b val="1"/>
      <color rgb="FF0F4C81"/>
      <sz val="11"/>
    </font>
    <font>
      <name val="Calibri"/>
      <b val="1"/>
      <color rgb="FF0F4C81"/>
      <sz val="11"/>
    </font>
    <font>
      <name val="Calibri"/>
      <b val="1"/>
      <sz val="11"/>
    </font>
    <font>
      <name val="Calibri"/>
      <i val="1"/>
      <color rgb="FF65788C"/>
      <sz val="9.5"/>
    </font>
    <font>
      <name val="Calibri"/>
      <b val="1"/>
      <sz val="10"/>
    </font>
    <font>
      <name val="Calibri"/>
      <i val="1"/>
      <color rgb="FFAAB6C2"/>
      <sz val="8"/>
    </font>
    <font>
      <name val="Calibri"/>
      <b val="1"/>
      <color rgb="FFFFFFFF"/>
      <sz val="11"/>
    </font>
    <font>
      <name val="Calibri"/>
      <b val="1"/>
      <color rgb="FFC2691A"/>
      <sz val="11"/>
    </font>
    <font>
      <name val="Calibri"/>
      <b val="1"/>
      <sz val="11"/>
    </font>
    <font>
      <name val="Calibri"/>
      <color rgb="FF65788C"/>
      <sz val="9.5"/>
    </font>
    <font>
      <name val="Calibri"/>
      <i val="1"/>
      <sz val="9.5"/>
    </font>
    <font>
      <name val="Calibri"/>
      <b val="1"/>
      <color rgb="FFFFFFFF"/>
      <sz val="11"/>
    </font>
    <font>
      <name val="Calibri"/>
      <i val="1"/>
      <color rgb="FF65788C"/>
      <sz val="9"/>
    </font>
    <font>
      <name val="Calibri"/>
      <i val="1"/>
      <sz val="10"/>
    </font>
    <font>
      <name val="Calibri"/>
      <i val="1"/>
      <sz val="9"/>
    </font>
    <font>
      <name val="Calibri"/>
      <b val="1"/>
      <sz val="9"/>
    </font>
    <font>
      <name val="Calibri"/>
      <i val="1"/>
      <color rgb="FFC2691A"/>
      <sz val="9"/>
    </font>
    <font>
      <name val="Calibri"/>
      <b val="1"/>
      <color rgb="FF067647"/>
      <sz val="11"/>
    </font>
  </fonts>
  <fills count="7">
    <fill>
      <patternFill/>
    </fill>
    <fill>
      <patternFill patternType="gray125"/>
    </fill>
    <fill>
      <patternFill patternType="solid">
        <fgColor rgb="FF0F4C81"/>
      </patternFill>
    </fill>
    <fill>
      <patternFill patternType="solid">
        <fgColor rgb="FFEEF3F8"/>
      </patternFill>
    </fill>
    <fill>
      <patternFill patternType="solid">
        <fgColor rgb="FFFFF8E7"/>
      </patternFill>
    </fill>
    <fill>
      <patternFill patternType="solid">
        <fgColor rgb="FFF3F7FB"/>
      </patternFill>
    </fill>
    <fill>
      <patternFill patternType="solid">
        <fgColor rgb="FFE8A33D"/>
      </patternFill>
    </fill>
  </fills>
  <borders count="9">
    <border>
      <left/>
      <right/>
      <top/>
      <bottom/>
      <diagonal/>
    </border>
    <border>
      <left style="thin">
        <color rgb="FFC9D8E6"/>
      </left>
      <right style="thin">
        <color rgb="FFC9D8E6"/>
      </right>
      <top style="thin">
        <color rgb="FFC9D8E6"/>
      </top>
      <bottom style="thin">
        <color rgb="FFC9D8E6"/>
      </bottom>
      <diagonal/>
    </border>
    <border>
      <left/>
      <right/>
      <top style="thin">
        <color rgb="FFC9D8E6"/>
      </top>
      <bottom/>
      <diagonal/>
    </border>
    <border>
      <left/>
      <right style="thin">
        <color rgb="FFC9D8E6"/>
      </right>
      <top style="thin">
        <color rgb="FFC9D8E6"/>
      </top>
      <bottom/>
      <diagonal/>
    </border>
    <border>
      <left/>
      <right/>
      <top style="thin">
        <color rgb="FFC9D8E6"/>
      </top>
      <bottom style="thin">
        <color rgb="FFC9D8E6"/>
      </bottom>
      <diagonal/>
    </border>
    <border>
      <left/>
      <right style="thin">
        <color rgb="FFC9D8E6"/>
      </right>
      <top style="thin">
        <color rgb="FFC9D8E6"/>
      </top>
      <bottom style="thin">
        <color rgb="FFC9D8E6"/>
      </bottom>
      <diagonal/>
    </border>
    <border>
      <left style="thin">
        <color rgb="FFC9D8E6"/>
      </left>
      <right/>
      <top/>
      <bottom/>
      <diagonal/>
    </border>
    <border>
      <left style="thin">
        <color rgb="FFC9D8E6"/>
      </left>
      <right style="thin">
        <color rgb="FFC9D8E6"/>
      </right>
      <top/>
      <bottom/>
      <diagonal/>
    </border>
    <border>
      <left style="thin">
        <color rgb="FFC9D8E6"/>
      </left>
      <right style="thin">
        <color rgb="FFC9D8E6"/>
      </right>
      <top/>
      <bottom style="thin">
        <color rgb="FFC9D8E6"/>
      </bottom>
      <diagonal/>
    </border>
  </borders>
  <cellStyleXfs count="1">
    <xf numFmtId="0" fontId="0" fillId="0" borderId="0"/>
  </cellStyleXfs>
  <cellXfs count="61">
    <xf numFmtId="0" fontId="0" fillId="0" borderId="0" pivotButton="0" quotePrefix="0" xfId="0"/>
    <xf numFmtId="0" fontId="2"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3" borderId="1" pivotButton="0" quotePrefix="0" xfId="0"/>
    <xf numFmtId="0" fontId="0" fillId="4" borderId="1" applyAlignment="1" applyProtection="1" pivotButton="0" quotePrefix="0" xfId="0">
      <alignment wrapText="1"/>
      <protection locked="0" hidden="0"/>
    </xf>
    <xf numFmtId="0" fontId="0" fillId="0" borderId="1" applyAlignment="1" pivotButton="0" quotePrefix="0" xfId="0">
      <alignment wrapText="1"/>
    </xf>
    <xf numFmtId="0" fontId="6" fillId="3" borderId="1" applyAlignment="1" pivotButton="0" quotePrefix="0" xfId="0">
      <alignment horizontal="center" vertical="center" wrapText="1"/>
    </xf>
    <xf numFmtId="0" fontId="0" fillId="4" borderId="1" applyProtection="1" pivotButton="0" quotePrefix="0" xfId="0">
      <protection locked="0" hidden="0"/>
    </xf>
    <xf numFmtId="164" fontId="0" fillId="4" borderId="1" applyProtection="1" pivotButton="0" quotePrefix="0" xfId="0">
      <protection locked="0" hidden="0"/>
    </xf>
    <xf numFmtId="0" fontId="4" fillId="5" borderId="1" applyAlignment="1" pivotButton="0" quotePrefix="0" xfId="0">
      <alignment horizontal="center"/>
    </xf>
    <xf numFmtId="0" fontId="4" fillId="0" borderId="1" pivotButton="0" quotePrefix="0" xfId="0"/>
    <xf numFmtId="164" fontId="4" fillId="5" borderId="1" pivotButton="0" quotePrefix="0" xfId="0"/>
    <xf numFmtId="0" fontId="0" fillId="0" borderId="1" applyAlignment="1" pivotButton="0" quotePrefix="0" xfId="0">
      <alignment vertical="top" wrapText="1"/>
    </xf>
    <xf numFmtId="0" fontId="4" fillId="0" borderId="1" applyAlignment="1" pivotButton="0" quotePrefix="0" xfId="0">
      <alignment vertical="top" wrapText="1"/>
    </xf>
    <xf numFmtId="164" fontId="0" fillId="0" borderId="1" applyAlignment="1" pivotButton="0" quotePrefix="0" xfId="0">
      <alignment vertical="top" wrapText="1"/>
    </xf>
    <xf numFmtId="0" fontId="9" fillId="0" borderId="1" applyAlignment="1" pivotButton="0" quotePrefix="0" xfId="0">
      <alignment vertical="top" wrapText="1"/>
    </xf>
    <xf numFmtId="0" fontId="4" fillId="0" borderId="1" applyAlignment="1" pivotButton="0" quotePrefix="0" xfId="0">
      <alignment wrapText="1"/>
    </xf>
    <xf numFmtId="0" fontId="0" fillId="0" borderId="1" applyAlignment="1" pivotButton="0" quotePrefix="0" xfId="0">
      <alignment horizontal="center"/>
    </xf>
    <xf numFmtId="0" fontId="0" fillId="0" borderId="1" pivotButton="0" quotePrefix="0" xfId="0"/>
    <xf numFmtId="0" fontId="0" fillId="0" borderId="1" applyAlignment="1" pivotButton="0" quotePrefix="0" xfId="0">
      <alignment wrapText="1" indent="2"/>
    </xf>
    <xf numFmtId="0" fontId="10" fillId="3" borderId="1" applyAlignment="1" pivotButton="0" quotePrefix="0" xfId="0">
      <alignment wrapText="1"/>
    </xf>
    <xf numFmtId="0" fontId="10" fillId="3" borderId="1" applyAlignment="1" pivotButton="0" quotePrefix="0" xfId="0">
      <alignment horizontal="center"/>
    </xf>
    <xf numFmtId="0" fontId="10" fillId="3" borderId="1" pivotButton="0" quotePrefix="0" xfId="0"/>
    <xf numFmtId="164" fontId="10" fillId="5" borderId="1" pivotButton="0" quotePrefix="0" xfId="0"/>
    <xf numFmtId="0" fontId="15" fillId="0" borderId="0" pivotButton="0" quotePrefix="0" xfId="0"/>
    <xf numFmtId="0" fontId="6" fillId="0" borderId="0" applyAlignment="1" pivotButton="0" quotePrefix="0" xfId="0">
      <alignment horizontal="center"/>
    </xf>
    <xf numFmtId="0" fontId="16" fillId="0" borderId="0" applyAlignment="1" pivotButton="0" quotePrefix="0" xfId="0">
      <alignment horizontal="center"/>
    </xf>
    <xf numFmtId="0" fontId="0" fillId="0" borderId="0" applyAlignment="1" pivotButton="0" quotePrefix="0" xfId="0">
      <alignment horizontal="center"/>
    </xf>
    <xf numFmtId="164" fontId="0" fillId="4" borderId="0" applyProtection="1" pivotButton="0" quotePrefix="0" xfId="0">
      <protection locked="0" hidden="0"/>
    </xf>
    <xf numFmtId="0" fontId="17" fillId="3" borderId="1" pivotButton="0" quotePrefix="0" xfId="0"/>
    <xf numFmtId="164" fontId="0" fillId="0" borderId="1" pivotButton="0" quotePrefix="0" xfId="0"/>
    <xf numFmtId="0" fontId="2" fillId="0" borderId="0" applyAlignment="1" pivotButton="0" quotePrefix="0" xfId="0">
      <alignment horizontal="center"/>
    </xf>
    <xf numFmtId="0" fontId="3" fillId="3" borderId="1" pivotButton="0" quotePrefix="0" xfId="0"/>
    <xf numFmtId="0" fontId="19" fillId="0" borderId="1" applyAlignment="1" pivotButton="0" quotePrefix="0" xfId="0">
      <alignment vertical="top" wrapText="1"/>
    </xf>
    <xf numFmtId="0" fontId="0" fillId="0" borderId="0" applyAlignment="1" pivotButton="0" quotePrefix="0" xfId="0">
      <alignment wrapText="1"/>
    </xf>
    <xf numFmtId="0" fontId="14" fillId="0" borderId="1" applyAlignment="1" pivotButton="0" quotePrefix="0" xfId="0">
      <alignment wrapText="1"/>
    </xf>
    <xf numFmtId="165" fontId="0" fillId="4" borderId="1" applyProtection="1" pivotButton="0" quotePrefix="0" xfId="0">
      <protection locked="0" hidden="0"/>
    </xf>
    <xf numFmtId="0" fontId="1" fillId="2" borderId="0" applyAlignment="1" pivotButton="0" quotePrefix="0" xfId="0">
      <alignment horizontal="center" vertical="center"/>
    </xf>
    <xf numFmtId="0" fontId="5" fillId="0" borderId="0" applyAlignment="1" pivotButton="0" quotePrefix="0" xfId="0">
      <alignment horizontal="center"/>
    </xf>
    <xf numFmtId="0" fontId="7" fillId="0" borderId="0" pivotButton="0" quotePrefix="0" xfId="0"/>
    <xf numFmtId="0" fontId="8" fillId="6" borderId="0" pivotButton="0" quotePrefix="0" xfId="0"/>
    <xf numFmtId="0" fontId="10" fillId="0" borderId="0" pivotButton="0" quotePrefix="0" xfId="0"/>
    <xf numFmtId="0" fontId="11" fillId="0" borderId="0" pivotButton="0" quotePrefix="0" xfId="0"/>
    <xf numFmtId="0" fontId="12" fillId="0" borderId="0" applyAlignment="1" pivotButton="0" quotePrefix="0" xfId="0">
      <alignment horizontal="right"/>
    </xf>
    <xf numFmtId="0" fontId="13" fillId="2" borderId="1" pivotButton="0" quotePrefix="0" xfId="0"/>
    <xf numFmtId="0" fontId="2" fillId="0" borderId="0" pivotButton="0" quotePrefix="0" xfId="0"/>
    <xf numFmtId="0" fontId="14" fillId="0" borderId="0" applyAlignment="1" pivotButton="0" quotePrefix="0" xfId="0">
      <alignment vertical="top" wrapText="1"/>
    </xf>
    <xf numFmtId="0" fontId="13" fillId="2" borderId="0" pivotButton="0" quotePrefix="0" xfId="0"/>
    <xf numFmtId="0" fontId="0" fillId="4" borderId="1" applyAlignment="1" applyProtection="1" pivotButton="0" quotePrefix="0" xfId="0">
      <alignment vertical="top" wrapText="1"/>
      <protection locked="0" hidden="0"/>
    </xf>
    <xf numFmtId="0" fontId="4" fillId="5" borderId="1" applyAlignment="1" pivotButton="0" quotePrefix="0" xfId="0">
      <alignment vertical="top" wrapText="1"/>
    </xf>
    <xf numFmtId="0" fontId="0" fillId="4" borderId="1" applyAlignment="1" applyProtection="1" pivotButton="0" quotePrefix="0" xfId="0">
      <alignment wrapText="1"/>
      <protection locked="0" hidden="0"/>
    </xf>
    <xf numFmtId="0" fontId="18" fillId="0" borderId="0" applyAlignment="1" pivotButton="0" quotePrefix="0" xfId="0">
      <alignment wrapText="1"/>
    </xf>
    <xf numFmtId="0" fontId="6" fillId="3" borderId="1" applyAlignment="1" pivotButton="0" quotePrefix="0" xfId="0">
      <alignment horizontal="center" vertical="center" wrapText="1"/>
    </xf>
    <xf numFmtId="0" fontId="4" fillId="0" borderId="1" pivotButton="0" quotePrefix="0" xfId="0"/>
    <xf numFmtId="0" fontId="0" fillId="0" borderId="1" pivotButton="0" quotePrefix="0" xfId="0"/>
    <xf numFmtId="0" fontId="0" fillId="0" borderId="4" pivotButton="0" quotePrefix="0" xfId="0"/>
    <xf numFmtId="0" fontId="0" fillId="0" borderId="5" pivotButton="0" quotePrefix="0" xfId="0"/>
    <xf numFmtId="0" fontId="0" fillId="0" borderId="4" applyProtection="1" pivotButton="0" quotePrefix="0" xfId="0">
      <protection locked="0" hidden="0"/>
    </xf>
    <xf numFmtId="0" fontId="0" fillId="0" borderId="5" applyProtection="1" pivotButton="0" quotePrefix="0" xfId="0">
      <protection locked="0" hidden="0"/>
    </xf>
    <xf numFmtId="0" fontId="0" fillId="0" borderId="8"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fitToPage="1"/>
  </sheetPr>
  <dimension ref="A1:B39"/>
  <sheetViews>
    <sheetView showGridLines="0" workbookViewId="0">
      <selection activeCell="E29" sqref="E29"/>
    </sheetView>
  </sheetViews>
  <sheetFormatPr baseColWidth="10" defaultColWidth="8.83203125" defaultRowHeight="15"/>
  <cols>
    <col width="4" customWidth="1" min="1" max="1"/>
    <col width="100" customWidth="1" min="2" max="2"/>
  </cols>
  <sheetData>
    <row r="1" ht="22" customHeight="1">
      <c r="A1" s="38" t="inlineStr">
        <is>
          <t>HƯỚNG DẪN SỬ DỤNG BỘ FILE BÁO CÁO TÀI CHÍNH THEO THÔNG TƯ 133/2016/TT-BTC</t>
        </is>
      </c>
    </row>
    <row r="2"/>
    <row r="3" ht="16" customHeight="1">
      <c r="A3" s="46" t="inlineStr">
        <is>
          <t>A</t>
        </is>
      </c>
      <c r="B3" s="2" t="inlineStr">
        <is>
          <t>CÁC SHEET TRONG FILE</t>
        </is>
      </c>
    </row>
    <row r="4" ht="16" customHeight="1">
      <c r="A4" t="inlineStr"/>
      <c r="B4" s="3" t="inlineStr">
        <is>
          <t>1. HUONG_DAN — Trang này.</t>
        </is>
      </c>
    </row>
    <row r="5" ht="16" customHeight="1">
      <c r="A5" t="inlineStr"/>
      <c r="B5" s="3" t="inlineStr">
        <is>
          <t>2. THONG_TIN_DN — Thông tin đơn vị, kỳ kế toán, chế độ kế toán áp dụng, tùy chọn trình bày.</t>
        </is>
      </c>
    </row>
    <row r="6" ht="16" customHeight="1">
      <c r="A6" t="inlineStr"/>
      <c r="B6" s="3" t="inlineStr">
        <is>
          <t>3. DATA_F01 — Bảng cân đối tài khoản gốc (dữ liệu nguồn duy nhất). Ô nền vàng là ô NHẬP LIỆU.</t>
        </is>
      </c>
    </row>
    <row r="7" ht="16" customHeight="1">
      <c r="A7" t="inlineStr"/>
      <c r="B7" s="3" t="inlineStr">
        <is>
          <t>4. MAPPING — Bảng ánh xạ tài khoản → chỉ tiêu BCTC, có ghi rõ nguồn số liệu và căn cứ.</t>
        </is>
      </c>
    </row>
    <row r="8" ht="16" customHeight="1">
      <c r="A8" t="inlineStr"/>
      <c r="B8" s="3" t="inlineStr">
        <is>
          <t>5. ADJUSTMENT — Nhật ký điều chỉnh phân loại (audit trail: chỉ tiêu, số tiền, lý do, người nhập, thời điểm).</t>
        </is>
      </c>
    </row>
    <row r="9" ht="16" customHeight="1">
      <c r="A9" t="inlineStr"/>
      <c r="B9" s="3" t="inlineStr">
        <is>
          <t>6. B01A_DNN / B01B_DNN — Báo cáo tình hình tài chính.</t>
        </is>
      </c>
    </row>
    <row r="10" ht="16" customHeight="1">
      <c r="A10" t="inlineStr"/>
      <c r="B10" s="3" t="inlineStr">
        <is>
          <t>7. B02_DNN — Báo cáo kết quả hoạt động kinh doanh.</t>
        </is>
      </c>
    </row>
    <row r="11" ht="16" customHeight="1">
      <c r="A11" t="inlineStr"/>
      <c r="B11" s="3" t="inlineStr">
        <is>
          <t>8. B09_DNN — Bản thuyết minh báo cáo tài chính (bán tự động).</t>
        </is>
      </c>
    </row>
    <row r="12" ht="16" customHeight="1">
      <c r="A12" t="inlineStr"/>
      <c r="B12" s="3" t="inlineStr">
        <is>
          <t>9. F01_DNN — Bảng cân đối tài khoản theo mẫu nộp cơ quan thuế.</t>
        </is>
      </c>
    </row>
    <row r="13" ht="16" customHeight="1">
      <c r="A13" t="inlineStr"/>
      <c r="B13" s="3" t="inlineStr">
        <is>
          <t>10. B03_DNN — Báo cáo lưu chuyển tiền tệ (nếu sử dụng).</t>
        </is>
      </c>
    </row>
    <row r="14" ht="16" customHeight="1">
      <c r="A14" t="inlineStr"/>
      <c r="B14" s="3" t="inlineStr">
        <is>
          <t>11. KIEM_TRA_BCTC — Kết quả kiểm tra 3 cấp: Lỗi / Cần kiểm tra / Đã kiểm tra và bảng đối chiếu lợi nhuận.</t>
        </is>
      </c>
    </row>
    <row r="15" ht="16" customHeight="1">
      <c r="A15" t="inlineStr"/>
      <c r="B15" s="3" t="inlineStr">
        <is>
          <t>12. DOI_CHIEU_THUE — Danh mục rà soát thuế và bảng chuyển lợi nhuận kế toán sang thu nhập tính thuế.</t>
        </is>
      </c>
    </row>
    <row r="16"/>
    <row r="17" ht="16" customHeight="1">
      <c r="A17" s="46" t="inlineStr">
        <is>
          <t>B</t>
        </is>
      </c>
      <c r="B17" s="2" t="inlineStr">
        <is>
          <t>QUY ƯỚC MÀU</t>
        </is>
      </c>
    </row>
    <row r="18" ht="16" customHeight="1">
      <c r="A18" t="inlineStr"/>
      <c r="B18" s="3" t="inlineStr">
        <is>
          <t>• Ô nền VÀNG NHẠT = ô nhập liệu, không khóa — bạn có thể sửa.</t>
        </is>
      </c>
    </row>
    <row r="19" ht="16" customHeight="1">
      <c r="A19" t="inlineStr"/>
      <c r="B19" s="3" t="inlineStr">
        <is>
          <t>• Ô nền XANH NHẠT, chữ đậm = ô công thức, đã khóa — Excel sẽ tính lại khi bạn sửa dữ liệu nguồn.</t>
        </is>
      </c>
    </row>
    <row r="20" ht="16" customHeight="1">
      <c r="A20" t="inlineStr"/>
      <c r="B20" s="3" t="inlineStr">
        <is>
          <t>• Sheet được bảo vệ KHÔNG đặt mật khẩu: vào Review → Unprotect Sheet là bỏ khóa được.</t>
        </is>
      </c>
    </row>
    <row r="21"/>
    <row r="22" ht="16" customHeight="1">
      <c r="A22" s="46" t="inlineStr">
        <is>
          <t>C</t>
        </is>
      </c>
      <c r="B22" s="2" t="inlineStr">
        <is>
          <t>CÁCH SỬ DỤNG</t>
        </is>
      </c>
    </row>
    <row r="23" ht="16" customHeight="1">
      <c r="A23" t="inlineStr"/>
      <c r="B23" s="3" t="inlineStr">
        <is>
          <t>1. Sửa số liệu trên sheet DATA_F01 (các ô vàng). Các sheet báo cáo sẽ tự tính lại theo công thức Excel.</t>
        </is>
      </c>
    </row>
    <row r="24" ht="32" customHeight="1">
      <c r="A24" t="inlineStr"/>
      <c r="B24" s="3" t="inlineStr">
        <is>
          <t>2. Kiểm tra 3 đẳng thức trên F01_DNN: tổng dư Nợ đầu kỳ = tổng dư Có đầu kỳ; tổng PS Nợ = tổng PS Có; tổng dư Nợ cuối kỳ = tổng dư Có cuối kỳ.</t>
        </is>
      </c>
    </row>
    <row r="25" ht="16" customHeight="1">
      <c r="A25" t="inlineStr"/>
      <c r="B25" s="3" t="inlineStr">
        <is>
          <t>3. Kiểm tra Tổng cộng tài sản = Tổng cộng nguồn vốn trên sheet báo cáo tình hình tài chính.</t>
        </is>
      </c>
    </row>
    <row r="26" ht="16" customHeight="1">
      <c r="A26" t="inlineStr"/>
      <c r="B26" s="3" t="inlineStr">
        <is>
          <t>4. Rà soát sheet KIEM_TRA_BCTC và DOI_CHIEU_THUE trước khi chốt số.</t>
        </is>
      </c>
    </row>
    <row r="27"/>
    <row r="28" ht="16" customHeight="1">
      <c r="A28" s="46" t="inlineStr">
        <is>
          <t>D</t>
        </is>
      </c>
      <c r="B28" s="2" t="inlineStr">
        <is>
          <t>CĂN CỨ PHÁP LÝ</t>
        </is>
      </c>
    </row>
    <row r="29" ht="80" customHeight="1">
      <c r="A29" t="inlineStr"/>
      <c r="B29" s="3" t="inlineStr">
        <is>
          <t>Thông tư 133/2016/TT-BTC (hiệu lực 01/01/2017) hiện CÒN HIỆU LỰC. Từ 01/01/2026, doanh nghiệp nhỏ và vừa được QUYỀN LỰA CHỌN tiếp tục áp dụng TT 133/2016/TT-BTC hoặc chuyển sang Thông tư 99/2025/TT-BTC (Chế độ kế toán doanh nghiệp, thay TT 200/2014 từ 01/01/2026). Nếu chuyển sang TT99 phải áp dụng nhất quán tối thiểu một năm kế toán, trình bày lại số liệu so sánh và giải trình trong thuyết minh. Bộ Tài chính dự kiến sửa đổi TT133 trong năm 2026 — người dùng cần theo dõi cập nhật.</t>
        </is>
      </c>
    </row>
    <row r="30" ht="16" customHeight="1">
      <c r="A30" t="inlineStr"/>
      <c r="B30" s="3" t="inlineStr">
        <is>
          <t>• Thông tư 133/2016/TT-BTC — Điều 71 (Hệ thống báo cáo tài chính)</t>
        </is>
      </c>
    </row>
    <row r="31" ht="16" customHeight="1">
      <c r="A31" t="inlineStr"/>
      <c r="B31" s="3" t="inlineStr">
        <is>
          <t>• Thông tư 133/2016/TT-BTC — Điều 73, 74 (Giả định hoạt động liên tục)</t>
        </is>
      </c>
    </row>
    <row r="32" ht="16" customHeight="1">
      <c r="A32" t="inlineStr"/>
      <c r="B32" s="3" t="inlineStr">
        <is>
          <t>• Thông tư 133/2016/TT-BTC — Điều 81 (Lập B01a-DNN), Điều 82 (B02-DNN), Điều 83 (F01-DNN)</t>
        </is>
      </c>
    </row>
    <row r="33" ht="16" customHeight="1">
      <c r="A33" t="inlineStr"/>
      <c r="B33" s="3" t="inlineStr">
        <is>
          <t>• Thông tư 133/2016/TT-BTC — Phụ lục 2 (Biểu mẫu BCTC)</t>
        </is>
      </c>
    </row>
    <row r="34"/>
    <row r="35" ht="16" customHeight="1">
      <c r="A35" s="46" t="inlineStr">
        <is>
          <t>E</t>
        </is>
      </c>
      <c r="B35" s="2" t="inlineStr">
        <is>
          <t>GIỚI HẠN CỦA CÔNG CỤ</t>
        </is>
      </c>
    </row>
    <row r="36" ht="32" customHeight="1">
      <c r="A36" t="inlineStr"/>
      <c r="B36" s="3" t="inlineStr">
        <is>
          <t>• Công cụ KHÔNG tự suy diễn số liệu khi bảng cân đối tài khoản không đủ căn cứ (kỳ hạn, đối ứng tài khoản, chi tiết theo đối tượng).</t>
        </is>
      </c>
    </row>
    <row r="37" ht="16" customHeight="1">
      <c r="A37" t="inlineStr"/>
      <c r="B37" s="3" t="inlineStr">
        <is>
          <t>• Công cụ KHÔNG bù trừ số dư Nợ/Có trái với bản chất khoản mục.</t>
        </is>
      </c>
    </row>
    <row r="38" ht="16" customHeight="1">
      <c r="A38" t="inlineStr"/>
      <c r="B38" s="3" t="inlineStr">
        <is>
          <t>• Chênh lệch giữa số liệu kế toán và số liệu thuế KHÔNG được coi là lỗi mặc định.</t>
        </is>
      </c>
    </row>
    <row r="39" ht="16" customHeight="1">
      <c r="A39" t="inlineStr"/>
      <c r="B39" s="3" t="inlineStr">
        <is>
          <t>• Kết quả phụ thuộc chất lượng dữ liệu đầu vào; người sử dụng chịu trách nhiệm kiểm tra số liệu cuối cùng.</t>
        </is>
      </c>
    </row>
  </sheetData>
  <mergeCells count="1">
    <mergeCell ref="A1:B1"/>
  </mergeCells>
  <printOptions horizontalCentered="1"/>
  <pageMargins left="0.5" right="0.4" top="0.6" bottom="0.6" header="0.3" footer="0.3"/>
  <pageSetup orientation="portrait" paperSize="9" fitToHeight="0"/>
  <headerFooter>
    <oddHeader>&amp;LCÔNG TY TNHH THƯƠNG MẠI MINH ANH&amp;RMST: 0101234567</oddHeader>
    <oddFooter>&amp;LMr Wick Kiểm toán · taichinhketoanedu.com&amp;C&amp;P/&amp;N&amp;RNăm 2025 · Đồng</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21"/>
  <sheetViews>
    <sheetView showGridLines="0" workbookViewId="0">
      <selection activeCell="A1" sqref="A1:B1"/>
    </sheetView>
  </sheetViews>
  <sheetFormatPr baseColWidth="10" defaultColWidth="8.83203125" defaultRowHeight="15"/>
  <cols>
    <col width="38" customWidth="1" min="1" max="1"/>
    <col width="62" customWidth="1" min="2" max="2"/>
  </cols>
  <sheetData>
    <row r="1" ht="22" customHeight="1">
      <c r="A1" s="38" t="inlineStr">
        <is>
          <t>THÔNG TIN DOANH NGHIỆP VÀ KỲ KẾ TOÁN</t>
        </is>
      </c>
    </row>
    <row r="2" ht="16" customHeight="1">
      <c r="A2" s="4" t="inlineStr">
        <is>
          <t>Tên doanh nghiệp</t>
        </is>
      </c>
      <c r="B2" s="51" t="inlineStr">
        <is>
          <t>CÔNG TY TNHH THƯƠNG MẠI MINH ANH</t>
        </is>
      </c>
    </row>
    <row r="3" ht="16" customHeight="1">
      <c r="A3" s="4" t="inlineStr">
        <is>
          <t>Mã số thuế</t>
        </is>
      </c>
      <c r="B3" s="51" t="inlineStr">
        <is>
          <t>0101234567</t>
        </is>
      </c>
    </row>
    <row r="4" ht="16" customHeight="1">
      <c r="A4" s="4" t="inlineStr">
        <is>
          <t>Địa chỉ</t>
        </is>
      </c>
      <c r="B4" s="51" t="inlineStr">
        <is>
          <t>Số 12 phố Láng Hạ, phường Láng, TP Hà Nội</t>
        </is>
      </c>
    </row>
    <row r="5" ht="16" customHeight="1">
      <c r="A5" s="4" t="inlineStr">
        <is>
          <t>Năm tài chính</t>
        </is>
      </c>
      <c r="B5" s="51" t="inlineStr">
        <is>
          <t>2025</t>
        </is>
      </c>
    </row>
    <row r="6" ht="16" customHeight="1">
      <c r="A6" s="4" t="inlineStr">
        <is>
          <t>Ngày bắt đầu kỳ kế toán</t>
        </is>
      </c>
      <c r="B6" s="51" t="inlineStr">
        <is>
          <t>01/01/2025</t>
        </is>
      </c>
    </row>
    <row r="7" ht="16" customHeight="1">
      <c r="A7" s="4" t="inlineStr">
        <is>
          <t>Ngày kết thúc kỳ kế toán</t>
        </is>
      </c>
      <c r="B7" s="51" t="inlineStr">
        <is>
          <t>31/12/2025</t>
        </is>
      </c>
    </row>
    <row r="8" ht="16" customHeight="1">
      <c r="A8" s="4" t="inlineStr">
        <is>
          <t>Đơn vị tiền tệ trong kế toán</t>
        </is>
      </c>
      <c r="B8" s="51" t="inlineStr">
        <is>
          <t>VND</t>
        </is>
      </c>
    </row>
    <row r="9" ht="16" customHeight="1">
      <c r="A9" s="4" t="inlineStr">
        <is>
          <t>Đơn vị trình bày trên báo cáo</t>
        </is>
      </c>
      <c r="B9" s="51" t="inlineStr">
        <is>
          <t>Đồng</t>
        </is>
      </c>
    </row>
    <row r="10" ht="16" customHeight="1">
      <c r="A10" s="4" t="inlineStr">
        <is>
          <t>Chế độ kế toán áp dụng</t>
        </is>
      </c>
      <c r="B10" s="51" t="inlineStr">
        <is>
          <t>Thông tư 133/2016/TT-BTC — DN nhỏ và vừa</t>
        </is>
      </c>
    </row>
    <row r="11" ht="16" customHeight="1">
      <c r="A11" s="4" t="inlineStr">
        <is>
          <t>Giả định hoạt động liên tục</t>
        </is>
      </c>
      <c r="B11" s="51" t="inlineStr">
        <is>
          <t>Có đáp ứng</t>
        </is>
      </c>
    </row>
    <row r="12" ht="16" customHeight="1">
      <c r="A12" s="4" t="inlineStr">
        <is>
          <t>Mẫu Báo cáo tình hình tài chính</t>
        </is>
      </c>
      <c r="B12" s="51" t="inlineStr">
        <is>
          <t>B01a-DNN</t>
        </is>
      </c>
    </row>
    <row r="13" ht="16" customHeight="1">
      <c r="A13" s="4" t="inlineStr">
        <is>
          <t>Báo cáo lưu chuyển tiền tệ</t>
        </is>
      </c>
      <c r="B13" s="51" t="inlineStr">
        <is>
          <t>Không lập</t>
        </is>
      </c>
    </row>
    <row r="14" ht="16" customHeight="1">
      <c r="A14" s="4" t="inlineStr">
        <is>
          <t>Người lập biểu</t>
        </is>
      </c>
      <c r="B14" s="51" t="inlineStr">
        <is>
          <t>Nguyễn Thị Hoa</t>
        </is>
      </c>
    </row>
    <row r="15" ht="16" customHeight="1">
      <c r="A15" s="4" t="inlineStr">
        <is>
          <t>Kế toán trưởng</t>
        </is>
      </c>
      <c r="B15" s="51" t="inlineStr">
        <is>
          <t>Trần Văn Nam</t>
        </is>
      </c>
    </row>
    <row r="16" ht="16" customHeight="1">
      <c r="A16" s="4" t="inlineStr">
        <is>
          <t>Người đại diện theo pháp luật</t>
        </is>
      </c>
      <c r="B16" s="51" t="inlineStr">
        <is>
          <t>Lê Minh Anh</t>
        </is>
      </c>
    </row>
    <row r="17" ht="16" customHeight="1">
      <c r="A17" s="4" t="inlineStr"/>
      <c r="B17" s="6" t="inlineStr"/>
    </row>
    <row r="18" ht="16" customHeight="1">
      <c r="A18" s="4" t="inlineStr">
        <is>
          <t>Phiên bản công cụ</t>
        </is>
      </c>
      <c r="B18" s="51" t="inlineStr">
        <is>
          <t>v2.0.0</t>
        </is>
      </c>
    </row>
    <row r="19" ht="16" customHeight="1">
      <c r="A19" s="4" t="inlineStr">
        <is>
          <t>Phiên bản bảng mapping</t>
        </is>
      </c>
      <c r="B19" s="51" t="inlineStr">
        <is>
          <t>TT133-MAP-2026.08</t>
        </is>
      </c>
    </row>
    <row r="20" ht="16" customHeight="1">
      <c r="A20" s="4" t="inlineStr">
        <is>
          <t>Ngày cập nhật công cụ</t>
        </is>
      </c>
      <c r="B20" s="51" t="inlineStr">
        <is>
          <t>13/08/2026</t>
        </is>
      </c>
    </row>
    <row r="21" ht="16" customHeight="1">
      <c r="A21" s="4" t="inlineStr">
        <is>
          <t>Thời điểm xuất file</t>
        </is>
      </c>
      <c r="B21" s="51" t="inlineStr">
        <is>
          <t>10:59:49 14/8/2026</t>
        </is>
      </c>
    </row>
  </sheetData>
  <sheetProtection selectLockedCells="0" selectUnlockedCells="0" sheet="1" objects="0" insertRows="1" insertHyperlinks="1" autoFilter="0" scenarios="0" formatColumns="1" deleteColumns="1" insertColumns="1" pivotTables="1" deleteRows="1" formatCells="1" formatRows="1" sort="0"/>
  <mergeCells count="1">
    <mergeCell ref="A1:B1"/>
  </mergeCells>
  <printOptions horizontalCentered="1"/>
  <pageMargins left="0.5" right="0.4" top="0.6" bottom="0.6" header="0.3" footer="0.3"/>
  <pageSetup orientation="portrait" paperSize="9" fitToHeight="0"/>
  <headerFooter>
    <oddHeader>&amp;LCÔNG TY TNHH THƯƠNG MẠI MINH ANH&amp;RMST: 0101234567</oddHeader>
    <oddFooter>&amp;LMr Wick Kiểm toán · taichinhketoanedu.com&amp;C&amp;P/&amp;N&amp;RNăm 2025 · Đồng</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112"/>
  <sheetViews>
    <sheetView workbookViewId="0">
      <pane xSplit="2" ySplit="3" topLeftCell="C4" activePane="bottomRight" state="frozen"/>
      <selection pane="topRight" activeCell="A1" sqref="A1"/>
      <selection pane="bottomLeft" activeCell="A1" sqref="A1"/>
      <selection pane="bottomRight" activeCell="A1" sqref="A1:I1"/>
    </sheetView>
  </sheetViews>
  <sheetFormatPr baseColWidth="10" defaultColWidth="8.83203125" defaultRowHeight="15"/>
  <cols>
    <col width="16" customWidth="1" min="1" max="1"/>
    <col width="40" customWidth="1" min="2" max="2"/>
    <col width="16" customWidth="1" min="3" max="8"/>
    <col width="10" customWidth="1" min="9" max="9"/>
  </cols>
  <sheetData>
    <row r="1" ht="22" customHeight="1">
      <c r="A1" s="38" t="inlineStr">
        <is>
          <t>DỮ LIỆU NGUỒN — BẢNG CÂN ĐỐI TÀI KHOẢN</t>
        </is>
      </c>
    </row>
    <row r="2">
      <c r="A2" s="39" t="inlineStr">
        <is>
          <t>Đơn vị tính: Đồng (số gốc, chưa quy đổi đơn vị trình bày). Ô vàng = nhập liệu.</t>
        </is>
      </c>
    </row>
    <row r="3" ht="30" customHeight="1">
      <c r="A3" s="53" t="inlineStr">
        <is>
          <t>Số hiệu TK</t>
        </is>
      </c>
      <c r="B3" s="53" t="inlineStr">
        <is>
          <t>Tên tài khoản</t>
        </is>
      </c>
      <c r="C3" s="53" t="inlineStr">
        <is>
          <t>Dư Nợ đầu kỳ</t>
        </is>
      </c>
      <c r="D3" s="53" t="inlineStr">
        <is>
          <t>Dư Có đầu kỳ</t>
        </is>
      </c>
      <c r="E3" s="53" t="inlineStr">
        <is>
          <t>PS Nợ</t>
        </is>
      </c>
      <c r="F3" s="53" t="inlineStr">
        <is>
          <t>PS Có</t>
        </is>
      </c>
      <c r="G3" s="53" t="inlineStr">
        <is>
          <t>Dư Nợ cuối kỳ</t>
        </is>
      </c>
      <c r="H3" s="53" t="inlineStr">
        <is>
          <t>Dư Có cuối kỳ</t>
        </is>
      </c>
      <c r="I3" s="53" t="inlineStr">
        <is>
          <t>Dòng lá?</t>
        </is>
      </c>
    </row>
    <row r="4">
      <c r="A4" s="8" t="inlineStr">
        <is>
          <t>111</t>
        </is>
      </c>
      <c r="B4" s="8" t="inlineStr">
        <is>
          <t>Tiền mặt</t>
        </is>
      </c>
      <c r="C4" s="9" t="n">
        <v>120000000</v>
      </c>
      <c r="D4" s="9" t="n">
        <v>0</v>
      </c>
      <c r="E4" s="9" t="n">
        <v>498500000</v>
      </c>
      <c r="F4" s="9" t="n">
        <v>263000000</v>
      </c>
      <c r="G4" s="9" t="n">
        <v>355500000</v>
      </c>
      <c r="H4" s="9" t="n">
        <v>0</v>
      </c>
      <c r="I4" s="10">
        <f>IF(A4="",0,IF(SUMPRODUCT((LEFT($A$4:$A$108,LEN(A4))=A4)*(LEN($A$4:$A$108)&gt;LEN(A4)))&gt;0,0,1))</f>
        <v/>
      </c>
    </row>
    <row r="5">
      <c r="A5" s="8" t="inlineStr">
        <is>
          <t>112</t>
        </is>
      </c>
      <c r="B5" s="8" t="inlineStr">
        <is>
          <t>Tiền gửi Ngân hàng</t>
        </is>
      </c>
      <c r="C5" s="9" t="n">
        <v>480000000</v>
      </c>
      <c r="D5" s="9" t="n">
        <v>0</v>
      </c>
      <c r="E5" s="9" t="n">
        <v>5948000000</v>
      </c>
      <c r="F5" s="9" t="n">
        <v>6061000000</v>
      </c>
      <c r="G5" s="9" t="n">
        <v>367000000</v>
      </c>
      <c r="H5" s="9" t="n">
        <v>0</v>
      </c>
      <c r="I5" s="10">
        <f>IF(A5="",0,IF(SUMPRODUCT((LEFT($A$4:$A$108,LEN(A5))=A5)*(LEN($A$4:$A$108)&gt;LEN(A5)))&gt;0,0,1))</f>
        <v/>
      </c>
    </row>
    <row r="6">
      <c r="A6" s="8" t="inlineStr">
        <is>
          <t>1281</t>
        </is>
      </c>
      <c r="B6" s="8" t="inlineStr">
        <is>
          <t>Tiền gửi có kỳ hạn</t>
        </is>
      </c>
      <c r="C6" s="9" t="n">
        <v>200000000</v>
      </c>
      <c r="D6" s="9" t="n">
        <v>0</v>
      </c>
      <c r="E6" s="9" t="n">
        <v>300000000</v>
      </c>
      <c r="F6" s="9" t="n">
        <v>100000000</v>
      </c>
      <c r="G6" s="9" t="n">
        <v>400000000</v>
      </c>
      <c r="H6" s="9" t="n">
        <v>0</v>
      </c>
      <c r="I6" s="10">
        <f>IF(A6="",0,IF(SUMPRODUCT((LEFT($A$4:$A$108,LEN(A6))=A6)*(LEN($A$4:$A$108)&gt;LEN(A6)))&gt;0,0,1))</f>
        <v/>
      </c>
    </row>
    <row r="7">
      <c r="A7" s="8" t="inlineStr">
        <is>
          <t>131-KH01</t>
        </is>
      </c>
      <c r="B7" s="8" t="inlineStr">
        <is>
          <t>Phải thu KH — Công ty An Phát</t>
        </is>
      </c>
      <c r="C7" s="9" t="n">
        <v>350000000</v>
      </c>
      <c r="D7" s="9" t="n">
        <v>0</v>
      </c>
      <c r="E7" s="9" t="n">
        <v>2200000000</v>
      </c>
      <c r="F7" s="9" t="n">
        <v>1955000000</v>
      </c>
      <c r="G7" s="9" t="n">
        <v>595000000</v>
      </c>
      <c r="H7" s="9" t="n">
        <v>0</v>
      </c>
      <c r="I7" s="10">
        <f>IF(A7="",0,IF(SUMPRODUCT((LEFT($A$4:$A$108,LEN(A7))=A7)*(LEN($A$4:$A$108)&gt;LEN(A7)))&gt;0,0,1))</f>
        <v/>
      </c>
    </row>
    <row r="8">
      <c r="A8" s="8" t="inlineStr">
        <is>
          <t>131-KH02</t>
        </is>
      </c>
      <c r="B8" s="8" t="inlineStr">
        <is>
          <t>Phải thu KH — Công ty Bình Minh</t>
        </is>
      </c>
      <c r="C8" s="9" t="n">
        <v>180000000</v>
      </c>
      <c r="D8" s="9" t="n">
        <v>0</v>
      </c>
      <c r="E8" s="9" t="n">
        <v>1100000000</v>
      </c>
      <c r="F8" s="9" t="n">
        <v>1250000000</v>
      </c>
      <c r="G8" s="9" t="n">
        <v>30000000</v>
      </c>
      <c r="H8" s="9" t="n">
        <v>0</v>
      </c>
      <c r="I8" s="10">
        <f>IF(A8="",0,IF(SUMPRODUCT((LEFT($A$4:$A$108,LEN(A8))=A8)*(LEN($A$4:$A$108)&gt;LEN(A8)))&gt;0,0,1))</f>
        <v/>
      </c>
    </row>
    <row r="9">
      <c r="A9" s="8" t="inlineStr">
        <is>
          <t>131-KH03</t>
        </is>
      </c>
      <c r="B9" s="8" t="inlineStr">
        <is>
          <t>Phải thu KH — Công ty Cường Thịnh</t>
        </is>
      </c>
      <c r="C9" s="9" t="n">
        <v>0</v>
      </c>
      <c r="D9" s="9" t="n">
        <v>60000000</v>
      </c>
      <c r="E9" s="9" t="n">
        <v>330000000</v>
      </c>
      <c r="F9" s="9" t="n">
        <v>440000000</v>
      </c>
      <c r="G9" s="9" t="n">
        <v>0</v>
      </c>
      <c r="H9" s="9" t="n">
        <v>170000000</v>
      </c>
      <c r="I9" s="10">
        <f>IF(A9="",0,IF(SUMPRODUCT((LEFT($A$4:$A$108,LEN(A9))=A9)*(LEN($A$4:$A$108)&gt;LEN(A9)))&gt;0,0,1))</f>
        <v/>
      </c>
    </row>
    <row r="10">
      <c r="A10" s="8" t="inlineStr">
        <is>
          <t>133</t>
        </is>
      </c>
      <c r="B10" s="8" t="inlineStr">
        <is>
          <t>Thuế GTGT được khấu trừ</t>
        </is>
      </c>
      <c r="C10" s="9" t="n">
        <v>45000000</v>
      </c>
      <c r="D10" s="9" t="n">
        <v>0</v>
      </c>
      <c r="E10" s="9" t="n">
        <v>395000000</v>
      </c>
      <c r="F10" s="9" t="n">
        <v>420000000</v>
      </c>
      <c r="G10" s="9" t="n">
        <v>20000000</v>
      </c>
      <c r="H10" s="9" t="n">
        <v>0</v>
      </c>
      <c r="I10" s="10">
        <f>IF(A10="",0,IF(SUMPRODUCT((LEFT($A$4:$A$108,LEN(A10))=A10)*(LEN($A$4:$A$108)&gt;LEN(A10)))&gt;0,0,1))</f>
        <v/>
      </c>
    </row>
    <row r="11">
      <c r="A11" s="8" t="inlineStr">
        <is>
          <t>1381</t>
        </is>
      </c>
      <c r="B11" s="8" t="inlineStr">
        <is>
          <t>Tài sản thiếu chờ xử lý</t>
        </is>
      </c>
      <c r="C11" s="9" t="n">
        <v>0</v>
      </c>
      <c r="D11" s="9" t="n">
        <v>0</v>
      </c>
      <c r="E11" s="9" t="n">
        <v>12000000</v>
      </c>
      <c r="F11" s="9" t="n">
        <v>0</v>
      </c>
      <c r="G11" s="9" t="n">
        <v>12000000</v>
      </c>
      <c r="H11" s="9" t="n">
        <v>0</v>
      </c>
      <c r="I11" s="10">
        <f>IF(A11="",0,IF(SUMPRODUCT((LEFT($A$4:$A$108,LEN(A11))=A11)*(LEN($A$4:$A$108)&gt;LEN(A11)))&gt;0,0,1))</f>
        <v/>
      </c>
    </row>
    <row r="12">
      <c r="A12" s="8" t="inlineStr">
        <is>
          <t>1388</t>
        </is>
      </c>
      <c r="B12" s="8" t="inlineStr">
        <is>
          <t>Phải thu khác</t>
        </is>
      </c>
      <c r="C12" s="9" t="n">
        <v>20000000</v>
      </c>
      <c r="D12" s="9" t="n">
        <v>0</v>
      </c>
      <c r="E12" s="9" t="n">
        <v>55000000</v>
      </c>
      <c r="F12" s="9" t="n">
        <v>60000000</v>
      </c>
      <c r="G12" s="9" t="n">
        <v>15000000</v>
      </c>
      <c r="H12" s="9" t="n">
        <v>0</v>
      </c>
      <c r="I12" s="10">
        <f>IF(A12="",0,IF(SUMPRODUCT((LEFT($A$4:$A$108,LEN(A12))=A12)*(LEN($A$4:$A$108)&gt;LEN(A12)))&gt;0,0,1))</f>
        <v/>
      </c>
    </row>
    <row r="13">
      <c r="A13" s="8" t="inlineStr">
        <is>
          <t>141</t>
        </is>
      </c>
      <c r="B13" s="8" t="inlineStr">
        <is>
          <t>Tạm ứng</t>
        </is>
      </c>
      <c r="C13" s="9" t="n">
        <v>15000000</v>
      </c>
      <c r="D13" s="9" t="n">
        <v>0</v>
      </c>
      <c r="E13" s="9" t="n">
        <v>70000000</v>
      </c>
      <c r="F13" s="9" t="n">
        <v>60000000</v>
      </c>
      <c r="G13" s="9" t="n">
        <v>25000000</v>
      </c>
      <c r="H13" s="9" t="n">
        <v>0</v>
      </c>
      <c r="I13" s="10">
        <f>IF(A13="",0,IF(SUMPRODUCT((LEFT($A$4:$A$108,LEN(A13))=A13)*(LEN($A$4:$A$108)&gt;LEN(A13)))&gt;0,0,1))</f>
        <v/>
      </c>
    </row>
    <row r="14">
      <c r="A14" s="8" t="inlineStr">
        <is>
          <t>152</t>
        </is>
      </c>
      <c r="B14" s="8" t="inlineStr">
        <is>
          <t>Nguyên liệu, vật liệu</t>
        </is>
      </c>
      <c r="C14" s="9" t="n">
        <v>260000000</v>
      </c>
      <c r="D14" s="9" t="n">
        <v>0</v>
      </c>
      <c r="E14" s="9" t="n">
        <v>200000000</v>
      </c>
      <c r="F14" s="9" t="n">
        <v>60000000</v>
      </c>
      <c r="G14" s="9" t="n">
        <v>400000000</v>
      </c>
      <c r="H14" s="9" t="n">
        <v>0</v>
      </c>
      <c r="I14" s="10">
        <f>IF(A14="",0,IF(SUMPRODUCT((LEFT($A$4:$A$108,LEN(A14))=A14)*(LEN($A$4:$A$108)&gt;LEN(A14)))&gt;0,0,1))</f>
        <v/>
      </c>
    </row>
    <row r="15">
      <c r="A15" s="8" t="inlineStr">
        <is>
          <t>156</t>
        </is>
      </c>
      <c r="B15" s="8" t="inlineStr">
        <is>
          <t>Hàng hóa</t>
        </is>
      </c>
      <c r="C15" s="9" t="n">
        <v>890000000</v>
      </c>
      <c r="D15" s="9" t="n">
        <v>0</v>
      </c>
      <c r="E15" s="9" t="n">
        <v>3400000000</v>
      </c>
      <c r="F15" s="9" t="n">
        <v>3212000000</v>
      </c>
      <c r="G15" s="9" t="n">
        <v>1078000000</v>
      </c>
      <c r="H15" s="9" t="n">
        <v>0</v>
      </c>
      <c r="I15" s="10">
        <f>IF(A15="",0,IF(SUMPRODUCT((LEFT($A$4:$A$108,LEN(A15))=A15)*(LEN($A$4:$A$108)&gt;LEN(A15)))&gt;0,0,1))</f>
        <v/>
      </c>
    </row>
    <row r="16">
      <c r="A16" s="8" t="inlineStr">
        <is>
          <t>211</t>
        </is>
      </c>
      <c r="B16" s="8" t="inlineStr">
        <is>
          <t>Tài sản cố định</t>
        </is>
      </c>
      <c r="C16" s="9" t="n">
        <v>2400000000</v>
      </c>
      <c r="D16" s="9" t="n">
        <v>0</v>
      </c>
      <c r="E16" s="9" t="n">
        <v>350000000</v>
      </c>
      <c r="F16" s="9" t="n">
        <v>0</v>
      </c>
      <c r="G16" s="9" t="n">
        <v>2750000000</v>
      </c>
      <c r="H16" s="9" t="n">
        <v>0</v>
      </c>
      <c r="I16" s="10">
        <f>IF(A16="",0,IF(SUMPRODUCT((LEFT($A$4:$A$108,LEN(A16))=A16)*(LEN($A$4:$A$108)&gt;LEN(A16)))&gt;0,0,1))</f>
        <v/>
      </c>
    </row>
    <row r="17">
      <c r="A17" s="8" t="inlineStr">
        <is>
          <t>2141</t>
        </is>
      </c>
      <c r="B17" s="8" t="inlineStr">
        <is>
          <t>Hao mòn TSCĐ hữu hình</t>
        </is>
      </c>
      <c r="C17" s="9" t="n">
        <v>0</v>
      </c>
      <c r="D17" s="9" t="n">
        <v>500000000</v>
      </c>
      <c r="E17" s="9" t="n">
        <v>0</v>
      </c>
      <c r="F17" s="9" t="n">
        <v>160000000</v>
      </c>
      <c r="G17" s="9" t="n">
        <v>0</v>
      </c>
      <c r="H17" s="9" t="n">
        <v>660000000</v>
      </c>
      <c r="I17" s="10">
        <f>IF(A17="",0,IF(SUMPRODUCT((LEFT($A$4:$A$108,LEN(A17))=A17)*(LEN($A$4:$A$108)&gt;LEN(A17)))&gt;0,0,1))</f>
        <v/>
      </c>
    </row>
    <row r="18">
      <c r="A18" s="8" t="inlineStr">
        <is>
          <t>228</t>
        </is>
      </c>
      <c r="B18" s="8" t="inlineStr">
        <is>
          <t>Đầu tư góp vốn vào đơn vị khác</t>
        </is>
      </c>
      <c r="C18" s="9" t="n">
        <v>500000000</v>
      </c>
      <c r="D18" s="9" t="n">
        <v>0</v>
      </c>
      <c r="E18" s="9" t="n">
        <v>0</v>
      </c>
      <c r="F18" s="9" t="n">
        <v>0</v>
      </c>
      <c r="G18" s="9" t="n">
        <v>500000000</v>
      </c>
      <c r="H18" s="9" t="n">
        <v>0</v>
      </c>
      <c r="I18" s="10">
        <f>IF(A18="",0,IF(SUMPRODUCT((LEFT($A$4:$A$108,LEN(A18))=A18)*(LEN($A$4:$A$108)&gt;LEN(A18)))&gt;0,0,1))</f>
        <v/>
      </c>
    </row>
    <row r="19">
      <c r="A19" s="8" t="inlineStr">
        <is>
          <t>2293</t>
        </is>
      </c>
      <c r="B19" s="8" t="inlineStr">
        <is>
          <t>Dự phòng phải thu khó đòi</t>
        </is>
      </c>
      <c r="C19" s="9" t="n">
        <v>0</v>
      </c>
      <c r="D19" s="9" t="n">
        <v>20000000</v>
      </c>
      <c r="E19" s="9" t="n">
        <v>0</v>
      </c>
      <c r="F19" s="9" t="n">
        <v>15000000</v>
      </c>
      <c r="G19" s="9" t="n">
        <v>0</v>
      </c>
      <c r="H19" s="9" t="n">
        <v>35000000</v>
      </c>
      <c r="I19" s="10">
        <f>IF(A19="",0,IF(SUMPRODUCT((LEFT($A$4:$A$108,LEN(A19))=A19)*(LEN($A$4:$A$108)&gt;LEN(A19)))&gt;0,0,1))</f>
        <v/>
      </c>
    </row>
    <row r="20">
      <c r="A20" s="8" t="inlineStr">
        <is>
          <t>2294</t>
        </is>
      </c>
      <c r="B20" s="8" t="inlineStr">
        <is>
          <t>Dự phòng giảm giá hàng tồn kho</t>
        </is>
      </c>
      <c r="C20" s="9" t="n">
        <v>0</v>
      </c>
      <c r="D20" s="9" t="n">
        <v>10000000</v>
      </c>
      <c r="E20" s="9" t="n">
        <v>0</v>
      </c>
      <c r="F20" s="9" t="n">
        <v>12000000</v>
      </c>
      <c r="G20" s="9" t="n">
        <v>0</v>
      </c>
      <c r="H20" s="9" t="n">
        <v>22000000</v>
      </c>
      <c r="I20" s="10">
        <f>IF(A20="",0,IF(SUMPRODUCT((LEFT($A$4:$A$108,LEN(A20))=A20)*(LEN($A$4:$A$108)&gt;LEN(A20)))&gt;0,0,1))</f>
        <v/>
      </c>
    </row>
    <row r="21">
      <c r="A21" s="8" t="inlineStr">
        <is>
          <t>242</t>
        </is>
      </c>
      <c r="B21" s="8" t="inlineStr">
        <is>
          <t>Chi phí trả trước</t>
        </is>
      </c>
      <c r="C21" s="9" t="n">
        <v>180000000</v>
      </c>
      <c r="D21" s="9" t="n">
        <v>0</v>
      </c>
      <c r="E21" s="9" t="n">
        <v>70000000</v>
      </c>
      <c r="F21" s="9" t="n">
        <v>90000000</v>
      </c>
      <c r="G21" s="9" t="n">
        <v>160000000</v>
      </c>
      <c r="H21" s="9" t="n">
        <v>0</v>
      </c>
      <c r="I21" s="10">
        <f>IF(A21="",0,IF(SUMPRODUCT((LEFT($A$4:$A$108,LEN(A21))=A21)*(LEN($A$4:$A$108)&gt;LEN(A21)))&gt;0,0,1))</f>
        <v/>
      </c>
    </row>
    <row r="22">
      <c r="A22" s="8" t="inlineStr">
        <is>
          <t>331-NCC01</t>
        </is>
      </c>
      <c r="B22" s="8" t="inlineStr">
        <is>
          <t>Phải trả NB — Công ty Đại Việt</t>
        </is>
      </c>
      <c r="C22" s="9" t="n">
        <v>0</v>
      </c>
      <c r="D22" s="9" t="n">
        <v>500000000</v>
      </c>
      <c r="E22" s="9" t="n">
        <v>3300000000</v>
      </c>
      <c r="F22" s="9" t="n">
        <v>3630000000</v>
      </c>
      <c r="G22" s="9" t="n">
        <v>0</v>
      </c>
      <c r="H22" s="9" t="n">
        <v>830000000</v>
      </c>
      <c r="I22" s="10">
        <f>IF(A22="",0,IF(SUMPRODUCT((LEFT($A$4:$A$108,LEN(A22))=A22)*(LEN($A$4:$A$108)&gt;LEN(A22)))&gt;0,0,1))</f>
        <v/>
      </c>
    </row>
    <row r="23">
      <c r="A23" s="8" t="inlineStr">
        <is>
          <t>331-NCC02</t>
        </is>
      </c>
      <c r="B23" s="8" t="inlineStr">
        <is>
          <t>Phải trả NB — Công ty Hồng Hà</t>
        </is>
      </c>
      <c r="C23" s="9" t="n">
        <v>0</v>
      </c>
      <c r="D23" s="9" t="n">
        <v>200000000</v>
      </c>
      <c r="E23" s="9" t="n">
        <v>200000000</v>
      </c>
      <c r="F23" s="9" t="n">
        <v>220000000</v>
      </c>
      <c r="G23" s="9" t="n">
        <v>0</v>
      </c>
      <c r="H23" s="9" t="n">
        <v>220000000</v>
      </c>
      <c r="I23" s="10">
        <f>IF(A23="",0,IF(SUMPRODUCT((LEFT($A$4:$A$108,LEN(A23))=A23)*(LEN($A$4:$A$108)&gt;LEN(A23)))&gt;0,0,1))</f>
        <v/>
      </c>
    </row>
    <row r="24">
      <c r="A24" s="8" t="inlineStr">
        <is>
          <t>331-NCC03</t>
        </is>
      </c>
      <c r="B24" s="8" t="inlineStr">
        <is>
          <t>Phải trả NB — Công ty Sao Mai</t>
        </is>
      </c>
      <c r="C24" s="9" t="n">
        <v>90000000</v>
      </c>
      <c r="D24" s="9" t="n">
        <v>0</v>
      </c>
      <c r="E24" s="9" t="n">
        <v>120000000</v>
      </c>
      <c r="F24" s="9" t="n">
        <v>110000000</v>
      </c>
      <c r="G24" s="9" t="n">
        <v>100000000</v>
      </c>
      <c r="H24" s="9" t="n">
        <v>0</v>
      </c>
      <c r="I24" s="10">
        <f>IF(A24="",0,IF(SUMPRODUCT((LEFT($A$4:$A$108,LEN(A24))=A24)*(LEN($A$4:$A$108)&gt;LEN(A24)))&gt;0,0,1))</f>
        <v/>
      </c>
    </row>
    <row r="25">
      <c r="A25" s="8" t="inlineStr">
        <is>
          <t>33311</t>
        </is>
      </c>
      <c r="B25" s="8" t="inlineStr">
        <is>
          <t>Thuế GTGT đầu ra</t>
        </is>
      </c>
      <c r="C25" s="9" t="n">
        <v>0</v>
      </c>
      <c r="D25" s="9" t="n">
        <v>60000000</v>
      </c>
      <c r="E25" s="9" t="n">
        <v>465000000</v>
      </c>
      <c r="F25" s="9" t="n">
        <v>483500000</v>
      </c>
      <c r="G25" s="9" t="n">
        <v>0</v>
      </c>
      <c r="H25" s="9" t="n">
        <v>78500000</v>
      </c>
      <c r="I25" s="10">
        <f>IF(A25="",0,IF(SUMPRODUCT((LEFT($A$4:$A$108,LEN(A25))=A25)*(LEN($A$4:$A$108)&gt;LEN(A25)))&gt;0,0,1))</f>
        <v/>
      </c>
    </row>
    <row r="26">
      <c r="A26" s="8" t="inlineStr">
        <is>
          <t>3334</t>
        </is>
      </c>
      <c r="B26" s="8" t="inlineStr">
        <is>
          <t>Thuế thu nhập doanh nghiệp</t>
        </is>
      </c>
      <c r="C26" s="9" t="n">
        <v>0</v>
      </c>
      <c r="D26" s="9" t="n">
        <v>40000000</v>
      </c>
      <c r="E26" s="9" t="n">
        <v>60000000</v>
      </c>
      <c r="F26" s="9" t="n">
        <v>67000000</v>
      </c>
      <c r="G26" s="9" t="n">
        <v>0</v>
      </c>
      <c r="H26" s="9" t="n">
        <v>47000000</v>
      </c>
      <c r="I26" s="10">
        <f>IF(A26="",0,IF(SUMPRODUCT((LEFT($A$4:$A$108,LEN(A26))=A26)*(LEN($A$4:$A$108)&gt;LEN(A26)))&gt;0,0,1))</f>
        <v/>
      </c>
    </row>
    <row r="27">
      <c r="A27" s="8" t="inlineStr">
        <is>
          <t>3335</t>
        </is>
      </c>
      <c r="B27" s="8" t="inlineStr">
        <is>
          <t>Thuế thu nhập cá nhân</t>
        </is>
      </c>
      <c r="C27" s="9" t="n">
        <v>0</v>
      </c>
      <c r="D27" s="9" t="n">
        <v>8000000</v>
      </c>
      <c r="E27" s="9" t="n">
        <v>30000000</v>
      </c>
      <c r="F27" s="9" t="n">
        <v>30000000</v>
      </c>
      <c r="G27" s="9" t="n">
        <v>0</v>
      </c>
      <c r="H27" s="9" t="n">
        <v>8000000</v>
      </c>
      <c r="I27" s="10">
        <f>IF(A27="",0,IF(SUMPRODUCT((LEFT($A$4:$A$108,LEN(A27))=A27)*(LEN($A$4:$A$108)&gt;LEN(A27)))&gt;0,0,1))</f>
        <v/>
      </c>
    </row>
    <row r="28">
      <c r="A28" s="8" t="inlineStr">
        <is>
          <t>3338</t>
        </is>
      </c>
      <c r="B28" s="8" t="inlineStr">
        <is>
          <t>Thuế bảo vệ môi trường và các loại thuế khác</t>
        </is>
      </c>
      <c r="C28" s="9" t="n">
        <v>6000000</v>
      </c>
      <c r="D28" s="9" t="n">
        <v>0</v>
      </c>
      <c r="E28" s="9" t="n">
        <v>14000000</v>
      </c>
      <c r="F28" s="9" t="n">
        <v>12000000</v>
      </c>
      <c r="G28" s="9" t="n">
        <v>8000000</v>
      </c>
      <c r="H28" s="9" t="n">
        <v>0</v>
      </c>
      <c r="I28" s="10">
        <f>IF(A28="",0,IF(SUMPRODUCT((LEFT($A$4:$A$108,LEN(A28))=A28)*(LEN($A$4:$A$108)&gt;LEN(A28)))&gt;0,0,1))</f>
        <v/>
      </c>
    </row>
    <row r="29">
      <c r="A29" s="8" t="inlineStr">
        <is>
          <t>334</t>
        </is>
      </c>
      <c r="B29" s="8" t="inlineStr">
        <is>
          <t>Phải trả người lao động</t>
        </is>
      </c>
      <c r="C29" s="9" t="n">
        <v>0</v>
      </c>
      <c r="D29" s="9" t="n">
        <v>200000000</v>
      </c>
      <c r="E29" s="9" t="n">
        <v>750000000</v>
      </c>
      <c r="F29" s="9" t="n">
        <v>700000000</v>
      </c>
      <c r="G29" s="9" t="n">
        <v>0</v>
      </c>
      <c r="H29" s="9" t="n">
        <v>150000000</v>
      </c>
      <c r="I29" s="10">
        <f>IF(A29="",0,IF(SUMPRODUCT((LEFT($A$4:$A$108,LEN(A29))=A29)*(LEN($A$4:$A$108)&gt;LEN(A29)))&gt;0,0,1))</f>
        <v/>
      </c>
    </row>
    <row r="30">
      <c r="A30" s="8" t="inlineStr">
        <is>
          <t>3383</t>
        </is>
      </c>
      <c r="B30" s="8" t="inlineStr">
        <is>
          <t>Bảo hiểm xã hội, y tế, thất nghiệp</t>
        </is>
      </c>
      <c r="C30" s="9" t="n">
        <v>0</v>
      </c>
      <c r="D30" s="9" t="n">
        <v>40000000</v>
      </c>
      <c r="E30" s="9" t="n">
        <v>130000000</v>
      </c>
      <c r="F30" s="9" t="n">
        <v>140000000</v>
      </c>
      <c r="G30" s="9" t="n">
        <v>0</v>
      </c>
      <c r="H30" s="9" t="n">
        <v>50000000</v>
      </c>
      <c r="I30" s="10">
        <f>IF(A30="",0,IF(SUMPRODUCT((LEFT($A$4:$A$108,LEN(A30))=A30)*(LEN($A$4:$A$108)&gt;LEN(A30)))&gt;0,0,1))</f>
        <v/>
      </c>
    </row>
    <row r="31">
      <c r="A31" s="8" t="inlineStr">
        <is>
          <t>3387</t>
        </is>
      </c>
      <c r="B31" s="8" t="inlineStr">
        <is>
          <t>Doanh thu chưa thực hiện</t>
        </is>
      </c>
      <c r="C31" s="9" t="n">
        <v>0</v>
      </c>
      <c r="D31" s="9" t="n">
        <v>80000000</v>
      </c>
      <c r="E31" s="9" t="n">
        <v>45000000</v>
      </c>
      <c r="F31" s="9" t="n">
        <v>60000000</v>
      </c>
      <c r="G31" s="9" t="n">
        <v>0</v>
      </c>
      <c r="H31" s="9" t="n">
        <v>95000000</v>
      </c>
      <c r="I31" s="10">
        <f>IF(A31="",0,IF(SUMPRODUCT((LEFT($A$4:$A$108,LEN(A31))=A31)*(LEN($A$4:$A$108)&gt;LEN(A31)))&gt;0,0,1))</f>
        <v/>
      </c>
    </row>
    <row r="32">
      <c r="A32" s="8" t="inlineStr">
        <is>
          <t>3411</t>
        </is>
      </c>
      <c r="B32" s="8" t="inlineStr">
        <is>
          <t>Các khoản đi vay</t>
        </is>
      </c>
      <c r="C32" s="9" t="n">
        <v>0</v>
      </c>
      <c r="D32" s="9" t="n">
        <v>1000000000</v>
      </c>
      <c r="E32" s="9" t="n">
        <v>700000000</v>
      </c>
      <c r="F32" s="9" t="n">
        <v>900000000</v>
      </c>
      <c r="G32" s="9" t="n">
        <v>0</v>
      </c>
      <c r="H32" s="9" t="n">
        <v>1200000000</v>
      </c>
      <c r="I32" s="10">
        <f>IF(A32="",0,IF(SUMPRODUCT((LEFT($A$4:$A$108,LEN(A32))=A32)*(LEN($A$4:$A$108)&gt;LEN(A32)))&gt;0,0,1))</f>
        <v/>
      </c>
    </row>
    <row r="33">
      <c r="A33" s="8" t="inlineStr">
        <is>
          <t>352</t>
        </is>
      </c>
      <c r="B33" s="8" t="inlineStr">
        <is>
          <t>Dự phòng phải trả</t>
        </is>
      </c>
      <c r="C33" s="9" t="n">
        <v>0</v>
      </c>
      <c r="D33" s="9" t="n">
        <v>30000000</v>
      </c>
      <c r="E33" s="9" t="n">
        <v>10000000</v>
      </c>
      <c r="F33" s="9" t="n">
        <v>15000000</v>
      </c>
      <c r="G33" s="9" t="n">
        <v>0</v>
      </c>
      <c r="H33" s="9" t="n">
        <v>35000000</v>
      </c>
      <c r="I33" s="10">
        <f>IF(A33="",0,IF(SUMPRODUCT((LEFT($A$4:$A$108,LEN(A33))=A33)*(LEN($A$4:$A$108)&gt;LEN(A33)))&gt;0,0,1))</f>
        <v/>
      </c>
    </row>
    <row r="34">
      <c r="A34" s="8" t="inlineStr">
        <is>
          <t>353</t>
        </is>
      </c>
      <c r="B34" s="8" t="inlineStr">
        <is>
          <t>Quỹ khen thưởng, phúc lợi</t>
        </is>
      </c>
      <c r="C34" s="9" t="n">
        <v>0</v>
      </c>
      <c r="D34" s="9" t="n">
        <v>50000000</v>
      </c>
      <c r="E34" s="9" t="n">
        <v>40000000</v>
      </c>
      <c r="F34" s="9" t="n">
        <v>60000000</v>
      </c>
      <c r="G34" s="9" t="n">
        <v>0</v>
      </c>
      <c r="H34" s="9" t="n">
        <v>70000000</v>
      </c>
      <c r="I34" s="10">
        <f>IF(A34="",0,IF(SUMPRODUCT((LEFT($A$4:$A$108,LEN(A34))=A34)*(LEN($A$4:$A$108)&gt;LEN(A34)))&gt;0,0,1))</f>
        <v/>
      </c>
    </row>
    <row r="35">
      <c r="A35" s="8" t="inlineStr">
        <is>
          <t>4111</t>
        </is>
      </c>
      <c r="B35" s="8" t="inlineStr">
        <is>
          <t>Vốn góp của chủ sở hữu</t>
        </is>
      </c>
      <c r="C35" s="9" t="n">
        <v>0</v>
      </c>
      <c r="D35" s="9" t="n">
        <v>2400000000</v>
      </c>
      <c r="E35" s="9" t="n">
        <v>0</v>
      </c>
      <c r="F35" s="9" t="n">
        <v>0</v>
      </c>
      <c r="G35" s="9" t="n">
        <v>0</v>
      </c>
      <c r="H35" s="9" t="n">
        <v>2400000000</v>
      </c>
      <c r="I35" s="10">
        <f>IF(A35="",0,IF(SUMPRODUCT((LEFT($A$4:$A$108,LEN(A35))=A35)*(LEN($A$4:$A$108)&gt;LEN(A35)))&gt;0,0,1))</f>
        <v/>
      </c>
    </row>
    <row r="36">
      <c r="A36" s="8" t="inlineStr">
        <is>
          <t>418</t>
        </is>
      </c>
      <c r="B36" s="8" t="inlineStr">
        <is>
          <t>Các quỹ thuộc vốn chủ sở hữu</t>
        </is>
      </c>
      <c r="C36" s="9" t="n">
        <v>0</v>
      </c>
      <c r="D36" s="9" t="n">
        <v>100000000</v>
      </c>
      <c r="E36" s="9" t="n">
        <v>0</v>
      </c>
      <c r="F36" s="9" t="n">
        <v>40000000</v>
      </c>
      <c r="G36" s="9" t="n">
        <v>0</v>
      </c>
      <c r="H36" s="9" t="n">
        <v>140000000</v>
      </c>
      <c r="I36" s="10">
        <f>IF(A36="",0,IF(SUMPRODUCT((LEFT($A$4:$A$108,LEN(A36))=A36)*(LEN($A$4:$A$108)&gt;LEN(A36)))&gt;0,0,1))</f>
        <v/>
      </c>
    </row>
    <row r="37">
      <c r="A37" s="8" t="inlineStr">
        <is>
          <t>4211</t>
        </is>
      </c>
      <c r="B37" s="8" t="inlineStr">
        <is>
          <t>LNST chưa phân phối năm trước</t>
        </is>
      </c>
      <c r="C37" s="9" t="n">
        <v>0</v>
      </c>
      <c r="D37" s="9" t="n">
        <v>438000000</v>
      </c>
      <c r="E37" s="9" t="n">
        <v>100000000</v>
      </c>
      <c r="F37" s="9" t="n">
        <v>0</v>
      </c>
      <c r="G37" s="9" t="n">
        <v>0</v>
      </c>
      <c r="H37" s="9" t="n">
        <v>338000000</v>
      </c>
      <c r="I37" s="10">
        <f>IF(A37="",0,IF(SUMPRODUCT((LEFT($A$4:$A$108,LEN(A37))=A37)*(LEN($A$4:$A$108)&gt;LEN(A37)))&gt;0,0,1))</f>
        <v/>
      </c>
    </row>
    <row r="38">
      <c r="A38" s="8" t="inlineStr">
        <is>
          <t>4212</t>
        </is>
      </c>
      <c r="B38" s="8" t="inlineStr">
        <is>
          <t>LNST chưa phân phối năm nay</t>
        </is>
      </c>
      <c r="C38" s="9" t="n">
        <v>0</v>
      </c>
      <c r="D38" s="9" t="n">
        <v>0</v>
      </c>
      <c r="E38" s="9" t="n">
        <v>0</v>
      </c>
      <c r="F38" s="9" t="n">
        <v>267000000</v>
      </c>
      <c r="G38" s="9" t="n">
        <v>0</v>
      </c>
      <c r="H38" s="9" t="n">
        <v>267000000</v>
      </c>
      <c r="I38" s="10">
        <f>IF(A38="",0,IF(SUMPRODUCT((LEFT($A$4:$A$108,LEN(A38))=A38)*(LEN($A$4:$A$108)&gt;LEN(A38)))&gt;0,0,1))</f>
        <v/>
      </c>
    </row>
    <row r="39">
      <c r="A39" s="8" t="inlineStr">
        <is>
          <t>511</t>
        </is>
      </c>
      <c r="B39" s="8" t="inlineStr">
        <is>
          <t>Doanh thu bán hàng và cung cấp dịch vụ</t>
        </is>
      </c>
      <c r="C39" s="9" t="n">
        <v>0</v>
      </c>
      <c r="D39" s="9" t="n">
        <v>0</v>
      </c>
      <c r="E39" s="9" t="n">
        <v>4845000000</v>
      </c>
      <c r="F39" s="9" t="n">
        <v>4845000000</v>
      </c>
      <c r="G39" s="9" t="n">
        <v>0</v>
      </c>
      <c r="H39" s="9" t="n">
        <v>0</v>
      </c>
      <c r="I39" s="10">
        <f>IF(A39="",0,IF(SUMPRODUCT((LEFT($A$4:$A$108,LEN(A39))=A39)*(LEN($A$4:$A$108)&gt;LEN(A39)))&gt;0,0,1))</f>
        <v/>
      </c>
    </row>
    <row r="40">
      <c r="A40" s="8" t="inlineStr">
        <is>
          <t>515</t>
        </is>
      </c>
      <c r="B40" s="8" t="inlineStr">
        <is>
          <t>Doanh thu hoạt động tài chính</t>
        </is>
      </c>
      <c r="C40" s="9" t="n">
        <v>0</v>
      </c>
      <c r="D40" s="9" t="n">
        <v>0</v>
      </c>
      <c r="E40" s="9" t="n">
        <v>48000000</v>
      </c>
      <c r="F40" s="9" t="n">
        <v>48000000</v>
      </c>
      <c r="G40" s="9" t="n">
        <v>0</v>
      </c>
      <c r="H40" s="9" t="n">
        <v>0</v>
      </c>
      <c r="I40" s="10">
        <f>IF(A40="",0,IF(SUMPRODUCT((LEFT($A$4:$A$108,LEN(A40))=A40)*(LEN($A$4:$A$108)&gt;LEN(A40)))&gt;0,0,1))</f>
        <v/>
      </c>
    </row>
    <row r="41">
      <c r="A41" s="8" t="inlineStr">
        <is>
          <t>632</t>
        </is>
      </c>
      <c r="B41" s="8" t="inlineStr">
        <is>
          <t>Giá vốn hàng bán</t>
        </is>
      </c>
      <c r="C41" s="9" t="n">
        <v>0</v>
      </c>
      <c r="D41" s="9" t="n">
        <v>0</v>
      </c>
      <c r="E41" s="9" t="n">
        <v>3200000000</v>
      </c>
      <c r="F41" s="9" t="n">
        <v>3200000000</v>
      </c>
      <c r="G41" s="9" t="n">
        <v>0</v>
      </c>
      <c r="H41" s="9" t="n">
        <v>0</v>
      </c>
      <c r="I41" s="10">
        <f>IF(A41="",0,IF(SUMPRODUCT((LEFT($A$4:$A$108,LEN(A41))=A41)*(LEN($A$4:$A$108)&gt;LEN(A41)))&gt;0,0,1))</f>
        <v/>
      </c>
    </row>
    <row r="42">
      <c r="A42" s="8" t="inlineStr">
        <is>
          <t>635</t>
        </is>
      </c>
      <c r="B42" s="8" t="inlineStr">
        <is>
          <t>Chi phí tài chính</t>
        </is>
      </c>
      <c r="C42" s="9" t="n">
        <v>0</v>
      </c>
      <c r="D42" s="9" t="n">
        <v>0</v>
      </c>
      <c r="E42" s="9" t="n">
        <v>132000000</v>
      </c>
      <c r="F42" s="9" t="n">
        <v>132000000</v>
      </c>
      <c r="G42" s="9" t="n">
        <v>0</v>
      </c>
      <c r="H42" s="9" t="n">
        <v>0</v>
      </c>
      <c r="I42" s="10">
        <f>IF(A42="",0,IF(SUMPRODUCT((LEFT($A$4:$A$108,LEN(A42))=A42)*(LEN($A$4:$A$108)&gt;LEN(A42)))&gt;0,0,1))</f>
        <v/>
      </c>
    </row>
    <row r="43">
      <c r="A43" s="8" t="inlineStr">
        <is>
          <t>6421</t>
        </is>
      </c>
      <c r="B43" s="8" t="inlineStr">
        <is>
          <t>Chi phí bán hàng</t>
        </is>
      </c>
      <c r="C43" s="9" t="n">
        <v>0</v>
      </c>
      <c r="D43" s="9" t="n">
        <v>0</v>
      </c>
      <c r="E43" s="9" t="n">
        <v>515000000</v>
      </c>
      <c r="F43" s="9" t="n">
        <v>515000000</v>
      </c>
      <c r="G43" s="9" t="n">
        <v>0</v>
      </c>
      <c r="H43" s="9" t="n">
        <v>0</v>
      </c>
      <c r="I43" s="10">
        <f>IF(A43="",0,IF(SUMPRODUCT((LEFT($A$4:$A$108,LEN(A43))=A43)*(LEN($A$4:$A$108)&gt;LEN(A43)))&gt;0,0,1))</f>
        <v/>
      </c>
    </row>
    <row r="44">
      <c r="A44" s="8" t="inlineStr">
        <is>
          <t>6422</t>
        </is>
      </c>
      <c r="B44" s="8" t="inlineStr">
        <is>
          <t>Chi phí quản lý doanh nghiệp</t>
        </is>
      </c>
      <c r="C44" s="9" t="n">
        <v>0</v>
      </c>
      <c r="D44" s="9" t="n">
        <v>0</v>
      </c>
      <c r="E44" s="9" t="n">
        <v>679000000</v>
      </c>
      <c r="F44" s="9" t="n">
        <v>679000000</v>
      </c>
      <c r="G44" s="9" t="n">
        <v>0</v>
      </c>
      <c r="H44" s="9" t="n">
        <v>0</v>
      </c>
      <c r="I44" s="10">
        <f>IF(A44="",0,IF(SUMPRODUCT((LEFT($A$4:$A$108,LEN(A44))=A44)*(LEN($A$4:$A$108)&gt;LEN(A44)))&gt;0,0,1))</f>
        <v/>
      </c>
    </row>
    <row r="45">
      <c r="A45" s="8" t="inlineStr">
        <is>
          <t>711</t>
        </is>
      </c>
      <c r="B45" s="8" t="inlineStr">
        <is>
          <t>Thu nhập khác</t>
        </is>
      </c>
      <c r="C45" s="9" t="n">
        <v>0</v>
      </c>
      <c r="D45" s="9" t="n">
        <v>0</v>
      </c>
      <c r="E45" s="9" t="n">
        <v>35000000</v>
      </c>
      <c r="F45" s="9" t="n">
        <v>35000000</v>
      </c>
      <c r="G45" s="9" t="n">
        <v>0</v>
      </c>
      <c r="H45" s="9" t="n">
        <v>0</v>
      </c>
      <c r="I45" s="10">
        <f>IF(A45="",0,IF(SUMPRODUCT((LEFT($A$4:$A$108,LEN(A45))=A45)*(LEN($A$4:$A$108)&gt;LEN(A45)))&gt;0,0,1))</f>
        <v/>
      </c>
    </row>
    <row r="46">
      <c r="A46" s="8" t="inlineStr">
        <is>
          <t>811</t>
        </is>
      </c>
      <c r="B46" s="8" t="inlineStr">
        <is>
          <t>Chi phí khác</t>
        </is>
      </c>
      <c r="C46" s="9" t="n">
        <v>0</v>
      </c>
      <c r="D46" s="9" t="n">
        <v>0</v>
      </c>
      <c r="E46" s="9" t="n">
        <v>18000000</v>
      </c>
      <c r="F46" s="9" t="n">
        <v>18000000</v>
      </c>
      <c r="G46" s="9" t="n">
        <v>0</v>
      </c>
      <c r="H46" s="9" t="n">
        <v>0</v>
      </c>
      <c r="I46" s="10">
        <f>IF(A46="",0,IF(SUMPRODUCT((LEFT($A$4:$A$108,LEN(A46))=A46)*(LEN($A$4:$A$108)&gt;LEN(A46)))&gt;0,0,1))</f>
        <v/>
      </c>
    </row>
    <row r="47">
      <c r="A47" s="8" t="inlineStr">
        <is>
          <t>821</t>
        </is>
      </c>
      <c r="B47" s="8" t="inlineStr">
        <is>
          <t>Chi phí thuế thu nhập doanh nghiệp</t>
        </is>
      </c>
      <c r="C47" s="9" t="n">
        <v>0</v>
      </c>
      <c r="D47" s="9" t="n">
        <v>0</v>
      </c>
      <c r="E47" s="9" t="n">
        <v>67000000</v>
      </c>
      <c r="F47" s="9" t="n">
        <v>67000000</v>
      </c>
      <c r="G47" s="9" t="n">
        <v>0</v>
      </c>
      <c r="H47" s="9" t="n">
        <v>0</v>
      </c>
      <c r="I47" s="10">
        <f>IF(A47="",0,IF(SUMPRODUCT((LEFT($A$4:$A$108,LEN(A47))=A47)*(LEN($A$4:$A$108)&gt;LEN(A47)))&gt;0,0,1))</f>
        <v/>
      </c>
    </row>
    <row r="48">
      <c r="A48" s="8" t="inlineStr">
        <is>
          <t>911</t>
        </is>
      </c>
      <c r="B48" s="8" t="inlineStr">
        <is>
          <t>Xác định kết quả kinh doanh</t>
        </is>
      </c>
      <c r="C48" s="9" t="n">
        <v>0</v>
      </c>
      <c r="D48" s="9" t="n">
        <v>0</v>
      </c>
      <c r="E48" s="9" t="n">
        <v>4878000000</v>
      </c>
      <c r="F48" s="9" t="n">
        <v>4878000000</v>
      </c>
      <c r="G48" s="9" t="n">
        <v>0</v>
      </c>
      <c r="H48" s="9" t="n">
        <v>0</v>
      </c>
      <c r="I48" s="10">
        <f>IF(A48="",0,IF(SUMPRODUCT((LEFT($A$4:$A$108,LEN(A48))=A48)*(LEN($A$4:$A$108)&gt;LEN(A48)))&gt;0,0,1))</f>
        <v/>
      </c>
    </row>
    <row r="49">
      <c r="A49" s="8" t="inlineStr"/>
      <c r="B49" s="8" t="inlineStr"/>
      <c r="I49" s="10">
        <f>IF(A49="",0,IF(SUMPRODUCT((LEFT($A$4:$A$108,LEN(A49))=A49)*(LEN($A$4:$A$108)&gt;LEN(A49)))&gt;0,0,1))</f>
        <v/>
      </c>
    </row>
    <row r="50">
      <c r="A50" s="8" t="inlineStr"/>
      <c r="B50" s="8" t="inlineStr"/>
      <c r="I50" s="10">
        <f>IF(A50="",0,IF(SUMPRODUCT((LEFT($A$4:$A$108,LEN(A50))=A50)*(LEN($A$4:$A$108)&gt;LEN(A50)))&gt;0,0,1))</f>
        <v/>
      </c>
    </row>
    <row r="51">
      <c r="A51" s="8" t="inlineStr"/>
      <c r="B51" s="8" t="inlineStr"/>
      <c r="I51" s="10">
        <f>IF(A51="",0,IF(SUMPRODUCT((LEFT($A$4:$A$108,LEN(A51))=A51)*(LEN($A$4:$A$108)&gt;LEN(A51)))&gt;0,0,1))</f>
        <v/>
      </c>
    </row>
    <row r="52">
      <c r="A52" s="8" t="inlineStr"/>
      <c r="B52" s="8" t="inlineStr"/>
      <c r="I52" s="10">
        <f>IF(A52="",0,IF(SUMPRODUCT((LEFT($A$4:$A$108,LEN(A52))=A52)*(LEN($A$4:$A$108)&gt;LEN(A52)))&gt;0,0,1))</f>
        <v/>
      </c>
    </row>
    <row r="53">
      <c r="A53" s="8" t="inlineStr"/>
      <c r="B53" s="8" t="inlineStr"/>
      <c r="I53" s="10">
        <f>IF(A53="",0,IF(SUMPRODUCT((LEFT($A$4:$A$108,LEN(A53))=A53)*(LEN($A$4:$A$108)&gt;LEN(A53)))&gt;0,0,1))</f>
        <v/>
      </c>
    </row>
    <row r="54">
      <c r="A54" s="8" t="inlineStr"/>
      <c r="B54" s="8" t="inlineStr"/>
      <c r="I54" s="10">
        <f>IF(A54="",0,IF(SUMPRODUCT((LEFT($A$4:$A$108,LEN(A54))=A54)*(LEN($A$4:$A$108)&gt;LEN(A54)))&gt;0,0,1))</f>
        <v/>
      </c>
    </row>
    <row r="55">
      <c r="A55" s="8" t="inlineStr"/>
      <c r="B55" s="8" t="inlineStr"/>
      <c r="I55" s="10">
        <f>IF(A55="",0,IF(SUMPRODUCT((LEFT($A$4:$A$108,LEN(A55))=A55)*(LEN($A$4:$A$108)&gt;LEN(A55)))&gt;0,0,1))</f>
        <v/>
      </c>
    </row>
    <row r="56">
      <c r="A56" s="8" t="inlineStr"/>
      <c r="B56" s="8" t="inlineStr"/>
      <c r="I56" s="10">
        <f>IF(A56="",0,IF(SUMPRODUCT((LEFT($A$4:$A$108,LEN(A56))=A56)*(LEN($A$4:$A$108)&gt;LEN(A56)))&gt;0,0,1))</f>
        <v/>
      </c>
    </row>
    <row r="57">
      <c r="A57" s="8" t="inlineStr"/>
      <c r="B57" s="8" t="inlineStr"/>
      <c r="I57" s="10">
        <f>IF(A57="",0,IF(SUMPRODUCT((LEFT($A$4:$A$108,LEN(A57))=A57)*(LEN($A$4:$A$108)&gt;LEN(A57)))&gt;0,0,1))</f>
        <v/>
      </c>
    </row>
    <row r="58">
      <c r="A58" s="8" t="inlineStr"/>
      <c r="B58" s="8" t="inlineStr"/>
      <c r="I58" s="10">
        <f>IF(A58="",0,IF(SUMPRODUCT((LEFT($A$4:$A$108,LEN(A58))=A58)*(LEN($A$4:$A$108)&gt;LEN(A58)))&gt;0,0,1))</f>
        <v/>
      </c>
    </row>
    <row r="59">
      <c r="A59" s="8" t="inlineStr"/>
      <c r="B59" s="8" t="inlineStr"/>
      <c r="I59" s="10">
        <f>IF(A59="",0,IF(SUMPRODUCT((LEFT($A$4:$A$108,LEN(A59))=A59)*(LEN($A$4:$A$108)&gt;LEN(A59)))&gt;0,0,1))</f>
        <v/>
      </c>
    </row>
    <row r="60">
      <c r="A60" s="8" t="inlineStr"/>
      <c r="B60" s="8" t="inlineStr"/>
      <c r="I60" s="10">
        <f>IF(A60="",0,IF(SUMPRODUCT((LEFT($A$4:$A$108,LEN(A60))=A60)*(LEN($A$4:$A$108)&gt;LEN(A60)))&gt;0,0,1))</f>
        <v/>
      </c>
    </row>
    <row r="61">
      <c r="A61" s="8" t="inlineStr"/>
      <c r="B61" s="8" t="inlineStr"/>
      <c r="I61" s="10">
        <f>IF(A61="",0,IF(SUMPRODUCT((LEFT($A$4:$A$108,LEN(A61))=A61)*(LEN($A$4:$A$108)&gt;LEN(A61)))&gt;0,0,1))</f>
        <v/>
      </c>
    </row>
    <row r="62">
      <c r="A62" s="8" t="inlineStr"/>
      <c r="B62" s="8" t="inlineStr"/>
      <c r="I62" s="10">
        <f>IF(A62="",0,IF(SUMPRODUCT((LEFT($A$4:$A$108,LEN(A62))=A62)*(LEN($A$4:$A$108)&gt;LEN(A62)))&gt;0,0,1))</f>
        <v/>
      </c>
    </row>
    <row r="63">
      <c r="A63" s="8" t="inlineStr"/>
      <c r="B63" s="8" t="inlineStr"/>
      <c r="I63" s="10">
        <f>IF(A63="",0,IF(SUMPRODUCT((LEFT($A$4:$A$108,LEN(A63))=A63)*(LEN($A$4:$A$108)&gt;LEN(A63)))&gt;0,0,1))</f>
        <v/>
      </c>
    </row>
    <row r="64">
      <c r="A64" s="8" t="inlineStr"/>
      <c r="B64" s="8" t="inlineStr"/>
      <c r="I64" s="10">
        <f>IF(A64="",0,IF(SUMPRODUCT((LEFT($A$4:$A$108,LEN(A64))=A64)*(LEN($A$4:$A$108)&gt;LEN(A64)))&gt;0,0,1))</f>
        <v/>
      </c>
    </row>
    <row r="65">
      <c r="A65" s="8" t="inlineStr"/>
      <c r="B65" s="8" t="inlineStr"/>
      <c r="I65" s="10">
        <f>IF(A65="",0,IF(SUMPRODUCT((LEFT($A$4:$A$108,LEN(A65))=A65)*(LEN($A$4:$A$108)&gt;LEN(A65)))&gt;0,0,1))</f>
        <v/>
      </c>
    </row>
    <row r="66">
      <c r="A66" s="8" t="inlineStr"/>
      <c r="B66" s="8" t="inlineStr"/>
      <c r="I66" s="10">
        <f>IF(A66="",0,IF(SUMPRODUCT((LEFT($A$4:$A$108,LEN(A66))=A66)*(LEN($A$4:$A$108)&gt;LEN(A66)))&gt;0,0,1))</f>
        <v/>
      </c>
    </row>
    <row r="67">
      <c r="A67" s="8" t="inlineStr"/>
      <c r="B67" s="8" t="inlineStr"/>
      <c r="I67" s="10">
        <f>IF(A67="",0,IF(SUMPRODUCT((LEFT($A$4:$A$108,LEN(A67))=A67)*(LEN($A$4:$A$108)&gt;LEN(A67)))&gt;0,0,1))</f>
        <v/>
      </c>
    </row>
    <row r="68">
      <c r="A68" s="8" t="inlineStr"/>
      <c r="B68" s="8" t="inlineStr"/>
      <c r="I68" s="10">
        <f>IF(A68="",0,IF(SUMPRODUCT((LEFT($A$4:$A$108,LEN(A68))=A68)*(LEN($A$4:$A$108)&gt;LEN(A68)))&gt;0,0,1))</f>
        <v/>
      </c>
    </row>
    <row r="69">
      <c r="A69" s="8" t="inlineStr"/>
      <c r="B69" s="8" t="inlineStr"/>
      <c r="I69" s="10">
        <f>IF(A69="",0,IF(SUMPRODUCT((LEFT($A$4:$A$108,LEN(A69))=A69)*(LEN($A$4:$A$108)&gt;LEN(A69)))&gt;0,0,1))</f>
        <v/>
      </c>
    </row>
    <row r="70">
      <c r="A70" s="8" t="inlineStr"/>
      <c r="B70" s="8" t="inlineStr"/>
      <c r="I70" s="10">
        <f>IF(A70="",0,IF(SUMPRODUCT((LEFT($A$4:$A$108,LEN(A70))=A70)*(LEN($A$4:$A$108)&gt;LEN(A70)))&gt;0,0,1))</f>
        <v/>
      </c>
    </row>
    <row r="71">
      <c r="A71" s="8" t="inlineStr"/>
      <c r="B71" s="8" t="inlineStr"/>
      <c r="I71" s="10">
        <f>IF(A71="",0,IF(SUMPRODUCT((LEFT($A$4:$A$108,LEN(A71))=A71)*(LEN($A$4:$A$108)&gt;LEN(A71)))&gt;0,0,1))</f>
        <v/>
      </c>
    </row>
    <row r="72">
      <c r="A72" s="8" t="inlineStr"/>
      <c r="B72" s="8" t="inlineStr"/>
      <c r="I72" s="10">
        <f>IF(A72="",0,IF(SUMPRODUCT((LEFT($A$4:$A$108,LEN(A72))=A72)*(LEN($A$4:$A$108)&gt;LEN(A72)))&gt;0,0,1))</f>
        <v/>
      </c>
    </row>
    <row r="73">
      <c r="A73" s="8" t="inlineStr"/>
      <c r="B73" s="8" t="inlineStr"/>
      <c r="I73" s="10">
        <f>IF(A73="",0,IF(SUMPRODUCT((LEFT($A$4:$A$108,LEN(A73))=A73)*(LEN($A$4:$A$108)&gt;LEN(A73)))&gt;0,0,1))</f>
        <v/>
      </c>
    </row>
    <row r="74">
      <c r="A74" s="8" t="inlineStr"/>
      <c r="B74" s="8" t="inlineStr"/>
      <c r="I74" s="10">
        <f>IF(A74="",0,IF(SUMPRODUCT((LEFT($A$4:$A$108,LEN(A74))=A74)*(LEN($A$4:$A$108)&gt;LEN(A74)))&gt;0,0,1))</f>
        <v/>
      </c>
    </row>
    <row r="75">
      <c r="A75" s="8" t="inlineStr"/>
      <c r="B75" s="8" t="inlineStr"/>
      <c r="I75" s="10">
        <f>IF(A75="",0,IF(SUMPRODUCT((LEFT($A$4:$A$108,LEN(A75))=A75)*(LEN($A$4:$A$108)&gt;LEN(A75)))&gt;0,0,1))</f>
        <v/>
      </c>
    </row>
    <row r="76">
      <c r="A76" s="8" t="inlineStr"/>
      <c r="B76" s="8" t="inlineStr"/>
      <c r="I76" s="10">
        <f>IF(A76="",0,IF(SUMPRODUCT((LEFT($A$4:$A$108,LEN(A76))=A76)*(LEN($A$4:$A$108)&gt;LEN(A76)))&gt;0,0,1))</f>
        <v/>
      </c>
    </row>
    <row r="77">
      <c r="A77" s="8" t="inlineStr"/>
      <c r="B77" s="8" t="inlineStr"/>
      <c r="I77" s="10">
        <f>IF(A77="",0,IF(SUMPRODUCT((LEFT($A$4:$A$108,LEN(A77))=A77)*(LEN($A$4:$A$108)&gt;LEN(A77)))&gt;0,0,1))</f>
        <v/>
      </c>
    </row>
    <row r="78">
      <c r="A78" s="8" t="inlineStr"/>
      <c r="B78" s="8" t="inlineStr"/>
      <c r="I78" s="10">
        <f>IF(A78="",0,IF(SUMPRODUCT((LEFT($A$4:$A$108,LEN(A78))=A78)*(LEN($A$4:$A$108)&gt;LEN(A78)))&gt;0,0,1))</f>
        <v/>
      </c>
    </row>
    <row r="79">
      <c r="A79" s="8" t="inlineStr"/>
      <c r="B79" s="8" t="inlineStr"/>
      <c r="I79" s="10">
        <f>IF(A79="",0,IF(SUMPRODUCT((LEFT($A$4:$A$108,LEN(A79))=A79)*(LEN($A$4:$A$108)&gt;LEN(A79)))&gt;0,0,1))</f>
        <v/>
      </c>
    </row>
    <row r="80">
      <c r="A80" s="8" t="inlineStr"/>
      <c r="B80" s="8" t="inlineStr"/>
      <c r="I80" s="10">
        <f>IF(A80="",0,IF(SUMPRODUCT((LEFT($A$4:$A$108,LEN(A80))=A80)*(LEN($A$4:$A$108)&gt;LEN(A80)))&gt;0,0,1))</f>
        <v/>
      </c>
    </row>
    <row r="81">
      <c r="A81" s="8" t="inlineStr"/>
      <c r="B81" s="8" t="inlineStr"/>
      <c r="I81" s="10">
        <f>IF(A81="",0,IF(SUMPRODUCT((LEFT($A$4:$A$108,LEN(A81))=A81)*(LEN($A$4:$A$108)&gt;LEN(A81)))&gt;0,0,1))</f>
        <v/>
      </c>
    </row>
    <row r="82">
      <c r="A82" s="8" t="inlineStr"/>
      <c r="B82" s="8" t="inlineStr"/>
      <c r="I82" s="10">
        <f>IF(A82="",0,IF(SUMPRODUCT((LEFT($A$4:$A$108,LEN(A82))=A82)*(LEN($A$4:$A$108)&gt;LEN(A82)))&gt;0,0,1))</f>
        <v/>
      </c>
    </row>
    <row r="83">
      <c r="A83" s="8" t="inlineStr"/>
      <c r="B83" s="8" t="inlineStr"/>
      <c r="I83" s="10">
        <f>IF(A83="",0,IF(SUMPRODUCT((LEFT($A$4:$A$108,LEN(A83))=A83)*(LEN($A$4:$A$108)&gt;LEN(A83)))&gt;0,0,1))</f>
        <v/>
      </c>
    </row>
    <row r="84">
      <c r="A84" s="8" t="inlineStr"/>
      <c r="B84" s="8" t="inlineStr"/>
      <c r="I84" s="10">
        <f>IF(A84="",0,IF(SUMPRODUCT((LEFT($A$4:$A$108,LEN(A84))=A84)*(LEN($A$4:$A$108)&gt;LEN(A84)))&gt;0,0,1))</f>
        <v/>
      </c>
    </row>
    <row r="85">
      <c r="A85" s="8" t="inlineStr"/>
      <c r="B85" s="8" t="inlineStr"/>
      <c r="I85" s="10">
        <f>IF(A85="",0,IF(SUMPRODUCT((LEFT($A$4:$A$108,LEN(A85))=A85)*(LEN($A$4:$A$108)&gt;LEN(A85)))&gt;0,0,1))</f>
        <v/>
      </c>
    </row>
    <row r="86">
      <c r="A86" s="8" t="inlineStr"/>
      <c r="B86" s="8" t="inlineStr"/>
      <c r="I86" s="10">
        <f>IF(A86="",0,IF(SUMPRODUCT((LEFT($A$4:$A$108,LEN(A86))=A86)*(LEN($A$4:$A$108)&gt;LEN(A86)))&gt;0,0,1))</f>
        <v/>
      </c>
    </row>
    <row r="87">
      <c r="A87" s="8" t="inlineStr"/>
      <c r="B87" s="8" t="inlineStr"/>
      <c r="I87" s="10">
        <f>IF(A87="",0,IF(SUMPRODUCT((LEFT($A$4:$A$108,LEN(A87))=A87)*(LEN($A$4:$A$108)&gt;LEN(A87)))&gt;0,0,1))</f>
        <v/>
      </c>
    </row>
    <row r="88">
      <c r="A88" s="8" t="inlineStr"/>
      <c r="B88" s="8" t="inlineStr"/>
      <c r="I88" s="10">
        <f>IF(A88="",0,IF(SUMPRODUCT((LEFT($A$4:$A$108,LEN(A88))=A88)*(LEN($A$4:$A$108)&gt;LEN(A88)))&gt;0,0,1))</f>
        <v/>
      </c>
    </row>
    <row r="89">
      <c r="A89" s="8" t="inlineStr"/>
      <c r="B89" s="8" t="inlineStr"/>
      <c r="I89" s="10">
        <f>IF(A89="",0,IF(SUMPRODUCT((LEFT($A$4:$A$108,LEN(A89))=A89)*(LEN($A$4:$A$108)&gt;LEN(A89)))&gt;0,0,1))</f>
        <v/>
      </c>
    </row>
    <row r="90">
      <c r="A90" s="8" t="inlineStr"/>
      <c r="B90" s="8" t="inlineStr"/>
      <c r="I90" s="10">
        <f>IF(A90="",0,IF(SUMPRODUCT((LEFT($A$4:$A$108,LEN(A90))=A90)*(LEN($A$4:$A$108)&gt;LEN(A90)))&gt;0,0,1))</f>
        <v/>
      </c>
    </row>
    <row r="91">
      <c r="A91" s="8" t="inlineStr"/>
      <c r="B91" s="8" t="inlineStr"/>
      <c r="I91" s="10">
        <f>IF(A91="",0,IF(SUMPRODUCT((LEFT($A$4:$A$108,LEN(A91))=A91)*(LEN($A$4:$A$108)&gt;LEN(A91)))&gt;0,0,1))</f>
        <v/>
      </c>
    </row>
    <row r="92">
      <c r="A92" s="8" t="inlineStr"/>
      <c r="B92" s="8" t="inlineStr"/>
      <c r="I92" s="10">
        <f>IF(A92="",0,IF(SUMPRODUCT((LEFT($A$4:$A$108,LEN(A92))=A92)*(LEN($A$4:$A$108)&gt;LEN(A92)))&gt;0,0,1))</f>
        <v/>
      </c>
    </row>
    <row r="93">
      <c r="A93" s="8" t="inlineStr"/>
      <c r="B93" s="8" t="inlineStr"/>
      <c r="I93" s="10">
        <f>IF(A93="",0,IF(SUMPRODUCT((LEFT($A$4:$A$108,LEN(A93))=A93)*(LEN($A$4:$A$108)&gt;LEN(A93)))&gt;0,0,1))</f>
        <v/>
      </c>
    </row>
    <row r="94">
      <c r="A94" s="8" t="inlineStr"/>
      <c r="B94" s="8" t="inlineStr"/>
      <c r="I94" s="10">
        <f>IF(A94="",0,IF(SUMPRODUCT((LEFT($A$4:$A$108,LEN(A94))=A94)*(LEN($A$4:$A$108)&gt;LEN(A94)))&gt;0,0,1))</f>
        <v/>
      </c>
    </row>
    <row r="95">
      <c r="A95" s="8" t="inlineStr"/>
      <c r="B95" s="8" t="inlineStr"/>
      <c r="I95" s="10">
        <f>IF(A95="",0,IF(SUMPRODUCT((LEFT($A$4:$A$108,LEN(A95))=A95)*(LEN($A$4:$A$108)&gt;LEN(A95)))&gt;0,0,1))</f>
        <v/>
      </c>
    </row>
    <row r="96">
      <c r="A96" s="8" t="inlineStr"/>
      <c r="B96" s="8" t="inlineStr"/>
      <c r="I96" s="10">
        <f>IF(A96="",0,IF(SUMPRODUCT((LEFT($A$4:$A$108,LEN(A96))=A96)*(LEN($A$4:$A$108)&gt;LEN(A96)))&gt;0,0,1))</f>
        <v/>
      </c>
    </row>
    <row r="97">
      <c r="A97" s="8" t="inlineStr"/>
      <c r="B97" s="8" t="inlineStr"/>
      <c r="I97" s="10">
        <f>IF(A97="",0,IF(SUMPRODUCT((LEFT($A$4:$A$108,LEN(A97))=A97)*(LEN($A$4:$A$108)&gt;LEN(A97)))&gt;0,0,1))</f>
        <v/>
      </c>
    </row>
    <row r="98">
      <c r="A98" s="8" t="inlineStr"/>
      <c r="B98" s="8" t="inlineStr"/>
      <c r="I98" s="10">
        <f>IF(A98="",0,IF(SUMPRODUCT((LEFT($A$4:$A$108,LEN(A98))=A98)*(LEN($A$4:$A$108)&gt;LEN(A98)))&gt;0,0,1))</f>
        <v/>
      </c>
    </row>
    <row r="99">
      <c r="A99" s="8" t="inlineStr"/>
      <c r="B99" s="8" t="inlineStr"/>
      <c r="I99" s="10">
        <f>IF(A99="",0,IF(SUMPRODUCT((LEFT($A$4:$A$108,LEN(A99))=A99)*(LEN($A$4:$A$108)&gt;LEN(A99)))&gt;0,0,1))</f>
        <v/>
      </c>
    </row>
    <row r="100">
      <c r="A100" s="8" t="inlineStr"/>
      <c r="B100" s="8" t="inlineStr"/>
      <c r="I100" s="10">
        <f>IF(A100="",0,IF(SUMPRODUCT((LEFT($A$4:$A$108,LEN(A100))=A100)*(LEN($A$4:$A$108)&gt;LEN(A100)))&gt;0,0,1))</f>
        <v/>
      </c>
    </row>
    <row r="101">
      <c r="A101" s="8" t="inlineStr"/>
      <c r="B101" s="8" t="inlineStr"/>
      <c r="I101" s="10">
        <f>IF(A101="",0,IF(SUMPRODUCT((LEFT($A$4:$A$108,LEN(A101))=A101)*(LEN($A$4:$A$108)&gt;LEN(A101)))&gt;0,0,1))</f>
        <v/>
      </c>
    </row>
    <row r="102">
      <c r="A102" s="8" t="inlineStr"/>
      <c r="B102" s="8" t="inlineStr"/>
      <c r="I102" s="10">
        <f>IF(A102="",0,IF(SUMPRODUCT((LEFT($A$4:$A$108,LEN(A102))=A102)*(LEN($A$4:$A$108)&gt;LEN(A102)))&gt;0,0,1))</f>
        <v/>
      </c>
    </row>
    <row r="103">
      <c r="A103" s="8" t="inlineStr"/>
      <c r="B103" s="8" t="inlineStr"/>
      <c r="I103" s="10">
        <f>IF(A103="",0,IF(SUMPRODUCT((LEFT($A$4:$A$108,LEN(A103))=A103)*(LEN($A$4:$A$108)&gt;LEN(A103)))&gt;0,0,1))</f>
        <v/>
      </c>
    </row>
    <row r="104">
      <c r="A104" s="8" t="inlineStr"/>
      <c r="B104" s="8" t="inlineStr"/>
      <c r="I104" s="10">
        <f>IF(A104="",0,IF(SUMPRODUCT((LEFT($A$4:$A$108,LEN(A104))=A104)*(LEN($A$4:$A$108)&gt;LEN(A104)))&gt;0,0,1))</f>
        <v/>
      </c>
    </row>
    <row r="105">
      <c r="A105" s="8" t="inlineStr"/>
      <c r="B105" s="8" t="inlineStr"/>
      <c r="I105" s="10">
        <f>IF(A105="",0,IF(SUMPRODUCT((LEFT($A$4:$A$108,LEN(A105))=A105)*(LEN($A$4:$A$108)&gt;LEN(A105)))&gt;0,0,1))</f>
        <v/>
      </c>
    </row>
    <row r="106">
      <c r="A106" s="8" t="inlineStr"/>
      <c r="B106" s="8" t="inlineStr"/>
      <c r="I106" s="10">
        <f>IF(A106="",0,IF(SUMPRODUCT((LEFT($A$4:$A$108,LEN(A106))=A106)*(LEN($A$4:$A$108)&gt;LEN(A106)))&gt;0,0,1))</f>
        <v/>
      </c>
    </row>
    <row r="107">
      <c r="A107" s="8" t="inlineStr"/>
      <c r="B107" s="8" t="inlineStr"/>
      <c r="I107" s="10">
        <f>IF(A107="",0,IF(SUMPRODUCT((LEFT($A$4:$A$108,LEN(A107))=A107)*(LEN($A$4:$A$108)&gt;LEN(A107)))&gt;0,0,1))</f>
        <v/>
      </c>
    </row>
    <row r="108">
      <c r="A108" s="8" t="inlineStr"/>
      <c r="B108" s="8" t="inlineStr"/>
      <c r="I108" s="10">
        <f>IF(A108="",0,IF(SUMPRODUCT((LEFT($A$4:$A$108,LEN(A108))=A108)*(LEN($A$4:$A$108)&gt;LEN(A108)))&gt;0,0,1))</f>
        <v/>
      </c>
    </row>
    <row r="109">
      <c r="A109" s="54" t="inlineStr"/>
      <c r="B109" s="54" t="inlineStr">
        <is>
          <t>CỘNG (chỉ dòng lá)</t>
        </is>
      </c>
      <c r="C109" s="12">
        <f>SUMPRODUCT(($I$4:$I$108=1)*C$4:C$108)</f>
        <v/>
      </c>
      <c r="D109" s="12">
        <f>SUMPRODUCT(($I$4:$I$108=1)*D$4:D$108)</f>
        <v/>
      </c>
      <c r="E109" s="12">
        <f>SUMPRODUCT(($I$4:$I$108=1)*E$4:E$108)</f>
        <v/>
      </c>
      <c r="F109" s="12">
        <f>SUMPRODUCT(($I$4:$I$108=1)*F$4:F$108)</f>
        <v/>
      </c>
      <c r="G109" s="12">
        <f>SUMPRODUCT(($I$4:$I$108=1)*G$4:G$108)</f>
        <v/>
      </c>
      <c r="H109" s="12">
        <f>SUMPRODUCT(($I$4:$I$108=1)*H$4:H$108)</f>
        <v/>
      </c>
    </row>
    <row r="110">
      <c r="A110" s="46" t="inlineStr"/>
      <c r="B110" s="46" t="inlineStr">
        <is>
          <t>KIỂM TRA CÂN ĐỐI</t>
        </is>
      </c>
      <c r="C110" s="46">
        <f>IF(ABS(C109-D109)&lt;=1,"✓ Dư đầu kỳ cân","✗ Lệch "&amp;TEXT(C109-D109,"#,##0"))</f>
        <v/>
      </c>
      <c r="E110" s="46">
        <f>IF(ABS(E109-F109)&lt;=1,"✓ Phát sinh cân","✗ Lệch "&amp;TEXT(E109-F109,"#,##0"))</f>
        <v/>
      </c>
      <c r="G110" s="46">
        <f>IF(ABS(G109-H109)&lt;=1,"✓ Dư cuối kỳ cân","✗ Lệch "&amp;TEXT(G109-H109,"#,##0"))</f>
        <v/>
      </c>
    </row>
    <row r="111"/>
    <row r="112">
      <c r="A112" s="40" t="inlineStr">
        <is>
          <t>Lập bằng Công cụ lập &amp; kiểm tra BCTC theo Thông tư 133 — KK HOME ·  · TT133-MAP-2026.08 · Xuất lúc 10:59:49 14/8/2026</t>
        </is>
      </c>
    </row>
  </sheetData>
  <sheetProtection selectLockedCells="0" selectUnlockedCells="0" sheet="1" objects="0" insertRows="1" insertHyperlinks="1" autoFilter="0" scenarios="0" formatColumns="1" deleteColumns="1" insertColumns="1" pivotTables="1" deleteRows="1" formatCells="1" formatRows="1" sort="0"/>
  <autoFilter ref="A3:I108"/>
  <mergeCells count="3">
    <mergeCell ref="A1:I1"/>
    <mergeCell ref="A112:I112"/>
    <mergeCell ref="A2:I2"/>
  </mergeCells>
  <printOptions horizontalCentered="1"/>
  <pageMargins left="0.5" right="0.4" top="0.6" bottom="0.6" header="0.3" footer="0.3"/>
  <pageSetup orientation="landscape" paperSize="9" fitToHeight="0"/>
  <headerFooter>
    <oddHeader>&amp;LCÔNG TY TNHH THƯƠNG MẠI MINH ANH&amp;RMST: 0101234567</oddHeader>
    <oddFooter>&amp;LMr Wick Kiểm toán · taichinhketoanedu.com&amp;C&amp;P/&amp;N&amp;RNăm 2025 · Đồng</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68"/>
  <sheetViews>
    <sheetView workbookViewId="0">
      <pane ySplit="3" topLeftCell="A4" activePane="bottomLeft" state="frozen"/>
      <selection pane="bottomLeft" activeCell="A1" sqref="A1:E1"/>
    </sheetView>
  </sheetViews>
  <sheetFormatPr baseColWidth="10" defaultColWidth="8.83203125" defaultRowHeight="15"/>
  <cols>
    <col width="10" customWidth="1" min="1" max="1"/>
    <col width="46" customWidth="1" min="2" max="3"/>
    <col width="18" customWidth="1" min="4" max="4"/>
    <col width="60" customWidth="1" min="5" max="5"/>
  </cols>
  <sheetData>
    <row r="1" ht="22" customHeight="1">
      <c r="A1" s="38" t="inlineStr">
        <is>
          <t>BẢNG MAPPING TÀI KHOẢN → CHỈ TIÊU BÁO CÁO TÀI CHÍNH · TT133-MAP-2026.08</t>
        </is>
      </c>
    </row>
    <row r="2">
      <c r="A2" s="39" t="inlineStr">
        <is>
          <t>Bảng này tách khỏi giao diện để dễ bảo trì khi Thông tư thay đổi. Mỗi chỉ tiêu ghi rõ nguồn số liệu và căn cứ.</t>
        </is>
      </c>
    </row>
    <row r="3" ht="30" customHeight="1">
      <c r="A3" s="53" t="inlineStr">
        <is>
          <t>Mã số</t>
        </is>
      </c>
      <c r="B3" s="53" t="inlineStr">
        <is>
          <t>Tên chỉ tiêu</t>
        </is>
      </c>
      <c r="C3" s="53" t="inlineStr">
        <is>
          <t>Tài khoản nguồn / Công thức</t>
        </is>
      </c>
      <c r="D3" s="53" t="inlineStr">
        <is>
          <t>Dấu trình bày</t>
        </is>
      </c>
      <c r="E3" s="53" t="inlineStr">
        <is>
          <t>Ghi chú nguồn số liệu — căn cứ TT133</t>
        </is>
      </c>
    </row>
    <row r="4">
      <c r="A4" s="41" t="inlineStr">
        <is>
          <t>BÁO CÁO TÌNH HÌNH TÀI CHÍNH — B01a-DNN</t>
        </is>
      </c>
    </row>
    <row r="5" ht="48" customHeight="1">
      <c r="A5" s="13" t="inlineStr">
        <is>
          <t>110</t>
        </is>
      </c>
      <c r="B5" s="14" t="inlineStr">
        <is>
          <t>Tiền và các khoản tương đương tiền</t>
        </is>
      </c>
      <c r="C5" s="13" t="inlineStr">
        <is>
          <t>TK 111 (dư Nợ), TK 112 (dư Nợ), + khai báo CASH_EQ_128</t>
        </is>
      </c>
      <c r="D5" s="13" t="inlineStr">
        <is>
          <t>Dương</t>
        </is>
      </c>
      <c r="E5" s="13" t="inlineStr">
        <is>
          <t>Tiền mặt, tiền gửi ngân hàng không kỳ hạn và các khoản tương đương tiền (TK 1281, 1288 có kỳ hạn gốc ≤ 3 tháng). Phần TK 128 là tương đương tiền phải nhập ở Bước 3 vì bảng cân đối tổng hợp không tách được kỳ hạn.</t>
        </is>
      </c>
    </row>
    <row r="6" ht="16" customHeight="1">
      <c r="A6" s="13" t="inlineStr">
        <is>
          <t>120</t>
        </is>
      </c>
      <c r="B6" s="14" t="inlineStr">
        <is>
          <t>Đầu tư tài chính</t>
        </is>
      </c>
      <c r="C6" s="13" t="inlineStr">
        <is>
          <t>= Mã 121 + Mã 122 + Mã 123 + Mã 124</t>
        </is>
      </c>
      <c r="D6" s="13" t="inlineStr">
        <is>
          <t>Dương</t>
        </is>
      </c>
      <c r="E6" s="13" t="inlineStr">
        <is>
          <t>Chỉ tiêu tổng hợp: 120 = 121 + 122 + 123 + 124 (mã 124 đã mang dấu âm).</t>
        </is>
      </c>
    </row>
    <row r="7" ht="16" customHeight="1">
      <c r="A7" s="13" t="inlineStr">
        <is>
          <t>121</t>
        </is>
      </c>
      <c r="B7" s="13" t="inlineStr">
        <is>
          <t>Chứng khoán kinh doanh</t>
        </is>
      </c>
      <c r="C7" s="13" t="inlineStr">
        <is>
          <t>TK 121 (dư Nợ)</t>
        </is>
      </c>
      <c r="D7" s="13" t="inlineStr">
        <is>
          <t>Dương</t>
        </is>
      </c>
      <c r="E7" s="13" t="inlineStr">
        <is>
          <t>Số dư Nợ TK 121.</t>
        </is>
      </c>
    </row>
    <row r="8" ht="32" customHeight="1">
      <c r="A8" s="13" t="inlineStr">
        <is>
          <t>122</t>
        </is>
      </c>
      <c r="B8" s="13" t="inlineStr">
        <is>
          <t>Đầu tư nắm giữ đến ngày đáo hạn</t>
        </is>
      </c>
      <c r="C8" s="13" t="inlineStr">
        <is>
          <t>TK 1281 (dư Nợ), TK 1288 (dư Nợ), − khai báo CASH_EQ_128, − khai báo LOAN_1288</t>
        </is>
      </c>
      <c r="D8" s="13" t="inlineStr">
        <is>
          <t>Dương</t>
        </is>
      </c>
      <c r="E8" s="13" t="inlineStr">
        <is>
          <t>Số dư Nợ TK 1281, 1288 SAU KHI trừ phần đã trình bày ở mã 110 (tương đương tiền) và phần cho vay đưa vào mã 134.</t>
        </is>
      </c>
    </row>
    <row r="9" ht="16" customHeight="1">
      <c r="A9" s="13" t="inlineStr">
        <is>
          <t>123</t>
        </is>
      </c>
      <c r="B9" s="13" t="inlineStr">
        <is>
          <t>Đầu tư góp vốn vào đơn vị khác</t>
        </is>
      </c>
      <c r="C9" s="13" t="inlineStr">
        <is>
          <t>TK 228 (dư Nợ)</t>
        </is>
      </c>
      <c r="D9" s="13" t="inlineStr">
        <is>
          <t>Dương</t>
        </is>
      </c>
      <c r="E9" s="13" t="inlineStr">
        <is>
          <t>Số dư Nợ TK 228 (2281, 2288).</t>
        </is>
      </c>
    </row>
    <row r="10" ht="16" customHeight="1">
      <c r="A10" s="13" t="inlineStr">
        <is>
          <t>124</t>
        </is>
      </c>
      <c r="B10" s="13" t="inlineStr">
        <is>
          <t>Dự phòng tổn thất đầu tư tài chính (*)</t>
        </is>
      </c>
      <c r="C10" s="13" t="inlineStr">
        <is>
          <t>TK 2291 (dư Có), TK 2292 (dư Có)</t>
        </is>
      </c>
      <c r="D10" s="13" t="inlineStr">
        <is>
          <t>Luôn ghi âm ( )</t>
        </is>
      </c>
      <c r="E10" s="13" t="inlineStr">
        <is>
          <t>Số dư Có TK 2291 + 2292. Luôn ghi bằng số âm trong ngoặc đơn.</t>
        </is>
      </c>
    </row>
    <row r="11" ht="16" customHeight="1">
      <c r="A11" s="13" t="inlineStr">
        <is>
          <t>130</t>
        </is>
      </c>
      <c r="B11" s="14" t="inlineStr">
        <is>
          <t>Các khoản phải thu</t>
        </is>
      </c>
      <c r="C11" s="13" t="inlineStr">
        <is>
          <t>= Mã 131 + Mã 132 + Mã 133 + Mã 134 + Mã 135 + Mã 136</t>
        </is>
      </c>
      <c r="D11" s="13" t="inlineStr">
        <is>
          <t>Dương</t>
        </is>
      </c>
      <c r="E11" s="13" t="inlineStr">
        <is>
          <t>Chỉ tiêu tổng hợp: 130 = 131+132+133+134+135+136.</t>
        </is>
      </c>
    </row>
    <row r="12" ht="32" customHeight="1">
      <c r="A12" s="13" t="inlineStr">
        <is>
          <t>131</t>
        </is>
      </c>
      <c r="B12" s="13" t="inlineStr">
        <is>
          <t>Phải thu của khách hàng</t>
        </is>
      </c>
      <c r="C12" s="13" t="inlineStr">
        <is>
          <t>TK 131 (dư Nợ)</t>
        </is>
      </c>
      <c r="D12" s="13" t="inlineStr">
        <is>
          <t>Dương</t>
        </is>
      </c>
      <c r="E12" s="13" t="inlineStr">
        <is>
          <t>TỔNG SỐ DƯ NỢ CHI TIẾT của TK 131 mở theo từng khách hàng. KHÔNG bù trừ với mã 312.</t>
        </is>
      </c>
    </row>
    <row r="13" ht="32" customHeight="1">
      <c r="A13" s="13" t="inlineStr">
        <is>
          <t>132</t>
        </is>
      </c>
      <c r="B13" s="13" t="inlineStr">
        <is>
          <t>Trả trước cho người bán</t>
        </is>
      </c>
      <c r="C13" s="13" t="inlineStr">
        <is>
          <t>TK 331 (dư Nợ)</t>
        </is>
      </c>
      <c r="D13" s="13" t="inlineStr">
        <is>
          <t>Dương</t>
        </is>
      </c>
      <c r="E13" s="13" t="inlineStr">
        <is>
          <t>TỔNG SỐ DƯ NỢ CHI TIẾT của TK 331 mở theo từng người bán. KHÔNG bù trừ với mã 311.</t>
        </is>
      </c>
    </row>
    <row r="14" ht="16" customHeight="1">
      <c r="A14" s="13" t="inlineStr">
        <is>
          <t>133</t>
        </is>
      </c>
      <c r="B14" s="13" t="inlineStr">
        <is>
          <t>Vốn kinh doanh ở đơn vị trực thuộc</t>
        </is>
      </c>
      <c r="C14" s="13" t="inlineStr">
        <is>
          <t>TK 1361 (dư Nợ)</t>
        </is>
      </c>
      <c r="D14" s="13" t="inlineStr">
        <is>
          <t>Dương</t>
        </is>
      </c>
      <c r="E14" s="13" t="inlineStr">
        <is>
          <t>Số dư Nợ TK 1361 — chỉ trình bày trên BCTC riêng của đơn vị cấp trên.</t>
        </is>
      </c>
    </row>
    <row r="15" ht="48" customHeight="1">
      <c r="A15" s="13" t="inlineStr">
        <is>
          <t>134</t>
        </is>
      </c>
      <c r="B15" s="13" t="inlineStr">
        <is>
          <t>Phải thu khác</t>
        </is>
      </c>
      <c r="C15" s="13" t="inlineStr">
        <is>
          <t>TK 1368 (dư Nợ), TK 1386 (dư Nợ), TK 1388 (dư Nợ), TK 334 (dư Nợ), TK 338 (dư Nợ), TK 141 (dư Nợ), + khai báo LOAN_1288</t>
        </is>
      </c>
      <c r="D15" s="13" t="inlineStr">
        <is>
          <t>Dương</t>
        </is>
      </c>
      <c r="E15" s="13" t="inlineStr">
        <is>
          <t>Số dư Nợ chi tiết TK 1288 (phần cho vay), 1368, 1386, 1388, 334, 338, 141.</t>
        </is>
      </c>
    </row>
    <row r="16" ht="16" customHeight="1">
      <c r="A16" s="13" t="inlineStr">
        <is>
          <t>135</t>
        </is>
      </c>
      <c r="B16" s="13" t="inlineStr">
        <is>
          <t>Tài sản thiếu chờ xử lý</t>
        </is>
      </c>
      <c r="C16" s="13" t="inlineStr">
        <is>
          <t>TK 1381 (dư Nợ)</t>
        </is>
      </c>
      <c r="D16" s="13" t="inlineStr">
        <is>
          <t>Dương</t>
        </is>
      </c>
      <c r="E16" s="13" t="inlineStr">
        <is>
          <t>Số dư Nợ TK 1381.</t>
        </is>
      </c>
    </row>
    <row r="17" ht="16" customHeight="1">
      <c r="A17" s="13" t="inlineStr">
        <is>
          <t>136</t>
        </is>
      </c>
      <c r="B17" s="13" t="inlineStr">
        <is>
          <t>Dự phòng phải thu khó đòi (*)</t>
        </is>
      </c>
      <c r="C17" s="13" t="inlineStr">
        <is>
          <t>TK 2293 (dư Có)</t>
        </is>
      </c>
      <c r="D17" s="13" t="inlineStr">
        <is>
          <t>Luôn ghi âm ( )</t>
        </is>
      </c>
      <c r="E17" s="13" t="inlineStr">
        <is>
          <t>Số dư Có TK 2293. Luôn ghi bằng số âm trong ngoặc đơn.</t>
        </is>
      </c>
    </row>
    <row r="18" ht="16" customHeight="1">
      <c r="A18" s="13" t="inlineStr">
        <is>
          <t>140</t>
        </is>
      </c>
      <c r="B18" s="14" t="inlineStr">
        <is>
          <t>Hàng tồn kho</t>
        </is>
      </c>
      <c r="C18" s="13" t="inlineStr">
        <is>
          <t>= Mã 141 + Mã 142</t>
        </is>
      </c>
      <c r="D18" s="13" t="inlineStr">
        <is>
          <t>Dương</t>
        </is>
      </c>
      <c r="E18" s="13" t="inlineStr">
        <is>
          <t>Chỉ tiêu tổng hợp: 140 = 141 + 142.</t>
        </is>
      </c>
    </row>
    <row r="19" ht="32" customHeight="1">
      <c r="A19" s="13" t="inlineStr">
        <is>
          <t>141</t>
        </is>
      </c>
      <c r="B19" s="13" t="inlineStr">
        <is>
          <t>Hàng tồn kho</t>
        </is>
      </c>
      <c r="C19" s="13" t="inlineStr">
        <is>
          <t>TK 151 (dư Nợ), TK 152 (dư Nợ), TK 153 (dư Nợ), TK 154 (dư Nợ), TK 155 (dư Nợ), TK 156 (dư Nợ), TK 157 (dư Nợ)</t>
        </is>
      </c>
      <c r="D19" s="13" t="inlineStr">
        <is>
          <t>Dương</t>
        </is>
      </c>
      <c r="E19" s="13" t="inlineStr">
        <is>
          <t>Số dư Nợ TK 151, 152, 153, 154, 155, 156, 157.</t>
        </is>
      </c>
    </row>
    <row r="20" ht="16" customHeight="1">
      <c r="A20" s="13" t="inlineStr">
        <is>
          <t>142</t>
        </is>
      </c>
      <c r="B20" s="13" t="inlineStr">
        <is>
          <t>Dự phòng giảm giá hàng tồn kho (*)</t>
        </is>
      </c>
      <c r="C20" s="13" t="inlineStr">
        <is>
          <t>TK 2294 (dư Có)</t>
        </is>
      </c>
      <c r="D20" s="13" t="inlineStr">
        <is>
          <t>Luôn ghi âm ( )</t>
        </is>
      </c>
      <c r="E20" s="13" t="inlineStr">
        <is>
          <t>Số dư Có TK 2294. Luôn ghi bằng số âm trong ngoặc đơn.</t>
        </is>
      </c>
    </row>
    <row r="21" ht="16" customHeight="1">
      <c r="A21" s="13" t="inlineStr">
        <is>
          <t>150</t>
        </is>
      </c>
      <c r="B21" s="14" t="inlineStr">
        <is>
          <t>Tài sản cố định</t>
        </is>
      </c>
      <c r="C21" s="13" t="inlineStr">
        <is>
          <t>= Mã 151 + Mã 152</t>
        </is>
      </c>
      <c r="D21" s="13" t="inlineStr">
        <is>
          <t>Dương</t>
        </is>
      </c>
      <c r="E21" s="13" t="inlineStr">
        <is>
          <t>Giá trị còn lại: 150 = 151 + 152 (mã 152 mang dấu âm).</t>
        </is>
      </c>
    </row>
    <row r="22" ht="16" customHeight="1">
      <c r="A22" s="13" t="inlineStr">
        <is>
          <t>151</t>
        </is>
      </c>
      <c r="B22" s="13" t="inlineStr">
        <is>
          <t>- Nguyên giá</t>
        </is>
      </c>
      <c r="C22" s="13" t="inlineStr">
        <is>
          <t>TK 211 (dư Nợ)</t>
        </is>
      </c>
      <c r="D22" s="13" t="inlineStr">
        <is>
          <t>Dương</t>
        </is>
      </c>
      <c r="E22" s="13" t="inlineStr">
        <is>
          <t>Số dư Nợ TK 211 (2111, 2112, 2113).</t>
        </is>
      </c>
    </row>
    <row r="23" ht="16" customHeight="1">
      <c r="A23" s="13" t="inlineStr">
        <is>
          <t>152</t>
        </is>
      </c>
      <c r="B23" s="13" t="inlineStr">
        <is>
          <t>- Giá trị hao mòn lũy kế (*)</t>
        </is>
      </c>
      <c r="C23" s="13" t="inlineStr">
        <is>
          <t>TK 2141 (dư Có), TK 2142 (dư Có), TK 2143 (dư Có)</t>
        </is>
      </c>
      <c r="D23" s="13" t="inlineStr">
        <is>
          <t>Luôn ghi âm ( )</t>
        </is>
      </c>
      <c r="E23" s="13" t="inlineStr">
        <is>
          <t>Số dư Có TK 2141, 2142, 2143 (KHÔNG gồm 2147). Luôn ghi âm.</t>
        </is>
      </c>
    </row>
    <row r="24" ht="16" customHeight="1">
      <c r="A24" s="13" t="inlineStr">
        <is>
          <t>160</t>
        </is>
      </c>
      <c r="B24" s="14" t="inlineStr">
        <is>
          <t>Bất động sản đầu tư</t>
        </is>
      </c>
      <c r="C24" s="13" t="inlineStr">
        <is>
          <t>= Mã 161 + Mã 162</t>
        </is>
      </c>
      <c r="D24" s="13" t="inlineStr">
        <is>
          <t>Dương</t>
        </is>
      </c>
      <c r="E24" s="13" t="inlineStr">
        <is>
          <t>Giá trị còn lại: 160 = 161 + 162.</t>
        </is>
      </c>
    </row>
    <row r="25" ht="16" customHeight="1">
      <c r="A25" s="13" t="inlineStr">
        <is>
          <t>161</t>
        </is>
      </c>
      <c r="B25" s="13" t="inlineStr">
        <is>
          <t>- Nguyên giá</t>
        </is>
      </c>
      <c r="C25" s="13" t="inlineStr">
        <is>
          <t>TK 217 (dư Nợ)</t>
        </is>
      </c>
      <c r="D25" s="13" t="inlineStr">
        <is>
          <t>Dương</t>
        </is>
      </c>
      <c r="E25" s="13" t="inlineStr">
        <is>
          <t>Số dư Nợ TK 217.</t>
        </is>
      </c>
    </row>
    <row r="26" ht="16" customHeight="1">
      <c r="A26" s="13" t="inlineStr">
        <is>
          <t>162</t>
        </is>
      </c>
      <c r="B26" s="13" t="inlineStr">
        <is>
          <t>- Giá trị hao mòn lũy kế (*)</t>
        </is>
      </c>
      <c r="C26" s="13" t="inlineStr">
        <is>
          <t>TK 2147 (dư Có)</t>
        </is>
      </c>
      <c r="D26" s="13" t="inlineStr">
        <is>
          <t>Luôn ghi âm ( )</t>
        </is>
      </c>
      <c r="E26" s="13" t="inlineStr">
        <is>
          <t>Số dư Có TK 2147. Luôn ghi âm.</t>
        </is>
      </c>
    </row>
    <row r="27" ht="16" customHeight="1">
      <c r="A27" s="13" t="inlineStr">
        <is>
          <t>170</t>
        </is>
      </c>
      <c r="B27" s="14" t="inlineStr">
        <is>
          <t>XDCB dở dang</t>
        </is>
      </c>
      <c r="C27" s="13" t="inlineStr">
        <is>
          <t>TK 241 (dư Nợ)</t>
        </is>
      </c>
      <c r="D27" s="13" t="inlineStr">
        <is>
          <t>Dương</t>
        </is>
      </c>
      <c r="E27" s="13" t="inlineStr">
        <is>
          <t>Số dư Nợ TK 241 (2411, 2412, 2413).</t>
        </is>
      </c>
    </row>
    <row r="28" ht="16" customHeight="1">
      <c r="A28" s="13" t="inlineStr">
        <is>
          <t>180</t>
        </is>
      </c>
      <c r="B28" s="14" t="inlineStr">
        <is>
          <t>Tài sản khác</t>
        </is>
      </c>
      <c r="C28" s="13" t="inlineStr">
        <is>
          <t>= Mã 181 + Mã 182</t>
        </is>
      </c>
      <c r="D28" s="13" t="inlineStr">
        <is>
          <t>Dương</t>
        </is>
      </c>
      <c r="E28" s="13" t="inlineStr">
        <is>
          <t>Chỉ tiêu tổng hợp: 180 = 181 + 182.</t>
        </is>
      </c>
    </row>
    <row r="29" ht="16" customHeight="1">
      <c r="A29" s="13" t="inlineStr">
        <is>
          <t>181</t>
        </is>
      </c>
      <c r="B29" s="13" t="inlineStr">
        <is>
          <t>Thuế GTGT được khấu trừ</t>
        </is>
      </c>
      <c r="C29" s="13" t="inlineStr">
        <is>
          <t>TK 133 (dư Nợ)</t>
        </is>
      </c>
      <c r="D29" s="13" t="inlineStr">
        <is>
          <t>Dương</t>
        </is>
      </c>
      <c r="E29" s="13" t="inlineStr">
        <is>
          <t>Số dư Nợ TK 133 (1331, 1332).</t>
        </is>
      </c>
    </row>
    <row r="30" ht="32" customHeight="1">
      <c r="A30" s="13" t="inlineStr">
        <is>
          <t>182</t>
        </is>
      </c>
      <c r="B30" s="13" t="inlineStr">
        <is>
          <t>Tài sản khác</t>
        </is>
      </c>
      <c r="C30" s="13" t="inlineStr">
        <is>
          <t>TK 242 (dư Nợ), TK 333 (dư Nợ)</t>
        </is>
      </c>
      <c r="D30" s="13" t="inlineStr">
        <is>
          <t>Dương</t>
        </is>
      </c>
      <c r="E30" s="13" t="inlineStr">
        <is>
          <t>Số dư Nợ TK 242 (chi phí trả trước) và số dư Nợ chi tiết TK 333 (thuế nộp thừa). KHÔNG bù trừ với mã 313.</t>
        </is>
      </c>
    </row>
    <row r="31" ht="32" customHeight="1">
      <c r="A31" s="13" t="inlineStr">
        <is>
          <t>200</t>
        </is>
      </c>
      <c r="B31" s="14" t="inlineStr">
        <is>
          <t>TỔNG CỘNG TÀI SẢN</t>
        </is>
      </c>
      <c r="C31" s="13" t="inlineStr">
        <is>
          <t>= Mã 110 + Mã 120 + Mã 130 + Mã 140 + Mã 150 + Mã 160 + Mã 170 + Mã 180</t>
        </is>
      </c>
      <c r="D31" s="13" t="inlineStr">
        <is>
          <t>Dương</t>
        </is>
      </c>
      <c r="E31" s="13" t="inlineStr">
        <is>
          <t>200 = 110+120+130+140+150+160+170+180.</t>
        </is>
      </c>
    </row>
    <row r="32" ht="32" customHeight="1">
      <c r="A32" s="13" t="inlineStr">
        <is>
          <t>300</t>
        </is>
      </c>
      <c r="B32" s="14" t="inlineStr">
        <is>
          <t>Nợ phải trả</t>
        </is>
      </c>
      <c r="C32" s="13" t="inlineStr">
        <is>
          <t>= Mã 311 + Mã 312 + Mã 313 + Mã 314 + Mã 315 + Mã 316 + Mã 317 + Mã 318 + Mã 319 + Mã 320</t>
        </is>
      </c>
      <c r="D32" s="13" t="inlineStr">
        <is>
          <t>Dương</t>
        </is>
      </c>
      <c r="E32" s="13" t="inlineStr">
        <is>
          <t>300 = 311+…+320.</t>
        </is>
      </c>
    </row>
    <row r="33" ht="32" customHeight="1">
      <c r="A33" s="13" t="inlineStr">
        <is>
          <t>311</t>
        </is>
      </c>
      <c r="B33" s="13" t="inlineStr">
        <is>
          <t>Phải trả người bán</t>
        </is>
      </c>
      <c r="C33" s="13" t="inlineStr">
        <is>
          <t>TK 331 (dư Có)</t>
        </is>
      </c>
      <c r="D33" s="13" t="inlineStr">
        <is>
          <t>Dương</t>
        </is>
      </c>
      <c r="E33" s="13" t="inlineStr">
        <is>
          <t>TỔNG SỐ DƯ CÓ CHI TIẾT TK 331 mở theo từng người bán. KHÔNG bù trừ với mã 132.</t>
        </is>
      </c>
    </row>
    <row r="34" ht="32" customHeight="1">
      <c r="A34" s="13" t="inlineStr">
        <is>
          <t>312</t>
        </is>
      </c>
      <c r="B34" s="13" t="inlineStr">
        <is>
          <t>Người mua trả tiền trước</t>
        </is>
      </c>
      <c r="C34" s="13" t="inlineStr">
        <is>
          <t>TK 131 (dư Có)</t>
        </is>
      </c>
      <c r="D34" s="13" t="inlineStr">
        <is>
          <t>Dương</t>
        </is>
      </c>
      <c r="E34" s="13" t="inlineStr">
        <is>
          <t>TỔNG SỐ DƯ CÓ CHI TIẾT TK 131 mở theo từng khách hàng. KHÔNG bù trừ với mã 131.</t>
        </is>
      </c>
    </row>
    <row r="35" ht="32" customHeight="1">
      <c r="A35" s="13" t="inlineStr">
        <is>
          <t>313</t>
        </is>
      </c>
      <c r="B35" s="13" t="inlineStr">
        <is>
          <t>Thuế và các khoản phải nộp Nhà nước</t>
        </is>
      </c>
      <c r="C35" s="13" t="inlineStr">
        <is>
          <t>TK 333 (dư Có)</t>
        </is>
      </c>
      <c r="D35" s="13" t="inlineStr">
        <is>
          <t>Dương</t>
        </is>
      </c>
      <c r="E35" s="13" t="inlineStr">
        <is>
          <t>TỔNG SỐ DƯ CÓ CHI TIẾT TK 333 theo từng sắc thuế. KHÔNG bù trừ với mã 182.</t>
        </is>
      </c>
    </row>
    <row r="36" ht="16" customHeight="1">
      <c r="A36" s="13" t="inlineStr">
        <is>
          <t>314</t>
        </is>
      </c>
      <c r="B36" s="13" t="inlineStr">
        <is>
          <t>Phải trả người lao động</t>
        </is>
      </c>
      <c r="C36" s="13" t="inlineStr">
        <is>
          <t>TK 334 (dư Có)</t>
        </is>
      </c>
      <c r="D36" s="13" t="inlineStr">
        <is>
          <t>Dương</t>
        </is>
      </c>
      <c r="E36" s="13" t="inlineStr">
        <is>
          <t>Số dư Có chi tiết TK 334.</t>
        </is>
      </c>
    </row>
    <row r="37" ht="32" customHeight="1">
      <c r="A37" s="13" t="inlineStr">
        <is>
          <t>315</t>
        </is>
      </c>
      <c r="B37" s="13" t="inlineStr">
        <is>
          <t>Phải trả khác</t>
        </is>
      </c>
      <c r="C37" s="13" t="inlineStr">
        <is>
          <t>TK 335 (dư Có), TK 3368 (dư Có), TK 338 (dư Có), TK 1388 (dư Có)</t>
        </is>
      </c>
      <c r="D37" s="13" t="inlineStr">
        <is>
          <t>Dương</t>
        </is>
      </c>
      <c r="E37" s="13" t="inlineStr">
        <is>
          <t>Số dư Có chi tiết TK 335, 3368, 338 (gồm 3387 doanh thu chưa thực hiện) và TK 1388 phần dư Có.</t>
        </is>
      </c>
    </row>
    <row r="38" ht="32" customHeight="1">
      <c r="A38" s="13" t="inlineStr">
        <is>
          <t>316</t>
        </is>
      </c>
      <c r="B38" s="13" t="inlineStr">
        <is>
          <t>Vay và nợ thuê tài chính</t>
        </is>
      </c>
      <c r="C38" s="13" t="inlineStr">
        <is>
          <t>TK 341 (dư Có), + khai báo PREF_SHARE</t>
        </is>
      </c>
      <c r="D38" s="13" t="inlineStr">
        <is>
          <t>Dương</t>
        </is>
      </c>
      <c r="E38" s="13" t="inlineStr">
        <is>
          <t>Số dư Có TK 341 (3411, 3412) + phần cổ phiếu ưu đãi bắt buộc mua lại được phân loại là nợ phải trả (chi tiết TK 4111) — nhập ở Bước 3.</t>
        </is>
      </c>
    </row>
    <row r="39" ht="32" customHeight="1">
      <c r="A39" s="13" t="inlineStr">
        <is>
          <t>317</t>
        </is>
      </c>
      <c r="B39" s="13" t="inlineStr">
        <is>
          <t>Phải trả nội bộ về vốn kinh doanh</t>
        </is>
      </c>
      <c r="C39" s="13" t="inlineStr">
        <is>
          <t>TK 3361 (dư Có)</t>
        </is>
      </c>
      <c r="D39" s="13" t="inlineStr">
        <is>
          <t>Dương</t>
        </is>
      </c>
      <c r="E39" s="13" t="inlineStr">
        <is>
          <t>Số dư Có chi tiết TK 3361 — chỉ trình bày trên BCTC riêng của đơn vị trực thuộc.</t>
        </is>
      </c>
    </row>
    <row r="40" ht="16" customHeight="1">
      <c r="A40" s="13" t="inlineStr">
        <is>
          <t>318</t>
        </is>
      </c>
      <c r="B40" s="13" t="inlineStr">
        <is>
          <t>Dự phòng phải trả</t>
        </is>
      </c>
      <c r="C40" s="13" t="inlineStr">
        <is>
          <t>TK 352 (dư Có)</t>
        </is>
      </c>
      <c r="D40" s="13" t="inlineStr">
        <is>
          <t>Dương</t>
        </is>
      </c>
      <c r="E40" s="13" t="inlineStr">
        <is>
          <t>Số dư Có TK 352.</t>
        </is>
      </c>
    </row>
    <row r="41" ht="16" customHeight="1">
      <c r="A41" s="13" t="inlineStr">
        <is>
          <t>319</t>
        </is>
      </c>
      <c r="B41" s="13" t="inlineStr">
        <is>
          <t>Quỹ khen thưởng, phúc lợi</t>
        </is>
      </c>
      <c r="C41" s="13" t="inlineStr">
        <is>
          <t>TK 353 (dư Có)</t>
        </is>
      </c>
      <c r="D41" s="13" t="inlineStr">
        <is>
          <t>Dương</t>
        </is>
      </c>
      <c r="E41" s="13" t="inlineStr">
        <is>
          <t>Số dư Có TK 353.</t>
        </is>
      </c>
    </row>
    <row r="42" ht="16" customHeight="1">
      <c r="A42" s="13" t="inlineStr">
        <is>
          <t>320</t>
        </is>
      </c>
      <c r="B42" s="13" t="inlineStr">
        <is>
          <t>Quỹ phát triển khoa học và công nghệ</t>
        </is>
      </c>
      <c r="C42" s="13" t="inlineStr">
        <is>
          <t>TK 356 (dư Có)</t>
        </is>
      </c>
      <c r="D42" s="13" t="inlineStr">
        <is>
          <t>Dương</t>
        </is>
      </c>
      <c r="E42" s="13" t="inlineStr">
        <is>
          <t>Số dư Có TK 356.</t>
        </is>
      </c>
    </row>
    <row r="43" ht="32" customHeight="1">
      <c r="A43" s="13" t="inlineStr">
        <is>
          <t>400</t>
        </is>
      </c>
      <c r="B43" s="14" t="inlineStr">
        <is>
          <t>Vốn chủ sở hữu</t>
        </is>
      </c>
      <c r="C43" s="13" t="inlineStr">
        <is>
          <t>= Mã 411 + Mã 412 + Mã 413 + Mã 414 + Mã 415 + Mã 416 + Mã 417</t>
        </is>
      </c>
      <c r="D43" s="13" t="inlineStr">
        <is>
          <t>Dương</t>
        </is>
      </c>
      <c r="E43" s="13" t="inlineStr">
        <is>
          <t>400 = 411+…+417.</t>
        </is>
      </c>
    </row>
    <row r="44" ht="32" customHeight="1">
      <c r="A44" s="13" t="inlineStr">
        <is>
          <t>411</t>
        </is>
      </c>
      <c r="B44" s="13" t="inlineStr">
        <is>
          <t>Vốn góp của chủ sở hữu</t>
        </is>
      </c>
      <c r="C44" s="13" t="inlineStr">
        <is>
          <t>TK 4111 (dư Có), − khai báo PREF_SHARE</t>
        </is>
      </c>
      <c r="D44" s="13" t="inlineStr">
        <is>
          <t>Dương</t>
        </is>
      </c>
      <c r="E44" s="13" t="inlineStr">
        <is>
          <t>Số dư Có TK 4111, trừ phần cổ phiếu ưu đãi đã phân loại là nợ phải trả (mã 316).</t>
        </is>
      </c>
    </row>
    <row r="45" ht="32" customHeight="1">
      <c r="A45" s="13" t="inlineStr">
        <is>
          <t>412</t>
        </is>
      </c>
      <c r="B45" s="13" t="inlineStr">
        <is>
          <t>Thặng dư vốn cổ phần</t>
        </is>
      </c>
      <c r="C45" s="13" t="inlineStr">
        <is>
          <t>TK 4112 (dư Có), TK 4112 (dư Nợ, ghi âm)</t>
        </is>
      </c>
      <c r="D45" s="13" t="inlineStr">
        <is>
          <t>Ghi âm nếu ngược dấu</t>
        </is>
      </c>
      <c r="E45" s="13" t="inlineStr">
        <is>
          <t>Số dư Có TK 4112. Nếu TK 4112 có số dư Nợ thì ghi bằng số âm trong ngoặc đơn.</t>
        </is>
      </c>
    </row>
    <row r="46" ht="16" customHeight="1">
      <c r="A46" s="13" t="inlineStr">
        <is>
          <t>413</t>
        </is>
      </c>
      <c r="B46" s="13" t="inlineStr">
        <is>
          <t>Vốn khác của chủ sở hữu</t>
        </is>
      </c>
      <c r="C46" s="13" t="inlineStr">
        <is>
          <t>TK 4118 (dư Có)</t>
        </is>
      </c>
      <c r="D46" s="13" t="inlineStr">
        <is>
          <t>Dương</t>
        </is>
      </c>
      <c r="E46" s="13" t="inlineStr">
        <is>
          <t>Số dư Có TK 4118.</t>
        </is>
      </c>
    </row>
    <row r="47" ht="16" customHeight="1">
      <c r="A47" s="13" t="inlineStr">
        <is>
          <t>414</t>
        </is>
      </c>
      <c r="B47" s="13" t="inlineStr">
        <is>
          <t>Cổ phiếu quỹ (*)</t>
        </is>
      </c>
      <c r="C47" s="13" t="inlineStr">
        <is>
          <t>TK 419 (dư Nợ)</t>
        </is>
      </c>
      <c r="D47" s="13" t="inlineStr">
        <is>
          <t>Luôn ghi âm ( )</t>
        </is>
      </c>
      <c r="E47" s="13" t="inlineStr">
        <is>
          <t>Số dư Nợ TK 419. Luôn ghi bằng số âm trong ngoặc đơn.</t>
        </is>
      </c>
    </row>
    <row r="48" ht="48" customHeight="1">
      <c r="A48" s="13" t="inlineStr">
        <is>
          <t>415</t>
        </is>
      </c>
      <c r="B48" s="13" t="inlineStr">
        <is>
          <t>Chênh lệch tỷ giá hối đoái</t>
        </is>
      </c>
      <c r="C48" s="13" t="inlineStr">
        <is>
          <t>TK 413 (dư Có), TK 413 (dư Nợ, ghi âm)</t>
        </is>
      </c>
      <c r="D48" s="13" t="inlineStr">
        <is>
          <t>Ghi âm nếu ngược dấu</t>
        </is>
      </c>
      <c r="E48" s="13" t="inlineStr">
        <is>
          <t>Chênh lệch tỷ giá do chuyển đổi BCTC sang Đồng Việt Nam khi đơn vị tiền tệ kế toán khác VND (TK 413). Nếu DN hạch toán bằng VND thì chỉ tiêu này thường bằng 0.</t>
        </is>
      </c>
    </row>
    <row r="49" ht="16" customHeight="1">
      <c r="A49" s="13" t="inlineStr">
        <is>
          <t>416</t>
        </is>
      </c>
      <c r="B49" s="13" t="inlineStr">
        <is>
          <t>Các quỹ thuộc vốn chủ sở hữu</t>
        </is>
      </c>
      <c r="C49" s="13" t="inlineStr">
        <is>
          <t>TK 418 (dư Có)</t>
        </is>
      </c>
      <c r="D49" s="13" t="inlineStr">
        <is>
          <t>Dương</t>
        </is>
      </c>
      <c r="E49" s="13" t="inlineStr">
        <is>
          <t>Số dư Có TK 418.</t>
        </is>
      </c>
    </row>
    <row r="50" ht="32" customHeight="1">
      <c r="A50" s="13" t="inlineStr">
        <is>
          <t>417</t>
        </is>
      </c>
      <c r="B50" s="13" t="inlineStr">
        <is>
          <t>Lợi nhuận sau thuế chưa phân phối</t>
        </is>
      </c>
      <c r="C50" s="13" t="inlineStr">
        <is>
          <t>TK 421 (dư Có), TK 421 (dư Nợ, ghi âm)</t>
        </is>
      </c>
      <c r="D50" s="13" t="inlineStr">
        <is>
          <t>Ghi âm nếu ngược dấu</t>
        </is>
      </c>
      <c r="E50" s="13" t="inlineStr">
        <is>
          <t>Số dư Có TK 421 (4211, 4212). Nếu TK 421 có số dư Nợ (lỗ lũy kế) thì ghi bằng số âm trong ngoặc đơn.</t>
        </is>
      </c>
    </row>
    <row r="51" ht="16" customHeight="1">
      <c r="A51" s="13" t="inlineStr">
        <is>
          <t>500</t>
        </is>
      </c>
      <c r="B51" s="14" t="inlineStr">
        <is>
          <t>TỔNG CỘNG NGUỒN VỐN</t>
        </is>
      </c>
      <c r="C51" s="13" t="inlineStr">
        <is>
          <t>= Mã 300 + Mã 400</t>
        </is>
      </c>
      <c r="D51" s="13" t="inlineStr">
        <is>
          <t>Dương</t>
        </is>
      </c>
      <c r="E51" s="13" t="inlineStr">
        <is>
          <t>500 = 300 + 400. Bắt buộc: Mã 200 = Mã 500.</t>
        </is>
      </c>
    </row>
    <row r="52">
      <c r="A52" s="41" t="inlineStr">
        <is>
          <t>BÁO CÁO KẾT QUẢ HOẠT ĐỘNG KINH DOANH — B02-DNN</t>
        </is>
      </c>
    </row>
    <row r="53" ht="48" customHeight="1">
      <c r="A53" s="13" t="inlineStr">
        <is>
          <t>01</t>
        </is>
      </c>
      <c r="B53" s="13" t="inlineStr">
        <is>
          <t>1. Doanh thu bán hàng và cung cấp dịch vụ</t>
        </is>
      </c>
      <c r="C53" s="13" t="inlineStr">
        <is>
          <t>TK 511 (PS Có)</t>
        </is>
      </c>
      <c r="D53" s="13" t="inlineStr">
        <is>
          <t>Dương</t>
        </is>
      </c>
      <c r="E53" s="13" t="inlineStr">
        <is>
          <t>Lũy kế số phát sinh bên Có TK 511 trong kỳ báo cáo (Điều 82 TT133). KHÔNG bao gồm thuế gián thu phải nộp (GTGT, TTĐB, xuất khẩu, bảo vệ môi trường) và các khoản phí thu hộ Nhà nước.</t>
        </is>
      </c>
    </row>
    <row r="54" ht="80" customHeight="1">
      <c r="A54" s="13" t="inlineStr">
        <is>
          <t>02</t>
        </is>
      </c>
      <c r="B54" s="13" t="inlineStr">
        <is>
          <t>2. Các khoản giảm trừ doanh thu</t>
        </is>
      </c>
      <c r="C54" s="13" t="inlineStr">
        <is>
          <t>nhập tay</t>
        </is>
      </c>
      <c r="D54" s="13" t="inlineStr">
        <is>
          <t>Dương</t>
        </is>
      </c>
      <c r="E54" s="13" t="inlineStr">
        <is>
          <t>Tổng số phát sinh bên Nợ TK 511 đối ứng bên Có các TK 111, 112, 131 (chiết khấu thương mại, giảm giá hàng bán, hàng bán bị trả lại). TT133 KHÔNG có TK 521 nên bảng cân đối tổng hợp không tách được — mặc định lấy PS Nợ TK 511 trừ phần kết chuyển sang TK 911; người dùng nên nhập/kiểm tra lại ở Bước 3.</t>
        </is>
      </c>
    </row>
    <row r="55" ht="32" customHeight="1">
      <c r="A55" s="13" t="inlineStr">
        <is>
          <t>10</t>
        </is>
      </c>
      <c r="B55" s="14" t="inlineStr">
        <is>
          <t>3. Doanh thu thuần về bán hàng và cung cấp dịch vụ (10 = 01 - 02)</t>
        </is>
      </c>
      <c r="C55" s="13" t="inlineStr">
        <is>
          <t>= Mã 01 − Mã 02</t>
        </is>
      </c>
      <c r="D55" s="13" t="inlineStr">
        <is>
          <t>Dương</t>
        </is>
      </c>
      <c r="E55" s="13" t="inlineStr"/>
    </row>
    <row r="56" ht="80" customHeight="1">
      <c r="A56" s="13" t="inlineStr">
        <is>
          <t>11</t>
        </is>
      </c>
      <c r="B56" s="13" t="inlineStr">
        <is>
          <t>4. Giá vốn hàng bán</t>
        </is>
      </c>
      <c r="C56" s="13" t="inlineStr">
        <is>
          <t>TK 632 (PS Nợ)</t>
        </is>
      </c>
      <c r="D56" s="13" t="inlineStr">
        <is>
          <t>Dương</t>
        </is>
      </c>
      <c r="E56" s="13" t="inlineStr">
        <is>
          <t>TT133: lũy kế số phát sinh bên Có TK 632 đối ứng bên Nợ TK 911. Bảng cân đối tài khoản không có thông tin đối ứng nên công cụ lấy lũy kế PS Nợ TK 632 — bằng đúng số kết chuyển khi tài khoản đã kết chuyển hết (PS Nợ = PS Có) và vẫn đúng khi sổ chưa kết chuyển. Nếu trong kỳ có bút toán giảm giá vốn (Nợ 156/Có 632 do hàng bán bị trả lại), cần điều chỉnh giảm tương ứng.</t>
        </is>
      </c>
    </row>
    <row r="57" ht="32" customHeight="1">
      <c r="A57" s="13" t="inlineStr">
        <is>
          <t>20</t>
        </is>
      </c>
      <c r="B57" s="14" t="inlineStr">
        <is>
          <t>5. Lợi nhuận gộp về bán hàng và cung cấp dịch vụ (20 = 10 - 11)</t>
        </is>
      </c>
      <c r="C57" s="13" t="inlineStr">
        <is>
          <t>= Mã 10 − Mã 11</t>
        </is>
      </c>
      <c r="D57" s="13" t="inlineStr">
        <is>
          <t>Ghi âm nếu ngược dấu</t>
        </is>
      </c>
      <c r="E57" s="13" t="inlineStr"/>
    </row>
    <row r="58" ht="48" customHeight="1">
      <c r="A58" s="13" t="inlineStr">
        <is>
          <t>21</t>
        </is>
      </c>
      <c r="B58" s="13" t="inlineStr">
        <is>
          <t>6. Doanh thu hoạt động tài chính</t>
        </is>
      </c>
      <c r="C58" s="13" t="inlineStr">
        <is>
          <t>TK 515 (PS Có)</t>
        </is>
      </c>
      <c r="D58" s="13" t="inlineStr">
        <is>
          <t>Dương</t>
        </is>
      </c>
      <c r="E58" s="13" t="inlineStr">
        <is>
          <t>TT133: lũy kế PS Nợ TK 515 đối ứng bên Có TK 911 (bút toán kết chuyển). Công cụ lấy lũy kế PS Có TK 515 (bên ghi nhận doanh thu) — bằng đúng số kết chuyển khi tài khoản đã kết chuyển hết.</t>
        </is>
      </c>
    </row>
    <row r="59" ht="48" customHeight="1">
      <c r="A59" s="13" t="inlineStr">
        <is>
          <t>22</t>
        </is>
      </c>
      <c r="B59" s="13" t="inlineStr">
        <is>
          <t>7. Chi phí tài chính</t>
        </is>
      </c>
      <c r="C59" s="13" t="inlineStr">
        <is>
          <t>TK 635 (PS Nợ)</t>
        </is>
      </c>
      <c r="D59" s="13" t="inlineStr">
        <is>
          <t>Dương</t>
        </is>
      </c>
      <c r="E59" s="13" t="inlineStr">
        <is>
          <t>TT133: lũy kế PS Có TK 635 đối ứng bên Nợ TK 911. Công cụ lấy lũy kế PS Nợ TK 635 (bên ghi nhận chi phí) — bằng đúng số kết chuyển khi tài khoản đã kết chuyển hết. Gồm lãi vay phải trả, lỗ tỷ giá, chiết khấu thanh toán…</t>
        </is>
      </c>
    </row>
    <row r="60" ht="48" customHeight="1">
      <c r="A60" s="13" t="inlineStr">
        <is>
          <t>23</t>
        </is>
      </c>
      <c r="B60" s="13" t="inlineStr">
        <is>
          <t xml:space="preserve">   - Trong đó: Chi phí lãi vay</t>
        </is>
      </c>
      <c r="C60" s="13" t="inlineStr">
        <is>
          <t>nhập tay</t>
        </is>
      </c>
      <c r="D60" s="13" t="inlineStr">
        <is>
          <t>Dương</t>
        </is>
      </c>
      <c r="E60" s="13" t="inlineStr">
        <is>
          <t>Số liệu CHI TIẾT về chi phí lãi vay trên TK 635. Không suy ra được từ bảng cân đối tổng hợp — người dùng nhập ở Bước 3. Chỉ tiêu này KHÔNG tham gia công thức cộng trừ.</t>
        </is>
      </c>
    </row>
    <row r="61" ht="64" customHeight="1">
      <c r="A61" s="13" t="inlineStr">
        <is>
          <t>24</t>
        </is>
      </c>
      <c r="B61" s="13" t="inlineStr">
        <is>
          <t>8. Chi phí quản lý kinh doanh</t>
        </is>
      </c>
      <c r="C61" s="13" t="inlineStr">
        <is>
          <t>TK 642 (PS Nợ)</t>
        </is>
      </c>
      <c r="D61" s="13" t="inlineStr">
        <is>
          <t>Dương</t>
        </is>
      </c>
      <c r="E61" s="13" t="inlineStr">
        <is>
          <t>TT133: tổng PS Có TK 642 đối ứng bên Nợ TK 911. Công cụ lấy lũy kế PS Nợ TK 642 (bên ghi nhận chi phí). TT133 gộp chi phí bán hàng (6421) và chi phí quản lý doanh nghiệp (6422) vào MỘT dòng — khác TT200 có 2 dòng mã 25 và 26.</t>
        </is>
      </c>
    </row>
    <row r="62" ht="32" customHeight="1">
      <c r="A62" s="13" t="inlineStr">
        <is>
          <t>30</t>
        </is>
      </c>
      <c r="B62" s="14" t="inlineStr">
        <is>
          <t>9. Lợi nhuận thuần từ hoạt động kinh doanh (30 = 20 + 21 - 22 - 24)</t>
        </is>
      </c>
      <c r="C62" s="13" t="inlineStr">
        <is>
          <t>= Mã 20 + Mã 21 − Mã 22 − Mã 24</t>
        </is>
      </c>
      <c r="D62" s="13" t="inlineStr">
        <is>
          <t>Ghi âm nếu ngược dấu</t>
        </is>
      </c>
      <c r="E62" s="13" t="inlineStr"/>
    </row>
    <row r="63" ht="48" customHeight="1">
      <c r="A63" s="13" t="inlineStr">
        <is>
          <t>31</t>
        </is>
      </c>
      <c r="B63" s="13" t="inlineStr">
        <is>
          <t>10. Thu nhập khác</t>
        </is>
      </c>
      <c r="C63" s="13" t="inlineStr">
        <is>
          <t>TK 711 (PS Có)</t>
        </is>
      </c>
      <c r="D63" s="13" t="inlineStr">
        <is>
          <t>Dương</t>
        </is>
      </c>
      <c r="E63" s="13" t="inlineStr">
        <is>
          <t>TT133: tổng PS Nợ TK 711 đối ứng bên Có TK 911. Công cụ lấy lũy kế PS Có TK 711 (bên ghi nhận thu nhập). Với thanh lý, nhượng bán TSCĐ: phần chênh lệch khoản thu CAO HƠN giá trị còn lại và chi phí thanh lý.</t>
        </is>
      </c>
    </row>
    <row r="64" ht="32" customHeight="1">
      <c r="A64" s="13" t="inlineStr">
        <is>
          <t>32</t>
        </is>
      </c>
      <c r="B64" s="13" t="inlineStr">
        <is>
          <t>11. Chi phí khác</t>
        </is>
      </c>
      <c r="C64" s="13" t="inlineStr">
        <is>
          <t>TK 811 (PS Nợ)</t>
        </is>
      </c>
      <c r="D64" s="13" t="inlineStr">
        <is>
          <t>Dương</t>
        </is>
      </c>
      <c r="E64" s="13" t="inlineStr">
        <is>
          <t>TT133: tổng PS Có TK 811 đối ứng bên Nợ TK 911. Công cụ lấy lũy kế PS Nợ TK 811 (bên ghi nhận chi phí).</t>
        </is>
      </c>
    </row>
    <row r="65" ht="32" customHeight="1">
      <c r="A65" s="13" t="inlineStr">
        <is>
          <t>40</t>
        </is>
      </c>
      <c r="B65" s="14" t="inlineStr">
        <is>
          <t>12. Lợi nhuận khác (40 = 31 - 32)</t>
        </is>
      </c>
      <c r="C65" s="13" t="inlineStr">
        <is>
          <t>= Mã 31 − Mã 32</t>
        </is>
      </c>
      <c r="D65" s="13" t="inlineStr">
        <is>
          <t>Ghi âm nếu ngược dấu</t>
        </is>
      </c>
      <c r="E65" s="13" t="inlineStr"/>
    </row>
    <row r="66" ht="32" customHeight="1">
      <c r="A66" s="13" t="inlineStr">
        <is>
          <t>50</t>
        </is>
      </c>
      <c r="B66" s="14" t="inlineStr">
        <is>
          <t>13. Tổng lợi nhuận kế toán trước thuế (50 = 30 + 40)</t>
        </is>
      </c>
      <c r="C66" s="13" t="inlineStr">
        <is>
          <t>= Mã 30 + Mã 40</t>
        </is>
      </c>
      <c r="D66" s="13" t="inlineStr">
        <is>
          <t>Ghi âm nếu ngược dấu</t>
        </is>
      </c>
      <c r="E66" s="13" t="inlineStr"/>
    </row>
    <row r="67" ht="64" customHeight="1">
      <c r="A67" s="13" t="inlineStr">
        <is>
          <t>51</t>
        </is>
      </c>
      <c r="B67" s="13" t="inlineStr">
        <is>
          <t>14. Chi phí thuế thu nhập doanh nghiệp</t>
        </is>
      </c>
      <c r="C67" s="13" t="inlineStr">
        <is>
          <t>TK 821 (PS Nợ)</t>
        </is>
      </c>
      <c r="D67" s="13" t="inlineStr">
        <is>
          <t>Ghi âm nếu ngược dấu</t>
        </is>
      </c>
      <c r="E67" s="13" t="inlineStr">
        <is>
          <t>TT133: tổng PS Có TK 821 đối ứng Nợ TK 911; nếu là PS Nợ TK 821 đối ứng Có TK 911 thì ghi số âm trong ngoặc đơn. Công cụ lấy lũy kế PS Nợ TK 821 (bên ghi nhận chi phí thuế). Trường hợp hoàn nhập chi phí thuế TNDN làm chỉ tiêu này ÂM, hãy dùng khoản điều chỉnh phân loại ở Bước 3 để thể hiện.</t>
        </is>
      </c>
    </row>
    <row r="68" ht="32" customHeight="1">
      <c r="A68" s="13" t="inlineStr">
        <is>
          <t>60</t>
        </is>
      </c>
      <c r="B68" s="14" t="inlineStr">
        <is>
          <t>15. Lợi nhuận sau thuế thu nhập doanh nghiệp (60 = 50 - 51)</t>
        </is>
      </c>
      <c r="C68" s="13" t="inlineStr">
        <is>
          <t>= Mã 50 − Mã 51</t>
        </is>
      </c>
      <c r="D68" s="13" t="inlineStr">
        <is>
          <t>Ghi âm nếu ngược dấu</t>
        </is>
      </c>
      <c r="E68" s="13" t="inlineStr"/>
    </row>
  </sheetData>
  <sheetProtection selectLockedCells="0" selectUnlockedCells="0" sheet="1" objects="0" insertRows="1" insertHyperlinks="1" autoFilter="0" scenarios="0" formatColumns="1" deleteColumns="1" insertColumns="1" pivotTables="1" deleteRows="1" formatCells="1" formatRows="1" sort="0"/>
  <autoFilter ref="A3:E68"/>
  <mergeCells count="4">
    <mergeCell ref="A2:E2"/>
    <mergeCell ref="A52:E52"/>
    <mergeCell ref="A1:E1"/>
    <mergeCell ref="A4:E4"/>
  </mergeCells>
  <printOptions horizontalCentered="1"/>
  <pageMargins left="0.5" right="0.4" top="0.6" bottom="0.6" header="0.3" footer="0.3"/>
  <pageSetup orientation="portrait" paperSize="9" fitToHeight="0"/>
  <headerFooter>
    <oddHeader>&amp;LCÔNG TY TNHH THƯƠNG MẠI MINH ANH&amp;RMST: 0101234567</oddHeader>
    <oddFooter>&amp;LMr Wick Kiểm toán · taichinhketoanedu.com&amp;C&amp;P/&amp;N&amp;RNăm 2025 · Đồng</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8"/>
  <sheetViews>
    <sheetView workbookViewId="0">
      <pane ySplit="3" topLeftCell="A4" activePane="bottomLeft" state="frozen"/>
      <selection pane="bottomLeft" activeCell="A1" sqref="A1:H1"/>
    </sheetView>
  </sheetViews>
  <sheetFormatPr baseColWidth="10" defaultColWidth="8.83203125" defaultRowHeight="15"/>
  <cols>
    <col width="6" customWidth="1" min="1" max="1"/>
    <col width="14" customWidth="1" min="2" max="2"/>
    <col width="12" customWidth="1" min="3" max="3"/>
    <col width="44" customWidth="1" min="4" max="4"/>
    <col width="20" customWidth="1" min="5" max="5"/>
    <col width="52" customWidth="1" min="6" max="6"/>
    <col width="22" customWidth="1" min="7" max="8"/>
  </cols>
  <sheetData>
    <row r="1" ht="22" customHeight="1">
      <c r="A1" s="38" t="inlineStr">
        <is>
          <t>NHẬT KÝ ĐIỀU CHỈNH PHÂN LOẠI BÁO CÁO TÀI CHÍNH (AUDIT TRAIL)</t>
        </is>
      </c>
    </row>
    <row r="2">
      <c r="A2" s="39" t="inlineStr">
        <is>
          <t>Điều chỉnh phân loại KHÔNG sửa dữ liệu sổ cái gốc. Mọi khoản đều lưu chỉ tiêu, số tiền, lý do, người nhập và thời điểm.</t>
        </is>
      </c>
    </row>
    <row r="3" ht="30" customHeight="1">
      <c r="A3" s="53" t="inlineStr">
        <is>
          <t>#</t>
        </is>
      </c>
      <c r="B3" s="53" t="inlineStr">
        <is>
          <t>Báo cáo</t>
        </is>
      </c>
      <c r="C3" s="53" t="inlineStr">
        <is>
          <t>Mã số</t>
        </is>
      </c>
      <c r="D3" s="53" t="inlineStr">
        <is>
          <t>Nội dung</t>
        </is>
      </c>
      <c r="E3" s="53" t="inlineStr">
        <is>
          <t>Tăng</t>
        </is>
      </c>
      <c r="F3" s="53" t="inlineStr">
        <is>
          <t>Giảm</t>
        </is>
      </c>
      <c r="G3" s="53" t="inlineStr">
        <is>
          <t>Thuần</t>
        </is>
      </c>
      <c r="H3" s="53" t="inlineStr">
        <is>
          <t>Lý do điều chỉnh / Người nhập / Thời điểm</t>
        </is>
      </c>
    </row>
    <row r="4">
      <c r="A4" t="inlineStr"/>
      <c r="B4" t="inlineStr"/>
      <c r="C4" t="inlineStr"/>
      <c r="D4" t="inlineStr">
        <is>
          <t>Không có khoản điều chỉnh nào.</t>
        </is>
      </c>
    </row>
    <row r="5"/>
    <row r="6">
      <c r="A6" s="41" t="inlineStr">
        <is>
          <t>NHẬT KÝ TRUY VẾT NGUỒN SỐ LIỆU (TRACE) — mọi khoản KHÔNG lấy trực tiếp từ số dư/phát sinh tài khoản</t>
        </is>
      </c>
    </row>
    <row r="7" ht="30" customHeight="1">
      <c r="A7" s="53" t="inlineStr">
        <is>
          <t>#</t>
        </is>
      </c>
      <c r="B7" s="53" t="inlineStr">
        <is>
          <t>Báo cáo</t>
        </is>
      </c>
      <c r="C7" s="53" t="inlineStr">
        <is>
          <t>Mã số</t>
        </is>
      </c>
      <c r="D7" s="53" t="inlineStr">
        <is>
          <t>Tên chỉ tiêu</t>
        </is>
      </c>
      <c r="E7" s="53" t="inlineStr">
        <is>
          <t>Số tiền</t>
        </is>
      </c>
      <c r="F7" s="53" t="inlineStr">
        <is>
          <t>Nguồn / Diễn giải</t>
        </is>
      </c>
      <c r="G7" s="53" t="inlineStr">
        <is>
          <t>Loại</t>
        </is>
      </c>
      <c r="H7" s="53" t="inlineStr"/>
    </row>
    <row r="8" ht="32" customHeight="1">
      <c r="A8" s="13" t="n">
        <v>1</v>
      </c>
      <c r="B8" s="13" t="inlineStr">
        <is>
          <t>B02</t>
        </is>
      </c>
      <c r="C8" s="13" t="inlineStr">
        <is>
          <t>02</t>
        </is>
      </c>
      <c r="D8" s="13" t="inlineStr">
        <is>
          <t>2. Các khoản giảm trừ doanh thu</t>
        </is>
      </c>
      <c r="E8" s="15" t="n">
        <v>50000000</v>
      </c>
      <c r="F8" s="13" t="inlineStr">
        <is>
          <t>Suy ra từ PS Nợ TK 511 − kết chuyển doanh thu thuần (PS Có TK 911 − PS Nợ TK 515 − PS Nợ TK 711)</t>
        </is>
      </c>
      <c r="G8" s="16" t="inlineStr">
        <is>
          <t>Công cụ SUY RA</t>
        </is>
      </c>
      <c r="H8" s="13" t="inlineStr"/>
    </row>
  </sheetData>
  <sheetProtection selectLockedCells="0" selectUnlockedCells="0" sheet="1" objects="0" insertRows="1" insertHyperlinks="1" autoFilter="0" scenarios="0" formatColumns="1" deleteColumns="1" insertColumns="1" pivotTables="1" deleteRows="1" formatCells="1" formatRows="1" sort="0"/>
  <autoFilter ref="A3:H4"/>
  <mergeCells count="3">
    <mergeCell ref="A2:H2"/>
    <mergeCell ref="A6:H6"/>
    <mergeCell ref="A1:H1"/>
  </mergeCells>
  <printOptions horizontalCentered="1"/>
  <pageMargins left="0.5" right="0.4" top="0.6" bottom="0.6" header="0.3" footer="0.3"/>
  <pageSetup orientation="landscape" paperSize="9" fitToHeight="0"/>
  <headerFooter>
    <oddHeader>&amp;LCÔNG TY TNHH THƯƠNG MẠI MINH ANH&amp;RMST: 0101234567</oddHeader>
    <oddFooter>&amp;LMr Wick Kiểm toán · taichinhketoanedu.com&amp;C&amp;P/&amp;N&amp;RNăm 2025 · Đồng</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68"/>
  <sheetViews>
    <sheetView showGridLines="0" workbookViewId="0">
      <pane ySplit="7" topLeftCell="A8" activePane="bottomLeft" state="frozen"/>
      <selection pane="bottomLeft" activeCell="A1" sqref="A1:E1"/>
    </sheetView>
  </sheetViews>
  <sheetFormatPr baseColWidth="10" defaultColWidth="8.83203125" defaultRowHeight="15"/>
  <cols>
    <col width="62" customWidth="1" min="1" max="1"/>
    <col width="12" customWidth="1" min="3" max="3"/>
    <col width="20" customWidth="1" min="4" max="5"/>
  </cols>
  <sheetData>
    <row r="1">
      <c r="A1" s="42" t="inlineStr">
        <is>
          <t>CÔNG TY TNHH THƯƠNG MẠI MINH ANH</t>
        </is>
      </c>
    </row>
    <row r="2">
      <c r="A2" s="43" t="inlineStr">
        <is>
          <t>MST: 0101234567 · Số 12 phố Láng Hạ, phường Láng, TP Hà Nội</t>
        </is>
      </c>
    </row>
    <row r="3"/>
    <row r="4" ht="22" customHeight="1">
      <c r="A4" s="38" t="inlineStr">
        <is>
          <t>BÁO CÁO TÌNH HÌNH TÀI CHÍNH</t>
        </is>
      </c>
    </row>
    <row r="5">
      <c r="A5" s="39" t="inlineStr">
        <is>
          <t>Tại ngày 31/12/2025 · Mẫu số B01a-DNN (Ban hành theo Thông tư số 133/2016/TT-BTC ngày 26/8/2016 của Bộ Tài chính)</t>
        </is>
      </c>
    </row>
    <row r="6">
      <c r="A6" s="44" t="inlineStr">
        <is>
          <t>Đơn vị tính: Đồng</t>
        </is>
      </c>
    </row>
    <row r="7" ht="30" customHeight="1">
      <c r="A7" s="53" t="inlineStr">
        <is>
          <t>CHỈ TIÊU</t>
        </is>
      </c>
      <c r="B7" s="53" t="inlineStr">
        <is>
          <t>Mã số</t>
        </is>
      </c>
      <c r="C7" s="53" t="inlineStr">
        <is>
          <t>Thuyết minh</t>
        </is>
      </c>
      <c r="D7" s="53" t="inlineStr">
        <is>
          <t>Số cuối năm</t>
        </is>
      </c>
      <c r="E7" s="53" t="inlineStr">
        <is>
          <t>Số đầu năm</t>
        </is>
      </c>
    </row>
    <row r="8">
      <c r="A8" s="45" t="inlineStr">
        <is>
          <t>TÀI SẢN</t>
        </is>
      </c>
      <c r="B8" s="56" t="n"/>
      <c r="C8" s="56" t="n"/>
      <c r="D8" s="56" t="n"/>
      <c r="E8" s="57" t="n"/>
    </row>
    <row r="9" ht="16" customHeight="1">
      <c r="A9" s="17" t="inlineStr">
        <is>
          <t>1. Tiền và các khoản tương đương tiền</t>
        </is>
      </c>
      <c r="B9" s="18" t="inlineStr">
        <is>
          <t>110</t>
        </is>
      </c>
      <c r="C9" s="55" t="inlineStr"/>
      <c r="D9" s="12">
        <f>(SUMPRODUCT((DATA_F01!$I$4:$I$108=1)*(LEFT(DATA_F01!$A$4:$A$108,3)="111")*N(DATA_F01!$G$4:$G$108))+SUMPRODUCT((DATA_F01!$I$4:$I$108=1)*(LEFT(DATA_F01!$A$4:$A$108,3)="112")*N(DATA_F01!$G$4:$G$108)))</f>
        <v/>
      </c>
      <c r="E9" s="12">
        <f>(SUMPRODUCT((DATA_F01!$I$4:$I$108=1)*(LEFT(DATA_F01!$A$4:$A$108,3)="111")*N(DATA_F01!$C$4:$C$108))+SUMPRODUCT((DATA_F01!$I$4:$I$108=1)*(LEFT(DATA_F01!$A$4:$A$108,3)="112")*N(DATA_F01!$C$4:$C$108)))</f>
        <v/>
      </c>
    </row>
    <row r="10" ht="16" customHeight="1">
      <c r="A10" s="17" t="inlineStr">
        <is>
          <t>2. Đầu tư tài chính</t>
        </is>
      </c>
      <c r="B10" s="18" t="inlineStr">
        <is>
          <t>120</t>
        </is>
      </c>
      <c r="C10" s="55" t="inlineStr"/>
      <c r="D10" s="12">
        <f>D11+D12+D13+D14</f>
        <v/>
      </c>
      <c r="E10" s="12">
        <f>E11+E12+E13+E14</f>
        <v/>
      </c>
    </row>
    <row r="11" ht="16" customHeight="1">
      <c r="A11" s="20" t="inlineStr">
        <is>
          <t>Chứng khoán kinh doanh</t>
        </is>
      </c>
      <c r="B11" s="18" t="inlineStr">
        <is>
          <t>121</t>
        </is>
      </c>
      <c r="C11" s="55" t="inlineStr"/>
      <c r="D11" s="12">
        <f>(SUMPRODUCT((DATA_F01!$I$4:$I$108=1)*(LEFT(DATA_F01!$A$4:$A$108,3)="121")*N(DATA_F01!$G$4:$G$108)))</f>
        <v/>
      </c>
      <c r="E11" s="12">
        <f>(SUMPRODUCT((DATA_F01!$I$4:$I$108=1)*(LEFT(DATA_F01!$A$4:$A$108,3)="121")*N(DATA_F01!$C$4:$C$108)))</f>
        <v/>
      </c>
    </row>
    <row r="12" ht="16" customHeight="1">
      <c r="A12" s="20" t="inlineStr">
        <is>
          <t>Đầu tư nắm giữ đến ngày đáo hạn</t>
        </is>
      </c>
      <c r="B12" s="18" t="inlineStr">
        <is>
          <t>122</t>
        </is>
      </c>
      <c r="C12" s="55" t="inlineStr"/>
      <c r="D12" s="12">
        <f>(SUMPRODUCT((DATA_F01!$I$4:$I$108=1)*(LEFT(DATA_F01!$A$4:$A$108,4)="1281")*N(DATA_F01!$G$4:$G$108))+SUMPRODUCT((DATA_F01!$I$4:$I$108=1)*(LEFT(DATA_F01!$A$4:$A$108,4)="1288")*N(DATA_F01!$G$4:$G$108)))</f>
        <v/>
      </c>
      <c r="E12" s="12">
        <f>(SUMPRODUCT((DATA_F01!$I$4:$I$108=1)*(LEFT(DATA_F01!$A$4:$A$108,4)="1281")*N(DATA_F01!$C$4:$C$108))+SUMPRODUCT((DATA_F01!$I$4:$I$108=1)*(LEFT(DATA_F01!$A$4:$A$108,4)="1288")*N(DATA_F01!$C$4:$C$108)))</f>
        <v/>
      </c>
    </row>
    <row r="13" ht="16" customHeight="1">
      <c r="A13" s="20" t="inlineStr">
        <is>
          <t>Đầu tư góp vốn vào đơn vị khác</t>
        </is>
      </c>
      <c r="B13" s="18" t="inlineStr">
        <is>
          <t>123</t>
        </is>
      </c>
      <c r="C13" s="55" t="inlineStr"/>
      <c r="D13" s="12">
        <f>(SUMPRODUCT((DATA_F01!$I$4:$I$108=1)*(LEFT(DATA_F01!$A$4:$A$108,3)="228")*N(DATA_F01!$G$4:$G$108)))</f>
        <v/>
      </c>
      <c r="E13" s="12">
        <f>(SUMPRODUCT((DATA_F01!$I$4:$I$108=1)*(LEFT(DATA_F01!$A$4:$A$108,3)="228")*N(DATA_F01!$C$4:$C$108)))</f>
        <v/>
      </c>
    </row>
    <row r="14" ht="16" customHeight="1">
      <c r="A14" s="20" t="inlineStr">
        <is>
          <t>Dự phòng tổn thất đầu tư tài chính (*)</t>
        </is>
      </c>
      <c r="B14" s="18" t="inlineStr">
        <is>
          <t>124</t>
        </is>
      </c>
      <c r="C14" s="55" t="inlineStr"/>
      <c r="D14" s="12">
        <f>-ABS((SUMPRODUCT((DATA_F01!$I$4:$I$108=1)*(LEFT(DATA_F01!$A$4:$A$108,4)="2291")*N(DATA_F01!$H$4:$H$108))+SUMPRODUCT((DATA_F01!$I$4:$I$108=1)*(LEFT(DATA_F01!$A$4:$A$108,4)="2292")*N(DATA_F01!$H$4:$H$108))))</f>
        <v/>
      </c>
      <c r="E14" s="12">
        <f>-ABS((SUMPRODUCT((DATA_F01!$I$4:$I$108=1)*(LEFT(DATA_F01!$A$4:$A$108,4)="2291")*N(DATA_F01!$D$4:$D$108))+SUMPRODUCT((DATA_F01!$I$4:$I$108=1)*(LEFT(DATA_F01!$A$4:$A$108,4)="2292")*N(DATA_F01!$D$4:$D$108))))</f>
        <v/>
      </c>
    </row>
    <row r="15" ht="16" customHeight="1">
      <c r="A15" s="17" t="inlineStr">
        <is>
          <t>3. Các khoản phải thu</t>
        </is>
      </c>
      <c r="B15" s="18" t="inlineStr">
        <is>
          <t>130</t>
        </is>
      </c>
      <c r="C15" s="55" t="inlineStr"/>
      <c r="D15" s="12">
        <f>D16+D17+D18+D19+D20+D21</f>
        <v/>
      </c>
      <c r="E15" s="12">
        <f>E16+E17+E18+E19+E20+E21</f>
        <v/>
      </c>
    </row>
    <row r="16" ht="16" customHeight="1">
      <c r="A16" s="20" t="inlineStr">
        <is>
          <t>Phải thu của khách hàng</t>
        </is>
      </c>
      <c r="B16" s="18" t="inlineStr">
        <is>
          <t>131</t>
        </is>
      </c>
      <c r="C16" s="55" t="inlineStr"/>
      <c r="D16" s="12">
        <f>(SUMPRODUCT((DATA_F01!$I$4:$I$108=1)*(LEFT(DATA_F01!$A$4:$A$108,3)="131")*N(DATA_F01!$G$4:$G$108)))</f>
        <v/>
      </c>
      <c r="E16" s="12">
        <f>(SUMPRODUCT((DATA_F01!$I$4:$I$108=1)*(LEFT(DATA_F01!$A$4:$A$108,3)="131")*N(DATA_F01!$C$4:$C$108)))</f>
        <v/>
      </c>
    </row>
    <row r="17" ht="16" customHeight="1">
      <c r="A17" s="20" t="inlineStr">
        <is>
          <t>Trả trước cho người bán</t>
        </is>
      </c>
      <c r="B17" s="18" t="inlineStr">
        <is>
          <t>132</t>
        </is>
      </c>
      <c r="C17" s="55" t="inlineStr"/>
      <c r="D17" s="12">
        <f>(SUMPRODUCT((DATA_F01!$I$4:$I$108=1)*(LEFT(DATA_F01!$A$4:$A$108,3)="331")*N(DATA_F01!$G$4:$G$108)))</f>
        <v/>
      </c>
      <c r="E17" s="12">
        <f>(SUMPRODUCT((DATA_F01!$I$4:$I$108=1)*(LEFT(DATA_F01!$A$4:$A$108,3)="331")*N(DATA_F01!$C$4:$C$108)))</f>
        <v/>
      </c>
    </row>
    <row r="18" ht="16" customHeight="1">
      <c r="A18" s="20" t="inlineStr">
        <is>
          <t>Vốn kinh doanh ở đơn vị trực thuộc</t>
        </is>
      </c>
      <c r="B18" s="18" t="inlineStr">
        <is>
          <t>133</t>
        </is>
      </c>
      <c r="C18" s="55" t="inlineStr"/>
      <c r="D18" s="12">
        <f>(SUMPRODUCT((DATA_F01!$I$4:$I$108=1)*(LEFT(DATA_F01!$A$4:$A$108,4)="1361")*N(DATA_F01!$G$4:$G$108)))</f>
        <v/>
      </c>
      <c r="E18" s="12">
        <f>(SUMPRODUCT((DATA_F01!$I$4:$I$108=1)*(LEFT(DATA_F01!$A$4:$A$108,4)="1361")*N(DATA_F01!$C$4:$C$108)))</f>
        <v/>
      </c>
    </row>
    <row r="19" ht="16" customHeight="1">
      <c r="A19" s="20" t="inlineStr">
        <is>
          <t>Phải thu khác</t>
        </is>
      </c>
      <c r="B19" s="18" t="inlineStr">
        <is>
          <t>134</t>
        </is>
      </c>
      <c r="C19" s="55" t="inlineStr"/>
      <c r="D19" s="12">
        <f>(SUMPRODUCT((DATA_F01!$I$4:$I$108=1)*(LEFT(DATA_F01!$A$4:$A$108,4)="1368")*N(DATA_F01!$G$4:$G$108))+SUMPRODUCT((DATA_F01!$I$4:$I$108=1)*(LEFT(DATA_F01!$A$4:$A$108,4)="1386")*N(DATA_F01!$G$4:$G$108))+SUMPRODUCT((DATA_F01!$I$4:$I$108=1)*(LEFT(DATA_F01!$A$4:$A$108,4)="1388")*N(DATA_F01!$G$4:$G$108))+SUMPRODUCT((DATA_F01!$I$4:$I$108=1)*(LEFT(DATA_F01!$A$4:$A$108,3)="334")*N(DATA_F01!$G$4:$G$108))+SUMPRODUCT((DATA_F01!$I$4:$I$108=1)*(LEFT(DATA_F01!$A$4:$A$108,3)="338")*N(DATA_F01!$G$4:$G$108))+SUMPRODUCT((DATA_F01!$I$4:$I$108=1)*(LEFT(DATA_F01!$A$4:$A$108,3)="141")*N(DATA_F01!$G$4:$G$108)))</f>
        <v/>
      </c>
      <c r="E19" s="12">
        <f>(SUMPRODUCT((DATA_F01!$I$4:$I$108=1)*(LEFT(DATA_F01!$A$4:$A$108,4)="1368")*N(DATA_F01!$C$4:$C$108))+SUMPRODUCT((DATA_F01!$I$4:$I$108=1)*(LEFT(DATA_F01!$A$4:$A$108,4)="1386")*N(DATA_F01!$C$4:$C$108))+SUMPRODUCT((DATA_F01!$I$4:$I$108=1)*(LEFT(DATA_F01!$A$4:$A$108,4)="1388")*N(DATA_F01!$C$4:$C$108))+SUMPRODUCT((DATA_F01!$I$4:$I$108=1)*(LEFT(DATA_F01!$A$4:$A$108,3)="334")*N(DATA_F01!$C$4:$C$108))+SUMPRODUCT((DATA_F01!$I$4:$I$108=1)*(LEFT(DATA_F01!$A$4:$A$108,3)="338")*N(DATA_F01!$C$4:$C$108))+SUMPRODUCT((DATA_F01!$I$4:$I$108=1)*(LEFT(DATA_F01!$A$4:$A$108,3)="141")*N(DATA_F01!$C$4:$C$108)))</f>
        <v/>
      </c>
    </row>
    <row r="20" ht="16" customHeight="1">
      <c r="A20" s="20" t="inlineStr">
        <is>
          <t>Tài sản thiếu chờ xử lý</t>
        </is>
      </c>
      <c r="B20" s="18" t="inlineStr">
        <is>
          <t>135</t>
        </is>
      </c>
      <c r="C20" s="55" t="inlineStr"/>
      <c r="D20" s="12">
        <f>(SUMPRODUCT((DATA_F01!$I$4:$I$108=1)*(LEFT(DATA_F01!$A$4:$A$108,4)="1381")*N(DATA_F01!$G$4:$G$108)))</f>
        <v/>
      </c>
      <c r="E20" s="12">
        <f>(SUMPRODUCT((DATA_F01!$I$4:$I$108=1)*(LEFT(DATA_F01!$A$4:$A$108,4)="1381")*N(DATA_F01!$C$4:$C$108)))</f>
        <v/>
      </c>
    </row>
    <row r="21" ht="16" customHeight="1">
      <c r="A21" s="20" t="inlineStr">
        <is>
          <t>Dự phòng phải thu khó đòi (*)</t>
        </is>
      </c>
      <c r="B21" s="18" t="inlineStr">
        <is>
          <t>136</t>
        </is>
      </c>
      <c r="C21" s="55" t="inlineStr"/>
      <c r="D21" s="12">
        <f>-ABS((SUMPRODUCT((DATA_F01!$I$4:$I$108=1)*(LEFT(DATA_F01!$A$4:$A$108,4)="2293")*N(DATA_F01!$H$4:$H$108))))</f>
        <v/>
      </c>
      <c r="E21" s="12">
        <f>-ABS((SUMPRODUCT((DATA_F01!$I$4:$I$108=1)*(LEFT(DATA_F01!$A$4:$A$108,4)="2293")*N(DATA_F01!$D$4:$D$108))))</f>
        <v/>
      </c>
    </row>
    <row r="22" ht="16" customHeight="1">
      <c r="A22" s="17" t="inlineStr">
        <is>
          <t>4. Hàng tồn kho</t>
        </is>
      </c>
      <c r="B22" s="18" t="inlineStr">
        <is>
          <t>140</t>
        </is>
      </c>
      <c r="C22" s="55" t="inlineStr"/>
      <c r="D22" s="12">
        <f>D23+D24</f>
        <v/>
      </c>
      <c r="E22" s="12">
        <f>E23+E24</f>
        <v/>
      </c>
    </row>
    <row r="23" ht="16" customHeight="1">
      <c r="A23" s="20" t="inlineStr">
        <is>
          <t>Hàng tồn kho</t>
        </is>
      </c>
      <c r="B23" s="18" t="inlineStr">
        <is>
          <t>141</t>
        </is>
      </c>
      <c r="C23" s="55" t="inlineStr"/>
      <c r="D23" s="12">
        <f>(SUMPRODUCT((DATA_F01!$I$4:$I$108=1)*(LEFT(DATA_F01!$A$4:$A$108,3)="151")*N(DATA_F01!$G$4:$G$108))+SUMPRODUCT((DATA_F01!$I$4:$I$108=1)*(LEFT(DATA_F01!$A$4:$A$108,3)="152")*N(DATA_F01!$G$4:$G$108))+SUMPRODUCT((DATA_F01!$I$4:$I$108=1)*(LEFT(DATA_F01!$A$4:$A$108,3)="153")*N(DATA_F01!$G$4:$G$108))+SUMPRODUCT((DATA_F01!$I$4:$I$108=1)*(LEFT(DATA_F01!$A$4:$A$108,3)="154")*N(DATA_F01!$G$4:$G$108))+SUMPRODUCT((DATA_F01!$I$4:$I$108=1)*(LEFT(DATA_F01!$A$4:$A$108,3)="155")*N(DATA_F01!$G$4:$G$108))+SUMPRODUCT((DATA_F01!$I$4:$I$108=1)*(LEFT(DATA_F01!$A$4:$A$108,3)="156")*N(DATA_F01!$G$4:$G$108))+SUMPRODUCT((DATA_F01!$I$4:$I$108=1)*(LEFT(DATA_F01!$A$4:$A$108,3)="157")*N(DATA_F01!$G$4:$G$108)))</f>
        <v/>
      </c>
      <c r="E23" s="12">
        <f>(SUMPRODUCT((DATA_F01!$I$4:$I$108=1)*(LEFT(DATA_F01!$A$4:$A$108,3)="151")*N(DATA_F01!$C$4:$C$108))+SUMPRODUCT((DATA_F01!$I$4:$I$108=1)*(LEFT(DATA_F01!$A$4:$A$108,3)="152")*N(DATA_F01!$C$4:$C$108))+SUMPRODUCT((DATA_F01!$I$4:$I$108=1)*(LEFT(DATA_F01!$A$4:$A$108,3)="153")*N(DATA_F01!$C$4:$C$108))+SUMPRODUCT((DATA_F01!$I$4:$I$108=1)*(LEFT(DATA_F01!$A$4:$A$108,3)="154")*N(DATA_F01!$C$4:$C$108))+SUMPRODUCT((DATA_F01!$I$4:$I$108=1)*(LEFT(DATA_F01!$A$4:$A$108,3)="155")*N(DATA_F01!$C$4:$C$108))+SUMPRODUCT((DATA_F01!$I$4:$I$108=1)*(LEFT(DATA_F01!$A$4:$A$108,3)="156")*N(DATA_F01!$C$4:$C$108))+SUMPRODUCT((DATA_F01!$I$4:$I$108=1)*(LEFT(DATA_F01!$A$4:$A$108,3)="157")*N(DATA_F01!$C$4:$C$108)))</f>
        <v/>
      </c>
    </row>
    <row r="24" ht="16" customHeight="1">
      <c r="A24" s="20" t="inlineStr">
        <is>
          <t>Dự phòng giảm giá hàng tồn kho (*)</t>
        </is>
      </c>
      <c r="B24" s="18" t="inlineStr">
        <is>
          <t>142</t>
        </is>
      </c>
      <c r="C24" s="55" t="inlineStr"/>
      <c r="D24" s="12">
        <f>-ABS((SUMPRODUCT((DATA_F01!$I$4:$I$108=1)*(LEFT(DATA_F01!$A$4:$A$108,4)="2294")*N(DATA_F01!$H$4:$H$108))))</f>
        <v/>
      </c>
      <c r="E24" s="12">
        <f>-ABS((SUMPRODUCT((DATA_F01!$I$4:$I$108=1)*(LEFT(DATA_F01!$A$4:$A$108,4)="2294")*N(DATA_F01!$D$4:$D$108))))</f>
        <v/>
      </c>
    </row>
    <row r="25" ht="16" customHeight="1">
      <c r="A25" s="17" t="inlineStr">
        <is>
          <t>5. Tài sản cố định</t>
        </is>
      </c>
      <c r="B25" s="18" t="inlineStr">
        <is>
          <t>150</t>
        </is>
      </c>
      <c r="C25" s="55" t="inlineStr"/>
      <c r="D25" s="12">
        <f>D26+D27</f>
        <v/>
      </c>
      <c r="E25" s="12">
        <f>E26+E27</f>
        <v/>
      </c>
    </row>
    <row r="26" ht="16" customHeight="1">
      <c r="A26" s="20" t="inlineStr">
        <is>
          <t>- Nguyên giá</t>
        </is>
      </c>
      <c r="B26" s="18" t="inlineStr">
        <is>
          <t>151</t>
        </is>
      </c>
      <c r="C26" s="55" t="inlineStr"/>
      <c r="D26" s="12">
        <f>(SUMPRODUCT((DATA_F01!$I$4:$I$108=1)*(LEFT(DATA_F01!$A$4:$A$108,3)="211")*N(DATA_F01!$G$4:$G$108)))</f>
        <v/>
      </c>
      <c r="E26" s="12">
        <f>(SUMPRODUCT((DATA_F01!$I$4:$I$108=1)*(LEFT(DATA_F01!$A$4:$A$108,3)="211")*N(DATA_F01!$C$4:$C$108)))</f>
        <v/>
      </c>
    </row>
    <row r="27" ht="16" customHeight="1">
      <c r="A27" s="20" t="inlineStr">
        <is>
          <t>- Giá trị hao mòn lũy kế (*)</t>
        </is>
      </c>
      <c r="B27" s="18" t="inlineStr">
        <is>
          <t>152</t>
        </is>
      </c>
      <c r="C27" s="55" t="inlineStr"/>
      <c r="D27" s="12">
        <f>-ABS((SUMPRODUCT((DATA_F01!$I$4:$I$108=1)*(LEFT(DATA_F01!$A$4:$A$108,4)="2141")*N(DATA_F01!$H$4:$H$108))+SUMPRODUCT((DATA_F01!$I$4:$I$108=1)*(LEFT(DATA_F01!$A$4:$A$108,4)="2142")*N(DATA_F01!$H$4:$H$108))+SUMPRODUCT((DATA_F01!$I$4:$I$108=1)*(LEFT(DATA_F01!$A$4:$A$108,4)="2143")*N(DATA_F01!$H$4:$H$108))))</f>
        <v/>
      </c>
      <c r="E27" s="12">
        <f>-ABS((SUMPRODUCT((DATA_F01!$I$4:$I$108=1)*(LEFT(DATA_F01!$A$4:$A$108,4)="2141")*N(DATA_F01!$D$4:$D$108))+SUMPRODUCT((DATA_F01!$I$4:$I$108=1)*(LEFT(DATA_F01!$A$4:$A$108,4)="2142")*N(DATA_F01!$D$4:$D$108))+SUMPRODUCT((DATA_F01!$I$4:$I$108=1)*(LEFT(DATA_F01!$A$4:$A$108,4)="2143")*N(DATA_F01!$D$4:$D$108))))</f>
        <v/>
      </c>
    </row>
    <row r="28" ht="16" customHeight="1">
      <c r="A28" s="17" t="inlineStr">
        <is>
          <t>6. Bất động sản đầu tư</t>
        </is>
      </c>
      <c r="B28" s="18" t="inlineStr">
        <is>
          <t>160</t>
        </is>
      </c>
      <c r="C28" s="55" t="inlineStr"/>
      <c r="D28" s="12">
        <f>D29+D30</f>
        <v/>
      </c>
      <c r="E28" s="12">
        <f>E29+E30</f>
        <v/>
      </c>
    </row>
    <row r="29" ht="16" customHeight="1">
      <c r="A29" s="20" t="inlineStr">
        <is>
          <t>- Nguyên giá</t>
        </is>
      </c>
      <c r="B29" s="18" t="inlineStr">
        <is>
          <t>161</t>
        </is>
      </c>
      <c r="C29" s="55" t="inlineStr"/>
      <c r="D29" s="12">
        <f>(SUMPRODUCT((DATA_F01!$I$4:$I$108=1)*(LEFT(DATA_F01!$A$4:$A$108,3)="217")*N(DATA_F01!$G$4:$G$108)))</f>
        <v/>
      </c>
      <c r="E29" s="12">
        <f>(SUMPRODUCT((DATA_F01!$I$4:$I$108=1)*(LEFT(DATA_F01!$A$4:$A$108,3)="217")*N(DATA_F01!$C$4:$C$108)))</f>
        <v/>
      </c>
    </row>
    <row r="30" ht="16" customHeight="1">
      <c r="A30" s="20" t="inlineStr">
        <is>
          <t>- Giá trị hao mòn lũy kế (*)</t>
        </is>
      </c>
      <c r="B30" s="18" t="inlineStr">
        <is>
          <t>162</t>
        </is>
      </c>
      <c r="C30" s="55" t="inlineStr"/>
      <c r="D30" s="12">
        <f>-ABS((SUMPRODUCT((DATA_F01!$I$4:$I$108=1)*(LEFT(DATA_F01!$A$4:$A$108,4)="2147")*N(DATA_F01!$H$4:$H$108))))</f>
        <v/>
      </c>
      <c r="E30" s="12">
        <f>-ABS((SUMPRODUCT((DATA_F01!$I$4:$I$108=1)*(LEFT(DATA_F01!$A$4:$A$108,4)="2147")*N(DATA_F01!$D$4:$D$108))))</f>
        <v/>
      </c>
    </row>
    <row r="31" ht="16" customHeight="1">
      <c r="A31" s="17" t="inlineStr">
        <is>
          <t>7. XDCB dở dang</t>
        </is>
      </c>
      <c r="B31" s="18" t="inlineStr">
        <is>
          <t>170</t>
        </is>
      </c>
      <c r="C31" s="55" t="inlineStr"/>
      <c r="D31" s="12">
        <f>(SUMPRODUCT((DATA_F01!$I$4:$I$108=1)*(LEFT(DATA_F01!$A$4:$A$108,3)="241")*N(DATA_F01!$G$4:$G$108)))</f>
        <v/>
      </c>
      <c r="E31" s="12">
        <f>(SUMPRODUCT((DATA_F01!$I$4:$I$108=1)*(LEFT(DATA_F01!$A$4:$A$108,3)="241")*N(DATA_F01!$C$4:$C$108)))</f>
        <v/>
      </c>
    </row>
    <row r="32" ht="16" customHeight="1">
      <c r="A32" s="17" t="inlineStr">
        <is>
          <t>8. Tài sản khác</t>
        </is>
      </c>
      <c r="B32" s="18" t="inlineStr">
        <is>
          <t>180</t>
        </is>
      </c>
      <c r="C32" s="55" t="inlineStr"/>
      <c r="D32" s="12">
        <f>D33+D34</f>
        <v/>
      </c>
      <c r="E32" s="12">
        <f>E33+E34</f>
        <v/>
      </c>
    </row>
    <row r="33" ht="16" customHeight="1">
      <c r="A33" s="20" t="inlineStr">
        <is>
          <t>Thuế GTGT được khấu trừ</t>
        </is>
      </c>
      <c r="B33" s="18" t="inlineStr">
        <is>
          <t>181</t>
        </is>
      </c>
      <c r="C33" s="55" t="inlineStr"/>
      <c r="D33" s="12">
        <f>(SUMPRODUCT((DATA_F01!$I$4:$I$108=1)*(LEFT(DATA_F01!$A$4:$A$108,3)="133")*N(DATA_F01!$G$4:$G$108)))</f>
        <v/>
      </c>
      <c r="E33" s="12">
        <f>(SUMPRODUCT((DATA_F01!$I$4:$I$108=1)*(LEFT(DATA_F01!$A$4:$A$108,3)="133")*N(DATA_F01!$C$4:$C$108)))</f>
        <v/>
      </c>
    </row>
    <row r="34" ht="16" customHeight="1">
      <c r="A34" s="20" t="inlineStr">
        <is>
          <t>Tài sản khác</t>
        </is>
      </c>
      <c r="B34" s="18" t="inlineStr">
        <is>
          <t>182</t>
        </is>
      </c>
      <c r="C34" s="55" t="inlineStr"/>
      <c r="D34" s="12">
        <f>(SUMPRODUCT((DATA_F01!$I$4:$I$108=1)*(LEFT(DATA_F01!$A$4:$A$108,3)="242")*N(DATA_F01!$G$4:$G$108))+SUMPRODUCT((DATA_F01!$I$4:$I$108=1)*(LEFT(DATA_F01!$A$4:$A$108,3)="333")*N(DATA_F01!$G$4:$G$108)))</f>
        <v/>
      </c>
      <c r="E34" s="12">
        <f>(SUMPRODUCT((DATA_F01!$I$4:$I$108=1)*(LEFT(DATA_F01!$A$4:$A$108,3)="242")*N(DATA_F01!$C$4:$C$108))+SUMPRODUCT((DATA_F01!$I$4:$I$108=1)*(LEFT(DATA_F01!$A$4:$A$108,3)="333")*N(DATA_F01!$C$4:$C$108)))</f>
        <v/>
      </c>
    </row>
    <row r="35" ht="16" customHeight="1">
      <c r="A35" s="21" t="inlineStr">
        <is>
          <t>TỔNG CỘNG TÀI SẢN</t>
        </is>
      </c>
      <c r="B35" s="22" t="inlineStr">
        <is>
          <t>200</t>
        </is>
      </c>
      <c r="C35" s="23" t="inlineStr"/>
      <c r="D35" s="24">
        <f>D9+D10+D15+D22+D25+D28+D31+D32</f>
        <v/>
      </c>
      <c r="E35" s="24">
        <f>E9+E10+E15+E22+E25+E28+E31+E32</f>
        <v/>
      </c>
    </row>
    <row r="36">
      <c r="A36" s="45" t="inlineStr">
        <is>
          <t>NGUỒN VỐN</t>
        </is>
      </c>
      <c r="B36" s="56" t="n"/>
      <c r="C36" s="56" t="n"/>
      <c r="D36" s="56" t="n"/>
      <c r="E36" s="57" t="n"/>
    </row>
    <row r="37" ht="16" customHeight="1">
      <c r="A37" s="17" t="inlineStr">
        <is>
          <t>I. Nợ phải trả</t>
        </is>
      </c>
      <c r="B37" s="18" t="inlineStr">
        <is>
          <t>300</t>
        </is>
      </c>
      <c r="C37" s="55" t="inlineStr"/>
      <c r="D37" s="12">
        <f>D38+D39+D40+D41+D42+D43+D44+D45+D46+D47</f>
        <v/>
      </c>
      <c r="E37" s="12">
        <f>E38+E39+E40+E41+E42+E43+E44+E45+E46+E47</f>
        <v/>
      </c>
    </row>
    <row r="38" ht="16" customHeight="1">
      <c r="A38" s="20" t="inlineStr">
        <is>
          <t>Phải trả người bán</t>
        </is>
      </c>
      <c r="B38" s="18" t="inlineStr">
        <is>
          <t>311</t>
        </is>
      </c>
      <c r="C38" s="55" t="inlineStr"/>
      <c r="D38" s="12">
        <f>(SUMPRODUCT((DATA_F01!$I$4:$I$108=1)*(LEFT(DATA_F01!$A$4:$A$108,3)="331")*N(DATA_F01!$H$4:$H$108)))</f>
        <v/>
      </c>
      <c r="E38" s="12">
        <f>(SUMPRODUCT((DATA_F01!$I$4:$I$108=1)*(LEFT(DATA_F01!$A$4:$A$108,3)="331")*N(DATA_F01!$D$4:$D$108)))</f>
        <v/>
      </c>
    </row>
    <row r="39" ht="16" customHeight="1">
      <c r="A39" s="20" t="inlineStr">
        <is>
          <t>Người mua trả tiền trước</t>
        </is>
      </c>
      <c r="B39" s="18" t="inlineStr">
        <is>
          <t>312</t>
        </is>
      </c>
      <c r="C39" s="55" t="inlineStr"/>
      <c r="D39" s="12">
        <f>(SUMPRODUCT((DATA_F01!$I$4:$I$108=1)*(LEFT(DATA_F01!$A$4:$A$108,3)="131")*N(DATA_F01!$H$4:$H$108)))</f>
        <v/>
      </c>
      <c r="E39" s="12">
        <f>(SUMPRODUCT((DATA_F01!$I$4:$I$108=1)*(LEFT(DATA_F01!$A$4:$A$108,3)="131")*N(DATA_F01!$D$4:$D$108)))</f>
        <v/>
      </c>
    </row>
    <row r="40" ht="16" customHeight="1">
      <c r="A40" s="20" t="inlineStr">
        <is>
          <t>Thuế và các khoản phải nộp Nhà nước</t>
        </is>
      </c>
      <c r="B40" s="18" t="inlineStr">
        <is>
          <t>313</t>
        </is>
      </c>
      <c r="C40" s="55" t="inlineStr"/>
      <c r="D40" s="12">
        <f>(SUMPRODUCT((DATA_F01!$I$4:$I$108=1)*(LEFT(DATA_F01!$A$4:$A$108,3)="333")*N(DATA_F01!$H$4:$H$108)))</f>
        <v/>
      </c>
      <c r="E40" s="12">
        <f>(SUMPRODUCT((DATA_F01!$I$4:$I$108=1)*(LEFT(DATA_F01!$A$4:$A$108,3)="333")*N(DATA_F01!$D$4:$D$108)))</f>
        <v/>
      </c>
    </row>
    <row r="41" ht="16" customHeight="1">
      <c r="A41" s="20" t="inlineStr">
        <is>
          <t>Phải trả người lao động</t>
        </is>
      </c>
      <c r="B41" s="18" t="inlineStr">
        <is>
          <t>314</t>
        </is>
      </c>
      <c r="C41" s="55" t="inlineStr"/>
      <c r="D41" s="12">
        <f>(SUMPRODUCT((DATA_F01!$I$4:$I$108=1)*(LEFT(DATA_F01!$A$4:$A$108,3)="334")*N(DATA_F01!$H$4:$H$108)))</f>
        <v/>
      </c>
      <c r="E41" s="12">
        <f>(SUMPRODUCT((DATA_F01!$I$4:$I$108=1)*(LEFT(DATA_F01!$A$4:$A$108,3)="334")*N(DATA_F01!$D$4:$D$108)))</f>
        <v/>
      </c>
    </row>
    <row r="42" ht="16" customHeight="1">
      <c r="A42" s="20" t="inlineStr">
        <is>
          <t>Phải trả khác</t>
        </is>
      </c>
      <c r="B42" s="18" t="inlineStr">
        <is>
          <t>315</t>
        </is>
      </c>
      <c r="C42" s="55" t="inlineStr"/>
      <c r="D42" s="12">
        <f>(SUMPRODUCT((DATA_F01!$I$4:$I$108=1)*(LEFT(DATA_F01!$A$4:$A$108,3)="335")*N(DATA_F01!$H$4:$H$108))+SUMPRODUCT((DATA_F01!$I$4:$I$108=1)*(LEFT(DATA_F01!$A$4:$A$108,4)="3368")*N(DATA_F01!$H$4:$H$108))+SUMPRODUCT((DATA_F01!$I$4:$I$108=1)*(LEFT(DATA_F01!$A$4:$A$108,3)="338")*N(DATA_F01!$H$4:$H$108))+SUMPRODUCT((DATA_F01!$I$4:$I$108=1)*(LEFT(DATA_F01!$A$4:$A$108,4)="1388")*N(DATA_F01!$H$4:$H$108)))</f>
        <v/>
      </c>
      <c r="E42" s="12">
        <f>(SUMPRODUCT((DATA_F01!$I$4:$I$108=1)*(LEFT(DATA_F01!$A$4:$A$108,3)="335")*N(DATA_F01!$D$4:$D$108))+SUMPRODUCT((DATA_F01!$I$4:$I$108=1)*(LEFT(DATA_F01!$A$4:$A$108,4)="3368")*N(DATA_F01!$D$4:$D$108))+SUMPRODUCT((DATA_F01!$I$4:$I$108=1)*(LEFT(DATA_F01!$A$4:$A$108,3)="338")*N(DATA_F01!$D$4:$D$108))+SUMPRODUCT((DATA_F01!$I$4:$I$108=1)*(LEFT(DATA_F01!$A$4:$A$108,4)="1388")*N(DATA_F01!$D$4:$D$108)))</f>
        <v/>
      </c>
    </row>
    <row r="43" ht="16" customHeight="1">
      <c r="A43" s="20" t="inlineStr">
        <is>
          <t>Vay và nợ thuê tài chính</t>
        </is>
      </c>
      <c r="B43" s="18" t="inlineStr">
        <is>
          <t>316</t>
        </is>
      </c>
      <c r="C43" s="55" t="inlineStr"/>
      <c r="D43" s="12">
        <f>(SUMPRODUCT((DATA_F01!$I$4:$I$108=1)*(LEFT(DATA_F01!$A$4:$A$108,3)="341")*N(DATA_F01!$H$4:$H$108)))</f>
        <v/>
      </c>
      <c r="E43" s="12">
        <f>(SUMPRODUCT((DATA_F01!$I$4:$I$108=1)*(LEFT(DATA_F01!$A$4:$A$108,3)="341")*N(DATA_F01!$D$4:$D$108)))</f>
        <v/>
      </c>
    </row>
    <row r="44" ht="16" customHeight="1">
      <c r="A44" s="20" t="inlineStr">
        <is>
          <t>Phải trả nội bộ về vốn kinh doanh</t>
        </is>
      </c>
      <c r="B44" s="18" t="inlineStr">
        <is>
          <t>317</t>
        </is>
      </c>
      <c r="C44" s="55" t="inlineStr"/>
      <c r="D44" s="12">
        <f>(SUMPRODUCT((DATA_F01!$I$4:$I$108=1)*(LEFT(DATA_F01!$A$4:$A$108,4)="3361")*N(DATA_F01!$H$4:$H$108)))</f>
        <v/>
      </c>
      <c r="E44" s="12">
        <f>(SUMPRODUCT((DATA_F01!$I$4:$I$108=1)*(LEFT(DATA_F01!$A$4:$A$108,4)="3361")*N(DATA_F01!$D$4:$D$108)))</f>
        <v/>
      </c>
    </row>
    <row r="45" ht="16" customHeight="1">
      <c r="A45" s="20" t="inlineStr">
        <is>
          <t>Dự phòng phải trả</t>
        </is>
      </c>
      <c r="B45" s="18" t="inlineStr">
        <is>
          <t>318</t>
        </is>
      </c>
      <c r="C45" s="55" t="inlineStr"/>
      <c r="D45" s="12">
        <f>(SUMPRODUCT((DATA_F01!$I$4:$I$108=1)*(LEFT(DATA_F01!$A$4:$A$108,3)="352")*N(DATA_F01!$H$4:$H$108)))</f>
        <v/>
      </c>
      <c r="E45" s="12">
        <f>(SUMPRODUCT((DATA_F01!$I$4:$I$108=1)*(LEFT(DATA_F01!$A$4:$A$108,3)="352")*N(DATA_F01!$D$4:$D$108)))</f>
        <v/>
      </c>
    </row>
    <row r="46" ht="16" customHeight="1">
      <c r="A46" s="20" t="inlineStr">
        <is>
          <t>Quỹ khen thưởng, phúc lợi</t>
        </is>
      </c>
      <c r="B46" s="18" t="inlineStr">
        <is>
          <t>319</t>
        </is>
      </c>
      <c r="C46" s="55" t="inlineStr"/>
      <c r="D46" s="12">
        <f>(SUMPRODUCT((DATA_F01!$I$4:$I$108=1)*(LEFT(DATA_F01!$A$4:$A$108,3)="353")*N(DATA_F01!$H$4:$H$108)))</f>
        <v/>
      </c>
      <c r="E46" s="12">
        <f>(SUMPRODUCT((DATA_F01!$I$4:$I$108=1)*(LEFT(DATA_F01!$A$4:$A$108,3)="353")*N(DATA_F01!$D$4:$D$108)))</f>
        <v/>
      </c>
    </row>
    <row r="47" ht="16" customHeight="1">
      <c r="A47" s="20" t="inlineStr">
        <is>
          <t>Quỹ phát triển khoa học và công nghệ</t>
        </is>
      </c>
      <c r="B47" s="18" t="inlineStr">
        <is>
          <t>320</t>
        </is>
      </c>
      <c r="C47" s="55" t="inlineStr"/>
      <c r="D47" s="12">
        <f>(SUMPRODUCT((DATA_F01!$I$4:$I$108=1)*(LEFT(DATA_F01!$A$4:$A$108,3)="356")*N(DATA_F01!$H$4:$H$108)))</f>
        <v/>
      </c>
      <c r="E47" s="12">
        <f>(SUMPRODUCT((DATA_F01!$I$4:$I$108=1)*(LEFT(DATA_F01!$A$4:$A$108,3)="356")*N(DATA_F01!$D$4:$D$108)))</f>
        <v/>
      </c>
    </row>
    <row r="48" ht="16" customHeight="1">
      <c r="A48" s="17" t="inlineStr">
        <is>
          <t>II. Vốn chủ sở hữu</t>
        </is>
      </c>
      <c r="B48" s="18" t="inlineStr">
        <is>
          <t>400</t>
        </is>
      </c>
      <c r="C48" s="55" t="inlineStr"/>
      <c r="D48" s="12">
        <f>D49+D50+D51+D52+D53+D54+D55</f>
        <v/>
      </c>
      <c r="E48" s="12">
        <f>E49+E50+E51+E52+E53+E54+E55</f>
        <v/>
      </c>
    </row>
    <row r="49" ht="16" customHeight="1">
      <c r="A49" s="20" t="inlineStr">
        <is>
          <t>Vốn góp của chủ sở hữu</t>
        </is>
      </c>
      <c r="B49" s="18" t="inlineStr">
        <is>
          <t>411</t>
        </is>
      </c>
      <c r="C49" s="55" t="inlineStr"/>
      <c r="D49" s="12">
        <f>(SUMPRODUCT((DATA_F01!$I$4:$I$108=1)*(LEFT(DATA_F01!$A$4:$A$108,4)="4111")*N(DATA_F01!$H$4:$H$108)))</f>
        <v/>
      </c>
      <c r="E49" s="12">
        <f>(SUMPRODUCT((DATA_F01!$I$4:$I$108=1)*(LEFT(DATA_F01!$A$4:$A$108,4)="4111")*N(DATA_F01!$D$4:$D$108)))</f>
        <v/>
      </c>
    </row>
    <row r="50" ht="16" customHeight="1">
      <c r="A50" s="20" t="inlineStr">
        <is>
          <t>Thặng dư vốn cổ phần</t>
        </is>
      </c>
      <c r="B50" s="18" t="inlineStr">
        <is>
          <t>412</t>
        </is>
      </c>
      <c r="C50" s="55" t="inlineStr"/>
      <c r="D50" s="12">
        <f>(SUMPRODUCT((DATA_F01!$I$4:$I$108=1)*(LEFT(DATA_F01!$A$4:$A$108,4)="4112")*N(DATA_F01!$H$4:$H$108))-SUMPRODUCT((DATA_F01!$I$4:$I$108=1)*(LEFT(DATA_F01!$A$4:$A$108,4)="4112")*N(DATA_F01!$G$4:$G$108)))</f>
        <v/>
      </c>
      <c r="E50" s="12">
        <f>(SUMPRODUCT((DATA_F01!$I$4:$I$108=1)*(LEFT(DATA_F01!$A$4:$A$108,4)="4112")*N(DATA_F01!$D$4:$D$108))-SUMPRODUCT((DATA_F01!$I$4:$I$108=1)*(LEFT(DATA_F01!$A$4:$A$108,4)="4112")*N(DATA_F01!$C$4:$C$108)))</f>
        <v/>
      </c>
    </row>
    <row r="51" ht="16" customHeight="1">
      <c r="A51" s="20" t="inlineStr">
        <is>
          <t>Vốn khác của chủ sở hữu</t>
        </is>
      </c>
      <c r="B51" s="18" t="inlineStr">
        <is>
          <t>413</t>
        </is>
      </c>
      <c r="C51" s="55" t="inlineStr"/>
      <c r="D51" s="12">
        <f>(SUMPRODUCT((DATA_F01!$I$4:$I$108=1)*(LEFT(DATA_F01!$A$4:$A$108,4)="4118")*N(DATA_F01!$H$4:$H$108)))</f>
        <v/>
      </c>
      <c r="E51" s="12">
        <f>(SUMPRODUCT((DATA_F01!$I$4:$I$108=1)*(LEFT(DATA_F01!$A$4:$A$108,4)="4118")*N(DATA_F01!$D$4:$D$108)))</f>
        <v/>
      </c>
    </row>
    <row r="52" ht="16" customHeight="1">
      <c r="A52" s="20" t="inlineStr">
        <is>
          <t>Cổ phiếu quỹ (*)</t>
        </is>
      </c>
      <c r="B52" s="18" t="inlineStr">
        <is>
          <t>414</t>
        </is>
      </c>
      <c r="C52" s="55" t="inlineStr"/>
      <c r="D52" s="12">
        <f>-ABS((SUMPRODUCT((DATA_F01!$I$4:$I$108=1)*(LEFT(DATA_F01!$A$4:$A$108,3)="419")*N(DATA_F01!$G$4:$G$108))))</f>
        <v/>
      </c>
      <c r="E52" s="12">
        <f>-ABS((SUMPRODUCT((DATA_F01!$I$4:$I$108=1)*(LEFT(DATA_F01!$A$4:$A$108,3)="419")*N(DATA_F01!$C$4:$C$108))))</f>
        <v/>
      </c>
    </row>
    <row r="53" ht="16" customHeight="1">
      <c r="A53" s="20" t="inlineStr">
        <is>
          <t>Chênh lệch tỷ giá hối đoái</t>
        </is>
      </c>
      <c r="B53" s="18" t="inlineStr">
        <is>
          <t>415</t>
        </is>
      </c>
      <c r="C53" s="55" t="inlineStr"/>
      <c r="D53" s="12">
        <f>(SUMPRODUCT((DATA_F01!$I$4:$I$108=1)*(LEFT(DATA_F01!$A$4:$A$108,3)="413")*N(DATA_F01!$H$4:$H$108))-SUMPRODUCT((DATA_F01!$I$4:$I$108=1)*(LEFT(DATA_F01!$A$4:$A$108,3)="413")*N(DATA_F01!$G$4:$G$108)))</f>
        <v/>
      </c>
      <c r="E53" s="12">
        <f>(SUMPRODUCT((DATA_F01!$I$4:$I$108=1)*(LEFT(DATA_F01!$A$4:$A$108,3)="413")*N(DATA_F01!$D$4:$D$108))-SUMPRODUCT((DATA_F01!$I$4:$I$108=1)*(LEFT(DATA_F01!$A$4:$A$108,3)="413")*N(DATA_F01!$C$4:$C$108)))</f>
        <v/>
      </c>
    </row>
    <row r="54" ht="16" customHeight="1">
      <c r="A54" s="20" t="inlineStr">
        <is>
          <t>Các quỹ thuộc vốn chủ sở hữu</t>
        </is>
      </c>
      <c r="B54" s="18" t="inlineStr">
        <is>
          <t>416</t>
        </is>
      </c>
      <c r="C54" s="55" t="inlineStr"/>
      <c r="D54" s="12">
        <f>(SUMPRODUCT((DATA_F01!$I$4:$I$108=1)*(LEFT(DATA_F01!$A$4:$A$108,3)="418")*N(DATA_F01!$H$4:$H$108)))</f>
        <v/>
      </c>
      <c r="E54" s="12">
        <f>(SUMPRODUCT((DATA_F01!$I$4:$I$108=1)*(LEFT(DATA_F01!$A$4:$A$108,3)="418")*N(DATA_F01!$D$4:$D$108)))</f>
        <v/>
      </c>
    </row>
    <row r="55" ht="16" customHeight="1">
      <c r="A55" s="20" t="inlineStr">
        <is>
          <t>Lợi nhuận sau thuế chưa phân phối</t>
        </is>
      </c>
      <c r="B55" s="18" t="inlineStr">
        <is>
          <t>417</t>
        </is>
      </c>
      <c r="C55" s="55" t="inlineStr"/>
      <c r="D55" s="12">
        <f>(SUMPRODUCT((DATA_F01!$I$4:$I$108=1)*(LEFT(DATA_F01!$A$4:$A$108,3)="421")*N(DATA_F01!$H$4:$H$108))-SUMPRODUCT((DATA_F01!$I$4:$I$108=1)*(LEFT(DATA_F01!$A$4:$A$108,3)="421")*N(DATA_F01!$G$4:$G$108)))</f>
        <v/>
      </c>
      <c r="E55" s="12">
        <f>(SUMPRODUCT((DATA_F01!$I$4:$I$108=1)*(LEFT(DATA_F01!$A$4:$A$108,3)="421")*N(DATA_F01!$D$4:$D$108))-SUMPRODUCT((DATA_F01!$I$4:$I$108=1)*(LEFT(DATA_F01!$A$4:$A$108,3)="421")*N(DATA_F01!$C$4:$C$108)))</f>
        <v/>
      </c>
    </row>
    <row r="56" ht="16" customHeight="1">
      <c r="A56" s="21" t="inlineStr">
        <is>
          <t>TỔNG CỘNG NGUỒN VỐN</t>
        </is>
      </c>
      <c r="B56" s="22" t="inlineStr">
        <is>
          <t>500</t>
        </is>
      </c>
      <c r="C56" s="23" t="inlineStr"/>
      <c r="D56" s="24">
        <f>D37+D48</f>
        <v/>
      </c>
      <c r="E56" s="24">
        <f>E37+E48</f>
        <v/>
      </c>
    </row>
    <row r="57">
      <c r="A57" s="46" t="inlineStr">
        <is>
          <t>KIỂM TRA: Tổng cộng tài sản = Tổng cộng nguồn vốn</t>
        </is>
      </c>
      <c r="D57" s="46">
        <f>IF(ABS(D35-D56)&lt;=1,"✓ CÂN","✗ LỆCH "&amp;TEXT(D35-D56,"#,##0"))</f>
        <v/>
      </c>
      <c r="E57" s="46">
        <f>IF(ABS(E35-E56)&lt;=1,"✓ CÂN","✗ LỆCH "&amp;TEXT(E35-E56,"#,##0"))</f>
        <v/>
      </c>
    </row>
    <row r="58"/>
    <row r="59" ht="28" customHeight="1">
      <c r="A59" s="47" t="inlineStr">
        <is>
          <t>Ghi chú: Những chỉ tiêu không có số liệu được miễn trình bày nhưng không được đánh lại "Mã số" chỉ tiêu. Số liệu trong ngoặc đơn ( ) là số âm.</t>
        </is>
      </c>
    </row>
    <row r="60"/>
    <row r="61">
      <c r="A61" t="inlineStr"/>
      <c r="B61" t="inlineStr"/>
      <c r="C61" t="inlineStr"/>
      <c r="D61" s="25" t="inlineStr">
        <is>
          <t>Ngày ..... tháng ..... năm .....</t>
        </is>
      </c>
    </row>
    <row r="62">
      <c r="A62" s="26" t="inlineStr">
        <is>
          <t>NGƯỜI LẬP BIỂU</t>
        </is>
      </c>
      <c r="B62" s="26" t="inlineStr"/>
      <c r="C62" s="26" t="inlineStr">
        <is>
          <t>KẾ TOÁN TRƯỞNG</t>
        </is>
      </c>
      <c r="D62" s="26" t="inlineStr">
        <is>
          <t>NGƯỜI ĐẠI DIỆN THEO PHÁP LUẬT</t>
        </is>
      </c>
    </row>
    <row r="63">
      <c r="A63" s="27" t="inlineStr">
        <is>
          <t>(Ký, họ tên)</t>
        </is>
      </c>
      <c r="B63" s="27" t="inlineStr"/>
      <c r="C63" s="27" t="inlineStr">
        <is>
          <t>(Ký, họ tên)</t>
        </is>
      </c>
      <c r="D63" s="27" t="inlineStr">
        <is>
          <t>(Ký, họ tên, đóng dấu)</t>
        </is>
      </c>
    </row>
    <row r="64"/>
    <row r="65"/>
    <row r="66">
      <c r="A66" s="28" t="inlineStr">
        <is>
          <t>Nguyễn Thị Hoa</t>
        </is>
      </c>
      <c r="B66" s="28" t="inlineStr"/>
      <c r="C66" s="28" t="inlineStr">
        <is>
          <t>Trần Văn Nam</t>
        </is>
      </c>
      <c r="D66" s="28" t="inlineStr">
        <is>
          <t>Lê Minh Anh</t>
        </is>
      </c>
    </row>
    <row r="67"/>
    <row r="68">
      <c r="A68" s="40" t="inlineStr">
        <is>
          <t>Lập bằng Công cụ lập &amp; kiểm tra BCTC theo Thông tư 133 — KK HOME ·  · TT133-MAP-2026.08 · Xuất lúc 10:59:49 14/8/2026</t>
        </is>
      </c>
    </row>
  </sheetData>
  <sheetProtection selectLockedCells="0" selectUnlockedCells="0" sheet="1" objects="0" insertRows="1" insertHyperlinks="1" autoFilter="0" scenarios="0" formatColumns="1" deleteColumns="1" insertColumns="1" pivotTables="1" deleteRows="1" formatCells="1" formatRows="1" sort="0"/>
  <mergeCells count="10">
    <mergeCell ref="A4:E4"/>
    <mergeCell ref="A59:E59"/>
    <mergeCell ref="A2:E2"/>
    <mergeCell ref="A68:E68"/>
    <mergeCell ref="A1:E1"/>
    <mergeCell ref="A5:E5"/>
    <mergeCell ref="A36:E36"/>
    <mergeCell ref="A8:E8"/>
    <mergeCell ref="A6:E6"/>
    <mergeCell ref="A57:C57"/>
  </mergeCells>
  <printOptions horizontalCentered="1"/>
  <pageMargins left="0.5" right="0.4" top="0.6" bottom="0.6" header="0.3" footer="0.3"/>
  <pageSetup orientation="portrait" paperSize="9" fitToHeight="0"/>
  <headerFooter>
    <oddHeader>&amp;LCÔNG TY TNHH THƯƠNG MẠI MINH ANH&amp;RMST: 0101234567</oddHeader>
    <oddFooter>&amp;LMr Wick Kiểm toán · taichinhketoanedu.com&amp;C&amp;P/&amp;N&amp;RNăm 2025 · Đồng</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34"/>
  <sheetViews>
    <sheetView showGridLines="0" workbookViewId="0">
      <pane ySplit="7" topLeftCell="A8" activePane="bottomLeft" state="frozen"/>
      <selection pane="bottomLeft" activeCell="A1" sqref="A1:E1"/>
    </sheetView>
  </sheetViews>
  <sheetFormatPr baseColWidth="10" defaultColWidth="8.83203125" defaultRowHeight="15"/>
  <cols>
    <col width="66" customWidth="1" min="1" max="1"/>
    <col width="12" customWidth="1" min="3" max="3"/>
    <col width="20" customWidth="1" min="4" max="5"/>
  </cols>
  <sheetData>
    <row r="1">
      <c r="A1" s="42" t="inlineStr">
        <is>
          <t>CÔNG TY TNHH THƯƠNG MẠI MINH ANH</t>
        </is>
      </c>
    </row>
    <row r="2">
      <c r="A2" s="43" t="inlineStr">
        <is>
          <t>MST: 0101234567 · Số 12 phố Láng Hạ, phường Láng, TP Hà Nội</t>
        </is>
      </c>
    </row>
    <row r="3"/>
    <row r="4" ht="22" customHeight="1">
      <c r="A4" s="38" t="inlineStr">
        <is>
          <t>BÁO CÁO KẾT QUẢ HOẠT ĐỘNG KINH DOANH</t>
        </is>
      </c>
    </row>
    <row r="5">
      <c r="A5" s="39" t="inlineStr">
        <is>
          <t>Năm 2025 · Mẫu số B02-DNN (Ban hành theo Thông tư số 133/2016/TT-BTC ngày 26/8/2016 của Bộ Tài chính)</t>
        </is>
      </c>
    </row>
    <row r="6">
      <c r="A6" s="44" t="inlineStr">
        <is>
          <t>Đơn vị tính: Đồng</t>
        </is>
      </c>
    </row>
    <row r="7" ht="30" customHeight="1">
      <c r="A7" s="53" t="inlineStr">
        <is>
          <t>CHỈ TIÊU</t>
        </is>
      </c>
      <c r="B7" s="53" t="inlineStr">
        <is>
          <t>Mã số</t>
        </is>
      </c>
      <c r="C7" s="53" t="inlineStr">
        <is>
          <t>Thuyết minh</t>
        </is>
      </c>
      <c r="D7" s="53" t="inlineStr">
        <is>
          <t>Năm nay</t>
        </is>
      </c>
      <c r="E7" s="53" t="inlineStr">
        <is>
          <t>Năm trước</t>
        </is>
      </c>
    </row>
    <row r="8" ht="16" customHeight="1">
      <c r="A8" s="6" t="inlineStr">
        <is>
          <t>1. Doanh thu bán hàng và cung cấp dịch vụ</t>
        </is>
      </c>
      <c r="B8" s="18" t="inlineStr">
        <is>
          <t>01</t>
        </is>
      </c>
      <c r="C8" s="55" t="inlineStr"/>
      <c r="D8" s="12">
        <f>(SUMPRODUCT((DATA_F01!$I$4:$I$108=1)*(LEFT(DATA_F01!$A$4:$A$108,3)="511")*N(DATA_F01!$F$4:$F$108)))</f>
        <v/>
      </c>
      <c r="E8" s="29" t="n"/>
    </row>
    <row r="9" ht="16" customHeight="1">
      <c r="A9" s="6" t="inlineStr">
        <is>
          <t>2. Các khoản giảm trừ doanh thu</t>
        </is>
      </c>
      <c r="B9" s="18" t="inlineStr">
        <is>
          <t>02</t>
        </is>
      </c>
      <c r="C9" s="55" t="inlineStr"/>
      <c r="D9" s="9" t="n">
        <v>50000000</v>
      </c>
      <c r="E9" s="29" t="n"/>
    </row>
    <row r="10" ht="16" customHeight="1">
      <c r="A10" s="17" t="inlineStr">
        <is>
          <t>3. Doanh thu thuần về bán hàng và cung cấp dịch vụ (10 = 01 - 02)</t>
        </is>
      </c>
      <c r="B10" s="18" t="inlineStr">
        <is>
          <t>10</t>
        </is>
      </c>
      <c r="C10" s="55" t="inlineStr"/>
      <c r="D10" s="12">
        <f>D8-D9</f>
        <v/>
      </c>
      <c r="E10" s="29" t="n"/>
    </row>
    <row r="11" ht="16" customHeight="1">
      <c r="A11" s="6" t="inlineStr">
        <is>
          <t>4. Giá vốn hàng bán</t>
        </is>
      </c>
      <c r="B11" s="18" t="inlineStr">
        <is>
          <t>11</t>
        </is>
      </c>
      <c r="C11" s="55" t="inlineStr"/>
      <c r="D11" s="12">
        <f>(SUMPRODUCT((DATA_F01!$I$4:$I$108=1)*(LEFT(DATA_F01!$A$4:$A$108,3)="632")*N(DATA_F01!$E$4:$E$108)))</f>
        <v/>
      </c>
      <c r="E11" s="29" t="n"/>
    </row>
    <row r="12" ht="16" customHeight="1">
      <c r="A12" s="17" t="inlineStr">
        <is>
          <t>5. Lợi nhuận gộp về bán hàng và cung cấp dịch vụ (20 = 10 - 11)</t>
        </is>
      </c>
      <c r="B12" s="18" t="inlineStr">
        <is>
          <t>20</t>
        </is>
      </c>
      <c r="C12" s="55" t="inlineStr"/>
      <c r="D12" s="12">
        <f>D10-D11</f>
        <v/>
      </c>
      <c r="E12" s="29" t="n"/>
    </row>
    <row r="13" ht="16" customHeight="1">
      <c r="A13" s="6" t="inlineStr">
        <is>
          <t>6. Doanh thu hoạt động tài chính</t>
        </is>
      </c>
      <c r="B13" s="18" t="inlineStr">
        <is>
          <t>21</t>
        </is>
      </c>
      <c r="C13" s="55" t="inlineStr"/>
      <c r="D13" s="12">
        <f>(SUMPRODUCT((DATA_F01!$I$4:$I$108=1)*(LEFT(DATA_F01!$A$4:$A$108,3)="515")*N(DATA_F01!$F$4:$F$108)))</f>
        <v/>
      </c>
      <c r="E13" s="29" t="n"/>
    </row>
    <row r="14" ht="16" customHeight="1">
      <c r="A14" s="6" t="inlineStr">
        <is>
          <t>7. Chi phí tài chính</t>
        </is>
      </c>
      <c r="B14" s="18" t="inlineStr">
        <is>
          <t>22</t>
        </is>
      </c>
      <c r="C14" s="55" t="inlineStr"/>
      <c r="D14" s="12">
        <f>(SUMPRODUCT((DATA_F01!$I$4:$I$108=1)*(LEFT(DATA_F01!$A$4:$A$108,3)="635")*N(DATA_F01!$E$4:$E$108)))</f>
        <v/>
      </c>
      <c r="E14" s="29" t="n"/>
    </row>
    <row r="15" ht="16" customHeight="1">
      <c r="A15" s="20" t="inlineStr">
        <is>
          <t xml:space="preserve">   - Trong đó: Chi phí lãi vay</t>
        </is>
      </c>
      <c r="B15" s="18" t="inlineStr">
        <is>
          <t>23</t>
        </is>
      </c>
      <c r="C15" s="55" t="inlineStr"/>
      <c r="D15" s="9" t="n">
        <v>0</v>
      </c>
      <c r="E15" s="29" t="n"/>
    </row>
    <row r="16" ht="16" customHeight="1">
      <c r="A16" s="6" t="inlineStr">
        <is>
          <t>8. Chi phí quản lý kinh doanh</t>
        </is>
      </c>
      <c r="B16" s="18" t="inlineStr">
        <is>
          <t>24</t>
        </is>
      </c>
      <c r="C16" s="55" t="inlineStr"/>
      <c r="D16" s="12">
        <f>(SUMPRODUCT((DATA_F01!$I$4:$I$108=1)*(LEFT(DATA_F01!$A$4:$A$108,3)="642")*N(DATA_F01!$E$4:$E$108)))</f>
        <v/>
      </c>
      <c r="E16" s="29" t="n"/>
    </row>
    <row r="17" ht="16" customHeight="1">
      <c r="A17" s="17" t="inlineStr">
        <is>
          <t>9. Lợi nhuận thuần từ hoạt động kinh doanh (30 = 20 + 21 - 22 - 24)</t>
        </is>
      </c>
      <c r="B17" s="18" t="inlineStr">
        <is>
          <t>30</t>
        </is>
      </c>
      <c r="C17" s="55" t="inlineStr"/>
      <c r="D17" s="12">
        <f>D12+D13-D14-D16</f>
        <v/>
      </c>
      <c r="E17" s="29" t="n"/>
    </row>
    <row r="18" ht="16" customHeight="1">
      <c r="A18" s="6" t="inlineStr">
        <is>
          <t>10. Thu nhập khác</t>
        </is>
      </c>
      <c r="B18" s="18" t="inlineStr">
        <is>
          <t>31</t>
        </is>
      </c>
      <c r="C18" s="55" t="inlineStr"/>
      <c r="D18" s="12">
        <f>(SUMPRODUCT((DATA_F01!$I$4:$I$108=1)*(LEFT(DATA_F01!$A$4:$A$108,3)="711")*N(DATA_F01!$F$4:$F$108)))</f>
        <v/>
      </c>
      <c r="E18" s="29" t="n"/>
    </row>
    <row r="19" ht="16" customHeight="1">
      <c r="A19" s="6" t="inlineStr">
        <is>
          <t>11. Chi phí khác</t>
        </is>
      </c>
      <c r="B19" s="18" t="inlineStr">
        <is>
          <t>32</t>
        </is>
      </c>
      <c r="C19" s="55" t="inlineStr"/>
      <c r="D19" s="12">
        <f>(SUMPRODUCT((DATA_F01!$I$4:$I$108=1)*(LEFT(DATA_F01!$A$4:$A$108,3)="811")*N(DATA_F01!$E$4:$E$108)))</f>
        <v/>
      </c>
      <c r="E19" s="29" t="n"/>
    </row>
    <row r="20" ht="16" customHeight="1">
      <c r="A20" s="17" t="inlineStr">
        <is>
          <t>12. Lợi nhuận khác (40 = 31 - 32)</t>
        </is>
      </c>
      <c r="B20" s="18" t="inlineStr">
        <is>
          <t>40</t>
        </is>
      </c>
      <c r="C20" s="55" t="inlineStr"/>
      <c r="D20" s="12">
        <f>D18-D19</f>
        <v/>
      </c>
      <c r="E20" s="29" t="n"/>
    </row>
    <row r="21" ht="16" customHeight="1">
      <c r="A21" s="17" t="inlineStr">
        <is>
          <t>13. Tổng lợi nhuận kế toán trước thuế (50 = 30 + 40)</t>
        </is>
      </c>
      <c r="B21" s="18" t="inlineStr">
        <is>
          <t>50</t>
        </is>
      </c>
      <c r="C21" s="55" t="inlineStr"/>
      <c r="D21" s="12">
        <f>D17+D20</f>
        <v/>
      </c>
      <c r="E21" s="29" t="n"/>
    </row>
    <row r="22" ht="16" customHeight="1">
      <c r="A22" s="6" t="inlineStr">
        <is>
          <t>14. Chi phí thuế thu nhập doanh nghiệp</t>
        </is>
      </c>
      <c r="B22" s="18" t="inlineStr">
        <is>
          <t>51</t>
        </is>
      </c>
      <c r="C22" s="55" t="inlineStr"/>
      <c r="D22" s="12">
        <f>(SUMPRODUCT((DATA_F01!$I$4:$I$108=1)*(LEFT(DATA_F01!$A$4:$A$108,3)="821")*N(DATA_F01!$E$4:$E$108)))</f>
        <v/>
      </c>
      <c r="E22" s="29" t="n"/>
    </row>
    <row r="23" ht="16" customHeight="1">
      <c r="A23" s="17" t="inlineStr">
        <is>
          <t>15. Lợi nhuận sau thuế thu nhập doanh nghiệp (60 = 50 - 51)</t>
        </is>
      </c>
      <c r="B23" s="18" t="inlineStr">
        <is>
          <t>60</t>
        </is>
      </c>
      <c r="C23" s="55" t="inlineStr"/>
      <c r="D23" s="12">
        <f>D21-D22</f>
        <v/>
      </c>
      <c r="E23" s="29" t="n"/>
    </row>
    <row r="24"/>
    <row r="25" ht="28" customHeight="1">
      <c r="A25" s="47" t="inlineStr">
        <is>
          <t>Mã 23 "Trong đó: Chi phí lãi vay" là dòng thuyết minh của mã 22, KHÔNG tham gia công thức cộng trừ. Mã 02 lấy từ PS Nợ TK 511 đối ứng Có TK 111/112/131 — TT133 không có TK 521 nên số liệu này do người dùng khai báo.</t>
        </is>
      </c>
    </row>
    <row r="26"/>
    <row r="27">
      <c r="A27" t="inlineStr"/>
      <c r="B27" t="inlineStr"/>
      <c r="C27" t="inlineStr"/>
      <c r="D27" s="25" t="inlineStr">
        <is>
          <t>Ngày ..... tháng ..... năm .....</t>
        </is>
      </c>
    </row>
    <row r="28">
      <c r="A28" s="26" t="inlineStr">
        <is>
          <t>NGƯỜI LẬP BIỂU</t>
        </is>
      </c>
      <c r="B28" s="26" t="inlineStr"/>
      <c r="C28" s="26" t="inlineStr">
        <is>
          <t>KẾ TOÁN TRƯỞNG</t>
        </is>
      </c>
      <c r="D28" s="26" t="inlineStr">
        <is>
          <t>NGƯỜI ĐẠI DIỆN THEO PHÁP LUẬT</t>
        </is>
      </c>
    </row>
    <row r="29">
      <c r="A29" s="27" t="inlineStr">
        <is>
          <t>(Ký, họ tên)</t>
        </is>
      </c>
      <c r="B29" s="27" t="inlineStr"/>
      <c r="C29" s="27" t="inlineStr">
        <is>
          <t>(Ký, họ tên)</t>
        </is>
      </c>
      <c r="D29" s="27" t="inlineStr">
        <is>
          <t>(Ký, họ tên, đóng dấu)</t>
        </is>
      </c>
    </row>
    <row r="30"/>
    <row r="31"/>
    <row r="32">
      <c r="A32" s="28" t="inlineStr">
        <is>
          <t>Nguyễn Thị Hoa</t>
        </is>
      </c>
      <c r="B32" s="28" t="inlineStr"/>
      <c r="C32" s="28" t="inlineStr">
        <is>
          <t>Trần Văn Nam</t>
        </is>
      </c>
      <c r="D32" s="28" t="inlineStr">
        <is>
          <t>Lê Minh Anh</t>
        </is>
      </c>
    </row>
    <row r="33"/>
    <row r="34">
      <c r="A34" s="40" t="inlineStr">
        <is>
          <t>Lập bằng Công cụ lập &amp; kiểm tra BCTC theo Thông tư 133 — KK HOME ·  · TT133-MAP-2026.08 · Xuất lúc 10:59:49 14/8/2026</t>
        </is>
      </c>
    </row>
  </sheetData>
  <sheetProtection selectLockedCells="0" selectUnlockedCells="0" sheet="1" objects="0" insertRows="1" insertHyperlinks="1" autoFilter="0" scenarios="0" formatColumns="1" deleteColumns="1" insertColumns="1" pivotTables="1" deleteRows="1" formatCells="1" formatRows="1" sort="0"/>
  <mergeCells count="7">
    <mergeCell ref="A34:E34"/>
    <mergeCell ref="A4:E4"/>
    <mergeCell ref="A2:E2"/>
    <mergeCell ref="A25:E25"/>
    <mergeCell ref="A1:E1"/>
    <mergeCell ref="A5:E5"/>
    <mergeCell ref="A6:E6"/>
  </mergeCells>
  <printOptions horizontalCentered="1"/>
  <pageMargins left="0.5" right="0.4" top="0.6" bottom="0.6" header="0.3" footer="0.3"/>
  <pageSetup orientation="portrait" paperSize="9" fitToHeight="0"/>
  <headerFooter>
    <oddHeader>&amp;LCÔNG TY TNHH THƯƠNG MẠI MINH ANH&amp;RMST: 0101234567</oddHeader>
    <oddFooter>&amp;LMr Wick Kiểm toán · taichinhketoanedu.com&amp;C&amp;P/&amp;N&amp;RNăm 2025 · Đồng</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D170"/>
  <sheetViews>
    <sheetView showGridLines="0" workbookViewId="0">
      <selection activeCell="A1" sqref="A1:D1"/>
    </sheetView>
  </sheetViews>
  <sheetFormatPr baseColWidth="10" defaultColWidth="8.83203125" defaultRowHeight="15"/>
  <cols>
    <col width="56" customWidth="1" min="1" max="1"/>
    <col width="22" customWidth="1" min="2" max="4"/>
  </cols>
  <sheetData>
    <row r="1">
      <c r="A1" s="42" t="inlineStr">
        <is>
          <t>CÔNG TY TNHH THƯƠNG MẠI MINH ANH</t>
        </is>
      </c>
    </row>
    <row r="2">
      <c r="A2" s="43" t="inlineStr">
        <is>
          <t>MST: 0101234567 · Số 12 phố Láng Hạ, phường Láng, TP Hà Nội</t>
        </is>
      </c>
    </row>
    <row r="3"/>
    <row r="4" ht="22" customHeight="1">
      <c r="A4" s="38" t="inlineStr">
        <is>
          <t>BẢN THUYẾT MINH BÁO CÁO TÀI CHÍNH</t>
        </is>
      </c>
    </row>
    <row r="5">
      <c r="A5" s="39" t="inlineStr">
        <is>
          <t>Năm 2025 · Mẫu số B09-DNN (Ban hành theo Thông tư số 133/2016/TT-BTC ngày 26/8/2016 của Bộ Tài chính)</t>
        </is>
      </c>
    </row>
    <row r="6">
      <c r="A6" s="48" t="inlineStr">
        <is>
          <t>I. Đặc điểm hoạt động của doanh nghiệp</t>
        </is>
      </c>
    </row>
    <row r="7" ht="16" customHeight="1">
      <c r="A7" s="13" t="inlineStr">
        <is>
          <t>1. Hình thức sở hữu vốn</t>
        </is>
      </c>
      <c r="B7" s="49" t="inlineStr"/>
      <c r="C7" s="58" t="n"/>
      <c r="D7" s="59" t="n"/>
    </row>
    <row r="8" ht="16" customHeight="1">
      <c r="A8" s="13" t="inlineStr">
        <is>
          <t>2. Lĩnh vực kinh doanh</t>
        </is>
      </c>
      <c r="B8" s="49" t="inlineStr"/>
      <c r="C8" s="58" t="n"/>
      <c r="D8" s="59" t="n"/>
    </row>
    <row r="9" ht="16" customHeight="1">
      <c r="A9" s="13" t="inlineStr">
        <is>
          <t>3. Ngành nghề kinh doanh</t>
        </is>
      </c>
      <c r="B9" s="49" t="inlineStr"/>
      <c r="C9" s="58" t="n"/>
      <c r="D9" s="59" t="n"/>
    </row>
    <row r="10" ht="16" customHeight="1">
      <c r="A10" s="13" t="inlineStr">
        <is>
          <t>4. Chu kỳ sản xuất, kinh doanh thông thường</t>
        </is>
      </c>
      <c r="B10" s="49" t="inlineStr"/>
      <c r="C10" s="58" t="n"/>
      <c r="D10" s="59" t="n"/>
    </row>
    <row r="11" ht="32" customHeight="1">
      <c r="A11" s="13" t="inlineStr">
        <is>
          <t>5. Đặc điểm hoạt động của doanh nghiệp trong năm tài chính có ảnh hưởng đến BCTC</t>
        </is>
      </c>
      <c r="B11" s="49" t="inlineStr"/>
      <c r="C11" s="58" t="n"/>
      <c r="D11" s="59" t="n"/>
    </row>
    <row r="12" ht="16" customHeight="1">
      <c r="A12" s="13" t="inlineStr">
        <is>
          <t>6. Tuyên bố về khả năng so sánh thông tin trên BCTC</t>
        </is>
      </c>
      <c r="B12" s="49" t="inlineStr"/>
      <c r="C12" s="58" t="n"/>
      <c r="D12" s="59" t="n"/>
    </row>
    <row r="13">
      <c r="A13" s="48" t="inlineStr">
        <is>
          <t>II. Kỳ kế toán, đơn vị tiền tệ sử dụng trong kế toán</t>
        </is>
      </c>
    </row>
    <row r="14" ht="16" customHeight="1">
      <c r="A14" s="13" t="inlineStr">
        <is>
          <t>1. Kỳ kế toán năm</t>
        </is>
      </c>
      <c r="B14" s="50" t="inlineStr">
        <is>
          <t>Kỳ kế toán năm bắt đầu từ ngày 01/01/2025 và kết thúc vào ngày 31/12/2025.</t>
        </is>
      </c>
      <c r="C14" s="56" t="n"/>
      <c r="D14" s="57" t="n"/>
    </row>
    <row r="15" ht="16" customHeight="1">
      <c r="A15" s="13" t="inlineStr">
        <is>
          <t>2. Đơn vị tiền tệ sử dụng trong kế toán</t>
        </is>
      </c>
      <c r="B15" s="50" t="inlineStr">
        <is>
          <t>Đơn vị tiền tệ sử dụng trong kế toán: VND. Đơn vị trình bày trên báo cáo: Đồng.</t>
        </is>
      </c>
      <c r="C15" s="56" t="n"/>
      <c r="D15" s="57" t="n"/>
    </row>
    <row r="16">
      <c r="A16" s="48" t="inlineStr">
        <is>
          <t>III. Chuẩn mực và Chế độ kế toán áp dụng</t>
        </is>
      </c>
    </row>
    <row r="17" ht="16" customHeight="1">
      <c r="A17" s="13" t="inlineStr">
        <is>
          <t>Chế độ kế toán áp dụng</t>
        </is>
      </c>
      <c r="B17" s="50" t="inlineStr">
        <is>
          <t>Công ty áp dụng Chế độ kế toán doanh nghiệp nhỏ và vừa ban hành theo Thông tư số 133/2016/TT-BTC ngày 26/8/2016 của Bộ Tài chính.</t>
        </is>
      </c>
      <c r="C17" s="56" t="n"/>
      <c r="D17" s="57" t="n"/>
    </row>
    <row r="18" ht="16" customHeight="1">
      <c r="A18" s="13" t="inlineStr">
        <is>
          <t>Tuyên bố về việc tuân thủ Chuẩn mực kế toán và Chế độ kế toán</t>
        </is>
      </c>
      <c r="B18" s="49" t="inlineStr"/>
      <c r="C18" s="58" t="n"/>
      <c r="D18" s="59" t="n"/>
    </row>
    <row r="19">
      <c r="A19" s="48" t="inlineStr">
        <is>
          <t>IV. Các chính sách kế toán áp dụng</t>
        </is>
      </c>
    </row>
    <row r="20" ht="16" customHeight="1">
      <c r="A20" s="13" t="inlineStr">
        <is>
          <t>1. Tỷ giá hối đoái áp dụng trong kế toán</t>
        </is>
      </c>
      <c r="B20" s="49" t="inlineStr"/>
      <c r="C20" s="58" t="n"/>
      <c r="D20" s="59" t="n"/>
    </row>
    <row r="21" ht="16" customHeight="1">
      <c r="A21" s="13" t="inlineStr">
        <is>
          <t>2. Nguyên tắc chuyển đổi BCTC lập bằng ngoại tệ sang Đồng Việt Nam</t>
        </is>
      </c>
      <c r="B21" s="49" t="inlineStr"/>
      <c r="C21" s="58" t="n"/>
      <c r="D21" s="59" t="n"/>
    </row>
    <row r="22" ht="16" customHeight="1">
      <c r="A22" s="13" t="inlineStr">
        <is>
          <t>3. Nguyên tắc ghi nhận tiền và các khoản tương đương tiền</t>
        </is>
      </c>
      <c r="B22" s="49" t="inlineStr"/>
      <c r="C22" s="58" t="n"/>
      <c r="D22" s="59" t="n"/>
    </row>
    <row r="23" ht="16" customHeight="1">
      <c r="A23" s="13" t="inlineStr">
        <is>
          <t>4. Nguyên tắc kế toán các khoản đầu tư tài chính</t>
        </is>
      </c>
      <c r="B23" s="49" t="inlineStr"/>
      <c r="C23" s="58" t="n"/>
      <c r="D23" s="59" t="n"/>
    </row>
    <row r="24" ht="16" customHeight="1">
      <c r="A24" s="13" t="inlineStr">
        <is>
          <t>5. Nguyên tắc kế toán nợ phải thu</t>
        </is>
      </c>
      <c r="B24" s="49" t="inlineStr"/>
      <c r="C24" s="58" t="n"/>
      <c r="D24" s="59" t="n"/>
    </row>
    <row r="25" ht="16" customHeight="1">
      <c r="A25" s="13" t="inlineStr">
        <is>
          <t>6. Nguyên tắc ghi nhận hàng tồn kho</t>
        </is>
      </c>
      <c r="B25" s="49" t="inlineStr"/>
      <c r="C25" s="58" t="n"/>
      <c r="D25" s="59" t="n"/>
    </row>
    <row r="26" ht="16" customHeight="1">
      <c r="A26" s="13" t="inlineStr">
        <is>
          <t>7. Nguyên tắc ghi nhận và phương pháp khấu hao TSCĐ</t>
        </is>
      </c>
      <c r="B26" s="49" t="inlineStr"/>
      <c r="C26" s="58" t="n"/>
      <c r="D26" s="59" t="n"/>
    </row>
    <row r="27" ht="16" customHeight="1">
      <c r="A27" s="13" t="inlineStr">
        <is>
          <t>8. Nguyên tắc kế toán nợ phải trả</t>
        </is>
      </c>
      <c r="B27" s="49" t="inlineStr"/>
      <c r="C27" s="58" t="n"/>
      <c r="D27" s="59" t="n"/>
    </row>
    <row r="28" ht="16" customHeight="1">
      <c r="A28" s="13" t="inlineStr">
        <is>
          <t>9. Nguyên tắc ghi nhận và vốn hóa chi phí đi vay</t>
        </is>
      </c>
      <c r="B28" s="49" t="inlineStr"/>
      <c r="C28" s="58" t="n"/>
      <c r="D28" s="59" t="n"/>
    </row>
    <row r="29" ht="16" customHeight="1">
      <c r="A29" s="13" t="inlineStr">
        <is>
          <t>10. Nguyên tắc ghi nhận vốn chủ sở hữu</t>
        </is>
      </c>
      <c r="B29" s="49" t="inlineStr"/>
      <c r="C29" s="58" t="n"/>
      <c r="D29" s="59" t="n"/>
    </row>
    <row r="30" ht="16" customHeight="1">
      <c r="A30" s="13" t="inlineStr">
        <is>
          <t>11. Nguyên tắc và phương pháp ghi nhận doanh thu</t>
        </is>
      </c>
      <c r="B30" s="49" t="inlineStr"/>
      <c r="C30" s="58" t="n"/>
      <c r="D30" s="59" t="n"/>
    </row>
    <row r="31" ht="16" customHeight="1">
      <c r="A31" s="13" t="inlineStr">
        <is>
          <t>12. Nguyên tắc kế toán chi phí</t>
        </is>
      </c>
      <c r="B31" s="49" t="inlineStr"/>
      <c r="C31" s="58" t="n"/>
      <c r="D31" s="59" t="n"/>
    </row>
    <row r="32">
      <c r="A32" s="48" t="inlineStr">
        <is>
          <t>V. Thông tin bổ sung cho các khoản mục trình bày trong Báo cáo tình hình tài chính</t>
        </is>
      </c>
    </row>
    <row r="33">
      <c r="A33" s="54" t="inlineStr">
        <is>
          <t>1. Tiền và các khoản tương đương tiền</t>
        </is>
      </c>
      <c r="B33" s="55" t="inlineStr"/>
    </row>
    <row r="34">
      <c r="A34" s="30" t="inlineStr">
        <is>
          <t xml:space="preserve">   Tài khoản</t>
        </is>
      </c>
      <c r="B34" s="30" t="inlineStr">
        <is>
          <t>Tên tài khoản</t>
        </is>
      </c>
      <c r="C34" s="30" t="inlineStr">
        <is>
          <t>Đầu năm</t>
        </is>
      </c>
      <c r="D34" s="30" t="inlineStr">
        <is>
          <t>Cuối năm</t>
        </is>
      </c>
    </row>
    <row r="35">
      <c r="A35" s="55" t="inlineStr">
        <is>
          <t xml:space="preserve">   111</t>
        </is>
      </c>
      <c r="B35" s="55" t="inlineStr">
        <is>
          <t>Tiền mặt</t>
        </is>
      </c>
      <c r="C35" s="31" t="n">
        <v>120000000</v>
      </c>
      <c r="D35" s="31" t="n">
        <v>355500000</v>
      </c>
    </row>
    <row r="36">
      <c r="A36" s="55" t="inlineStr">
        <is>
          <t xml:space="preserve">   112</t>
        </is>
      </c>
      <c r="B36" s="55" t="inlineStr">
        <is>
          <t>Tiền gửi Ngân hàng</t>
        </is>
      </c>
      <c r="C36" s="31" t="n">
        <v>480000000</v>
      </c>
      <c r="D36" s="31" t="n">
        <v>367000000</v>
      </c>
    </row>
    <row r="37">
      <c r="A37" s="55" t="inlineStr">
        <is>
          <t xml:space="preserve">   1281</t>
        </is>
      </c>
      <c r="B37" s="55" t="inlineStr">
        <is>
          <t>Tiền gửi có kỳ hạn</t>
        </is>
      </c>
      <c r="C37" s="31" t="n">
        <v>200000000</v>
      </c>
      <c r="D37" s="31" t="n">
        <v>400000000</v>
      </c>
    </row>
    <row r="38">
      <c r="A38" s="55" t="inlineStr">
        <is>
          <t xml:space="preserve">   Thuyết minh bổ sung</t>
        </is>
      </c>
      <c r="B38" s="51" t="inlineStr"/>
      <c r="C38" s="58" t="n"/>
      <c r="D38" s="59" t="n"/>
    </row>
    <row r="39">
      <c r="A39" s="54" t="inlineStr">
        <is>
          <t>2. Các khoản đầu tư tài chính</t>
        </is>
      </c>
      <c r="B39" s="55" t="inlineStr"/>
    </row>
    <row r="40">
      <c r="A40" s="30" t="inlineStr">
        <is>
          <t xml:space="preserve">   Tài khoản</t>
        </is>
      </c>
      <c r="B40" s="30" t="inlineStr">
        <is>
          <t>Tên tài khoản</t>
        </is>
      </c>
      <c r="C40" s="30" t="inlineStr">
        <is>
          <t>Đầu năm</t>
        </is>
      </c>
      <c r="D40" s="30" t="inlineStr">
        <is>
          <t>Cuối năm</t>
        </is>
      </c>
    </row>
    <row r="41">
      <c r="A41" s="55" t="inlineStr">
        <is>
          <t xml:space="preserve">   1281</t>
        </is>
      </c>
      <c r="B41" s="55" t="inlineStr">
        <is>
          <t>Tiền gửi có kỳ hạn</t>
        </is>
      </c>
      <c r="C41" s="31" t="n">
        <v>200000000</v>
      </c>
      <c r="D41" s="31" t="n">
        <v>400000000</v>
      </c>
    </row>
    <row r="42">
      <c r="A42" s="55" t="inlineStr">
        <is>
          <t xml:space="preserve">   228</t>
        </is>
      </c>
      <c r="B42" s="55" t="inlineStr">
        <is>
          <t>Đầu tư góp vốn vào đơn vị khác</t>
        </is>
      </c>
      <c r="C42" s="31" t="n">
        <v>500000000</v>
      </c>
      <c r="D42" s="31" t="n">
        <v>500000000</v>
      </c>
    </row>
    <row r="43">
      <c r="A43" s="52" t="inlineStr">
        <is>
          <t xml:space="preserve">   ⚠ Tách ngắn hạn/dài hạn và giá trị hợp lý phải nhập tay.</t>
        </is>
      </c>
    </row>
    <row r="44">
      <c r="A44" s="55" t="inlineStr">
        <is>
          <t xml:space="preserve">   Thuyết minh bổ sung</t>
        </is>
      </c>
      <c r="B44" s="51" t="inlineStr"/>
      <c r="C44" s="58" t="n"/>
      <c r="D44" s="59" t="n"/>
    </row>
    <row r="45">
      <c r="A45" s="54" t="inlineStr">
        <is>
          <t>3. Các khoản phải thu</t>
        </is>
      </c>
      <c r="B45" s="55" t="inlineStr"/>
    </row>
    <row r="46">
      <c r="A46" s="30" t="inlineStr">
        <is>
          <t xml:space="preserve">   Tài khoản</t>
        </is>
      </c>
      <c r="B46" s="30" t="inlineStr">
        <is>
          <t>Tên tài khoản</t>
        </is>
      </c>
      <c r="C46" s="30" t="inlineStr">
        <is>
          <t>Đầu năm</t>
        </is>
      </c>
      <c r="D46" s="30" t="inlineStr">
        <is>
          <t>Cuối năm</t>
        </is>
      </c>
    </row>
    <row r="47">
      <c r="A47" s="55" t="inlineStr">
        <is>
          <t xml:space="preserve">   131-KH01</t>
        </is>
      </c>
      <c r="B47" s="55" t="inlineStr">
        <is>
          <t>Phải thu KH — Công ty An Phát</t>
        </is>
      </c>
      <c r="C47" s="31" t="n">
        <v>350000000</v>
      </c>
      <c r="D47" s="31" t="n">
        <v>595000000</v>
      </c>
    </row>
    <row r="48">
      <c r="A48" s="55" t="inlineStr">
        <is>
          <t xml:space="preserve">   131-KH02</t>
        </is>
      </c>
      <c r="B48" s="55" t="inlineStr">
        <is>
          <t>Phải thu KH — Công ty Bình Minh</t>
        </is>
      </c>
      <c r="C48" s="31" t="n">
        <v>180000000</v>
      </c>
      <c r="D48" s="31" t="n">
        <v>30000000</v>
      </c>
    </row>
    <row r="49">
      <c r="A49" s="55" t="inlineStr">
        <is>
          <t xml:space="preserve">   131-KH03</t>
        </is>
      </c>
      <c r="B49" s="55" t="inlineStr">
        <is>
          <t>Phải thu KH — Công ty Cường Thịnh</t>
        </is>
      </c>
      <c r="C49" s="31" t="n">
        <v>-60000000</v>
      </c>
      <c r="D49" s="31" t="n">
        <v>-170000000</v>
      </c>
    </row>
    <row r="50">
      <c r="A50" s="55" t="inlineStr">
        <is>
          <t xml:space="preserve">   1381</t>
        </is>
      </c>
      <c r="B50" s="55" t="inlineStr">
        <is>
          <t>Tài sản thiếu chờ xử lý</t>
        </is>
      </c>
      <c r="C50" s="31" t="n">
        <v>0</v>
      </c>
      <c r="D50" s="31" t="n">
        <v>12000000</v>
      </c>
    </row>
    <row r="51">
      <c r="A51" s="55" t="inlineStr">
        <is>
          <t xml:space="preserve">   1388</t>
        </is>
      </c>
      <c r="B51" s="55" t="inlineStr">
        <is>
          <t>Phải thu khác</t>
        </is>
      </c>
      <c r="C51" s="31" t="n">
        <v>20000000</v>
      </c>
      <c r="D51" s="31" t="n">
        <v>15000000</v>
      </c>
    </row>
    <row r="52">
      <c r="A52" s="55" t="inlineStr">
        <is>
          <t xml:space="preserve">   141</t>
        </is>
      </c>
      <c r="B52" s="55" t="inlineStr">
        <is>
          <t>Tạm ứng</t>
        </is>
      </c>
      <c r="C52" s="31" t="n">
        <v>15000000</v>
      </c>
      <c r="D52" s="31" t="n">
        <v>25000000</v>
      </c>
    </row>
    <row r="53">
      <c r="A53" s="52" t="inlineStr">
        <is>
          <t xml:space="preserve">   ⚠ Phần "phải thu quá hạn / khó đòi" phải nhập tay.</t>
        </is>
      </c>
    </row>
    <row r="54">
      <c r="A54" s="55" t="inlineStr">
        <is>
          <t xml:space="preserve">   Thuyết minh bổ sung</t>
        </is>
      </c>
      <c r="B54" s="51" t="inlineStr"/>
      <c r="C54" s="58" t="n"/>
      <c r="D54" s="59" t="n"/>
    </row>
    <row r="55">
      <c r="A55" s="54" t="inlineStr">
        <is>
          <t>4. Hàng tồn kho</t>
        </is>
      </c>
      <c r="B55" s="55" t="inlineStr"/>
    </row>
    <row r="56">
      <c r="A56" s="30" t="inlineStr">
        <is>
          <t xml:space="preserve">   Tài khoản</t>
        </is>
      </c>
      <c r="B56" s="30" t="inlineStr">
        <is>
          <t>Tên tài khoản</t>
        </is>
      </c>
      <c r="C56" s="30" t="inlineStr">
        <is>
          <t>Đầu năm</t>
        </is>
      </c>
      <c r="D56" s="30" t="inlineStr">
        <is>
          <t>Cuối năm</t>
        </is>
      </c>
    </row>
    <row r="57">
      <c r="A57" s="55" t="inlineStr">
        <is>
          <t xml:space="preserve">   152</t>
        </is>
      </c>
      <c r="B57" s="55" t="inlineStr">
        <is>
          <t>Nguyên liệu, vật liệu</t>
        </is>
      </c>
      <c r="C57" s="31" t="n">
        <v>260000000</v>
      </c>
      <c r="D57" s="31" t="n">
        <v>400000000</v>
      </c>
    </row>
    <row r="58">
      <c r="A58" s="55" t="inlineStr">
        <is>
          <t xml:space="preserve">   156</t>
        </is>
      </c>
      <c r="B58" s="55" t="inlineStr">
        <is>
          <t>Hàng hóa</t>
        </is>
      </c>
      <c r="C58" s="31" t="n">
        <v>890000000</v>
      </c>
      <c r="D58" s="31" t="n">
        <v>1078000000</v>
      </c>
    </row>
    <row r="59">
      <c r="A59" s="55" t="inlineStr">
        <is>
          <t xml:space="preserve">   2294</t>
        </is>
      </c>
      <c r="B59" s="55" t="inlineStr">
        <is>
          <t>Dự phòng giảm giá hàng tồn kho</t>
        </is>
      </c>
      <c r="C59" s="31" t="n">
        <v>-10000000</v>
      </c>
      <c r="D59" s="31" t="n">
        <v>-22000000</v>
      </c>
    </row>
    <row r="60">
      <c r="A60" s="55" t="inlineStr">
        <is>
          <t xml:space="preserve">   Thuyết minh bổ sung</t>
        </is>
      </c>
      <c r="B60" s="51" t="inlineStr"/>
      <c r="C60" s="58" t="n"/>
      <c r="D60" s="59" t="n"/>
    </row>
    <row r="61">
      <c r="A61" s="54" t="inlineStr">
        <is>
          <t>5. Tăng, giảm tài sản cố định</t>
        </is>
      </c>
      <c r="B61" s="55" t="inlineStr"/>
    </row>
    <row r="62">
      <c r="A62" s="30" t="inlineStr">
        <is>
          <t xml:space="preserve">   Tài khoản</t>
        </is>
      </c>
      <c r="B62" s="30" t="inlineStr">
        <is>
          <t>Tên tài khoản</t>
        </is>
      </c>
      <c r="C62" s="30" t="inlineStr">
        <is>
          <t>Đầu năm</t>
        </is>
      </c>
      <c r="D62" s="30" t="inlineStr">
        <is>
          <t>Cuối năm</t>
        </is>
      </c>
    </row>
    <row r="63">
      <c r="A63" s="55" t="inlineStr">
        <is>
          <t xml:space="preserve">   211</t>
        </is>
      </c>
      <c r="B63" s="55" t="inlineStr">
        <is>
          <t>Tài sản cố định</t>
        </is>
      </c>
      <c r="C63" s="31" t="n">
        <v>2400000000</v>
      </c>
      <c r="D63" s="31" t="n">
        <v>2750000000</v>
      </c>
    </row>
    <row r="64">
      <c r="A64" s="55" t="inlineStr">
        <is>
          <t xml:space="preserve">   2141</t>
        </is>
      </c>
      <c r="B64" s="55" t="inlineStr">
        <is>
          <t>Hao mòn TSCĐ hữu hình</t>
        </is>
      </c>
      <c r="C64" s="31" t="n">
        <v>-500000000</v>
      </c>
      <c r="D64" s="31" t="n">
        <v>-660000000</v>
      </c>
    </row>
    <row r="65">
      <c r="A65" s="52" t="inlineStr">
        <is>
          <t xml:space="preserve">   ⚠ Chi tiết theo từng nhóm TSCĐ, "TSCĐ đã khấu hao hết còn sử dụng", "TSCĐ cầm cố thế chấp" phải nhập tay.</t>
        </is>
      </c>
    </row>
    <row r="66">
      <c r="A66" s="55" t="inlineStr">
        <is>
          <t xml:space="preserve">   Thuyết minh bổ sung</t>
        </is>
      </c>
      <c r="B66" s="51" t="inlineStr"/>
      <c r="C66" s="58" t="n"/>
      <c r="D66" s="59" t="n"/>
    </row>
    <row r="67">
      <c r="A67" s="54" t="inlineStr">
        <is>
          <t>6. Tăng, giảm bất động sản đầu tư</t>
        </is>
      </c>
      <c r="B67" s="55" t="inlineStr"/>
    </row>
    <row r="68">
      <c r="A68" s="30" t="inlineStr">
        <is>
          <t xml:space="preserve">   Tài khoản</t>
        </is>
      </c>
      <c r="B68" s="30" t="inlineStr">
        <is>
          <t>Tên tài khoản</t>
        </is>
      </c>
      <c r="C68" s="30" t="inlineStr">
        <is>
          <t>Đầu năm</t>
        </is>
      </c>
      <c r="D68" s="30" t="inlineStr">
        <is>
          <t>Cuối năm</t>
        </is>
      </c>
    </row>
    <row r="69">
      <c r="A69" s="55" t="inlineStr">
        <is>
          <t xml:space="preserve">   Thuyết minh bổ sung</t>
        </is>
      </c>
      <c r="B69" s="51" t="inlineStr"/>
      <c r="C69" s="58" t="n"/>
      <c r="D69" s="59" t="n"/>
    </row>
    <row r="70">
      <c r="A70" s="54" t="inlineStr">
        <is>
          <t>7. Xây dựng cơ bản dở dang</t>
        </is>
      </c>
      <c r="B70" s="55" t="inlineStr"/>
    </row>
    <row r="71">
      <c r="A71" s="30" t="inlineStr">
        <is>
          <t xml:space="preserve">   Tài khoản</t>
        </is>
      </c>
      <c r="B71" s="30" t="inlineStr">
        <is>
          <t>Tên tài khoản</t>
        </is>
      </c>
      <c r="C71" s="30" t="inlineStr">
        <is>
          <t>Đầu năm</t>
        </is>
      </c>
      <c r="D71" s="30" t="inlineStr">
        <is>
          <t>Cuối năm</t>
        </is>
      </c>
    </row>
    <row r="72">
      <c r="A72" s="52" t="inlineStr">
        <is>
          <t xml:space="preserve">   ⚠ Chi tiết theo từng công trình phải nhập tay.</t>
        </is>
      </c>
    </row>
    <row r="73">
      <c r="A73" s="55" t="inlineStr">
        <is>
          <t xml:space="preserve">   Thuyết minh bổ sung</t>
        </is>
      </c>
      <c r="B73" s="51" t="inlineStr"/>
      <c r="C73" s="58" t="n"/>
      <c r="D73" s="59" t="n"/>
    </row>
    <row r="74">
      <c r="A74" s="54" t="inlineStr">
        <is>
          <t>8. Tài sản khác</t>
        </is>
      </c>
      <c r="B74" s="55" t="inlineStr"/>
    </row>
    <row r="75">
      <c r="A75" s="30" t="inlineStr">
        <is>
          <t xml:space="preserve">   Tài khoản</t>
        </is>
      </c>
      <c r="B75" s="30" t="inlineStr">
        <is>
          <t>Tên tài khoản</t>
        </is>
      </c>
      <c r="C75" s="30" t="inlineStr">
        <is>
          <t>Đầu năm</t>
        </is>
      </c>
      <c r="D75" s="30" t="inlineStr">
        <is>
          <t>Cuối năm</t>
        </is>
      </c>
    </row>
    <row r="76">
      <c r="A76" s="55" t="inlineStr">
        <is>
          <t xml:space="preserve">   133</t>
        </is>
      </c>
      <c r="B76" s="55" t="inlineStr">
        <is>
          <t>Thuế GTGT được khấu trừ</t>
        </is>
      </c>
      <c r="C76" s="31" t="n">
        <v>45000000</v>
      </c>
      <c r="D76" s="31" t="n">
        <v>20000000</v>
      </c>
    </row>
    <row r="77">
      <c r="A77" s="55" t="inlineStr">
        <is>
          <t xml:space="preserve">   1381</t>
        </is>
      </c>
      <c r="B77" s="55" t="inlineStr">
        <is>
          <t>Tài sản thiếu chờ xử lý</t>
        </is>
      </c>
      <c r="C77" s="31" t="n">
        <v>0</v>
      </c>
      <c r="D77" s="31" t="n">
        <v>12000000</v>
      </c>
    </row>
    <row r="78">
      <c r="A78" s="55" t="inlineStr">
        <is>
          <t xml:space="preserve">   242</t>
        </is>
      </c>
      <c r="B78" s="55" t="inlineStr">
        <is>
          <t>Chi phí trả trước</t>
        </is>
      </c>
      <c r="C78" s="31" t="n">
        <v>180000000</v>
      </c>
      <c r="D78" s="31" t="n">
        <v>160000000</v>
      </c>
    </row>
    <row r="79">
      <c r="A79" s="55" t="inlineStr">
        <is>
          <t xml:space="preserve">   Thuyết minh bổ sung</t>
        </is>
      </c>
      <c r="B79" s="51" t="inlineStr"/>
      <c r="C79" s="58" t="n"/>
      <c r="D79" s="59" t="n"/>
    </row>
    <row r="80">
      <c r="A80" s="54" t="inlineStr">
        <is>
          <t>9. Các khoản phải trả</t>
        </is>
      </c>
      <c r="B80" s="55" t="inlineStr"/>
    </row>
    <row r="81">
      <c r="A81" s="30" t="inlineStr">
        <is>
          <t xml:space="preserve">   Tài khoản</t>
        </is>
      </c>
      <c r="B81" s="30" t="inlineStr">
        <is>
          <t>Tên tài khoản</t>
        </is>
      </c>
      <c r="C81" s="30" t="inlineStr">
        <is>
          <t>Đầu năm</t>
        </is>
      </c>
      <c r="D81" s="30" t="inlineStr">
        <is>
          <t>Cuối năm</t>
        </is>
      </c>
    </row>
    <row r="82">
      <c r="A82" s="55" t="inlineStr">
        <is>
          <t xml:space="preserve">   331-NCC01</t>
        </is>
      </c>
      <c r="B82" s="55" t="inlineStr">
        <is>
          <t>Phải trả NB — Công ty Đại Việt</t>
        </is>
      </c>
      <c r="C82" s="31" t="n">
        <v>-500000000</v>
      </c>
      <c r="D82" s="31" t="n">
        <v>-830000000</v>
      </c>
    </row>
    <row r="83">
      <c r="A83" s="55" t="inlineStr">
        <is>
          <t xml:space="preserve">   331-NCC02</t>
        </is>
      </c>
      <c r="B83" s="55" t="inlineStr">
        <is>
          <t>Phải trả NB — Công ty Hồng Hà</t>
        </is>
      </c>
      <c r="C83" s="31" t="n">
        <v>-200000000</v>
      </c>
      <c r="D83" s="31" t="n">
        <v>-220000000</v>
      </c>
    </row>
    <row r="84">
      <c r="A84" s="55" t="inlineStr">
        <is>
          <t xml:space="preserve">   331-NCC03</t>
        </is>
      </c>
      <c r="B84" s="55" t="inlineStr">
        <is>
          <t>Phải trả NB — Công ty Sao Mai</t>
        </is>
      </c>
      <c r="C84" s="31" t="n">
        <v>90000000</v>
      </c>
      <c r="D84" s="31" t="n">
        <v>100000000</v>
      </c>
    </row>
    <row r="85">
      <c r="A85" s="55" t="inlineStr">
        <is>
          <t xml:space="preserve">   3383</t>
        </is>
      </c>
      <c r="B85" s="55" t="inlineStr">
        <is>
          <t>Bảo hiểm xã hội, y tế, thất nghiệp</t>
        </is>
      </c>
      <c r="C85" s="31" t="n">
        <v>-40000000</v>
      </c>
      <c r="D85" s="31" t="n">
        <v>-50000000</v>
      </c>
    </row>
    <row r="86">
      <c r="A86" s="55" t="inlineStr">
        <is>
          <t xml:space="preserve">   3387</t>
        </is>
      </c>
      <c r="B86" s="55" t="inlineStr">
        <is>
          <t>Doanh thu chưa thực hiện</t>
        </is>
      </c>
      <c r="C86" s="31" t="n">
        <v>-80000000</v>
      </c>
      <c r="D86" s="31" t="n">
        <v>-95000000</v>
      </c>
    </row>
    <row r="87">
      <c r="A87" s="52" t="inlineStr">
        <is>
          <t xml:space="preserve">   ⚠ Phần "phải trả quá hạn" phải nhập tay.</t>
        </is>
      </c>
    </row>
    <row r="88">
      <c r="A88" s="55" t="inlineStr">
        <is>
          <t xml:space="preserve">   Thuyết minh bổ sung</t>
        </is>
      </c>
      <c r="B88" s="51" t="inlineStr"/>
      <c r="C88" s="58" t="n"/>
      <c r="D88" s="59" t="n"/>
    </row>
    <row r="89">
      <c r="A89" s="54" t="inlineStr">
        <is>
          <t>10. Thuế và các khoản phải nộp Nhà nước</t>
        </is>
      </c>
      <c r="B89" s="55" t="inlineStr"/>
    </row>
    <row r="90">
      <c r="A90" s="30" t="inlineStr">
        <is>
          <t xml:space="preserve">   Tài khoản</t>
        </is>
      </c>
      <c r="B90" s="30" t="inlineStr">
        <is>
          <t>Tên tài khoản</t>
        </is>
      </c>
      <c r="C90" s="30" t="inlineStr">
        <is>
          <t>Đầu năm</t>
        </is>
      </c>
      <c r="D90" s="30" t="inlineStr">
        <is>
          <t>Cuối năm</t>
        </is>
      </c>
    </row>
    <row r="91">
      <c r="A91" s="55" t="inlineStr">
        <is>
          <t xml:space="preserve">   33311</t>
        </is>
      </c>
      <c r="B91" s="55" t="inlineStr">
        <is>
          <t>Thuế GTGT đầu ra</t>
        </is>
      </c>
      <c r="C91" s="31" t="n">
        <v>-60000000</v>
      </c>
      <c r="D91" s="31" t="n">
        <v>-78500000</v>
      </c>
    </row>
    <row r="92">
      <c r="A92" s="55" t="inlineStr">
        <is>
          <t xml:space="preserve">   3334</t>
        </is>
      </c>
      <c r="B92" s="55" t="inlineStr">
        <is>
          <t>Thuế thu nhập doanh nghiệp</t>
        </is>
      </c>
      <c r="C92" s="31" t="n">
        <v>-40000000</v>
      </c>
      <c r="D92" s="31" t="n">
        <v>-47000000</v>
      </c>
    </row>
    <row r="93">
      <c r="A93" s="55" t="inlineStr">
        <is>
          <t xml:space="preserve">   3335</t>
        </is>
      </c>
      <c r="B93" s="55" t="inlineStr">
        <is>
          <t>Thuế thu nhập cá nhân</t>
        </is>
      </c>
      <c r="C93" s="31" t="n">
        <v>-8000000</v>
      </c>
      <c r="D93" s="31" t="n">
        <v>-8000000</v>
      </c>
    </row>
    <row r="94">
      <c r="A94" s="55" t="inlineStr">
        <is>
          <t xml:space="preserve">   3338</t>
        </is>
      </c>
      <c r="B94" s="55" t="inlineStr">
        <is>
          <t>Thuế bảo vệ môi trường và các loại thuế khác</t>
        </is>
      </c>
      <c r="C94" s="31" t="n">
        <v>6000000</v>
      </c>
      <c r="D94" s="31" t="n">
        <v>8000000</v>
      </c>
    </row>
    <row r="95">
      <c r="A95" s="55" t="inlineStr">
        <is>
          <t xml:space="preserve">   Thuyết minh bổ sung</t>
        </is>
      </c>
      <c r="B95" s="51" t="inlineStr"/>
      <c r="C95" s="58" t="n"/>
      <c r="D95" s="59" t="n"/>
    </row>
    <row r="96">
      <c r="A96" s="54" t="inlineStr">
        <is>
          <t>11. Vay và nợ thuê tài chính</t>
        </is>
      </c>
      <c r="B96" s="55" t="inlineStr"/>
    </row>
    <row r="97">
      <c r="A97" s="30" t="inlineStr">
        <is>
          <t xml:space="preserve">   Tài khoản</t>
        </is>
      </c>
      <c r="B97" s="30" t="inlineStr">
        <is>
          <t>Tên tài khoản</t>
        </is>
      </c>
      <c r="C97" s="30" t="inlineStr">
        <is>
          <t>Đầu năm</t>
        </is>
      </c>
      <c r="D97" s="30" t="inlineStr">
        <is>
          <t>Cuối năm</t>
        </is>
      </c>
    </row>
    <row r="98">
      <c r="A98" s="55" t="inlineStr">
        <is>
          <t xml:space="preserve">   3411</t>
        </is>
      </c>
      <c r="B98" s="55" t="inlineStr">
        <is>
          <t>Các khoản đi vay</t>
        </is>
      </c>
      <c r="C98" s="31" t="n">
        <v>-1000000000</v>
      </c>
      <c r="D98" s="31" t="n">
        <v>-1200000000</v>
      </c>
    </row>
    <row r="99">
      <c r="A99" s="52" t="inlineStr">
        <is>
          <t xml:space="preserve">   ⚠ Kỳ hạn, lãi suất, tài sản bảo đảm phải nhập tay.</t>
        </is>
      </c>
    </row>
    <row r="100">
      <c r="A100" s="55" t="inlineStr">
        <is>
          <t xml:space="preserve">   Thuyết minh bổ sung</t>
        </is>
      </c>
      <c r="B100" s="51" t="inlineStr"/>
      <c r="C100" s="58" t="n"/>
      <c r="D100" s="59" t="n"/>
    </row>
    <row r="101">
      <c r="A101" s="54" t="inlineStr">
        <is>
          <t>12. Dự phòng phải trả</t>
        </is>
      </c>
      <c r="B101" s="55" t="inlineStr"/>
    </row>
    <row r="102">
      <c r="A102" s="30" t="inlineStr">
        <is>
          <t xml:space="preserve">   Tài khoản</t>
        </is>
      </c>
      <c r="B102" s="30" t="inlineStr">
        <is>
          <t>Tên tài khoản</t>
        </is>
      </c>
      <c r="C102" s="30" t="inlineStr">
        <is>
          <t>Đầu năm</t>
        </is>
      </c>
      <c r="D102" s="30" t="inlineStr">
        <is>
          <t>Cuối năm</t>
        </is>
      </c>
    </row>
    <row r="103">
      <c r="A103" s="55" t="inlineStr">
        <is>
          <t xml:space="preserve">   352</t>
        </is>
      </c>
      <c r="B103" s="55" t="inlineStr">
        <is>
          <t>Dự phòng phải trả</t>
        </is>
      </c>
      <c r="C103" s="31" t="n">
        <v>-30000000</v>
      </c>
      <c r="D103" s="31" t="n">
        <v>-35000000</v>
      </c>
    </row>
    <row r="104">
      <c r="A104" s="55" t="inlineStr">
        <is>
          <t xml:space="preserve">   Thuyết minh bổ sung</t>
        </is>
      </c>
      <c r="B104" s="51" t="inlineStr"/>
      <c r="C104" s="58" t="n"/>
      <c r="D104" s="59" t="n"/>
    </row>
    <row r="105">
      <c r="A105" s="54" t="inlineStr">
        <is>
          <t>13. Vốn chủ sở hữu</t>
        </is>
      </c>
      <c r="B105" s="55" t="inlineStr"/>
    </row>
    <row r="106">
      <c r="A106" s="30" t="inlineStr">
        <is>
          <t xml:space="preserve">   Tài khoản</t>
        </is>
      </c>
      <c r="B106" s="30" t="inlineStr">
        <is>
          <t>Tên tài khoản</t>
        </is>
      </c>
      <c r="C106" s="30" t="inlineStr">
        <is>
          <t>Đầu năm</t>
        </is>
      </c>
      <c r="D106" s="30" t="inlineStr">
        <is>
          <t>Cuối năm</t>
        </is>
      </c>
    </row>
    <row r="107">
      <c r="A107" s="55" t="inlineStr">
        <is>
          <t xml:space="preserve">   4111</t>
        </is>
      </c>
      <c r="B107" s="55" t="inlineStr">
        <is>
          <t>Vốn góp của chủ sở hữu</t>
        </is>
      </c>
      <c r="C107" s="31" t="n">
        <v>-2400000000</v>
      </c>
      <c r="D107" s="31" t="n">
        <v>-2400000000</v>
      </c>
    </row>
    <row r="108">
      <c r="A108" s="55" t="inlineStr">
        <is>
          <t xml:space="preserve">   418</t>
        </is>
      </c>
      <c r="B108" s="55" t="inlineStr">
        <is>
          <t>Các quỹ thuộc vốn chủ sở hữu</t>
        </is>
      </c>
      <c r="C108" s="31" t="n">
        <v>-100000000</v>
      </c>
      <c r="D108" s="31" t="n">
        <v>-140000000</v>
      </c>
    </row>
    <row r="109">
      <c r="A109" s="55" t="inlineStr">
        <is>
          <t xml:space="preserve">   4211</t>
        </is>
      </c>
      <c r="B109" s="55" t="inlineStr">
        <is>
          <t>LNST chưa phân phối năm trước</t>
        </is>
      </c>
      <c r="C109" s="31" t="n">
        <v>-438000000</v>
      </c>
      <c r="D109" s="31" t="n">
        <v>-338000000</v>
      </c>
    </row>
    <row r="110">
      <c r="A110" s="55" t="inlineStr">
        <is>
          <t xml:space="preserve">   4212</t>
        </is>
      </c>
      <c r="B110" s="55" t="inlineStr">
        <is>
          <t>LNST chưa phân phối năm nay</t>
        </is>
      </c>
      <c r="C110" s="31" t="n">
        <v>0</v>
      </c>
      <c r="D110" s="31" t="n">
        <v>-267000000</v>
      </c>
    </row>
    <row r="111">
      <c r="A111" s="52" t="inlineStr">
        <is>
          <t xml:space="preserve">   ⚠ Phân loại lý do tăng/giảm vốn phải nhập tay.</t>
        </is>
      </c>
    </row>
    <row r="112">
      <c r="A112" s="55" t="inlineStr">
        <is>
          <t xml:space="preserve">   Thuyết minh bổ sung</t>
        </is>
      </c>
      <c r="B112" s="51" t="inlineStr"/>
      <c r="C112" s="58" t="n"/>
      <c r="D112" s="59" t="n"/>
    </row>
    <row r="113">
      <c r="A113" s="54" t="inlineStr">
        <is>
          <t>14. Các khoản mục ngoài Báo cáo tình hình tài chính</t>
        </is>
      </c>
      <c r="B113" s="55" t="inlineStr">
        <is>
          <t>NHẬP TAY</t>
        </is>
      </c>
    </row>
    <row r="114">
      <c r="A114" s="52" t="inlineStr">
        <is>
          <t xml:space="preserve">   ⚠ TT133 bỏ tài khoản ngoài bảng — toàn bộ nội dung này phải NHẬP TAY (tài sản thuê ngoài, vật tư giữ hộ, ngoại tệ các loại…).</t>
        </is>
      </c>
    </row>
    <row r="115">
      <c r="A115" s="55" t="inlineStr">
        <is>
          <t xml:space="preserve">   Thuyết minh bổ sung</t>
        </is>
      </c>
      <c r="B115" s="51" t="inlineStr"/>
      <c r="C115" s="58" t="n"/>
      <c r="D115" s="59" t="n"/>
    </row>
    <row r="116">
      <c r="A116" s="48" t="inlineStr">
        <is>
          <t>VI. Thông tin bổ sung cho các khoản mục trình bày trong Báo cáo kết quả hoạt động kinh doanh</t>
        </is>
      </c>
    </row>
    <row r="117">
      <c r="A117" s="54" t="inlineStr">
        <is>
          <t>1. Tổng doanh thu bán hàng và cung cấp dịch vụ</t>
        </is>
      </c>
      <c r="B117" s="55" t="inlineStr"/>
    </row>
    <row r="118">
      <c r="A118" s="30" t="inlineStr">
        <is>
          <t xml:space="preserve">   Tài khoản</t>
        </is>
      </c>
      <c r="B118" s="30" t="inlineStr">
        <is>
          <t>Tên tài khoản</t>
        </is>
      </c>
      <c r="C118" s="30" t="inlineStr">
        <is>
          <t>Phát sinh</t>
        </is>
      </c>
      <c r="D118" s="30" t="inlineStr"/>
    </row>
    <row r="119">
      <c r="A119" s="55" t="inlineStr">
        <is>
          <t xml:space="preserve">   511</t>
        </is>
      </c>
      <c r="B119" s="55" t="inlineStr">
        <is>
          <t>Doanh thu bán hàng và cung cấp dịch vụ</t>
        </is>
      </c>
      <c r="C119" s="31" t="n">
        <v>4845000000</v>
      </c>
      <c r="D119" s="31" t="inlineStr"/>
    </row>
    <row r="120">
      <c r="A120" s="55" t="inlineStr">
        <is>
          <t xml:space="preserve">   Thuyết minh bổ sung</t>
        </is>
      </c>
      <c r="B120" s="51" t="inlineStr"/>
      <c r="C120" s="58" t="n"/>
      <c r="D120" s="59" t="n"/>
    </row>
    <row r="121">
      <c r="A121" s="54" t="inlineStr">
        <is>
          <t>2. Các khoản giảm trừ doanh thu</t>
        </is>
      </c>
      <c r="B121" s="55" t="inlineStr">
        <is>
          <t>NHẬP TAY</t>
        </is>
      </c>
    </row>
    <row r="122">
      <c r="A122" s="52" t="inlineStr">
        <is>
          <t xml:space="preserve">   ⚠ Lấy từ mã 02 của B02-DNN; chi tiết chiết khấu/giảm giá/hàng trả lại phải nhập tay.</t>
        </is>
      </c>
    </row>
    <row r="123">
      <c r="A123" s="55" t="inlineStr">
        <is>
          <t xml:space="preserve">   Thuyết minh bổ sung</t>
        </is>
      </c>
      <c r="B123" s="51" t="inlineStr"/>
      <c r="C123" s="58" t="n"/>
      <c r="D123" s="59" t="n"/>
    </row>
    <row r="124">
      <c r="A124" s="54" t="inlineStr">
        <is>
          <t>3. Giá vốn hàng bán</t>
        </is>
      </c>
      <c r="B124" s="55" t="inlineStr"/>
    </row>
    <row r="125">
      <c r="A125" s="30" t="inlineStr">
        <is>
          <t xml:space="preserve">   Tài khoản</t>
        </is>
      </c>
      <c r="B125" s="30" t="inlineStr">
        <is>
          <t>Tên tài khoản</t>
        </is>
      </c>
      <c r="C125" s="30" t="inlineStr">
        <is>
          <t>Phát sinh</t>
        </is>
      </c>
      <c r="D125" s="30" t="inlineStr"/>
    </row>
    <row r="126">
      <c r="A126" s="55" t="inlineStr">
        <is>
          <t xml:space="preserve">   632</t>
        </is>
      </c>
      <c r="B126" s="55" t="inlineStr">
        <is>
          <t>Giá vốn hàng bán</t>
        </is>
      </c>
      <c r="C126" s="31" t="n">
        <v>3200000000</v>
      </c>
      <c r="D126" s="31" t="inlineStr"/>
    </row>
    <row r="127">
      <c r="A127" s="55" t="inlineStr">
        <is>
          <t xml:space="preserve">   Thuyết minh bổ sung</t>
        </is>
      </c>
      <c r="B127" s="51" t="inlineStr"/>
      <c r="C127" s="58" t="n"/>
      <c r="D127" s="59" t="n"/>
    </row>
    <row r="128">
      <c r="A128" s="54" t="inlineStr">
        <is>
          <t>4. Doanh thu hoạt động tài chính</t>
        </is>
      </c>
      <c r="B128" s="55" t="inlineStr"/>
    </row>
    <row r="129">
      <c r="A129" s="30" t="inlineStr">
        <is>
          <t xml:space="preserve">   Tài khoản</t>
        </is>
      </c>
      <c r="B129" s="30" t="inlineStr">
        <is>
          <t>Tên tài khoản</t>
        </is>
      </c>
      <c r="C129" s="30" t="inlineStr">
        <is>
          <t>Phát sinh</t>
        </is>
      </c>
      <c r="D129" s="30" t="inlineStr"/>
    </row>
    <row r="130">
      <c r="A130" s="55" t="inlineStr">
        <is>
          <t xml:space="preserve">   515</t>
        </is>
      </c>
      <c r="B130" s="55" t="inlineStr">
        <is>
          <t>Doanh thu hoạt động tài chính</t>
        </is>
      </c>
      <c r="C130" s="31" t="n">
        <v>48000000</v>
      </c>
      <c r="D130" s="31" t="inlineStr"/>
    </row>
    <row r="131">
      <c r="A131" s="55" t="inlineStr">
        <is>
          <t xml:space="preserve">   Thuyết minh bổ sung</t>
        </is>
      </c>
      <c r="B131" s="51" t="inlineStr"/>
      <c r="C131" s="58" t="n"/>
      <c r="D131" s="59" t="n"/>
    </row>
    <row r="132">
      <c r="A132" s="54" t="inlineStr">
        <is>
          <t>5. Chi phí tài chính</t>
        </is>
      </c>
      <c r="B132" s="55" t="inlineStr"/>
    </row>
    <row r="133">
      <c r="A133" s="30" t="inlineStr">
        <is>
          <t xml:space="preserve">   Tài khoản</t>
        </is>
      </c>
      <c r="B133" s="30" t="inlineStr">
        <is>
          <t>Tên tài khoản</t>
        </is>
      </c>
      <c r="C133" s="30" t="inlineStr">
        <is>
          <t>Phát sinh</t>
        </is>
      </c>
      <c r="D133" s="30" t="inlineStr"/>
    </row>
    <row r="134">
      <c r="A134" s="55" t="inlineStr">
        <is>
          <t xml:space="preserve">   635</t>
        </is>
      </c>
      <c r="B134" s="55" t="inlineStr">
        <is>
          <t>Chi phí tài chính</t>
        </is>
      </c>
      <c r="C134" s="31" t="n">
        <v>132000000</v>
      </c>
      <c r="D134" s="31" t="inlineStr"/>
    </row>
    <row r="135">
      <c r="A135" s="55" t="inlineStr">
        <is>
          <t xml:space="preserve">   Thuyết minh bổ sung</t>
        </is>
      </c>
      <c r="B135" s="51" t="inlineStr"/>
      <c r="C135" s="58" t="n"/>
      <c r="D135" s="59" t="n"/>
    </row>
    <row r="136">
      <c r="A136" s="54" t="inlineStr">
        <is>
          <t>6. Chi phí quản lý kinh doanh</t>
        </is>
      </c>
      <c r="B136" s="55" t="inlineStr"/>
    </row>
    <row r="137">
      <c r="A137" s="30" t="inlineStr">
        <is>
          <t xml:space="preserve">   Tài khoản</t>
        </is>
      </c>
      <c r="B137" s="30" t="inlineStr">
        <is>
          <t>Tên tài khoản</t>
        </is>
      </c>
      <c r="C137" s="30" t="inlineStr">
        <is>
          <t>Phát sinh</t>
        </is>
      </c>
      <c r="D137" s="30" t="inlineStr"/>
    </row>
    <row r="138">
      <c r="A138" s="55" t="inlineStr">
        <is>
          <t xml:space="preserve">   6421</t>
        </is>
      </c>
      <c r="B138" s="55" t="inlineStr">
        <is>
          <t>Chi phí bán hàng</t>
        </is>
      </c>
      <c r="C138" s="31" t="n">
        <v>515000000</v>
      </c>
      <c r="D138" s="31" t="inlineStr"/>
    </row>
    <row r="139">
      <c r="A139" s="55" t="inlineStr">
        <is>
          <t xml:space="preserve">   6422</t>
        </is>
      </c>
      <c r="B139" s="55" t="inlineStr">
        <is>
          <t>Chi phí quản lý doanh nghiệp</t>
        </is>
      </c>
      <c r="C139" s="31" t="n">
        <v>679000000</v>
      </c>
      <c r="D139" s="31" t="inlineStr"/>
    </row>
    <row r="140">
      <c r="A140" s="55" t="inlineStr">
        <is>
          <t xml:space="preserve">   Thuyết minh bổ sung</t>
        </is>
      </c>
      <c r="B140" s="51" t="inlineStr"/>
      <c r="C140" s="58" t="n"/>
      <c r="D140" s="59" t="n"/>
    </row>
    <row r="141">
      <c r="A141" s="54" t="inlineStr">
        <is>
          <t>7. Thu nhập khác</t>
        </is>
      </c>
      <c r="B141" s="55" t="inlineStr"/>
    </row>
    <row r="142">
      <c r="A142" s="30" t="inlineStr">
        <is>
          <t xml:space="preserve">   Tài khoản</t>
        </is>
      </c>
      <c r="B142" s="30" t="inlineStr">
        <is>
          <t>Tên tài khoản</t>
        </is>
      </c>
      <c r="C142" s="30" t="inlineStr">
        <is>
          <t>Phát sinh</t>
        </is>
      </c>
      <c r="D142" s="30" t="inlineStr"/>
    </row>
    <row r="143">
      <c r="A143" s="55" t="inlineStr">
        <is>
          <t xml:space="preserve">   711</t>
        </is>
      </c>
      <c r="B143" s="55" t="inlineStr">
        <is>
          <t>Thu nhập khác</t>
        </is>
      </c>
      <c r="C143" s="31" t="n">
        <v>35000000</v>
      </c>
      <c r="D143" s="31" t="inlineStr"/>
    </row>
    <row r="144">
      <c r="A144" s="55" t="inlineStr">
        <is>
          <t xml:space="preserve">   Thuyết minh bổ sung</t>
        </is>
      </c>
      <c r="B144" s="51" t="inlineStr"/>
      <c r="C144" s="58" t="n"/>
      <c r="D144" s="59" t="n"/>
    </row>
    <row r="145">
      <c r="A145" s="54" t="inlineStr">
        <is>
          <t>8. Chi phí khác</t>
        </is>
      </c>
      <c r="B145" s="55" t="inlineStr"/>
    </row>
    <row r="146">
      <c r="A146" s="30" t="inlineStr">
        <is>
          <t xml:space="preserve">   Tài khoản</t>
        </is>
      </c>
      <c r="B146" s="30" t="inlineStr">
        <is>
          <t>Tên tài khoản</t>
        </is>
      </c>
      <c r="C146" s="30" t="inlineStr">
        <is>
          <t>Phát sinh</t>
        </is>
      </c>
      <c r="D146" s="30" t="inlineStr"/>
    </row>
    <row r="147">
      <c r="A147" s="55" t="inlineStr">
        <is>
          <t xml:space="preserve">   811</t>
        </is>
      </c>
      <c r="B147" s="55" t="inlineStr">
        <is>
          <t>Chi phí khác</t>
        </is>
      </c>
      <c r="C147" s="31" t="n">
        <v>18000000</v>
      </c>
      <c r="D147" s="31" t="inlineStr"/>
    </row>
    <row r="148">
      <c r="A148" s="55" t="inlineStr">
        <is>
          <t xml:space="preserve">   Thuyết minh bổ sung</t>
        </is>
      </c>
      <c r="B148" s="51" t="inlineStr"/>
      <c r="C148" s="58" t="n"/>
      <c r="D148" s="59" t="n"/>
    </row>
    <row r="149">
      <c r="A149" s="54" t="inlineStr">
        <is>
          <t>9. Chi phí thuế thu nhập doanh nghiệp</t>
        </is>
      </c>
      <c r="B149" s="55" t="inlineStr"/>
    </row>
    <row r="150">
      <c r="A150" s="30" t="inlineStr">
        <is>
          <t xml:space="preserve">   Tài khoản</t>
        </is>
      </c>
      <c r="B150" s="30" t="inlineStr">
        <is>
          <t>Tên tài khoản</t>
        </is>
      </c>
      <c r="C150" s="30" t="inlineStr">
        <is>
          <t>Phát sinh</t>
        </is>
      </c>
      <c r="D150" s="30" t="inlineStr"/>
    </row>
    <row r="151">
      <c r="A151" s="55" t="inlineStr">
        <is>
          <t xml:space="preserve">   821</t>
        </is>
      </c>
      <c r="B151" s="55" t="inlineStr">
        <is>
          <t>Chi phí thuế thu nhập doanh nghiệp</t>
        </is>
      </c>
      <c r="C151" s="31" t="n">
        <v>67000000</v>
      </c>
      <c r="D151" s="31" t="inlineStr"/>
    </row>
    <row r="152">
      <c r="A152" s="55" t="inlineStr">
        <is>
          <t xml:space="preserve">   Thuyết minh bổ sung</t>
        </is>
      </c>
      <c r="B152" s="51" t="inlineStr"/>
      <c r="C152" s="58" t="n"/>
      <c r="D152" s="59" t="n"/>
    </row>
    <row r="153">
      <c r="A153" s="48" t="inlineStr">
        <is>
          <t>VII. Thông tin bổ sung cho các khoản mục trình bày trong Báo cáo lưu chuyển tiền tệ</t>
        </is>
      </c>
    </row>
    <row r="154" ht="16" customHeight="1">
      <c r="A154" s="13" t="inlineStr">
        <is>
          <t>1. Các giao dịch không bằng tiền phát sinh trong kỳ</t>
        </is>
      </c>
      <c r="B154" s="49" t="inlineStr"/>
      <c r="C154" s="58" t="n"/>
      <c r="D154" s="59" t="n"/>
    </row>
    <row r="155" ht="16" customHeight="1">
      <c r="A155" s="13" t="inlineStr">
        <is>
          <t>2. Các khoản tiền doanh nghiệp nắm giữ nhưng không được sử dụng</t>
        </is>
      </c>
      <c r="B155" s="49" t="inlineStr"/>
      <c r="C155" s="58" t="n"/>
      <c r="D155" s="59" t="n"/>
    </row>
    <row r="156" ht="16" customHeight="1">
      <c r="A156" s="13" t="inlineStr">
        <is>
          <t>3. Thông tin khác về lưu chuyển tiền tệ</t>
        </is>
      </c>
      <c r="B156" s="49" t="inlineStr"/>
      <c r="C156" s="58" t="n"/>
      <c r="D156" s="59" t="n"/>
    </row>
    <row r="157">
      <c r="A157" s="48" t="inlineStr">
        <is>
          <t>VIII. Những thông tin khác</t>
        </is>
      </c>
    </row>
    <row r="158" ht="16" customHeight="1">
      <c r="A158" s="13" t="inlineStr">
        <is>
          <t>1. Những khoản nợ tiềm tàng, khoản cam kết</t>
        </is>
      </c>
      <c r="B158" s="49" t="inlineStr"/>
      <c r="C158" s="58" t="n"/>
      <c r="D158" s="59" t="n"/>
    </row>
    <row r="159" ht="16" customHeight="1">
      <c r="A159" s="13" t="inlineStr">
        <is>
          <t>2. Những sự kiện phát sinh sau ngày kết thúc kỳ kế toán năm</t>
        </is>
      </c>
      <c r="B159" s="49" t="inlineStr"/>
      <c r="C159" s="58" t="n"/>
      <c r="D159" s="59" t="n"/>
    </row>
    <row r="160" ht="16" customHeight="1">
      <c r="A160" s="13" t="inlineStr">
        <is>
          <t>3. Thông tin so sánh (thay đổi thông tin trong BCTC năm trước)</t>
        </is>
      </c>
      <c r="B160" s="49" t="inlineStr"/>
      <c r="C160" s="58" t="n"/>
      <c r="D160" s="59" t="n"/>
    </row>
    <row r="161" ht="16" customHeight="1">
      <c r="A161" s="13" t="inlineStr">
        <is>
          <t>4. Thông tin về hoạt động liên tục</t>
        </is>
      </c>
      <c r="B161" s="49" t="inlineStr"/>
      <c r="C161" s="58" t="n"/>
      <c r="D161" s="59" t="n"/>
    </row>
    <row r="162" ht="16" customHeight="1">
      <c r="A162" s="13" t="inlineStr">
        <is>
          <t>5. Giao dịch với các bên liên quan</t>
        </is>
      </c>
      <c r="B162" s="49" t="inlineStr"/>
      <c r="C162" s="58" t="n"/>
      <c r="D162" s="59" t="n"/>
    </row>
    <row r="163" ht="16" customHeight="1">
      <c r="A163" s="13" t="inlineStr">
        <is>
          <t>6. Những thông tin khác</t>
        </is>
      </c>
      <c r="B163" s="49" t="inlineStr"/>
      <c r="C163" s="58" t="n"/>
      <c r="D163" s="59" t="n"/>
    </row>
    <row r="165">
      <c r="A165" t="inlineStr"/>
      <c r="B165" t="inlineStr"/>
      <c r="C165" t="inlineStr"/>
      <c r="D165" s="25" t="inlineStr">
        <is>
          <t>Ngày ..... tháng ..... năm .....</t>
        </is>
      </c>
    </row>
    <row r="166">
      <c r="A166" s="26" t="inlineStr">
        <is>
          <t>NGƯỜI LẬP BIỂU</t>
        </is>
      </c>
      <c r="B166" s="26" t="inlineStr"/>
      <c r="C166" s="26" t="inlineStr">
        <is>
          <t>KẾ TOÁN TRƯỞNG</t>
        </is>
      </c>
      <c r="D166" s="26" t="inlineStr">
        <is>
          <t>NGƯỜI ĐẠI DIỆN THEO PHÁP LUẬT</t>
        </is>
      </c>
    </row>
    <row r="167">
      <c r="A167" s="27" t="inlineStr">
        <is>
          <t>(Ký, họ tên)</t>
        </is>
      </c>
      <c r="B167" s="27" t="inlineStr"/>
      <c r="C167" s="27" t="inlineStr">
        <is>
          <t>(Ký, họ tên)</t>
        </is>
      </c>
      <c r="D167" s="27" t="inlineStr">
        <is>
          <t>(Ký, họ tên, đóng dấu)</t>
        </is>
      </c>
    </row>
    <row r="170">
      <c r="A170" s="28" t="inlineStr">
        <is>
          <t>Nguyễn Thị Hoa</t>
        </is>
      </c>
      <c r="B170" s="28" t="inlineStr"/>
      <c r="C170" s="28" t="inlineStr">
        <is>
          <t>Trần Văn Nam</t>
        </is>
      </c>
      <c r="D170" s="28" t="inlineStr">
        <is>
          <t>Lê Minh Anh</t>
        </is>
      </c>
    </row>
  </sheetData>
  <sheetProtection selectLockedCells="0" selectUnlockedCells="0" sheet="1" objects="0" insertRows="1" insertHyperlinks="1" autoFilter="0" scenarios="0" formatColumns="1" deleteColumns="1" insertColumns="1" pivotTables="1" deleteRows="1" formatCells="1" formatRows="1" sort="0"/>
  <mergeCells count="75">
    <mergeCell ref="A116:D116"/>
    <mergeCell ref="B11:D11"/>
    <mergeCell ref="A5:D5"/>
    <mergeCell ref="B120:D120"/>
    <mergeCell ref="B60:D60"/>
    <mergeCell ref="B14:D14"/>
    <mergeCell ref="A122:D122"/>
    <mergeCell ref="A53:D53"/>
    <mergeCell ref="B23:D23"/>
    <mergeCell ref="A4:D4"/>
    <mergeCell ref="B8:D8"/>
    <mergeCell ref="B148:D148"/>
    <mergeCell ref="A72:D72"/>
    <mergeCell ref="B73:D73"/>
    <mergeCell ref="B88:D88"/>
    <mergeCell ref="B17:D17"/>
    <mergeCell ref="A43:D43"/>
    <mergeCell ref="B44:D44"/>
    <mergeCell ref="A19:D19"/>
    <mergeCell ref="B162:D162"/>
    <mergeCell ref="B29:D29"/>
    <mergeCell ref="B69:D69"/>
    <mergeCell ref="B38:D38"/>
    <mergeCell ref="A111:D111"/>
    <mergeCell ref="A13:D13"/>
    <mergeCell ref="B10:D10"/>
    <mergeCell ref="B112:D112"/>
    <mergeCell ref="B28:D28"/>
    <mergeCell ref="A114:D114"/>
    <mergeCell ref="A157:D157"/>
    <mergeCell ref="B127:D127"/>
    <mergeCell ref="B9:D9"/>
    <mergeCell ref="B30:D30"/>
    <mergeCell ref="B158:D158"/>
    <mergeCell ref="B15:D15"/>
    <mergeCell ref="B24:D24"/>
    <mergeCell ref="B95:D95"/>
    <mergeCell ref="B20:D20"/>
    <mergeCell ref="A1:D1"/>
    <mergeCell ref="B104:D104"/>
    <mergeCell ref="A6:D6"/>
    <mergeCell ref="B160:D160"/>
    <mergeCell ref="B154:D154"/>
    <mergeCell ref="B123:D123"/>
    <mergeCell ref="A153:D153"/>
    <mergeCell ref="B163:D163"/>
    <mergeCell ref="B79:D79"/>
    <mergeCell ref="B26:D26"/>
    <mergeCell ref="A87:D87"/>
    <mergeCell ref="B135:D135"/>
    <mergeCell ref="A65:D65"/>
    <mergeCell ref="B144:D144"/>
    <mergeCell ref="B100:D100"/>
    <mergeCell ref="A16:D16"/>
    <mergeCell ref="A99:D99"/>
    <mergeCell ref="B25:D25"/>
    <mergeCell ref="B7:D7"/>
    <mergeCell ref="B54:D54"/>
    <mergeCell ref="B156:D156"/>
    <mergeCell ref="B159:D159"/>
    <mergeCell ref="B66:D66"/>
    <mergeCell ref="B31:D31"/>
    <mergeCell ref="B140:D140"/>
    <mergeCell ref="B155:D155"/>
    <mergeCell ref="B115:D115"/>
    <mergeCell ref="B131:D131"/>
    <mergeCell ref="B22:D22"/>
    <mergeCell ref="B27:D27"/>
    <mergeCell ref="B18:D18"/>
    <mergeCell ref="B21:D21"/>
    <mergeCell ref="B161:D161"/>
    <mergeCell ref="A2:D2"/>
    <mergeCell ref="B12:D12"/>
    <mergeCell ref="B152:D152"/>
    <mergeCell ref="A32:D32"/>
  </mergeCells>
  <printOptions horizontalCentered="1"/>
  <pageMargins left="0.5" right="0.4" top="0.6" bottom="0.6" header="0.3" footer="0.3"/>
  <pageSetup orientation="portrait" paperSize="9" fitToHeight="0"/>
  <headerFooter>
    <oddHeader>&amp;LCÔNG TY TNHH THƯƠNG MẠI MINH ANH&amp;RMST: 0101234567</oddHeader>
    <oddFooter>&amp;LMr Wick Kiểm toán · taichinhketoanedu.com&amp;C&amp;P/&amp;N&amp;RNăm 2025 · Đồng</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66"/>
  <sheetViews>
    <sheetView workbookViewId="0">
      <pane xSplit="2" ySplit="8" topLeftCell="C9" activePane="bottomRight" state="frozen"/>
      <selection pane="topRight" activeCell="A1" sqref="A1"/>
      <selection pane="bottomLeft" activeCell="A1" sqref="A1"/>
      <selection pane="bottomRight" activeCell="A1" sqref="A1:H1"/>
    </sheetView>
  </sheetViews>
  <sheetFormatPr baseColWidth="10" defaultColWidth="8.83203125" defaultRowHeight="15"/>
  <cols>
    <col width="16" customWidth="1" min="1" max="1"/>
    <col width="40" customWidth="1" min="2" max="2"/>
    <col width="17" customWidth="1" min="3" max="8"/>
  </cols>
  <sheetData>
    <row r="1">
      <c r="A1" s="42" t="inlineStr">
        <is>
          <t>CÔNG TY TNHH THƯƠNG MẠI MINH ANH</t>
        </is>
      </c>
    </row>
    <row r="2">
      <c r="A2" s="43" t="inlineStr">
        <is>
          <t>MST: 0101234567 · Số 12 phố Láng Hạ, phường Láng, TP Hà Nội</t>
        </is>
      </c>
    </row>
    <row r="3"/>
    <row r="4" ht="22" customHeight="1">
      <c r="A4" s="38" t="inlineStr">
        <is>
          <t>BẢNG CÂN ĐỐI TÀI KHOẢN</t>
        </is>
      </c>
    </row>
    <row r="5">
      <c r="A5" s="39" t="inlineStr">
        <is>
          <t>Năm 2025 · Mẫu số F01-DNN (Ban hành theo Thông tư số 133/2016/TT-BTC ngày 26/8/2016 của Bộ Tài chính)</t>
        </is>
      </c>
    </row>
    <row r="6">
      <c r="A6" s="44" t="inlineStr">
        <is>
          <t>Đơn vị tính: Đồng</t>
        </is>
      </c>
    </row>
    <row r="7">
      <c r="A7" s="53" t="inlineStr">
        <is>
          <t>Số hiệu tài khoản</t>
        </is>
      </c>
      <c r="B7" s="53" t="inlineStr">
        <is>
          <t>Tên tài khoản</t>
        </is>
      </c>
      <c r="C7" s="53" t="inlineStr">
        <is>
          <t>Số dư đầu năm</t>
        </is>
      </c>
      <c r="D7" s="57" t="n"/>
      <c r="E7" s="53" t="inlineStr">
        <is>
          <t>Số phát sinh trong năm</t>
        </is>
      </c>
      <c r="F7" s="57" t="n"/>
      <c r="G7" s="53" t="inlineStr">
        <is>
          <t>Số dư cuối năm</t>
        </is>
      </c>
      <c r="H7" s="57" t="n"/>
    </row>
    <row r="8">
      <c r="A8" s="60" t="n"/>
      <c r="B8" s="60" t="n"/>
      <c r="C8" s="53" t="inlineStr">
        <is>
          <t>Nợ</t>
        </is>
      </c>
      <c r="D8" s="53" t="inlineStr">
        <is>
          <t>Có</t>
        </is>
      </c>
      <c r="E8" s="53" t="inlineStr">
        <is>
          <t>Nợ</t>
        </is>
      </c>
      <c r="F8" s="53" t="inlineStr">
        <is>
          <t>Có</t>
        </is>
      </c>
      <c r="G8" s="53" t="inlineStr">
        <is>
          <t>Nợ</t>
        </is>
      </c>
      <c r="H8" s="53" t="inlineStr">
        <is>
          <t>Có</t>
        </is>
      </c>
    </row>
    <row r="9">
      <c r="A9" s="55" t="inlineStr">
        <is>
          <t>111</t>
        </is>
      </c>
      <c r="B9" s="55" t="inlineStr">
        <is>
          <t>Tiền mặt</t>
        </is>
      </c>
      <c r="C9" s="12">
        <f>DATA_F01!$C$4</f>
        <v/>
      </c>
      <c r="D9" s="12">
        <f>DATA_F01!$D$4</f>
        <v/>
      </c>
      <c r="E9" s="12">
        <f>DATA_F01!$E$4</f>
        <v/>
      </c>
      <c r="F9" s="12">
        <f>DATA_F01!$F$4</f>
        <v/>
      </c>
      <c r="G9" s="12">
        <f>DATA_F01!$G$4</f>
        <v/>
      </c>
      <c r="H9" s="12">
        <f>DATA_F01!$H$4</f>
        <v/>
      </c>
    </row>
    <row r="10">
      <c r="A10" s="55" t="inlineStr">
        <is>
          <t>112</t>
        </is>
      </c>
      <c r="B10" s="55" t="inlineStr">
        <is>
          <t>Tiền gửi Ngân hàng</t>
        </is>
      </c>
      <c r="C10" s="12">
        <f>DATA_F01!$C$5</f>
        <v/>
      </c>
      <c r="D10" s="12">
        <f>DATA_F01!$D$5</f>
        <v/>
      </c>
      <c r="E10" s="12">
        <f>DATA_F01!$E$5</f>
        <v/>
      </c>
      <c r="F10" s="12">
        <f>DATA_F01!$F$5</f>
        <v/>
      </c>
      <c r="G10" s="12">
        <f>DATA_F01!$G$5</f>
        <v/>
      </c>
      <c r="H10" s="12">
        <f>DATA_F01!$H$5</f>
        <v/>
      </c>
    </row>
    <row r="11">
      <c r="A11" s="55" t="inlineStr">
        <is>
          <t>1281</t>
        </is>
      </c>
      <c r="B11" s="55" t="inlineStr">
        <is>
          <t>Tiền gửi có kỳ hạn</t>
        </is>
      </c>
      <c r="C11" s="12">
        <f>DATA_F01!$C$6</f>
        <v/>
      </c>
      <c r="D11" s="12">
        <f>DATA_F01!$D$6</f>
        <v/>
      </c>
      <c r="E11" s="12">
        <f>DATA_F01!$E$6</f>
        <v/>
      </c>
      <c r="F11" s="12">
        <f>DATA_F01!$F$6</f>
        <v/>
      </c>
      <c r="G11" s="12">
        <f>DATA_F01!$G$6</f>
        <v/>
      </c>
      <c r="H11" s="12">
        <f>DATA_F01!$H$6</f>
        <v/>
      </c>
    </row>
    <row r="12">
      <c r="A12" s="55" t="inlineStr">
        <is>
          <t>131-KH01</t>
        </is>
      </c>
      <c r="B12" s="55" t="inlineStr">
        <is>
          <t>Phải thu KH — Công ty An Phát</t>
        </is>
      </c>
      <c r="C12" s="12">
        <f>DATA_F01!$C$7</f>
        <v/>
      </c>
      <c r="D12" s="12">
        <f>DATA_F01!$D$7</f>
        <v/>
      </c>
      <c r="E12" s="12">
        <f>DATA_F01!$E$7</f>
        <v/>
      </c>
      <c r="F12" s="12">
        <f>DATA_F01!$F$7</f>
        <v/>
      </c>
      <c r="G12" s="12">
        <f>DATA_F01!$G$7</f>
        <v/>
      </c>
      <c r="H12" s="12">
        <f>DATA_F01!$H$7</f>
        <v/>
      </c>
    </row>
    <row r="13">
      <c r="A13" s="55" t="inlineStr">
        <is>
          <t>131-KH02</t>
        </is>
      </c>
      <c r="B13" s="55" t="inlineStr">
        <is>
          <t>Phải thu KH — Công ty Bình Minh</t>
        </is>
      </c>
      <c r="C13" s="12">
        <f>DATA_F01!$C$8</f>
        <v/>
      </c>
      <c r="D13" s="12">
        <f>DATA_F01!$D$8</f>
        <v/>
      </c>
      <c r="E13" s="12">
        <f>DATA_F01!$E$8</f>
        <v/>
      </c>
      <c r="F13" s="12">
        <f>DATA_F01!$F$8</f>
        <v/>
      </c>
      <c r="G13" s="12">
        <f>DATA_F01!$G$8</f>
        <v/>
      </c>
      <c r="H13" s="12">
        <f>DATA_F01!$H$8</f>
        <v/>
      </c>
    </row>
    <row r="14">
      <c r="A14" s="55" t="inlineStr">
        <is>
          <t>131-KH03</t>
        </is>
      </c>
      <c r="B14" s="55" t="inlineStr">
        <is>
          <t>Phải thu KH — Công ty Cường Thịnh</t>
        </is>
      </c>
      <c r="C14" s="12">
        <f>DATA_F01!$C$9</f>
        <v/>
      </c>
      <c r="D14" s="12">
        <f>DATA_F01!$D$9</f>
        <v/>
      </c>
      <c r="E14" s="12">
        <f>DATA_F01!$E$9</f>
        <v/>
      </c>
      <c r="F14" s="12">
        <f>DATA_F01!$F$9</f>
        <v/>
      </c>
      <c r="G14" s="12">
        <f>DATA_F01!$G$9</f>
        <v/>
      </c>
      <c r="H14" s="12">
        <f>DATA_F01!$H$9</f>
        <v/>
      </c>
    </row>
    <row r="15">
      <c r="A15" s="55" t="inlineStr">
        <is>
          <t>133</t>
        </is>
      </c>
      <c r="B15" s="55" t="inlineStr">
        <is>
          <t>Thuế GTGT được khấu trừ</t>
        </is>
      </c>
      <c r="C15" s="12">
        <f>DATA_F01!$C$10</f>
        <v/>
      </c>
      <c r="D15" s="12">
        <f>DATA_F01!$D$10</f>
        <v/>
      </c>
      <c r="E15" s="12">
        <f>DATA_F01!$E$10</f>
        <v/>
      </c>
      <c r="F15" s="12">
        <f>DATA_F01!$F$10</f>
        <v/>
      </c>
      <c r="G15" s="12">
        <f>DATA_F01!$G$10</f>
        <v/>
      </c>
      <c r="H15" s="12">
        <f>DATA_F01!$H$10</f>
        <v/>
      </c>
    </row>
    <row r="16">
      <c r="A16" s="55" t="inlineStr">
        <is>
          <t>1381</t>
        </is>
      </c>
      <c r="B16" s="55" t="inlineStr">
        <is>
          <t>Tài sản thiếu chờ xử lý</t>
        </is>
      </c>
      <c r="C16" s="12">
        <f>DATA_F01!$C$11</f>
        <v/>
      </c>
      <c r="D16" s="12">
        <f>DATA_F01!$D$11</f>
        <v/>
      </c>
      <c r="E16" s="12">
        <f>DATA_F01!$E$11</f>
        <v/>
      </c>
      <c r="F16" s="12">
        <f>DATA_F01!$F$11</f>
        <v/>
      </c>
      <c r="G16" s="12">
        <f>DATA_F01!$G$11</f>
        <v/>
      </c>
      <c r="H16" s="12">
        <f>DATA_F01!$H$11</f>
        <v/>
      </c>
    </row>
    <row r="17">
      <c r="A17" s="55" t="inlineStr">
        <is>
          <t>1388</t>
        </is>
      </c>
      <c r="B17" s="55" t="inlineStr">
        <is>
          <t>Phải thu khác</t>
        </is>
      </c>
      <c r="C17" s="12">
        <f>DATA_F01!$C$12</f>
        <v/>
      </c>
      <c r="D17" s="12">
        <f>DATA_F01!$D$12</f>
        <v/>
      </c>
      <c r="E17" s="12">
        <f>DATA_F01!$E$12</f>
        <v/>
      </c>
      <c r="F17" s="12">
        <f>DATA_F01!$F$12</f>
        <v/>
      </c>
      <c r="G17" s="12">
        <f>DATA_F01!$G$12</f>
        <v/>
      </c>
      <c r="H17" s="12">
        <f>DATA_F01!$H$12</f>
        <v/>
      </c>
    </row>
    <row r="18">
      <c r="A18" s="55" t="inlineStr">
        <is>
          <t>141</t>
        </is>
      </c>
      <c r="B18" s="55" t="inlineStr">
        <is>
          <t>Tạm ứng</t>
        </is>
      </c>
      <c r="C18" s="12">
        <f>DATA_F01!$C$13</f>
        <v/>
      </c>
      <c r="D18" s="12">
        <f>DATA_F01!$D$13</f>
        <v/>
      </c>
      <c r="E18" s="12">
        <f>DATA_F01!$E$13</f>
        <v/>
      </c>
      <c r="F18" s="12">
        <f>DATA_F01!$F$13</f>
        <v/>
      </c>
      <c r="G18" s="12">
        <f>DATA_F01!$G$13</f>
        <v/>
      </c>
      <c r="H18" s="12">
        <f>DATA_F01!$H$13</f>
        <v/>
      </c>
    </row>
    <row r="19">
      <c r="A19" s="55" t="inlineStr">
        <is>
          <t>152</t>
        </is>
      </c>
      <c r="B19" s="55" t="inlineStr">
        <is>
          <t>Nguyên liệu, vật liệu</t>
        </is>
      </c>
      <c r="C19" s="12">
        <f>DATA_F01!$C$14</f>
        <v/>
      </c>
      <c r="D19" s="12">
        <f>DATA_F01!$D$14</f>
        <v/>
      </c>
      <c r="E19" s="12">
        <f>DATA_F01!$E$14</f>
        <v/>
      </c>
      <c r="F19" s="12">
        <f>DATA_F01!$F$14</f>
        <v/>
      </c>
      <c r="G19" s="12">
        <f>DATA_F01!$G$14</f>
        <v/>
      </c>
      <c r="H19" s="12">
        <f>DATA_F01!$H$14</f>
        <v/>
      </c>
    </row>
    <row r="20">
      <c r="A20" s="55" t="inlineStr">
        <is>
          <t>156</t>
        </is>
      </c>
      <c r="B20" s="55" t="inlineStr">
        <is>
          <t>Hàng hóa</t>
        </is>
      </c>
      <c r="C20" s="12">
        <f>DATA_F01!$C$15</f>
        <v/>
      </c>
      <c r="D20" s="12">
        <f>DATA_F01!$D$15</f>
        <v/>
      </c>
      <c r="E20" s="12">
        <f>DATA_F01!$E$15</f>
        <v/>
      </c>
      <c r="F20" s="12">
        <f>DATA_F01!$F$15</f>
        <v/>
      </c>
      <c r="G20" s="12">
        <f>DATA_F01!$G$15</f>
        <v/>
      </c>
      <c r="H20" s="12">
        <f>DATA_F01!$H$15</f>
        <v/>
      </c>
    </row>
    <row r="21">
      <c r="A21" s="55" t="inlineStr">
        <is>
          <t>211</t>
        </is>
      </c>
      <c r="B21" s="55" t="inlineStr">
        <is>
          <t>Tài sản cố định</t>
        </is>
      </c>
      <c r="C21" s="12">
        <f>DATA_F01!$C$16</f>
        <v/>
      </c>
      <c r="D21" s="12">
        <f>DATA_F01!$D$16</f>
        <v/>
      </c>
      <c r="E21" s="12">
        <f>DATA_F01!$E$16</f>
        <v/>
      </c>
      <c r="F21" s="12">
        <f>DATA_F01!$F$16</f>
        <v/>
      </c>
      <c r="G21" s="12">
        <f>DATA_F01!$G$16</f>
        <v/>
      </c>
      <c r="H21" s="12">
        <f>DATA_F01!$H$16</f>
        <v/>
      </c>
    </row>
    <row r="22">
      <c r="A22" s="55" t="inlineStr">
        <is>
          <t>2141</t>
        </is>
      </c>
      <c r="B22" s="55" t="inlineStr">
        <is>
          <t>Hao mòn TSCĐ hữu hình</t>
        </is>
      </c>
      <c r="C22" s="12">
        <f>DATA_F01!$C$17</f>
        <v/>
      </c>
      <c r="D22" s="12">
        <f>DATA_F01!$D$17</f>
        <v/>
      </c>
      <c r="E22" s="12">
        <f>DATA_F01!$E$17</f>
        <v/>
      </c>
      <c r="F22" s="12">
        <f>DATA_F01!$F$17</f>
        <v/>
      </c>
      <c r="G22" s="12">
        <f>DATA_F01!$G$17</f>
        <v/>
      </c>
      <c r="H22" s="12">
        <f>DATA_F01!$H$17</f>
        <v/>
      </c>
    </row>
    <row r="23">
      <c r="A23" s="55" t="inlineStr">
        <is>
          <t>228</t>
        </is>
      </c>
      <c r="B23" s="55" t="inlineStr">
        <is>
          <t>Đầu tư góp vốn vào đơn vị khác</t>
        </is>
      </c>
      <c r="C23" s="12">
        <f>DATA_F01!$C$18</f>
        <v/>
      </c>
      <c r="D23" s="12">
        <f>DATA_F01!$D$18</f>
        <v/>
      </c>
      <c r="E23" s="12">
        <f>DATA_F01!$E$18</f>
        <v/>
      </c>
      <c r="F23" s="12">
        <f>DATA_F01!$F$18</f>
        <v/>
      </c>
      <c r="G23" s="12">
        <f>DATA_F01!$G$18</f>
        <v/>
      </c>
      <c r="H23" s="12">
        <f>DATA_F01!$H$18</f>
        <v/>
      </c>
    </row>
    <row r="24">
      <c r="A24" s="55" t="inlineStr">
        <is>
          <t>2293</t>
        </is>
      </c>
      <c r="B24" s="55" t="inlineStr">
        <is>
          <t>Dự phòng phải thu khó đòi</t>
        </is>
      </c>
      <c r="C24" s="12">
        <f>DATA_F01!$C$19</f>
        <v/>
      </c>
      <c r="D24" s="12">
        <f>DATA_F01!$D$19</f>
        <v/>
      </c>
      <c r="E24" s="12">
        <f>DATA_F01!$E$19</f>
        <v/>
      </c>
      <c r="F24" s="12">
        <f>DATA_F01!$F$19</f>
        <v/>
      </c>
      <c r="G24" s="12">
        <f>DATA_F01!$G$19</f>
        <v/>
      </c>
      <c r="H24" s="12">
        <f>DATA_F01!$H$19</f>
        <v/>
      </c>
    </row>
    <row r="25">
      <c r="A25" s="55" t="inlineStr">
        <is>
          <t>2294</t>
        </is>
      </c>
      <c r="B25" s="55" t="inlineStr">
        <is>
          <t>Dự phòng giảm giá hàng tồn kho</t>
        </is>
      </c>
      <c r="C25" s="12">
        <f>DATA_F01!$C$20</f>
        <v/>
      </c>
      <c r="D25" s="12">
        <f>DATA_F01!$D$20</f>
        <v/>
      </c>
      <c r="E25" s="12">
        <f>DATA_F01!$E$20</f>
        <v/>
      </c>
      <c r="F25" s="12">
        <f>DATA_F01!$F$20</f>
        <v/>
      </c>
      <c r="G25" s="12">
        <f>DATA_F01!$G$20</f>
        <v/>
      </c>
      <c r="H25" s="12">
        <f>DATA_F01!$H$20</f>
        <v/>
      </c>
    </row>
    <row r="26">
      <c r="A26" s="55" t="inlineStr">
        <is>
          <t>242</t>
        </is>
      </c>
      <c r="B26" s="55" t="inlineStr">
        <is>
          <t>Chi phí trả trước</t>
        </is>
      </c>
      <c r="C26" s="12">
        <f>DATA_F01!$C$21</f>
        <v/>
      </c>
      <c r="D26" s="12">
        <f>DATA_F01!$D$21</f>
        <v/>
      </c>
      <c r="E26" s="12">
        <f>DATA_F01!$E$21</f>
        <v/>
      </c>
      <c r="F26" s="12">
        <f>DATA_F01!$F$21</f>
        <v/>
      </c>
      <c r="G26" s="12">
        <f>DATA_F01!$G$21</f>
        <v/>
      </c>
      <c r="H26" s="12">
        <f>DATA_F01!$H$21</f>
        <v/>
      </c>
    </row>
    <row r="27">
      <c r="A27" s="55" t="inlineStr">
        <is>
          <t>331-NCC01</t>
        </is>
      </c>
      <c r="B27" s="55" t="inlineStr">
        <is>
          <t>Phải trả NB — Công ty Đại Việt</t>
        </is>
      </c>
      <c r="C27" s="12">
        <f>DATA_F01!$C$22</f>
        <v/>
      </c>
      <c r="D27" s="12">
        <f>DATA_F01!$D$22</f>
        <v/>
      </c>
      <c r="E27" s="12">
        <f>DATA_F01!$E$22</f>
        <v/>
      </c>
      <c r="F27" s="12">
        <f>DATA_F01!$F$22</f>
        <v/>
      </c>
      <c r="G27" s="12">
        <f>DATA_F01!$G$22</f>
        <v/>
      </c>
      <c r="H27" s="12">
        <f>DATA_F01!$H$22</f>
        <v/>
      </c>
    </row>
    <row r="28">
      <c r="A28" s="55" t="inlineStr">
        <is>
          <t>331-NCC02</t>
        </is>
      </c>
      <c r="B28" s="55" t="inlineStr">
        <is>
          <t>Phải trả NB — Công ty Hồng Hà</t>
        </is>
      </c>
      <c r="C28" s="12">
        <f>DATA_F01!$C$23</f>
        <v/>
      </c>
      <c r="D28" s="12">
        <f>DATA_F01!$D$23</f>
        <v/>
      </c>
      <c r="E28" s="12">
        <f>DATA_F01!$E$23</f>
        <v/>
      </c>
      <c r="F28" s="12">
        <f>DATA_F01!$F$23</f>
        <v/>
      </c>
      <c r="G28" s="12">
        <f>DATA_F01!$G$23</f>
        <v/>
      </c>
      <c r="H28" s="12">
        <f>DATA_F01!$H$23</f>
        <v/>
      </c>
    </row>
    <row r="29">
      <c r="A29" s="55" t="inlineStr">
        <is>
          <t>331-NCC03</t>
        </is>
      </c>
      <c r="B29" s="55" t="inlineStr">
        <is>
          <t>Phải trả NB — Công ty Sao Mai</t>
        </is>
      </c>
      <c r="C29" s="12">
        <f>DATA_F01!$C$24</f>
        <v/>
      </c>
      <c r="D29" s="12">
        <f>DATA_F01!$D$24</f>
        <v/>
      </c>
      <c r="E29" s="12">
        <f>DATA_F01!$E$24</f>
        <v/>
      </c>
      <c r="F29" s="12">
        <f>DATA_F01!$F$24</f>
        <v/>
      </c>
      <c r="G29" s="12">
        <f>DATA_F01!$G$24</f>
        <v/>
      </c>
      <c r="H29" s="12">
        <f>DATA_F01!$H$24</f>
        <v/>
      </c>
    </row>
    <row r="30">
      <c r="A30" s="55" t="inlineStr">
        <is>
          <t>33311</t>
        </is>
      </c>
      <c r="B30" s="55" t="inlineStr">
        <is>
          <t>Thuế GTGT đầu ra</t>
        </is>
      </c>
      <c r="C30" s="12">
        <f>DATA_F01!$C$25</f>
        <v/>
      </c>
      <c r="D30" s="12">
        <f>DATA_F01!$D$25</f>
        <v/>
      </c>
      <c r="E30" s="12">
        <f>DATA_F01!$E$25</f>
        <v/>
      </c>
      <c r="F30" s="12">
        <f>DATA_F01!$F$25</f>
        <v/>
      </c>
      <c r="G30" s="12">
        <f>DATA_F01!$G$25</f>
        <v/>
      </c>
      <c r="H30" s="12">
        <f>DATA_F01!$H$25</f>
        <v/>
      </c>
    </row>
    <row r="31">
      <c r="A31" s="55" t="inlineStr">
        <is>
          <t>3334</t>
        </is>
      </c>
      <c r="B31" s="55" t="inlineStr">
        <is>
          <t>Thuế thu nhập doanh nghiệp</t>
        </is>
      </c>
      <c r="C31" s="12">
        <f>DATA_F01!$C$26</f>
        <v/>
      </c>
      <c r="D31" s="12">
        <f>DATA_F01!$D$26</f>
        <v/>
      </c>
      <c r="E31" s="12">
        <f>DATA_F01!$E$26</f>
        <v/>
      </c>
      <c r="F31" s="12">
        <f>DATA_F01!$F$26</f>
        <v/>
      </c>
      <c r="G31" s="12">
        <f>DATA_F01!$G$26</f>
        <v/>
      </c>
      <c r="H31" s="12">
        <f>DATA_F01!$H$26</f>
        <v/>
      </c>
    </row>
    <row r="32">
      <c r="A32" s="55" t="inlineStr">
        <is>
          <t>3335</t>
        </is>
      </c>
      <c r="B32" s="55" t="inlineStr">
        <is>
          <t>Thuế thu nhập cá nhân</t>
        </is>
      </c>
      <c r="C32" s="12">
        <f>DATA_F01!$C$27</f>
        <v/>
      </c>
      <c r="D32" s="12">
        <f>DATA_F01!$D$27</f>
        <v/>
      </c>
      <c r="E32" s="12">
        <f>DATA_F01!$E$27</f>
        <v/>
      </c>
      <c r="F32" s="12">
        <f>DATA_F01!$F$27</f>
        <v/>
      </c>
      <c r="G32" s="12">
        <f>DATA_F01!$G$27</f>
        <v/>
      </c>
      <c r="H32" s="12">
        <f>DATA_F01!$H$27</f>
        <v/>
      </c>
    </row>
    <row r="33">
      <c r="A33" s="55" t="inlineStr">
        <is>
          <t>3338</t>
        </is>
      </c>
      <c r="B33" s="55" t="inlineStr">
        <is>
          <t>Thuế bảo vệ môi trường và các loại thuế khác</t>
        </is>
      </c>
      <c r="C33" s="12">
        <f>DATA_F01!$C$28</f>
        <v/>
      </c>
      <c r="D33" s="12">
        <f>DATA_F01!$D$28</f>
        <v/>
      </c>
      <c r="E33" s="12">
        <f>DATA_F01!$E$28</f>
        <v/>
      </c>
      <c r="F33" s="12">
        <f>DATA_F01!$F$28</f>
        <v/>
      </c>
      <c r="G33" s="12">
        <f>DATA_F01!$G$28</f>
        <v/>
      </c>
      <c r="H33" s="12">
        <f>DATA_F01!$H$28</f>
        <v/>
      </c>
    </row>
    <row r="34">
      <c r="A34" s="55" t="inlineStr">
        <is>
          <t>334</t>
        </is>
      </c>
      <c r="B34" s="55" t="inlineStr">
        <is>
          <t>Phải trả người lao động</t>
        </is>
      </c>
      <c r="C34" s="12">
        <f>DATA_F01!$C$29</f>
        <v/>
      </c>
      <c r="D34" s="12">
        <f>DATA_F01!$D$29</f>
        <v/>
      </c>
      <c r="E34" s="12">
        <f>DATA_F01!$E$29</f>
        <v/>
      </c>
      <c r="F34" s="12">
        <f>DATA_F01!$F$29</f>
        <v/>
      </c>
      <c r="G34" s="12">
        <f>DATA_F01!$G$29</f>
        <v/>
      </c>
      <c r="H34" s="12">
        <f>DATA_F01!$H$29</f>
        <v/>
      </c>
    </row>
    <row r="35">
      <c r="A35" s="55" t="inlineStr">
        <is>
          <t>3383</t>
        </is>
      </c>
      <c r="B35" s="55" t="inlineStr">
        <is>
          <t>Bảo hiểm xã hội, y tế, thất nghiệp</t>
        </is>
      </c>
      <c r="C35" s="12">
        <f>DATA_F01!$C$30</f>
        <v/>
      </c>
      <c r="D35" s="12">
        <f>DATA_F01!$D$30</f>
        <v/>
      </c>
      <c r="E35" s="12">
        <f>DATA_F01!$E$30</f>
        <v/>
      </c>
      <c r="F35" s="12">
        <f>DATA_F01!$F$30</f>
        <v/>
      </c>
      <c r="G35" s="12">
        <f>DATA_F01!$G$30</f>
        <v/>
      </c>
      <c r="H35" s="12">
        <f>DATA_F01!$H$30</f>
        <v/>
      </c>
    </row>
    <row r="36">
      <c r="A36" s="55" t="inlineStr">
        <is>
          <t>3387</t>
        </is>
      </c>
      <c r="B36" s="55" t="inlineStr">
        <is>
          <t>Doanh thu chưa thực hiện</t>
        </is>
      </c>
      <c r="C36" s="12">
        <f>DATA_F01!$C$31</f>
        <v/>
      </c>
      <c r="D36" s="12">
        <f>DATA_F01!$D$31</f>
        <v/>
      </c>
      <c r="E36" s="12">
        <f>DATA_F01!$E$31</f>
        <v/>
      </c>
      <c r="F36" s="12">
        <f>DATA_F01!$F$31</f>
        <v/>
      </c>
      <c r="G36" s="12">
        <f>DATA_F01!$G$31</f>
        <v/>
      </c>
      <c r="H36" s="12">
        <f>DATA_F01!$H$31</f>
        <v/>
      </c>
    </row>
    <row r="37">
      <c r="A37" s="55" t="inlineStr">
        <is>
          <t>3411</t>
        </is>
      </c>
      <c r="B37" s="55" t="inlineStr">
        <is>
          <t>Các khoản đi vay</t>
        </is>
      </c>
      <c r="C37" s="12">
        <f>DATA_F01!$C$32</f>
        <v/>
      </c>
      <c r="D37" s="12">
        <f>DATA_F01!$D$32</f>
        <v/>
      </c>
      <c r="E37" s="12">
        <f>DATA_F01!$E$32</f>
        <v/>
      </c>
      <c r="F37" s="12">
        <f>DATA_F01!$F$32</f>
        <v/>
      </c>
      <c r="G37" s="12">
        <f>DATA_F01!$G$32</f>
        <v/>
      </c>
      <c r="H37" s="12">
        <f>DATA_F01!$H$32</f>
        <v/>
      </c>
    </row>
    <row r="38">
      <c r="A38" s="55" t="inlineStr">
        <is>
          <t>352</t>
        </is>
      </c>
      <c r="B38" s="55" t="inlineStr">
        <is>
          <t>Dự phòng phải trả</t>
        </is>
      </c>
      <c r="C38" s="12">
        <f>DATA_F01!$C$33</f>
        <v/>
      </c>
      <c r="D38" s="12">
        <f>DATA_F01!$D$33</f>
        <v/>
      </c>
      <c r="E38" s="12">
        <f>DATA_F01!$E$33</f>
        <v/>
      </c>
      <c r="F38" s="12">
        <f>DATA_F01!$F$33</f>
        <v/>
      </c>
      <c r="G38" s="12">
        <f>DATA_F01!$G$33</f>
        <v/>
      </c>
      <c r="H38" s="12">
        <f>DATA_F01!$H$33</f>
        <v/>
      </c>
    </row>
    <row r="39">
      <c r="A39" s="55" t="inlineStr">
        <is>
          <t>353</t>
        </is>
      </c>
      <c r="B39" s="55" t="inlineStr">
        <is>
          <t>Quỹ khen thưởng, phúc lợi</t>
        </is>
      </c>
      <c r="C39" s="12">
        <f>DATA_F01!$C$34</f>
        <v/>
      </c>
      <c r="D39" s="12">
        <f>DATA_F01!$D$34</f>
        <v/>
      </c>
      <c r="E39" s="12">
        <f>DATA_F01!$E$34</f>
        <v/>
      </c>
      <c r="F39" s="12">
        <f>DATA_F01!$F$34</f>
        <v/>
      </c>
      <c r="G39" s="12">
        <f>DATA_F01!$G$34</f>
        <v/>
      </c>
      <c r="H39" s="12">
        <f>DATA_F01!$H$34</f>
        <v/>
      </c>
    </row>
    <row r="40">
      <c r="A40" s="55" t="inlineStr">
        <is>
          <t>4111</t>
        </is>
      </c>
      <c r="B40" s="55" t="inlineStr">
        <is>
          <t>Vốn góp của chủ sở hữu</t>
        </is>
      </c>
      <c r="C40" s="12">
        <f>DATA_F01!$C$35</f>
        <v/>
      </c>
      <c r="D40" s="12">
        <f>DATA_F01!$D$35</f>
        <v/>
      </c>
      <c r="E40" s="12">
        <f>DATA_F01!$E$35</f>
        <v/>
      </c>
      <c r="F40" s="12">
        <f>DATA_F01!$F$35</f>
        <v/>
      </c>
      <c r="G40" s="12">
        <f>DATA_F01!$G$35</f>
        <v/>
      </c>
      <c r="H40" s="12">
        <f>DATA_F01!$H$35</f>
        <v/>
      </c>
    </row>
    <row r="41">
      <c r="A41" s="55" t="inlineStr">
        <is>
          <t>418</t>
        </is>
      </c>
      <c r="B41" s="55" t="inlineStr">
        <is>
          <t>Các quỹ thuộc vốn chủ sở hữu</t>
        </is>
      </c>
      <c r="C41" s="12">
        <f>DATA_F01!$C$36</f>
        <v/>
      </c>
      <c r="D41" s="12">
        <f>DATA_F01!$D$36</f>
        <v/>
      </c>
      <c r="E41" s="12">
        <f>DATA_F01!$E$36</f>
        <v/>
      </c>
      <c r="F41" s="12">
        <f>DATA_F01!$F$36</f>
        <v/>
      </c>
      <c r="G41" s="12">
        <f>DATA_F01!$G$36</f>
        <v/>
      </c>
      <c r="H41" s="12">
        <f>DATA_F01!$H$36</f>
        <v/>
      </c>
    </row>
    <row r="42">
      <c r="A42" s="55" t="inlineStr">
        <is>
          <t>4211</t>
        </is>
      </c>
      <c r="B42" s="55" t="inlineStr">
        <is>
          <t>LNST chưa phân phối năm trước</t>
        </is>
      </c>
      <c r="C42" s="12">
        <f>DATA_F01!$C$37</f>
        <v/>
      </c>
      <c r="D42" s="12">
        <f>DATA_F01!$D$37</f>
        <v/>
      </c>
      <c r="E42" s="12">
        <f>DATA_F01!$E$37</f>
        <v/>
      </c>
      <c r="F42" s="12">
        <f>DATA_F01!$F$37</f>
        <v/>
      </c>
      <c r="G42" s="12">
        <f>DATA_F01!$G$37</f>
        <v/>
      </c>
      <c r="H42" s="12">
        <f>DATA_F01!$H$37</f>
        <v/>
      </c>
    </row>
    <row r="43">
      <c r="A43" s="55" t="inlineStr">
        <is>
          <t>4212</t>
        </is>
      </c>
      <c r="B43" s="55" t="inlineStr">
        <is>
          <t>LNST chưa phân phối năm nay</t>
        </is>
      </c>
      <c r="C43" s="12">
        <f>DATA_F01!$C$38</f>
        <v/>
      </c>
      <c r="D43" s="12">
        <f>DATA_F01!$D$38</f>
        <v/>
      </c>
      <c r="E43" s="12">
        <f>DATA_F01!$E$38</f>
        <v/>
      </c>
      <c r="F43" s="12">
        <f>DATA_F01!$F$38</f>
        <v/>
      </c>
      <c r="G43" s="12">
        <f>DATA_F01!$G$38</f>
        <v/>
      </c>
      <c r="H43" s="12">
        <f>DATA_F01!$H$38</f>
        <v/>
      </c>
    </row>
    <row r="44">
      <c r="A44" s="55" t="inlineStr">
        <is>
          <t>511</t>
        </is>
      </c>
      <c r="B44" s="55" t="inlineStr">
        <is>
          <t>Doanh thu bán hàng và cung cấp dịch vụ</t>
        </is>
      </c>
      <c r="C44" s="12">
        <f>DATA_F01!$C$39</f>
        <v/>
      </c>
      <c r="D44" s="12">
        <f>DATA_F01!$D$39</f>
        <v/>
      </c>
      <c r="E44" s="12">
        <f>DATA_F01!$E$39</f>
        <v/>
      </c>
      <c r="F44" s="12">
        <f>DATA_F01!$F$39</f>
        <v/>
      </c>
      <c r="G44" s="12">
        <f>DATA_F01!$G$39</f>
        <v/>
      </c>
      <c r="H44" s="12">
        <f>DATA_F01!$H$39</f>
        <v/>
      </c>
    </row>
    <row r="45">
      <c r="A45" s="55" t="inlineStr">
        <is>
          <t>515</t>
        </is>
      </c>
      <c r="B45" s="55" t="inlineStr">
        <is>
          <t>Doanh thu hoạt động tài chính</t>
        </is>
      </c>
      <c r="C45" s="12">
        <f>DATA_F01!$C$40</f>
        <v/>
      </c>
      <c r="D45" s="12">
        <f>DATA_F01!$D$40</f>
        <v/>
      </c>
      <c r="E45" s="12">
        <f>DATA_F01!$E$40</f>
        <v/>
      </c>
      <c r="F45" s="12">
        <f>DATA_F01!$F$40</f>
        <v/>
      </c>
      <c r="G45" s="12">
        <f>DATA_F01!$G$40</f>
        <v/>
      </c>
      <c r="H45" s="12">
        <f>DATA_F01!$H$40</f>
        <v/>
      </c>
    </row>
    <row r="46">
      <c r="A46" s="55" t="inlineStr">
        <is>
          <t>632</t>
        </is>
      </c>
      <c r="B46" s="55" t="inlineStr">
        <is>
          <t>Giá vốn hàng bán</t>
        </is>
      </c>
      <c r="C46" s="12">
        <f>DATA_F01!$C$41</f>
        <v/>
      </c>
      <c r="D46" s="12">
        <f>DATA_F01!$D$41</f>
        <v/>
      </c>
      <c r="E46" s="12">
        <f>DATA_F01!$E$41</f>
        <v/>
      </c>
      <c r="F46" s="12">
        <f>DATA_F01!$F$41</f>
        <v/>
      </c>
      <c r="G46" s="12">
        <f>DATA_F01!$G$41</f>
        <v/>
      </c>
      <c r="H46" s="12">
        <f>DATA_F01!$H$41</f>
        <v/>
      </c>
    </row>
    <row r="47">
      <c r="A47" s="55" t="inlineStr">
        <is>
          <t>635</t>
        </is>
      </c>
      <c r="B47" s="55" t="inlineStr">
        <is>
          <t>Chi phí tài chính</t>
        </is>
      </c>
      <c r="C47" s="12">
        <f>DATA_F01!$C$42</f>
        <v/>
      </c>
      <c r="D47" s="12">
        <f>DATA_F01!$D$42</f>
        <v/>
      </c>
      <c r="E47" s="12">
        <f>DATA_F01!$E$42</f>
        <v/>
      </c>
      <c r="F47" s="12">
        <f>DATA_F01!$F$42</f>
        <v/>
      </c>
      <c r="G47" s="12">
        <f>DATA_F01!$G$42</f>
        <v/>
      </c>
      <c r="H47" s="12">
        <f>DATA_F01!$H$42</f>
        <v/>
      </c>
    </row>
    <row r="48">
      <c r="A48" s="55" t="inlineStr">
        <is>
          <t>6421</t>
        </is>
      </c>
      <c r="B48" s="55" t="inlineStr">
        <is>
          <t>Chi phí bán hàng</t>
        </is>
      </c>
      <c r="C48" s="12">
        <f>DATA_F01!$C$43</f>
        <v/>
      </c>
      <c r="D48" s="12">
        <f>DATA_F01!$D$43</f>
        <v/>
      </c>
      <c r="E48" s="12">
        <f>DATA_F01!$E$43</f>
        <v/>
      </c>
      <c r="F48" s="12">
        <f>DATA_F01!$F$43</f>
        <v/>
      </c>
      <c r="G48" s="12">
        <f>DATA_F01!$G$43</f>
        <v/>
      </c>
      <c r="H48" s="12">
        <f>DATA_F01!$H$43</f>
        <v/>
      </c>
    </row>
    <row r="49">
      <c r="A49" s="55" t="inlineStr">
        <is>
          <t>6422</t>
        </is>
      </c>
      <c r="B49" s="55" t="inlineStr">
        <is>
          <t>Chi phí quản lý doanh nghiệp</t>
        </is>
      </c>
      <c r="C49" s="12">
        <f>DATA_F01!$C$44</f>
        <v/>
      </c>
      <c r="D49" s="12">
        <f>DATA_F01!$D$44</f>
        <v/>
      </c>
      <c r="E49" s="12">
        <f>DATA_F01!$E$44</f>
        <v/>
      </c>
      <c r="F49" s="12">
        <f>DATA_F01!$F$44</f>
        <v/>
      </c>
      <c r="G49" s="12">
        <f>DATA_F01!$G$44</f>
        <v/>
      </c>
      <c r="H49" s="12">
        <f>DATA_F01!$H$44</f>
        <v/>
      </c>
    </row>
    <row r="50">
      <c r="A50" s="55" t="inlineStr">
        <is>
          <t>711</t>
        </is>
      </c>
      <c r="B50" s="55" t="inlineStr">
        <is>
          <t>Thu nhập khác</t>
        </is>
      </c>
      <c r="C50" s="12">
        <f>DATA_F01!$C$45</f>
        <v/>
      </c>
      <c r="D50" s="12">
        <f>DATA_F01!$D$45</f>
        <v/>
      </c>
      <c r="E50" s="12">
        <f>DATA_F01!$E$45</f>
        <v/>
      </c>
      <c r="F50" s="12">
        <f>DATA_F01!$F$45</f>
        <v/>
      </c>
      <c r="G50" s="12">
        <f>DATA_F01!$G$45</f>
        <v/>
      </c>
      <c r="H50" s="12">
        <f>DATA_F01!$H$45</f>
        <v/>
      </c>
    </row>
    <row r="51">
      <c r="A51" s="55" t="inlineStr">
        <is>
          <t>811</t>
        </is>
      </c>
      <c r="B51" s="55" t="inlineStr">
        <is>
          <t>Chi phí khác</t>
        </is>
      </c>
      <c r="C51" s="12">
        <f>DATA_F01!$C$46</f>
        <v/>
      </c>
      <c r="D51" s="12">
        <f>DATA_F01!$D$46</f>
        <v/>
      </c>
      <c r="E51" s="12">
        <f>DATA_F01!$E$46</f>
        <v/>
      </c>
      <c r="F51" s="12">
        <f>DATA_F01!$F$46</f>
        <v/>
      </c>
      <c r="G51" s="12">
        <f>DATA_F01!$G$46</f>
        <v/>
      </c>
      <c r="H51" s="12">
        <f>DATA_F01!$H$46</f>
        <v/>
      </c>
    </row>
    <row r="52">
      <c r="A52" s="55" t="inlineStr">
        <is>
          <t>821</t>
        </is>
      </c>
      <c r="B52" s="55" t="inlineStr">
        <is>
          <t>Chi phí thuế thu nhập doanh nghiệp</t>
        </is>
      </c>
      <c r="C52" s="12">
        <f>DATA_F01!$C$47</f>
        <v/>
      </c>
      <c r="D52" s="12">
        <f>DATA_F01!$D$47</f>
        <v/>
      </c>
      <c r="E52" s="12">
        <f>DATA_F01!$E$47</f>
        <v/>
      </c>
      <c r="F52" s="12">
        <f>DATA_F01!$F$47</f>
        <v/>
      </c>
      <c r="G52" s="12">
        <f>DATA_F01!$G$47</f>
        <v/>
      </c>
      <c r="H52" s="12">
        <f>DATA_F01!$H$47</f>
        <v/>
      </c>
    </row>
    <row r="53">
      <c r="A53" s="55" t="inlineStr">
        <is>
          <t>911</t>
        </is>
      </c>
      <c r="B53" s="55" t="inlineStr">
        <is>
          <t>Xác định kết quả kinh doanh</t>
        </is>
      </c>
      <c r="C53" s="12">
        <f>DATA_F01!$C$48</f>
        <v/>
      </c>
      <c r="D53" s="12">
        <f>DATA_F01!$D$48</f>
        <v/>
      </c>
      <c r="E53" s="12">
        <f>DATA_F01!$E$48</f>
        <v/>
      </c>
      <c r="F53" s="12">
        <f>DATA_F01!$F$48</f>
        <v/>
      </c>
      <c r="G53" s="12">
        <f>DATA_F01!$G$48</f>
        <v/>
      </c>
      <c r="H53" s="12">
        <f>DATA_F01!$H$48</f>
        <v/>
      </c>
    </row>
    <row r="54">
      <c r="A54" s="54" t="inlineStr"/>
      <c r="B54" s="54" t="inlineStr">
        <is>
          <t>Cộng</t>
        </is>
      </c>
      <c r="C54" s="12">
        <f>SUMPRODUCT((DATA_F01!$I$4:$I$108=1)*C$9:C$53)</f>
        <v/>
      </c>
      <c r="D54" s="12">
        <f>SUMPRODUCT((DATA_F01!$I$4:$I$108=1)*D$9:D$53)</f>
        <v/>
      </c>
      <c r="E54" s="12">
        <f>SUMPRODUCT((DATA_F01!$I$4:$I$108=1)*E$9:E$53)</f>
        <v/>
      </c>
      <c r="F54" s="12">
        <f>SUMPRODUCT((DATA_F01!$I$4:$I$108=1)*F$9:F$53)</f>
        <v/>
      </c>
      <c r="G54" s="12">
        <f>SUMPRODUCT((DATA_F01!$I$4:$I$108=1)*G$9:G$53)</f>
        <v/>
      </c>
      <c r="H54" s="12">
        <f>SUMPRODUCT((DATA_F01!$I$4:$I$108=1)*H$9:H$53)</f>
        <v/>
      </c>
    </row>
    <row r="55">
      <c r="A55" s="32" t="inlineStr"/>
      <c r="B55" s="32" t="inlineStr">
        <is>
          <t>Kiểm tra 3 đẳng thức bắt buộc</t>
        </is>
      </c>
      <c r="C55" s="32">
        <f>IF(ABS(C54-D54)&lt;=1,"✓","✗")</f>
        <v/>
      </c>
      <c r="E55" s="32">
        <f>IF(ABS(E54-F54)&lt;=1,"✓","✗")</f>
        <v/>
      </c>
      <c r="G55" s="32">
        <f>IF(ABS(G54-H54)&lt;=1,"✓","✗")</f>
        <v/>
      </c>
    </row>
    <row r="56"/>
    <row r="57" ht="28" customHeight="1">
      <c r="A57" s="47" t="inlineStr">
        <is>
          <t>Dòng "Cộng" chỉ tính các dòng chi tiết (lá) để tránh cộng trùng tài khoản cấp 1 với tài khoản cấp 2. Điều 71 TT133: Báo cáo tài chính gửi cho cơ quan thuế phải lập và gửi thêm Bảng cân đối tài khoản (Mẫu số F01-DNN).</t>
        </is>
      </c>
    </row>
    <row r="58"/>
    <row r="59">
      <c r="A59" t="inlineStr"/>
      <c r="B59" t="inlineStr"/>
      <c r="C59" t="inlineStr"/>
      <c r="D59" s="25" t="inlineStr">
        <is>
          <t>Ngày ..... tháng ..... năm .....</t>
        </is>
      </c>
    </row>
    <row r="60">
      <c r="A60" s="26" t="inlineStr">
        <is>
          <t>NGƯỜI LẬP BIỂU</t>
        </is>
      </c>
      <c r="B60" s="26" t="inlineStr"/>
      <c r="C60" s="26" t="inlineStr">
        <is>
          <t>KẾ TOÁN TRƯỞNG</t>
        </is>
      </c>
      <c r="D60" s="26" t="inlineStr">
        <is>
          <t>NGƯỜI ĐẠI DIỆN THEO PHÁP LUẬT</t>
        </is>
      </c>
    </row>
    <row r="61">
      <c r="A61" s="27" t="inlineStr">
        <is>
          <t>(Ký, họ tên)</t>
        </is>
      </c>
      <c r="B61" s="27" t="inlineStr"/>
      <c r="C61" s="27" t="inlineStr">
        <is>
          <t>(Ký, họ tên)</t>
        </is>
      </c>
      <c r="D61" s="27" t="inlineStr">
        <is>
          <t>(Ký, họ tên, đóng dấu)</t>
        </is>
      </c>
    </row>
    <row r="62"/>
    <row r="63"/>
    <row r="64">
      <c r="A64" s="28" t="inlineStr">
        <is>
          <t>Nguyễn Thị Hoa</t>
        </is>
      </c>
      <c r="B64" s="28" t="inlineStr"/>
      <c r="C64" s="28" t="inlineStr">
        <is>
          <t>Trần Văn Nam</t>
        </is>
      </c>
      <c r="D64" s="28" t="inlineStr">
        <is>
          <t>Lê Minh Anh</t>
        </is>
      </c>
    </row>
    <row r="65"/>
    <row r="66">
      <c r="A66" s="40" t="inlineStr">
        <is>
          <t>Lập bằng Công cụ lập &amp; kiểm tra BCTC theo Thông tư 133 — KK HOME ·  · TT133-MAP-2026.08 · Xuất lúc 10:59:49 14/8/2026</t>
        </is>
      </c>
    </row>
  </sheetData>
  <sheetProtection selectLockedCells="0" selectUnlockedCells="0" sheet="1" objects="0" insertRows="1" insertHyperlinks="1" autoFilter="0" scenarios="0" formatColumns="1" deleteColumns="1" insertColumns="1" pivotTables="1" deleteRows="1" formatCells="1" formatRows="1" sort="0"/>
  <autoFilter ref="A8:H53"/>
  <mergeCells count="12">
    <mergeCell ref="A1:H1"/>
    <mergeCell ref="A4:H4"/>
    <mergeCell ref="C7:D7"/>
    <mergeCell ref="G7:H7"/>
    <mergeCell ref="E7:F7"/>
    <mergeCell ref="A57:H57"/>
    <mergeCell ref="A2:H2"/>
    <mergeCell ref="A7:A8"/>
    <mergeCell ref="B7:B8"/>
    <mergeCell ref="A66:H66"/>
    <mergeCell ref="A5:H5"/>
    <mergeCell ref="A6:H6"/>
  </mergeCells>
  <printOptions horizontalCentered="1"/>
  <pageMargins left="0.5" right="0.4" top="0.6" bottom="0.6" header="0.3" footer="0.3"/>
  <pageSetup orientation="landscape" paperSize="9" fitToHeight="0"/>
  <headerFooter>
    <oddHeader>&amp;LCÔNG TY TNHH THƯƠNG MẠI MINH ANH&amp;RMST: 0101234567</oddHeader>
    <oddFooter>&amp;LMr Wick Kiểm toán · taichinhketoanedu.com&amp;C&amp;P/&amp;N&amp;RNăm 2025 · Đồng</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D41"/>
  <sheetViews>
    <sheetView workbookViewId="0">
      <pane ySplit="5" topLeftCell="A6" activePane="bottomLeft" state="frozen"/>
      <selection pane="bottomLeft" activeCell="A1" sqref="A1:D1"/>
    </sheetView>
  </sheetViews>
  <sheetFormatPr baseColWidth="10" defaultColWidth="8.83203125" defaultRowHeight="15"/>
  <cols>
    <col width="10" customWidth="1" min="1" max="1"/>
    <col width="18" customWidth="1" min="2" max="2"/>
    <col width="52" customWidth="1" min="3" max="3"/>
    <col width="84" customWidth="1" min="4" max="4"/>
  </cols>
  <sheetData>
    <row r="1" ht="22" customHeight="1">
      <c r="A1" s="38" t="inlineStr">
        <is>
          <t>KIỂM TRA &amp; CẢNH BÁO BÁO CÁO TÀI CHÍNH</t>
        </is>
      </c>
    </row>
    <row r="2">
      <c r="A2" s="39" t="inlineStr">
        <is>
          <t>Ba cấp: ???? Lỗi (chắc chắn sai) · ???? Cần kiểm tra (không khẳng định sai) · ???? Đã kiểm tra đạt</t>
        </is>
      </c>
    </row>
    <row r="3">
      <c r="A3" s="33" t="inlineStr">
        <is>
          <t>ĐIỂM HOÀN THIỆN BCTC</t>
        </is>
      </c>
      <c r="B3" s="33" t="inlineStr">
        <is>
          <t>14/23 kiểm tra đạt</t>
        </is>
      </c>
      <c r="C3" s="33" t="inlineStr">
        <is>
          <t>9 nội dung cần xem lại</t>
        </is>
      </c>
      <c r="D3" s="33" t="inlineStr">
        <is>
          <t>0 lỗi nghiêm trọng</t>
        </is>
      </c>
    </row>
    <row r="4"/>
    <row r="5" ht="30" customHeight="1">
      <c r="A5" s="53" t="inlineStr">
        <is>
          <t>Cấp</t>
        </is>
      </c>
      <c r="B5" s="53" t="inlineStr">
        <is>
          <t>Nhóm</t>
        </is>
      </c>
      <c r="C5" s="53" t="inlineStr">
        <is>
          <t>Nội dung kiểm tra</t>
        </is>
      </c>
      <c r="D5" s="53" t="inlineStr">
        <is>
          <t>Kết quả / Giải thích</t>
        </is>
      </c>
    </row>
    <row r="6" ht="48" customHeight="1">
      <c r="A6" s="16" t="inlineStr">
        <is>
          <t>???? KIỂM TRA</t>
        </is>
      </c>
      <c r="B6" s="13" t="inlineStr">
        <is>
          <t>Tài khoản lưỡng tính</t>
        </is>
      </c>
      <c r="C6" s="13" t="inlineStr">
        <is>
          <t>TK 141 chỉ có số dư tổng hợp một bên</t>
        </is>
      </c>
      <c r="D6" s="13" t="inlineStr">
        <is>
          <t>Không đủ dữ liệu chi tiết để tự động phân loại — vui lòng nhập số liệu chi tiết (theo từng người nhận tạm ứng) ở Bước 3 hoặc điều chỉnh mapping. Dư Nợ chi tiết → Mã 134 – Phải thu khác; Dư Có chi tiết → Mã 315 – Phải trả khác. Theo TT133, KHÔNG được bù trừ số dư Nợ/Có của tài khoản này.</t>
        </is>
      </c>
    </row>
    <row r="7" ht="48" customHeight="1">
      <c r="A7" s="16" t="inlineStr">
        <is>
          <t>???? KIỂM TRA</t>
        </is>
      </c>
      <c r="B7" s="13" t="inlineStr">
        <is>
          <t>Tài khoản lưỡng tính</t>
        </is>
      </c>
      <c r="C7" s="13" t="inlineStr">
        <is>
          <t>TK 334 chỉ có số dư tổng hợp một bên</t>
        </is>
      </c>
      <c r="D7" s="13" t="inlineStr">
        <is>
          <t>Không đủ dữ liệu chi tiết để tự động phân loại — vui lòng nhập số liệu chi tiết (theo từng người lao động) ở Bước 3 hoặc điều chỉnh mapping. Dư Nợ chi tiết → Mã 134 – Phải thu khác; Dư Có chi tiết → Mã 314 – Phải trả người lao động. Theo TT133, KHÔNG được bù trừ số dư Nợ/Có của tài khoản này.</t>
        </is>
      </c>
    </row>
    <row r="8" ht="48" customHeight="1">
      <c r="A8" s="16" t="inlineStr">
        <is>
          <t>???? KIỂM TRA</t>
        </is>
      </c>
      <c r="B8" s="13" t="inlineStr">
        <is>
          <t>Tài khoản lưỡng tính</t>
        </is>
      </c>
      <c r="C8" s="13" t="inlineStr">
        <is>
          <t>TK 1388 chỉ có số dư tổng hợp một bên</t>
        </is>
      </c>
      <c r="D8" s="13" t="inlineStr">
        <is>
          <t>Không đủ dữ liệu chi tiết để tự động phân loại — vui lòng nhập số liệu chi tiết (theo từng đối tượng) ở Bước 3 hoặc điều chỉnh mapping. Dư Nợ chi tiết → Mã 134 – Phải thu khác; Dư Có chi tiết → Mã 315 – Phải trả khác. Theo TT133, KHÔNG được bù trừ số dư Nợ/Có của tài khoản này.</t>
        </is>
      </c>
    </row>
    <row r="9" ht="32" customHeight="1">
      <c r="A9" s="16" t="inlineStr">
        <is>
          <t>???? KIỂM TRA</t>
        </is>
      </c>
      <c r="B9" s="13" t="inlineStr">
        <is>
          <t>Công nợ</t>
        </is>
      </c>
      <c r="C9" s="13" t="inlineStr">
        <is>
          <t>TK 131 có số dư Có 170.000.000</t>
        </is>
      </c>
      <c r="D9" s="13" t="inlineStr">
        <is>
          <t>Đây KHÔNG phải lỗi — là khoản người mua trả tiền trước, trình bày ở mã 312 bên Nguồn vốn. Cần xác nhận số liệu đã chi tiết theo từng khách hàng.</t>
        </is>
      </c>
    </row>
    <row r="10" ht="32" customHeight="1">
      <c r="A10" s="16" t="inlineStr">
        <is>
          <t>???? KIỂM TRA</t>
        </is>
      </c>
      <c r="B10" s="13" t="inlineStr">
        <is>
          <t>Công nợ</t>
        </is>
      </c>
      <c r="C10" s="13" t="inlineStr">
        <is>
          <t>TK 331 có số dư Nợ 100.000.000</t>
        </is>
      </c>
      <c r="D10" s="13" t="inlineStr">
        <is>
          <t>Đây KHÔNG phải lỗi — là khoản trả trước cho người bán, trình bày ở mã 132 bên Tài sản. Cần xác nhận số liệu đã chi tiết theo từng nhà cung cấp.</t>
        </is>
      </c>
    </row>
    <row r="11" ht="32" customHeight="1">
      <c r="A11" s="16" t="inlineStr">
        <is>
          <t>???? KIỂM TRA</t>
        </is>
      </c>
      <c r="B11" s="13" t="inlineStr">
        <is>
          <t>Thuế</t>
        </is>
      </c>
      <c r="C11" s="13" t="inlineStr">
        <is>
          <t>TK 333 có số dư Nợ 8.000.000 (thuế nộp thừa)</t>
        </is>
      </c>
      <c r="D11" s="13" t="inlineStr">
        <is>
          <t>Khoản thuế nộp thừa được trình bày ở mã 182 "Tài sản khác", KHÔNG bù trừ với mã 313. Cần đối chiếu với thông báo/biên lai nộp thuế và số liệu trên eTax.</t>
        </is>
      </c>
    </row>
    <row r="12" ht="48" customHeight="1">
      <c r="A12" s="16" t="inlineStr">
        <is>
          <t>???? KIỂM TRA</t>
        </is>
      </c>
      <c r="B12" s="13" t="inlineStr">
        <is>
          <t>Dữ liệu</t>
        </is>
      </c>
      <c r="C12" s="13" t="inlineStr">
        <is>
          <t>10 tài khoản có số dư cuối kỳ do CÔNG CỤ TỰ TÍNH, không phải số bạn nhập</t>
        </is>
      </c>
      <c r="D12" s="13" t="inlineStr">
        <is>
          <t>Các tài khoản sau không có số dư cuối kỳ trong dữ liệu nguồn nên công cụ đã tự tính theo công thức Dư cuối = Dư đầu + PS Nợ − PS Có: 511, 515, 632, 635, 6421, 6422, 711, 811, 821, 911. Phép tính này chỉ đúng khi số dư đầu kỳ và số phát sinh đã đầy đủ. Vui lòng đối chiếu với Sổ Cái trước khi chốt số.</t>
        </is>
      </c>
    </row>
    <row r="13" ht="112" customHeight="1">
      <c r="A13" s="16" t="inlineStr">
        <is>
          <t>???? KIỂM TRA</t>
        </is>
      </c>
      <c r="B13" s="13" t="inlineStr">
        <is>
          <t>B02</t>
        </is>
      </c>
      <c r="C13" s="13" t="inlineStr">
        <is>
          <t>Mã 02 — Các khoản giảm trừ doanh thu được SUY RA, cần xác nhận</t>
        </is>
      </c>
      <c r="D13" s="13" t="inlineStr">
        <is>
          <t>TT133 không có TK 521 nên chiết khấu thương mại, giảm giá hàng bán và hàng bán bị trả lại ghi thẳng Nợ TK 511. Công cụ suy ra 50.000.000 = PS Nợ TK 511 (4.845.000.000) − doanh thu thuần kết chuyển (4.795.000.000). Phép suy này chỉ đúng khi sổ đã kết chuyển đầy đủ qua TK 911. LƯU Ý: nếu doanh nghiệp ghi nhận doanh thu gộp rồi định kỳ ghi giảm thuế gián thu (Nợ TK 511 / Có TK 3331, 3332, 3333, 33381), phần thuế đó cũng nằm trong số suy ra ở trên nhưng KHÔNG phải là khoản giảm trừ doanh thu — khi đó mã 01 đang bị tính gộp cả thuế gián thu, trái với hướng dẫn của TT133. Hãy đối chiếu sổ chi tiết TK 511 và nhập lại mã 02 ở Bước 3 nếu khác.</t>
        </is>
      </c>
    </row>
    <row r="14" ht="64" customHeight="1">
      <c r="A14" s="16" t="inlineStr">
        <is>
          <t>???? KIỂM TRA</t>
        </is>
      </c>
      <c r="B14" s="13" t="inlineStr">
        <is>
          <t>Đối chiếu</t>
        </is>
      </c>
      <c r="C14" s="13" t="inlineStr">
        <is>
          <t>Biến động TK 421 chưa giải thích hết -100.000.000</t>
        </is>
      </c>
      <c r="D14" s="13" t="inlineStr">
        <is>
          <t>ĐÂY KHÔNG PHẢI LỖI MẶC ĐỊNH. Chênh lệch giữa LNST trên B02 và biến động TK 421 có thể do: phân phối lợi nhuận, trích lập các quỹ, chia cổ tức/lợi nhuận, điều chỉnh hồi tố sai sót năm trước, thay đổi chính sách kế toán, kết chuyển 4212 → 4211 đầu năm. Hãy nhập các khoản này vào bảng đối chiếu lợi nhuận để giải thích phần chênh lệch.</t>
        </is>
      </c>
    </row>
    <row r="15" ht="16" customHeight="1">
      <c r="A15" s="34" t="inlineStr">
        <is>
          <t>???? ĐẠT</t>
        </is>
      </c>
      <c r="B15" s="13" t="inlineStr">
        <is>
          <t>Cân đối tài khoản</t>
        </is>
      </c>
      <c r="C15" s="13" t="inlineStr">
        <is>
          <t>Tổng dư Nợ đầu kỳ = Tổng dư Có đầu kỳ</t>
        </is>
      </c>
      <c r="D15" s="13" t="inlineStr">
        <is>
          <t>Dư Nợ đầu kỳ 5.736.000.000 — Dư Có đầu kỳ 5.736.000.000 — Chênh lệch 0</t>
        </is>
      </c>
    </row>
    <row r="16" ht="16" customHeight="1">
      <c r="A16" s="34" t="inlineStr">
        <is>
          <t>???? ĐẠT</t>
        </is>
      </c>
      <c r="B16" s="13" t="inlineStr">
        <is>
          <t>Cân đối tài khoản</t>
        </is>
      </c>
      <c r="C16" s="13" t="inlineStr">
        <is>
          <t>Tổng phát sinh Nợ = Tổng phát sinh Có</t>
        </is>
      </c>
      <c r="D16" s="13" t="inlineStr">
        <is>
          <t>PS Nợ 35.309.500.000 — PS Có 35.309.500.000 — Chênh lệch 0</t>
        </is>
      </c>
    </row>
    <row r="17" ht="16" customHeight="1">
      <c r="A17" s="34" t="inlineStr">
        <is>
          <t>???? ĐẠT</t>
        </is>
      </c>
      <c r="B17" s="13" t="inlineStr">
        <is>
          <t>Cân đối tài khoản</t>
        </is>
      </c>
      <c r="C17" s="13" t="inlineStr">
        <is>
          <t>Tổng dư Nợ cuối kỳ = Tổng dư Có cuối kỳ</t>
        </is>
      </c>
      <c r="D17" s="13" t="inlineStr">
        <is>
          <t>Dư Nợ cuối kỳ 6.815.500.000 — Dư Có cuối kỳ 6.815.500.000 — Chênh lệch 0</t>
        </is>
      </c>
    </row>
    <row r="18" ht="16" customHeight="1">
      <c r="A18" s="34" t="inlineStr">
        <is>
          <t>???? ĐẠT</t>
        </is>
      </c>
      <c r="B18" s="13" t="inlineStr">
        <is>
          <t>Cân đối tài khoản</t>
        </is>
      </c>
      <c r="C18" s="13" t="inlineStr">
        <is>
          <t>Số dư cuối kỳ = Số dư đầu kỳ + PS Nợ − PS Có (từng tài khoản)</t>
        </is>
      </c>
      <c r="D18" s="13" t="inlineStr">
        <is>
          <t>Tất cả 45 tài khoản đều khớp.</t>
        </is>
      </c>
    </row>
    <row r="19" ht="16" customHeight="1">
      <c r="A19" s="34" t="inlineStr">
        <is>
          <t>???? ĐẠT</t>
        </is>
      </c>
      <c r="B19" s="13" t="inlineStr">
        <is>
          <t>Dữ liệu</t>
        </is>
      </c>
      <c r="C19" s="13" t="inlineStr">
        <is>
          <t>Mã tài khoản không trùng lặp</t>
        </is>
      </c>
      <c r="D19" s="13" t="inlineStr">
        <is>
          <t>45 dòng dữ liệu.</t>
        </is>
      </c>
    </row>
    <row r="20" ht="16" customHeight="1">
      <c r="A20" s="34" t="inlineStr">
        <is>
          <t>???? ĐẠT</t>
        </is>
      </c>
      <c r="B20" s="13" t="inlineStr">
        <is>
          <t>Cân đối BCTC</t>
        </is>
      </c>
      <c r="C20" s="13" t="inlineStr">
        <is>
          <t>Tổng Tài sản = Tổng Nguồn vốn (Mã 200 = Mã 500)</t>
        </is>
      </c>
      <c r="D20" s="13" t="inlineStr">
        <is>
          <t>Tài sản 6.098.500.000 — Nguồn vốn 6.098.500.000 — Chênh lệch 0</t>
        </is>
      </c>
    </row>
    <row r="21" ht="16" customHeight="1">
      <c r="A21" s="34" t="inlineStr">
        <is>
          <t>???? ĐẠT</t>
        </is>
      </c>
      <c r="B21" s="13" t="inlineStr">
        <is>
          <t>Cân đối BCTC</t>
        </is>
      </c>
      <c r="C21" s="13" t="inlineStr">
        <is>
          <t>Chỉ tiêu tổng hợp bằng tổng các chỉ tiêu thành phần</t>
        </is>
      </c>
      <c r="D21" s="13" t="inlineStr">
        <is>
          <t>Tất cả chỉ tiêu tổng hợp đều khớp.</t>
        </is>
      </c>
    </row>
    <row r="22" ht="32" customHeight="1">
      <c r="A22" s="34" t="inlineStr">
        <is>
          <t>???? ĐẠT</t>
        </is>
      </c>
      <c r="B22" s="13" t="inlineStr">
        <is>
          <t>Cân đối BCTC</t>
        </is>
      </c>
      <c r="C22" s="13" t="inlineStr">
        <is>
          <t>B02-DNN: các công thức 10, 20, 30, 40, 50, 60 khớp</t>
        </is>
      </c>
      <c r="D22" s="13" t="inlineStr">
        <is>
          <t>Doanh thu thuần, lợi nhuận gộp, lợi nhuận thuần, lợi nhuận khác, LN trước thuế, LN sau thuế đều khớp công thức.</t>
        </is>
      </c>
    </row>
    <row r="23" ht="16" customHeight="1">
      <c r="A23" s="34" t="inlineStr">
        <is>
          <t>???? ĐẠT</t>
        </is>
      </c>
      <c r="B23" s="13" t="inlineStr">
        <is>
          <t>Đối chiếu</t>
        </is>
      </c>
      <c r="C23" s="13" t="inlineStr">
        <is>
          <t>Tổng chi phí trên B02 khớp số kết chuyển sang TK 911</t>
        </is>
      </c>
      <c r="D23" s="13" t="inlineStr">
        <is>
          <t>4.611.000.000</t>
        </is>
      </c>
    </row>
    <row r="24" ht="16" customHeight="1">
      <c r="A24" s="34" t="inlineStr">
        <is>
          <t>???? ĐẠT</t>
        </is>
      </c>
      <c r="B24" s="13" t="inlineStr">
        <is>
          <t>Đối chiếu</t>
        </is>
      </c>
      <c r="C24" s="13" t="inlineStr">
        <is>
          <t>Lợi nhuận sau thuế (mã 60) khớp số kết chuyển sang TK 4212</t>
        </is>
      </c>
      <c r="D24" s="13" t="inlineStr">
        <is>
          <t>Mã 60 = 267.000.000 = phát sinh thuần TK 4212 trong kỳ.</t>
        </is>
      </c>
    </row>
    <row r="25" ht="16" customHeight="1">
      <c r="A25" s="34" t="inlineStr">
        <is>
          <t>???? ĐẠT</t>
        </is>
      </c>
      <c r="B25" s="13" t="inlineStr">
        <is>
          <t>Mapping</t>
        </is>
      </c>
      <c r="C25" s="13" t="inlineStr">
        <is>
          <t>Mọi tài khoản có số dư đều đã được mapping</t>
        </is>
      </c>
      <c r="D25" s="13" t="inlineStr">
        <is>
          <t>Không có tài khoản nào bị bỏ sót khỏi BCTC.</t>
        </is>
      </c>
    </row>
    <row r="26" ht="16" customHeight="1">
      <c r="A26" s="34" t="inlineStr">
        <is>
          <t>???? ĐẠT</t>
        </is>
      </c>
      <c r="B26" s="13" t="inlineStr">
        <is>
          <t>Trình bày</t>
        </is>
      </c>
      <c r="C26" s="13" t="inlineStr">
        <is>
          <t>Không có chỉ tiêu âm bất thường</t>
        </is>
      </c>
      <c r="D26" s="13" t="inlineStr">
        <is>
          <t>Chỉ các chỉ tiêu (*) và chỉ tiêu được phép âm mới mang dấu âm.</t>
        </is>
      </c>
    </row>
    <row r="27" ht="16" customHeight="1">
      <c r="A27" s="34" t="inlineStr">
        <is>
          <t>???? ĐẠT</t>
        </is>
      </c>
      <c r="B27" s="13" t="inlineStr">
        <is>
          <t>Đối chiếu</t>
        </is>
      </c>
      <c r="C27" s="13" t="inlineStr">
        <is>
          <t>Chỉ tiêu Tiền và tương đương tiền khớp sổ quỹ/sổ ngân hàng</t>
        </is>
      </c>
      <c r="D27" s="13" t="inlineStr">
        <is>
          <t>Mã 110 = 722.500.000 (TK 111+112 = 722.500.000, tương đương tiền từ TK 128 = 0).</t>
        </is>
      </c>
    </row>
    <row r="28" ht="16" customHeight="1">
      <c r="A28" s="34" t="inlineStr">
        <is>
          <t>???? ĐẠT</t>
        </is>
      </c>
      <c r="B28" s="13" t="inlineStr">
        <is>
          <t>Cân đối BCTC</t>
        </is>
      </c>
      <c r="C28" s="13" t="inlineStr">
        <is>
          <t>Cột Số đầu năm cũng cân đối (Tài sản = Nguồn vốn)</t>
        </is>
      </c>
      <c r="D28" s="13" t="inlineStr">
        <is>
          <t>Tài sản 5.206.000.000 — Nguồn vốn 5.206.000.000</t>
        </is>
      </c>
    </row>
    <row r="29"/>
    <row r="30">
      <c r="A30" s="41" t="inlineStr">
        <is>
          <t>BẢNG ĐỐI CHIẾU LỢI NHUẬN CHƯA PHÂN PHỐI</t>
        </is>
      </c>
    </row>
    <row r="31">
      <c r="A31" s="55" t="inlineStr"/>
      <c r="B31" s="55" t="inlineStr"/>
      <c r="C31" s="55" t="inlineStr">
        <is>
          <t>Lợi nhuận chưa phân phối đầu kỳ (dư TK 421 đầu kỳ)</t>
        </is>
      </c>
      <c r="D31" s="31" t="n">
        <v>438000000</v>
      </c>
    </row>
    <row r="32">
      <c r="A32" s="55" t="inlineStr"/>
      <c r="B32" s="55" t="inlineStr"/>
      <c r="C32" s="55" t="inlineStr">
        <is>
          <t>Cộng: Lợi nhuận sau thuế năm nay (mã 60 — B02-DNN)</t>
        </is>
      </c>
      <c r="D32" s="31" t="n">
        <v>267000000</v>
      </c>
    </row>
    <row r="33">
      <c r="A33" s="55" t="inlineStr"/>
      <c r="B33" s="55" t="inlineStr"/>
      <c r="C33" s="55" t="inlineStr">
        <is>
          <t>Cộng/trừ: Điều chỉnh hồi tố sai sót, thay đổi chính sách kế toán</t>
        </is>
      </c>
      <c r="D33" s="31" t="n">
        <v>0</v>
      </c>
    </row>
    <row r="34">
      <c r="A34" s="55" t="inlineStr"/>
      <c r="B34" s="55" t="inlineStr"/>
      <c r="C34" s="55" t="inlineStr">
        <is>
          <t>Trừ: Phân phối lợi nhuận, trích lập các quỹ (TK 353, 418)</t>
        </is>
      </c>
      <c r="D34" s="31" t="n">
        <v>0</v>
      </c>
    </row>
    <row r="35">
      <c r="A35" s="55" t="inlineStr"/>
      <c r="B35" s="55" t="inlineStr"/>
      <c r="C35" s="55" t="inlineStr">
        <is>
          <t>Trừ: Cổ tức, lợi nhuận đã chia cho chủ sở hữu</t>
        </is>
      </c>
      <c r="D35" s="31" t="n">
        <v>0</v>
      </c>
    </row>
    <row r="36">
      <c r="A36" s="55" t="inlineStr"/>
      <c r="B36" s="55" t="inlineStr"/>
      <c r="C36" s="54" t="inlineStr">
        <is>
          <t>Cộng/trừ: Các nghiệp vụ khác</t>
        </is>
      </c>
      <c r="D36" s="31" t="n">
        <v>0</v>
      </c>
    </row>
    <row r="37">
      <c r="A37" s="55" t="inlineStr"/>
      <c r="B37" s="55" t="inlineStr"/>
      <c r="C37" s="54" t="inlineStr">
        <is>
          <t>= Lợi nhuận chưa phân phối cuối kỳ (theo tính toán)</t>
        </is>
      </c>
      <c r="D37" s="31" t="n">
        <v>705000000</v>
      </c>
    </row>
    <row r="38">
      <c r="A38" s="55" t="inlineStr"/>
      <c r="B38" s="55" t="inlineStr"/>
      <c r="C38" s="54" t="inlineStr">
        <is>
          <t>Số dư TK 421 cuối kỳ thực tế trên sổ</t>
        </is>
      </c>
      <c r="D38" s="31" t="n">
        <v>605000000</v>
      </c>
    </row>
    <row r="39">
      <c r="A39" s="55" t="inlineStr"/>
      <c r="B39" s="55" t="inlineStr"/>
      <c r="C39" s="54" t="inlineStr">
        <is>
          <t>Chênh lệch chưa giải thích</t>
        </is>
      </c>
      <c r="D39" s="31" t="n">
        <v>-100000000</v>
      </c>
    </row>
    <row r="40"/>
    <row r="41" ht="48" customHeight="1">
      <c r="A41" t="inlineStr"/>
      <c r="B41" t="inlineStr"/>
      <c r="C41" t="inlineStr">
        <is>
          <t>Lưu ý</t>
        </is>
      </c>
      <c r="D41" s="35" t="inlineStr">
        <is>
          <t>Công cụ KHÔNG mặc định "Lợi nhuận sau thuế trên B02 = biến động TK 421". Chênh lệch có thể do phân phối lợi nhuận, trích lập quỹ, chia cổ tức, điều chỉnh hồi tố sai sót năm trước, thay đổi chính sách kế toán hoặc kết chuyển TK 4212 sang TK 4211.</t>
        </is>
      </c>
    </row>
  </sheetData>
  <sheetProtection selectLockedCells="0" selectUnlockedCells="0" sheet="1" objects="0" insertRows="1" insertHyperlinks="1" autoFilter="0" scenarios="0" formatColumns="1" deleteColumns="1" insertColumns="1" pivotTables="1" deleteRows="1" formatCells="1" formatRows="1" sort="0"/>
  <autoFilter ref="A5:D28"/>
  <mergeCells count="3">
    <mergeCell ref="A1:D1"/>
    <mergeCell ref="A2:D2"/>
    <mergeCell ref="A30:D30"/>
  </mergeCells>
  <printOptions horizontalCentered="1"/>
  <pageMargins left="0.5" right="0.4" top="0.6" bottom="0.6" header="0.3" footer="0.3"/>
  <pageSetup orientation="portrait" paperSize="9" fitToHeight="0"/>
  <headerFooter>
    <oddHeader>&amp;LCÔNG TY TNHH THƯƠNG MẠI MINH ANH&amp;RMST: 0101234567</oddHeader>
    <oddFooter>&amp;LMr Wick Kiểm toán · taichinhketoanedu.com&amp;C&amp;P/&amp;N&amp;RNăm 2025 · Đồng</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E40"/>
  <sheetViews>
    <sheetView tabSelected="1" workbookViewId="0">
      <pane ySplit="3" topLeftCell="A4" activePane="bottomLeft" state="frozen"/>
      <selection pane="bottomLeft" activeCell="A1" sqref="A1:E1"/>
    </sheetView>
  </sheetViews>
  <sheetFormatPr baseColWidth="10" defaultColWidth="8.83203125" defaultRowHeight="15"/>
  <cols>
    <col width="22" customWidth="1" min="1" max="1"/>
    <col width="44" customWidth="1" min="2" max="2"/>
    <col width="18" customWidth="1" min="3" max="3"/>
    <col width="56" customWidth="1" min="4" max="4"/>
    <col width="74" customWidth="1" min="5" max="5"/>
  </cols>
  <sheetData>
    <row r="1" ht="22" customHeight="1">
      <c r="A1" s="38" t="inlineStr">
        <is>
          <t>RÀ SOÁT THUẾ TRƯỚC KHI CHỐT BÁO CÁO TÀI CHÍNH</t>
        </is>
      </c>
    </row>
    <row r="2">
      <c r="A2" s="39" t="inlineStr">
        <is>
          <t>Đây là module CẢNH BÁO, không tự động điều chỉnh BCTC. Chênh lệch giữa số liệu kế toán và số liệu thuế KHÔNG được coi là lỗi mặc định.</t>
        </is>
      </c>
    </row>
    <row r="3" ht="30" customHeight="1">
      <c r="A3" s="53" t="inlineStr">
        <is>
          <t>Nhóm</t>
        </is>
      </c>
      <c r="B3" s="53" t="inlineStr">
        <is>
          <t>Nội dung rà soát</t>
        </is>
      </c>
      <c r="C3" s="53" t="inlineStr">
        <is>
          <t>Trạng thái</t>
        </is>
      </c>
      <c r="D3" s="53" t="inlineStr">
        <is>
          <t>Số liệu trên sổ</t>
        </is>
      </c>
      <c r="E3" s="53" t="inlineStr">
        <is>
          <t>Hướng dẫn đối chiếu — nguyên nhân chênh lệch có thể</t>
        </is>
      </c>
    </row>
    <row r="4" ht="48" customHeight="1">
      <c r="A4" s="13" t="inlineStr">
        <is>
          <t>Thuế GTGT</t>
        </is>
      </c>
      <c r="B4" s="13" t="inlineStr">
        <is>
          <t>Số dư TK 133 cuối kỳ</t>
        </is>
      </c>
      <c r="C4" s="16" t="inlineStr">
        <is>
          <t>CẦN ĐỐI CHIẾU</t>
        </is>
      </c>
      <c r="D4" s="13" t="inlineStr">
        <is>
          <t>Thuế GTGT còn được khấu trừ chuyển kỳ sau: 20.000.000.</t>
        </is>
      </c>
      <c r="E4" s="13" t="inlineStr">
        <is>
          <t>Đối chiếu với chỉ tiêu [43] "Thuế GTGT còn được khấu trừ chuyển kỳ sau" trên tờ khai 01/GTGT tháng/quý cuối cùng của năm. Chênh lệch có thể do: hóa đơn kê khai khác kỳ hạch toán, hóa đơn bỏ sót, điều chỉnh sau thanh tra, hàng hoàn/giảm giá. KHÔNG mặc định là sai.</t>
        </is>
      </c>
    </row>
    <row r="5" ht="32" customHeight="1">
      <c r="A5" s="13" t="inlineStr">
        <is>
          <t>Thuế GTGT</t>
        </is>
      </c>
      <c r="B5" s="13" t="inlineStr">
        <is>
          <t>Số dư TK 3331 cuối kỳ</t>
        </is>
      </c>
      <c r="C5" s="16" t="inlineStr">
        <is>
          <t>CẦN ĐỐI CHIẾU</t>
        </is>
      </c>
      <c r="D5" s="13" t="inlineStr">
        <is>
          <t>Thuế GTGT còn phải nộp: 78.500.000.</t>
        </is>
      </c>
      <c r="E5" s="13" t="inlineStr">
        <is>
          <t>Đối chiếu với chỉ tiêu [40] trên tờ khai và số dư trên eTax/thuedientu. Nếu đã nộp sau ngày 31/12 thì số dư này là bình thường.</t>
        </is>
      </c>
    </row>
    <row r="6" ht="64" customHeight="1">
      <c r="A6" s="13" t="inlineStr">
        <is>
          <t>Thuế GTGT</t>
        </is>
      </c>
      <c r="B6" s="13" t="inlineStr">
        <is>
          <t>Đối chiếu doanh thu sổ sách với doanh thu tờ khai</t>
        </is>
      </c>
      <c r="C6" s="16" t="inlineStr">
        <is>
          <t>CẦN ĐỐI CHIẾU</t>
        </is>
      </c>
      <c r="D6" s="13" t="inlineStr">
        <is>
          <t>Doanh thu bán hàng (mã 01 B02) = 4.845.000.000; PS Có TK 3331 = 483.500.000; PS Nợ TK 133 = 395.000.000.</t>
        </is>
      </c>
      <c r="E6" s="13" t="inlineStr">
        <is>
          <t>KHÔNG mặc định doanh thu kế toán = doanh thu tính thuế GTGT. Nguyên nhân chênh lệch hợp lệ: doanh thu chưa thực hiện (TK 3387), hàng bán trả lại/giảm giá khác kỳ, doanh thu không chịu thuế/0%, hàng biếu tặng phải xuất hóa đơn, thời điểm lập hóa đơn theo NĐ 70/2025 khác thời điểm ghi nhận doanh thu.</t>
        </is>
      </c>
    </row>
    <row r="7" ht="48" customHeight="1">
      <c r="A7" s="13" t="inlineStr">
        <is>
          <t>Thuế TNDN</t>
        </is>
      </c>
      <c r="B7" s="13" t="inlineStr">
        <is>
          <t>Chi phí thuế TNDN so với lợi nhuận kế toán trước thuế</t>
        </is>
      </c>
      <c r="C7" s="13" t="inlineStr">
        <is>
          <t>Không có số dư</t>
        </is>
      </c>
      <c r="D7" s="13" t="inlineStr">
        <is>
          <t>LN kế toán trước thuế (mã 50) = 334.000.000; Chi phí thuế TNDN (mã 51) = 67.000.000; tỷ lệ hiệu dụng ≈ 20.1%.</t>
        </is>
      </c>
      <c r="E7" s="13" t="inlineStr">
        <is>
          <t>KHÔNG mặc định thuế TNDN = LN kế toán × thuế suất. Chênh lệch hợp lệ: chi phí không được trừ, thu nhập miễn thuế, chuyển lỗ các năm trước, ưu đãi thuế, trích lập Quỹ KH&amp;CN. Hãy dùng bảng "Lợi nhuận kế toán → Thu nhập tính thuế" bên dưới.</t>
        </is>
      </c>
    </row>
    <row r="8" ht="32" customHeight="1">
      <c r="A8" s="13" t="inlineStr">
        <is>
          <t>Thuế TNDN</t>
        </is>
      </c>
      <c r="B8" s="13" t="inlineStr">
        <is>
          <t>Số dư TK 3334</t>
        </is>
      </c>
      <c r="C8" s="16" t="inlineStr">
        <is>
          <t>CẦN ĐỐI CHIẾU</t>
        </is>
      </c>
      <c r="D8" s="13" t="inlineStr">
        <is>
          <t>Còn phải nộp 47.000.000; nộp thừa 0.</t>
        </is>
      </c>
      <c r="E8" s="13" t="inlineStr">
        <is>
          <t>Đối chiếu với tờ khai quyết toán 03/TNDN và chứng từ nộp thuế. Thuế nộp thừa (dư Nợ) trình bày ở mã 182, KHÔNG bù trừ với mã 313.</t>
        </is>
      </c>
    </row>
    <row r="9" ht="48" customHeight="1">
      <c r="A9" s="13" t="inlineStr">
        <is>
          <t>Thuế TNCN</t>
        </is>
      </c>
      <c r="B9" s="13" t="inlineStr">
        <is>
          <t>Số dư TK 3335</t>
        </is>
      </c>
      <c r="C9" s="16" t="inlineStr">
        <is>
          <t>CẦN ĐỐI CHIẾU</t>
        </is>
      </c>
      <c r="D9" s="13" t="inlineStr">
        <is>
          <t>Thuế TNCN còn phải nộp: 8.000.000.</t>
        </is>
      </c>
      <c r="E9" s="13" t="inlineStr">
        <is>
          <t>Đối chiếu với tờ khai 05/KK-TNCN các kỳ và quyết toán 05/QTT-TNCN. Lưu ý Luật Thuế TNCN số 109/2025/QH15 (hiệu lực 01/7/2026) áp dụng biểu thuế 5 bậc và mức giảm trừ gia cảnh mới từ kỳ tính thuế 2026 — cần xác định đúng kỳ áp dụng.</t>
        </is>
      </c>
    </row>
    <row r="10" ht="48" customHeight="1">
      <c r="A10" s="13" t="inlineStr">
        <is>
          <t>Lương &amp; BHXH</t>
        </is>
      </c>
      <c r="B10" s="13" t="inlineStr">
        <is>
          <t>Số dư TK 334</t>
        </is>
      </c>
      <c r="C10" s="16" t="inlineStr">
        <is>
          <t>CẦN ĐỐI CHIẾU</t>
        </is>
      </c>
      <c r="D10" s="13" t="inlineStr">
        <is>
          <t>Còn phải trả người lao động: 150.000.000.</t>
        </is>
      </c>
      <c r="E10" s="13" t="inlineStr">
        <is>
          <t>Đối chiếu bảng lương tháng 12, hợp đồng lao động, quy chế lương thưởng. Lương chưa chi đến hạn nộp hồ sơ quyết toán có rủi ro bị loại khỏi chi phí được trừ — cần chứng từ chi thực tế.</t>
        </is>
      </c>
    </row>
    <row r="11" ht="32" customHeight="1">
      <c r="A11" s="13" t="inlineStr">
        <is>
          <t>Lương &amp; BHXH</t>
        </is>
      </c>
      <c r="B11" s="13" t="inlineStr">
        <is>
          <t>Số dư BHXH/BHYT/BHTN (TK 3383, 3384, 3385)</t>
        </is>
      </c>
      <c r="C11" s="16" t="inlineStr">
        <is>
          <t>CẦN ĐỐI CHIẾU</t>
        </is>
      </c>
      <c r="D11" s="13" t="inlineStr">
        <is>
          <t>Còn phải nộp: 50.000.000.</t>
        </is>
      </c>
      <c r="E11" s="13" t="inlineStr">
        <is>
          <t>Đối chiếu với thông báo kết quả đóng BHXH (mẫu C12-TS). Nợ BHXH quá hạn có thể bị loại chi phí và bị tính lãi chậm đóng.</t>
        </is>
      </c>
    </row>
    <row r="12" ht="16" customHeight="1">
      <c r="A12" s="13" t="inlineStr">
        <is>
          <t>Lương &amp; BHXH</t>
        </is>
      </c>
      <c r="B12" s="13" t="inlineStr">
        <is>
          <t>Kinh phí công đoàn (TK 3382)</t>
        </is>
      </c>
      <c r="C12" s="13" t="inlineStr">
        <is>
          <t>Không có số dư</t>
        </is>
      </c>
      <c r="D12" s="13" t="inlineStr">
        <is>
          <t>Số dư: 0.</t>
        </is>
      </c>
      <c r="E12" s="13" t="inlineStr">
        <is>
          <t>Đối chiếu tỷ lệ trích 2% quỹ tiền lương làm căn cứ đóng BHXH.</t>
        </is>
      </c>
    </row>
    <row r="13" ht="32" customHeight="1">
      <c r="A13" s="13" t="inlineStr">
        <is>
          <t>Chi phí trả trước</t>
        </is>
      </c>
      <c r="B13" s="13" t="inlineStr">
        <is>
          <t>Số dư TK 242</t>
        </is>
      </c>
      <c r="C13" s="16" t="inlineStr">
        <is>
          <t>CẦN ĐỐI CHIẾU</t>
        </is>
      </c>
      <c r="D13" s="13" t="inlineStr">
        <is>
          <t>Chi phí trả trước còn lại: 160.000.000.</t>
        </is>
      </c>
      <c r="E13" s="13" t="inlineStr">
        <is>
          <t>Rà soát bảng phân bổ: thời gian phân bổ tối đa 3 năm với công cụ dụng cụ; chi phí thuê tài sản phân bổ theo thời gian thuê. Kiểm tra khoản đã hết thời gian sử dụng nhưng chưa phân bổ hết.</t>
        </is>
      </c>
    </row>
    <row r="14" ht="64" customHeight="1">
      <c r="A14" s="13" t="inlineStr">
        <is>
          <t>TSCĐ &amp; khấu hao</t>
        </is>
      </c>
      <c r="B14" s="13" t="inlineStr">
        <is>
          <t>Nguyên giá và hao mòn lũy kế</t>
        </is>
      </c>
      <c r="C14" s="16" t="inlineStr">
        <is>
          <t>CẦN ĐỐI CHIẾU</t>
        </is>
      </c>
      <c r="D14" s="13" t="inlineStr">
        <is>
          <t>Nguyên giá 2.750.000.000; hao mòn lũy kế 660.000.000; giá trị còn lại 2.090.000.000; khấu hao trích trong kỳ (PS Có TK 214) 160.000.000.</t>
        </is>
      </c>
      <c r="E14" s="13" t="inlineStr">
        <is>
          <t>Đối chiếu Bảng tính và phân bổ khấu hao. Kiểm tra: khung thời gian trích khấu hao theo quy định hiện hành; TSCĐ không phục vụ SXKD; xe ô tô chở người từ 9 chỗ trở xuống có nguyên giá vượt 1,6 tỷ đồng (phần vượt không được trừ); TSCĐ đã khấu hao hết nhưng còn sử dụng; TSCĐ chưa có đầy đủ hồ sơ chứng minh quyền sở hữu.</t>
        </is>
      </c>
    </row>
    <row r="15" ht="64" customHeight="1">
      <c r="A15" s="13" t="inlineStr">
        <is>
          <t>Dự phòng</t>
        </is>
      </c>
      <c r="B15" s="13" t="inlineStr">
        <is>
          <t>Tổng các khoản dự phòng</t>
        </is>
      </c>
      <c r="C15" s="16" t="inlineStr">
        <is>
          <t>CẦN ĐỐI CHIẾU</t>
        </is>
      </c>
      <c r="D15" s="13" t="inlineStr">
        <is>
          <t>Tổng dự phòng: 92.000.000 (TK 229 + TK 352).</t>
        </is>
      </c>
      <c r="E15" s="13" t="inlineStr">
        <is>
          <t>Rà soát hồ sơ trích lập theo quy định về trích lập dự phòng: dự phòng nợ phải thu khó đòi cần chứng từ chứng minh tuổi nợ và nỗ lực thu hồi; dự phòng giảm giá HTK cần biên bản kiểm kê và bảng xác định giá trị thuần có thể thực hiện được. Trích thiếu căn cứ có rủi ro bị loại khỏi chi phí được trừ.</t>
        </is>
      </c>
    </row>
    <row r="16" ht="112" customHeight="1">
      <c r="A16" s="13" t="inlineStr">
        <is>
          <t>Lãi vay</t>
        </is>
      </c>
      <c r="B16" s="13" t="inlineStr">
        <is>
          <t>Chi phí lãi vay và dư nợ vay</t>
        </is>
      </c>
      <c r="C16" s="16" t="inlineStr">
        <is>
          <t>CẦN ĐỐI CHIẾU</t>
        </is>
      </c>
      <c r="D16" s="13" t="inlineStr">
        <is>
          <t>Chi phí lãi vay (mã 23) = 0; dư nợ vay TK 341 = 1.200.000.000.</t>
        </is>
      </c>
      <c r="E16" s="13" t="inlineStr">
        <is>
          <t>Rà soát: lãi vay của đối tượng KHÔNG PHẢI tổ chức tín dụng hoặc tổ chức kinh tế bị khống chế không vượt 150% mức lãi suất cơ bản do Ngân hàng Nhà nước công bố; lãi vay tương ứng phần vốn điều lệ chưa góp đủ không được trừ; với doanh nghiệp có giao dịch liên kết, tổng chi phí lãi vay THUẦN (đã trừ lãi tiền gửi, lãi cho vay) được trừ không vượt 30% EBITDA; lãi vay đủ điều kiện vốn hóa phải ghi tăng nguyên giá TSCĐ/XDCB dở dang. Đề nghị đối chiếu lại căn cứ pháp lý đang có hiệu lực tại thời điểm quyết toán (Luật Thuế TNDN số 67/2025/QH15, Nghị định 320/2025/NĐ-CP và văn bản hướng dẫn).</t>
        </is>
      </c>
    </row>
    <row r="17" ht="128" customHeight="1">
      <c r="A17" s="13" t="inlineStr">
        <is>
          <t>Công nợ</t>
        </is>
      </c>
      <c r="B17" s="13" t="inlineStr">
        <is>
          <t>Phải thu khách hàng và phải trả người bán</t>
        </is>
      </c>
      <c r="C17" s="16" t="inlineStr">
        <is>
          <t>CẦN ĐỐI CHIẾU</t>
        </is>
      </c>
      <c r="D17" s="13" t="inlineStr">
        <is>
          <t>Dư Nợ TK 131 = 625.000.000; dư Có TK 331 = 1.050.000.000.</t>
        </is>
      </c>
      <c r="E17" s="13" t="inlineStr">
        <is>
          <t>Chuẩn bị biên bản đối chiếu công nợ tại 31/12 cho các đối tượng trọng yếu. Rà soát công nợ quá hạn &gt; 6 tháng để xem xét trích dự phòng; công nợ treo lâu năm không có hồ sơ. LƯU Ý CẬP NHẬT: từ 01/7/2025, Luật Thuế GTGT số 48/2024/QH15 (hướng dẫn tại Nghị định 181/2025/NĐ-CP) đã BỎ ngưỡng 20 triệu đồng — mọi hóa đơn hàng hóa, dịch vụ mua vào đều phải có chứng từ thanh toán không dùng tiền mặt mới được khấu trừ thuế GTGT đầu vào (trừ một số trường hợp đặc thù do Chính phủ quy định). Điều kiện tương ứng về chi phí được trừ khi tính thuế TNDN áp dụng theo Luật Thuế TNDN số 67/2025/QH15 và Nghị định 320/2025/NĐ-CP.</t>
        </is>
      </c>
    </row>
    <row r="18" ht="48" customHeight="1">
      <c r="A18" s="13" t="inlineStr">
        <is>
          <t>Doanh thu</t>
        </is>
      </c>
      <c r="B18" s="13" t="inlineStr">
        <is>
          <t>Cắt kỳ doanh thu (cut-off)</t>
        </is>
      </c>
      <c r="C18" s="16" t="inlineStr">
        <is>
          <t>CẦN ĐỐI CHIẾU</t>
        </is>
      </c>
      <c r="D18" s="13" t="inlineStr">
        <is>
          <t>Doanh thu thuần (mã 10) = 4.795.000.000; doanh thu chưa thực hiện TK 3387 = 95.000.000.</t>
        </is>
      </c>
      <c r="E18" s="13" t="inlineStr">
        <is>
          <t>Rà soát hóa đơn phát hành cuối tháng 12 và đầu tháng 1 để đảm bảo ghi nhận đúng kỳ. Kiểm tra thời điểm lập hóa đơn theo Nghị định 70/2025/NĐ-CP. Doanh thu nhận trước phải treo TK 3387, không ghi nhận toàn bộ vào doanh thu.</t>
        </is>
      </c>
    </row>
    <row r="19" ht="48" customHeight="1">
      <c r="A19" s="13" t="inlineStr">
        <is>
          <t>Hàng tồn kho</t>
        </is>
      </c>
      <c r="B19" s="13" t="inlineStr">
        <is>
          <t>Giá trị hàng tồn kho</t>
        </is>
      </c>
      <c r="C19" s="13" t="inlineStr">
        <is>
          <t>Không có số dư</t>
        </is>
      </c>
      <c r="D19" s="13" t="inlineStr">
        <is>
          <t>Tồn kho 1.478.000.000.</t>
        </is>
      </c>
      <c r="E19" s="13" t="inlineStr">
        <is>
          <t>Cần biên bản kiểm kê tại 31/12. Tồn kho âm là dấu hiệu rủi ro cao khi thanh tra thuế (bán hàng chưa có đầu vào). Rà soát hàng chậm luân chuyển, hư hỏng, hết hạn để xem xét trích dự phòng hoặc hủy có hội đồng.</t>
        </is>
      </c>
    </row>
    <row r="20" ht="32" customHeight="1">
      <c r="A20" s="13" t="inlineStr">
        <is>
          <t>Hàng tồn kho</t>
        </is>
      </c>
      <c r="B20" s="13" t="inlineStr">
        <is>
          <t>Vòng quay hàng tồn kho (tham khảo)</t>
        </is>
      </c>
      <c r="C20" s="13" t="inlineStr">
        <is>
          <t>THAM KHẢO</t>
        </is>
      </c>
      <c r="D20" s="13" t="inlineStr">
        <is>
          <t>Giá vốn / tồn kho cuối kỳ ≈ 2.17 vòng.</t>
        </is>
      </c>
      <c r="E20" s="13" t="inlineStr">
        <is>
          <t>Chỉ số tham khảo, không phải căn cứ pháp lý. Vòng quay bất thường thấp có thể là dấu hiệu tồn kho ảo hoặc chậm luân chuyển.</t>
        </is>
      </c>
    </row>
    <row r="21" ht="48" customHeight="1">
      <c r="A21" s="13" t="inlineStr">
        <is>
          <t>Bên liên quan</t>
        </is>
      </c>
      <c r="B21" s="13" t="inlineStr">
        <is>
          <t>Giao dịch với các bên có quan hệ liên kết</t>
        </is>
      </c>
      <c r="C21" s="16" t="inlineStr">
        <is>
          <t>CẦN ĐỐI CHIẾU</t>
        </is>
      </c>
      <c r="D21" s="13" t="inlineStr">
        <is>
          <t>Công cụ không đủ dữ liệu để nhận diện tự động từ bảng cân đối tài khoản.</t>
        </is>
      </c>
      <c r="E21" s="13" t="inlineStr">
        <is>
          <t>Nếu doanh nghiệp có giao dịch liên kết, phải lập Hồ sơ xác định giá giao dịch liên kết và kê khai Phụ lục kèm tờ khai quyết toán TNDN. Rà soát TK 136/336 (nội bộ), các khoản vay từ cổ đông/bên liên quan, mua bán hàng hóa dịch vụ với công ty cùng chủ sở hữu.</t>
        </is>
      </c>
    </row>
    <row r="22" ht="80" customHeight="1">
      <c r="A22" s="13" t="inlineStr">
        <is>
          <t>Chính sách mới</t>
        </is>
      </c>
      <c r="B22" s="13" t="inlineStr">
        <is>
          <t>Giảm thuế suất thuế GTGT 10% xuống 8%</t>
        </is>
      </c>
      <c r="C22" s="16" t="inlineStr">
        <is>
          <t>CẦN ĐỐI CHIẾU</t>
        </is>
      </c>
      <c r="D22" s="13" t="inlineStr">
        <is>
          <t>Công cụ không xác định được thuế suất từng giao dịch trên bảng cân đối tài khoản.</t>
        </is>
      </c>
      <c r="E22" s="13" t="inlineStr">
        <is>
          <t>Nghị quyết 204/2025/QH15 cho phép giảm thuế GTGT từ 10% xuống 8% với một số nhóm hàng hóa, dịch vụ đến hết 31/12/2026. Do trong kỳ có thể áp dụng nhiều mức thuế suất khác nhau, KHÔNG được suy ra doanh thu bằng cách chia số thuế GTGT đầu ra cho một thuế suất duy nhất. Cần rà soát danh mục hàng hóa, dịch vụ được giảm và đối chiếu với hóa đơn đã phát hành.</t>
        </is>
      </c>
    </row>
    <row r="23" ht="48" customHeight="1">
      <c r="A23" s="13" t="inlineStr">
        <is>
          <t>Chính sách mới</t>
        </is>
      </c>
      <c r="B23" s="13" t="inlineStr">
        <is>
          <t>Bãi bỏ lệ phí môn bài từ 01/01/2026</t>
        </is>
      </c>
      <c r="C23" s="13" t="inlineStr">
        <is>
          <t>Không có số dư</t>
        </is>
      </c>
      <c r="D23" s="13" t="inlineStr">
        <is>
          <t>Số dư TK 3339 (phí, lệ phí và các khoản phải nộp khác): 0.</t>
        </is>
      </c>
      <c r="E23" s="13" t="inlineStr">
        <is>
          <t>Nghị quyết 198/2025/QH15 và Nghị định 362/2025/NĐ-CP bãi bỏ lệ phí môn bài cho mọi đối tượng từ 01/01/2026. Nếu đang lập BCTC cho kỳ từ 2026 trở đi mà vẫn còn trích lệ phí môn bài, cần kiểm tra lại.</t>
        </is>
      </c>
    </row>
    <row r="24" ht="48" customHeight="1">
      <c r="A24" s="13" t="inlineStr">
        <is>
          <t>Công nợ thuế</t>
        </is>
      </c>
      <c r="B24" s="13" t="inlineStr">
        <is>
          <t>Tổng hợp số dư TK 333</t>
        </is>
      </c>
      <c r="C24" s="16" t="inlineStr">
        <is>
          <t>CẦN ĐỐI CHIẾU</t>
        </is>
      </c>
      <c r="D24" s="13" t="inlineStr">
        <is>
          <t>Còn phải nộp 133.500.000; nộp thừa 8.000.000.</t>
        </is>
      </c>
      <c r="E24" s="13" t="inlineStr">
        <is>
          <t>Đối chiếu với "Thông báo số thuế còn phải nộp" hoặc tra cứu nghĩa vụ thuế trên eTax. Chênh lệch có thể do tiền chậm nộp, phạt vi phạm hành chính chưa hạch toán, hoặc bút toán bù trừ giữa các sắc thuế.</t>
        </is>
      </c>
    </row>
    <row r="25"/>
    <row r="26">
      <c r="A26" s="41" t="inlineStr">
        <is>
          <t>BẢNG HỖ TRỢ RÀ SOÁT QUYẾT TOÁN THUẾ TNDN</t>
        </is>
      </c>
    </row>
    <row r="27">
      <c r="A27" s="54" t="inlineStr">
        <is>
          <t>A. Tổng lợi nhuận kế toán trước thuế (mã 50 — B02-DNN)</t>
        </is>
      </c>
      <c r="B27" s="56" t="n"/>
      <c r="C27" s="57" t="n"/>
      <c r="D27" s="12" t="n">
        <v>334000000</v>
      </c>
      <c r="E27" s="36" t="inlineStr"/>
    </row>
    <row r="28" ht="27" customHeight="1">
      <c r="A28" s="55" t="inlineStr">
        <is>
          <t>B. Các khoản điều chỉnh TĂNG thu nhập chịu thuế</t>
        </is>
      </c>
      <c r="B28" s="56" t="n"/>
      <c r="C28" s="57" t="n"/>
      <c r="D28" s="9" t="n">
        <v>0</v>
      </c>
      <c r="E28" s="36" t="inlineStr">
        <is>
          <t>Chi phí không được trừ: chứng từ không hợp lệ, chi vượt định mức, khoản trích trước không đúng, phần chi vượt mức khống chế, tiền phạt vi phạm hành chính…</t>
        </is>
      </c>
    </row>
    <row r="29">
      <c r="A29" s="55" t="inlineStr">
        <is>
          <t>C. Các khoản điều chỉnh GIẢM thu nhập chịu thuế</t>
        </is>
      </c>
      <c r="B29" s="56" t="n"/>
      <c r="C29" s="57" t="n"/>
      <c r="D29" s="9" t="n">
        <v>0</v>
      </c>
      <c r="E29" s="36" t="inlineStr">
        <is>
          <t>Hoàn nhập chi phí đã loại kỳ trước, thu nhập đã tính thuế ở khâu trước, chênh lệch do phương pháp khấu hao…</t>
        </is>
      </c>
    </row>
    <row r="30">
      <c r="A30" s="54" t="inlineStr">
        <is>
          <t>D. Tổng thu nhập chịu thuế (D = A + B − C)</t>
        </is>
      </c>
      <c r="B30" s="56" t="n"/>
      <c r="C30" s="57" t="n"/>
      <c r="D30" s="12">
        <f>D27+D28-D29</f>
        <v/>
      </c>
      <c r="E30" s="36" t="inlineStr"/>
    </row>
    <row r="31">
      <c r="A31" s="55" t="inlineStr">
        <is>
          <t>E. Thu nhập được miễn thuế</t>
        </is>
      </c>
      <c r="B31" s="56" t="n"/>
      <c r="C31" s="57" t="n"/>
      <c r="D31" s="9" t="n">
        <v>0</v>
      </c>
      <c r="E31" s="36" t="inlineStr"/>
    </row>
    <row r="32">
      <c r="A32" s="55" t="inlineStr">
        <is>
          <t>F. Lỗ kết chuyển từ các năm trước</t>
        </is>
      </c>
      <c r="B32" s="56" t="n"/>
      <c r="C32" s="57" t="n"/>
      <c r="D32" s="9" t="n">
        <v>0</v>
      </c>
      <c r="E32" s="36" t="inlineStr">
        <is>
          <t>Lỗ được chuyển liên tục không quá 5 năm kể từ năm tiếp sau năm phát sinh lỗ.</t>
        </is>
      </c>
    </row>
    <row r="33">
      <c r="A33" s="55" t="inlineStr">
        <is>
          <t>G. Trích lập Quỹ phát triển khoa học và công nghệ</t>
        </is>
      </c>
      <c r="B33" s="56" t="n"/>
      <c r="C33" s="57" t="n"/>
      <c r="D33" s="9" t="n">
        <v>0</v>
      </c>
      <c r="E33" s="36" t="inlineStr"/>
    </row>
    <row r="34">
      <c r="A34" s="54" t="inlineStr">
        <is>
          <t>H. Thu nhập tính thuế (H = D − E − F − G)</t>
        </is>
      </c>
      <c r="B34" s="56" t="n"/>
      <c r="C34" s="57" t="n"/>
      <c r="D34" s="12">
        <f>D30-D31-D32-D33</f>
        <v/>
      </c>
      <c r="E34" s="36" t="inlineStr"/>
    </row>
    <row r="35" ht="66" customHeight="1">
      <c r="A35" s="55" t="inlineStr">
        <is>
          <t>I. Thuế suất thuế TNDN (%)</t>
        </is>
      </c>
      <c r="B35" s="56" t="n"/>
      <c r="C35" s="57" t="n"/>
      <c r="D35" s="37" t="n">
        <v>17</v>
      </c>
      <c r="E35" s="36" t="inlineStr">
        <is>
          <t>Luật Thuế TNDN số 67/2025/QH15 (hiệu lực 01/10/2025, áp dụng từ kỳ tính thuế 2025) quy định thuế suất theo QUY MÔ DOANH THU: 15% với doanh thu năm không quá 3 tỷ đồng; 17% với doanh thu trên 3 tỷ đến 50 tỷ đồng; 20% với các trường hợp còn lại. Đây là thuế suất theo quy mô, KHÔNG phải ưu đãi phải đăng ký. Doanh thu thuần kỳ này (mã 10) = 4.795.000.000 → công cụ gợi ý 17%. Vui lòng tự xác định lại theo điều kiện áp dụng thực tế và các mức ưu đãi riêng (nếu có).</t>
        </is>
      </c>
    </row>
    <row r="36">
      <c r="A36" s="54" t="inlineStr">
        <is>
          <t>K. Thuế TNDN phải nộp (K = H × I)</t>
        </is>
      </c>
      <c r="B36" s="56" t="n"/>
      <c r="C36" s="57" t="n"/>
      <c r="D36" s="12">
        <f>MAX(0,D34)*D35/100</f>
        <v/>
      </c>
      <c r="E36" s="36" t="inlineStr"/>
    </row>
    <row r="37">
      <c r="A37" s="54" t="inlineStr">
        <is>
          <t>L. Chi phí thuế TNDN đã hạch toán (mã 51 — B02-DNN)</t>
        </is>
      </c>
      <c r="B37" s="56" t="n"/>
      <c r="C37" s="57" t="n"/>
      <c r="D37" s="12" t="n">
        <v>67000000</v>
      </c>
      <c r="E37" s="36" t="inlineStr"/>
    </row>
    <row r="38">
      <c r="A38" s="54" t="inlineStr">
        <is>
          <t>M. Chênh lệch cần giải trình (M = K − L)</t>
        </is>
      </c>
      <c r="B38" s="56" t="n"/>
      <c r="C38" s="57" t="n"/>
      <c r="D38" s="12">
        <f>D36-D37</f>
        <v/>
      </c>
      <c r="E38" s="36" t="inlineStr"/>
    </row>
    <row r="39"/>
    <row r="40" ht="28" customHeight="1">
      <c r="A40" s="47" t="inlineStr">
        <is>
          <t>Bảng này chỉ hỗ trợ rà soát, KHÔNG ghi vào Báo cáo tài chính. Số liệu chính thức phải căn cứ tờ khai quyết toán thuế TNDN mẫu 03/TNDN và các phụ lục kèm theo.</t>
        </is>
      </c>
    </row>
  </sheetData>
  <sheetProtection selectLockedCells="0" selectUnlockedCells="0" sheet="1" objects="0" insertRows="1" insertHyperlinks="1" autoFilter="0" scenarios="0" formatColumns="1" deleteColumns="1" insertColumns="1" pivotTables="1" deleteRows="1" formatCells="1" formatRows="1" sort="0"/>
  <autoFilter ref="A3:E24"/>
  <mergeCells count="16">
    <mergeCell ref="A28:C28"/>
    <mergeCell ref="A33:C33"/>
    <mergeCell ref="A36:C36"/>
    <mergeCell ref="A26:E26"/>
    <mergeCell ref="A2:E2"/>
    <mergeCell ref="A37:C37"/>
    <mergeCell ref="A32:C32"/>
    <mergeCell ref="A31:C31"/>
    <mergeCell ref="A27:C27"/>
    <mergeCell ref="A1:E1"/>
    <mergeCell ref="A30:C30"/>
    <mergeCell ref="A34:C34"/>
    <mergeCell ref="A35:C35"/>
    <mergeCell ref="A40:E40"/>
    <mergeCell ref="A38:C38"/>
    <mergeCell ref="A29:C29"/>
  </mergeCells>
  <printOptions horizontalCentered="1"/>
  <pageMargins left="0.5" right="0.4" top="0.6" bottom="0.6" header="0.3" footer="0.3"/>
  <pageSetup orientation="portrait" paperSize="9" fitToHeight="0"/>
  <headerFooter>
    <oddHeader>&amp;LCÔNG TY TNHH THƯƠNG MẠI MINH ANH&amp;RMST: 0101234567</oddHeader>
    <oddFooter>&amp;LMr Wick Kiểm toán · taichinhketoanedu.com&amp;C&amp;P/&amp;N&amp;RNăm 2025 · Đồng</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2026-08-14T03:59:49Z</dcterms:created>
  <dcterms:modified xmlns:dcterms="http://purl.org/dc/terms/" xmlns:xsi="http://www.w3.org/2001/XMLSchema-instance" xsi:type="dcterms:W3CDTF">2026-10-25T09:13:43Z</dcterms:modified>
</cp:coreProperties>
</file>